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eferences" sheetId="2" r:id="rId5"/>
    <sheet state="visible" name="Primary - GRADING" sheetId="3" r:id="rId6"/>
    <sheet state="visible" name="Automatic classification" sheetId="4" r:id="rId7"/>
    <sheet state="visible" name="AT class" sheetId="5" r:id="rId8"/>
  </sheets>
  <definedNames>
    <definedName hidden="1" localSheetId="2" name="Z_340DBBDA_8078_4DD3_AFFF_C95C7AB23CFE_.wvu.FilterData">'Primary - GRADING'!$A$1:$C$500</definedName>
    <definedName hidden="1" localSheetId="3" name="Z_340DBBDA_8078_4DD3_AFFF_C95C7AB23CFE_.wvu.FilterData">'Automatic classification'!$A$1:$C$9</definedName>
  </definedNames>
  <calcPr/>
  <customWorkbookViews>
    <customWorkbookView activeSheetId="0" maximized="1" windowHeight="0" windowWidth="0" guid="{340DBBDA-8078-4DD3-AFFF-C95C7AB23CFE}" name="Filter 1"/>
  </customWorkbookViews>
</workbook>
</file>

<file path=xl/sharedStrings.xml><?xml version="1.0" encoding="utf-8"?>
<sst xmlns="http://schemas.openxmlformats.org/spreadsheetml/2006/main" count="267" uniqueCount="122">
  <si>
    <t>Instructions</t>
  </si>
  <si>
    <t>To perform the GRADE assessment the following is needed: 1) NMA estimates and 95% confidence or credible intervals (we abbreviate either from now on as CI) for every comparison using both relative and absolute estimates of effect; 2) Direct and indirect estimates and 95% CI for each comparison; 3) Risk of bias assessments for each outcome; 4) Forest plots of all direct comparisons; 5) network plot for each outcome.</t>
  </si>
  <si>
    <t>1) Set your preferences</t>
  </si>
  <si>
    <r>
      <rPr>
        <rFont val="Calibri, Arial"/>
        <color theme="1"/>
        <sz val="12.0"/>
      </rPr>
      <t xml:space="preserve">2) Clear the spreadsheet. This step can be automatically performed by clicking </t>
    </r>
    <r>
      <rPr>
        <rFont val="Calibri, Arial"/>
        <color rgb="FFCC4125"/>
        <sz val="12.0"/>
      </rPr>
      <t>RESET</t>
    </r>
    <r>
      <rPr>
        <rFont val="Calibri, Arial"/>
        <color theme="1"/>
        <sz val="12.0"/>
      </rPr>
      <t xml:space="preserve"> in cell A1 of  "Primary - GRADING sheet"</t>
    </r>
  </si>
  <si>
    <t>3) Include the comparisons that needs to be assessed (GRADED) in columns B and C. If a reference intervention is available (e.g placebo) always include it as treatment 2 (column C). Incorporate estimates of effect (relative and absolute [per 1000 treated patients]) for every comparison. Include direct (when available)(columns E to J) , indirect (columns T to Y)  and NMA estimates of effects (columns AV to BA). For those comparisons for which estimates are not available use "NA" as in the example provided.</t>
  </si>
  <si>
    <r>
      <rPr>
        <rFont val="Calibri, Arial"/>
        <color theme="1"/>
        <sz val="12.0"/>
      </rPr>
      <t xml:space="preserve">4) For every comparison for which direct estimates of effect are available, assess risk of bias, incosistency, indirectness and publication bias. Imprecision for direct estimate can also be performed at this stage for which an </t>
    </r>
    <r>
      <rPr>
        <rFont val="Calibri, Arial"/>
        <i/>
        <color theme="1"/>
        <sz val="12.0"/>
      </rPr>
      <t>automatic option is available in preferences.</t>
    </r>
  </si>
  <si>
    <t xml:space="preserve">5) Select common comparator (first order loop) or common comparator + middle comparator (second order loop) for every comparison for which indirect estimates of effect are available. </t>
  </si>
  <si>
    <r>
      <rPr>
        <rFont val="Calibri, Arial"/>
        <color theme="1"/>
        <sz val="12.0"/>
      </rPr>
      <t xml:space="preserve">6) Asses intransitivity. Imprecision for indirect estimate can also be performed at this stage for which an </t>
    </r>
    <r>
      <rPr>
        <rFont val="Calibri, Arial"/>
        <i/>
        <color theme="1"/>
        <sz val="12.0"/>
      </rPr>
      <t>automatic option is available in preferences.</t>
    </r>
  </si>
  <si>
    <r>
      <rPr>
        <rFont val="Calibri, Arial"/>
        <color theme="1"/>
        <sz val="12.0"/>
      </rPr>
      <t xml:space="preserve">7) Select source to inform NMA (direct vs indirect). </t>
    </r>
    <r>
      <rPr>
        <rFont val="Calibri, Arial"/>
        <i/>
        <color theme="1"/>
        <sz val="12.0"/>
      </rPr>
      <t>Automatic option available in preferences.</t>
    </r>
  </si>
  <si>
    <t>8) Assess Incoherence</t>
  </si>
  <si>
    <r>
      <rPr>
        <rFont val="Calibri, Arial"/>
        <color theme="1"/>
        <sz val="12.0"/>
      </rPr>
      <t xml:space="preserve">9) Assess imprecision for NMA estimate. </t>
    </r>
    <r>
      <rPr>
        <rFont val="Calibri, Arial"/>
        <i/>
        <color theme="1"/>
        <sz val="12.0"/>
      </rPr>
      <t>Automatic option available in preferences.</t>
    </r>
  </si>
  <si>
    <r>
      <rPr>
        <rFont val="Calibri, Arial"/>
        <color theme="1"/>
        <sz val="12.0"/>
      </rPr>
      <t xml:space="preserve">10) Assess imprecision for direct and indirect estimates if required and not performed previously. </t>
    </r>
    <r>
      <rPr>
        <rFont val="Calibri, Arial"/>
        <i/>
        <color theme="1"/>
        <sz val="12.0"/>
      </rPr>
      <t>Automatic option available in preferences.</t>
    </r>
  </si>
  <si>
    <t>11) Final certainty rating for NMA estimate available in column BF. If necesary select definitive CoE rating between direct, indirect and NMA (column BG provides an automatic assessment of the highest certainty estimate between direct, indirect and NMA).</t>
  </si>
  <si>
    <t>12) Automatic classification of assessed interventions available in "Automatic classification" sheet.</t>
  </si>
  <si>
    <t>© 2022 Ariel Izcovich. All rights reserved</t>
  </si>
  <si>
    <t>Preferences</t>
  </si>
  <si>
    <t>Inmprecision assessment</t>
  </si>
  <si>
    <t>Automatic</t>
  </si>
  <si>
    <t>Small effect threshold per 1000 patients treated</t>
  </si>
  <si>
    <t>Large effect threshold per 1000 patients treated</t>
  </si>
  <si>
    <t>Selection of the source to informe NMA (direct vs. indirect)</t>
  </si>
  <si>
    <t>Drawing conclusions: Classification</t>
  </si>
  <si>
    <t>Minimally contextualised framework</t>
  </si>
  <si>
    <t>Reference intevention</t>
  </si>
  <si>
    <t>Plac</t>
  </si>
  <si>
    <t>Comparison</t>
  </si>
  <si>
    <t>Threshold per 1000 (small)</t>
  </si>
  <si>
    <t>Direct estimate</t>
  </si>
  <si>
    <t>Indirect estimate</t>
  </si>
  <si>
    <t>Network estimate</t>
  </si>
  <si>
    <t>Baseline risk: 130 per 1000 (2021-08-17)</t>
  </si>
  <si>
    <t>Direct dominant (FALSE=Dominant)</t>
  </si>
  <si>
    <t>Indirect dominant (FALSE=Dominant)</t>
  </si>
  <si>
    <t>Direct certainty to numbers</t>
  </si>
  <si>
    <t>Indirect certainty to numbers</t>
  </si>
  <si>
    <t>Vs reference</t>
  </si>
  <si>
    <t>Nr.</t>
  </si>
  <si>
    <t>Threshold per 1000 (Large)</t>
  </si>
  <si>
    <t>Relative estimate</t>
  </si>
  <si>
    <t>Absolute estimate (per 1,000)</t>
  </si>
  <si>
    <t>GRADE</t>
  </si>
  <si>
    <t>Absolute estimate  (per 1,000)</t>
  </si>
  <si>
    <t>Automated Direct</t>
  </si>
  <si>
    <t>Automated indirect</t>
  </si>
  <si>
    <t>Reasons for downgrading (,)</t>
  </si>
  <si>
    <t>RoB Tmt1 vs Compr</t>
  </si>
  <si>
    <t>RoB Compr vs Middle</t>
  </si>
  <si>
    <t>RoB Compr/middle vs Tmt2</t>
  </si>
  <si>
    <t>Indirect RoB Summary</t>
  </si>
  <si>
    <t>Incosistency Tmt1 vs Compr</t>
  </si>
  <si>
    <t>Incosistency Compr vs Middle</t>
  </si>
  <si>
    <t>Incosistency Compr/middle vs Tmt2</t>
  </si>
  <si>
    <t>Incosistency RoB Summary</t>
  </si>
  <si>
    <t>Indirectness Tmt1 vs Compr</t>
  </si>
  <si>
    <t>Indirectness Compr vs Middle</t>
  </si>
  <si>
    <t>Indirectness Compr/middle vs Tmt2</t>
  </si>
  <si>
    <t>Indirectness Summary</t>
  </si>
  <si>
    <t>Publication bias Tmt1 vs Compr</t>
  </si>
  <si>
    <t>Publication bias Compr vs middle</t>
  </si>
  <si>
    <t>Publication bias Tmt1 vs Compr/middle vs Tmt2</t>
  </si>
  <si>
    <t>Publication bias Summary</t>
  </si>
  <si>
    <t>Imprecision Summary</t>
  </si>
  <si>
    <t>Incoherence summary</t>
  </si>
  <si>
    <t>Treatment 1</t>
  </si>
  <si>
    <t>Treatment 2</t>
  </si>
  <si>
    <t>Point estimate</t>
  </si>
  <si>
    <t>CI lower limit</t>
  </si>
  <si>
    <t>CI upper limit</t>
  </si>
  <si>
    <t>Risk of bias</t>
  </si>
  <si>
    <t>Inconsistency</t>
  </si>
  <si>
    <t>Indirectness</t>
  </si>
  <si>
    <t>Publication bias</t>
  </si>
  <si>
    <t>Rating for NMA</t>
  </si>
  <si>
    <t>Imprecision</t>
  </si>
  <si>
    <t>Final rating</t>
  </si>
  <si>
    <t>Common comp</t>
  </si>
  <si>
    <t>Comparison nr.</t>
  </si>
  <si>
    <t>Tmt 1 vs comp</t>
  </si>
  <si>
    <t>Middle comp</t>
  </si>
  <si>
    <t xml:space="preserve">Comp vs middle </t>
  </si>
  <si>
    <t>Tmt 2 vs comp/middle</t>
  </si>
  <si>
    <t>Start rating</t>
  </si>
  <si>
    <t>Intransitivity</t>
  </si>
  <si>
    <t>CrI lower limit</t>
  </si>
  <si>
    <t>CrI upper limit</t>
  </si>
  <si>
    <t>Starting evidence</t>
  </si>
  <si>
    <t>Starting rating</t>
  </si>
  <si>
    <t>Incoherence</t>
  </si>
  <si>
    <t>Best estimate</t>
  </si>
  <si>
    <t>Significant effect</t>
  </si>
  <si>
    <t>Risk of imprecision?</t>
  </si>
  <si>
    <t>Rating as a number</t>
  </si>
  <si>
    <t>Significant effect NMA</t>
  </si>
  <si>
    <t>Significant effect Direct</t>
  </si>
  <si>
    <t>Significant effect Indirect</t>
  </si>
  <si>
    <t>Reasons</t>
  </si>
  <si>
    <t>Reasons for downgrading auto-calculator</t>
  </si>
  <si>
    <t>OIS Prelim Calculator</t>
  </si>
  <si>
    <t>PRELIM Test incoherence calculator</t>
  </si>
  <si>
    <t>A</t>
  </si>
  <si>
    <t>Not serious</t>
  </si>
  <si>
    <t>NA</t>
  </si>
  <si>
    <t>B</t>
  </si>
  <si>
    <t>Serious</t>
  </si>
  <si>
    <t>C</t>
  </si>
  <si>
    <t>D</t>
  </si>
  <si>
    <t>29919137508618579968</t>
  </si>
  <si>
    <t>36151857344424472576</t>
  </si>
  <si>
    <t>Best</t>
  </si>
  <si>
    <t>Better than Reference</t>
  </si>
  <si>
    <t>Not different than Reference</t>
  </si>
  <si>
    <t>Harmful</t>
  </si>
  <si>
    <t>Worst</t>
  </si>
  <si>
    <t>Better than SC</t>
  </si>
  <si>
    <t>Not different from SC</t>
  </si>
  <si>
    <t>Intervention</t>
  </si>
  <si>
    <t>Certainty</t>
  </si>
  <si>
    <t>Code</t>
  </si>
  <si>
    <t>Round 1</t>
  </si>
  <si>
    <t>Relative effect (95% CI) (compared to standard care)</t>
  </si>
  <si>
    <t>Absolute effect difference (95% CI) (compared to standard care)</t>
  </si>
  <si>
    <t>Higher certainty estimate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</si>
</sst>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00_ "/>
    <numFmt numFmtId="166" formatCode="0_ "/>
  </numFmts>
  <fonts count="16">
    <font>
      <sz val="12.0"/>
      <color theme="1"/>
      <name val="Calibri"/>
      <scheme val="minor"/>
    </font>
    <font>
      <b/>
      <sz val="12.0"/>
      <color theme="1"/>
      <name val="Calibri"/>
    </font>
    <font>
      <color theme="1"/>
      <name val="Calibri"/>
      <scheme val="minor"/>
    </font>
    <font/>
    <font>
      <sz val="12.0"/>
      <color theme="1"/>
      <name val="Calibri"/>
    </font>
    <font>
      <b/>
      <color theme="1"/>
      <name val="Calibri"/>
      <scheme val="minor"/>
    </font>
    <font>
      <b/>
      <sz val="10.0"/>
      <color rgb="FF000000"/>
      <name val="Calibri"/>
    </font>
    <font>
      <sz val="10.0"/>
      <color theme="1"/>
      <name val="Calibri"/>
    </font>
    <font>
      <b/>
      <sz val="11.0"/>
      <color rgb="FF000000"/>
      <name val="Calibri"/>
    </font>
    <font>
      <sz val="10.0"/>
      <color rgb="FF000000"/>
      <name val="Calibri"/>
    </font>
    <font>
      <sz val="11.0"/>
      <color rgb="FF000000"/>
      <name val="Inconsolata"/>
    </font>
    <font>
      <b/>
      <sz val="10.0"/>
      <color rgb="FFFF0000"/>
      <name val="Calibri"/>
    </font>
    <font>
      <color theme="1"/>
      <name val="Calibri"/>
    </font>
    <font>
      <sz val="11.0"/>
      <color rgb="FF000000"/>
      <name val="Calibri"/>
    </font>
    <font>
      <sz val="10.0"/>
      <color theme="1"/>
      <name val="Arial"/>
    </font>
    <font>
      <sz val="10.0"/>
      <color rgb="FF000000"/>
      <name val="Arial"/>
    </font>
  </fonts>
  <fills count="2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
      <patternFill patternType="solid">
        <fgColor rgb="FF000000"/>
        <bgColor rgb="FF000000"/>
      </patternFill>
    </fill>
    <fill>
      <patternFill patternType="solid">
        <fgColor rgb="FFFFF2CC"/>
        <bgColor rgb="FFFFF2CC"/>
      </patternFill>
    </fill>
    <fill>
      <patternFill patternType="solid">
        <fgColor rgb="FFB7B7B7"/>
        <bgColor rgb="FFB7B7B7"/>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
      <patternFill patternType="solid">
        <fgColor rgb="FFA2C4C9"/>
        <bgColor rgb="FFA2C4C9"/>
      </patternFill>
    </fill>
    <fill>
      <patternFill patternType="solid">
        <fgColor rgb="FFE6B8AF"/>
        <bgColor rgb="FFE6B8AF"/>
      </patternFill>
    </fill>
    <fill>
      <patternFill patternType="solid">
        <fgColor rgb="FFCCCCCC"/>
        <bgColor rgb="FFCCCCCC"/>
      </patternFill>
    </fill>
    <fill>
      <patternFill patternType="solid">
        <fgColor rgb="FFD9D9D9"/>
        <bgColor rgb="FFD9D9D9"/>
      </patternFill>
    </fill>
    <fill>
      <patternFill patternType="solid">
        <fgColor rgb="FFB7E1CD"/>
        <bgColor rgb="FFB7E1CD"/>
      </patternFill>
    </fill>
    <fill>
      <patternFill patternType="solid">
        <fgColor rgb="FF9FC5E8"/>
        <bgColor rgb="FF9FC5E8"/>
      </patternFill>
    </fill>
  </fills>
  <borders count="16">
    <border/>
    <border>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666666"/>
      </left>
      <top style="medium">
        <color rgb="FF666666"/>
      </top>
    </border>
    <border>
      <left style="medium">
        <color rgb="FF666666"/>
      </left>
      <right style="medium">
        <color rgb="FF666666"/>
      </right>
      <top style="medium">
        <color rgb="FF666666"/>
      </top>
      <bottom style="medium">
        <color rgb="FF666666"/>
      </bottom>
    </border>
    <border>
      <left style="medium">
        <color rgb="FF666666"/>
      </left>
    </border>
    <border>
      <right style="medium">
        <color rgb="FF666666"/>
      </right>
    </border>
    <border>
      <left style="medium">
        <color rgb="FF666666"/>
      </left>
      <bottom style="medium">
        <color rgb="FF666666"/>
      </bottom>
    </border>
    <border>
      <left style="medium">
        <color rgb="FF666666"/>
      </left>
      <top style="medium">
        <color rgb="FF666666"/>
      </top>
      <bottom style="medium">
        <color rgb="FF666666"/>
      </bottom>
    </border>
    <border>
      <left style="thick">
        <color rgb="FF000000"/>
      </left>
      <right style="thick">
        <color rgb="FF000000"/>
      </right>
      <top style="thick">
        <color rgb="FF000000"/>
      </top>
      <bottom style="thick">
        <color rgb="FF000000"/>
      </bottom>
    </border>
    <border>
      <right style="thick">
        <color rgb="FF000000"/>
      </right>
      <top style="thick">
        <color rgb="FF000000"/>
      </top>
      <bottom style="thick">
        <color rgb="FF000000"/>
      </bottom>
    </border>
    <border>
      <right style="medium">
        <color rgb="FF000000"/>
      </right>
    </border>
    <border>
      <right style="thick">
        <color rgb="FF000000"/>
      </right>
    </border>
    <border>
      <left style="thin">
        <color rgb="FF000000"/>
      </left>
    </border>
    <border>
      <right style="thin">
        <color rgb="FF000000"/>
      </right>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Border="1" applyFont="1"/>
    <xf borderId="1" fillId="0" fontId="3" numFmtId="0" xfId="0" applyBorder="1" applyFont="1"/>
    <xf borderId="2" fillId="0" fontId="4" numFmtId="0" xfId="0" applyAlignment="1" applyBorder="1" applyFont="1">
      <alignment shrinkToFit="0" vertical="bottom" wrapText="1"/>
    </xf>
    <xf borderId="3" fillId="0" fontId="3" numFmtId="0" xfId="0" applyBorder="1" applyFont="1"/>
    <xf borderId="0" fillId="0" fontId="4" numFmtId="0" xfId="0" applyAlignment="1" applyFont="1">
      <alignment shrinkToFit="0" vertical="bottom" wrapText="1"/>
    </xf>
    <xf borderId="0" fillId="0" fontId="2" numFmtId="0" xfId="0" applyAlignment="1" applyFont="1">
      <alignment shrinkToFit="0"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2" fontId="2" numFmtId="0" xfId="0" applyFill="1" applyFont="1"/>
    <xf borderId="4" fillId="0" fontId="5" numFmtId="0" xfId="0" applyAlignment="1" applyBorder="1" applyFont="1">
      <alignment readingOrder="0"/>
    </xf>
    <xf borderId="5" fillId="0" fontId="2" numFmtId="0" xfId="0" applyAlignment="1" applyBorder="1" applyFont="1">
      <alignment readingOrder="0"/>
    </xf>
    <xf borderId="6" fillId="3" fontId="2" numFmtId="0" xfId="0" applyBorder="1" applyFill="1" applyFont="1"/>
    <xf borderId="7" fillId="3" fontId="2" numFmtId="0" xfId="0" applyBorder="1" applyFont="1"/>
    <xf borderId="6" fillId="0" fontId="2" numFmtId="0" xfId="0" applyAlignment="1" applyBorder="1" applyFont="1">
      <alignment readingOrder="0"/>
    </xf>
    <xf borderId="8" fillId="0" fontId="2" numFmtId="0" xfId="0" applyAlignment="1" applyBorder="1" applyFont="1">
      <alignment readingOrder="0"/>
    </xf>
    <xf borderId="9" fillId="0" fontId="5" numFmtId="0" xfId="0" applyAlignment="1" applyBorder="1" applyFont="1">
      <alignment readingOrder="0"/>
    </xf>
    <xf borderId="0" fillId="0" fontId="6" numFmtId="0" xfId="0" applyFont="1"/>
    <xf borderId="10" fillId="0" fontId="6" numFmtId="0" xfId="0" applyAlignment="1" applyBorder="1" applyFont="1">
      <alignment horizontal="left" readingOrder="0"/>
    </xf>
    <xf borderId="11" fillId="0" fontId="6" numFmtId="0" xfId="0" applyAlignment="1" applyBorder="1" applyFont="1">
      <alignment readingOrder="0"/>
    </xf>
    <xf borderId="0" fillId="4" fontId="6" numFmtId="2" xfId="0" applyAlignment="1" applyFill="1" applyFont="1" applyNumberFormat="1">
      <alignment horizontal="left"/>
    </xf>
    <xf borderId="0" fillId="4" fontId="6" numFmtId="2" xfId="0" applyAlignment="1" applyFont="1" applyNumberFormat="1">
      <alignment horizontal="center"/>
    </xf>
    <xf borderId="0" fillId="4" fontId="6" numFmtId="0" xfId="0" applyAlignment="1" applyFont="1">
      <alignment horizontal="center"/>
    </xf>
    <xf borderId="12" fillId="4" fontId="6" numFmtId="0" xfId="0" applyAlignment="1" applyBorder="1" applyFont="1">
      <alignment horizontal="center"/>
    </xf>
    <xf borderId="0" fillId="5" fontId="6" numFmtId="0" xfId="0" applyAlignment="1" applyFill="1" applyFont="1">
      <alignment horizontal="center"/>
    </xf>
    <xf borderId="0" fillId="4" fontId="6" numFmtId="0" xfId="0" applyFont="1"/>
    <xf borderId="0" fillId="4" fontId="7" numFmtId="0" xfId="0" applyAlignment="1" applyFont="1">
      <alignment vertical="bottom"/>
    </xf>
    <xf borderId="0" fillId="6" fontId="6" numFmtId="2" xfId="0" applyAlignment="1" applyFill="1" applyFont="1" applyNumberFormat="1">
      <alignment horizontal="left"/>
    </xf>
    <xf borderId="0" fillId="6" fontId="6" numFmtId="2" xfId="0" applyAlignment="1" applyFont="1" applyNumberFormat="1">
      <alignment horizontal="center"/>
    </xf>
    <xf borderId="0" fillId="6" fontId="6" numFmtId="0" xfId="0" applyAlignment="1" applyFont="1">
      <alignment horizontal="center"/>
    </xf>
    <xf borderId="13" fillId="6" fontId="6" numFmtId="0" xfId="0" applyAlignment="1" applyBorder="1" applyFont="1">
      <alignment horizontal="center"/>
    </xf>
    <xf borderId="0" fillId="7" fontId="6" numFmtId="0" xfId="0" applyFill="1" applyFont="1"/>
    <xf borderId="0" fillId="6" fontId="6" numFmtId="0" xfId="0" applyFont="1"/>
    <xf borderId="0" fillId="7" fontId="6" numFmtId="0" xfId="0" applyAlignment="1" applyFont="1">
      <alignment horizontal="center"/>
    </xf>
    <xf borderId="0" fillId="8" fontId="6" numFmtId="0" xfId="0" applyFill="1" applyFont="1"/>
    <xf borderId="13" fillId="8" fontId="6" numFmtId="0" xfId="0" applyBorder="1" applyFont="1"/>
    <xf borderId="0" fillId="8" fontId="6" numFmtId="0" xfId="0" applyAlignment="1" applyFont="1">
      <alignment horizontal="center"/>
    </xf>
    <xf borderId="0" fillId="8" fontId="7" numFmtId="0" xfId="0" applyAlignment="1" applyFont="1">
      <alignment vertical="bottom"/>
    </xf>
    <xf borderId="0" fillId="9" fontId="6" numFmtId="0" xfId="0" applyFill="1" applyFont="1"/>
    <xf borderId="0" fillId="10" fontId="6" numFmtId="0" xfId="0" applyFill="1" applyFont="1"/>
    <xf borderId="0" fillId="11" fontId="6" numFmtId="0" xfId="0" applyFill="1" applyFont="1"/>
    <xf borderId="0" fillId="12" fontId="6" numFmtId="0" xfId="0" applyFill="1" applyFont="1"/>
    <xf borderId="0" fillId="13" fontId="6" numFmtId="0" xfId="0" applyFill="1" applyFont="1"/>
    <xf borderId="0" fillId="14" fontId="6" numFmtId="0" xfId="0" applyFill="1" applyFont="1"/>
    <xf borderId="0" fillId="15" fontId="6" numFmtId="0" xfId="0" applyAlignment="1" applyFill="1" applyFont="1">
      <alignment readingOrder="0"/>
    </xf>
    <xf borderId="0" fillId="14" fontId="6" numFmtId="0" xfId="0" applyAlignment="1" applyFont="1">
      <alignment readingOrder="0"/>
    </xf>
    <xf borderId="0" fillId="0" fontId="6" numFmtId="0" xfId="0" applyAlignment="1" applyFont="1">
      <alignment readingOrder="0"/>
    </xf>
    <xf borderId="10" fillId="0" fontId="6" numFmtId="0" xfId="0" applyAlignment="1" applyBorder="1" applyFont="1">
      <alignment readingOrder="0"/>
    </xf>
    <xf borderId="0" fillId="4" fontId="6" numFmtId="0" xfId="0" applyAlignment="1" applyFont="1">
      <alignment horizontal="left"/>
    </xf>
    <xf borderId="0" fillId="6" fontId="6" numFmtId="0" xfId="0" applyAlignment="1" applyFont="1">
      <alignment horizontal="left"/>
    </xf>
    <xf borderId="0" fillId="7" fontId="6" numFmtId="0" xfId="0" applyAlignment="1" applyFont="1">
      <alignment horizontal="left"/>
    </xf>
    <xf borderId="0" fillId="6" fontId="6" numFmtId="0" xfId="0" applyAlignment="1" applyFont="1">
      <alignment horizontal="center" readingOrder="0"/>
    </xf>
    <xf borderId="0" fillId="8" fontId="6" numFmtId="0" xfId="0" applyAlignment="1" applyFont="1">
      <alignment readingOrder="0"/>
    </xf>
    <xf borderId="0" fillId="9" fontId="6" numFmtId="0" xfId="0" applyAlignment="1" applyFont="1">
      <alignment readingOrder="0"/>
    </xf>
    <xf borderId="0" fillId="10" fontId="6" numFmtId="0" xfId="0" applyAlignment="1" applyFont="1">
      <alignment readingOrder="0"/>
    </xf>
    <xf borderId="0" fillId="11" fontId="6" numFmtId="0" xfId="0" applyAlignment="1" applyFont="1">
      <alignment readingOrder="0"/>
    </xf>
    <xf borderId="0" fillId="12" fontId="6" numFmtId="0" xfId="0" applyAlignment="1" applyFont="1">
      <alignment readingOrder="0"/>
    </xf>
    <xf borderId="0" fillId="13" fontId="6" numFmtId="0" xfId="0" applyAlignment="1" applyFont="1">
      <alignment readingOrder="0"/>
    </xf>
    <xf borderId="0" fillId="15" fontId="8" numFmtId="164" xfId="0" applyAlignment="1" applyFont="1" applyNumberFormat="1">
      <alignment readingOrder="0"/>
    </xf>
    <xf borderId="0" fillId="14" fontId="8" numFmtId="164" xfId="0" applyAlignment="1" applyFont="1" applyNumberFormat="1">
      <alignment readingOrder="0"/>
    </xf>
    <xf borderId="0" fillId="16" fontId="9" numFmtId="0" xfId="0" applyFill="1" applyFont="1"/>
    <xf borderId="0" fillId="0" fontId="9" numFmtId="0" xfId="0" applyFont="1"/>
    <xf borderId="0" fillId="4" fontId="9" numFmtId="2" xfId="0" applyAlignment="1" applyFont="1" applyNumberFormat="1">
      <alignment horizontal="center"/>
    </xf>
    <xf borderId="0" fillId="4" fontId="9" numFmtId="0" xfId="0" applyAlignment="1" applyFont="1">
      <alignment horizontal="center"/>
    </xf>
    <xf borderId="12" fillId="4" fontId="9" numFmtId="0" xfId="0" applyAlignment="1" applyBorder="1" applyFont="1">
      <alignment horizontal="center"/>
    </xf>
    <xf borderId="0" fillId="5" fontId="9" numFmtId="0" xfId="0" applyAlignment="1" applyFont="1">
      <alignment horizontal="center"/>
    </xf>
    <xf borderId="0" fillId="4" fontId="9" numFmtId="0" xfId="0" applyFont="1"/>
    <xf borderId="0" fillId="17" fontId="6" numFmtId="0" xfId="0" applyFill="1" applyFont="1"/>
    <xf borderId="0" fillId="17" fontId="6" numFmtId="2" xfId="0" applyAlignment="1" applyFont="1" applyNumberFormat="1">
      <alignment horizontal="center" readingOrder="0"/>
    </xf>
    <xf borderId="0" fillId="6" fontId="9" numFmtId="2" xfId="0" applyAlignment="1" applyFont="1" applyNumberFormat="1">
      <alignment horizontal="center"/>
    </xf>
    <xf borderId="0" fillId="6" fontId="9" numFmtId="0" xfId="0" applyAlignment="1" applyFont="1">
      <alignment horizontal="center"/>
    </xf>
    <xf borderId="13" fillId="6" fontId="9" numFmtId="0" xfId="0" applyAlignment="1" applyBorder="1" applyFont="1">
      <alignment horizontal="center"/>
    </xf>
    <xf borderId="0" fillId="7" fontId="9" numFmtId="0" xfId="0" applyFont="1"/>
    <xf borderId="0" fillId="6" fontId="9" numFmtId="0" xfId="0" applyFont="1"/>
    <xf borderId="0" fillId="7" fontId="9" numFmtId="0" xfId="0" applyAlignment="1" applyFont="1">
      <alignment horizontal="left"/>
    </xf>
    <xf borderId="0" fillId="17" fontId="9" numFmtId="0" xfId="0" applyAlignment="1" applyFont="1">
      <alignment horizontal="left"/>
    </xf>
    <xf borderId="0" fillId="6" fontId="9" numFmtId="0" xfId="0" applyAlignment="1" applyFont="1">
      <alignment horizontal="left"/>
    </xf>
    <xf borderId="0" fillId="17" fontId="9" numFmtId="0" xfId="0" applyAlignment="1" applyFont="1">
      <alignment horizontal="left" readingOrder="0"/>
    </xf>
    <xf borderId="0" fillId="17" fontId="6" numFmtId="2" xfId="0" applyAlignment="1" applyFont="1" applyNumberFormat="1">
      <alignment horizontal="center"/>
    </xf>
    <xf borderId="0" fillId="6" fontId="9" numFmtId="0" xfId="0" applyAlignment="1" applyFont="1">
      <alignment horizontal="center" readingOrder="0"/>
    </xf>
    <xf borderId="0" fillId="8" fontId="9" numFmtId="0" xfId="0" applyFont="1"/>
    <xf borderId="0" fillId="8" fontId="9" numFmtId="0" xfId="0" applyAlignment="1" applyFont="1">
      <alignment readingOrder="0"/>
    </xf>
    <xf borderId="13" fillId="8" fontId="9" numFmtId="0" xfId="0" applyBorder="1" applyFont="1"/>
    <xf borderId="0" fillId="8" fontId="9" numFmtId="0" xfId="0" applyAlignment="1" applyFont="1">
      <alignment horizontal="center"/>
    </xf>
    <xf borderId="0" fillId="17" fontId="6" numFmtId="165" xfId="0" applyAlignment="1" applyFont="1" applyNumberFormat="1">
      <alignment horizontal="center"/>
    </xf>
    <xf borderId="0" fillId="18" fontId="9" numFmtId="0" xfId="0" applyFill="1" applyFont="1"/>
    <xf borderId="0" fillId="18" fontId="9" numFmtId="0" xfId="0" applyAlignment="1" applyFont="1">
      <alignment readingOrder="0"/>
    </xf>
    <xf borderId="0" fillId="0" fontId="9" numFmtId="0" xfId="0" applyAlignment="1" applyFont="1">
      <alignment readingOrder="0"/>
    </xf>
    <xf borderId="0" fillId="17" fontId="9" numFmtId="0" xfId="0" applyAlignment="1" applyFont="1">
      <alignment readingOrder="0"/>
    </xf>
    <xf borderId="0" fillId="17" fontId="6" numFmtId="0" xfId="0" applyAlignment="1" applyFont="1">
      <alignment readingOrder="0"/>
    </xf>
    <xf borderId="0" fillId="3" fontId="10" numFmtId="0" xfId="0" applyFont="1"/>
    <xf borderId="0" fillId="9" fontId="9" numFmtId="0" xfId="0" applyAlignment="1" applyFont="1">
      <alignment readingOrder="0"/>
    </xf>
    <xf borderId="0" fillId="10" fontId="9" numFmtId="0" xfId="0" applyAlignment="1" applyFont="1">
      <alignment readingOrder="0"/>
    </xf>
    <xf borderId="0" fillId="11" fontId="9" numFmtId="0" xfId="0" applyAlignment="1" applyFont="1">
      <alignment readingOrder="0"/>
    </xf>
    <xf borderId="0" fillId="12" fontId="9" numFmtId="0" xfId="0" applyAlignment="1" applyFont="1">
      <alignment readingOrder="0"/>
    </xf>
    <xf borderId="0" fillId="13" fontId="9" numFmtId="0" xfId="0" applyAlignment="1" applyFont="1">
      <alignment readingOrder="0"/>
    </xf>
    <xf borderId="0" fillId="14" fontId="9" numFmtId="0" xfId="0" applyAlignment="1" applyFont="1">
      <alignment readingOrder="0"/>
    </xf>
    <xf borderId="0" fillId="15" fontId="8" numFmtId="0" xfId="0" applyAlignment="1" applyFont="1">
      <alignment readingOrder="0"/>
    </xf>
    <xf borderId="0" fillId="14" fontId="8" numFmtId="0" xfId="0" applyAlignment="1" applyFont="1">
      <alignment readingOrder="0"/>
    </xf>
    <xf borderId="0" fillId="0" fontId="9" numFmtId="0" xfId="0" applyFont="1"/>
    <xf borderId="0" fillId="3" fontId="10" numFmtId="0" xfId="0" applyFont="1"/>
    <xf borderId="0" fillId="4" fontId="9" numFmtId="165" xfId="0" applyAlignment="1" applyFont="1" applyNumberFormat="1">
      <alignment horizontal="center"/>
    </xf>
    <xf borderId="12" fillId="4" fontId="9" numFmtId="165" xfId="0" applyAlignment="1" applyBorder="1" applyFont="1" applyNumberFormat="1">
      <alignment horizontal="center"/>
    </xf>
    <xf borderId="0" fillId="5" fontId="9" numFmtId="165" xfId="0" applyAlignment="1" applyFont="1" applyNumberFormat="1">
      <alignment horizontal="center" readingOrder="0"/>
    </xf>
    <xf borderId="0" fillId="17" fontId="9" numFmtId="165" xfId="0" applyAlignment="1" applyFont="1" applyNumberFormat="1">
      <alignment horizontal="center"/>
    </xf>
    <xf borderId="0" fillId="4" fontId="7" numFmtId="165" xfId="0" applyAlignment="1" applyFont="1" applyNumberFormat="1">
      <alignment horizontal="center" vertical="bottom"/>
    </xf>
    <xf borderId="0" fillId="17" fontId="9" numFmtId="2" xfId="0" applyAlignment="1" applyFont="1" applyNumberFormat="1">
      <alignment horizontal="center" readingOrder="0"/>
    </xf>
    <xf borderId="0" fillId="0" fontId="11" numFmtId="2" xfId="0" applyAlignment="1" applyFont="1" applyNumberFormat="1">
      <alignment horizontal="center"/>
    </xf>
    <xf borderId="0" fillId="6" fontId="9" numFmtId="2" xfId="0" applyAlignment="1" applyFont="1" applyNumberFormat="1">
      <alignment horizontal="center" readingOrder="0"/>
    </xf>
    <xf borderId="13" fillId="6" fontId="9" numFmtId="2" xfId="0" applyAlignment="1" applyBorder="1" applyFont="1" applyNumberFormat="1">
      <alignment horizontal="center" readingOrder="0"/>
    </xf>
    <xf borderId="0" fillId="7" fontId="12" numFmtId="2" xfId="0" applyAlignment="1" applyFont="1" applyNumberFormat="1">
      <alignment horizontal="center" vertical="bottom"/>
    </xf>
    <xf borderId="0" fillId="7" fontId="9" numFmtId="2" xfId="0" applyAlignment="1" applyFont="1" applyNumberFormat="1">
      <alignment horizontal="left"/>
    </xf>
    <xf borderId="0" fillId="17" fontId="9" numFmtId="2" xfId="0" applyAlignment="1" applyFont="1" applyNumberFormat="1">
      <alignment horizontal="center"/>
    </xf>
    <xf borderId="0" fillId="7" fontId="9" numFmtId="2" xfId="0" applyAlignment="1" applyFont="1" applyNumberFormat="1">
      <alignment horizontal="center"/>
    </xf>
    <xf borderId="0" fillId="8" fontId="9" numFmtId="4" xfId="0" applyAlignment="1" applyFont="1" applyNumberFormat="1">
      <alignment vertical="center"/>
    </xf>
    <xf borderId="0" fillId="8" fontId="9" numFmtId="2" xfId="0" applyAlignment="1" applyFont="1" applyNumberFormat="1">
      <alignment horizontal="center"/>
    </xf>
    <xf borderId="13" fillId="8" fontId="9" numFmtId="2" xfId="0" applyAlignment="1" applyBorder="1" applyFont="1" applyNumberFormat="1">
      <alignment horizontal="center"/>
    </xf>
    <xf borderId="0" fillId="17" fontId="9" numFmtId="0" xfId="0" applyAlignment="1" applyFont="1">
      <alignment horizontal="center"/>
    </xf>
    <xf borderId="0" fillId="8" fontId="7" numFmtId="0" xfId="0" applyAlignment="1" applyFont="1">
      <alignment horizontal="center" readingOrder="0" vertical="bottom"/>
    </xf>
    <xf borderId="0" fillId="8" fontId="7" numFmtId="0" xfId="0" applyAlignment="1" applyFont="1">
      <alignment horizontal="center" vertical="bottom"/>
    </xf>
    <xf borderId="0" fillId="0" fontId="9" numFmtId="2" xfId="0" applyAlignment="1" applyFont="1" applyNumberFormat="1">
      <alignment horizontal="center"/>
    </xf>
    <xf borderId="0" fillId="17" fontId="9" numFmtId="0" xfId="0" applyAlignment="1" applyFont="1">
      <alignment vertical="bottom"/>
    </xf>
    <xf borderId="0" fillId="9" fontId="10" numFmtId="0" xfId="0" applyFont="1"/>
    <xf borderId="0" fillId="15" fontId="9" numFmtId="165" xfId="0" applyAlignment="1" applyFont="1" applyNumberFormat="1">
      <alignment horizontal="center"/>
    </xf>
    <xf borderId="0" fillId="14" fontId="9" numFmtId="165" xfId="0" applyAlignment="1" applyFont="1" applyNumberFormat="1">
      <alignment horizontal="center"/>
    </xf>
    <xf borderId="0" fillId="14" fontId="10" numFmtId="165" xfId="0" applyFont="1" applyNumberFormat="1"/>
    <xf borderId="0" fillId="14" fontId="10" numFmtId="165" xfId="0" applyAlignment="1" applyFont="1" applyNumberFormat="1">
      <alignment readingOrder="0"/>
    </xf>
    <xf borderId="13" fillId="6" fontId="9" numFmtId="2" xfId="0" applyAlignment="1" applyBorder="1" applyFont="1" applyNumberFormat="1">
      <alignment horizontal="center"/>
    </xf>
    <xf borderId="0" fillId="5" fontId="9" numFmtId="165" xfId="0" applyAlignment="1" applyFont="1" applyNumberFormat="1">
      <alignment horizontal="center"/>
    </xf>
    <xf borderId="0" fillId="4" fontId="9" numFmtId="2" xfId="0" applyAlignment="1" applyFont="1" applyNumberFormat="1">
      <alignment horizontal="center" readingOrder="0"/>
    </xf>
    <xf borderId="0" fillId="4" fontId="9" numFmtId="165" xfId="0" applyAlignment="1" applyFont="1" applyNumberFormat="1">
      <alignment horizontal="center" readingOrder="0"/>
    </xf>
    <xf borderId="12" fillId="4" fontId="9" numFmtId="165" xfId="0" applyAlignment="1" applyBorder="1" applyFont="1" applyNumberFormat="1">
      <alignment horizontal="center" readingOrder="0"/>
    </xf>
    <xf borderId="0" fillId="8" fontId="9" numFmtId="4" xfId="0" applyAlignment="1" applyFont="1" applyNumberFormat="1">
      <alignment readingOrder="0" vertical="center"/>
    </xf>
    <xf borderId="0" fillId="8" fontId="9" numFmtId="2" xfId="0" applyAlignment="1" applyFont="1" applyNumberFormat="1">
      <alignment horizontal="center" readingOrder="0"/>
    </xf>
    <xf borderId="13" fillId="8" fontId="9" numFmtId="2" xfId="0" applyAlignment="1" applyBorder="1" applyFont="1" applyNumberFormat="1">
      <alignment horizontal="center" readingOrder="0"/>
    </xf>
    <xf borderId="0" fillId="5" fontId="9" numFmtId="2" xfId="0" applyAlignment="1" applyFont="1" applyNumberFormat="1">
      <alignment horizontal="center"/>
    </xf>
    <xf borderId="0" fillId="6" fontId="9" numFmtId="0" xfId="0" applyAlignment="1" applyFont="1">
      <alignment horizontal="center"/>
    </xf>
    <xf borderId="0" fillId="8" fontId="9" numFmtId="0" xfId="0" applyAlignment="1" applyFont="1">
      <alignment horizontal="center" readingOrder="0"/>
    </xf>
    <xf borderId="12" fillId="4" fontId="9" numFmtId="2" xfId="0" applyAlignment="1" applyBorder="1" applyFont="1" applyNumberFormat="1">
      <alignment horizontal="center"/>
    </xf>
    <xf borderId="0" fillId="6" fontId="9" numFmtId="165" xfId="0" applyAlignment="1" applyFont="1" applyNumberFormat="1">
      <alignment horizontal="center"/>
    </xf>
    <xf borderId="13" fillId="6" fontId="9" numFmtId="165" xfId="0" applyAlignment="1" applyBorder="1" applyFont="1" applyNumberFormat="1">
      <alignment horizontal="center"/>
    </xf>
    <xf borderId="0" fillId="6" fontId="9" numFmtId="0" xfId="0" applyAlignment="1" applyFont="1">
      <alignment horizontal="center" vertical="center"/>
    </xf>
    <xf borderId="0" fillId="6" fontId="9" numFmtId="4" xfId="0" applyAlignment="1" applyFont="1" applyNumberFormat="1">
      <alignment horizontal="center" vertical="center"/>
    </xf>
    <xf borderId="0" fillId="6" fontId="9" numFmtId="4" xfId="0" applyAlignment="1" applyFont="1" applyNumberFormat="1">
      <alignment horizontal="center"/>
    </xf>
    <xf borderId="0" fillId="8" fontId="9" numFmtId="4" xfId="0" applyFont="1" applyNumberFormat="1"/>
    <xf borderId="0" fillId="8" fontId="13" numFmtId="0" xfId="0" applyAlignment="1" applyFont="1">
      <alignment horizontal="center" readingOrder="0"/>
    </xf>
    <xf borderId="14" fillId="0" fontId="5" numFmtId="0" xfId="0" applyAlignment="1" applyBorder="1" applyFont="1">
      <alignment horizontal="center" readingOrder="0"/>
    </xf>
    <xf borderId="15" fillId="0" fontId="3" numFmtId="0" xfId="0" applyBorder="1" applyFont="1"/>
    <xf borderId="0" fillId="0" fontId="5" numFmtId="0" xfId="0" applyAlignment="1" applyFont="1">
      <alignment horizontal="center" readingOrder="0"/>
    </xf>
    <xf borderId="14" fillId="0" fontId="2" numFmtId="0" xfId="0" applyBorder="1" applyFont="1"/>
    <xf borderId="0" fillId="0" fontId="2" numFmtId="0" xfId="0" applyFont="1"/>
    <xf borderId="15" fillId="3" fontId="10" numFmtId="0" xfId="0" applyBorder="1" applyFont="1"/>
    <xf borderId="15" fillId="0" fontId="2" numFmtId="0" xfId="0" applyBorder="1" applyFont="1"/>
    <xf borderId="0" fillId="3" fontId="10" numFmtId="0" xfId="0" applyFont="1"/>
    <xf borderId="0" fillId="19" fontId="14" numFmtId="0" xfId="0" applyFill="1" applyFont="1"/>
    <xf borderId="0" fillId="19" fontId="14" numFmtId="0" xfId="0" applyAlignment="1" applyFont="1">
      <alignment readingOrder="0"/>
    </xf>
    <xf borderId="0" fillId="19" fontId="15" numFmtId="0" xfId="0" applyAlignment="1" applyFont="1">
      <alignment readingOrder="0" shrinkToFit="0" wrapText="1"/>
    </xf>
    <xf borderId="0" fillId="0" fontId="14" numFmtId="0" xfId="0" applyAlignment="1" applyFont="1">
      <alignment readingOrder="0"/>
    </xf>
    <xf borderId="0" fillId="0" fontId="14" numFmtId="0" xfId="0" applyAlignment="1" applyFont="1">
      <alignment vertical="bottom"/>
    </xf>
    <xf borderId="0" fillId="0" fontId="2" numFmtId="4" xfId="0" applyFont="1" applyNumberFormat="1"/>
    <xf borderId="0" fillId="0" fontId="2" numFmtId="2" xfId="0" applyFont="1" applyNumberFormat="1"/>
    <xf borderId="0" fillId="0" fontId="2" numFmtId="165" xfId="0" applyFont="1" applyNumberFormat="1"/>
    <xf borderId="0" fillId="0" fontId="2" numFmtId="166" xfId="0" applyFont="1" applyNumberFormat="1"/>
    <xf borderId="0" fillId="0" fontId="15" numFmtId="0" xfId="0" applyAlignment="1" applyFont="1">
      <alignment readingOrder="0"/>
    </xf>
    <xf borderId="0" fillId="0" fontId="14" numFmtId="0" xfId="0" applyFont="1"/>
  </cellXfs>
  <cellStyles count="1">
    <cellStyle xfId="0" name="Normal" builtinId="0"/>
  </cellStyles>
  <dxfs count="7">
    <dxf>
      <font/>
      <fill>
        <patternFill patternType="solid">
          <fgColor rgb="FF666666"/>
          <bgColor rgb="FF666666"/>
        </patternFill>
      </fill>
      <border/>
    </dxf>
    <dxf>
      <font/>
      <fill>
        <patternFill patternType="none"/>
      </fill>
      <border/>
    </dxf>
    <dxf>
      <font/>
      <fill>
        <patternFill patternType="solid">
          <fgColor rgb="FFFFFF00"/>
          <bgColor rgb="FFFFFF00"/>
        </patternFill>
      </fill>
      <border/>
    </dxf>
    <dxf>
      <font/>
      <fill>
        <patternFill patternType="solid">
          <fgColor rgb="FFFFE599"/>
          <bgColor rgb="FFFFE599"/>
        </patternFill>
      </fill>
      <border/>
    </dxf>
    <dxf>
      <font/>
      <fill>
        <patternFill patternType="solid">
          <fgColor rgb="FFD8D8D8"/>
          <bgColor rgb="FFD8D8D8"/>
        </patternFill>
      </fill>
      <border/>
    </dxf>
    <dxf>
      <font>
        <color rgb="FFFF0000"/>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85825" cy="161925"/>
    <xdr:sp>
      <xdr:nvSpPr>
        <xdr:cNvPr id="3" name="Shape 3"/>
        <xdr:cNvSpPr/>
      </xdr:nvSpPr>
      <xdr:spPr>
        <a:xfrm>
          <a:off x="2127200" y="1225350"/>
          <a:ext cx="862500" cy="147000"/>
        </a:xfrm>
        <a:prstGeom prst="rect">
          <a:avLst/>
        </a:prstGeom>
        <a:solidFill>
          <a:srgbClr val="CC4125"/>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900"/>
            <a:t>RESET</a:t>
          </a:r>
          <a:endParaRPr b="1" sz="9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row>
    <row r="2">
      <c r="A2" s="2"/>
      <c r="B2" s="3"/>
      <c r="C2" s="3"/>
      <c r="D2" s="3"/>
      <c r="E2" s="3"/>
      <c r="F2" s="3"/>
      <c r="G2" s="3"/>
      <c r="H2" s="3"/>
      <c r="I2" s="3"/>
      <c r="J2" s="3"/>
      <c r="K2" s="3"/>
      <c r="L2" s="3"/>
      <c r="M2" s="3"/>
    </row>
    <row r="3">
      <c r="A3" s="4" t="s">
        <v>1</v>
      </c>
      <c r="B3" s="3"/>
      <c r="C3" s="3"/>
      <c r="D3" s="3"/>
      <c r="E3" s="3"/>
      <c r="F3" s="3"/>
      <c r="G3" s="3"/>
      <c r="H3" s="3"/>
      <c r="I3" s="3"/>
      <c r="J3" s="3"/>
      <c r="K3" s="3"/>
      <c r="L3" s="3"/>
      <c r="M3" s="5"/>
    </row>
    <row r="5">
      <c r="A5" s="6" t="s">
        <v>2</v>
      </c>
    </row>
    <row r="6">
      <c r="A6" s="7"/>
    </row>
    <row r="7">
      <c r="A7" s="8" t="s">
        <v>3</v>
      </c>
    </row>
    <row r="8">
      <c r="A8" s="7"/>
    </row>
    <row r="9">
      <c r="A9" s="9" t="s">
        <v>4</v>
      </c>
    </row>
    <row r="10">
      <c r="A10" s="7"/>
    </row>
    <row r="11">
      <c r="A11" s="8" t="s">
        <v>5</v>
      </c>
    </row>
    <row r="12">
      <c r="A12" s="7"/>
    </row>
    <row r="13">
      <c r="A13" s="6" t="s">
        <v>6</v>
      </c>
    </row>
    <row r="14">
      <c r="A14" s="7"/>
    </row>
    <row r="15">
      <c r="A15" s="8" t="s">
        <v>7</v>
      </c>
    </row>
    <row r="16">
      <c r="A16" s="7"/>
    </row>
    <row r="17">
      <c r="A17" s="8" t="s">
        <v>8</v>
      </c>
    </row>
    <row r="18">
      <c r="A18" s="7"/>
    </row>
    <row r="19">
      <c r="A19" s="6" t="s">
        <v>9</v>
      </c>
    </row>
    <row r="20">
      <c r="A20" s="7"/>
    </row>
    <row r="21">
      <c r="A21" s="8" t="s">
        <v>10</v>
      </c>
    </row>
    <row r="22">
      <c r="A22" s="7"/>
    </row>
    <row r="23">
      <c r="A23" s="8" t="s">
        <v>11</v>
      </c>
    </row>
    <row r="25">
      <c r="A25" s="10" t="s">
        <v>12</v>
      </c>
    </row>
    <row r="26">
      <c r="A26" s="10"/>
    </row>
    <row r="27">
      <c r="A27" s="10" t="s">
        <v>13</v>
      </c>
    </row>
    <row r="28">
      <c r="A28" s="10"/>
    </row>
    <row r="29">
      <c r="A29" s="1" t="s">
        <v>14</v>
      </c>
    </row>
  </sheetData>
  <mergeCells count="29">
    <mergeCell ref="A1:M1"/>
    <mergeCell ref="A2:M2"/>
    <mergeCell ref="A3:M3"/>
    <mergeCell ref="A4:M4"/>
    <mergeCell ref="A5:M5"/>
    <mergeCell ref="A6:M6"/>
    <mergeCell ref="A7:M7"/>
    <mergeCell ref="A8:M8"/>
    <mergeCell ref="A9:M9"/>
    <mergeCell ref="A10:M10"/>
    <mergeCell ref="A11:M11"/>
    <mergeCell ref="A12:M12"/>
    <mergeCell ref="A13:M13"/>
    <mergeCell ref="A14:M14"/>
    <mergeCell ref="A22:M22"/>
    <mergeCell ref="A23:M23"/>
    <mergeCell ref="A24:M24"/>
    <mergeCell ref="A25:M25"/>
    <mergeCell ref="A26:M26"/>
    <mergeCell ref="A27:M27"/>
    <mergeCell ref="A28:M28"/>
    <mergeCell ref="A29:M29"/>
    <mergeCell ref="A15:M15"/>
    <mergeCell ref="A16:M16"/>
    <mergeCell ref="A17:M17"/>
    <mergeCell ref="A18:M18"/>
    <mergeCell ref="A19:M19"/>
    <mergeCell ref="A20:M20"/>
    <mergeCell ref="A21:M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4.44"/>
    <col customWidth="1" min="2" max="2" width="28.89"/>
  </cols>
  <sheetData>
    <row r="1">
      <c r="A1" s="11" t="s">
        <v>15</v>
      </c>
    </row>
    <row r="2">
      <c r="A2" s="12"/>
      <c r="B2" s="12"/>
    </row>
    <row r="3">
      <c r="A3" s="13" t="s">
        <v>16</v>
      </c>
      <c r="B3" s="14" t="s">
        <v>17</v>
      </c>
    </row>
    <row r="4">
      <c r="A4" s="15"/>
      <c r="B4" s="16"/>
    </row>
    <row r="5">
      <c r="A5" s="17" t="s">
        <v>18</v>
      </c>
      <c r="B5" s="14">
        <v>20.0</v>
      </c>
    </row>
    <row r="6">
      <c r="A6" s="15"/>
      <c r="B6" s="16"/>
    </row>
    <row r="7">
      <c r="A7" s="18" t="s">
        <v>19</v>
      </c>
      <c r="B7" s="14">
        <v>100.0</v>
      </c>
    </row>
    <row r="8">
      <c r="A8" s="12"/>
      <c r="B8" s="12"/>
    </row>
    <row r="9">
      <c r="A9" s="19" t="s">
        <v>20</v>
      </c>
      <c r="B9" s="14" t="s">
        <v>17</v>
      </c>
    </row>
    <row r="10">
      <c r="A10" s="12"/>
      <c r="B10" s="12"/>
    </row>
    <row r="11">
      <c r="A11" s="13" t="s">
        <v>21</v>
      </c>
      <c r="B11" s="14" t="s">
        <v>22</v>
      </c>
    </row>
    <row r="12">
      <c r="A12" s="15"/>
      <c r="B12" s="16"/>
    </row>
    <row r="13">
      <c r="A13" s="18" t="s">
        <v>23</v>
      </c>
      <c r="B13" s="14" t="s">
        <v>24</v>
      </c>
    </row>
  </sheetData>
  <mergeCells count="1">
    <mergeCell ref="A1:B1"/>
  </mergeCells>
  <conditionalFormatting sqref="B5">
    <cfRule type="expression" dxfId="0" priority="1">
      <formula>B3&lt;&gt;"Automatic"</formula>
    </cfRule>
  </conditionalFormatting>
  <conditionalFormatting sqref="B7">
    <cfRule type="expression" dxfId="0" priority="2">
      <formula>B3&lt;&gt;"Automatic"</formula>
    </cfRule>
  </conditionalFormatting>
  <dataValidations>
    <dataValidation type="list" allowBlank="1" sqref="B9">
      <formula1>"Manual,Automatic"</formula1>
    </dataValidation>
    <dataValidation type="list" allowBlank="1" sqref="B3">
      <formula1>"Automatic,Manual"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1.22" defaultRowHeight="15.0"/>
  <cols>
    <col customWidth="1" min="1" max="1" width="10.78"/>
    <col customWidth="1" min="2" max="2" width="19.44"/>
    <col customWidth="1" min="3" max="3" width="20.67"/>
    <col customWidth="1" min="4" max="4" width="6.11"/>
    <col customWidth="1" min="5" max="5" width="12.44"/>
    <col customWidth="1" min="6" max="6" width="11.67"/>
    <col customWidth="1" min="7" max="7" width="11.44"/>
    <col customWidth="1" min="8" max="8" width="12.44"/>
    <col customWidth="1" min="9" max="9" width="11.67"/>
    <col customWidth="1" min="10" max="10" width="12.0"/>
    <col customWidth="1" min="11" max="11" width="0.44"/>
    <col customWidth="1" min="12" max="12" width="10.0"/>
    <col customWidth="1" min="13" max="16" width="11.44"/>
    <col customWidth="1" min="17" max="17" width="16.89"/>
    <col customWidth="1" min="18" max="18" width="11.44"/>
    <col customWidth="1" min="19" max="19" width="10.56"/>
    <col customWidth="1" min="20" max="20" width="13.33"/>
    <col customWidth="1" min="21" max="21" width="11.33"/>
    <col customWidth="1" min="22" max="22" width="10.44"/>
    <col customWidth="1" min="23" max="23" width="13.33"/>
    <col customWidth="1" min="24" max="24" width="11.11"/>
    <col customWidth="1" min="25" max="25" width="9.78"/>
    <col customWidth="1" hidden="1" min="26" max="26" width="5.0"/>
    <col customWidth="1" hidden="1" min="27" max="27" width="4.67"/>
    <col customWidth="1" min="28" max="28" width="16.67"/>
    <col customWidth="1" hidden="1" min="29" max="29" width="3.78"/>
    <col customWidth="1" min="30" max="30" width="11.11"/>
    <col customWidth="1" hidden="1" min="31" max="32" width="11.11"/>
    <col customWidth="1" min="33" max="33" width="11.11"/>
    <col customWidth="1" hidden="1" min="34" max="34" width="4.11"/>
    <col customWidth="1" min="35" max="35" width="11.11"/>
    <col customWidth="1" hidden="1" min="36" max="40" width="11.11"/>
    <col customWidth="1" min="41" max="44" width="11.11"/>
    <col customWidth="1" min="45" max="45" width="13.78"/>
    <col customWidth="1" min="46" max="47" width="11.11"/>
    <col customWidth="1" min="48" max="48" width="14.78"/>
    <col customWidth="1" min="49" max="49" width="11.44"/>
    <col customWidth="1" min="50" max="50" width="16.78"/>
    <col customWidth="1" min="51" max="51" width="12.11"/>
    <col customWidth="1" min="52" max="52" width="11.44"/>
    <col customWidth="1" min="53" max="53" width="9.78"/>
    <col customWidth="1" min="54" max="54" width="22.44"/>
    <col customWidth="1" min="55" max="56" width="11.11"/>
    <col customWidth="1" min="57" max="57" width="13.78"/>
    <col customWidth="1" min="58" max="58" width="12.67"/>
    <col customWidth="1" min="59" max="59" width="16.11"/>
    <col customWidth="1" hidden="1" min="60" max="65" width="14.56"/>
    <col customWidth="1" hidden="1" min="66" max="68" width="29.0"/>
    <col customWidth="1" min="69" max="69" width="29.0"/>
    <col customWidth="1" hidden="1" min="70" max="87" width="29.0"/>
    <col customWidth="1" hidden="1" min="88" max="93" width="35.78"/>
    <col customWidth="1" hidden="1" min="94" max="94" width="21.67"/>
  </cols>
  <sheetData>
    <row r="1" ht="13.5" customHeight="1">
      <c r="A1" s="20"/>
      <c r="B1" s="20" t="s">
        <v>25</v>
      </c>
      <c r="C1" s="21" t="s">
        <v>26</v>
      </c>
      <c r="D1" s="22">
        <f>IF(Preferences!B3="Automatic",Preferences!B5,"NA")</f>
        <v>20</v>
      </c>
      <c r="E1" s="23" t="s">
        <v>27</v>
      </c>
      <c r="F1" s="24"/>
      <c r="G1" s="24"/>
      <c r="H1" s="25"/>
      <c r="I1" s="25"/>
      <c r="J1" s="26"/>
      <c r="K1" s="27"/>
      <c r="L1" s="28"/>
      <c r="M1" s="28"/>
      <c r="N1" s="28"/>
      <c r="O1" s="28"/>
      <c r="P1" s="28"/>
      <c r="Q1" s="29"/>
      <c r="R1" s="28"/>
      <c r="S1" s="20"/>
      <c r="T1" s="30" t="s">
        <v>28</v>
      </c>
      <c r="U1" s="31"/>
      <c r="V1" s="31"/>
      <c r="W1" s="32"/>
      <c r="X1" s="32"/>
      <c r="Y1" s="33"/>
      <c r="Z1" s="34"/>
      <c r="AA1" s="34"/>
      <c r="AB1" s="35"/>
      <c r="AC1" s="36"/>
      <c r="AD1" s="35"/>
      <c r="AE1" s="34"/>
      <c r="AF1" s="34"/>
      <c r="AG1" s="35"/>
      <c r="AH1" s="34"/>
      <c r="AI1" s="35"/>
      <c r="AJ1" s="36"/>
      <c r="AK1" s="36"/>
      <c r="AL1" s="36"/>
      <c r="AM1" s="36"/>
      <c r="AN1" s="36"/>
      <c r="AO1" s="35"/>
      <c r="AP1" s="32"/>
      <c r="AQ1" s="32"/>
      <c r="AR1" s="32"/>
      <c r="AS1" s="32"/>
      <c r="AT1" s="32"/>
      <c r="AU1" s="20"/>
      <c r="AV1" s="37" t="s">
        <v>29</v>
      </c>
      <c r="AW1" s="37"/>
      <c r="AX1" s="37"/>
      <c r="AY1" s="37"/>
      <c r="AZ1" s="37"/>
      <c r="BA1" s="38"/>
      <c r="BB1" s="39"/>
      <c r="BC1" s="39"/>
      <c r="BD1" s="37"/>
      <c r="BE1" s="40"/>
      <c r="BF1" s="37"/>
      <c r="BG1" s="20"/>
      <c r="BH1" s="20"/>
      <c r="BI1" s="20"/>
      <c r="BJ1" s="20"/>
      <c r="BK1" s="20"/>
      <c r="BL1" s="20"/>
      <c r="BM1" s="20"/>
      <c r="BN1" s="20"/>
      <c r="BO1" s="20"/>
      <c r="BP1" s="20"/>
      <c r="BQ1" s="20"/>
      <c r="BR1" s="20"/>
      <c r="BS1" s="20"/>
      <c r="BT1" s="20"/>
      <c r="BU1" s="41"/>
      <c r="BV1" s="20"/>
      <c r="BW1" s="20"/>
      <c r="BX1" s="20"/>
      <c r="BY1" s="42"/>
      <c r="BZ1" s="20"/>
      <c r="CA1" s="20"/>
      <c r="CB1" s="20"/>
      <c r="CC1" s="43"/>
      <c r="CD1" s="20"/>
      <c r="CE1" s="20"/>
      <c r="CF1" s="20"/>
      <c r="CG1" s="44"/>
      <c r="CH1" s="45"/>
      <c r="CI1" s="46"/>
      <c r="CJ1" s="47" t="s">
        <v>30</v>
      </c>
      <c r="CK1" s="47"/>
      <c r="CL1" s="48" t="s">
        <v>31</v>
      </c>
      <c r="CM1" s="48" t="s">
        <v>32</v>
      </c>
      <c r="CN1" s="48" t="s">
        <v>33</v>
      </c>
      <c r="CO1" s="48" t="s">
        <v>34</v>
      </c>
      <c r="CP1" s="48" t="s">
        <v>35</v>
      </c>
    </row>
    <row r="2" ht="13.5" customHeight="1">
      <c r="A2" s="49" t="s">
        <v>36</v>
      </c>
      <c r="B2" s="20"/>
      <c r="C2" s="21" t="s">
        <v>37</v>
      </c>
      <c r="D2" s="50">
        <f>IF(Preferences!B3="Automatic",Preferences!B7,"NA")</f>
        <v>100</v>
      </c>
      <c r="E2" s="23" t="s">
        <v>38</v>
      </c>
      <c r="F2" s="24"/>
      <c r="G2" s="24"/>
      <c r="H2" s="51" t="s">
        <v>39</v>
      </c>
      <c r="I2" s="25"/>
      <c r="J2" s="26"/>
      <c r="K2" s="27"/>
      <c r="L2" s="28" t="s">
        <v>40</v>
      </c>
      <c r="M2" s="28"/>
      <c r="N2" s="28"/>
      <c r="O2" s="28"/>
      <c r="P2" s="28"/>
      <c r="Q2" s="29"/>
      <c r="R2" s="28"/>
      <c r="S2" s="20"/>
      <c r="T2" s="30" t="s">
        <v>38</v>
      </c>
      <c r="U2" s="31"/>
      <c r="V2" s="31"/>
      <c r="W2" s="52" t="s">
        <v>41</v>
      </c>
      <c r="X2" s="32"/>
      <c r="Y2" s="33"/>
      <c r="Z2" s="34"/>
      <c r="AA2" s="34"/>
      <c r="AB2" s="35"/>
      <c r="AC2" s="53"/>
      <c r="AD2" s="35"/>
      <c r="AE2" s="34"/>
      <c r="AF2" s="34"/>
      <c r="AG2" s="35"/>
      <c r="AH2" s="34"/>
      <c r="AI2" s="35"/>
      <c r="AJ2" s="36"/>
      <c r="AK2" s="36"/>
      <c r="AL2" s="36"/>
      <c r="AM2" s="36"/>
      <c r="AN2" s="36"/>
      <c r="AO2" s="35"/>
      <c r="AP2" s="32"/>
      <c r="AQ2" s="54" t="s">
        <v>40</v>
      </c>
      <c r="AR2" s="54"/>
      <c r="AS2" s="32"/>
      <c r="AT2" s="32"/>
      <c r="AU2" s="20"/>
      <c r="AV2" s="37" t="s">
        <v>38</v>
      </c>
      <c r="AW2" s="37"/>
      <c r="AX2" s="37"/>
      <c r="AY2" s="37" t="s">
        <v>39</v>
      </c>
      <c r="AZ2" s="37"/>
      <c r="BA2" s="38"/>
      <c r="BB2" s="39" t="s">
        <v>40</v>
      </c>
      <c r="BC2" s="39"/>
      <c r="BD2" s="55"/>
      <c r="BE2" s="40"/>
      <c r="BF2" s="37"/>
      <c r="BG2" s="20"/>
      <c r="BH2" s="20"/>
      <c r="BI2" s="20"/>
      <c r="BJ2" s="20"/>
      <c r="BK2" s="20"/>
      <c r="BL2" s="20"/>
      <c r="BM2" s="20"/>
      <c r="BN2" s="49" t="s">
        <v>42</v>
      </c>
      <c r="BO2" s="49" t="s">
        <v>43</v>
      </c>
      <c r="BP2" s="49" t="s">
        <v>44</v>
      </c>
      <c r="BQ2" s="49"/>
      <c r="BR2" s="49" t="s">
        <v>45</v>
      </c>
      <c r="BS2" s="49" t="s">
        <v>46</v>
      </c>
      <c r="BT2" s="49" t="s">
        <v>47</v>
      </c>
      <c r="BU2" s="56" t="s">
        <v>48</v>
      </c>
      <c r="BV2" s="49" t="s">
        <v>49</v>
      </c>
      <c r="BW2" s="49" t="s">
        <v>50</v>
      </c>
      <c r="BX2" s="49" t="s">
        <v>51</v>
      </c>
      <c r="BY2" s="57" t="s">
        <v>52</v>
      </c>
      <c r="BZ2" s="49" t="s">
        <v>53</v>
      </c>
      <c r="CA2" s="49" t="s">
        <v>54</v>
      </c>
      <c r="CB2" s="49" t="s">
        <v>55</v>
      </c>
      <c r="CC2" s="58" t="s">
        <v>56</v>
      </c>
      <c r="CD2" s="49" t="s">
        <v>57</v>
      </c>
      <c r="CE2" s="49" t="s">
        <v>58</v>
      </c>
      <c r="CF2" s="49" t="s">
        <v>59</v>
      </c>
      <c r="CG2" s="59" t="s">
        <v>60</v>
      </c>
      <c r="CH2" s="60" t="s">
        <v>61</v>
      </c>
      <c r="CI2" s="48" t="s">
        <v>62</v>
      </c>
      <c r="CJ2" s="47"/>
      <c r="CK2" s="61">
        <v>44549.0</v>
      </c>
      <c r="CL2" s="62"/>
      <c r="CM2" s="62"/>
      <c r="CN2" s="62"/>
      <c r="CO2" s="62"/>
      <c r="CP2" s="62"/>
    </row>
    <row r="3" ht="13.5" customHeight="1">
      <c r="A3" s="63"/>
      <c r="B3" s="64" t="s">
        <v>63</v>
      </c>
      <c r="C3" s="64" t="s">
        <v>64</v>
      </c>
      <c r="D3" s="64"/>
      <c r="E3" s="65" t="s">
        <v>65</v>
      </c>
      <c r="F3" s="65" t="s">
        <v>66</v>
      </c>
      <c r="G3" s="65" t="s">
        <v>67</v>
      </c>
      <c r="H3" s="66" t="s">
        <v>65</v>
      </c>
      <c r="I3" s="66" t="s">
        <v>66</v>
      </c>
      <c r="J3" s="67" t="s">
        <v>67</v>
      </c>
      <c r="K3" s="68"/>
      <c r="L3" s="69" t="s">
        <v>68</v>
      </c>
      <c r="M3" s="69" t="s">
        <v>69</v>
      </c>
      <c r="N3" s="69" t="s">
        <v>70</v>
      </c>
      <c r="O3" s="69" t="s">
        <v>71</v>
      </c>
      <c r="P3" s="70" t="s">
        <v>72</v>
      </c>
      <c r="Q3" s="29" t="s">
        <v>73</v>
      </c>
      <c r="R3" s="71" t="s">
        <v>74</v>
      </c>
      <c r="S3" s="64"/>
      <c r="T3" s="72" t="s">
        <v>65</v>
      </c>
      <c r="U3" s="72" t="s">
        <v>66</v>
      </c>
      <c r="V3" s="72" t="s">
        <v>67</v>
      </c>
      <c r="W3" s="73" t="s">
        <v>65</v>
      </c>
      <c r="X3" s="73" t="s">
        <v>66</v>
      </c>
      <c r="Y3" s="74" t="s">
        <v>67</v>
      </c>
      <c r="Z3" s="75"/>
      <c r="AA3" s="75"/>
      <c r="AB3" s="76" t="s">
        <v>75</v>
      </c>
      <c r="AC3" s="77" t="s">
        <v>76</v>
      </c>
      <c r="AD3" s="78" t="s">
        <v>77</v>
      </c>
      <c r="AE3" s="77"/>
      <c r="AF3" s="77"/>
      <c r="AG3" s="79" t="s">
        <v>78</v>
      </c>
      <c r="AH3" s="77" t="s">
        <v>76</v>
      </c>
      <c r="AI3" s="78" t="s">
        <v>79</v>
      </c>
      <c r="AJ3" s="77"/>
      <c r="AK3" s="77"/>
      <c r="AL3" s="77"/>
      <c r="AM3" s="77"/>
      <c r="AN3" s="77" t="s">
        <v>76</v>
      </c>
      <c r="AO3" s="80" t="s">
        <v>80</v>
      </c>
      <c r="AP3" s="81" t="s">
        <v>81</v>
      </c>
      <c r="AQ3" s="82" t="s">
        <v>82</v>
      </c>
      <c r="AR3" s="71" t="s">
        <v>72</v>
      </c>
      <c r="AS3" s="79" t="s">
        <v>73</v>
      </c>
      <c r="AT3" s="71" t="s">
        <v>74</v>
      </c>
      <c r="AU3" s="64"/>
      <c r="AV3" s="83" t="s">
        <v>65</v>
      </c>
      <c r="AW3" s="84" t="s">
        <v>83</v>
      </c>
      <c r="AX3" s="84" t="s">
        <v>84</v>
      </c>
      <c r="AY3" s="83" t="s">
        <v>65</v>
      </c>
      <c r="AZ3" s="83" t="s">
        <v>66</v>
      </c>
      <c r="BA3" s="85" t="s">
        <v>67</v>
      </c>
      <c r="BB3" s="86" t="s">
        <v>85</v>
      </c>
      <c r="BC3" s="70" t="s">
        <v>86</v>
      </c>
      <c r="BD3" s="83" t="s">
        <v>87</v>
      </c>
      <c r="BE3" s="40" t="s">
        <v>73</v>
      </c>
      <c r="BF3" s="87" t="s">
        <v>74</v>
      </c>
      <c r="BG3" s="56" t="s">
        <v>88</v>
      </c>
      <c r="BH3" s="88" t="s">
        <v>89</v>
      </c>
      <c r="BI3" s="89" t="s">
        <v>90</v>
      </c>
      <c r="BJ3" s="89" t="s">
        <v>91</v>
      </c>
      <c r="BK3" s="90" t="s">
        <v>92</v>
      </c>
      <c r="BL3" s="90" t="s">
        <v>93</v>
      </c>
      <c r="BM3" s="90" t="s">
        <v>94</v>
      </c>
      <c r="BN3" s="91" t="s">
        <v>95</v>
      </c>
      <c r="BO3" s="91" t="str">
        <f>(IFERROR(IFS(BU3="RoB","RoB,",BU3="RoBx2","RoBx2,",BU3="NA",""),"")&amp;IFERROR(IFS(BY3="RoB","Inconsistency,",BY3="RoBx2","Inconsistencyx2,",BY3="NA","")&amp;IFERROR(IFS(CC3="RoB","Indirectness,",CC3="RoBx2","Indirectnessx2,",CC3="NA",""),"")&amp;IFERROR(IFS(CG3="RoB","Publication bias,",CG3="RoBx2","Publication biasx2,",CG3="NA",""),"")&amp;IFERROR(IFS(CH3="Serious","Imprecision,",CG3="Very serious","Imprecisionx2,",CH3="Extremely serious","Imprecisionx3",CH3="Not serious",""),"")&amp;IFERROR(IFS(AQ3="Serious","Intransitivity,",AQ3="Very serious","Intransitivityx2,",AQ3="NA",""),"")&amp;IFERROR(IFS(BD3="Serious","Incoherence,",BD3="Very serious","Incoherencex2,",BD3="NA",""),"")))</f>
        <v/>
      </c>
      <c r="BP3" s="91"/>
      <c r="BQ3" s="92" t="s">
        <v>96</v>
      </c>
      <c r="BR3" s="93"/>
      <c r="BS3" s="90"/>
      <c r="BT3" s="90"/>
      <c r="BU3" s="94"/>
      <c r="BV3" s="90"/>
      <c r="BW3" s="90"/>
      <c r="BX3" s="90"/>
      <c r="BY3" s="95"/>
      <c r="BZ3" s="90"/>
      <c r="CA3" s="90"/>
      <c r="CB3" s="90"/>
      <c r="CC3" s="96"/>
      <c r="CD3" s="90"/>
      <c r="CE3" s="90"/>
      <c r="CF3" s="90"/>
      <c r="CG3" s="97"/>
      <c r="CH3" s="98"/>
      <c r="CI3" s="99"/>
      <c r="CJ3" s="47" t="s">
        <v>97</v>
      </c>
      <c r="CK3" s="100" t="s">
        <v>98</v>
      </c>
      <c r="CL3" s="101"/>
      <c r="CM3" s="101"/>
      <c r="CN3" s="101"/>
      <c r="CO3" s="101"/>
      <c r="CP3" s="101"/>
    </row>
    <row r="4" ht="13.5" customHeight="1">
      <c r="A4" s="63">
        <f>IF(ISBLANK(B4),"",1)</f>
        <v>1</v>
      </c>
      <c r="B4" s="102" t="s">
        <v>99</v>
      </c>
      <c r="C4" s="102" t="s">
        <v>24</v>
      </c>
      <c r="D4" s="103"/>
      <c r="E4" s="65">
        <v>2.85365853658537</v>
      </c>
      <c r="F4" s="65">
        <v>0.0932509948130405</v>
      </c>
      <c r="G4" s="65">
        <v>87.3249983320526</v>
      </c>
      <c r="H4" s="104">
        <v>54.5898914923401</v>
      </c>
      <c r="I4" s="104">
        <v>-29.1524689740922</v>
      </c>
      <c r="J4" s="105">
        <v>712.003137538558</v>
      </c>
      <c r="K4" s="106"/>
      <c r="L4" s="104" t="s">
        <v>100</v>
      </c>
      <c r="M4" s="104" t="s">
        <v>100</v>
      </c>
      <c r="N4" s="104" t="s">
        <v>100</v>
      </c>
      <c r="O4" s="104" t="s">
        <v>100</v>
      </c>
      <c r="P4" s="107" t="str">
        <f t="shared" ref="P4:P500" si="1">IF(OR(ISBLANK(L4),ISBLANK(M4),ISBLANK(N4),ISBLANK(O4)),"",if(OR(iserror(L4)=TRUE,iferror(L4="NA","NA")),"NA",ifs(4-(2*COUNTIF(L4:O4,"Very serious"))-countif(L4:O4,"Serious")=4,"HIGH",4-(2*COUNTIF(L4:O4,"Very serious"))-countif(L4:O4,"Serious")=3,"MODERATE",4-(2*COUNTIF(L4:O4,"Very serious"))-countif(L4:O4,"Serious")=2,"LOW",4-(2*COUNTIF(L4:O4,"Very serious"))-countif(L4:O4,"Serious")&lt;=1,"VERY LOW")))</f>
        <v>HIGH</v>
      </c>
      <c r="Q4" s="108" t="str">
        <f>IFERROR(IF(AND(Preferences!B$3="Manual",OR(AX4/AW4&gt;G4/F4,BD4="Serious",BD4="Very serious")),"Assess imprecision",IFS(ISBLANK(E4),"",AND(Preferences!B$3="Automatic", G4/F4&gt;=30),"Extremely serious",AND(H4&lt;=$D$1*-1,J4&lt;0,G4/F4&lt;3),"Not serious",AND(H4&lt;=$D$1*-1,J4&lt;0,G4/F4&gt;=3),"Very serious",AND(H4&gt;=$D$1,I4&gt;0,G4/F4&lt;3),"Not serious",AND(H4&gt;=$D$1,I4&gt;0,G4/F4&gt;=3),"Very serious",AND(H4&lt;=$D$1*-1,J4&gt;0,I4&gt;$D$2*-1,G4/F4&lt;3),"Serious", AND(H4&lt;=$D$1*-1,J4&gt;0,I4&lt;$D$2*-1,G4/F4&lt;3),"Very serious", AND(H4&gt;=$D$1,I4&lt;0,J4&lt;$D$2,G4/F4&lt;3),"Serious",AND(H4&gt;=$D$1,I4&lt;0,J4&gt;$D$2,G4/F4&lt;3),"Very serious", AND(H4&lt;=$D$1*-1,J4&gt;0,I4&gt;$D$2*-1,G4/F4&gt;=3),"Very serious", AND(H4&lt;=$D$1*-1,J4&gt;0,I4&lt;$D$2*-1,G4/F4&gt;=3),"Very serious", AND(H4&gt;=$D$1,I4&lt;0,J4&lt;$D$2,G4/F4&gt;=3),"Very serious", AND(H4&gt;=$D$1,I4&lt;0,J4&gt;$D$2,G4/F4&gt;=3),"Very serious", AND(H4&gt;$D$1*-1,H4&lt;$D$1,I4&gt;$D$1*-1,J4&lt;$D$1,G4/F4&lt;3),"Not serious", AND(H4&gt;$D$1*-1,H4&lt;$D$1,OR(I4&lt;=$D$1*-1,J4&gt;=$D$1),I4&gt;$D$2*-1,J4&lt;$D$2,G4/F4&lt;3),"Serious", AND(H4&gt;$D$1*-1,H4&lt;$D$1,OR(I4&lt;=$D$2*-1,J4&gt;=$D$2),G4/F4&lt;3),"Very serious", AND(H4&gt;$D$1*-1,H4&lt;$D$1,I4&gt;$D$1*-1,J4&lt;$D$1,G4/F4&gt;=3),"Very serious", AND(H4&gt;$D$1*-1,H4&lt;$D$1,OR(I4&lt;=$D$1*-1,J4&gt;=$D$1),I4&gt;$D$2*-1,J4&lt;$D$2,G4/F4&gt;=3),"Very serious", AND(H4&gt;$D$1*-1,H4&lt;$D$1,OR(I4&lt;=$D$2*-1,J4&gt;=$D$2),G4/F4&gt;=3),"Very serious")),"")</f>
        <v>Extremely serious</v>
      </c>
      <c r="R4" s="109" t="str">
        <f t="array" ref="R4">IFERROR(IFS(E4="NA","NA", AND(P4 = "HIGH",COUNTIF(Q4,"serious")&gt;=1),"MODERATE", AND(P4 = "HIGH",COUNTIF(Q4,"Very serious")&gt;=1),"LOW", AND(P4 = "HIGH",COUNTIF(Q4,"Extremely serious")&gt;=1),"VERY LOW", AND(P4 = "HIGH",COUNTIF(Q4,"Not serious")&gt;=1),P4, AND(P4 = "MODERATE",COUNTIF(Q4,"serious")&gt;=1),"LOW", AND(P4 = "MODERATE",COUNTIF(Q4,"Very serious")&gt;=1),"VERY LOW", AND(P4 = "MODERATE",COUNTIF(Q4,"Extremely serious")&gt;=1),"VERY LOW", AND(P4 = "MODERATE",COUNTIF(Q4,"Not serious")&gt;=1),P4, AND(P4 = "LOW",COUNTIF(Q4,"serious")&gt;=1),"VERY LOW", AND(P4 = "LOW",COUNTIF(Q4,"Very serious")&gt;=1),"VERY LOW", AND(P4 = "LOW",COUNTIF(Q4,"Extremely serious")&gt;=1),"VERY LOW", AND(P4 = "LOW",COUNTIF(Q4,"Not serious")&gt;=1),P4, P4 = "VERY LOW", P4),"")</f>
        <v>VERY LOW</v>
      </c>
      <c r="S4" s="110"/>
      <c r="T4" s="72" t="s">
        <v>101</v>
      </c>
      <c r="U4" s="111" t="s">
        <v>101</v>
      </c>
      <c r="V4" s="111" t="s">
        <v>101</v>
      </c>
      <c r="W4" s="111" t="s">
        <v>101</v>
      </c>
      <c r="X4" s="111" t="s">
        <v>101</v>
      </c>
      <c r="Y4" s="112" t="s">
        <v>101</v>
      </c>
      <c r="Z4" s="113" t="str">
        <f t="array" ref="Z4">INDEX($A$1:$C$500, MATCH(1,($B:$B=$B4)*($C:$C=$AB4),0),1)</f>
        <v>#N/A</v>
      </c>
      <c r="AA4" s="113" t="str">
        <f t="array" ref="AA4">INDEX($A$1:$C$500, MATCH(1,($B:$B=$AB4)*($C:$C=$B4),0),1)</f>
        <v>#N/A</v>
      </c>
      <c r="AB4" s="72"/>
      <c r="AC4" s="114" t="str">
        <f t="shared" ref="AC4:AC500" si="2">IF(ISNUMBER(Z4),Z4,AA4)</f>
        <v>#N/A</v>
      </c>
      <c r="AD4" s="115" t="str">
        <f t="shared" ref="AD4:AD500" si="3">IFERROR(INDEX($A$1:$R$500, MATCH(AC4,A:A,0),16),"")</f>
        <v/>
      </c>
      <c r="AE4" s="116" t="str">
        <f t="array" ref="AE4">INDEX($A$1:$C$500, MATCH(1,($B:$B=$AB4)*($C:$C=$AG4),0),1)</f>
        <v/>
      </c>
      <c r="AF4" s="116" t="str">
        <f t="array" ref="AF4">INDEX($A$1:$C$500, MATCH(1,($B:$B=$AG4)*($C:$C=$AB4),0),1)</f>
        <v/>
      </c>
      <c r="AG4" s="72"/>
      <c r="AH4" s="114" t="str">
        <f t="shared" ref="AH4:AH500" si="4">IF(ISNUMBER(AE4),AE4,AF4)</f>
        <v/>
      </c>
      <c r="AI4" s="115" t="str">
        <f t="shared" ref="AI4:AI500" si="5">IFERROR(INDEX($A$1:$R$500, MATCH(AH4,A:A,0),16),"")</f>
        <v/>
      </c>
      <c r="AJ4" s="116" t="str">
        <f t="array" ref="AJ4">INDEX($A$1:$C$500, MATCH(1,($B:$B=$C4)*($C:$C=$AG4),0),1)</f>
        <v>#N/A</v>
      </c>
      <c r="AK4" s="116" t="str">
        <f t="array" ref="AK4">INDEX($A$1:$C$500, MATCH(1,($B:$B=$AG4)*($C:$C=$C4),0),1)</f>
        <v>#N/A</v>
      </c>
      <c r="AL4" s="116" t="str">
        <f t="array" ref="AL4">INDEX($A$1:$C$500, MATCH(1,($B:$B=$C4)*($C:$C=$AB4),0),1)</f>
        <v>#N/A</v>
      </c>
      <c r="AM4" s="116" t="str">
        <f t="array" ref="AM4">INDEX($A$1:$C$500, MATCH(1,($B:$B=$AB4)*($C:$C=$C4),0),1)</f>
        <v>#N/A</v>
      </c>
      <c r="AN4" s="114" t="str">
        <f t="array" ref="AN4">IFS(ISNUMBER(AJ4),AJ4,ISNUMBER(AK4),AK4,ISNUMBER(AL4),AL4,ISNUMBER(AM4),AM4)</f>
        <v>#N/A</v>
      </c>
      <c r="AO4" s="115" t="str">
        <f t="shared" ref="AO4:AO500" si="6">IF(ISBLANK(AB4),"",INDEX($A$1:$R$500, MATCH(AN4,$A:$A,0),16))</f>
        <v/>
      </c>
      <c r="AP4" s="115" t="str">
        <f t="shared" ref="AP4:AP500" si="7">IF(ISBLANK(AB4),"",iferror(if(or(ifna(AD4,1)=1,ifna(AO4,1)=1),"#N/A",if(countif({AO4,AD4},"VERY LOW")&gt;=1,"VERY LOW",if(countif({AO4,AD4},"LOW")&gt;=1,"LOW",if(countif({AO4,AD4},"MODERATE")&gt;=1,"MODERATE",if(countif({AO4,AD4},"HIGH")&gt;=1,"HIGH","Check manually"))))),"#N/A"))</f>
        <v/>
      </c>
      <c r="AQ4" s="72"/>
      <c r="AR4" s="109" t="str">
        <f t="shared" ref="AR4:AR500" si="8">IF(OR(ISBLANK(AB4),ISBLANK(AQ4)),"",IFS(AND(AP4 = "HIGH",AQ4="Serious"),"MODERATE", AND(AP4 = "HIGH",AQ4="Not serious"),AP4, AND(AP4 = "MODERATE",AQ4="Serious"),"LOW", AND(AP4 = "MODERATE",AQ4 ="Not serious"),AP4, AND(AP4 = "LOW",AQ4="serious"),"VERY LOW", AND(AP4 = "LOW",AQ4="Not serious"),AP4, AND(AP4 = "HIGH",AQ4="Very serious"),"LOW", AND(AP4 = "MODERATE",AQ4="Very serious"),"VERY LOW", AND(AP4 = "LOW",AQ4="Very serious"),"VERY LOW", AP4 = "VERY LOW", AP4))</f>
        <v/>
      </c>
      <c r="AS4" s="72" t="str">
        <f>IFERROR(IF(AND(Preferences!B$3="Manual",OR(AX4/AW4&gt;V4/U4,BD4="Serious",BD4="Very serious")),"Assess imprecision",IFERROR(IFS(AND(Preferences!B$3="Automatic",V4/U4&gt;=30),"Extremely serious",AND(W4&lt;=$D$1*-1,Y4&lt;0,V4/U4&lt;3),"Not Serious",AND(W4&lt;=$D$1*-1,Y4&lt;0,V4/U4&gt;=3),"Very serious",AND(W4&gt;=$D$1,X4&gt;0,V4/U4&lt;3),"Not Serious",AND(W4&gt;=$D$1,X4&gt;0,V4/U4&gt;=3),"Very serious",AND(W4&lt;=$D$1*-1,Y4&gt;0,X4&gt;$D$2*-1,V4/U4&lt;3),"Serious", AND(W4&lt;=$D$1*-1,Y4&gt;0,X4&lt;$D$2*-1,V4/U4&lt;3),"Very serious", AND(W4&gt;=$D$1,X4&lt;0,Y4&lt;$D$2,V4/U4&lt;3),"Serious",AND(W4&gt;=$D$1,X4&lt;0,Y4&gt;$D$2,V4/U4&lt;3),"Very serious", AND(W4&lt;=$D$1*-1,Y4&gt;0,X4&gt;$D$2*-1,V4/U4&gt;=3),"Very serious", AND(W4&lt;=$D$1*-1,Y4&gt;0,X4&lt;$D$2*-1,V4/U4&gt;=3),"Very serious", AND(W4&gt;=$D$1,X4&lt;0,Y4&lt;$D$2,V4/U4&gt;=3),"Very serious", AND(W4&gt;=$D$1,X4&lt;0,Y4&gt;$D$2,V4/U4&gt;=3),"Very serious", AND(W4&gt;$D$1*-1,W4&lt;$D$1,X4&gt;$D$1*-1,Y4&lt;$D$1,V4/U4&lt;3),"Not Serious", AND(W4&gt;$D$1*-1,W4&lt;$D$1,OR(X4&lt;=$D$1*-1,Y4&gt;=$D$1),X4&gt;$D$2*-1,Y4&lt;$D$2,V4/U4&lt;3),"Serious", AND(W4&gt;$D$1*-1,W4&lt;$D$1,OR(X4&lt;=$D$2*-1,Y4&gt;=$D$2),V4/U4&lt;3),"Very serious", AND(W4&gt;$D$1*-1,W4&lt;$D$1,X4&gt;$D$1*-1,Y4&lt;$D$1,V4/U4&gt;=3),"Very serious", AND(W4&gt;$D$1*-1,W4&lt;$D$1,OR(X4&lt;=$D$1*-1,Y4&gt;=$D$1),X4&gt;$D$2*-1,Y4&lt;$D$2,V4/U4&gt;=3),"Very serious", AND(W4&gt;$D$1*-1,W4&lt;$D$1,OR(X4&lt;=$D$2*-1,Y4&gt;=$D$2),V4/U4&gt;=3),"Very serious"),"")),"")</f>
        <v/>
      </c>
      <c r="AT4" s="109" t="str">
        <f t="shared" ref="AT4:AT500" si="9">IFERROR(IFS(T4="NA","NA",AS4="","",AS4="Assess imprecision","", AND(AR4 = "HIGH",COUNTIF(AS4,"serious")&gt;=1),"MODERATE", AND(AR4 = "HIGH",COUNTIF(AS4,"Very serious")&gt;=1),"LOW", AND(AR4 = "HIGH",COUNTIF(AS4,"Extremely serious")&gt;=1),"VERY LOW", AND(AR4 = "HIGH",COUNTIF(AS4,"Not serious")&gt;=1),AR4, AND(AR4 = "MODERATE",COUNTIF(AS4,"serious")&gt;=1),"LOW", AND(AR4 = "MODERATE",COUNTIF(AS4,"Very serious")&gt;=1),"VERY LOW", AND(AR4 = "MODERATE",COUNTIF(AS4,"Extremely serious")&gt;=1),"VERY LOW", AND(AR4 = "MODERATE",COUNTIF(AS4,"Not serious")&gt;=1),AR4, AND(AR4 = "LOW",COUNTIF(AS4,"serious")&gt;=1),"VERY LOW", AND(AR4 = "LOW",COUNTIF(AS4,"Very serious")&gt;=1),"VERY LOW", AND(AR4 = "LOW",COUNTIF(AS4,"Extremely serious")&gt;=1),"VERY LOW", AND(AR4 = "LOW",COUNTIF(AS4,"Not serious")&gt;=1),AR4, AR4 = "VERY LOW", AR4),"")</f>
        <v>NA</v>
      </c>
      <c r="AU4" s="64"/>
      <c r="AV4" s="117">
        <v>2.85365853658537</v>
      </c>
      <c r="AW4" s="117">
        <v>0.0932509948130405</v>
      </c>
      <c r="AX4" s="117">
        <v>87.3249983320526</v>
      </c>
      <c r="AY4" s="118">
        <v>54.5898914923401</v>
      </c>
      <c r="AZ4" s="118">
        <v>-29.1524689740922</v>
      </c>
      <c r="BA4" s="119">
        <v>712.003137538558</v>
      </c>
      <c r="BB4" s="86" t="str">
        <f>IF(Preferences!B$9="Manual","",IFS(ISBLANK(B4),"",AND(ISNUMBER(E4)=TRUE,ISNUMBER(T4)=FALSE),"Direct", AND(ISNUMBER(E4)=FALSE,ISNUMBER(T4)=TRUE),"Indirect", CN4=4,"Direct",AND(CL4=FALSE, CM4=TRUE,CN4-CO4&gt;-1),"Direct", AND(CL4=FALSE,CM4=TRUE, CN4-CO4&lt;0),"Check algorithm in appendix 2", AND(CL4=TRUE, CM4=FALSE,CN4-CO4&gt;0),"Check algorithm in appendix 2", AND(CL4=TRUE, CM4=FALSE,CN4-CO4=0),"Indirect", AND(CL4=TRUE, CM4=FALSE,CN4-CO4&lt;0),"Indirect", AND(CL4=FALSE,CM4=FALSE,CN4-CO4&gt;-1),"Direct", AND(CL4=FALSE,CM4=FALSE,CN4-CO4&lt;0),"Check algorithm in appendix 2", AND(CL4=TRUE,CM4=TRUE,CN4-CO4&gt;-1),"Direct", AND(CL4=TRUE,CM4=TRUE,CN4-CO4&lt;0),"Check algorithm in appendix 2"))</f>
        <v>Direct</v>
      </c>
      <c r="BC4" s="120" t="str">
        <f t="shared" ref="BC4:BC500" si="10">IFS(BB4="Direct",P4,BB4="Indirect",AR4,BB4="","",BB4="Check algorithm in appendix 2","")</f>
        <v>HIGH</v>
      </c>
      <c r="BD4" s="121" t="s">
        <v>100</v>
      </c>
      <c r="BE4" s="122" t="str">
        <f>IF(Preferences!B$3="Manual","", IFERROR(IFS(AND(Preferences!B$3="Automatic",AX4/AW4&gt;=30),"Extremely serious",AND(AY4&lt;=$D$1*-1,BA4&lt;0,AX4/AW4&lt;3),"Not Serious",AND(AY4&lt;=$D$1*-1,BA4&lt;0,AX4/AW4&gt;=3),"Very serious",AND(AY4&gt;=$D$1,AZ4&gt;0,AX4/AW4&lt;3),"Not Serious",AND(AY4&gt;=$D$1,AZ4&gt;0,AX4/AW4&gt;=3),"Very serious",AND(AY4&lt;=$D$1*-1,BA4&gt;0,AZ4&gt;$D$2*-1,AX4/AW4&lt;3),"Serious", AND(AY4&lt;=$D$1*-1,BA4&gt;0,AZ4&lt;$D$2*-1,AX4/AW4&lt;3),"Very serious", AND(AY4&gt;=$D$1,AZ4&lt;0,BA4&lt;$D$2,AX4/AW4&lt;3),"Serious",AND(AY4&gt;=$D$1,AZ4&lt;0,BA4&gt;$D$2,AX4/AW4&lt;3),"Very serious", AND(AY4&lt;=$D$1*-1,BA4&gt;0,AZ4&gt;$D$2*-1,AX4/AW4&gt;=3),"Very serious", AND(AY4&lt;=$D$1*-1,BA4&gt;0,AZ4&lt;$D$2*-1,AX4/AW4&gt;=3),"Very serious", AND(AY4&gt;=$D$1,AZ4&lt;0,BA4&lt;$D$2,AX4/AW4&gt;=3),"Very serious", AND(AY4&gt;=$D$1,AZ4&lt;0,BA4&gt;$D$2,AX4/AW4&gt;=3),"Very serious", AND(AY4&gt;$D$1*-1,AY4&lt;$D$1,AZ4&gt;$D$1*-1,BA4&lt;$D$1,AX4/AW4&lt;3),"Not Serious", AND(AY4&gt;$D$1*-1,AY4&lt;$D$1,OR(AZ4&lt;=$D$1*-1,BA4&gt;=$D$1),AZ4&gt;$D$2*-1,BA4&lt;$D$2,AX4/AW4&lt;3),"Serious", AND(AY4&gt;$D$1*-1,AY4&lt;$D$1,OR(AZ4&lt;=$D$2*-1,BA4&gt;=$D$2),AX4/AW4&lt;3),"Very serious", AND(AY4&gt;$D$1*-1,AY4&lt;$D$1,AZ4&gt;$D$1*-1,BA4&lt;$D$1,AX4/AW4&gt;=3),"Very serious", AND(AY4&gt;$D$1*-1,AY4&lt;$D$1,OR(AZ4&lt;=$D$1*-1,BA4&gt;=$D$1),AZ4&gt;$D$2*-1,BA4&lt;$D$2,AX4/AW4&gt;=3),"Very serious", AND(AY4&gt;$D$1*-1,AY4&lt;$D$1,OR(AZ4&lt;=$D$2*-1,BA4&gt;=$D$2),AX4/AW4&gt;=3),"Very serious"),""))</f>
        <v>Extremely serious</v>
      </c>
      <c r="BF4" s="107" t="str">
        <f t="shared" ref="BF4:BF500" si="11">IF(OR(ISBLANK(BD4),AND(BE4&lt;&gt;"Not serious",BE4&lt;&gt;"Serious",BE4&lt;&gt;"Very serious",BE4&lt;&gt;"Extremely serious"),AS4="Assess imprecision",Q4="Assess imprecision"),"",IFERROR(IFS(BJ4-(2*COUNTIF(BD4,"Very serious")) - (2*COUNTIF(BE4,"Very serious"))- countif(BD4,"Serious") - countif(BE4,"Serious") - (3*countif(BE4,"Extremely serious"))=4,"HIGH", BJ4-(2*COUNTIF(BD4,"Very serious")) - (2*COUNTIF(BE4,"Very serious"))- countif(BD4,"Serious") - countif(BE4,"Serious") - (3*countif(BE4,"Extremely serious"))=3,"MODERATE", BJ4-(2*COUNTIF(BD4,"Very serious")) - (2*COUNTIF(BE4,"Very serious"))- countif(BD4,"Serious") - countif(BE4,"Serious") - (3*countif(BE4,"Extremely serious"))=2,"LOW", BJ4-(2*COUNTIF(BD4,"Very serious")) - (2*COUNTIF(BE4,"Very serious"))- countif(BD4,"Serious") - countif(BE4,"Serious") - (3*countif(BE4,"Extremely serious"))&lt;=1,"VERY LOW"),""))</f>
        <v>VERY LOW</v>
      </c>
      <c r="BG4" s="94" t="str">
        <f>IFERROR(IFS(BD4="Serious","Finalize Direct &amp; Indirect", BD4="Very serious","Finalize Direct &amp; Indirect", BF4="HIGH","NMA",R4="HIGH","DIRECT",AT4="HIGH","INDIRECT",BF4="MODERATE","NMA",R4="MODERATE","DIRECT",AT4="MODERATE","INDIRECT",BF4="LOW","NMA",R4="LOW","DIRECT",AT4="LOW","INDIRECT",BF4="VERY LOW","NMA",R4="VERY LOW","DIRECT",AT4="VERY LOW","INDIRECT"),"")</f>
        <v>NMA</v>
      </c>
      <c r="BH4" s="64" t="str">
        <f t="shared" ref="BH4:BH500" si="12">IFS(BG4="NMA",BK4,BG4="Direct",BL4,BG4="Indirect",BM4)</f>
        <v>NO</v>
      </c>
      <c r="BI4" s="64" t="str">
        <f t="shared" ref="BI4:BI500" si="13">if(OR(AV4&lt;=0.7,AV4&gt;=1.3),iferror(if(AX4/AW4&gt;=2.5,"Prelim Very serious",if(BA4-AZ4&gt;200,"Prelim Very serious","Check manually")),if(isblank(AW4)=TRUE,"",if(AW4=0,"Prelim very serious","Error"))),"Check manually")</f>
        <v>Prelim Very serious</v>
      </c>
      <c r="BJ4" s="123">
        <f t="shared" ref="BJ4:BJ500" si="14">ifs(BC4="HIGH",4,BC4="MODERATE",3,BC4="LOW",2,BC4="VERY LOW",1)</f>
        <v>4</v>
      </c>
      <c r="BK4" s="64" t="str">
        <f t="shared" ref="BK4:BK40" si="15">IF(AND(AW4&lt;1,AX4&gt;1),"NO","YES")</f>
        <v>NO</v>
      </c>
      <c r="BL4" s="64" t="str">
        <f t="shared" ref="BL4:BL500" si="16">IF(AND(F4&lt;1,G4&gt;1),"NO","YES")</f>
        <v>NO</v>
      </c>
      <c r="BM4" s="64" t="str">
        <f t="shared" ref="BM4:BM500" si="17">IF(AND(U4&lt;1,V4&gt;1),"NO","YES")</f>
        <v>YES</v>
      </c>
      <c r="BN4" s="124" t="str">
        <f t="shared" ref="BN4:BN500" si="18">(iferror(ifs(L4="Serious","RoB, ",L4="Very Serious","RoBx2, "),"")&amp;iferror(ifs(M4="Serious","Inconsistency, ",M4="Very Serious","Inconsistencyx2, "),"")&amp;iferror(ifs(N4="Serious","Indirectness, ",N4="Very serious","Indirectnessx2, "),"")&amp;iferror(ifs(O4="Serious","Publication bias, "),"")&amp;iferror(ifs(CH4="Serious","Imprecision, ",CH4="Very Serious","Imprecisionx2, ",CH4="Extremely serious","Imprecisionx3, "),"")&amp;iferror(ifs(CI4="Serious","Incoherence, ",CI4="Very Serious","Incoherencex2, ",CI4="NA","",CI4="Not serious",""),""))</f>
        <v>Imprecisionx3, </v>
      </c>
      <c r="BO4" s="91" t="str">
        <f t="shared" ref="BO4:BO500" si="19">(IFERROR(IFS(BU4="RoB","RoB, ",BU4="RoBx2","RoBx2, ",BU4="NA",""),"")&amp;IFERROR(IFS(BY4="RoB","Inconsistency, ",BY4="RoBx2","Inconsistencyx2, ",BY4="NA","")&amp;IFERROR(IFS(CC4="RoB","Indirectness, ",CC4="RoBx2","Indirectnessx2, ",CC4="NA",""),"")&amp;IFERROR(IFS(CG4="RoB","Publication bias, ",CG4="RoBx2","Publication biasx2, ",CG4="NA",""),"")&amp;IFERROR(IFS(CH4="Serious","Imprecision, ",CH4="Very serious","Imprecisionx2, ",CH4="Extremely serious","Imprecisionx3, ",CH4="Not serious",""),"")&amp;IFERROR(IFS(AQ4="Serious","Intransitivity, ",AQ4="Very serious","Intransitivityx2, ",AQ4="NA","",AQ4="Not serious",""),"")&amp;IFERROR(IFS(CI4="Serious","Incoherence, ",CI4="Very serious","Incoherencex2, ",CI4="NA","",CI4="Not serious",""),"")))</f>
        <v/>
      </c>
      <c r="BP4" s="91" t="str">
        <f t="shared" ref="BP4:BP500" si="20">IFS(BB4="Direct",BN4,BB4="Indirect",BO4)</f>
        <v>Imprecisionx3, </v>
      </c>
      <c r="BQ4" s="91" t="str">
        <f t="shared" ref="BQ4:BQ500" si="21">IFERROR(LEFT(BP4, LEN(BP4)-2),"")</f>
        <v>Imprecisionx3</v>
      </c>
      <c r="BR4" s="93" t="str">
        <f t="shared" ref="BR4:BR500" si="22">IFERROR(INDEX($A$4:$BF500,MATCH($AC4,$A$4:$A500,0),12),"NA")</f>
        <v>NA</v>
      </c>
      <c r="BS4" s="90" t="str">
        <f t="shared" ref="BS4:BS500" si="23">IFERROR(INDEX($A$4:$BF500,MATCH($AH4,$A$4:$A500,0),12),"NA")</f>
        <v/>
      </c>
      <c r="BT4" s="93" t="str">
        <f t="shared" ref="BT4:BT500" si="24">IFERROR(INDEX($A$4:$BF500,MATCH($AN4,$A$4:$A500,0),12),"NA")</f>
        <v>NA</v>
      </c>
      <c r="BU4" s="125" t="str">
        <f t="shared" ref="BU4:BU500" si="25">IFS(OR(BR4="Very Serious",BS4 = "Very Serious",BT4 = "Very Serious"), "RoBx2", OR(BR4="Serious",BS4 = "Serious",BT4 = "Serious"),"RoB", AND(BR4="NA",BS4 = "NA",BT4 = "NA"),"NA", OR(BR4="Not Serious",BS4 = "Not Serious",BT4 = "Not Serious"),"NA")</f>
        <v>#N/A</v>
      </c>
      <c r="BV4" s="93" t="str">
        <f t="shared" ref="BV4:BV500" si="26">IFERROR(INDEX($A$4:$BF500,MATCH($AC4,$A$4:$A500,0),13),"NA")</f>
        <v>NA</v>
      </c>
      <c r="BW4" s="93" t="str">
        <f t="shared" ref="BW4:BW500" si="27">IFERROR(INDEX($A$4:$BF500,MATCH($AH4,$A$4:$A500,0),13),"NA")</f>
        <v/>
      </c>
      <c r="BX4" s="93" t="str">
        <f t="shared" ref="BX4:BX500" si="28">IFERROR(INDEX($A$4:$BF500,MATCH($AN4,$A$4:$A500,0),13),"NA")</f>
        <v>NA</v>
      </c>
      <c r="BY4" s="95" t="str">
        <f t="shared" ref="BY4:BY500" si="29">IFS(OR(BV4="Very Serious",BW4 = "Very Serious",BX4 = "Very Serious"), "RoBx2", OR(BV4="Serious",BW4 = "Serious",BX4 = "Serious"),"RoB", AND(BV4="NA",BW4 = "NA",BX4 = "NA"),"NA", OR(BV4="Not Serious",BW4 = "Not Serious",BX4 = "Not Serious"),"NA")</f>
        <v>#N/A</v>
      </c>
      <c r="BZ4" s="93" t="str">
        <f t="shared" ref="BZ4:BZ500" si="30">IFERROR(INDEX($A$4:$BF500,MATCH($AC4,$A$4:$A500,0),14),"NA")</f>
        <v>NA</v>
      </c>
      <c r="CA4" s="93" t="str">
        <f t="shared" ref="CA4:CA500" si="31">IFERROR(INDEX($A$4:$BF500,MATCH($AH4,$A$4:$A500,0),14),"NA")</f>
        <v/>
      </c>
      <c r="CB4" s="93" t="str">
        <f t="shared" ref="CB4:CB500" si="32">IFERROR(INDEX($A$4:$BF500,MATCH($AN4,$A$4:$A500,0),14),"NA")</f>
        <v>NA</v>
      </c>
      <c r="CC4" s="96" t="str">
        <f t="shared" ref="CC4:CC500" si="33">IFS(OR(BZ4="Very Serious",CA4 = "Very Serious",CB4 = "Very Serious"), "RoBx2", OR(BZ4="Serious",CA4 = "Serious",CB4 = "Serious"),"RoB", AND(BZ4="NA",CA4 = "NA",CB4 = "NA"),"NA", OR(BZ4="Not Serious",CA4 = "Not Serious",CB4 = "Not Serious"),"NA")</f>
        <v>#N/A</v>
      </c>
      <c r="CD4" s="93" t="str">
        <f t="shared" ref="CD4:CD500" si="34">IFERROR(INDEX($A$4:$BF500,MATCH($AC4,$A$4:$A500,0),15),"NA")</f>
        <v>NA</v>
      </c>
      <c r="CE4" s="93" t="str">
        <f t="shared" ref="CE4:CE500" si="35">IFERROR(INDEX($A$4:$BF500,MATCH($AH4,$A$4:$A500,0),15),"NA")</f>
        <v/>
      </c>
      <c r="CF4" s="93" t="str">
        <f t="shared" ref="CF4:CF500" si="36">IFERROR(INDEX($A$4:$BF500,MATCH($AN4,$A$4:$A500,0),15),"NA")</f>
        <v>NA</v>
      </c>
      <c r="CG4" s="97" t="str">
        <f t="shared" ref="CG4:CG500" si="37">IFS(OR(CD4="Very Serious",CE4 = "Very Serious",CF4 = "Very Serious"), "RoBx2", OR(CD4="Serious",CE4 = "Serious",CF4 = "Serious"),"RoB", AND(CD4="NA",CE4 = "NA",CF4 = "NA"),"NA", OR(CD4="Not Serious",CE4 = "Not Serious",CF4 = "Not Serious"),"NA")</f>
        <v>#N/A</v>
      </c>
      <c r="CH4" s="98" t="str">
        <f t="shared" ref="CH4:CH500" si="38">IFS(BG4="NMA",BE4,BG4="Direct",Q4,BG4="Indirect",AS4)</f>
        <v>Extremely serious</v>
      </c>
      <c r="CI4" s="99" t="str">
        <f t="shared" ref="CI4:CI500" si="39">IFS(BG4="NMA",BD4,BG4="Direct","NA",BG4="Indirect","NA")</f>
        <v>Not serious</v>
      </c>
      <c r="CJ4" s="126" t="str">
        <f t="shared" ref="CJ4:CJ500" si="40">if(count(AV4:BA4)=6,if(abs(AY4)&gt;=$D$1, if(AY4&gt;0,if(OR(AZ4&lt;0,BA4&lt;0),if(and(BA4&gt;$D$2,AZ4&lt;$D$1),"2x, RD CIs very wide: Large harm to trivial effect or more","1x, RD CIs wide: crosses 0"),if(OR(AV4&gt;=1.3,AV4&lt;=0.7), if(and(count(AW4)=1,count(AX4)=1),if(round(AX4/AW4,2)&gt;=2.5,"Wide OR CI: OIS not met","No serious imprecision"),"ERROR: check cell"),"No serious imprecision")),if(OR(AZ4&gt;=0,BA4&gt;=0),if(and(AZ4&lt;(-1*$D$2),BA4&gt;(-1*$D$1)),"2x, RD CIs very wide: Large benefit to trivial effect or more","1x, RD CIs wide: crosses 0"),if(OR(AV4&gt;=1.3,AV4&lt;=0.7), if(and(count(AW4)=1,count(AX4)=1),if(round(AX4/AW4,2)&gt;=2.5,"Wide OR CI: OIS not met","No serious imprecision"),"ERROR: check cell"),"No serious imprecision"))),if(AY4&gt;0,if(OR(AZ4&lt;(-1*$D$1),BA4&gt;$D$1),if(and(BA4&gt;$D$2,AZ4&lt;$D$1),"2x, RD CIs very wide: Large harm to trivial effect or more","1x, RD CIs wide: crosses MID"),if(OR(AV4&gt;=1.3,AV4&lt;=0.7), if(and(count(AW4)=1,count(AX4)=1),if(round(AX4/AW4,2)&gt;=2.5,"Wide OR CI: OIS not met","No serious imprecision"),"ERROR: check cell"),"No serious imprecision")),if(OR(AZ4&lt;=(-1*$D$1),BA4&gt;=$D$1),if(and(AZ4&lt;(-1*$D$2),BA4&gt;(-1*$D$1)),"2x, RD CIs very wide: Large benefit to trivial effect or more","1x, RD CIs wide: crosses MID"),if(OR(AV4&gt;=1.3,AV4&lt;=0.7), if(and(count(AW4)=1,count(AX4)=1),if(round(AX4/AW4,2)&gt;=2.5,"Wide OR CI: OIS not met","No serious imprecision"),"ERROR: check cell"),"No serious imprecision")))),"ERROR: check cell")</f>
        <v>2x, RD CIs very wide: Large harm to trivial effect or more</v>
      </c>
      <c r="CK4" s="126"/>
      <c r="CL4" s="127" t="b">
        <f t="shared" ref="CL4:CL500" si="41">AND(OR(AX4/G4&lt;0.9,AX4/G4&gt;1.1),OR(AW4/F4&lt;0.9,AW4/F4&gt;1.1))</f>
        <v>0</v>
      </c>
      <c r="CM4" s="128" t="str">
        <f t="shared" ref="CM4:CM500" si="42">AND(OR(AX4/V4&lt;0.9,AX4/V4&gt;1.1),OR(AW4/U4&lt;0.9,AW4/U4&gt;1.1))</f>
        <v>#VALUE!</v>
      </c>
      <c r="CN4" s="128">
        <f t="shared" ref="CN4:CN500" si="43">(4-(3*COUNTIF(P4,"VERY LOW"))-2*countif(P4,"LOW")-1*countif(P4,"MODERATE"))</f>
        <v>4</v>
      </c>
      <c r="CO4" s="129">
        <f t="shared" ref="CO4:CO500" si="44">(4-(3*COUNTIF(AR4,"VERY LOW"))-2*countif(AR4,"LOW")-1*countif(AR4,"MODERATE"))</f>
        <v>4</v>
      </c>
      <c r="CP4" s="129" t="str">
        <f>IFS(C4=Preferences!B$13,B4,B4=Preferences!B$13,C4)</f>
        <v>A</v>
      </c>
    </row>
    <row r="5" ht="13.5" customHeight="1">
      <c r="A5" s="63">
        <f t="shared" ref="A5:A500" si="45">IF(ISBLANK(B5),"",A4+1)</f>
        <v>2</v>
      </c>
      <c r="B5" s="102" t="s">
        <v>102</v>
      </c>
      <c r="C5" s="102" t="s">
        <v>24</v>
      </c>
      <c r="D5" s="64"/>
      <c r="E5" s="65">
        <v>0.523436267251331</v>
      </c>
      <c r="F5" s="65">
        <v>0.328766647196289</v>
      </c>
      <c r="G5" s="65">
        <v>0.837525843292983</v>
      </c>
      <c r="H5" s="104">
        <v>-15.1058933618864</v>
      </c>
      <c r="I5" s="104">
        <v>-21.412972529494</v>
      </c>
      <c r="J5" s="105">
        <v>-5.09758733720871</v>
      </c>
      <c r="K5" s="106"/>
      <c r="L5" s="104" t="s">
        <v>103</v>
      </c>
      <c r="M5" s="104" t="s">
        <v>100</v>
      </c>
      <c r="N5" s="104" t="s">
        <v>100</v>
      </c>
      <c r="O5" s="104" t="s">
        <v>100</v>
      </c>
      <c r="P5" s="107" t="str">
        <f t="shared" si="1"/>
        <v>MODERATE</v>
      </c>
      <c r="Q5" s="108" t="str">
        <f>IFERROR(IF(AND(Preferences!B$3="Manual",OR(AX5/AW5&gt;G5/F5,BD5="Serious",BD5="Very serious")),"Assess imprecision",IFS(ISBLANK(E5),"",AND(Preferences!B$3="Automatic", G5/F5&gt;=30),"Extremely serious",AND(H5&lt;=$D$1*-1,J5&lt;0,G5/F5&lt;3),"Not serious",AND(H5&lt;=$D$1*-1,J5&lt;0,G5/F5&gt;=3),"Very serious",AND(H5&gt;=$D$1,I5&gt;0,G5/F5&lt;3),"Not serious",AND(H5&gt;=$D$1,I5&gt;0,G5/F5&gt;=3),"Very serious",AND(H5&lt;=$D$1*-1,J5&gt;0,I5&gt;$D$2*-1,G5/F5&lt;3),"Serious", AND(H5&lt;=$D$1*-1,J5&gt;0,I5&lt;$D$2*-1,G5/F5&lt;3),"Very serious", AND(H5&gt;=$D$1,I5&lt;0,J5&lt;$D$2,G5/F5&lt;3),"Serious",AND(H5&gt;=$D$1,I5&lt;0,J5&gt;$D$2,G5/F5&lt;3),"Very serious", AND(H5&lt;=$D$1*-1,J5&gt;0,I5&gt;$D$2*-1,G5/F5&gt;=3),"Very serious", AND(H5&lt;=$D$1*-1,J5&gt;0,I5&lt;$D$2*-1,G5/F5&gt;=3),"Very serious", AND(H5&gt;=$D$1,I5&lt;0,J5&lt;$D$2,G5/F5&gt;=3),"Very serious", AND(H5&gt;=$D$1,I5&lt;0,J5&gt;$D$2,G5/F5&gt;=3),"Very serious", AND(H5&gt;$D$1*-1,H5&lt;$D$1,I5&gt;$D$1*-1,J5&lt;$D$1,G5/F5&lt;3),"Not serious", AND(H5&gt;$D$1*-1,H5&lt;$D$1,OR(I5&lt;=$D$1*-1,J5&gt;=$D$1),I5&gt;$D$2*-1,J5&lt;$D$2,G5/F5&lt;3),"Serious", AND(H5&gt;$D$1*-1,H5&lt;$D$1,OR(I5&lt;=$D$2*-1,J5&gt;=$D$2),G5/F5&lt;3),"Very serious", AND(H5&gt;$D$1*-1,H5&lt;$D$1,I5&gt;$D$1*-1,J5&lt;$D$1,G5/F5&gt;=3),"Very serious", AND(H5&gt;$D$1*-1,H5&lt;$D$1,OR(I5&lt;=$D$1*-1,J5&gt;=$D$1),I5&gt;$D$2*-1,J5&lt;$D$2,G5/F5&gt;=3),"Very serious", AND(H5&gt;$D$1*-1,H5&lt;$D$1,OR(I5&lt;=$D$2*-1,J5&gt;=$D$2),G5/F5&gt;=3),"Very serious")),"")</f>
        <v>Serious</v>
      </c>
      <c r="R5" s="109" t="str">
        <f t="array" ref="R5">IFERROR(IFS(Q5="","",E5="NA","NA", AND(P5 = "HIGH",COUNTIF(Q5,"serious")&gt;=1),"MODERATE", AND(P5 = "HIGH",COUNTIF(Q5,"Very serious")&gt;=1),"LOW", AND(P5 = "HIGH",COUNTIF(Q5,"Extremely serious")&gt;=1),"VERY LOW", AND(P5 = "HIGH",COUNTIF(Q5,"Not serious")&gt;=1),P5, AND(P5 = "MODERATE",COUNTIF(Q5,"serious")&gt;=1),"LOW", AND(P5 = "MODERATE",COUNTIF(Q5,"Very serious")&gt;=1),"VERY LOW", AND(P5 = "MODERATE",COUNTIF(Q5,"Extremely serious")&gt;=1),"VERY LOW", AND(P5 = "MODERATE",COUNTIF(Q5,"Not serious")&gt;=1),P5, AND(P5 = "LOW",COUNTIF(Q5,"serious")&gt;=1),"VERY LOW", AND(P5 = "LOW",COUNTIF(Q5,"Very serious")&gt;=1),"VERY LOW", AND(P5 = "LOW",COUNTIF(Q5,"Extremely serious")&gt;=1),"VERY LOW", AND(P5 = "LOW",COUNTIF(Q5,"Not serious")&gt;=1),P5, P5 = "VERY LOW", P5),"")</f>
        <v>LOW</v>
      </c>
      <c r="S5" s="90"/>
      <c r="T5" s="72">
        <v>0.350853253237333</v>
      </c>
      <c r="U5" s="72">
        <v>0.0644854488695269</v>
      </c>
      <c r="V5" s="72">
        <v>1.80030283309618</v>
      </c>
      <c r="W5" s="72">
        <v>-20.6933230543939</v>
      </c>
      <c r="X5" s="72">
        <v>-30.1060675713102</v>
      </c>
      <c r="Y5" s="130">
        <v>24.3492802844733</v>
      </c>
      <c r="Z5" s="113">
        <f t="array" ref="Z5">INDEX($A$1:$C$500, MATCH(1,($B:$B=$B5)*($C:$C=$AB5),0),1)</f>
        <v>8</v>
      </c>
      <c r="AA5" s="113" t="str">
        <f t="array" ref="AA5">INDEX($A$1:$C$500, MATCH(1,($B:$B=$AB5)*($C:$C=$B5),0),1)</f>
        <v>#N/A</v>
      </c>
      <c r="AB5" s="111" t="s">
        <v>104</v>
      </c>
      <c r="AC5" s="114">
        <f t="shared" si="2"/>
        <v>8</v>
      </c>
      <c r="AD5" s="115" t="str">
        <f t="shared" si="3"/>
        <v>HIGH</v>
      </c>
      <c r="AE5" s="116" t="str">
        <f t="array" ref="AE5">INDEX($A$1:$C$500, MATCH(1,($B:$B=$AB5)*($C:$C=$AG5),0),1)</f>
        <v>#N/A</v>
      </c>
      <c r="AF5" s="116" t="str">
        <f t="array" ref="AF5">INDEX($A$1:$C$500, MATCH(1,($B:$B=$AG5)*($C:$C=$AB5),0),1)</f>
        <v>#N/A</v>
      </c>
      <c r="AG5" s="72"/>
      <c r="AH5" s="114" t="str">
        <f t="shared" si="4"/>
        <v>#N/A</v>
      </c>
      <c r="AI5" s="115" t="str">
        <f t="shared" si="5"/>
        <v/>
      </c>
      <c r="AJ5" s="116" t="str">
        <f t="array" ref="AJ5">INDEX($A$1:$C$500, MATCH(1,($B:$B=$C5)*($C:$C=$AG5),0),1)</f>
        <v>#N/A</v>
      </c>
      <c r="AK5" s="116" t="str">
        <f t="array" ref="AK5">INDEX($A$1:$C$500, MATCH(1,($B:$B=$AG5)*($C:$C=$C5),0),1)</f>
        <v>#N/A</v>
      </c>
      <c r="AL5" s="116" t="str">
        <f t="array" ref="AL5">INDEX($A$1:$C$500, MATCH(1,($B:$B=$C5)*($C:$C=$AB5),0),1)</f>
        <v>#N/A</v>
      </c>
      <c r="AM5" s="116">
        <f t="array" ref="AM5">INDEX($A$1:$C$500, MATCH(1,($B:$B=$AB5)*($C:$C=$C5),0),1)</f>
        <v>3</v>
      </c>
      <c r="AN5" s="114">
        <f t="array" ref="AN5">IFS(ISNUMBER(AJ5),AJ5,ISNUMBER(AK5),AK5,ISNUMBER(AL5),AL5,ISNUMBER(AM5),AM5)</f>
        <v>3</v>
      </c>
      <c r="AO5" s="115" t="str">
        <f t="shared" si="6"/>
        <v>MODERATE</v>
      </c>
      <c r="AP5" s="115" t="str">
        <f t="shared" si="7"/>
        <v>MODERATE</v>
      </c>
      <c r="AQ5" s="111" t="s">
        <v>100</v>
      </c>
      <c r="AR5" s="109" t="str">
        <f t="shared" si="8"/>
        <v>MODERATE</v>
      </c>
      <c r="AS5" s="72" t="str">
        <f>IFERROR(IF(AND(Preferences!B$3="Manual",OR(AX5/AW5&gt;V5/U5,BD5="Serious",BD5="Very serious")),"Assess imprecision",IFERROR(IFS(AND(Preferences!B$3="Automatic",V5/U5&gt;=30),"Extremely serious",AND(W5&lt;=$D$1*-1,Y5&lt;0,V5/U5&lt;3),"Not Serious",AND(W5&lt;=$D$1*-1,Y5&lt;0,V5/U5&gt;=3),"Very serious",AND(W5&gt;=$D$1,X5&gt;0,V5/U5&lt;3),"Not Serious",AND(W5&gt;=$D$1,X5&gt;0,V5/U5&gt;=3),"Very serious",AND(W5&lt;=$D$1*-1,Y5&gt;0,X5&gt;$D$2*-1,V5/U5&lt;3),"Serious", AND(W5&lt;=$D$1*-1,Y5&gt;0,X5&lt;$D$2*-1,V5/U5&lt;3),"Very serious", AND(W5&gt;=$D$1,X5&lt;0,Y5&lt;$D$2,V5/U5&lt;3),"Serious",AND(W5&gt;=$D$1,X5&lt;0,Y5&gt;$D$2,V5/U5&lt;3),"Very serious", AND(W5&lt;=$D$1*-1,Y5&gt;0,X5&gt;$D$2*-1,V5/U5&gt;=3),"Very serious", AND(W5&lt;=$D$1*-1,Y5&gt;0,X5&lt;$D$2*-1,V5/U5&gt;=3),"Very serious", AND(W5&gt;=$D$1,X5&lt;0,Y5&lt;$D$2,V5/U5&gt;=3),"Very serious", AND(W5&gt;=$D$1,X5&lt;0,Y5&gt;$D$2,V5/U5&gt;=3),"Very serious", AND(W5&gt;$D$1*-1,W5&lt;$D$1,X5&gt;$D$1*-1,Y5&lt;$D$1,V5/U5&lt;3),"Not Serious", AND(W5&gt;$D$1*-1,W5&lt;$D$1,OR(X5&lt;=$D$1*-1,Y5&gt;=$D$1),X5&gt;$D$2*-1,Y5&lt;$D$2,V5/U5&lt;3),"Serious", AND(W5&gt;$D$1*-1,W5&lt;$D$1,OR(X5&lt;=$D$2*-1,Y5&gt;=$D$2),V5/U5&lt;3),"Very serious", AND(W5&gt;$D$1*-1,W5&lt;$D$1,X5&gt;$D$1*-1,Y5&lt;$D$1,V5/U5&gt;=3),"Very serious", AND(W5&gt;$D$1*-1,W5&lt;$D$1,OR(X5&lt;=$D$1*-1,Y5&gt;=$D$1),X5&gt;$D$2*-1,Y5&lt;$D$2,V5/U5&gt;=3),"Very serious", AND(W5&gt;$D$1*-1,W5&lt;$D$1,OR(X5&lt;=$D$2*-1,Y5&gt;=$D$2),V5/U5&gt;=3),"Very serious"),"")),"")</f>
        <v>Very serious</v>
      </c>
      <c r="AT5" s="109" t="str">
        <f t="shared" si="9"/>
        <v>VERY LOW</v>
      </c>
      <c r="AU5" s="64"/>
      <c r="AV5" s="117">
        <v>0.497733741778361</v>
      </c>
      <c r="AW5" s="117">
        <v>0.316940886630582</v>
      </c>
      <c r="AX5" s="117">
        <v>0.777330239692637</v>
      </c>
      <c r="AY5" s="118">
        <v>-15.5349078679038</v>
      </c>
      <c r="AZ5" s="118">
        <v>-21.7248221828075</v>
      </c>
      <c r="BA5" s="119">
        <v>-7.23005605747387</v>
      </c>
      <c r="BB5" s="86" t="str">
        <f>IF(Preferences!B$9="Manual","",IFS(ISBLANK(B5),"",AND(ISNUMBER(E5)=TRUE,ISNUMBER(T5)=FALSE),"Direct", AND(ISNUMBER(E5)=FALSE,ISNUMBER(T5)=TRUE),"Indirect", CN5=4,"Direct",AND(CL5=FALSE, CM5=TRUE,CN5-CO5&gt;-1),"Direct", AND(CL5=FALSE,CM5=TRUE, CN5-CO5&lt;0),"Check algorithm in appendix 2", AND(CL5=TRUE, CM5=FALSE,CN5-CO5&gt;0),"Check algorithm in appendix 2", AND(CL5=TRUE, CM5=FALSE,CN5-CO5=0),"Indirect", AND(CL5=TRUE, CM5=FALSE,CN5-CO5&lt;0),"Indirect", AND(CL5=FALSE,CM5=FALSE,CN5-CO5&gt;-1),"Direct", AND(CL5=FALSE,CM5=FALSE,CN5-CO5&lt;0),"Check algorithm in appendix 2", AND(CL5=TRUE,CM5=TRUE,CN5-CO5&gt;-1),"Direct", AND(CL5=TRUE,CM5=TRUE,CN5-CO5&lt;0),"Check algorithm in appendix 2"))</f>
        <v>Direct</v>
      </c>
      <c r="BC5" s="120" t="str">
        <f t="shared" si="10"/>
        <v>MODERATE</v>
      </c>
      <c r="BD5" s="121" t="s">
        <v>100</v>
      </c>
      <c r="BE5" s="122" t="str">
        <f>IF(Preferences!B$3="Manual","", IFERROR(IFS(AND(Preferences!B$3="Automatic",AX5/AW5&gt;=30),"Extremely serious",AND(AY5&lt;=$D$1*-1,BA5&lt;0,AX5/AW5&lt;3),"Not Serious",AND(AY5&lt;=$D$1*-1,BA5&lt;0,AX5/AW5&gt;=3),"Very serious",AND(AY5&gt;=$D$1,AZ5&gt;0,AX5/AW5&lt;3),"Not Serious",AND(AY5&gt;=$D$1,AZ5&gt;0,AX5/AW5&gt;=3),"Very serious",AND(AY5&lt;=$D$1*-1,BA5&gt;0,AZ5&gt;$D$2*-1,AX5/AW5&lt;3),"Serious", AND(AY5&lt;=$D$1*-1,BA5&gt;0,AZ5&lt;$D$2*-1,AX5/AW5&lt;3),"Very serious", AND(AY5&gt;=$D$1,AZ5&lt;0,BA5&lt;$D$2,AX5/AW5&lt;3),"Serious",AND(AY5&gt;=$D$1,AZ5&lt;0,BA5&gt;$D$2,AX5/AW5&lt;3),"Very serious", AND(AY5&lt;=$D$1*-1,BA5&gt;0,AZ5&gt;$D$2*-1,AX5/AW5&gt;=3),"Very serious", AND(AY5&lt;=$D$1*-1,BA5&gt;0,AZ5&lt;$D$2*-1,AX5/AW5&gt;=3),"Very serious", AND(AY5&gt;=$D$1,AZ5&lt;0,BA5&lt;$D$2,AX5/AW5&gt;=3),"Very serious", AND(AY5&gt;=$D$1,AZ5&lt;0,BA5&gt;$D$2,AX5/AW5&gt;=3),"Very serious", AND(AY5&gt;$D$1*-1,AY5&lt;$D$1,AZ5&gt;$D$1*-1,BA5&lt;$D$1,AX5/AW5&lt;3),"Not Serious", AND(AY5&gt;$D$1*-1,AY5&lt;$D$1,OR(AZ5&lt;=$D$1*-1,BA5&gt;=$D$1),AZ5&gt;$D$2*-1,BA5&lt;$D$2,AX5/AW5&lt;3),"Serious", AND(AY5&gt;$D$1*-1,AY5&lt;$D$1,OR(AZ5&lt;=$D$2*-1,BA5&gt;=$D$2),AX5/AW5&lt;3),"Very serious", AND(AY5&gt;$D$1*-1,AY5&lt;$D$1,AZ5&gt;$D$1*-1,BA5&lt;$D$1,AX5/AW5&gt;=3),"Very serious", AND(AY5&gt;$D$1*-1,AY5&lt;$D$1,OR(AZ5&lt;=$D$1*-1,BA5&gt;=$D$1),AZ5&gt;$D$2*-1,BA5&lt;$D$2,AX5/AW5&gt;=3),"Very serious", AND(AY5&gt;$D$1*-1,AY5&lt;$D$1,OR(AZ5&lt;=$D$2*-1,BA5&gt;=$D$2),AX5/AW5&gt;=3),"Very serious"),""))</f>
        <v>Serious</v>
      </c>
      <c r="BF5" s="107" t="str">
        <f t="shared" si="11"/>
        <v>LOW</v>
      </c>
      <c r="BG5" s="94" t="str">
        <f t="shared" ref="BG5:BG500" si="46">IFERROR(IFS(BF5="HIGH","NMA",R5="HIGH","DIRECT",AT5="HIGH","INDIRECT",BF5="MODERATE","NMA",R5="MODERATE","DIRECT",AT5="MODERATE","INDIRECT",BF5="LOW","NMA",R5="LOW","DIRECT",AT5="LOW","INDIRECT",BF5="VERY LOW","NMA",R5="VERY LOW","DIRECT",AT5="VERY LOW","INDIRECT"),"")</f>
        <v>NMA</v>
      </c>
      <c r="BH5" s="64" t="str">
        <f t="shared" si="12"/>
        <v>YES</v>
      </c>
      <c r="BI5" s="64" t="str">
        <f t="shared" si="13"/>
        <v>Check manually</v>
      </c>
      <c r="BJ5" s="123">
        <f t="shared" si="14"/>
        <v>3</v>
      </c>
      <c r="BK5" s="64" t="str">
        <f t="shared" si="15"/>
        <v>YES</v>
      </c>
      <c r="BL5" s="64" t="str">
        <f t="shared" si="16"/>
        <v>YES</v>
      </c>
      <c r="BM5" s="64" t="str">
        <f t="shared" si="17"/>
        <v>NO</v>
      </c>
      <c r="BN5" s="124" t="str">
        <f t="shared" si="18"/>
        <v>RoB, Imprecision, </v>
      </c>
      <c r="BO5" s="91" t="str">
        <f t="shared" si="19"/>
        <v>RoB, Imprecision, </v>
      </c>
      <c r="BP5" s="91" t="str">
        <f t="shared" si="20"/>
        <v>RoB, Imprecision, </v>
      </c>
      <c r="BQ5" s="91" t="str">
        <f t="shared" si="21"/>
        <v>RoB, Imprecision</v>
      </c>
      <c r="BR5" s="93" t="str">
        <f t="shared" si="22"/>
        <v>Not serious</v>
      </c>
      <c r="BS5" s="90" t="str">
        <f t="shared" si="23"/>
        <v>NA</v>
      </c>
      <c r="BT5" s="93" t="str">
        <f t="shared" si="24"/>
        <v>Serious</v>
      </c>
      <c r="BU5" s="125" t="str">
        <f t="shared" si="25"/>
        <v>RoB</v>
      </c>
      <c r="BV5" s="93" t="str">
        <f t="shared" si="26"/>
        <v>Not serious</v>
      </c>
      <c r="BW5" s="93" t="str">
        <f t="shared" si="27"/>
        <v>NA</v>
      </c>
      <c r="BX5" s="93" t="str">
        <f t="shared" si="28"/>
        <v>Not serious</v>
      </c>
      <c r="BY5" s="95" t="str">
        <f t="shared" si="29"/>
        <v>NA</v>
      </c>
      <c r="BZ5" s="93" t="str">
        <f t="shared" si="30"/>
        <v>Not serious</v>
      </c>
      <c r="CA5" s="93" t="str">
        <f t="shared" si="31"/>
        <v>NA</v>
      </c>
      <c r="CB5" s="93" t="str">
        <f t="shared" si="32"/>
        <v>Not serious</v>
      </c>
      <c r="CC5" s="96" t="str">
        <f t="shared" si="33"/>
        <v>NA</v>
      </c>
      <c r="CD5" s="93" t="str">
        <f t="shared" si="34"/>
        <v>Not serious</v>
      </c>
      <c r="CE5" s="93" t="str">
        <f t="shared" si="35"/>
        <v>NA</v>
      </c>
      <c r="CF5" s="93" t="str">
        <f t="shared" si="36"/>
        <v>Not serious</v>
      </c>
      <c r="CG5" s="97" t="str">
        <f t="shared" si="37"/>
        <v>NA</v>
      </c>
      <c r="CH5" s="98" t="str">
        <f t="shared" si="38"/>
        <v>Serious</v>
      </c>
      <c r="CI5" s="99" t="str">
        <f t="shared" si="39"/>
        <v>Not serious</v>
      </c>
      <c r="CJ5" s="126" t="str">
        <f t="shared" si="40"/>
        <v>1x, RD CIs wide: crosses MID</v>
      </c>
      <c r="CK5" s="126"/>
      <c r="CL5" s="127" t="b">
        <f t="shared" si="41"/>
        <v>0</v>
      </c>
      <c r="CM5" s="128" t="b">
        <f t="shared" si="42"/>
        <v>1</v>
      </c>
      <c r="CN5" s="128">
        <f t="shared" si="43"/>
        <v>3</v>
      </c>
      <c r="CO5" s="129">
        <f t="shared" si="44"/>
        <v>3</v>
      </c>
      <c r="CP5" s="129" t="str">
        <f>IFS(C5=Preferences!B$13,B5,B5=Preferences!B$13,C5)</f>
        <v>B</v>
      </c>
    </row>
    <row r="6" ht="13.5" customHeight="1">
      <c r="A6" s="63">
        <f t="shared" si="45"/>
        <v>3</v>
      </c>
      <c r="B6" s="102" t="s">
        <v>104</v>
      </c>
      <c r="C6" s="102" t="s">
        <v>24</v>
      </c>
      <c r="D6" s="64"/>
      <c r="E6" s="65">
        <v>1.16666666666667</v>
      </c>
      <c r="F6" s="65">
        <v>0.225458928328147</v>
      </c>
      <c r="G6" s="65">
        <v>6.03682977268089</v>
      </c>
      <c r="H6" s="104">
        <v>5.17391622039159</v>
      </c>
      <c r="I6" s="104">
        <v>-24.7930166328756</v>
      </c>
      <c r="J6" s="105">
        <v>135.233869320089</v>
      </c>
      <c r="K6" s="106"/>
      <c r="L6" s="104" t="s">
        <v>103</v>
      </c>
      <c r="M6" s="104" t="s">
        <v>100</v>
      </c>
      <c r="N6" s="104" t="s">
        <v>100</v>
      </c>
      <c r="O6" s="104" t="s">
        <v>100</v>
      </c>
      <c r="P6" s="107" t="str">
        <f t="shared" si="1"/>
        <v>MODERATE</v>
      </c>
      <c r="Q6" s="108" t="str">
        <f>IFERROR(IF(AND(Preferences!B$3="Manual",OR(AX6/AW6&gt;G6/F6,BD6="Serious",BD6="Very serious")),"Assess imprecision",IFS(ISBLANK(E6),"",AND(Preferences!B$3="Automatic", G6/F6&gt;=30),"Extremely serious",AND(H6&lt;=$D$1*-1,J6&lt;0,G6/F6&lt;3),"Not serious",AND(H6&lt;=$D$1*-1,J6&lt;0,G6/F6&gt;=3),"Very serious",AND(H6&gt;=$D$1,I6&gt;0,G6/F6&lt;3),"Not serious",AND(H6&gt;=$D$1,I6&gt;0,G6/F6&gt;=3),"Very serious",AND(H6&lt;=$D$1*-1,J6&gt;0,I6&gt;$D$2*-1,G6/F6&lt;3),"Serious", AND(H6&lt;=$D$1*-1,J6&gt;0,I6&lt;$D$2*-1,G6/F6&lt;3),"Very serious", AND(H6&gt;=$D$1,I6&lt;0,J6&lt;$D$2,G6/F6&lt;3),"Serious",AND(H6&gt;=$D$1,I6&lt;0,J6&gt;$D$2,G6/F6&lt;3),"Very serious", AND(H6&lt;=$D$1*-1,J6&gt;0,I6&gt;$D$2*-1,G6/F6&gt;=3),"Very serious", AND(H6&lt;=$D$1*-1,J6&gt;0,I6&lt;$D$2*-1,G6/F6&gt;=3),"Very serious", AND(H6&gt;=$D$1,I6&lt;0,J6&lt;$D$2,G6/F6&gt;=3),"Very serious", AND(H6&gt;=$D$1,I6&lt;0,J6&gt;$D$2,G6/F6&gt;=3),"Very serious", AND(H6&gt;$D$1*-1,H6&lt;$D$1,I6&gt;$D$1*-1,J6&lt;$D$1,G6/F6&lt;3),"Not serious", AND(H6&gt;$D$1*-1,H6&lt;$D$1,OR(I6&lt;=$D$1*-1,J6&gt;=$D$1),I6&gt;$D$2*-1,J6&lt;$D$2,G6/F6&lt;3),"Serious", AND(H6&gt;$D$1*-1,H6&lt;$D$1,OR(I6&lt;=$D$2*-1,J6&gt;=$D$2),G6/F6&lt;3),"Very serious", AND(H6&gt;$D$1*-1,H6&lt;$D$1,I6&gt;$D$1*-1,J6&lt;$D$1,G6/F6&gt;=3),"Very serious", AND(H6&gt;$D$1*-1,H6&lt;$D$1,OR(I6&lt;=$D$1*-1,J6&gt;=$D$1),I6&gt;$D$2*-1,J6&lt;$D$2,G6/F6&gt;=3),"Very serious", AND(H6&gt;$D$1*-1,H6&lt;$D$1,OR(I6&lt;=$D$2*-1,J6&gt;=$D$2),G6/F6&gt;=3),"Very serious")),"")</f>
        <v>Very serious</v>
      </c>
      <c r="R6" s="109" t="str">
        <f t="shared" ref="R6:R500" si="47">IFERROR(IFS(E6="NA","NA", AND(P6 = "HIGH",COUNTIF(Q6,"serious")&gt;=1),"MODERATE", AND(P6 = "HIGH",COUNTIF(Q6,"Very serious")&gt;=1),"LOW", AND(P6 = "HIGH",COUNTIF(Q6,"Extremely serious")&gt;=1),"VERY LOW", AND(P6 = "HIGH",COUNTIF(Q6,"Not serious")&gt;=1),P6, AND(P6 = "MODERATE",COUNTIF(Q6,"serious")&gt;=1),"LOW", AND(P6 = "MODERATE",COUNTIF(Q6,"Very serious")&gt;=1),"VERY LOW", AND(P6 = "MODERATE",COUNTIF(Q6,"Extremely serious")&gt;=1),"VERY LOW", AND(P6 = "MODERATE",COUNTIF(Q6,"Not serious")&gt;=1),P6, AND(P6 = "LOW",COUNTIF(Q6,"serious")&gt;=1),"VERY LOW", AND(P6 = "LOW",COUNTIF(Q6,"Very serious")&gt;=1),"VERY LOW", AND(P6 = "LOW",COUNTIF(Q6,"Extremely serious")&gt;=1),"VERY LOW", AND(P6 = "LOW",COUNTIF(Q6,"Not serious")&gt;=1),P6, P6 = "VERY LOW", P6),"")</f>
        <v>VERY LOW</v>
      </c>
      <c r="S6" s="64"/>
      <c r="T6" s="72">
        <v>1.72109955149229</v>
      </c>
      <c r="U6" s="72">
        <v>0.630781655234616</v>
      </c>
      <c r="V6" s="72">
        <v>5.32198652031222</v>
      </c>
      <c r="W6" s="72">
        <v>21.9942812040454</v>
      </c>
      <c r="X6" s="72">
        <v>-11.6623052935443</v>
      </c>
      <c r="Y6" s="130">
        <v>118.38898083591</v>
      </c>
      <c r="Z6" s="113" t="str">
        <f t="array" ref="Z6">INDEX($A$1:$C$500, MATCH(1,($B:$B=$B6)*($C:$C=$AB6),0),1)</f>
        <v>#N/A</v>
      </c>
      <c r="AA6" s="113">
        <f t="array" ref="AA6">INDEX($A$1:$C$500, MATCH(1,($B:$B=$AB6)*($C:$C=$B6),0),1)</f>
        <v>8</v>
      </c>
      <c r="AB6" s="111" t="s">
        <v>102</v>
      </c>
      <c r="AC6" s="114">
        <f t="shared" si="2"/>
        <v>8</v>
      </c>
      <c r="AD6" s="115" t="str">
        <f t="shared" si="3"/>
        <v>HIGH</v>
      </c>
      <c r="AE6" s="116" t="str">
        <f t="array" ref="AE6">INDEX($A$1:$C$500, MATCH(1,($B:$B=$AB6)*($C:$C=$AG6),0),1)</f>
        <v>#N/A</v>
      </c>
      <c r="AF6" s="116" t="str">
        <f t="array" ref="AF6">INDEX($A$1:$C$500, MATCH(1,($B:$B=$AG6)*($C:$C=$AB6),0),1)</f>
        <v>#N/A</v>
      </c>
      <c r="AG6" s="72"/>
      <c r="AH6" s="114" t="str">
        <f t="shared" si="4"/>
        <v>#N/A</v>
      </c>
      <c r="AI6" s="115" t="str">
        <f t="shared" si="5"/>
        <v/>
      </c>
      <c r="AJ6" s="116" t="str">
        <f t="array" ref="AJ6">INDEX($A$1:$C$500, MATCH(1,($B:$B=$C6)*($C:$C=$AG6),0),1)</f>
        <v>#N/A</v>
      </c>
      <c r="AK6" s="116" t="str">
        <f t="array" ref="AK6">INDEX($A$1:$C$500, MATCH(1,($B:$B=$AG6)*($C:$C=$C6),0),1)</f>
        <v>#N/A</v>
      </c>
      <c r="AL6" s="116" t="str">
        <f t="array" ref="AL6">INDEX($A$1:$C$500, MATCH(1,($B:$B=$C6)*($C:$C=$AB6),0),1)</f>
        <v>#N/A</v>
      </c>
      <c r="AM6" s="116">
        <f t="array" ref="AM6">INDEX($A$1:$C$500, MATCH(1,($B:$B=$AB6)*($C:$C=$C6),0),1)</f>
        <v>2</v>
      </c>
      <c r="AN6" s="114">
        <f t="array" ref="AN6">IFS(ISNUMBER(AJ6),AJ6,ISNUMBER(AK6),AK6,ISNUMBER(AL6),AL6,ISNUMBER(AM6),AM6)</f>
        <v>2</v>
      </c>
      <c r="AO6" s="115" t="str">
        <f t="shared" si="6"/>
        <v>MODERATE</v>
      </c>
      <c r="AP6" s="115" t="str">
        <f t="shared" si="7"/>
        <v>MODERATE</v>
      </c>
      <c r="AQ6" s="111" t="s">
        <v>100</v>
      </c>
      <c r="AR6" s="109" t="str">
        <f t="shared" si="8"/>
        <v>MODERATE</v>
      </c>
      <c r="AS6" s="72" t="str">
        <f>IFERROR(IF(AND(Preferences!B$3="Manual",OR(AX6/AW6&gt;V6/U6,BD6="Serious",BD6="Very serious")),"Assess imprecision",IFERROR(IFS(AND(Preferences!B$3="Automatic",V6/U6&gt;=30),"Extremely serious",AND(W6&lt;=$D$1*-1,Y6&lt;0,V6/U6&lt;3),"Not Serious",AND(W6&lt;=$D$1*-1,Y6&lt;0,V6/U6&gt;=3),"Very serious",AND(W6&gt;=$D$1,X6&gt;0,V6/U6&lt;3),"Not Serious",AND(W6&gt;=$D$1,X6&gt;0,V6/U6&gt;=3),"Very serious",AND(W6&lt;=$D$1*-1,Y6&gt;0,X6&gt;$D$2*-1,V6/U6&lt;3),"Serious", AND(W6&lt;=$D$1*-1,Y6&gt;0,X6&lt;$D$2*-1,V6/U6&lt;3),"Very serious", AND(W6&gt;=$D$1,X6&lt;0,Y6&lt;$D$2,V6/U6&lt;3),"Serious",AND(W6&gt;=$D$1,X6&lt;0,Y6&gt;$D$2,V6/U6&lt;3),"Very serious", AND(W6&lt;=$D$1*-1,Y6&gt;0,X6&gt;$D$2*-1,V6/U6&gt;=3),"Very serious", AND(W6&lt;=$D$1*-1,Y6&gt;0,X6&lt;$D$2*-1,V6/U6&gt;=3),"Very serious", AND(W6&gt;=$D$1,X6&lt;0,Y6&lt;$D$2,V6/U6&gt;=3),"Very serious", AND(W6&gt;=$D$1,X6&lt;0,Y6&gt;$D$2,V6/U6&gt;=3),"Very serious", AND(W6&gt;$D$1*-1,W6&lt;$D$1,X6&gt;$D$1*-1,Y6&lt;$D$1,V6/U6&lt;3),"Not Serious", AND(W6&gt;$D$1*-1,W6&lt;$D$1,OR(X6&lt;=$D$1*-1,Y6&gt;=$D$1),X6&gt;$D$2*-1,Y6&lt;$D$2,V6/U6&lt;3),"Serious", AND(W6&gt;$D$1*-1,W6&lt;$D$1,OR(X6&lt;=$D$2*-1,Y6&gt;=$D$2),V6/U6&lt;3),"Very serious", AND(W6&gt;$D$1*-1,W6&lt;$D$1,X6&gt;$D$1*-1,Y6&lt;$D$1,V6/U6&gt;=3),"Very serious", AND(W6&gt;$D$1*-1,W6&lt;$D$1,OR(X6&lt;=$D$1*-1,Y6&gt;=$D$1),X6&gt;$D$2*-1,Y6&lt;$D$2,V6/U6&gt;=3),"Very serious", AND(W6&gt;$D$1*-1,W6&lt;$D$1,OR(X6&lt;=$D$2*-1,Y6&gt;=$D$2),V6/U6&gt;=3),"Very serious"),"")),"")</f>
        <v>Very serious</v>
      </c>
      <c r="AT6" s="109" t="str">
        <f t="shared" si="9"/>
        <v>VERY LOW</v>
      </c>
      <c r="AU6" s="64"/>
      <c r="AV6" s="117">
        <v>1.49073606301198</v>
      </c>
      <c r="AW6" s="117">
        <v>0.68663666401722</v>
      </c>
      <c r="AX6" s="117">
        <v>3.40811720665564</v>
      </c>
      <c r="AY6" s="118">
        <v>18.5446540018061</v>
      </c>
      <c r="AZ6" s="118">
        <v>-9.82644294404607</v>
      </c>
      <c r="BA6" s="119">
        <v>67.3923748488549</v>
      </c>
      <c r="BB6" s="86" t="str">
        <f>IF(Preferences!B$9="Manual","",IFS(ISBLANK(B6),"",AND(ISNUMBER(E6)=TRUE,ISNUMBER(T6)=FALSE),"Direct", AND(ISNUMBER(E6)=FALSE,ISNUMBER(T6)=TRUE),"Indirect", CN6=4,"Direct",AND(CL6=FALSE, CM6=TRUE,CN6-CO6&gt;-1),"Direct", AND(CL6=FALSE,CM6=TRUE, CN6-CO6&lt;0),"Check algorithm in appendix 2", AND(CL6=TRUE, CM6=FALSE,CN6-CO6&gt;0),"Check algorithm in appendix 2", AND(CL6=TRUE, CM6=FALSE,CN6-CO6=0),"Indirect", AND(CL6=TRUE, CM6=FALSE,CN6-CO6&lt;0),"Indirect", AND(CL6=FALSE,CM6=FALSE,CN6-CO6&gt;-1),"Direct", AND(CL6=FALSE,CM6=FALSE,CN6-CO6&lt;0),"Check algorithm in appendix 2", AND(CL6=TRUE,CM6=TRUE,CN6-CO6&gt;-1),"Direct", AND(CL6=TRUE,CM6=TRUE,CN6-CO6&lt;0),"Check algorithm in appendix 2"))</f>
        <v>Indirect</v>
      </c>
      <c r="BC6" s="120" t="str">
        <f t="shared" si="10"/>
        <v>MODERATE</v>
      </c>
      <c r="BD6" s="121" t="s">
        <v>100</v>
      </c>
      <c r="BE6" s="122" t="str">
        <f>IF(Preferences!B$3="Manual","", IFERROR(IFS(AND(Preferences!B$3="Automatic",AX6/AW6&gt;=30),"Extremely serious",AND(AY6&lt;=$D$1*-1,BA6&lt;0,AX6/AW6&lt;3),"Not Serious",AND(AY6&lt;=$D$1*-1,BA6&lt;0,AX6/AW6&gt;=3),"Very serious",AND(AY6&gt;=$D$1,AZ6&gt;0,AX6/AW6&lt;3),"Not Serious",AND(AY6&gt;=$D$1,AZ6&gt;0,AX6/AW6&gt;=3),"Very serious",AND(AY6&lt;=$D$1*-1,BA6&gt;0,AZ6&gt;$D$2*-1,AX6/AW6&lt;3),"Serious", AND(AY6&lt;=$D$1*-1,BA6&gt;0,AZ6&lt;$D$2*-1,AX6/AW6&lt;3),"Very serious", AND(AY6&gt;=$D$1,AZ6&lt;0,BA6&lt;$D$2,AX6/AW6&lt;3),"Serious",AND(AY6&gt;=$D$1,AZ6&lt;0,BA6&gt;$D$2,AX6/AW6&lt;3),"Very serious", AND(AY6&lt;=$D$1*-1,BA6&gt;0,AZ6&gt;$D$2*-1,AX6/AW6&gt;=3),"Very serious", AND(AY6&lt;=$D$1*-1,BA6&gt;0,AZ6&lt;$D$2*-1,AX6/AW6&gt;=3),"Very serious", AND(AY6&gt;=$D$1,AZ6&lt;0,BA6&lt;$D$2,AX6/AW6&gt;=3),"Very serious", AND(AY6&gt;=$D$1,AZ6&lt;0,BA6&gt;$D$2,AX6/AW6&gt;=3),"Very serious", AND(AY6&gt;$D$1*-1,AY6&lt;$D$1,AZ6&gt;$D$1*-1,BA6&lt;$D$1,AX6/AW6&lt;3),"Not Serious", AND(AY6&gt;$D$1*-1,AY6&lt;$D$1,OR(AZ6&lt;=$D$1*-1,BA6&gt;=$D$1),AZ6&gt;$D$2*-1,BA6&lt;$D$2,AX6/AW6&lt;3),"Serious", AND(AY6&gt;$D$1*-1,AY6&lt;$D$1,OR(AZ6&lt;=$D$2*-1,BA6&gt;=$D$2),AX6/AW6&lt;3),"Very serious", AND(AY6&gt;$D$1*-1,AY6&lt;$D$1,AZ6&gt;$D$1*-1,BA6&lt;$D$1,AX6/AW6&gt;=3),"Very serious", AND(AY6&gt;$D$1*-1,AY6&lt;$D$1,OR(AZ6&lt;=$D$1*-1,BA6&gt;=$D$1),AZ6&gt;$D$2*-1,BA6&lt;$D$2,AX6/AW6&gt;=3),"Very serious", AND(AY6&gt;$D$1*-1,AY6&lt;$D$1,OR(AZ6&lt;=$D$2*-1,BA6&gt;=$D$2),AX6/AW6&gt;=3),"Very serious"),""))</f>
        <v>Very serious</v>
      </c>
      <c r="BF6" s="107" t="str">
        <f t="shared" si="11"/>
        <v>VERY LOW</v>
      </c>
      <c r="BG6" s="94" t="str">
        <f t="shared" si="46"/>
        <v>NMA</v>
      </c>
      <c r="BH6" s="64" t="str">
        <f t="shared" si="12"/>
        <v>NO</v>
      </c>
      <c r="BI6" s="64" t="str">
        <f t="shared" si="13"/>
        <v>Prelim Very serious</v>
      </c>
      <c r="BJ6" s="123">
        <f t="shared" si="14"/>
        <v>3</v>
      </c>
      <c r="BK6" s="64" t="str">
        <f t="shared" si="15"/>
        <v>NO</v>
      </c>
      <c r="BL6" s="64" t="str">
        <f t="shared" si="16"/>
        <v>NO</v>
      </c>
      <c r="BM6" s="64" t="str">
        <f t="shared" si="17"/>
        <v>NO</v>
      </c>
      <c r="BN6" s="124" t="str">
        <f t="shared" si="18"/>
        <v>RoB, Imprecisionx2, </v>
      </c>
      <c r="BO6" s="91" t="str">
        <f t="shared" si="19"/>
        <v>RoB, Imprecisionx2, </v>
      </c>
      <c r="BP6" s="91" t="str">
        <f t="shared" si="20"/>
        <v>RoB, Imprecisionx2, </v>
      </c>
      <c r="BQ6" s="91" t="str">
        <f t="shared" si="21"/>
        <v>RoB, Imprecisionx2</v>
      </c>
      <c r="BR6" s="93" t="str">
        <f t="shared" si="22"/>
        <v>Not serious</v>
      </c>
      <c r="BS6" s="90" t="str">
        <f t="shared" si="23"/>
        <v>NA</v>
      </c>
      <c r="BT6" s="93" t="str">
        <f t="shared" si="24"/>
        <v>Serious</v>
      </c>
      <c r="BU6" s="125" t="str">
        <f t="shared" si="25"/>
        <v>RoB</v>
      </c>
      <c r="BV6" s="93" t="str">
        <f t="shared" si="26"/>
        <v>Not serious</v>
      </c>
      <c r="BW6" s="93" t="str">
        <f t="shared" si="27"/>
        <v>NA</v>
      </c>
      <c r="BX6" s="93" t="str">
        <f t="shared" si="28"/>
        <v>Not serious</v>
      </c>
      <c r="BY6" s="95" t="str">
        <f t="shared" si="29"/>
        <v>NA</v>
      </c>
      <c r="BZ6" s="93" t="str">
        <f t="shared" si="30"/>
        <v>Not serious</v>
      </c>
      <c r="CA6" s="93" t="str">
        <f t="shared" si="31"/>
        <v>NA</v>
      </c>
      <c r="CB6" s="93" t="str">
        <f t="shared" si="32"/>
        <v>Not serious</v>
      </c>
      <c r="CC6" s="96" t="str">
        <f t="shared" si="33"/>
        <v>NA</v>
      </c>
      <c r="CD6" s="93" t="str">
        <f t="shared" si="34"/>
        <v>Not serious</v>
      </c>
      <c r="CE6" s="93" t="str">
        <f t="shared" si="35"/>
        <v>NA</v>
      </c>
      <c r="CF6" s="93" t="str">
        <f t="shared" si="36"/>
        <v>Not serious</v>
      </c>
      <c r="CG6" s="97" t="str">
        <f t="shared" si="37"/>
        <v>NA</v>
      </c>
      <c r="CH6" s="98" t="str">
        <f t="shared" si="38"/>
        <v>Very serious</v>
      </c>
      <c r="CI6" s="99" t="str">
        <f t="shared" si="39"/>
        <v>Not serious</v>
      </c>
      <c r="CJ6" s="126" t="str">
        <f t="shared" si="40"/>
        <v>1x, RD CIs wide: crosses MID</v>
      </c>
      <c r="CK6" s="126" t="str">
        <f>if(AND(T6&lt;1=TRUE,E6&lt;1=TRUE)=TRUE,if(OR(AND(V6&gt;G6=TRUE,G6&gt;U6=TRUE),AND(G6&gt;V6=TRUE,V6&gt;F6=TRUE)=TRUE)=TRUE,"No serious incoherence","Quantitative incoherence (same direction of effect)"),if(AND(T6&gt;1=TRUE,E6&gt;1=TRUE)=TRUE,if(OR(AND(V6&gt;G6=TRUE,G6&gt;U6=TRUE),AND(G6&gt;V6=TRUE,V6&gt;F6=TRUE)=TRUE)=TRUE,"No serious incoherence","Quantitative incoherence (same direction of effect)"),if(OR(AND(T6&lt;1=TRUE,E6&gt;1=TRUE)=TRUE,AND(T6&gt;1=TRUE,E6&lt;1=TRUE)=TRUE)=TRUE,if(OR(AND(V6&gt;G6=TRUE,G6&gt;U6=TRUE),AND(G6&gt;V6=TRUE,V6&gt;F6=TRUE)=TRUE)=TRUE,"No serious incoherence","Qualitative incoherence (different direction of effect)"))))</f>
        <v>No serious incoherence</v>
      </c>
      <c r="CL6" s="127" t="b">
        <f t="shared" si="41"/>
        <v>1</v>
      </c>
      <c r="CM6" s="128" t="b">
        <f t="shared" si="42"/>
        <v>0</v>
      </c>
      <c r="CN6" s="128">
        <f t="shared" si="43"/>
        <v>3</v>
      </c>
      <c r="CO6" s="129">
        <f t="shared" si="44"/>
        <v>3</v>
      </c>
      <c r="CP6" s="129" t="str">
        <f>IFS(C6=Preferences!B$13,B6,B6=Preferences!B$13,C6)</f>
        <v>C</v>
      </c>
    </row>
    <row r="7" ht="13.5" customHeight="1">
      <c r="A7" s="63">
        <f t="shared" si="45"/>
        <v>4</v>
      </c>
      <c r="B7" s="90" t="s">
        <v>105</v>
      </c>
      <c r="C7" s="102" t="s">
        <v>24</v>
      </c>
      <c r="D7" s="64"/>
      <c r="E7" s="65">
        <v>1.01307189542484</v>
      </c>
      <c r="F7" s="65">
        <v>0.100914727748342</v>
      </c>
      <c r="G7" s="65">
        <v>10.1701725539362</v>
      </c>
      <c r="H7" s="104">
        <v>0.407806620935272</v>
      </c>
      <c r="I7" s="104">
        <v>-28.898718095576</v>
      </c>
      <c r="J7" s="105">
        <v>220.880646158382</v>
      </c>
      <c r="K7" s="131"/>
      <c r="L7" s="104" t="s">
        <v>100</v>
      </c>
      <c r="M7" s="104" t="s">
        <v>100</v>
      </c>
      <c r="N7" s="104" t="s">
        <v>100</v>
      </c>
      <c r="O7" s="104" t="s">
        <v>100</v>
      </c>
      <c r="P7" s="107" t="str">
        <f t="shared" si="1"/>
        <v>HIGH</v>
      </c>
      <c r="Q7" s="108" t="str">
        <f>IFERROR(IF(AND(Preferences!B$3="Manual",OR(AX7/AW7&gt;G7/F7,BD7="Serious",BD7="Very serious")),"Assess imprecision",IFS(ISBLANK(E7),"",AND(Preferences!B$3="Automatic", G7/F7&gt;=30),"Extremely serious",AND(H7&lt;=$D$1*-1,J7&lt;0,G7/F7&lt;3),"Not serious",AND(H7&lt;=$D$1*-1,J7&lt;0,G7/F7&gt;=3),"Very serious",AND(H7&gt;=$D$1,I7&gt;0,G7/F7&lt;3),"Not serious",AND(H7&gt;=$D$1,I7&gt;0,G7/F7&gt;=3),"Very serious",AND(H7&lt;=$D$1*-1,J7&gt;0,I7&gt;$D$2*-1,G7/F7&lt;3),"Serious", AND(H7&lt;=$D$1*-1,J7&gt;0,I7&lt;$D$2*-1,G7/F7&lt;3),"Very serious", AND(H7&gt;=$D$1,I7&lt;0,J7&lt;$D$2,G7/F7&lt;3),"Serious",AND(H7&gt;=$D$1,I7&lt;0,J7&gt;$D$2,G7/F7&lt;3),"Very serious", AND(H7&lt;=$D$1*-1,J7&gt;0,I7&gt;$D$2*-1,G7/F7&gt;=3),"Very serious", AND(H7&lt;=$D$1*-1,J7&gt;0,I7&lt;$D$2*-1,G7/F7&gt;=3),"Very serious", AND(H7&gt;=$D$1,I7&lt;0,J7&lt;$D$2,G7/F7&gt;=3),"Very serious", AND(H7&gt;=$D$1,I7&lt;0,J7&gt;$D$2,G7/F7&gt;=3),"Very serious", AND(H7&gt;$D$1*-1,H7&lt;$D$1,I7&gt;$D$1*-1,J7&lt;$D$1,G7/F7&lt;3),"Not serious", AND(H7&gt;$D$1*-1,H7&lt;$D$1,OR(I7&lt;=$D$1*-1,J7&gt;=$D$1),I7&gt;$D$2*-1,J7&lt;$D$2,G7/F7&lt;3),"Serious", AND(H7&gt;$D$1*-1,H7&lt;$D$1,OR(I7&lt;=$D$2*-1,J7&gt;=$D$2),G7/F7&lt;3),"Very serious", AND(H7&gt;$D$1*-1,H7&lt;$D$1,I7&gt;$D$1*-1,J7&lt;$D$1,G7/F7&gt;=3),"Very serious", AND(H7&gt;$D$1*-1,H7&lt;$D$1,OR(I7&lt;=$D$1*-1,J7&gt;=$D$1),I7&gt;$D$2*-1,J7&lt;$D$2,G7/F7&gt;=3),"Very serious", AND(H7&gt;$D$1*-1,H7&lt;$D$1,OR(I7&lt;=$D$2*-1,J7&gt;=$D$2),G7/F7&gt;=3),"Very serious")),"")</f>
        <v>Extremely serious</v>
      </c>
      <c r="R7" s="109" t="str">
        <f t="shared" si="47"/>
        <v>VERY LOW</v>
      </c>
      <c r="S7" s="64"/>
      <c r="T7" s="72" t="s">
        <v>101</v>
      </c>
      <c r="U7" s="111" t="s">
        <v>101</v>
      </c>
      <c r="V7" s="111" t="s">
        <v>101</v>
      </c>
      <c r="W7" s="111" t="s">
        <v>101</v>
      </c>
      <c r="X7" s="111" t="s">
        <v>101</v>
      </c>
      <c r="Y7" s="112" t="s">
        <v>101</v>
      </c>
      <c r="Z7" s="113" t="str">
        <f t="array" ref="Z7">INDEX($A$1:$C$500, MATCH(1,($B:$B=$B7)*($C:$C=$AB7),0),1)</f>
        <v>#N/A</v>
      </c>
      <c r="AA7" s="113" t="str">
        <f t="array" ref="AA7">INDEX($A$1:$C$500, MATCH(1,($B:$B=$AB7)*($C:$C=$B7),0),1)</f>
        <v>#N/A</v>
      </c>
      <c r="AB7" s="111"/>
      <c r="AC7" s="114" t="str">
        <f t="shared" si="2"/>
        <v>#N/A</v>
      </c>
      <c r="AD7" s="115" t="str">
        <f t="shared" si="3"/>
        <v/>
      </c>
      <c r="AE7" s="116" t="str">
        <f t="array" ref="AE7">INDEX($A$1:$C$500, MATCH(1,($B:$B=$AB7)*($C:$C=$AG7),0),1)</f>
        <v/>
      </c>
      <c r="AF7" s="116" t="str">
        <f t="array" ref="AF7">INDEX($A$1:$C$500, MATCH(1,($B:$B=$AG7)*($C:$C=$AB7),0),1)</f>
        <v/>
      </c>
      <c r="AG7" s="72"/>
      <c r="AH7" s="114" t="str">
        <f t="shared" si="4"/>
        <v/>
      </c>
      <c r="AI7" s="115" t="str">
        <f t="shared" si="5"/>
        <v/>
      </c>
      <c r="AJ7" s="116" t="str">
        <f t="array" ref="AJ7">INDEX($A$1:$C$500, MATCH(1,($B:$B=$C7)*($C:$C=$AG7),0),1)</f>
        <v>#N/A</v>
      </c>
      <c r="AK7" s="116" t="str">
        <f t="array" ref="AK7">INDEX($A$1:$C$500, MATCH(1,($B:$B=$AG7)*($C:$C=$C7),0),1)</f>
        <v>#N/A</v>
      </c>
      <c r="AL7" s="116" t="str">
        <f t="array" ref="AL7">INDEX($A$1:$C$500, MATCH(1,($B:$B=$C7)*($C:$C=$AB7),0),1)</f>
        <v>#N/A</v>
      </c>
      <c r="AM7" s="116" t="str">
        <f t="array" ref="AM7">INDEX($A$1:$C$500, MATCH(1,($B:$B=$AB7)*($C:$C=$C7),0),1)</f>
        <v>#N/A</v>
      </c>
      <c r="AN7" s="114" t="str">
        <f t="array" ref="AN7">IFS(ISNUMBER(AJ7),AJ7,ISNUMBER(AK7),AK7,ISNUMBER(AL7),AL7,ISNUMBER(AM7),AM7)</f>
        <v>#N/A</v>
      </c>
      <c r="AO7" s="115" t="str">
        <f t="shared" si="6"/>
        <v/>
      </c>
      <c r="AP7" s="115" t="str">
        <f t="shared" si="7"/>
        <v/>
      </c>
      <c r="AQ7" s="72"/>
      <c r="AR7" s="109" t="str">
        <f t="shared" si="8"/>
        <v/>
      </c>
      <c r="AS7" s="72" t="str">
        <f>IFERROR(IF(AND(Preferences!B$3="Manual",OR(AX7/AW7&gt;V7/U7,BD7="Serious",BD7="Very serious")),"Assess imprecision",IFERROR(IFS(AND(Preferences!B$3="Automatic",V7/U7&gt;=30),"Extremely serious",AND(W7&lt;=$D$1*-1,Y7&lt;0,V7/U7&lt;3),"Not Serious",AND(W7&lt;=$D$1*-1,Y7&lt;0,V7/U7&gt;=3),"Very serious",AND(W7&gt;=$D$1,X7&gt;0,V7/U7&lt;3),"Not Serious",AND(W7&gt;=$D$1,X7&gt;0,V7/U7&gt;=3),"Very serious",AND(W7&lt;=$D$1*-1,Y7&gt;0,X7&gt;$D$2*-1,V7/U7&lt;3),"Serious", AND(W7&lt;=$D$1*-1,Y7&gt;0,X7&lt;$D$2*-1,V7/U7&lt;3),"Very serious", AND(W7&gt;=$D$1,X7&lt;0,Y7&lt;$D$2,V7/U7&lt;3),"Serious",AND(W7&gt;=$D$1,X7&lt;0,Y7&gt;$D$2,V7/U7&lt;3),"Very serious", AND(W7&lt;=$D$1*-1,Y7&gt;0,X7&gt;$D$2*-1,V7/U7&gt;=3),"Very serious", AND(W7&lt;=$D$1*-1,Y7&gt;0,X7&lt;$D$2*-1,V7/U7&gt;=3),"Very serious", AND(W7&gt;=$D$1,X7&lt;0,Y7&lt;$D$2,V7/U7&gt;=3),"Very serious", AND(W7&gt;=$D$1,X7&lt;0,Y7&gt;$D$2,V7/U7&gt;=3),"Very serious", AND(W7&gt;$D$1*-1,W7&lt;$D$1,X7&gt;$D$1*-1,Y7&lt;$D$1,V7/U7&lt;3),"Not Serious", AND(W7&gt;$D$1*-1,W7&lt;$D$1,OR(X7&lt;=$D$1*-1,Y7&gt;=$D$1),X7&gt;$D$2*-1,Y7&lt;$D$2,V7/U7&lt;3),"Serious", AND(W7&gt;$D$1*-1,W7&lt;$D$1,OR(X7&lt;=$D$2*-1,Y7&gt;=$D$2),V7/U7&lt;3),"Very serious", AND(W7&gt;$D$1*-1,W7&lt;$D$1,X7&gt;$D$1*-1,Y7&lt;$D$1,V7/U7&gt;=3),"Very serious", AND(W7&gt;$D$1*-1,W7&lt;$D$1,OR(X7&lt;=$D$1*-1,Y7&gt;=$D$1),X7&gt;$D$2*-1,Y7&lt;$D$2,V7/U7&gt;=3),"Very serious", AND(W7&gt;$D$1*-1,W7&lt;$D$1,OR(X7&lt;=$D$2*-1,Y7&gt;=$D$2),V7/U7&gt;=3),"Very serious"),"")),"")</f>
        <v/>
      </c>
      <c r="AT7" s="109" t="str">
        <f t="shared" si="9"/>
        <v>NA</v>
      </c>
      <c r="AU7" s="123"/>
      <c r="AV7" s="117">
        <v>1.01307189542484</v>
      </c>
      <c r="AW7" s="117">
        <v>0.100914727748342</v>
      </c>
      <c r="AX7" s="117">
        <v>10.1701725539362</v>
      </c>
      <c r="AY7" s="118">
        <v>0.407806620935272</v>
      </c>
      <c r="AZ7" s="118">
        <v>-28.898718095576</v>
      </c>
      <c r="BA7" s="119">
        <v>220.880646158382</v>
      </c>
      <c r="BB7" s="86" t="str">
        <f>IF(Preferences!B$9="Manual","",IFS(ISBLANK(B7),"",AND(ISNUMBER(E7)=TRUE,ISNUMBER(T7)=FALSE),"Direct", AND(ISNUMBER(E7)=FALSE,ISNUMBER(T7)=TRUE),"Indirect", CN7=4,"Direct",AND(CL7=FALSE, CM7=TRUE,CN7-CO7&gt;-1),"Direct", AND(CL7=FALSE,CM7=TRUE, CN7-CO7&lt;0),"Check algorithm in appendix 2", AND(CL7=TRUE, CM7=FALSE,CN7-CO7&gt;0),"Check algorithm in appendix 2", AND(CL7=TRUE, CM7=FALSE,CN7-CO7=0),"Indirect", AND(CL7=TRUE, CM7=FALSE,CN7-CO7&lt;0),"Indirect", AND(CL7=FALSE,CM7=FALSE,CN7-CO7&gt;-1),"Direct", AND(CL7=FALSE,CM7=FALSE,CN7-CO7&lt;0),"Check algorithm in appendix 2", AND(CL7=TRUE,CM7=TRUE,CN7-CO7&gt;-1),"Direct", AND(CL7=TRUE,CM7=TRUE,CN7-CO7&lt;0),"Check algorithm in appendix 2"))</f>
        <v>Direct</v>
      </c>
      <c r="BC7" s="120" t="str">
        <f t="shared" si="10"/>
        <v>HIGH</v>
      </c>
      <c r="BD7" s="122" t="s">
        <v>100</v>
      </c>
      <c r="BE7" s="122" t="str">
        <f>IF(Preferences!B$3="Manual","", IFERROR(IFS(AND(Preferences!B$3="Automatic",AX7/AW7&gt;=30),"Extremely serious",AND(AY7&lt;=$D$1*-1,BA7&lt;0,AX7/AW7&lt;3),"Not Serious",AND(AY7&lt;=$D$1*-1,BA7&lt;0,AX7/AW7&gt;=3),"Very serious",AND(AY7&gt;=$D$1,AZ7&gt;0,AX7/AW7&lt;3),"Not Serious",AND(AY7&gt;=$D$1,AZ7&gt;0,AX7/AW7&gt;=3),"Very serious",AND(AY7&lt;=$D$1*-1,BA7&gt;0,AZ7&gt;$D$2*-1,AX7/AW7&lt;3),"Serious", AND(AY7&lt;=$D$1*-1,BA7&gt;0,AZ7&lt;$D$2*-1,AX7/AW7&lt;3),"Very serious", AND(AY7&gt;=$D$1,AZ7&lt;0,BA7&lt;$D$2,AX7/AW7&lt;3),"Serious",AND(AY7&gt;=$D$1,AZ7&lt;0,BA7&gt;$D$2,AX7/AW7&lt;3),"Very serious", AND(AY7&lt;=$D$1*-1,BA7&gt;0,AZ7&gt;$D$2*-1,AX7/AW7&gt;=3),"Very serious", AND(AY7&lt;=$D$1*-1,BA7&gt;0,AZ7&lt;$D$2*-1,AX7/AW7&gt;=3),"Very serious", AND(AY7&gt;=$D$1,AZ7&lt;0,BA7&lt;$D$2,AX7/AW7&gt;=3),"Very serious", AND(AY7&gt;=$D$1,AZ7&lt;0,BA7&gt;$D$2,AX7/AW7&gt;=3),"Very serious", AND(AY7&gt;$D$1*-1,AY7&lt;$D$1,AZ7&gt;$D$1*-1,BA7&lt;$D$1,AX7/AW7&lt;3),"Not Serious", AND(AY7&gt;$D$1*-1,AY7&lt;$D$1,OR(AZ7&lt;=$D$1*-1,BA7&gt;=$D$1),AZ7&gt;$D$2*-1,BA7&lt;$D$2,AX7/AW7&lt;3),"Serious", AND(AY7&gt;$D$1*-1,AY7&lt;$D$1,OR(AZ7&lt;=$D$2*-1,BA7&gt;=$D$2),AX7/AW7&lt;3),"Very serious", AND(AY7&gt;$D$1*-1,AY7&lt;$D$1,AZ7&gt;$D$1*-1,BA7&lt;$D$1,AX7/AW7&gt;=3),"Very serious", AND(AY7&gt;$D$1*-1,AY7&lt;$D$1,OR(AZ7&lt;=$D$1*-1,BA7&gt;=$D$1),AZ7&gt;$D$2*-1,BA7&lt;$D$2,AX7/AW7&gt;=3),"Very serious", AND(AY7&gt;$D$1*-1,AY7&lt;$D$1,OR(AZ7&lt;=$D$2*-1,BA7&gt;=$D$2),AX7/AW7&gt;=3),"Very serious"),""))</f>
        <v>Extremely serious</v>
      </c>
      <c r="BF7" s="107" t="str">
        <f t="shared" si="11"/>
        <v>VERY LOW</v>
      </c>
      <c r="BG7" s="94" t="str">
        <f t="shared" si="46"/>
        <v>NMA</v>
      </c>
      <c r="BH7" s="64" t="str">
        <f t="shared" si="12"/>
        <v>NO</v>
      </c>
      <c r="BI7" s="64" t="str">
        <f t="shared" si="13"/>
        <v>Check manually</v>
      </c>
      <c r="BJ7" s="123">
        <f t="shared" si="14"/>
        <v>4</v>
      </c>
      <c r="BK7" s="64" t="str">
        <f t="shared" si="15"/>
        <v>NO</v>
      </c>
      <c r="BL7" s="64" t="str">
        <f t="shared" si="16"/>
        <v>NO</v>
      </c>
      <c r="BM7" s="64" t="str">
        <f t="shared" si="17"/>
        <v>YES</v>
      </c>
      <c r="BN7" s="124" t="str">
        <f t="shared" si="18"/>
        <v>Imprecisionx3, </v>
      </c>
      <c r="BO7" s="91" t="str">
        <f t="shared" si="19"/>
        <v/>
      </c>
      <c r="BP7" s="91" t="str">
        <f t="shared" si="20"/>
        <v>Imprecisionx3, </v>
      </c>
      <c r="BQ7" s="91" t="str">
        <f t="shared" si="21"/>
        <v>Imprecisionx3</v>
      </c>
      <c r="BR7" s="93" t="str">
        <f t="shared" si="22"/>
        <v>NA</v>
      </c>
      <c r="BS7" s="90" t="str">
        <f t="shared" si="23"/>
        <v/>
      </c>
      <c r="BT7" s="93" t="str">
        <f t="shared" si="24"/>
        <v>NA</v>
      </c>
      <c r="BU7" s="125" t="str">
        <f t="shared" si="25"/>
        <v>#N/A</v>
      </c>
      <c r="BV7" s="93" t="str">
        <f t="shared" si="26"/>
        <v>NA</v>
      </c>
      <c r="BW7" s="93" t="str">
        <f t="shared" si="27"/>
        <v/>
      </c>
      <c r="BX7" s="93" t="str">
        <f t="shared" si="28"/>
        <v>NA</v>
      </c>
      <c r="BY7" s="95" t="str">
        <f t="shared" si="29"/>
        <v>#N/A</v>
      </c>
      <c r="BZ7" s="93" t="str">
        <f t="shared" si="30"/>
        <v>NA</v>
      </c>
      <c r="CA7" s="93" t="str">
        <f t="shared" si="31"/>
        <v/>
      </c>
      <c r="CB7" s="93" t="str">
        <f t="shared" si="32"/>
        <v>NA</v>
      </c>
      <c r="CC7" s="96" t="str">
        <f t="shared" si="33"/>
        <v>#N/A</v>
      </c>
      <c r="CD7" s="93" t="str">
        <f t="shared" si="34"/>
        <v>NA</v>
      </c>
      <c r="CE7" s="93" t="str">
        <f t="shared" si="35"/>
        <v/>
      </c>
      <c r="CF7" s="93" t="str">
        <f t="shared" si="36"/>
        <v>NA</v>
      </c>
      <c r="CG7" s="97" t="str">
        <f t="shared" si="37"/>
        <v>#N/A</v>
      </c>
      <c r="CH7" s="98" t="str">
        <f t="shared" si="38"/>
        <v>Extremely serious</v>
      </c>
      <c r="CI7" s="99" t="str">
        <f t="shared" si="39"/>
        <v>Not serious</v>
      </c>
      <c r="CJ7" s="126" t="str">
        <f t="shared" si="40"/>
        <v>2x, RD CIs very wide: Large harm to trivial effect or more</v>
      </c>
      <c r="CK7" s="126"/>
      <c r="CL7" s="127" t="b">
        <f t="shared" si="41"/>
        <v>0</v>
      </c>
      <c r="CM7" s="128" t="str">
        <f t="shared" si="42"/>
        <v>#VALUE!</v>
      </c>
      <c r="CN7" s="128">
        <f t="shared" si="43"/>
        <v>4</v>
      </c>
      <c r="CO7" s="129">
        <f t="shared" si="44"/>
        <v>4</v>
      </c>
      <c r="CP7" s="129" t="str">
        <f>IFS(C7=Preferences!B$13,B7,B7=Preferences!B$13,C7)</f>
        <v>D</v>
      </c>
    </row>
    <row r="8" ht="13.5" customHeight="1">
      <c r="A8" s="63">
        <f t="shared" si="45"/>
        <v>5</v>
      </c>
      <c r="B8" s="102" t="s">
        <v>99</v>
      </c>
      <c r="C8" s="90" t="s">
        <v>102</v>
      </c>
      <c r="D8" s="64"/>
      <c r="E8" s="132">
        <v>5.88</v>
      </c>
      <c r="F8" s="132">
        <v>0.2</v>
      </c>
      <c r="G8" s="132">
        <v>100.0</v>
      </c>
      <c r="H8" s="133">
        <v>112.6</v>
      </c>
      <c r="I8" s="133">
        <v>-57.8</v>
      </c>
      <c r="J8" s="134">
        <v>815.6</v>
      </c>
      <c r="K8" s="131"/>
      <c r="L8" s="104" t="s">
        <v>100</v>
      </c>
      <c r="M8" s="104" t="s">
        <v>100</v>
      </c>
      <c r="N8" s="104" t="s">
        <v>100</v>
      </c>
      <c r="O8" s="104" t="s">
        <v>100</v>
      </c>
      <c r="P8" s="107" t="str">
        <f t="shared" si="1"/>
        <v>HIGH</v>
      </c>
      <c r="Q8" s="108" t="str">
        <f>IFERROR(IF(AND(Preferences!B$3="Manual",OR(AX8/AW8&gt;G8/F8,BD8="Serious",BD8="Very serious")),"Assess imprecision",IFS(ISBLANK(E8),"",AND(Preferences!B$3="Automatic", G8/F8&gt;=30),"Extremely serious",AND(H8&lt;=$D$1*-1,J8&lt;0,G8/F8&lt;3),"Not serious",AND(H8&lt;=$D$1*-1,J8&lt;0,G8/F8&gt;=3),"Very serious",AND(H8&gt;=$D$1,I8&gt;0,G8/F8&lt;3),"Not serious",AND(H8&gt;=$D$1,I8&gt;0,G8/F8&gt;=3),"Very serious",AND(H8&lt;=$D$1*-1,J8&gt;0,I8&gt;$D$2*-1,G8/F8&lt;3),"Serious", AND(H8&lt;=$D$1*-1,J8&gt;0,I8&lt;$D$2*-1,G8/F8&lt;3),"Very serious", AND(H8&gt;=$D$1,I8&lt;0,J8&lt;$D$2,G8/F8&lt;3),"Serious",AND(H8&gt;=$D$1,I8&lt;0,J8&gt;$D$2,G8/F8&lt;3),"Very serious", AND(H8&lt;=$D$1*-1,J8&gt;0,I8&gt;$D$2*-1,G8/F8&gt;=3),"Very serious", AND(H8&lt;=$D$1*-1,J8&gt;0,I8&lt;$D$2*-1,G8/F8&gt;=3),"Very serious", AND(H8&gt;=$D$1,I8&lt;0,J8&lt;$D$2,G8/F8&gt;=3),"Very serious", AND(H8&gt;=$D$1,I8&lt;0,J8&gt;$D$2,G8/F8&gt;=3),"Very serious", AND(H8&gt;$D$1*-1,H8&lt;$D$1,I8&gt;$D$1*-1,J8&lt;$D$1,G8/F8&lt;3),"Not serious", AND(H8&gt;$D$1*-1,H8&lt;$D$1,OR(I8&lt;=$D$1*-1,J8&gt;=$D$1),I8&gt;$D$2*-1,J8&lt;$D$2,G8/F8&lt;3),"Serious", AND(H8&gt;$D$1*-1,H8&lt;$D$1,OR(I8&lt;=$D$2*-1,J8&gt;=$D$2),G8/F8&lt;3),"Very serious", AND(H8&gt;$D$1*-1,H8&lt;$D$1,I8&gt;$D$1*-1,J8&lt;$D$1,G8/F8&gt;=3),"Very serious", AND(H8&gt;$D$1*-1,H8&lt;$D$1,OR(I8&lt;=$D$1*-1,J8&gt;=$D$1),I8&gt;$D$2*-1,J8&lt;$D$2,G8/F8&gt;=3),"Very serious", AND(H8&gt;$D$1*-1,H8&lt;$D$1,OR(I8&lt;=$D$2*-1,J8&gt;=$D$2),G8/F8&gt;=3),"Very serious")),"")</f>
        <v>Extremely serious</v>
      </c>
      <c r="R8" s="109" t="str">
        <f t="shared" si="47"/>
        <v>VERY LOW</v>
      </c>
      <c r="S8" s="64"/>
      <c r="T8" s="72" t="s">
        <v>101</v>
      </c>
      <c r="U8" s="111" t="s">
        <v>101</v>
      </c>
      <c r="V8" s="111" t="s">
        <v>101</v>
      </c>
      <c r="W8" s="111" t="s">
        <v>101</v>
      </c>
      <c r="X8" s="111" t="s">
        <v>101</v>
      </c>
      <c r="Y8" s="112" t="s">
        <v>101</v>
      </c>
      <c r="Z8" s="113" t="str">
        <f t="array" ref="Z8">INDEX($A$1:$C$500, MATCH(1,($B:$B=$B8)*($C:$C=$AB8),0),1)</f>
        <v>#N/A</v>
      </c>
      <c r="AA8" s="113" t="str">
        <f t="array" ref="AA8">INDEX($A$1:$C$500, MATCH(1,($B:$B=$AB8)*($C:$C=$B8),0),1)</f>
        <v>#N/A</v>
      </c>
      <c r="AB8" s="72"/>
      <c r="AC8" s="114" t="str">
        <f t="shared" si="2"/>
        <v>#N/A</v>
      </c>
      <c r="AD8" s="115" t="str">
        <f t="shared" si="3"/>
        <v/>
      </c>
      <c r="AE8" s="116" t="str">
        <f t="array" ref="AE8">INDEX($A$1:$C$500, MATCH(1,($B:$B=$AB8)*($C:$C=$AG8),0),1)</f>
        <v/>
      </c>
      <c r="AF8" s="116" t="str">
        <f t="array" ref="AF8">INDEX($A$1:$C$500, MATCH(1,($B:$B=$AG8)*($C:$C=$AB8),0),1)</f>
        <v/>
      </c>
      <c r="AG8" s="72"/>
      <c r="AH8" s="114" t="str">
        <f t="shared" si="4"/>
        <v/>
      </c>
      <c r="AI8" s="115" t="str">
        <f t="shared" si="5"/>
        <v/>
      </c>
      <c r="AJ8" s="116" t="str">
        <f t="array" ref="AJ8">INDEX($A$1:$C$500, MATCH(1,($B:$B=$C8)*($C:$C=$AG8),0),1)</f>
        <v>#N/A</v>
      </c>
      <c r="AK8" s="116" t="str">
        <f t="array" ref="AK8">INDEX($A$1:$C$500, MATCH(1,($B:$B=$AG8)*($C:$C=$C8),0),1)</f>
        <v>#N/A</v>
      </c>
      <c r="AL8" s="116" t="str">
        <f t="array" ref="AL8">INDEX($A$1:$C$500, MATCH(1,($B:$B=$C8)*($C:$C=$AB8),0),1)</f>
        <v>#N/A</v>
      </c>
      <c r="AM8" s="116" t="str">
        <f t="array" ref="AM8">INDEX($A$1:$C$500, MATCH(1,($B:$B=$AB8)*($C:$C=$C8),0),1)</f>
        <v>#N/A</v>
      </c>
      <c r="AN8" s="114" t="str">
        <f t="array" ref="AN8">IFS(ISNUMBER(AJ8),AJ8,ISNUMBER(AK8),AK8,ISNUMBER(AL8),AL8,ISNUMBER(AM8),AM8)</f>
        <v>#N/A</v>
      </c>
      <c r="AO8" s="115" t="str">
        <f t="shared" si="6"/>
        <v/>
      </c>
      <c r="AP8" s="115" t="str">
        <f t="shared" si="7"/>
        <v/>
      </c>
      <c r="AQ8" s="72"/>
      <c r="AR8" s="109" t="str">
        <f t="shared" si="8"/>
        <v/>
      </c>
      <c r="AS8" s="72" t="str">
        <f>IFERROR(IF(AND(Preferences!B$3="Manual",OR(AX8/AW8&gt;V8/U8,BD8="Serious",BD8="Very serious")),"Assess imprecision",IFERROR(IFS(AND(Preferences!B$3="Automatic",V8/U8&gt;=30),"Extremely serious",AND(W8&lt;=$D$1*-1,Y8&lt;0,V8/U8&lt;3),"Not Serious",AND(W8&lt;=$D$1*-1,Y8&lt;0,V8/U8&gt;=3),"Very serious",AND(W8&gt;=$D$1,X8&gt;0,V8/U8&lt;3),"Not Serious",AND(W8&gt;=$D$1,X8&gt;0,V8/U8&gt;=3),"Very serious",AND(W8&lt;=$D$1*-1,Y8&gt;0,X8&gt;$D$2*-1,V8/U8&lt;3),"Serious", AND(W8&lt;=$D$1*-1,Y8&gt;0,X8&lt;$D$2*-1,V8/U8&lt;3),"Very serious", AND(W8&gt;=$D$1,X8&lt;0,Y8&lt;$D$2,V8/U8&lt;3),"Serious",AND(W8&gt;=$D$1,X8&lt;0,Y8&gt;$D$2,V8/U8&lt;3),"Very serious", AND(W8&lt;=$D$1*-1,Y8&gt;0,X8&gt;$D$2*-1,V8/U8&gt;=3),"Very serious", AND(W8&lt;=$D$1*-1,Y8&gt;0,X8&lt;$D$2*-1,V8/U8&gt;=3),"Very serious", AND(W8&gt;=$D$1,X8&lt;0,Y8&lt;$D$2,V8/U8&gt;=3),"Very serious", AND(W8&gt;=$D$1,X8&lt;0,Y8&gt;$D$2,V8/U8&gt;=3),"Very serious", AND(W8&gt;$D$1*-1,W8&lt;$D$1,X8&gt;$D$1*-1,Y8&lt;$D$1,V8/U8&lt;3),"Not Serious", AND(W8&gt;$D$1*-1,W8&lt;$D$1,OR(X8&lt;=$D$1*-1,Y8&gt;=$D$1),X8&gt;$D$2*-1,Y8&lt;$D$2,V8/U8&lt;3),"Serious", AND(W8&gt;$D$1*-1,W8&lt;$D$1,OR(X8&lt;=$D$2*-1,Y8&gt;=$D$2),V8/U8&lt;3),"Very serious", AND(W8&gt;$D$1*-1,W8&lt;$D$1,X8&gt;$D$1*-1,Y8&lt;$D$1,V8/U8&gt;=3),"Very serious", AND(W8&gt;$D$1*-1,W8&lt;$D$1,OR(X8&lt;=$D$1*-1,Y8&gt;=$D$1),X8&gt;$D$2*-1,Y8&lt;$D$2,V8/U8&gt;=3),"Very serious", AND(W8&gt;$D$1*-1,W8&lt;$D$1,OR(X8&lt;=$D$2*-1,Y8&gt;=$D$2),V8/U8&gt;=3),"Very serious"),"")),"")</f>
        <v/>
      </c>
      <c r="AT8" s="109" t="str">
        <f t="shared" si="9"/>
        <v>NA</v>
      </c>
      <c r="AU8" s="123"/>
      <c r="AV8" s="135">
        <v>5.88</v>
      </c>
      <c r="AW8" s="135">
        <v>0.2</v>
      </c>
      <c r="AX8" s="135">
        <v>100.0</v>
      </c>
      <c r="AY8" s="136">
        <v>112.6</v>
      </c>
      <c r="AZ8" s="136">
        <v>-57.8</v>
      </c>
      <c r="BA8" s="137">
        <v>815.6</v>
      </c>
      <c r="BB8" s="86" t="str">
        <f>IF(Preferences!B$9="Manual","",IFS(ISBLANK(B8),"",AND(ISNUMBER(E8)=TRUE,ISNUMBER(T8)=FALSE),"Direct", AND(ISNUMBER(E8)=FALSE,ISNUMBER(T8)=TRUE),"Indirect", CN8=4,"Direct",AND(CL8=FALSE, CM8=TRUE,CN8-CO8&gt;-1),"Direct", AND(CL8=FALSE,CM8=TRUE, CN8-CO8&lt;0),"Check algorithm in appendix 2", AND(CL8=TRUE, CM8=FALSE,CN8-CO8&gt;0),"Check algorithm in appendix 2", AND(CL8=TRUE, CM8=FALSE,CN8-CO8=0),"Indirect", AND(CL8=TRUE, CM8=FALSE,CN8-CO8&lt;0),"Indirect", AND(CL8=FALSE,CM8=FALSE,CN8-CO8&gt;-1),"Direct", AND(CL8=FALSE,CM8=FALSE,CN8-CO8&lt;0),"Check algorithm in appendix 2", AND(CL8=TRUE,CM8=TRUE,CN8-CO8&gt;-1),"Direct", AND(CL8=TRUE,CM8=TRUE,CN8-CO8&lt;0),"Check algorithm in appendix 2"))</f>
        <v>Direct</v>
      </c>
      <c r="BC8" s="120" t="str">
        <f t="shared" si="10"/>
        <v>HIGH</v>
      </c>
      <c r="BD8" s="122" t="s">
        <v>100</v>
      </c>
      <c r="BE8" s="122" t="str">
        <f>IF(Preferences!B$3="Manual","", IFERROR(IFS(AND(Preferences!B$3="Automatic",AX8/AW8&gt;=30),"Extremely serious",AND(AY8&lt;=$D$1*-1,BA8&lt;0,AX8/AW8&lt;3),"Not Serious",AND(AY8&lt;=$D$1*-1,BA8&lt;0,AX8/AW8&gt;=3),"Very serious",AND(AY8&gt;=$D$1,AZ8&gt;0,AX8/AW8&lt;3),"Not Serious",AND(AY8&gt;=$D$1,AZ8&gt;0,AX8/AW8&gt;=3),"Very serious",AND(AY8&lt;=$D$1*-1,BA8&gt;0,AZ8&gt;$D$2*-1,AX8/AW8&lt;3),"Serious", AND(AY8&lt;=$D$1*-1,BA8&gt;0,AZ8&lt;$D$2*-1,AX8/AW8&lt;3),"Very serious", AND(AY8&gt;=$D$1,AZ8&lt;0,BA8&lt;$D$2,AX8/AW8&lt;3),"Serious",AND(AY8&gt;=$D$1,AZ8&lt;0,BA8&gt;$D$2,AX8/AW8&lt;3),"Very serious", AND(AY8&lt;=$D$1*-1,BA8&gt;0,AZ8&gt;$D$2*-1,AX8/AW8&gt;=3),"Very serious", AND(AY8&lt;=$D$1*-1,BA8&gt;0,AZ8&lt;$D$2*-1,AX8/AW8&gt;=3),"Very serious", AND(AY8&gt;=$D$1,AZ8&lt;0,BA8&lt;$D$2,AX8/AW8&gt;=3),"Very serious", AND(AY8&gt;=$D$1,AZ8&lt;0,BA8&gt;$D$2,AX8/AW8&gt;=3),"Very serious", AND(AY8&gt;$D$1*-1,AY8&lt;$D$1,AZ8&gt;$D$1*-1,BA8&lt;$D$1,AX8/AW8&lt;3),"Not Serious", AND(AY8&gt;$D$1*-1,AY8&lt;$D$1,OR(AZ8&lt;=$D$1*-1,BA8&gt;=$D$1),AZ8&gt;$D$2*-1,BA8&lt;$D$2,AX8/AW8&lt;3),"Serious", AND(AY8&gt;$D$1*-1,AY8&lt;$D$1,OR(AZ8&lt;=$D$2*-1,BA8&gt;=$D$2),AX8/AW8&lt;3),"Very serious", AND(AY8&gt;$D$1*-1,AY8&lt;$D$1,AZ8&gt;$D$1*-1,BA8&lt;$D$1,AX8/AW8&gt;=3),"Very serious", AND(AY8&gt;$D$1*-1,AY8&lt;$D$1,OR(AZ8&lt;=$D$1*-1,BA8&gt;=$D$1),AZ8&gt;$D$2*-1,BA8&lt;$D$2,AX8/AW8&gt;=3),"Very serious", AND(AY8&gt;$D$1*-1,AY8&lt;$D$1,OR(AZ8&lt;=$D$2*-1,BA8&gt;=$D$2),AX8/AW8&gt;=3),"Very serious"),""))</f>
        <v>Extremely serious</v>
      </c>
      <c r="BF8" s="107" t="str">
        <f t="shared" si="11"/>
        <v>VERY LOW</v>
      </c>
      <c r="BG8" s="94" t="str">
        <f t="shared" si="46"/>
        <v>NMA</v>
      </c>
      <c r="BH8" s="64" t="str">
        <f t="shared" si="12"/>
        <v>NO</v>
      </c>
      <c r="BI8" s="64" t="str">
        <f t="shared" si="13"/>
        <v>Prelim Very serious</v>
      </c>
      <c r="BJ8" s="123">
        <f t="shared" si="14"/>
        <v>4</v>
      </c>
      <c r="BK8" s="64" t="str">
        <f t="shared" si="15"/>
        <v>NO</v>
      </c>
      <c r="BL8" s="64" t="str">
        <f t="shared" si="16"/>
        <v>NO</v>
      </c>
      <c r="BM8" s="64" t="str">
        <f t="shared" si="17"/>
        <v>YES</v>
      </c>
      <c r="BN8" s="124" t="str">
        <f t="shared" si="18"/>
        <v>Imprecisionx3, </v>
      </c>
      <c r="BO8" s="91" t="str">
        <f t="shared" si="19"/>
        <v/>
      </c>
      <c r="BP8" s="91" t="str">
        <f t="shared" si="20"/>
        <v>Imprecisionx3, </v>
      </c>
      <c r="BQ8" s="91" t="str">
        <f t="shared" si="21"/>
        <v>Imprecisionx3</v>
      </c>
      <c r="BR8" s="93" t="str">
        <f t="shared" si="22"/>
        <v>NA</v>
      </c>
      <c r="BS8" s="90" t="str">
        <f t="shared" si="23"/>
        <v/>
      </c>
      <c r="BT8" s="93" t="str">
        <f t="shared" si="24"/>
        <v>NA</v>
      </c>
      <c r="BU8" s="125" t="str">
        <f t="shared" si="25"/>
        <v>#N/A</v>
      </c>
      <c r="BV8" s="93" t="str">
        <f t="shared" si="26"/>
        <v>NA</v>
      </c>
      <c r="BW8" s="93" t="str">
        <f t="shared" si="27"/>
        <v/>
      </c>
      <c r="BX8" s="93" t="str">
        <f t="shared" si="28"/>
        <v>NA</v>
      </c>
      <c r="BY8" s="95" t="str">
        <f t="shared" si="29"/>
        <v>#N/A</v>
      </c>
      <c r="BZ8" s="93" t="str">
        <f t="shared" si="30"/>
        <v>NA</v>
      </c>
      <c r="CA8" s="93" t="str">
        <f t="shared" si="31"/>
        <v/>
      </c>
      <c r="CB8" s="93" t="str">
        <f t="shared" si="32"/>
        <v>NA</v>
      </c>
      <c r="CC8" s="96" t="str">
        <f t="shared" si="33"/>
        <v>#N/A</v>
      </c>
      <c r="CD8" s="93" t="str">
        <f t="shared" si="34"/>
        <v>NA</v>
      </c>
      <c r="CE8" s="93" t="str">
        <f t="shared" si="35"/>
        <v/>
      </c>
      <c r="CF8" s="93" t="str">
        <f t="shared" si="36"/>
        <v>NA</v>
      </c>
      <c r="CG8" s="97" t="str">
        <f t="shared" si="37"/>
        <v>#N/A</v>
      </c>
      <c r="CH8" s="98" t="str">
        <f t="shared" si="38"/>
        <v>Extremely serious</v>
      </c>
      <c r="CI8" s="99" t="str">
        <f t="shared" si="39"/>
        <v>Not serious</v>
      </c>
      <c r="CJ8" s="126" t="str">
        <f t="shared" si="40"/>
        <v>2x, RD CIs very wide: Large harm to trivial effect or more</v>
      </c>
      <c r="CK8" s="126"/>
      <c r="CL8" s="127" t="b">
        <f t="shared" si="41"/>
        <v>0</v>
      </c>
      <c r="CM8" s="128" t="str">
        <f t="shared" si="42"/>
        <v>#VALUE!</v>
      </c>
      <c r="CN8" s="128">
        <f t="shared" si="43"/>
        <v>4</v>
      </c>
      <c r="CO8" s="129">
        <f t="shared" si="44"/>
        <v>4</v>
      </c>
      <c r="CP8" s="129" t="str">
        <f>IFS(C8=Preferences!B$13,B8,B8=Preferences!B$13,C8)</f>
        <v>#N/A</v>
      </c>
    </row>
    <row r="9" ht="13.5" customHeight="1">
      <c r="A9" s="63">
        <f t="shared" si="45"/>
        <v>6</v>
      </c>
      <c r="B9" s="90" t="s">
        <v>99</v>
      </c>
      <c r="C9" s="102" t="s">
        <v>104</v>
      </c>
      <c r="D9" s="64"/>
      <c r="E9" s="132" t="s">
        <v>101</v>
      </c>
      <c r="F9" s="132" t="s">
        <v>101</v>
      </c>
      <c r="G9" s="132" t="s">
        <v>101</v>
      </c>
      <c r="H9" s="133" t="s">
        <v>101</v>
      </c>
      <c r="I9" s="133" t="s">
        <v>101</v>
      </c>
      <c r="J9" s="134" t="s">
        <v>101</v>
      </c>
      <c r="K9" s="131"/>
      <c r="L9" s="104"/>
      <c r="M9" s="104"/>
      <c r="N9" s="104"/>
      <c r="O9" s="104"/>
      <c r="P9" s="107" t="str">
        <f t="shared" si="1"/>
        <v/>
      </c>
      <c r="Q9" s="108" t="str">
        <f>IFERROR(IF(AND(Preferences!B$3="Manual",OR(AX9/AW9&gt;G9/F9,BD9="Serious",BD9="Very serious")),"Assess imprecision",IFS(ISBLANK(E9),"",AND(Preferences!B$3="Automatic", G9/F9&gt;=30),"Extremely serious",AND(H9&lt;=$D$1*-1,J9&lt;0,G9/F9&lt;3),"Not serious",AND(H9&lt;=$D$1*-1,J9&lt;0,G9/F9&gt;=3),"Very serious",AND(H9&gt;=$D$1,I9&gt;0,G9/F9&lt;3),"Not serious",AND(H9&gt;=$D$1,I9&gt;0,G9/F9&gt;=3),"Very serious",AND(H9&lt;=$D$1*-1,J9&gt;0,I9&gt;$D$2*-1,G9/F9&lt;3),"Serious", AND(H9&lt;=$D$1*-1,J9&gt;0,I9&lt;$D$2*-1,G9/F9&lt;3),"Very serious", AND(H9&gt;=$D$1,I9&lt;0,J9&lt;$D$2,G9/F9&lt;3),"Serious",AND(H9&gt;=$D$1,I9&lt;0,J9&gt;$D$2,G9/F9&lt;3),"Very serious", AND(H9&lt;=$D$1*-1,J9&gt;0,I9&gt;$D$2*-1,G9/F9&gt;=3),"Very serious", AND(H9&lt;=$D$1*-1,J9&gt;0,I9&lt;$D$2*-1,G9/F9&gt;=3),"Very serious", AND(H9&gt;=$D$1,I9&lt;0,J9&lt;$D$2,G9/F9&gt;=3),"Very serious", AND(H9&gt;=$D$1,I9&lt;0,J9&gt;$D$2,G9/F9&gt;=3),"Very serious", AND(H9&gt;$D$1*-1,H9&lt;$D$1,I9&gt;$D$1*-1,J9&lt;$D$1,G9/F9&lt;3),"Not serious", AND(H9&gt;$D$1*-1,H9&lt;$D$1,OR(I9&lt;=$D$1*-1,J9&gt;=$D$1),I9&gt;$D$2*-1,J9&lt;$D$2,G9/F9&lt;3),"Serious", AND(H9&gt;$D$1*-1,H9&lt;$D$1,OR(I9&lt;=$D$2*-1,J9&gt;=$D$2),G9/F9&lt;3),"Very serious", AND(H9&gt;$D$1*-1,H9&lt;$D$1,I9&gt;$D$1*-1,J9&lt;$D$1,G9/F9&gt;=3),"Very serious", AND(H9&gt;$D$1*-1,H9&lt;$D$1,OR(I9&lt;=$D$1*-1,J9&gt;=$D$1),I9&gt;$D$2*-1,J9&lt;$D$2,G9/F9&gt;=3),"Very serious", AND(H9&gt;$D$1*-1,H9&lt;$D$1,OR(I9&lt;=$D$2*-1,J9&gt;=$D$2),G9/F9&gt;=3),"Very serious")),"")</f>
        <v/>
      </c>
      <c r="R9" s="109" t="str">
        <f t="shared" si="47"/>
        <v>NA</v>
      </c>
      <c r="S9" s="64"/>
      <c r="T9" s="72">
        <v>788698.975174862</v>
      </c>
      <c r="U9" s="72">
        <v>0.892918471130261</v>
      </c>
      <c r="V9" s="72" t="s">
        <v>106</v>
      </c>
      <c r="W9" s="72">
        <v>818.984175071978</v>
      </c>
      <c r="X9" s="72">
        <v>-4.6863219880022</v>
      </c>
      <c r="Y9" s="130">
        <v>975.391812585813</v>
      </c>
      <c r="Z9" s="113">
        <f t="array" ref="Z9">INDEX($A$1:$C$500, MATCH(1,($B:$B=$B9)*($C:$C=$AB9),0),1)</f>
        <v>5</v>
      </c>
      <c r="AA9" s="113" t="str">
        <f t="array" ref="AA9">INDEX($A$1:$C$500, MATCH(1,($B:$B=$AB9)*($C:$C=$B9),0),1)</f>
        <v>#N/A</v>
      </c>
      <c r="AB9" s="111" t="s">
        <v>102</v>
      </c>
      <c r="AC9" s="114">
        <f t="shared" si="2"/>
        <v>5</v>
      </c>
      <c r="AD9" s="115" t="str">
        <f t="shared" si="3"/>
        <v>HIGH</v>
      </c>
      <c r="AE9" s="116" t="str">
        <f t="array" ref="AE9">INDEX($A$1:$C$500, MATCH(1,($B:$B=$AB9)*($C:$C=$AG9),0),1)</f>
        <v>#N/A</v>
      </c>
      <c r="AF9" s="116" t="str">
        <f t="array" ref="AF9">INDEX($A$1:$C$500, MATCH(1,($B:$B=$AG9)*($C:$C=$AB9),0),1)</f>
        <v>#N/A</v>
      </c>
      <c r="AG9" s="72"/>
      <c r="AH9" s="114" t="str">
        <f t="shared" si="4"/>
        <v>#N/A</v>
      </c>
      <c r="AI9" s="115" t="str">
        <f t="shared" si="5"/>
        <v/>
      </c>
      <c r="AJ9" s="116" t="str">
        <f t="array" ref="AJ9">INDEX($A$1:$C$500, MATCH(1,($B:$B=$C9)*($C:$C=$AG9),0),1)</f>
        <v>#N/A</v>
      </c>
      <c r="AK9" s="116" t="str">
        <f t="array" ref="AK9">INDEX($A$1:$C$500, MATCH(1,($B:$B=$AG9)*($C:$C=$C9),0),1)</f>
        <v>#N/A</v>
      </c>
      <c r="AL9" s="116" t="str">
        <f t="array" ref="AL9">INDEX($A$1:$C$500, MATCH(1,($B:$B=$C9)*($C:$C=$AB9),0),1)</f>
        <v>#N/A</v>
      </c>
      <c r="AM9" s="116">
        <f t="array" ref="AM9">INDEX($A$1:$C$500, MATCH(1,($B:$B=$AB9)*($C:$C=$C9),0),1)</f>
        <v>8</v>
      </c>
      <c r="AN9" s="114">
        <f t="array" ref="AN9">IFS(ISNUMBER(AJ9),AJ9,ISNUMBER(AK9),AK9,ISNUMBER(AL9),AL9,ISNUMBER(AM9),AM9)</f>
        <v>8</v>
      </c>
      <c r="AO9" s="115" t="str">
        <f t="shared" si="6"/>
        <v>HIGH</v>
      </c>
      <c r="AP9" s="115" t="str">
        <f t="shared" si="7"/>
        <v>HIGH</v>
      </c>
      <c r="AQ9" s="72" t="s">
        <v>100</v>
      </c>
      <c r="AR9" s="109" t="str">
        <f t="shared" si="8"/>
        <v>HIGH</v>
      </c>
      <c r="AS9" s="72" t="str">
        <f>IFERROR(IF(AND(Preferences!B$3="Manual",OR(AX9/AW9&gt;V9/U9,BD9="Serious",BD9="Very serious")),"Assess imprecision",IFERROR(IFS(AND(Preferences!B$3="Automatic",V9/U9&gt;=30),"Extremely serious",AND(W9&lt;=$D$1*-1,Y9&lt;0,V9/U9&lt;3),"Not Serious",AND(W9&lt;=$D$1*-1,Y9&lt;0,V9/U9&gt;=3),"Very serious",AND(W9&gt;=$D$1,X9&gt;0,V9/U9&lt;3),"Not Serious",AND(W9&gt;=$D$1,X9&gt;0,V9/U9&gt;=3),"Very serious",AND(W9&lt;=$D$1*-1,Y9&gt;0,X9&gt;$D$2*-1,V9/U9&lt;3),"Serious", AND(W9&lt;=$D$1*-1,Y9&gt;0,X9&lt;$D$2*-1,V9/U9&lt;3),"Very serious", AND(W9&gt;=$D$1,X9&lt;0,Y9&lt;$D$2,V9/U9&lt;3),"Serious",AND(W9&gt;=$D$1,X9&lt;0,Y9&gt;$D$2,V9/U9&lt;3),"Very serious", AND(W9&lt;=$D$1*-1,Y9&gt;0,X9&gt;$D$2*-1,V9/U9&gt;=3),"Very serious", AND(W9&lt;=$D$1*-1,Y9&gt;0,X9&lt;$D$2*-1,V9/U9&gt;=3),"Very serious", AND(W9&gt;=$D$1,X9&lt;0,Y9&lt;$D$2,V9/U9&gt;=3),"Very serious", AND(W9&gt;=$D$1,X9&lt;0,Y9&gt;$D$2,V9/U9&gt;=3),"Very serious", AND(W9&gt;$D$1*-1,W9&lt;$D$1,X9&gt;$D$1*-1,Y9&lt;$D$1,V9/U9&lt;3),"Not Serious", AND(W9&gt;$D$1*-1,W9&lt;$D$1,OR(X9&lt;=$D$1*-1,Y9&gt;=$D$1),X9&gt;$D$2*-1,Y9&lt;$D$2,V9/U9&lt;3),"Serious", AND(W9&gt;$D$1*-1,W9&lt;$D$1,OR(X9&lt;=$D$2*-1,Y9&gt;=$D$2),V9/U9&lt;3),"Very serious", AND(W9&gt;$D$1*-1,W9&lt;$D$1,X9&gt;$D$1*-1,Y9&lt;$D$1,V9/U9&gt;=3),"Very serious", AND(W9&gt;$D$1*-1,W9&lt;$D$1,OR(X9&lt;=$D$1*-1,Y9&gt;=$D$1),X9&gt;$D$2*-1,Y9&lt;$D$2,V9/U9&gt;=3),"Very serious", AND(W9&gt;$D$1*-1,W9&lt;$D$1,OR(X9&lt;=$D$2*-1,Y9&gt;=$D$2),V9/U9&gt;=3),"Very serious"),"")),"")</f>
        <v>Extremely serious</v>
      </c>
      <c r="AT9" s="109" t="str">
        <f t="shared" si="9"/>
        <v>VERY LOW</v>
      </c>
      <c r="AU9" s="123"/>
      <c r="AV9" s="117">
        <v>788698.975174862</v>
      </c>
      <c r="AW9" s="117">
        <v>0.892918471130261</v>
      </c>
      <c r="AX9" s="117" t="s">
        <v>106</v>
      </c>
      <c r="AY9" s="118">
        <v>818.984175071978</v>
      </c>
      <c r="AZ9" s="118">
        <v>-4.6863219880022</v>
      </c>
      <c r="BA9" s="119">
        <v>975.391812585813</v>
      </c>
      <c r="BB9" s="86" t="str">
        <f>IF(Preferences!B$9="Manual","",IFS(ISBLANK(B9),"",AND(ISNUMBER(E9)=TRUE,ISNUMBER(T9)=FALSE),"Direct", AND(ISNUMBER(E9)=FALSE,ISNUMBER(T9)=TRUE),"Indirect", CN9=4,"Direct",AND(CL9=FALSE, CM9=TRUE,CN9-CO9&gt;-1),"Direct", AND(CL9=FALSE,CM9=TRUE, CN9-CO9&lt;0),"Check algorithm in appendix 2", AND(CL9=TRUE, CM9=FALSE,CN9-CO9&gt;0),"Check algorithm in appendix 2", AND(CL9=TRUE, CM9=FALSE,CN9-CO9=0),"Indirect", AND(CL9=TRUE, CM9=FALSE,CN9-CO9&lt;0),"Indirect", AND(CL9=FALSE,CM9=FALSE,CN9-CO9&gt;-1),"Direct", AND(CL9=FALSE,CM9=FALSE,CN9-CO9&lt;0),"Check algorithm in appendix 2", AND(CL9=TRUE,CM9=TRUE,CN9-CO9&gt;-1),"Direct", AND(CL9=TRUE,CM9=TRUE,CN9-CO9&lt;0),"Check algorithm in appendix 2"))</f>
        <v>Indirect</v>
      </c>
      <c r="BC9" s="120" t="str">
        <f t="shared" si="10"/>
        <v>HIGH</v>
      </c>
      <c r="BD9" s="122" t="s">
        <v>100</v>
      </c>
      <c r="BE9" s="122" t="str">
        <f>IF(Preferences!B$3="Manual","", IFERROR(IFS(AND(Preferences!B$3="Automatic",AX9/AW9&gt;=30),"Extremely serious",AND(AY9&lt;=$D$1*-1,BA9&lt;0,AX9/AW9&lt;3),"Not Serious",AND(AY9&lt;=$D$1*-1,BA9&lt;0,AX9/AW9&gt;=3),"Very serious",AND(AY9&gt;=$D$1,AZ9&gt;0,AX9/AW9&lt;3),"Not Serious",AND(AY9&gt;=$D$1,AZ9&gt;0,AX9/AW9&gt;=3),"Very serious",AND(AY9&lt;=$D$1*-1,BA9&gt;0,AZ9&gt;$D$2*-1,AX9/AW9&lt;3),"Serious", AND(AY9&lt;=$D$1*-1,BA9&gt;0,AZ9&lt;$D$2*-1,AX9/AW9&lt;3),"Very serious", AND(AY9&gt;=$D$1,AZ9&lt;0,BA9&lt;$D$2,AX9/AW9&lt;3),"Serious",AND(AY9&gt;=$D$1,AZ9&lt;0,BA9&gt;$D$2,AX9/AW9&lt;3),"Very serious", AND(AY9&lt;=$D$1*-1,BA9&gt;0,AZ9&gt;$D$2*-1,AX9/AW9&gt;=3),"Very serious", AND(AY9&lt;=$D$1*-1,BA9&gt;0,AZ9&lt;$D$2*-1,AX9/AW9&gt;=3),"Very serious", AND(AY9&gt;=$D$1,AZ9&lt;0,BA9&lt;$D$2,AX9/AW9&gt;=3),"Very serious", AND(AY9&gt;=$D$1,AZ9&lt;0,BA9&gt;$D$2,AX9/AW9&gt;=3),"Very serious", AND(AY9&gt;$D$1*-1,AY9&lt;$D$1,AZ9&gt;$D$1*-1,BA9&lt;$D$1,AX9/AW9&lt;3),"Not Serious", AND(AY9&gt;$D$1*-1,AY9&lt;$D$1,OR(AZ9&lt;=$D$1*-1,BA9&gt;=$D$1),AZ9&gt;$D$2*-1,BA9&lt;$D$2,AX9/AW9&lt;3),"Serious", AND(AY9&gt;$D$1*-1,AY9&lt;$D$1,OR(AZ9&lt;=$D$2*-1,BA9&gt;=$D$2),AX9/AW9&lt;3),"Very serious", AND(AY9&gt;$D$1*-1,AY9&lt;$D$1,AZ9&gt;$D$1*-1,BA9&lt;$D$1,AX9/AW9&gt;=3),"Very serious", AND(AY9&gt;$D$1*-1,AY9&lt;$D$1,OR(AZ9&lt;=$D$1*-1,BA9&gt;=$D$1),AZ9&gt;$D$2*-1,BA9&lt;$D$2,AX9/AW9&gt;=3),"Very serious", AND(AY9&gt;$D$1*-1,AY9&lt;$D$1,OR(AZ9&lt;=$D$2*-1,BA9&gt;=$D$2),AX9/AW9&gt;=3),"Very serious"),""))</f>
        <v>Extremely serious</v>
      </c>
      <c r="BF9" s="107" t="str">
        <f t="shared" si="11"/>
        <v>VERY LOW</v>
      </c>
      <c r="BG9" s="94" t="str">
        <f t="shared" si="46"/>
        <v>NMA</v>
      </c>
      <c r="BH9" s="64" t="str">
        <f t="shared" si="12"/>
        <v>NO</v>
      </c>
      <c r="BI9" s="64" t="str">
        <f t="shared" si="13"/>
        <v>Prelim Very serious</v>
      </c>
      <c r="BJ9" s="123">
        <f t="shared" si="14"/>
        <v>4</v>
      </c>
      <c r="BK9" s="64" t="str">
        <f t="shared" si="15"/>
        <v>NO</v>
      </c>
      <c r="BL9" s="64" t="str">
        <f t="shared" si="16"/>
        <v>YES</v>
      </c>
      <c r="BM9" s="64" t="str">
        <f t="shared" si="17"/>
        <v>NO</v>
      </c>
      <c r="BN9" s="124" t="str">
        <f t="shared" si="18"/>
        <v>Imprecisionx3, </v>
      </c>
      <c r="BO9" s="91" t="str">
        <f t="shared" si="19"/>
        <v>Imprecisionx3, </v>
      </c>
      <c r="BP9" s="91" t="str">
        <f t="shared" si="20"/>
        <v>Imprecisionx3, </v>
      </c>
      <c r="BQ9" s="91" t="str">
        <f t="shared" si="21"/>
        <v>Imprecisionx3</v>
      </c>
      <c r="BR9" s="93" t="str">
        <f t="shared" si="22"/>
        <v>Not serious</v>
      </c>
      <c r="BS9" s="90" t="str">
        <f t="shared" si="23"/>
        <v>NA</v>
      </c>
      <c r="BT9" s="93" t="str">
        <f t="shared" si="24"/>
        <v>Not serious</v>
      </c>
      <c r="BU9" s="125" t="str">
        <f t="shared" si="25"/>
        <v>NA</v>
      </c>
      <c r="BV9" s="93" t="str">
        <f t="shared" si="26"/>
        <v>Not serious</v>
      </c>
      <c r="BW9" s="93" t="str">
        <f t="shared" si="27"/>
        <v>NA</v>
      </c>
      <c r="BX9" s="93" t="str">
        <f t="shared" si="28"/>
        <v>Not serious</v>
      </c>
      <c r="BY9" s="95" t="str">
        <f t="shared" si="29"/>
        <v>NA</v>
      </c>
      <c r="BZ9" s="93" t="str">
        <f t="shared" si="30"/>
        <v>Not serious</v>
      </c>
      <c r="CA9" s="93" t="str">
        <f t="shared" si="31"/>
        <v>NA</v>
      </c>
      <c r="CB9" s="93" t="str">
        <f t="shared" si="32"/>
        <v>Not serious</v>
      </c>
      <c r="CC9" s="96" t="str">
        <f t="shared" si="33"/>
        <v>NA</v>
      </c>
      <c r="CD9" s="93" t="str">
        <f t="shared" si="34"/>
        <v>Not serious</v>
      </c>
      <c r="CE9" s="93" t="str">
        <f t="shared" si="35"/>
        <v>NA</v>
      </c>
      <c r="CF9" s="93" t="str">
        <f t="shared" si="36"/>
        <v>Not serious</v>
      </c>
      <c r="CG9" s="97" t="str">
        <f t="shared" si="37"/>
        <v>NA</v>
      </c>
      <c r="CH9" s="98" t="str">
        <f t="shared" si="38"/>
        <v>Extremely serious</v>
      </c>
      <c r="CI9" s="99" t="str">
        <f t="shared" si="39"/>
        <v>Not serious</v>
      </c>
      <c r="CJ9" s="126" t="str">
        <f t="shared" si="40"/>
        <v>ERROR: check cell</v>
      </c>
      <c r="CK9" s="126" t="str">
        <f t="shared" ref="CK9:CK10" si="48">if(AND(T9&lt;1=TRUE,E9&lt;1=TRUE)=TRUE,if(OR(AND(V9&gt;G9=TRUE,G9&gt;U9=TRUE),AND(G9&gt;V9=TRUE,V9&gt;F9=TRUE)=TRUE)=TRUE,"No serious incoherence","Quantitative incoherence (same direction of effect)"),if(AND(T9&gt;1=TRUE,E9&gt;1=TRUE)=TRUE,if(OR(AND(V9&gt;G9=TRUE,G9&gt;U9=TRUE),AND(G9&gt;V9=TRUE,V9&gt;F9=TRUE)=TRUE)=TRUE,"No serious incoherence","Quantitative incoherence (same direction of effect)"),if(OR(AND(T9&lt;1=TRUE,E9&gt;1=TRUE)=TRUE,AND(T9&gt;1=TRUE,E9&lt;1=TRUE)=TRUE)=TRUE,if(OR(AND(V9&gt;G9=TRUE,G9&gt;U9=TRUE),AND(G9&gt;V9=TRUE,V9&gt;F9=TRUE)=TRUE)=TRUE,"No serious incoherence","Qualitative incoherence (different direction of effect)"))))</f>
        <v>Quantitative incoherence (same direction of effect)</v>
      </c>
      <c r="CL9" s="127" t="str">
        <f t="shared" si="41"/>
        <v>#VALUE!</v>
      </c>
      <c r="CM9" s="128" t="b">
        <f t="shared" si="42"/>
        <v>0</v>
      </c>
      <c r="CN9" s="128">
        <f t="shared" si="43"/>
        <v>4</v>
      </c>
      <c r="CO9" s="129">
        <f t="shared" si="44"/>
        <v>4</v>
      </c>
      <c r="CP9" s="129" t="str">
        <f>IFS(C9=Preferences!B$13,B9,B9=Preferences!B$13,C9)</f>
        <v>#N/A</v>
      </c>
    </row>
    <row r="10" ht="13.5" customHeight="1">
      <c r="A10" s="63">
        <f t="shared" si="45"/>
        <v>7</v>
      </c>
      <c r="B10" s="90" t="s">
        <v>99</v>
      </c>
      <c r="C10" s="90" t="s">
        <v>105</v>
      </c>
      <c r="D10" s="64"/>
      <c r="E10" s="132" t="s">
        <v>101</v>
      </c>
      <c r="F10" s="132" t="s">
        <v>101</v>
      </c>
      <c r="G10" s="132" t="s">
        <v>101</v>
      </c>
      <c r="H10" s="133" t="s">
        <v>101</v>
      </c>
      <c r="I10" s="133" t="s">
        <v>101</v>
      </c>
      <c r="J10" s="134" t="s">
        <v>101</v>
      </c>
      <c r="K10" s="138"/>
      <c r="L10" s="104"/>
      <c r="M10" s="104"/>
      <c r="N10" s="104"/>
      <c r="O10" s="104"/>
      <c r="P10" s="107" t="str">
        <f t="shared" si="1"/>
        <v/>
      </c>
      <c r="Q10" s="108" t="str">
        <f>IFERROR(IF(AND(Preferences!B$3="Manual",OR(AX10/AW10&gt;G10/F10,BD10="Serious",BD10="Very serious")),"Assess imprecision",IFS(ISBLANK(E10),"",AND(Preferences!B$3="Automatic", G10/F10&gt;=30),"Extremely serious",AND(H10&lt;=$D$1*-1,J10&lt;0,G10/F10&lt;3),"Not serious",AND(H10&lt;=$D$1*-1,J10&lt;0,G10/F10&gt;=3),"Very serious",AND(H10&gt;=$D$1,I10&gt;0,G10/F10&lt;3),"Not serious",AND(H10&gt;=$D$1,I10&gt;0,G10/F10&gt;=3),"Very serious",AND(H10&lt;=$D$1*-1,J10&gt;0,I10&gt;$D$2*-1,G10/F10&lt;3),"Serious", AND(H10&lt;=$D$1*-1,J10&gt;0,I10&lt;$D$2*-1,G10/F10&lt;3),"Very serious", AND(H10&gt;=$D$1,I10&lt;0,J10&lt;$D$2,G10/F10&lt;3),"Serious",AND(H10&gt;=$D$1,I10&lt;0,J10&gt;$D$2,G10/F10&lt;3),"Very serious", AND(H10&lt;=$D$1*-1,J10&gt;0,I10&gt;$D$2*-1,G10/F10&gt;=3),"Very serious", AND(H10&lt;=$D$1*-1,J10&gt;0,I10&lt;$D$2*-1,G10/F10&gt;=3),"Very serious", AND(H10&gt;=$D$1,I10&lt;0,J10&lt;$D$2,G10/F10&gt;=3),"Very serious", AND(H10&gt;=$D$1,I10&lt;0,J10&gt;$D$2,G10/F10&gt;=3),"Very serious", AND(H10&gt;$D$1*-1,H10&lt;$D$1,I10&gt;$D$1*-1,J10&lt;$D$1,G10/F10&lt;3),"Not serious", AND(H10&gt;$D$1*-1,H10&lt;$D$1,OR(I10&lt;=$D$1*-1,J10&gt;=$D$1),I10&gt;$D$2*-1,J10&lt;$D$2,G10/F10&lt;3),"Serious", AND(H10&gt;$D$1*-1,H10&lt;$D$1,OR(I10&lt;=$D$2*-1,J10&gt;=$D$2),G10/F10&lt;3),"Very serious", AND(H10&gt;$D$1*-1,H10&lt;$D$1,I10&gt;$D$1*-1,J10&lt;$D$1,G10/F10&gt;=3),"Very serious", AND(H10&gt;$D$1*-1,H10&lt;$D$1,OR(I10&lt;=$D$1*-1,J10&gt;=$D$1),I10&gt;$D$2*-1,J10&lt;$D$2,G10/F10&gt;=3),"Very serious", AND(H10&gt;$D$1*-1,H10&lt;$D$1,OR(I10&lt;=$D$2*-1,J10&gt;=$D$2),G10/F10&gt;=3),"Very serious")),"")</f>
        <v/>
      </c>
      <c r="R10" s="109" t="str">
        <f t="shared" si="47"/>
        <v>NA</v>
      </c>
      <c r="S10" s="64"/>
      <c r="T10" s="72">
        <v>1311772.71767487</v>
      </c>
      <c r="U10" s="72">
        <v>0.992984722749927</v>
      </c>
      <c r="V10" s="72" t="s">
        <v>107</v>
      </c>
      <c r="W10" s="72">
        <v>812.193981119933</v>
      </c>
      <c r="X10" s="72">
        <v>-3.2892072741648</v>
      </c>
      <c r="Y10" s="130">
        <v>995.866118489599</v>
      </c>
      <c r="Z10" s="113">
        <f t="array" ref="Z10">INDEX($A$1:$C$500, MATCH(1,($B:$B=$B10)*($C:$C=$AB10),0),1)</f>
        <v>1</v>
      </c>
      <c r="AA10" s="113" t="str">
        <f t="array" ref="AA10">INDEX($A$1:$C$500, MATCH(1,($B:$B=$AB10)*($C:$C=$B10),0),1)</f>
        <v>#N/A</v>
      </c>
      <c r="AB10" s="111" t="s">
        <v>24</v>
      </c>
      <c r="AC10" s="114">
        <f t="shared" si="2"/>
        <v>1</v>
      </c>
      <c r="AD10" s="115" t="str">
        <f t="shared" si="3"/>
        <v>HIGH</v>
      </c>
      <c r="AE10" s="116" t="str">
        <f t="array" ref="AE10">INDEX($A$1:$C$500, MATCH(1,($B:$B=$AB10)*($C:$C=$AG10),0),1)</f>
        <v>#N/A</v>
      </c>
      <c r="AF10" s="116" t="str">
        <f t="array" ref="AF10">INDEX($A$1:$C$500, MATCH(1,($B:$B=$AG10)*($C:$C=$AB10),0),1)</f>
        <v>#N/A</v>
      </c>
      <c r="AG10" s="72"/>
      <c r="AH10" s="114" t="str">
        <f t="shared" si="4"/>
        <v>#N/A</v>
      </c>
      <c r="AI10" s="115" t="str">
        <f t="shared" si="5"/>
        <v/>
      </c>
      <c r="AJ10" s="116" t="str">
        <f t="array" ref="AJ10">INDEX($A$1:$C$500, MATCH(1,($B:$B=$C10)*($C:$C=$AG10),0),1)</f>
        <v>#N/A</v>
      </c>
      <c r="AK10" s="116" t="str">
        <f t="array" ref="AK10">INDEX($A$1:$C$500, MATCH(1,($B:$B=$AG10)*($C:$C=$C10),0),1)</f>
        <v>#N/A</v>
      </c>
      <c r="AL10" s="116">
        <f t="array" ref="AL10">INDEX($A$1:$C$500, MATCH(1,($B:$B=$C10)*($C:$C=$AB10),0),1)</f>
        <v>4</v>
      </c>
      <c r="AM10" s="116" t="str">
        <f t="array" ref="AM10">INDEX($A$1:$C$500, MATCH(1,($B:$B=$AB10)*($C:$C=$C10),0),1)</f>
        <v>#N/A</v>
      </c>
      <c r="AN10" s="114">
        <f t="array" ref="AN10">IFS(ISNUMBER(AJ10),AJ10,ISNUMBER(AK10),AK10,ISNUMBER(AL10),AL10,ISNUMBER(AM10),AM10)</f>
        <v>4</v>
      </c>
      <c r="AO10" s="115" t="str">
        <f t="shared" si="6"/>
        <v>HIGH</v>
      </c>
      <c r="AP10" s="115" t="str">
        <f t="shared" si="7"/>
        <v>HIGH</v>
      </c>
      <c r="AQ10" s="111" t="s">
        <v>100</v>
      </c>
      <c r="AR10" s="109" t="str">
        <f t="shared" si="8"/>
        <v>HIGH</v>
      </c>
      <c r="AS10" s="72" t="str">
        <f>IFERROR(IF(AND(Preferences!B$3="Manual",OR(AX10/AW10&gt;V10/U10,BD10="Serious",BD10="Very serious")),"Assess imprecision",IFERROR(IFS(AND(Preferences!B$3="Automatic",V10/U10&gt;=30),"Extremely serious",AND(W10&lt;=$D$1*-1,Y10&lt;0,V10/U10&lt;3),"Not Serious",AND(W10&lt;=$D$1*-1,Y10&lt;0,V10/U10&gt;=3),"Very serious",AND(W10&gt;=$D$1,X10&gt;0,V10/U10&lt;3),"Not Serious",AND(W10&gt;=$D$1,X10&gt;0,V10/U10&gt;=3),"Very serious",AND(W10&lt;=$D$1*-1,Y10&gt;0,X10&gt;$D$2*-1,V10/U10&lt;3),"Serious", AND(W10&lt;=$D$1*-1,Y10&gt;0,X10&lt;$D$2*-1,V10/U10&lt;3),"Very serious", AND(W10&gt;=$D$1,X10&lt;0,Y10&lt;$D$2,V10/U10&lt;3),"Serious",AND(W10&gt;=$D$1,X10&lt;0,Y10&gt;$D$2,V10/U10&lt;3),"Very serious", AND(W10&lt;=$D$1*-1,Y10&gt;0,X10&gt;$D$2*-1,V10/U10&gt;=3),"Very serious", AND(W10&lt;=$D$1*-1,Y10&gt;0,X10&lt;$D$2*-1,V10/U10&gt;=3),"Very serious", AND(W10&gt;=$D$1,X10&lt;0,Y10&lt;$D$2,V10/U10&gt;=3),"Very serious", AND(W10&gt;=$D$1,X10&lt;0,Y10&gt;$D$2,V10/U10&gt;=3),"Very serious", AND(W10&gt;$D$1*-1,W10&lt;$D$1,X10&gt;$D$1*-1,Y10&lt;$D$1,V10/U10&lt;3),"Not Serious", AND(W10&gt;$D$1*-1,W10&lt;$D$1,OR(X10&lt;=$D$1*-1,Y10&gt;=$D$1),X10&gt;$D$2*-1,Y10&lt;$D$2,V10/U10&lt;3),"Serious", AND(W10&gt;$D$1*-1,W10&lt;$D$1,OR(X10&lt;=$D$2*-1,Y10&gt;=$D$2),V10/U10&lt;3),"Very serious", AND(W10&gt;$D$1*-1,W10&lt;$D$1,X10&gt;$D$1*-1,Y10&lt;$D$1,V10/U10&gt;=3),"Very serious", AND(W10&gt;$D$1*-1,W10&lt;$D$1,OR(X10&lt;=$D$1*-1,Y10&gt;=$D$1),X10&gt;$D$2*-1,Y10&lt;$D$2,V10/U10&gt;=3),"Very serious", AND(W10&gt;$D$1*-1,W10&lt;$D$1,OR(X10&lt;=$D$2*-1,Y10&gt;=$D$2),V10/U10&gt;=3),"Very serious"),"")),"")</f>
        <v>Extremely serious</v>
      </c>
      <c r="AT10" s="109" t="str">
        <f t="shared" si="9"/>
        <v>VERY LOW</v>
      </c>
      <c r="AU10" s="123"/>
      <c r="AV10" s="117">
        <v>1311772.71767487</v>
      </c>
      <c r="AW10" s="117">
        <v>0.992984722749927</v>
      </c>
      <c r="AX10" s="117" t="s">
        <v>107</v>
      </c>
      <c r="AY10" s="118">
        <v>812.193981119933</v>
      </c>
      <c r="AZ10" s="118">
        <v>-3.2892072741648</v>
      </c>
      <c r="BA10" s="119">
        <v>995.866118489599</v>
      </c>
      <c r="BB10" s="86" t="str">
        <f>IF(Preferences!B$9="Manual","",IFS(ISBLANK(B10),"",AND(ISNUMBER(E10)=TRUE,ISNUMBER(T10)=FALSE),"Direct", AND(ISNUMBER(E10)=FALSE,ISNUMBER(T10)=TRUE),"Indirect", CN10=4,"Direct",AND(CL10=FALSE, CM10=TRUE,CN10-CO10&gt;-1),"Direct", AND(CL10=FALSE,CM10=TRUE, CN10-CO10&lt;0),"Check algorithm in appendix 2", AND(CL10=TRUE, CM10=FALSE,CN10-CO10&gt;0),"Check algorithm in appendix 2", AND(CL10=TRUE, CM10=FALSE,CN10-CO10=0),"Indirect", AND(CL10=TRUE, CM10=FALSE,CN10-CO10&lt;0),"Indirect", AND(CL10=FALSE,CM10=FALSE,CN10-CO10&gt;-1),"Direct", AND(CL10=FALSE,CM10=FALSE,CN10-CO10&lt;0),"Check algorithm in appendix 2", AND(CL10=TRUE,CM10=TRUE,CN10-CO10&gt;-1),"Direct", AND(CL10=TRUE,CM10=TRUE,CN10-CO10&lt;0),"Check algorithm in appendix 2"))</f>
        <v>Indirect</v>
      </c>
      <c r="BC10" s="120" t="str">
        <f t="shared" si="10"/>
        <v>HIGH</v>
      </c>
      <c r="BD10" s="122" t="s">
        <v>100</v>
      </c>
      <c r="BE10" s="122" t="str">
        <f>IF(Preferences!B$3="Manual","", IFERROR(IFS(AND(Preferences!B$3="Automatic",AX10/AW10&gt;=30),"Extremely serious",AND(AY10&lt;=$D$1*-1,BA10&lt;0,AX10/AW10&lt;3),"Not Serious",AND(AY10&lt;=$D$1*-1,BA10&lt;0,AX10/AW10&gt;=3),"Very serious",AND(AY10&gt;=$D$1,AZ10&gt;0,AX10/AW10&lt;3),"Not Serious",AND(AY10&gt;=$D$1,AZ10&gt;0,AX10/AW10&gt;=3),"Very serious",AND(AY10&lt;=$D$1*-1,BA10&gt;0,AZ10&gt;$D$2*-1,AX10/AW10&lt;3),"Serious", AND(AY10&lt;=$D$1*-1,BA10&gt;0,AZ10&lt;$D$2*-1,AX10/AW10&lt;3),"Very serious", AND(AY10&gt;=$D$1,AZ10&lt;0,BA10&lt;$D$2,AX10/AW10&lt;3),"Serious",AND(AY10&gt;=$D$1,AZ10&lt;0,BA10&gt;$D$2,AX10/AW10&lt;3),"Very serious", AND(AY10&lt;=$D$1*-1,BA10&gt;0,AZ10&gt;$D$2*-1,AX10/AW10&gt;=3),"Very serious", AND(AY10&lt;=$D$1*-1,BA10&gt;0,AZ10&lt;$D$2*-1,AX10/AW10&gt;=3),"Very serious", AND(AY10&gt;=$D$1,AZ10&lt;0,BA10&lt;$D$2,AX10/AW10&gt;=3),"Very serious", AND(AY10&gt;=$D$1,AZ10&lt;0,BA10&gt;$D$2,AX10/AW10&gt;=3),"Very serious", AND(AY10&gt;$D$1*-1,AY10&lt;$D$1,AZ10&gt;$D$1*-1,BA10&lt;$D$1,AX10/AW10&lt;3),"Not Serious", AND(AY10&gt;$D$1*-1,AY10&lt;$D$1,OR(AZ10&lt;=$D$1*-1,BA10&gt;=$D$1),AZ10&gt;$D$2*-1,BA10&lt;$D$2,AX10/AW10&lt;3),"Serious", AND(AY10&gt;$D$1*-1,AY10&lt;$D$1,OR(AZ10&lt;=$D$2*-1,BA10&gt;=$D$2),AX10/AW10&lt;3),"Very serious", AND(AY10&gt;$D$1*-1,AY10&lt;$D$1,AZ10&gt;$D$1*-1,BA10&lt;$D$1,AX10/AW10&gt;=3),"Very serious", AND(AY10&gt;$D$1*-1,AY10&lt;$D$1,OR(AZ10&lt;=$D$1*-1,BA10&gt;=$D$1),AZ10&gt;$D$2*-1,BA10&lt;$D$2,AX10/AW10&gt;=3),"Very serious", AND(AY10&gt;$D$1*-1,AY10&lt;$D$1,OR(AZ10&lt;=$D$2*-1,BA10&gt;=$D$2),AX10/AW10&gt;=3),"Very serious"),""))</f>
        <v>Extremely serious</v>
      </c>
      <c r="BF10" s="107" t="str">
        <f t="shared" si="11"/>
        <v>VERY LOW</v>
      </c>
      <c r="BG10" s="94" t="str">
        <f t="shared" si="46"/>
        <v>NMA</v>
      </c>
      <c r="BH10" s="64" t="str">
        <f t="shared" si="12"/>
        <v>NO</v>
      </c>
      <c r="BI10" s="64" t="str">
        <f t="shared" si="13"/>
        <v>Prelim Very serious</v>
      </c>
      <c r="BJ10" s="123">
        <f t="shared" si="14"/>
        <v>4</v>
      </c>
      <c r="BK10" s="64" t="str">
        <f t="shared" si="15"/>
        <v>NO</v>
      </c>
      <c r="BL10" s="64" t="str">
        <f t="shared" si="16"/>
        <v>YES</v>
      </c>
      <c r="BM10" s="64" t="str">
        <f t="shared" si="17"/>
        <v>NO</v>
      </c>
      <c r="BN10" s="124" t="str">
        <f t="shared" si="18"/>
        <v>Imprecisionx3, </v>
      </c>
      <c r="BO10" s="91" t="str">
        <f t="shared" si="19"/>
        <v>Imprecisionx3, </v>
      </c>
      <c r="BP10" s="91" t="str">
        <f t="shared" si="20"/>
        <v>Imprecisionx3, </v>
      </c>
      <c r="BQ10" s="91" t="str">
        <f t="shared" si="21"/>
        <v>Imprecisionx3</v>
      </c>
      <c r="BR10" s="93" t="str">
        <f t="shared" si="22"/>
        <v>Not serious</v>
      </c>
      <c r="BS10" s="90" t="str">
        <f t="shared" si="23"/>
        <v>NA</v>
      </c>
      <c r="BT10" s="93" t="str">
        <f t="shared" si="24"/>
        <v>Not serious</v>
      </c>
      <c r="BU10" s="125" t="str">
        <f t="shared" si="25"/>
        <v>NA</v>
      </c>
      <c r="BV10" s="93" t="str">
        <f t="shared" si="26"/>
        <v>Not serious</v>
      </c>
      <c r="BW10" s="93" t="str">
        <f t="shared" si="27"/>
        <v>NA</v>
      </c>
      <c r="BX10" s="93" t="str">
        <f t="shared" si="28"/>
        <v>Not serious</v>
      </c>
      <c r="BY10" s="95" t="str">
        <f t="shared" si="29"/>
        <v>NA</v>
      </c>
      <c r="BZ10" s="93" t="str">
        <f t="shared" si="30"/>
        <v>Not serious</v>
      </c>
      <c r="CA10" s="93" t="str">
        <f t="shared" si="31"/>
        <v>NA</v>
      </c>
      <c r="CB10" s="93" t="str">
        <f t="shared" si="32"/>
        <v>Not serious</v>
      </c>
      <c r="CC10" s="96" t="str">
        <f t="shared" si="33"/>
        <v>NA</v>
      </c>
      <c r="CD10" s="93" t="str">
        <f t="shared" si="34"/>
        <v>Not serious</v>
      </c>
      <c r="CE10" s="93" t="str">
        <f t="shared" si="35"/>
        <v>NA</v>
      </c>
      <c r="CF10" s="93" t="str">
        <f t="shared" si="36"/>
        <v>Not serious</v>
      </c>
      <c r="CG10" s="97" t="str">
        <f t="shared" si="37"/>
        <v>NA</v>
      </c>
      <c r="CH10" s="98" t="str">
        <f t="shared" si="38"/>
        <v>Extremely serious</v>
      </c>
      <c r="CI10" s="99" t="str">
        <f t="shared" si="39"/>
        <v>Not serious</v>
      </c>
      <c r="CJ10" s="126" t="str">
        <f t="shared" si="40"/>
        <v>ERROR: check cell</v>
      </c>
      <c r="CK10" s="126" t="str">
        <f t="shared" si="48"/>
        <v>Quantitative incoherence (same direction of effect)</v>
      </c>
      <c r="CL10" s="127" t="str">
        <f t="shared" si="41"/>
        <v>#VALUE!</v>
      </c>
      <c r="CM10" s="128" t="b">
        <f t="shared" si="42"/>
        <v>0</v>
      </c>
      <c r="CN10" s="128">
        <f t="shared" si="43"/>
        <v>4</v>
      </c>
      <c r="CO10" s="129">
        <f t="shared" si="44"/>
        <v>4</v>
      </c>
      <c r="CP10" s="129" t="str">
        <f>IFS(C10=Preferences!B$13,B10,B10=Preferences!B$13,C10)</f>
        <v>#N/A</v>
      </c>
    </row>
    <row r="11" ht="13.5" customHeight="1">
      <c r="A11" s="63">
        <f t="shared" si="45"/>
        <v>8</v>
      </c>
      <c r="B11" s="90" t="s">
        <v>102</v>
      </c>
      <c r="C11" s="90" t="s">
        <v>104</v>
      </c>
      <c r="D11" s="64"/>
      <c r="E11" s="65">
        <v>3.12807039547848</v>
      </c>
      <c r="F11" s="65">
        <v>1.0673498934751</v>
      </c>
      <c r="G11" s="65">
        <v>9.49403547609005</v>
      </c>
      <c r="H11" s="133">
        <v>59.9</v>
      </c>
      <c r="I11" s="133">
        <v>20.5</v>
      </c>
      <c r="J11" s="134">
        <v>181.7</v>
      </c>
      <c r="K11" s="138"/>
      <c r="L11" s="104" t="s">
        <v>100</v>
      </c>
      <c r="M11" s="104" t="s">
        <v>100</v>
      </c>
      <c r="N11" s="104" t="s">
        <v>100</v>
      </c>
      <c r="O11" s="104" t="s">
        <v>100</v>
      </c>
      <c r="P11" s="107" t="str">
        <f t="shared" si="1"/>
        <v>HIGH</v>
      </c>
      <c r="Q11" s="108" t="str">
        <f>IFERROR(IF(AND(Preferences!B$3="Manual",OR(AX11/AW11&gt;G11/F11,BD11="Serious",BD11="Very serious")),"Assess imprecision",IFS(ISBLANK(E11),"",AND(Preferences!B$3="Automatic", G11/F11&gt;=30),"Extremely serious",AND(H11&lt;=$D$1*-1,J11&lt;0,G11/F11&lt;3),"Not serious",AND(H11&lt;=$D$1*-1,J11&lt;0,G11/F11&gt;=3),"Very serious",AND(H11&gt;=$D$1,I11&gt;0,G11/F11&lt;3),"Not serious",AND(H11&gt;=$D$1,I11&gt;0,G11/F11&gt;=3),"Very serious",AND(H11&lt;=$D$1*-1,J11&gt;0,I11&gt;$D$2*-1,G11/F11&lt;3),"Serious", AND(H11&lt;=$D$1*-1,J11&gt;0,I11&lt;$D$2*-1,G11/F11&lt;3),"Very serious", AND(H11&gt;=$D$1,I11&lt;0,J11&lt;$D$2,G11/F11&lt;3),"Serious",AND(H11&gt;=$D$1,I11&lt;0,J11&gt;$D$2,G11/F11&lt;3),"Very serious", AND(H11&lt;=$D$1*-1,J11&gt;0,I11&gt;$D$2*-1,G11/F11&gt;=3),"Very serious", AND(H11&lt;=$D$1*-1,J11&gt;0,I11&lt;$D$2*-1,G11/F11&gt;=3),"Very serious", AND(H11&gt;=$D$1,I11&lt;0,J11&lt;$D$2,G11/F11&gt;=3),"Very serious", AND(H11&gt;=$D$1,I11&lt;0,J11&gt;$D$2,G11/F11&gt;=3),"Very serious", AND(H11&gt;$D$1*-1,H11&lt;$D$1,I11&gt;$D$1*-1,J11&lt;$D$1,G11/F11&lt;3),"Not serious", AND(H11&gt;$D$1*-1,H11&lt;$D$1,OR(I11&lt;=$D$1*-1,J11&gt;=$D$1),I11&gt;$D$2*-1,J11&lt;$D$2,G11/F11&lt;3),"Serious", AND(H11&gt;$D$1*-1,H11&lt;$D$1,OR(I11&lt;=$D$2*-1,J11&gt;=$D$2),G11/F11&lt;3),"Very serious", AND(H11&gt;$D$1*-1,H11&lt;$D$1,I11&gt;$D$1*-1,J11&lt;$D$1,G11/F11&gt;=3),"Very serious", AND(H11&gt;$D$1*-1,H11&lt;$D$1,OR(I11&lt;=$D$1*-1,J11&gt;=$D$1),I11&gt;$D$2*-1,J11&lt;$D$2,G11/F11&gt;=3),"Very serious", AND(H11&gt;$D$1*-1,H11&lt;$D$1,OR(I11&lt;=$D$2*-1,J11&gt;=$D$2),G11/F11&gt;=3),"Very serious")),"")</f>
        <v>Very serious</v>
      </c>
      <c r="R11" s="109" t="str">
        <f t="shared" si="47"/>
        <v>LOW</v>
      </c>
      <c r="S11" s="64"/>
      <c r="T11" s="72">
        <v>2.26708677416994</v>
      </c>
      <c r="U11" s="72">
        <v>0.543247085216827</v>
      </c>
      <c r="V11" s="72">
        <v>10.0866651251202</v>
      </c>
      <c r="W11" s="111">
        <v>28.9</v>
      </c>
      <c r="X11" s="111">
        <v>-10.0</v>
      </c>
      <c r="Y11" s="112">
        <v>130.0</v>
      </c>
      <c r="Z11" s="113">
        <f t="array" ref="Z11">INDEX($A$1:$C$500, MATCH(1,($B:$B=$B11)*($C:$C=$AB11),0),1)</f>
        <v>2</v>
      </c>
      <c r="AA11" s="113" t="str">
        <f t="array" ref="AA11">INDEX($A$1:$C$500, MATCH(1,($B:$B=$AB11)*($C:$C=$B11),0),1)</f>
        <v>#N/A</v>
      </c>
      <c r="AB11" s="111" t="s">
        <v>24</v>
      </c>
      <c r="AC11" s="114">
        <f t="shared" si="2"/>
        <v>2</v>
      </c>
      <c r="AD11" s="115" t="str">
        <f t="shared" si="3"/>
        <v>MODERATE</v>
      </c>
      <c r="AE11" s="116" t="str">
        <f t="array" ref="AE11">INDEX($A$1:$C$500, MATCH(1,($B:$B=$AB11)*($C:$C=$AG11),0),1)</f>
        <v>#N/A</v>
      </c>
      <c r="AF11" s="116" t="str">
        <f t="array" ref="AF11">INDEX($A$1:$C$500, MATCH(1,($B:$B=$AG11)*($C:$C=$AB11),0),1)</f>
        <v>#N/A</v>
      </c>
      <c r="AG11" s="72"/>
      <c r="AH11" s="114" t="str">
        <f t="shared" si="4"/>
        <v>#N/A</v>
      </c>
      <c r="AI11" s="115" t="str">
        <f t="shared" si="5"/>
        <v/>
      </c>
      <c r="AJ11" s="116" t="str">
        <f t="array" ref="AJ11">INDEX($A$1:$C$500, MATCH(1,($B:$B=$C11)*($C:$C=$AG11),0),1)</f>
        <v>#N/A</v>
      </c>
      <c r="AK11" s="116" t="str">
        <f t="array" ref="AK11">INDEX($A$1:$C$500, MATCH(1,($B:$B=$AG11)*($C:$C=$C11),0),1)</f>
        <v>#N/A</v>
      </c>
      <c r="AL11" s="116">
        <f t="array" ref="AL11">INDEX($A$1:$C$500, MATCH(1,($B:$B=$C11)*($C:$C=$AB11),0),1)</f>
        <v>3</v>
      </c>
      <c r="AM11" s="116" t="str">
        <f t="array" ref="AM11">INDEX($A$1:$C$500, MATCH(1,($B:$B=$AB11)*($C:$C=$C11),0),1)</f>
        <v>#N/A</v>
      </c>
      <c r="AN11" s="114">
        <f t="array" ref="AN11">IFS(ISNUMBER(AJ11),AJ11,ISNUMBER(AK11),AK11,ISNUMBER(AL11),AL11,ISNUMBER(AM11),AM11)</f>
        <v>3</v>
      </c>
      <c r="AO11" s="115" t="str">
        <f t="shared" si="6"/>
        <v>MODERATE</v>
      </c>
      <c r="AP11" s="115" t="str">
        <f t="shared" si="7"/>
        <v>MODERATE</v>
      </c>
      <c r="AQ11" s="111" t="s">
        <v>100</v>
      </c>
      <c r="AR11" s="109" t="str">
        <f t="shared" si="8"/>
        <v>MODERATE</v>
      </c>
      <c r="AS11" s="72" t="str">
        <f>IFERROR(IF(AND(Preferences!B$3="Manual",OR(AX11/AW11&gt;V11/U11,BD11="Serious",BD11="Very serious")),"Assess imprecision",IFERROR(IFS(AND(Preferences!B$3="Automatic",V11/U11&gt;=30),"Extremely serious",AND(W11&lt;=$D$1*-1,Y11&lt;0,V11/U11&lt;3),"Not Serious",AND(W11&lt;=$D$1*-1,Y11&lt;0,V11/U11&gt;=3),"Very serious",AND(W11&gt;=$D$1,X11&gt;0,V11/U11&lt;3),"Not Serious",AND(W11&gt;=$D$1,X11&gt;0,V11/U11&gt;=3),"Very serious",AND(W11&lt;=$D$1*-1,Y11&gt;0,X11&gt;$D$2*-1,V11/U11&lt;3),"Serious", AND(W11&lt;=$D$1*-1,Y11&gt;0,X11&lt;$D$2*-1,V11/U11&lt;3),"Very serious", AND(W11&gt;=$D$1,X11&lt;0,Y11&lt;$D$2,V11/U11&lt;3),"Serious",AND(W11&gt;=$D$1,X11&lt;0,Y11&gt;$D$2,V11/U11&lt;3),"Very serious", AND(W11&lt;=$D$1*-1,Y11&gt;0,X11&gt;$D$2*-1,V11/U11&gt;=3),"Very serious", AND(W11&lt;=$D$1*-1,Y11&gt;0,X11&lt;$D$2*-1,V11/U11&gt;=3),"Very serious", AND(W11&gt;=$D$1,X11&lt;0,Y11&lt;$D$2,V11/U11&gt;=3),"Very serious", AND(W11&gt;=$D$1,X11&lt;0,Y11&gt;$D$2,V11/U11&gt;=3),"Very serious", AND(W11&gt;$D$1*-1,W11&lt;$D$1,X11&gt;$D$1*-1,Y11&lt;$D$1,V11/U11&lt;3),"Not Serious", AND(W11&gt;$D$1*-1,W11&lt;$D$1,OR(X11&lt;=$D$1*-1,Y11&gt;=$D$1),X11&gt;$D$2*-1,Y11&lt;$D$2,V11/U11&lt;3),"Serious", AND(W11&gt;$D$1*-1,W11&lt;$D$1,OR(X11&lt;=$D$2*-1,Y11&gt;=$D$2),V11/U11&lt;3),"Very serious", AND(W11&gt;$D$1*-1,W11&lt;$D$1,X11&gt;$D$1*-1,Y11&lt;$D$1,V11/U11&gt;=3),"Very serious", AND(W11&gt;$D$1*-1,W11&lt;$D$1,OR(X11&lt;=$D$1*-1,Y11&gt;=$D$1),X11&gt;$D$2*-1,Y11&lt;$D$2,V11/U11&gt;=3),"Very serious", AND(W11&gt;$D$1*-1,W11&lt;$D$1,OR(X11&lt;=$D$2*-1,Y11&gt;=$D$2),V11/U11&gt;=3),"Very serious"),"")),"")</f>
        <v>Very serious</v>
      </c>
      <c r="AT11" s="109" t="str">
        <f t="shared" si="9"/>
        <v>VERY LOW</v>
      </c>
      <c r="AU11" s="123"/>
      <c r="AV11" s="117">
        <v>2.99558638385145</v>
      </c>
      <c r="AW11" s="117">
        <v>1.4480531513163</v>
      </c>
      <c r="AX11" s="117">
        <v>6.49667170255095</v>
      </c>
      <c r="AY11" s="118">
        <v>34.0795618697099</v>
      </c>
      <c r="AZ11" s="118">
        <v>7.26596757176424</v>
      </c>
      <c r="BA11" s="119">
        <v>80.2877320125608</v>
      </c>
      <c r="BB11" s="86" t="str">
        <f>IF(Preferences!B$9="Manual","",IFS(ISBLANK(B11),"",AND(ISNUMBER(E11)=TRUE,ISNUMBER(T11)=FALSE),"Direct", AND(ISNUMBER(E11)=FALSE,ISNUMBER(T11)=TRUE),"Indirect", CN11=4,"Direct",AND(CL11=FALSE, CM11=TRUE,CN11-CO11&gt;-1),"Direct", AND(CL11=FALSE,CM11=TRUE, CN11-CO11&lt;0),"Check algorithm in appendix 2", AND(CL11=TRUE, CM11=FALSE,CN11-CO11&gt;0),"Check algorithm in appendix 2", AND(CL11=TRUE, CM11=FALSE,CN11-CO11=0),"Indirect", AND(CL11=TRUE, CM11=FALSE,CN11-CO11&lt;0),"Indirect", AND(CL11=FALSE,CM11=FALSE,CN11-CO11&gt;-1),"Direct", AND(CL11=FALSE,CM11=FALSE,CN11-CO11&lt;0),"Check algorithm in appendix 2", AND(CL11=TRUE,CM11=TRUE,CN11-CO11&gt;-1),"Direct", AND(CL11=TRUE,CM11=TRUE,CN11-CO11&lt;0),"Check algorithm in appendix 2"))</f>
        <v>Direct</v>
      </c>
      <c r="BC11" s="120" t="str">
        <f t="shared" si="10"/>
        <v>HIGH</v>
      </c>
      <c r="BD11" s="122" t="s">
        <v>100</v>
      </c>
      <c r="BE11" s="122" t="str">
        <f>IF(Preferences!B$3="Manual","", IFERROR(IFS(AND(Preferences!B$3="Automatic",AX11/AW11&gt;=30),"Extremely serious",AND(AY11&lt;=$D$1*-1,BA11&lt;0,AX11/AW11&lt;3),"Not Serious",AND(AY11&lt;=$D$1*-1,BA11&lt;0,AX11/AW11&gt;=3),"Very serious",AND(AY11&gt;=$D$1,AZ11&gt;0,AX11/AW11&lt;3),"Not Serious",AND(AY11&gt;=$D$1,AZ11&gt;0,AX11/AW11&gt;=3),"Very serious",AND(AY11&lt;=$D$1*-1,BA11&gt;0,AZ11&gt;$D$2*-1,AX11/AW11&lt;3),"Serious", AND(AY11&lt;=$D$1*-1,BA11&gt;0,AZ11&lt;$D$2*-1,AX11/AW11&lt;3),"Very serious", AND(AY11&gt;=$D$1,AZ11&lt;0,BA11&lt;$D$2,AX11/AW11&lt;3),"Serious",AND(AY11&gt;=$D$1,AZ11&lt;0,BA11&gt;$D$2,AX11/AW11&lt;3),"Very serious", AND(AY11&lt;=$D$1*-1,BA11&gt;0,AZ11&gt;$D$2*-1,AX11/AW11&gt;=3),"Very serious", AND(AY11&lt;=$D$1*-1,BA11&gt;0,AZ11&lt;$D$2*-1,AX11/AW11&gt;=3),"Very serious", AND(AY11&gt;=$D$1,AZ11&lt;0,BA11&lt;$D$2,AX11/AW11&gt;=3),"Very serious", AND(AY11&gt;=$D$1,AZ11&lt;0,BA11&gt;$D$2,AX11/AW11&gt;=3),"Very serious", AND(AY11&gt;$D$1*-1,AY11&lt;$D$1,AZ11&gt;$D$1*-1,BA11&lt;$D$1,AX11/AW11&lt;3),"Not Serious", AND(AY11&gt;$D$1*-1,AY11&lt;$D$1,OR(AZ11&lt;=$D$1*-1,BA11&gt;=$D$1),AZ11&gt;$D$2*-1,BA11&lt;$D$2,AX11/AW11&lt;3),"Serious", AND(AY11&gt;$D$1*-1,AY11&lt;$D$1,OR(AZ11&lt;=$D$2*-1,BA11&gt;=$D$2),AX11/AW11&lt;3),"Very serious", AND(AY11&gt;$D$1*-1,AY11&lt;$D$1,AZ11&gt;$D$1*-1,BA11&lt;$D$1,AX11/AW11&gt;=3),"Very serious", AND(AY11&gt;$D$1*-1,AY11&lt;$D$1,OR(AZ11&lt;=$D$1*-1,BA11&gt;=$D$1),AZ11&gt;$D$2*-1,BA11&lt;$D$2,AX11/AW11&gt;=3),"Very serious", AND(AY11&gt;$D$1*-1,AY11&lt;$D$1,OR(AZ11&lt;=$D$2*-1,BA11&gt;=$D$2),AX11/AW11&gt;=3),"Very serious"),""))</f>
        <v>Very serious</v>
      </c>
      <c r="BF11" s="107" t="str">
        <f t="shared" si="11"/>
        <v>LOW</v>
      </c>
      <c r="BG11" s="94" t="str">
        <f t="shared" si="46"/>
        <v>NMA</v>
      </c>
      <c r="BH11" s="64" t="str">
        <f t="shared" si="12"/>
        <v>YES</v>
      </c>
      <c r="BI11" s="64" t="str">
        <f t="shared" si="13"/>
        <v>Prelim Very serious</v>
      </c>
      <c r="BJ11" s="123">
        <f t="shared" si="14"/>
        <v>4</v>
      </c>
      <c r="BK11" s="64" t="str">
        <f t="shared" si="15"/>
        <v>YES</v>
      </c>
      <c r="BL11" s="64" t="str">
        <f t="shared" si="16"/>
        <v>YES</v>
      </c>
      <c r="BM11" s="64" t="str">
        <f t="shared" si="17"/>
        <v>NO</v>
      </c>
      <c r="BN11" s="124" t="str">
        <f t="shared" si="18"/>
        <v>Imprecisionx2, </v>
      </c>
      <c r="BO11" s="91" t="str">
        <f t="shared" si="19"/>
        <v>RoB, Imprecisionx2, </v>
      </c>
      <c r="BP11" s="91" t="str">
        <f t="shared" si="20"/>
        <v>Imprecisionx2, </v>
      </c>
      <c r="BQ11" s="91" t="str">
        <f t="shared" si="21"/>
        <v>Imprecisionx2</v>
      </c>
      <c r="BR11" s="93" t="str">
        <f t="shared" si="22"/>
        <v>Serious</v>
      </c>
      <c r="BS11" s="90" t="str">
        <f t="shared" si="23"/>
        <v>NA</v>
      </c>
      <c r="BT11" s="93" t="str">
        <f t="shared" si="24"/>
        <v>Serious</v>
      </c>
      <c r="BU11" s="125" t="str">
        <f t="shared" si="25"/>
        <v>RoB</v>
      </c>
      <c r="BV11" s="93" t="str">
        <f t="shared" si="26"/>
        <v>Not serious</v>
      </c>
      <c r="BW11" s="93" t="str">
        <f t="shared" si="27"/>
        <v>NA</v>
      </c>
      <c r="BX11" s="93" t="str">
        <f t="shared" si="28"/>
        <v>Not serious</v>
      </c>
      <c r="BY11" s="95" t="str">
        <f t="shared" si="29"/>
        <v>NA</v>
      </c>
      <c r="BZ11" s="93" t="str">
        <f t="shared" si="30"/>
        <v>Not serious</v>
      </c>
      <c r="CA11" s="93" t="str">
        <f t="shared" si="31"/>
        <v>NA</v>
      </c>
      <c r="CB11" s="93" t="str">
        <f t="shared" si="32"/>
        <v>Not serious</v>
      </c>
      <c r="CC11" s="96" t="str">
        <f t="shared" si="33"/>
        <v>NA</v>
      </c>
      <c r="CD11" s="93" t="str">
        <f t="shared" si="34"/>
        <v>Not serious</v>
      </c>
      <c r="CE11" s="93" t="str">
        <f t="shared" si="35"/>
        <v>NA</v>
      </c>
      <c r="CF11" s="93" t="str">
        <f t="shared" si="36"/>
        <v>Not serious</v>
      </c>
      <c r="CG11" s="97" t="str">
        <f t="shared" si="37"/>
        <v>NA</v>
      </c>
      <c r="CH11" s="98" t="str">
        <f t="shared" si="38"/>
        <v>Very serious</v>
      </c>
      <c r="CI11" s="99" t="str">
        <f t="shared" si="39"/>
        <v>Not serious</v>
      </c>
      <c r="CJ11" s="126" t="str">
        <f t="shared" si="40"/>
        <v>Wide OR CI: OIS not met</v>
      </c>
      <c r="CK11" s="126"/>
      <c r="CL11" s="127" t="b">
        <f t="shared" si="41"/>
        <v>1</v>
      </c>
      <c r="CM11" s="128" t="b">
        <f t="shared" si="42"/>
        <v>1</v>
      </c>
      <c r="CN11" s="128">
        <f t="shared" si="43"/>
        <v>4</v>
      </c>
      <c r="CO11" s="129">
        <f t="shared" si="44"/>
        <v>3</v>
      </c>
      <c r="CP11" s="129" t="str">
        <f>IFS(C11=Preferences!B$13,B11,B11=Preferences!B$13,C11)</f>
        <v>#N/A</v>
      </c>
    </row>
    <row r="12" ht="13.5" customHeight="1">
      <c r="A12" s="63">
        <f t="shared" si="45"/>
        <v>9</v>
      </c>
      <c r="B12" s="90" t="s">
        <v>102</v>
      </c>
      <c r="C12" s="90" t="s">
        <v>105</v>
      </c>
      <c r="D12" s="64"/>
      <c r="E12" s="132" t="s">
        <v>101</v>
      </c>
      <c r="F12" s="132" t="s">
        <v>101</v>
      </c>
      <c r="G12" s="132" t="s">
        <v>101</v>
      </c>
      <c r="H12" s="133" t="s">
        <v>101</v>
      </c>
      <c r="I12" s="133" t="s">
        <v>101</v>
      </c>
      <c r="J12" s="134" t="s">
        <v>101</v>
      </c>
      <c r="K12" s="131"/>
      <c r="L12" s="104"/>
      <c r="M12" s="104"/>
      <c r="N12" s="104"/>
      <c r="O12" s="104"/>
      <c r="P12" s="107" t="str">
        <f t="shared" si="1"/>
        <v/>
      </c>
      <c r="Q12" s="108" t="str">
        <f>IFERROR(IF(AND(Preferences!B$3="Manual",OR(AX12/AW12&gt;G12/F12,BD12="Serious",BD12="Very serious")),"Assess imprecision",IFS(ISBLANK(E12),"",AND(Preferences!B$3="Automatic", G12/F12&gt;=30),"Extremely serious",AND(H12&lt;=$D$1*-1,J12&lt;0,G12/F12&lt;3),"Not serious",AND(H12&lt;=$D$1*-1,J12&lt;0,G12/F12&gt;=3),"Very serious",AND(H12&gt;=$D$1,I12&gt;0,G12/F12&lt;3),"Not serious",AND(H12&gt;=$D$1,I12&gt;0,G12/F12&gt;=3),"Very serious",AND(H12&lt;=$D$1*-1,J12&gt;0,I12&gt;$D$2*-1,G12/F12&lt;3),"Serious", AND(H12&lt;=$D$1*-1,J12&gt;0,I12&lt;$D$2*-1,G12/F12&lt;3),"Very serious", AND(H12&gt;=$D$1,I12&lt;0,J12&lt;$D$2,G12/F12&lt;3),"Serious",AND(H12&gt;=$D$1,I12&lt;0,J12&gt;$D$2,G12/F12&lt;3),"Very serious", AND(H12&lt;=$D$1*-1,J12&gt;0,I12&gt;$D$2*-1,G12/F12&gt;=3),"Very serious", AND(H12&lt;=$D$1*-1,J12&gt;0,I12&lt;$D$2*-1,G12/F12&gt;=3),"Very serious", AND(H12&gt;=$D$1,I12&lt;0,J12&lt;$D$2,G12/F12&gt;=3),"Very serious", AND(H12&gt;=$D$1,I12&lt;0,J12&gt;$D$2,G12/F12&gt;=3),"Very serious", AND(H12&gt;$D$1*-1,H12&lt;$D$1,I12&gt;$D$1*-1,J12&lt;$D$1,G12/F12&lt;3),"Not serious", AND(H12&gt;$D$1*-1,H12&lt;$D$1,OR(I12&lt;=$D$1*-1,J12&gt;=$D$1),I12&gt;$D$2*-1,J12&lt;$D$2,G12/F12&lt;3),"Serious", AND(H12&gt;$D$1*-1,H12&lt;$D$1,OR(I12&lt;=$D$2*-1,J12&gt;=$D$2),G12/F12&lt;3),"Very serious", AND(H12&gt;$D$1*-1,H12&lt;$D$1,I12&gt;$D$1*-1,J12&lt;$D$1,G12/F12&gt;=3),"Very serious", AND(H12&gt;$D$1*-1,H12&lt;$D$1,OR(I12&lt;=$D$1*-1,J12&gt;=$D$1),I12&gt;$D$2*-1,J12&lt;$D$2,G12/F12&gt;=3),"Very serious", AND(H12&gt;$D$1*-1,H12&lt;$D$1,OR(I12&lt;=$D$2*-1,J12&gt;=$D$2),G12/F12&gt;=3),"Very serious")),"")</f>
        <v/>
      </c>
      <c r="R12" s="109" t="str">
        <f t="shared" si="47"/>
        <v>NA</v>
      </c>
      <c r="S12" s="64"/>
      <c r="T12" s="72">
        <v>0.476303510903746</v>
      </c>
      <c r="U12" s="72">
        <v>0.0423143079802275</v>
      </c>
      <c r="V12" s="72">
        <v>5.07248076147528</v>
      </c>
      <c r="W12" s="72">
        <v>-40.8697558217548</v>
      </c>
      <c r="X12" s="72">
        <v>-242.397579511847</v>
      </c>
      <c r="Y12" s="130">
        <v>15.1502682739129</v>
      </c>
      <c r="Z12" s="113">
        <f t="array" ref="Z12">INDEX($A$1:$C$500, MATCH(1,($B:$B=$B12)*($C:$C=$AB12),0),1)</f>
        <v>2</v>
      </c>
      <c r="AA12" s="113" t="str">
        <f t="array" ref="AA12">INDEX($A$1:$C$500, MATCH(1,($B:$B=$AB12)*($C:$C=$B12),0),1)</f>
        <v>#N/A</v>
      </c>
      <c r="AB12" s="111" t="s">
        <v>24</v>
      </c>
      <c r="AC12" s="114">
        <f t="shared" si="2"/>
        <v>2</v>
      </c>
      <c r="AD12" s="115" t="str">
        <f t="shared" si="3"/>
        <v>MODERATE</v>
      </c>
      <c r="AE12" s="116" t="str">
        <f t="array" ref="AE12">INDEX($A$1:$C$500, MATCH(1,($B:$B=$AB12)*($C:$C=$AG12),0),1)</f>
        <v>#N/A</v>
      </c>
      <c r="AF12" s="116" t="str">
        <f t="array" ref="AF12">INDEX($A$1:$C$500, MATCH(1,($B:$B=$AG12)*($C:$C=$AB12),0),1)</f>
        <v>#N/A</v>
      </c>
      <c r="AG12" s="72"/>
      <c r="AH12" s="114" t="str">
        <f t="shared" si="4"/>
        <v>#N/A</v>
      </c>
      <c r="AI12" s="115" t="str">
        <f t="shared" si="5"/>
        <v/>
      </c>
      <c r="AJ12" s="116" t="str">
        <f t="array" ref="AJ12">INDEX($A$1:$C$500, MATCH(1,($B:$B=$C12)*($C:$C=$AG12),0),1)</f>
        <v>#N/A</v>
      </c>
      <c r="AK12" s="116" t="str">
        <f t="array" ref="AK12">INDEX($A$1:$C$500, MATCH(1,($B:$B=$AG12)*($C:$C=$C12),0),1)</f>
        <v>#N/A</v>
      </c>
      <c r="AL12" s="116">
        <f t="array" ref="AL12">INDEX($A$1:$C$500, MATCH(1,($B:$B=$C12)*($C:$C=$AB12),0),1)</f>
        <v>4</v>
      </c>
      <c r="AM12" s="116" t="str">
        <f t="array" ref="AM12">INDEX($A$1:$C$500, MATCH(1,($B:$B=$AB12)*($C:$C=$C12),0),1)</f>
        <v>#N/A</v>
      </c>
      <c r="AN12" s="114">
        <f t="array" ref="AN12">IFS(ISNUMBER(AJ12),AJ12,ISNUMBER(AK12),AK12,ISNUMBER(AL12),AL12,ISNUMBER(AM12),AM12)</f>
        <v>4</v>
      </c>
      <c r="AO12" s="115" t="str">
        <f t="shared" si="6"/>
        <v>HIGH</v>
      </c>
      <c r="AP12" s="115" t="str">
        <f t="shared" si="7"/>
        <v>MODERATE</v>
      </c>
      <c r="AQ12" s="111" t="s">
        <v>100</v>
      </c>
      <c r="AR12" s="109" t="str">
        <f t="shared" si="8"/>
        <v>MODERATE</v>
      </c>
      <c r="AS12" s="72" t="str">
        <f>IFERROR(IF(AND(Preferences!B$3="Manual",OR(AX12/AW12&gt;V12/U12,BD12="Serious",BD12="Very serious")),"Assess imprecision",IFERROR(IFS(AND(Preferences!B$3="Automatic",V12/U12&gt;=30),"Extremely serious",AND(W12&lt;=$D$1*-1,Y12&lt;0,V12/U12&lt;3),"Not Serious",AND(W12&lt;=$D$1*-1,Y12&lt;0,V12/U12&gt;=3),"Very serious",AND(W12&gt;=$D$1,X12&gt;0,V12/U12&lt;3),"Not Serious",AND(W12&gt;=$D$1,X12&gt;0,V12/U12&gt;=3),"Very serious",AND(W12&lt;=$D$1*-1,Y12&gt;0,X12&gt;$D$2*-1,V12/U12&lt;3),"Serious", AND(W12&lt;=$D$1*-1,Y12&gt;0,X12&lt;$D$2*-1,V12/U12&lt;3),"Very serious", AND(W12&gt;=$D$1,X12&lt;0,Y12&lt;$D$2,V12/U12&lt;3),"Serious",AND(W12&gt;=$D$1,X12&lt;0,Y12&gt;$D$2,V12/U12&lt;3),"Very serious", AND(W12&lt;=$D$1*-1,Y12&gt;0,X12&gt;$D$2*-1,V12/U12&gt;=3),"Very serious", AND(W12&lt;=$D$1*-1,Y12&gt;0,X12&lt;$D$2*-1,V12/U12&gt;=3),"Very serious", AND(W12&gt;=$D$1,X12&lt;0,Y12&lt;$D$2,V12/U12&gt;=3),"Very serious", AND(W12&gt;=$D$1,X12&lt;0,Y12&gt;$D$2,V12/U12&gt;=3),"Very serious", AND(W12&gt;$D$1*-1,W12&lt;$D$1,X12&gt;$D$1*-1,Y12&lt;$D$1,V12/U12&lt;3),"Not Serious", AND(W12&gt;$D$1*-1,W12&lt;$D$1,OR(X12&lt;=$D$1*-1,Y12&gt;=$D$1),X12&gt;$D$2*-1,Y12&lt;$D$2,V12/U12&lt;3),"Serious", AND(W12&gt;$D$1*-1,W12&lt;$D$1,OR(X12&lt;=$D$2*-1,Y12&gt;=$D$2),V12/U12&lt;3),"Very serious", AND(W12&gt;$D$1*-1,W12&lt;$D$1,X12&gt;$D$1*-1,Y12&lt;$D$1,V12/U12&gt;=3),"Very serious", AND(W12&gt;$D$1*-1,W12&lt;$D$1,OR(X12&lt;=$D$1*-1,Y12&gt;=$D$1),X12&gt;$D$2*-1,Y12&lt;$D$2,V12/U12&gt;=3),"Very serious", AND(W12&gt;$D$1*-1,W12&lt;$D$1,OR(X12&lt;=$D$2*-1,Y12&gt;=$D$2),V12/U12&gt;=3),"Very serious"),"")),"")</f>
        <v>Extremely serious</v>
      </c>
      <c r="AT12" s="109" t="str">
        <f t="shared" si="9"/>
        <v>VERY LOW</v>
      </c>
      <c r="AU12" s="123"/>
      <c r="AV12" s="117">
        <v>0.476303510903746</v>
      </c>
      <c r="AW12" s="117">
        <v>0.0423143079802275</v>
      </c>
      <c r="AX12" s="117">
        <v>5.07248076147528</v>
      </c>
      <c r="AY12" s="118">
        <v>-40.8697558217548</v>
      </c>
      <c r="AZ12" s="118">
        <v>-242.397579511847</v>
      </c>
      <c r="BA12" s="119">
        <v>15.1502682739129</v>
      </c>
      <c r="BB12" s="86" t="str">
        <f>IF(Preferences!B$9="Manual","",IFS(ISBLANK(B12),"",AND(ISNUMBER(E12)=TRUE,ISNUMBER(T12)=FALSE),"Direct", AND(ISNUMBER(E12)=FALSE,ISNUMBER(T12)=TRUE),"Indirect", CN12=4,"Direct",AND(CL12=FALSE, CM12=TRUE,CN12-CO12&gt;-1),"Direct", AND(CL12=FALSE,CM12=TRUE, CN12-CO12&lt;0),"Check algorithm in appendix 2", AND(CL12=TRUE, CM12=FALSE,CN12-CO12&gt;0),"Check algorithm in appendix 2", AND(CL12=TRUE, CM12=FALSE,CN12-CO12=0),"Indirect", AND(CL12=TRUE, CM12=FALSE,CN12-CO12&lt;0),"Indirect", AND(CL12=FALSE,CM12=FALSE,CN12-CO12&gt;-1),"Direct", AND(CL12=FALSE,CM12=FALSE,CN12-CO12&lt;0),"Check algorithm in appendix 2", AND(CL12=TRUE,CM12=TRUE,CN12-CO12&gt;-1),"Direct", AND(CL12=TRUE,CM12=TRUE,CN12-CO12&lt;0),"Check algorithm in appendix 2"))</f>
        <v>Indirect</v>
      </c>
      <c r="BC12" s="120" t="str">
        <f t="shared" si="10"/>
        <v>MODERATE</v>
      </c>
      <c r="BD12" s="122" t="s">
        <v>100</v>
      </c>
      <c r="BE12" s="122" t="str">
        <f>IF(Preferences!B$3="Manual","", IFERROR(IFS(AND(Preferences!B$3="Automatic",AX12/AW12&gt;=30),"Extremely serious",AND(AY12&lt;=$D$1*-1,BA12&lt;0,AX12/AW12&lt;3),"Not Serious",AND(AY12&lt;=$D$1*-1,BA12&lt;0,AX12/AW12&gt;=3),"Very serious",AND(AY12&gt;=$D$1,AZ12&gt;0,AX12/AW12&lt;3),"Not Serious",AND(AY12&gt;=$D$1,AZ12&gt;0,AX12/AW12&gt;=3),"Very serious",AND(AY12&lt;=$D$1*-1,BA12&gt;0,AZ12&gt;$D$2*-1,AX12/AW12&lt;3),"Serious", AND(AY12&lt;=$D$1*-1,BA12&gt;0,AZ12&lt;$D$2*-1,AX12/AW12&lt;3),"Very serious", AND(AY12&gt;=$D$1,AZ12&lt;0,BA12&lt;$D$2,AX12/AW12&lt;3),"Serious",AND(AY12&gt;=$D$1,AZ12&lt;0,BA12&gt;$D$2,AX12/AW12&lt;3),"Very serious", AND(AY12&lt;=$D$1*-1,BA12&gt;0,AZ12&gt;$D$2*-1,AX12/AW12&gt;=3),"Very serious", AND(AY12&lt;=$D$1*-1,BA12&gt;0,AZ12&lt;$D$2*-1,AX12/AW12&gt;=3),"Very serious", AND(AY12&gt;=$D$1,AZ12&lt;0,BA12&lt;$D$2,AX12/AW12&gt;=3),"Very serious", AND(AY12&gt;=$D$1,AZ12&lt;0,BA12&gt;$D$2,AX12/AW12&gt;=3),"Very serious", AND(AY12&gt;$D$1*-1,AY12&lt;$D$1,AZ12&gt;$D$1*-1,BA12&lt;$D$1,AX12/AW12&lt;3),"Not Serious", AND(AY12&gt;$D$1*-1,AY12&lt;$D$1,OR(AZ12&lt;=$D$1*-1,BA12&gt;=$D$1),AZ12&gt;$D$2*-1,BA12&lt;$D$2,AX12/AW12&lt;3),"Serious", AND(AY12&gt;$D$1*-1,AY12&lt;$D$1,OR(AZ12&lt;=$D$2*-1,BA12&gt;=$D$2),AX12/AW12&lt;3),"Very serious", AND(AY12&gt;$D$1*-1,AY12&lt;$D$1,AZ12&gt;$D$1*-1,BA12&lt;$D$1,AX12/AW12&gt;=3),"Very serious", AND(AY12&gt;$D$1*-1,AY12&lt;$D$1,OR(AZ12&lt;=$D$1*-1,BA12&gt;=$D$1),AZ12&gt;$D$2*-1,BA12&lt;$D$2,AX12/AW12&gt;=3),"Very serious", AND(AY12&gt;$D$1*-1,AY12&lt;$D$1,OR(AZ12&lt;=$D$2*-1,BA12&gt;=$D$2),AX12/AW12&gt;=3),"Very serious"),""))</f>
        <v>Extremely serious</v>
      </c>
      <c r="BF12" s="107" t="str">
        <f t="shared" si="11"/>
        <v>VERY LOW</v>
      </c>
      <c r="BG12" s="94" t="str">
        <f t="shared" si="46"/>
        <v>NMA</v>
      </c>
      <c r="BH12" s="64" t="str">
        <f t="shared" si="12"/>
        <v>NO</v>
      </c>
      <c r="BI12" s="64" t="str">
        <f t="shared" si="13"/>
        <v>Prelim Very serious</v>
      </c>
      <c r="BJ12" s="123">
        <f t="shared" si="14"/>
        <v>3</v>
      </c>
      <c r="BK12" s="64" t="str">
        <f t="shared" si="15"/>
        <v>NO</v>
      </c>
      <c r="BL12" s="64" t="str">
        <f t="shared" si="16"/>
        <v>YES</v>
      </c>
      <c r="BM12" s="64" t="str">
        <f t="shared" si="17"/>
        <v>NO</v>
      </c>
      <c r="BN12" s="124" t="str">
        <f t="shared" si="18"/>
        <v>Imprecisionx3, </v>
      </c>
      <c r="BO12" s="91" t="str">
        <f t="shared" si="19"/>
        <v>RoB, Imprecisionx3, </v>
      </c>
      <c r="BP12" s="91" t="str">
        <f t="shared" si="20"/>
        <v>RoB, Imprecisionx3, </v>
      </c>
      <c r="BQ12" s="91" t="str">
        <f t="shared" si="21"/>
        <v>RoB, Imprecisionx3</v>
      </c>
      <c r="BR12" s="93" t="str">
        <f t="shared" si="22"/>
        <v>Serious</v>
      </c>
      <c r="BS12" s="90" t="str">
        <f t="shared" si="23"/>
        <v>NA</v>
      </c>
      <c r="BT12" s="93" t="str">
        <f t="shared" si="24"/>
        <v>Not serious</v>
      </c>
      <c r="BU12" s="125" t="str">
        <f t="shared" si="25"/>
        <v>RoB</v>
      </c>
      <c r="BV12" s="93" t="str">
        <f t="shared" si="26"/>
        <v>Not serious</v>
      </c>
      <c r="BW12" s="93" t="str">
        <f t="shared" si="27"/>
        <v>NA</v>
      </c>
      <c r="BX12" s="93" t="str">
        <f t="shared" si="28"/>
        <v>Not serious</v>
      </c>
      <c r="BY12" s="95" t="str">
        <f t="shared" si="29"/>
        <v>NA</v>
      </c>
      <c r="BZ12" s="93" t="str">
        <f t="shared" si="30"/>
        <v>Not serious</v>
      </c>
      <c r="CA12" s="93" t="str">
        <f t="shared" si="31"/>
        <v>NA</v>
      </c>
      <c r="CB12" s="93" t="str">
        <f t="shared" si="32"/>
        <v>Not serious</v>
      </c>
      <c r="CC12" s="96" t="str">
        <f t="shared" si="33"/>
        <v>NA</v>
      </c>
      <c r="CD12" s="93" t="str">
        <f t="shared" si="34"/>
        <v>Not serious</v>
      </c>
      <c r="CE12" s="93" t="str">
        <f t="shared" si="35"/>
        <v>NA</v>
      </c>
      <c r="CF12" s="93" t="str">
        <f t="shared" si="36"/>
        <v>Not serious</v>
      </c>
      <c r="CG12" s="97" t="str">
        <f t="shared" si="37"/>
        <v>NA</v>
      </c>
      <c r="CH12" s="98" t="str">
        <f t="shared" si="38"/>
        <v>Extremely serious</v>
      </c>
      <c r="CI12" s="99" t="str">
        <f t="shared" si="39"/>
        <v>Not serious</v>
      </c>
      <c r="CJ12" s="126" t="str">
        <f t="shared" si="40"/>
        <v>2x, RD CIs very wide: Large benefit to trivial effect or more</v>
      </c>
      <c r="CK12" s="126"/>
      <c r="CL12" s="127" t="str">
        <f t="shared" si="41"/>
        <v>#VALUE!</v>
      </c>
      <c r="CM12" s="128" t="b">
        <f t="shared" si="42"/>
        <v>0</v>
      </c>
      <c r="CN12" s="128">
        <f t="shared" si="43"/>
        <v>4</v>
      </c>
      <c r="CO12" s="129">
        <f t="shared" si="44"/>
        <v>3</v>
      </c>
      <c r="CP12" s="129" t="str">
        <f>IFS(C12=Preferences!B$13,B12,B12=Preferences!B$13,C12)</f>
        <v>#N/A</v>
      </c>
    </row>
    <row r="13" ht="13.5" customHeight="1">
      <c r="A13" s="63">
        <f t="shared" si="45"/>
        <v>10</v>
      </c>
      <c r="B13" s="90" t="s">
        <v>104</v>
      </c>
      <c r="C13" s="90" t="s">
        <v>105</v>
      </c>
      <c r="D13" s="64"/>
      <c r="E13" s="132" t="s">
        <v>101</v>
      </c>
      <c r="F13" s="132" t="s">
        <v>101</v>
      </c>
      <c r="G13" s="132" t="s">
        <v>101</v>
      </c>
      <c r="H13" s="133" t="s">
        <v>101</v>
      </c>
      <c r="I13" s="133" t="s">
        <v>101</v>
      </c>
      <c r="J13" s="134" t="s">
        <v>101</v>
      </c>
      <c r="K13" s="131"/>
      <c r="L13" s="104"/>
      <c r="M13" s="104"/>
      <c r="N13" s="104"/>
      <c r="O13" s="104"/>
      <c r="P13" s="107" t="str">
        <f t="shared" si="1"/>
        <v/>
      </c>
      <c r="Q13" s="108" t="str">
        <f>IFERROR(IF(AND(Preferences!B$3="Manual",OR(AX13/AW13&gt;G13/F13,BD13="Serious",BD13="Very serious")),"Assess imprecision",IFS(ISBLANK(E13),"",AND(Preferences!B$3="Automatic", G13/F13&gt;=30),"Extremely serious",AND(H13&lt;=$D$1*-1,J13&lt;0,G13/F13&lt;3),"Not serious",AND(H13&lt;=$D$1*-1,J13&lt;0,G13/F13&gt;=3),"Very serious",AND(H13&gt;=$D$1,I13&gt;0,G13/F13&lt;3),"Not serious",AND(H13&gt;=$D$1,I13&gt;0,G13/F13&gt;=3),"Very serious",AND(H13&lt;=$D$1*-1,J13&gt;0,I13&gt;$D$2*-1,G13/F13&lt;3),"Serious", AND(H13&lt;=$D$1*-1,J13&gt;0,I13&lt;$D$2*-1,G13/F13&lt;3),"Very serious", AND(H13&gt;=$D$1,I13&lt;0,J13&lt;$D$2,G13/F13&lt;3),"Serious",AND(H13&gt;=$D$1,I13&lt;0,J13&gt;$D$2,G13/F13&lt;3),"Very serious", AND(H13&lt;=$D$1*-1,J13&gt;0,I13&gt;$D$2*-1,G13/F13&gt;=3),"Very serious", AND(H13&lt;=$D$1*-1,J13&gt;0,I13&lt;$D$2*-1,G13/F13&gt;=3),"Very serious", AND(H13&gt;=$D$1,I13&lt;0,J13&lt;$D$2,G13/F13&gt;=3),"Very serious", AND(H13&gt;=$D$1,I13&lt;0,J13&gt;$D$2,G13/F13&gt;=3),"Very serious", AND(H13&gt;$D$1*-1,H13&lt;$D$1,I13&gt;$D$1*-1,J13&lt;$D$1,G13/F13&lt;3),"Not serious", AND(H13&gt;$D$1*-1,H13&lt;$D$1,OR(I13&lt;=$D$1*-1,J13&gt;=$D$1),I13&gt;$D$2*-1,J13&lt;$D$2,G13/F13&lt;3),"Serious", AND(H13&gt;$D$1*-1,H13&lt;$D$1,OR(I13&lt;=$D$2*-1,J13&gt;=$D$2),G13/F13&lt;3),"Very serious", AND(H13&gt;$D$1*-1,H13&lt;$D$1,I13&gt;$D$1*-1,J13&lt;$D$1,G13/F13&gt;=3),"Very serious", AND(H13&gt;$D$1*-1,H13&lt;$D$1,OR(I13&lt;=$D$1*-1,J13&gt;=$D$1),I13&gt;$D$2*-1,J13&lt;$D$2,G13/F13&gt;=3),"Very serious", AND(H13&gt;$D$1*-1,H13&lt;$D$1,OR(I13&lt;=$D$2*-1,J13&gt;=$D$2),G13/F13&gt;=3),"Very serious")),"")</f>
        <v/>
      </c>
      <c r="R13" s="109" t="str">
        <f t="shared" si="47"/>
        <v>NA</v>
      </c>
      <c r="S13" s="64"/>
      <c r="T13" s="72">
        <v>1.43238372925721</v>
      </c>
      <c r="U13" s="72">
        <v>0.117456174259461</v>
      </c>
      <c r="V13" s="72">
        <v>16.8181725298397</v>
      </c>
      <c r="W13" s="72">
        <v>-6.79019395204497</v>
      </c>
      <c r="X13" s="72">
        <v>-209.730098478479</v>
      </c>
      <c r="Y13" s="130">
        <v>74.6254740233034</v>
      </c>
      <c r="Z13" s="113">
        <f t="array" ref="Z13">INDEX($A$1:$C$500, MATCH(1,($B:$B=$B13)*($C:$C=$AB13),0),1)</f>
        <v>3</v>
      </c>
      <c r="AA13" s="113" t="str">
        <f t="array" ref="AA13">INDEX($A$1:$C$500, MATCH(1,($B:$B=$AB13)*($C:$C=$B13),0),1)</f>
        <v>#N/A</v>
      </c>
      <c r="AB13" s="111" t="s">
        <v>24</v>
      </c>
      <c r="AC13" s="114">
        <f t="shared" si="2"/>
        <v>3</v>
      </c>
      <c r="AD13" s="115" t="str">
        <f t="shared" si="3"/>
        <v>MODERATE</v>
      </c>
      <c r="AE13" s="116" t="str">
        <f t="array" ref="AE13">INDEX($A$1:$C$500, MATCH(1,($B:$B=$AB13)*($C:$C=$AG13),0),1)</f>
        <v>#N/A</v>
      </c>
      <c r="AF13" s="116" t="str">
        <f t="array" ref="AF13">INDEX($A$1:$C$500, MATCH(1,($B:$B=$AG13)*($C:$C=$AB13),0),1)</f>
        <v>#N/A</v>
      </c>
      <c r="AG13" s="72"/>
      <c r="AH13" s="114" t="str">
        <f t="shared" si="4"/>
        <v>#N/A</v>
      </c>
      <c r="AI13" s="115" t="str">
        <f t="shared" si="5"/>
        <v/>
      </c>
      <c r="AJ13" s="116" t="str">
        <f t="array" ref="AJ13">INDEX($A$1:$C$500, MATCH(1,($B:$B=$C13)*($C:$C=$AG13),0),1)</f>
        <v>#N/A</v>
      </c>
      <c r="AK13" s="116" t="str">
        <f t="array" ref="AK13">INDEX($A$1:$C$500, MATCH(1,($B:$B=$AG13)*($C:$C=$C13),0),1)</f>
        <v>#N/A</v>
      </c>
      <c r="AL13" s="116">
        <f t="array" ref="AL13">INDEX($A$1:$C$500, MATCH(1,($B:$B=$C13)*($C:$C=$AB13),0),1)</f>
        <v>4</v>
      </c>
      <c r="AM13" s="116" t="str">
        <f t="array" ref="AM13">INDEX($A$1:$C$500, MATCH(1,($B:$B=$AB13)*($C:$C=$C13),0),1)</f>
        <v>#N/A</v>
      </c>
      <c r="AN13" s="114">
        <f t="array" ref="AN13">IFS(ISNUMBER(AJ13),AJ13,ISNUMBER(AK13),AK13,ISNUMBER(AL13),AL13,ISNUMBER(AM13),AM13)</f>
        <v>4</v>
      </c>
      <c r="AO13" s="115" t="str">
        <f t="shared" si="6"/>
        <v>HIGH</v>
      </c>
      <c r="AP13" s="115" t="str">
        <f t="shared" si="7"/>
        <v>MODERATE</v>
      </c>
      <c r="AQ13" s="111" t="s">
        <v>100</v>
      </c>
      <c r="AR13" s="109" t="str">
        <f t="shared" si="8"/>
        <v>MODERATE</v>
      </c>
      <c r="AS13" s="72" t="str">
        <f>IFERROR(IF(AND(Preferences!B$3="Manual",OR(AX13/AW13&gt;V13/U13,BD13="Serious",BD13="Very serious")),"Assess imprecision",IFERROR(IFS(AND(Preferences!B$3="Automatic",V13/U13&gt;=30),"Extremely serious",AND(W13&lt;=$D$1*-1,Y13&lt;0,V13/U13&lt;3),"Not Serious",AND(W13&lt;=$D$1*-1,Y13&lt;0,V13/U13&gt;=3),"Very serious",AND(W13&gt;=$D$1,X13&gt;0,V13/U13&lt;3),"Not Serious",AND(W13&gt;=$D$1,X13&gt;0,V13/U13&gt;=3),"Very serious",AND(W13&lt;=$D$1*-1,Y13&gt;0,X13&gt;$D$2*-1,V13/U13&lt;3),"Serious", AND(W13&lt;=$D$1*-1,Y13&gt;0,X13&lt;$D$2*-1,V13/U13&lt;3),"Very serious", AND(W13&gt;=$D$1,X13&lt;0,Y13&lt;$D$2,V13/U13&lt;3),"Serious",AND(W13&gt;=$D$1,X13&lt;0,Y13&gt;$D$2,V13/U13&lt;3),"Very serious", AND(W13&lt;=$D$1*-1,Y13&gt;0,X13&gt;$D$2*-1,V13/U13&gt;=3),"Very serious", AND(W13&lt;=$D$1*-1,Y13&gt;0,X13&lt;$D$2*-1,V13/U13&gt;=3),"Very serious", AND(W13&gt;=$D$1,X13&lt;0,Y13&lt;$D$2,V13/U13&gt;=3),"Very serious", AND(W13&gt;=$D$1,X13&lt;0,Y13&gt;$D$2,V13/U13&gt;=3),"Very serious", AND(W13&gt;$D$1*-1,W13&lt;$D$1,X13&gt;$D$1*-1,Y13&lt;$D$1,V13/U13&lt;3),"Not Serious", AND(W13&gt;$D$1*-1,W13&lt;$D$1,OR(X13&lt;=$D$1*-1,Y13&gt;=$D$1),X13&gt;$D$2*-1,Y13&lt;$D$2,V13/U13&lt;3),"Serious", AND(W13&gt;$D$1*-1,W13&lt;$D$1,OR(X13&lt;=$D$2*-1,Y13&gt;=$D$2),V13/U13&lt;3),"Very serious", AND(W13&gt;$D$1*-1,W13&lt;$D$1,X13&gt;$D$1*-1,Y13&lt;$D$1,V13/U13&gt;=3),"Very serious", AND(W13&gt;$D$1*-1,W13&lt;$D$1,OR(X13&lt;=$D$1*-1,Y13&gt;=$D$1),X13&gt;$D$2*-1,Y13&lt;$D$2,V13/U13&gt;=3),"Very serious", AND(W13&gt;$D$1*-1,W13&lt;$D$1,OR(X13&lt;=$D$2*-1,Y13&gt;=$D$2),V13/U13&gt;=3),"Very serious"),"")),"")</f>
        <v>Extremely serious</v>
      </c>
      <c r="AT13" s="109" t="str">
        <f t="shared" si="9"/>
        <v>VERY LOW</v>
      </c>
      <c r="AU13" s="123"/>
      <c r="AV13" s="117">
        <v>1.43238372925721</v>
      </c>
      <c r="AW13" s="117">
        <v>0.117456174259461</v>
      </c>
      <c r="AX13" s="117">
        <v>16.8181725298397</v>
      </c>
      <c r="AY13" s="118">
        <v>-6.79019395204497</v>
      </c>
      <c r="AZ13" s="118">
        <v>-209.730098478479</v>
      </c>
      <c r="BA13" s="119">
        <v>74.6254740233034</v>
      </c>
      <c r="BB13" s="86" t="str">
        <f>IF(Preferences!B$9="Manual","",IFS(ISBLANK(B13),"",AND(ISNUMBER(E13)=TRUE,ISNUMBER(T13)=FALSE),"Direct", AND(ISNUMBER(E13)=FALSE,ISNUMBER(T13)=TRUE),"Indirect", CN13=4,"Direct",AND(CL13=FALSE, CM13=TRUE,CN13-CO13&gt;-1),"Direct", AND(CL13=FALSE,CM13=TRUE, CN13-CO13&lt;0),"Check algorithm in appendix 2", AND(CL13=TRUE, CM13=FALSE,CN13-CO13&gt;0),"Check algorithm in appendix 2", AND(CL13=TRUE, CM13=FALSE,CN13-CO13=0),"Indirect", AND(CL13=TRUE, CM13=FALSE,CN13-CO13&lt;0),"Indirect", AND(CL13=FALSE,CM13=FALSE,CN13-CO13&gt;-1),"Direct", AND(CL13=FALSE,CM13=FALSE,CN13-CO13&lt;0),"Check algorithm in appendix 2", AND(CL13=TRUE,CM13=TRUE,CN13-CO13&gt;-1),"Direct", AND(CL13=TRUE,CM13=TRUE,CN13-CO13&lt;0),"Check algorithm in appendix 2"))</f>
        <v>Indirect</v>
      </c>
      <c r="BC13" s="120" t="str">
        <f t="shared" si="10"/>
        <v>MODERATE</v>
      </c>
      <c r="BD13" s="122" t="s">
        <v>100</v>
      </c>
      <c r="BE13" s="122" t="str">
        <f>IF(Preferences!B$3="Manual","", IFERROR(IFS(AND(Preferences!B$3="Automatic",AX13/AW13&gt;=30),"Extremely serious",AND(AY13&lt;=$D$1*-1,BA13&lt;0,AX13/AW13&lt;3),"Not Serious",AND(AY13&lt;=$D$1*-1,BA13&lt;0,AX13/AW13&gt;=3),"Very serious",AND(AY13&gt;=$D$1,AZ13&gt;0,AX13/AW13&lt;3),"Not Serious",AND(AY13&gt;=$D$1,AZ13&gt;0,AX13/AW13&gt;=3),"Very serious",AND(AY13&lt;=$D$1*-1,BA13&gt;0,AZ13&gt;$D$2*-1,AX13/AW13&lt;3),"Serious", AND(AY13&lt;=$D$1*-1,BA13&gt;0,AZ13&lt;$D$2*-1,AX13/AW13&lt;3),"Very serious", AND(AY13&gt;=$D$1,AZ13&lt;0,BA13&lt;$D$2,AX13/AW13&lt;3),"Serious",AND(AY13&gt;=$D$1,AZ13&lt;0,BA13&gt;$D$2,AX13/AW13&lt;3),"Very serious", AND(AY13&lt;=$D$1*-1,BA13&gt;0,AZ13&gt;$D$2*-1,AX13/AW13&gt;=3),"Very serious", AND(AY13&lt;=$D$1*-1,BA13&gt;0,AZ13&lt;$D$2*-1,AX13/AW13&gt;=3),"Very serious", AND(AY13&gt;=$D$1,AZ13&lt;0,BA13&lt;$D$2,AX13/AW13&gt;=3),"Very serious", AND(AY13&gt;=$D$1,AZ13&lt;0,BA13&gt;$D$2,AX13/AW13&gt;=3),"Very serious", AND(AY13&gt;$D$1*-1,AY13&lt;$D$1,AZ13&gt;$D$1*-1,BA13&lt;$D$1,AX13/AW13&lt;3),"Not Serious", AND(AY13&gt;$D$1*-1,AY13&lt;$D$1,OR(AZ13&lt;=$D$1*-1,BA13&gt;=$D$1),AZ13&gt;$D$2*-1,BA13&lt;$D$2,AX13/AW13&lt;3),"Serious", AND(AY13&gt;$D$1*-1,AY13&lt;$D$1,OR(AZ13&lt;=$D$2*-1,BA13&gt;=$D$2),AX13/AW13&lt;3),"Very serious", AND(AY13&gt;$D$1*-1,AY13&lt;$D$1,AZ13&gt;$D$1*-1,BA13&lt;$D$1,AX13/AW13&gt;=3),"Very serious", AND(AY13&gt;$D$1*-1,AY13&lt;$D$1,OR(AZ13&lt;=$D$1*-1,BA13&gt;=$D$1),AZ13&gt;$D$2*-1,BA13&lt;$D$2,AX13/AW13&gt;=3),"Very serious", AND(AY13&gt;$D$1*-1,AY13&lt;$D$1,OR(AZ13&lt;=$D$2*-1,BA13&gt;=$D$2),AX13/AW13&gt;=3),"Very serious"),""))</f>
        <v>Extremely serious</v>
      </c>
      <c r="BF13" s="107" t="str">
        <f t="shared" si="11"/>
        <v>VERY LOW</v>
      </c>
      <c r="BG13" s="94" t="str">
        <f t="shared" si="46"/>
        <v>NMA</v>
      </c>
      <c r="BH13" s="64" t="str">
        <f t="shared" si="12"/>
        <v>NO</v>
      </c>
      <c r="BI13" s="64" t="str">
        <f t="shared" si="13"/>
        <v>Prelim Very serious</v>
      </c>
      <c r="BJ13" s="123">
        <f t="shared" si="14"/>
        <v>3</v>
      </c>
      <c r="BK13" s="64" t="str">
        <f t="shared" si="15"/>
        <v>NO</v>
      </c>
      <c r="BL13" s="64" t="str">
        <f t="shared" si="16"/>
        <v>YES</v>
      </c>
      <c r="BM13" s="64" t="str">
        <f t="shared" si="17"/>
        <v>NO</v>
      </c>
      <c r="BN13" s="124" t="str">
        <f t="shared" si="18"/>
        <v>Imprecisionx3, </v>
      </c>
      <c r="BO13" s="91" t="str">
        <f t="shared" si="19"/>
        <v>RoB, Imprecisionx3, </v>
      </c>
      <c r="BP13" s="91" t="str">
        <f t="shared" si="20"/>
        <v>RoB, Imprecisionx3, </v>
      </c>
      <c r="BQ13" s="91" t="str">
        <f t="shared" si="21"/>
        <v>RoB, Imprecisionx3</v>
      </c>
      <c r="BR13" s="93" t="str">
        <f t="shared" si="22"/>
        <v>Serious</v>
      </c>
      <c r="BS13" s="90" t="str">
        <f t="shared" si="23"/>
        <v>NA</v>
      </c>
      <c r="BT13" s="93" t="str">
        <f t="shared" si="24"/>
        <v>Not serious</v>
      </c>
      <c r="BU13" s="125" t="str">
        <f t="shared" si="25"/>
        <v>RoB</v>
      </c>
      <c r="BV13" s="93" t="str">
        <f t="shared" si="26"/>
        <v>Not serious</v>
      </c>
      <c r="BW13" s="93" t="str">
        <f t="shared" si="27"/>
        <v>NA</v>
      </c>
      <c r="BX13" s="93" t="str">
        <f t="shared" si="28"/>
        <v>Not serious</v>
      </c>
      <c r="BY13" s="95" t="str">
        <f t="shared" si="29"/>
        <v>NA</v>
      </c>
      <c r="BZ13" s="93" t="str">
        <f t="shared" si="30"/>
        <v>Not serious</v>
      </c>
      <c r="CA13" s="93" t="str">
        <f t="shared" si="31"/>
        <v>NA</v>
      </c>
      <c r="CB13" s="93" t="str">
        <f t="shared" si="32"/>
        <v>Not serious</v>
      </c>
      <c r="CC13" s="96" t="str">
        <f t="shared" si="33"/>
        <v>NA</v>
      </c>
      <c r="CD13" s="93" t="str">
        <f t="shared" si="34"/>
        <v>Not serious</v>
      </c>
      <c r="CE13" s="93" t="str">
        <f t="shared" si="35"/>
        <v>NA</v>
      </c>
      <c r="CF13" s="93" t="str">
        <f t="shared" si="36"/>
        <v>Not serious</v>
      </c>
      <c r="CG13" s="97" t="str">
        <f t="shared" si="37"/>
        <v>NA</v>
      </c>
      <c r="CH13" s="98" t="str">
        <f t="shared" si="38"/>
        <v>Extremely serious</v>
      </c>
      <c r="CI13" s="99" t="str">
        <f t="shared" si="39"/>
        <v>Not serious</v>
      </c>
      <c r="CJ13" s="126" t="str">
        <f t="shared" si="40"/>
        <v>2x, RD CIs very wide: Large benefit to trivial effect or more</v>
      </c>
      <c r="CK13" s="126"/>
      <c r="CL13" s="127" t="str">
        <f t="shared" si="41"/>
        <v>#VALUE!</v>
      </c>
      <c r="CM13" s="128" t="b">
        <f t="shared" si="42"/>
        <v>0</v>
      </c>
      <c r="CN13" s="128">
        <f t="shared" si="43"/>
        <v>4</v>
      </c>
      <c r="CO13" s="129">
        <f t="shared" si="44"/>
        <v>3</v>
      </c>
      <c r="CP13" s="129" t="str">
        <f>IFS(C13=Preferences!B$13,B13,B13=Preferences!B$13,C13)</f>
        <v>#N/A</v>
      </c>
    </row>
    <row r="14" ht="13.5" customHeight="1">
      <c r="A14" s="63" t="str">
        <f t="shared" si="45"/>
        <v/>
      </c>
      <c r="B14" s="64"/>
      <c r="C14" s="64"/>
      <c r="D14" s="64"/>
      <c r="E14" s="65"/>
      <c r="F14" s="65"/>
      <c r="G14" s="65"/>
      <c r="H14" s="104"/>
      <c r="I14" s="104"/>
      <c r="J14" s="105"/>
      <c r="K14" s="131"/>
      <c r="L14" s="133"/>
      <c r="M14" s="133"/>
      <c r="N14" s="133"/>
      <c r="O14" s="133"/>
      <c r="P14" s="107" t="str">
        <f t="shared" si="1"/>
        <v/>
      </c>
      <c r="Q14" s="108" t="str">
        <f>IFERROR(IF(AND(Preferences!B$3="Manual",OR(AX14/AW14&gt;G14/F14,BD14="Serious",BD14="Very serious")),"Assess imprecision",IFS(ISBLANK(E14),"",AND(Preferences!B$3="Automatic", G14/F14&gt;=30),"Extremely serious",AND(H14&lt;=$D$1*-1,J14&lt;0,G14/F14&lt;3),"Not serious",AND(H14&lt;=$D$1*-1,J14&lt;0,G14/F14&gt;=3),"Very serious",AND(H14&gt;=$D$1,I14&gt;0,G14/F14&lt;3),"Not serious",AND(H14&gt;=$D$1,I14&gt;0,G14/F14&gt;=3),"Very serious",AND(H14&lt;=$D$1*-1,J14&gt;0,I14&gt;$D$2*-1,G14/F14&lt;3),"Serious", AND(H14&lt;=$D$1*-1,J14&gt;0,I14&lt;$D$2*-1,G14/F14&lt;3),"Very serious", AND(H14&gt;=$D$1,I14&lt;0,J14&lt;$D$2,G14/F14&lt;3),"Serious",AND(H14&gt;=$D$1,I14&lt;0,J14&gt;$D$2,G14/F14&lt;3),"Very serious", AND(H14&lt;=$D$1*-1,J14&gt;0,I14&gt;$D$2*-1,G14/F14&gt;=3),"Very serious", AND(H14&lt;=$D$1*-1,J14&gt;0,I14&lt;$D$2*-1,G14/F14&gt;=3),"Very serious", AND(H14&gt;=$D$1,I14&lt;0,J14&lt;$D$2,G14/F14&gt;=3),"Very serious", AND(H14&gt;=$D$1,I14&lt;0,J14&gt;$D$2,G14/F14&gt;=3),"Very serious", AND(H14&gt;$D$1*-1,H14&lt;$D$1,I14&gt;$D$1*-1,J14&lt;$D$1,G14/F14&lt;3),"Not serious", AND(H14&gt;$D$1*-1,H14&lt;$D$1,OR(I14&lt;=$D$1*-1,J14&gt;=$D$1),I14&gt;$D$2*-1,J14&lt;$D$2,G14/F14&lt;3),"Serious", AND(H14&gt;$D$1*-1,H14&lt;$D$1,OR(I14&lt;=$D$2*-1,J14&gt;=$D$2),G14/F14&lt;3),"Very serious", AND(H14&gt;$D$1*-1,H14&lt;$D$1,I14&gt;$D$1*-1,J14&lt;$D$1,G14/F14&gt;=3),"Very serious", AND(H14&gt;$D$1*-1,H14&lt;$D$1,OR(I14&lt;=$D$1*-1,J14&gt;=$D$1),I14&gt;$D$2*-1,J14&lt;$D$2,G14/F14&gt;=3),"Very serious", AND(H14&gt;$D$1*-1,H14&lt;$D$1,OR(I14&lt;=$D$2*-1,J14&gt;=$D$2),G14/F14&gt;=3),"Very serious")),"")</f>
        <v/>
      </c>
      <c r="R14" s="109" t="str">
        <f t="shared" si="47"/>
        <v/>
      </c>
      <c r="S14" s="64"/>
      <c r="T14" s="139"/>
      <c r="U14" s="139"/>
      <c r="V14" s="139"/>
      <c r="W14" s="72"/>
      <c r="X14" s="72"/>
      <c r="Y14" s="130"/>
      <c r="Z14" s="113" t="str">
        <f t="array" ref="Z14">INDEX($A$1:$C$500, MATCH(1,($B:$B=$B14)*($C:$C=$AB14),0),1)</f>
        <v/>
      </c>
      <c r="AA14" s="113" t="str">
        <f t="array" ref="AA14">INDEX($A$1:$C$500, MATCH(1,($B:$B=$AB14)*($C:$C=$B14),0),1)</f>
        <v/>
      </c>
      <c r="AB14" s="111"/>
      <c r="AC14" s="114" t="str">
        <f t="shared" si="2"/>
        <v/>
      </c>
      <c r="AD14" s="115" t="str">
        <f t="shared" si="3"/>
        <v/>
      </c>
      <c r="AE14" s="116" t="str">
        <f t="array" ref="AE14">INDEX($A$1:$C$500, MATCH(1,($B:$B=$AB14)*($C:$C=$AG14),0),1)</f>
        <v/>
      </c>
      <c r="AF14" s="116" t="str">
        <f t="array" ref="AF14">INDEX($A$1:$C$500, MATCH(1,($B:$B=$AG14)*($C:$C=$AB14),0),1)</f>
        <v/>
      </c>
      <c r="AG14" s="72"/>
      <c r="AH14" s="114" t="str">
        <f t="shared" si="4"/>
        <v/>
      </c>
      <c r="AI14" s="115" t="str">
        <f t="shared" si="5"/>
        <v/>
      </c>
      <c r="AJ14" s="116" t="str">
        <f t="array" ref="AJ14">INDEX($A$1:$C$500, MATCH(1,($B:$B=$C14)*($C:$C=$AG14),0),1)</f>
        <v/>
      </c>
      <c r="AK14" s="116" t="str">
        <f t="array" ref="AK14">INDEX($A$1:$C$500, MATCH(1,($B:$B=$AG14)*($C:$C=$C14),0),1)</f>
        <v/>
      </c>
      <c r="AL14" s="116" t="str">
        <f t="array" ref="AL14">INDEX($A$1:$C$500, MATCH(1,($B:$B=$C14)*($C:$C=$AB14),0),1)</f>
        <v/>
      </c>
      <c r="AM14" s="116" t="str">
        <f t="array" ref="AM14">INDEX($A$1:$C$500, MATCH(1,($B:$B=$AB14)*($C:$C=$C14),0),1)</f>
        <v/>
      </c>
      <c r="AN14" s="114" t="str">
        <f t="array" ref="AN14">IFS(ISNUMBER(AJ14),AJ14,ISNUMBER(AK14),AK14,ISNUMBER(AL14),AL14,ISNUMBER(AM14),AM14)</f>
        <v>#N/A</v>
      </c>
      <c r="AO14" s="115" t="str">
        <f t="shared" si="6"/>
        <v/>
      </c>
      <c r="AP14" s="115" t="str">
        <f t="shared" si="7"/>
        <v/>
      </c>
      <c r="AQ14" s="72"/>
      <c r="AR14" s="109" t="str">
        <f t="shared" si="8"/>
        <v/>
      </c>
      <c r="AS14" s="72" t="str">
        <f>IFERROR(IF(AND(Preferences!B$3="Manual",OR(AX14/AW14&gt;V14/U14,BD14="Serious",BD14="Very serious")),"Assess imprecision",IFERROR(IFS(AND(Preferences!B$3="Automatic",V14/U14&gt;=30),"Extremely serious",AND(W14&lt;=$D$1*-1,Y14&lt;0,V14/U14&lt;3),"Not Serious",AND(W14&lt;=$D$1*-1,Y14&lt;0,V14/U14&gt;=3),"Very serious",AND(W14&gt;=$D$1,X14&gt;0,V14/U14&lt;3),"Not Serious",AND(W14&gt;=$D$1,X14&gt;0,V14/U14&gt;=3),"Very serious",AND(W14&lt;=$D$1*-1,Y14&gt;0,X14&gt;$D$2*-1,V14/U14&lt;3),"Serious", AND(W14&lt;=$D$1*-1,Y14&gt;0,X14&lt;$D$2*-1,V14/U14&lt;3),"Very serious", AND(W14&gt;=$D$1,X14&lt;0,Y14&lt;$D$2,V14/U14&lt;3),"Serious",AND(W14&gt;=$D$1,X14&lt;0,Y14&gt;$D$2,V14/U14&lt;3),"Very serious", AND(W14&lt;=$D$1*-1,Y14&gt;0,X14&gt;$D$2*-1,V14/U14&gt;=3),"Very serious", AND(W14&lt;=$D$1*-1,Y14&gt;0,X14&lt;$D$2*-1,V14/U14&gt;=3),"Very serious", AND(W14&gt;=$D$1,X14&lt;0,Y14&lt;$D$2,V14/U14&gt;=3),"Very serious", AND(W14&gt;=$D$1,X14&lt;0,Y14&gt;$D$2,V14/U14&gt;=3),"Very serious", AND(W14&gt;$D$1*-1,W14&lt;$D$1,X14&gt;$D$1*-1,Y14&lt;$D$1,V14/U14&lt;3),"Not Serious", AND(W14&gt;$D$1*-1,W14&lt;$D$1,OR(X14&lt;=$D$1*-1,Y14&gt;=$D$1),X14&gt;$D$2*-1,Y14&lt;$D$2,V14/U14&lt;3),"Serious", AND(W14&gt;$D$1*-1,W14&lt;$D$1,OR(X14&lt;=$D$2*-1,Y14&gt;=$D$2),V14/U14&lt;3),"Very serious", AND(W14&gt;$D$1*-1,W14&lt;$D$1,X14&gt;$D$1*-1,Y14&lt;$D$1,V14/U14&gt;=3),"Very serious", AND(W14&gt;$D$1*-1,W14&lt;$D$1,OR(X14&lt;=$D$1*-1,Y14&gt;=$D$1),X14&gt;$D$2*-1,Y14&lt;$D$2,V14/U14&gt;=3),"Very serious", AND(W14&gt;$D$1*-1,W14&lt;$D$1,OR(X14&lt;=$D$2*-1,Y14&gt;=$D$2),V14/U14&gt;=3),"Very serious"),"")),"")</f>
        <v/>
      </c>
      <c r="AT14" s="109" t="str">
        <f t="shared" si="9"/>
        <v/>
      </c>
      <c r="AU14" s="123"/>
      <c r="AV14" s="117"/>
      <c r="AW14" s="117"/>
      <c r="AX14" s="117"/>
      <c r="AY14" s="118"/>
      <c r="AZ14" s="118"/>
      <c r="BA14" s="119"/>
      <c r="BB14" s="86" t="str">
        <f>IF(Preferences!B$9="Manual","",IFS(ISBLANK(B14),"",AND(ISNUMBER(E14)=TRUE,ISNUMBER(T14)=FALSE),"Direct", AND(ISNUMBER(E14)=FALSE,ISNUMBER(T14)=TRUE),"Indirect", CN14=4,"Direct",AND(CL14=FALSE, CM14=TRUE,CN14-CO14&gt;-1),"Direct", AND(CL14=FALSE,CM14=TRUE, CN14-CO14&lt;0),"Check algorithm in appendix 2", AND(CL14=TRUE, CM14=FALSE,CN14-CO14&gt;0),"Check algorithm in appendix 2", AND(CL14=TRUE, CM14=FALSE,CN14-CO14=0),"Indirect", AND(CL14=TRUE, CM14=FALSE,CN14-CO14&lt;0),"Indirect", AND(CL14=FALSE,CM14=FALSE,CN14-CO14&gt;-1),"Direct", AND(CL14=FALSE,CM14=FALSE,CN14-CO14&lt;0),"Check algorithm in appendix 2", AND(CL14=TRUE,CM14=TRUE,CN14-CO14&gt;-1),"Direct", AND(CL14=TRUE,CM14=TRUE,CN14-CO14&lt;0),"Check algorithm in appendix 2"))</f>
        <v/>
      </c>
      <c r="BC14" s="120" t="str">
        <f t="shared" si="10"/>
        <v/>
      </c>
      <c r="BD14" s="140"/>
      <c r="BE14" s="122" t="str">
        <f>IF(Preferences!B$3="Manual","", IFERROR(IFS(AND(Preferences!B$3="Automatic",AX14/AW14&gt;=30),"Extremely serious",AND(AY14&lt;=$D$1*-1,BA14&lt;0,AX14/AW14&lt;3),"Not Serious",AND(AY14&lt;=$D$1*-1,BA14&lt;0,AX14/AW14&gt;=3),"Very serious",AND(AY14&gt;=$D$1,AZ14&gt;0,AX14/AW14&lt;3),"Not Serious",AND(AY14&gt;=$D$1,AZ14&gt;0,AX14/AW14&gt;=3),"Very serious",AND(AY14&lt;=$D$1*-1,BA14&gt;0,AZ14&gt;$D$2*-1,AX14/AW14&lt;3),"Serious", AND(AY14&lt;=$D$1*-1,BA14&gt;0,AZ14&lt;$D$2*-1,AX14/AW14&lt;3),"Very serious", AND(AY14&gt;=$D$1,AZ14&lt;0,BA14&lt;$D$2,AX14/AW14&lt;3),"Serious",AND(AY14&gt;=$D$1,AZ14&lt;0,BA14&gt;$D$2,AX14/AW14&lt;3),"Very serious", AND(AY14&lt;=$D$1*-1,BA14&gt;0,AZ14&gt;$D$2*-1,AX14/AW14&gt;=3),"Very serious", AND(AY14&lt;=$D$1*-1,BA14&gt;0,AZ14&lt;$D$2*-1,AX14/AW14&gt;=3),"Very serious", AND(AY14&gt;=$D$1,AZ14&lt;0,BA14&lt;$D$2,AX14/AW14&gt;=3),"Very serious", AND(AY14&gt;=$D$1,AZ14&lt;0,BA14&gt;$D$2,AX14/AW14&gt;=3),"Very serious", AND(AY14&gt;$D$1*-1,AY14&lt;$D$1,AZ14&gt;$D$1*-1,BA14&lt;$D$1,AX14/AW14&lt;3),"Not Serious", AND(AY14&gt;$D$1*-1,AY14&lt;$D$1,OR(AZ14&lt;=$D$1*-1,BA14&gt;=$D$1),AZ14&gt;$D$2*-1,BA14&lt;$D$2,AX14/AW14&lt;3),"Serious", AND(AY14&gt;$D$1*-1,AY14&lt;$D$1,OR(AZ14&lt;=$D$2*-1,BA14&gt;=$D$2),AX14/AW14&lt;3),"Very serious", AND(AY14&gt;$D$1*-1,AY14&lt;$D$1,AZ14&gt;$D$1*-1,BA14&lt;$D$1,AX14/AW14&gt;=3),"Very serious", AND(AY14&gt;$D$1*-1,AY14&lt;$D$1,OR(AZ14&lt;=$D$1*-1,BA14&gt;=$D$1),AZ14&gt;$D$2*-1,BA14&lt;$D$2,AX14/AW14&gt;=3),"Very serious", AND(AY14&gt;$D$1*-1,AY14&lt;$D$1,OR(AZ14&lt;=$D$2*-1,BA14&gt;=$D$2),AX14/AW14&gt;=3),"Very serious"),""))</f>
        <v/>
      </c>
      <c r="BF14" s="107" t="str">
        <f t="shared" si="11"/>
        <v/>
      </c>
      <c r="BG14" s="94" t="str">
        <f t="shared" si="46"/>
        <v/>
      </c>
      <c r="BH14" s="64" t="str">
        <f t="shared" si="12"/>
        <v>#N/A</v>
      </c>
      <c r="BI14" s="64" t="str">
        <f t="shared" si="13"/>
        <v/>
      </c>
      <c r="BJ14" s="123" t="str">
        <f t="shared" si="14"/>
        <v>#N/A</v>
      </c>
      <c r="BK14" s="64" t="str">
        <f t="shared" si="15"/>
        <v>YES</v>
      </c>
      <c r="BL14" s="64" t="str">
        <f t="shared" si="16"/>
        <v>YES</v>
      </c>
      <c r="BM14" s="64" t="str">
        <f t="shared" si="17"/>
        <v>YES</v>
      </c>
      <c r="BN14" s="124" t="str">
        <f t="shared" si="18"/>
        <v/>
      </c>
      <c r="BO14" s="91" t="str">
        <f t="shared" si="19"/>
        <v/>
      </c>
      <c r="BP14" s="91" t="str">
        <f t="shared" si="20"/>
        <v>#N/A</v>
      </c>
      <c r="BQ14" s="91" t="str">
        <f t="shared" si="21"/>
        <v/>
      </c>
      <c r="BR14" s="93" t="str">
        <f t="shared" si="22"/>
        <v/>
      </c>
      <c r="BS14" s="90" t="str">
        <f t="shared" si="23"/>
        <v/>
      </c>
      <c r="BT14" s="93" t="str">
        <f t="shared" si="24"/>
        <v>NA</v>
      </c>
      <c r="BU14" s="125" t="str">
        <f t="shared" si="25"/>
        <v>#N/A</v>
      </c>
      <c r="BV14" s="93" t="str">
        <f t="shared" si="26"/>
        <v/>
      </c>
      <c r="BW14" s="93" t="str">
        <f t="shared" si="27"/>
        <v/>
      </c>
      <c r="BX14" s="93" t="str">
        <f t="shared" si="28"/>
        <v>NA</v>
      </c>
      <c r="BY14" s="95" t="str">
        <f t="shared" si="29"/>
        <v>#N/A</v>
      </c>
      <c r="BZ14" s="93" t="str">
        <f t="shared" si="30"/>
        <v/>
      </c>
      <c r="CA14" s="93" t="str">
        <f t="shared" si="31"/>
        <v/>
      </c>
      <c r="CB14" s="93" t="str">
        <f t="shared" si="32"/>
        <v>NA</v>
      </c>
      <c r="CC14" s="96" t="str">
        <f t="shared" si="33"/>
        <v>#N/A</v>
      </c>
      <c r="CD14" s="93" t="str">
        <f t="shared" si="34"/>
        <v/>
      </c>
      <c r="CE14" s="93" t="str">
        <f t="shared" si="35"/>
        <v/>
      </c>
      <c r="CF14" s="93" t="str">
        <f t="shared" si="36"/>
        <v>NA</v>
      </c>
      <c r="CG14" s="97" t="str">
        <f t="shared" si="37"/>
        <v>#N/A</v>
      </c>
      <c r="CH14" s="98" t="str">
        <f t="shared" si="38"/>
        <v>#N/A</v>
      </c>
      <c r="CI14" s="99" t="str">
        <f t="shared" si="39"/>
        <v>#N/A</v>
      </c>
      <c r="CJ14" s="126" t="str">
        <f t="shared" si="40"/>
        <v>ERROR: check cell</v>
      </c>
      <c r="CK14" s="126"/>
      <c r="CL14" s="127" t="str">
        <f t="shared" si="41"/>
        <v>#DIV/0!</v>
      </c>
      <c r="CM14" s="128" t="str">
        <f t="shared" si="42"/>
        <v>#DIV/0!</v>
      </c>
      <c r="CN14" s="128">
        <f t="shared" si="43"/>
        <v>4</v>
      </c>
      <c r="CO14" s="129">
        <f t="shared" si="44"/>
        <v>4</v>
      </c>
      <c r="CP14" s="129" t="str">
        <f>IFS(C14=Preferences!B$13,B14,B14=Preferences!B$13,C14)</f>
        <v>#N/A</v>
      </c>
    </row>
    <row r="15" ht="13.5" customHeight="1">
      <c r="A15" s="63" t="str">
        <f t="shared" si="45"/>
        <v/>
      </c>
      <c r="B15" s="64"/>
      <c r="C15" s="64"/>
      <c r="D15" s="64"/>
      <c r="E15" s="65"/>
      <c r="F15" s="65"/>
      <c r="G15" s="65"/>
      <c r="H15" s="104"/>
      <c r="I15" s="104"/>
      <c r="J15" s="105"/>
      <c r="K15" s="131"/>
      <c r="L15" s="133"/>
      <c r="M15" s="133"/>
      <c r="N15" s="133"/>
      <c r="O15" s="133"/>
      <c r="P15" s="107" t="str">
        <f t="shared" si="1"/>
        <v/>
      </c>
      <c r="Q15" s="108" t="str">
        <f>IFERROR(IF(AND(Preferences!B$3="Manual",OR(AX15/AW15&gt;G15/F15,BD15="Serious",BD15="Very serious")),"Assess imprecision",IFS(ISBLANK(E15),"",AND(Preferences!B$3="Automatic", G15/F15&gt;=30),"Extremely serious",AND(H15&lt;=$D$1*-1,J15&lt;0,G15/F15&lt;3),"Not serious",AND(H15&lt;=$D$1*-1,J15&lt;0,G15/F15&gt;=3),"Very serious",AND(H15&gt;=$D$1,I15&gt;0,G15/F15&lt;3),"Not serious",AND(H15&gt;=$D$1,I15&gt;0,G15/F15&gt;=3),"Very serious",AND(H15&lt;=$D$1*-1,J15&gt;0,I15&gt;$D$2*-1,G15/F15&lt;3),"Serious", AND(H15&lt;=$D$1*-1,J15&gt;0,I15&lt;$D$2*-1,G15/F15&lt;3),"Very serious", AND(H15&gt;=$D$1,I15&lt;0,J15&lt;$D$2,G15/F15&lt;3),"Serious",AND(H15&gt;=$D$1,I15&lt;0,J15&gt;$D$2,G15/F15&lt;3),"Very serious", AND(H15&lt;=$D$1*-1,J15&gt;0,I15&gt;$D$2*-1,G15/F15&gt;=3),"Very serious", AND(H15&lt;=$D$1*-1,J15&gt;0,I15&lt;$D$2*-1,G15/F15&gt;=3),"Very serious", AND(H15&gt;=$D$1,I15&lt;0,J15&lt;$D$2,G15/F15&gt;=3),"Very serious", AND(H15&gt;=$D$1,I15&lt;0,J15&gt;$D$2,G15/F15&gt;=3),"Very serious", AND(H15&gt;$D$1*-1,H15&lt;$D$1,I15&gt;$D$1*-1,J15&lt;$D$1,G15/F15&lt;3),"Not serious", AND(H15&gt;$D$1*-1,H15&lt;$D$1,OR(I15&lt;=$D$1*-1,J15&gt;=$D$1),I15&gt;$D$2*-1,J15&lt;$D$2,G15/F15&lt;3),"Serious", AND(H15&gt;$D$1*-1,H15&lt;$D$1,OR(I15&lt;=$D$2*-1,J15&gt;=$D$2),G15/F15&lt;3),"Very serious", AND(H15&gt;$D$1*-1,H15&lt;$D$1,I15&gt;$D$1*-1,J15&lt;$D$1,G15/F15&gt;=3),"Very serious", AND(H15&gt;$D$1*-1,H15&lt;$D$1,OR(I15&lt;=$D$1*-1,J15&gt;=$D$1),I15&gt;$D$2*-1,J15&lt;$D$2,G15/F15&gt;=3),"Very serious", AND(H15&gt;$D$1*-1,H15&lt;$D$1,OR(I15&lt;=$D$2*-1,J15&gt;=$D$2),G15/F15&gt;=3),"Very serious")),"")</f>
        <v/>
      </c>
      <c r="R15" s="109" t="str">
        <f t="shared" si="47"/>
        <v/>
      </c>
      <c r="S15" s="64"/>
      <c r="T15" s="139"/>
      <c r="U15" s="139"/>
      <c r="V15" s="139"/>
      <c r="W15" s="72"/>
      <c r="X15" s="72"/>
      <c r="Y15" s="130"/>
      <c r="Z15" s="113" t="str">
        <f t="array" ref="Z15">INDEX($A$1:$C$500, MATCH(1,($B:$B=$B15)*($C:$C=$AB15),0),1)</f>
        <v/>
      </c>
      <c r="AA15" s="113" t="str">
        <f t="array" ref="AA15">INDEX($A$1:$C$500, MATCH(1,($B:$B=$AB15)*($C:$C=$B15),0),1)</f>
        <v/>
      </c>
      <c r="AB15" s="111"/>
      <c r="AC15" s="114" t="str">
        <f t="shared" si="2"/>
        <v/>
      </c>
      <c r="AD15" s="115" t="str">
        <f t="shared" si="3"/>
        <v/>
      </c>
      <c r="AE15" s="116" t="str">
        <f t="array" ref="AE15">INDEX($A$1:$C$500, MATCH(1,($B:$B=$AB15)*($C:$C=$AG15),0),1)</f>
        <v/>
      </c>
      <c r="AF15" s="116" t="str">
        <f t="array" ref="AF15">INDEX($A$1:$C$500, MATCH(1,($B:$B=$AG15)*($C:$C=$AB15),0),1)</f>
        <v/>
      </c>
      <c r="AG15" s="72"/>
      <c r="AH15" s="114" t="str">
        <f t="shared" si="4"/>
        <v/>
      </c>
      <c r="AI15" s="115" t="str">
        <f t="shared" si="5"/>
        <v/>
      </c>
      <c r="AJ15" s="116" t="str">
        <f t="array" ref="AJ15">INDEX($A$1:$C$500, MATCH(1,($B:$B=$C15)*($C:$C=$AG15),0),1)</f>
        <v/>
      </c>
      <c r="AK15" s="116" t="str">
        <f t="array" ref="AK15">INDEX($A$1:$C$500, MATCH(1,($B:$B=$AG15)*($C:$C=$C15),0),1)</f>
        <v/>
      </c>
      <c r="AL15" s="116" t="str">
        <f t="array" ref="AL15">INDEX($A$1:$C$500, MATCH(1,($B:$B=$C15)*($C:$C=$AB15),0),1)</f>
        <v/>
      </c>
      <c r="AM15" s="116" t="str">
        <f t="array" ref="AM15">INDEX($A$1:$C$500, MATCH(1,($B:$B=$AB15)*($C:$C=$C15),0),1)</f>
        <v/>
      </c>
      <c r="AN15" s="114" t="str">
        <f t="array" ref="AN15">IFS(ISNUMBER(AJ15),AJ15,ISNUMBER(AK15),AK15,ISNUMBER(AL15),AL15,ISNUMBER(AM15),AM15)</f>
        <v>#N/A</v>
      </c>
      <c r="AO15" s="115" t="str">
        <f t="shared" si="6"/>
        <v/>
      </c>
      <c r="AP15" s="115" t="str">
        <f t="shared" si="7"/>
        <v/>
      </c>
      <c r="AQ15" s="72"/>
      <c r="AR15" s="109" t="str">
        <f t="shared" si="8"/>
        <v/>
      </c>
      <c r="AS15" s="72" t="str">
        <f>IFERROR(IF(AND(Preferences!B$3="Manual",OR(AX15/AW15&gt;V15/U15,BD15="Serious",BD15="Very serious")),"Assess imprecision",IFERROR(IFS(AND(Preferences!B$3="Automatic",V15/U15&gt;=30),"Extremely serious",AND(W15&lt;=$D$1*-1,Y15&lt;0,V15/U15&lt;3),"Not Serious",AND(W15&lt;=$D$1*-1,Y15&lt;0,V15/U15&gt;=3),"Very serious",AND(W15&gt;=$D$1,X15&gt;0,V15/U15&lt;3),"Not Serious",AND(W15&gt;=$D$1,X15&gt;0,V15/U15&gt;=3),"Very serious",AND(W15&lt;=$D$1*-1,Y15&gt;0,X15&gt;$D$2*-1,V15/U15&lt;3),"Serious", AND(W15&lt;=$D$1*-1,Y15&gt;0,X15&lt;$D$2*-1,V15/U15&lt;3),"Very serious", AND(W15&gt;=$D$1,X15&lt;0,Y15&lt;$D$2,V15/U15&lt;3),"Serious",AND(W15&gt;=$D$1,X15&lt;0,Y15&gt;$D$2,V15/U15&lt;3),"Very serious", AND(W15&lt;=$D$1*-1,Y15&gt;0,X15&gt;$D$2*-1,V15/U15&gt;=3),"Very serious", AND(W15&lt;=$D$1*-1,Y15&gt;0,X15&lt;$D$2*-1,V15/U15&gt;=3),"Very serious", AND(W15&gt;=$D$1,X15&lt;0,Y15&lt;$D$2,V15/U15&gt;=3),"Very serious", AND(W15&gt;=$D$1,X15&lt;0,Y15&gt;$D$2,V15/U15&gt;=3),"Very serious", AND(W15&gt;$D$1*-1,W15&lt;$D$1,X15&gt;$D$1*-1,Y15&lt;$D$1,V15/U15&lt;3),"Not Serious", AND(W15&gt;$D$1*-1,W15&lt;$D$1,OR(X15&lt;=$D$1*-1,Y15&gt;=$D$1),X15&gt;$D$2*-1,Y15&lt;$D$2,V15/U15&lt;3),"Serious", AND(W15&gt;$D$1*-1,W15&lt;$D$1,OR(X15&lt;=$D$2*-1,Y15&gt;=$D$2),V15/U15&lt;3),"Very serious", AND(W15&gt;$D$1*-1,W15&lt;$D$1,X15&gt;$D$1*-1,Y15&lt;$D$1,V15/U15&gt;=3),"Very serious", AND(W15&gt;$D$1*-1,W15&lt;$D$1,OR(X15&lt;=$D$1*-1,Y15&gt;=$D$1),X15&gt;$D$2*-1,Y15&lt;$D$2,V15/U15&gt;=3),"Very serious", AND(W15&gt;$D$1*-1,W15&lt;$D$1,OR(X15&lt;=$D$2*-1,Y15&gt;=$D$2),V15/U15&gt;=3),"Very serious"),"")),"")</f>
        <v/>
      </c>
      <c r="AT15" s="109" t="str">
        <f t="shared" si="9"/>
        <v/>
      </c>
      <c r="AU15" s="123"/>
      <c r="AV15" s="117"/>
      <c r="AW15" s="117"/>
      <c r="AX15" s="117"/>
      <c r="AY15" s="118"/>
      <c r="AZ15" s="118"/>
      <c r="BA15" s="119"/>
      <c r="BB15" s="86" t="str">
        <f>IF(Preferences!B$9="Manual","",IFS(ISBLANK(B15),"",AND(ISNUMBER(E15)=TRUE,ISNUMBER(T15)=FALSE),"Direct", AND(ISNUMBER(E15)=FALSE,ISNUMBER(T15)=TRUE),"Indirect", CN15=4,"Direct",AND(CL15=FALSE, CM15=TRUE,CN15-CO15&gt;-1),"Direct", AND(CL15=FALSE,CM15=TRUE, CN15-CO15&lt;0),"Check algorithm in appendix 2", AND(CL15=TRUE, CM15=FALSE,CN15-CO15&gt;0),"Check algorithm in appendix 2", AND(CL15=TRUE, CM15=FALSE,CN15-CO15=0),"Indirect", AND(CL15=TRUE, CM15=FALSE,CN15-CO15&lt;0),"Indirect", AND(CL15=FALSE,CM15=FALSE,CN15-CO15&gt;-1),"Direct", AND(CL15=FALSE,CM15=FALSE,CN15-CO15&lt;0),"Check algorithm in appendix 2", AND(CL15=TRUE,CM15=TRUE,CN15-CO15&gt;-1),"Direct", AND(CL15=TRUE,CM15=TRUE,CN15-CO15&lt;0),"Check algorithm in appendix 2"))</f>
        <v/>
      </c>
      <c r="BC15" s="120" t="str">
        <f t="shared" si="10"/>
        <v/>
      </c>
      <c r="BD15" s="140"/>
      <c r="BE15" s="122" t="str">
        <f>IF(Preferences!B$3="Manual","", IFERROR(IFS(AND(Preferences!B$3="Automatic",AX15/AW15&gt;=30),"Extremely serious",AND(AY15&lt;=$D$1*-1,BA15&lt;0,AX15/AW15&lt;3),"Not Serious",AND(AY15&lt;=$D$1*-1,BA15&lt;0,AX15/AW15&gt;=3),"Very serious",AND(AY15&gt;=$D$1,AZ15&gt;0,AX15/AW15&lt;3),"Not Serious",AND(AY15&gt;=$D$1,AZ15&gt;0,AX15/AW15&gt;=3),"Very serious",AND(AY15&lt;=$D$1*-1,BA15&gt;0,AZ15&gt;$D$2*-1,AX15/AW15&lt;3),"Serious", AND(AY15&lt;=$D$1*-1,BA15&gt;0,AZ15&lt;$D$2*-1,AX15/AW15&lt;3),"Very serious", AND(AY15&gt;=$D$1,AZ15&lt;0,BA15&lt;$D$2,AX15/AW15&lt;3),"Serious",AND(AY15&gt;=$D$1,AZ15&lt;0,BA15&gt;$D$2,AX15/AW15&lt;3),"Very serious", AND(AY15&lt;=$D$1*-1,BA15&gt;0,AZ15&gt;$D$2*-1,AX15/AW15&gt;=3),"Very serious", AND(AY15&lt;=$D$1*-1,BA15&gt;0,AZ15&lt;$D$2*-1,AX15/AW15&gt;=3),"Very serious", AND(AY15&gt;=$D$1,AZ15&lt;0,BA15&lt;$D$2,AX15/AW15&gt;=3),"Very serious", AND(AY15&gt;=$D$1,AZ15&lt;0,BA15&gt;$D$2,AX15/AW15&gt;=3),"Very serious", AND(AY15&gt;$D$1*-1,AY15&lt;$D$1,AZ15&gt;$D$1*-1,BA15&lt;$D$1,AX15/AW15&lt;3),"Not Serious", AND(AY15&gt;$D$1*-1,AY15&lt;$D$1,OR(AZ15&lt;=$D$1*-1,BA15&gt;=$D$1),AZ15&gt;$D$2*-1,BA15&lt;$D$2,AX15/AW15&lt;3),"Serious", AND(AY15&gt;$D$1*-1,AY15&lt;$D$1,OR(AZ15&lt;=$D$2*-1,BA15&gt;=$D$2),AX15/AW15&lt;3),"Very serious", AND(AY15&gt;$D$1*-1,AY15&lt;$D$1,AZ15&gt;$D$1*-1,BA15&lt;$D$1,AX15/AW15&gt;=3),"Very serious", AND(AY15&gt;$D$1*-1,AY15&lt;$D$1,OR(AZ15&lt;=$D$1*-1,BA15&gt;=$D$1),AZ15&gt;$D$2*-1,BA15&lt;$D$2,AX15/AW15&gt;=3),"Very serious", AND(AY15&gt;$D$1*-1,AY15&lt;$D$1,OR(AZ15&lt;=$D$2*-1,BA15&gt;=$D$2),AX15/AW15&gt;=3),"Very serious"),""))</f>
        <v/>
      </c>
      <c r="BF15" s="107" t="str">
        <f t="shared" si="11"/>
        <v/>
      </c>
      <c r="BG15" s="94" t="str">
        <f t="shared" si="46"/>
        <v/>
      </c>
      <c r="BH15" s="64" t="str">
        <f t="shared" si="12"/>
        <v>#N/A</v>
      </c>
      <c r="BI15" s="64" t="str">
        <f t="shared" si="13"/>
        <v/>
      </c>
      <c r="BJ15" s="123" t="str">
        <f t="shared" si="14"/>
        <v>#N/A</v>
      </c>
      <c r="BK15" s="64" t="str">
        <f t="shared" si="15"/>
        <v>YES</v>
      </c>
      <c r="BL15" s="64" t="str">
        <f t="shared" si="16"/>
        <v>YES</v>
      </c>
      <c r="BM15" s="64" t="str">
        <f t="shared" si="17"/>
        <v>YES</v>
      </c>
      <c r="BN15" s="124" t="str">
        <f t="shared" si="18"/>
        <v/>
      </c>
      <c r="BO15" s="91" t="str">
        <f t="shared" si="19"/>
        <v/>
      </c>
      <c r="BP15" s="91" t="str">
        <f t="shared" si="20"/>
        <v>#N/A</v>
      </c>
      <c r="BQ15" s="91" t="str">
        <f t="shared" si="21"/>
        <v/>
      </c>
      <c r="BR15" s="93" t="str">
        <f t="shared" si="22"/>
        <v/>
      </c>
      <c r="BS15" s="90" t="str">
        <f t="shared" si="23"/>
        <v/>
      </c>
      <c r="BT15" s="93" t="str">
        <f t="shared" si="24"/>
        <v>NA</v>
      </c>
      <c r="BU15" s="125" t="str">
        <f t="shared" si="25"/>
        <v>#N/A</v>
      </c>
      <c r="BV15" s="93" t="str">
        <f t="shared" si="26"/>
        <v/>
      </c>
      <c r="BW15" s="93" t="str">
        <f t="shared" si="27"/>
        <v/>
      </c>
      <c r="BX15" s="93" t="str">
        <f t="shared" si="28"/>
        <v>NA</v>
      </c>
      <c r="BY15" s="95" t="str">
        <f t="shared" si="29"/>
        <v>#N/A</v>
      </c>
      <c r="BZ15" s="93" t="str">
        <f t="shared" si="30"/>
        <v/>
      </c>
      <c r="CA15" s="93" t="str">
        <f t="shared" si="31"/>
        <v/>
      </c>
      <c r="CB15" s="93" t="str">
        <f t="shared" si="32"/>
        <v>NA</v>
      </c>
      <c r="CC15" s="96" t="str">
        <f t="shared" si="33"/>
        <v>#N/A</v>
      </c>
      <c r="CD15" s="93" t="str">
        <f t="shared" si="34"/>
        <v/>
      </c>
      <c r="CE15" s="93" t="str">
        <f t="shared" si="35"/>
        <v/>
      </c>
      <c r="CF15" s="93" t="str">
        <f t="shared" si="36"/>
        <v>NA</v>
      </c>
      <c r="CG15" s="97" t="str">
        <f t="shared" si="37"/>
        <v>#N/A</v>
      </c>
      <c r="CH15" s="98" t="str">
        <f t="shared" si="38"/>
        <v>#N/A</v>
      </c>
      <c r="CI15" s="99" t="str">
        <f t="shared" si="39"/>
        <v>#N/A</v>
      </c>
      <c r="CJ15" s="126" t="str">
        <f t="shared" si="40"/>
        <v>ERROR: check cell</v>
      </c>
      <c r="CK15" s="126"/>
      <c r="CL15" s="127" t="str">
        <f t="shared" si="41"/>
        <v>#DIV/0!</v>
      </c>
      <c r="CM15" s="128" t="str">
        <f t="shared" si="42"/>
        <v>#DIV/0!</v>
      </c>
      <c r="CN15" s="128">
        <f t="shared" si="43"/>
        <v>4</v>
      </c>
      <c r="CO15" s="129">
        <f t="shared" si="44"/>
        <v>4</v>
      </c>
      <c r="CP15" s="129" t="str">
        <f>IFS(C15=Preferences!B$13,B15,B15=Preferences!B$13,C15)</f>
        <v>#N/A</v>
      </c>
    </row>
    <row r="16" ht="13.5" customHeight="1">
      <c r="A16" s="63" t="str">
        <f t="shared" si="45"/>
        <v/>
      </c>
      <c r="B16" s="64"/>
      <c r="C16" s="64"/>
      <c r="D16" s="49"/>
      <c r="E16" s="66"/>
      <c r="F16" s="66"/>
      <c r="G16" s="104"/>
      <c r="H16" s="104"/>
      <c r="I16" s="104"/>
      <c r="J16" s="105"/>
      <c r="K16" s="131"/>
      <c r="L16" s="104"/>
      <c r="M16" s="104"/>
      <c r="N16" s="104"/>
      <c r="O16" s="104"/>
      <c r="P16" s="107" t="str">
        <f t="shared" si="1"/>
        <v/>
      </c>
      <c r="Q16" s="108" t="str">
        <f>IFERROR(IF(AND(Preferences!B$3="Manual",OR(AX16/AW16&gt;G16/F16,BD16="Serious",BD16="Very serious")),"Assess imprecision",IFS(ISBLANK(E16),"",AND(Preferences!B$3="Automatic", G16/F16&gt;=30),"Extremely serious",AND(H16&lt;=$D$1*-1,J16&lt;0,G16/F16&lt;3),"Not serious",AND(H16&lt;=$D$1*-1,J16&lt;0,G16/F16&gt;=3),"Very serious",AND(H16&gt;=$D$1,I16&gt;0,G16/F16&lt;3),"Not serious",AND(H16&gt;=$D$1,I16&gt;0,G16/F16&gt;=3),"Very serious",AND(H16&lt;=$D$1*-1,J16&gt;0,I16&gt;$D$2*-1,G16/F16&lt;3),"Serious", AND(H16&lt;=$D$1*-1,J16&gt;0,I16&lt;$D$2*-1,G16/F16&lt;3),"Very serious", AND(H16&gt;=$D$1,I16&lt;0,J16&lt;$D$2,G16/F16&lt;3),"Serious",AND(H16&gt;=$D$1,I16&lt;0,J16&gt;$D$2,G16/F16&lt;3),"Very serious", AND(H16&lt;=$D$1*-1,J16&gt;0,I16&gt;$D$2*-1,G16/F16&gt;=3),"Very serious", AND(H16&lt;=$D$1*-1,J16&gt;0,I16&lt;$D$2*-1,G16/F16&gt;=3),"Very serious", AND(H16&gt;=$D$1,I16&lt;0,J16&lt;$D$2,G16/F16&gt;=3),"Very serious", AND(H16&gt;=$D$1,I16&lt;0,J16&gt;$D$2,G16/F16&gt;=3),"Very serious", AND(H16&gt;$D$1*-1,H16&lt;$D$1,I16&gt;$D$1*-1,J16&lt;$D$1,G16/F16&lt;3),"Not serious", AND(H16&gt;$D$1*-1,H16&lt;$D$1,OR(I16&lt;=$D$1*-1,J16&gt;=$D$1),I16&gt;$D$2*-1,J16&lt;$D$2,G16/F16&lt;3),"Serious", AND(H16&gt;$D$1*-1,H16&lt;$D$1,OR(I16&lt;=$D$2*-1,J16&gt;=$D$2),G16/F16&lt;3),"Very serious", AND(H16&gt;$D$1*-1,H16&lt;$D$1,I16&gt;$D$1*-1,J16&lt;$D$1,G16/F16&gt;=3),"Very serious", AND(H16&gt;$D$1*-1,H16&lt;$D$1,OR(I16&lt;=$D$1*-1,J16&gt;=$D$1),I16&gt;$D$2*-1,J16&lt;$D$2,G16/F16&gt;=3),"Very serious", AND(H16&gt;$D$1*-1,H16&lt;$D$1,OR(I16&lt;=$D$2*-1,J16&gt;=$D$2),G16/F16&gt;=3),"Very serious")),"")</f>
        <v/>
      </c>
      <c r="R16" s="109" t="str">
        <f t="shared" si="47"/>
        <v/>
      </c>
      <c r="S16" s="64"/>
      <c r="T16" s="139"/>
      <c r="U16" s="139"/>
      <c r="V16" s="139"/>
      <c r="W16" s="72"/>
      <c r="X16" s="72"/>
      <c r="Y16" s="130"/>
      <c r="Z16" s="113" t="str">
        <f t="array" ref="Z16">INDEX($A$1:$C$500, MATCH(1,($B:$B=$B16)*($C:$C=$AB16),0),1)</f>
        <v/>
      </c>
      <c r="AA16" s="113" t="str">
        <f t="array" ref="AA16">INDEX($A$1:$C$500, MATCH(1,($B:$B=$AB16)*($C:$C=$B16),0),1)</f>
        <v/>
      </c>
      <c r="AB16" s="111"/>
      <c r="AC16" s="114" t="str">
        <f t="shared" si="2"/>
        <v/>
      </c>
      <c r="AD16" s="115" t="str">
        <f t="shared" si="3"/>
        <v/>
      </c>
      <c r="AE16" s="116" t="str">
        <f t="array" ref="AE16">INDEX($A$1:$C$500, MATCH(1,($B:$B=$AB16)*($C:$C=$AG16),0),1)</f>
        <v/>
      </c>
      <c r="AF16" s="116" t="str">
        <f t="array" ref="AF16">INDEX($A$1:$C$500, MATCH(1,($B:$B=$AG16)*($C:$C=$AB16),0),1)</f>
        <v/>
      </c>
      <c r="AG16" s="72"/>
      <c r="AH16" s="114" t="str">
        <f t="shared" si="4"/>
        <v/>
      </c>
      <c r="AI16" s="115" t="str">
        <f t="shared" si="5"/>
        <v/>
      </c>
      <c r="AJ16" s="116" t="str">
        <f t="array" ref="AJ16">INDEX($A$1:$C$500, MATCH(1,($B:$B=$C16)*($C:$C=$AG16),0),1)</f>
        <v/>
      </c>
      <c r="AK16" s="116" t="str">
        <f t="array" ref="AK16">INDEX($A$1:$C$500, MATCH(1,($B:$B=$AG16)*($C:$C=$C16),0),1)</f>
        <v/>
      </c>
      <c r="AL16" s="116" t="str">
        <f t="array" ref="AL16">INDEX($A$1:$C$500, MATCH(1,($B:$B=$C16)*($C:$C=$AB16),0),1)</f>
        <v/>
      </c>
      <c r="AM16" s="116" t="str">
        <f t="array" ref="AM16">INDEX($A$1:$C$500, MATCH(1,($B:$B=$AB16)*($C:$C=$C16),0),1)</f>
        <v/>
      </c>
      <c r="AN16" s="114" t="str">
        <f t="array" ref="AN16">IFS(ISNUMBER(AJ16),AJ16,ISNUMBER(AK16),AK16,ISNUMBER(AL16),AL16,ISNUMBER(AM16),AM16)</f>
        <v>#N/A</v>
      </c>
      <c r="AO16" s="115" t="str">
        <f t="shared" si="6"/>
        <v/>
      </c>
      <c r="AP16" s="115" t="str">
        <f t="shared" si="7"/>
        <v/>
      </c>
      <c r="AQ16" s="72"/>
      <c r="AR16" s="109" t="str">
        <f t="shared" si="8"/>
        <v/>
      </c>
      <c r="AS16" s="72" t="str">
        <f>IFERROR(IF(AND(Preferences!B$3="Manual",OR(AX16/AW16&gt;V16/U16,BD16="Serious",BD16="Very serious")),"Assess imprecision",IFERROR(IFS(AND(Preferences!B$3="Automatic",V16/U16&gt;=30),"Extremely serious",AND(W16&lt;=$D$1*-1,Y16&lt;0,V16/U16&lt;3),"Not Serious",AND(W16&lt;=$D$1*-1,Y16&lt;0,V16/U16&gt;=3),"Very serious",AND(W16&gt;=$D$1,X16&gt;0,V16/U16&lt;3),"Not Serious",AND(W16&gt;=$D$1,X16&gt;0,V16/U16&gt;=3),"Very serious",AND(W16&lt;=$D$1*-1,Y16&gt;0,X16&gt;$D$2*-1,V16/U16&lt;3),"Serious", AND(W16&lt;=$D$1*-1,Y16&gt;0,X16&lt;$D$2*-1,V16/U16&lt;3),"Very serious", AND(W16&gt;=$D$1,X16&lt;0,Y16&lt;$D$2,V16/U16&lt;3),"Serious",AND(W16&gt;=$D$1,X16&lt;0,Y16&gt;$D$2,V16/U16&lt;3),"Very serious", AND(W16&lt;=$D$1*-1,Y16&gt;0,X16&gt;$D$2*-1,V16/U16&gt;=3),"Very serious", AND(W16&lt;=$D$1*-1,Y16&gt;0,X16&lt;$D$2*-1,V16/U16&gt;=3),"Very serious", AND(W16&gt;=$D$1,X16&lt;0,Y16&lt;$D$2,V16/U16&gt;=3),"Very serious", AND(W16&gt;=$D$1,X16&lt;0,Y16&gt;$D$2,V16/U16&gt;=3),"Very serious", AND(W16&gt;$D$1*-1,W16&lt;$D$1,X16&gt;$D$1*-1,Y16&lt;$D$1,V16/U16&lt;3),"Not Serious", AND(W16&gt;$D$1*-1,W16&lt;$D$1,OR(X16&lt;=$D$1*-1,Y16&gt;=$D$1),X16&gt;$D$2*-1,Y16&lt;$D$2,V16/U16&lt;3),"Serious", AND(W16&gt;$D$1*-1,W16&lt;$D$1,OR(X16&lt;=$D$2*-1,Y16&gt;=$D$2),V16/U16&lt;3),"Very serious", AND(W16&gt;$D$1*-1,W16&lt;$D$1,X16&gt;$D$1*-1,Y16&lt;$D$1,V16/U16&gt;=3),"Very serious", AND(W16&gt;$D$1*-1,W16&lt;$D$1,OR(X16&lt;=$D$1*-1,Y16&gt;=$D$1),X16&gt;$D$2*-1,Y16&lt;$D$2,V16/U16&gt;=3),"Very serious", AND(W16&gt;$D$1*-1,W16&lt;$D$1,OR(X16&lt;=$D$2*-1,Y16&gt;=$D$2),V16/U16&gt;=3),"Very serious"),"")),"")</f>
        <v/>
      </c>
      <c r="AT16" s="109" t="str">
        <f t="shared" si="9"/>
        <v/>
      </c>
      <c r="AU16" s="123"/>
      <c r="AV16" s="117"/>
      <c r="AW16" s="117"/>
      <c r="AX16" s="117"/>
      <c r="AY16" s="118"/>
      <c r="AZ16" s="118"/>
      <c r="BA16" s="119"/>
      <c r="BB16" s="86" t="str">
        <f>IF(Preferences!B$9="Manual","",IFS(ISBLANK(B16),"",AND(ISNUMBER(E16)=TRUE,ISNUMBER(T16)=FALSE),"Direct", AND(ISNUMBER(E16)=FALSE,ISNUMBER(T16)=TRUE),"Indirect", CN16=4,"Direct",AND(CL16=FALSE, CM16=TRUE,CN16-CO16&gt;-1),"Direct", AND(CL16=FALSE,CM16=TRUE, CN16-CO16&lt;0),"Check algorithm in appendix 2", AND(CL16=TRUE, CM16=FALSE,CN16-CO16&gt;0),"Check algorithm in appendix 2", AND(CL16=TRUE, CM16=FALSE,CN16-CO16=0),"Indirect", AND(CL16=TRUE, CM16=FALSE,CN16-CO16&lt;0),"Indirect", AND(CL16=FALSE,CM16=FALSE,CN16-CO16&gt;-1),"Direct", AND(CL16=FALSE,CM16=FALSE,CN16-CO16&lt;0),"Check algorithm in appendix 2", AND(CL16=TRUE,CM16=TRUE,CN16-CO16&gt;-1),"Direct", AND(CL16=TRUE,CM16=TRUE,CN16-CO16&lt;0),"Check algorithm in appendix 2"))</f>
        <v/>
      </c>
      <c r="BC16" s="120" t="str">
        <f t="shared" si="10"/>
        <v/>
      </c>
      <c r="BD16" s="140"/>
      <c r="BE16" s="122" t="str">
        <f>IF(Preferences!B$3="Manual","", IFERROR(IFS(AND(Preferences!B$3="Automatic",AX16/AW16&gt;=30),"Extremely serious",AND(AY16&lt;=$D$1*-1,BA16&lt;0,AX16/AW16&lt;3),"Not Serious",AND(AY16&lt;=$D$1*-1,BA16&lt;0,AX16/AW16&gt;=3),"Very serious",AND(AY16&gt;=$D$1,AZ16&gt;0,AX16/AW16&lt;3),"Not Serious",AND(AY16&gt;=$D$1,AZ16&gt;0,AX16/AW16&gt;=3),"Very serious",AND(AY16&lt;=$D$1*-1,BA16&gt;0,AZ16&gt;$D$2*-1,AX16/AW16&lt;3),"Serious", AND(AY16&lt;=$D$1*-1,BA16&gt;0,AZ16&lt;$D$2*-1,AX16/AW16&lt;3),"Very serious", AND(AY16&gt;=$D$1,AZ16&lt;0,BA16&lt;$D$2,AX16/AW16&lt;3),"Serious",AND(AY16&gt;=$D$1,AZ16&lt;0,BA16&gt;$D$2,AX16/AW16&lt;3),"Very serious", AND(AY16&lt;=$D$1*-1,BA16&gt;0,AZ16&gt;$D$2*-1,AX16/AW16&gt;=3),"Very serious", AND(AY16&lt;=$D$1*-1,BA16&gt;0,AZ16&lt;$D$2*-1,AX16/AW16&gt;=3),"Very serious", AND(AY16&gt;=$D$1,AZ16&lt;0,BA16&lt;$D$2,AX16/AW16&gt;=3),"Very serious", AND(AY16&gt;=$D$1,AZ16&lt;0,BA16&gt;$D$2,AX16/AW16&gt;=3),"Very serious", AND(AY16&gt;$D$1*-1,AY16&lt;$D$1,AZ16&gt;$D$1*-1,BA16&lt;$D$1,AX16/AW16&lt;3),"Not Serious", AND(AY16&gt;$D$1*-1,AY16&lt;$D$1,OR(AZ16&lt;=$D$1*-1,BA16&gt;=$D$1),AZ16&gt;$D$2*-1,BA16&lt;$D$2,AX16/AW16&lt;3),"Serious", AND(AY16&gt;$D$1*-1,AY16&lt;$D$1,OR(AZ16&lt;=$D$2*-1,BA16&gt;=$D$2),AX16/AW16&lt;3),"Very serious", AND(AY16&gt;$D$1*-1,AY16&lt;$D$1,AZ16&gt;$D$1*-1,BA16&lt;$D$1,AX16/AW16&gt;=3),"Very serious", AND(AY16&gt;$D$1*-1,AY16&lt;$D$1,OR(AZ16&lt;=$D$1*-1,BA16&gt;=$D$1),AZ16&gt;$D$2*-1,BA16&lt;$D$2,AX16/AW16&gt;=3),"Very serious", AND(AY16&gt;$D$1*-1,AY16&lt;$D$1,OR(AZ16&lt;=$D$2*-1,BA16&gt;=$D$2),AX16/AW16&gt;=3),"Very serious"),""))</f>
        <v/>
      </c>
      <c r="BF16" s="107" t="str">
        <f t="shared" si="11"/>
        <v/>
      </c>
      <c r="BG16" s="94" t="str">
        <f t="shared" si="46"/>
        <v/>
      </c>
      <c r="BH16" s="64" t="str">
        <f t="shared" si="12"/>
        <v>#N/A</v>
      </c>
      <c r="BI16" s="64" t="str">
        <f t="shared" si="13"/>
        <v/>
      </c>
      <c r="BJ16" s="123" t="str">
        <f t="shared" si="14"/>
        <v>#N/A</v>
      </c>
      <c r="BK16" s="64" t="str">
        <f t="shared" si="15"/>
        <v>YES</v>
      </c>
      <c r="BL16" s="64" t="str">
        <f t="shared" si="16"/>
        <v>YES</v>
      </c>
      <c r="BM16" s="64" t="str">
        <f t="shared" si="17"/>
        <v>YES</v>
      </c>
      <c r="BN16" s="124" t="str">
        <f t="shared" si="18"/>
        <v/>
      </c>
      <c r="BO16" s="91" t="str">
        <f t="shared" si="19"/>
        <v/>
      </c>
      <c r="BP16" s="91" t="str">
        <f t="shared" si="20"/>
        <v>#N/A</v>
      </c>
      <c r="BQ16" s="91" t="str">
        <f t="shared" si="21"/>
        <v/>
      </c>
      <c r="BR16" s="93" t="str">
        <f t="shared" si="22"/>
        <v/>
      </c>
      <c r="BS16" s="90" t="str">
        <f t="shared" si="23"/>
        <v/>
      </c>
      <c r="BT16" s="93" t="str">
        <f t="shared" si="24"/>
        <v>NA</v>
      </c>
      <c r="BU16" s="125" t="str">
        <f t="shared" si="25"/>
        <v>#N/A</v>
      </c>
      <c r="BV16" s="93" t="str">
        <f t="shared" si="26"/>
        <v/>
      </c>
      <c r="BW16" s="93" t="str">
        <f t="shared" si="27"/>
        <v/>
      </c>
      <c r="BX16" s="93" t="str">
        <f t="shared" si="28"/>
        <v>NA</v>
      </c>
      <c r="BY16" s="95" t="str">
        <f t="shared" si="29"/>
        <v>#N/A</v>
      </c>
      <c r="BZ16" s="93" t="str">
        <f t="shared" si="30"/>
        <v/>
      </c>
      <c r="CA16" s="93" t="str">
        <f t="shared" si="31"/>
        <v/>
      </c>
      <c r="CB16" s="93" t="str">
        <f t="shared" si="32"/>
        <v>NA</v>
      </c>
      <c r="CC16" s="96" t="str">
        <f t="shared" si="33"/>
        <v>#N/A</v>
      </c>
      <c r="CD16" s="93" t="str">
        <f t="shared" si="34"/>
        <v/>
      </c>
      <c r="CE16" s="93" t="str">
        <f t="shared" si="35"/>
        <v/>
      </c>
      <c r="CF16" s="93" t="str">
        <f t="shared" si="36"/>
        <v>NA</v>
      </c>
      <c r="CG16" s="97" t="str">
        <f t="shared" si="37"/>
        <v>#N/A</v>
      </c>
      <c r="CH16" s="98" t="str">
        <f t="shared" si="38"/>
        <v>#N/A</v>
      </c>
      <c r="CI16" s="99" t="str">
        <f t="shared" si="39"/>
        <v>#N/A</v>
      </c>
      <c r="CJ16" s="126" t="str">
        <f t="shared" si="40"/>
        <v>ERROR: check cell</v>
      </c>
      <c r="CK16" s="126"/>
      <c r="CL16" s="127" t="str">
        <f t="shared" si="41"/>
        <v>#DIV/0!</v>
      </c>
      <c r="CM16" s="128" t="str">
        <f t="shared" si="42"/>
        <v>#DIV/0!</v>
      </c>
      <c r="CN16" s="128">
        <f t="shared" si="43"/>
        <v>4</v>
      </c>
      <c r="CO16" s="129">
        <f t="shared" si="44"/>
        <v>4</v>
      </c>
      <c r="CP16" s="129" t="str">
        <f>IFS(C16=Preferences!B$13,B16,B16=Preferences!B$13,C16)</f>
        <v>#N/A</v>
      </c>
    </row>
    <row r="17" ht="13.5" customHeight="1">
      <c r="A17" s="63" t="str">
        <f t="shared" si="45"/>
        <v/>
      </c>
      <c r="B17" s="64"/>
      <c r="C17" s="64"/>
      <c r="D17" s="64"/>
      <c r="E17" s="65"/>
      <c r="F17" s="65"/>
      <c r="G17" s="65"/>
      <c r="H17" s="65"/>
      <c r="I17" s="65"/>
      <c r="J17" s="141"/>
      <c r="K17" s="138"/>
      <c r="L17" s="133"/>
      <c r="M17" s="133"/>
      <c r="N17" s="133"/>
      <c r="O17" s="133"/>
      <c r="P17" s="107" t="str">
        <f t="shared" si="1"/>
        <v/>
      </c>
      <c r="Q17" s="108" t="str">
        <f>IFERROR(IF(AND(Preferences!B$3="Manual",OR(AX17/AW17&gt;G17/F17,BD17="Serious",BD17="Very serious")),"Assess imprecision",IFS(ISBLANK(E17),"",AND(Preferences!B$3="Automatic", G17/F17&gt;=30),"Extremely serious",AND(H17&lt;=$D$1*-1,J17&lt;0,G17/F17&lt;3),"Not serious",AND(H17&lt;=$D$1*-1,J17&lt;0,G17/F17&gt;=3),"Very serious",AND(H17&gt;=$D$1,I17&gt;0,G17/F17&lt;3),"Not serious",AND(H17&gt;=$D$1,I17&gt;0,G17/F17&gt;=3),"Very serious",AND(H17&lt;=$D$1*-1,J17&gt;0,I17&gt;$D$2*-1,G17/F17&lt;3),"Serious", AND(H17&lt;=$D$1*-1,J17&gt;0,I17&lt;$D$2*-1,G17/F17&lt;3),"Very serious", AND(H17&gt;=$D$1,I17&lt;0,J17&lt;$D$2,G17/F17&lt;3),"Serious",AND(H17&gt;=$D$1,I17&lt;0,J17&gt;$D$2,G17/F17&lt;3),"Very serious", AND(H17&lt;=$D$1*-1,J17&gt;0,I17&gt;$D$2*-1,G17/F17&gt;=3),"Very serious", AND(H17&lt;=$D$1*-1,J17&gt;0,I17&lt;$D$2*-1,G17/F17&gt;=3),"Very serious", AND(H17&gt;=$D$1,I17&lt;0,J17&lt;$D$2,G17/F17&gt;=3),"Very serious", AND(H17&gt;=$D$1,I17&lt;0,J17&gt;$D$2,G17/F17&gt;=3),"Very serious", AND(H17&gt;$D$1*-1,H17&lt;$D$1,I17&gt;$D$1*-1,J17&lt;$D$1,G17/F17&lt;3),"Not serious", AND(H17&gt;$D$1*-1,H17&lt;$D$1,OR(I17&lt;=$D$1*-1,J17&gt;=$D$1),I17&gt;$D$2*-1,J17&lt;$D$2,G17/F17&lt;3),"Serious", AND(H17&gt;$D$1*-1,H17&lt;$D$1,OR(I17&lt;=$D$2*-1,J17&gt;=$D$2),G17/F17&lt;3),"Very serious", AND(H17&gt;$D$1*-1,H17&lt;$D$1,I17&gt;$D$1*-1,J17&lt;$D$1,G17/F17&gt;=3),"Very serious", AND(H17&gt;$D$1*-1,H17&lt;$D$1,OR(I17&lt;=$D$1*-1,J17&gt;=$D$1),I17&gt;$D$2*-1,J17&lt;$D$2,G17/F17&gt;=3),"Very serious", AND(H17&gt;$D$1*-1,H17&lt;$D$1,OR(I17&lt;=$D$2*-1,J17&gt;=$D$2),G17/F17&gt;=3),"Very serious")),"")</f>
        <v/>
      </c>
      <c r="R17" s="109" t="str">
        <f t="shared" si="47"/>
        <v/>
      </c>
      <c r="S17" s="64"/>
      <c r="T17" s="139"/>
      <c r="U17" s="139"/>
      <c r="V17" s="139"/>
      <c r="W17" s="142"/>
      <c r="X17" s="142"/>
      <c r="Y17" s="143"/>
      <c r="Z17" s="113" t="str">
        <f t="array" ref="Z17">INDEX($A$1:$C$500, MATCH(1,($B:$B=$B17)*($C:$C=$AB17),0),1)</f>
        <v/>
      </c>
      <c r="AA17" s="113" t="str">
        <f t="array" ref="AA17">INDEX($A$1:$C$500, MATCH(1,($B:$B=$AB17)*($C:$C=$B17),0),1)</f>
        <v/>
      </c>
      <c r="AB17" s="111"/>
      <c r="AC17" s="114" t="str">
        <f t="shared" si="2"/>
        <v/>
      </c>
      <c r="AD17" s="115" t="str">
        <f t="shared" si="3"/>
        <v/>
      </c>
      <c r="AE17" s="116" t="str">
        <f t="array" ref="AE17">INDEX($A$1:$C$500, MATCH(1,($B:$B=$AB17)*($C:$C=$AG17),0),1)</f>
        <v/>
      </c>
      <c r="AF17" s="116" t="str">
        <f t="array" ref="AF17">INDEX($A$1:$C$500, MATCH(1,($B:$B=$AG17)*($C:$C=$AB17),0),1)</f>
        <v/>
      </c>
      <c r="AG17" s="72"/>
      <c r="AH17" s="114" t="str">
        <f t="shared" si="4"/>
        <v/>
      </c>
      <c r="AI17" s="115" t="str">
        <f t="shared" si="5"/>
        <v/>
      </c>
      <c r="AJ17" s="116" t="str">
        <f t="array" ref="AJ17">INDEX($A$1:$C$500, MATCH(1,($B:$B=$C17)*($C:$C=$AG17),0),1)</f>
        <v/>
      </c>
      <c r="AK17" s="116" t="str">
        <f t="array" ref="AK17">INDEX($A$1:$C$500, MATCH(1,($B:$B=$AG17)*($C:$C=$C17),0),1)</f>
        <v/>
      </c>
      <c r="AL17" s="116" t="str">
        <f t="array" ref="AL17">INDEX($A$1:$C$500, MATCH(1,($B:$B=$C17)*($C:$C=$AB17),0),1)</f>
        <v/>
      </c>
      <c r="AM17" s="116" t="str">
        <f t="array" ref="AM17">INDEX($A$1:$C$500, MATCH(1,($B:$B=$AB17)*($C:$C=$C17),0),1)</f>
        <v/>
      </c>
      <c r="AN17" s="114" t="str">
        <f t="array" ref="AN17">IFS(ISNUMBER(AJ17),AJ17,ISNUMBER(AK17),AK17,ISNUMBER(AL17),AL17,ISNUMBER(AM17),AM17)</f>
        <v>#N/A</v>
      </c>
      <c r="AO17" s="115" t="str">
        <f t="shared" si="6"/>
        <v/>
      </c>
      <c r="AP17" s="115" t="str">
        <f t="shared" si="7"/>
        <v/>
      </c>
      <c r="AQ17" s="72"/>
      <c r="AR17" s="109" t="str">
        <f t="shared" si="8"/>
        <v/>
      </c>
      <c r="AS17" s="72" t="str">
        <f>IFERROR(IF(AND(Preferences!B$3="Manual",OR(AX17/AW17&gt;V17/U17,BD17="Serious",BD17="Very serious")),"Assess imprecision",IFERROR(IFS(AND(Preferences!B$3="Automatic",V17/U17&gt;=30),"Extremely serious",AND(W17&lt;=$D$1*-1,Y17&lt;0,V17/U17&lt;3),"Not Serious",AND(W17&lt;=$D$1*-1,Y17&lt;0,V17/U17&gt;=3),"Very serious",AND(W17&gt;=$D$1,X17&gt;0,V17/U17&lt;3),"Not Serious",AND(W17&gt;=$D$1,X17&gt;0,V17/U17&gt;=3),"Very serious",AND(W17&lt;=$D$1*-1,Y17&gt;0,X17&gt;$D$2*-1,V17/U17&lt;3),"Serious", AND(W17&lt;=$D$1*-1,Y17&gt;0,X17&lt;$D$2*-1,V17/U17&lt;3),"Very serious", AND(W17&gt;=$D$1,X17&lt;0,Y17&lt;$D$2,V17/U17&lt;3),"Serious",AND(W17&gt;=$D$1,X17&lt;0,Y17&gt;$D$2,V17/U17&lt;3),"Very serious", AND(W17&lt;=$D$1*-1,Y17&gt;0,X17&gt;$D$2*-1,V17/U17&gt;=3),"Very serious", AND(W17&lt;=$D$1*-1,Y17&gt;0,X17&lt;$D$2*-1,V17/U17&gt;=3),"Very serious", AND(W17&gt;=$D$1,X17&lt;0,Y17&lt;$D$2,V17/U17&gt;=3),"Very serious", AND(W17&gt;=$D$1,X17&lt;0,Y17&gt;$D$2,V17/U17&gt;=3),"Very serious", AND(W17&gt;$D$1*-1,W17&lt;$D$1,X17&gt;$D$1*-1,Y17&lt;$D$1,V17/U17&lt;3),"Not Serious", AND(W17&gt;$D$1*-1,W17&lt;$D$1,OR(X17&lt;=$D$1*-1,Y17&gt;=$D$1),X17&gt;$D$2*-1,Y17&lt;$D$2,V17/U17&lt;3),"Serious", AND(W17&gt;$D$1*-1,W17&lt;$D$1,OR(X17&lt;=$D$2*-1,Y17&gt;=$D$2),V17/U17&lt;3),"Very serious", AND(W17&gt;$D$1*-1,W17&lt;$D$1,X17&gt;$D$1*-1,Y17&lt;$D$1,V17/U17&gt;=3),"Very serious", AND(W17&gt;$D$1*-1,W17&lt;$D$1,OR(X17&lt;=$D$1*-1,Y17&gt;=$D$1),X17&gt;$D$2*-1,Y17&lt;$D$2,V17/U17&gt;=3),"Very serious", AND(W17&gt;$D$1*-1,W17&lt;$D$1,OR(X17&lt;=$D$2*-1,Y17&gt;=$D$2),V17/U17&gt;=3),"Very serious"),"")),"")</f>
        <v/>
      </c>
      <c r="AT17" s="109" t="str">
        <f t="shared" si="9"/>
        <v/>
      </c>
      <c r="AU17" s="64"/>
      <c r="AV17" s="117"/>
      <c r="AW17" s="117"/>
      <c r="AX17" s="117"/>
      <c r="AY17" s="118"/>
      <c r="AZ17" s="118"/>
      <c r="BA17" s="119"/>
      <c r="BB17" s="86" t="str">
        <f>IF(Preferences!B$9="Manual","",IFS(ISBLANK(B17),"",AND(ISNUMBER(E17)=TRUE,ISNUMBER(T17)=FALSE),"Direct", AND(ISNUMBER(E17)=FALSE,ISNUMBER(T17)=TRUE),"Indirect", CN17=4,"Direct",AND(CL17=FALSE, CM17=TRUE,CN17-CO17&gt;-1),"Direct", AND(CL17=FALSE,CM17=TRUE, CN17-CO17&lt;0),"Check algorithm in appendix 2", AND(CL17=TRUE, CM17=FALSE,CN17-CO17&gt;0),"Check algorithm in appendix 2", AND(CL17=TRUE, CM17=FALSE,CN17-CO17=0),"Indirect", AND(CL17=TRUE, CM17=FALSE,CN17-CO17&lt;0),"Indirect", AND(CL17=FALSE,CM17=FALSE,CN17-CO17&gt;-1),"Direct", AND(CL17=FALSE,CM17=FALSE,CN17-CO17&lt;0),"Check algorithm in appendix 2", AND(CL17=TRUE,CM17=TRUE,CN17-CO17&gt;-1),"Direct", AND(CL17=TRUE,CM17=TRUE,CN17-CO17&lt;0),"Check algorithm in appendix 2"))</f>
        <v/>
      </c>
      <c r="BC17" s="120" t="str">
        <f t="shared" si="10"/>
        <v/>
      </c>
      <c r="BD17" s="140"/>
      <c r="BE17" s="122" t="str">
        <f>IF(Preferences!B$3="Manual","", IFERROR(IFS(AND(Preferences!B$3="Automatic",AX17/AW17&gt;=30),"Extremely serious",AND(AY17&lt;=$D$1*-1,BA17&lt;0,AX17/AW17&lt;3),"Not Serious",AND(AY17&lt;=$D$1*-1,BA17&lt;0,AX17/AW17&gt;=3),"Very serious",AND(AY17&gt;=$D$1,AZ17&gt;0,AX17/AW17&lt;3),"Not Serious",AND(AY17&gt;=$D$1,AZ17&gt;0,AX17/AW17&gt;=3),"Very serious",AND(AY17&lt;=$D$1*-1,BA17&gt;0,AZ17&gt;$D$2*-1,AX17/AW17&lt;3),"Serious", AND(AY17&lt;=$D$1*-1,BA17&gt;0,AZ17&lt;$D$2*-1,AX17/AW17&lt;3),"Very serious", AND(AY17&gt;=$D$1,AZ17&lt;0,BA17&lt;$D$2,AX17/AW17&lt;3),"Serious",AND(AY17&gt;=$D$1,AZ17&lt;0,BA17&gt;$D$2,AX17/AW17&lt;3),"Very serious", AND(AY17&lt;=$D$1*-1,BA17&gt;0,AZ17&gt;$D$2*-1,AX17/AW17&gt;=3),"Very serious", AND(AY17&lt;=$D$1*-1,BA17&gt;0,AZ17&lt;$D$2*-1,AX17/AW17&gt;=3),"Very serious", AND(AY17&gt;=$D$1,AZ17&lt;0,BA17&lt;$D$2,AX17/AW17&gt;=3),"Very serious", AND(AY17&gt;=$D$1,AZ17&lt;0,BA17&gt;$D$2,AX17/AW17&gt;=3),"Very serious", AND(AY17&gt;$D$1*-1,AY17&lt;$D$1,AZ17&gt;$D$1*-1,BA17&lt;$D$1,AX17/AW17&lt;3),"Not Serious", AND(AY17&gt;$D$1*-1,AY17&lt;$D$1,OR(AZ17&lt;=$D$1*-1,BA17&gt;=$D$1),AZ17&gt;$D$2*-1,BA17&lt;$D$2,AX17/AW17&lt;3),"Serious", AND(AY17&gt;$D$1*-1,AY17&lt;$D$1,OR(AZ17&lt;=$D$2*-1,BA17&gt;=$D$2),AX17/AW17&lt;3),"Very serious", AND(AY17&gt;$D$1*-1,AY17&lt;$D$1,AZ17&gt;$D$1*-1,BA17&lt;$D$1,AX17/AW17&gt;=3),"Very serious", AND(AY17&gt;$D$1*-1,AY17&lt;$D$1,OR(AZ17&lt;=$D$1*-1,BA17&gt;=$D$1),AZ17&gt;$D$2*-1,BA17&lt;$D$2,AX17/AW17&gt;=3),"Very serious", AND(AY17&gt;$D$1*-1,AY17&lt;$D$1,OR(AZ17&lt;=$D$2*-1,BA17&gt;=$D$2),AX17/AW17&gt;=3),"Very serious"),""))</f>
        <v/>
      </c>
      <c r="BF17" s="107" t="str">
        <f t="shared" si="11"/>
        <v/>
      </c>
      <c r="BG17" s="94" t="str">
        <f t="shared" si="46"/>
        <v/>
      </c>
      <c r="BH17" s="64" t="str">
        <f t="shared" si="12"/>
        <v>#N/A</v>
      </c>
      <c r="BI17" s="64" t="str">
        <f t="shared" si="13"/>
        <v/>
      </c>
      <c r="BJ17" s="123" t="str">
        <f t="shared" si="14"/>
        <v>#N/A</v>
      </c>
      <c r="BK17" s="64" t="str">
        <f t="shared" si="15"/>
        <v>YES</v>
      </c>
      <c r="BL17" s="64" t="str">
        <f t="shared" si="16"/>
        <v>YES</v>
      </c>
      <c r="BM17" s="64" t="str">
        <f t="shared" si="17"/>
        <v>YES</v>
      </c>
      <c r="BN17" s="124" t="str">
        <f t="shared" si="18"/>
        <v/>
      </c>
      <c r="BO17" s="91" t="str">
        <f t="shared" si="19"/>
        <v/>
      </c>
      <c r="BP17" s="91" t="str">
        <f t="shared" si="20"/>
        <v>#N/A</v>
      </c>
      <c r="BQ17" s="91" t="str">
        <f t="shared" si="21"/>
        <v/>
      </c>
      <c r="BR17" s="93" t="str">
        <f t="shared" si="22"/>
        <v/>
      </c>
      <c r="BS17" s="90" t="str">
        <f t="shared" si="23"/>
        <v/>
      </c>
      <c r="BT17" s="93" t="str">
        <f t="shared" si="24"/>
        <v>NA</v>
      </c>
      <c r="BU17" s="125" t="str">
        <f t="shared" si="25"/>
        <v>#N/A</v>
      </c>
      <c r="BV17" s="93" t="str">
        <f t="shared" si="26"/>
        <v/>
      </c>
      <c r="BW17" s="93" t="str">
        <f t="shared" si="27"/>
        <v/>
      </c>
      <c r="BX17" s="93" t="str">
        <f t="shared" si="28"/>
        <v>NA</v>
      </c>
      <c r="BY17" s="95" t="str">
        <f t="shared" si="29"/>
        <v>#N/A</v>
      </c>
      <c r="BZ17" s="93" t="str">
        <f t="shared" si="30"/>
        <v/>
      </c>
      <c r="CA17" s="93" t="str">
        <f t="shared" si="31"/>
        <v/>
      </c>
      <c r="CB17" s="93" t="str">
        <f t="shared" si="32"/>
        <v>NA</v>
      </c>
      <c r="CC17" s="96" t="str">
        <f t="shared" si="33"/>
        <v>#N/A</v>
      </c>
      <c r="CD17" s="93" t="str">
        <f t="shared" si="34"/>
        <v/>
      </c>
      <c r="CE17" s="93" t="str">
        <f t="shared" si="35"/>
        <v/>
      </c>
      <c r="CF17" s="93" t="str">
        <f t="shared" si="36"/>
        <v>NA</v>
      </c>
      <c r="CG17" s="97" t="str">
        <f t="shared" si="37"/>
        <v>#N/A</v>
      </c>
      <c r="CH17" s="98" t="str">
        <f t="shared" si="38"/>
        <v>#N/A</v>
      </c>
      <c r="CI17" s="99" t="str">
        <f t="shared" si="39"/>
        <v>#N/A</v>
      </c>
      <c r="CJ17" s="126" t="str">
        <f t="shared" si="40"/>
        <v>ERROR: check cell</v>
      </c>
      <c r="CK17" s="126"/>
      <c r="CL17" s="127" t="str">
        <f t="shared" si="41"/>
        <v>#DIV/0!</v>
      </c>
      <c r="CM17" s="128" t="str">
        <f t="shared" si="42"/>
        <v>#DIV/0!</v>
      </c>
      <c r="CN17" s="128">
        <f t="shared" si="43"/>
        <v>4</v>
      </c>
      <c r="CO17" s="129">
        <f t="shared" si="44"/>
        <v>4</v>
      </c>
      <c r="CP17" s="129" t="str">
        <f>IFS(C17=Preferences!B$13,B17,B17=Preferences!B$13,C17)</f>
        <v>#N/A</v>
      </c>
    </row>
    <row r="18" ht="13.5" customHeight="1">
      <c r="A18" s="63" t="str">
        <f t="shared" si="45"/>
        <v/>
      </c>
      <c r="B18" s="64"/>
      <c r="C18" s="64"/>
      <c r="D18" s="64"/>
      <c r="E18" s="65"/>
      <c r="F18" s="65"/>
      <c r="G18" s="65"/>
      <c r="H18" s="65"/>
      <c r="I18" s="65"/>
      <c r="J18" s="141"/>
      <c r="K18" s="138"/>
      <c r="L18" s="133"/>
      <c r="M18" s="133"/>
      <c r="N18" s="133"/>
      <c r="O18" s="133"/>
      <c r="P18" s="107" t="str">
        <f t="shared" si="1"/>
        <v/>
      </c>
      <c r="Q18" s="108" t="str">
        <f>IFERROR(IF(AND(Preferences!B$3="Manual",OR(AX18/AW18&gt;G18/F18,BD18="Serious",BD18="Very serious")),"Assess imprecision",IFS(ISBLANK(E18),"",AND(Preferences!B$3="Automatic", G18/F18&gt;=30),"Extremely serious",AND(H18&lt;=$D$1*-1,J18&lt;0,G18/F18&lt;3),"Not serious",AND(H18&lt;=$D$1*-1,J18&lt;0,G18/F18&gt;=3),"Very serious",AND(H18&gt;=$D$1,I18&gt;0,G18/F18&lt;3),"Not serious",AND(H18&gt;=$D$1,I18&gt;0,G18/F18&gt;=3),"Very serious",AND(H18&lt;=$D$1*-1,J18&gt;0,I18&gt;$D$2*-1,G18/F18&lt;3),"Serious", AND(H18&lt;=$D$1*-1,J18&gt;0,I18&lt;$D$2*-1,G18/F18&lt;3),"Very serious", AND(H18&gt;=$D$1,I18&lt;0,J18&lt;$D$2,G18/F18&lt;3),"Serious",AND(H18&gt;=$D$1,I18&lt;0,J18&gt;$D$2,G18/F18&lt;3),"Very serious", AND(H18&lt;=$D$1*-1,J18&gt;0,I18&gt;$D$2*-1,G18/F18&gt;=3),"Very serious", AND(H18&lt;=$D$1*-1,J18&gt;0,I18&lt;$D$2*-1,G18/F18&gt;=3),"Very serious", AND(H18&gt;=$D$1,I18&lt;0,J18&lt;$D$2,G18/F18&gt;=3),"Very serious", AND(H18&gt;=$D$1,I18&lt;0,J18&gt;$D$2,G18/F18&gt;=3),"Very serious", AND(H18&gt;$D$1*-1,H18&lt;$D$1,I18&gt;$D$1*-1,J18&lt;$D$1,G18/F18&lt;3),"Not serious", AND(H18&gt;$D$1*-1,H18&lt;$D$1,OR(I18&lt;=$D$1*-1,J18&gt;=$D$1),I18&gt;$D$2*-1,J18&lt;$D$2,G18/F18&lt;3),"Serious", AND(H18&gt;$D$1*-1,H18&lt;$D$1,OR(I18&lt;=$D$2*-1,J18&gt;=$D$2),G18/F18&lt;3),"Very serious", AND(H18&gt;$D$1*-1,H18&lt;$D$1,I18&gt;$D$1*-1,J18&lt;$D$1,G18/F18&gt;=3),"Very serious", AND(H18&gt;$D$1*-1,H18&lt;$D$1,OR(I18&lt;=$D$1*-1,J18&gt;=$D$1),I18&gt;$D$2*-1,J18&lt;$D$2,G18/F18&gt;=3),"Very serious", AND(H18&gt;$D$1*-1,H18&lt;$D$1,OR(I18&lt;=$D$2*-1,J18&gt;=$D$2),G18/F18&gt;=3),"Very serious")),"")</f>
        <v/>
      </c>
      <c r="R18" s="109" t="str">
        <f t="shared" si="47"/>
        <v/>
      </c>
      <c r="S18" s="64"/>
      <c r="T18" s="139"/>
      <c r="U18" s="139"/>
      <c r="V18" s="139"/>
      <c r="W18" s="142"/>
      <c r="X18" s="142"/>
      <c r="Y18" s="143"/>
      <c r="Z18" s="113" t="str">
        <f t="array" ref="Z18">INDEX($A$1:$C$500, MATCH(1,($B:$B=$B18)*($C:$C=$AB18),0),1)</f>
        <v/>
      </c>
      <c r="AA18" s="113" t="str">
        <f t="array" ref="AA18">INDEX($A$1:$C$500, MATCH(1,($B:$B=$AB18)*($C:$C=$B18),0),1)</f>
        <v/>
      </c>
      <c r="AB18" s="111"/>
      <c r="AC18" s="114" t="str">
        <f t="shared" si="2"/>
        <v/>
      </c>
      <c r="AD18" s="115" t="str">
        <f t="shared" si="3"/>
        <v/>
      </c>
      <c r="AE18" s="116" t="str">
        <f t="array" ref="AE18">INDEX($A$1:$C$500, MATCH(1,($B:$B=$AB18)*($C:$C=$AG18),0),1)</f>
        <v/>
      </c>
      <c r="AF18" s="116" t="str">
        <f t="array" ref="AF18">INDEX($A$1:$C$500, MATCH(1,($B:$B=$AG18)*($C:$C=$AB18),0),1)</f>
        <v/>
      </c>
      <c r="AG18" s="72"/>
      <c r="AH18" s="114" t="str">
        <f t="shared" si="4"/>
        <v/>
      </c>
      <c r="AI18" s="115" t="str">
        <f t="shared" si="5"/>
        <v/>
      </c>
      <c r="AJ18" s="116" t="str">
        <f t="array" ref="AJ18">INDEX($A$1:$C$500, MATCH(1,($B:$B=$C18)*($C:$C=$AG18),0),1)</f>
        <v/>
      </c>
      <c r="AK18" s="116" t="str">
        <f t="array" ref="AK18">INDEX($A$1:$C$500, MATCH(1,($B:$B=$AG18)*($C:$C=$C18),0),1)</f>
        <v/>
      </c>
      <c r="AL18" s="116" t="str">
        <f t="array" ref="AL18">INDEX($A$1:$C$500, MATCH(1,($B:$B=$C18)*($C:$C=$AB18),0),1)</f>
        <v/>
      </c>
      <c r="AM18" s="116" t="str">
        <f t="array" ref="AM18">INDEX($A$1:$C$500, MATCH(1,($B:$B=$AB18)*($C:$C=$C18),0),1)</f>
        <v/>
      </c>
      <c r="AN18" s="114" t="str">
        <f t="array" ref="AN18">IFS(ISNUMBER(AJ18),AJ18,ISNUMBER(AK18),AK18,ISNUMBER(AL18),AL18,ISNUMBER(AM18),AM18)</f>
        <v>#N/A</v>
      </c>
      <c r="AO18" s="115" t="str">
        <f t="shared" si="6"/>
        <v/>
      </c>
      <c r="AP18" s="115" t="str">
        <f t="shared" si="7"/>
        <v/>
      </c>
      <c r="AQ18" s="72"/>
      <c r="AR18" s="109" t="str">
        <f t="shared" si="8"/>
        <v/>
      </c>
      <c r="AS18" s="72" t="str">
        <f>IFERROR(IF(AND(Preferences!B$3="Manual",OR(AX18/AW18&gt;V18/U18,BD18="Serious",BD18="Very serious")),"Assess imprecision",IFERROR(IFS(AND(Preferences!B$3="Automatic",V18/U18&gt;=30),"Extremely serious",AND(W18&lt;=$D$1*-1,Y18&lt;0,V18/U18&lt;3),"Not Serious",AND(W18&lt;=$D$1*-1,Y18&lt;0,V18/U18&gt;=3),"Very serious",AND(W18&gt;=$D$1,X18&gt;0,V18/U18&lt;3),"Not Serious",AND(W18&gt;=$D$1,X18&gt;0,V18/U18&gt;=3),"Very serious",AND(W18&lt;=$D$1*-1,Y18&gt;0,X18&gt;$D$2*-1,V18/U18&lt;3),"Serious", AND(W18&lt;=$D$1*-1,Y18&gt;0,X18&lt;$D$2*-1,V18/U18&lt;3),"Very serious", AND(W18&gt;=$D$1,X18&lt;0,Y18&lt;$D$2,V18/U18&lt;3),"Serious",AND(W18&gt;=$D$1,X18&lt;0,Y18&gt;$D$2,V18/U18&lt;3),"Very serious", AND(W18&lt;=$D$1*-1,Y18&gt;0,X18&gt;$D$2*-1,V18/U18&gt;=3),"Very serious", AND(W18&lt;=$D$1*-1,Y18&gt;0,X18&lt;$D$2*-1,V18/U18&gt;=3),"Very serious", AND(W18&gt;=$D$1,X18&lt;0,Y18&lt;$D$2,V18/U18&gt;=3),"Very serious", AND(W18&gt;=$D$1,X18&lt;0,Y18&gt;$D$2,V18/U18&gt;=3),"Very serious", AND(W18&gt;$D$1*-1,W18&lt;$D$1,X18&gt;$D$1*-1,Y18&lt;$D$1,V18/U18&lt;3),"Not Serious", AND(W18&gt;$D$1*-1,W18&lt;$D$1,OR(X18&lt;=$D$1*-1,Y18&gt;=$D$1),X18&gt;$D$2*-1,Y18&lt;$D$2,V18/U18&lt;3),"Serious", AND(W18&gt;$D$1*-1,W18&lt;$D$1,OR(X18&lt;=$D$2*-1,Y18&gt;=$D$2),V18/U18&lt;3),"Very serious", AND(W18&gt;$D$1*-1,W18&lt;$D$1,X18&gt;$D$1*-1,Y18&lt;$D$1,V18/U18&gt;=3),"Very serious", AND(W18&gt;$D$1*-1,W18&lt;$D$1,OR(X18&lt;=$D$1*-1,Y18&gt;=$D$1),X18&gt;$D$2*-1,Y18&lt;$D$2,V18/U18&gt;=3),"Very serious", AND(W18&gt;$D$1*-1,W18&lt;$D$1,OR(X18&lt;=$D$2*-1,Y18&gt;=$D$2),V18/U18&gt;=3),"Very serious"),"")),"")</f>
        <v/>
      </c>
      <c r="AT18" s="109" t="str">
        <f t="shared" si="9"/>
        <v/>
      </c>
      <c r="AU18" s="64"/>
      <c r="AV18" s="117"/>
      <c r="AW18" s="117"/>
      <c r="AX18" s="117"/>
      <c r="AY18" s="118"/>
      <c r="AZ18" s="118"/>
      <c r="BA18" s="119"/>
      <c r="BB18" s="86" t="str">
        <f>IF(Preferences!B$9="Manual","",IFS(ISBLANK(B18),"",AND(ISNUMBER(E18)=TRUE,ISNUMBER(T18)=FALSE),"Direct", AND(ISNUMBER(E18)=FALSE,ISNUMBER(T18)=TRUE),"Indirect", CN18=4,"Direct",AND(CL18=FALSE, CM18=TRUE,CN18-CO18&gt;-1),"Direct", AND(CL18=FALSE,CM18=TRUE, CN18-CO18&lt;0),"Check algorithm in appendix 2", AND(CL18=TRUE, CM18=FALSE,CN18-CO18&gt;0),"Check algorithm in appendix 2", AND(CL18=TRUE, CM18=FALSE,CN18-CO18=0),"Indirect", AND(CL18=TRUE, CM18=FALSE,CN18-CO18&lt;0),"Indirect", AND(CL18=FALSE,CM18=FALSE,CN18-CO18&gt;-1),"Direct", AND(CL18=FALSE,CM18=FALSE,CN18-CO18&lt;0),"Check algorithm in appendix 2", AND(CL18=TRUE,CM18=TRUE,CN18-CO18&gt;-1),"Direct", AND(CL18=TRUE,CM18=TRUE,CN18-CO18&lt;0),"Check algorithm in appendix 2"))</f>
        <v/>
      </c>
      <c r="BC18" s="120" t="str">
        <f t="shared" si="10"/>
        <v/>
      </c>
      <c r="BD18" s="140"/>
      <c r="BE18" s="122" t="str">
        <f>IF(Preferences!B$3="Manual","", IFERROR(IFS(AND(Preferences!B$3="Automatic",AX18/AW18&gt;=30),"Extremely serious",AND(AY18&lt;=$D$1*-1,BA18&lt;0,AX18/AW18&lt;3),"Not Serious",AND(AY18&lt;=$D$1*-1,BA18&lt;0,AX18/AW18&gt;=3),"Very serious",AND(AY18&gt;=$D$1,AZ18&gt;0,AX18/AW18&lt;3),"Not Serious",AND(AY18&gt;=$D$1,AZ18&gt;0,AX18/AW18&gt;=3),"Very serious",AND(AY18&lt;=$D$1*-1,BA18&gt;0,AZ18&gt;$D$2*-1,AX18/AW18&lt;3),"Serious", AND(AY18&lt;=$D$1*-1,BA18&gt;0,AZ18&lt;$D$2*-1,AX18/AW18&lt;3),"Very serious", AND(AY18&gt;=$D$1,AZ18&lt;0,BA18&lt;$D$2,AX18/AW18&lt;3),"Serious",AND(AY18&gt;=$D$1,AZ18&lt;0,BA18&gt;$D$2,AX18/AW18&lt;3),"Very serious", AND(AY18&lt;=$D$1*-1,BA18&gt;0,AZ18&gt;$D$2*-1,AX18/AW18&gt;=3),"Very serious", AND(AY18&lt;=$D$1*-1,BA18&gt;0,AZ18&lt;$D$2*-1,AX18/AW18&gt;=3),"Very serious", AND(AY18&gt;=$D$1,AZ18&lt;0,BA18&lt;$D$2,AX18/AW18&gt;=3),"Very serious", AND(AY18&gt;=$D$1,AZ18&lt;0,BA18&gt;$D$2,AX18/AW18&gt;=3),"Very serious", AND(AY18&gt;$D$1*-1,AY18&lt;$D$1,AZ18&gt;$D$1*-1,BA18&lt;$D$1,AX18/AW18&lt;3),"Not Serious", AND(AY18&gt;$D$1*-1,AY18&lt;$D$1,OR(AZ18&lt;=$D$1*-1,BA18&gt;=$D$1),AZ18&gt;$D$2*-1,BA18&lt;$D$2,AX18/AW18&lt;3),"Serious", AND(AY18&gt;$D$1*-1,AY18&lt;$D$1,OR(AZ18&lt;=$D$2*-1,BA18&gt;=$D$2),AX18/AW18&lt;3),"Very serious", AND(AY18&gt;$D$1*-1,AY18&lt;$D$1,AZ18&gt;$D$1*-1,BA18&lt;$D$1,AX18/AW18&gt;=3),"Very serious", AND(AY18&gt;$D$1*-1,AY18&lt;$D$1,OR(AZ18&lt;=$D$1*-1,BA18&gt;=$D$1),AZ18&gt;$D$2*-1,BA18&lt;$D$2,AX18/AW18&gt;=3),"Very serious", AND(AY18&gt;$D$1*-1,AY18&lt;$D$1,OR(AZ18&lt;=$D$2*-1,BA18&gt;=$D$2),AX18/AW18&gt;=3),"Very serious"),""))</f>
        <v/>
      </c>
      <c r="BF18" s="107" t="str">
        <f t="shared" si="11"/>
        <v/>
      </c>
      <c r="BG18" s="94" t="str">
        <f t="shared" si="46"/>
        <v/>
      </c>
      <c r="BH18" s="64" t="str">
        <f t="shared" si="12"/>
        <v>#N/A</v>
      </c>
      <c r="BI18" s="64" t="str">
        <f t="shared" si="13"/>
        <v/>
      </c>
      <c r="BJ18" s="123" t="str">
        <f t="shared" si="14"/>
        <v>#N/A</v>
      </c>
      <c r="BK18" s="64" t="str">
        <f t="shared" si="15"/>
        <v>YES</v>
      </c>
      <c r="BL18" s="64" t="str">
        <f t="shared" si="16"/>
        <v>YES</v>
      </c>
      <c r="BM18" s="64" t="str">
        <f t="shared" si="17"/>
        <v>YES</v>
      </c>
      <c r="BN18" s="124" t="str">
        <f t="shared" si="18"/>
        <v/>
      </c>
      <c r="BO18" s="91" t="str">
        <f t="shared" si="19"/>
        <v/>
      </c>
      <c r="BP18" s="91" t="str">
        <f t="shared" si="20"/>
        <v>#N/A</v>
      </c>
      <c r="BQ18" s="91" t="str">
        <f t="shared" si="21"/>
        <v/>
      </c>
      <c r="BR18" s="93" t="str">
        <f t="shared" si="22"/>
        <v/>
      </c>
      <c r="BS18" s="90" t="str">
        <f t="shared" si="23"/>
        <v/>
      </c>
      <c r="BT18" s="93" t="str">
        <f t="shared" si="24"/>
        <v>NA</v>
      </c>
      <c r="BU18" s="125" t="str">
        <f t="shared" si="25"/>
        <v>#N/A</v>
      </c>
      <c r="BV18" s="93" t="str">
        <f t="shared" si="26"/>
        <v/>
      </c>
      <c r="BW18" s="93" t="str">
        <f t="shared" si="27"/>
        <v/>
      </c>
      <c r="BX18" s="93" t="str">
        <f t="shared" si="28"/>
        <v>NA</v>
      </c>
      <c r="BY18" s="95" t="str">
        <f t="shared" si="29"/>
        <v>#N/A</v>
      </c>
      <c r="BZ18" s="93" t="str">
        <f t="shared" si="30"/>
        <v/>
      </c>
      <c r="CA18" s="93" t="str">
        <f t="shared" si="31"/>
        <v/>
      </c>
      <c r="CB18" s="93" t="str">
        <f t="shared" si="32"/>
        <v>NA</v>
      </c>
      <c r="CC18" s="96" t="str">
        <f t="shared" si="33"/>
        <v>#N/A</v>
      </c>
      <c r="CD18" s="93" t="str">
        <f t="shared" si="34"/>
        <v/>
      </c>
      <c r="CE18" s="93" t="str">
        <f t="shared" si="35"/>
        <v/>
      </c>
      <c r="CF18" s="93" t="str">
        <f t="shared" si="36"/>
        <v>NA</v>
      </c>
      <c r="CG18" s="97" t="str">
        <f t="shared" si="37"/>
        <v>#N/A</v>
      </c>
      <c r="CH18" s="98" t="str">
        <f t="shared" si="38"/>
        <v>#N/A</v>
      </c>
      <c r="CI18" s="99" t="str">
        <f t="shared" si="39"/>
        <v>#N/A</v>
      </c>
      <c r="CJ18" s="126" t="str">
        <f t="shared" si="40"/>
        <v>ERROR: check cell</v>
      </c>
      <c r="CK18" s="126"/>
      <c r="CL18" s="127" t="str">
        <f t="shared" si="41"/>
        <v>#DIV/0!</v>
      </c>
      <c r="CM18" s="128" t="str">
        <f t="shared" si="42"/>
        <v>#DIV/0!</v>
      </c>
      <c r="CN18" s="128">
        <f t="shared" si="43"/>
        <v>4</v>
      </c>
      <c r="CO18" s="129">
        <f t="shared" si="44"/>
        <v>4</v>
      </c>
      <c r="CP18" s="129" t="str">
        <f>IFS(C18=Preferences!B$13,B18,B18=Preferences!B$13,C18)</f>
        <v>#N/A</v>
      </c>
    </row>
    <row r="19" ht="13.5" customHeight="1">
      <c r="A19" s="63" t="str">
        <f t="shared" si="45"/>
        <v/>
      </c>
      <c r="B19" s="64"/>
      <c r="C19" s="64"/>
      <c r="D19" s="64"/>
      <c r="E19" s="65"/>
      <c r="F19" s="65"/>
      <c r="G19" s="65"/>
      <c r="H19" s="65"/>
      <c r="I19" s="65"/>
      <c r="J19" s="141"/>
      <c r="K19" s="138"/>
      <c r="L19" s="104"/>
      <c r="M19" s="104"/>
      <c r="N19" s="104"/>
      <c r="O19" s="104"/>
      <c r="P19" s="107" t="str">
        <f t="shared" si="1"/>
        <v/>
      </c>
      <c r="Q19" s="108" t="str">
        <f>IFERROR(IF(AND(Preferences!B$3="Manual",OR(AX19/AW19&gt;G19/F19,BD19="Serious",BD19="Very serious")),"Assess imprecision",IFS(ISBLANK(E19),"",AND(Preferences!B$3="Automatic", G19/F19&gt;=30),"Extremely serious",AND(H19&lt;=$D$1*-1,J19&lt;0,G19/F19&lt;3),"Not serious",AND(H19&lt;=$D$1*-1,J19&lt;0,G19/F19&gt;=3),"Very serious",AND(H19&gt;=$D$1,I19&gt;0,G19/F19&lt;3),"Not serious",AND(H19&gt;=$D$1,I19&gt;0,G19/F19&gt;=3),"Very serious",AND(H19&lt;=$D$1*-1,J19&gt;0,I19&gt;$D$2*-1,G19/F19&lt;3),"Serious", AND(H19&lt;=$D$1*-1,J19&gt;0,I19&lt;$D$2*-1,G19/F19&lt;3),"Very serious", AND(H19&gt;=$D$1,I19&lt;0,J19&lt;$D$2,G19/F19&lt;3),"Serious",AND(H19&gt;=$D$1,I19&lt;0,J19&gt;$D$2,G19/F19&lt;3),"Very serious", AND(H19&lt;=$D$1*-1,J19&gt;0,I19&gt;$D$2*-1,G19/F19&gt;=3),"Very serious", AND(H19&lt;=$D$1*-1,J19&gt;0,I19&lt;$D$2*-1,G19/F19&gt;=3),"Very serious", AND(H19&gt;=$D$1,I19&lt;0,J19&lt;$D$2,G19/F19&gt;=3),"Very serious", AND(H19&gt;=$D$1,I19&lt;0,J19&gt;$D$2,G19/F19&gt;=3),"Very serious", AND(H19&gt;$D$1*-1,H19&lt;$D$1,I19&gt;$D$1*-1,J19&lt;$D$1,G19/F19&lt;3),"Not serious", AND(H19&gt;$D$1*-1,H19&lt;$D$1,OR(I19&lt;=$D$1*-1,J19&gt;=$D$1),I19&gt;$D$2*-1,J19&lt;$D$2,G19/F19&lt;3),"Serious", AND(H19&gt;$D$1*-1,H19&lt;$D$1,OR(I19&lt;=$D$2*-1,J19&gt;=$D$2),G19/F19&lt;3),"Very serious", AND(H19&gt;$D$1*-1,H19&lt;$D$1,I19&gt;$D$1*-1,J19&lt;$D$1,G19/F19&gt;=3),"Very serious", AND(H19&gt;$D$1*-1,H19&lt;$D$1,OR(I19&lt;=$D$1*-1,J19&gt;=$D$1),I19&gt;$D$2*-1,J19&lt;$D$2,G19/F19&gt;=3),"Very serious", AND(H19&gt;$D$1*-1,H19&lt;$D$1,OR(I19&lt;=$D$2*-1,J19&gt;=$D$2),G19/F19&gt;=3),"Very serious")),"")</f>
        <v/>
      </c>
      <c r="R19" s="109" t="str">
        <f t="shared" si="47"/>
        <v/>
      </c>
      <c r="S19" s="64"/>
      <c r="T19" s="139"/>
      <c r="U19" s="139"/>
      <c r="V19" s="139"/>
      <c r="W19" s="142"/>
      <c r="X19" s="142"/>
      <c r="Y19" s="143"/>
      <c r="Z19" s="113" t="str">
        <f t="array" ref="Z19">INDEX($A$1:$C$500, MATCH(1,($B:$B=$B19)*($C:$C=$AB19),0),1)</f>
        <v/>
      </c>
      <c r="AA19" s="113" t="str">
        <f t="array" ref="AA19">INDEX($A$1:$C$500, MATCH(1,($B:$B=$AB19)*($C:$C=$B19),0),1)</f>
        <v/>
      </c>
      <c r="AB19" s="111"/>
      <c r="AC19" s="114" t="str">
        <f t="shared" si="2"/>
        <v/>
      </c>
      <c r="AD19" s="115" t="str">
        <f t="shared" si="3"/>
        <v/>
      </c>
      <c r="AE19" s="116" t="str">
        <f t="array" ref="AE19">INDEX($A$1:$C$500, MATCH(1,($B:$B=$AB19)*($C:$C=$AG19),0),1)</f>
        <v/>
      </c>
      <c r="AF19" s="116" t="str">
        <f t="array" ref="AF19">INDEX($A$1:$C$500, MATCH(1,($B:$B=$AG19)*($C:$C=$AB19),0),1)</f>
        <v/>
      </c>
      <c r="AG19" s="72"/>
      <c r="AH19" s="114" t="str">
        <f t="shared" si="4"/>
        <v/>
      </c>
      <c r="AI19" s="115" t="str">
        <f t="shared" si="5"/>
        <v/>
      </c>
      <c r="AJ19" s="116" t="str">
        <f t="array" ref="AJ19">INDEX($A$1:$C$500, MATCH(1,($B:$B=$C19)*($C:$C=$AG19),0),1)</f>
        <v/>
      </c>
      <c r="AK19" s="116" t="str">
        <f t="array" ref="AK19">INDEX($A$1:$C$500, MATCH(1,($B:$B=$AG19)*($C:$C=$C19),0),1)</f>
        <v/>
      </c>
      <c r="AL19" s="116" t="str">
        <f t="array" ref="AL19">INDEX($A$1:$C$500, MATCH(1,($B:$B=$C19)*($C:$C=$AB19),0),1)</f>
        <v/>
      </c>
      <c r="AM19" s="116" t="str">
        <f t="array" ref="AM19">INDEX($A$1:$C$500, MATCH(1,($B:$B=$AB19)*($C:$C=$C19),0),1)</f>
        <v/>
      </c>
      <c r="AN19" s="114" t="str">
        <f t="array" ref="AN19">IFS(ISNUMBER(AJ19),AJ19,ISNUMBER(AK19),AK19,ISNUMBER(AL19),AL19,ISNUMBER(AM19),AM19)</f>
        <v>#N/A</v>
      </c>
      <c r="AO19" s="115" t="str">
        <f t="shared" si="6"/>
        <v/>
      </c>
      <c r="AP19" s="115" t="str">
        <f t="shared" si="7"/>
        <v/>
      </c>
      <c r="AQ19" s="72"/>
      <c r="AR19" s="109" t="str">
        <f t="shared" si="8"/>
        <v/>
      </c>
      <c r="AS19" s="72" t="str">
        <f>IFERROR(IF(AND(Preferences!B$3="Manual",OR(AX19/AW19&gt;V19/U19,BD19="Serious",BD19="Very serious")),"Assess imprecision",IFERROR(IFS(AND(Preferences!B$3="Automatic",V19/U19&gt;=30),"Extremely serious",AND(W19&lt;=$D$1*-1,Y19&lt;0,V19/U19&lt;3),"Not Serious",AND(W19&lt;=$D$1*-1,Y19&lt;0,V19/U19&gt;=3),"Very serious",AND(W19&gt;=$D$1,X19&gt;0,V19/U19&lt;3),"Not Serious",AND(W19&gt;=$D$1,X19&gt;0,V19/U19&gt;=3),"Very serious",AND(W19&lt;=$D$1*-1,Y19&gt;0,X19&gt;$D$2*-1,V19/U19&lt;3),"Serious", AND(W19&lt;=$D$1*-1,Y19&gt;0,X19&lt;$D$2*-1,V19/U19&lt;3),"Very serious", AND(W19&gt;=$D$1,X19&lt;0,Y19&lt;$D$2,V19/U19&lt;3),"Serious",AND(W19&gt;=$D$1,X19&lt;0,Y19&gt;$D$2,V19/U19&lt;3),"Very serious", AND(W19&lt;=$D$1*-1,Y19&gt;0,X19&gt;$D$2*-1,V19/U19&gt;=3),"Very serious", AND(W19&lt;=$D$1*-1,Y19&gt;0,X19&lt;$D$2*-1,V19/U19&gt;=3),"Very serious", AND(W19&gt;=$D$1,X19&lt;0,Y19&lt;$D$2,V19/U19&gt;=3),"Very serious", AND(W19&gt;=$D$1,X19&lt;0,Y19&gt;$D$2,V19/U19&gt;=3),"Very serious", AND(W19&gt;$D$1*-1,W19&lt;$D$1,X19&gt;$D$1*-1,Y19&lt;$D$1,V19/U19&lt;3),"Not Serious", AND(W19&gt;$D$1*-1,W19&lt;$D$1,OR(X19&lt;=$D$1*-1,Y19&gt;=$D$1),X19&gt;$D$2*-1,Y19&lt;$D$2,V19/U19&lt;3),"Serious", AND(W19&gt;$D$1*-1,W19&lt;$D$1,OR(X19&lt;=$D$2*-1,Y19&gt;=$D$2),V19/U19&lt;3),"Very serious", AND(W19&gt;$D$1*-1,W19&lt;$D$1,X19&gt;$D$1*-1,Y19&lt;$D$1,V19/U19&gt;=3),"Very serious", AND(W19&gt;$D$1*-1,W19&lt;$D$1,OR(X19&lt;=$D$1*-1,Y19&gt;=$D$1),X19&gt;$D$2*-1,Y19&lt;$D$2,V19/U19&gt;=3),"Very serious", AND(W19&gt;$D$1*-1,W19&lt;$D$1,OR(X19&lt;=$D$2*-1,Y19&gt;=$D$2),V19/U19&gt;=3),"Very serious"),"")),"")</f>
        <v/>
      </c>
      <c r="AT19" s="109" t="str">
        <f t="shared" si="9"/>
        <v/>
      </c>
      <c r="AU19" s="64"/>
      <c r="AV19" s="117"/>
      <c r="AW19" s="117"/>
      <c r="AX19" s="117"/>
      <c r="AY19" s="118"/>
      <c r="AZ19" s="118"/>
      <c r="BA19" s="119"/>
      <c r="BB19" s="86" t="str">
        <f>IF(Preferences!B$9="Manual","",IFS(ISBLANK(B19),"",AND(ISNUMBER(E19)=TRUE,ISNUMBER(T19)=FALSE),"Direct", AND(ISNUMBER(E19)=FALSE,ISNUMBER(T19)=TRUE),"Indirect", CN19=4,"Direct",AND(CL19=FALSE, CM19=TRUE,CN19-CO19&gt;-1),"Direct", AND(CL19=FALSE,CM19=TRUE, CN19-CO19&lt;0),"Check algorithm in appendix 2", AND(CL19=TRUE, CM19=FALSE,CN19-CO19&gt;0),"Check algorithm in appendix 2", AND(CL19=TRUE, CM19=FALSE,CN19-CO19=0),"Indirect", AND(CL19=TRUE, CM19=FALSE,CN19-CO19&lt;0),"Indirect", AND(CL19=FALSE,CM19=FALSE,CN19-CO19&gt;-1),"Direct", AND(CL19=FALSE,CM19=FALSE,CN19-CO19&lt;0),"Check algorithm in appendix 2", AND(CL19=TRUE,CM19=TRUE,CN19-CO19&gt;-1),"Direct", AND(CL19=TRUE,CM19=TRUE,CN19-CO19&lt;0),"Check algorithm in appendix 2"))</f>
        <v/>
      </c>
      <c r="BC19" s="120" t="str">
        <f t="shared" si="10"/>
        <v/>
      </c>
      <c r="BD19" s="140"/>
      <c r="BE19" s="122" t="str">
        <f>IF(Preferences!B$3="Manual","", IFERROR(IFS(AND(Preferences!B$3="Automatic",AX19/AW19&gt;=30),"Extremely serious",AND(AY19&lt;=$D$1*-1,BA19&lt;0,AX19/AW19&lt;3),"Not Serious",AND(AY19&lt;=$D$1*-1,BA19&lt;0,AX19/AW19&gt;=3),"Very serious",AND(AY19&gt;=$D$1,AZ19&gt;0,AX19/AW19&lt;3),"Not Serious",AND(AY19&gt;=$D$1,AZ19&gt;0,AX19/AW19&gt;=3),"Very serious",AND(AY19&lt;=$D$1*-1,BA19&gt;0,AZ19&gt;$D$2*-1,AX19/AW19&lt;3),"Serious", AND(AY19&lt;=$D$1*-1,BA19&gt;0,AZ19&lt;$D$2*-1,AX19/AW19&lt;3),"Very serious", AND(AY19&gt;=$D$1,AZ19&lt;0,BA19&lt;$D$2,AX19/AW19&lt;3),"Serious",AND(AY19&gt;=$D$1,AZ19&lt;0,BA19&gt;$D$2,AX19/AW19&lt;3),"Very serious", AND(AY19&lt;=$D$1*-1,BA19&gt;0,AZ19&gt;$D$2*-1,AX19/AW19&gt;=3),"Very serious", AND(AY19&lt;=$D$1*-1,BA19&gt;0,AZ19&lt;$D$2*-1,AX19/AW19&gt;=3),"Very serious", AND(AY19&gt;=$D$1,AZ19&lt;0,BA19&lt;$D$2,AX19/AW19&gt;=3),"Very serious", AND(AY19&gt;=$D$1,AZ19&lt;0,BA19&gt;$D$2,AX19/AW19&gt;=3),"Very serious", AND(AY19&gt;$D$1*-1,AY19&lt;$D$1,AZ19&gt;$D$1*-1,BA19&lt;$D$1,AX19/AW19&lt;3),"Not Serious", AND(AY19&gt;$D$1*-1,AY19&lt;$D$1,OR(AZ19&lt;=$D$1*-1,BA19&gt;=$D$1),AZ19&gt;$D$2*-1,BA19&lt;$D$2,AX19/AW19&lt;3),"Serious", AND(AY19&gt;$D$1*-1,AY19&lt;$D$1,OR(AZ19&lt;=$D$2*-1,BA19&gt;=$D$2),AX19/AW19&lt;3),"Very serious", AND(AY19&gt;$D$1*-1,AY19&lt;$D$1,AZ19&gt;$D$1*-1,BA19&lt;$D$1,AX19/AW19&gt;=3),"Very serious", AND(AY19&gt;$D$1*-1,AY19&lt;$D$1,OR(AZ19&lt;=$D$1*-1,BA19&gt;=$D$1),AZ19&gt;$D$2*-1,BA19&lt;$D$2,AX19/AW19&gt;=3),"Very serious", AND(AY19&gt;$D$1*-1,AY19&lt;$D$1,OR(AZ19&lt;=$D$2*-1,BA19&gt;=$D$2),AX19/AW19&gt;=3),"Very serious"),""))</f>
        <v/>
      </c>
      <c r="BF19" s="107" t="str">
        <f t="shared" si="11"/>
        <v/>
      </c>
      <c r="BG19" s="94" t="str">
        <f t="shared" si="46"/>
        <v/>
      </c>
      <c r="BH19" s="64" t="str">
        <f t="shared" si="12"/>
        <v>#N/A</v>
      </c>
      <c r="BI19" s="64" t="str">
        <f t="shared" si="13"/>
        <v/>
      </c>
      <c r="BJ19" s="123" t="str">
        <f t="shared" si="14"/>
        <v>#N/A</v>
      </c>
      <c r="BK19" s="64" t="str">
        <f t="shared" si="15"/>
        <v>YES</v>
      </c>
      <c r="BL19" s="64" t="str">
        <f t="shared" si="16"/>
        <v>YES</v>
      </c>
      <c r="BM19" s="64" t="str">
        <f t="shared" si="17"/>
        <v>YES</v>
      </c>
      <c r="BN19" s="124" t="str">
        <f t="shared" si="18"/>
        <v/>
      </c>
      <c r="BO19" s="91" t="str">
        <f t="shared" si="19"/>
        <v/>
      </c>
      <c r="BP19" s="91" t="str">
        <f t="shared" si="20"/>
        <v>#N/A</v>
      </c>
      <c r="BQ19" s="91" t="str">
        <f t="shared" si="21"/>
        <v/>
      </c>
      <c r="BR19" s="93" t="str">
        <f t="shared" si="22"/>
        <v/>
      </c>
      <c r="BS19" s="90" t="str">
        <f t="shared" si="23"/>
        <v/>
      </c>
      <c r="BT19" s="93" t="str">
        <f t="shared" si="24"/>
        <v>NA</v>
      </c>
      <c r="BU19" s="125" t="str">
        <f t="shared" si="25"/>
        <v>#N/A</v>
      </c>
      <c r="BV19" s="93" t="str">
        <f t="shared" si="26"/>
        <v/>
      </c>
      <c r="BW19" s="93" t="str">
        <f t="shared" si="27"/>
        <v/>
      </c>
      <c r="BX19" s="93" t="str">
        <f t="shared" si="28"/>
        <v>NA</v>
      </c>
      <c r="BY19" s="95" t="str">
        <f t="shared" si="29"/>
        <v>#N/A</v>
      </c>
      <c r="BZ19" s="93" t="str">
        <f t="shared" si="30"/>
        <v/>
      </c>
      <c r="CA19" s="93" t="str">
        <f t="shared" si="31"/>
        <v/>
      </c>
      <c r="CB19" s="93" t="str">
        <f t="shared" si="32"/>
        <v>NA</v>
      </c>
      <c r="CC19" s="96" t="str">
        <f t="shared" si="33"/>
        <v>#N/A</v>
      </c>
      <c r="CD19" s="93" t="str">
        <f t="shared" si="34"/>
        <v/>
      </c>
      <c r="CE19" s="93" t="str">
        <f t="shared" si="35"/>
        <v/>
      </c>
      <c r="CF19" s="93" t="str">
        <f t="shared" si="36"/>
        <v>NA</v>
      </c>
      <c r="CG19" s="97" t="str">
        <f t="shared" si="37"/>
        <v>#N/A</v>
      </c>
      <c r="CH19" s="98" t="str">
        <f t="shared" si="38"/>
        <v>#N/A</v>
      </c>
      <c r="CI19" s="99" t="str">
        <f t="shared" si="39"/>
        <v>#N/A</v>
      </c>
      <c r="CJ19" s="126" t="str">
        <f t="shared" si="40"/>
        <v>ERROR: check cell</v>
      </c>
      <c r="CK19" s="126" t="str">
        <f>if(AND(T19&lt;1=TRUE,E19&lt;1=TRUE)=TRUE,if(OR(AND(V19&gt;G19=TRUE,G19&gt;U19=TRUE),AND(G19&gt;V19=TRUE,V19&gt;F19=TRUE)=TRUE)=TRUE,"No serious incoherence","Quantitative incoherence (same direction of effect)"),if(AND(T19&gt;1=TRUE,E19&gt;1=TRUE)=TRUE,if(OR(AND(V19&gt;G19=TRUE,G19&gt;U19=TRUE),AND(G19&gt;V19=TRUE,V19&gt;F19=TRUE)=TRUE)=TRUE,"No serious incoherence","Quantitative incoherence (same direction of effect)"),if(OR(AND(T19&lt;1=TRUE,E19&gt;1=TRUE)=TRUE,AND(T19&gt;1=TRUE,E19&lt;1=TRUE)=TRUE)=TRUE,if(OR(AND(V19&gt;G19=TRUE,G19&gt;U19=TRUE),AND(G19&gt;V19=TRUE,V19&gt;F19=TRUE)=TRUE)=TRUE,"No serious incoherence","Qualitative incoherence (different direction of effect)"))))</f>
        <v>Quantitative incoherence (same direction of effect)</v>
      </c>
      <c r="CL19" s="127" t="str">
        <f t="shared" si="41"/>
        <v>#DIV/0!</v>
      </c>
      <c r="CM19" s="128" t="str">
        <f t="shared" si="42"/>
        <v>#DIV/0!</v>
      </c>
      <c r="CN19" s="128">
        <f t="shared" si="43"/>
        <v>4</v>
      </c>
      <c r="CO19" s="129">
        <f t="shared" si="44"/>
        <v>4</v>
      </c>
      <c r="CP19" s="129" t="str">
        <f>IFS(C19=Preferences!B$13,B19,B19=Preferences!B$13,C19)</f>
        <v>#N/A</v>
      </c>
    </row>
    <row r="20" ht="13.5" customHeight="1">
      <c r="A20" s="63" t="str">
        <f t="shared" si="45"/>
        <v/>
      </c>
      <c r="B20" s="64"/>
      <c r="C20" s="64"/>
      <c r="D20" s="64"/>
      <c r="E20" s="65"/>
      <c r="F20" s="65"/>
      <c r="G20" s="65"/>
      <c r="H20" s="65"/>
      <c r="I20" s="65"/>
      <c r="J20" s="141"/>
      <c r="K20" s="138"/>
      <c r="L20" s="133"/>
      <c r="M20" s="104"/>
      <c r="N20" s="104"/>
      <c r="O20" s="104"/>
      <c r="P20" s="107" t="str">
        <f t="shared" si="1"/>
        <v/>
      </c>
      <c r="Q20" s="108" t="str">
        <f>IFERROR(IF(AND(Preferences!B$3="Manual",OR(AX20/AW20&gt;G20/F20,BD20="Serious",BD20="Very serious")),"Assess imprecision",IFS(ISBLANK(E20),"",AND(Preferences!B$3="Automatic", G20/F20&gt;=30),"Extremely serious",AND(H20&lt;=$D$1*-1,J20&lt;0,G20/F20&lt;3),"Not serious",AND(H20&lt;=$D$1*-1,J20&lt;0,G20/F20&gt;=3),"Very serious",AND(H20&gt;=$D$1,I20&gt;0,G20/F20&lt;3),"Not serious",AND(H20&gt;=$D$1,I20&gt;0,G20/F20&gt;=3),"Very serious",AND(H20&lt;=$D$1*-1,J20&gt;0,I20&gt;$D$2*-1,G20/F20&lt;3),"Serious", AND(H20&lt;=$D$1*-1,J20&gt;0,I20&lt;$D$2*-1,G20/F20&lt;3),"Very serious", AND(H20&gt;=$D$1,I20&lt;0,J20&lt;$D$2,G20/F20&lt;3),"Serious",AND(H20&gt;=$D$1,I20&lt;0,J20&gt;$D$2,G20/F20&lt;3),"Very serious", AND(H20&lt;=$D$1*-1,J20&gt;0,I20&gt;$D$2*-1,G20/F20&gt;=3),"Very serious", AND(H20&lt;=$D$1*-1,J20&gt;0,I20&lt;$D$2*-1,G20/F20&gt;=3),"Very serious", AND(H20&gt;=$D$1,I20&lt;0,J20&lt;$D$2,G20/F20&gt;=3),"Very serious", AND(H20&gt;=$D$1,I20&lt;0,J20&gt;$D$2,G20/F20&gt;=3),"Very serious", AND(H20&gt;$D$1*-1,H20&lt;$D$1,I20&gt;$D$1*-1,J20&lt;$D$1,G20/F20&lt;3),"Not serious", AND(H20&gt;$D$1*-1,H20&lt;$D$1,OR(I20&lt;=$D$1*-1,J20&gt;=$D$1),I20&gt;$D$2*-1,J20&lt;$D$2,G20/F20&lt;3),"Serious", AND(H20&gt;$D$1*-1,H20&lt;$D$1,OR(I20&lt;=$D$2*-1,J20&gt;=$D$2),G20/F20&lt;3),"Very serious", AND(H20&gt;$D$1*-1,H20&lt;$D$1,I20&gt;$D$1*-1,J20&lt;$D$1,G20/F20&gt;=3),"Very serious", AND(H20&gt;$D$1*-1,H20&lt;$D$1,OR(I20&lt;=$D$1*-1,J20&gt;=$D$1),I20&gt;$D$2*-1,J20&lt;$D$2,G20/F20&gt;=3),"Very serious", AND(H20&gt;$D$1*-1,H20&lt;$D$1,OR(I20&lt;=$D$2*-1,J20&gt;=$D$2),G20/F20&gt;=3),"Very serious")),"")</f>
        <v/>
      </c>
      <c r="R20" s="109" t="str">
        <f t="shared" si="47"/>
        <v/>
      </c>
      <c r="S20" s="64"/>
      <c r="T20" s="139"/>
      <c r="U20" s="139"/>
      <c r="V20" s="139"/>
      <c r="W20" s="142"/>
      <c r="X20" s="142"/>
      <c r="Y20" s="143"/>
      <c r="Z20" s="113" t="str">
        <f t="array" ref="Z20">INDEX($A$1:$C$500, MATCH(1,($B:$B=$B20)*($C:$C=$AB20),0),1)</f>
        <v/>
      </c>
      <c r="AA20" s="113" t="str">
        <f t="array" ref="AA20">INDEX($A$1:$C$500, MATCH(1,($B:$B=$AB20)*($C:$C=$B20),0),1)</f>
        <v/>
      </c>
      <c r="AB20" s="111"/>
      <c r="AC20" s="114" t="str">
        <f t="shared" si="2"/>
        <v/>
      </c>
      <c r="AD20" s="115" t="str">
        <f t="shared" si="3"/>
        <v/>
      </c>
      <c r="AE20" s="116" t="str">
        <f t="array" ref="AE20">INDEX($A$1:$C$500, MATCH(1,($B:$B=$AB20)*($C:$C=$AG20),0),1)</f>
        <v/>
      </c>
      <c r="AF20" s="116" t="str">
        <f t="array" ref="AF20">INDEX($A$1:$C$500, MATCH(1,($B:$B=$AG20)*($C:$C=$AB20),0),1)</f>
        <v/>
      </c>
      <c r="AG20" s="72"/>
      <c r="AH20" s="114" t="str">
        <f t="shared" si="4"/>
        <v/>
      </c>
      <c r="AI20" s="115" t="str">
        <f t="shared" si="5"/>
        <v/>
      </c>
      <c r="AJ20" s="116" t="str">
        <f t="array" ref="AJ20">INDEX($A$1:$C$500, MATCH(1,($B:$B=$C20)*($C:$C=$AG20),0),1)</f>
        <v/>
      </c>
      <c r="AK20" s="116" t="str">
        <f t="array" ref="AK20">INDEX($A$1:$C$500, MATCH(1,($B:$B=$AG20)*($C:$C=$C20),0),1)</f>
        <v/>
      </c>
      <c r="AL20" s="116" t="str">
        <f t="array" ref="AL20">INDEX($A$1:$C$500, MATCH(1,($B:$B=$C20)*($C:$C=$AB20),0),1)</f>
        <v/>
      </c>
      <c r="AM20" s="116" t="str">
        <f t="array" ref="AM20">INDEX($A$1:$C$500, MATCH(1,($B:$B=$AB20)*($C:$C=$C20),0),1)</f>
        <v/>
      </c>
      <c r="AN20" s="114" t="str">
        <f t="array" ref="AN20">IFS(ISNUMBER(AJ20),AJ20,ISNUMBER(AK20),AK20,ISNUMBER(AL20),AL20,ISNUMBER(AM20),AM20)</f>
        <v>#N/A</v>
      </c>
      <c r="AO20" s="115" t="str">
        <f t="shared" si="6"/>
        <v/>
      </c>
      <c r="AP20" s="115" t="str">
        <f t="shared" si="7"/>
        <v/>
      </c>
      <c r="AQ20" s="72"/>
      <c r="AR20" s="109" t="str">
        <f t="shared" si="8"/>
        <v/>
      </c>
      <c r="AS20" s="72" t="str">
        <f>IFERROR(IF(AND(Preferences!B$3="Manual",OR(AX20/AW20&gt;V20/U20,BD20="Serious",BD20="Very serious")),"Assess imprecision",IFERROR(IFS(AND(Preferences!B$3="Automatic",V20/U20&gt;=30),"Extremely serious",AND(W20&lt;=$D$1*-1,Y20&lt;0,V20/U20&lt;3),"Not Serious",AND(W20&lt;=$D$1*-1,Y20&lt;0,V20/U20&gt;=3),"Very serious",AND(W20&gt;=$D$1,X20&gt;0,V20/U20&lt;3),"Not Serious",AND(W20&gt;=$D$1,X20&gt;0,V20/U20&gt;=3),"Very serious",AND(W20&lt;=$D$1*-1,Y20&gt;0,X20&gt;$D$2*-1,V20/U20&lt;3),"Serious", AND(W20&lt;=$D$1*-1,Y20&gt;0,X20&lt;$D$2*-1,V20/U20&lt;3),"Very serious", AND(W20&gt;=$D$1,X20&lt;0,Y20&lt;$D$2,V20/U20&lt;3),"Serious",AND(W20&gt;=$D$1,X20&lt;0,Y20&gt;$D$2,V20/U20&lt;3),"Very serious", AND(W20&lt;=$D$1*-1,Y20&gt;0,X20&gt;$D$2*-1,V20/U20&gt;=3),"Very serious", AND(W20&lt;=$D$1*-1,Y20&gt;0,X20&lt;$D$2*-1,V20/U20&gt;=3),"Very serious", AND(W20&gt;=$D$1,X20&lt;0,Y20&lt;$D$2,V20/U20&gt;=3),"Very serious", AND(W20&gt;=$D$1,X20&lt;0,Y20&gt;$D$2,V20/U20&gt;=3),"Very serious", AND(W20&gt;$D$1*-1,W20&lt;$D$1,X20&gt;$D$1*-1,Y20&lt;$D$1,V20/U20&lt;3),"Not Serious", AND(W20&gt;$D$1*-1,W20&lt;$D$1,OR(X20&lt;=$D$1*-1,Y20&gt;=$D$1),X20&gt;$D$2*-1,Y20&lt;$D$2,V20/U20&lt;3),"Serious", AND(W20&gt;$D$1*-1,W20&lt;$D$1,OR(X20&lt;=$D$2*-1,Y20&gt;=$D$2),V20/U20&lt;3),"Very serious", AND(W20&gt;$D$1*-1,W20&lt;$D$1,X20&gt;$D$1*-1,Y20&lt;$D$1,V20/U20&gt;=3),"Very serious", AND(W20&gt;$D$1*-1,W20&lt;$D$1,OR(X20&lt;=$D$1*-1,Y20&gt;=$D$1),X20&gt;$D$2*-1,Y20&lt;$D$2,V20/U20&gt;=3),"Very serious", AND(W20&gt;$D$1*-1,W20&lt;$D$1,OR(X20&lt;=$D$2*-1,Y20&gt;=$D$2),V20/U20&gt;=3),"Very serious"),"")),"")</f>
        <v/>
      </c>
      <c r="AT20" s="109" t="str">
        <f t="shared" si="9"/>
        <v/>
      </c>
      <c r="AU20" s="64"/>
      <c r="AV20" s="117"/>
      <c r="AW20" s="117"/>
      <c r="AX20" s="117"/>
      <c r="AY20" s="118"/>
      <c r="AZ20" s="118"/>
      <c r="BA20" s="119"/>
      <c r="BB20" s="86" t="str">
        <f>IF(Preferences!B$9="Manual","",IFS(ISBLANK(B20),"",AND(ISNUMBER(E20)=TRUE,ISNUMBER(T20)=FALSE),"Direct", AND(ISNUMBER(E20)=FALSE,ISNUMBER(T20)=TRUE),"Indirect", CN20=4,"Direct",AND(CL20=FALSE, CM20=TRUE,CN20-CO20&gt;-1),"Direct", AND(CL20=FALSE,CM20=TRUE, CN20-CO20&lt;0),"Check algorithm in appendix 2", AND(CL20=TRUE, CM20=FALSE,CN20-CO20&gt;0),"Check algorithm in appendix 2", AND(CL20=TRUE, CM20=FALSE,CN20-CO20=0),"Indirect", AND(CL20=TRUE, CM20=FALSE,CN20-CO20&lt;0),"Indirect", AND(CL20=FALSE,CM20=FALSE,CN20-CO20&gt;-1),"Direct", AND(CL20=FALSE,CM20=FALSE,CN20-CO20&lt;0),"Check algorithm in appendix 2", AND(CL20=TRUE,CM20=TRUE,CN20-CO20&gt;-1),"Direct", AND(CL20=TRUE,CM20=TRUE,CN20-CO20&lt;0),"Check algorithm in appendix 2"))</f>
        <v/>
      </c>
      <c r="BC20" s="120" t="str">
        <f t="shared" si="10"/>
        <v/>
      </c>
      <c r="BD20" s="140"/>
      <c r="BE20" s="122" t="str">
        <f>IF(Preferences!B$3="Manual","", IFERROR(IFS(AND(Preferences!B$3="Automatic",AX20/AW20&gt;=30),"Extremely serious",AND(AY20&lt;=$D$1*-1,BA20&lt;0,AX20/AW20&lt;3),"Not Serious",AND(AY20&lt;=$D$1*-1,BA20&lt;0,AX20/AW20&gt;=3),"Very serious",AND(AY20&gt;=$D$1,AZ20&gt;0,AX20/AW20&lt;3),"Not Serious",AND(AY20&gt;=$D$1,AZ20&gt;0,AX20/AW20&gt;=3),"Very serious",AND(AY20&lt;=$D$1*-1,BA20&gt;0,AZ20&gt;$D$2*-1,AX20/AW20&lt;3),"Serious", AND(AY20&lt;=$D$1*-1,BA20&gt;0,AZ20&lt;$D$2*-1,AX20/AW20&lt;3),"Very serious", AND(AY20&gt;=$D$1,AZ20&lt;0,BA20&lt;$D$2,AX20/AW20&lt;3),"Serious",AND(AY20&gt;=$D$1,AZ20&lt;0,BA20&gt;$D$2,AX20/AW20&lt;3),"Very serious", AND(AY20&lt;=$D$1*-1,BA20&gt;0,AZ20&gt;$D$2*-1,AX20/AW20&gt;=3),"Very serious", AND(AY20&lt;=$D$1*-1,BA20&gt;0,AZ20&lt;$D$2*-1,AX20/AW20&gt;=3),"Very serious", AND(AY20&gt;=$D$1,AZ20&lt;0,BA20&lt;$D$2,AX20/AW20&gt;=3),"Very serious", AND(AY20&gt;=$D$1,AZ20&lt;0,BA20&gt;$D$2,AX20/AW20&gt;=3),"Very serious", AND(AY20&gt;$D$1*-1,AY20&lt;$D$1,AZ20&gt;$D$1*-1,BA20&lt;$D$1,AX20/AW20&lt;3),"Not Serious", AND(AY20&gt;$D$1*-1,AY20&lt;$D$1,OR(AZ20&lt;=$D$1*-1,BA20&gt;=$D$1),AZ20&gt;$D$2*-1,BA20&lt;$D$2,AX20/AW20&lt;3),"Serious", AND(AY20&gt;$D$1*-1,AY20&lt;$D$1,OR(AZ20&lt;=$D$2*-1,BA20&gt;=$D$2),AX20/AW20&lt;3),"Very serious", AND(AY20&gt;$D$1*-1,AY20&lt;$D$1,AZ20&gt;$D$1*-1,BA20&lt;$D$1,AX20/AW20&gt;=3),"Very serious", AND(AY20&gt;$D$1*-1,AY20&lt;$D$1,OR(AZ20&lt;=$D$1*-1,BA20&gt;=$D$1),AZ20&gt;$D$2*-1,BA20&lt;$D$2,AX20/AW20&gt;=3),"Very serious", AND(AY20&gt;$D$1*-1,AY20&lt;$D$1,OR(AZ20&lt;=$D$2*-1,BA20&gt;=$D$2),AX20/AW20&gt;=3),"Very serious"),""))</f>
        <v/>
      </c>
      <c r="BF20" s="107" t="str">
        <f t="shared" si="11"/>
        <v/>
      </c>
      <c r="BG20" s="94" t="str">
        <f t="shared" si="46"/>
        <v/>
      </c>
      <c r="BH20" s="64" t="str">
        <f t="shared" si="12"/>
        <v>#N/A</v>
      </c>
      <c r="BI20" s="64" t="str">
        <f t="shared" si="13"/>
        <v/>
      </c>
      <c r="BJ20" s="123" t="str">
        <f t="shared" si="14"/>
        <v>#N/A</v>
      </c>
      <c r="BK20" s="64" t="str">
        <f t="shared" si="15"/>
        <v>YES</v>
      </c>
      <c r="BL20" s="64" t="str">
        <f t="shared" si="16"/>
        <v>YES</v>
      </c>
      <c r="BM20" s="64" t="str">
        <f t="shared" si="17"/>
        <v>YES</v>
      </c>
      <c r="BN20" s="124" t="str">
        <f t="shared" si="18"/>
        <v/>
      </c>
      <c r="BO20" s="91" t="str">
        <f t="shared" si="19"/>
        <v/>
      </c>
      <c r="BP20" s="91" t="str">
        <f t="shared" si="20"/>
        <v>#N/A</v>
      </c>
      <c r="BQ20" s="91" t="str">
        <f t="shared" si="21"/>
        <v/>
      </c>
      <c r="BR20" s="93" t="str">
        <f t="shared" si="22"/>
        <v/>
      </c>
      <c r="BS20" s="90" t="str">
        <f t="shared" si="23"/>
        <v/>
      </c>
      <c r="BT20" s="93" t="str">
        <f t="shared" si="24"/>
        <v>NA</v>
      </c>
      <c r="BU20" s="125" t="str">
        <f t="shared" si="25"/>
        <v>#N/A</v>
      </c>
      <c r="BV20" s="93" t="str">
        <f t="shared" si="26"/>
        <v/>
      </c>
      <c r="BW20" s="93" t="str">
        <f t="shared" si="27"/>
        <v/>
      </c>
      <c r="BX20" s="93" t="str">
        <f t="shared" si="28"/>
        <v>NA</v>
      </c>
      <c r="BY20" s="95" t="str">
        <f t="shared" si="29"/>
        <v>#N/A</v>
      </c>
      <c r="BZ20" s="93" t="str">
        <f t="shared" si="30"/>
        <v/>
      </c>
      <c r="CA20" s="93" t="str">
        <f t="shared" si="31"/>
        <v/>
      </c>
      <c r="CB20" s="93" t="str">
        <f t="shared" si="32"/>
        <v>NA</v>
      </c>
      <c r="CC20" s="96" t="str">
        <f t="shared" si="33"/>
        <v>#N/A</v>
      </c>
      <c r="CD20" s="93" t="str">
        <f t="shared" si="34"/>
        <v/>
      </c>
      <c r="CE20" s="93" t="str">
        <f t="shared" si="35"/>
        <v/>
      </c>
      <c r="CF20" s="93" t="str">
        <f t="shared" si="36"/>
        <v>NA</v>
      </c>
      <c r="CG20" s="97" t="str">
        <f t="shared" si="37"/>
        <v>#N/A</v>
      </c>
      <c r="CH20" s="98" t="str">
        <f t="shared" si="38"/>
        <v>#N/A</v>
      </c>
      <c r="CI20" s="99" t="str">
        <f t="shared" si="39"/>
        <v>#N/A</v>
      </c>
      <c r="CJ20" s="126" t="str">
        <f t="shared" si="40"/>
        <v>ERROR: check cell</v>
      </c>
      <c r="CK20" s="126"/>
      <c r="CL20" s="127" t="str">
        <f t="shared" si="41"/>
        <v>#DIV/0!</v>
      </c>
      <c r="CM20" s="128" t="str">
        <f t="shared" si="42"/>
        <v>#DIV/0!</v>
      </c>
      <c r="CN20" s="128">
        <f t="shared" si="43"/>
        <v>4</v>
      </c>
      <c r="CO20" s="129">
        <f t="shared" si="44"/>
        <v>4</v>
      </c>
      <c r="CP20" s="129" t="str">
        <f>IFS(C20=Preferences!B$13,B20,B20=Preferences!B$13,C20)</f>
        <v>#N/A</v>
      </c>
    </row>
    <row r="21" ht="13.5" customHeight="1">
      <c r="A21" s="63" t="str">
        <f t="shared" si="45"/>
        <v/>
      </c>
      <c r="B21" s="64"/>
      <c r="C21" s="64"/>
      <c r="D21" s="64"/>
      <c r="E21" s="65"/>
      <c r="F21" s="65"/>
      <c r="G21" s="65"/>
      <c r="H21" s="65"/>
      <c r="I21" s="65"/>
      <c r="J21" s="141"/>
      <c r="K21" s="138"/>
      <c r="L21" s="133"/>
      <c r="M21" s="133"/>
      <c r="N21" s="133"/>
      <c r="O21" s="133"/>
      <c r="P21" s="107" t="str">
        <f t="shared" si="1"/>
        <v/>
      </c>
      <c r="Q21" s="108" t="str">
        <f>IFERROR(IF(AND(Preferences!B$3="Manual",OR(AX21/AW21&gt;G21/F21,BD21="Serious",BD21="Very serious")),"Assess imprecision",IFS(ISBLANK(E21),"",AND(Preferences!B$3="Automatic", G21/F21&gt;=30),"Extremely serious",AND(H21&lt;=$D$1*-1,J21&lt;0,G21/F21&lt;3),"Not serious",AND(H21&lt;=$D$1*-1,J21&lt;0,G21/F21&gt;=3),"Very serious",AND(H21&gt;=$D$1,I21&gt;0,G21/F21&lt;3),"Not serious",AND(H21&gt;=$D$1,I21&gt;0,G21/F21&gt;=3),"Very serious",AND(H21&lt;=$D$1*-1,J21&gt;0,I21&gt;$D$2*-1,G21/F21&lt;3),"Serious", AND(H21&lt;=$D$1*-1,J21&gt;0,I21&lt;$D$2*-1,G21/F21&lt;3),"Very serious", AND(H21&gt;=$D$1,I21&lt;0,J21&lt;$D$2,G21/F21&lt;3),"Serious",AND(H21&gt;=$D$1,I21&lt;0,J21&gt;$D$2,G21/F21&lt;3),"Very serious", AND(H21&lt;=$D$1*-1,J21&gt;0,I21&gt;$D$2*-1,G21/F21&gt;=3),"Very serious", AND(H21&lt;=$D$1*-1,J21&gt;0,I21&lt;$D$2*-1,G21/F21&gt;=3),"Very serious", AND(H21&gt;=$D$1,I21&lt;0,J21&lt;$D$2,G21/F21&gt;=3),"Very serious", AND(H21&gt;=$D$1,I21&lt;0,J21&gt;$D$2,G21/F21&gt;=3),"Very serious", AND(H21&gt;$D$1*-1,H21&lt;$D$1,I21&gt;$D$1*-1,J21&lt;$D$1,G21/F21&lt;3),"Not serious", AND(H21&gt;$D$1*-1,H21&lt;$D$1,OR(I21&lt;=$D$1*-1,J21&gt;=$D$1),I21&gt;$D$2*-1,J21&lt;$D$2,G21/F21&lt;3),"Serious", AND(H21&gt;$D$1*-1,H21&lt;$D$1,OR(I21&lt;=$D$2*-1,J21&gt;=$D$2),G21/F21&lt;3),"Very serious", AND(H21&gt;$D$1*-1,H21&lt;$D$1,I21&gt;$D$1*-1,J21&lt;$D$1,G21/F21&gt;=3),"Very serious", AND(H21&gt;$D$1*-1,H21&lt;$D$1,OR(I21&lt;=$D$1*-1,J21&gt;=$D$1),I21&gt;$D$2*-1,J21&lt;$D$2,G21/F21&gt;=3),"Very serious", AND(H21&gt;$D$1*-1,H21&lt;$D$1,OR(I21&lt;=$D$2*-1,J21&gt;=$D$2),G21/F21&gt;=3),"Very serious")),"")</f>
        <v/>
      </c>
      <c r="R21" s="109" t="str">
        <f t="shared" si="47"/>
        <v/>
      </c>
      <c r="S21" s="64"/>
      <c r="T21" s="139"/>
      <c r="U21" s="139"/>
      <c r="V21" s="139"/>
      <c r="W21" s="142"/>
      <c r="X21" s="142"/>
      <c r="Y21" s="143"/>
      <c r="Z21" s="113" t="str">
        <f t="array" ref="Z21">INDEX($A$1:$C$500, MATCH(1,($B:$B=$B21)*($C:$C=$AB21),0),1)</f>
        <v/>
      </c>
      <c r="AA21" s="113" t="str">
        <f t="array" ref="AA21">INDEX($A$1:$C$500, MATCH(1,($B:$B=$AB21)*($C:$C=$B21),0),1)</f>
        <v/>
      </c>
      <c r="AB21" s="111"/>
      <c r="AC21" s="114" t="str">
        <f t="shared" si="2"/>
        <v/>
      </c>
      <c r="AD21" s="115" t="str">
        <f t="shared" si="3"/>
        <v/>
      </c>
      <c r="AE21" s="116" t="str">
        <f t="array" ref="AE21">INDEX($A$1:$C$500, MATCH(1,($B:$B=$AB21)*($C:$C=$AG21),0),1)</f>
        <v/>
      </c>
      <c r="AF21" s="116" t="str">
        <f t="array" ref="AF21">INDEX($A$1:$C$500, MATCH(1,($B:$B=$AG21)*($C:$C=$AB21),0),1)</f>
        <v/>
      </c>
      <c r="AG21" s="72"/>
      <c r="AH21" s="114" t="str">
        <f t="shared" si="4"/>
        <v/>
      </c>
      <c r="AI21" s="115" t="str">
        <f t="shared" si="5"/>
        <v/>
      </c>
      <c r="AJ21" s="116" t="str">
        <f t="array" ref="AJ21">INDEX($A$1:$C$500, MATCH(1,($B:$B=$C21)*($C:$C=$AG21),0),1)</f>
        <v/>
      </c>
      <c r="AK21" s="116" t="str">
        <f t="array" ref="AK21">INDEX($A$1:$C$500, MATCH(1,($B:$B=$AG21)*($C:$C=$C21),0),1)</f>
        <v/>
      </c>
      <c r="AL21" s="116" t="str">
        <f t="array" ref="AL21">INDEX($A$1:$C$500, MATCH(1,($B:$B=$C21)*($C:$C=$AB21),0),1)</f>
        <v/>
      </c>
      <c r="AM21" s="116" t="str">
        <f t="array" ref="AM21">INDEX($A$1:$C$500, MATCH(1,($B:$B=$AB21)*($C:$C=$C21),0),1)</f>
        <v/>
      </c>
      <c r="AN21" s="114" t="str">
        <f t="array" ref="AN21">IFS(ISNUMBER(AJ21),AJ21,ISNUMBER(AK21),AK21,ISNUMBER(AL21),AL21,ISNUMBER(AM21),AM21)</f>
        <v>#N/A</v>
      </c>
      <c r="AO21" s="115" t="str">
        <f t="shared" si="6"/>
        <v/>
      </c>
      <c r="AP21" s="115" t="str">
        <f t="shared" si="7"/>
        <v/>
      </c>
      <c r="AQ21" s="72"/>
      <c r="AR21" s="109" t="str">
        <f t="shared" si="8"/>
        <v/>
      </c>
      <c r="AS21" s="72" t="str">
        <f>IFERROR(IF(AND(Preferences!B$3="Manual",OR(AX21/AW21&gt;V21/U21,BD21="Serious",BD21="Very serious")),"Assess imprecision",IFERROR(IFS(AND(Preferences!B$3="Automatic",V21/U21&gt;=30),"Extremely serious",AND(W21&lt;=$D$1*-1,Y21&lt;0,V21/U21&lt;3),"Not Serious",AND(W21&lt;=$D$1*-1,Y21&lt;0,V21/U21&gt;=3),"Very serious",AND(W21&gt;=$D$1,X21&gt;0,V21/U21&lt;3),"Not Serious",AND(W21&gt;=$D$1,X21&gt;0,V21/U21&gt;=3),"Very serious",AND(W21&lt;=$D$1*-1,Y21&gt;0,X21&gt;$D$2*-1,V21/U21&lt;3),"Serious", AND(W21&lt;=$D$1*-1,Y21&gt;0,X21&lt;$D$2*-1,V21/U21&lt;3),"Very serious", AND(W21&gt;=$D$1,X21&lt;0,Y21&lt;$D$2,V21/U21&lt;3),"Serious",AND(W21&gt;=$D$1,X21&lt;0,Y21&gt;$D$2,V21/U21&lt;3),"Very serious", AND(W21&lt;=$D$1*-1,Y21&gt;0,X21&gt;$D$2*-1,V21/U21&gt;=3),"Very serious", AND(W21&lt;=$D$1*-1,Y21&gt;0,X21&lt;$D$2*-1,V21/U21&gt;=3),"Very serious", AND(W21&gt;=$D$1,X21&lt;0,Y21&lt;$D$2,V21/U21&gt;=3),"Very serious", AND(W21&gt;=$D$1,X21&lt;0,Y21&gt;$D$2,V21/U21&gt;=3),"Very serious", AND(W21&gt;$D$1*-1,W21&lt;$D$1,X21&gt;$D$1*-1,Y21&lt;$D$1,V21/U21&lt;3),"Not Serious", AND(W21&gt;$D$1*-1,W21&lt;$D$1,OR(X21&lt;=$D$1*-1,Y21&gt;=$D$1),X21&gt;$D$2*-1,Y21&lt;$D$2,V21/U21&lt;3),"Serious", AND(W21&gt;$D$1*-1,W21&lt;$D$1,OR(X21&lt;=$D$2*-1,Y21&gt;=$D$2),V21/U21&lt;3),"Very serious", AND(W21&gt;$D$1*-1,W21&lt;$D$1,X21&gt;$D$1*-1,Y21&lt;$D$1,V21/U21&gt;=3),"Very serious", AND(W21&gt;$D$1*-1,W21&lt;$D$1,OR(X21&lt;=$D$1*-1,Y21&gt;=$D$1),X21&gt;$D$2*-1,Y21&lt;$D$2,V21/U21&gt;=3),"Very serious", AND(W21&gt;$D$1*-1,W21&lt;$D$1,OR(X21&lt;=$D$2*-1,Y21&gt;=$D$2),V21/U21&gt;=3),"Very serious"),"")),"")</f>
        <v/>
      </c>
      <c r="AT21" s="109" t="str">
        <f t="shared" si="9"/>
        <v/>
      </c>
      <c r="AU21" s="64"/>
      <c r="AV21" s="117"/>
      <c r="AW21" s="117"/>
      <c r="AX21" s="117"/>
      <c r="AY21" s="118"/>
      <c r="AZ21" s="118"/>
      <c r="BA21" s="119"/>
      <c r="BB21" s="86" t="str">
        <f>IF(Preferences!B$9="Manual","",IFS(ISBLANK(B21),"",AND(ISNUMBER(E21)=TRUE,ISNUMBER(T21)=FALSE),"Direct", AND(ISNUMBER(E21)=FALSE,ISNUMBER(T21)=TRUE),"Indirect", CN21=4,"Direct",AND(CL21=FALSE, CM21=TRUE,CN21-CO21&gt;-1),"Direct", AND(CL21=FALSE,CM21=TRUE, CN21-CO21&lt;0),"Check algorithm in appendix 2", AND(CL21=TRUE, CM21=FALSE,CN21-CO21&gt;0),"Check algorithm in appendix 2", AND(CL21=TRUE, CM21=FALSE,CN21-CO21=0),"Indirect", AND(CL21=TRUE, CM21=FALSE,CN21-CO21&lt;0),"Indirect", AND(CL21=FALSE,CM21=FALSE,CN21-CO21&gt;-1),"Direct", AND(CL21=FALSE,CM21=FALSE,CN21-CO21&lt;0),"Check algorithm in appendix 2", AND(CL21=TRUE,CM21=TRUE,CN21-CO21&gt;-1),"Direct", AND(CL21=TRUE,CM21=TRUE,CN21-CO21&lt;0),"Check algorithm in appendix 2"))</f>
        <v/>
      </c>
      <c r="BC21" s="120" t="str">
        <f t="shared" si="10"/>
        <v/>
      </c>
      <c r="BD21" s="140"/>
      <c r="BE21" s="122" t="str">
        <f>IF(Preferences!B$3="Manual","", IFERROR(IFS(AND(Preferences!B$3="Automatic",AX21/AW21&gt;=30),"Extremely serious",AND(AY21&lt;=$D$1*-1,BA21&lt;0,AX21/AW21&lt;3),"Not Serious",AND(AY21&lt;=$D$1*-1,BA21&lt;0,AX21/AW21&gt;=3),"Very serious",AND(AY21&gt;=$D$1,AZ21&gt;0,AX21/AW21&lt;3),"Not Serious",AND(AY21&gt;=$D$1,AZ21&gt;0,AX21/AW21&gt;=3),"Very serious",AND(AY21&lt;=$D$1*-1,BA21&gt;0,AZ21&gt;$D$2*-1,AX21/AW21&lt;3),"Serious", AND(AY21&lt;=$D$1*-1,BA21&gt;0,AZ21&lt;$D$2*-1,AX21/AW21&lt;3),"Very serious", AND(AY21&gt;=$D$1,AZ21&lt;0,BA21&lt;$D$2,AX21/AW21&lt;3),"Serious",AND(AY21&gt;=$D$1,AZ21&lt;0,BA21&gt;$D$2,AX21/AW21&lt;3),"Very serious", AND(AY21&lt;=$D$1*-1,BA21&gt;0,AZ21&gt;$D$2*-1,AX21/AW21&gt;=3),"Very serious", AND(AY21&lt;=$D$1*-1,BA21&gt;0,AZ21&lt;$D$2*-1,AX21/AW21&gt;=3),"Very serious", AND(AY21&gt;=$D$1,AZ21&lt;0,BA21&lt;$D$2,AX21/AW21&gt;=3),"Very serious", AND(AY21&gt;=$D$1,AZ21&lt;0,BA21&gt;$D$2,AX21/AW21&gt;=3),"Very serious", AND(AY21&gt;$D$1*-1,AY21&lt;$D$1,AZ21&gt;$D$1*-1,BA21&lt;$D$1,AX21/AW21&lt;3),"Not Serious", AND(AY21&gt;$D$1*-1,AY21&lt;$D$1,OR(AZ21&lt;=$D$1*-1,BA21&gt;=$D$1),AZ21&gt;$D$2*-1,BA21&lt;$D$2,AX21/AW21&lt;3),"Serious", AND(AY21&gt;$D$1*-1,AY21&lt;$D$1,OR(AZ21&lt;=$D$2*-1,BA21&gt;=$D$2),AX21/AW21&lt;3),"Very serious", AND(AY21&gt;$D$1*-1,AY21&lt;$D$1,AZ21&gt;$D$1*-1,BA21&lt;$D$1,AX21/AW21&gt;=3),"Very serious", AND(AY21&gt;$D$1*-1,AY21&lt;$D$1,OR(AZ21&lt;=$D$1*-1,BA21&gt;=$D$1),AZ21&gt;$D$2*-1,BA21&lt;$D$2,AX21/AW21&gt;=3),"Very serious", AND(AY21&gt;$D$1*-1,AY21&lt;$D$1,OR(AZ21&lt;=$D$2*-1,BA21&gt;=$D$2),AX21/AW21&gt;=3),"Very serious"),""))</f>
        <v/>
      </c>
      <c r="BF21" s="107" t="str">
        <f t="shared" si="11"/>
        <v/>
      </c>
      <c r="BG21" s="94" t="str">
        <f t="shared" si="46"/>
        <v/>
      </c>
      <c r="BH21" s="64" t="str">
        <f t="shared" si="12"/>
        <v>#N/A</v>
      </c>
      <c r="BI21" s="64" t="str">
        <f t="shared" si="13"/>
        <v/>
      </c>
      <c r="BJ21" s="123" t="str">
        <f t="shared" si="14"/>
        <v>#N/A</v>
      </c>
      <c r="BK21" s="64" t="str">
        <f t="shared" si="15"/>
        <v>YES</v>
      </c>
      <c r="BL21" s="64" t="str">
        <f t="shared" si="16"/>
        <v>YES</v>
      </c>
      <c r="BM21" s="64" t="str">
        <f t="shared" si="17"/>
        <v>YES</v>
      </c>
      <c r="BN21" s="124" t="str">
        <f t="shared" si="18"/>
        <v/>
      </c>
      <c r="BO21" s="91" t="str">
        <f t="shared" si="19"/>
        <v/>
      </c>
      <c r="BP21" s="91" t="str">
        <f t="shared" si="20"/>
        <v>#N/A</v>
      </c>
      <c r="BQ21" s="91" t="str">
        <f t="shared" si="21"/>
        <v/>
      </c>
      <c r="BR21" s="93" t="str">
        <f t="shared" si="22"/>
        <v/>
      </c>
      <c r="BS21" s="90" t="str">
        <f t="shared" si="23"/>
        <v/>
      </c>
      <c r="BT21" s="93" t="str">
        <f t="shared" si="24"/>
        <v>NA</v>
      </c>
      <c r="BU21" s="125" t="str">
        <f t="shared" si="25"/>
        <v>#N/A</v>
      </c>
      <c r="BV21" s="93" t="str">
        <f t="shared" si="26"/>
        <v/>
      </c>
      <c r="BW21" s="93" t="str">
        <f t="shared" si="27"/>
        <v/>
      </c>
      <c r="BX21" s="93" t="str">
        <f t="shared" si="28"/>
        <v>NA</v>
      </c>
      <c r="BY21" s="95" t="str">
        <f t="shared" si="29"/>
        <v>#N/A</v>
      </c>
      <c r="BZ21" s="93" t="str">
        <f t="shared" si="30"/>
        <v/>
      </c>
      <c r="CA21" s="93" t="str">
        <f t="shared" si="31"/>
        <v/>
      </c>
      <c r="CB21" s="93" t="str">
        <f t="shared" si="32"/>
        <v>NA</v>
      </c>
      <c r="CC21" s="96" t="str">
        <f t="shared" si="33"/>
        <v>#N/A</v>
      </c>
      <c r="CD21" s="93" t="str">
        <f t="shared" si="34"/>
        <v/>
      </c>
      <c r="CE21" s="93" t="str">
        <f t="shared" si="35"/>
        <v/>
      </c>
      <c r="CF21" s="93" t="str">
        <f t="shared" si="36"/>
        <v>NA</v>
      </c>
      <c r="CG21" s="97" t="str">
        <f t="shared" si="37"/>
        <v>#N/A</v>
      </c>
      <c r="CH21" s="98" t="str">
        <f t="shared" si="38"/>
        <v>#N/A</v>
      </c>
      <c r="CI21" s="99" t="str">
        <f t="shared" si="39"/>
        <v>#N/A</v>
      </c>
      <c r="CJ21" s="126" t="str">
        <f t="shared" si="40"/>
        <v>ERROR: check cell</v>
      </c>
      <c r="CK21" s="126"/>
      <c r="CL21" s="127" t="str">
        <f t="shared" si="41"/>
        <v>#DIV/0!</v>
      </c>
      <c r="CM21" s="128" t="str">
        <f t="shared" si="42"/>
        <v>#DIV/0!</v>
      </c>
      <c r="CN21" s="128">
        <f t="shared" si="43"/>
        <v>4</v>
      </c>
      <c r="CO21" s="129">
        <f t="shared" si="44"/>
        <v>4</v>
      </c>
      <c r="CP21" s="129" t="str">
        <f>IFS(C21=Preferences!B$13,B21,B21=Preferences!B$13,C21)</f>
        <v>#N/A</v>
      </c>
    </row>
    <row r="22" ht="13.5" customHeight="1">
      <c r="A22" s="63" t="str">
        <f t="shared" si="45"/>
        <v/>
      </c>
      <c r="B22" s="64"/>
      <c r="C22" s="64"/>
      <c r="D22" s="64"/>
      <c r="E22" s="65"/>
      <c r="F22" s="65"/>
      <c r="G22" s="65"/>
      <c r="H22" s="65"/>
      <c r="I22" s="65"/>
      <c r="J22" s="141"/>
      <c r="K22" s="138"/>
      <c r="L22" s="104"/>
      <c r="M22" s="104"/>
      <c r="N22" s="104"/>
      <c r="O22" s="104"/>
      <c r="P22" s="107" t="str">
        <f t="shared" si="1"/>
        <v/>
      </c>
      <c r="Q22" s="108" t="str">
        <f>IFERROR(IF(AND(Preferences!B$3="Manual",OR(AX22/AW22&gt;G22/F22,BD22="Serious",BD22="Very serious")),"Assess imprecision",IFS(ISBLANK(E22),"",AND(Preferences!B$3="Automatic", G22/F22&gt;=30),"Extremely serious",AND(H22&lt;=$D$1*-1,J22&lt;0,G22/F22&lt;3),"Not serious",AND(H22&lt;=$D$1*-1,J22&lt;0,G22/F22&gt;=3),"Very serious",AND(H22&gt;=$D$1,I22&gt;0,G22/F22&lt;3),"Not serious",AND(H22&gt;=$D$1,I22&gt;0,G22/F22&gt;=3),"Very serious",AND(H22&lt;=$D$1*-1,J22&gt;0,I22&gt;$D$2*-1,G22/F22&lt;3),"Serious", AND(H22&lt;=$D$1*-1,J22&gt;0,I22&lt;$D$2*-1,G22/F22&lt;3),"Very serious", AND(H22&gt;=$D$1,I22&lt;0,J22&lt;$D$2,G22/F22&lt;3),"Serious",AND(H22&gt;=$D$1,I22&lt;0,J22&gt;$D$2,G22/F22&lt;3),"Very serious", AND(H22&lt;=$D$1*-1,J22&gt;0,I22&gt;$D$2*-1,G22/F22&gt;=3),"Very serious", AND(H22&lt;=$D$1*-1,J22&gt;0,I22&lt;$D$2*-1,G22/F22&gt;=3),"Very serious", AND(H22&gt;=$D$1,I22&lt;0,J22&lt;$D$2,G22/F22&gt;=3),"Very serious", AND(H22&gt;=$D$1,I22&lt;0,J22&gt;$D$2,G22/F22&gt;=3),"Very serious", AND(H22&gt;$D$1*-1,H22&lt;$D$1,I22&gt;$D$1*-1,J22&lt;$D$1,G22/F22&lt;3),"Not serious", AND(H22&gt;$D$1*-1,H22&lt;$D$1,OR(I22&lt;=$D$1*-1,J22&gt;=$D$1),I22&gt;$D$2*-1,J22&lt;$D$2,G22/F22&lt;3),"Serious", AND(H22&gt;$D$1*-1,H22&lt;$D$1,OR(I22&lt;=$D$2*-1,J22&gt;=$D$2),G22/F22&lt;3),"Very serious", AND(H22&gt;$D$1*-1,H22&lt;$D$1,I22&gt;$D$1*-1,J22&lt;$D$1,G22/F22&gt;=3),"Very serious", AND(H22&gt;$D$1*-1,H22&lt;$D$1,OR(I22&lt;=$D$1*-1,J22&gt;=$D$1),I22&gt;$D$2*-1,J22&lt;$D$2,G22/F22&gt;=3),"Very serious", AND(H22&gt;$D$1*-1,H22&lt;$D$1,OR(I22&lt;=$D$2*-1,J22&gt;=$D$2),G22/F22&gt;=3),"Very serious")),"")</f>
        <v/>
      </c>
      <c r="R22" s="109" t="str">
        <f t="shared" si="47"/>
        <v/>
      </c>
      <c r="S22" s="64"/>
      <c r="T22" s="139"/>
      <c r="U22" s="139"/>
      <c r="V22" s="139"/>
      <c r="W22" s="142"/>
      <c r="X22" s="142"/>
      <c r="Y22" s="143"/>
      <c r="Z22" s="113" t="str">
        <f t="array" ref="Z22">INDEX($A$1:$C$500, MATCH(1,($B:$B=$B22)*($C:$C=$AB22),0),1)</f>
        <v/>
      </c>
      <c r="AA22" s="113" t="str">
        <f t="array" ref="AA22">INDEX($A$1:$C$500, MATCH(1,($B:$B=$AB22)*($C:$C=$B22),0),1)</f>
        <v/>
      </c>
      <c r="AB22" s="111"/>
      <c r="AC22" s="114" t="str">
        <f t="shared" si="2"/>
        <v/>
      </c>
      <c r="AD22" s="115" t="str">
        <f t="shared" si="3"/>
        <v/>
      </c>
      <c r="AE22" s="116" t="str">
        <f t="array" ref="AE22">INDEX($A$1:$C$500, MATCH(1,($B:$B=$AB22)*($C:$C=$AG22),0),1)</f>
        <v/>
      </c>
      <c r="AF22" s="116" t="str">
        <f t="array" ref="AF22">INDEX($A$1:$C$500, MATCH(1,($B:$B=$AG22)*($C:$C=$AB22),0),1)</f>
        <v/>
      </c>
      <c r="AG22" s="72"/>
      <c r="AH22" s="114" t="str">
        <f t="shared" si="4"/>
        <v/>
      </c>
      <c r="AI22" s="115" t="str">
        <f t="shared" si="5"/>
        <v/>
      </c>
      <c r="AJ22" s="116" t="str">
        <f t="array" ref="AJ22">INDEX($A$1:$C$500, MATCH(1,($B:$B=$C22)*($C:$C=$AG22),0),1)</f>
        <v/>
      </c>
      <c r="AK22" s="116" t="str">
        <f t="array" ref="AK22">INDEX($A$1:$C$500, MATCH(1,($B:$B=$AG22)*($C:$C=$C22),0),1)</f>
        <v/>
      </c>
      <c r="AL22" s="116" t="str">
        <f t="array" ref="AL22">INDEX($A$1:$C$500, MATCH(1,($B:$B=$C22)*($C:$C=$AB22),0),1)</f>
        <v/>
      </c>
      <c r="AM22" s="116" t="str">
        <f t="array" ref="AM22">INDEX($A$1:$C$500, MATCH(1,($B:$B=$AB22)*($C:$C=$C22),0),1)</f>
        <v/>
      </c>
      <c r="AN22" s="114" t="str">
        <f t="array" ref="AN22">IFS(ISNUMBER(AJ22),AJ22,ISNUMBER(AK22),AK22,ISNUMBER(AL22),AL22,ISNUMBER(AM22),AM22)</f>
        <v>#N/A</v>
      </c>
      <c r="AO22" s="115" t="str">
        <f t="shared" si="6"/>
        <v/>
      </c>
      <c r="AP22" s="115" t="str">
        <f t="shared" si="7"/>
        <v/>
      </c>
      <c r="AQ22" s="72"/>
      <c r="AR22" s="109" t="str">
        <f t="shared" si="8"/>
        <v/>
      </c>
      <c r="AS22" s="72" t="str">
        <f>IFERROR(IF(AND(Preferences!B$3="Manual",OR(AX22/AW22&gt;V22/U22,BD22="Serious",BD22="Very serious")),"Assess imprecision",IFERROR(IFS(AND(Preferences!B$3="Automatic",V22/U22&gt;=30),"Extremely serious",AND(W22&lt;=$D$1*-1,Y22&lt;0,V22/U22&lt;3),"Not Serious",AND(W22&lt;=$D$1*-1,Y22&lt;0,V22/U22&gt;=3),"Very serious",AND(W22&gt;=$D$1,X22&gt;0,V22/U22&lt;3),"Not Serious",AND(W22&gt;=$D$1,X22&gt;0,V22/U22&gt;=3),"Very serious",AND(W22&lt;=$D$1*-1,Y22&gt;0,X22&gt;$D$2*-1,V22/U22&lt;3),"Serious", AND(W22&lt;=$D$1*-1,Y22&gt;0,X22&lt;$D$2*-1,V22/U22&lt;3),"Very serious", AND(W22&gt;=$D$1,X22&lt;0,Y22&lt;$D$2,V22/U22&lt;3),"Serious",AND(W22&gt;=$D$1,X22&lt;0,Y22&gt;$D$2,V22/U22&lt;3),"Very serious", AND(W22&lt;=$D$1*-1,Y22&gt;0,X22&gt;$D$2*-1,V22/U22&gt;=3),"Very serious", AND(W22&lt;=$D$1*-1,Y22&gt;0,X22&lt;$D$2*-1,V22/U22&gt;=3),"Very serious", AND(W22&gt;=$D$1,X22&lt;0,Y22&lt;$D$2,V22/U22&gt;=3),"Very serious", AND(W22&gt;=$D$1,X22&lt;0,Y22&gt;$D$2,V22/U22&gt;=3),"Very serious", AND(W22&gt;$D$1*-1,W22&lt;$D$1,X22&gt;$D$1*-1,Y22&lt;$D$1,V22/U22&lt;3),"Not Serious", AND(W22&gt;$D$1*-1,W22&lt;$D$1,OR(X22&lt;=$D$1*-1,Y22&gt;=$D$1),X22&gt;$D$2*-1,Y22&lt;$D$2,V22/U22&lt;3),"Serious", AND(W22&gt;$D$1*-1,W22&lt;$D$1,OR(X22&lt;=$D$2*-1,Y22&gt;=$D$2),V22/U22&lt;3),"Very serious", AND(W22&gt;$D$1*-1,W22&lt;$D$1,X22&gt;$D$1*-1,Y22&lt;$D$1,V22/U22&gt;=3),"Very serious", AND(W22&gt;$D$1*-1,W22&lt;$D$1,OR(X22&lt;=$D$1*-1,Y22&gt;=$D$1),X22&gt;$D$2*-1,Y22&lt;$D$2,V22/U22&gt;=3),"Very serious", AND(W22&gt;$D$1*-1,W22&lt;$D$1,OR(X22&lt;=$D$2*-1,Y22&gt;=$D$2),V22/U22&gt;=3),"Very serious"),"")),"")</f>
        <v/>
      </c>
      <c r="AT22" s="109" t="str">
        <f t="shared" si="9"/>
        <v/>
      </c>
      <c r="AU22" s="64"/>
      <c r="AV22" s="117"/>
      <c r="AW22" s="117"/>
      <c r="AX22" s="117"/>
      <c r="AY22" s="118"/>
      <c r="AZ22" s="118"/>
      <c r="BA22" s="119"/>
      <c r="BB22" s="86" t="str">
        <f>IF(Preferences!B$9="Manual","",IFS(ISBLANK(B22),"",AND(ISNUMBER(E22)=TRUE,ISNUMBER(T22)=FALSE),"Direct", AND(ISNUMBER(E22)=FALSE,ISNUMBER(T22)=TRUE),"Indirect", CN22=4,"Direct",AND(CL22=FALSE, CM22=TRUE,CN22-CO22&gt;-1),"Direct", AND(CL22=FALSE,CM22=TRUE, CN22-CO22&lt;0),"Check algorithm in appendix 2", AND(CL22=TRUE, CM22=FALSE,CN22-CO22&gt;0),"Check algorithm in appendix 2", AND(CL22=TRUE, CM22=FALSE,CN22-CO22=0),"Indirect", AND(CL22=TRUE, CM22=FALSE,CN22-CO22&lt;0),"Indirect", AND(CL22=FALSE,CM22=FALSE,CN22-CO22&gt;-1),"Direct", AND(CL22=FALSE,CM22=FALSE,CN22-CO22&lt;0),"Check algorithm in appendix 2", AND(CL22=TRUE,CM22=TRUE,CN22-CO22&gt;-1),"Direct", AND(CL22=TRUE,CM22=TRUE,CN22-CO22&lt;0),"Check algorithm in appendix 2"))</f>
        <v/>
      </c>
      <c r="BC22" s="120" t="str">
        <f t="shared" si="10"/>
        <v/>
      </c>
      <c r="BD22" s="140"/>
      <c r="BE22" s="122" t="str">
        <f>IF(Preferences!B$3="Manual","", IFERROR(IFS(AND(Preferences!B$3="Automatic",AX22/AW22&gt;=30),"Extremely serious",AND(AY22&lt;=$D$1*-1,BA22&lt;0,AX22/AW22&lt;3),"Not Serious",AND(AY22&lt;=$D$1*-1,BA22&lt;0,AX22/AW22&gt;=3),"Very serious",AND(AY22&gt;=$D$1,AZ22&gt;0,AX22/AW22&lt;3),"Not Serious",AND(AY22&gt;=$D$1,AZ22&gt;0,AX22/AW22&gt;=3),"Very serious",AND(AY22&lt;=$D$1*-1,BA22&gt;0,AZ22&gt;$D$2*-1,AX22/AW22&lt;3),"Serious", AND(AY22&lt;=$D$1*-1,BA22&gt;0,AZ22&lt;$D$2*-1,AX22/AW22&lt;3),"Very serious", AND(AY22&gt;=$D$1,AZ22&lt;0,BA22&lt;$D$2,AX22/AW22&lt;3),"Serious",AND(AY22&gt;=$D$1,AZ22&lt;0,BA22&gt;$D$2,AX22/AW22&lt;3),"Very serious", AND(AY22&lt;=$D$1*-1,BA22&gt;0,AZ22&gt;$D$2*-1,AX22/AW22&gt;=3),"Very serious", AND(AY22&lt;=$D$1*-1,BA22&gt;0,AZ22&lt;$D$2*-1,AX22/AW22&gt;=3),"Very serious", AND(AY22&gt;=$D$1,AZ22&lt;0,BA22&lt;$D$2,AX22/AW22&gt;=3),"Very serious", AND(AY22&gt;=$D$1,AZ22&lt;0,BA22&gt;$D$2,AX22/AW22&gt;=3),"Very serious", AND(AY22&gt;$D$1*-1,AY22&lt;$D$1,AZ22&gt;$D$1*-1,BA22&lt;$D$1,AX22/AW22&lt;3),"Not Serious", AND(AY22&gt;$D$1*-1,AY22&lt;$D$1,OR(AZ22&lt;=$D$1*-1,BA22&gt;=$D$1),AZ22&gt;$D$2*-1,BA22&lt;$D$2,AX22/AW22&lt;3),"Serious", AND(AY22&gt;$D$1*-1,AY22&lt;$D$1,OR(AZ22&lt;=$D$2*-1,BA22&gt;=$D$2),AX22/AW22&lt;3),"Very serious", AND(AY22&gt;$D$1*-1,AY22&lt;$D$1,AZ22&gt;$D$1*-1,BA22&lt;$D$1,AX22/AW22&gt;=3),"Very serious", AND(AY22&gt;$D$1*-1,AY22&lt;$D$1,OR(AZ22&lt;=$D$1*-1,BA22&gt;=$D$1),AZ22&gt;$D$2*-1,BA22&lt;$D$2,AX22/AW22&gt;=3),"Very serious", AND(AY22&gt;$D$1*-1,AY22&lt;$D$1,OR(AZ22&lt;=$D$2*-1,BA22&gt;=$D$2),AX22/AW22&gt;=3),"Very serious"),""))</f>
        <v/>
      </c>
      <c r="BF22" s="107" t="str">
        <f t="shared" si="11"/>
        <v/>
      </c>
      <c r="BG22" s="94" t="str">
        <f t="shared" si="46"/>
        <v/>
      </c>
      <c r="BH22" s="64" t="str">
        <f t="shared" si="12"/>
        <v>#N/A</v>
      </c>
      <c r="BI22" s="64" t="str">
        <f t="shared" si="13"/>
        <v/>
      </c>
      <c r="BJ22" s="123" t="str">
        <f t="shared" si="14"/>
        <v>#N/A</v>
      </c>
      <c r="BK22" s="64" t="str">
        <f t="shared" si="15"/>
        <v>YES</v>
      </c>
      <c r="BL22" s="64" t="str">
        <f t="shared" si="16"/>
        <v>YES</v>
      </c>
      <c r="BM22" s="64" t="str">
        <f t="shared" si="17"/>
        <v>YES</v>
      </c>
      <c r="BN22" s="124" t="str">
        <f t="shared" si="18"/>
        <v/>
      </c>
      <c r="BO22" s="91" t="str">
        <f t="shared" si="19"/>
        <v/>
      </c>
      <c r="BP22" s="91" t="str">
        <f t="shared" si="20"/>
        <v>#N/A</v>
      </c>
      <c r="BQ22" s="91" t="str">
        <f t="shared" si="21"/>
        <v/>
      </c>
      <c r="BR22" s="93" t="str">
        <f t="shared" si="22"/>
        <v/>
      </c>
      <c r="BS22" s="90" t="str">
        <f t="shared" si="23"/>
        <v/>
      </c>
      <c r="BT22" s="93" t="str">
        <f t="shared" si="24"/>
        <v>NA</v>
      </c>
      <c r="BU22" s="125" t="str">
        <f t="shared" si="25"/>
        <v>#N/A</v>
      </c>
      <c r="BV22" s="93" t="str">
        <f t="shared" si="26"/>
        <v/>
      </c>
      <c r="BW22" s="93" t="str">
        <f t="shared" si="27"/>
        <v/>
      </c>
      <c r="BX22" s="93" t="str">
        <f t="shared" si="28"/>
        <v>NA</v>
      </c>
      <c r="BY22" s="95" t="str">
        <f t="shared" si="29"/>
        <v>#N/A</v>
      </c>
      <c r="BZ22" s="93" t="str">
        <f t="shared" si="30"/>
        <v/>
      </c>
      <c r="CA22" s="93" t="str">
        <f t="shared" si="31"/>
        <v/>
      </c>
      <c r="CB22" s="93" t="str">
        <f t="shared" si="32"/>
        <v>NA</v>
      </c>
      <c r="CC22" s="96" t="str">
        <f t="shared" si="33"/>
        <v>#N/A</v>
      </c>
      <c r="CD22" s="93" t="str">
        <f t="shared" si="34"/>
        <v/>
      </c>
      <c r="CE22" s="93" t="str">
        <f t="shared" si="35"/>
        <v/>
      </c>
      <c r="CF22" s="93" t="str">
        <f t="shared" si="36"/>
        <v>NA</v>
      </c>
      <c r="CG22" s="97" t="str">
        <f t="shared" si="37"/>
        <v>#N/A</v>
      </c>
      <c r="CH22" s="98" t="str">
        <f t="shared" si="38"/>
        <v>#N/A</v>
      </c>
      <c r="CI22" s="99" t="str">
        <f t="shared" si="39"/>
        <v>#N/A</v>
      </c>
      <c r="CJ22" s="126" t="str">
        <f t="shared" si="40"/>
        <v>ERROR: check cell</v>
      </c>
      <c r="CK22" s="126"/>
      <c r="CL22" s="127" t="str">
        <f t="shared" si="41"/>
        <v>#DIV/0!</v>
      </c>
      <c r="CM22" s="128" t="str">
        <f t="shared" si="42"/>
        <v>#DIV/0!</v>
      </c>
      <c r="CN22" s="128">
        <f t="shared" si="43"/>
        <v>4</v>
      </c>
      <c r="CO22" s="129">
        <f t="shared" si="44"/>
        <v>4</v>
      </c>
      <c r="CP22" s="129" t="str">
        <f>IFS(C22=Preferences!B$13,B22,B22=Preferences!B$13,C22)</f>
        <v>#N/A</v>
      </c>
    </row>
    <row r="23" ht="13.5" customHeight="1">
      <c r="A23" s="63" t="str">
        <f t="shared" si="45"/>
        <v/>
      </c>
      <c r="B23" s="64"/>
      <c r="C23" s="64"/>
      <c r="D23" s="64"/>
      <c r="E23" s="65"/>
      <c r="F23" s="65"/>
      <c r="G23" s="65"/>
      <c r="H23" s="65"/>
      <c r="I23" s="65"/>
      <c r="J23" s="141"/>
      <c r="K23" s="138"/>
      <c r="L23" s="133"/>
      <c r="M23" s="104"/>
      <c r="N23" s="104"/>
      <c r="O23" s="104"/>
      <c r="P23" s="107" t="str">
        <f t="shared" si="1"/>
        <v/>
      </c>
      <c r="Q23" s="108" t="str">
        <f>IFERROR(IF(AND(Preferences!B$3="Manual",OR(AX23/AW23&gt;G23/F23,BD23="Serious",BD23="Very serious")),"Assess imprecision",IFS(ISBLANK(E23),"",AND(Preferences!B$3="Automatic", G23/F23&gt;=30),"Extremely serious",AND(H23&lt;=$D$1*-1,J23&lt;0,G23/F23&lt;3),"Not serious",AND(H23&lt;=$D$1*-1,J23&lt;0,G23/F23&gt;=3),"Very serious",AND(H23&gt;=$D$1,I23&gt;0,G23/F23&lt;3),"Not serious",AND(H23&gt;=$D$1,I23&gt;0,G23/F23&gt;=3),"Very serious",AND(H23&lt;=$D$1*-1,J23&gt;0,I23&gt;$D$2*-1,G23/F23&lt;3),"Serious", AND(H23&lt;=$D$1*-1,J23&gt;0,I23&lt;$D$2*-1,G23/F23&lt;3),"Very serious", AND(H23&gt;=$D$1,I23&lt;0,J23&lt;$D$2,G23/F23&lt;3),"Serious",AND(H23&gt;=$D$1,I23&lt;0,J23&gt;$D$2,G23/F23&lt;3),"Very serious", AND(H23&lt;=$D$1*-1,J23&gt;0,I23&gt;$D$2*-1,G23/F23&gt;=3),"Very serious", AND(H23&lt;=$D$1*-1,J23&gt;0,I23&lt;$D$2*-1,G23/F23&gt;=3),"Very serious", AND(H23&gt;=$D$1,I23&lt;0,J23&lt;$D$2,G23/F23&gt;=3),"Very serious", AND(H23&gt;=$D$1,I23&lt;0,J23&gt;$D$2,G23/F23&gt;=3),"Very serious", AND(H23&gt;$D$1*-1,H23&lt;$D$1,I23&gt;$D$1*-1,J23&lt;$D$1,G23/F23&lt;3),"Not serious", AND(H23&gt;$D$1*-1,H23&lt;$D$1,OR(I23&lt;=$D$1*-1,J23&gt;=$D$1),I23&gt;$D$2*-1,J23&lt;$D$2,G23/F23&lt;3),"Serious", AND(H23&gt;$D$1*-1,H23&lt;$D$1,OR(I23&lt;=$D$2*-1,J23&gt;=$D$2),G23/F23&lt;3),"Very serious", AND(H23&gt;$D$1*-1,H23&lt;$D$1,I23&gt;$D$1*-1,J23&lt;$D$1,G23/F23&gt;=3),"Very serious", AND(H23&gt;$D$1*-1,H23&lt;$D$1,OR(I23&lt;=$D$1*-1,J23&gt;=$D$1),I23&gt;$D$2*-1,J23&lt;$D$2,G23/F23&gt;=3),"Very serious", AND(H23&gt;$D$1*-1,H23&lt;$D$1,OR(I23&lt;=$D$2*-1,J23&gt;=$D$2),G23/F23&gt;=3),"Very serious")),"")</f>
        <v/>
      </c>
      <c r="R23" s="109" t="str">
        <f t="shared" si="47"/>
        <v/>
      </c>
      <c r="S23" s="64"/>
      <c r="T23" s="139"/>
      <c r="U23" s="139"/>
      <c r="V23" s="139"/>
      <c r="W23" s="142"/>
      <c r="X23" s="142"/>
      <c r="Y23" s="143"/>
      <c r="Z23" s="113" t="str">
        <f t="array" ref="Z23">INDEX($A$1:$C$500, MATCH(1,($B:$B=$B23)*($C:$C=$AB23),0),1)</f>
        <v/>
      </c>
      <c r="AA23" s="113" t="str">
        <f t="array" ref="AA23">INDEX($A$1:$C$500, MATCH(1,($B:$B=$AB23)*($C:$C=$B23),0),1)</f>
        <v/>
      </c>
      <c r="AB23" s="111"/>
      <c r="AC23" s="114" t="str">
        <f t="shared" si="2"/>
        <v/>
      </c>
      <c r="AD23" s="115" t="str">
        <f t="shared" si="3"/>
        <v/>
      </c>
      <c r="AE23" s="116" t="str">
        <f t="array" ref="AE23">INDEX($A$1:$C$500, MATCH(1,($B:$B=$AB23)*($C:$C=$AG23),0),1)</f>
        <v/>
      </c>
      <c r="AF23" s="116" t="str">
        <f t="array" ref="AF23">INDEX($A$1:$C$500, MATCH(1,($B:$B=$AG23)*($C:$C=$AB23),0),1)</f>
        <v/>
      </c>
      <c r="AG23" s="72"/>
      <c r="AH23" s="114" t="str">
        <f t="shared" si="4"/>
        <v/>
      </c>
      <c r="AI23" s="115" t="str">
        <f t="shared" si="5"/>
        <v/>
      </c>
      <c r="AJ23" s="116" t="str">
        <f t="array" ref="AJ23">INDEX($A$1:$C$500, MATCH(1,($B:$B=$C23)*($C:$C=$AG23),0),1)</f>
        <v/>
      </c>
      <c r="AK23" s="116" t="str">
        <f t="array" ref="AK23">INDEX($A$1:$C$500, MATCH(1,($B:$B=$AG23)*($C:$C=$C23),0),1)</f>
        <v/>
      </c>
      <c r="AL23" s="116" t="str">
        <f t="array" ref="AL23">INDEX($A$1:$C$500, MATCH(1,($B:$B=$C23)*($C:$C=$AB23),0),1)</f>
        <v/>
      </c>
      <c r="AM23" s="116" t="str">
        <f t="array" ref="AM23">INDEX($A$1:$C$500, MATCH(1,($B:$B=$AB23)*($C:$C=$C23),0),1)</f>
        <v/>
      </c>
      <c r="AN23" s="114" t="str">
        <f t="array" ref="AN23">IFS(ISNUMBER(AJ23),AJ23,ISNUMBER(AK23),AK23,ISNUMBER(AL23),AL23,ISNUMBER(AM23),AM23)</f>
        <v>#N/A</v>
      </c>
      <c r="AO23" s="115" t="str">
        <f t="shared" si="6"/>
        <v/>
      </c>
      <c r="AP23" s="115" t="str">
        <f t="shared" si="7"/>
        <v/>
      </c>
      <c r="AQ23" s="72"/>
      <c r="AR23" s="109" t="str">
        <f t="shared" si="8"/>
        <v/>
      </c>
      <c r="AS23" s="72" t="str">
        <f>IFERROR(IF(AND(Preferences!B$3="Manual",OR(AX23/AW23&gt;V23/U23,BD23="Serious",BD23="Very serious")),"Assess imprecision",IFERROR(IFS(AND(Preferences!B$3="Automatic",V23/U23&gt;=30),"Extremely serious",AND(W23&lt;=$D$1*-1,Y23&lt;0,V23/U23&lt;3),"Not Serious",AND(W23&lt;=$D$1*-1,Y23&lt;0,V23/U23&gt;=3),"Very serious",AND(W23&gt;=$D$1,X23&gt;0,V23/U23&lt;3),"Not Serious",AND(W23&gt;=$D$1,X23&gt;0,V23/U23&gt;=3),"Very serious",AND(W23&lt;=$D$1*-1,Y23&gt;0,X23&gt;$D$2*-1,V23/U23&lt;3),"Serious", AND(W23&lt;=$D$1*-1,Y23&gt;0,X23&lt;$D$2*-1,V23/U23&lt;3),"Very serious", AND(W23&gt;=$D$1,X23&lt;0,Y23&lt;$D$2,V23/U23&lt;3),"Serious",AND(W23&gt;=$D$1,X23&lt;0,Y23&gt;$D$2,V23/U23&lt;3),"Very serious", AND(W23&lt;=$D$1*-1,Y23&gt;0,X23&gt;$D$2*-1,V23/U23&gt;=3),"Very serious", AND(W23&lt;=$D$1*-1,Y23&gt;0,X23&lt;$D$2*-1,V23/U23&gt;=3),"Very serious", AND(W23&gt;=$D$1,X23&lt;0,Y23&lt;$D$2,V23/U23&gt;=3),"Very serious", AND(W23&gt;=$D$1,X23&lt;0,Y23&gt;$D$2,V23/U23&gt;=3),"Very serious", AND(W23&gt;$D$1*-1,W23&lt;$D$1,X23&gt;$D$1*-1,Y23&lt;$D$1,V23/U23&lt;3),"Not Serious", AND(W23&gt;$D$1*-1,W23&lt;$D$1,OR(X23&lt;=$D$1*-1,Y23&gt;=$D$1),X23&gt;$D$2*-1,Y23&lt;$D$2,V23/U23&lt;3),"Serious", AND(W23&gt;$D$1*-1,W23&lt;$D$1,OR(X23&lt;=$D$2*-1,Y23&gt;=$D$2),V23/U23&lt;3),"Very serious", AND(W23&gt;$D$1*-1,W23&lt;$D$1,X23&gt;$D$1*-1,Y23&lt;$D$1,V23/U23&gt;=3),"Very serious", AND(W23&gt;$D$1*-1,W23&lt;$D$1,OR(X23&lt;=$D$1*-1,Y23&gt;=$D$1),X23&gt;$D$2*-1,Y23&lt;$D$2,V23/U23&gt;=3),"Very serious", AND(W23&gt;$D$1*-1,W23&lt;$D$1,OR(X23&lt;=$D$2*-1,Y23&gt;=$D$2),V23/U23&gt;=3),"Very serious"),"")),"")</f>
        <v/>
      </c>
      <c r="AT23" s="109" t="str">
        <f t="shared" si="9"/>
        <v/>
      </c>
      <c r="AU23" s="64"/>
      <c r="AV23" s="117"/>
      <c r="AW23" s="117"/>
      <c r="AX23" s="117"/>
      <c r="AY23" s="118"/>
      <c r="AZ23" s="118"/>
      <c r="BA23" s="119"/>
      <c r="BB23" s="86" t="str">
        <f>IF(Preferences!B$9="Manual","",IFS(ISBLANK(B23),"",AND(ISNUMBER(E23)=TRUE,ISNUMBER(T23)=FALSE),"Direct", AND(ISNUMBER(E23)=FALSE,ISNUMBER(T23)=TRUE),"Indirect", CN23=4,"Direct",AND(CL23=FALSE, CM23=TRUE,CN23-CO23&gt;-1),"Direct", AND(CL23=FALSE,CM23=TRUE, CN23-CO23&lt;0),"Check algorithm in appendix 2", AND(CL23=TRUE, CM23=FALSE,CN23-CO23&gt;0),"Check algorithm in appendix 2", AND(CL23=TRUE, CM23=FALSE,CN23-CO23=0),"Indirect", AND(CL23=TRUE, CM23=FALSE,CN23-CO23&lt;0),"Indirect", AND(CL23=FALSE,CM23=FALSE,CN23-CO23&gt;-1),"Direct", AND(CL23=FALSE,CM23=FALSE,CN23-CO23&lt;0),"Check algorithm in appendix 2", AND(CL23=TRUE,CM23=TRUE,CN23-CO23&gt;-1),"Direct", AND(CL23=TRUE,CM23=TRUE,CN23-CO23&lt;0),"Check algorithm in appendix 2"))</f>
        <v/>
      </c>
      <c r="BC23" s="120" t="str">
        <f t="shared" si="10"/>
        <v/>
      </c>
      <c r="BD23" s="140"/>
      <c r="BE23" s="122" t="str">
        <f>IF(Preferences!B$3="Manual","", IFERROR(IFS(AND(Preferences!B$3="Automatic",AX23/AW23&gt;=30),"Extremely serious",AND(AY23&lt;=$D$1*-1,BA23&lt;0,AX23/AW23&lt;3),"Not Serious",AND(AY23&lt;=$D$1*-1,BA23&lt;0,AX23/AW23&gt;=3),"Very serious",AND(AY23&gt;=$D$1,AZ23&gt;0,AX23/AW23&lt;3),"Not Serious",AND(AY23&gt;=$D$1,AZ23&gt;0,AX23/AW23&gt;=3),"Very serious",AND(AY23&lt;=$D$1*-1,BA23&gt;0,AZ23&gt;$D$2*-1,AX23/AW23&lt;3),"Serious", AND(AY23&lt;=$D$1*-1,BA23&gt;0,AZ23&lt;$D$2*-1,AX23/AW23&lt;3),"Very serious", AND(AY23&gt;=$D$1,AZ23&lt;0,BA23&lt;$D$2,AX23/AW23&lt;3),"Serious",AND(AY23&gt;=$D$1,AZ23&lt;0,BA23&gt;$D$2,AX23/AW23&lt;3),"Very serious", AND(AY23&lt;=$D$1*-1,BA23&gt;0,AZ23&gt;$D$2*-1,AX23/AW23&gt;=3),"Very serious", AND(AY23&lt;=$D$1*-1,BA23&gt;0,AZ23&lt;$D$2*-1,AX23/AW23&gt;=3),"Very serious", AND(AY23&gt;=$D$1,AZ23&lt;0,BA23&lt;$D$2,AX23/AW23&gt;=3),"Very serious", AND(AY23&gt;=$D$1,AZ23&lt;0,BA23&gt;$D$2,AX23/AW23&gt;=3),"Very serious", AND(AY23&gt;$D$1*-1,AY23&lt;$D$1,AZ23&gt;$D$1*-1,BA23&lt;$D$1,AX23/AW23&lt;3),"Not Serious", AND(AY23&gt;$D$1*-1,AY23&lt;$D$1,OR(AZ23&lt;=$D$1*-1,BA23&gt;=$D$1),AZ23&gt;$D$2*-1,BA23&lt;$D$2,AX23/AW23&lt;3),"Serious", AND(AY23&gt;$D$1*-1,AY23&lt;$D$1,OR(AZ23&lt;=$D$2*-1,BA23&gt;=$D$2),AX23/AW23&lt;3),"Very serious", AND(AY23&gt;$D$1*-1,AY23&lt;$D$1,AZ23&gt;$D$1*-1,BA23&lt;$D$1,AX23/AW23&gt;=3),"Very serious", AND(AY23&gt;$D$1*-1,AY23&lt;$D$1,OR(AZ23&lt;=$D$1*-1,BA23&gt;=$D$1),AZ23&gt;$D$2*-1,BA23&lt;$D$2,AX23/AW23&gt;=3),"Very serious", AND(AY23&gt;$D$1*-1,AY23&lt;$D$1,OR(AZ23&lt;=$D$2*-1,BA23&gt;=$D$2),AX23/AW23&gt;=3),"Very serious"),""))</f>
        <v/>
      </c>
      <c r="BF23" s="107" t="str">
        <f t="shared" si="11"/>
        <v/>
      </c>
      <c r="BG23" s="94" t="str">
        <f t="shared" si="46"/>
        <v/>
      </c>
      <c r="BH23" s="64" t="str">
        <f t="shared" si="12"/>
        <v>#N/A</v>
      </c>
      <c r="BI23" s="64" t="str">
        <f t="shared" si="13"/>
        <v/>
      </c>
      <c r="BJ23" s="123" t="str">
        <f t="shared" si="14"/>
        <v>#N/A</v>
      </c>
      <c r="BK23" s="64" t="str">
        <f t="shared" si="15"/>
        <v>YES</v>
      </c>
      <c r="BL23" s="64" t="str">
        <f t="shared" si="16"/>
        <v>YES</v>
      </c>
      <c r="BM23" s="64" t="str">
        <f t="shared" si="17"/>
        <v>YES</v>
      </c>
      <c r="BN23" s="124" t="str">
        <f t="shared" si="18"/>
        <v/>
      </c>
      <c r="BO23" s="91" t="str">
        <f t="shared" si="19"/>
        <v/>
      </c>
      <c r="BP23" s="91" t="str">
        <f t="shared" si="20"/>
        <v>#N/A</v>
      </c>
      <c r="BQ23" s="91" t="str">
        <f t="shared" si="21"/>
        <v/>
      </c>
      <c r="BR23" s="93" t="str">
        <f t="shared" si="22"/>
        <v/>
      </c>
      <c r="BS23" s="90" t="str">
        <f t="shared" si="23"/>
        <v/>
      </c>
      <c r="BT23" s="93" t="str">
        <f t="shared" si="24"/>
        <v>NA</v>
      </c>
      <c r="BU23" s="125" t="str">
        <f t="shared" si="25"/>
        <v>#N/A</v>
      </c>
      <c r="BV23" s="93" t="str">
        <f t="shared" si="26"/>
        <v/>
      </c>
      <c r="BW23" s="93" t="str">
        <f t="shared" si="27"/>
        <v/>
      </c>
      <c r="BX23" s="93" t="str">
        <f t="shared" si="28"/>
        <v>NA</v>
      </c>
      <c r="BY23" s="95" t="str">
        <f t="shared" si="29"/>
        <v>#N/A</v>
      </c>
      <c r="BZ23" s="93" t="str">
        <f t="shared" si="30"/>
        <v/>
      </c>
      <c r="CA23" s="93" t="str">
        <f t="shared" si="31"/>
        <v/>
      </c>
      <c r="CB23" s="93" t="str">
        <f t="shared" si="32"/>
        <v>NA</v>
      </c>
      <c r="CC23" s="96" t="str">
        <f t="shared" si="33"/>
        <v>#N/A</v>
      </c>
      <c r="CD23" s="93" t="str">
        <f t="shared" si="34"/>
        <v/>
      </c>
      <c r="CE23" s="93" t="str">
        <f t="shared" si="35"/>
        <v/>
      </c>
      <c r="CF23" s="93" t="str">
        <f t="shared" si="36"/>
        <v>NA</v>
      </c>
      <c r="CG23" s="97" t="str">
        <f t="shared" si="37"/>
        <v>#N/A</v>
      </c>
      <c r="CH23" s="98" t="str">
        <f t="shared" si="38"/>
        <v>#N/A</v>
      </c>
      <c r="CI23" s="99" t="str">
        <f t="shared" si="39"/>
        <v>#N/A</v>
      </c>
      <c r="CJ23" s="126" t="str">
        <f t="shared" si="40"/>
        <v>ERROR: check cell</v>
      </c>
      <c r="CK23" s="126"/>
      <c r="CL23" s="127" t="str">
        <f t="shared" si="41"/>
        <v>#DIV/0!</v>
      </c>
      <c r="CM23" s="128" t="str">
        <f t="shared" si="42"/>
        <v>#DIV/0!</v>
      </c>
      <c r="CN23" s="128">
        <f t="shared" si="43"/>
        <v>4</v>
      </c>
      <c r="CO23" s="129">
        <f t="shared" si="44"/>
        <v>4</v>
      </c>
      <c r="CP23" s="129" t="str">
        <f>IFS(C23=Preferences!B$13,B23,B23=Preferences!B$13,C23)</f>
        <v>#N/A</v>
      </c>
    </row>
    <row r="24" ht="13.5" customHeight="1">
      <c r="A24" s="63" t="str">
        <f t="shared" si="45"/>
        <v/>
      </c>
      <c r="B24" s="64"/>
      <c r="C24" s="64"/>
      <c r="D24" s="64"/>
      <c r="E24" s="65"/>
      <c r="F24" s="65"/>
      <c r="G24" s="65"/>
      <c r="H24" s="65"/>
      <c r="I24" s="65"/>
      <c r="J24" s="141"/>
      <c r="K24" s="138"/>
      <c r="L24" s="133"/>
      <c r="M24" s="133"/>
      <c r="N24" s="133"/>
      <c r="O24" s="133"/>
      <c r="P24" s="107" t="str">
        <f t="shared" si="1"/>
        <v/>
      </c>
      <c r="Q24" s="108" t="str">
        <f>IFERROR(IF(AND(Preferences!B$3="Manual",OR(AX24/AW24&gt;G24/F24,BD24="Serious",BD24="Very serious")),"Assess imprecision",IFS(ISBLANK(E24),"",AND(Preferences!B$3="Automatic", G24/F24&gt;=30),"Extremely serious",AND(H24&lt;=$D$1*-1,J24&lt;0,G24/F24&lt;3),"Not serious",AND(H24&lt;=$D$1*-1,J24&lt;0,G24/F24&gt;=3),"Very serious",AND(H24&gt;=$D$1,I24&gt;0,G24/F24&lt;3),"Not serious",AND(H24&gt;=$D$1,I24&gt;0,G24/F24&gt;=3),"Very serious",AND(H24&lt;=$D$1*-1,J24&gt;0,I24&gt;$D$2*-1,G24/F24&lt;3),"Serious", AND(H24&lt;=$D$1*-1,J24&gt;0,I24&lt;$D$2*-1,G24/F24&lt;3),"Very serious", AND(H24&gt;=$D$1,I24&lt;0,J24&lt;$D$2,G24/F24&lt;3),"Serious",AND(H24&gt;=$D$1,I24&lt;0,J24&gt;$D$2,G24/F24&lt;3),"Very serious", AND(H24&lt;=$D$1*-1,J24&gt;0,I24&gt;$D$2*-1,G24/F24&gt;=3),"Very serious", AND(H24&lt;=$D$1*-1,J24&gt;0,I24&lt;$D$2*-1,G24/F24&gt;=3),"Very serious", AND(H24&gt;=$D$1,I24&lt;0,J24&lt;$D$2,G24/F24&gt;=3),"Very serious", AND(H24&gt;=$D$1,I24&lt;0,J24&gt;$D$2,G24/F24&gt;=3),"Very serious", AND(H24&gt;$D$1*-1,H24&lt;$D$1,I24&gt;$D$1*-1,J24&lt;$D$1,G24/F24&lt;3),"Not serious", AND(H24&gt;$D$1*-1,H24&lt;$D$1,OR(I24&lt;=$D$1*-1,J24&gt;=$D$1),I24&gt;$D$2*-1,J24&lt;$D$2,G24/F24&lt;3),"Serious", AND(H24&gt;$D$1*-1,H24&lt;$D$1,OR(I24&lt;=$D$2*-1,J24&gt;=$D$2),G24/F24&lt;3),"Very serious", AND(H24&gt;$D$1*-1,H24&lt;$D$1,I24&gt;$D$1*-1,J24&lt;$D$1,G24/F24&gt;=3),"Very serious", AND(H24&gt;$D$1*-1,H24&lt;$D$1,OR(I24&lt;=$D$1*-1,J24&gt;=$D$1),I24&gt;$D$2*-1,J24&lt;$D$2,G24/F24&gt;=3),"Very serious", AND(H24&gt;$D$1*-1,H24&lt;$D$1,OR(I24&lt;=$D$2*-1,J24&gt;=$D$2),G24/F24&gt;=3),"Very serious")),"")</f>
        <v/>
      </c>
      <c r="R24" s="109" t="str">
        <f t="shared" si="47"/>
        <v/>
      </c>
      <c r="S24" s="64"/>
      <c r="T24" s="139"/>
      <c r="U24" s="139"/>
      <c r="V24" s="139"/>
      <c r="W24" s="142"/>
      <c r="X24" s="142"/>
      <c r="Y24" s="143"/>
      <c r="Z24" s="113" t="str">
        <f t="array" ref="Z24">INDEX($A$1:$C$500, MATCH(1,($B:$B=$B24)*($C:$C=$AB24),0),1)</f>
        <v/>
      </c>
      <c r="AA24" s="113" t="str">
        <f t="array" ref="AA24">INDEX($A$1:$C$500, MATCH(1,($B:$B=$AB24)*($C:$C=$B24),0),1)</f>
        <v/>
      </c>
      <c r="AB24" s="111"/>
      <c r="AC24" s="114" t="str">
        <f t="shared" si="2"/>
        <v/>
      </c>
      <c r="AD24" s="115" t="str">
        <f t="shared" si="3"/>
        <v/>
      </c>
      <c r="AE24" s="116" t="str">
        <f t="array" ref="AE24">INDEX($A$1:$C$500, MATCH(1,($B:$B=$AB24)*($C:$C=$AG24),0),1)</f>
        <v/>
      </c>
      <c r="AF24" s="116" t="str">
        <f t="array" ref="AF24">INDEX($A$1:$C$500, MATCH(1,($B:$B=$AG24)*($C:$C=$AB24),0),1)</f>
        <v/>
      </c>
      <c r="AG24" s="72"/>
      <c r="AH24" s="114" t="str">
        <f t="shared" si="4"/>
        <v/>
      </c>
      <c r="AI24" s="115" t="str">
        <f t="shared" si="5"/>
        <v/>
      </c>
      <c r="AJ24" s="116" t="str">
        <f t="array" ref="AJ24">INDEX($A$1:$C$500, MATCH(1,($B:$B=$C24)*($C:$C=$AG24),0),1)</f>
        <v/>
      </c>
      <c r="AK24" s="116" t="str">
        <f t="array" ref="AK24">INDEX($A$1:$C$500, MATCH(1,($B:$B=$AG24)*($C:$C=$C24),0),1)</f>
        <v/>
      </c>
      <c r="AL24" s="116" t="str">
        <f t="array" ref="AL24">INDEX($A$1:$C$500, MATCH(1,($B:$B=$C24)*($C:$C=$AB24),0),1)</f>
        <v/>
      </c>
      <c r="AM24" s="116" t="str">
        <f t="array" ref="AM24">INDEX($A$1:$C$500, MATCH(1,($B:$B=$AB24)*($C:$C=$C24),0),1)</f>
        <v/>
      </c>
      <c r="AN24" s="114" t="str">
        <f t="array" ref="AN24">IFS(ISNUMBER(AJ24),AJ24,ISNUMBER(AK24),AK24,ISNUMBER(AL24),AL24,ISNUMBER(AM24),AM24)</f>
        <v>#N/A</v>
      </c>
      <c r="AO24" s="115" t="str">
        <f t="shared" si="6"/>
        <v/>
      </c>
      <c r="AP24" s="115" t="str">
        <f t="shared" si="7"/>
        <v/>
      </c>
      <c r="AQ24" s="72"/>
      <c r="AR24" s="109" t="str">
        <f t="shared" si="8"/>
        <v/>
      </c>
      <c r="AS24" s="72" t="str">
        <f>IFERROR(IF(AND(Preferences!B$3="Manual",OR(AX24/AW24&gt;V24/U24,BD24="Serious",BD24="Very serious")),"Assess imprecision",IFERROR(IFS(AND(Preferences!B$3="Automatic",V24/U24&gt;=30),"Extremely serious",AND(W24&lt;=$D$1*-1,Y24&lt;0,V24/U24&lt;3),"Not Serious",AND(W24&lt;=$D$1*-1,Y24&lt;0,V24/U24&gt;=3),"Very serious",AND(W24&gt;=$D$1,X24&gt;0,V24/U24&lt;3),"Not Serious",AND(W24&gt;=$D$1,X24&gt;0,V24/U24&gt;=3),"Very serious",AND(W24&lt;=$D$1*-1,Y24&gt;0,X24&gt;$D$2*-1,V24/U24&lt;3),"Serious", AND(W24&lt;=$D$1*-1,Y24&gt;0,X24&lt;$D$2*-1,V24/U24&lt;3),"Very serious", AND(W24&gt;=$D$1,X24&lt;0,Y24&lt;$D$2,V24/U24&lt;3),"Serious",AND(W24&gt;=$D$1,X24&lt;0,Y24&gt;$D$2,V24/U24&lt;3),"Very serious", AND(W24&lt;=$D$1*-1,Y24&gt;0,X24&gt;$D$2*-1,V24/U24&gt;=3),"Very serious", AND(W24&lt;=$D$1*-1,Y24&gt;0,X24&lt;$D$2*-1,V24/U24&gt;=3),"Very serious", AND(W24&gt;=$D$1,X24&lt;0,Y24&lt;$D$2,V24/U24&gt;=3),"Very serious", AND(W24&gt;=$D$1,X24&lt;0,Y24&gt;$D$2,V24/U24&gt;=3),"Very serious", AND(W24&gt;$D$1*-1,W24&lt;$D$1,X24&gt;$D$1*-1,Y24&lt;$D$1,V24/U24&lt;3),"Not Serious", AND(W24&gt;$D$1*-1,W24&lt;$D$1,OR(X24&lt;=$D$1*-1,Y24&gt;=$D$1),X24&gt;$D$2*-1,Y24&lt;$D$2,V24/U24&lt;3),"Serious", AND(W24&gt;$D$1*-1,W24&lt;$D$1,OR(X24&lt;=$D$2*-1,Y24&gt;=$D$2),V24/U24&lt;3),"Very serious", AND(W24&gt;$D$1*-1,W24&lt;$D$1,X24&gt;$D$1*-1,Y24&lt;$D$1,V24/U24&gt;=3),"Very serious", AND(W24&gt;$D$1*-1,W24&lt;$D$1,OR(X24&lt;=$D$1*-1,Y24&gt;=$D$1),X24&gt;$D$2*-1,Y24&lt;$D$2,V24/U24&gt;=3),"Very serious", AND(W24&gt;$D$1*-1,W24&lt;$D$1,OR(X24&lt;=$D$2*-1,Y24&gt;=$D$2),V24/U24&gt;=3),"Very serious"),"")),"")</f>
        <v/>
      </c>
      <c r="AT24" s="109" t="str">
        <f t="shared" si="9"/>
        <v/>
      </c>
      <c r="AU24" s="64"/>
      <c r="AV24" s="117"/>
      <c r="AW24" s="117"/>
      <c r="AX24" s="117"/>
      <c r="AY24" s="118"/>
      <c r="AZ24" s="118"/>
      <c r="BA24" s="119"/>
      <c r="BB24" s="86" t="str">
        <f>IF(Preferences!B$9="Manual","",IFS(ISBLANK(B24),"",AND(ISNUMBER(E24)=TRUE,ISNUMBER(T24)=FALSE),"Direct", AND(ISNUMBER(E24)=FALSE,ISNUMBER(T24)=TRUE),"Indirect", CN24=4,"Direct",AND(CL24=FALSE, CM24=TRUE,CN24-CO24&gt;-1),"Direct", AND(CL24=FALSE,CM24=TRUE, CN24-CO24&lt;0),"Check algorithm in appendix 2", AND(CL24=TRUE, CM24=FALSE,CN24-CO24&gt;0),"Check algorithm in appendix 2", AND(CL24=TRUE, CM24=FALSE,CN24-CO24=0),"Indirect", AND(CL24=TRUE, CM24=FALSE,CN24-CO24&lt;0),"Indirect", AND(CL24=FALSE,CM24=FALSE,CN24-CO24&gt;-1),"Direct", AND(CL24=FALSE,CM24=FALSE,CN24-CO24&lt;0),"Check algorithm in appendix 2", AND(CL24=TRUE,CM24=TRUE,CN24-CO24&gt;-1),"Direct", AND(CL24=TRUE,CM24=TRUE,CN24-CO24&lt;0),"Check algorithm in appendix 2"))</f>
        <v/>
      </c>
      <c r="BC24" s="120" t="str">
        <f t="shared" si="10"/>
        <v/>
      </c>
      <c r="BD24" s="140"/>
      <c r="BE24" s="122" t="str">
        <f>IF(Preferences!B$3="Manual","", IFERROR(IFS(AND(Preferences!B$3="Automatic",AX24/AW24&gt;=30),"Extremely serious",AND(AY24&lt;=$D$1*-1,BA24&lt;0,AX24/AW24&lt;3),"Not Serious",AND(AY24&lt;=$D$1*-1,BA24&lt;0,AX24/AW24&gt;=3),"Very serious",AND(AY24&gt;=$D$1,AZ24&gt;0,AX24/AW24&lt;3),"Not Serious",AND(AY24&gt;=$D$1,AZ24&gt;0,AX24/AW24&gt;=3),"Very serious",AND(AY24&lt;=$D$1*-1,BA24&gt;0,AZ24&gt;$D$2*-1,AX24/AW24&lt;3),"Serious", AND(AY24&lt;=$D$1*-1,BA24&gt;0,AZ24&lt;$D$2*-1,AX24/AW24&lt;3),"Very serious", AND(AY24&gt;=$D$1,AZ24&lt;0,BA24&lt;$D$2,AX24/AW24&lt;3),"Serious",AND(AY24&gt;=$D$1,AZ24&lt;0,BA24&gt;$D$2,AX24/AW24&lt;3),"Very serious", AND(AY24&lt;=$D$1*-1,BA24&gt;0,AZ24&gt;$D$2*-1,AX24/AW24&gt;=3),"Very serious", AND(AY24&lt;=$D$1*-1,BA24&gt;0,AZ24&lt;$D$2*-1,AX24/AW24&gt;=3),"Very serious", AND(AY24&gt;=$D$1,AZ24&lt;0,BA24&lt;$D$2,AX24/AW24&gt;=3),"Very serious", AND(AY24&gt;=$D$1,AZ24&lt;0,BA24&gt;$D$2,AX24/AW24&gt;=3),"Very serious", AND(AY24&gt;$D$1*-1,AY24&lt;$D$1,AZ24&gt;$D$1*-1,BA24&lt;$D$1,AX24/AW24&lt;3),"Not Serious", AND(AY24&gt;$D$1*-1,AY24&lt;$D$1,OR(AZ24&lt;=$D$1*-1,BA24&gt;=$D$1),AZ24&gt;$D$2*-1,BA24&lt;$D$2,AX24/AW24&lt;3),"Serious", AND(AY24&gt;$D$1*-1,AY24&lt;$D$1,OR(AZ24&lt;=$D$2*-1,BA24&gt;=$D$2),AX24/AW24&lt;3),"Very serious", AND(AY24&gt;$D$1*-1,AY24&lt;$D$1,AZ24&gt;$D$1*-1,BA24&lt;$D$1,AX24/AW24&gt;=3),"Very serious", AND(AY24&gt;$D$1*-1,AY24&lt;$D$1,OR(AZ24&lt;=$D$1*-1,BA24&gt;=$D$1),AZ24&gt;$D$2*-1,BA24&lt;$D$2,AX24/AW24&gt;=3),"Very serious", AND(AY24&gt;$D$1*-1,AY24&lt;$D$1,OR(AZ24&lt;=$D$2*-1,BA24&gt;=$D$2),AX24/AW24&gt;=3),"Very serious"),""))</f>
        <v/>
      </c>
      <c r="BF24" s="107" t="str">
        <f t="shared" si="11"/>
        <v/>
      </c>
      <c r="BG24" s="94" t="str">
        <f t="shared" si="46"/>
        <v/>
      </c>
      <c r="BH24" s="64" t="str">
        <f t="shared" si="12"/>
        <v>#N/A</v>
      </c>
      <c r="BI24" s="64" t="str">
        <f t="shared" si="13"/>
        <v/>
      </c>
      <c r="BJ24" s="123" t="str">
        <f t="shared" si="14"/>
        <v>#N/A</v>
      </c>
      <c r="BK24" s="64" t="str">
        <f t="shared" si="15"/>
        <v>YES</v>
      </c>
      <c r="BL24" s="64" t="str">
        <f t="shared" si="16"/>
        <v>YES</v>
      </c>
      <c r="BM24" s="64" t="str">
        <f t="shared" si="17"/>
        <v>YES</v>
      </c>
      <c r="BN24" s="124" t="str">
        <f t="shared" si="18"/>
        <v/>
      </c>
      <c r="BO24" s="91" t="str">
        <f t="shared" si="19"/>
        <v/>
      </c>
      <c r="BP24" s="91" t="str">
        <f t="shared" si="20"/>
        <v>#N/A</v>
      </c>
      <c r="BQ24" s="91" t="str">
        <f t="shared" si="21"/>
        <v/>
      </c>
      <c r="BR24" s="93" t="str">
        <f t="shared" si="22"/>
        <v/>
      </c>
      <c r="BS24" s="90" t="str">
        <f t="shared" si="23"/>
        <v/>
      </c>
      <c r="BT24" s="93" t="str">
        <f t="shared" si="24"/>
        <v>NA</v>
      </c>
      <c r="BU24" s="125" t="str">
        <f t="shared" si="25"/>
        <v>#N/A</v>
      </c>
      <c r="BV24" s="93" t="str">
        <f t="shared" si="26"/>
        <v/>
      </c>
      <c r="BW24" s="93" t="str">
        <f t="shared" si="27"/>
        <v/>
      </c>
      <c r="BX24" s="93" t="str">
        <f t="shared" si="28"/>
        <v>NA</v>
      </c>
      <c r="BY24" s="95" t="str">
        <f t="shared" si="29"/>
        <v>#N/A</v>
      </c>
      <c r="BZ24" s="93" t="str">
        <f t="shared" si="30"/>
        <v/>
      </c>
      <c r="CA24" s="93" t="str">
        <f t="shared" si="31"/>
        <v/>
      </c>
      <c r="CB24" s="93" t="str">
        <f t="shared" si="32"/>
        <v>NA</v>
      </c>
      <c r="CC24" s="96" t="str">
        <f t="shared" si="33"/>
        <v>#N/A</v>
      </c>
      <c r="CD24" s="93" t="str">
        <f t="shared" si="34"/>
        <v/>
      </c>
      <c r="CE24" s="93" t="str">
        <f t="shared" si="35"/>
        <v/>
      </c>
      <c r="CF24" s="93" t="str">
        <f t="shared" si="36"/>
        <v>NA</v>
      </c>
      <c r="CG24" s="97" t="str">
        <f t="shared" si="37"/>
        <v>#N/A</v>
      </c>
      <c r="CH24" s="98" t="str">
        <f t="shared" si="38"/>
        <v>#N/A</v>
      </c>
      <c r="CI24" s="99" t="str">
        <f t="shared" si="39"/>
        <v>#N/A</v>
      </c>
      <c r="CJ24" s="126" t="str">
        <f t="shared" si="40"/>
        <v>ERROR: check cell</v>
      </c>
      <c r="CK24" s="126"/>
      <c r="CL24" s="127" t="str">
        <f t="shared" si="41"/>
        <v>#DIV/0!</v>
      </c>
      <c r="CM24" s="128" t="str">
        <f t="shared" si="42"/>
        <v>#DIV/0!</v>
      </c>
      <c r="CN24" s="128">
        <f t="shared" si="43"/>
        <v>4</v>
      </c>
      <c r="CO24" s="129">
        <f t="shared" si="44"/>
        <v>4</v>
      </c>
      <c r="CP24" s="129" t="str">
        <f>IFS(C24=Preferences!B$13,B24,B24=Preferences!B$13,C24)</f>
        <v>#N/A</v>
      </c>
    </row>
    <row r="25" ht="13.5" customHeight="1">
      <c r="A25" s="63" t="str">
        <f t="shared" si="45"/>
        <v/>
      </c>
      <c r="B25" s="64"/>
      <c r="C25" s="64"/>
      <c r="D25" s="64"/>
      <c r="E25" s="65"/>
      <c r="F25" s="65"/>
      <c r="G25" s="65"/>
      <c r="H25" s="65"/>
      <c r="I25" s="65"/>
      <c r="J25" s="141"/>
      <c r="K25" s="138"/>
      <c r="L25" s="104"/>
      <c r="M25" s="104"/>
      <c r="N25" s="104"/>
      <c r="O25" s="104"/>
      <c r="P25" s="107" t="str">
        <f t="shared" si="1"/>
        <v/>
      </c>
      <c r="Q25" s="108" t="str">
        <f>IFERROR(IF(AND(Preferences!B$3="Manual",OR(AX25/AW25&gt;G25/F25,BD25="Serious",BD25="Very serious")),"Assess imprecision",IFS(ISBLANK(E25),"",AND(Preferences!B$3="Automatic", G25/F25&gt;=30),"Extremely serious",AND(H25&lt;=$D$1*-1,J25&lt;0,G25/F25&lt;3),"Not serious",AND(H25&lt;=$D$1*-1,J25&lt;0,G25/F25&gt;=3),"Very serious",AND(H25&gt;=$D$1,I25&gt;0,G25/F25&lt;3),"Not serious",AND(H25&gt;=$D$1,I25&gt;0,G25/F25&gt;=3),"Very serious",AND(H25&lt;=$D$1*-1,J25&gt;0,I25&gt;$D$2*-1,G25/F25&lt;3),"Serious", AND(H25&lt;=$D$1*-1,J25&gt;0,I25&lt;$D$2*-1,G25/F25&lt;3),"Very serious", AND(H25&gt;=$D$1,I25&lt;0,J25&lt;$D$2,G25/F25&lt;3),"Serious",AND(H25&gt;=$D$1,I25&lt;0,J25&gt;$D$2,G25/F25&lt;3),"Very serious", AND(H25&lt;=$D$1*-1,J25&gt;0,I25&gt;$D$2*-1,G25/F25&gt;=3),"Very serious", AND(H25&lt;=$D$1*-1,J25&gt;0,I25&lt;$D$2*-1,G25/F25&gt;=3),"Very serious", AND(H25&gt;=$D$1,I25&lt;0,J25&lt;$D$2,G25/F25&gt;=3),"Very serious", AND(H25&gt;=$D$1,I25&lt;0,J25&gt;$D$2,G25/F25&gt;=3),"Very serious", AND(H25&gt;$D$1*-1,H25&lt;$D$1,I25&gt;$D$1*-1,J25&lt;$D$1,G25/F25&lt;3),"Not serious", AND(H25&gt;$D$1*-1,H25&lt;$D$1,OR(I25&lt;=$D$1*-1,J25&gt;=$D$1),I25&gt;$D$2*-1,J25&lt;$D$2,G25/F25&lt;3),"Serious", AND(H25&gt;$D$1*-1,H25&lt;$D$1,OR(I25&lt;=$D$2*-1,J25&gt;=$D$2),G25/F25&lt;3),"Very serious", AND(H25&gt;$D$1*-1,H25&lt;$D$1,I25&gt;$D$1*-1,J25&lt;$D$1,G25/F25&gt;=3),"Very serious", AND(H25&gt;$D$1*-1,H25&lt;$D$1,OR(I25&lt;=$D$1*-1,J25&gt;=$D$1),I25&gt;$D$2*-1,J25&lt;$D$2,G25/F25&gt;=3),"Very serious", AND(H25&gt;$D$1*-1,H25&lt;$D$1,OR(I25&lt;=$D$2*-1,J25&gt;=$D$2),G25/F25&gt;=3),"Very serious")),"")</f>
        <v/>
      </c>
      <c r="R25" s="109" t="str">
        <f t="shared" si="47"/>
        <v/>
      </c>
      <c r="S25" s="64"/>
      <c r="T25" s="139"/>
      <c r="U25" s="139"/>
      <c r="V25" s="139"/>
      <c r="W25" s="142"/>
      <c r="X25" s="142"/>
      <c r="Y25" s="143"/>
      <c r="Z25" s="113" t="str">
        <f t="array" ref="Z25">INDEX($A$1:$C$500, MATCH(1,($B:$B=$B25)*($C:$C=$AB25),0),1)</f>
        <v/>
      </c>
      <c r="AA25" s="113" t="str">
        <f t="array" ref="AA25">INDEX($A$1:$C$500, MATCH(1,($B:$B=$AB25)*($C:$C=$B25),0),1)</f>
        <v/>
      </c>
      <c r="AB25" s="111"/>
      <c r="AC25" s="114" t="str">
        <f t="shared" si="2"/>
        <v/>
      </c>
      <c r="AD25" s="115" t="str">
        <f t="shared" si="3"/>
        <v/>
      </c>
      <c r="AE25" s="116" t="str">
        <f t="array" ref="AE25">INDEX($A$1:$C$500, MATCH(1,($B:$B=$AB25)*($C:$C=$AG25),0),1)</f>
        <v/>
      </c>
      <c r="AF25" s="116" t="str">
        <f t="array" ref="AF25">INDEX($A$1:$C$500, MATCH(1,($B:$B=$AG25)*($C:$C=$AB25),0),1)</f>
        <v/>
      </c>
      <c r="AG25" s="72"/>
      <c r="AH25" s="114" t="str">
        <f t="shared" si="4"/>
        <v/>
      </c>
      <c r="AI25" s="115" t="str">
        <f t="shared" si="5"/>
        <v/>
      </c>
      <c r="AJ25" s="116" t="str">
        <f t="array" ref="AJ25">INDEX($A$1:$C$500, MATCH(1,($B:$B=$C25)*($C:$C=$AG25),0),1)</f>
        <v/>
      </c>
      <c r="AK25" s="116" t="str">
        <f t="array" ref="AK25">INDEX($A$1:$C$500, MATCH(1,($B:$B=$AG25)*($C:$C=$C25),0),1)</f>
        <v/>
      </c>
      <c r="AL25" s="116" t="str">
        <f t="array" ref="AL25">INDEX($A$1:$C$500, MATCH(1,($B:$B=$C25)*($C:$C=$AB25),0),1)</f>
        <v/>
      </c>
      <c r="AM25" s="116" t="str">
        <f t="array" ref="AM25">INDEX($A$1:$C$500, MATCH(1,($B:$B=$AB25)*($C:$C=$C25),0),1)</f>
        <v/>
      </c>
      <c r="AN25" s="114" t="str">
        <f t="array" ref="AN25">IFS(ISNUMBER(AJ25),AJ25,ISNUMBER(AK25),AK25,ISNUMBER(AL25),AL25,ISNUMBER(AM25),AM25)</f>
        <v>#N/A</v>
      </c>
      <c r="AO25" s="115" t="str">
        <f t="shared" si="6"/>
        <v/>
      </c>
      <c r="AP25" s="115" t="str">
        <f t="shared" si="7"/>
        <v/>
      </c>
      <c r="AQ25" s="72"/>
      <c r="AR25" s="109" t="str">
        <f t="shared" si="8"/>
        <v/>
      </c>
      <c r="AS25" s="72" t="str">
        <f>IFERROR(IF(AND(Preferences!B$3="Manual",OR(AX25/AW25&gt;V25/U25,BD25="Serious",BD25="Very serious")),"Assess imprecision",IFERROR(IFS(AND(Preferences!B$3="Automatic",V25/U25&gt;=30),"Extremely serious",AND(W25&lt;=$D$1*-1,Y25&lt;0,V25/U25&lt;3),"Not Serious",AND(W25&lt;=$D$1*-1,Y25&lt;0,V25/U25&gt;=3),"Very serious",AND(W25&gt;=$D$1,X25&gt;0,V25/U25&lt;3),"Not Serious",AND(W25&gt;=$D$1,X25&gt;0,V25/U25&gt;=3),"Very serious",AND(W25&lt;=$D$1*-1,Y25&gt;0,X25&gt;$D$2*-1,V25/U25&lt;3),"Serious", AND(W25&lt;=$D$1*-1,Y25&gt;0,X25&lt;$D$2*-1,V25/U25&lt;3),"Very serious", AND(W25&gt;=$D$1,X25&lt;0,Y25&lt;$D$2,V25/U25&lt;3),"Serious",AND(W25&gt;=$D$1,X25&lt;0,Y25&gt;$D$2,V25/U25&lt;3),"Very serious", AND(W25&lt;=$D$1*-1,Y25&gt;0,X25&gt;$D$2*-1,V25/U25&gt;=3),"Very serious", AND(W25&lt;=$D$1*-1,Y25&gt;0,X25&lt;$D$2*-1,V25/U25&gt;=3),"Very serious", AND(W25&gt;=$D$1,X25&lt;0,Y25&lt;$D$2,V25/U25&gt;=3),"Very serious", AND(W25&gt;=$D$1,X25&lt;0,Y25&gt;$D$2,V25/U25&gt;=3),"Very serious", AND(W25&gt;$D$1*-1,W25&lt;$D$1,X25&gt;$D$1*-1,Y25&lt;$D$1,V25/U25&lt;3),"Not Serious", AND(W25&gt;$D$1*-1,W25&lt;$D$1,OR(X25&lt;=$D$1*-1,Y25&gt;=$D$1),X25&gt;$D$2*-1,Y25&lt;$D$2,V25/U25&lt;3),"Serious", AND(W25&gt;$D$1*-1,W25&lt;$D$1,OR(X25&lt;=$D$2*-1,Y25&gt;=$D$2),V25/U25&lt;3),"Very serious", AND(W25&gt;$D$1*-1,W25&lt;$D$1,X25&gt;$D$1*-1,Y25&lt;$D$1,V25/U25&gt;=3),"Very serious", AND(W25&gt;$D$1*-1,W25&lt;$D$1,OR(X25&lt;=$D$1*-1,Y25&gt;=$D$1),X25&gt;$D$2*-1,Y25&lt;$D$2,V25/U25&gt;=3),"Very serious", AND(W25&gt;$D$1*-1,W25&lt;$D$1,OR(X25&lt;=$D$2*-1,Y25&gt;=$D$2),V25/U25&gt;=3),"Very serious"),"")),"")</f>
        <v/>
      </c>
      <c r="AT25" s="109" t="str">
        <f t="shared" si="9"/>
        <v/>
      </c>
      <c r="AU25" s="64"/>
      <c r="AV25" s="117"/>
      <c r="AW25" s="117"/>
      <c r="AX25" s="117"/>
      <c r="AY25" s="118"/>
      <c r="AZ25" s="118"/>
      <c r="BA25" s="119"/>
      <c r="BB25" s="86" t="str">
        <f>IF(Preferences!B$9="Manual","",IFS(ISBLANK(B25),"",AND(ISNUMBER(E25)=TRUE,ISNUMBER(T25)=FALSE),"Direct", AND(ISNUMBER(E25)=FALSE,ISNUMBER(T25)=TRUE),"Indirect", CN25=4,"Direct",AND(CL25=FALSE, CM25=TRUE,CN25-CO25&gt;-1),"Direct", AND(CL25=FALSE,CM25=TRUE, CN25-CO25&lt;0),"Check algorithm in appendix 2", AND(CL25=TRUE, CM25=FALSE,CN25-CO25&gt;0),"Check algorithm in appendix 2", AND(CL25=TRUE, CM25=FALSE,CN25-CO25=0),"Indirect", AND(CL25=TRUE, CM25=FALSE,CN25-CO25&lt;0),"Indirect", AND(CL25=FALSE,CM25=FALSE,CN25-CO25&gt;-1),"Direct", AND(CL25=FALSE,CM25=FALSE,CN25-CO25&lt;0),"Check algorithm in appendix 2", AND(CL25=TRUE,CM25=TRUE,CN25-CO25&gt;-1),"Direct", AND(CL25=TRUE,CM25=TRUE,CN25-CO25&lt;0),"Check algorithm in appendix 2"))</f>
        <v/>
      </c>
      <c r="BC25" s="120" t="str">
        <f t="shared" si="10"/>
        <v/>
      </c>
      <c r="BD25" s="140"/>
      <c r="BE25" s="122" t="str">
        <f>IF(Preferences!B$3="Manual","", IFERROR(IFS(AND(Preferences!B$3="Automatic",AX25/AW25&gt;=30),"Extremely serious",AND(AY25&lt;=$D$1*-1,BA25&lt;0,AX25/AW25&lt;3),"Not Serious",AND(AY25&lt;=$D$1*-1,BA25&lt;0,AX25/AW25&gt;=3),"Very serious",AND(AY25&gt;=$D$1,AZ25&gt;0,AX25/AW25&lt;3),"Not Serious",AND(AY25&gt;=$D$1,AZ25&gt;0,AX25/AW25&gt;=3),"Very serious",AND(AY25&lt;=$D$1*-1,BA25&gt;0,AZ25&gt;$D$2*-1,AX25/AW25&lt;3),"Serious", AND(AY25&lt;=$D$1*-1,BA25&gt;0,AZ25&lt;$D$2*-1,AX25/AW25&lt;3),"Very serious", AND(AY25&gt;=$D$1,AZ25&lt;0,BA25&lt;$D$2,AX25/AW25&lt;3),"Serious",AND(AY25&gt;=$D$1,AZ25&lt;0,BA25&gt;$D$2,AX25/AW25&lt;3),"Very serious", AND(AY25&lt;=$D$1*-1,BA25&gt;0,AZ25&gt;$D$2*-1,AX25/AW25&gt;=3),"Very serious", AND(AY25&lt;=$D$1*-1,BA25&gt;0,AZ25&lt;$D$2*-1,AX25/AW25&gt;=3),"Very serious", AND(AY25&gt;=$D$1,AZ25&lt;0,BA25&lt;$D$2,AX25/AW25&gt;=3),"Very serious", AND(AY25&gt;=$D$1,AZ25&lt;0,BA25&gt;$D$2,AX25/AW25&gt;=3),"Very serious", AND(AY25&gt;$D$1*-1,AY25&lt;$D$1,AZ25&gt;$D$1*-1,BA25&lt;$D$1,AX25/AW25&lt;3),"Not Serious", AND(AY25&gt;$D$1*-1,AY25&lt;$D$1,OR(AZ25&lt;=$D$1*-1,BA25&gt;=$D$1),AZ25&gt;$D$2*-1,BA25&lt;$D$2,AX25/AW25&lt;3),"Serious", AND(AY25&gt;$D$1*-1,AY25&lt;$D$1,OR(AZ25&lt;=$D$2*-1,BA25&gt;=$D$2),AX25/AW25&lt;3),"Very serious", AND(AY25&gt;$D$1*-1,AY25&lt;$D$1,AZ25&gt;$D$1*-1,BA25&lt;$D$1,AX25/AW25&gt;=3),"Very serious", AND(AY25&gt;$D$1*-1,AY25&lt;$D$1,OR(AZ25&lt;=$D$1*-1,BA25&gt;=$D$1),AZ25&gt;$D$2*-1,BA25&lt;$D$2,AX25/AW25&gt;=3),"Very serious", AND(AY25&gt;$D$1*-1,AY25&lt;$D$1,OR(AZ25&lt;=$D$2*-1,BA25&gt;=$D$2),AX25/AW25&gt;=3),"Very serious"),""))</f>
        <v/>
      </c>
      <c r="BF25" s="107" t="str">
        <f t="shared" si="11"/>
        <v/>
      </c>
      <c r="BG25" s="94" t="str">
        <f t="shared" si="46"/>
        <v/>
      </c>
      <c r="BH25" s="64" t="str">
        <f t="shared" si="12"/>
        <v>#N/A</v>
      </c>
      <c r="BI25" s="64" t="str">
        <f t="shared" si="13"/>
        <v/>
      </c>
      <c r="BJ25" s="123" t="str">
        <f t="shared" si="14"/>
        <v>#N/A</v>
      </c>
      <c r="BK25" s="64" t="str">
        <f t="shared" si="15"/>
        <v>YES</v>
      </c>
      <c r="BL25" s="64" t="str">
        <f t="shared" si="16"/>
        <v>YES</v>
      </c>
      <c r="BM25" s="64" t="str">
        <f t="shared" si="17"/>
        <v>YES</v>
      </c>
      <c r="BN25" s="124" t="str">
        <f t="shared" si="18"/>
        <v/>
      </c>
      <c r="BO25" s="91" t="str">
        <f t="shared" si="19"/>
        <v/>
      </c>
      <c r="BP25" s="91" t="str">
        <f t="shared" si="20"/>
        <v>#N/A</v>
      </c>
      <c r="BQ25" s="91" t="str">
        <f t="shared" si="21"/>
        <v/>
      </c>
      <c r="BR25" s="93" t="str">
        <f t="shared" si="22"/>
        <v/>
      </c>
      <c r="BS25" s="90" t="str">
        <f t="shared" si="23"/>
        <v/>
      </c>
      <c r="BT25" s="93" t="str">
        <f t="shared" si="24"/>
        <v>NA</v>
      </c>
      <c r="BU25" s="125" t="str">
        <f t="shared" si="25"/>
        <v>#N/A</v>
      </c>
      <c r="BV25" s="93" t="str">
        <f t="shared" si="26"/>
        <v/>
      </c>
      <c r="BW25" s="93" t="str">
        <f t="shared" si="27"/>
        <v/>
      </c>
      <c r="BX25" s="93" t="str">
        <f t="shared" si="28"/>
        <v>NA</v>
      </c>
      <c r="BY25" s="95" t="str">
        <f t="shared" si="29"/>
        <v>#N/A</v>
      </c>
      <c r="BZ25" s="93" t="str">
        <f t="shared" si="30"/>
        <v/>
      </c>
      <c r="CA25" s="93" t="str">
        <f t="shared" si="31"/>
        <v/>
      </c>
      <c r="CB25" s="93" t="str">
        <f t="shared" si="32"/>
        <v>NA</v>
      </c>
      <c r="CC25" s="96" t="str">
        <f t="shared" si="33"/>
        <v>#N/A</v>
      </c>
      <c r="CD25" s="93" t="str">
        <f t="shared" si="34"/>
        <v/>
      </c>
      <c r="CE25" s="93" t="str">
        <f t="shared" si="35"/>
        <v/>
      </c>
      <c r="CF25" s="93" t="str">
        <f t="shared" si="36"/>
        <v>NA</v>
      </c>
      <c r="CG25" s="97" t="str">
        <f t="shared" si="37"/>
        <v>#N/A</v>
      </c>
      <c r="CH25" s="98" t="str">
        <f t="shared" si="38"/>
        <v>#N/A</v>
      </c>
      <c r="CI25" s="99" t="str">
        <f t="shared" si="39"/>
        <v>#N/A</v>
      </c>
      <c r="CJ25" s="126" t="str">
        <f t="shared" si="40"/>
        <v>ERROR: check cell</v>
      </c>
      <c r="CK25" s="126" t="str">
        <f>if(AND(T25&lt;1=TRUE,E25&lt;1=TRUE)=TRUE,if(OR(AND(V25&gt;G25=TRUE,G25&gt;U25=TRUE),AND(G25&gt;V25=TRUE,V25&gt;F25=TRUE)=TRUE)=TRUE,"No serious incoherence","Quantitative incoherence (same direction of effect)"),if(AND(T25&gt;1=TRUE,E25&gt;1=TRUE)=TRUE,if(OR(AND(V25&gt;G25=TRUE,G25&gt;U25=TRUE),AND(G25&gt;V25=TRUE,V25&gt;F25=TRUE)=TRUE)=TRUE,"No serious incoherence","Quantitative incoherence (same direction of effect)"),if(OR(AND(T25&lt;1=TRUE,E25&gt;1=TRUE)=TRUE,AND(T25&gt;1=TRUE,E25&lt;1=TRUE)=TRUE)=TRUE,if(OR(AND(V25&gt;G25=TRUE,G25&gt;U25=TRUE),AND(G25&gt;V25=TRUE,V25&gt;F25=TRUE)=TRUE)=TRUE,"No serious incoherence","Qualitative incoherence (different direction of effect)"))))</f>
        <v>Quantitative incoherence (same direction of effect)</v>
      </c>
      <c r="CL25" s="127" t="str">
        <f t="shared" si="41"/>
        <v>#DIV/0!</v>
      </c>
      <c r="CM25" s="128" t="str">
        <f t="shared" si="42"/>
        <v>#DIV/0!</v>
      </c>
      <c r="CN25" s="128">
        <f t="shared" si="43"/>
        <v>4</v>
      </c>
      <c r="CO25" s="129">
        <f t="shared" si="44"/>
        <v>4</v>
      </c>
      <c r="CP25" s="129" t="str">
        <f>IFS(C25=Preferences!B$13,B25,B25=Preferences!B$13,C25)</f>
        <v>#N/A</v>
      </c>
    </row>
    <row r="26" ht="13.5" customHeight="1">
      <c r="A26" s="63" t="str">
        <f t="shared" si="45"/>
        <v/>
      </c>
      <c r="B26" s="64"/>
      <c r="C26" s="64"/>
      <c r="D26" s="64"/>
      <c r="E26" s="65"/>
      <c r="F26" s="65"/>
      <c r="G26" s="65"/>
      <c r="H26" s="65"/>
      <c r="I26" s="65"/>
      <c r="J26" s="141"/>
      <c r="K26" s="138"/>
      <c r="L26" s="133"/>
      <c r="M26" s="133"/>
      <c r="N26" s="133"/>
      <c r="O26" s="133"/>
      <c r="P26" s="107" t="str">
        <f t="shared" si="1"/>
        <v/>
      </c>
      <c r="Q26" s="108" t="str">
        <f>IFERROR(IF(AND(Preferences!B$3="Manual",OR(AX26/AW26&gt;G26/F26,BD26="Serious",BD26="Very serious")),"Assess imprecision",IFS(ISBLANK(E26),"",AND(Preferences!B$3="Automatic", G26/F26&gt;=30),"Extremely serious",AND(H26&lt;=$D$1*-1,J26&lt;0,G26/F26&lt;3),"Not serious",AND(H26&lt;=$D$1*-1,J26&lt;0,G26/F26&gt;=3),"Very serious",AND(H26&gt;=$D$1,I26&gt;0,G26/F26&lt;3),"Not serious",AND(H26&gt;=$D$1,I26&gt;0,G26/F26&gt;=3),"Very serious",AND(H26&lt;=$D$1*-1,J26&gt;0,I26&gt;$D$2*-1,G26/F26&lt;3),"Serious", AND(H26&lt;=$D$1*-1,J26&gt;0,I26&lt;$D$2*-1,G26/F26&lt;3),"Very serious", AND(H26&gt;=$D$1,I26&lt;0,J26&lt;$D$2,G26/F26&lt;3),"Serious",AND(H26&gt;=$D$1,I26&lt;0,J26&gt;$D$2,G26/F26&lt;3),"Very serious", AND(H26&lt;=$D$1*-1,J26&gt;0,I26&gt;$D$2*-1,G26/F26&gt;=3),"Very serious", AND(H26&lt;=$D$1*-1,J26&gt;0,I26&lt;$D$2*-1,G26/F26&gt;=3),"Very serious", AND(H26&gt;=$D$1,I26&lt;0,J26&lt;$D$2,G26/F26&gt;=3),"Very serious", AND(H26&gt;=$D$1,I26&lt;0,J26&gt;$D$2,G26/F26&gt;=3),"Very serious", AND(H26&gt;$D$1*-1,H26&lt;$D$1,I26&gt;$D$1*-1,J26&lt;$D$1,G26/F26&lt;3),"Not serious", AND(H26&gt;$D$1*-1,H26&lt;$D$1,OR(I26&lt;=$D$1*-1,J26&gt;=$D$1),I26&gt;$D$2*-1,J26&lt;$D$2,G26/F26&lt;3),"Serious", AND(H26&gt;$D$1*-1,H26&lt;$D$1,OR(I26&lt;=$D$2*-1,J26&gt;=$D$2),G26/F26&lt;3),"Very serious", AND(H26&gt;$D$1*-1,H26&lt;$D$1,I26&gt;$D$1*-1,J26&lt;$D$1,G26/F26&gt;=3),"Very serious", AND(H26&gt;$D$1*-1,H26&lt;$D$1,OR(I26&lt;=$D$1*-1,J26&gt;=$D$1),I26&gt;$D$2*-1,J26&lt;$D$2,G26/F26&gt;=3),"Very serious", AND(H26&gt;$D$1*-1,H26&lt;$D$1,OR(I26&lt;=$D$2*-1,J26&gt;=$D$2),G26/F26&gt;=3),"Very serious")),"")</f>
        <v/>
      </c>
      <c r="R26" s="109" t="str">
        <f t="shared" si="47"/>
        <v/>
      </c>
      <c r="S26" s="64"/>
      <c r="T26" s="139"/>
      <c r="U26" s="139"/>
      <c r="V26" s="139"/>
      <c r="W26" s="142"/>
      <c r="X26" s="142"/>
      <c r="Y26" s="143"/>
      <c r="Z26" s="113" t="str">
        <f t="array" ref="Z26">INDEX($A$1:$C$500, MATCH(1,($B:$B=$B26)*($C:$C=$AB26),0),1)</f>
        <v/>
      </c>
      <c r="AA26" s="113" t="str">
        <f t="array" ref="AA26">INDEX($A$1:$C$500, MATCH(1,($B:$B=$AB26)*($C:$C=$B26),0),1)</f>
        <v/>
      </c>
      <c r="AB26" s="111"/>
      <c r="AC26" s="114" t="str">
        <f t="shared" si="2"/>
        <v/>
      </c>
      <c r="AD26" s="115" t="str">
        <f t="shared" si="3"/>
        <v/>
      </c>
      <c r="AE26" s="116" t="str">
        <f t="array" ref="AE26">INDEX($A$1:$C$500, MATCH(1,($B:$B=$AB26)*($C:$C=$AG26),0),1)</f>
        <v/>
      </c>
      <c r="AF26" s="116" t="str">
        <f t="array" ref="AF26">INDEX($A$1:$C$500, MATCH(1,($B:$B=$AG26)*($C:$C=$AB26),0),1)</f>
        <v/>
      </c>
      <c r="AG26" s="72"/>
      <c r="AH26" s="114" t="str">
        <f t="shared" si="4"/>
        <v/>
      </c>
      <c r="AI26" s="115" t="str">
        <f t="shared" si="5"/>
        <v/>
      </c>
      <c r="AJ26" s="116" t="str">
        <f t="array" ref="AJ26">INDEX($A$1:$C$500, MATCH(1,($B:$B=$C26)*($C:$C=$AG26),0),1)</f>
        <v/>
      </c>
      <c r="AK26" s="116" t="str">
        <f t="array" ref="AK26">INDEX($A$1:$C$500, MATCH(1,($B:$B=$AG26)*($C:$C=$C26),0),1)</f>
        <v/>
      </c>
      <c r="AL26" s="116" t="str">
        <f t="array" ref="AL26">INDEX($A$1:$C$500, MATCH(1,($B:$B=$C26)*($C:$C=$AB26),0),1)</f>
        <v/>
      </c>
      <c r="AM26" s="116" t="str">
        <f t="array" ref="AM26">INDEX($A$1:$C$500, MATCH(1,($B:$B=$AB26)*($C:$C=$C26),0),1)</f>
        <v/>
      </c>
      <c r="AN26" s="114" t="str">
        <f t="array" ref="AN26">IFS(ISNUMBER(AJ26),AJ26,ISNUMBER(AK26),AK26,ISNUMBER(AL26),AL26,ISNUMBER(AM26),AM26)</f>
        <v>#N/A</v>
      </c>
      <c r="AO26" s="115" t="str">
        <f t="shared" si="6"/>
        <v/>
      </c>
      <c r="AP26" s="115" t="str">
        <f t="shared" si="7"/>
        <v/>
      </c>
      <c r="AQ26" s="72"/>
      <c r="AR26" s="109" t="str">
        <f t="shared" si="8"/>
        <v/>
      </c>
      <c r="AS26" s="72" t="str">
        <f>IFERROR(IF(AND(Preferences!B$3="Manual",OR(AX26/AW26&gt;V26/U26,BD26="Serious",BD26="Very serious")),"Assess imprecision",IFERROR(IFS(AND(Preferences!B$3="Automatic",V26/U26&gt;=30),"Extremely serious",AND(W26&lt;=$D$1*-1,Y26&lt;0,V26/U26&lt;3),"Not Serious",AND(W26&lt;=$D$1*-1,Y26&lt;0,V26/U26&gt;=3),"Very serious",AND(W26&gt;=$D$1,X26&gt;0,V26/U26&lt;3),"Not Serious",AND(W26&gt;=$D$1,X26&gt;0,V26/U26&gt;=3),"Very serious",AND(W26&lt;=$D$1*-1,Y26&gt;0,X26&gt;$D$2*-1,V26/U26&lt;3),"Serious", AND(W26&lt;=$D$1*-1,Y26&gt;0,X26&lt;$D$2*-1,V26/U26&lt;3),"Very serious", AND(W26&gt;=$D$1,X26&lt;0,Y26&lt;$D$2,V26/U26&lt;3),"Serious",AND(W26&gt;=$D$1,X26&lt;0,Y26&gt;$D$2,V26/U26&lt;3),"Very serious", AND(W26&lt;=$D$1*-1,Y26&gt;0,X26&gt;$D$2*-1,V26/U26&gt;=3),"Very serious", AND(W26&lt;=$D$1*-1,Y26&gt;0,X26&lt;$D$2*-1,V26/U26&gt;=3),"Very serious", AND(W26&gt;=$D$1,X26&lt;0,Y26&lt;$D$2,V26/U26&gt;=3),"Very serious", AND(W26&gt;=$D$1,X26&lt;0,Y26&gt;$D$2,V26/U26&gt;=3),"Very serious", AND(W26&gt;$D$1*-1,W26&lt;$D$1,X26&gt;$D$1*-1,Y26&lt;$D$1,V26/U26&lt;3),"Not Serious", AND(W26&gt;$D$1*-1,W26&lt;$D$1,OR(X26&lt;=$D$1*-1,Y26&gt;=$D$1),X26&gt;$D$2*-1,Y26&lt;$D$2,V26/U26&lt;3),"Serious", AND(W26&gt;$D$1*-1,W26&lt;$D$1,OR(X26&lt;=$D$2*-1,Y26&gt;=$D$2),V26/U26&lt;3),"Very serious", AND(W26&gt;$D$1*-1,W26&lt;$D$1,X26&gt;$D$1*-1,Y26&lt;$D$1,V26/U26&gt;=3),"Very serious", AND(W26&gt;$D$1*-1,W26&lt;$D$1,OR(X26&lt;=$D$1*-1,Y26&gt;=$D$1),X26&gt;$D$2*-1,Y26&lt;$D$2,V26/U26&gt;=3),"Very serious", AND(W26&gt;$D$1*-1,W26&lt;$D$1,OR(X26&lt;=$D$2*-1,Y26&gt;=$D$2),V26/U26&gt;=3),"Very serious"),"")),"")</f>
        <v/>
      </c>
      <c r="AT26" s="109" t="str">
        <f t="shared" si="9"/>
        <v/>
      </c>
      <c r="AU26" s="64"/>
      <c r="AV26" s="117"/>
      <c r="AW26" s="117"/>
      <c r="AX26" s="117"/>
      <c r="AY26" s="118"/>
      <c r="AZ26" s="118"/>
      <c r="BA26" s="119"/>
      <c r="BB26" s="86" t="str">
        <f>IF(Preferences!B$9="Manual","",IFS(ISBLANK(B26),"",AND(ISNUMBER(E26)=TRUE,ISNUMBER(T26)=FALSE),"Direct", AND(ISNUMBER(E26)=FALSE,ISNUMBER(T26)=TRUE),"Indirect", CN26=4,"Direct",AND(CL26=FALSE, CM26=TRUE,CN26-CO26&gt;-1),"Direct", AND(CL26=FALSE,CM26=TRUE, CN26-CO26&lt;0),"Check algorithm in appendix 2", AND(CL26=TRUE, CM26=FALSE,CN26-CO26&gt;0),"Check algorithm in appendix 2", AND(CL26=TRUE, CM26=FALSE,CN26-CO26=0),"Indirect", AND(CL26=TRUE, CM26=FALSE,CN26-CO26&lt;0),"Indirect", AND(CL26=FALSE,CM26=FALSE,CN26-CO26&gt;-1),"Direct", AND(CL26=FALSE,CM26=FALSE,CN26-CO26&lt;0),"Check algorithm in appendix 2", AND(CL26=TRUE,CM26=TRUE,CN26-CO26&gt;-1),"Direct", AND(CL26=TRUE,CM26=TRUE,CN26-CO26&lt;0),"Check algorithm in appendix 2"))</f>
        <v/>
      </c>
      <c r="BC26" s="120" t="str">
        <f t="shared" si="10"/>
        <v/>
      </c>
      <c r="BD26" s="140"/>
      <c r="BE26" s="122" t="str">
        <f>IF(Preferences!B$3="Manual","", IFERROR(IFS(AND(Preferences!B$3="Automatic",AX26/AW26&gt;=30),"Extremely serious",AND(AY26&lt;=$D$1*-1,BA26&lt;0,AX26/AW26&lt;3),"Not Serious",AND(AY26&lt;=$D$1*-1,BA26&lt;0,AX26/AW26&gt;=3),"Very serious",AND(AY26&gt;=$D$1,AZ26&gt;0,AX26/AW26&lt;3),"Not Serious",AND(AY26&gt;=$D$1,AZ26&gt;0,AX26/AW26&gt;=3),"Very serious",AND(AY26&lt;=$D$1*-1,BA26&gt;0,AZ26&gt;$D$2*-1,AX26/AW26&lt;3),"Serious", AND(AY26&lt;=$D$1*-1,BA26&gt;0,AZ26&lt;$D$2*-1,AX26/AW26&lt;3),"Very serious", AND(AY26&gt;=$D$1,AZ26&lt;0,BA26&lt;$D$2,AX26/AW26&lt;3),"Serious",AND(AY26&gt;=$D$1,AZ26&lt;0,BA26&gt;$D$2,AX26/AW26&lt;3),"Very serious", AND(AY26&lt;=$D$1*-1,BA26&gt;0,AZ26&gt;$D$2*-1,AX26/AW26&gt;=3),"Very serious", AND(AY26&lt;=$D$1*-1,BA26&gt;0,AZ26&lt;$D$2*-1,AX26/AW26&gt;=3),"Very serious", AND(AY26&gt;=$D$1,AZ26&lt;0,BA26&lt;$D$2,AX26/AW26&gt;=3),"Very serious", AND(AY26&gt;=$D$1,AZ26&lt;0,BA26&gt;$D$2,AX26/AW26&gt;=3),"Very serious", AND(AY26&gt;$D$1*-1,AY26&lt;$D$1,AZ26&gt;$D$1*-1,BA26&lt;$D$1,AX26/AW26&lt;3),"Not Serious", AND(AY26&gt;$D$1*-1,AY26&lt;$D$1,OR(AZ26&lt;=$D$1*-1,BA26&gt;=$D$1),AZ26&gt;$D$2*-1,BA26&lt;$D$2,AX26/AW26&lt;3),"Serious", AND(AY26&gt;$D$1*-1,AY26&lt;$D$1,OR(AZ26&lt;=$D$2*-1,BA26&gt;=$D$2),AX26/AW26&lt;3),"Very serious", AND(AY26&gt;$D$1*-1,AY26&lt;$D$1,AZ26&gt;$D$1*-1,BA26&lt;$D$1,AX26/AW26&gt;=3),"Very serious", AND(AY26&gt;$D$1*-1,AY26&lt;$D$1,OR(AZ26&lt;=$D$1*-1,BA26&gt;=$D$1),AZ26&gt;$D$2*-1,BA26&lt;$D$2,AX26/AW26&gt;=3),"Very serious", AND(AY26&gt;$D$1*-1,AY26&lt;$D$1,OR(AZ26&lt;=$D$2*-1,BA26&gt;=$D$2),AX26/AW26&gt;=3),"Very serious"),""))</f>
        <v/>
      </c>
      <c r="BF26" s="107" t="str">
        <f t="shared" si="11"/>
        <v/>
      </c>
      <c r="BG26" s="94" t="str">
        <f t="shared" si="46"/>
        <v/>
      </c>
      <c r="BH26" s="64" t="str">
        <f t="shared" si="12"/>
        <v>#N/A</v>
      </c>
      <c r="BI26" s="64" t="str">
        <f t="shared" si="13"/>
        <v/>
      </c>
      <c r="BJ26" s="123" t="str">
        <f t="shared" si="14"/>
        <v>#N/A</v>
      </c>
      <c r="BK26" s="64" t="str">
        <f t="shared" si="15"/>
        <v>YES</v>
      </c>
      <c r="BL26" s="64" t="str">
        <f t="shared" si="16"/>
        <v>YES</v>
      </c>
      <c r="BM26" s="64" t="str">
        <f t="shared" si="17"/>
        <v>YES</v>
      </c>
      <c r="BN26" s="124" t="str">
        <f t="shared" si="18"/>
        <v/>
      </c>
      <c r="BO26" s="91" t="str">
        <f t="shared" si="19"/>
        <v/>
      </c>
      <c r="BP26" s="91" t="str">
        <f t="shared" si="20"/>
        <v>#N/A</v>
      </c>
      <c r="BQ26" s="91" t="str">
        <f t="shared" si="21"/>
        <v/>
      </c>
      <c r="BR26" s="93" t="str">
        <f t="shared" si="22"/>
        <v/>
      </c>
      <c r="BS26" s="90" t="str">
        <f t="shared" si="23"/>
        <v/>
      </c>
      <c r="BT26" s="93" t="str">
        <f t="shared" si="24"/>
        <v>NA</v>
      </c>
      <c r="BU26" s="125" t="str">
        <f t="shared" si="25"/>
        <v>#N/A</v>
      </c>
      <c r="BV26" s="93" t="str">
        <f t="shared" si="26"/>
        <v/>
      </c>
      <c r="BW26" s="93" t="str">
        <f t="shared" si="27"/>
        <v/>
      </c>
      <c r="BX26" s="93" t="str">
        <f t="shared" si="28"/>
        <v>NA</v>
      </c>
      <c r="BY26" s="95" t="str">
        <f t="shared" si="29"/>
        <v>#N/A</v>
      </c>
      <c r="BZ26" s="93" t="str">
        <f t="shared" si="30"/>
        <v/>
      </c>
      <c r="CA26" s="93" t="str">
        <f t="shared" si="31"/>
        <v/>
      </c>
      <c r="CB26" s="93" t="str">
        <f t="shared" si="32"/>
        <v>NA</v>
      </c>
      <c r="CC26" s="96" t="str">
        <f t="shared" si="33"/>
        <v>#N/A</v>
      </c>
      <c r="CD26" s="93" t="str">
        <f t="shared" si="34"/>
        <v/>
      </c>
      <c r="CE26" s="93" t="str">
        <f t="shared" si="35"/>
        <v/>
      </c>
      <c r="CF26" s="93" t="str">
        <f t="shared" si="36"/>
        <v>NA</v>
      </c>
      <c r="CG26" s="97" t="str">
        <f t="shared" si="37"/>
        <v>#N/A</v>
      </c>
      <c r="CH26" s="98" t="str">
        <f t="shared" si="38"/>
        <v>#N/A</v>
      </c>
      <c r="CI26" s="99" t="str">
        <f t="shared" si="39"/>
        <v>#N/A</v>
      </c>
      <c r="CJ26" s="126" t="str">
        <f t="shared" si="40"/>
        <v>ERROR: check cell</v>
      </c>
      <c r="CK26" s="126"/>
      <c r="CL26" s="127" t="str">
        <f t="shared" si="41"/>
        <v>#DIV/0!</v>
      </c>
      <c r="CM26" s="128" t="str">
        <f t="shared" si="42"/>
        <v>#DIV/0!</v>
      </c>
      <c r="CN26" s="128">
        <f t="shared" si="43"/>
        <v>4</v>
      </c>
      <c r="CO26" s="129">
        <f t="shared" si="44"/>
        <v>4</v>
      </c>
      <c r="CP26" s="129" t="str">
        <f>IFS(C26=Preferences!B$13,B26,B26=Preferences!B$13,C26)</f>
        <v>#N/A</v>
      </c>
    </row>
    <row r="27" ht="13.5" customHeight="1">
      <c r="A27" s="63" t="str">
        <f t="shared" si="45"/>
        <v/>
      </c>
      <c r="B27" s="64"/>
      <c r="C27" s="64"/>
      <c r="D27" s="64"/>
      <c r="E27" s="65"/>
      <c r="F27" s="65"/>
      <c r="G27" s="65"/>
      <c r="H27" s="65"/>
      <c r="I27" s="65"/>
      <c r="J27" s="141"/>
      <c r="K27" s="138"/>
      <c r="L27" s="133"/>
      <c r="M27" s="133"/>
      <c r="N27" s="133"/>
      <c r="O27" s="133"/>
      <c r="P27" s="107" t="str">
        <f t="shared" si="1"/>
        <v/>
      </c>
      <c r="Q27" s="108" t="str">
        <f>IFERROR(IF(AND(Preferences!B$3="Manual",OR(AX27/AW27&gt;G27/F27,BD27="Serious",BD27="Very serious")),"Assess imprecision",IFS(ISBLANK(E27),"",AND(Preferences!B$3="Automatic", G27/F27&gt;=30),"Extremely serious",AND(H27&lt;=$D$1*-1,J27&lt;0,G27/F27&lt;3),"Not serious",AND(H27&lt;=$D$1*-1,J27&lt;0,G27/F27&gt;=3),"Very serious",AND(H27&gt;=$D$1,I27&gt;0,G27/F27&lt;3),"Not serious",AND(H27&gt;=$D$1,I27&gt;0,G27/F27&gt;=3),"Very serious",AND(H27&lt;=$D$1*-1,J27&gt;0,I27&gt;$D$2*-1,G27/F27&lt;3),"Serious", AND(H27&lt;=$D$1*-1,J27&gt;0,I27&lt;$D$2*-1,G27/F27&lt;3),"Very serious", AND(H27&gt;=$D$1,I27&lt;0,J27&lt;$D$2,G27/F27&lt;3),"Serious",AND(H27&gt;=$D$1,I27&lt;0,J27&gt;$D$2,G27/F27&lt;3),"Very serious", AND(H27&lt;=$D$1*-1,J27&gt;0,I27&gt;$D$2*-1,G27/F27&gt;=3),"Very serious", AND(H27&lt;=$D$1*-1,J27&gt;0,I27&lt;$D$2*-1,G27/F27&gt;=3),"Very serious", AND(H27&gt;=$D$1,I27&lt;0,J27&lt;$D$2,G27/F27&gt;=3),"Very serious", AND(H27&gt;=$D$1,I27&lt;0,J27&gt;$D$2,G27/F27&gt;=3),"Very serious", AND(H27&gt;$D$1*-1,H27&lt;$D$1,I27&gt;$D$1*-1,J27&lt;$D$1,G27/F27&lt;3),"Not serious", AND(H27&gt;$D$1*-1,H27&lt;$D$1,OR(I27&lt;=$D$1*-1,J27&gt;=$D$1),I27&gt;$D$2*-1,J27&lt;$D$2,G27/F27&lt;3),"Serious", AND(H27&gt;$D$1*-1,H27&lt;$D$1,OR(I27&lt;=$D$2*-1,J27&gt;=$D$2),G27/F27&lt;3),"Very serious", AND(H27&gt;$D$1*-1,H27&lt;$D$1,I27&gt;$D$1*-1,J27&lt;$D$1,G27/F27&gt;=3),"Very serious", AND(H27&gt;$D$1*-1,H27&lt;$D$1,OR(I27&lt;=$D$1*-1,J27&gt;=$D$1),I27&gt;$D$2*-1,J27&lt;$D$2,G27/F27&gt;=3),"Very serious", AND(H27&gt;$D$1*-1,H27&lt;$D$1,OR(I27&lt;=$D$2*-1,J27&gt;=$D$2),G27/F27&gt;=3),"Very serious")),"")</f>
        <v/>
      </c>
      <c r="R27" s="109" t="str">
        <f t="shared" si="47"/>
        <v/>
      </c>
      <c r="S27" s="64"/>
      <c r="T27" s="139"/>
      <c r="U27" s="139"/>
      <c r="V27" s="139"/>
      <c r="W27" s="142"/>
      <c r="X27" s="142"/>
      <c r="Y27" s="143"/>
      <c r="Z27" s="113" t="str">
        <f t="array" ref="Z27">INDEX($A$1:$C$500, MATCH(1,($B:$B=$B27)*($C:$C=$AB27),0),1)</f>
        <v/>
      </c>
      <c r="AA27" s="113" t="str">
        <f t="array" ref="AA27">INDEX($A$1:$C$500, MATCH(1,($B:$B=$AB27)*($C:$C=$B27),0),1)</f>
        <v/>
      </c>
      <c r="AB27" s="111"/>
      <c r="AC27" s="114" t="str">
        <f t="shared" si="2"/>
        <v/>
      </c>
      <c r="AD27" s="115" t="str">
        <f t="shared" si="3"/>
        <v/>
      </c>
      <c r="AE27" s="116" t="str">
        <f t="array" ref="AE27">INDEX($A$1:$C$500, MATCH(1,($B:$B=$AB27)*($C:$C=$AG27),0),1)</f>
        <v/>
      </c>
      <c r="AF27" s="116" t="str">
        <f t="array" ref="AF27">INDEX($A$1:$C$500, MATCH(1,($B:$B=$AG27)*($C:$C=$AB27),0),1)</f>
        <v/>
      </c>
      <c r="AG27" s="72"/>
      <c r="AH27" s="114" t="str">
        <f t="shared" si="4"/>
        <v/>
      </c>
      <c r="AI27" s="115" t="str">
        <f t="shared" si="5"/>
        <v/>
      </c>
      <c r="AJ27" s="116" t="str">
        <f t="array" ref="AJ27">INDEX($A$1:$C$500, MATCH(1,($B:$B=$C27)*($C:$C=$AG27),0),1)</f>
        <v/>
      </c>
      <c r="AK27" s="116" t="str">
        <f t="array" ref="AK27">INDEX($A$1:$C$500, MATCH(1,($B:$B=$AG27)*($C:$C=$C27),0),1)</f>
        <v/>
      </c>
      <c r="AL27" s="116" t="str">
        <f t="array" ref="AL27">INDEX($A$1:$C$500, MATCH(1,($B:$B=$C27)*($C:$C=$AB27),0),1)</f>
        <v/>
      </c>
      <c r="AM27" s="116" t="str">
        <f t="array" ref="AM27">INDEX($A$1:$C$500, MATCH(1,($B:$B=$AB27)*($C:$C=$C27),0),1)</f>
        <v/>
      </c>
      <c r="AN27" s="114" t="str">
        <f t="array" ref="AN27">IFS(ISNUMBER(AJ27),AJ27,ISNUMBER(AK27),AK27,ISNUMBER(AL27),AL27,ISNUMBER(AM27),AM27)</f>
        <v>#N/A</v>
      </c>
      <c r="AO27" s="115" t="str">
        <f t="shared" si="6"/>
        <v/>
      </c>
      <c r="AP27" s="115" t="str">
        <f t="shared" si="7"/>
        <v/>
      </c>
      <c r="AQ27" s="72"/>
      <c r="AR27" s="109" t="str">
        <f t="shared" si="8"/>
        <v/>
      </c>
      <c r="AS27" s="72" t="str">
        <f>IFERROR(IF(AND(Preferences!B$3="Manual",OR(AX27/AW27&gt;V27/U27,BD27="Serious",BD27="Very serious")),"Assess imprecision",IFERROR(IFS(AND(Preferences!B$3="Automatic",V27/U27&gt;=30),"Extremely serious",AND(W27&lt;=$D$1*-1,Y27&lt;0,V27/U27&lt;3),"Not Serious",AND(W27&lt;=$D$1*-1,Y27&lt;0,V27/U27&gt;=3),"Very serious",AND(W27&gt;=$D$1,X27&gt;0,V27/U27&lt;3),"Not Serious",AND(W27&gt;=$D$1,X27&gt;0,V27/U27&gt;=3),"Very serious",AND(W27&lt;=$D$1*-1,Y27&gt;0,X27&gt;$D$2*-1,V27/U27&lt;3),"Serious", AND(W27&lt;=$D$1*-1,Y27&gt;0,X27&lt;$D$2*-1,V27/U27&lt;3),"Very serious", AND(W27&gt;=$D$1,X27&lt;0,Y27&lt;$D$2,V27/U27&lt;3),"Serious",AND(W27&gt;=$D$1,X27&lt;0,Y27&gt;$D$2,V27/U27&lt;3),"Very serious", AND(W27&lt;=$D$1*-1,Y27&gt;0,X27&gt;$D$2*-1,V27/U27&gt;=3),"Very serious", AND(W27&lt;=$D$1*-1,Y27&gt;0,X27&lt;$D$2*-1,V27/U27&gt;=3),"Very serious", AND(W27&gt;=$D$1,X27&lt;0,Y27&lt;$D$2,V27/U27&gt;=3),"Very serious", AND(W27&gt;=$D$1,X27&lt;0,Y27&gt;$D$2,V27/U27&gt;=3),"Very serious", AND(W27&gt;$D$1*-1,W27&lt;$D$1,X27&gt;$D$1*-1,Y27&lt;$D$1,V27/U27&lt;3),"Not Serious", AND(W27&gt;$D$1*-1,W27&lt;$D$1,OR(X27&lt;=$D$1*-1,Y27&gt;=$D$1),X27&gt;$D$2*-1,Y27&lt;$D$2,V27/U27&lt;3),"Serious", AND(W27&gt;$D$1*-1,W27&lt;$D$1,OR(X27&lt;=$D$2*-1,Y27&gt;=$D$2),V27/U27&lt;3),"Very serious", AND(W27&gt;$D$1*-1,W27&lt;$D$1,X27&gt;$D$1*-1,Y27&lt;$D$1,V27/U27&gt;=3),"Very serious", AND(W27&gt;$D$1*-1,W27&lt;$D$1,OR(X27&lt;=$D$1*-1,Y27&gt;=$D$1),X27&gt;$D$2*-1,Y27&lt;$D$2,V27/U27&gt;=3),"Very serious", AND(W27&gt;$D$1*-1,W27&lt;$D$1,OR(X27&lt;=$D$2*-1,Y27&gt;=$D$2),V27/U27&gt;=3),"Very serious"),"")),"")</f>
        <v/>
      </c>
      <c r="AT27" s="109" t="str">
        <f t="shared" si="9"/>
        <v/>
      </c>
      <c r="AU27" s="64"/>
      <c r="AV27" s="117"/>
      <c r="AW27" s="117"/>
      <c r="AX27" s="117"/>
      <c r="AY27" s="118"/>
      <c r="AZ27" s="118"/>
      <c r="BA27" s="119"/>
      <c r="BB27" s="86" t="str">
        <f>IF(Preferences!B$9="Manual","",IFS(ISBLANK(B27),"",AND(ISNUMBER(E27)=TRUE,ISNUMBER(T27)=FALSE),"Direct", AND(ISNUMBER(E27)=FALSE,ISNUMBER(T27)=TRUE),"Indirect", CN27=4,"Direct",AND(CL27=FALSE, CM27=TRUE,CN27-CO27&gt;-1),"Direct", AND(CL27=FALSE,CM27=TRUE, CN27-CO27&lt;0),"Check algorithm in appendix 2", AND(CL27=TRUE, CM27=FALSE,CN27-CO27&gt;0),"Check algorithm in appendix 2", AND(CL27=TRUE, CM27=FALSE,CN27-CO27=0),"Indirect", AND(CL27=TRUE, CM27=FALSE,CN27-CO27&lt;0),"Indirect", AND(CL27=FALSE,CM27=FALSE,CN27-CO27&gt;-1),"Direct", AND(CL27=FALSE,CM27=FALSE,CN27-CO27&lt;0),"Check algorithm in appendix 2", AND(CL27=TRUE,CM27=TRUE,CN27-CO27&gt;-1),"Direct", AND(CL27=TRUE,CM27=TRUE,CN27-CO27&lt;0),"Check algorithm in appendix 2"))</f>
        <v/>
      </c>
      <c r="BC27" s="120" t="str">
        <f t="shared" si="10"/>
        <v/>
      </c>
      <c r="BD27" s="140"/>
      <c r="BE27" s="122" t="str">
        <f>IF(Preferences!B$3="Manual","", IFERROR(IFS(AND(Preferences!B$3="Automatic",AX27/AW27&gt;=30),"Extremely serious",AND(AY27&lt;=$D$1*-1,BA27&lt;0,AX27/AW27&lt;3),"Not Serious",AND(AY27&lt;=$D$1*-1,BA27&lt;0,AX27/AW27&gt;=3),"Very serious",AND(AY27&gt;=$D$1,AZ27&gt;0,AX27/AW27&lt;3),"Not Serious",AND(AY27&gt;=$D$1,AZ27&gt;0,AX27/AW27&gt;=3),"Very serious",AND(AY27&lt;=$D$1*-1,BA27&gt;0,AZ27&gt;$D$2*-1,AX27/AW27&lt;3),"Serious", AND(AY27&lt;=$D$1*-1,BA27&gt;0,AZ27&lt;$D$2*-1,AX27/AW27&lt;3),"Very serious", AND(AY27&gt;=$D$1,AZ27&lt;0,BA27&lt;$D$2,AX27/AW27&lt;3),"Serious",AND(AY27&gt;=$D$1,AZ27&lt;0,BA27&gt;$D$2,AX27/AW27&lt;3),"Very serious", AND(AY27&lt;=$D$1*-1,BA27&gt;0,AZ27&gt;$D$2*-1,AX27/AW27&gt;=3),"Very serious", AND(AY27&lt;=$D$1*-1,BA27&gt;0,AZ27&lt;$D$2*-1,AX27/AW27&gt;=3),"Very serious", AND(AY27&gt;=$D$1,AZ27&lt;0,BA27&lt;$D$2,AX27/AW27&gt;=3),"Very serious", AND(AY27&gt;=$D$1,AZ27&lt;0,BA27&gt;$D$2,AX27/AW27&gt;=3),"Very serious", AND(AY27&gt;$D$1*-1,AY27&lt;$D$1,AZ27&gt;$D$1*-1,BA27&lt;$D$1,AX27/AW27&lt;3),"Not Serious", AND(AY27&gt;$D$1*-1,AY27&lt;$D$1,OR(AZ27&lt;=$D$1*-1,BA27&gt;=$D$1),AZ27&gt;$D$2*-1,BA27&lt;$D$2,AX27/AW27&lt;3),"Serious", AND(AY27&gt;$D$1*-1,AY27&lt;$D$1,OR(AZ27&lt;=$D$2*-1,BA27&gt;=$D$2),AX27/AW27&lt;3),"Very serious", AND(AY27&gt;$D$1*-1,AY27&lt;$D$1,AZ27&gt;$D$1*-1,BA27&lt;$D$1,AX27/AW27&gt;=3),"Very serious", AND(AY27&gt;$D$1*-1,AY27&lt;$D$1,OR(AZ27&lt;=$D$1*-1,BA27&gt;=$D$1),AZ27&gt;$D$2*-1,BA27&lt;$D$2,AX27/AW27&gt;=3),"Very serious", AND(AY27&gt;$D$1*-1,AY27&lt;$D$1,OR(AZ27&lt;=$D$2*-1,BA27&gt;=$D$2),AX27/AW27&gt;=3),"Very serious"),""))</f>
        <v/>
      </c>
      <c r="BF27" s="107" t="str">
        <f t="shared" si="11"/>
        <v/>
      </c>
      <c r="BG27" s="94" t="str">
        <f t="shared" si="46"/>
        <v/>
      </c>
      <c r="BH27" s="64" t="str">
        <f t="shared" si="12"/>
        <v>#N/A</v>
      </c>
      <c r="BI27" s="64" t="str">
        <f t="shared" si="13"/>
        <v/>
      </c>
      <c r="BJ27" s="123" t="str">
        <f t="shared" si="14"/>
        <v>#N/A</v>
      </c>
      <c r="BK27" s="64" t="str">
        <f t="shared" si="15"/>
        <v>YES</v>
      </c>
      <c r="BL27" s="64" t="str">
        <f t="shared" si="16"/>
        <v>YES</v>
      </c>
      <c r="BM27" s="64" t="str">
        <f t="shared" si="17"/>
        <v>YES</v>
      </c>
      <c r="BN27" s="124" t="str">
        <f t="shared" si="18"/>
        <v/>
      </c>
      <c r="BO27" s="91" t="str">
        <f t="shared" si="19"/>
        <v/>
      </c>
      <c r="BP27" s="91" t="str">
        <f t="shared" si="20"/>
        <v>#N/A</v>
      </c>
      <c r="BQ27" s="91" t="str">
        <f t="shared" si="21"/>
        <v/>
      </c>
      <c r="BR27" s="93" t="str">
        <f t="shared" si="22"/>
        <v/>
      </c>
      <c r="BS27" s="90" t="str">
        <f t="shared" si="23"/>
        <v/>
      </c>
      <c r="BT27" s="93" t="str">
        <f t="shared" si="24"/>
        <v>NA</v>
      </c>
      <c r="BU27" s="125" t="str">
        <f t="shared" si="25"/>
        <v>#N/A</v>
      </c>
      <c r="BV27" s="93" t="str">
        <f t="shared" si="26"/>
        <v/>
      </c>
      <c r="BW27" s="93" t="str">
        <f t="shared" si="27"/>
        <v/>
      </c>
      <c r="BX27" s="93" t="str">
        <f t="shared" si="28"/>
        <v>NA</v>
      </c>
      <c r="BY27" s="95" t="str">
        <f t="shared" si="29"/>
        <v>#N/A</v>
      </c>
      <c r="BZ27" s="93" t="str">
        <f t="shared" si="30"/>
        <v/>
      </c>
      <c r="CA27" s="93" t="str">
        <f t="shared" si="31"/>
        <v/>
      </c>
      <c r="CB27" s="93" t="str">
        <f t="shared" si="32"/>
        <v>NA</v>
      </c>
      <c r="CC27" s="96" t="str">
        <f t="shared" si="33"/>
        <v>#N/A</v>
      </c>
      <c r="CD27" s="93" t="str">
        <f t="shared" si="34"/>
        <v/>
      </c>
      <c r="CE27" s="93" t="str">
        <f t="shared" si="35"/>
        <v/>
      </c>
      <c r="CF27" s="93" t="str">
        <f t="shared" si="36"/>
        <v>NA</v>
      </c>
      <c r="CG27" s="97" t="str">
        <f t="shared" si="37"/>
        <v>#N/A</v>
      </c>
      <c r="CH27" s="98" t="str">
        <f t="shared" si="38"/>
        <v>#N/A</v>
      </c>
      <c r="CI27" s="99" t="str">
        <f t="shared" si="39"/>
        <v>#N/A</v>
      </c>
      <c r="CJ27" s="126" t="str">
        <f t="shared" si="40"/>
        <v>ERROR: check cell</v>
      </c>
      <c r="CK27" s="126"/>
      <c r="CL27" s="127" t="str">
        <f t="shared" si="41"/>
        <v>#DIV/0!</v>
      </c>
      <c r="CM27" s="128" t="str">
        <f t="shared" si="42"/>
        <v>#DIV/0!</v>
      </c>
      <c r="CN27" s="128">
        <f t="shared" si="43"/>
        <v>4</v>
      </c>
      <c r="CO27" s="129">
        <f t="shared" si="44"/>
        <v>4</v>
      </c>
      <c r="CP27" s="129" t="str">
        <f>IFS(C27=Preferences!B$13,B27,B27=Preferences!B$13,C27)</f>
        <v>#N/A</v>
      </c>
    </row>
    <row r="28" ht="13.5" customHeight="1">
      <c r="A28" s="63" t="str">
        <f t="shared" si="45"/>
        <v/>
      </c>
      <c r="B28" s="64"/>
      <c r="C28" s="64"/>
      <c r="D28" s="64"/>
      <c r="E28" s="65"/>
      <c r="F28" s="65"/>
      <c r="G28" s="65"/>
      <c r="H28" s="65"/>
      <c r="I28" s="65"/>
      <c r="J28" s="141"/>
      <c r="K28" s="138"/>
      <c r="L28" s="133"/>
      <c r="M28" s="133"/>
      <c r="N28" s="104"/>
      <c r="O28" s="104"/>
      <c r="P28" s="107" t="str">
        <f t="shared" si="1"/>
        <v/>
      </c>
      <c r="Q28" s="108" t="str">
        <f>IFERROR(IF(AND(Preferences!B$3="Manual",OR(AX28/AW28&gt;G28/F28,BD28="Serious",BD28="Very serious")),"Assess imprecision",IFS(ISBLANK(E28),"",AND(Preferences!B$3="Automatic", G28/F28&gt;=30),"Extremely serious",AND(H28&lt;=$D$1*-1,J28&lt;0,G28/F28&lt;3),"Not serious",AND(H28&lt;=$D$1*-1,J28&lt;0,G28/F28&gt;=3),"Very serious",AND(H28&gt;=$D$1,I28&gt;0,G28/F28&lt;3),"Not serious",AND(H28&gt;=$D$1,I28&gt;0,G28/F28&gt;=3),"Very serious",AND(H28&lt;=$D$1*-1,J28&gt;0,I28&gt;$D$2*-1,G28/F28&lt;3),"Serious", AND(H28&lt;=$D$1*-1,J28&gt;0,I28&lt;$D$2*-1,G28/F28&lt;3),"Very serious", AND(H28&gt;=$D$1,I28&lt;0,J28&lt;$D$2,G28/F28&lt;3),"Serious",AND(H28&gt;=$D$1,I28&lt;0,J28&gt;$D$2,G28/F28&lt;3),"Very serious", AND(H28&lt;=$D$1*-1,J28&gt;0,I28&gt;$D$2*-1,G28/F28&gt;=3),"Very serious", AND(H28&lt;=$D$1*-1,J28&gt;0,I28&lt;$D$2*-1,G28/F28&gt;=3),"Very serious", AND(H28&gt;=$D$1,I28&lt;0,J28&lt;$D$2,G28/F28&gt;=3),"Very serious", AND(H28&gt;=$D$1,I28&lt;0,J28&gt;$D$2,G28/F28&gt;=3),"Very serious", AND(H28&gt;$D$1*-1,H28&lt;$D$1,I28&gt;$D$1*-1,J28&lt;$D$1,G28/F28&lt;3),"Not serious", AND(H28&gt;$D$1*-1,H28&lt;$D$1,OR(I28&lt;=$D$1*-1,J28&gt;=$D$1),I28&gt;$D$2*-1,J28&lt;$D$2,G28/F28&lt;3),"Serious", AND(H28&gt;$D$1*-1,H28&lt;$D$1,OR(I28&lt;=$D$2*-1,J28&gt;=$D$2),G28/F28&lt;3),"Very serious", AND(H28&gt;$D$1*-1,H28&lt;$D$1,I28&gt;$D$1*-1,J28&lt;$D$1,G28/F28&gt;=3),"Very serious", AND(H28&gt;$D$1*-1,H28&lt;$D$1,OR(I28&lt;=$D$1*-1,J28&gt;=$D$1),I28&gt;$D$2*-1,J28&lt;$D$2,G28/F28&gt;=3),"Very serious", AND(H28&gt;$D$1*-1,H28&lt;$D$1,OR(I28&lt;=$D$2*-1,J28&gt;=$D$2),G28/F28&gt;=3),"Very serious")),"")</f>
        <v/>
      </c>
      <c r="R28" s="109" t="str">
        <f t="shared" si="47"/>
        <v/>
      </c>
      <c r="S28" s="64"/>
      <c r="T28" s="139"/>
      <c r="U28" s="139"/>
      <c r="V28" s="139"/>
      <c r="W28" s="142"/>
      <c r="X28" s="142"/>
      <c r="Y28" s="143"/>
      <c r="Z28" s="113" t="str">
        <f t="array" ref="Z28">INDEX($A$1:$C$500, MATCH(1,($B:$B=$B28)*($C:$C=$AB28),0),1)</f>
        <v/>
      </c>
      <c r="AA28" s="113" t="str">
        <f t="array" ref="AA28">INDEX($A$1:$C$500, MATCH(1,($B:$B=$AB28)*($C:$C=$B28),0),1)</f>
        <v/>
      </c>
      <c r="AB28" s="111"/>
      <c r="AC28" s="114" t="str">
        <f t="shared" si="2"/>
        <v/>
      </c>
      <c r="AD28" s="115" t="str">
        <f t="shared" si="3"/>
        <v/>
      </c>
      <c r="AE28" s="116" t="str">
        <f t="array" ref="AE28">INDEX($A$1:$C$500, MATCH(1,($B:$B=$AB28)*($C:$C=$AG28),0),1)</f>
        <v/>
      </c>
      <c r="AF28" s="116" t="str">
        <f t="array" ref="AF28">INDEX($A$1:$C$500, MATCH(1,($B:$B=$AG28)*($C:$C=$AB28),0),1)</f>
        <v/>
      </c>
      <c r="AG28" s="72"/>
      <c r="AH28" s="114" t="str">
        <f t="shared" si="4"/>
        <v/>
      </c>
      <c r="AI28" s="115" t="str">
        <f t="shared" si="5"/>
        <v/>
      </c>
      <c r="AJ28" s="116" t="str">
        <f t="array" ref="AJ28">INDEX($A$1:$C$500, MATCH(1,($B:$B=$C28)*($C:$C=$AG28),0),1)</f>
        <v/>
      </c>
      <c r="AK28" s="116" t="str">
        <f t="array" ref="AK28">INDEX($A$1:$C$500, MATCH(1,($B:$B=$AG28)*($C:$C=$C28),0),1)</f>
        <v/>
      </c>
      <c r="AL28" s="116" t="str">
        <f t="array" ref="AL28">INDEX($A$1:$C$500, MATCH(1,($B:$B=$C28)*($C:$C=$AB28),0),1)</f>
        <v/>
      </c>
      <c r="AM28" s="116" t="str">
        <f t="array" ref="AM28">INDEX($A$1:$C$500, MATCH(1,($B:$B=$AB28)*($C:$C=$C28),0),1)</f>
        <v/>
      </c>
      <c r="AN28" s="114" t="str">
        <f t="array" ref="AN28">IFS(ISNUMBER(AJ28),AJ28,ISNUMBER(AK28),AK28,ISNUMBER(AL28),AL28,ISNUMBER(AM28),AM28)</f>
        <v>#N/A</v>
      </c>
      <c r="AO28" s="115" t="str">
        <f t="shared" si="6"/>
        <v/>
      </c>
      <c r="AP28" s="115" t="str">
        <f t="shared" si="7"/>
        <v/>
      </c>
      <c r="AQ28" s="111"/>
      <c r="AR28" s="109" t="str">
        <f t="shared" si="8"/>
        <v/>
      </c>
      <c r="AS28" s="72" t="str">
        <f>IFERROR(IF(AND(Preferences!B$3="Manual",OR(AX28/AW28&gt;V28/U28,BD28="Serious",BD28="Very serious")),"Assess imprecision",IFERROR(IFS(AND(Preferences!B$3="Automatic",V28/U28&gt;=30),"Extremely serious",AND(W28&lt;=$D$1*-1,Y28&lt;0,V28/U28&lt;3),"Not Serious",AND(W28&lt;=$D$1*-1,Y28&lt;0,V28/U28&gt;=3),"Very serious",AND(W28&gt;=$D$1,X28&gt;0,V28/U28&lt;3),"Not Serious",AND(W28&gt;=$D$1,X28&gt;0,V28/U28&gt;=3),"Very serious",AND(W28&lt;=$D$1*-1,Y28&gt;0,X28&gt;$D$2*-1,V28/U28&lt;3),"Serious", AND(W28&lt;=$D$1*-1,Y28&gt;0,X28&lt;$D$2*-1,V28/U28&lt;3),"Very serious", AND(W28&gt;=$D$1,X28&lt;0,Y28&lt;$D$2,V28/U28&lt;3),"Serious",AND(W28&gt;=$D$1,X28&lt;0,Y28&gt;$D$2,V28/U28&lt;3),"Very serious", AND(W28&lt;=$D$1*-1,Y28&gt;0,X28&gt;$D$2*-1,V28/U28&gt;=3),"Very serious", AND(W28&lt;=$D$1*-1,Y28&gt;0,X28&lt;$D$2*-1,V28/U28&gt;=3),"Very serious", AND(W28&gt;=$D$1,X28&lt;0,Y28&lt;$D$2,V28/U28&gt;=3),"Very serious", AND(W28&gt;=$D$1,X28&lt;0,Y28&gt;$D$2,V28/U28&gt;=3),"Very serious", AND(W28&gt;$D$1*-1,W28&lt;$D$1,X28&gt;$D$1*-1,Y28&lt;$D$1,V28/U28&lt;3),"Not Serious", AND(W28&gt;$D$1*-1,W28&lt;$D$1,OR(X28&lt;=$D$1*-1,Y28&gt;=$D$1),X28&gt;$D$2*-1,Y28&lt;$D$2,V28/U28&lt;3),"Serious", AND(W28&gt;$D$1*-1,W28&lt;$D$1,OR(X28&lt;=$D$2*-1,Y28&gt;=$D$2),V28/U28&lt;3),"Very serious", AND(W28&gt;$D$1*-1,W28&lt;$D$1,X28&gt;$D$1*-1,Y28&lt;$D$1,V28/U28&gt;=3),"Very serious", AND(W28&gt;$D$1*-1,W28&lt;$D$1,OR(X28&lt;=$D$1*-1,Y28&gt;=$D$1),X28&gt;$D$2*-1,Y28&lt;$D$2,V28/U28&gt;=3),"Very serious", AND(W28&gt;$D$1*-1,W28&lt;$D$1,OR(X28&lt;=$D$2*-1,Y28&gt;=$D$2),V28/U28&gt;=3),"Very serious"),"")),"")</f>
        <v/>
      </c>
      <c r="AT28" s="109" t="str">
        <f t="shared" si="9"/>
        <v/>
      </c>
      <c r="AU28" s="64"/>
      <c r="AV28" s="117"/>
      <c r="AW28" s="117"/>
      <c r="AX28" s="117"/>
      <c r="AY28" s="118"/>
      <c r="AZ28" s="118"/>
      <c r="BA28" s="119"/>
      <c r="BB28" s="86" t="str">
        <f>IF(Preferences!B$9="Manual","",IFS(ISBLANK(B28),"",AND(ISNUMBER(E28)=TRUE,ISNUMBER(T28)=FALSE),"Direct", AND(ISNUMBER(E28)=FALSE,ISNUMBER(T28)=TRUE),"Indirect", CN28=4,"Direct",AND(CL28=FALSE, CM28=TRUE,CN28-CO28&gt;-1),"Direct", AND(CL28=FALSE,CM28=TRUE, CN28-CO28&lt;0),"Check algorithm in appendix 2", AND(CL28=TRUE, CM28=FALSE,CN28-CO28&gt;0),"Check algorithm in appendix 2", AND(CL28=TRUE, CM28=FALSE,CN28-CO28=0),"Indirect", AND(CL28=TRUE, CM28=FALSE,CN28-CO28&lt;0),"Indirect", AND(CL28=FALSE,CM28=FALSE,CN28-CO28&gt;-1),"Direct", AND(CL28=FALSE,CM28=FALSE,CN28-CO28&lt;0),"Check algorithm in appendix 2", AND(CL28=TRUE,CM28=TRUE,CN28-CO28&gt;-1),"Direct", AND(CL28=TRUE,CM28=TRUE,CN28-CO28&lt;0),"Check algorithm in appendix 2"))</f>
        <v/>
      </c>
      <c r="BC28" s="120" t="str">
        <f t="shared" si="10"/>
        <v/>
      </c>
      <c r="BD28" s="140"/>
      <c r="BE28" s="122" t="str">
        <f>IF(Preferences!B$3="Manual","", IFERROR(IFS(AND(Preferences!B$3="Automatic",AX28/AW28&gt;=30),"Extremely serious",AND(AY28&lt;=$D$1*-1,BA28&lt;0,AX28/AW28&lt;3),"Not Serious",AND(AY28&lt;=$D$1*-1,BA28&lt;0,AX28/AW28&gt;=3),"Very serious",AND(AY28&gt;=$D$1,AZ28&gt;0,AX28/AW28&lt;3),"Not Serious",AND(AY28&gt;=$D$1,AZ28&gt;0,AX28/AW28&gt;=3),"Very serious",AND(AY28&lt;=$D$1*-1,BA28&gt;0,AZ28&gt;$D$2*-1,AX28/AW28&lt;3),"Serious", AND(AY28&lt;=$D$1*-1,BA28&gt;0,AZ28&lt;$D$2*-1,AX28/AW28&lt;3),"Very serious", AND(AY28&gt;=$D$1,AZ28&lt;0,BA28&lt;$D$2,AX28/AW28&lt;3),"Serious",AND(AY28&gt;=$D$1,AZ28&lt;0,BA28&gt;$D$2,AX28/AW28&lt;3),"Very serious", AND(AY28&lt;=$D$1*-1,BA28&gt;0,AZ28&gt;$D$2*-1,AX28/AW28&gt;=3),"Very serious", AND(AY28&lt;=$D$1*-1,BA28&gt;0,AZ28&lt;$D$2*-1,AX28/AW28&gt;=3),"Very serious", AND(AY28&gt;=$D$1,AZ28&lt;0,BA28&lt;$D$2,AX28/AW28&gt;=3),"Very serious", AND(AY28&gt;=$D$1,AZ28&lt;0,BA28&gt;$D$2,AX28/AW28&gt;=3),"Very serious", AND(AY28&gt;$D$1*-1,AY28&lt;$D$1,AZ28&gt;$D$1*-1,BA28&lt;$D$1,AX28/AW28&lt;3),"Not Serious", AND(AY28&gt;$D$1*-1,AY28&lt;$D$1,OR(AZ28&lt;=$D$1*-1,BA28&gt;=$D$1),AZ28&gt;$D$2*-1,BA28&lt;$D$2,AX28/AW28&lt;3),"Serious", AND(AY28&gt;$D$1*-1,AY28&lt;$D$1,OR(AZ28&lt;=$D$2*-1,BA28&gt;=$D$2),AX28/AW28&lt;3),"Very serious", AND(AY28&gt;$D$1*-1,AY28&lt;$D$1,AZ28&gt;$D$1*-1,BA28&lt;$D$1,AX28/AW28&gt;=3),"Very serious", AND(AY28&gt;$D$1*-1,AY28&lt;$D$1,OR(AZ28&lt;=$D$1*-1,BA28&gt;=$D$1),AZ28&gt;$D$2*-1,BA28&lt;$D$2,AX28/AW28&gt;=3),"Very serious", AND(AY28&gt;$D$1*-1,AY28&lt;$D$1,OR(AZ28&lt;=$D$2*-1,BA28&gt;=$D$2),AX28/AW28&gt;=3),"Very serious"),""))</f>
        <v/>
      </c>
      <c r="BF28" s="107" t="str">
        <f t="shared" si="11"/>
        <v/>
      </c>
      <c r="BG28" s="94" t="str">
        <f t="shared" si="46"/>
        <v/>
      </c>
      <c r="BH28" s="64" t="str">
        <f t="shared" si="12"/>
        <v>#N/A</v>
      </c>
      <c r="BI28" s="64" t="str">
        <f t="shared" si="13"/>
        <v/>
      </c>
      <c r="BJ28" s="123" t="str">
        <f t="shared" si="14"/>
        <v>#N/A</v>
      </c>
      <c r="BK28" s="64" t="str">
        <f t="shared" si="15"/>
        <v>YES</v>
      </c>
      <c r="BL28" s="64" t="str">
        <f t="shared" si="16"/>
        <v>YES</v>
      </c>
      <c r="BM28" s="64" t="str">
        <f t="shared" si="17"/>
        <v>YES</v>
      </c>
      <c r="BN28" s="124" t="str">
        <f t="shared" si="18"/>
        <v/>
      </c>
      <c r="BO28" s="91" t="str">
        <f t="shared" si="19"/>
        <v/>
      </c>
      <c r="BP28" s="91" t="str">
        <f t="shared" si="20"/>
        <v>#N/A</v>
      </c>
      <c r="BQ28" s="91" t="str">
        <f t="shared" si="21"/>
        <v/>
      </c>
      <c r="BR28" s="93" t="str">
        <f t="shared" si="22"/>
        <v/>
      </c>
      <c r="BS28" s="90" t="str">
        <f t="shared" si="23"/>
        <v/>
      </c>
      <c r="BT28" s="93" t="str">
        <f t="shared" si="24"/>
        <v>NA</v>
      </c>
      <c r="BU28" s="125" t="str">
        <f t="shared" si="25"/>
        <v>#N/A</v>
      </c>
      <c r="BV28" s="93" t="str">
        <f t="shared" si="26"/>
        <v/>
      </c>
      <c r="BW28" s="93" t="str">
        <f t="shared" si="27"/>
        <v/>
      </c>
      <c r="BX28" s="93" t="str">
        <f t="shared" si="28"/>
        <v>NA</v>
      </c>
      <c r="BY28" s="95" t="str">
        <f t="shared" si="29"/>
        <v>#N/A</v>
      </c>
      <c r="BZ28" s="93" t="str">
        <f t="shared" si="30"/>
        <v/>
      </c>
      <c r="CA28" s="93" t="str">
        <f t="shared" si="31"/>
        <v/>
      </c>
      <c r="CB28" s="93" t="str">
        <f t="shared" si="32"/>
        <v>NA</v>
      </c>
      <c r="CC28" s="96" t="str">
        <f t="shared" si="33"/>
        <v>#N/A</v>
      </c>
      <c r="CD28" s="93" t="str">
        <f t="shared" si="34"/>
        <v/>
      </c>
      <c r="CE28" s="93" t="str">
        <f t="shared" si="35"/>
        <v/>
      </c>
      <c r="CF28" s="93" t="str">
        <f t="shared" si="36"/>
        <v>NA</v>
      </c>
      <c r="CG28" s="97" t="str">
        <f t="shared" si="37"/>
        <v>#N/A</v>
      </c>
      <c r="CH28" s="98" t="str">
        <f t="shared" si="38"/>
        <v>#N/A</v>
      </c>
      <c r="CI28" s="99" t="str">
        <f t="shared" si="39"/>
        <v>#N/A</v>
      </c>
      <c r="CJ28" s="126" t="str">
        <f t="shared" si="40"/>
        <v>ERROR: check cell</v>
      </c>
      <c r="CK28" s="126" t="str">
        <f>if(AND(T28&lt;1=TRUE,E28&lt;1=TRUE)=TRUE,if(OR(AND(V28&gt;G28=TRUE,G28&gt;U28=TRUE),AND(G28&gt;V28=TRUE,V28&gt;F28=TRUE)=TRUE)=TRUE,"No serious incoherence","Quantitative incoherence (same direction of effect)"),if(AND(T28&gt;1=TRUE,E28&gt;1=TRUE)=TRUE,if(OR(AND(V28&gt;G28=TRUE,G28&gt;U28=TRUE),AND(G28&gt;V28=TRUE,V28&gt;F28=TRUE)=TRUE)=TRUE,"No serious incoherence","Quantitative incoherence (same direction of effect)"),if(OR(AND(T28&lt;1=TRUE,E28&gt;1=TRUE)=TRUE,AND(T28&gt;1=TRUE,E28&lt;1=TRUE)=TRUE)=TRUE,if(OR(AND(V28&gt;G28=TRUE,G28&gt;U28=TRUE),AND(G28&gt;V28=TRUE,V28&gt;F28=TRUE)=TRUE)=TRUE,"No serious incoherence","Qualitative incoherence (different direction of effect)"))))</f>
        <v>Quantitative incoherence (same direction of effect)</v>
      </c>
      <c r="CL28" s="127" t="str">
        <f t="shared" si="41"/>
        <v>#DIV/0!</v>
      </c>
      <c r="CM28" s="128" t="str">
        <f t="shared" si="42"/>
        <v>#DIV/0!</v>
      </c>
      <c r="CN28" s="128">
        <f t="shared" si="43"/>
        <v>4</v>
      </c>
      <c r="CO28" s="129">
        <f t="shared" si="44"/>
        <v>4</v>
      </c>
      <c r="CP28" s="129" t="str">
        <f>IFS(C28=Preferences!B$13,B28,B28=Preferences!B$13,C28)</f>
        <v>#N/A</v>
      </c>
    </row>
    <row r="29" ht="13.5" customHeight="1">
      <c r="A29" s="63" t="str">
        <f t="shared" si="45"/>
        <v/>
      </c>
      <c r="B29" s="64"/>
      <c r="C29" s="64"/>
      <c r="D29" s="64"/>
      <c r="E29" s="65"/>
      <c r="F29" s="65"/>
      <c r="G29" s="65"/>
      <c r="H29" s="65"/>
      <c r="I29" s="65"/>
      <c r="J29" s="141"/>
      <c r="K29" s="138"/>
      <c r="L29" s="133"/>
      <c r="M29" s="133"/>
      <c r="N29" s="133"/>
      <c r="O29" s="133"/>
      <c r="P29" s="107" t="str">
        <f t="shared" si="1"/>
        <v/>
      </c>
      <c r="Q29" s="108" t="str">
        <f>IFERROR(IF(AND(Preferences!B$3="Manual",OR(AX29/AW29&gt;G29/F29,BD29="Serious",BD29="Very serious")),"Assess imprecision",IFS(ISBLANK(E29),"",AND(Preferences!B$3="Automatic", G29/F29&gt;=30),"Extremely serious",AND(H29&lt;=$D$1*-1,J29&lt;0,G29/F29&lt;3),"Not serious",AND(H29&lt;=$D$1*-1,J29&lt;0,G29/F29&gt;=3),"Very serious",AND(H29&gt;=$D$1,I29&gt;0,G29/F29&lt;3),"Not serious",AND(H29&gt;=$D$1,I29&gt;0,G29/F29&gt;=3),"Very serious",AND(H29&lt;=$D$1*-1,J29&gt;0,I29&gt;$D$2*-1,G29/F29&lt;3),"Serious", AND(H29&lt;=$D$1*-1,J29&gt;0,I29&lt;$D$2*-1,G29/F29&lt;3),"Very serious", AND(H29&gt;=$D$1,I29&lt;0,J29&lt;$D$2,G29/F29&lt;3),"Serious",AND(H29&gt;=$D$1,I29&lt;0,J29&gt;$D$2,G29/F29&lt;3),"Very serious", AND(H29&lt;=$D$1*-1,J29&gt;0,I29&gt;$D$2*-1,G29/F29&gt;=3),"Very serious", AND(H29&lt;=$D$1*-1,J29&gt;0,I29&lt;$D$2*-1,G29/F29&gt;=3),"Very serious", AND(H29&gt;=$D$1,I29&lt;0,J29&lt;$D$2,G29/F29&gt;=3),"Very serious", AND(H29&gt;=$D$1,I29&lt;0,J29&gt;$D$2,G29/F29&gt;=3),"Very serious", AND(H29&gt;$D$1*-1,H29&lt;$D$1,I29&gt;$D$1*-1,J29&lt;$D$1,G29/F29&lt;3),"Not serious", AND(H29&gt;$D$1*-1,H29&lt;$D$1,OR(I29&lt;=$D$1*-1,J29&gt;=$D$1),I29&gt;$D$2*-1,J29&lt;$D$2,G29/F29&lt;3),"Serious", AND(H29&gt;$D$1*-1,H29&lt;$D$1,OR(I29&lt;=$D$2*-1,J29&gt;=$D$2),G29/F29&lt;3),"Very serious", AND(H29&gt;$D$1*-1,H29&lt;$D$1,I29&gt;$D$1*-1,J29&lt;$D$1,G29/F29&gt;=3),"Very serious", AND(H29&gt;$D$1*-1,H29&lt;$D$1,OR(I29&lt;=$D$1*-1,J29&gt;=$D$1),I29&gt;$D$2*-1,J29&lt;$D$2,G29/F29&gt;=3),"Very serious", AND(H29&gt;$D$1*-1,H29&lt;$D$1,OR(I29&lt;=$D$2*-1,J29&gt;=$D$2),G29/F29&gt;=3),"Very serious")),"")</f>
        <v/>
      </c>
      <c r="R29" s="109" t="str">
        <f t="shared" si="47"/>
        <v/>
      </c>
      <c r="S29" s="64"/>
      <c r="T29" s="139"/>
      <c r="U29" s="139"/>
      <c r="V29" s="139"/>
      <c r="W29" s="72"/>
      <c r="X29" s="72"/>
      <c r="Y29" s="130"/>
      <c r="Z29" s="113" t="str">
        <f t="array" ref="Z29">INDEX($A$1:$C$500, MATCH(1,($B:$B=$B29)*($C:$C=$AB29),0),1)</f>
        <v/>
      </c>
      <c r="AA29" s="113" t="str">
        <f t="array" ref="AA29">INDEX($A$1:$C$500, MATCH(1,($B:$B=$AB29)*($C:$C=$B29),0),1)</f>
        <v/>
      </c>
      <c r="AB29" s="111"/>
      <c r="AC29" s="114" t="str">
        <f t="shared" si="2"/>
        <v/>
      </c>
      <c r="AD29" s="115" t="str">
        <f t="shared" si="3"/>
        <v/>
      </c>
      <c r="AE29" s="116" t="str">
        <f t="array" ref="AE29">INDEX($A$1:$C$500, MATCH(1,($B:$B=$AB29)*($C:$C=$AG29),0),1)</f>
        <v/>
      </c>
      <c r="AF29" s="116" t="str">
        <f t="array" ref="AF29">INDEX($A$1:$C$500, MATCH(1,($B:$B=$AG29)*($C:$C=$AB29),0),1)</f>
        <v/>
      </c>
      <c r="AG29" s="72"/>
      <c r="AH29" s="114" t="str">
        <f t="shared" si="4"/>
        <v/>
      </c>
      <c r="AI29" s="115" t="str">
        <f t="shared" si="5"/>
        <v/>
      </c>
      <c r="AJ29" s="116" t="str">
        <f t="array" ref="AJ29">INDEX($A$1:$C$500, MATCH(1,($B:$B=$C29)*($C:$C=$AG29),0),1)</f>
        <v/>
      </c>
      <c r="AK29" s="116" t="str">
        <f t="array" ref="AK29">INDEX($A$1:$C$500, MATCH(1,($B:$B=$AG29)*($C:$C=$C29),0),1)</f>
        <v/>
      </c>
      <c r="AL29" s="116" t="str">
        <f t="array" ref="AL29">INDEX($A$1:$C$500, MATCH(1,($B:$B=$C29)*($C:$C=$AB29),0),1)</f>
        <v/>
      </c>
      <c r="AM29" s="116" t="str">
        <f t="array" ref="AM29">INDEX($A$1:$C$500, MATCH(1,($B:$B=$AB29)*($C:$C=$C29),0),1)</f>
        <v/>
      </c>
      <c r="AN29" s="114" t="str">
        <f t="array" ref="AN29">IFS(ISNUMBER(AJ29),AJ29,ISNUMBER(AK29),AK29,ISNUMBER(AL29),AL29,ISNUMBER(AM29),AM29)</f>
        <v>#N/A</v>
      </c>
      <c r="AO29" s="115" t="str">
        <f t="shared" si="6"/>
        <v/>
      </c>
      <c r="AP29" s="115" t="str">
        <f t="shared" si="7"/>
        <v/>
      </c>
      <c r="AQ29" s="72"/>
      <c r="AR29" s="109" t="str">
        <f t="shared" si="8"/>
        <v/>
      </c>
      <c r="AS29" s="72" t="str">
        <f>IFERROR(IF(AND(Preferences!B$3="Manual",OR(AX29/AW29&gt;V29/U29,BD29="Serious",BD29="Very serious")),"Assess imprecision",IFERROR(IFS(AND(Preferences!B$3="Automatic",V29/U29&gt;=30),"Extremely serious",AND(W29&lt;=$D$1*-1,Y29&lt;0,V29/U29&lt;3),"Not Serious",AND(W29&lt;=$D$1*-1,Y29&lt;0,V29/U29&gt;=3),"Very serious",AND(W29&gt;=$D$1,X29&gt;0,V29/U29&lt;3),"Not Serious",AND(W29&gt;=$D$1,X29&gt;0,V29/U29&gt;=3),"Very serious",AND(W29&lt;=$D$1*-1,Y29&gt;0,X29&gt;$D$2*-1,V29/U29&lt;3),"Serious", AND(W29&lt;=$D$1*-1,Y29&gt;0,X29&lt;$D$2*-1,V29/U29&lt;3),"Very serious", AND(W29&gt;=$D$1,X29&lt;0,Y29&lt;$D$2,V29/U29&lt;3),"Serious",AND(W29&gt;=$D$1,X29&lt;0,Y29&gt;$D$2,V29/U29&lt;3),"Very serious", AND(W29&lt;=$D$1*-1,Y29&gt;0,X29&gt;$D$2*-1,V29/U29&gt;=3),"Very serious", AND(W29&lt;=$D$1*-1,Y29&gt;0,X29&lt;$D$2*-1,V29/U29&gt;=3),"Very serious", AND(W29&gt;=$D$1,X29&lt;0,Y29&lt;$D$2,V29/U29&gt;=3),"Very serious", AND(W29&gt;=$D$1,X29&lt;0,Y29&gt;$D$2,V29/U29&gt;=3),"Very serious", AND(W29&gt;$D$1*-1,W29&lt;$D$1,X29&gt;$D$1*-1,Y29&lt;$D$1,V29/U29&lt;3),"Not Serious", AND(W29&gt;$D$1*-1,W29&lt;$D$1,OR(X29&lt;=$D$1*-1,Y29&gt;=$D$1),X29&gt;$D$2*-1,Y29&lt;$D$2,V29/U29&lt;3),"Serious", AND(W29&gt;$D$1*-1,W29&lt;$D$1,OR(X29&lt;=$D$2*-1,Y29&gt;=$D$2),V29/U29&lt;3),"Very serious", AND(W29&gt;$D$1*-1,W29&lt;$D$1,X29&gt;$D$1*-1,Y29&lt;$D$1,V29/U29&gt;=3),"Very serious", AND(W29&gt;$D$1*-1,W29&lt;$D$1,OR(X29&lt;=$D$1*-1,Y29&gt;=$D$1),X29&gt;$D$2*-1,Y29&lt;$D$2,V29/U29&gt;=3),"Very serious", AND(W29&gt;$D$1*-1,W29&lt;$D$1,OR(X29&lt;=$D$2*-1,Y29&gt;=$D$2),V29/U29&gt;=3),"Very serious"),"")),"")</f>
        <v/>
      </c>
      <c r="AT29" s="109" t="str">
        <f t="shared" si="9"/>
        <v/>
      </c>
      <c r="AU29" s="64"/>
      <c r="AV29" s="117"/>
      <c r="AW29" s="117"/>
      <c r="AX29" s="117"/>
      <c r="AY29" s="118"/>
      <c r="AZ29" s="118"/>
      <c r="BA29" s="119"/>
      <c r="BB29" s="86" t="str">
        <f>IF(Preferences!B$9="Manual","",IFS(ISBLANK(B29),"",AND(ISNUMBER(E29)=TRUE,ISNUMBER(T29)=FALSE),"Direct", AND(ISNUMBER(E29)=FALSE,ISNUMBER(T29)=TRUE),"Indirect", CN29=4,"Direct",AND(CL29=FALSE, CM29=TRUE,CN29-CO29&gt;-1),"Direct", AND(CL29=FALSE,CM29=TRUE, CN29-CO29&lt;0),"Check algorithm in appendix 2", AND(CL29=TRUE, CM29=FALSE,CN29-CO29&gt;0),"Check algorithm in appendix 2", AND(CL29=TRUE, CM29=FALSE,CN29-CO29=0),"Indirect", AND(CL29=TRUE, CM29=FALSE,CN29-CO29&lt;0),"Indirect", AND(CL29=FALSE,CM29=FALSE,CN29-CO29&gt;-1),"Direct", AND(CL29=FALSE,CM29=FALSE,CN29-CO29&lt;0),"Check algorithm in appendix 2", AND(CL29=TRUE,CM29=TRUE,CN29-CO29&gt;-1),"Direct", AND(CL29=TRUE,CM29=TRUE,CN29-CO29&lt;0),"Check algorithm in appendix 2"))</f>
        <v/>
      </c>
      <c r="BC29" s="120" t="str">
        <f t="shared" si="10"/>
        <v/>
      </c>
      <c r="BD29" s="140"/>
      <c r="BE29" s="122" t="str">
        <f>IF(Preferences!B$3="Manual","", IFERROR(IFS(AND(Preferences!B$3="Automatic",AX29/AW29&gt;=30),"Extremely serious",AND(AY29&lt;=$D$1*-1,BA29&lt;0,AX29/AW29&lt;3),"Not Serious",AND(AY29&lt;=$D$1*-1,BA29&lt;0,AX29/AW29&gt;=3),"Very serious",AND(AY29&gt;=$D$1,AZ29&gt;0,AX29/AW29&lt;3),"Not Serious",AND(AY29&gt;=$D$1,AZ29&gt;0,AX29/AW29&gt;=3),"Very serious",AND(AY29&lt;=$D$1*-1,BA29&gt;0,AZ29&gt;$D$2*-1,AX29/AW29&lt;3),"Serious", AND(AY29&lt;=$D$1*-1,BA29&gt;0,AZ29&lt;$D$2*-1,AX29/AW29&lt;3),"Very serious", AND(AY29&gt;=$D$1,AZ29&lt;0,BA29&lt;$D$2,AX29/AW29&lt;3),"Serious",AND(AY29&gt;=$D$1,AZ29&lt;0,BA29&gt;$D$2,AX29/AW29&lt;3),"Very serious", AND(AY29&lt;=$D$1*-1,BA29&gt;0,AZ29&gt;$D$2*-1,AX29/AW29&gt;=3),"Very serious", AND(AY29&lt;=$D$1*-1,BA29&gt;0,AZ29&lt;$D$2*-1,AX29/AW29&gt;=3),"Very serious", AND(AY29&gt;=$D$1,AZ29&lt;0,BA29&lt;$D$2,AX29/AW29&gt;=3),"Very serious", AND(AY29&gt;=$D$1,AZ29&lt;0,BA29&gt;$D$2,AX29/AW29&gt;=3),"Very serious", AND(AY29&gt;$D$1*-1,AY29&lt;$D$1,AZ29&gt;$D$1*-1,BA29&lt;$D$1,AX29/AW29&lt;3),"Not Serious", AND(AY29&gt;$D$1*-1,AY29&lt;$D$1,OR(AZ29&lt;=$D$1*-1,BA29&gt;=$D$1),AZ29&gt;$D$2*-1,BA29&lt;$D$2,AX29/AW29&lt;3),"Serious", AND(AY29&gt;$D$1*-1,AY29&lt;$D$1,OR(AZ29&lt;=$D$2*-1,BA29&gt;=$D$2),AX29/AW29&lt;3),"Very serious", AND(AY29&gt;$D$1*-1,AY29&lt;$D$1,AZ29&gt;$D$1*-1,BA29&lt;$D$1,AX29/AW29&gt;=3),"Very serious", AND(AY29&gt;$D$1*-1,AY29&lt;$D$1,OR(AZ29&lt;=$D$1*-1,BA29&gt;=$D$1),AZ29&gt;$D$2*-1,BA29&lt;$D$2,AX29/AW29&gt;=3),"Very serious", AND(AY29&gt;$D$1*-1,AY29&lt;$D$1,OR(AZ29&lt;=$D$2*-1,BA29&gt;=$D$2),AX29/AW29&gt;=3),"Very serious"),""))</f>
        <v/>
      </c>
      <c r="BF29" s="107" t="str">
        <f t="shared" si="11"/>
        <v/>
      </c>
      <c r="BG29" s="94" t="str">
        <f t="shared" si="46"/>
        <v/>
      </c>
      <c r="BH29" s="64" t="str">
        <f t="shared" si="12"/>
        <v>#N/A</v>
      </c>
      <c r="BI29" s="64" t="str">
        <f t="shared" si="13"/>
        <v/>
      </c>
      <c r="BJ29" s="123" t="str">
        <f t="shared" si="14"/>
        <v>#N/A</v>
      </c>
      <c r="BK29" s="64" t="str">
        <f t="shared" si="15"/>
        <v>YES</v>
      </c>
      <c r="BL29" s="64" t="str">
        <f t="shared" si="16"/>
        <v>YES</v>
      </c>
      <c r="BM29" s="64" t="str">
        <f t="shared" si="17"/>
        <v>YES</v>
      </c>
      <c r="BN29" s="124" t="str">
        <f t="shared" si="18"/>
        <v/>
      </c>
      <c r="BO29" s="91" t="str">
        <f t="shared" si="19"/>
        <v/>
      </c>
      <c r="BP29" s="91" t="str">
        <f t="shared" si="20"/>
        <v>#N/A</v>
      </c>
      <c r="BQ29" s="91" t="str">
        <f t="shared" si="21"/>
        <v/>
      </c>
      <c r="BR29" s="93" t="str">
        <f t="shared" si="22"/>
        <v/>
      </c>
      <c r="BS29" s="90" t="str">
        <f t="shared" si="23"/>
        <v/>
      </c>
      <c r="BT29" s="93" t="str">
        <f t="shared" si="24"/>
        <v>NA</v>
      </c>
      <c r="BU29" s="125" t="str">
        <f t="shared" si="25"/>
        <v>#N/A</v>
      </c>
      <c r="BV29" s="93" t="str">
        <f t="shared" si="26"/>
        <v/>
      </c>
      <c r="BW29" s="93" t="str">
        <f t="shared" si="27"/>
        <v/>
      </c>
      <c r="BX29" s="93" t="str">
        <f t="shared" si="28"/>
        <v>NA</v>
      </c>
      <c r="BY29" s="95" t="str">
        <f t="shared" si="29"/>
        <v>#N/A</v>
      </c>
      <c r="BZ29" s="93" t="str">
        <f t="shared" si="30"/>
        <v/>
      </c>
      <c r="CA29" s="93" t="str">
        <f t="shared" si="31"/>
        <v/>
      </c>
      <c r="CB29" s="93" t="str">
        <f t="shared" si="32"/>
        <v>NA</v>
      </c>
      <c r="CC29" s="96" t="str">
        <f t="shared" si="33"/>
        <v>#N/A</v>
      </c>
      <c r="CD29" s="93" t="str">
        <f t="shared" si="34"/>
        <v/>
      </c>
      <c r="CE29" s="93" t="str">
        <f t="shared" si="35"/>
        <v/>
      </c>
      <c r="CF29" s="93" t="str">
        <f t="shared" si="36"/>
        <v>NA</v>
      </c>
      <c r="CG29" s="97" t="str">
        <f t="shared" si="37"/>
        <v>#N/A</v>
      </c>
      <c r="CH29" s="98" t="str">
        <f t="shared" si="38"/>
        <v>#N/A</v>
      </c>
      <c r="CI29" s="99" t="str">
        <f t="shared" si="39"/>
        <v>#N/A</v>
      </c>
      <c r="CJ29" s="126" t="str">
        <f t="shared" si="40"/>
        <v>ERROR: check cell</v>
      </c>
      <c r="CK29" s="126"/>
      <c r="CL29" s="127" t="str">
        <f t="shared" si="41"/>
        <v>#DIV/0!</v>
      </c>
      <c r="CM29" s="128" t="str">
        <f t="shared" si="42"/>
        <v>#DIV/0!</v>
      </c>
      <c r="CN29" s="128">
        <f t="shared" si="43"/>
        <v>4</v>
      </c>
      <c r="CO29" s="129">
        <f t="shared" si="44"/>
        <v>4</v>
      </c>
      <c r="CP29" s="129" t="str">
        <f>IFS(C29=Preferences!B$13,B29,B29=Preferences!B$13,C29)</f>
        <v>#N/A</v>
      </c>
    </row>
    <row r="30" ht="13.5" customHeight="1">
      <c r="A30" s="63" t="str">
        <f t="shared" si="45"/>
        <v/>
      </c>
      <c r="B30" s="64"/>
      <c r="C30" s="64"/>
      <c r="D30" s="64"/>
      <c r="E30" s="65"/>
      <c r="F30" s="65"/>
      <c r="G30" s="65"/>
      <c r="H30" s="65"/>
      <c r="I30" s="65"/>
      <c r="J30" s="141"/>
      <c r="K30" s="138"/>
      <c r="L30" s="104"/>
      <c r="M30" s="104"/>
      <c r="N30" s="104"/>
      <c r="O30" s="104"/>
      <c r="P30" s="107" t="str">
        <f t="shared" si="1"/>
        <v/>
      </c>
      <c r="Q30" s="108" t="str">
        <f>IFERROR(IF(AND(Preferences!B$3="Manual",OR(AX30/AW30&gt;G30/F30,BD30="Serious",BD30="Very serious")),"Assess imprecision",IFS(ISBLANK(E30),"",AND(Preferences!B$3="Automatic", G30/F30&gt;=30),"Extremely serious",AND(H30&lt;=$D$1*-1,J30&lt;0,G30/F30&lt;3),"Not serious",AND(H30&lt;=$D$1*-1,J30&lt;0,G30/F30&gt;=3),"Very serious",AND(H30&gt;=$D$1,I30&gt;0,G30/F30&lt;3),"Not serious",AND(H30&gt;=$D$1,I30&gt;0,G30/F30&gt;=3),"Very serious",AND(H30&lt;=$D$1*-1,J30&gt;0,I30&gt;$D$2*-1,G30/F30&lt;3),"Serious", AND(H30&lt;=$D$1*-1,J30&gt;0,I30&lt;$D$2*-1,G30/F30&lt;3),"Very serious", AND(H30&gt;=$D$1,I30&lt;0,J30&lt;$D$2,G30/F30&lt;3),"Serious",AND(H30&gt;=$D$1,I30&lt;0,J30&gt;$D$2,G30/F30&lt;3),"Very serious", AND(H30&lt;=$D$1*-1,J30&gt;0,I30&gt;$D$2*-1,G30/F30&gt;=3),"Very serious", AND(H30&lt;=$D$1*-1,J30&gt;0,I30&lt;$D$2*-1,G30/F30&gt;=3),"Very serious", AND(H30&gt;=$D$1,I30&lt;0,J30&lt;$D$2,G30/F30&gt;=3),"Very serious", AND(H30&gt;=$D$1,I30&lt;0,J30&gt;$D$2,G30/F30&gt;=3),"Very serious", AND(H30&gt;$D$1*-1,H30&lt;$D$1,I30&gt;$D$1*-1,J30&lt;$D$1,G30/F30&lt;3),"Not serious", AND(H30&gt;$D$1*-1,H30&lt;$D$1,OR(I30&lt;=$D$1*-1,J30&gt;=$D$1),I30&gt;$D$2*-1,J30&lt;$D$2,G30/F30&lt;3),"Serious", AND(H30&gt;$D$1*-1,H30&lt;$D$1,OR(I30&lt;=$D$2*-1,J30&gt;=$D$2),G30/F30&lt;3),"Very serious", AND(H30&gt;$D$1*-1,H30&lt;$D$1,I30&gt;$D$1*-1,J30&lt;$D$1,G30/F30&gt;=3),"Very serious", AND(H30&gt;$D$1*-1,H30&lt;$D$1,OR(I30&lt;=$D$1*-1,J30&gt;=$D$1),I30&gt;$D$2*-1,J30&lt;$D$2,G30/F30&gt;=3),"Very serious", AND(H30&gt;$D$1*-1,H30&lt;$D$1,OR(I30&lt;=$D$2*-1,J30&gt;=$D$2),G30/F30&gt;=3),"Very serious")),"")</f>
        <v/>
      </c>
      <c r="R30" s="109" t="str">
        <f t="shared" si="47"/>
        <v/>
      </c>
      <c r="S30" s="64"/>
      <c r="T30" s="139"/>
      <c r="U30" s="139"/>
      <c r="V30" s="139"/>
      <c r="W30" s="142"/>
      <c r="X30" s="142"/>
      <c r="Y30" s="143"/>
      <c r="Z30" s="113" t="str">
        <f t="array" ref="Z30">INDEX($A$1:$C$500, MATCH(1,($B:$B=$B30)*($C:$C=$AB30),0),1)</f>
        <v/>
      </c>
      <c r="AA30" s="113" t="str">
        <f t="array" ref="AA30">INDEX($A$1:$C$500, MATCH(1,($B:$B=$AB30)*($C:$C=$B30),0),1)</f>
        <v/>
      </c>
      <c r="AB30" s="111"/>
      <c r="AC30" s="114" t="str">
        <f t="shared" si="2"/>
        <v/>
      </c>
      <c r="AD30" s="115" t="str">
        <f t="shared" si="3"/>
        <v/>
      </c>
      <c r="AE30" s="116" t="str">
        <f t="array" ref="AE30">INDEX($A$1:$C$500, MATCH(1,($B:$B=$AB30)*($C:$C=$AG30),0),1)</f>
        <v/>
      </c>
      <c r="AF30" s="116" t="str">
        <f t="array" ref="AF30">INDEX($A$1:$C$500, MATCH(1,($B:$B=$AG30)*($C:$C=$AB30),0),1)</f>
        <v/>
      </c>
      <c r="AG30" s="72"/>
      <c r="AH30" s="114" t="str">
        <f t="shared" si="4"/>
        <v/>
      </c>
      <c r="AI30" s="115" t="str">
        <f t="shared" si="5"/>
        <v/>
      </c>
      <c r="AJ30" s="116" t="str">
        <f t="array" ref="AJ30">INDEX($A$1:$C$500, MATCH(1,($B:$B=$C30)*($C:$C=$AG30),0),1)</f>
        <v/>
      </c>
      <c r="AK30" s="116" t="str">
        <f t="array" ref="AK30">INDEX($A$1:$C$500, MATCH(1,($B:$B=$AG30)*($C:$C=$C30),0),1)</f>
        <v/>
      </c>
      <c r="AL30" s="116" t="str">
        <f t="array" ref="AL30">INDEX($A$1:$C$500, MATCH(1,($B:$B=$C30)*($C:$C=$AB30),0),1)</f>
        <v/>
      </c>
      <c r="AM30" s="116" t="str">
        <f t="array" ref="AM30">INDEX($A$1:$C$500, MATCH(1,($B:$B=$AB30)*($C:$C=$C30),0),1)</f>
        <v/>
      </c>
      <c r="AN30" s="114" t="str">
        <f t="array" ref="AN30">IFS(ISNUMBER(AJ30),AJ30,ISNUMBER(AK30),AK30,ISNUMBER(AL30),AL30,ISNUMBER(AM30),AM30)</f>
        <v>#N/A</v>
      </c>
      <c r="AO30" s="115" t="str">
        <f t="shared" si="6"/>
        <v/>
      </c>
      <c r="AP30" s="115" t="str">
        <f t="shared" si="7"/>
        <v/>
      </c>
      <c r="AQ30" s="111"/>
      <c r="AR30" s="109" t="str">
        <f t="shared" si="8"/>
        <v/>
      </c>
      <c r="AS30" s="72" t="str">
        <f>IFERROR(IF(AND(Preferences!B$3="Manual",OR(AX30/AW30&gt;V30/U30,BD30="Serious",BD30="Very serious")),"Assess imprecision",IFERROR(IFS(AND(Preferences!B$3="Automatic",V30/U30&gt;=30),"Extremely serious",AND(W30&lt;=$D$1*-1,Y30&lt;0,V30/U30&lt;3),"Not Serious",AND(W30&lt;=$D$1*-1,Y30&lt;0,V30/U30&gt;=3),"Very serious",AND(W30&gt;=$D$1,X30&gt;0,V30/U30&lt;3),"Not Serious",AND(W30&gt;=$D$1,X30&gt;0,V30/U30&gt;=3),"Very serious",AND(W30&lt;=$D$1*-1,Y30&gt;0,X30&gt;$D$2*-1,V30/U30&lt;3),"Serious", AND(W30&lt;=$D$1*-1,Y30&gt;0,X30&lt;$D$2*-1,V30/U30&lt;3),"Very serious", AND(W30&gt;=$D$1,X30&lt;0,Y30&lt;$D$2,V30/U30&lt;3),"Serious",AND(W30&gt;=$D$1,X30&lt;0,Y30&gt;$D$2,V30/U30&lt;3),"Very serious", AND(W30&lt;=$D$1*-1,Y30&gt;0,X30&gt;$D$2*-1,V30/U30&gt;=3),"Very serious", AND(W30&lt;=$D$1*-1,Y30&gt;0,X30&lt;$D$2*-1,V30/U30&gt;=3),"Very serious", AND(W30&gt;=$D$1,X30&lt;0,Y30&lt;$D$2,V30/U30&gt;=3),"Very serious", AND(W30&gt;=$D$1,X30&lt;0,Y30&gt;$D$2,V30/U30&gt;=3),"Very serious", AND(W30&gt;$D$1*-1,W30&lt;$D$1,X30&gt;$D$1*-1,Y30&lt;$D$1,V30/U30&lt;3),"Not Serious", AND(W30&gt;$D$1*-1,W30&lt;$D$1,OR(X30&lt;=$D$1*-1,Y30&gt;=$D$1),X30&gt;$D$2*-1,Y30&lt;$D$2,V30/U30&lt;3),"Serious", AND(W30&gt;$D$1*-1,W30&lt;$D$1,OR(X30&lt;=$D$2*-1,Y30&gt;=$D$2),V30/U30&lt;3),"Very serious", AND(W30&gt;$D$1*-1,W30&lt;$D$1,X30&gt;$D$1*-1,Y30&lt;$D$1,V30/U30&gt;=3),"Very serious", AND(W30&gt;$D$1*-1,W30&lt;$D$1,OR(X30&lt;=$D$1*-1,Y30&gt;=$D$1),X30&gt;$D$2*-1,Y30&lt;$D$2,V30/U30&gt;=3),"Very serious", AND(W30&gt;$D$1*-1,W30&lt;$D$1,OR(X30&lt;=$D$2*-1,Y30&gt;=$D$2),V30/U30&gt;=3),"Very serious"),"")),"")</f>
        <v/>
      </c>
      <c r="AT30" s="109" t="str">
        <f t="shared" si="9"/>
        <v/>
      </c>
      <c r="AU30" s="64"/>
      <c r="AV30" s="117"/>
      <c r="AW30" s="117"/>
      <c r="AX30" s="117"/>
      <c r="AY30" s="118"/>
      <c r="AZ30" s="118"/>
      <c r="BA30" s="119"/>
      <c r="BB30" s="86" t="str">
        <f>IF(Preferences!B$9="Manual","",IFS(ISBLANK(B30),"",AND(ISNUMBER(E30)=TRUE,ISNUMBER(T30)=FALSE),"Direct", AND(ISNUMBER(E30)=FALSE,ISNUMBER(T30)=TRUE),"Indirect", CN30=4,"Direct",AND(CL30=FALSE, CM30=TRUE,CN30-CO30&gt;-1),"Direct", AND(CL30=FALSE,CM30=TRUE, CN30-CO30&lt;0),"Check algorithm in appendix 2", AND(CL30=TRUE, CM30=FALSE,CN30-CO30&gt;0),"Check algorithm in appendix 2", AND(CL30=TRUE, CM30=FALSE,CN30-CO30=0),"Indirect", AND(CL30=TRUE, CM30=FALSE,CN30-CO30&lt;0),"Indirect", AND(CL30=FALSE,CM30=FALSE,CN30-CO30&gt;-1),"Direct", AND(CL30=FALSE,CM30=FALSE,CN30-CO30&lt;0),"Check algorithm in appendix 2", AND(CL30=TRUE,CM30=TRUE,CN30-CO30&gt;-1),"Direct", AND(CL30=TRUE,CM30=TRUE,CN30-CO30&lt;0),"Check algorithm in appendix 2"))</f>
        <v/>
      </c>
      <c r="BC30" s="120" t="str">
        <f t="shared" si="10"/>
        <v/>
      </c>
      <c r="BD30" s="140"/>
      <c r="BE30" s="122" t="str">
        <f>IF(Preferences!B$3="Manual","", IFERROR(IFS(AND(Preferences!B$3="Automatic",AX30/AW30&gt;=30),"Extremely serious",AND(AY30&lt;=$D$1*-1,BA30&lt;0,AX30/AW30&lt;3),"Not Serious",AND(AY30&lt;=$D$1*-1,BA30&lt;0,AX30/AW30&gt;=3),"Very serious",AND(AY30&gt;=$D$1,AZ30&gt;0,AX30/AW30&lt;3),"Not Serious",AND(AY30&gt;=$D$1,AZ30&gt;0,AX30/AW30&gt;=3),"Very serious",AND(AY30&lt;=$D$1*-1,BA30&gt;0,AZ30&gt;$D$2*-1,AX30/AW30&lt;3),"Serious", AND(AY30&lt;=$D$1*-1,BA30&gt;0,AZ30&lt;$D$2*-1,AX30/AW30&lt;3),"Very serious", AND(AY30&gt;=$D$1,AZ30&lt;0,BA30&lt;$D$2,AX30/AW30&lt;3),"Serious",AND(AY30&gt;=$D$1,AZ30&lt;0,BA30&gt;$D$2,AX30/AW30&lt;3),"Very serious", AND(AY30&lt;=$D$1*-1,BA30&gt;0,AZ30&gt;$D$2*-1,AX30/AW30&gt;=3),"Very serious", AND(AY30&lt;=$D$1*-1,BA30&gt;0,AZ30&lt;$D$2*-1,AX30/AW30&gt;=3),"Very serious", AND(AY30&gt;=$D$1,AZ30&lt;0,BA30&lt;$D$2,AX30/AW30&gt;=3),"Very serious", AND(AY30&gt;=$D$1,AZ30&lt;0,BA30&gt;$D$2,AX30/AW30&gt;=3),"Very serious", AND(AY30&gt;$D$1*-1,AY30&lt;$D$1,AZ30&gt;$D$1*-1,BA30&lt;$D$1,AX30/AW30&lt;3),"Not Serious", AND(AY30&gt;$D$1*-1,AY30&lt;$D$1,OR(AZ30&lt;=$D$1*-1,BA30&gt;=$D$1),AZ30&gt;$D$2*-1,BA30&lt;$D$2,AX30/AW30&lt;3),"Serious", AND(AY30&gt;$D$1*-1,AY30&lt;$D$1,OR(AZ30&lt;=$D$2*-1,BA30&gt;=$D$2),AX30/AW30&lt;3),"Very serious", AND(AY30&gt;$D$1*-1,AY30&lt;$D$1,AZ30&gt;$D$1*-1,BA30&lt;$D$1,AX30/AW30&gt;=3),"Very serious", AND(AY30&gt;$D$1*-1,AY30&lt;$D$1,OR(AZ30&lt;=$D$1*-1,BA30&gt;=$D$1),AZ30&gt;$D$2*-1,BA30&lt;$D$2,AX30/AW30&gt;=3),"Very serious", AND(AY30&gt;$D$1*-1,AY30&lt;$D$1,OR(AZ30&lt;=$D$2*-1,BA30&gt;=$D$2),AX30/AW30&gt;=3),"Very serious"),""))</f>
        <v/>
      </c>
      <c r="BF30" s="107" t="str">
        <f t="shared" si="11"/>
        <v/>
      </c>
      <c r="BG30" s="94" t="str">
        <f t="shared" si="46"/>
        <v/>
      </c>
      <c r="BH30" s="64" t="str">
        <f t="shared" si="12"/>
        <v>#N/A</v>
      </c>
      <c r="BI30" s="64" t="str">
        <f t="shared" si="13"/>
        <v/>
      </c>
      <c r="BJ30" s="123" t="str">
        <f t="shared" si="14"/>
        <v>#N/A</v>
      </c>
      <c r="BK30" s="64" t="str">
        <f t="shared" si="15"/>
        <v>YES</v>
      </c>
      <c r="BL30" s="64" t="str">
        <f t="shared" si="16"/>
        <v>YES</v>
      </c>
      <c r="BM30" s="64" t="str">
        <f t="shared" si="17"/>
        <v>YES</v>
      </c>
      <c r="BN30" s="124" t="str">
        <f t="shared" si="18"/>
        <v/>
      </c>
      <c r="BO30" s="91" t="str">
        <f t="shared" si="19"/>
        <v/>
      </c>
      <c r="BP30" s="91" t="str">
        <f t="shared" si="20"/>
        <v>#N/A</v>
      </c>
      <c r="BQ30" s="91" t="str">
        <f t="shared" si="21"/>
        <v/>
      </c>
      <c r="BR30" s="93" t="str">
        <f t="shared" si="22"/>
        <v/>
      </c>
      <c r="BS30" s="90" t="str">
        <f t="shared" si="23"/>
        <v/>
      </c>
      <c r="BT30" s="93" t="str">
        <f t="shared" si="24"/>
        <v>NA</v>
      </c>
      <c r="BU30" s="125" t="str">
        <f t="shared" si="25"/>
        <v>#N/A</v>
      </c>
      <c r="BV30" s="93" t="str">
        <f t="shared" si="26"/>
        <v/>
      </c>
      <c r="BW30" s="93" t="str">
        <f t="shared" si="27"/>
        <v/>
      </c>
      <c r="BX30" s="93" t="str">
        <f t="shared" si="28"/>
        <v>NA</v>
      </c>
      <c r="BY30" s="95" t="str">
        <f t="shared" si="29"/>
        <v>#N/A</v>
      </c>
      <c r="BZ30" s="93" t="str">
        <f t="shared" si="30"/>
        <v/>
      </c>
      <c r="CA30" s="93" t="str">
        <f t="shared" si="31"/>
        <v/>
      </c>
      <c r="CB30" s="93" t="str">
        <f t="shared" si="32"/>
        <v>NA</v>
      </c>
      <c r="CC30" s="96" t="str">
        <f t="shared" si="33"/>
        <v>#N/A</v>
      </c>
      <c r="CD30" s="93" t="str">
        <f t="shared" si="34"/>
        <v/>
      </c>
      <c r="CE30" s="93" t="str">
        <f t="shared" si="35"/>
        <v/>
      </c>
      <c r="CF30" s="93" t="str">
        <f t="shared" si="36"/>
        <v>NA</v>
      </c>
      <c r="CG30" s="97" t="str">
        <f t="shared" si="37"/>
        <v>#N/A</v>
      </c>
      <c r="CH30" s="98" t="str">
        <f t="shared" si="38"/>
        <v>#N/A</v>
      </c>
      <c r="CI30" s="99" t="str">
        <f t="shared" si="39"/>
        <v>#N/A</v>
      </c>
      <c r="CJ30" s="126" t="str">
        <f t="shared" si="40"/>
        <v>ERROR: check cell</v>
      </c>
      <c r="CK30" s="126" t="str">
        <f>if(AND(T30&lt;1=TRUE,E30&lt;1=TRUE)=TRUE,if(OR(AND(V30&gt;G30=TRUE,G30&gt;U30=TRUE),AND(G30&gt;V30=TRUE,V30&gt;F30=TRUE)=TRUE)=TRUE,"No serious incoherence","Quantitative incoherence (same direction of effect)"),if(AND(T30&gt;1=TRUE,E30&gt;1=TRUE)=TRUE,if(OR(AND(V30&gt;G30=TRUE,G30&gt;U30=TRUE),AND(G30&gt;V30=TRUE,V30&gt;F30=TRUE)=TRUE)=TRUE,"No serious incoherence","Quantitative incoherence (same direction of effect)"),if(OR(AND(T30&lt;1=TRUE,E30&gt;1=TRUE)=TRUE,AND(T30&gt;1=TRUE,E30&lt;1=TRUE)=TRUE)=TRUE,if(OR(AND(V30&gt;G30=TRUE,G30&gt;U30=TRUE),AND(G30&gt;V30=TRUE,V30&gt;F30=TRUE)=TRUE)=TRUE,"No serious incoherence","Qualitative incoherence (different direction of effect)"))))</f>
        <v>Quantitative incoherence (same direction of effect)</v>
      </c>
      <c r="CL30" s="127" t="str">
        <f t="shared" si="41"/>
        <v>#DIV/0!</v>
      </c>
      <c r="CM30" s="128" t="str">
        <f t="shared" si="42"/>
        <v>#DIV/0!</v>
      </c>
      <c r="CN30" s="128">
        <f t="shared" si="43"/>
        <v>4</v>
      </c>
      <c r="CO30" s="129">
        <f t="shared" si="44"/>
        <v>4</v>
      </c>
      <c r="CP30" s="129" t="str">
        <f>IFS(C30=Preferences!B$13,B30,B30=Preferences!B$13,C30)</f>
        <v>#N/A</v>
      </c>
    </row>
    <row r="31" ht="13.5" customHeight="1">
      <c r="A31" s="63" t="str">
        <f t="shared" si="45"/>
        <v/>
      </c>
      <c r="B31" s="64"/>
      <c r="C31" s="64"/>
      <c r="D31" s="64"/>
      <c r="E31" s="65"/>
      <c r="F31" s="65"/>
      <c r="G31" s="65"/>
      <c r="H31" s="65"/>
      <c r="I31" s="65"/>
      <c r="J31" s="141"/>
      <c r="K31" s="138"/>
      <c r="L31" s="133"/>
      <c r="M31" s="133"/>
      <c r="N31" s="133"/>
      <c r="O31" s="133"/>
      <c r="P31" s="107" t="str">
        <f t="shared" si="1"/>
        <v/>
      </c>
      <c r="Q31" s="108" t="str">
        <f>IFERROR(IF(AND(Preferences!B$3="Manual",OR(AX31/AW31&gt;G31/F31,BD31="Serious",BD31="Very serious")),"Assess imprecision",IFS(ISBLANK(E31),"",AND(Preferences!B$3="Automatic", G31/F31&gt;=30),"Extremely serious",AND(H31&lt;=$D$1*-1,J31&lt;0,G31/F31&lt;3),"Not serious",AND(H31&lt;=$D$1*-1,J31&lt;0,G31/F31&gt;=3),"Very serious",AND(H31&gt;=$D$1,I31&gt;0,G31/F31&lt;3),"Not serious",AND(H31&gt;=$D$1,I31&gt;0,G31/F31&gt;=3),"Very serious",AND(H31&lt;=$D$1*-1,J31&gt;0,I31&gt;$D$2*-1,G31/F31&lt;3),"Serious", AND(H31&lt;=$D$1*-1,J31&gt;0,I31&lt;$D$2*-1,G31/F31&lt;3),"Very serious", AND(H31&gt;=$D$1,I31&lt;0,J31&lt;$D$2,G31/F31&lt;3),"Serious",AND(H31&gt;=$D$1,I31&lt;0,J31&gt;$D$2,G31/F31&lt;3),"Very serious", AND(H31&lt;=$D$1*-1,J31&gt;0,I31&gt;$D$2*-1,G31/F31&gt;=3),"Very serious", AND(H31&lt;=$D$1*-1,J31&gt;0,I31&lt;$D$2*-1,G31/F31&gt;=3),"Very serious", AND(H31&gt;=$D$1,I31&lt;0,J31&lt;$D$2,G31/F31&gt;=3),"Very serious", AND(H31&gt;=$D$1,I31&lt;0,J31&gt;$D$2,G31/F31&gt;=3),"Very serious", AND(H31&gt;$D$1*-1,H31&lt;$D$1,I31&gt;$D$1*-1,J31&lt;$D$1,G31/F31&lt;3),"Not serious", AND(H31&gt;$D$1*-1,H31&lt;$D$1,OR(I31&lt;=$D$1*-1,J31&gt;=$D$1),I31&gt;$D$2*-1,J31&lt;$D$2,G31/F31&lt;3),"Serious", AND(H31&gt;$D$1*-1,H31&lt;$D$1,OR(I31&lt;=$D$2*-1,J31&gt;=$D$2),G31/F31&lt;3),"Very serious", AND(H31&gt;$D$1*-1,H31&lt;$D$1,I31&gt;$D$1*-1,J31&lt;$D$1,G31/F31&gt;=3),"Very serious", AND(H31&gt;$D$1*-1,H31&lt;$D$1,OR(I31&lt;=$D$1*-1,J31&gt;=$D$1),I31&gt;$D$2*-1,J31&lt;$D$2,G31/F31&gt;=3),"Very serious", AND(H31&gt;$D$1*-1,H31&lt;$D$1,OR(I31&lt;=$D$2*-1,J31&gt;=$D$2),G31/F31&gt;=3),"Very serious")),"")</f>
        <v/>
      </c>
      <c r="R31" s="109" t="str">
        <f t="shared" si="47"/>
        <v/>
      </c>
      <c r="S31" s="64"/>
      <c r="T31" s="139"/>
      <c r="U31" s="139"/>
      <c r="V31" s="139"/>
      <c r="W31" s="142"/>
      <c r="X31" s="142"/>
      <c r="Y31" s="143"/>
      <c r="Z31" s="113" t="str">
        <f t="array" ref="Z31">INDEX($A$1:$C$500, MATCH(1,($B:$B=$B31)*($C:$C=$AB31),0),1)</f>
        <v/>
      </c>
      <c r="AA31" s="113" t="str">
        <f t="array" ref="AA31">INDEX($A$1:$C$500, MATCH(1,($B:$B=$AB31)*($C:$C=$B31),0),1)</f>
        <v/>
      </c>
      <c r="AB31" s="111"/>
      <c r="AC31" s="114" t="str">
        <f t="shared" si="2"/>
        <v/>
      </c>
      <c r="AD31" s="115" t="str">
        <f t="shared" si="3"/>
        <v/>
      </c>
      <c r="AE31" s="116" t="str">
        <f t="array" ref="AE31">INDEX($A$1:$C$500, MATCH(1,($B:$B=$AB31)*($C:$C=$AG31),0),1)</f>
        <v/>
      </c>
      <c r="AF31" s="116" t="str">
        <f t="array" ref="AF31">INDEX($A$1:$C$500, MATCH(1,($B:$B=$AG31)*($C:$C=$AB31),0),1)</f>
        <v/>
      </c>
      <c r="AG31" s="72"/>
      <c r="AH31" s="114" t="str">
        <f t="shared" si="4"/>
        <v/>
      </c>
      <c r="AI31" s="115" t="str">
        <f t="shared" si="5"/>
        <v/>
      </c>
      <c r="AJ31" s="116" t="str">
        <f t="array" ref="AJ31">INDEX($A$1:$C$500, MATCH(1,($B:$B=$C31)*($C:$C=$AG31),0),1)</f>
        <v/>
      </c>
      <c r="AK31" s="116" t="str">
        <f t="array" ref="AK31">INDEX($A$1:$C$500, MATCH(1,($B:$B=$AG31)*($C:$C=$C31),0),1)</f>
        <v/>
      </c>
      <c r="AL31" s="116" t="str">
        <f t="array" ref="AL31">INDEX($A$1:$C$500, MATCH(1,($B:$B=$C31)*($C:$C=$AB31),0),1)</f>
        <v/>
      </c>
      <c r="AM31" s="116" t="str">
        <f t="array" ref="AM31">INDEX($A$1:$C$500, MATCH(1,($B:$B=$AB31)*($C:$C=$C31),0),1)</f>
        <v/>
      </c>
      <c r="AN31" s="114" t="str">
        <f t="array" ref="AN31">IFS(ISNUMBER(AJ31),AJ31,ISNUMBER(AK31),AK31,ISNUMBER(AL31),AL31,ISNUMBER(AM31),AM31)</f>
        <v>#N/A</v>
      </c>
      <c r="AO31" s="115" t="str">
        <f t="shared" si="6"/>
        <v/>
      </c>
      <c r="AP31" s="115" t="str">
        <f t="shared" si="7"/>
        <v/>
      </c>
      <c r="AQ31" s="72"/>
      <c r="AR31" s="109" t="str">
        <f t="shared" si="8"/>
        <v/>
      </c>
      <c r="AS31" s="72" t="str">
        <f>IFERROR(IF(AND(Preferences!B$3="Manual",OR(AX31/AW31&gt;V31/U31,BD31="Serious",BD31="Very serious")),"Assess imprecision",IFERROR(IFS(AND(Preferences!B$3="Automatic",V31/U31&gt;=30),"Extremely serious",AND(W31&lt;=$D$1*-1,Y31&lt;0,V31/U31&lt;3),"Not Serious",AND(W31&lt;=$D$1*-1,Y31&lt;0,V31/U31&gt;=3),"Very serious",AND(W31&gt;=$D$1,X31&gt;0,V31/U31&lt;3),"Not Serious",AND(W31&gt;=$D$1,X31&gt;0,V31/U31&gt;=3),"Very serious",AND(W31&lt;=$D$1*-1,Y31&gt;0,X31&gt;$D$2*-1,V31/U31&lt;3),"Serious", AND(W31&lt;=$D$1*-1,Y31&gt;0,X31&lt;$D$2*-1,V31/U31&lt;3),"Very serious", AND(W31&gt;=$D$1,X31&lt;0,Y31&lt;$D$2,V31/U31&lt;3),"Serious",AND(W31&gt;=$D$1,X31&lt;0,Y31&gt;$D$2,V31/U31&lt;3),"Very serious", AND(W31&lt;=$D$1*-1,Y31&gt;0,X31&gt;$D$2*-1,V31/U31&gt;=3),"Very serious", AND(W31&lt;=$D$1*-1,Y31&gt;0,X31&lt;$D$2*-1,V31/U31&gt;=3),"Very serious", AND(W31&gt;=$D$1,X31&lt;0,Y31&lt;$D$2,V31/U31&gt;=3),"Very serious", AND(W31&gt;=$D$1,X31&lt;0,Y31&gt;$D$2,V31/U31&gt;=3),"Very serious", AND(W31&gt;$D$1*-1,W31&lt;$D$1,X31&gt;$D$1*-1,Y31&lt;$D$1,V31/U31&lt;3),"Not Serious", AND(W31&gt;$D$1*-1,W31&lt;$D$1,OR(X31&lt;=$D$1*-1,Y31&gt;=$D$1),X31&gt;$D$2*-1,Y31&lt;$D$2,V31/U31&lt;3),"Serious", AND(W31&gt;$D$1*-1,W31&lt;$D$1,OR(X31&lt;=$D$2*-1,Y31&gt;=$D$2),V31/U31&lt;3),"Very serious", AND(W31&gt;$D$1*-1,W31&lt;$D$1,X31&gt;$D$1*-1,Y31&lt;$D$1,V31/U31&gt;=3),"Very serious", AND(W31&gt;$D$1*-1,W31&lt;$D$1,OR(X31&lt;=$D$1*-1,Y31&gt;=$D$1),X31&gt;$D$2*-1,Y31&lt;$D$2,V31/U31&gt;=3),"Very serious", AND(W31&gt;$D$1*-1,W31&lt;$D$1,OR(X31&lt;=$D$2*-1,Y31&gt;=$D$2),V31/U31&gt;=3),"Very serious"),"")),"")</f>
        <v/>
      </c>
      <c r="AT31" s="109" t="str">
        <f t="shared" si="9"/>
        <v/>
      </c>
      <c r="AU31" s="64"/>
      <c r="AV31" s="117"/>
      <c r="AW31" s="117"/>
      <c r="AX31" s="117"/>
      <c r="AY31" s="118"/>
      <c r="AZ31" s="118"/>
      <c r="BA31" s="119"/>
      <c r="BB31" s="86" t="str">
        <f>IF(Preferences!B$9="Manual","",IFS(ISBLANK(B31),"",AND(ISNUMBER(E31)=TRUE,ISNUMBER(T31)=FALSE),"Direct", AND(ISNUMBER(E31)=FALSE,ISNUMBER(T31)=TRUE),"Indirect", CN31=4,"Direct",AND(CL31=FALSE, CM31=TRUE,CN31-CO31&gt;-1),"Direct", AND(CL31=FALSE,CM31=TRUE, CN31-CO31&lt;0),"Check algorithm in appendix 2", AND(CL31=TRUE, CM31=FALSE,CN31-CO31&gt;0),"Check algorithm in appendix 2", AND(CL31=TRUE, CM31=FALSE,CN31-CO31=0),"Indirect", AND(CL31=TRUE, CM31=FALSE,CN31-CO31&lt;0),"Indirect", AND(CL31=FALSE,CM31=FALSE,CN31-CO31&gt;-1),"Direct", AND(CL31=FALSE,CM31=FALSE,CN31-CO31&lt;0),"Check algorithm in appendix 2", AND(CL31=TRUE,CM31=TRUE,CN31-CO31&gt;-1),"Direct", AND(CL31=TRUE,CM31=TRUE,CN31-CO31&lt;0),"Check algorithm in appendix 2"))</f>
        <v/>
      </c>
      <c r="BC31" s="120" t="str">
        <f t="shared" si="10"/>
        <v/>
      </c>
      <c r="BD31" s="140"/>
      <c r="BE31" s="122" t="str">
        <f>IF(Preferences!B$3="Manual","", IFERROR(IFS(AND(Preferences!B$3="Automatic",AX31/AW31&gt;=30),"Extremely serious",AND(AY31&lt;=$D$1*-1,BA31&lt;0,AX31/AW31&lt;3),"Not Serious",AND(AY31&lt;=$D$1*-1,BA31&lt;0,AX31/AW31&gt;=3),"Very serious",AND(AY31&gt;=$D$1,AZ31&gt;0,AX31/AW31&lt;3),"Not Serious",AND(AY31&gt;=$D$1,AZ31&gt;0,AX31/AW31&gt;=3),"Very serious",AND(AY31&lt;=$D$1*-1,BA31&gt;0,AZ31&gt;$D$2*-1,AX31/AW31&lt;3),"Serious", AND(AY31&lt;=$D$1*-1,BA31&gt;0,AZ31&lt;$D$2*-1,AX31/AW31&lt;3),"Very serious", AND(AY31&gt;=$D$1,AZ31&lt;0,BA31&lt;$D$2,AX31/AW31&lt;3),"Serious",AND(AY31&gt;=$D$1,AZ31&lt;0,BA31&gt;$D$2,AX31/AW31&lt;3),"Very serious", AND(AY31&lt;=$D$1*-1,BA31&gt;0,AZ31&gt;$D$2*-1,AX31/AW31&gt;=3),"Very serious", AND(AY31&lt;=$D$1*-1,BA31&gt;0,AZ31&lt;$D$2*-1,AX31/AW31&gt;=3),"Very serious", AND(AY31&gt;=$D$1,AZ31&lt;0,BA31&lt;$D$2,AX31/AW31&gt;=3),"Very serious", AND(AY31&gt;=$D$1,AZ31&lt;0,BA31&gt;$D$2,AX31/AW31&gt;=3),"Very serious", AND(AY31&gt;$D$1*-1,AY31&lt;$D$1,AZ31&gt;$D$1*-1,BA31&lt;$D$1,AX31/AW31&lt;3),"Not Serious", AND(AY31&gt;$D$1*-1,AY31&lt;$D$1,OR(AZ31&lt;=$D$1*-1,BA31&gt;=$D$1),AZ31&gt;$D$2*-1,BA31&lt;$D$2,AX31/AW31&lt;3),"Serious", AND(AY31&gt;$D$1*-1,AY31&lt;$D$1,OR(AZ31&lt;=$D$2*-1,BA31&gt;=$D$2),AX31/AW31&lt;3),"Very serious", AND(AY31&gt;$D$1*-1,AY31&lt;$D$1,AZ31&gt;$D$1*-1,BA31&lt;$D$1,AX31/AW31&gt;=3),"Very serious", AND(AY31&gt;$D$1*-1,AY31&lt;$D$1,OR(AZ31&lt;=$D$1*-1,BA31&gt;=$D$1),AZ31&gt;$D$2*-1,BA31&lt;$D$2,AX31/AW31&gt;=3),"Very serious", AND(AY31&gt;$D$1*-1,AY31&lt;$D$1,OR(AZ31&lt;=$D$2*-1,BA31&gt;=$D$2),AX31/AW31&gt;=3),"Very serious"),""))</f>
        <v/>
      </c>
      <c r="BF31" s="107" t="str">
        <f t="shared" si="11"/>
        <v/>
      </c>
      <c r="BG31" s="94" t="str">
        <f t="shared" si="46"/>
        <v/>
      </c>
      <c r="BH31" s="64" t="str">
        <f t="shared" si="12"/>
        <v>#N/A</v>
      </c>
      <c r="BI31" s="64" t="str">
        <f t="shared" si="13"/>
        <v/>
      </c>
      <c r="BJ31" s="123" t="str">
        <f t="shared" si="14"/>
        <v>#N/A</v>
      </c>
      <c r="BK31" s="64" t="str">
        <f t="shared" si="15"/>
        <v>YES</v>
      </c>
      <c r="BL31" s="64" t="str">
        <f t="shared" si="16"/>
        <v>YES</v>
      </c>
      <c r="BM31" s="64" t="str">
        <f t="shared" si="17"/>
        <v>YES</v>
      </c>
      <c r="BN31" s="124" t="str">
        <f t="shared" si="18"/>
        <v/>
      </c>
      <c r="BO31" s="91" t="str">
        <f t="shared" si="19"/>
        <v/>
      </c>
      <c r="BP31" s="91" t="str">
        <f t="shared" si="20"/>
        <v>#N/A</v>
      </c>
      <c r="BQ31" s="91" t="str">
        <f t="shared" si="21"/>
        <v/>
      </c>
      <c r="BR31" s="93" t="str">
        <f t="shared" si="22"/>
        <v/>
      </c>
      <c r="BS31" s="90" t="str">
        <f t="shared" si="23"/>
        <v/>
      </c>
      <c r="BT31" s="93" t="str">
        <f t="shared" si="24"/>
        <v>NA</v>
      </c>
      <c r="BU31" s="125" t="str">
        <f t="shared" si="25"/>
        <v>#N/A</v>
      </c>
      <c r="BV31" s="93" t="str">
        <f t="shared" si="26"/>
        <v/>
      </c>
      <c r="BW31" s="93" t="str">
        <f t="shared" si="27"/>
        <v/>
      </c>
      <c r="BX31" s="93" t="str">
        <f t="shared" si="28"/>
        <v>NA</v>
      </c>
      <c r="BY31" s="95" t="str">
        <f t="shared" si="29"/>
        <v>#N/A</v>
      </c>
      <c r="BZ31" s="93" t="str">
        <f t="shared" si="30"/>
        <v/>
      </c>
      <c r="CA31" s="93" t="str">
        <f t="shared" si="31"/>
        <v/>
      </c>
      <c r="CB31" s="93" t="str">
        <f t="shared" si="32"/>
        <v>NA</v>
      </c>
      <c r="CC31" s="96" t="str">
        <f t="shared" si="33"/>
        <v>#N/A</v>
      </c>
      <c r="CD31" s="93" t="str">
        <f t="shared" si="34"/>
        <v/>
      </c>
      <c r="CE31" s="93" t="str">
        <f t="shared" si="35"/>
        <v/>
      </c>
      <c r="CF31" s="93" t="str">
        <f t="shared" si="36"/>
        <v>NA</v>
      </c>
      <c r="CG31" s="97" t="str">
        <f t="shared" si="37"/>
        <v>#N/A</v>
      </c>
      <c r="CH31" s="98" t="str">
        <f t="shared" si="38"/>
        <v>#N/A</v>
      </c>
      <c r="CI31" s="99" t="str">
        <f t="shared" si="39"/>
        <v>#N/A</v>
      </c>
      <c r="CJ31" s="126" t="str">
        <f t="shared" si="40"/>
        <v>ERROR: check cell</v>
      </c>
      <c r="CK31" s="126"/>
      <c r="CL31" s="127" t="str">
        <f t="shared" si="41"/>
        <v>#DIV/0!</v>
      </c>
      <c r="CM31" s="128" t="str">
        <f t="shared" si="42"/>
        <v>#DIV/0!</v>
      </c>
      <c r="CN31" s="128">
        <f t="shared" si="43"/>
        <v>4</v>
      </c>
      <c r="CO31" s="129">
        <f t="shared" si="44"/>
        <v>4</v>
      </c>
      <c r="CP31" s="129" t="str">
        <f>IFS(C31=Preferences!B$13,B31,B31=Preferences!B$13,C31)</f>
        <v>#N/A</v>
      </c>
    </row>
    <row r="32" ht="13.5" customHeight="1">
      <c r="A32" s="63" t="str">
        <f t="shared" si="45"/>
        <v/>
      </c>
      <c r="B32" s="64"/>
      <c r="C32" s="64"/>
      <c r="D32" s="64"/>
      <c r="E32" s="65"/>
      <c r="F32" s="65"/>
      <c r="G32" s="65"/>
      <c r="H32" s="65"/>
      <c r="I32" s="65"/>
      <c r="J32" s="141"/>
      <c r="K32" s="138"/>
      <c r="L32" s="104"/>
      <c r="M32" s="104"/>
      <c r="N32" s="104"/>
      <c r="O32" s="104"/>
      <c r="P32" s="107" t="str">
        <f t="shared" si="1"/>
        <v/>
      </c>
      <c r="Q32" s="108" t="str">
        <f>IFERROR(IF(AND(Preferences!B$3="Manual",OR(AX32/AW32&gt;G32/F32,BD32="Serious",BD32="Very serious")),"Assess imprecision",IFS(ISBLANK(E32),"",AND(Preferences!B$3="Automatic", G32/F32&gt;=30),"Extremely serious",AND(H32&lt;=$D$1*-1,J32&lt;0,G32/F32&lt;3),"Not serious",AND(H32&lt;=$D$1*-1,J32&lt;0,G32/F32&gt;=3),"Very serious",AND(H32&gt;=$D$1,I32&gt;0,G32/F32&lt;3),"Not serious",AND(H32&gt;=$D$1,I32&gt;0,G32/F32&gt;=3),"Very serious",AND(H32&lt;=$D$1*-1,J32&gt;0,I32&gt;$D$2*-1,G32/F32&lt;3),"Serious", AND(H32&lt;=$D$1*-1,J32&gt;0,I32&lt;$D$2*-1,G32/F32&lt;3),"Very serious", AND(H32&gt;=$D$1,I32&lt;0,J32&lt;$D$2,G32/F32&lt;3),"Serious",AND(H32&gt;=$D$1,I32&lt;0,J32&gt;$D$2,G32/F32&lt;3),"Very serious", AND(H32&lt;=$D$1*-1,J32&gt;0,I32&gt;$D$2*-1,G32/F32&gt;=3),"Very serious", AND(H32&lt;=$D$1*-1,J32&gt;0,I32&lt;$D$2*-1,G32/F32&gt;=3),"Very serious", AND(H32&gt;=$D$1,I32&lt;0,J32&lt;$D$2,G32/F32&gt;=3),"Very serious", AND(H32&gt;=$D$1,I32&lt;0,J32&gt;$D$2,G32/F32&gt;=3),"Very serious", AND(H32&gt;$D$1*-1,H32&lt;$D$1,I32&gt;$D$1*-1,J32&lt;$D$1,G32/F32&lt;3),"Not serious", AND(H32&gt;$D$1*-1,H32&lt;$D$1,OR(I32&lt;=$D$1*-1,J32&gt;=$D$1),I32&gt;$D$2*-1,J32&lt;$D$2,G32/F32&lt;3),"Serious", AND(H32&gt;$D$1*-1,H32&lt;$D$1,OR(I32&lt;=$D$2*-1,J32&gt;=$D$2),G32/F32&lt;3),"Very serious", AND(H32&gt;$D$1*-1,H32&lt;$D$1,I32&gt;$D$1*-1,J32&lt;$D$1,G32/F32&gt;=3),"Very serious", AND(H32&gt;$D$1*-1,H32&lt;$D$1,OR(I32&lt;=$D$1*-1,J32&gt;=$D$1),I32&gt;$D$2*-1,J32&lt;$D$2,G32/F32&gt;=3),"Very serious", AND(H32&gt;$D$1*-1,H32&lt;$D$1,OR(I32&lt;=$D$2*-1,J32&gt;=$D$2),G32/F32&gt;=3),"Very serious")),"")</f>
        <v/>
      </c>
      <c r="R32" s="109" t="str">
        <f t="shared" si="47"/>
        <v/>
      </c>
      <c r="S32" s="64"/>
      <c r="T32" s="139"/>
      <c r="U32" s="139"/>
      <c r="V32" s="139"/>
      <c r="W32" s="142"/>
      <c r="X32" s="142"/>
      <c r="Y32" s="143"/>
      <c r="Z32" s="113" t="str">
        <f t="array" ref="Z32">INDEX($A$1:$C$500, MATCH(1,($B:$B=$B32)*($C:$C=$AB32),0),1)</f>
        <v/>
      </c>
      <c r="AA32" s="113" t="str">
        <f t="array" ref="AA32">INDEX($A$1:$C$500, MATCH(1,($B:$B=$AB32)*($C:$C=$B32),0),1)</f>
        <v/>
      </c>
      <c r="AB32" s="111"/>
      <c r="AC32" s="114" t="str">
        <f t="shared" si="2"/>
        <v/>
      </c>
      <c r="AD32" s="115" t="str">
        <f t="shared" si="3"/>
        <v/>
      </c>
      <c r="AE32" s="116" t="str">
        <f t="array" ref="AE32">INDEX($A$1:$C$500, MATCH(1,($B:$B=$AB32)*($C:$C=$AG32),0),1)</f>
        <v/>
      </c>
      <c r="AF32" s="116" t="str">
        <f t="array" ref="AF32">INDEX($A$1:$C$500, MATCH(1,($B:$B=$AG32)*($C:$C=$AB32),0),1)</f>
        <v/>
      </c>
      <c r="AG32" s="72"/>
      <c r="AH32" s="114" t="str">
        <f t="shared" si="4"/>
        <v/>
      </c>
      <c r="AI32" s="115" t="str">
        <f t="shared" si="5"/>
        <v/>
      </c>
      <c r="AJ32" s="116" t="str">
        <f t="array" ref="AJ32">INDEX($A$1:$C$500, MATCH(1,($B:$B=$C32)*($C:$C=$AG32),0),1)</f>
        <v/>
      </c>
      <c r="AK32" s="116" t="str">
        <f t="array" ref="AK32">INDEX($A$1:$C$500, MATCH(1,($B:$B=$AG32)*($C:$C=$C32),0),1)</f>
        <v/>
      </c>
      <c r="AL32" s="116" t="str">
        <f t="array" ref="AL32">INDEX($A$1:$C$500, MATCH(1,($B:$B=$C32)*($C:$C=$AB32),0),1)</f>
        <v/>
      </c>
      <c r="AM32" s="116" t="str">
        <f t="array" ref="AM32">INDEX($A$1:$C$500, MATCH(1,($B:$B=$AB32)*($C:$C=$C32),0),1)</f>
        <v/>
      </c>
      <c r="AN32" s="114" t="str">
        <f t="array" ref="AN32">IFS(ISNUMBER(AJ32),AJ32,ISNUMBER(AK32),AK32,ISNUMBER(AL32),AL32,ISNUMBER(AM32),AM32)</f>
        <v>#N/A</v>
      </c>
      <c r="AO32" s="115" t="str">
        <f t="shared" si="6"/>
        <v/>
      </c>
      <c r="AP32" s="115" t="str">
        <f t="shared" si="7"/>
        <v/>
      </c>
      <c r="AQ32" s="111"/>
      <c r="AR32" s="109" t="str">
        <f t="shared" si="8"/>
        <v/>
      </c>
      <c r="AS32" s="72" t="str">
        <f>IFERROR(IF(AND(Preferences!B$3="Manual",OR(AX32/AW32&gt;V32/U32,BD32="Serious",BD32="Very serious")),"Assess imprecision",IFERROR(IFS(AND(Preferences!B$3="Automatic",V32/U32&gt;=30),"Extremely serious",AND(W32&lt;=$D$1*-1,Y32&lt;0,V32/U32&lt;3),"Not Serious",AND(W32&lt;=$D$1*-1,Y32&lt;0,V32/U32&gt;=3),"Very serious",AND(W32&gt;=$D$1,X32&gt;0,V32/U32&lt;3),"Not Serious",AND(W32&gt;=$D$1,X32&gt;0,V32/U32&gt;=3),"Very serious",AND(W32&lt;=$D$1*-1,Y32&gt;0,X32&gt;$D$2*-1,V32/U32&lt;3),"Serious", AND(W32&lt;=$D$1*-1,Y32&gt;0,X32&lt;$D$2*-1,V32/U32&lt;3),"Very serious", AND(W32&gt;=$D$1,X32&lt;0,Y32&lt;$D$2,V32/U32&lt;3),"Serious",AND(W32&gt;=$D$1,X32&lt;0,Y32&gt;$D$2,V32/U32&lt;3),"Very serious", AND(W32&lt;=$D$1*-1,Y32&gt;0,X32&gt;$D$2*-1,V32/U32&gt;=3),"Very serious", AND(W32&lt;=$D$1*-1,Y32&gt;0,X32&lt;$D$2*-1,V32/U32&gt;=3),"Very serious", AND(W32&gt;=$D$1,X32&lt;0,Y32&lt;$D$2,V32/U32&gt;=3),"Very serious", AND(W32&gt;=$D$1,X32&lt;0,Y32&gt;$D$2,V32/U32&gt;=3),"Very serious", AND(W32&gt;$D$1*-1,W32&lt;$D$1,X32&gt;$D$1*-1,Y32&lt;$D$1,V32/U32&lt;3),"Not Serious", AND(W32&gt;$D$1*-1,W32&lt;$D$1,OR(X32&lt;=$D$1*-1,Y32&gt;=$D$1),X32&gt;$D$2*-1,Y32&lt;$D$2,V32/U32&lt;3),"Serious", AND(W32&gt;$D$1*-1,W32&lt;$D$1,OR(X32&lt;=$D$2*-1,Y32&gt;=$D$2),V32/U32&lt;3),"Very serious", AND(W32&gt;$D$1*-1,W32&lt;$D$1,X32&gt;$D$1*-1,Y32&lt;$D$1,V32/U32&gt;=3),"Very serious", AND(W32&gt;$D$1*-1,W32&lt;$D$1,OR(X32&lt;=$D$1*-1,Y32&gt;=$D$1),X32&gt;$D$2*-1,Y32&lt;$D$2,V32/U32&gt;=3),"Very serious", AND(W32&gt;$D$1*-1,W32&lt;$D$1,OR(X32&lt;=$D$2*-1,Y32&gt;=$D$2),V32/U32&gt;=3),"Very serious"),"")),"")</f>
        <v/>
      </c>
      <c r="AT32" s="109" t="str">
        <f t="shared" si="9"/>
        <v/>
      </c>
      <c r="AU32" s="64"/>
      <c r="AV32" s="117"/>
      <c r="AW32" s="117"/>
      <c r="AX32" s="117"/>
      <c r="AY32" s="118"/>
      <c r="AZ32" s="118"/>
      <c r="BA32" s="119"/>
      <c r="BB32" s="86" t="str">
        <f>IF(Preferences!B$9="Manual","",IFS(ISBLANK(B32),"",AND(ISNUMBER(E32)=TRUE,ISNUMBER(T32)=FALSE),"Direct", AND(ISNUMBER(E32)=FALSE,ISNUMBER(T32)=TRUE),"Indirect", CN32=4,"Direct",AND(CL32=FALSE, CM32=TRUE,CN32-CO32&gt;-1),"Direct", AND(CL32=FALSE,CM32=TRUE, CN32-CO32&lt;0),"Check algorithm in appendix 2", AND(CL32=TRUE, CM32=FALSE,CN32-CO32&gt;0),"Check algorithm in appendix 2", AND(CL32=TRUE, CM32=FALSE,CN32-CO32=0),"Indirect", AND(CL32=TRUE, CM32=FALSE,CN32-CO32&lt;0),"Indirect", AND(CL32=FALSE,CM32=FALSE,CN32-CO32&gt;-1),"Direct", AND(CL32=FALSE,CM32=FALSE,CN32-CO32&lt;0),"Check algorithm in appendix 2", AND(CL32=TRUE,CM32=TRUE,CN32-CO32&gt;-1),"Direct", AND(CL32=TRUE,CM32=TRUE,CN32-CO32&lt;0),"Check algorithm in appendix 2"))</f>
        <v/>
      </c>
      <c r="BC32" s="120" t="str">
        <f t="shared" si="10"/>
        <v/>
      </c>
      <c r="BD32" s="140"/>
      <c r="BE32" s="122" t="str">
        <f>IF(Preferences!B$3="Manual","", IFERROR(IFS(AND(Preferences!B$3="Automatic",AX32/AW32&gt;=30),"Extremely serious",AND(AY32&lt;=$D$1*-1,BA32&lt;0,AX32/AW32&lt;3),"Not Serious",AND(AY32&lt;=$D$1*-1,BA32&lt;0,AX32/AW32&gt;=3),"Very serious",AND(AY32&gt;=$D$1,AZ32&gt;0,AX32/AW32&lt;3),"Not Serious",AND(AY32&gt;=$D$1,AZ32&gt;0,AX32/AW32&gt;=3),"Very serious",AND(AY32&lt;=$D$1*-1,BA32&gt;0,AZ32&gt;$D$2*-1,AX32/AW32&lt;3),"Serious", AND(AY32&lt;=$D$1*-1,BA32&gt;0,AZ32&lt;$D$2*-1,AX32/AW32&lt;3),"Very serious", AND(AY32&gt;=$D$1,AZ32&lt;0,BA32&lt;$D$2,AX32/AW32&lt;3),"Serious",AND(AY32&gt;=$D$1,AZ32&lt;0,BA32&gt;$D$2,AX32/AW32&lt;3),"Very serious", AND(AY32&lt;=$D$1*-1,BA32&gt;0,AZ32&gt;$D$2*-1,AX32/AW32&gt;=3),"Very serious", AND(AY32&lt;=$D$1*-1,BA32&gt;0,AZ32&lt;$D$2*-1,AX32/AW32&gt;=3),"Very serious", AND(AY32&gt;=$D$1,AZ32&lt;0,BA32&lt;$D$2,AX32/AW32&gt;=3),"Very serious", AND(AY32&gt;=$D$1,AZ32&lt;0,BA32&gt;$D$2,AX32/AW32&gt;=3),"Very serious", AND(AY32&gt;$D$1*-1,AY32&lt;$D$1,AZ32&gt;$D$1*-1,BA32&lt;$D$1,AX32/AW32&lt;3),"Not Serious", AND(AY32&gt;$D$1*-1,AY32&lt;$D$1,OR(AZ32&lt;=$D$1*-1,BA32&gt;=$D$1),AZ32&gt;$D$2*-1,BA32&lt;$D$2,AX32/AW32&lt;3),"Serious", AND(AY32&gt;$D$1*-1,AY32&lt;$D$1,OR(AZ32&lt;=$D$2*-1,BA32&gt;=$D$2),AX32/AW32&lt;3),"Very serious", AND(AY32&gt;$D$1*-1,AY32&lt;$D$1,AZ32&gt;$D$1*-1,BA32&lt;$D$1,AX32/AW32&gt;=3),"Very serious", AND(AY32&gt;$D$1*-1,AY32&lt;$D$1,OR(AZ32&lt;=$D$1*-1,BA32&gt;=$D$1),AZ32&gt;$D$2*-1,BA32&lt;$D$2,AX32/AW32&gt;=3),"Very serious", AND(AY32&gt;$D$1*-1,AY32&lt;$D$1,OR(AZ32&lt;=$D$2*-1,BA32&gt;=$D$2),AX32/AW32&gt;=3),"Very serious"),""))</f>
        <v/>
      </c>
      <c r="BF32" s="107" t="str">
        <f t="shared" si="11"/>
        <v/>
      </c>
      <c r="BG32" s="94" t="str">
        <f t="shared" si="46"/>
        <v/>
      </c>
      <c r="BH32" s="64" t="str">
        <f t="shared" si="12"/>
        <v>#N/A</v>
      </c>
      <c r="BI32" s="64" t="str">
        <f t="shared" si="13"/>
        <v/>
      </c>
      <c r="BJ32" s="123" t="str">
        <f t="shared" si="14"/>
        <v>#N/A</v>
      </c>
      <c r="BK32" s="64" t="str">
        <f t="shared" si="15"/>
        <v>YES</v>
      </c>
      <c r="BL32" s="64" t="str">
        <f t="shared" si="16"/>
        <v>YES</v>
      </c>
      <c r="BM32" s="64" t="str">
        <f t="shared" si="17"/>
        <v>YES</v>
      </c>
      <c r="BN32" s="124" t="str">
        <f t="shared" si="18"/>
        <v/>
      </c>
      <c r="BO32" s="91" t="str">
        <f t="shared" si="19"/>
        <v/>
      </c>
      <c r="BP32" s="91" t="str">
        <f t="shared" si="20"/>
        <v>#N/A</v>
      </c>
      <c r="BQ32" s="91" t="str">
        <f t="shared" si="21"/>
        <v/>
      </c>
      <c r="BR32" s="93" t="str">
        <f t="shared" si="22"/>
        <v/>
      </c>
      <c r="BS32" s="90" t="str">
        <f t="shared" si="23"/>
        <v/>
      </c>
      <c r="BT32" s="93" t="str">
        <f t="shared" si="24"/>
        <v>NA</v>
      </c>
      <c r="BU32" s="125" t="str">
        <f t="shared" si="25"/>
        <v>#N/A</v>
      </c>
      <c r="BV32" s="93" t="str">
        <f t="shared" si="26"/>
        <v/>
      </c>
      <c r="BW32" s="93" t="str">
        <f t="shared" si="27"/>
        <v/>
      </c>
      <c r="BX32" s="93" t="str">
        <f t="shared" si="28"/>
        <v>NA</v>
      </c>
      <c r="BY32" s="95" t="str">
        <f t="shared" si="29"/>
        <v>#N/A</v>
      </c>
      <c r="BZ32" s="93" t="str">
        <f t="shared" si="30"/>
        <v/>
      </c>
      <c r="CA32" s="93" t="str">
        <f t="shared" si="31"/>
        <v/>
      </c>
      <c r="CB32" s="93" t="str">
        <f t="shared" si="32"/>
        <v>NA</v>
      </c>
      <c r="CC32" s="96" t="str">
        <f t="shared" si="33"/>
        <v>#N/A</v>
      </c>
      <c r="CD32" s="93" t="str">
        <f t="shared" si="34"/>
        <v/>
      </c>
      <c r="CE32" s="93" t="str">
        <f t="shared" si="35"/>
        <v/>
      </c>
      <c r="CF32" s="93" t="str">
        <f t="shared" si="36"/>
        <v>NA</v>
      </c>
      <c r="CG32" s="97" t="str">
        <f t="shared" si="37"/>
        <v>#N/A</v>
      </c>
      <c r="CH32" s="98" t="str">
        <f t="shared" si="38"/>
        <v>#N/A</v>
      </c>
      <c r="CI32" s="99" t="str">
        <f t="shared" si="39"/>
        <v>#N/A</v>
      </c>
      <c r="CJ32" s="126" t="str">
        <f t="shared" si="40"/>
        <v>ERROR: check cell</v>
      </c>
      <c r="CK32" s="126" t="str">
        <f>if(AND(T32&lt;1=TRUE,E32&lt;1=TRUE)=TRUE,if(OR(AND(V32&gt;G32=TRUE,G32&gt;U32=TRUE),AND(G32&gt;V32=TRUE,V32&gt;F32=TRUE)=TRUE)=TRUE,"No serious incoherence","Quantitative incoherence (same direction of effect)"),if(AND(T32&gt;1=TRUE,E32&gt;1=TRUE)=TRUE,if(OR(AND(V32&gt;G32=TRUE,G32&gt;U32=TRUE),AND(G32&gt;V32=TRUE,V32&gt;F32=TRUE)=TRUE)=TRUE,"No serious incoherence","Quantitative incoherence (same direction of effect)"),if(OR(AND(T32&lt;1=TRUE,E32&gt;1=TRUE)=TRUE,AND(T32&gt;1=TRUE,E32&lt;1=TRUE)=TRUE)=TRUE,if(OR(AND(V32&gt;G32=TRUE,G32&gt;U32=TRUE),AND(G32&gt;V32=TRUE,V32&gt;F32=TRUE)=TRUE)=TRUE,"No serious incoherence","Qualitative incoherence (different direction of effect)"))))</f>
        <v>Quantitative incoherence (same direction of effect)</v>
      </c>
      <c r="CL32" s="127" t="str">
        <f t="shared" si="41"/>
        <v>#DIV/0!</v>
      </c>
      <c r="CM32" s="128" t="str">
        <f t="shared" si="42"/>
        <v>#DIV/0!</v>
      </c>
      <c r="CN32" s="128">
        <f t="shared" si="43"/>
        <v>4</v>
      </c>
      <c r="CO32" s="129">
        <f t="shared" si="44"/>
        <v>4</v>
      </c>
      <c r="CP32" s="129" t="str">
        <f>IFS(C32=Preferences!B$13,B32,B32=Preferences!B$13,C32)</f>
        <v>#N/A</v>
      </c>
    </row>
    <row r="33" ht="13.5" customHeight="1">
      <c r="A33" s="63" t="str">
        <f t="shared" si="45"/>
        <v/>
      </c>
      <c r="B33" s="64"/>
      <c r="C33" s="64"/>
      <c r="D33" s="64"/>
      <c r="E33" s="65"/>
      <c r="F33" s="65"/>
      <c r="G33" s="65"/>
      <c r="H33" s="65"/>
      <c r="I33" s="65"/>
      <c r="J33" s="141"/>
      <c r="K33" s="138"/>
      <c r="L33" s="133"/>
      <c r="M33" s="133"/>
      <c r="N33" s="133"/>
      <c r="O33" s="133"/>
      <c r="P33" s="107" t="str">
        <f t="shared" si="1"/>
        <v/>
      </c>
      <c r="Q33" s="108" t="str">
        <f>IFERROR(IF(AND(Preferences!B$3="Manual",OR(AX33/AW33&gt;G33/F33,BD33="Serious",BD33="Very serious")),"Assess imprecision",IFS(ISBLANK(E33),"",AND(Preferences!B$3="Automatic", G33/F33&gt;=30),"Extremely serious",AND(H33&lt;=$D$1*-1,J33&lt;0,G33/F33&lt;3),"Not serious",AND(H33&lt;=$D$1*-1,J33&lt;0,G33/F33&gt;=3),"Very serious",AND(H33&gt;=$D$1,I33&gt;0,G33/F33&lt;3),"Not serious",AND(H33&gt;=$D$1,I33&gt;0,G33/F33&gt;=3),"Very serious",AND(H33&lt;=$D$1*-1,J33&gt;0,I33&gt;$D$2*-1,G33/F33&lt;3),"Serious", AND(H33&lt;=$D$1*-1,J33&gt;0,I33&lt;$D$2*-1,G33/F33&lt;3),"Very serious", AND(H33&gt;=$D$1,I33&lt;0,J33&lt;$D$2,G33/F33&lt;3),"Serious",AND(H33&gt;=$D$1,I33&lt;0,J33&gt;$D$2,G33/F33&lt;3),"Very serious", AND(H33&lt;=$D$1*-1,J33&gt;0,I33&gt;$D$2*-1,G33/F33&gt;=3),"Very serious", AND(H33&lt;=$D$1*-1,J33&gt;0,I33&lt;$D$2*-1,G33/F33&gt;=3),"Very serious", AND(H33&gt;=$D$1,I33&lt;0,J33&lt;$D$2,G33/F33&gt;=3),"Very serious", AND(H33&gt;=$D$1,I33&lt;0,J33&gt;$D$2,G33/F33&gt;=3),"Very serious", AND(H33&gt;$D$1*-1,H33&lt;$D$1,I33&gt;$D$1*-1,J33&lt;$D$1,G33/F33&lt;3),"Not serious", AND(H33&gt;$D$1*-1,H33&lt;$D$1,OR(I33&lt;=$D$1*-1,J33&gt;=$D$1),I33&gt;$D$2*-1,J33&lt;$D$2,G33/F33&lt;3),"Serious", AND(H33&gt;$D$1*-1,H33&lt;$D$1,OR(I33&lt;=$D$2*-1,J33&gt;=$D$2),G33/F33&lt;3),"Very serious", AND(H33&gt;$D$1*-1,H33&lt;$D$1,I33&gt;$D$1*-1,J33&lt;$D$1,G33/F33&gt;=3),"Very serious", AND(H33&gt;$D$1*-1,H33&lt;$D$1,OR(I33&lt;=$D$1*-1,J33&gt;=$D$1),I33&gt;$D$2*-1,J33&lt;$D$2,G33/F33&gt;=3),"Very serious", AND(H33&gt;$D$1*-1,H33&lt;$D$1,OR(I33&lt;=$D$2*-1,J33&gt;=$D$2),G33/F33&gt;=3),"Very serious")),"")</f>
        <v/>
      </c>
      <c r="R33" s="109" t="str">
        <f t="shared" si="47"/>
        <v/>
      </c>
      <c r="S33" s="64"/>
      <c r="T33" s="139"/>
      <c r="U33" s="139"/>
      <c r="V33" s="139"/>
      <c r="W33" s="142"/>
      <c r="X33" s="142"/>
      <c r="Y33" s="143"/>
      <c r="Z33" s="113" t="str">
        <f t="array" ref="Z33">INDEX($A$1:$C$500, MATCH(1,($B:$B=$B33)*($C:$C=$AB33),0),1)</f>
        <v/>
      </c>
      <c r="AA33" s="113" t="str">
        <f t="array" ref="AA33">INDEX($A$1:$C$500, MATCH(1,($B:$B=$AB33)*($C:$C=$B33),0),1)</f>
        <v/>
      </c>
      <c r="AB33" s="111"/>
      <c r="AC33" s="114" t="str">
        <f t="shared" si="2"/>
        <v/>
      </c>
      <c r="AD33" s="115" t="str">
        <f t="shared" si="3"/>
        <v/>
      </c>
      <c r="AE33" s="116" t="str">
        <f t="array" ref="AE33">INDEX($A$1:$C$500, MATCH(1,($B:$B=$AB33)*($C:$C=$AG33),0),1)</f>
        <v/>
      </c>
      <c r="AF33" s="116" t="str">
        <f t="array" ref="AF33">INDEX($A$1:$C$500, MATCH(1,($B:$B=$AG33)*($C:$C=$AB33),0),1)</f>
        <v/>
      </c>
      <c r="AG33" s="72"/>
      <c r="AH33" s="114" t="str">
        <f t="shared" si="4"/>
        <v/>
      </c>
      <c r="AI33" s="115" t="str">
        <f t="shared" si="5"/>
        <v/>
      </c>
      <c r="AJ33" s="116" t="str">
        <f t="array" ref="AJ33">INDEX($A$1:$C$500, MATCH(1,($B:$B=$C33)*($C:$C=$AG33),0),1)</f>
        <v/>
      </c>
      <c r="AK33" s="116" t="str">
        <f t="array" ref="AK33">INDEX($A$1:$C$500, MATCH(1,($B:$B=$AG33)*($C:$C=$C33),0),1)</f>
        <v/>
      </c>
      <c r="AL33" s="116" t="str">
        <f t="array" ref="AL33">INDEX($A$1:$C$500, MATCH(1,($B:$B=$C33)*($C:$C=$AB33),0),1)</f>
        <v/>
      </c>
      <c r="AM33" s="116" t="str">
        <f t="array" ref="AM33">INDEX($A$1:$C$500, MATCH(1,($B:$B=$AB33)*($C:$C=$C33),0),1)</f>
        <v/>
      </c>
      <c r="AN33" s="114" t="str">
        <f t="array" ref="AN33">IFS(ISNUMBER(AJ33),AJ33,ISNUMBER(AK33),AK33,ISNUMBER(AL33),AL33,ISNUMBER(AM33),AM33)</f>
        <v>#N/A</v>
      </c>
      <c r="AO33" s="115" t="str">
        <f t="shared" si="6"/>
        <v/>
      </c>
      <c r="AP33" s="115" t="str">
        <f t="shared" si="7"/>
        <v/>
      </c>
      <c r="AQ33" s="72"/>
      <c r="AR33" s="109" t="str">
        <f t="shared" si="8"/>
        <v/>
      </c>
      <c r="AS33" s="72" t="str">
        <f>IFERROR(IF(AND(Preferences!B$3="Manual",OR(AX33/AW33&gt;V33/U33,BD33="Serious",BD33="Very serious")),"Assess imprecision",IFERROR(IFS(AND(Preferences!B$3="Automatic",V33/U33&gt;=30),"Extremely serious",AND(W33&lt;=$D$1*-1,Y33&lt;0,V33/U33&lt;3),"Not Serious",AND(W33&lt;=$D$1*-1,Y33&lt;0,V33/U33&gt;=3),"Very serious",AND(W33&gt;=$D$1,X33&gt;0,V33/U33&lt;3),"Not Serious",AND(W33&gt;=$D$1,X33&gt;0,V33/U33&gt;=3),"Very serious",AND(W33&lt;=$D$1*-1,Y33&gt;0,X33&gt;$D$2*-1,V33/U33&lt;3),"Serious", AND(W33&lt;=$D$1*-1,Y33&gt;0,X33&lt;$D$2*-1,V33/U33&lt;3),"Very serious", AND(W33&gt;=$D$1,X33&lt;0,Y33&lt;$D$2,V33/U33&lt;3),"Serious",AND(W33&gt;=$D$1,X33&lt;0,Y33&gt;$D$2,V33/U33&lt;3),"Very serious", AND(W33&lt;=$D$1*-1,Y33&gt;0,X33&gt;$D$2*-1,V33/U33&gt;=3),"Very serious", AND(W33&lt;=$D$1*-1,Y33&gt;0,X33&lt;$D$2*-1,V33/U33&gt;=3),"Very serious", AND(W33&gt;=$D$1,X33&lt;0,Y33&lt;$D$2,V33/U33&gt;=3),"Very serious", AND(W33&gt;=$D$1,X33&lt;0,Y33&gt;$D$2,V33/U33&gt;=3),"Very serious", AND(W33&gt;$D$1*-1,W33&lt;$D$1,X33&gt;$D$1*-1,Y33&lt;$D$1,V33/U33&lt;3),"Not Serious", AND(W33&gt;$D$1*-1,W33&lt;$D$1,OR(X33&lt;=$D$1*-1,Y33&gt;=$D$1),X33&gt;$D$2*-1,Y33&lt;$D$2,V33/U33&lt;3),"Serious", AND(W33&gt;$D$1*-1,W33&lt;$D$1,OR(X33&lt;=$D$2*-1,Y33&gt;=$D$2),V33/U33&lt;3),"Very serious", AND(W33&gt;$D$1*-1,W33&lt;$D$1,X33&gt;$D$1*-1,Y33&lt;$D$1,V33/U33&gt;=3),"Very serious", AND(W33&gt;$D$1*-1,W33&lt;$D$1,OR(X33&lt;=$D$1*-1,Y33&gt;=$D$1),X33&gt;$D$2*-1,Y33&lt;$D$2,V33/U33&gt;=3),"Very serious", AND(W33&gt;$D$1*-1,W33&lt;$D$1,OR(X33&lt;=$D$2*-1,Y33&gt;=$D$2),V33/U33&gt;=3),"Very serious"),"")),"")</f>
        <v/>
      </c>
      <c r="AT33" s="109" t="str">
        <f t="shared" si="9"/>
        <v/>
      </c>
      <c r="AU33" s="64"/>
      <c r="AV33" s="117"/>
      <c r="AW33" s="117"/>
      <c r="AX33" s="117"/>
      <c r="AY33" s="118"/>
      <c r="AZ33" s="118"/>
      <c r="BA33" s="119"/>
      <c r="BB33" s="86" t="str">
        <f>IF(Preferences!B$9="Manual","",IFS(ISBLANK(B33),"",AND(ISNUMBER(E33)=TRUE,ISNUMBER(T33)=FALSE),"Direct", AND(ISNUMBER(E33)=FALSE,ISNUMBER(T33)=TRUE),"Indirect", CN33=4,"Direct",AND(CL33=FALSE, CM33=TRUE,CN33-CO33&gt;-1),"Direct", AND(CL33=FALSE,CM33=TRUE, CN33-CO33&lt;0),"Check algorithm in appendix 2", AND(CL33=TRUE, CM33=FALSE,CN33-CO33&gt;0),"Check algorithm in appendix 2", AND(CL33=TRUE, CM33=FALSE,CN33-CO33=0),"Indirect", AND(CL33=TRUE, CM33=FALSE,CN33-CO33&lt;0),"Indirect", AND(CL33=FALSE,CM33=FALSE,CN33-CO33&gt;-1),"Direct", AND(CL33=FALSE,CM33=FALSE,CN33-CO33&lt;0),"Check algorithm in appendix 2", AND(CL33=TRUE,CM33=TRUE,CN33-CO33&gt;-1),"Direct", AND(CL33=TRUE,CM33=TRUE,CN33-CO33&lt;0),"Check algorithm in appendix 2"))</f>
        <v/>
      </c>
      <c r="BC33" s="120" t="str">
        <f t="shared" si="10"/>
        <v/>
      </c>
      <c r="BD33" s="140"/>
      <c r="BE33" s="122" t="str">
        <f>IF(Preferences!B$3="Manual","", IFERROR(IFS(AND(Preferences!B$3="Automatic",AX33/AW33&gt;=30),"Extremely serious",AND(AY33&lt;=$D$1*-1,BA33&lt;0,AX33/AW33&lt;3),"Not Serious",AND(AY33&lt;=$D$1*-1,BA33&lt;0,AX33/AW33&gt;=3),"Very serious",AND(AY33&gt;=$D$1,AZ33&gt;0,AX33/AW33&lt;3),"Not Serious",AND(AY33&gt;=$D$1,AZ33&gt;0,AX33/AW33&gt;=3),"Very serious",AND(AY33&lt;=$D$1*-1,BA33&gt;0,AZ33&gt;$D$2*-1,AX33/AW33&lt;3),"Serious", AND(AY33&lt;=$D$1*-1,BA33&gt;0,AZ33&lt;$D$2*-1,AX33/AW33&lt;3),"Very serious", AND(AY33&gt;=$D$1,AZ33&lt;0,BA33&lt;$D$2,AX33/AW33&lt;3),"Serious",AND(AY33&gt;=$D$1,AZ33&lt;0,BA33&gt;$D$2,AX33/AW33&lt;3),"Very serious", AND(AY33&lt;=$D$1*-1,BA33&gt;0,AZ33&gt;$D$2*-1,AX33/AW33&gt;=3),"Very serious", AND(AY33&lt;=$D$1*-1,BA33&gt;0,AZ33&lt;$D$2*-1,AX33/AW33&gt;=3),"Very serious", AND(AY33&gt;=$D$1,AZ33&lt;0,BA33&lt;$D$2,AX33/AW33&gt;=3),"Very serious", AND(AY33&gt;=$D$1,AZ33&lt;0,BA33&gt;$D$2,AX33/AW33&gt;=3),"Very serious", AND(AY33&gt;$D$1*-1,AY33&lt;$D$1,AZ33&gt;$D$1*-1,BA33&lt;$D$1,AX33/AW33&lt;3),"Not Serious", AND(AY33&gt;$D$1*-1,AY33&lt;$D$1,OR(AZ33&lt;=$D$1*-1,BA33&gt;=$D$1),AZ33&gt;$D$2*-1,BA33&lt;$D$2,AX33/AW33&lt;3),"Serious", AND(AY33&gt;$D$1*-1,AY33&lt;$D$1,OR(AZ33&lt;=$D$2*-1,BA33&gt;=$D$2),AX33/AW33&lt;3),"Very serious", AND(AY33&gt;$D$1*-1,AY33&lt;$D$1,AZ33&gt;$D$1*-1,BA33&lt;$D$1,AX33/AW33&gt;=3),"Very serious", AND(AY33&gt;$D$1*-1,AY33&lt;$D$1,OR(AZ33&lt;=$D$1*-1,BA33&gt;=$D$1),AZ33&gt;$D$2*-1,BA33&lt;$D$2,AX33/AW33&gt;=3),"Very serious", AND(AY33&gt;$D$1*-1,AY33&lt;$D$1,OR(AZ33&lt;=$D$2*-1,BA33&gt;=$D$2),AX33/AW33&gt;=3),"Very serious"),""))</f>
        <v/>
      </c>
      <c r="BF33" s="107" t="str">
        <f t="shared" si="11"/>
        <v/>
      </c>
      <c r="BG33" s="94" t="str">
        <f t="shared" si="46"/>
        <v/>
      </c>
      <c r="BH33" s="64" t="str">
        <f t="shared" si="12"/>
        <v>#N/A</v>
      </c>
      <c r="BI33" s="64" t="str">
        <f t="shared" si="13"/>
        <v/>
      </c>
      <c r="BJ33" s="123" t="str">
        <f t="shared" si="14"/>
        <v>#N/A</v>
      </c>
      <c r="BK33" s="64" t="str">
        <f t="shared" si="15"/>
        <v>YES</v>
      </c>
      <c r="BL33" s="64" t="str">
        <f t="shared" si="16"/>
        <v>YES</v>
      </c>
      <c r="BM33" s="64" t="str">
        <f t="shared" si="17"/>
        <v>YES</v>
      </c>
      <c r="BN33" s="124" t="str">
        <f t="shared" si="18"/>
        <v/>
      </c>
      <c r="BO33" s="91" t="str">
        <f t="shared" si="19"/>
        <v/>
      </c>
      <c r="BP33" s="91" t="str">
        <f t="shared" si="20"/>
        <v>#N/A</v>
      </c>
      <c r="BQ33" s="91" t="str">
        <f t="shared" si="21"/>
        <v/>
      </c>
      <c r="BR33" s="93" t="str">
        <f t="shared" si="22"/>
        <v/>
      </c>
      <c r="BS33" s="90" t="str">
        <f t="shared" si="23"/>
        <v/>
      </c>
      <c r="BT33" s="93" t="str">
        <f t="shared" si="24"/>
        <v>NA</v>
      </c>
      <c r="BU33" s="125" t="str">
        <f t="shared" si="25"/>
        <v>#N/A</v>
      </c>
      <c r="BV33" s="93" t="str">
        <f t="shared" si="26"/>
        <v/>
      </c>
      <c r="BW33" s="93" t="str">
        <f t="shared" si="27"/>
        <v/>
      </c>
      <c r="BX33" s="93" t="str">
        <f t="shared" si="28"/>
        <v>NA</v>
      </c>
      <c r="BY33" s="95" t="str">
        <f t="shared" si="29"/>
        <v>#N/A</v>
      </c>
      <c r="BZ33" s="93" t="str">
        <f t="shared" si="30"/>
        <v/>
      </c>
      <c r="CA33" s="93" t="str">
        <f t="shared" si="31"/>
        <v/>
      </c>
      <c r="CB33" s="93" t="str">
        <f t="shared" si="32"/>
        <v>NA</v>
      </c>
      <c r="CC33" s="96" t="str">
        <f t="shared" si="33"/>
        <v>#N/A</v>
      </c>
      <c r="CD33" s="93" t="str">
        <f t="shared" si="34"/>
        <v/>
      </c>
      <c r="CE33" s="93" t="str">
        <f t="shared" si="35"/>
        <v/>
      </c>
      <c r="CF33" s="93" t="str">
        <f t="shared" si="36"/>
        <v>NA</v>
      </c>
      <c r="CG33" s="97" t="str">
        <f t="shared" si="37"/>
        <v>#N/A</v>
      </c>
      <c r="CH33" s="98" t="str">
        <f t="shared" si="38"/>
        <v>#N/A</v>
      </c>
      <c r="CI33" s="99" t="str">
        <f t="shared" si="39"/>
        <v>#N/A</v>
      </c>
      <c r="CJ33" s="126" t="str">
        <f t="shared" si="40"/>
        <v>ERROR: check cell</v>
      </c>
      <c r="CK33" s="126"/>
      <c r="CL33" s="127" t="str">
        <f t="shared" si="41"/>
        <v>#DIV/0!</v>
      </c>
      <c r="CM33" s="128" t="str">
        <f t="shared" si="42"/>
        <v>#DIV/0!</v>
      </c>
      <c r="CN33" s="128">
        <f t="shared" si="43"/>
        <v>4</v>
      </c>
      <c r="CO33" s="129">
        <f t="shared" si="44"/>
        <v>4</v>
      </c>
      <c r="CP33" s="129" t="str">
        <f>IFS(C33=Preferences!B$13,B33,B33=Preferences!B$13,C33)</f>
        <v>#N/A</v>
      </c>
    </row>
    <row r="34" ht="13.5" customHeight="1">
      <c r="A34" s="63" t="str">
        <f t="shared" si="45"/>
        <v/>
      </c>
      <c r="B34" s="64"/>
      <c r="C34" s="64"/>
      <c r="D34" s="64"/>
      <c r="E34" s="65"/>
      <c r="F34" s="65"/>
      <c r="G34" s="65"/>
      <c r="H34" s="65"/>
      <c r="I34" s="65"/>
      <c r="J34" s="141"/>
      <c r="K34" s="138"/>
      <c r="L34" s="104"/>
      <c r="M34" s="104"/>
      <c r="N34" s="104"/>
      <c r="O34" s="104"/>
      <c r="P34" s="107" t="str">
        <f t="shared" si="1"/>
        <v/>
      </c>
      <c r="Q34" s="108" t="str">
        <f>IFERROR(IF(AND(Preferences!B$3="Manual",OR(AX34/AW34&gt;G34/F34,BD34="Serious",BD34="Very serious")),"Assess imprecision",IFS(ISBLANK(E34),"",AND(Preferences!B$3="Automatic", G34/F34&gt;=30),"Extremely serious",AND(H34&lt;=$D$1*-1,J34&lt;0,G34/F34&lt;3),"Not serious",AND(H34&lt;=$D$1*-1,J34&lt;0,G34/F34&gt;=3),"Very serious",AND(H34&gt;=$D$1,I34&gt;0,G34/F34&lt;3),"Not serious",AND(H34&gt;=$D$1,I34&gt;0,G34/F34&gt;=3),"Very serious",AND(H34&lt;=$D$1*-1,J34&gt;0,I34&gt;$D$2*-1,G34/F34&lt;3),"Serious", AND(H34&lt;=$D$1*-1,J34&gt;0,I34&lt;$D$2*-1,G34/F34&lt;3),"Very serious", AND(H34&gt;=$D$1,I34&lt;0,J34&lt;$D$2,G34/F34&lt;3),"Serious",AND(H34&gt;=$D$1,I34&lt;0,J34&gt;$D$2,G34/F34&lt;3),"Very serious", AND(H34&lt;=$D$1*-1,J34&gt;0,I34&gt;$D$2*-1,G34/F34&gt;=3),"Very serious", AND(H34&lt;=$D$1*-1,J34&gt;0,I34&lt;$D$2*-1,G34/F34&gt;=3),"Very serious", AND(H34&gt;=$D$1,I34&lt;0,J34&lt;$D$2,G34/F34&gt;=3),"Very serious", AND(H34&gt;=$D$1,I34&lt;0,J34&gt;$D$2,G34/F34&gt;=3),"Very serious", AND(H34&gt;$D$1*-1,H34&lt;$D$1,I34&gt;$D$1*-1,J34&lt;$D$1,G34/F34&lt;3),"Not serious", AND(H34&gt;$D$1*-1,H34&lt;$D$1,OR(I34&lt;=$D$1*-1,J34&gt;=$D$1),I34&gt;$D$2*-1,J34&lt;$D$2,G34/F34&lt;3),"Serious", AND(H34&gt;$D$1*-1,H34&lt;$D$1,OR(I34&lt;=$D$2*-1,J34&gt;=$D$2),G34/F34&lt;3),"Very serious", AND(H34&gt;$D$1*-1,H34&lt;$D$1,I34&gt;$D$1*-1,J34&lt;$D$1,G34/F34&gt;=3),"Very serious", AND(H34&gt;$D$1*-1,H34&lt;$D$1,OR(I34&lt;=$D$1*-1,J34&gt;=$D$1),I34&gt;$D$2*-1,J34&lt;$D$2,G34/F34&gt;=3),"Very serious", AND(H34&gt;$D$1*-1,H34&lt;$D$1,OR(I34&lt;=$D$2*-1,J34&gt;=$D$2),G34/F34&gt;=3),"Very serious")),"")</f>
        <v/>
      </c>
      <c r="R34" s="109" t="str">
        <f t="shared" si="47"/>
        <v/>
      </c>
      <c r="S34" s="64"/>
      <c r="T34" s="139"/>
      <c r="U34" s="139"/>
      <c r="V34" s="139"/>
      <c r="W34" s="142"/>
      <c r="X34" s="142"/>
      <c r="Y34" s="143"/>
      <c r="Z34" s="113" t="str">
        <f t="array" ref="Z34">INDEX($A$1:$C$500, MATCH(1,($B:$B=$B34)*($C:$C=$AB34),0),1)</f>
        <v/>
      </c>
      <c r="AA34" s="113" t="str">
        <f t="array" ref="AA34">INDEX($A$1:$C$500, MATCH(1,($B:$B=$AB34)*($C:$C=$B34),0),1)</f>
        <v/>
      </c>
      <c r="AB34" s="111"/>
      <c r="AC34" s="114" t="str">
        <f t="shared" si="2"/>
        <v/>
      </c>
      <c r="AD34" s="115" t="str">
        <f t="shared" si="3"/>
        <v/>
      </c>
      <c r="AE34" s="116" t="str">
        <f t="array" ref="AE34">INDEX($A$1:$C$500, MATCH(1,($B:$B=$AB34)*($C:$C=$AG34),0),1)</f>
        <v/>
      </c>
      <c r="AF34" s="116" t="str">
        <f t="array" ref="AF34">INDEX($A$1:$C$500, MATCH(1,($B:$B=$AG34)*($C:$C=$AB34),0),1)</f>
        <v/>
      </c>
      <c r="AG34" s="72"/>
      <c r="AH34" s="114" t="str">
        <f t="shared" si="4"/>
        <v/>
      </c>
      <c r="AI34" s="115" t="str">
        <f t="shared" si="5"/>
        <v/>
      </c>
      <c r="AJ34" s="116" t="str">
        <f t="array" ref="AJ34">INDEX($A$1:$C$500, MATCH(1,($B:$B=$C34)*($C:$C=$AG34),0),1)</f>
        <v/>
      </c>
      <c r="AK34" s="116" t="str">
        <f t="array" ref="AK34">INDEX($A$1:$C$500, MATCH(1,($B:$B=$AG34)*($C:$C=$C34),0),1)</f>
        <v/>
      </c>
      <c r="AL34" s="116" t="str">
        <f t="array" ref="AL34">INDEX($A$1:$C$500, MATCH(1,($B:$B=$C34)*($C:$C=$AB34),0),1)</f>
        <v/>
      </c>
      <c r="AM34" s="116" t="str">
        <f t="array" ref="AM34">INDEX($A$1:$C$500, MATCH(1,($B:$B=$AB34)*($C:$C=$C34),0),1)</f>
        <v/>
      </c>
      <c r="AN34" s="114" t="str">
        <f t="array" ref="AN34">IFS(ISNUMBER(AJ34),AJ34,ISNUMBER(AK34),AK34,ISNUMBER(AL34),AL34,ISNUMBER(AM34),AM34)</f>
        <v>#N/A</v>
      </c>
      <c r="AO34" s="115" t="str">
        <f t="shared" si="6"/>
        <v/>
      </c>
      <c r="AP34" s="115" t="str">
        <f t="shared" si="7"/>
        <v/>
      </c>
      <c r="AQ34" s="72"/>
      <c r="AR34" s="109" t="str">
        <f t="shared" si="8"/>
        <v/>
      </c>
      <c r="AS34" s="72" t="str">
        <f>IFERROR(IF(AND(Preferences!B$3="Manual",OR(AX34/AW34&gt;V34/U34,BD34="Serious",BD34="Very serious")),"Assess imprecision",IFERROR(IFS(AND(Preferences!B$3="Automatic",V34/U34&gt;=30),"Extremely serious",AND(W34&lt;=$D$1*-1,Y34&lt;0,V34/U34&lt;3),"Not Serious",AND(W34&lt;=$D$1*-1,Y34&lt;0,V34/U34&gt;=3),"Very serious",AND(W34&gt;=$D$1,X34&gt;0,V34/U34&lt;3),"Not Serious",AND(W34&gt;=$D$1,X34&gt;0,V34/U34&gt;=3),"Very serious",AND(W34&lt;=$D$1*-1,Y34&gt;0,X34&gt;$D$2*-1,V34/U34&lt;3),"Serious", AND(W34&lt;=$D$1*-1,Y34&gt;0,X34&lt;$D$2*-1,V34/U34&lt;3),"Very serious", AND(W34&gt;=$D$1,X34&lt;0,Y34&lt;$D$2,V34/U34&lt;3),"Serious",AND(W34&gt;=$D$1,X34&lt;0,Y34&gt;$D$2,V34/U34&lt;3),"Very serious", AND(W34&lt;=$D$1*-1,Y34&gt;0,X34&gt;$D$2*-1,V34/U34&gt;=3),"Very serious", AND(W34&lt;=$D$1*-1,Y34&gt;0,X34&lt;$D$2*-1,V34/U34&gt;=3),"Very serious", AND(W34&gt;=$D$1,X34&lt;0,Y34&lt;$D$2,V34/U34&gt;=3),"Very serious", AND(W34&gt;=$D$1,X34&lt;0,Y34&gt;$D$2,V34/U34&gt;=3),"Very serious", AND(W34&gt;$D$1*-1,W34&lt;$D$1,X34&gt;$D$1*-1,Y34&lt;$D$1,V34/U34&lt;3),"Not Serious", AND(W34&gt;$D$1*-1,W34&lt;$D$1,OR(X34&lt;=$D$1*-1,Y34&gt;=$D$1),X34&gt;$D$2*-1,Y34&lt;$D$2,V34/U34&lt;3),"Serious", AND(W34&gt;$D$1*-1,W34&lt;$D$1,OR(X34&lt;=$D$2*-1,Y34&gt;=$D$2),V34/U34&lt;3),"Very serious", AND(W34&gt;$D$1*-1,W34&lt;$D$1,X34&gt;$D$1*-1,Y34&lt;$D$1,V34/U34&gt;=3),"Very serious", AND(W34&gt;$D$1*-1,W34&lt;$D$1,OR(X34&lt;=$D$1*-1,Y34&gt;=$D$1),X34&gt;$D$2*-1,Y34&lt;$D$2,V34/U34&gt;=3),"Very serious", AND(W34&gt;$D$1*-1,W34&lt;$D$1,OR(X34&lt;=$D$2*-1,Y34&gt;=$D$2),V34/U34&gt;=3),"Very serious"),"")),"")</f>
        <v/>
      </c>
      <c r="AT34" s="109" t="str">
        <f t="shared" si="9"/>
        <v/>
      </c>
      <c r="AU34" s="64"/>
      <c r="AV34" s="117"/>
      <c r="AW34" s="117"/>
      <c r="AX34" s="117"/>
      <c r="AY34" s="118"/>
      <c r="AZ34" s="118"/>
      <c r="BA34" s="119"/>
      <c r="BB34" s="86" t="str">
        <f>IF(Preferences!B$9="Manual","",IFS(ISBLANK(B34),"",AND(ISNUMBER(E34)=TRUE,ISNUMBER(T34)=FALSE),"Direct", AND(ISNUMBER(E34)=FALSE,ISNUMBER(T34)=TRUE),"Indirect", CN34=4,"Direct",AND(CL34=FALSE, CM34=TRUE,CN34-CO34&gt;-1),"Direct", AND(CL34=FALSE,CM34=TRUE, CN34-CO34&lt;0),"Check algorithm in appendix 2", AND(CL34=TRUE, CM34=FALSE,CN34-CO34&gt;0),"Check algorithm in appendix 2", AND(CL34=TRUE, CM34=FALSE,CN34-CO34=0),"Indirect", AND(CL34=TRUE, CM34=FALSE,CN34-CO34&lt;0),"Indirect", AND(CL34=FALSE,CM34=FALSE,CN34-CO34&gt;-1),"Direct", AND(CL34=FALSE,CM34=FALSE,CN34-CO34&lt;0),"Check algorithm in appendix 2", AND(CL34=TRUE,CM34=TRUE,CN34-CO34&gt;-1),"Direct", AND(CL34=TRUE,CM34=TRUE,CN34-CO34&lt;0),"Check algorithm in appendix 2"))</f>
        <v/>
      </c>
      <c r="BC34" s="120" t="str">
        <f t="shared" si="10"/>
        <v/>
      </c>
      <c r="BD34" s="140"/>
      <c r="BE34" s="122" t="str">
        <f>IF(Preferences!B$3="Manual","", IFERROR(IFS(AND(Preferences!B$3="Automatic",AX34/AW34&gt;=30),"Extremely serious",AND(AY34&lt;=$D$1*-1,BA34&lt;0,AX34/AW34&lt;3),"Not Serious",AND(AY34&lt;=$D$1*-1,BA34&lt;0,AX34/AW34&gt;=3),"Very serious",AND(AY34&gt;=$D$1,AZ34&gt;0,AX34/AW34&lt;3),"Not Serious",AND(AY34&gt;=$D$1,AZ34&gt;0,AX34/AW34&gt;=3),"Very serious",AND(AY34&lt;=$D$1*-1,BA34&gt;0,AZ34&gt;$D$2*-1,AX34/AW34&lt;3),"Serious", AND(AY34&lt;=$D$1*-1,BA34&gt;0,AZ34&lt;$D$2*-1,AX34/AW34&lt;3),"Very serious", AND(AY34&gt;=$D$1,AZ34&lt;0,BA34&lt;$D$2,AX34/AW34&lt;3),"Serious",AND(AY34&gt;=$D$1,AZ34&lt;0,BA34&gt;$D$2,AX34/AW34&lt;3),"Very serious", AND(AY34&lt;=$D$1*-1,BA34&gt;0,AZ34&gt;$D$2*-1,AX34/AW34&gt;=3),"Very serious", AND(AY34&lt;=$D$1*-1,BA34&gt;0,AZ34&lt;$D$2*-1,AX34/AW34&gt;=3),"Very serious", AND(AY34&gt;=$D$1,AZ34&lt;0,BA34&lt;$D$2,AX34/AW34&gt;=3),"Very serious", AND(AY34&gt;=$D$1,AZ34&lt;0,BA34&gt;$D$2,AX34/AW34&gt;=3),"Very serious", AND(AY34&gt;$D$1*-1,AY34&lt;$D$1,AZ34&gt;$D$1*-1,BA34&lt;$D$1,AX34/AW34&lt;3),"Not Serious", AND(AY34&gt;$D$1*-1,AY34&lt;$D$1,OR(AZ34&lt;=$D$1*-1,BA34&gt;=$D$1),AZ34&gt;$D$2*-1,BA34&lt;$D$2,AX34/AW34&lt;3),"Serious", AND(AY34&gt;$D$1*-1,AY34&lt;$D$1,OR(AZ34&lt;=$D$2*-1,BA34&gt;=$D$2),AX34/AW34&lt;3),"Very serious", AND(AY34&gt;$D$1*-1,AY34&lt;$D$1,AZ34&gt;$D$1*-1,BA34&lt;$D$1,AX34/AW34&gt;=3),"Very serious", AND(AY34&gt;$D$1*-1,AY34&lt;$D$1,OR(AZ34&lt;=$D$1*-1,BA34&gt;=$D$1),AZ34&gt;$D$2*-1,BA34&lt;$D$2,AX34/AW34&gt;=3),"Very serious", AND(AY34&gt;$D$1*-1,AY34&lt;$D$1,OR(AZ34&lt;=$D$2*-1,BA34&gt;=$D$2),AX34/AW34&gt;=3),"Very serious"),""))</f>
        <v/>
      </c>
      <c r="BF34" s="107" t="str">
        <f t="shared" si="11"/>
        <v/>
      </c>
      <c r="BG34" s="94" t="str">
        <f t="shared" si="46"/>
        <v/>
      </c>
      <c r="BH34" s="64" t="str">
        <f t="shared" si="12"/>
        <v>#N/A</v>
      </c>
      <c r="BI34" s="64" t="str">
        <f t="shared" si="13"/>
        <v/>
      </c>
      <c r="BJ34" s="123" t="str">
        <f t="shared" si="14"/>
        <v>#N/A</v>
      </c>
      <c r="BK34" s="64" t="str">
        <f t="shared" si="15"/>
        <v>YES</v>
      </c>
      <c r="BL34" s="64" t="str">
        <f t="shared" si="16"/>
        <v>YES</v>
      </c>
      <c r="BM34" s="64" t="str">
        <f t="shared" si="17"/>
        <v>YES</v>
      </c>
      <c r="BN34" s="124" t="str">
        <f t="shared" si="18"/>
        <v/>
      </c>
      <c r="BO34" s="91" t="str">
        <f t="shared" si="19"/>
        <v/>
      </c>
      <c r="BP34" s="91" t="str">
        <f t="shared" si="20"/>
        <v>#N/A</v>
      </c>
      <c r="BQ34" s="91" t="str">
        <f t="shared" si="21"/>
        <v/>
      </c>
      <c r="BR34" s="93" t="str">
        <f t="shared" si="22"/>
        <v/>
      </c>
      <c r="BS34" s="90" t="str">
        <f t="shared" si="23"/>
        <v/>
      </c>
      <c r="BT34" s="93" t="str">
        <f t="shared" si="24"/>
        <v>NA</v>
      </c>
      <c r="BU34" s="125" t="str">
        <f t="shared" si="25"/>
        <v>#N/A</v>
      </c>
      <c r="BV34" s="93" t="str">
        <f t="shared" si="26"/>
        <v/>
      </c>
      <c r="BW34" s="93" t="str">
        <f t="shared" si="27"/>
        <v/>
      </c>
      <c r="BX34" s="93" t="str">
        <f t="shared" si="28"/>
        <v>NA</v>
      </c>
      <c r="BY34" s="95" t="str">
        <f t="shared" si="29"/>
        <v>#N/A</v>
      </c>
      <c r="BZ34" s="93" t="str">
        <f t="shared" si="30"/>
        <v/>
      </c>
      <c r="CA34" s="93" t="str">
        <f t="shared" si="31"/>
        <v/>
      </c>
      <c r="CB34" s="93" t="str">
        <f t="shared" si="32"/>
        <v>NA</v>
      </c>
      <c r="CC34" s="96" t="str">
        <f t="shared" si="33"/>
        <v>#N/A</v>
      </c>
      <c r="CD34" s="93" t="str">
        <f t="shared" si="34"/>
        <v/>
      </c>
      <c r="CE34" s="93" t="str">
        <f t="shared" si="35"/>
        <v/>
      </c>
      <c r="CF34" s="93" t="str">
        <f t="shared" si="36"/>
        <v>NA</v>
      </c>
      <c r="CG34" s="97" t="str">
        <f t="shared" si="37"/>
        <v>#N/A</v>
      </c>
      <c r="CH34" s="98" t="str">
        <f t="shared" si="38"/>
        <v>#N/A</v>
      </c>
      <c r="CI34" s="99" t="str">
        <f t="shared" si="39"/>
        <v>#N/A</v>
      </c>
      <c r="CJ34" s="126" t="str">
        <f t="shared" si="40"/>
        <v>ERROR: check cell</v>
      </c>
      <c r="CK34" s="126"/>
      <c r="CL34" s="127" t="str">
        <f t="shared" si="41"/>
        <v>#DIV/0!</v>
      </c>
      <c r="CM34" s="128" t="str">
        <f t="shared" si="42"/>
        <v>#DIV/0!</v>
      </c>
      <c r="CN34" s="128">
        <f t="shared" si="43"/>
        <v>4</v>
      </c>
      <c r="CO34" s="129">
        <f t="shared" si="44"/>
        <v>4</v>
      </c>
      <c r="CP34" s="129" t="str">
        <f>IFS(C34=Preferences!B$13,B34,B34=Preferences!B$13,C34)</f>
        <v>#N/A</v>
      </c>
    </row>
    <row r="35" ht="13.5" customHeight="1">
      <c r="A35" s="63" t="str">
        <f t="shared" si="45"/>
        <v/>
      </c>
      <c r="B35" s="64"/>
      <c r="C35" s="64"/>
      <c r="D35" s="64"/>
      <c r="E35" s="65"/>
      <c r="F35" s="65"/>
      <c r="G35" s="65"/>
      <c r="H35" s="65"/>
      <c r="I35" s="65"/>
      <c r="J35" s="141"/>
      <c r="K35" s="138"/>
      <c r="L35" s="104"/>
      <c r="M35" s="104"/>
      <c r="N35" s="104"/>
      <c r="O35" s="104"/>
      <c r="P35" s="107" t="str">
        <f t="shared" si="1"/>
        <v/>
      </c>
      <c r="Q35" s="108" t="str">
        <f>IFERROR(IF(AND(Preferences!B$3="Manual",OR(AX35/AW35&gt;G35/F35,BD35="Serious",BD35="Very serious")),"Assess imprecision",IFS(ISBLANK(E35),"",AND(Preferences!B$3="Automatic", G35/F35&gt;=30),"Extremely serious",AND(H35&lt;=$D$1*-1,J35&lt;0,G35/F35&lt;3),"Not serious",AND(H35&lt;=$D$1*-1,J35&lt;0,G35/F35&gt;=3),"Very serious",AND(H35&gt;=$D$1,I35&gt;0,G35/F35&lt;3),"Not serious",AND(H35&gt;=$D$1,I35&gt;0,G35/F35&gt;=3),"Very serious",AND(H35&lt;=$D$1*-1,J35&gt;0,I35&gt;$D$2*-1,G35/F35&lt;3),"Serious", AND(H35&lt;=$D$1*-1,J35&gt;0,I35&lt;$D$2*-1,G35/F35&lt;3),"Very serious", AND(H35&gt;=$D$1,I35&lt;0,J35&lt;$D$2,G35/F35&lt;3),"Serious",AND(H35&gt;=$D$1,I35&lt;0,J35&gt;$D$2,G35/F35&lt;3),"Very serious", AND(H35&lt;=$D$1*-1,J35&gt;0,I35&gt;$D$2*-1,G35/F35&gt;=3),"Very serious", AND(H35&lt;=$D$1*-1,J35&gt;0,I35&lt;$D$2*-1,G35/F35&gt;=3),"Very serious", AND(H35&gt;=$D$1,I35&lt;0,J35&lt;$D$2,G35/F35&gt;=3),"Very serious", AND(H35&gt;=$D$1,I35&lt;0,J35&gt;$D$2,G35/F35&gt;=3),"Very serious", AND(H35&gt;$D$1*-1,H35&lt;$D$1,I35&gt;$D$1*-1,J35&lt;$D$1,G35/F35&lt;3),"Not serious", AND(H35&gt;$D$1*-1,H35&lt;$D$1,OR(I35&lt;=$D$1*-1,J35&gt;=$D$1),I35&gt;$D$2*-1,J35&lt;$D$2,G35/F35&lt;3),"Serious", AND(H35&gt;$D$1*-1,H35&lt;$D$1,OR(I35&lt;=$D$2*-1,J35&gt;=$D$2),G35/F35&lt;3),"Very serious", AND(H35&gt;$D$1*-1,H35&lt;$D$1,I35&gt;$D$1*-1,J35&lt;$D$1,G35/F35&gt;=3),"Very serious", AND(H35&gt;$D$1*-1,H35&lt;$D$1,OR(I35&lt;=$D$1*-1,J35&gt;=$D$1),I35&gt;$D$2*-1,J35&lt;$D$2,G35/F35&gt;=3),"Very serious", AND(H35&gt;$D$1*-1,H35&lt;$D$1,OR(I35&lt;=$D$2*-1,J35&gt;=$D$2),G35/F35&gt;=3),"Very serious")),"")</f>
        <v/>
      </c>
      <c r="R35" s="109" t="str">
        <f t="shared" si="47"/>
        <v/>
      </c>
      <c r="S35" s="64"/>
      <c r="T35" s="139"/>
      <c r="U35" s="139"/>
      <c r="V35" s="139"/>
      <c r="W35" s="142"/>
      <c r="X35" s="142"/>
      <c r="Y35" s="143"/>
      <c r="Z35" s="113" t="str">
        <f t="array" ref="Z35">INDEX($A$1:$C$500, MATCH(1,($B:$B=$B35)*($C:$C=$AB35),0),1)</f>
        <v/>
      </c>
      <c r="AA35" s="113" t="str">
        <f t="array" ref="AA35">INDEX($A$1:$C$500, MATCH(1,($B:$B=$AB35)*($C:$C=$B35),0),1)</f>
        <v/>
      </c>
      <c r="AB35" s="111"/>
      <c r="AC35" s="114" t="str">
        <f t="shared" si="2"/>
        <v/>
      </c>
      <c r="AD35" s="115" t="str">
        <f t="shared" si="3"/>
        <v/>
      </c>
      <c r="AE35" s="116" t="str">
        <f t="array" ref="AE35">INDEX($A$1:$C$500, MATCH(1,($B:$B=$AB35)*($C:$C=$AG35),0),1)</f>
        <v/>
      </c>
      <c r="AF35" s="116" t="str">
        <f t="array" ref="AF35">INDEX($A$1:$C$500, MATCH(1,($B:$B=$AG35)*($C:$C=$AB35),0),1)</f>
        <v/>
      </c>
      <c r="AG35" s="72"/>
      <c r="AH35" s="114" t="str">
        <f t="shared" si="4"/>
        <v/>
      </c>
      <c r="AI35" s="115" t="str">
        <f t="shared" si="5"/>
        <v/>
      </c>
      <c r="AJ35" s="116" t="str">
        <f t="array" ref="AJ35">INDEX($A$1:$C$500, MATCH(1,($B:$B=$C35)*($C:$C=$AG35),0),1)</f>
        <v/>
      </c>
      <c r="AK35" s="116" t="str">
        <f t="array" ref="AK35">INDEX($A$1:$C$500, MATCH(1,($B:$B=$AG35)*($C:$C=$C35),0),1)</f>
        <v/>
      </c>
      <c r="AL35" s="116" t="str">
        <f t="array" ref="AL35">INDEX($A$1:$C$500, MATCH(1,($B:$B=$C35)*($C:$C=$AB35),0),1)</f>
        <v/>
      </c>
      <c r="AM35" s="116" t="str">
        <f t="array" ref="AM35">INDEX($A$1:$C$500, MATCH(1,($B:$B=$AB35)*($C:$C=$C35),0),1)</f>
        <v/>
      </c>
      <c r="AN35" s="114" t="str">
        <f t="array" ref="AN35">IFS(ISNUMBER(AJ35),AJ35,ISNUMBER(AK35),AK35,ISNUMBER(AL35),AL35,ISNUMBER(AM35),AM35)</f>
        <v>#N/A</v>
      </c>
      <c r="AO35" s="115" t="str">
        <f t="shared" si="6"/>
        <v/>
      </c>
      <c r="AP35" s="115" t="str">
        <f t="shared" si="7"/>
        <v/>
      </c>
      <c r="AQ35" s="111"/>
      <c r="AR35" s="109" t="str">
        <f t="shared" si="8"/>
        <v/>
      </c>
      <c r="AS35" s="72" t="str">
        <f>IFERROR(IF(AND(Preferences!B$3="Manual",OR(AX35/AW35&gt;V35/U35,BD35="Serious",BD35="Very serious")),"Assess imprecision",IFERROR(IFS(AND(Preferences!B$3="Automatic",V35/U35&gt;=30),"Extremely serious",AND(W35&lt;=$D$1*-1,Y35&lt;0,V35/U35&lt;3),"Not Serious",AND(W35&lt;=$D$1*-1,Y35&lt;0,V35/U35&gt;=3),"Very serious",AND(W35&gt;=$D$1,X35&gt;0,V35/U35&lt;3),"Not Serious",AND(W35&gt;=$D$1,X35&gt;0,V35/U35&gt;=3),"Very serious",AND(W35&lt;=$D$1*-1,Y35&gt;0,X35&gt;$D$2*-1,V35/U35&lt;3),"Serious", AND(W35&lt;=$D$1*-1,Y35&gt;0,X35&lt;$D$2*-1,V35/U35&lt;3),"Very serious", AND(W35&gt;=$D$1,X35&lt;0,Y35&lt;$D$2,V35/U35&lt;3),"Serious",AND(W35&gt;=$D$1,X35&lt;0,Y35&gt;$D$2,V35/U35&lt;3),"Very serious", AND(W35&lt;=$D$1*-1,Y35&gt;0,X35&gt;$D$2*-1,V35/U35&gt;=3),"Very serious", AND(W35&lt;=$D$1*-1,Y35&gt;0,X35&lt;$D$2*-1,V35/U35&gt;=3),"Very serious", AND(W35&gt;=$D$1,X35&lt;0,Y35&lt;$D$2,V35/U35&gt;=3),"Very serious", AND(W35&gt;=$D$1,X35&lt;0,Y35&gt;$D$2,V35/U35&gt;=3),"Very serious", AND(W35&gt;$D$1*-1,W35&lt;$D$1,X35&gt;$D$1*-1,Y35&lt;$D$1,V35/U35&lt;3),"Not Serious", AND(W35&gt;$D$1*-1,W35&lt;$D$1,OR(X35&lt;=$D$1*-1,Y35&gt;=$D$1),X35&gt;$D$2*-1,Y35&lt;$D$2,V35/U35&lt;3),"Serious", AND(W35&gt;$D$1*-1,W35&lt;$D$1,OR(X35&lt;=$D$2*-1,Y35&gt;=$D$2),V35/U35&lt;3),"Very serious", AND(W35&gt;$D$1*-1,W35&lt;$D$1,X35&gt;$D$1*-1,Y35&lt;$D$1,V35/U35&gt;=3),"Very serious", AND(W35&gt;$D$1*-1,W35&lt;$D$1,OR(X35&lt;=$D$1*-1,Y35&gt;=$D$1),X35&gt;$D$2*-1,Y35&lt;$D$2,V35/U35&gt;=3),"Very serious", AND(W35&gt;$D$1*-1,W35&lt;$D$1,OR(X35&lt;=$D$2*-1,Y35&gt;=$D$2),V35/U35&gt;=3),"Very serious"),"")),"")</f>
        <v/>
      </c>
      <c r="AT35" s="109" t="str">
        <f t="shared" si="9"/>
        <v/>
      </c>
      <c r="AU35" s="64"/>
      <c r="AV35" s="117"/>
      <c r="AW35" s="117"/>
      <c r="AX35" s="117"/>
      <c r="AY35" s="118"/>
      <c r="AZ35" s="118"/>
      <c r="BA35" s="119"/>
      <c r="BB35" s="86" t="str">
        <f>IF(Preferences!B$9="Manual","",IFS(ISBLANK(B35),"",AND(ISNUMBER(E35)=TRUE,ISNUMBER(T35)=FALSE),"Direct", AND(ISNUMBER(E35)=FALSE,ISNUMBER(T35)=TRUE),"Indirect", CN35=4,"Direct",AND(CL35=FALSE, CM35=TRUE,CN35-CO35&gt;-1),"Direct", AND(CL35=FALSE,CM35=TRUE, CN35-CO35&lt;0),"Check algorithm in appendix 2", AND(CL35=TRUE, CM35=FALSE,CN35-CO35&gt;0),"Check algorithm in appendix 2", AND(CL35=TRUE, CM35=FALSE,CN35-CO35=0),"Indirect", AND(CL35=TRUE, CM35=FALSE,CN35-CO35&lt;0),"Indirect", AND(CL35=FALSE,CM35=FALSE,CN35-CO35&gt;-1),"Direct", AND(CL35=FALSE,CM35=FALSE,CN35-CO35&lt;0),"Check algorithm in appendix 2", AND(CL35=TRUE,CM35=TRUE,CN35-CO35&gt;-1),"Direct", AND(CL35=TRUE,CM35=TRUE,CN35-CO35&lt;0),"Check algorithm in appendix 2"))</f>
        <v/>
      </c>
      <c r="BC35" s="120" t="str">
        <f t="shared" si="10"/>
        <v/>
      </c>
      <c r="BD35" s="140"/>
      <c r="BE35" s="122" t="str">
        <f>IF(Preferences!B$3="Manual","", IFERROR(IFS(AND(Preferences!B$3="Automatic",AX35/AW35&gt;=30),"Extremely serious",AND(AY35&lt;=$D$1*-1,BA35&lt;0,AX35/AW35&lt;3),"Not Serious",AND(AY35&lt;=$D$1*-1,BA35&lt;0,AX35/AW35&gt;=3),"Very serious",AND(AY35&gt;=$D$1,AZ35&gt;0,AX35/AW35&lt;3),"Not Serious",AND(AY35&gt;=$D$1,AZ35&gt;0,AX35/AW35&gt;=3),"Very serious",AND(AY35&lt;=$D$1*-1,BA35&gt;0,AZ35&gt;$D$2*-1,AX35/AW35&lt;3),"Serious", AND(AY35&lt;=$D$1*-1,BA35&gt;0,AZ35&lt;$D$2*-1,AX35/AW35&lt;3),"Very serious", AND(AY35&gt;=$D$1,AZ35&lt;0,BA35&lt;$D$2,AX35/AW35&lt;3),"Serious",AND(AY35&gt;=$D$1,AZ35&lt;0,BA35&gt;$D$2,AX35/AW35&lt;3),"Very serious", AND(AY35&lt;=$D$1*-1,BA35&gt;0,AZ35&gt;$D$2*-1,AX35/AW35&gt;=3),"Very serious", AND(AY35&lt;=$D$1*-1,BA35&gt;0,AZ35&lt;$D$2*-1,AX35/AW35&gt;=3),"Very serious", AND(AY35&gt;=$D$1,AZ35&lt;0,BA35&lt;$D$2,AX35/AW35&gt;=3),"Very serious", AND(AY35&gt;=$D$1,AZ35&lt;0,BA35&gt;$D$2,AX35/AW35&gt;=3),"Very serious", AND(AY35&gt;$D$1*-1,AY35&lt;$D$1,AZ35&gt;$D$1*-1,BA35&lt;$D$1,AX35/AW35&lt;3),"Not Serious", AND(AY35&gt;$D$1*-1,AY35&lt;$D$1,OR(AZ35&lt;=$D$1*-1,BA35&gt;=$D$1),AZ35&gt;$D$2*-1,BA35&lt;$D$2,AX35/AW35&lt;3),"Serious", AND(AY35&gt;$D$1*-1,AY35&lt;$D$1,OR(AZ35&lt;=$D$2*-1,BA35&gt;=$D$2),AX35/AW35&lt;3),"Very serious", AND(AY35&gt;$D$1*-1,AY35&lt;$D$1,AZ35&gt;$D$1*-1,BA35&lt;$D$1,AX35/AW35&gt;=3),"Very serious", AND(AY35&gt;$D$1*-1,AY35&lt;$D$1,OR(AZ35&lt;=$D$1*-1,BA35&gt;=$D$1),AZ35&gt;$D$2*-1,BA35&lt;$D$2,AX35/AW35&gt;=3),"Very serious", AND(AY35&gt;$D$1*-1,AY35&lt;$D$1,OR(AZ35&lt;=$D$2*-1,BA35&gt;=$D$2),AX35/AW35&gt;=3),"Very serious"),""))</f>
        <v/>
      </c>
      <c r="BF35" s="107" t="str">
        <f t="shared" si="11"/>
        <v/>
      </c>
      <c r="BG35" s="94" t="str">
        <f t="shared" si="46"/>
        <v/>
      </c>
      <c r="BH35" s="64" t="str">
        <f t="shared" si="12"/>
        <v>#N/A</v>
      </c>
      <c r="BI35" s="64" t="str">
        <f t="shared" si="13"/>
        <v/>
      </c>
      <c r="BJ35" s="123" t="str">
        <f t="shared" si="14"/>
        <v>#N/A</v>
      </c>
      <c r="BK35" s="64" t="str">
        <f t="shared" si="15"/>
        <v>YES</v>
      </c>
      <c r="BL35" s="64" t="str">
        <f t="shared" si="16"/>
        <v>YES</v>
      </c>
      <c r="BM35" s="64" t="str">
        <f t="shared" si="17"/>
        <v>YES</v>
      </c>
      <c r="BN35" s="124" t="str">
        <f t="shared" si="18"/>
        <v/>
      </c>
      <c r="BO35" s="91" t="str">
        <f t="shared" si="19"/>
        <v/>
      </c>
      <c r="BP35" s="91" t="str">
        <f t="shared" si="20"/>
        <v>#N/A</v>
      </c>
      <c r="BQ35" s="91" t="str">
        <f t="shared" si="21"/>
        <v/>
      </c>
      <c r="BR35" s="93" t="str">
        <f t="shared" si="22"/>
        <v/>
      </c>
      <c r="BS35" s="90" t="str">
        <f t="shared" si="23"/>
        <v/>
      </c>
      <c r="BT35" s="93" t="str">
        <f t="shared" si="24"/>
        <v>NA</v>
      </c>
      <c r="BU35" s="125" t="str">
        <f t="shared" si="25"/>
        <v>#N/A</v>
      </c>
      <c r="BV35" s="93" t="str">
        <f t="shared" si="26"/>
        <v/>
      </c>
      <c r="BW35" s="93" t="str">
        <f t="shared" si="27"/>
        <v/>
      </c>
      <c r="BX35" s="93" t="str">
        <f t="shared" si="28"/>
        <v>NA</v>
      </c>
      <c r="BY35" s="95" t="str">
        <f t="shared" si="29"/>
        <v>#N/A</v>
      </c>
      <c r="BZ35" s="93" t="str">
        <f t="shared" si="30"/>
        <v/>
      </c>
      <c r="CA35" s="93" t="str">
        <f t="shared" si="31"/>
        <v/>
      </c>
      <c r="CB35" s="93" t="str">
        <f t="shared" si="32"/>
        <v>NA</v>
      </c>
      <c r="CC35" s="96" t="str">
        <f t="shared" si="33"/>
        <v>#N/A</v>
      </c>
      <c r="CD35" s="93" t="str">
        <f t="shared" si="34"/>
        <v/>
      </c>
      <c r="CE35" s="93" t="str">
        <f t="shared" si="35"/>
        <v/>
      </c>
      <c r="CF35" s="93" t="str">
        <f t="shared" si="36"/>
        <v>NA</v>
      </c>
      <c r="CG35" s="97" t="str">
        <f t="shared" si="37"/>
        <v>#N/A</v>
      </c>
      <c r="CH35" s="98" t="str">
        <f t="shared" si="38"/>
        <v>#N/A</v>
      </c>
      <c r="CI35" s="99" t="str">
        <f t="shared" si="39"/>
        <v>#N/A</v>
      </c>
      <c r="CJ35" s="126" t="str">
        <f t="shared" si="40"/>
        <v>ERROR: check cell</v>
      </c>
      <c r="CK35" s="126" t="str">
        <f t="shared" ref="CK35:CK36" si="49">if(AND(T35&lt;1=TRUE,E35&lt;1=TRUE)=TRUE,if(OR(AND(V35&gt;G35=TRUE,G35&gt;U35=TRUE),AND(G35&gt;V35=TRUE,V35&gt;F35=TRUE)=TRUE)=TRUE,"No serious incoherence","Quantitative incoherence (same direction of effect)"),if(AND(T35&gt;1=TRUE,E35&gt;1=TRUE)=TRUE,if(OR(AND(V35&gt;G35=TRUE,G35&gt;U35=TRUE),AND(G35&gt;V35=TRUE,V35&gt;F35=TRUE)=TRUE)=TRUE,"No serious incoherence","Quantitative incoherence (same direction of effect)"),if(OR(AND(T35&lt;1=TRUE,E35&gt;1=TRUE)=TRUE,AND(T35&gt;1=TRUE,E35&lt;1=TRUE)=TRUE)=TRUE,if(OR(AND(V35&gt;G35=TRUE,G35&gt;U35=TRUE),AND(G35&gt;V35=TRUE,V35&gt;F35=TRUE)=TRUE)=TRUE,"No serious incoherence","Qualitative incoherence (different direction of effect)"))))</f>
        <v>Quantitative incoherence (same direction of effect)</v>
      </c>
      <c r="CL35" s="127" t="str">
        <f t="shared" si="41"/>
        <v>#DIV/0!</v>
      </c>
      <c r="CM35" s="128" t="str">
        <f t="shared" si="42"/>
        <v>#DIV/0!</v>
      </c>
      <c r="CN35" s="128">
        <f t="shared" si="43"/>
        <v>4</v>
      </c>
      <c r="CO35" s="129">
        <f t="shared" si="44"/>
        <v>4</v>
      </c>
      <c r="CP35" s="129" t="str">
        <f>IFS(C35=Preferences!B$13,B35,B35=Preferences!B$13,C35)</f>
        <v>#N/A</v>
      </c>
    </row>
    <row r="36" ht="13.5" customHeight="1">
      <c r="A36" s="63" t="str">
        <f t="shared" si="45"/>
        <v/>
      </c>
      <c r="B36" s="64"/>
      <c r="C36" s="64"/>
      <c r="D36" s="64"/>
      <c r="E36" s="65"/>
      <c r="F36" s="65"/>
      <c r="G36" s="65"/>
      <c r="H36" s="65"/>
      <c r="I36" s="65"/>
      <c r="J36" s="141"/>
      <c r="K36" s="138"/>
      <c r="L36" s="133"/>
      <c r="M36" s="133"/>
      <c r="N36" s="133"/>
      <c r="O36" s="133"/>
      <c r="P36" s="107" t="str">
        <f t="shared" si="1"/>
        <v/>
      </c>
      <c r="Q36" s="108" t="str">
        <f>IFERROR(IF(AND(Preferences!B$3="Manual",OR(AX36/AW36&gt;G36/F36,BD36="Serious",BD36="Very serious")),"Assess imprecision",IFS(ISBLANK(E36),"",AND(Preferences!B$3="Automatic", G36/F36&gt;=30),"Extremely serious",AND(H36&lt;=$D$1*-1,J36&lt;0,G36/F36&lt;3),"Not serious",AND(H36&lt;=$D$1*-1,J36&lt;0,G36/F36&gt;=3),"Very serious",AND(H36&gt;=$D$1,I36&gt;0,G36/F36&lt;3),"Not serious",AND(H36&gt;=$D$1,I36&gt;0,G36/F36&gt;=3),"Very serious",AND(H36&lt;=$D$1*-1,J36&gt;0,I36&gt;$D$2*-1,G36/F36&lt;3),"Serious", AND(H36&lt;=$D$1*-1,J36&gt;0,I36&lt;$D$2*-1,G36/F36&lt;3),"Very serious", AND(H36&gt;=$D$1,I36&lt;0,J36&lt;$D$2,G36/F36&lt;3),"Serious",AND(H36&gt;=$D$1,I36&lt;0,J36&gt;$D$2,G36/F36&lt;3),"Very serious", AND(H36&lt;=$D$1*-1,J36&gt;0,I36&gt;$D$2*-1,G36/F36&gt;=3),"Very serious", AND(H36&lt;=$D$1*-1,J36&gt;0,I36&lt;$D$2*-1,G36/F36&gt;=3),"Very serious", AND(H36&gt;=$D$1,I36&lt;0,J36&lt;$D$2,G36/F36&gt;=3),"Very serious", AND(H36&gt;=$D$1,I36&lt;0,J36&gt;$D$2,G36/F36&gt;=3),"Very serious", AND(H36&gt;$D$1*-1,H36&lt;$D$1,I36&gt;$D$1*-1,J36&lt;$D$1,G36/F36&lt;3),"Not serious", AND(H36&gt;$D$1*-1,H36&lt;$D$1,OR(I36&lt;=$D$1*-1,J36&gt;=$D$1),I36&gt;$D$2*-1,J36&lt;$D$2,G36/F36&lt;3),"Serious", AND(H36&gt;$D$1*-1,H36&lt;$D$1,OR(I36&lt;=$D$2*-1,J36&gt;=$D$2),G36/F36&lt;3),"Very serious", AND(H36&gt;$D$1*-1,H36&lt;$D$1,I36&gt;$D$1*-1,J36&lt;$D$1,G36/F36&gt;=3),"Very serious", AND(H36&gt;$D$1*-1,H36&lt;$D$1,OR(I36&lt;=$D$1*-1,J36&gt;=$D$1),I36&gt;$D$2*-1,J36&lt;$D$2,G36/F36&gt;=3),"Very serious", AND(H36&gt;$D$1*-1,H36&lt;$D$1,OR(I36&lt;=$D$2*-1,J36&gt;=$D$2),G36/F36&gt;=3),"Very serious")),"")</f>
        <v/>
      </c>
      <c r="R36" s="109" t="str">
        <f t="shared" si="47"/>
        <v/>
      </c>
      <c r="S36" s="64"/>
      <c r="T36" s="139"/>
      <c r="U36" s="139"/>
      <c r="V36" s="139"/>
      <c r="W36" s="142"/>
      <c r="X36" s="142"/>
      <c r="Y36" s="143"/>
      <c r="Z36" s="113" t="str">
        <f t="array" ref="Z36">INDEX($A$1:$C$500, MATCH(1,($B:$B=$B36)*($C:$C=$AB36),0),1)</f>
        <v/>
      </c>
      <c r="AA36" s="113" t="str">
        <f t="array" ref="AA36">INDEX($A$1:$C$500, MATCH(1,($B:$B=$AB36)*($C:$C=$B36),0),1)</f>
        <v/>
      </c>
      <c r="AB36" s="111"/>
      <c r="AC36" s="114" t="str">
        <f t="shared" si="2"/>
        <v/>
      </c>
      <c r="AD36" s="115" t="str">
        <f t="shared" si="3"/>
        <v/>
      </c>
      <c r="AE36" s="116" t="str">
        <f t="array" ref="AE36">INDEX($A$1:$C$500, MATCH(1,($B:$B=$AB36)*($C:$C=$AG36),0),1)</f>
        <v/>
      </c>
      <c r="AF36" s="116" t="str">
        <f t="array" ref="AF36">INDEX($A$1:$C$500, MATCH(1,($B:$B=$AG36)*($C:$C=$AB36),0),1)</f>
        <v/>
      </c>
      <c r="AG36" s="72"/>
      <c r="AH36" s="114" t="str">
        <f t="shared" si="4"/>
        <v/>
      </c>
      <c r="AI36" s="115" t="str">
        <f t="shared" si="5"/>
        <v/>
      </c>
      <c r="AJ36" s="116" t="str">
        <f t="array" ref="AJ36">INDEX($A$1:$C$500, MATCH(1,($B:$B=$C36)*($C:$C=$AG36),0),1)</f>
        <v/>
      </c>
      <c r="AK36" s="116" t="str">
        <f t="array" ref="AK36">INDEX($A$1:$C$500, MATCH(1,($B:$B=$AG36)*($C:$C=$C36),0),1)</f>
        <v/>
      </c>
      <c r="AL36" s="116" t="str">
        <f t="array" ref="AL36">INDEX($A$1:$C$500, MATCH(1,($B:$B=$C36)*($C:$C=$AB36),0),1)</f>
        <v/>
      </c>
      <c r="AM36" s="116" t="str">
        <f t="array" ref="AM36">INDEX($A$1:$C$500, MATCH(1,($B:$B=$AB36)*($C:$C=$C36),0),1)</f>
        <v/>
      </c>
      <c r="AN36" s="114" t="str">
        <f t="array" ref="AN36">IFS(ISNUMBER(AJ36),AJ36,ISNUMBER(AK36),AK36,ISNUMBER(AL36),AL36,ISNUMBER(AM36),AM36)</f>
        <v>#N/A</v>
      </c>
      <c r="AO36" s="115" t="str">
        <f t="shared" si="6"/>
        <v/>
      </c>
      <c r="AP36" s="115" t="str">
        <f t="shared" si="7"/>
        <v/>
      </c>
      <c r="AQ36" s="111"/>
      <c r="AR36" s="109" t="str">
        <f t="shared" si="8"/>
        <v/>
      </c>
      <c r="AS36" s="72" t="str">
        <f>IFERROR(IF(AND(Preferences!B$3="Manual",OR(AX36/AW36&gt;V36/U36,BD36="Serious",BD36="Very serious")),"Assess imprecision",IFERROR(IFS(AND(Preferences!B$3="Automatic",V36/U36&gt;=30),"Extremely serious",AND(W36&lt;=$D$1*-1,Y36&lt;0,V36/U36&lt;3),"Not Serious",AND(W36&lt;=$D$1*-1,Y36&lt;0,V36/U36&gt;=3),"Very serious",AND(W36&gt;=$D$1,X36&gt;0,V36/U36&lt;3),"Not Serious",AND(W36&gt;=$D$1,X36&gt;0,V36/U36&gt;=3),"Very serious",AND(W36&lt;=$D$1*-1,Y36&gt;0,X36&gt;$D$2*-1,V36/U36&lt;3),"Serious", AND(W36&lt;=$D$1*-1,Y36&gt;0,X36&lt;$D$2*-1,V36/U36&lt;3),"Very serious", AND(W36&gt;=$D$1,X36&lt;0,Y36&lt;$D$2,V36/U36&lt;3),"Serious",AND(W36&gt;=$D$1,X36&lt;0,Y36&gt;$D$2,V36/U36&lt;3),"Very serious", AND(W36&lt;=$D$1*-1,Y36&gt;0,X36&gt;$D$2*-1,V36/U36&gt;=3),"Very serious", AND(W36&lt;=$D$1*-1,Y36&gt;0,X36&lt;$D$2*-1,V36/U36&gt;=3),"Very serious", AND(W36&gt;=$D$1,X36&lt;0,Y36&lt;$D$2,V36/U36&gt;=3),"Very serious", AND(W36&gt;=$D$1,X36&lt;0,Y36&gt;$D$2,V36/U36&gt;=3),"Very serious", AND(W36&gt;$D$1*-1,W36&lt;$D$1,X36&gt;$D$1*-1,Y36&lt;$D$1,V36/U36&lt;3),"Not Serious", AND(W36&gt;$D$1*-1,W36&lt;$D$1,OR(X36&lt;=$D$1*-1,Y36&gt;=$D$1),X36&gt;$D$2*-1,Y36&lt;$D$2,V36/U36&lt;3),"Serious", AND(W36&gt;$D$1*-1,W36&lt;$D$1,OR(X36&lt;=$D$2*-1,Y36&gt;=$D$2),V36/U36&lt;3),"Very serious", AND(W36&gt;$D$1*-1,W36&lt;$D$1,X36&gt;$D$1*-1,Y36&lt;$D$1,V36/U36&gt;=3),"Very serious", AND(W36&gt;$D$1*-1,W36&lt;$D$1,OR(X36&lt;=$D$1*-1,Y36&gt;=$D$1),X36&gt;$D$2*-1,Y36&lt;$D$2,V36/U36&gt;=3),"Very serious", AND(W36&gt;$D$1*-1,W36&lt;$D$1,OR(X36&lt;=$D$2*-1,Y36&gt;=$D$2),V36/U36&gt;=3),"Very serious"),"")),"")</f>
        <v/>
      </c>
      <c r="AT36" s="109" t="str">
        <f t="shared" si="9"/>
        <v/>
      </c>
      <c r="AU36" s="64"/>
      <c r="AV36" s="117"/>
      <c r="AW36" s="117"/>
      <c r="AX36" s="117"/>
      <c r="AY36" s="118"/>
      <c r="AZ36" s="118"/>
      <c r="BA36" s="119"/>
      <c r="BB36" s="86" t="str">
        <f>IF(Preferences!B$9="Manual","",IFS(ISBLANK(B36),"",AND(ISNUMBER(E36)=TRUE,ISNUMBER(T36)=FALSE),"Direct", AND(ISNUMBER(E36)=FALSE,ISNUMBER(T36)=TRUE),"Indirect", CN36=4,"Direct",AND(CL36=FALSE, CM36=TRUE,CN36-CO36&gt;-1),"Direct", AND(CL36=FALSE,CM36=TRUE, CN36-CO36&lt;0),"Check algorithm in appendix 2", AND(CL36=TRUE, CM36=FALSE,CN36-CO36&gt;0),"Check algorithm in appendix 2", AND(CL36=TRUE, CM36=FALSE,CN36-CO36=0),"Indirect", AND(CL36=TRUE, CM36=FALSE,CN36-CO36&lt;0),"Indirect", AND(CL36=FALSE,CM36=FALSE,CN36-CO36&gt;-1),"Direct", AND(CL36=FALSE,CM36=FALSE,CN36-CO36&lt;0),"Check algorithm in appendix 2", AND(CL36=TRUE,CM36=TRUE,CN36-CO36&gt;-1),"Direct", AND(CL36=TRUE,CM36=TRUE,CN36-CO36&lt;0),"Check algorithm in appendix 2"))</f>
        <v/>
      </c>
      <c r="BC36" s="120" t="str">
        <f t="shared" si="10"/>
        <v/>
      </c>
      <c r="BD36" s="140"/>
      <c r="BE36" s="122" t="str">
        <f>IF(Preferences!B$3="Manual","", IFERROR(IFS(AND(Preferences!B$3="Automatic",AX36/AW36&gt;=30),"Extremely serious",AND(AY36&lt;=$D$1*-1,BA36&lt;0,AX36/AW36&lt;3),"Not Serious",AND(AY36&lt;=$D$1*-1,BA36&lt;0,AX36/AW36&gt;=3),"Very serious",AND(AY36&gt;=$D$1,AZ36&gt;0,AX36/AW36&lt;3),"Not Serious",AND(AY36&gt;=$D$1,AZ36&gt;0,AX36/AW36&gt;=3),"Very serious",AND(AY36&lt;=$D$1*-1,BA36&gt;0,AZ36&gt;$D$2*-1,AX36/AW36&lt;3),"Serious", AND(AY36&lt;=$D$1*-1,BA36&gt;0,AZ36&lt;$D$2*-1,AX36/AW36&lt;3),"Very serious", AND(AY36&gt;=$D$1,AZ36&lt;0,BA36&lt;$D$2,AX36/AW36&lt;3),"Serious",AND(AY36&gt;=$D$1,AZ36&lt;0,BA36&gt;$D$2,AX36/AW36&lt;3),"Very serious", AND(AY36&lt;=$D$1*-1,BA36&gt;0,AZ36&gt;$D$2*-1,AX36/AW36&gt;=3),"Very serious", AND(AY36&lt;=$D$1*-1,BA36&gt;0,AZ36&lt;$D$2*-1,AX36/AW36&gt;=3),"Very serious", AND(AY36&gt;=$D$1,AZ36&lt;0,BA36&lt;$D$2,AX36/AW36&gt;=3),"Very serious", AND(AY36&gt;=$D$1,AZ36&lt;0,BA36&gt;$D$2,AX36/AW36&gt;=3),"Very serious", AND(AY36&gt;$D$1*-1,AY36&lt;$D$1,AZ36&gt;$D$1*-1,BA36&lt;$D$1,AX36/AW36&lt;3),"Not Serious", AND(AY36&gt;$D$1*-1,AY36&lt;$D$1,OR(AZ36&lt;=$D$1*-1,BA36&gt;=$D$1),AZ36&gt;$D$2*-1,BA36&lt;$D$2,AX36/AW36&lt;3),"Serious", AND(AY36&gt;$D$1*-1,AY36&lt;$D$1,OR(AZ36&lt;=$D$2*-1,BA36&gt;=$D$2),AX36/AW36&lt;3),"Very serious", AND(AY36&gt;$D$1*-1,AY36&lt;$D$1,AZ36&gt;$D$1*-1,BA36&lt;$D$1,AX36/AW36&gt;=3),"Very serious", AND(AY36&gt;$D$1*-1,AY36&lt;$D$1,OR(AZ36&lt;=$D$1*-1,BA36&gt;=$D$1),AZ36&gt;$D$2*-1,BA36&lt;$D$2,AX36/AW36&gt;=3),"Very serious", AND(AY36&gt;$D$1*-1,AY36&lt;$D$1,OR(AZ36&lt;=$D$2*-1,BA36&gt;=$D$2),AX36/AW36&gt;=3),"Very serious"),""))</f>
        <v/>
      </c>
      <c r="BF36" s="107" t="str">
        <f t="shared" si="11"/>
        <v/>
      </c>
      <c r="BG36" s="94" t="str">
        <f t="shared" si="46"/>
        <v/>
      </c>
      <c r="BH36" s="64" t="str">
        <f t="shared" si="12"/>
        <v>#N/A</v>
      </c>
      <c r="BI36" s="64" t="str">
        <f t="shared" si="13"/>
        <v/>
      </c>
      <c r="BJ36" s="123" t="str">
        <f t="shared" si="14"/>
        <v>#N/A</v>
      </c>
      <c r="BK36" s="64" t="str">
        <f t="shared" si="15"/>
        <v>YES</v>
      </c>
      <c r="BL36" s="64" t="str">
        <f t="shared" si="16"/>
        <v>YES</v>
      </c>
      <c r="BM36" s="64" t="str">
        <f t="shared" si="17"/>
        <v>YES</v>
      </c>
      <c r="BN36" s="124" t="str">
        <f t="shared" si="18"/>
        <v/>
      </c>
      <c r="BO36" s="91" t="str">
        <f t="shared" si="19"/>
        <v/>
      </c>
      <c r="BP36" s="91" t="str">
        <f t="shared" si="20"/>
        <v>#N/A</v>
      </c>
      <c r="BQ36" s="91" t="str">
        <f t="shared" si="21"/>
        <v/>
      </c>
      <c r="BR36" s="93" t="str">
        <f t="shared" si="22"/>
        <v/>
      </c>
      <c r="BS36" s="90" t="str">
        <f t="shared" si="23"/>
        <v/>
      </c>
      <c r="BT36" s="93" t="str">
        <f t="shared" si="24"/>
        <v>NA</v>
      </c>
      <c r="BU36" s="125" t="str">
        <f t="shared" si="25"/>
        <v>#N/A</v>
      </c>
      <c r="BV36" s="93" t="str">
        <f t="shared" si="26"/>
        <v/>
      </c>
      <c r="BW36" s="93" t="str">
        <f t="shared" si="27"/>
        <v/>
      </c>
      <c r="BX36" s="93" t="str">
        <f t="shared" si="28"/>
        <v>NA</v>
      </c>
      <c r="BY36" s="95" t="str">
        <f t="shared" si="29"/>
        <v>#N/A</v>
      </c>
      <c r="BZ36" s="93" t="str">
        <f t="shared" si="30"/>
        <v/>
      </c>
      <c r="CA36" s="93" t="str">
        <f t="shared" si="31"/>
        <v/>
      </c>
      <c r="CB36" s="93" t="str">
        <f t="shared" si="32"/>
        <v>NA</v>
      </c>
      <c r="CC36" s="96" t="str">
        <f t="shared" si="33"/>
        <v>#N/A</v>
      </c>
      <c r="CD36" s="93" t="str">
        <f t="shared" si="34"/>
        <v/>
      </c>
      <c r="CE36" s="93" t="str">
        <f t="shared" si="35"/>
        <v/>
      </c>
      <c r="CF36" s="93" t="str">
        <f t="shared" si="36"/>
        <v>NA</v>
      </c>
      <c r="CG36" s="97" t="str">
        <f t="shared" si="37"/>
        <v>#N/A</v>
      </c>
      <c r="CH36" s="98" t="str">
        <f t="shared" si="38"/>
        <v>#N/A</v>
      </c>
      <c r="CI36" s="99" t="str">
        <f t="shared" si="39"/>
        <v>#N/A</v>
      </c>
      <c r="CJ36" s="126" t="str">
        <f t="shared" si="40"/>
        <v>ERROR: check cell</v>
      </c>
      <c r="CK36" s="126" t="str">
        <f t="shared" si="49"/>
        <v>Quantitative incoherence (same direction of effect)</v>
      </c>
      <c r="CL36" s="127" t="str">
        <f t="shared" si="41"/>
        <v>#DIV/0!</v>
      </c>
      <c r="CM36" s="128" t="str">
        <f t="shared" si="42"/>
        <v>#DIV/0!</v>
      </c>
      <c r="CN36" s="128">
        <f t="shared" si="43"/>
        <v>4</v>
      </c>
      <c r="CO36" s="129">
        <f t="shared" si="44"/>
        <v>4</v>
      </c>
      <c r="CP36" s="129" t="str">
        <f>IFS(C36=Preferences!B$13,B36,B36=Preferences!B$13,C36)</f>
        <v>#N/A</v>
      </c>
    </row>
    <row r="37" ht="13.5" customHeight="1">
      <c r="A37" s="63" t="str">
        <f t="shared" si="45"/>
        <v/>
      </c>
      <c r="B37" s="64"/>
      <c r="C37" s="64"/>
      <c r="D37" s="64"/>
      <c r="E37" s="65"/>
      <c r="F37" s="65"/>
      <c r="G37" s="65"/>
      <c r="H37" s="65"/>
      <c r="I37" s="65"/>
      <c r="J37" s="141"/>
      <c r="K37" s="138"/>
      <c r="L37" s="133"/>
      <c r="M37" s="133"/>
      <c r="N37" s="133"/>
      <c r="O37" s="133"/>
      <c r="P37" s="107" t="str">
        <f t="shared" si="1"/>
        <v/>
      </c>
      <c r="Q37" s="108" t="str">
        <f>IFERROR(IF(AND(Preferences!B$3="Manual",OR(AX37/AW37&gt;G37/F37,BD37="Serious",BD37="Very serious")),"Assess imprecision",IFS(ISBLANK(E37),"",AND(Preferences!B$3="Automatic", G37/F37&gt;=30),"Extremely serious",AND(H37&lt;=$D$1*-1,J37&lt;0,G37/F37&lt;3),"Not serious",AND(H37&lt;=$D$1*-1,J37&lt;0,G37/F37&gt;=3),"Very serious",AND(H37&gt;=$D$1,I37&gt;0,G37/F37&lt;3),"Not serious",AND(H37&gt;=$D$1,I37&gt;0,G37/F37&gt;=3),"Very serious",AND(H37&lt;=$D$1*-1,J37&gt;0,I37&gt;$D$2*-1,G37/F37&lt;3),"Serious", AND(H37&lt;=$D$1*-1,J37&gt;0,I37&lt;$D$2*-1,G37/F37&lt;3),"Very serious", AND(H37&gt;=$D$1,I37&lt;0,J37&lt;$D$2,G37/F37&lt;3),"Serious",AND(H37&gt;=$D$1,I37&lt;0,J37&gt;$D$2,G37/F37&lt;3),"Very serious", AND(H37&lt;=$D$1*-1,J37&gt;0,I37&gt;$D$2*-1,G37/F37&gt;=3),"Very serious", AND(H37&lt;=$D$1*-1,J37&gt;0,I37&lt;$D$2*-1,G37/F37&gt;=3),"Very serious", AND(H37&gt;=$D$1,I37&lt;0,J37&lt;$D$2,G37/F37&gt;=3),"Very serious", AND(H37&gt;=$D$1,I37&lt;0,J37&gt;$D$2,G37/F37&gt;=3),"Very serious", AND(H37&gt;$D$1*-1,H37&lt;$D$1,I37&gt;$D$1*-1,J37&lt;$D$1,G37/F37&lt;3),"Not serious", AND(H37&gt;$D$1*-1,H37&lt;$D$1,OR(I37&lt;=$D$1*-1,J37&gt;=$D$1),I37&gt;$D$2*-1,J37&lt;$D$2,G37/F37&lt;3),"Serious", AND(H37&gt;$D$1*-1,H37&lt;$D$1,OR(I37&lt;=$D$2*-1,J37&gt;=$D$2),G37/F37&lt;3),"Very serious", AND(H37&gt;$D$1*-1,H37&lt;$D$1,I37&gt;$D$1*-1,J37&lt;$D$1,G37/F37&gt;=3),"Very serious", AND(H37&gt;$D$1*-1,H37&lt;$D$1,OR(I37&lt;=$D$1*-1,J37&gt;=$D$1),I37&gt;$D$2*-1,J37&lt;$D$2,G37/F37&gt;=3),"Very serious", AND(H37&gt;$D$1*-1,H37&lt;$D$1,OR(I37&lt;=$D$2*-1,J37&gt;=$D$2),G37/F37&gt;=3),"Very serious")),"")</f>
        <v/>
      </c>
      <c r="R37" s="109" t="str">
        <f t="shared" si="47"/>
        <v/>
      </c>
      <c r="S37" s="64"/>
      <c r="T37" s="139"/>
      <c r="U37" s="139"/>
      <c r="V37" s="139"/>
      <c r="W37" s="142"/>
      <c r="X37" s="142"/>
      <c r="Y37" s="143"/>
      <c r="Z37" s="113" t="str">
        <f t="array" ref="Z37">INDEX($A$1:$C$500, MATCH(1,($B:$B=$B37)*($C:$C=$AB37),0),1)</f>
        <v/>
      </c>
      <c r="AA37" s="113" t="str">
        <f t="array" ref="AA37">INDEX($A$1:$C$500, MATCH(1,($B:$B=$AB37)*($C:$C=$B37),0),1)</f>
        <v/>
      </c>
      <c r="AB37" s="111"/>
      <c r="AC37" s="114" t="str">
        <f t="shared" si="2"/>
        <v/>
      </c>
      <c r="AD37" s="115" t="str">
        <f t="shared" si="3"/>
        <v/>
      </c>
      <c r="AE37" s="116" t="str">
        <f t="array" ref="AE37">INDEX($A$1:$C$500, MATCH(1,($B:$B=$AB37)*($C:$C=$AG37),0),1)</f>
        <v/>
      </c>
      <c r="AF37" s="116" t="str">
        <f t="array" ref="AF37">INDEX($A$1:$C$500, MATCH(1,($B:$B=$AG37)*($C:$C=$AB37),0),1)</f>
        <v/>
      </c>
      <c r="AG37" s="72"/>
      <c r="AH37" s="114" t="str">
        <f t="shared" si="4"/>
        <v/>
      </c>
      <c r="AI37" s="115" t="str">
        <f t="shared" si="5"/>
        <v/>
      </c>
      <c r="AJ37" s="116" t="str">
        <f t="array" ref="AJ37">INDEX($A$1:$C$500, MATCH(1,($B:$B=$C37)*($C:$C=$AG37),0),1)</f>
        <v/>
      </c>
      <c r="AK37" s="116" t="str">
        <f t="array" ref="AK37">INDEX($A$1:$C$500, MATCH(1,($B:$B=$AG37)*($C:$C=$C37),0),1)</f>
        <v/>
      </c>
      <c r="AL37" s="116" t="str">
        <f t="array" ref="AL37">INDEX($A$1:$C$500, MATCH(1,($B:$B=$C37)*($C:$C=$AB37),0),1)</f>
        <v/>
      </c>
      <c r="AM37" s="116" t="str">
        <f t="array" ref="AM37">INDEX($A$1:$C$500, MATCH(1,($B:$B=$AB37)*($C:$C=$C37),0),1)</f>
        <v/>
      </c>
      <c r="AN37" s="114" t="str">
        <f t="array" ref="AN37">IFS(ISNUMBER(AJ37),AJ37,ISNUMBER(AK37),AK37,ISNUMBER(AL37),AL37,ISNUMBER(AM37),AM37)</f>
        <v>#N/A</v>
      </c>
      <c r="AO37" s="115" t="str">
        <f t="shared" si="6"/>
        <v/>
      </c>
      <c r="AP37" s="115" t="str">
        <f t="shared" si="7"/>
        <v/>
      </c>
      <c r="AQ37" s="72"/>
      <c r="AR37" s="109" t="str">
        <f t="shared" si="8"/>
        <v/>
      </c>
      <c r="AS37" s="72" t="str">
        <f>IFERROR(IF(AND(Preferences!B$3="Manual",OR(AX37/AW37&gt;V37/U37,BD37="Serious",BD37="Very serious")),"Assess imprecision",IFERROR(IFS(AND(Preferences!B$3="Automatic",V37/U37&gt;=30),"Extremely serious",AND(W37&lt;=$D$1*-1,Y37&lt;0,V37/U37&lt;3),"Not Serious",AND(W37&lt;=$D$1*-1,Y37&lt;0,V37/U37&gt;=3),"Very serious",AND(W37&gt;=$D$1,X37&gt;0,V37/U37&lt;3),"Not Serious",AND(W37&gt;=$D$1,X37&gt;0,V37/U37&gt;=3),"Very serious",AND(W37&lt;=$D$1*-1,Y37&gt;0,X37&gt;$D$2*-1,V37/U37&lt;3),"Serious", AND(W37&lt;=$D$1*-1,Y37&gt;0,X37&lt;$D$2*-1,V37/U37&lt;3),"Very serious", AND(W37&gt;=$D$1,X37&lt;0,Y37&lt;$D$2,V37/U37&lt;3),"Serious",AND(W37&gt;=$D$1,X37&lt;0,Y37&gt;$D$2,V37/U37&lt;3),"Very serious", AND(W37&lt;=$D$1*-1,Y37&gt;0,X37&gt;$D$2*-1,V37/U37&gt;=3),"Very serious", AND(W37&lt;=$D$1*-1,Y37&gt;0,X37&lt;$D$2*-1,V37/U37&gt;=3),"Very serious", AND(W37&gt;=$D$1,X37&lt;0,Y37&lt;$D$2,V37/U37&gt;=3),"Very serious", AND(W37&gt;=$D$1,X37&lt;0,Y37&gt;$D$2,V37/U37&gt;=3),"Very serious", AND(W37&gt;$D$1*-1,W37&lt;$D$1,X37&gt;$D$1*-1,Y37&lt;$D$1,V37/U37&lt;3),"Not Serious", AND(W37&gt;$D$1*-1,W37&lt;$D$1,OR(X37&lt;=$D$1*-1,Y37&gt;=$D$1),X37&gt;$D$2*-1,Y37&lt;$D$2,V37/U37&lt;3),"Serious", AND(W37&gt;$D$1*-1,W37&lt;$D$1,OR(X37&lt;=$D$2*-1,Y37&gt;=$D$2),V37/U37&lt;3),"Very serious", AND(W37&gt;$D$1*-1,W37&lt;$D$1,X37&gt;$D$1*-1,Y37&lt;$D$1,V37/U37&gt;=3),"Very serious", AND(W37&gt;$D$1*-1,W37&lt;$D$1,OR(X37&lt;=$D$1*-1,Y37&gt;=$D$1),X37&gt;$D$2*-1,Y37&lt;$D$2,V37/U37&gt;=3),"Very serious", AND(W37&gt;$D$1*-1,W37&lt;$D$1,OR(X37&lt;=$D$2*-1,Y37&gt;=$D$2),V37/U37&gt;=3),"Very serious"),"")),"")</f>
        <v/>
      </c>
      <c r="AT37" s="109" t="str">
        <f t="shared" si="9"/>
        <v/>
      </c>
      <c r="AU37" s="64"/>
      <c r="AV37" s="117"/>
      <c r="AW37" s="117"/>
      <c r="AX37" s="117"/>
      <c r="AY37" s="118"/>
      <c r="AZ37" s="118"/>
      <c r="BA37" s="119"/>
      <c r="BB37" s="86" t="str">
        <f>IF(Preferences!B$9="Manual","",IFS(ISBLANK(B37),"",AND(ISNUMBER(E37)=TRUE,ISNUMBER(T37)=FALSE),"Direct", AND(ISNUMBER(E37)=FALSE,ISNUMBER(T37)=TRUE),"Indirect", CN37=4,"Direct",AND(CL37=FALSE, CM37=TRUE,CN37-CO37&gt;-1),"Direct", AND(CL37=FALSE,CM37=TRUE, CN37-CO37&lt;0),"Check algorithm in appendix 2", AND(CL37=TRUE, CM37=FALSE,CN37-CO37&gt;0),"Check algorithm in appendix 2", AND(CL37=TRUE, CM37=FALSE,CN37-CO37=0),"Indirect", AND(CL37=TRUE, CM37=FALSE,CN37-CO37&lt;0),"Indirect", AND(CL37=FALSE,CM37=FALSE,CN37-CO37&gt;-1),"Direct", AND(CL37=FALSE,CM37=FALSE,CN37-CO37&lt;0),"Check algorithm in appendix 2", AND(CL37=TRUE,CM37=TRUE,CN37-CO37&gt;-1),"Direct", AND(CL37=TRUE,CM37=TRUE,CN37-CO37&lt;0),"Check algorithm in appendix 2"))</f>
        <v/>
      </c>
      <c r="BC37" s="120" t="str">
        <f t="shared" si="10"/>
        <v/>
      </c>
      <c r="BD37" s="140"/>
      <c r="BE37" s="122" t="str">
        <f>IF(Preferences!B$3="Manual","", IFERROR(IFS(AND(Preferences!B$3="Automatic",AX37/AW37&gt;=30),"Extremely serious",AND(AY37&lt;=$D$1*-1,BA37&lt;0,AX37/AW37&lt;3),"Not Serious",AND(AY37&lt;=$D$1*-1,BA37&lt;0,AX37/AW37&gt;=3),"Very serious",AND(AY37&gt;=$D$1,AZ37&gt;0,AX37/AW37&lt;3),"Not Serious",AND(AY37&gt;=$D$1,AZ37&gt;0,AX37/AW37&gt;=3),"Very serious",AND(AY37&lt;=$D$1*-1,BA37&gt;0,AZ37&gt;$D$2*-1,AX37/AW37&lt;3),"Serious", AND(AY37&lt;=$D$1*-1,BA37&gt;0,AZ37&lt;$D$2*-1,AX37/AW37&lt;3),"Very serious", AND(AY37&gt;=$D$1,AZ37&lt;0,BA37&lt;$D$2,AX37/AW37&lt;3),"Serious",AND(AY37&gt;=$D$1,AZ37&lt;0,BA37&gt;$D$2,AX37/AW37&lt;3),"Very serious", AND(AY37&lt;=$D$1*-1,BA37&gt;0,AZ37&gt;$D$2*-1,AX37/AW37&gt;=3),"Very serious", AND(AY37&lt;=$D$1*-1,BA37&gt;0,AZ37&lt;$D$2*-1,AX37/AW37&gt;=3),"Very serious", AND(AY37&gt;=$D$1,AZ37&lt;0,BA37&lt;$D$2,AX37/AW37&gt;=3),"Very serious", AND(AY37&gt;=$D$1,AZ37&lt;0,BA37&gt;$D$2,AX37/AW37&gt;=3),"Very serious", AND(AY37&gt;$D$1*-1,AY37&lt;$D$1,AZ37&gt;$D$1*-1,BA37&lt;$D$1,AX37/AW37&lt;3),"Not Serious", AND(AY37&gt;$D$1*-1,AY37&lt;$D$1,OR(AZ37&lt;=$D$1*-1,BA37&gt;=$D$1),AZ37&gt;$D$2*-1,BA37&lt;$D$2,AX37/AW37&lt;3),"Serious", AND(AY37&gt;$D$1*-1,AY37&lt;$D$1,OR(AZ37&lt;=$D$2*-1,BA37&gt;=$D$2),AX37/AW37&lt;3),"Very serious", AND(AY37&gt;$D$1*-1,AY37&lt;$D$1,AZ37&gt;$D$1*-1,BA37&lt;$D$1,AX37/AW37&gt;=3),"Very serious", AND(AY37&gt;$D$1*-1,AY37&lt;$D$1,OR(AZ37&lt;=$D$1*-1,BA37&gt;=$D$1),AZ37&gt;$D$2*-1,BA37&lt;$D$2,AX37/AW37&gt;=3),"Very serious", AND(AY37&gt;$D$1*-1,AY37&lt;$D$1,OR(AZ37&lt;=$D$2*-1,BA37&gt;=$D$2),AX37/AW37&gt;=3),"Very serious"),""))</f>
        <v/>
      </c>
      <c r="BF37" s="107" t="str">
        <f t="shared" si="11"/>
        <v/>
      </c>
      <c r="BG37" s="94" t="str">
        <f t="shared" si="46"/>
        <v/>
      </c>
      <c r="BH37" s="64" t="str">
        <f t="shared" si="12"/>
        <v>#N/A</v>
      </c>
      <c r="BI37" s="64" t="str">
        <f t="shared" si="13"/>
        <v/>
      </c>
      <c r="BJ37" s="123" t="str">
        <f t="shared" si="14"/>
        <v>#N/A</v>
      </c>
      <c r="BK37" s="64" t="str">
        <f t="shared" si="15"/>
        <v>YES</v>
      </c>
      <c r="BL37" s="64" t="str">
        <f t="shared" si="16"/>
        <v>YES</v>
      </c>
      <c r="BM37" s="64" t="str">
        <f t="shared" si="17"/>
        <v>YES</v>
      </c>
      <c r="BN37" s="124" t="str">
        <f t="shared" si="18"/>
        <v/>
      </c>
      <c r="BO37" s="91" t="str">
        <f t="shared" si="19"/>
        <v/>
      </c>
      <c r="BP37" s="91" t="str">
        <f t="shared" si="20"/>
        <v>#N/A</v>
      </c>
      <c r="BQ37" s="91" t="str">
        <f t="shared" si="21"/>
        <v/>
      </c>
      <c r="BR37" s="93" t="str">
        <f t="shared" si="22"/>
        <v/>
      </c>
      <c r="BS37" s="90" t="str">
        <f t="shared" si="23"/>
        <v/>
      </c>
      <c r="BT37" s="93" t="str">
        <f t="shared" si="24"/>
        <v>NA</v>
      </c>
      <c r="BU37" s="125" t="str">
        <f t="shared" si="25"/>
        <v>#N/A</v>
      </c>
      <c r="BV37" s="93" t="str">
        <f t="shared" si="26"/>
        <v/>
      </c>
      <c r="BW37" s="93" t="str">
        <f t="shared" si="27"/>
        <v/>
      </c>
      <c r="BX37" s="93" t="str">
        <f t="shared" si="28"/>
        <v>NA</v>
      </c>
      <c r="BY37" s="95" t="str">
        <f t="shared" si="29"/>
        <v>#N/A</v>
      </c>
      <c r="BZ37" s="93" t="str">
        <f t="shared" si="30"/>
        <v/>
      </c>
      <c r="CA37" s="93" t="str">
        <f t="shared" si="31"/>
        <v/>
      </c>
      <c r="CB37" s="93" t="str">
        <f t="shared" si="32"/>
        <v>NA</v>
      </c>
      <c r="CC37" s="96" t="str">
        <f t="shared" si="33"/>
        <v>#N/A</v>
      </c>
      <c r="CD37" s="93" t="str">
        <f t="shared" si="34"/>
        <v/>
      </c>
      <c r="CE37" s="93" t="str">
        <f t="shared" si="35"/>
        <v/>
      </c>
      <c r="CF37" s="93" t="str">
        <f t="shared" si="36"/>
        <v>NA</v>
      </c>
      <c r="CG37" s="97" t="str">
        <f t="shared" si="37"/>
        <v>#N/A</v>
      </c>
      <c r="CH37" s="98" t="str">
        <f t="shared" si="38"/>
        <v>#N/A</v>
      </c>
      <c r="CI37" s="99" t="str">
        <f t="shared" si="39"/>
        <v>#N/A</v>
      </c>
      <c r="CJ37" s="126" t="str">
        <f t="shared" si="40"/>
        <v>ERROR: check cell</v>
      </c>
      <c r="CK37" s="126"/>
      <c r="CL37" s="127" t="str">
        <f t="shared" si="41"/>
        <v>#DIV/0!</v>
      </c>
      <c r="CM37" s="128" t="str">
        <f t="shared" si="42"/>
        <v>#DIV/0!</v>
      </c>
      <c r="CN37" s="128">
        <f t="shared" si="43"/>
        <v>4</v>
      </c>
      <c r="CO37" s="129">
        <f t="shared" si="44"/>
        <v>4</v>
      </c>
      <c r="CP37" s="129" t="str">
        <f>IFS(C37=Preferences!B$13,B37,B37=Preferences!B$13,C37)</f>
        <v>#N/A</v>
      </c>
    </row>
    <row r="38" ht="13.5" customHeight="1">
      <c r="A38" s="63" t="str">
        <f t="shared" si="45"/>
        <v/>
      </c>
      <c r="B38" s="64"/>
      <c r="C38" s="64"/>
      <c r="D38" s="64"/>
      <c r="E38" s="65"/>
      <c r="F38" s="65"/>
      <c r="G38" s="65"/>
      <c r="H38" s="65"/>
      <c r="I38" s="65"/>
      <c r="J38" s="141"/>
      <c r="K38" s="138"/>
      <c r="L38" s="133"/>
      <c r="M38" s="104"/>
      <c r="N38" s="104"/>
      <c r="O38" s="104"/>
      <c r="P38" s="107" t="str">
        <f t="shared" si="1"/>
        <v/>
      </c>
      <c r="Q38" s="108" t="str">
        <f>IFERROR(IF(AND(Preferences!B$3="Manual",OR(AX38/AW38&gt;G38/F38,BD38="Serious",BD38="Very serious")),"Assess imprecision",IFS(ISBLANK(E38),"",AND(Preferences!B$3="Automatic", G38/F38&gt;=30),"Extremely serious",AND(H38&lt;=$D$1*-1,J38&lt;0,G38/F38&lt;3),"Not serious",AND(H38&lt;=$D$1*-1,J38&lt;0,G38/F38&gt;=3),"Very serious",AND(H38&gt;=$D$1,I38&gt;0,G38/F38&lt;3),"Not serious",AND(H38&gt;=$D$1,I38&gt;0,G38/F38&gt;=3),"Very serious",AND(H38&lt;=$D$1*-1,J38&gt;0,I38&gt;$D$2*-1,G38/F38&lt;3),"Serious", AND(H38&lt;=$D$1*-1,J38&gt;0,I38&lt;$D$2*-1,G38/F38&lt;3),"Very serious", AND(H38&gt;=$D$1,I38&lt;0,J38&lt;$D$2,G38/F38&lt;3),"Serious",AND(H38&gt;=$D$1,I38&lt;0,J38&gt;$D$2,G38/F38&lt;3),"Very serious", AND(H38&lt;=$D$1*-1,J38&gt;0,I38&gt;$D$2*-1,G38/F38&gt;=3),"Very serious", AND(H38&lt;=$D$1*-1,J38&gt;0,I38&lt;$D$2*-1,G38/F38&gt;=3),"Very serious", AND(H38&gt;=$D$1,I38&lt;0,J38&lt;$D$2,G38/F38&gt;=3),"Very serious", AND(H38&gt;=$D$1,I38&lt;0,J38&gt;$D$2,G38/F38&gt;=3),"Very serious", AND(H38&gt;$D$1*-1,H38&lt;$D$1,I38&gt;$D$1*-1,J38&lt;$D$1,G38/F38&lt;3),"Not serious", AND(H38&gt;$D$1*-1,H38&lt;$D$1,OR(I38&lt;=$D$1*-1,J38&gt;=$D$1),I38&gt;$D$2*-1,J38&lt;$D$2,G38/F38&lt;3),"Serious", AND(H38&gt;$D$1*-1,H38&lt;$D$1,OR(I38&lt;=$D$2*-1,J38&gt;=$D$2),G38/F38&lt;3),"Very serious", AND(H38&gt;$D$1*-1,H38&lt;$D$1,I38&gt;$D$1*-1,J38&lt;$D$1,G38/F38&gt;=3),"Very serious", AND(H38&gt;$D$1*-1,H38&lt;$D$1,OR(I38&lt;=$D$1*-1,J38&gt;=$D$1),I38&gt;$D$2*-1,J38&lt;$D$2,G38/F38&gt;=3),"Very serious", AND(H38&gt;$D$1*-1,H38&lt;$D$1,OR(I38&lt;=$D$2*-1,J38&gt;=$D$2),G38/F38&gt;=3),"Very serious")),"")</f>
        <v/>
      </c>
      <c r="R38" s="109" t="str">
        <f t="shared" si="47"/>
        <v/>
      </c>
      <c r="S38" s="64"/>
      <c r="T38" s="139"/>
      <c r="U38" s="139"/>
      <c r="V38" s="139"/>
      <c r="W38" s="142"/>
      <c r="X38" s="142"/>
      <c r="Y38" s="143"/>
      <c r="Z38" s="113" t="str">
        <f t="array" ref="Z38">INDEX($A$1:$C$500, MATCH(1,($B:$B=$B38)*($C:$C=$AB38),0),1)</f>
        <v/>
      </c>
      <c r="AA38" s="113" t="str">
        <f t="array" ref="AA38">INDEX($A$1:$C$500, MATCH(1,($B:$B=$AB38)*($C:$C=$B38),0),1)</f>
        <v/>
      </c>
      <c r="AB38" s="111"/>
      <c r="AC38" s="114" t="str">
        <f t="shared" si="2"/>
        <v/>
      </c>
      <c r="AD38" s="115" t="str">
        <f t="shared" si="3"/>
        <v/>
      </c>
      <c r="AE38" s="116" t="str">
        <f t="array" ref="AE38">INDEX($A$1:$C$500, MATCH(1,($B:$B=$AB38)*($C:$C=$AG38),0),1)</f>
        <v/>
      </c>
      <c r="AF38" s="116" t="str">
        <f t="array" ref="AF38">INDEX($A$1:$C$500, MATCH(1,($B:$B=$AG38)*($C:$C=$AB38),0),1)</f>
        <v/>
      </c>
      <c r="AG38" s="72"/>
      <c r="AH38" s="114" t="str">
        <f t="shared" si="4"/>
        <v/>
      </c>
      <c r="AI38" s="115" t="str">
        <f t="shared" si="5"/>
        <v/>
      </c>
      <c r="AJ38" s="116" t="str">
        <f t="array" ref="AJ38">INDEX($A$1:$C$500, MATCH(1,($B:$B=$C38)*($C:$C=$AG38),0),1)</f>
        <v/>
      </c>
      <c r="AK38" s="116" t="str">
        <f t="array" ref="AK38">INDEX($A$1:$C$500, MATCH(1,($B:$B=$AG38)*($C:$C=$C38),0),1)</f>
        <v/>
      </c>
      <c r="AL38" s="116" t="str">
        <f t="array" ref="AL38">INDEX($A$1:$C$500, MATCH(1,($B:$B=$C38)*($C:$C=$AB38),0),1)</f>
        <v/>
      </c>
      <c r="AM38" s="116" t="str">
        <f t="array" ref="AM38">INDEX($A$1:$C$500, MATCH(1,($B:$B=$AB38)*($C:$C=$C38),0),1)</f>
        <v/>
      </c>
      <c r="AN38" s="114" t="str">
        <f t="array" ref="AN38">IFS(ISNUMBER(AJ38),AJ38,ISNUMBER(AK38),AK38,ISNUMBER(AL38),AL38,ISNUMBER(AM38),AM38)</f>
        <v>#N/A</v>
      </c>
      <c r="AO38" s="115" t="str">
        <f t="shared" si="6"/>
        <v/>
      </c>
      <c r="AP38" s="115" t="str">
        <f t="shared" si="7"/>
        <v/>
      </c>
      <c r="AQ38" s="72"/>
      <c r="AR38" s="109" t="str">
        <f t="shared" si="8"/>
        <v/>
      </c>
      <c r="AS38" s="72" t="str">
        <f>IFERROR(IF(AND(Preferences!B$3="Manual",OR(AX38/AW38&gt;V38/U38,BD38="Serious",BD38="Very serious")),"Assess imprecision",IFERROR(IFS(AND(Preferences!B$3="Automatic",V38/U38&gt;=30),"Extremely serious",AND(W38&lt;=$D$1*-1,Y38&lt;0,V38/U38&lt;3),"Not Serious",AND(W38&lt;=$D$1*-1,Y38&lt;0,V38/U38&gt;=3),"Very serious",AND(W38&gt;=$D$1,X38&gt;0,V38/U38&lt;3),"Not Serious",AND(W38&gt;=$D$1,X38&gt;0,V38/U38&gt;=3),"Very serious",AND(W38&lt;=$D$1*-1,Y38&gt;0,X38&gt;$D$2*-1,V38/U38&lt;3),"Serious", AND(W38&lt;=$D$1*-1,Y38&gt;0,X38&lt;$D$2*-1,V38/U38&lt;3),"Very serious", AND(W38&gt;=$D$1,X38&lt;0,Y38&lt;$D$2,V38/U38&lt;3),"Serious",AND(W38&gt;=$D$1,X38&lt;0,Y38&gt;$D$2,V38/U38&lt;3),"Very serious", AND(W38&lt;=$D$1*-1,Y38&gt;0,X38&gt;$D$2*-1,V38/U38&gt;=3),"Very serious", AND(W38&lt;=$D$1*-1,Y38&gt;0,X38&lt;$D$2*-1,V38/U38&gt;=3),"Very serious", AND(W38&gt;=$D$1,X38&lt;0,Y38&lt;$D$2,V38/U38&gt;=3),"Very serious", AND(W38&gt;=$D$1,X38&lt;0,Y38&gt;$D$2,V38/U38&gt;=3),"Very serious", AND(W38&gt;$D$1*-1,W38&lt;$D$1,X38&gt;$D$1*-1,Y38&lt;$D$1,V38/U38&lt;3),"Not Serious", AND(W38&gt;$D$1*-1,W38&lt;$D$1,OR(X38&lt;=$D$1*-1,Y38&gt;=$D$1),X38&gt;$D$2*-1,Y38&lt;$D$2,V38/U38&lt;3),"Serious", AND(W38&gt;$D$1*-1,W38&lt;$D$1,OR(X38&lt;=$D$2*-1,Y38&gt;=$D$2),V38/U38&lt;3),"Very serious", AND(W38&gt;$D$1*-1,W38&lt;$D$1,X38&gt;$D$1*-1,Y38&lt;$D$1,V38/U38&gt;=3),"Very serious", AND(W38&gt;$D$1*-1,W38&lt;$D$1,OR(X38&lt;=$D$1*-1,Y38&gt;=$D$1),X38&gt;$D$2*-1,Y38&lt;$D$2,V38/U38&gt;=3),"Very serious", AND(W38&gt;$D$1*-1,W38&lt;$D$1,OR(X38&lt;=$D$2*-1,Y38&gt;=$D$2),V38/U38&gt;=3),"Very serious"),"")),"")</f>
        <v/>
      </c>
      <c r="AT38" s="109" t="str">
        <f t="shared" si="9"/>
        <v/>
      </c>
      <c r="AU38" s="64"/>
      <c r="AV38" s="117"/>
      <c r="AW38" s="117"/>
      <c r="AX38" s="117"/>
      <c r="AY38" s="118"/>
      <c r="AZ38" s="118"/>
      <c r="BA38" s="119"/>
      <c r="BB38" s="86" t="str">
        <f>IF(Preferences!B$9="Manual","",IFS(ISBLANK(B38),"",AND(ISNUMBER(E38)=TRUE,ISNUMBER(T38)=FALSE),"Direct", AND(ISNUMBER(E38)=FALSE,ISNUMBER(T38)=TRUE),"Indirect", CN38=4,"Direct",AND(CL38=FALSE, CM38=TRUE,CN38-CO38&gt;-1),"Direct", AND(CL38=FALSE,CM38=TRUE, CN38-CO38&lt;0),"Check algorithm in appendix 2", AND(CL38=TRUE, CM38=FALSE,CN38-CO38&gt;0),"Check algorithm in appendix 2", AND(CL38=TRUE, CM38=FALSE,CN38-CO38=0),"Indirect", AND(CL38=TRUE, CM38=FALSE,CN38-CO38&lt;0),"Indirect", AND(CL38=FALSE,CM38=FALSE,CN38-CO38&gt;-1),"Direct", AND(CL38=FALSE,CM38=FALSE,CN38-CO38&lt;0),"Check algorithm in appendix 2", AND(CL38=TRUE,CM38=TRUE,CN38-CO38&gt;-1),"Direct", AND(CL38=TRUE,CM38=TRUE,CN38-CO38&lt;0),"Check algorithm in appendix 2"))</f>
        <v/>
      </c>
      <c r="BC38" s="120" t="str">
        <f t="shared" si="10"/>
        <v/>
      </c>
      <c r="BD38" s="140"/>
      <c r="BE38" s="122" t="str">
        <f>IF(Preferences!B$3="Manual","", IFERROR(IFS(AND(Preferences!B$3="Automatic",AX38/AW38&gt;=30),"Extremely serious",AND(AY38&lt;=$D$1*-1,BA38&lt;0,AX38/AW38&lt;3),"Not Serious",AND(AY38&lt;=$D$1*-1,BA38&lt;0,AX38/AW38&gt;=3),"Very serious",AND(AY38&gt;=$D$1,AZ38&gt;0,AX38/AW38&lt;3),"Not Serious",AND(AY38&gt;=$D$1,AZ38&gt;0,AX38/AW38&gt;=3),"Very serious",AND(AY38&lt;=$D$1*-1,BA38&gt;0,AZ38&gt;$D$2*-1,AX38/AW38&lt;3),"Serious", AND(AY38&lt;=$D$1*-1,BA38&gt;0,AZ38&lt;$D$2*-1,AX38/AW38&lt;3),"Very serious", AND(AY38&gt;=$D$1,AZ38&lt;0,BA38&lt;$D$2,AX38/AW38&lt;3),"Serious",AND(AY38&gt;=$D$1,AZ38&lt;0,BA38&gt;$D$2,AX38/AW38&lt;3),"Very serious", AND(AY38&lt;=$D$1*-1,BA38&gt;0,AZ38&gt;$D$2*-1,AX38/AW38&gt;=3),"Very serious", AND(AY38&lt;=$D$1*-1,BA38&gt;0,AZ38&lt;$D$2*-1,AX38/AW38&gt;=3),"Very serious", AND(AY38&gt;=$D$1,AZ38&lt;0,BA38&lt;$D$2,AX38/AW38&gt;=3),"Very serious", AND(AY38&gt;=$D$1,AZ38&lt;0,BA38&gt;$D$2,AX38/AW38&gt;=3),"Very serious", AND(AY38&gt;$D$1*-1,AY38&lt;$D$1,AZ38&gt;$D$1*-1,BA38&lt;$D$1,AX38/AW38&lt;3),"Not Serious", AND(AY38&gt;$D$1*-1,AY38&lt;$D$1,OR(AZ38&lt;=$D$1*-1,BA38&gt;=$D$1),AZ38&gt;$D$2*-1,BA38&lt;$D$2,AX38/AW38&lt;3),"Serious", AND(AY38&gt;$D$1*-1,AY38&lt;$D$1,OR(AZ38&lt;=$D$2*-1,BA38&gt;=$D$2),AX38/AW38&lt;3),"Very serious", AND(AY38&gt;$D$1*-1,AY38&lt;$D$1,AZ38&gt;$D$1*-1,BA38&lt;$D$1,AX38/AW38&gt;=3),"Very serious", AND(AY38&gt;$D$1*-1,AY38&lt;$D$1,OR(AZ38&lt;=$D$1*-1,BA38&gt;=$D$1),AZ38&gt;$D$2*-1,BA38&lt;$D$2,AX38/AW38&gt;=3),"Very serious", AND(AY38&gt;$D$1*-1,AY38&lt;$D$1,OR(AZ38&lt;=$D$2*-1,BA38&gt;=$D$2),AX38/AW38&gt;=3),"Very serious"),""))</f>
        <v/>
      </c>
      <c r="BF38" s="107" t="str">
        <f t="shared" si="11"/>
        <v/>
      </c>
      <c r="BG38" s="94" t="str">
        <f t="shared" si="46"/>
        <v/>
      </c>
      <c r="BH38" s="64" t="str">
        <f t="shared" si="12"/>
        <v>#N/A</v>
      </c>
      <c r="BI38" s="64" t="str">
        <f t="shared" si="13"/>
        <v/>
      </c>
      <c r="BJ38" s="123" t="str">
        <f t="shared" si="14"/>
        <v>#N/A</v>
      </c>
      <c r="BK38" s="64" t="str">
        <f t="shared" si="15"/>
        <v>YES</v>
      </c>
      <c r="BL38" s="64" t="str">
        <f t="shared" si="16"/>
        <v>YES</v>
      </c>
      <c r="BM38" s="64" t="str">
        <f t="shared" si="17"/>
        <v>YES</v>
      </c>
      <c r="BN38" s="124" t="str">
        <f t="shared" si="18"/>
        <v/>
      </c>
      <c r="BO38" s="91" t="str">
        <f t="shared" si="19"/>
        <v/>
      </c>
      <c r="BP38" s="91" t="str">
        <f t="shared" si="20"/>
        <v>#N/A</v>
      </c>
      <c r="BQ38" s="91" t="str">
        <f t="shared" si="21"/>
        <v/>
      </c>
      <c r="BR38" s="93" t="str">
        <f t="shared" si="22"/>
        <v/>
      </c>
      <c r="BS38" s="90" t="str">
        <f t="shared" si="23"/>
        <v/>
      </c>
      <c r="BT38" s="93" t="str">
        <f t="shared" si="24"/>
        <v>NA</v>
      </c>
      <c r="BU38" s="125" t="str">
        <f t="shared" si="25"/>
        <v>#N/A</v>
      </c>
      <c r="BV38" s="93" t="str">
        <f t="shared" si="26"/>
        <v/>
      </c>
      <c r="BW38" s="93" t="str">
        <f t="shared" si="27"/>
        <v/>
      </c>
      <c r="BX38" s="93" t="str">
        <f t="shared" si="28"/>
        <v>NA</v>
      </c>
      <c r="BY38" s="95" t="str">
        <f t="shared" si="29"/>
        <v>#N/A</v>
      </c>
      <c r="BZ38" s="93" t="str">
        <f t="shared" si="30"/>
        <v/>
      </c>
      <c r="CA38" s="93" t="str">
        <f t="shared" si="31"/>
        <v/>
      </c>
      <c r="CB38" s="93" t="str">
        <f t="shared" si="32"/>
        <v>NA</v>
      </c>
      <c r="CC38" s="96" t="str">
        <f t="shared" si="33"/>
        <v>#N/A</v>
      </c>
      <c r="CD38" s="93" t="str">
        <f t="shared" si="34"/>
        <v/>
      </c>
      <c r="CE38" s="93" t="str">
        <f t="shared" si="35"/>
        <v/>
      </c>
      <c r="CF38" s="93" t="str">
        <f t="shared" si="36"/>
        <v>NA</v>
      </c>
      <c r="CG38" s="97" t="str">
        <f t="shared" si="37"/>
        <v>#N/A</v>
      </c>
      <c r="CH38" s="98" t="str">
        <f t="shared" si="38"/>
        <v>#N/A</v>
      </c>
      <c r="CI38" s="99" t="str">
        <f t="shared" si="39"/>
        <v>#N/A</v>
      </c>
      <c r="CJ38" s="126" t="str">
        <f t="shared" si="40"/>
        <v>ERROR: check cell</v>
      </c>
      <c r="CK38" s="126" t="str">
        <f>if(AND(T38&lt;1=TRUE,E38&lt;1=TRUE)=TRUE,if(OR(AND(V38&gt;G38=TRUE,G38&gt;U38=TRUE),AND(G38&gt;V38=TRUE,V38&gt;F38=TRUE)=TRUE)=TRUE,"No serious incoherence","Quantitative incoherence (same direction of effect)"),if(AND(T38&gt;1=TRUE,E38&gt;1=TRUE)=TRUE,if(OR(AND(V38&gt;G38=TRUE,G38&gt;U38=TRUE),AND(G38&gt;V38=TRUE,V38&gt;F38=TRUE)=TRUE)=TRUE,"No serious incoherence","Quantitative incoherence (same direction of effect)"),if(OR(AND(T38&lt;1=TRUE,E38&gt;1=TRUE)=TRUE,AND(T38&gt;1=TRUE,E38&lt;1=TRUE)=TRUE)=TRUE,if(OR(AND(V38&gt;G38=TRUE,G38&gt;U38=TRUE),AND(G38&gt;V38=TRUE,V38&gt;F38=TRUE)=TRUE)=TRUE,"No serious incoherence","Qualitative incoherence (different direction of effect)"))))</f>
        <v>Quantitative incoherence (same direction of effect)</v>
      </c>
      <c r="CL38" s="127" t="str">
        <f t="shared" si="41"/>
        <v>#DIV/0!</v>
      </c>
      <c r="CM38" s="128" t="str">
        <f t="shared" si="42"/>
        <v>#DIV/0!</v>
      </c>
      <c r="CN38" s="128">
        <f t="shared" si="43"/>
        <v>4</v>
      </c>
      <c r="CO38" s="129">
        <f t="shared" si="44"/>
        <v>4</v>
      </c>
      <c r="CP38" s="129" t="str">
        <f>IFS(C38=Preferences!B$13,B38,B38=Preferences!B$13,C38)</f>
        <v>#N/A</v>
      </c>
    </row>
    <row r="39" ht="13.5" customHeight="1">
      <c r="A39" s="63" t="str">
        <f t="shared" si="45"/>
        <v/>
      </c>
      <c r="B39" s="64"/>
      <c r="C39" s="64"/>
      <c r="D39" s="64"/>
      <c r="E39" s="65"/>
      <c r="F39" s="65"/>
      <c r="G39" s="65"/>
      <c r="H39" s="65"/>
      <c r="I39" s="65"/>
      <c r="J39" s="141"/>
      <c r="K39" s="138"/>
      <c r="L39" s="133"/>
      <c r="M39" s="104"/>
      <c r="N39" s="104"/>
      <c r="O39" s="104"/>
      <c r="P39" s="107" t="str">
        <f t="shared" si="1"/>
        <v/>
      </c>
      <c r="Q39" s="108" t="str">
        <f>IFERROR(IF(AND(Preferences!B$3="Manual",OR(AX39/AW39&gt;G39/F39,BD39="Serious",BD39="Very serious")),"Assess imprecision",IFS(ISBLANK(E39),"",AND(Preferences!B$3="Automatic", G39/F39&gt;=30),"Extremely serious",AND(H39&lt;=$D$1*-1,J39&lt;0,G39/F39&lt;3),"Not serious",AND(H39&lt;=$D$1*-1,J39&lt;0,G39/F39&gt;=3),"Very serious",AND(H39&gt;=$D$1,I39&gt;0,G39/F39&lt;3),"Not serious",AND(H39&gt;=$D$1,I39&gt;0,G39/F39&gt;=3),"Very serious",AND(H39&lt;=$D$1*-1,J39&gt;0,I39&gt;$D$2*-1,G39/F39&lt;3),"Serious", AND(H39&lt;=$D$1*-1,J39&gt;0,I39&lt;$D$2*-1,G39/F39&lt;3),"Very serious", AND(H39&gt;=$D$1,I39&lt;0,J39&lt;$D$2,G39/F39&lt;3),"Serious",AND(H39&gt;=$D$1,I39&lt;0,J39&gt;$D$2,G39/F39&lt;3),"Very serious", AND(H39&lt;=$D$1*-1,J39&gt;0,I39&gt;$D$2*-1,G39/F39&gt;=3),"Very serious", AND(H39&lt;=$D$1*-1,J39&gt;0,I39&lt;$D$2*-1,G39/F39&gt;=3),"Very serious", AND(H39&gt;=$D$1,I39&lt;0,J39&lt;$D$2,G39/F39&gt;=3),"Very serious", AND(H39&gt;=$D$1,I39&lt;0,J39&gt;$D$2,G39/F39&gt;=3),"Very serious", AND(H39&gt;$D$1*-1,H39&lt;$D$1,I39&gt;$D$1*-1,J39&lt;$D$1,G39/F39&lt;3),"Not serious", AND(H39&gt;$D$1*-1,H39&lt;$D$1,OR(I39&lt;=$D$1*-1,J39&gt;=$D$1),I39&gt;$D$2*-1,J39&lt;$D$2,G39/F39&lt;3),"Serious", AND(H39&gt;$D$1*-1,H39&lt;$D$1,OR(I39&lt;=$D$2*-1,J39&gt;=$D$2),G39/F39&lt;3),"Very serious", AND(H39&gt;$D$1*-1,H39&lt;$D$1,I39&gt;$D$1*-1,J39&lt;$D$1,G39/F39&gt;=3),"Very serious", AND(H39&gt;$D$1*-1,H39&lt;$D$1,OR(I39&lt;=$D$1*-1,J39&gt;=$D$1),I39&gt;$D$2*-1,J39&lt;$D$2,G39/F39&gt;=3),"Very serious", AND(H39&gt;$D$1*-1,H39&lt;$D$1,OR(I39&lt;=$D$2*-1,J39&gt;=$D$2),G39/F39&gt;=3),"Very serious")),"")</f>
        <v/>
      </c>
      <c r="R39" s="109" t="str">
        <f t="shared" si="47"/>
        <v/>
      </c>
      <c r="S39" s="64"/>
      <c r="T39" s="139"/>
      <c r="U39" s="139"/>
      <c r="V39" s="139"/>
      <c r="W39" s="142"/>
      <c r="X39" s="142"/>
      <c r="Y39" s="143"/>
      <c r="Z39" s="113" t="str">
        <f t="array" ref="Z39">INDEX($A$1:$C$500, MATCH(1,($B:$B=$B39)*($C:$C=$AB39),0),1)</f>
        <v/>
      </c>
      <c r="AA39" s="113" t="str">
        <f t="array" ref="AA39">INDEX($A$1:$C$500, MATCH(1,($B:$B=$AB39)*($C:$C=$B39),0),1)</f>
        <v/>
      </c>
      <c r="AB39" s="111"/>
      <c r="AC39" s="114" t="str">
        <f t="shared" si="2"/>
        <v/>
      </c>
      <c r="AD39" s="115" t="str">
        <f t="shared" si="3"/>
        <v/>
      </c>
      <c r="AE39" s="116" t="str">
        <f t="array" ref="AE39">INDEX($A$1:$C$500, MATCH(1,($B:$B=$AB39)*($C:$C=$AG39),0),1)</f>
        <v/>
      </c>
      <c r="AF39" s="116" t="str">
        <f t="array" ref="AF39">INDEX($A$1:$C$500, MATCH(1,($B:$B=$AG39)*($C:$C=$AB39),0),1)</f>
        <v/>
      </c>
      <c r="AG39" s="72"/>
      <c r="AH39" s="114" t="str">
        <f t="shared" si="4"/>
        <v/>
      </c>
      <c r="AI39" s="115" t="str">
        <f t="shared" si="5"/>
        <v/>
      </c>
      <c r="AJ39" s="116" t="str">
        <f t="array" ref="AJ39">INDEX($A$1:$C$500, MATCH(1,($B:$B=$C39)*($C:$C=$AG39),0),1)</f>
        <v/>
      </c>
      <c r="AK39" s="116" t="str">
        <f t="array" ref="AK39">INDEX($A$1:$C$500, MATCH(1,($B:$B=$AG39)*($C:$C=$C39),0),1)</f>
        <v/>
      </c>
      <c r="AL39" s="116" t="str">
        <f t="array" ref="AL39">INDEX($A$1:$C$500, MATCH(1,($B:$B=$C39)*($C:$C=$AB39),0),1)</f>
        <v/>
      </c>
      <c r="AM39" s="116" t="str">
        <f t="array" ref="AM39">INDEX($A$1:$C$500, MATCH(1,($B:$B=$AB39)*($C:$C=$C39),0),1)</f>
        <v/>
      </c>
      <c r="AN39" s="114" t="str">
        <f t="array" ref="AN39">IFS(ISNUMBER(AJ39),AJ39,ISNUMBER(AK39),AK39,ISNUMBER(AL39),AL39,ISNUMBER(AM39),AM39)</f>
        <v>#N/A</v>
      </c>
      <c r="AO39" s="115" t="str">
        <f t="shared" si="6"/>
        <v/>
      </c>
      <c r="AP39" s="115" t="str">
        <f t="shared" si="7"/>
        <v/>
      </c>
      <c r="AQ39" s="72"/>
      <c r="AR39" s="109" t="str">
        <f t="shared" si="8"/>
        <v/>
      </c>
      <c r="AS39" s="72" t="str">
        <f>IFERROR(IF(AND(Preferences!B$3="Manual",OR(AX39/AW39&gt;V39/U39,BD39="Serious",BD39="Very serious")),"Assess imprecision",IFERROR(IFS(AND(Preferences!B$3="Automatic",V39/U39&gt;=30),"Extremely serious",AND(W39&lt;=$D$1*-1,Y39&lt;0,V39/U39&lt;3),"Not Serious",AND(W39&lt;=$D$1*-1,Y39&lt;0,V39/U39&gt;=3),"Very serious",AND(W39&gt;=$D$1,X39&gt;0,V39/U39&lt;3),"Not Serious",AND(W39&gt;=$D$1,X39&gt;0,V39/U39&gt;=3),"Very serious",AND(W39&lt;=$D$1*-1,Y39&gt;0,X39&gt;$D$2*-1,V39/U39&lt;3),"Serious", AND(W39&lt;=$D$1*-1,Y39&gt;0,X39&lt;$D$2*-1,V39/U39&lt;3),"Very serious", AND(W39&gt;=$D$1,X39&lt;0,Y39&lt;$D$2,V39/U39&lt;3),"Serious",AND(W39&gt;=$D$1,X39&lt;0,Y39&gt;$D$2,V39/U39&lt;3),"Very serious", AND(W39&lt;=$D$1*-1,Y39&gt;0,X39&gt;$D$2*-1,V39/U39&gt;=3),"Very serious", AND(W39&lt;=$D$1*-1,Y39&gt;0,X39&lt;$D$2*-1,V39/U39&gt;=3),"Very serious", AND(W39&gt;=$D$1,X39&lt;0,Y39&lt;$D$2,V39/U39&gt;=3),"Very serious", AND(W39&gt;=$D$1,X39&lt;0,Y39&gt;$D$2,V39/U39&gt;=3),"Very serious", AND(W39&gt;$D$1*-1,W39&lt;$D$1,X39&gt;$D$1*-1,Y39&lt;$D$1,V39/U39&lt;3),"Not Serious", AND(W39&gt;$D$1*-1,W39&lt;$D$1,OR(X39&lt;=$D$1*-1,Y39&gt;=$D$1),X39&gt;$D$2*-1,Y39&lt;$D$2,V39/U39&lt;3),"Serious", AND(W39&gt;$D$1*-1,W39&lt;$D$1,OR(X39&lt;=$D$2*-1,Y39&gt;=$D$2),V39/U39&lt;3),"Very serious", AND(W39&gt;$D$1*-1,W39&lt;$D$1,X39&gt;$D$1*-1,Y39&lt;$D$1,V39/U39&gt;=3),"Very serious", AND(W39&gt;$D$1*-1,W39&lt;$D$1,OR(X39&lt;=$D$1*-1,Y39&gt;=$D$1),X39&gt;$D$2*-1,Y39&lt;$D$2,V39/U39&gt;=3),"Very serious", AND(W39&gt;$D$1*-1,W39&lt;$D$1,OR(X39&lt;=$D$2*-1,Y39&gt;=$D$2),V39/U39&gt;=3),"Very serious"),"")),"")</f>
        <v/>
      </c>
      <c r="AT39" s="109" t="str">
        <f t="shared" si="9"/>
        <v/>
      </c>
      <c r="AU39" s="64"/>
      <c r="AV39" s="117"/>
      <c r="AW39" s="117"/>
      <c r="AX39" s="117"/>
      <c r="AY39" s="118"/>
      <c r="AZ39" s="118"/>
      <c r="BA39" s="119"/>
      <c r="BB39" s="86" t="str">
        <f>IF(Preferences!B$9="Manual","",IFS(ISBLANK(B39),"",AND(ISNUMBER(E39)=TRUE,ISNUMBER(T39)=FALSE),"Direct", AND(ISNUMBER(E39)=FALSE,ISNUMBER(T39)=TRUE),"Indirect", CN39=4,"Direct",AND(CL39=FALSE, CM39=TRUE,CN39-CO39&gt;-1),"Direct", AND(CL39=FALSE,CM39=TRUE, CN39-CO39&lt;0),"Check algorithm in appendix 2", AND(CL39=TRUE, CM39=FALSE,CN39-CO39&gt;0),"Check algorithm in appendix 2", AND(CL39=TRUE, CM39=FALSE,CN39-CO39=0),"Indirect", AND(CL39=TRUE, CM39=FALSE,CN39-CO39&lt;0),"Indirect", AND(CL39=FALSE,CM39=FALSE,CN39-CO39&gt;-1),"Direct", AND(CL39=FALSE,CM39=FALSE,CN39-CO39&lt;0),"Check algorithm in appendix 2", AND(CL39=TRUE,CM39=TRUE,CN39-CO39&gt;-1),"Direct", AND(CL39=TRUE,CM39=TRUE,CN39-CO39&lt;0),"Check algorithm in appendix 2"))</f>
        <v/>
      </c>
      <c r="BC39" s="120" t="str">
        <f t="shared" si="10"/>
        <v/>
      </c>
      <c r="BD39" s="140"/>
      <c r="BE39" s="122" t="str">
        <f>IF(Preferences!B$3="Manual","", IFERROR(IFS(AND(Preferences!B$3="Automatic",AX39/AW39&gt;=30),"Extremely serious",AND(AY39&lt;=$D$1*-1,BA39&lt;0,AX39/AW39&lt;3),"Not Serious",AND(AY39&lt;=$D$1*-1,BA39&lt;0,AX39/AW39&gt;=3),"Very serious",AND(AY39&gt;=$D$1,AZ39&gt;0,AX39/AW39&lt;3),"Not Serious",AND(AY39&gt;=$D$1,AZ39&gt;0,AX39/AW39&gt;=3),"Very serious",AND(AY39&lt;=$D$1*-1,BA39&gt;0,AZ39&gt;$D$2*-1,AX39/AW39&lt;3),"Serious", AND(AY39&lt;=$D$1*-1,BA39&gt;0,AZ39&lt;$D$2*-1,AX39/AW39&lt;3),"Very serious", AND(AY39&gt;=$D$1,AZ39&lt;0,BA39&lt;$D$2,AX39/AW39&lt;3),"Serious",AND(AY39&gt;=$D$1,AZ39&lt;0,BA39&gt;$D$2,AX39/AW39&lt;3),"Very serious", AND(AY39&lt;=$D$1*-1,BA39&gt;0,AZ39&gt;$D$2*-1,AX39/AW39&gt;=3),"Very serious", AND(AY39&lt;=$D$1*-1,BA39&gt;0,AZ39&lt;$D$2*-1,AX39/AW39&gt;=3),"Very serious", AND(AY39&gt;=$D$1,AZ39&lt;0,BA39&lt;$D$2,AX39/AW39&gt;=3),"Very serious", AND(AY39&gt;=$D$1,AZ39&lt;0,BA39&gt;$D$2,AX39/AW39&gt;=3),"Very serious", AND(AY39&gt;$D$1*-1,AY39&lt;$D$1,AZ39&gt;$D$1*-1,BA39&lt;$D$1,AX39/AW39&lt;3),"Not Serious", AND(AY39&gt;$D$1*-1,AY39&lt;$D$1,OR(AZ39&lt;=$D$1*-1,BA39&gt;=$D$1),AZ39&gt;$D$2*-1,BA39&lt;$D$2,AX39/AW39&lt;3),"Serious", AND(AY39&gt;$D$1*-1,AY39&lt;$D$1,OR(AZ39&lt;=$D$2*-1,BA39&gt;=$D$2),AX39/AW39&lt;3),"Very serious", AND(AY39&gt;$D$1*-1,AY39&lt;$D$1,AZ39&gt;$D$1*-1,BA39&lt;$D$1,AX39/AW39&gt;=3),"Very serious", AND(AY39&gt;$D$1*-1,AY39&lt;$D$1,OR(AZ39&lt;=$D$1*-1,BA39&gt;=$D$1),AZ39&gt;$D$2*-1,BA39&lt;$D$2,AX39/AW39&gt;=3),"Very serious", AND(AY39&gt;$D$1*-1,AY39&lt;$D$1,OR(AZ39&lt;=$D$2*-1,BA39&gt;=$D$2),AX39/AW39&gt;=3),"Very serious"),""))</f>
        <v/>
      </c>
      <c r="BF39" s="107" t="str">
        <f t="shared" si="11"/>
        <v/>
      </c>
      <c r="BG39" s="94" t="str">
        <f t="shared" si="46"/>
        <v/>
      </c>
      <c r="BH39" s="64" t="str">
        <f t="shared" si="12"/>
        <v>#N/A</v>
      </c>
      <c r="BI39" s="64" t="str">
        <f t="shared" si="13"/>
        <v/>
      </c>
      <c r="BJ39" s="123" t="str">
        <f t="shared" si="14"/>
        <v>#N/A</v>
      </c>
      <c r="BK39" s="64" t="str">
        <f t="shared" si="15"/>
        <v>YES</v>
      </c>
      <c r="BL39" s="64" t="str">
        <f t="shared" si="16"/>
        <v>YES</v>
      </c>
      <c r="BM39" s="64" t="str">
        <f t="shared" si="17"/>
        <v>YES</v>
      </c>
      <c r="BN39" s="124" t="str">
        <f t="shared" si="18"/>
        <v/>
      </c>
      <c r="BO39" s="91" t="str">
        <f t="shared" si="19"/>
        <v/>
      </c>
      <c r="BP39" s="91" t="str">
        <f t="shared" si="20"/>
        <v>#N/A</v>
      </c>
      <c r="BQ39" s="91" t="str">
        <f t="shared" si="21"/>
        <v/>
      </c>
      <c r="BR39" s="93" t="str">
        <f t="shared" si="22"/>
        <v/>
      </c>
      <c r="BS39" s="90" t="str">
        <f t="shared" si="23"/>
        <v/>
      </c>
      <c r="BT39" s="93" t="str">
        <f t="shared" si="24"/>
        <v>NA</v>
      </c>
      <c r="BU39" s="125" t="str">
        <f t="shared" si="25"/>
        <v>#N/A</v>
      </c>
      <c r="BV39" s="93" t="str">
        <f t="shared" si="26"/>
        <v/>
      </c>
      <c r="BW39" s="93" t="str">
        <f t="shared" si="27"/>
        <v/>
      </c>
      <c r="BX39" s="93" t="str">
        <f t="shared" si="28"/>
        <v>NA</v>
      </c>
      <c r="BY39" s="95" t="str">
        <f t="shared" si="29"/>
        <v>#N/A</v>
      </c>
      <c r="BZ39" s="93" t="str">
        <f t="shared" si="30"/>
        <v/>
      </c>
      <c r="CA39" s="93" t="str">
        <f t="shared" si="31"/>
        <v/>
      </c>
      <c r="CB39" s="93" t="str">
        <f t="shared" si="32"/>
        <v>NA</v>
      </c>
      <c r="CC39" s="96" t="str">
        <f t="shared" si="33"/>
        <v>#N/A</v>
      </c>
      <c r="CD39" s="93" t="str">
        <f t="shared" si="34"/>
        <v/>
      </c>
      <c r="CE39" s="93" t="str">
        <f t="shared" si="35"/>
        <v/>
      </c>
      <c r="CF39" s="93" t="str">
        <f t="shared" si="36"/>
        <v>NA</v>
      </c>
      <c r="CG39" s="97" t="str">
        <f t="shared" si="37"/>
        <v>#N/A</v>
      </c>
      <c r="CH39" s="98" t="str">
        <f t="shared" si="38"/>
        <v>#N/A</v>
      </c>
      <c r="CI39" s="99" t="str">
        <f t="shared" si="39"/>
        <v>#N/A</v>
      </c>
      <c r="CJ39" s="126" t="str">
        <f t="shared" si="40"/>
        <v>ERROR: check cell</v>
      </c>
      <c r="CK39" s="126"/>
      <c r="CL39" s="127" t="str">
        <f t="shared" si="41"/>
        <v>#DIV/0!</v>
      </c>
      <c r="CM39" s="128" t="str">
        <f t="shared" si="42"/>
        <v>#DIV/0!</v>
      </c>
      <c r="CN39" s="128">
        <f t="shared" si="43"/>
        <v>4</v>
      </c>
      <c r="CO39" s="129">
        <f t="shared" si="44"/>
        <v>4</v>
      </c>
      <c r="CP39" s="129" t="str">
        <f>IFS(C39=Preferences!B$13,B39,B39=Preferences!B$13,C39)</f>
        <v>#N/A</v>
      </c>
    </row>
    <row r="40" ht="13.5" customHeight="1">
      <c r="A40" s="63" t="str">
        <f t="shared" si="45"/>
        <v/>
      </c>
      <c r="B40" s="64"/>
      <c r="C40" s="64"/>
      <c r="D40" s="64"/>
      <c r="E40" s="65"/>
      <c r="F40" s="65"/>
      <c r="G40" s="65"/>
      <c r="H40" s="65"/>
      <c r="I40" s="65"/>
      <c r="J40" s="141"/>
      <c r="K40" s="138"/>
      <c r="L40" s="104"/>
      <c r="M40" s="104"/>
      <c r="N40" s="104"/>
      <c r="O40" s="104"/>
      <c r="P40" s="107" t="str">
        <f t="shared" si="1"/>
        <v/>
      </c>
      <c r="Q40" s="108" t="str">
        <f>IFERROR(IF(AND(Preferences!B$3="Manual",OR(AX40/AW40&gt;G40/F40,BD40="Serious",BD40="Very serious")),"Assess imprecision",IFS(ISBLANK(E40),"",AND(Preferences!B$3="Automatic", G40/F40&gt;=30),"Extremely serious",AND(H40&lt;=$D$1*-1,J40&lt;0,G40/F40&lt;3),"Not serious",AND(H40&lt;=$D$1*-1,J40&lt;0,G40/F40&gt;=3),"Very serious",AND(H40&gt;=$D$1,I40&gt;0,G40/F40&lt;3),"Not serious",AND(H40&gt;=$D$1,I40&gt;0,G40/F40&gt;=3),"Very serious",AND(H40&lt;=$D$1*-1,J40&gt;0,I40&gt;$D$2*-1,G40/F40&lt;3),"Serious", AND(H40&lt;=$D$1*-1,J40&gt;0,I40&lt;$D$2*-1,G40/F40&lt;3),"Very serious", AND(H40&gt;=$D$1,I40&lt;0,J40&lt;$D$2,G40/F40&lt;3),"Serious",AND(H40&gt;=$D$1,I40&lt;0,J40&gt;$D$2,G40/F40&lt;3),"Very serious", AND(H40&lt;=$D$1*-1,J40&gt;0,I40&gt;$D$2*-1,G40/F40&gt;=3),"Very serious", AND(H40&lt;=$D$1*-1,J40&gt;0,I40&lt;$D$2*-1,G40/F40&gt;=3),"Very serious", AND(H40&gt;=$D$1,I40&lt;0,J40&lt;$D$2,G40/F40&gt;=3),"Very serious", AND(H40&gt;=$D$1,I40&lt;0,J40&gt;$D$2,G40/F40&gt;=3),"Very serious", AND(H40&gt;$D$1*-1,H40&lt;$D$1,I40&gt;$D$1*-1,J40&lt;$D$1,G40/F40&lt;3),"Not serious", AND(H40&gt;$D$1*-1,H40&lt;$D$1,OR(I40&lt;=$D$1*-1,J40&gt;=$D$1),I40&gt;$D$2*-1,J40&lt;$D$2,G40/F40&lt;3),"Serious", AND(H40&gt;$D$1*-1,H40&lt;$D$1,OR(I40&lt;=$D$2*-1,J40&gt;=$D$2),G40/F40&lt;3),"Very serious", AND(H40&gt;$D$1*-1,H40&lt;$D$1,I40&gt;$D$1*-1,J40&lt;$D$1,G40/F40&gt;=3),"Very serious", AND(H40&gt;$D$1*-1,H40&lt;$D$1,OR(I40&lt;=$D$1*-1,J40&gt;=$D$1),I40&gt;$D$2*-1,J40&lt;$D$2,G40/F40&gt;=3),"Very serious", AND(H40&gt;$D$1*-1,H40&lt;$D$1,OR(I40&lt;=$D$2*-1,J40&gt;=$D$2),G40/F40&gt;=3),"Very serious")),"")</f>
        <v/>
      </c>
      <c r="R40" s="109" t="str">
        <f t="shared" si="47"/>
        <v/>
      </c>
      <c r="S40" s="64"/>
      <c r="T40" s="139"/>
      <c r="U40" s="139"/>
      <c r="V40" s="139"/>
      <c r="W40" s="142"/>
      <c r="X40" s="142"/>
      <c r="Y40" s="143"/>
      <c r="Z40" s="113" t="str">
        <f t="array" ref="Z40">INDEX($A$1:$C$500, MATCH(1,($B:$B=$B40)*($C:$C=$AB40),0),1)</f>
        <v/>
      </c>
      <c r="AA40" s="113" t="str">
        <f t="array" ref="AA40">INDEX($A$1:$C$500, MATCH(1,($B:$B=$AB40)*($C:$C=$B40),0),1)</f>
        <v/>
      </c>
      <c r="AB40" s="111"/>
      <c r="AC40" s="114" t="str">
        <f t="shared" si="2"/>
        <v/>
      </c>
      <c r="AD40" s="115" t="str">
        <f t="shared" si="3"/>
        <v/>
      </c>
      <c r="AE40" s="116" t="str">
        <f t="array" ref="AE40">INDEX($A$1:$C$500, MATCH(1,($B:$B=$AB40)*($C:$C=$AG40),0),1)</f>
        <v/>
      </c>
      <c r="AF40" s="116" t="str">
        <f t="array" ref="AF40">INDEX($A$1:$C$500, MATCH(1,($B:$B=$AG40)*($C:$C=$AB40),0),1)</f>
        <v/>
      </c>
      <c r="AG40" s="72"/>
      <c r="AH40" s="114" t="str">
        <f t="shared" si="4"/>
        <v/>
      </c>
      <c r="AI40" s="115" t="str">
        <f t="shared" si="5"/>
        <v/>
      </c>
      <c r="AJ40" s="116" t="str">
        <f t="array" ref="AJ40">INDEX($A$1:$C$500, MATCH(1,($B:$B=$C40)*($C:$C=$AG40),0),1)</f>
        <v/>
      </c>
      <c r="AK40" s="116" t="str">
        <f t="array" ref="AK40">INDEX($A$1:$C$500, MATCH(1,($B:$B=$AG40)*($C:$C=$C40),0),1)</f>
        <v/>
      </c>
      <c r="AL40" s="116" t="str">
        <f t="array" ref="AL40">INDEX($A$1:$C$500, MATCH(1,($B:$B=$C40)*($C:$C=$AB40),0),1)</f>
        <v/>
      </c>
      <c r="AM40" s="116" t="str">
        <f t="array" ref="AM40">INDEX($A$1:$C$500, MATCH(1,($B:$B=$AB40)*($C:$C=$C40),0),1)</f>
        <v/>
      </c>
      <c r="AN40" s="114" t="str">
        <f t="array" ref="AN40">IFS(ISNUMBER(AJ40),AJ40,ISNUMBER(AK40),AK40,ISNUMBER(AL40),AL40,ISNUMBER(AM40),AM40)</f>
        <v>#N/A</v>
      </c>
      <c r="AO40" s="115" t="str">
        <f t="shared" si="6"/>
        <v/>
      </c>
      <c r="AP40" s="115" t="str">
        <f t="shared" si="7"/>
        <v/>
      </c>
      <c r="AQ40" s="72"/>
      <c r="AR40" s="109" t="str">
        <f t="shared" si="8"/>
        <v/>
      </c>
      <c r="AS40" s="72" t="str">
        <f>IFERROR(IF(AND(Preferences!B$3="Manual",OR(AX40/AW40&gt;V40/U40,BD40="Serious",BD40="Very serious")),"Assess imprecision",IFERROR(IFS(AND(Preferences!B$3="Automatic",V40/U40&gt;=30),"Extremely serious",AND(W40&lt;=$D$1*-1,Y40&lt;0,V40/U40&lt;3),"Not Serious",AND(W40&lt;=$D$1*-1,Y40&lt;0,V40/U40&gt;=3),"Very serious",AND(W40&gt;=$D$1,X40&gt;0,V40/U40&lt;3),"Not Serious",AND(W40&gt;=$D$1,X40&gt;0,V40/U40&gt;=3),"Very serious",AND(W40&lt;=$D$1*-1,Y40&gt;0,X40&gt;$D$2*-1,V40/U40&lt;3),"Serious", AND(W40&lt;=$D$1*-1,Y40&gt;0,X40&lt;$D$2*-1,V40/U40&lt;3),"Very serious", AND(W40&gt;=$D$1,X40&lt;0,Y40&lt;$D$2,V40/U40&lt;3),"Serious",AND(W40&gt;=$D$1,X40&lt;0,Y40&gt;$D$2,V40/U40&lt;3),"Very serious", AND(W40&lt;=$D$1*-1,Y40&gt;0,X40&gt;$D$2*-1,V40/U40&gt;=3),"Very serious", AND(W40&lt;=$D$1*-1,Y40&gt;0,X40&lt;$D$2*-1,V40/U40&gt;=3),"Very serious", AND(W40&gt;=$D$1,X40&lt;0,Y40&lt;$D$2,V40/U40&gt;=3),"Very serious", AND(W40&gt;=$D$1,X40&lt;0,Y40&gt;$D$2,V40/U40&gt;=3),"Very serious", AND(W40&gt;$D$1*-1,W40&lt;$D$1,X40&gt;$D$1*-1,Y40&lt;$D$1,V40/U40&lt;3),"Not Serious", AND(W40&gt;$D$1*-1,W40&lt;$D$1,OR(X40&lt;=$D$1*-1,Y40&gt;=$D$1),X40&gt;$D$2*-1,Y40&lt;$D$2,V40/U40&lt;3),"Serious", AND(W40&gt;$D$1*-1,W40&lt;$D$1,OR(X40&lt;=$D$2*-1,Y40&gt;=$D$2),V40/U40&lt;3),"Very serious", AND(W40&gt;$D$1*-1,W40&lt;$D$1,X40&gt;$D$1*-1,Y40&lt;$D$1,V40/U40&gt;=3),"Very serious", AND(W40&gt;$D$1*-1,W40&lt;$D$1,OR(X40&lt;=$D$1*-1,Y40&gt;=$D$1),X40&gt;$D$2*-1,Y40&lt;$D$2,V40/U40&gt;=3),"Very serious", AND(W40&gt;$D$1*-1,W40&lt;$D$1,OR(X40&lt;=$D$2*-1,Y40&gt;=$D$2),V40/U40&gt;=3),"Very serious"),"")),"")</f>
        <v/>
      </c>
      <c r="AT40" s="109" t="str">
        <f t="shared" si="9"/>
        <v/>
      </c>
      <c r="AU40" s="64"/>
      <c r="AV40" s="117"/>
      <c r="AW40" s="117"/>
      <c r="AX40" s="117"/>
      <c r="AY40" s="118"/>
      <c r="AZ40" s="118"/>
      <c r="BA40" s="119"/>
      <c r="BB40" s="86" t="str">
        <f>IF(Preferences!B$9="Manual","",IFS(ISBLANK(B40),"",AND(ISNUMBER(E40)=TRUE,ISNUMBER(T40)=FALSE),"Direct", AND(ISNUMBER(E40)=FALSE,ISNUMBER(T40)=TRUE),"Indirect", CN40=4,"Direct",AND(CL40=FALSE, CM40=TRUE,CN40-CO40&gt;-1),"Direct", AND(CL40=FALSE,CM40=TRUE, CN40-CO40&lt;0),"Check algorithm in appendix 2", AND(CL40=TRUE, CM40=FALSE,CN40-CO40&gt;0),"Check algorithm in appendix 2", AND(CL40=TRUE, CM40=FALSE,CN40-CO40=0),"Indirect", AND(CL40=TRUE, CM40=FALSE,CN40-CO40&lt;0),"Indirect", AND(CL40=FALSE,CM40=FALSE,CN40-CO40&gt;-1),"Direct", AND(CL40=FALSE,CM40=FALSE,CN40-CO40&lt;0),"Check algorithm in appendix 2", AND(CL40=TRUE,CM40=TRUE,CN40-CO40&gt;-1),"Direct", AND(CL40=TRUE,CM40=TRUE,CN40-CO40&lt;0),"Check algorithm in appendix 2"))</f>
        <v/>
      </c>
      <c r="BC40" s="120" t="str">
        <f t="shared" si="10"/>
        <v/>
      </c>
      <c r="BD40" s="140"/>
      <c r="BE40" s="122" t="str">
        <f>IF(Preferences!B$3="Manual","", IFERROR(IFS(AND(Preferences!B$3="Automatic",AX40/AW40&gt;=30),"Extremely serious",AND(AY40&lt;=$D$1*-1,BA40&lt;0,AX40/AW40&lt;3),"Not Serious",AND(AY40&lt;=$D$1*-1,BA40&lt;0,AX40/AW40&gt;=3),"Very serious",AND(AY40&gt;=$D$1,AZ40&gt;0,AX40/AW40&lt;3),"Not Serious",AND(AY40&gt;=$D$1,AZ40&gt;0,AX40/AW40&gt;=3),"Very serious",AND(AY40&lt;=$D$1*-1,BA40&gt;0,AZ40&gt;$D$2*-1,AX40/AW40&lt;3),"Serious", AND(AY40&lt;=$D$1*-1,BA40&gt;0,AZ40&lt;$D$2*-1,AX40/AW40&lt;3),"Very serious", AND(AY40&gt;=$D$1,AZ40&lt;0,BA40&lt;$D$2,AX40/AW40&lt;3),"Serious",AND(AY40&gt;=$D$1,AZ40&lt;0,BA40&gt;$D$2,AX40/AW40&lt;3),"Very serious", AND(AY40&lt;=$D$1*-1,BA40&gt;0,AZ40&gt;$D$2*-1,AX40/AW40&gt;=3),"Very serious", AND(AY40&lt;=$D$1*-1,BA40&gt;0,AZ40&lt;$D$2*-1,AX40/AW40&gt;=3),"Very serious", AND(AY40&gt;=$D$1,AZ40&lt;0,BA40&lt;$D$2,AX40/AW40&gt;=3),"Very serious", AND(AY40&gt;=$D$1,AZ40&lt;0,BA40&gt;$D$2,AX40/AW40&gt;=3),"Very serious", AND(AY40&gt;$D$1*-1,AY40&lt;$D$1,AZ40&gt;$D$1*-1,BA40&lt;$D$1,AX40/AW40&lt;3),"Not Serious", AND(AY40&gt;$D$1*-1,AY40&lt;$D$1,OR(AZ40&lt;=$D$1*-1,BA40&gt;=$D$1),AZ40&gt;$D$2*-1,BA40&lt;$D$2,AX40/AW40&lt;3),"Serious", AND(AY40&gt;$D$1*-1,AY40&lt;$D$1,OR(AZ40&lt;=$D$2*-1,BA40&gt;=$D$2),AX40/AW40&lt;3),"Very serious", AND(AY40&gt;$D$1*-1,AY40&lt;$D$1,AZ40&gt;$D$1*-1,BA40&lt;$D$1,AX40/AW40&gt;=3),"Very serious", AND(AY40&gt;$D$1*-1,AY40&lt;$D$1,OR(AZ40&lt;=$D$1*-1,BA40&gt;=$D$1),AZ40&gt;$D$2*-1,BA40&lt;$D$2,AX40/AW40&gt;=3),"Very serious", AND(AY40&gt;$D$1*-1,AY40&lt;$D$1,OR(AZ40&lt;=$D$2*-1,BA40&gt;=$D$2),AX40/AW40&gt;=3),"Very serious"),""))</f>
        <v/>
      </c>
      <c r="BF40" s="107" t="str">
        <f t="shared" si="11"/>
        <v/>
      </c>
      <c r="BG40" s="94" t="str">
        <f t="shared" si="46"/>
        <v/>
      </c>
      <c r="BH40" s="64" t="str">
        <f t="shared" si="12"/>
        <v>#N/A</v>
      </c>
      <c r="BI40" s="64" t="str">
        <f t="shared" si="13"/>
        <v/>
      </c>
      <c r="BJ40" s="123" t="str">
        <f t="shared" si="14"/>
        <v>#N/A</v>
      </c>
      <c r="BK40" s="64" t="str">
        <f t="shared" si="15"/>
        <v>YES</v>
      </c>
      <c r="BL40" s="64" t="str">
        <f t="shared" si="16"/>
        <v>YES</v>
      </c>
      <c r="BM40" s="64" t="str">
        <f t="shared" si="17"/>
        <v>YES</v>
      </c>
      <c r="BN40" s="124" t="str">
        <f t="shared" si="18"/>
        <v/>
      </c>
      <c r="BO40" s="91" t="str">
        <f t="shared" si="19"/>
        <v/>
      </c>
      <c r="BP40" s="91" t="str">
        <f t="shared" si="20"/>
        <v>#N/A</v>
      </c>
      <c r="BQ40" s="91" t="str">
        <f t="shared" si="21"/>
        <v/>
      </c>
      <c r="BR40" s="93" t="str">
        <f t="shared" si="22"/>
        <v/>
      </c>
      <c r="BS40" s="90" t="str">
        <f t="shared" si="23"/>
        <v/>
      </c>
      <c r="BT40" s="93" t="str">
        <f t="shared" si="24"/>
        <v>NA</v>
      </c>
      <c r="BU40" s="125" t="str">
        <f t="shared" si="25"/>
        <v>#N/A</v>
      </c>
      <c r="BV40" s="93" t="str">
        <f t="shared" si="26"/>
        <v/>
      </c>
      <c r="BW40" s="93" t="str">
        <f t="shared" si="27"/>
        <v/>
      </c>
      <c r="BX40" s="93" t="str">
        <f t="shared" si="28"/>
        <v>NA</v>
      </c>
      <c r="BY40" s="95" t="str">
        <f t="shared" si="29"/>
        <v>#N/A</v>
      </c>
      <c r="BZ40" s="93" t="str">
        <f t="shared" si="30"/>
        <v/>
      </c>
      <c r="CA40" s="93" t="str">
        <f t="shared" si="31"/>
        <v/>
      </c>
      <c r="CB40" s="93" t="str">
        <f t="shared" si="32"/>
        <v>NA</v>
      </c>
      <c r="CC40" s="96" t="str">
        <f t="shared" si="33"/>
        <v>#N/A</v>
      </c>
      <c r="CD40" s="93" t="str">
        <f t="shared" si="34"/>
        <v/>
      </c>
      <c r="CE40" s="93" t="str">
        <f t="shared" si="35"/>
        <v/>
      </c>
      <c r="CF40" s="93" t="str">
        <f t="shared" si="36"/>
        <v>NA</v>
      </c>
      <c r="CG40" s="97" t="str">
        <f t="shared" si="37"/>
        <v>#N/A</v>
      </c>
      <c r="CH40" s="98" t="str">
        <f t="shared" si="38"/>
        <v>#N/A</v>
      </c>
      <c r="CI40" s="99" t="str">
        <f t="shared" si="39"/>
        <v>#N/A</v>
      </c>
      <c r="CJ40" s="126" t="str">
        <f t="shared" si="40"/>
        <v>ERROR: check cell</v>
      </c>
      <c r="CK40" s="126" t="str">
        <f>if(AND(T40&lt;1=TRUE,E40&lt;1=TRUE)=TRUE,if(OR(AND(V40&gt;G40=TRUE,G40&gt;U40=TRUE),AND(G40&gt;V40=TRUE,V40&gt;F40=TRUE)=TRUE)=TRUE,"No serious incoherence","Quantitative incoherence (same direction of effect)"),if(AND(T40&gt;1=TRUE,E40&gt;1=TRUE)=TRUE,if(OR(AND(V40&gt;G40=TRUE,G40&gt;U40=TRUE),AND(G40&gt;V40=TRUE,V40&gt;F40=TRUE)=TRUE)=TRUE,"No serious incoherence","Quantitative incoherence (same direction of effect)"),if(OR(AND(T40&lt;1=TRUE,E40&gt;1=TRUE)=TRUE,AND(T40&gt;1=TRUE,E40&lt;1=TRUE)=TRUE)=TRUE,if(OR(AND(V40&gt;G40=TRUE,G40&gt;U40=TRUE),AND(G40&gt;V40=TRUE,V40&gt;F40=TRUE)=TRUE)=TRUE,"No serious incoherence","Qualitative incoherence (different direction of effect)"))))</f>
        <v>Quantitative incoherence (same direction of effect)</v>
      </c>
      <c r="CL40" s="127" t="str">
        <f t="shared" si="41"/>
        <v>#DIV/0!</v>
      </c>
      <c r="CM40" s="128" t="str">
        <f t="shared" si="42"/>
        <v>#DIV/0!</v>
      </c>
      <c r="CN40" s="128">
        <f t="shared" si="43"/>
        <v>4</v>
      </c>
      <c r="CO40" s="129">
        <f t="shared" si="44"/>
        <v>4</v>
      </c>
      <c r="CP40" s="129" t="str">
        <f>IFS(C40=Preferences!B$13,B40,B40=Preferences!B$13,C40)</f>
        <v>#N/A</v>
      </c>
    </row>
    <row r="41" ht="13.5" customHeight="1">
      <c r="A41" s="63" t="str">
        <f t="shared" si="45"/>
        <v/>
      </c>
      <c r="B41" s="64"/>
      <c r="C41" s="64"/>
      <c r="D41" s="64"/>
      <c r="E41" s="65"/>
      <c r="F41" s="65"/>
      <c r="G41" s="65"/>
      <c r="H41" s="65"/>
      <c r="I41" s="65"/>
      <c r="J41" s="141"/>
      <c r="K41" s="138"/>
      <c r="L41" s="133"/>
      <c r="M41" s="133"/>
      <c r="N41" s="133"/>
      <c r="O41" s="133"/>
      <c r="P41" s="107" t="str">
        <f t="shared" si="1"/>
        <v/>
      </c>
      <c r="Q41" s="108" t="str">
        <f>IFERROR(IF(AND(Preferences!B$3="Manual",OR(AX41/AW41&gt;G41/F41,BD41="Serious",BD41="Very serious")),"Assess imprecision",IFS(ISBLANK(E41),"",AND(Preferences!B$3="Automatic", G41/F41&gt;=30),"Extremely serious",AND(H41&lt;=$D$1*-1,J41&lt;0,G41/F41&lt;3),"Not serious",AND(H41&lt;=$D$1*-1,J41&lt;0,G41/F41&gt;=3),"Very serious",AND(H41&gt;=$D$1,I41&gt;0,G41/F41&lt;3),"Not serious",AND(H41&gt;=$D$1,I41&gt;0,G41/F41&gt;=3),"Very serious",AND(H41&lt;=$D$1*-1,J41&gt;0,I41&gt;$D$2*-1,G41/F41&lt;3),"Serious", AND(H41&lt;=$D$1*-1,J41&gt;0,I41&lt;$D$2*-1,G41/F41&lt;3),"Very serious", AND(H41&gt;=$D$1,I41&lt;0,J41&lt;$D$2,G41/F41&lt;3),"Serious",AND(H41&gt;=$D$1,I41&lt;0,J41&gt;$D$2,G41/F41&lt;3),"Very serious", AND(H41&lt;=$D$1*-1,J41&gt;0,I41&gt;$D$2*-1,G41/F41&gt;=3),"Very serious", AND(H41&lt;=$D$1*-1,J41&gt;0,I41&lt;$D$2*-1,G41/F41&gt;=3),"Very serious", AND(H41&gt;=$D$1,I41&lt;0,J41&lt;$D$2,G41/F41&gt;=3),"Very serious", AND(H41&gt;=$D$1,I41&lt;0,J41&gt;$D$2,G41/F41&gt;=3),"Very serious", AND(H41&gt;$D$1*-1,H41&lt;$D$1,I41&gt;$D$1*-1,J41&lt;$D$1,G41/F41&lt;3),"Not serious", AND(H41&gt;$D$1*-1,H41&lt;$D$1,OR(I41&lt;=$D$1*-1,J41&gt;=$D$1),I41&gt;$D$2*-1,J41&lt;$D$2,G41/F41&lt;3),"Serious", AND(H41&gt;$D$1*-1,H41&lt;$D$1,OR(I41&lt;=$D$2*-1,J41&gt;=$D$2),G41/F41&lt;3),"Very serious", AND(H41&gt;$D$1*-1,H41&lt;$D$1,I41&gt;$D$1*-1,J41&lt;$D$1,G41/F41&gt;=3),"Very serious", AND(H41&gt;$D$1*-1,H41&lt;$D$1,OR(I41&lt;=$D$1*-1,J41&gt;=$D$1),I41&gt;$D$2*-1,J41&lt;$D$2,G41/F41&gt;=3),"Very serious", AND(H41&gt;$D$1*-1,H41&lt;$D$1,OR(I41&lt;=$D$2*-1,J41&gt;=$D$2),G41/F41&gt;=3),"Very serious")),"")</f>
        <v/>
      </c>
      <c r="R41" s="109" t="str">
        <f t="shared" si="47"/>
        <v/>
      </c>
      <c r="S41" s="64"/>
      <c r="T41" s="139"/>
      <c r="U41" s="139"/>
      <c r="V41" s="139"/>
      <c r="W41" s="142"/>
      <c r="X41" s="142"/>
      <c r="Y41" s="143"/>
      <c r="Z41" s="113" t="str">
        <f t="array" ref="Z41">INDEX($A$1:$C$500, MATCH(1,($B:$B=$B41)*($C:$C=$AB41),0),1)</f>
        <v/>
      </c>
      <c r="AA41" s="113" t="str">
        <f t="array" ref="AA41">INDEX($A$1:$C$500, MATCH(1,($B:$B=$AB41)*($C:$C=$B41),0),1)</f>
        <v/>
      </c>
      <c r="AB41" s="111"/>
      <c r="AC41" s="114" t="str">
        <f t="shared" si="2"/>
        <v/>
      </c>
      <c r="AD41" s="115" t="str">
        <f t="shared" si="3"/>
        <v/>
      </c>
      <c r="AE41" s="116" t="str">
        <f t="array" ref="AE41">INDEX($A$1:$C$500, MATCH(1,($B:$B=$AB41)*($C:$C=$AG41),0),1)</f>
        <v/>
      </c>
      <c r="AF41" s="116" t="str">
        <f t="array" ref="AF41">INDEX($A$1:$C$500, MATCH(1,($B:$B=$AG41)*($C:$C=$AB41),0),1)</f>
        <v/>
      </c>
      <c r="AG41" s="72"/>
      <c r="AH41" s="114" t="str">
        <f t="shared" si="4"/>
        <v/>
      </c>
      <c r="AI41" s="115" t="str">
        <f t="shared" si="5"/>
        <v/>
      </c>
      <c r="AJ41" s="116" t="str">
        <f t="array" ref="AJ41">INDEX($A$1:$C$500, MATCH(1,($B:$B=$C41)*($C:$C=$AG41),0),1)</f>
        <v/>
      </c>
      <c r="AK41" s="116" t="str">
        <f t="array" ref="AK41">INDEX($A$1:$C$500, MATCH(1,($B:$B=$AG41)*($C:$C=$C41),0),1)</f>
        <v/>
      </c>
      <c r="AL41" s="116" t="str">
        <f t="array" ref="AL41">INDEX($A$1:$C$500, MATCH(1,($B:$B=$C41)*($C:$C=$AB41),0),1)</f>
        <v/>
      </c>
      <c r="AM41" s="116" t="str">
        <f t="array" ref="AM41">INDEX($A$1:$C$500, MATCH(1,($B:$B=$AB41)*($C:$C=$C41),0),1)</f>
        <v/>
      </c>
      <c r="AN41" s="114" t="str">
        <f t="array" ref="AN41">IFS(ISNUMBER(AJ41),AJ41,ISNUMBER(AK41),AK41,ISNUMBER(AL41),AL41,ISNUMBER(AM41),AM41)</f>
        <v>#N/A</v>
      </c>
      <c r="AO41" s="115" t="str">
        <f t="shared" si="6"/>
        <v/>
      </c>
      <c r="AP41" s="115" t="str">
        <f t="shared" si="7"/>
        <v/>
      </c>
      <c r="AQ41" s="72"/>
      <c r="AR41" s="109" t="str">
        <f t="shared" si="8"/>
        <v/>
      </c>
      <c r="AS41" s="72" t="str">
        <f>IFERROR(IF(AND(Preferences!B$3="Manual",OR(AX41/AW41&gt;V41/U41,BD41="Serious",BD41="Very serious")),"Assess imprecision",IFERROR(IFS(AND(Preferences!B$3="Automatic",V41/U41&gt;=30),"Extremely serious",AND(W41&lt;=$D$1*-1,Y41&lt;0,V41/U41&lt;3),"Not Serious",AND(W41&lt;=$D$1*-1,Y41&lt;0,V41/U41&gt;=3),"Very serious",AND(W41&gt;=$D$1,X41&gt;0,V41/U41&lt;3),"Not Serious",AND(W41&gt;=$D$1,X41&gt;0,V41/U41&gt;=3),"Very serious",AND(W41&lt;=$D$1*-1,Y41&gt;0,X41&gt;$D$2*-1,V41/U41&lt;3),"Serious", AND(W41&lt;=$D$1*-1,Y41&gt;0,X41&lt;$D$2*-1,V41/U41&lt;3),"Very serious", AND(W41&gt;=$D$1,X41&lt;0,Y41&lt;$D$2,V41/U41&lt;3),"Serious",AND(W41&gt;=$D$1,X41&lt;0,Y41&gt;$D$2,V41/U41&lt;3),"Very serious", AND(W41&lt;=$D$1*-1,Y41&gt;0,X41&gt;$D$2*-1,V41/U41&gt;=3),"Very serious", AND(W41&lt;=$D$1*-1,Y41&gt;0,X41&lt;$D$2*-1,V41/U41&gt;=3),"Very serious", AND(W41&gt;=$D$1,X41&lt;0,Y41&lt;$D$2,V41/U41&gt;=3),"Very serious", AND(W41&gt;=$D$1,X41&lt;0,Y41&gt;$D$2,V41/U41&gt;=3),"Very serious", AND(W41&gt;$D$1*-1,W41&lt;$D$1,X41&gt;$D$1*-1,Y41&lt;$D$1,V41/U41&lt;3),"Not Serious", AND(W41&gt;$D$1*-1,W41&lt;$D$1,OR(X41&lt;=$D$1*-1,Y41&gt;=$D$1),X41&gt;$D$2*-1,Y41&lt;$D$2,V41/U41&lt;3),"Serious", AND(W41&gt;$D$1*-1,W41&lt;$D$1,OR(X41&lt;=$D$2*-1,Y41&gt;=$D$2),V41/U41&lt;3),"Very serious", AND(W41&gt;$D$1*-1,W41&lt;$D$1,X41&gt;$D$1*-1,Y41&lt;$D$1,V41/U41&gt;=3),"Very serious", AND(W41&gt;$D$1*-1,W41&lt;$D$1,OR(X41&lt;=$D$1*-1,Y41&gt;=$D$1),X41&gt;$D$2*-1,Y41&lt;$D$2,V41/U41&gt;=3),"Very serious", AND(W41&gt;$D$1*-1,W41&lt;$D$1,OR(X41&lt;=$D$2*-1,Y41&gt;=$D$2),V41/U41&gt;=3),"Very serious"),"")),"")</f>
        <v/>
      </c>
      <c r="AT41" s="109" t="str">
        <f t="shared" si="9"/>
        <v/>
      </c>
      <c r="AU41" s="64"/>
      <c r="AV41" s="117"/>
      <c r="AW41" s="117"/>
      <c r="AX41" s="117"/>
      <c r="AY41" s="118"/>
      <c r="AZ41" s="118"/>
      <c r="BA41" s="119"/>
      <c r="BB41" s="86" t="str">
        <f>IF(Preferences!B$9="Manual","",IFS(ISBLANK(B41),"",AND(ISNUMBER(E41)=TRUE,ISNUMBER(T41)=FALSE),"Direct", AND(ISNUMBER(E41)=FALSE,ISNUMBER(T41)=TRUE),"Indirect", CN41=4,"Direct",AND(CL41=FALSE, CM41=TRUE,CN41-CO41&gt;-1),"Direct", AND(CL41=FALSE,CM41=TRUE, CN41-CO41&lt;0),"Check algorithm in appendix 2", AND(CL41=TRUE, CM41=FALSE,CN41-CO41&gt;0),"Check algorithm in appendix 2", AND(CL41=TRUE, CM41=FALSE,CN41-CO41=0),"Indirect", AND(CL41=TRUE, CM41=FALSE,CN41-CO41&lt;0),"Indirect", AND(CL41=FALSE,CM41=FALSE,CN41-CO41&gt;-1),"Direct", AND(CL41=FALSE,CM41=FALSE,CN41-CO41&lt;0),"Check algorithm in appendix 2", AND(CL41=TRUE,CM41=TRUE,CN41-CO41&gt;-1),"Direct", AND(CL41=TRUE,CM41=TRUE,CN41-CO41&lt;0),"Check algorithm in appendix 2"))</f>
        <v/>
      </c>
      <c r="BC41" s="120" t="str">
        <f t="shared" si="10"/>
        <v/>
      </c>
      <c r="BD41" s="140"/>
      <c r="BE41" s="122" t="str">
        <f>IF(Preferences!B$3="Manual","", IFERROR(IFS(AND(Preferences!B$3="Automatic",AX41/AW41&gt;=30),"Extremely serious",AND(AY41&lt;=$D$1*-1,BA41&lt;0,AX41/AW41&lt;3),"Not Serious",AND(AY41&lt;=$D$1*-1,BA41&lt;0,AX41/AW41&gt;=3),"Very serious",AND(AY41&gt;=$D$1,AZ41&gt;0,AX41/AW41&lt;3),"Not Serious",AND(AY41&gt;=$D$1,AZ41&gt;0,AX41/AW41&gt;=3),"Very serious",AND(AY41&lt;=$D$1*-1,BA41&gt;0,AZ41&gt;$D$2*-1,AX41/AW41&lt;3),"Serious", AND(AY41&lt;=$D$1*-1,BA41&gt;0,AZ41&lt;$D$2*-1,AX41/AW41&lt;3),"Very serious", AND(AY41&gt;=$D$1,AZ41&lt;0,BA41&lt;$D$2,AX41/AW41&lt;3),"Serious",AND(AY41&gt;=$D$1,AZ41&lt;0,BA41&gt;$D$2,AX41/AW41&lt;3),"Very serious", AND(AY41&lt;=$D$1*-1,BA41&gt;0,AZ41&gt;$D$2*-1,AX41/AW41&gt;=3),"Very serious", AND(AY41&lt;=$D$1*-1,BA41&gt;0,AZ41&lt;$D$2*-1,AX41/AW41&gt;=3),"Very serious", AND(AY41&gt;=$D$1,AZ41&lt;0,BA41&lt;$D$2,AX41/AW41&gt;=3),"Very serious", AND(AY41&gt;=$D$1,AZ41&lt;0,BA41&gt;$D$2,AX41/AW41&gt;=3),"Very serious", AND(AY41&gt;$D$1*-1,AY41&lt;$D$1,AZ41&gt;$D$1*-1,BA41&lt;$D$1,AX41/AW41&lt;3),"Not Serious", AND(AY41&gt;$D$1*-1,AY41&lt;$D$1,OR(AZ41&lt;=$D$1*-1,BA41&gt;=$D$1),AZ41&gt;$D$2*-1,BA41&lt;$D$2,AX41/AW41&lt;3),"Serious", AND(AY41&gt;$D$1*-1,AY41&lt;$D$1,OR(AZ41&lt;=$D$2*-1,BA41&gt;=$D$2),AX41/AW41&lt;3),"Very serious", AND(AY41&gt;$D$1*-1,AY41&lt;$D$1,AZ41&gt;$D$1*-1,BA41&lt;$D$1,AX41/AW41&gt;=3),"Very serious", AND(AY41&gt;$D$1*-1,AY41&lt;$D$1,OR(AZ41&lt;=$D$1*-1,BA41&gt;=$D$1),AZ41&gt;$D$2*-1,BA41&lt;$D$2,AX41/AW41&gt;=3),"Very serious", AND(AY41&gt;$D$1*-1,AY41&lt;$D$1,OR(AZ41&lt;=$D$2*-1,BA41&gt;=$D$2),AX41/AW41&gt;=3),"Very serious"),""))</f>
        <v/>
      </c>
      <c r="BF41" s="107" t="str">
        <f t="shared" si="11"/>
        <v/>
      </c>
      <c r="BG41" s="94" t="str">
        <f t="shared" si="46"/>
        <v/>
      </c>
      <c r="BH41" s="64" t="str">
        <f t="shared" si="12"/>
        <v>#N/A</v>
      </c>
      <c r="BI41" s="64" t="str">
        <f t="shared" si="13"/>
        <v/>
      </c>
      <c r="BJ41" s="123" t="str">
        <f t="shared" si="14"/>
        <v>#N/A</v>
      </c>
      <c r="BK41" s="90"/>
      <c r="BL41" s="64" t="str">
        <f t="shared" si="16"/>
        <v>YES</v>
      </c>
      <c r="BM41" s="64" t="str">
        <f t="shared" si="17"/>
        <v>YES</v>
      </c>
      <c r="BN41" s="124" t="str">
        <f t="shared" si="18"/>
        <v/>
      </c>
      <c r="BO41" s="91" t="str">
        <f t="shared" si="19"/>
        <v/>
      </c>
      <c r="BP41" s="91" t="str">
        <f t="shared" si="20"/>
        <v>#N/A</v>
      </c>
      <c r="BQ41" s="91" t="str">
        <f t="shared" si="21"/>
        <v/>
      </c>
      <c r="BR41" s="93" t="str">
        <f t="shared" si="22"/>
        <v/>
      </c>
      <c r="BS41" s="90" t="str">
        <f t="shared" si="23"/>
        <v/>
      </c>
      <c r="BT41" s="93" t="str">
        <f t="shared" si="24"/>
        <v>NA</v>
      </c>
      <c r="BU41" s="125" t="str">
        <f t="shared" si="25"/>
        <v>#N/A</v>
      </c>
      <c r="BV41" s="93" t="str">
        <f t="shared" si="26"/>
        <v/>
      </c>
      <c r="BW41" s="93" t="str">
        <f t="shared" si="27"/>
        <v/>
      </c>
      <c r="BX41" s="93" t="str">
        <f t="shared" si="28"/>
        <v>NA</v>
      </c>
      <c r="BY41" s="95" t="str">
        <f t="shared" si="29"/>
        <v>#N/A</v>
      </c>
      <c r="BZ41" s="93" t="str">
        <f t="shared" si="30"/>
        <v/>
      </c>
      <c r="CA41" s="93" t="str">
        <f t="shared" si="31"/>
        <v/>
      </c>
      <c r="CB41" s="93" t="str">
        <f t="shared" si="32"/>
        <v>NA</v>
      </c>
      <c r="CC41" s="96" t="str">
        <f t="shared" si="33"/>
        <v>#N/A</v>
      </c>
      <c r="CD41" s="93" t="str">
        <f t="shared" si="34"/>
        <v/>
      </c>
      <c r="CE41" s="93" t="str">
        <f t="shared" si="35"/>
        <v/>
      </c>
      <c r="CF41" s="93" t="str">
        <f t="shared" si="36"/>
        <v>NA</v>
      </c>
      <c r="CG41" s="97" t="str">
        <f t="shared" si="37"/>
        <v>#N/A</v>
      </c>
      <c r="CH41" s="98" t="str">
        <f t="shared" si="38"/>
        <v>#N/A</v>
      </c>
      <c r="CI41" s="99" t="str">
        <f t="shared" si="39"/>
        <v>#N/A</v>
      </c>
      <c r="CJ41" s="126" t="str">
        <f t="shared" si="40"/>
        <v>ERROR: check cell</v>
      </c>
      <c r="CK41" s="126"/>
      <c r="CL41" s="127" t="str">
        <f t="shared" si="41"/>
        <v>#DIV/0!</v>
      </c>
      <c r="CM41" s="128" t="str">
        <f t="shared" si="42"/>
        <v>#DIV/0!</v>
      </c>
      <c r="CN41" s="128">
        <f t="shared" si="43"/>
        <v>4</v>
      </c>
      <c r="CO41" s="129">
        <f t="shared" si="44"/>
        <v>4</v>
      </c>
      <c r="CP41" s="129" t="str">
        <f>IFS(C41=Preferences!B$13,B41,B41=Preferences!B$13,C41)</f>
        <v>#N/A</v>
      </c>
    </row>
    <row r="42" ht="13.5" customHeight="1">
      <c r="A42" s="63" t="str">
        <f t="shared" si="45"/>
        <v/>
      </c>
      <c r="B42" s="64"/>
      <c r="C42" s="64"/>
      <c r="D42" s="64"/>
      <c r="E42" s="65"/>
      <c r="F42" s="65"/>
      <c r="G42" s="65"/>
      <c r="H42" s="65"/>
      <c r="I42" s="65"/>
      <c r="J42" s="141"/>
      <c r="K42" s="138"/>
      <c r="L42" s="133"/>
      <c r="M42" s="133"/>
      <c r="N42" s="133"/>
      <c r="O42" s="133"/>
      <c r="P42" s="107" t="str">
        <f t="shared" si="1"/>
        <v/>
      </c>
      <c r="Q42" s="108" t="str">
        <f>IFERROR(IF(AND(Preferences!B$3="Manual",OR(AX42/AW42&gt;G42/F42,BD42="Serious",BD42="Very serious")),"Assess imprecision",IFS(ISBLANK(E42),"",AND(Preferences!B$3="Automatic", G42/F42&gt;=30),"Extremely serious",AND(H42&lt;=$D$1*-1,J42&lt;0,G42/F42&lt;3),"Not serious",AND(H42&lt;=$D$1*-1,J42&lt;0,G42/F42&gt;=3),"Very serious",AND(H42&gt;=$D$1,I42&gt;0,G42/F42&lt;3),"Not serious",AND(H42&gt;=$D$1,I42&gt;0,G42/F42&gt;=3),"Very serious",AND(H42&lt;=$D$1*-1,J42&gt;0,I42&gt;$D$2*-1,G42/F42&lt;3),"Serious", AND(H42&lt;=$D$1*-1,J42&gt;0,I42&lt;$D$2*-1,G42/F42&lt;3),"Very serious", AND(H42&gt;=$D$1,I42&lt;0,J42&lt;$D$2,G42/F42&lt;3),"Serious",AND(H42&gt;=$D$1,I42&lt;0,J42&gt;$D$2,G42/F42&lt;3),"Very serious", AND(H42&lt;=$D$1*-1,J42&gt;0,I42&gt;$D$2*-1,G42/F42&gt;=3),"Very serious", AND(H42&lt;=$D$1*-1,J42&gt;0,I42&lt;$D$2*-1,G42/F42&gt;=3),"Very serious", AND(H42&gt;=$D$1,I42&lt;0,J42&lt;$D$2,G42/F42&gt;=3),"Very serious", AND(H42&gt;=$D$1,I42&lt;0,J42&gt;$D$2,G42/F42&gt;=3),"Very serious", AND(H42&gt;$D$1*-1,H42&lt;$D$1,I42&gt;$D$1*-1,J42&lt;$D$1,G42/F42&lt;3),"Not serious", AND(H42&gt;$D$1*-1,H42&lt;$D$1,OR(I42&lt;=$D$1*-1,J42&gt;=$D$1),I42&gt;$D$2*-1,J42&lt;$D$2,G42/F42&lt;3),"Serious", AND(H42&gt;$D$1*-1,H42&lt;$D$1,OR(I42&lt;=$D$2*-1,J42&gt;=$D$2),G42/F42&lt;3),"Very serious", AND(H42&gt;$D$1*-1,H42&lt;$D$1,I42&gt;$D$1*-1,J42&lt;$D$1,G42/F42&gt;=3),"Very serious", AND(H42&gt;$D$1*-1,H42&lt;$D$1,OR(I42&lt;=$D$1*-1,J42&gt;=$D$1),I42&gt;$D$2*-1,J42&lt;$D$2,G42/F42&gt;=3),"Very serious", AND(H42&gt;$D$1*-1,H42&lt;$D$1,OR(I42&lt;=$D$2*-1,J42&gt;=$D$2),G42/F42&gt;=3),"Very serious")),"")</f>
        <v/>
      </c>
      <c r="R42" s="109" t="str">
        <f t="shared" si="47"/>
        <v/>
      </c>
      <c r="S42" s="64"/>
      <c r="T42" s="139"/>
      <c r="U42" s="139"/>
      <c r="V42" s="139"/>
      <c r="W42" s="142"/>
      <c r="X42" s="142"/>
      <c r="Y42" s="143"/>
      <c r="Z42" s="113" t="str">
        <f t="array" ref="Z42">INDEX($A$1:$C$500, MATCH(1,($B:$B=$B42)*($C:$C=$AB42),0),1)</f>
        <v/>
      </c>
      <c r="AA42" s="113" t="str">
        <f t="array" ref="AA42">INDEX($A$1:$C$500, MATCH(1,($B:$B=$AB42)*($C:$C=$B42),0),1)</f>
        <v/>
      </c>
      <c r="AB42" s="111"/>
      <c r="AC42" s="114" t="str">
        <f t="shared" si="2"/>
        <v/>
      </c>
      <c r="AD42" s="115" t="str">
        <f t="shared" si="3"/>
        <v/>
      </c>
      <c r="AE42" s="116" t="str">
        <f t="array" ref="AE42">INDEX($A$1:$C$500, MATCH(1,($B:$B=$AB42)*($C:$C=$AG42),0),1)</f>
        <v/>
      </c>
      <c r="AF42" s="116" t="str">
        <f t="array" ref="AF42">INDEX($A$1:$C$500, MATCH(1,($B:$B=$AG42)*($C:$C=$AB42),0),1)</f>
        <v/>
      </c>
      <c r="AG42" s="72"/>
      <c r="AH42" s="114" t="str">
        <f t="shared" si="4"/>
        <v/>
      </c>
      <c r="AI42" s="115" t="str">
        <f t="shared" si="5"/>
        <v/>
      </c>
      <c r="AJ42" s="116" t="str">
        <f t="array" ref="AJ42">INDEX($A$1:$C$500, MATCH(1,($B:$B=$C42)*($C:$C=$AG42),0),1)</f>
        <v/>
      </c>
      <c r="AK42" s="116" t="str">
        <f t="array" ref="AK42">INDEX($A$1:$C$500, MATCH(1,($B:$B=$AG42)*($C:$C=$C42),0),1)</f>
        <v/>
      </c>
      <c r="AL42" s="116" t="str">
        <f t="array" ref="AL42">INDEX($A$1:$C$500, MATCH(1,($B:$B=$C42)*($C:$C=$AB42),0),1)</f>
        <v/>
      </c>
      <c r="AM42" s="116" t="str">
        <f t="array" ref="AM42">INDEX($A$1:$C$500, MATCH(1,($B:$B=$AB42)*($C:$C=$C42),0),1)</f>
        <v/>
      </c>
      <c r="AN42" s="114" t="str">
        <f t="array" ref="AN42">IFS(ISNUMBER(AJ42),AJ42,ISNUMBER(AK42),AK42,ISNUMBER(AL42),AL42,ISNUMBER(AM42),AM42)</f>
        <v>#N/A</v>
      </c>
      <c r="AO42" s="115" t="str">
        <f t="shared" si="6"/>
        <v/>
      </c>
      <c r="AP42" s="115" t="str">
        <f t="shared" si="7"/>
        <v/>
      </c>
      <c r="AQ42" s="72"/>
      <c r="AR42" s="109" t="str">
        <f t="shared" si="8"/>
        <v/>
      </c>
      <c r="AS42" s="72" t="str">
        <f>IFERROR(IF(AND(Preferences!B$3="Manual",OR(AX42/AW42&gt;V42/U42,BD42="Serious",BD42="Very serious")),"Assess imprecision",IFERROR(IFS(AND(Preferences!B$3="Automatic",V42/U42&gt;=30),"Extremely serious",AND(W42&lt;=$D$1*-1,Y42&lt;0,V42/U42&lt;3),"Not Serious",AND(W42&lt;=$D$1*-1,Y42&lt;0,V42/U42&gt;=3),"Very serious",AND(W42&gt;=$D$1,X42&gt;0,V42/U42&lt;3),"Not Serious",AND(W42&gt;=$D$1,X42&gt;0,V42/U42&gt;=3),"Very serious",AND(W42&lt;=$D$1*-1,Y42&gt;0,X42&gt;$D$2*-1,V42/U42&lt;3),"Serious", AND(W42&lt;=$D$1*-1,Y42&gt;0,X42&lt;$D$2*-1,V42/U42&lt;3),"Very serious", AND(W42&gt;=$D$1,X42&lt;0,Y42&lt;$D$2,V42/U42&lt;3),"Serious",AND(W42&gt;=$D$1,X42&lt;0,Y42&gt;$D$2,V42/U42&lt;3),"Very serious", AND(W42&lt;=$D$1*-1,Y42&gt;0,X42&gt;$D$2*-1,V42/U42&gt;=3),"Very serious", AND(W42&lt;=$D$1*-1,Y42&gt;0,X42&lt;$D$2*-1,V42/U42&gt;=3),"Very serious", AND(W42&gt;=$D$1,X42&lt;0,Y42&lt;$D$2,V42/U42&gt;=3),"Very serious", AND(W42&gt;=$D$1,X42&lt;0,Y42&gt;$D$2,V42/U42&gt;=3),"Very serious", AND(W42&gt;$D$1*-1,W42&lt;$D$1,X42&gt;$D$1*-1,Y42&lt;$D$1,V42/U42&lt;3),"Not Serious", AND(W42&gt;$D$1*-1,W42&lt;$D$1,OR(X42&lt;=$D$1*-1,Y42&gt;=$D$1),X42&gt;$D$2*-1,Y42&lt;$D$2,V42/U42&lt;3),"Serious", AND(W42&gt;$D$1*-1,W42&lt;$D$1,OR(X42&lt;=$D$2*-1,Y42&gt;=$D$2),V42/U42&lt;3),"Very serious", AND(W42&gt;$D$1*-1,W42&lt;$D$1,X42&gt;$D$1*-1,Y42&lt;$D$1,V42/U42&gt;=3),"Very serious", AND(W42&gt;$D$1*-1,W42&lt;$D$1,OR(X42&lt;=$D$1*-1,Y42&gt;=$D$1),X42&gt;$D$2*-1,Y42&lt;$D$2,V42/U42&gt;=3),"Very serious", AND(W42&gt;$D$1*-1,W42&lt;$D$1,OR(X42&lt;=$D$2*-1,Y42&gt;=$D$2),V42/U42&gt;=3),"Very serious"),"")),"")</f>
        <v/>
      </c>
      <c r="AT42" s="109" t="str">
        <f t="shared" si="9"/>
        <v/>
      </c>
      <c r="AU42" s="64"/>
      <c r="AV42" s="117"/>
      <c r="AW42" s="117"/>
      <c r="AX42" s="117"/>
      <c r="AY42" s="118"/>
      <c r="AZ42" s="118"/>
      <c r="BA42" s="119"/>
      <c r="BB42" s="86" t="str">
        <f>IF(Preferences!B$9="Manual","",IFS(ISBLANK(B42),"",AND(ISNUMBER(E42)=TRUE,ISNUMBER(T42)=FALSE),"Direct", AND(ISNUMBER(E42)=FALSE,ISNUMBER(T42)=TRUE),"Indirect", CN42=4,"Direct",AND(CL42=FALSE, CM42=TRUE,CN42-CO42&gt;-1),"Direct", AND(CL42=FALSE,CM42=TRUE, CN42-CO42&lt;0),"Check algorithm in appendix 2", AND(CL42=TRUE, CM42=FALSE,CN42-CO42&gt;0),"Check algorithm in appendix 2", AND(CL42=TRUE, CM42=FALSE,CN42-CO42=0),"Indirect", AND(CL42=TRUE, CM42=FALSE,CN42-CO42&lt;0),"Indirect", AND(CL42=FALSE,CM42=FALSE,CN42-CO42&gt;-1),"Direct", AND(CL42=FALSE,CM42=FALSE,CN42-CO42&lt;0),"Check algorithm in appendix 2", AND(CL42=TRUE,CM42=TRUE,CN42-CO42&gt;-1),"Direct", AND(CL42=TRUE,CM42=TRUE,CN42-CO42&lt;0),"Check algorithm in appendix 2"))</f>
        <v/>
      </c>
      <c r="BC42" s="120" t="str">
        <f t="shared" si="10"/>
        <v/>
      </c>
      <c r="BD42" s="140"/>
      <c r="BE42" s="122" t="str">
        <f>IF(Preferences!B$3="Manual","", IFERROR(IFS(AND(Preferences!B$3="Automatic",AX42/AW42&gt;=30),"Extremely serious",AND(AY42&lt;=$D$1*-1,BA42&lt;0,AX42/AW42&lt;3),"Not Serious",AND(AY42&lt;=$D$1*-1,BA42&lt;0,AX42/AW42&gt;=3),"Very serious",AND(AY42&gt;=$D$1,AZ42&gt;0,AX42/AW42&lt;3),"Not Serious",AND(AY42&gt;=$D$1,AZ42&gt;0,AX42/AW42&gt;=3),"Very serious",AND(AY42&lt;=$D$1*-1,BA42&gt;0,AZ42&gt;$D$2*-1,AX42/AW42&lt;3),"Serious", AND(AY42&lt;=$D$1*-1,BA42&gt;0,AZ42&lt;$D$2*-1,AX42/AW42&lt;3),"Very serious", AND(AY42&gt;=$D$1,AZ42&lt;0,BA42&lt;$D$2,AX42/AW42&lt;3),"Serious",AND(AY42&gt;=$D$1,AZ42&lt;0,BA42&gt;$D$2,AX42/AW42&lt;3),"Very serious", AND(AY42&lt;=$D$1*-1,BA42&gt;0,AZ42&gt;$D$2*-1,AX42/AW42&gt;=3),"Very serious", AND(AY42&lt;=$D$1*-1,BA42&gt;0,AZ42&lt;$D$2*-1,AX42/AW42&gt;=3),"Very serious", AND(AY42&gt;=$D$1,AZ42&lt;0,BA42&lt;$D$2,AX42/AW42&gt;=3),"Very serious", AND(AY42&gt;=$D$1,AZ42&lt;0,BA42&gt;$D$2,AX42/AW42&gt;=3),"Very serious", AND(AY42&gt;$D$1*-1,AY42&lt;$D$1,AZ42&gt;$D$1*-1,BA42&lt;$D$1,AX42/AW42&lt;3),"Not Serious", AND(AY42&gt;$D$1*-1,AY42&lt;$D$1,OR(AZ42&lt;=$D$1*-1,BA42&gt;=$D$1),AZ42&gt;$D$2*-1,BA42&lt;$D$2,AX42/AW42&lt;3),"Serious", AND(AY42&gt;$D$1*-1,AY42&lt;$D$1,OR(AZ42&lt;=$D$2*-1,BA42&gt;=$D$2),AX42/AW42&lt;3),"Very serious", AND(AY42&gt;$D$1*-1,AY42&lt;$D$1,AZ42&gt;$D$1*-1,BA42&lt;$D$1,AX42/AW42&gt;=3),"Very serious", AND(AY42&gt;$D$1*-1,AY42&lt;$D$1,OR(AZ42&lt;=$D$1*-1,BA42&gt;=$D$1),AZ42&gt;$D$2*-1,BA42&lt;$D$2,AX42/AW42&gt;=3),"Very serious", AND(AY42&gt;$D$1*-1,AY42&lt;$D$1,OR(AZ42&lt;=$D$2*-1,BA42&gt;=$D$2),AX42/AW42&gt;=3),"Very serious"),""))</f>
        <v/>
      </c>
      <c r="BF42" s="107" t="str">
        <f t="shared" si="11"/>
        <v/>
      </c>
      <c r="BG42" s="94" t="str">
        <f t="shared" si="46"/>
        <v/>
      </c>
      <c r="BH42" s="64" t="str">
        <f t="shared" si="12"/>
        <v>#N/A</v>
      </c>
      <c r="BI42" s="64" t="str">
        <f t="shared" si="13"/>
        <v/>
      </c>
      <c r="BJ42" s="123" t="str">
        <f t="shared" si="14"/>
        <v>#N/A</v>
      </c>
      <c r="BK42" s="64" t="str">
        <f t="shared" ref="BK42:BK500" si="50">IF(AND(AW42&lt;1,AX42&gt;1),"NO","YES")</f>
        <v>YES</v>
      </c>
      <c r="BL42" s="64" t="str">
        <f t="shared" si="16"/>
        <v>YES</v>
      </c>
      <c r="BM42" s="64" t="str">
        <f t="shared" si="17"/>
        <v>YES</v>
      </c>
      <c r="BN42" s="124" t="str">
        <f t="shared" si="18"/>
        <v/>
      </c>
      <c r="BO42" s="91" t="str">
        <f t="shared" si="19"/>
        <v/>
      </c>
      <c r="BP42" s="91" t="str">
        <f t="shared" si="20"/>
        <v>#N/A</v>
      </c>
      <c r="BQ42" s="91" t="str">
        <f t="shared" si="21"/>
        <v/>
      </c>
      <c r="BR42" s="93" t="str">
        <f t="shared" si="22"/>
        <v/>
      </c>
      <c r="BS42" s="90" t="str">
        <f t="shared" si="23"/>
        <v/>
      </c>
      <c r="BT42" s="93" t="str">
        <f t="shared" si="24"/>
        <v>NA</v>
      </c>
      <c r="BU42" s="125" t="str">
        <f t="shared" si="25"/>
        <v>#N/A</v>
      </c>
      <c r="BV42" s="93" t="str">
        <f t="shared" si="26"/>
        <v/>
      </c>
      <c r="BW42" s="93" t="str">
        <f t="shared" si="27"/>
        <v/>
      </c>
      <c r="BX42" s="93" t="str">
        <f t="shared" si="28"/>
        <v>NA</v>
      </c>
      <c r="BY42" s="95" t="str">
        <f t="shared" si="29"/>
        <v>#N/A</v>
      </c>
      <c r="BZ42" s="93" t="str">
        <f t="shared" si="30"/>
        <v/>
      </c>
      <c r="CA42" s="93" t="str">
        <f t="shared" si="31"/>
        <v/>
      </c>
      <c r="CB42" s="93" t="str">
        <f t="shared" si="32"/>
        <v>NA</v>
      </c>
      <c r="CC42" s="96" t="str">
        <f t="shared" si="33"/>
        <v>#N/A</v>
      </c>
      <c r="CD42" s="93" t="str">
        <f t="shared" si="34"/>
        <v/>
      </c>
      <c r="CE42" s="93" t="str">
        <f t="shared" si="35"/>
        <v/>
      </c>
      <c r="CF42" s="93" t="str">
        <f t="shared" si="36"/>
        <v>NA</v>
      </c>
      <c r="CG42" s="97" t="str">
        <f t="shared" si="37"/>
        <v>#N/A</v>
      </c>
      <c r="CH42" s="98" t="str">
        <f t="shared" si="38"/>
        <v>#N/A</v>
      </c>
      <c r="CI42" s="99" t="str">
        <f t="shared" si="39"/>
        <v>#N/A</v>
      </c>
      <c r="CJ42" s="126" t="str">
        <f t="shared" si="40"/>
        <v>ERROR: check cell</v>
      </c>
      <c r="CK42" s="126"/>
      <c r="CL42" s="127" t="str">
        <f t="shared" si="41"/>
        <v>#DIV/0!</v>
      </c>
      <c r="CM42" s="128" t="str">
        <f t="shared" si="42"/>
        <v>#DIV/0!</v>
      </c>
      <c r="CN42" s="128">
        <f t="shared" si="43"/>
        <v>4</v>
      </c>
      <c r="CO42" s="129">
        <f t="shared" si="44"/>
        <v>4</v>
      </c>
      <c r="CP42" s="129" t="str">
        <f>IFS(C42=Preferences!B$13,B42,B42=Preferences!B$13,C42)</f>
        <v>#N/A</v>
      </c>
    </row>
    <row r="43" ht="13.5" customHeight="1">
      <c r="A43" s="63" t="str">
        <f t="shared" si="45"/>
        <v/>
      </c>
      <c r="B43" s="64"/>
      <c r="C43" s="64"/>
      <c r="D43" s="64"/>
      <c r="E43" s="65"/>
      <c r="F43" s="65"/>
      <c r="G43" s="65"/>
      <c r="H43" s="65"/>
      <c r="I43" s="65"/>
      <c r="J43" s="141"/>
      <c r="K43" s="138"/>
      <c r="L43" s="133"/>
      <c r="M43" s="104"/>
      <c r="N43" s="104"/>
      <c r="O43" s="104"/>
      <c r="P43" s="107" t="str">
        <f t="shared" si="1"/>
        <v/>
      </c>
      <c r="Q43" s="108" t="str">
        <f>IFERROR(IF(AND(Preferences!B$3="Manual",OR(AX43/AW43&gt;G43/F43,BD43="Serious",BD43="Very serious")),"Assess imprecision",IFS(ISBLANK(E43),"",AND(Preferences!B$3="Automatic", G43/F43&gt;=30),"Extremely serious",AND(H43&lt;=$D$1*-1,J43&lt;0,G43/F43&lt;3),"Not serious",AND(H43&lt;=$D$1*-1,J43&lt;0,G43/F43&gt;=3),"Very serious",AND(H43&gt;=$D$1,I43&gt;0,G43/F43&lt;3),"Not serious",AND(H43&gt;=$D$1,I43&gt;0,G43/F43&gt;=3),"Very serious",AND(H43&lt;=$D$1*-1,J43&gt;0,I43&gt;$D$2*-1,G43/F43&lt;3),"Serious", AND(H43&lt;=$D$1*-1,J43&gt;0,I43&lt;$D$2*-1,G43/F43&lt;3),"Very serious", AND(H43&gt;=$D$1,I43&lt;0,J43&lt;$D$2,G43/F43&lt;3),"Serious",AND(H43&gt;=$D$1,I43&lt;0,J43&gt;$D$2,G43/F43&lt;3),"Very serious", AND(H43&lt;=$D$1*-1,J43&gt;0,I43&gt;$D$2*-1,G43/F43&gt;=3),"Very serious", AND(H43&lt;=$D$1*-1,J43&gt;0,I43&lt;$D$2*-1,G43/F43&gt;=3),"Very serious", AND(H43&gt;=$D$1,I43&lt;0,J43&lt;$D$2,G43/F43&gt;=3),"Very serious", AND(H43&gt;=$D$1,I43&lt;0,J43&gt;$D$2,G43/F43&gt;=3),"Very serious", AND(H43&gt;$D$1*-1,H43&lt;$D$1,I43&gt;$D$1*-1,J43&lt;$D$1,G43/F43&lt;3),"Not serious", AND(H43&gt;$D$1*-1,H43&lt;$D$1,OR(I43&lt;=$D$1*-1,J43&gt;=$D$1),I43&gt;$D$2*-1,J43&lt;$D$2,G43/F43&lt;3),"Serious", AND(H43&gt;$D$1*-1,H43&lt;$D$1,OR(I43&lt;=$D$2*-1,J43&gt;=$D$2),G43/F43&lt;3),"Very serious", AND(H43&gt;$D$1*-1,H43&lt;$D$1,I43&gt;$D$1*-1,J43&lt;$D$1,G43/F43&gt;=3),"Very serious", AND(H43&gt;$D$1*-1,H43&lt;$D$1,OR(I43&lt;=$D$1*-1,J43&gt;=$D$1),I43&gt;$D$2*-1,J43&lt;$D$2,G43/F43&gt;=3),"Very serious", AND(H43&gt;$D$1*-1,H43&lt;$D$1,OR(I43&lt;=$D$2*-1,J43&gt;=$D$2),G43/F43&gt;=3),"Very serious")),"")</f>
        <v/>
      </c>
      <c r="R43" s="109" t="str">
        <f t="shared" si="47"/>
        <v/>
      </c>
      <c r="S43" s="64"/>
      <c r="T43" s="139"/>
      <c r="U43" s="139"/>
      <c r="V43" s="139"/>
      <c r="W43" s="142"/>
      <c r="X43" s="142"/>
      <c r="Y43" s="143"/>
      <c r="Z43" s="113" t="str">
        <f t="array" ref="Z43">INDEX($A$1:$C$500, MATCH(1,($B:$B=$B43)*($C:$C=$AB43),0),1)</f>
        <v/>
      </c>
      <c r="AA43" s="113" t="str">
        <f t="array" ref="AA43">INDEX($A$1:$C$500, MATCH(1,($B:$B=$AB43)*($C:$C=$B43),0),1)</f>
        <v/>
      </c>
      <c r="AB43" s="111"/>
      <c r="AC43" s="114" t="str">
        <f t="shared" si="2"/>
        <v/>
      </c>
      <c r="AD43" s="115" t="str">
        <f t="shared" si="3"/>
        <v/>
      </c>
      <c r="AE43" s="116" t="str">
        <f t="array" ref="AE43">INDEX($A$1:$C$500, MATCH(1,($B:$B=$AB43)*($C:$C=$AG43),0),1)</f>
        <v/>
      </c>
      <c r="AF43" s="116" t="str">
        <f t="array" ref="AF43">INDEX($A$1:$C$500, MATCH(1,($B:$B=$AG43)*($C:$C=$AB43),0),1)</f>
        <v/>
      </c>
      <c r="AG43" s="72"/>
      <c r="AH43" s="114" t="str">
        <f t="shared" si="4"/>
        <v/>
      </c>
      <c r="AI43" s="115" t="str">
        <f t="shared" si="5"/>
        <v/>
      </c>
      <c r="AJ43" s="116" t="str">
        <f t="array" ref="AJ43">INDEX($A$1:$C$500, MATCH(1,($B:$B=$C43)*($C:$C=$AG43),0),1)</f>
        <v/>
      </c>
      <c r="AK43" s="116" t="str">
        <f t="array" ref="AK43">INDEX($A$1:$C$500, MATCH(1,($B:$B=$AG43)*($C:$C=$C43),0),1)</f>
        <v/>
      </c>
      <c r="AL43" s="116" t="str">
        <f t="array" ref="AL43">INDEX($A$1:$C$500, MATCH(1,($B:$B=$C43)*($C:$C=$AB43),0),1)</f>
        <v/>
      </c>
      <c r="AM43" s="116" t="str">
        <f t="array" ref="AM43">INDEX($A$1:$C$500, MATCH(1,($B:$B=$AB43)*($C:$C=$C43),0),1)</f>
        <v/>
      </c>
      <c r="AN43" s="114" t="str">
        <f t="array" ref="AN43">IFS(ISNUMBER(AJ43),AJ43,ISNUMBER(AK43),AK43,ISNUMBER(AL43),AL43,ISNUMBER(AM43),AM43)</f>
        <v>#N/A</v>
      </c>
      <c r="AO43" s="115" t="str">
        <f t="shared" si="6"/>
        <v/>
      </c>
      <c r="AP43" s="115" t="str">
        <f t="shared" si="7"/>
        <v/>
      </c>
      <c r="AQ43" s="72"/>
      <c r="AR43" s="109" t="str">
        <f t="shared" si="8"/>
        <v/>
      </c>
      <c r="AS43" s="72" t="str">
        <f>IFERROR(IF(AND(Preferences!B$3="Manual",OR(AX43/AW43&gt;V43/U43,BD43="Serious",BD43="Very serious")),"Assess imprecision",IFERROR(IFS(AND(Preferences!B$3="Automatic",V43/U43&gt;=30),"Extremely serious",AND(W43&lt;=$D$1*-1,Y43&lt;0,V43/U43&lt;3),"Not Serious",AND(W43&lt;=$D$1*-1,Y43&lt;0,V43/U43&gt;=3),"Very serious",AND(W43&gt;=$D$1,X43&gt;0,V43/U43&lt;3),"Not Serious",AND(W43&gt;=$D$1,X43&gt;0,V43/U43&gt;=3),"Very serious",AND(W43&lt;=$D$1*-1,Y43&gt;0,X43&gt;$D$2*-1,V43/U43&lt;3),"Serious", AND(W43&lt;=$D$1*-1,Y43&gt;0,X43&lt;$D$2*-1,V43/U43&lt;3),"Very serious", AND(W43&gt;=$D$1,X43&lt;0,Y43&lt;$D$2,V43/U43&lt;3),"Serious",AND(W43&gt;=$D$1,X43&lt;0,Y43&gt;$D$2,V43/U43&lt;3),"Very serious", AND(W43&lt;=$D$1*-1,Y43&gt;0,X43&gt;$D$2*-1,V43/U43&gt;=3),"Very serious", AND(W43&lt;=$D$1*-1,Y43&gt;0,X43&lt;$D$2*-1,V43/U43&gt;=3),"Very serious", AND(W43&gt;=$D$1,X43&lt;0,Y43&lt;$D$2,V43/U43&gt;=3),"Very serious", AND(W43&gt;=$D$1,X43&lt;0,Y43&gt;$D$2,V43/U43&gt;=3),"Very serious", AND(W43&gt;$D$1*-1,W43&lt;$D$1,X43&gt;$D$1*-1,Y43&lt;$D$1,V43/U43&lt;3),"Not Serious", AND(W43&gt;$D$1*-1,W43&lt;$D$1,OR(X43&lt;=$D$1*-1,Y43&gt;=$D$1),X43&gt;$D$2*-1,Y43&lt;$D$2,V43/U43&lt;3),"Serious", AND(W43&gt;$D$1*-1,W43&lt;$D$1,OR(X43&lt;=$D$2*-1,Y43&gt;=$D$2),V43/U43&lt;3),"Very serious", AND(W43&gt;$D$1*-1,W43&lt;$D$1,X43&gt;$D$1*-1,Y43&lt;$D$1,V43/U43&gt;=3),"Very serious", AND(W43&gt;$D$1*-1,W43&lt;$D$1,OR(X43&lt;=$D$1*-1,Y43&gt;=$D$1),X43&gt;$D$2*-1,Y43&lt;$D$2,V43/U43&gt;=3),"Very serious", AND(W43&gt;$D$1*-1,W43&lt;$D$1,OR(X43&lt;=$D$2*-1,Y43&gt;=$D$2),V43/U43&gt;=3),"Very serious"),"")),"")</f>
        <v/>
      </c>
      <c r="AT43" s="109" t="str">
        <f t="shared" si="9"/>
        <v/>
      </c>
      <c r="AU43" s="64"/>
      <c r="AV43" s="117"/>
      <c r="AW43" s="117"/>
      <c r="AX43" s="117"/>
      <c r="AY43" s="118"/>
      <c r="AZ43" s="118"/>
      <c r="BA43" s="119"/>
      <c r="BB43" s="86" t="str">
        <f>IF(Preferences!B$9="Manual","",IFS(ISBLANK(B43),"",AND(ISNUMBER(E43)=TRUE,ISNUMBER(T43)=FALSE),"Direct", AND(ISNUMBER(E43)=FALSE,ISNUMBER(T43)=TRUE),"Indirect", CN43=4,"Direct",AND(CL43=FALSE, CM43=TRUE,CN43-CO43&gt;-1),"Direct", AND(CL43=FALSE,CM43=TRUE, CN43-CO43&lt;0),"Check algorithm in appendix 2", AND(CL43=TRUE, CM43=FALSE,CN43-CO43&gt;0),"Check algorithm in appendix 2", AND(CL43=TRUE, CM43=FALSE,CN43-CO43=0),"Indirect", AND(CL43=TRUE, CM43=FALSE,CN43-CO43&lt;0),"Indirect", AND(CL43=FALSE,CM43=FALSE,CN43-CO43&gt;-1),"Direct", AND(CL43=FALSE,CM43=FALSE,CN43-CO43&lt;0),"Check algorithm in appendix 2", AND(CL43=TRUE,CM43=TRUE,CN43-CO43&gt;-1),"Direct", AND(CL43=TRUE,CM43=TRUE,CN43-CO43&lt;0),"Check algorithm in appendix 2"))</f>
        <v/>
      </c>
      <c r="BC43" s="120" t="str">
        <f t="shared" si="10"/>
        <v/>
      </c>
      <c r="BD43" s="140"/>
      <c r="BE43" s="122" t="str">
        <f>IF(Preferences!B$3="Manual","", IFERROR(IFS(AND(Preferences!B$3="Automatic",AX43/AW43&gt;=30),"Extremely serious",AND(AY43&lt;=$D$1*-1,BA43&lt;0,AX43/AW43&lt;3),"Not Serious",AND(AY43&lt;=$D$1*-1,BA43&lt;0,AX43/AW43&gt;=3),"Very serious",AND(AY43&gt;=$D$1,AZ43&gt;0,AX43/AW43&lt;3),"Not Serious",AND(AY43&gt;=$D$1,AZ43&gt;0,AX43/AW43&gt;=3),"Very serious",AND(AY43&lt;=$D$1*-1,BA43&gt;0,AZ43&gt;$D$2*-1,AX43/AW43&lt;3),"Serious", AND(AY43&lt;=$D$1*-1,BA43&gt;0,AZ43&lt;$D$2*-1,AX43/AW43&lt;3),"Very serious", AND(AY43&gt;=$D$1,AZ43&lt;0,BA43&lt;$D$2,AX43/AW43&lt;3),"Serious",AND(AY43&gt;=$D$1,AZ43&lt;0,BA43&gt;$D$2,AX43/AW43&lt;3),"Very serious", AND(AY43&lt;=$D$1*-1,BA43&gt;0,AZ43&gt;$D$2*-1,AX43/AW43&gt;=3),"Very serious", AND(AY43&lt;=$D$1*-1,BA43&gt;0,AZ43&lt;$D$2*-1,AX43/AW43&gt;=3),"Very serious", AND(AY43&gt;=$D$1,AZ43&lt;0,BA43&lt;$D$2,AX43/AW43&gt;=3),"Very serious", AND(AY43&gt;=$D$1,AZ43&lt;0,BA43&gt;$D$2,AX43/AW43&gt;=3),"Very serious", AND(AY43&gt;$D$1*-1,AY43&lt;$D$1,AZ43&gt;$D$1*-1,BA43&lt;$D$1,AX43/AW43&lt;3),"Not Serious", AND(AY43&gt;$D$1*-1,AY43&lt;$D$1,OR(AZ43&lt;=$D$1*-1,BA43&gt;=$D$1),AZ43&gt;$D$2*-1,BA43&lt;$D$2,AX43/AW43&lt;3),"Serious", AND(AY43&gt;$D$1*-1,AY43&lt;$D$1,OR(AZ43&lt;=$D$2*-1,BA43&gt;=$D$2),AX43/AW43&lt;3),"Very serious", AND(AY43&gt;$D$1*-1,AY43&lt;$D$1,AZ43&gt;$D$1*-1,BA43&lt;$D$1,AX43/AW43&gt;=3),"Very serious", AND(AY43&gt;$D$1*-1,AY43&lt;$D$1,OR(AZ43&lt;=$D$1*-1,BA43&gt;=$D$1),AZ43&gt;$D$2*-1,BA43&lt;$D$2,AX43/AW43&gt;=3),"Very serious", AND(AY43&gt;$D$1*-1,AY43&lt;$D$1,OR(AZ43&lt;=$D$2*-1,BA43&gt;=$D$2),AX43/AW43&gt;=3),"Very serious"),""))</f>
        <v/>
      </c>
      <c r="BF43" s="107" t="str">
        <f t="shared" si="11"/>
        <v/>
      </c>
      <c r="BG43" s="94" t="str">
        <f t="shared" si="46"/>
        <v/>
      </c>
      <c r="BH43" s="64" t="str">
        <f t="shared" si="12"/>
        <v>#N/A</v>
      </c>
      <c r="BI43" s="64" t="str">
        <f t="shared" si="13"/>
        <v/>
      </c>
      <c r="BJ43" s="123" t="str">
        <f t="shared" si="14"/>
        <v>#N/A</v>
      </c>
      <c r="BK43" s="64" t="str">
        <f t="shared" si="50"/>
        <v>YES</v>
      </c>
      <c r="BL43" s="64" t="str">
        <f t="shared" si="16"/>
        <v>YES</v>
      </c>
      <c r="BM43" s="64" t="str">
        <f t="shared" si="17"/>
        <v>YES</v>
      </c>
      <c r="BN43" s="124" t="str">
        <f t="shared" si="18"/>
        <v/>
      </c>
      <c r="BO43" s="91" t="str">
        <f t="shared" si="19"/>
        <v/>
      </c>
      <c r="BP43" s="91" t="str">
        <f t="shared" si="20"/>
        <v>#N/A</v>
      </c>
      <c r="BQ43" s="91" t="str">
        <f t="shared" si="21"/>
        <v/>
      </c>
      <c r="BR43" s="93" t="str">
        <f t="shared" si="22"/>
        <v/>
      </c>
      <c r="BS43" s="90" t="str">
        <f t="shared" si="23"/>
        <v/>
      </c>
      <c r="BT43" s="93" t="str">
        <f t="shared" si="24"/>
        <v>NA</v>
      </c>
      <c r="BU43" s="125" t="str">
        <f t="shared" si="25"/>
        <v>#N/A</v>
      </c>
      <c r="BV43" s="93" t="str">
        <f t="shared" si="26"/>
        <v/>
      </c>
      <c r="BW43" s="93" t="str">
        <f t="shared" si="27"/>
        <v/>
      </c>
      <c r="BX43" s="93" t="str">
        <f t="shared" si="28"/>
        <v>NA</v>
      </c>
      <c r="BY43" s="95" t="str">
        <f t="shared" si="29"/>
        <v>#N/A</v>
      </c>
      <c r="BZ43" s="93" t="str">
        <f t="shared" si="30"/>
        <v/>
      </c>
      <c r="CA43" s="93" t="str">
        <f t="shared" si="31"/>
        <v/>
      </c>
      <c r="CB43" s="93" t="str">
        <f t="shared" si="32"/>
        <v>NA</v>
      </c>
      <c r="CC43" s="96" t="str">
        <f t="shared" si="33"/>
        <v>#N/A</v>
      </c>
      <c r="CD43" s="93" t="str">
        <f t="shared" si="34"/>
        <v/>
      </c>
      <c r="CE43" s="93" t="str">
        <f t="shared" si="35"/>
        <v/>
      </c>
      <c r="CF43" s="93" t="str">
        <f t="shared" si="36"/>
        <v>NA</v>
      </c>
      <c r="CG43" s="97" t="str">
        <f t="shared" si="37"/>
        <v>#N/A</v>
      </c>
      <c r="CH43" s="98" t="str">
        <f t="shared" si="38"/>
        <v>#N/A</v>
      </c>
      <c r="CI43" s="99" t="str">
        <f t="shared" si="39"/>
        <v>#N/A</v>
      </c>
      <c r="CJ43" s="126" t="str">
        <f t="shared" si="40"/>
        <v>ERROR: check cell</v>
      </c>
      <c r="CK43" s="126"/>
      <c r="CL43" s="127" t="str">
        <f t="shared" si="41"/>
        <v>#DIV/0!</v>
      </c>
      <c r="CM43" s="128" t="str">
        <f t="shared" si="42"/>
        <v>#DIV/0!</v>
      </c>
      <c r="CN43" s="128">
        <f t="shared" si="43"/>
        <v>4</v>
      </c>
      <c r="CO43" s="129">
        <f t="shared" si="44"/>
        <v>4</v>
      </c>
      <c r="CP43" s="129" t="str">
        <f>IFS(C43=Preferences!B$13,B43,B43=Preferences!B$13,C43)</f>
        <v>#N/A</v>
      </c>
    </row>
    <row r="44" ht="13.5" customHeight="1">
      <c r="A44" s="63" t="str">
        <f t="shared" si="45"/>
        <v/>
      </c>
      <c r="B44" s="64"/>
      <c r="C44" s="64"/>
      <c r="D44" s="64"/>
      <c r="E44" s="65"/>
      <c r="F44" s="65"/>
      <c r="G44" s="65"/>
      <c r="H44" s="65"/>
      <c r="I44" s="65"/>
      <c r="J44" s="141"/>
      <c r="K44" s="138"/>
      <c r="L44" s="133"/>
      <c r="M44" s="104"/>
      <c r="N44" s="104"/>
      <c r="O44" s="104"/>
      <c r="P44" s="107" t="str">
        <f t="shared" si="1"/>
        <v/>
      </c>
      <c r="Q44" s="108" t="str">
        <f>IFERROR(IF(AND(Preferences!B$3="Manual",OR(AX44/AW44&gt;G44/F44,BD44="Serious",BD44="Very serious")),"Assess imprecision",IFS(ISBLANK(E44),"",AND(Preferences!B$3="Automatic", G44/F44&gt;=30),"Extremely serious",AND(H44&lt;=$D$1*-1,J44&lt;0,G44/F44&lt;3),"Not serious",AND(H44&lt;=$D$1*-1,J44&lt;0,G44/F44&gt;=3),"Very serious",AND(H44&gt;=$D$1,I44&gt;0,G44/F44&lt;3),"Not serious",AND(H44&gt;=$D$1,I44&gt;0,G44/F44&gt;=3),"Very serious",AND(H44&lt;=$D$1*-1,J44&gt;0,I44&gt;$D$2*-1,G44/F44&lt;3),"Serious", AND(H44&lt;=$D$1*-1,J44&gt;0,I44&lt;$D$2*-1,G44/F44&lt;3),"Very serious", AND(H44&gt;=$D$1,I44&lt;0,J44&lt;$D$2,G44/F44&lt;3),"Serious",AND(H44&gt;=$D$1,I44&lt;0,J44&gt;$D$2,G44/F44&lt;3),"Very serious", AND(H44&lt;=$D$1*-1,J44&gt;0,I44&gt;$D$2*-1,G44/F44&gt;=3),"Very serious", AND(H44&lt;=$D$1*-1,J44&gt;0,I44&lt;$D$2*-1,G44/F44&gt;=3),"Very serious", AND(H44&gt;=$D$1,I44&lt;0,J44&lt;$D$2,G44/F44&gt;=3),"Very serious", AND(H44&gt;=$D$1,I44&lt;0,J44&gt;$D$2,G44/F44&gt;=3),"Very serious", AND(H44&gt;$D$1*-1,H44&lt;$D$1,I44&gt;$D$1*-1,J44&lt;$D$1,G44/F44&lt;3),"Not serious", AND(H44&gt;$D$1*-1,H44&lt;$D$1,OR(I44&lt;=$D$1*-1,J44&gt;=$D$1),I44&gt;$D$2*-1,J44&lt;$D$2,G44/F44&lt;3),"Serious", AND(H44&gt;$D$1*-1,H44&lt;$D$1,OR(I44&lt;=$D$2*-1,J44&gt;=$D$2),G44/F44&lt;3),"Very serious", AND(H44&gt;$D$1*-1,H44&lt;$D$1,I44&gt;$D$1*-1,J44&lt;$D$1,G44/F44&gt;=3),"Very serious", AND(H44&gt;$D$1*-1,H44&lt;$D$1,OR(I44&lt;=$D$1*-1,J44&gt;=$D$1),I44&gt;$D$2*-1,J44&lt;$D$2,G44/F44&gt;=3),"Very serious", AND(H44&gt;$D$1*-1,H44&lt;$D$1,OR(I44&lt;=$D$2*-1,J44&gt;=$D$2),G44/F44&gt;=3),"Very serious")),"")</f>
        <v/>
      </c>
      <c r="R44" s="109" t="str">
        <f t="shared" si="47"/>
        <v/>
      </c>
      <c r="S44" s="64"/>
      <c r="T44" s="139"/>
      <c r="U44" s="139"/>
      <c r="V44" s="139"/>
      <c r="W44" s="142"/>
      <c r="X44" s="142"/>
      <c r="Y44" s="143"/>
      <c r="Z44" s="113" t="str">
        <f t="array" ref="Z44">INDEX($A$1:$C$500, MATCH(1,($B:$B=$B44)*($C:$C=$AB44),0),1)</f>
        <v/>
      </c>
      <c r="AA44" s="113" t="str">
        <f t="array" ref="AA44">INDEX($A$1:$C$500, MATCH(1,($B:$B=$AB44)*($C:$C=$B44),0),1)</f>
        <v/>
      </c>
      <c r="AB44" s="111"/>
      <c r="AC44" s="114" t="str">
        <f t="shared" si="2"/>
        <v/>
      </c>
      <c r="AD44" s="115" t="str">
        <f t="shared" si="3"/>
        <v/>
      </c>
      <c r="AE44" s="116" t="str">
        <f t="array" ref="AE44">INDEX($A$1:$C$500, MATCH(1,($B:$B=$AB44)*($C:$C=$AG44),0),1)</f>
        <v/>
      </c>
      <c r="AF44" s="116" t="str">
        <f t="array" ref="AF44">INDEX($A$1:$C$500, MATCH(1,($B:$B=$AG44)*($C:$C=$AB44),0),1)</f>
        <v/>
      </c>
      <c r="AG44" s="72"/>
      <c r="AH44" s="114" t="str">
        <f t="shared" si="4"/>
        <v/>
      </c>
      <c r="AI44" s="115" t="str">
        <f t="shared" si="5"/>
        <v/>
      </c>
      <c r="AJ44" s="116" t="str">
        <f t="array" ref="AJ44">INDEX($A$1:$C$500, MATCH(1,($B:$B=$C44)*($C:$C=$AG44),0),1)</f>
        <v/>
      </c>
      <c r="AK44" s="116" t="str">
        <f t="array" ref="AK44">INDEX($A$1:$C$500, MATCH(1,($B:$B=$AG44)*($C:$C=$C44),0),1)</f>
        <v/>
      </c>
      <c r="AL44" s="116" t="str">
        <f t="array" ref="AL44">INDEX($A$1:$C$500, MATCH(1,($B:$B=$C44)*($C:$C=$AB44),0),1)</f>
        <v/>
      </c>
      <c r="AM44" s="116" t="str">
        <f t="array" ref="AM44">INDEX($A$1:$C$500, MATCH(1,($B:$B=$AB44)*($C:$C=$C44),0),1)</f>
        <v/>
      </c>
      <c r="AN44" s="114" t="str">
        <f t="array" ref="AN44">IFS(ISNUMBER(AJ44),AJ44,ISNUMBER(AK44),AK44,ISNUMBER(AL44),AL44,ISNUMBER(AM44),AM44)</f>
        <v>#N/A</v>
      </c>
      <c r="AO44" s="115" t="str">
        <f t="shared" si="6"/>
        <v/>
      </c>
      <c r="AP44" s="115" t="str">
        <f t="shared" si="7"/>
        <v/>
      </c>
      <c r="AQ44" s="72"/>
      <c r="AR44" s="109" t="str">
        <f t="shared" si="8"/>
        <v/>
      </c>
      <c r="AS44" s="72" t="str">
        <f>IFERROR(IF(AND(Preferences!B$3="Manual",OR(AX44/AW44&gt;V44/U44,BD44="Serious",BD44="Very serious")),"Assess imprecision",IFERROR(IFS(AND(Preferences!B$3="Automatic",V44/U44&gt;=30),"Extremely serious",AND(W44&lt;=$D$1*-1,Y44&lt;0,V44/U44&lt;3),"Not Serious",AND(W44&lt;=$D$1*-1,Y44&lt;0,V44/U44&gt;=3),"Very serious",AND(W44&gt;=$D$1,X44&gt;0,V44/U44&lt;3),"Not Serious",AND(W44&gt;=$D$1,X44&gt;0,V44/U44&gt;=3),"Very serious",AND(W44&lt;=$D$1*-1,Y44&gt;0,X44&gt;$D$2*-1,V44/U44&lt;3),"Serious", AND(W44&lt;=$D$1*-1,Y44&gt;0,X44&lt;$D$2*-1,V44/U44&lt;3),"Very serious", AND(W44&gt;=$D$1,X44&lt;0,Y44&lt;$D$2,V44/U44&lt;3),"Serious",AND(W44&gt;=$D$1,X44&lt;0,Y44&gt;$D$2,V44/U44&lt;3),"Very serious", AND(W44&lt;=$D$1*-1,Y44&gt;0,X44&gt;$D$2*-1,V44/U44&gt;=3),"Very serious", AND(W44&lt;=$D$1*-1,Y44&gt;0,X44&lt;$D$2*-1,V44/U44&gt;=3),"Very serious", AND(W44&gt;=$D$1,X44&lt;0,Y44&lt;$D$2,V44/U44&gt;=3),"Very serious", AND(W44&gt;=$D$1,X44&lt;0,Y44&gt;$D$2,V44/U44&gt;=3),"Very serious", AND(W44&gt;$D$1*-1,W44&lt;$D$1,X44&gt;$D$1*-1,Y44&lt;$D$1,V44/U44&lt;3),"Not Serious", AND(W44&gt;$D$1*-1,W44&lt;$D$1,OR(X44&lt;=$D$1*-1,Y44&gt;=$D$1),X44&gt;$D$2*-1,Y44&lt;$D$2,V44/U44&lt;3),"Serious", AND(W44&gt;$D$1*-1,W44&lt;$D$1,OR(X44&lt;=$D$2*-1,Y44&gt;=$D$2),V44/U44&lt;3),"Very serious", AND(W44&gt;$D$1*-1,W44&lt;$D$1,X44&gt;$D$1*-1,Y44&lt;$D$1,V44/U44&gt;=3),"Very serious", AND(W44&gt;$D$1*-1,W44&lt;$D$1,OR(X44&lt;=$D$1*-1,Y44&gt;=$D$1),X44&gt;$D$2*-1,Y44&lt;$D$2,V44/U44&gt;=3),"Very serious", AND(W44&gt;$D$1*-1,W44&lt;$D$1,OR(X44&lt;=$D$2*-1,Y44&gt;=$D$2),V44/U44&gt;=3),"Very serious"),"")),"")</f>
        <v/>
      </c>
      <c r="AT44" s="109" t="str">
        <f t="shared" si="9"/>
        <v/>
      </c>
      <c r="AU44" s="64"/>
      <c r="AV44" s="117"/>
      <c r="AW44" s="117"/>
      <c r="AX44" s="117"/>
      <c r="AY44" s="118"/>
      <c r="AZ44" s="118"/>
      <c r="BA44" s="119"/>
      <c r="BB44" s="86" t="str">
        <f>IF(Preferences!B$9="Manual","",IFS(ISBLANK(B44),"",AND(ISNUMBER(E44)=TRUE,ISNUMBER(T44)=FALSE),"Direct", AND(ISNUMBER(E44)=FALSE,ISNUMBER(T44)=TRUE),"Indirect", CN44=4,"Direct",AND(CL44=FALSE, CM44=TRUE,CN44-CO44&gt;-1),"Direct", AND(CL44=FALSE,CM44=TRUE, CN44-CO44&lt;0),"Check algorithm in appendix 2", AND(CL44=TRUE, CM44=FALSE,CN44-CO44&gt;0),"Check algorithm in appendix 2", AND(CL44=TRUE, CM44=FALSE,CN44-CO44=0),"Indirect", AND(CL44=TRUE, CM44=FALSE,CN44-CO44&lt;0),"Indirect", AND(CL44=FALSE,CM44=FALSE,CN44-CO44&gt;-1),"Direct", AND(CL44=FALSE,CM44=FALSE,CN44-CO44&lt;0),"Check algorithm in appendix 2", AND(CL44=TRUE,CM44=TRUE,CN44-CO44&gt;-1),"Direct", AND(CL44=TRUE,CM44=TRUE,CN44-CO44&lt;0),"Check algorithm in appendix 2"))</f>
        <v/>
      </c>
      <c r="BC44" s="120" t="str">
        <f t="shared" si="10"/>
        <v/>
      </c>
      <c r="BD44" s="140"/>
      <c r="BE44" s="122" t="str">
        <f>IF(Preferences!B$3="Manual","", IFERROR(IFS(AND(Preferences!B$3="Automatic",AX44/AW44&gt;=30),"Extremely serious",AND(AY44&lt;=$D$1*-1,BA44&lt;0,AX44/AW44&lt;3),"Not Serious",AND(AY44&lt;=$D$1*-1,BA44&lt;0,AX44/AW44&gt;=3),"Very serious",AND(AY44&gt;=$D$1,AZ44&gt;0,AX44/AW44&lt;3),"Not Serious",AND(AY44&gt;=$D$1,AZ44&gt;0,AX44/AW44&gt;=3),"Very serious",AND(AY44&lt;=$D$1*-1,BA44&gt;0,AZ44&gt;$D$2*-1,AX44/AW44&lt;3),"Serious", AND(AY44&lt;=$D$1*-1,BA44&gt;0,AZ44&lt;$D$2*-1,AX44/AW44&lt;3),"Very serious", AND(AY44&gt;=$D$1,AZ44&lt;0,BA44&lt;$D$2,AX44/AW44&lt;3),"Serious",AND(AY44&gt;=$D$1,AZ44&lt;0,BA44&gt;$D$2,AX44/AW44&lt;3),"Very serious", AND(AY44&lt;=$D$1*-1,BA44&gt;0,AZ44&gt;$D$2*-1,AX44/AW44&gt;=3),"Very serious", AND(AY44&lt;=$D$1*-1,BA44&gt;0,AZ44&lt;$D$2*-1,AX44/AW44&gt;=3),"Very serious", AND(AY44&gt;=$D$1,AZ44&lt;0,BA44&lt;$D$2,AX44/AW44&gt;=3),"Very serious", AND(AY44&gt;=$D$1,AZ44&lt;0,BA44&gt;$D$2,AX44/AW44&gt;=3),"Very serious", AND(AY44&gt;$D$1*-1,AY44&lt;$D$1,AZ44&gt;$D$1*-1,BA44&lt;$D$1,AX44/AW44&lt;3),"Not Serious", AND(AY44&gt;$D$1*-1,AY44&lt;$D$1,OR(AZ44&lt;=$D$1*-1,BA44&gt;=$D$1),AZ44&gt;$D$2*-1,BA44&lt;$D$2,AX44/AW44&lt;3),"Serious", AND(AY44&gt;$D$1*-1,AY44&lt;$D$1,OR(AZ44&lt;=$D$2*-1,BA44&gt;=$D$2),AX44/AW44&lt;3),"Very serious", AND(AY44&gt;$D$1*-1,AY44&lt;$D$1,AZ44&gt;$D$1*-1,BA44&lt;$D$1,AX44/AW44&gt;=3),"Very serious", AND(AY44&gt;$D$1*-1,AY44&lt;$D$1,OR(AZ44&lt;=$D$1*-1,BA44&gt;=$D$1),AZ44&gt;$D$2*-1,BA44&lt;$D$2,AX44/AW44&gt;=3),"Very serious", AND(AY44&gt;$D$1*-1,AY44&lt;$D$1,OR(AZ44&lt;=$D$2*-1,BA44&gt;=$D$2),AX44/AW44&gt;=3),"Very serious"),""))</f>
        <v/>
      </c>
      <c r="BF44" s="107" t="str">
        <f t="shared" si="11"/>
        <v/>
      </c>
      <c r="BG44" s="94" t="str">
        <f t="shared" si="46"/>
        <v/>
      </c>
      <c r="BH44" s="64" t="str">
        <f t="shared" si="12"/>
        <v>#N/A</v>
      </c>
      <c r="BI44" s="64" t="str">
        <f t="shared" si="13"/>
        <v/>
      </c>
      <c r="BJ44" s="123" t="str">
        <f t="shared" si="14"/>
        <v>#N/A</v>
      </c>
      <c r="BK44" s="64" t="str">
        <f t="shared" si="50"/>
        <v>YES</v>
      </c>
      <c r="BL44" s="64" t="str">
        <f t="shared" si="16"/>
        <v>YES</v>
      </c>
      <c r="BM44" s="64" t="str">
        <f t="shared" si="17"/>
        <v>YES</v>
      </c>
      <c r="BN44" s="124" t="str">
        <f t="shared" si="18"/>
        <v/>
      </c>
      <c r="BO44" s="91" t="str">
        <f t="shared" si="19"/>
        <v/>
      </c>
      <c r="BP44" s="91" t="str">
        <f t="shared" si="20"/>
        <v>#N/A</v>
      </c>
      <c r="BQ44" s="91" t="str">
        <f t="shared" si="21"/>
        <v/>
      </c>
      <c r="BR44" s="93" t="str">
        <f t="shared" si="22"/>
        <v/>
      </c>
      <c r="BS44" s="90" t="str">
        <f t="shared" si="23"/>
        <v/>
      </c>
      <c r="BT44" s="93" t="str">
        <f t="shared" si="24"/>
        <v>NA</v>
      </c>
      <c r="BU44" s="125" t="str">
        <f t="shared" si="25"/>
        <v>#N/A</v>
      </c>
      <c r="BV44" s="93" t="str">
        <f t="shared" si="26"/>
        <v/>
      </c>
      <c r="BW44" s="93" t="str">
        <f t="shared" si="27"/>
        <v/>
      </c>
      <c r="BX44" s="93" t="str">
        <f t="shared" si="28"/>
        <v>NA</v>
      </c>
      <c r="BY44" s="95" t="str">
        <f t="shared" si="29"/>
        <v>#N/A</v>
      </c>
      <c r="BZ44" s="93" t="str">
        <f t="shared" si="30"/>
        <v/>
      </c>
      <c r="CA44" s="93" t="str">
        <f t="shared" si="31"/>
        <v/>
      </c>
      <c r="CB44" s="93" t="str">
        <f t="shared" si="32"/>
        <v>NA</v>
      </c>
      <c r="CC44" s="96" t="str">
        <f t="shared" si="33"/>
        <v>#N/A</v>
      </c>
      <c r="CD44" s="93" t="str">
        <f t="shared" si="34"/>
        <v/>
      </c>
      <c r="CE44" s="93" t="str">
        <f t="shared" si="35"/>
        <v/>
      </c>
      <c r="CF44" s="93" t="str">
        <f t="shared" si="36"/>
        <v>NA</v>
      </c>
      <c r="CG44" s="97" t="str">
        <f t="shared" si="37"/>
        <v>#N/A</v>
      </c>
      <c r="CH44" s="98" t="str">
        <f t="shared" si="38"/>
        <v>#N/A</v>
      </c>
      <c r="CI44" s="99" t="str">
        <f t="shared" si="39"/>
        <v>#N/A</v>
      </c>
      <c r="CJ44" s="126" t="str">
        <f t="shared" si="40"/>
        <v>ERROR: check cell</v>
      </c>
      <c r="CK44" s="126"/>
      <c r="CL44" s="127" t="str">
        <f t="shared" si="41"/>
        <v>#DIV/0!</v>
      </c>
      <c r="CM44" s="128" t="str">
        <f t="shared" si="42"/>
        <v>#DIV/0!</v>
      </c>
      <c r="CN44" s="128">
        <f t="shared" si="43"/>
        <v>4</v>
      </c>
      <c r="CO44" s="129">
        <f t="shared" si="44"/>
        <v>4</v>
      </c>
      <c r="CP44" s="129" t="str">
        <f>IFS(C44=Preferences!B$13,B44,B44=Preferences!B$13,C44)</f>
        <v>#N/A</v>
      </c>
    </row>
    <row r="45" ht="13.5" customHeight="1">
      <c r="A45" s="63" t="str">
        <f t="shared" si="45"/>
        <v/>
      </c>
      <c r="B45" s="64"/>
      <c r="C45" s="64"/>
      <c r="D45" s="64"/>
      <c r="E45" s="65"/>
      <c r="F45" s="65"/>
      <c r="G45" s="65"/>
      <c r="H45" s="65"/>
      <c r="I45" s="65"/>
      <c r="J45" s="141"/>
      <c r="K45" s="138"/>
      <c r="L45" s="104"/>
      <c r="M45" s="104"/>
      <c r="N45" s="104"/>
      <c r="O45" s="104"/>
      <c r="P45" s="107" t="str">
        <f t="shared" si="1"/>
        <v/>
      </c>
      <c r="Q45" s="108" t="str">
        <f>IFERROR(IF(AND(Preferences!B$3="Manual",OR(AX45/AW45&gt;G45/F45,BD45="Serious",BD45="Very serious")),"Assess imprecision",IFS(ISBLANK(E45),"",AND(Preferences!B$3="Automatic", G45/F45&gt;=30),"Extremely serious",AND(H45&lt;=$D$1*-1,J45&lt;0,G45/F45&lt;3),"Not serious",AND(H45&lt;=$D$1*-1,J45&lt;0,G45/F45&gt;=3),"Very serious",AND(H45&gt;=$D$1,I45&gt;0,G45/F45&lt;3),"Not serious",AND(H45&gt;=$D$1,I45&gt;0,G45/F45&gt;=3),"Very serious",AND(H45&lt;=$D$1*-1,J45&gt;0,I45&gt;$D$2*-1,G45/F45&lt;3),"Serious", AND(H45&lt;=$D$1*-1,J45&gt;0,I45&lt;$D$2*-1,G45/F45&lt;3),"Very serious", AND(H45&gt;=$D$1,I45&lt;0,J45&lt;$D$2,G45/F45&lt;3),"Serious",AND(H45&gt;=$D$1,I45&lt;0,J45&gt;$D$2,G45/F45&lt;3),"Very serious", AND(H45&lt;=$D$1*-1,J45&gt;0,I45&gt;$D$2*-1,G45/F45&gt;=3),"Very serious", AND(H45&lt;=$D$1*-1,J45&gt;0,I45&lt;$D$2*-1,G45/F45&gt;=3),"Very serious", AND(H45&gt;=$D$1,I45&lt;0,J45&lt;$D$2,G45/F45&gt;=3),"Very serious", AND(H45&gt;=$D$1,I45&lt;0,J45&gt;$D$2,G45/F45&gt;=3),"Very serious", AND(H45&gt;$D$1*-1,H45&lt;$D$1,I45&gt;$D$1*-1,J45&lt;$D$1,G45/F45&lt;3),"Not serious", AND(H45&gt;$D$1*-1,H45&lt;$D$1,OR(I45&lt;=$D$1*-1,J45&gt;=$D$1),I45&gt;$D$2*-1,J45&lt;$D$2,G45/F45&lt;3),"Serious", AND(H45&gt;$D$1*-1,H45&lt;$D$1,OR(I45&lt;=$D$2*-1,J45&gt;=$D$2),G45/F45&lt;3),"Very serious", AND(H45&gt;$D$1*-1,H45&lt;$D$1,I45&gt;$D$1*-1,J45&lt;$D$1,G45/F45&gt;=3),"Very serious", AND(H45&gt;$D$1*-1,H45&lt;$D$1,OR(I45&lt;=$D$1*-1,J45&gt;=$D$1),I45&gt;$D$2*-1,J45&lt;$D$2,G45/F45&gt;=3),"Very serious", AND(H45&gt;$D$1*-1,H45&lt;$D$1,OR(I45&lt;=$D$2*-1,J45&gt;=$D$2),G45/F45&gt;=3),"Very serious")),"")</f>
        <v/>
      </c>
      <c r="R45" s="109" t="str">
        <f t="shared" si="47"/>
        <v/>
      </c>
      <c r="S45" s="64"/>
      <c r="T45" s="139"/>
      <c r="U45" s="139"/>
      <c r="V45" s="139"/>
      <c r="W45" s="142"/>
      <c r="X45" s="142"/>
      <c r="Y45" s="143"/>
      <c r="Z45" s="113" t="str">
        <f t="array" ref="Z45">INDEX($A$1:$C$500, MATCH(1,($B:$B=$B45)*($C:$C=$AB45),0),1)</f>
        <v/>
      </c>
      <c r="AA45" s="113" t="str">
        <f t="array" ref="AA45">INDEX($A$1:$C$500, MATCH(1,($B:$B=$AB45)*($C:$C=$B45),0),1)</f>
        <v/>
      </c>
      <c r="AB45" s="111"/>
      <c r="AC45" s="114" t="str">
        <f t="shared" si="2"/>
        <v/>
      </c>
      <c r="AD45" s="115" t="str">
        <f t="shared" si="3"/>
        <v/>
      </c>
      <c r="AE45" s="116" t="str">
        <f t="array" ref="AE45">INDEX($A$1:$C$500, MATCH(1,($B:$B=$AB45)*($C:$C=$AG45),0),1)</f>
        <v/>
      </c>
      <c r="AF45" s="116" t="str">
        <f t="array" ref="AF45">INDEX($A$1:$C$500, MATCH(1,($B:$B=$AG45)*($C:$C=$AB45),0),1)</f>
        <v/>
      </c>
      <c r="AG45" s="72"/>
      <c r="AH45" s="114" t="str">
        <f t="shared" si="4"/>
        <v/>
      </c>
      <c r="AI45" s="115" t="str">
        <f t="shared" si="5"/>
        <v/>
      </c>
      <c r="AJ45" s="116" t="str">
        <f t="array" ref="AJ45">INDEX($A$1:$C$500, MATCH(1,($B:$B=$C45)*($C:$C=$AG45),0),1)</f>
        <v/>
      </c>
      <c r="AK45" s="116" t="str">
        <f t="array" ref="AK45">INDEX($A$1:$C$500, MATCH(1,($B:$B=$AG45)*($C:$C=$C45),0),1)</f>
        <v/>
      </c>
      <c r="AL45" s="116" t="str">
        <f t="array" ref="AL45">INDEX($A$1:$C$500, MATCH(1,($B:$B=$C45)*($C:$C=$AB45),0),1)</f>
        <v/>
      </c>
      <c r="AM45" s="116" t="str">
        <f t="array" ref="AM45">INDEX($A$1:$C$500, MATCH(1,($B:$B=$AB45)*($C:$C=$C45),0),1)</f>
        <v/>
      </c>
      <c r="AN45" s="114" t="str">
        <f t="array" ref="AN45">IFS(ISNUMBER(AJ45),AJ45,ISNUMBER(AK45),AK45,ISNUMBER(AL45),AL45,ISNUMBER(AM45),AM45)</f>
        <v>#N/A</v>
      </c>
      <c r="AO45" s="115" t="str">
        <f t="shared" si="6"/>
        <v/>
      </c>
      <c r="AP45" s="115" t="str">
        <f t="shared" si="7"/>
        <v/>
      </c>
      <c r="AQ45" s="72"/>
      <c r="AR45" s="109" t="str">
        <f t="shared" si="8"/>
        <v/>
      </c>
      <c r="AS45" s="72" t="str">
        <f>IFERROR(IF(AND(Preferences!B$3="Manual",OR(AX45/AW45&gt;V45/U45,BD45="Serious",BD45="Very serious")),"Assess imprecision",IFERROR(IFS(AND(Preferences!B$3="Automatic",V45/U45&gt;=30),"Extremely serious",AND(W45&lt;=$D$1*-1,Y45&lt;0,V45/U45&lt;3),"Not Serious",AND(W45&lt;=$D$1*-1,Y45&lt;0,V45/U45&gt;=3),"Very serious",AND(W45&gt;=$D$1,X45&gt;0,V45/U45&lt;3),"Not Serious",AND(W45&gt;=$D$1,X45&gt;0,V45/U45&gt;=3),"Very serious",AND(W45&lt;=$D$1*-1,Y45&gt;0,X45&gt;$D$2*-1,V45/U45&lt;3),"Serious", AND(W45&lt;=$D$1*-1,Y45&gt;0,X45&lt;$D$2*-1,V45/U45&lt;3),"Very serious", AND(W45&gt;=$D$1,X45&lt;0,Y45&lt;$D$2,V45/U45&lt;3),"Serious",AND(W45&gt;=$D$1,X45&lt;0,Y45&gt;$D$2,V45/U45&lt;3),"Very serious", AND(W45&lt;=$D$1*-1,Y45&gt;0,X45&gt;$D$2*-1,V45/U45&gt;=3),"Very serious", AND(W45&lt;=$D$1*-1,Y45&gt;0,X45&lt;$D$2*-1,V45/U45&gt;=3),"Very serious", AND(W45&gt;=$D$1,X45&lt;0,Y45&lt;$D$2,V45/U45&gt;=3),"Very serious", AND(W45&gt;=$D$1,X45&lt;0,Y45&gt;$D$2,V45/U45&gt;=3),"Very serious", AND(W45&gt;$D$1*-1,W45&lt;$D$1,X45&gt;$D$1*-1,Y45&lt;$D$1,V45/U45&lt;3),"Not Serious", AND(W45&gt;$D$1*-1,W45&lt;$D$1,OR(X45&lt;=$D$1*-1,Y45&gt;=$D$1),X45&gt;$D$2*-1,Y45&lt;$D$2,V45/U45&lt;3),"Serious", AND(W45&gt;$D$1*-1,W45&lt;$D$1,OR(X45&lt;=$D$2*-1,Y45&gt;=$D$2),V45/U45&lt;3),"Very serious", AND(W45&gt;$D$1*-1,W45&lt;$D$1,X45&gt;$D$1*-1,Y45&lt;$D$1,V45/U45&gt;=3),"Very serious", AND(W45&gt;$D$1*-1,W45&lt;$D$1,OR(X45&lt;=$D$1*-1,Y45&gt;=$D$1),X45&gt;$D$2*-1,Y45&lt;$D$2,V45/U45&gt;=3),"Very serious", AND(W45&gt;$D$1*-1,W45&lt;$D$1,OR(X45&lt;=$D$2*-1,Y45&gt;=$D$2),V45/U45&gt;=3),"Very serious"),"")),"")</f>
        <v/>
      </c>
      <c r="AT45" s="109" t="str">
        <f t="shared" si="9"/>
        <v/>
      </c>
      <c r="AU45" s="64"/>
      <c r="AV45" s="117"/>
      <c r="AW45" s="117"/>
      <c r="AX45" s="117"/>
      <c r="AY45" s="118"/>
      <c r="AZ45" s="118"/>
      <c r="BA45" s="119"/>
      <c r="BB45" s="86" t="str">
        <f>IF(Preferences!B$9="Manual","",IFS(ISBLANK(B45),"",AND(ISNUMBER(E45)=TRUE,ISNUMBER(T45)=FALSE),"Direct", AND(ISNUMBER(E45)=FALSE,ISNUMBER(T45)=TRUE),"Indirect", CN45=4,"Direct",AND(CL45=FALSE, CM45=TRUE,CN45-CO45&gt;-1),"Direct", AND(CL45=FALSE,CM45=TRUE, CN45-CO45&lt;0),"Check algorithm in appendix 2", AND(CL45=TRUE, CM45=FALSE,CN45-CO45&gt;0),"Check algorithm in appendix 2", AND(CL45=TRUE, CM45=FALSE,CN45-CO45=0),"Indirect", AND(CL45=TRUE, CM45=FALSE,CN45-CO45&lt;0),"Indirect", AND(CL45=FALSE,CM45=FALSE,CN45-CO45&gt;-1),"Direct", AND(CL45=FALSE,CM45=FALSE,CN45-CO45&lt;0),"Check algorithm in appendix 2", AND(CL45=TRUE,CM45=TRUE,CN45-CO45&gt;-1),"Direct", AND(CL45=TRUE,CM45=TRUE,CN45-CO45&lt;0),"Check algorithm in appendix 2"))</f>
        <v/>
      </c>
      <c r="BC45" s="120" t="str">
        <f t="shared" si="10"/>
        <v/>
      </c>
      <c r="BD45" s="140"/>
      <c r="BE45" s="122" t="str">
        <f>IF(Preferences!B$3="Manual","", IFERROR(IFS(AND(Preferences!B$3="Automatic",AX45/AW45&gt;=30),"Extremely serious",AND(AY45&lt;=$D$1*-1,BA45&lt;0,AX45/AW45&lt;3),"Not Serious",AND(AY45&lt;=$D$1*-1,BA45&lt;0,AX45/AW45&gt;=3),"Very serious",AND(AY45&gt;=$D$1,AZ45&gt;0,AX45/AW45&lt;3),"Not Serious",AND(AY45&gt;=$D$1,AZ45&gt;0,AX45/AW45&gt;=3),"Very serious",AND(AY45&lt;=$D$1*-1,BA45&gt;0,AZ45&gt;$D$2*-1,AX45/AW45&lt;3),"Serious", AND(AY45&lt;=$D$1*-1,BA45&gt;0,AZ45&lt;$D$2*-1,AX45/AW45&lt;3),"Very serious", AND(AY45&gt;=$D$1,AZ45&lt;0,BA45&lt;$D$2,AX45/AW45&lt;3),"Serious",AND(AY45&gt;=$D$1,AZ45&lt;0,BA45&gt;$D$2,AX45/AW45&lt;3),"Very serious", AND(AY45&lt;=$D$1*-1,BA45&gt;0,AZ45&gt;$D$2*-1,AX45/AW45&gt;=3),"Very serious", AND(AY45&lt;=$D$1*-1,BA45&gt;0,AZ45&lt;$D$2*-1,AX45/AW45&gt;=3),"Very serious", AND(AY45&gt;=$D$1,AZ45&lt;0,BA45&lt;$D$2,AX45/AW45&gt;=3),"Very serious", AND(AY45&gt;=$D$1,AZ45&lt;0,BA45&gt;$D$2,AX45/AW45&gt;=3),"Very serious", AND(AY45&gt;$D$1*-1,AY45&lt;$D$1,AZ45&gt;$D$1*-1,BA45&lt;$D$1,AX45/AW45&lt;3),"Not Serious", AND(AY45&gt;$D$1*-1,AY45&lt;$D$1,OR(AZ45&lt;=$D$1*-1,BA45&gt;=$D$1),AZ45&gt;$D$2*-1,BA45&lt;$D$2,AX45/AW45&lt;3),"Serious", AND(AY45&gt;$D$1*-1,AY45&lt;$D$1,OR(AZ45&lt;=$D$2*-1,BA45&gt;=$D$2),AX45/AW45&lt;3),"Very serious", AND(AY45&gt;$D$1*-1,AY45&lt;$D$1,AZ45&gt;$D$1*-1,BA45&lt;$D$1,AX45/AW45&gt;=3),"Very serious", AND(AY45&gt;$D$1*-1,AY45&lt;$D$1,OR(AZ45&lt;=$D$1*-1,BA45&gt;=$D$1),AZ45&gt;$D$2*-1,BA45&lt;$D$2,AX45/AW45&gt;=3),"Very serious", AND(AY45&gt;$D$1*-1,AY45&lt;$D$1,OR(AZ45&lt;=$D$2*-1,BA45&gt;=$D$2),AX45/AW45&gt;=3),"Very serious"),""))</f>
        <v/>
      </c>
      <c r="BF45" s="107" t="str">
        <f t="shared" si="11"/>
        <v/>
      </c>
      <c r="BG45" s="94" t="str">
        <f t="shared" si="46"/>
        <v/>
      </c>
      <c r="BH45" s="64" t="str">
        <f t="shared" si="12"/>
        <v>#N/A</v>
      </c>
      <c r="BI45" s="64" t="str">
        <f t="shared" si="13"/>
        <v/>
      </c>
      <c r="BJ45" s="123" t="str">
        <f t="shared" si="14"/>
        <v>#N/A</v>
      </c>
      <c r="BK45" s="64" t="str">
        <f t="shared" si="50"/>
        <v>YES</v>
      </c>
      <c r="BL45" s="64" t="str">
        <f t="shared" si="16"/>
        <v>YES</v>
      </c>
      <c r="BM45" s="64" t="str">
        <f t="shared" si="17"/>
        <v>YES</v>
      </c>
      <c r="BN45" s="124" t="str">
        <f t="shared" si="18"/>
        <v/>
      </c>
      <c r="BO45" s="91" t="str">
        <f t="shared" si="19"/>
        <v/>
      </c>
      <c r="BP45" s="91" t="str">
        <f t="shared" si="20"/>
        <v>#N/A</v>
      </c>
      <c r="BQ45" s="91" t="str">
        <f t="shared" si="21"/>
        <v/>
      </c>
      <c r="BR45" s="93" t="str">
        <f t="shared" si="22"/>
        <v/>
      </c>
      <c r="BS45" s="90" t="str">
        <f t="shared" si="23"/>
        <v/>
      </c>
      <c r="BT45" s="93" t="str">
        <f t="shared" si="24"/>
        <v>NA</v>
      </c>
      <c r="BU45" s="125" t="str">
        <f t="shared" si="25"/>
        <v>#N/A</v>
      </c>
      <c r="BV45" s="93" t="str">
        <f t="shared" si="26"/>
        <v/>
      </c>
      <c r="BW45" s="93" t="str">
        <f t="shared" si="27"/>
        <v/>
      </c>
      <c r="BX45" s="93" t="str">
        <f t="shared" si="28"/>
        <v>NA</v>
      </c>
      <c r="BY45" s="95" t="str">
        <f t="shared" si="29"/>
        <v>#N/A</v>
      </c>
      <c r="BZ45" s="93" t="str">
        <f t="shared" si="30"/>
        <v/>
      </c>
      <c r="CA45" s="93" t="str">
        <f t="shared" si="31"/>
        <v/>
      </c>
      <c r="CB45" s="93" t="str">
        <f t="shared" si="32"/>
        <v>NA</v>
      </c>
      <c r="CC45" s="96" t="str">
        <f t="shared" si="33"/>
        <v>#N/A</v>
      </c>
      <c r="CD45" s="93" t="str">
        <f t="shared" si="34"/>
        <v/>
      </c>
      <c r="CE45" s="93" t="str">
        <f t="shared" si="35"/>
        <v/>
      </c>
      <c r="CF45" s="93" t="str">
        <f t="shared" si="36"/>
        <v>NA</v>
      </c>
      <c r="CG45" s="97" t="str">
        <f t="shared" si="37"/>
        <v>#N/A</v>
      </c>
      <c r="CH45" s="98" t="str">
        <f t="shared" si="38"/>
        <v>#N/A</v>
      </c>
      <c r="CI45" s="99" t="str">
        <f t="shared" si="39"/>
        <v>#N/A</v>
      </c>
      <c r="CJ45" s="126" t="str">
        <f t="shared" si="40"/>
        <v>ERROR: check cell</v>
      </c>
      <c r="CK45" s="126"/>
      <c r="CL45" s="127" t="str">
        <f t="shared" si="41"/>
        <v>#DIV/0!</v>
      </c>
      <c r="CM45" s="128" t="str">
        <f t="shared" si="42"/>
        <v>#DIV/0!</v>
      </c>
      <c r="CN45" s="128">
        <f t="shared" si="43"/>
        <v>4</v>
      </c>
      <c r="CO45" s="129">
        <f t="shared" si="44"/>
        <v>4</v>
      </c>
      <c r="CP45" s="129" t="str">
        <f>IFS(C45=Preferences!B$13,B45,B45=Preferences!B$13,C45)</f>
        <v>#N/A</v>
      </c>
    </row>
    <row r="46" ht="13.5" customHeight="1">
      <c r="A46" s="63" t="str">
        <f t="shared" si="45"/>
        <v/>
      </c>
      <c r="B46" s="64"/>
      <c r="C46" s="64"/>
      <c r="D46" s="64"/>
      <c r="E46" s="65"/>
      <c r="F46" s="65"/>
      <c r="G46" s="65"/>
      <c r="H46" s="65"/>
      <c r="I46" s="65"/>
      <c r="J46" s="141"/>
      <c r="K46" s="138"/>
      <c r="L46" s="133"/>
      <c r="M46" s="133"/>
      <c r="N46" s="133"/>
      <c r="O46" s="133"/>
      <c r="P46" s="107" t="str">
        <f t="shared" si="1"/>
        <v/>
      </c>
      <c r="Q46" s="108" t="str">
        <f>IFERROR(IF(AND(Preferences!B$3="Manual",OR(AX46/AW46&gt;G46/F46,BD46="Serious",BD46="Very serious")),"Assess imprecision",IFS(ISBLANK(E46),"",AND(Preferences!B$3="Automatic", G46/F46&gt;=30),"Extremely serious",AND(H46&lt;=$D$1*-1,J46&lt;0,G46/F46&lt;3),"Not serious",AND(H46&lt;=$D$1*-1,J46&lt;0,G46/F46&gt;=3),"Very serious",AND(H46&gt;=$D$1,I46&gt;0,G46/F46&lt;3),"Not serious",AND(H46&gt;=$D$1,I46&gt;0,G46/F46&gt;=3),"Very serious",AND(H46&lt;=$D$1*-1,J46&gt;0,I46&gt;$D$2*-1,G46/F46&lt;3),"Serious", AND(H46&lt;=$D$1*-1,J46&gt;0,I46&lt;$D$2*-1,G46/F46&lt;3),"Very serious", AND(H46&gt;=$D$1,I46&lt;0,J46&lt;$D$2,G46/F46&lt;3),"Serious",AND(H46&gt;=$D$1,I46&lt;0,J46&gt;$D$2,G46/F46&lt;3),"Very serious", AND(H46&lt;=$D$1*-1,J46&gt;0,I46&gt;$D$2*-1,G46/F46&gt;=3),"Very serious", AND(H46&lt;=$D$1*-1,J46&gt;0,I46&lt;$D$2*-1,G46/F46&gt;=3),"Very serious", AND(H46&gt;=$D$1,I46&lt;0,J46&lt;$D$2,G46/F46&gt;=3),"Very serious", AND(H46&gt;=$D$1,I46&lt;0,J46&gt;$D$2,G46/F46&gt;=3),"Very serious", AND(H46&gt;$D$1*-1,H46&lt;$D$1,I46&gt;$D$1*-1,J46&lt;$D$1,G46/F46&lt;3),"Not serious", AND(H46&gt;$D$1*-1,H46&lt;$D$1,OR(I46&lt;=$D$1*-1,J46&gt;=$D$1),I46&gt;$D$2*-1,J46&lt;$D$2,G46/F46&lt;3),"Serious", AND(H46&gt;$D$1*-1,H46&lt;$D$1,OR(I46&lt;=$D$2*-1,J46&gt;=$D$2),G46/F46&lt;3),"Very serious", AND(H46&gt;$D$1*-1,H46&lt;$D$1,I46&gt;$D$1*-1,J46&lt;$D$1,G46/F46&gt;=3),"Very serious", AND(H46&gt;$D$1*-1,H46&lt;$D$1,OR(I46&lt;=$D$1*-1,J46&gt;=$D$1),I46&gt;$D$2*-1,J46&lt;$D$2,G46/F46&gt;=3),"Very serious", AND(H46&gt;$D$1*-1,H46&lt;$D$1,OR(I46&lt;=$D$2*-1,J46&gt;=$D$2),G46/F46&gt;=3),"Very serious")),"")</f>
        <v/>
      </c>
      <c r="R46" s="109" t="str">
        <f t="shared" si="47"/>
        <v/>
      </c>
      <c r="S46" s="64"/>
      <c r="T46" s="144"/>
      <c r="U46" s="144"/>
      <c r="V46" s="144"/>
      <c r="W46" s="142"/>
      <c r="X46" s="142"/>
      <c r="Y46" s="143"/>
      <c r="Z46" s="113" t="str">
        <f t="array" ref="Z46">INDEX($A$1:$C$500, MATCH(1,($B:$B=$B46)*($C:$C=$AB46),0),1)</f>
        <v/>
      </c>
      <c r="AA46" s="113" t="str">
        <f t="array" ref="AA46">INDEX($A$1:$C$500, MATCH(1,($B:$B=$AB46)*($C:$C=$B46),0),1)</f>
        <v/>
      </c>
      <c r="AB46" s="111"/>
      <c r="AC46" s="114" t="str">
        <f t="shared" si="2"/>
        <v/>
      </c>
      <c r="AD46" s="115" t="str">
        <f t="shared" si="3"/>
        <v/>
      </c>
      <c r="AE46" s="116" t="str">
        <f t="array" ref="AE46">INDEX($A$1:$C$500, MATCH(1,($B:$B=$AB46)*($C:$C=$AG46),0),1)</f>
        <v/>
      </c>
      <c r="AF46" s="116" t="str">
        <f t="array" ref="AF46">INDEX($A$1:$C$500, MATCH(1,($B:$B=$AG46)*($C:$C=$AB46),0),1)</f>
        <v/>
      </c>
      <c r="AG46" s="72"/>
      <c r="AH46" s="114" t="str">
        <f t="shared" si="4"/>
        <v/>
      </c>
      <c r="AI46" s="115" t="str">
        <f t="shared" si="5"/>
        <v/>
      </c>
      <c r="AJ46" s="116" t="str">
        <f t="array" ref="AJ46">INDEX($A$1:$C$500, MATCH(1,($B:$B=$C46)*($C:$C=$AG46),0),1)</f>
        <v/>
      </c>
      <c r="AK46" s="116" t="str">
        <f t="array" ref="AK46">INDEX($A$1:$C$500, MATCH(1,($B:$B=$AG46)*($C:$C=$C46),0),1)</f>
        <v/>
      </c>
      <c r="AL46" s="116" t="str">
        <f t="array" ref="AL46">INDEX($A$1:$C$500, MATCH(1,($B:$B=$C46)*($C:$C=$AB46),0),1)</f>
        <v/>
      </c>
      <c r="AM46" s="116" t="str">
        <f t="array" ref="AM46">INDEX($A$1:$C$500, MATCH(1,($B:$B=$AB46)*($C:$C=$C46),0),1)</f>
        <v/>
      </c>
      <c r="AN46" s="114" t="str">
        <f t="array" ref="AN46">IFS(ISNUMBER(AJ46),AJ46,ISNUMBER(AK46),AK46,ISNUMBER(AL46),AL46,ISNUMBER(AM46),AM46)</f>
        <v>#N/A</v>
      </c>
      <c r="AO46" s="115" t="str">
        <f t="shared" si="6"/>
        <v/>
      </c>
      <c r="AP46" s="115" t="str">
        <f t="shared" si="7"/>
        <v/>
      </c>
      <c r="AQ46" s="72"/>
      <c r="AR46" s="109" t="str">
        <f t="shared" si="8"/>
        <v/>
      </c>
      <c r="AS46" s="72" t="str">
        <f>IFERROR(IF(AND(Preferences!B$3="Manual",OR(AX46/AW46&gt;V46/U46,BD46="Serious",BD46="Very serious")),"Assess imprecision",IFERROR(IFS(AND(Preferences!B$3="Automatic",V46/U46&gt;=30),"Extremely serious",AND(W46&lt;=$D$1*-1,Y46&lt;0,V46/U46&lt;3),"Not Serious",AND(W46&lt;=$D$1*-1,Y46&lt;0,V46/U46&gt;=3),"Very serious",AND(W46&gt;=$D$1,X46&gt;0,V46/U46&lt;3),"Not Serious",AND(W46&gt;=$D$1,X46&gt;0,V46/U46&gt;=3),"Very serious",AND(W46&lt;=$D$1*-1,Y46&gt;0,X46&gt;$D$2*-1,V46/U46&lt;3),"Serious", AND(W46&lt;=$D$1*-1,Y46&gt;0,X46&lt;$D$2*-1,V46/U46&lt;3),"Very serious", AND(W46&gt;=$D$1,X46&lt;0,Y46&lt;$D$2,V46/U46&lt;3),"Serious",AND(W46&gt;=$D$1,X46&lt;0,Y46&gt;$D$2,V46/U46&lt;3),"Very serious", AND(W46&lt;=$D$1*-1,Y46&gt;0,X46&gt;$D$2*-1,V46/U46&gt;=3),"Very serious", AND(W46&lt;=$D$1*-1,Y46&gt;0,X46&lt;$D$2*-1,V46/U46&gt;=3),"Very serious", AND(W46&gt;=$D$1,X46&lt;0,Y46&lt;$D$2,V46/U46&gt;=3),"Very serious", AND(W46&gt;=$D$1,X46&lt;0,Y46&gt;$D$2,V46/U46&gt;=3),"Very serious", AND(W46&gt;$D$1*-1,W46&lt;$D$1,X46&gt;$D$1*-1,Y46&lt;$D$1,V46/U46&lt;3),"Not Serious", AND(W46&gt;$D$1*-1,W46&lt;$D$1,OR(X46&lt;=$D$1*-1,Y46&gt;=$D$1),X46&gt;$D$2*-1,Y46&lt;$D$2,V46/U46&lt;3),"Serious", AND(W46&gt;$D$1*-1,W46&lt;$D$1,OR(X46&lt;=$D$2*-1,Y46&gt;=$D$2),V46/U46&lt;3),"Very serious", AND(W46&gt;$D$1*-1,W46&lt;$D$1,X46&gt;$D$1*-1,Y46&lt;$D$1,V46/U46&gt;=3),"Very serious", AND(W46&gt;$D$1*-1,W46&lt;$D$1,OR(X46&lt;=$D$1*-1,Y46&gt;=$D$1),X46&gt;$D$2*-1,Y46&lt;$D$2,V46/U46&gt;=3),"Very serious", AND(W46&gt;$D$1*-1,W46&lt;$D$1,OR(X46&lt;=$D$2*-1,Y46&gt;=$D$2),V46/U46&gt;=3),"Very serious"),"")),"")</f>
        <v/>
      </c>
      <c r="AT46" s="109" t="str">
        <f t="shared" si="9"/>
        <v/>
      </c>
      <c r="AU46" s="64"/>
      <c r="AV46" s="117"/>
      <c r="AW46" s="117"/>
      <c r="AX46" s="117"/>
      <c r="AY46" s="118"/>
      <c r="AZ46" s="118"/>
      <c r="BA46" s="119"/>
      <c r="BB46" s="86" t="str">
        <f>IF(Preferences!B$9="Manual","",IFS(ISBLANK(B46),"",AND(ISNUMBER(E46)=TRUE,ISNUMBER(T46)=FALSE),"Direct", AND(ISNUMBER(E46)=FALSE,ISNUMBER(T46)=TRUE),"Indirect", CN46=4,"Direct",AND(CL46=FALSE, CM46=TRUE,CN46-CO46&gt;-1),"Direct", AND(CL46=FALSE,CM46=TRUE, CN46-CO46&lt;0),"Check algorithm in appendix 2", AND(CL46=TRUE, CM46=FALSE,CN46-CO46&gt;0),"Check algorithm in appendix 2", AND(CL46=TRUE, CM46=FALSE,CN46-CO46=0),"Indirect", AND(CL46=TRUE, CM46=FALSE,CN46-CO46&lt;0),"Indirect", AND(CL46=FALSE,CM46=FALSE,CN46-CO46&gt;-1),"Direct", AND(CL46=FALSE,CM46=FALSE,CN46-CO46&lt;0),"Check algorithm in appendix 2", AND(CL46=TRUE,CM46=TRUE,CN46-CO46&gt;-1),"Direct", AND(CL46=TRUE,CM46=TRUE,CN46-CO46&lt;0),"Check algorithm in appendix 2"))</f>
        <v/>
      </c>
      <c r="BC46" s="120" t="str">
        <f t="shared" si="10"/>
        <v/>
      </c>
      <c r="BD46" s="140"/>
      <c r="BE46" s="122" t="str">
        <f>IF(Preferences!B$3="Manual","", IFERROR(IFS(AND(Preferences!B$3="Automatic",AX46/AW46&gt;=30),"Extremely serious",AND(AY46&lt;=$D$1*-1,BA46&lt;0,AX46/AW46&lt;3),"Not Serious",AND(AY46&lt;=$D$1*-1,BA46&lt;0,AX46/AW46&gt;=3),"Very serious",AND(AY46&gt;=$D$1,AZ46&gt;0,AX46/AW46&lt;3),"Not Serious",AND(AY46&gt;=$D$1,AZ46&gt;0,AX46/AW46&gt;=3),"Very serious",AND(AY46&lt;=$D$1*-1,BA46&gt;0,AZ46&gt;$D$2*-1,AX46/AW46&lt;3),"Serious", AND(AY46&lt;=$D$1*-1,BA46&gt;0,AZ46&lt;$D$2*-1,AX46/AW46&lt;3),"Very serious", AND(AY46&gt;=$D$1,AZ46&lt;0,BA46&lt;$D$2,AX46/AW46&lt;3),"Serious",AND(AY46&gt;=$D$1,AZ46&lt;0,BA46&gt;$D$2,AX46/AW46&lt;3),"Very serious", AND(AY46&lt;=$D$1*-1,BA46&gt;0,AZ46&gt;$D$2*-1,AX46/AW46&gt;=3),"Very serious", AND(AY46&lt;=$D$1*-1,BA46&gt;0,AZ46&lt;$D$2*-1,AX46/AW46&gt;=3),"Very serious", AND(AY46&gt;=$D$1,AZ46&lt;0,BA46&lt;$D$2,AX46/AW46&gt;=3),"Very serious", AND(AY46&gt;=$D$1,AZ46&lt;0,BA46&gt;$D$2,AX46/AW46&gt;=3),"Very serious", AND(AY46&gt;$D$1*-1,AY46&lt;$D$1,AZ46&gt;$D$1*-1,BA46&lt;$D$1,AX46/AW46&lt;3),"Not Serious", AND(AY46&gt;$D$1*-1,AY46&lt;$D$1,OR(AZ46&lt;=$D$1*-1,BA46&gt;=$D$1),AZ46&gt;$D$2*-1,BA46&lt;$D$2,AX46/AW46&lt;3),"Serious", AND(AY46&gt;$D$1*-1,AY46&lt;$D$1,OR(AZ46&lt;=$D$2*-1,BA46&gt;=$D$2),AX46/AW46&lt;3),"Very serious", AND(AY46&gt;$D$1*-1,AY46&lt;$D$1,AZ46&gt;$D$1*-1,BA46&lt;$D$1,AX46/AW46&gt;=3),"Very serious", AND(AY46&gt;$D$1*-1,AY46&lt;$D$1,OR(AZ46&lt;=$D$1*-1,BA46&gt;=$D$1),AZ46&gt;$D$2*-1,BA46&lt;$D$2,AX46/AW46&gt;=3),"Very serious", AND(AY46&gt;$D$1*-1,AY46&lt;$D$1,OR(AZ46&lt;=$D$2*-1,BA46&gt;=$D$2),AX46/AW46&gt;=3),"Very serious"),""))</f>
        <v/>
      </c>
      <c r="BF46" s="107" t="str">
        <f t="shared" si="11"/>
        <v/>
      </c>
      <c r="BG46" s="94" t="str">
        <f t="shared" si="46"/>
        <v/>
      </c>
      <c r="BH46" s="64" t="str">
        <f t="shared" si="12"/>
        <v>#N/A</v>
      </c>
      <c r="BI46" s="64" t="str">
        <f t="shared" si="13"/>
        <v/>
      </c>
      <c r="BJ46" s="123" t="str">
        <f t="shared" si="14"/>
        <v>#N/A</v>
      </c>
      <c r="BK46" s="64" t="str">
        <f t="shared" si="50"/>
        <v>YES</v>
      </c>
      <c r="BL46" s="64" t="str">
        <f t="shared" si="16"/>
        <v>YES</v>
      </c>
      <c r="BM46" s="64" t="str">
        <f t="shared" si="17"/>
        <v>YES</v>
      </c>
      <c r="BN46" s="124" t="str">
        <f t="shared" si="18"/>
        <v/>
      </c>
      <c r="BO46" s="91" t="str">
        <f t="shared" si="19"/>
        <v/>
      </c>
      <c r="BP46" s="91" t="str">
        <f t="shared" si="20"/>
        <v>#N/A</v>
      </c>
      <c r="BQ46" s="91" t="str">
        <f t="shared" si="21"/>
        <v/>
      </c>
      <c r="BR46" s="93" t="str">
        <f t="shared" si="22"/>
        <v/>
      </c>
      <c r="BS46" s="90" t="str">
        <f t="shared" si="23"/>
        <v/>
      </c>
      <c r="BT46" s="93" t="str">
        <f t="shared" si="24"/>
        <v>NA</v>
      </c>
      <c r="BU46" s="125" t="str">
        <f t="shared" si="25"/>
        <v>#N/A</v>
      </c>
      <c r="BV46" s="93" t="str">
        <f t="shared" si="26"/>
        <v/>
      </c>
      <c r="BW46" s="93" t="str">
        <f t="shared" si="27"/>
        <v/>
      </c>
      <c r="BX46" s="93" t="str">
        <f t="shared" si="28"/>
        <v>NA</v>
      </c>
      <c r="BY46" s="95" t="str">
        <f t="shared" si="29"/>
        <v>#N/A</v>
      </c>
      <c r="BZ46" s="93" t="str">
        <f t="shared" si="30"/>
        <v/>
      </c>
      <c r="CA46" s="93" t="str">
        <f t="shared" si="31"/>
        <v/>
      </c>
      <c r="CB46" s="93" t="str">
        <f t="shared" si="32"/>
        <v>NA</v>
      </c>
      <c r="CC46" s="96" t="str">
        <f t="shared" si="33"/>
        <v>#N/A</v>
      </c>
      <c r="CD46" s="93" t="str">
        <f t="shared" si="34"/>
        <v/>
      </c>
      <c r="CE46" s="93" t="str">
        <f t="shared" si="35"/>
        <v/>
      </c>
      <c r="CF46" s="93" t="str">
        <f t="shared" si="36"/>
        <v>NA</v>
      </c>
      <c r="CG46" s="97" t="str">
        <f t="shared" si="37"/>
        <v>#N/A</v>
      </c>
      <c r="CH46" s="98" t="str">
        <f t="shared" si="38"/>
        <v>#N/A</v>
      </c>
      <c r="CI46" s="99" t="str">
        <f t="shared" si="39"/>
        <v>#N/A</v>
      </c>
      <c r="CJ46" s="126" t="str">
        <f t="shared" si="40"/>
        <v>ERROR: check cell</v>
      </c>
      <c r="CK46" s="126"/>
      <c r="CL46" s="127" t="str">
        <f t="shared" si="41"/>
        <v>#DIV/0!</v>
      </c>
      <c r="CM46" s="128" t="str">
        <f t="shared" si="42"/>
        <v>#DIV/0!</v>
      </c>
      <c r="CN46" s="128">
        <f t="shared" si="43"/>
        <v>4</v>
      </c>
      <c r="CO46" s="129">
        <f t="shared" si="44"/>
        <v>4</v>
      </c>
      <c r="CP46" s="129" t="str">
        <f>IFS(C46=Preferences!B$13,B46,B46=Preferences!B$13,C46)</f>
        <v>#N/A</v>
      </c>
    </row>
    <row r="47" ht="13.5" customHeight="1">
      <c r="A47" s="63" t="str">
        <f t="shared" si="45"/>
        <v/>
      </c>
      <c r="B47" s="64"/>
      <c r="C47" s="64"/>
      <c r="D47" s="64"/>
      <c r="E47" s="65"/>
      <c r="F47" s="65"/>
      <c r="G47" s="65"/>
      <c r="H47" s="65"/>
      <c r="I47" s="65"/>
      <c r="J47" s="141"/>
      <c r="K47" s="138"/>
      <c r="L47" s="104"/>
      <c r="M47" s="104"/>
      <c r="N47" s="104"/>
      <c r="O47" s="104"/>
      <c r="P47" s="107" t="str">
        <f t="shared" si="1"/>
        <v/>
      </c>
      <c r="Q47" s="108" t="str">
        <f>IFERROR(IF(AND(Preferences!B$3="Manual",OR(AX47/AW47&gt;G47/F47,BD47="Serious",BD47="Very serious")),"Assess imprecision",IFS(ISBLANK(E47),"",AND(Preferences!B$3="Automatic", G47/F47&gt;=30),"Extremely serious",AND(H47&lt;=$D$1*-1,J47&lt;0,G47/F47&lt;3),"Not serious",AND(H47&lt;=$D$1*-1,J47&lt;0,G47/F47&gt;=3),"Very serious",AND(H47&gt;=$D$1,I47&gt;0,G47/F47&lt;3),"Not serious",AND(H47&gt;=$D$1,I47&gt;0,G47/F47&gt;=3),"Very serious",AND(H47&lt;=$D$1*-1,J47&gt;0,I47&gt;$D$2*-1,G47/F47&lt;3),"Serious", AND(H47&lt;=$D$1*-1,J47&gt;0,I47&lt;$D$2*-1,G47/F47&lt;3),"Very serious", AND(H47&gt;=$D$1,I47&lt;0,J47&lt;$D$2,G47/F47&lt;3),"Serious",AND(H47&gt;=$D$1,I47&lt;0,J47&gt;$D$2,G47/F47&lt;3),"Very serious", AND(H47&lt;=$D$1*-1,J47&gt;0,I47&gt;$D$2*-1,G47/F47&gt;=3),"Very serious", AND(H47&lt;=$D$1*-1,J47&gt;0,I47&lt;$D$2*-1,G47/F47&gt;=3),"Very serious", AND(H47&gt;=$D$1,I47&lt;0,J47&lt;$D$2,G47/F47&gt;=3),"Very serious", AND(H47&gt;=$D$1,I47&lt;0,J47&gt;$D$2,G47/F47&gt;=3),"Very serious", AND(H47&gt;$D$1*-1,H47&lt;$D$1,I47&gt;$D$1*-1,J47&lt;$D$1,G47/F47&lt;3),"Not serious", AND(H47&gt;$D$1*-1,H47&lt;$D$1,OR(I47&lt;=$D$1*-1,J47&gt;=$D$1),I47&gt;$D$2*-1,J47&lt;$D$2,G47/F47&lt;3),"Serious", AND(H47&gt;$D$1*-1,H47&lt;$D$1,OR(I47&lt;=$D$2*-1,J47&gt;=$D$2),G47/F47&lt;3),"Very serious", AND(H47&gt;$D$1*-1,H47&lt;$D$1,I47&gt;$D$1*-1,J47&lt;$D$1,G47/F47&gt;=3),"Very serious", AND(H47&gt;$D$1*-1,H47&lt;$D$1,OR(I47&lt;=$D$1*-1,J47&gt;=$D$1),I47&gt;$D$2*-1,J47&lt;$D$2,G47/F47&gt;=3),"Very serious", AND(H47&gt;$D$1*-1,H47&lt;$D$1,OR(I47&lt;=$D$2*-1,J47&gt;=$D$2),G47/F47&gt;=3),"Very serious")),"")</f>
        <v/>
      </c>
      <c r="R47" s="109" t="str">
        <f t="shared" si="47"/>
        <v/>
      </c>
      <c r="S47" s="64"/>
      <c r="T47" s="144"/>
      <c r="U47" s="144"/>
      <c r="V47" s="144"/>
      <c r="W47" s="142"/>
      <c r="X47" s="142"/>
      <c r="Y47" s="143"/>
      <c r="Z47" s="113" t="str">
        <f t="array" ref="Z47">INDEX($A$1:$C$500, MATCH(1,($B:$B=$B47)*($C:$C=$AB47),0),1)</f>
        <v/>
      </c>
      <c r="AA47" s="113" t="str">
        <f t="array" ref="AA47">INDEX($A$1:$C$500, MATCH(1,($B:$B=$AB47)*($C:$C=$B47),0),1)</f>
        <v/>
      </c>
      <c r="AB47" s="111"/>
      <c r="AC47" s="114" t="str">
        <f t="shared" si="2"/>
        <v/>
      </c>
      <c r="AD47" s="115" t="str">
        <f t="shared" si="3"/>
        <v/>
      </c>
      <c r="AE47" s="116" t="str">
        <f t="array" ref="AE47">INDEX($A$1:$C$500, MATCH(1,($B:$B=$AB47)*($C:$C=$AG47),0),1)</f>
        <v/>
      </c>
      <c r="AF47" s="116" t="str">
        <f t="array" ref="AF47">INDEX($A$1:$C$500, MATCH(1,($B:$B=$AG47)*($C:$C=$AB47),0),1)</f>
        <v/>
      </c>
      <c r="AG47" s="72"/>
      <c r="AH47" s="114" t="str">
        <f t="shared" si="4"/>
        <v/>
      </c>
      <c r="AI47" s="115" t="str">
        <f t="shared" si="5"/>
        <v/>
      </c>
      <c r="AJ47" s="116" t="str">
        <f t="array" ref="AJ47">INDEX($A$1:$C$500, MATCH(1,($B:$B=$C47)*($C:$C=$AG47),0),1)</f>
        <v/>
      </c>
      <c r="AK47" s="116" t="str">
        <f t="array" ref="AK47">INDEX($A$1:$C$500, MATCH(1,($B:$B=$AG47)*($C:$C=$C47),0),1)</f>
        <v/>
      </c>
      <c r="AL47" s="116" t="str">
        <f t="array" ref="AL47">INDEX($A$1:$C$500, MATCH(1,($B:$B=$C47)*($C:$C=$AB47),0),1)</f>
        <v/>
      </c>
      <c r="AM47" s="116" t="str">
        <f t="array" ref="AM47">INDEX($A$1:$C$500, MATCH(1,($B:$B=$AB47)*($C:$C=$C47),0),1)</f>
        <v/>
      </c>
      <c r="AN47" s="114" t="str">
        <f t="array" ref="AN47">IFS(ISNUMBER(AJ47),AJ47,ISNUMBER(AK47),AK47,ISNUMBER(AL47),AL47,ISNUMBER(AM47),AM47)</f>
        <v>#N/A</v>
      </c>
      <c r="AO47" s="115" t="str">
        <f t="shared" si="6"/>
        <v/>
      </c>
      <c r="AP47" s="115" t="str">
        <f t="shared" si="7"/>
        <v/>
      </c>
      <c r="AQ47" s="72"/>
      <c r="AR47" s="109" t="str">
        <f t="shared" si="8"/>
        <v/>
      </c>
      <c r="AS47" s="72" t="str">
        <f>IFERROR(IF(AND(Preferences!B$3="Manual",OR(AX47/AW47&gt;V47/U47,BD47="Serious",BD47="Very serious")),"Assess imprecision",IFERROR(IFS(AND(Preferences!B$3="Automatic",V47/U47&gt;=30),"Extremely serious",AND(W47&lt;=$D$1*-1,Y47&lt;0,V47/U47&lt;3),"Not Serious",AND(W47&lt;=$D$1*-1,Y47&lt;0,V47/U47&gt;=3),"Very serious",AND(W47&gt;=$D$1,X47&gt;0,V47/U47&lt;3),"Not Serious",AND(W47&gt;=$D$1,X47&gt;0,V47/U47&gt;=3),"Very serious",AND(W47&lt;=$D$1*-1,Y47&gt;0,X47&gt;$D$2*-1,V47/U47&lt;3),"Serious", AND(W47&lt;=$D$1*-1,Y47&gt;0,X47&lt;$D$2*-1,V47/U47&lt;3),"Very serious", AND(W47&gt;=$D$1,X47&lt;0,Y47&lt;$D$2,V47/U47&lt;3),"Serious",AND(W47&gt;=$D$1,X47&lt;0,Y47&gt;$D$2,V47/U47&lt;3),"Very serious", AND(W47&lt;=$D$1*-1,Y47&gt;0,X47&gt;$D$2*-1,V47/U47&gt;=3),"Very serious", AND(W47&lt;=$D$1*-1,Y47&gt;0,X47&lt;$D$2*-1,V47/U47&gt;=3),"Very serious", AND(W47&gt;=$D$1,X47&lt;0,Y47&lt;$D$2,V47/U47&gt;=3),"Very serious", AND(W47&gt;=$D$1,X47&lt;0,Y47&gt;$D$2,V47/U47&gt;=3),"Very serious", AND(W47&gt;$D$1*-1,W47&lt;$D$1,X47&gt;$D$1*-1,Y47&lt;$D$1,V47/U47&lt;3),"Not Serious", AND(W47&gt;$D$1*-1,W47&lt;$D$1,OR(X47&lt;=$D$1*-1,Y47&gt;=$D$1),X47&gt;$D$2*-1,Y47&lt;$D$2,V47/U47&lt;3),"Serious", AND(W47&gt;$D$1*-1,W47&lt;$D$1,OR(X47&lt;=$D$2*-1,Y47&gt;=$D$2),V47/U47&lt;3),"Very serious", AND(W47&gt;$D$1*-1,W47&lt;$D$1,X47&gt;$D$1*-1,Y47&lt;$D$1,V47/U47&gt;=3),"Very serious", AND(W47&gt;$D$1*-1,W47&lt;$D$1,OR(X47&lt;=$D$1*-1,Y47&gt;=$D$1),X47&gt;$D$2*-1,Y47&lt;$D$2,V47/U47&gt;=3),"Very serious", AND(W47&gt;$D$1*-1,W47&lt;$D$1,OR(X47&lt;=$D$2*-1,Y47&gt;=$D$2),V47/U47&gt;=3),"Very serious"),"")),"")</f>
        <v/>
      </c>
      <c r="AT47" s="109" t="str">
        <f t="shared" si="9"/>
        <v/>
      </c>
      <c r="AU47" s="64"/>
      <c r="AV47" s="117"/>
      <c r="AW47" s="117"/>
      <c r="AX47" s="117"/>
      <c r="AY47" s="118"/>
      <c r="AZ47" s="118"/>
      <c r="BA47" s="119"/>
      <c r="BB47" s="86" t="str">
        <f>IF(Preferences!B$9="Manual","",IFS(ISBLANK(B47),"",AND(ISNUMBER(E47)=TRUE,ISNUMBER(T47)=FALSE),"Direct", AND(ISNUMBER(E47)=FALSE,ISNUMBER(T47)=TRUE),"Indirect", CN47=4,"Direct",AND(CL47=FALSE, CM47=TRUE,CN47-CO47&gt;-1),"Direct", AND(CL47=FALSE,CM47=TRUE, CN47-CO47&lt;0),"Check algorithm in appendix 2", AND(CL47=TRUE, CM47=FALSE,CN47-CO47&gt;0),"Check algorithm in appendix 2", AND(CL47=TRUE, CM47=FALSE,CN47-CO47=0),"Indirect", AND(CL47=TRUE, CM47=FALSE,CN47-CO47&lt;0),"Indirect", AND(CL47=FALSE,CM47=FALSE,CN47-CO47&gt;-1),"Direct", AND(CL47=FALSE,CM47=FALSE,CN47-CO47&lt;0),"Check algorithm in appendix 2", AND(CL47=TRUE,CM47=TRUE,CN47-CO47&gt;-1),"Direct", AND(CL47=TRUE,CM47=TRUE,CN47-CO47&lt;0),"Check algorithm in appendix 2"))</f>
        <v/>
      </c>
      <c r="BC47" s="120" t="str">
        <f t="shared" si="10"/>
        <v/>
      </c>
      <c r="BD47" s="140"/>
      <c r="BE47" s="122" t="str">
        <f>IF(Preferences!B$3="Manual","", IFERROR(IFS(AND(Preferences!B$3="Automatic",AX47/AW47&gt;=30),"Extremely serious",AND(AY47&lt;=$D$1*-1,BA47&lt;0,AX47/AW47&lt;3),"Not Serious",AND(AY47&lt;=$D$1*-1,BA47&lt;0,AX47/AW47&gt;=3),"Very serious",AND(AY47&gt;=$D$1,AZ47&gt;0,AX47/AW47&lt;3),"Not Serious",AND(AY47&gt;=$D$1,AZ47&gt;0,AX47/AW47&gt;=3),"Very serious",AND(AY47&lt;=$D$1*-1,BA47&gt;0,AZ47&gt;$D$2*-1,AX47/AW47&lt;3),"Serious", AND(AY47&lt;=$D$1*-1,BA47&gt;0,AZ47&lt;$D$2*-1,AX47/AW47&lt;3),"Very serious", AND(AY47&gt;=$D$1,AZ47&lt;0,BA47&lt;$D$2,AX47/AW47&lt;3),"Serious",AND(AY47&gt;=$D$1,AZ47&lt;0,BA47&gt;$D$2,AX47/AW47&lt;3),"Very serious", AND(AY47&lt;=$D$1*-1,BA47&gt;0,AZ47&gt;$D$2*-1,AX47/AW47&gt;=3),"Very serious", AND(AY47&lt;=$D$1*-1,BA47&gt;0,AZ47&lt;$D$2*-1,AX47/AW47&gt;=3),"Very serious", AND(AY47&gt;=$D$1,AZ47&lt;0,BA47&lt;$D$2,AX47/AW47&gt;=3),"Very serious", AND(AY47&gt;=$D$1,AZ47&lt;0,BA47&gt;$D$2,AX47/AW47&gt;=3),"Very serious", AND(AY47&gt;$D$1*-1,AY47&lt;$D$1,AZ47&gt;$D$1*-1,BA47&lt;$D$1,AX47/AW47&lt;3),"Not Serious", AND(AY47&gt;$D$1*-1,AY47&lt;$D$1,OR(AZ47&lt;=$D$1*-1,BA47&gt;=$D$1),AZ47&gt;$D$2*-1,BA47&lt;$D$2,AX47/AW47&lt;3),"Serious", AND(AY47&gt;$D$1*-1,AY47&lt;$D$1,OR(AZ47&lt;=$D$2*-1,BA47&gt;=$D$2),AX47/AW47&lt;3),"Very serious", AND(AY47&gt;$D$1*-1,AY47&lt;$D$1,AZ47&gt;$D$1*-1,BA47&lt;$D$1,AX47/AW47&gt;=3),"Very serious", AND(AY47&gt;$D$1*-1,AY47&lt;$D$1,OR(AZ47&lt;=$D$1*-1,BA47&gt;=$D$1),AZ47&gt;$D$2*-1,BA47&lt;$D$2,AX47/AW47&gt;=3),"Very serious", AND(AY47&gt;$D$1*-1,AY47&lt;$D$1,OR(AZ47&lt;=$D$2*-1,BA47&gt;=$D$2),AX47/AW47&gt;=3),"Very serious"),""))</f>
        <v/>
      </c>
      <c r="BF47" s="107" t="str">
        <f t="shared" si="11"/>
        <v/>
      </c>
      <c r="BG47" s="94" t="str">
        <f t="shared" si="46"/>
        <v/>
      </c>
      <c r="BH47" s="64" t="str">
        <f t="shared" si="12"/>
        <v>#N/A</v>
      </c>
      <c r="BI47" s="64" t="str">
        <f t="shared" si="13"/>
        <v/>
      </c>
      <c r="BJ47" s="123" t="str">
        <f t="shared" si="14"/>
        <v>#N/A</v>
      </c>
      <c r="BK47" s="64" t="str">
        <f t="shared" si="50"/>
        <v>YES</v>
      </c>
      <c r="BL47" s="64" t="str">
        <f t="shared" si="16"/>
        <v>YES</v>
      </c>
      <c r="BM47" s="64" t="str">
        <f t="shared" si="17"/>
        <v>YES</v>
      </c>
      <c r="BN47" s="124" t="str">
        <f t="shared" si="18"/>
        <v/>
      </c>
      <c r="BO47" s="91" t="str">
        <f t="shared" si="19"/>
        <v/>
      </c>
      <c r="BP47" s="91" t="str">
        <f t="shared" si="20"/>
        <v>#N/A</v>
      </c>
      <c r="BQ47" s="91" t="str">
        <f t="shared" si="21"/>
        <v/>
      </c>
      <c r="BR47" s="93" t="str">
        <f t="shared" si="22"/>
        <v/>
      </c>
      <c r="BS47" s="90" t="str">
        <f t="shared" si="23"/>
        <v/>
      </c>
      <c r="BT47" s="93" t="str">
        <f t="shared" si="24"/>
        <v>NA</v>
      </c>
      <c r="BU47" s="125" t="str">
        <f t="shared" si="25"/>
        <v>#N/A</v>
      </c>
      <c r="BV47" s="93" t="str">
        <f t="shared" si="26"/>
        <v/>
      </c>
      <c r="BW47" s="93" t="str">
        <f t="shared" si="27"/>
        <v/>
      </c>
      <c r="BX47" s="93" t="str">
        <f t="shared" si="28"/>
        <v>NA</v>
      </c>
      <c r="BY47" s="95" t="str">
        <f t="shared" si="29"/>
        <v>#N/A</v>
      </c>
      <c r="BZ47" s="93" t="str">
        <f t="shared" si="30"/>
        <v/>
      </c>
      <c r="CA47" s="93" t="str">
        <f t="shared" si="31"/>
        <v/>
      </c>
      <c r="CB47" s="93" t="str">
        <f t="shared" si="32"/>
        <v>NA</v>
      </c>
      <c r="CC47" s="96" t="str">
        <f t="shared" si="33"/>
        <v>#N/A</v>
      </c>
      <c r="CD47" s="93" t="str">
        <f t="shared" si="34"/>
        <v/>
      </c>
      <c r="CE47" s="93" t="str">
        <f t="shared" si="35"/>
        <v/>
      </c>
      <c r="CF47" s="93" t="str">
        <f t="shared" si="36"/>
        <v>NA</v>
      </c>
      <c r="CG47" s="97" t="str">
        <f t="shared" si="37"/>
        <v>#N/A</v>
      </c>
      <c r="CH47" s="98" t="str">
        <f t="shared" si="38"/>
        <v>#N/A</v>
      </c>
      <c r="CI47" s="99" t="str">
        <f t="shared" si="39"/>
        <v>#N/A</v>
      </c>
      <c r="CJ47" s="126" t="str">
        <f t="shared" si="40"/>
        <v>ERROR: check cell</v>
      </c>
      <c r="CK47" s="126"/>
      <c r="CL47" s="127" t="str">
        <f t="shared" si="41"/>
        <v>#DIV/0!</v>
      </c>
      <c r="CM47" s="128" t="str">
        <f t="shared" si="42"/>
        <v>#DIV/0!</v>
      </c>
      <c r="CN47" s="128">
        <f t="shared" si="43"/>
        <v>4</v>
      </c>
      <c r="CO47" s="129">
        <f t="shared" si="44"/>
        <v>4</v>
      </c>
      <c r="CP47" s="129" t="str">
        <f>IFS(C47=Preferences!B$13,B47,B47=Preferences!B$13,C47)</f>
        <v>#N/A</v>
      </c>
    </row>
    <row r="48" ht="13.5" customHeight="1">
      <c r="A48" s="63" t="str">
        <f t="shared" si="45"/>
        <v/>
      </c>
      <c r="B48" s="64"/>
      <c r="C48" s="64"/>
      <c r="D48" s="64"/>
      <c r="E48" s="65"/>
      <c r="F48" s="65"/>
      <c r="G48" s="65"/>
      <c r="H48" s="65"/>
      <c r="I48" s="65"/>
      <c r="J48" s="141"/>
      <c r="K48" s="138"/>
      <c r="L48" s="104"/>
      <c r="M48" s="104"/>
      <c r="N48" s="104"/>
      <c r="O48" s="104"/>
      <c r="P48" s="107" t="str">
        <f t="shared" si="1"/>
        <v/>
      </c>
      <c r="Q48" s="108" t="str">
        <f>IFERROR(IF(AND(Preferences!B$3="Manual",OR(AX48/AW48&gt;G48/F48,BD48="Serious",BD48="Very serious")),"Assess imprecision",IFS(ISBLANK(E48),"",AND(Preferences!B$3="Automatic", G48/F48&gt;=30),"Extremely serious",AND(H48&lt;=$D$1*-1,J48&lt;0,G48/F48&lt;3),"Not serious",AND(H48&lt;=$D$1*-1,J48&lt;0,G48/F48&gt;=3),"Very serious",AND(H48&gt;=$D$1,I48&gt;0,G48/F48&lt;3),"Not serious",AND(H48&gt;=$D$1,I48&gt;0,G48/F48&gt;=3),"Very serious",AND(H48&lt;=$D$1*-1,J48&gt;0,I48&gt;$D$2*-1,G48/F48&lt;3),"Serious", AND(H48&lt;=$D$1*-1,J48&gt;0,I48&lt;$D$2*-1,G48/F48&lt;3),"Very serious", AND(H48&gt;=$D$1,I48&lt;0,J48&lt;$D$2,G48/F48&lt;3),"Serious",AND(H48&gt;=$D$1,I48&lt;0,J48&gt;$D$2,G48/F48&lt;3),"Very serious", AND(H48&lt;=$D$1*-1,J48&gt;0,I48&gt;$D$2*-1,G48/F48&gt;=3),"Very serious", AND(H48&lt;=$D$1*-1,J48&gt;0,I48&lt;$D$2*-1,G48/F48&gt;=3),"Very serious", AND(H48&gt;=$D$1,I48&lt;0,J48&lt;$D$2,G48/F48&gt;=3),"Very serious", AND(H48&gt;=$D$1,I48&lt;0,J48&gt;$D$2,G48/F48&gt;=3),"Very serious", AND(H48&gt;$D$1*-1,H48&lt;$D$1,I48&gt;$D$1*-1,J48&lt;$D$1,G48/F48&lt;3),"Not serious", AND(H48&gt;$D$1*-1,H48&lt;$D$1,OR(I48&lt;=$D$1*-1,J48&gt;=$D$1),I48&gt;$D$2*-1,J48&lt;$D$2,G48/F48&lt;3),"Serious", AND(H48&gt;$D$1*-1,H48&lt;$D$1,OR(I48&lt;=$D$2*-1,J48&gt;=$D$2),G48/F48&lt;3),"Very serious", AND(H48&gt;$D$1*-1,H48&lt;$D$1,I48&gt;$D$1*-1,J48&lt;$D$1,G48/F48&gt;=3),"Very serious", AND(H48&gt;$D$1*-1,H48&lt;$D$1,OR(I48&lt;=$D$1*-1,J48&gt;=$D$1),I48&gt;$D$2*-1,J48&lt;$D$2,G48/F48&gt;=3),"Very serious", AND(H48&gt;$D$1*-1,H48&lt;$D$1,OR(I48&lt;=$D$2*-1,J48&gt;=$D$2),G48/F48&gt;=3),"Very serious")),"")</f>
        <v/>
      </c>
      <c r="R48" s="109" t="str">
        <f t="shared" si="47"/>
        <v/>
      </c>
      <c r="S48" s="64"/>
      <c r="T48" s="144"/>
      <c r="U48" s="144"/>
      <c r="V48" s="144"/>
      <c r="W48" s="142"/>
      <c r="X48" s="142"/>
      <c r="Y48" s="143"/>
      <c r="Z48" s="113" t="str">
        <f t="array" ref="Z48">INDEX($A$1:$C$500, MATCH(1,($B:$B=$B48)*($C:$C=$AB48),0),1)</f>
        <v/>
      </c>
      <c r="AA48" s="113" t="str">
        <f t="array" ref="AA48">INDEX($A$1:$C$500, MATCH(1,($B:$B=$AB48)*($C:$C=$B48),0),1)</f>
        <v/>
      </c>
      <c r="AB48" s="111"/>
      <c r="AC48" s="114" t="str">
        <f t="shared" si="2"/>
        <v/>
      </c>
      <c r="AD48" s="115" t="str">
        <f t="shared" si="3"/>
        <v/>
      </c>
      <c r="AE48" s="116" t="str">
        <f t="array" ref="AE48">INDEX($A$1:$C$500, MATCH(1,($B:$B=$AB48)*($C:$C=$AG48),0),1)</f>
        <v/>
      </c>
      <c r="AF48" s="116" t="str">
        <f t="array" ref="AF48">INDEX($A$1:$C$500, MATCH(1,($B:$B=$AG48)*($C:$C=$AB48),0),1)</f>
        <v/>
      </c>
      <c r="AG48" s="72"/>
      <c r="AH48" s="114" t="str">
        <f t="shared" si="4"/>
        <v/>
      </c>
      <c r="AI48" s="115" t="str">
        <f t="shared" si="5"/>
        <v/>
      </c>
      <c r="AJ48" s="116" t="str">
        <f t="array" ref="AJ48">INDEX($A$1:$C$500, MATCH(1,($B:$B=$C48)*($C:$C=$AG48),0),1)</f>
        <v/>
      </c>
      <c r="AK48" s="116" t="str">
        <f t="array" ref="AK48">INDEX($A$1:$C$500, MATCH(1,($B:$B=$AG48)*($C:$C=$C48),0),1)</f>
        <v/>
      </c>
      <c r="AL48" s="116" t="str">
        <f t="array" ref="AL48">INDEX($A$1:$C$500, MATCH(1,($B:$B=$C48)*($C:$C=$AB48),0),1)</f>
        <v/>
      </c>
      <c r="AM48" s="116" t="str">
        <f t="array" ref="AM48">INDEX($A$1:$C$500, MATCH(1,($B:$B=$AB48)*($C:$C=$C48),0),1)</f>
        <v/>
      </c>
      <c r="AN48" s="114" t="str">
        <f t="array" ref="AN48">IFS(ISNUMBER(AJ48),AJ48,ISNUMBER(AK48),AK48,ISNUMBER(AL48),AL48,ISNUMBER(AM48),AM48)</f>
        <v>#N/A</v>
      </c>
      <c r="AO48" s="115" t="str">
        <f t="shared" si="6"/>
        <v/>
      </c>
      <c r="AP48" s="115" t="str">
        <f t="shared" si="7"/>
        <v/>
      </c>
      <c r="AQ48" s="72"/>
      <c r="AR48" s="109" t="str">
        <f t="shared" si="8"/>
        <v/>
      </c>
      <c r="AS48" s="72" t="str">
        <f>IFERROR(IF(AND(Preferences!B$3="Manual",OR(AX48/AW48&gt;V48/U48,BD48="Serious",BD48="Very serious")),"Assess imprecision",IFERROR(IFS(AND(Preferences!B$3="Automatic",V48/U48&gt;=30),"Extremely serious",AND(W48&lt;=$D$1*-1,Y48&lt;0,V48/U48&lt;3),"Not Serious",AND(W48&lt;=$D$1*-1,Y48&lt;0,V48/U48&gt;=3),"Very serious",AND(W48&gt;=$D$1,X48&gt;0,V48/U48&lt;3),"Not Serious",AND(W48&gt;=$D$1,X48&gt;0,V48/U48&gt;=3),"Very serious",AND(W48&lt;=$D$1*-1,Y48&gt;0,X48&gt;$D$2*-1,V48/U48&lt;3),"Serious", AND(W48&lt;=$D$1*-1,Y48&gt;0,X48&lt;$D$2*-1,V48/U48&lt;3),"Very serious", AND(W48&gt;=$D$1,X48&lt;0,Y48&lt;$D$2,V48/U48&lt;3),"Serious",AND(W48&gt;=$D$1,X48&lt;0,Y48&gt;$D$2,V48/U48&lt;3),"Very serious", AND(W48&lt;=$D$1*-1,Y48&gt;0,X48&gt;$D$2*-1,V48/U48&gt;=3),"Very serious", AND(W48&lt;=$D$1*-1,Y48&gt;0,X48&lt;$D$2*-1,V48/U48&gt;=3),"Very serious", AND(W48&gt;=$D$1,X48&lt;0,Y48&lt;$D$2,V48/U48&gt;=3),"Very serious", AND(W48&gt;=$D$1,X48&lt;0,Y48&gt;$D$2,V48/U48&gt;=3),"Very serious", AND(W48&gt;$D$1*-1,W48&lt;$D$1,X48&gt;$D$1*-1,Y48&lt;$D$1,V48/U48&lt;3),"Not Serious", AND(W48&gt;$D$1*-1,W48&lt;$D$1,OR(X48&lt;=$D$1*-1,Y48&gt;=$D$1),X48&gt;$D$2*-1,Y48&lt;$D$2,V48/U48&lt;3),"Serious", AND(W48&gt;$D$1*-1,W48&lt;$D$1,OR(X48&lt;=$D$2*-1,Y48&gt;=$D$2),V48/U48&lt;3),"Very serious", AND(W48&gt;$D$1*-1,W48&lt;$D$1,X48&gt;$D$1*-1,Y48&lt;$D$1,V48/U48&gt;=3),"Very serious", AND(W48&gt;$D$1*-1,W48&lt;$D$1,OR(X48&lt;=$D$1*-1,Y48&gt;=$D$1),X48&gt;$D$2*-1,Y48&lt;$D$2,V48/U48&gt;=3),"Very serious", AND(W48&gt;$D$1*-1,W48&lt;$D$1,OR(X48&lt;=$D$2*-1,Y48&gt;=$D$2),V48/U48&gt;=3),"Very serious"),"")),"")</f>
        <v/>
      </c>
      <c r="AT48" s="109" t="str">
        <f t="shared" si="9"/>
        <v/>
      </c>
      <c r="AU48" s="64"/>
      <c r="AV48" s="117"/>
      <c r="AW48" s="117"/>
      <c r="AX48" s="117"/>
      <c r="AY48" s="118"/>
      <c r="AZ48" s="118"/>
      <c r="BA48" s="119"/>
      <c r="BB48" s="86" t="str">
        <f>IF(Preferences!B$9="Manual","",IFS(ISBLANK(B48),"",AND(ISNUMBER(E48)=TRUE,ISNUMBER(T48)=FALSE),"Direct", AND(ISNUMBER(E48)=FALSE,ISNUMBER(T48)=TRUE),"Indirect", CN48=4,"Direct",AND(CL48=FALSE, CM48=TRUE,CN48-CO48&gt;-1),"Direct", AND(CL48=FALSE,CM48=TRUE, CN48-CO48&lt;0),"Check algorithm in appendix 2", AND(CL48=TRUE, CM48=FALSE,CN48-CO48&gt;0),"Check algorithm in appendix 2", AND(CL48=TRUE, CM48=FALSE,CN48-CO48=0),"Indirect", AND(CL48=TRUE, CM48=FALSE,CN48-CO48&lt;0),"Indirect", AND(CL48=FALSE,CM48=FALSE,CN48-CO48&gt;-1),"Direct", AND(CL48=FALSE,CM48=FALSE,CN48-CO48&lt;0),"Check algorithm in appendix 2", AND(CL48=TRUE,CM48=TRUE,CN48-CO48&gt;-1),"Direct", AND(CL48=TRUE,CM48=TRUE,CN48-CO48&lt;0),"Check algorithm in appendix 2"))</f>
        <v/>
      </c>
      <c r="BC48" s="120" t="str">
        <f t="shared" si="10"/>
        <v/>
      </c>
      <c r="BD48" s="140"/>
      <c r="BE48" s="122" t="str">
        <f>IF(Preferences!B$3="Manual","", IFERROR(IFS(AND(Preferences!B$3="Automatic",AX48/AW48&gt;=30),"Extremely serious",AND(AY48&lt;=$D$1*-1,BA48&lt;0,AX48/AW48&lt;3),"Not Serious",AND(AY48&lt;=$D$1*-1,BA48&lt;0,AX48/AW48&gt;=3),"Very serious",AND(AY48&gt;=$D$1,AZ48&gt;0,AX48/AW48&lt;3),"Not Serious",AND(AY48&gt;=$D$1,AZ48&gt;0,AX48/AW48&gt;=3),"Very serious",AND(AY48&lt;=$D$1*-1,BA48&gt;0,AZ48&gt;$D$2*-1,AX48/AW48&lt;3),"Serious", AND(AY48&lt;=$D$1*-1,BA48&gt;0,AZ48&lt;$D$2*-1,AX48/AW48&lt;3),"Very serious", AND(AY48&gt;=$D$1,AZ48&lt;0,BA48&lt;$D$2,AX48/AW48&lt;3),"Serious",AND(AY48&gt;=$D$1,AZ48&lt;0,BA48&gt;$D$2,AX48/AW48&lt;3),"Very serious", AND(AY48&lt;=$D$1*-1,BA48&gt;0,AZ48&gt;$D$2*-1,AX48/AW48&gt;=3),"Very serious", AND(AY48&lt;=$D$1*-1,BA48&gt;0,AZ48&lt;$D$2*-1,AX48/AW48&gt;=3),"Very serious", AND(AY48&gt;=$D$1,AZ48&lt;0,BA48&lt;$D$2,AX48/AW48&gt;=3),"Very serious", AND(AY48&gt;=$D$1,AZ48&lt;0,BA48&gt;$D$2,AX48/AW48&gt;=3),"Very serious", AND(AY48&gt;$D$1*-1,AY48&lt;$D$1,AZ48&gt;$D$1*-1,BA48&lt;$D$1,AX48/AW48&lt;3),"Not Serious", AND(AY48&gt;$D$1*-1,AY48&lt;$D$1,OR(AZ48&lt;=$D$1*-1,BA48&gt;=$D$1),AZ48&gt;$D$2*-1,BA48&lt;$D$2,AX48/AW48&lt;3),"Serious", AND(AY48&gt;$D$1*-1,AY48&lt;$D$1,OR(AZ48&lt;=$D$2*-1,BA48&gt;=$D$2),AX48/AW48&lt;3),"Very serious", AND(AY48&gt;$D$1*-1,AY48&lt;$D$1,AZ48&gt;$D$1*-1,BA48&lt;$D$1,AX48/AW48&gt;=3),"Very serious", AND(AY48&gt;$D$1*-1,AY48&lt;$D$1,OR(AZ48&lt;=$D$1*-1,BA48&gt;=$D$1),AZ48&gt;$D$2*-1,BA48&lt;$D$2,AX48/AW48&gt;=3),"Very serious", AND(AY48&gt;$D$1*-1,AY48&lt;$D$1,OR(AZ48&lt;=$D$2*-1,BA48&gt;=$D$2),AX48/AW48&gt;=3),"Very serious"),""))</f>
        <v/>
      </c>
      <c r="BF48" s="107" t="str">
        <f t="shared" si="11"/>
        <v/>
      </c>
      <c r="BG48" s="94" t="str">
        <f t="shared" si="46"/>
        <v/>
      </c>
      <c r="BH48" s="64" t="str">
        <f t="shared" si="12"/>
        <v>#N/A</v>
      </c>
      <c r="BI48" s="64" t="str">
        <f t="shared" si="13"/>
        <v/>
      </c>
      <c r="BJ48" s="123" t="str">
        <f t="shared" si="14"/>
        <v>#N/A</v>
      </c>
      <c r="BK48" s="64" t="str">
        <f t="shared" si="50"/>
        <v>YES</v>
      </c>
      <c r="BL48" s="64" t="str">
        <f t="shared" si="16"/>
        <v>YES</v>
      </c>
      <c r="BM48" s="64" t="str">
        <f t="shared" si="17"/>
        <v>YES</v>
      </c>
      <c r="BN48" s="124" t="str">
        <f t="shared" si="18"/>
        <v/>
      </c>
      <c r="BO48" s="91" t="str">
        <f t="shared" si="19"/>
        <v/>
      </c>
      <c r="BP48" s="91" t="str">
        <f t="shared" si="20"/>
        <v>#N/A</v>
      </c>
      <c r="BQ48" s="91" t="str">
        <f t="shared" si="21"/>
        <v/>
      </c>
      <c r="BR48" s="93" t="str">
        <f t="shared" si="22"/>
        <v/>
      </c>
      <c r="BS48" s="90" t="str">
        <f t="shared" si="23"/>
        <v/>
      </c>
      <c r="BT48" s="93" t="str">
        <f t="shared" si="24"/>
        <v>NA</v>
      </c>
      <c r="BU48" s="125" t="str">
        <f t="shared" si="25"/>
        <v>#N/A</v>
      </c>
      <c r="BV48" s="93" t="str">
        <f t="shared" si="26"/>
        <v/>
      </c>
      <c r="BW48" s="93" t="str">
        <f t="shared" si="27"/>
        <v/>
      </c>
      <c r="BX48" s="93" t="str">
        <f t="shared" si="28"/>
        <v>NA</v>
      </c>
      <c r="BY48" s="95" t="str">
        <f t="shared" si="29"/>
        <v>#N/A</v>
      </c>
      <c r="BZ48" s="93" t="str">
        <f t="shared" si="30"/>
        <v/>
      </c>
      <c r="CA48" s="93" t="str">
        <f t="shared" si="31"/>
        <v/>
      </c>
      <c r="CB48" s="93" t="str">
        <f t="shared" si="32"/>
        <v>NA</v>
      </c>
      <c r="CC48" s="96" t="str">
        <f t="shared" si="33"/>
        <v>#N/A</v>
      </c>
      <c r="CD48" s="93" t="str">
        <f t="shared" si="34"/>
        <v/>
      </c>
      <c r="CE48" s="93" t="str">
        <f t="shared" si="35"/>
        <v/>
      </c>
      <c r="CF48" s="93" t="str">
        <f t="shared" si="36"/>
        <v>NA</v>
      </c>
      <c r="CG48" s="97" t="str">
        <f t="shared" si="37"/>
        <v>#N/A</v>
      </c>
      <c r="CH48" s="98" t="str">
        <f t="shared" si="38"/>
        <v>#N/A</v>
      </c>
      <c r="CI48" s="99" t="str">
        <f t="shared" si="39"/>
        <v>#N/A</v>
      </c>
      <c r="CJ48" s="126" t="str">
        <f t="shared" si="40"/>
        <v>ERROR: check cell</v>
      </c>
      <c r="CK48" s="126"/>
      <c r="CL48" s="127" t="str">
        <f t="shared" si="41"/>
        <v>#DIV/0!</v>
      </c>
      <c r="CM48" s="128" t="str">
        <f t="shared" si="42"/>
        <v>#DIV/0!</v>
      </c>
      <c r="CN48" s="128">
        <f t="shared" si="43"/>
        <v>4</v>
      </c>
      <c r="CO48" s="129">
        <f t="shared" si="44"/>
        <v>4</v>
      </c>
      <c r="CP48" s="129" t="str">
        <f>IFS(C48=Preferences!B$13,B48,B48=Preferences!B$13,C48)</f>
        <v>#N/A</v>
      </c>
    </row>
    <row r="49" ht="13.5" customHeight="1">
      <c r="A49" s="63" t="str">
        <f t="shared" si="45"/>
        <v/>
      </c>
      <c r="B49" s="64"/>
      <c r="C49" s="64"/>
      <c r="D49" s="64"/>
      <c r="E49" s="65"/>
      <c r="F49" s="65"/>
      <c r="G49" s="65"/>
      <c r="H49" s="65"/>
      <c r="I49" s="65"/>
      <c r="J49" s="141"/>
      <c r="K49" s="138"/>
      <c r="L49" s="104"/>
      <c r="M49" s="104"/>
      <c r="N49" s="104"/>
      <c r="O49" s="104"/>
      <c r="P49" s="107" t="str">
        <f t="shared" si="1"/>
        <v/>
      </c>
      <c r="Q49" s="108" t="str">
        <f>IFERROR(IF(AND(Preferences!B$3="Manual",OR(AX49/AW49&gt;G49/F49,BD49="Serious",BD49="Very serious")),"Assess imprecision",IFS(ISBLANK(E49),"",AND(Preferences!B$3="Automatic", G49/F49&gt;=30),"Extremely serious",AND(H49&lt;=$D$1*-1,J49&lt;0,G49/F49&lt;3),"Not serious",AND(H49&lt;=$D$1*-1,J49&lt;0,G49/F49&gt;=3),"Very serious",AND(H49&gt;=$D$1,I49&gt;0,G49/F49&lt;3),"Not serious",AND(H49&gt;=$D$1,I49&gt;0,G49/F49&gt;=3),"Very serious",AND(H49&lt;=$D$1*-1,J49&gt;0,I49&gt;$D$2*-1,G49/F49&lt;3),"Serious", AND(H49&lt;=$D$1*-1,J49&gt;0,I49&lt;$D$2*-1,G49/F49&lt;3),"Very serious", AND(H49&gt;=$D$1,I49&lt;0,J49&lt;$D$2,G49/F49&lt;3),"Serious",AND(H49&gt;=$D$1,I49&lt;0,J49&gt;$D$2,G49/F49&lt;3),"Very serious", AND(H49&lt;=$D$1*-1,J49&gt;0,I49&gt;$D$2*-1,G49/F49&gt;=3),"Very serious", AND(H49&lt;=$D$1*-1,J49&gt;0,I49&lt;$D$2*-1,G49/F49&gt;=3),"Very serious", AND(H49&gt;=$D$1,I49&lt;0,J49&lt;$D$2,G49/F49&gt;=3),"Very serious", AND(H49&gt;=$D$1,I49&lt;0,J49&gt;$D$2,G49/F49&gt;=3),"Very serious", AND(H49&gt;$D$1*-1,H49&lt;$D$1,I49&gt;$D$1*-1,J49&lt;$D$1,G49/F49&lt;3),"Not serious", AND(H49&gt;$D$1*-1,H49&lt;$D$1,OR(I49&lt;=$D$1*-1,J49&gt;=$D$1),I49&gt;$D$2*-1,J49&lt;$D$2,G49/F49&lt;3),"Serious", AND(H49&gt;$D$1*-1,H49&lt;$D$1,OR(I49&lt;=$D$2*-1,J49&gt;=$D$2),G49/F49&lt;3),"Very serious", AND(H49&gt;$D$1*-1,H49&lt;$D$1,I49&gt;$D$1*-1,J49&lt;$D$1,G49/F49&gt;=3),"Very serious", AND(H49&gt;$D$1*-1,H49&lt;$D$1,OR(I49&lt;=$D$1*-1,J49&gt;=$D$1),I49&gt;$D$2*-1,J49&lt;$D$2,G49/F49&gt;=3),"Very serious", AND(H49&gt;$D$1*-1,H49&lt;$D$1,OR(I49&lt;=$D$2*-1,J49&gt;=$D$2),G49/F49&gt;=3),"Very serious")),"")</f>
        <v/>
      </c>
      <c r="R49" s="109" t="str">
        <f t="shared" si="47"/>
        <v/>
      </c>
      <c r="S49" s="64"/>
      <c r="T49" s="144"/>
      <c r="U49" s="144"/>
      <c r="V49" s="144"/>
      <c r="W49" s="142"/>
      <c r="X49" s="142"/>
      <c r="Y49" s="143"/>
      <c r="Z49" s="113" t="str">
        <f t="array" ref="Z49">INDEX($A$1:$C$500, MATCH(1,($B:$B=$B49)*($C:$C=$AB49),0),1)</f>
        <v/>
      </c>
      <c r="AA49" s="113" t="str">
        <f t="array" ref="AA49">INDEX($A$1:$C$500, MATCH(1,($B:$B=$AB49)*($C:$C=$B49),0),1)</f>
        <v/>
      </c>
      <c r="AB49" s="111"/>
      <c r="AC49" s="114" t="str">
        <f t="shared" si="2"/>
        <v/>
      </c>
      <c r="AD49" s="115" t="str">
        <f t="shared" si="3"/>
        <v/>
      </c>
      <c r="AE49" s="116" t="str">
        <f t="array" ref="AE49">INDEX($A$1:$C$500, MATCH(1,($B:$B=$AB49)*($C:$C=$AG49),0),1)</f>
        <v/>
      </c>
      <c r="AF49" s="116" t="str">
        <f t="array" ref="AF49">INDEX($A$1:$C$500, MATCH(1,($B:$B=$AG49)*($C:$C=$AB49),0),1)</f>
        <v/>
      </c>
      <c r="AG49" s="72"/>
      <c r="AH49" s="114" t="str">
        <f t="shared" si="4"/>
        <v/>
      </c>
      <c r="AI49" s="115" t="str">
        <f t="shared" si="5"/>
        <v/>
      </c>
      <c r="AJ49" s="116" t="str">
        <f t="array" ref="AJ49">INDEX($A$1:$C$500, MATCH(1,($B:$B=$C49)*($C:$C=$AG49),0),1)</f>
        <v/>
      </c>
      <c r="AK49" s="116" t="str">
        <f t="array" ref="AK49">INDEX($A$1:$C$500, MATCH(1,($B:$B=$AG49)*($C:$C=$C49),0),1)</f>
        <v/>
      </c>
      <c r="AL49" s="116" t="str">
        <f t="array" ref="AL49">INDEX($A$1:$C$500, MATCH(1,($B:$B=$C49)*($C:$C=$AB49),0),1)</f>
        <v/>
      </c>
      <c r="AM49" s="116" t="str">
        <f t="array" ref="AM49">INDEX($A$1:$C$500, MATCH(1,($B:$B=$AB49)*($C:$C=$C49),0),1)</f>
        <v/>
      </c>
      <c r="AN49" s="114" t="str">
        <f t="array" ref="AN49">IFS(ISNUMBER(AJ49),AJ49,ISNUMBER(AK49),AK49,ISNUMBER(AL49),AL49,ISNUMBER(AM49),AM49)</f>
        <v>#N/A</v>
      </c>
      <c r="AO49" s="115" t="str">
        <f t="shared" si="6"/>
        <v/>
      </c>
      <c r="AP49" s="115" t="str">
        <f t="shared" si="7"/>
        <v/>
      </c>
      <c r="AQ49" s="72"/>
      <c r="AR49" s="109" t="str">
        <f t="shared" si="8"/>
        <v/>
      </c>
      <c r="AS49" s="72" t="str">
        <f>IFERROR(IF(AND(Preferences!B$3="Manual",OR(AX49/AW49&gt;V49/U49,BD49="Serious",BD49="Very serious")),"Assess imprecision",IFERROR(IFS(AND(Preferences!B$3="Automatic",V49/U49&gt;=30),"Extremely serious",AND(W49&lt;=$D$1*-1,Y49&lt;0,V49/U49&lt;3),"Not Serious",AND(W49&lt;=$D$1*-1,Y49&lt;0,V49/U49&gt;=3),"Very serious",AND(W49&gt;=$D$1,X49&gt;0,V49/U49&lt;3),"Not Serious",AND(W49&gt;=$D$1,X49&gt;0,V49/U49&gt;=3),"Very serious",AND(W49&lt;=$D$1*-1,Y49&gt;0,X49&gt;$D$2*-1,V49/U49&lt;3),"Serious", AND(W49&lt;=$D$1*-1,Y49&gt;0,X49&lt;$D$2*-1,V49/U49&lt;3),"Very serious", AND(W49&gt;=$D$1,X49&lt;0,Y49&lt;$D$2,V49/U49&lt;3),"Serious",AND(W49&gt;=$D$1,X49&lt;0,Y49&gt;$D$2,V49/U49&lt;3),"Very serious", AND(W49&lt;=$D$1*-1,Y49&gt;0,X49&gt;$D$2*-1,V49/U49&gt;=3),"Very serious", AND(W49&lt;=$D$1*-1,Y49&gt;0,X49&lt;$D$2*-1,V49/U49&gt;=3),"Very serious", AND(W49&gt;=$D$1,X49&lt;0,Y49&lt;$D$2,V49/U49&gt;=3),"Very serious", AND(W49&gt;=$D$1,X49&lt;0,Y49&gt;$D$2,V49/U49&gt;=3),"Very serious", AND(W49&gt;$D$1*-1,W49&lt;$D$1,X49&gt;$D$1*-1,Y49&lt;$D$1,V49/U49&lt;3),"Not Serious", AND(W49&gt;$D$1*-1,W49&lt;$D$1,OR(X49&lt;=$D$1*-1,Y49&gt;=$D$1),X49&gt;$D$2*-1,Y49&lt;$D$2,V49/U49&lt;3),"Serious", AND(W49&gt;$D$1*-1,W49&lt;$D$1,OR(X49&lt;=$D$2*-1,Y49&gt;=$D$2),V49/U49&lt;3),"Very serious", AND(W49&gt;$D$1*-1,W49&lt;$D$1,X49&gt;$D$1*-1,Y49&lt;$D$1,V49/U49&gt;=3),"Very serious", AND(W49&gt;$D$1*-1,W49&lt;$D$1,OR(X49&lt;=$D$1*-1,Y49&gt;=$D$1),X49&gt;$D$2*-1,Y49&lt;$D$2,V49/U49&gt;=3),"Very serious", AND(W49&gt;$D$1*-1,W49&lt;$D$1,OR(X49&lt;=$D$2*-1,Y49&gt;=$D$2),V49/U49&gt;=3),"Very serious"),"")),"")</f>
        <v/>
      </c>
      <c r="AT49" s="109" t="str">
        <f t="shared" si="9"/>
        <v/>
      </c>
      <c r="AU49" s="64"/>
      <c r="AV49" s="117"/>
      <c r="AW49" s="117"/>
      <c r="AX49" s="117"/>
      <c r="AY49" s="118"/>
      <c r="AZ49" s="118"/>
      <c r="BA49" s="119"/>
      <c r="BB49" s="86" t="str">
        <f>IF(Preferences!B$9="Manual","",IFS(ISBLANK(B49),"",AND(ISNUMBER(E49)=TRUE,ISNUMBER(T49)=FALSE),"Direct", AND(ISNUMBER(E49)=FALSE,ISNUMBER(T49)=TRUE),"Indirect", CN49=4,"Direct",AND(CL49=FALSE, CM49=TRUE,CN49-CO49&gt;-1),"Direct", AND(CL49=FALSE,CM49=TRUE, CN49-CO49&lt;0),"Check algorithm in appendix 2", AND(CL49=TRUE, CM49=FALSE,CN49-CO49&gt;0),"Check algorithm in appendix 2", AND(CL49=TRUE, CM49=FALSE,CN49-CO49=0),"Indirect", AND(CL49=TRUE, CM49=FALSE,CN49-CO49&lt;0),"Indirect", AND(CL49=FALSE,CM49=FALSE,CN49-CO49&gt;-1),"Direct", AND(CL49=FALSE,CM49=FALSE,CN49-CO49&lt;0),"Check algorithm in appendix 2", AND(CL49=TRUE,CM49=TRUE,CN49-CO49&gt;-1),"Direct", AND(CL49=TRUE,CM49=TRUE,CN49-CO49&lt;0),"Check algorithm in appendix 2"))</f>
        <v/>
      </c>
      <c r="BC49" s="120" t="str">
        <f t="shared" si="10"/>
        <v/>
      </c>
      <c r="BD49" s="140"/>
      <c r="BE49" s="122" t="str">
        <f>IF(Preferences!B$3="Manual","", IFERROR(IFS(AND(Preferences!B$3="Automatic",AX49/AW49&gt;=30),"Extremely serious",AND(AY49&lt;=$D$1*-1,BA49&lt;0,AX49/AW49&lt;3),"Not Serious",AND(AY49&lt;=$D$1*-1,BA49&lt;0,AX49/AW49&gt;=3),"Very serious",AND(AY49&gt;=$D$1,AZ49&gt;0,AX49/AW49&lt;3),"Not Serious",AND(AY49&gt;=$D$1,AZ49&gt;0,AX49/AW49&gt;=3),"Very serious",AND(AY49&lt;=$D$1*-1,BA49&gt;0,AZ49&gt;$D$2*-1,AX49/AW49&lt;3),"Serious", AND(AY49&lt;=$D$1*-1,BA49&gt;0,AZ49&lt;$D$2*-1,AX49/AW49&lt;3),"Very serious", AND(AY49&gt;=$D$1,AZ49&lt;0,BA49&lt;$D$2,AX49/AW49&lt;3),"Serious",AND(AY49&gt;=$D$1,AZ49&lt;0,BA49&gt;$D$2,AX49/AW49&lt;3),"Very serious", AND(AY49&lt;=$D$1*-1,BA49&gt;0,AZ49&gt;$D$2*-1,AX49/AW49&gt;=3),"Very serious", AND(AY49&lt;=$D$1*-1,BA49&gt;0,AZ49&lt;$D$2*-1,AX49/AW49&gt;=3),"Very serious", AND(AY49&gt;=$D$1,AZ49&lt;0,BA49&lt;$D$2,AX49/AW49&gt;=3),"Very serious", AND(AY49&gt;=$D$1,AZ49&lt;0,BA49&gt;$D$2,AX49/AW49&gt;=3),"Very serious", AND(AY49&gt;$D$1*-1,AY49&lt;$D$1,AZ49&gt;$D$1*-1,BA49&lt;$D$1,AX49/AW49&lt;3),"Not Serious", AND(AY49&gt;$D$1*-1,AY49&lt;$D$1,OR(AZ49&lt;=$D$1*-1,BA49&gt;=$D$1),AZ49&gt;$D$2*-1,BA49&lt;$D$2,AX49/AW49&lt;3),"Serious", AND(AY49&gt;$D$1*-1,AY49&lt;$D$1,OR(AZ49&lt;=$D$2*-1,BA49&gt;=$D$2),AX49/AW49&lt;3),"Very serious", AND(AY49&gt;$D$1*-1,AY49&lt;$D$1,AZ49&gt;$D$1*-1,BA49&lt;$D$1,AX49/AW49&gt;=3),"Very serious", AND(AY49&gt;$D$1*-1,AY49&lt;$D$1,OR(AZ49&lt;=$D$1*-1,BA49&gt;=$D$1),AZ49&gt;$D$2*-1,BA49&lt;$D$2,AX49/AW49&gt;=3),"Very serious", AND(AY49&gt;$D$1*-1,AY49&lt;$D$1,OR(AZ49&lt;=$D$2*-1,BA49&gt;=$D$2),AX49/AW49&gt;=3),"Very serious"),""))</f>
        <v/>
      </c>
      <c r="BF49" s="107" t="str">
        <f t="shared" si="11"/>
        <v/>
      </c>
      <c r="BG49" s="94" t="str">
        <f t="shared" si="46"/>
        <v/>
      </c>
      <c r="BH49" s="64" t="str">
        <f t="shared" si="12"/>
        <v>#N/A</v>
      </c>
      <c r="BI49" s="64" t="str">
        <f t="shared" si="13"/>
        <v/>
      </c>
      <c r="BJ49" s="123" t="str">
        <f t="shared" si="14"/>
        <v>#N/A</v>
      </c>
      <c r="BK49" s="64" t="str">
        <f t="shared" si="50"/>
        <v>YES</v>
      </c>
      <c r="BL49" s="64" t="str">
        <f t="shared" si="16"/>
        <v>YES</v>
      </c>
      <c r="BM49" s="64" t="str">
        <f t="shared" si="17"/>
        <v>YES</v>
      </c>
      <c r="BN49" s="124" t="str">
        <f t="shared" si="18"/>
        <v/>
      </c>
      <c r="BO49" s="91" t="str">
        <f t="shared" si="19"/>
        <v/>
      </c>
      <c r="BP49" s="91" t="str">
        <f t="shared" si="20"/>
        <v>#N/A</v>
      </c>
      <c r="BQ49" s="91" t="str">
        <f t="shared" si="21"/>
        <v/>
      </c>
      <c r="BR49" s="93" t="str">
        <f t="shared" si="22"/>
        <v/>
      </c>
      <c r="BS49" s="90" t="str">
        <f t="shared" si="23"/>
        <v/>
      </c>
      <c r="BT49" s="93" t="str">
        <f t="shared" si="24"/>
        <v>NA</v>
      </c>
      <c r="BU49" s="125" t="str">
        <f t="shared" si="25"/>
        <v>#N/A</v>
      </c>
      <c r="BV49" s="93" t="str">
        <f t="shared" si="26"/>
        <v/>
      </c>
      <c r="BW49" s="93" t="str">
        <f t="shared" si="27"/>
        <v/>
      </c>
      <c r="BX49" s="93" t="str">
        <f t="shared" si="28"/>
        <v>NA</v>
      </c>
      <c r="BY49" s="95" t="str">
        <f t="shared" si="29"/>
        <v>#N/A</v>
      </c>
      <c r="BZ49" s="93" t="str">
        <f t="shared" si="30"/>
        <v/>
      </c>
      <c r="CA49" s="93" t="str">
        <f t="shared" si="31"/>
        <v/>
      </c>
      <c r="CB49" s="93" t="str">
        <f t="shared" si="32"/>
        <v>NA</v>
      </c>
      <c r="CC49" s="96" t="str">
        <f t="shared" si="33"/>
        <v>#N/A</v>
      </c>
      <c r="CD49" s="93" t="str">
        <f t="shared" si="34"/>
        <v/>
      </c>
      <c r="CE49" s="93" t="str">
        <f t="shared" si="35"/>
        <v/>
      </c>
      <c r="CF49" s="93" t="str">
        <f t="shared" si="36"/>
        <v>NA</v>
      </c>
      <c r="CG49" s="97" t="str">
        <f t="shared" si="37"/>
        <v>#N/A</v>
      </c>
      <c r="CH49" s="98" t="str">
        <f t="shared" si="38"/>
        <v>#N/A</v>
      </c>
      <c r="CI49" s="99" t="str">
        <f t="shared" si="39"/>
        <v>#N/A</v>
      </c>
      <c r="CJ49" s="126" t="str">
        <f t="shared" si="40"/>
        <v>ERROR: check cell</v>
      </c>
      <c r="CK49" s="126"/>
      <c r="CL49" s="127" t="str">
        <f t="shared" si="41"/>
        <v>#DIV/0!</v>
      </c>
      <c r="CM49" s="128" t="str">
        <f t="shared" si="42"/>
        <v>#DIV/0!</v>
      </c>
      <c r="CN49" s="128">
        <f t="shared" si="43"/>
        <v>4</v>
      </c>
      <c r="CO49" s="129">
        <f t="shared" si="44"/>
        <v>4</v>
      </c>
      <c r="CP49" s="129" t="str">
        <f>IFS(C49=Preferences!B$13,B49,B49=Preferences!B$13,C49)</f>
        <v>#N/A</v>
      </c>
    </row>
    <row r="50" ht="13.5" customHeight="1">
      <c r="A50" s="63" t="str">
        <f t="shared" si="45"/>
        <v/>
      </c>
      <c r="B50" s="64"/>
      <c r="C50" s="64"/>
      <c r="D50" s="64"/>
      <c r="E50" s="65"/>
      <c r="F50" s="65"/>
      <c r="G50" s="65"/>
      <c r="H50" s="65"/>
      <c r="I50" s="65"/>
      <c r="J50" s="141"/>
      <c r="K50" s="138"/>
      <c r="L50" s="133"/>
      <c r="M50" s="104"/>
      <c r="N50" s="104"/>
      <c r="O50" s="104"/>
      <c r="P50" s="107" t="str">
        <f t="shared" si="1"/>
        <v/>
      </c>
      <c r="Q50" s="108" t="str">
        <f>IFERROR(IF(AND(Preferences!B$3="Manual",OR(AX50/AW50&gt;G50/F50,BD50="Serious",BD50="Very serious")),"Assess imprecision",IFS(ISBLANK(E50),"",AND(Preferences!B$3="Automatic", G50/F50&gt;=30),"Extremely serious",AND(H50&lt;=$D$1*-1,J50&lt;0,G50/F50&lt;3),"Not serious",AND(H50&lt;=$D$1*-1,J50&lt;0,G50/F50&gt;=3),"Very serious",AND(H50&gt;=$D$1,I50&gt;0,G50/F50&lt;3),"Not serious",AND(H50&gt;=$D$1,I50&gt;0,G50/F50&gt;=3),"Very serious",AND(H50&lt;=$D$1*-1,J50&gt;0,I50&gt;$D$2*-1,G50/F50&lt;3),"Serious", AND(H50&lt;=$D$1*-1,J50&gt;0,I50&lt;$D$2*-1,G50/F50&lt;3),"Very serious", AND(H50&gt;=$D$1,I50&lt;0,J50&lt;$D$2,G50/F50&lt;3),"Serious",AND(H50&gt;=$D$1,I50&lt;0,J50&gt;$D$2,G50/F50&lt;3),"Very serious", AND(H50&lt;=$D$1*-1,J50&gt;0,I50&gt;$D$2*-1,G50/F50&gt;=3),"Very serious", AND(H50&lt;=$D$1*-1,J50&gt;0,I50&lt;$D$2*-1,G50/F50&gt;=3),"Very serious", AND(H50&gt;=$D$1,I50&lt;0,J50&lt;$D$2,G50/F50&gt;=3),"Very serious", AND(H50&gt;=$D$1,I50&lt;0,J50&gt;$D$2,G50/F50&gt;=3),"Very serious", AND(H50&gt;$D$1*-1,H50&lt;$D$1,I50&gt;$D$1*-1,J50&lt;$D$1,G50/F50&lt;3),"Not serious", AND(H50&gt;$D$1*-1,H50&lt;$D$1,OR(I50&lt;=$D$1*-1,J50&gt;=$D$1),I50&gt;$D$2*-1,J50&lt;$D$2,G50/F50&lt;3),"Serious", AND(H50&gt;$D$1*-1,H50&lt;$D$1,OR(I50&lt;=$D$2*-1,J50&gt;=$D$2),G50/F50&lt;3),"Very serious", AND(H50&gt;$D$1*-1,H50&lt;$D$1,I50&gt;$D$1*-1,J50&lt;$D$1,G50/F50&gt;=3),"Very serious", AND(H50&gt;$D$1*-1,H50&lt;$D$1,OR(I50&lt;=$D$1*-1,J50&gt;=$D$1),I50&gt;$D$2*-1,J50&lt;$D$2,G50/F50&gt;=3),"Very serious", AND(H50&gt;$D$1*-1,H50&lt;$D$1,OR(I50&lt;=$D$2*-1,J50&gt;=$D$2),G50/F50&gt;=3),"Very serious")),"")</f>
        <v/>
      </c>
      <c r="R50" s="109" t="str">
        <f t="shared" si="47"/>
        <v/>
      </c>
      <c r="S50" s="64"/>
      <c r="T50" s="144"/>
      <c r="U50" s="144"/>
      <c r="V50" s="144"/>
      <c r="W50" s="142"/>
      <c r="X50" s="142"/>
      <c r="Y50" s="143"/>
      <c r="Z50" s="113" t="str">
        <f t="array" ref="Z50">INDEX($A$1:$C$500, MATCH(1,($B:$B=$B50)*($C:$C=$AB50),0),1)</f>
        <v/>
      </c>
      <c r="AA50" s="113" t="str">
        <f t="array" ref="AA50">INDEX($A$1:$C$500, MATCH(1,($B:$B=$AB50)*($C:$C=$B50),0),1)</f>
        <v/>
      </c>
      <c r="AB50" s="111"/>
      <c r="AC50" s="114" t="str">
        <f t="shared" si="2"/>
        <v/>
      </c>
      <c r="AD50" s="115" t="str">
        <f t="shared" si="3"/>
        <v/>
      </c>
      <c r="AE50" s="116" t="str">
        <f t="array" ref="AE50">INDEX($A$1:$C$500, MATCH(1,($B:$B=$AB50)*($C:$C=$AG50),0),1)</f>
        <v/>
      </c>
      <c r="AF50" s="116" t="str">
        <f t="array" ref="AF50">INDEX($A$1:$C$500, MATCH(1,($B:$B=$AG50)*($C:$C=$AB50),0),1)</f>
        <v/>
      </c>
      <c r="AG50" s="72"/>
      <c r="AH50" s="114" t="str">
        <f t="shared" si="4"/>
        <v/>
      </c>
      <c r="AI50" s="115" t="str">
        <f t="shared" si="5"/>
        <v/>
      </c>
      <c r="AJ50" s="116" t="str">
        <f t="array" ref="AJ50">INDEX($A$1:$C$500, MATCH(1,($B:$B=$C50)*($C:$C=$AG50),0),1)</f>
        <v/>
      </c>
      <c r="AK50" s="116" t="str">
        <f t="array" ref="AK50">INDEX($A$1:$C$500, MATCH(1,($B:$B=$AG50)*($C:$C=$C50),0),1)</f>
        <v/>
      </c>
      <c r="AL50" s="116" t="str">
        <f t="array" ref="AL50">INDEX($A$1:$C$500, MATCH(1,($B:$B=$C50)*($C:$C=$AB50),0),1)</f>
        <v/>
      </c>
      <c r="AM50" s="116" t="str">
        <f t="array" ref="AM50">INDEX($A$1:$C$500, MATCH(1,($B:$B=$AB50)*($C:$C=$C50),0),1)</f>
        <v/>
      </c>
      <c r="AN50" s="114" t="str">
        <f t="array" ref="AN50">IFS(ISNUMBER(AJ50),AJ50,ISNUMBER(AK50),AK50,ISNUMBER(AL50),AL50,ISNUMBER(AM50),AM50)</f>
        <v>#N/A</v>
      </c>
      <c r="AO50" s="115" t="str">
        <f t="shared" si="6"/>
        <v/>
      </c>
      <c r="AP50" s="115" t="str">
        <f t="shared" si="7"/>
        <v/>
      </c>
      <c r="AQ50" s="72"/>
      <c r="AR50" s="109" t="str">
        <f t="shared" si="8"/>
        <v/>
      </c>
      <c r="AS50" s="72" t="str">
        <f>IFERROR(IF(AND(Preferences!B$3="Manual",OR(AX50/AW50&gt;V50/U50,BD50="Serious",BD50="Very serious")),"Assess imprecision",IFERROR(IFS(AND(Preferences!B$3="Automatic",V50/U50&gt;=30),"Extremely serious",AND(W50&lt;=$D$1*-1,Y50&lt;0,V50/U50&lt;3),"Not Serious",AND(W50&lt;=$D$1*-1,Y50&lt;0,V50/U50&gt;=3),"Very serious",AND(W50&gt;=$D$1,X50&gt;0,V50/U50&lt;3),"Not Serious",AND(W50&gt;=$D$1,X50&gt;0,V50/U50&gt;=3),"Very serious",AND(W50&lt;=$D$1*-1,Y50&gt;0,X50&gt;$D$2*-1,V50/U50&lt;3),"Serious", AND(W50&lt;=$D$1*-1,Y50&gt;0,X50&lt;$D$2*-1,V50/U50&lt;3),"Very serious", AND(W50&gt;=$D$1,X50&lt;0,Y50&lt;$D$2,V50/U50&lt;3),"Serious",AND(W50&gt;=$D$1,X50&lt;0,Y50&gt;$D$2,V50/U50&lt;3),"Very serious", AND(W50&lt;=$D$1*-1,Y50&gt;0,X50&gt;$D$2*-1,V50/U50&gt;=3),"Very serious", AND(W50&lt;=$D$1*-1,Y50&gt;0,X50&lt;$D$2*-1,V50/U50&gt;=3),"Very serious", AND(W50&gt;=$D$1,X50&lt;0,Y50&lt;$D$2,V50/U50&gt;=3),"Very serious", AND(W50&gt;=$D$1,X50&lt;0,Y50&gt;$D$2,V50/U50&gt;=3),"Very serious", AND(W50&gt;$D$1*-1,W50&lt;$D$1,X50&gt;$D$1*-1,Y50&lt;$D$1,V50/U50&lt;3),"Not Serious", AND(W50&gt;$D$1*-1,W50&lt;$D$1,OR(X50&lt;=$D$1*-1,Y50&gt;=$D$1),X50&gt;$D$2*-1,Y50&lt;$D$2,V50/U50&lt;3),"Serious", AND(W50&gt;$D$1*-1,W50&lt;$D$1,OR(X50&lt;=$D$2*-1,Y50&gt;=$D$2),V50/U50&lt;3),"Very serious", AND(W50&gt;$D$1*-1,W50&lt;$D$1,X50&gt;$D$1*-1,Y50&lt;$D$1,V50/U50&gt;=3),"Very serious", AND(W50&gt;$D$1*-1,W50&lt;$D$1,OR(X50&lt;=$D$1*-1,Y50&gt;=$D$1),X50&gt;$D$2*-1,Y50&lt;$D$2,V50/U50&gt;=3),"Very serious", AND(W50&gt;$D$1*-1,W50&lt;$D$1,OR(X50&lt;=$D$2*-1,Y50&gt;=$D$2),V50/U50&gt;=3),"Very serious"),"")),"")</f>
        <v/>
      </c>
      <c r="AT50" s="109" t="str">
        <f t="shared" si="9"/>
        <v/>
      </c>
      <c r="AU50" s="64"/>
      <c r="AV50" s="117"/>
      <c r="AW50" s="117"/>
      <c r="AX50" s="117"/>
      <c r="AY50" s="118"/>
      <c r="AZ50" s="118"/>
      <c r="BA50" s="119"/>
      <c r="BB50" s="86" t="str">
        <f>IF(Preferences!B$9="Manual","",IFS(ISBLANK(B50),"",AND(ISNUMBER(E50)=TRUE,ISNUMBER(T50)=FALSE),"Direct", AND(ISNUMBER(E50)=FALSE,ISNUMBER(T50)=TRUE),"Indirect", CN50=4,"Direct",AND(CL50=FALSE, CM50=TRUE,CN50-CO50&gt;-1),"Direct", AND(CL50=FALSE,CM50=TRUE, CN50-CO50&lt;0),"Check algorithm in appendix 2", AND(CL50=TRUE, CM50=FALSE,CN50-CO50&gt;0),"Check algorithm in appendix 2", AND(CL50=TRUE, CM50=FALSE,CN50-CO50=0),"Indirect", AND(CL50=TRUE, CM50=FALSE,CN50-CO50&lt;0),"Indirect", AND(CL50=FALSE,CM50=FALSE,CN50-CO50&gt;-1),"Direct", AND(CL50=FALSE,CM50=FALSE,CN50-CO50&lt;0),"Check algorithm in appendix 2", AND(CL50=TRUE,CM50=TRUE,CN50-CO50&gt;-1),"Direct", AND(CL50=TRUE,CM50=TRUE,CN50-CO50&lt;0),"Check algorithm in appendix 2"))</f>
        <v/>
      </c>
      <c r="BC50" s="120" t="str">
        <f t="shared" si="10"/>
        <v/>
      </c>
      <c r="BD50" s="140"/>
      <c r="BE50" s="122" t="str">
        <f>IF(Preferences!B$3="Manual","", IFERROR(IFS(AND(Preferences!B$3="Automatic",AX50/AW50&gt;=30),"Extremely serious",AND(AY50&lt;=$D$1*-1,BA50&lt;0,AX50/AW50&lt;3),"Not Serious",AND(AY50&lt;=$D$1*-1,BA50&lt;0,AX50/AW50&gt;=3),"Very serious",AND(AY50&gt;=$D$1,AZ50&gt;0,AX50/AW50&lt;3),"Not Serious",AND(AY50&gt;=$D$1,AZ50&gt;0,AX50/AW50&gt;=3),"Very serious",AND(AY50&lt;=$D$1*-1,BA50&gt;0,AZ50&gt;$D$2*-1,AX50/AW50&lt;3),"Serious", AND(AY50&lt;=$D$1*-1,BA50&gt;0,AZ50&lt;$D$2*-1,AX50/AW50&lt;3),"Very serious", AND(AY50&gt;=$D$1,AZ50&lt;0,BA50&lt;$D$2,AX50/AW50&lt;3),"Serious",AND(AY50&gt;=$D$1,AZ50&lt;0,BA50&gt;$D$2,AX50/AW50&lt;3),"Very serious", AND(AY50&lt;=$D$1*-1,BA50&gt;0,AZ50&gt;$D$2*-1,AX50/AW50&gt;=3),"Very serious", AND(AY50&lt;=$D$1*-1,BA50&gt;0,AZ50&lt;$D$2*-1,AX50/AW50&gt;=3),"Very serious", AND(AY50&gt;=$D$1,AZ50&lt;0,BA50&lt;$D$2,AX50/AW50&gt;=3),"Very serious", AND(AY50&gt;=$D$1,AZ50&lt;0,BA50&gt;$D$2,AX50/AW50&gt;=3),"Very serious", AND(AY50&gt;$D$1*-1,AY50&lt;$D$1,AZ50&gt;$D$1*-1,BA50&lt;$D$1,AX50/AW50&lt;3),"Not Serious", AND(AY50&gt;$D$1*-1,AY50&lt;$D$1,OR(AZ50&lt;=$D$1*-1,BA50&gt;=$D$1),AZ50&gt;$D$2*-1,BA50&lt;$D$2,AX50/AW50&lt;3),"Serious", AND(AY50&gt;$D$1*-1,AY50&lt;$D$1,OR(AZ50&lt;=$D$2*-1,BA50&gt;=$D$2),AX50/AW50&lt;3),"Very serious", AND(AY50&gt;$D$1*-1,AY50&lt;$D$1,AZ50&gt;$D$1*-1,BA50&lt;$D$1,AX50/AW50&gt;=3),"Very serious", AND(AY50&gt;$D$1*-1,AY50&lt;$D$1,OR(AZ50&lt;=$D$1*-1,BA50&gt;=$D$1),AZ50&gt;$D$2*-1,BA50&lt;$D$2,AX50/AW50&gt;=3),"Very serious", AND(AY50&gt;$D$1*-1,AY50&lt;$D$1,OR(AZ50&lt;=$D$2*-1,BA50&gt;=$D$2),AX50/AW50&gt;=3),"Very serious"),""))</f>
        <v/>
      </c>
      <c r="BF50" s="107" t="str">
        <f t="shared" si="11"/>
        <v/>
      </c>
      <c r="BG50" s="94" t="str">
        <f t="shared" si="46"/>
        <v/>
      </c>
      <c r="BH50" s="64" t="str">
        <f t="shared" si="12"/>
        <v>#N/A</v>
      </c>
      <c r="BI50" s="64" t="str">
        <f t="shared" si="13"/>
        <v/>
      </c>
      <c r="BJ50" s="123" t="str">
        <f t="shared" si="14"/>
        <v>#N/A</v>
      </c>
      <c r="BK50" s="64" t="str">
        <f t="shared" si="50"/>
        <v>YES</v>
      </c>
      <c r="BL50" s="64" t="str">
        <f t="shared" si="16"/>
        <v>YES</v>
      </c>
      <c r="BM50" s="64" t="str">
        <f t="shared" si="17"/>
        <v>YES</v>
      </c>
      <c r="BN50" s="124" t="str">
        <f t="shared" si="18"/>
        <v/>
      </c>
      <c r="BO50" s="91" t="str">
        <f t="shared" si="19"/>
        <v/>
      </c>
      <c r="BP50" s="91" t="str">
        <f t="shared" si="20"/>
        <v>#N/A</v>
      </c>
      <c r="BQ50" s="91" t="str">
        <f t="shared" si="21"/>
        <v/>
      </c>
      <c r="BR50" s="93" t="str">
        <f t="shared" si="22"/>
        <v/>
      </c>
      <c r="BS50" s="90" t="str">
        <f t="shared" si="23"/>
        <v/>
      </c>
      <c r="BT50" s="93" t="str">
        <f t="shared" si="24"/>
        <v>NA</v>
      </c>
      <c r="BU50" s="125" t="str">
        <f t="shared" si="25"/>
        <v>#N/A</v>
      </c>
      <c r="BV50" s="93" t="str">
        <f t="shared" si="26"/>
        <v/>
      </c>
      <c r="BW50" s="93" t="str">
        <f t="shared" si="27"/>
        <v/>
      </c>
      <c r="BX50" s="93" t="str">
        <f t="shared" si="28"/>
        <v>NA</v>
      </c>
      <c r="BY50" s="95" t="str">
        <f t="shared" si="29"/>
        <v>#N/A</v>
      </c>
      <c r="BZ50" s="93" t="str">
        <f t="shared" si="30"/>
        <v/>
      </c>
      <c r="CA50" s="93" t="str">
        <f t="shared" si="31"/>
        <v/>
      </c>
      <c r="CB50" s="93" t="str">
        <f t="shared" si="32"/>
        <v>NA</v>
      </c>
      <c r="CC50" s="96" t="str">
        <f t="shared" si="33"/>
        <v>#N/A</v>
      </c>
      <c r="CD50" s="93" t="str">
        <f t="shared" si="34"/>
        <v/>
      </c>
      <c r="CE50" s="93" t="str">
        <f t="shared" si="35"/>
        <v/>
      </c>
      <c r="CF50" s="93" t="str">
        <f t="shared" si="36"/>
        <v>NA</v>
      </c>
      <c r="CG50" s="97" t="str">
        <f t="shared" si="37"/>
        <v>#N/A</v>
      </c>
      <c r="CH50" s="98" t="str">
        <f t="shared" si="38"/>
        <v>#N/A</v>
      </c>
      <c r="CI50" s="99" t="str">
        <f t="shared" si="39"/>
        <v>#N/A</v>
      </c>
      <c r="CJ50" s="126" t="str">
        <f t="shared" si="40"/>
        <v>ERROR: check cell</v>
      </c>
      <c r="CK50" s="126"/>
      <c r="CL50" s="127" t="str">
        <f t="shared" si="41"/>
        <v>#DIV/0!</v>
      </c>
      <c r="CM50" s="128" t="str">
        <f t="shared" si="42"/>
        <v>#DIV/0!</v>
      </c>
      <c r="CN50" s="128">
        <f t="shared" si="43"/>
        <v>4</v>
      </c>
      <c r="CO50" s="129">
        <f t="shared" si="44"/>
        <v>4</v>
      </c>
      <c r="CP50" s="129" t="str">
        <f>IFS(C50=Preferences!B$13,B50,B50=Preferences!B$13,C50)</f>
        <v>#N/A</v>
      </c>
    </row>
    <row r="51" ht="13.5" customHeight="1">
      <c r="A51" s="63" t="str">
        <f t="shared" si="45"/>
        <v/>
      </c>
      <c r="B51" s="64"/>
      <c r="C51" s="64"/>
      <c r="D51" s="64"/>
      <c r="E51" s="65"/>
      <c r="F51" s="65"/>
      <c r="G51" s="65"/>
      <c r="H51" s="65"/>
      <c r="I51" s="65"/>
      <c r="J51" s="141"/>
      <c r="K51" s="138"/>
      <c r="L51" s="133"/>
      <c r="M51" s="133"/>
      <c r="N51" s="133"/>
      <c r="O51" s="133"/>
      <c r="P51" s="107" t="str">
        <f t="shared" si="1"/>
        <v/>
      </c>
      <c r="Q51" s="108" t="str">
        <f>IFERROR(IF(AND(Preferences!B$3="Manual",OR(AX51/AW51&gt;G51/F51,BD51="Serious",BD51="Very serious")),"Assess imprecision",IFS(ISBLANK(E51),"",AND(Preferences!B$3="Automatic", G51/F51&gt;=30),"Extremely serious",AND(H51&lt;=$D$1*-1,J51&lt;0,G51/F51&lt;3),"Not serious",AND(H51&lt;=$D$1*-1,J51&lt;0,G51/F51&gt;=3),"Very serious",AND(H51&gt;=$D$1,I51&gt;0,G51/F51&lt;3),"Not serious",AND(H51&gt;=$D$1,I51&gt;0,G51/F51&gt;=3),"Very serious",AND(H51&lt;=$D$1*-1,J51&gt;0,I51&gt;$D$2*-1,G51/F51&lt;3),"Serious", AND(H51&lt;=$D$1*-1,J51&gt;0,I51&lt;$D$2*-1,G51/F51&lt;3),"Very serious", AND(H51&gt;=$D$1,I51&lt;0,J51&lt;$D$2,G51/F51&lt;3),"Serious",AND(H51&gt;=$D$1,I51&lt;0,J51&gt;$D$2,G51/F51&lt;3),"Very serious", AND(H51&lt;=$D$1*-1,J51&gt;0,I51&gt;$D$2*-1,G51/F51&gt;=3),"Very serious", AND(H51&lt;=$D$1*-1,J51&gt;0,I51&lt;$D$2*-1,G51/F51&gt;=3),"Very serious", AND(H51&gt;=$D$1,I51&lt;0,J51&lt;$D$2,G51/F51&gt;=3),"Very serious", AND(H51&gt;=$D$1,I51&lt;0,J51&gt;$D$2,G51/F51&gt;=3),"Very serious", AND(H51&gt;$D$1*-1,H51&lt;$D$1,I51&gt;$D$1*-1,J51&lt;$D$1,G51/F51&lt;3),"Not serious", AND(H51&gt;$D$1*-1,H51&lt;$D$1,OR(I51&lt;=$D$1*-1,J51&gt;=$D$1),I51&gt;$D$2*-1,J51&lt;$D$2,G51/F51&lt;3),"Serious", AND(H51&gt;$D$1*-1,H51&lt;$D$1,OR(I51&lt;=$D$2*-1,J51&gt;=$D$2),G51/F51&lt;3),"Very serious", AND(H51&gt;$D$1*-1,H51&lt;$D$1,I51&gt;$D$1*-1,J51&lt;$D$1,G51/F51&gt;=3),"Very serious", AND(H51&gt;$D$1*-1,H51&lt;$D$1,OR(I51&lt;=$D$1*-1,J51&gt;=$D$1),I51&gt;$D$2*-1,J51&lt;$D$2,G51/F51&gt;=3),"Very serious", AND(H51&gt;$D$1*-1,H51&lt;$D$1,OR(I51&lt;=$D$2*-1,J51&gt;=$D$2),G51/F51&gt;=3),"Very serious")),"")</f>
        <v/>
      </c>
      <c r="R51" s="109" t="str">
        <f t="shared" si="47"/>
        <v/>
      </c>
      <c r="S51" s="64"/>
      <c r="T51" s="144"/>
      <c r="U51" s="144"/>
      <c r="V51" s="144"/>
      <c r="W51" s="142"/>
      <c r="X51" s="142"/>
      <c r="Y51" s="143"/>
      <c r="Z51" s="113" t="str">
        <f t="array" ref="Z51">INDEX($A$1:$C$500, MATCH(1,($B:$B=$B51)*($C:$C=$AB51),0),1)</f>
        <v/>
      </c>
      <c r="AA51" s="113" t="str">
        <f t="array" ref="AA51">INDEX($A$1:$C$500, MATCH(1,($B:$B=$AB51)*($C:$C=$B51),0),1)</f>
        <v/>
      </c>
      <c r="AB51" s="111"/>
      <c r="AC51" s="114" t="str">
        <f t="shared" si="2"/>
        <v/>
      </c>
      <c r="AD51" s="115" t="str">
        <f t="shared" si="3"/>
        <v/>
      </c>
      <c r="AE51" s="116" t="str">
        <f t="array" ref="AE51">INDEX($A$1:$C$500, MATCH(1,($B:$B=$AB51)*($C:$C=$AG51),0),1)</f>
        <v/>
      </c>
      <c r="AF51" s="116" t="str">
        <f t="array" ref="AF51">INDEX($A$1:$C$500, MATCH(1,($B:$B=$AG51)*($C:$C=$AB51),0),1)</f>
        <v/>
      </c>
      <c r="AG51" s="72"/>
      <c r="AH51" s="114" t="str">
        <f t="shared" si="4"/>
        <v/>
      </c>
      <c r="AI51" s="115" t="str">
        <f t="shared" si="5"/>
        <v/>
      </c>
      <c r="AJ51" s="116" t="str">
        <f t="array" ref="AJ51">INDEX($A$1:$C$500, MATCH(1,($B:$B=$C51)*($C:$C=$AG51),0),1)</f>
        <v/>
      </c>
      <c r="AK51" s="116" t="str">
        <f t="array" ref="AK51">INDEX($A$1:$C$500, MATCH(1,($B:$B=$AG51)*($C:$C=$C51),0),1)</f>
        <v/>
      </c>
      <c r="AL51" s="116" t="str">
        <f t="array" ref="AL51">INDEX($A$1:$C$500, MATCH(1,($B:$B=$C51)*($C:$C=$AB51),0),1)</f>
        <v/>
      </c>
      <c r="AM51" s="116" t="str">
        <f t="array" ref="AM51">INDEX($A$1:$C$500, MATCH(1,($B:$B=$AB51)*($C:$C=$C51),0),1)</f>
        <v/>
      </c>
      <c r="AN51" s="114" t="str">
        <f t="array" ref="AN51">IFS(ISNUMBER(AJ51),AJ51,ISNUMBER(AK51),AK51,ISNUMBER(AL51),AL51,ISNUMBER(AM51),AM51)</f>
        <v>#N/A</v>
      </c>
      <c r="AO51" s="115" t="str">
        <f t="shared" si="6"/>
        <v/>
      </c>
      <c r="AP51" s="115" t="str">
        <f t="shared" si="7"/>
        <v/>
      </c>
      <c r="AQ51" s="72"/>
      <c r="AR51" s="109" t="str">
        <f t="shared" si="8"/>
        <v/>
      </c>
      <c r="AS51" s="72" t="str">
        <f>IFERROR(IF(AND(Preferences!B$3="Manual",OR(AX51/AW51&gt;V51/U51,BD51="Serious",BD51="Very serious")),"Assess imprecision",IFERROR(IFS(AND(Preferences!B$3="Automatic",V51/U51&gt;=30),"Extremely serious",AND(W51&lt;=$D$1*-1,Y51&lt;0,V51/U51&lt;3),"Not Serious",AND(W51&lt;=$D$1*-1,Y51&lt;0,V51/U51&gt;=3),"Very serious",AND(W51&gt;=$D$1,X51&gt;0,V51/U51&lt;3),"Not Serious",AND(W51&gt;=$D$1,X51&gt;0,V51/U51&gt;=3),"Very serious",AND(W51&lt;=$D$1*-1,Y51&gt;0,X51&gt;$D$2*-1,V51/U51&lt;3),"Serious", AND(W51&lt;=$D$1*-1,Y51&gt;0,X51&lt;$D$2*-1,V51/U51&lt;3),"Very serious", AND(W51&gt;=$D$1,X51&lt;0,Y51&lt;$D$2,V51/U51&lt;3),"Serious",AND(W51&gt;=$D$1,X51&lt;0,Y51&gt;$D$2,V51/U51&lt;3),"Very serious", AND(W51&lt;=$D$1*-1,Y51&gt;0,X51&gt;$D$2*-1,V51/U51&gt;=3),"Very serious", AND(W51&lt;=$D$1*-1,Y51&gt;0,X51&lt;$D$2*-1,V51/U51&gt;=3),"Very serious", AND(W51&gt;=$D$1,X51&lt;0,Y51&lt;$D$2,V51/U51&gt;=3),"Very serious", AND(W51&gt;=$D$1,X51&lt;0,Y51&gt;$D$2,V51/U51&gt;=3),"Very serious", AND(W51&gt;$D$1*-1,W51&lt;$D$1,X51&gt;$D$1*-1,Y51&lt;$D$1,V51/U51&lt;3),"Not Serious", AND(W51&gt;$D$1*-1,W51&lt;$D$1,OR(X51&lt;=$D$1*-1,Y51&gt;=$D$1),X51&gt;$D$2*-1,Y51&lt;$D$2,V51/U51&lt;3),"Serious", AND(W51&gt;$D$1*-1,W51&lt;$D$1,OR(X51&lt;=$D$2*-1,Y51&gt;=$D$2),V51/U51&lt;3),"Very serious", AND(W51&gt;$D$1*-1,W51&lt;$D$1,X51&gt;$D$1*-1,Y51&lt;$D$1,V51/U51&gt;=3),"Very serious", AND(W51&gt;$D$1*-1,W51&lt;$D$1,OR(X51&lt;=$D$1*-1,Y51&gt;=$D$1),X51&gt;$D$2*-1,Y51&lt;$D$2,V51/U51&gt;=3),"Very serious", AND(W51&gt;$D$1*-1,W51&lt;$D$1,OR(X51&lt;=$D$2*-1,Y51&gt;=$D$2),V51/U51&gt;=3),"Very serious"),"")),"")</f>
        <v/>
      </c>
      <c r="AT51" s="109" t="str">
        <f t="shared" si="9"/>
        <v/>
      </c>
      <c r="AU51" s="64"/>
      <c r="AV51" s="117"/>
      <c r="AW51" s="117"/>
      <c r="AX51" s="117"/>
      <c r="AY51" s="118"/>
      <c r="AZ51" s="118"/>
      <c r="BA51" s="119"/>
      <c r="BB51" s="86" t="str">
        <f>IF(Preferences!B$9="Manual","",IFS(ISBLANK(B51),"",AND(ISNUMBER(E51)=TRUE,ISNUMBER(T51)=FALSE),"Direct", AND(ISNUMBER(E51)=FALSE,ISNUMBER(T51)=TRUE),"Indirect", CN51=4,"Direct",AND(CL51=FALSE, CM51=TRUE,CN51-CO51&gt;-1),"Direct", AND(CL51=FALSE,CM51=TRUE, CN51-CO51&lt;0),"Check algorithm in appendix 2", AND(CL51=TRUE, CM51=FALSE,CN51-CO51&gt;0),"Check algorithm in appendix 2", AND(CL51=TRUE, CM51=FALSE,CN51-CO51=0),"Indirect", AND(CL51=TRUE, CM51=FALSE,CN51-CO51&lt;0),"Indirect", AND(CL51=FALSE,CM51=FALSE,CN51-CO51&gt;-1),"Direct", AND(CL51=FALSE,CM51=FALSE,CN51-CO51&lt;0),"Check algorithm in appendix 2", AND(CL51=TRUE,CM51=TRUE,CN51-CO51&gt;-1),"Direct", AND(CL51=TRUE,CM51=TRUE,CN51-CO51&lt;0),"Check algorithm in appendix 2"))</f>
        <v/>
      </c>
      <c r="BC51" s="120" t="str">
        <f t="shared" si="10"/>
        <v/>
      </c>
      <c r="BD51" s="140"/>
      <c r="BE51" s="122" t="str">
        <f>IF(Preferences!B$3="Manual","", IFERROR(IFS(AND(Preferences!B$3="Automatic",AX51/AW51&gt;=30),"Extremely serious",AND(AY51&lt;=$D$1*-1,BA51&lt;0,AX51/AW51&lt;3),"Not Serious",AND(AY51&lt;=$D$1*-1,BA51&lt;0,AX51/AW51&gt;=3),"Very serious",AND(AY51&gt;=$D$1,AZ51&gt;0,AX51/AW51&lt;3),"Not Serious",AND(AY51&gt;=$D$1,AZ51&gt;0,AX51/AW51&gt;=3),"Very serious",AND(AY51&lt;=$D$1*-1,BA51&gt;0,AZ51&gt;$D$2*-1,AX51/AW51&lt;3),"Serious", AND(AY51&lt;=$D$1*-1,BA51&gt;0,AZ51&lt;$D$2*-1,AX51/AW51&lt;3),"Very serious", AND(AY51&gt;=$D$1,AZ51&lt;0,BA51&lt;$D$2,AX51/AW51&lt;3),"Serious",AND(AY51&gt;=$D$1,AZ51&lt;0,BA51&gt;$D$2,AX51/AW51&lt;3),"Very serious", AND(AY51&lt;=$D$1*-1,BA51&gt;0,AZ51&gt;$D$2*-1,AX51/AW51&gt;=3),"Very serious", AND(AY51&lt;=$D$1*-1,BA51&gt;0,AZ51&lt;$D$2*-1,AX51/AW51&gt;=3),"Very serious", AND(AY51&gt;=$D$1,AZ51&lt;0,BA51&lt;$D$2,AX51/AW51&gt;=3),"Very serious", AND(AY51&gt;=$D$1,AZ51&lt;0,BA51&gt;$D$2,AX51/AW51&gt;=3),"Very serious", AND(AY51&gt;$D$1*-1,AY51&lt;$D$1,AZ51&gt;$D$1*-1,BA51&lt;$D$1,AX51/AW51&lt;3),"Not Serious", AND(AY51&gt;$D$1*-1,AY51&lt;$D$1,OR(AZ51&lt;=$D$1*-1,BA51&gt;=$D$1),AZ51&gt;$D$2*-1,BA51&lt;$D$2,AX51/AW51&lt;3),"Serious", AND(AY51&gt;$D$1*-1,AY51&lt;$D$1,OR(AZ51&lt;=$D$2*-1,BA51&gt;=$D$2),AX51/AW51&lt;3),"Very serious", AND(AY51&gt;$D$1*-1,AY51&lt;$D$1,AZ51&gt;$D$1*-1,BA51&lt;$D$1,AX51/AW51&gt;=3),"Very serious", AND(AY51&gt;$D$1*-1,AY51&lt;$D$1,OR(AZ51&lt;=$D$1*-1,BA51&gt;=$D$1),AZ51&gt;$D$2*-1,BA51&lt;$D$2,AX51/AW51&gt;=3),"Very serious", AND(AY51&gt;$D$1*-1,AY51&lt;$D$1,OR(AZ51&lt;=$D$2*-1,BA51&gt;=$D$2),AX51/AW51&gt;=3),"Very serious"),""))</f>
        <v/>
      </c>
      <c r="BF51" s="107" t="str">
        <f t="shared" si="11"/>
        <v/>
      </c>
      <c r="BG51" s="94" t="str">
        <f t="shared" si="46"/>
        <v/>
      </c>
      <c r="BH51" s="64" t="str">
        <f t="shared" si="12"/>
        <v>#N/A</v>
      </c>
      <c r="BI51" s="64" t="str">
        <f t="shared" si="13"/>
        <v/>
      </c>
      <c r="BJ51" s="123" t="str">
        <f t="shared" si="14"/>
        <v>#N/A</v>
      </c>
      <c r="BK51" s="64" t="str">
        <f t="shared" si="50"/>
        <v>YES</v>
      </c>
      <c r="BL51" s="64" t="str">
        <f t="shared" si="16"/>
        <v>YES</v>
      </c>
      <c r="BM51" s="64" t="str">
        <f t="shared" si="17"/>
        <v>YES</v>
      </c>
      <c r="BN51" s="124" t="str">
        <f t="shared" si="18"/>
        <v/>
      </c>
      <c r="BO51" s="91" t="str">
        <f t="shared" si="19"/>
        <v/>
      </c>
      <c r="BP51" s="91" t="str">
        <f t="shared" si="20"/>
        <v>#N/A</v>
      </c>
      <c r="BQ51" s="91" t="str">
        <f t="shared" si="21"/>
        <v/>
      </c>
      <c r="BR51" s="93" t="str">
        <f t="shared" si="22"/>
        <v/>
      </c>
      <c r="BS51" s="90" t="str">
        <f t="shared" si="23"/>
        <v/>
      </c>
      <c r="BT51" s="93" t="str">
        <f t="shared" si="24"/>
        <v>NA</v>
      </c>
      <c r="BU51" s="125" t="str">
        <f t="shared" si="25"/>
        <v>#N/A</v>
      </c>
      <c r="BV51" s="93" t="str">
        <f t="shared" si="26"/>
        <v/>
      </c>
      <c r="BW51" s="93" t="str">
        <f t="shared" si="27"/>
        <v/>
      </c>
      <c r="BX51" s="93" t="str">
        <f t="shared" si="28"/>
        <v>NA</v>
      </c>
      <c r="BY51" s="95" t="str">
        <f t="shared" si="29"/>
        <v>#N/A</v>
      </c>
      <c r="BZ51" s="93" t="str">
        <f t="shared" si="30"/>
        <v/>
      </c>
      <c r="CA51" s="93" t="str">
        <f t="shared" si="31"/>
        <v/>
      </c>
      <c r="CB51" s="93" t="str">
        <f t="shared" si="32"/>
        <v>NA</v>
      </c>
      <c r="CC51" s="96" t="str">
        <f t="shared" si="33"/>
        <v>#N/A</v>
      </c>
      <c r="CD51" s="93" t="str">
        <f t="shared" si="34"/>
        <v/>
      </c>
      <c r="CE51" s="93" t="str">
        <f t="shared" si="35"/>
        <v/>
      </c>
      <c r="CF51" s="93" t="str">
        <f t="shared" si="36"/>
        <v>NA</v>
      </c>
      <c r="CG51" s="97" t="str">
        <f t="shared" si="37"/>
        <v>#N/A</v>
      </c>
      <c r="CH51" s="98" t="str">
        <f t="shared" si="38"/>
        <v>#N/A</v>
      </c>
      <c r="CI51" s="99" t="str">
        <f t="shared" si="39"/>
        <v>#N/A</v>
      </c>
      <c r="CJ51" s="126" t="str">
        <f t="shared" si="40"/>
        <v>ERROR: check cell</v>
      </c>
      <c r="CK51" s="126"/>
      <c r="CL51" s="127" t="str">
        <f t="shared" si="41"/>
        <v>#DIV/0!</v>
      </c>
      <c r="CM51" s="128" t="str">
        <f t="shared" si="42"/>
        <v>#DIV/0!</v>
      </c>
      <c r="CN51" s="128">
        <f t="shared" si="43"/>
        <v>4</v>
      </c>
      <c r="CO51" s="129">
        <f t="shared" si="44"/>
        <v>4</v>
      </c>
      <c r="CP51" s="129" t="str">
        <f>IFS(C51=Preferences!B$13,B51,B51=Preferences!B$13,C51)</f>
        <v>#N/A</v>
      </c>
    </row>
    <row r="52" ht="13.5" customHeight="1">
      <c r="A52" s="63" t="str">
        <f t="shared" si="45"/>
        <v/>
      </c>
      <c r="B52" s="64"/>
      <c r="C52" s="64"/>
      <c r="D52" s="64"/>
      <c r="E52" s="65"/>
      <c r="F52" s="65"/>
      <c r="G52" s="65"/>
      <c r="H52" s="65"/>
      <c r="I52" s="65"/>
      <c r="J52" s="141"/>
      <c r="K52" s="138"/>
      <c r="L52" s="133"/>
      <c r="M52" s="133"/>
      <c r="N52" s="133"/>
      <c r="O52" s="133"/>
      <c r="P52" s="107" t="str">
        <f t="shared" si="1"/>
        <v/>
      </c>
      <c r="Q52" s="108" t="str">
        <f>IFERROR(IF(AND(Preferences!B$3="Manual",OR(AX52/AW52&gt;G52/F52,BD52="Serious",BD52="Very serious")),"Assess imprecision",IFS(ISBLANK(E52),"",AND(Preferences!B$3="Automatic", G52/F52&gt;=30),"Extremely serious",AND(H52&lt;=$D$1*-1,J52&lt;0,G52/F52&lt;3),"Not serious",AND(H52&lt;=$D$1*-1,J52&lt;0,G52/F52&gt;=3),"Very serious",AND(H52&gt;=$D$1,I52&gt;0,G52/F52&lt;3),"Not serious",AND(H52&gt;=$D$1,I52&gt;0,G52/F52&gt;=3),"Very serious",AND(H52&lt;=$D$1*-1,J52&gt;0,I52&gt;$D$2*-1,G52/F52&lt;3),"Serious", AND(H52&lt;=$D$1*-1,J52&gt;0,I52&lt;$D$2*-1,G52/F52&lt;3),"Very serious", AND(H52&gt;=$D$1,I52&lt;0,J52&lt;$D$2,G52/F52&lt;3),"Serious",AND(H52&gt;=$D$1,I52&lt;0,J52&gt;$D$2,G52/F52&lt;3),"Very serious", AND(H52&lt;=$D$1*-1,J52&gt;0,I52&gt;$D$2*-1,G52/F52&gt;=3),"Very serious", AND(H52&lt;=$D$1*-1,J52&gt;0,I52&lt;$D$2*-1,G52/F52&gt;=3),"Very serious", AND(H52&gt;=$D$1,I52&lt;0,J52&lt;$D$2,G52/F52&gt;=3),"Very serious", AND(H52&gt;=$D$1,I52&lt;0,J52&gt;$D$2,G52/F52&gt;=3),"Very serious", AND(H52&gt;$D$1*-1,H52&lt;$D$1,I52&gt;$D$1*-1,J52&lt;$D$1,G52/F52&lt;3),"Not serious", AND(H52&gt;$D$1*-1,H52&lt;$D$1,OR(I52&lt;=$D$1*-1,J52&gt;=$D$1),I52&gt;$D$2*-1,J52&lt;$D$2,G52/F52&lt;3),"Serious", AND(H52&gt;$D$1*-1,H52&lt;$D$1,OR(I52&lt;=$D$2*-1,J52&gt;=$D$2),G52/F52&lt;3),"Very serious", AND(H52&gt;$D$1*-1,H52&lt;$D$1,I52&gt;$D$1*-1,J52&lt;$D$1,G52/F52&gt;=3),"Very serious", AND(H52&gt;$D$1*-1,H52&lt;$D$1,OR(I52&lt;=$D$1*-1,J52&gt;=$D$1),I52&gt;$D$2*-1,J52&lt;$D$2,G52/F52&gt;=3),"Very serious", AND(H52&gt;$D$1*-1,H52&lt;$D$1,OR(I52&lt;=$D$2*-1,J52&gt;=$D$2),G52/F52&gt;=3),"Very serious")),"")</f>
        <v/>
      </c>
      <c r="R52" s="109" t="str">
        <f t="shared" si="47"/>
        <v/>
      </c>
      <c r="S52" s="64"/>
      <c r="T52" s="144"/>
      <c r="U52" s="144"/>
      <c r="V52" s="144"/>
      <c r="W52" s="142"/>
      <c r="X52" s="142"/>
      <c r="Y52" s="143"/>
      <c r="Z52" s="113" t="str">
        <f t="array" ref="Z52">INDEX($A$1:$C$500, MATCH(1,($B:$B=$B52)*($C:$C=$AB52),0),1)</f>
        <v/>
      </c>
      <c r="AA52" s="113" t="str">
        <f t="array" ref="AA52">INDEX($A$1:$C$500, MATCH(1,($B:$B=$AB52)*($C:$C=$B52),0),1)</f>
        <v/>
      </c>
      <c r="AB52" s="111"/>
      <c r="AC52" s="114" t="str">
        <f t="shared" si="2"/>
        <v/>
      </c>
      <c r="AD52" s="115" t="str">
        <f t="shared" si="3"/>
        <v/>
      </c>
      <c r="AE52" s="116" t="str">
        <f t="array" ref="AE52">INDEX($A$1:$C$500, MATCH(1,($B:$B=$AB52)*($C:$C=$AG52),0),1)</f>
        <v/>
      </c>
      <c r="AF52" s="116" t="str">
        <f t="array" ref="AF52">INDEX($A$1:$C$500, MATCH(1,($B:$B=$AG52)*($C:$C=$AB52),0),1)</f>
        <v/>
      </c>
      <c r="AG52" s="72"/>
      <c r="AH52" s="114" t="str">
        <f t="shared" si="4"/>
        <v/>
      </c>
      <c r="AI52" s="115" t="str">
        <f t="shared" si="5"/>
        <v/>
      </c>
      <c r="AJ52" s="116" t="str">
        <f t="array" ref="AJ52">INDEX($A$1:$C$500, MATCH(1,($B:$B=$C52)*($C:$C=$AG52),0),1)</f>
        <v/>
      </c>
      <c r="AK52" s="116" t="str">
        <f t="array" ref="AK52">INDEX($A$1:$C$500, MATCH(1,($B:$B=$AG52)*($C:$C=$C52),0),1)</f>
        <v/>
      </c>
      <c r="AL52" s="116" t="str">
        <f t="array" ref="AL52">INDEX($A$1:$C$500, MATCH(1,($B:$B=$C52)*($C:$C=$AB52),0),1)</f>
        <v/>
      </c>
      <c r="AM52" s="116" t="str">
        <f t="array" ref="AM52">INDEX($A$1:$C$500, MATCH(1,($B:$B=$AB52)*($C:$C=$C52),0),1)</f>
        <v/>
      </c>
      <c r="AN52" s="114" t="str">
        <f t="array" ref="AN52">IFS(ISNUMBER(AJ52),AJ52,ISNUMBER(AK52),AK52,ISNUMBER(AL52),AL52,ISNUMBER(AM52),AM52)</f>
        <v>#N/A</v>
      </c>
      <c r="AO52" s="115" t="str">
        <f t="shared" si="6"/>
        <v/>
      </c>
      <c r="AP52" s="115" t="str">
        <f t="shared" si="7"/>
        <v/>
      </c>
      <c r="AQ52" s="72"/>
      <c r="AR52" s="109" t="str">
        <f t="shared" si="8"/>
        <v/>
      </c>
      <c r="AS52" s="72" t="str">
        <f>IFERROR(IF(AND(Preferences!B$3="Manual",OR(AX52/AW52&gt;V52/U52,BD52="Serious",BD52="Very serious")),"Assess imprecision",IFERROR(IFS(AND(Preferences!B$3="Automatic",V52/U52&gt;=30),"Extremely serious",AND(W52&lt;=$D$1*-1,Y52&lt;0,V52/U52&lt;3),"Not Serious",AND(W52&lt;=$D$1*-1,Y52&lt;0,V52/U52&gt;=3),"Very serious",AND(W52&gt;=$D$1,X52&gt;0,V52/U52&lt;3),"Not Serious",AND(W52&gt;=$D$1,X52&gt;0,V52/U52&gt;=3),"Very serious",AND(W52&lt;=$D$1*-1,Y52&gt;0,X52&gt;$D$2*-1,V52/U52&lt;3),"Serious", AND(W52&lt;=$D$1*-1,Y52&gt;0,X52&lt;$D$2*-1,V52/U52&lt;3),"Very serious", AND(W52&gt;=$D$1,X52&lt;0,Y52&lt;$D$2,V52/U52&lt;3),"Serious",AND(W52&gt;=$D$1,X52&lt;0,Y52&gt;$D$2,V52/U52&lt;3),"Very serious", AND(W52&lt;=$D$1*-1,Y52&gt;0,X52&gt;$D$2*-1,V52/U52&gt;=3),"Very serious", AND(W52&lt;=$D$1*-1,Y52&gt;0,X52&lt;$D$2*-1,V52/U52&gt;=3),"Very serious", AND(W52&gt;=$D$1,X52&lt;0,Y52&lt;$D$2,V52/U52&gt;=3),"Very serious", AND(W52&gt;=$D$1,X52&lt;0,Y52&gt;$D$2,V52/U52&gt;=3),"Very serious", AND(W52&gt;$D$1*-1,W52&lt;$D$1,X52&gt;$D$1*-1,Y52&lt;$D$1,V52/U52&lt;3),"Not Serious", AND(W52&gt;$D$1*-1,W52&lt;$D$1,OR(X52&lt;=$D$1*-1,Y52&gt;=$D$1),X52&gt;$D$2*-1,Y52&lt;$D$2,V52/U52&lt;3),"Serious", AND(W52&gt;$D$1*-1,W52&lt;$D$1,OR(X52&lt;=$D$2*-1,Y52&gt;=$D$2),V52/U52&lt;3),"Very serious", AND(W52&gt;$D$1*-1,W52&lt;$D$1,X52&gt;$D$1*-1,Y52&lt;$D$1,V52/U52&gt;=3),"Very serious", AND(W52&gt;$D$1*-1,W52&lt;$D$1,OR(X52&lt;=$D$1*-1,Y52&gt;=$D$1),X52&gt;$D$2*-1,Y52&lt;$D$2,V52/U52&gt;=3),"Very serious", AND(W52&gt;$D$1*-1,W52&lt;$D$1,OR(X52&lt;=$D$2*-1,Y52&gt;=$D$2),V52/U52&gt;=3),"Very serious"),"")),"")</f>
        <v/>
      </c>
      <c r="AT52" s="109" t="str">
        <f t="shared" si="9"/>
        <v/>
      </c>
      <c r="AU52" s="64"/>
      <c r="AV52" s="117"/>
      <c r="AW52" s="117"/>
      <c r="AX52" s="117"/>
      <c r="AY52" s="118"/>
      <c r="AZ52" s="118"/>
      <c r="BA52" s="119"/>
      <c r="BB52" s="86" t="str">
        <f>IF(Preferences!B$9="Manual","",IFS(ISBLANK(B52),"",AND(ISNUMBER(E52)=TRUE,ISNUMBER(T52)=FALSE),"Direct", AND(ISNUMBER(E52)=FALSE,ISNUMBER(T52)=TRUE),"Indirect", CN52=4,"Direct",AND(CL52=FALSE, CM52=TRUE,CN52-CO52&gt;-1),"Direct", AND(CL52=FALSE,CM52=TRUE, CN52-CO52&lt;0),"Check algorithm in appendix 2", AND(CL52=TRUE, CM52=FALSE,CN52-CO52&gt;0),"Check algorithm in appendix 2", AND(CL52=TRUE, CM52=FALSE,CN52-CO52=0),"Indirect", AND(CL52=TRUE, CM52=FALSE,CN52-CO52&lt;0),"Indirect", AND(CL52=FALSE,CM52=FALSE,CN52-CO52&gt;-1),"Direct", AND(CL52=FALSE,CM52=FALSE,CN52-CO52&lt;0),"Check algorithm in appendix 2", AND(CL52=TRUE,CM52=TRUE,CN52-CO52&gt;-1),"Direct", AND(CL52=TRUE,CM52=TRUE,CN52-CO52&lt;0),"Check algorithm in appendix 2"))</f>
        <v/>
      </c>
      <c r="BC52" s="120" t="str">
        <f t="shared" si="10"/>
        <v/>
      </c>
      <c r="BD52" s="140"/>
      <c r="BE52" s="122" t="str">
        <f>IF(Preferences!B$3="Manual","", IFERROR(IFS(AND(Preferences!B$3="Automatic",AX52/AW52&gt;=30),"Extremely serious",AND(AY52&lt;=$D$1*-1,BA52&lt;0,AX52/AW52&lt;3),"Not Serious",AND(AY52&lt;=$D$1*-1,BA52&lt;0,AX52/AW52&gt;=3),"Very serious",AND(AY52&gt;=$D$1,AZ52&gt;0,AX52/AW52&lt;3),"Not Serious",AND(AY52&gt;=$D$1,AZ52&gt;0,AX52/AW52&gt;=3),"Very serious",AND(AY52&lt;=$D$1*-1,BA52&gt;0,AZ52&gt;$D$2*-1,AX52/AW52&lt;3),"Serious", AND(AY52&lt;=$D$1*-1,BA52&gt;0,AZ52&lt;$D$2*-1,AX52/AW52&lt;3),"Very serious", AND(AY52&gt;=$D$1,AZ52&lt;0,BA52&lt;$D$2,AX52/AW52&lt;3),"Serious",AND(AY52&gt;=$D$1,AZ52&lt;0,BA52&gt;$D$2,AX52/AW52&lt;3),"Very serious", AND(AY52&lt;=$D$1*-1,BA52&gt;0,AZ52&gt;$D$2*-1,AX52/AW52&gt;=3),"Very serious", AND(AY52&lt;=$D$1*-1,BA52&gt;0,AZ52&lt;$D$2*-1,AX52/AW52&gt;=3),"Very serious", AND(AY52&gt;=$D$1,AZ52&lt;0,BA52&lt;$D$2,AX52/AW52&gt;=3),"Very serious", AND(AY52&gt;=$D$1,AZ52&lt;0,BA52&gt;$D$2,AX52/AW52&gt;=3),"Very serious", AND(AY52&gt;$D$1*-1,AY52&lt;$D$1,AZ52&gt;$D$1*-1,BA52&lt;$D$1,AX52/AW52&lt;3),"Not Serious", AND(AY52&gt;$D$1*-1,AY52&lt;$D$1,OR(AZ52&lt;=$D$1*-1,BA52&gt;=$D$1),AZ52&gt;$D$2*-1,BA52&lt;$D$2,AX52/AW52&lt;3),"Serious", AND(AY52&gt;$D$1*-1,AY52&lt;$D$1,OR(AZ52&lt;=$D$2*-1,BA52&gt;=$D$2),AX52/AW52&lt;3),"Very serious", AND(AY52&gt;$D$1*-1,AY52&lt;$D$1,AZ52&gt;$D$1*-1,BA52&lt;$D$1,AX52/AW52&gt;=3),"Very serious", AND(AY52&gt;$D$1*-1,AY52&lt;$D$1,OR(AZ52&lt;=$D$1*-1,BA52&gt;=$D$1),AZ52&gt;$D$2*-1,BA52&lt;$D$2,AX52/AW52&gt;=3),"Very serious", AND(AY52&gt;$D$1*-1,AY52&lt;$D$1,OR(AZ52&lt;=$D$2*-1,BA52&gt;=$D$2),AX52/AW52&gt;=3),"Very serious"),""))</f>
        <v/>
      </c>
      <c r="BF52" s="107" t="str">
        <f t="shared" si="11"/>
        <v/>
      </c>
      <c r="BG52" s="94" t="str">
        <f t="shared" si="46"/>
        <v/>
      </c>
      <c r="BH52" s="64" t="str">
        <f t="shared" si="12"/>
        <v>#N/A</v>
      </c>
      <c r="BI52" s="64" t="str">
        <f t="shared" si="13"/>
        <v/>
      </c>
      <c r="BJ52" s="123" t="str">
        <f t="shared" si="14"/>
        <v>#N/A</v>
      </c>
      <c r="BK52" s="64" t="str">
        <f t="shared" si="50"/>
        <v>YES</v>
      </c>
      <c r="BL52" s="64" t="str">
        <f t="shared" si="16"/>
        <v>YES</v>
      </c>
      <c r="BM52" s="64" t="str">
        <f t="shared" si="17"/>
        <v>YES</v>
      </c>
      <c r="BN52" s="124" t="str">
        <f t="shared" si="18"/>
        <v/>
      </c>
      <c r="BO52" s="91" t="str">
        <f t="shared" si="19"/>
        <v/>
      </c>
      <c r="BP52" s="91" t="str">
        <f t="shared" si="20"/>
        <v>#N/A</v>
      </c>
      <c r="BQ52" s="91" t="str">
        <f t="shared" si="21"/>
        <v/>
      </c>
      <c r="BR52" s="93" t="str">
        <f t="shared" si="22"/>
        <v/>
      </c>
      <c r="BS52" s="90" t="str">
        <f t="shared" si="23"/>
        <v/>
      </c>
      <c r="BT52" s="93" t="str">
        <f t="shared" si="24"/>
        <v>NA</v>
      </c>
      <c r="BU52" s="125" t="str">
        <f t="shared" si="25"/>
        <v>#N/A</v>
      </c>
      <c r="BV52" s="93" t="str">
        <f t="shared" si="26"/>
        <v/>
      </c>
      <c r="BW52" s="93" t="str">
        <f t="shared" si="27"/>
        <v/>
      </c>
      <c r="BX52" s="93" t="str">
        <f t="shared" si="28"/>
        <v>NA</v>
      </c>
      <c r="BY52" s="95" t="str">
        <f t="shared" si="29"/>
        <v>#N/A</v>
      </c>
      <c r="BZ52" s="93" t="str">
        <f t="shared" si="30"/>
        <v/>
      </c>
      <c r="CA52" s="93" t="str">
        <f t="shared" si="31"/>
        <v/>
      </c>
      <c r="CB52" s="93" t="str">
        <f t="shared" si="32"/>
        <v>NA</v>
      </c>
      <c r="CC52" s="96" t="str">
        <f t="shared" si="33"/>
        <v>#N/A</v>
      </c>
      <c r="CD52" s="93" t="str">
        <f t="shared" si="34"/>
        <v/>
      </c>
      <c r="CE52" s="93" t="str">
        <f t="shared" si="35"/>
        <v/>
      </c>
      <c r="CF52" s="93" t="str">
        <f t="shared" si="36"/>
        <v>NA</v>
      </c>
      <c r="CG52" s="97" t="str">
        <f t="shared" si="37"/>
        <v>#N/A</v>
      </c>
      <c r="CH52" s="98" t="str">
        <f t="shared" si="38"/>
        <v>#N/A</v>
      </c>
      <c r="CI52" s="99" t="str">
        <f t="shared" si="39"/>
        <v>#N/A</v>
      </c>
      <c r="CJ52" s="126" t="str">
        <f t="shared" si="40"/>
        <v>ERROR: check cell</v>
      </c>
      <c r="CK52" s="126"/>
      <c r="CL52" s="127" t="str">
        <f t="shared" si="41"/>
        <v>#DIV/0!</v>
      </c>
      <c r="CM52" s="128" t="str">
        <f t="shared" si="42"/>
        <v>#DIV/0!</v>
      </c>
      <c r="CN52" s="128">
        <f t="shared" si="43"/>
        <v>4</v>
      </c>
      <c r="CO52" s="129">
        <f t="shared" si="44"/>
        <v>4</v>
      </c>
      <c r="CP52" s="129" t="str">
        <f>IFS(C52=Preferences!B$13,B52,B52=Preferences!B$13,C52)</f>
        <v>#N/A</v>
      </c>
    </row>
    <row r="53" ht="13.5" customHeight="1">
      <c r="A53" s="63" t="str">
        <f t="shared" si="45"/>
        <v/>
      </c>
      <c r="B53" s="64"/>
      <c r="C53" s="64"/>
      <c r="D53" s="64"/>
      <c r="E53" s="65"/>
      <c r="F53" s="65"/>
      <c r="G53" s="65"/>
      <c r="H53" s="65"/>
      <c r="I53" s="65"/>
      <c r="J53" s="141"/>
      <c r="K53" s="138"/>
      <c r="L53" s="104"/>
      <c r="M53" s="104"/>
      <c r="N53" s="104"/>
      <c r="O53" s="104"/>
      <c r="P53" s="107" t="str">
        <f t="shared" si="1"/>
        <v/>
      </c>
      <c r="Q53" s="108" t="str">
        <f>IFERROR(IF(AND(Preferences!B$3="Manual",OR(AX53/AW53&gt;G53/F53,BD53="Serious",BD53="Very serious")),"Assess imprecision",IFS(ISBLANK(E53),"",AND(Preferences!B$3="Automatic", G53/F53&gt;=30),"Extremely serious",AND(H53&lt;=$D$1*-1,J53&lt;0,G53/F53&lt;3),"Not serious",AND(H53&lt;=$D$1*-1,J53&lt;0,G53/F53&gt;=3),"Very serious",AND(H53&gt;=$D$1,I53&gt;0,G53/F53&lt;3),"Not serious",AND(H53&gt;=$D$1,I53&gt;0,G53/F53&gt;=3),"Very serious",AND(H53&lt;=$D$1*-1,J53&gt;0,I53&gt;$D$2*-1,G53/F53&lt;3),"Serious", AND(H53&lt;=$D$1*-1,J53&gt;0,I53&lt;$D$2*-1,G53/F53&lt;3),"Very serious", AND(H53&gt;=$D$1,I53&lt;0,J53&lt;$D$2,G53/F53&lt;3),"Serious",AND(H53&gt;=$D$1,I53&lt;0,J53&gt;$D$2,G53/F53&lt;3),"Very serious", AND(H53&lt;=$D$1*-1,J53&gt;0,I53&gt;$D$2*-1,G53/F53&gt;=3),"Very serious", AND(H53&lt;=$D$1*-1,J53&gt;0,I53&lt;$D$2*-1,G53/F53&gt;=3),"Very serious", AND(H53&gt;=$D$1,I53&lt;0,J53&lt;$D$2,G53/F53&gt;=3),"Very serious", AND(H53&gt;=$D$1,I53&lt;0,J53&gt;$D$2,G53/F53&gt;=3),"Very serious", AND(H53&gt;$D$1*-1,H53&lt;$D$1,I53&gt;$D$1*-1,J53&lt;$D$1,G53/F53&lt;3),"Not serious", AND(H53&gt;$D$1*-1,H53&lt;$D$1,OR(I53&lt;=$D$1*-1,J53&gt;=$D$1),I53&gt;$D$2*-1,J53&lt;$D$2,G53/F53&lt;3),"Serious", AND(H53&gt;$D$1*-1,H53&lt;$D$1,OR(I53&lt;=$D$2*-1,J53&gt;=$D$2),G53/F53&lt;3),"Very serious", AND(H53&gt;$D$1*-1,H53&lt;$D$1,I53&gt;$D$1*-1,J53&lt;$D$1,G53/F53&gt;=3),"Very serious", AND(H53&gt;$D$1*-1,H53&lt;$D$1,OR(I53&lt;=$D$1*-1,J53&gt;=$D$1),I53&gt;$D$2*-1,J53&lt;$D$2,G53/F53&gt;=3),"Very serious", AND(H53&gt;$D$1*-1,H53&lt;$D$1,OR(I53&lt;=$D$2*-1,J53&gt;=$D$2),G53/F53&gt;=3),"Very serious")),"")</f>
        <v/>
      </c>
      <c r="R53" s="109" t="str">
        <f t="shared" si="47"/>
        <v/>
      </c>
      <c r="S53" s="64"/>
      <c r="T53" s="144"/>
      <c r="U53" s="144"/>
      <c r="V53" s="144"/>
      <c r="W53" s="142"/>
      <c r="X53" s="142"/>
      <c r="Y53" s="143"/>
      <c r="Z53" s="113" t="str">
        <f t="array" ref="Z53">INDEX($A$1:$C$500, MATCH(1,($B:$B=$B53)*($C:$C=$AB53),0),1)</f>
        <v/>
      </c>
      <c r="AA53" s="113" t="str">
        <f t="array" ref="AA53">INDEX($A$1:$C$500, MATCH(1,($B:$B=$AB53)*($C:$C=$B53),0),1)</f>
        <v/>
      </c>
      <c r="AB53" s="111"/>
      <c r="AC53" s="114" t="str">
        <f t="shared" si="2"/>
        <v/>
      </c>
      <c r="AD53" s="115" t="str">
        <f t="shared" si="3"/>
        <v/>
      </c>
      <c r="AE53" s="116" t="str">
        <f t="array" ref="AE53">INDEX($A$1:$C$500, MATCH(1,($B:$B=$AB53)*($C:$C=$AG53),0),1)</f>
        <v/>
      </c>
      <c r="AF53" s="116" t="str">
        <f t="array" ref="AF53">INDEX($A$1:$C$500, MATCH(1,($B:$B=$AG53)*($C:$C=$AB53),0),1)</f>
        <v/>
      </c>
      <c r="AG53" s="72"/>
      <c r="AH53" s="114" t="str">
        <f t="shared" si="4"/>
        <v/>
      </c>
      <c r="AI53" s="115" t="str">
        <f t="shared" si="5"/>
        <v/>
      </c>
      <c r="AJ53" s="116" t="str">
        <f t="array" ref="AJ53">INDEX($A$1:$C$500, MATCH(1,($B:$B=$C53)*($C:$C=$AG53),0),1)</f>
        <v/>
      </c>
      <c r="AK53" s="116" t="str">
        <f t="array" ref="AK53">INDEX($A$1:$C$500, MATCH(1,($B:$B=$AG53)*($C:$C=$C53),0),1)</f>
        <v/>
      </c>
      <c r="AL53" s="116" t="str">
        <f t="array" ref="AL53">INDEX($A$1:$C$500, MATCH(1,($B:$B=$C53)*($C:$C=$AB53),0),1)</f>
        <v/>
      </c>
      <c r="AM53" s="116" t="str">
        <f t="array" ref="AM53">INDEX($A$1:$C$500, MATCH(1,($B:$B=$AB53)*($C:$C=$C53),0),1)</f>
        <v/>
      </c>
      <c r="AN53" s="114" t="str">
        <f t="array" ref="AN53">IFS(ISNUMBER(AJ53),AJ53,ISNUMBER(AK53),AK53,ISNUMBER(AL53),AL53,ISNUMBER(AM53),AM53)</f>
        <v>#N/A</v>
      </c>
      <c r="AO53" s="115" t="str">
        <f t="shared" si="6"/>
        <v/>
      </c>
      <c r="AP53" s="115" t="str">
        <f t="shared" si="7"/>
        <v/>
      </c>
      <c r="AQ53" s="72"/>
      <c r="AR53" s="109" t="str">
        <f t="shared" si="8"/>
        <v/>
      </c>
      <c r="AS53" s="72" t="str">
        <f>IFERROR(IF(AND(Preferences!B$3="Manual",OR(AX53/AW53&gt;V53/U53,BD53="Serious",BD53="Very serious")),"Assess imprecision",IFERROR(IFS(AND(Preferences!B$3="Automatic",V53/U53&gt;=30),"Extremely serious",AND(W53&lt;=$D$1*-1,Y53&lt;0,V53/U53&lt;3),"Not Serious",AND(W53&lt;=$D$1*-1,Y53&lt;0,V53/U53&gt;=3),"Very serious",AND(W53&gt;=$D$1,X53&gt;0,V53/U53&lt;3),"Not Serious",AND(W53&gt;=$D$1,X53&gt;0,V53/U53&gt;=3),"Very serious",AND(W53&lt;=$D$1*-1,Y53&gt;0,X53&gt;$D$2*-1,V53/U53&lt;3),"Serious", AND(W53&lt;=$D$1*-1,Y53&gt;0,X53&lt;$D$2*-1,V53/U53&lt;3),"Very serious", AND(W53&gt;=$D$1,X53&lt;0,Y53&lt;$D$2,V53/U53&lt;3),"Serious",AND(W53&gt;=$D$1,X53&lt;0,Y53&gt;$D$2,V53/U53&lt;3),"Very serious", AND(W53&lt;=$D$1*-1,Y53&gt;0,X53&gt;$D$2*-1,V53/U53&gt;=3),"Very serious", AND(W53&lt;=$D$1*-1,Y53&gt;0,X53&lt;$D$2*-1,V53/U53&gt;=3),"Very serious", AND(W53&gt;=$D$1,X53&lt;0,Y53&lt;$D$2,V53/U53&gt;=3),"Very serious", AND(W53&gt;=$D$1,X53&lt;0,Y53&gt;$D$2,V53/U53&gt;=3),"Very serious", AND(W53&gt;$D$1*-1,W53&lt;$D$1,X53&gt;$D$1*-1,Y53&lt;$D$1,V53/U53&lt;3),"Not Serious", AND(W53&gt;$D$1*-1,W53&lt;$D$1,OR(X53&lt;=$D$1*-1,Y53&gt;=$D$1),X53&gt;$D$2*-1,Y53&lt;$D$2,V53/U53&lt;3),"Serious", AND(W53&gt;$D$1*-1,W53&lt;$D$1,OR(X53&lt;=$D$2*-1,Y53&gt;=$D$2),V53/U53&lt;3),"Very serious", AND(W53&gt;$D$1*-1,W53&lt;$D$1,X53&gt;$D$1*-1,Y53&lt;$D$1,V53/U53&gt;=3),"Very serious", AND(W53&gt;$D$1*-1,W53&lt;$D$1,OR(X53&lt;=$D$1*-1,Y53&gt;=$D$1),X53&gt;$D$2*-1,Y53&lt;$D$2,V53/U53&gt;=3),"Very serious", AND(W53&gt;$D$1*-1,W53&lt;$D$1,OR(X53&lt;=$D$2*-1,Y53&gt;=$D$2),V53/U53&gt;=3),"Very serious"),"")),"")</f>
        <v/>
      </c>
      <c r="AT53" s="109" t="str">
        <f t="shared" si="9"/>
        <v/>
      </c>
      <c r="AU53" s="64"/>
      <c r="AV53" s="117"/>
      <c r="AW53" s="117"/>
      <c r="AX53" s="117"/>
      <c r="AY53" s="118"/>
      <c r="AZ53" s="118"/>
      <c r="BA53" s="119"/>
      <c r="BB53" s="86" t="str">
        <f>IF(Preferences!B$9="Manual","",IFS(ISBLANK(B53),"",AND(ISNUMBER(E53)=TRUE,ISNUMBER(T53)=FALSE),"Direct", AND(ISNUMBER(E53)=FALSE,ISNUMBER(T53)=TRUE),"Indirect", CN53=4,"Direct",AND(CL53=FALSE, CM53=TRUE,CN53-CO53&gt;-1),"Direct", AND(CL53=FALSE,CM53=TRUE, CN53-CO53&lt;0),"Check algorithm in appendix 2", AND(CL53=TRUE, CM53=FALSE,CN53-CO53&gt;0),"Check algorithm in appendix 2", AND(CL53=TRUE, CM53=FALSE,CN53-CO53=0),"Indirect", AND(CL53=TRUE, CM53=FALSE,CN53-CO53&lt;0),"Indirect", AND(CL53=FALSE,CM53=FALSE,CN53-CO53&gt;-1),"Direct", AND(CL53=FALSE,CM53=FALSE,CN53-CO53&lt;0),"Check algorithm in appendix 2", AND(CL53=TRUE,CM53=TRUE,CN53-CO53&gt;-1),"Direct", AND(CL53=TRUE,CM53=TRUE,CN53-CO53&lt;0),"Check algorithm in appendix 2"))</f>
        <v/>
      </c>
      <c r="BC53" s="120" t="str">
        <f t="shared" si="10"/>
        <v/>
      </c>
      <c r="BD53" s="140"/>
      <c r="BE53" s="122" t="str">
        <f>IF(Preferences!B$3="Manual","", IFERROR(IFS(AND(Preferences!B$3="Automatic",AX53/AW53&gt;=30),"Extremely serious",AND(AY53&lt;=$D$1*-1,BA53&lt;0,AX53/AW53&lt;3),"Not Serious",AND(AY53&lt;=$D$1*-1,BA53&lt;0,AX53/AW53&gt;=3),"Very serious",AND(AY53&gt;=$D$1,AZ53&gt;0,AX53/AW53&lt;3),"Not Serious",AND(AY53&gt;=$D$1,AZ53&gt;0,AX53/AW53&gt;=3),"Very serious",AND(AY53&lt;=$D$1*-1,BA53&gt;0,AZ53&gt;$D$2*-1,AX53/AW53&lt;3),"Serious", AND(AY53&lt;=$D$1*-1,BA53&gt;0,AZ53&lt;$D$2*-1,AX53/AW53&lt;3),"Very serious", AND(AY53&gt;=$D$1,AZ53&lt;0,BA53&lt;$D$2,AX53/AW53&lt;3),"Serious",AND(AY53&gt;=$D$1,AZ53&lt;0,BA53&gt;$D$2,AX53/AW53&lt;3),"Very serious", AND(AY53&lt;=$D$1*-1,BA53&gt;0,AZ53&gt;$D$2*-1,AX53/AW53&gt;=3),"Very serious", AND(AY53&lt;=$D$1*-1,BA53&gt;0,AZ53&lt;$D$2*-1,AX53/AW53&gt;=3),"Very serious", AND(AY53&gt;=$D$1,AZ53&lt;0,BA53&lt;$D$2,AX53/AW53&gt;=3),"Very serious", AND(AY53&gt;=$D$1,AZ53&lt;0,BA53&gt;$D$2,AX53/AW53&gt;=3),"Very serious", AND(AY53&gt;$D$1*-1,AY53&lt;$D$1,AZ53&gt;$D$1*-1,BA53&lt;$D$1,AX53/AW53&lt;3),"Not Serious", AND(AY53&gt;$D$1*-1,AY53&lt;$D$1,OR(AZ53&lt;=$D$1*-1,BA53&gt;=$D$1),AZ53&gt;$D$2*-1,BA53&lt;$D$2,AX53/AW53&lt;3),"Serious", AND(AY53&gt;$D$1*-1,AY53&lt;$D$1,OR(AZ53&lt;=$D$2*-1,BA53&gt;=$D$2),AX53/AW53&lt;3),"Very serious", AND(AY53&gt;$D$1*-1,AY53&lt;$D$1,AZ53&gt;$D$1*-1,BA53&lt;$D$1,AX53/AW53&gt;=3),"Very serious", AND(AY53&gt;$D$1*-1,AY53&lt;$D$1,OR(AZ53&lt;=$D$1*-1,BA53&gt;=$D$1),AZ53&gt;$D$2*-1,BA53&lt;$D$2,AX53/AW53&gt;=3),"Very serious", AND(AY53&gt;$D$1*-1,AY53&lt;$D$1,OR(AZ53&lt;=$D$2*-1,BA53&gt;=$D$2),AX53/AW53&gt;=3),"Very serious"),""))</f>
        <v/>
      </c>
      <c r="BF53" s="107" t="str">
        <f t="shared" si="11"/>
        <v/>
      </c>
      <c r="BG53" s="94" t="str">
        <f t="shared" si="46"/>
        <v/>
      </c>
      <c r="BH53" s="64" t="str">
        <f t="shared" si="12"/>
        <v>#N/A</v>
      </c>
      <c r="BI53" s="64" t="str">
        <f t="shared" si="13"/>
        <v/>
      </c>
      <c r="BJ53" s="123" t="str">
        <f t="shared" si="14"/>
        <v>#N/A</v>
      </c>
      <c r="BK53" s="64" t="str">
        <f t="shared" si="50"/>
        <v>YES</v>
      </c>
      <c r="BL53" s="64" t="str">
        <f t="shared" si="16"/>
        <v>YES</v>
      </c>
      <c r="BM53" s="64" t="str">
        <f t="shared" si="17"/>
        <v>YES</v>
      </c>
      <c r="BN53" s="124" t="str">
        <f t="shared" si="18"/>
        <v/>
      </c>
      <c r="BO53" s="91" t="str">
        <f t="shared" si="19"/>
        <v/>
      </c>
      <c r="BP53" s="91" t="str">
        <f t="shared" si="20"/>
        <v>#N/A</v>
      </c>
      <c r="BQ53" s="91" t="str">
        <f t="shared" si="21"/>
        <v/>
      </c>
      <c r="BR53" s="93" t="str">
        <f t="shared" si="22"/>
        <v/>
      </c>
      <c r="BS53" s="90" t="str">
        <f t="shared" si="23"/>
        <v/>
      </c>
      <c r="BT53" s="93" t="str">
        <f t="shared" si="24"/>
        <v>NA</v>
      </c>
      <c r="BU53" s="125" t="str">
        <f t="shared" si="25"/>
        <v>#N/A</v>
      </c>
      <c r="BV53" s="93" t="str">
        <f t="shared" si="26"/>
        <v/>
      </c>
      <c r="BW53" s="93" t="str">
        <f t="shared" si="27"/>
        <v/>
      </c>
      <c r="BX53" s="93" t="str">
        <f t="shared" si="28"/>
        <v>NA</v>
      </c>
      <c r="BY53" s="95" t="str">
        <f t="shared" si="29"/>
        <v>#N/A</v>
      </c>
      <c r="BZ53" s="93" t="str">
        <f t="shared" si="30"/>
        <v/>
      </c>
      <c r="CA53" s="93" t="str">
        <f t="shared" si="31"/>
        <v/>
      </c>
      <c r="CB53" s="93" t="str">
        <f t="shared" si="32"/>
        <v>NA</v>
      </c>
      <c r="CC53" s="96" t="str">
        <f t="shared" si="33"/>
        <v>#N/A</v>
      </c>
      <c r="CD53" s="93" t="str">
        <f t="shared" si="34"/>
        <v/>
      </c>
      <c r="CE53" s="93" t="str">
        <f t="shared" si="35"/>
        <v/>
      </c>
      <c r="CF53" s="93" t="str">
        <f t="shared" si="36"/>
        <v>NA</v>
      </c>
      <c r="CG53" s="97" t="str">
        <f t="shared" si="37"/>
        <v>#N/A</v>
      </c>
      <c r="CH53" s="98" t="str">
        <f t="shared" si="38"/>
        <v>#N/A</v>
      </c>
      <c r="CI53" s="99" t="str">
        <f t="shared" si="39"/>
        <v>#N/A</v>
      </c>
      <c r="CJ53" s="126" t="str">
        <f t="shared" si="40"/>
        <v>ERROR: check cell</v>
      </c>
      <c r="CK53" s="126"/>
      <c r="CL53" s="127" t="str">
        <f t="shared" si="41"/>
        <v>#DIV/0!</v>
      </c>
      <c r="CM53" s="128" t="str">
        <f t="shared" si="42"/>
        <v>#DIV/0!</v>
      </c>
      <c r="CN53" s="128">
        <f t="shared" si="43"/>
        <v>4</v>
      </c>
      <c r="CO53" s="129">
        <f t="shared" si="44"/>
        <v>4</v>
      </c>
      <c r="CP53" s="129" t="str">
        <f>IFS(C53=Preferences!B$13,B53,B53=Preferences!B$13,C53)</f>
        <v>#N/A</v>
      </c>
    </row>
    <row r="54" ht="13.5" customHeight="1">
      <c r="A54" s="63" t="str">
        <f t="shared" si="45"/>
        <v/>
      </c>
      <c r="B54" s="64"/>
      <c r="C54" s="64"/>
      <c r="D54" s="64"/>
      <c r="E54" s="65"/>
      <c r="F54" s="65"/>
      <c r="G54" s="65"/>
      <c r="H54" s="65"/>
      <c r="I54" s="65"/>
      <c r="J54" s="141"/>
      <c r="K54" s="138"/>
      <c r="L54" s="104"/>
      <c r="M54" s="104"/>
      <c r="N54" s="104"/>
      <c r="O54" s="104"/>
      <c r="P54" s="107" t="str">
        <f t="shared" si="1"/>
        <v/>
      </c>
      <c r="Q54" s="108" t="str">
        <f>IFERROR(IF(AND(Preferences!B$3="Manual",OR(AX54/AW54&gt;G54/F54,BD54="Serious",BD54="Very serious")),"Assess imprecision",IFS(ISBLANK(E54),"",AND(Preferences!B$3="Automatic", G54/F54&gt;=30),"Extremely serious",AND(H54&lt;=$D$1*-1,J54&lt;0,G54/F54&lt;3),"Not serious",AND(H54&lt;=$D$1*-1,J54&lt;0,G54/F54&gt;=3),"Very serious",AND(H54&gt;=$D$1,I54&gt;0,G54/F54&lt;3),"Not serious",AND(H54&gt;=$D$1,I54&gt;0,G54/F54&gt;=3),"Very serious",AND(H54&lt;=$D$1*-1,J54&gt;0,I54&gt;$D$2*-1,G54/F54&lt;3),"Serious", AND(H54&lt;=$D$1*-1,J54&gt;0,I54&lt;$D$2*-1,G54/F54&lt;3),"Very serious", AND(H54&gt;=$D$1,I54&lt;0,J54&lt;$D$2,G54/F54&lt;3),"Serious",AND(H54&gt;=$D$1,I54&lt;0,J54&gt;$D$2,G54/F54&lt;3),"Very serious", AND(H54&lt;=$D$1*-1,J54&gt;0,I54&gt;$D$2*-1,G54/F54&gt;=3),"Very serious", AND(H54&lt;=$D$1*-1,J54&gt;0,I54&lt;$D$2*-1,G54/F54&gt;=3),"Very serious", AND(H54&gt;=$D$1,I54&lt;0,J54&lt;$D$2,G54/F54&gt;=3),"Very serious", AND(H54&gt;=$D$1,I54&lt;0,J54&gt;$D$2,G54/F54&gt;=3),"Very serious", AND(H54&gt;$D$1*-1,H54&lt;$D$1,I54&gt;$D$1*-1,J54&lt;$D$1,G54/F54&lt;3),"Not serious", AND(H54&gt;$D$1*-1,H54&lt;$D$1,OR(I54&lt;=$D$1*-1,J54&gt;=$D$1),I54&gt;$D$2*-1,J54&lt;$D$2,G54/F54&lt;3),"Serious", AND(H54&gt;$D$1*-1,H54&lt;$D$1,OR(I54&lt;=$D$2*-1,J54&gt;=$D$2),G54/F54&lt;3),"Very serious", AND(H54&gt;$D$1*-1,H54&lt;$D$1,I54&gt;$D$1*-1,J54&lt;$D$1,G54/F54&gt;=3),"Very serious", AND(H54&gt;$D$1*-1,H54&lt;$D$1,OR(I54&lt;=$D$1*-1,J54&gt;=$D$1),I54&gt;$D$2*-1,J54&lt;$D$2,G54/F54&gt;=3),"Very serious", AND(H54&gt;$D$1*-1,H54&lt;$D$1,OR(I54&lt;=$D$2*-1,J54&gt;=$D$2),G54/F54&gt;=3),"Very serious")),"")</f>
        <v/>
      </c>
      <c r="R54" s="109" t="str">
        <f t="shared" si="47"/>
        <v/>
      </c>
      <c r="S54" s="64"/>
      <c r="T54" s="144"/>
      <c r="U54" s="144"/>
      <c r="V54" s="144"/>
      <c r="W54" s="142"/>
      <c r="X54" s="142"/>
      <c r="Y54" s="143"/>
      <c r="Z54" s="113" t="str">
        <f t="array" ref="Z54">INDEX($A$1:$C$500, MATCH(1,($B:$B=$B54)*($C:$C=$AB54),0),1)</f>
        <v/>
      </c>
      <c r="AA54" s="113" t="str">
        <f t="array" ref="AA54">INDEX($A$1:$C$500, MATCH(1,($B:$B=$AB54)*($C:$C=$B54),0),1)</f>
        <v/>
      </c>
      <c r="AB54" s="111"/>
      <c r="AC54" s="114" t="str">
        <f t="shared" si="2"/>
        <v/>
      </c>
      <c r="AD54" s="115" t="str">
        <f t="shared" si="3"/>
        <v/>
      </c>
      <c r="AE54" s="116" t="str">
        <f t="array" ref="AE54">INDEX($A$1:$C$500, MATCH(1,($B:$B=$AB54)*($C:$C=$AG54),0),1)</f>
        <v/>
      </c>
      <c r="AF54" s="116" t="str">
        <f t="array" ref="AF54">INDEX($A$1:$C$500, MATCH(1,($B:$B=$AG54)*($C:$C=$AB54),0),1)</f>
        <v/>
      </c>
      <c r="AG54" s="72"/>
      <c r="AH54" s="114" t="str">
        <f t="shared" si="4"/>
        <v/>
      </c>
      <c r="AI54" s="115" t="str">
        <f t="shared" si="5"/>
        <v/>
      </c>
      <c r="AJ54" s="116" t="str">
        <f t="array" ref="AJ54">INDEX($A$1:$C$500, MATCH(1,($B:$B=$C54)*($C:$C=$AG54),0),1)</f>
        <v/>
      </c>
      <c r="AK54" s="116" t="str">
        <f t="array" ref="AK54">INDEX($A$1:$C$500, MATCH(1,($B:$B=$AG54)*($C:$C=$C54),0),1)</f>
        <v/>
      </c>
      <c r="AL54" s="116" t="str">
        <f t="array" ref="AL54">INDEX($A$1:$C$500, MATCH(1,($B:$B=$C54)*($C:$C=$AB54),0),1)</f>
        <v/>
      </c>
      <c r="AM54" s="116" t="str">
        <f t="array" ref="AM54">INDEX($A$1:$C$500, MATCH(1,($B:$B=$AB54)*($C:$C=$C54),0),1)</f>
        <v/>
      </c>
      <c r="AN54" s="114" t="str">
        <f t="array" ref="AN54">IFS(ISNUMBER(AJ54),AJ54,ISNUMBER(AK54),AK54,ISNUMBER(AL54),AL54,ISNUMBER(AM54),AM54)</f>
        <v>#N/A</v>
      </c>
      <c r="AO54" s="115" t="str">
        <f t="shared" si="6"/>
        <v/>
      </c>
      <c r="AP54" s="115" t="str">
        <f t="shared" si="7"/>
        <v/>
      </c>
      <c r="AQ54" s="72"/>
      <c r="AR54" s="109" t="str">
        <f t="shared" si="8"/>
        <v/>
      </c>
      <c r="AS54" s="72" t="str">
        <f>IFERROR(IF(AND(Preferences!B$3="Manual",OR(AX54/AW54&gt;V54/U54,BD54="Serious",BD54="Very serious")),"Assess imprecision",IFERROR(IFS(AND(Preferences!B$3="Automatic",V54/U54&gt;=30),"Extremely serious",AND(W54&lt;=$D$1*-1,Y54&lt;0,V54/U54&lt;3),"Not Serious",AND(W54&lt;=$D$1*-1,Y54&lt;0,V54/U54&gt;=3),"Very serious",AND(W54&gt;=$D$1,X54&gt;0,V54/U54&lt;3),"Not Serious",AND(W54&gt;=$D$1,X54&gt;0,V54/U54&gt;=3),"Very serious",AND(W54&lt;=$D$1*-1,Y54&gt;0,X54&gt;$D$2*-1,V54/U54&lt;3),"Serious", AND(W54&lt;=$D$1*-1,Y54&gt;0,X54&lt;$D$2*-1,V54/U54&lt;3),"Very serious", AND(W54&gt;=$D$1,X54&lt;0,Y54&lt;$D$2,V54/U54&lt;3),"Serious",AND(W54&gt;=$D$1,X54&lt;0,Y54&gt;$D$2,V54/U54&lt;3),"Very serious", AND(W54&lt;=$D$1*-1,Y54&gt;0,X54&gt;$D$2*-1,V54/U54&gt;=3),"Very serious", AND(W54&lt;=$D$1*-1,Y54&gt;0,X54&lt;$D$2*-1,V54/U54&gt;=3),"Very serious", AND(W54&gt;=$D$1,X54&lt;0,Y54&lt;$D$2,V54/U54&gt;=3),"Very serious", AND(W54&gt;=$D$1,X54&lt;0,Y54&gt;$D$2,V54/U54&gt;=3),"Very serious", AND(W54&gt;$D$1*-1,W54&lt;$D$1,X54&gt;$D$1*-1,Y54&lt;$D$1,V54/U54&lt;3),"Not Serious", AND(W54&gt;$D$1*-1,W54&lt;$D$1,OR(X54&lt;=$D$1*-1,Y54&gt;=$D$1),X54&gt;$D$2*-1,Y54&lt;$D$2,V54/U54&lt;3),"Serious", AND(W54&gt;$D$1*-1,W54&lt;$D$1,OR(X54&lt;=$D$2*-1,Y54&gt;=$D$2),V54/U54&lt;3),"Very serious", AND(W54&gt;$D$1*-1,W54&lt;$D$1,X54&gt;$D$1*-1,Y54&lt;$D$1,V54/U54&gt;=3),"Very serious", AND(W54&gt;$D$1*-1,W54&lt;$D$1,OR(X54&lt;=$D$1*-1,Y54&gt;=$D$1),X54&gt;$D$2*-1,Y54&lt;$D$2,V54/U54&gt;=3),"Very serious", AND(W54&gt;$D$1*-1,W54&lt;$D$1,OR(X54&lt;=$D$2*-1,Y54&gt;=$D$2),V54/U54&gt;=3),"Very serious"),"")),"")</f>
        <v/>
      </c>
      <c r="AT54" s="109" t="str">
        <f t="shared" si="9"/>
        <v/>
      </c>
      <c r="AU54" s="64"/>
      <c r="AV54" s="117"/>
      <c r="AW54" s="117"/>
      <c r="AX54" s="117"/>
      <c r="AY54" s="118"/>
      <c r="AZ54" s="118"/>
      <c r="BA54" s="119"/>
      <c r="BB54" s="86" t="str">
        <f>IF(Preferences!B$9="Manual","",IFS(ISBLANK(B54),"",AND(ISNUMBER(E54)=TRUE,ISNUMBER(T54)=FALSE),"Direct", AND(ISNUMBER(E54)=FALSE,ISNUMBER(T54)=TRUE),"Indirect", CN54=4,"Direct",AND(CL54=FALSE, CM54=TRUE,CN54-CO54&gt;-1),"Direct", AND(CL54=FALSE,CM54=TRUE, CN54-CO54&lt;0),"Check algorithm in appendix 2", AND(CL54=TRUE, CM54=FALSE,CN54-CO54&gt;0),"Check algorithm in appendix 2", AND(CL54=TRUE, CM54=FALSE,CN54-CO54=0),"Indirect", AND(CL54=TRUE, CM54=FALSE,CN54-CO54&lt;0),"Indirect", AND(CL54=FALSE,CM54=FALSE,CN54-CO54&gt;-1),"Direct", AND(CL54=FALSE,CM54=FALSE,CN54-CO54&lt;0),"Check algorithm in appendix 2", AND(CL54=TRUE,CM54=TRUE,CN54-CO54&gt;-1),"Direct", AND(CL54=TRUE,CM54=TRUE,CN54-CO54&lt;0),"Check algorithm in appendix 2"))</f>
        <v/>
      </c>
      <c r="BC54" s="120" t="str">
        <f t="shared" si="10"/>
        <v/>
      </c>
      <c r="BD54" s="140"/>
      <c r="BE54" s="122" t="str">
        <f>IF(Preferences!B$3="Manual","", IFERROR(IFS(AND(Preferences!B$3="Automatic",AX54/AW54&gt;=30),"Extremely serious",AND(AY54&lt;=$D$1*-1,BA54&lt;0,AX54/AW54&lt;3),"Not Serious",AND(AY54&lt;=$D$1*-1,BA54&lt;0,AX54/AW54&gt;=3),"Very serious",AND(AY54&gt;=$D$1,AZ54&gt;0,AX54/AW54&lt;3),"Not Serious",AND(AY54&gt;=$D$1,AZ54&gt;0,AX54/AW54&gt;=3),"Very serious",AND(AY54&lt;=$D$1*-1,BA54&gt;0,AZ54&gt;$D$2*-1,AX54/AW54&lt;3),"Serious", AND(AY54&lt;=$D$1*-1,BA54&gt;0,AZ54&lt;$D$2*-1,AX54/AW54&lt;3),"Very serious", AND(AY54&gt;=$D$1,AZ54&lt;0,BA54&lt;$D$2,AX54/AW54&lt;3),"Serious",AND(AY54&gt;=$D$1,AZ54&lt;0,BA54&gt;$D$2,AX54/AW54&lt;3),"Very serious", AND(AY54&lt;=$D$1*-1,BA54&gt;0,AZ54&gt;$D$2*-1,AX54/AW54&gt;=3),"Very serious", AND(AY54&lt;=$D$1*-1,BA54&gt;0,AZ54&lt;$D$2*-1,AX54/AW54&gt;=3),"Very serious", AND(AY54&gt;=$D$1,AZ54&lt;0,BA54&lt;$D$2,AX54/AW54&gt;=3),"Very serious", AND(AY54&gt;=$D$1,AZ54&lt;0,BA54&gt;$D$2,AX54/AW54&gt;=3),"Very serious", AND(AY54&gt;$D$1*-1,AY54&lt;$D$1,AZ54&gt;$D$1*-1,BA54&lt;$D$1,AX54/AW54&lt;3),"Not Serious", AND(AY54&gt;$D$1*-1,AY54&lt;$D$1,OR(AZ54&lt;=$D$1*-1,BA54&gt;=$D$1),AZ54&gt;$D$2*-1,BA54&lt;$D$2,AX54/AW54&lt;3),"Serious", AND(AY54&gt;$D$1*-1,AY54&lt;$D$1,OR(AZ54&lt;=$D$2*-1,BA54&gt;=$D$2),AX54/AW54&lt;3),"Very serious", AND(AY54&gt;$D$1*-1,AY54&lt;$D$1,AZ54&gt;$D$1*-1,BA54&lt;$D$1,AX54/AW54&gt;=3),"Very serious", AND(AY54&gt;$D$1*-1,AY54&lt;$D$1,OR(AZ54&lt;=$D$1*-1,BA54&gt;=$D$1),AZ54&gt;$D$2*-1,BA54&lt;$D$2,AX54/AW54&gt;=3),"Very serious", AND(AY54&gt;$D$1*-1,AY54&lt;$D$1,OR(AZ54&lt;=$D$2*-1,BA54&gt;=$D$2),AX54/AW54&gt;=3),"Very serious"),""))</f>
        <v/>
      </c>
      <c r="BF54" s="107" t="str">
        <f t="shared" si="11"/>
        <v/>
      </c>
      <c r="BG54" s="94" t="str">
        <f t="shared" si="46"/>
        <v/>
      </c>
      <c r="BH54" s="64" t="str">
        <f t="shared" si="12"/>
        <v>#N/A</v>
      </c>
      <c r="BI54" s="64" t="str">
        <f t="shared" si="13"/>
        <v/>
      </c>
      <c r="BJ54" s="123" t="str">
        <f t="shared" si="14"/>
        <v>#N/A</v>
      </c>
      <c r="BK54" s="64" t="str">
        <f t="shared" si="50"/>
        <v>YES</v>
      </c>
      <c r="BL54" s="64" t="str">
        <f t="shared" si="16"/>
        <v>YES</v>
      </c>
      <c r="BM54" s="64" t="str">
        <f t="shared" si="17"/>
        <v>YES</v>
      </c>
      <c r="BN54" s="124" t="str">
        <f t="shared" si="18"/>
        <v/>
      </c>
      <c r="BO54" s="91" t="str">
        <f t="shared" si="19"/>
        <v/>
      </c>
      <c r="BP54" s="91" t="str">
        <f t="shared" si="20"/>
        <v>#N/A</v>
      </c>
      <c r="BQ54" s="91" t="str">
        <f t="shared" si="21"/>
        <v/>
      </c>
      <c r="BR54" s="93" t="str">
        <f t="shared" si="22"/>
        <v/>
      </c>
      <c r="BS54" s="90" t="str">
        <f t="shared" si="23"/>
        <v/>
      </c>
      <c r="BT54" s="93" t="str">
        <f t="shared" si="24"/>
        <v>NA</v>
      </c>
      <c r="BU54" s="125" t="str">
        <f t="shared" si="25"/>
        <v>#N/A</v>
      </c>
      <c r="BV54" s="93" t="str">
        <f t="shared" si="26"/>
        <v/>
      </c>
      <c r="BW54" s="93" t="str">
        <f t="shared" si="27"/>
        <v/>
      </c>
      <c r="BX54" s="93" t="str">
        <f t="shared" si="28"/>
        <v>NA</v>
      </c>
      <c r="BY54" s="95" t="str">
        <f t="shared" si="29"/>
        <v>#N/A</v>
      </c>
      <c r="BZ54" s="93" t="str">
        <f t="shared" si="30"/>
        <v/>
      </c>
      <c r="CA54" s="93" t="str">
        <f t="shared" si="31"/>
        <v/>
      </c>
      <c r="CB54" s="93" t="str">
        <f t="shared" si="32"/>
        <v>NA</v>
      </c>
      <c r="CC54" s="96" t="str">
        <f t="shared" si="33"/>
        <v>#N/A</v>
      </c>
      <c r="CD54" s="93" t="str">
        <f t="shared" si="34"/>
        <v/>
      </c>
      <c r="CE54" s="93" t="str">
        <f t="shared" si="35"/>
        <v/>
      </c>
      <c r="CF54" s="93" t="str">
        <f t="shared" si="36"/>
        <v>NA</v>
      </c>
      <c r="CG54" s="97" t="str">
        <f t="shared" si="37"/>
        <v>#N/A</v>
      </c>
      <c r="CH54" s="98" t="str">
        <f t="shared" si="38"/>
        <v>#N/A</v>
      </c>
      <c r="CI54" s="99" t="str">
        <f t="shared" si="39"/>
        <v>#N/A</v>
      </c>
      <c r="CJ54" s="126" t="str">
        <f t="shared" si="40"/>
        <v>ERROR: check cell</v>
      </c>
      <c r="CK54" s="126"/>
      <c r="CL54" s="127" t="str">
        <f t="shared" si="41"/>
        <v>#DIV/0!</v>
      </c>
      <c r="CM54" s="128" t="str">
        <f t="shared" si="42"/>
        <v>#DIV/0!</v>
      </c>
      <c r="CN54" s="128">
        <f t="shared" si="43"/>
        <v>4</v>
      </c>
      <c r="CO54" s="129">
        <f t="shared" si="44"/>
        <v>4</v>
      </c>
      <c r="CP54" s="129" t="str">
        <f>IFS(C54=Preferences!B$13,B54,B54=Preferences!B$13,C54)</f>
        <v>#N/A</v>
      </c>
    </row>
    <row r="55" ht="13.5" customHeight="1">
      <c r="A55" s="63" t="str">
        <f t="shared" si="45"/>
        <v/>
      </c>
      <c r="B55" s="64"/>
      <c r="C55" s="64"/>
      <c r="D55" s="64"/>
      <c r="E55" s="65"/>
      <c r="F55" s="65"/>
      <c r="G55" s="65"/>
      <c r="H55" s="65"/>
      <c r="I55" s="65"/>
      <c r="J55" s="141"/>
      <c r="K55" s="138"/>
      <c r="L55" s="133"/>
      <c r="M55" s="133"/>
      <c r="N55" s="133"/>
      <c r="O55" s="133"/>
      <c r="P55" s="107" t="str">
        <f t="shared" si="1"/>
        <v/>
      </c>
      <c r="Q55" s="108" t="str">
        <f>IFERROR(IF(AND(Preferences!B$3="Manual",OR(AX55/AW55&gt;G55/F55,BD55="Serious",BD55="Very serious")),"Assess imprecision",IFS(ISBLANK(E55),"",AND(Preferences!B$3="Automatic", G55/F55&gt;=30),"Extremely serious",AND(H55&lt;=$D$1*-1,J55&lt;0,G55/F55&lt;3),"Not serious",AND(H55&lt;=$D$1*-1,J55&lt;0,G55/F55&gt;=3),"Very serious",AND(H55&gt;=$D$1,I55&gt;0,G55/F55&lt;3),"Not serious",AND(H55&gt;=$D$1,I55&gt;0,G55/F55&gt;=3),"Very serious",AND(H55&lt;=$D$1*-1,J55&gt;0,I55&gt;$D$2*-1,G55/F55&lt;3),"Serious", AND(H55&lt;=$D$1*-1,J55&gt;0,I55&lt;$D$2*-1,G55/F55&lt;3),"Very serious", AND(H55&gt;=$D$1,I55&lt;0,J55&lt;$D$2,G55/F55&lt;3),"Serious",AND(H55&gt;=$D$1,I55&lt;0,J55&gt;$D$2,G55/F55&lt;3),"Very serious", AND(H55&lt;=$D$1*-1,J55&gt;0,I55&gt;$D$2*-1,G55/F55&gt;=3),"Very serious", AND(H55&lt;=$D$1*-1,J55&gt;0,I55&lt;$D$2*-1,G55/F55&gt;=3),"Very serious", AND(H55&gt;=$D$1,I55&lt;0,J55&lt;$D$2,G55/F55&gt;=3),"Very serious", AND(H55&gt;=$D$1,I55&lt;0,J55&gt;$D$2,G55/F55&gt;=3),"Very serious", AND(H55&gt;$D$1*-1,H55&lt;$D$1,I55&gt;$D$1*-1,J55&lt;$D$1,G55/F55&lt;3),"Not serious", AND(H55&gt;$D$1*-1,H55&lt;$D$1,OR(I55&lt;=$D$1*-1,J55&gt;=$D$1),I55&gt;$D$2*-1,J55&lt;$D$2,G55/F55&lt;3),"Serious", AND(H55&gt;$D$1*-1,H55&lt;$D$1,OR(I55&lt;=$D$2*-1,J55&gt;=$D$2),G55/F55&lt;3),"Very serious", AND(H55&gt;$D$1*-1,H55&lt;$D$1,I55&gt;$D$1*-1,J55&lt;$D$1,G55/F55&gt;=3),"Very serious", AND(H55&gt;$D$1*-1,H55&lt;$D$1,OR(I55&lt;=$D$1*-1,J55&gt;=$D$1),I55&gt;$D$2*-1,J55&lt;$D$2,G55/F55&gt;=3),"Very serious", AND(H55&gt;$D$1*-1,H55&lt;$D$1,OR(I55&lt;=$D$2*-1,J55&gt;=$D$2),G55/F55&gt;=3),"Very serious")),"")</f>
        <v/>
      </c>
      <c r="R55" s="109" t="str">
        <f t="shared" si="47"/>
        <v/>
      </c>
      <c r="S55" s="64"/>
      <c r="T55" s="144"/>
      <c r="U55" s="144"/>
      <c r="V55" s="144"/>
      <c r="W55" s="142"/>
      <c r="X55" s="142"/>
      <c r="Y55" s="143"/>
      <c r="Z55" s="113" t="str">
        <f t="array" ref="Z55">INDEX($A$1:$C$500, MATCH(1,($B:$B=$B55)*($C:$C=$AB55),0),1)</f>
        <v/>
      </c>
      <c r="AA55" s="113" t="str">
        <f t="array" ref="AA55">INDEX($A$1:$C$500, MATCH(1,($B:$B=$AB55)*($C:$C=$B55),0),1)</f>
        <v/>
      </c>
      <c r="AB55" s="111"/>
      <c r="AC55" s="114" t="str">
        <f t="shared" si="2"/>
        <v/>
      </c>
      <c r="AD55" s="115" t="str">
        <f t="shared" si="3"/>
        <v/>
      </c>
      <c r="AE55" s="116" t="str">
        <f t="array" ref="AE55">INDEX($A$1:$C$500, MATCH(1,($B:$B=$AB55)*($C:$C=$AG55),0),1)</f>
        <v/>
      </c>
      <c r="AF55" s="116" t="str">
        <f t="array" ref="AF55">INDEX($A$1:$C$500, MATCH(1,($B:$B=$AG55)*($C:$C=$AB55),0),1)</f>
        <v/>
      </c>
      <c r="AG55" s="72"/>
      <c r="AH55" s="114" t="str">
        <f t="shared" si="4"/>
        <v/>
      </c>
      <c r="AI55" s="115" t="str">
        <f t="shared" si="5"/>
        <v/>
      </c>
      <c r="AJ55" s="116" t="str">
        <f t="array" ref="AJ55">INDEX($A$1:$C$500, MATCH(1,($B:$B=$C55)*($C:$C=$AG55),0),1)</f>
        <v/>
      </c>
      <c r="AK55" s="116" t="str">
        <f t="array" ref="AK55">INDEX($A$1:$C$500, MATCH(1,($B:$B=$AG55)*($C:$C=$C55),0),1)</f>
        <v/>
      </c>
      <c r="AL55" s="116" t="str">
        <f t="array" ref="AL55">INDEX($A$1:$C$500, MATCH(1,($B:$B=$C55)*($C:$C=$AB55),0),1)</f>
        <v/>
      </c>
      <c r="AM55" s="116" t="str">
        <f t="array" ref="AM55">INDEX($A$1:$C$500, MATCH(1,($B:$B=$AB55)*($C:$C=$C55),0),1)</f>
        <v/>
      </c>
      <c r="AN55" s="114" t="str">
        <f t="array" ref="AN55">IFS(ISNUMBER(AJ55),AJ55,ISNUMBER(AK55),AK55,ISNUMBER(AL55),AL55,ISNUMBER(AM55),AM55)</f>
        <v>#N/A</v>
      </c>
      <c r="AO55" s="115" t="str">
        <f t="shared" si="6"/>
        <v/>
      </c>
      <c r="AP55" s="115" t="str">
        <f t="shared" si="7"/>
        <v/>
      </c>
      <c r="AQ55" s="72"/>
      <c r="AR55" s="109" t="str">
        <f t="shared" si="8"/>
        <v/>
      </c>
      <c r="AS55" s="72" t="str">
        <f>IFERROR(IF(AND(Preferences!B$3="Manual",OR(AX55/AW55&gt;V55/U55,BD55="Serious",BD55="Very serious")),"Assess imprecision",IFERROR(IFS(AND(Preferences!B$3="Automatic",V55/U55&gt;=30),"Extremely serious",AND(W55&lt;=$D$1*-1,Y55&lt;0,V55/U55&lt;3),"Not Serious",AND(W55&lt;=$D$1*-1,Y55&lt;0,V55/U55&gt;=3),"Very serious",AND(W55&gt;=$D$1,X55&gt;0,V55/U55&lt;3),"Not Serious",AND(W55&gt;=$D$1,X55&gt;0,V55/U55&gt;=3),"Very serious",AND(W55&lt;=$D$1*-1,Y55&gt;0,X55&gt;$D$2*-1,V55/U55&lt;3),"Serious", AND(W55&lt;=$D$1*-1,Y55&gt;0,X55&lt;$D$2*-1,V55/U55&lt;3),"Very serious", AND(W55&gt;=$D$1,X55&lt;0,Y55&lt;$D$2,V55/U55&lt;3),"Serious",AND(W55&gt;=$D$1,X55&lt;0,Y55&gt;$D$2,V55/U55&lt;3),"Very serious", AND(W55&lt;=$D$1*-1,Y55&gt;0,X55&gt;$D$2*-1,V55/U55&gt;=3),"Very serious", AND(W55&lt;=$D$1*-1,Y55&gt;0,X55&lt;$D$2*-1,V55/U55&gt;=3),"Very serious", AND(W55&gt;=$D$1,X55&lt;0,Y55&lt;$D$2,V55/U55&gt;=3),"Very serious", AND(W55&gt;=$D$1,X55&lt;0,Y55&gt;$D$2,V55/U55&gt;=3),"Very serious", AND(W55&gt;$D$1*-1,W55&lt;$D$1,X55&gt;$D$1*-1,Y55&lt;$D$1,V55/U55&lt;3),"Not Serious", AND(W55&gt;$D$1*-1,W55&lt;$D$1,OR(X55&lt;=$D$1*-1,Y55&gt;=$D$1),X55&gt;$D$2*-1,Y55&lt;$D$2,V55/U55&lt;3),"Serious", AND(W55&gt;$D$1*-1,W55&lt;$D$1,OR(X55&lt;=$D$2*-1,Y55&gt;=$D$2),V55/U55&lt;3),"Very serious", AND(W55&gt;$D$1*-1,W55&lt;$D$1,X55&gt;$D$1*-1,Y55&lt;$D$1,V55/U55&gt;=3),"Very serious", AND(W55&gt;$D$1*-1,W55&lt;$D$1,OR(X55&lt;=$D$1*-1,Y55&gt;=$D$1),X55&gt;$D$2*-1,Y55&lt;$D$2,V55/U55&gt;=3),"Very serious", AND(W55&gt;$D$1*-1,W55&lt;$D$1,OR(X55&lt;=$D$2*-1,Y55&gt;=$D$2),V55/U55&gt;=3),"Very serious"),"")),"")</f>
        <v/>
      </c>
      <c r="AT55" s="109" t="str">
        <f t="shared" si="9"/>
        <v/>
      </c>
      <c r="AU55" s="64"/>
      <c r="AV55" s="117"/>
      <c r="AW55" s="117"/>
      <c r="AX55" s="117"/>
      <c r="AY55" s="118"/>
      <c r="AZ55" s="118"/>
      <c r="BA55" s="119"/>
      <c r="BB55" s="86" t="str">
        <f>IF(Preferences!B$9="Manual","",IFS(ISBLANK(B55),"",AND(ISNUMBER(E55)=TRUE,ISNUMBER(T55)=FALSE),"Direct", AND(ISNUMBER(E55)=FALSE,ISNUMBER(T55)=TRUE),"Indirect", CN55=4,"Direct",AND(CL55=FALSE, CM55=TRUE,CN55-CO55&gt;-1),"Direct", AND(CL55=FALSE,CM55=TRUE, CN55-CO55&lt;0),"Check algorithm in appendix 2", AND(CL55=TRUE, CM55=FALSE,CN55-CO55&gt;0),"Check algorithm in appendix 2", AND(CL55=TRUE, CM55=FALSE,CN55-CO55=0),"Indirect", AND(CL55=TRUE, CM55=FALSE,CN55-CO55&lt;0),"Indirect", AND(CL55=FALSE,CM55=FALSE,CN55-CO55&gt;-1),"Direct", AND(CL55=FALSE,CM55=FALSE,CN55-CO55&lt;0),"Check algorithm in appendix 2", AND(CL55=TRUE,CM55=TRUE,CN55-CO55&gt;-1),"Direct", AND(CL55=TRUE,CM55=TRUE,CN55-CO55&lt;0),"Check algorithm in appendix 2"))</f>
        <v/>
      </c>
      <c r="BC55" s="120" t="str">
        <f t="shared" si="10"/>
        <v/>
      </c>
      <c r="BD55" s="140"/>
      <c r="BE55" s="122" t="str">
        <f>IF(Preferences!B$3="Manual","", IFERROR(IFS(AND(Preferences!B$3="Automatic",AX55/AW55&gt;=30),"Extremely serious",AND(AY55&lt;=$D$1*-1,BA55&lt;0,AX55/AW55&lt;3),"Not Serious",AND(AY55&lt;=$D$1*-1,BA55&lt;0,AX55/AW55&gt;=3),"Very serious",AND(AY55&gt;=$D$1,AZ55&gt;0,AX55/AW55&lt;3),"Not Serious",AND(AY55&gt;=$D$1,AZ55&gt;0,AX55/AW55&gt;=3),"Very serious",AND(AY55&lt;=$D$1*-1,BA55&gt;0,AZ55&gt;$D$2*-1,AX55/AW55&lt;3),"Serious", AND(AY55&lt;=$D$1*-1,BA55&gt;0,AZ55&lt;$D$2*-1,AX55/AW55&lt;3),"Very serious", AND(AY55&gt;=$D$1,AZ55&lt;0,BA55&lt;$D$2,AX55/AW55&lt;3),"Serious",AND(AY55&gt;=$D$1,AZ55&lt;0,BA55&gt;$D$2,AX55/AW55&lt;3),"Very serious", AND(AY55&lt;=$D$1*-1,BA55&gt;0,AZ55&gt;$D$2*-1,AX55/AW55&gt;=3),"Very serious", AND(AY55&lt;=$D$1*-1,BA55&gt;0,AZ55&lt;$D$2*-1,AX55/AW55&gt;=3),"Very serious", AND(AY55&gt;=$D$1,AZ55&lt;0,BA55&lt;$D$2,AX55/AW55&gt;=3),"Very serious", AND(AY55&gt;=$D$1,AZ55&lt;0,BA55&gt;$D$2,AX55/AW55&gt;=3),"Very serious", AND(AY55&gt;$D$1*-1,AY55&lt;$D$1,AZ55&gt;$D$1*-1,BA55&lt;$D$1,AX55/AW55&lt;3),"Not Serious", AND(AY55&gt;$D$1*-1,AY55&lt;$D$1,OR(AZ55&lt;=$D$1*-1,BA55&gt;=$D$1),AZ55&gt;$D$2*-1,BA55&lt;$D$2,AX55/AW55&lt;3),"Serious", AND(AY55&gt;$D$1*-1,AY55&lt;$D$1,OR(AZ55&lt;=$D$2*-1,BA55&gt;=$D$2),AX55/AW55&lt;3),"Very serious", AND(AY55&gt;$D$1*-1,AY55&lt;$D$1,AZ55&gt;$D$1*-1,BA55&lt;$D$1,AX55/AW55&gt;=3),"Very serious", AND(AY55&gt;$D$1*-1,AY55&lt;$D$1,OR(AZ55&lt;=$D$1*-1,BA55&gt;=$D$1),AZ55&gt;$D$2*-1,BA55&lt;$D$2,AX55/AW55&gt;=3),"Very serious", AND(AY55&gt;$D$1*-1,AY55&lt;$D$1,OR(AZ55&lt;=$D$2*-1,BA55&gt;=$D$2),AX55/AW55&gt;=3),"Very serious"),""))</f>
        <v/>
      </c>
      <c r="BF55" s="107" t="str">
        <f t="shared" si="11"/>
        <v/>
      </c>
      <c r="BG55" s="94" t="str">
        <f t="shared" si="46"/>
        <v/>
      </c>
      <c r="BH55" s="64" t="str">
        <f t="shared" si="12"/>
        <v>#N/A</v>
      </c>
      <c r="BI55" s="64" t="str">
        <f t="shared" si="13"/>
        <v/>
      </c>
      <c r="BJ55" s="123" t="str">
        <f t="shared" si="14"/>
        <v>#N/A</v>
      </c>
      <c r="BK55" s="64" t="str">
        <f t="shared" si="50"/>
        <v>YES</v>
      </c>
      <c r="BL55" s="64" t="str">
        <f t="shared" si="16"/>
        <v>YES</v>
      </c>
      <c r="BM55" s="64" t="str">
        <f t="shared" si="17"/>
        <v>YES</v>
      </c>
      <c r="BN55" s="124" t="str">
        <f t="shared" si="18"/>
        <v/>
      </c>
      <c r="BO55" s="91" t="str">
        <f t="shared" si="19"/>
        <v/>
      </c>
      <c r="BP55" s="91" t="str">
        <f t="shared" si="20"/>
        <v>#N/A</v>
      </c>
      <c r="BQ55" s="91" t="str">
        <f t="shared" si="21"/>
        <v/>
      </c>
      <c r="BR55" s="93" t="str">
        <f t="shared" si="22"/>
        <v/>
      </c>
      <c r="BS55" s="90" t="str">
        <f t="shared" si="23"/>
        <v/>
      </c>
      <c r="BT55" s="93" t="str">
        <f t="shared" si="24"/>
        <v>NA</v>
      </c>
      <c r="BU55" s="125" t="str">
        <f t="shared" si="25"/>
        <v>#N/A</v>
      </c>
      <c r="BV55" s="93" t="str">
        <f t="shared" si="26"/>
        <v/>
      </c>
      <c r="BW55" s="93" t="str">
        <f t="shared" si="27"/>
        <v/>
      </c>
      <c r="BX55" s="93" t="str">
        <f t="shared" si="28"/>
        <v>NA</v>
      </c>
      <c r="BY55" s="95" t="str">
        <f t="shared" si="29"/>
        <v>#N/A</v>
      </c>
      <c r="BZ55" s="93" t="str">
        <f t="shared" si="30"/>
        <v/>
      </c>
      <c r="CA55" s="93" t="str">
        <f t="shared" si="31"/>
        <v/>
      </c>
      <c r="CB55" s="93" t="str">
        <f t="shared" si="32"/>
        <v>NA</v>
      </c>
      <c r="CC55" s="96" t="str">
        <f t="shared" si="33"/>
        <v>#N/A</v>
      </c>
      <c r="CD55" s="93" t="str">
        <f t="shared" si="34"/>
        <v/>
      </c>
      <c r="CE55" s="93" t="str">
        <f t="shared" si="35"/>
        <v/>
      </c>
      <c r="CF55" s="93" t="str">
        <f t="shared" si="36"/>
        <v>NA</v>
      </c>
      <c r="CG55" s="97" t="str">
        <f t="shared" si="37"/>
        <v>#N/A</v>
      </c>
      <c r="CH55" s="98" t="str">
        <f t="shared" si="38"/>
        <v>#N/A</v>
      </c>
      <c r="CI55" s="99" t="str">
        <f t="shared" si="39"/>
        <v>#N/A</v>
      </c>
      <c r="CJ55" s="126" t="str">
        <f t="shared" si="40"/>
        <v>ERROR: check cell</v>
      </c>
      <c r="CK55" s="126"/>
      <c r="CL55" s="127" t="str">
        <f t="shared" si="41"/>
        <v>#DIV/0!</v>
      </c>
      <c r="CM55" s="128" t="str">
        <f t="shared" si="42"/>
        <v>#DIV/0!</v>
      </c>
      <c r="CN55" s="128">
        <f t="shared" si="43"/>
        <v>4</v>
      </c>
      <c r="CO55" s="129">
        <f t="shared" si="44"/>
        <v>4</v>
      </c>
      <c r="CP55" s="129" t="str">
        <f>IFS(C55=Preferences!B$13,B55,B55=Preferences!B$13,C55)</f>
        <v>#N/A</v>
      </c>
    </row>
    <row r="56" ht="13.5" customHeight="1">
      <c r="A56" s="63" t="str">
        <f t="shared" si="45"/>
        <v/>
      </c>
      <c r="B56" s="64"/>
      <c r="C56" s="64"/>
      <c r="D56" s="64"/>
      <c r="E56" s="65"/>
      <c r="F56" s="65"/>
      <c r="G56" s="65"/>
      <c r="H56" s="65"/>
      <c r="I56" s="65"/>
      <c r="J56" s="141"/>
      <c r="K56" s="138"/>
      <c r="L56" s="104"/>
      <c r="M56" s="104"/>
      <c r="N56" s="104"/>
      <c r="O56" s="104"/>
      <c r="P56" s="107" t="str">
        <f t="shared" si="1"/>
        <v/>
      </c>
      <c r="Q56" s="108" t="str">
        <f>IFERROR(IF(AND(Preferences!B$3="Manual",OR(AX56/AW56&gt;G56/F56,BD56="Serious",BD56="Very serious")),"Assess imprecision",IFS(ISBLANK(E56),"",AND(Preferences!B$3="Automatic", G56/F56&gt;=30),"Extremely serious",AND(H56&lt;=$D$1*-1,J56&lt;0,G56/F56&lt;3),"Not serious",AND(H56&lt;=$D$1*-1,J56&lt;0,G56/F56&gt;=3),"Very serious",AND(H56&gt;=$D$1,I56&gt;0,G56/F56&lt;3),"Not serious",AND(H56&gt;=$D$1,I56&gt;0,G56/F56&gt;=3),"Very serious",AND(H56&lt;=$D$1*-1,J56&gt;0,I56&gt;$D$2*-1,G56/F56&lt;3),"Serious", AND(H56&lt;=$D$1*-1,J56&gt;0,I56&lt;$D$2*-1,G56/F56&lt;3),"Very serious", AND(H56&gt;=$D$1,I56&lt;0,J56&lt;$D$2,G56/F56&lt;3),"Serious",AND(H56&gt;=$D$1,I56&lt;0,J56&gt;$D$2,G56/F56&lt;3),"Very serious", AND(H56&lt;=$D$1*-1,J56&gt;0,I56&gt;$D$2*-1,G56/F56&gt;=3),"Very serious", AND(H56&lt;=$D$1*-1,J56&gt;0,I56&lt;$D$2*-1,G56/F56&gt;=3),"Very serious", AND(H56&gt;=$D$1,I56&lt;0,J56&lt;$D$2,G56/F56&gt;=3),"Very serious", AND(H56&gt;=$D$1,I56&lt;0,J56&gt;$D$2,G56/F56&gt;=3),"Very serious", AND(H56&gt;$D$1*-1,H56&lt;$D$1,I56&gt;$D$1*-1,J56&lt;$D$1,G56/F56&lt;3),"Not serious", AND(H56&gt;$D$1*-1,H56&lt;$D$1,OR(I56&lt;=$D$1*-1,J56&gt;=$D$1),I56&gt;$D$2*-1,J56&lt;$D$2,G56/F56&lt;3),"Serious", AND(H56&gt;$D$1*-1,H56&lt;$D$1,OR(I56&lt;=$D$2*-1,J56&gt;=$D$2),G56/F56&lt;3),"Very serious", AND(H56&gt;$D$1*-1,H56&lt;$D$1,I56&gt;$D$1*-1,J56&lt;$D$1,G56/F56&gt;=3),"Very serious", AND(H56&gt;$D$1*-1,H56&lt;$D$1,OR(I56&lt;=$D$1*-1,J56&gt;=$D$1),I56&gt;$D$2*-1,J56&lt;$D$2,G56/F56&gt;=3),"Very serious", AND(H56&gt;$D$1*-1,H56&lt;$D$1,OR(I56&lt;=$D$2*-1,J56&gt;=$D$2),G56/F56&gt;=3),"Very serious")),"")</f>
        <v/>
      </c>
      <c r="R56" s="109" t="str">
        <f t="shared" si="47"/>
        <v/>
      </c>
      <c r="S56" s="64"/>
      <c r="T56" s="144"/>
      <c r="U56" s="144"/>
      <c r="V56" s="144"/>
      <c r="W56" s="142"/>
      <c r="X56" s="142"/>
      <c r="Y56" s="143"/>
      <c r="Z56" s="113" t="str">
        <f t="array" ref="Z56">INDEX($A$1:$C$500, MATCH(1,($B:$B=$B56)*($C:$C=$AB56),0),1)</f>
        <v/>
      </c>
      <c r="AA56" s="113" t="str">
        <f t="array" ref="AA56">INDEX($A$1:$C$500, MATCH(1,($B:$B=$AB56)*($C:$C=$B56),0),1)</f>
        <v/>
      </c>
      <c r="AB56" s="111"/>
      <c r="AC56" s="114" t="str">
        <f t="shared" si="2"/>
        <v/>
      </c>
      <c r="AD56" s="115" t="str">
        <f t="shared" si="3"/>
        <v/>
      </c>
      <c r="AE56" s="116" t="str">
        <f t="array" ref="AE56">INDEX($A$1:$C$500, MATCH(1,($B:$B=$AB56)*($C:$C=$AG56),0),1)</f>
        <v/>
      </c>
      <c r="AF56" s="116" t="str">
        <f t="array" ref="AF56">INDEX($A$1:$C$500, MATCH(1,($B:$B=$AG56)*($C:$C=$AB56),0),1)</f>
        <v/>
      </c>
      <c r="AG56" s="72"/>
      <c r="AH56" s="114" t="str">
        <f t="shared" si="4"/>
        <v/>
      </c>
      <c r="AI56" s="115" t="str">
        <f t="shared" si="5"/>
        <v/>
      </c>
      <c r="AJ56" s="116" t="str">
        <f t="array" ref="AJ56">INDEX($A$1:$C$500, MATCH(1,($B:$B=$C56)*($C:$C=$AG56),0),1)</f>
        <v/>
      </c>
      <c r="AK56" s="116" t="str">
        <f t="array" ref="AK56">INDEX($A$1:$C$500, MATCH(1,($B:$B=$AG56)*($C:$C=$C56),0),1)</f>
        <v/>
      </c>
      <c r="AL56" s="116" t="str">
        <f t="array" ref="AL56">INDEX($A$1:$C$500, MATCH(1,($B:$B=$C56)*($C:$C=$AB56),0),1)</f>
        <v/>
      </c>
      <c r="AM56" s="116" t="str">
        <f t="array" ref="AM56">INDEX($A$1:$C$500, MATCH(1,($B:$B=$AB56)*($C:$C=$C56),0),1)</f>
        <v/>
      </c>
      <c r="AN56" s="114" t="str">
        <f t="array" ref="AN56">IFS(ISNUMBER(AJ56),AJ56,ISNUMBER(AK56),AK56,ISNUMBER(AL56),AL56,ISNUMBER(AM56),AM56)</f>
        <v>#N/A</v>
      </c>
      <c r="AO56" s="115" t="str">
        <f t="shared" si="6"/>
        <v/>
      </c>
      <c r="AP56" s="115" t="str">
        <f t="shared" si="7"/>
        <v/>
      </c>
      <c r="AQ56" s="72"/>
      <c r="AR56" s="109" t="str">
        <f t="shared" si="8"/>
        <v/>
      </c>
      <c r="AS56" s="72" t="str">
        <f>IFERROR(IF(AND(Preferences!B$3="Manual",OR(AX56/AW56&gt;V56/U56,BD56="Serious",BD56="Very serious")),"Assess imprecision",IFERROR(IFS(AND(Preferences!B$3="Automatic",V56/U56&gt;=30),"Extremely serious",AND(W56&lt;=$D$1*-1,Y56&lt;0,V56/U56&lt;3),"Not Serious",AND(W56&lt;=$D$1*-1,Y56&lt;0,V56/U56&gt;=3),"Very serious",AND(W56&gt;=$D$1,X56&gt;0,V56/U56&lt;3),"Not Serious",AND(W56&gt;=$D$1,X56&gt;0,V56/U56&gt;=3),"Very serious",AND(W56&lt;=$D$1*-1,Y56&gt;0,X56&gt;$D$2*-1,V56/U56&lt;3),"Serious", AND(W56&lt;=$D$1*-1,Y56&gt;0,X56&lt;$D$2*-1,V56/U56&lt;3),"Very serious", AND(W56&gt;=$D$1,X56&lt;0,Y56&lt;$D$2,V56/U56&lt;3),"Serious",AND(W56&gt;=$D$1,X56&lt;0,Y56&gt;$D$2,V56/U56&lt;3),"Very serious", AND(W56&lt;=$D$1*-1,Y56&gt;0,X56&gt;$D$2*-1,V56/U56&gt;=3),"Very serious", AND(W56&lt;=$D$1*-1,Y56&gt;0,X56&lt;$D$2*-1,V56/U56&gt;=3),"Very serious", AND(W56&gt;=$D$1,X56&lt;0,Y56&lt;$D$2,V56/U56&gt;=3),"Very serious", AND(W56&gt;=$D$1,X56&lt;0,Y56&gt;$D$2,V56/U56&gt;=3),"Very serious", AND(W56&gt;$D$1*-1,W56&lt;$D$1,X56&gt;$D$1*-1,Y56&lt;$D$1,V56/U56&lt;3),"Not Serious", AND(W56&gt;$D$1*-1,W56&lt;$D$1,OR(X56&lt;=$D$1*-1,Y56&gt;=$D$1),X56&gt;$D$2*-1,Y56&lt;$D$2,V56/U56&lt;3),"Serious", AND(W56&gt;$D$1*-1,W56&lt;$D$1,OR(X56&lt;=$D$2*-1,Y56&gt;=$D$2),V56/U56&lt;3),"Very serious", AND(W56&gt;$D$1*-1,W56&lt;$D$1,X56&gt;$D$1*-1,Y56&lt;$D$1,V56/U56&gt;=3),"Very serious", AND(W56&gt;$D$1*-1,W56&lt;$D$1,OR(X56&lt;=$D$1*-1,Y56&gt;=$D$1),X56&gt;$D$2*-1,Y56&lt;$D$2,V56/U56&gt;=3),"Very serious", AND(W56&gt;$D$1*-1,W56&lt;$D$1,OR(X56&lt;=$D$2*-1,Y56&gt;=$D$2),V56/U56&gt;=3),"Very serious"),"")),"")</f>
        <v/>
      </c>
      <c r="AT56" s="109" t="str">
        <f t="shared" si="9"/>
        <v/>
      </c>
      <c r="AU56" s="64"/>
      <c r="AV56" s="117"/>
      <c r="AW56" s="117"/>
      <c r="AX56" s="117"/>
      <c r="AY56" s="118"/>
      <c r="AZ56" s="118"/>
      <c r="BA56" s="119"/>
      <c r="BB56" s="86" t="str">
        <f>IF(Preferences!B$9="Manual","",IFS(ISBLANK(B56),"",AND(ISNUMBER(E56)=TRUE,ISNUMBER(T56)=FALSE),"Direct", AND(ISNUMBER(E56)=FALSE,ISNUMBER(T56)=TRUE),"Indirect", CN56=4,"Direct",AND(CL56=FALSE, CM56=TRUE,CN56-CO56&gt;-1),"Direct", AND(CL56=FALSE,CM56=TRUE, CN56-CO56&lt;0),"Check algorithm in appendix 2", AND(CL56=TRUE, CM56=FALSE,CN56-CO56&gt;0),"Check algorithm in appendix 2", AND(CL56=TRUE, CM56=FALSE,CN56-CO56=0),"Indirect", AND(CL56=TRUE, CM56=FALSE,CN56-CO56&lt;0),"Indirect", AND(CL56=FALSE,CM56=FALSE,CN56-CO56&gt;-1),"Direct", AND(CL56=FALSE,CM56=FALSE,CN56-CO56&lt;0),"Check algorithm in appendix 2", AND(CL56=TRUE,CM56=TRUE,CN56-CO56&gt;-1),"Direct", AND(CL56=TRUE,CM56=TRUE,CN56-CO56&lt;0),"Check algorithm in appendix 2"))</f>
        <v/>
      </c>
      <c r="BC56" s="120" t="str">
        <f t="shared" si="10"/>
        <v/>
      </c>
      <c r="BD56" s="140"/>
      <c r="BE56" s="122" t="str">
        <f>IF(Preferences!B$3="Manual","", IFERROR(IFS(AND(Preferences!B$3="Automatic",AX56/AW56&gt;=30),"Extremely serious",AND(AY56&lt;=$D$1*-1,BA56&lt;0,AX56/AW56&lt;3),"Not Serious",AND(AY56&lt;=$D$1*-1,BA56&lt;0,AX56/AW56&gt;=3),"Very serious",AND(AY56&gt;=$D$1,AZ56&gt;0,AX56/AW56&lt;3),"Not Serious",AND(AY56&gt;=$D$1,AZ56&gt;0,AX56/AW56&gt;=3),"Very serious",AND(AY56&lt;=$D$1*-1,BA56&gt;0,AZ56&gt;$D$2*-1,AX56/AW56&lt;3),"Serious", AND(AY56&lt;=$D$1*-1,BA56&gt;0,AZ56&lt;$D$2*-1,AX56/AW56&lt;3),"Very serious", AND(AY56&gt;=$D$1,AZ56&lt;0,BA56&lt;$D$2,AX56/AW56&lt;3),"Serious",AND(AY56&gt;=$D$1,AZ56&lt;0,BA56&gt;$D$2,AX56/AW56&lt;3),"Very serious", AND(AY56&lt;=$D$1*-1,BA56&gt;0,AZ56&gt;$D$2*-1,AX56/AW56&gt;=3),"Very serious", AND(AY56&lt;=$D$1*-1,BA56&gt;0,AZ56&lt;$D$2*-1,AX56/AW56&gt;=3),"Very serious", AND(AY56&gt;=$D$1,AZ56&lt;0,BA56&lt;$D$2,AX56/AW56&gt;=3),"Very serious", AND(AY56&gt;=$D$1,AZ56&lt;0,BA56&gt;$D$2,AX56/AW56&gt;=3),"Very serious", AND(AY56&gt;$D$1*-1,AY56&lt;$D$1,AZ56&gt;$D$1*-1,BA56&lt;$D$1,AX56/AW56&lt;3),"Not Serious", AND(AY56&gt;$D$1*-1,AY56&lt;$D$1,OR(AZ56&lt;=$D$1*-1,BA56&gt;=$D$1),AZ56&gt;$D$2*-1,BA56&lt;$D$2,AX56/AW56&lt;3),"Serious", AND(AY56&gt;$D$1*-1,AY56&lt;$D$1,OR(AZ56&lt;=$D$2*-1,BA56&gt;=$D$2),AX56/AW56&lt;3),"Very serious", AND(AY56&gt;$D$1*-1,AY56&lt;$D$1,AZ56&gt;$D$1*-1,BA56&lt;$D$1,AX56/AW56&gt;=3),"Very serious", AND(AY56&gt;$D$1*-1,AY56&lt;$D$1,OR(AZ56&lt;=$D$1*-1,BA56&gt;=$D$1),AZ56&gt;$D$2*-1,BA56&lt;$D$2,AX56/AW56&gt;=3),"Very serious", AND(AY56&gt;$D$1*-1,AY56&lt;$D$1,OR(AZ56&lt;=$D$2*-1,BA56&gt;=$D$2),AX56/AW56&gt;=3),"Very serious"),""))</f>
        <v/>
      </c>
      <c r="BF56" s="107" t="str">
        <f t="shared" si="11"/>
        <v/>
      </c>
      <c r="BG56" s="94" t="str">
        <f t="shared" si="46"/>
        <v/>
      </c>
      <c r="BH56" s="64" t="str">
        <f t="shared" si="12"/>
        <v>#N/A</v>
      </c>
      <c r="BI56" s="64" t="str">
        <f t="shared" si="13"/>
        <v/>
      </c>
      <c r="BJ56" s="123" t="str">
        <f t="shared" si="14"/>
        <v>#N/A</v>
      </c>
      <c r="BK56" s="64" t="str">
        <f t="shared" si="50"/>
        <v>YES</v>
      </c>
      <c r="BL56" s="64" t="str">
        <f t="shared" si="16"/>
        <v>YES</v>
      </c>
      <c r="BM56" s="64" t="str">
        <f t="shared" si="17"/>
        <v>YES</v>
      </c>
      <c r="BN56" s="124" t="str">
        <f t="shared" si="18"/>
        <v/>
      </c>
      <c r="BO56" s="91" t="str">
        <f t="shared" si="19"/>
        <v/>
      </c>
      <c r="BP56" s="91" t="str">
        <f t="shared" si="20"/>
        <v>#N/A</v>
      </c>
      <c r="BQ56" s="91" t="str">
        <f t="shared" si="21"/>
        <v/>
      </c>
      <c r="BR56" s="93" t="str">
        <f t="shared" si="22"/>
        <v/>
      </c>
      <c r="BS56" s="90" t="str">
        <f t="shared" si="23"/>
        <v/>
      </c>
      <c r="BT56" s="93" t="str">
        <f t="shared" si="24"/>
        <v>NA</v>
      </c>
      <c r="BU56" s="125" t="str">
        <f t="shared" si="25"/>
        <v>#N/A</v>
      </c>
      <c r="BV56" s="93" t="str">
        <f t="shared" si="26"/>
        <v/>
      </c>
      <c r="BW56" s="93" t="str">
        <f t="shared" si="27"/>
        <v/>
      </c>
      <c r="BX56" s="93" t="str">
        <f t="shared" si="28"/>
        <v>NA</v>
      </c>
      <c r="BY56" s="95" t="str">
        <f t="shared" si="29"/>
        <v>#N/A</v>
      </c>
      <c r="BZ56" s="93" t="str">
        <f t="shared" si="30"/>
        <v/>
      </c>
      <c r="CA56" s="93" t="str">
        <f t="shared" si="31"/>
        <v/>
      </c>
      <c r="CB56" s="93" t="str">
        <f t="shared" si="32"/>
        <v>NA</v>
      </c>
      <c r="CC56" s="96" t="str">
        <f t="shared" si="33"/>
        <v>#N/A</v>
      </c>
      <c r="CD56" s="93" t="str">
        <f t="shared" si="34"/>
        <v/>
      </c>
      <c r="CE56" s="93" t="str">
        <f t="shared" si="35"/>
        <v/>
      </c>
      <c r="CF56" s="93" t="str">
        <f t="shared" si="36"/>
        <v>NA</v>
      </c>
      <c r="CG56" s="97" t="str">
        <f t="shared" si="37"/>
        <v>#N/A</v>
      </c>
      <c r="CH56" s="98" t="str">
        <f t="shared" si="38"/>
        <v>#N/A</v>
      </c>
      <c r="CI56" s="99" t="str">
        <f t="shared" si="39"/>
        <v>#N/A</v>
      </c>
      <c r="CJ56" s="126" t="str">
        <f t="shared" si="40"/>
        <v>ERROR: check cell</v>
      </c>
      <c r="CK56" s="126"/>
      <c r="CL56" s="127" t="str">
        <f t="shared" si="41"/>
        <v>#DIV/0!</v>
      </c>
      <c r="CM56" s="128" t="str">
        <f t="shared" si="42"/>
        <v>#DIV/0!</v>
      </c>
      <c r="CN56" s="128">
        <f t="shared" si="43"/>
        <v>4</v>
      </c>
      <c r="CO56" s="129">
        <f t="shared" si="44"/>
        <v>4</v>
      </c>
      <c r="CP56" s="129" t="str">
        <f>IFS(C56=Preferences!B$13,B56,B56=Preferences!B$13,C56)</f>
        <v>#N/A</v>
      </c>
    </row>
    <row r="57" ht="13.5" customHeight="1">
      <c r="A57" s="63" t="str">
        <f t="shared" si="45"/>
        <v/>
      </c>
      <c r="B57" s="64"/>
      <c r="C57" s="64"/>
      <c r="D57" s="64"/>
      <c r="E57" s="65"/>
      <c r="F57" s="65"/>
      <c r="G57" s="65"/>
      <c r="H57" s="65"/>
      <c r="I57" s="65"/>
      <c r="J57" s="141"/>
      <c r="K57" s="138"/>
      <c r="L57" s="104"/>
      <c r="M57" s="104"/>
      <c r="N57" s="104"/>
      <c r="O57" s="104"/>
      <c r="P57" s="107" t="str">
        <f t="shared" si="1"/>
        <v/>
      </c>
      <c r="Q57" s="108" t="str">
        <f>IFERROR(IF(AND(Preferences!B$3="Manual",OR(AX57/AW57&gt;G57/F57,BD57="Serious",BD57="Very serious")),"Assess imprecision",IFS(ISBLANK(E57),"",AND(Preferences!B$3="Automatic", G57/F57&gt;=30),"Extremely serious",AND(H57&lt;=$D$1*-1,J57&lt;0,G57/F57&lt;3),"Not serious",AND(H57&lt;=$D$1*-1,J57&lt;0,G57/F57&gt;=3),"Very serious",AND(H57&gt;=$D$1,I57&gt;0,G57/F57&lt;3),"Not serious",AND(H57&gt;=$D$1,I57&gt;0,G57/F57&gt;=3),"Very serious",AND(H57&lt;=$D$1*-1,J57&gt;0,I57&gt;$D$2*-1,G57/F57&lt;3),"Serious", AND(H57&lt;=$D$1*-1,J57&gt;0,I57&lt;$D$2*-1,G57/F57&lt;3),"Very serious", AND(H57&gt;=$D$1,I57&lt;0,J57&lt;$D$2,G57/F57&lt;3),"Serious",AND(H57&gt;=$D$1,I57&lt;0,J57&gt;$D$2,G57/F57&lt;3),"Very serious", AND(H57&lt;=$D$1*-1,J57&gt;0,I57&gt;$D$2*-1,G57/F57&gt;=3),"Very serious", AND(H57&lt;=$D$1*-1,J57&gt;0,I57&lt;$D$2*-1,G57/F57&gt;=3),"Very serious", AND(H57&gt;=$D$1,I57&lt;0,J57&lt;$D$2,G57/F57&gt;=3),"Very serious", AND(H57&gt;=$D$1,I57&lt;0,J57&gt;$D$2,G57/F57&gt;=3),"Very serious", AND(H57&gt;$D$1*-1,H57&lt;$D$1,I57&gt;$D$1*-1,J57&lt;$D$1,G57/F57&lt;3),"Not serious", AND(H57&gt;$D$1*-1,H57&lt;$D$1,OR(I57&lt;=$D$1*-1,J57&gt;=$D$1),I57&gt;$D$2*-1,J57&lt;$D$2,G57/F57&lt;3),"Serious", AND(H57&gt;$D$1*-1,H57&lt;$D$1,OR(I57&lt;=$D$2*-1,J57&gt;=$D$2),G57/F57&lt;3),"Very serious", AND(H57&gt;$D$1*-1,H57&lt;$D$1,I57&gt;$D$1*-1,J57&lt;$D$1,G57/F57&gt;=3),"Very serious", AND(H57&gt;$D$1*-1,H57&lt;$D$1,OR(I57&lt;=$D$1*-1,J57&gt;=$D$1),I57&gt;$D$2*-1,J57&lt;$D$2,G57/F57&gt;=3),"Very serious", AND(H57&gt;$D$1*-1,H57&lt;$D$1,OR(I57&lt;=$D$2*-1,J57&gt;=$D$2),G57/F57&gt;=3),"Very serious")),"")</f>
        <v/>
      </c>
      <c r="R57" s="109" t="str">
        <f t="shared" si="47"/>
        <v/>
      </c>
      <c r="S57" s="64"/>
      <c r="T57" s="144"/>
      <c r="U57" s="144"/>
      <c r="V57" s="144"/>
      <c r="W57" s="142"/>
      <c r="X57" s="142"/>
      <c r="Y57" s="143"/>
      <c r="Z57" s="113" t="str">
        <f t="array" ref="Z57">INDEX($A$1:$C$500, MATCH(1,($B:$B=$B57)*($C:$C=$AB57),0),1)</f>
        <v/>
      </c>
      <c r="AA57" s="113" t="str">
        <f t="array" ref="AA57">INDEX($A$1:$C$500, MATCH(1,($B:$B=$AB57)*($C:$C=$B57),0),1)</f>
        <v/>
      </c>
      <c r="AB57" s="111"/>
      <c r="AC57" s="114" t="str">
        <f t="shared" si="2"/>
        <v/>
      </c>
      <c r="AD57" s="115" t="str">
        <f t="shared" si="3"/>
        <v/>
      </c>
      <c r="AE57" s="116" t="str">
        <f t="array" ref="AE57">INDEX($A$1:$C$500, MATCH(1,($B:$B=$AB57)*($C:$C=$AG57),0),1)</f>
        <v/>
      </c>
      <c r="AF57" s="116" t="str">
        <f t="array" ref="AF57">INDEX($A$1:$C$500, MATCH(1,($B:$B=$AG57)*($C:$C=$AB57),0),1)</f>
        <v/>
      </c>
      <c r="AG57" s="72"/>
      <c r="AH57" s="114" t="str">
        <f t="shared" si="4"/>
        <v/>
      </c>
      <c r="AI57" s="115" t="str">
        <f t="shared" si="5"/>
        <v/>
      </c>
      <c r="AJ57" s="116" t="str">
        <f t="array" ref="AJ57">INDEX($A$1:$C$500, MATCH(1,($B:$B=$C57)*($C:$C=$AG57),0),1)</f>
        <v/>
      </c>
      <c r="AK57" s="116" t="str">
        <f t="array" ref="AK57">INDEX($A$1:$C$500, MATCH(1,($B:$B=$AG57)*($C:$C=$C57),0),1)</f>
        <v/>
      </c>
      <c r="AL57" s="116" t="str">
        <f t="array" ref="AL57">INDEX($A$1:$C$500, MATCH(1,($B:$B=$C57)*($C:$C=$AB57),0),1)</f>
        <v/>
      </c>
      <c r="AM57" s="116" t="str">
        <f t="array" ref="AM57">INDEX($A$1:$C$500, MATCH(1,($B:$B=$AB57)*($C:$C=$C57),0),1)</f>
        <v/>
      </c>
      <c r="AN57" s="114" t="str">
        <f t="array" ref="AN57">IFS(ISNUMBER(AJ57),AJ57,ISNUMBER(AK57),AK57,ISNUMBER(AL57),AL57,ISNUMBER(AM57),AM57)</f>
        <v>#N/A</v>
      </c>
      <c r="AO57" s="115" t="str">
        <f t="shared" si="6"/>
        <v/>
      </c>
      <c r="AP57" s="115" t="str">
        <f t="shared" si="7"/>
        <v/>
      </c>
      <c r="AQ57" s="72"/>
      <c r="AR57" s="109" t="str">
        <f t="shared" si="8"/>
        <v/>
      </c>
      <c r="AS57" s="72" t="str">
        <f>IFERROR(IF(AND(Preferences!B$3="Manual",OR(AX57/AW57&gt;V57/U57,BD57="Serious",BD57="Very serious")),"Assess imprecision",IFERROR(IFS(AND(Preferences!B$3="Automatic",V57/U57&gt;=30),"Extremely serious",AND(W57&lt;=$D$1*-1,Y57&lt;0,V57/U57&lt;3),"Not Serious",AND(W57&lt;=$D$1*-1,Y57&lt;0,V57/U57&gt;=3),"Very serious",AND(W57&gt;=$D$1,X57&gt;0,V57/U57&lt;3),"Not Serious",AND(W57&gt;=$D$1,X57&gt;0,V57/U57&gt;=3),"Very serious",AND(W57&lt;=$D$1*-1,Y57&gt;0,X57&gt;$D$2*-1,V57/U57&lt;3),"Serious", AND(W57&lt;=$D$1*-1,Y57&gt;0,X57&lt;$D$2*-1,V57/U57&lt;3),"Very serious", AND(W57&gt;=$D$1,X57&lt;0,Y57&lt;$D$2,V57/U57&lt;3),"Serious",AND(W57&gt;=$D$1,X57&lt;0,Y57&gt;$D$2,V57/U57&lt;3),"Very serious", AND(W57&lt;=$D$1*-1,Y57&gt;0,X57&gt;$D$2*-1,V57/U57&gt;=3),"Very serious", AND(W57&lt;=$D$1*-1,Y57&gt;0,X57&lt;$D$2*-1,V57/U57&gt;=3),"Very serious", AND(W57&gt;=$D$1,X57&lt;0,Y57&lt;$D$2,V57/U57&gt;=3),"Very serious", AND(W57&gt;=$D$1,X57&lt;0,Y57&gt;$D$2,V57/U57&gt;=3),"Very serious", AND(W57&gt;$D$1*-1,W57&lt;$D$1,X57&gt;$D$1*-1,Y57&lt;$D$1,V57/U57&lt;3),"Not Serious", AND(W57&gt;$D$1*-1,W57&lt;$D$1,OR(X57&lt;=$D$1*-1,Y57&gt;=$D$1),X57&gt;$D$2*-1,Y57&lt;$D$2,V57/U57&lt;3),"Serious", AND(W57&gt;$D$1*-1,W57&lt;$D$1,OR(X57&lt;=$D$2*-1,Y57&gt;=$D$2),V57/U57&lt;3),"Very serious", AND(W57&gt;$D$1*-1,W57&lt;$D$1,X57&gt;$D$1*-1,Y57&lt;$D$1,V57/U57&gt;=3),"Very serious", AND(W57&gt;$D$1*-1,W57&lt;$D$1,OR(X57&lt;=$D$1*-1,Y57&gt;=$D$1),X57&gt;$D$2*-1,Y57&lt;$D$2,V57/U57&gt;=3),"Very serious", AND(W57&gt;$D$1*-1,W57&lt;$D$1,OR(X57&lt;=$D$2*-1,Y57&gt;=$D$2),V57/U57&gt;=3),"Very serious"),"")),"")</f>
        <v/>
      </c>
      <c r="AT57" s="109" t="str">
        <f t="shared" si="9"/>
        <v/>
      </c>
      <c r="AU57" s="64"/>
      <c r="AV57" s="117"/>
      <c r="AW57" s="117"/>
      <c r="AX57" s="117"/>
      <c r="AY57" s="118"/>
      <c r="AZ57" s="118"/>
      <c r="BA57" s="119"/>
      <c r="BB57" s="86" t="str">
        <f>IF(Preferences!B$9="Manual","",IFS(ISBLANK(B57),"",AND(ISNUMBER(E57)=TRUE,ISNUMBER(T57)=FALSE),"Direct", AND(ISNUMBER(E57)=FALSE,ISNUMBER(T57)=TRUE),"Indirect", CN57=4,"Direct",AND(CL57=FALSE, CM57=TRUE,CN57-CO57&gt;-1),"Direct", AND(CL57=FALSE,CM57=TRUE, CN57-CO57&lt;0),"Check algorithm in appendix 2", AND(CL57=TRUE, CM57=FALSE,CN57-CO57&gt;0),"Check algorithm in appendix 2", AND(CL57=TRUE, CM57=FALSE,CN57-CO57=0),"Indirect", AND(CL57=TRUE, CM57=FALSE,CN57-CO57&lt;0),"Indirect", AND(CL57=FALSE,CM57=FALSE,CN57-CO57&gt;-1),"Direct", AND(CL57=FALSE,CM57=FALSE,CN57-CO57&lt;0),"Check algorithm in appendix 2", AND(CL57=TRUE,CM57=TRUE,CN57-CO57&gt;-1),"Direct", AND(CL57=TRUE,CM57=TRUE,CN57-CO57&lt;0),"Check algorithm in appendix 2"))</f>
        <v/>
      </c>
      <c r="BC57" s="120" t="str">
        <f t="shared" si="10"/>
        <v/>
      </c>
      <c r="BD57" s="140"/>
      <c r="BE57" s="122" t="str">
        <f>IF(Preferences!B$3="Manual","", IFERROR(IFS(AND(Preferences!B$3="Automatic",AX57/AW57&gt;=30),"Extremely serious",AND(AY57&lt;=$D$1*-1,BA57&lt;0,AX57/AW57&lt;3),"Not Serious",AND(AY57&lt;=$D$1*-1,BA57&lt;0,AX57/AW57&gt;=3),"Very serious",AND(AY57&gt;=$D$1,AZ57&gt;0,AX57/AW57&lt;3),"Not Serious",AND(AY57&gt;=$D$1,AZ57&gt;0,AX57/AW57&gt;=3),"Very serious",AND(AY57&lt;=$D$1*-1,BA57&gt;0,AZ57&gt;$D$2*-1,AX57/AW57&lt;3),"Serious", AND(AY57&lt;=$D$1*-1,BA57&gt;0,AZ57&lt;$D$2*-1,AX57/AW57&lt;3),"Very serious", AND(AY57&gt;=$D$1,AZ57&lt;0,BA57&lt;$D$2,AX57/AW57&lt;3),"Serious",AND(AY57&gt;=$D$1,AZ57&lt;0,BA57&gt;$D$2,AX57/AW57&lt;3),"Very serious", AND(AY57&lt;=$D$1*-1,BA57&gt;0,AZ57&gt;$D$2*-1,AX57/AW57&gt;=3),"Very serious", AND(AY57&lt;=$D$1*-1,BA57&gt;0,AZ57&lt;$D$2*-1,AX57/AW57&gt;=3),"Very serious", AND(AY57&gt;=$D$1,AZ57&lt;0,BA57&lt;$D$2,AX57/AW57&gt;=3),"Very serious", AND(AY57&gt;=$D$1,AZ57&lt;0,BA57&gt;$D$2,AX57/AW57&gt;=3),"Very serious", AND(AY57&gt;$D$1*-1,AY57&lt;$D$1,AZ57&gt;$D$1*-1,BA57&lt;$D$1,AX57/AW57&lt;3),"Not Serious", AND(AY57&gt;$D$1*-1,AY57&lt;$D$1,OR(AZ57&lt;=$D$1*-1,BA57&gt;=$D$1),AZ57&gt;$D$2*-1,BA57&lt;$D$2,AX57/AW57&lt;3),"Serious", AND(AY57&gt;$D$1*-1,AY57&lt;$D$1,OR(AZ57&lt;=$D$2*-1,BA57&gt;=$D$2),AX57/AW57&lt;3),"Very serious", AND(AY57&gt;$D$1*-1,AY57&lt;$D$1,AZ57&gt;$D$1*-1,BA57&lt;$D$1,AX57/AW57&gt;=3),"Very serious", AND(AY57&gt;$D$1*-1,AY57&lt;$D$1,OR(AZ57&lt;=$D$1*-1,BA57&gt;=$D$1),AZ57&gt;$D$2*-1,BA57&lt;$D$2,AX57/AW57&gt;=3),"Very serious", AND(AY57&gt;$D$1*-1,AY57&lt;$D$1,OR(AZ57&lt;=$D$2*-1,BA57&gt;=$D$2),AX57/AW57&gt;=3),"Very serious"),""))</f>
        <v/>
      </c>
      <c r="BF57" s="107" t="str">
        <f t="shared" si="11"/>
        <v/>
      </c>
      <c r="BG57" s="94" t="str">
        <f t="shared" si="46"/>
        <v/>
      </c>
      <c r="BH57" s="64" t="str">
        <f t="shared" si="12"/>
        <v>#N/A</v>
      </c>
      <c r="BI57" s="64" t="str">
        <f t="shared" si="13"/>
        <v/>
      </c>
      <c r="BJ57" s="123" t="str">
        <f t="shared" si="14"/>
        <v>#N/A</v>
      </c>
      <c r="BK57" s="64" t="str">
        <f t="shared" si="50"/>
        <v>YES</v>
      </c>
      <c r="BL57" s="64" t="str">
        <f t="shared" si="16"/>
        <v>YES</v>
      </c>
      <c r="BM57" s="64" t="str">
        <f t="shared" si="17"/>
        <v>YES</v>
      </c>
      <c r="BN57" s="124" t="str">
        <f t="shared" si="18"/>
        <v/>
      </c>
      <c r="BO57" s="91" t="str">
        <f t="shared" si="19"/>
        <v/>
      </c>
      <c r="BP57" s="91" t="str">
        <f t="shared" si="20"/>
        <v>#N/A</v>
      </c>
      <c r="BQ57" s="91" t="str">
        <f t="shared" si="21"/>
        <v/>
      </c>
      <c r="BR57" s="93" t="str">
        <f t="shared" si="22"/>
        <v/>
      </c>
      <c r="BS57" s="90" t="str">
        <f t="shared" si="23"/>
        <v/>
      </c>
      <c r="BT57" s="93" t="str">
        <f t="shared" si="24"/>
        <v>NA</v>
      </c>
      <c r="BU57" s="125" t="str">
        <f t="shared" si="25"/>
        <v>#N/A</v>
      </c>
      <c r="BV57" s="93" t="str">
        <f t="shared" si="26"/>
        <v/>
      </c>
      <c r="BW57" s="93" t="str">
        <f t="shared" si="27"/>
        <v/>
      </c>
      <c r="BX57" s="93" t="str">
        <f t="shared" si="28"/>
        <v>NA</v>
      </c>
      <c r="BY57" s="95" t="str">
        <f t="shared" si="29"/>
        <v>#N/A</v>
      </c>
      <c r="BZ57" s="93" t="str">
        <f t="shared" si="30"/>
        <v/>
      </c>
      <c r="CA57" s="93" t="str">
        <f t="shared" si="31"/>
        <v/>
      </c>
      <c r="CB57" s="93" t="str">
        <f t="shared" si="32"/>
        <v>NA</v>
      </c>
      <c r="CC57" s="96" t="str">
        <f t="shared" si="33"/>
        <v>#N/A</v>
      </c>
      <c r="CD57" s="93" t="str">
        <f t="shared" si="34"/>
        <v/>
      </c>
      <c r="CE57" s="93" t="str">
        <f t="shared" si="35"/>
        <v/>
      </c>
      <c r="CF57" s="93" t="str">
        <f t="shared" si="36"/>
        <v>NA</v>
      </c>
      <c r="CG57" s="97" t="str">
        <f t="shared" si="37"/>
        <v>#N/A</v>
      </c>
      <c r="CH57" s="98" t="str">
        <f t="shared" si="38"/>
        <v>#N/A</v>
      </c>
      <c r="CI57" s="99" t="str">
        <f t="shared" si="39"/>
        <v>#N/A</v>
      </c>
      <c r="CJ57" s="126" t="str">
        <f t="shared" si="40"/>
        <v>ERROR: check cell</v>
      </c>
      <c r="CK57" s="126" t="str">
        <f>if(AND(T57&lt;1=TRUE,E57&lt;1=TRUE)=TRUE,if(OR(AND(V57&gt;G57=TRUE,G57&gt;U57=TRUE),AND(G57&gt;V57=TRUE,V57&gt;F57=TRUE)=TRUE)=TRUE,"No serious incoherence","Quantitative incoherence (same direction of effect)"),if(AND(T57&gt;1=TRUE,E57&gt;1=TRUE)=TRUE,if(OR(AND(V57&gt;G57=TRUE,G57&gt;U57=TRUE),AND(G57&gt;V57=TRUE,V57&gt;F57=TRUE)=TRUE)=TRUE,"No serious incoherence","Quantitative incoherence (same direction of effect)"),if(OR(AND(T57&lt;1=TRUE,E57&gt;1=TRUE)=TRUE,AND(T57&gt;1=TRUE,E57&lt;1=TRUE)=TRUE)=TRUE,if(OR(AND(V57&gt;G57=TRUE,G57&gt;U57=TRUE),AND(G57&gt;V57=TRUE,V57&gt;F57=TRUE)=TRUE)=TRUE,"No serious incoherence","Qualitative incoherence (different direction of effect)"))))</f>
        <v>Quantitative incoherence (same direction of effect)</v>
      </c>
      <c r="CL57" s="127" t="str">
        <f t="shared" si="41"/>
        <v>#DIV/0!</v>
      </c>
      <c r="CM57" s="128" t="str">
        <f t="shared" si="42"/>
        <v>#DIV/0!</v>
      </c>
      <c r="CN57" s="128">
        <f t="shared" si="43"/>
        <v>4</v>
      </c>
      <c r="CO57" s="129">
        <f t="shared" si="44"/>
        <v>4</v>
      </c>
      <c r="CP57" s="129" t="str">
        <f>IFS(C57=Preferences!B$13,B57,B57=Preferences!B$13,C57)</f>
        <v>#N/A</v>
      </c>
    </row>
    <row r="58" ht="13.5" customHeight="1">
      <c r="A58" s="63" t="str">
        <f t="shared" si="45"/>
        <v/>
      </c>
      <c r="B58" s="64"/>
      <c r="C58" s="64"/>
      <c r="D58" s="64"/>
      <c r="E58" s="65"/>
      <c r="F58" s="65"/>
      <c r="G58" s="65"/>
      <c r="H58" s="65"/>
      <c r="I58" s="65"/>
      <c r="J58" s="141"/>
      <c r="K58" s="138"/>
      <c r="L58" s="104"/>
      <c r="M58" s="104"/>
      <c r="N58" s="104"/>
      <c r="O58" s="104"/>
      <c r="P58" s="107" t="str">
        <f t="shared" si="1"/>
        <v/>
      </c>
      <c r="Q58" s="108" t="str">
        <f>IFERROR(IF(AND(Preferences!B$3="Manual",OR(AX58/AW58&gt;G58/F58,BD58="Serious",BD58="Very serious")),"Assess imprecision",IFS(ISBLANK(E58),"",AND(Preferences!B$3="Automatic", G58/F58&gt;=30),"Extremely serious",AND(H58&lt;=$D$1*-1,J58&lt;0,G58/F58&lt;3),"Not serious",AND(H58&lt;=$D$1*-1,J58&lt;0,G58/F58&gt;=3),"Very serious",AND(H58&gt;=$D$1,I58&gt;0,G58/F58&lt;3),"Not serious",AND(H58&gt;=$D$1,I58&gt;0,G58/F58&gt;=3),"Very serious",AND(H58&lt;=$D$1*-1,J58&gt;0,I58&gt;$D$2*-1,G58/F58&lt;3),"Serious", AND(H58&lt;=$D$1*-1,J58&gt;0,I58&lt;$D$2*-1,G58/F58&lt;3),"Very serious", AND(H58&gt;=$D$1,I58&lt;0,J58&lt;$D$2,G58/F58&lt;3),"Serious",AND(H58&gt;=$D$1,I58&lt;0,J58&gt;$D$2,G58/F58&lt;3),"Very serious", AND(H58&lt;=$D$1*-1,J58&gt;0,I58&gt;$D$2*-1,G58/F58&gt;=3),"Very serious", AND(H58&lt;=$D$1*-1,J58&gt;0,I58&lt;$D$2*-1,G58/F58&gt;=3),"Very serious", AND(H58&gt;=$D$1,I58&lt;0,J58&lt;$D$2,G58/F58&gt;=3),"Very serious", AND(H58&gt;=$D$1,I58&lt;0,J58&gt;$D$2,G58/F58&gt;=3),"Very serious", AND(H58&gt;$D$1*-1,H58&lt;$D$1,I58&gt;$D$1*-1,J58&lt;$D$1,G58/F58&lt;3),"Not serious", AND(H58&gt;$D$1*-1,H58&lt;$D$1,OR(I58&lt;=$D$1*-1,J58&gt;=$D$1),I58&gt;$D$2*-1,J58&lt;$D$2,G58/F58&lt;3),"Serious", AND(H58&gt;$D$1*-1,H58&lt;$D$1,OR(I58&lt;=$D$2*-1,J58&gt;=$D$2),G58/F58&lt;3),"Very serious", AND(H58&gt;$D$1*-1,H58&lt;$D$1,I58&gt;$D$1*-1,J58&lt;$D$1,G58/F58&gt;=3),"Very serious", AND(H58&gt;$D$1*-1,H58&lt;$D$1,OR(I58&lt;=$D$1*-1,J58&gt;=$D$1),I58&gt;$D$2*-1,J58&lt;$D$2,G58/F58&gt;=3),"Very serious", AND(H58&gt;$D$1*-1,H58&lt;$D$1,OR(I58&lt;=$D$2*-1,J58&gt;=$D$2),G58/F58&gt;=3),"Very serious")),"")</f>
        <v/>
      </c>
      <c r="R58" s="109" t="str">
        <f t="shared" si="47"/>
        <v/>
      </c>
      <c r="S58" s="64"/>
      <c r="T58" s="144"/>
      <c r="U58" s="144"/>
      <c r="V58" s="144"/>
      <c r="W58" s="142"/>
      <c r="X58" s="142"/>
      <c r="Y58" s="143"/>
      <c r="Z58" s="113" t="str">
        <f t="array" ref="Z58">INDEX($A$1:$C$500, MATCH(1,($B:$B=$B58)*($C:$C=$AB58),0),1)</f>
        <v/>
      </c>
      <c r="AA58" s="113" t="str">
        <f t="array" ref="AA58">INDEX($A$1:$C$500, MATCH(1,($B:$B=$AB58)*($C:$C=$B58),0),1)</f>
        <v/>
      </c>
      <c r="AB58" s="111"/>
      <c r="AC58" s="114" t="str">
        <f t="shared" si="2"/>
        <v/>
      </c>
      <c r="AD58" s="115" t="str">
        <f t="shared" si="3"/>
        <v/>
      </c>
      <c r="AE58" s="116" t="str">
        <f t="array" ref="AE58">INDEX($A$1:$C$500, MATCH(1,($B:$B=$AB58)*($C:$C=$AG58),0),1)</f>
        <v/>
      </c>
      <c r="AF58" s="116" t="str">
        <f t="array" ref="AF58">INDEX($A$1:$C$500, MATCH(1,($B:$B=$AG58)*($C:$C=$AB58),0),1)</f>
        <v/>
      </c>
      <c r="AG58" s="72"/>
      <c r="AH58" s="114" t="str">
        <f t="shared" si="4"/>
        <v/>
      </c>
      <c r="AI58" s="115" t="str">
        <f t="shared" si="5"/>
        <v/>
      </c>
      <c r="AJ58" s="116" t="str">
        <f t="array" ref="AJ58">INDEX($A$1:$C$500, MATCH(1,($B:$B=$C58)*($C:$C=$AG58),0),1)</f>
        <v/>
      </c>
      <c r="AK58" s="116" t="str">
        <f t="array" ref="AK58">INDEX($A$1:$C$500, MATCH(1,($B:$B=$AG58)*($C:$C=$C58),0),1)</f>
        <v/>
      </c>
      <c r="AL58" s="116" t="str">
        <f t="array" ref="AL58">INDEX($A$1:$C$500, MATCH(1,($B:$B=$C58)*($C:$C=$AB58),0),1)</f>
        <v/>
      </c>
      <c r="AM58" s="116" t="str">
        <f t="array" ref="AM58">INDEX($A$1:$C$500, MATCH(1,($B:$B=$AB58)*($C:$C=$C58),0),1)</f>
        <v/>
      </c>
      <c r="AN58" s="114" t="str">
        <f t="array" ref="AN58">IFS(ISNUMBER(AJ58),AJ58,ISNUMBER(AK58),AK58,ISNUMBER(AL58),AL58,ISNUMBER(AM58),AM58)</f>
        <v>#N/A</v>
      </c>
      <c r="AO58" s="115" t="str">
        <f t="shared" si="6"/>
        <v/>
      </c>
      <c r="AP58" s="115" t="str">
        <f t="shared" si="7"/>
        <v/>
      </c>
      <c r="AQ58" s="72"/>
      <c r="AR58" s="109" t="str">
        <f t="shared" si="8"/>
        <v/>
      </c>
      <c r="AS58" s="72" t="str">
        <f>IFERROR(IF(AND(Preferences!B$3="Manual",OR(AX58/AW58&gt;V58/U58,BD58="Serious",BD58="Very serious")),"Assess imprecision",IFERROR(IFS(AND(Preferences!B$3="Automatic",V58/U58&gt;=30),"Extremely serious",AND(W58&lt;=$D$1*-1,Y58&lt;0,V58/U58&lt;3),"Not Serious",AND(W58&lt;=$D$1*-1,Y58&lt;0,V58/U58&gt;=3),"Very serious",AND(W58&gt;=$D$1,X58&gt;0,V58/U58&lt;3),"Not Serious",AND(W58&gt;=$D$1,X58&gt;0,V58/U58&gt;=3),"Very serious",AND(W58&lt;=$D$1*-1,Y58&gt;0,X58&gt;$D$2*-1,V58/U58&lt;3),"Serious", AND(W58&lt;=$D$1*-1,Y58&gt;0,X58&lt;$D$2*-1,V58/U58&lt;3),"Very serious", AND(W58&gt;=$D$1,X58&lt;0,Y58&lt;$D$2,V58/U58&lt;3),"Serious",AND(W58&gt;=$D$1,X58&lt;0,Y58&gt;$D$2,V58/U58&lt;3),"Very serious", AND(W58&lt;=$D$1*-1,Y58&gt;0,X58&gt;$D$2*-1,V58/U58&gt;=3),"Very serious", AND(W58&lt;=$D$1*-1,Y58&gt;0,X58&lt;$D$2*-1,V58/U58&gt;=3),"Very serious", AND(W58&gt;=$D$1,X58&lt;0,Y58&lt;$D$2,V58/U58&gt;=3),"Very serious", AND(W58&gt;=$D$1,X58&lt;0,Y58&gt;$D$2,V58/U58&gt;=3),"Very serious", AND(W58&gt;$D$1*-1,W58&lt;$D$1,X58&gt;$D$1*-1,Y58&lt;$D$1,V58/U58&lt;3),"Not Serious", AND(W58&gt;$D$1*-1,W58&lt;$D$1,OR(X58&lt;=$D$1*-1,Y58&gt;=$D$1),X58&gt;$D$2*-1,Y58&lt;$D$2,V58/U58&lt;3),"Serious", AND(W58&gt;$D$1*-1,W58&lt;$D$1,OR(X58&lt;=$D$2*-1,Y58&gt;=$D$2),V58/U58&lt;3),"Very serious", AND(W58&gt;$D$1*-1,W58&lt;$D$1,X58&gt;$D$1*-1,Y58&lt;$D$1,V58/U58&gt;=3),"Very serious", AND(W58&gt;$D$1*-1,W58&lt;$D$1,OR(X58&lt;=$D$1*-1,Y58&gt;=$D$1),X58&gt;$D$2*-1,Y58&lt;$D$2,V58/U58&gt;=3),"Very serious", AND(W58&gt;$D$1*-1,W58&lt;$D$1,OR(X58&lt;=$D$2*-1,Y58&gt;=$D$2),V58/U58&gt;=3),"Very serious"),"")),"")</f>
        <v/>
      </c>
      <c r="AT58" s="109" t="str">
        <f t="shared" si="9"/>
        <v/>
      </c>
      <c r="AU58" s="64"/>
      <c r="AV58" s="117"/>
      <c r="AW58" s="117"/>
      <c r="AX58" s="117"/>
      <c r="AY58" s="118"/>
      <c r="AZ58" s="118"/>
      <c r="BA58" s="119"/>
      <c r="BB58" s="86" t="str">
        <f>IF(Preferences!B$9="Manual","",IFS(ISBLANK(B58),"",AND(ISNUMBER(E58)=TRUE,ISNUMBER(T58)=FALSE),"Direct", AND(ISNUMBER(E58)=FALSE,ISNUMBER(T58)=TRUE),"Indirect", CN58=4,"Direct",AND(CL58=FALSE, CM58=TRUE,CN58-CO58&gt;-1),"Direct", AND(CL58=FALSE,CM58=TRUE, CN58-CO58&lt;0),"Check algorithm in appendix 2", AND(CL58=TRUE, CM58=FALSE,CN58-CO58&gt;0),"Check algorithm in appendix 2", AND(CL58=TRUE, CM58=FALSE,CN58-CO58=0),"Indirect", AND(CL58=TRUE, CM58=FALSE,CN58-CO58&lt;0),"Indirect", AND(CL58=FALSE,CM58=FALSE,CN58-CO58&gt;-1),"Direct", AND(CL58=FALSE,CM58=FALSE,CN58-CO58&lt;0),"Check algorithm in appendix 2", AND(CL58=TRUE,CM58=TRUE,CN58-CO58&gt;-1),"Direct", AND(CL58=TRUE,CM58=TRUE,CN58-CO58&lt;0),"Check algorithm in appendix 2"))</f>
        <v/>
      </c>
      <c r="BC58" s="120" t="str">
        <f t="shared" si="10"/>
        <v/>
      </c>
      <c r="BD58" s="140"/>
      <c r="BE58" s="122" t="str">
        <f>IF(Preferences!B$3="Manual","", IFERROR(IFS(AND(Preferences!B$3="Automatic",AX58/AW58&gt;=30),"Extremely serious",AND(AY58&lt;=$D$1*-1,BA58&lt;0,AX58/AW58&lt;3),"Not Serious",AND(AY58&lt;=$D$1*-1,BA58&lt;0,AX58/AW58&gt;=3),"Very serious",AND(AY58&gt;=$D$1,AZ58&gt;0,AX58/AW58&lt;3),"Not Serious",AND(AY58&gt;=$D$1,AZ58&gt;0,AX58/AW58&gt;=3),"Very serious",AND(AY58&lt;=$D$1*-1,BA58&gt;0,AZ58&gt;$D$2*-1,AX58/AW58&lt;3),"Serious", AND(AY58&lt;=$D$1*-1,BA58&gt;0,AZ58&lt;$D$2*-1,AX58/AW58&lt;3),"Very serious", AND(AY58&gt;=$D$1,AZ58&lt;0,BA58&lt;$D$2,AX58/AW58&lt;3),"Serious",AND(AY58&gt;=$D$1,AZ58&lt;0,BA58&gt;$D$2,AX58/AW58&lt;3),"Very serious", AND(AY58&lt;=$D$1*-1,BA58&gt;0,AZ58&gt;$D$2*-1,AX58/AW58&gt;=3),"Very serious", AND(AY58&lt;=$D$1*-1,BA58&gt;0,AZ58&lt;$D$2*-1,AX58/AW58&gt;=3),"Very serious", AND(AY58&gt;=$D$1,AZ58&lt;0,BA58&lt;$D$2,AX58/AW58&gt;=3),"Very serious", AND(AY58&gt;=$D$1,AZ58&lt;0,BA58&gt;$D$2,AX58/AW58&gt;=3),"Very serious", AND(AY58&gt;$D$1*-1,AY58&lt;$D$1,AZ58&gt;$D$1*-1,BA58&lt;$D$1,AX58/AW58&lt;3),"Not Serious", AND(AY58&gt;$D$1*-1,AY58&lt;$D$1,OR(AZ58&lt;=$D$1*-1,BA58&gt;=$D$1),AZ58&gt;$D$2*-1,BA58&lt;$D$2,AX58/AW58&lt;3),"Serious", AND(AY58&gt;$D$1*-1,AY58&lt;$D$1,OR(AZ58&lt;=$D$2*-1,BA58&gt;=$D$2),AX58/AW58&lt;3),"Very serious", AND(AY58&gt;$D$1*-1,AY58&lt;$D$1,AZ58&gt;$D$1*-1,BA58&lt;$D$1,AX58/AW58&gt;=3),"Very serious", AND(AY58&gt;$D$1*-1,AY58&lt;$D$1,OR(AZ58&lt;=$D$1*-1,BA58&gt;=$D$1),AZ58&gt;$D$2*-1,BA58&lt;$D$2,AX58/AW58&gt;=3),"Very serious", AND(AY58&gt;$D$1*-1,AY58&lt;$D$1,OR(AZ58&lt;=$D$2*-1,BA58&gt;=$D$2),AX58/AW58&gt;=3),"Very serious"),""))</f>
        <v/>
      </c>
      <c r="BF58" s="107" t="str">
        <f t="shared" si="11"/>
        <v/>
      </c>
      <c r="BG58" s="94" t="str">
        <f t="shared" si="46"/>
        <v/>
      </c>
      <c r="BH58" s="64" t="str">
        <f t="shared" si="12"/>
        <v>#N/A</v>
      </c>
      <c r="BI58" s="64" t="str">
        <f t="shared" si="13"/>
        <v/>
      </c>
      <c r="BJ58" s="123" t="str">
        <f t="shared" si="14"/>
        <v>#N/A</v>
      </c>
      <c r="BK58" s="64" t="str">
        <f t="shared" si="50"/>
        <v>YES</v>
      </c>
      <c r="BL58" s="64" t="str">
        <f t="shared" si="16"/>
        <v>YES</v>
      </c>
      <c r="BM58" s="64" t="str">
        <f t="shared" si="17"/>
        <v>YES</v>
      </c>
      <c r="BN58" s="124" t="str">
        <f t="shared" si="18"/>
        <v/>
      </c>
      <c r="BO58" s="91" t="str">
        <f t="shared" si="19"/>
        <v/>
      </c>
      <c r="BP58" s="91" t="str">
        <f t="shared" si="20"/>
        <v>#N/A</v>
      </c>
      <c r="BQ58" s="91" t="str">
        <f t="shared" si="21"/>
        <v/>
      </c>
      <c r="BR58" s="93" t="str">
        <f t="shared" si="22"/>
        <v/>
      </c>
      <c r="BS58" s="90" t="str">
        <f t="shared" si="23"/>
        <v/>
      </c>
      <c r="BT58" s="93" t="str">
        <f t="shared" si="24"/>
        <v>NA</v>
      </c>
      <c r="BU58" s="125" t="str">
        <f t="shared" si="25"/>
        <v>#N/A</v>
      </c>
      <c r="BV58" s="93" t="str">
        <f t="shared" si="26"/>
        <v/>
      </c>
      <c r="BW58" s="93" t="str">
        <f t="shared" si="27"/>
        <v/>
      </c>
      <c r="BX58" s="93" t="str">
        <f t="shared" si="28"/>
        <v>NA</v>
      </c>
      <c r="BY58" s="95" t="str">
        <f t="shared" si="29"/>
        <v>#N/A</v>
      </c>
      <c r="BZ58" s="93" t="str">
        <f t="shared" si="30"/>
        <v/>
      </c>
      <c r="CA58" s="93" t="str">
        <f t="shared" si="31"/>
        <v/>
      </c>
      <c r="CB58" s="93" t="str">
        <f t="shared" si="32"/>
        <v>NA</v>
      </c>
      <c r="CC58" s="96" t="str">
        <f t="shared" si="33"/>
        <v>#N/A</v>
      </c>
      <c r="CD58" s="93" t="str">
        <f t="shared" si="34"/>
        <v/>
      </c>
      <c r="CE58" s="93" t="str">
        <f t="shared" si="35"/>
        <v/>
      </c>
      <c r="CF58" s="93" t="str">
        <f t="shared" si="36"/>
        <v>NA</v>
      </c>
      <c r="CG58" s="97" t="str">
        <f t="shared" si="37"/>
        <v>#N/A</v>
      </c>
      <c r="CH58" s="98" t="str">
        <f t="shared" si="38"/>
        <v>#N/A</v>
      </c>
      <c r="CI58" s="99" t="str">
        <f t="shared" si="39"/>
        <v>#N/A</v>
      </c>
      <c r="CJ58" s="126" t="str">
        <f t="shared" si="40"/>
        <v>ERROR: check cell</v>
      </c>
      <c r="CK58" s="126"/>
      <c r="CL58" s="127" t="str">
        <f t="shared" si="41"/>
        <v>#DIV/0!</v>
      </c>
      <c r="CM58" s="128" t="str">
        <f t="shared" si="42"/>
        <v>#DIV/0!</v>
      </c>
      <c r="CN58" s="128">
        <f t="shared" si="43"/>
        <v>4</v>
      </c>
      <c r="CO58" s="129">
        <f t="shared" si="44"/>
        <v>4</v>
      </c>
      <c r="CP58" s="129" t="str">
        <f>IFS(C58=Preferences!B$13,B58,B58=Preferences!B$13,C58)</f>
        <v>#N/A</v>
      </c>
    </row>
    <row r="59" ht="13.5" customHeight="1">
      <c r="A59" s="63" t="str">
        <f t="shared" si="45"/>
        <v/>
      </c>
      <c r="B59" s="64"/>
      <c r="C59" s="64"/>
      <c r="D59" s="64"/>
      <c r="E59" s="65"/>
      <c r="F59" s="65"/>
      <c r="G59" s="65"/>
      <c r="H59" s="65"/>
      <c r="I59" s="65"/>
      <c r="J59" s="141"/>
      <c r="K59" s="138"/>
      <c r="L59" s="104"/>
      <c r="M59" s="104"/>
      <c r="N59" s="104"/>
      <c r="O59" s="104"/>
      <c r="P59" s="107" t="str">
        <f t="shared" si="1"/>
        <v/>
      </c>
      <c r="Q59" s="108" t="str">
        <f>IFERROR(IF(AND(Preferences!B$3="Manual",OR(AX59/AW59&gt;G59/F59,BD59="Serious",BD59="Very serious")),"Assess imprecision",IFS(ISBLANK(E59),"",AND(Preferences!B$3="Automatic", G59/F59&gt;=30),"Extremely serious",AND(H59&lt;=$D$1*-1,J59&lt;0,G59/F59&lt;3),"Not serious",AND(H59&lt;=$D$1*-1,J59&lt;0,G59/F59&gt;=3),"Very serious",AND(H59&gt;=$D$1,I59&gt;0,G59/F59&lt;3),"Not serious",AND(H59&gt;=$D$1,I59&gt;0,G59/F59&gt;=3),"Very serious",AND(H59&lt;=$D$1*-1,J59&gt;0,I59&gt;$D$2*-1,G59/F59&lt;3),"Serious", AND(H59&lt;=$D$1*-1,J59&gt;0,I59&lt;$D$2*-1,G59/F59&lt;3),"Very serious", AND(H59&gt;=$D$1,I59&lt;0,J59&lt;$D$2,G59/F59&lt;3),"Serious",AND(H59&gt;=$D$1,I59&lt;0,J59&gt;$D$2,G59/F59&lt;3),"Very serious", AND(H59&lt;=$D$1*-1,J59&gt;0,I59&gt;$D$2*-1,G59/F59&gt;=3),"Very serious", AND(H59&lt;=$D$1*-1,J59&gt;0,I59&lt;$D$2*-1,G59/F59&gt;=3),"Very serious", AND(H59&gt;=$D$1,I59&lt;0,J59&lt;$D$2,G59/F59&gt;=3),"Very serious", AND(H59&gt;=$D$1,I59&lt;0,J59&gt;$D$2,G59/F59&gt;=3),"Very serious", AND(H59&gt;$D$1*-1,H59&lt;$D$1,I59&gt;$D$1*-1,J59&lt;$D$1,G59/F59&lt;3),"Not serious", AND(H59&gt;$D$1*-1,H59&lt;$D$1,OR(I59&lt;=$D$1*-1,J59&gt;=$D$1),I59&gt;$D$2*-1,J59&lt;$D$2,G59/F59&lt;3),"Serious", AND(H59&gt;$D$1*-1,H59&lt;$D$1,OR(I59&lt;=$D$2*-1,J59&gt;=$D$2),G59/F59&lt;3),"Very serious", AND(H59&gt;$D$1*-1,H59&lt;$D$1,I59&gt;$D$1*-1,J59&lt;$D$1,G59/F59&gt;=3),"Very serious", AND(H59&gt;$D$1*-1,H59&lt;$D$1,OR(I59&lt;=$D$1*-1,J59&gt;=$D$1),I59&gt;$D$2*-1,J59&lt;$D$2,G59/F59&gt;=3),"Very serious", AND(H59&gt;$D$1*-1,H59&lt;$D$1,OR(I59&lt;=$D$2*-1,J59&gt;=$D$2),G59/F59&gt;=3),"Very serious")),"")</f>
        <v/>
      </c>
      <c r="R59" s="109" t="str">
        <f t="shared" si="47"/>
        <v/>
      </c>
      <c r="S59" s="64"/>
      <c r="T59" s="144"/>
      <c r="U59" s="144"/>
      <c r="V59" s="144"/>
      <c r="W59" s="142"/>
      <c r="X59" s="142"/>
      <c r="Y59" s="143"/>
      <c r="Z59" s="113" t="str">
        <f t="array" ref="Z59">INDEX($A$1:$C$500, MATCH(1,($B:$B=$B59)*($C:$C=$AB59),0),1)</f>
        <v/>
      </c>
      <c r="AA59" s="113" t="str">
        <f t="array" ref="AA59">INDEX($A$1:$C$500, MATCH(1,($B:$B=$AB59)*($C:$C=$B59),0),1)</f>
        <v/>
      </c>
      <c r="AB59" s="111"/>
      <c r="AC59" s="114" t="str">
        <f t="shared" si="2"/>
        <v/>
      </c>
      <c r="AD59" s="115" t="str">
        <f t="shared" si="3"/>
        <v/>
      </c>
      <c r="AE59" s="116" t="str">
        <f t="array" ref="AE59">INDEX($A$1:$C$500, MATCH(1,($B:$B=$AB59)*($C:$C=$AG59),0),1)</f>
        <v/>
      </c>
      <c r="AF59" s="116" t="str">
        <f t="array" ref="AF59">INDEX($A$1:$C$500, MATCH(1,($B:$B=$AG59)*($C:$C=$AB59),0),1)</f>
        <v/>
      </c>
      <c r="AG59" s="72"/>
      <c r="AH59" s="114" t="str">
        <f t="shared" si="4"/>
        <v/>
      </c>
      <c r="AI59" s="115" t="str">
        <f t="shared" si="5"/>
        <v/>
      </c>
      <c r="AJ59" s="116" t="str">
        <f t="array" ref="AJ59">INDEX($A$1:$C$500, MATCH(1,($B:$B=$C59)*($C:$C=$AG59),0),1)</f>
        <v/>
      </c>
      <c r="AK59" s="116" t="str">
        <f t="array" ref="AK59">INDEX($A$1:$C$500, MATCH(1,($B:$B=$AG59)*($C:$C=$C59),0),1)</f>
        <v/>
      </c>
      <c r="AL59" s="116" t="str">
        <f t="array" ref="AL59">INDEX($A$1:$C$500, MATCH(1,($B:$B=$C59)*($C:$C=$AB59),0),1)</f>
        <v/>
      </c>
      <c r="AM59" s="116" t="str">
        <f t="array" ref="AM59">INDEX($A$1:$C$500, MATCH(1,($B:$B=$AB59)*($C:$C=$C59),0),1)</f>
        <v/>
      </c>
      <c r="AN59" s="114" t="str">
        <f t="array" ref="AN59">IFS(ISNUMBER(AJ59),AJ59,ISNUMBER(AK59),AK59,ISNUMBER(AL59),AL59,ISNUMBER(AM59),AM59)</f>
        <v>#N/A</v>
      </c>
      <c r="AO59" s="115" t="str">
        <f t="shared" si="6"/>
        <v/>
      </c>
      <c r="AP59" s="115" t="str">
        <f t="shared" si="7"/>
        <v/>
      </c>
      <c r="AQ59" s="72"/>
      <c r="AR59" s="109" t="str">
        <f t="shared" si="8"/>
        <v/>
      </c>
      <c r="AS59" s="72" t="str">
        <f>IFERROR(IF(AND(Preferences!B$3="Manual",OR(AX59/AW59&gt;V59/U59,BD59="Serious",BD59="Very serious")),"Assess imprecision",IFERROR(IFS(AND(Preferences!B$3="Automatic",V59/U59&gt;=30),"Extremely serious",AND(W59&lt;=$D$1*-1,Y59&lt;0,V59/U59&lt;3),"Not Serious",AND(W59&lt;=$D$1*-1,Y59&lt;0,V59/U59&gt;=3),"Very serious",AND(W59&gt;=$D$1,X59&gt;0,V59/U59&lt;3),"Not Serious",AND(W59&gt;=$D$1,X59&gt;0,V59/U59&gt;=3),"Very serious",AND(W59&lt;=$D$1*-1,Y59&gt;0,X59&gt;$D$2*-1,V59/U59&lt;3),"Serious", AND(W59&lt;=$D$1*-1,Y59&gt;0,X59&lt;$D$2*-1,V59/U59&lt;3),"Very serious", AND(W59&gt;=$D$1,X59&lt;0,Y59&lt;$D$2,V59/U59&lt;3),"Serious",AND(W59&gt;=$D$1,X59&lt;0,Y59&gt;$D$2,V59/U59&lt;3),"Very serious", AND(W59&lt;=$D$1*-1,Y59&gt;0,X59&gt;$D$2*-1,V59/U59&gt;=3),"Very serious", AND(W59&lt;=$D$1*-1,Y59&gt;0,X59&lt;$D$2*-1,V59/U59&gt;=3),"Very serious", AND(W59&gt;=$D$1,X59&lt;0,Y59&lt;$D$2,V59/U59&gt;=3),"Very serious", AND(W59&gt;=$D$1,X59&lt;0,Y59&gt;$D$2,V59/U59&gt;=3),"Very serious", AND(W59&gt;$D$1*-1,W59&lt;$D$1,X59&gt;$D$1*-1,Y59&lt;$D$1,V59/U59&lt;3),"Not Serious", AND(W59&gt;$D$1*-1,W59&lt;$D$1,OR(X59&lt;=$D$1*-1,Y59&gt;=$D$1),X59&gt;$D$2*-1,Y59&lt;$D$2,V59/U59&lt;3),"Serious", AND(W59&gt;$D$1*-1,W59&lt;$D$1,OR(X59&lt;=$D$2*-1,Y59&gt;=$D$2),V59/U59&lt;3),"Very serious", AND(W59&gt;$D$1*-1,W59&lt;$D$1,X59&gt;$D$1*-1,Y59&lt;$D$1,V59/U59&gt;=3),"Very serious", AND(W59&gt;$D$1*-1,W59&lt;$D$1,OR(X59&lt;=$D$1*-1,Y59&gt;=$D$1),X59&gt;$D$2*-1,Y59&lt;$D$2,V59/U59&gt;=3),"Very serious", AND(W59&gt;$D$1*-1,W59&lt;$D$1,OR(X59&lt;=$D$2*-1,Y59&gt;=$D$2),V59/U59&gt;=3),"Very serious"),"")),"")</f>
        <v/>
      </c>
      <c r="AT59" s="109" t="str">
        <f t="shared" si="9"/>
        <v/>
      </c>
      <c r="AU59" s="64"/>
      <c r="AV59" s="117"/>
      <c r="AW59" s="117"/>
      <c r="AX59" s="117"/>
      <c r="AY59" s="118"/>
      <c r="AZ59" s="118"/>
      <c r="BA59" s="119"/>
      <c r="BB59" s="86" t="str">
        <f>IF(Preferences!B$9="Manual","",IFS(ISBLANK(B59),"",AND(ISNUMBER(E59)=TRUE,ISNUMBER(T59)=FALSE),"Direct", AND(ISNUMBER(E59)=FALSE,ISNUMBER(T59)=TRUE),"Indirect", CN59=4,"Direct",AND(CL59=FALSE, CM59=TRUE,CN59-CO59&gt;-1),"Direct", AND(CL59=FALSE,CM59=TRUE, CN59-CO59&lt;0),"Check algorithm in appendix 2", AND(CL59=TRUE, CM59=FALSE,CN59-CO59&gt;0),"Check algorithm in appendix 2", AND(CL59=TRUE, CM59=FALSE,CN59-CO59=0),"Indirect", AND(CL59=TRUE, CM59=FALSE,CN59-CO59&lt;0),"Indirect", AND(CL59=FALSE,CM59=FALSE,CN59-CO59&gt;-1),"Direct", AND(CL59=FALSE,CM59=FALSE,CN59-CO59&lt;0),"Check algorithm in appendix 2", AND(CL59=TRUE,CM59=TRUE,CN59-CO59&gt;-1),"Direct", AND(CL59=TRUE,CM59=TRUE,CN59-CO59&lt;0),"Check algorithm in appendix 2"))</f>
        <v/>
      </c>
      <c r="BC59" s="120" t="str">
        <f t="shared" si="10"/>
        <v/>
      </c>
      <c r="BD59" s="140"/>
      <c r="BE59" s="122" t="str">
        <f>IF(Preferences!B$3="Manual","", IFERROR(IFS(AND(Preferences!B$3="Automatic",AX59/AW59&gt;=30),"Extremely serious",AND(AY59&lt;=$D$1*-1,BA59&lt;0,AX59/AW59&lt;3),"Not Serious",AND(AY59&lt;=$D$1*-1,BA59&lt;0,AX59/AW59&gt;=3),"Very serious",AND(AY59&gt;=$D$1,AZ59&gt;0,AX59/AW59&lt;3),"Not Serious",AND(AY59&gt;=$D$1,AZ59&gt;0,AX59/AW59&gt;=3),"Very serious",AND(AY59&lt;=$D$1*-1,BA59&gt;0,AZ59&gt;$D$2*-1,AX59/AW59&lt;3),"Serious", AND(AY59&lt;=$D$1*-1,BA59&gt;0,AZ59&lt;$D$2*-1,AX59/AW59&lt;3),"Very serious", AND(AY59&gt;=$D$1,AZ59&lt;0,BA59&lt;$D$2,AX59/AW59&lt;3),"Serious",AND(AY59&gt;=$D$1,AZ59&lt;0,BA59&gt;$D$2,AX59/AW59&lt;3),"Very serious", AND(AY59&lt;=$D$1*-1,BA59&gt;0,AZ59&gt;$D$2*-1,AX59/AW59&gt;=3),"Very serious", AND(AY59&lt;=$D$1*-1,BA59&gt;0,AZ59&lt;$D$2*-1,AX59/AW59&gt;=3),"Very serious", AND(AY59&gt;=$D$1,AZ59&lt;0,BA59&lt;$D$2,AX59/AW59&gt;=3),"Very serious", AND(AY59&gt;=$D$1,AZ59&lt;0,BA59&gt;$D$2,AX59/AW59&gt;=3),"Very serious", AND(AY59&gt;$D$1*-1,AY59&lt;$D$1,AZ59&gt;$D$1*-1,BA59&lt;$D$1,AX59/AW59&lt;3),"Not Serious", AND(AY59&gt;$D$1*-1,AY59&lt;$D$1,OR(AZ59&lt;=$D$1*-1,BA59&gt;=$D$1),AZ59&gt;$D$2*-1,BA59&lt;$D$2,AX59/AW59&lt;3),"Serious", AND(AY59&gt;$D$1*-1,AY59&lt;$D$1,OR(AZ59&lt;=$D$2*-1,BA59&gt;=$D$2),AX59/AW59&lt;3),"Very serious", AND(AY59&gt;$D$1*-1,AY59&lt;$D$1,AZ59&gt;$D$1*-1,BA59&lt;$D$1,AX59/AW59&gt;=3),"Very serious", AND(AY59&gt;$D$1*-1,AY59&lt;$D$1,OR(AZ59&lt;=$D$1*-1,BA59&gt;=$D$1),AZ59&gt;$D$2*-1,BA59&lt;$D$2,AX59/AW59&gt;=3),"Very serious", AND(AY59&gt;$D$1*-1,AY59&lt;$D$1,OR(AZ59&lt;=$D$2*-1,BA59&gt;=$D$2),AX59/AW59&gt;=3),"Very serious"),""))</f>
        <v/>
      </c>
      <c r="BF59" s="107" t="str">
        <f t="shared" si="11"/>
        <v/>
      </c>
      <c r="BG59" s="94" t="str">
        <f t="shared" si="46"/>
        <v/>
      </c>
      <c r="BH59" s="64" t="str">
        <f t="shared" si="12"/>
        <v>#N/A</v>
      </c>
      <c r="BI59" s="64" t="str">
        <f t="shared" si="13"/>
        <v/>
      </c>
      <c r="BJ59" s="123" t="str">
        <f t="shared" si="14"/>
        <v>#N/A</v>
      </c>
      <c r="BK59" s="64" t="str">
        <f t="shared" si="50"/>
        <v>YES</v>
      </c>
      <c r="BL59" s="64" t="str">
        <f t="shared" si="16"/>
        <v>YES</v>
      </c>
      <c r="BM59" s="64" t="str">
        <f t="shared" si="17"/>
        <v>YES</v>
      </c>
      <c r="BN59" s="124" t="str">
        <f t="shared" si="18"/>
        <v/>
      </c>
      <c r="BO59" s="91" t="str">
        <f t="shared" si="19"/>
        <v/>
      </c>
      <c r="BP59" s="91" t="str">
        <f t="shared" si="20"/>
        <v>#N/A</v>
      </c>
      <c r="BQ59" s="91" t="str">
        <f t="shared" si="21"/>
        <v/>
      </c>
      <c r="BR59" s="93" t="str">
        <f t="shared" si="22"/>
        <v/>
      </c>
      <c r="BS59" s="90" t="str">
        <f t="shared" si="23"/>
        <v/>
      </c>
      <c r="BT59" s="93" t="str">
        <f t="shared" si="24"/>
        <v>NA</v>
      </c>
      <c r="BU59" s="125" t="str">
        <f t="shared" si="25"/>
        <v>#N/A</v>
      </c>
      <c r="BV59" s="93" t="str">
        <f t="shared" si="26"/>
        <v/>
      </c>
      <c r="BW59" s="93" t="str">
        <f t="shared" si="27"/>
        <v/>
      </c>
      <c r="BX59" s="93" t="str">
        <f t="shared" si="28"/>
        <v>NA</v>
      </c>
      <c r="BY59" s="95" t="str">
        <f t="shared" si="29"/>
        <v>#N/A</v>
      </c>
      <c r="BZ59" s="93" t="str">
        <f t="shared" si="30"/>
        <v/>
      </c>
      <c r="CA59" s="93" t="str">
        <f t="shared" si="31"/>
        <v/>
      </c>
      <c r="CB59" s="93" t="str">
        <f t="shared" si="32"/>
        <v>NA</v>
      </c>
      <c r="CC59" s="96" t="str">
        <f t="shared" si="33"/>
        <v>#N/A</v>
      </c>
      <c r="CD59" s="93" t="str">
        <f t="shared" si="34"/>
        <v/>
      </c>
      <c r="CE59" s="93" t="str">
        <f t="shared" si="35"/>
        <v/>
      </c>
      <c r="CF59" s="93" t="str">
        <f t="shared" si="36"/>
        <v>NA</v>
      </c>
      <c r="CG59" s="97" t="str">
        <f t="shared" si="37"/>
        <v>#N/A</v>
      </c>
      <c r="CH59" s="98" t="str">
        <f t="shared" si="38"/>
        <v>#N/A</v>
      </c>
      <c r="CI59" s="99" t="str">
        <f t="shared" si="39"/>
        <v>#N/A</v>
      </c>
      <c r="CJ59" s="126" t="str">
        <f t="shared" si="40"/>
        <v>ERROR: check cell</v>
      </c>
      <c r="CK59" s="126"/>
      <c r="CL59" s="127" t="str">
        <f t="shared" si="41"/>
        <v>#DIV/0!</v>
      </c>
      <c r="CM59" s="128" t="str">
        <f t="shared" si="42"/>
        <v>#DIV/0!</v>
      </c>
      <c r="CN59" s="128">
        <f t="shared" si="43"/>
        <v>4</v>
      </c>
      <c r="CO59" s="129">
        <f t="shared" si="44"/>
        <v>4</v>
      </c>
      <c r="CP59" s="129" t="str">
        <f>IFS(C59=Preferences!B$13,B59,B59=Preferences!B$13,C59)</f>
        <v>#N/A</v>
      </c>
    </row>
    <row r="60" ht="13.5" customHeight="1">
      <c r="A60" s="63" t="str">
        <f t="shared" si="45"/>
        <v/>
      </c>
      <c r="B60" s="64"/>
      <c r="C60" s="64"/>
      <c r="D60" s="64"/>
      <c r="E60" s="65"/>
      <c r="F60" s="65"/>
      <c r="G60" s="65"/>
      <c r="H60" s="65"/>
      <c r="I60" s="65"/>
      <c r="J60" s="141"/>
      <c r="K60" s="138"/>
      <c r="L60" s="104"/>
      <c r="M60" s="104"/>
      <c r="N60" s="104"/>
      <c r="O60" s="104"/>
      <c r="P60" s="107" t="str">
        <f t="shared" si="1"/>
        <v/>
      </c>
      <c r="Q60" s="108" t="str">
        <f>IFERROR(IF(AND(Preferences!B$3="Manual",OR(AX60/AW60&gt;G60/F60,BD60="Serious",BD60="Very serious")),"Assess imprecision",IFS(ISBLANK(E60),"",AND(Preferences!B$3="Automatic", G60/F60&gt;=30),"Extremely serious",AND(H60&lt;=$D$1*-1,J60&lt;0,G60/F60&lt;3),"Not serious",AND(H60&lt;=$D$1*-1,J60&lt;0,G60/F60&gt;=3),"Very serious",AND(H60&gt;=$D$1,I60&gt;0,G60/F60&lt;3),"Not serious",AND(H60&gt;=$D$1,I60&gt;0,G60/F60&gt;=3),"Very serious",AND(H60&lt;=$D$1*-1,J60&gt;0,I60&gt;$D$2*-1,G60/F60&lt;3),"Serious", AND(H60&lt;=$D$1*-1,J60&gt;0,I60&lt;$D$2*-1,G60/F60&lt;3),"Very serious", AND(H60&gt;=$D$1,I60&lt;0,J60&lt;$D$2,G60/F60&lt;3),"Serious",AND(H60&gt;=$D$1,I60&lt;0,J60&gt;$D$2,G60/F60&lt;3),"Very serious", AND(H60&lt;=$D$1*-1,J60&gt;0,I60&gt;$D$2*-1,G60/F60&gt;=3),"Very serious", AND(H60&lt;=$D$1*-1,J60&gt;0,I60&lt;$D$2*-1,G60/F60&gt;=3),"Very serious", AND(H60&gt;=$D$1,I60&lt;0,J60&lt;$D$2,G60/F60&gt;=3),"Very serious", AND(H60&gt;=$D$1,I60&lt;0,J60&gt;$D$2,G60/F60&gt;=3),"Very serious", AND(H60&gt;$D$1*-1,H60&lt;$D$1,I60&gt;$D$1*-1,J60&lt;$D$1,G60/F60&lt;3),"Not serious", AND(H60&gt;$D$1*-1,H60&lt;$D$1,OR(I60&lt;=$D$1*-1,J60&gt;=$D$1),I60&gt;$D$2*-1,J60&lt;$D$2,G60/F60&lt;3),"Serious", AND(H60&gt;$D$1*-1,H60&lt;$D$1,OR(I60&lt;=$D$2*-1,J60&gt;=$D$2),G60/F60&lt;3),"Very serious", AND(H60&gt;$D$1*-1,H60&lt;$D$1,I60&gt;$D$1*-1,J60&lt;$D$1,G60/F60&gt;=3),"Very serious", AND(H60&gt;$D$1*-1,H60&lt;$D$1,OR(I60&lt;=$D$1*-1,J60&gt;=$D$1),I60&gt;$D$2*-1,J60&lt;$D$2,G60/F60&gt;=3),"Very serious", AND(H60&gt;$D$1*-1,H60&lt;$D$1,OR(I60&lt;=$D$2*-1,J60&gt;=$D$2),G60/F60&gt;=3),"Very serious")),"")</f>
        <v/>
      </c>
      <c r="R60" s="109" t="str">
        <f t="shared" si="47"/>
        <v/>
      </c>
      <c r="S60" s="64"/>
      <c r="T60" s="144"/>
      <c r="U60" s="144"/>
      <c r="V60" s="144"/>
      <c r="W60" s="72"/>
      <c r="X60" s="72"/>
      <c r="Y60" s="130"/>
      <c r="Z60" s="113" t="str">
        <f t="array" ref="Z60">INDEX($A$1:$C$500, MATCH(1,($B:$B=$B60)*($C:$C=$AB60),0),1)</f>
        <v/>
      </c>
      <c r="AA60" s="113" t="str">
        <f t="array" ref="AA60">INDEX($A$1:$C$500, MATCH(1,($B:$B=$AB60)*($C:$C=$B60),0),1)</f>
        <v/>
      </c>
      <c r="AB60" s="111"/>
      <c r="AC60" s="114" t="str">
        <f t="shared" si="2"/>
        <v/>
      </c>
      <c r="AD60" s="115" t="str">
        <f t="shared" si="3"/>
        <v/>
      </c>
      <c r="AE60" s="116" t="str">
        <f t="array" ref="AE60">INDEX($A$1:$C$500, MATCH(1,($B:$B=$AB60)*($C:$C=$AG60),0),1)</f>
        <v/>
      </c>
      <c r="AF60" s="116" t="str">
        <f t="array" ref="AF60">INDEX($A$1:$C$500, MATCH(1,($B:$B=$AG60)*($C:$C=$AB60),0),1)</f>
        <v/>
      </c>
      <c r="AG60" s="72"/>
      <c r="AH60" s="114" t="str">
        <f t="shared" si="4"/>
        <v/>
      </c>
      <c r="AI60" s="115" t="str">
        <f t="shared" si="5"/>
        <v/>
      </c>
      <c r="AJ60" s="116" t="str">
        <f t="array" ref="AJ60">INDEX($A$1:$C$500, MATCH(1,($B:$B=$C60)*($C:$C=$AG60),0),1)</f>
        <v/>
      </c>
      <c r="AK60" s="116" t="str">
        <f t="array" ref="AK60">INDEX($A$1:$C$500, MATCH(1,($B:$B=$AG60)*($C:$C=$C60),0),1)</f>
        <v/>
      </c>
      <c r="AL60" s="116" t="str">
        <f t="array" ref="AL60">INDEX($A$1:$C$500, MATCH(1,($B:$B=$C60)*($C:$C=$AB60),0),1)</f>
        <v/>
      </c>
      <c r="AM60" s="116" t="str">
        <f t="array" ref="AM60">INDEX($A$1:$C$500, MATCH(1,($B:$B=$AB60)*($C:$C=$C60),0),1)</f>
        <v/>
      </c>
      <c r="AN60" s="114" t="str">
        <f t="array" ref="AN60">IFS(ISNUMBER(AJ60),AJ60,ISNUMBER(AK60),AK60,ISNUMBER(AL60),AL60,ISNUMBER(AM60),AM60)</f>
        <v>#N/A</v>
      </c>
      <c r="AO60" s="115" t="str">
        <f t="shared" si="6"/>
        <v/>
      </c>
      <c r="AP60" s="115" t="str">
        <f t="shared" si="7"/>
        <v/>
      </c>
      <c r="AQ60" s="72"/>
      <c r="AR60" s="109" t="str">
        <f t="shared" si="8"/>
        <v/>
      </c>
      <c r="AS60" s="72" t="str">
        <f>IFERROR(IF(AND(Preferences!B$3="Manual",OR(AX60/AW60&gt;V60/U60,BD60="Serious",BD60="Very serious")),"Assess imprecision",IFERROR(IFS(AND(Preferences!B$3="Automatic",V60/U60&gt;=30),"Extremely serious",AND(W60&lt;=$D$1*-1,Y60&lt;0,V60/U60&lt;3),"Not Serious",AND(W60&lt;=$D$1*-1,Y60&lt;0,V60/U60&gt;=3),"Very serious",AND(W60&gt;=$D$1,X60&gt;0,V60/U60&lt;3),"Not Serious",AND(W60&gt;=$D$1,X60&gt;0,V60/U60&gt;=3),"Very serious",AND(W60&lt;=$D$1*-1,Y60&gt;0,X60&gt;$D$2*-1,V60/U60&lt;3),"Serious", AND(W60&lt;=$D$1*-1,Y60&gt;0,X60&lt;$D$2*-1,V60/U60&lt;3),"Very serious", AND(W60&gt;=$D$1,X60&lt;0,Y60&lt;$D$2,V60/U60&lt;3),"Serious",AND(W60&gt;=$D$1,X60&lt;0,Y60&gt;$D$2,V60/U60&lt;3),"Very serious", AND(W60&lt;=$D$1*-1,Y60&gt;0,X60&gt;$D$2*-1,V60/U60&gt;=3),"Very serious", AND(W60&lt;=$D$1*-1,Y60&gt;0,X60&lt;$D$2*-1,V60/U60&gt;=3),"Very serious", AND(W60&gt;=$D$1,X60&lt;0,Y60&lt;$D$2,V60/U60&gt;=3),"Very serious", AND(W60&gt;=$D$1,X60&lt;0,Y60&gt;$D$2,V60/U60&gt;=3),"Very serious", AND(W60&gt;$D$1*-1,W60&lt;$D$1,X60&gt;$D$1*-1,Y60&lt;$D$1,V60/U60&lt;3),"Not Serious", AND(W60&gt;$D$1*-1,W60&lt;$D$1,OR(X60&lt;=$D$1*-1,Y60&gt;=$D$1),X60&gt;$D$2*-1,Y60&lt;$D$2,V60/U60&lt;3),"Serious", AND(W60&gt;$D$1*-1,W60&lt;$D$1,OR(X60&lt;=$D$2*-1,Y60&gt;=$D$2),V60/U60&lt;3),"Very serious", AND(W60&gt;$D$1*-1,W60&lt;$D$1,X60&gt;$D$1*-1,Y60&lt;$D$1,V60/U60&gt;=3),"Very serious", AND(W60&gt;$D$1*-1,W60&lt;$D$1,OR(X60&lt;=$D$1*-1,Y60&gt;=$D$1),X60&gt;$D$2*-1,Y60&lt;$D$2,V60/U60&gt;=3),"Very serious", AND(W60&gt;$D$1*-1,W60&lt;$D$1,OR(X60&lt;=$D$2*-1,Y60&gt;=$D$2),V60/U60&gt;=3),"Very serious"),"")),"")</f>
        <v/>
      </c>
      <c r="AT60" s="109" t="str">
        <f t="shared" si="9"/>
        <v/>
      </c>
      <c r="AU60" s="64"/>
      <c r="AV60" s="117"/>
      <c r="AW60" s="117"/>
      <c r="AX60" s="117"/>
      <c r="AY60" s="118"/>
      <c r="AZ60" s="118"/>
      <c r="BA60" s="119"/>
      <c r="BB60" s="86" t="str">
        <f>IF(Preferences!B$9="Manual","",IFS(ISBLANK(B60),"",AND(ISNUMBER(E60)=TRUE,ISNUMBER(T60)=FALSE),"Direct", AND(ISNUMBER(E60)=FALSE,ISNUMBER(T60)=TRUE),"Indirect", CN60=4,"Direct",AND(CL60=FALSE, CM60=TRUE,CN60-CO60&gt;-1),"Direct", AND(CL60=FALSE,CM60=TRUE, CN60-CO60&lt;0),"Check algorithm in appendix 2", AND(CL60=TRUE, CM60=FALSE,CN60-CO60&gt;0),"Check algorithm in appendix 2", AND(CL60=TRUE, CM60=FALSE,CN60-CO60=0),"Indirect", AND(CL60=TRUE, CM60=FALSE,CN60-CO60&lt;0),"Indirect", AND(CL60=FALSE,CM60=FALSE,CN60-CO60&gt;-1),"Direct", AND(CL60=FALSE,CM60=FALSE,CN60-CO60&lt;0),"Check algorithm in appendix 2", AND(CL60=TRUE,CM60=TRUE,CN60-CO60&gt;-1),"Direct", AND(CL60=TRUE,CM60=TRUE,CN60-CO60&lt;0),"Check algorithm in appendix 2"))</f>
        <v/>
      </c>
      <c r="BC60" s="120" t="str">
        <f t="shared" si="10"/>
        <v/>
      </c>
      <c r="BD60" s="140"/>
      <c r="BE60" s="122" t="str">
        <f>IF(Preferences!B$3="Manual","", IFERROR(IFS(AND(Preferences!B$3="Automatic",AX60/AW60&gt;=30),"Extremely serious",AND(AY60&lt;=$D$1*-1,BA60&lt;0,AX60/AW60&lt;3),"Not Serious",AND(AY60&lt;=$D$1*-1,BA60&lt;0,AX60/AW60&gt;=3),"Very serious",AND(AY60&gt;=$D$1,AZ60&gt;0,AX60/AW60&lt;3),"Not Serious",AND(AY60&gt;=$D$1,AZ60&gt;0,AX60/AW60&gt;=3),"Very serious",AND(AY60&lt;=$D$1*-1,BA60&gt;0,AZ60&gt;$D$2*-1,AX60/AW60&lt;3),"Serious", AND(AY60&lt;=$D$1*-1,BA60&gt;0,AZ60&lt;$D$2*-1,AX60/AW60&lt;3),"Very serious", AND(AY60&gt;=$D$1,AZ60&lt;0,BA60&lt;$D$2,AX60/AW60&lt;3),"Serious",AND(AY60&gt;=$D$1,AZ60&lt;0,BA60&gt;$D$2,AX60/AW60&lt;3),"Very serious", AND(AY60&lt;=$D$1*-1,BA60&gt;0,AZ60&gt;$D$2*-1,AX60/AW60&gt;=3),"Very serious", AND(AY60&lt;=$D$1*-1,BA60&gt;0,AZ60&lt;$D$2*-1,AX60/AW60&gt;=3),"Very serious", AND(AY60&gt;=$D$1,AZ60&lt;0,BA60&lt;$D$2,AX60/AW60&gt;=3),"Very serious", AND(AY60&gt;=$D$1,AZ60&lt;0,BA60&gt;$D$2,AX60/AW60&gt;=3),"Very serious", AND(AY60&gt;$D$1*-1,AY60&lt;$D$1,AZ60&gt;$D$1*-1,BA60&lt;$D$1,AX60/AW60&lt;3),"Not Serious", AND(AY60&gt;$D$1*-1,AY60&lt;$D$1,OR(AZ60&lt;=$D$1*-1,BA60&gt;=$D$1),AZ60&gt;$D$2*-1,BA60&lt;$D$2,AX60/AW60&lt;3),"Serious", AND(AY60&gt;$D$1*-1,AY60&lt;$D$1,OR(AZ60&lt;=$D$2*-1,BA60&gt;=$D$2),AX60/AW60&lt;3),"Very serious", AND(AY60&gt;$D$1*-1,AY60&lt;$D$1,AZ60&gt;$D$1*-1,BA60&lt;$D$1,AX60/AW60&gt;=3),"Very serious", AND(AY60&gt;$D$1*-1,AY60&lt;$D$1,OR(AZ60&lt;=$D$1*-1,BA60&gt;=$D$1),AZ60&gt;$D$2*-1,BA60&lt;$D$2,AX60/AW60&gt;=3),"Very serious", AND(AY60&gt;$D$1*-1,AY60&lt;$D$1,OR(AZ60&lt;=$D$2*-1,BA60&gt;=$D$2),AX60/AW60&gt;=3),"Very serious"),""))</f>
        <v/>
      </c>
      <c r="BF60" s="107" t="str">
        <f t="shared" si="11"/>
        <v/>
      </c>
      <c r="BG60" s="94" t="str">
        <f t="shared" si="46"/>
        <v/>
      </c>
      <c r="BH60" s="64" t="str">
        <f t="shared" si="12"/>
        <v>#N/A</v>
      </c>
      <c r="BI60" s="64" t="str">
        <f t="shared" si="13"/>
        <v/>
      </c>
      <c r="BJ60" s="123" t="str">
        <f t="shared" si="14"/>
        <v>#N/A</v>
      </c>
      <c r="BK60" s="64" t="str">
        <f t="shared" si="50"/>
        <v>YES</v>
      </c>
      <c r="BL60" s="64" t="str">
        <f t="shared" si="16"/>
        <v>YES</v>
      </c>
      <c r="BM60" s="64" t="str">
        <f t="shared" si="17"/>
        <v>YES</v>
      </c>
      <c r="BN60" s="124" t="str">
        <f t="shared" si="18"/>
        <v/>
      </c>
      <c r="BO60" s="91" t="str">
        <f t="shared" si="19"/>
        <v/>
      </c>
      <c r="BP60" s="91" t="str">
        <f t="shared" si="20"/>
        <v>#N/A</v>
      </c>
      <c r="BQ60" s="91" t="str">
        <f t="shared" si="21"/>
        <v/>
      </c>
      <c r="BR60" s="93" t="str">
        <f t="shared" si="22"/>
        <v/>
      </c>
      <c r="BS60" s="90" t="str">
        <f t="shared" si="23"/>
        <v/>
      </c>
      <c r="BT60" s="93" t="str">
        <f t="shared" si="24"/>
        <v>NA</v>
      </c>
      <c r="BU60" s="125" t="str">
        <f t="shared" si="25"/>
        <v>#N/A</v>
      </c>
      <c r="BV60" s="93" t="str">
        <f t="shared" si="26"/>
        <v/>
      </c>
      <c r="BW60" s="93" t="str">
        <f t="shared" si="27"/>
        <v/>
      </c>
      <c r="BX60" s="93" t="str">
        <f t="shared" si="28"/>
        <v>NA</v>
      </c>
      <c r="BY60" s="95" t="str">
        <f t="shared" si="29"/>
        <v>#N/A</v>
      </c>
      <c r="BZ60" s="93" t="str">
        <f t="shared" si="30"/>
        <v/>
      </c>
      <c r="CA60" s="93" t="str">
        <f t="shared" si="31"/>
        <v/>
      </c>
      <c r="CB60" s="93" t="str">
        <f t="shared" si="32"/>
        <v>NA</v>
      </c>
      <c r="CC60" s="96" t="str">
        <f t="shared" si="33"/>
        <v>#N/A</v>
      </c>
      <c r="CD60" s="93" t="str">
        <f t="shared" si="34"/>
        <v/>
      </c>
      <c r="CE60" s="93" t="str">
        <f t="shared" si="35"/>
        <v/>
      </c>
      <c r="CF60" s="93" t="str">
        <f t="shared" si="36"/>
        <v>NA</v>
      </c>
      <c r="CG60" s="97" t="str">
        <f t="shared" si="37"/>
        <v>#N/A</v>
      </c>
      <c r="CH60" s="98" t="str">
        <f t="shared" si="38"/>
        <v>#N/A</v>
      </c>
      <c r="CI60" s="99" t="str">
        <f t="shared" si="39"/>
        <v>#N/A</v>
      </c>
      <c r="CJ60" s="126" t="str">
        <f t="shared" si="40"/>
        <v>ERROR: check cell</v>
      </c>
      <c r="CK60" s="126"/>
      <c r="CL60" s="127" t="str">
        <f t="shared" si="41"/>
        <v>#DIV/0!</v>
      </c>
      <c r="CM60" s="128" t="str">
        <f t="shared" si="42"/>
        <v>#DIV/0!</v>
      </c>
      <c r="CN60" s="128">
        <f t="shared" si="43"/>
        <v>4</v>
      </c>
      <c r="CO60" s="129">
        <f t="shared" si="44"/>
        <v>4</v>
      </c>
      <c r="CP60" s="129" t="str">
        <f>IFS(C60=Preferences!B$13,B60,B60=Preferences!B$13,C60)</f>
        <v>#N/A</v>
      </c>
    </row>
    <row r="61" ht="13.5" customHeight="1">
      <c r="A61" s="63" t="str">
        <f t="shared" si="45"/>
        <v/>
      </c>
      <c r="B61" s="64"/>
      <c r="C61" s="64"/>
      <c r="D61" s="64"/>
      <c r="E61" s="65"/>
      <c r="F61" s="65"/>
      <c r="G61" s="65"/>
      <c r="H61" s="65"/>
      <c r="I61" s="65"/>
      <c r="J61" s="141"/>
      <c r="K61" s="138"/>
      <c r="L61" s="104"/>
      <c r="M61" s="104"/>
      <c r="N61" s="104"/>
      <c r="O61" s="104"/>
      <c r="P61" s="107" t="str">
        <f t="shared" si="1"/>
        <v/>
      </c>
      <c r="Q61" s="108" t="str">
        <f>IFERROR(IF(AND(Preferences!B$3="Manual",OR(AX61/AW61&gt;G61/F61,BD61="Serious",BD61="Very serious")),"Assess imprecision",IFS(ISBLANK(E61),"",AND(Preferences!B$3="Automatic", G61/F61&gt;=30),"Extremely serious",AND(H61&lt;=$D$1*-1,J61&lt;0,G61/F61&lt;3),"Not serious",AND(H61&lt;=$D$1*-1,J61&lt;0,G61/F61&gt;=3),"Very serious",AND(H61&gt;=$D$1,I61&gt;0,G61/F61&lt;3),"Not serious",AND(H61&gt;=$D$1,I61&gt;0,G61/F61&gt;=3),"Very serious",AND(H61&lt;=$D$1*-1,J61&gt;0,I61&gt;$D$2*-1,G61/F61&lt;3),"Serious", AND(H61&lt;=$D$1*-1,J61&gt;0,I61&lt;$D$2*-1,G61/F61&lt;3),"Very serious", AND(H61&gt;=$D$1,I61&lt;0,J61&lt;$D$2,G61/F61&lt;3),"Serious",AND(H61&gt;=$D$1,I61&lt;0,J61&gt;$D$2,G61/F61&lt;3),"Very serious", AND(H61&lt;=$D$1*-1,J61&gt;0,I61&gt;$D$2*-1,G61/F61&gt;=3),"Very serious", AND(H61&lt;=$D$1*-1,J61&gt;0,I61&lt;$D$2*-1,G61/F61&gt;=3),"Very serious", AND(H61&gt;=$D$1,I61&lt;0,J61&lt;$D$2,G61/F61&gt;=3),"Very serious", AND(H61&gt;=$D$1,I61&lt;0,J61&gt;$D$2,G61/F61&gt;=3),"Very serious", AND(H61&gt;$D$1*-1,H61&lt;$D$1,I61&gt;$D$1*-1,J61&lt;$D$1,G61/F61&lt;3),"Not serious", AND(H61&gt;$D$1*-1,H61&lt;$D$1,OR(I61&lt;=$D$1*-1,J61&gt;=$D$1),I61&gt;$D$2*-1,J61&lt;$D$2,G61/F61&lt;3),"Serious", AND(H61&gt;$D$1*-1,H61&lt;$D$1,OR(I61&lt;=$D$2*-1,J61&gt;=$D$2),G61/F61&lt;3),"Very serious", AND(H61&gt;$D$1*-1,H61&lt;$D$1,I61&gt;$D$1*-1,J61&lt;$D$1,G61/F61&gt;=3),"Very serious", AND(H61&gt;$D$1*-1,H61&lt;$D$1,OR(I61&lt;=$D$1*-1,J61&gt;=$D$1),I61&gt;$D$2*-1,J61&lt;$D$2,G61/F61&gt;=3),"Very serious", AND(H61&gt;$D$1*-1,H61&lt;$D$1,OR(I61&lt;=$D$2*-1,J61&gt;=$D$2),G61/F61&gt;=3),"Very serious")),"")</f>
        <v/>
      </c>
      <c r="R61" s="109" t="str">
        <f t="shared" si="47"/>
        <v/>
      </c>
      <c r="S61" s="64"/>
      <c r="T61" s="144"/>
      <c r="U61" s="144"/>
      <c r="V61" s="144"/>
      <c r="W61" s="72"/>
      <c r="X61" s="72"/>
      <c r="Y61" s="130"/>
      <c r="Z61" s="113" t="str">
        <f t="array" ref="Z61">INDEX($A$1:$C$500, MATCH(1,($B:$B=$B61)*($C:$C=$AB61),0),1)</f>
        <v/>
      </c>
      <c r="AA61" s="113" t="str">
        <f t="array" ref="AA61">INDEX($A$1:$C$500, MATCH(1,($B:$B=$AB61)*($C:$C=$B61),0),1)</f>
        <v/>
      </c>
      <c r="AB61" s="111"/>
      <c r="AC61" s="114" t="str">
        <f t="shared" si="2"/>
        <v/>
      </c>
      <c r="AD61" s="115" t="str">
        <f t="shared" si="3"/>
        <v/>
      </c>
      <c r="AE61" s="116" t="str">
        <f t="array" ref="AE61">INDEX($A$1:$C$500, MATCH(1,($B:$B=$AB61)*($C:$C=$AG61),0),1)</f>
        <v/>
      </c>
      <c r="AF61" s="116" t="str">
        <f t="array" ref="AF61">INDEX($A$1:$C$500, MATCH(1,($B:$B=$AG61)*($C:$C=$AB61),0),1)</f>
        <v/>
      </c>
      <c r="AG61" s="72"/>
      <c r="AH61" s="114" t="str">
        <f t="shared" si="4"/>
        <v/>
      </c>
      <c r="AI61" s="115" t="str">
        <f t="shared" si="5"/>
        <v/>
      </c>
      <c r="AJ61" s="116" t="str">
        <f t="array" ref="AJ61">INDEX($A$1:$C$500, MATCH(1,($B:$B=$C61)*($C:$C=$AG61),0),1)</f>
        <v/>
      </c>
      <c r="AK61" s="116" t="str">
        <f t="array" ref="AK61">INDEX($A$1:$C$500, MATCH(1,($B:$B=$AG61)*($C:$C=$C61),0),1)</f>
        <v/>
      </c>
      <c r="AL61" s="116" t="str">
        <f t="array" ref="AL61">INDEX($A$1:$C$500, MATCH(1,($B:$B=$C61)*($C:$C=$AB61),0),1)</f>
        <v/>
      </c>
      <c r="AM61" s="116" t="str">
        <f t="array" ref="AM61">INDEX($A$1:$C$500, MATCH(1,($B:$B=$AB61)*($C:$C=$C61),0),1)</f>
        <v/>
      </c>
      <c r="AN61" s="114" t="str">
        <f t="array" ref="AN61">IFS(ISNUMBER(AJ61),AJ61,ISNUMBER(AK61),AK61,ISNUMBER(AL61),AL61,ISNUMBER(AM61),AM61)</f>
        <v>#N/A</v>
      </c>
      <c r="AO61" s="115" t="str">
        <f t="shared" si="6"/>
        <v/>
      </c>
      <c r="AP61" s="115" t="str">
        <f t="shared" si="7"/>
        <v/>
      </c>
      <c r="AQ61" s="72"/>
      <c r="AR61" s="109" t="str">
        <f t="shared" si="8"/>
        <v/>
      </c>
      <c r="AS61" s="72" t="str">
        <f>IFERROR(IF(AND(Preferences!B$3="Manual",OR(AX61/AW61&gt;V61/U61,BD61="Serious",BD61="Very serious")),"Assess imprecision",IFERROR(IFS(AND(Preferences!B$3="Automatic",V61/U61&gt;=30),"Extremely serious",AND(W61&lt;=$D$1*-1,Y61&lt;0,V61/U61&lt;3),"Not Serious",AND(W61&lt;=$D$1*-1,Y61&lt;0,V61/U61&gt;=3),"Very serious",AND(W61&gt;=$D$1,X61&gt;0,V61/U61&lt;3),"Not Serious",AND(W61&gt;=$D$1,X61&gt;0,V61/U61&gt;=3),"Very serious",AND(W61&lt;=$D$1*-1,Y61&gt;0,X61&gt;$D$2*-1,V61/U61&lt;3),"Serious", AND(W61&lt;=$D$1*-1,Y61&gt;0,X61&lt;$D$2*-1,V61/U61&lt;3),"Very serious", AND(W61&gt;=$D$1,X61&lt;0,Y61&lt;$D$2,V61/U61&lt;3),"Serious",AND(W61&gt;=$D$1,X61&lt;0,Y61&gt;$D$2,V61/U61&lt;3),"Very serious", AND(W61&lt;=$D$1*-1,Y61&gt;0,X61&gt;$D$2*-1,V61/U61&gt;=3),"Very serious", AND(W61&lt;=$D$1*-1,Y61&gt;0,X61&lt;$D$2*-1,V61/U61&gt;=3),"Very serious", AND(W61&gt;=$D$1,X61&lt;0,Y61&lt;$D$2,V61/U61&gt;=3),"Very serious", AND(W61&gt;=$D$1,X61&lt;0,Y61&gt;$D$2,V61/U61&gt;=3),"Very serious", AND(W61&gt;$D$1*-1,W61&lt;$D$1,X61&gt;$D$1*-1,Y61&lt;$D$1,V61/U61&lt;3),"Not Serious", AND(W61&gt;$D$1*-1,W61&lt;$D$1,OR(X61&lt;=$D$1*-1,Y61&gt;=$D$1),X61&gt;$D$2*-1,Y61&lt;$D$2,V61/U61&lt;3),"Serious", AND(W61&gt;$D$1*-1,W61&lt;$D$1,OR(X61&lt;=$D$2*-1,Y61&gt;=$D$2),V61/U61&lt;3),"Very serious", AND(W61&gt;$D$1*-1,W61&lt;$D$1,X61&gt;$D$1*-1,Y61&lt;$D$1,V61/U61&gt;=3),"Very serious", AND(W61&gt;$D$1*-1,W61&lt;$D$1,OR(X61&lt;=$D$1*-1,Y61&gt;=$D$1),X61&gt;$D$2*-1,Y61&lt;$D$2,V61/U61&gt;=3),"Very serious", AND(W61&gt;$D$1*-1,W61&lt;$D$1,OR(X61&lt;=$D$2*-1,Y61&gt;=$D$2),V61/U61&gt;=3),"Very serious"),"")),"")</f>
        <v/>
      </c>
      <c r="AT61" s="109" t="str">
        <f t="shared" si="9"/>
        <v/>
      </c>
      <c r="AU61" s="64"/>
      <c r="AV61" s="117"/>
      <c r="AW61" s="117"/>
      <c r="AX61" s="117"/>
      <c r="AY61" s="118"/>
      <c r="AZ61" s="118"/>
      <c r="BA61" s="119"/>
      <c r="BB61" s="86" t="str">
        <f>IF(Preferences!B$9="Manual","",IFS(ISBLANK(B61),"",AND(ISNUMBER(E61)=TRUE,ISNUMBER(T61)=FALSE),"Direct", AND(ISNUMBER(E61)=FALSE,ISNUMBER(T61)=TRUE),"Indirect", CN61=4,"Direct",AND(CL61=FALSE, CM61=TRUE,CN61-CO61&gt;-1),"Direct", AND(CL61=FALSE,CM61=TRUE, CN61-CO61&lt;0),"Check algorithm in appendix 2", AND(CL61=TRUE, CM61=FALSE,CN61-CO61&gt;0),"Check algorithm in appendix 2", AND(CL61=TRUE, CM61=FALSE,CN61-CO61=0),"Indirect", AND(CL61=TRUE, CM61=FALSE,CN61-CO61&lt;0),"Indirect", AND(CL61=FALSE,CM61=FALSE,CN61-CO61&gt;-1),"Direct", AND(CL61=FALSE,CM61=FALSE,CN61-CO61&lt;0),"Check algorithm in appendix 2", AND(CL61=TRUE,CM61=TRUE,CN61-CO61&gt;-1),"Direct", AND(CL61=TRUE,CM61=TRUE,CN61-CO61&lt;0),"Check algorithm in appendix 2"))</f>
        <v/>
      </c>
      <c r="BC61" s="120" t="str">
        <f t="shared" si="10"/>
        <v/>
      </c>
      <c r="BD61" s="140"/>
      <c r="BE61" s="122" t="str">
        <f>IF(Preferences!B$3="Manual","", IFERROR(IFS(AND(Preferences!B$3="Automatic",AX61/AW61&gt;=30),"Extremely serious",AND(AY61&lt;=$D$1*-1,BA61&lt;0,AX61/AW61&lt;3),"Not Serious",AND(AY61&lt;=$D$1*-1,BA61&lt;0,AX61/AW61&gt;=3),"Very serious",AND(AY61&gt;=$D$1,AZ61&gt;0,AX61/AW61&lt;3),"Not Serious",AND(AY61&gt;=$D$1,AZ61&gt;0,AX61/AW61&gt;=3),"Very serious",AND(AY61&lt;=$D$1*-1,BA61&gt;0,AZ61&gt;$D$2*-1,AX61/AW61&lt;3),"Serious", AND(AY61&lt;=$D$1*-1,BA61&gt;0,AZ61&lt;$D$2*-1,AX61/AW61&lt;3),"Very serious", AND(AY61&gt;=$D$1,AZ61&lt;0,BA61&lt;$D$2,AX61/AW61&lt;3),"Serious",AND(AY61&gt;=$D$1,AZ61&lt;0,BA61&gt;$D$2,AX61/AW61&lt;3),"Very serious", AND(AY61&lt;=$D$1*-1,BA61&gt;0,AZ61&gt;$D$2*-1,AX61/AW61&gt;=3),"Very serious", AND(AY61&lt;=$D$1*-1,BA61&gt;0,AZ61&lt;$D$2*-1,AX61/AW61&gt;=3),"Very serious", AND(AY61&gt;=$D$1,AZ61&lt;0,BA61&lt;$D$2,AX61/AW61&gt;=3),"Very serious", AND(AY61&gt;=$D$1,AZ61&lt;0,BA61&gt;$D$2,AX61/AW61&gt;=3),"Very serious", AND(AY61&gt;$D$1*-1,AY61&lt;$D$1,AZ61&gt;$D$1*-1,BA61&lt;$D$1,AX61/AW61&lt;3),"Not Serious", AND(AY61&gt;$D$1*-1,AY61&lt;$D$1,OR(AZ61&lt;=$D$1*-1,BA61&gt;=$D$1),AZ61&gt;$D$2*-1,BA61&lt;$D$2,AX61/AW61&lt;3),"Serious", AND(AY61&gt;$D$1*-1,AY61&lt;$D$1,OR(AZ61&lt;=$D$2*-1,BA61&gt;=$D$2),AX61/AW61&lt;3),"Very serious", AND(AY61&gt;$D$1*-1,AY61&lt;$D$1,AZ61&gt;$D$1*-1,BA61&lt;$D$1,AX61/AW61&gt;=3),"Very serious", AND(AY61&gt;$D$1*-1,AY61&lt;$D$1,OR(AZ61&lt;=$D$1*-1,BA61&gt;=$D$1),AZ61&gt;$D$2*-1,BA61&lt;$D$2,AX61/AW61&gt;=3),"Very serious", AND(AY61&gt;$D$1*-1,AY61&lt;$D$1,OR(AZ61&lt;=$D$2*-1,BA61&gt;=$D$2),AX61/AW61&gt;=3),"Very serious"),""))</f>
        <v/>
      </c>
      <c r="BF61" s="107" t="str">
        <f t="shared" si="11"/>
        <v/>
      </c>
      <c r="BG61" s="94" t="str">
        <f t="shared" si="46"/>
        <v/>
      </c>
      <c r="BH61" s="64" t="str">
        <f t="shared" si="12"/>
        <v>#N/A</v>
      </c>
      <c r="BI61" s="64" t="str">
        <f t="shared" si="13"/>
        <v/>
      </c>
      <c r="BJ61" s="123" t="str">
        <f t="shared" si="14"/>
        <v>#N/A</v>
      </c>
      <c r="BK61" s="64" t="str">
        <f t="shared" si="50"/>
        <v>YES</v>
      </c>
      <c r="BL61" s="64" t="str">
        <f t="shared" si="16"/>
        <v>YES</v>
      </c>
      <c r="BM61" s="64" t="str">
        <f t="shared" si="17"/>
        <v>YES</v>
      </c>
      <c r="BN61" s="124" t="str">
        <f t="shared" si="18"/>
        <v/>
      </c>
      <c r="BO61" s="91" t="str">
        <f t="shared" si="19"/>
        <v/>
      </c>
      <c r="BP61" s="91" t="str">
        <f t="shared" si="20"/>
        <v>#N/A</v>
      </c>
      <c r="BQ61" s="91" t="str">
        <f t="shared" si="21"/>
        <v/>
      </c>
      <c r="BR61" s="93" t="str">
        <f t="shared" si="22"/>
        <v/>
      </c>
      <c r="BS61" s="90" t="str">
        <f t="shared" si="23"/>
        <v/>
      </c>
      <c r="BT61" s="93" t="str">
        <f t="shared" si="24"/>
        <v>NA</v>
      </c>
      <c r="BU61" s="125" t="str">
        <f t="shared" si="25"/>
        <v>#N/A</v>
      </c>
      <c r="BV61" s="93" t="str">
        <f t="shared" si="26"/>
        <v/>
      </c>
      <c r="BW61" s="93" t="str">
        <f t="shared" si="27"/>
        <v/>
      </c>
      <c r="BX61" s="93" t="str">
        <f t="shared" si="28"/>
        <v>NA</v>
      </c>
      <c r="BY61" s="95" t="str">
        <f t="shared" si="29"/>
        <v>#N/A</v>
      </c>
      <c r="BZ61" s="93" t="str">
        <f t="shared" si="30"/>
        <v/>
      </c>
      <c r="CA61" s="93" t="str">
        <f t="shared" si="31"/>
        <v/>
      </c>
      <c r="CB61" s="93" t="str">
        <f t="shared" si="32"/>
        <v>NA</v>
      </c>
      <c r="CC61" s="96" t="str">
        <f t="shared" si="33"/>
        <v>#N/A</v>
      </c>
      <c r="CD61" s="93" t="str">
        <f t="shared" si="34"/>
        <v/>
      </c>
      <c r="CE61" s="93" t="str">
        <f t="shared" si="35"/>
        <v/>
      </c>
      <c r="CF61" s="93" t="str">
        <f t="shared" si="36"/>
        <v>NA</v>
      </c>
      <c r="CG61" s="97" t="str">
        <f t="shared" si="37"/>
        <v>#N/A</v>
      </c>
      <c r="CH61" s="98" t="str">
        <f t="shared" si="38"/>
        <v>#N/A</v>
      </c>
      <c r="CI61" s="99" t="str">
        <f t="shared" si="39"/>
        <v>#N/A</v>
      </c>
      <c r="CJ61" s="126" t="str">
        <f t="shared" si="40"/>
        <v>ERROR: check cell</v>
      </c>
      <c r="CK61" s="126"/>
      <c r="CL61" s="127" t="str">
        <f t="shared" si="41"/>
        <v>#DIV/0!</v>
      </c>
      <c r="CM61" s="128" t="str">
        <f t="shared" si="42"/>
        <v>#DIV/0!</v>
      </c>
      <c r="CN61" s="128">
        <f t="shared" si="43"/>
        <v>4</v>
      </c>
      <c r="CO61" s="129">
        <f t="shared" si="44"/>
        <v>4</v>
      </c>
      <c r="CP61" s="129" t="str">
        <f>IFS(C61=Preferences!B$13,B61,B61=Preferences!B$13,C61)</f>
        <v>#N/A</v>
      </c>
    </row>
    <row r="62" ht="13.5" customHeight="1">
      <c r="A62" s="63" t="str">
        <f t="shared" si="45"/>
        <v/>
      </c>
      <c r="B62" s="64"/>
      <c r="C62" s="64"/>
      <c r="D62" s="64"/>
      <c r="E62" s="65"/>
      <c r="F62" s="65"/>
      <c r="G62" s="65"/>
      <c r="H62" s="65"/>
      <c r="I62" s="65"/>
      <c r="J62" s="141"/>
      <c r="K62" s="138"/>
      <c r="L62" s="104"/>
      <c r="M62" s="104"/>
      <c r="N62" s="104"/>
      <c r="O62" s="104"/>
      <c r="P62" s="107" t="str">
        <f t="shared" si="1"/>
        <v/>
      </c>
      <c r="Q62" s="108" t="str">
        <f>IFERROR(IF(AND(Preferences!B$3="Manual",OR(AX62/AW62&gt;G62/F62,BD62="Serious",BD62="Very serious")),"Assess imprecision",IFS(ISBLANK(E62),"",AND(Preferences!B$3="Automatic", G62/F62&gt;=30),"Extremely serious",AND(H62&lt;=$D$1*-1,J62&lt;0,G62/F62&lt;3),"Not serious",AND(H62&lt;=$D$1*-1,J62&lt;0,G62/F62&gt;=3),"Very serious",AND(H62&gt;=$D$1,I62&gt;0,G62/F62&lt;3),"Not serious",AND(H62&gt;=$D$1,I62&gt;0,G62/F62&gt;=3),"Very serious",AND(H62&lt;=$D$1*-1,J62&gt;0,I62&gt;$D$2*-1,G62/F62&lt;3),"Serious", AND(H62&lt;=$D$1*-1,J62&gt;0,I62&lt;$D$2*-1,G62/F62&lt;3),"Very serious", AND(H62&gt;=$D$1,I62&lt;0,J62&lt;$D$2,G62/F62&lt;3),"Serious",AND(H62&gt;=$D$1,I62&lt;0,J62&gt;$D$2,G62/F62&lt;3),"Very serious", AND(H62&lt;=$D$1*-1,J62&gt;0,I62&gt;$D$2*-1,G62/F62&gt;=3),"Very serious", AND(H62&lt;=$D$1*-1,J62&gt;0,I62&lt;$D$2*-1,G62/F62&gt;=3),"Very serious", AND(H62&gt;=$D$1,I62&lt;0,J62&lt;$D$2,G62/F62&gt;=3),"Very serious", AND(H62&gt;=$D$1,I62&lt;0,J62&gt;$D$2,G62/F62&gt;=3),"Very serious", AND(H62&gt;$D$1*-1,H62&lt;$D$1,I62&gt;$D$1*-1,J62&lt;$D$1,G62/F62&lt;3),"Not serious", AND(H62&gt;$D$1*-1,H62&lt;$D$1,OR(I62&lt;=$D$1*-1,J62&gt;=$D$1),I62&gt;$D$2*-1,J62&lt;$D$2,G62/F62&lt;3),"Serious", AND(H62&gt;$D$1*-1,H62&lt;$D$1,OR(I62&lt;=$D$2*-1,J62&gt;=$D$2),G62/F62&lt;3),"Very serious", AND(H62&gt;$D$1*-1,H62&lt;$D$1,I62&gt;$D$1*-1,J62&lt;$D$1,G62/F62&gt;=3),"Very serious", AND(H62&gt;$D$1*-1,H62&lt;$D$1,OR(I62&lt;=$D$1*-1,J62&gt;=$D$1),I62&gt;$D$2*-1,J62&lt;$D$2,G62/F62&gt;=3),"Very serious", AND(H62&gt;$D$1*-1,H62&lt;$D$1,OR(I62&lt;=$D$2*-1,J62&gt;=$D$2),G62/F62&gt;=3),"Very serious")),"")</f>
        <v/>
      </c>
      <c r="R62" s="109" t="str">
        <f t="shared" si="47"/>
        <v/>
      </c>
      <c r="S62" s="64"/>
      <c r="T62" s="144"/>
      <c r="U62" s="144"/>
      <c r="V62" s="144"/>
      <c r="W62" s="142"/>
      <c r="X62" s="142"/>
      <c r="Y62" s="143"/>
      <c r="Z62" s="113" t="str">
        <f t="array" ref="Z62">INDEX($A$1:$C$500, MATCH(1,($B:$B=$B62)*($C:$C=$AB62),0),1)</f>
        <v/>
      </c>
      <c r="AA62" s="113" t="str">
        <f t="array" ref="AA62">INDEX($A$1:$C$500, MATCH(1,($B:$B=$AB62)*($C:$C=$B62),0),1)</f>
        <v/>
      </c>
      <c r="AB62" s="111"/>
      <c r="AC62" s="114" t="str">
        <f t="shared" si="2"/>
        <v/>
      </c>
      <c r="AD62" s="115" t="str">
        <f t="shared" si="3"/>
        <v/>
      </c>
      <c r="AE62" s="116" t="str">
        <f t="array" ref="AE62">INDEX($A$1:$C$500, MATCH(1,($B:$B=$AB62)*($C:$C=$AG62),0),1)</f>
        <v/>
      </c>
      <c r="AF62" s="116" t="str">
        <f t="array" ref="AF62">INDEX($A$1:$C$500, MATCH(1,($B:$B=$AG62)*($C:$C=$AB62),0),1)</f>
        <v/>
      </c>
      <c r="AG62" s="72"/>
      <c r="AH62" s="114" t="str">
        <f t="shared" si="4"/>
        <v/>
      </c>
      <c r="AI62" s="115" t="str">
        <f t="shared" si="5"/>
        <v/>
      </c>
      <c r="AJ62" s="116" t="str">
        <f t="array" ref="AJ62">INDEX($A$1:$C$500, MATCH(1,($B:$B=$C62)*($C:$C=$AG62),0),1)</f>
        <v/>
      </c>
      <c r="AK62" s="116" t="str">
        <f t="array" ref="AK62">INDEX($A$1:$C$500, MATCH(1,($B:$B=$AG62)*($C:$C=$C62),0),1)</f>
        <v/>
      </c>
      <c r="AL62" s="116" t="str">
        <f t="array" ref="AL62">INDEX($A$1:$C$500, MATCH(1,($B:$B=$C62)*($C:$C=$AB62),0),1)</f>
        <v/>
      </c>
      <c r="AM62" s="116" t="str">
        <f t="array" ref="AM62">INDEX($A$1:$C$500, MATCH(1,($B:$B=$AB62)*($C:$C=$C62),0),1)</f>
        <v/>
      </c>
      <c r="AN62" s="114" t="str">
        <f t="array" ref="AN62">IFS(ISNUMBER(AJ62),AJ62,ISNUMBER(AK62),AK62,ISNUMBER(AL62),AL62,ISNUMBER(AM62),AM62)</f>
        <v>#N/A</v>
      </c>
      <c r="AO62" s="115" t="str">
        <f t="shared" si="6"/>
        <v/>
      </c>
      <c r="AP62" s="115" t="str">
        <f t="shared" si="7"/>
        <v/>
      </c>
      <c r="AQ62" s="72"/>
      <c r="AR62" s="109" t="str">
        <f t="shared" si="8"/>
        <v/>
      </c>
      <c r="AS62" s="72" t="str">
        <f>IFERROR(IF(AND(Preferences!B$3="Manual",OR(AX62/AW62&gt;V62/U62,BD62="Serious",BD62="Very serious")),"Assess imprecision",IFERROR(IFS(AND(Preferences!B$3="Automatic",V62/U62&gt;=30),"Extremely serious",AND(W62&lt;=$D$1*-1,Y62&lt;0,V62/U62&lt;3),"Not Serious",AND(W62&lt;=$D$1*-1,Y62&lt;0,V62/U62&gt;=3),"Very serious",AND(W62&gt;=$D$1,X62&gt;0,V62/U62&lt;3),"Not Serious",AND(W62&gt;=$D$1,X62&gt;0,V62/U62&gt;=3),"Very serious",AND(W62&lt;=$D$1*-1,Y62&gt;0,X62&gt;$D$2*-1,V62/U62&lt;3),"Serious", AND(W62&lt;=$D$1*-1,Y62&gt;0,X62&lt;$D$2*-1,V62/U62&lt;3),"Very serious", AND(W62&gt;=$D$1,X62&lt;0,Y62&lt;$D$2,V62/U62&lt;3),"Serious",AND(W62&gt;=$D$1,X62&lt;0,Y62&gt;$D$2,V62/U62&lt;3),"Very serious", AND(W62&lt;=$D$1*-1,Y62&gt;0,X62&gt;$D$2*-1,V62/U62&gt;=3),"Very serious", AND(W62&lt;=$D$1*-1,Y62&gt;0,X62&lt;$D$2*-1,V62/U62&gt;=3),"Very serious", AND(W62&gt;=$D$1,X62&lt;0,Y62&lt;$D$2,V62/U62&gt;=3),"Very serious", AND(W62&gt;=$D$1,X62&lt;0,Y62&gt;$D$2,V62/U62&gt;=3),"Very serious", AND(W62&gt;$D$1*-1,W62&lt;$D$1,X62&gt;$D$1*-1,Y62&lt;$D$1,V62/U62&lt;3),"Not Serious", AND(W62&gt;$D$1*-1,W62&lt;$D$1,OR(X62&lt;=$D$1*-1,Y62&gt;=$D$1),X62&gt;$D$2*-1,Y62&lt;$D$2,V62/U62&lt;3),"Serious", AND(W62&gt;$D$1*-1,W62&lt;$D$1,OR(X62&lt;=$D$2*-1,Y62&gt;=$D$2),V62/U62&lt;3),"Very serious", AND(W62&gt;$D$1*-1,W62&lt;$D$1,X62&gt;$D$1*-1,Y62&lt;$D$1,V62/U62&gt;=3),"Very serious", AND(W62&gt;$D$1*-1,W62&lt;$D$1,OR(X62&lt;=$D$1*-1,Y62&gt;=$D$1),X62&gt;$D$2*-1,Y62&lt;$D$2,V62/U62&gt;=3),"Very serious", AND(W62&gt;$D$1*-1,W62&lt;$D$1,OR(X62&lt;=$D$2*-1,Y62&gt;=$D$2),V62/U62&gt;=3),"Very serious"),"")),"")</f>
        <v/>
      </c>
      <c r="AT62" s="109" t="str">
        <f t="shared" si="9"/>
        <v/>
      </c>
      <c r="AU62" s="64"/>
      <c r="AV62" s="117"/>
      <c r="AW62" s="117"/>
      <c r="AX62" s="117"/>
      <c r="AY62" s="118"/>
      <c r="AZ62" s="118"/>
      <c r="BA62" s="119"/>
      <c r="BB62" s="86" t="str">
        <f>IF(Preferences!B$9="Manual","",IFS(ISBLANK(B62),"",AND(ISNUMBER(E62)=TRUE,ISNUMBER(T62)=FALSE),"Direct", AND(ISNUMBER(E62)=FALSE,ISNUMBER(T62)=TRUE),"Indirect", CN62=4,"Direct",AND(CL62=FALSE, CM62=TRUE,CN62-CO62&gt;-1),"Direct", AND(CL62=FALSE,CM62=TRUE, CN62-CO62&lt;0),"Check algorithm in appendix 2", AND(CL62=TRUE, CM62=FALSE,CN62-CO62&gt;0),"Check algorithm in appendix 2", AND(CL62=TRUE, CM62=FALSE,CN62-CO62=0),"Indirect", AND(CL62=TRUE, CM62=FALSE,CN62-CO62&lt;0),"Indirect", AND(CL62=FALSE,CM62=FALSE,CN62-CO62&gt;-1),"Direct", AND(CL62=FALSE,CM62=FALSE,CN62-CO62&lt;0),"Check algorithm in appendix 2", AND(CL62=TRUE,CM62=TRUE,CN62-CO62&gt;-1),"Direct", AND(CL62=TRUE,CM62=TRUE,CN62-CO62&lt;0),"Check algorithm in appendix 2"))</f>
        <v/>
      </c>
      <c r="BC62" s="120" t="str">
        <f t="shared" si="10"/>
        <v/>
      </c>
      <c r="BD62" s="140"/>
      <c r="BE62" s="122" t="str">
        <f>IF(Preferences!B$3="Manual","", IFERROR(IFS(AND(Preferences!B$3="Automatic",AX62/AW62&gt;=30),"Extremely serious",AND(AY62&lt;=$D$1*-1,BA62&lt;0,AX62/AW62&lt;3),"Not Serious",AND(AY62&lt;=$D$1*-1,BA62&lt;0,AX62/AW62&gt;=3),"Very serious",AND(AY62&gt;=$D$1,AZ62&gt;0,AX62/AW62&lt;3),"Not Serious",AND(AY62&gt;=$D$1,AZ62&gt;0,AX62/AW62&gt;=3),"Very serious",AND(AY62&lt;=$D$1*-1,BA62&gt;0,AZ62&gt;$D$2*-1,AX62/AW62&lt;3),"Serious", AND(AY62&lt;=$D$1*-1,BA62&gt;0,AZ62&lt;$D$2*-1,AX62/AW62&lt;3),"Very serious", AND(AY62&gt;=$D$1,AZ62&lt;0,BA62&lt;$D$2,AX62/AW62&lt;3),"Serious",AND(AY62&gt;=$D$1,AZ62&lt;0,BA62&gt;$D$2,AX62/AW62&lt;3),"Very serious", AND(AY62&lt;=$D$1*-1,BA62&gt;0,AZ62&gt;$D$2*-1,AX62/AW62&gt;=3),"Very serious", AND(AY62&lt;=$D$1*-1,BA62&gt;0,AZ62&lt;$D$2*-1,AX62/AW62&gt;=3),"Very serious", AND(AY62&gt;=$D$1,AZ62&lt;0,BA62&lt;$D$2,AX62/AW62&gt;=3),"Very serious", AND(AY62&gt;=$D$1,AZ62&lt;0,BA62&gt;$D$2,AX62/AW62&gt;=3),"Very serious", AND(AY62&gt;$D$1*-1,AY62&lt;$D$1,AZ62&gt;$D$1*-1,BA62&lt;$D$1,AX62/AW62&lt;3),"Not Serious", AND(AY62&gt;$D$1*-1,AY62&lt;$D$1,OR(AZ62&lt;=$D$1*-1,BA62&gt;=$D$1),AZ62&gt;$D$2*-1,BA62&lt;$D$2,AX62/AW62&lt;3),"Serious", AND(AY62&gt;$D$1*-1,AY62&lt;$D$1,OR(AZ62&lt;=$D$2*-1,BA62&gt;=$D$2),AX62/AW62&lt;3),"Very serious", AND(AY62&gt;$D$1*-1,AY62&lt;$D$1,AZ62&gt;$D$1*-1,BA62&lt;$D$1,AX62/AW62&gt;=3),"Very serious", AND(AY62&gt;$D$1*-1,AY62&lt;$D$1,OR(AZ62&lt;=$D$1*-1,BA62&gt;=$D$1),AZ62&gt;$D$2*-1,BA62&lt;$D$2,AX62/AW62&gt;=3),"Very serious", AND(AY62&gt;$D$1*-1,AY62&lt;$D$1,OR(AZ62&lt;=$D$2*-1,BA62&gt;=$D$2),AX62/AW62&gt;=3),"Very serious"),""))</f>
        <v/>
      </c>
      <c r="BF62" s="107" t="str">
        <f t="shared" si="11"/>
        <v/>
      </c>
      <c r="BG62" s="94" t="str">
        <f t="shared" si="46"/>
        <v/>
      </c>
      <c r="BH62" s="64" t="str">
        <f t="shared" si="12"/>
        <v>#N/A</v>
      </c>
      <c r="BI62" s="64" t="str">
        <f t="shared" si="13"/>
        <v/>
      </c>
      <c r="BJ62" s="123" t="str">
        <f t="shared" si="14"/>
        <v>#N/A</v>
      </c>
      <c r="BK62" s="64" t="str">
        <f t="shared" si="50"/>
        <v>YES</v>
      </c>
      <c r="BL62" s="64" t="str">
        <f t="shared" si="16"/>
        <v>YES</v>
      </c>
      <c r="BM62" s="64" t="str">
        <f t="shared" si="17"/>
        <v>YES</v>
      </c>
      <c r="BN62" s="124" t="str">
        <f t="shared" si="18"/>
        <v/>
      </c>
      <c r="BO62" s="91" t="str">
        <f t="shared" si="19"/>
        <v/>
      </c>
      <c r="BP62" s="91" t="str">
        <f t="shared" si="20"/>
        <v>#N/A</v>
      </c>
      <c r="BQ62" s="91" t="str">
        <f t="shared" si="21"/>
        <v/>
      </c>
      <c r="BR62" s="93" t="str">
        <f t="shared" si="22"/>
        <v/>
      </c>
      <c r="BS62" s="90" t="str">
        <f t="shared" si="23"/>
        <v/>
      </c>
      <c r="BT62" s="93" t="str">
        <f t="shared" si="24"/>
        <v>NA</v>
      </c>
      <c r="BU62" s="125" t="str">
        <f t="shared" si="25"/>
        <v>#N/A</v>
      </c>
      <c r="BV62" s="93" t="str">
        <f t="shared" si="26"/>
        <v/>
      </c>
      <c r="BW62" s="93" t="str">
        <f t="shared" si="27"/>
        <v/>
      </c>
      <c r="BX62" s="93" t="str">
        <f t="shared" si="28"/>
        <v>NA</v>
      </c>
      <c r="BY62" s="95" t="str">
        <f t="shared" si="29"/>
        <v>#N/A</v>
      </c>
      <c r="BZ62" s="93" t="str">
        <f t="shared" si="30"/>
        <v/>
      </c>
      <c r="CA62" s="93" t="str">
        <f t="shared" si="31"/>
        <v/>
      </c>
      <c r="CB62" s="93" t="str">
        <f t="shared" si="32"/>
        <v>NA</v>
      </c>
      <c r="CC62" s="96" t="str">
        <f t="shared" si="33"/>
        <v>#N/A</v>
      </c>
      <c r="CD62" s="93" t="str">
        <f t="shared" si="34"/>
        <v/>
      </c>
      <c r="CE62" s="93" t="str">
        <f t="shared" si="35"/>
        <v/>
      </c>
      <c r="CF62" s="93" t="str">
        <f t="shared" si="36"/>
        <v>NA</v>
      </c>
      <c r="CG62" s="97" t="str">
        <f t="shared" si="37"/>
        <v>#N/A</v>
      </c>
      <c r="CH62" s="98" t="str">
        <f t="shared" si="38"/>
        <v>#N/A</v>
      </c>
      <c r="CI62" s="99" t="str">
        <f t="shared" si="39"/>
        <v>#N/A</v>
      </c>
      <c r="CJ62" s="126" t="str">
        <f t="shared" si="40"/>
        <v>ERROR: check cell</v>
      </c>
      <c r="CK62" s="126"/>
      <c r="CL62" s="127" t="str">
        <f t="shared" si="41"/>
        <v>#DIV/0!</v>
      </c>
      <c r="CM62" s="128" t="str">
        <f t="shared" si="42"/>
        <v>#DIV/0!</v>
      </c>
      <c r="CN62" s="128">
        <f t="shared" si="43"/>
        <v>4</v>
      </c>
      <c r="CO62" s="129">
        <f t="shared" si="44"/>
        <v>4</v>
      </c>
      <c r="CP62" s="129" t="str">
        <f>IFS(C62=Preferences!B$13,B62,B62=Preferences!B$13,C62)</f>
        <v>#N/A</v>
      </c>
    </row>
    <row r="63" ht="13.5" customHeight="1">
      <c r="A63" s="63" t="str">
        <f t="shared" si="45"/>
        <v/>
      </c>
      <c r="B63" s="64"/>
      <c r="C63" s="64"/>
      <c r="D63" s="64"/>
      <c r="E63" s="65"/>
      <c r="F63" s="65"/>
      <c r="G63" s="65"/>
      <c r="H63" s="65"/>
      <c r="I63" s="65"/>
      <c r="J63" s="141"/>
      <c r="K63" s="138"/>
      <c r="L63" s="104"/>
      <c r="M63" s="104"/>
      <c r="N63" s="104"/>
      <c r="O63" s="104"/>
      <c r="P63" s="107" t="str">
        <f t="shared" si="1"/>
        <v/>
      </c>
      <c r="Q63" s="108" t="str">
        <f>IFERROR(IF(AND(Preferences!B$3="Manual",OR(AX63/AW63&gt;G63/F63,BD63="Serious",BD63="Very serious")),"Assess imprecision",IFS(ISBLANK(E63),"",AND(Preferences!B$3="Automatic", G63/F63&gt;=30),"Extremely serious",AND(H63&lt;=$D$1*-1,J63&lt;0,G63/F63&lt;3),"Not serious",AND(H63&lt;=$D$1*-1,J63&lt;0,G63/F63&gt;=3),"Very serious",AND(H63&gt;=$D$1,I63&gt;0,G63/F63&lt;3),"Not serious",AND(H63&gt;=$D$1,I63&gt;0,G63/F63&gt;=3),"Very serious",AND(H63&lt;=$D$1*-1,J63&gt;0,I63&gt;$D$2*-1,G63/F63&lt;3),"Serious", AND(H63&lt;=$D$1*-1,J63&gt;0,I63&lt;$D$2*-1,G63/F63&lt;3),"Very serious", AND(H63&gt;=$D$1,I63&lt;0,J63&lt;$D$2,G63/F63&lt;3),"Serious",AND(H63&gt;=$D$1,I63&lt;0,J63&gt;$D$2,G63/F63&lt;3),"Very serious", AND(H63&lt;=$D$1*-1,J63&gt;0,I63&gt;$D$2*-1,G63/F63&gt;=3),"Very serious", AND(H63&lt;=$D$1*-1,J63&gt;0,I63&lt;$D$2*-1,G63/F63&gt;=3),"Very serious", AND(H63&gt;=$D$1,I63&lt;0,J63&lt;$D$2,G63/F63&gt;=3),"Very serious", AND(H63&gt;=$D$1,I63&lt;0,J63&gt;$D$2,G63/F63&gt;=3),"Very serious", AND(H63&gt;$D$1*-1,H63&lt;$D$1,I63&gt;$D$1*-1,J63&lt;$D$1,G63/F63&lt;3),"Not serious", AND(H63&gt;$D$1*-1,H63&lt;$D$1,OR(I63&lt;=$D$1*-1,J63&gt;=$D$1),I63&gt;$D$2*-1,J63&lt;$D$2,G63/F63&lt;3),"Serious", AND(H63&gt;$D$1*-1,H63&lt;$D$1,OR(I63&lt;=$D$2*-1,J63&gt;=$D$2),G63/F63&lt;3),"Very serious", AND(H63&gt;$D$1*-1,H63&lt;$D$1,I63&gt;$D$1*-1,J63&lt;$D$1,G63/F63&gt;=3),"Very serious", AND(H63&gt;$D$1*-1,H63&lt;$D$1,OR(I63&lt;=$D$1*-1,J63&gt;=$D$1),I63&gt;$D$2*-1,J63&lt;$D$2,G63/F63&gt;=3),"Very serious", AND(H63&gt;$D$1*-1,H63&lt;$D$1,OR(I63&lt;=$D$2*-1,J63&gt;=$D$2),G63/F63&gt;=3),"Very serious")),"")</f>
        <v/>
      </c>
      <c r="R63" s="109" t="str">
        <f t="shared" si="47"/>
        <v/>
      </c>
      <c r="S63" s="64"/>
      <c r="T63" s="144"/>
      <c r="U63" s="144"/>
      <c r="V63" s="144"/>
      <c r="W63" s="142"/>
      <c r="X63" s="142"/>
      <c r="Y63" s="143"/>
      <c r="Z63" s="113" t="str">
        <f t="array" ref="Z63">INDEX($A$1:$C$500, MATCH(1,($B:$B=$B63)*($C:$C=$AB63),0),1)</f>
        <v/>
      </c>
      <c r="AA63" s="113" t="str">
        <f t="array" ref="AA63">INDEX($A$1:$C$500, MATCH(1,($B:$B=$AB63)*($C:$C=$B63),0),1)</f>
        <v/>
      </c>
      <c r="AB63" s="111"/>
      <c r="AC63" s="114" t="str">
        <f t="shared" si="2"/>
        <v/>
      </c>
      <c r="AD63" s="115" t="str">
        <f t="shared" si="3"/>
        <v/>
      </c>
      <c r="AE63" s="116" t="str">
        <f t="array" ref="AE63">INDEX($A$1:$C$500, MATCH(1,($B:$B=$AB63)*($C:$C=$AG63),0),1)</f>
        <v/>
      </c>
      <c r="AF63" s="116" t="str">
        <f t="array" ref="AF63">INDEX($A$1:$C$500, MATCH(1,($B:$B=$AG63)*($C:$C=$AB63),0),1)</f>
        <v/>
      </c>
      <c r="AG63" s="72"/>
      <c r="AH63" s="114" t="str">
        <f t="shared" si="4"/>
        <v/>
      </c>
      <c r="AI63" s="115" t="str">
        <f t="shared" si="5"/>
        <v/>
      </c>
      <c r="AJ63" s="116" t="str">
        <f t="array" ref="AJ63">INDEX($A$1:$C$500, MATCH(1,($B:$B=$C63)*($C:$C=$AG63),0),1)</f>
        <v/>
      </c>
      <c r="AK63" s="116" t="str">
        <f t="array" ref="AK63">INDEX($A$1:$C$500, MATCH(1,($B:$B=$AG63)*($C:$C=$C63),0),1)</f>
        <v/>
      </c>
      <c r="AL63" s="116" t="str">
        <f t="array" ref="AL63">INDEX($A$1:$C$500, MATCH(1,($B:$B=$C63)*($C:$C=$AB63),0),1)</f>
        <v/>
      </c>
      <c r="AM63" s="116" t="str">
        <f t="array" ref="AM63">INDEX($A$1:$C$500, MATCH(1,($B:$B=$AB63)*($C:$C=$C63),0),1)</f>
        <v/>
      </c>
      <c r="AN63" s="114" t="str">
        <f t="array" ref="AN63">IFS(ISNUMBER(AJ63),AJ63,ISNUMBER(AK63),AK63,ISNUMBER(AL63),AL63,ISNUMBER(AM63),AM63)</f>
        <v>#N/A</v>
      </c>
      <c r="AO63" s="115" t="str">
        <f t="shared" si="6"/>
        <v/>
      </c>
      <c r="AP63" s="115" t="str">
        <f t="shared" si="7"/>
        <v/>
      </c>
      <c r="AQ63" s="72"/>
      <c r="AR63" s="109" t="str">
        <f t="shared" si="8"/>
        <v/>
      </c>
      <c r="AS63" s="72" t="str">
        <f>IFERROR(IF(AND(Preferences!B$3="Manual",OR(AX63/AW63&gt;V63/U63,BD63="Serious",BD63="Very serious")),"Assess imprecision",IFERROR(IFS(AND(Preferences!B$3="Automatic",V63/U63&gt;=30),"Extremely serious",AND(W63&lt;=$D$1*-1,Y63&lt;0,V63/U63&lt;3),"Not Serious",AND(W63&lt;=$D$1*-1,Y63&lt;0,V63/U63&gt;=3),"Very serious",AND(W63&gt;=$D$1,X63&gt;0,V63/U63&lt;3),"Not Serious",AND(W63&gt;=$D$1,X63&gt;0,V63/U63&gt;=3),"Very serious",AND(W63&lt;=$D$1*-1,Y63&gt;0,X63&gt;$D$2*-1,V63/U63&lt;3),"Serious", AND(W63&lt;=$D$1*-1,Y63&gt;0,X63&lt;$D$2*-1,V63/U63&lt;3),"Very serious", AND(W63&gt;=$D$1,X63&lt;0,Y63&lt;$D$2,V63/U63&lt;3),"Serious",AND(W63&gt;=$D$1,X63&lt;0,Y63&gt;$D$2,V63/U63&lt;3),"Very serious", AND(W63&lt;=$D$1*-1,Y63&gt;0,X63&gt;$D$2*-1,V63/U63&gt;=3),"Very serious", AND(W63&lt;=$D$1*-1,Y63&gt;0,X63&lt;$D$2*-1,V63/U63&gt;=3),"Very serious", AND(W63&gt;=$D$1,X63&lt;0,Y63&lt;$D$2,V63/U63&gt;=3),"Very serious", AND(W63&gt;=$D$1,X63&lt;0,Y63&gt;$D$2,V63/U63&gt;=3),"Very serious", AND(W63&gt;$D$1*-1,W63&lt;$D$1,X63&gt;$D$1*-1,Y63&lt;$D$1,V63/U63&lt;3),"Not Serious", AND(W63&gt;$D$1*-1,W63&lt;$D$1,OR(X63&lt;=$D$1*-1,Y63&gt;=$D$1),X63&gt;$D$2*-1,Y63&lt;$D$2,V63/U63&lt;3),"Serious", AND(W63&gt;$D$1*-1,W63&lt;$D$1,OR(X63&lt;=$D$2*-1,Y63&gt;=$D$2),V63/U63&lt;3),"Very serious", AND(W63&gt;$D$1*-1,W63&lt;$D$1,X63&gt;$D$1*-1,Y63&lt;$D$1,V63/U63&gt;=3),"Very serious", AND(W63&gt;$D$1*-1,W63&lt;$D$1,OR(X63&lt;=$D$1*-1,Y63&gt;=$D$1),X63&gt;$D$2*-1,Y63&lt;$D$2,V63/U63&gt;=3),"Very serious", AND(W63&gt;$D$1*-1,W63&lt;$D$1,OR(X63&lt;=$D$2*-1,Y63&gt;=$D$2),V63/U63&gt;=3),"Very serious"),"")),"")</f>
        <v/>
      </c>
      <c r="AT63" s="109" t="str">
        <f t="shared" si="9"/>
        <v/>
      </c>
      <c r="AU63" s="64"/>
      <c r="AV63" s="117"/>
      <c r="AW63" s="117"/>
      <c r="AX63" s="117"/>
      <c r="AY63" s="118"/>
      <c r="AZ63" s="118"/>
      <c r="BA63" s="119"/>
      <c r="BB63" s="86" t="str">
        <f>IF(Preferences!B$9="Manual","",IFS(ISBLANK(B63),"",AND(ISNUMBER(E63)=TRUE,ISNUMBER(T63)=FALSE),"Direct", AND(ISNUMBER(E63)=FALSE,ISNUMBER(T63)=TRUE),"Indirect", CN63=4,"Direct",AND(CL63=FALSE, CM63=TRUE,CN63-CO63&gt;-1),"Direct", AND(CL63=FALSE,CM63=TRUE, CN63-CO63&lt;0),"Check algorithm in appendix 2", AND(CL63=TRUE, CM63=FALSE,CN63-CO63&gt;0),"Check algorithm in appendix 2", AND(CL63=TRUE, CM63=FALSE,CN63-CO63=0),"Indirect", AND(CL63=TRUE, CM63=FALSE,CN63-CO63&lt;0),"Indirect", AND(CL63=FALSE,CM63=FALSE,CN63-CO63&gt;-1),"Direct", AND(CL63=FALSE,CM63=FALSE,CN63-CO63&lt;0),"Check algorithm in appendix 2", AND(CL63=TRUE,CM63=TRUE,CN63-CO63&gt;-1),"Direct", AND(CL63=TRUE,CM63=TRUE,CN63-CO63&lt;0),"Check algorithm in appendix 2"))</f>
        <v/>
      </c>
      <c r="BC63" s="120" t="str">
        <f t="shared" si="10"/>
        <v/>
      </c>
      <c r="BD63" s="140"/>
      <c r="BE63" s="122" t="str">
        <f>IF(Preferences!B$3="Manual","", IFERROR(IFS(AND(Preferences!B$3="Automatic",AX63/AW63&gt;=30),"Extremely serious",AND(AY63&lt;=$D$1*-1,BA63&lt;0,AX63/AW63&lt;3),"Not Serious",AND(AY63&lt;=$D$1*-1,BA63&lt;0,AX63/AW63&gt;=3),"Very serious",AND(AY63&gt;=$D$1,AZ63&gt;0,AX63/AW63&lt;3),"Not Serious",AND(AY63&gt;=$D$1,AZ63&gt;0,AX63/AW63&gt;=3),"Very serious",AND(AY63&lt;=$D$1*-1,BA63&gt;0,AZ63&gt;$D$2*-1,AX63/AW63&lt;3),"Serious", AND(AY63&lt;=$D$1*-1,BA63&gt;0,AZ63&lt;$D$2*-1,AX63/AW63&lt;3),"Very serious", AND(AY63&gt;=$D$1,AZ63&lt;0,BA63&lt;$D$2,AX63/AW63&lt;3),"Serious",AND(AY63&gt;=$D$1,AZ63&lt;0,BA63&gt;$D$2,AX63/AW63&lt;3),"Very serious", AND(AY63&lt;=$D$1*-1,BA63&gt;0,AZ63&gt;$D$2*-1,AX63/AW63&gt;=3),"Very serious", AND(AY63&lt;=$D$1*-1,BA63&gt;0,AZ63&lt;$D$2*-1,AX63/AW63&gt;=3),"Very serious", AND(AY63&gt;=$D$1,AZ63&lt;0,BA63&lt;$D$2,AX63/AW63&gt;=3),"Very serious", AND(AY63&gt;=$D$1,AZ63&lt;0,BA63&gt;$D$2,AX63/AW63&gt;=3),"Very serious", AND(AY63&gt;$D$1*-1,AY63&lt;$D$1,AZ63&gt;$D$1*-1,BA63&lt;$D$1,AX63/AW63&lt;3),"Not Serious", AND(AY63&gt;$D$1*-1,AY63&lt;$D$1,OR(AZ63&lt;=$D$1*-1,BA63&gt;=$D$1),AZ63&gt;$D$2*-1,BA63&lt;$D$2,AX63/AW63&lt;3),"Serious", AND(AY63&gt;$D$1*-1,AY63&lt;$D$1,OR(AZ63&lt;=$D$2*-1,BA63&gt;=$D$2),AX63/AW63&lt;3),"Very serious", AND(AY63&gt;$D$1*-1,AY63&lt;$D$1,AZ63&gt;$D$1*-1,BA63&lt;$D$1,AX63/AW63&gt;=3),"Very serious", AND(AY63&gt;$D$1*-1,AY63&lt;$D$1,OR(AZ63&lt;=$D$1*-1,BA63&gt;=$D$1),AZ63&gt;$D$2*-1,BA63&lt;$D$2,AX63/AW63&gt;=3),"Very serious", AND(AY63&gt;$D$1*-1,AY63&lt;$D$1,OR(AZ63&lt;=$D$2*-1,BA63&gt;=$D$2),AX63/AW63&gt;=3),"Very serious"),""))</f>
        <v/>
      </c>
      <c r="BF63" s="107" t="str">
        <f t="shared" si="11"/>
        <v/>
      </c>
      <c r="BG63" s="94" t="str">
        <f t="shared" si="46"/>
        <v/>
      </c>
      <c r="BH63" s="64" t="str">
        <f t="shared" si="12"/>
        <v>#N/A</v>
      </c>
      <c r="BI63" s="64" t="str">
        <f t="shared" si="13"/>
        <v/>
      </c>
      <c r="BJ63" s="123" t="str">
        <f t="shared" si="14"/>
        <v>#N/A</v>
      </c>
      <c r="BK63" s="64" t="str">
        <f t="shared" si="50"/>
        <v>YES</v>
      </c>
      <c r="BL63" s="64" t="str">
        <f t="shared" si="16"/>
        <v>YES</v>
      </c>
      <c r="BM63" s="64" t="str">
        <f t="shared" si="17"/>
        <v>YES</v>
      </c>
      <c r="BN63" s="124" t="str">
        <f t="shared" si="18"/>
        <v/>
      </c>
      <c r="BO63" s="91" t="str">
        <f t="shared" si="19"/>
        <v/>
      </c>
      <c r="BP63" s="91" t="str">
        <f t="shared" si="20"/>
        <v>#N/A</v>
      </c>
      <c r="BQ63" s="91" t="str">
        <f t="shared" si="21"/>
        <v/>
      </c>
      <c r="BR63" s="93" t="str">
        <f t="shared" si="22"/>
        <v/>
      </c>
      <c r="BS63" s="90" t="str">
        <f t="shared" si="23"/>
        <v/>
      </c>
      <c r="BT63" s="93" t="str">
        <f t="shared" si="24"/>
        <v>NA</v>
      </c>
      <c r="BU63" s="125" t="str">
        <f t="shared" si="25"/>
        <v>#N/A</v>
      </c>
      <c r="BV63" s="93" t="str">
        <f t="shared" si="26"/>
        <v/>
      </c>
      <c r="BW63" s="93" t="str">
        <f t="shared" si="27"/>
        <v/>
      </c>
      <c r="BX63" s="93" t="str">
        <f t="shared" si="28"/>
        <v>NA</v>
      </c>
      <c r="BY63" s="95" t="str">
        <f t="shared" si="29"/>
        <v>#N/A</v>
      </c>
      <c r="BZ63" s="93" t="str">
        <f t="shared" si="30"/>
        <v/>
      </c>
      <c r="CA63" s="93" t="str">
        <f t="shared" si="31"/>
        <v/>
      </c>
      <c r="CB63" s="93" t="str">
        <f t="shared" si="32"/>
        <v>NA</v>
      </c>
      <c r="CC63" s="96" t="str">
        <f t="shared" si="33"/>
        <v>#N/A</v>
      </c>
      <c r="CD63" s="93" t="str">
        <f t="shared" si="34"/>
        <v/>
      </c>
      <c r="CE63" s="93" t="str">
        <f t="shared" si="35"/>
        <v/>
      </c>
      <c r="CF63" s="93" t="str">
        <f t="shared" si="36"/>
        <v>NA</v>
      </c>
      <c r="CG63" s="97" t="str">
        <f t="shared" si="37"/>
        <v>#N/A</v>
      </c>
      <c r="CH63" s="98" t="str">
        <f t="shared" si="38"/>
        <v>#N/A</v>
      </c>
      <c r="CI63" s="99" t="str">
        <f t="shared" si="39"/>
        <v>#N/A</v>
      </c>
      <c r="CJ63" s="126" t="str">
        <f t="shared" si="40"/>
        <v>ERROR: check cell</v>
      </c>
      <c r="CK63" s="126"/>
      <c r="CL63" s="127" t="str">
        <f t="shared" si="41"/>
        <v>#DIV/0!</v>
      </c>
      <c r="CM63" s="128" t="str">
        <f t="shared" si="42"/>
        <v>#DIV/0!</v>
      </c>
      <c r="CN63" s="128">
        <f t="shared" si="43"/>
        <v>4</v>
      </c>
      <c r="CO63" s="129">
        <f t="shared" si="44"/>
        <v>4</v>
      </c>
      <c r="CP63" s="129" t="str">
        <f>IFS(C63=Preferences!B$13,B63,B63=Preferences!B$13,C63)</f>
        <v>#N/A</v>
      </c>
    </row>
    <row r="64" ht="13.5" customHeight="1">
      <c r="A64" s="63" t="str">
        <f t="shared" si="45"/>
        <v/>
      </c>
      <c r="B64" s="64"/>
      <c r="C64" s="64"/>
      <c r="D64" s="64"/>
      <c r="E64" s="65"/>
      <c r="F64" s="65"/>
      <c r="G64" s="65"/>
      <c r="H64" s="65"/>
      <c r="I64" s="65"/>
      <c r="J64" s="141"/>
      <c r="K64" s="138"/>
      <c r="L64" s="104"/>
      <c r="M64" s="104"/>
      <c r="N64" s="104"/>
      <c r="O64" s="104"/>
      <c r="P64" s="107" t="str">
        <f t="shared" si="1"/>
        <v/>
      </c>
      <c r="Q64" s="108" t="str">
        <f>IFERROR(IF(AND(Preferences!B$3="Manual",OR(AX64/AW64&gt;G64/F64,BD64="Serious",BD64="Very serious")),"Assess imprecision",IFS(ISBLANK(E64),"",AND(Preferences!B$3="Automatic", G64/F64&gt;=30),"Extremely serious",AND(H64&lt;=$D$1*-1,J64&lt;0,G64/F64&lt;3),"Not serious",AND(H64&lt;=$D$1*-1,J64&lt;0,G64/F64&gt;=3),"Very serious",AND(H64&gt;=$D$1,I64&gt;0,G64/F64&lt;3),"Not serious",AND(H64&gt;=$D$1,I64&gt;0,G64/F64&gt;=3),"Very serious",AND(H64&lt;=$D$1*-1,J64&gt;0,I64&gt;$D$2*-1,G64/F64&lt;3),"Serious", AND(H64&lt;=$D$1*-1,J64&gt;0,I64&lt;$D$2*-1,G64/F64&lt;3),"Very serious", AND(H64&gt;=$D$1,I64&lt;0,J64&lt;$D$2,G64/F64&lt;3),"Serious",AND(H64&gt;=$D$1,I64&lt;0,J64&gt;$D$2,G64/F64&lt;3),"Very serious", AND(H64&lt;=$D$1*-1,J64&gt;0,I64&gt;$D$2*-1,G64/F64&gt;=3),"Very serious", AND(H64&lt;=$D$1*-1,J64&gt;0,I64&lt;$D$2*-1,G64/F64&gt;=3),"Very serious", AND(H64&gt;=$D$1,I64&lt;0,J64&lt;$D$2,G64/F64&gt;=3),"Very serious", AND(H64&gt;=$D$1,I64&lt;0,J64&gt;$D$2,G64/F64&gt;=3),"Very serious", AND(H64&gt;$D$1*-1,H64&lt;$D$1,I64&gt;$D$1*-1,J64&lt;$D$1,G64/F64&lt;3),"Not serious", AND(H64&gt;$D$1*-1,H64&lt;$D$1,OR(I64&lt;=$D$1*-1,J64&gt;=$D$1),I64&gt;$D$2*-1,J64&lt;$D$2,G64/F64&lt;3),"Serious", AND(H64&gt;$D$1*-1,H64&lt;$D$1,OR(I64&lt;=$D$2*-1,J64&gt;=$D$2),G64/F64&lt;3),"Very serious", AND(H64&gt;$D$1*-1,H64&lt;$D$1,I64&gt;$D$1*-1,J64&lt;$D$1,G64/F64&gt;=3),"Very serious", AND(H64&gt;$D$1*-1,H64&lt;$D$1,OR(I64&lt;=$D$1*-1,J64&gt;=$D$1),I64&gt;$D$2*-1,J64&lt;$D$2,G64/F64&gt;=3),"Very serious", AND(H64&gt;$D$1*-1,H64&lt;$D$1,OR(I64&lt;=$D$2*-1,J64&gt;=$D$2),G64/F64&gt;=3),"Very serious")),"")</f>
        <v/>
      </c>
      <c r="R64" s="109" t="str">
        <f t="shared" si="47"/>
        <v/>
      </c>
      <c r="S64" s="64"/>
      <c r="T64" s="144"/>
      <c r="U64" s="144"/>
      <c r="V64" s="144"/>
      <c r="W64" s="142"/>
      <c r="X64" s="142"/>
      <c r="Y64" s="143"/>
      <c r="Z64" s="113" t="str">
        <f t="array" ref="Z64">INDEX($A$1:$C$500, MATCH(1,($B:$B=$B64)*($C:$C=$AB64),0),1)</f>
        <v/>
      </c>
      <c r="AA64" s="113" t="str">
        <f t="array" ref="AA64">INDEX($A$1:$C$500, MATCH(1,($B:$B=$AB64)*($C:$C=$B64),0),1)</f>
        <v/>
      </c>
      <c r="AB64" s="111"/>
      <c r="AC64" s="114" t="str">
        <f t="shared" si="2"/>
        <v/>
      </c>
      <c r="AD64" s="115" t="str">
        <f t="shared" si="3"/>
        <v/>
      </c>
      <c r="AE64" s="116" t="str">
        <f t="array" ref="AE64">INDEX($A$1:$C$500, MATCH(1,($B:$B=$AB64)*($C:$C=$AG64),0),1)</f>
        <v/>
      </c>
      <c r="AF64" s="116" t="str">
        <f t="array" ref="AF64">INDEX($A$1:$C$500, MATCH(1,($B:$B=$AG64)*($C:$C=$AB64),0),1)</f>
        <v/>
      </c>
      <c r="AG64" s="72"/>
      <c r="AH64" s="114" t="str">
        <f t="shared" si="4"/>
        <v/>
      </c>
      <c r="AI64" s="115" t="str">
        <f t="shared" si="5"/>
        <v/>
      </c>
      <c r="AJ64" s="116" t="str">
        <f t="array" ref="AJ64">INDEX($A$1:$C$500, MATCH(1,($B:$B=$C64)*($C:$C=$AG64),0),1)</f>
        <v/>
      </c>
      <c r="AK64" s="116" t="str">
        <f t="array" ref="AK64">INDEX($A$1:$C$500, MATCH(1,($B:$B=$AG64)*($C:$C=$C64),0),1)</f>
        <v/>
      </c>
      <c r="AL64" s="116" t="str">
        <f t="array" ref="AL64">INDEX($A$1:$C$500, MATCH(1,($B:$B=$C64)*($C:$C=$AB64),0),1)</f>
        <v/>
      </c>
      <c r="AM64" s="116" t="str">
        <f t="array" ref="AM64">INDEX($A$1:$C$500, MATCH(1,($B:$B=$AB64)*($C:$C=$C64),0),1)</f>
        <v/>
      </c>
      <c r="AN64" s="114" t="str">
        <f t="array" ref="AN64">IFS(ISNUMBER(AJ64),AJ64,ISNUMBER(AK64),AK64,ISNUMBER(AL64),AL64,ISNUMBER(AM64),AM64)</f>
        <v>#N/A</v>
      </c>
      <c r="AO64" s="115" t="str">
        <f t="shared" si="6"/>
        <v/>
      </c>
      <c r="AP64" s="115" t="str">
        <f t="shared" si="7"/>
        <v/>
      </c>
      <c r="AQ64" s="72"/>
      <c r="AR64" s="109" t="str">
        <f t="shared" si="8"/>
        <v/>
      </c>
      <c r="AS64" s="72" t="str">
        <f>IFERROR(IF(AND(Preferences!B$3="Manual",OR(AX64/AW64&gt;V64/U64,BD64="Serious",BD64="Very serious")),"Assess imprecision",IFERROR(IFS(AND(Preferences!B$3="Automatic",V64/U64&gt;=30),"Extremely serious",AND(W64&lt;=$D$1*-1,Y64&lt;0,V64/U64&lt;3),"Not Serious",AND(W64&lt;=$D$1*-1,Y64&lt;0,V64/U64&gt;=3),"Very serious",AND(W64&gt;=$D$1,X64&gt;0,V64/U64&lt;3),"Not Serious",AND(W64&gt;=$D$1,X64&gt;0,V64/U64&gt;=3),"Very serious",AND(W64&lt;=$D$1*-1,Y64&gt;0,X64&gt;$D$2*-1,V64/U64&lt;3),"Serious", AND(W64&lt;=$D$1*-1,Y64&gt;0,X64&lt;$D$2*-1,V64/U64&lt;3),"Very serious", AND(W64&gt;=$D$1,X64&lt;0,Y64&lt;$D$2,V64/U64&lt;3),"Serious",AND(W64&gt;=$D$1,X64&lt;0,Y64&gt;$D$2,V64/U64&lt;3),"Very serious", AND(W64&lt;=$D$1*-1,Y64&gt;0,X64&gt;$D$2*-1,V64/U64&gt;=3),"Very serious", AND(W64&lt;=$D$1*-1,Y64&gt;0,X64&lt;$D$2*-1,V64/U64&gt;=3),"Very serious", AND(W64&gt;=$D$1,X64&lt;0,Y64&lt;$D$2,V64/U64&gt;=3),"Very serious", AND(W64&gt;=$D$1,X64&lt;0,Y64&gt;$D$2,V64/U64&gt;=3),"Very serious", AND(W64&gt;$D$1*-1,W64&lt;$D$1,X64&gt;$D$1*-1,Y64&lt;$D$1,V64/U64&lt;3),"Not Serious", AND(W64&gt;$D$1*-1,W64&lt;$D$1,OR(X64&lt;=$D$1*-1,Y64&gt;=$D$1),X64&gt;$D$2*-1,Y64&lt;$D$2,V64/U64&lt;3),"Serious", AND(W64&gt;$D$1*-1,W64&lt;$D$1,OR(X64&lt;=$D$2*-1,Y64&gt;=$D$2),V64/U64&lt;3),"Very serious", AND(W64&gt;$D$1*-1,W64&lt;$D$1,X64&gt;$D$1*-1,Y64&lt;$D$1,V64/U64&gt;=3),"Very serious", AND(W64&gt;$D$1*-1,W64&lt;$D$1,OR(X64&lt;=$D$1*-1,Y64&gt;=$D$1),X64&gt;$D$2*-1,Y64&lt;$D$2,V64/U64&gt;=3),"Very serious", AND(W64&gt;$D$1*-1,W64&lt;$D$1,OR(X64&lt;=$D$2*-1,Y64&gt;=$D$2),V64/U64&gt;=3),"Very serious"),"")),"")</f>
        <v/>
      </c>
      <c r="AT64" s="109" t="str">
        <f t="shared" si="9"/>
        <v/>
      </c>
      <c r="AU64" s="64"/>
      <c r="AV64" s="117"/>
      <c r="AW64" s="117"/>
      <c r="AX64" s="117"/>
      <c r="AY64" s="118"/>
      <c r="AZ64" s="118"/>
      <c r="BA64" s="119"/>
      <c r="BB64" s="86" t="str">
        <f>IF(Preferences!B$9="Manual","",IFS(ISBLANK(B64),"",AND(ISNUMBER(E64)=TRUE,ISNUMBER(T64)=FALSE),"Direct", AND(ISNUMBER(E64)=FALSE,ISNUMBER(T64)=TRUE),"Indirect", CN64=4,"Direct",AND(CL64=FALSE, CM64=TRUE,CN64-CO64&gt;-1),"Direct", AND(CL64=FALSE,CM64=TRUE, CN64-CO64&lt;0),"Check algorithm in appendix 2", AND(CL64=TRUE, CM64=FALSE,CN64-CO64&gt;0),"Check algorithm in appendix 2", AND(CL64=TRUE, CM64=FALSE,CN64-CO64=0),"Indirect", AND(CL64=TRUE, CM64=FALSE,CN64-CO64&lt;0),"Indirect", AND(CL64=FALSE,CM64=FALSE,CN64-CO64&gt;-1),"Direct", AND(CL64=FALSE,CM64=FALSE,CN64-CO64&lt;0),"Check algorithm in appendix 2", AND(CL64=TRUE,CM64=TRUE,CN64-CO64&gt;-1),"Direct", AND(CL64=TRUE,CM64=TRUE,CN64-CO64&lt;0),"Check algorithm in appendix 2"))</f>
        <v/>
      </c>
      <c r="BC64" s="120" t="str">
        <f t="shared" si="10"/>
        <v/>
      </c>
      <c r="BD64" s="140"/>
      <c r="BE64" s="122" t="str">
        <f>IF(Preferences!B$3="Manual","", IFERROR(IFS(AND(Preferences!B$3="Automatic",AX64/AW64&gt;=30),"Extremely serious",AND(AY64&lt;=$D$1*-1,BA64&lt;0,AX64/AW64&lt;3),"Not Serious",AND(AY64&lt;=$D$1*-1,BA64&lt;0,AX64/AW64&gt;=3),"Very serious",AND(AY64&gt;=$D$1,AZ64&gt;0,AX64/AW64&lt;3),"Not Serious",AND(AY64&gt;=$D$1,AZ64&gt;0,AX64/AW64&gt;=3),"Very serious",AND(AY64&lt;=$D$1*-1,BA64&gt;0,AZ64&gt;$D$2*-1,AX64/AW64&lt;3),"Serious", AND(AY64&lt;=$D$1*-1,BA64&gt;0,AZ64&lt;$D$2*-1,AX64/AW64&lt;3),"Very serious", AND(AY64&gt;=$D$1,AZ64&lt;0,BA64&lt;$D$2,AX64/AW64&lt;3),"Serious",AND(AY64&gt;=$D$1,AZ64&lt;0,BA64&gt;$D$2,AX64/AW64&lt;3),"Very serious", AND(AY64&lt;=$D$1*-1,BA64&gt;0,AZ64&gt;$D$2*-1,AX64/AW64&gt;=3),"Very serious", AND(AY64&lt;=$D$1*-1,BA64&gt;0,AZ64&lt;$D$2*-1,AX64/AW64&gt;=3),"Very serious", AND(AY64&gt;=$D$1,AZ64&lt;0,BA64&lt;$D$2,AX64/AW64&gt;=3),"Very serious", AND(AY64&gt;=$D$1,AZ64&lt;0,BA64&gt;$D$2,AX64/AW64&gt;=3),"Very serious", AND(AY64&gt;$D$1*-1,AY64&lt;$D$1,AZ64&gt;$D$1*-1,BA64&lt;$D$1,AX64/AW64&lt;3),"Not Serious", AND(AY64&gt;$D$1*-1,AY64&lt;$D$1,OR(AZ64&lt;=$D$1*-1,BA64&gt;=$D$1),AZ64&gt;$D$2*-1,BA64&lt;$D$2,AX64/AW64&lt;3),"Serious", AND(AY64&gt;$D$1*-1,AY64&lt;$D$1,OR(AZ64&lt;=$D$2*-1,BA64&gt;=$D$2),AX64/AW64&lt;3),"Very serious", AND(AY64&gt;$D$1*-1,AY64&lt;$D$1,AZ64&gt;$D$1*-1,BA64&lt;$D$1,AX64/AW64&gt;=3),"Very serious", AND(AY64&gt;$D$1*-1,AY64&lt;$D$1,OR(AZ64&lt;=$D$1*-1,BA64&gt;=$D$1),AZ64&gt;$D$2*-1,BA64&lt;$D$2,AX64/AW64&gt;=3),"Very serious", AND(AY64&gt;$D$1*-1,AY64&lt;$D$1,OR(AZ64&lt;=$D$2*-1,BA64&gt;=$D$2),AX64/AW64&gt;=3),"Very serious"),""))</f>
        <v/>
      </c>
      <c r="BF64" s="107" t="str">
        <f t="shared" si="11"/>
        <v/>
      </c>
      <c r="BG64" s="94" t="str">
        <f t="shared" si="46"/>
        <v/>
      </c>
      <c r="BH64" s="64" t="str">
        <f t="shared" si="12"/>
        <v>#N/A</v>
      </c>
      <c r="BI64" s="64" t="str">
        <f t="shared" si="13"/>
        <v/>
      </c>
      <c r="BJ64" s="123" t="str">
        <f t="shared" si="14"/>
        <v>#N/A</v>
      </c>
      <c r="BK64" s="64" t="str">
        <f t="shared" si="50"/>
        <v>YES</v>
      </c>
      <c r="BL64" s="64" t="str">
        <f t="shared" si="16"/>
        <v>YES</v>
      </c>
      <c r="BM64" s="64" t="str">
        <f t="shared" si="17"/>
        <v>YES</v>
      </c>
      <c r="BN64" s="124" t="str">
        <f t="shared" si="18"/>
        <v/>
      </c>
      <c r="BO64" s="91" t="str">
        <f t="shared" si="19"/>
        <v/>
      </c>
      <c r="BP64" s="91" t="str">
        <f t="shared" si="20"/>
        <v>#N/A</v>
      </c>
      <c r="BQ64" s="91" t="str">
        <f t="shared" si="21"/>
        <v/>
      </c>
      <c r="BR64" s="93" t="str">
        <f t="shared" si="22"/>
        <v/>
      </c>
      <c r="BS64" s="90" t="str">
        <f t="shared" si="23"/>
        <v/>
      </c>
      <c r="BT64" s="93" t="str">
        <f t="shared" si="24"/>
        <v>NA</v>
      </c>
      <c r="BU64" s="125" t="str">
        <f t="shared" si="25"/>
        <v>#N/A</v>
      </c>
      <c r="BV64" s="93" t="str">
        <f t="shared" si="26"/>
        <v/>
      </c>
      <c r="BW64" s="93" t="str">
        <f t="shared" si="27"/>
        <v/>
      </c>
      <c r="BX64" s="93" t="str">
        <f t="shared" si="28"/>
        <v>NA</v>
      </c>
      <c r="BY64" s="95" t="str">
        <f t="shared" si="29"/>
        <v>#N/A</v>
      </c>
      <c r="BZ64" s="93" t="str">
        <f t="shared" si="30"/>
        <v/>
      </c>
      <c r="CA64" s="93" t="str">
        <f t="shared" si="31"/>
        <v/>
      </c>
      <c r="CB64" s="93" t="str">
        <f t="shared" si="32"/>
        <v>NA</v>
      </c>
      <c r="CC64" s="96" t="str">
        <f t="shared" si="33"/>
        <v>#N/A</v>
      </c>
      <c r="CD64" s="93" t="str">
        <f t="shared" si="34"/>
        <v/>
      </c>
      <c r="CE64" s="93" t="str">
        <f t="shared" si="35"/>
        <v/>
      </c>
      <c r="CF64" s="93" t="str">
        <f t="shared" si="36"/>
        <v>NA</v>
      </c>
      <c r="CG64" s="97" t="str">
        <f t="shared" si="37"/>
        <v>#N/A</v>
      </c>
      <c r="CH64" s="98" t="str">
        <f t="shared" si="38"/>
        <v>#N/A</v>
      </c>
      <c r="CI64" s="99" t="str">
        <f t="shared" si="39"/>
        <v>#N/A</v>
      </c>
      <c r="CJ64" s="126" t="str">
        <f t="shared" si="40"/>
        <v>ERROR: check cell</v>
      </c>
      <c r="CK64" s="126"/>
      <c r="CL64" s="127" t="str">
        <f t="shared" si="41"/>
        <v>#DIV/0!</v>
      </c>
      <c r="CM64" s="128" t="str">
        <f t="shared" si="42"/>
        <v>#DIV/0!</v>
      </c>
      <c r="CN64" s="128">
        <f t="shared" si="43"/>
        <v>4</v>
      </c>
      <c r="CO64" s="129">
        <f t="shared" si="44"/>
        <v>4</v>
      </c>
      <c r="CP64" s="129" t="str">
        <f>IFS(C64=Preferences!B$13,B64,B64=Preferences!B$13,C64)</f>
        <v>#N/A</v>
      </c>
    </row>
    <row r="65" ht="13.5" customHeight="1">
      <c r="A65" s="63" t="str">
        <f t="shared" si="45"/>
        <v/>
      </c>
      <c r="B65" s="64"/>
      <c r="C65" s="64"/>
      <c r="D65" s="64"/>
      <c r="E65" s="65"/>
      <c r="F65" s="65"/>
      <c r="G65" s="65"/>
      <c r="H65" s="65"/>
      <c r="I65" s="65"/>
      <c r="J65" s="141"/>
      <c r="K65" s="138"/>
      <c r="L65" s="104"/>
      <c r="M65" s="104"/>
      <c r="N65" s="104"/>
      <c r="O65" s="104"/>
      <c r="P65" s="107" t="str">
        <f t="shared" si="1"/>
        <v/>
      </c>
      <c r="Q65" s="108" t="str">
        <f>IFERROR(IF(AND(Preferences!B$3="Manual",OR(AX65/AW65&gt;G65/F65,BD65="Serious",BD65="Very serious")),"Assess imprecision",IFS(ISBLANK(E65),"",AND(Preferences!B$3="Automatic", G65/F65&gt;=30),"Extremely serious",AND(H65&lt;=$D$1*-1,J65&lt;0,G65/F65&lt;3),"Not serious",AND(H65&lt;=$D$1*-1,J65&lt;0,G65/F65&gt;=3),"Very serious",AND(H65&gt;=$D$1,I65&gt;0,G65/F65&lt;3),"Not serious",AND(H65&gt;=$D$1,I65&gt;0,G65/F65&gt;=3),"Very serious",AND(H65&lt;=$D$1*-1,J65&gt;0,I65&gt;$D$2*-1,G65/F65&lt;3),"Serious", AND(H65&lt;=$D$1*-1,J65&gt;0,I65&lt;$D$2*-1,G65/F65&lt;3),"Very serious", AND(H65&gt;=$D$1,I65&lt;0,J65&lt;$D$2,G65/F65&lt;3),"Serious",AND(H65&gt;=$D$1,I65&lt;0,J65&gt;$D$2,G65/F65&lt;3),"Very serious", AND(H65&lt;=$D$1*-1,J65&gt;0,I65&gt;$D$2*-1,G65/F65&gt;=3),"Very serious", AND(H65&lt;=$D$1*-1,J65&gt;0,I65&lt;$D$2*-1,G65/F65&gt;=3),"Very serious", AND(H65&gt;=$D$1,I65&lt;0,J65&lt;$D$2,G65/F65&gt;=3),"Very serious", AND(H65&gt;=$D$1,I65&lt;0,J65&gt;$D$2,G65/F65&gt;=3),"Very serious", AND(H65&gt;$D$1*-1,H65&lt;$D$1,I65&gt;$D$1*-1,J65&lt;$D$1,G65/F65&lt;3),"Not serious", AND(H65&gt;$D$1*-1,H65&lt;$D$1,OR(I65&lt;=$D$1*-1,J65&gt;=$D$1),I65&gt;$D$2*-1,J65&lt;$D$2,G65/F65&lt;3),"Serious", AND(H65&gt;$D$1*-1,H65&lt;$D$1,OR(I65&lt;=$D$2*-1,J65&gt;=$D$2),G65/F65&lt;3),"Very serious", AND(H65&gt;$D$1*-1,H65&lt;$D$1,I65&gt;$D$1*-1,J65&lt;$D$1,G65/F65&gt;=3),"Very serious", AND(H65&gt;$D$1*-1,H65&lt;$D$1,OR(I65&lt;=$D$1*-1,J65&gt;=$D$1),I65&gt;$D$2*-1,J65&lt;$D$2,G65/F65&gt;=3),"Very serious", AND(H65&gt;$D$1*-1,H65&lt;$D$1,OR(I65&lt;=$D$2*-1,J65&gt;=$D$2),G65/F65&gt;=3),"Very serious")),"")</f>
        <v/>
      </c>
      <c r="R65" s="109" t="str">
        <f t="shared" si="47"/>
        <v/>
      </c>
      <c r="S65" s="64"/>
      <c r="T65" s="144"/>
      <c r="U65" s="144"/>
      <c r="V65" s="144"/>
      <c r="W65" s="142"/>
      <c r="X65" s="142"/>
      <c r="Y65" s="143"/>
      <c r="Z65" s="113" t="str">
        <f t="array" ref="Z65">INDEX($A$1:$C$500, MATCH(1,($B:$B=$B65)*($C:$C=$AB65),0),1)</f>
        <v/>
      </c>
      <c r="AA65" s="113" t="str">
        <f t="array" ref="AA65">INDEX($A$1:$C$500, MATCH(1,($B:$B=$AB65)*($C:$C=$B65),0),1)</f>
        <v/>
      </c>
      <c r="AB65" s="111"/>
      <c r="AC65" s="114" t="str">
        <f t="shared" si="2"/>
        <v/>
      </c>
      <c r="AD65" s="115" t="str">
        <f t="shared" si="3"/>
        <v/>
      </c>
      <c r="AE65" s="116" t="str">
        <f t="array" ref="AE65">INDEX($A$1:$C$500, MATCH(1,($B:$B=$AB65)*($C:$C=$AG65),0),1)</f>
        <v/>
      </c>
      <c r="AF65" s="116" t="str">
        <f t="array" ref="AF65">INDEX($A$1:$C$500, MATCH(1,($B:$B=$AG65)*($C:$C=$AB65),0),1)</f>
        <v/>
      </c>
      <c r="AG65" s="72"/>
      <c r="AH65" s="114" t="str">
        <f t="shared" si="4"/>
        <v/>
      </c>
      <c r="AI65" s="115" t="str">
        <f t="shared" si="5"/>
        <v/>
      </c>
      <c r="AJ65" s="116" t="str">
        <f t="array" ref="AJ65">INDEX($A$1:$C$500, MATCH(1,($B:$B=$C65)*($C:$C=$AG65),0),1)</f>
        <v/>
      </c>
      <c r="AK65" s="116" t="str">
        <f t="array" ref="AK65">INDEX($A$1:$C$500, MATCH(1,($B:$B=$AG65)*($C:$C=$C65),0),1)</f>
        <v/>
      </c>
      <c r="AL65" s="116" t="str">
        <f t="array" ref="AL65">INDEX($A$1:$C$500, MATCH(1,($B:$B=$C65)*($C:$C=$AB65),0),1)</f>
        <v/>
      </c>
      <c r="AM65" s="116" t="str">
        <f t="array" ref="AM65">INDEX($A$1:$C$500, MATCH(1,($B:$B=$AB65)*($C:$C=$C65),0),1)</f>
        <v/>
      </c>
      <c r="AN65" s="114" t="str">
        <f t="array" ref="AN65">IFS(ISNUMBER(AJ65),AJ65,ISNUMBER(AK65),AK65,ISNUMBER(AL65),AL65,ISNUMBER(AM65),AM65)</f>
        <v>#N/A</v>
      </c>
      <c r="AO65" s="115" t="str">
        <f t="shared" si="6"/>
        <v/>
      </c>
      <c r="AP65" s="115" t="str">
        <f t="shared" si="7"/>
        <v/>
      </c>
      <c r="AQ65" s="72"/>
      <c r="AR65" s="109" t="str">
        <f t="shared" si="8"/>
        <v/>
      </c>
      <c r="AS65" s="72" t="str">
        <f>IFERROR(IF(AND(Preferences!B$3="Manual",OR(AX65/AW65&gt;V65/U65,BD65="Serious",BD65="Very serious")),"Assess imprecision",IFERROR(IFS(AND(Preferences!B$3="Automatic",V65/U65&gt;=30),"Extremely serious",AND(W65&lt;=$D$1*-1,Y65&lt;0,V65/U65&lt;3),"Not Serious",AND(W65&lt;=$D$1*-1,Y65&lt;0,V65/U65&gt;=3),"Very serious",AND(W65&gt;=$D$1,X65&gt;0,V65/U65&lt;3),"Not Serious",AND(W65&gt;=$D$1,X65&gt;0,V65/U65&gt;=3),"Very serious",AND(W65&lt;=$D$1*-1,Y65&gt;0,X65&gt;$D$2*-1,V65/U65&lt;3),"Serious", AND(W65&lt;=$D$1*-1,Y65&gt;0,X65&lt;$D$2*-1,V65/U65&lt;3),"Very serious", AND(W65&gt;=$D$1,X65&lt;0,Y65&lt;$D$2,V65/U65&lt;3),"Serious",AND(W65&gt;=$D$1,X65&lt;0,Y65&gt;$D$2,V65/U65&lt;3),"Very serious", AND(W65&lt;=$D$1*-1,Y65&gt;0,X65&gt;$D$2*-1,V65/U65&gt;=3),"Very serious", AND(W65&lt;=$D$1*-1,Y65&gt;0,X65&lt;$D$2*-1,V65/U65&gt;=3),"Very serious", AND(W65&gt;=$D$1,X65&lt;0,Y65&lt;$D$2,V65/U65&gt;=3),"Very serious", AND(W65&gt;=$D$1,X65&lt;0,Y65&gt;$D$2,V65/U65&gt;=3),"Very serious", AND(W65&gt;$D$1*-1,W65&lt;$D$1,X65&gt;$D$1*-1,Y65&lt;$D$1,V65/U65&lt;3),"Not Serious", AND(W65&gt;$D$1*-1,W65&lt;$D$1,OR(X65&lt;=$D$1*-1,Y65&gt;=$D$1),X65&gt;$D$2*-1,Y65&lt;$D$2,V65/U65&lt;3),"Serious", AND(W65&gt;$D$1*-1,W65&lt;$D$1,OR(X65&lt;=$D$2*-1,Y65&gt;=$D$2),V65/U65&lt;3),"Very serious", AND(W65&gt;$D$1*-1,W65&lt;$D$1,X65&gt;$D$1*-1,Y65&lt;$D$1,V65/U65&gt;=3),"Very serious", AND(W65&gt;$D$1*-1,W65&lt;$D$1,OR(X65&lt;=$D$1*-1,Y65&gt;=$D$1),X65&gt;$D$2*-1,Y65&lt;$D$2,V65/U65&gt;=3),"Very serious", AND(W65&gt;$D$1*-1,W65&lt;$D$1,OR(X65&lt;=$D$2*-1,Y65&gt;=$D$2),V65/U65&gt;=3),"Very serious"),"")),"")</f>
        <v/>
      </c>
      <c r="AT65" s="109" t="str">
        <f t="shared" si="9"/>
        <v/>
      </c>
      <c r="AU65" s="64"/>
      <c r="AV65" s="117"/>
      <c r="AW65" s="117"/>
      <c r="AX65" s="117"/>
      <c r="AY65" s="118"/>
      <c r="AZ65" s="118"/>
      <c r="BA65" s="119"/>
      <c r="BB65" s="86" t="str">
        <f>IF(Preferences!B$9="Manual","",IFS(ISBLANK(B65),"",AND(ISNUMBER(E65)=TRUE,ISNUMBER(T65)=FALSE),"Direct", AND(ISNUMBER(E65)=FALSE,ISNUMBER(T65)=TRUE),"Indirect", CN65=4,"Direct",AND(CL65=FALSE, CM65=TRUE,CN65-CO65&gt;-1),"Direct", AND(CL65=FALSE,CM65=TRUE, CN65-CO65&lt;0),"Check algorithm in appendix 2", AND(CL65=TRUE, CM65=FALSE,CN65-CO65&gt;0),"Check algorithm in appendix 2", AND(CL65=TRUE, CM65=FALSE,CN65-CO65=0),"Indirect", AND(CL65=TRUE, CM65=FALSE,CN65-CO65&lt;0),"Indirect", AND(CL65=FALSE,CM65=FALSE,CN65-CO65&gt;-1),"Direct", AND(CL65=FALSE,CM65=FALSE,CN65-CO65&lt;0),"Check algorithm in appendix 2", AND(CL65=TRUE,CM65=TRUE,CN65-CO65&gt;-1),"Direct", AND(CL65=TRUE,CM65=TRUE,CN65-CO65&lt;0),"Check algorithm in appendix 2"))</f>
        <v/>
      </c>
      <c r="BC65" s="120" t="str">
        <f t="shared" si="10"/>
        <v/>
      </c>
      <c r="BD65" s="140"/>
      <c r="BE65" s="122" t="str">
        <f>IF(Preferences!B$3="Manual","", IFERROR(IFS(AND(Preferences!B$3="Automatic",AX65/AW65&gt;=30),"Extremely serious",AND(AY65&lt;=$D$1*-1,BA65&lt;0,AX65/AW65&lt;3),"Not Serious",AND(AY65&lt;=$D$1*-1,BA65&lt;0,AX65/AW65&gt;=3),"Very serious",AND(AY65&gt;=$D$1,AZ65&gt;0,AX65/AW65&lt;3),"Not Serious",AND(AY65&gt;=$D$1,AZ65&gt;0,AX65/AW65&gt;=3),"Very serious",AND(AY65&lt;=$D$1*-1,BA65&gt;0,AZ65&gt;$D$2*-1,AX65/AW65&lt;3),"Serious", AND(AY65&lt;=$D$1*-1,BA65&gt;0,AZ65&lt;$D$2*-1,AX65/AW65&lt;3),"Very serious", AND(AY65&gt;=$D$1,AZ65&lt;0,BA65&lt;$D$2,AX65/AW65&lt;3),"Serious",AND(AY65&gt;=$D$1,AZ65&lt;0,BA65&gt;$D$2,AX65/AW65&lt;3),"Very serious", AND(AY65&lt;=$D$1*-1,BA65&gt;0,AZ65&gt;$D$2*-1,AX65/AW65&gt;=3),"Very serious", AND(AY65&lt;=$D$1*-1,BA65&gt;0,AZ65&lt;$D$2*-1,AX65/AW65&gt;=3),"Very serious", AND(AY65&gt;=$D$1,AZ65&lt;0,BA65&lt;$D$2,AX65/AW65&gt;=3),"Very serious", AND(AY65&gt;=$D$1,AZ65&lt;0,BA65&gt;$D$2,AX65/AW65&gt;=3),"Very serious", AND(AY65&gt;$D$1*-1,AY65&lt;$D$1,AZ65&gt;$D$1*-1,BA65&lt;$D$1,AX65/AW65&lt;3),"Not Serious", AND(AY65&gt;$D$1*-1,AY65&lt;$D$1,OR(AZ65&lt;=$D$1*-1,BA65&gt;=$D$1),AZ65&gt;$D$2*-1,BA65&lt;$D$2,AX65/AW65&lt;3),"Serious", AND(AY65&gt;$D$1*-1,AY65&lt;$D$1,OR(AZ65&lt;=$D$2*-1,BA65&gt;=$D$2),AX65/AW65&lt;3),"Very serious", AND(AY65&gt;$D$1*-1,AY65&lt;$D$1,AZ65&gt;$D$1*-1,BA65&lt;$D$1,AX65/AW65&gt;=3),"Very serious", AND(AY65&gt;$D$1*-1,AY65&lt;$D$1,OR(AZ65&lt;=$D$1*-1,BA65&gt;=$D$1),AZ65&gt;$D$2*-1,BA65&lt;$D$2,AX65/AW65&gt;=3),"Very serious", AND(AY65&gt;$D$1*-1,AY65&lt;$D$1,OR(AZ65&lt;=$D$2*-1,BA65&gt;=$D$2),AX65/AW65&gt;=3),"Very serious"),""))</f>
        <v/>
      </c>
      <c r="BF65" s="107" t="str">
        <f t="shared" si="11"/>
        <v/>
      </c>
      <c r="BG65" s="94" t="str">
        <f t="shared" si="46"/>
        <v/>
      </c>
      <c r="BH65" s="64" t="str">
        <f t="shared" si="12"/>
        <v>#N/A</v>
      </c>
      <c r="BI65" s="64" t="str">
        <f t="shared" si="13"/>
        <v/>
      </c>
      <c r="BJ65" s="123" t="str">
        <f t="shared" si="14"/>
        <v>#N/A</v>
      </c>
      <c r="BK65" s="64" t="str">
        <f t="shared" si="50"/>
        <v>YES</v>
      </c>
      <c r="BL65" s="64" t="str">
        <f t="shared" si="16"/>
        <v>YES</v>
      </c>
      <c r="BM65" s="64" t="str">
        <f t="shared" si="17"/>
        <v>YES</v>
      </c>
      <c r="BN65" s="124" t="str">
        <f t="shared" si="18"/>
        <v/>
      </c>
      <c r="BO65" s="91" t="str">
        <f t="shared" si="19"/>
        <v/>
      </c>
      <c r="BP65" s="91" t="str">
        <f t="shared" si="20"/>
        <v>#N/A</v>
      </c>
      <c r="BQ65" s="91" t="str">
        <f t="shared" si="21"/>
        <v/>
      </c>
      <c r="BR65" s="93" t="str">
        <f t="shared" si="22"/>
        <v/>
      </c>
      <c r="BS65" s="90" t="str">
        <f t="shared" si="23"/>
        <v/>
      </c>
      <c r="BT65" s="93" t="str">
        <f t="shared" si="24"/>
        <v>NA</v>
      </c>
      <c r="BU65" s="125" t="str">
        <f t="shared" si="25"/>
        <v>#N/A</v>
      </c>
      <c r="BV65" s="93" t="str">
        <f t="shared" si="26"/>
        <v/>
      </c>
      <c r="BW65" s="93" t="str">
        <f t="shared" si="27"/>
        <v/>
      </c>
      <c r="BX65" s="93" t="str">
        <f t="shared" si="28"/>
        <v>NA</v>
      </c>
      <c r="BY65" s="95" t="str">
        <f t="shared" si="29"/>
        <v>#N/A</v>
      </c>
      <c r="BZ65" s="93" t="str">
        <f t="shared" si="30"/>
        <v/>
      </c>
      <c r="CA65" s="93" t="str">
        <f t="shared" si="31"/>
        <v/>
      </c>
      <c r="CB65" s="93" t="str">
        <f t="shared" si="32"/>
        <v>NA</v>
      </c>
      <c r="CC65" s="96" t="str">
        <f t="shared" si="33"/>
        <v>#N/A</v>
      </c>
      <c r="CD65" s="93" t="str">
        <f t="shared" si="34"/>
        <v/>
      </c>
      <c r="CE65" s="93" t="str">
        <f t="shared" si="35"/>
        <v/>
      </c>
      <c r="CF65" s="93" t="str">
        <f t="shared" si="36"/>
        <v>NA</v>
      </c>
      <c r="CG65" s="97" t="str">
        <f t="shared" si="37"/>
        <v>#N/A</v>
      </c>
      <c r="CH65" s="98" t="str">
        <f t="shared" si="38"/>
        <v>#N/A</v>
      </c>
      <c r="CI65" s="99" t="str">
        <f t="shared" si="39"/>
        <v>#N/A</v>
      </c>
      <c r="CJ65" s="126" t="str">
        <f t="shared" si="40"/>
        <v>ERROR: check cell</v>
      </c>
      <c r="CK65" s="126"/>
      <c r="CL65" s="127" t="str">
        <f t="shared" si="41"/>
        <v>#DIV/0!</v>
      </c>
      <c r="CM65" s="128" t="str">
        <f t="shared" si="42"/>
        <v>#DIV/0!</v>
      </c>
      <c r="CN65" s="128">
        <f t="shared" si="43"/>
        <v>4</v>
      </c>
      <c r="CO65" s="129">
        <f t="shared" si="44"/>
        <v>4</v>
      </c>
      <c r="CP65" s="129" t="str">
        <f>IFS(C65=Preferences!B$13,B65,B65=Preferences!B$13,C65)</f>
        <v>#N/A</v>
      </c>
    </row>
    <row r="66" ht="13.5" customHeight="1">
      <c r="A66" s="63" t="str">
        <f t="shared" si="45"/>
        <v/>
      </c>
      <c r="B66" s="64"/>
      <c r="C66" s="64"/>
      <c r="D66" s="64"/>
      <c r="E66" s="65"/>
      <c r="F66" s="65"/>
      <c r="G66" s="65"/>
      <c r="H66" s="65"/>
      <c r="I66" s="65"/>
      <c r="J66" s="141"/>
      <c r="K66" s="138"/>
      <c r="L66" s="104"/>
      <c r="M66" s="104"/>
      <c r="N66" s="104"/>
      <c r="O66" s="104"/>
      <c r="P66" s="107" t="str">
        <f t="shared" si="1"/>
        <v/>
      </c>
      <c r="Q66" s="108" t="str">
        <f>IFERROR(IF(AND(Preferences!B$3="Manual",OR(AX66/AW66&gt;G66/F66,BD66="Serious",BD66="Very serious")),"Assess imprecision",IFS(ISBLANK(E66),"",AND(Preferences!B$3="Automatic", G66/F66&gt;=30),"Extremely serious",AND(H66&lt;=$D$1*-1,J66&lt;0,G66/F66&lt;3),"Not serious",AND(H66&lt;=$D$1*-1,J66&lt;0,G66/F66&gt;=3),"Very serious",AND(H66&gt;=$D$1,I66&gt;0,G66/F66&lt;3),"Not serious",AND(H66&gt;=$D$1,I66&gt;0,G66/F66&gt;=3),"Very serious",AND(H66&lt;=$D$1*-1,J66&gt;0,I66&gt;$D$2*-1,G66/F66&lt;3),"Serious", AND(H66&lt;=$D$1*-1,J66&gt;0,I66&lt;$D$2*-1,G66/F66&lt;3),"Very serious", AND(H66&gt;=$D$1,I66&lt;0,J66&lt;$D$2,G66/F66&lt;3),"Serious",AND(H66&gt;=$D$1,I66&lt;0,J66&gt;$D$2,G66/F66&lt;3),"Very serious", AND(H66&lt;=$D$1*-1,J66&gt;0,I66&gt;$D$2*-1,G66/F66&gt;=3),"Very serious", AND(H66&lt;=$D$1*-1,J66&gt;0,I66&lt;$D$2*-1,G66/F66&gt;=3),"Very serious", AND(H66&gt;=$D$1,I66&lt;0,J66&lt;$D$2,G66/F66&gt;=3),"Very serious", AND(H66&gt;=$D$1,I66&lt;0,J66&gt;$D$2,G66/F66&gt;=3),"Very serious", AND(H66&gt;$D$1*-1,H66&lt;$D$1,I66&gt;$D$1*-1,J66&lt;$D$1,G66/F66&lt;3),"Not serious", AND(H66&gt;$D$1*-1,H66&lt;$D$1,OR(I66&lt;=$D$1*-1,J66&gt;=$D$1),I66&gt;$D$2*-1,J66&lt;$D$2,G66/F66&lt;3),"Serious", AND(H66&gt;$D$1*-1,H66&lt;$D$1,OR(I66&lt;=$D$2*-1,J66&gt;=$D$2),G66/F66&lt;3),"Very serious", AND(H66&gt;$D$1*-1,H66&lt;$D$1,I66&gt;$D$1*-1,J66&lt;$D$1,G66/F66&gt;=3),"Very serious", AND(H66&gt;$D$1*-1,H66&lt;$D$1,OR(I66&lt;=$D$1*-1,J66&gt;=$D$1),I66&gt;$D$2*-1,J66&lt;$D$2,G66/F66&gt;=3),"Very serious", AND(H66&gt;$D$1*-1,H66&lt;$D$1,OR(I66&lt;=$D$2*-1,J66&gt;=$D$2),G66/F66&gt;=3),"Very serious")),"")</f>
        <v/>
      </c>
      <c r="R66" s="109" t="str">
        <f t="shared" si="47"/>
        <v/>
      </c>
      <c r="S66" s="64"/>
      <c r="T66" s="144"/>
      <c r="U66" s="144"/>
      <c r="V66" s="144"/>
      <c r="W66" s="142"/>
      <c r="X66" s="142"/>
      <c r="Y66" s="143"/>
      <c r="Z66" s="113" t="str">
        <f t="array" ref="Z66">INDEX($A$1:$C$500, MATCH(1,($B:$B=$B66)*($C:$C=$AB66),0),1)</f>
        <v/>
      </c>
      <c r="AA66" s="113" t="str">
        <f t="array" ref="AA66">INDEX($A$1:$C$500, MATCH(1,($B:$B=$AB66)*($C:$C=$B66),0),1)</f>
        <v/>
      </c>
      <c r="AB66" s="111"/>
      <c r="AC66" s="114" t="str">
        <f t="shared" si="2"/>
        <v/>
      </c>
      <c r="AD66" s="115" t="str">
        <f t="shared" si="3"/>
        <v/>
      </c>
      <c r="AE66" s="116" t="str">
        <f t="array" ref="AE66">INDEX($A$1:$C$500, MATCH(1,($B:$B=$AB66)*($C:$C=$AG66),0),1)</f>
        <v/>
      </c>
      <c r="AF66" s="116" t="str">
        <f t="array" ref="AF66">INDEX($A$1:$C$500, MATCH(1,($B:$B=$AG66)*($C:$C=$AB66),0),1)</f>
        <v/>
      </c>
      <c r="AG66" s="72"/>
      <c r="AH66" s="114" t="str">
        <f t="shared" si="4"/>
        <v/>
      </c>
      <c r="AI66" s="115" t="str">
        <f t="shared" si="5"/>
        <v/>
      </c>
      <c r="AJ66" s="116" t="str">
        <f t="array" ref="AJ66">INDEX($A$1:$C$500, MATCH(1,($B:$B=$C66)*($C:$C=$AG66),0),1)</f>
        <v/>
      </c>
      <c r="AK66" s="116" t="str">
        <f t="array" ref="AK66">INDEX($A$1:$C$500, MATCH(1,($B:$B=$AG66)*($C:$C=$C66),0),1)</f>
        <v/>
      </c>
      <c r="AL66" s="116" t="str">
        <f t="array" ref="AL66">INDEX($A$1:$C$500, MATCH(1,($B:$B=$C66)*($C:$C=$AB66),0),1)</f>
        <v/>
      </c>
      <c r="AM66" s="116" t="str">
        <f t="array" ref="AM66">INDEX($A$1:$C$500, MATCH(1,($B:$B=$AB66)*($C:$C=$C66),0),1)</f>
        <v/>
      </c>
      <c r="AN66" s="114" t="str">
        <f t="array" ref="AN66">IFS(ISNUMBER(AJ66),AJ66,ISNUMBER(AK66),AK66,ISNUMBER(AL66),AL66,ISNUMBER(AM66),AM66)</f>
        <v>#N/A</v>
      </c>
      <c r="AO66" s="115" t="str">
        <f t="shared" si="6"/>
        <v/>
      </c>
      <c r="AP66" s="115" t="str">
        <f t="shared" si="7"/>
        <v/>
      </c>
      <c r="AQ66" s="72"/>
      <c r="AR66" s="109" t="str">
        <f t="shared" si="8"/>
        <v/>
      </c>
      <c r="AS66" s="72" t="str">
        <f>IFERROR(IF(AND(Preferences!B$3="Manual",OR(AX66/AW66&gt;V66/U66,BD66="Serious",BD66="Very serious")),"Assess imprecision",IFERROR(IFS(AND(Preferences!B$3="Automatic",V66/U66&gt;=30),"Extremely serious",AND(W66&lt;=$D$1*-1,Y66&lt;0,V66/U66&lt;3),"Not Serious",AND(W66&lt;=$D$1*-1,Y66&lt;0,V66/U66&gt;=3),"Very serious",AND(W66&gt;=$D$1,X66&gt;0,V66/U66&lt;3),"Not Serious",AND(W66&gt;=$D$1,X66&gt;0,V66/U66&gt;=3),"Very serious",AND(W66&lt;=$D$1*-1,Y66&gt;0,X66&gt;$D$2*-1,V66/U66&lt;3),"Serious", AND(W66&lt;=$D$1*-1,Y66&gt;0,X66&lt;$D$2*-1,V66/U66&lt;3),"Very serious", AND(W66&gt;=$D$1,X66&lt;0,Y66&lt;$D$2,V66/U66&lt;3),"Serious",AND(W66&gt;=$D$1,X66&lt;0,Y66&gt;$D$2,V66/U66&lt;3),"Very serious", AND(W66&lt;=$D$1*-1,Y66&gt;0,X66&gt;$D$2*-1,V66/U66&gt;=3),"Very serious", AND(W66&lt;=$D$1*-1,Y66&gt;0,X66&lt;$D$2*-1,V66/U66&gt;=3),"Very serious", AND(W66&gt;=$D$1,X66&lt;0,Y66&lt;$D$2,V66/U66&gt;=3),"Very serious", AND(W66&gt;=$D$1,X66&lt;0,Y66&gt;$D$2,V66/U66&gt;=3),"Very serious", AND(W66&gt;$D$1*-1,W66&lt;$D$1,X66&gt;$D$1*-1,Y66&lt;$D$1,V66/U66&lt;3),"Not Serious", AND(W66&gt;$D$1*-1,W66&lt;$D$1,OR(X66&lt;=$D$1*-1,Y66&gt;=$D$1),X66&gt;$D$2*-1,Y66&lt;$D$2,V66/U66&lt;3),"Serious", AND(W66&gt;$D$1*-1,W66&lt;$D$1,OR(X66&lt;=$D$2*-1,Y66&gt;=$D$2),V66/U66&lt;3),"Very serious", AND(W66&gt;$D$1*-1,W66&lt;$D$1,X66&gt;$D$1*-1,Y66&lt;$D$1,V66/U66&gt;=3),"Very serious", AND(W66&gt;$D$1*-1,W66&lt;$D$1,OR(X66&lt;=$D$1*-1,Y66&gt;=$D$1),X66&gt;$D$2*-1,Y66&lt;$D$2,V66/U66&gt;=3),"Very serious", AND(W66&gt;$D$1*-1,W66&lt;$D$1,OR(X66&lt;=$D$2*-1,Y66&gt;=$D$2),V66/U66&gt;=3),"Very serious"),"")),"")</f>
        <v/>
      </c>
      <c r="AT66" s="109" t="str">
        <f t="shared" si="9"/>
        <v/>
      </c>
      <c r="AU66" s="64"/>
      <c r="AV66" s="117"/>
      <c r="AW66" s="117"/>
      <c r="AX66" s="117"/>
      <c r="AY66" s="118"/>
      <c r="AZ66" s="118"/>
      <c r="BA66" s="119"/>
      <c r="BB66" s="86" t="str">
        <f>IF(Preferences!B$9="Manual","",IFS(ISBLANK(B66),"",AND(ISNUMBER(E66)=TRUE,ISNUMBER(T66)=FALSE),"Direct", AND(ISNUMBER(E66)=FALSE,ISNUMBER(T66)=TRUE),"Indirect", CN66=4,"Direct",AND(CL66=FALSE, CM66=TRUE,CN66-CO66&gt;-1),"Direct", AND(CL66=FALSE,CM66=TRUE, CN66-CO66&lt;0),"Check algorithm in appendix 2", AND(CL66=TRUE, CM66=FALSE,CN66-CO66&gt;0),"Check algorithm in appendix 2", AND(CL66=TRUE, CM66=FALSE,CN66-CO66=0),"Indirect", AND(CL66=TRUE, CM66=FALSE,CN66-CO66&lt;0),"Indirect", AND(CL66=FALSE,CM66=FALSE,CN66-CO66&gt;-1),"Direct", AND(CL66=FALSE,CM66=FALSE,CN66-CO66&lt;0),"Check algorithm in appendix 2", AND(CL66=TRUE,CM66=TRUE,CN66-CO66&gt;-1),"Direct", AND(CL66=TRUE,CM66=TRUE,CN66-CO66&lt;0),"Check algorithm in appendix 2"))</f>
        <v/>
      </c>
      <c r="BC66" s="120" t="str">
        <f t="shared" si="10"/>
        <v/>
      </c>
      <c r="BD66" s="140"/>
      <c r="BE66" s="122" t="str">
        <f>IF(Preferences!B$3="Manual","", IFERROR(IFS(AND(Preferences!B$3="Automatic",AX66/AW66&gt;=30),"Extremely serious",AND(AY66&lt;=$D$1*-1,BA66&lt;0,AX66/AW66&lt;3),"Not Serious",AND(AY66&lt;=$D$1*-1,BA66&lt;0,AX66/AW66&gt;=3),"Very serious",AND(AY66&gt;=$D$1,AZ66&gt;0,AX66/AW66&lt;3),"Not Serious",AND(AY66&gt;=$D$1,AZ66&gt;0,AX66/AW66&gt;=3),"Very serious",AND(AY66&lt;=$D$1*-1,BA66&gt;0,AZ66&gt;$D$2*-1,AX66/AW66&lt;3),"Serious", AND(AY66&lt;=$D$1*-1,BA66&gt;0,AZ66&lt;$D$2*-1,AX66/AW66&lt;3),"Very serious", AND(AY66&gt;=$D$1,AZ66&lt;0,BA66&lt;$D$2,AX66/AW66&lt;3),"Serious",AND(AY66&gt;=$D$1,AZ66&lt;0,BA66&gt;$D$2,AX66/AW66&lt;3),"Very serious", AND(AY66&lt;=$D$1*-1,BA66&gt;0,AZ66&gt;$D$2*-1,AX66/AW66&gt;=3),"Very serious", AND(AY66&lt;=$D$1*-1,BA66&gt;0,AZ66&lt;$D$2*-1,AX66/AW66&gt;=3),"Very serious", AND(AY66&gt;=$D$1,AZ66&lt;0,BA66&lt;$D$2,AX66/AW66&gt;=3),"Very serious", AND(AY66&gt;=$D$1,AZ66&lt;0,BA66&gt;$D$2,AX66/AW66&gt;=3),"Very serious", AND(AY66&gt;$D$1*-1,AY66&lt;$D$1,AZ66&gt;$D$1*-1,BA66&lt;$D$1,AX66/AW66&lt;3),"Not Serious", AND(AY66&gt;$D$1*-1,AY66&lt;$D$1,OR(AZ66&lt;=$D$1*-1,BA66&gt;=$D$1),AZ66&gt;$D$2*-1,BA66&lt;$D$2,AX66/AW66&lt;3),"Serious", AND(AY66&gt;$D$1*-1,AY66&lt;$D$1,OR(AZ66&lt;=$D$2*-1,BA66&gt;=$D$2),AX66/AW66&lt;3),"Very serious", AND(AY66&gt;$D$1*-1,AY66&lt;$D$1,AZ66&gt;$D$1*-1,BA66&lt;$D$1,AX66/AW66&gt;=3),"Very serious", AND(AY66&gt;$D$1*-1,AY66&lt;$D$1,OR(AZ66&lt;=$D$1*-1,BA66&gt;=$D$1),AZ66&gt;$D$2*-1,BA66&lt;$D$2,AX66/AW66&gt;=3),"Very serious", AND(AY66&gt;$D$1*-1,AY66&lt;$D$1,OR(AZ66&lt;=$D$2*-1,BA66&gt;=$D$2),AX66/AW66&gt;=3),"Very serious"),""))</f>
        <v/>
      </c>
      <c r="BF66" s="107" t="str">
        <f t="shared" si="11"/>
        <v/>
      </c>
      <c r="BG66" s="94" t="str">
        <f t="shared" si="46"/>
        <v/>
      </c>
      <c r="BH66" s="64" t="str">
        <f t="shared" si="12"/>
        <v>#N/A</v>
      </c>
      <c r="BI66" s="64" t="str">
        <f t="shared" si="13"/>
        <v/>
      </c>
      <c r="BJ66" s="123" t="str">
        <f t="shared" si="14"/>
        <v>#N/A</v>
      </c>
      <c r="BK66" s="64" t="str">
        <f t="shared" si="50"/>
        <v>YES</v>
      </c>
      <c r="BL66" s="64" t="str">
        <f t="shared" si="16"/>
        <v>YES</v>
      </c>
      <c r="BM66" s="64" t="str">
        <f t="shared" si="17"/>
        <v>YES</v>
      </c>
      <c r="BN66" s="124" t="str">
        <f t="shared" si="18"/>
        <v/>
      </c>
      <c r="BO66" s="91" t="str">
        <f t="shared" si="19"/>
        <v/>
      </c>
      <c r="BP66" s="91" t="str">
        <f t="shared" si="20"/>
        <v>#N/A</v>
      </c>
      <c r="BQ66" s="91" t="str">
        <f t="shared" si="21"/>
        <v/>
      </c>
      <c r="BR66" s="93" t="str">
        <f t="shared" si="22"/>
        <v/>
      </c>
      <c r="BS66" s="90" t="str">
        <f t="shared" si="23"/>
        <v/>
      </c>
      <c r="BT66" s="93" t="str">
        <f t="shared" si="24"/>
        <v>NA</v>
      </c>
      <c r="BU66" s="125" t="str">
        <f t="shared" si="25"/>
        <v>#N/A</v>
      </c>
      <c r="BV66" s="93" t="str">
        <f t="shared" si="26"/>
        <v/>
      </c>
      <c r="BW66" s="93" t="str">
        <f t="shared" si="27"/>
        <v/>
      </c>
      <c r="BX66" s="93" t="str">
        <f t="shared" si="28"/>
        <v>NA</v>
      </c>
      <c r="BY66" s="95" t="str">
        <f t="shared" si="29"/>
        <v>#N/A</v>
      </c>
      <c r="BZ66" s="93" t="str">
        <f t="shared" si="30"/>
        <v/>
      </c>
      <c r="CA66" s="93" t="str">
        <f t="shared" si="31"/>
        <v/>
      </c>
      <c r="CB66" s="93" t="str">
        <f t="shared" si="32"/>
        <v>NA</v>
      </c>
      <c r="CC66" s="96" t="str">
        <f t="shared" si="33"/>
        <v>#N/A</v>
      </c>
      <c r="CD66" s="93" t="str">
        <f t="shared" si="34"/>
        <v/>
      </c>
      <c r="CE66" s="93" t="str">
        <f t="shared" si="35"/>
        <v/>
      </c>
      <c r="CF66" s="93" t="str">
        <f t="shared" si="36"/>
        <v>NA</v>
      </c>
      <c r="CG66" s="97" t="str">
        <f t="shared" si="37"/>
        <v>#N/A</v>
      </c>
      <c r="CH66" s="98" t="str">
        <f t="shared" si="38"/>
        <v>#N/A</v>
      </c>
      <c r="CI66" s="99" t="str">
        <f t="shared" si="39"/>
        <v>#N/A</v>
      </c>
      <c r="CJ66" s="126" t="str">
        <f t="shared" si="40"/>
        <v>ERROR: check cell</v>
      </c>
      <c r="CK66" s="126"/>
      <c r="CL66" s="127" t="str">
        <f t="shared" si="41"/>
        <v>#DIV/0!</v>
      </c>
      <c r="CM66" s="128" t="str">
        <f t="shared" si="42"/>
        <v>#DIV/0!</v>
      </c>
      <c r="CN66" s="128">
        <f t="shared" si="43"/>
        <v>4</v>
      </c>
      <c r="CO66" s="129">
        <f t="shared" si="44"/>
        <v>4</v>
      </c>
      <c r="CP66" s="129" t="str">
        <f>IFS(C66=Preferences!B$13,B66,B66=Preferences!B$13,C66)</f>
        <v>#N/A</v>
      </c>
    </row>
    <row r="67" ht="13.5" customHeight="1">
      <c r="A67" s="63" t="str">
        <f t="shared" si="45"/>
        <v/>
      </c>
      <c r="B67" s="64"/>
      <c r="C67" s="64"/>
      <c r="D67" s="64"/>
      <c r="E67" s="65"/>
      <c r="F67" s="65"/>
      <c r="G67" s="65"/>
      <c r="H67" s="65"/>
      <c r="I67" s="65"/>
      <c r="J67" s="141"/>
      <c r="K67" s="138"/>
      <c r="L67" s="104"/>
      <c r="M67" s="104"/>
      <c r="N67" s="104"/>
      <c r="O67" s="104"/>
      <c r="P67" s="107" t="str">
        <f t="shared" si="1"/>
        <v/>
      </c>
      <c r="Q67" s="108" t="str">
        <f>IFERROR(IF(AND(Preferences!B$3="Manual",OR(AX67/AW67&gt;G67/F67,BD67="Serious",BD67="Very serious")),"Assess imprecision",IFS(ISBLANK(E67),"",AND(Preferences!B$3="Automatic", G67/F67&gt;=30),"Extremely serious",AND(H67&lt;=$D$1*-1,J67&lt;0,G67/F67&lt;3),"Not serious",AND(H67&lt;=$D$1*-1,J67&lt;0,G67/F67&gt;=3),"Very serious",AND(H67&gt;=$D$1,I67&gt;0,G67/F67&lt;3),"Not serious",AND(H67&gt;=$D$1,I67&gt;0,G67/F67&gt;=3),"Very serious",AND(H67&lt;=$D$1*-1,J67&gt;0,I67&gt;$D$2*-1,G67/F67&lt;3),"Serious", AND(H67&lt;=$D$1*-1,J67&gt;0,I67&lt;$D$2*-1,G67/F67&lt;3),"Very serious", AND(H67&gt;=$D$1,I67&lt;0,J67&lt;$D$2,G67/F67&lt;3),"Serious",AND(H67&gt;=$D$1,I67&lt;0,J67&gt;$D$2,G67/F67&lt;3),"Very serious", AND(H67&lt;=$D$1*-1,J67&gt;0,I67&gt;$D$2*-1,G67/F67&gt;=3),"Very serious", AND(H67&lt;=$D$1*-1,J67&gt;0,I67&lt;$D$2*-1,G67/F67&gt;=3),"Very serious", AND(H67&gt;=$D$1,I67&lt;0,J67&lt;$D$2,G67/F67&gt;=3),"Very serious", AND(H67&gt;=$D$1,I67&lt;0,J67&gt;$D$2,G67/F67&gt;=3),"Very serious", AND(H67&gt;$D$1*-1,H67&lt;$D$1,I67&gt;$D$1*-1,J67&lt;$D$1,G67/F67&lt;3),"Not serious", AND(H67&gt;$D$1*-1,H67&lt;$D$1,OR(I67&lt;=$D$1*-1,J67&gt;=$D$1),I67&gt;$D$2*-1,J67&lt;$D$2,G67/F67&lt;3),"Serious", AND(H67&gt;$D$1*-1,H67&lt;$D$1,OR(I67&lt;=$D$2*-1,J67&gt;=$D$2),G67/F67&lt;3),"Very serious", AND(H67&gt;$D$1*-1,H67&lt;$D$1,I67&gt;$D$1*-1,J67&lt;$D$1,G67/F67&gt;=3),"Very serious", AND(H67&gt;$D$1*-1,H67&lt;$D$1,OR(I67&lt;=$D$1*-1,J67&gt;=$D$1),I67&gt;$D$2*-1,J67&lt;$D$2,G67/F67&gt;=3),"Very serious", AND(H67&gt;$D$1*-1,H67&lt;$D$1,OR(I67&lt;=$D$2*-1,J67&gt;=$D$2),G67/F67&gt;=3),"Very serious")),"")</f>
        <v/>
      </c>
      <c r="R67" s="109" t="str">
        <f t="shared" si="47"/>
        <v/>
      </c>
      <c r="S67" s="64"/>
      <c r="T67" s="144"/>
      <c r="U67" s="144"/>
      <c r="V67" s="144"/>
      <c r="W67" s="142"/>
      <c r="X67" s="142"/>
      <c r="Y67" s="143"/>
      <c r="Z67" s="113" t="str">
        <f t="array" ref="Z67">INDEX($A$1:$C$500, MATCH(1,($B:$B=$B67)*($C:$C=$AB67),0),1)</f>
        <v/>
      </c>
      <c r="AA67" s="113" t="str">
        <f t="array" ref="AA67">INDEX($A$1:$C$500, MATCH(1,($B:$B=$AB67)*($C:$C=$B67),0),1)</f>
        <v/>
      </c>
      <c r="AB67" s="111"/>
      <c r="AC67" s="114" t="str">
        <f t="shared" si="2"/>
        <v/>
      </c>
      <c r="AD67" s="115" t="str">
        <f t="shared" si="3"/>
        <v/>
      </c>
      <c r="AE67" s="116" t="str">
        <f t="array" ref="AE67">INDEX($A$1:$C$500, MATCH(1,($B:$B=$AB67)*($C:$C=$AG67),0),1)</f>
        <v/>
      </c>
      <c r="AF67" s="116" t="str">
        <f t="array" ref="AF67">INDEX($A$1:$C$500, MATCH(1,($B:$B=$AG67)*($C:$C=$AB67),0),1)</f>
        <v/>
      </c>
      <c r="AG67" s="72"/>
      <c r="AH67" s="114" t="str">
        <f t="shared" si="4"/>
        <v/>
      </c>
      <c r="AI67" s="115" t="str">
        <f t="shared" si="5"/>
        <v/>
      </c>
      <c r="AJ67" s="116" t="str">
        <f t="array" ref="AJ67">INDEX($A$1:$C$500, MATCH(1,($B:$B=$C67)*($C:$C=$AG67),0),1)</f>
        <v/>
      </c>
      <c r="AK67" s="116" t="str">
        <f t="array" ref="AK67">INDEX($A$1:$C$500, MATCH(1,($B:$B=$AG67)*($C:$C=$C67),0),1)</f>
        <v/>
      </c>
      <c r="AL67" s="116" t="str">
        <f t="array" ref="AL67">INDEX($A$1:$C$500, MATCH(1,($B:$B=$C67)*($C:$C=$AB67),0),1)</f>
        <v/>
      </c>
      <c r="AM67" s="116" t="str">
        <f t="array" ref="AM67">INDEX($A$1:$C$500, MATCH(1,($B:$B=$AB67)*($C:$C=$C67),0),1)</f>
        <v/>
      </c>
      <c r="AN67" s="114" t="str">
        <f t="array" ref="AN67">IFS(ISNUMBER(AJ67),AJ67,ISNUMBER(AK67),AK67,ISNUMBER(AL67),AL67,ISNUMBER(AM67),AM67)</f>
        <v>#N/A</v>
      </c>
      <c r="AO67" s="115" t="str">
        <f t="shared" si="6"/>
        <v/>
      </c>
      <c r="AP67" s="115" t="str">
        <f t="shared" si="7"/>
        <v/>
      </c>
      <c r="AQ67" s="111"/>
      <c r="AR67" s="109" t="str">
        <f t="shared" si="8"/>
        <v/>
      </c>
      <c r="AS67" s="72" t="str">
        <f>IFERROR(IF(AND(Preferences!B$3="Manual",OR(AX67/AW67&gt;V67/U67,BD67="Serious",BD67="Very serious")),"Assess imprecision",IFERROR(IFS(AND(Preferences!B$3="Automatic",V67/U67&gt;=30),"Extremely serious",AND(W67&lt;=$D$1*-1,Y67&lt;0,V67/U67&lt;3),"Not Serious",AND(W67&lt;=$D$1*-1,Y67&lt;0,V67/U67&gt;=3),"Very serious",AND(W67&gt;=$D$1,X67&gt;0,V67/U67&lt;3),"Not Serious",AND(W67&gt;=$D$1,X67&gt;0,V67/U67&gt;=3),"Very serious",AND(W67&lt;=$D$1*-1,Y67&gt;0,X67&gt;$D$2*-1,V67/U67&lt;3),"Serious", AND(W67&lt;=$D$1*-1,Y67&gt;0,X67&lt;$D$2*-1,V67/U67&lt;3),"Very serious", AND(W67&gt;=$D$1,X67&lt;0,Y67&lt;$D$2,V67/U67&lt;3),"Serious",AND(W67&gt;=$D$1,X67&lt;0,Y67&gt;$D$2,V67/U67&lt;3),"Very serious", AND(W67&lt;=$D$1*-1,Y67&gt;0,X67&gt;$D$2*-1,V67/U67&gt;=3),"Very serious", AND(W67&lt;=$D$1*-1,Y67&gt;0,X67&lt;$D$2*-1,V67/U67&gt;=3),"Very serious", AND(W67&gt;=$D$1,X67&lt;0,Y67&lt;$D$2,V67/U67&gt;=3),"Very serious", AND(W67&gt;=$D$1,X67&lt;0,Y67&gt;$D$2,V67/U67&gt;=3),"Very serious", AND(W67&gt;$D$1*-1,W67&lt;$D$1,X67&gt;$D$1*-1,Y67&lt;$D$1,V67/U67&lt;3),"Not Serious", AND(W67&gt;$D$1*-1,W67&lt;$D$1,OR(X67&lt;=$D$1*-1,Y67&gt;=$D$1),X67&gt;$D$2*-1,Y67&lt;$D$2,V67/U67&lt;3),"Serious", AND(W67&gt;$D$1*-1,W67&lt;$D$1,OR(X67&lt;=$D$2*-1,Y67&gt;=$D$2),V67/U67&lt;3),"Very serious", AND(W67&gt;$D$1*-1,W67&lt;$D$1,X67&gt;$D$1*-1,Y67&lt;$D$1,V67/U67&gt;=3),"Very serious", AND(W67&gt;$D$1*-1,W67&lt;$D$1,OR(X67&lt;=$D$1*-1,Y67&gt;=$D$1),X67&gt;$D$2*-1,Y67&lt;$D$2,V67/U67&gt;=3),"Very serious", AND(W67&gt;$D$1*-1,W67&lt;$D$1,OR(X67&lt;=$D$2*-1,Y67&gt;=$D$2),V67/U67&gt;=3),"Very serious"),"")),"")</f>
        <v/>
      </c>
      <c r="AT67" s="109" t="str">
        <f t="shared" si="9"/>
        <v/>
      </c>
      <c r="AU67" s="64"/>
      <c r="AV67" s="117"/>
      <c r="AW67" s="117"/>
      <c r="AX67" s="117"/>
      <c r="AY67" s="118"/>
      <c r="AZ67" s="118"/>
      <c r="BA67" s="119"/>
      <c r="BB67" s="86" t="str">
        <f>IF(Preferences!B$9="Manual","",IFS(ISBLANK(B67),"",AND(ISNUMBER(E67)=TRUE,ISNUMBER(T67)=FALSE),"Direct", AND(ISNUMBER(E67)=FALSE,ISNUMBER(T67)=TRUE),"Indirect", CN67=4,"Direct",AND(CL67=FALSE, CM67=TRUE,CN67-CO67&gt;-1),"Direct", AND(CL67=FALSE,CM67=TRUE, CN67-CO67&lt;0),"Check algorithm in appendix 2", AND(CL67=TRUE, CM67=FALSE,CN67-CO67&gt;0),"Check algorithm in appendix 2", AND(CL67=TRUE, CM67=FALSE,CN67-CO67=0),"Indirect", AND(CL67=TRUE, CM67=FALSE,CN67-CO67&lt;0),"Indirect", AND(CL67=FALSE,CM67=FALSE,CN67-CO67&gt;-1),"Direct", AND(CL67=FALSE,CM67=FALSE,CN67-CO67&lt;0),"Check algorithm in appendix 2", AND(CL67=TRUE,CM67=TRUE,CN67-CO67&gt;-1),"Direct", AND(CL67=TRUE,CM67=TRUE,CN67-CO67&lt;0),"Check algorithm in appendix 2"))</f>
        <v/>
      </c>
      <c r="BC67" s="120" t="str">
        <f t="shared" si="10"/>
        <v/>
      </c>
      <c r="BD67" s="140"/>
      <c r="BE67" s="122" t="str">
        <f>IF(Preferences!B$3="Manual","", IFERROR(IFS(AND(Preferences!B$3="Automatic",AX67/AW67&gt;=30),"Extremely serious",AND(AY67&lt;=$D$1*-1,BA67&lt;0,AX67/AW67&lt;3),"Not Serious",AND(AY67&lt;=$D$1*-1,BA67&lt;0,AX67/AW67&gt;=3),"Very serious",AND(AY67&gt;=$D$1,AZ67&gt;0,AX67/AW67&lt;3),"Not Serious",AND(AY67&gt;=$D$1,AZ67&gt;0,AX67/AW67&gt;=3),"Very serious",AND(AY67&lt;=$D$1*-1,BA67&gt;0,AZ67&gt;$D$2*-1,AX67/AW67&lt;3),"Serious", AND(AY67&lt;=$D$1*-1,BA67&gt;0,AZ67&lt;$D$2*-1,AX67/AW67&lt;3),"Very serious", AND(AY67&gt;=$D$1,AZ67&lt;0,BA67&lt;$D$2,AX67/AW67&lt;3),"Serious",AND(AY67&gt;=$D$1,AZ67&lt;0,BA67&gt;$D$2,AX67/AW67&lt;3),"Very serious", AND(AY67&lt;=$D$1*-1,BA67&gt;0,AZ67&gt;$D$2*-1,AX67/AW67&gt;=3),"Very serious", AND(AY67&lt;=$D$1*-1,BA67&gt;0,AZ67&lt;$D$2*-1,AX67/AW67&gt;=3),"Very serious", AND(AY67&gt;=$D$1,AZ67&lt;0,BA67&lt;$D$2,AX67/AW67&gt;=3),"Very serious", AND(AY67&gt;=$D$1,AZ67&lt;0,BA67&gt;$D$2,AX67/AW67&gt;=3),"Very serious", AND(AY67&gt;$D$1*-1,AY67&lt;$D$1,AZ67&gt;$D$1*-1,BA67&lt;$D$1,AX67/AW67&lt;3),"Not Serious", AND(AY67&gt;$D$1*-1,AY67&lt;$D$1,OR(AZ67&lt;=$D$1*-1,BA67&gt;=$D$1),AZ67&gt;$D$2*-1,BA67&lt;$D$2,AX67/AW67&lt;3),"Serious", AND(AY67&gt;$D$1*-1,AY67&lt;$D$1,OR(AZ67&lt;=$D$2*-1,BA67&gt;=$D$2),AX67/AW67&lt;3),"Very serious", AND(AY67&gt;$D$1*-1,AY67&lt;$D$1,AZ67&gt;$D$1*-1,BA67&lt;$D$1,AX67/AW67&gt;=3),"Very serious", AND(AY67&gt;$D$1*-1,AY67&lt;$D$1,OR(AZ67&lt;=$D$1*-1,BA67&gt;=$D$1),AZ67&gt;$D$2*-1,BA67&lt;$D$2,AX67/AW67&gt;=3),"Very serious", AND(AY67&gt;$D$1*-1,AY67&lt;$D$1,OR(AZ67&lt;=$D$2*-1,BA67&gt;=$D$2),AX67/AW67&gt;=3),"Very serious"),""))</f>
        <v/>
      </c>
      <c r="BF67" s="107" t="str">
        <f t="shared" si="11"/>
        <v/>
      </c>
      <c r="BG67" s="94" t="str">
        <f t="shared" si="46"/>
        <v/>
      </c>
      <c r="BH67" s="64" t="str">
        <f t="shared" si="12"/>
        <v>#N/A</v>
      </c>
      <c r="BI67" s="64" t="str">
        <f t="shared" si="13"/>
        <v/>
      </c>
      <c r="BJ67" s="123" t="str">
        <f t="shared" si="14"/>
        <v>#N/A</v>
      </c>
      <c r="BK67" s="64" t="str">
        <f t="shared" si="50"/>
        <v>YES</v>
      </c>
      <c r="BL67" s="64" t="str">
        <f t="shared" si="16"/>
        <v>YES</v>
      </c>
      <c r="BM67" s="64" t="str">
        <f t="shared" si="17"/>
        <v>YES</v>
      </c>
      <c r="BN67" s="124" t="str">
        <f t="shared" si="18"/>
        <v/>
      </c>
      <c r="BO67" s="91" t="str">
        <f t="shared" si="19"/>
        <v/>
      </c>
      <c r="BP67" s="91" t="str">
        <f t="shared" si="20"/>
        <v>#N/A</v>
      </c>
      <c r="BQ67" s="91" t="str">
        <f t="shared" si="21"/>
        <v/>
      </c>
      <c r="BR67" s="93" t="str">
        <f t="shared" si="22"/>
        <v/>
      </c>
      <c r="BS67" s="90" t="str">
        <f t="shared" si="23"/>
        <v/>
      </c>
      <c r="BT67" s="93" t="str">
        <f t="shared" si="24"/>
        <v>NA</v>
      </c>
      <c r="BU67" s="125" t="str">
        <f t="shared" si="25"/>
        <v>#N/A</v>
      </c>
      <c r="BV67" s="93" t="str">
        <f t="shared" si="26"/>
        <v/>
      </c>
      <c r="BW67" s="93" t="str">
        <f t="shared" si="27"/>
        <v/>
      </c>
      <c r="BX67" s="93" t="str">
        <f t="shared" si="28"/>
        <v>NA</v>
      </c>
      <c r="BY67" s="95" t="str">
        <f t="shared" si="29"/>
        <v>#N/A</v>
      </c>
      <c r="BZ67" s="93" t="str">
        <f t="shared" si="30"/>
        <v/>
      </c>
      <c r="CA67" s="93" t="str">
        <f t="shared" si="31"/>
        <v/>
      </c>
      <c r="CB67" s="93" t="str">
        <f t="shared" si="32"/>
        <v>NA</v>
      </c>
      <c r="CC67" s="96" t="str">
        <f t="shared" si="33"/>
        <v>#N/A</v>
      </c>
      <c r="CD67" s="93" t="str">
        <f t="shared" si="34"/>
        <v/>
      </c>
      <c r="CE67" s="93" t="str">
        <f t="shared" si="35"/>
        <v/>
      </c>
      <c r="CF67" s="93" t="str">
        <f t="shared" si="36"/>
        <v>NA</v>
      </c>
      <c r="CG67" s="97" t="str">
        <f t="shared" si="37"/>
        <v>#N/A</v>
      </c>
      <c r="CH67" s="98" t="str">
        <f t="shared" si="38"/>
        <v>#N/A</v>
      </c>
      <c r="CI67" s="99" t="str">
        <f t="shared" si="39"/>
        <v>#N/A</v>
      </c>
      <c r="CJ67" s="126" t="str">
        <f t="shared" si="40"/>
        <v>ERROR: check cell</v>
      </c>
      <c r="CK67" s="126"/>
      <c r="CL67" s="127" t="str">
        <f t="shared" si="41"/>
        <v>#DIV/0!</v>
      </c>
      <c r="CM67" s="128" t="str">
        <f t="shared" si="42"/>
        <v>#DIV/0!</v>
      </c>
      <c r="CN67" s="128">
        <f t="shared" si="43"/>
        <v>4</v>
      </c>
      <c r="CO67" s="129">
        <f t="shared" si="44"/>
        <v>4</v>
      </c>
      <c r="CP67" s="129" t="str">
        <f>IFS(C67=Preferences!B$13,B67,B67=Preferences!B$13,C67)</f>
        <v>#N/A</v>
      </c>
    </row>
    <row r="68" ht="13.5" customHeight="1">
      <c r="A68" s="63" t="str">
        <f t="shared" si="45"/>
        <v/>
      </c>
      <c r="B68" s="64"/>
      <c r="C68" s="64"/>
      <c r="D68" s="64"/>
      <c r="E68" s="65"/>
      <c r="F68" s="65"/>
      <c r="G68" s="65"/>
      <c r="H68" s="65"/>
      <c r="I68" s="65"/>
      <c r="J68" s="141"/>
      <c r="K68" s="138"/>
      <c r="L68" s="104"/>
      <c r="M68" s="104"/>
      <c r="N68" s="104"/>
      <c r="O68" s="104"/>
      <c r="P68" s="107" t="str">
        <f t="shared" si="1"/>
        <v/>
      </c>
      <c r="Q68" s="108" t="str">
        <f>IFERROR(IF(AND(Preferences!B$3="Manual",OR(AX68/AW68&gt;G68/F68,BD68="Serious",BD68="Very serious")),"Assess imprecision",IFS(ISBLANK(E68),"",AND(Preferences!B$3="Automatic", G68/F68&gt;=30),"Extremely serious",AND(H68&lt;=$D$1*-1,J68&lt;0,G68/F68&lt;3),"Not serious",AND(H68&lt;=$D$1*-1,J68&lt;0,G68/F68&gt;=3),"Very serious",AND(H68&gt;=$D$1,I68&gt;0,G68/F68&lt;3),"Not serious",AND(H68&gt;=$D$1,I68&gt;0,G68/F68&gt;=3),"Very serious",AND(H68&lt;=$D$1*-1,J68&gt;0,I68&gt;$D$2*-1,G68/F68&lt;3),"Serious", AND(H68&lt;=$D$1*-1,J68&gt;0,I68&lt;$D$2*-1,G68/F68&lt;3),"Very serious", AND(H68&gt;=$D$1,I68&lt;0,J68&lt;$D$2,G68/F68&lt;3),"Serious",AND(H68&gt;=$D$1,I68&lt;0,J68&gt;$D$2,G68/F68&lt;3),"Very serious", AND(H68&lt;=$D$1*-1,J68&gt;0,I68&gt;$D$2*-1,G68/F68&gt;=3),"Very serious", AND(H68&lt;=$D$1*-1,J68&gt;0,I68&lt;$D$2*-1,G68/F68&gt;=3),"Very serious", AND(H68&gt;=$D$1,I68&lt;0,J68&lt;$D$2,G68/F68&gt;=3),"Very serious", AND(H68&gt;=$D$1,I68&lt;0,J68&gt;$D$2,G68/F68&gt;=3),"Very serious", AND(H68&gt;$D$1*-1,H68&lt;$D$1,I68&gt;$D$1*-1,J68&lt;$D$1,G68/F68&lt;3),"Not serious", AND(H68&gt;$D$1*-1,H68&lt;$D$1,OR(I68&lt;=$D$1*-1,J68&gt;=$D$1),I68&gt;$D$2*-1,J68&lt;$D$2,G68/F68&lt;3),"Serious", AND(H68&gt;$D$1*-1,H68&lt;$D$1,OR(I68&lt;=$D$2*-1,J68&gt;=$D$2),G68/F68&lt;3),"Very serious", AND(H68&gt;$D$1*-1,H68&lt;$D$1,I68&gt;$D$1*-1,J68&lt;$D$1,G68/F68&gt;=3),"Very serious", AND(H68&gt;$D$1*-1,H68&lt;$D$1,OR(I68&lt;=$D$1*-1,J68&gt;=$D$1),I68&gt;$D$2*-1,J68&lt;$D$2,G68/F68&gt;=3),"Very serious", AND(H68&gt;$D$1*-1,H68&lt;$D$1,OR(I68&lt;=$D$2*-1,J68&gt;=$D$2),G68/F68&gt;=3),"Very serious")),"")</f>
        <v/>
      </c>
      <c r="R68" s="109" t="str">
        <f t="shared" si="47"/>
        <v/>
      </c>
      <c r="S68" s="64"/>
      <c r="T68" s="144"/>
      <c r="U68" s="144"/>
      <c r="V68" s="144"/>
      <c r="W68" s="142"/>
      <c r="X68" s="142"/>
      <c r="Y68" s="143"/>
      <c r="Z68" s="113" t="str">
        <f t="array" ref="Z68">INDEX($A$1:$C$500, MATCH(1,($B:$B=$B68)*($C:$C=$AB68),0),1)</f>
        <v/>
      </c>
      <c r="AA68" s="113" t="str">
        <f t="array" ref="AA68">INDEX($A$1:$C$500, MATCH(1,($B:$B=$AB68)*($C:$C=$B68),0),1)</f>
        <v/>
      </c>
      <c r="AB68" s="111"/>
      <c r="AC68" s="114" t="str">
        <f t="shared" si="2"/>
        <v/>
      </c>
      <c r="AD68" s="115" t="str">
        <f t="shared" si="3"/>
        <v/>
      </c>
      <c r="AE68" s="116" t="str">
        <f t="array" ref="AE68">INDEX($A$1:$C$500, MATCH(1,($B:$B=$AB68)*($C:$C=$AG68),0),1)</f>
        <v/>
      </c>
      <c r="AF68" s="116" t="str">
        <f t="array" ref="AF68">INDEX($A$1:$C$500, MATCH(1,($B:$B=$AG68)*($C:$C=$AB68),0),1)</f>
        <v/>
      </c>
      <c r="AG68" s="72"/>
      <c r="AH68" s="114" t="str">
        <f t="shared" si="4"/>
        <v/>
      </c>
      <c r="AI68" s="115" t="str">
        <f t="shared" si="5"/>
        <v/>
      </c>
      <c r="AJ68" s="116" t="str">
        <f t="array" ref="AJ68">INDEX($A$1:$C$500, MATCH(1,($B:$B=$C68)*($C:$C=$AG68),0),1)</f>
        <v/>
      </c>
      <c r="AK68" s="116" t="str">
        <f t="array" ref="AK68">INDEX($A$1:$C$500, MATCH(1,($B:$B=$AG68)*($C:$C=$C68),0),1)</f>
        <v/>
      </c>
      <c r="AL68" s="116" t="str">
        <f t="array" ref="AL68">INDEX($A$1:$C$500, MATCH(1,($B:$B=$C68)*($C:$C=$AB68),0),1)</f>
        <v/>
      </c>
      <c r="AM68" s="116" t="str">
        <f t="array" ref="AM68">INDEX($A$1:$C$500, MATCH(1,($B:$B=$AB68)*($C:$C=$C68),0),1)</f>
        <v/>
      </c>
      <c r="AN68" s="114" t="str">
        <f t="array" ref="AN68">IFS(ISNUMBER(AJ68),AJ68,ISNUMBER(AK68),AK68,ISNUMBER(AL68),AL68,ISNUMBER(AM68),AM68)</f>
        <v>#N/A</v>
      </c>
      <c r="AO68" s="115" t="str">
        <f t="shared" si="6"/>
        <v/>
      </c>
      <c r="AP68" s="115" t="str">
        <f t="shared" si="7"/>
        <v/>
      </c>
      <c r="AQ68" s="111"/>
      <c r="AR68" s="109" t="str">
        <f t="shared" si="8"/>
        <v/>
      </c>
      <c r="AS68" s="72" t="str">
        <f>IFERROR(IF(AND(Preferences!B$3="Manual",OR(AX68/AW68&gt;V68/U68,BD68="Serious",BD68="Very serious")),"Assess imprecision",IFERROR(IFS(AND(Preferences!B$3="Automatic",V68/U68&gt;=30),"Extremely serious",AND(W68&lt;=$D$1*-1,Y68&lt;0,V68/U68&lt;3),"Not Serious",AND(W68&lt;=$D$1*-1,Y68&lt;0,V68/U68&gt;=3),"Very serious",AND(W68&gt;=$D$1,X68&gt;0,V68/U68&lt;3),"Not Serious",AND(W68&gt;=$D$1,X68&gt;0,V68/U68&gt;=3),"Very serious",AND(W68&lt;=$D$1*-1,Y68&gt;0,X68&gt;$D$2*-1,V68/U68&lt;3),"Serious", AND(W68&lt;=$D$1*-1,Y68&gt;0,X68&lt;$D$2*-1,V68/U68&lt;3),"Very serious", AND(W68&gt;=$D$1,X68&lt;0,Y68&lt;$D$2,V68/U68&lt;3),"Serious",AND(W68&gt;=$D$1,X68&lt;0,Y68&gt;$D$2,V68/U68&lt;3),"Very serious", AND(W68&lt;=$D$1*-1,Y68&gt;0,X68&gt;$D$2*-1,V68/U68&gt;=3),"Very serious", AND(W68&lt;=$D$1*-1,Y68&gt;0,X68&lt;$D$2*-1,V68/U68&gt;=3),"Very serious", AND(W68&gt;=$D$1,X68&lt;0,Y68&lt;$D$2,V68/U68&gt;=3),"Very serious", AND(W68&gt;=$D$1,X68&lt;0,Y68&gt;$D$2,V68/U68&gt;=3),"Very serious", AND(W68&gt;$D$1*-1,W68&lt;$D$1,X68&gt;$D$1*-1,Y68&lt;$D$1,V68/U68&lt;3),"Not Serious", AND(W68&gt;$D$1*-1,W68&lt;$D$1,OR(X68&lt;=$D$1*-1,Y68&gt;=$D$1),X68&gt;$D$2*-1,Y68&lt;$D$2,V68/U68&lt;3),"Serious", AND(W68&gt;$D$1*-1,W68&lt;$D$1,OR(X68&lt;=$D$2*-1,Y68&gt;=$D$2),V68/U68&lt;3),"Very serious", AND(W68&gt;$D$1*-1,W68&lt;$D$1,X68&gt;$D$1*-1,Y68&lt;$D$1,V68/U68&gt;=3),"Very serious", AND(W68&gt;$D$1*-1,W68&lt;$D$1,OR(X68&lt;=$D$1*-1,Y68&gt;=$D$1),X68&gt;$D$2*-1,Y68&lt;$D$2,V68/U68&gt;=3),"Very serious", AND(W68&gt;$D$1*-1,W68&lt;$D$1,OR(X68&lt;=$D$2*-1,Y68&gt;=$D$2),V68/U68&gt;=3),"Very serious"),"")),"")</f>
        <v/>
      </c>
      <c r="AT68" s="109" t="str">
        <f t="shared" si="9"/>
        <v/>
      </c>
      <c r="AU68" s="64"/>
      <c r="AV68" s="117"/>
      <c r="AW68" s="117"/>
      <c r="AX68" s="117"/>
      <c r="AY68" s="118"/>
      <c r="AZ68" s="118"/>
      <c r="BA68" s="119"/>
      <c r="BB68" s="86" t="str">
        <f>IF(Preferences!B$9="Manual","",IFS(ISBLANK(B68),"",AND(ISNUMBER(E68)=TRUE,ISNUMBER(T68)=FALSE),"Direct", AND(ISNUMBER(E68)=FALSE,ISNUMBER(T68)=TRUE),"Indirect", CN68=4,"Direct",AND(CL68=FALSE, CM68=TRUE,CN68-CO68&gt;-1),"Direct", AND(CL68=FALSE,CM68=TRUE, CN68-CO68&lt;0),"Check algorithm in appendix 2", AND(CL68=TRUE, CM68=FALSE,CN68-CO68&gt;0),"Check algorithm in appendix 2", AND(CL68=TRUE, CM68=FALSE,CN68-CO68=0),"Indirect", AND(CL68=TRUE, CM68=FALSE,CN68-CO68&lt;0),"Indirect", AND(CL68=FALSE,CM68=FALSE,CN68-CO68&gt;-1),"Direct", AND(CL68=FALSE,CM68=FALSE,CN68-CO68&lt;0),"Check algorithm in appendix 2", AND(CL68=TRUE,CM68=TRUE,CN68-CO68&gt;-1),"Direct", AND(CL68=TRUE,CM68=TRUE,CN68-CO68&lt;0),"Check algorithm in appendix 2"))</f>
        <v/>
      </c>
      <c r="BC68" s="120" t="str">
        <f t="shared" si="10"/>
        <v/>
      </c>
      <c r="BD68" s="140"/>
      <c r="BE68" s="122" t="str">
        <f>IF(Preferences!B$3="Manual","", IFERROR(IFS(AND(Preferences!B$3="Automatic",AX68/AW68&gt;=30),"Extremely serious",AND(AY68&lt;=$D$1*-1,BA68&lt;0,AX68/AW68&lt;3),"Not Serious",AND(AY68&lt;=$D$1*-1,BA68&lt;0,AX68/AW68&gt;=3),"Very serious",AND(AY68&gt;=$D$1,AZ68&gt;0,AX68/AW68&lt;3),"Not Serious",AND(AY68&gt;=$D$1,AZ68&gt;0,AX68/AW68&gt;=3),"Very serious",AND(AY68&lt;=$D$1*-1,BA68&gt;0,AZ68&gt;$D$2*-1,AX68/AW68&lt;3),"Serious", AND(AY68&lt;=$D$1*-1,BA68&gt;0,AZ68&lt;$D$2*-1,AX68/AW68&lt;3),"Very serious", AND(AY68&gt;=$D$1,AZ68&lt;0,BA68&lt;$D$2,AX68/AW68&lt;3),"Serious",AND(AY68&gt;=$D$1,AZ68&lt;0,BA68&gt;$D$2,AX68/AW68&lt;3),"Very serious", AND(AY68&lt;=$D$1*-1,BA68&gt;0,AZ68&gt;$D$2*-1,AX68/AW68&gt;=3),"Very serious", AND(AY68&lt;=$D$1*-1,BA68&gt;0,AZ68&lt;$D$2*-1,AX68/AW68&gt;=3),"Very serious", AND(AY68&gt;=$D$1,AZ68&lt;0,BA68&lt;$D$2,AX68/AW68&gt;=3),"Very serious", AND(AY68&gt;=$D$1,AZ68&lt;0,BA68&gt;$D$2,AX68/AW68&gt;=3),"Very serious", AND(AY68&gt;$D$1*-1,AY68&lt;$D$1,AZ68&gt;$D$1*-1,BA68&lt;$D$1,AX68/AW68&lt;3),"Not Serious", AND(AY68&gt;$D$1*-1,AY68&lt;$D$1,OR(AZ68&lt;=$D$1*-1,BA68&gt;=$D$1),AZ68&gt;$D$2*-1,BA68&lt;$D$2,AX68/AW68&lt;3),"Serious", AND(AY68&gt;$D$1*-1,AY68&lt;$D$1,OR(AZ68&lt;=$D$2*-1,BA68&gt;=$D$2),AX68/AW68&lt;3),"Very serious", AND(AY68&gt;$D$1*-1,AY68&lt;$D$1,AZ68&gt;$D$1*-1,BA68&lt;$D$1,AX68/AW68&gt;=3),"Very serious", AND(AY68&gt;$D$1*-1,AY68&lt;$D$1,OR(AZ68&lt;=$D$1*-1,BA68&gt;=$D$1),AZ68&gt;$D$2*-1,BA68&lt;$D$2,AX68/AW68&gt;=3),"Very serious", AND(AY68&gt;$D$1*-1,AY68&lt;$D$1,OR(AZ68&lt;=$D$2*-1,BA68&gt;=$D$2),AX68/AW68&gt;=3),"Very serious"),""))</f>
        <v/>
      </c>
      <c r="BF68" s="107" t="str">
        <f t="shared" si="11"/>
        <v/>
      </c>
      <c r="BG68" s="94" t="str">
        <f t="shared" si="46"/>
        <v/>
      </c>
      <c r="BH68" s="64" t="str">
        <f t="shared" si="12"/>
        <v>#N/A</v>
      </c>
      <c r="BI68" s="64" t="str">
        <f t="shared" si="13"/>
        <v/>
      </c>
      <c r="BJ68" s="123" t="str">
        <f t="shared" si="14"/>
        <v>#N/A</v>
      </c>
      <c r="BK68" s="64" t="str">
        <f t="shared" si="50"/>
        <v>YES</v>
      </c>
      <c r="BL68" s="64" t="str">
        <f t="shared" si="16"/>
        <v>YES</v>
      </c>
      <c r="BM68" s="64" t="str">
        <f t="shared" si="17"/>
        <v>YES</v>
      </c>
      <c r="BN68" s="124" t="str">
        <f t="shared" si="18"/>
        <v/>
      </c>
      <c r="BO68" s="91" t="str">
        <f t="shared" si="19"/>
        <v/>
      </c>
      <c r="BP68" s="91" t="str">
        <f t="shared" si="20"/>
        <v>#N/A</v>
      </c>
      <c r="BQ68" s="91" t="str">
        <f t="shared" si="21"/>
        <v/>
      </c>
      <c r="BR68" s="93" t="str">
        <f t="shared" si="22"/>
        <v/>
      </c>
      <c r="BS68" s="90" t="str">
        <f t="shared" si="23"/>
        <v/>
      </c>
      <c r="BT68" s="93" t="str">
        <f t="shared" si="24"/>
        <v>NA</v>
      </c>
      <c r="BU68" s="125" t="str">
        <f t="shared" si="25"/>
        <v>#N/A</v>
      </c>
      <c r="BV68" s="93" t="str">
        <f t="shared" si="26"/>
        <v/>
      </c>
      <c r="BW68" s="93" t="str">
        <f t="shared" si="27"/>
        <v/>
      </c>
      <c r="BX68" s="93" t="str">
        <f t="shared" si="28"/>
        <v>NA</v>
      </c>
      <c r="BY68" s="95" t="str">
        <f t="shared" si="29"/>
        <v>#N/A</v>
      </c>
      <c r="BZ68" s="93" t="str">
        <f t="shared" si="30"/>
        <v/>
      </c>
      <c r="CA68" s="93" t="str">
        <f t="shared" si="31"/>
        <v/>
      </c>
      <c r="CB68" s="93" t="str">
        <f t="shared" si="32"/>
        <v>NA</v>
      </c>
      <c r="CC68" s="96" t="str">
        <f t="shared" si="33"/>
        <v>#N/A</v>
      </c>
      <c r="CD68" s="93" t="str">
        <f t="shared" si="34"/>
        <v/>
      </c>
      <c r="CE68" s="93" t="str">
        <f t="shared" si="35"/>
        <v/>
      </c>
      <c r="CF68" s="93" t="str">
        <f t="shared" si="36"/>
        <v>NA</v>
      </c>
      <c r="CG68" s="97" t="str">
        <f t="shared" si="37"/>
        <v>#N/A</v>
      </c>
      <c r="CH68" s="98" t="str">
        <f t="shared" si="38"/>
        <v>#N/A</v>
      </c>
      <c r="CI68" s="99" t="str">
        <f t="shared" si="39"/>
        <v>#N/A</v>
      </c>
      <c r="CJ68" s="126" t="str">
        <f t="shared" si="40"/>
        <v>ERROR: check cell</v>
      </c>
      <c r="CK68" s="126"/>
      <c r="CL68" s="127" t="str">
        <f t="shared" si="41"/>
        <v>#DIV/0!</v>
      </c>
      <c r="CM68" s="128" t="str">
        <f t="shared" si="42"/>
        <v>#DIV/0!</v>
      </c>
      <c r="CN68" s="128">
        <f t="shared" si="43"/>
        <v>4</v>
      </c>
      <c r="CO68" s="129">
        <f t="shared" si="44"/>
        <v>4</v>
      </c>
      <c r="CP68" s="129" t="str">
        <f>IFS(C68=Preferences!B$13,B68,B68=Preferences!B$13,C68)</f>
        <v>#N/A</v>
      </c>
    </row>
    <row r="69" ht="13.5" customHeight="1">
      <c r="A69" s="63" t="str">
        <f t="shared" si="45"/>
        <v/>
      </c>
      <c r="B69" s="64"/>
      <c r="C69" s="64"/>
      <c r="D69" s="64"/>
      <c r="E69" s="65"/>
      <c r="F69" s="65"/>
      <c r="G69" s="65"/>
      <c r="H69" s="65"/>
      <c r="I69" s="65"/>
      <c r="J69" s="141"/>
      <c r="K69" s="138"/>
      <c r="L69" s="104"/>
      <c r="M69" s="104"/>
      <c r="N69" s="104"/>
      <c r="O69" s="104"/>
      <c r="P69" s="107" t="str">
        <f t="shared" si="1"/>
        <v/>
      </c>
      <c r="Q69" s="108" t="str">
        <f>IFERROR(IF(AND(Preferences!B$3="Manual",OR(AX69/AW69&gt;G69/F69,BD69="Serious",BD69="Very serious")),"Assess imprecision",IFS(ISBLANK(E69),"",AND(Preferences!B$3="Automatic", G69/F69&gt;=30),"Extremely serious",AND(H69&lt;=$D$1*-1,J69&lt;0,G69/F69&lt;3),"Not serious",AND(H69&lt;=$D$1*-1,J69&lt;0,G69/F69&gt;=3),"Very serious",AND(H69&gt;=$D$1,I69&gt;0,G69/F69&lt;3),"Not serious",AND(H69&gt;=$D$1,I69&gt;0,G69/F69&gt;=3),"Very serious",AND(H69&lt;=$D$1*-1,J69&gt;0,I69&gt;$D$2*-1,G69/F69&lt;3),"Serious", AND(H69&lt;=$D$1*-1,J69&gt;0,I69&lt;$D$2*-1,G69/F69&lt;3),"Very serious", AND(H69&gt;=$D$1,I69&lt;0,J69&lt;$D$2,G69/F69&lt;3),"Serious",AND(H69&gt;=$D$1,I69&lt;0,J69&gt;$D$2,G69/F69&lt;3),"Very serious", AND(H69&lt;=$D$1*-1,J69&gt;0,I69&gt;$D$2*-1,G69/F69&gt;=3),"Very serious", AND(H69&lt;=$D$1*-1,J69&gt;0,I69&lt;$D$2*-1,G69/F69&gt;=3),"Very serious", AND(H69&gt;=$D$1,I69&lt;0,J69&lt;$D$2,G69/F69&gt;=3),"Very serious", AND(H69&gt;=$D$1,I69&lt;0,J69&gt;$D$2,G69/F69&gt;=3),"Very serious", AND(H69&gt;$D$1*-1,H69&lt;$D$1,I69&gt;$D$1*-1,J69&lt;$D$1,G69/F69&lt;3),"Not serious", AND(H69&gt;$D$1*-1,H69&lt;$D$1,OR(I69&lt;=$D$1*-1,J69&gt;=$D$1),I69&gt;$D$2*-1,J69&lt;$D$2,G69/F69&lt;3),"Serious", AND(H69&gt;$D$1*-1,H69&lt;$D$1,OR(I69&lt;=$D$2*-1,J69&gt;=$D$2),G69/F69&lt;3),"Very serious", AND(H69&gt;$D$1*-1,H69&lt;$D$1,I69&gt;$D$1*-1,J69&lt;$D$1,G69/F69&gt;=3),"Very serious", AND(H69&gt;$D$1*-1,H69&lt;$D$1,OR(I69&lt;=$D$1*-1,J69&gt;=$D$1),I69&gt;$D$2*-1,J69&lt;$D$2,G69/F69&gt;=3),"Very serious", AND(H69&gt;$D$1*-1,H69&lt;$D$1,OR(I69&lt;=$D$2*-1,J69&gt;=$D$2),G69/F69&gt;=3),"Very serious")),"")</f>
        <v/>
      </c>
      <c r="R69" s="109" t="str">
        <f t="shared" si="47"/>
        <v/>
      </c>
      <c r="S69" s="64"/>
      <c r="T69" s="144"/>
      <c r="U69" s="144"/>
      <c r="V69" s="144"/>
      <c r="W69" s="142"/>
      <c r="X69" s="142"/>
      <c r="Y69" s="143"/>
      <c r="Z69" s="113" t="str">
        <f t="array" ref="Z69">INDEX($A$1:$C$500, MATCH(1,($B:$B=$B69)*($C:$C=$AB69),0),1)</f>
        <v/>
      </c>
      <c r="AA69" s="113" t="str">
        <f t="array" ref="AA69">INDEX($A$1:$C$500, MATCH(1,($B:$B=$AB69)*($C:$C=$B69),0),1)</f>
        <v/>
      </c>
      <c r="AB69" s="111"/>
      <c r="AC69" s="114" t="str">
        <f t="shared" si="2"/>
        <v/>
      </c>
      <c r="AD69" s="115" t="str">
        <f t="shared" si="3"/>
        <v/>
      </c>
      <c r="AE69" s="116" t="str">
        <f t="array" ref="AE69">INDEX($A$1:$C$500, MATCH(1,($B:$B=$AB69)*($C:$C=$AG69),0),1)</f>
        <v/>
      </c>
      <c r="AF69" s="116" t="str">
        <f t="array" ref="AF69">INDEX($A$1:$C$500, MATCH(1,($B:$B=$AG69)*($C:$C=$AB69),0),1)</f>
        <v/>
      </c>
      <c r="AG69" s="72"/>
      <c r="AH69" s="114" t="str">
        <f t="shared" si="4"/>
        <v/>
      </c>
      <c r="AI69" s="115" t="str">
        <f t="shared" si="5"/>
        <v/>
      </c>
      <c r="AJ69" s="116" t="str">
        <f t="array" ref="AJ69">INDEX($A$1:$C$500, MATCH(1,($B:$B=$C69)*($C:$C=$AG69),0),1)</f>
        <v/>
      </c>
      <c r="AK69" s="116" t="str">
        <f t="array" ref="AK69">INDEX($A$1:$C$500, MATCH(1,($B:$B=$AG69)*($C:$C=$C69),0),1)</f>
        <v/>
      </c>
      <c r="AL69" s="116" t="str">
        <f t="array" ref="AL69">INDEX($A$1:$C$500, MATCH(1,($B:$B=$C69)*($C:$C=$AB69),0),1)</f>
        <v/>
      </c>
      <c r="AM69" s="116" t="str">
        <f t="array" ref="AM69">INDEX($A$1:$C$500, MATCH(1,($B:$B=$AB69)*($C:$C=$C69),0),1)</f>
        <v/>
      </c>
      <c r="AN69" s="114" t="str">
        <f t="array" ref="AN69">IFS(ISNUMBER(AJ69),AJ69,ISNUMBER(AK69),AK69,ISNUMBER(AL69),AL69,ISNUMBER(AM69),AM69)</f>
        <v>#N/A</v>
      </c>
      <c r="AO69" s="115" t="str">
        <f t="shared" si="6"/>
        <v/>
      </c>
      <c r="AP69" s="115" t="str">
        <f t="shared" si="7"/>
        <v/>
      </c>
      <c r="AQ69" s="111"/>
      <c r="AR69" s="109" t="str">
        <f t="shared" si="8"/>
        <v/>
      </c>
      <c r="AS69" s="72" t="str">
        <f>IFERROR(IF(AND(Preferences!B$3="Manual",OR(AX69/AW69&gt;V69/U69,BD69="Serious",BD69="Very serious")),"Assess imprecision",IFERROR(IFS(AND(Preferences!B$3="Automatic",V69/U69&gt;=30),"Extremely serious",AND(W69&lt;=$D$1*-1,Y69&lt;0,V69/U69&lt;3),"Not Serious",AND(W69&lt;=$D$1*-1,Y69&lt;0,V69/U69&gt;=3),"Very serious",AND(W69&gt;=$D$1,X69&gt;0,V69/U69&lt;3),"Not Serious",AND(W69&gt;=$D$1,X69&gt;0,V69/U69&gt;=3),"Very serious",AND(W69&lt;=$D$1*-1,Y69&gt;0,X69&gt;$D$2*-1,V69/U69&lt;3),"Serious", AND(W69&lt;=$D$1*-1,Y69&gt;0,X69&lt;$D$2*-1,V69/U69&lt;3),"Very serious", AND(W69&gt;=$D$1,X69&lt;0,Y69&lt;$D$2,V69/U69&lt;3),"Serious",AND(W69&gt;=$D$1,X69&lt;0,Y69&gt;$D$2,V69/U69&lt;3),"Very serious", AND(W69&lt;=$D$1*-1,Y69&gt;0,X69&gt;$D$2*-1,V69/U69&gt;=3),"Very serious", AND(W69&lt;=$D$1*-1,Y69&gt;0,X69&lt;$D$2*-1,V69/U69&gt;=3),"Very serious", AND(W69&gt;=$D$1,X69&lt;0,Y69&lt;$D$2,V69/U69&gt;=3),"Very serious", AND(W69&gt;=$D$1,X69&lt;0,Y69&gt;$D$2,V69/U69&gt;=3),"Very serious", AND(W69&gt;$D$1*-1,W69&lt;$D$1,X69&gt;$D$1*-1,Y69&lt;$D$1,V69/U69&lt;3),"Not Serious", AND(W69&gt;$D$1*-1,W69&lt;$D$1,OR(X69&lt;=$D$1*-1,Y69&gt;=$D$1),X69&gt;$D$2*-1,Y69&lt;$D$2,V69/U69&lt;3),"Serious", AND(W69&gt;$D$1*-1,W69&lt;$D$1,OR(X69&lt;=$D$2*-1,Y69&gt;=$D$2),V69/U69&lt;3),"Very serious", AND(W69&gt;$D$1*-1,W69&lt;$D$1,X69&gt;$D$1*-1,Y69&lt;$D$1,V69/U69&gt;=3),"Very serious", AND(W69&gt;$D$1*-1,W69&lt;$D$1,OR(X69&lt;=$D$1*-1,Y69&gt;=$D$1),X69&gt;$D$2*-1,Y69&lt;$D$2,V69/U69&gt;=3),"Very serious", AND(W69&gt;$D$1*-1,W69&lt;$D$1,OR(X69&lt;=$D$2*-1,Y69&gt;=$D$2),V69/U69&gt;=3),"Very serious"),"")),"")</f>
        <v/>
      </c>
      <c r="AT69" s="109" t="str">
        <f t="shared" si="9"/>
        <v/>
      </c>
      <c r="AU69" s="64"/>
      <c r="AV69" s="117"/>
      <c r="AW69" s="117"/>
      <c r="AX69" s="117"/>
      <c r="AY69" s="118"/>
      <c r="AZ69" s="118"/>
      <c r="BA69" s="119"/>
      <c r="BB69" s="86" t="str">
        <f>IF(Preferences!B$9="Manual","",IFS(ISBLANK(B69),"",AND(ISNUMBER(E69)=TRUE,ISNUMBER(T69)=FALSE),"Direct", AND(ISNUMBER(E69)=FALSE,ISNUMBER(T69)=TRUE),"Indirect", CN69=4,"Direct",AND(CL69=FALSE, CM69=TRUE,CN69-CO69&gt;-1),"Direct", AND(CL69=FALSE,CM69=TRUE, CN69-CO69&lt;0),"Check algorithm in appendix 2", AND(CL69=TRUE, CM69=FALSE,CN69-CO69&gt;0),"Check algorithm in appendix 2", AND(CL69=TRUE, CM69=FALSE,CN69-CO69=0),"Indirect", AND(CL69=TRUE, CM69=FALSE,CN69-CO69&lt;0),"Indirect", AND(CL69=FALSE,CM69=FALSE,CN69-CO69&gt;-1),"Direct", AND(CL69=FALSE,CM69=FALSE,CN69-CO69&lt;0),"Check algorithm in appendix 2", AND(CL69=TRUE,CM69=TRUE,CN69-CO69&gt;-1),"Direct", AND(CL69=TRUE,CM69=TRUE,CN69-CO69&lt;0),"Check algorithm in appendix 2"))</f>
        <v/>
      </c>
      <c r="BC69" s="120" t="str">
        <f t="shared" si="10"/>
        <v/>
      </c>
      <c r="BD69" s="140"/>
      <c r="BE69" s="122" t="str">
        <f>IF(Preferences!B$3="Manual","", IFERROR(IFS(AND(Preferences!B$3="Automatic",AX69/AW69&gt;=30),"Extremely serious",AND(AY69&lt;=$D$1*-1,BA69&lt;0,AX69/AW69&lt;3),"Not Serious",AND(AY69&lt;=$D$1*-1,BA69&lt;0,AX69/AW69&gt;=3),"Very serious",AND(AY69&gt;=$D$1,AZ69&gt;0,AX69/AW69&lt;3),"Not Serious",AND(AY69&gt;=$D$1,AZ69&gt;0,AX69/AW69&gt;=3),"Very serious",AND(AY69&lt;=$D$1*-1,BA69&gt;0,AZ69&gt;$D$2*-1,AX69/AW69&lt;3),"Serious", AND(AY69&lt;=$D$1*-1,BA69&gt;0,AZ69&lt;$D$2*-1,AX69/AW69&lt;3),"Very serious", AND(AY69&gt;=$D$1,AZ69&lt;0,BA69&lt;$D$2,AX69/AW69&lt;3),"Serious",AND(AY69&gt;=$D$1,AZ69&lt;0,BA69&gt;$D$2,AX69/AW69&lt;3),"Very serious", AND(AY69&lt;=$D$1*-1,BA69&gt;0,AZ69&gt;$D$2*-1,AX69/AW69&gt;=3),"Very serious", AND(AY69&lt;=$D$1*-1,BA69&gt;0,AZ69&lt;$D$2*-1,AX69/AW69&gt;=3),"Very serious", AND(AY69&gt;=$D$1,AZ69&lt;0,BA69&lt;$D$2,AX69/AW69&gt;=3),"Very serious", AND(AY69&gt;=$D$1,AZ69&lt;0,BA69&gt;$D$2,AX69/AW69&gt;=3),"Very serious", AND(AY69&gt;$D$1*-1,AY69&lt;$D$1,AZ69&gt;$D$1*-1,BA69&lt;$D$1,AX69/AW69&lt;3),"Not Serious", AND(AY69&gt;$D$1*-1,AY69&lt;$D$1,OR(AZ69&lt;=$D$1*-1,BA69&gt;=$D$1),AZ69&gt;$D$2*-1,BA69&lt;$D$2,AX69/AW69&lt;3),"Serious", AND(AY69&gt;$D$1*-1,AY69&lt;$D$1,OR(AZ69&lt;=$D$2*-1,BA69&gt;=$D$2),AX69/AW69&lt;3),"Very serious", AND(AY69&gt;$D$1*-1,AY69&lt;$D$1,AZ69&gt;$D$1*-1,BA69&lt;$D$1,AX69/AW69&gt;=3),"Very serious", AND(AY69&gt;$D$1*-1,AY69&lt;$D$1,OR(AZ69&lt;=$D$1*-1,BA69&gt;=$D$1),AZ69&gt;$D$2*-1,BA69&lt;$D$2,AX69/AW69&gt;=3),"Very serious", AND(AY69&gt;$D$1*-1,AY69&lt;$D$1,OR(AZ69&lt;=$D$2*-1,BA69&gt;=$D$2),AX69/AW69&gt;=3),"Very serious"),""))</f>
        <v/>
      </c>
      <c r="BF69" s="107" t="str">
        <f t="shared" si="11"/>
        <v/>
      </c>
      <c r="BG69" s="94" t="str">
        <f t="shared" si="46"/>
        <v/>
      </c>
      <c r="BH69" s="64" t="str">
        <f t="shared" si="12"/>
        <v>#N/A</v>
      </c>
      <c r="BI69" s="64" t="str">
        <f t="shared" si="13"/>
        <v/>
      </c>
      <c r="BJ69" s="123" t="str">
        <f t="shared" si="14"/>
        <v>#N/A</v>
      </c>
      <c r="BK69" s="64" t="str">
        <f t="shared" si="50"/>
        <v>YES</v>
      </c>
      <c r="BL69" s="64" t="str">
        <f t="shared" si="16"/>
        <v>YES</v>
      </c>
      <c r="BM69" s="64" t="str">
        <f t="shared" si="17"/>
        <v>YES</v>
      </c>
      <c r="BN69" s="124" t="str">
        <f t="shared" si="18"/>
        <v/>
      </c>
      <c r="BO69" s="91" t="str">
        <f t="shared" si="19"/>
        <v/>
      </c>
      <c r="BP69" s="91" t="str">
        <f t="shared" si="20"/>
        <v>#N/A</v>
      </c>
      <c r="BQ69" s="91" t="str">
        <f t="shared" si="21"/>
        <v/>
      </c>
      <c r="BR69" s="93" t="str">
        <f t="shared" si="22"/>
        <v/>
      </c>
      <c r="BS69" s="90" t="str">
        <f t="shared" si="23"/>
        <v/>
      </c>
      <c r="BT69" s="93" t="str">
        <f t="shared" si="24"/>
        <v>NA</v>
      </c>
      <c r="BU69" s="125" t="str">
        <f t="shared" si="25"/>
        <v>#N/A</v>
      </c>
      <c r="BV69" s="93" t="str">
        <f t="shared" si="26"/>
        <v/>
      </c>
      <c r="BW69" s="93" t="str">
        <f t="shared" si="27"/>
        <v/>
      </c>
      <c r="BX69" s="93" t="str">
        <f t="shared" si="28"/>
        <v>NA</v>
      </c>
      <c r="BY69" s="95" t="str">
        <f t="shared" si="29"/>
        <v>#N/A</v>
      </c>
      <c r="BZ69" s="93" t="str">
        <f t="shared" si="30"/>
        <v/>
      </c>
      <c r="CA69" s="93" t="str">
        <f t="shared" si="31"/>
        <v/>
      </c>
      <c r="CB69" s="93" t="str">
        <f t="shared" si="32"/>
        <v>NA</v>
      </c>
      <c r="CC69" s="96" t="str">
        <f t="shared" si="33"/>
        <v>#N/A</v>
      </c>
      <c r="CD69" s="93" t="str">
        <f t="shared" si="34"/>
        <v/>
      </c>
      <c r="CE69" s="93" t="str">
        <f t="shared" si="35"/>
        <v/>
      </c>
      <c r="CF69" s="93" t="str">
        <f t="shared" si="36"/>
        <v>NA</v>
      </c>
      <c r="CG69" s="97" t="str">
        <f t="shared" si="37"/>
        <v>#N/A</v>
      </c>
      <c r="CH69" s="98" t="str">
        <f t="shared" si="38"/>
        <v>#N/A</v>
      </c>
      <c r="CI69" s="99" t="str">
        <f t="shared" si="39"/>
        <v>#N/A</v>
      </c>
      <c r="CJ69" s="126" t="str">
        <f t="shared" si="40"/>
        <v>ERROR: check cell</v>
      </c>
      <c r="CK69" s="126"/>
      <c r="CL69" s="127" t="str">
        <f t="shared" si="41"/>
        <v>#DIV/0!</v>
      </c>
      <c r="CM69" s="128" t="str">
        <f t="shared" si="42"/>
        <v>#DIV/0!</v>
      </c>
      <c r="CN69" s="128">
        <f t="shared" si="43"/>
        <v>4</v>
      </c>
      <c r="CO69" s="129">
        <f t="shared" si="44"/>
        <v>4</v>
      </c>
      <c r="CP69" s="129" t="str">
        <f>IFS(C69=Preferences!B$13,B69,B69=Preferences!B$13,C69)</f>
        <v>#N/A</v>
      </c>
    </row>
    <row r="70" ht="13.5" customHeight="1">
      <c r="A70" s="63" t="str">
        <f t="shared" si="45"/>
        <v/>
      </c>
      <c r="B70" s="64"/>
      <c r="C70" s="64"/>
      <c r="D70" s="64"/>
      <c r="E70" s="65"/>
      <c r="F70" s="65"/>
      <c r="G70" s="65"/>
      <c r="H70" s="65"/>
      <c r="I70" s="65"/>
      <c r="J70" s="141"/>
      <c r="K70" s="138"/>
      <c r="L70" s="104"/>
      <c r="M70" s="104"/>
      <c r="N70" s="104"/>
      <c r="O70" s="104"/>
      <c r="P70" s="107" t="str">
        <f t="shared" si="1"/>
        <v/>
      </c>
      <c r="Q70" s="108" t="str">
        <f>IFERROR(IF(AND(Preferences!B$3="Manual",OR(AX70/AW70&gt;G70/F70,BD70="Serious",BD70="Very serious")),"Assess imprecision",IFS(ISBLANK(E70),"",AND(Preferences!B$3="Automatic", G70/F70&gt;=30),"Extremely serious",AND(H70&lt;=$D$1*-1,J70&lt;0,G70/F70&lt;3),"Not serious",AND(H70&lt;=$D$1*-1,J70&lt;0,G70/F70&gt;=3),"Very serious",AND(H70&gt;=$D$1,I70&gt;0,G70/F70&lt;3),"Not serious",AND(H70&gt;=$D$1,I70&gt;0,G70/F70&gt;=3),"Very serious",AND(H70&lt;=$D$1*-1,J70&gt;0,I70&gt;$D$2*-1,G70/F70&lt;3),"Serious", AND(H70&lt;=$D$1*-1,J70&gt;0,I70&lt;$D$2*-1,G70/F70&lt;3),"Very serious", AND(H70&gt;=$D$1,I70&lt;0,J70&lt;$D$2,G70/F70&lt;3),"Serious",AND(H70&gt;=$D$1,I70&lt;0,J70&gt;$D$2,G70/F70&lt;3),"Very serious", AND(H70&lt;=$D$1*-1,J70&gt;0,I70&gt;$D$2*-1,G70/F70&gt;=3),"Very serious", AND(H70&lt;=$D$1*-1,J70&gt;0,I70&lt;$D$2*-1,G70/F70&gt;=3),"Very serious", AND(H70&gt;=$D$1,I70&lt;0,J70&lt;$D$2,G70/F70&gt;=3),"Very serious", AND(H70&gt;=$D$1,I70&lt;0,J70&gt;$D$2,G70/F70&gt;=3),"Very serious", AND(H70&gt;$D$1*-1,H70&lt;$D$1,I70&gt;$D$1*-1,J70&lt;$D$1,G70/F70&lt;3),"Not serious", AND(H70&gt;$D$1*-1,H70&lt;$D$1,OR(I70&lt;=$D$1*-1,J70&gt;=$D$1),I70&gt;$D$2*-1,J70&lt;$D$2,G70/F70&lt;3),"Serious", AND(H70&gt;$D$1*-1,H70&lt;$D$1,OR(I70&lt;=$D$2*-1,J70&gt;=$D$2),G70/F70&lt;3),"Very serious", AND(H70&gt;$D$1*-1,H70&lt;$D$1,I70&gt;$D$1*-1,J70&lt;$D$1,G70/F70&gt;=3),"Very serious", AND(H70&gt;$D$1*-1,H70&lt;$D$1,OR(I70&lt;=$D$1*-1,J70&gt;=$D$1),I70&gt;$D$2*-1,J70&lt;$D$2,G70/F70&gt;=3),"Very serious", AND(H70&gt;$D$1*-1,H70&lt;$D$1,OR(I70&lt;=$D$2*-1,J70&gt;=$D$2),G70/F70&gt;=3),"Very serious")),"")</f>
        <v/>
      </c>
      <c r="R70" s="109" t="str">
        <f t="shared" si="47"/>
        <v/>
      </c>
      <c r="S70" s="64"/>
      <c r="T70" s="144"/>
      <c r="U70" s="144"/>
      <c r="V70" s="144"/>
      <c r="W70" s="142"/>
      <c r="X70" s="142"/>
      <c r="Y70" s="143"/>
      <c r="Z70" s="113" t="str">
        <f t="array" ref="Z70">INDEX($A$1:$C$500, MATCH(1,($B:$B=$B70)*($C:$C=$AB70),0),1)</f>
        <v/>
      </c>
      <c r="AA70" s="113" t="str">
        <f t="array" ref="AA70">INDEX($A$1:$C$500, MATCH(1,($B:$B=$AB70)*($C:$C=$B70),0),1)</f>
        <v/>
      </c>
      <c r="AB70" s="111"/>
      <c r="AC70" s="114" t="str">
        <f t="shared" si="2"/>
        <v/>
      </c>
      <c r="AD70" s="115" t="str">
        <f t="shared" si="3"/>
        <v/>
      </c>
      <c r="AE70" s="116" t="str">
        <f t="array" ref="AE70">INDEX($A$1:$C$500, MATCH(1,($B:$B=$AB70)*($C:$C=$AG70),0),1)</f>
        <v/>
      </c>
      <c r="AF70" s="116" t="str">
        <f t="array" ref="AF70">INDEX($A$1:$C$500, MATCH(1,($B:$B=$AG70)*($C:$C=$AB70),0),1)</f>
        <v/>
      </c>
      <c r="AG70" s="72"/>
      <c r="AH70" s="114" t="str">
        <f t="shared" si="4"/>
        <v/>
      </c>
      <c r="AI70" s="115" t="str">
        <f t="shared" si="5"/>
        <v/>
      </c>
      <c r="AJ70" s="116" t="str">
        <f t="array" ref="AJ70">INDEX($A$1:$C$500, MATCH(1,($B:$B=$C70)*($C:$C=$AG70),0),1)</f>
        <v/>
      </c>
      <c r="AK70" s="116" t="str">
        <f t="array" ref="AK70">INDEX($A$1:$C$500, MATCH(1,($B:$B=$AG70)*($C:$C=$C70),0),1)</f>
        <v/>
      </c>
      <c r="AL70" s="116" t="str">
        <f t="array" ref="AL70">INDEX($A$1:$C$500, MATCH(1,($B:$B=$C70)*($C:$C=$AB70),0),1)</f>
        <v/>
      </c>
      <c r="AM70" s="116" t="str">
        <f t="array" ref="AM70">INDEX($A$1:$C$500, MATCH(1,($B:$B=$AB70)*($C:$C=$C70),0),1)</f>
        <v/>
      </c>
      <c r="AN70" s="114" t="str">
        <f t="array" ref="AN70">IFS(ISNUMBER(AJ70),AJ70,ISNUMBER(AK70),AK70,ISNUMBER(AL70),AL70,ISNUMBER(AM70),AM70)</f>
        <v>#N/A</v>
      </c>
      <c r="AO70" s="115" t="str">
        <f t="shared" si="6"/>
        <v/>
      </c>
      <c r="AP70" s="115" t="str">
        <f t="shared" si="7"/>
        <v/>
      </c>
      <c r="AQ70" s="111"/>
      <c r="AR70" s="109" t="str">
        <f t="shared" si="8"/>
        <v/>
      </c>
      <c r="AS70" s="72" t="str">
        <f>IFERROR(IF(AND(Preferences!B$3="Manual",OR(AX70/AW70&gt;V70/U70,BD70="Serious",BD70="Very serious")),"Assess imprecision",IFERROR(IFS(AND(Preferences!B$3="Automatic",V70/U70&gt;=30),"Extremely serious",AND(W70&lt;=$D$1*-1,Y70&lt;0,V70/U70&lt;3),"Not Serious",AND(W70&lt;=$D$1*-1,Y70&lt;0,V70/U70&gt;=3),"Very serious",AND(W70&gt;=$D$1,X70&gt;0,V70/U70&lt;3),"Not Serious",AND(W70&gt;=$D$1,X70&gt;0,V70/U70&gt;=3),"Very serious",AND(W70&lt;=$D$1*-1,Y70&gt;0,X70&gt;$D$2*-1,V70/U70&lt;3),"Serious", AND(W70&lt;=$D$1*-1,Y70&gt;0,X70&lt;$D$2*-1,V70/U70&lt;3),"Very serious", AND(W70&gt;=$D$1,X70&lt;0,Y70&lt;$D$2,V70/U70&lt;3),"Serious",AND(W70&gt;=$D$1,X70&lt;0,Y70&gt;$D$2,V70/U70&lt;3),"Very serious", AND(W70&lt;=$D$1*-1,Y70&gt;0,X70&gt;$D$2*-1,V70/U70&gt;=3),"Very serious", AND(W70&lt;=$D$1*-1,Y70&gt;0,X70&lt;$D$2*-1,V70/U70&gt;=3),"Very serious", AND(W70&gt;=$D$1,X70&lt;0,Y70&lt;$D$2,V70/U70&gt;=3),"Very serious", AND(W70&gt;=$D$1,X70&lt;0,Y70&gt;$D$2,V70/U70&gt;=3),"Very serious", AND(W70&gt;$D$1*-1,W70&lt;$D$1,X70&gt;$D$1*-1,Y70&lt;$D$1,V70/U70&lt;3),"Not Serious", AND(W70&gt;$D$1*-1,W70&lt;$D$1,OR(X70&lt;=$D$1*-1,Y70&gt;=$D$1),X70&gt;$D$2*-1,Y70&lt;$D$2,V70/U70&lt;3),"Serious", AND(W70&gt;$D$1*-1,W70&lt;$D$1,OR(X70&lt;=$D$2*-1,Y70&gt;=$D$2),V70/U70&lt;3),"Very serious", AND(W70&gt;$D$1*-1,W70&lt;$D$1,X70&gt;$D$1*-1,Y70&lt;$D$1,V70/U70&gt;=3),"Very serious", AND(W70&gt;$D$1*-1,W70&lt;$D$1,OR(X70&lt;=$D$1*-1,Y70&gt;=$D$1),X70&gt;$D$2*-1,Y70&lt;$D$2,V70/U70&gt;=3),"Very serious", AND(W70&gt;$D$1*-1,W70&lt;$D$1,OR(X70&lt;=$D$2*-1,Y70&gt;=$D$2),V70/U70&gt;=3),"Very serious"),"")),"")</f>
        <v/>
      </c>
      <c r="AT70" s="109" t="str">
        <f t="shared" si="9"/>
        <v/>
      </c>
      <c r="AU70" s="64"/>
      <c r="AV70" s="117"/>
      <c r="AW70" s="117"/>
      <c r="AX70" s="117"/>
      <c r="AY70" s="118"/>
      <c r="AZ70" s="118"/>
      <c r="BA70" s="119"/>
      <c r="BB70" s="86" t="str">
        <f>IF(Preferences!B$9="Manual","",IFS(ISBLANK(B70),"",AND(ISNUMBER(E70)=TRUE,ISNUMBER(T70)=FALSE),"Direct", AND(ISNUMBER(E70)=FALSE,ISNUMBER(T70)=TRUE),"Indirect", CN70=4,"Direct",AND(CL70=FALSE, CM70=TRUE,CN70-CO70&gt;-1),"Direct", AND(CL70=FALSE,CM70=TRUE, CN70-CO70&lt;0),"Check algorithm in appendix 2", AND(CL70=TRUE, CM70=FALSE,CN70-CO70&gt;0),"Check algorithm in appendix 2", AND(CL70=TRUE, CM70=FALSE,CN70-CO70=0),"Indirect", AND(CL70=TRUE, CM70=FALSE,CN70-CO70&lt;0),"Indirect", AND(CL70=FALSE,CM70=FALSE,CN70-CO70&gt;-1),"Direct", AND(CL70=FALSE,CM70=FALSE,CN70-CO70&lt;0),"Check algorithm in appendix 2", AND(CL70=TRUE,CM70=TRUE,CN70-CO70&gt;-1),"Direct", AND(CL70=TRUE,CM70=TRUE,CN70-CO70&lt;0),"Check algorithm in appendix 2"))</f>
        <v/>
      </c>
      <c r="BC70" s="120" t="str">
        <f t="shared" si="10"/>
        <v/>
      </c>
      <c r="BD70" s="140"/>
      <c r="BE70" s="122" t="str">
        <f>IF(Preferences!B$3="Manual","", IFERROR(IFS(AND(Preferences!B$3="Automatic",AX70/AW70&gt;=30),"Extremely serious",AND(AY70&lt;=$D$1*-1,BA70&lt;0,AX70/AW70&lt;3),"Not Serious",AND(AY70&lt;=$D$1*-1,BA70&lt;0,AX70/AW70&gt;=3),"Very serious",AND(AY70&gt;=$D$1,AZ70&gt;0,AX70/AW70&lt;3),"Not Serious",AND(AY70&gt;=$D$1,AZ70&gt;0,AX70/AW70&gt;=3),"Very serious",AND(AY70&lt;=$D$1*-1,BA70&gt;0,AZ70&gt;$D$2*-1,AX70/AW70&lt;3),"Serious", AND(AY70&lt;=$D$1*-1,BA70&gt;0,AZ70&lt;$D$2*-1,AX70/AW70&lt;3),"Very serious", AND(AY70&gt;=$D$1,AZ70&lt;0,BA70&lt;$D$2,AX70/AW70&lt;3),"Serious",AND(AY70&gt;=$D$1,AZ70&lt;0,BA70&gt;$D$2,AX70/AW70&lt;3),"Very serious", AND(AY70&lt;=$D$1*-1,BA70&gt;0,AZ70&gt;$D$2*-1,AX70/AW70&gt;=3),"Very serious", AND(AY70&lt;=$D$1*-1,BA70&gt;0,AZ70&lt;$D$2*-1,AX70/AW70&gt;=3),"Very serious", AND(AY70&gt;=$D$1,AZ70&lt;0,BA70&lt;$D$2,AX70/AW70&gt;=3),"Very serious", AND(AY70&gt;=$D$1,AZ70&lt;0,BA70&gt;$D$2,AX70/AW70&gt;=3),"Very serious", AND(AY70&gt;$D$1*-1,AY70&lt;$D$1,AZ70&gt;$D$1*-1,BA70&lt;$D$1,AX70/AW70&lt;3),"Not Serious", AND(AY70&gt;$D$1*-1,AY70&lt;$D$1,OR(AZ70&lt;=$D$1*-1,BA70&gt;=$D$1),AZ70&gt;$D$2*-1,BA70&lt;$D$2,AX70/AW70&lt;3),"Serious", AND(AY70&gt;$D$1*-1,AY70&lt;$D$1,OR(AZ70&lt;=$D$2*-1,BA70&gt;=$D$2),AX70/AW70&lt;3),"Very serious", AND(AY70&gt;$D$1*-1,AY70&lt;$D$1,AZ70&gt;$D$1*-1,BA70&lt;$D$1,AX70/AW70&gt;=3),"Very serious", AND(AY70&gt;$D$1*-1,AY70&lt;$D$1,OR(AZ70&lt;=$D$1*-1,BA70&gt;=$D$1),AZ70&gt;$D$2*-1,BA70&lt;$D$2,AX70/AW70&gt;=3),"Very serious", AND(AY70&gt;$D$1*-1,AY70&lt;$D$1,OR(AZ70&lt;=$D$2*-1,BA70&gt;=$D$2),AX70/AW70&gt;=3),"Very serious"),""))</f>
        <v/>
      </c>
      <c r="BF70" s="107" t="str">
        <f t="shared" si="11"/>
        <v/>
      </c>
      <c r="BG70" s="94" t="str">
        <f t="shared" si="46"/>
        <v/>
      </c>
      <c r="BH70" s="64" t="str">
        <f t="shared" si="12"/>
        <v>#N/A</v>
      </c>
      <c r="BI70" s="64" t="str">
        <f t="shared" si="13"/>
        <v/>
      </c>
      <c r="BJ70" s="123" t="str">
        <f t="shared" si="14"/>
        <v>#N/A</v>
      </c>
      <c r="BK70" s="64" t="str">
        <f t="shared" si="50"/>
        <v>YES</v>
      </c>
      <c r="BL70" s="64" t="str">
        <f t="shared" si="16"/>
        <v>YES</v>
      </c>
      <c r="BM70" s="64" t="str">
        <f t="shared" si="17"/>
        <v>YES</v>
      </c>
      <c r="BN70" s="124" t="str">
        <f t="shared" si="18"/>
        <v/>
      </c>
      <c r="BO70" s="91" t="str">
        <f t="shared" si="19"/>
        <v/>
      </c>
      <c r="BP70" s="91" t="str">
        <f t="shared" si="20"/>
        <v>#N/A</v>
      </c>
      <c r="BQ70" s="91" t="str">
        <f t="shared" si="21"/>
        <v/>
      </c>
      <c r="BR70" s="93" t="str">
        <f t="shared" si="22"/>
        <v/>
      </c>
      <c r="BS70" s="90" t="str">
        <f t="shared" si="23"/>
        <v/>
      </c>
      <c r="BT70" s="93" t="str">
        <f t="shared" si="24"/>
        <v>NA</v>
      </c>
      <c r="BU70" s="125" t="str">
        <f t="shared" si="25"/>
        <v>#N/A</v>
      </c>
      <c r="BV70" s="93" t="str">
        <f t="shared" si="26"/>
        <v/>
      </c>
      <c r="BW70" s="93" t="str">
        <f t="shared" si="27"/>
        <v/>
      </c>
      <c r="BX70" s="93" t="str">
        <f t="shared" si="28"/>
        <v>NA</v>
      </c>
      <c r="BY70" s="95" t="str">
        <f t="shared" si="29"/>
        <v>#N/A</v>
      </c>
      <c r="BZ70" s="93" t="str">
        <f t="shared" si="30"/>
        <v/>
      </c>
      <c r="CA70" s="93" t="str">
        <f t="shared" si="31"/>
        <v/>
      </c>
      <c r="CB70" s="93" t="str">
        <f t="shared" si="32"/>
        <v>NA</v>
      </c>
      <c r="CC70" s="96" t="str">
        <f t="shared" si="33"/>
        <v>#N/A</v>
      </c>
      <c r="CD70" s="93" t="str">
        <f t="shared" si="34"/>
        <v/>
      </c>
      <c r="CE70" s="93" t="str">
        <f t="shared" si="35"/>
        <v/>
      </c>
      <c r="CF70" s="93" t="str">
        <f t="shared" si="36"/>
        <v>NA</v>
      </c>
      <c r="CG70" s="97" t="str">
        <f t="shared" si="37"/>
        <v>#N/A</v>
      </c>
      <c r="CH70" s="98" t="str">
        <f t="shared" si="38"/>
        <v>#N/A</v>
      </c>
      <c r="CI70" s="99" t="str">
        <f t="shared" si="39"/>
        <v>#N/A</v>
      </c>
      <c r="CJ70" s="126" t="str">
        <f t="shared" si="40"/>
        <v>ERROR: check cell</v>
      </c>
      <c r="CK70" s="126"/>
      <c r="CL70" s="127" t="str">
        <f t="shared" si="41"/>
        <v>#DIV/0!</v>
      </c>
      <c r="CM70" s="128" t="str">
        <f t="shared" si="42"/>
        <v>#DIV/0!</v>
      </c>
      <c r="CN70" s="128">
        <f t="shared" si="43"/>
        <v>4</v>
      </c>
      <c r="CO70" s="129">
        <f t="shared" si="44"/>
        <v>4</v>
      </c>
      <c r="CP70" s="129" t="str">
        <f>IFS(C70=Preferences!B$13,B70,B70=Preferences!B$13,C70)</f>
        <v>#N/A</v>
      </c>
    </row>
    <row r="71" ht="13.5" customHeight="1">
      <c r="A71" s="63" t="str">
        <f t="shared" si="45"/>
        <v/>
      </c>
      <c r="B71" s="64"/>
      <c r="C71" s="64"/>
      <c r="D71" s="64"/>
      <c r="E71" s="65"/>
      <c r="F71" s="65"/>
      <c r="G71" s="65"/>
      <c r="H71" s="65"/>
      <c r="I71" s="65"/>
      <c r="J71" s="141"/>
      <c r="K71" s="138"/>
      <c r="L71" s="104"/>
      <c r="M71" s="104"/>
      <c r="N71" s="104"/>
      <c r="O71" s="104"/>
      <c r="P71" s="107" t="str">
        <f t="shared" si="1"/>
        <v/>
      </c>
      <c r="Q71" s="108" t="str">
        <f>IFERROR(IF(AND(Preferences!B$3="Manual",OR(AX71/AW71&gt;G71/F71,BD71="Serious",BD71="Very serious")),"Assess imprecision",IFS(ISBLANK(E71),"",AND(Preferences!B$3="Automatic", G71/F71&gt;=30),"Extremely serious",AND(H71&lt;=$D$1*-1,J71&lt;0,G71/F71&lt;3),"Not serious",AND(H71&lt;=$D$1*-1,J71&lt;0,G71/F71&gt;=3),"Very serious",AND(H71&gt;=$D$1,I71&gt;0,G71/F71&lt;3),"Not serious",AND(H71&gt;=$D$1,I71&gt;0,G71/F71&gt;=3),"Very serious",AND(H71&lt;=$D$1*-1,J71&gt;0,I71&gt;$D$2*-1,G71/F71&lt;3),"Serious", AND(H71&lt;=$D$1*-1,J71&gt;0,I71&lt;$D$2*-1,G71/F71&lt;3),"Very serious", AND(H71&gt;=$D$1,I71&lt;0,J71&lt;$D$2,G71/F71&lt;3),"Serious",AND(H71&gt;=$D$1,I71&lt;0,J71&gt;$D$2,G71/F71&lt;3),"Very serious", AND(H71&lt;=$D$1*-1,J71&gt;0,I71&gt;$D$2*-1,G71/F71&gt;=3),"Very serious", AND(H71&lt;=$D$1*-1,J71&gt;0,I71&lt;$D$2*-1,G71/F71&gt;=3),"Very serious", AND(H71&gt;=$D$1,I71&lt;0,J71&lt;$D$2,G71/F71&gt;=3),"Very serious", AND(H71&gt;=$D$1,I71&lt;0,J71&gt;$D$2,G71/F71&gt;=3),"Very serious", AND(H71&gt;$D$1*-1,H71&lt;$D$1,I71&gt;$D$1*-1,J71&lt;$D$1,G71/F71&lt;3),"Not serious", AND(H71&gt;$D$1*-1,H71&lt;$D$1,OR(I71&lt;=$D$1*-1,J71&gt;=$D$1),I71&gt;$D$2*-1,J71&lt;$D$2,G71/F71&lt;3),"Serious", AND(H71&gt;$D$1*-1,H71&lt;$D$1,OR(I71&lt;=$D$2*-1,J71&gt;=$D$2),G71/F71&lt;3),"Very serious", AND(H71&gt;$D$1*-1,H71&lt;$D$1,I71&gt;$D$1*-1,J71&lt;$D$1,G71/F71&gt;=3),"Very serious", AND(H71&gt;$D$1*-1,H71&lt;$D$1,OR(I71&lt;=$D$1*-1,J71&gt;=$D$1),I71&gt;$D$2*-1,J71&lt;$D$2,G71/F71&gt;=3),"Very serious", AND(H71&gt;$D$1*-1,H71&lt;$D$1,OR(I71&lt;=$D$2*-1,J71&gt;=$D$2),G71/F71&gt;=3),"Very serious")),"")</f>
        <v/>
      </c>
      <c r="R71" s="109" t="str">
        <f t="shared" si="47"/>
        <v/>
      </c>
      <c r="S71" s="64"/>
      <c r="T71" s="144"/>
      <c r="U71" s="144"/>
      <c r="V71" s="144"/>
      <c r="W71" s="142"/>
      <c r="X71" s="142"/>
      <c r="Y71" s="143"/>
      <c r="Z71" s="113" t="str">
        <f t="array" ref="Z71">INDEX($A$1:$C$500, MATCH(1,($B:$B=$B71)*($C:$C=$AB71),0),1)</f>
        <v/>
      </c>
      <c r="AA71" s="113" t="str">
        <f t="array" ref="AA71">INDEX($A$1:$C$500, MATCH(1,($B:$B=$AB71)*($C:$C=$B71),0),1)</f>
        <v/>
      </c>
      <c r="AB71" s="111"/>
      <c r="AC71" s="114" t="str">
        <f t="shared" si="2"/>
        <v/>
      </c>
      <c r="AD71" s="115" t="str">
        <f t="shared" si="3"/>
        <v/>
      </c>
      <c r="AE71" s="116" t="str">
        <f t="array" ref="AE71">INDEX($A$1:$C$500, MATCH(1,($B:$B=$AB71)*($C:$C=$AG71),0),1)</f>
        <v/>
      </c>
      <c r="AF71" s="116" t="str">
        <f t="array" ref="AF71">INDEX($A$1:$C$500, MATCH(1,($B:$B=$AG71)*($C:$C=$AB71),0),1)</f>
        <v/>
      </c>
      <c r="AG71" s="72"/>
      <c r="AH71" s="114" t="str">
        <f t="shared" si="4"/>
        <v/>
      </c>
      <c r="AI71" s="115" t="str">
        <f t="shared" si="5"/>
        <v/>
      </c>
      <c r="AJ71" s="116" t="str">
        <f t="array" ref="AJ71">INDEX($A$1:$C$500, MATCH(1,($B:$B=$C71)*($C:$C=$AG71),0),1)</f>
        <v/>
      </c>
      <c r="AK71" s="116" t="str">
        <f t="array" ref="AK71">INDEX($A$1:$C$500, MATCH(1,($B:$B=$AG71)*($C:$C=$C71),0),1)</f>
        <v/>
      </c>
      <c r="AL71" s="116" t="str">
        <f t="array" ref="AL71">INDEX($A$1:$C$500, MATCH(1,($B:$B=$C71)*($C:$C=$AB71),0),1)</f>
        <v/>
      </c>
      <c r="AM71" s="116" t="str">
        <f t="array" ref="AM71">INDEX($A$1:$C$500, MATCH(1,($B:$B=$AB71)*($C:$C=$C71),0),1)</f>
        <v/>
      </c>
      <c r="AN71" s="114" t="str">
        <f t="array" ref="AN71">IFS(ISNUMBER(AJ71),AJ71,ISNUMBER(AK71),AK71,ISNUMBER(AL71),AL71,ISNUMBER(AM71),AM71)</f>
        <v>#N/A</v>
      </c>
      <c r="AO71" s="115" t="str">
        <f t="shared" si="6"/>
        <v/>
      </c>
      <c r="AP71" s="115" t="str">
        <f t="shared" si="7"/>
        <v/>
      </c>
      <c r="AQ71" s="111"/>
      <c r="AR71" s="109" t="str">
        <f t="shared" si="8"/>
        <v/>
      </c>
      <c r="AS71" s="72" t="str">
        <f>IFERROR(IF(AND(Preferences!B$3="Manual",OR(AX71/AW71&gt;V71/U71,BD71="Serious",BD71="Very serious")),"Assess imprecision",IFERROR(IFS(AND(Preferences!B$3="Automatic",V71/U71&gt;=30),"Extremely serious",AND(W71&lt;=$D$1*-1,Y71&lt;0,V71/U71&lt;3),"Not Serious",AND(W71&lt;=$D$1*-1,Y71&lt;0,V71/U71&gt;=3),"Very serious",AND(W71&gt;=$D$1,X71&gt;0,V71/U71&lt;3),"Not Serious",AND(W71&gt;=$D$1,X71&gt;0,V71/U71&gt;=3),"Very serious",AND(W71&lt;=$D$1*-1,Y71&gt;0,X71&gt;$D$2*-1,V71/U71&lt;3),"Serious", AND(W71&lt;=$D$1*-1,Y71&gt;0,X71&lt;$D$2*-1,V71/U71&lt;3),"Very serious", AND(W71&gt;=$D$1,X71&lt;0,Y71&lt;$D$2,V71/U71&lt;3),"Serious",AND(W71&gt;=$D$1,X71&lt;0,Y71&gt;$D$2,V71/U71&lt;3),"Very serious", AND(W71&lt;=$D$1*-1,Y71&gt;0,X71&gt;$D$2*-1,V71/U71&gt;=3),"Very serious", AND(W71&lt;=$D$1*-1,Y71&gt;0,X71&lt;$D$2*-1,V71/U71&gt;=3),"Very serious", AND(W71&gt;=$D$1,X71&lt;0,Y71&lt;$D$2,V71/U71&gt;=3),"Very serious", AND(W71&gt;=$D$1,X71&lt;0,Y71&gt;$D$2,V71/U71&gt;=3),"Very serious", AND(W71&gt;$D$1*-1,W71&lt;$D$1,X71&gt;$D$1*-1,Y71&lt;$D$1,V71/U71&lt;3),"Not Serious", AND(W71&gt;$D$1*-1,W71&lt;$D$1,OR(X71&lt;=$D$1*-1,Y71&gt;=$D$1),X71&gt;$D$2*-1,Y71&lt;$D$2,V71/U71&lt;3),"Serious", AND(W71&gt;$D$1*-1,W71&lt;$D$1,OR(X71&lt;=$D$2*-1,Y71&gt;=$D$2),V71/U71&lt;3),"Very serious", AND(W71&gt;$D$1*-1,W71&lt;$D$1,X71&gt;$D$1*-1,Y71&lt;$D$1,V71/U71&gt;=3),"Very serious", AND(W71&gt;$D$1*-1,W71&lt;$D$1,OR(X71&lt;=$D$1*-1,Y71&gt;=$D$1),X71&gt;$D$2*-1,Y71&lt;$D$2,V71/U71&gt;=3),"Very serious", AND(W71&gt;$D$1*-1,W71&lt;$D$1,OR(X71&lt;=$D$2*-1,Y71&gt;=$D$2),V71/U71&gt;=3),"Very serious"),"")),"")</f>
        <v/>
      </c>
      <c r="AT71" s="109" t="str">
        <f t="shared" si="9"/>
        <v/>
      </c>
      <c r="AU71" s="64"/>
      <c r="AV71" s="117"/>
      <c r="AW71" s="117"/>
      <c r="AX71" s="117"/>
      <c r="AY71" s="118"/>
      <c r="AZ71" s="118"/>
      <c r="BA71" s="119"/>
      <c r="BB71" s="86" t="str">
        <f>IF(Preferences!B$9="Manual","",IFS(ISBLANK(B71),"",AND(ISNUMBER(E71)=TRUE,ISNUMBER(T71)=FALSE),"Direct", AND(ISNUMBER(E71)=FALSE,ISNUMBER(T71)=TRUE),"Indirect", CN71=4,"Direct",AND(CL71=FALSE, CM71=TRUE,CN71-CO71&gt;-1),"Direct", AND(CL71=FALSE,CM71=TRUE, CN71-CO71&lt;0),"Check algorithm in appendix 2", AND(CL71=TRUE, CM71=FALSE,CN71-CO71&gt;0),"Check algorithm in appendix 2", AND(CL71=TRUE, CM71=FALSE,CN71-CO71=0),"Indirect", AND(CL71=TRUE, CM71=FALSE,CN71-CO71&lt;0),"Indirect", AND(CL71=FALSE,CM71=FALSE,CN71-CO71&gt;-1),"Direct", AND(CL71=FALSE,CM71=FALSE,CN71-CO71&lt;0),"Check algorithm in appendix 2", AND(CL71=TRUE,CM71=TRUE,CN71-CO71&gt;-1),"Direct", AND(CL71=TRUE,CM71=TRUE,CN71-CO71&lt;0),"Check algorithm in appendix 2"))</f>
        <v/>
      </c>
      <c r="BC71" s="120" t="str">
        <f t="shared" si="10"/>
        <v/>
      </c>
      <c r="BD71" s="140"/>
      <c r="BE71" s="122" t="str">
        <f>IF(Preferences!B$3="Manual","", IFERROR(IFS(AND(Preferences!B$3="Automatic",AX71/AW71&gt;=30),"Extremely serious",AND(AY71&lt;=$D$1*-1,BA71&lt;0,AX71/AW71&lt;3),"Not Serious",AND(AY71&lt;=$D$1*-1,BA71&lt;0,AX71/AW71&gt;=3),"Very serious",AND(AY71&gt;=$D$1,AZ71&gt;0,AX71/AW71&lt;3),"Not Serious",AND(AY71&gt;=$D$1,AZ71&gt;0,AX71/AW71&gt;=3),"Very serious",AND(AY71&lt;=$D$1*-1,BA71&gt;0,AZ71&gt;$D$2*-1,AX71/AW71&lt;3),"Serious", AND(AY71&lt;=$D$1*-1,BA71&gt;0,AZ71&lt;$D$2*-1,AX71/AW71&lt;3),"Very serious", AND(AY71&gt;=$D$1,AZ71&lt;0,BA71&lt;$D$2,AX71/AW71&lt;3),"Serious",AND(AY71&gt;=$D$1,AZ71&lt;0,BA71&gt;$D$2,AX71/AW71&lt;3),"Very serious", AND(AY71&lt;=$D$1*-1,BA71&gt;0,AZ71&gt;$D$2*-1,AX71/AW71&gt;=3),"Very serious", AND(AY71&lt;=$D$1*-1,BA71&gt;0,AZ71&lt;$D$2*-1,AX71/AW71&gt;=3),"Very serious", AND(AY71&gt;=$D$1,AZ71&lt;0,BA71&lt;$D$2,AX71/AW71&gt;=3),"Very serious", AND(AY71&gt;=$D$1,AZ71&lt;0,BA71&gt;$D$2,AX71/AW71&gt;=3),"Very serious", AND(AY71&gt;$D$1*-1,AY71&lt;$D$1,AZ71&gt;$D$1*-1,BA71&lt;$D$1,AX71/AW71&lt;3),"Not Serious", AND(AY71&gt;$D$1*-1,AY71&lt;$D$1,OR(AZ71&lt;=$D$1*-1,BA71&gt;=$D$1),AZ71&gt;$D$2*-1,BA71&lt;$D$2,AX71/AW71&lt;3),"Serious", AND(AY71&gt;$D$1*-1,AY71&lt;$D$1,OR(AZ71&lt;=$D$2*-1,BA71&gt;=$D$2),AX71/AW71&lt;3),"Very serious", AND(AY71&gt;$D$1*-1,AY71&lt;$D$1,AZ71&gt;$D$1*-1,BA71&lt;$D$1,AX71/AW71&gt;=3),"Very serious", AND(AY71&gt;$D$1*-1,AY71&lt;$D$1,OR(AZ71&lt;=$D$1*-1,BA71&gt;=$D$1),AZ71&gt;$D$2*-1,BA71&lt;$D$2,AX71/AW71&gt;=3),"Very serious", AND(AY71&gt;$D$1*-1,AY71&lt;$D$1,OR(AZ71&lt;=$D$2*-1,BA71&gt;=$D$2),AX71/AW71&gt;=3),"Very serious"),""))</f>
        <v/>
      </c>
      <c r="BF71" s="107" t="str">
        <f t="shared" si="11"/>
        <v/>
      </c>
      <c r="BG71" s="94" t="str">
        <f t="shared" si="46"/>
        <v/>
      </c>
      <c r="BH71" s="64" t="str">
        <f t="shared" si="12"/>
        <v>#N/A</v>
      </c>
      <c r="BI71" s="64" t="str">
        <f t="shared" si="13"/>
        <v/>
      </c>
      <c r="BJ71" s="123" t="str">
        <f t="shared" si="14"/>
        <v>#N/A</v>
      </c>
      <c r="BK71" s="64" t="str">
        <f t="shared" si="50"/>
        <v>YES</v>
      </c>
      <c r="BL71" s="64" t="str">
        <f t="shared" si="16"/>
        <v>YES</v>
      </c>
      <c r="BM71" s="64" t="str">
        <f t="shared" si="17"/>
        <v>YES</v>
      </c>
      <c r="BN71" s="124" t="str">
        <f t="shared" si="18"/>
        <v/>
      </c>
      <c r="BO71" s="91" t="str">
        <f t="shared" si="19"/>
        <v/>
      </c>
      <c r="BP71" s="91" t="str">
        <f t="shared" si="20"/>
        <v>#N/A</v>
      </c>
      <c r="BQ71" s="91" t="str">
        <f t="shared" si="21"/>
        <v/>
      </c>
      <c r="BR71" s="93" t="str">
        <f t="shared" si="22"/>
        <v/>
      </c>
      <c r="BS71" s="90" t="str">
        <f t="shared" si="23"/>
        <v/>
      </c>
      <c r="BT71" s="93" t="str">
        <f t="shared" si="24"/>
        <v>NA</v>
      </c>
      <c r="BU71" s="125" t="str">
        <f t="shared" si="25"/>
        <v>#N/A</v>
      </c>
      <c r="BV71" s="93" t="str">
        <f t="shared" si="26"/>
        <v/>
      </c>
      <c r="BW71" s="93" t="str">
        <f t="shared" si="27"/>
        <v/>
      </c>
      <c r="BX71" s="93" t="str">
        <f t="shared" si="28"/>
        <v>NA</v>
      </c>
      <c r="BY71" s="95" t="str">
        <f t="shared" si="29"/>
        <v>#N/A</v>
      </c>
      <c r="BZ71" s="93" t="str">
        <f t="shared" si="30"/>
        <v/>
      </c>
      <c r="CA71" s="93" t="str">
        <f t="shared" si="31"/>
        <v/>
      </c>
      <c r="CB71" s="93" t="str">
        <f t="shared" si="32"/>
        <v>NA</v>
      </c>
      <c r="CC71" s="96" t="str">
        <f t="shared" si="33"/>
        <v>#N/A</v>
      </c>
      <c r="CD71" s="93" t="str">
        <f t="shared" si="34"/>
        <v/>
      </c>
      <c r="CE71" s="93" t="str">
        <f t="shared" si="35"/>
        <v/>
      </c>
      <c r="CF71" s="93" t="str">
        <f t="shared" si="36"/>
        <v>NA</v>
      </c>
      <c r="CG71" s="97" t="str">
        <f t="shared" si="37"/>
        <v>#N/A</v>
      </c>
      <c r="CH71" s="98" t="str">
        <f t="shared" si="38"/>
        <v>#N/A</v>
      </c>
      <c r="CI71" s="99" t="str">
        <f t="shared" si="39"/>
        <v>#N/A</v>
      </c>
      <c r="CJ71" s="126" t="str">
        <f t="shared" si="40"/>
        <v>ERROR: check cell</v>
      </c>
      <c r="CK71" s="126"/>
      <c r="CL71" s="127" t="str">
        <f t="shared" si="41"/>
        <v>#DIV/0!</v>
      </c>
      <c r="CM71" s="128" t="str">
        <f t="shared" si="42"/>
        <v>#DIV/0!</v>
      </c>
      <c r="CN71" s="128">
        <f t="shared" si="43"/>
        <v>4</v>
      </c>
      <c r="CO71" s="129">
        <f t="shared" si="44"/>
        <v>4</v>
      </c>
      <c r="CP71" s="129" t="str">
        <f>IFS(C71=Preferences!B$13,B71,B71=Preferences!B$13,C71)</f>
        <v>#N/A</v>
      </c>
    </row>
    <row r="72" ht="13.5" customHeight="1">
      <c r="A72" s="63" t="str">
        <f t="shared" si="45"/>
        <v/>
      </c>
      <c r="B72" s="64"/>
      <c r="C72" s="64"/>
      <c r="D72" s="64"/>
      <c r="E72" s="65"/>
      <c r="F72" s="65"/>
      <c r="G72" s="65"/>
      <c r="H72" s="65"/>
      <c r="I72" s="65"/>
      <c r="J72" s="141"/>
      <c r="K72" s="138"/>
      <c r="L72" s="104"/>
      <c r="M72" s="104"/>
      <c r="N72" s="104"/>
      <c r="O72" s="104"/>
      <c r="P72" s="107" t="str">
        <f t="shared" si="1"/>
        <v/>
      </c>
      <c r="Q72" s="108" t="str">
        <f>IFERROR(IF(AND(Preferences!B$3="Manual",OR(AX72/AW72&gt;G72/F72,BD72="Serious",BD72="Very serious")),"Assess imprecision",IFS(ISBLANK(E72),"",AND(Preferences!B$3="Automatic", G72/F72&gt;=30),"Extremely serious",AND(H72&lt;=$D$1*-1,J72&lt;0,G72/F72&lt;3),"Not serious",AND(H72&lt;=$D$1*-1,J72&lt;0,G72/F72&gt;=3),"Very serious",AND(H72&gt;=$D$1,I72&gt;0,G72/F72&lt;3),"Not serious",AND(H72&gt;=$D$1,I72&gt;0,G72/F72&gt;=3),"Very serious",AND(H72&lt;=$D$1*-1,J72&gt;0,I72&gt;$D$2*-1,G72/F72&lt;3),"Serious", AND(H72&lt;=$D$1*-1,J72&gt;0,I72&lt;$D$2*-1,G72/F72&lt;3),"Very serious", AND(H72&gt;=$D$1,I72&lt;0,J72&lt;$D$2,G72/F72&lt;3),"Serious",AND(H72&gt;=$D$1,I72&lt;0,J72&gt;$D$2,G72/F72&lt;3),"Very serious", AND(H72&lt;=$D$1*-1,J72&gt;0,I72&gt;$D$2*-1,G72/F72&gt;=3),"Very serious", AND(H72&lt;=$D$1*-1,J72&gt;0,I72&lt;$D$2*-1,G72/F72&gt;=3),"Very serious", AND(H72&gt;=$D$1,I72&lt;0,J72&lt;$D$2,G72/F72&gt;=3),"Very serious", AND(H72&gt;=$D$1,I72&lt;0,J72&gt;$D$2,G72/F72&gt;=3),"Very serious", AND(H72&gt;$D$1*-1,H72&lt;$D$1,I72&gt;$D$1*-1,J72&lt;$D$1,G72/F72&lt;3),"Not serious", AND(H72&gt;$D$1*-1,H72&lt;$D$1,OR(I72&lt;=$D$1*-1,J72&gt;=$D$1),I72&gt;$D$2*-1,J72&lt;$D$2,G72/F72&lt;3),"Serious", AND(H72&gt;$D$1*-1,H72&lt;$D$1,OR(I72&lt;=$D$2*-1,J72&gt;=$D$2),G72/F72&lt;3),"Very serious", AND(H72&gt;$D$1*-1,H72&lt;$D$1,I72&gt;$D$1*-1,J72&lt;$D$1,G72/F72&gt;=3),"Very serious", AND(H72&gt;$D$1*-1,H72&lt;$D$1,OR(I72&lt;=$D$1*-1,J72&gt;=$D$1),I72&gt;$D$2*-1,J72&lt;$D$2,G72/F72&gt;=3),"Very serious", AND(H72&gt;$D$1*-1,H72&lt;$D$1,OR(I72&lt;=$D$2*-1,J72&gt;=$D$2),G72/F72&gt;=3),"Very serious")),"")</f>
        <v/>
      </c>
      <c r="R72" s="109" t="str">
        <f t="shared" si="47"/>
        <v/>
      </c>
      <c r="S72" s="64"/>
      <c r="T72" s="144"/>
      <c r="U72" s="144"/>
      <c r="V72" s="144"/>
      <c r="W72" s="142"/>
      <c r="X72" s="142"/>
      <c r="Y72" s="143"/>
      <c r="Z72" s="113" t="str">
        <f t="array" ref="Z72">INDEX($A$1:$C$500, MATCH(1,($B:$B=$B72)*($C:$C=$AB72),0),1)</f>
        <v/>
      </c>
      <c r="AA72" s="113" t="str">
        <f t="array" ref="AA72">INDEX($A$1:$C$500, MATCH(1,($B:$B=$AB72)*($C:$C=$B72),0),1)</f>
        <v/>
      </c>
      <c r="AB72" s="111"/>
      <c r="AC72" s="114" t="str">
        <f t="shared" si="2"/>
        <v/>
      </c>
      <c r="AD72" s="115" t="str">
        <f t="shared" si="3"/>
        <v/>
      </c>
      <c r="AE72" s="116" t="str">
        <f t="array" ref="AE72">INDEX($A$1:$C$500, MATCH(1,($B:$B=$AB72)*($C:$C=$AG72),0),1)</f>
        <v/>
      </c>
      <c r="AF72" s="116" t="str">
        <f t="array" ref="AF72">INDEX($A$1:$C$500, MATCH(1,($B:$B=$AG72)*($C:$C=$AB72),0),1)</f>
        <v/>
      </c>
      <c r="AG72" s="72"/>
      <c r="AH72" s="114" t="str">
        <f t="shared" si="4"/>
        <v/>
      </c>
      <c r="AI72" s="115" t="str">
        <f t="shared" si="5"/>
        <v/>
      </c>
      <c r="AJ72" s="116" t="str">
        <f t="array" ref="AJ72">INDEX($A$1:$C$500, MATCH(1,($B:$B=$C72)*($C:$C=$AG72),0),1)</f>
        <v/>
      </c>
      <c r="AK72" s="116" t="str">
        <f t="array" ref="AK72">INDEX($A$1:$C$500, MATCH(1,($B:$B=$AG72)*($C:$C=$C72),0),1)</f>
        <v/>
      </c>
      <c r="AL72" s="116" t="str">
        <f t="array" ref="AL72">INDEX($A$1:$C$500, MATCH(1,($B:$B=$C72)*($C:$C=$AB72),0),1)</f>
        <v/>
      </c>
      <c r="AM72" s="116" t="str">
        <f t="array" ref="AM72">INDEX($A$1:$C$500, MATCH(1,($B:$B=$AB72)*($C:$C=$C72),0),1)</f>
        <v/>
      </c>
      <c r="AN72" s="114" t="str">
        <f t="array" ref="AN72">IFS(ISNUMBER(AJ72),AJ72,ISNUMBER(AK72),AK72,ISNUMBER(AL72),AL72,ISNUMBER(AM72),AM72)</f>
        <v>#N/A</v>
      </c>
      <c r="AO72" s="115" t="str">
        <f t="shared" si="6"/>
        <v/>
      </c>
      <c r="AP72" s="115" t="str">
        <f t="shared" si="7"/>
        <v/>
      </c>
      <c r="AQ72" s="111"/>
      <c r="AR72" s="109" t="str">
        <f t="shared" si="8"/>
        <v/>
      </c>
      <c r="AS72" s="72" t="str">
        <f>IFERROR(IF(AND(Preferences!B$3="Manual",OR(AX72/AW72&gt;V72/U72,BD72="Serious",BD72="Very serious")),"Assess imprecision",IFERROR(IFS(AND(Preferences!B$3="Automatic",V72/U72&gt;=30),"Extremely serious",AND(W72&lt;=$D$1*-1,Y72&lt;0,V72/U72&lt;3),"Not Serious",AND(W72&lt;=$D$1*-1,Y72&lt;0,V72/U72&gt;=3),"Very serious",AND(W72&gt;=$D$1,X72&gt;0,V72/U72&lt;3),"Not Serious",AND(W72&gt;=$D$1,X72&gt;0,V72/U72&gt;=3),"Very serious",AND(W72&lt;=$D$1*-1,Y72&gt;0,X72&gt;$D$2*-1,V72/U72&lt;3),"Serious", AND(W72&lt;=$D$1*-1,Y72&gt;0,X72&lt;$D$2*-1,V72/U72&lt;3),"Very serious", AND(W72&gt;=$D$1,X72&lt;0,Y72&lt;$D$2,V72/U72&lt;3),"Serious",AND(W72&gt;=$D$1,X72&lt;0,Y72&gt;$D$2,V72/U72&lt;3),"Very serious", AND(W72&lt;=$D$1*-1,Y72&gt;0,X72&gt;$D$2*-1,V72/U72&gt;=3),"Very serious", AND(W72&lt;=$D$1*-1,Y72&gt;0,X72&lt;$D$2*-1,V72/U72&gt;=3),"Very serious", AND(W72&gt;=$D$1,X72&lt;0,Y72&lt;$D$2,V72/U72&gt;=3),"Very serious", AND(W72&gt;=$D$1,X72&lt;0,Y72&gt;$D$2,V72/U72&gt;=3),"Very serious", AND(W72&gt;$D$1*-1,W72&lt;$D$1,X72&gt;$D$1*-1,Y72&lt;$D$1,V72/U72&lt;3),"Not Serious", AND(W72&gt;$D$1*-1,W72&lt;$D$1,OR(X72&lt;=$D$1*-1,Y72&gt;=$D$1),X72&gt;$D$2*-1,Y72&lt;$D$2,V72/U72&lt;3),"Serious", AND(W72&gt;$D$1*-1,W72&lt;$D$1,OR(X72&lt;=$D$2*-1,Y72&gt;=$D$2),V72/U72&lt;3),"Very serious", AND(W72&gt;$D$1*-1,W72&lt;$D$1,X72&gt;$D$1*-1,Y72&lt;$D$1,V72/U72&gt;=3),"Very serious", AND(W72&gt;$D$1*-1,W72&lt;$D$1,OR(X72&lt;=$D$1*-1,Y72&gt;=$D$1),X72&gt;$D$2*-1,Y72&lt;$D$2,V72/U72&gt;=3),"Very serious", AND(W72&gt;$D$1*-1,W72&lt;$D$1,OR(X72&lt;=$D$2*-1,Y72&gt;=$D$2),V72/U72&gt;=3),"Very serious"),"")),"")</f>
        <v/>
      </c>
      <c r="AT72" s="109" t="str">
        <f t="shared" si="9"/>
        <v/>
      </c>
      <c r="AU72" s="64"/>
      <c r="AV72" s="117"/>
      <c r="AW72" s="117"/>
      <c r="AX72" s="117"/>
      <c r="AY72" s="118"/>
      <c r="AZ72" s="118"/>
      <c r="BA72" s="119"/>
      <c r="BB72" s="86" t="str">
        <f>IF(Preferences!B$9="Manual","",IFS(ISBLANK(B72),"",AND(ISNUMBER(E72)=TRUE,ISNUMBER(T72)=FALSE),"Direct", AND(ISNUMBER(E72)=FALSE,ISNUMBER(T72)=TRUE),"Indirect", CN72=4,"Direct",AND(CL72=FALSE, CM72=TRUE,CN72-CO72&gt;-1),"Direct", AND(CL72=FALSE,CM72=TRUE, CN72-CO72&lt;0),"Check algorithm in appendix 2", AND(CL72=TRUE, CM72=FALSE,CN72-CO72&gt;0),"Check algorithm in appendix 2", AND(CL72=TRUE, CM72=FALSE,CN72-CO72=0),"Indirect", AND(CL72=TRUE, CM72=FALSE,CN72-CO72&lt;0),"Indirect", AND(CL72=FALSE,CM72=FALSE,CN72-CO72&gt;-1),"Direct", AND(CL72=FALSE,CM72=FALSE,CN72-CO72&lt;0),"Check algorithm in appendix 2", AND(CL72=TRUE,CM72=TRUE,CN72-CO72&gt;-1),"Direct", AND(CL72=TRUE,CM72=TRUE,CN72-CO72&lt;0),"Check algorithm in appendix 2"))</f>
        <v/>
      </c>
      <c r="BC72" s="120" t="str">
        <f t="shared" si="10"/>
        <v/>
      </c>
      <c r="BD72" s="140"/>
      <c r="BE72" s="122" t="str">
        <f>IF(Preferences!B$3="Manual","", IFERROR(IFS(AND(Preferences!B$3="Automatic",AX72/AW72&gt;=30),"Extremely serious",AND(AY72&lt;=$D$1*-1,BA72&lt;0,AX72/AW72&lt;3),"Not Serious",AND(AY72&lt;=$D$1*-1,BA72&lt;0,AX72/AW72&gt;=3),"Very serious",AND(AY72&gt;=$D$1,AZ72&gt;0,AX72/AW72&lt;3),"Not Serious",AND(AY72&gt;=$D$1,AZ72&gt;0,AX72/AW72&gt;=3),"Very serious",AND(AY72&lt;=$D$1*-1,BA72&gt;0,AZ72&gt;$D$2*-1,AX72/AW72&lt;3),"Serious", AND(AY72&lt;=$D$1*-1,BA72&gt;0,AZ72&lt;$D$2*-1,AX72/AW72&lt;3),"Very serious", AND(AY72&gt;=$D$1,AZ72&lt;0,BA72&lt;$D$2,AX72/AW72&lt;3),"Serious",AND(AY72&gt;=$D$1,AZ72&lt;0,BA72&gt;$D$2,AX72/AW72&lt;3),"Very serious", AND(AY72&lt;=$D$1*-1,BA72&gt;0,AZ72&gt;$D$2*-1,AX72/AW72&gt;=3),"Very serious", AND(AY72&lt;=$D$1*-1,BA72&gt;0,AZ72&lt;$D$2*-1,AX72/AW72&gt;=3),"Very serious", AND(AY72&gt;=$D$1,AZ72&lt;0,BA72&lt;$D$2,AX72/AW72&gt;=3),"Very serious", AND(AY72&gt;=$D$1,AZ72&lt;0,BA72&gt;$D$2,AX72/AW72&gt;=3),"Very serious", AND(AY72&gt;$D$1*-1,AY72&lt;$D$1,AZ72&gt;$D$1*-1,BA72&lt;$D$1,AX72/AW72&lt;3),"Not Serious", AND(AY72&gt;$D$1*-1,AY72&lt;$D$1,OR(AZ72&lt;=$D$1*-1,BA72&gt;=$D$1),AZ72&gt;$D$2*-1,BA72&lt;$D$2,AX72/AW72&lt;3),"Serious", AND(AY72&gt;$D$1*-1,AY72&lt;$D$1,OR(AZ72&lt;=$D$2*-1,BA72&gt;=$D$2),AX72/AW72&lt;3),"Very serious", AND(AY72&gt;$D$1*-1,AY72&lt;$D$1,AZ72&gt;$D$1*-1,BA72&lt;$D$1,AX72/AW72&gt;=3),"Very serious", AND(AY72&gt;$D$1*-1,AY72&lt;$D$1,OR(AZ72&lt;=$D$1*-1,BA72&gt;=$D$1),AZ72&gt;$D$2*-1,BA72&lt;$D$2,AX72/AW72&gt;=3),"Very serious", AND(AY72&gt;$D$1*-1,AY72&lt;$D$1,OR(AZ72&lt;=$D$2*-1,BA72&gt;=$D$2),AX72/AW72&gt;=3),"Very serious"),""))</f>
        <v/>
      </c>
      <c r="BF72" s="107" t="str">
        <f t="shared" si="11"/>
        <v/>
      </c>
      <c r="BG72" s="94" t="str">
        <f t="shared" si="46"/>
        <v/>
      </c>
      <c r="BH72" s="64" t="str">
        <f t="shared" si="12"/>
        <v>#N/A</v>
      </c>
      <c r="BI72" s="64" t="str">
        <f t="shared" si="13"/>
        <v/>
      </c>
      <c r="BJ72" s="123" t="str">
        <f t="shared" si="14"/>
        <v>#N/A</v>
      </c>
      <c r="BK72" s="64" t="str">
        <f t="shared" si="50"/>
        <v>YES</v>
      </c>
      <c r="BL72" s="64" t="str">
        <f t="shared" si="16"/>
        <v>YES</v>
      </c>
      <c r="BM72" s="64" t="str">
        <f t="shared" si="17"/>
        <v>YES</v>
      </c>
      <c r="BN72" s="124" t="str">
        <f t="shared" si="18"/>
        <v/>
      </c>
      <c r="BO72" s="91" t="str">
        <f t="shared" si="19"/>
        <v/>
      </c>
      <c r="BP72" s="91" t="str">
        <f t="shared" si="20"/>
        <v>#N/A</v>
      </c>
      <c r="BQ72" s="91" t="str">
        <f t="shared" si="21"/>
        <v/>
      </c>
      <c r="BR72" s="93" t="str">
        <f t="shared" si="22"/>
        <v/>
      </c>
      <c r="BS72" s="90" t="str">
        <f t="shared" si="23"/>
        <v/>
      </c>
      <c r="BT72" s="93" t="str">
        <f t="shared" si="24"/>
        <v>NA</v>
      </c>
      <c r="BU72" s="125" t="str">
        <f t="shared" si="25"/>
        <v>#N/A</v>
      </c>
      <c r="BV72" s="93" t="str">
        <f t="shared" si="26"/>
        <v/>
      </c>
      <c r="BW72" s="93" t="str">
        <f t="shared" si="27"/>
        <v/>
      </c>
      <c r="BX72" s="93" t="str">
        <f t="shared" si="28"/>
        <v>NA</v>
      </c>
      <c r="BY72" s="95" t="str">
        <f t="shared" si="29"/>
        <v>#N/A</v>
      </c>
      <c r="BZ72" s="93" t="str">
        <f t="shared" si="30"/>
        <v/>
      </c>
      <c r="CA72" s="93" t="str">
        <f t="shared" si="31"/>
        <v/>
      </c>
      <c r="CB72" s="93" t="str">
        <f t="shared" si="32"/>
        <v>NA</v>
      </c>
      <c r="CC72" s="96" t="str">
        <f t="shared" si="33"/>
        <v>#N/A</v>
      </c>
      <c r="CD72" s="93" t="str">
        <f t="shared" si="34"/>
        <v/>
      </c>
      <c r="CE72" s="93" t="str">
        <f t="shared" si="35"/>
        <v/>
      </c>
      <c r="CF72" s="93" t="str">
        <f t="shared" si="36"/>
        <v>NA</v>
      </c>
      <c r="CG72" s="97" t="str">
        <f t="shared" si="37"/>
        <v>#N/A</v>
      </c>
      <c r="CH72" s="98" t="str">
        <f t="shared" si="38"/>
        <v>#N/A</v>
      </c>
      <c r="CI72" s="99" t="str">
        <f t="shared" si="39"/>
        <v>#N/A</v>
      </c>
      <c r="CJ72" s="126" t="str">
        <f t="shared" si="40"/>
        <v>ERROR: check cell</v>
      </c>
      <c r="CK72" s="126"/>
      <c r="CL72" s="127" t="str">
        <f t="shared" si="41"/>
        <v>#DIV/0!</v>
      </c>
      <c r="CM72" s="128" t="str">
        <f t="shared" si="42"/>
        <v>#DIV/0!</v>
      </c>
      <c r="CN72" s="128">
        <f t="shared" si="43"/>
        <v>4</v>
      </c>
      <c r="CO72" s="129">
        <f t="shared" si="44"/>
        <v>4</v>
      </c>
      <c r="CP72" s="129" t="str">
        <f>IFS(C72=Preferences!B$13,B72,B72=Preferences!B$13,C72)</f>
        <v>#N/A</v>
      </c>
    </row>
    <row r="73" ht="13.5" customHeight="1">
      <c r="A73" s="63" t="str">
        <f t="shared" si="45"/>
        <v/>
      </c>
      <c r="B73" s="64"/>
      <c r="C73" s="64"/>
      <c r="D73" s="64"/>
      <c r="E73" s="65"/>
      <c r="F73" s="65"/>
      <c r="G73" s="65"/>
      <c r="H73" s="65"/>
      <c r="I73" s="65"/>
      <c r="J73" s="141"/>
      <c r="K73" s="138"/>
      <c r="L73" s="104"/>
      <c r="M73" s="104"/>
      <c r="N73" s="104"/>
      <c r="O73" s="104"/>
      <c r="P73" s="107" t="str">
        <f t="shared" si="1"/>
        <v/>
      </c>
      <c r="Q73" s="108" t="str">
        <f>IFERROR(IF(AND(Preferences!B$3="Manual",OR(AX73/AW73&gt;G73/F73,BD73="Serious",BD73="Very serious")),"Assess imprecision",IFS(ISBLANK(E73),"",AND(Preferences!B$3="Automatic", G73/F73&gt;=30),"Extremely serious",AND(H73&lt;=$D$1*-1,J73&lt;0,G73/F73&lt;3),"Not serious",AND(H73&lt;=$D$1*-1,J73&lt;0,G73/F73&gt;=3),"Very serious",AND(H73&gt;=$D$1,I73&gt;0,G73/F73&lt;3),"Not serious",AND(H73&gt;=$D$1,I73&gt;0,G73/F73&gt;=3),"Very serious",AND(H73&lt;=$D$1*-1,J73&gt;0,I73&gt;$D$2*-1,G73/F73&lt;3),"Serious", AND(H73&lt;=$D$1*-1,J73&gt;0,I73&lt;$D$2*-1,G73/F73&lt;3),"Very serious", AND(H73&gt;=$D$1,I73&lt;0,J73&lt;$D$2,G73/F73&lt;3),"Serious",AND(H73&gt;=$D$1,I73&lt;0,J73&gt;$D$2,G73/F73&lt;3),"Very serious", AND(H73&lt;=$D$1*-1,J73&gt;0,I73&gt;$D$2*-1,G73/F73&gt;=3),"Very serious", AND(H73&lt;=$D$1*-1,J73&gt;0,I73&lt;$D$2*-1,G73/F73&gt;=3),"Very serious", AND(H73&gt;=$D$1,I73&lt;0,J73&lt;$D$2,G73/F73&gt;=3),"Very serious", AND(H73&gt;=$D$1,I73&lt;0,J73&gt;$D$2,G73/F73&gt;=3),"Very serious", AND(H73&gt;$D$1*-1,H73&lt;$D$1,I73&gt;$D$1*-1,J73&lt;$D$1,G73/F73&lt;3),"Not serious", AND(H73&gt;$D$1*-1,H73&lt;$D$1,OR(I73&lt;=$D$1*-1,J73&gt;=$D$1),I73&gt;$D$2*-1,J73&lt;$D$2,G73/F73&lt;3),"Serious", AND(H73&gt;$D$1*-1,H73&lt;$D$1,OR(I73&lt;=$D$2*-1,J73&gt;=$D$2),G73/F73&lt;3),"Very serious", AND(H73&gt;$D$1*-1,H73&lt;$D$1,I73&gt;$D$1*-1,J73&lt;$D$1,G73/F73&gt;=3),"Very serious", AND(H73&gt;$D$1*-1,H73&lt;$D$1,OR(I73&lt;=$D$1*-1,J73&gt;=$D$1),I73&gt;$D$2*-1,J73&lt;$D$2,G73/F73&gt;=3),"Very serious", AND(H73&gt;$D$1*-1,H73&lt;$D$1,OR(I73&lt;=$D$2*-1,J73&gt;=$D$2),G73/F73&gt;=3),"Very serious")),"")</f>
        <v/>
      </c>
      <c r="R73" s="109" t="str">
        <f t="shared" si="47"/>
        <v/>
      </c>
      <c r="S73" s="64"/>
      <c r="T73" s="144"/>
      <c r="U73" s="144"/>
      <c r="V73" s="144"/>
      <c r="W73" s="142"/>
      <c r="X73" s="142"/>
      <c r="Y73" s="143"/>
      <c r="Z73" s="113" t="str">
        <f t="array" ref="Z73">INDEX($A$1:$C$500, MATCH(1,($B:$B=$B73)*($C:$C=$AB73),0),1)</f>
        <v/>
      </c>
      <c r="AA73" s="113" t="str">
        <f t="array" ref="AA73">INDEX($A$1:$C$500, MATCH(1,($B:$B=$AB73)*($C:$C=$B73),0),1)</f>
        <v/>
      </c>
      <c r="AB73" s="111"/>
      <c r="AC73" s="114" t="str">
        <f t="shared" si="2"/>
        <v/>
      </c>
      <c r="AD73" s="115" t="str">
        <f t="shared" si="3"/>
        <v/>
      </c>
      <c r="AE73" s="116" t="str">
        <f t="array" ref="AE73">INDEX($A$1:$C$500, MATCH(1,($B:$B=$AB73)*($C:$C=$AG73),0),1)</f>
        <v/>
      </c>
      <c r="AF73" s="116" t="str">
        <f t="array" ref="AF73">INDEX($A$1:$C$500, MATCH(1,($B:$B=$AG73)*($C:$C=$AB73),0),1)</f>
        <v/>
      </c>
      <c r="AG73" s="72"/>
      <c r="AH73" s="114" t="str">
        <f t="shared" si="4"/>
        <v/>
      </c>
      <c r="AI73" s="115" t="str">
        <f t="shared" si="5"/>
        <v/>
      </c>
      <c r="AJ73" s="116" t="str">
        <f t="array" ref="AJ73">INDEX($A$1:$C$500, MATCH(1,($B:$B=$C73)*($C:$C=$AG73),0),1)</f>
        <v/>
      </c>
      <c r="AK73" s="116" t="str">
        <f t="array" ref="AK73">INDEX($A$1:$C$500, MATCH(1,($B:$B=$AG73)*($C:$C=$C73),0),1)</f>
        <v/>
      </c>
      <c r="AL73" s="116" t="str">
        <f t="array" ref="AL73">INDEX($A$1:$C$500, MATCH(1,($B:$B=$C73)*($C:$C=$AB73),0),1)</f>
        <v/>
      </c>
      <c r="AM73" s="116" t="str">
        <f t="array" ref="AM73">INDEX($A$1:$C$500, MATCH(1,($B:$B=$AB73)*($C:$C=$C73),0),1)</f>
        <v/>
      </c>
      <c r="AN73" s="114" t="str">
        <f t="array" ref="AN73">IFS(ISNUMBER(AJ73),AJ73,ISNUMBER(AK73),AK73,ISNUMBER(AL73),AL73,ISNUMBER(AM73),AM73)</f>
        <v>#N/A</v>
      </c>
      <c r="AO73" s="115" t="str">
        <f t="shared" si="6"/>
        <v/>
      </c>
      <c r="AP73" s="115" t="str">
        <f t="shared" si="7"/>
        <v/>
      </c>
      <c r="AQ73" s="111"/>
      <c r="AR73" s="109" t="str">
        <f t="shared" si="8"/>
        <v/>
      </c>
      <c r="AS73" s="72" t="str">
        <f>IFERROR(IF(AND(Preferences!B$3="Manual",OR(AX73/AW73&gt;V73/U73,BD73="Serious",BD73="Very serious")),"Assess imprecision",IFERROR(IFS(AND(Preferences!B$3="Automatic",V73/U73&gt;=30),"Extremely serious",AND(W73&lt;=$D$1*-1,Y73&lt;0,V73/U73&lt;3),"Not Serious",AND(W73&lt;=$D$1*-1,Y73&lt;0,V73/U73&gt;=3),"Very serious",AND(W73&gt;=$D$1,X73&gt;0,V73/U73&lt;3),"Not Serious",AND(W73&gt;=$D$1,X73&gt;0,V73/U73&gt;=3),"Very serious",AND(W73&lt;=$D$1*-1,Y73&gt;0,X73&gt;$D$2*-1,V73/U73&lt;3),"Serious", AND(W73&lt;=$D$1*-1,Y73&gt;0,X73&lt;$D$2*-1,V73/U73&lt;3),"Very serious", AND(W73&gt;=$D$1,X73&lt;0,Y73&lt;$D$2,V73/U73&lt;3),"Serious",AND(W73&gt;=$D$1,X73&lt;0,Y73&gt;$D$2,V73/U73&lt;3),"Very serious", AND(W73&lt;=$D$1*-1,Y73&gt;0,X73&gt;$D$2*-1,V73/U73&gt;=3),"Very serious", AND(W73&lt;=$D$1*-1,Y73&gt;0,X73&lt;$D$2*-1,V73/U73&gt;=3),"Very serious", AND(W73&gt;=$D$1,X73&lt;0,Y73&lt;$D$2,V73/U73&gt;=3),"Very serious", AND(W73&gt;=$D$1,X73&lt;0,Y73&gt;$D$2,V73/U73&gt;=3),"Very serious", AND(W73&gt;$D$1*-1,W73&lt;$D$1,X73&gt;$D$1*-1,Y73&lt;$D$1,V73/U73&lt;3),"Not Serious", AND(W73&gt;$D$1*-1,W73&lt;$D$1,OR(X73&lt;=$D$1*-1,Y73&gt;=$D$1),X73&gt;$D$2*-1,Y73&lt;$D$2,V73/U73&lt;3),"Serious", AND(W73&gt;$D$1*-1,W73&lt;$D$1,OR(X73&lt;=$D$2*-1,Y73&gt;=$D$2),V73/U73&lt;3),"Very serious", AND(W73&gt;$D$1*-1,W73&lt;$D$1,X73&gt;$D$1*-1,Y73&lt;$D$1,V73/U73&gt;=3),"Very serious", AND(W73&gt;$D$1*-1,W73&lt;$D$1,OR(X73&lt;=$D$1*-1,Y73&gt;=$D$1),X73&gt;$D$2*-1,Y73&lt;$D$2,V73/U73&gt;=3),"Very serious", AND(W73&gt;$D$1*-1,W73&lt;$D$1,OR(X73&lt;=$D$2*-1,Y73&gt;=$D$2),V73/U73&gt;=3),"Very serious"),"")),"")</f>
        <v/>
      </c>
      <c r="AT73" s="109" t="str">
        <f t="shared" si="9"/>
        <v/>
      </c>
      <c r="AU73" s="64"/>
      <c r="AV73" s="117"/>
      <c r="AW73" s="117"/>
      <c r="AX73" s="117"/>
      <c r="AY73" s="118"/>
      <c r="AZ73" s="118"/>
      <c r="BA73" s="119"/>
      <c r="BB73" s="86" t="str">
        <f>IF(Preferences!B$9="Manual","",IFS(ISBLANK(B73),"",AND(ISNUMBER(E73)=TRUE,ISNUMBER(T73)=FALSE),"Direct", AND(ISNUMBER(E73)=FALSE,ISNUMBER(T73)=TRUE),"Indirect", CN73=4,"Direct",AND(CL73=FALSE, CM73=TRUE,CN73-CO73&gt;-1),"Direct", AND(CL73=FALSE,CM73=TRUE, CN73-CO73&lt;0),"Check algorithm in appendix 2", AND(CL73=TRUE, CM73=FALSE,CN73-CO73&gt;0),"Check algorithm in appendix 2", AND(CL73=TRUE, CM73=FALSE,CN73-CO73=0),"Indirect", AND(CL73=TRUE, CM73=FALSE,CN73-CO73&lt;0),"Indirect", AND(CL73=FALSE,CM73=FALSE,CN73-CO73&gt;-1),"Direct", AND(CL73=FALSE,CM73=FALSE,CN73-CO73&lt;0),"Check algorithm in appendix 2", AND(CL73=TRUE,CM73=TRUE,CN73-CO73&gt;-1),"Direct", AND(CL73=TRUE,CM73=TRUE,CN73-CO73&lt;0),"Check algorithm in appendix 2"))</f>
        <v/>
      </c>
      <c r="BC73" s="120" t="str">
        <f t="shared" si="10"/>
        <v/>
      </c>
      <c r="BD73" s="140"/>
      <c r="BE73" s="122" t="str">
        <f>IF(Preferences!B$3="Manual","", IFERROR(IFS(AND(Preferences!B$3="Automatic",AX73/AW73&gt;=30),"Extremely serious",AND(AY73&lt;=$D$1*-1,BA73&lt;0,AX73/AW73&lt;3),"Not Serious",AND(AY73&lt;=$D$1*-1,BA73&lt;0,AX73/AW73&gt;=3),"Very serious",AND(AY73&gt;=$D$1,AZ73&gt;0,AX73/AW73&lt;3),"Not Serious",AND(AY73&gt;=$D$1,AZ73&gt;0,AX73/AW73&gt;=3),"Very serious",AND(AY73&lt;=$D$1*-1,BA73&gt;0,AZ73&gt;$D$2*-1,AX73/AW73&lt;3),"Serious", AND(AY73&lt;=$D$1*-1,BA73&gt;0,AZ73&lt;$D$2*-1,AX73/AW73&lt;3),"Very serious", AND(AY73&gt;=$D$1,AZ73&lt;0,BA73&lt;$D$2,AX73/AW73&lt;3),"Serious",AND(AY73&gt;=$D$1,AZ73&lt;0,BA73&gt;$D$2,AX73/AW73&lt;3),"Very serious", AND(AY73&lt;=$D$1*-1,BA73&gt;0,AZ73&gt;$D$2*-1,AX73/AW73&gt;=3),"Very serious", AND(AY73&lt;=$D$1*-1,BA73&gt;0,AZ73&lt;$D$2*-1,AX73/AW73&gt;=3),"Very serious", AND(AY73&gt;=$D$1,AZ73&lt;0,BA73&lt;$D$2,AX73/AW73&gt;=3),"Very serious", AND(AY73&gt;=$D$1,AZ73&lt;0,BA73&gt;$D$2,AX73/AW73&gt;=3),"Very serious", AND(AY73&gt;$D$1*-1,AY73&lt;$D$1,AZ73&gt;$D$1*-1,BA73&lt;$D$1,AX73/AW73&lt;3),"Not Serious", AND(AY73&gt;$D$1*-1,AY73&lt;$D$1,OR(AZ73&lt;=$D$1*-1,BA73&gt;=$D$1),AZ73&gt;$D$2*-1,BA73&lt;$D$2,AX73/AW73&lt;3),"Serious", AND(AY73&gt;$D$1*-1,AY73&lt;$D$1,OR(AZ73&lt;=$D$2*-1,BA73&gt;=$D$2),AX73/AW73&lt;3),"Very serious", AND(AY73&gt;$D$1*-1,AY73&lt;$D$1,AZ73&gt;$D$1*-1,BA73&lt;$D$1,AX73/AW73&gt;=3),"Very serious", AND(AY73&gt;$D$1*-1,AY73&lt;$D$1,OR(AZ73&lt;=$D$1*-1,BA73&gt;=$D$1),AZ73&gt;$D$2*-1,BA73&lt;$D$2,AX73/AW73&gt;=3),"Very serious", AND(AY73&gt;$D$1*-1,AY73&lt;$D$1,OR(AZ73&lt;=$D$2*-1,BA73&gt;=$D$2),AX73/AW73&gt;=3),"Very serious"),""))</f>
        <v/>
      </c>
      <c r="BF73" s="107" t="str">
        <f t="shared" si="11"/>
        <v/>
      </c>
      <c r="BG73" s="94" t="str">
        <f t="shared" si="46"/>
        <v/>
      </c>
      <c r="BH73" s="64" t="str">
        <f t="shared" si="12"/>
        <v>#N/A</v>
      </c>
      <c r="BI73" s="64" t="str">
        <f t="shared" si="13"/>
        <v/>
      </c>
      <c r="BJ73" s="123" t="str">
        <f t="shared" si="14"/>
        <v>#N/A</v>
      </c>
      <c r="BK73" s="64" t="str">
        <f t="shared" si="50"/>
        <v>YES</v>
      </c>
      <c r="BL73" s="64" t="str">
        <f t="shared" si="16"/>
        <v>YES</v>
      </c>
      <c r="BM73" s="64" t="str">
        <f t="shared" si="17"/>
        <v>YES</v>
      </c>
      <c r="BN73" s="124" t="str">
        <f t="shared" si="18"/>
        <v/>
      </c>
      <c r="BO73" s="91" t="str">
        <f t="shared" si="19"/>
        <v/>
      </c>
      <c r="BP73" s="91" t="str">
        <f t="shared" si="20"/>
        <v>#N/A</v>
      </c>
      <c r="BQ73" s="91" t="str">
        <f t="shared" si="21"/>
        <v/>
      </c>
      <c r="BR73" s="93" t="str">
        <f t="shared" si="22"/>
        <v/>
      </c>
      <c r="BS73" s="90" t="str">
        <f t="shared" si="23"/>
        <v/>
      </c>
      <c r="BT73" s="93" t="str">
        <f t="shared" si="24"/>
        <v>NA</v>
      </c>
      <c r="BU73" s="125" t="str">
        <f t="shared" si="25"/>
        <v>#N/A</v>
      </c>
      <c r="BV73" s="93" t="str">
        <f t="shared" si="26"/>
        <v/>
      </c>
      <c r="BW73" s="93" t="str">
        <f t="shared" si="27"/>
        <v/>
      </c>
      <c r="BX73" s="93" t="str">
        <f t="shared" si="28"/>
        <v>NA</v>
      </c>
      <c r="BY73" s="95" t="str">
        <f t="shared" si="29"/>
        <v>#N/A</v>
      </c>
      <c r="BZ73" s="93" t="str">
        <f t="shared" si="30"/>
        <v/>
      </c>
      <c r="CA73" s="93" t="str">
        <f t="shared" si="31"/>
        <v/>
      </c>
      <c r="CB73" s="93" t="str">
        <f t="shared" si="32"/>
        <v>NA</v>
      </c>
      <c r="CC73" s="96" t="str">
        <f t="shared" si="33"/>
        <v>#N/A</v>
      </c>
      <c r="CD73" s="93" t="str">
        <f t="shared" si="34"/>
        <v/>
      </c>
      <c r="CE73" s="93" t="str">
        <f t="shared" si="35"/>
        <v/>
      </c>
      <c r="CF73" s="93" t="str">
        <f t="shared" si="36"/>
        <v>NA</v>
      </c>
      <c r="CG73" s="97" t="str">
        <f t="shared" si="37"/>
        <v>#N/A</v>
      </c>
      <c r="CH73" s="98" t="str">
        <f t="shared" si="38"/>
        <v>#N/A</v>
      </c>
      <c r="CI73" s="99" t="str">
        <f t="shared" si="39"/>
        <v>#N/A</v>
      </c>
      <c r="CJ73" s="126" t="str">
        <f t="shared" si="40"/>
        <v>ERROR: check cell</v>
      </c>
      <c r="CK73" s="126"/>
      <c r="CL73" s="127" t="str">
        <f t="shared" si="41"/>
        <v>#DIV/0!</v>
      </c>
      <c r="CM73" s="128" t="str">
        <f t="shared" si="42"/>
        <v>#DIV/0!</v>
      </c>
      <c r="CN73" s="128">
        <f t="shared" si="43"/>
        <v>4</v>
      </c>
      <c r="CO73" s="129">
        <f t="shared" si="44"/>
        <v>4</v>
      </c>
      <c r="CP73" s="129" t="str">
        <f>IFS(C73=Preferences!B$13,B73,B73=Preferences!B$13,C73)</f>
        <v>#N/A</v>
      </c>
    </row>
    <row r="74" ht="13.5" customHeight="1">
      <c r="A74" s="63" t="str">
        <f t="shared" si="45"/>
        <v/>
      </c>
      <c r="B74" s="64"/>
      <c r="C74" s="64"/>
      <c r="D74" s="64"/>
      <c r="E74" s="65"/>
      <c r="F74" s="65"/>
      <c r="G74" s="65"/>
      <c r="H74" s="65"/>
      <c r="I74" s="65"/>
      <c r="J74" s="141"/>
      <c r="K74" s="138"/>
      <c r="L74" s="104"/>
      <c r="M74" s="104"/>
      <c r="N74" s="104"/>
      <c r="O74" s="104"/>
      <c r="P74" s="107" t="str">
        <f t="shared" si="1"/>
        <v/>
      </c>
      <c r="Q74" s="108" t="str">
        <f>IFERROR(IF(AND(Preferences!B$3="Manual",OR(AX74/AW74&gt;G74/F74,BD74="Serious",BD74="Very serious")),"Assess imprecision",IFS(ISBLANK(E74),"",AND(Preferences!B$3="Automatic", G74/F74&gt;=30),"Extremely serious",AND(H74&lt;=$D$1*-1,J74&lt;0,G74/F74&lt;3),"Not serious",AND(H74&lt;=$D$1*-1,J74&lt;0,G74/F74&gt;=3),"Very serious",AND(H74&gt;=$D$1,I74&gt;0,G74/F74&lt;3),"Not serious",AND(H74&gt;=$D$1,I74&gt;0,G74/F74&gt;=3),"Very serious",AND(H74&lt;=$D$1*-1,J74&gt;0,I74&gt;$D$2*-1,G74/F74&lt;3),"Serious", AND(H74&lt;=$D$1*-1,J74&gt;0,I74&lt;$D$2*-1,G74/F74&lt;3),"Very serious", AND(H74&gt;=$D$1,I74&lt;0,J74&lt;$D$2,G74/F74&lt;3),"Serious",AND(H74&gt;=$D$1,I74&lt;0,J74&gt;$D$2,G74/F74&lt;3),"Very serious", AND(H74&lt;=$D$1*-1,J74&gt;0,I74&gt;$D$2*-1,G74/F74&gt;=3),"Very serious", AND(H74&lt;=$D$1*-1,J74&gt;0,I74&lt;$D$2*-1,G74/F74&gt;=3),"Very serious", AND(H74&gt;=$D$1,I74&lt;0,J74&lt;$D$2,G74/F74&gt;=3),"Very serious", AND(H74&gt;=$D$1,I74&lt;0,J74&gt;$D$2,G74/F74&gt;=3),"Very serious", AND(H74&gt;$D$1*-1,H74&lt;$D$1,I74&gt;$D$1*-1,J74&lt;$D$1,G74/F74&lt;3),"Not serious", AND(H74&gt;$D$1*-1,H74&lt;$D$1,OR(I74&lt;=$D$1*-1,J74&gt;=$D$1),I74&gt;$D$2*-1,J74&lt;$D$2,G74/F74&lt;3),"Serious", AND(H74&gt;$D$1*-1,H74&lt;$D$1,OR(I74&lt;=$D$2*-1,J74&gt;=$D$2),G74/F74&lt;3),"Very serious", AND(H74&gt;$D$1*-1,H74&lt;$D$1,I74&gt;$D$1*-1,J74&lt;$D$1,G74/F74&gt;=3),"Very serious", AND(H74&gt;$D$1*-1,H74&lt;$D$1,OR(I74&lt;=$D$1*-1,J74&gt;=$D$1),I74&gt;$D$2*-1,J74&lt;$D$2,G74/F74&gt;=3),"Very serious", AND(H74&gt;$D$1*-1,H74&lt;$D$1,OR(I74&lt;=$D$2*-1,J74&gt;=$D$2),G74/F74&gt;=3),"Very serious")),"")</f>
        <v/>
      </c>
      <c r="R74" s="109" t="str">
        <f t="shared" si="47"/>
        <v/>
      </c>
      <c r="S74" s="64"/>
      <c r="T74" s="144"/>
      <c r="U74" s="144"/>
      <c r="V74" s="144"/>
      <c r="W74" s="72"/>
      <c r="X74" s="72"/>
      <c r="Y74" s="130"/>
      <c r="Z74" s="113" t="str">
        <f t="array" ref="Z74">INDEX($A$1:$C$500, MATCH(1,($B:$B=$B74)*($C:$C=$AB74),0),1)</f>
        <v/>
      </c>
      <c r="AA74" s="113" t="str">
        <f t="array" ref="AA74">INDEX($A$1:$C$500, MATCH(1,($B:$B=$AB74)*($C:$C=$B74),0),1)</f>
        <v/>
      </c>
      <c r="AB74" s="111"/>
      <c r="AC74" s="114" t="str">
        <f t="shared" si="2"/>
        <v/>
      </c>
      <c r="AD74" s="115" t="str">
        <f t="shared" si="3"/>
        <v/>
      </c>
      <c r="AE74" s="116" t="str">
        <f t="array" ref="AE74">INDEX($A$1:$C$500, MATCH(1,($B:$B=$AB74)*($C:$C=$AG74),0),1)</f>
        <v/>
      </c>
      <c r="AF74" s="116" t="str">
        <f t="array" ref="AF74">INDEX($A$1:$C$500, MATCH(1,($B:$B=$AG74)*($C:$C=$AB74),0),1)</f>
        <v/>
      </c>
      <c r="AG74" s="72"/>
      <c r="AH74" s="114" t="str">
        <f t="shared" si="4"/>
        <v/>
      </c>
      <c r="AI74" s="115" t="str">
        <f t="shared" si="5"/>
        <v/>
      </c>
      <c r="AJ74" s="116" t="str">
        <f t="array" ref="AJ74">INDEX($A$1:$C$500, MATCH(1,($B:$B=$C74)*($C:$C=$AG74),0),1)</f>
        <v/>
      </c>
      <c r="AK74" s="116" t="str">
        <f t="array" ref="AK74">INDEX($A$1:$C$500, MATCH(1,($B:$B=$AG74)*($C:$C=$C74),0),1)</f>
        <v/>
      </c>
      <c r="AL74" s="116" t="str">
        <f t="array" ref="AL74">INDEX($A$1:$C$500, MATCH(1,($B:$B=$C74)*($C:$C=$AB74),0),1)</f>
        <v/>
      </c>
      <c r="AM74" s="116" t="str">
        <f t="array" ref="AM74">INDEX($A$1:$C$500, MATCH(1,($B:$B=$AB74)*($C:$C=$C74),0),1)</f>
        <v/>
      </c>
      <c r="AN74" s="114" t="str">
        <f t="array" ref="AN74">IFS(ISNUMBER(AJ74),AJ74,ISNUMBER(AK74),AK74,ISNUMBER(AL74),AL74,ISNUMBER(AM74),AM74)</f>
        <v>#N/A</v>
      </c>
      <c r="AO74" s="115" t="str">
        <f t="shared" si="6"/>
        <v/>
      </c>
      <c r="AP74" s="115" t="str">
        <f t="shared" si="7"/>
        <v/>
      </c>
      <c r="AQ74" s="111"/>
      <c r="AR74" s="109" t="str">
        <f t="shared" si="8"/>
        <v/>
      </c>
      <c r="AS74" s="72" t="str">
        <f>IFERROR(IF(AND(Preferences!B$3="Manual",OR(AX74/AW74&gt;V74/U74,BD74="Serious",BD74="Very serious")),"Assess imprecision",IFERROR(IFS(AND(Preferences!B$3="Automatic",V74/U74&gt;=30),"Extremely serious",AND(W74&lt;=$D$1*-1,Y74&lt;0,V74/U74&lt;3),"Not Serious",AND(W74&lt;=$D$1*-1,Y74&lt;0,V74/U74&gt;=3),"Very serious",AND(W74&gt;=$D$1,X74&gt;0,V74/U74&lt;3),"Not Serious",AND(W74&gt;=$D$1,X74&gt;0,V74/U74&gt;=3),"Very serious",AND(W74&lt;=$D$1*-1,Y74&gt;0,X74&gt;$D$2*-1,V74/U74&lt;3),"Serious", AND(W74&lt;=$D$1*-1,Y74&gt;0,X74&lt;$D$2*-1,V74/U74&lt;3),"Very serious", AND(W74&gt;=$D$1,X74&lt;0,Y74&lt;$D$2,V74/U74&lt;3),"Serious",AND(W74&gt;=$D$1,X74&lt;0,Y74&gt;$D$2,V74/U74&lt;3),"Very serious", AND(W74&lt;=$D$1*-1,Y74&gt;0,X74&gt;$D$2*-1,V74/U74&gt;=3),"Very serious", AND(W74&lt;=$D$1*-1,Y74&gt;0,X74&lt;$D$2*-1,V74/U74&gt;=3),"Very serious", AND(W74&gt;=$D$1,X74&lt;0,Y74&lt;$D$2,V74/U74&gt;=3),"Very serious", AND(W74&gt;=$D$1,X74&lt;0,Y74&gt;$D$2,V74/U74&gt;=3),"Very serious", AND(W74&gt;$D$1*-1,W74&lt;$D$1,X74&gt;$D$1*-1,Y74&lt;$D$1,V74/U74&lt;3),"Not Serious", AND(W74&gt;$D$1*-1,W74&lt;$D$1,OR(X74&lt;=$D$1*-1,Y74&gt;=$D$1),X74&gt;$D$2*-1,Y74&lt;$D$2,V74/U74&lt;3),"Serious", AND(W74&gt;$D$1*-1,W74&lt;$D$1,OR(X74&lt;=$D$2*-1,Y74&gt;=$D$2),V74/U74&lt;3),"Very serious", AND(W74&gt;$D$1*-1,W74&lt;$D$1,X74&gt;$D$1*-1,Y74&lt;$D$1,V74/U74&gt;=3),"Very serious", AND(W74&gt;$D$1*-1,W74&lt;$D$1,OR(X74&lt;=$D$1*-1,Y74&gt;=$D$1),X74&gt;$D$2*-1,Y74&lt;$D$2,V74/U74&gt;=3),"Very serious", AND(W74&gt;$D$1*-1,W74&lt;$D$1,OR(X74&lt;=$D$2*-1,Y74&gt;=$D$2),V74/U74&gt;=3),"Very serious"),"")),"")</f>
        <v/>
      </c>
      <c r="AT74" s="109" t="str">
        <f t="shared" si="9"/>
        <v/>
      </c>
      <c r="AU74" s="64"/>
      <c r="AV74" s="117"/>
      <c r="AW74" s="117"/>
      <c r="AX74" s="117"/>
      <c r="AY74" s="118"/>
      <c r="AZ74" s="118"/>
      <c r="BA74" s="119"/>
      <c r="BB74" s="86" t="str">
        <f>IF(Preferences!B$9="Manual","",IFS(ISBLANK(B74),"",AND(ISNUMBER(E74)=TRUE,ISNUMBER(T74)=FALSE),"Direct", AND(ISNUMBER(E74)=FALSE,ISNUMBER(T74)=TRUE),"Indirect", CN74=4,"Direct",AND(CL74=FALSE, CM74=TRUE,CN74-CO74&gt;-1),"Direct", AND(CL74=FALSE,CM74=TRUE, CN74-CO74&lt;0),"Check algorithm in appendix 2", AND(CL74=TRUE, CM74=FALSE,CN74-CO74&gt;0),"Check algorithm in appendix 2", AND(CL74=TRUE, CM74=FALSE,CN74-CO74=0),"Indirect", AND(CL74=TRUE, CM74=FALSE,CN74-CO74&lt;0),"Indirect", AND(CL74=FALSE,CM74=FALSE,CN74-CO74&gt;-1),"Direct", AND(CL74=FALSE,CM74=FALSE,CN74-CO74&lt;0),"Check algorithm in appendix 2", AND(CL74=TRUE,CM74=TRUE,CN74-CO74&gt;-1),"Direct", AND(CL74=TRUE,CM74=TRUE,CN74-CO74&lt;0),"Check algorithm in appendix 2"))</f>
        <v/>
      </c>
      <c r="BC74" s="120" t="str">
        <f t="shared" si="10"/>
        <v/>
      </c>
      <c r="BD74" s="140"/>
      <c r="BE74" s="122" t="str">
        <f>IF(Preferences!B$3="Manual","", IFERROR(IFS(AND(Preferences!B$3="Automatic",AX74/AW74&gt;=30),"Extremely serious",AND(AY74&lt;=$D$1*-1,BA74&lt;0,AX74/AW74&lt;3),"Not Serious",AND(AY74&lt;=$D$1*-1,BA74&lt;0,AX74/AW74&gt;=3),"Very serious",AND(AY74&gt;=$D$1,AZ74&gt;0,AX74/AW74&lt;3),"Not Serious",AND(AY74&gt;=$D$1,AZ74&gt;0,AX74/AW74&gt;=3),"Very serious",AND(AY74&lt;=$D$1*-1,BA74&gt;0,AZ74&gt;$D$2*-1,AX74/AW74&lt;3),"Serious", AND(AY74&lt;=$D$1*-1,BA74&gt;0,AZ74&lt;$D$2*-1,AX74/AW74&lt;3),"Very serious", AND(AY74&gt;=$D$1,AZ74&lt;0,BA74&lt;$D$2,AX74/AW74&lt;3),"Serious",AND(AY74&gt;=$D$1,AZ74&lt;0,BA74&gt;$D$2,AX74/AW74&lt;3),"Very serious", AND(AY74&lt;=$D$1*-1,BA74&gt;0,AZ74&gt;$D$2*-1,AX74/AW74&gt;=3),"Very serious", AND(AY74&lt;=$D$1*-1,BA74&gt;0,AZ74&lt;$D$2*-1,AX74/AW74&gt;=3),"Very serious", AND(AY74&gt;=$D$1,AZ74&lt;0,BA74&lt;$D$2,AX74/AW74&gt;=3),"Very serious", AND(AY74&gt;=$D$1,AZ74&lt;0,BA74&gt;$D$2,AX74/AW74&gt;=3),"Very serious", AND(AY74&gt;$D$1*-1,AY74&lt;$D$1,AZ74&gt;$D$1*-1,BA74&lt;$D$1,AX74/AW74&lt;3),"Not Serious", AND(AY74&gt;$D$1*-1,AY74&lt;$D$1,OR(AZ74&lt;=$D$1*-1,BA74&gt;=$D$1),AZ74&gt;$D$2*-1,BA74&lt;$D$2,AX74/AW74&lt;3),"Serious", AND(AY74&gt;$D$1*-1,AY74&lt;$D$1,OR(AZ74&lt;=$D$2*-1,BA74&gt;=$D$2),AX74/AW74&lt;3),"Very serious", AND(AY74&gt;$D$1*-1,AY74&lt;$D$1,AZ74&gt;$D$1*-1,BA74&lt;$D$1,AX74/AW74&gt;=3),"Very serious", AND(AY74&gt;$D$1*-1,AY74&lt;$D$1,OR(AZ74&lt;=$D$1*-1,BA74&gt;=$D$1),AZ74&gt;$D$2*-1,BA74&lt;$D$2,AX74/AW74&gt;=3),"Very serious", AND(AY74&gt;$D$1*-1,AY74&lt;$D$1,OR(AZ74&lt;=$D$2*-1,BA74&gt;=$D$2),AX74/AW74&gt;=3),"Very serious"),""))</f>
        <v/>
      </c>
      <c r="BF74" s="107" t="str">
        <f t="shared" si="11"/>
        <v/>
      </c>
      <c r="BG74" s="94" t="str">
        <f t="shared" si="46"/>
        <v/>
      </c>
      <c r="BH74" s="64" t="str">
        <f t="shared" si="12"/>
        <v>#N/A</v>
      </c>
      <c r="BI74" s="64" t="str">
        <f t="shared" si="13"/>
        <v/>
      </c>
      <c r="BJ74" s="123" t="str">
        <f t="shared" si="14"/>
        <v>#N/A</v>
      </c>
      <c r="BK74" s="64" t="str">
        <f t="shared" si="50"/>
        <v>YES</v>
      </c>
      <c r="BL74" s="64" t="str">
        <f t="shared" si="16"/>
        <v>YES</v>
      </c>
      <c r="BM74" s="64" t="str">
        <f t="shared" si="17"/>
        <v>YES</v>
      </c>
      <c r="BN74" s="124" t="str">
        <f t="shared" si="18"/>
        <v/>
      </c>
      <c r="BO74" s="91" t="str">
        <f t="shared" si="19"/>
        <v/>
      </c>
      <c r="BP74" s="91" t="str">
        <f t="shared" si="20"/>
        <v>#N/A</v>
      </c>
      <c r="BQ74" s="91" t="str">
        <f t="shared" si="21"/>
        <v/>
      </c>
      <c r="BR74" s="93" t="str">
        <f t="shared" si="22"/>
        <v/>
      </c>
      <c r="BS74" s="90" t="str">
        <f t="shared" si="23"/>
        <v/>
      </c>
      <c r="BT74" s="93" t="str">
        <f t="shared" si="24"/>
        <v>NA</v>
      </c>
      <c r="BU74" s="125" t="str">
        <f t="shared" si="25"/>
        <v>#N/A</v>
      </c>
      <c r="BV74" s="93" t="str">
        <f t="shared" si="26"/>
        <v/>
      </c>
      <c r="BW74" s="93" t="str">
        <f t="shared" si="27"/>
        <v/>
      </c>
      <c r="BX74" s="93" t="str">
        <f t="shared" si="28"/>
        <v>NA</v>
      </c>
      <c r="BY74" s="95" t="str">
        <f t="shared" si="29"/>
        <v>#N/A</v>
      </c>
      <c r="BZ74" s="93" t="str">
        <f t="shared" si="30"/>
        <v/>
      </c>
      <c r="CA74" s="93" t="str">
        <f t="shared" si="31"/>
        <v/>
      </c>
      <c r="CB74" s="93" t="str">
        <f t="shared" si="32"/>
        <v>NA</v>
      </c>
      <c r="CC74" s="96" t="str">
        <f t="shared" si="33"/>
        <v>#N/A</v>
      </c>
      <c r="CD74" s="93" t="str">
        <f t="shared" si="34"/>
        <v/>
      </c>
      <c r="CE74" s="93" t="str">
        <f t="shared" si="35"/>
        <v/>
      </c>
      <c r="CF74" s="93" t="str">
        <f t="shared" si="36"/>
        <v>NA</v>
      </c>
      <c r="CG74" s="97" t="str">
        <f t="shared" si="37"/>
        <v>#N/A</v>
      </c>
      <c r="CH74" s="98" t="str">
        <f t="shared" si="38"/>
        <v>#N/A</v>
      </c>
      <c r="CI74" s="99" t="str">
        <f t="shared" si="39"/>
        <v>#N/A</v>
      </c>
      <c r="CJ74" s="126" t="str">
        <f t="shared" si="40"/>
        <v>ERROR: check cell</v>
      </c>
      <c r="CK74" s="126"/>
      <c r="CL74" s="127" t="str">
        <f t="shared" si="41"/>
        <v>#DIV/0!</v>
      </c>
      <c r="CM74" s="128" t="str">
        <f t="shared" si="42"/>
        <v>#DIV/0!</v>
      </c>
      <c r="CN74" s="128">
        <f t="shared" si="43"/>
        <v>4</v>
      </c>
      <c r="CO74" s="129">
        <f t="shared" si="44"/>
        <v>4</v>
      </c>
      <c r="CP74" s="129" t="str">
        <f>IFS(C74=Preferences!B$13,B74,B74=Preferences!B$13,C74)</f>
        <v>#N/A</v>
      </c>
    </row>
    <row r="75" ht="13.5" customHeight="1">
      <c r="A75" s="63" t="str">
        <f t="shared" si="45"/>
        <v/>
      </c>
      <c r="B75" s="64"/>
      <c r="C75" s="64"/>
      <c r="D75" s="64"/>
      <c r="E75" s="65"/>
      <c r="F75" s="65"/>
      <c r="G75" s="65"/>
      <c r="H75" s="65"/>
      <c r="I75" s="65"/>
      <c r="J75" s="141"/>
      <c r="K75" s="138"/>
      <c r="L75" s="104"/>
      <c r="M75" s="104"/>
      <c r="N75" s="104"/>
      <c r="O75" s="104"/>
      <c r="P75" s="107" t="str">
        <f t="shared" si="1"/>
        <v/>
      </c>
      <c r="Q75" s="108" t="str">
        <f>IFERROR(IF(AND(Preferences!B$3="Manual",OR(AX75/AW75&gt;G75/F75,BD75="Serious",BD75="Very serious")),"Assess imprecision",IFS(ISBLANK(E75),"",AND(Preferences!B$3="Automatic", G75/F75&gt;=30),"Extremely serious",AND(H75&lt;=$D$1*-1,J75&lt;0,G75/F75&lt;3),"Not serious",AND(H75&lt;=$D$1*-1,J75&lt;0,G75/F75&gt;=3),"Very serious",AND(H75&gt;=$D$1,I75&gt;0,G75/F75&lt;3),"Not serious",AND(H75&gt;=$D$1,I75&gt;0,G75/F75&gt;=3),"Very serious",AND(H75&lt;=$D$1*-1,J75&gt;0,I75&gt;$D$2*-1,G75/F75&lt;3),"Serious", AND(H75&lt;=$D$1*-1,J75&gt;0,I75&lt;$D$2*-1,G75/F75&lt;3),"Very serious", AND(H75&gt;=$D$1,I75&lt;0,J75&lt;$D$2,G75/F75&lt;3),"Serious",AND(H75&gt;=$D$1,I75&lt;0,J75&gt;$D$2,G75/F75&lt;3),"Very serious", AND(H75&lt;=$D$1*-1,J75&gt;0,I75&gt;$D$2*-1,G75/F75&gt;=3),"Very serious", AND(H75&lt;=$D$1*-1,J75&gt;0,I75&lt;$D$2*-1,G75/F75&gt;=3),"Very serious", AND(H75&gt;=$D$1,I75&lt;0,J75&lt;$D$2,G75/F75&gt;=3),"Very serious", AND(H75&gt;=$D$1,I75&lt;0,J75&gt;$D$2,G75/F75&gt;=3),"Very serious", AND(H75&gt;$D$1*-1,H75&lt;$D$1,I75&gt;$D$1*-1,J75&lt;$D$1,G75/F75&lt;3),"Not serious", AND(H75&gt;$D$1*-1,H75&lt;$D$1,OR(I75&lt;=$D$1*-1,J75&gt;=$D$1),I75&gt;$D$2*-1,J75&lt;$D$2,G75/F75&lt;3),"Serious", AND(H75&gt;$D$1*-1,H75&lt;$D$1,OR(I75&lt;=$D$2*-1,J75&gt;=$D$2),G75/F75&lt;3),"Very serious", AND(H75&gt;$D$1*-1,H75&lt;$D$1,I75&gt;$D$1*-1,J75&lt;$D$1,G75/F75&gt;=3),"Very serious", AND(H75&gt;$D$1*-1,H75&lt;$D$1,OR(I75&lt;=$D$1*-1,J75&gt;=$D$1),I75&gt;$D$2*-1,J75&lt;$D$2,G75/F75&gt;=3),"Very serious", AND(H75&gt;$D$1*-1,H75&lt;$D$1,OR(I75&lt;=$D$2*-1,J75&gt;=$D$2),G75/F75&gt;=3),"Very serious")),"")</f>
        <v/>
      </c>
      <c r="R75" s="109" t="str">
        <f t="shared" si="47"/>
        <v/>
      </c>
      <c r="S75" s="64"/>
      <c r="T75" s="144"/>
      <c r="U75" s="144"/>
      <c r="V75" s="144"/>
      <c r="W75" s="142"/>
      <c r="X75" s="142"/>
      <c r="Y75" s="143"/>
      <c r="Z75" s="113" t="str">
        <f t="array" ref="Z75">INDEX($A$1:$C$500, MATCH(1,($B:$B=$B75)*($C:$C=$AB75),0),1)</f>
        <v/>
      </c>
      <c r="AA75" s="113" t="str">
        <f t="array" ref="AA75">INDEX($A$1:$C$500, MATCH(1,($B:$B=$AB75)*($C:$C=$B75),0),1)</f>
        <v/>
      </c>
      <c r="AB75" s="111"/>
      <c r="AC75" s="114" t="str">
        <f t="shared" si="2"/>
        <v/>
      </c>
      <c r="AD75" s="115" t="str">
        <f t="shared" si="3"/>
        <v/>
      </c>
      <c r="AE75" s="116" t="str">
        <f t="array" ref="AE75">INDEX($A$1:$C$500, MATCH(1,($B:$B=$AB75)*($C:$C=$AG75),0),1)</f>
        <v/>
      </c>
      <c r="AF75" s="116" t="str">
        <f t="array" ref="AF75">INDEX($A$1:$C$500, MATCH(1,($B:$B=$AG75)*($C:$C=$AB75),0),1)</f>
        <v/>
      </c>
      <c r="AG75" s="72"/>
      <c r="AH75" s="114" t="str">
        <f t="shared" si="4"/>
        <v/>
      </c>
      <c r="AI75" s="115" t="str">
        <f t="shared" si="5"/>
        <v/>
      </c>
      <c r="AJ75" s="116" t="str">
        <f t="array" ref="AJ75">INDEX($A$1:$C$500, MATCH(1,($B:$B=$C75)*($C:$C=$AG75),0),1)</f>
        <v/>
      </c>
      <c r="AK75" s="116" t="str">
        <f t="array" ref="AK75">INDEX($A$1:$C$500, MATCH(1,($B:$B=$AG75)*($C:$C=$C75),0),1)</f>
        <v/>
      </c>
      <c r="AL75" s="116" t="str">
        <f t="array" ref="AL75">INDEX($A$1:$C$500, MATCH(1,($B:$B=$C75)*($C:$C=$AB75),0),1)</f>
        <v/>
      </c>
      <c r="AM75" s="116" t="str">
        <f t="array" ref="AM75">INDEX($A$1:$C$500, MATCH(1,($B:$B=$AB75)*($C:$C=$C75),0),1)</f>
        <v/>
      </c>
      <c r="AN75" s="114" t="str">
        <f t="array" ref="AN75">IFS(ISNUMBER(AJ75),AJ75,ISNUMBER(AK75),AK75,ISNUMBER(AL75),AL75,ISNUMBER(AM75),AM75)</f>
        <v>#N/A</v>
      </c>
      <c r="AO75" s="115" t="str">
        <f t="shared" si="6"/>
        <v/>
      </c>
      <c r="AP75" s="115" t="str">
        <f t="shared" si="7"/>
        <v/>
      </c>
      <c r="AQ75" s="111"/>
      <c r="AR75" s="109" t="str">
        <f t="shared" si="8"/>
        <v/>
      </c>
      <c r="AS75" s="72" t="str">
        <f>IFERROR(IF(AND(Preferences!B$3="Manual",OR(AX75/AW75&gt;V75/U75,BD75="Serious",BD75="Very serious")),"Assess imprecision",IFERROR(IFS(AND(Preferences!B$3="Automatic",V75/U75&gt;=30),"Extremely serious",AND(W75&lt;=$D$1*-1,Y75&lt;0,V75/U75&lt;3),"Not Serious",AND(W75&lt;=$D$1*-1,Y75&lt;0,V75/U75&gt;=3),"Very serious",AND(W75&gt;=$D$1,X75&gt;0,V75/U75&lt;3),"Not Serious",AND(W75&gt;=$D$1,X75&gt;0,V75/U75&gt;=3),"Very serious",AND(W75&lt;=$D$1*-1,Y75&gt;0,X75&gt;$D$2*-1,V75/U75&lt;3),"Serious", AND(W75&lt;=$D$1*-1,Y75&gt;0,X75&lt;$D$2*-1,V75/U75&lt;3),"Very serious", AND(W75&gt;=$D$1,X75&lt;0,Y75&lt;$D$2,V75/U75&lt;3),"Serious",AND(W75&gt;=$D$1,X75&lt;0,Y75&gt;$D$2,V75/U75&lt;3),"Very serious", AND(W75&lt;=$D$1*-1,Y75&gt;0,X75&gt;$D$2*-1,V75/U75&gt;=3),"Very serious", AND(W75&lt;=$D$1*-1,Y75&gt;0,X75&lt;$D$2*-1,V75/U75&gt;=3),"Very serious", AND(W75&gt;=$D$1,X75&lt;0,Y75&lt;$D$2,V75/U75&gt;=3),"Very serious", AND(W75&gt;=$D$1,X75&lt;0,Y75&gt;$D$2,V75/U75&gt;=3),"Very serious", AND(W75&gt;$D$1*-1,W75&lt;$D$1,X75&gt;$D$1*-1,Y75&lt;$D$1,V75/U75&lt;3),"Not Serious", AND(W75&gt;$D$1*-1,W75&lt;$D$1,OR(X75&lt;=$D$1*-1,Y75&gt;=$D$1),X75&gt;$D$2*-1,Y75&lt;$D$2,V75/U75&lt;3),"Serious", AND(W75&gt;$D$1*-1,W75&lt;$D$1,OR(X75&lt;=$D$2*-1,Y75&gt;=$D$2),V75/U75&lt;3),"Very serious", AND(W75&gt;$D$1*-1,W75&lt;$D$1,X75&gt;$D$1*-1,Y75&lt;$D$1,V75/U75&gt;=3),"Very serious", AND(W75&gt;$D$1*-1,W75&lt;$D$1,OR(X75&lt;=$D$1*-1,Y75&gt;=$D$1),X75&gt;$D$2*-1,Y75&lt;$D$2,V75/U75&gt;=3),"Very serious", AND(W75&gt;$D$1*-1,W75&lt;$D$1,OR(X75&lt;=$D$2*-1,Y75&gt;=$D$2),V75/U75&gt;=3),"Very serious"),"")),"")</f>
        <v/>
      </c>
      <c r="AT75" s="109" t="str">
        <f t="shared" si="9"/>
        <v/>
      </c>
      <c r="AU75" s="64"/>
      <c r="AV75" s="117"/>
      <c r="AW75" s="117"/>
      <c r="AX75" s="117"/>
      <c r="AY75" s="118"/>
      <c r="AZ75" s="118"/>
      <c r="BA75" s="119"/>
      <c r="BB75" s="86" t="str">
        <f>IF(Preferences!B$9="Manual","",IFS(ISBLANK(B75),"",AND(ISNUMBER(E75)=TRUE,ISNUMBER(T75)=FALSE),"Direct", AND(ISNUMBER(E75)=FALSE,ISNUMBER(T75)=TRUE),"Indirect", CN75=4,"Direct",AND(CL75=FALSE, CM75=TRUE,CN75-CO75&gt;-1),"Direct", AND(CL75=FALSE,CM75=TRUE, CN75-CO75&lt;0),"Check algorithm in appendix 2", AND(CL75=TRUE, CM75=FALSE,CN75-CO75&gt;0),"Check algorithm in appendix 2", AND(CL75=TRUE, CM75=FALSE,CN75-CO75=0),"Indirect", AND(CL75=TRUE, CM75=FALSE,CN75-CO75&lt;0),"Indirect", AND(CL75=FALSE,CM75=FALSE,CN75-CO75&gt;-1),"Direct", AND(CL75=FALSE,CM75=FALSE,CN75-CO75&lt;0),"Check algorithm in appendix 2", AND(CL75=TRUE,CM75=TRUE,CN75-CO75&gt;-1),"Direct", AND(CL75=TRUE,CM75=TRUE,CN75-CO75&lt;0),"Check algorithm in appendix 2"))</f>
        <v/>
      </c>
      <c r="BC75" s="120" t="str">
        <f t="shared" si="10"/>
        <v/>
      </c>
      <c r="BD75" s="140"/>
      <c r="BE75" s="122" t="str">
        <f>IF(Preferences!B$3="Manual","", IFERROR(IFS(AND(Preferences!B$3="Automatic",AX75/AW75&gt;=30),"Extremely serious",AND(AY75&lt;=$D$1*-1,BA75&lt;0,AX75/AW75&lt;3),"Not Serious",AND(AY75&lt;=$D$1*-1,BA75&lt;0,AX75/AW75&gt;=3),"Very serious",AND(AY75&gt;=$D$1,AZ75&gt;0,AX75/AW75&lt;3),"Not Serious",AND(AY75&gt;=$D$1,AZ75&gt;0,AX75/AW75&gt;=3),"Very serious",AND(AY75&lt;=$D$1*-1,BA75&gt;0,AZ75&gt;$D$2*-1,AX75/AW75&lt;3),"Serious", AND(AY75&lt;=$D$1*-1,BA75&gt;0,AZ75&lt;$D$2*-1,AX75/AW75&lt;3),"Very serious", AND(AY75&gt;=$D$1,AZ75&lt;0,BA75&lt;$D$2,AX75/AW75&lt;3),"Serious",AND(AY75&gt;=$D$1,AZ75&lt;0,BA75&gt;$D$2,AX75/AW75&lt;3),"Very serious", AND(AY75&lt;=$D$1*-1,BA75&gt;0,AZ75&gt;$D$2*-1,AX75/AW75&gt;=3),"Very serious", AND(AY75&lt;=$D$1*-1,BA75&gt;0,AZ75&lt;$D$2*-1,AX75/AW75&gt;=3),"Very serious", AND(AY75&gt;=$D$1,AZ75&lt;0,BA75&lt;$D$2,AX75/AW75&gt;=3),"Very serious", AND(AY75&gt;=$D$1,AZ75&lt;0,BA75&gt;$D$2,AX75/AW75&gt;=3),"Very serious", AND(AY75&gt;$D$1*-1,AY75&lt;$D$1,AZ75&gt;$D$1*-1,BA75&lt;$D$1,AX75/AW75&lt;3),"Not Serious", AND(AY75&gt;$D$1*-1,AY75&lt;$D$1,OR(AZ75&lt;=$D$1*-1,BA75&gt;=$D$1),AZ75&gt;$D$2*-1,BA75&lt;$D$2,AX75/AW75&lt;3),"Serious", AND(AY75&gt;$D$1*-1,AY75&lt;$D$1,OR(AZ75&lt;=$D$2*-1,BA75&gt;=$D$2),AX75/AW75&lt;3),"Very serious", AND(AY75&gt;$D$1*-1,AY75&lt;$D$1,AZ75&gt;$D$1*-1,BA75&lt;$D$1,AX75/AW75&gt;=3),"Very serious", AND(AY75&gt;$D$1*-1,AY75&lt;$D$1,OR(AZ75&lt;=$D$1*-1,BA75&gt;=$D$1),AZ75&gt;$D$2*-1,BA75&lt;$D$2,AX75/AW75&gt;=3),"Very serious", AND(AY75&gt;$D$1*-1,AY75&lt;$D$1,OR(AZ75&lt;=$D$2*-1,BA75&gt;=$D$2),AX75/AW75&gt;=3),"Very serious"),""))</f>
        <v/>
      </c>
      <c r="BF75" s="107" t="str">
        <f t="shared" si="11"/>
        <v/>
      </c>
      <c r="BG75" s="94" t="str">
        <f t="shared" si="46"/>
        <v/>
      </c>
      <c r="BH75" s="64" t="str">
        <f t="shared" si="12"/>
        <v>#N/A</v>
      </c>
      <c r="BI75" s="64" t="str">
        <f t="shared" si="13"/>
        <v/>
      </c>
      <c r="BJ75" s="123" t="str">
        <f t="shared" si="14"/>
        <v>#N/A</v>
      </c>
      <c r="BK75" s="64" t="str">
        <f t="shared" si="50"/>
        <v>YES</v>
      </c>
      <c r="BL75" s="64" t="str">
        <f t="shared" si="16"/>
        <v>YES</v>
      </c>
      <c r="BM75" s="64" t="str">
        <f t="shared" si="17"/>
        <v>YES</v>
      </c>
      <c r="BN75" s="124" t="str">
        <f t="shared" si="18"/>
        <v/>
      </c>
      <c r="BO75" s="91" t="str">
        <f t="shared" si="19"/>
        <v/>
      </c>
      <c r="BP75" s="91" t="str">
        <f t="shared" si="20"/>
        <v>#N/A</v>
      </c>
      <c r="BQ75" s="91" t="str">
        <f t="shared" si="21"/>
        <v/>
      </c>
      <c r="BR75" s="93" t="str">
        <f t="shared" si="22"/>
        <v/>
      </c>
      <c r="BS75" s="90" t="str">
        <f t="shared" si="23"/>
        <v/>
      </c>
      <c r="BT75" s="93" t="str">
        <f t="shared" si="24"/>
        <v>NA</v>
      </c>
      <c r="BU75" s="125" t="str">
        <f t="shared" si="25"/>
        <v>#N/A</v>
      </c>
      <c r="BV75" s="93" t="str">
        <f t="shared" si="26"/>
        <v/>
      </c>
      <c r="BW75" s="93" t="str">
        <f t="shared" si="27"/>
        <v/>
      </c>
      <c r="BX75" s="93" t="str">
        <f t="shared" si="28"/>
        <v>NA</v>
      </c>
      <c r="BY75" s="95" t="str">
        <f t="shared" si="29"/>
        <v>#N/A</v>
      </c>
      <c r="BZ75" s="93" t="str">
        <f t="shared" si="30"/>
        <v/>
      </c>
      <c r="CA75" s="93" t="str">
        <f t="shared" si="31"/>
        <v/>
      </c>
      <c r="CB75" s="93" t="str">
        <f t="shared" si="32"/>
        <v>NA</v>
      </c>
      <c r="CC75" s="96" t="str">
        <f t="shared" si="33"/>
        <v>#N/A</v>
      </c>
      <c r="CD75" s="93" t="str">
        <f t="shared" si="34"/>
        <v/>
      </c>
      <c r="CE75" s="93" t="str">
        <f t="shared" si="35"/>
        <v/>
      </c>
      <c r="CF75" s="93" t="str">
        <f t="shared" si="36"/>
        <v>NA</v>
      </c>
      <c r="CG75" s="97" t="str">
        <f t="shared" si="37"/>
        <v>#N/A</v>
      </c>
      <c r="CH75" s="98" t="str">
        <f t="shared" si="38"/>
        <v>#N/A</v>
      </c>
      <c r="CI75" s="99" t="str">
        <f t="shared" si="39"/>
        <v>#N/A</v>
      </c>
      <c r="CJ75" s="126" t="str">
        <f t="shared" si="40"/>
        <v>ERROR: check cell</v>
      </c>
      <c r="CK75" s="126"/>
      <c r="CL75" s="127" t="str">
        <f t="shared" si="41"/>
        <v>#DIV/0!</v>
      </c>
      <c r="CM75" s="128" t="str">
        <f t="shared" si="42"/>
        <v>#DIV/0!</v>
      </c>
      <c r="CN75" s="128">
        <f t="shared" si="43"/>
        <v>4</v>
      </c>
      <c r="CO75" s="129">
        <f t="shared" si="44"/>
        <v>4</v>
      </c>
      <c r="CP75" s="129" t="str">
        <f>IFS(C75=Preferences!B$13,B75,B75=Preferences!B$13,C75)</f>
        <v>#N/A</v>
      </c>
    </row>
    <row r="76" ht="13.5" customHeight="1">
      <c r="A76" s="63" t="str">
        <f t="shared" si="45"/>
        <v/>
      </c>
      <c r="B76" s="64"/>
      <c r="C76" s="64"/>
      <c r="D76" s="64"/>
      <c r="E76" s="65"/>
      <c r="F76" s="65"/>
      <c r="G76" s="65"/>
      <c r="H76" s="65"/>
      <c r="I76" s="65"/>
      <c r="J76" s="141"/>
      <c r="K76" s="138"/>
      <c r="L76" s="104"/>
      <c r="M76" s="104"/>
      <c r="N76" s="104"/>
      <c r="O76" s="104"/>
      <c r="P76" s="107" t="str">
        <f t="shared" si="1"/>
        <v/>
      </c>
      <c r="Q76" s="108" t="str">
        <f>IFERROR(IF(AND(Preferences!B$3="Manual",OR(AX76/AW76&gt;G76/F76,BD76="Serious",BD76="Very serious")),"Assess imprecision",IFS(ISBLANK(E76),"",AND(Preferences!B$3="Automatic", G76/F76&gt;=30),"Extremely serious",AND(H76&lt;=$D$1*-1,J76&lt;0,G76/F76&lt;3),"Not serious",AND(H76&lt;=$D$1*-1,J76&lt;0,G76/F76&gt;=3),"Very serious",AND(H76&gt;=$D$1,I76&gt;0,G76/F76&lt;3),"Not serious",AND(H76&gt;=$D$1,I76&gt;0,G76/F76&gt;=3),"Very serious",AND(H76&lt;=$D$1*-1,J76&gt;0,I76&gt;$D$2*-1,G76/F76&lt;3),"Serious", AND(H76&lt;=$D$1*-1,J76&gt;0,I76&lt;$D$2*-1,G76/F76&lt;3),"Very serious", AND(H76&gt;=$D$1,I76&lt;0,J76&lt;$D$2,G76/F76&lt;3),"Serious",AND(H76&gt;=$D$1,I76&lt;0,J76&gt;$D$2,G76/F76&lt;3),"Very serious", AND(H76&lt;=$D$1*-1,J76&gt;0,I76&gt;$D$2*-1,G76/F76&gt;=3),"Very serious", AND(H76&lt;=$D$1*-1,J76&gt;0,I76&lt;$D$2*-1,G76/F76&gt;=3),"Very serious", AND(H76&gt;=$D$1,I76&lt;0,J76&lt;$D$2,G76/F76&gt;=3),"Very serious", AND(H76&gt;=$D$1,I76&lt;0,J76&gt;$D$2,G76/F76&gt;=3),"Very serious", AND(H76&gt;$D$1*-1,H76&lt;$D$1,I76&gt;$D$1*-1,J76&lt;$D$1,G76/F76&lt;3),"Not serious", AND(H76&gt;$D$1*-1,H76&lt;$D$1,OR(I76&lt;=$D$1*-1,J76&gt;=$D$1),I76&gt;$D$2*-1,J76&lt;$D$2,G76/F76&lt;3),"Serious", AND(H76&gt;$D$1*-1,H76&lt;$D$1,OR(I76&lt;=$D$2*-1,J76&gt;=$D$2),G76/F76&lt;3),"Very serious", AND(H76&gt;$D$1*-1,H76&lt;$D$1,I76&gt;$D$1*-1,J76&lt;$D$1,G76/F76&gt;=3),"Very serious", AND(H76&gt;$D$1*-1,H76&lt;$D$1,OR(I76&lt;=$D$1*-1,J76&gt;=$D$1),I76&gt;$D$2*-1,J76&lt;$D$2,G76/F76&gt;=3),"Very serious", AND(H76&gt;$D$1*-1,H76&lt;$D$1,OR(I76&lt;=$D$2*-1,J76&gt;=$D$2),G76/F76&gt;=3),"Very serious")),"")</f>
        <v/>
      </c>
      <c r="R76" s="109" t="str">
        <f t="shared" si="47"/>
        <v/>
      </c>
      <c r="S76" s="64"/>
      <c r="T76" s="144"/>
      <c r="U76" s="144"/>
      <c r="V76" s="144"/>
      <c r="W76" s="142"/>
      <c r="X76" s="142"/>
      <c r="Y76" s="143"/>
      <c r="Z76" s="113" t="str">
        <f t="array" ref="Z76">INDEX($A$1:$C$500, MATCH(1,($B:$B=$B76)*($C:$C=$AB76),0),1)</f>
        <v/>
      </c>
      <c r="AA76" s="113" t="str">
        <f t="array" ref="AA76">INDEX($A$1:$C$500, MATCH(1,($B:$B=$AB76)*($C:$C=$B76),0),1)</f>
        <v/>
      </c>
      <c r="AB76" s="111"/>
      <c r="AC76" s="114" t="str">
        <f t="shared" si="2"/>
        <v/>
      </c>
      <c r="AD76" s="115" t="str">
        <f t="shared" si="3"/>
        <v/>
      </c>
      <c r="AE76" s="116" t="str">
        <f t="array" ref="AE76">INDEX($A$1:$C$500, MATCH(1,($B:$B=$AB76)*($C:$C=$AG76),0),1)</f>
        <v/>
      </c>
      <c r="AF76" s="116" t="str">
        <f t="array" ref="AF76">INDEX($A$1:$C$500, MATCH(1,($B:$B=$AG76)*($C:$C=$AB76),0),1)</f>
        <v/>
      </c>
      <c r="AG76" s="72"/>
      <c r="AH76" s="114" t="str">
        <f t="shared" si="4"/>
        <v/>
      </c>
      <c r="AI76" s="115" t="str">
        <f t="shared" si="5"/>
        <v/>
      </c>
      <c r="AJ76" s="116" t="str">
        <f t="array" ref="AJ76">INDEX($A$1:$C$500, MATCH(1,($B:$B=$C76)*($C:$C=$AG76),0),1)</f>
        <v/>
      </c>
      <c r="AK76" s="116" t="str">
        <f t="array" ref="AK76">INDEX($A$1:$C$500, MATCH(1,($B:$B=$AG76)*($C:$C=$C76),0),1)</f>
        <v/>
      </c>
      <c r="AL76" s="116" t="str">
        <f t="array" ref="AL76">INDEX($A$1:$C$500, MATCH(1,($B:$B=$C76)*($C:$C=$AB76),0),1)</f>
        <v/>
      </c>
      <c r="AM76" s="116" t="str">
        <f t="array" ref="AM76">INDEX($A$1:$C$500, MATCH(1,($B:$B=$AB76)*($C:$C=$C76),0),1)</f>
        <v/>
      </c>
      <c r="AN76" s="114" t="str">
        <f t="array" ref="AN76">IFS(ISNUMBER(AJ76),AJ76,ISNUMBER(AK76),AK76,ISNUMBER(AL76),AL76,ISNUMBER(AM76),AM76)</f>
        <v>#N/A</v>
      </c>
      <c r="AO76" s="115" t="str">
        <f t="shared" si="6"/>
        <v/>
      </c>
      <c r="AP76" s="115" t="str">
        <f t="shared" si="7"/>
        <v/>
      </c>
      <c r="AQ76" s="111"/>
      <c r="AR76" s="109" t="str">
        <f t="shared" si="8"/>
        <v/>
      </c>
      <c r="AS76" s="72" t="str">
        <f>IFERROR(IF(AND(Preferences!B$3="Manual",OR(AX76/AW76&gt;V76/U76,BD76="Serious",BD76="Very serious")),"Assess imprecision",IFERROR(IFS(AND(Preferences!B$3="Automatic",V76/U76&gt;=30),"Extremely serious",AND(W76&lt;=$D$1*-1,Y76&lt;0,V76/U76&lt;3),"Not Serious",AND(W76&lt;=$D$1*-1,Y76&lt;0,V76/U76&gt;=3),"Very serious",AND(W76&gt;=$D$1,X76&gt;0,V76/U76&lt;3),"Not Serious",AND(W76&gt;=$D$1,X76&gt;0,V76/U76&gt;=3),"Very serious",AND(W76&lt;=$D$1*-1,Y76&gt;0,X76&gt;$D$2*-1,V76/U76&lt;3),"Serious", AND(W76&lt;=$D$1*-1,Y76&gt;0,X76&lt;$D$2*-1,V76/U76&lt;3),"Very serious", AND(W76&gt;=$D$1,X76&lt;0,Y76&lt;$D$2,V76/U76&lt;3),"Serious",AND(W76&gt;=$D$1,X76&lt;0,Y76&gt;$D$2,V76/U76&lt;3),"Very serious", AND(W76&lt;=$D$1*-1,Y76&gt;0,X76&gt;$D$2*-1,V76/U76&gt;=3),"Very serious", AND(W76&lt;=$D$1*-1,Y76&gt;0,X76&lt;$D$2*-1,V76/U76&gt;=3),"Very serious", AND(W76&gt;=$D$1,X76&lt;0,Y76&lt;$D$2,V76/U76&gt;=3),"Very serious", AND(W76&gt;=$D$1,X76&lt;0,Y76&gt;$D$2,V76/U76&gt;=3),"Very serious", AND(W76&gt;$D$1*-1,W76&lt;$D$1,X76&gt;$D$1*-1,Y76&lt;$D$1,V76/U76&lt;3),"Not Serious", AND(W76&gt;$D$1*-1,W76&lt;$D$1,OR(X76&lt;=$D$1*-1,Y76&gt;=$D$1),X76&gt;$D$2*-1,Y76&lt;$D$2,V76/U76&lt;3),"Serious", AND(W76&gt;$D$1*-1,W76&lt;$D$1,OR(X76&lt;=$D$2*-1,Y76&gt;=$D$2),V76/U76&lt;3),"Very serious", AND(W76&gt;$D$1*-1,W76&lt;$D$1,X76&gt;$D$1*-1,Y76&lt;$D$1,V76/U76&gt;=3),"Very serious", AND(W76&gt;$D$1*-1,W76&lt;$D$1,OR(X76&lt;=$D$1*-1,Y76&gt;=$D$1),X76&gt;$D$2*-1,Y76&lt;$D$2,V76/U76&gt;=3),"Very serious", AND(W76&gt;$D$1*-1,W76&lt;$D$1,OR(X76&lt;=$D$2*-1,Y76&gt;=$D$2),V76/U76&gt;=3),"Very serious"),"")),"")</f>
        <v/>
      </c>
      <c r="AT76" s="109" t="str">
        <f t="shared" si="9"/>
        <v/>
      </c>
      <c r="AU76" s="64"/>
      <c r="AV76" s="117"/>
      <c r="AW76" s="117"/>
      <c r="AX76" s="117"/>
      <c r="AY76" s="118"/>
      <c r="AZ76" s="118"/>
      <c r="BA76" s="119"/>
      <c r="BB76" s="86" t="str">
        <f>IF(Preferences!B$9="Manual","",IFS(ISBLANK(B76),"",AND(ISNUMBER(E76)=TRUE,ISNUMBER(T76)=FALSE),"Direct", AND(ISNUMBER(E76)=FALSE,ISNUMBER(T76)=TRUE),"Indirect", CN76=4,"Direct",AND(CL76=FALSE, CM76=TRUE,CN76-CO76&gt;-1),"Direct", AND(CL76=FALSE,CM76=TRUE, CN76-CO76&lt;0),"Check algorithm in appendix 2", AND(CL76=TRUE, CM76=FALSE,CN76-CO76&gt;0),"Check algorithm in appendix 2", AND(CL76=TRUE, CM76=FALSE,CN76-CO76=0),"Indirect", AND(CL76=TRUE, CM76=FALSE,CN76-CO76&lt;0),"Indirect", AND(CL76=FALSE,CM76=FALSE,CN76-CO76&gt;-1),"Direct", AND(CL76=FALSE,CM76=FALSE,CN76-CO76&lt;0),"Check algorithm in appendix 2", AND(CL76=TRUE,CM76=TRUE,CN76-CO76&gt;-1),"Direct", AND(CL76=TRUE,CM76=TRUE,CN76-CO76&lt;0),"Check algorithm in appendix 2"))</f>
        <v/>
      </c>
      <c r="BC76" s="120" t="str">
        <f t="shared" si="10"/>
        <v/>
      </c>
      <c r="BD76" s="140"/>
      <c r="BE76" s="122" t="str">
        <f>IF(Preferences!B$3="Manual","", IFERROR(IFS(AND(Preferences!B$3="Automatic",AX76/AW76&gt;=30),"Extremely serious",AND(AY76&lt;=$D$1*-1,BA76&lt;0,AX76/AW76&lt;3),"Not Serious",AND(AY76&lt;=$D$1*-1,BA76&lt;0,AX76/AW76&gt;=3),"Very serious",AND(AY76&gt;=$D$1,AZ76&gt;0,AX76/AW76&lt;3),"Not Serious",AND(AY76&gt;=$D$1,AZ76&gt;0,AX76/AW76&gt;=3),"Very serious",AND(AY76&lt;=$D$1*-1,BA76&gt;0,AZ76&gt;$D$2*-1,AX76/AW76&lt;3),"Serious", AND(AY76&lt;=$D$1*-1,BA76&gt;0,AZ76&lt;$D$2*-1,AX76/AW76&lt;3),"Very serious", AND(AY76&gt;=$D$1,AZ76&lt;0,BA76&lt;$D$2,AX76/AW76&lt;3),"Serious",AND(AY76&gt;=$D$1,AZ76&lt;0,BA76&gt;$D$2,AX76/AW76&lt;3),"Very serious", AND(AY76&lt;=$D$1*-1,BA76&gt;0,AZ76&gt;$D$2*-1,AX76/AW76&gt;=3),"Very serious", AND(AY76&lt;=$D$1*-1,BA76&gt;0,AZ76&lt;$D$2*-1,AX76/AW76&gt;=3),"Very serious", AND(AY76&gt;=$D$1,AZ76&lt;0,BA76&lt;$D$2,AX76/AW76&gt;=3),"Very serious", AND(AY76&gt;=$D$1,AZ76&lt;0,BA76&gt;$D$2,AX76/AW76&gt;=3),"Very serious", AND(AY76&gt;$D$1*-1,AY76&lt;$D$1,AZ76&gt;$D$1*-1,BA76&lt;$D$1,AX76/AW76&lt;3),"Not Serious", AND(AY76&gt;$D$1*-1,AY76&lt;$D$1,OR(AZ76&lt;=$D$1*-1,BA76&gt;=$D$1),AZ76&gt;$D$2*-1,BA76&lt;$D$2,AX76/AW76&lt;3),"Serious", AND(AY76&gt;$D$1*-1,AY76&lt;$D$1,OR(AZ76&lt;=$D$2*-1,BA76&gt;=$D$2),AX76/AW76&lt;3),"Very serious", AND(AY76&gt;$D$1*-1,AY76&lt;$D$1,AZ76&gt;$D$1*-1,BA76&lt;$D$1,AX76/AW76&gt;=3),"Very serious", AND(AY76&gt;$D$1*-1,AY76&lt;$D$1,OR(AZ76&lt;=$D$1*-1,BA76&gt;=$D$1),AZ76&gt;$D$2*-1,BA76&lt;$D$2,AX76/AW76&gt;=3),"Very serious", AND(AY76&gt;$D$1*-1,AY76&lt;$D$1,OR(AZ76&lt;=$D$2*-1,BA76&gt;=$D$2),AX76/AW76&gt;=3),"Very serious"),""))</f>
        <v/>
      </c>
      <c r="BF76" s="107" t="str">
        <f t="shared" si="11"/>
        <v/>
      </c>
      <c r="BG76" s="94" t="str">
        <f t="shared" si="46"/>
        <v/>
      </c>
      <c r="BH76" s="64" t="str">
        <f t="shared" si="12"/>
        <v>#N/A</v>
      </c>
      <c r="BI76" s="64" t="str">
        <f t="shared" si="13"/>
        <v/>
      </c>
      <c r="BJ76" s="123" t="str">
        <f t="shared" si="14"/>
        <v>#N/A</v>
      </c>
      <c r="BK76" s="64" t="str">
        <f t="shared" si="50"/>
        <v>YES</v>
      </c>
      <c r="BL76" s="64" t="str">
        <f t="shared" si="16"/>
        <v>YES</v>
      </c>
      <c r="BM76" s="64" t="str">
        <f t="shared" si="17"/>
        <v>YES</v>
      </c>
      <c r="BN76" s="124" t="str">
        <f t="shared" si="18"/>
        <v/>
      </c>
      <c r="BO76" s="91" t="str">
        <f t="shared" si="19"/>
        <v/>
      </c>
      <c r="BP76" s="91" t="str">
        <f t="shared" si="20"/>
        <v>#N/A</v>
      </c>
      <c r="BQ76" s="91" t="str">
        <f t="shared" si="21"/>
        <v/>
      </c>
      <c r="BR76" s="93" t="str">
        <f t="shared" si="22"/>
        <v/>
      </c>
      <c r="BS76" s="90" t="str">
        <f t="shared" si="23"/>
        <v/>
      </c>
      <c r="BT76" s="93" t="str">
        <f t="shared" si="24"/>
        <v>NA</v>
      </c>
      <c r="BU76" s="125" t="str">
        <f t="shared" si="25"/>
        <v>#N/A</v>
      </c>
      <c r="BV76" s="93" t="str">
        <f t="shared" si="26"/>
        <v/>
      </c>
      <c r="BW76" s="93" t="str">
        <f t="shared" si="27"/>
        <v/>
      </c>
      <c r="BX76" s="93" t="str">
        <f t="shared" si="28"/>
        <v>NA</v>
      </c>
      <c r="BY76" s="95" t="str">
        <f t="shared" si="29"/>
        <v>#N/A</v>
      </c>
      <c r="BZ76" s="93" t="str">
        <f t="shared" si="30"/>
        <v/>
      </c>
      <c r="CA76" s="93" t="str">
        <f t="shared" si="31"/>
        <v/>
      </c>
      <c r="CB76" s="93" t="str">
        <f t="shared" si="32"/>
        <v>NA</v>
      </c>
      <c r="CC76" s="96" t="str">
        <f t="shared" si="33"/>
        <v>#N/A</v>
      </c>
      <c r="CD76" s="93" t="str">
        <f t="shared" si="34"/>
        <v/>
      </c>
      <c r="CE76" s="93" t="str">
        <f t="shared" si="35"/>
        <v/>
      </c>
      <c r="CF76" s="93" t="str">
        <f t="shared" si="36"/>
        <v>NA</v>
      </c>
      <c r="CG76" s="97" t="str">
        <f t="shared" si="37"/>
        <v>#N/A</v>
      </c>
      <c r="CH76" s="98" t="str">
        <f t="shared" si="38"/>
        <v>#N/A</v>
      </c>
      <c r="CI76" s="99" t="str">
        <f t="shared" si="39"/>
        <v>#N/A</v>
      </c>
      <c r="CJ76" s="126" t="str">
        <f t="shared" si="40"/>
        <v>ERROR: check cell</v>
      </c>
      <c r="CK76" s="126"/>
      <c r="CL76" s="127" t="str">
        <f t="shared" si="41"/>
        <v>#DIV/0!</v>
      </c>
      <c r="CM76" s="128" t="str">
        <f t="shared" si="42"/>
        <v>#DIV/0!</v>
      </c>
      <c r="CN76" s="128">
        <f t="shared" si="43"/>
        <v>4</v>
      </c>
      <c r="CO76" s="129">
        <f t="shared" si="44"/>
        <v>4</v>
      </c>
      <c r="CP76" s="129" t="str">
        <f>IFS(C76=Preferences!B$13,B76,B76=Preferences!B$13,C76)</f>
        <v>#N/A</v>
      </c>
    </row>
    <row r="77" ht="13.5" customHeight="1">
      <c r="A77" s="63" t="str">
        <f t="shared" si="45"/>
        <v/>
      </c>
      <c r="B77" s="64"/>
      <c r="C77" s="64"/>
      <c r="D77" s="64"/>
      <c r="E77" s="65"/>
      <c r="F77" s="65"/>
      <c r="G77" s="65"/>
      <c r="H77" s="65"/>
      <c r="I77" s="65"/>
      <c r="J77" s="141"/>
      <c r="K77" s="138"/>
      <c r="L77" s="104"/>
      <c r="M77" s="104"/>
      <c r="N77" s="104"/>
      <c r="O77" s="104"/>
      <c r="P77" s="107" t="str">
        <f t="shared" si="1"/>
        <v/>
      </c>
      <c r="Q77" s="108" t="str">
        <f>IFERROR(IF(AND(Preferences!B$3="Manual",OR(AX77/AW77&gt;G77/F77,BD77="Serious",BD77="Very serious")),"Assess imprecision",IFS(ISBLANK(E77),"",AND(Preferences!B$3="Automatic", G77/F77&gt;=30),"Extremely serious",AND(H77&lt;=$D$1*-1,J77&lt;0,G77/F77&lt;3),"Not serious",AND(H77&lt;=$D$1*-1,J77&lt;0,G77/F77&gt;=3),"Very serious",AND(H77&gt;=$D$1,I77&gt;0,G77/F77&lt;3),"Not serious",AND(H77&gt;=$D$1,I77&gt;0,G77/F77&gt;=3),"Very serious",AND(H77&lt;=$D$1*-1,J77&gt;0,I77&gt;$D$2*-1,G77/F77&lt;3),"Serious", AND(H77&lt;=$D$1*-1,J77&gt;0,I77&lt;$D$2*-1,G77/F77&lt;3),"Very serious", AND(H77&gt;=$D$1,I77&lt;0,J77&lt;$D$2,G77/F77&lt;3),"Serious",AND(H77&gt;=$D$1,I77&lt;0,J77&gt;$D$2,G77/F77&lt;3),"Very serious", AND(H77&lt;=$D$1*-1,J77&gt;0,I77&gt;$D$2*-1,G77/F77&gt;=3),"Very serious", AND(H77&lt;=$D$1*-1,J77&gt;0,I77&lt;$D$2*-1,G77/F77&gt;=3),"Very serious", AND(H77&gt;=$D$1,I77&lt;0,J77&lt;$D$2,G77/F77&gt;=3),"Very serious", AND(H77&gt;=$D$1,I77&lt;0,J77&gt;$D$2,G77/F77&gt;=3),"Very serious", AND(H77&gt;$D$1*-1,H77&lt;$D$1,I77&gt;$D$1*-1,J77&lt;$D$1,G77/F77&lt;3),"Not serious", AND(H77&gt;$D$1*-1,H77&lt;$D$1,OR(I77&lt;=$D$1*-1,J77&gt;=$D$1),I77&gt;$D$2*-1,J77&lt;$D$2,G77/F77&lt;3),"Serious", AND(H77&gt;$D$1*-1,H77&lt;$D$1,OR(I77&lt;=$D$2*-1,J77&gt;=$D$2),G77/F77&lt;3),"Very serious", AND(H77&gt;$D$1*-1,H77&lt;$D$1,I77&gt;$D$1*-1,J77&lt;$D$1,G77/F77&gt;=3),"Very serious", AND(H77&gt;$D$1*-1,H77&lt;$D$1,OR(I77&lt;=$D$1*-1,J77&gt;=$D$1),I77&gt;$D$2*-1,J77&lt;$D$2,G77/F77&gt;=3),"Very serious", AND(H77&gt;$D$1*-1,H77&lt;$D$1,OR(I77&lt;=$D$2*-1,J77&gt;=$D$2),G77/F77&gt;=3),"Very serious")),"")</f>
        <v/>
      </c>
      <c r="R77" s="109" t="str">
        <f t="shared" si="47"/>
        <v/>
      </c>
      <c r="S77" s="64"/>
      <c r="T77" s="144"/>
      <c r="U77" s="144"/>
      <c r="V77" s="144"/>
      <c r="W77" s="142"/>
      <c r="X77" s="142"/>
      <c r="Y77" s="143"/>
      <c r="Z77" s="113" t="str">
        <f t="array" ref="Z77">INDEX($A$1:$C$500, MATCH(1,($B:$B=$B77)*($C:$C=$AB77),0),1)</f>
        <v/>
      </c>
      <c r="AA77" s="113" t="str">
        <f t="array" ref="AA77">INDEX($A$1:$C$500, MATCH(1,($B:$B=$AB77)*($C:$C=$B77),0),1)</f>
        <v/>
      </c>
      <c r="AB77" s="111"/>
      <c r="AC77" s="114" t="str">
        <f t="shared" si="2"/>
        <v/>
      </c>
      <c r="AD77" s="115" t="str">
        <f t="shared" si="3"/>
        <v/>
      </c>
      <c r="AE77" s="116" t="str">
        <f t="array" ref="AE77">INDEX($A$1:$C$500, MATCH(1,($B:$B=$AB77)*($C:$C=$AG77),0),1)</f>
        <v/>
      </c>
      <c r="AF77" s="116" t="str">
        <f t="array" ref="AF77">INDEX($A$1:$C$500, MATCH(1,($B:$B=$AG77)*($C:$C=$AB77),0),1)</f>
        <v/>
      </c>
      <c r="AG77" s="72"/>
      <c r="AH77" s="114" t="str">
        <f t="shared" si="4"/>
        <v/>
      </c>
      <c r="AI77" s="115" t="str">
        <f t="shared" si="5"/>
        <v/>
      </c>
      <c r="AJ77" s="116" t="str">
        <f t="array" ref="AJ77">INDEX($A$1:$C$500, MATCH(1,($B:$B=$C77)*($C:$C=$AG77),0),1)</f>
        <v/>
      </c>
      <c r="AK77" s="116" t="str">
        <f t="array" ref="AK77">INDEX($A$1:$C$500, MATCH(1,($B:$B=$AG77)*($C:$C=$C77),0),1)</f>
        <v/>
      </c>
      <c r="AL77" s="116" t="str">
        <f t="array" ref="AL77">INDEX($A$1:$C$500, MATCH(1,($B:$B=$C77)*($C:$C=$AB77),0),1)</f>
        <v/>
      </c>
      <c r="AM77" s="116" t="str">
        <f t="array" ref="AM77">INDEX($A$1:$C$500, MATCH(1,($B:$B=$AB77)*($C:$C=$C77),0),1)</f>
        <v/>
      </c>
      <c r="AN77" s="114" t="str">
        <f t="array" ref="AN77">IFS(ISNUMBER(AJ77),AJ77,ISNUMBER(AK77),AK77,ISNUMBER(AL77),AL77,ISNUMBER(AM77),AM77)</f>
        <v>#N/A</v>
      </c>
      <c r="AO77" s="115" t="str">
        <f t="shared" si="6"/>
        <v/>
      </c>
      <c r="AP77" s="115" t="str">
        <f t="shared" si="7"/>
        <v/>
      </c>
      <c r="AQ77" s="111"/>
      <c r="AR77" s="109" t="str">
        <f t="shared" si="8"/>
        <v/>
      </c>
      <c r="AS77" s="72" t="str">
        <f>IFERROR(IF(AND(Preferences!B$3="Manual",OR(AX77/AW77&gt;V77/U77,BD77="Serious",BD77="Very serious")),"Assess imprecision",IFERROR(IFS(AND(Preferences!B$3="Automatic",V77/U77&gt;=30),"Extremely serious",AND(W77&lt;=$D$1*-1,Y77&lt;0,V77/U77&lt;3),"Not Serious",AND(W77&lt;=$D$1*-1,Y77&lt;0,V77/U77&gt;=3),"Very serious",AND(W77&gt;=$D$1,X77&gt;0,V77/U77&lt;3),"Not Serious",AND(W77&gt;=$D$1,X77&gt;0,V77/U77&gt;=3),"Very serious",AND(W77&lt;=$D$1*-1,Y77&gt;0,X77&gt;$D$2*-1,V77/U77&lt;3),"Serious", AND(W77&lt;=$D$1*-1,Y77&gt;0,X77&lt;$D$2*-1,V77/U77&lt;3),"Very serious", AND(W77&gt;=$D$1,X77&lt;0,Y77&lt;$D$2,V77/U77&lt;3),"Serious",AND(W77&gt;=$D$1,X77&lt;0,Y77&gt;$D$2,V77/U77&lt;3),"Very serious", AND(W77&lt;=$D$1*-1,Y77&gt;0,X77&gt;$D$2*-1,V77/U77&gt;=3),"Very serious", AND(W77&lt;=$D$1*-1,Y77&gt;0,X77&lt;$D$2*-1,V77/U77&gt;=3),"Very serious", AND(W77&gt;=$D$1,X77&lt;0,Y77&lt;$D$2,V77/U77&gt;=3),"Very serious", AND(W77&gt;=$D$1,X77&lt;0,Y77&gt;$D$2,V77/U77&gt;=3),"Very serious", AND(W77&gt;$D$1*-1,W77&lt;$D$1,X77&gt;$D$1*-1,Y77&lt;$D$1,V77/U77&lt;3),"Not Serious", AND(W77&gt;$D$1*-1,W77&lt;$D$1,OR(X77&lt;=$D$1*-1,Y77&gt;=$D$1),X77&gt;$D$2*-1,Y77&lt;$D$2,V77/U77&lt;3),"Serious", AND(W77&gt;$D$1*-1,W77&lt;$D$1,OR(X77&lt;=$D$2*-1,Y77&gt;=$D$2),V77/U77&lt;3),"Very serious", AND(W77&gt;$D$1*-1,W77&lt;$D$1,X77&gt;$D$1*-1,Y77&lt;$D$1,V77/U77&gt;=3),"Very serious", AND(W77&gt;$D$1*-1,W77&lt;$D$1,OR(X77&lt;=$D$1*-1,Y77&gt;=$D$1),X77&gt;$D$2*-1,Y77&lt;$D$2,V77/U77&gt;=3),"Very serious", AND(W77&gt;$D$1*-1,W77&lt;$D$1,OR(X77&lt;=$D$2*-1,Y77&gt;=$D$2),V77/U77&gt;=3),"Very serious"),"")),"")</f>
        <v/>
      </c>
      <c r="AT77" s="109" t="str">
        <f t="shared" si="9"/>
        <v/>
      </c>
      <c r="AU77" s="64"/>
      <c r="AV77" s="117"/>
      <c r="AW77" s="117"/>
      <c r="AX77" s="117"/>
      <c r="AY77" s="118"/>
      <c r="AZ77" s="118"/>
      <c r="BA77" s="119"/>
      <c r="BB77" s="86" t="str">
        <f>IF(Preferences!B$9="Manual","",IFS(ISBLANK(B77),"",AND(ISNUMBER(E77)=TRUE,ISNUMBER(T77)=FALSE),"Direct", AND(ISNUMBER(E77)=FALSE,ISNUMBER(T77)=TRUE),"Indirect", CN77=4,"Direct",AND(CL77=FALSE, CM77=TRUE,CN77-CO77&gt;-1),"Direct", AND(CL77=FALSE,CM77=TRUE, CN77-CO77&lt;0),"Check algorithm in appendix 2", AND(CL77=TRUE, CM77=FALSE,CN77-CO77&gt;0),"Check algorithm in appendix 2", AND(CL77=TRUE, CM77=FALSE,CN77-CO77=0),"Indirect", AND(CL77=TRUE, CM77=FALSE,CN77-CO77&lt;0),"Indirect", AND(CL77=FALSE,CM77=FALSE,CN77-CO77&gt;-1),"Direct", AND(CL77=FALSE,CM77=FALSE,CN77-CO77&lt;0),"Check algorithm in appendix 2", AND(CL77=TRUE,CM77=TRUE,CN77-CO77&gt;-1),"Direct", AND(CL77=TRUE,CM77=TRUE,CN77-CO77&lt;0),"Check algorithm in appendix 2"))</f>
        <v/>
      </c>
      <c r="BC77" s="120" t="str">
        <f t="shared" si="10"/>
        <v/>
      </c>
      <c r="BD77" s="140"/>
      <c r="BE77" s="122" t="str">
        <f>IF(Preferences!B$3="Manual","", IFERROR(IFS(AND(Preferences!B$3="Automatic",AX77/AW77&gt;=30),"Extremely serious",AND(AY77&lt;=$D$1*-1,BA77&lt;0,AX77/AW77&lt;3),"Not Serious",AND(AY77&lt;=$D$1*-1,BA77&lt;0,AX77/AW77&gt;=3),"Very serious",AND(AY77&gt;=$D$1,AZ77&gt;0,AX77/AW77&lt;3),"Not Serious",AND(AY77&gt;=$D$1,AZ77&gt;0,AX77/AW77&gt;=3),"Very serious",AND(AY77&lt;=$D$1*-1,BA77&gt;0,AZ77&gt;$D$2*-1,AX77/AW77&lt;3),"Serious", AND(AY77&lt;=$D$1*-1,BA77&gt;0,AZ77&lt;$D$2*-1,AX77/AW77&lt;3),"Very serious", AND(AY77&gt;=$D$1,AZ77&lt;0,BA77&lt;$D$2,AX77/AW77&lt;3),"Serious",AND(AY77&gt;=$D$1,AZ77&lt;0,BA77&gt;$D$2,AX77/AW77&lt;3),"Very serious", AND(AY77&lt;=$D$1*-1,BA77&gt;0,AZ77&gt;$D$2*-1,AX77/AW77&gt;=3),"Very serious", AND(AY77&lt;=$D$1*-1,BA77&gt;0,AZ77&lt;$D$2*-1,AX77/AW77&gt;=3),"Very serious", AND(AY77&gt;=$D$1,AZ77&lt;0,BA77&lt;$D$2,AX77/AW77&gt;=3),"Very serious", AND(AY77&gt;=$D$1,AZ77&lt;0,BA77&gt;$D$2,AX77/AW77&gt;=3),"Very serious", AND(AY77&gt;$D$1*-1,AY77&lt;$D$1,AZ77&gt;$D$1*-1,BA77&lt;$D$1,AX77/AW77&lt;3),"Not Serious", AND(AY77&gt;$D$1*-1,AY77&lt;$D$1,OR(AZ77&lt;=$D$1*-1,BA77&gt;=$D$1),AZ77&gt;$D$2*-1,BA77&lt;$D$2,AX77/AW77&lt;3),"Serious", AND(AY77&gt;$D$1*-1,AY77&lt;$D$1,OR(AZ77&lt;=$D$2*-1,BA77&gt;=$D$2),AX77/AW77&lt;3),"Very serious", AND(AY77&gt;$D$1*-1,AY77&lt;$D$1,AZ77&gt;$D$1*-1,BA77&lt;$D$1,AX77/AW77&gt;=3),"Very serious", AND(AY77&gt;$D$1*-1,AY77&lt;$D$1,OR(AZ77&lt;=$D$1*-1,BA77&gt;=$D$1),AZ77&gt;$D$2*-1,BA77&lt;$D$2,AX77/AW77&gt;=3),"Very serious", AND(AY77&gt;$D$1*-1,AY77&lt;$D$1,OR(AZ77&lt;=$D$2*-1,BA77&gt;=$D$2),AX77/AW77&gt;=3),"Very serious"),""))</f>
        <v/>
      </c>
      <c r="BF77" s="107" t="str">
        <f t="shared" si="11"/>
        <v/>
      </c>
      <c r="BG77" s="94" t="str">
        <f t="shared" si="46"/>
        <v/>
      </c>
      <c r="BH77" s="64" t="str">
        <f t="shared" si="12"/>
        <v>#N/A</v>
      </c>
      <c r="BI77" s="64" t="str">
        <f t="shared" si="13"/>
        <v/>
      </c>
      <c r="BJ77" s="123" t="str">
        <f t="shared" si="14"/>
        <v>#N/A</v>
      </c>
      <c r="BK77" s="64" t="str">
        <f t="shared" si="50"/>
        <v>YES</v>
      </c>
      <c r="BL77" s="64" t="str">
        <f t="shared" si="16"/>
        <v>YES</v>
      </c>
      <c r="BM77" s="64" t="str">
        <f t="shared" si="17"/>
        <v>YES</v>
      </c>
      <c r="BN77" s="124" t="str">
        <f t="shared" si="18"/>
        <v/>
      </c>
      <c r="BO77" s="91" t="str">
        <f t="shared" si="19"/>
        <v/>
      </c>
      <c r="BP77" s="91" t="str">
        <f t="shared" si="20"/>
        <v>#N/A</v>
      </c>
      <c r="BQ77" s="91" t="str">
        <f t="shared" si="21"/>
        <v/>
      </c>
      <c r="BR77" s="93" t="str">
        <f t="shared" si="22"/>
        <v/>
      </c>
      <c r="BS77" s="90" t="str">
        <f t="shared" si="23"/>
        <v/>
      </c>
      <c r="BT77" s="93" t="str">
        <f t="shared" si="24"/>
        <v>NA</v>
      </c>
      <c r="BU77" s="125" t="str">
        <f t="shared" si="25"/>
        <v>#N/A</v>
      </c>
      <c r="BV77" s="93" t="str">
        <f t="shared" si="26"/>
        <v/>
      </c>
      <c r="BW77" s="93" t="str">
        <f t="shared" si="27"/>
        <v/>
      </c>
      <c r="BX77" s="93" t="str">
        <f t="shared" si="28"/>
        <v>NA</v>
      </c>
      <c r="BY77" s="95" t="str">
        <f t="shared" si="29"/>
        <v>#N/A</v>
      </c>
      <c r="BZ77" s="93" t="str">
        <f t="shared" si="30"/>
        <v/>
      </c>
      <c r="CA77" s="93" t="str">
        <f t="shared" si="31"/>
        <v/>
      </c>
      <c r="CB77" s="93" t="str">
        <f t="shared" si="32"/>
        <v>NA</v>
      </c>
      <c r="CC77" s="96" t="str">
        <f t="shared" si="33"/>
        <v>#N/A</v>
      </c>
      <c r="CD77" s="93" t="str">
        <f t="shared" si="34"/>
        <v/>
      </c>
      <c r="CE77" s="93" t="str">
        <f t="shared" si="35"/>
        <v/>
      </c>
      <c r="CF77" s="93" t="str">
        <f t="shared" si="36"/>
        <v>NA</v>
      </c>
      <c r="CG77" s="97" t="str">
        <f t="shared" si="37"/>
        <v>#N/A</v>
      </c>
      <c r="CH77" s="98" t="str">
        <f t="shared" si="38"/>
        <v>#N/A</v>
      </c>
      <c r="CI77" s="99" t="str">
        <f t="shared" si="39"/>
        <v>#N/A</v>
      </c>
      <c r="CJ77" s="126" t="str">
        <f t="shared" si="40"/>
        <v>ERROR: check cell</v>
      </c>
      <c r="CK77" s="126"/>
      <c r="CL77" s="127" t="str">
        <f t="shared" si="41"/>
        <v>#DIV/0!</v>
      </c>
      <c r="CM77" s="128" t="str">
        <f t="shared" si="42"/>
        <v>#DIV/0!</v>
      </c>
      <c r="CN77" s="128">
        <f t="shared" si="43"/>
        <v>4</v>
      </c>
      <c r="CO77" s="129">
        <f t="shared" si="44"/>
        <v>4</v>
      </c>
      <c r="CP77" s="129" t="str">
        <f>IFS(C77=Preferences!B$13,B77,B77=Preferences!B$13,C77)</f>
        <v>#N/A</v>
      </c>
    </row>
    <row r="78" ht="13.5" customHeight="1">
      <c r="A78" s="63" t="str">
        <f t="shared" si="45"/>
        <v/>
      </c>
      <c r="B78" s="64"/>
      <c r="C78" s="64"/>
      <c r="D78" s="64"/>
      <c r="E78" s="65"/>
      <c r="F78" s="65"/>
      <c r="G78" s="65"/>
      <c r="H78" s="65"/>
      <c r="I78" s="65"/>
      <c r="J78" s="141"/>
      <c r="K78" s="138"/>
      <c r="L78" s="104"/>
      <c r="M78" s="104"/>
      <c r="N78" s="104"/>
      <c r="O78" s="104"/>
      <c r="P78" s="107" t="str">
        <f t="shared" si="1"/>
        <v/>
      </c>
      <c r="Q78" s="108" t="str">
        <f>IFERROR(IF(AND(Preferences!B$3="Manual",OR(AX78/AW78&gt;G78/F78,BD78="Serious",BD78="Very serious")),"Assess imprecision",IFS(ISBLANK(E78),"",AND(Preferences!B$3="Automatic", G78/F78&gt;=30),"Extremely serious",AND(H78&lt;=$D$1*-1,J78&lt;0,G78/F78&lt;3),"Not serious",AND(H78&lt;=$D$1*-1,J78&lt;0,G78/F78&gt;=3),"Very serious",AND(H78&gt;=$D$1,I78&gt;0,G78/F78&lt;3),"Not serious",AND(H78&gt;=$D$1,I78&gt;0,G78/F78&gt;=3),"Very serious",AND(H78&lt;=$D$1*-1,J78&gt;0,I78&gt;$D$2*-1,G78/F78&lt;3),"Serious", AND(H78&lt;=$D$1*-1,J78&gt;0,I78&lt;$D$2*-1,G78/F78&lt;3),"Very serious", AND(H78&gt;=$D$1,I78&lt;0,J78&lt;$D$2,G78/F78&lt;3),"Serious",AND(H78&gt;=$D$1,I78&lt;0,J78&gt;$D$2,G78/F78&lt;3),"Very serious", AND(H78&lt;=$D$1*-1,J78&gt;0,I78&gt;$D$2*-1,G78/F78&gt;=3),"Very serious", AND(H78&lt;=$D$1*-1,J78&gt;0,I78&lt;$D$2*-1,G78/F78&gt;=3),"Very serious", AND(H78&gt;=$D$1,I78&lt;0,J78&lt;$D$2,G78/F78&gt;=3),"Very serious", AND(H78&gt;=$D$1,I78&lt;0,J78&gt;$D$2,G78/F78&gt;=3),"Very serious", AND(H78&gt;$D$1*-1,H78&lt;$D$1,I78&gt;$D$1*-1,J78&lt;$D$1,G78/F78&lt;3),"Not serious", AND(H78&gt;$D$1*-1,H78&lt;$D$1,OR(I78&lt;=$D$1*-1,J78&gt;=$D$1),I78&gt;$D$2*-1,J78&lt;$D$2,G78/F78&lt;3),"Serious", AND(H78&gt;$D$1*-1,H78&lt;$D$1,OR(I78&lt;=$D$2*-1,J78&gt;=$D$2),G78/F78&lt;3),"Very serious", AND(H78&gt;$D$1*-1,H78&lt;$D$1,I78&gt;$D$1*-1,J78&lt;$D$1,G78/F78&gt;=3),"Very serious", AND(H78&gt;$D$1*-1,H78&lt;$D$1,OR(I78&lt;=$D$1*-1,J78&gt;=$D$1),I78&gt;$D$2*-1,J78&lt;$D$2,G78/F78&gt;=3),"Very serious", AND(H78&gt;$D$1*-1,H78&lt;$D$1,OR(I78&lt;=$D$2*-1,J78&gt;=$D$2),G78/F78&gt;=3),"Very serious")),"")</f>
        <v/>
      </c>
      <c r="R78" s="109" t="str">
        <f t="shared" si="47"/>
        <v/>
      </c>
      <c r="S78" s="64"/>
      <c r="T78" s="144"/>
      <c r="U78" s="144"/>
      <c r="V78" s="144"/>
      <c r="W78" s="142"/>
      <c r="X78" s="142"/>
      <c r="Y78" s="143"/>
      <c r="Z78" s="113" t="str">
        <f t="array" ref="Z78">INDEX($A$1:$C$500, MATCH(1,($B:$B=$B78)*($C:$C=$AB78),0),1)</f>
        <v/>
      </c>
      <c r="AA78" s="113" t="str">
        <f t="array" ref="AA78">INDEX($A$1:$C$500, MATCH(1,($B:$B=$AB78)*($C:$C=$B78),0),1)</f>
        <v/>
      </c>
      <c r="AB78" s="111"/>
      <c r="AC78" s="114" t="str">
        <f t="shared" si="2"/>
        <v/>
      </c>
      <c r="AD78" s="115" t="str">
        <f t="shared" si="3"/>
        <v/>
      </c>
      <c r="AE78" s="116" t="str">
        <f t="array" ref="AE78">INDEX($A$1:$C$500, MATCH(1,($B:$B=$AB78)*($C:$C=$AG78),0),1)</f>
        <v/>
      </c>
      <c r="AF78" s="116" t="str">
        <f t="array" ref="AF78">INDEX($A$1:$C$500, MATCH(1,($B:$B=$AG78)*($C:$C=$AB78),0),1)</f>
        <v/>
      </c>
      <c r="AG78" s="72"/>
      <c r="AH78" s="114" t="str">
        <f t="shared" si="4"/>
        <v/>
      </c>
      <c r="AI78" s="115" t="str">
        <f t="shared" si="5"/>
        <v/>
      </c>
      <c r="AJ78" s="116" t="str">
        <f t="array" ref="AJ78">INDEX($A$1:$C$500, MATCH(1,($B:$B=$C78)*($C:$C=$AG78),0),1)</f>
        <v/>
      </c>
      <c r="AK78" s="116" t="str">
        <f t="array" ref="AK78">INDEX($A$1:$C$500, MATCH(1,($B:$B=$AG78)*($C:$C=$C78),0),1)</f>
        <v/>
      </c>
      <c r="AL78" s="116" t="str">
        <f t="array" ref="AL78">INDEX($A$1:$C$500, MATCH(1,($B:$B=$C78)*($C:$C=$AB78),0),1)</f>
        <v/>
      </c>
      <c r="AM78" s="116" t="str">
        <f t="array" ref="AM78">INDEX($A$1:$C$500, MATCH(1,($B:$B=$AB78)*($C:$C=$C78),0),1)</f>
        <v/>
      </c>
      <c r="AN78" s="114" t="str">
        <f t="array" ref="AN78">IFS(ISNUMBER(AJ78),AJ78,ISNUMBER(AK78),AK78,ISNUMBER(AL78),AL78,ISNUMBER(AM78),AM78)</f>
        <v>#N/A</v>
      </c>
      <c r="AO78" s="115" t="str">
        <f t="shared" si="6"/>
        <v/>
      </c>
      <c r="AP78" s="115" t="str">
        <f t="shared" si="7"/>
        <v/>
      </c>
      <c r="AQ78" s="111"/>
      <c r="AR78" s="109" t="str">
        <f t="shared" si="8"/>
        <v/>
      </c>
      <c r="AS78" s="72" t="str">
        <f>IFERROR(IF(AND(Preferences!B$3="Manual",OR(AX78/AW78&gt;V78/U78,BD78="Serious",BD78="Very serious")),"Assess imprecision",IFERROR(IFS(AND(Preferences!B$3="Automatic",V78/U78&gt;=30),"Extremely serious",AND(W78&lt;=$D$1*-1,Y78&lt;0,V78/U78&lt;3),"Not Serious",AND(W78&lt;=$D$1*-1,Y78&lt;0,V78/U78&gt;=3),"Very serious",AND(W78&gt;=$D$1,X78&gt;0,V78/U78&lt;3),"Not Serious",AND(W78&gt;=$D$1,X78&gt;0,V78/U78&gt;=3),"Very serious",AND(W78&lt;=$D$1*-1,Y78&gt;0,X78&gt;$D$2*-1,V78/U78&lt;3),"Serious", AND(W78&lt;=$D$1*-1,Y78&gt;0,X78&lt;$D$2*-1,V78/U78&lt;3),"Very serious", AND(W78&gt;=$D$1,X78&lt;0,Y78&lt;$D$2,V78/U78&lt;3),"Serious",AND(W78&gt;=$D$1,X78&lt;0,Y78&gt;$D$2,V78/U78&lt;3),"Very serious", AND(W78&lt;=$D$1*-1,Y78&gt;0,X78&gt;$D$2*-1,V78/U78&gt;=3),"Very serious", AND(W78&lt;=$D$1*-1,Y78&gt;0,X78&lt;$D$2*-1,V78/U78&gt;=3),"Very serious", AND(W78&gt;=$D$1,X78&lt;0,Y78&lt;$D$2,V78/U78&gt;=3),"Very serious", AND(W78&gt;=$D$1,X78&lt;0,Y78&gt;$D$2,V78/U78&gt;=3),"Very serious", AND(W78&gt;$D$1*-1,W78&lt;$D$1,X78&gt;$D$1*-1,Y78&lt;$D$1,V78/U78&lt;3),"Not Serious", AND(W78&gt;$D$1*-1,W78&lt;$D$1,OR(X78&lt;=$D$1*-1,Y78&gt;=$D$1),X78&gt;$D$2*-1,Y78&lt;$D$2,V78/U78&lt;3),"Serious", AND(W78&gt;$D$1*-1,W78&lt;$D$1,OR(X78&lt;=$D$2*-1,Y78&gt;=$D$2),V78/U78&lt;3),"Very serious", AND(W78&gt;$D$1*-1,W78&lt;$D$1,X78&gt;$D$1*-1,Y78&lt;$D$1,V78/U78&gt;=3),"Very serious", AND(W78&gt;$D$1*-1,W78&lt;$D$1,OR(X78&lt;=$D$1*-1,Y78&gt;=$D$1),X78&gt;$D$2*-1,Y78&lt;$D$2,V78/U78&gt;=3),"Very serious", AND(W78&gt;$D$1*-1,W78&lt;$D$1,OR(X78&lt;=$D$2*-1,Y78&gt;=$D$2),V78/U78&gt;=3),"Very serious"),"")),"")</f>
        <v/>
      </c>
      <c r="AT78" s="109" t="str">
        <f t="shared" si="9"/>
        <v/>
      </c>
      <c r="AU78" s="64"/>
      <c r="AV78" s="117"/>
      <c r="AW78" s="117"/>
      <c r="AX78" s="117"/>
      <c r="AY78" s="118"/>
      <c r="AZ78" s="118"/>
      <c r="BA78" s="119"/>
      <c r="BB78" s="86" t="str">
        <f>IF(Preferences!B$9="Manual","",IFS(ISBLANK(B78),"",AND(ISNUMBER(E78)=TRUE,ISNUMBER(T78)=FALSE),"Direct", AND(ISNUMBER(E78)=FALSE,ISNUMBER(T78)=TRUE),"Indirect", CN78=4,"Direct",AND(CL78=FALSE, CM78=TRUE,CN78-CO78&gt;-1),"Direct", AND(CL78=FALSE,CM78=TRUE, CN78-CO78&lt;0),"Check algorithm in appendix 2", AND(CL78=TRUE, CM78=FALSE,CN78-CO78&gt;0),"Check algorithm in appendix 2", AND(CL78=TRUE, CM78=FALSE,CN78-CO78=0),"Indirect", AND(CL78=TRUE, CM78=FALSE,CN78-CO78&lt;0),"Indirect", AND(CL78=FALSE,CM78=FALSE,CN78-CO78&gt;-1),"Direct", AND(CL78=FALSE,CM78=FALSE,CN78-CO78&lt;0),"Check algorithm in appendix 2", AND(CL78=TRUE,CM78=TRUE,CN78-CO78&gt;-1),"Direct", AND(CL78=TRUE,CM78=TRUE,CN78-CO78&lt;0),"Check algorithm in appendix 2"))</f>
        <v/>
      </c>
      <c r="BC78" s="120" t="str">
        <f t="shared" si="10"/>
        <v/>
      </c>
      <c r="BD78" s="140"/>
      <c r="BE78" s="122" t="str">
        <f>IF(Preferences!B$3="Manual","", IFERROR(IFS(AND(Preferences!B$3="Automatic",AX78/AW78&gt;=30),"Extremely serious",AND(AY78&lt;=$D$1*-1,BA78&lt;0,AX78/AW78&lt;3),"Not Serious",AND(AY78&lt;=$D$1*-1,BA78&lt;0,AX78/AW78&gt;=3),"Very serious",AND(AY78&gt;=$D$1,AZ78&gt;0,AX78/AW78&lt;3),"Not Serious",AND(AY78&gt;=$D$1,AZ78&gt;0,AX78/AW78&gt;=3),"Very serious",AND(AY78&lt;=$D$1*-1,BA78&gt;0,AZ78&gt;$D$2*-1,AX78/AW78&lt;3),"Serious", AND(AY78&lt;=$D$1*-1,BA78&gt;0,AZ78&lt;$D$2*-1,AX78/AW78&lt;3),"Very serious", AND(AY78&gt;=$D$1,AZ78&lt;0,BA78&lt;$D$2,AX78/AW78&lt;3),"Serious",AND(AY78&gt;=$D$1,AZ78&lt;0,BA78&gt;$D$2,AX78/AW78&lt;3),"Very serious", AND(AY78&lt;=$D$1*-1,BA78&gt;0,AZ78&gt;$D$2*-1,AX78/AW78&gt;=3),"Very serious", AND(AY78&lt;=$D$1*-1,BA78&gt;0,AZ78&lt;$D$2*-1,AX78/AW78&gt;=3),"Very serious", AND(AY78&gt;=$D$1,AZ78&lt;0,BA78&lt;$D$2,AX78/AW78&gt;=3),"Very serious", AND(AY78&gt;=$D$1,AZ78&lt;0,BA78&gt;$D$2,AX78/AW78&gt;=3),"Very serious", AND(AY78&gt;$D$1*-1,AY78&lt;$D$1,AZ78&gt;$D$1*-1,BA78&lt;$D$1,AX78/AW78&lt;3),"Not Serious", AND(AY78&gt;$D$1*-1,AY78&lt;$D$1,OR(AZ78&lt;=$D$1*-1,BA78&gt;=$D$1),AZ78&gt;$D$2*-1,BA78&lt;$D$2,AX78/AW78&lt;3),"Serious", AND(AY78&gt;$D$1*-1,AY78&lt;$D$1,OR(AZ78&lt;=$D$2*-1,BA78&gt;=$D$2),AX78/AW78&lt;3),"Very serious", AND(AY78&gt;$D$1*-1,AY78&lt;$D$1,AZ78&gt;$D$1*-1,BA78&lt;$D$1,AX78/AW78&gt;=3),"Very serious", AND(AY78&gt;$D$1*-1,AY78&lt;$D$1,OR(AZ78&lt;=$D$1*-1,BA78&gt;=$D$1),AZ78&gt;$D$2*-1,BA78&lt;$D$2,AX78/AW78&gt;=3),"Very serious", AND(AY78&gt;$D$1*-1,AY78&lt;$D$1,OR(AZ78&lt;=$D$2*-1,BA78&gt;=$D$2),AX78/AW78&gt;=3),"Very serious"),""))</f>
        <v/>
      </c>
      <c r="BF78" s="107" t="str">
        <f t="shared" si="11"/>
        <v/>
      </c>
      <c r="BG78" s="94" t="str">
        <f t="shared" si="46"/>
        <v/>
      </c>
      <c r="BH78" s="64" t="str">
        <f t="shared" si="12"/>
        <v>#N/A</v>
      </c>
      <c r="BI78" s="64" t="str">
        <f t="shared" si="13"/>
        <v/>
      </c>
      <c r="BJ78" s="123" t="str">
        <f t="shared" si="14"/>
        <v>#N/A</v>
      </c>
      <c r="BK78" s="64" t="str">
        <f t="shared" si="50"/>
        <v>YES</v>
      </c>
      <c r="BL78" s="64" t="str">
        <f t="shared" si="16"/>
        <v>YES</v>
      </c>
      <c r="BM78" s="64" t="str">
        <f t="shared" si="17"/>
        <v>YES</v>
      </c>
      <c r="BN78" s="124" t="str">
        <f t="shared" si="18"/>
        <v/>
      </c>
      <c r="BO78" s="91" t="str">
        <f t="shared" si="19"/>
        <v/>
      </c>
      <c r="BP78" s="91" t="str">
        <f t="shared" si="20"/>
        <v>#N/A</v>
      </c>
      <c r="BQ78" s="91" t="str">
        <f t="shared" si="21"/>
        <v/>
      </c>
      <c r="BR78" s="93" t="str">
        <f t="shared" si="22"/>
        <v/>
      </c>
      <c r="BS78" s="90" t="str">
        <f t="shared" si="23"/>
        <v/>
      </c>
      <c r="BT78" s="93" t="str">
        <f t="shared" si="24"/>
        <v>NA</v>
      </c>
      <c r="BU78" s="125" t="str">
        <f t="shared" si="25"/>
        <v>#N/A</v>
      </c>
      <c r="BV78" s="93" t="str">
        <f t="shared" si="26"/>
        <v/>
      </c>
      <c r="BW78" s="93" t="str">
        <f t="shared" si="27"/>
        <v/>
      </c>
      <c r="BX78" s="93" t="str">
        <f t="shared" si="28"/>
        <v>NA</v>
      </c>
      <c r="BY78" s="95" t="str">
        <f t="shared" si="29"/>
        <v>#N/A</v>
      </c>
      <c r="BZ78" s="93" t="str">
        <f t="shared" si="30"/>
        <v/>
      </c>
      <c r="CA78" s="93" t="str">
        <f t="shared" si="31"/>
        <v/>
      </c>
      <c r="CB78" s="93" t="str">
        <f t="shared" si="32"/>
        <v>NA</v>
      </c>
      <c r="CC78" s="96" t="str">
        <f t="shared" si="33"/>
        <v>#N/A</v>
      </c>
      <c r="CD78" s="93" t="str">
        <f t="shared" si="34"/>
        <v/>
      </c>
      <c r="CE78" s="93" t="str">
        <f t="shared" si="35"/>
        <v/>
      </c>
      <c r="CF78" s="93" t="str">
        <f t="shared" si="36"/>
        <v>NA</v>
      </c>
      <c r="CG78" s="97" t="str">
        <f t="shared" si="37"/>
        <v>#N/A</v>
      </c>
      <c r="CH78" s="98" t="str">
        <f t="shared" si="38"/>
        <v>#N/A</v>
      </c>
      <c r="CI78" s="99" t="str">
        <f t="shared" si="39"/>
        <v>#N/A</v>
      </c>
      <c r="CJ78" s="126" t="str">
        <f t="shared" si="40"/>
        <v>ERROR: check cell</v>
      </c>
      <c r="CK78" s="126"/>
      <c r="CL78" s="127" t="str">
        <f t="shared" si="41"/>
        <v>#DIV/0!</v>
      </c>
      <c r="CM78" s="128" t="str">
        <f t="shared" si="42"/>
        <v>#DIV/0!</v>
      </c>
      <c r="CN78" s="128">
        <f t="shared" si="43"/>
        <v>4</v>
      </c>
      <c r="CO78" s="129">
        <f t="shared" si="44"/>
        <v>4</v>
      </c>
      <c r="CP78" s="129" t="str">
        <f>IFS(C78=Preferences!B$13,B78,B78=Preferences!B$13,C78)</f>
        <v>#N/A</v>
      </c>
    </row>
    <row r="79" ht="13.5" customHeight="1">
      <c r="A79" s="63" t="str">
        <f t="shared" si="45"/>
        <v/>
      </c>
      <c r="B79" s="64"/>
      <c r="C79" s="64"/>
      <c r="D79" s="64"/>
      <c r="E79" s="65"/>
      <c r="F79" s="65"/>
      <c r="G79" s="65"/>
      <c r="H79" s="65"/>
      <c r="I79" s="65"/>
      <c r="J79" s="141"/>
      <c r="K79" s="138"/>
      <c r="L79" s="104"/>
      <c r="M79" s="104"/>
      <c r="N79" s="104"/>
      <c r="O79" s="104"/>
      <c r="P79" s="107" t="str">
        <f t="shared" si="1"/>
        <v/>
      </c>
      <c r="Q79" s="108" t="str">
        <f>IFERROR(IF(AND(Preferences!B$3="Manual",OR(AX79/AW79&gt;G79/F79,BD79="Serious",BD79="Very serious")),"Assess imprecision",IFS(ISBLANK(E79),"",AND(Preferences!B$3="Automatic", G79/F79&gt;=30),"Extremely serious",AND(H79&lt;=$D$1*-1,J79&lt;0,G79/F79&lt;3),"Not serious",AND(H79&lt;=$D$1*-1,J79&lt;0,G79/F79&gt;=3),"Very serious",AND(H79&gt;=$D$1,I79&gt;0,G79/F79&lt;3),"Not serious",AND(H79&gt;=$D$1,I79&gt;0,G79/F79&gt;=3),"Very serious",AND(H79&lt;=$D$1*-1,J79&gt;0,I79&gt;$D$2*-1,G79/F79&lt;3),"Serious", AND(H79&lt;=$D$1*-1,J79&gt;0,I79&lt;$D$2*-1,G79/F79&lt;3),"Very serious", AND(H79&gt;=$D$1,I79&lt;0,J79&lt;$D$2,G79/F79&lt;3),"Serious",AND(H79&gt;=$D$1,I79&lt;0,J79&gt;$D$2,G79/F79&lt;3),"Very serious", AND(H79&lt;=$D$1*-1,J79&gt;0,I79&gt;$D$2*-1,G79/F79&gt;=3),"Very serious", AND(H79&lt;=$D$1*-1,J79&gt;0,I79&lt;$D$2*-1,G79/F79&gt;=3),"Very serious", AND(H79&gt;=$D$1,I79&lt;0,J79&lt;$D$2,G79/F79&gt;=3),"Very serious", AND(H79&gt;=$D$1,I79&lt;0,J79&gt;$D$2,G79/F79&gt;=3),"Very serious", AND(H79&gt;$D$1*-1,H79&lt;$D$1,I79&gt;$D$1*-1,J79&lt;$D$1,G79/F79&lt;3),"Not serious", AND(H79&gt;$D$1*-1,H79&lt;$D$1,OR(I79&lt;=$D$1*-1,J79&gt;=$D$1),I79&gt;$D$2*-1,J79&lt;$D$2,G79/F79&lt;3),"Serious", AND(H79&gt;$D$1*-1,H79&lt;$D$1,OR(I79&lt;=$D$2*-1,J79&gt;=$D$2),G79/F79&lt;3),"Very serious", AND(H79&gt;$D$1*-1,H79&lt;$D$1,I79&gt;$D$1*-1,J79&lt;$D$1,G79/F79&gt;=3),"Very serious", AND(H79&gt;$D$1*-1,H79&lt;$D$1,OR(I79&lt;=$D$1*-1,J79&gt;=$D$1),I79&gt;$D$2*-1,J79&lt;$D$2,G79/F79&gt;=3),"Very serious", AND(H79&gt;$D$1*-1,H79&lt;$D$1,OR(I79&lt;=$D$2*-1,J79&gt;=$D$2),G79/F79&gt;=3),"Very serious")),"")</f>
        <v/>
      </c>
      <c r="R79" s="109" t="str">
        <f t="shared" si="47"/>
        <v/>
      </c>
      <c r="S79" s="64"/>
      <c r="T79" s="144"/>
      <c r="U79" s="144"/>
      <c r="V79" s="144"/>
      <c r="W79" s="142"/>
      <c r="X79" s="142"/>
      <c r="Y79" s="143"/>
      <c r="Z79" s="113" t="str">
        <f t="array" ref="Z79">INDEX($A$1:$C$500, MATCH(1,($B:$B=$B79)*($C:$C=$AB79),0),1)</f>
        <v/>
      </c>
      <c r="AA79" s="113" t="str">
        <f t="array" ref="AA79">INDEX($A$1:$C$500, MATCH(1,($B:$B=$AB79)*($C:$C=$B79),0),1)</f>
        <v/>
      </c>
      <c r="AB79" s="111"/>
      <c r="AC79" s="114" t="str">
        <f t="shared" si="2"/>
        <v/>
      </c>
      <c r="AD79" s="115" t="str">
        <f t="shared" si="3"/>
        <v/>
      </c>
      <c r="AE79" s="116" t="str">
        <f t="array" ref="AE79">INDEX($A$1:$C$500, MATCH(1,($B:$B=$AB79)*($C:$C=$AG79),0),1)</f>
        <v/>
      </c>
      <c r="AF79" s="116" t="str">
        <f t="array" ref="AF79">INDEX($A$1:$C$500, MATCH(1,($B:$B=$AG79)*($C:$C=$AB79),0),1)</f>
        <v/>
      </c>
      <c r="AG79" s="72"/>
      <c r="AH79" s="114" t="str">
        <f t="shared" si="4"/>
        <v/>
      </c>
      <c r="AI79" s="115" t="str">
        <f t="shared" si="5"/>
        <v/>
      </c>
      <c r="AJ79" s="116" t="str">
        <f t="array" ref="AJ79">INDEX($A$1:$C$500, MATCH(1,($B:$B=$C79)*($C:$C=$AG79),0),1)</f>
        <v/>
      </c>
      <c r="AK79" s="116" t="str">
        <f t="array" ref="AK79">INDEX($A$1:$C$500, MATCH(1,($B:$B=$AG79)*($C:$C=$C79),0),1)</f>
        <v/>
      </c>
      <c r="AL79" s="116" t="str">
        <f t="array" ref="AL79">INDEX($A$1:$C$500, MATCH(1,($B:$B=$C79)*($C:$C=$AB79),0),1)</f>
        <v/>
      </c>
      <c r="AM79" s="116" t="str">
        <f t="array" ref="AM79">INDEX($A$1:$C$500, MATCH(1,($B:$B=$AB79)*($C:$C=$C79),0),1)</f>
        <v/>
      </c>
      <c r="AN79" s="114" t="str">
        <f t="array" ref="AN79">IFS(ISNUMBER(AJ79),AJ79,ISNUMBER(AK79),AK79,ISNUMBER(AL79),AL79,ISNUMBER(AM79),AM79)</f>
        <v>#N/A</v>
      </c>
      <c r="AO79" s="115" t="str">
        <f t="shared" si="6"/>
        <v/>
      </c>
      <c r="AP79" s="115" t="str">
        <f t="shared" si="7"/>
        <v/>
      </c>
      <c r="AQ79" s="111"/>
      <c r="AR79" s="109" t="str">
        <f t="shared" si="8"/>
        <v/>
      </c>
      <c r="AS79" s="72" t="str">
        <f>IFERROR(IF(AND(Preferences!B$3="Manual",OR(AX79/AW79&gt;V79/U79,BD79="Serious",BD79="Very serious")),"Assess imprecision",IFERROR(IFS(AND(Preferences!B$3="Automatic",V79/U79&gt;=30),"Extremely serious",AND(W79&lt;=$D$1*-1,Y79&lt;0,V79/U79&lt;3),"Not Serious",AND(W79&lt;=$D$1*-1,Y79&lt;0,V79/U79&gt;=3),"Very serious",AND(W79&gt;=$D$1,X79&gt;0,V79/U79&lt;3),"Not Serious",AND(W79&gt;=$D$1,X79&gt;0,V79/U79&gt;=3),"Very serious",AND(W79&lt;=$D$1*-1,Y79&gt;0,X79&gt;$D$2*-1,V79/U79&lt;3),"Serious", AND(W79&lt;=$D$1*-1,Y79&gt;0,X79&lt;$D$2*-1,V79/U79&lt;3),"Very serious", AND(W79&gt;=$D$1,X79&lt;0,Y79&lt;$D$2,V79/U79&lt;3),"Serious",AND(W79&gt;=$D$1,X79&lt;0,Y79&gt;$D$2,V79/U79&lt;3),"Very serious", AND(W79&lt;=$D$1*-1,Y79&gt;0,X79&gt;$D$2*-1,V79/U79&gt;=3),"Very serious", AND(W79&lt;=$D$1*-1,Y79&gt;0,X79&lt;$D$2*-1,V79/U79&gt;=3),"Very serious", AND(W79&gt;=$D$1,X79&lt;0,Y79&lt;$D$2,V79/U79&gt;=3),"Very serious", AND(W79&gt;=$D$1,X79&lt;0,Y79&gt;$D$2,V79/U79&gt;=3),"Very serious", AND(W79&gt;$D$1*-1,W79&lt;$D$1,X79&gt;$D$1*-1,Y79&lt;$D$1,V79/U79&lt;3),"Not Serious", AND(W79&gt;$D$1*-1,W79&lt;$D$1,OR(X79&lt;=$D$1*-1,Y79&gt;=$D$1),X79&gt;$D$2*-1,Y79&lt;$D$2,V79/U79&lt;3),"Serious", AND(W79&gt;$D$1*-1,W79&lt;$D$1,OR(X79&lt;=$D$2*-1,Y79&gt;=$D$2),V79/U79&lt;3),"Very serious", AND(W79&gt;$D$1*-1,W79&lt;$D$1,X79&gt;$D$1*-1,Y79&lt;$D$1,V79/U79&gt;=3),"Very serious", AND(W79&gt;$D$1*-1,W79&lt;$D$1,OR(X79&lt;=$D$1*-1,Y79&gt;=$D$1),X79&gt;$D$2*-1,Y79&lt;$D$2,V79/U79&gt;=3),"Very serious", AND(W79&gt;$D$1*-1,W79&lt;$D$1,OR(X79&lt;=$D$2*-1,Y79&gt;=$D$2),V79/U79&gt;=3),"Very serious"),"")),"")</f>
        <v/>
      </c>
      <c r="AT79" s="109" t="str">
        <f t="shared" si="9"/>
        <v/>
      </c>
      <c r="AU79" s="64"/>
      <c r="AV79" s="117"/>
      <c r="AW79" s="117"/>
      <c r="AX79" s="117"/>
      <c r="AY79" s="118"/>
      <c r="AZ79" s="118"/>
      <c r="BA79" s="119"/>
      <c r="BB79" s="86" t="str">
        <f>IF(Preferences!B$9="Manual","",IFS(ISBLANK(B79),"",AND(ISNUMBER(E79)=TRUE,ISNUMBER(T79)=FALSE),"Direct", AND(ISNUMBER(E79)=FALSE,ISNUMBER(T79)=TRUE),"Indirect", CN79=4,"Direct",AND(CL79=FALSE, CM79=TRUE,CN79-CO79&gt;-1),"Direct", AND(CL79=FALSE,CM79=TRUE, CN79-CO79&lt;0),"Check algorithm in appendix 2", AND(CL79=TRUE, CM79=FALSE,CN79-CO79&gt;0),"Check algorithm in appendix 2", AND(CL79=TRUE, CM79=FALSE,CN79-CO79=0),"Indirect", AND(CL79=TRUE, CM79=FALSE,CN79-CO79&lt;0),"Indirect", AND(CL79=FALSE,CM79=FALSE,CN79-CO79&gt;-1),"Direct", AND(CL79=FALSE,CM79=FALSE,CN79-CO79&lt;0),"Check algorithm in appendix 2", AND(CL79=TRUE,CM79=TRUE,CN79-CO79&gt;-1),"Direct", AND(CL79=TRUE,CM79=TRUE,CN79-CO79&lt;0),"Check algorithm in appendix 2"))</f>
        <v/>
      </c>
      <c r="BC79" s="120" t="str">
        <f t="shared" si="10"/>
        <v/>
      </c>
      <c r="BD79" s="140"/>
      <c r="BE79" s="122" t="str">
        <f>IF(Preferences!B$3="Manual","", IFERROR(IFS(AND(Preferences!B$3="Automatic",AX79/AW79&gt;=30),"Extremely serious",AND(AY79&lt;=$D$1*-1,BA79&lt;0,AX79/AW79&lt;3),"Not Serious",AND(AY79&lt;=$D$1*-1,BA79&lt;0,AX79/AW79&gt;=3),"Very serious",AND(AY79&gt;=$D$1,AZ79&gt;0,AX79/AW79&lt;3),"Not Serious",AND(AY79&gt;=$D$1,AZ79&gt;0,AX79/AW79&gt;=3),"Very serious",AND(AY79&lt;=$D$1*-1,BA79&gt;0,AZ79&gt;$D$2*-1,AX79/AW79&lt;3),"Serious", AND(AY79&lt;=$D$1*-1,BA79&gt;0,AZ79&lt;$D$2*-1,AX79/AW79&lt;3),"Very serious", AND(AY79&gt;=$D$1,AZ79&lt;0,BA79&lt;$D$2,AX79/AW79&lt;3),"Serious",AND(AY79&gt;=$D$1,AZ79&lt;0,BA79&gt;$D$2,AX79/AW79&lt;3),"Very serious", AND(AY79&lt;=$D$1*-1,BA79&gt;0,AZ79&gt;$D$2*-1,AX79/AW79&gt;=3),"Very serious", AND(AY79&lt;=$D$1*-1,BA79&gt;0,AZ79&lt;$D$2*-1,AX79/AW79&gt;=3),"Very serious", AND(AY79&gt;=$D$1,AZ79&lt;0,BA79&lt;$D$2,AX79/AW79&gt;=3),"Very serious", AND(AY79&gt;=$D$1,AZ79&lt;0,BA79&gt;$D$2,AX79/AW79&gt;=3),"Very serious", AND(AY79&gt;$D$1*-1,AY79&lt;$D$1,AZ79&gt;$D$1*-1,BA79&lt;$D$1,AX79/AW79&lt;3),"Not Serious", AND(AY79&gt;$D$1*-1,AY79&lt;$D$1,OR(AZ79&lt;=$D$1*-1,BA79&gt;=$D$1),AZ79&gt;$D$2*-1,BA79&lt;$D$2,AX79/AW79&lt;3),"Serious", AND(AY79&gt;$D$1*-1,AY79&lt;$D$1,OR(AZ79&lt;=$D$2*-1,BA79&gt;=$D$2),AX79/AW79&lt;3),"Very serious", AND(AY79&gt;$D$1*-1,AY79&lt;$D$1,AZ79&gt;$D$1*-1,BA79&lt;$D$1,AX79/AW79&gt;=3),"Very serious", AND(AY79&gt;$D$1*-1,AY79&lt;$D$1,OR(AZ79&lt;=$D$1*-1,BA79&gt;=$D$1),AZ79&gt;$D$2*-1,BA79&lt;$D$2,AX79/AW79&gt;=3),"Very serious", AND(AY79&gt;$D$1*-1,AY79&lt;$D$1,OR(AZ79&lt;=$D$2*-1,BA79&gt;=$D$2),AX79/AW79&gt;=3),"Very serious"),""))</f>
        <v/>
      </c>
      <c r="BF79" s="107" t="str">
        <f t="shared" si="11"/>
        <v/>
      </c>
      <c r="BG79" s="94" t="str">
        <f t="shared" si="46"/>
        <v/>
      </c>
      <c r="BH79" s="64" t="str">
        <f t="shared" si="12"/>
        <v>#N/A</v>
      </c>
      <c r="BI79" s="64" t="str">
        <f t="shared" si="13"/>
        <v/>
      </c>
      <c r="BJ79" s="123" t="str">
        <f t="shared" si="14"/>
        <v>#N/A</v>
      </c>
      <c r="BK79" s="64" t="str">
        <f t="shared" si="50"/>
        <v>YES</v>
      </c>
      <c r="BL79" s="64" t="str">
        <f t="shared" si="16"/>
        <v>YES</v>
      </c>
      <c r="BM79" s="64" t="str">
        <f t="shared" si="17"/>
        <v>YES</v>
      </c>
      <c r="BN79" s="124" t="str">
        <f t="shared" si="18"/>
        <v/>
      </c>
      <c r="BO79" s="91" t="str">
        <f t="shared" si="19"/>
        <v/>
      </c>
      <c r="BP79" s="91" t="str">
        <f t="shared" si="20"/>
        <v>#N/A</v>
      </c>
      <c r="BQ79" s="91" t="str">
        <f t="shared" si="21"/>
        <v/>
      </c>
      <c r="BR79" s="93" t="str">
        <f t="shared" si="22"/>
        <v/>
      </c>
      <c r="BS79" s="90" t="str">
        <f t="shared" si="23"/>
        <v/>
      </c>
      <c r="BT79" s="93" t="str">
        <f t="shared" si="24"/>
        <v>NA</v>
      </c>
      <c r="BU79" s="125" t="str">
        <f t="shared" si="25"/>
        <v>#N/A</v>
      </c>
      <c r="BV79" s="93" t="str">
        <f t="shared" si="26"/>
        <v/>
      </c>
      <c r="BW79" s="93" t="str">
        <f t="shared" si="27"/>
        <v/>
      </c>
      <c r="BX79" s="93" t="str">
        <f t="shared" si="28"/>
        <v>NA</v>
      </c>
      <c r="BY79" s="95" t="str">
        <f t="shared" si="29"/>
        <v>#N/A</v>
      </c>
      <c r="BZ79" s="93" t="str">
        <f t="shared" si="30"/>
        <v/>
      </c>
      <c r="CA79" s="93" t="str">
        <f t="shared" si="31"/>
        <v/>
      </c>
      <c r="CB79" s="93" t="str">
        <f t="shared" si="32"/>
        <v>NA</v>
      </c>
      <c r="CC79" s="96" t="str">
        <f t="shared" si="33"/>
        <v>#N/A</v>
      </c>
      <c r="CD79" s="93" t="str">
        <f t="shared" si="34"/>
        <v/>
      </c>
      <c r="CE79" s="93" t="str">
        <f t="shared" si="35"/>
        <v/>
      </c>
      <c r="CF79" s="93" t="str">
        <f t="shared" si="36"/>
        <v>NA</v>
      </c>
      <c r="CG79" s="97" t="str">
        <f t="shared" si="37"/>
        <v>#N/A</v>
      </c>
      <c r="CH79" s="98" t="str">
        <f t="shared" si="38"/>
        <v>#N/A</v>
      </c>
      <c r="CI79" s="99" t="str">
        <f t="shared" si="39"/>
        <v>#N/A</v>
      </c>
      <c r="CJ79" s="126" t="str">
        <f t="shared" si="40"/>
        <v>ERROR: check cell</v>
      </c>
      <c r="CK79" s="126"/>
      <c r="CL79" s="127" t="str">
        <f t="shared" si="41"/>
        <v>#DIV/0!</v>
      </c>
      <c r="CM79" s="128" t="str">
        <f t="shared" si="42"/>
        <v>#DIV/0!</v>
      </c>
      <c r="CN79" s="128">
        <f t="shared" si="43"/>
        <v>4</v>
      </c>
      <c r="CO79" s="129">
        <f t="shared" si="44"/>
        <v>4</v>
      </c>
      <c r="CP79" s="129" t="str">
        <f>IFS(C79=Preferences!B$13,B79,B79=Preferences!B$13,C79)</f>
        <v>#N/A</v>
      </c>
    </row>
    <row r="80" ht="13.5" customHeight="1">
      <c r="A80" s="63" t="str">
        <f t="shared" si="45"/>
        <v/>
      </c>
      <c r="B80" s="64"/>
      <c r="C80" s="64"/>
      <c r="D80" s="64"/>
      <c r="E80" s="65"/>
      <c r="F80" s="65"/>
      <c r="G80" s="65"/>
      <c r="H80" s="65"/>
      <c r="I80" s="65"/>
      <c r="J80" s="141"/>
      <c r="K80" s="138"/>
      <c r="L80" s="104"/>
      <c r="M80" s="104"/>
      <c r="N80" s="104"/>
      <c r="O80" s="104"/>
      <c r="P80" s="107" t="str">
        <f t="shared" si="1"/>
        <v/>
      </c>
      <c r="Q80" s="108" t="str">
        <f>IFERROR(IF(AND(Preferences!B$3="Manual",OR(AX80/AW80&gt;G80/F80,BD80="Serious",BD80="Very serious")),"Assess imprecision",IFS(ISBLANK(E80),"",AND(Preferences!B$3="Automatic", G80/F80&gt;=30),"Extremely serious",AND(H80&lt;=$D$1*-1,J80&lt;0,G80/F80&lt;3),"Not serious",AND(H80&lt;=$D$1*-1,J80&lt;0,G80/F80&gt;=3),"Very serious",AND(H80&gt;=$D$1,I80&gt;0,G80/F80&lt;3),"Not serious",AND(H80&gt;=$D$1,I80&gt;0,G80/F80&gt;=3),"Very serious",AND(H80&lt;=$D$1*-1,J80&gt;0,I80&gt;$D$2*-1,G80/F80&lt;3),"Serious", AND(H80&lt;=$D$1*-1,J80&gt;0,I80&lt;$D$2*-1,G80/F80&lt;3),"Very serious", AND(H80&gt;=$D$1,I80&lt;0,J80&lt;$D$2,G80/F80&lt;3),"Serious",AND(H80&gt;=$D$1,I80&lt;0,J80&gt;$D$2,G80/F80&lt;3),"Very serious", AND(H80&lt;=$D$1*-1,J80&gt;0,I80&gt;$D$2*-1,G80/F80&gt;=3),"Very serious", AND(H80&lt;=$D$1*-1,J80&gt;0,I80&lt;$D$2*-1,G80/F80&gt;=3),"Very serious", AND(H80&gt;=$D$1,I80&lt;0,J80&lt;$D$2,G80/F80&gt;=3),"Very serious", AND(H80&gt;=$D$1,I80&lt;0,J80&gt;$D$2,G80/F80&gt;=3),"Very serious", AND(H80&gt;$D$1*-1,H80&lt;$D$1,I80&gt;$D$1*-1,J80&lt;$D$1,G80/F80&lt;3),"Not serious", AND(H80&gt;$D$1*-1,H80&lt;$D$1,OR(I80&lt;=$D$1*-1,J80&gt;=$D$1),I80&gt;$D$2*-1,J80&lt;$D$2,G80/F80&lt;3),"Serious", AND(H80&gt;$D$1*-1,H80&lt;$D$1,OR(I80&lt;=$D$2*-1,J80&gt;=$D$2),G80/F80&lt;3),"Very serious", AND(H80&gt;$D$1*-1,H80&lt;$D$1,I80&gt;$D$1*-1,J80&lt;$D$1,G80/F80&gt;=3),"Very serious", AND(H80&gt;$D$1*-1,H80&lt;$D$1,OR(I80&lt;=$D$1*-1,J80&gt;=$D$1),I80&gt;$D$2*-1,J80&lt;$D$2,G80/F80&gt;=3),"Very serious", AND(H80&gt;$D$1*-1,H80&lt;$D$1,OR(I80&lt;=$D$2*-1,J80&gt;=$D$2),G80/F80&gt;=3),"Very serious")),"")</f>
        <v/>
      </c>
      <c r="R80" s="109" t="str">
        <f t="shared" si="47"/>
        <v/>
      </c>
      <c r="S80" s="64"/>
      <c r="T80" s="144"/>
      <c r="U80" s="144"/>
      <c r="V80" s="144"/>
      <c r="W80" s="142"/>
      <c r="X80" s="142"/>
      <c r="Y80" s="143"/>
      <c r="Z80" s="113" t="str">
        <f t="array" ref="Z80">INDEX($A$1:$C$500, MATCH(1,($B:$B=$B80)*($C:$C=$AB80),0),1)</f>
        <v/>
      </c>
      <c r="AA80" s="113" t="str">
        <f t="array" ref="AA80">INDEX($A$1:$C$500, MATCH(1,($B:$B=$AB80)*($C:$C=$B80),0),1)</f>
        <v/>
      </c>
      <c r="AB80" s="111"/>
      <c r="AC80" s="114" t="str">
        <f t="shared" si="2"/>
        <v/>
      </c>
      <c r="AD80" s="115" t="str">
        <f t="shared" si="3"/>
        <v/>
      </c>
      <c r="AE80" s="116" t="str">
        <f t="array" ref="AE80">INDEX($A$1:$C$500, MATCH(1,($B:$B=$AB80)*($C:$C=$AG80),0),1)</f>
        <v/>
      </c>
      <c r="AF80" s="116" t="str">
        <f t="array" ref="AF80">INDEX($A$1:$C$500, MATCH(1,($B:$B=$AG80)*($C:$C=$AB80),0),1)</f>
        <v/>
      </c>
      <c r="AG80" s="72"/>
      <c r="AH80" s="114" t="str">
        <f t="shared" si="4"/>
        <v/>
      </c>
      <c r="AI80" s="115" t="str">
        <f t="shared" si="5"/>
        <v/>
      </c>
      <c r="AJ80" s="116" t="str">
        <f t="array" ref="AJ80">INDEX($A$1:$C$500, MATCH(1,($B:$B=$C80)*($C:$C=$AG80),0),1)</f>
        <v/>
      </c>
      <c r="AK80" s="116" t="str">
        <f t="array" ref="AK80">INDEX($A$1:$C$500, MATCH(1,($B:$B=$AG80)*($C:$C=$C80),0),1)</f>
        <v/>
      </c>
      <c r="AL80" s="116" t="str">
        <f t="array" ref="AL80">INDEX($A$1:$C$500, MATCH(1,($B:$B=$C80)*($C:$C=$AB80),0),1)</f>
        <v/>
      </c>
      <c r="AM80" s="116" t="str">
        <f t="array" ref="AM80">INDEX($A$1:$C$500, MATCH(1,($B:$B=$AB80)*($C:$C=$C80),0),1)</f>
        <v/>
      </c>
      <c r="AN80" s="114" t="str">
        <f t="array" ref="AN80">IFS(ISNUMBER(AJ80),AJ80,ISNUMBER(AK80),AK80,ISNUMBER(AL80),AL80,ISNUMBER(AM80),AM80)</f>
        <v>#N/A</v>
      </c>
      <c r="AO80" s="115" t="str">
        <f t="shared" si="6"/>
        <v/>
      </c>
      <c r="AP80" s="115" t="str">
        <f t="shared" si="7"/>
        <v/>
      </c>
      <c r="AQ80" s="111"/>
      <c r="AR80" s="109" t="str">
        <f t="shared" si="8"/>
        <v/>
      </c>
      <c r="AS80" s="72" t="str">
        <f>IFERROR(IF(AND(Preferences!B$3="Manual",OR(AX80/AW80&gt;V80/U80,BD80="Serious",BD80="Very serious")),"Assess imprecision",IFERROR(IFS(AND(Preferences!B$3="Automatic",V80/U80&gt;=30),"Extremely serious",AND(W80&lt;=$D$1*-1,Y80&lt;0,V80/U80&lt;3),"Not Serious",AND(W80&lt;=$D$1*-1,Y80&lt;0,V80/U80&gt;=3),"Very serious",AND(W80&gt;=$D$1,X80&gt;0,V80/U80&lt;3),"Not Serious",AND(W80&gt;=$D$1,X80&gt;0,V80/U80&gt;=3),"Very serious",AND(W80&lt;=$D$1*-1,Y80&gt;0,X80&gt;$D$2*-1,V80/U80&lt;3),"Serious", AND(W80&lt;=$D$1*-1,Y80&gt;0,X80&lt;$D$2*-1,V80/U80&lt;3),"Very serious", AND(W80&gt;=$D$1,X80&lt;0,Y80&lt;$D$2,V80/U80&lt;3),"Serious",AND(W80&gt;=$D$1,X80&lt;0,Y80&gt;$D$2,V80/U80&lt;3),"Very serious", AND(W80&lt;=$D$1*-1,Y80&gt;0,X80&gt;$D$2*-1,V80/U80&gt;=3),"Very serious", AND(W80&lt;=$D$1*-1,Y80&gt;0,X80&lt;$D$2*-1,V80/U80&gt;=3),"Very serious", AND(W80&gt;=$D$1,X80&lt;0,Y80&lt;$D$2,V80/U80&gt;=3),"Very serious", AND(W80&gt;=$D$1,X80&lt;0,Y80&gt;$D$2,V80/U80&gt;=3),"Very serious", AND(W80&gt;$D$1*-1,W80&lt;$D$1,X80&gt;$D$1*-1,Y80&lt;$D$1,V80/U80&lt;3),"Not Serious", AND(W80&gt;$D$1*-1,W80&lt;$D$1,OR(X80&lt;=$D$1*-1,Y80&gt;=$D$1),X80&gt;$D$2*-1,Y80&lt;$D$2,V80/U80&lt;3),"Serious", AND(W80&gt;$D$1*-1,W80&lt;$D$1,OR(X80&lt;=$D$2*-1,Y80&gt;=$D$2),V80/U80&lt;3),"Very serious", AND(W80&gt;$D$1*-1,W80&lt;$D$1,X80&gt;$D$1*-1,Y80&lt;$D$1,V80/U80&gt;=3),"Very serious", AND(W80&gt;$D$1*-1,W80&lt;$D$1,OR(X80&lt;=$D$1*-1,Y80&gt;=$D$1),X80&gt;$D$2*-1,Y80&lt;$D$2,V80/U80&gt;=3),"Very serious", AND(W80&gt;$D$1*-1,W80&lt;$D$1,OR(X80&lt;=$D$2*-1,Y80&gt;=$D$2),V80/U80&gt;=3),"Very serious"),"")),"")</f>
        <v/>
      </c>
      <c r="AT80" s="109" t="str">
        <f t="shared" si="9"/>
        <v/>
      </c>
      <c r="AU80" s="64"/>
      <c r="AV80" s="117"/>
      <c r="AW80" s="117"/>
      <c r="AX80" s="117"/>
      <c r="AY80" s="118"/>
      <c r="AZ80" s="118"/>
      <c r="BA80" s="119"/>
      <c r="BB80" s="86" t="str">
        <f>IF(Preferences!B$9="Manual","",IFS(ISBLANK(B80),"",AND(ISNUMBER(E80)=TRUE,ISNUMBER(T80)=FALSE),"Direct", AND(ISNUMBER(E80)=FALSE,ISNUMBER(T80)=TRUE),"Indirect", CN80=4,"Direct",AND(CL80=FALSE, CM80=TRUE,CN80-CO80&gt;-1),"Direct", AND(CL80=FALSE,CM80=TRUE, CN80-CO80&lt;0),"Check algorithm in appendix 2", AND(CL80=TRUE, CM80=FALSE,CN80-CO80&gt;0),"Check algorithm in appendix 2", AND(CL80=TRUE, CM80=FALSE,CN80-CO80=0),"Indirect", AND(CL80=TRUE, CM80=FALSE,CN80-CO80&lt;0),"Indirect", AND(CL80=FALSE,CM80=FALSE,CN80-CO80&gt;-1),"Direct", AND(CL80=FALSE,CM80=FALSE,CN80-CO80&lt;0),"Check algorithm in appendix 2", AND(CL80=TRUE,CM80=TRUE,CN80-CO80&gt;-1),"Direct", AND(CL80=TRUE,CM80=TRUE,CN80-CO80&lt;0),"Check algorithm in appendix 2"))</f>
        <v/>
      </c>
      <c r="BC80" s="120" t="str">
        <f t="shared" si="10"/>
        <v/>
      </c>
      <c r="BD80" s="140"/>
      <c r="BE80" s="122" t="str">
        <f>IF(Preferences!B$3="Manual","", IFERROR(IFS(AND(Preferences!B$3="Automatic",AX80/AW80&gt;=30),"Extremely serious",AND(AY80&lt;=$D$1*-1,BA80&lt;0,AX80/AW80&lt;3),"Not Serious",AND(AY80&lt;=$D$1*-1,BA80&lt;0,AX80/AW80&gt;=3),"Very serious",AND(AY80&gt;=$D$1,AZ80&gt;0,AX80/AW80&lt;3),"Not Serious",AND(AY80&gt;=$D$1,AZ80&gt;0,AX80/AW80&gt;=3),"Very serious",AND(AY80&lt;=$D$1*-1,BA80&gt;0,AZ80&gt;$D$2*-1,AX80/AW80&lt;3),"Serious", AND(AY80&lt;=$D$1*-1,BA80&gt;0,AZ80&lt;$D$2*-1,AX80/AW80&lt;3),"Very serious", AND(AY80&gt;=$D$1,AZ80&lt;0,BA80&lt;$D$2,AX80/AW80&lt;3),"Serious",AND(AY80&gt;=$D$1,AZ80&lt;0,BA80&gt;$D$2,AX80/AW80&lt;3),"Very serious", AND(AY80&lt;=$D$1*-1,BA80&gt;0,AZ80&gt;$D$2*-1,AX80/AW80&gt;=3),"Very serious", AND(AY80&lt;=$D$1*-1,BA80&gt;0,AZ80&lt;$D$2*-1,AX80/AW80&gt;=3),"Very serious", AND(AY80&gt;=$D$1,AZ80&lt;0,BA80&lt;$D$2,AX80/AW80&gt;=3),"Very serious", AND(AY80&gt;=$D$1,AZ80&lt;0,BA80&gt;$D$2,AX80/AW80&gt;=3),"Very serious", AND(AY80&gt;$D$1*-1,AY80&lt;$D$1,AZ80&gt;$D$1*-1,BA80&lt;$D$1,AX80/AW80&lt;3),"Not Serious", AND(AY80&gt;$D$1*-1,AY80&lt;$D$1,OR(AZ80&lt;=$D$1*-1,BA80&gt;=$D$1),AZ80&gt;$D$2*-1,BA80&lt;$D$2,AX80/AW80&lt;3),"Serious", AND(AY80&gt;$D$1*-1,AY80&lt;$D$1,OR(AZ80&lt;=$D$2*-1,BA80&gt;=$D$2),AX80/AW80&lt;3),"Very serious", AND(AY80&gt;$D$1*-1,AY80&lt;$D$1,AZ80&gt;$D$1*-1,BA80&lt;$D$1,AX80/AW80&gt;=3),"Very serious", AND(AY80&gt;$D$1*-1,AY80&lt;$D$1,OR(AZ80&lt;=$D$1*-1,BA80&gt;=$D$1),AZ80&gt;$D$2*-1,BA80&lt;$D$2,AX80/AW80&gt;=3),"Very serious", AND(AY80&gt;$D$1*-1,AY80&lt;$D$1,OR(AZ80&lt;=$D$2*-1,BA80&gt;=$D$2),AX80/AW80&gt;=3),"Very serious"),""))</f>
        <v/>
      </c>
      <c r="BF80" s="107" t="str">
        <f t="shared" si="11"/>
        <v/>
      </c>
      <c r="BG80" s="94" t="str">
        <f t="shared" si="46"/>
        <v/>
      </c>
      <c r="BH80" s="64" t="str">
        <f t="shared" si="12"/>
        <v>#N/A</v>
      </c>
      <c r="BI80" s="64" t="str">
        <f t="shared" si="13"/>
        <v/>
      </c>
      <c r="BJ80" s="123" t="str">
        <f t="shared" si="14"/>
        <v>#N/A</v>
      </c>
      <c r="BK80" s="64" t="str">
        <f t="shared" si="50"/>
        <v>YES</v>
      </c>
      <c r="BL80" s="64" t="str">
        <f t="shared" si="16"/>
        <v>YES</v>
      </c>
      <c r="BM80" s="64" t="str">
        <f t="shared" si="17"/>
        <v>YES</v>
      </c>
      <c r="BN80" s="124" t="str">
        <f t="shared" si="18"/>
        <v/>
      </c>
      <c r="BO80" s="91" t="str">
        <f t="shared" si="19"/>
        <v/>
      </c>
      <c r="BP80" s="91" t="str">
        <f t="shared" si="20"/>
        <v>#N/A</v>
      </c>
      <c r="BQ80" s="91" t="str">
        <f t="shared" si="21"/>
        <v/>
      </c>
      <c r="BR80" s="93" t="str">
        <f t="shared" si="22"/>
        <v/>
      </c>
      <c r="BS80" s="90" t="str">
        <f t="shared" si="23"/>
        <v/>
      </c>
      <c r="BT80" s="93" t="str">
        <f t="shared" si="24"/>
        <v>NA</v>
      </c>
      <c r="BU80" s="125" t="str">
        <f t="shared" si="25"/>
        <v>#N/A</v>
      </c>
      <c r="BV80" s="93" t="str">
        <f t="shared" si="26"/>
        <v/>
      </c>
      <c r="BW80" s="93" t="str">
        <f t="shared" si="27"/>
        <v/>
      </c>
      <c r="BX80" s="93" t="str">
        <f t="shared" si="28"/>
        <v>NA</v>
      </c>
      <c r="BY80" s="95" t="str">
        <f t="shared" si="29"/>
        <v>#N/A</v>
      </c>
      <c r="BZ80" s="93" t="str">
        <f t="shared" si="30"/>
        <v/>
      </c>
      <c r="CA80" s="93" t="str">
        <f t="shared" si="31"/>
        <v/>
      </c>
      <c r="CB80" s="93" t="str">
        <f t="shared" si="32"/>
        <v>NA</v>
      </c>
      <c r="CC80" s="96" t="str">
        <f t="shared" si="33"/>
        <v>#N/A</v>
      </c>
      <c r="CD80" s="93" t="str">
        <f t="shared" si="34"/>
        <v/>
      </c>
      <c r="CE80" s="93" t="str">
        <f t="shared" si="35"/>
        <v/>
      </c>
      <c r="CF80" s="93" t="str">
        <f t="shared" si="36"/>
        <v>NA</v>
      </c>
      <c r="CG80" s="97" t="str">
        <f t="shared" si="37"/>
        <v>#N/A</v>
      </c>
      <c r="CH80" s="98" t="str">
        <f t="shared" si="38"/>
        <v>#N/A</v>
      </c>
      <c r="CI80" s="99" t="str">
        <f t="shared" si="39"/>
        <v>#N/A</v>
      </c>
      <c r="CJ80" s="126" t="str">
        <f t="shared" si="40"/>
        <v>ERROR: check cell</v>
      </c>
      <c r="CK80" s="126"/>
      <c r="CL80" s="127" t="str">
        <f t="shared" si="41"/>
        <v>#DIV/0!</v>
      </c>
      <c r="CM80" s="128" t="str">
        <f t="shared" si="42"/>
        <v>#DIV/0!</v>
      </c>
      <c r="CN80" s="128">
        <f t="shared" si="43"/>
        <v>4</v>
      </c>
      <c r="CO80" s="129">
        <f t="shared" si="44"/>
        <v>4</v>
      </c>
      <c r="CP80" s="129" t="str">
        <f>IFS(C80=Preferences!B$13,B80,B80=Preferences!B$13,C80)</f>
        <v>#N/A</v>
      </c>
    </row>
    <row r="81" ht="13.5" customHeight="1">
      <c r="A81" s="63" t="str">
        <f t="shared" si="45"/>
        <v/>
      </c>
      <c r="B81" s="64"/>
      <c r="C81" s="64"/>
      <c r="D81" s="64"/>
      <c r="E81" s="65"/>
      <c r="F81" s="65"/>
      <c r="G81" s="65"/>
      <c r="H81" s="65"/>
      <c r="I81" s="65"/>
      <c r="J81" s="141"/>
      <c r="K81" s="138"/>
      <c r="L81" s="104"/>
      <c r="M81" s="104"/>
      <c r="N81" s="104"/>
      <c r="O81" s="104"/>
      <c r="P81" s="107" t="str">
        <f t="shared" si="1"/>
        <v/>
      </c>
      <c r="Q81" s="108" t="str">
        <f>IFERROR(IF(AND(Preferences!B$3="Manual",OR(AX81/AW81&gt;G81/F81,BD81="Serious",BD81="Very serious")),"Assess imprecision",IFS(ISBLANK(E81),"",AND(Preferences!B$3="Automatic", G81/F81&gt;=30),"Extremely serious",AND(H81&lt;=$D$1*-1,J81&lt;0,G81/F81&lt;3),"Not serious",AND(H81&lt;=$D$1*-1,J81&lt;0,G81/F81&gt;=3),"Very serious",AND(H81&gt;=$D$1,I81&gt;0,G81/F81&lt;3),"Not serious",AND(H81&gt;=$D$1,I81&gt;0,G81/F81&gt;=3),"Very serious",AND(H81&lt;=$D$1*-1,J81&gt;0,I81&gt;$D$2*-1,G81/F81&lt;3),"Serious", AND(H81&lt;=$D$1*-1,J81&gt;0,I81&lt;$D$2*-1,G81/F81&lt;3),"Very serious", AND(H81&gt;=$D$1,I81&lt;0,J81&lt;$D$2,G81/F81&lt;3),"Serious",AND(H81&gt;=$D$1,I81&lt;0,J81&gt;$D$2,G81/F81&lt;3),"Very serious", AND(H81&lt;=$D$1*-1,J81&gt;0,I81&gt;$D$2*-1,G81/F81&gt;=3),"Very serious", AND(H81&lt;=$D$1*-1,J81&gt;0,I81&lt;$D$2*-1,G81/F81&gt;=3),"Very serious", AND(H81&gt;=$D$1,I81&lt;0,J81&lt;$D$2,G81/F81&gt;=3),"Very serious", AND(H81&gt;=$D$1,I81&lt;0,J81&gt;$D$2,G81/F81&gt;=3),"Very serious", AND(H81&gt;$D$1*-1,H81&lt;$D$1,I81&gt;$D$1*-1,J81&lt;$D$1,G81/F81&lt;3),"Not serious", AND(H81&gt;$D$1*-1,H81&lt;$D$1,OR(I81&lt;=$D$1*-1,J81&gt;=$D$1),I81&gt;$D$2*-1,J81&lt;$D$2,G81/F81&lt;3),"Serious", AND(H81&gt;$D$1*-1,H81&lt;$D$1,OR(I81&lt;=$D$2*-1,J81&gt;=$D$2),G81/F81&lt;3),"Very serious", AND(H81&gt;$D$1*-1,H81&lt;$D$1,I81&gt;$D$1*-1,J81&lt;$D$1,G81/F81&gt;=3),"Very serious", AND(H81&gt;$D$1*-1,H81&lt;$D$1,OR(I81&lt;=$D$1*-1,J81&gt;=$D$1),I81&gt;$D$2*-1,J81&lt;$D$2,G81/F81&gt;=3),"Very serious", AND(H81&gt;$D$1*-1,H81&lt;$D$1,OR(I81&lt;=$D$2*-1,J81&gt;=$D$2),G81/F81&gt;=3),"Very serious")),"")</f>
        <v/>
      </c>
      <c r="R81" s="109" t="str">
        <f t="shared" si="47"/>
        <v/>
      </c>
      <c r="S81" s="64"/>
      <c r="T81" s="144"/>
      <c r="U81" s="144"/>
      <c r="V81" s="144"/>
      <c r="W81" s="142"/>
      <c r="X81" s="142"/>
      <c r="Y81" s="143"/>
      <c r="Z81" s="113" t="str">
        <f t="array" ref="Z81">INDEX($A$1:$C$500, MATCH(1,($B:$B=$B81)*($C:$C=$AB81),0),1)</f>
        <v/>
      </c>
      <c r="AA81" s="113" t="str">
        <f t="array" ref="AA81">INDEX($A$1:$C$500, MATCH(1,($B:$B=$AB81)*($C:$C=$B81),0),1)</f>
        <v/>
      </c>
      <c r="AB81" s="111"/>
      <c r="AC81" s="114" t="str">
        <f t="shared" si="2"/>
        <v/>
      </c>
      <c r="AD81" s="115" t="str">
        <f t="shared" si="3"/>
        <v/>
      </c>
      <c r="AE81" s="116" t="str">
        <f t="array" ref="AE81">INDEX($A$1:$C$500, MATCH(1,($B:$B=$AB81)*($C:$C=$AG81),0),1)</f>
        <v/>
      </c>
      <c r="AF81" s="116" t="str">
        <f t="array" ref="AF81">INDEX($A$1:$C$500, MATCH(1,($B:$B=$AG81)*($C:$C=$AB81),0),1)</f>
        <v/>
      </c>
      <c r="AG81" s="72"/>
      <c r="AH81" s="114" t="str">
        <f t="shared" si="4"/>
        <v/>
      </c>
      <c r="AI81" s="115" t="str">
        <f t="shared" si="5"/>
        <v/>
      </c>
      <c r="AJ81" s="116" t="str">
        <f t="array" ref="AJ81">INDEX($A$1:$C$500, MATCH(1,($B:$B=$C81)*($C:$C=$AG81),0),1)</f>
        <v/>
      </c>
      <c r="AK81" s="116" t="str">
        <f t="array" ref="AK81">INDEX($A$1:$C$500, MATCH(1,($B:$B=$AG81)*($C:$C=$C81),0),1)</f>
        <v/>
      </c>
      <c r="AL81" s="116" t="str">
        <f t="array" ref="AL81">INDEX($A$1:$C$500, MATCH(1,($B:$B=$C81)*($C:$C=$AB81),0),1)</f>
        <v/>
      </c>
      <c r="AM81" s="116" t="str">
        <f t="array" ref="AM81">INDEX($A$1:$C$500, MATCH(1,($B:$B=$AB81)*($C:$C=$C81),0),1)</f>
        <v/>
      </c>
      <c r="AN81" s="114" t="str">
        <f t="array" ref="AN81">IFS(ISNUMBER(AJ81),AJ81,ISNUMBER(AK81),AK81,ISNUMBER(AL81),AL81,ISNUMBER(AM81),AM81)</f>
        <v>#N/A</v>
      </c>
      <c r="AO81" s="115" t="str">
        <f t="shared" si="6"/>
        <v/>
      </c>
      <c r="AP81" s="115" t="str">
        <f t="shared" si="7"/>
        <v/>
      </c>
      <c r="AQ81" s="111"/>
      <c r="AR81" s="109" t="str">
        <f t="shared" si="8"/>
        <v/>
      </c>
      <c r="AS81" s="72" t="str">
        <f>IFERROR(IF(AND(Preferences!B$3="Manual",OR(AX81/AW81&gt;V81/U81,BD81="Serious",BD81="Very serious")),"Assess imprecision",IFERROR(IFS(AND(Preferences!B$3="Automatic",V81/U81&gt;=30),"Extremely serious",AND(W81&lt;=$D$1*-1,Y81&lt;0,V81/U81&lt;3),"Not Serious",AND(W81&lt;=$D$1*-1,Y81&lt;0,V81/U81&gt;=3),"Very serious",AND(W81&gt;=$D$1,X81&gt;0,V81/U81&lt;3),"Not Serious",AND(W81&gt;=$D$1,X81&gt;0,V81/U81&gt;=3),"Very serious",AND(W81&lt;=$D$1*-1,Y81&gt;0,X81&gt;$D$2*-1,V81/U81&lt;3),"Serious", AND(W81&lt;=$D$1*-1,Y81&gt;0,X81&lt;$D$2*-1,V81/U81&lt;3),"Very serious", AND(W81&gt;=$D$1,X81&lt;0,Y81&lt;$D$2,V81/U81&lt;3),"Serious",AND(W81&gt;=$D$1,X81&lt;0,Y81&gt;$D$2,V81/U81&lt;3),"Very serious", AND(W81&lt;=$D$1*-1,Y81&gt;0,X81&gt;$D$2*-1,V81/U81&gt;=3),"Very serious", AND(W81&lt;=$D$1*-1,Y81&gt;0,X81&lt;$D$2*-1,V81/U81&gt;=3),"Very serious", AND(W81&gt;=$D$1,X81&lt;0,Y81&lt;$D$2,V81/U81&gt;=3),"Very serious", AND(W81&gt;=$D$1,X81&lt;0,Y81&gt;$D$2,V81/U81&gt;=3),"Very serious", AND(W81&gt;$D$1*-1,W81&lt;$D$1,X81&gt;$D$1*-1,Y81&lt;$D$1,V81/U81&lt;3),"Not Serious", AND(W81&gt;$D$1*-1,W81&lt;$D$1,OR(X81&lt;=$D$1*-1,Y81&gt;=$D$1),X81&gt;$D$2*-1,Y81&lt;$D$2,V81/U81&lt;3),"Serious", AND(W81&gt;$D$1*-1,W81&lt;$D$1,OR(X81&lt;=$D$2*-1,Y81&gt;=$D$2),V81/U81&lt;3),"Very serious", AND(W81&gt;$D$1*-1,W81&lt;$D$1,X81&gt;$D$1*-1,Y81&lt;$D$1,V81/U81&gt;=3),"Very serious", AND(W81&gt;$D$1*-1,W81&lt;$D$1,OR(X81&lt;=$D$1*-1,Y81&gt;=$D$1),X81&gt;$D$2*-1,Y81&lt;$D$2,V81/U81&gt;=3),"Very serious", AND(W81&gt;$D$1*-1,W81&lt;$D$1,OR(X81&lt;=$D$2*-1,Y81&gt;=$D$2),V81/U81&gt;=3),"Very serious"),"")),"")</f>
        <v/>
      </c>
      <c r="AT81" s="109" t="str">
        <f t="shared" si="9"/>
        <v/>
      </c>
      <c r="AU81" s="64"/>
      <c r="AV81" s="117"/>
      <c r="AW81" s="117"/>
      <c r="AX81" s="117"/>
      <c r="AY81" s="118"/>
      <c r="AZ81" s="118"/>
      <c r="BA81" s="119"/>
      <c r="BB81" s="86" t="str">
        <f>IF(Preferences!B$9="Manual","",IFS(ISBLANK(B81),"",AND(ISNUMBER(E81)=TRUE,ISNUMBER(T81)=FALSE),"Direct", AND(ISNUMBER(E81)=FALSE,ISNUMBER(T81)=TRUE),"Indirect", CN81=4,"Direct",AND(CL81=FALSE, CM81=TRUE,CN81-CO81&gt;-1),"Direct", AND(CL81=FALSE,CM81=TRUE, CN81-CO81&lt;0),"Check algorithm in appendix 2", AND(CL81=TRUE, CM81=FALSE,CN81-CO81&gt;0),"Check algorithm in appendix 2", AND(CL81=TRUE, CM81=FALSE,CN81-CO81=0),"Indirect", AND(CL81=TRUE, CM81=FALSE,CN81-CO81&lt;0),"Indirect", AND(CL81=FALSE,CM81=FALSE,CN81-CO81&gt;-1),"Direct", AND(CL81=FALSE,CM81=FALSE,CN81-CO81&lt;0),"Check algorithm in appendix 2", AND(CL81=TRUE,CM81=TRUE,CN81-CO81&gt;-1),"Direct", AND(CL81=TRUE,CM81=TRUE,CN81-CO81&lt;0),"Check algorithm in appendix 2"))</f>
        <v/>
      </c>
      <c r="BC81" s="120" t="str">
        <f t="shared" si="10"/>
        <v/>
      </c>
      <c r="BD81" s="140"/>
      <c r="BE81" s="122" t="str">
        <f>IF(Preferences!B$3="Manual","", IFERROR(IFS(AND(Preferences!B$3="Automatic",AX81/AW81&gt;=30),"Extremely serious",AND(AY81&lt;=$D$1*-1,BA81&lt;0,AX81/AW81&lt;3),"Not Serious",AND(AY81&lt;=$D$1*-1,BA81&lt;0,AX81/AW81&gt;=3),"Very serious",AND(AY81&gt;=$D$1,AZ81&gt;0,AX81/AW81&lt;3),"Not Serious",AND(AY81&gt;=$D$1,AZ81&gt;0,AX81/AW81&gt;=3),"Very serious",AND(AY81&lt;=$D$1*-1,BA81&gt;0,AZ81&gt;$D$2*-1,AX81/AW81&lt;3),"Serious", AND(AY81&lt;=$D$1*-1,BA81&gt;0,AZ81&lt;$D$2*-1,AX81/AW81&lt;3),"Very serious", AND(AY81&gt;=$D$1,AZ81&lt;0,BA81&lt;$D$2,AX81/AW81&lt;3),"Serious",AND(AY81&gt;=$D$1,AZ81&lt;0,BA81&gt;$D$2,AX81/AW81&lt;3),"Very serious", AND(AY81&lt;=$D$1*-1,BA81&gt;0,AZ81&gt;$D$2*-1,AX81/AW81&gt;=3),"Very serious", AND(AY81&lt;=$D$1*-1,BA81&gt;0,AZ81&lt;$D$2*-1,AX81/AW81&gt;=3),"Very serious", AND(AY81&gt;=$D$1,AZ81&lt;0,BA81&lt;$D$2,AX81/AW81&gt;=3),"Very serious", AND(AY81&gt;=$D$1,AZ81&lt;0,BA81&gt;$D$2,AX81/AW81&gt;=3),"Very serious", AND(AY81&gt;$D$1*-1,AY81&lt;$D$1,AZ81&gt;$D$1*-1,BA81&lt;$D$1,AX81/AW81&lt;3),"Not Serious", AND(AY81&gt;$D$1*-1,AY81&lt;$D$1,OR(AZ81&lt;=$D$1*-1,BA81&gt;=$D$1),AZ81&gt;$D$2*-1,BA81&lt;$D$2,AX81/AW81&lt;3),"Serious", AND(AY81&gt;$D$1*-1,AY81&lt;$D$1,OR(AZ81&lt;=$D$2*-1,BA81&gt;=$D$2),AX81/AW81&lt;3),"Very serious", AND(AY81&gt;$D$1*-1,AY81&lt;$D$1,AZ81&gt;$D$1*-1,BA81&lt;$D$1,AX81/AW81&gt;=3),"Very serious", AND(AY81&gt;$D$1*-1,AY81&lt;$D$1,OR(AZ81&lt;=$D$1*-1,BA81&gt;=$D$1),AZ81&gt;$D$2*-1,BA81&lt;$D$2,AX81/AW81&gt;=3),"Very serious", AND(AY81&gt;$D$1*-1,AY81&lt;$D$1,OR(AZ81&lt;=$D$2*-1,BA81&gt;=$D$2),AX81/AW81&gt;=3),"Very serious"),""))</f>
        <v/>
      </c>
      <c r="BF81" s="107" t="str">
        <f t="shared" si="11"/>
        <v/>
      </c>
      <c r="BG81" s="94" t="str">
        <f t="shared" si="46"/>
        <v/>
      </c>
      <c r="BH81" s="64" t="str">
        <f t="shared" si="12"/>
        <v>#N/A</v>
      </c>
      <c r="BI81" s="64" t="str">
        <f t="shared" si="13"/>
        <v/>
      </c>
      <c r="BJ81" s="123" t="str">
        <f t="shared" si="14"/>
        <v>#N/A</v>
      </c>
      <c r="BK81" s="64" t="str">
        <f t="shared" si="50"/>
        <v>YES</v>
      </c>
      <c r="BL81" s="64" t="str">
        <f t="shared" si="16"/>
        <v>YES</v>
      </c>
      <c r="BM81" s="64" t="str">
        <f t="shared" si="17"/>
        <v>YES</v>
      </c>
      <c r="BN81" s="124" t="str">
        <f t="shared" si="18"/>
        <v/>
      </c>
      <c r="BO81" s="91" t="str">
        <f t="shared" si="19"/>
        <v/>
      </c>
      <c r="BP81" s="91" t="str">
        <f t="shared" si="20"/>
        <v>#N/A</v>
      </c>
      <c r="BQ81" s="91" t="str">
        <f t="shared" si="21"/>
        <v/>
      </c>
      <c r="BR81" s="93" t="str">
        <f t="shared" si="22"/>
        <v/>
      </c>
      <c r="BS81" s="90" t="str">
        <f t="shared" si="23"/>
        <v/>
      </c>
      <c r="BT81" s="93" t="str">
        <f t="shared" si="24"/>
        <v>NA</v>
      </c>
      <c r="BU81" s="125" t="str">
        <f t="shared" si="25"/>
        <v>#N/A</v>
      </c>
      <c r="BV81" s="93" t="str">
        <f t="shared" si="26"/>
        <v/>
      </c>
      <c r="BW81" s="93" t="str">
        <f t="shared" si="27"/>
        <v/>
      </c>
      <c r="BX81" s="93" t="str">
        <f t="shared" si="28"/>
        <v>NA</v>
      </c>
      <c r="BY81" s="95" t="str">
        <f t="shared" si="29"/>
        <v>#N/A</v>
      </c>
      <c r="BZ81" s="93" t="str">
        <f t="shared" si="30"/>
        <v/>
      </c>
      <c r="CA81" s="93" t="str">
        <f t="shared" si="31"/>
        <v/>
      </c>
      <c r="CB81" s="93" t="str">
        <f t="shared" si="32"/>
        <v>NA</v>
      </c>
      <c r="CC81" s="96" t="str">
        <f t="shared" si="33"/>
        <v>#N/A</v>
      </c>
      <c r="CD81" s="93" t="str">
        <f t="shared" si="34"/>
        <v/>
      </c>
      <c r="CE81" s="93" t="str">
        <f t="shared" si="35"/>
        <v/>
      </c>
      <c r="CF81" s="93" t="str">
        <f t="shared" si="36"/>
        <v>NA</v>
      </c>
      <c r="CG81" s="97" t="str">
        <f t="shared" si="37"/>
        <v>#N/A</v>
      </c>
      <c r="CH81" s="98" t="str">
        <f t="shared" si="38"/>
        <v>#N/A</v>
      </c>
      <c r="CI81" s="99" t="str">
        <f t="shared" si="39"/>
        <v>#N/A</v>
      </c>
      <c r="CJ81" s="126" t="str">
        <f t="shared" si="40"/>
        <v>ERROR: check cell</v>
      </c>
      <c r="CK81" s="126"/>
      <c r="CL81" s="127" t="str">
        <f t="shared" si="41"/>
        <v>#DIV/0!</v>
      </c>
      <c r="CM81" s="128" t="str">
        <f t="shared" si="42"/>
        <v>#DIV/0!</v>
      </c>
      <c r="CN81" s="128">
        <f t="shared" si="43"/>
        <v>4</v>
      </c>
      <c r="CO81" s="129">
        <f t="shared" si="44"/>
        <v>4</v>
      </c>
      <c r="CP81" s="129" t="str">
        <f>IFS(C81=Preferences!B$13,B81,B81=Preferences!B$13,C81)</f>
        <v>#N/A</v>
      </c>
    </row>
    <row r="82" ht="13.5" customHeight="1">
      <c r="A82" s="63" t="str">
        <f t="shared" si="45"/>
        <v/>
      </c>
      <c r="B82" s="64"/>
      <c r="C82" s="64"/>
      <c r="D82" s="64"/>
      <c r="E82" s="65"/>
      <c r="F82" s="65"/>
      <c r="G82" s="65"/>
      <c r="H82" s="65"/>
      <c r="I82" s="65"/>
      <c r="J82" s="141"/>
      <c r="K82" s="138"/>
      <c r="L82" s="104"/>
      <c r="M82" s="104"/>
      <c r="N82" s="104"/>
      <c r="O82" s="104"/>
      <c r="P82" s="107" t="str">
        <f t="shared" si="1"/>
        <v/>
      </c>
      <c r="Q82" s="108" t="str">
        <f>IFERROR(IF(AND(Preferences!B$3="Manual",OR(AX82/AW82&gt;G82/F82,BD82="Serious",BD82="Very serious")),"Assess imprecision",IFS(ISBLANK(E82),"",AND(Preferences!B$3="Automatic", G82/F82&gt;=30),"Extremely serious",AND(H82&lt;=$D$1*-1,J82&lt;0,G82/F82&lt;3),"Not serious",AND(H82&lt;=$D$1*-1,J82&lt;0,G82/F82&gt;=3),"Very serious",AND(H82&gt;=$D$1,I82&gt;0,G82/F82&lt;3),"Not serious",AND(H82&gt;=$D$1,I82&gt;0,G82/F82&gt;=3),"Very serious",AND(H82&lt;=$D$1*-1,J82&gt;0,I82&gt;$D$2*-1,G82/F82&lt;3),"Serious", AND(H82&lt;=$D$1*-1,J82&gt;0,I82&lt;$D$2*-1,G82/F82&lt;3),"Very serious", AND(H82&gt;=$D$1,I82&lt;0,J82&lt;$D$2,G82/F82&lt;3),"Serious",AND(H82&gt;=$D$1,I82&lt;0,J82&gt;$D$2,G82/F82&lt;3),"Very serious", AND(H82&lt;=$D$1*-1,J82&gt;0,I82&gt;$D$2*-1,G82/F82&gt;=3),"Very serious", AND(H82&lt;=$D$1*-1,J82&gt;0,I82&lt;$D$2*-1,G82/F82&gt;=3),"Very serious", AND(H82&gt;=$D$1,I82&lt;0,J82&lt;$D$2,G82/F82&gt;=3),"Very serious", AND(H82&gt;=$D$1,I82&lt;0,J82&gt;$D$2,G82/F82&gt;=3),"Very serious", AND(H82&gt;$D$1*-1,H82&lt;$D$1,I82&gt;$D$1*-1,J82&lt;$D$1,G82/F82&lt;3),"Not serious", AND(H82&gt;$D$1*-1,H82&lt;$D$1,OR(I82&lt;=$D$1*-1,J82&gt;=$D$1),I82&gt;$D$2*-1,J82&lt;$D$2,G82/F82&lt;3),"Serious", AND(H82&gt;$D$1*-1,H82&lt;$D$1,OR(I82&lt;=$D$2*-1,J82&gt;=$D$2),G82/F82&lt;3),"Very serious", AND(H82&gt;$D$1*-1,H82&lt;$D$1,I82&gt;$D$1*-1,J82&lt;$D$1,G82/F82&gt;=3),"Very serious", AND(H82&gt;$D$1*-1,H82&lt;$D$1,OR(I82&lt;=$D$1*-1,J82&gt;=$D$1),I82&gt;$D$2*-1,J82&lt;$D$2,G82/F82&gt;=3),"Very serious", AND(H82&gt;$D$1*-1,H82&lt;$D$1,OR(I82&lt;=$D$2*-1,J82&gt;=$D$2),G82/F82&gt;=3),"Very serious")),"")</f>
        <v/>
      </c>
      <c r="R82" s="109" t="str">
        <f t="shared" si="47"/>
        <v/>
      </c>
      <c r="S82" s="64"/>
      <c r="T82" s="144"/>
      <c r="U82" s="144"/>
      <c r="V82" s="144"/>
      <c r="W82" s="142"/>
      <c r="X82" s="142"/>
      <c r="Y82" s="143"/>
      <c r="Z82" s="113" t="str">
        <f t="array" ref="Z82">INDEX($A$1:$C$500, MATCH(1,($B:$B=$B82)*($C:$C=$AB82),0),1)</f>
        <v/>
      </c>
      <c r="AA82" s="113" t="str">
        <f t="array" ref="AA82">INDEX($A$1:$C$500, MATCH(1,($B:$B=$AB82)*($C:$C=$B82),0),1)</f>
        <v/>
      </c>
      <c r="AB82" s="111"/>
      <c r="AC82" s="114" t="str">
        <f t="shared" si="2"/>
        <v/>
      </c>
      <c r="AD82" s="115" t="str">
        <f t="shared" si="3"/>
        <v/>
      </c>
      <c r="AE82" s="116" t="str">
        <f t="array" ref="AE82">INDEX($A$1:$C$500, MATCH(1,($B:$B=$AB82)*($C:$C=$AG82),0),1)</f>
        <v/>
      </c>
      <c r="AF82" s="116" t="str">
        <f t="array" ref="AF82">INDEX($A$1:$C$500, MATCH(1,($B:$B=$AG82)*($C:$C=$AB82),0),1)</f>
        <v/>
      </c>
      <c r="AG82" s="72"/>
      <c r="AH82" s="114" t="str">
        <f t="shared" si="4"/>
        <v/>
      </c>
      <c r="AI82" s="115" t="str">
        <f t="shared" si="5"/>
        <v/>
      </c>
      <c r="AJ82" s="116" t="str">
        <f t="array" ref="AJ82">INDEX($A$1:$C$500, MATCH(1,($B:$B=$C82)*($C:$C=$AG82),0),1)</f>
        <v/>
      </c>
      <c r="AK82" s="116" t="str">
        <f t="array" ref="AK82">INDEX($A$1:$C$500, MATCH(1,($B:$B=$AG82)*($C:$C=$C82),0),1)</f>
        <v/>
      </c>
      <c r="AL82" s="116" t="str">
        <f t="array" ref="AL82">INDEX($A$1:$C$500, MATCH(1,($B:$B=$C82)*($C:$C=$AB82),0),1)</f>
        <v/>
      </c>
      <c r="AM82" s="116" t="str">
        <f t="array" ref="AM82">INDEX($A$1:$C$500, MATCH(1,($B:$B=$AB82)*($C:$C=$C82),0),1)</f>
        <v/>
      </c>
      <c r="AN82" s="114" t="str">
        <f t="array" ref="AN82">IFS(ISNUMBER(AJ82),AJ82,ISNUMBER(AK82),AK82,ISNUMBER(AL82),AL82,ISNUMBER(AM82),AM82)</f>
        <v>#N/A</v>
      </c>
      <c r="AO82" s="115" t="str">
        <f t="shared" si="6"/>
        <v/>
      </c>
      <c r="AP82" s="115" t="str">
        <f t="shared" si="7"/>
        <v/>
      </c>
      <c r="AQ82" s="111"/>
      <c r="AR82" s="109" t="str">
        <f t="shared" si="8"/>
        <v/>
      </c>
      <c r="AS82" s="72" t="str">
        <f>IFERROR(IF(AND(Preferences!B$3="Manual",OR(AX82/AW82&gt;V82/U82,BD82="Serious",BD82="Very serious")),"Assess imprecision",IFERROR(IFS(AND(Preferences!B$3="Automatic",V82/U82&gt;=30),"Extremely serious",AND(W82&lt;=$D$1*-1,Y82&lt;0,V82/U82&lt;3),"Not Serious",AND(W82&lt;=$D$1*-1,Y82&lt;0,V82/U82&gt;=3),"Very serious",AND(W82&gt;=$D$1,X82&gt;0,V82/U82&lt;3),"Not Serious",AND(W82&gt;=$D$1,X82&gt;0,V82/U82&gt;=3),"Very serious",AND(W82&lt;=$D$1*-1,Y82&gt;0,X82&gt;$D$2*-1,V82/U82&lt;3),"Serious", AND(W82&lt;=$D$1*-1,Y82&gt;0,X82&lt;$D$2*-1,V82/U82&lt;3),"Very serious", AND(W82&gt;=$D$1,X82&lt;0,Y82&lt;$D$2,V82/U82&lt;3),"Serious",AND(W82&gt;=$D$1,X82&lt;0,Y82&gt;$D$2,V82/U82&lt;3),"Very serious", AND(W82&lt;=$D$1*-1,Y82&gt;0,X82&gt;$D$2*-1,V82/U82&gt;=3),"Very serious", AND(W82&lt;=$D$1*-1,Y82&gt;0,X82&lt;$D$2*-1,V82/U82&gt;=3),"Very serious", AND(W82&gt;=$D$1,X82&lt;0,Y82&lt;$D$2,V82/U82&gt;=3),"Very serious", AND(W82&gt;=$D$1,X82&lt;0,Y82&gt;$D$2,V82/U82&gt;=3),"Very serious", AND(W82&gt;$D$1*-1,W82&lt;$D$1,X82&gt;$D$1*-1,Y82&lt;$D$1,V82/U82&lt;3),"Not Serious", AND(W82&gt;$D$1*-1,W82&lt;$D$1,OR(X82&lt;=$D$1*-1,Y82&gt;=$D$1),X82&gt;$D$2*-1,Y82&lt;$D$2,V82/U82&lt;3),"Serious", AND(W82&gt;$D$1*-1,W82&lt;$D$1,OR(X82&lt;=$D$2*-1,Y82&gt;=$D$2),V82/U82&lt;3),"Very serious", AND(W82&gt;$D$1*-1,W82&lt;$D$1,X82&gt;$D$1*-1,Y82&lt;$D$1,V82/U82&gt;=3),"Very serious", AND(W82&gt;$D$1*-1,W82&lt;$D$1,OR(X82&lt;=$D$1*-1,Y82&gt;=$D$1),X82&gt;$D$2*-1,Y82&lt;$D$2,V82/U82&gt;=3),"Very serious", AND(W82&gt;$D$1*-1,W82&lt;$D$1,OR(X82&lt;=$D$2*-1,Y82&gt;=$D$2),V82/U82&gt;=3),"Very serious"),"")),"")</f>
        <v/>
      </c>
      <c r="AT82" s="109" t="str">
        <f t="shared" si="9"/>
        <v/>
      </c>
      <c r="AU82" s="64"/>
      <c r="AV82" s="117"/>
      <c r="AW82" s="117"/>
      <c r="AX82" s="117"/>
      <c r="AY82" s="118"/>
      <c r="AZ82" s="118"/>
      <c r="BA82" s="119"/>
      <c r="BB82" s="86" t="str">
        <f>IF(Preferences!B$9="Manual","",IFS(ISBLANK(B82),"",AND(ISNUMBER(E82)=TRUE,ISNUMBER(T82)=FALSE),"Direct", AND(ISNUMBER(E82)=FALSE,ISNUMBER(T82)=TRUE),"Indirect", CN82=4,"Direct",AND(CL82=FALSE, CM82=TRUE,CN82-CO82&gt;-1),"Direct", AND(CL82=FALSE,CM82=TRUE, CN82-CO82&lt;0),"Check algorithm in appendix 2", AND(CL82=TRUE, CM82=FALSE,CN82-CO82&gt;0),"Check algorithm in appendix 2", AND(CL82=TRUE, CM82=FALSE,CN82-CO82=0),"Indirect", AND(CL82=TRUE, CM82=FALSE,CN82-CO82&lt;0),"Indirect", AND(CL82=FALSE,CM82=FALSE,CN82-CO82&gt;-1),"Direct", AND(CL82=FALSE,CM82=FALSE,CN82-CO82&lt;0),"Check algorithm in appendix 2", AND(CL82=TRUE,CM82=TRUE,CN82-CO82&gt;-1),"Direct", AND(CL82=TRUE,CM82=TRUE,CN82-CO82&lt;0),"Check algorithm in appendix 2"))</f>
        <v/>
      </c>
      <c r="BC82" s="120" t="str">
        <f t="shared" si="10"/>
        <v/>
      </c>
      <c r="BD82" s="140"/>
      <c r="BE82" s="122" t="str">
        <f>IF(Preferences!B$3="Manual","", IFERROR(IFS(AND(Preferences!B$3="Automatic",AX82/AW82&gt;=30),"Extremely serious",AND(AY82&lt;=$D$1*-1,BA82&lt;0,AX82/AW82&lt;3),"Not Serious",AND(AY82&lt;=$D$1*-1,BA82&lt;0,AX82/AW82&gt;=3),"Very serious",AND(AY82&gt;=$D$1,AZ82&gt;0,AX82/AW82&lt;3),"Not Serious",AND(AY82&gt;=$D$1,AZ82&gt;0,AX82/AW82&gt;=3),"Very serious",AND(AY82&lt;=$D$1*-1,BA82&gt;0,AZ82&gt;$D$2*-1,AX82/AW82&lt;3),"Serious", AND(AY82&lt;=$D$1*-1,BA82&gt;0,AZ82&lt;$D$2*-1,AX82/AW82&lt;3),"Very serious", AND(AY82&gt;=$D$1,AZ82&lt;0,BA82&lt;$D$2,AX82/AW82&lt;3),"Serious",AND(AY82&gt;=$D$1,AZ82&lt;0,BA82&gt;$D$2,AX82/AW82&lt;3),"Very serious", AND(AY82&lt;=$D$1*-1,BA82&gt;0,AZ82&gt;$D$2*-1,AX82/AW82&gt;=3),"Very serious", AND(AY82&lt;=$D$1*-1,BA82&gt;0,AZ82&lt;$D$2*-1,AX82/AW82&gt;=3),"Very serious", AND(AY82&gt;=$D$1,AZ82&lt;0,BA82&lt;$D$2,AX82/AW82&gt;=3),"Very serious", AND(AY82&gt;=$D$1,AZ82&lt;0,BA82&gt;$D$2,AX82/AW82&gt;=3),"Very serious", AND(AY82&gt;$D$1*-1,AY82&lt;$D$1,AZ82&gt;$D$1*-1,BA82&lt;$D$1,AX82/AW82&lt;3),"Not Serious", AND(AY82&gt;$D$1*-1,AY82&lt;$D$1,OR(AZ82&lt;=$D$1*-1,BA82&gt;=$D$1),AZ82&gt;$D$2*-1,BA82&lt;$D$2,AX82/AW82&lt;3),"Serious", AND(AY82&gt;$D$1*-1,AY82&lt;$D$1,OR(AZ82&lt;=$D$2*-1,BA82&gt;=$D$2),AX82/AW82&lt;3),"Very serious", AND(AY82&gt;$D$1*-1,AY82&lt;$D$1,AZ82&gt;$D$1*-1,BA82&lt;$D$1,AX82/AW82&gt;=3),"Very serious", AND(AY82&gt;$D$1*-1,AY82&lt;$D$1,OR(AZ82&lt;=$D$1*-1,BA82&gt;=$D$1),AZ82&gt;$D$2*-1,BA82&lt;$D$2,AX82/AW82&gt;=3),"Very serious", AND(AY82&gt;$D$1*-1,AY82&lt;$D$1,OR(AZ82&lt;=$D$2*-1,BA82&gt;=$D$2),AX82/AW82&gt;=3),"Very serious"),""))</f>
        <v/>
      </c>
      <c r="BF82" s="107" t="str">
        <f t="shared" si="11"/>
        <v/>
      </c>
      <c r="BG82" s="94" t="str">
        <f t="shared" si="46"/>
        <v/>
      </c>
      <c r="BH82" s="64" t="str">
        <f t="shared" si="12"/>
        <v>#N/A</v>
      </c>
      <c r="BI82" s="64" t="str">
        <f t="shared" si="13"/>
        <v/>
      </c>
      <c r="BJ82" s="123" t="str">
        <f t="shared" si="14"/>
        <v>#N/A</v>
      </c>
      <c r="BK82" s="64" t="str">
        <f t="shared" si="50"/>
        <v>YES</v>
      </c>
      <c r="BL82" s="64" t="str">
        <f t="shared" si="16"/>
        <v>YES</v>
      </c>
      <c r="BM82" s="64" t="str">
        <f t="shared" si="17"/>
        <v>YES</v>
      </c>
      <c r="BN82" s="124" t="str">
        <f t="shared" si="18"/>
        <v/>
      </c>
      <c r="BO82" s="91" t="str">
        <f t="shared" si="19"/>
        <v/>
      </c>
      <c r="BP82" s="91" t="str">
        <f t="shared" si="20"/>
        <v>#N/A</v>
      </c>
      <c r="BQ82" s="91" t="str">
        <f t="shared" si="21"/>
        <v/>
      </c>
      <c r="BR82" s="93" t="str">
        <f t="shared" si="22"/>
        <v/>
      </c>
      <c r="BS82" s="90" t="str">
        <f t="shared" si="23"/>
        <v/>
      </c>
      <c r="BT82" s="93" t="str">
        <f t="shared" si="24"/>
        <v>NA</v>
      </c>
      <c r="BU82" s="125" t="str">
        <f t="shared" si="25"/>
        <v>#N/A</v>
      </c>
      <c r="BV82" s="93" t="str">
        <f t="shared" si="26"/>
        <v/>
      </c>
      <c r="BW82" s="93" t="str">
        <f t="shared" si="27"/>
        <v/>
      </c>
      <c r="BX82" s="93" t="str">
        <f t="shared" si="28"/>
        <v>NA</v>
      </c>
      <c r="BY82" s="95" t="str">
        <f t="shared" si="29"/>
        <v>#N/A</v>
      </c>
      <c r="BZ82" s="93" t="str">
        <f t="shared" si="30"/>
        <v/>
      </c>
      <c r="CA82" s="93" t="str">
        <f t="shared" si="31"/>
        <v/>
      </c>
      <c r="CB82" s="93" t="str">
        <f t="shared" si="32"/>
        <v>NA</v>
      </c>
      <c r="CC82" s="96" t="str">
        <f t="shared" si="33"/>
        <v>#N/A</v>
      </c>
      <c r="CD82" s="93" t="str">
        <f t="shared" si="34"/>
        <v/>
      </c>
      <c r="CE82" s="93" t="str">
        <f t="shared" si="35"/>
        <v/>
      </c>
      <c r="CF82" s="93" t="str">
        <f t="shared" si="36"/>
        <v>NA</v>
      </c>
      <c r="CG82" s="97" t="str">
        <f t="shared" si="37"/>
        <v>#N/A</v>
      </c>
      <c r="CH82" s="98" t="str">
        <f t="shared" si="38"/>
        <v>#N/A</v>
      </c>
      <c r="CI82" s="99" t="str">
        <f t="shared" si="39"/>
        <v>#N/A</v>
      </c>
      <c r="CJ82" s="126" t="str">
        <f t="shared" si="40"/>
        <v>ERROR: check cell</v>
      </c>
      <c r="CK82" s="126"/>
      <c r="CL82" s="127" t="str">
        <f t="shared" si="41"/>
        <v>#DIV/0!</v>
      </c>
      <c r="CM82" s="128" t="str">
        <f t="shared" si="42"/>
        <v>#DIV/0!</v>
      </c>
      <c r="CN82" s="128">
        <f t="shared" si="43"/>
        <v>4</v>
      </c>
      <c r="CO82" s="129">
        <f t="shared" si="44"/>
        <v>4</v>
      </c>
      <c r="CP82" s="129" t="str">
        <f>IFS(C82=Preferences!B$13,B82,B82=Preferences!B$13,C82)</f>
        <v>#N/A</v>
      </c>
    </row>
    <row r="83" ht="13.5" customHeight="1">
      <c r="A83" s="63" t="str">
        <f t="shared" si="45"/>
        <v/>
      </c>
      <c r="B83" s="64"/>
      <c r="C83" s="64"/>
      <c r="D83" s="64"/>
      <c r="E83" s="65"/>
      <c r="F83" s="65"/>
      <c r="G83" s="65"/>
      <c r="H83" s="65"/>
      <c r="I83" s="65"/>
      <c r="J83" s="141"/>
      <c r="K83" s="138"/>
      <c r="L83" s="104"/>
      <c r="M83" s="104"/>
      <c r="N83" s="104"/>
      <c r="O83" s="104"/>
      <c r="P83" s="107" t="str">
        <f t="shared" si="1"/>
        <v/>
      </c>
      <c r="Q83" s="108" t="str">
        <f>IFERROR(IF(AND(Preferences!B$3="Manual",OR(AX83/AW83&gt;G83/F83,BD83="Serious",BD83="Very serious")),"Assess imprecision",IFS(ISBLANK(E83),"",AND(Preferences!B$3="Automatic", G83/F83&gt;=30),"Extremely serious",AND(H83&lt;=$D$1*-1,J83&lt;0,G83/F83&lt;3),"Not serious",AND(H83&lt;=$D$1*-1,J83&lt;0,G83/F83&gt;=3),"Very serious",AND(H83&gt;=$D$1,I83&gt;0,G83/F83&lt;3),"Not serious",AND(H83&gt;=$D$1,I83&gt;0,G83/F83&gt;=3),"Very serious",AND(H83&lt;=$D$1*-1,J83&gt;0,I83&gt;$D$2*-1,G83/F83&lt;3),"Serious", AND(H83&lt;=$D$1*-1,J83&gt;0,I83&lt;$D$2*-1,G83/F83&lt;3),"Very serious", AND(H83&gt;=$D$1,I83&lt;0,J83&lt;$D$2,G83/F83&lt;3),"Serious",AND(H83&gt;=$D$1,I83&lt;0,J83&gt;$D$2,G83/F83&lt;3),"Very serious", AND(H83&lt;=$D$1*-1,J83&gt;0,I83&gt;$D$2*-1,G83/F83&gt;=3),"Very serious", AND(H83&lt;=$D$1*-1,J83&gt;0,I83&lt;$D$2*-1,G83/F83&gt;=3),"Very serious", AND(H83&gt;=$D$1,I83&lt;0,J83&lt;$D$2,G83/F83&gt;=3),"Very serious", AND(H83&gt;=$D$1,I83&lt;0,J83&gt;$D$2,G83/F83&gt;=3),"Very serious", AND(H83&gt;$D$1*-1,H83&lt;$D$1,I83&gt;$D$1*-1,J83&lt;$D$1,G83/F83&lt;3),"Not serious", AND(H83&gt;$D$1*-1,H83&lt;$D$1,OR(I83&lt;=$D$1*-1,J83&gt;=$D$1),I83&gt;$D$2*-1,J83&lt;$D$2,G83/F83&lt;3),"Serious", AND(H83&gt;$D$1*-1,H83&lt;$D$1,OR(I83&lt;=$D$2*-1,J83&gt;=$D$2),G83/F83&lt;3),"Very serious", AND(H83&gt;$D$1*-1,H83&lt;$D$1,I83&gt;$D$1*-1,J83&lt;$D$1,G83/F83&gt;=3),"Very serious", AND(H83&gt;$D$1*-1,H83&lt;$D$1,OR(I83&lt;=$D$1*-1,J83&gt;=$D$1),I83&gt;$D$2*-1,J83&lt;$D$2,G83/F83&gt;=3),"Very serious", AND(H83&gt;$D$1*-1,H83&lt;$D$1,OR(I83&lt;=$D$2*-1,J83&gt;=$D$2),G83/F83&gt;=3),"Very serious")),"")</f>
        <v/>
      </c>
      <c r="R83" s="109" t="str">
        <f t="shared" si="47"/>
        <v/>
      </c>
      <c r="S83" s="64"/>
      <c r="T83" s="144"/>
      <c r="U83" s="144"/>
      <c r="V83" s="144"/>
      <c r="W83" s="142"/>
      <c r="X83" s="142"/>
      <c r="Y83" s="143"/>
      <c r="Z83" s="113" t="str">
        <f t="array" ref="Z83">INDEX($A$1:$C$500, MATCH(1,($B:$B=$B83)*($C:$C=$AB83),0),1)</f>
        <v/>
      </c>
      <c r="AA83" s="113" t="str">
        <f t="array" ref="AA83">INDEX($A$1:$C$500, MATCH(1,($B:$B=$AB83)*($C:$C=$B83),0),1)</f>
        <v/>
      </c>
      <c r="AB83" s="111"/>
      <c r="AC83" s="114" t="str">
        <f t="shared" si="2"/>
        <v/>
      </c>
      <c r="AD83" s="115" t="str">
        <f t="shared" si="3"/>
        <v/>
      </c>
      <c r="AE83" s="116" t="str">
        <f t="array" ref="AE83">INDEX($A$1:$C$500, MATCH(1,($B:$B=$AB83)*($C:$C=$AG83),0),1)</f>
        <v/>
      </c>
      <c r="AF83" s="116" t="str">
        <f t="array" ref="AF83">INDEX($A$1:$C$500, MATCH(1,($B:$B=$AG83)*($C:$C=$AB83),0),1)</f>
        <v/>
      </c>
      <c r="AG83" s="72"/>
      <c r="AH83" s="114" t="str">
        <f t="shared" si="4"/>
        <v/>
      </c>
      <c r="AI83" s="115" t="str">
        <f t="shared" si="5"/>
        <v/>
      </c>
      <c r="AJ83" s="116" t="str">
        <f t="array" ref="AJ83">INDEX($A$1:$C$500, MATCH(1,($B:$B=$C83)*($C:$C=$AG83),0),1)</f>
        <v/>
      </c>
      <c r="AK83" s="116" t="str">
        <f t="array" ref="AK83">INDEX($A$1:$C$500, MATCH(1,($B:$B=$AG83)*($C:$C=$C83),0),1)</f>
        <v/>
      </c>
      <c r="AL83" s="116" t="str">
        <f t="array" ref="AL83">INDEX($A$1:$C$500, MATCH(1,($B:$B=$C83)*($C:$C=$AB83),0),1)</f>
        <v/>
      </c>
      <c r="AM83" s="116" t="str">
        <f t="array" ref="AM83">INDEX($A$1:$C$500, MATCH(1,($B:$B=$AB83)*($C:$C=$C83),0),1)</f>
        <v/>
      </c>
      <c r="AN83" s="114" t="str">
        <f t="array" ref="AN83">IFS(ISNUMBER(AJ83),AJ83,ISNUMBER(AK83),AK83,ISNUMBER(AL83),AL83,ISNUMBER(AM83),AM83)</f>
        <v>#N/A</v>
      </c>
      <c r="AO83" s="115" t="str">
        <f t="shared" si="6"/>
        <v/>
      </c>
      <c r="AP83" s="115" t="str">
        <f t="shared" si="7"/>
        <v/>
      </c>
      <c r="AQ83" s="111"/>
      <c r="AR83" s="109" t="str">
        <f t="shared" si="8"/>
        <v/>
      </c>
      <c r="AS83" s="72" t="str">
        <f>IFERROR(IF(AND(Preferences!B$3="Manual",OR(AX83/AW83&gt;V83/U83,BD83="Serious",BD83="Very serious")),"Assess imprecision",IFERROR(IFS(AND(Preferences!B$3="Automatic",V83/U83&gt;=30),"Extremely serious",AND(W83&lt;=$D$1*-1,Y83&lt;0,V83/U83&lt;3),"Not Serious",AND(W83&lt;=$D$1*-1,Y83&lt;0,V83/U83&gt;=3),"Very serious",AND(W83&gt;=$D$1,X83&gt;0,V83/U83&lt;3),"Not Serious",AND(W83&gt;=$D$1,X83&gt;0,V83/U83&gt;=3),"Very serious",AND(W83&lt;=$D$1*-1,Y83&gt;0,X83&gt;$D$2*-1,V83/U83&lt;3),"Serious", AND(W83&lt;=$D$1*-1,Y83&gt;0,X83&lt;$D$2*-1,V83/U83&lt;3),"Very serious", AND(W83&gt;=$D$1,X83&lt;0,Y83&lt;$D$2,V83/U83&lt;3),"Serious",AND(W83&gt;=$D$1,X83&lt;0,Y83&gt;$D$2,V83/U83&lt;3),"Very serious", AND(W83&lt;=$D$1*-1,Y83&gt;0,X83&gt;$D$2*-1,V83/U83&gt;=3),"Very serious", AND(W83&lt;=$D$1*-1,Y83&gt;0,X83&lt;$D$2*-1,V83/U83&gt;=3),"Very serious", AND(W83&gt;=$D$1,X83&lt;0,Y83&lt;$D$2,V83/U83&gt;=3),"Very serious", AND(W83&gt;=$D$1,X83&lt;0,Y83&gt;$D$2,V83/U83&gt;=3),"Very serious", AND(W83&gt;$D$1*-1,W83&lt;$D$1,X83&gt;$D$1*-1,Y83&lt;$D$1,V83/U83&lt;3),"Not Serious", AND(W83&gt;$D$1*-1,W83&lt;$D$1,OR(X83&lt;=$D$1*-1,Y83&gt;=$D$1),X83&gt;$D$2*-1,Y83&lt;$D$2,V83/U83&lt;3),"Serious", AND(W83&gt;$D$1*-1,W83&lt;$D$1,OR(X83&lt;=$D$2*-1,Y83&gt;=$D$2),V83/U83&lt;3),"Very serious", AND(W83&gt;$D$1*-1,W83&lt;$D$1,X83&gt;$D$1*-1,Y83&lt;$D$1,V83/U83&gt;=3),"Very serious", AND(W83&gt;$D$1*-1,W83&lt;$D$1,OR(X83&lt;=$D$1*-1,Y83&gt;=$D$1),X83&gt;$D$2*-1,Y83&lt;$D$2,V83/U83&gt;=3),"Very serious", AND(W83&gt;$D$1*-1,W83&lt;$D$1,OR(X83&lt;=$D$2*-1,Y83&gt;=$D$2),V83/U83&gt;=3),"Very serious"),"")),"")</f>
        <v/>
      </c>
      <c r="AT83" s="109" t="str">
        <f t="shared" si="9"/>
        <v/>
      </c>
      <c r="AU83" s="64"/>
      <c r="AV83" s="117"/>
      <c r="AW83" s="117"/>
      <c r="AX83" s="117"/>
      <c r="AY83" s="118"/>
      <c r="AZ83" s="118"/>
      <c r="BA83" s="119"/>
      <c r="BB83" s="86" t="str">
        <f>IF(Preferences!B$9="Manual","",IFS(ISBLANK(B83),"",AND(ISNUMBER(E83)=TRUE,ISNUMBER(T83)=FALSE),"Direct", AND(ISNUMBER(E83)=FALSE,ISNUMBER(T83)=TRUE),"Indirect", CN83=4,"Direct",AND(CL83=FALSE, CM83=TRUE,CN83-CO83&gt;-1),"Direct", AND(CL83=FALSE,CM83=TRUE, CN83-CO83&lt;0),"Check algorithm in appendix 2", AND(CL83=TRUE, CM83=FALSE,CN83-CO83&gt;0),"Check algorithm in appendix 2", AND(CL83=TRUE, CM83=FALSE,CN83-CO83=0),"Indirect", AND(CL83=TRUE, CM83=FALSE,CN83-CO83&lt;0),"Indirect", AND(CL83=FALSE,CM83=FALSE,CN83-CO83&gt;-1),"Direct", AND(CL83=FALSE,CM83=FALSE,CN83-CO83&lt;0),"Check algorithm in appendix 2", AND(CL83=TRUE,CM83=TRUE,CN83-CO83&gt;-1),"Direct", AND(CL83=TRUE,CM83=TRUE,CN83-CO83&lt;0),"Check algorithm in appendix 2"))</f>
        <v/>
      </c>
      <c r="BC83" s="120" t="str">
        <f t="shared" si="10"/>
        <v/>
      </c>
      <c r="BD83" s="140"/>
      <c r="BE83" s="122" t="str">
        <f>IF(Preferences!B$3="Manual","", IFERROR(IFS(AND(Preferences!B$3="Automatic",AX83/AW83&gt;=30),"Extremely serious",AND(AY83&lt;=$D$1*-1,BA83&lt;0,AX83/AW83&lt;3),"Not Serious",AND(AY83&lt;=$D$1*-1,BA83&lt;0,AX83/AW83&gt;=3),"Very serious",AND(AY83&gt;=$D$1,AZ83&gt;0,AX83/AW83&lt;3),"Not Serious",AND(AY83&gt;=$D$1,AZ83&gt;0,AX83/AW83&gt;=3),"Very serious",AND(AY83&lt;=$D$1*-1,BA83&gt;0,AZ83&gt;$D$2*-1,AX83/AW83&lt;3),"Serious", AND(AY83&lt;=$D$1*-1,BA83&gt;0,AZ83&lt;$D$2*-1,AX83/AW83&lt;3),"Very serious", AND(AY83&gt;=$D$1,AZ83&lt;0,BA83&lt;$D$2,AX83/AW83&lt;3),"Serious",AND(AY83&gt;=$D$1,AZ83&lt;0,BA83&gt;$D$2,AX83/AW83&lt;3),"Very serious", AND(AY83&lt;=$D$1*-1,BA83&gt;0,AZ83&gt;$D$2*-1,AX83/AW83&gt;=3),"Very serious", AND(AY83&lt;=$D$1*-1,BA83&gt;0,AZ83&lt;$D$2*-1,AX83/AW83&gt;=3),"Very serious", AND(AY83&gt;=$D$1,AZ83&lt;0,BA83&lt;$D$2,AX83/AW83&gt;=3),"Very serious", AND(AY83&gt;=$D$1,AZ83&lt;0,BA83&gt;$D$2,AX83/AW83&gt;=3),"Very serious", AND(AY83&gt;$D$1*-1,AY83&lt;$D$1,AZ83&gt;$D$1*-1,BA83&lt;$D$1,AX83/AW83&lt;3),"Not Serious", AND(AY83&gt;$D$1*-1,AY83&lt;$D$1,OR(AZ83&lt;=$D$1*-1,BA83&gt;=$D$1),AZ83&gt;$D$2*-1,BA83&lt;$D$2,AX83/AW83&lt;3),"Serious", AND(AY83&gt;$D$1*-1,AY83&lt;$D$1,OR(AZ83&lt;=$D$2*-1,BA83&gt;=$D$2),AX83/AW83&lt;3),"Very serious", AND(AY83&gt;$D$1*-1,AY83&lt;$D$1,AZ83&gt;$D$1*-1,BA83&lt;$D$1,AX83/AW83&gt;=3),"Very serious", AND(AY83&gt;$D$1*-1,AY83&lt;$D$1,OR(AZ83&lt;=$D$1*-1,BA83&gt;=$D$1),AZ83&gt;$D$2*-1,BA83&lt;$D$2,AX83/AW83&gt;=3),"Very serious", AND(AY83&gt;$D$1*-1,AY83&lt;$D$1,OR(AZ83&lt;=$D$2*-1,BA83&gt;=$D$2),AX83/AW83&gt;=3),"Very serious"),""))</f>
        <v/>
      </c>
      <c r="BF83" s="107" t="str">
        <f t="shared" si="11"/>
        <v/>
      </c>
      <c r="BG83" s="94" t="str">
        <f t="shared" si="46"/>
        <v/>
      </c>
      <c r="BH83" s="64" t="str">
        <f t="shared" si="12"/>
        <v>#N/A</v>
      </c>
      <c r="BI83" s="64" t="str">
        <f t="shared" si="13"/>
        <v/>
      </c>
      <c r="BJ83" s="123" t="str">
        <f t="shared" si="14"/>
        <v>#N/A</v>
      </c>
      <c r="BK83" s="64" t="str">
        <f t="shared" si="50"/>
        <v>YES</v>
      </c>
      <c r="BL83" s="64" t="str">
        <f t="shared" si="16"/>
        <v>YES</v>
      </c>
      <c r="BM83" s="64" t="str">
        <f t="shared" si="17"/>
        <v>YES</v>
      </c>
      <c r="BN83" s="124" t="str">
        <f t="shared" si="18"/>
        <v/>
      </c>
      <c r="BO83" s="91" t="str">
        <f t="shared" si="19"/>
        <v/>
      </c>
      <c r="BP83" s="91" t="str">
        <f t="shared" si="20"/>
        <v>#N/A</v>
      </c>
      <c r="BQ83" s="91" t="str">
        <f t="shared" si="21"/>
        <v/>
      </c>
      <c r="BR83" s="93" t="str">
        <f t="shared" si="22"/>
        <v/>
      </c>
      <c r="BS83" s="90" t="str">
        <f t="shared" si="23"/>
        <v/>
      </c>
      <c r="BT83" s="93" t="str">
        <f t="shared" si="24"/>
        <v>NA</v>
      </c>
      <c r="BU83" s="125" t="str">
        <f t="shared" si="25"/>
        <v>#N/A</v>
      </c>
      <c r="BV83" s="93" t="str">
        <f t="shared" si="26"/>
        <v/>
      </c>
      <c r="BW83" s="93" t="str">
        <f t="shared" si="27"/>
        <v/>
      </c>
      <c r="BX83" s="93" t="str">
        <f t="shared" si="28"/>
        <v>NA</v>
      </c>
      <c r="BY83" s="95" t="str">
        <f t="shared" si="29"/>
        <v>#N/A</v>
      </c>
      <c r="BZ83" s="93" t="str">
        <f t="shared" si="30"/>
        <v/>
      </c>
      <c r="CA83" s="93" t="str">
        <f t="shared" si="31"/>
        <v/>
      </c>
      <c r="CB83" s="93" t="str">
        <f t="shared" si="32"/>
        <v>NA</v>
      </c>
      <c r="CC83" s="96" t="str">
        <f t="shared" si="33"/>
        <v>#N/A</v>
      </c>
      <c r="CD83" s="93" t="str">
        <f t="shared" si="34"/>
        <v/>
      </c>
      <c r="CE83" s="93" t="str">
        <f t="shared" si="35"/>
        <v/>
      </c>
      <c r="CF83" s="93" t="str">
        <f t="shared" si="36"/>
        <v>NA</v>
      </c>
      <c r="CG83" s="97" t="str">
        <f t="shared" si="37"/>
        <v>#N/A</v>
      </c>
      <c r="CH83" s="98" t="str">
        <f t="shared" si="38"/>
        <v>#N/A</v>
      </c>
      <c r="CI83" s="99" t="str">
        <f t="shared" si="39"/>
        <v>#N/A</v>
      </c>
      <c r="CJ83" s="126" t="str">
        <f t="shared" si="40"/>
        <v>ERROR: check cell</v>
      </c>
      <c r="CK83" s="126"/>
      <c r="CL83" s="127" t="str">
        <f t="shared" si="41"/>
        <v>#DIV/0!</v>
      </c>
      <c r="CM83" s="128" t="str">
        <f t="shared" si="42"/>
        <v>#DIV/0!</v>
      </c>
      <c r="CN83" s="128">
        <f t="shared" si="43"/>
        <v>4</v>
      </c>
      <c r="CO83" s="129">
        <f t="shared" si="44"/>
        <v>4</v>
      </c>
      <c r="CP83" s="129" t="str">
        <f>IFS(C83=Preferences!B$13,B83,B83=Preferences!B$13,C83)</f>
        <v>#N/A</v>
      </c>
    </row>
    <row r="84" ht="13.5" customHeight="1">
      <c r="A84" s="63" t="str">
        <f t="shared" si="45"/>
        <v/>
      </c>
      <c r="B84" s="64"/>
      <c r="C84" s="64"/>
      <c r="D84" s="64"/>
      <c r="E84" s="65"/>
      <c r="F84" s="65"/>
      <c r="G84" s="65"/>
      <c r="H84" s="65"/>
      <c r="I84" s="65"/>
      <c r="J84" s="141"/>
      <c r="K84" s="138"/>
      <c r="L84" s="104"/>
      <c r="M84" s="104"/>
      <c r="N84" s="104"/>
      <c r="O84" s="104"/>
      <c r="P84" s="107" t="str">
        <f t="shared" si="1"/>
        <v/>
      </c>
      <c r="Q84" s="108" t="str">
        <f>IFERROR(IF(AND(Preferences!B$3="Manual",OR(AX84/AW84&gt;G84/F84,BD84="Serious",BD84="Very serious")),"Assess imprecision",IFS(ISBLANK(E84),"",AND(Preferences!B$3="Automatic", G84/F84&gt;=30),"Extremely serious",AND(H84&lt;=$D$1*-1,J84&lt;0,G84/F84&lt;3),"Not serious",AND(H84&lt;=$D$1*-1,J84&lt;0,G84/F84&gt;=3),"Very serious",AND(H84&gt;=$D$1,I84&gt;0,G84/F84&lt;3),"Not serious",AND(H84&gt;=$D$1,I84&gt;0,G84/F84&gt;=3),"Very serious",AND(H84&lt;=$D$1*-1,J84&gt;0,I84&gt;$D$2*-1,G84/F84&lt;3),"Serious", AND(H84&lt;=$D$1*-1,J84&gt;0,I84&lt;$D$2*-1,G84/F84&lt;3),"Very serious", AND(H84&gt;=$D$1,I84&lt;0,J84&lt;$D$2,G84/F84&lt;3),"Serious",AND(H84&gt;=$D$1,I84&lt;0,J84&gt;$D$2,G84/F84&lt;3),"Very serious", AND(H84&lt;=$D$1*-1,J84&gt;0,I84&gt;$D$2*-1,G84/F84&gt;=3),"Very serious", AND(H84&lt;=$D$1*-1,J84&gt;0,I84&lt;$D$2*-1,G84/F84&gt;=3),"Very serious", AND(H84&gt;=$D$1,I84&lt;0,J84&lt;$D$2,G84/F84&gt;=3),"Very serious", AND(H84&gt;=$D$1,I84&lt;0,J84&gt;$D$2,G84/F84&gt;=3),"Very serious", AND(H84&gt;$D$1*-1,H84&lt;$D$1,I84&gt;$D$1*-1,J84&lt;$D$1,G84/F84&lt;3),"Not serious", AND(H84&gt;$D$1*-1,H84&lt;$D$1,OR(I84&lt;=$D$1*-1,J84&gt;=$D$1),I84&gt;$D$2*-1,J84&lt;$D$2,G84/F84&lt;3),"Serious", AND(H84&gt;$D$1*-1,H84&lt;$D$1,OR(I84&lt;=$D$2*-1,J84&gt;=$D$2),G84/F84&lt;3),"Very serious", AND(H84&gt;$D$1*-1,H84&lt;$D$1,I84&gt;$D$1*-1,J84&lt;$D$1,G84/F84&gt;=3),"Very serious", AND(H84&gt;$D$1*-1,H84&lt;$D$1,OR(I84&lt;=$D$1*-1,J84&gt;=$D$1),I84&gt;$D$2*-1,J84&lt;$D$2,G84/F84&gt;=3),"Very serious", AND(H84&gt;$D$1*-1,H84&lt;$D$1,OR(I84&lt;=$D$2*-1,J84&gt;=$D$2),G84/F84&gt;=3),"Very serious")),"")</f>
        <v/>
      </c>
      <c r="R84" s="109" t="str">
        <f t="shared" si="47"/>
        <v/>
      </c>
      <c r="S84" s="64"/>
      <c r="T84" s="144"/>
      <c r="U84" s="144"/>
      <c r="V84" s="144"/>
      <c r="W84" s="142"/>
      <c r="X84" s="142"/>
      <c r="Y84" s="143"/>
      <c r="Z84" s="113" t="str">
        <f t="array" ref="Z84">INDEX($A$1:$C$500, MATCH(1,($B:$B=$B84)*($C:$C=$AB84),0),1)</f>
        <v/>
      </c>
      <c r="AA84" s="113" t="str">
        <f t="array" ref="AA84">INDEX($A$1:$C$500, MATCH(1,($B:$B=$AB84)*($C:$C=$B84),0),1)</f>
        <v/>
      </c>
      <c r="AB84" s="111"/>
      <c r="AC84" s="114" t="str">
        <f t="shared" si="2"/>
        <v/>
      </c>
      <c r="AD84" s="115" t="str">
        <f t="shared" si="3"/>
        <v/>
      </c>
      <c r="AE84" s="116" t="str">
        <f t="array" ref="AE84">INDEX($A$1:$C$500, MATCH(1,($B:$B=$AB84)*($C:$C=$AG84),0),1)</f>
        <v/>
      </c>
      <c r="AF84" s="116" t="str">
        <f t="array" ref="AF84">INDEX($A$1:$C$500, MATCH(1,($B:$B=$AG84)*($C:$C=$AB84),0),1)</f>
        <v/>
      </c>
      <c r="AG84" s="72"/>
      <c r="AH84" s="114" t="str">
        <f t="shared" si="4"/>
        <v/>
      </c>
      <c r="AI84" s="115" t="str">
        <f t="shared" si="5"/>
        <v/>
      </c>
      <c r="AJ84" s="116" t="str">
        <f t="array" ref="AJ84">INDEX($A$1:$C$500, MATCH(1,($B:$B=$C84)*($C:$C=$AG84),0),1)</f>
        <v/>
      </c>
      <c r="AK84" s="116" t="str">
        <f t="array" ref="AK84">INDEX($A$1:$C$500, MATCH(1,($B:$B=$AG84)*($C:$C=$C84),0),1)</f>
        <v/>
      </c>
      <c r="AL84" s="116" t="str">
        <f t="array" ref="AL84">INDEX($A$1:$C$500, MATCH(1,($B:$B=$C84)*($C:$C=$AB84),0),1)</f>
        <v/>
      </c>
      <c r="AM84" s="116" t="str">
        <f t="array" ref="AM84">INDEX($A$1:$C$500, MATCH(1,($B:$B=$AB84)*($C:$C=$C84),0),1)</f>
        <v/>
      </c>
      <c r="AN84" s="114" t="str">
        <f t="array" ref="AN84">IFS(ISNUMBER(AJ84),AJ84,ISNUMBER(AK84),AK84,ISNUMBER(AL84),AL84,ISNUMBER(AM84),AM84)</f>
        <v>#N/A</v>
      </c>
      <c r="AO84" s="115" t="str">
        <f t="shared" si="6"/>
        <v/>
      </c>
      <c r="AP84" s="115" t="str">
        <f t="shared" si="7"/>
        <v/>
      </c>
      <c r="AQ84" s="111"/>
      <c r="AR84" s="109" t="str">
        <f t="shared" si="8"/>
        <v/>
      </c>
      <c r="AS84" s="72" t="str">
        <f>IFERROR(IF(AND(Preferences!B$3="Manual",OR(AX84/AW84&gt;V84/U84,BD84="Serious",BD84="Very serious")),"Assess imprecision",IFERROR(IFS(AND(Preferences!B$3="Automatic",V84/U84&gt;=30),"Extremely serious",AND(W84&lt;=$D$1*-1,Y84&lt;0,V84/U84&lt;3),"Not Serious",AND(W84&lt;=$D$1*-1,Y84&lt;0,V84/U84&gt;=3),"Very serious",AND(W84&gt;=$D$1,X84&gt;0,V84/U84&lt;3),"Not Serious",AND(W84&gt;=$D$1,X84&gt;0,V84/U84&gt;=3),"Very serious",AND(W84&lt;=$D$1*-1,Y84&gt;0,X84&gt;$D$2*-1,V84/U84&lt;3),"Serious", AND(W84&lt;=$D$1*-1,Y84&gt;0,X84&lt;$D$2*-1,V84/U84&lt;3),"Very serious", AND(W84&gt;=$D$1,X84&lt;0,Y84&lt;$D$2,V84/U84&lt;3),"Serious",AND(W84&gt;=$D$1,X84&lt;0,Y84&gt;$D$2,V84/U84&lt;3),"Very serious", AND(W84&lt;=$D$1*-1,Y84&gt;0,X84&gt;$D$2*-1,V84/U84&gt;=3),"Very serious", AND(W84&lt;=$D$1*-1,Y84&gt;0,X84&lt;$D$2*-1,V84/U84&gt;=3),"Very serious", AND(W84&gt;=$D$1,X84&lt;0,Y84&lt;$D$2,V84/U84&gt;=3),"Very serious", AND(W84&gt;=$D$1,X84&lt;0,Y84&gt;$D$2,V84/U84&gt;=3),"Very serious", AND(W84&gt;$D$1*-1,W84&lt;$D$1,X84&gt;$D$1*-1,Y84&lt;$D$1,V84/U84&lt;3),"Not Serious", AND(W84&gt;$D$1*-1,W84&lt;$D$1,OR(X84&lt;=$D$1*-1,Y84&gt;=$D$1),X84&gt;$D$2*-1,Y84&lt;$D$2,V84/U84&lt;3),"Serious", AND(W84&gt;$D$1*-1,W84&lt;$D$1,OR(X84&lt;=$D$2*-1,Y84&gt;=$D$2),V84/U84&lt;3),"Very serious", AND(W84&gt;$D$1*-1,W84&lt;$D$1,X84&gt;$D$1*-1,Y84&lt;$D$1,V84/U84&gt;=3),"Very serious", AND(W84&gt;$D$1*-1,W84&lt;$D$1,OR(X84&lt;=$D$1*-1,Y84&gt;=$D$1),X84&gt;$D$2*-1,Y84&lt;$D$2,V84/U84&gt;=3),"Very serious", AND(W84&gt;$D$1*-1,W84&lt;$D$1,OR(X84&lt;=$D$2*-1,Y84&gt;=$D$2),V84/U84&gt;=3),"Very serious"),"")),"")</f>
        <v/>
      </c>
      <c r="AT84" s="109" t="str">
        <f t="shared" si="9"/>
        <v/>
      </c>
      <c r="AU84" s="64"/>
      <c r="AV84" s="117"/>
      <c r="AW84" s="117"/>
      <c r="AX84" s="117"/>
      <c r="AY84" s="118"/>
      <c r="AZ84" s="118"/>
      <c r="BA84" s="119"/>
      <c r="BB84" s="86" t="str">
        <f>IF(Preferences!B$9="Manual","",IFS(ISBLANK(B84),"",AND(ISNUMBER(E84)=TRUE,ISNUMBER(T84)=FALSE),"Direct", AND(ISNUMBER(E84)=FALSE,ISNUMBER(T84)=TRUE),"Indirect", CN84=4,"Direct",AND(CL84=FALSE, CM84=TRUE,CN84-CO84&gt;-1),"Direct", AND(CL84=FALSE,CM84=TRUE, CN84-CO84&lt;0),"Check algorithm in appendix 2", AND(CL84=TRUE, CM84=FALSE,CN84-CO84&gt;0),"Check algorithm in appendix 2", AND(CL84=TRUE, CM84=FALSE,CN84-CO84=0),"Indirect", AND(CL84=TRUE, CM84=FALSE,CN84-CO84&lt;0),"Indirect", AND(CL84=FALSE,CM84=FALSE,CN84-CO84&gt;-1),"Direct", AND(CL84=FALSE,CM84=FALSE,CN84-CO84&lt;0),"Check algorithm in appendix 2", AND(CL84=TRUE,CM84=TRUE,CN84-CO84&gt;-1),"Direct", AND(CL84=TRUE,CM84=TRUE,CN84-CO84&lt;0),"Check algorithm in appendix 2"))</f>
        <v/>
      </c>
      <c r="BC84" s="120" t="str">
        <f t="shared" si="10"/>
        <v/>
      </c>
      <c r="BD84" s="140"/>
      <c r="BE84" s="122" t="str">
        <f>IF(Preferences!B$3="Manual","", IFERROR(IFS(AND(Preferences!B$3="Automatic",AX84/AW84&gt;=30),"Extremely serious",AND(AY84&lt;=$D$1*-1,BA84&lt;0,AX84/AW84&lt;3),"Not Serious",AND(AY84&lt;=$D$1*-1,BA84&lt;0,AX84/AW84&gt;=3),"Very serious",AND(AY84&gt;=$D$1,AZ84&gt;0,AX84/AW84&lt;3),"Not Serious",AND(AY84&gt;=$D$1,AZ84&gt;0,AX84/AW84&gt;=3),"Very serious",AND(AY84&lt;=$D$1*-1,BA84&gt;0,AZ84&gt;$D$2*-1,AX84/AW84&lt;3),"Serious", AND(AY84&lt;=$D$1*-1,BA84&gt;0,AZ84&lt;$D$2*-1,AX84/AW84&lt;3),"Very serious", AND(AY84&gt;=$D$1,AZ84&lt;0,BA84&lt;$D$2,AX84/AW84&lt;3),"Serious",AND(AY84&gt;=$D$1,AZ84&lt;0,BA84&gt;$D$2,AX84/AW84&lt;3),"Very serious", AND(AY84&lt;=$D$1*-1,BA84&gt;0,AZ84&gt;$D$2*-1,AX84/AW84&gt;=3),"Very serious", AND(AY84&lt;=$D$1*-1,BA84&gt;0,AZ84&lt;$D$2*-1,AX84/AW84&gt;=3),"Very serious", AND(AY84&gt;=$D$1,AZ84&lt;0,BA84&lt;$D$2,AX84/AW84&gt;=3),"Very serious", AND(AY84&gt;=$D$1,AZ84&lt;0,BA84&gt;$D$2,AX84/AW84&gt;=3),"Very serious", AND(AY84&gt;$D$1*-1,AY84&lt;$D$1,AZ84&gt;$D$1*-1,BA84&lt;$D$1,AX84/AW84&lt;3),"Not Serious", AND(AY84&gt;$D$1*-1,AY84&lt;$D$1,OR(AZ84&lt;=$D$1*-1,BA84&gt;=$D$1),AZ84&gt;$D$2*-1,BA84&lt;$D$2,AX84/AW84&lt;3),"Serious", AND(AY84&gt;$D$1*-1,AY84&lt;$D$1,OR(AZ84&lt;=$D$2*-1,BA84&gt;=$D$2),AX84/AW84&lt;3),"Very serious", AND(AY84&gt;$D$1*-1,AY84&lt;$D$1,AZ84&gt;$D$1*-1,BA84&lt;$D$1,AX84/AW84&gt;=3),"Very serious", AND(AY84&gt;$D$1*-1,AY84&lt;$D$1,OR(AZ84&lt;=$D$1*-1,BA84&gt;=$D$1),AZ84&gt;$D$2*-1,BA84&lt;$D$2,AX84/AW84&gt;=3),"Very serious", AND(AY84&gt;$D$1*-1,AY84&lt;$D$1,OR(AZ84&lt;=$D$2*-1,BA84&gt;=$D$2),AX84/AW84&gt;=3),"Very serious"),""))</f>
        <v/>
      </c>
      <c r="BF84" s="107" t="str">
        <f t="shared" si="11"/>
        <v/>
      </c>
      <c r="BG84" s="94" t="str">
        <f t="shared" si="46"/>
        <v/>
      </c>
      <c r="BH84" s="64" t="str">
        <f t="shared" si="12"/>
        <v>#N/A</v>
      </c>
      <c r="BI84" s="64" t="str">
        <f t="shared" si="13"/>
        <v/>
      </c>
      <c r="BJ84" s="123" t="str">
        <f t="shared" si="14"/>
        <v>#N/A</v>
      </c>
      <c r="BK84" s="64" t="str">
        <f t="shared" si="50"/>
        <v>YES</v>
      </c>
      <c r="BL84" s="64" t="str">
        <f t="shared" si="16"/>
        <v>YES</v>
      </c>
      <c r="BM84" s="64" t="str">
        <f t="shared" si="17"/>
        <v>YES</v>
      </c>
      <c r="BN84" s="124" t="str">
        <f t="shared" si="18"/>
        <v/>
      </c>
      <c r="BO84" s="91" t="str">
        <f t="shared" si="19"/>
        <v/>
      </c>
      <c r="BP84" s="91" t="str">
        <f t="shared" si="20"/>
        <v>#N/A</v>
      </c>
      <c r="BQ84" s="91" t="str">
        <f t="shared" si="21"/>
        <v/>
      </c>
      <c r="BR84" s="93" t="str">
        <f t="shared" si="22"/>
        <v/>
      </c>
      <c r="BS84" s="90" t="str">
        <f t="shared" si="23"/>
        <v/>
      </c>
      <c r="BT84" s="93" t="str">
        <f t="shared" si="24"/>
        <v>NA</v>
      </c>
      <c r="BU84" s="125" t="str">
        <f t="shared" si="25"/>
        <v>#N/A</v>
      </c>
      <c r="BV84" s="93" t="str">
        <f t="shared" si="26"/>
        <v/>
      </c>
      <c r="BW84" s="93" t="str">
        <f t="shared" si="27"/>
        <v/>
      </c>
      <c r="BX84" s="93" t="str">
        <f t="shared" si="28"/>
        <v>NA</v>
      </c>
      <c r="BY84" s="95" t="str">
        <f t="shared" si="29"/>
        <v>#N/A</v>
      </c>
      <c r="BZ84" s="93" t="str">
        <f t="shared" si="30"/>
        <v/>
      </c>
      <c r="CA84" s="93" t="str">
        <f t="shared" si="31"/>
        <v/>
      </c>
      <c r="CB84" s="93" t="str">
        <f t="shared" si="32"/>
        <v>NA</v>
      </c>
      <c r="CC84" s="96" t="str">
        <f t="shared" si="33"/>
        <v>#N/A</v>
      </c>
      <c r="CD84" s="93" t="str">
        <f t="shared" si="34"/>
        <v/>
      </c>
      <c r="CE84" s="93" t="str">
        <f t="shared" si="35"/>
        <v/>
      </c>
      <c r="CF84" s="93" t="str">
        <f t="shared" si="36"/>
        <v>NA</v>
      </c>
      <c r="CG84" s="97" t="str">
        <f t="shared" si="37"/>
        <v>#N/A</v>
      </c>
      <c r="CH84" s="98" t="str">
        <f t="shared" si="38"/>
        <v>#N/A</v>
      </c>
      <c r="CI84" s="99" t="str">
        <f t="shared" si="39"/>
        <v>#N/A</v>
      </c>
      <c r="CJ84" s="126" t="str">
        <f t="shared" si="40"/>
        <v>ERROR: check cell</v>
      </c>
      <c r="CK84" s="126"/>
      <c r="CL84" s="127" t="str">
        <f t="shared" si="41"/>
        <v>#DIV/0!</v>
      </c>
      <c r="CM84" s="128" t="str">
        <f t="shared" si="42"/>
        <v>#DIV/0!</v>
      </c>
      <c r="CN84" s="128">
        <f t="shared" si="43"/>
        <v>4</v>
      </c>
      <c r="CO84" s="129">
        <f t="shared" si="44"/>
        <v>4</v>
      </c>
      <c r="CP84" s="129" t="str">
        <f>IFS(C84=Preferences!B$13,B84,B84=Preferences!B$13,C84)</f>
        <v>#N/A</v>
      </c>
    </row>
    <row r="85" ht="13.5" customHeight="1">
      <c r="A85" s="63" t="str">
        <f t="shared" si="45"/>
        <v/>
      </c>
      <c r="B85" s="64"/>
      <c r="C85" s="64"/>
      <c r="D85" s="64"/>
      <c r="E85" s="65"/>
      <c r="F85" s="65"/>
      <c r="G85" s="65"/>
      <c r="H85" s="65"/>
      <c r="I85" s="65"/>
      <c r="J85" s="141"/>
      <c r="K85" s="138"/>
      <c r="L85" s="104"/>
      <c r="M85" s="104"/>
      <c r="N85" s="104"/>
      <c r="O85" s="104"/>
      <c r="P85" s="107" t="str">
        <f t="shared" si="1"/>
        <v/>
      </c>
      <c r="Q85" s="108" t="str">
        <f>IFERROR(IF(AND(Preferences!B$3="Manual",OR(AX85/AW85&gt;G85/F85,BD85="Serious",BD85="Very serious")),"Assess imprecision",IFS(ISBLANK(E85),"",AND(Preferences!B$3="Automatic", G85/F85&gt;=30),"Extremely serious",AND(H85&lt;=$D$1*-1,J85&lt;0,G85/F85&lt;3),"Not serious",AND(H85&lt;=$D$1*-1,J85&lt;0,G85/F85&gt;=3),"Very serious",AND(H85&gt;=$D$1,I85&gt;0,G85/F85&lt;3),"Not serious",AND(H85&gt;=$D$1,I85&gt;0,G85/F85&gt;=3),"Very serious",AND(H85&lt;=$D$1*-1,J85&gt;0,I85&gt;$D$2*-1,G85/F85&lt;3),"Serious", AND(H85&lt;=$D$1*-1,J85&gt;0,I85&lt;$D$2*-1,G85/F85&lt;3),"Very serious", AND(H85&gt;=$D$1,I85&lt;0,J85&lt;$D$2,G85/F85&lt;3),"Serious",AND(H85&gt;=$D$1,I85&lt;0,J85&gt;$D$2,G85/F85&lt;3),"Very serious", AND(H85&lt;=$D$1*-1,J85&gt;0,I85&gt;$D$2*-1,G85/F85&gt;=3),"Very serious", AND(H85&lt;=$D$1*-1,J85&gt;0,I85&lt;$D$2*-1,G85/F85&gt;=3),"Very serious", AND(H85&gt;=$D$1,I85&lt;0,J85&lt;$D$2,G85/F85&gt;=3),"Very serious", AND(H85&gt;=$D$1,I85&lt;0,J85&gt;$D$2,G85/F85&gt;=3),"Very serious", AND(H85&gt;$D$1*-1,H85&lt;$D$1,I85&gt;$D$1*-1,J85&lt;$D$1,G85/F85&lt;3),"Not serious", AND(H85&gt;$D$1*-1,H85&lt;$D$1,OR(I85&lt;=$D$1*-1,J85&gt;=$D$1),I85&gt;$D$2*-1,J85&lt;$D$2,G85/F85&lt;3),"Serious", AND(H85&gt;$D$1*-1,H85&lt;$D$1,OR(I85&lt;=$D$2*-1,J85&gt;=$D$2),G85/F85&lt;3),"Very serious", AND(H85&gt;$D$1*-1,H85&lt;$D$1,I85&gt;$D$1*-1,J85&lt;$D$1,G85/F85&gt;=3),"Very serious", AND(H85&gt;$D$1*-1,H85&lt;$D$1,OR(I85&lt;=$D$1*-1,J85&gt;=$D$1),I85&gt;$D$2*-1,J85&lt;$D$2,G85/F85&gt;=3),"Very serious", AND(H85&gt;$D$1*-1,H85&lt;$D$1,OR(I85&lt;=$D$2*-1,J85&gt;=$D$2),G85/F85&gt;=3),"Very serious")),"")</f>
        <v/>
      </c>
      <c r="R85" s="109" t="str">
        <f t="shared" si="47"/>
        <v/>
      </c>
      <c r="S85" s="64"/>
      <c r="T85" s="144"/>
      <c r="U85" s="144"/>
      <c r="V85" s="144"/>
      <c r="W85" s="142"/>
      <c r="X85" s="142"/>
      <c r="Y85" s="143"/>
      <c r="Z85" s="113" t="str">
        <f t="array" ref="Z85">INDEX($A$1:$C$500, MATCH(1,($B:$B=$B85)*($C:$C=$AB85),0),1)</f>
        <v/>
      </c>
      <c r="AA85" s="113" t="str">
        <f t="array" ref="AA85">INDEX($A$1:$C$500, MATCH(1,($B:$B=$AB85)*($C:$C=$B85),0),1)</f>
        <v/>
      </c>
      <c r="AB85" s="111"/>
      <c r="AC85" s="114" t="str">
        <f t="shared" si="2"/>
        <v/>
      </c>
      <c r="AD85" s="115" t="str">
        <f t="shared" si="3"/>
        <v/>
      </c>
      <c r="AE85" s="116" t="str">
        <f t="array" ref="AE85">INDEX($A$1:$C$500, MATCH(1,($B:$B=$AB85)*($C:$C=$AG85),0),1)</f>
        <v/>
      </c>
      <c r="AF85" s="116" t="str">
        <f t="array" ref="AF85">INDEX($A$1:$C$500, MATCH(1,($B:$B=$AG85)*($C:$C=$AB85),0),1)</f>
        <v/>
      </c>
      <c r="AG85" s="72"/>
      <c r="AH85" s="114" t="str">
        <f t="shared" si="4"/>
        <v/>
      </c>
      <c r="AI85" s="115" t="str">
        <f t="shared" si="5"/>
        <v/>
      </c>
      <c r="AJ85" s="116" t="str">
        <f t="array" ref="AJ85">INDEX($A$1:$C$500, MATCH(1,($B:$B=$C85)*($C:$C=$AG85),0),1)</f>
        <v/>
      </c>
      <c r="AK85" s="116" t="str">
        <f t="array" ref="AK85">INDEX($A$1:$C$500, MATCH(1,($B:$B=$AG85)*($C:$C=$C85),0),1)</f>
        <v/>
      </c>
      <c r="AL85" s="116" t="str">
        <f t="array" ref="AL85">INDEX($A$1:$C$500, MATCH(1,($B:$B=$C85)*($C:$C=$AB85),0),1)</f>
        <v/>
      </c>
      <c r="AM85" s="116" t="str">
        <f t="array" ref="AM85">INDEX($A$1:$C$500, MATCH(1,($B:$B=$AB85)*($C:$C=$C85),0),1)</f>
        <v/>
      </c>
      <c r="AN85" s="114" t="str">
        <f t="array" ref="AN85">IFS(ISNUMBER(AJ85),AJ85,ISNUMBER(AK85),AK85,ISNUMBER(AL85),AL85,ISNUMBER(AM85),AM85)</f>
        <v>#N/A</v>
      </c>
      <c r="AO85" s="115" t="str">
        <f t="shared" si="6"/>
        <v/>
      </c>
      <c r="AP85" s="115" t="str">
        <f t="shared" si="7"/>
        <v/>
      </c>
      <c r="AQ85" s="111"/>
      <c r="AR85" s="109" t="str">
        <f t="shared" si="8"/>
        <v/>
      </c>
      <c r="AS85" s="72" t="str">
        <f>IFERROR(IF(AND(Preferences!B$3="Manual",OR(AX85/AW85&gt;V85/U85,BD85="Serious",BD85="Very serious")),"Assess imprecision",IFERROR(IFS(AND(Preferences!B$3="Automatic",V85/U85&gt;=30),"Extremely serious",AND(W85&lt;=$D$1*-1,Y85&lt;0,V85/U85&lt;3),"Not Serious",AND(W85&lt;=$D$1*-1,Y85&lt;0,V85/U85&gt;=3),"Very serious",AND(W85&gt;=$D$1,X85&gt;0,V85/U85&lt;3),"Not Serious",AND(W85&gt;=$D$1,X85&gt;0,V85/U85&gt;=3),"Very serious",AND(W85&lt;=$D$1*-1,Y85&gt;0,X85&gt;$D$2*-1,V85/U85&lt;3),"Serious", AND(W85&lt;=$D$1*-1,Y85&gt;0,X85&lt;$D$2*-1,V85/U85&lt;3),"Very serious", AND(W85&gt;=$D$1,X85&lt;0,Y85&lt;$D$2,V85/U85&lt;3),"Serious",AND(W85&gt;=$D$1,X85&lt;0,Y85&gt;$D$2,V85/U85&lt;3),"Very serious", AND(W85&lt;=$D$1*-1,Y85&gt;0,X85&gt;$D$2*-1,V85/U85&gt;=3),"Very serious", AND(W85&lt;=$D$1*-1,Y85&gt;0,X85&lt;$D$2*-1,V85/U85&gt;=3),"Very serious", AND(W85&gt;=$D$1,X85&lt;0,Y85&lt;$D$2,V85/U85&gt;=3),"Very serious", AND(W85&gt;=$D$1,X85&lt;0,Y85&gt;$D$2,V85/U85&gt;=3),"Very serious", AND(W85&gt;$D$1*-1,W85&lt;$D$1,X85&gt;$D$1*-1,Y85&lt;$D$1,V85/U85&lt;3),"Not Serious", AND(W85&gt;$D$1*-1,W85&lt;$D$1,OR(X85&lt;=$D$1*-1,Y85&gt;=$D$1),X85&gt;$D$2*-1,Y85&lt;$D$2,V85/U85&lt;3),"Serious", AND(W85&gt;$D$1*-1,W85&lt;$D$1,OR(X85&lt;=$D$2*-1,Y85&gt;=$D$2),V85/U85&lt;3),"Very serious", AND(W85&gt;$D$1*-1,W85&lt;$D$1,X85&gt;$D$1*-1,Y85&lt;$D$1,V85/U85&gt;=3),"Very serious", AND(W85&gt;$D$1*-1,W85&lt;$D$1,OR(X85&lt;=$D$1*-1,Y85&gt;=$D$1),X85&gt;$D$2*-1,Y85&lt;$D$2,V85/U85&gt;=3),"Very serious", AND(W85&gt;$D$1*-1,W85&lt;$D$1,OR(X85&lt;=$D$2*-1,Y85&gt;=$D$2),V85/U85&gt;=3),"Very serious"),"")),"")</f>
        <v/>
      </c>
      <c r="AT85" s="109" t="str">
        <f t="shared" si="9"/>
        <v/>
      </c>
      <c r="AU85" s="64"/>
      <c r="AV85" s="117"/>
      <c r="AW85" s="117"/>
      <c r="AX85" s="117"/>
      <c r="AY85" s="118"/>
      <c r="AZ85" s="118"/>
      <c r="BA85" s="119"/>
      <c r="BB85" s="86" t="str">
        <f>IF(Preferences!B$9="Manual","",IFS(ISBLANK(B85),"",AND(ISNUMBER(E85)=TRUE,ISNUMBER(T85)=FALSE),"Direct", AND(ISNUMBER(E85)=FALSE,ISNUMBER(T85)=TRUE),"Indirect", CN85=4,"Direct",AND(CL85=FALSE, CM85=TRUE,CN85-CO85&gt;-1),"Direct", AND(CL85=FALSE,CM85=TRUE, CN85-CO85&lt;0),"Check algorithm in appendix 2", AND(CL85=TRUE, CM85=FALSE,CN85-CO85&gt;0),"Check algorithm in appendix 2", AND(CL85=TRUE, CM85=FALSE,CN85-CO85=0),"Indirect", AND(CL85=TRUE, CM85=FALSE,CN85-CO85&lt;0),"Indirect", AND(CL85=FALSE,CM85=FALSE,CN85-CO85&gt;-1),"Direct", AND(CL85=FALSE,CM85=FALSE,CN85-CO85&lt;0),"Check algorithm in appendix 2", AND(CL85=TRUE,CM85=TRUE,CN85-CO85&gt;-1),"Direct", AND(CL85=TRUE,CM85=TRUE,CN85-CO85&lt;0),"Check algorithm in appendix 2"))</f>
        <v/>
      </c>
      <c r="BC85" s="120" t="str">
        <f t="shared" si="10"/>
        <v/>
      </c>
      <c r="BD85" s="140"/>
      <c r="BE85" s="122" t="str">
        <f>IF(Preferences!B$3="Manual","", IFERROR(IFS(AND(Preferences!B$3="Automatic",AX85/AW85&gt;=30),"Extremely serious",AND(AY85&lt;=$D$1*-1,BA85&lt;0,AX85/AW85&lt;3),"Not Serious",AND(AY85&lt;=$D$1*-1,BA85&lt;0,AX85/AW85&gt;=3),"Very serious",AND(AY85&gt;=$D$1,AZ85&gt;0,AX85/AW85&lt;3),"Not Serious",AND(AY85&gt;=$D$1,AZ85&gt;0,AX85/AW85&gt;=3),"Very serious",AND(AY85&lt;=$D$1*-1,BA85&gt;0,AZ85&gt;$D$2*-1,AX85/AW85&lt;3),"Serious", AND(AY85&lt;=$D$1*-1,BA85&gt;0,AZ85&lt;$D$2*-1,AX85/AW85&lt;3),"Very serious", AND(AY85&gt;=$D$1,AZ85&lt;0,BA85&lt;$D$2,AX85/AW85&lt;3),"Serious",AND(AY85&gt;=$D$1,AZ85&lt;0,BA85&gt;$D$2,AX85/AW85&lt;3),"Very serious", AND(AY85&lt;=$D$1*-1,BA85&gt;0,AZ85&gt;$D$2*-1,AX85/AW85&gt;=3),"Very serious", AND(AY85&lt;=$D$1*-1,BA85&gt;0,AZ85&lt;$D$2*-1,AX85/AW85&gt;=3),"Very serious", AND(AY85&gt;=$D$1,AZ85&lt;0,BA85&lt;$D$2,AX85/AW85&gt;=3),"Very serious", AND(AY85&gt;=$D$1,AZ85&lt;0,BA85&gt;$D$2,AX85/AW85&gt;=3),"Very serious", AND(AY85&gt;$D$1*-1,AY85&lt;$D$1,AZ85&gt;$D$1*-1,BA85&lt;$D$1,AX85/AW85&lt;3),"Not Serious", AND(AY85&gt;$D$1*-1,AY85&lt;$D$1,OR(AZ85&lt;=$D$1*-1,BA85&gt;=$D$1),AZ85&gt;$D$2*-1,BA85&lt;$D$2,AX85/AW85&lt;3),"Serious", AND(AY85&gt;$D$1*-1,AY85&lt;$D$1,OR(AZ85&lt;=$D$2*-1,BA85&gt;=$D$2),AX85/AW85&lt;3),"Very serious", AND(AY85&gt;$D$1*-1,AY85&lt;$D$1,AZ85&gt;$D$1*-1,BA85&lt;$D$1,AX85/AW85&gt;=3),"Very serious", AND(AY85&gt;$D$1*-1,AY85&lt;$D$1,OR(AZ85&lt;=$D$1*-1,BA85&gt;=$D$1),AZ85&gt;$D$2*-1,BA85&lt;$D$2,AX85/AW85&gt;=3),"Very serious", AND(AY85&gt;$D$1*-1,AY85&lt;$D$1,OR(AZ85&lt;=$D$2*-1,BA85&gt;=$D$2),AX85/AW85&gt;=3),"Very serious"),""))</f>
        <v/>
      </c>
      <c r="BF85" s="107" t="str">
        <f t="shared" si="11"/>
        <v/>
      </c>
      <c r="BG85" s="94" t="str">
        <f t="shared" si="46"/>
        <v/>
      </c>
      <c r="BH85" s="64" t="str">
        <f t="shared" si="12"/>
        <v>#N/A</v>
      </c>
      <c r="BI85" s="64" t="str">
        <f t="shared" si="13"/>
        <v/>
      </c>
      <c r="BJ85" s="123" t="str">
        <f t="shared" si="14"/>
        <v>#N/A</v>
      </c>
      <c r="BK85" s="64" t="str">
        <f t="shared" si="50"/>
        <v>YES</v>
      </c>
      <c r="BL85" s="64" t="str">
        <f t="shared" si="16"/>
        <v>YES</v>
      </c>
      <c r="BM85" s="64" t="str">
        <f t="shared" si="17"/>
        <v>YES</v>
      </c>
      <c r="BN85" s="124" t="str">
        <f t="shared" si="18"/>
        <v/>
      </c>
      <c r="BO85" s="91" t="str">
        <f t="shared" si="19"/>
        <v/>
      </c>
      <c r="BP85" s="91" t="str">
        <f t="shared" si="20"/>
        <v>#N/A</v>
      </c>
      <c r="BQ85" s="91" t="str">
        <f t="shared" si="21"/>
        <v/>
      </c>
      <c r="BR85" s="93" t="str">
        <f t="shared" si="22"/>
        <v/>
      </c>
      <c r="BS85" s="90" t="str">
        <f t="shared" si="23"/>
        <v/>
      </c>
      <c r="BT85" s="93" t="str">
        <f t="shared" si="24"/>
        <v>NA</v>
      </c>
      <c r="BU85" s="125" t="str">
        <f t="shared" si="25"/>
        <v>#N/A</v>
      </c>
      <c r="BV85" s="93" t="str">
        <f t="shared" si="26"/>
        <v/>
      </c>
      <c r="BW85" s="93" t="str">
        <f t="shared" si="27"/>
        <v/>
      </c>
      <c r="BX85" s="93" t="str">
        <f t="shared" si="28"/>
        <v>NA</v>
      </c>
      <c r="BY85" s="95" t="str">
        <f t="shared" si="29"/>
        <v>#N/A</v>
      </c>
      <c r="BZ85" s="93" t="str">
        <f t="shared" si="30"/>
        <v/>
      </c>
      <c r="CA85" s="93" t="str">
        <f t="shared" si="31"/>
        <v/>
      </c>
      <c r="CB85" s="93" t="str">
        <f t="shared" si="32"/>
        <v>NA</v>
      </c>
      <c r="CC85" s="96" t="str">
        <f t="shared" si="33"/>
        <v>#N/A</v>
      </c>
      <c r="CD85" s="93" t="str">
        <f t="shared" si="34"/>
        <v/>
      </c>
      <c r="CE85" s="93" t="str">
        <f t="shared" si="35"/>
        <v/>
      </c>
      <c r="CF85" s="93" t="str">
        <f t="shared" si="36"/>
        <v>NA</v>
      </c>
      <c r="CG85" s="97" t="str">
        <f t="shared" si="37"/>
        <v>#N/A</v>
      </c>
      <c r="CH85" s="98" t="str">
        <f t="shared" si="38"/>
        <v>#N/A</v>
      </c>
      <c r="CI85" s="99" t="str">
        <f t="shared" si="39"/>
        <v>#N/A</v>
      </c>
      <c r="CJ85" s="126" t="str">
        <f t="shared" si="40"/>
        <v>ERROR: check cell</v>
      </c>
      <c r="CK85" s="126"/>
      <c r="CL85" s="127" t="str">
        <f t="shared" si="41"/>
        <v>#DIV/0!</v>
      </c>
      <c r="CM85" s="128" t="str">
        <f t="shared" si="42"/>
        <v>#DIV/0!</v>
      </c>
      <c r="CN85" s="128">
        <f t="shared" si="43"/>
        <v>4</v>
      </c>
      <c r="CO85" s="129">
        <f t="shared" si="44"/>
        <v>4</v>
      </c>
      <c r="CP85" s="129" t="str">
        <f>IFS(C85=Preferences!B$13,B85,B85=Preferences!B$13,C85)</f>
        <v>#N/A</v>
      </c>
    </row>
    <row r="86" ht="13.5" customHeight="1">
      <c r="A86" s="63" t="str">
        <f t="shared" si="45"/>
        <v/>
      </c>
      <c r="B86" s="64"/>
      <c r="C86" s="64"/>
      <c r="D86" s="64"/>
      <c r="E86" s="65"/>
      <c r="F86" s="65"/>
      <c r="G86" s="65"/>
      <c r="H86" s="65"/>
      <c r="I86" s="65"/>
      <c r="J86" s="141"/>
      <c r="K86" s="138"/>
      <c r="L86" s="104"/>
      <c r="M86" s="104"/>
      <c r="N86" s="104"/>
      <c r="O86" s="104"/>
      <c r="P86" s="107" t="str">
        <f t="shared" si="1"/>
        <v/>
      </c>
      <c r="Q86" s="108" t="str">
        <f>IFERROR(IF(AND(Preferences!B$3="Manual",OR(AX86/AW86&gt;G86/F86,BD86="Serious",BD86="Very serious")),"Assess imprecision",IFS(ISBLANK(E86),"",AND(Preferences!B$3="Automatic", G86/F86&gt;=30),"Extremely serious",AND(H86&lt;=$D$1*-1,J86&lt;0,G86/F86&lt;3),"Not serious",AND(H86&lt;=$D$1*-1,J86&lt;0,G86/F86&gt;=3),"Very serious",AND(H86&gt;=$D$1,I86&gt;0,G86/F86&lt;3),"Not serious",AND(H86&gt;=$D$1,I86&gt;0,G86/F86&gt;=3),"Very serious",AND(H86&lt;=$D$1*-1,J86&gt;0,I86&gt;$D$2*-1,G86/F86&lt;3),"Serious", AND(H86&lt;=$D$1*-1,J86&gt;0,I86&lt;$D$2*-1,G86/F86&lt;3),"Very serious", AND(H86&gt;=$D$1,I86&lt;0,J86&lt;$D$2,G86/F86&lt;3),"Serious",AND(H86&gt;=$D$1,I86&lt;0,J86&gt;$D$2,G86/F86&lt;3),"Very serious", AND(H86&lt;=$D$1*-1,J86&gt;0,I86&gt;$D$2*-1,G86/F86&gt;=3),"Very serious", AND(H86&lt;=$D$1*-1,J86&gt;0,I86&lt;$D$2*-1,G86/F86&gt;=3),"Very serious", AND(H86&gt;=$D$1,I86&lt;0,J86&lt;$D$2,G86/F86&gt;=3),"Very serious", AND(H86&gt;=$D$1,I86&lt;0,J86&gt;$D$2,G86/F86&gt;=3),"Very serious", AND(H86&gt;$D$1*-1,H86&lt;$D$1,I86&gt;$D$1*-1,J86&lt;$D$1,G86/F86&lt;3),"Not serious", AND(H86&gt;$D$1*-1,H86&lt;$D$1,OR(I86&lt;=$D$1*-1,J86&gt;=$D$1),I86&gt;$D$2*-1,J86&lt;$D$2,G86/F86&lt;3),"Serious", AND(H86&gt;$D$1*-1,H86&lt;$D$1,OR(I86&lt;=$D$2*-1,J86&gt;=$D$2),G86/F86&lt;3),"Very serious", AND(H86&gt;$D$1*-1,H86&lt;$D$1,I86&gt;$D$1*-1,J86&lt;$D$1,G86/F86&gt;=3),"Very serious", AND(H86&gt;$D$1*-1,H86&lt;$D$1,OR(I86&lt;=$D$1*-1,J86&gt;=$D$1),I86&gt;$D$2*-1,J86&lt;$D$2,G86/F86&gt;=3),"Very serious", AND(H86&gt;$D$1*-1,H86&lt;$D$1,OR(I86&lt;=$D$2*-1,J86&gt;=$D$2),G86/F86&gt;=3),"Very serious")),"")</f>
        <v/>
      </c>
      <c r="R86" s="109" t="str">
        <f t="shared" si="47"/>
        <v/>
      </c>
      <c r="S86" s="64"/>
      <c r="T86" s="144"/>
      <c r="U86" s="144"/>
      <c r="V86" s="144"/>
      <c r="W86" s="142"/>
      <c r="X86" s="142"/>
      <c r="Y86" s="143"/>
      <c r="Z86" s="113" t="str">
        <f t="array" ref="Z86">INDEX($A$1:$C$500, MATCH(1,($B:$B=$B86)*($C:$C=$AB86),0),1)</f>
        <v/>
      </c>
      <c r="AA86" s="113" t="str">
        <f t="array" ref="AA86">INDEX($A$1:$C$500, MATCH(1,($B:$B=$AB86)*($C:$C=$B86),0),1)</f>
        <v/>
      </c>
      <c r="AB86" s="111"/>
      <c r="AC86" s="114" t="str">
        <f t="shared" si="2"/>
        <v/>
      </c>
      <c r="AD86" s="115" t="str">
        <f t="shared" si="3"/>
        <v/>
      </c>
      <c r="AE86" s="116" t="str">
        <f t="array" ref="AE86">INDEX($A$1:$C$500, MATCH(1,($B:$B=$AB86)*($C:$C=$AG86),0),1)</f>
        <v/>
      </c>
      <c r="AF86" s="116" t="str">
        <f t="array" ref="AF86">INDEX($A$1:$C$500, MATCH(1,($B:$B=$AG86)*($C:$C=$AB86),0),1)</f>
        <v/>
      </c>
      <c r="AG86" s="72"/>
      <c r="AH86" s="114" t="str">
        <f t="shared" si="4"/>
        <v/>
      </c>
      <c r="AI86" s="115" t="str">
        <f t="shared" si="5"/>
        <v/>
      </c>
      <c r="AJ86" s="116" t="str">
        <f t="array" ref="AJ86">INDEX($A$1:$C$500, MATCH(1,($B:$B=$C86)*($C:$C=$AG86),0),1)</f>
        <v/>
      </c>
      <c r="AK86" s="116" t="str">
        <f t="array" ref="AK86">INDEX($A$1:$C$500, MATCH(1,($B:$B=$AG86)*($C:$C=$C86),0),1)</f>
        <v/>
      </c>
      <c r="AL86" s="116" t="str">
        <f t="array" ref="AL86">INDEX($A$1:$C$500, MATCH(1,($B:$B=$C86)*($C:$C=$AB86),0),1)</f>
        <v/>
      </c>
      <c r="AM86" s="116" t="str">
        <f t="array" ref="AM86">INDEX($A$1:$C$500, MATCH(1,($B:$B=$AB86)*($C:$C=$C86),0),1)</f>
        <v/>
      </c>
      <c r="AN86" s="114" t="str">
        <f t="array" ref="AN86">IFS(ISNUMBER(AJ86),AJ86,ISNUMBER(AK86),AK86,ISNUMBER(AL86),AL86,ISNUMBER(AM86),AM86)</f>
        <v>#N/A</v>
      </c>
      <c r="AO86" s="115" t="str">
        <f t="shared" si="6"/>
        <v/>
      </c>
      <c r="AP86" s="115" t="str">
        <f t="shared" si="7"/>
        <v/>
      </c>
      <c r="AQ86" s="111"/>
      <c r="AR86" s="109" t="str">
        <f t="shared" si="8"/>
        <v/>
      </c>
      <c r="AS86" s="72" t="str">
        <f>IFERROR(IF(AND(Preferences!B$3="Manual",OR(AX86/AW86&gt;V86/U86,BD86="Serious",BD86="Very serious")),"Assess imprecision",IFERROR(IFS(AND(Preferences!B$3="Automatic",V86/U86&gt;=30),"Extremely serious",AND(W86&lt;=$D$1*-1,Y86&lt;0,V86/U86&lt;3),"Not Serious",AND(W86&lt;=$D$1*-1,Y86&lt;0,V86/U86&gt;=3),"Very serious",AND(W86&gt;=$D$1,X86&gt;0,V86/U86&lt;3),"Not Serious",AND(W86&gt;=$D$1,X86&gt;0,V86/U86&gt;=3),"Very serious",AND(W86&lt;=$D$1*-1,Y86&gt;0,X86&gt;$D$2*-1,V86/U86&lt;3),"Serious", AND(W86&lt;=$D$1*-1,Y86&gt;0,X86&lt;$D$2*-1,V86/U86&lt;3),"Very serious", AND(W86&gt;=$D$1,X86&lt;0,Y86&lt;$D$2,V86/U86&lt;3),"Serious",AND(W86&gt;=$D$1,X86&lt;0,Y86&gt;$D$2,V86/U86&lt;3),"Very serious", AND(W86&lt;=$D$1*-1,Y86&gt;0,X86&gt;$D$2*-1,V86/U86&gt;=3),"Very serious", AND(W86&lt;=$D$1*-1,Y86&gt;0,X86&lt;$D$2*-1,V86/U86&gt;=3),"Very serious", AND(W86&gt;=$D$1,X86&lt;0,Y86&lt;$D$2,V86/U86&gt;=3),"Very serious", AND(W86&gt;=$D$1,X86&lt;0,Y86&gt;$D$2,V86/U86&gt;=3),"Very serious", AND(W86&gt;$D$1*-1,W86&lt;$D$1,X86&gt;$D$1*-1,Y86&lt;$D$1,V86/U86&lt;3),"Not Serious", AND(W86&gt;$D$1*-1,W86&lt;$D$1,OR(X86&lt;=$D$1*-1,Y86&gt;=$D$1),X86&gt;$D$2*-1,Y86&lt;$D$2,V86/U86&lt;3),"Serious", AND(W86&gt;$D$1*-1,W86&lt;$D$1,OR(X86&lt;=$D$2*-1,Y86&gt;=$D$2),V86/U86&lt;3),"Very serious", AND(W86&gt;$D$1*-1,W86&lt;$D$1,X86&gt;$D$1*-1,Y86&lt;$D$1,V86/U86&gt;=3),"Very serious", AND(W86&gt;$D$1*-1,W86&lt;$D$1,OR(X86&lt;=$D$1*-1,Y86&gt;=$D$1),X86&gt;$D$2*-1,Y86&lt;$D$2,V86/U86&gt;=3),"Very serious", AND(W86&gt;$D$1*-1,W86&lt;$D$1,OR(X86&lt;=$D$2*-1,Y86&gt;=$D$2),V86/U86&gt;=3),"Very serious"),"")),"")</f>
        <v/>
      </c>
      <c r="AT86" s="109" t="str">
        <f t="shared" si="9"/>
        <v/>
      </c>
      <c r="AU86" s="64"/>
      <c r="AV86" s="117"/>
      <c r="AW86" s="117"/>
      <c r="AX86" s="117"/>
      <c r="AY86" s="118"/>
      <c r="AZ86" s="118"/>
      <c r="BA86" s="119"/>
      <c r="BB86" s="86" t="str">
        <f>IF(Preferences!B$9="Manual","",IFS(ISBLANK(B86),"",AND(ISNUMBER(E86)=TRUE,ISNUMBER(T86)=FALSE),"Direct", AND(ISNUMBER(E86)=FALSE,ISNUMBER(T86)=TRUE),"Indirect", CN86=4,"Direct",AND(CL86=FALSE, CM86=TRUE,CN86-CO86&gt;-1),"Direct", AND(CL86=FALSE,CM86=TRUE, CN86-CO86&lt;0),"Check algorithm in appendix 2", AND(CL86=TRUE, CM86=FALSE,CN86-CO86&gt;0),"Check algorithm in appendix 2", AND(CL86=TRUE, CM86=FALSE,CN86-CO86=0),"Indirect", AND(CL86=TRUE, CM86=FALSE,CN86-CO86&lt;0),"Indirect", AND(CL86=FALSE,CM86=FALSE,CN86-CO86&gt;-1),"Direct", AND(CL86=FALSE,CM86=FALSE,CN86-CO86&lt;0),"Check algorithm in appendix 2", AND(CL86=TRUE,CM86=TRUE,CN86-CO86&gt;-1),"Direct", AND(CL86=TRUE,CM86=TRUE,CN86-CO86&lt;0),"Check algorithm in appendix 2"))</f>
        <v/>
      </c>
      <c r="BC86" s="120" t="str">
        <f t="shared" si="10"/>
        <v/>
      </c>
      <c r="BD86" s="140"/>
      <c r="BE86" s="122" t="str">
        <f>IF(Preferences!B$3="Manual","", IFERROR(IFS(AND(Preferences!B$3="Automatic",AX86/AW86&gt;=30),"Extremely serious",AND(AY86&lt;=$D$1*-1,BA86&lt;0,AX86/AW86&lt;3),"Not Serious",AND(AY86&lt;=$D$1*-1,BA86&lt;0,AX86/AW86&gt;=3),"Very serious",AND(AY86&gt;=$D$1,AZ86&gt;0,AX86/AW86&lt;3),"Not Serious",AND(AY86&gt;=$D$1,AZ86&gt;0,AX86/AW86&gt;=3),"Very serious",AND(AY86&lt;=$D$1*-1,BA86&gt;0,AZ86&gt;$D$2*-1,AX86/AW86&lt;3),"Serious", AND(AY86&lt;=$D$1*-1,BA86&gt;0,AZ86&lt;$D$2*-1,AX86/AW86&lt;3),"Very serious", AND(AY86&gt;=$D$1,AZ86&lt;0,BA86&lt;$D$2,AX86/AW86&lt;3),"Serious",AND(AY86&gt;=$D$1,AZ86&lt;0,BA86&gt;$D$2,AX86/AW86&lt;3),"Very serious", AND(AY86&lt;=$D$1*-1,BA86&gt;0,AZ86&gt;$D$2*-1,AX86/AW86&gt;=3),"Very serious", AND(AY86&lt;=$D$1*-1,BA86&gt;0,AZ86&lt;$D$2*-1,AX86/AW86&gt;=3),"Very serious", AND(AY86&gt;=$D$1,AZ86&lt;0,BA86&lt;$D$2,AX86/AW86&gt;=3),"Very serious", AND(AY86&gt;=$D$1,AZ86&lt;0,BA86&gt;$D$2,AX86/AW86&gt;=3),"Very serious", AND(AY86&gt;$D$1*-1,AY86&lt;$D$1,AZ86&gt;$D$1*-1,BA86&lt;$D$1,AX86/AW86&lt;3),"Not Serious", AND(AY86&gt;$D$1*-1,AY86&lt;$D$1,OR(AZ86&lt;=$D$1*-1,BA86&gt;=$D$1),AZ86&gt;$D$2*-1,BA86&lt;$D$2,AX86/AW86&lt;3),"Serious", AND(AY86&gt;$D$1*-1,AY86&lt;$D$1,OR(AZ86&lt;=$D$2*-1,BA86&gt;=$D$2),AX86/AW86&lt;3),"Very serious", AND(AY86&gt;$D$1*-1,AY86&lt;$D$1,AZ86&gt;$D$1*-1,BA86&lt;$D$1,AX86/AW86&gt;=3),"Very serious", AND(AY86&gt;$D$1*-1,AY86&lt;$D$1,OR(AZ86&lt;=$D$1*-1,BA86&gt;=$D$1),AZ86&gt;$D$2*-1,BA86&lt;$D$2,AX86/AW86&gt;=3),"Very serious", AND(AY86&gt;$D$1*-1,AY86&lt;$D$1,OR(AZ86&lt;=$D$2*-1,BA86&gt;=$D$2),AX86/AW86&gt;=3),"Very serious"),""))</f>
        <v/>
      </c>
      <c r="BF86" s="107" t="str">
        <f t="shared" si="11"/>
        <v/>
      </c>
      <c r="BG86" s="94" t="str">
        <f t="shared" si="46"/>
        <v/>
      </c>
      <c r="BH86" s="64" t="str">
        <f t="shared" si="12"/>
        <v>#N/A</v>
      </c>
      <c r="BI86" s="64" t="str">
        <f t="shared" si="13"/>
        <v/>
      </c>
      <c r="BJ86" s="123" t="str">
        <f t="shared" si="14"/>
        <v>#N/A</v>
      </c>
      <c r="BK86" s="64" t="str">
        <f t="shared" si="50"/>
        <v>YES</v>
      </c>
      <c r="BL86" s="64" t="str">
        <f t="shared" si="16"/>
        <v>YES</v>
      </c>
      <c r="BM86" s="64" t="str">
        <f t="shared" si="17"/>
        <v>YES</v>
      </c>
      <c r="BN86" s="124" t="str">
        <f t="shared" si="18"/>
        <v/>
      </c>
      <c r="BO86" s="91" t="str">
        <f t="shared" si="19"/>
        <v/>
      </c>
      <c r="BP86" s="91" t="str">
        <f t="shared" si="20"/>
        <v>#N/A</v>
      </c>
      <c r="BQ86" s="91" t="str">
        <f t="shared" si="21"/>
        <v/>
      </c>
      <c r="BR86" s="93" t="str">
        <f t="shared" si="22"/>
        <v/>
      </c>
      <c r="BS86" s="90" t="str">
        <f t="shared" si="23"/>
        <v/>
      </c>
      <c r="BT86" s="93" t="str">
        <f t="shared" si="24"/>
        <v>NA</v>
      </c>
      <c r="BU86" s="125" t="str">
        <f t="shared" si="25"/>
        <v>#N/A</v>
      </c>
      <c r="BV86" s="93" t="str">
        <f t="shared" si="26"/>
        <v/>
      </c>
      <c r="BW86" s="93" t="str">
        <f t="shared" si="27"/>
        <v/>
      </c>
      <c r="BX86" s="93" t="str">
        <f t="shared" si="28"/>
        <v>NA</v>
      </c>
      <c r="BY86" s="95" t="str">
        <f t="shared" si="29"/>
        <v>#N/A</v>
      </c>
      <c r="BZ86" s="93" t="str">
        <f t="shared" si="30"/>
        <v/>
      </c>
      <c r="CA86" s="93" t="str">
        <f t="shared" si="31"/>
        <v/>
      </c>
      <c r="CB86" s="93" t="str">
        <f t="shared" si="32"/>
        <v>NA</v>
      </c>
      <c r="CC86" s="96" t="str">
        <f t="shared" si="33"/>
        <v>#N/A</v>
      </c>
      <c r="CD86" s="93" t="str">
        <f t="shared" si="34"/>
        <v/>
      </c>
      <c r="CE86" s="93" t="str">
        <f t="shared" si="35"/>
        <v/>
      </c>
      <c r="CF86" s="93" t="str">
        <f t="shared" si="36"/>
        <v>NA</v>
      </c>
      <c r="CG86" s="97" t="str">
        <f t="shared" si="37"/>
        <v>#N/A</v>
      </c>
      <c r="CH86" s="98" t="str">
        <f t="shared" si="38"/>
        <v>#N/A</v>
      </c>
      <c r="CI86" s="99" t="str">
        <f t="shared" si="39"/>
        <v>#N/A</v>
      </c>
      <c r="CJ86" s="126" t="str">
        <f t="shared" si="40"/>
        <v>ERROR: check cell</v>
      </c>
      <c r="CK86" s="126"/>
      <c r="CL86" s="127" t="str">
        <f t="shared" si="41"/>
        <v>#DIV/0!</v>
      </c>
      <c r="CM86" s="128" t="str">
        <f t="shared" si="42"/>
        <v>#DIV/0!</v>
      </c>
      <c r="CN86" s="128">
        <f t="shared" si="43"/>
        <v>4</v>
      </c>
      <c r="CO86" s="129">
        <f t="shared" si="44"/>
        <v>4</v>
      </c>
      <c r="CP86" s="129" t="str">
        <f>IFS(C86=Preferences!B$13,B86,B86=Preferences!B$13,C86)</f>
        <v>#N/A</v>
      </c>
    </row>
    <row r="87" ht="13.5" customHeight="1">
      <c r="A87" s="63" t="str">
        <f t="shared" si="45"/>
        <v/>
      </c>
      <c r="B87" s="64"/>
      <c r="C87" s="64"/>
      <c r="D87" s="64"/>
      <c r="E87" s="65"/>
      <c r="F87" s="65"/>
      <c r="G87" s="65"/>
      <c r="H87" s="65"/>
      <c r="I87" s="65"/>
      <c r="J87" s="141"/>
      <c r="K87" s="138"/>
      <c r="L87" s="104"/>
      <c r="M87" s="104"/>
      <c r="N87" s="104"/>
      <c r="O87" s="104"/>
      <c r="P87" s="107" t="str">
        <f t="shared" si="1"/>
        <v/>
      </c>
      <c r="Q87" s="108" t="str">
        <f>IFERROR(IF(AND(Preferences!B$3="Manual",OR(AX87/AW87&gt;G87/F87,BD87="Serious",BD87="Very serious")),"Assess imprecision",IFS(ISBLANK(E87),"",AND(Preferences!B$3="Automatic", G87/F87&gt;=30),"Extremely serious",AND(H87&lt;=$D$1*-1,J87&lt;0,G87/F87&lt;3),"Not serious",AND(H87&lt;=$D$1*-1,J87&lt;0,G87/F87&gt;=3),"Very serious",AND(H87&gt;=$D$1,I87&gt;0,G87/F87&lt;3),"Not serious",AND(H87&gt;=$D$1,I87&gt;0,G87/F87&gt;=3),"Very serious",AND(H87&lt;=$D$1*-1,J87&gt;0,I87&gt;$D$2*-1,G87/F87&lt;3),"Serious", AND(H87&lt;=$D$1*-1,J87&gt;0,I87&lt;$D$2*-1,G87/F87&lt;3),"Very serious", AND(H87&gt;=$D$1,I87&lt;0,J87&lt;$D$2,G87/F87&lt;3),"Serious",AND(H87&gt;=$D$1,I87&lt;0,J87&gt;$D$2,G87/F87&lt;3),"Very serious", AND(H87&lt;=$D$1*-1,J87&gt;0,I87&gt;$D$2*-1,G87/F87&gt;=3),"Very serious", AND(H87&lt;=$D$1*-1,J87&gt;0,I87&lt;$D$2*-1,G87/F87&gt;=3),"Very serious", AND(H87&gt;=$D$1,I87&lt;0,J87&lt;$D$2,G87/F87&gt;=3),"Very serious", AND(H87&gt;=$D$1,I87&lt;0,J87&gt;$D$2,G87/F87&gt;=3),"Very serious", AND(H87&gt;$D$1*-1,H87&lt;$D$1,I87&gt;$D$1*-1,J87&lt;$D$1,G87/F87&lt;3),"Not serious", AND(H87&gt;$D$1*-1,H87&lt;$D$1,OR(I87&lt;=$D$1*-1,J87&gt;=$D$1),I87&gt;$D$2*-1,J87&lt;$D$2,G87/F87&lt;3),"Serious", AND(H87&gt;$D$1*-1,H87&lt;$D$1,OR(I87&lt;=$D$2*-1,J87&gt;=$D$2),G87/F87&lt;3),"Very serious", AND(H87&gt;$D$1*-1,H87&lt;$D$1,I87&gt;$D$1*-1,J87&lt;$D$1,G87/F87&gt;=3),"Very serious", AND(H87&gt;$D$1*-1,H87&lt;$D$1,OR(I87&lt;=$D$1*-1,J87&gt;=$D$1),I87&gt;$D$2*-1,J87&lt;$D$2,G87/F87&gt;=3),"Very serious", AND(H87&gt;$D$1*-1,H87&lt;$D$1,OR(I87&lt;=$D$2*-1,J87&gt;=$D$2),G87/F87&gt;=3),"Very serious")),"")</f>
        <v/>
      </c>
      <c r="R87" s="109" t="str">
        <f t="shared" si="47"/>
        <v/>
      </c>
      <c r="S87" s="64"/>
      <c r="T87" s="139"/>
      <c r="U87" s="139"/>
      <c r="V87" s="139"/>
      <c r="W87" s="142"/>
      <c r="X87" s="142"/>
      <c r="Y87" s="143"/>
      <c r="Z87" s="113" t="str">
        <f t="array" ref="Z87">INDEX($A$1:$C$500, MATCH(1,($B:$B=$B87)*($C:$C=$AB87),0),1)</f>
        <v/>
      </c>
      <c r="AA87" s="113" t="str">
        <f t="array" ref="AA87">INDEX($A$1:$C$500, MATCH(1,($B:$B=$AB87)*($C:$C=$B87),0),1)</f>
        <v/>
      </c>
      <c r="AB87" s="111"/>
      <c r="AC87" s="114" t="str">
        <f t="shared" si="2"/>
        <v/>
      </c>
      <c r="AD87" s="115" t="str">
        <f t="shared" si="3"/>
        <v/>
      </c>
      <c r="AE87" s="116" t="str">
        <f t="array" ref="AE87">INDEX($A$1:$C$500, MATCH(1,($B:$B=$AB87)*($C:$C=$AG87),0),1)</f>
        <v/>
      </c>
      <c r="AF87" s="116" t="str">
        <f t="array" ref="AF87">INDEX($A$1:$C$500, MATCH(1,($B:$B=$AG87)*($C:$C=$AB87),0),1)</f>
        <v/>
      </c>
      <c r="AG87" s="72"/>
      <c r="AH87" s="114" t="str">
        <f t="shared" si="4"/>
        <v/>
      </c>
      <c r="AI87" s="115" t="str">
        <f t="shared" si="5"/>
        <v/>
      </c>
      <c r="AJ87" s="116" t="str">
        <f t="array" ref="AJ87">INDEX($A$1:$C$500, MATCH(1,($B:$B=$C87)*($C:$C=$AG87),0),1)</f>
        <v/>
      </c>
      <c r="AK87" s="116" t="str">
        <f t="array" ref="AK87">INDEX($A$1:$C$500, MATCH(1,($B:$B=$AG87)*($C:$C=$C87),0),1)</f>
        <v/>
      </c>
      <c r="AL87" s="116" t="str">
        <f t="array" ref="AL87">INDEX($A$1:$C$500, MATCH(1,($B:$B=$C87)*($C:$C=$AB87),0),1)</f>
        <v/>
      </c>
      <c r="AM87" s="116" t="str">
        <f t="array" ref="AM87">INDEX($A$1:$C$500, MATCH(1,($B:$B=$AB87)*($C:$C=$C87),0),1)</f>
        <v/>
      </c>
      <c r="AN87" s="114" t="str">
        <f t="array" ref="AN87">IFS(ISNUMBER(AJ87),AJ87,ISNUMBER(AK87),AK87,ISNUMBER(AL87),AL87,ISNUMBER(AM87),AM87)</f>
        <v>#N/A</v>
      </c>
      <c r="AO87" s="115" t="str">
        <f t="shared" si="6"/>
        <v/>
      </c>
      <c r="AP87" s="115" t="str">
        <f t="shared" si="7"/>
        <v/>
      </c>
      <c r="AQ87" s="111"/>
      <c r="AR87" s="109" t="str">
        <f t="shared" si="8"/>
        <v/>
      </c>
      <c r="AS87" s="72" t="str">
        <f>IFERROR(IF(AND(Preferences!B$3="Manual",OR(AX87/AW87&gt;V87/U87,BD87="Serious",BD87="Very serious")),"Assess imprecision",IFERROR(IFS(AND(Preferences!B$3="Automatic",V87/U87&gt;=30),"Extremely serious",AND(W87&lt;=$D$1*-1,Y87&lt;0,V87/U87&lt;3),"Not Serious",AND(W87&lt;=$D$1*-1,Y87&lt;0,V87/U87&gt;=3),"Very serious",AND(W87&gt;=$D$1,X87&gt;0,V87/U87&lt;3),"Not Serious",AND(W87&gt;=$D$1,X87&gt;0,V87/U87&gt;=3),"Very serious",AND(W87&lt;=$D$1*-1,Y87&gt;0,X87&gt;$D$2*-1,V87/U87&lt;3),"Serious", AND(W87&lt;=$D$1*-1,Y87&gt;0,X87&lt;$D$2*-1,V87/U87&lt;3),"Very serious", AND(W87&gt;=$D$1,X87&lt;0,Y87&lt;$D$2,V87/U87&lt;3),"Serious",AND(W87&gt;=$D$1,X87&lt;0,Y87&gt;$D$2,V87/U87&lt;3),"Very serious", AND(W87&lt;=$D$1*-1,Y87&gt;0,X87&gt;$D$2*-1,V87/U87&gt;=3),"Very serious", AND(W87&lt;=$D$1*-1,Y87&gt;0,X87&lt;$D$2*-1,V87/U87&gt;=3),"Very serious", AND(W87&gt;=$D$1,X87&lt;0,Y87&lt;$D$2,V87/U87&gt;=3),"Very serious", AND(W87&gt;=$D$1,X87&lt;0,Y87&gt;$D$2,V87/U87&gt;=3),"Very serious", AND(W87&gt;$D$1*-1,W87&lt;$D$1,X87&gt;$D$1*-1,Y87&lt;$D$1,V87/U87&lt;3),"Not Serious", AND(W87&gt;$D$1*-1,W87&lt;$D$1,OR(X87&lt;=$D$1*-1,Y87&gt;=$D$1),X87&gt;$D$2*-1,Y87&lt;$D$2,V87/U87&lt;3),"Serious", AND(W87&gt;$D$1*-1,W87&lt;$D$1,OR(X87&lt;=$D$2*-1,Y87&gt;=$D$2),V87/U87&lt;3),"Very serious", AND(W87&gt;$D$1*-1,W87&lt;$D$1,X87&gt;$D$1*-1,Y87&lt;$D$1,V87/U87&gt;=3),"Very serious", AND(W87&gt;$D$1*-1,W87&lt;$D$1,OR(X87&lt;=$D$1*-1,Y87&gt;=$D$1),X87&gt;$D$2*-1,Y87&lt;$D$2,V87/U87&gt;=3),"Very serious", AND(W87&gt;$D$1*-1,W87&lt;$D$1,OR(X87&lt;=$D$2*-1,Y87&gt;=$D$2),V87/U87&gt;=3),"Very serious"),"")),"")</f>
        <v/>
      </c>
      <c r="AT87" s="109" t="str">
        <f t="shared" si="9"/>
        <v/>
      </c>
      <c r="AU87" s="64"/>
      <c r="AV87" s="117"/>
      <c r="AW87" s="117"/>
      <c r="AX87" s="117"/>
      <c r="AY87" s="118"/>
      <c r="AZ87" s="118"/>
      <c r="BA87" s="119"/>
      <c r="BB87" s="86" t="str">
        <f>IF(Preferences!B$9="Manual","",IFS(ISBLANK(B87),"",AND(ISNUMBER(E87)=TRUE,ISNUMBER(T87)=FALSE),"Direct", AND(ISNUMBER(E87)=FALSE,ISNUMBER(T87)=TRUE),"Indirect", CN87=4,"Direct",AND(CL87=FALSE, CM87=TRUE,CN87-CO87&gt;-1),"Direct", AND(CL87=FALSE,CM87=TRUE, CN87-CO87&lt;0),"Check algorithm in appendix 2", AND(CL87=TRUE, CM87=FALSE,CN87-CO87&gt;0),"Check algorithm in appendix 2", AND(CL87=TRUE, CM87=FALSE,CN87-CO87=0),"Indirect", AND(CL87=TRUE, CM87=FALSE,CN87-CO87&lt;0),"Indirect", AND(CL87=FALSE,CM87=FALSE,CN87-CO87&gt;-1),"Direct", AND(CL87=FALSE,CM87=FALSE,CN87-CO87&lt;0),"Check algorithm in appendix 2", AND(CL87=TRUE,CM87=TRUE,CN87-CO87&gt;-1),"Direct", AND(CL87=TRUE,CM87=TRUE,CN87-CO87&lt;0),"Check algorithm in appendix 2"))</f>
        <v/>
      </c>
      <c r="BC87" s="120" t="str">
        <f t="shared" si="10"/>
        <v/>
      </c>
      <c r="BD87" s="140"/>
      <c r="BE87" s="122" t="str">
        <f>IF(Preferences!B$3="Manual","", IFERROR(IFS(AND(Preferences!B$3="Automatic",AX87/AW87&gt;=30),"Extremely serious",AND(AY87&lt;=$D$1*-1,BA87&lt;0,AX87/AW87&lt;3),"Not Serious",AND(AY87&lt;=$D$1*-1,BA87&lt;0,AX87/AW87&gt;=3),"Very serious",AND(AY87&gt;=$D$1,AZ87&gt;0,AX87/AW87&lt;3),"Not Serious",AND(AY87&gt;=$D$1,AZ87&gt;0,AX87/AW87&gt;=3),"Very serious",AND(AY87&lt;=$D$1*-1,BA87&gt;0,AZ87&gt;$D$2*-1,AX87/AW87&lt;3),"Serious", AND(AY87&lt;=$D$1*-1,BA87&gt;0,AZ87&lt;$D$2*-1,AX87/AW87&lt;3),"Very serious", AND(AY87&gt;=$D$1,AZ87&lt;0,BA87&lt;$D$2,AX87/AW87&lt;3),"Serious",AND(AY87&gt;=$D$1,AZ87&lt;0,BA87&gt;$D$2,AX87/AW87&lt;3),"Very serious", AND(AY87&lt;=$D$1*-1,BA87&gt;0,AZ87&gt;$D$2*-1,AX87/AW87&gt;=3),"Very serious", AND(AY87&lt;=$D$1*-1,BA87&gt;0,AZ87&lt;$D$2*-1,AX87/AW87&gt;=3),"Very serious", AND(AY87&gt;=$D$1,AZ87&lt;0,BA87&lt;$D$2,AX87/AW87&gt;=3),"Very serious", AND(AY87&gt;=$D$1,AZ87&lt;0,BA87&gt;$D$2,AX87/AW87&gt;=3),"Very serious", AND(AY87&gt;$D$1*-1,AY87&lt;$D$1,AZ87&gt;$D$1*-1,BA87&lt;$D$1,AX87/AW87&lt;3),"Not Serious", AND(AY87&gt;$D$1*-1,AY87&lt;$D$1,OR(AZ87&lt;=$D$1*-1,BA87&gt;=$D$1),AZ87&gt;$D$2*-1,BA87&lt;$D$2,AX87/AW87&lt;3),"Serious", AND(AY87&gt;$D$1*-1,AY87&lt;$D$1,OR(AZ87&lt;=$D$2*-1,BA87&gt;=$D$2),AX87/AW87&lt;3),"Very serious", AND(AY87&gt;$D$1*-1,AY87&lt;$D$1,AZ87&gt;$D$1*-1,BA87&lt;$D$1,AX87/AW87&gt;=3),"Very serious", AND(AY87&gt;$D$1*-1,AY87&lt;$D$1,OR(AZ87&lt;=$D$1*-1,BA87&gt;=$D$1),AZ87&gt;$D$2*-1,BA87&lt;$D$2,AX87/AW87&gt;=3),"Very serious", AND(AY87&gt;$D$1*-1,AY87&lt;$D$1,OR(AZ87&lt;=$D$2*-1,BA87&gt;=$D$2),AX87/AW87&gt;=3),"Very serious"),""))</f>
        <v/>
      </c>
      <c r="BF87" s="107" t="str">
        <f t="shared" si="11"/>
        <v/>
      </c>
      <c r="BG87" s="94" t="str">
        <f t="shared" si="46"/>
        <v/>
      </c>
      <c r="BH87" s="64" t="str">
        <f t="shared" si="12"/>
        <v>#N/A</v>
      </c>
      <c r="BI87" s="64" t="str">
        <f t="shared" si="13"/>
        <v/>
      </c>
      <c r="BJ87" s="123" t="str">
        <f t="shared" si="14"/>
        <v>#N/A</v>
      </c>
      <c r="BK87" s="64" t="str">
        <f t="shared" si="50"/>
        <v>YES</v>
      </c>
      <c r="BL87" s="64" t="str">
        <f t="shared" si="16"/>
        <v>YES</v>
      </c>
      <c r="BM87" s="64" t="str">
        <f t="shared" si="17"/>
        <v>YES</v>
      </c>
      <c r="BN87" s="124" t="str">
        <f t="shared" si="18"/>
        <v/>
      </c>
      <c r="BO87" s="91" t="str">
        <f t="shared" si="19"/>
        <v/>
      </c>
      <c r="BP87" s="91" t="str">
        <f t="shared" si="20"/>
        <v>#N/A</v>
      </c>
      <c r="BQ87" s="91" t="str">
        <f t="shared" si="21"/>
        <v/>
      </c>
      <c r="BR87" s="93" t="str">
        <f t="shared" si="22"/>
        <v/>
      </c>
      <c r="BS87" s="90" t="str">
        <f t="shared" si="23"/>
        <v/>
      </c>
      <c r="BT87" s="93" t="str">
        <f t="shared" si="24"/>
        <v>NA</v>
      </c>
      <c r="BU87" s="125" t="str">
        <f t="shared" si="25"/>
        <v>#N/A</v>
      </c>
      <c r="BV87" s="93" t="str">
        <f t="shared" si="26"/>
        <v/>
      </c>
      <c r="BW87" s="93" t="str">
        <f t="shared" si="27"/>
        <v/>
      </c>
      <c r="BX87" s="93" t="str">
        <f t="shared" si="28"/>
        <v>NA</v>
      </c>
      <c r="BY87" s="95" t="str">
        <f t="shared" si="29"/>
        <v>#N/A</v>
      </c>
      <c r="BZ87" s="93" t="str">
        <f t="shared" si="30"/>
        <v/>
      </c>
      <c r="CA87" s="93" t="str">
        <f t="shared" si="31"/>
        <v/>
      </c>
      <c r="CB87" s="93" t="str">
        <f t="shared" si="32"/>
        <v>NA</v>
      </c>
      <c r="CC87" s="96" t="str">
        <f t="shared" si="33"/>
        <v>#N/A</v>
      </c>
      <c r="CD87" s="93" t="str">
        <f t="shared" si="34"/>
        <v/>
      </c>
      <c r="CE87" s="93" t="str">
        <f t="shared" si="35"/>
        <v/>
      </c>
      <c r="CF87" s="93" t="str">
        <f t="shared" si="36"/>
        <v>NA</v>
      </c>
      <c r="CG87" s="97" t="str">
        <f t="shared" si="37"/>
        <v>#N/A</v>
      </c>
      <c r="CH87" s="98" t="str">
        <f t="shared" si="38"/>
        <v>#N/A</v>
      </c>
      <c r="CI87" s="99" t="str">
        <f t="shared" si="39"/>
        <v>#N/A</v>
      </c>
      <c r="CJ87" s="126" t="str">
        <f t="shared" si="40"/>
        <v>ERROR: check cell</v>
      </c>
      <c r="CK87" s="126"/>
      <c r="CL87" s="127" t="str">
        <f t="shared" si="41"/>
        <v>#DIV/0!</v>
      </c>
      <c r="CM87" s="128" t="str">
        <f t="shared" si="42"/>
        <v>#DIV/0!</v>
      </c>
      <c r="CN87" s="128">
        <f t="shared" si="43"/>
        <v>4</v>
      </c>
      <c r="CO87" s="129">
        <f t="shared" si="44"/>
        <v>4</v>
      </c>
      <c r="CP87" s="129" t="str">
        <f>IFS(C87=Preferences!B$13,B87,B87=Preferences!B$13,C87)</f>
        <v>#N/A</v>
      </c>
    </row>
    <row r="88" ht="13.5" customHeight="1">
      <c r="A88" s="63" t="str">
        <f t="shared" si="45"/>
        <v/>
      </c>
      <c r="B88" s="64"/>
      <c r="C88" s="64"/>
      <c r="D88" s="64"/>
      <c r="E88" s="65"/>
      <c r="F88" s="65"/>
      <c r="G88" s="65"/>
      <c r="H88" s="65"/>
      <c r="I88" s="65"/>
      <c r="J88" s="141"/>
      <c r="K88" s="138"/>
      <c r="L88" s="104"/>
      <c r="M88" s="104"/>
      <c r="N88" s="104"/>
      <c r="O88" s="104"/>
      <c r="P88" s="107" t="str">
        <f t="shared" si="1"/>
        <v/>
      </c>
      <c r="Q88" s="108" t="str">
        <f>IFERROR(IF(AND(Preferences!B$3="Manual",OR(AX88/AW88&gt;G88/F88,BD88="Serious",BD88="Very serious")),"Assess imprecision",IFS(ISBLANK(E88),"",AND(Preferences!B$3="Automatic", G88/F88&gt;=30),"Extremely serious",AND(H88&lt;=$D$1*-1,J88&lt;0,G88/F88&lt;3),"Not serious",AND(H88&lt;=$D$1*-1,J88&lt;0,G88/F88&gt;=3),"Very serious",AND(H88&gt;=$D$1,I88&gt;0,G88/F88&lt;3),"Not serious",AND(H88&gt;=$D$1,I88&gt;0,G88/F88&gt;=3),"Very serious",AND(H88&lt;=$D$1*-1,J88&gt;0,I88&gt;$D$2*-1,G88/F88&lt;3),"Serious", AND(H88&lt;=$D$1*-1,J88&gt;0,I88&lt;$D$2*-1,G88/F88&lt;3),"Very serious", AND(H88&gt;=$D$1,I88&lt;0,J88&lt;$D$2,G88/F88&lt;3),"Serious",AND(H88&gt;=$D$1,I88&lt;0,J88&gt;$D$2,G88/F88&lt;3),"Very serious", AND(H88&lt;=$D$1*-1,J88&gt;0,I88&gt;$D$2*-1,G88/F88&gt;=3),"Very serious", AND(H88&lt;=$D$1*-1,J88&gt;0,I88&lt;$D$2*-1,G88/F88&gt;=3),"Very serious", AND(H88&gt;=$D$1,I88&lt;0,J88&lt;$D$2,G88/F88&gt;=3),"Very serious", AND(H88&gt;=$D$1,I88&lt;0,J88&gt;$D$2,G88/F88&gt;=3),"Very serious", AND(H88&gt;$D$1*-1,H88&lt;$D$1,I88&gt;$D$1*-1,J88&lt;$D$1,G88/F88&lt;3),"Not serious", AND(H88&gt;$D$1*-1,H88&lt;$D$1,OR(I88&lt;=$D$1*-1,J88&gt;=$D$1),I88&gt;$D$2*-1,J88&lt;$D$2,G88/F88&lt;3),"Serious", AND(H88&gt;$D$1*-1,H88&lt;$D$1,OR(I88&lt;=$D$2*-1,J88&gt;=$D$2),G88/F88&lt;3),"Very serious", AND(H88&gt;$D$1*-1,H88&lt;$D$1,I88&gt;$D$1*-1,J88&lt;$D$1,G88/F88&gt;=3),"Very serious", AND(H88&gt;$D$1*-1,H88&lt;$D$1,OR(I88&lt;=$D$1*-1,J88&gt;=$D$1),I88&gt;$D$2*-1,J88&lt;$D$2,G88/F88&gt;=3),"Very serious", AND(H88&gt;$D$1*-1,H88&lt;$D$1,OR(I88&lt;=$D$2*-1,J88&gt;=$D$2),G88/F88&gt;=3),"Very serious")),"")</f>
        <v/>
      </c>
      <c r="R88" s="109" t="str">
        <f t="shared" si="47"/>
        <v/>
      </c>
      <c r="S88" s="64"/>
      <c r="T88" s="144"/>
      <c r="U88" s="144"/>
      <c r="V88" s="144"/>
      <c r="W88" s="142"/>
      <c r="X88" s="142"/>
      <c r="Y88" s="143"/>
      <c r="Z88" s="113" t="str">
        <f t="array" ref="Z88">INDEX($A$1:$C$500, MATCH(1,($B:$B=$B88)*($C:$C=$AB88),0),1)</f>
        <v/>
      </c>
      <c r="AA88" s="113" t="str">
        <f t="array" ref="AA88">INDEX($A$1:$C$500, MATCH(1,($B:$B=$AB88)*($C:$C=$B88),0),1)</f>
        <v/>
      </c>
      <c r="AB88" s="111"/>
      <c r="AC88" s="114" t="str">
        <f t="shared" si="2"/>
        <v/>
      </c>
      <c r="AD88" s="115" t="str">
        <f t="shared" si="3"/>
        <v/>
      </c>
      <c r="AE88" s="116" t="str">
        <f t="array" ref="AE88">INDEX($A$1:$C$500, MATCH(1,($B:$B=$AB88)*($C:$C=$AG88),0),1)</f>
        <v/>
      </c>
      <c r="AF88" s="116" t="str">
        <f t="array" ref="AF88">INDEX($A$1:$C$500, MATCH(1,($B:$B=$AG88)*($C:$C=$AB88),0),1)</f>
        <v/>
      </c>
      <c r="AG88" s="72"/>
      <c r="AH88" s="114" t="str">
        <f t="shared" si="4"/>
        <v/>
      </c>
      <c r="AI88" s="115" t="str">
        <f t="shared" si="5"/>
        <v/>
      </c>
      <c r="AJ88" s="116" t="str">
        <f t="array" ref="AJ88">INDEX($A$1:$C$500, MATCH(1,($B:$B=$C88)*($C:$C=$AG88),0),1)</f>
        <v/>
      </c>
      <c r="AK88" s="116" t="str">
        <f t="array" ref="AK88">INDEX($A$1:$C$500, MATCH(1,($B:$B=$AG88)*($C:$C=$C88),0),1)</f>
        <v/>
      </c>
      <c r="AL88" s="116" t="str">
        <f t="array" ref="AL88">INDEX($A$1:$C$500, MATCH(1,($B:$B=$C88)*($C:$C=$AB88),0),1)</f>
        <v/>
      </c>
      <c r="AM88" s="116" t="str">
        <f t="array" ref="AM88">INDEX($A$1:$C$500, MATCH(1,($B:$B=$AB88)*($C:$C=$C88),0),1)</f>
        <v/>
      </c>
      <c r="AN88" s="114" t="str">
        <f t="array" ref="AN88">IFS(ISNUMBER(AJ88),AJ88,ISNUMBER(AK88),AK88,ISNUMBER(AL88),AL88,ISNUMBER(AM88),AM88)</f>
        <v>#N/A</v>
      </c>
      <c r="AO88" s="115" t="str">
        <f t="shared" si="6"/>
        <v/>
      </c>
      <c r="AP88" s="115" t="str">
        <f t="shared" si="7"/>
        <v/>
      </c>
      <c r="AQ88" s="111"/>
      <c r="AR88" s="109" t="str">
        <f t="shared" si="8"/>
        <v/>
      </c>
      <c r="AS88" s="72" t="str">
        <f>IFERROR(IF(AND(Preferences!B$3="Manual",OR(AX88/AW88&gt;V88/U88,BD88="Serious",BD88="Very serious")),"Assess imprecision",IFERROR(IFS(AND(Preferences!B$3="Automatic",V88/U88&gt;=30),"Extremely serious",AND(W88&lt;=$D$1*-1,Y88&lt;0,V88/U88&lt;3),"Not Serious",AND(W88&lt;=$D$1*-1,Y88&lt;0,V88/U88&gt;=3),"Very serious",AND(W88&gt;=$D$1,X88&gt;0,V88/U88&lt;3),"Not Serious",AND(W88&gt;=$D$1,X88&gt;0,V88/U88&gt;=3),"Very serious",AND(W88&lt;=$D$1*-1,Y88&gt;0,X88&gt;$D$2*-1,V88/U88&lt;3),"Serious", AND(W88&lt;=$D$1*-1,Y88&gt;0,X88&lt;$D$2*-1,V88/U88&lt;3),"Very serious", AND(W88&gt;=$D$1,X88&lt;0,Y88&lt;$D$2,V88/U88&lt;3),"Serious",AND(W88&gt;=$D$1,X88&lt;0,Y88&gt;$D$2,V88/U88&lt;3),"Very serious", AND(W88&lt;=$D$1*-1,Y88&gt;0,X88&gt;$D$2*-1,V88/U88&gt;=3),"Very serious", AND(W88&lt;=$D$1*-1,Y88&gt;0,X88&lt;$D$2*-1,V88/U88&gt;=3),"Very serious", AND(W88&gt;=$D$1,X88&lt;0,Y88&lt;$D$2,V88/U88&gt;=3),"Very serious", AND(W88&gt;=$D$1,X88&lt;0,Y88&gt;$D$2,V88/U88&gt;=3),"Very serious", AND(W88&gt;$D$1*-1,W88&lt;$D$1,X88&gt;$D$1*-1,Y88&lt;$D$1,V88/U88&lt;3),"Not Serious", AND(W88&gt;$D$1*-1,W88&lt;$D$1,OR(X88&lt;=$D$1*-1,Y88&gt;=$D$1),X88&gt;$D$2*-1,Y88&lt;$D$2,V88/U88&lt;3),"Serious", AND(W88&gt;$D$1*-1,W88&lt;$D$1,OR(X88&lt;=$D$2*-1,Y88&gt;=$D$2),V88/U88&lt;3),"Very serious", AND(W88&gt;$D$1*-1,W88&lt;$D$1,X88&gt;$D$1*-1,Y88&lt;$D$1,V88/U88&gt;=3),"Very serious", AND(W88&gt;$D$1*-1,W88&lt;$D$1,OR(X88&lt;=$D$1*-1,Y88&gt;=$D$1),X88&gt;$D$2*-1,Y88&lt;$D$2,V88/U88&gt;=3),"Very serious", AND(W88&gt;$D$1*-1,W88&lt;$D$1,OR(X88&lt;=$D$2*-1,Y88&gt;=$D$2),V88/U88&gt;=3),"Very serious"),"")),"")</f>
        <v/>
      </c>
      <c r="AT88" s="109" t="str">
        <f t="shared" si="9"/>
        <v/>
      </c>
      <c r="AU88" s="64"/>
      <c r="AV88" s="117"/>
      <c r="AW88" s="117"/>
      <c r="AX88" s="117"/>
      <c r="AY88" s="118"/>
      <c r="AZ88" s="118"/>
      <c r="BA88" s="119"/>
      <c r="BB88" s="86" t="str">
        <f>IF(Preferences!B$9="Manual","",IFS(ISBLANK(B88),"",AND(ISNUMBER(E88)=TRUE,ISNUMBER(T88)=FALSE),"Direct", AND(ISNUMBER(E88)=FALSE,ISNUMBER(T88)=TRUE),"Indirect", CN88=4,"Direct",AND(CL88=FALSE, CM88=TRUE,CN88-CO88&gt;-1),"Direct", AND(CL88=FALSE,CM88=TRUE, CN88-CO88&lt;0),"Check algorithm in appendix 2", AND(CL88=TRUE, CM88=FALSE,CN88-CO88&gt;0),"Check algorithm in appendix 2", AND(CL88=TRUE, CM88=FALSE,CN88-CO88=0),"Indirect", AND(CL88=TRUE, CM88=FALSE,CN88-CO88&lt;0),"Indirect", AND(CL88=FALSE,CM88=FALSE,CN88-CO88&gt;-1),"Direct", AND(CL88=FALSE,CM88=FALSE,CN88-CO88&lt;0),"Check algorithm in appendix 2", AND(CL88=TRUE,CM88=TRUE,CN88-CO88&gt;-1),"Direct", AND(CL88=TRUE,CM88=TRUE,CN88-CO88&lt;0),"Check algorithm in appendix 2"))</f>
        <v/>
      </c>
      <c r="BC88" s="120" t="str">
        <f t="shared" si="10"/>
        <v/>
      </c>
      <c r="BD88" s="140"/>
      <c r="BE88" s="122" t="str">
        <f>IF(Preferences!B$3="Manual","", IFERROR(IFS(AND(Preferences!B$3="Automatic",AX88/AW88&gt;=30),"Extremely serious",AND(AY88&lt;=$D$1*-1,BA88&lt;0,AX88/AW88&lt;3),"Not Serious",AND(AY88&lt;=$D$1*-1,BA88&lt;0,AX88/AW88&gt;=3),"Very serious",AND(AY88&gt;=$D$1,AZ88&gt;0,AX88/AW88&lt;3),"Not Serious",AND(AY88&gt;=$D$1,AZ88&gt;0,AX88/AW88&gt;=3),"Very serious",AND(AY88&lt;=$D$1*-1,BA88&gt;0,AZ88&gt;$D$2*-1,AX88/AW88&lt;3),"Serious", AND(AY88&lt;=$D$1*-1,BA88&gt;0,AZ88&lt;$D$2*-1,AX88/AW88&lt;3),"Very serious", AND(AY88&gt;=$D$1,AZ88&lt;0,BA88&lt;$D$2,AX88/AW88&lt;3),"Serious",AND(AY88&gt;=$D$1,AZ88&lt;0,BA88&gt;$D$2,AX88/AW88&lt;3),"Very serious", AND(AY88&lt;=$D$1*-1,BA88&gt;0,AZ88&gt;$D$2*-1,AX88/AW88&gt;=3),"Very serious", AND(AY88&lt;=$D$1*-1,BA88&gt;0,AZ88&lt;$D$2*-1,AX88/AW88&gt;=3),"Very serious", AND(AY88&gt;=$D$1,AZ88&lt;0,BA88&lt;$D$2,AX88/AW88&gt;=3),"Very serious", AND(AY88&gt;=$D$1,AZ88&lt;0,BA88&gt;$D$2,AX88/AW88&gt;=3),"Very serious", AND(AY88&gt;$D$1*-1,AY88&lt;$D$1,AZ88&gt;$D$1*-1,BA88&lt;$D$1,AX88/AW88&lt;3),"Not Serious", AND(AY88&gt;$D$1*-1,AY88&lt;$D$1,OR(AZ88&lt;=$D$1*-1,BA88&gt;=$D$1),AZ88&gt;$D$2*-1,BA88&lt;$D$2,AX88/AW88&lt;3),"Serious", AND(AY88&gt;$D$1*-1,AY88&lt;$D$1,OR(AZ88&lt;=$D$2*-1,BA88&gt;=$D$2),AX88/AW88&lt;3),"Very serious", AND(AY88&gt;$D$1*-1,AY88&lt;$D$1,AZ88&gt;$D$1*-1,BA88&lt;$D$1,AX88/AW88&gt;=3),"Very serious", AND(AY88&gt;$D$1*-1,AY88&lt;$D$1,OR(AZ88&lt;=$D$1*-1,BA88&gt;=$D$1),AZ88&gt;$D$2*-1,BA88&lt;$D$2,AX88/AW88&gt;=3),"Very serious", AND(AY88&gt;$D$1*-1,AY88&lt;$D$1,OR(AZ88&lt;=$D$2*-1,BA88&gt;=$D$2),AX88/AW88&gt;=3),"Very serious"),""))</f>
        <v/>
      </c>
      <c r="BF88" s="107" t="str">
        <f t="shared" si="11"/>
        <v/>
      </c>
      <c r="BG88" s="94" t="str">
        <f t="shared" si="46"/>
        <v/>
      </c>
      <c r="BH88" s="64" t="str">
        <f t="shared" si="12"/>
        <v>#N/A</v>
      </c>
      <c r="BI88" s="64" t="str">
        <f t="shared" si="13"/>
        <v/>
      </c>
      <c r="BJ88" s="123" t="str">
        <f t="shared" si="14"/>
        <v>#N/A</v>
      </c>
      <c r="BK88" s="64" t="str">
        <f t="shared" si="50"/>
        <v>YES</v>
      </c>
      <c r="BL88" s="64" t="str">
        <f t="shared" si="16"/>
        <v>YES</v>
      </c>
      <c r="BM88" s="64" t="str">
        <f t="shared" si="17"/>
        <v>YES</v>
      </c>
      <c r="BN88" s="124" t="str">
        <f t="shared" si="18"/>
        <v/>
      </c>
      <c r="BO88" s="91" t="str">
        <f t="shared" si="19"/>
        <v/>
      </c>
      <c r="BP88" s="91" t="str">
        <f t="shared" si="20"/>
        <v>#N/A</v>
      </c>
      <c r="BQ88" s="91" t="str">
        <f t="shared" si="21"/>
        <v/>
      </c>
      <c r="BR88" s="93" t="str">
        <f t="shared" si="22"/>
        <v/>
      </c>
      <c r="BS88" s="90" t="str">
        <f t="shared" si="23"/>
        <v/>
      </c>
      <c r="BT88" s="93" t="str">
        <f t="shared" si="24"/>
        <v>NA</v>
      </c>
      <c r="BU88" s="125" t="str">
        <f t="shared" si="25"/>
        <v>#N/A</v>
      </c>
      <c r="BV88" s="93" t="str">
        <f t="shared" si="26"/>
        <v/>
      </c>
      <c r="BW88" s="93" t="str">
        <f t="shared" si="27"/>
        <v/>
      </c>
      <c r="BX88" s="93" t="str">
        <f t="shared" si="28"/>
        <v>NA</v>
      </c>
      <c r="BY88" s="95" t="str">
        <f t="shared" si="29"/>
        <v>#N/A</v>
      </c>
      <c r="BZ88" s="93" t="str">
        <f t="shared" si="30"/>
        <v/>
      </c>
      <c r="CA88" s="93" t="str">
        <f t="shared" si="31"/>
        <v/>
      </c>
      <c r="CB88" s="93" t="str">
        <f t="shared" si="32"/>
        <v>NA</v>
      </c>
      <c r="CC88" s="96" t="str">
        <f t="shared" si="33"/>
        <v>#N/A</v>
      </c>
      <c r="CD88" s="93" t="str">
        <f t="shared" si="34"/>
        <v/>
      </c>
      <c r="CE88" s="93" t="str">
        <f t="shared" si="35"/>
        <v/>
      </c>
      <c r="CF88" s="93" t="str">
        <f t="shared" si="36"/>
        <v>NA</v>
      </c>
      <c r="CG88" s="97" t="str">
        <f t="shared" si="37"/>
        <v>#N/A</v>
      </c>
      <c r="CH88" s="98" t="str">
        <f t="shared" si="38"/>
        <v>#N/A</v>
      </c>
      <c r="CI88" s="99" t="str">
        <f t="shared" si="39"/>
        <v>#N/A</v>
      </c>
      <c r="CJ88" s="126" t="str">
        <f t="shared" si="40"/>
        <v>ERROR: check cell</v>
      </c>
      <c r="CK88" s="126"/>
      <c r="CL88" s="127" t="str">
        <f t="shared" si="41"/>
        <v>#DIV/0!</v>
      </c>
      <c r="CM88" s="128" t="str">
        <f t="shared" si="42"/>
        <v>#DIV/0!</v>
      </c>
      <c r="CN88" s="128">
        <f t="shared" si="43"/>
        <v>4</v>
      </c>
      <c r="CO88" s="129">
        <f t="shared" si="44"/>
        <v>4</v>
      </c>
      <c r="CP88" s="129" t="str">
        <f>IFS(C88=Preferences!B$13,B88,B88=Preferences!B$13,C88)</f>
        <v>#N/A</v>
      </c>
    </row>
    <row r="89" ht="13.5" customHeight="1">
      <c r="A89" s="63" t="str">
        <f t="shared" si="45"/>
        <v/>
      </c>
      <c r="B89" s="64"/>
      <c r="C89" s="64"/>
      <c r="D89" s="64"/>
      <c r="E89" s="65"/>
      <c r="F89" s="65"/>
      <c r="G89" s="65"/>
      <c r="H89" s="65"/>
      <c r="I89" s="65"/>
      <c r="J89" s="141"/>
      <c r="K89" s="138"/>
      <c r="L89" s="104"/>
      <c r="M89" s="104"/>
      <c r="N89" s="104"/>
      <c r="O89" s="104"/>
      <c r="P89" s="107" t="str">
        <f t="shared" si="1"/>
        <v/>
      </c>
      <c r="Q89" s="108" t="str">
        <f>IFERROR(IF(AND(Preferences!B$3="Manual",OR(AX89/AW89&gt;G89/F89,BD89="Serious",BD89="Very serious")),"Assess imprecision",IFS(ISBLANK(E89),"",AND(Preferences!B$3="Automatic", G89/F89&gt;=30),"Extremely serious",AND(H89&lt;=$D$1*-1,J89&lt;0,G89/F89&lt;3),"Not serious",AND(H89&lt;=$D$1*-1,J89&lt;0,G89/F89&gt;=3),"Very serious",AND(H89&gt;=$D$1,I89&gt;0,G89/F89&lt;3),"Not serious",AND(H89&gt;=$D$1,I89&gt;0,G89/F89&gt;=3),"Very serious",AND(H89&lt;=$D$1*-1,J89&gt;0,I89&gt;$D$2*-1,G89/F89&lt;3),"Serious", AND(H89&lt;=$D$1*-1,J89&gt;0,I89&lt;$D$2*-1,G89/F89&lt;3),"Very serious", AND(H89&gt;=$D$1,I89&lt;0,J89&lt;$D$2,G89/F89&lt;3),"Serious",AND(H89&gt;=$D$1,I89&lt;0,J89&gt;$D$2,G89/F89&lt;3),"Very serious", AND(H89&lt;=$D$1*-1,J89&gt;0,I89&gt;$D$2*-1,G89/F89&gt;=3),"Very serious", AND(H89&lt;=$D$1*-1,J89&gt;0,I89&lt;$D$2*-1,G89/F89&gt;=3),"Very serious", AND(H89&gt;=$D$1,I89&lt;0,J89&lt;$D$2,G89/F89&gt;=3),"Very serious", AND(H89&gt;=$D$1,I89&lt;0,J89&gt;$D$2,G89/F89&gt;=3),"Very serious", AND(H89&gt;$D$1*-1,H89&lt;$D$1,I89&gt;$D$1*-1,J89&lt;$D$1,G89/F89&lt;3),"Not serious", AND(H89&gt;$D$1*-1,H89&lt;$D$1,OR(I89&lt;=$D$1*-1,J89&gt;=$D$1),I89&gt;$D$2*-1,J89&lt;$D$2,G89/F89&lt;3),"Serious", AND(H89&gt;$D$1*-1,H89&lt;$D$1,OR(I89&lt;=$D$2*-1,J89&gt;=$D$2),G89/F89&lt;3),"Very serious", AND(H89&gt;$D$1*-1,H89&lt;$D$1,I89&gt;$D$1*-1,J89&lt;$D$1,G89/F89&gt;=3),"Very serious", AND(H89&gt;$D$1*-1,H89&lt;$D$1,OR(I89&lt;=$D$1*-1,J89&gt;=$D$1),I89&gt;$D$2*-1,J89&lt;$D$2,G89/F89&gt;=3),"Very serious", AND(H89&gt;$D$1*-1,H89&lt;$D$1,OR(I89&lt;=$D$2*-1,J89&gt;=$D$2),G89/F89&gt;=3),"Very serious")),"")</f>
        <v/>
      </c>
      <c r="R89" s="109" t="str">
        <f t="shared" si="47"/>
        <v/>
      </c>
      <c r="S89" s="64"/>
      <c r="T89" s="144"/>
      <c r="U89" s="144"/>
      <c r="V89" s="144"/>
      <c r="W89" s="142"/>
      <c r="X89" s="142"/>
      <c r="Y89" s="143"/>
      <c r="Z89" s="113" t="str">
        <f t="array" ref="Z89">INDEX($A$1:$C$500, MATCH(1,($B:$B=$B89)*($C:$C=$AB89),0),1)</f>
        <v/>
      </c>
      <c r="AA89" s="113" t="str">
        <f t="array" ref="AA89">INDEX($A$1:$C$500, MATCH(1,($B:$B=$AB89)*($C:$C=$B89),0),1)</f>
        <v/>
      </c>
      <c r="AB89" s="111"/>
      <c r="AC89" s="114" t="str">
        <f t="shared" si="2"/>
        <v/>
      </c>
      <c r="AD89" s="115" t="str">
        <f t="shared" si="3"/>
        <v/>
      </c>
      <c r="AE89" s="116" t="str">
        <f t="array" ref="AE89">INDEX($A$1:$C$500, MATCH(1,($B:$B=$AB89)*($C:$C=$AG89),0),1)</f>
        <v/>
      </c>
      <c r="AF89" s="116" t="str">
        <f t="array" ref="AF89">INDEX($A$1:$C$500, MATCH(1,($B:$B=$AG89)*($C:$C=$AB89),0),1)</f>
        <v/>
      </c>
      <c r="AG89" s="72"/>
      <c r="AH89" s="114" t="str">
        <f t="shared" si="4"/>
        <v/>
      </c>
      <c r="AI89" s="115" t="str">
        <f t="shared" si="5"/>
        <v/>
      </c>
      <c r="AJ89" s="116" t="str">
        <f t="array" ref="AJ89">INDEX($A$1:$C$500, MATCH(1,($B:$B=$C89)*($C:$C=$AG89),0),1)</f>
        <v/>
      </c>
      <c r="AK89" s="116" t="str">
        <f t="array" ref="AK89">INDEX($A$1:$C$500, MATCH(1,($B:$B=$AG89)*($C:$C=$C89),0),1)</f>
        <v/>
      </c>
      <c r="AL89" s="116" t="str">
        <f t="array" ref="AL89">INDEX($A$1:$C$500, MATCH(1,($B:$B=$C89)*($C:$C=$AB89),0),1)</f>
        <v/>
      </c>
      <c r="AM89" s="116" t="str">
        <f t="array" ref="AM89">INDEX($A$1:$C$500, MATCH(1,($B:$B=$AB89)*($C:$C=$C89),0),1)</f>
        <v/>
      </c>
      <c r="AN89" s="114" t="str">
        <f t="array" ref="AN89">IFS(ISNUMBER(AJ89),AJ89,ISNUMBER(AK89),AK89,ISNUMBER(AL89),AL89,ISNUMBER(AM89),AM89)</f>
        <v>#N/A</v>
      </c>
      <c r="AO89" s="115" t="str">
        <f t="shared" si="6"/>
        <v/>
      </c>
      <c r="AP89" s="115" t="str">
        <f t="shared" si="7"/>
        <v/>
      </c>
      <c r="AQ89" s="111"/>
      <c r="AR89" s="109" t="str">
        <f t="shared" si="8"/>
        <v/>
      </c>
      <c r="AS89" s="72" t="str">
        <f>IFERROR(IF(AND(Preferences!B$3="Manual",OR(AX89/AW89&gt;V89/U89,BD89="Serious",BD89="Very serious")),"Assess imprecision",IFERROR(IFS(AND(Preferences!B$3="Automatic",V89/U89&gt;=30),"Extremely serious",AND(W89&lt;=$D$1*-1,Y89&lt;0,V89/U89&lt;3),"Not Serious",AND(W89&lt;=$D$1*-1,Y89&lt;0,V89/U89&gt;=3),"Very serious",AND(W89&gt;=$D$1,X89&gt;0,V89/U89&lt;3),"Not Serious",AND(W89&gt;=$D$1,X89&gt;0,V89/U89&gt;=3),"Very serious",AND(W89&lt;=$D$1*-1,Y89&gt;0,X89&gt;$D$2*-1,V89/U89&lt;3),"Serious", AND(W89&lt;=$D$1*-1,Y89&gt;0,X89&lt;$D$2*-1,V89/U89&lt;3),"Very serious", AND(W89&gt;=$D$1,X89&lt;0,Y89&lt;$D$2,V89/U89&lt;3),"Serious",AND(W89&gt;=$D$1,X89&lt;0,Y89&gt;$D$2,V89/U89&lt;3),"Very serious", AND(W89&lt;=$D$1*-1,Y89&gt;0,X89&gt;$D$2*-1,V89/U89&gt;=3),"Very serious", AND(W89&lt;=$D$1*-1,Y89&gt;0,X89&lt;$D$2*-1,V89/U89&gt;=3),"Very serious", AND(W89&gt;=$D$1,X89&lt;0,Y89&lt;$D$2,V89/U89&gt;=3),"Very serious", AND(W89&gt;=$D$1,X89&lt;0,Y89&gt;$D$2,V89/U89&gt;=3),"Very serious", AND(W89&gt;$D$1*-1,W89&lt;$D$1,X89&gt;$D$1*-1,Y89&lt;$D$1,V89/U89&lt;3),"Not Serious", AND(W89&gt;$D$1*-1,W89&lt;$D$1,OR(X89&lt;=$D$1*-1,Y89&gt;=$D$1),X89&gt;$D$2*-1,Y89&lt;$D$2,V89/U89&lt;3),"Serious", AND(W89&gt;$D$1*-1,W89&lt;$D$1,OR(X89&lt;=$D$2*-1,Y89&gt;=$D$2),V89/U89&lt;3),"Very serious", AND(W89&gt;$D$1*-1,W89&lt;$D$1,X89&gt;$D$1*-1,Y89&lt;$D$1,V89/U89&gt;=3),"Very serious", AND(W89&gt;$D$1*-1,W89&lt;$D$1,OR(X89&lt;=$D$1*-1,Y89&gt;=$D$1),X89&gt;$D$2*-1,Y89&lt;$D$2,V89/U89&gt;=3),"Very serious", AND(W89&gt;$D$1*-1,W89&lt;$D$1,OR(X89&lt;=$D$2*-1,Y89&gt;=$D$2),V89/U89&gt;=3),"Very serious"),"")),"")</f>
        <v/>
      </c>
      <c r="AT89" s="109" t="str">
        <f t="shared" si="9"/>
        <v/>
      </c>
      <c r="AU89" s="64"/>
      <c r="AV89" s="117"/>
      <c r="AW89" s="117"/>
      <c r="AX89" s="117"/>
      <c r="AY89" s="118"/>
      <c r="AZ89" s="118"/>
      <c r="BA89" s="119"/>
      <c r="BB89" s="86" t="str">
        <f>IF(Preferences!B$9="Manual","",IFS(ISBLANK(B89),"",AND(ISNUMBER(E89)=TRUE,ISNUMBER(T89)=FALSE),"Direct", AND(ISNUMBER(E89)=FALSE,ISNUMBER(T89)=TRUE),"Indirect", CN89=4,"Direct",AND(CL89=FALSE, CM89=TRUE,CN89-CO89&gt;-1),"Direct", AND(CL89=FALSE,CM89=TRUE, CN89-CO89&lt;0),"Check algorithm in appendix 2", AND(CL89=TRUE, CM89=FALSE,CN89-CO89&gt;0),"Check algorithm in appendix 2", AND(CL89=TRUE, CM89=FALSE,CN89-CO89=0),"Indirect", AND(CL89=TRUE, CM89=FALSE,CN89-CO89&lt;0),"Indirect", AND(CL89=FALSE,CM89=FALSE,CN89-CO89&gt;-1),"Direct", AND(CL89=FALSE,CM89=FALSE,CN89-CO89&lt;0),"Check algorithm in appendix 2", AND(CL89=TRUE,CM89=TRUE,CN89-CO89&gt;-1),"Direct", AND(CL89=TRUE,CM89=TRUE,CN89-CO89&lt;0),"Check algorithm in appendix 2"))</f>
        <v/>
      </c>
      <c r="BC89" s="120" t="str">
        <f t="shared" si="10"/>
        <v/>
      </c>
      <c r="BD89" s="140"/>
      <c r="BE89" s="122" t="str">
        <f>IF(Preferences!B$3="Manual","", IFERROR(IFS(AND(Preferences!B$3="Automatic",AX89/AW89&gt;=30),"Extremely serious",AND(AY89&lt;=$D$1*-1,BA89&lt;0,AX89/AW89&lt;3),"Not Serious",AND(AY89&lt;=$D$1*-1,BA89&lt;0,AX89/AW89&gt;=3),"Very serious",AND(AY89&gt;=$D$1,AZ89&gt;0,AX89/AW89&lt;3),"Not Serious",AND(AY89&gt;=$D$1,AZ89&gt;0,AX89/AW89&gt;=3),"Very serious",AND(AY89&lt;=$D$1*-1,BA89&gt;0,AZ89&gt;$D$2*-1,AX89/AW89&lt;3),"Serious", AND(AY89&lt;=$D$1*-1,BA89&gt;0,AZ89&lt;$D$2*-1,AX89/AW89&lt;3),"Very serious", AND(AY89&gt;=$D$1,AZ89&lt;0,BA89&lt;$D$2,AX89/AW89&lt;3),"Serious",AND(AY89&gt;=$D$1,AZ89&lt;0,BA89&gt;$D$2,AX89/AW89&lt;3),"Very serious", AND(AY89&lt;=$D$1*-1,BA89&gt;0,AZ89&gt;$D$2*-1,AX89/AW89&gt;=3),"Very serious", AND(AY89&lt;=$D$1*-1,BA89&gt;0,AZ89&lt;$D$2*-1,AX89/AW89&gt;=3),"Very serious", AND(AY89&gt;=$D$1,AZ89&lt;0,BA89&lt;$D$2,AX89/AW89&gt;=3),"Very serious", AND(AY89&gt;=$D$1,AZ89&lt;0,BA89&gt;$D$2,AX89/AW89&gt;=3),"Very serious", AND(AY89&gt;$D$1*-1,AY89&lt;$D$1,AZ89&gt;$D$1*-1,BA89&lt;$D$1,AX89/AW89&lt;3),"Not Serious", AND(AY89&gt;$D$1*-1,AY89&lt;$D$1,OR(AZ89&lt;=$D$1*-1,BA89&gt;=$D$1),AZ89&gt;$D$2*-1,BA89&lt;$D$2,AX89/AW89&lt;3),"Serious", AND(AY89&gt;$D$1*-1,AY89&lt;$D$1,OR(AZ89&lt;=$D$2*-1,BA89&gt;=$D$2),AX89/AW89&lt;3),"Very serious", AND(AY89&gt;$D$1*-1,AY89&lt;$D$1,AZ89&gt;$D$1*-1,BA89&lt;$D$1,AX89/AW89&gt;=3),"Very serious", AND(AY89&gt;$D$1*-1,AY89&lt;$D$1,OR(AZ89&lt;=$D$1*-1,BA89&gt;=$D$1),AZ89&gt;$D$2*-1,BA89&lt;$D$2,AX89/AW89&gt;=3),"Very serious", AND(AY89&gt;$D$1*-1,AY89&lt;$D$1,OR(AZ89&lt;=$D$2*-1,BA89&gt;=$D$2),AX89/AW89&gt;=3),"Very serious"),""))</f>
        <v/>
      </c>
      <c r="BF89" s="107" t="str">
        <f t="shared" si="11"/>
        <v/>
      </c>
      <c r="BG89" s="94" t="str">
        <f t="shared" si="46"/>
        <v/>
      </c>
      <c r="BH89" s="64" t="str">
        <f t="shared" si="12"/>
        <v>#N/A</v>
      </c>
      <c r="BI89" s="64" t="str">
        <f t="shared" si="13"/>
        <v/>
      </c>
      <c r="BJ89" s="123" t="str">
        <f t="shared" si="14"/>
        <v>#N/A</v>
      </c>
      <c r="BK89" s="64" t="str">
        <f t="shared" si="50"/>
        <v>YES</v>
      </c>
      <c r="BL89" s="64" t="str">
        <f t="shared" si="16"/>
        <v>YES</v>
      </c>
      <c r="BM89" s="64" t="str">
        <f t="shared" si="17"/>
        <v>YES</v>
      </c>
      <c r="BN89" s="124" t="str">
        <f t="shared" si="18"/>
        <v/>
      </c>
      <c r="BO89" s="91" t="str">
        <f t="shared" si="19"/>
        <v/>
      </c>
      <c r="BP89" s="91" t="str">
        <f t="shared" si="20"/>
        <v>#N/A</v>
      </c>
      <c r="BQ89" s="91" t="str">
        <f t="shared" si="21"/>
        <v/>
      </c>
      <c r="BR89" s="93" t="str">
        <f t="shared" si="22"/>
        <v/>
      </c>
      <c r="BS89" s="90" t="str">
        <f t="shared" si="23"/>
        <v/>
      </c>
      <c r="BT89" s="93" t="str">
        <f t="shared" si="24"/>
        <v>NA</v>
      </c>
      <c r="BU89" s="125" t="str">
        <f t="shared" si="25"/>
        <v>#N/A</v>
      </c>
      <c r="BV89" s="93" t="str">
        <f t="shared" si="26"/>
        <v/>
      </c>
      <c r="BW89" s="93" t="str">
        <f t="shared" si="27"/>
        <v/>
      </c>
      <c r="BX89" s="93" t="str">
        <f t="shared" si="28"/>
        <v>NA</v>
      </c>
      <c r="BY89" s="95" t="str">
        <f t="shared" si="29"/>
        <v>#N/A</v>
      </c>
      <c r="BZ89" s="93" t="str">
        <f t="shared" si="30"/>
        <v/>
      </c>
      <c r="CA89" s="93" t="str">
        <f t="shared" si="31"/>
        <v/>
      </c>
      <c r="CB89" s="93" t="str">
        <f t="shared" si="32"/>
        <v>NA</v>
      </c>
      <c r="CC89" s="96" t="str">
        <f t="shared" si="33"/>
        <v>#N/A</v>
      </c>
      <c r="CD89" s="93" t="str">
        <f t="shared" si="34"/>
        <v/>
      </c>
      <c r="CE89" s="93" t="str">
        <f t="shared" si="35"/>
        <v/>
      </c>
      <c r="CF89" s="93" t="str">
        <f t="shared" si="36"/>
        <v>NA</v>
      </c>
      <c r="CG89" s="97" t="str">
        <f t="shared" si="37"/>
        <v>#N/A</v>
      </c>
      <c r="CH89" s="98" t="str">
        <f t="shared" si="38"/>
        <v>#N/A</v>
      </c>
      <c r="CI89" s="99" t="str">
        <f t="shared" si="39"/>
        <v>#N/A</v>
      </c>
      <c r="CJ89" s="126" t="str">
        <f t="shared" si="40"/>
        <v>ERROR: check cell</v>
      </c>
      <c r="CK89" s="126"/>
      <c r="CL89" s="127" t="str">
        <f t="shared" si="41"/>
        <v>#DIV/0!</v>
      </c>
      <c r="CM89" s="128" t="str">
        <f t="shared" si="42"/>
        <v>#DIV/0!</v>
      </c>
      <c r="CN89" s="128">
        <f t="shared" si="43"/>
        <v>4</v>
      </c>
      <c r="CO89" s="129">
        <f t="shared" si="44"/>
        <v>4</v>
      </c>
      <c r="CP89" s="129" t="str">
        <f>IFS(C89=Preferences!B$13,B89,B89=Preferences!B$13,C89)</f>
        <v>#N/A</v>
      </c>
    </row>
    <row r="90" ht="13.5" customHeight="1">
      <c r="A90" s="63" t="str">
        <f t="shared" si="45"/>
        <v/>
      </c>
      <c r="B90" s="64"/>
      <c r="C90" s="64"/>
      <c r="D90" s="64"/>
      <c r="E90" s="65"/>
      <c r="F90" s="65"/>
      <c r="G90" s="65"/>
      <c r="H90" s="65"/>
      <c r="I90" s="65"/>
      <c r="J90" s="141"/>
      <c r="K90" s="138"/>
      <c r="L90" s="104"/>
      <c r="M90" s="104"/>
      <c r="N90" s="104"/>
      <c r="O90" s="104"/>
      <c r="P90" s="107" t="str">
        <f t="shared" si="1"/>
        <v/>
      </c>
      <c r="Q90" s="108" t="str">
        <f>IFERROR(IF(AND(Preferences!B$3="Manual",OR(AX90/AW90&gt;G90/F90,BD90="Serious",BD90="Very serious")),"Assess imprecision",IFS(ISBLANK(E90),"",AND(Preferences!B$3="Automatic", G90/F90&gt;=30),"Extremely serious",AND(H90&lt;=$D$1*-1,J90&lt;0,G90/F90&lt;3),"Not serious",AND(H90&lt;=$D$1*-1,J90&lt;0,G90/F90&gt;=3),"Very serious",AND(H90&gt;=$D$1,I90&gt;0,G90/F90&lt;3),"Not serious",AND(H90&gt;=$D$1,I90&gt;0,G90/F90&gt;=3),"Very serious",AND(H90&lt;=$D$1*-1,J90&gt;0,I90&gt;$D$2*-1,G90/F90&lt;3),"Serious", AND(H90&lt;=$D$1*-1,J90&gt;0,I90&lt;$D$2*-1,G90/F90&lt;3),"Very serious", AND(H90&gt;=$D$1,I90&lt;0,J90&lt;$D$2,G90/F90&lt;3),"Serious",AND(H90&gt;=$D$1,I90&lt;0,J90&gt;$D$2,G90/F90&lt;3),"Very serious", AND(H90&lt;=$D$1*-1,J90&gt;0,I90&gt;$D$2*-1,G90/F90&gt;=3),"Very serious", AND(H90&lt;=$D$1*-1,J90&gt;0,I90&lt;$D$2*-1,G90/F90&gt;=3),"Very serious", AND(H90&gt;=$D$1,I90&lt;0,J90&lt;$D$2,G90/F90&gt;=3),"Very serious", AND(H90&gt;=$D$1,I90&lt;0,J90&gt;$D$2,G90/F90&gt;=3),"Very serious", AND(H90&gt;$D$1*-1,H90&lt;$D$1,I90&gt;$D$1*-1,J90&lt;$D$1,G90/F90&lt;3),"Not serious", AND(H90&gt;$D$1*-1,H90&lt;$D$1,OR(I90&lt;=$D$1*-1,J90&gt;=$D$1),I90&gt;$D$2*-1,J90&lt;$D$2,G90/F90&lt;3),"Serious", AND(H90&gt;$D$1*-1,H90&lt;$D$1,OR(I90&lt;=$D$2*-1,J90&gt;=$D$2),G90/F90&lt;3),"Very serious", AND(H90&gt;$D$1*-1,H90&lt;$D$1,I90&gt;$D$1*-1,J90&lt;$D$1,G90/F90&gt;=3),"Very serious", AND(H90&gt;$D$1*-1,H90&lt;$D$1,OR(I90&lt;=$D$1*-1,J90&gt;=$D$1),I90&gt;$D$2*-1,J90&lt;$D$2,G90/F90&gt;=3),"Very serious", AND(H90&gt;$D$1*-1,H90&lt;$D$1,OR(I90&lt;=$D$2*-1,J90&gt;=$D$2),G90/F90&gt;=3),"Very serious")),"")</f>
        <v/>
      </c>
      <c r="R90" s="109" t="str">
        <f t="shared" si="47"/>
        <v/>
      </c>
      <c r="S90" s="64"/>
      <c r="T90" s="139"/>
      <c r="U90" s="139"/>
      <c r="V90" s="139"/>
      <c r="W90" s="142"/>
      <c r="X90" s="142"/>
      <c r="Y90" s="143"/>
      <c r="Z90" s="113" t="str">
        <f t="array" ref="Z90">INDEX($A$1:$C$500, MATCH(1,($B:$B=$B90)*($C:$C=$AB90),0),1)</f>
        <v/>
      </c>
      <c r="AA90" s="113" t="str">
        <f t="array" ref="AA90">INDEX($A$1:$C$500, MATCH(1,($B:$B=$AB90)*($C:$C=$B90),0),1)</f>
        <v/>
      </c>
      <c r="AB90" s="111"/>
      <c r="AC90" s="114" t="str">
        <f t="shared" si="2"/>
        <v/>
      </c>
      <c r="AD90" s="115" t="str">
        <f t="shared" si="3"/>
        <v/>
      </c>
      <c r="AE90" s="116" t="str">
        <f t="array" ref="AE90">INDEX($A$1:$C$500, MATCH(1,($B:$B=$AB90)*($C:$C=$AG90),0),1)</f>
        <v/>
      </c>
      <c r="AF90" s="116" t="str">
        <f t="array" ref="AF90">INDEX($A$1:$C$500, MATCH(1,($B:$B=$AG90)*($C:$C=$AB90),0),1)</f>
        <v/>
      </c>
      <c r="AG90" s="72"/>
      <c r="AH90" s="114" t="str">
        <f t="shared" si="4"/>
        <v/>
      </c>
      <c r="AI90" s="115" t="str">
        <f t="shared" si="5"/>
        <v/>
      </c>
      <c r="AJ90" s="116" t="str">
        <f t="array" ref="AJ90">INDEX($A$1:$C$500, MATCH(1,($B:$B=$C90)*($C:$C=$AG90),0),1)</f>
        <v/>
      </c>
      <c r="AK90" s="116" t="str">
        <f t="array" ref="AK90">INDEX($A$1:$C$500, MATCH(1,($B:$B=$AG90)*($C:$C=$C90),0),1)</f>
        <v/>
      </c>
      <c r="AL90" s="116" t="str">
        <f t="array" ref="AL90">INDEX($A$1:$C$500, MATCH(1,($B:$B=$C90)*($C:$C=$AB90),0),1)</f>
        <v/>
      </c>
      <c r="AM90" s="116" t="str">
        <f t="array" ref="AM90">INDEX($A$1:$C$500, MATCH(1,($B:$B=$AB90)*($C:$C=$C90),0),1)</f>
        <v/>
      </c>
      <c r="AN90" s="114" t="str">
        <f t="array" ref="AN90">IFS(ISNUMBER(AJ90),AJ90,ISNUMBER(AK90),AK90,ISNUMBER(AL90),AL90,ISNUMBER(AM90),AM90)</f>
        <v>#N/A</v>
      </c>
      <c r="AO90" s="115" t="str">
        <f t="shared" si="6"/>
        <v/>
      </c>
      <c r="AP90" s="115" t="str">
        <f t="shared" si="7"/>
        <v/>
      </c>
      <c r="AQ90" s="111"/>
      <c r="AR90" s="109" t="str">
        <f t="shared" si="8"/>
        <v/>
      </c>
      <c r="AS90" s="72" t="str">
        <f>IFERROR(IF(AND(Preferences!B$3="Manual",OR(AX90/AW90&gt;V90/U90,BD90="Serious",BD90="Very serious")),"Assess imprecision",IFERROR(IFS(AND(Preferences!B$3="Automatic",V90/U90&gt;=30),"Extremely serious",AND(W90&lt;=$D$1*-1,Y90&lt;0,V90/U90&lt;3),"Not Serious",AND(W90&lt;=$D$1*-1,Y90&lt;0,V90/U90&gt;=3),"Very serious",AND(W90&gt;=$D$1,X90&gt;0,V90/U90&lt;3),"Not Serious",AND(W90&gt;=$D$1,X90&gt;0,V90/U90&gt;=3),"Very serious",AND(W90&lt;=$D$1*-1,Y90&gt;0,X90&gt;$D$2*-1,V90/U90&lt;3),"Serious", AND(W90&lt;=$D$1*-1,Y90&gt;0,X90&lt;$D$2*-1,V90/U90&lt;3),"Very serious", AND(W90&gt;=$D$1,X90&lt;0,Y90&lt;$D$2,V90/U90&lt;3),"Serious",AND(W90&gt;=$D$1,X90&lt;0,Y90&gt;$D$2,V90/U90&lt;3),"Very serious", AND(W90&lt;=$D$1*-1,Y90&gt;0,X90&gt;$D$2*-1,V90/U90&gt;=3),"Very serious", AND(W90&lt;=$D$1*-1,Y90&gt;0,X90&lt;$D$2*-1,V90/U90&gt;=3),"Very serious", AND(W90&gt;=$D$1,X90&lt;0,Y90&lt;$D$2,V90/U90&gt;=3),"Very serious", AND(W90&gt;=$D$1,X90&lt;0,Y90&gt;$D$2,V90/U90&gt;=3),"Very serious", AND(W90&gt;$D$1*-1,W90&lt;$D$1,X90&gt;$D$1*-1,Y90&lt;$D$1,V90/U90&lt;3),"Not Serious", AND(W90&gt;$D$1*-1,W90&lt;$D$1,OR(X90&lt;=$D$1*-1,Y90&gt;=$D$1),X90&gt;$D$2*-1,Y90&lt;$D$2,V90/U90&lt;3),"Serious", AND(W90&gt;$D$1*-1,W90&lt;$D$1,OR(X90&lt;=$D$2*-1,Y90&gt;=$D$2),V90/U90&lt;3),"Very serious", AND(W90&gt;$D$1*-1,W90&lt;$D$1,X90&gt;$D$1*-1,Y90&lt;$D$1,V90/U90&gt;=3),"Very serious", AND(W90&gt;$D$1*-1,W90&lt;$D$1,OR(X90&lt;=$D$1*-1,Y90&gt;=$D$1),X90&gt;$D$2*-1,Y90&lt;$D$2,V90/U90&gt;=3),"Very serious", AND(W90&gt;$D$1*-1,W90&lt;$D$1,OR(X90&lt;=$D$2*-1,Y90&gt;=$D$2),V90/U90&gt;=3),"Very serious"),"")),"")</f>
        <v/>
      </c>
      <c r="AT90" s="109" t="str">
        <f t="shared" si="9"/>
        <v/>
      </c>
      <c r="AU90" s="64"/>
      <c r="AV90" s="117"/>
      <c r="AW90" s="117"/>
      <c r="AX90" s="117"/>
      <c r="AY90" s="118"/>
      <c r="AZ90" s="118"/>
      <c r="BA90" s="119"/>
      <c r="BB90" s="86" t="str">
        <f>IF(Preferences!B$9="Manual","",IFS(ISBLANK(B90),"",AND(ISNUMBER(E90)=TRUE,ISNUMBER(T90)=FALSE),"Direct", AND(ISNUMBER(E90)=FALSE,ISNUMBER(T90)=TRUE),"Indirect", CN90=4,"Direct",AND(CL90=FALSE, CM90=TRUE,CN90-CO90&gt;-1),"Direct", AND(CL90=FALSE,CM90=TRUE, CN90-CO90&lt;0),"Check algorithm in appendix 2", AND(CL90=TRUE, CM90=FALSE,CN90-CO90&gt;0),"Check algorithm in appendix 2", AND(CL90=TRUE, CM90=FALSE,CN90-CO90=0),"Indirect", AND(CL90=TRUE, CM90=FALSE,CN90-CO90&lt;0),"Indirect", AND(CL90=FALSE,CM90=FALSE,CN90-CO90&gt;-1),"Direct", AND(CL90=FALSE,CM90=FALSE,CN90-CO90&lt;0),"Check algorithm in appendix 2", AND(CL90=TRUE,CM90=TRUE,CN90-CO90&gt;-1),"Direct", AND(CL90=TRUE,CM90=TRUE,CN90-CO90&lt;0),"Check algorithm in appendix 2"))</f>
        <v/>
      </c>
      <c r="BC90" s="120" t="str">
        <f t="shared" si="10"/>
        <v/>
      </c>
      <c r="BD90" s="140"/>
      <c r="BE90" s="122" t="str">
        <f>IF(Preferences!B$3="Manual","", IFERROR(IFS(AND(Preferences!B$3="Automatic",AX90/AW90&gt;=30),"Extremely serious",AND(AY90&lt;=$D$1*-1,BA90&lt;0,AX90/AW90&lt;3),"Not Serious",AND(AY90&lt;=$D$1*-1,BA90&lt;0,AX90/AW90&gt;=3),"Very serious",AND(AY90&gt;=$D$1,AZ90&gt;0,AX90/AW90&lt;3),"Not Serious",AND(AY90&gt;=$D$1,AZ90&gt;0,AX90/AW90&gt;=3),"Very serious",AND(AY90&lt;=$D$1*-1,BA90&gt;0,AZ90&gt;$D$2*-1,AX90/AW90&lt;3),"Serious", AND(AY90&lt;=$D$1*-1,BA90&gt;0,AZ90&lt;$D$2*-1,AX90/AW90&lt;3),"Very serious", AND(AY90&gt;=$D$1,AZ90&lt;0,BA90&lt;$D$2,AX90/AW90&lt;3),"Serious",AND(AY90&gt;=$D$1,AZ90&lt;0,BA90&gt;$D$2,AX90/AW90&lt;3),"Very serious", AND(AY90&lt;=$D$1*-1,BA90&gt;0,AZ90&gt;$D$2*-1,AX90/AW90&gt;=3),"Very serious", AND(AY90&lt;=$D$1*-1,BA90&gt;0,AZ90&lt;$D$2*-1,AX90/AW90&gt;=3),"Very serious", AND(AY90&gt;=$D$1,AZ90&lt;0,BA90&lt;$D$2,AX90/AW90&gt;=3),"Very serious", AND(AY90&gt;=$D$1,AZ90&lt;0,BA90&gt;$D$2,AX90/AW90&gt;=3),"Very serious", AND(AY90&gt;$D$1*-1,AY90&lt;$D$1,AZ90&gt;$D$1*-1,BA90&lt;$D$1,AX90/AW90&lt;3),"Not Serious", AND(AY90&gt;$D$1*-1,AY90&lt;$D$1,OR(AZ90&lt;=$D$1*-1,BA90&gt;=$D$1),AZ90&gt;$D$2*-1,BA90&lt;$D$2,AX90/AW90&lt;3),"Serious", AND(AY90&gt;$D$1*-1,AY90&lt;$D$1,OR(AZ90&lt;=$D$2*-1,BA90&gt;=$D$2),AX90/AW90&lt;3),"Very serious", AND(AY90&gt;$D$1*-1,AY90&lt;$D$1,AZ90&gt;$D$1*-1,BA90&lt;$D$1,AX90/AW90&gt;=3),"Very serious", AND(AY90&gt;$D$1*-1,AY90&lt;$D$1,OR(AZ90&lt;=$D$1*-1,BA90&gt;=$D$1),AZ90&gt;$D$2*-1,BA90&lt;$D$2,AX90/AW90&gt;=3),"Very serious", AND(AY90&gt;$D$1*-1,AY90&lt;$D$1,OR(AZ90&lt;=$D$2*-1,BA90&gt;=$D$2),AX90/AW90&gt;=3),"Very serious"),""))</f>
        <v/>
      </c>
      <c r="BF90" s="107" t="str">
        <f t="shared" si="11"/>
        <v/>
      </c>
      <c r="BG90" s="94" t="str">
        <f t="shared" si="46"/>
        <v/>
      </c>
      <c r="BH90" s="64" t="str">
        <f t="shared" si="12"/>
        <v>#N/A</v>
      </c>
      <c r="BI90" s="64" t="str">
        <f t="shared" si="13"/>
        <v/>
      </c>
      <c r="BJ90" s="123" t="str">
        <f t="shared" si="14"/>
        <v>#N/A</v>
      </c>
      <c r="BK90" s="64" t="str">
        <f t="shared" si="50"/>
        <v>YES</v>
      </c>
      <c r="BL90" s="64" t="str">
        <f t="shared" si="16"/>
        <v>YES</v>
      </c>
      <c r="BM90" s="64" t="str">
        <f t="shared" si="17"/>
        <v>YES</v>
      </c>
      <c r="BN90" s="124" t="str">
        <f t="shared" si="18"/>
        <v/>
      </c>
      <c r="BO90" s="91" t="str">
        <f t="shared" si="19"/>
        <v/>
      </c>
      <c r="BP90" s="91" t="str">
        <f t="shared" si="20"/>
        <v>#N/A</v>
      </c>
      <c r="BQ90" s="91" t="str">
        <f t="shared" si="21"/>
        <v/>
      </c>
      <c r="BR90" s="93" t="str">
        <f t="shared" si="22"/>
        <v/>
      </c>
      <c r="BS90" s="90" t="str">
        <f t="shared" si="23"/>
        <v/>
      </c>
      <c r="BT90" s="93" t="str">
        <f t="shared" si="24"/>
        <v>NA</v>
      </c>
      <c r="BU90" s="125" t="str">
        <f t="shared" si="25"/>
        <v>#N/A</v>
      </c>
      <c r="BV90" s="93" t="str">
        <f t="shared" si="26"/>
        <v/>
      </c>
      <c r="BW90" s="93" t="str">
        <f t="shared" si="27"/>
        <v/>
      </c>
      <c r="BX90" s="93" t="str">
        <f t="shared" si="28"/>
        <v>NA</v>
      </c>
      <c r="BY90" s="95" t="str">
        <f t="shared" si="29"/>
        <v>#N/A</v>
      </c>
      <c r="BZ90" s="93" t="str">
        <f t="shared" si="30"/>
        <v/>
      </c>
      <c r="CA90" s="93" t="str">
        <f t="shared" si="31"/>
        <v/>
      </c>
      <c r="CB90" s="93" t="str">
        <f t="shared" si="32"/>
        <v>NA</v>
      </c>
      <c r="CC90" s="96" t="str">
        <f t="shared" si="33"/>
        <v>#N/A</v>
      </c>
      <c r="CD90" s="93" t="str">
        <f t="shared" si="34"/>
        <v/>
      </c>
      <c r="CE90" s="93" t="str">
        <f t="shared" si="35"/>
        <v/>
      </c>
      <c r="CF90" s="93" t="str">
        <f t="shared" si="36"/>
        <v>NA</v>
      </c>
      <c r="CG90" s="97" t="str">
        <f t="shared" si="37"/>
        <v>#N/A</v>
      </c>
      <c r="CH90" s="98" t="str">
        <f t="shared" si="38"/>
        <v>#N/A</v>
      </c>
      <c r="CI90" s="99" t="str">
        <f t="shared" si="39"/>
        <v>#N/A</v>
      </c>
      <c r="CJ90" s="126" t="str">
        <f t="shared" si="40"/>
        <v>ERROR: check cell</v>
      </c>
      <c r="CK90" s="126"/>
      <c r="CL90" s="127" t="str">
        <f t="shared" si="41"/>
        <v>#DIV/0!</v>
      </c>
      <c r="CM90" s="128" t="str">
        <f t="shared" si="42"/>
        <v>#DIV/0!</v>
      </c>
      <c r="CN90" s="128">
        <f t="shared" si="43"/>
        <v>4</v>
      </c>
      <c r="CO90" s="129">
        <f t="shared" si="44"/>
        <v>4</v>
      </c>
      <c r="CP90" s="129" t="str">
        <f>IFS(C90=Preferences!B$13,B90,B90=Preferences!B$13,C90)</f>
        <v>#N/A</v>
      </c>
    </row>
    <row r="91" ht="13.5" customHeight="1">
      <c r="A91" s="63" t="str">
        <f t="shared" si="45"/>
        <v/>
      </c>
      <c r="B91" s="64"/>
      <c r="C91" s="64"/>
      <c r="D91" s="64"/>
      <c r="E91" s="65"/>
      <c r="F91" s="65"/>
      <c r="G91" s="65"/>
      <c r="H91" s="65"/>
      <c r="I91" s="65"/>
      <c r="J91" s="141"/>
      <c r="K91" s="138"/>
      <c r="L91" s="104"/>
      <c r="M91" s="104"/>
      <c r="N91" s="104"/>
      <c r="O91" s="104"/>
      <c r="P91" s="107" t="str">
        <f t="shared" si="1"/>
        <v/>
      </c>
      <c r="Q91" s="108" t="str">
        <f>IFERROR(IF(AND(Preferences!B$3="Manual",OR(AX91/AW91&gt;G91/F91,BD91="Serious",BD91="Very serious")),"Assess imprecision",IFS(ISBLANK(E91),"",AND(Preferences!B$3="Automatic", G91/F91&gt;=30),"Extremely serious",AND(H91&lt;=$D$1*-1,J91&lt;0,G91/F91&lt;3),"Not serious",AND(H91&lt;=$D$1*-1,J91&lt;0,G91/F91&gt;=3),"Very serious",AND(H91&gt;=$D$1,I91&gt;0,G91/F91&lt;3),"Not serious",AND(H91&gt;=$D$1,I91&gt;0,G91/F91&gt;=3),"Very serious",AND(H91&lt;=$D$1*-1,J91&gt;0,I91&gt;$D$2*-1,G91/F91&lt;3),"Serious", AND(H91&lt;=$D$1*-1,J91&gt;0,I91&lt;$D$2*-1,G91/F91&lt;3),"Very serious", AND(H91&gt;=$D$1,I91&lt;0,J91&lt;$D$2,G91/F91&lt;3),"Serious",AND(H91&gt;=$D$1,I91&lt;0,J91&gt;$D$2,G91/F91&lt;3),"Very serious", AND(H91&lt;=$D$1*-1,J91&gt;0,I91&gt;$D$2*-1,G91/F91&gt;=3),"Very serious", AND(H91&lt;=$D$1*-1,J91&gt;0,I91&lt;$D$2*-1,G91/F91&gt;=3),"Very serious", AND(H91&gt;=$D$1,I91&lt;0,J91&lt;$D$2,G91/F91&gt;=3),"Very serious", AND(H91&gt;=$D$1,I91&lt;0,J91&gt;$D$2,G91/F91&gt;=3),"Very serious", AND(H91&gt;$D$1*-1,H91&lt;$D$1,I91&gt;$D$1*-1,J91&lt;$D$1,G91/F91&lt;3),"Not serious", AND(H91&gt;$D$1*-1,H91&lt;$D$1,OR(I91&lt;=$D$1*-1,J91&gt;=$D$1),I91&gt;$D$2*-1,J91&lt;$D$2,G91/F91&lt;3),"Serious", AND(H91&gt;$D$1*-1,H91&lt;$D$1,OR(I91&lt;=$D$2*-1,J91&gt;=$D$2),G91/F91&lt;3),"Very serious", AND(H91&gt;$D$1*-1,H91&lt;$D$1,I91&gt;$D$1*-1,J91&lt;$D$1,G91/F91&gt;=3),"Very serious", AND(H91&gt;$D$1*-1,H91&lt;$D$1,OR(I91&lt;=$D$1*-1,J91&gt;=$D$1),I91&gt;$D$2*-1,J91&lt;$D$2,G91/F91&gt;=3),"Very serious", AND(H91&gt;$D$1*-1,H91&lt;$D$1,OR(I91&lt;=$D$2*-1,J91&gt;=$D$2),G91/F91&gt;=3),"Very serious")),"")</f>
        <v/>
      </c>
      <c r="R91" s="109" t="str">
        <f t="shared" si="47"/>
        <v/>
      </c>
      <c r="S91" s="64"/>
      <c r="T91" s="145"/>
      <c r="U91" s="145"/>
      <c r="V91" s="145"/>
      <c r="W91" s="142"/>
      <c r="X91" s="142"/>
      <c r="Y91" s="143"/>
      <c r="Z91" s="113" t="str">
        <f t="array" ref="Z91">INDEX($A$1:$C$500, MATCH(1,($B:$B=$B91)*($C:$C=$AB91),0),1)</f>
        <v/>
      </c>
      <c r="AA91" s="113" t="str">
        <f t="array" ref="AA91">INDEX($A$1:$C$500, MATCH(1,($B:$B=$AB91)*($C:$C=$B91),0),1)</f>
        <v/>
      </c>
      <c r="AB91" s="111"/>
      <c r="AC91" s="114" t="str">
        <f t="shared" si="2"/>
        <v/>
      </c>
      <c r="AD91" s="115" t="str">
        <f t="shared" si="3"/>
        <v/>
      </c>
      <c r="AE91" s="116" t="str">
        <f t="array" ref="AE91">INDEX($A$1:$C$500, MATCH(1,($B:$B=$AB91)*($C:$C=$AG91),0),1)</f>
        <v/>
      </c>
      <c r="AF91" s="116" t="str">
        <f t="array" ref="AF91">INDEX($A$1:$C$500, MATCH(1,($B:$B=$AG91)*($C:$C=$AB91),0),1)</f>
        <v/>
      </c>
      <c r="AG91" s="72"/>
      <c r="AH91" s="114" t="str">
        <f t="shared" si="4"/>
        <v/>
      </c>
      <c r="AI91" s="115" t="str">
        <f t="shared" si="5"/>
        <v/>
      </c>
      <c r="AJ91" s="116" t="str">
        <f t="array" ref="AJ91">INDEX($A$1:$C$500, MATCH(1,($B:$B=$C91)*($C:$C=$AG91),0),1)</f>
        <v/>
      </c>
      <c r="AK91" s="116" t="str">
        <f t="array" ref="AK91">INDEX($A$1:$C$500, MATCH(1,($B:$B=$AG91)*($C:$C=$C91),0),1)</f>
        <v/>
      </c>
      <c r="AL91" s="116" t="str">
        <f t="array" ref="AL91">INDEX($A$1:$C$500, MATCH(1,($B:$B=$C91)*($C:$C=$AB91),0),1)</f>
        <v/>
      </c>
      <c r="AM91" s="116" t="str">
        <f t="array" ref="AM91">INDEX($A$1:$C$500, MATCH(1,($B:$B=$AB91)*($C:$C=$C91),0),1)</f>
        <v/>
      </c>
      <c r="AN91" s="114" t="str">
        <f t="array" ref="AN91">IFS(ISNUMBER(AJ91),AJ91,ISNUMBER(AK91),AK91,ISNUMBER(AL91),AL91,ISNUMBER(AM91),AM91)</f>
        <v>#N/A</v>
      </c>
      <c r="AO91" s="115" t="str">
        <f t="shared" si="6"/>
        <v/>
      </c>
      <c r="AP91" s="115" t="str">
        <f t="shared" si="7"/>
        <v/>
      </c>
      <c r="AQ91" s="111"/>
      <c r="AR91" s="109" t="str">
        <f t="shared" si="8"/>
        <v/>
      </c>
      <c r="AS91" s="72" t="str">
        <f>IFERROR(IF(AND(Preferences!B$3="Manual",OR(AX91/AW91&gt;V91/U91,BD91="Serious",BD91="Very serious")),"Assess imprecision",IFERROR(IFS(AND(Preferences!B$3="Automatic",V91/U91&gt;=30),"Extremely serious",AND(W91&lt;=$D$1*-1,Y91&lt;0,V91/U91&lt;3),"Not Serious",AND(W91&lt;=$D$1*-1,Y91&lt;0,V91/U91&gt;=3),"Very serious",AND(W91&gt;=$D$1,X91&gt;0,V91/U91&lt;3),"Not Serious",AND(W91&gt;=$D$1,X91&gt;0,V91/U91&gt;=3),"Very serious",AND(W91&lt;=$D$1*-1,Y91&gt;0,X91&gt;$D$2*-1,V91/U91&lt;3),"Serious", AND(W91&lt;=$D$1*-1,Y91&gt;0,X91&lt;$D$2*-1,V91/U91&lt;3),"Very serious", AND(W91&gt;=$D$1,X91&lt;0,Y91&lt;$D$2,V91/U91&lt;3),"Serious",AND(W91&gt;=$D$1,X91&lt;0,Y91&gt;$D$2,V91/U91&lt;3),"Very serious", AND(W91&lt;=$D$1*-1,Y91&gt;0,X91&gt;$D$2*-1,V91/U91&gt;=3),"Very serious", AND(W91&lt;=$D$1*-1,Y91&gt;0,X91&lt;$D$2*-1,V91/U91&gt;=3),"Very serious", AND(W91&gt;=$D$1,X91&lt;0,Y91&lt;$D$2,V91/U91&gt;=3),"Very serious", AND(W91&gt;=$D$1,X91&lt;0,Y91&gt;$D$2,V91/U91&gt;=3),"Very serious", AND(W91&gt;$D$1*-1,W91&lt;$D$1,X91&gt;$D$1*-1,Y91&lt;$D$1,V91/U91&lt;3),"Not Serious", AND(W91&gt;$D$1*-1,W91&lt;$D$1,OR(X91&lt;=$D$1*-1,Y91&gt;=$D$1),X91&gt;$D$2*-1,Y91&lt;$D$2,V91/U91&lt;3),"Serious", AND(W91&gt;$D$1*-1,W91&lt;$D$1,OR(X91&lt;=$D$2*-1,Y91&gt;=$D$2),V91/U91&lt;3),"Very serious", AND(W91&gt;$D$1*-1,W91&lt;$D$1,X91&gt;$D$1*-1,Y91&lt;$D$1,V91/U91&gt;=3),"Very serious", AND(W91&gt;$D$1*-1,W91&lt;$D$1,OR(X91&lt;=$D$1*-1,Y91&gt;=$D$1),X91&gt;$D$2*-1,Y91&lt;$D$2,V91/U91&gt;=3),"Very serious", AND(W91&gt;$D$1*-1,W91&lt;$D$1,OR(X91&lt;=$D$2*-1,Y91&gt;=$D$2),V91/U91&gt;=3),"Very serious"),"")),"")</f>
        <v/>
      </c>
      <c r="AT91" s="109" t="str">
        <f t="shared" si="9"/>
        <v/>
      </c>
      <c r="AU91" s="64"/>
      <c r="AV91" s="117"/>
      <c r="AW91" s="117"/>
      <c r="AX91" s="117"/>
      <c r="AY91" s="118"/>
      <c r="AZ91" s="118"/>
      <c r="BA91" s="119"/>
      <c r="BB91" s="86" t="str">
        <f>IF(Preferences!B$9="Manual","",IFS(ISBLANK(B91),"",AND(ISNUMBER(E91)=TRUE,ISNUMBER(T91)=FALSE),"Direct", AND(ISNUMBER(E91)=FALSE,ISNUMBER(T91)=TRUE),"Indirect", CN91=4,"Direct",AND(CL91=FALSE, CM91=TRUE,CN91-CO91&gt;-1),"Direct", AND(CL91=FALSE,CM91=TRUE, CN91-CO91&lt;0),"Check algorithm in appendix 2", AND(CL91=TRUE, CM91=FALSE,CN91-CO91&gt;0),"Check algorithm in appendix 2", AND(CL91=TRUE, CM91=FALSE,CN91-CO91=0),"Indirect", AND(CL91=TRUE, CM91=FALSE,CN91-CO91&lt;0),"Indirect", AND(CL91=FALSE,CM91=FALSE,CN91-CO91&gt;-1),"Direct", AND(CL91=FALSE,CM91=FALSE,CN91-CO91&lt;0),"Check algorithm in appendix 2", AND(CL91=TRUE,CM91=TRUE,CN91-CO91&gt;-1),"Direct", AND(CL91=TRUE,CM91=TRUE,CN91-CO91&lt;0),"Check algorithm in appendix 2"))</f>
        <v/>
      </c>
      <c r="BC91" s="120" t="str">
        <f t="shared" si="10"/>
        <v/>
      </c>
      <c r="BD91" s="140"/>
      <c r="BE91" s="122" t="str">
        <f>IF(Preferences!B$3="Manual","", IFERROR(IFS(AND(Preferences!B$3="Automatic",AX91/AW91&gt;=30),"Extremely serious",AND(AY91&lt;=$D$1*-1,BA91&lt;0,AX91/AW91&lt;3),"Not Serious",AND(AY91&lt;=$D$1*-1,BA91&lt;0,AX91/AW91&gt;=3),"Very serious",AND(AY91&gt;=$D$1,AZ91&gt;0,AX91/AW91&lt;3),"Not Serious",AND(AY91&gt;=$D$1,AZ91&gt;0,AX91/AW91&gt;=3),"Very serious",AND(AY91&lt;=$D$1*-1,BA91&gt;0,AZ91&gt;$D$2*-1,AX91/AW91&lt;3),"Serious", AND(AY91&lt;=$D$1*-1,BA91&gt;0,AZ91&lt;$D$2*-1,AX91/AW91&lt;3),"Very serious", AND(AY91&gt;=$D$1,AZ91&lt;0,BA91&lt;$D$2,AX91/AW91&lt;3),"Serious",AND(AY91&gt;=$D$1,AZ91&lt;0,BA91&gt;$D$2,AX91/AW91&lt;3),"Very serious", AND(AY91&lt;=$D$1*-1,BA91&gt;0,AZ91&gt;$D$2*-1,AX91/AW91&gt;=3),"Very serious", AND(AY91&lt;=$D$1*-1,BA91&gt;0,AZ91&lt;$D$2*-1,AX91/AW91&gt;=3),"Very serious", AND(AY91&gt;=$D$1,AZ91&lt;0,BA91&lt;$D$2,AX91/AW91&gt;=3),"Very serious", AND(AY91&gt;=$D$1,AZ91&lt;0,BA91&gt;$D$2,AX91/AW91&gt;=3),"Very serious", AND(AY91&gt;$D$1*-1,AY91&lt;$D$1,AZ91&gt;$D$1*-1,BA91&lt;$D$1,AX91/AW91&lt;3),"Not Serious", AND(AY91&gt;$D$1*-1,AY91&lt;$D$1,OR(AZ91&lt;=$D$1*-1,BA91&gt;=$D$1),AZ91&gt;$D$2*-1,BA91&lt;$D$2,AX91/AW91&lt;3),"Serious", AND(AY91&gt;$D$1*-1,AY91&lt;$D$1,OR(AZ91&lt;=$D$2*-1,BA91&gt;=$D$2),AX91/AW91&lt;3),"Very serious", AND(AY91&gt;$D$1*-1,AY91&lt;$D$1,AZ91&gt;$D$1*-1,BA91&lt;$D$1,AX91/AW91&gt;=3),"Very serious", AND(AY91&gt;$D$1*-1,AY91&lt;$D$1,OR(AZ91&lt;=$D$1*-1,BA91&gt;=$D$1),AZ91&gt;$D$2*-1,BA91&lt;$D$2,AX91/AW91&gt;=3),"Very serious", AND(AY91&gt;$D$1*-1,AY91&lt;$D$1,OR(AZ91&lt;=$D$2*-1,BA91&gt;=$D$2),AX91/AW91&gt;=3),"Very serious"),""))</f>
        <v/>
      </c>
      <c r="BF91" s="107" t="str">
        <f t="shared" si="11"/>
        <v/>
      </c>
      <c r="BG91" s="94" t="str">
        <f t="shared" si="46"/>
        <v/>
      </c>
      <c r="BH91" s="64" t="str">
        <f t="shared" si="12"/>
        <v>#N/A</v>
      </c>
      <c r="BI91" s="64" t="str">
        <f t="shared" si="13"/>
        <v/>
      </c>
      <c r="BJ91" s="123" t="str">
        <f t="shared" si="14"/>
        <v>#N/A</v>
      </c>
      <c r="BK91" s="64" t="str">
        <f t="shared" si="50"/>
        <v>YES</v>
      </c>
      <c r="BL91" s="64" t="str">
        <f t="shared" si="16"/>
        <v>YES</v>
      </c>
      <c r="BM91" s="64" t="str">
        <f t="shared" si="17"/>
        <v>YES</v>
      </c>
      <c r="BN91" s="124" t="str">
        <f t="shared" si="18"/>
        <v/>
      </c>
      <c r="BO91" s="91" t="str">
        <f t="shared" si="19"/>
        <v/>
      </c>
      <c r="BP91" s="91" t="str">
        <f t="shared" si="20"/>
        <v>#N/A</v>
      </c>
      <c r="BQ91" s="91" t="str">
        <f t="shared" si="21"/>
        <v/>
      </c>
      <c r="BR91" s="93" t="str">
        <f t="shared" si="22"/>
        <v/>
      </c>
      <c r="BS91" s="90" t="str">
        <f t="shared" si="23"/>
        <v/>
      </c>
      <c r="BT91" s="93" t="str">
        <f t="shared" si="24"/>
        <v>NA</v>
      </c>
      <c r="BU91" s="125" t="str">
        <f t="shared" si="25"/>
        <v>#N/A</v>
      </c>
      <c r="BV91" s="93" t="str">
        <f t="shared" si="26"/>
        <v/>
      </c>
      <c r="BW91" s="93" t="str">
        <f t="shared" si="27"/>
        <v/>
      </c>
      <c r="BX91" s="93" t="str">
        <f t="shared" si="28"/>
        <v>NA</v>
      </c>
      <c r="BY91" s="95" t="str">
        <f t="shared" si="29"/>
        <v>#N/A</v>
      </c>
      <c r="BZ91" s="93" t="str">
        <f t="shared" si="30"/>
        <v/>
      </c>
      <c r="CA91" s="93" t="str">
        <f t="shared" si="31"/>
        <v/>
      </c>
      <c r="CB91" s="93" t="str">
        <f t="shared" si="32"/>
        <v>NA</v>
      </c>
      <c r="CC91" s="96" t="str">
        <f t="shared" si="33"/>
        <v>#N/A</v>
      </c>
      <c r="CD91" s="93" t="str">
        <f t="shared" si="34"/>
        <v/>
      </c>
      <c r="CE91" s="93" t="str">
        <f t="shared" si="35"/>
        <v/>
      </c>
      <c r="CF91" s="93" t="str">
        <f t="shared" si="36"/>
        <v>NA</v>
      </c>
      <c r="CG91" s="97" t="str">
        <f t="shared" si="37"/>
        <v>#N/A</v>
      </c>
      <c r="CH91" s="98" t="str">
        <f t="shared" si="38"/>
        <v>#N/A</v>
      </c>
      <c r="CI91" s="99" t="str">
        <f t="shared" si="39"/>
        <v>#N/A</v>
      </c>
      <c r="CJ91" s="126" t="str">
        <f t="shared" si="40"/>
        <v>ERROR: check cell</v>
      </c>
      <c r="CK91" s="126"/>
      <c r="CL91" s="127" t="str">
        <f t="shared" si="41"/>
        <v>#DIV/0!</v>
      </c>
      <c r="CM91" s="128" t="str">
        <f t="shared" si="42"/>
        <v>#DIV/0!</v>
      </c>
      <c r="CN91" s="128">
        <f t="shared" si="43"/>
        <v>4</v>
      </c>
      <c r="CO91" s="129">
        <f t="shared" si="44"/>
        <v>4</v>
      </c>
      <c r="CP91" s="129" t="str">
        <f>IFS(C91=Preferences!B$13,B91,B91=Preferences!B$13,C91)</f>
        <v>#N/A</v>
      </c>
    </row>
    <row r="92" ht="13.5" customHeight="1">
      <c r="A92" s="63" t="str">
        <f t="shared" si="45"/>
        <v/>
      </c>
      <c r="B92" s="64"/>
      <c r="C92" s="64"/>
      <c r="D92" s="64"/>
      <c r="E92" s="65"/>
      <c r="F92" s="65"/>
      <c r="G92" s="65"/>
      <c r="H92" s="65"/>
      <c r="I92" s="65"/>
      <c r="J92" s="141"/>
      <c r="K92" s="138"/>
      <c r="L92" s="104"/>
      <c r="M92" s="104"/>
      <c r="N92" s="104"/>
      <c r="O92" s="104"/>
      <c r="P92" s="107" t="str">
        <f t="shared" si="1"/>
        <v/>
      </c>
      <c r="Q92" s="108" t="str">
        <f>IFERROR(IF(AND(Preferences!B$3="Manual",OR(AX92/AW92&gt;G92/F92,BD92="Serious",BD92="Very serious")),"Assess imprecision",IFS(ISBLANK(E92),"",AND(Preferences!B$3="Automatic", G92/F92&gt;=30),"Extremely serious",AND(H92&lt;=$D$1*-1,J92&lt;0,G92/F92&lt;3),"Not serious",AND(H92&lt;=$D$1*-1,J92&lt;0,G92/F92&gt;=3),"Very serious",AND(H92&gt;=$D$1,I92&gt;0,G92/F92&lt;3),"Not serious",AND(H92&gt;=$D$1,I92&gt;0,G92/F92&gt;=3),"Very serious",AND(H92&lt;=$D$1*-1,J92&gt;0,I92&gt;$D$2*-1,G92/F92&lt;3),"Serious", AND(H92&lt;=$D$1*-1,J92&gt;0,I92&lt;$D$2*-1,G92/F92&lt;3),"Very serious", AND(H92&gt;=$D$1,I92&lt;0,J92&lt;$D$2,G92/F92&lt;3),"Serious",AND(H92&gt;=$D$1,I92&lt;0,J92&gt;$D$2,G92/F92&lt;3),"Very serious", AND(H92&lt;=$D$1*-1,J92&gt;0,I92&gt;$D$2*-1,G92/F92&gt;=3),"Very serious", AND(H92&lt;=$D$1*-1,J92&gt;0,I92&lt;$D$2*-1,G92/F92&gt;=3),"Very serious", AND(H92&gt;=$D$1,I92&lt;0,J92&lt;$D$2,G92/F92&gt;=3),"Very serious", AND(H92&gt;=$D$1,I92&lt;0,J92&gt;$D$2,G92/F92&gt;=3),"Very serious", AND(H92&gt;$D$1*-1,H92&lt;$D$1,I92&gt;$D$1*-1,J92&lt;$D$1,G92/F92&lt;3),"Not serious", AND(H92&gt;$D$1*-1,H92&lt;$D$1,OR(I92&lt;=$D$1*-1,J92&gt;=$D$1),I92&gt;$D$2*-1,J92&lt;$D$2,G92/F92&lt;3),"Serious", AND(H92&gt;$D$1*-1,H92&lt;$D$1,OR(I92&lt;=$D$2*-1,J92&gt;=$D$2),G92/F92&lt;3),"Very serious", AND(H92&gt;$D$1*-1,H92&lt;$D$1,I92&gt;$D$1*-1,J92&lt;$D$1,G92/F92&gt;=3),"Very serious", AND(H92&gt;$D$1*-1,H92&lt;$D$1,OR(I92&lt;=$D$1*-1,J92&gt;=$D$1),I92&gt;$D$2*-1,J92&lt;$D$2,G92/F92&gt;=3),"Very serious", AND(H92&gt;$D$1*-1,H92&lt;$D$1,OR(I92&lt;=$D$2*-1,J92&gt;=$D$2),G92/F92&gt;=3),"Very serious")),"")</f>
        <v/>
      </c>
      <c r="R92" s="109" t="str">
        <f t="shared" si="47"/>
        <v/>
      </c>
      <c r="S92" s="64"/>
      <c r="T92" s="145"/>
      <c r="U92" s="145"/>
      <c r="V92" s="145"/>
      <c r="W92" s="142"/>
      <c r="X92" s="142"/>
      <c r="Y92" s="143"/>
      <c r="Z92" s="113" t="str">
        <f t="array" ref="Z92">INDEX($A$1:$C$500, MATCH(1,($B:$B=$B92)*($C:$C=$AB92),0),1)</f>
        <v/>
      </c>
      <c r="AA92" s="113" t="str">
        <f t="array" ref="AA92">INDEX($A$1:$C$500, MATCH(1,($B:$B=$AB92)*($C:$C=$B92),0),1)</f>
        <v/>
      </c>
      <c r="AB92" s="111"/>
      <c r="AC92" s="114" t="str">
        <f t="shared" si="2"/>
        <v/>
      </c>
      <c r="AD92" s="115" t="str">
        <f t="shared" si="3"/>
        <v/>
      </c>
      <c r="AE92" s="116" t="str">
        <f t="array" ref="AE92">INDEX($A$1:$C$500, MATCH(1,($B:$B=$AB92)*($C:$C=$AG92),0),1)</f>
        <v/>
      </c>
      <c r="AF92" s="116" t="str">
        <f t="array" ref="AF92">INDEX($A$1:$C$500, MATCH(1,($B:$B=$AG92)*($C:$C=$AB92),0),1)</f>
        <v/>
      </c>
      <c r="AG92" s="72"/>
      <c r="AH92" s="114" t="str">
        <f t="shared" si="4"/>
        <v/>
      </c>
      <c r="AI92" s="115" t="str">
        <f t="shared" si="5"/>
        <v/>
      </c>
      <c r="AJ92" s="116" t="str">
        <f t="array" ref="AJ92">INDEX($A$1:$C$500, MATCH(1,($B:$B=$C92)*($C:$C=$AG92),0),1)</f>
        <v/>
      </c>
      <c r="AK92" s="116" t="str">
        <f t="array" ref="AK92">INDEX($A$1:$C$500, MATCH(1,($B:$B=$AG92)*($C:$C=$C92),0),1)</f>
        <v/>
      </c>
      <c r="AL92" s="116" t="str">
        <f t="array" ref="AL92">INDEX($A$1:$C$500, MATCH(1,($B:$B=$C92)*($C:$C=$AB92),0),1)</f>
        <v/>
      </c>
      <c r="AM92" s="116" t="str">
        <f t="array" ref="AM92">INDEX($A$1:$C$500, MATCH(1,($B:$B=$AB92)*($C:$C=$C92),0),1)</f>
        <v/>
      </c>
      <c r="AN92" s="114" t="str">
        <f t="array" ref="AN92">IFS(ISNUMBER(AJ92),AJ92,ISNUMBER(AK92),AK92,ISNUMBER(AL92),AL92,ISNUMBER(AM92),AM92)</f>
        <v>#N/A</v>
      </c>
      <c r="AO92" s="115" t="str">
        <f t="shared" si="6"/>
        <v/>
      </c>
      <c r="AP92" s="115" t="str">
        <f t="shared" si="7"/>
        <v/>
      </c>
      <c r="AQ92" s="111"/>
      <c r="AR92" s="109" t="str">
        <f t="shared" si="8"/>
        <v/>
      </c>
      <c r="AS92" s="72" t="str">
        <f>IFERROR(IF(AND(Preferences!B$3="Manual",OR(AX92/AW92&gt;V92/U92,BD92="Serious",BD92="Very serious")),"Assess imprecision",IFERROR(IFS(AND(Preferences!B$3="Automatic",V92/U92&gt;=30),"Extremely serious",AND(W92&lt;=$D$1*-1,Y92&lt;0,V92/U92&lt;3),"Not Serious",AND(W92&lt;=$D$1*-1,Y92&lt;0,V92/U92&gt;=3),"Very serious",AND(W92&gt;=$D$1,X92&gt;0,V92/U92&lt;3),"Not Serious",AND(W92&gt;=$D$1,X92&gt;0,V92/U92&gt;=3),"Very serious",AND(W92&lt;=$D$1*-1,Y92&gt;0,X92&gt;$D$2*-1,V92/U92&lt;3),"Serious", AND(W92&lt;=$D$1*-1,Y92&gt;0,X92&lt;$D$2*-1,V92/U92&lt;3),"Very serious", AND(W92&gt;=$D$1,X92&lt;0,Y92&lt;$D$2,V92/U92&lt;3),"Serious",AND(W92&gt;=$D$1,X92&lt;0,Y92&gt;$D$2,V92/U92&lt;3),"Very serious", AND(W92&lt;=$D$1*-1,Y92&gt;0,X92&gt;$D$2*-1,V92/U92&gt;=3),"Very serious", AND(W92&lt;=$D$1*-1,Y92&gt;0,X92&lt;$D$2*-1,V92/U92&gt;=3),"Very serious", AND(W92&gt;=$D$1,X92&lt;0,Y92&lt;$D$2,V92/U92&gt;=3),"Very serious", AND(W92&gt;=$D$1,X92&lt;0,Y92&gt;$D$2,V92/U92&gt;=3),"Very serious", AND(W92&gt;$D$1*-1,W92&lt;$D$1,X92&gt;$D$1*-1,Y92&lt;$D$1,V92/U92&lt;3),"Not Serious", AND(W92&gt;$D$1*-1,W92&lt;$D$1,OR(X92&lt;=$D$1*-1,Y92&gt;=$D$1),X92&gt;$D$2*-1,Y92&lt;$D$2,V92/U92&lt;3),"Serious", AND(W92&gt;$D$1*-1,W92&lt;$D$1,OR(X92&lt;=$D$2*-1,Y92&gt;=$D$2),V92/U92&lt;3),"Very serious", AND(W92&gt;$D$1*-1,W92&lt;$D$1,X92&gt;$D$1*-1,Y92&lt;$D$1,V92/U92&gt;=3),"Very serious", AND(W92&gt;$D$1*-1,W92&lt;$D$1,OR(X92&lt;=$D$1*-1,Y92&gt;=$D$1),X92&gt;$D$2*-1,Y92&lt;$D$2,V92/U92&gt;=3),"Very serious", AND(W92&gt;$D$1*-1,W92&lt;$D$1,OR(X92&lt;=$D$2*-1,Y92&gt;=$D$2),V92/U92&gt;=3),"Very serious"),"")),"")</f>
        <v/>
      </c>
      <c r="AT92" s="109" t="str">
        <f t="shared" si="9"/>
        <v/>
      </c>
      <c r="AU92" s="64"/>
      <c r="AV92" s="117"/>
      <c r="AW92" s="117"/>
      <c r="AX92" s="117"/>
      <c r="AY92" s="118"/>
      <c r="AZ92" s="118"/>
      <c r="BA92" s="119"/>
      <c r="BB92" s="86" t="str">
        <f>IF(Preferences!B$9="Manual","",IFS(ISBLANK(B92),"",AND(ISNUMBER(E92)=TRUE,ISNUMBER(T92)=FALSE),"Direct", AND(ISNUMBER(E92)=FALSE,ISNUMBER(T92)=TRUE),"Indirect", CN92=4,"Direct",AND(CL92=FALSE, CM92=TRUE,CN92-CO92&gt;-1),"Direct", AND(CL92=FALSE,CM92=TRUE, CN92-CO92&lt;0),"Check algorithm in appendix 2", AND(CL92=TRUE, CM92=FALSE,CN92-CO92&gt;0),"Check algorithm in appendix 2", AND(CL92=TRUE, CM92=FALSE,CN92-CO92=0),"Indirect", AND(CL92=TRUE, CM92=FALSE,CN92-CO92&lt;0),"Indirect", AND(CL92=FALSE,CM92=FALSE,CN92-CO92&gt;-1),"Direct", AND(CL92=FALSE,CM92=FALSE,CN92-CO92&lt;0),"Check algorithm in appendix 2", AND(CL92=TRUE,CM92=TRUE,CN92-CO92&gt;-1),"Direct", AND(CL92=TRUE,CM92=TRUE,CN92-CO92&lt;0),"Check algorithm in appendix 2"))</f>
        <v/>
      </c>
      <c r="BC92" s="120" t="str">
        <f t="shared" si="10"/>
        <v/>
      </c>
      <c r="BD92" s="140"/>
      <c r="BE92" s="122" t="str">
        <f>IF(Preferences!B$3="Manual","", IFERROR(IFS(AND(Preferences!B$3="Automatic",AX92/AW92&gt;=30),"Extremely serious",AND(AY92&lt;=$D$1*-1,BA92&lt;0,AX92/AW92&lt;3),"Not Serious",AND(AY92&lt;=$D$1*-1,BA92&lt;0,AX92/AW92&gt;=3),"Very serious",AND(AY92&gt;=$D$1,AZ92&gt;0,AX92/AW92&lt;3),"Not Serious",AND(AY92&gt;=$D$1,AZ92&gt;0,AX92/AW92&gt;=3),"Very serious",AND(AY92&lt;=$D$1*-1,BA92&gt;0,AZ92&gt;$D$2*-1,AX92/AW92&lt;3),"Serious", AND(AY92&lt;=$D$1*-1,BA92&gt;0,AZ92&lt;$D$2*-1,AX92/AW92&lt;3),"Very serious", AND(AY92&gt;=$D$1,AZ92&lt;0,BA92&lt;$D$2,AX92/AW92&lt;3),"Serious",AND(AY92&gt;=$D$1,AZ92&lt;0,BA92&gt;$D$2,AX92/AW92&lt;3),"Very serious", AND(AY92&lt;=$D$1*-1,BA92&gt;0,AZ92&gt;$D$2*-1,AX92/AW92&gt;=3),"Very serious", AND(AY92&lt;=$D$1*-1,BA92&gt;0,AZ92&lt;$D$2*-1,AX92/AW92&gt;=3),"Very serious", AND(AY92&gt;=$D$1,AZ92&lt;0,BA92&lt;$D$2,AX92/AW92&gt;=3),"Very serious", AND(AY92&gt;=$D$1,AZ92&lt;0,BA92&gt;$D$2,AX92/AW92&gt;=3),"Very serious", AND(AY92&gt;$D$1*-1,AY92&lt;$D$1,AZ92&gt;$D$1*-1,BA92&lt;$D$1,AX92/AW92&lt;3),"Not Serious", AND(AY92&gt;$D$1*-1,AY92&lt;$D$1,OR(AZ92&lt;=$D$1*-1,BA92&gt;=$D$1),AZ92&gt;$D$2*-1,BA92&lt;$D$2,AX92/AW92&lt;3),"Serious", AND(AY92&gt;$D$1*-1,AY92&lt;$D$1,OR(AZ92&lt;=$D$2*-1,BA92&gt;=$D$2),AX92/AW92&lt;3),"Very serious", AND(AY92&gt;$D$1*-1,AY92&lt;$D$1,AZ92&gt;$D$1*-1,BA92&lt;$D$1,AX92/AW92&gt;=3),"Very serious", AND(AY92&gt;$D$1*-1,AY92&lt;$D$1,OR(AZ92&lt;=$D$1*-1,BA92&gt;=$D$1),AZ92&gt;$D$2*-1,BA92&lt;$D$2,AX92/AW92&gt;=3),"Very serious", AND(AY92&gt;$D$1*-1,AY92&lt;$D$1,OR(AZ92&lt;=$D$2*-1,BA92&gt;=$D$2),AX92/AW92&gt;=3),"Very serious"),""))</f>
        <v/>
      </c>
      <c r="BF92" s="107" t="str">
        <f t="shared" si="11"/>
        <v/>
      </c>
      <c r="BG92" s="94" t="str">
        <f t="shared" si="46"/>
        <v/>
      </c>
      <c r="BH92" s="64" t="str">
        <f t="shared" si="12"/>
        <v>#N/A</v>
      </c>
      <c r="BI92" s="64" t="str">
        <f t="shared" si="13"/>
        <v/>
      </c>
      <c r="BJ92" s="123" t="str">
        <f t="shared" si="14"/>
        <v>#N/A</v>
      </c>
      <c r="BK92" s="64" t="str">
        <f t="shared" si="50"/>
        <v>YES</v>
      </c>
      <c r="BL92" s="64" t="str">
        <f t="shared" si="16"/>
        <v>YES</v>
      </c>
      <c r="BM92" s="64" t="str">
        <f t="shared" si="17"/>
        <v>YES</v>
      </c>
      <c r="BN92" s="124" t="str">
        <f t="shared" si="18"/>
        <v/>
      </c>
      <c r="BO92" s="91" t="str">
        <f t="shared" si="19"/>
        <v/>
      </c>
      <c r="BP92" s="91" t="str">
        <f t="shared" si="20"/>
        <v>#N/A</v>
      </c>
      <c r="BQ92" s="91" t="str">
        <f t="shared" si="21"/>
        <v/>
      </c>
      <c r="BR92" s="93" t="str">
        <f t="shared" si="22"/>
        <v/>
      </c>
      <c r="BS92" s="90" t="str">
        <f t="shared" si="23"/>
        <v/>
      </c>
      <c r="BT92" s="93" t="str">
        <f t="shared" si="24"/>
        <v>NA</v>
      </c>
      <c r="BU92" s="125" t="str">
        <f t="shared" si="25"/>
        <v>#N/A</v>
      </c>
      <c r="BV92" s="93" t="str">
        <f t="shared" si="26"/>
        <v/>
      </c>
      <c r="BW92" s="93" t="str">
        <f t="shared" si="27"/>
        <v/>
      </c>
      <c r="BX92" s="93" t="str">
        <f t="shared" si="28"/>
        <v>NA</v>
      </c>
      <c r="BY92" s="95" t="str">
        <f t="shared" si="29"/>
        <v>#N/A</v>
      </c>
      <c r="BZ92" s="93" t="str">
        <f t="shared" si="30"/>
        <v/>
      </c>
      <c r="CA92" s="93" t="str">
        <f t="shared" si="31"/>
        <v/>
      </c>
      <c r="CB92" s="93" t="str">
        <f t="shared" si="32"/>
        <v>NA</v>
      </c>
      <c r="CC92" s="96" t="str">
        <f t="shared" si="33"/>
        <v>#N/A</v>
      </c>
      <c r="CD92" s="93" t="str">
        <f t="shared" si="34"/>
        <v/>
      </c>
      <c r="CE92" s="93" t="str">
        <f t="shared" si="35"/>
        <v/>
      </c>
      <c r="CF92" s="93" t="str">
        <f t="shared" si="36"/>
        <v>NA</v>
      </c>
      <c r="CG92" s="97" t="str">
        <f t="shared" si="37"/>
        <v>#N/A</v>
      </c>
      <c r="CH92" s="98" t="str">
        <f t="shared" si="38"/>
        <v>#N/A</v>
      </c>
      <c r="CI92" s="99" t="str">
        <f t="shared" si="39"/>
        <v>#N/A</v>
      </c>
      <c r="CJ92" s="126" t="str">
        <f t="shared" si="40"/>
        <v>ERROR: check cell</v>
      </c>
      <c r="CK92" s="126"/>
      <c r="CL92" s="127" t="str">
        <f t="shared" si="41"/>
        <v>#DIV/0!</v>
      </c>
      <c r="CM92" s="128" t="str">
        <f t="shared" si="42"/>
        <v>#DIV/0!</v>
      </c>
      <c r="CN92" s="128">
        <f t="shared" si="43"/>
        <v>4</v>
      </c>
      <c r="CO92" s="129">
        <f t="shared" si="44"/>
        <v>4</v>
      </c>
      <c r="CP92" s="129" t="str">
        <f>IFS(C92=Preferences!B$13,B92,B92=Preferences!B$13,C92)</f>
        <v>#N/A</v>
      </c>
    </row>
    <row r="93" ht="13.5" customHeight="1">
      <c r="A93" s="63" t="str">
        <f t="shared" si="45"/>
        <v/>
      </c>
      <c r="B93" s="64"/>
      <c r="C93" s="64"/>
      <c r="D93" s="64"/>
      <c r="E93" s="65"/>
      <c r="F93" s="65"/>
      <c r="G93" s="65"/>
      <c r="H93" s="65"/>
      <c r="I93" s="65"/>
      <c r="J93" s="141"/>
      <c r="K93" s="138"/>
      <c r="L93" s="104"/>
      <c r="M93" s="104"/>
      <c r="N93" s="104"/>
      <c r="O93" s="104"/>
      <c r="P93" s="107" t="str">
        <f t="shared" si="1"/>
        <v/>
      </c>
      <c r="Q93" s="108" t="str">
        <f>IFERROR(IF(AND(Preferences!B$3="Manual",OR(AX93/AW93&gt;G93/F93,BD93="Serious",BD93="Very serious")),"Assess imprecision",IFS(ISBLANK(E93),"",AND(Preferences!B$3="Automatic", G93/F93&gt;=30),"Extremely serious",AND(H93&lt;=$D$1*-1,J93&lt;0,G93/F93&lt;3),"Not serious",AND(H93&lt;=$D$1*-1,J93&lt;0,G93/F93&gt;=3),"Very serious",AND(H93&gt;=$D$1,I93&gt;0,G93/F93&lt;3),"Not serious",AND(H93&gt;=$D$1,I93&gt;0,G93/F93&gt;=3),"Very serious",AND(H93&lt;=$D$1*-1,J93&gt;0,I93&gt;$D$2*-1,G93/F93&lt;3),"Serious", AND(H93&lt;=$D$1*-1,J93&gt;0,I93&lt;$D$2*-1,G93/F93&lt;3),"Very serious", AND(H93&gt;=$D$1,I93&lt;0,J93&lt;$D$2,G93/F93&lt;3),"Serious",AND(H93&gt;=$D$1,I93&lt;0,J93&gt;$D$2,G93/F93&lt;3),"Very serious", AND(H93&lt;=$D$1*-1,J93&gt;0,I93&gt;$D$2*-1,G93/F93&gt;=3),"Very serious", AND(H93&lt;=$D$1*-1,J93&gt;0,I93&lt;$D$2*-1,G93/F93&gt;=3),"Very serious", AND(H93&gt;=$D$1,I93&lt;0,J93&lt;$D$2,G93/F93&gt;=3),"Very serious", AND(H93&gt;=$D$1,I93&lt;0,J93&gt;$D$2,G93/F93&gt;=3),"Very serious", AND(H93&gt;$D$1*-1,H93&lt;$D$1,I93&gt;$D$1*-1,J93&lt;$D$1,G93/F93&lt;3),"Not serious", AND(H93&gt;$D$1*-1,H93&lt;$D$1,OR(I93&lt;=$D$1*-1,J93&gt;=$D$1),I93&gt;$D$2*-1,J93&lt;$D$2,G93/F93&lt;3),"Serious", AND(H93&gt;$D$1*-1,H93&lt;$D$1,OR(I93&lt;=$D$2*-1,J93&gt;=$D$2),G93/F93&lt;3),"Very serious", AND(H93&gt;$D$1*-1,H93&lt;$D$1,I93&gt;$D$1*-1,J93&lt;$D$1,G93/F93&gt;=3),"Very serious", AND(H93&gt;$D$1*-1,H93&lt;$D$1,OR(I93&lt;=$D$1*-1,J93&gt;=$D$1),I93&gt;$D$2*-1,J93&lt;$D$2,G93/F93&gt;=3),"Very serious", AND(H93&gt;$D$1*-1,H93&lt;$D$1,OR(I93&lt;=$D$2*-1,J93&gt;=$D$2),G93/F93&gt;=3),"Very serious")),"")</f>
        <v/>
      </c>
      <c r="R93" s="109" t="str">
        <f t="shared" si="47"/>
        <v/>
      </c>
      <c r="S93" s="64"/>
      <c r="T93" s="145"/>
      <c r="U93" s="145"/>
      <c r="V93" s="145"/>
      <c r="W93" s="142"/>
      <c r="X93" s="142"/>
      <c r="Y93" s="143"/>
      <c r="Z93" s="113" t="str">
        <f t="array" ref="Z93">INDEX($A$1:$C$500, MATCH(1,($B:$B=$B93)*($C:$C=$AB93),0),1)</f>
        <v/>
      </c>
      <c r="AA93" s="113" t="str">
        <f t="array" ref="AA93">INDEX($A$1:$C$500, MATCH(1,($B:$B=$AB93)*($C:$C=$B93),0),1)</f>
        <v/>
      </c>
      <c r="AB93" s="111"/>
      <c r="AC93" s="114" t="str">
        <f t="shared" si="2"/>
        <v/>
      </c>
      <c r="AD93" s="115" t="str">
        <f t="shared" si="3"/>
        <v/>
      </c>
      <c r="AE93" s="116" t="str">
        <f t="array" ref="AE93">INDEX($A$1:$C$500, MATCH(1,($B:$B=$AB93)*($C:$C=$AG93),0),1)</f>
        <v/>
      </c>
      <c r="AF93" s="116" t="str">
        <f t="array" ref="AF93">INDEX($A$1:$C$500, MATCH(1,($B:$B=$AG93)*($C:$C=$AB93),0),1)</f>
        <v/>
      </c>
      <c r="AG93" s="72"/>
      <c r="AH93" s="114" t="str">
        <f t="shared" si="4"/>
        <v/>
      </c>
      <c r="AI93" s="115" t="str">
        <f t="shared" si="5"/>
        <v/>
      </c>
      <c r="AJ93" s="116" t="str">
        <f t="array" ref="AJ93">INDEX($A$1:$C$500, MATCH(1,($B:$B=$C93)*($C:$C=$AG93),0),1)</f>
        <v/>
      </c>
      <c r="AK93" s="116" t="str">
        <f t="array" ref="AK93">INDEX($A$1:$C$500, MATCH(1,($B:$B=$AG93)*($C:$C=$C93),0),1)</f>
        <v/>
      </c>
      <c r="AL93" s="116" t="str">
        <f t="array" ref="AL93">INDEX($A$1:$C$500, MATCH(1,($B:$B=$C93)*($C:$C=$AB93),0),1)</f>
        <v/>
      </c>
      <c r="AM93" s="116" t="str">
        <f t="array" ref="AM93">INDEX($A$1:$C$500, MATCH(1,($B:$B=$AB93)*($C:$C=$C93),0),1)</f>
        <v/>
      </c>
      <c r="AN93" s="114" t="str">
        <f t="array" ref="AN93">IFS(ISNUMBER(AJ93),AJ93,ISNUMBER(AK93),AK93,ISNUMBER(AL93),AL93,ISNUMBER(AM93),AM93)</f>
        <v>#N/A</v>
      </c>
      <c r="AO93" s="115" t="str">
        <f t="shared" si="6"/>
        <v/>
      </c>
      <c r="AP93" s="115" t="str">
        <f t="shared" si="7"/>
        <v/>
      </c>
      <c r="AQ93" s="111"/>
      <c r="AR93" s="109" t="str">
        <f t="shared" si="8"/>
        <v/>
      </c>
      <c r="AS93" s="72" t="str">
        <f>IFERROR(IF(AND(Preferences!B$3="Manual",OR(AX93/AW93&gt;V93/U93,BD93="Serious",BD93="Very serious")),"Assess imprecision",IFERROR(IFS(AND(Preferences!B$3="Automatic",V93/U93&gt;=30),"Extremely serious",AND(W93&lt;=$D$1*-1,Y93&lt;0,V93/U93&lt;3),"Not Serious",AND(W93&lt;=$D$1*-1,Y93&lt;0,V93/U93&gt;=3),"Very serious",AND(W93&gt;=$D$1,X93&gt;0,V93/U93&lt;3),"Not Serious",AND(W93&gt;=$D$1,X93&gt;0,V93/U93&gt;=3),"Very serious",AND(W93&lt;=$D$1*-1,Y93&gt;0,X93&gt;$D$2*-1,V93/U93&lt;3),"Serious", AND(W93&lt;=$D$1*-1,Y93&gt;0,X93&lt;$D$2*-1,V93/U93&lt;3),"Very serious", AND(W93&gt;=$D$1,X93&lt;0,Y93&lt;$D$2,V93/U93&lt;3),"Serious",AND(W93&gt;=$D$1,X93&lt;0,Y93&gt;$D$2,V93/U93&lt;3),"Very serious", AND(W93&lt;=$D$1*-1,Y93&gt;0,X93&gt;$D$2*-1,V93/U93&gt;=3),"Very serious", AND(W93&lt;=$D$1*-1,Y93&gt;0,X93&lt;$D$2*-1,V93/U93&gt;=3),"Very serious", AND(W93&gt;=$D$1,X93&lt;0,Y93&lt;$D$2,V93/U93&gt;=3),"Very serious", AND(W93&gt;=$D$1,X93&lt;0,Y93&gt;$D$2,V93/U93&gt;=3),"Very serious", AND(W93&gt;$D$1*-1,W93&lt;$D$1,X93&gt;$D$1*-1,Y93&lt;$D$1,V93/U93&lt;3),"Not Serious", AND(W93&gt;$D$1*-1,W93&lt;$D$1,OR(X93&lt;=$D$1*-1,Y93&gt;=$D$1),X93&gt;$D$2*-1,Y93&lt;$D$2,V93/U93&lt;3),"Serious", AND(W93&gt;$D$1*-1,W93&lt;$D$1,OR(X93&lt;=$D$2*-1,Y93&gt;=$D$2),V93/U93&lt;3),"Very serious", AND(W93&gt;$D$1*-1,W93&lt;$D$1,X93&gt;$D$1*-1,Y93&lt;$D$1,V93/U93&gt;=3),"Very serious", AND(W93&gt;$D$1*-1,W93&lt;$D$1,OR(X93&lt;=$D$1*-1,Y93&gt;=$D$1),X93&gt;$D$2*-1,Y93&lt;$D$2,V93/U93&gt;=3),"Very serious", AND(W93&gt;$D$1*-1,W93&lt;$D$1,OR(X93&lt;=$D$2*-1,Y93&gt;=$D$2),V93/U93&gt;=3),"Very serious"),"")),"")</f>
        <v/>
      </c>
      <c r="AT93" s="109" t="str">
        <f t="shared" si="9"/>
        <v/>
      </c>
      <c r="AU93" s="64"/>
      <c r="AV93" s="117"/>
      <c r="AW93" s="117"/>
      <c r="AX93" s="117"/>
      <c r="AY93" s="118"/>
      <c r="AZ93" s="118"/>
      <c r="BA93" s="119"/>
      <c r="BB93" s="86" t="str">
        <f>IF(Preferences!B$9="Manual","",IFS(ISBLANK(B93),"",AND(ISNUMBER(E93)=TRUE,ISNUMBER(T93)=FALSE),"Direct", AND(ISNUMBER(E93)=FALSE,ISNUMBER(T93)=TRUE),"Indirect", CN93=4,"Direct",AND(CL93=FALSE, CM93=TRUE,CN93-CO93&gt;-1),"Direct", AND(CL93=FALSE,CM93=TRUE, CN93-CO93&lt;0),"Check algorithm in appendix 2", AND(CL93=TRUE, CM93=FALSE,CN93-CO93&gt;0),"Check algorithm in appendix 2", AND(CL93=TRUE, CM93=FALSE,CN93-CO93=0),"Indirect", AND(CL93=TRUE, CM93=FALSE,CN93-CO93&lt;0),"Indirect", AND(CL93=FALSE,CM93=FALSE,CN93-CO93&gt;-1),"Direct", AND(CL93=FALSE,CM93=FALSE,CN93-CO93&lt;0),"Check algorithm in appendix 2", AND(CL93=TRUE,CM93=TRUE,CN93-CO93&gt;-1),"Direct", AND(CL93=TRUE,CM93=TRUE,CN93-CO93&lt;0),"Check algorithm in appendix 2"))</f>
        <v/>
      </c>
      <c r="BC93" s="120" t="str">
        <f t="shared" si="10"/>
        <v/>
      </c>
      <c r="BD93" s="140"/>
      <c r="BE93" s="122" t="str">
        <f>IF(Preferences!B$3="Manual","", IFERROR(IFS(AND(Preferences!B$3="Automatic",AX93/AW93&gt;=30),"Extremely serious",AND(AY93&lt;=$D$1*-1,BA93&lt;0,AX93/AW93&lt;3),"Not Serious",AND(AY93&lt;=$D$1*-1,BA93&lt;0,AX93/AW93&gt;=3),"Very serious",AND(AY93&gt;=$D$1,AZ93&gt;0,AX93/AW93&lt;3),"Not Serious",AND(AY93&gt;=$D$1,AZ93&gt;0,AX93/AW93&gt;=3),"Very serious",AND(AY93&lt;=$D$1*-1,BA93&gt;0,AZ93&gt;$D$2*-1,AX93/AW93&lt;3),"Serious", AND(AY93&lt;=$D$1*-1,BA93&gt;0,AZ93&lt;$D$2*-1,AX93/AW93&lt;3),"Very serious", AND(AY93&gt;=$D$1,AZ93&lt;0,BA93&lt;$D$2,AX93/AW93&lt;3),"Serious",AND(AY93&gt;=$D$1,AZ93&lt;0,BA93&gt;$D$2,AX93/AW93&lt;3),"Very serious", AND(AY93&lt;=$D$1*-1,BA93&gt;0,AZ93&gt;$D$2*-1,AX93/AW93&gt;=3),"Very serious", AND(AY93&lt;=$D$1*-1,BA93&gt;0,AZ93&lt;$D$2*-1,AX93/AW93&gt;=3),"Very serious", AND(AY93&gt;=$D$1,AZ93&lt;0,BA93&lt;$D$2,AX93/AW93&gt;=3),"Very serious", AND(AY93&gt;=$D$1,AZ93&lt;0,BA93&gt;$D$2,AX93/AW93&gt;=3),"Very serious", AND(AY93&gt;$D$1*-1,AY93&lt;$D$1,AZ93&gt;$D$1*-1,BA93&lt;$D$1,AX93/AW93&lt;3),"Not Serious", AND(AY93&gt;$D$1*-1,AY93&lt;$D$1,OR(AZ93&lt;=$D$1*-1,BA93&gt;=$D$1),AZ93&gt;$D$2*-1,BA93&lt;$D$2,AX93/AW93&lt;3),"Serious", AND(AY93&gt;$D$1*-1,AY93&lt;$D$1,OR(AZ93&lt;=$D$2*-1,BA93&gt;=$D$2),AX93/AW93&lt;3),"Very serious", AND(AY93&gt;$D$1*-1,AY93&lt;$D$1,AZ93&gt;$D$1*-1,BA93&lt;$D$1,AX93/AW93&gt;=3),"Very serious", AND(AY93&gt;$D$1*-1,AY93&lt;$D$1,OR(AZ93&lt;=$D$1*-1,BA93&gt;=$D$1),AZ93&gt;$D$2*-1,BA93&lt;$D$2,AX93/AW93&gt;=3),"Very serious", AND(AY93&gt;$D$1*-1,AY93&lt;$D$1,OR(AZ93&lt;=$D$2*-1,BA93&gt;=$D$2),AX93/AW93&gt;=3),"Very serious"),""))</f>
        <v/>
      </c>
      <c r="BF93" s="107" t="str">
        <f t="shared" si="11"/>
        <v/>
      </c>
      <c r="BG93" s="94" t="str">
        <f t="shared" si="46"/>
        <v/>
      </c>
      <c r="BH93" s="64" t="str">
        <f t="shared" si="12"/>
        <v>#N/A</v>
      </c>
      <c r="BI93" s="64" t="str">
        <f t="shared" si="13"/>
        <v/>
      </c>
      <c r="BJ93" s="123" t="str">
        <f t="shared" si="14"/>
        <v>#N/A</v>
      </c>
      <c r="BK93" s="64" t="str">
        <f t="shared" si="50"/>
        <v>YES</v>
      </c>
      <c r="BL93" s="64" t="str">
        <f t="shared" si="16"/>
        <v>YES</v>
      </c>
      <c r="BM93" s="64" t="str">
        <f t="shared" si="17"/>
        <v>YES</v>
      </c>
      <c r="BN93" s="124" t="str">
        <f t="shared" si="18"/>
        <v/>
      </c>
      <c r="BO93" s="91" t="str">
        <f t="shared" si="19"/>
        <v/>
      </c>
      <c r="BP93" s="91" t="str">
        <f t="shared" si="20"/>
        <v>#N/A</v>
      </c>
      <c r="BQ93" s="91" t="str">
        <f t="shared" si="21"/>
        <v/>
      </c>
      <c r="BR93" s="93" t="str">
        <f t="shared" si="22"/>
        <v/>
      </c>
      <c r="BS93" s="90" t="str">
        <f t="shared" si="23"/>
        <v/>
      </c>
      <c r="BT93" s="93" t="str">
        <f t="shared" si="24"/>
        <v>NA</v>
      </c>
      <c r="BU93" s="125" t="str">
        <f t="shared" si="25"/>
        <v>#N/A</v>
      </c>
      <c r="BV93" s="93" t="str">
        <f t="shared" si="26"/>
        <v/>
      </c>
      <c r="BW93" s="93" t="str">
        <f t="shared" si="27"/>
        <v/>
      </c>
      <c r="BX93" s="93" t="str">
        <f t="shared" si="28"/>
        <v>NA</v>
      </c>
      <c r="BY93" s="95" t="str">
        <f t="shared" si="29"/>
        <v>#N/A</v>
      </c>
      <c r="BZ93" s="93" t="str">
        <f t="shared" si="30"/>
        <v/>
      </c>
      <c r="CA93" s="93" t="str">
        <f t="shared" si="31"/>
        <v/>
      </c>
      <c r="CB93" s="93" t="str">
        <f t="shared" si="32"/>
        <v>NA</v>
      </c>
      <c r="CC93" s="96" t="str">
        <f t="shared" si="33"/>
        <v>#N/A</v>
      </c>
      <c r="CD93" s="93" t="str">
        <f t="shared" si="34"/>
        <v/>
      </c>
      <c r="CE93" s="93" t="str">
        <f t="shared" si="35"/>
        <v/>
      </c>
      <c r="CF93" s="93" t="str">
        <f t="shared" si="36"/>
        <v>NA</v>
      </c>
      <c r="CG93" s="97" t="str">
        <f t="shared" si="37"/>
        <v>#N/A</v>
      </c>
      <c r="CH93" s="98" t="str">
        <f t="shared" si="38"/>
        <v>#N/A</v>
      </c>
      <c r="CI93" s="99" t="str">
        <f t="shared" si="39"/>
        <v>#N/A</v>
      </c>
      <c r="CJ93" s="126" t="str">
        <f t="shared" si="40"/>
        <v>ERROR: check cell</v>
      </c>
      <c r="CK93" s="126"/>
      <c r="CL93" s="127" t="str">
        <f t="shared" si="41"/>
        <v>#DIV/0!</v>
      </c>
      <c r="CM93" s="128" t="str">
        <f t="shared" si="42"/>
        <v>#DIV/0!</v>
      </c>
      <c r="CN93" s="128">
        <f t="shared" si="43"/>
        <v>4</v>
      </c>
      <c r="CO93" s="129">
        <f t="shared" si="44"/>
        <v>4</v>
      </c>
      <c r="CP93" s="129" t="str">
        <f>IFS(C93=Preferences!B$13,B93,B93=Preferences!B$13,C93)</f>
        <v>#N/A</v>
      </c>
    </row>
    <row r="94" ht="13.5" customHeight="1">
      <c r="A94" s="63" t="str">
        <f t="shared" si="45"/>
        <v/>
      </c>
      <c r="B94" s="64"/>
      <c r="C94" s="64"/>
      <c r="D94" s="64"/>
      <c r="E94" s="65"/>
      <c r="F94" s="65"/>
      <c r="G94" s="65"/>
      <c r="H94" s="65"/>
      <c r="I94" s="65"/>
      <c r="J94" s="141"/>
      <c r="K94" s="138"/>
      <c r="L94" s="104"/>
      <c r="M94" s="104"/>
      <c r="N94" s="104"/>
      <c r="O94" s="104"/>
      <c r="P94" s="107" t="str">
        <f t="shared" si="1"/>
        <v/>
      </c>
      <c r="Q94" s="108" t="str">
        <f>IFERROR(IF(AND(Preferences!B$3="Manual",OR(AX94/AW94&gt;G94/F94,BD94="Serious",BD94="Very serious")),"Assess imprecision",IFS(ISBLANK(E94),"",AND(Preferences!B$3="Automatic", G94/F94&gt;=30),"Extremely serious",AND(H94&lt;=$D$1*-1,J94&lt;0,G94/F94&lt;3),"Not serious",AND(H94&lt;=$D$1*-1,J94&lt;0,G94/F94&gt;=3),"Very serious",AND(H94&gt;=$D$1,I94&gt;0,G94/F94&lt;3),"Not serious",AND(H94&gt;=$D$1,I94&gt;0,G94/F94&gt;=3),"Very serious",AND(H94&lt;=$D$1*-1,J94&gt;0,I94&gt;$D$2*-1,G94/F94&lt;3),"Serious", AND(H94&lt;=$D$1*-1,J94&gt;0,I94&lt;$D$2*-1,G94/F94&lt;3),"Very serious", AND(H94&gt;=$D$1,I94&lt;0,J94&lt;$D$2,G94/F94&lt;3),"Serious",AND(H94&gt;=$D$1,I94&lt;0,J94&gt;$D$2,G94/F94&lt;3),"Very serious", AND(H94&lt;=$D$1*-1,J94&gt;0,I94&gt;$D$2*-1,G94/F94&gt;=3),"Very serious", AND(H94&lt;=$D$1*-1,J94&gt;0,I94&lt;$D$2*-1,G94/F94&gt;=3),"Very serious", AND(H94&gt;=$D$1,I94&lt;0,J94&lt;$D$2,G94/F94&gt;=3),"Very serious", AND(H94&gt;=$D$1,I94&lt;0,J94&gt;$D$2,G94/F94&gt;=3),"Very serious", AND(H94&gt;$D$1*-1,H94&lt;$D$1,I94&gt;$D$1*-1,J94&lt;$D$1,G94/F94&lt;3),"Not serious", AND(H94&gt;$D$1*-1,H94&lt;$D$1,OR(I94&lt;=$D$1*-1,J94&gt;=$D$1),I94&gt;$D$2*-1,J94&lt;$D$2,G94/F94&lt;3),"Serious", AND(H94&gt;$D$1*-1,H94&lt;$D$1,OR(I94&lt;=$D$2*-1,J94&gt;=$D$2),G94/F94&lt;3),"Very serious", AND(H94&gt;$D$1*-1,H94&lt;$D$1,I94&gt;$D$1*-1,J94&lt;$D$1,G94/F94&gt;=3),"Very serious", AND(H94&gt;$D$1*-1,H94&lt;$D$1,OR(I94&lt;=$D$1*-1,J94&gt;=$D$1),I94&gt;$D$2*-1,J94&lt;$D$2,G94/F94&gt;=3),"Very serious", AND(H94&gt;$D$1*-1,H94&lt;$D$1,OR(I94&lt;=$D$2*-1,J94&gt;=$D$2),G94/F94&gt;=3),"Very serious")),"")</f>
        <v/>
      </c>
      <c r="R94" s="109" t="str">
        <f t="shared" si="47"/>
        <v/>
      </c>
      <c r="S94" s="64"/>
      <c r="T94" s="145"/>
      <c r="U94" s="145"/>
      <c r="V94" s="145"/>
      <c r="W94" s="142"/>
      <c r="X94" s="142"/>
      <c r="Y94" s="143"/>
      <c r="Z94" s="113" t="str">
        <f t="array" ref="Z94">INDEX($A$1:$C$500, MATCH(1,($B:$B=$B94)*($C:$C=$AB94),0),1)</f>
        <v/>
      </c>
      <c r="AA94" s="113" t="str">
        <f t="array" ref="AA94">INDEX($A$1:$C$500, MATCH(1,($B:$B=$AB94)*($C:$C=$B94),0),1)</f>
        <v/>
      </c>
      <c r="AB94" s="111"/>
      <c r="AC94" s="114" t="str">
        <f t="shared" si="2"/>
        <v/>
      </c>
      <c r="AD94" s="115" t="str">
        <f t="shared" si="3"/>
        <v/>
      </c>
      <c r="AE94" s="116" t="str">
        <f t="array" ref="AE94">INDEX($A$1:$C$500, MATCH(1,($B:$B=$AB94)*($C:$C=$AG94),0),1)</f>
        <v/>
      </c>
      <c r="AF94" s="116" t="str">
        <f t="array" ref="AF94">INDEX($A$1:$C$500, MATCH(1,($B:$B=$AG94)*($C:$C=$AB94),0),1)</f>
        <v/>
      </c>
      <c r="AG94" s="72"/>
      <c r="AH94" s="114" t="str">
        <f t="shared" si="4"/>
        <v/>
      </c>
      <c r="AI94" s="115" t="str">
        <f t="shared" si="5"/>
        <v/>
      </c>
      <c r="AJ94" s="116" t="str">
        <f t="array" ref="AJ94">INDEX($A$1:$C$500, MATCH(1,($B:$B=$C94)*($C:$C=$AG94),0),1)</f>
        <v/>
      </c>
      <c r="AK94" s="116" t="str">
        <f t="array" ref="AK94">INDEX($A$1:$C$500, MATCH(1,($B:$B=$AG94)*($C:$C=$C94),0),1)</f>
        <v/>
      </c>
      <c r="AL94" s="116" t="str">
        <f t="array" ref="AL94">INDEX($A$1:$C$500, MATCH(1,($B:$B=$C94)*($C:$C=$AB94),0),1)</f>
        <v/>
      </c>
      <c r="AM94" s="116" t="str">
        <f t="array" ref="AM94">INDEX($A$1:$C$500, MATCH(1,($B:$B=$AB94)*($C:$C=$C94),0),1)</f>
        <v/>
      </c>
      <c r="AN94" s="114" t="str">
        <f t="array" ref="AN94">IFS(ISNUMBER(AJ94),AJ94,ISNUMBER(AK94),AK94,ISNUMBER(AL94),AL94,ISNUMBER(AM94),AM94)</f>
        <v>#N/A</v>
      </c>
      <c r="AO94" s="115" t="str">
        <f t="shared" si="6"/>
        <v/>
      </c>
      <c r="AP94" s="115" t="str">
        <f t="shared" si="7"/>
        <v/>
      </c>
      <c r="AQ94" s="111"/>
      <c r="AR94" s="109" t="str">
        <f t="shared" si="8"/>
        <v/>
      </c>
      <c r="AS94" s="72" t="str">
        <f>IFERROR(IF(AND(Preferences!B$3="Manual",OR(AX94/AW94&gt;V94/U94,BD94="Serious",BD94="Very serious")),"Assess imprecision",IFERROR(IFS(AND(Preferences!B$3="Automatic",V94/U94&gt;=30),"Extremely serious",AND(W94&lt;=$D$1*-1,Y94&lt;0,V94/U94&lt;3),"Not Serious",AND(W94&lt;=$D$1*-1,Y94&lt;0,V94/U94&gt;=3),"Very serious",AND(W94&gt;=$D$1,X94&gt;0,V94/U94&lt;3),"Not Serious",AND(W94&gt;=$D$1,X94&gt;0,V94/U94&gt;=3),"Very serious",AND(W94&lt;=$D$1*-1,Y94&gt;0,X94&gt;$D$2*-1,V94/U94&lt;3),"Serious", AND(W94&lt;=$D$1*-1,Y94&gt;0,X94&lt;$D$2*-1,V94/U94&lt;3),"Very serious", AND(W94&gt;=$D$1,X94&lt;0,Y94&lt;$D$2,V94/U94&lt;3),"Serious",AND(W94&gt;=$D$1,X94&lt;0,Y94&gt;$D$2,V94/U94&lt;3),"Very serious", AND(W94&lt;=$D$1*-1,Y94&gt;0,X94&gt;$D$2*-1,V94/U94&gt;=3),"Very serious", AND(W94&lt;=$D$1*-1,Y94&gt;0,X94&lt;$D$2*-1,V94/U94&gt;=3),"Very serious", AND(W94&gt;=$D$1,X94&lt;0,Y94&lt;$D$2,V94/U94&gt;=3),"Very serious", AND(W94&gt;=$D$1,X94&lt;0,Y94&gt;$D$2,V94/U94&gt;=3),"Very serious", AND(W94&gt;$D$1*-1,W94&lt;$D$1,X94&gt;$D$1*-1,Y94&lt;$D$1,V94/U94&lt;3),"Not Serious", AND(W94&gt;$D$1*-1,W94&lt;$D$1,OR(X94&lt;=$D$1*-1,Y94&gt;=$D$1),X94&gt;$D$2*-1,Y94&lt;$D$2,V94/U94&lt;3),"Serious", AND(W94&gt;$D$1*-1,W94&lt;$D$1,OR(X94&lt;=$D$2*-1,Y94&gt;=$D$2),V94/U94&lt;3),"Very serious", AND(W94&gt;$D$1*-1,W94&lt;$D$1,X94&gt;$D$1*-1,Y94&lt;$D$1,V94/U94&gt;=3),"Very serious", AND(W94&gt;$D$1*-1,W94&lt;$D$1,OR(X94&lt;=$D$1*-1,Y94&gt;=$D$1),X94&gt;$D$2*-1,Y94&lt;$D$2,V94/U94&gt;=3),"Very serious", AND(W94&gt;$D$1*-1,W94&lt;$D$1,OR(X94&lt;=$D$2*-1,Y94&gt;=$D$2),V94/U94&gt;=3),"Very serious"),"")),"")</f>
        <v/>
      </c>
      <c r="AT94" s="109" t="str">
        <f t="shared" si="9"/>
        <v/>
      </c>
      <c r="AU94" s="64"/>
      <c r="AV94" s="117"/>
      <c r="AW94" s="117"/>
      <c r="AX94" s="117"/>
      <c r="AY94" s="118"/>
      <c r="AZ94" s="118"/>
      <c r="BA94" s="119"/>
      <c r="BB94" s="86" t="str">
        <f>IF(Preferences!B$9="Manual","",IFS(ISBLANK(B94),"",AND(ISNUMBER(E94)=TRUE,ISNUMBER(T94)=FALSE),"Direct", AND(ISNUMBER(E94)=FALSE,ISNUMBER(T94)=TRUE),"Indirect", CN94=4,"Direct",AND(CL94=FALSE, CM94=TRUE,CN94-CO94&gt;-1),"Direct", AND(CL94=FALSE,CM94=TRUE, CN94-CO94&lt;0),"Check algorithm in appendix 2", AND(CL94=TRUE, CM94=FALSE,CN94-CO94&gt;0),"Check algorithm in appendix 2", AND(CL94=TRUE, CM94=FALSE,CN94-CO94=0),"Indirect", AND(CL94=TRUE, CM94=FALSE,CN94-CO94&lt;0),"Indirect", AND(CL94=FALSE,CM94=FALSE,CN94-CO94&gt;-1),"Direct", AND(CL94=FALSE,CM94=FALSE,CN94-CO94&lt;0),"Check algorithm in appendix 2", AND(CL94=TRUE,CM94=TRUE,CN94-CO94&gt;-1),"Direct", AND(CL94=TRUE,CM94=TRUE,CN94-CO94&lt;0),"Check algorithm in appendix 2"))</f>
        <v/>
      </c>
      <c r="BC94" s="120" t="str">
        <f t="shared" si="10"/>
        <v/>
      </c>
      <c r="BD94" s="140"/>
      <c r="BE94" s="122" t="str">
        <f>IF(Preferences!B$3="Manual","", IFERROR(IFS(AND(Preferences!B$3="Automatic",AX94/AW94&gt;=30),"Extremely serious",AND(AY94&lt;=$D$1*-1,BA94&lt;0,AX94/AW94&lt;3),"Not Serious",AND(AY94&lt;=$D$1*-1,BA94&lt;0,AX94/AW94&gt;=3),"Very serious",AND(AY94&gt;=$D$1,AZ94&gt;0,AX94/AW94&lt;3),"Not Serious",AND(AY94&gt;=$D$1,AZ94&gt;0,AX94/AW94&gt;=3),"Very serious",AND(AY94&lt;=$D$1*-1,BA94&gt;0,AZ94&gt;$D$2*-1,AX94/AW94&lt;3),"Serious", AND(AY94&lt;=$D$1*-1,BA94&gt;0,AZ94&lt;$D$2*-1,AX94/AW94&lt;3),"Very serious", AND(AY94&gt;=$D$1,AZ94&lt;0,BA94&lt;$D$2,AX94/AW94&lt;3),"Serious",AND(AY94&gt;=$D$1,AZ94&lt;0,BA94&gt;$D$2,AX94/AW94&lt;3),"Very serious", AND(AY94&lt;=$D$1*-1,BA94&gt;0,AZ94&gt;$D$2*-1,AX94/AW94&gt;=3),"Very serious", AND(AY94&lt;=$D$1*-1,BA94&gt;0,AZ94&lt;$D$2*-1,AX94/AW94&gt;=3),"Very serious", AND(AY94&gt;=$D$1,AZ94&lt;0,BA94&lt;$D$2,AX94/AW94&gt;=3),"Very serious", AND(AY94&gt;=$D$1,AZ94&lt;0,BA94&gt;$D$2,AX94/AW94&gt;=3),"Very serious", AND(AY94&gt;$D$1*-1,AY94&lt;$D$1,AZ94&gt;$D$1*-1,BA94&lt;$D$1,AX94/AW94&lt;3),"Not Serious", AND(AY94&gt;$D$1*-1,AY94&lt;$D$1,OR(AZ94&lt;=$D$1*-1,BA94&gt;=$D$1),AZ94&gt;$D$2*-1,BA94&lt;$D$2,AX94/AW94&lt;3),"Serious", AND(AY94&gt;$D$1*-1,AY94&lt;$D$1,OR(AZ94&lt;=$D$2*-1,BA94&gt;=$D$2),AX94/AW94&lt;3),"Very serious", AND(AY94&gt;$D$1*-1,AY94&lt;$D$1,AZ94&gt;$D$1*-1,BA94&lt;$D$1,AX94/AW94&gt;=3),"Very serious", AND(AY94&gt;$D$1*-1,AY94&lt;$D$1,OR(AZ94&lt;=$D$1*-1,BA94&gt;=$D$1),AZ94&gt;$D$2*-1,BA94&lt;$D$2,AX94/AW94&gt;=3),"Very serious", AND(AY94&gt;$D$1*-1,AY94&lt;$D$1,OR(AZ94&lt;=$D$2*-1,BA94&gt;=$D$2),AX94/AW94&gt;=3),"Very serious"),""))</f>
        <v/>
      </c>
      <c r="BF94" s="107" t="str">
        <f t="shared" si="11"/>
        <v/>
      </c>
      <c r="BG94" s="94" t="str">
        <f t="shared" si="46"/>
        <v/>
      </c>
      <c r="BH94" s="64" t="str">
        <f t="shared" si="12"/>
        <v>#N/A</v>
      </c>
      <c r="BI94" s="64" t="str">
        <f t="shared" si="13"/>
        <v/>
      </c>
      <c r="BJ94" s="123" t="str">
        <f t="shared" si="14"/>
        <v>#N/A</v>
      </c>
      <c r="BK94" s="64" t="str">
        <f t="shared" si="50"/>
        <v>YES</v>
      </c>
      <c r="BL94" s="64" t="str">
        <f t="shared" si="16"/>
        <v>YES</v>
      </c>
      <c r="BM94" s="64" t="str">
        <f t="shared" si="17"/>
        <v>YES</v>
      </c>
      <c r="BN94" s="124" t="str">
        <f t="shared" si="18"/>
        <v/>
      </c>
      <c r="BO94" s="91" t="str">
        <f t="shared" si="19"/>
        <v/>
      </c>
      <c r="BP94" s="91" t="str">
        <f t="shared" si="20"/>
        <v>#N/A</v>
      </c>
      <c r="BQ94" s="91" t="str">
        <f t="shared" si="21"/>
        <v/>
      </c>
      <c r="BR94" s="93" t="str">
        <f t="shared" si="22"/>
        <v/>
      </c>
      <c r="BS94" s="90" t="str">
        <f t="shared" si="23"/>
        <v/>
      </c>
      <c r="BT94" s="93" t="str">
        <f t="shared" si="24"/>
        <v>NA</v>
      </c>
      <c r="BU94" s="125" t="str">
        <f t="shared" si="25"/>
        <v>#N/A</v>
      </c>
      <c r="BV94" s="93" t="str">
        <f t="shared" si="26"/>
        <v/>
      </c>
      <c r="BW94" s="93" t="str">
        <f t="shared" si="27"/>
        <v/>
      </c>
      <c r="BX94" s="93" t="str">
        <f t="shared" si="28"/>
        <v>NA</v>
      </c>
      <c r="BY94" s="95" t="str">
        <f t="shared" si="29"/>
        <v>#N/A</v>
      </c>
      <c r="BZ94" s="93" t="str">
        <f t="shared" si="30"/>
        <v/>
      </c>
      <c r="CA94" s="93" t="str">
        <f t="shared" si="31"/>
        <v/>
      </c>
      <c r="CB94" s="93" t="str">
        <f t="shared" si="32"/>
        <v>NA</v>
      </c>
      <c r="CC94" s="96" t="str">
        <f t="shared" si="33"/>
        <v>#N/A</v>
      </c>
      <c r="CD94" s="93" t="str">
        <f t="shared" si="34"/>
        <v/>
      </c>
      <c r="CE94" s="93" t="str">
        <f t="shared" si="35"/>
        <v/>
      </c>
      <c r="CF94" s="93" t="str">
        <f t="shared" si="36"/>
        <v>NA</v>
      </c>
      <c r="CG94" s="97" t="str">
        <f t="shared" si="37"/>
        <v>#N/A</v>
      </c>
      <c r="CH94" s="98" t="str">
        <f t="shared" si="38"/>
        <v>#N/A</v>
      </c>
      <c r="CI94" s="99" t="str">
        <f t="shared" si="39"/>
        <v>#N/A</v>
      </c>
      <c r="CJ94" s="126" t="str">
        <f t="shared" si="40"/>
        <v>ERROR: check cell</v>
      </c>
      <c r="CK94" s="126"/>
      <c r="CL94" s="127" t="str">
        <f t="shared" si="41"/>
        <v>#DIV/0!</v>
      </c>
      <c r="CM94" s="128" t="str">
        <f t="shared" si="42"/>
        <v>#DIV/0!</v>
      </c>
      <c r="CN94" s="128">
        <f t="shared" si="43"/>
        <v>4</v>
      </c>
      <c r="CO94" s="129">
        <f t="shared" si="44"/>
        <v>4</v>
      </c>
      <c r="CP94" s="129" t="str">
        <f>IFS(C94=Preferences!B$13,B94,B94=Preferences!B$13,C94)</f>
        <v>#N/A</v>
      </c>
    </row>
    <row r="95" ht="13.5" customHeight="1">
      <c r="A95" s="63" t="str">
        <f t="shared" si="45"/>
        <v/>
      </c>
      <c r="B95" s="64"/>
      <c r="C95" s="64"/>
      <c r="D95" s="64"/>
      <c r="E95" s="65"/>
      <c r="F95" s="65"/>
      <c r="G95" s="65"/>
      <c r="H95" s="65"/>
      <c r="I95" s="65"/>
      <c r="J95" s="141"/>
      <c r="K95" s="138"/>
      <c r="L95" s="104"/>
      <c r="M95" s="104"/>
      <c r="N95" s="104"/>
      <c r="O95" s="104"/>
      <c r="P95" s="107" t="str">
        <f t="shared" si="1"/>
        <v/>
      </c>
      <c r="Q95" s="108" t="str">
        <f>IFERROR(IF(AND(Preferences!B$3="Manual",OR(AX95/AW95&gt;G95/F95,BD95="Serious",BD95="Very serious")),"Assess imprecision",IFS(ISBLANK(E95),"",AND(Preferences!B$3="Automatic", G95/F95&gt;=30),"Extremely serious",AND(H95&lt;=$D$1*-1,J95&lt;0,G95/F95&lt;3),"Not serious",AND(H95&lt;=$D$1*-1,J95&lt;0,G95/F95&gt;=3),"Very serious",AND(H95&gt;=$D$1,I95&gt;0,G95/F95&lt;3),"Not serious",AND(H95&gt;=$D$1,I95&gt;0,G95/F95&gt;=3),"Very serious",AND(H95&lt;=$D$1*-1,J95&gt;0,I95&gt;$D$2*-1,G95/F95&lt;3),"Serious", AND(H95&lt;=$D$1*-1,J95&gt;0,I95&lt;$D$2*-1,G95/F95&lt;3),"Very serious", AND(H95&gt;=$D$1,I95&lt;0,J95&lt;$D$2,G95/F95&lt;3),"Serious",AND(H95&gt;=$D$1,I95&lt;0,J95&gt;$D$2,G95/F95&lt;3),"Very serious", AND(H95&lt;=$D$1*-1,J95&gt;0,I95&gt;$D$2*-1,G95/F95&gt;=3),"Very serious", AND(H95&lt;=$D$1*-1,J95&gt;0,I95&lt;$D$2*-1,G95/F95&gt;=3),"Very serious", AND(H95&gt;=$D$1,I95&lt;0,J95&lt;$D$2,G95/F95&gt;=3),"Very serious", AND(H95&gt;=$D$1,I95&lt;0,J95&gt;$D$2,G95/F95&gt;=3),"Very serious", AND(H95&gt;$D$1*-1,H95&lt;$D$1,I95&gt;$D$1*-1,J95&lt;$D$1,G95/F95&lt;3),"Not serious", AND(H95&gt;$D$1*-1,H95&lt;$D$1,OR(I95&lt;=$D$1*-1,J95&gt;=$D$1),I95&gt;$D$2*-1,J95&lt;$D$2,G95/F95&lt;3),"Serious", AND(H95&gt;$D$1*-1,H95&lt;$D$1,OR(I95&lt;=$D$2*-1,J95&gt;=$D$2),G95/F95&lt;3),"Very serious", AND(H95&gt;$D$1*-1,H95&lt;$D$1,I95&gt;$D$1*-1,J95&lt;$D$1,G95/F95&gt;=3),"Very serious", AND(H95&gt;$D$1*-1,H95&lt;$D$1,OR(I95&lt;=$D$1*-1,J95&gt;=$D$1),I95&gt;$D$2*-1,J95&lt;$D$2,G95/F95&gt;=3),"Very serious", AND(H95&gt;$D$1*-1,H95&lt;$D$1,OR(I95&lt;=$D$2*-1,J95&gt;=$D$2),G95/F95&gt;=3),"Very serious")),"")</f>
        <v/>
      </c>
      <c r="R95" s="109" t="str">
        <f t="shared" si="47"/>
        <v/>
      </c>
      <c r="S95" s="64"/>
      <c r="T95" s="145"/>
      <c r="U95" s="145"/>
      <c r="V95" s="145"/>
      <c r="W95" s="73"/>
      <c r="X95" s="73"/>
      <c r="Y95" s="74"/>
      <c r="Z95" s="113" t="str">
        <f t="array" ref="Z95">INDEX($A$1:$C$500, MATCH(1,($B:$B=$B95)*($C:$C=$AB95),0),1)</f>
        <v/>
      </c>
      <c r="AA95" s="113" t="str">
        <f t="array" ref="AA95">INDEX($A$1:$C$500, MATCH(1,($B:$B=$AB95)*($C:$C=$B95),0),1)</f>
        <v/>
      </c>
      <c r="AB95" s="111"/>
      <c r="AC95" s="114" t="str">
        <f t="shared" si="2"/>
        <v/>
      </c>
      <c r="AD95" s="115" t="str">
        <f t="shared" si="3"/>
        <v/>
      </c>
      <c r="AE95" s="116" t="str">
        <f t="array" ref="AE95">INDEX($A$1:$C$500, MATCH(1,($B:$B=$AB95)*($C:$C=$AG95),0),1)</f>
        <v/>
      </c>
      <c r="AF95" s="116" t="str">
        <f t="array" ref="AF95">INDEX($A$1:$C$500, MATCH(1,($B:$B=$AG95)*($C:$C=$AB95),0),1)</f>
        <v/>
      </c>
      <c r="AG95" s="72"/>
      <c r="AH95" s="114" t="str">
        <f t="shared" si="4"/>
        <v/>
      </c>
      <c r="AI95" s="115" t="str">
        <f t="shared" si="5"/>
        <v/>
      </c>
      <c r="AJ95" s="116" t="str">
        <f t="array" ref="AJ95">INDEX($A$1:$C$500, MATCH(1,($B:$B=$C95)*($C:$C=$AG95),0),1)</f>
        <v/>
      </c>
      <c r="AK95" s="116" t="str">
        <f t="array" ref="AK95">INDEX($A$1:$C$500, MATCH(1,($B:$B=$AG95)*($C:$C=$C95),0),1)</f>
        <v/>
      </c>
      <c r="AL95" s="116" t="str">
        <f t="array" ref="AL95">INDEX($A$1:$C$500, MATCH(1,($B:$B=$C95)*($C:$C=$AB95),0),1)</f>
        <v/>
      </c>
      <c r="AM95" s="116" t="str">
        <f t="array" ref="AM95">INDEX($A$1:$C$500, MATCH(1,($B:$B=$AB95)*($C:$C=$C95),0),1)</f>
        <v/>
      </c>
      <c r="AN95" s="114" t="str">
        <f t="array" ref="AN95">IFS(ISNUMBER(AJ95),AJ95,ISNUMBER(AK95),AK95,ISNUMBER(AL95),AL95,ISNUMBER(AM95),AM95)</f>
        <v>#N/A</v>
      </c>
      <c r="AO95" s="115" t="str">
        <f t="shared" si="6"/>
        <v/>
      </c>
      <c r="AP95" s="115" t="str">
        <f t="shared" si="7"/>
        <v/>
      </c>
      <c r="AQ95" s="111"/>
      <c r="AR95" s="109" t="str">
        <f t="shared" si="8"/>
        <v/>
      </c>
      <c r="AS95" s="72" t="str">
        <f>IFERROR(IF(AND(Preferences!B$3="Manual",OR(AX95/AW95&gt;V95/U95,BD95="Serious",BD95="Very serious")),"Assess imprecision",IFERROR(IFS(AND(Preferences!B$3="Automatic",V95/U95&gt;=30),"Extremely serious",AND(W95&lt;=$D$1*-1,Y95&lt;0,V95/U95&lt;3),"Not Serious",AND(W95&lt;=$D$1*-1,Y95&lt;0,V95/U95&gt;=3),"Very serious",AND(W95&gt;=$D$1,X95&gt;0,V95/U95&lt;3),"Not Serious",AND(W95&gt;=$D$1,X95&gt;0,V95/U95&gt;=3),"Very serious",AND(W95&lt;=$D$1*-1,Y95&gt;0,X95&gt;$D$2*-1,V95/U95&lt;3),"Serious", AND(W95&lt;=$D$1*-1,Y95&gt;0,X95&lt;$D$2*-1,V95/U95&lt;3),"Very serious", AND(W95&gt;=$D$1,X95&lt;0,Y95&lt;$D$2,V95/U95&lt;3),"Serious",AND(W95&gt;=$D$1,X95&lt;0,Y95&gt;$D$2,V95/U95&lt;3),"Very serious", AND(W95&lt;=$D$1*-1,Y95&gt;0,X95&gt;$D$2*-1,V95/U95&gt;=3),"Very serious", AND(W95&lt;=$D$1*-1,Y95&gt;0,X95&lt;$D$2*-1,V95/U95&gt;=3),"Very serious", AND(W95&gt;=$D$1,X95&lt;0,Y95&lt;$D$2,V95/U95&gt;=3),"Very serious", AND(W95&gt;=$D$1,X95&lt;0,Y95&gt;$D$2,V95/U95&gt;=3),"Very serious", AND(W95&gt;$D$1*-1,W95&lt;$D$1,X95&gt;$D$1*-1,Y95&lt;$D$1,V95/U95&lt;3),"Not Serious", AND(W95&gt;$D$1*-1,W95&lt;$D$1,OR(X95&lt;=$D$1*-1,Y95&gt;=$D$1),X95&gt;$D$2*-1,Y95&lt;$D$2,V95/U95&lt;3),"Serious", AND(W95&gt;$D$1*-1,W95&lt;$D$1,OR(X95&lt;=$D$2*-1,Y95&gt;=$D$2),V95/U95&lt;3),"Very serious", AND(W95&gt;$D$1*-1,W95&lt;$D$1,X95&gt;$D$1*-1,Y95&lt;$D$1,V95/U95&gt;=3),"Very serious", AND(W95&gt;$D$1*-1,W95&lt;$D$1,OR(X95&lt;=$D$1*-1,Y95&gt;=$D$1),X95&gt;$D$2*-1,Y95&lt;$D$2,V95/U95&gt;=3),"Very serious", AND(W95&gt;$D$1*-1,W95&lt;$D$1,OR(X95&lt;=$D$2*-1,Y95&gt;=$D$2),V95/U95&gt;=3),"Very serious"),"")),"")</f>
        <v/>
      </c>
      <c r="AT95" s="109" t="str">
        <f t="shared" si="9"/>
        <v/>
      </c>
      <c r="AU95" s="64"/>
      <c r="AV95" s="117"/>
      <c r="AW95" s="117"/>
      <c r="AX95" s="117"/>
      <c r="AY95" s="118"/>
      <c r="AZ95" s="118"/>
      <c r="BA95" s="119"/>
      <c r="BB95" s="86" t="str">
        <f>IF(Preferences!B$9="Manual","",IFS(ISBLANK(B95),"",AND(ISNUMBER(E95)=TRUE,ISNUMBER(T95)=FALSE),"Direct", AND(ISNUMBER(E95)=FALSE,ISNUMBER(T95)=TRUE),"Indirect", CN95=4,"Direct",AND(CL95=FALSE, CM95=TRUE,CN95-CO95&gt;-1),"Direct", AND(CL95=FALSE,CM95=TRUE, CN95-CO95&lt;0),"Check algorithm in appendix 2", AND(CL95=TRUE, CM95=FALSE,CN95-CO95&gt;0),"Check algorithm in appendix 2", AND(CL95=TRUE, CM95=FALSE,CN95-CO95=0),"Indirect", AND(CL95=TRUE, CM95=FALSE,CN95-CO95&lt;0),"Indirect", AND(CL95=FALSE,CM95=FALSE,CN95-CO95&gt;-1),"Direct", AND(CL95=FALSE,CM95=FALSE,CN95-CO95&lt;0),"Check algorithm in appendix 2", AND(CL95=TRUE,CM95=TRUE,CN95-CO95&gt;-1),"Direct", AND(CL95=TRUE,CM95=TRUE,CN95-CO95&lt;0),"Check algorithm in appendix 2"))</f>
        <v/>
      </c>
      <c r="BC95" s="120" t="str">
        <f t="shared" si="10"/>
        <v/>
      </c>
      <c r="BD95" s="140"/>
      <c r="BE95" s="122" t="str">
        <f>IF(Preferences!B$3="Manual","", IFERROR(IFS(AND(Preferences!B$3="Automatic",AX95/AW95&gt;=30),"Extremely serious",AND(AY95&lt;=$D$1*-1,BA95&lt;0,AX95/AW95&lt;3),"Not Serious",AND(AY95&lt;=$D$1*-1,BA95&lt;0,AX95/AW95&gt;=3),"Very serious",AND(AY95&gt;=$D$1,AZ95&gt;0,AX95/AW95&lt;3),"Not Serious",AND(AY95&gt;=$D$1,AZ95&gt;0,AX95/AW95&gt;=3),"Very serious",AND(AY95&lt;=$D$1*-1,BA95&gt;0,AZ95&gt;$D$2*-1,AX95/AW95&lt;3),"Serious", AND(AY95&lt;=$D$1*-1,BA95&gt;0,AZ95&lt;$D$2*-1,AX95/AW95&lt;3),"Very serious", AND(AY95&gt;=$D$1,AZ95&lt;0,BA95&lt;$D$2,AX95/AW95&lt;3),"Serious",AND(AY95&gt;=$D$1,AZ95&lt;0,BA95&gt;$D$2,AX95/AW95&lt;3),"Very serious", AND(AY95&lt;=$D$1*-1,BA95&gt;0,AZ95&gt;$D$2*-1,AX95/AW95&gt;=3),"Very serious", AND(AY95&lt;=$D$1*-1,BA95&gt;0,AZ95&lt;$D$2*-1,AX95/AW95&gt;=3),"Very serious", AND(AY95&gt;=$D$1,AZ95&lt;0,BA95&lt;$D$2,AX95/AW95&gt;=3),"Very serious", AND(AY95&gt;=$D$1,AZ95&lt;0,BA95&gt;$D$2,AX95/AW95&gt;=3),"Very serious", AND(AY95&gt;$D$1*-1,AY95&lt;$D$1,AZ95&gt;$D$1*-1,BA95&lt;$D$1,AX95/AW95&lt;3),"Not Serious", AND(AY95&gt;$D$1*-1,AY95&lt;$D$1,OR(AZ95&lt;=$D$1*-1,BA95&gt;=$D$1),AZ95&gt;$D$2*-1,BA95&lt;$D$2,AX95/AW95&lt;3),"Serious", AND(AY95&gt;$D$1*-1,AY95&lt;$D$1,OR(AZ95&lt;=$D$2*-1,BA95&gt;=$D$2),AX95/AW95&lt;3),"Very serious", AND(AY95&gt;$D$1*-1,AY95&lt;$D$1,AZ95&gt;$D$1*-1,BA95&lt;$D$1,AX95/AW95&gt;=3),"Very serious", AND(AY95&gt;$D$1*-1,AY95&lt;$D$1,OR(AZ95&lt;=$D$1*-1,BA95&gt;=$D$1),AZ95&gt;$D$2*-1,BA95&lt;$D$2,AX95/AW95&gt;=3),"Very serious", AND(AY95&gt;$D$1*-1,AY95&lt;$D$1,OR(AZ95&lt;=$D$2*-1,BA95&gt;=$D$2),AX95/AW95&gt;=3),"Very serious"),""))</f>
        <v/>
      </c>
      <c r="BF95" s="107" t="str">
        <f t="shared" si="11"/>
        <v/>
      </c>
      <c r="BG95" s="94" t="str">
        <f t="shared" si="46"/>
        <v/>
      </c>
      <c r="BH95" s="64" t="str">
        <f t="shared" si="12"/>
        <v>#N/A</v>
      </c>
      <c r="BI95" s="64" t="str">
        <f t="shared" si="13"/>
        <v/>
      </c>
      <c r="BJ95" s="123" t="str">
        <f t="shared" si="14"/>
        <v>#N/A</v>
      </c>
      <c r="BK95" s="64" t="str">
        <f t="shared" si="50"/>
        <v>YES</v>
      </c>
      <c r="BL95" s="64" t="str">
        <f t="shared" si="16"/>
        <v>YES</v>
      </c>
      <c r="BM95" s="64" t="str">
        <f t="shared" si="17"/>
        <v>YES</v>
      </c>
      <c r="BN95" s="124" t="str">
        <f t="shared" si="18"/>
        <v/>
      </c>
      <c r="BO95" s="91" t="str">
        <f t="shared" si="19"/>
        <v/>
      </c>
      <c r="BP95" s="91" t="str">
        <f t="shared" si="20"/>
        <v>#N/A</v>
      </c>
      <c r="BQ95" s="91" t="str">
        <f t="shared" si="21"/>
        <v/>
      </c>
      <c r="BR95" s="93" t="str">
        <f t="shared" si="22"/>
        <v/>
      </c>
      <c r="BS95" s="90" t="str">
        <f t="shared" si="23"/>
        <v/>
      </c>
      <c r="BT95" s="93" t="str">
        <f t="shared" si="24"/>
        <v>NA</v>
      </c>
      <c r="BU95" s="125" t="str">
        <f t="shared" si="25"/>
        <v>#N/A</v>
      </c>
      <c r="BV95" s="93" t="str">
        <f t="shared" si="26"/>
        <v/>
      </c>
      <c r="BW95" s="93" t="str">
        <f t="shared" si="27"/>
        <v/>
      </c>
      <c r="BX95" s="93" t="str">
        <f t="shared" si="28"/>
        <v>NA</v>
      </c>
      <c r="BY95" s="95" t="str">
        <f t="shared" si="29"/>
        <v>#N/A</v>
      </c>
      <c r="BZ95" s="93" t="str">
        <f t="shared" si="30"/>
        <v/>
      </c>
      <c r="CA95" s="93" t="str">
        <f t="shared" si="31"/>
        <v/>
      </c>
      <c r="CB95" s="93" t="str">
        <f t="shared" si="32"/>
        <v>NA</v>
      </c>
      <c r="CC95" s="96" t="str">
        <f t="shared" si="33"/>
        <v>#N/A</v>
      </c>
      <c r="CD95" s="93" t="str">
        <f t="shared" si="34"/>
        <v/>
      </c>
      <c r="CE95" s="93" t="str">
        <f t="shared" si="35"/>
        <v/>
      </c>
      <c r="CF95" s="93" t="str">
        <f t="shared" si="36"/>
        <v>NA</v>
      </c>
      <c r="CG95" s="97" t="str">
        <f t="shared" si="37"/>
        <v>#N/A</v>
      </c>
      <c r="CH95" s="98" t="str">
        <f t="shared" si="38"/>
        <v>#N/A</v>
      </c>
      <c r="CI95" s="99" t="str">
        <f t="shared" si="39"/>
        <v>#N/A</v>
      </c>
      <c r="CJ95" s="126" t="str">
        <f t="shared" si="40"/>
        <v>ERROR: check cell</v>
      </c>
      <c r="CK95" s="126"/>
      <c r="CL95" s="127" t="str">
        <f t="shared" si="41"/>
        <v>#DIV/0!</v>
      </c>
      <c r="CM95" s="128" t="str">
        <f t="shared" si="42"/>
        <v>#DIV/0!</v>
      </c>
      <c r="CN95" s="128">
        <f t="shared" si="43"/>
        <v>4</v>
      </c>
      <c r="CO95" s="129">
        <f t="shared" si="44"/>
        <v>4</v>
      </c>
      <c r="CP95" s="129" t="str">
        <f>IFS(C95=Preferences!B$13,B95,B95=Preferences!B$13,C95)</f>
        <v>#N/A</v>
      </c>
    </row>
    <row r="96" ht="13.5" customHeight="1">
      <c r="A96" s="63" t="str">
        <f t="shared" si="45"/>
        <v/>
      </c>
      <c r="B96" s="64"/>
      <c r="C96" s="64"/>
      <c r="D96" s="64"/>
      <c r="E96" s="65"/>
      <c r="F96" s="65"/>
      <c r="G96" s="65"/>
      <c r="H96" s="65"/>
      <c r="I96" s="65"/>
      <c r="J96" s="141"/>
      <c r="K96" s="138"/>
      <c r="L96" s="104"/>
      <c r="M96" s="104"/>
      <c r="N96" s="104"/>
      <c r="O96" s="104"/>
      <c r="P96" s="107" t="str">
        <f t="shared" si="1"/>
        <v/>
      </c>
      <c r="Q96" s="108" t="str">
        <f>IFERROR(IF(AND(Preferences!B$3="Manual",OR(AX96/AW96&gt;G96/F96,BD96="Serious",BD96="Very serious")),"Assess imprecision",IFS(ISBLANK(E96),"",AND(Preferences!B$3="Automatic", G96/F96&gt;=30),"Extremely serious",AND(H96&lt;=$D$1*-1,J96&lt;0,G96/F96&lt;3),"Not serious",AND(H96&lt;=$D$1*-1,J96&lt;0,G96/F96&gt;=3),"Very serious",AND(H96&gt;=$D$1,I96&gt;0,G96/F96&lt;3),"Not serious",AND(H96&gt;=$D$1,I96&gt;0,G96/F96&gt;=3),"Very serious",AND(H96&lt;=$D$1*-1,J96&gt;0,I96&gt;$D$2*-1,G96/F96&lt;3),"Serious", AND(H96&lt;=$D$1*-1,J96&gt;0,I96&lt;$D$2*-1,G96/F96&lt;3),"Very serious", AND(H96&gt;=$D$1,I96&lt;0,J96&lt;$D$2,G96/F96&lt;3),"Serious",AND(H96&gt;=$D$1,I96&lt;0,J96&gt;$D$2,G96/F96&lt;3),"Very serious", AND(H96&lt;=$D$1*-1,J96&gt;0,I96&gt;$D$2*-1,G96/F96&gt;=3),"Very serious", AND(H96&lt;=$D$1*-1,J96&gt;0,I96&lt;$D$2*-1,G96/F96&gt;=3),"Very serious", AND(H96&gt;=$D$1,I96&lt;0,J96&lt;$D$2,G96/F96&gt;=3),"Very serious", AND(H96&gt;=$D$1,I96&lt;0,J96&gt;$D$2,G96/F96&gt;=3),"Very serious", AND(H96&gt;$D$1*-1,H96&lt;$D$1,I96&gt;$D$1*-1,J96&lt;$D$1,G96/F96&lt;3),"Not serious", AND(H96&gt;$D$1*-1,H96&lt;$D$1,OR(I96&lt;=$D$1*-1,J96&gt;=$D$1),I96&gt;$D$2*-1,J96&lt;$D$2,G96/F96&lt;3),"Serious", AND(H96&gt;$D$1*-1,H96&lt;$D$1,OR(I96&lt;=$D$2*-1,J96&gt;=$D$2),G96/F96&lt;3),"Very serious", AND(H96&gt;$D$1*-1,H96&lt;$D$1,I96&gt;$D$1*-1,J96&lt;$D$1,G96/F96&gt;=3),"Very serious", AND(H96&gt;$D$1*-1,H96&lt;$D$1,OR(I96&lt;=$D$1*-1,J96&gt;=$D$1),I96&gt;$D$2*-1,J96&lt;$D$2,G96/F96&gt;=3),"Very serious", AND(H96&gt;$D$1*-1,H96&lt;$D$1,OR(I96&lt;=$D$2*-1,J96&gt;=$D$2),G96/F96&gt;=3),"Very serious")),"")</f>
        <v/>
      </c>
      <c r="R96" s="109" t="str">
        <f t="shared" si="47"/>
        <v/>
      </c>
      <c r="S96" s="64"/>
      <c r="T96" s="145"/>
      <c r="U96" s="145"/>
      <c r="V96" s="145"/>
      <c r="W96" s="73"/>
      <c r="X96" s="73"/>
      <c r="Y96" s="74"/>
      <c r="Z96" s="113" t="str">
        <f t="array" ref="Z96">INDEX($A$1:$C$500, MATCH(1,($B:$B=$B96)*($C:$C=$AB96),0),1)</f>
        <v/>
      </c>
      <c r="AA96" s="113" t="str">
        <f t="array" ref="AA96">INDEX($A$1:$C$500, MATCH(1,($B:$B=$AB96)*($C:$C=$B96),0),1)</f>
        <v/>
      </c>
      <c r="AB96" s="111"/>
      <c r="AC96" s="114" t="str">
        <f t="shared" si="2"/>
        <v/>
      </c>
      <c r="AD96" s="115" t="str">
        <f t="shared" si="3"/>
        <v/>
      </c>
      <c r="AE96" s="116" t="str">
        <f t="array" ref="AE96">INDEX($A$1:$C$500, MATCH(1,($B:$B=$AB96)*($C:$C=$AG96),0),1)</f>
        <v/>
      </c>
      <c r="AF96" s="116" t="str">
        <f t="array" ref="AF96">INDEX($A$1:$C$500, MATCH(1,($B:$B=$AG96)*($C:$C=$AB96),0),1)</f>
        <v/>
      </c>
      <c r="AG96" s="72"/>
      <c r="AH96" s="114" t="str">
        <f t="shared" si="4"/>
        <v/>
      </c>
      <c r="AI96" s="115" t="str">
        <f t="shared" si="5"/>
        <v/>
      </c>
      <c r="AJ96" s="116" t="str">
        <f t="array" ref="AJ96">INDEX($A$1:$C$500, MATCH(1,($B:$B=$C96)*($C:$C=$AG96),0),1)</f>
        <v/>
      </c>
      <c r="AK96" s="116" t="str">
        <f t="array" ref="AK96">INDEX($A$1:$C$500, MATCH(1,($B:$B=$AG96)*($C:$C=$C96),0),1)</f>
        <v/>
      </c>
      <c r="AL96" s="116" t="str">
        <f t="array" ref="AL96">INDEX($A$1:$C$500, MATCH(1,($B:$B=$C96)*($C:$C=$AB96),0),1)</f>
        <v/>
      </c>
      <c r="AM96" s="116" t="str">
        <f t="array" ref="AM96">INDEX($A$1:$C$500, MATCH(1,($B:$B=$AB96)*($C:$C=$C96),0),1)</f>
        <v/>
      </c>
      <c r="AN96" s="114" t="str">
        <f t="array" ref="AN96">IFS(ISNUMBER(AJ96),AJ96,ISNUMBER(AK96),AK96,ISNUMBER(AL96),AL96,ISNUMBER(AM96),AM96)</f>
        <v>#N/A</v>
      </c>
      <c r="AO96" s="115" t="str">
        <f t="shared" si="6"/>
        <v/>
      </c>
      <c r="AP96" s="115" t="str">
        <f t="shared" si="7"/>
        <v/>
      </c>
      <c r="AQ96" s="111"/>
      <c r="AR96" s="109" t="str">
        <f t="shared" si="8"/>
        <v/>
      </c>
      <c r="AS96" s="72" t="str">
        <f>IFERROR(IF(AND(Preferences!B$3="Manual",OR(AX96/AW96&gt;V96/U96,BD96="Serious",BD96="Very serious")),"Assess imprecision",IFERROR(IFS(AND(Preferences!B$3="Automatic",V96/U96&gt;=30),"Extremely serious",AND(W96&lt;=$D$1*-1,Y96&lt;0,V96/U96&lt;3),"Not Serious",AND(W96&lt;=$D$1*-1,Y96&lt;0,V96/U96&gt;=3),"Very serious",AND(W96&gt;=$D$1,X96&gt;0,V96/U96&lt;3),"Not Serious",AND(W96&gt;=$D$1,X96&gt;0,V96/U96&gt;=3),"Very serious",AND(W96&lt;=$D$1*-1,Y96&gt;0,X96&gt;$D$2*-1,V96/U96&lt;3),"Serious", AND(W96&lt;=$D$1*-1,Y96&gt;0,X96&lt;$D$2*-1,V96/U96&lt;3),"Very serious", AND(W96&gt;=$D$1,X96&lt;0,Y96&lt;$D$2,V96/U96&lt;3),"Serious",AND(W96&gt;=$D$1,X96&lt;0,Y96&gt;$D$2,V96/U96&lt;3),"Very serious", AND(W96&lt;=$D$1*-1,Y96&gt;0,X96&gt;$D$2*-1,V96/U96&gt;=3),"Very serious", AND(W96&lt;=$D$1*-1,Y96&gt;0,X96&lt;$D$2*-1,V96/U96&gt;=3),"Very serious", AND(W96&gt;=$D$1,X96&lt;0,Y96&lt;$D$2,V96/U96&gt;=3),"Very serious", AND(W96&gt;=$D$1,X96&lt;0,Y96&gt;$D$2,V96/U96&gt;=3),"Very serious", AND(W96&gt;$D$1*-1,W96&lt;$D$1,X96&gt;$D$1*-1,Y96&lt;$D$1,V96/U96&lt;3),"Not Serious", AND(W96&gt;$D$1*-1,W96&lt;$D$1,OR(X96&lt;=$D$1*-1,Y96&gt;=$D$1),X96&gt;$D$2*-1,Y96&lt;$D$2,V96/U96&lt;3),"Serious", AND(W96&gt;$D$1*-1,W96&lt;$D$1,OR(X96&lt;=$D$2*-1,Y96&gt;=$D$2),V96/U96&lt;3),"Very serious", AND(W96&gt;$D$1*-1,W96&lt;$D$1,X96&gt;$D$1*-1,Y96&lt;$D$1,V96/U96&gt;=3),"Very serious", AND(W96&gt;$D$1*-1,W96&lt;$D$1,OR(X96&lt;=$D$1*-1,Y96&gt;=$D$1),X96&gt;$D$2*-1,Y96&lt;$D$2,V96/U96&gt;=3),"Very serious", AND(W96&gt;$D$1*-1,W96&lt;$D$1,OR(X96&lt;=$D$2*-1,Y96&gt;=$D$2),V96/U96&gt;=3),"Very serious"),"")),"")</f>
        <v/>
      </c>
      <c r="AT96" s="109" t="str">
        <f t="shared" si="9"/>
        <v/>
      </c>
      <c r="AU96" s="64"/>
      <c r="AV96" s="117"/>
      <c r="AW96" s="117"/>
      <c r="AX96" s="117"/>
      <c r="AY96" s="118"/>
      <c r="AZ96" s="118"/>
      <c r="BA96" s="119"/>
      <c r="BB96" s="86" t="str">
        <f>IF(Preferences!B$9="Manual","",IFS(ISBLANK(B96),"",AND(ISNUMBER(E96)=TRUE,ISNUMBER(T96)=FALSE),"Direct", AND(ISNUMBER(E96)=FALSE,ISNUMBER(T96)=TRUE),"Indirect", CN96=4,"Direct",AND(CL96=FALSE, CM96=TRUE,CN96-CO96&gt;-1),"Direct", AND(CL96=FALSE,CM96=TRUE, CN96-CO96&lt;0),"Check algorithm in appendix 2", AND(CL96=TRUE, CM96=FALSE,CN96-CO96&gt;0),"Check algorithm in appendix 2", AND(CL96=TRUE, CM96=FALSE,CN96-CO96=0),"Indirect", AND(CL96=TRUE, CM96=FALSE,CN96-CO96&lt;0),"Indirect", AND(CL96=FALSE,CM96=FALSE,CN96-CO96&gt;-1),"Direct", AND(CL96=FALSE,CM96=FALSE,CN96-CO96&lt;0),"Check algorithm in appendix 2", AND(CL96=TRUE,CM96=TRUE,CN96-CO96&gt;-1),"Direct", AND(CL96=TRUE,CM96=TRUE,CN96-CO96&lt;0),"Check algorithm in appendix 2"))</f>
        <v/>
      </c>
      <c r="BC96" s="120" t="str">
        <f t="shared" si="10"/>
        <v/>
      </c>
      <c r="BD96" s="140"/>
      <c r="BE96" s="122" t="str">
        <f>IF(Preferences!B$3="Manual","", IFERROR(IFS(AND(Preferences!B$3="Automatic",AX96/AW96&gt;=30),"Extremely serious",AND(AY96&lt;=$D$1*-1,BA96&lt;0,AX96/AW96&lt;3),"Not Serious",AND(AY96&lt;=$D$1*-1,BA96&lt;0,AX96/AW96&gt;=3),"Very serious",AND(AY96&gt;=$D$1,AZ96&gt;0,AX96/AW96&lt;3),"Not Serious",AND(AY96&gt;=$D$1,AZ96&gt;0,AX96/AW96&gt;=3),"Very serious",AND(AY96&lt;=$D$1*-1,BA96&gt;0,AZ96&gt;$D$2*-1,AX96/AW96&lt;3),"Serious", AND(AY96&lt;=$D$1*-1,BA96&gt;0,AZ96&lt;$D$2*-1,AX96/AW96&lt;3),"Very serious", AND(AY96&gt;=$D$1,AZ96&lt;0,BA96&lt;$D$2,AX96/AW96&lt;3),"Serious",AND(AY96&gt;=$D$1,AZ96&lt;0,BA96&gt;$D$2,AX96/AW96&lt;3),"Very serious", AND(AY96&lt;=$D$1*-1,BA96&gt;0,AZ96&gt;$D$2*-1,AX96/AW96&gt;=3),"Very serious", AND(AY96&lt;=$D$1*-1,BA96&gt;0,AZ96&lt;$D$2*-1,AX96/AW96&gt;=3),"Very serious", AND(AY96&gt;=$D$1,AZ96&lt;0,BA96&lt;$D$2,AX96/AW96&gt;=3),"Very serious", AND(AY96&gt;=$D$1,AZ96&lt;0,BA96&gt;$D$2,AX96/AW96&gt;=3),"Very serious", AND(AY96&gt;$D$1*-1,AY96&lt;$D$1,AZ96&gt;$D$1*-1,BA96&lt;$D$1,AX96/AW96&lt;3),"Not Serious", AND(AY96&gt;$D$1*-1,AY96&lt;$D$1,OR(AZ96&lt;=$D$1*-1,BA96&gt;=$D$1),AZ96&gt;$D$2*-1,BA96&lt;$D$2,AX96/AW96&lt;3),"Serious", AND(AY96&gt;$D$1*-1,AY96&lt;$D$1,OR(AZ96&lt;=$D$2*-1,BA96&gt;=$D$2),AX96/AW96&lt;3),"Very serious", AND(AY96&gt;$D$1*-1,AY96&lt;$D$1,AZ96&gt;$D$1*-1,BA96&lt;$D$1,AX96/AW96&gt;=3),"Very serious", AND(AY96&gt;$D$1*-1,AY96&lt;$D$1,OR(AZ96&lt;=$D$1*-1,BA96&gt;=$D$1),AZ96&gt;$D$2*-1,BA96&lt;$D$2,AX96/AW96&gt;=3),"Very serious", AND(AY96&gt;$D$1*-1,AY96&lt;$D$1,OR(AZ96&lt;=$D$2*-1,BA96&gt;=$D$2),AX96/AW96&gt;=3),"Very serious"),""))</f>
        <v/>
      </c>
      <c r="BF96" s="107" t="str">
        <f t="shared" si="11"/>
        <v/>
      </c>
      <c r="BG96" s="94" t="str">
        <f t="shared" si="46"/>
        <v/>
      </c>
      <c r="BH96" s="64" t="str">
        <f t="shared" si="12"/>
        <v>#N/A</v>
      </c>
      <c r="BI96" s="64" t="str">
        <f t="shared" si="13"/>
        <v/>
      </c>
      <c r="BJ96" s="123" t="str">
        <f t="shared" si="14"/>
        <v>#N/A</v>
      </c>
      <c r="BK96" s="64" t="str">
        <f t="shared" si="50"/>
        <v>YES</v>
      </c>
      <c r="BL96" s="64" t="str">
        <f t="shared" si="16"/>
        <v>YES</v>
      </c>
      <c r="BM96" s="64" t="str">
        <f t="shared" si="17"/>
        <v>YES</v>
      </c>
      <c r="BN96" s="124" t="str">
        <f t="shared" si="18"/>
        <v/>
      </c>
      <c r="BO96" s="91" t="str">
        <f t="shared" si="19"/>
        <v/>
      </c>
      <c r="BP96" s="91" t="str">
        <f t="shared" si="20"/>
        <v>#N/A</v>
      </c>
      <c r="BQ96" s="91" t="str">
        <f t="shared" si="21"/>
        <v/>
      </c>
      <c r="BR96" s="93" t="str">
        <f t="shared" si="22"/>
        <v/>
      </c>
      <c r="BS96" s="90" t="str">
        <f t="shared" si="23"/>
        <v/>
      </c>
      <c r="BT96" s="93" t="str">
        <f t="shared" si="24"/>
        <v>NA</v>
      </c>
      <c r="BU96" s="125" t="str">
        <f t="shared" si="25"/>
        <v>#N/A</v>
      </c>
      <c r="BV96" s="93" t="str">
        <f t="shared" si="26"/>
        <v/>
      </c>
      <c r="BW96" s="93" t="str">
        <f t="shared" si="27"/>
        <v/>
      </c>
      <c r="BX96" s="93" t="str">
        <f t="shared" si="28"/>
        <v>NA</v>
      </c>
      <c r="BY96" s="95" t="str">
        <f t="shared" si="29"/>
        <v>#N/A</v>
      </c>
      <c r="BZ96" s="93" t="str">
        <f t="shared" si="30"/>
        <v/>
      </c>
      <c r="CA96" s="93" t="str">
        <f t="shared" si="31"/>
        <v/>
      </c>
      <c r="CB96" s="93" t="str">
        <f t="shared" si="32"/>
        <v>NA</v>
      </c>
      <c r="CC96" s="96" t="str">
        <f t="shared" si="33"/>
        <v>#N/A</v>
      </c>
      <c r="CD96" s="93" t="str">
        <f t="shared" si="34"/>
        <v/>
      </c>
      <c r="CE96" s="93" t="str">
        <f t="shared" si="35"/>
        <v/>
      </c>
      <c r="CF96" s="93" t="str">
        <f t="shared" si="36"/>
        <v>NA</v>
      </c>
      <c r="CG96" s="97" t="str">
        <f t="shared" si="37"/>
        <v>#N/A</v>
      </c>
      <c r="CH96" s="98" t="str">
        <f t="shared" si="38"/>
        <v>#N/A</v>
      </c>
      <c r="CI96" s="99" t="str">
        <f t="shared" si="39"/>
        <v>#N/A</v>
      </c>
      <c r="CJ96" s="126" t="str">
        <f t="shared" si="40"/>
        <v>ERROR: check cell</v>
      </c>
      <c r="CK96" s="126"/>
      <c r="CL96" s="127" t="str">
        <f t="shared" si="41"/>
        <v>#DIV/0!</v>
      </c>
      <c r="CM96" s="128" t="str">
        <f t="shared" si="42"/>
        <v>#DIV/0!</v>
      </c>
      <c r="CN96" s="128">
        <f t="shared" si="43"/>
        <v>4</v>
      </c>
      <c r="CO96" s="129">
        <f t="shared" si="44"/>
        <v>4</v>
      </c>
      <c r="CP96" s="129" t="str">
        <f>IFS(C96=Preferences!B$13,B96,B96=Preferences!B$13,C96)</f>
        <v>#N/A</v>
      </c>
    </row>
    <row r="97" ht="13.5" customHeight="1">
      <c r="A97" s="63" t="str">
        <f t="shared" si="45"/>
        <v/>
      </c>
      <c r="B97" s="64"/>
      <c r="C97" s="64"/>
      <c r="D97" s="64"/>
      <c r="E97" s="65"/>
      <c r="F97" s="65"/>
      <c r="G97" s="65"/>
      <c r="H97" s="65"/>
      <c r="I97" s="65"/>
      <c r="J97" s="141"/>
      <c r="K97" s="138"/>
      <c r="L97" s="104"/>
      <c r="M97" s="104"/>
      <c r="N97" s="104"/>
      <c r="O97" s="104"/>
      <c r="P97" s="107" t="str">
        <f t="shared" si="1"/>
        <v/>
      </c>
      <c r="Q97" s="108" t="str">
        <f>IFERROR(IF(AND(Preferences!B$3="Manual",OR(AX97/AW97&gt;G97/F97,BD97="Serious",BD97="Very serious")),"Assess imprecision",IFS(ISBLANK(E97),"",AND(Preferences!B$3="Automatic", G97/F97&gt;=30),"Extremely serious",AND(H97&lt;=$D$1*-1,J97&lt;0,G97/F97&lt;3),"Not serious",AND(H97&lt;=$D$1*-1,J97&lt;0,G97/F97&gt;=3),"Very serious",AND(H97&gt;=$D$1,I97&gt;0,G97/F97&lt;3),"Not serious",AND(H97&gt;=$D$1,I97&gt;0,G97/F97&gt;=3),"Very serious",AND(H97&lt;=$D$1*-1,J97&gt;0,I97&gt;$D$2*-1,G97/F97&lt;3),"Serious", AND(H97&lt;=$D$1*-1,J97&gt;0,I97&lt;$D$2*-1,G97/F97&lt;3),"Very serious", AND(H97&gt;=$D$1,I97&lt;0,J97&lt;$D$2,G97/F97&lt;3),"Serious",AND(H97&gt;=$D$1,I97&lt;0,J97&gt;$D$2,G97/F97&lt;3),"Very serious", AND(H97&lt;=$D$1*-1,J97&gt;0,I97&gt;$D$2*-1,G97/F97&gt;=3),"Very serious", AND(H97&lt;=$D$1*-1,J97&gt;0,I97&lt;$D$2*-1,G97/F97&gt;=3),"Very serious", AND(H97&gt;=$D$1,I97&lt;0,J97&lt;$D$2,G97/F97&gt;=3),"Very serious", AND(H97&gt;=$D$1,I97&lt;0,J97&gt;$D$2,G97/F97&gt;=3),"Very serious", AND(H97&gt;$D$1*-1,H97&lt;$D$1,I97&gt;$D$1*-1,J97&lt;$D$1,G97/F97&lt;3),"Not serious", AND(H97&gt;$D$1*-1,H97&lt;$D$1,OR(I97&lt;=$D$1*-1,J97&gt;=$D$1),I97&gt;$D$2*-1,J97&lt;$D$2,G97/F97&lt;3),"Serious", AND(H97&gt;$D$1*-1,H97&lt;$D$1,OR(I97&lt;=$D$2*-1,J97&gt;=$D$2),G97/F97&lt;3),"Very serious", AND(H97&gt;$D$1*-1,H97&lt;$D$1,I97&gt;$D$1*-1,J97&lt;$D$1,G97/F97&gt;=3),"Very serious", AND(H97&gt;$D$1*-1,H97&lt;$D$1,OR(I97&lt;=$D$1*-1,J97&gt;=$D$1),I97&gt;$D$2*-1,J97&lt;$D$2,G97/F97&gt;=3),"Very serious", AND(H97&gt;$D$1*-1,H97&lt;$D$1,OR(I97&lt;=$D$2*-1,J97&gt;=$D$2),G97/F97&gt;=3),"Very serious")),"")</f>
        <v/>
      </c>
      <c r="R97" s="109" t="str">
        <f t="shared" si="47"/>
        <v/>
      </c>
      <c r="S97" s="64"/>
      <c r="T97" s="145"/>
      <c r="U97" s="145"/>
      <c r="V97" s="145"/>
      <c r="W97" s="73"/>
      <c r="X97" s="73"/>
      <c r="Y97" s="74"/>
      <c r="Z97" s="113" t="str">
        <f t="array" ref="Z97">INDEX($A$1:$C$500, MATCH(1,($B:$B=$B97)*($C:$C=$AB97),0),1)</f>
        <v/>
      </c>
      <c r="AA97" s="113" t="str">
        <f t="array" ref="AA97">INDEX($A$1:$C$500, MATCH(1,($B:$B=$AB97)*($C:$C=$B97),0),1)</f>
        <v/>
      </c>
      <c r="AB97" s="111"/>
      <c r="AC97" s="114" t="str">
        <f t="shared" si="2"/>
        <v/>
      </c>
      <c r="AD97" s="115" t="str">
        <f t="shared" si="3"/>
        <v/>
      </c>
      <c r="AE97" s="116" t="str">
        <f t="array" ref="AE97">INDEX($A$1:$C$500, MATCH(1,($B:$B=$AB97)*($C:$C=$AG97),0),1)</f>
        <v/>
      </c>
      <c r="AF97" s="116" t="str">
        <f t="array" ref="AF97">INDEX($A$1:$C$500, MATCH(1,($B:$B=$AG97)*($C:$C=$AB97),0),1)</f>
        <v/>
      </c>
      <c r="AG97" s="72"/>
      <c r="AH97" s="114" t="str">
        <f t="shared" si="4"/>
        <v/>
      </c>
      <c r="AI97" s="115" t="str">
        <f t="shared" si="5"/>
        <v/>
      </c>
      <c r="AJ97" s="116" t="str">
        <f t="array" ref="AJ97">INDEX($A$1:$C$500, MATCH(1,($B:$B=$C97)*($C:$C=$AG97),0),1)</f>
        <v/>
      </c>
      <c r="AK97" s="116" t="str">
        <f t="array" ref="AK97">INDEX($A$1:$C$500, MATCH(1,($B:$B=$AG97)*($C:$C=$C97),0),1)</f>
        <v/>
      </c>
      <c r="AL97" s="116" t="str">
        <f t="array" ref="AL97">INDEX($A$1:$C$500, MATCH(1,($B:$B=$C97)*($C:$C=$AB97),0),1)</f>
        <v/>
      </c>
      <c r="AM97" s="116" t="str">
        <f t="array" ref="AM97">INDEX($A$1:$C$500, MATCH(1,($B:$B=$AB97)*($C:$C=$C97),0),1)</f>
        <v/>
      </c>
      <c r="AN97" s="114" t="str">
        <f t="array" ref="AN97">IFS(ISNUMBER(AJ97),AJ97,ISNUMBER(AK97),AK97,ISNUMBER(AL97),AL97,ISNUMBER(AM97),AM97)</f>
        <v>#N/A</v>
      </c>
      <c r="AO97" s="115" t="str">
        <f t="shared" si="6"/>
        <v/>
      </c>
      <c r="AP97" s="115" t="str">
        <f t="shared" si="7"/>
        <v/>
      </c>
      <c r="AQ97" s="111"/>
      <c r="AR97" s="109" t="str">
        <f t="shared" si="8"/>
        <v/>
      </c>
      <c r="AS97" s="72" t="str">
        <f>IFERROR(IF(AND(Preferences!B$3="Manual",OR(AX97/AW97&gt;V97/U97,BD97="Serious",BD97="Very serious")),"Assess imprecision",IFERROR(IFS(AND(Preferences!B$3="Automatic",V97/U97&gt;=30),"Extremely serious",AND(W97&lt;=$D$1*-1,Y97&lt;0,V97/U97&lt;3),"Not Serious",AND(W97&lt;=$D$1*-1,Y97&lt;0,V97/U97&gt;=3),"Very serious",AND(W97&gt;=$D$1,X97&gt;0,V97/U97&lt;3),"Not Serious",AND(W97&gt;=$D$1,X97&gt;0,V97/U97&gt;=3),"Very serious",AND(W97&lt;=$D$1*-1,Y97&gt;0,X97&gt;$D$2*-1,V97/U97&lt;3),"Serious", AND(W97&lt;=$D$1*-1,Y97&gt;0,X97&lt;$D$2*-1,V97/U97&lt;3),"Very serious", AND(W97&gt;=$D$1,X97&lt;0,Y97&lt;$D$2,V97/U97&lt;3),"Serious",AND(W97&gt;=$D$1,X97&lt;0,Y97&gt;$D$2,V97/U97&lt;3),"Very serious", AND(W97&lt;=$D$1*-1,Y97&gt;0,X97&gt;$D$2*-1,V97/U97&gt;=3),"Very serious", AND(W97&lt;=$D$1*-1,Y97&gt;0,X97&lt;$D$2*-1,V97/U97&gt;=3),"Very serious", AND(W97&gt;=$D$1,X97&lt;0,Y97&lt;$D$2,V97/U97&gt;=3),"Very serious", AND(W97&gt;=$D$1,X97&lt;0,Y97&gt;$D$2,V97/U97&gt;=3),"Very serious", AND(W97&gt;$D$1*-1,W97&lt;$D$1,X97&gt;$D$1*-1,Y97&lt;$D$1,V97/U97&lt;3),"Not Serious", AND(W97&gt;$D$1*-1,W97&lt;$D$1,OR(X97&lt;=$D$1*-1,Y97&gt;=$D$1),X97&gt;$D$2*-1,Y97&lt;$D$2,V97/U97&lt;3),"Serious", AND(W97&gt;$D$1*-1,W97&lt;$D$1,OR(X97&lt;=$D$2*-1,Y97&gt;=$D$2),V97/U97&lt;3),"Very serious", AND(W97&gt;$D$1*-1,W97&lt;$D$1,X97&gt;$D$1*-1,Y97&lt;$D$1,V97/U97&gt;=3),"Very serious", AND(W97&gt;$D$1*-1,W97&lt;$D$1,OR(X97&lt;=$D$1*-1,Y97&gt;=$D$1),X97&gt;$D$2*-1,Y97&lt;$D$2,V97/U97&gt;=3),"Very serious", AND(W97&gt;$D$1*-1,W97&lt;$D$1,OR(X97&lt;=$D$2*-1,Y97&gt;=$D$2),V97/U97&gt;=3),"Very serious"),"")),"")</f>
        <v/>
      </c>
      <c r="AT97" s="109" t="str">
        <f t="shared" si="9"/>
        <v/>
      </c>
      <c r="AU97" s="64"/>
      <c r="AV97" s="117"/>
      <c r="AW97" s="117"/>
      <c r="AX97" s="117"/>
      <c r="AY97" s="118"/>
      <c r="AZ97" s="118"/>
      <c r="BA97" s="119"/>
      <c r="BB97" s="86" t="str">
        <f>IF(Preferences!B$9="Manual","",IFS(ISBLANK(B97),"",AND(ISNUMBER(E97)=TRUE,ISNUMBER(T97)=FALSE),"Direct", AND(ISNUMBER(E97)=FALSE,ISNUMBER(T97)=TRUE),"Indirect", CN97=4,"Direct",AND(CL97=FALSE, CM97=TRUE,CN97-CO97&gt;-1),"Direct", AND(CL97=FALSE,CM97=TRUE, CN97-CO97&lt;0),"Check algorithm in appendix 2", AND(CL97=TRUE, CM97=FALSE,CN97-CO97&gt;0),"Check algorithm in appendix 2", AND(CL97=TRUE, CM97=FALSE,CN97-CO97=0),"Indirect", AND(CL97=TRUE, CM97=FALSE,CN97-CO97&lt;0),"Indirect", AND(CL97=FALSE,CM97=FALSE,CN97-CO97&gt;-1),"Direct", AND(CL97=FALSE,CM97=FALSE,CN97-CO97&lt;0),"Check algorithm in appendix 2", AND(CL97=TRUE,CM97=TRUE,CN97-CO97&gt;-1),"Direct", AND(CL97=TRUE,CM97=TRUE,CN97-CO97&lt;0),"Check algorithm in appendix 2"))</f>
        <v/>
      </c>
      <c r="BC97" s="120" t="str">
        <f t="shared" si="10"/>
        <v/>
      </c>
      <c r="BD97" s="140"/>
      <c r="BE97" s="122" t="str">
        <f>IF(Preferences!B$3="Manual","", IFERROR(IFS(AND(Preferences!B$3="Automatic",AX97/AW97&gt;=30),"Extremely serious",AND(AY97&lt;=$D$1*-1,BA97&lt;0,AX97/AW97&lt;3),"Not Serious",AND(AY97&lt;=$D$1*-1,BA97&lt;0,AX97/AW97&gt;=3),"Very serious",AND(AY97&gt;=$D$1,AZ97&gt;0,AX97/AW97&lt;3),"Not Serious",AND(AY97&gt;=$D$1,AZ97&gt;0,AX97/AW97&gt;=3),"Very serious",AND(AY97&lt;=$D$1*-1,BA97&gt;0,AZ97&gt;$D$2*-1,AX97/AW97&lt;3),"Serious", AND(AY97&lt;=$D$1*-1,BA97&gt;0,AZ97&lt;$D$2*-1,AX97/AW97&lt;3),"Very serious", AND(AY97&gt;=$D$1,AZ97&lt;0,BA97&lt;$D$2,AX97/AW97&lt;3),"Serious",AND(AY97&gt;=$D$1,AZ97&lt;0,BA97&gt;$D$2,AX97/AW97&lt;3),"Very serious", AND(AY97&lt;=$D$1*-1,BA97&gt;0,AZ97&gt;$D$2*-1,AX97/AW97&gt;=3),"Very serious", AND(AY97&lt;=$D$1*-1,BA97&gt;0,AZ97&lt;$D$2*-1,AX97/AW97&gt;=3),"Very serious", AND(AY97&gt;=$D$1,AZ97&lt;0,BA97&lt;$D$2,AX97/AW97&gt;=3),"Very serious", AND(AY97&gt;=$D$1,AZ97&lt;0,BA97&gt;$D$2,AX97/AW97&gt;=3),"Very serious", AND(AY97&gt;$D$1*-1,AY97&lt;$D$1,AZ97&gt;$D$1*-1,BA97&lt;$D$1,AX97/AW97&lt;3),"Not Serious", AND(AY97&gt;$D$1*-1,AY97&lt;$D$1,OR(AZ97&lt;=$D$1*-1,BA97&gt;=$D$1),AZ97&gt;$D$2*-1,BA97&lt;$D$2,AX97/AW97&lt;3),"Serious", AND(AY97&gt;$D$1*-1,AY97&lt;$D$1,OR(AZ97&lt;=$D$2*-1,BA97&gt;=$D$2),AX97/AW97&lt;3),"Very serious", AND(AY97&gt;$D$1*-1,AY97&lt;$D$1,AZ97&gt;$D$1*-1,BA97&lt;$D$1,AX97/AW97&gt;=3),"Very serious", AND(AY97&gt;$D$1*-1,AY97&lt;$D$1,OR(AZ97&lt;=$D$1*-1,BA97&gt;=$D$1),AZ97&gt;$D$2*-1,BA97&lt;$D$2,AX97/AW97&gt;=3),"Very serious", AND(AY97&gt;$D$1*-1,AY97&lt;$D$1,OR(AZ97&lt;=$D$2*-1,BA97&gt;=$D$2),AX97/AW97&gt;=3),"Very serious"),""))</f>
        <v/>
      </c>
      <c r="BF97" s="107" t="str">
        <f t="shared" si="11"/>
        <v/>
      </c>
      <c r="BG97" s="94" t="str">
        <f t="shared" si="46"/>
        <v/>
      </c>
      <c r="BH97" s="64" t="str">
        <f t="shared" si="12"/>
        <v>#N/A</v>
      </c>
      <c r="BI97" s="64" t="str">
        <f t="shared" si="13"/>
        <v/>
      </c>
      <c r="BJ97" s="123" t="str">
        <f t="shared" si="14"/>
        <v>#N/A</v>
      </c>
      <c r="BK97" s="64" t="str">
        <f t="shared" si="50"/>
        <v>YES</v>
      </c>
      <c r="BL97" s="64" t="str">
        <f t="shared" si="16"/>
        <v>YES</v>
      </c>
      <c r="BM97" s="64" t="str">
        <f t="shared" si="17"/>
        <v>YES</v>
      </c>
      <c r="BN97" s="124" t="str">
        <f t="shared" si="18"/>
        <v/>
      </c>
      <c r="BO97" s="91" t="str">
        <f t="shared" si="19"/>
        <v/>
      </c>
      <c r="BP97" s="91" t="str">
        <f t="shared" si="20"/>
        <v>#N/A</v>
      </c>
      <c r="BQ97" s="91" t="str">
        <f t="shared" si="21"/>
        <v/>
      </c>
      <c r="BR97" s="93" t="str">
        <f t="shared" si="22"/>
        <v/>
      </c>
      <c r="BS97" s="90" t="str">
        <f t="shared" si="23"/>
        <v/>
      </c>
      <c r="BT97" s="93" t="str">
        <f t="shared" si="24"/>
        <v>NA</v>
      </c>
      <c r="BU97" s="125" t="str">
        <f t="shared" si="25"/>
        <v>#N/A</v>
      </c>
      <c r="BV97" s="93" t="str">
        <f t="shared" si="26"/>
        <v/>
      </c>
      <c r="BW97" s="93" t="str">
        <f t="shared" si="27"/>
        <v/>
      </c>
      <c r="BX97" s="93" t="str">
        <f t="shared" si="28"/>
        <v>NA</v>
      </c>
      <c r="BY97" s="95" t="str">
        <f t="shared" si="29"/>
        <v>#N/A</v>
      </c>
      <c r="BZ97" s="93" t="str">
        <f t="shared" si="30"/>
        <v/>
      </c>
      <c r="CA97" s="93" t="str">
        <f t="shared" si="31"/>
        <v/>
      </c>
      <c r="CB97" s="93" t="str">
        <f t="shared" si="32"/>
        <v>NA</v>
      </c>
      <c r="CC97" s="96" t="str">
        <f t="shared" si="33"/>
        <v>#N/A</v>
      </c>
      <c r="CD97" s="93" t="str">
        <f t="shared" si="34"/>
        <v/>
      </c>
      <c r="CE97" s="93" t="str">
        <f t="shared" si="35"/>
        <v/>
      </c>
      <c r="CF97" s="93" t="str">
        <f t="shared" si="36"/>
        <v>NA</v>
      </c>
      <c r="CG97" s="97" t="str">
        <f t="shared" si="37"/>
        <v>#N/A</v>
      </c>
      <c r="CH97" s="98" t="str">
        <f t="shared" si="38"/>
        <v>#N/A</v>
      </c>
      <c r="CI97" s="99" t="str">
        <f t="shared" si="39"/>
        <v>#N/A</v>
      </c>
      <c r="CJ97" s="126" t="str">
        <f t="shared" si="40"/>
        <v>ERROR: check cell</v>
      </c>
      <c r="CK97" s="126"/>
      <c r="CL97" s="127" t="str">
        <f t="shared" si="41"/>
        <v>#DIV/0!</v>
      </c>
      <c r="CM97" s="128" t="str">
        <f t="shared" si="42"/>
        <v>#DIV/0!</v>
      </c>
      <c r="CN97" s="128">
        <f t="shared" si="43"/>
        <v>4</v>
      </c>
      <c r="CO97" s="129">
        <f t="shared" si="44"/>
        <v>4</v>
      </c>
      <c r="CP97" s="129" t="str">
        <f>IFS(C97=Preferences!B$13,B97,B97=Preferences!B$13,C97)</f>
        <v>#N/A</v>
      </c>
    </row>
    <row r="98" ht="13.5" customHeight="1">
      <c r="A98" s="63" t="str">
        <f t="shared" si="45"/>
        <v/>
      </c>
      <c r="B98" s="64"/>
      <c r="C98" s="64"/>
      <c r="D98" s="64"/>
      <c r="E98" s="65"/>
      <c r="F98" s="65"/>
      <c r="G98" s="65"/>
      <c r="H98" s="65"/>
      <c r="I98" s="65"/>
      <c r="J98" s="141"/>
      <c r="K98" s="138"/>
      <c r="L98" s="104"/>
      <c r="M98" s="104"/>
      <c r="N98" s="104"/>
      <c r="O98" s="104"/>
      <c r="P98" s="107" t="str">
        <f t="shared" si="1"/>
        <v/>
      </c>
      <c r="Q98" s="108" t="str">
        <f>IFERROR(IF(AND(Preferences!B$3="Manual",OR(AX98/AW98&gt;G98/F98,BD98="Serious",BD98="Very serious")),"Assess imprecision",IFS(ISBLANK(E98),"",AND(Preferences!B$3="Automatic", G98/F98&gt;=30),"Extremely serious",AND(H98&lt;=$D$1*-1,J98&lt;0,G98/F98&lt;3),"Not serious",AND(H98&lt;=$D$1*-1,J98&lt;0,G98/F98&gt;=3),"Very serious",AND(H98&gt;=$D$1,I98&gt;0,G98/F98&lt;3),"Not serious",AND(H98&gt;=$D$1,I98&gt;0,G98/F98&gt;=3),"Very serious",AND(H98&lt;=$D$1*-1,J98&gt;0,I98&gt;$D$2*-1,G98/F98&lt;3),"Serious", AND(H98&lt;=$D$1*-1,J98&gt;0,I98&lt;$D$2*-1,G98/F98&lt;3),"Very serious", AND(H98&gt;=$D$1,I98&lt;0,J98&lt;$D$2,G98/F98&lt;3),"Serious",AND(H98&gt;=$D$1,I98&lt;0,J98&gt;$D$2,G98/F98&lt;3),"Very serious", AND(H98&lt;=$D$1*-1,J98&gt;0,I98&gt;$D$2*-1,G98/F98&gt;=3),"Very serious", AND(H98&lt;=$D$1*-1,J98&gt;0,I98&lt;$D$2*-1,G98/F98&gt;=3),"Very serious", AND(H98&gt;=$D$1,I98&lt;0,J98&lt;$D$2,G98/F98&gt;=3),"Very serious", AND(H98&gt;=$D$1,I98&lt;0,J98&gt;$D$2,G98/F98&gt;=3),"Very serious", AND(H98&gt;$D$1*-1,H98&lt;$D$1,I98&gt;$D$1*-1,J98&lt;$D$1,G98/F98&lt;3),"Not serious", AND(H98&gt;$D$1*-1,H98&lt;$D$1,OR(I98&lt;=$D$1*-1,J98&gt;=$D$1),I98&gt;$D$2*-1,J98&lt;$D$2,G98/F98&lt;3),"Serious", AND(H98&gt;$D$1*-1,H98&lt;$D$1,OR(I98&lt;=$D$2*-1,J98&gt;=$D$2),G98/F98&lt;3),"Very serious", AND(H98&gt;$D$1*-1,H98&lt;$D$1,I98&gt;$D$1*-1,J98&lt;$D$1,G98/F98&gt;=3),"Very serious", AND(H98&gt;$D$1*-1,H98&lt;$D$1,OR(I98&lt;=$D$1*-1,J98&gt;=$D$1),I98&gt;$D$2*-1,J98&lt;$D$2,G98/F98&gt;=3),"Very serious", AND(H98&gt;$D$1*-1,H98&lt;$D$1,OR(I98&lt;=$D$2*-1,J98&gt;=$D$2),G98/F98&gt;=3),"Very serious")),"")</f>
        <v/>
      </c>
      <c r="R98" s="109" t="str">
        <f t="shared" si="47"/>
        <v/>
      </c>
      <c r="S98" s="64"/>
      <c r="T98" s="145"/>
      <c r="U98" s="145"/>
      <c r="V98" s="145"/>
      <c r="W98" s="73"/>
      <c r="X98" s="73"/>
      <c r="Y98" s="74"/>
      <c r="Z98" s="113" t="str">
        <f t="array" ref="Z98">INDEX($A$1:$C$500, MATCH(1,($B:$B=$B98)*($C:$C=$AB98),0),1)</f>
        <v/>
      </c>
      <c r="AA98" s="113" t="str">
        <f t="array" ref="AA98">INDEX($A$1:$C$500, MATCH(1,($B:$B=$AB98)*($C:$C=$B98),0),1)</f>
        <v/>
      </c>
      <c r="AB98" s="111"/>
      <c r="AC98" s="114" t="str">
        <f t="shared" si="2"/>
        <v/>
      </c>
      <c r="AD98" s="115" t="str">
        <f t="shared" si="3"/>
        <v/>
      </c>
      <c r="AE98" s="116" t="str">
        <f t="array" ref="AE98">INDEX($A$1:$C$500, MATCH(1,($B:$B=$AB98)*($C:$C=$AG98),0),1)</f>
        <v/>
      </c>
      <c r="AF98" s="116" t="str">
        <f t="array" ref="AF98">INDEX($A$1:$C$500, MATCH(1,($B:$B=$AG98)*($C:$C=$AB98),0),1)</f>
        <v/>
      </c>
      <c r="AG98" s="72"/>
      <c r="AH98" s="114" t="str">
        <f t="shared" si="4"/>
        <v/>
      </c>
      <c r="AI98" s="115" t="str">
        <f t="shared" si="5"/>
        <v/>
      </c>
      <c r="AJ98" s="116" t="str">
        <f t="array" ref="AJ98">INDEX($A$1:$C$500, MATCH(1,($B:$B=$C98)*($C:$C=$AG98),0),1)</f>
        <v/>
      </c>
      <c r="AK98" s="116" t="str">
        <f t="array" ref="AK98">INDEX($A$1:$C$500, MATCH(1,($B:$B=$AG98)*($C:$C=$C98),0),1)</f>
        <v/>
      </c>
      <c r="AL98" s="116" t="str">
        <f t="array" ref="AL98">INDEX($A$1:$C$500, MATCH(1,($B:$B=$C98)*($C:$C=$AB98),0),1)</f>
        <v/>
      </c>
      <c r="AM98" s="116" t="str">
        <f t="array" ref="AM98">INDEX($A$1:$C$500, MATCH(1,($B:$B=$AB98)*($C:$C=$C98),0),1)</f>
        <v/>
      </c>
      <c r="AN98" s="114" t="str">
        <f t="array" ref="AN98">IFS(ISNUMBER(AJ98),AJ98,ISNUMBER(AK98),AK98,ISNUMBER(AL98),AL98,ISNUMBER(AM98),AM98)</f>
        <v>#N/A</v>
      </c>
      <c r="AO98" s="115" t="str">
        <f t="shared" si="6"/>
        <v/>
      </c>
      <c r="AP98" s="115" t="str">
        <f t="shared" si="7"/>
        <v/>
      </c>
      <c r="AQ98" s="111"/>
      <c r="AR98" s="109" t="str">
        <f t="shared" si="8"/>
        <v/>
      </c>
      <c r="AS98" s="72" t="str">
        <f>IFERROR(IF(AND(Preferences!B$3="Manual",OR(AX98/AW98&gt;V98/U98,BD98="Serious",BD98="Very serious")),"Assess imprecision",IFERROR(IFS(AND(Preferences!B$3="Automatic",V98/U98&gt;=30),"Extremely serious",AND(W98&lt;=$D$1*-1,Y98&lt;0,V98/U98&lt;3),"Not Serious",AND(W98&lt;=$D$1*-1,Y98&lt;0,V98/U98&gt;=3),"Very serious",AND(W98&gt;=$D$1,X98&gt;0,V98/U98&lt;3),"Not Serious",AND(W98&gt;=$D$1,X98&gt;0,V98/U98&gt;=3),"Very serious",AND(W98&lt;=$D$1*-1,Y98&gt;0,X98&gt;$D$2*-1,V98/U98&lt;3),"Serious", AND(W98&lt;=$D$1*-1,Y98&gt;0,X98&lt;$D$2*-1,V98/U98&lt;3),"Very serious", AND(W98&gt;=$D$1,X98&lt;0,Y98&lt;$D$2,V98/U98&lt;3),"Serious",AND(W98&gt;=$D$1,X98&lt;0,Y98&gt;$D$2,V98/U98&lt;3),"Very serious", AND(W98&lt;=$D$1*-1,Y98&gt;0,X98&gt;$D$2*-1,V98/U98&gt;=3),"Very serious", AND(W98&lt;=$D$1*-1,Y98&gt;0,X98&lt;$D$2*-1,V98/U98&gt;=3),"Very serious", AND(W98&gt;=$D$1,X98&lt;0,Y98&lt;$D$2,V98/U98&gt;=3),"Very serious", AND(W98&gt;=$D$1,X98&lt;0,Y98&gt;$D$2,V98/U98&gt;=3),"Very serious", AND(W98&gt;$D$1*-1,W98&lt;$D$1,X98&gt;$D$1*-1,Y98&lt;$D$1,V98/U98&lt;3),"Not Serious", AND(W98&gt;$D$1*-1,W98&lt;$D$1,OR(X98&lt;=$D$1*-1,Y98&gt;=$D$1),X98&gt;$D$2*-1,Y98&lt;$D$2,V98/U98&lt;3),"Serious", AND(W98&gt;$D$1*-1,W98&lt;$D$1,OR(X98&lt;=$D$2*-1,Y98&gt;=$D$2),V98/U98&lt;3),"Very serious", AND(W98&gt;$D$1*-1,W98&lt;$D$1,X98&gt;$D$1*-1,Y98&lt;$D$1,V98/U98&gt;=3),"Very serious", AND(W98&gt;$D$1*-1,W98&lt;$D$1,OR(X98&lt;=$D$1*-1,Y98&gt;=$D$1),X98&gt;$D$2*-1,Y98&lt;$D$2,V98/U98&gt;=3),"Very serious", AND(W98&gt;$D$1*-1,W98&lt;$D$1,OR(X98&lt;=$D$2*-1,Y98&gt;=$D$2),V98/U98&gt;=3),"Very serious"),"")),"")</f>
        <v/>
      </c>
      <c r="AT98" s="109" t="str">
        <f t="shared" si="9"/>
        <v/>
      </c>
      <c r="AU98" s="64"/>
      <c r="AV98" s="117"/>
      <c r="AW98" s="117"/>
      <c r="AX98" s="117"/>
      <c r="AY98" s="118"/>
      <c r="AZ98" s="118"/>
      <c r="BA98" s="119"/>
      <c r="BB98" s="86" t="str">
        <f>IF(Preferences!B$9="Manual","",IFS(ISBLANK(B98),"",AND(ISNUMBER(E98)=TRUE,ISNUMBER(T98)=FALSE),"Direct", AND(ISNUMBER(E98)=FALSE,ISNUMBER(T98)=TRUE),"Indirect", CN98=4,"Direct",AND(CL98=FALSE, CM98=TRUE,CN98-CO98&gt;-1),"Direct", AND(CL98=FALSE,CM98=TRUE, CN98-CO98&lt;0),"Check algorithm in appendix 2", AND(CL98=TRUE, CM98=FALSE,CN98-CO98&gt;0),"Check algorithm in appendix 2", AND(CL98=TRUE, CM98=FALSE,CN98-CO98=0),"Indirect", AND(CL98=TRUE, CM98=FALSE,CN98-CO98&lt;0),"Indirect", AND(CL98=FALSE,CM98=FALSE,CN98-CO98&gt;-1),"Direct", AND(CL98=FALSE,CM98=FALSE,CN98-CO98&lt;0),"Check algorithm in appendix 2", AND(CL98=TRUE,CM98=TRUE,CN98-CO98&gt;-1),"Direct", AND(CL98=TRUE,CM98=TRUE,CN98-CO98&lt;0),"Check algorithm in appendix 2"))</f>
        <v/>
      </c>
      <c r="BC98" s="120" t="str">
        <f t="shared" si="10"/>
        <v/>
      </c>
      <c r="BD98" s="140"/>
      <c r="BE98" s="122" t="str">
        <f>IF(Preferences!B$3="Manual","", IFERROR(IFS(AND(Preferences!B$3="Automatic",AX98/AW98&gt;=30),"Extremely serious",AND(AY98&lt;=$D$1*-1,BA98&lt;0,AX98/AW98&lt;3),"Not Serious",AND(AY98&lt;=$D$1*-1,BA98&lt;0,AX98/AW98&gt;=3),"Very serious",AND(AY98&gt;=$D$1,AZ98&gt;0,AX98/AW98&lt;3),"Not Serious",AND(AY98&gt;=$D$1,AZ98&gt;0,AX98/AW98&gt;=3),"Very serious",AND(AY98&lt;=$D$1*-1,BA98&gt;0,AZ98&gt;$D$2*-1,AX98/AW98&lt;3),"Serious", AND(AY98&lt;=$D$1*-1,BA98&gt;0,AZ98&lt;$D$2*-1,AX98/AW98&lt;3),"Very serious", AND(AY98&gt;=$D$1,AZ98&lt;0,BA98&lt;$D$2,AX98/AW98&lt;3),"Serious",AND(AY98&gt;=$D$1,AZ98&lt;0,BA98&gt;$D$2,AX98/AW98&lt;3),"Very serious", AND(AY98&lt;=$D$1*-1,BA98&gt;0,AZ98&gt;$D$2*-1,AX98/AW98&gt;=3),"Very serious", AND(AY98&lt;=$D$1*-1,BA98&gt;0,AZ98&lt;$D$2*-1,AX98/AW98&gt;=3),"Very serious", AND(AY98&gt;=$D$1,AZ98&lt;0,BA98&lt;$D$2,AX98/AW98&gt;=3),"Very serious", AND(AY98&gt;=$D$1,AZ98&lt;0,BA98&gt;$D$2,AX98/AW98&gt;=3),"Very serious", AND(AY98&gt;$D$1*-1,AY98&lt;$D$1,AZ98&gt;$D$1*-1,BA98&lt;$D$1,AX98/AW98&lt;3),"Not Serious", AND(AY98&gt;$D$1*-1,AY98&lt;$D$1,OR(AZ98&lt;=$D$1*-1,BA98&gt;=$D$1),AZ98&gt;$D$2*-1,BA98&lt;$D$2,AX98/AW98&lt;3),"Serious", AND(AY98&gt;$D$1*-1,AY98&lt;$D$1,OR(AZ98&lt;=$D$2*-1,BA98&gt;=$D$2),AX98/AW98&lt;3),"Very serious", AND(AY98&gt;$D$1*-1,AY98&lt;$D$1,AZ98&gt;$D$1*-1,BA98&lt;$D$1,AX98/AW98&gt;=3),"Very serious", AND(AY98&gt;$D$1*-1,AY98&lt;$D$1,OR(AZ98&lt;=$D$1*-1,BA98&gt;=$D$1),AZ98&gt;$D$2*-1,BA98&lt;$D$2,AX98/AW98&gt;=3),"Very serious", AND(AY98&gt;$D$1*-1,AY98&lt;$D$1,OR(AZ98&lt;=$D$2*-1,BA98&gt;=$D$2),AX98/AW98&gt;=3),"Very serious"),""))</f>
        <v/>
      </c>
      <c r="BF98" s="107" t="str">
        <f t="shared" si="11"/>
        <v/>
      </c>
      <c r="BG98" s="94" t="str">
        <f t="shared" si="46"/>
        <v/>
      </c>
      <c r="BH98" s="64" t="str">
        <f t="shared" si="12"/>
        <v>#N/A</v>
      </c>
      <c r="BI98" s="64" t="str">
        <f t="shared" si="13"/>
        <v/>
      </c>
      <c r="BJ98" s="123" t="str">
        <f t="shared" si="14"/>
        <v>#N/A</v>
      </c>
      <c r="BK98" s="64" t="str">
        <f t="shared" si="50"/>
        <v>YES</v>
      </c>
      <c r="BL98" s="64" t="str">
        <f t="shared" si="16"/>
        <v>YES</v>
      </c>
      <c r="BM98" s="64" t="str">
        <f t="shared" si="17"/>
        <v>YES</v>
      </c>
      <c r="BN98" s="124" t="str">
        <f t="shared" si="18"/>
        <v/>
      </c>
      <c r="BO98" s="91" t="str">
        <f t="shared" si="19"/>
        <v/>
      </c>
      <c r="BP98" s="91" t="str">
        <f t="shared" si="20"/>
        <v>#N/A</v>
      </c>
      <c r="BQ98" s="91" t="str">
        <f t="shared" si="21"/>
        <v/>
      </c>
      <c r="BR98" s="93" t="str">
        <f t="shared" si="22"/>
        <v/>
      </c>
      <c r="BS98" s="90" t="str">
        <f t="shared" si="23"/>
        <v/>
      </c>
      <c r="BT98" s="93" t="str">
        <f t="shared" si="24"/>
        <v>NA</v>
      </c>
      <c r="BU98" s="125" t="str">
        <f t="shared" si="25"/>
        <v>#N/A</v>
      </c>
      <c r="BV98" s="93" t="str">
        <f t="shared" si="26"/>
        <v/>
      </c>
      <c r="BW98" s="93" t="str">
        <f t="shared" si="27"/>
        <v/>
      </c>
      <c r="BX98" s="93" t="str">
        <f t="shared" si="28"/>
        <v>NA</v>
      </c>
      <c r="BY98" s="95" t="str">
        <f t="shared" si="29"/>
        <v>#N/A</v>
      </c>
      <c r="BZ98" s="93" t="str">
        <f t="shared" si="30"/>
        <v/>
      </c>
      <c r="CA98" s="93" t="str">
        <f t="shared" si="31"/>
        <v/>
      </c>
      <c r="CB98" s="93" t="str">
        <f t="shared" si="32"/>
        <v>NA</v>
      </c>
      <c r="CC98" s="96" t="str">
        <f t="shared" si="33"/>
        <v>#N/A</v>
      </c>
      <c r="CD98" s="93" t="str">
        <f t="shared" si="34"/>
        <v/>
      </c>
      <c r="CE98" s="93" t="str">
        <f t="shared" si="35"/>
        <v/>
      </c>
      <c r="CF98" s="93" t="str">
        <f t="shared" si="36"/>
        <v>NA</v>
      </c>
      <c r="CG98" s="97" t="str">
        <f t="shared" si="37"/>
        <v>#N/A</v>
      </c>
      <c r="CH98" s="98" t="str">
        <f t="shared" si="38"/>
        <v>#N/A</v>
      </c>
      <c r="CI98" s="99" t="str">
        <f t="shared" si="39"/>
        <v>#N/A</v>
      </c>
      <c r="CJ98" s="126" t="str">
        <f t="shared" si="40"/>
        <v>ERROR: check cell</v>
      </c>
      <c r="CK98" s="126"/>
      <c r="CL98" s="127" t="str">
        <f t="shared" si="41"/>
        <v>#DIV/0!</v>
      </c>
      <c r="CM98" s="128" t="str">
        <f t="shared" si="42"/>
        <v>#DIV/0!</v>
      </c>
      <c r="CN98" s="128">
        <f t="shared" si="43"/>
        <v>4</v>
      </c>
      <c r="CO98" s="129">
        <f t="shared" si="44"/>
        <v>4</v>
      </c>
      <c r="CP98" s="129" t="str">
        <f>IFS(C98=Preferences!B$13,B98,B98=Preferences!B$13,C98)</f>
        <v>#N/A</v>
      </c>
    </row>
    <row r="99" ht="13.5" customHeight="1">
      <c r="A99" s="63" t="str">
        <f t="shared" si="45"/>
        <v/>
      </c>
      <c r="B99" s="64"/>
      <c r="C99" s="64"/>
      <c r="D99" s="64"/>
      <c r="E99" s="65"/>
      <c r="F99" s="65"/>
      <c r="G99" s="65"/>
      <c r="H99" s="65"/>
      <c r="I99" s="65"/>
      <c r="J99" s="141"/>
      <c r="K99" s="138"/>
      <c r="L99" s="104"/>
      <c r="M99" s="104"/>
      <c r="N99" s="104"/>
      <c r="O99" s="104"/>
      <c r="P99" s="107" t="str">
        <f t="shared" si="1"/>
        <v/>
      </c>
      <c r="Q99" s="108" t="str">
        <f>IFERROR(IF(AND(Preferences!B$3="Manual",OR(AX99/AW99&gt;G99/F99,BD99="Serious",BD99="Very serious")),"Assess imprecision",IFS(ISBLANK(E99),"",AND(Preferences!B$3="Automatic", G99/F99&gt;=30),"Extremely serious",AND(H99&lt;=$D$1*-1,J99&lt;0,G99/F99&lt;3),"Not serious",AND(H99&lt;=$D$1*-1,J99&lt;0,G99/F99&gt;=3),"Very serious",AND(H99&gt;=$D$1,I99&gt;0,G99/F99&lt;3),"Not serious",AND(H99&gt;=$D$1,I99&gt;0,G99/F99&gt;=3),"Very serious",AND(H99&lt;=$D$1*-1,J99&gt;0,I99&gt;$D$2*-1,G99/F99&lt;3),"Serious", AND(H99&lt;=$D$1*-1,J99&gt;0,I99&lt;$D$2*-1,G99/F99&lt;3),"Very serious", AND(H99&gt;=$D$1,I99&lt;0,J99&lt;$D$2,G99/F99&lt;3),"Serious",AND(H99&gt;=$D$1,I99&lt;0,J99&gt;$D$2,G99/F99&lt;3),"Very serious", AND(H99&lt;=$D$1*-1,J99&gt;0,I99&gt;$D$2*-1,G99/F99&gt;=3),"Very serious", AND(H99&lt;=$D$1*-1,J99&gt;0,I99&lt;$D$2*-1,G99/F99&gt;=3),"Very serious", AND(H99&gt;=$D$1,I99&lt;0,J99&lt;$D$2,G99/F99&gt;=3),"Very serious", AND(H99&gt;=$D$1,I99&lt;0,J99&gt;$D$2,G99/F99&gt;=3),"Very serious", AND(H99&gt;$D$1*-1,H99&lt;$D$1,I99&gt;$D$1*-1,J99&lt;$D$1,G99/F99&lt;3),"Not serious", AND(H99&gt;$D$1*-1,H99&lt;$D$1,OR(I99&lt;=$D$1*-1,J99&gt;=$D$1),I99&gt;$D$2*-1,J99&lt;$D$2,G99/F99&lt;3),"Serious", AND(H99&gt;$D$1*-1,H99&lt;$D$1,OR(I99&lt;=$D$2*-1,J99&gt;=$D$2),G99/F99&lt;3),"Very serious", AND(H99&gt;$D$1*-1,H99&lt;$D$1,I99&gt;$D$1*-1,J99&lt;$D$1,G99/F99&gt;=3),"Very serious", AND(H99&gt;$D$1*-1,H99&lt;$D$1,OR(I99&lt;=$D$1*-1,J99&gt;=$D$1),I99&gt;$D$2*-1,J99&lt;$D$2,G99/F99&gt;=3),"Very serious", AND(H99&gt;$D$1*-1,H99&lt;$D$1,OR(I99&lt;=$D$2*-1,J99&gt;=$D$2),G99/F99&gt;=3),"Very serious")),"")</f>
        <v/>
      </c>
      <c r="R99" s="109" t="str">
        <f t="shared" si="47"/>
        <v/>
      </c>
      <c r="S99" s="64"/>
      <c r="T99" s="145"/>
      <c r="U99" s="145"/>
      <c r="V99" s="145"/>
      <c r="W99" s="73"/>
      <c r="X99" s="73"/>
      <c r="Y99" s="74"/>
      <c r="Z99" s="113" t="str">
        <f t="array" ref="Z99">INDEX($A$1:$C$500, MATCH(1,($B:$B=$B99)*($C:$C=$AB99),0),1)</f>
        <v/>
      </c>
      <c r="AA99" s="113" t="str">
        <f t="array" ref="AA99">INDEX($A$1:$C$500, MATCH(1,($B:$B=$AB99)*($C:$C=$B99),0),1)</f>
        <v/>
      </c>
      <c r="AB99" s="111"/>
      <c r="AC99" s="114" t="str">
        <f t="shared" si="2"/>
        <v/>
      </c>
      <c r="AD99" s="115" t="str">
        <f t="shared" si="3"/>
        <v/>
      </c>
      <c r="AE99" s="116" t="str">
        <f t="array" ref="AE99">INDEX($A$1:$C$500, MATCH(1,($B:$B=$AB99)*($C:$C=$AG99),0),1)</f>
        <v/>
      </c>
      <c r="AF99" s="116" t="str">
        <f t="array" ref="AF99">INDEX($A$1:$C$500, MATCH(1,($B:$B=$AG99)*($C:$C=$AB99),0),1)</f>
        <v/>
      </c>
      <c r="AG99" s="72"/>
      <c r="AH99" s="114" t="str">
        <f t="shared" si="4"/>
        <v/>
      </c>
      <c r="AI99" s="115" t="str">
        <f t="shared" si="5"/>
        <v/>
      </c>
      <c r="AJ99" s="116" t="str">
        <f t="array" ref="AJ99">INDEX($A$1:$C$500, MATCH(1,($B:$B=$C99)*($C:$C=$AG99),0),1)</f>
        <v/>
      </c>
      <c r="AK99" s="116" t="str">
        <f t="array" ref="AK99">INDEX($A$1:$C$500, MATCH(1,($B:$B=$AG99)*($C:$C=$C99),0),1)</f>
        <v/>
      </c>
      <c r="AL99" s="116" t="str">
        <f t="array" ref="AL99">INDEX($A$1:$C$500, MATCH(1,($B:$B=$C99)*($C:$C=$AB99),0),1)</f>
        <v/>
      </c>
      <c r="AM99" s="116" t="str">
        <f t="array" ref="AM99">INDEX($A$1:$C$500, MATCH(1,($B:$B=$AB99)*($C:$C=$C99),0),1)</f>
        <v/>
      </c>
      <c r="AN99" s="114" t="str">
        <f t="array" ref="AN99">IFS(ISNUMBER(AJ99),AJ99,ISNUMBER(AK99),AK99,ISNUMBER(AL99),AL99,ISNUMBER(AM99),AM99)</f>
        <v>#N/A</v>
      </c>
      <c r="AO99" s="115" t="str">
        <f t="shared" si="6"/>
        <v/>
      </c>
      <c r="AP99" s="115" t="str">
        <f t="shared" si="7"/>
        <v/>
      </c>
      <c r="AQ99" s="111"/>
      <c r="AR99" s="109" t="str">
        <f t="shared" si="8"/>
        <v/>
      </c>
      <c r="AS99" s="72" t="str">
        <f>IFERROR(IF(AND(Preferences!B$3="Manual",OR(AX99/AW99&gt;V99/U99,BD99="Serious",BD99="Very serious")),"Assess imprecision",IFERROR(IFS(AND(Preferences!B$3="Automatic",V99/U99&gt;=30),"Extremely serious",AND(W99&lt;=$D$1*-1,Y99&lt;0,V99/U99&lt;3),"Not Serious",AND(W99&lt;=$D$1*-1,Y99&lt;0,V99/U99&gt;=3),"Very serious",AND(W99&gt;=$D$1,X99&gt;0,V99/U99&lt;3),"Not Serious",AND(W99&gt;=$D$1,X99&gt;0,V99/U99&gt;=3),"Very serious",AND(W99&lt;=$D$1*-1,Y99&gt;0,X99&gt;$D$2*-1,V99/U99&lt;3),"Serious", AND(W99&lt;=$D$1*-1,Y99&gt;0,X99&lt;$D$2*-1,V99/U99&lt;3),"Very serious", AND(W99&gt;=$D$1,X99&lt;0,Y99&lt;$D$2,V99/U99&lt;3),"Serious",AND(W99&gt;=$D$1,X99&lt;0,Y99&gt;$D$2,V99/U99&lt;3),"Very serious", AND(W99&lt;=$D$1*-1,Y99&gt;0,X99&gt;$D$2*-1,V99/U99&gt;=3),"Very serious", AND(W99&lt;=$D$1*-1,Y99&gt;0,X99&lt;$D$2*-1,V99/U99&gt;=3),"Very serious", AND(W99&gt;=$D$1,X99&lt;0,Y99&lt;$D$2,V99/U99&gt;=3),"Very serious", AND(W99&gt;=$D$1,X99&lt;0,Y99&gt;$D$2,V99/U99&gt;=3),"Very serious", AND(W99&gt;$D$1*-1,W99&lt;$D$1,X99&gt;$D$1*-1,Y99&lt;$D$1,V99/U99&lt;3),"Not Serious", AND(W99&gt;$D$1*-1,W99&lt;$D$1,OR(X99&lt;=$D$1*-1,Y99&gt;=$D$1),X99&gt;$D$2*-1,Y99&lt;$D$2,V99/U99&lt;3),"Serious", AND(W99&gt;$D$1*-1,W99&lt;$D$1,OR(X99&lt;=$D$2*-1,Y99&gt;=$D$2),V99/U99&lt;3),"Very serious", AND(W99&gt;$D$1*-1,W99&lt;$D$1,X99&gt;$D$1*-1,Y99&lt;$D$1,V99/U99&gt;=3),"Very serious", AND(W99&gt;$D$1*-1,W99&lt;$D$1,OR(X99&lt;=$D$1*-1,Y99&gt;=$D$1),X99&gt;$D$2*-1,Y99&lt;$D$2,V99/U99&gt;=3),"Very serious", AND(W99&gt;$D$1*-1,W99&lt;$D$1,OR(X99&lt;=$D$2*-1,Y99&gt;=$D$2),V99/U99&gt;=3),"Very serious"),"")),"")</f>
        <v/>
      </c>
      <c r="AT99" s="109" t="str">
        <f t="shared" si="9"/>
        <v/>
      </c>
      <c r="AU99" s="64"/>
      <c r="AV99" s="117"/>
      <c r="AW99" s="117"/>
      <c r="AX99" s="117"/>
      <c r="AY99" s="118"/>
      <c r="AZ99" s="118"/>
      <c r="BA99" s="119"/>
      <c r="BB99" s="86" t="str">
        <f>IF(Preferences!B$9="Manual","",IFS(ISBLANK(B99),"",AND(ISNUMBER(E99)=TRUE,ISNUMBER(T99)=FALSE),"Direct", AND(ISNUMBER(E99)=FALSE,ISNUMBER(T99)=TRUE),"Indirect", CN99=4,"Direct",AND(CL99=FALSE, CM99=TRUE,CN99-CO99&gt;-1),"Direct", AND(CL99=FALSE,CM99=TRUE, CN99-CO99&lt;0),"Check algorithm in appendix 2", AND(CL99=TRUE, CM99=FALSE,CN99-CO99&gt;0),"Check algorithm in appendix 2", AND(CL99=TRUE, CM99=FALSE,CN99-CO99=0),"Indirect", AND(CL99=TRUE, CM99=FALSE,CN99-CO99&lt;0),"Indirect", AND(CL99=FALSE,CM99=FALSE,CN99-CO99&gt;-1),"Direct", AND(CL99=FALSE,CM99=FALSE,CN99-CO99&lt;0),"Check algorithm in appendix 2", AND(CL99=TRUE,CM99=TRUE,CN99-CO99&gt;-1),"Direct", AND(CL99=TRUE,CM99=TRUE,CN99-CO99&lt;0),"Check algorithm in appendix 2"))</f>
        <v/>
      </c>
      <c r="BC99" s="120" t="str">
        <f t="shared" si="10"/>
        <v/>
      </c>
      <c r="BD99" s="140"/>
      <c r="BE99" s="122" t="str">
        <f>IF(Preferences!B$3="Manual","", IFERROR(IFS(AND(Preferences!B$3="Automatic",AX99/AW99&gt;=30),"Extremely serious",AND(AY99&lt;=$D$1*-1,BA99&lt;0,AX99/AW99&lt;3),"Not Serious",AND(AY99&lt;=$D$1*-1,BA99&lt;0,AX99/AW99&gt;=3),"Very serious",AND(AY99&gt;=$D$1,AZ99&gt;0,AX99/AW99&lt;3),"Not Serious",AND(AY99&gt;=$D$1,AZ99&gt;0,AX99/AW99&gt;=3),"Very serious",AND(AY99&lt;=$D$1*-1,BA99&gt;0,AZ99&gt;$D$2*-1,AX99/AW99&lt;3),"Serious", AND(AY99&lt;=$D$1*-1,BA99&gt;0,AZ99&lt;$D$2*-1,AX99/AW99&lt;3),"Very serious", AND(AY99&gt;=$D$1,AZ99&lt;0,BA99&lt;$D$2,AX99/AW99&lt;3),"Serious",AND(AY99&gt;=$D$1,AZ99&lt;0,BA99&gt;$D$2,AX99/AW99&lt;3),"Very serious", AND(AY99&lt;=$D$1*-1,BA99&gt;0,AZ99&gt;$D$2*-1,AX99/AW99&gt;=3),"Very serious", AND(AY99&lt;=$D$1*-1,BA99&gt;0,AZ99&lt;$D$2*-1,AX99/AW99&gt;=3),"Very serious", AND(AY99&gt;=$D$1,AZ99&lt;0,BA99&lt;$D$2,AX99/AW99&gt;=3),"Very serious", AND(AY99&gt;=$D$1,AZ99&lt;0,BA99&gt;$D$2,AX99/AW99&gt;=3),"Very serious", AND(AY99&gt;$D$1*-1,AY99&lt;$D$1,AZ99&gt;$D$1*-1,BA99&lt;$D$1,AX99/AW99&lt;3),"Not Serious", AND(AY99&gt;$D$1*-1,AY99&lt;$D$1,OR(AZ99&lt;=$D$1*-1,BA99&gt;=$D$1),AZ99&gt;$D$2*-1,BA99&lt;$D$2,AX99/AW99&lt;3),"Serious", AND(AY99&gt;$D$1*-1,AY99&lt;$D$1,OR(AZ99&lt;=$D$2*-1,BA99&gt;=$D$2),AX99/AW99&lt;3),"Very serious", AND(AY99&gt;$D$1*-1,AY99&lt;$D$1,AZ99&gt;$D$1*-1,BA99&lt;$D$1,AX99/AW99&gt;=3),"Very serious", AND(AY99&gt;$D$1*-1,AY99&lt;$D$1,OR(AZ99&lt;=$D$1*-1,BA99&gt;=$D$1),AZ99&gt;$D$2*-1,BA99&lt;$D$2,AX99/AW99&gt;=3),"Very serious", AND(AY99&gt;$D$1*-1,AY99&lt;$D$1,OR(AZ99&lt;=$D$2*-1,BA99&gt;=$D$2),AX99/AW99&gt;=3),"Very serious"),""))</f>
        <v/>
      </c>
      <c r="BF99" s="107" t="str">
        <f t="shared" si="11"/>
        <v/>
      </c>
      <c r="BG99" s="94" t="str">
        <f t="shared" si="46"/>
        <v/>
      </c>
      <c r="BH99" s="64" t="str">
        <f t="shared" si="12"/>
        <v>#N/A</v>
      </c>
      <c r="BI99" s="64" t="str">
        <f t="shared" si="13"/>
        <v/>
      </c>
      <c r="BJ99" s="123" t="str">
        <f t="shared" si="14"/>
        <v>#N/A</v>
      </c>
      <c r="BK99" s="64" t="str">
        <f t="shared" si="50"/>
        <v>YES</v>
      </c>
      <c r="BL99" s="64" t="str">
        <f t="shared" si="16"/>
        <v>YES</v>
      </c>
      <c r="BM99" s="64" t="str">
        <f t="shared" si="17"/>
        <v>YES</v>
      </c>
      <c r="BN99" s="124" t="str">
        <f t="shared" si="18"/>
        <v/>
      </c>
      <c r="BO99" s="91" t="str">
        <f t="shared" si="19"/>
        <v/>
      </c>
      <c r="BP99" s="91" t="str">
        <f t="shared" si="20"/>
        <v>#N/A</v>
      </c>
      <c r="BQ99" s="91" t="str">
        <f t="shared" si="21"/>
        <v/>
      </c>
      <c r="BR99" s="93" t="str">
        <f t="shared" si="22"/>
        <v/>
      </c>
      <c r="BS99" s="90" t="str">
        <f t="shared" si="23"/>
        <v/>
      </c>
      <c r="BT99" s="93" t="str">
        <f t="shared" si="24"/>
        <v>NA</v>
      </c>
      <c r="BU99" s="125" t="str">
        <f t="shared" si="25"/>
        <v>#N/A</v>
      </c>
      <c r="BV99" s="93" t="str">
        <f t="shared" si="26"/>
        <v/>
      </c>
      <c r="BW99" s="93" t="str">
        <f t="shared" si="27"/>
        <v/>
      </c>
      <c r="BX99" s="93" t="str">
        <f t="shared" si="28"/>
        <v>NA</v>
      </c>
      <c r="BY99" s="95" t="str">
        <f t="shared" si="29"/>
        <v>#N/A</v>
      </c>
      <c r="BZ99" s="93" t="str">
        <f t="shared" si="30"/>
        <v/>
      </c>
      <c r="CA99" s="93" t="str">
        <f t="shared" si="31"/>
        <v/>
      </c>
      <c r="CB99" s="93" t="str">
        <f t="shared" si="32"/>
        <v>NA</v>
      </c>
      <c r="CC99" s="96" t="str">
        <f t="shared" si="33"/>
        <v>#N/A</v>
      </c>
      <c r="CD99" s="93" t="str">
        <f t="shared" si="34"/>
        <v/>
      </c>
      <c r="CE99" s="93" t="str">
        <f t="shared" si="35"/>
        <v/>
      </c>
      <c r="CF99" s="93" t="str">
        <f t="shared" si="36"/>
        <v>NA</v>
      </c>
      <c r="CG99" s="97" t="str">
        <f t="shared" si="37"/>
        <v>#N/A</v>
      </c>
      <c r="CH99" s="98" t="str">
        <f t="shared" si="38"/>
        <v>#N/A</v>
      </c>
      <c r="CI99" s="99" t="str">
        <f t="shared" si="39"/>
        <v>#N/A</v>
      </c>
      <c r="CJ99" s="126" t="str">
        <f t="shared" si="40"/>
        <v>ERROR: check cell</v>
      </c>
      <c r="CK99" s="126"/>
      <c r="CL99" s="127" t="str">
        <f t="shared" si="41"/>
        <v>#DIV/0!</v>
      </c>
      <c r="CM99" s="128" t="str">
        <f t="shared" si="42"/>
        <v>#DIV/0!</v>
      </c>
      <c r="CN99" s="128">
        <f t="shared" si="43"/>
        <v>4</v>
      </c>
      <c r="CO99" s="129">
        <f t="shared" si="44"/>
        <v>4</v>
      </c>
      <c r="CP99" s="129" t="str">
        <f>IFS(C99=Preferences!B$13,B99,B99=Preferences!B$13,C99)</f>
        <v>#N/A</v>
      </c>
    </row>
    <row r="100" ht="13.5" customHeight="1">
      <c r="A100" s="63" t="str">
        <f t="shared" si="45"/>
        <v/>
      </c>
      <c r="B100" s="64"/>
      <c r="C100" s="64"/>
      <c r="D100" s="64"/>
      <c r="E100" s="65"/>
      <c r="F100" s="65"/>
      <c r="G100" s="65"/>
      <c r="H100" s="65"/>
      <c r="I100" s="65"/>
      <c r="J100" s="141"/>
      <c r="K100" s="138"/>
      <c r="L100" s="104"/>
      <c r="M100" s="104"/>
      <c r="N100" s="104"/>
      <c r="O100" s="104"/>
      <c r="P100" s="107" t="str">
        <f t="shared" si="1"/>
        <v/>
      </c>
      <c r="Q100" s="108" t="str">
        <f>IFERROR(IF(AND(Preferences!B$3="Manual",OR(AX100/AW100&gt;G100/F100,BD100="Serious",BD100="Very serious")),"Assess imprecision",IFS(ISBLANK(E100),"",AND(Preferences!B$3="Automatic", G100/F100&gt;=30),"Extremely serious",AND(H100&lt;=$D$1*-1,J100&lt;0,G100/F100&lt;3),"Not serious",AND(H100&lt;=$D$1*-1,J100&lt;0,G100/F100&gt;=3),"Very serious",AND(H100&gt;=$D$1,I100&gt;0,G100/F100&lt;3),"Not serious",AND(H100&gt;=$D$1,I100&gt;0,G100/F100&gt;=3),"Very serious",AND(H100&lt;=$D$1*-1,J100&gt;0,I100&gt;$D$2*-1,G100/F100&lt;3),"Serious", AND(H100&lt;=$D$1*-1,J100&gt;0,I100&lt;$D$2*-1,G100/F100&lt;3),"Very serious", AND(H100&gt;=$D$1,I100&lt;0,J100&lt;$D$2,G100/F100&lt;3),"Serious",AND(H100&gt;=$D$1,I100&lt;0,J100&gt;$D$2,G100/F100&lt;3),"Very serious", AND(H100&lt;=$D$1*-1,J100&gt;0,I100&gt;$D$2*-1,G100/F100&gt;=3),"Very serious", AND(H100&lt;=$D$1*-1,J100&gt;0,I100&lt;$D$2*-1,G100/F100&gt;=3),"Very serious", AND(H100&gt;=$D$1,I100&lt;0,J100&lt;$D$2,G100/F100&gt;=3),"Very serious", AND(H100&gt;=$D$1,I100&lt;0,J100&gt;$D$2,G100/F100&gt;=3),"Very serious", AND(H100&gt;$D$1*-1,H100&lt;$D$1,I100&gt;$D$1*-1,J100&lt;$D$1,G100/F100&lt;3),"Not serious", AND(H100&gt;$D$1*-1,H100&lt;$D$1,OR(I100&lt;=$D$1*-1,J100&gt;=$D$1),I100&gt;$D$2*-1,J100&lt;$D$2,G100/F100&lt;3),"Serious", AND(H100&gt;$D$1*-1,H100&lt;$D$1,OR(I100&lt;=$D$2*-1,J100&gt;=$D$2),G100/F100&lt;3),"Very serious", AND(H100&gt;$D$1*-1,H100&lt;$D$1,I100&gt;$D$1*-1,J100&lt;$D$1,G100/F100&gt;=3),"Very serious", AND(H100&gt;$D$1*-1,H100&lt;$D$1,OR(I100&lt;=$D$1*-1,J100&gt;=$D$1),I100&gt;$D$2*-1,J100&lt;$D$2,G100/F100&gt;=3),"Very serious", AND(H100&gt;$D$1*-1,H100&lt;$D$1,OR(I100&lt;=$D$2*-1,J100&gt;=$D$2),G100/F100&gt;=3),"Very serious")),"")</f>
        <v/>
      </c>
      <c r="R100" s="109" t="str">
        <f t="shared" si="47"/>
        <v/>
      </c>
      <c r="S100" s="64"/>
      <c r="T100" s="145"/>
      <c r="U100" s="145"/>
      <c r="V100" s="145"/>
      <c r="W100" s="73"/>
      <c r="X100" s="73"/>
      <c r="Y100" s="74"/>
      <c r="Z100" s="113" t="str">
        <f t="array" ref="Z100">INDEX($A$1:$C$500, MATCH(1,($B:$B=$B100)*($C:$C=$AB100),0),1)</f>
        <v/>
      </c>
      <c r="AA100" s="113" t="str">
        <f t="array" ref="AA100">INDEX($A$1:$C$500, MATCH(1,($B:$B=$AB100)*($C:$C=$B100),0),1)</f>
        <v/>
      </c>
      <c r="AB100" s="111"/>
      <c r="AC100" s="114" t="str">
        <f t="shared" si="2"/>
        <v/>
      </c>
      <c r="AD100" s="115" t="str">
        <f t="shared" si="3"/>
        <v/>
      </c>
      <c r="AE100" s="116" t="str">
        <f t="array" ref="AE100">INDEX($A$1:$C$500, MATCH(1,($B:$B=$AB100)*($C:$C=$AG100),0),1)</f>
        <v/>
      </c>
      <c r="AF100" s="116" t="str">
        <f t="array" ref="AF100">INDEX($A$1:$C$500, MATCH(1,($B:$B=$AG100)*($C:$C=$AB100),0),1)</f>
        <v/>
      </c>
      <c r="AG100" s="72"/>
      <c r="AH100" s="114" t="str">
        <f t="shared" si="4"/>
        <v/>
      </c>
      <c r="AI100" s="115" t="str">
        <f t="shared" si="5"/>
        <v/>
      </c>
      <c r="AJ100" s="116" t="str">
        <f t="array" ref="AJ100">INDEX($A$1:$C$500, MATCH(1,($B:$B=$C100)*($C:$C=$AG100),0),1)</f>
        <v/>
      </c>
      <c r="AK100" s="116" t="str">
        <f t="array" ref="AK100">INDEX($A$1:$C$500, MATCH(1,($B:$B=$AG100)*($C:$C=$C100),0),1)</f>
        <v/>
      </c>
      <c r="AL100" s="116" t="str">
        <f t="array" ref="AL100">INDEX($A$1:$C$500, MATCH(1,($B:$B=$C100)*($C:$C=$AB100),0),1)</f>
        <v/>
      </c>
      <c r="AM100" s="116" t="str">
        <f t="array" ref="AM100">INDEX($A$1:$C$500, MATCH(1,($B:$B=$AB100)*($C:$C=$C100),0),1)</f>
        <v/>
      </c>
      <c r="AN100" s="114" t="str">
        <f t="array" ref="AN100">IFS(ISNUMBER(AJ100),AJ100,ISNUMBER(AK100),AK100,ISNUMBER(AL100),AL100,ISNUMBER(AM100),AM100)</f>
        <v>#N/A</v>
      </c>
      <c r="AO100" s="115" t="str">
        <f t="shared" si="6"/>
        <v/>
      </c>
      <c r="AP100" s="115" t="str">
        <f t="shared" si="7"/>
        <v/>
      </c>
      <c r="AQ100" s="111"/>
      <c r="AR100" s="109" t="str">
        <f t="shared" si="8"/>
        <v/>
      </c>
      <c r="AS100" s="72" t="str">
        <f>IFERROR(IF(AND(Preferences!B$3="Manual",OR(AX100/AW100&gt;V100/U100,BD100="Serious",BD100="Very serious")),"Assess imprecision",IFERROR(IFS(AND(Preferences!B$3="Automatic",V100/U100&gt;=30),"Extremely serious",AND(W100&lt;=$D$1*-1,Y100&lt;0,V100/U100&lt;3),"Not Serious",AND(W100&lt;=$D$1*-1,Y100&lt;0,V100/U100&gt;=3),"Very serious",AND(W100&gt;=$D$1,X100&gt;0,V100/U100&lt;3),"Not Serious",AND(W100&gt;=$D$1,X100&gt;0,V100/U100&gt;=3),"Very serious",AND(W100&lt;=$D$1*-1,Y100&gt;0,X100&gt;$D$2*-1,V100/U100&lt;3),"Serious", AND(W100&lt;=$D$1*-1,Y100&gt;0,X100&lt;$D$2*-1,V100/U100&lt;3),"Very serious", AND(W100&gt;=$D$1,X100&lt;0,Y100&lt;$D$2,V100/U100&lt;3),"Serious",AND(W100&gt;=$D$1,X100&lt;0,Y100&gt;$D$2,V100/U100&lt;3),"Very serious", AND(W100&lt;=$D$1*-1,Y100&gt;0,X100&gt;$D$2*-1,V100/U100&gt;=3),"Very serious", AND(W100&lt;=$D$1*-1,Y100&gt;0,X100&lt;$D$2*-1,V100/U100&gt;=3),"Very serious", AND(W100&gt;=$D$1,X100&lt;0,Y100&lt;$D$2,V100/U100&gt;=3),"Very serious", AND(W100&gt;=$D$1,X100&lt;0,Y100&gt;$D$2,V100/U100&gt;=3),"Very serious", AND(W100&gt;$D$1*-1,W100&lt;$D$1,X100&gt;$D$1*-1,Y100&lt;$D$1,V100/U100&lt;3),"Not Serious", AND(W100&gt;$D$1*-1,W100&lt;$D$1,OR(X100&lt;=$D$1*-1,Y100&gt;=$D$1),X100&gt;$D$2*-1,Y100&lt;$D$2,V100/U100&lt;3),"Serious", AND(W100&gt;$D$1*-1,W100&lt;$D$1,OR(X100&lt;=$D$2*-1,Y100&gt;=$D$2),V100/U100&lt;3),"Very serious", AND(W100&gt;$D$1*-1,W100&lt;$D$1,X100&gt;$D$1*-1,Y100&lt;$D$1,V100/U100&gt;=3),"Very serious", AND(W100&gt;$D$1*-1,W100&lt;$D$1,OR(X100&lt;=$D$1*-1,Y100&gt;=$D$1),X100&gt;$D$2*-1,Y100&lt;$D$2,V100/U100&gt;=3),"Very serious", AND(W100&gt;$D$1*-1,W100&lt;$D$1,OR(X100&lt;=$D$2*-1,Y100&gt;=$D$2),V100/U100&gt;=3),"Very serious"),"")),"")</f>
        <v/>
      </c>
      <c r="AT100" s="109" t="str">
        <f t="shared" si="9"/>
        <v/>
      </c>
      <c r="AU100" s="64"/>
      <c r="AV100" s="117"/>
      <c r="AW100" s="117"/>
      <c r="AX100" s="117"/>
      <c r="AY100" s="118"/>
      <c r="AZ100" s="118"/>
      <c r="BA100" s="119"/>
      <c r="BB100" s="86" t="str">
        <f>IF(Preferences!B$9="Manual","",IFS(ISBLANK(B100),"",AND(ISNUMBER(E100)=TRUE,ISNUMBER(T100)=FALSE),"Direct", AND(ISNUMBER(E100)=FALSE,ISNUMBER(T100)=TRUE),"Indirect", CN100=4,"Direct",AND(CL100=FALSE, CM100=TRUE,CN100-CO100&gt;-1),"Direct", AND(CL100=FALSE,CM100=TRUE, CN100-CO100&lt;0),"Check algorithm in appendix 2", AND(CL100=TRUE, CM100=FALSE,CN100-CO100&gt;0),"Check algorithm in appendix 2", AND(CL100=TRUE, CM100=FALSE,CN100-CO100=0),"Indirect", AND(CL100=TRUE, CM100=FALSE,CN100-CO100&lt;0),"Indirect", AND(CL100=FALSE,CM100=FALSE,CN100-CO100&gt;-1),"Direct", AND(CL100=FALSE,CM100=FALSE,CN100-CO100&lt;0),"Check algorithm in appendix 2", AND(CL100=TRUE,CM100=TRUE,CN100-CO100&gt;-1),"Direct", AND(CL100=TRUE,CM100=TRUE,CN100-CO100&lt;0),"Check algorithm in appendix 2"))</f>
        <v/>
      </c>
      <c r="BC100" s="120" t="str">
        <f t="shared" si="10"/>
        <v/>
      </c>
      <c r="BD100" s="140"/>
      <c r="BE100" s="122" t="str">
        <f>IF(Preferences!B$3="Manual","", IFERROR(IFS(AND(Preferences!B$3="Automatic",AX100/AW100&gt;=30),"Extremely serious",AND(AY100&lt;=$D$1*-1,BA100&lt;0,AX100/AW100&lt;3),"Not Serious",AND(AY100&lt;=$D$1*-1,BA100&lt;0,AX100/AW100&gt;=3),"Very serious",AND(AY100&gt;=$D$1,AZ100&gt;0,AX100/AW100&lt;3),"Not Serious",AND(AY100&gt;=$D$1,AZ100&gt;0,AX100/AW100&gt;=3),"Very serious",AND(AY100&lt;=$D$1*-1,BA100&gt;0,AZ100&gt;$D$2*-1,AX100/AW100&lt;3),"Serious", AND(AY100&lt;=$D$1*-1,BA100&gt;0,AZ100&lt;$D$2*-1,AX100/AW100&lt;3),"Very serious", AND(AY100&gt;=$D$1,AZ100&lt;0,BA100&lt;$D$2,AX100/AW100&lt;3),"Serious",AND(AY100&gt;=$D$1,AZ100&lt;0,BA100&gt;$D$2,AX100/AW100&lt;3),"Very serious", AND(AY100&lt;=$D$1*-1,BA100&gt;0,AZ100&gt;$D$2*-1,AX100/AW100&gt;=3),"Very serious", AND(AY100&lt;=$D$1*-1,BA100&gt;0,AZ100&lt;$D$2*-1,AX100/AW100&gt;=3),"Very serious", AND(AY100&gt;=$D$1,AZ100&lt;0,BA100&lt;$D$2,AX100/AW100&gt;=3),"Very serious", AND(AY100&gt;=$D$1,AZ100&lt;0,BA100&gt;$D$2,AX100/AW100&gt;=3),"Very serious", AND(AY100&gt;$D$1*-1,AY100&lt;$D$1,AZ100&gt;$D$1*-1,BA100&lt;$D$1,AX100/AW100&lt;3),"Not Serious", AND(AY100&gt;$D$1*-1,AY100&lt;$D$1,OR(AZ100&lt;=$D$1*-1,BA100&gt;=$D$1),AZ100&gt;$D$2*-1,BA100&lt;$D$2,AX100/AW100&lt;3),"Serious", AND(AY100&gt;$D$1*-1,AY100&lt;$D$1,OR(AZ100&lt;=$D$2*-1,BA100&gt;=$D$2),AX100/AW100&lt;3),"Very serious", AND(AY100&gt;$D$1*-1,AY100&lt;$D$1,AZ100&gt;$D$1*-1,BA100&lt;$D$1,AX100/AW100&gt;=3),"Very serious", AND(AY100&gt;$D$1*-1,AY100&lt;$D$1,OR(AZ100&lt;=$D$1*-1,BA100&gt;=$D$1),AZ100&gt;$D$2*-1,BA100&lt;$D$2,AX100/AW100&gt;=3),"Very serious", AND(AY100&gt;$D$1*-1,AY100&lt;$D$1,OR(AZ100&lt;=$D$2*-1,BA100&gt;=$D$2),AX100/AW100&gt;=3),"Very serious"),""))</f>
        <v/>
      </c>
      <c r="BF100" s="107" t="str">
        <f t="shared" si="11"/>
        <v/>
      </c>
      <c r="BG100" s="94" t="str">
        <f t="shared" si="46"/>
        <v/>
      </c>
      <c r="BH100" s="64" t="str">
        <f t="shared" si="12"/>
        <v>#N/A</v>
      </c>
      <c r="BI100" s="64" t="str">
        <f t="shared" si="13"/>
        <v/>
      </c>
      <c r="BJ100" s="123" t="str">
        <f t="shared" si="14"/>
        <v>#N/A</v>
      </c>
      <c r="BK100" s="64" t="str">
        <f t="shared" si="50"/>
        <v>YES</v>
      </c>
      <c r="BL100" s="64" t="str">
        <f t="shared" si="16"/>
        <v>YES</v>
      </c>
      <c r="BM100" s="64" t="str">
        <f t="shared" si="17"/>
        <v>YES</v>
      </c>
      <c r="BN100" s="124" t="str">
        <f t="shared" si="18"/>
        <v/>
      </c>
      <c r="BO100" s="91" t="str">
        <f t="shared" si="19"/>
        <v/>
      </c>
      <c r="BP100" s="91" t="str">
        <f t="shared" si="20"/>
        <v>#N/A</v>
      </c>
      <c r="BQ100" s="91" t="str">
        <f t="shared" si="21"/>
        <v/>
      </c>
      <c r="BR100" s="93" t="str">
        <f t="shared" si="22"/>
        <v/>
      </c>
      <c r="BS100" s="90" t="str">
        <f t="shared" si="23"/>
        <v/>
      </c>
      <c r="BT100" s="93" t="str">
        <f t="shared" si="24"/>
        <v>NA</v>
      </c>
      <c r="BU100" s="125" t="str">
        <f t="shared" si="25"/>
        <v>#N/A</v>
      </c>
      <c r="BV100" s="93" t="str">
        <f t="shared" si="26"/>
        <v/>
      </c>
      <c r="BW100" s="93" t="str">
        <f t="shared" si="27"/>
        <v/>
      </c>
      <c r="BX100" s="93" t="str">
        <f t="shared" si="28"/>
        <v>NA</v>
      </c>
      <c r="BY100" s="95" t="str">
        <f t="shared" si="29"/>
        <v>#N/A</v>
      </c>
      <c r="BZ100" s="93" t="str">
        <f t="shared" si="30"/>
        <v/>
      </c>
      <c r="CA100" s="93" t="str">
        <f t="shared" si="31"/>
        <v/>
      </c>
      <c r="CB100" s="93" t="str">
        <f t="shared" si="32"/>
        <v>NA</v>
      </c>
      <c r="CC100" s="96" t="str">
        <f t="shared" si="33"/>
        <v>#N/A</v>
      </c>
      <c r="CD100" s="93" t="str">
        <f t="shared" si="34"/>
        <v/>
      </c>
      <c r="CE100" s="93" t="str">
        <f t="shared" si="35"/>
        <v/>
      </c>
      <c r="CF100" s="93" t="str">
        <f t="shared" si="36"/>
        <v>NA</v>
      </c>
      <c r="CG100" s="97" t="str">
        <f t="shared" si="37"/>
        <v>#N/A</v>
      </c>
      <c r="CH100" s="98" t="str">
        <f t="shared" si="38"/>
        <v>#N/A</v>
      </c>
      <c r="CI100" s="99" t="str">
        <f t="shared" si="39"/>
        <v>#N/A</v>
      </c>
      <c r="CJ100" s="126" t="str">
        <f t="shared" si="40"/>
        <v>ERROR: check cell</v>
      </c>
      <c r="CK100" s="126"/>
      <c r="CL100" s="127" t="str">
        <f t="shared" si="41"/>
        <v>#DIV/0!</v>
      </c>
      <c r="CM100" s="128" t="str">
        <f t="shared" si="42"/>
        <v>#DIV/0!</v>
      </c>
      <c r="CN100" s="128">
        <f t="shared" si="43"/>
        <v>4</v>
      </c>
      <c r="CO100" s="129">
        <f t="shared" si="44"/>
        <v>4</v>
      </c>
      <c r="CP100" s="129" t="str">
        <f>IFS(C100=Preferences!B$13,B100,B100=Preferences!B$13,C100)</f>
        <v>#N/A</v>
      </c>
    </row>
    <row r="101" ht="13.5" customHeight="1">
      <c r="A101" s="63" t="str">
        <f t="shared" si="45"/>
        <v/>
      </c>
      <c r="B101" s="64"/>
      <c r="C101" s="64"/>
      <c r="D101" s="64"/>
      <c r="E101" s="65"/>
      <c r="F101" s="65"/>
      <c r="G101" s="65"/>
      <c r="H101" s="65"/>
      <c r="I101" s="65"/>
      <c r="J101" s="141"/>
      <c r="K101" s="138"/>
      <c r="L101" s="104"/>
      <c r="M101" s="104"/>
      <c r="N101" s="104"/>
      <c r="O101" s="104"/>
      <c r="P101" s="107" t="str">
        <f t="shared" si="1"/>
        <v/>
      </c>
      <c r="Q101" s="108" t="str">
        <f>IFERROR(IF(AND(Preferences!B$3="Manual",OR(AX101/AW101&gt;G101/F101,BD101="Serious",BD101="Very serious")),"Assess imprecision",IFS(ISBLANK(E101),"",AND(Preferences!B$3="Automatic", G101/F101&gt;=30),"Extremely serious",AND(H101&lt;=$D$1*-1,J101&lt;0,G101/F101&lt;3),"Not serious",AND(H101&lt;=$D$1*-1,J101&lt;0,G101/F101&gt;=3),"Very serious",AND(H101&gt;=$D$1,I101&gt;0,G101/F101&lt;3),"Not serious",AND(H101&gt;=$D$1,I101&gt;0,G101/F101&gt;=3),"Very serious",AND(H101&lt;=$D$1*-1,J101&gt;0,I101&gt;$D$2*-1,G101/F101&lt;3),"Serious", AND(H101&lt;=$D$1*-1,J101&gt;0,I101&lt;$D$2*-1,G101/F101&lt;3),"Very serious", AND(H101&gt;=$D$1,I101&lt;0,J101&lt;$D$2,G101/F101&lt;3),"Serious",AND(H101&gt;=$D$1,I101&lt;0,J101&gt;$D$2,G101/F101&lt;3),"Very serious", AND(H101&lt;=$D$1*-1,J101&gt;0,I101&gt;$D$2*-1,G101/F101&gt;=3),"Very serious", AND(H101&lt;=$D$1*-1,J101&gt;0,I101&lt;$D$2*-1,G101/F101&gt;=3),"Very serious", AND(H101&gt;=$D$1,I101&lt;0,J101&lt;$D$2,G101/F101&gt;=3),"Very serious", AND(H101&gt;=$D$1,I101&lt;0,J101&gt;$D$2,G101/F101&gt;=3),"Very serious", AND(H101&gt;$D$1*-1,H101&lt;$D$1,I101&gt;$D$1*-1,J101&lt;$D$1,G101/F101&lt;3),"Not serious", AND(H101&gt;$D$1*-1,H101&lt;$D$1,OR(I101&lt;=$D$1*-1,J101&gt;=$D$1),I101&gt;$D$2*-1,J101&lt;$D$2,G101/F101&lt;3),"Serious", AND(H101&gt;$D$1*-1,H101&lt;$D$1,OR(I101&lt;=$D$2*-1,J101&gt;=$D$2),G101/F101&lt;3),"Very serious", AND(H101&gt;$D$1*-1,H101&lt;$D$1,I101&gt;$D$1*-1,J101&lt;$D$1,G101/F101&gt;=3),"Very serious", AND(H101&gt;$D$1*-1,H101&lt;$D$1,OR(I101&lt;=$D$1*-1,J101&gt;=$D$1),I101&gt;$D$2*-1,J101&lt;$D$2,G101/F101&gt;=3),"Very serious", AND(H101&gt;$D$1*-1,H101&lt;$D$1,OR(I101&lt;=$D$2*-1,J101&gt;=$D$2),G101/F101&gt;=3),"Very serious")),"")</f>
        <v/>
      </c>
      <c r="R101" s="109" t="str">
        <f t="shared" si="47"/>
        <v/>
      </c>
      <c r="S101" s="64"/>
      <c r="T101" s="145"/>
      <c r="U101" s="145"/>
      <c r="V101" s="145"/>
      <c r="W101" s="73"/>
      <c r="X101" s="73"/>
      <c r="Y101" s="74"/>
      <c r="Z101" s="113" t="str">
        <f t="array" ref="Z101">INDEX($A$1:$C$500, MATCH(1,($B:$B=$B101)*($C:$C=$AB101),0),1)</f>
        <v/>
      </c>
      <c r="AA101" s="113" t="str">
        <f t="array" ref="AA101">INDEX($A$1:$C$500, MATCH(1,($B:$B=$AB101)*($C:$C=$B101),0),1)</f>
        <v/>
      </c>
      <c r="AB101" s="111"/>
      <c r="AC101" s="114" t="str">
        <f t="shared" si="2"/>
        <v/>
      </c>
      <c r="AD101" s="115" t="str">
        <f t="shared" si="3"/>
        <v/>
      </c>
      <c r="AE101" s="116" t="str">
        <f t="array" ref="AE101">INDEX($A$1:$C$500, MATCH(1,($B:$B=$AB101)*($C:$C=$AG101),0),1)</f>
        <v/>
      </c>
      <c r="AF101" s="116" t="str">
        <f t="array" ref="AF101">INDEX($A$1:$C$500, MATCH(1,($B:$B=$AG101)*($C:$C=$AB101),0),1)</f>
        <v/>
      </c>
      <c r="AG101" s="72"/>
      <c r="AH101" s="114" t="str">
        <f t="shared" si="4"/>
        <v/>
      </c>
      <c r="AI101" s="115" t="str">
        <f t="shared" si="5"/>
        <v/>
      </c>
      <c r="AJ101" s="116" t="str">
        <f t="array" ref="AJ101">INDEX($A$1:$C$500, MATCH(1,($B:$B=$C101)*($C:$C=$AG101),0),1)</f>
        <v/>
      </c>
      <c r="AK101" s="116" t="str">
        <f t="array" ref="AK101">INDEX($A$1:$C$500, MATCH(1,($B:$B=$AG101)*($C:$C=$C101),0),1)</f>
        <v/>
      </c>
      <c r="AL101" s="116" t="str">
        <f t="array" ref="AL101">INDEX($A$1:$C$500, MATCH(1,($B:$B=$C101)*($C:$C=$AB101),0),1)</f>
        <v/>
      </c>
      <c r="AM101" s="116" t="str">
        <f t="array" ref="AM101">INDEX($A$1:$C$500, MATCH(1,($B:$B=$AB101)*($C:$C=$C101),0),1)</f>
        <v/>
      </c>
      <c r="AN101" s="114" t="str">
        <f t="array" ref="AN101">IFS(ISNUMBER(AJ101),AJ101,ISNUMBER(AK101),AK101,ISNUMBER(AL101),AL101,ISNUMBER(AM101),AM101)</f>
        <v>#N/A</v>
      </c>
      <c r="AO101" s="115" t="str">
        <f t="shared" si="6"/>
        <v/>
      </c>
      <c r="AP101" s="115" t="str">
        <f t="shared" si="7"/>
        <v/>
      </c>
      <c r="AQ101" s="111"/>
      <c r="AR101" s="109" t="str">
        <f t="shared" si="8"/>
        <v/>
      </c>
      <c r="AS101" s="72" t="str">
        <f>IFERROR(IF(AND(Preferences!B$3="Manual",OR(AX101/AW101&gt;V101/U101,BD101="Serious",BD101="Very serious")),"Assess imprecision",IFERROR(IFS(AND(Preferences!B$3="Automatic",V101/U101&gt;=30),"Extremely serious",AND(W101&lt;=$D$1*-1,Y101&lt;0,V101/U101&lt;3),"Not Serious",AND(W101&lt;=$D$1*-1,Y101&lt;0,V101/U101&gt;=3),"Very serious",AND(W101&gt;=$D$1,X101&gt;0,V101/U101&lt;3),"Not Serious",AND(W101&gt;=$D$1,X101&gt;0,V101/U101&gt;=3),"Very serious",AND(W101&lt;=$D$1*-1,Y101&gt;0,X101&gt;$D$2*-1,V101/U101&lt;3),"Serious", AND(W101&lt;=$D$1*-1,Y101&gt;0,X101&lt;$D$2*-1,V101/U101&lt;3),"Very serious", AND(W101&gt;=$D$1,X101&lt;0,Y101&lt;$D$2,V101/U101&lt;3),"Serious",AND(W101&gt;=$D$1,X101&lt;0,Y101&gt;$D$2,V101/U101&lt;3),"Very serious", AND(W101&lt;=$D$1*-1,Y101&gt;0,X101&gt;$D$2*-1,V101/U101&gt;=3),"Very serious", AND(W101&lt;=$D$1*-1,Y101&gt;0,X101&lt;$D$2*-1,V101/U101&gt;=3),"Very serious", AND(W101&gt;=$D$1,X101&lt;0,Y101&lt;$D$2,V101/U101&gt;=3),"Very serious", AND(W101&gt;=$D$1,X101&lt;0,Y101&gt;$D$2,V101/U101&gt;=3),"Very serious", AND(W101&gt;$D$1*-1,W101&lt;$D$1,X101&gt;$D$1*-1,Y101&lt;$D$1,V101/U101&lt;3),"Not Serious", AND(W101&gt;$D$1*-1,W101&lt;$D$1,OR(X101&lt;=$D$1*-1,Y101&gt;=$D$1),X101&gt;$D$2*-1,Y101&lt;$D$2,V101/U101&lt;3),"Serious", AND(W101&gt;$D$1*-1,W101&lt;$D$1,OR(X101&lt;=$D$2*-1,Y101&gt;=$D$2),V101/U101&lt;3),"Very serious", AND(W101&gt;$D$1*-1,W101&lt;$D$1,X101&gt;$D$1*-1,Y101&lt;$D$1,V101/U101&gt;=3),"Very serious", AND(W101&gt;$D$1*-1,W101&lt;$D$1,OR(X101&lt;=$D$1*-1,Y101&gt;=$D$1),X101&gt;$D$2*-1,Y101&lt;$D$2,V101/U101&gt;=3),"Very serious", AND(W101&gt;$D$1*-1,W101&lt;$D$1,OR(X101&lt;=$D$2*-1,Y101&gt;=$D$2),V101/U101&gt;=3),"Very serious"),"")),"")</f>
        <v/>
      </c>
      <c r="AT101" s="109" t="str">
        <f t="shared" si="9"/>
        <v/>
      </c>
      <c r="AU101" s="64"/>
      <c r="AV101" s="117"/>
      <c r="AW101" s="117"/>
      <c r="AX101" s="117"/>
      <c r="AY101" s="118"/>
      <c r="AZ101" s="118"/>
      <c r="BA101" s="119"/>
      <c r="BB101" s="86" t="str">
        <f>IF(Preferences!B$9="Manual","",IFS(ISBLANK(B101),"",AND(ISNUMBER(E101)=TRUE,ISNUMBER(T101)=FALSE),"Direct", AND(ISNUMBER(E101)=FALSE,ISNUMBER(T101)=TRUE),"Indirect", CN101=4,"Direct",AND(CL101=FALSE, CM101=TRUE,CN101-CO101&gt;-1),"Direct", AND(CL101=FALSE,CM101=TRUE, CN101-CO101&lt;0),"Check algorithm in appendix 2", AND(CL101=TRUE, CM101=FALSE,CN101-CO101&gt;0),"Check algorithm in appendix 2", AND(CL101=TRUE, CM101=FALSE,CN101-CO101=0),"Indirect", AND(CL101=TRUE, CM101=FALSE,CN101-CO101&lt;0),"Indirect", AND(CL101=FALSE,CM101=FALSE,CN101-CO101&gt;-1),"Direct", AND(CL101=FALSE,CM101=FALSE,CN101-CO101&lt;0),"Check algorithm in appendix 2", AND(CL101=TRUE,CM101=TRUE,CN101-CO101&gt;-1),"Direct", AND(CL101=TRUE,CM101=TRUE,CN101-CO101&lt;0),"Check algorithm in appendix 2"))</f>
        <v/>
      </c>
      <c r="BC101" s="120" t="str">
        <f t="shared" si="10"/>
        <v/>
      </c>
      <c r="BD101" s="140"/>
      <c r="BE101" s="122" t="str">
        <f>IF(Preferences!B$3="Manual","", IFERROR(IFS(AND(Preferences!B$3="Automatic",AX101/AW101&gt;=30),"Extremely serious",AND(AY101&lt;=$D$1*-1,BA101&lt;0,AX101/AW101&lt;3),"Not Serious",AND(AY101&lt;=$D$1*-1,BA101&lt;0,AX101/AW101&gt;=3),"Very serious",AND(AY101&gt;=$D$1,AZ101&gt;0,AX101/AW101&lt;3),"Not Serious",AND(AY101&gt;=$D$1,AZ101&gt;0,AX101/AW101&gt;=3),"Very serious",AND(AY101&lt;=$D$1*-1,BA101&gt;0,AZ101&gt;$D$2*-1,AX101/AW101&lt;3),"Serious", AND(AY101&lt;=$D$1*-1,BA101&gt;0,AZ101&lt;$D$2*-1,AX101/AW101&lt;3),"Very serious", AND(AY101&gt;=$D$1,AZ101&lt;0,BA101&lt;$D$2,AX101/AW101&lt;3),"Serious",AND(AY101&gt;=$D$1,AZ101&lt;0,BA101&gt;$D$2,AX101/AW101&lt;3),"Very serious", AND(AY101&lt;=$D$1*-1,BA101&gt;0,AZ101&gt;$D$2*-1,AX101/AW101&gt;=3),"Very serious", AND(AY101&lt;=$D$1*-1,BA101&gt;0,AZ101&lt;$D$2*-1,AX101/AW101&gt;=3),"Very serious", AND(AY101&gt;=$D$1,AZ101&lt;0,BA101&lt;$D$2,AX101/AW101&gt;=3),"Very serious", AND(AY101&gt;=$D$1,AZ101&lt;0,BA101&gt;$D$2,AX101/AW101&gt;=3),"Very serious", AND(AY101&gt;$D$1*-1,AY101&lt;$D$1,AZ101&gt;$D$1*-1,BA101&lt;$D$1,AX101/AW101&lt;3),"Not Serious", AND(AY101&gt;$D$1*-1,AY101&lt;$D$1,OR(AZ101&lt;=$D$1*-1,BA101&gt;=$D$1),AZ101&gt;$D$2*-1,BA101&lt;$D$2,AX101/AW101&lt;3),"Serious", AND(AY101&gt;$D$1*-1,AY101&lt;$D$1,OR(AZ101&lt;=$D$2*-1,BA101&gt;=$D$2),AX101/AW101&lt;3),"Very serious", AND(AY101&gt;$D$1*-1,AY101&lt;$D$1,AZ101&gt;$D$1*-1,BA101&lt;$D$1,AX101/AW101&gt;=3),"Very serious", AND(AY101&gt;$D$1*-1,AY101&lt;$D$1,OR(AZ101&lt;=$D$1*-1,BA101&gt;=$D$1),AZ101&gt;$D$2*-1,BA101&lt;$D$2,AX101/AW101&gt;=3),"Very serious", AND(AY101&gt;$D$1*-1,AY101&lt;$D$1,OR(AZ101&lt;=$D$2*-1,BA101&gt;=$D$2),AX101/AW101&gt;=3),"Very serious"),""))</f>
        <v/>
      </c>
      <c r="BF101" s="107" t="str">
        <f t="shared" si="11"/>
        <v/>
      </c>
      <c r="BG101" s="94" t="str">
        <f t="shared" si="46"/>
        <v/>
      </c>
      <c r="BH101" s="64" t="str">
        <f t="shared" si="12"/>
        <v>#N/A</v>
      </c>
      <c r="BI101" s="64" t="str">
        <f t="shared" si="13"/>
        <v/>
      </c>
      <c r="BJ101" s="123" t="str">
        <f t="shared" si="14"/>
        <v>#N/A</v>
      </c>
      <c r="BK101" s="64" t="str">
        <f t="shared" si="50"/>
        <v>YES</v>
      </c>
      <c r="BL101" s="64" t="str">
        <f t="shared" si="16"/>
        <v>YES</v>
      </c>
      <c r="BM101" s="64" t="str">
        <f t="shared" si="17"/>
        <v>YES</v>
      </c>
      <c r="BN101" s="124" t="str">
        <f t="shared" si="18"/>
        <v/>
      </c>
      <c r="BO101" s="91" t="str">
        <f t="shared" si="19"/>
        <v/>
      </c>
      <c r="BP101" s="91" t="str">
        <f t="shared" si="20"/>
        <v>#N/A</v>
      </c>
      <c r="BQ101" s="91" t="str">
        <f t="shared" si="21"/>
        <v/>
      </c>
      <c r="BR101" s="93" t="str">
        <f t="shared" si="22"/>
        <v/>
      </c>
      <c r="BS101" s="90" t="str">
        <f t="shared" si="23"/>
        <v/>
      </c>
      <c r="BT101" s="93" t="str">
        <f t="shared" si="24"/>
        <v>NA</v>
      </c>
      <c r="BU101" s="125" t="str">
        <f t="shared" si="25"/>
        <v>#N/A</v>
      </c>
      <c r="BV101" s="93" t="str">
        <f t="shared" si="26"/>
        <v/>
      </c>
      <c r="BW101" s="93" t="str">
        <f t="shared" si="27"/>
        <v/>
      </c>
      <c r="BX101" s="93" t="str">
        <f t="shared" si="28"/>
        <v>NA</v>
      </c>
      <c r="BY101" s="95" t="str">
        <f t="shared" si="29"/>
        <v>#N/A</v>
      </c>
      <c r="BZ101" s="93" t="str">
        <f t="shared" si="30"/>
        <v/>
      </c>
      <c r="CA101" s="93" t="str">
        <f t="shared" si="31"/>
        <v/>
      </c>
      <c r="CB101" s="93" t="str">
        <f t="shared" si="32"/>
        <v>NA</v>
      </c>
      <c r="CC101" s="96" t="str">
        <f t="shared" si="33"/>
        <v>#N/A</v>
      </c>
      <c r="CD101" s="93" t="str">
        <f t="shared" si="34"/>
        <v/>
      </c>
      <c r="CE101" s="93" t="str">
        <f t="shared" si="35"/>
        <v/>
      </c>
      <c r="CF101" s="93" t="str">
        <f t="shared" si="36"/>
        <v>NA</v>
      </c>
      <c r="CG101" s="97" t="str">
        <f t="shared" si="37"/>
        <v>#N/A</v>
      </c>
      <c r="CH101" s="98" t="str">
        <f t="shared" si="38"/>
        <v>#N/A</v>
      </c>
      <c r="CI101" s="99" t="str">
        <f t="shared" si="39"/>
        <v>#N/A</v>
      </c>
      <c r="CJ101" s="126" t="str">
        <f t="shared" si="40"/>
        <v>ERROR: check cell</v>
      </c>
      <c r="CK101" s="126"/>
      <c r="CL101" s="127" t="str">
        <f t="shared" si="41"/>
        <v>#DIV/0!</v>
      </c>
      <c r="CM101" s="128" t="str">
        <f t="shared" si="42"/>
        <v>#DIV/0!</v>
      </c>
      <c r="CN101" s="128">
        <f t="shared" si="43"/>
        <v>4</v>
      </c>
      <c r="CO101" s="129">
        <f t="shared" si="44"/>
        <v>4</v>
      </c>
      <c r="CP101" s="129" t="str">
        <f>IFS(C101=Preferences!B$13,B101,B101=Preferences!B$13,C101)</f>
        <v>#N/A</v>
      </c>
    </row>
    <row r="102" ht="13.5" customHeight="1">
      <c r="A102" s="63" t="str">
        <f t="shared" si="45"/>
        <v/>
      </c>
      <c r="B102" s="64"/>
      <c r="C102" s="64"/>
      <c r="D102" s="64"/>
      <c r="E102" s="65"/>
      <c r="F102" s="65"/>
      <c r="G102" s="65"/>
      <c r="H102" s="65"/>
      <c r="I102" s="65"/>
      <c r="J102" s="141"/>
      <c r="K102" s="138"/>
      <c r="L102" s="104"/>
      <c r="M102" s="104"/>
      <c r="N102" s="104"/>
      <c r="O102" s="104"/>
      <c r="P102" s="107" t="str">
        <f t="shared" si="1"/>
        <v/>
      </c>
      <c r="Q102" s="108" t="str">
        <f>IFERROR(IF(AND(Preferences!B$3="Manual",OR(AX102/AW102&gt;G102/F102,BD102="Serious",BD102="Very serious")),"Assess imprecision",IFS(ISBLANK(E102),"",AND(Preferences!B$3="Automatic", G102/F102&gt;=30),"Extremely serious",AND(H102&lt;=$D$1*-1,J102&lt;0,G102/F102&lt;3),"Not serious",AND(H102&lt;=$D$1*-1,J102&lt;0,G102/F102&gt;=3),"Very serious",AND(H102&gt;=$D$1,I102&gt;0,G102/F102&lt;3),"Not serious",AND(H102&gt;=$D$1,I102&gt;0,G102/F102&gt;=3),"Very serious",AND(H102&lt;=$D$1*-1,J102&gt;0,I102&gt;$D$2*-1,G102/F102&lt;3),"Serious", AND(H102&lt;=$D$1*-1,J102&gt;0,I102&lt;$D$2*-1,G102/F102&lt;3),"Very serious", AND(H102&gt;=$D$1,I102&lt;0,J102&lt;$D$2,G102/F102&lt;3),"Serious",AND(H102&gt;=$D$1,I102&lt;0,J102&gt;$D$2,G102/F102&lt;3),"Very serious", AND(H102&lt;=$D$1*-1,J102&gt;0,I102&gt;$D$2*-1,G102/F102&gt;=3),"Very serious", AND(H102&lt;=$D$1*-1,J102&gt;0,I102&lt;$D$2*-1,G102/F102&gt;=3),"Very serious", AND(H102&gt;=$D$1,I102&lt;0,J102&lt;$D$2,G102/F102&gt;=3),"Very serious", AND(H102&gt;=$D$1,I102&lt;0,J102&gt;$D$2,G102/F102&gt;=3),"Very serious", AND(H102&gt;$D$1*-1,H102&lt;$D$1,I102&gt;$D$1*-1,J102&lt;$D$1,G102/F102&lt;3),"Not serious", AND(H102&gt;$D$1*-1,H102&lt;$D$1,OR(I102&lt;=$D$1*-1,J102&gt;=$D$1),I102&gt;$D$2*-1,J102&lt;$D$2,G102/F102&lt;3),"Serious", AND(H102&gt;$D$1*-1,H102&lt;$D$1,OR(I102&lt;=$D$2*-1,J102&gt;=$D$2),G102/F102&lt;3),"Very serious", AND(H102&gt;$D$1*-1,H102&lt;$D$1,I102&gt;$D$1*-1,J102&lt;$D$1,G102/F102&gt;=3),"Very serious", AND(H102&gt;$D$1*-1,H102&lt;$D$1,OR(I102&lt;=$D$1*-1,J102&gt;=$D$1),I102&gt;$D$2*-1,J102&lt;$D$2,G102/F102&gt;=3),"Very serious", AND(H102&gt;$D$1*-1,H102&lt;$D$1,OR(I102&lt;=$D$2*-1,J102&gt;=$D$2),G102/F102&gt;=3),"Very serious")),"")</f>
        <v/>
      </c>
      <c r="R102" s="109" t="str">
        <f t="shared" si="47"/>
        <v/>
      </c>
      <c r="S102" s="64"/>
      <c r="T102" s="145"/>
      <c r="U102" s="145"/>
      <c r="V102" s="145"/>
      <c r="W102" s="73"/>
      <c r="X102" s="73"/>
      <c r="Y102" s="74"/>
      <c r="Z102" s="113" t="str">
        <f t="array" ref="Z102">INDEX($A$1:$C$500, MATCH(1,($B:$B=$B102)*($C:$C=$AB102),0),1)</f>
        <v/>
      </c>
      <c r="AA102" s="113" t="str">
        <f t="array" ref="AA102">INDEX($A$1:$C$500, MATCH(1,($B:$B=$AB102)*($C:$C=$B102),0),1)</f>
        <v/>
      </c>
      <c r="AB102" s="111"/>
      <c r="AC102" s="114" t="str">
        <f t="shared" si="2"/>
        <v/>
      </c>
      <c r="AD102" s="115" t="str">
        <f t="shared" si="3"/>
        <v/>
      </c>
      <c r="AE102" s="116" t="str">
        <f t="array" ref="AE102">INDEX($A$1:$C$500, MATCH(1,($B:$B=$AB102)*($C:$C=$AG102),0),1)</f>
        <v/>
      </c>
      <c r="AF102" s="116" t="str">
        <f t="array" ref="AF102">INDEX($A$1:$C$500, MATCH(1,($B:$B=$AG102)*($C:$C=$AB102),0),1)</f>
        <v/>
      </c>
      <c r="AG102" s="72"/>
      <c r="AH102" s="114" t="str">
        <f t="shared" si="4"/>
        <v/>
      </c>
      <c r="AI102" s="115" t="str">
        <f t="shared" si="5"/>
        <v/>
      </c>
      <c r="AJ102" s="116" t="str">
        <f t="array" ref="AJ102">INDEX($A$1:$C$500, MATCH(1,($B:$B=$C102)*($C:$C=$AG102),0),1)</f>
        <v/>
      </c>
      <c r="AK102" s="116" t="str">
        <f t="array" ref="AK102">INDEX($A$1:$C$500, MATCH(1,($B:$B=$AG102)*($C:$C=$C102),0),1)</f>
        <v/>
      </c>
      <c r="AL102" s="116" t="str">
        <f t="array" ref="AL102">INDEX($A$1:$C$500, MATCH(1,($B:$B=$C102)*($C:$C=$AB102),0),1)</f>
        <v/>
      </c>
      <c r="AM102" s="116" t="str">
        <f t="array" ref="AM102">INDEX($A$1:$C$500, MATCH(1,($B:$B=$AB102)*($C:$C=$C102),0),1)</f>
        <v/>
      </c>
      <c r="AN102" s="114" t="str">
        <f t="array" ref="AN102">IFS(ISNUMBER(AJ102),AJ102,ISNUMBER(AK102),AK102,ISNUMBER(AL102),AL102,ISNUMBER(AM102),AM102)</f>
        <v>#N/A</v>
      </c>
      <c r="AO102" s="115" t="str">
        <f t="shared" si="6"/>
        <v/>
      </c>
      <c r="AP102" s="115" t="str">
        <f t="shared" si="7"/>
        <v/>
      </c>
      <c r="AQ102" s="111"/>
      <c r="AR102" s="109" t="str">
        <f t="shared" si="8"/>
        <v/>
      </c>
      <c r="AS102" s="72" t="str">
        <f>IFERROR(IF(AND(Preferences!B$3="Manual",OR(AX102/AW102&gt;V102/U102,BD102="Serious",BD102="Very serious")),"Assess imprecision",IFERROR(IFS(AND(Preferences!B$3="Automatic",V102/U102&gt;=30),"Extremely serious",AND(W102&lt;=$D$1*-1,Y102&lt;0,V102/U102&lt;3),"Not Serious",AND(W102&lt;=$D$1*-1,Y102&lt;0,V102/U102&gt;=3),"Very serious",AND(W102&gt;=$D$1,X102&gt;0,V102/U102&lt;3),"Not Serious",AND(W102&gt;=$D$1,X102&gt;0,V102/U102&gt;=3),"Very serious",AND(W102&lt;=$D$1*-1,Y102&gt;0,X102&gt;$D$2*-1,V102/U102&lt;3),"Serious", AND(W102&lt;=$D$1*-1,Y102&gt;0,X102&lt;$D$2*-1,V102/U102&lt;3),"Very serious", AND(W102&gt;=$D$1,X102&lt;0,Y102&lt;$D$2,V102/U102&lt;3),"Serious",AND(W102&gt;=$D$1,X102&lt;0,Y102&gt;$D$2,V102/U102&lt;3),"Very serious", AND(W102&lt;=$D$1*-1,Y102&gt;0,X102&gt;$D$2*-1,V102/U102&gt;=3),"Very serious", AND(W102&lt;=$D$1*-1,Y102&gt;0,X102&lt;$D$2*-1,V102/U102&gt;=3),"Very serious", AND(W102&gt;=$D$1,X102&lt;0,Y102&lt;$D$2,V102/U102&gt;=3),"Very serious", AND(W102&gt;=$D$1,X102&lt;0,Y102&gt;$D$2,V102/U102&gt;=3),"Very serious", AND(W102&gt;$D$1*-1,W102&lt;$D$1,X102&gt;$D$1*-1,Y102&lt;$D$1,V102/U102&lt;3),"Not Serious", AND(W102&gt;$D$1*-1,W102&lt;$D$1,OR(X102&lt;=$D$1*-1,Y102&gt;=$D$1),X102&gt;$D$2*-1,Y102&lt;$D$2,V102/U102&lt;3),"Serious", AND(W102&gt;$D$1*-1,W102&lt;$D$1,OR(X102&lt;=$D$2*-1,Y102&gt;=$D$2),V102/U102&lt;3),"Very serious", AND(W102&gt;$D$1*-1,W102&lt;$D$1,X102&gt;$D$1*-1,Y102&lt;$D$1,V102/U102&gt;=3),"Very serious", AND(W102&gt;$D$1*-1,W102&lt;$D$1,OR(X102&lt;=$D$1*-1,Y102&gt;=$D$1),X102&gt;$D$2*-1,Y102&lt;$D$2,V102/U102&gt;=3),"Very serious", AND(W102&gt;$D$1*-1,W102&lt;$D$1,OR(X102&lt;=$D$2*-1,Y102&gt;=$D$2),V102/U102&gt;=3),"Very serious"),"")),"")</f>
        <v/>
      </c>
      <c r="AT102" s="109" t="str">
        <f t="shared" si="9"/>
        <v/>
      </c>
      <c r="AU102" s="64"/>
      <c r="AV102" s="117"/>
      <c r="AW102" s="117"/>
      <c r="AX102" s="117"/>
      <c r="AY102" s="118"/>
      <c r="AZ102" s="118"/>
      <c r="BA102" s="119"/>
      <c r="BB102" s="86" t="str">
        <f>IF(Preferences!B$9="Manual","",IFS(ISBLANK(B102),"",AND(ISNUMBER(E102)=TRUE,ISNUMBER(T102)=FALSE),"Direct", AND(ISNUMBER(E102)=FALSE,ISNUMBER(T102)=TRUE),"Indirect", CN102=4,"Direct",AND(CL102=FALSE, CM102=TRUE,CN102-CO102&gt;-1),"Direct", AND(CL102=FALSE,CM102=TRUE, CN102-CO102&lt;0),"Check algorithm in appendix 2", AND(CL102=TRUE, CM102=FALSE,CN102-CO102&gt;0),"Check algorithm in appendix 2", AND(CL102=TRUE, CM102=FALSE,CN102-CO102=0),"Indirect", AND(CL102=TRUE, CM102=FALSE,CN102-CO102&lt;0),"Indirect", AND(CL102=FALSE,CM102=FALSE,CN102-CO102&gt;-1),"Direct", AND(CL102=FALSE,CM102=FALSE,CN102-CO102&lt;0),"Check algorithm in appendix 2", AND(CL102=TRUE,CM102=TRUE,CN102-CO102&gt;-1),"Direct", AND(CL102=TRUE,CM102=TRUE,CN102-CO102&lt;0),"Check algorithm in appendix 2"))</f>
        <v/>
      </c>
      <c r="BC102" s="120" t="str">
        <f t="shared" si="10"/>
        <v/>
      </c>
      <c r="BD102" s="140"/>
      <c r="BE102" s="122" t="str">
        <f>IF(Preferences!B$3="Manual","", IFERROR(IFS(AND(Preferences!B$3="Automatic",AX102/AW102&gt;=30),"Extremely serious",AND(AY102&lt;=$D$1*-1,BA102&lt;0,AX102/AW102&lt;3),"Not Serious",AND(AY102&lt;=$D$1*-1,BA102&lt;0,AX102/AW102&gt;=3),"Very serious",AND(AY102&gt;=$D$1,AZ102&gt;0,AX102/AW102&lt;3),"Not Serious",AND(AY102&gt;=$D$1,AZ102&gt;0,AX102/AW102&gt;=3),"Very serious",AND(AY102&lt;=$D$1*-1,BA102&gt;0,AZ102&gt;$D$2*-1,AX102/AW102&lt;3),"Serious", AND(AY102&lt;=$D$1*-1,BA102&gt;0,AZ102&lt;$D$2*-1,AX102/AW102&lt;3),"Very serious", AND(AY102&gt;=$D$1,AZ102&lt;0,BA102&lt;$D$2,AX102/AW102&lt;3),"Serious",AND(AY102&gt;=$D$1,AZ102&lt;0,BA102&gt;$D$2,AX102/AW102&lt;3),"Very serious", AND(AY102&lt;=$D$1*-1,BA102&gt;0,AZ102&gt;$D$2*-1,AX102/AW102&gt;=3),"Very serious", AND(AY102&lt;=$D$1*-1,BA102&gt;0,AZ102&lt;$D$2*-1,AX102/AW102&gt;=3),"Very serious", AND(AY102&gt;=$D$1,AZ102&lt;0,BA102&lt;$D$2,AX102/AW102&gt;=3),"Very serious", AND(AY102&gt;=$D$1,AZ102&lt;0,BA102&gt;$D$2,AX102/AW102&gt;=3),"Very serious", AND(AY102&gt;$D$1*-1,AY102&lt;$D$1,AZ102&gt;$D$1*-1,BA102&lt;$D$1,AX102/AW102&lt;3),"Not Serious", AND(AY102&gt;$D$1*-1,AY102&lt;$D$1,OR(AZ102&lt;=$D$1*-1,BA102&gt;=$D$1),AZ102&gt;$D$2*-1,BA102&lt;$D$2,AX102/AW102&lt;3),"Serious", AND(AY102&gt;$D$1*-1,AY102&lt;$D$1,OR(AZ102&lt;=$D$2*-1,BA102&gt;=$D$2),AX102/AW102&lt;3),"Very serious", AND(AY102&gt;$D$1*-1,AY102&lt;$D$1,AZ102&gt;$D$1*-1,BA102&lt;$D$1,AX102/AW102&gt;=3),"Very serious", AND(AY102&gt;$D$1*-1,AY102&lt;$D$1,OR(AZ102&lt;=$D$1*-1,BA102&gt;=$D$1),AZ102&gt;$D$2*-1,BA102&lt;$D$2,AX102/AW102&gt;=3),"Very serious", AND(AY102&gt;$D$1*-1,AY102&lt;$D$1,OR(AZ102&lt;=$D$2*-1,BA102&gt;=$D$2),AX102/AW102&gt;=3),"Very serious"),""))</f>
        <v/>
      </c>
      <c r="BF102" s="107" t="str">
        <f t="shared" si="11"/>
        <v/>
      </c>
      <c r="BG102" s="94" t="str">
        <f t="shared" si="46"/>
        <v/>
      </c>
      <c r="BH102" s="64" t="str">
        <f t="shared" si="12"/>
        <v>#N/A</v>
      </c>
      <c r="BI102" s="64" t="str">
        <f t="shared" si="13"/>
        <v/>
      </c>
      <c r="BJ102" s="123" t="str">
        <f t="shared" si="14"/>
        <v>#N/A</v>
      </c>
      <c r="BK102" s="64" t="str">
        <f t="shared" si="50"/>
        <v>YES</v>
      </c>
      <c r="BL102" s="64" t="str">
        <f t="shared" si="16"/>
        <v>YES</v>
      </c>
      <c r="BM102" s="64" t="str">
        <f t="shared" si="17"/>
        <v>YES</v>
      </c>
      <c r="BN102" s="124" t="str">
        <f t="shared" si="18"/>
        <v/>
      </c>
      <c r="BO102" s="91" t="str">
        <f t="shared" si="19"/>
        <v/>
      </c>
      <c r="BP102" s="91" t="str">
        <f t="shared" si="20"/>
        <v>#N/A</v>
      </c>
      <c r="BQ102" s="91" t="str">
        <f t="shared" si="21"/>
        <v/>
      </c>
      <c r="BR102" s="93" t="str">
        <f t="shared" si="22"/>
        <v/>
      </c>
      <c r="BS102" s="90" t="str">
        <f t="shared" si="23"/>
        <v/>
      </c>
      <c r="BT102" s="93" t="str">
        <f t="shared" si="24"/>
        <v>NA</v>
      </c>
      <c r="BU102" s="125" t="str">
        <f t="shared" si="25"/>
        <v>#N/A</v>
      </c>
      <c r="BV102" s="93" t="str">
        <f t="shared" si="26"/>
        <v/>
      </c>
      <c r="BW102" s="93" t="str">
        <f t="shared" si="27"/>
        <v/>
      </c>
      <c r="BX102" s="93" t="str">
        <f t="shared" si="28"/>
        <v>NA</v>
      </c>
      <c r="BY102" s="95" t="str">
        <f t="shared" si="29"/>
        <v>#N/A</v>
      </c>
      <c r="BZ102" s="93" t="str">
        <f t="shared" si="30"/>
        <v/>
      </c>
      <c r="CA102" s="93" t="str">
        <f t="shared" si="31"/>
        <v/>
      </c>
      <c r="CB102" s="93" t="str">
        <f t="shared" si="32"/>
        <v>NA</v>
      </c>
      <c r="CC102" s="96" t="str">
        <f t="shared" si="33"/>
        <v>#N/A</v>
      </c>
      <c r="CD102" s="93" t="str">
        <f t="shared" si="34"/>
        <v/>
      </c>
      <c r="CE102" s="93" t="str">
        <f t="shared" si="35"/>
        <v/>
      </c>
      <c r="CF102" s="93" t="str">
        <f t="shared" si="36"/>
        <v>NA</v>
      </c>
      <c r="CG102" s="97" t="str">
        <f t="shared" si="37"/>
        <v>#N/A</v>
      </c>
      <c r="CH102" s="98" t="str">
        <f t="shared" si="38"/>
        <v>#N/A</v>
      </c>
      <c r="CI102" s="99" t="str">
        <f t="shared" si="39"/>
        <v>#N/A</v>
      </c>
      <c r="CJ102" s="126" t="str">
        <f t="shared" si="40"/>
        <v>ERROR: check cell</v>
      </c>
      <c r="CK102" s="126"/>
      <c r="CL102" s="127" t="str">
        <f t="shared" si="41"/>
        <v>#DIV/0!</v>
      </c>
      <c r="CM102" s="128" t="str">
        <f t="shared" si="42"/>
        <v>#DIV/0!</v>
      </c>
      <c r="CN102" s="128">
        <f t="shared" si="43"/>
        <v>4</v>
      </c>
      <c r="CO102" s="129">
        <f t="shared" si="44"/>
        <v>4</v>
      </c>
      <c r="CP102" s="129" t="str">
        <f>IFS(C102=Preferences!B$13,B102,B102=Preferences!B$13,C102)</f>
        <v>#N/A</v>
      </c>
    </row>
    <row r="103" ht="13.5" customHeight="1">
      <c r="A103" s="63" t="str">
        <f t="shared" si="45"/>
        <v/>
      </c>
      <c r="B103" s="64"/>
      <c r="C103" s="64"/>
      <c r="D103" s="64"/>
      <c r="E103" s="65"/>
      <c r="F103" s="65"/>
      <c r="G103" s="65"/>
      <c r="H103" s="65"/>
      <c r="I103" s="65"/>
      <c r="J103" s="141"/>
      <c r="K103" s="138"/>
      <c r="L103" s="104"/>
      <c r="M103" s="104"/>
      <c r="N103" s="104"/>
      <c r="O103" s="104"/>
      <c r="P103" s="107" t="str">
        <f t="shared" si="1"/>
        <v/>
      </c>
      <c r="Q103" s="108" t="str">
        <f>IFERROR(IF(AND(Preferences!B$3="Manual",OR(AX103/AW103&gt;G103/F103,BD103="Serious",BD103="Very serious")),"Assess imprecision",IFS(ISBLANK(E103),"",AND(Preferences!B$3="Automatic", G103/F103&gt;=30),"Extremely serious",AND(H103&lt;=$D$1*-1,J103&lt;0,G103/F103&lt;3),"Not serious",AND(H103&lt;=$D$1*-1,J103&lt;0,G103/F103&gt;=3),"Very serious",AND(H103&gt;=$D$1,I103&gt;0,G103/F103&lt;3),"Not serious",AND(H103&gt;=$D$1,I103&gt;0,G103/F103&gt;=3),"Very serious",AND(H103&lt;=$D$1*-1,J103&gt;0,I103&gt;$D$2*-1,G103/F103&lt;3),"Serious", AND(H103&lt;=$D$1*-1,J103&gt;0,I103&lt;$D$2*-1,G103/F103&lt;3),"Very serious", AND(H103&gt;=$D$1,I103&lt;0,J103&lt;$D$2,G103/F103&lt;3),"Serious",AND(H103&gt;=$D$1,I103&lt;0,J103&gt;$D$2,G103/F103&lt;3),"Very serious", AND(H103&lt;=$D$1*-1,J103&gt;0,I103&gt;$D$2*-1,G103/F103&gt;=3),"Very serious", AND(H103&lt;=$D$1*-1,J103&gt;0,I103&lt;$D$2*-1,G103/F103&gt;=3),"Very serious", AND(H103&gt;=$D$1,I103&lt;0,J103&lt;$D$2,G103/F103&gt;=3),"Very serious", AND(H103&gt;=$D$1,I103&lt;0,J103&gt;$D$2,G103/F103&gt;=3),"Very serious", AND(H103&gt;$D$1*-1,H103&lt;$D$1,I103&gt;$D$1*-1,J103&lt;$D$1,G103/F103&lt;3),"Not serious", AND(H103&gt;$D$1*-1,H103&lt;$D$1,OR(I103&lt;=$D$1*-1,J103&gt;=$D$1),I103&gt;$D$2*-1,J103&lt;$D$2,G103/F103&lt;3),"Serious", AND(H103&gt;$D$1*-1,H103&lt;$D$1,OR(I103&lt;=$D$2*-1,J103&gt;=$D$2),G103/F103&lt;3),"Very serious", AND(H103&gt;$D$1*-1,H103&lt;$D$1,I103&gt;$D$1*-1,J103&lt;$D$1,G103/F103&gt;=3),"Very serious", AND(H103&gt;$D$1*-1,H103&lt;$D$1,OR(I103&lt;=$D$1*-1,J103&gt;=$D$1),I103&gt;$D$2*-1,J103&lt;$D$2,G103/F103&gt;=3),"Very serious", AND(H103&gt;$D$1*-1,H103&lt;$D$1,OR(I103&lt;=$D$2*-1,J103&gt;=$D$2),G103/F103&gt;=3),"Very serious")),"")</f>
        <v/>
      </c>
      <c r="R103" s="109" t="str">
        <f t="shared" si="47"/>
        <v/>
      </c>
      <c r="S103" s="64"/>
      <c r="T103" s="145"/>
      <c r="U103" s="145"/>
      <c r="V103" s="145"/>
      <c r="W103" s="73"/>
      <c r="X103" s="73"/>
      <c r="Y103" s="74"/>
      <c r="Z103" s="113" t="str">
        <f t="array" ref="Z103">INDEX($A$1:$C$500, MATCH(1,($B:$B=$B103)*($C:$C=$AB103),0),1)</f>
        <v/>
      </c>
      <c r="AA103" s="113" t="str">
        <f t="array" ref="AA103">INDEX($A$1:$C$500, MATCH(1,($B:$B=$AB103)*($C:$C=$B103),0),1)</f>
        <v/>
      </c>
      <c r="AB103" s="111"/>
      <c r="AC103" s="114" t="str">
        <f t="shared" si="2"/>
        <v/>
      </c>
      <c r="AD103" s="115" t="str">
        <f t="shared" si="3"/>
        <v/>
      </c>
      <c r="AE103" s="116" t="str">
        <f t="array" ref="AE103">INDEX($A$1:$C$500, MATCH(1,($B:$B=$AB103)*($C:$C=$AG103),0),1)</f>
        <v/>
      </c>
      <c r="AF103" s="116" t="str">
        <f t="array" ref="AF103">INDEX($A$1:$C$500, MATCH(1,($B:$B=$AG103)*($C:$C=$AB103),0),1)</f>
        <v/>
      </c>
      <c r="AG103" s="72"/>
      <c r="AH103" s="114" t="str">
        <f t="shared" si="4"/>
        <v/>
      </c>
      <c r="AI103" s="115" t="str">
        <f t="shared" si="5"/>
        <v/>
      </c>
      <c r="AJ103" s="116" t="str">
        <f t="array" ref="AJ103">INDEX($A$1:$C$500, MATCH(1,($B:$B=$C103)*($C:$C=$AG103),0),1)</f>
        <v/>
      </c>
      <c r="AK103" s="116" t="str">
        <f t="array" ref="AK103">INDEX($A$1:$C$500, MATCH(1,($B:$B=$AG103)*($C:$C=$C103),0),1)</f>
        <v/>
      </c>
      <c r="AL103" s="116" t="str">
        <f t="array" ref="AL103">INDEX($A$1:$C$500, MATCH(1,($B:$B=$C103)*($C:$C=$AB103),0),1)</f>
        <v/>
      </c>
      <c r="AM103" s="116" t="str">
        <f t="array" ref="AM103">INDEX($A$1:$C$500, MATCH(1,($B:$B=$AB103)*($C:$C=$C103),0),1)</f>
        <v/>
      </c>
      <c r="AN103" s="114" t="str">
        <f t="array" ref="AN103">IFS(ISNUMBER(AJ103),AJ103,ISNUMBER(AK103),AK103,ISNUMBER(AL103),AL103,ISNUMBER(AM103),AM103)</f>
        <v>#N/A</v>
      </c>
      <c r="AO103" s="115" t="str">
        <f t="shared" si="6"/>
        <v/>
      </c>
      <c r="AP103" s="115" t="str">
        <f t="shared" si="7"/>
        <v/>
      </c>
      <c r="AQ103" s="111"/>
      <c r="AR103" s="109" t="str">
        <f t="shared" si="8"/>
        <v/>
      </c>
      <c r="AS103" s="72" t="str">
        <f>IFERROR(IF(AND(Preferences!B$3="Manual",OR(AX103/AW103&gt;V103/U103,BD103="Serious",BD103="Very serious")),"Assess imprecision",IFERROR(IFS(AND(Preferences!B$3="Automatic",V103/U103&gt;=30),"Extremely serious",AND(W103&lt;=$D$1*-1,Y103&lt;0,V103/U103&lt;3),"Not Serious",AND(W103&lt;=$D$1*-1,Y103&lt;0,V103/U103&gt;=3),"Very serious",AND(W103&gt;=$D$1,X103&gt;0,V103/U103&lt;3),"Not Serious",AND(W103&gt;=$D$1,X103&gt;0,V103/U103&gt;=3),"Very serious",AND(W103&lt;=$D$1*-1,Y103&gt;0,X103&gt;$D$2*-1,V103/U103&lt;3),"Serious", AND(W103&lt;=$D$1*-1,Y103&gt;0,X103&lt;$D$2*-1,V103/U103&lt;3),"Very serious", AND(W103&gt;=$D$1,X103&lt;0,Y103&lt;$D$2,V103/U103&lt;3),"Serious",AND(W103&gt;=$D$1,X103&lt;0,Y103&gt;$D$2,V103/U103&lt;3),"Very serious", AND(W103&lt;=$D$1*-1,Y103&gt;0,X103&gt;$D$2*-1,V103/U103&gt;=3),"Very serious", AND(W103&lt;=$D$1*-1,Y103&gt;0,X103&lt;$D$2*-1,V103/U103&gt;=3),"Very serious", AND(W103&gt;=$D$1,X103&lt;0,Y103&lt;$D$2,V103/U103&gt;=3),"Very serious", AND(W103&gt;=$D$1,X103&lt;0,Y103&gt;$D$2,V103/U103&gt;=3),"Very serious", AND(W103&gt;$D$1*-1,W103&lt;$D$1,X103&gt;$D$1*-1,Y103&lt;$D$1,V103/U103&lt;3),"Not Serious", AND(W103&gt;$D$1*-1,W103&lt;$D$1,OR(X103&lt;=$D$1*-1,Y103&gt;=$D$1),X103&gt;$D$2*-1,Y103&lt;$D$2,V103/U103&lt;3),"Serious", AND(W103&gt;$D$1*-1,W103&lt;$D$1,OR(X103&lt;=$D$2*-1,Y103&gt;=$D$2),V103/U103&lt;3),"Very serious", AND(W103&gt;$D$1*-1,W103&lt;$D$1,X103&gt;$D$1*-1,Y103&lt;$D$1,V103/U103&gt;=3),"Very serious", AND(W103&gt;$D$1*-1,W103&lt;$D$1,OR(X103&lt;=$D$1*-1,Y103&gt;=$D$1),X103&gt;$D$2*-1,Y103&lt;$D$2,V103/U103&gt;=3),"Very serious", AND(W103&gt;$D$1*-1,W103&lt;$D$1,OR(X103&lt;=$D$2*-1,Y103&gt;=$D$2),V103/U103&gt;=3),"Very serious"),"")),"")</f>
        <v/>
      </c>
      <c r="AT103" s="109" t="str">
        <f t="shared" si="9"/>
        <v/>
      </c>
      <c r="AU103" s="64"/>
      <c r="AV103" s="117"/>
      <c r="AW103" s="117"/>
      <c r="AX103" s="117"/>
      <c r="AY103" s="118"/>
      <c r="AZ103" s="118"/>
      <c r="BA103" s="119"/>
      <c r="BB103" s="86" t="str">
        <f>IF(Preferences!B$9="Manual","",IFS(ISBLANK(B103),"",AND(ISNUMBER(E103)=TRUE,ISNUMBER(T103)=FALSE),"Direct", AND(ISNUMBER(E103)=FALSE,ISNUMBER(T103)=TRUE),"Indirect", CN103=4,"Direct",AND(CL103=FALSE, CM103=TRUE,CN103-CO103&gt;-1),"Direct", AND(CL103=FALSE,CM103=TRUE, CN103-CO103&lt;0),"Check algorithm in appendix 2", AND(CL103=TRUE, CM103=FALSE,CN103-CO103&gt;0),"Check algorithm in appendix 2", AND(CL103=TRUE, CM103=FALSE,CN103-CO103=0),"Indirect", AND(CL103=TRUE, CM103=FALSE,CN103-CO103&lt;0),"Indirect", AND(CL103=FALSE,CM103=FALSE,CN103-CO103&gt;-1),"Direct", AND(CL103=FALSE,CM103=FALSE,CN103-CO103&lt;0),"Check algorithm in appendix 2", AND(CL103=TRUE,CM103=TRUE,CN103-CO103&gt;-1),"Direct", AND(CL103=TRUE,CM103=TRUE,CN103-CO103&lt;0),"Check algorithm in appendix 2"))</f>
        <v/>
      </c>
      <c r="BC103" s="120" t="str">
        <f t="shared" si="10"/>
        <v/>
      </c>
      <c r="BD103" s="140"/>
      <c r="BE103" s="122" t="str">
        <f>IF(Preferences!B$3="Manual","", IFERROR(IFS(AND(Preferences!B$3="Automatic",AX103/AW103&gt;=30),"Extremely serious",AND(AY103&lt;=$D$1*-1,BA103&lt;0,AX103/AW103&lt;3),"Not Serious",AND(AY103&lt;=$D$1*-1,BA103&lt;0,AX103/AW103&gt;=3),"Very serious",AND(AY103&gt;=$D$1,AZ103&gt;0,AX103/AW103&lt;3),"Not Serious",AND(AY103&gt;=$D$1,AZ103&gt;0,AX103/AW103&gt;=3),"Very serious",AND(AY103&lt;=$D$1*-1,BA103&gt;0,AZ103&gt;$D$2*-1,AX103/AW103&lt;3),"Serious", AND(AY103&lt;=$D$1*-1,BA103&gt;0,AZ103&lt;$D$2*-1,AX103/AW103&lt;3),"Very serious", AND(AY103&gt;=$D$1,AZ103&lt;0,BA103&lt;$D$2,AX103/AW103&lt;3),"Serious",AND(AY103&gt;=$D$1,AZ103&lt;0,BA103&gt;$D$2,AX103/AW103&lt;3),"Very serious", AND(AY103&lt;=$D$1*-1,BA103&gt;0,AZ103&gt;$D$2*-1,AX103/AW103&gt;=3),"Very serious", AND(AY103&lt;=$D$1*-1,BA103&gt;0,AZ103&lt;$D$2*-1,AX103/AW103&gt;=3),"Very serious", AND(AY103&gt;=$D$1,AZ103&lt;0,BA103&lt;$D$2,AX103/AW103&gt;=3),"Very serious", AND(AY103&gt;=$D$1,AZ103&lt;0,BA103&gt;$D$2,AX103/AW103&gt;=3),"Very serious", AND(AY103&gt;$D$1*-1,AY103&lt;$D$1,AZ103&gt;$D$1*-1,BA103&lt;$D$1,AX103/AW103&lt;3),"Not Serious", AND(AY103&gt;$D$1*-1,AY103&lt;$D$1,OR(AZ103&lt;=$D$1*-1,BA103&gt;=$D$1),AZ103&gt;$D$2*-1,BA103&lt;$D$2,AX103/AW103&lt;3),"Serious", AND(AY103&gt;$D$1*-1,AY103&lt;$D$1,OR(AZ103&lt;=$D$2*-1,BA103&gt;=$D$2),AX103/AW103&lt;3),"Very serious", AND(AY103&gt;$D$1*-1,AY103&lt;$D$1,AZ103&gt;$D$1*-1,BA103&lt;$D$1,AX103/AW103&gt;=3),"Very serious", AND(AY103&gt;$D$1*-1,AY103&lt;$D$1,OR(AZ103&lt;=$D$1*-1,BA103&gt;=$D$1),AZ103&gt;$D$2*-1,BA103&lt;$D$2,AX103/AW103&gt;=3),"Very serious", AND(AY103&gt;$D$1*-1,AY103&lt;$D$1,OR(AZ103&lt;=$D$2*-1,BA103&gt;=$D$2),AX103/AW103&gt;=3),"Very serious"),""))</f>
        <v/>
      </c>
      <c r="BF103" s="107" t="str">
        <f t="shared" si="11"/>
        <v/>
      </c>
      <c r="BG103" s="94" t="str">
        <f t="shared" si="46"/>
        <v/>
      </c>
      <c r="BH103" s="64" t="str">
        <f t="shared" si="12"/>
        <v>#N/A</v>
      </c>
      <c r="BI103" s="64" t="str">
        <f t="shared" si="13"/>
        <v/>
      </c>
      <c r="BJ103" s="123" t="str">
        <f t="shared" si="14"/>
        <v>#N/A</v>
      </c>
      <c r="BK103" s="64" t="str">
        <f t="shared" si="50"/>
        <v>YES</v>
      </c>
      <c r="BL103" s="64" t="str">
        <f t="shared" si="16"/>
        <v>YES</v>
      </c>
      <c r="BM103" s="64" t="str">
        <f t="shared" si="17"/>
        <v>YES</v>
      </c>
      <c r="BN103" s="124" t="str">
        <f t="shared" si="18"/>
        <v/>
      </c>
      <c r="BO103" s="91" t="str">
        <f t="shared" si="19"/>
        <v/>
      </c>
      <c r="BP103" s="91" t="str">
        <f t="shared" si="20"/>
        <v>#N/A</v>
      </c>
      <c r="BQ103" s="91" t="str">
        <f t="shared" si="21"/>
        <v/>
      </c>
      <c r="BR103" s="93" t="str">
        <f t="shared" si="22"/>
        <v/>
      </c>
      <c r="BS103" s="90" t="str">
        <f t="shared" si="23"/>
        <v/>
      </c>
      <c r="BT103" s="93" t="str">
        <f t="shared" si="24"/>
        <v>NA</v>
      </c>
      <c r="BU103" s="125" t="str">
        <f t="shared" si="25"/>
        <v>#N/A</v>
      </c>
      <c r="BV103" s="93" t="str">
        <f t="shared" si="26"/>
        <v/>
      </c>
      <c r="BW103" s="93" t="str">
        <f t="shared" si="27"/>
        <v/>
      </c>
      <c r="BX103" s="93" t="str">
        <f t="shared" si="28"/>
        <v>NA</v>
      </c>
      <c r="BY103" s="95" t="str">
        <f t="shared" si="29"/>
        <v>#N/A</v>
      </c>
      <c r="BZ103" s="93" t="str">
        <f t="shared" si="30"/>
        <v/>
      </c>
      <c r="CA103" s="93" t="str">
        <f t="shared" si="31"/>
        <v/>
      </c>
      <c r="CB103" s="93" t="str">
        <f t="shared" si="32"/>
        <v>NA</v>
      </c>
      <c r="CC103" s="96" t="str">
        <f t="shared" si="33"/>
        <v>#N/A</v>
      </c>
      <c r="CD103" s="93" t="str">
        <f t="shared" si="34"/>
        <v/>
      </c>
      <c r="CE103" s="93" t="str">
        <f t="shared" si="35"/>
        <v/>
      </c>
      <c r="CF103" s="93" t="str">
        <f t="shared" si="36"/>
        <v>NA</v>
      </c>
      <c r="CG103" s="97" t="str">
        <f t="shared" si="37"/>
        <v>#N/A</v>
      </c>
      <c r="CH103" s="98" t="str">
        <f t="shared" si="38"/>
        <v>#N/A</v>
      </c>
      <c r="CI103" s="99" t="str">
        <f t="shared" si="39"/>
        <v>#N/A</v>
      </c>
      <c r="CJ103" s="126" t="str">
        <f t="shared" si="40"/>
        <v>ERROR: check cell</v>
      </c>
      <c r="CK103" s="126"/>
      <c r="CL103" s="127" t="str">
        <f t="shared" si="41"/>
        <v>#DIV/0!</v>
      </c>
      <c r="CM103" s="128" t="str">
        <f t="shared" si="42"/>
        <v>#DIV/0!</v>
      </c>
      <c r="CN103" s="128">
        <f t="shared" si="43"/>
        <v>4</v>
      </c>
      <c r="CO103" s="129">
        <f t="shared" si="44"/>
        <v>4</v>
      </c>
      <c r="CP103" s="129" t="str">
        <f>IFS(C103=Preferences!B$13,B103,B103=Preferences!B$13,C103)</f>
        <v>#N/A</v>
      </c>
    </row>
    <row r="104" ht="13.5" customHeight="1">
      <c r="A104" s="63" t="str">
        <f t="shared" si="45"/>
        <v/>
      </c>
      <c r="B104" s="64"/>
      <c r="C104" s="64"/>
      <c r="D104" s="64"/>
      <c r="E104" s="65"/>
      <c r="F104" s="65"/>
      <c r="G104" s="65"/>
      <c r="H104" s="65"/>
      <c r="I104" s="65"/>
      <c r="J104" s="141"/>
      <c r="K104" s="138"/>
      <c r="L104" s="104"/>
      <c r="M104" s="104"/>
      <c r="N104" s="104"/>
      <c r="O104" s="104"/>
      <c r="P104" s="107" t="str">
        <f t="shared" si="1"/>
        <v/>
      </c>
      <c r="Q104" s="108" t="str">
        <f>IFERROR(IF(AND(Preferences!B$3="Manual",OR(AX104/AW104&gt;G104/F104,BD104="Serious",BD104="Very serious")),"Assess imprecision",IFS(ISBLANK(E104),"",AND(Preferences!B$3="Automatic", G104/F104&gt;=30),"Extremely serious",AND(H104&lt;=$D$1*-1,J104&lt;0,G104/F104&lt;3),"Not serious",AND(H104&lt;=$D$1*-1,J104&lt;0,G104/F104&gt;=3),"Very serious",AND(H104&gt;=$D$1,I104&gt;0,G104/F104&lt;3),"Not serious",AND(H104&gt;=$D$1,I104&gt;0,G104/F104&gt;=3),"Very serious",AND(H104&lt;=$D$1*-1,J104&gt;0,I104&gt;$D$2*-1,G104/F104&lt;3),"Serious", AND(H104&lt;=$D$1*-1,J104&gt;0,I104&lt;$D$2*-1,G104/F104&lt;3),"Very serious", AND(H104&gt;=$D$1,I104&lt;0,J104&lt;$D$2,G104/F104&lt;3),"Serious",AND(H104&gt;=$D$1,I104&lt;0,J104&gt;$D$2,G104/F104&lt;3),"Very serious", AND(H104&lt;=$D$1*-1,J104&gt;0,I104&gt;$D$2*-1,G104/F104&gt;=3),"Very serious", AND(H104&lt;=$D$1*-1,J104&gt;0,I104&lt;$D$2*-1,G104/F104&gt;=3),"Very serious", AND(H104&gt;=$D$1,I104&lt;0,J104&lt;$D$2,G104/F104&gt;=3),"Very serious", AND(H104&gt;=$D$1,I104&lt;0,J104&gt;$D$2,G104/F104&gt;=3),"Very serious", AND(H104&gt;$D$1*-1,H104&lt;$D$1,I104&gt;$D$1*-1,J104&lt;$D$1,G104/F104&lt;3),"Not serious", AND(H104&gt;$D$1*-1,H104&lt;$D$1,OR(I104&lt;=$D$1*-1,J104&gt;=$D$1),I104&gt;$D$2*-1,J104&lt;$D$2,G104/F104&lt;3),"Serious", AND(H104&gt;$D$1*-1,H104&lt;$D$1,OR(I104&lt;=$D$2*-1,J104&gt;=$D$2),G104/F104&lt;3),"Very serious", AND(H104&gt;$D$1*-1,H104&lt;$D$1,I104&gt;$D$1*-1,J104&lt;$D$1,G104/F104&gt;=3),"Very serious", AND(H104&gt;$D$1*-1,H104&lt;$D$1,OR(I104&lt;=$D$1*-1,J104&gt;=$D$1),I104&gt;$D$2*-1,J104&lt;$D$2,G104/F104&gt;=3),"Very serious", AND(H104&gt;$D$1*-1,H104&lt;$D$1,OR(I104&lt;=$D$2*-1,J104&gt;=$D$2),G104/F104&gt;=3),"Very serious")),"")</f>
        <v/>
      </c>
      <c r="R104" s="109" t="str">
        <f t="shared" si="47"/>
        <v/>
      </c>
      <c r="S104" s="64"/>
      <c r="T104" s="145"/>
      <c r="U104" s="145"/>
      <c r="V104" s="145"/>
      <c r="W104" s="73"/>
      <c r="X104" s="73"/>
      <c r="Y104" s="74"/>
      <c r="Z104" s="113" t="str">
        <f t="array" ref="Z104">INDEX($A$1:$C$500, MATCH(1,($B:$B=$B104)*($C:$C=$AB104),0),1)</f>
        <v/>
      </c>
      <c r="AA104" s="113" t="str">
        <f t="array" ref="AA104">INDEX($A$1:$C$500, MATCH(1,($B:$B=$AB104)*($C:$C=$B104),0),1)</f>
        <v/>
      </c>
      <c r="AB104" s="111"/>
      <c r="AC104" s="114" t="str">
        <f t="shared" si="2"/>
        <v/>
      </c>
      <c r="AD104" s="115" t="str">
        <f t="shared" si="3"/>
        <v/>
      </c>
      <c r="AE104" s="116" t="str">
        <f t="array" ref="AE104">INDEX($A$1:$C$500, MATCH(1,($B:$B=$AB104)*($C:$C=$AG104),0),1)</f>
        <v/>
      </c>
      <c r="AF104" s="116" t="str">
        <f t="array" ref="AF104">INDEX($A$1:$C$500, MATCH(1,($B:$B=$AG104)*($C:$C=$AB104),0),1)</f>
        <v/>
      </c>
      <c r="AG104" s="72"/>
      <c r="AH104" s="114" t="str">
        <f t="shared" si="4"/>
        <v/>
      </c>
      <c r="AI104" s="115" t="str">
        <f t="shared" si="5"/>
        <v/>
      </c>
      <c r="AJ104" s="116" t="str">
        <f t="array" ref="AJ104">INDEX($A$1:$C$500, MATCH(1,($B:$B=$C104)*($C:$C=$AG104),0),1)</f>
        <v/>
      </c>
      <c r="AK104" s="116" t="str">
        <f t="array" ref="AK104">INDEX($A$1:$C$500, MATCH(1,($B:$B=$AG104)*($C:$C=$C104),0),1)</f>
        <v/>
      </c>
      <c r="AL104" s="116" t="str">
        <f t="array" ref="AL104">INDEX($A$1:$C$500, MATCH(1,($B:$B=$C104)*($C:$C=$AB104),0),1)</f>
        <v/>
      </c>
      <c r="AM104" s="116" t="str">
        <f t="array" ref="AM104">INDEX($A$1:$C$500, MATCH(1,($B:$B=$AB104)*($C:$C=$C104),0),1)</f>
        <v/>
      </c>
      <c r="AN104" s="114" t="str">
        <f t="array" ref="AN104">IFS(ISNUMBER(AJ104),AJ104,ISNUMBER(AK104),AK104,ISNUMBER(AL104),AL104,ISNUMBER(AM104),AM104)</f>
        <v>#N/A</v>
      </c>
      <c r="AO104" s="115" t="str">
        <f t="shared" si="6"/>
        <v/>
      </c>
      <c r="AP104" s="115" t="str">
        <f t="shared" si="7"/>
        <v/>
      </c>
      <c r="AQ104" s="111"/>
      <c r="AR104" s="109" t="str">
        <f t="shared" si="8"/>
        <v/>
      </c>
      <c r="AS104" s="72" t="str">
        <f>IFERROR(IF(AND(Preferences!B$3="Manual",OR(AX104/AW104&gt;V104/U104,BD104="Serious",BD104="Very serious")),"Assess imprecision",IFERROR(IFS(AND(Preferences!B$3="Automatic",V104/U104&gt;=30),"Extremely serious",AND(W104&lt;=$D$1*-1,Y104&lt;0,V104/U104&lt;3),"Not Serious",AND(W104&lt;=$D$1*-1,Y104&lt;0,V104/U104&gt;=3),"Very serious",AND(W104&gt;=$D$1,X104&gt;0,V104/U104&lt;3),"Not Serious",AND(W104&gt;=$D$1,X104&gt;0,V104/U104&gt;=3),"Very serious",AND(W104&lt;=$D$1*-1,Y104&gt;0,X104&gt;$D$2*-1,V104/U104&lt;3),"Serious", AND(W104&lt;=$D$1*-1,Y104&gt;0,X104&lt;$D$2*-1,V104/U104&lt;3),"Very serious", AND(W104&gt;=$D$1,X104&lt;0,Y104&lt;$D$2,V104/U104&lt;3),"Serious",AND(W104&gt;=$D$1,X104&lt;0,Y104&gt;$D$2,V104/U104&lt;3),"Very serious", AND(W104&lt;=$D$1*-1,Y104&gt;0,X104&gt;$D$2*-1,V104/U104&gt;=3),"Very serious", AND(W104&lt;=$D$1*-1,Y104&gt;0,X104&lt;$D$2*-1,V104/U104&gt;=3),"Very serious", AND(W104&gt;=$D$1,X104&lt;0,Y104&lt;$D$2,V104/U104&gt;=3),"Very serious", AND(W104&gt;=$D$1,X104&lt;0,Y104&gt;$D$2,V104/U104&gt;=3),"Very serious", AND(W104&gt;$D$1*-1,W104&lt;$D$1,X104&gt;$D$1*-1,Y104&lt;$D$1,V104/U104&lt;3),"Not Serious", AND(W104&gt;$D$1*-1,W104&lt;$D$1,OR(X104&lt;=$D$1*-1,Y104&gt;=$D$1),X104&gt;$D$2*-1,Y104&lt;$D$2,V104/U104&lt;3),"Serious", AND(W104&gt;$D$1*-1,W104&lt;$D$1,OR(X104&lt;=$D$2*-1,Y104&gt;=$D$2),V104/U104&lt;3),"Very serious", AND(W104&gt;$D$1*-1,W104&lt;$D$1,X104&gt;$D$1*-1,Y104&lt;$D$1,V104/U104&gt;=3),"Very serious", AND(W104&gt;$D$1*-1,W104&lt;$D$1,OR(X104&lt;=$D$1*-1,Y104&gt;=$D$1),X104&gt;$D$2*-1,Y104&lt;$D$2,V104/U104&gt;=3),"Very serious", AND(W104&gt;$D$1*-1,W104&lt;$D$1,OR(X104&lt;=$D$2*-1,Y104&gt;=$D$2),V104/U104&gt;=3),"Very serious"),"")),"")</f>
        <v/>
      </c>
      <c r="AT104" s="109" t="str">
        <f t="shared" si="9"/>
        <v/>
      </c>
      <c r="AU104" s="64"/>
      <c r="AV104" s="117"/>
      <c r="AW104" s="117"/>
      <c r="AX104" s="117"/>
      <c r="AY104" s="118"/>
      <c r="AZ104" s="118"/>
      <c r="BA104" s="119"/>
      <c r="BB104" s="86" t="str">
        <f>IF(Preferences!B$9="Manual","",IFS(ISBLANK(B104),"",AND(ISNUMBER(E104)=TRUE,ISNUMBER(T104)=FALSE),"Direct", AND(ISNUMBER(E104)=FALSE,ISNUMBER(T104)=TRUE),"Indirect", CN104=4,"Direct",AND(CL104=FALSE, CM104=TRUE,CN104-CO104&gt;-1),"Direct", AND(CL104=FALSE,CM104=TRUE, CN104-CO104&lt;0),"Check algorithm in appendix 2", AND(CL104=TRUE, CM104=FALSE,CN104-CO104&gt;0),"Check algorithm in appendix 2", AND(CL104=TRUE, CM104=FALSE,CN104-CO104=0),"Indirect", AND(CL104=TRUE, CM104=FALSE,CN104-CO104&lt;0),"Indirect", AND(CL104=FALSE,CM104=FALSE,CN104-CO104&gt;-1),"Direct", AND(CL104=FALSE,CM104=FALSE,CN104-CO104&lt;0),"Check algorithm in appendix 2", AND(CL104=TRUE,CM104=TRUE,CN104-CO104&gt;-1),"Direct", AND(CL104=TRUE,CM104=TRUE,CN104-CO104&lt;0),"Check algorithm in appendix 2"))</f>
        <v/>
      </c>
      <c r="BC104" s="120" t="str">
        <f t="shared" si="10"/>
        <v/>
      </c>
      <c r="BD104" s="140"/>
      <c r="BE104" s="122" t="str">
        <f>IF(Preferences!B$3="Manual","", IFERROR(IFS(AND(Preferences!B$3="Automatic",AX104/AW104&gt;=30),"Extremely serious",AND(AY104&lt;=$D$1*-1,BA104&lt;0,AX104/AW104&lt;3),"Not Serious",AND(AY104&lt;=$D$1*-1,BA104&lt;0,AX104/AW104&gt;=3),"Very serious",AND(AY104&gt;=$D$1,AZ104&gt;0,AX104/AW104&lt;3),"Not Serious",AND(AY104&gt;=$D$1,AZ104&gt;0,AX104/AW104&gt;=3),"Very serious",AND(AY104&lt;=$D$1*-1,BA104&gt;0,AZ104&gt;$D$2*-1,AX104/AW104&lt;3),"Serious", AND(AY104&lt;=$D$1*-1,BA104&gt;0,AZ104&lt;$D$2*-1,AX104/AW104&lt;3),"Very serious", AND(AY104&gt;=$D$1,AZ104&lt;0,BA104&lt;$D$2,AX104/AW104&lt;3),"Serious",AND(AY104&gt;=$D$1,AZ104&lt;0,BA104&gt;$D$2,AX104/AW104&lt;3),"Very serious", AND(AY104&lt;=$D$1*-1,BA104&gt;0,AZ104&gt;$D$2*-1,AX104/AW104&gt;=3),"Very serious", AND(AY104&lt;=$D$1*-1,BA104&gt;0,AZ104&lt;$D$2*-1,AX104/AW104&gt;=3),"Very serious", AND(AY104&gt;=$D$1,AZ104&lt;0,BA104&lt;$D$2,AX104/AW104&gt;=3),"Very serious", AND(AY104&gt;=$D$1,AZ104&lt;0,BA104&gt;$D$2,AX104/AW104&gt;=3),"Very serious", AND(AY104&gt;$D$1*-1,AY104&lt;$D$1,AZ104&gt;$D$1*-1,BA104&lt;$D$1,AX104/AW104&lt;3),"Not Serious", AND(AY104&gt;$D$1*-1,AY104&lt;$D$1,OR(AZ104&lt;=$D$1*-1,BA104&gt;=$D$1),AZ104&gt;$D$2*-1,BA104&lt;$D$2,AX104/AW104&lt;3),"Serious", AND(AY104&gt;$D$1*-1,AY104&lt;$D$1,OR(AZ104&lt;=$D$2*-1,BA104&gt;=$D$2),AX104/AW104&lt;3),"Very serious", AND(AY104&gt;$D$1*-1,AY104&lt;$D$1,AZ104&gt;$D$1*-1,BA104&lt;$D$1,AX104/AW104&gt;=3),"Very serious", AND(AY104&gt;$D$1*-1,AY104&lt;$D$1,OR(AZ104&lt;=$D$1*-1,BA104&gt;=$D$1),AZ104&gt;$D$2*-1,BA104&lt;$D$2,AX104/AW104&gt;=3),"Very serious", AND(AY104&gt;$D$1*-1,AY104&lt;$D$1,OR(AZ104&lt;=$D$2*-1,BA104&gt;=$D$2),AX104/AW104&gt;=3),"Very serious"),""))</f>
        <v/>
      </c>
      <c r="BF104" s="107" t="str">
        <f t="shared" si="11"/>
        <v/>
      </c>
      <c r="BG104" s="94" t="str">
        <f t="shared" si="46"/>
        <v/>
      </c>
      <c r="BH104" s="64" t="str">
        <f t="shared" si="12"/>
        <v>#N/A</v>
      </c>
      <c r="BI104" s="64" t="str">
        <f t="shared" si="13"/>
        <v/>
      </c>
      <c r="BJ104" s="123" t="str">
        <f t="shared" si="14"/>
        <v>#N/A</v>
      </c>
      <c r="BK104" s="64" t="str">
        <f t="shared" si="50"/>
        <v>YES</v>
      </c>
      <c r="BL104" s="64" t="str">
        <f t="shared" si="16"/>
        <v>YES</v>
      </c>
      <c r="BM104" s="64" t="str">
        <f t="shared" si="17"/>
        <v>YES</v>
      </c>
      <c r="BN104" s="124" t="str">
        <f t="shared" si="18"/>
        <v/>
      </c>
      <c r="BO104" s="91" t="str">
        <f t="shared" si="19"/>
        <v/>
      </c>
      <c r="BP104" s="91" t="str">
        <f t="shared" si="20"/>
        <v>#N/A</v>
      </c>
      <c r="BQ104" s="91" t="str">
        <f t="shared" si="21"/>
        <v/>
      </c>
      <c r="BR104" s="93" t="str">
        <f t="shared" si="22"/>
        <v/>
      </c>
      <c r="BS104" s="90" t="str">
        <f t="shared" si="23"/>
        <v/>
      </c>
      <c r="BT104" s="93" t="str">
        <f t="shared" si="24"/>
        <v>NA</v>
      </c>
      <c r="BU104" s="125" t="str">
        <f t="shared" si="25"/>
        <v>#N/A</v>
      </c>
      <c r="BV104" s="93" t="str">
        <f t="shared" si="26"/>
        <v/>
      </c>
      <c r="BW104" s="93" t="str">
        <f t="shared" si="27"/>
        <v/>
      </c>
      <c r="BX104" s="93" t="str">
        <f t="shared" si="28"/>
        <v>NA</v>
      </c>
      <c r="BY104" s="95" t="str">
        <f t="shared" si="29"/>
        <v>#N/A</v>
      </c>
      <c r="BZ104" s="93" t="str">
        <f t="shared" si="30"/>
        <v/>
      </c>
      <c r="CA104" s="93" t="str">
        <f t="shared" si="31"/>
        <v/>
      </c>
      <c r="CB104" s="93" t="str">
        <f t="shared" si="32"/>
        <v>NA</v>
      </c>
      <c r="CC104" s="96" t="str">
        <f t="shared" si="33"/>
        <v>#N/A</v>
      </c>
      <c r="CD104" s="93" t="str">
        <f t="shared" si="34"/>
        <v/>
      </c>
      <c r="CE104" s="93" t="str">
        <f t="shared" si="35"/>
        <v/>
      </c>
      <c r="CF104" s="93" t="str">
        <f t="shared" si="36"/>
        <v>NA</v>
      </c>
      <c r="CG104" s="97" t="str">
        <f t="shared" si="37"/>
        <v>#N/A</v>
      </c>
      <c r="CH104" s="98" t="str">
        <f t="shared" si="38"/>
        <v>#N/A</v>
      </c>
      <c r="CI104" s="99" t="str">
        <f t="shared" si="39"/>
        <v>#N/A</v>
      </c>
      <c r="CJ104" s="126" t="str">
        <f t="shared" si="40"/>
        <v>ERROR: check cell</v>
      </c>
      <c r="CK104" s="126"/>
      <c r="CL104" s="127" t="str">
        <f t="shared" si="41"/>
        <v>#DIV/0!</v>
      </c>
      <c r="CM104" s="128" t="str">
        <f t="shared" si="42"/>
        <v>#DIV/0!</v>
      </c>
      <c r="CN104" s="128">
        <f t="shared" si="43"/>
        <v>4</v>
      </c>
      <c r="CO104" s="129">
        <f t="shared" si="44"/>
        <v>4</v>
      </c>
      <c r="CP104" s="129" t="str">
        <f>IFS(C104=Preferences!B$13,B104,B104=Preferences!B$13,C104)</f>
        <v>#N/A</v>
      </c>
    </row>
    <row r="105" ht="13.5" customHeight="1">
      <c r="A105" s="63" t="str">
        <f t="shared" si="45"/>
        <v/>
      </c>
      <c r="B105" s="64"/>
      <c r="C105" s="64"/>
      <c r="D105" s="64"/>
      <c r="E105" s="65"/>
      <c r="F105" s="65"/>
      <c r="G105" s="65"/>
      <c r="H105" s="65"/>
      <c r="I105" s="65"/>
      <c r="J105" s="141"/>
      <c r="K105" s="138"/>
      <c r="L105" s="104"/>
      <c r="M105" s="104"/>
      <c r="N105" s="104"/>
      <c r="O105" s="104"/>
      <c r="P105" s="107" t="str">
        <f t="shared" si="1"/>
        <v/>
      </c>
      <c r="Q105" s="108" t="str">
        <f>IFERROR(IF(AND(Preferences!B$3="Manual",OR(AX105/AW105&gt;G105/F105,BD105="Serious",BD105="Very serious")),"Assess imprecision",IFS(ISBLANK(E105),"",AND(Preferences!B$3="Automatic", G105/F105&gt;=30),"Extremely serious",AND(H105&lt;=$D$1*-1,J105&lt;0,G105/F105&lt;3),"Not serious",AND(H105&lt;=$D$1*-1,J105&lt;0,G105/F105&gt;=3),"Very serious",AND(H105&gt;=$D$1,I105&gt;0,G105/F105&lt;3),"Not serious",AND(H105&gt;=$D$1,I105&gt;0,G105/F105&gt;=3),"Very serious",AND(H105&lt;=$D$1*-1,J105&gt;0,I105&gt;$D$2*-1,G105/F105&lt;3),"Serious", AND(H105&lt;=$D$1*-1,J105&gt;0,I105&lt;$D$2*-1,G105/F105&lt;3),"Very serious", AND(H105&gt;=$D$1,I105&lt;0,J105&lt;$D$2,G105/F105&lt;3),"Serious",AND(H105&gt;=$D$1,I105&lt;0,J105&gt;$D$2,G105/F105&lt;3),"Very serious", AND(H105&lt;=$D$1*-1,J105&gt;0,I105&gt;$D$2*-1,G105/F105&gt;=3),"Very serious", AND(H105&lt;=$D$1*-1,J105&gt;0,I105&lt;$D$2*-1,G105/F105&gt;=3),"Very serious", AND(H105&gt;=$D$1,I105&lt;0,J105&lt;$D$2,G105/F105&gt;=3),"Very serious", AND(H105&gt;=$D$1,I105&lt;0,J105&gt;$D$2,G105/F105&gt;=3),"Very serious", AND(H105&gt;$D$1*-1,H105&lt;$D$1,I105&gt;$D$1*-1,J105&lt;$D$1,G105/F105&lt;3),"Not serious", AND(H105&gt;$D$1*-1,H105&lt;$D$1,OR(I105&lt;=$D$1*-1,J105&gt;=$D$1),I105&gt;$D$2*-1,J105&lt;$D$2,G105/F105&lt;3),"Serious", AND(H105&gt;$D$1*-1,H105&lt;$D$1,OR(I105&lt;=$D$2*-1,J105&gt;=$D$2),G105/F105&lt;3),"Very serious", AND(H105&gt;$D$1*-1,H105&lt;$D$1,I105&gt;$D$1*-1,J105&lt;$D$1,G105/F105&gt;=3),"Very serious", AND(H105&gt;$D$1*-1,H105&lt;$D$1,OR(I105&lt;=$D$1*-1,J105&gt;=$D$1),I105&gt;$D$2*-1,J105&lt;$D$2,G105/F105&gt;=3),"Very serious", AND(H105&gt;$D$1*-1,H105&lt;$D$1,OR(I105&lt;=$D$2*-1,J105&gt;=$D$2),G105/F105&gt;=3),"Very serious")),"")</f>
        <v/>
      </c>
      <c r="R105" s="109" t="str">
        <f t="shared" si="47"/>
        <v/>
      </c>
      <c r="S105" s="64"/>
      <c r="T105" s="145"/>
      <c r="U105" s="145"/>
      <c r="V105" s="145"/>
      <c r="W105" s="73"/>
      <c r="X105" s="73"/>
      <c r="Y105" s="74"/>
      <c r="Z105" s="113" t="str">
        <f t="array" ref="Z105">INDEX($A$1:$C$500, MATCH(1,($B:$B=$B105)*($C:$C=$AB105),0),1)</f>
        <v/>
      </c>
      <c r="AA105" s="113" t="str">
        <f t="array" ref="AA105">INDEX($A$1:$C$500, MATCH(1,($B:$B=$AB105)*($C:$C=$B105),0),1)</f>
        <v/>
      </c>
      <c r="AB105" s="111"/>
      <c r="AC105" s="114" t="str">
        <f t="shared" si="2"/>
        <v/>
      </c>
      <c r="AD105" s="115" t="str">
        <f t="shared" si="3"/>
        <v/>
      </c>
      <c r="AE105" s="116" t="str">
        <f t="array" ref="AE105">INDEX($A$1:$C$500, MATCH(1,($B:$B=$AB105)*($C:$C=$AG105),0),1)</f>
        <v/>
      </c>
      <c r="AF105" s="116" t="str">
        <f t="array" ref="AF105">INDEX($A$1:$C$500, MATCH(1,($B:$B=$AG105)*($C:$C=$AB105),0),1)</f>
        <v/>
      </c>
      <c r="AG105" s="72"/>
      <c r="AH105" s="114" t="str">
        <f t="shared" si="4"/>
        <v/>
      </c>
      <c r="AI105" s="115" t="str">
        <f t="shared" si="5"/>
        <v/>
      </c>
      <c r="AJ105" s="116" t="str">
        <f t="array" ref="AJ105">INDEX($A$1:$C$500, MATCH(1,($B:$B=$C105)*($C:$C=$AG105),0),1)</f>
        <v/>
      </c>
      <c r="AK105" s="116" t="str">
        <f t="array" ref="AK105">INDEX($A$1:$C$500, MATCH(1,($B:$B=$AG105)*($C:$C=$C105),0),1)</f>
        <v/>
      </c>
      <c r="AL105" s="116" t="str">
        <f t="array" ref="AL105">INDEX($A$1:$C$500, MATCH(1,($B:$B=$C105)*($C:$C=$AB105),0),1)</f>
        <v/>
      </c>
      <c r="AM105" s="116" t="str">
        <f t="array" ref="AM105">INDEX($A$1:$C$500, MATCH(1,($B:$B=$AB105)*($C:$C=$C105),0),1)</f>
        <v/>
      </c>
      <c r="AN105" s="114" t="str">
        <f t="array" ref="AN105">IFS(ISNUMBER(AJ105),AJ105,ISNUMBER(AK105),AK105,ISNUMBER(AL105),AL105,ISNUMBER(AM105),AM105)</f>
        <v>#N/A</v>
      </c>
      <c r="AO105" s="115" t="str">
        <f t="shared" si="6"/>
        <v/>
      </c>
      <c r="AP105" s="115" t="str">
        <f t="shared" si="7"/>
        <v/>
      </c>
      <c r="AQ105" s="111"/>
      <c r="AR105" s="109" t="str">
        <f t="shared" si="8"/>
        <v/>
      </c>
      <c r="AS105" s="72" t="str">
        <f>IFERROR(IF(AND(Preferences!B$3="Manual",OR(AX105/AW105&gt;V105/U105,BD105="Serious",BD105="Very serious")),"Assess imprecision",IFERROR(IFS(AND(Preferences!B$3="Automatic",V105/U105&gt;=30),"Extremely serious",AND(W105&lt;=$D$1*-1,Y105&lt;0,V105/U105&lt;3),"Not Serious",AND(W105&lt;=$D$1*-1,Y105&lt;0,V105/U105&gt;=3),"Very serious",AND(W105&gt;=$D$1,X105&gt;0,V105/U105&lt;3),"Not Serious",AND(W105&gt;=$D$1,X105&gt;0,V105/U105&gt;=3),"Very serious",AND(W105&lt;=$D$1*-1,Y105&gt;0,X105&gt;$D$2*-1,V105/U105&lt;3),"Serious", AND(W105&lt;=$D$1*-1,Y105&gt;0,X105&lt;$D$2*-1,V105/U105&lt;3),"Very serious", AND(W105&gt;=$D$1,X105&lt;0,Y105&lt;$D$2,V105/U105&lt;3),"Serious",AND(W105&gt;=$D$1,X105&lt;0,Y105&gt;$D$2,V105/U105&lt;3),"Very serious", AND(W105&lt;=$D$1*-1,Y105&gt;0,X105&gt;$D$2*-1,V105/U105&gt;=3),"Very serious", AND(W105&lt;=$D$1*-1,Y105&gt;0,X105&lt;$D$2*-1,V105/U105&gt;=3),"Very serious", AND(W105&gt;=$D$1,X105&lt;0,Y105&lt;$D$2,V105/U105&gt;=3),"Very serious", AND(W105&gt;=$D$1,X105&lt;0,Y105&gt;$D$2,V105/U105&gt;=3),"Very serious", AND(W105&gt;$D$1*-1,W105&lt;$D$1,X105&gt;$D$1*-1,Y105&lt;$D$1,V105/U105&lt;3),"Not Serious", AND(W105&gt;$D$1*-1,W105&lt;$D$1,OR(X105&lt;=$D$1*-1,Y105&gt;=$D$1),X105&gt;$D$2*-1,Y105&lt;$D$2,V105/U105&lt;3),"Serious", AND(W105&gt;$D$1*-1,W105&lt;$D$1,OR(X105&lt;=$D$2*-1,Y105&gt;=$D$2),V105/U105&lt;3),"Very serious", AND(W105&gt;$D$1*-1,W105&lt;$D$1,X105&gt;$D$1*-1,Y105&lt;$D$1,V105/U105&gt;=3),"Very serious", AND(W105&gt;$D$1*-1,W105&lt;$D$1,OR(X105&lt;=$D$1*-1,Y105&gt;=$D$1),X105&gt;$D$2*-1,Y105&lt;$D$2,V105/U105&gt;=3),"Very serious", AND(W105&gt;$D$1*-1,W105&lt;$D$1,OR(X105&lt;=$D$2*-1,Y105&gt;=$D$2),V105/U105&gt;=3),"Very serious"),"")),"")</f>
        <v/>
      </c>
      <c r="AT105" s="109" t="str">
        <f t="shared" si="9"/>
        <v/>
      </c>
      <c r="AU105" s="64"/>
      <c r="AV105" s="117"/>
      <c r="AW105" s="117"/>
      <c r="AX105" s="117"/>
      <c r="AY105" s="118"/>
      <c r="AZ105" s="118"/>
      <c r="BA105" s="119"/>
      <c r="BB105" s="86" t="str">
        <f>IF(Preferences!B$9="Manual","",IFS(ISBLANK(B105),"",AND(ISNUMBER(E105)=TRUE,ISNUMBER(T105)=FALSE),"Direct", AND(ISNUMBER(E105)=FALSE,ISNUMBER(T105)=TRUE),"Indirect", CN105=4,"Direct",AND(CL105=FALSE, CM105=TRUE,CN105-CO105&gt;-1),"Direct", AND(CL105=FALSE,CM105=TRUE, CN105-CO105&lt;0),"Check algorithm in appendix 2", AND(CL105=TRUE, CM105=FALSE,CN105-CO105&gt;0),"Check algorithm in appendix 2", AND(CL105=TRUE, CM105=FALSE,CN105-CO105=0),"Indirect", AND(CL105=TRUE, CM105=FALSE,CN105-CO105&lt;0),"Indirect", AND(CL105=FALSE,CM105=FALSE,CN105-CO105&gt;-1),"Direct", AND(CL105=FALSE,CM105=FALSE,CN105-CO105&lt;0),"Check algorithm in appendix 2", AND(CL105=TRUE,CM105=TRUE,CN105-CO105&gt;-1),"Direct", AND(CL105=TRUE,CM105=TRUE,CN105-CO105&lt;0),"Check algorithm in appendix 2"))</f>
        <v/>
      </c>
      <c r="BC105" s="120" t="str">
        <f t="shared" si="10"/>
        <v/>
      </c>
      <c r="BD105" s="140"/>
      <c r="BE105" s="122" t="str">
        <f>IF(Preferences!B$3="Manual","", IFERROR(IFS(AND(Preferences!B$3="Automatic",AX105/AW105&gt;=30),"Extremely serious",AND(AY105&lt;=$D$1*-1,BA105&lt;0,AX105/AW105&lt;3),"Not Serious",AND(AY105&lt;=$D$1*-1,BA105&lt;0,AX105/AW105&gt;=3),"Very serious",AND(AY105&gt;=$D$1,AZ105&gt;0,AX105/AW105&lt;3),"Not Serious",AND(AY105&gt;=$D$1,AZ105&gt;0,AX105/AW105&gt;=3),"Very serious",AND(AY105&lt;=$D$1*-1,BA105&gt;0,AZ105&gt;$D$2*-1,AX105/AW105&lt;3),"Serious", AND(AY105&lt;=$D$1*-1,BA105&gt;0,AZ105&lt;$D$2*-1,AX105/AW105&lt;3),"Very serious", AND(AY105&gt;=$D$1,AZ105&lt;0,BA105&lt;$D$2,AX105/AW105&lt;3),"Serious",AND(AY105&gt;=$D$1,AZ105&lt;0,BA105&gt;$D$2,AX105/AW105&lt;3),"Very serious", AND(AY105&lt;=$D$1*-1,BA105&gt;0,AZ105&gt;$D$2*-1,AX105/AW105&gt;=3),"Very serious", AND(AY105&lt;=$D$1*-1,BA105&gt;0,AZ105&lt;$D$2*-1,AX105/AW105&gt;=3),"Very serious", AND(AY105&gt;=$D$1,AZ105&lt;0,BA105&lt;$D$2,AX105/AW105&gt;=3),"Very serious", AND(AY105&gt;=$D$1,AZ105&lt;0,BA105&gt;$D$2,AX105/AW105&gt;=3),"Very serious", AND(AY105&gt;$D$1*-1,AY105&lt;$D$1,AZ105&gt;$D$1*-1,BA105&lt;$D$1,AX105/AW105&lt;3),"Not Serious", AND(AY105&gt;$D$1*-1,AY105&lt;$D$1,OR(AZ105&lt;=$D$1*-1,BA105&gt;=$D$1),AZ105&gt;$D$2*-1,BA105&lt;$D$2,AX105/AW105&lt;3),"Serious", AND(AY105&gt;$D$1*-1,AY105&lt;$D$1,OR(AZ105&lt;=$D$2*-1,BA105&gt;=$D$2),AX105/AW105&lt;3),"Very serious", AND(AY105&gt;$D$1*-1,AY105&lt;$D$1,AZ105&gt;$D$1*-1,BA105&lt;$D$1,AX105/AW105&gt;=3),"Very serious", AND(AY105&gt;$D$1*-1,AY105&lt;$D$1,OR(AZ105&lt;=$D$1*-1,BA105&gt;=$D$1),AZ105&gt;$D$2*-1,BA105&lt;$D$2,AX105/AW105&gt;=3),"Very serious", AND(AY105&gt;$D$1*-1,AY105&lt;$D$1,OR(AZ105&lt;=$D$2*-1,BA105&gt;=$D$2),AX105/AW105&gt;=3),"Very serious"),""))</f>
        <v/>
      </c>
      <c r="BF105" s="107" t="str">
        <f t="shared" si="11"/>
        <v/>
      </c>
      <c r="BG105" s="94" t="str">
        <f t="shared" si="46"/>
        <v/>
      </c>
      <c r="BH105" s="64" t="str">
        <f t="shared" si="12"/>
        <v>#N/A</v>
      </c>
      <c r="BI105" s="64" t="str">
        <f t="shared" si="13"/>
        <v/>
      </c>
      <c r="BJ105" s="123" t="str">
        <f t="shared" si="14"/>
        <v>#N/A</v>
      </c>
      <c r="BK105" s="64" t="str">
        <f t="shared" si="50"/>
        <v>YES</v>
      </c>
      <c r="BL105" s="64" t="str">
        <f t="shared" si="16"/>
        <v>YES</v>
      </c>
      <c r="BM105" s="64" t="str">
        <f t="shared" si="17"/>
        <v>YES</v>
      </c>
      <c r="BN105" s="124" t="str">
        <f t="shared" si="18"/>
        <v/>
      </c>
      <c r="BO105" s="91" t="str">
        <f t="shared" si="19"/>
        <v/>
      </c>
      <c r="BP105" s="91" t="str">
        <f t="shared" si="20"/>
        <v>#N/A</v>
      </c>
      <c r="BQ105" s="91" t="str">
        <f t="shared" si="21"/>
        <v/>
      </c>
      <c r="BR105" s="93" t="str">
        <f t="shared" si="22"/>
        <v/>
      </c>
      <c r="BS105" s="90" t="str">
        <f t="shared" si="23"/>
        <v/>
      </c>
      <c r="BT105" s="93" t="str">
        <f t="shared" si="24"/>
        <v>NA</v>
      </c>
      <c r="BU105" s="125" t="str">
        <f t="shared" si="25"/>
        <v>#N/A</v>
      </c>
      <c r="BV105" s="93" t="str">
        <f t="shared" si="26"/>
        <v/>
      </c>
      <c r="BW105" s="93" t="str">
        <f t="shared" si="27"/>
        <v/>
      </c>
      <c r="BX105" s="93" t="str">
        <f t="shared" si="28"/>
        <v>NA</v>
      </c>
      <c r="BY105" s="95" t="str">
        <f t="shared" si="29"/>
        <v>#N/A</v>
      </c>
      <c r="BZ105" s="93" t="str">
        <f t="shared" si="30"/>
        <v/>
      </c>
      <c r="CA105" s="93" t="str">
        <f t="shared" si="31"/>
        <v/>
      </c>
      <c r="CB105" s="93" t="str">
        <f t="shared" si="32"/>
        <v>NA</v>
      </c>
      <c r="CC105" s="96" t="str">
        <f t="shared" si="33"/>
        <v>#N/A</v>
      </c>
      <c r="CD105" s="93" t="str">
        <f t="shared" si="34"/>
        <v/>
      </c>
      <c r="CE105" s="93" t="str">
        <f t="shared" si="35"/>
        <v/>
      </c>
      <c r="CF105" s="93" t="str">
        <f t="shared" si="36"/>
        <v>NA</v>
      </c>
      <c r="CG105" s="97" t="str">
        <f t="shared" si="37"/>
        <v>#N/A</v>
      </c>
      <c r="CH105" s="98" t="str">
        <f t="shared" si="38"/>
        <v>#N/A</v>
      </c>
      <c r="CI105" s="99" t="str">
        <f t="shared" si="39"/>
        <v>#N/A</v>
      </c>
      <c r="CJ105" s="126" t="str">
        <f t="shared" si="40"/>
        <v>ERROR: check cell</v>
      </c>
      <c r="CK105" s="126"/>
      <c r="CL105" s="127" t="str">
        <f t="shared" si="41"/>
        <v>#DIV/0!</v>
      </c>
      <c r="CM105" s="128" t="str">
        <f t="shared" si="42"/>
        <v>#DIV/0!</v>
      </c>
      <c r="CN105" s="128">
        <f t="shared" si="43"/>
        <v>4</v>
      </c>
      <c r="CO105" s="129">
        <f t="shared" si="44"/>
        <v>4</v>
      </c>
      <c r="CP105" s="129" t="str">
        <f>IFS(C105=Preferences!B$13,B105,B105=Preferences!B$13,C105)</f>
        <v>#N/A</v>
      </c>
    </row>
    <row r="106" ht="13.5" customHeight="1">
      <c r="A106" s="63" t="str">
        <f t="shared" si="45"/>
        <v/>
      </c>
      <c r="B106" s="64"/>
      <c r="C106" s="64"/>
      <c r="D106" s="64"/>
      <c r="E106" s="65"/>
      <c r="F106" s="65"/>
      <c r="G106" s="65"/>
      <c r="H106" s="65"/>
      <c r="I106" s="65"/>
      <c r="J106" s="141"/>
      <c r="K106" s="138"/>
      <c r="L106" s="104"/>
      <c r="M106" s="104"/>
      <c r="N106" s="104"/>
      <c r="O106" s="104"/>
      <c r="P106" s="107" t="str">
        <f t="shared" si="1"/>
        <v/>
      </c>
      <c r="Q106" s="108" t="str">
        <f>IFERROR(IF(AND(Preferences!B$3="Manual",OR(AX106/AW106&gt;G106/F106,BD106="Serious",BD106="Very serious")),"Assess imprecision",IFS(ISBLANK(E106),"",AND(Preferences!B$3="Automatic", G106/F106&gt;=30),"Extremely serious",AND(H106&lt;=$D$1*-1,J106&lt;0,G106/F106&lt;3),"Not serious",AND(H106&lt;=$D$1*-1,J106&lt;0,G106/F106&gt;=3),"Very serious",AND(H106&gt;=$D$1,I106&gt;0,G106/F106&lt;3),"Not serious",AND(H106&gt;=$D$1,I106&gt;0,G106/F106&gt;=3),"Very serious",AND(H106&lt;=$D$1*-1,J106&gt;0,I106&gt;$D$2*-1,G106/F106&lt;3),"Serious", AND(H106&lt;=$D$1*-1,J106&gt;0,I106&lt;$D$2*-1,G106/F106&lt;3),"Very serious", AND(H106&gt;=$D$1,I106&lt;0,J106&lt;$D$2,G106/F106&lt;3),"Serious",AND(H106&gt;=$D$1,I106&lt;0,J106&gt;$D$2,G106/F106&lt;3),"Very serious", AND(H106&lt;=$D$1*-1,J106&gt;0,I106&gt;$D$2*-1,G106/F106&gt;=3),"Very serious", AND(H106&lt;=$D$1*-1,J106&gt;0,I106&lt;$D$2*-1,G106/F106&gt;=3),"Very serious", AND(H106&gt;=$D$1,I106&lt;0,J106&lt;$D$2,G106/F106&gt;=3),"Very serious", AND(H106&gt;=$D$1,I106&lt;0,J106&gt;$D$2,G106/F106&gt;=3),"Very serious", AND(H106&gt;$D$1*-1,H106&lt;$D$1,I106&gt;$D$1*-1,J106&lt;$D$1,G106/F106&lt;3),"Not serious", AND(H106&gt;$D$1*-1,H106&lt;$D$1,OR(I106&lt;=$D$1*-1,J106&gt;=$D$1),I106&gt;$D$2*-1,J106&lt;$D$2,G106/F106&lt;3),"Serious", AND(H106&gt;$D$1*-1,H106&lt;$D$1,OR(I106&lt;=$D$2*-1,J106&gt;=$D$2),G106/F106&lt;3),"Very serious", AND(H106&gt;$D$1*-1,H106&lt;$D$1,I106&gt;$D$1*-1,J106&lt;$D$1,G106/F106&gt;=3),"Very serious", AND(H106&gt;$D$1*-1,H106&lt;$D$1,OR(I106&lt;=$D$1*-1,J106&gt;=$D$1),I106&gt;$D$2*-1,J106&lt;$D$2,G106/F106&gt;=3),"Very serious", AND(H106&gt;$D$1*-1,H106&lt;$D$1,OR(I106&lt;=$D$2*-1,J106&gt;=$D$2),G106/F106&gt;=3),"Very serious")),"")</f>
        <v/>
      </c>
      <c r="R106" s="109" t="str">
        <f t="shared" si="47"/>
        <v/>
      </c>
      <c r="S106" s="64"/>
      <c r="T106" s="145"/>
      <c r="U106" s="145"/>
      <c r="V106" s="145"/>
      <c r="W106" s="73"/>
      <c r="X106" s="73"/>
      <c r="Y106" s="74"/>
      <c r="Z106" s="113" t="str">
        <f t="array" ref="Z106">INDEX($A$1:$C$500, MATCH(1,($B:$B=$B106)*($C:$C=$AB106),0),1)</f>
        <v/>
      </c>
      <c r="AA106" s="113" t="str">
        <f t="array" ref="AA106">INDEX($A$1:$C$500, MATCH(1,($B:$B=$AB106)*($C:$C=$B106),0),1)</f>
        <v/>
      </c>
      <c r="AB106" s="111"/>
      <c r="AC106" s="114" t="str">
        <f t="shared" si="2"/>
        <v/>
      </c>
      <c r="AD106" s="115" t="str">
        <f t="shared" si="3"/>
        <v/>
      </c>
      <c r="AE106" s="116" t="str">
        <f t="array" ref="AE106">INDEX($A$1:$C$500, MATCH(1,($B:$B=$AB106)*($C:$C=$AG106),0),1)</f>
        <v/>
      </c>
      <c r="AF106" s="116" t="str">
        <f t="array" ref="AF106">INDEX($A$1:$C$500, MATCH(1,($B:$B=$AG106)*($C:$C=$AB106),0),1)</f>
        <v/>
      </c>
      <c r="AG106" s="72"/>
      <c r="AH106" s="114" t="str">
        <f t="shared" si="4"/>
        <v/>
      </c>
      <c r="AI106" s="115" t="str">
        <f t="shared" si="5"/>
        <v/>
      </c>
      <c r="AJ106" s="116" t="str">
        <f t="array" ref="AJ106">INDEX($A$1:$C$500, MATCH(1,($B:$B=$C106)*($C:$C=$AG106),0),1)</f>
        <v/>
      </c>
      <c r="AK106" s="116" t="str">
        <f t="array" ref="AK106">INDEX($A$1:$C$500, MATCH(1,($B:$B=$AG106)*($C:$C=$C106),0),1)</f>
        <v/>
      </c>
      <c r="AL106" s="116" t="str">
        <f t="array" ref="AL106">INDEX($A$1:$C$500, MATCH(1,($B:$B=$C106)*($C:$C=$AB106),0),1)</f>
        <v/>
      </c>
      <c r="AM106" s="116" t="str">
        <f t="array" ref="AM106">INDEX($A$1:$C$500, MATCH(1,($B:$B=$AB106)*($C:$C=$C106),0),1)</f>
        <v/>
      </c>
      <c r="AN106" s="114" t="str">
        <f t="array" ref="AN106">IFS(ISNUMBER(AJ106),AJ106,ISNUMBER(AK106),AK106,ISNUMBER(AL106),AL106,ISNUMBER(AM106),AM106)</f>
        <v>#N/A</v>
      </c>
      <c r="AO106" s="115" t="str">
        <f t="shared" si="6"/>
        <v/>
      </c>
      <c r="AP106" s="115" t="str">
        <f t="shared" si="7"/>
        <v/>
      </c>
      <c r="AQ106" s="111"/>
      <c r="AR106" s="109" t="str">
        <f t="shared" si="8"/>
        <v/>
      </c>
      <c r="AS106" s="72" t="str">
        <f>IFERROR(IF(AND(Preferences!B$3="Manual",OR(AX106/AW106&gt;V106/U106,BD106="Serious",BD106="Very serious")),"Assess imprecision",IFERROR(IFS(AND(Preferences!B$3="Automatic",V106/U106&gt;=30),"Extremely serious",AND(W106&lt;=$D$1*-1,Y106&lt;0,V106/U106&lt;3),"Not Serious",AND(W106&lt;=$D$1*-1,Y106&lt;0,V106/U106&gt;=3),"Very serious",AND(W106&gt;=$D$1,X106&gt;0,V106/U106&lt;3),"Not Serious",AND(W106&gt;=$D$1,X106&gt;0,V106/U106&gt;=3),"Very serious",AND(W106&lt;=$D$1*-1,Y106&gt;0,X106&gt;$D$2*-1,V106/U106&lt;3),"Serious", AND(W106&lt;=$D$1*-1,Y106&gt;0,X106&lt;$D$2*-1,V106/U106&lt;3),"Very serious", AND(W106&gt;=$D$1,X106&lt;0,Y106&lt;$D$2,V106/U106&lt;3),"Serious",AND(W106&gt;=$D$1,X106&lt;0,Y106&gt;$D$2,V106/U106&lt;3),"Very serious", AND(W106&lt;=$D$1*-1,Y106&gt;0,X106&gt;$D$2*-1,V106/U106&gt;=3),"Very serious", AND(W106&lt;=$D$1*-1,Y106&gt;0,X106&lt;$D$2*-1,V106/U106&gt;=3),"Very serious", AND(W106&gt;=$D$1,X106&lt;0,Y106&lt;$D$2,V106/U106&gt;=3),"Very serious", AND(W106&gt;=$D$1,X106&lt;0,Y106&gt;$D$2,V106/U106&gt;=3),"Very serious", AND(W106&gt;$D$1*-1,W106&lt;$D$1,X106&gt;$D$1*-1,Y106&lt;$D$1,V106/U106&lt;3),"Not Serious", AND(W106&gt;$D$1*-1,W106&lt;$D$1,OR(X106&lt;=$D$1*-1,Y106&gt;=$D$1),X106&gt;$D$2*-1,Y106&lt;$D$2,V106/U106&lt;3),"Serious", AND(W106&gt;$D$1*-1,W106&lt;$D$1,OR(X106&lt;=$D$2*-1,Y106&gt;=$D$2),V106/U106&lt;3),"Very serious", AND(W106&gt;$D$1*-1,W106&lt;$D$1,X106&gt;$D$1*-1,Y106&lt;$D$1,V106/U106&gt;=3),"Very serious", AND(W106&gt;$D$1*-1,W106&lt;$D$1,OR(X106&lt;=$D$1*-1,Y106&gt;=$D$1),X106&gt;$D$2*-1,Y106&lt;$D$2,V106/U106&gt;=3),"Very serious", AND(W106&gt;$D$1*-1,W106&lt;$D$1,OR(X106&lt;=$D$2*-1,Y106&gt;=$D$2),V106/U106&gt;=3),"Very serious"),"")),"")</f>
        <v/>
      </c>
      <c r="AT106" s="109" t="str">
        <f t="shared" si="9"/>
        <v/>
      </c>
      <c r="AU106" s="64"/>
      <c r="AV106" s="117"/>
      <c r="AW106" s="117"/>
      <c r="AX106" s="117"/>
      <c r="AY106" s="118"/>
      <c r="AZ106" s="118"/>
      <c r="BA106" s="119"/>
      <c r="BB106" s="86" t="str">
        <f>IF(Preferences!B$9="Manual","",IFS(ISBLANK(B106),"",AND(ISNUMBER(E106)=TRUE,ISNUMBER(T106)=FALSE),"Direct", AND(ISNUMBER(E106)=FALSE,ISNUMBER(T106)=TRUE),"Indirect", CN106=4,"Direct",AND(CL106=FALSE, CM106=TRUE,CN106-CO106&gt;-1),"Direct", AND(CL106=FALSE,CM106=TRUE, CN106-CO106&lt;0),"Check algorithm in appendix 2", AND(CL106=TRUE, CM106=FALSE,CN106-CO106&gt;0),"Check algorithm in appendix 2", AND(CL106=TRUE, CM106=FALSE,CN106-CO106=0),"Indirect", AND(CL106=TRUE, CM106=FALSE,CN106-CO106&lt;0),"Indirect", AND(CL106=FALSE,CM106=FALSE,CN106-CO106&gt;-1),"Direct", AND(CL106=FALSE,CM106=FALSE,CN106-CO106&lt;0),"Check algorithm in appendix 2", AND(CL106=TRUE,CM106=TRUE,CN106-CO106&gt;-1),"Direct", AND(CL106=TRUE,CM106=TRUE,CN106-CO106&lt;0),"Check algorithm in appendix 2"))</f>
        <v/>
      </c>
      <c r="BC106" s="120" t="str">
        <f t="shared" si="10"/>
        <v/>
      </c>
      <c r="BD106" s="140"/>
      <c r="BE106" s="122" t="str">
        <f>IF(Preferences!B$3="Manual","", IFERROR(IFS(AND(Preferences!B$3="Automatic",AX106/AW106&gt;=30),"Extremely serious",AND(AY106&lt;=$D$1*-1,BA106&lt;0,AX106/AW106&lt;3),"Not Serious",AND(AY106&lt;=$D$1*-1,BA106&lt;0,AX106/AW106&gt;=3),"Very serious",AND(AY106&gt;=$D$1,AZ106&gt;0,AX106/AW106&lt;3),"Not Serious",AND(AY106&gt;=$D$1,AZ106&gt;0,AX106/AW106&gt;=3),"Very serious",AND(AY106&lt;=$D$1*-1,BA106&gt;0,AZ106&gt;$D$2*-1,AX106/AW106&lt;3),"Serious", AND(AY106&lt;=$D$1*-1,BA106&gt;0,AZ106&lt;$D$2*-1,AX106/AW106&lt;3),"Very serious", AND(AY106&gt;=$D$1,AZ106&lt;0,BA106&lt;$D$2,AX106/AW106&lt;3),"Serious",AND(AY106&gt;=$D$1,AZ106&lt;0,BA106&gt;$D$2,AX106/AW106&lt;3),"Very serious", AND(AY106&lt;=$D$1*-1,BA106&gt;0,AZ106&gt;$D$2*-1,AX106/AW106&gt;=3),"Very serious", AND(AY106&lt;=$D$1*-1,BA106&gt;0,AZ106&lt;$D$2*-1,AX106/AW106&gt;=3),"Very serious", AND(AY106&gt;=$D$1,AZ106&lt;0,BA106&lt;$D$2,AX106/AW106&gt;=3),"Very serious", AND(AY106&gt;=$D$1,AZ106&lt;0,BA106&gt;$D$2,AX106/AW106&gt;=3),"Very serious", AND(AY106&gt;$D$1*-1,AY106&lt;$D$1,AZ106&gt;$D$1*-1,BA106&lt;$D$1,AX106/AW106&lt;3),"Not Serious", AND(AY106&gt;$D$1*-1,AY106&lt;$D$1,OR(AZ106&lt;=$D$1*-1,BA106&gt;=$D$1),AZ106&gt;$D$2*-1,BA106&lt;$D$2,AX106/AW106&lt;3),"Serious", AND(AY106&gt;$D$1*-1,AY106&lt;$D$1,OR(AZ106&lt;=$D$2*-1,BA106&gt;=$D$2),AX106/AW106&lt;3),"Very serious", AND(AY106&gt;$D$1*-1,AY106&lt;$D$1,AZ106&gt;$D$1*-1,BA106&lt;$D$1,AX106/AW106&gt;=3),"Very serious", AND(AY106&gt;$D$1*-1,AY106&lt;$D$1,OR(AZ106&lt;=$D$1*-1,BA106&gt;=$D$1),AZ106&gt;$D$2*-1,BA106&lt;$D$2,AX106/AW106&gt;=3),"Very serious", AND(AY106&gt;$D$1*-1,AY106&lt;$D$1,OR(AZ106&lt;=$D$2*-1,BA106&gt;=$D$2),AX106/AW106&gt;=3),"Very serious"),""))</f>
        <v/>
      </c>
      <c r="BF106" s="107" t="str">
        <f t="shared" si="11"/>
        <v/>
      </c>
      <c r="BG106" s="94" t="str">
        <f t="shared" si="46"/>
        <v/>
      </c>
      <c r="BH106" s="64" t="str">
        <f t="shared" si="12"/>
        <v>#N/A</v>
      </c>
      <c r="BI106" s="64" t="str">
        <f t="shared" si="13"/>
        <v/>
      </c>
      <c r="BJ106" s="123" t="str">
        <f t="shared" si="14"/>
        <v>#N/A</v>
      </c>
      <c r="BK106" s="64" t="str">
        <f t="shared" si="50"/>
        <v>YES</v>
      </c>
      <c r="BL106" s="64" t="str">
        <f t="shared" si="16"/>
        <v>YES</v>
      </c>
      <c r="BM106" s="64" t="str">
        <f t="shared" si="17"/>
        <v>YES</v>
      </c>
      <c r="BN106" s="124" t="str">
        <f t="shared" si="18"/>
        <v/>
      </c>
      <c r="BO106" s="91" t="str">
        <f t="shared" si="19"/>
        <v/>
      </c>
      <c r="BP106" s="91" t="str">
        <f t="shared" si="20"/>
        <v>#N/A</v>
      </c>
      <c r="BQ106" s="91" t="str">
        <f t="shared" si="21"/>
        <v/>
      </c>
      <c r="BR106" s="93" t="str">
        <f t="shared" si="22"/>
        <v/>
      </c>
      <c r="BS106" s="90" t="str">
        <f t="shared" si="23"/>
        <v/>
      </c>
      <c r="BT106" s="93" t="str">
        <f t="shared" si="24"/>
        <v>NA</v>
      </c>
      <c r="BU106" s="125" t="str">
        <f t="shared" si="25"/>
        <v>#N/A</v>
      </c>
      <c r="BV106" s="93" t="str">
        <f t="shared" si="26"/>
        <v/>
      </c>
      <c r="BW106" s="93" t="str">
        <f t="shared" si="27"/>
        <v/>
      </c>
      <c r="BX106" s="93" t="str">
        <f t="shared" si="28"/>
        <v>NA</v>
      </c>
      <c r="BY106" s="95" t="str">
        <f t="shared" si="29"/>
        <v>#N/A</v>
      </c>
      <c r="BZ106" s="93" t="str">
        <f t="shared" si="30"/>
        <v/>
      </c>
      <c r="CA106" s="93" t="str">
        <f t="shared" si="31"/>
        <v/>
      </c>
      <c r="CB106" s="93" t="str">
        <f t="shared" si="32"/>
        <v>NA</v>
      </c>
      <c r="CC106" s="96" t="str">
        <f t="shared" si="33"/>
        <v>#N/A</v>
      </c>
      <c r="CD106" s="93" t="str">
        <f t="shared" si="34"/>
        <v/>
      </c>
      <c r="CE106" s="93" t="str">
        <f t="shared" si="35"/>
        <v/>
      </c>
      <c r="CF106" s="93" t="str">
        <f t="shared" si="36"/>
        <v>NA</v>
      </c>
      <c r="CG106" s="97" t="str">
        <f t="shared" si="37"/>
        <v>#N/A</v>
      </c>
      <c r="CH106" s="98" t="str">
        <f t="shared" si="38"/>
        <v>#N/A</v>
      </c>
      <c r="CI106" s="99" t="str">
        <f t="shared" si="39"/>
        <v>#N/A</v>
      </c>
      <c r="CJ106" s="126" t="str">
        <f t="shared" si="40"/>
        <v>ERROR: check cell</v>
      </c>
      <c r="CK106" s="126"/>
      <c r="CL106" s="127" t="str">
        <f t="shared" si="41"/>
        <v>#DIV/0!</v>
      </c>
      <c r="CM106" s="128" t="str">
        <f t="shared" si="42"/>
        <v>#DIV/0!</v>
      </c>
      <c r="CN106" s="128">
        <f t="shared" si="43"/>
        <v>4</v>
      </c>
      <c r="CO106" s="129">
        <f t="shared" si="44"/>
        <v>4</v>
      </c>
      <c r="CP106" s="129" t="str">
        <f>IFS(C106=Preferences!B$13,B106,B106=Preferences!B$13,C106)</f>
        <v>#N/A</v>
      </c>
    </row>
    <row r="107" ht="13.5" customHeight="1">
      <c r="A107" s="63" t="str">
        <f t="shared" si="45"/>
        <v/>
      </c>
      <c r="B107" s="64"/>
      <c r="C107" s="64"/>
      <c r="D107" s="64"/>
      <c r="E107" s="65"/>
      <c r="F107" s="65"/>
      <c r="G107" s="65"/>
      <c r="H107" s="66"/>
      <c r="I107" s="66"/>
      <c r="J107" s="67"/>
      <c r="K107" s="68"/>
      <c r="L107" s="104"/>
      <c r="M107" s="104"/>
      <c r="N107" s="104"/>
      <c r="O107" s="104"/>
      <c r="P107" s="107" t="str">
        <f t="shared" si="1"/>
        <v/>
      </c>
      <c r="Q107" s="108" t="str">
        <f>IFERROR(IF(AND(Preferences!B$3="Manual",OR(AX107/AW107&gt;G107/F107,BD107="Serious",BD107="Very serious")),"Assess imprecision",IFS(ISBLANK(E107),"",AND(Preferences!B$3="Automatic", G107/F107&gt;=30),"Extremely serious",AND(H107&lt;=$D$1*-1,J107&lt;0,G107/F107&lt;3),"Not serious",AND(H107&lt;=$D$1*-1,J107&lt;0,G107/F107&gt;=3),"Very serious",AND(H107&gt;=$D$1,I107&gt;0,G107/F107&lt;3),"Not serious",AND(H107&gt;=$D$1,I107&gt;0,G107/F107&gt;=3),"Very serious",AND(H107&lt;=$D$1*-1,J107&gt;0,I107&gt;$D$2*-1,G107/F107&lt;3),"Serious", AND(H107&lt;=$D$1*-1,J107&gt;0,I107&lt;$D$2*-1,G107/F107&lt;3),"Very serious", AND(H107&gt;=$D$1,I107&lt;0,J107&lt;$D$2,G107/F107&lt;3),"Serious",AND(H107&gt;=$D$1,I107&lt;0,J107&gt;$D$2,G107/F107&lt;3),"Very serious", AND(H107&lt;=$D$1*-1,J107&gt;0,I107&gt;$D$2*-1,G107/F107&gt;=3),"Very serious", AND(H107&lt;=$D$1*-1,J107&gt;0,I107&lt;$D$2*-1,G107/F107&gt;=3),"Very serious", AND(H107&gt;=$D$1,I107&lt;0,J107&lt;$D$2,G107/F107&gt;=3),"Very serious", AND(H107&gt;=$D$1,I107&lt;0,J107&gt;$D$2,G107/F107&gt;=3),"Very serious", AND(H107&gt;$D$1*-1,H107&lt;$D$1,I107&gt;$D$1*-1,J107&lt;$D$1,G107/F107&lt;3),"Not serious", AND(H107&gt;$D$1*-1,H107&lt;$D$1,OR(I107&lt;=$D$1*-1,J107&gt;=$D$1),I107&gt;$D$2*-1,J107&lt;$D$2,G107/F107&lt;3),"Serious", AND(H107&gt;$D$1*-1,H107&lt;$D$1,OR(I107&lt;=$D$2*-1,J107&gt;=$D$2),G107/F107&lt;3),"Very serious", AND(H107&gt;$D$1*-1,H107&lt;$D$1,I107&gt;$D$1*-1,J107&lt;$D$1,G107/F107&gt;=3),"Very serious", AND(H107&gt;$D$1*-1,H107&lt;$D$1,OR(I107&lt;=$D$1*-1,J107&gt;=$D$1),I107&gt;$D$2*-1,J107&lt;$D$2,G107/F107&gt;=3),"Very serious", AND(H107&gt;$D$1*-1,H107&lt;$D$1,OR(I107&lt;=$D$2*-1,J107&gt;=$D$2),G107/F107&gt;=3),"Very serious")),"")</f>
        <v/>
      </c>
      <c r="R107" s="109" t="str">
        <f t="shared" si="47"/>
        <v/>
      </c>
      <c r="S107" s="64"/>
      <c r="T107" s="146"/>
      <c r="U107" s="146"/>
      <c r="V107" s="146"/>
      <c r="W107" s="73"/>
      <c r="X107" s="73"/>
      <c r="Y107" s="74"/>
      <c r="Z107" s="113" t="str">
        <f t="array" ref="Z107">INDEX($A$1:$C$500, MATCH(1,($B:$B=$B107)*($C:$C=$AB107),0),1)</f>
        <v/>
      </c>
      <c r="AA107" s="113" t="str">
        <f t="array" ref="AA107">INDEX($A$1:$C$500, MATCH(1,($B:$B=$AB107)*($C:$C=$B107),0),1)</f>
        <v/>
      </c>
      <c r="AB107" s="111"/>
      <c r="AC107" s="114" t="str">
        <f t="shared" si="2"/>
        <v/>
      </c>
      <c r="AD107" s="115" t="str">
        <f t="shared" si="3"/>
        <v/>
      </c>
      <c r="AE107" s="116" t="str">
        <f t="array" ref="AE107">INDEX($A$1:$C$500, MATCH(1,($B:$B=$AB107)*($C:$C=$AG107),0),1)</f>
        <v/>
      </c>
      <c r="AF107" s="116" t="str">
        <f t="array" ref="AF107">INDEX($A$1:$C$500, MATCH(1,($B:$B=$AG107)*($C:$C=$AB107),0),1)</f>
        <v/>
      </c>
      <c r="AG107" s="72"/>
      <c r="AH107" s="114" t="str">
        <f t="shared" si="4"/>
        <v/>
      </c>
      <c r="AI107" s="115" t="str">
        <f t="shared" si="5"/>
        <v/>
      </c>
      <c r="AJ107" s="116" t="str">
        <f t="array" ref="AJ107">INDEX($A$1:$C$500, MATCH(1,($B:$B=$C107)*($C:$C=$AG107),0),1)</f>
        <v/>
      </c>
      <c r="AK107" s="116" t="str">
        <f t="array" ref="AK107">INDEX($A$1:$C$500, MATCH(1,($B:$B=$AG107)*($C:$C=$C107),0),1)</f>
        <v/>
      </c>
      <c r="AL107" s="116" t="str">
        <f t="array" ref="AL107">INDEX($A$1:$C$500, MATCH(1,($B:$B=$C107)*($C:$C=$AB107),0),1)</f>
        <v/>
      </c>
      <c r="AM107" s="116" t="str">
        <f t="array" ref="AM107">INDEX($A$1:$C$500, MATCH(1,($B:$B=$AB107)*($C:$C=$C107),0),1)</f>
        <v/>
      </c>
      <c r="AN107" s="114" t="str">
        <f t="array" ref="AN107">IFS(ISNUMBER(AJ107),AJ107,ISNUMBER(AK107),AK107,ISNUMBER(AL107),AL107,ISNUMBER(AM107),AM107)</f>
        <v>#N/A</v>
      </c>
      <c r="AO107" s="115" t="str">
        <f t="shared" si="6"/>
        <v/>
      </c>
      <c r="AP107" s="115" t="str">
        <f t="shared" si="7"/>
        <v/>
      </c>
      <c r="AQ107" s="111"/>
      <c r="AR107" s="109" t="str">
        <f t="shared" si="8"/>
        <v/>
      </c>
      <c r="AS107" s="72" t="str">
        <f>IFERROR(IF(AND(Preferences!B$3="Manual",OR(AX107/AW107&gt;V107/U107,BD107="Serious",BD107="Very serious")),"Assess imprecision",IFERROR(IFS(AND(Preferences!B$3="Automatic",V107/U107&gt;=30),"Extremely serious",AND(W107&lt;=$D$1*-1,Y107&lt;0,V107/U107&lt;3),"Not Serious",AND(W107&lt;=$D$1*-1,Y107&lt;0,V107/U107&gt;=3),"Very serious",AND(W107&gt;=$D$1,X107&gt;0,V107/U107&lt;3),"Not Serious",AND(W107&gt;=$D$1,X107&gt;0,V107/U107&gt;=3),"Very serious",AND(W107&lt;=$D$1*-1,Y107&gt;0,X107&gt;$D$2*-1,V107/U107&lt;3),"Serious", AND(W107&lt;=$D$1*-1,Y107&gt;0,X107&lt;$D$2*-1,V107/U107&lt;3),"Very serious", AND(W107&gt;=$D$1,X107&lt;0,Y107&lt;$D$2,V107/U107&lt;3),"Serious",AND(W107&gt;=$D$1,X107&lt;0,Y107&gt;$D$2,V107/U107&lt;3),"Very serious", AND(W107&lt;=$D$1*-1,Y107&gt;0,X107&gt;$D$2*-1,V107/U107&gt;=3),"Very serious", AND(W107&lt;=$D$1*-1,Y107&gt;0,X107&lt;$D$2*-1,V107/U107&gt;=3),"Very serious", AND(W107&gt;=$D$1,X107&lt;0,Y107&lt;$D$2,V107/U107&gt;=3),"Very serious", AND(W107&gt;=$D$1,X107&lt;0,Y107&gt;$D$2,V107/U107&gt;=3),"Very serious", AND(W107&gt;$D$1*-1,W107&lt;$D$1,X107&gt;$D$1*-1,Y107&lt;$D$1,V107/U107&lt;3),"Not Serious", AND(W107&gt;$D$1*-1,W107&lt;$D$1,OR(X107&lt;=$D$1*-1,Y107&gt;=$D$1),X107&gt;$D$2*-1,Y107&lt;$D$2,V107/U107&lt;3),"Serious", AND(W107&gt;$D$1*-1,W107&lt;$D$1,OR(X107&lt;=$D$2*-1,Y107&gt;=$D$2),V107/U107&lt;3),"Very serious", AND(W107&gt;$D$1*-1,W107&lt;$D$1,X107&gt;$D$1*-1,Y107&lt;$D$1,V107/U107&gt;=3),"Very serious", AND(W107&gt;$D$1*-1,W107&lt;$D$1,OR(X107&lt;=$D$1*-1,Y107&gt;=$D$1),X107&gt;$D$2*-1,Y107&lt;$D$2,V107/U107&gt;=3),"Very serious", AND(W107&gt;$D$1*-1,W107&lt;$D$1,OR(X107&lt;=$D$2*-1,Y107&gt;=$D$2),V107/U107&gt;=3),"Very serious"),"")),"")</f>
        <v/>
      </c>
      <c r="AT107" s="109" t="str">
        <f t="shared" si="9"/>
        <v/>
      </c>
      <c r="AU107" s="64"/>
      <c r="AV107" s="147"/>
      <c r="AW107" s="147"/>
      <c r="AX107" s="147"/>
      <c r="AY107" s="118"/>
      <c r="AZ107" s="118"/>
      <c r="BA107" s="119"/>
      <c r="BB107" s="86" t="str">
        <f>IF(Preferences!B$9="Manual","",IFS(ISBLANK(B107),"",AND(ISNUMBER(E107)=TRUE,ISNUMBER(T107)=FALSE),"Direct", AND(ISNUMBER(E107)=FALSE,ISNUMBER(T107)=TRUE),"Indirect", CN107=4,"Direct",AND(CL107=FALSE, CM107=TRUE,CN107-CO107&gt;-1),"Direct", AND(CL107=FALSE,CM107=TRUE, CN107-CO107&lt;0),"Check algorithm in appendix 2", AND(CL107=TRUE, CM107=FALSE,CN107-CO107&gt;0),"Check algorithm in appendix 2", AND(CL107=TRUE, CM107=FALSE,CN107-CO107=0),"Indirect", AND(CL107=TRUE, CM107=FALSE,CN107-CO107&lt;0),"Indirect", AND(CL107=FALSE,CM107=FALSE,CN107-CO107&gt;-1),"Direct", AND(CL107=FALSE,CM107=FALSE,CN107-CO107&lt;0),"Check algorithm in appendix 2", AND(CL107=TRUE,CM107=TRUE,CN107-CO107&gt;-1),"Direct", AND(CL107=TRUE,CM107=TRUE,CN107-CO107&lt;0),"Check algorithm in appendix 2"))</f>
        <v/>
      </c>
      <c r="BC107" s="120" t="str">
        <f t="shared" si="10"/>
        <v/>
      </c>
      <c r="BD107" s="140"/>
      <c r="BE107" s="122" t="str">
        <f>IF(Preferences!B$3="Manual","", IFERROR(IFS(AND(Preferences!B$3="Automatic",AX107/AW107&gt;=30),"Extremely serious",AND(AY107&lt;=$D$1*-1,BA107&lt;0,AX107/AW107&lt;3),"Not Serious",AND(AY107&lt;=$D$1*-1,BA107&lt;0,AX107/AW107&gt;=3),"Very serious",AND(AY107&gt;=$D$1,AZ107&gt;0,AX107/AW107&lt;3),"Not Serious",AND(AY107&gt;=$D$1,AZ107&gt;0,AX107/AW107&gt;=3),"Very serious",AND(AY107&lt;=$D$1*-1,BA107&gt;0,AZ107&gt;$D$2*-1,AX107/AW107&lt;3),"Serious", AND(AY107&lt;=$D$1*-1,BA107&gt;0,AZ107&lt;$D$2*-1,AX107/AW107&lt;3),"Very serious", AND(AY107&gt;=$D$1,AZ107&lt;0,BA107&lt;$D$2,AX107/AW107&lt;3),"Serious",AND(AY107&gt;=$D$1,AZ107&lt;0,BA107&gt;$D$2,AX107/AW107&lt;3),"Very serious", AND(AY107&lt;=$D$1*-1,BA107&gt;0,AZ107&gt;$D$2*-1,AX107/AW107&gt;=3),"Very serious", AND(AY107&lt;=$D$1*-1,BA107&gt;0,AZ107&lt;$D$2*-1,AX107/AW107&gt;=3),"Very serious", AND(AY107&gt;=$D$1,AZ107&lt;0,BA107&lt;$D$2,AX107/AW107&gt;=3),"Very serious", AND(AY107&gt;=$D$1,AZ107&lt;0,BA107&gt;$D$2,AX107/AW107&gt;=3),"Very serious", AND(AY107&gt;$D$1*-1,AY107&lt;$D$1,AZ107&gt;$D$1*-1,BA107&lt;$D$1,AX107/AW107&lt;3),"Not Serious", AND(AY107&gt;$D$1*-1,AY107&lt;$D$1,OR(AZ107&lt;=$D$1*-1,BA107&gt;=$D$1),AZ107&gt;$D$2*-1,BA107&lt;$D$2,AX107/AW107&lt;3),"Serious", AND(AY107&gt;$D$1*-1,AY107&lt;$D$1,OR(AZ107&lt;=$D$2*-1,BA107&gt;=$D$2),AX107/AW107&lt;3),"Very serious", AND(AY107&gt;$D$1*-1,AY107&lt;$D$1,AZ107&gt;$D$1*-1,BA107&lt;$D$1,AX107/AW107&gt;=3),"Very serious", AND(AY107&gt;$D$1*-1,AY107&lt;$D$1,OR(AZ107&lt;=$D$1*-1,BA107&gt;=$D$1),AZ107&gt;$D$2*-1,BA107&lt;$D$2,AX107/AW107&gt;=3),"Very serious", AND(AY107&gt;$D$1*-1,AY107&lt;$D$1,OR(AZ107&lt;=$D$2*-1,BA107&gt;=$D$2),AX107/AW107&gt;=3),"Very serious"),""))</f>
        <v/>
      </c>
      <c r="BF107" s="107" t="str">
        <f t="shared" si="11"/>
        <v/>
      </c>
      <c r="BG107" s="94" t="str">
        <f t="shared" si="46"/>
        <v/>
      </c>
      <c r="BH107" s="64" t="str">
        <f t="shared" si="12"/>
        <v>#N/A</v>
      </c>
      <c r="BI107" s="64" t="str">
        <f t="shared" si="13"/>
        <v/>
      </c>
      <c r="BJ107" s="123" t="str">
        <f t="shared" si="14"/>
        <v>#N/A</v>
      </c>
      <c r="BK107" s="64" t="str">
        <f t="shared" si="50"/>
        <v>YES</v>
      </c>
      <c r="BL107" s="64" t="str">
        <f t="shared" si="16"/>
        <v>YES</v>
      </c>
      <c r="BM107" s="64" t="str">
        <f t="shared" si="17"/>
        <v>YES</v>
      </c>
      <c r="BN107" s="124" t="str">
        <f t="shared" si="18"/>
        <v/>
      </c>
      <c r="BO107" s="91" t="str">
        <f t="shared" si="19"/>
        <v/>
      </c>
      <c r="BP107" s="91" t="str">
        <f t="shared" si="20"/>
        <v>#N/A</v>
      </c>
      <c r="BQ107" s="91" t="str">
        <f t="shared" si="21"/>
        <v/>
      </c>
      <c r="BR107" s="93" t="str">
        <f t="shared" si="22"/>
        <v/>
      </c>
      <c r="BS107" s="90" t="str">
        <f t="shared" si="23"/>
        <v/>
      </c>
      <c r="BT107" s="93" t="str">
        <f t="shared" si="24"/>
        <v>NA</v>
      </c>
      <c r="BU107" s="125" t="str">
        <f t="shared" si="25"/>
        <v>#N/A</v>
      </c>
      <c r="BV107" s="93" t="str">
        <f t="shared" si="26"/>
        <v/>
      </c>
      <c r="BW107" s="93" t="str">
        <f t="shared" si="27"/>
        <v/>
      </c>
      <c r="BX107" s="93" t="str">
        <f t="shared" si="28"/>
        <v>NA</v>
      </c>
      <c r="BY107" s="95" t="str">
        <f t="shared" si="29"/>
        <v>#N/A</v>
      </c>
      <c r="BZ107" s="93" t="str">
        <f t="shared" si="30"/>
        <v/>
      </c>
      <c r="CA107" s="93" t="str">
        <f t="shared" si="31"/>
        <v/>
      </c>
      <c r="CB107" s="93" t="str">
        <f t="shared" si="32"/>
        <v>NA</v>
      </c>
      <c r="CC107" s="96" t="str">
        <f t="shared" si="33"/>
        <v>#N/A</v>
      </c>
      <c r="CD107" s="93" t="str">
        <f t="shared" si="34"/>
        <v/>
      </c>
      <c r="CE107" s="93" t="str">
        <f t="shared" si="35"/>
        <v/>
      </c>
      <c r="CF107" s="93" t="str">
        <f t="shared" si="36"/>
        <v>NA</v>
      </c>
      <c r="CG107" s="97" t="str">
        <f t="shared" si="37"/>
        <v>#N/A</v>
      </c>
      <c r="CH107" s="98" t="str">
        <f t="shared" si="38"/>
        <v>#N/A</v>
      </c>
      <c r="CI107" s="99" t="str">
        <f t="shared" si="39"/>
        <v>#N/A</v>
      </c>
      <c r="CJ107" s="126" t="str">
        <f t="shared" si="40"/>
        <v>ERROR: check cell</v>
      </c>
      <c r="CK107" s="126"/>
      <c r="CL107" s="127" t="str">
        <f t="shared" si="41"/>
        <v>#DIV/0!</v>
      </c>
      <c r="CM107" s="128" t="str">
        <f t="shared" si="42"/>
        <v>#DIV/0!</v>
      </c>
      <c r="CN107" s="128">
        <f t="shared" si="43"/>
        <v>4</v>
      </c>
      <c r="CO107" s="129">
        <f t="shared" si="44"/>
        <v>4</v>
      </c>
      <c r="CP107" s="129" t="str">
        <f>IFS(C107=Preferences!B$13,B107,B107=Preferences!B$13,C107)</f>
        <v>#N/A</v>
      </c>
    </row>
    <row r="108" ht="13.5" customHeight="1">
      <c r="A108" s="63" t="str">
        <f t="shared" si="45"/>
        <v/>
      </c>
      <c r="B108" s="64"/>
      <c r="C108" s="64"/>
      <c r="D108" s="64"/>
      <c r="E108" s="65"/>
      <c r="F108" s="65"/>
      <c r="G108" s="65"/>
      <c r="H108" s="66"/>
      <c r="I108" s="66"/>
      <c r="J108" s="67"/>
      <c r="K108" s="68"/>
      <c r="L108" s="104"/>
      <c r="M108" s="104"/>
      <c r="N108" s="104"/>
      <c r="O108" s="104"/>
      <c r="P108" s="107" t="str">
        <f t="shared" si="1"/>
        <v/>
      </c>
      <c r="Q108" s="108" t="str">
        <f>IFERROR(IF(AND(Preferences!B$3="Manual",OR(AX108/AW108&gt;G108/F108,BD108="Serious",BD108="Very serious")),"Assess imprecision",IFS(ISBLANK(E108),"",AND(Preferences!B$3="Automatic", G108/F108&gt;=30),"Extremely serious",AND(H108&lt;=$D$1*-1,J108&lt;0,G108/F108&lt;3),"Not serious",AND(H108&lt;=$D$1*-1,J108&lt;0,G108/F108&gt;=3),"Very serious",AND(H108&gt;=$D$1,I108&gt;0,G108/F108&lt;3),"Not serious",AND(H108&gt;=$D$1,I108&gt;0,G108/F108&gt;=3),"Very serious",AND(H108&lt;=$D$1*-1,J108&gt;0,I108&gt;$D$2*-1,G108/F108&lt;3),"Serious", AND(H108&lt;=$D$1*-1,J108&gt;0,I108&lt;$D$2*-1,G108/F108&lt;3),"Very serious", AND(H108&gt;=$D$1,I108&lt;0,J108&lt;$D$2,G108/F108&lt;3),"Serious",AND(H108&gt;=$D$1,I108&lt;0,J108&gt;$D$2,G108/F108&lt;3),"Very serious", AND(H108&lt;=$D$1*-1,J108&gt;0,I108&gt;$D$2*-1,G108/F108&gt;=3),"Very serious", AND(H108&lt;=$D$1*-1,J108&gt;0,I108&lt;$D$2*-1,G108/F108&gt;=3),"Very serious", AND(H108&gt;=$D$1,I108&lt;0,J108&lt;$D$2,G108/F108&gt;=3),"Very serious", AND(H108&gt;=$D$1,I108&lt;0,J108&gt;$D$2,G108/F108&gt;=3),"Very serious", AND(H108&gt;$D$1*-1,H108&lt;$D$1,I108&gt;$D$1*-1,J108&lt;$D$1,G108/F108&lt;3),"Not serious", AND(H108&gt;$D$1*-1,H108&lt;$D$1,OR(I108&lt;=$D$1*-1,J108&gt;=$D$1),I108&gt;$D$2*-1,J108&lt;$D$2,G108/F108&lt;3),"Serious", AND(H108&gt;$D$1*-1,H108&lt;$D$1,OR(I108&lt;=$D$2*-1,J108&gt;=$D$2),G108/F108&lt;3),"Very serious", AND(H108&gt;$D$1*-1,H108&lt;$D$1,I108&gt;$D$1*-1,J108&lt;$D$1,G108/F108&gt;=3),"Very serious", AND(H108&gt;$D$1*-1,H108&lt;$D$1,OR(I108&lt;=$D$1*-1,J108&gt;=$D$1),I108&gt;$D$2*-1,J108&lt;$D$2,G108/F108&gt;=3),"Very serious", AND(H108&gt;$D$1*-1,H108&lt;$D$1,OR(I108&lt;=$D$2*-1,J108&gt;=$D$2),G108/F108&gt;=3),"Very serious")),"")</f>
        <v/>
      </c>
      <c r="R108" s="109" t="str">
        <f t="shared" si="47"/>
        <v/>
      </c>
      <c r="S108" s="64"/>
      <c r="T108" s="146"/>
      <c r="U108" s="146"/>
      <c r="V108" s="146"/>
      <c r="W108" s="73"/>
      <c r="X108" s="73"/>
      <c r="Y108" s="74"/>
      <c r="Z108" s="113" t="str">
        <f t="array" ref="Z108">INDEX($A$1:$C$500, MATCH(1,($B:$B=$B108)*($C:$C=$AB108),0),1)</f>
        <v/>
      </c>
      <c r="AA108" s="113" t="str">
        <f t="array" ref="AA108">INDEX($A$1:$C$500, MATCH(1,($B:$B=$AB108)*($C:$C=$B108),0),1)</f>
        <v/>
      </c>
      <c r="AB108" s="111"/>
      <c r="AC108" s="114" t="str">
        <f t="shared" si="2"/>
        <v/>
      </c>
      <c r="AD108" s="115" t="str">
        <f t="shared" si="3"/>
        <v/>
      </c>
      <c r="AE108" s="116" t="str">
        <f t="array" ref="AE108">INDEX($A$1:$C$500, MATCH(1,($B:$B=$AB108)*($C:$C=$AG108),0),1)</f>
        <v/>
      </c>
      <c r="AF108" s="116" t="str">
        <f t="array" ref="AF108">INDEX($A$1:$C$500, MATCH(1,($B:$B=$AG108)*($C:$C=$AB108),0),1)</f>
        <v/>
      </c>
      <c r="AG108" s="72"/>
      <c r="AH108" s="114" t="str">
        <f t="shared" si="4"/>
        <v/>
      </c>
      <c r="AI108" s="115" t="str">
        <f t="shared" si="5"/>
        <v/>
      </c>
      <c r="AJ108" s="116" t="str">
        <f t="array" ref="AJ108">INDEX($A$1:$C$500, MATCH(1,($B:$B=$C108)*($C:$C=$AG108),0),1)</f>
        <v/>
      </c>
      <c r="AK108" s="116" t="str">
        <f t="array" ref="AK108">INDEX($A$1:$C$500, MATCH(1,($B:$B=$AG108)*($C:$C=$C108),0),1)</f>
        <v/>
      </c>
      <c r="AL108" s="116" t="str">
        <f t="array" ref="AL108">INDEX($A$1:$C$500, MATCH(1,($B:$B=$C108)*($C:$C=$AB108),0),1)</f>
        <v/>
      </c>
      <c r="AM108" s="116" t="str">
        <f t="array" ref="AM108">INDEX($A$1:$C$500, MATCH(1,($B:$B=$AB108)*($C:$C=$C108),0),1)</f>
        <v/>
      </c>
      <c r="AN108" s="114" t="str">
        <f t="array" ref="AN108">IFS(ISNUMBER(AJ108),AJ108,ISNUMBER(AK108),AK108,ISNUMBER(AL108),AL108,ISNUMBER(AM108),AM108)</f>
        <v>#N/A</v>
      </c>
      <c r="AO108" s="115" t="str">
        <f t="shared" si="6"/>
        <v/>
      </c>
      <c r="AP108" s="115" t="str">
        <f t="shared" si="7"/>
        <v/>
      </c>
      <c r="AQ108" s="111"/>
      <c r="AR108" s="109" t="str">
        <f t="shared" si="8"/>
        <v/>
      </c>
      <c r="AS108" s="72" t="str">
        <f>IFERROR(IF(AND(Preferences!B$3="Manual",OR(AX108/AW108&gt;V108/U108,BD108="Serious",BD108="Very serious")),"Assess imprecision",IFERROR(IFS(AND(Preferences!B$3="Automatic",V108/U108&gt;=30),"Extremely serious",AND(W108&lt;=$D$1*-1,Y108&lt;0,V108/U108&lt;3),"Not Serious",AND(W108&lt;=$D$1*-1,Y108&lt;0,V108/U108&gt;=3),"Very serious",AND(W108&gt;=$D$1,X108&gt;0,V108/U108&lt;3),"Not Serious",AND(W108&gt;=$D$1,X108&gt;0,V108/U108&gt;=3),"Very serious",AND(W108&lt;=$D$1*-1,Y108&gt;0,X108&gt;$D$2*-1,V108/U108&lt;3),"Serious", AND(W108&lt;=$D$1*-1,Y108&gt;0,X108&lt;$D$2*-1,V108/U108&lt;3),"Very serious", AND(W108&gt;=$D$1,X108&lt;0,Y108&lt;$D$2,V108/U108&lt;3),"Serious",AND(W108&gt;=$D$1,X108&lt;0,Y108&gt;$D$2,V108/U108&lt;3),"Very serious", AND(W108&lt;=$D$1*-1,Y108&gt;0,X108&gt;$D$2*-1,V108/U108&gt;=3),"Very serious", AND(W108&lt;=$D$1*-1,Y108&gt;0,X108&lt;$D$2*-1,V108/U108&gt;=3),"Very serious", AND(W108&gt;=$D$1,X108&lt;0,Y108&lt;$D$2,V108/U108&gt;=3),"Very serious", AND(W108&gt;=$D$1,X108&lt;0,Y108&gt;$D$2,V108/U108&gt;=3),"Very serious", AND(W108&gt;$D$1*-1,W108&lt;$D$1,X108&gt;$D$1*-1,Y108&lt;$D$1,V108/U108&lt;3),"Not Serious", AND(W108&gt;$D$1*-1,W108&lt;$D$1,OR(X108&lt;=$D$1*-1,Y108&gt;=$D$1),X108&gt;$D$2*-1,Y108&lt;$D$2,V108/U108&lt;3),"Serious", AND(W108&gt;$D$1*-1,W108&lt;$D$1,OR(X108&lt;=$D$2*-1,Y108&gt;=$D$2),V108/U108&lt;3),"Very serious", AND(W108&gt;$D$1*-1,W108&lt;$D$1,X108&gt;$D$1*-1,Y108&lt;$D$1,V108/U108&gt;=3),"Very serious", AND(W108&gt;$D$1*-1,W108&lt;$D$1,OR(X108&lt;=$D$1*-1,Y108&gt;=$D$1),X108&gt;$D$2*-1,Y108&lt;$D$2,V108/U108&gt;=3),"Very serious", AND(W108&gt;$D$1*-1,W108&lt;$D$1,OR(X108&lt;=$D$2*-1,Y108&gt;=$D$2),V108/U108&gt;=3),"Very serious"),"")),"")</f>
        <v/>
      </c>
      <c r="AT108" s="109" t="str">
        <f t="shared" si="9"/>
        <v/>
      </c>
      <c r="AU108" s="64"/>
      <c r="AV108" s="147"/>
      <c r="AW108" s="147"/>
      <c r="AX108" s="147"/>
      <c r="AY108" s="118"/>
      <c r="AZ108" s="118"/>
      <c r="BA108" s="119"/>
      <c r="BB108" s="86" t="str">
        <f>IF(Preferences!B$9="Manual","",IFS(ISBLANK(B108),"",AND(ISNUMBER(E108)=TRUE,ISNUMBER(T108)=FALSE),"Direct", AND(ISNUMBER(E108)=FALSE,ISNUMBER(T108)=TRUE),"Indirect", CN108=4,"Direct",AND(CL108=FALSE, CM108=TRUE,CN108-CO108&gt;-1),"Direct", AND(CL108=FALSE,CM108=TRUE, CN108-CO108&lt;0),"Check algorithm in appendix 2", AND(CL108=TRUE, CM108=FALSE,CN108-CO108&gt;0),"Check algorithm in appendix 2", AND(CL108=TRUE, CM108=FALSE,CN108-CO108=0),"Indirect", AND(CL108=TRUE, CM108=FALSE,CN108-CO108&lt;0),"Indirect", AND(CL108=FALSE,CM108=FALSE,CN108-CO108&gt;-1),"Direct", AND(CL108=FALSE,CM108=FALSE,CN108-CO108&lt;0),"Check algorithm in appendix 2", AND(CL108=TRUE,CM108=TRUE,CN108-CO108&gt;-1),"Direct", AND(CL108=TRUE,CM108=TRUE,CN108-CO108&lt;0),"Check algorithm in appendix 2"))</f>
        <v/>
      </c>
      <c r="BC108" s="120" t="str">
        <f t="shared" si="10"/>
        <v/>
      </c>
      <c r="BD108" s="140"/>
      <c r="BE108" s="122" t="str">
        <f>IF(Preferences!B$3="Manual","", IFERROR(IFS(AND(Preferences!B$3="Automatic",AX108/AW108&gt;=30),"Extremely serious",AND(AY108&lt;=$D$1*-1,BA108&lt;0,AX108/AW108&lt;3),"Not Serious",AND(AY108&lt;=$D$1*-1,BA108&lt;0,AX108/AW108&gt;=3),"Very serious",AND(AY108&gt;=$D$1,AZ108&gt;0,AX108/AW108&lt;3),"Not Serious",AND(AY108&gt;=$D$1,AZ108&gt;0,AX108/AW108&gt;=3),"Very serious",AND(AY108&lt;=$D$1*-1,BA108&gt;0,AZ108&gt;$D$2*-1,AX108/AW108&lt;3),"Serious", AND(AY108&lt;=$D$1*-1,BA108&gt;0,AZ108&lt;$D$2*-1,AX108/AW108&lt;3),"Very serious", AND(AY108&gt;=$D$1,AZ108&lt;0,BA108&lt;$D$2,AX108/AW108&lt;3),"Serious",AND(AY108&gt;=$D$1,AZ108&lt;0,BA108&gt;$D$2,AX108/AW108&lt;3),"Very serious", AND(AY108&lt;=$D$1*-1,BA108&gt;0,AZ108&gt;$D$2*-1,AX108/AW108&gt;=3),"Very serious", AND(AY108&lt;=$D$1*-1,BA108&gt;0,AZ108&lt;$D$2*-1,AX108/AW108&gt;=3),"Very serious", AND(AY108&gt;=$D$1,AZ108&lt;0,BA108&lt;$D$2,AX108/AW108&gt;=3),"Very serious", AND(AY108&gt;=$D$1,AZ108&lt;0,BA108&gt;$D$2,AX108/AW108&gt;=3),"Very serious", AND(AY108&gt;$D$1*-1,AY108&lt;$D$1,AZ108&gt;$D$1*-1,BA108&lt;$D$1,AX108/AW108&lt;3),"Not Serious", AND(AY108&gt;$D$1*-1,AY108&lt;$D$1,OR(AZ108&lt;=$D$1*-1,BA108&gt;=$D$1),AZ108&gt;$D$2*-1,BA108&lt;$D$2,AX108/AW108&lt;3),"Serious", AND(AY108&gt;$D$1*-1,AY108&lt;$D$1,OR(AZ108&lt;=$D$2*-1,BA108&gt;=$D$2),AX108/AW108&lt;3),"Very serious", AND(AY108&gt;$D$1*-1,AY108&lt;$D$1,AZ108&gt;$D$1*-1,BA108&lt;$D$1,AX108/AW108&gt;=3),"Very serious", AND(AY108&gt;$D$1*-1,AY108&lt;$D$1,OR(AZ108&lt;=$D$1*-1,BA108&gt;=$D$1),AZ108&gt;$D$2*-1,BA108&lt;$D$2,AX108/AW108&gt;=3),"Very serious", AND(AY108&gt;$D$1*-1,AY108&lt;$D$1,OR(AZ108&lt;=$D$2*-1,BA108&gt;=$D$2),AX108/AW108&gt;=3),"Very serious"),""))</f>
        <v/>
      </c>
      <c r="BF108" s="107" t="str">
        <f t="shared" si="11"/>
        <v/>
      </c>
      <c r="BG108" s="94" t="str">
        <f t="shared" si="46"/>
        <v/>
      </c>
      <c r="BH108" s="64" t="str">
        <f t="shared" si="12"/>
        <v>#N/A</v>
      </c>
      <c r="BI108" s="64" t="str">
        <f t="shared" si="13"/>
        <v/>
      </c>
      <c r="BJ108" s="123" t="str">
        <f t="shared" si="14"/>
        <v>#N/A</v>
      </c>
      <c r="BK108" s="64" t="str">
        <f t="shared" si="50"/>
        <v>YES</v>
      </c>
      <c r="BL108" s="64" t="str">
        <f t="shared" si="16"/>
        <v>YES</v>
      </c>
      <c r="BM108" s="64" t="str">
        <f t="shared" si="17"/>
        <v>YES</v>
      </c>
      <c r="BN108" s="124" t="str">
        <f t="shared" si="18"/>
        <v/>
      </c>
      <c r="BO108" s="91" t="str">
        <f t="shared" si="19"/>
        <v/>
      </c>
      <c r="BP108" s="91" t="str">
        <f t="shared" si="20"/>
        <v>#N/A</v>
      </c>
      <c r="BQ108" s="91" t="str">
        <f t="shared" si="21"/>
        <v/>
      </c>
      <c r="BR108" s="93" t="str">
        <f t="shared" si="22"/>
        <v/>
      </c>
      <c r="BS108" s="90" t="str">
        <f t="shared" si="23"/>
        <v/>
      </c>
      <c r="BT108" s="93" t="str">
        <f t="shared" si="24"/>
        <v>NA</v>
      </c>
      <c r="BU108" s="125" t="str">
        <f t="shared" si="25"/>
        <v>#N/A</v>
      </c>
      <c r="BV108" s="93" t="str">
        <f t="shared" si="26"/>
        <v/>
      </c>
      <c r="BW108" s="93" t="str">
        <f t="shared" si="27"/>
        <v/>
      </c>
      <c r="BX108" s="93" t="str">
        <f t="shared" si="28"/>
        <v>NA</v>
      </c>
      <c r="BY108" s="95" t="str">
        <f t="shared" si="29"/>
        <v>#N/A</v>
      </c>
      <c r="BZ108" s="93" t="str">
        <f t="shared" si="30"/>
        <v/>
      </c>
      <c r="CA108" s="93" t="str">
        <f t="shared" si="31"/>
        <v/>
      </c>
      <c r="CB108" s="93" t="str">
        <f t="shared" si="32"/>
        <v>NA</v>
      </c>
      <c r="CC108" s="96" t="str">
        <f t="shared" si="33"/>
        <v>#N/A</v>
      </c>
      <c r="CD108" s="93" t="str">
        <f t="shared" si="34"/>
        <v/>
      </c>
      <c r="CE108" s="93" t="str">
        <f t="shared" si="35"/>
        <v/>
      </c>
      <c r="CF108" s="93" t="str">
        <f t="shared" si="36"/>
        <v>NA</v>
      </c>
      <c r="CG108" s="97" t="str">
        <f t="shared" si="37"/>
        <v>#N/A</v>
      </c>
      <c r="CH108" s="98" t="str">
        <f t="shared" si="38"/>
        <v>#N/A</v>
      </c>
      <c r="CI108" s="99" t="str">
        <f t="shared" si="39"/>
        <v>#N/A</v>
      </c>
      <c r="CJ108" s="126" t="str">
        <f t="shared" si="40"/>
        <v>ERROR: check cell</v>
      </c>
      <c r="CK108" s="126"/>
      <c r="CL108" s="127" t="str">
        <f t="shared" si="41"/>
        <v>#DIV/0!</v>
      </c>
      <c r="CM108" s="128" t="str">
        <f t="shared" si="42"/>
        <v>#DIV/0!</v>
      </c>
      <c r="CN108" s="128">
        <f t="shared" si="43"/>
        <v>4</v>
      </c>
      <c r="CO108" s="129">
        <f t="shared" si="44"/>
        <v>4</v>
      </c>
      <c r="CP108" s="129" t="str">
        <f>IFS(C108=Preferences!B$13,B108,B108=Preferences!B$13,C108)</f>
        <v>#N/A</v>
      </c>
    </row>
    <row r="109" ht="13.5" customHeight="1">
      <c r="A109" s="63" t="str">
        <f t="shared" si="45"/>
        <v/>
      </c>
      <c r="B109" s="64"/>
      <c r="C109" s="64"/>
      <c r="D109" s="64"/>
      <c r="E109" s="65"/>
      <c r="F109" s="65"/>
      <c r="G109" s="65"/>
      <c r="H109" s="66"/>
      <c r="I109" s="66"/>
      <c r="J109" s="67"/>
      <c r="K109" s="68"/>
      <c r="L109" s="104"/>
      <c r="M109" s="104"/>
      <c r="N109" s="104"/>
      <c r="O109" s="104"/>
      <c r="P109" s="107" t="str">
        <f t="shared" si="1"/>
        <v/>
      </c>
      <c r="Q109" s="108" t="str">
        <f>IFERROR(IF(AND(Preferences!B$3="Manual",OR(AX109/AW109&gt;G109/F109,BD109="Serious",BD109="Very serious")),"Assess imprecision",IFS(ISBLANK(E109),"",AND(Preferences!B$3="Automatic", G109/F109&gt;=30),"Extremely serious",AND(H109&lt;=$D$1*-1,J109&lt;0,G109/F109&lt;3),"Not serious",AND(H109&lt;=$D$1*-1,J109&lt;0,G109/F109&gt;=3),"Very serious",AND(H109&gt;=$D$1,I109&gt;0,G109/F109&lt;3),"Not serious",AND(H109&gt;=$D$1,I109&gt;0,G109/F109&gt;=3),"Very serious",AND(H109&lt;=$D$1*-1,J109&gt;0,I109&gt;$D$2*-1,G109/F109&lt;3),"Serious", AND(H109&lt;=$D$1*-1,J109&gt;0,I109&lt;$D$2*-1,G109/F109&lt;3),"Very serious", AND(H109&gt;=$D$1,I109&lt;0,J109&lt;$D$2,G109/F109&lt;3),"Serious",AND(H109&gt;=$D$1,I109&lt;0,J109&gt;$D$2,G109/F109&lt;3),"Very serious", AND(H109&lt;=$D$1*-1,J109&gt;0,I109&gt;$D$2*-1,G109/F109&gt;=3),"Very serious", AND(H109&lt;=$D$1*-1,J109&gt;0,I109&lt;$D$2*-1,G109/F109&gt;=3),"Very serious", AND(H109&gt;=$D$1,I109&lt;0,J109&lt;$D$2,G109/F109&gt;=3),"Very serious", AND(H109&gt;=$D$1,I109&lt;0,J109&gt;$D$2,G109/F109&gt;=3),"Very serious", AND(H109&gt;$D$1*-1,H109&lt;$D$1,I109&gt;$D$1*-1,J109&lt;$D$1,G109/F109&lt;3),"Not serious", AND(H109&gt;$D$1*-1,H109&lt;$D$1,OR(I109&lt;=$D$1*-1,J109&gt;=$D$1),I109&gt;$D$2*-1,J109&lt;$D$2,G109/F109&lt;3),"Serious", AND(H109&gt;$D$1*-1,H109&lt;$D$1,OR(I109&lt;=$D$2*-1,J109&gt;=$D$2),G109/F109&lt;3),"Very serious", AND(H109&gt;$D$1*-1,H109&lt;$D$1,I109&gt;$D$1*-1,J109&lt;$D$1,G109/F109&gt;=3),"Very serious", AND(H109&gt;$D$1*-1,H109&lt;$D$1,OR(I109&lt;=$D$1*-1,J109&gt;=$D$1),I109&gt;$D$2*-1,J109&lt;$D$2,G109/F109&gt;=3),"Very serious", AND(H109&gt;$D$1*-1,H109&lt;$D$1,OR(I109&lt;=$D$2*-1,J109&gt;=$D$2),G109/F109&gt;=3),"Very serious")),"")</f>
        <v/>
      </c>
      <c r="R109" s="109" t="str">
        <f t="shared" si="47"/>
        <v/>
      </c>
      <c r="S109" s="64"/>
      <c r="T109" s="146"/>
      <c r="U109" s="146"/>
      <c r="V109" s="146"/>
      <c r="W109" s="73"/>
      <c r="X109" s="73"/>
      <c r="Y109" s="74"/>
      <c r="Z109" s="113" t="str">
        <f t="array" ref="Z109">INDEX($A$1:$C$500, MATCH(1,($B:$B=$B109)*($C:$C=$AB109),0),1)</f>
        <v/>
      </c>
      <c r="AA109" s="113" t="str">
        <f t="array" ref="AA109">INDEX($A$1:$C$500, MATCH(1,($B:$B=$AB109)*($C:$C=$B109),0),1)</f>
        <v/>
      </c>
      <c r="AB109" s="111"/>
      <c r="AC109" s="114" t="str">
        <f t="shared" si="2"/>
        <v/>
      </c>
      <c r="AD109" s="115" t="str">
        <f t="shared" si="3"/>
        <v/>
      </c>
      <c r="AE109" s="116" t="str">
        <f t="array" ref="AE109">INDEX($A$1:$C$500, MATCH(1,($B:$B=$AB109)*($C:$C=$AG109),0),1)</f>
        <v/>
      </c>
      <c r="AF109" s="116" t="str">
        <f t="array" ref="AF109">INDEX($A$1:$C$500, MATCH(1,($B:$B=$AG109)*($C:$C=$AB109),0),1)</f>
        <v/>
      </c>
      <c r="AG109" s="72"/>
      <c r="AH109" s="114" t="str">
        <f t="shared" si="4"/>
        <v/>
      </c>
      <c r="AI109" s="115" t="str">
        <f t="shared" si="5"/>
        <v/>
      </c>
      <c r="AJ109" s="116" t="str">
        <f t="array" ref="AJ109">INDEX($A$1:$C$500, MATCH(1,($B:$B=$C109)*($C:$C=$AG109),0),1)</f>
        <v/>
      </c>
      <c r="AK109" s="116" t="str">
        <f t="array" ref="AK109">INDEX($A$1:$C$500, MATCH(1,($B:$B=$AG109)*($C:$C=$C109),0),1)</f>
        <v/>
      </c>
      <c r="AL109" s="116" t="str">
        <f t="array" ref="AL109">INDEX($A$1:$C$500, MATCH(1,($B:$B=$C109)*($C:$C=$AB109),0),1)</f>
        <v/>
      </c>
      <c r="AM109" s="116" t="str">
        <f t="array" ref="AM109">INDEX($A$1:$C$500, MATCH(1,($B:$B=$AB109)*($C:$C=$C109),0),1)</f>
        <v/>
      </c>
      <c r="AN109" s="114" t="str">
        <f t="array" ref="AN109">IFS(ISNUMBER(AJ109),AJ109,ISNUMBER(AK109),AK109,ISNUMBER(AL109),AL109,ISNUMBER(AM109),AM109)</f>
        <v>#N/A</v>
      </c>
      <c r="AO109" s="115" t="str">
        <f t="shared" si="6"/>
        <v/>
      </c>
      <c r="AP109" s="115" t="str">
        <f t="shared" si="7"/>
        <v/>
      </c>
      <c r="AQ109" s="111"/>
      <c r="AR109" s="109" t="str">
        <f t="shared" si="8"/>
        <v/>
      </c>
      <c r="AS109" s="72" t="str">
        <f>IFERROR(IF(AND(Preferences!B$3="Manual",OR(AX109/AW109&gt;V109/U109,BD109="Serious",BD109="Very serious")),"Assess imprecision",IFERROR(IFS(AND(Preferences!B$3="Automatic",V109/U109&gt;=30),"Extremely serious",AND(W109&lt;=$D$1*-1,Y109&lt;0,V109/U109&lt;3),"Not Serious",AND(W109&lt;=$D$1*-1,Y109&lt;0,V109/U109&gt;=3),"Very serious",AND(W109&gt;=$D$1,X109&gt;0,V109/U109&lt;3),"Not Serious",AND(W109&gt;=$D$1,X109&gt;0,V109/U109&gt;=3),"Very serious",AND(W109&lt;=$D$1*-1,Y109&gt;0,X109&gt;$D$2*-1,V109/U109&lt;3),"Serious", AND(W109&lt;=$D$1*-1,Y109&gt;0,X109&lt;$D$2*-1,V109/U109&lt;3),"Very serious", AND(W109&gt;=$D$1,X109&lt;0,Y109&lt;$D$2,V109/U109&lt;3),"Serious",AND(W109&gt;=$D$1,X109&lt;0,Y109&gt;$D$2,V109/U109&lt;3),"Very serious", AND(W109&lt;=$D$1*-1,Y109&gt;0,X109&gt;$D$2*-1,V109/U109&gt;=3),"Very serious", AND(W109&lt;=$D$1*-1,Y109&gt;0,X109&lt;$D$2*-1,V109/U109&gt;=3),"Very serious", AND(W109&gt;=$D$1,X109&lt;0,Y109&lt;$D$2,V109/U109&gt;=3),"Very serious", AND(W109&gt;=$D$1,X109&lt;0,Y109&gt;$D$2,V109/U109&gt;=3),"Very serious", AND(W109&gt;$D$1*-1,W109&lt;$D$1,X109&gt;$D$1*-1,Y109&lt;$D$1,V109/U109&lt;3),"Not Serious", AND(W109&gt;$D$1*-1,W109&lt;$D$1,OR(X109&lt;=$D$1*-1,Y109&gt;=$D$1),X109&gt;$D$2*-1,Y109&lt;$D$2,V109/U109&lt;3),"Serious", AND(W109&gt;$D$1*-1,W109&lt;$D$1,OR(X109&lt;=$D$2*-1,Y109&gt;=$D$2),V109/U109&lt;3),"Very serious", AND(W109&gt;$D$1*-1,W109&lt;$D$1,X109&gt;$D$1*-1,Y109&lt;$D$1,V109/U109&gt;=3),"Very serious", AND(W109&gt;$D$1*-1,W109&lt;$D$1,OR(X109&lt;=$D$1*-1,Y109&gt;=$D$1),X109&gt;$D$2*-1,Y109&lt;$D$2,V109/U109&gt;=3),"Very serious", AND(W109&gt;$D$1*-1,W109&lt;$D$1,OR(X109&lt;=$D$2*-1,Y109&gt;=$D$2),V109/U109&gt;=3),"Very serious"),"")),"")</f>
        <v/>
      </c>
      <c r="AT109" s="109" t="str">
        <f t="shared" si="9"/>
        <v/>
      </c>
      <c r="AU109" s="64"/>
      <c r="AV109" s="147"/>
      <c r="AW109" s="147"/>
      <c r="AX109" s="147"/>
      <c r="AY109" s="118"/>
      <c r="AZ109" s="118"/>
      <c r="BA109" s="119"/>
      <c r="BB109" s="86" t="str">
        <f>IF(Preferences!B$9="Manual","",IFS(ISBLANK(B109),"",AND(ISNUMBER(E109)=TRUE,ISNUMBER(T109)=FALSE),"Direct", AND(ISNUMBER(E109)=FALSE,ISNUMBER(T109)=TRUE),"Indirect", CN109=4,"Direct",AND(CL109=FALSE, CM109=TRUE,CN109-CO109&gt;-1),"Direct", AND(CL109=FALSE,CM109=TRUE, CN109-CO109&lt;0),"Check algorithm in appendix 2", AND(CL109=TRUE, CM109=FALSE,CN109-CO109&gt;0),"Check algorithm in appendix 2", AND(CL109=TRUE, CM109=FALSE,CN109-CO109=0),"Indirect", AND(CL109=TRUE, CM109=FALSE,CN109-CO109&lt;0),"Indirect", AND(CL109=FALSE,CM109=FALSE,CN109-CO109&gt;-1),"Direct", AND(CL109=FALSE,CM109=FALSE,CN109-CO109&lt;0),"Check algorithm in appendix 2", AND(CL109=TRUE,CM109=TRUE,CN109-CO109&gt;-1),"Direct", AND(CL109=TRUE,CM109=TRUE,CN109-CO109&lt;0),"Check algorithm in appendix 2"))</f>
        <v/>
      </c>
      <c r="BC109" s="120" t="str">
        <f t="shared" si="10"/>
        <v/>
      </c>
      <c r="BD109" s="140"/>
      <c r="BE109" s="122" t="str">
        <f>IF(Preferences!B$3="Manual","", IFERROR(IFS(AND(Preferences!B$3="Automatic",AX109/AW109&gt;=30),"Extremely serious",AND(AY109&lt;=$D$1*-1,BA109&lt;0,AX109/AW109&lt;3),"Not Serious",AND(AY109&lt;=$D$1*-1,BA109&lt;0,AX109/AW109&gt;=3),"Very serious",AND(AY109&gt;=$D$1,AZ109&gt;0,AX109/AW109&lt;3),"Not Serious",AND(AY109&gt;=$D$1,AZ109&gt;0,AX109/AW109&gt;=3),"Very serious",AND(AY109&lt;=$D$1*-1,BA109&gt;0,AZ109&gt;$D$2*-1,AX109/AW109&lt;3),"Serious", AND(AY109&lt;=$D$1*-1,BA109&gt;0,AZ109&lt;$D$2*-1,AX109/AW109&lt;3),"Very serious", AND(AY109&gt;=$D$1,AZ109&lt;0,BA109&lt;$D$2,AX109/AW109&lt;3),"Serious",AND(AY109&gt;=$D$1,AZ109&lt;0,BA109&gt;$D$2,AX109/AW109&lt;3),"Very serious", AND(AY109&lt;=$D$1*-1,BA109&gt;0,AZ109&gt;$D$2*-1,AX109/AW109&gt;=3),"Very serious", AND(AY109&lt;=$D$1*-1,BA109&gt;0,AZ109&lt;$D$2*-1,AX109/AW109&gt;=3),"Very serious", AND(AY109&gt;=$D$1,AZ109&lt;0,BA109&lt;$D$2,AX109/AW109&gt;=3),"Very serious", AND(AY109&gt;=$D$1,AZ109&lt;0,BA109&gt;$D$2,AX109/AW109&gt;=3),"Very serious", AND(AY109&gt;$D$1*-1,AY109&lt;$D$1,AZ109&gt;$D$1*-1,BA109&lt;$D$1,AX109/AW109&lt;3),"Not Serious", AND(AY109&gt;$D$1*-1,AY109&lt;$D$1,OR(AZ109&lt;=$D$1*-1,BA109&gt;=$D$1),AZ109&gt;$D$2*-1,BA109&lt;$D$2,AX109/AW109&lt;3),"Serious", AND(AY109&gt;$D$1*-1,AY109&lt;$D$1,OR(AZ109&lt;=$D$2*-1,BA109&gt;=$D$2),AX109/AW109&lt;3),"Very serious", AND(AY109&gt;$D$1*-1,AY109&lt;$D$1,AZ109&gt;$D$1*-1,BA109&lt;$D$1,AX109/AW109&gt;=3),"Very serious", AND(AY109&gt;$D$1*-1,AY109&lt;$D$1,OR(AZ109&lt;=$D$1*-1,BA109&gt;=$D$1),AZ109&gt;$D$2*-1,BA109&lt;$D$2,AX109/AW109&gt;=3),"Very serious", AND(AY109&gt;$D$1*-1,AY109&lt;$D$1,OR(AZ109&lt;=$D$2*-1,BA109&gt;=$D$2),AX109/AW109&gt;=3),"Very serious"),""))</f>
        <v/>
      </c>
      <c r="BF109" s="107" t="str">
        <f t="shared" si="11"/>
        <v/>
      </c>
      <c r="BG109" s="94" t="str">
        <f t="shared" si="46"/>
        <v/>
      </c>
      <c r="BH109" s="64" t="str">
        <f t="shared" si="12"/>
        <v>#N/A</v>
      </c>
      <c r="BI109" s="64" t="str">
        <f t="shared" si="13"/>
        <v/>
      </c>
      <c r="BJ109" s="123" t="str">
        <f t="shared" si="14"/>
        <v>#N/A</v>
      </c>
      <c r="BK109" s="64" t="str">
        <f t="shared" si="50"/>
        <v>YES</v>
      </c>
      <c r="BL109" s="64" t="str">
        <f t="shared" si="16"/>
        <v>YES</v>
      </c>
      <c r="BM109" s="64" t="str">
        <f t="shared" si="17"/>
        <v>YES</v>
      </c>
      <c r="BN109" s="124" t="str">
        <f t="shared" si="18"/>
        <v/>
      </c>
      <c r="BO109" s="91" t="str">
        <f t="shared" si="19"/>
        <v/>
      </c>
      <c r="BP109" s="91" t="str">
        <f t="shared" si="20"/>
        <v>#N/A</v>
      </c>
      <c r="BQ109" s="91" t="str">
        <f t="shared" si="21"/>
        <v/>
      </c>
      <c r="BR109" s="93" t="str">
        <f t="shared" si="22"/>
        <v/>
      </c>
      <c r="BS109" s="90" t="str">
        <f t="shared" si="23"/>
        <v/>
      </c>
      <c r="BT109" s="93" t="str">
        <f t="shared" si="24"/>
        <v>NA</v>
      </c>
      <c r="BU109" s="125" t="str">
        <f t="shared" si="25"/>
        <v>#N/A</v>
      </c>
      <c r="BV109" s="93" t="str">
        <f t="shared" si="26"/>
        <v/>
      </c>
      <c r="BW109" s="93" t="str">
        <f t="shared" si="27"/>
        <v/>
      </c>
      <c r="BX109" s="93" t="str">
        <f t="shared" si="28"/>
        <v>NA</v>
      </c>
      <c r="BY109" s="95" t="str">
        <f t="shared" si="29"/>
        <v>#N/A</v>
      </c>
      <c r="BZ109" s="93" t="str">
        <f t="shared" si="30"/>
        <v/>
      </c>
      <c r="CA109" s="93" t="str">
        <f t="shared" si="31"/>
        <v/>
      </c>
      <c r="CB109" s="93" t="str">
        <f t="shared" si="32"/>
        <v>NA</v>
      </c>
      <c r="CC109" s="96" t="str">
        <f t="shared" si="33"/>
        <v>#N/A</v>
      </c>
      <c r="CD109" s="93" t="str">
        <f t="shared" si="34"/>
        <v/>
      </c>
      <c r="CE109" s="93" t="str">
        <f t="shared" si="35"/>
        <v/>
      </c>
      <c r="CF109" s="93" t="str">
        <f t="shared" si="36"/>
        <v>NA</v>
      </c>
      <c r="CG109" s="97" t="str">
        <f t="shared" si="37"/>
        <v>#N/A</v>
      </c>
      <c r="CH109" s="98" t="str">
        <f t="shared" si="38"/>
        <v>#N/A</v>
      </c>
      <c r="CI109" s="99" t="str">
        <f t="shared" si="39"/>
        <v>#N/A</v>
      </c>
      <c r="CJ109" s="126" t="str">
        <f t="shared" si="40"/>
        <v>ERROR: check cell</v>
      </c>
      <c r="CK109" s="126"/>
      <c r="CL109" s="127" t="str">
        <f t="shared" si="41"/>
        <v>#DIV/0!</v>
      </c>
      <c r="CM109" s="128" t="str">
        <f t="shared" si="42"/>
        <v>#DIV/0!</v>
      </c>
      <c r="CN109" s="128">
        <f t="shared" si="43"/>
        <v>4</v>
      </c>
      <c r="CO109" s="129">
        <f t="shared" si="44"/>
        <v>4</v>
      </c>
      <c r="CP109" s="129" t="str">
        <f>IFS(C109=Preferences!B$13,B109,B109=Preferences!B$13,C109)</f>
        <v>#N/A</v>
      </c>
    </row>
    <row r="110" ht="13.5" customHeight="1">
      <c r="A110" s="63" t="str">
        <f t="shared" si="45"/>
        <v/>
      </c>
      <c r="B110" s="64"/>
      <c r="C110" s="64"/>
      <c r="D110" s="64"/>
      <c r="E110" s="65"/>
      <c r="F110" s="65"/>
      <c r="G110" s="65"/>
      <c r="H110" s="66"/>
      <c r="I110" s="66"/>
      <c r="J110" s="67"/>
      <c r="K110" s="68"/>
      <c r="L110" s="104"/>
      <c r="M110" s="104"/>
      <c r="N110" s="104"/>
      <c r="O110" s="104"/>
      <c r="P110" s="107" t="str">
        <f t="shared" si="1"/>
        <v/>
      </c>
      <c r="Q110" s="108" t="str">
        <f>IFERROR(IF(AND(Preferences!B$3="Manual",OR(AX110/AW110&gt;G110/F110,BD110="Serious",BD110="Very serious")),"Assess imprecision",IFS(ISBLANK(E110),"",AND(Preferences!B$3="Automatic", G110/F110&gt;=30),"Extremely serious",AND(H110&lt;=$D$1*-1,J110&lt;0,G110/F110&lt;3),"Not serious",AND(H110&lt;=$D$1*-1,J110&lt;0,G110/F110&gt;=3),"Very serious",AND(H110&gt;=$D$1,I110&gt;0,G110/F110&lt;3),"Not serious",AND(H110&gt;=$D$1,I110&gt;0,G110/F110&gt;=3),"Very serious",AND(H110&lt;=$D$1*-1,J110&gt;0,I110&gt;$D$2*-1,G110/F110&lt;3),"Serious", AND(H110&lt;=$D$1*-1,J110&gt;0,I110&lt;$D$2*-1,G110/F110&lt;3),"Very serious", AND(H110&gt;=$D$1,I110&lt;0,J110&lt;$D$2,G110/F110&lt;3),"Serious",AND(H110&gt;=$D$1,I110&lt;0,J110&gt;$D$2,G110/F110&lt;3),"Very serious", AND(H110&lt;=$D$1*-1,J110&gt;0,I110&gt;$D$2*-1,G110/F110&gt;=3),"Very serious", AND(H110&lt;=$D$1*-1,J110&gt;0,I110&lt;$D$2*-1,G110/F110&gt;=3),"Very serious", AND(H110&gt;=$D$1,I110&lt;0,J110&lt;$D$2,G110/F110&gt;=3),"Very serious", AND(H110&gt;=$D$1,I110&lt;0,J110&gt;$D$2,G110/F110&gt;=3),"Very serious", AND(H110&gt;$D$1*-1,H110&lt;$D$1,I110&gt;$D$1*-1,J110&lt;$D$1,G110/F110&lt;3),"Not serious", AND(H110&gt;$D$1*-1,H110&lt;$D$1,OR(I110&lt;=$D$1*-1,J110&gt;=$D$1),I110&gt;$D$2*-1,J110&lt;$D$2,G110/F110&lt;3),"Serious", AND(H110&gt;$D$1*-1,H110&lt;$D$1,OR(I110&lt;=$D$2*-1,J110&gt;=$D$2),G110/F110&lt;3),"Very serious", AND(H110&gt;$D$1*-1,H110&lt;$D$1,I110&gt;$D$1*-1,J110&lt;$D$1,G110/F110&gt;=3),"Very serious", AND(H110&gt;$D$1*-1,H110&lt;$D$1,OR(I110&lt;=$D$1*-1,J110&gt;=$D$1),I110&gt;$D$2*-1,J110&lt;$D$2,G110/F110&gt;=3),"Very serious", AND(H110&gt;$D$1*-1,H110&lt;$D$1,OR(I110&lt;=$D$2*-1,J110&gt;=$D$2),G110/F110&gt;=3),"Very serious")),"")</f>
        <v/>
      </c>
      <c r="R110" s="109" t="str">
        <f t="shared" si="47"/>
        <v/>
      </c>
      <c r="S110" s="64"/>
      <c r="T110" s="146"/>
      <c r="U110" s="146"/>
      <c r="V110" s="146"/>
      <c r="W110" s="73"/>
      <c r="X110" s="73"/>
      <c r="Y110" s="74"/>
      <c r="Z110" s="113" t="str">
        <f t="array" ref="Z110">INDEX($A$1:$C$500, MATCH(1,($B:$B=$B110)*($C:$C=$AB110),0),1)</f>
        <v/>
      </c>
      <c r="AA110" s="113" t="str">
        <f t="array" ref="AA110">INDEX($A$1:$C$500, MATCH(1,($B:$B=$AB110)*($C:$C=$B110),0),1)</f>
        <v/>
      </c>
      <c r="AB110" s="111"/>
      <c r="AC110" s="114" t="str">
        <f t="shared" si="2"/>
        <v/>
      </c>
      <c r="AD110" s="115" t="str">
        <f t="shared" si="3"/>
        <v/>
      </c>
      <c r="AE110" s="116" t="str">
        <f t="array" ref="AE110">INDEX($A$1:$C$500, MATCH(1,($B:$B=$AB110)*($C:$C=$AG110),0),1)</f>
        <v/>
      </c>
      <c r="AF110" s="116" t="str">
        <f t="array" ref="AF110">INDEX($A$1:$C$500, MATCH(1,($B:$B=$AG110)*($C:$C=$AB110),0),1)</f>
        <v/>
      </c>
      <c r="AG110" s="72"/>
      <c r="AH110" s="114" t="str">
        <f t="shared" si="4"/>
        <v/>
      </c>
      <c r="AI110" s="115" t="str">
        <f t="shared" si="5"/>
        <v/>
      </c>
      <c r="AJ110" s="116" t="str">
        <f t="array" ref="AJ110">INDEX($A$1:$C$500, MATCH(1,($B:$B=$C110)*($C:$C=$AG110),0),1)</f>
        <v/>
      </c>
      <c r="AK110" s="116" t="str">
        <f t="array" ref="AK110">INDEX($A$1:$C$500, MATCH(1,($B:$B=$AG110)*($C:$C=$C110),0),1)</f>
        <v/>
      </c>
      <c r="AL110" s="116" t="str">
        <f t="array" ref="AL110">INDEX($A$1:$C$500, MATCH(1,($B:$B=$C110)*($C:$C=$AB110),0),1)</f>
        <v/>
      </c>
      <c r="AM110" s="116" t="str">
        <f t="array" ref="AM110">INDEX($A$1:$C$500, MATCH(1,($B:$B=$AB110)*($C:$C=$C110),0),1)</f>
        <v/>
      </c>
      <c r="AN110" s="114" t="str">
        <f t="array" ref="AN110">IFS(ISNUMBER(AJ110),AJ110,ISNUMBER(AK110),AK110,ISNUMBER(AL110),AL110,ISNUMBER(AM110),AM110)</f>
        <v>#N/A</v>
      </c>
      <c r="AO110" s="115" t="str">
        <f t="shared" si="6"/>
        <v/>
      </c>
      <c r="AP110" s="115" t="str">
        <f t="shared" si="7"/>
        <v/>
      </c>
      <c r="AQ110" s="111"/>
      <c r="AR110" s="109" t="str">
        <f t="shared" si="8"/>
        <v/>
      </c>
      <c r="AS110" s="72" t="str">
        <f>IFERROR(IF(AND(Preferences!B$3="Manual",OR(AX110/AW110&gt;V110/U110,BD110="Serious",BD110="Very serious")),"Assess imprecision",IFERROR(IFS(AND(Preferences!B$3="Automatic",V110/U110&gt;=30),"Extremely serious",AND(W110&lt;=$D$1*-1,Y110&lt;0,V110/U110&lt;3),"Not Serious",AND(W110&lt;=$D$1*-1,Y110&lt;0,V110/U110&gt;=3),"Very serious",AND(W110&gt;=$D$1,X110&gt;0,V110/U110&lt;3),"Not Serious",AND(W110&gt;=$D$1,X110&gt;0,V110/U110&gt;=3),"Very serious",AND(W110&lt;=$D$1*-1,Y110&gt;0,X110&gt;$D$2*-1,V110/U110&lt;3),"Serious", AND(W110&lt;=$D$1*-1,Y110&gt;0,X110&lt;$D$2*-1,V110/U110&lt;3),"Very serious", AND(W110&gt;=$D$1,X110&lt;0,Y110&lt;$D$2,V110/U110&lt;3),"Serious",AND(W110&gt;=$D$1,X110&lt;0,Y110&gt;$D$2,V110/U110&lt;3),"Very serious", AND(W110&lt;=$D$1*-1,Y110&gt;0,X110&gt;$D$2*-1,V110/U110&gt;=3),"Very serious", AND(W110&lt;=$D$1*-1,Y110&gt;0,X110&lt;$D$2*-1,V110/U110&gt;=3),"Very serious", AND(W110&gt;=$D$1,X110&lt;0,Y110&lt;$D$2,V110/U110&gt;=3),"Very serious", AND(W110&gt;=$D$1,X110&lt;0,Y110&gt;$D$2,V110/U110&gt;=3),"Very serious", AND(W110&gt;$D$1*-1,W110&lt;$D$1,X110&gt;$D$1*-1,Y110&lt;$D$1,V110/U110&lt;3),"Not Serious", AND(W110&gt;$D$1*-1,W110&lt;$D$1,OR(X110&lt;=$D$1*-1,Y110&gt;=$D$1),X110&gt;$D$2*-1,Y110&lt;$D$2,V110/U110&lt;3),"Serious", AND(W110&gt;$D$1*-1,W110&lt;$D$1,OR(X110&lt;=$D$2*-1,Y110&gt;=$D$2),V110/U110&lt;3),"Very serious", AND(W110&gt;$D$1*-1,W110&lt;$D$1,X110&gt;$D$1*-1,Y110&lt;$D$1,V110/U110&gt;=3),"Very serious", AND(W110&gt;$D$1*-1,W110&lt;$D$1,OR(X110&lt;=$D$1*-1,Y110&gt;=$D$1),X110&gt;$D$2*-1,Y110&lt;$D$2,V110/U110&gt;=3),"Very serious", AND(W110&gt;$D$1*-1,W110&lt;$D$1,OR(X110&lt;=$D$2*-1,Y110&gt;=$D$2),V110/U110&gt;=3),"Very serious"),"")),"")</f>
        <v/>
      </c>
      <c r="AT110" s="109" t="str">
        <f t="shared" si="9"/>
        <v/>
      </c>
      <c r="AU110" s="64"/>
      <c r="AV110" s="147"/>
      <c r="AW110" s="147"/>
      <c r="AX110" s="147"/>
      <c r="AY110" s="118"/>
      <c r="AZ110" s="118"/>
      <c r="BA110" s="119"/>
      <c r="BB110" s="86" t="str">
        <f>IF(Preferences!B$9="Manual","",IFS(ISBLANK(B110),"",AND(ISNUMBER(E110)=TRUE,ISNUMBER(T110)=FALSE),"Direct", AND(ISNUMBER(E110)=FALSE,ISNUMBER(T110)=TRUE),"Indirect", CN110=4,"Direct",AND(CL110=FALSE, CM110=TRUE,CN110-CO110&gt;-1),"Direct", AND(CL110=FALSE,CM110=TRUE, CN110-CO110&lt;0),"Check algorithm in appendix 2", AND(CL110=TRUE, CM110=FALSE,CN110-CO110&gt;0),"Check algorithm in appendix 2", AND(CL110=TRUE, CM110=FALSE,CN110-CO110=0),"Indirect", AND(CL110=TRUE, CM110=FALSE,CN110-CO110&lt;0),"Indirect", AND(CL110=FALSE,CM110=FALSE,CN110-CO110&gt;-1),"Direct", AND(CL110=FALSE,CM110=FALSE,CN110-CO110&lt;0),"Check algorithm in appendix 2", AND(CL110=TRUE,CM110=TRUE,CN110-CO110&gt;-1),"Direct", AND(CL110=TRUE,CM110=TRUE,CN110-CO110&lt;0),"Check algorithm in appendix 2"))</f>
        <v/>
      </c>
      <c r="BC110" s="120" t="str">
        <f t="shared" si="10"/>
        <v/>
      </c>
      <c r="BD110" s="140"/>
      <c r="BE110" s="122" t="str">
        <f>IF(Preferences!B$3="Manual","", IFERROR(IFS(AND(Preferences!B$3="Automatic",AX110/AW110&gt;=30),"Extremely serious",AND(AY110&lt;=$D$1*-1,BA110&lt;0,AX110/AW110&lt;3),"Not Serious",AND(AY110&lt;=$D$1*-1,BA110&lt;0,AX110/AW110&gt;=3),"Very serious",AND(AY110&gt;=$D$1,AZ110&gt;0,AX110/AW110&lt;3),"Not Serious",AND(AY110&gt;=$D$1,AZ110&gt;0,AX110/AW110&gt;=3),"Very serious",AND(AY110&lt;=$D$1*-1,BA110&gt;0,AZ110&gt;$D$2*-1,AX110/AW110&lt;3),"Serious", AND(AY110&lt;=$D$1*-1,BA110&gt;0,AZ110&lt;$D$2*-1,AX110/AW110&lt;3),"Very serious", AND(AY110&gt;=$D$1,AZ110&lt;0,BA110&lt;$D$2,AX110/AW110&lt;3),"Serious",AND(AY110&gt;=$D$1,AZ110&lt;0,BA110&gt;$D$2,AX110/AW110&lt;3),"Very serious", AND(AY110&lt;=$D$1*-1,BA110&gt;0,AZ110&gt;$D$2*-1,AX110/AW110&gt;=3),"Very serious", AND(AY110&lt;=$D$1*-1,BA110&gt;0,AZ110&lt;$D$2*-1,AX110/AW110&gt;=3),"Very serious", AND(AY110&gt;=$D$1,AZ110&lt;0,BA110&lt;$D$2,AX110/AW110&gt;=3),"Very serious", AND(AY110&gt;=$D$1,AZ110&lt;0,BA110&gt;$D$2,AX110/AW110&gt;=3),"Very serious", AND(AY110&gt;$D$1*-1,AY110&lt;$D$1,AZ110&gt;$D$1*-1,BA110&lt;$D$1,AX110/AW110&lt;3),"Not Serious", AND(AY110&gt;$D$1*-1,AY110&lt;$D$1,OR(AZ110&lt;=$D$1*-1,BA110&gt;=$D$1),AZ110&gt;$D$2*-1,BA110&lt;$D$2,AX110/AW110&lt;3),"Serious", AND(AY110&gt;$D$1*-1,AY110&lt;$D$1,OR(AZ110&lt;=$D$2*-1,BA110&gt;=$D$2),AX110/AW110&lt;3),"Very serious", AND(AY110&gt;$D$1*-1,AY110&lt;$D$1,AZ110&gt;$D$1*-1,BA110&lt;$D$1,AX110/AW110&gt;=3),"Very serious", AND(AY110&gt;$D$1*-1,AY110&lt;$D$1,OR(AZ110&lt;=$D$1*-1,BA110&gt;=$D$1),AZ110&gt;$D$2*-1,BA110&lt;$D$2,AX110/AW110&gt;=3),"Very serious", AND(AY110&gt;$D$1*-1,AY110&lt;$D$1,OR(AZ110&lt;=$D$2*-1,BA110&gt;=$D$2),AX110/AW110&gt;=3),"Very serious"),""))</f>
        <v/>
      </c>
      <c r="BF110" s="107" t="str">
        <f t="shared" si="11"/>
        <v/>
      </c>
      <c r="BG110" s="94" t="str">
        <f t="shared" si="46"/>
        <v/>
      </c>
      <c r="BH110" s="64" t="str">
        <f t="shared" si="12"/>
        <v>#N/A</v>
      </c>
      <c r="BI110" s="64" t="str">
        <f t="shared" si="13"/>
        <v/>
      </c>
      <c r="BJ110" s="123" t="str">
        <f t="shared" si="14"/>
        <v>#N/A</v>
      </c>
      <c r="BK110" s="64" t="str">
        <f t="shared" si="50"/>
        <v>YES</v>
      </c>
      <c r="BL110" s="64" t="str">
        <f t="shared" si="16"/>
        <v>YES</v>
      </c>
      <c r="BM110" s="64" t="str">
        <f t="shared" si="17"/>
        <v>YES</v>
      </c>
      <c r="BN110" s="124" t="str">
        <f t="shared" si="18"/>
        <v/>
      </c>
      <c r="BO110" s="91" t="str">
        <f t="shared" si="19"/>
        <v/>
      </c>
      <c r="BP110" s="91" t="str">
        <f t="shared" si="20"/>
        <v>#N/A</v>
      </c>
      <c r="BQ110" s="91" t="str">
        <f t="shared" si="21"/>
        <v/>
      </c>
      <c r="BR110" s="93" t="str">
        <f t="shared" si="22"/>
        <v/>
      </c>
      <c r="BS110" s="90" t="str">
        <f t="shared" si="23"/>
        <v/>
      </c>
      <c r="BT110" s="93" t="str">
        <f t="shared" si="24"/>
        <v>NA</v>
      </c>
      <c r="BU110" s="125" t="str">
        <f t="shared" si="25"/>
        <v>#N/A</v>
      </c>
      <c r="BV110" s="93" t="str">
        <f t="shared" si="26"/>
        <v/>
      </c>
      <c r="BW110" s="93" t="str">
        <f t="shared" si="27"/>
        <v/>
      </c>
      <c r="BX110" s="93" t="str">
        <f t="shared" si="28"/>
        <v>NA</v>
      </c>
      <c r="BY110" s="95" t="str">
        <f t="shared" si="29"/>
        <v>#N/A</v>
      </c>
      <c r="BZ110" s="93" t="str">
        <f t="shared" si="30"/>
        <v/>
      </c>
      <c r="CA110" s="93" t="str">
        <f t="shared" si="31"/>
        <v/>
      </c>
      <c r="CB110" s="93" t="str">
        <f t="shared" si="32"/>
        <v>NA</v>
      </c>
      <c r="CC110" s="96" t="str">
        <f t="shared" si="33"/>
        <v>#N/A</v>
      </c>
      <c r="CD110" s="93" t="str">
        <f t="shared" si="34"/>
        <v/>
      </c>
      <c r="CE110" s="93" t="str">
        <f t="shared" si="35"/>
        <v/>
      </c>
      <c r="CF110" s="93" t="str">
        <f t="shared" si="36"/>
        <v>NA</v>
      </c>
      <c r="CG110" s="97" t="str">
        <f t="shared" si="37"/>
        <v>#N/A</v>
      </c>
      <c r="CH110" s="98" t="str">
        <f t="shared" si="38"/>
        <v>#N/A</v>
      </c>
      <c r="CI110" s="99" t="str">
        <f t="shared" si="39"/>
        <v>#N/A</v>
      </c>
      <c r="CJ110" s="126" t="str">
        <f t="shared" si="40"/>
        <v>ERROR: check cell</v>
      </c>
      <c r="CK110" s="126"/>
      <c r="CL110" s="127" t="str">
        <f t="shared" si="41"/>
        <v>#DIV/0!</v>
      </c>
      <c r="CM110" s="128" t="str">
        <f t="shared" si="42"/>
        <v>#DIV/0!</v>
      </c>
      <c r="CN110" s="128">
        <f t="shared" si="43"/>
        <v>4</v>
      </c>
      <c r="CO110" s="129">
        <f t="shared" si="44"/>
        <v>4</v>
      </c>
      <c r="CP110" s="129" t="str">
        <f>IFS(C110=Preferences!B$13,B110,B110=Preferences!B$13,C110)</f>
        <v>#N/A</v>
      </c>
    </row>
    <row r="111" ht="13.5" customHeight="1">
      <c r="A111" s="63" t="str">
        <f t="shared" si="45"/>
        <v/>
      </c>
      <c r="B111" s="64"/>
      <c r="C111" s="64"/>
      <c r="D111" s="64"/>
      <c r="E111" s="65"/>
      <c r="F111" s="65"/>
      <c r="G111" s="65"/>
      <c r="H111" s="66"/>
      <c r="I111" s="66"/>
      <c r="J111" s="67"/>
      <c r="K111" s="68"/>
      <c r="L111" s="104"/>
      <c r="M111" s="104"/>
      <c r="N111" s="104"/>
      <c r="O111" s="104"/>
      <c r="P111" s="107" t="str">
        <f t="shared" si="1"/>
        <v/>
      </c>
      <c r="Q111" s="108" t="str">
        <f>IFERROR(IF(AND(Preferences!B$3="Manual",OR(AX111/AW111&gt;G111/F111,BD111="Serious",BD111="Very serious")),"Assess imprecision",IFS(ISBLANK(E111),"",AND(Preferences!B$3="Automatic", G111/F111&gt;=30),"Extremely serious",AND(H111&lt;=$D$1*-1,J111&lt;0,G111/F111&lt;3),"Not serious",AND(H111&lt;=$D$1*-1,J111&lt;0,G111/F111&gt;=3),"Very serious",AND(H111&gt;=$D$1,I111&gt;0,G111/F111&lt;3),"Not serious",AND(H111&gt;=$D$1,I111&gt;0,G111/F111&gt;=3),"Very serious",AND(H111&lt;=$D$1*-1,J111&gt;0,I111&gt;$D$2*-1,G111/F111&lt;3),"Serious", AND(H111&lt;=$D$1*-1,J111&gt;0,I111&lt;$D$2*-1,G111/F111&lt;3),"Very serious", AND(H111&gt;=$D$1,I111&lt;0,J111&lt;$D$2,G111/F111&lt;3),"Serious",AND(H111&gt;=$D$1,I111&lt;0,J111&gt;$D$2,G111/F111&lt;3),"Very serious", AND(H111&lt;=$D$1*-1,J111&gt;0,I111&gt;$D$2*-1,G111/F111&gt;=3),"Very serious", AND(H111&lt;=$D$1*-1,J111&gt;0,I111&lt;$D$2*-1,G111/F111&gt;=3),"Very serious", AND(H111&gt;=$D$1,I111&lt;0,J111&lt;$D$2,G111/F111&gt;=3),"Very serious", AND(H111&gt;=$D$1,I111&lt;0,J111&gt;$D$2,G111/F111&gt;=3),"Very serious", AND(H111&gt;$D$1*-1,H111&lt;$D$1,I111&gt;$D$1*-1,J111&lt;$D$1,G111/F111&lt;3),"Not serious", AND(H111&gt;$D$1*-1,H111&lt;$D$1,OR(I111&lt;=$D$1*-1,J111&gt;=$D$1),I111&gt;$D$2*-1,J111&lt;$D$2,G111/F111&lt;3),"Serious", AND(H111&gt;$D$1*-1,H111&lt;$D$1,OR(I111&lt;=$D$2*-1,J111&gt;=$D$2),G111/F111&lt;3),"Very serious", AND(H111&gt;$D$1*-1,H111&lt;$D$1,I111&gt;$D$1*-1,J111&lt;$D$1,G111/F111&gt;=3),"Very serious", AND(H111&gt;$D$1*-1,H111&lt;$D$1,OR(I111&lt;=$D$1*-1,J111&gt;=$D$1),I111&gt;$D$2*-1,J111&lt;$D$2,G111/F111&gt;=3),"Very serious", AND(H111&gt;$D$1*-1,H111&lt;$D$1,OR(I111&lt;=$D$2*-1,J111&gt;=$D$2),G111/F111&gt;=3),"Very serious")),"")</f>
        <v/>
      </c>
      <c r="R111" s="109" t="str">
        <f t="shared" si="47"/>
        <v/>
      </c>
      <c r="S111" s="64"/>
      <c r="T111" s="146"/>
      <c r="U111" s="146"/>
      <c r="V111" s="146"/>
      <c r="W111" s="73"/>
      <c r="X111" s="73"/>
      <c r="Y111" s="74"/>
      <c r="Z111" s="113" t="str">
        <f t="array" ref="Z111">INDEX($A$1:$C$500, MATCH(1,($B:$B=$B111)*($C:$C=$AB111),0),1)</f>
        <v/>
      </c>
      <c r="AA111" s="113" t="str">
        <f t="array" ref="AA111">INDEX($A$1:$C$500, MATCH(1,($B:$B=$AB111)*($C:$C=$B111),0),1)</f>
        <v/>
      </c>
      <c r="AB111" s="111"/>
      <c r="AC111" s="114" t="str">
        <f t="shared" si="2"/>
        <v/>
      </c>
      <c r="AD111" s="115" t="str">
        <f t="shared" si="3"/>
        <v/>
      </c>
      <c r="AE111" s="116" t="str">
        <f t="array" ref="AE111">INDEX($A$1:$C$500, MATCH(1,($B:$B=$AB111)*($C:$C=$AG111),0),1)</f>
        <v/>
      </c>
      <c r="AF111" s="116" t="str">
        <f t="array" ref="AF111">INDEX($A$1:$C$500, MATCH(1,($B:$B=$AG111)*($C:$C=$AB111),0),1)</f>
        <v/>
      </c>
      <c r="AG111" s="72"/>
      <c r="AH111" s="114" t="str">
        <f t="shared" si="4"/>
        <v/>
      </c>
      <c r="AI111" s="115" t="str">
        <f t="shared" si="5"/>
        <v/>
      </c>
      <c r="AJ111" s="116" t="str">
        <f t="array" ref="AJ111">INDEX($A$1:$C$500, MATCH(1,($B:$B=$C111)*($C:$C=$AG111),0),1)</f>
        <v/>
      </c>
      <c r="AK111" s="116" t="str">
        <f t="array" ref="AK111">INDEX($A$1:$C$500, MATCH(1,($B:$B=$AG111)*($C:$C=$C111),0),1)</f>
        <v/>
      </c>
      <c r="AL111" s="116" t="str">
        <f t="array" ref="AL111">INDEX($A$1:$C$500, MATCH(1,($B:$B=$C111)*($C:$C=$AB111),0),1)</f>
        <v/>
      </c>
      <c r="AM111" s="116" t="str">
        <f t="array" ref="AM111">INDEX($A$1:$C$500, MATCH(1,($B:$B=$AB111)*($C:$C=$C111),0),1)</f>
        <v/>
      </c>
      <c r="AN111" s="114" t="str">
        <f t="array" ref="AN111">IFS(ISNUMBER(AJ111),AJ111,ISNUMBER(AK111),AK111,ISNUMBER(AL111),AL111,ISNUMBER(AM111),AM111)</f>
        <v>#N/A</v>
      </c>
      <c r="AO111" s="115" t="str">
        <f t="shared" si="6"/>
        <v/>
      </c>
      <c r="AP111" s="115" t="str">
        <f t="shared" si="7"/>
        <v/>
      </c>
      <c r="AQ111" s="111"/>
      <c r="AR111" s="109" t="str">
        <f t="shared" si="8"/>
        <v/>
      </c>
      <c r="AS111" s="72" t="str">
        <f>IFERROR(IF(AND(Preferences!B$3="Manual",OR(AX111/AW111&gt;V111/U111,BD111="Serious",BD111="Very serious")),"Assess imprecision",IFERROR(IFS(AND(Preferences!B$3="Automatic",V111/U111&gt;=30),"Extremely serious",AND(W111&lt;=$D$1*-1,Y111&lt;0,V111/U111&lt;3),"Not Serious",AND(W111&lt;=$D$1*-1,Y111&lt;0,V111/U111&gt;=3),"Very serious",AND(W111&gt;=$D$1,X111&gt;0,V111/U111&lt;3),"Not Serious",AND(W111&gt;=$D$1,X111&gt;0,V111/U111&gt;=3),"Very serious",AND(W111&lt;=$D$1*-1,Y111&gt;0,X111&gt;$D$2*-1,V111/U111&lt;3),"Serious", AND(W111&lt;=$D$1*-1,Y111&gt;0,X111&lt;$D$2*-1,V111/U111&lt;3),"Very serious", AND(W111&gt;=$D$1,X111&lt;0,Y111&lt;$D$2,V111/U111&lt;3),"Serious",AND(W111&gt;=$D$1,X111&lt;0,Y111&gt;$D$2,V111/U111&lt;3),"Very serious", AND(W111&lt;=$D$1*-1,Y111&gt;0,X111&gt;$D$2*-1,V111/U111&gt;=3),"Very serious", AND(W111&lt;=$D$1*-1,Y111&gt;0,X111&lt;$D$2*-1,V111/U111&gt;=3),"Very serious", AND(W111&gt;=$D$1,X111&lt;0,Y111&lt;$D$2,V111/U111&gt;=3),"Very serious", AND(W111&gt;=$D$1,X111&lt;0,Y111&gt;$D$2,V111/U111&gt;=3),"Very serious", AND(W111&gt;$D$1*-1,W111&lt;$D$1,X111&gt;$D$1*-1,Y111&lt;$D$1,V111/U111&lt;3),"Not Serious", AND(W111&gt;$D$1*-1,W111&lt;$D$1,OR(X111&lt;=$D$1*-1,Y111&gt;=$D$1),X111&gt;$D$2*-1,Y111&lt;$D$2,V111/U111&lt;3),"Serious", AND(W111&gt;$D$1*-1,W111&lt;$D$1,OR(X111&lt;=$D$2*-1,Y111&gt;=$D$2),V111/U111&lt;3),"Very serious", AND(W111&gt;$D$1*-1,W111&lt;$D$1,X111&gt;$D$1*-1,Y111&lt;$D$1,V111/U111&gt;=3),"Very serious", AND(W111&gt;$D$1*-1,W111&lt;$D$1,OR(X111&lt;=$D$1*-1,Y111&gt;=$D$1),X111&gt;$D$2*-1,Y111&lt;$D$2,V111/U111&gt;=3),"Very serious", AND(W111&gt;$D$1*-1,W111&lt;$D$1,OR(X111&lt;=$D$2*-1,Y111&gt;=$D$2),V111/U111&gt;=3),"Very serious"),"")),"")</f>
        <v/>
      </c>
      <c r="AT111" s="109" t="str">
        <f t="shared" si="9"/>
        <v/>
      </c>
      <c r="AU111" s="64"/>
      <c r="AV111" s="147"/>
      <c r="AW111" s="147"/>
      <c r="AX111" s="147"/>
      <c r="AY111" s="118"/>
      <c r="AZ111" s="118"/>
      <c r="BA111" s="119"/>
      <c r="BB111" s="86" t="str">
        <f>IF(Preferences!B$9="Manual","",IFS(ISBLANK(B111),"",AND(ISNUMBER(E111)=TRUE,ISNUMBER(T111)=FALSE),"Direct", AND(ISNUMBER(E111)=FALSE,ISNUMBER(T111)=TRUE),"Indirect", CN111=4,"Direct",AND(CL111=FALSE, CM111=TRUE,CN111-CO111&gt;-1),"Direct", AND(CL111=FALSE,CM111=TRUE, CN111-CO111&lt;0),"Check algorithm in appendix 2", AND(CL111=TRUE, CM111=FALSE,CN111-CO111&gt;0),"Check algorithm in appendix 2", AND(CL111=TRUE, CM111=FALSE,CN111-CO111=0),"Indirect", AND(CL111=TRUE, CM111=FALSE,CN111-CO111&lt;0),"Indirect", AND(CL111=FALSE,CM111=FALSE,CN111-CO111&gt;-1),"Direct", AND(CL111=FALSE,CM111=FALSE,CN111-CO111&lt;0),"Check algorithm in appendix 2", AND(CL111=TRUE,CM111=TRUE,CN111-CO111&gt;-1),"Direct", AND(CL111=TRUE,CM111=TRUE,CN111-CO111&lt;0),"Check algorithm in appendix 2"))</f>
        <v/>
      </c>
      <c r="BC111" s="120" t="str">
        <f t="shared" si="10"/>
        <v/>
      </c>
      <c r="BD111" s="140"/>
      <c r="BE111" s="122" t="str">
        <f>IF(Preferences!B$3="Manual","", IFERROR(IFS(AND(Preferences!B$3="Automatic",AX111/AW111&gt;=30),"Extremely serious",AND(AY111&lt;=$D$1*-1,BA111&lt;0,AX111/AW111&lt;3),"Not Serious",AND(AY111&lt;=$D$1*-1,BA111&lt;0,AX111/AW111&gt;=3),"Very serious",AND(AY111&gt;=$D$1,AZ111&gt;0,AX111/AW111&lt;3),"Not Serious",AND(AY111&gt;=$D$1,AZ111&gt;0,AX111/AW111&gt;=3),"Very serious",AND(AY111&lt;=$D$1*-1,BA111&gt;0,AZ111&gt;$D$2*-1,AX111/AW111&lt;3),"Serious", AND(AY111&lt;=$D$1*-1,BA111&gt;0,AZ111&lt;$D$2*-1,AX111/AW111&lt;3),"Very serious", AND(AY111&gt;=$D$1,AZ111&lt;0,BA111&lt;$D$2,AX111/AW111&lt;3),"Serious",AND(AY111&gt;=$D$1,AZ111&lt;0,BA111&gt;$D$2,AX111/AW111&lt;3),"Very serious", AND(AY111&lt;=$D$1*-1,BA111&gt;0,AZ111&gt;$D$2*-1,AX111/AW111&gt;=3),"Very serious", AND(AY111&lt;=$D$1*-1,BA111&gt;0,AZ111&lt;$D$2*-1,AX111/AW111&gt;=3),"Very serious", AND(AY111&gt;=$D$1,AZ111&lt;0,BA111&lt;$D$2,AX111/AW111&gt;=3),"Very serious", AND(AY111&gt;=$D$1,AZ111&lt;0,BA111&gt;$D$2,AX111/AW111&gt;=3),"Very serious", AND(AY111&gt;$D$1*-1,AY111&lt;$D$1,AZ111&gt;$D$1*-1,BA111&lt;$D$1,AX111/AW111&lt;3),"Not Serious", AND(AY111&gt;$D$1*-1,AY111&lt;$D$1,OR(AZ111&lt;=$D$1*-1,BA111&gt;=$D$1),AZ111&gt;$D$2*-1,BA111&lt;$D$2,AX111/AW111&lt;3),"Serious", AND(AY111&gt;$D$1*-1,AY111&lt;$D$1,OR(AZ111&lt;=$D$2*-1,BA111&gt;=$D$2),AX111/AW111&lt;3),"Very serious", AND(AY111&gt;$D$1*-1,AY111&lt;$D$1,AZ111&gt;$D$1*-1,BA111&lt;$D$1,AX111/AW111&gt;=3),"Very serious", AND(AY111&gt;$D$1*-1,AY111&lt;$D$1,OR(AZ111&lt;=$D$1*-1,BA111&gt;=$D$1),AZ111&gt;$D$2*-1,BA111&lt;$D$2,AX111/AW111&gt;=3),"Very serious", AND(AY111&gt;$D$1*-1,AY111&lt;$D$1,OR(AZ111&lt;=$D$2*-1,BA111&gt;=$D$2),AX111/AW111&gt;=3),"Very serious"),""))</f>
        <v/>
      </c>
      <c r="BF111" s="107" t="str">
        <f t="shared" si="11"/>
        <v/>
      </c>
      <c r="BG111" s="94" t="str">
        <f t="shared" si="46"/>
        <v/>
      </c>
      <c r="BH111" s="64" t="str">
        <f t="shared" si="12"/>
        <v>#N/A</v>
      </c>
      <c r="BI111" s="64" t="str">
        <f t="shared" si="13"/>
        <v/>
      </c>
      <c r="BJ111" s="123" t="str">
        <f t="shared" si="14"/>
        <v>#N/A</v>
      </c>
      <c r="BK111" s="64" t="str">
        <f t="shared" si="50"/>
        <v>YES</v>
      </c>
      <c r="BL111" s="64" t="str">
        <f t="shared" si="16"/>
        <v>YES</v>
      </c>
      <c r="BM111" s="64" t="str">
        <f t="shared" si="17"/>
        <v>YES</v>
      </c>
      <c r="BN111" s="124" t="str">
        <f t="shared" si="18"/>
        <v/>
      </c>
      <c r="BO111" s="91" t="str">
        <f t="shared" si="19"/>
        <v/>
      </c>
      <c r="BP111" s="91" t="str">
        <f t="shared" si="20"/>
        <v>#N/A</v>
      </c>
      <c r="BQ111" s="91" t="str">
        <f t="shared" si="21"/>
        <v/>
      </c>
      <c r="BR111" s="93" t="str">
        <f t="shared" si="22"/>
        <v/>
      </c>
      <c r="BS111" s="90" t="str">
        <f t="shared" si="23"/>
        <v/>
      </c>
      <c r="BT111" s="93" t="str">
        <f t="shared" si="24"/>
        <v>NA</v>
      </c>
      <c r="BU111" s="125" t="str">
        <f t="shared" si="25"/>
        <v>#N/A</v>
      </c>
      <c r="BV111" s="93" t="str">
        <f t="shared" si="26"/>
        <v/>
      </c>
      <c r="BW111" s="93" t="str">
        <f t="shared" si="27"/>
        <v/>
      </c>
      <c r="BX111" s="93" t="str">
        <f t="shared" si="28"/>
        <v>NA</v>
      </c>
      <c r="BY111" s="95" t="str">
        <f t="shared" si="29"/>
        <v>#N/A</v>
      </c>
      <c r="BZ111" s="93" t="str">
        <f t="shared" si="30"/>
        <v/>
      </c>
      <c r="CA111" s="93" t="str">
        <f t="shared" si="31"/>
        <v/>
      </c>
      <c r="CB111" s="93" t="str">
        <f t="shared" si="32"/>
        <v>NA</v>
      </c>
      <c r="CC111" s="96" t="str">
        <f t="shared" si="33"/>
        <v>#N/A</v>
      </c>
      <c r="CD111" s="93" t="str">
        <f t="shared" si="34"/>
        <v/>
      </c>
      <c r="CE111" s="93" t="str">
        <f t="shared" si="35"/>
        <v/>
      </c>
      <c r="CF111" s="93" t="str">
        <f t="shared" si="36"/>
        <v>NA</v>
      </c>
      <c r="CG111" s="97" t="str">
        <f t="shared" si="37"/>
        <v>#N/A</v>
      </c>
      <c r="CH111" s="98" t="str">
        <f t="shared" si="38"/>
        <v>#N/A</v>
      </c>
      <c r="CI111" s="99" t="str">
        <f t="shared" si="39"/>
        <v>#N/A</v>
      </c>
      <c r="CJ111" s="126" t="str">
        <f t="shared" si="40"/>
        <v>ERROR: check cell</v>
      </c>
      <c r="CK111" s="126"/>
      <c r="CL111" s="127" t="str">
        <f t="shared" si="41"/>
        <v>#DIV/0!</v>
      </c>
      <c r="CM111" s="128" t="str">
        <f t="shared" si="42"/>
        <v>#DIV/0!</v>
      </c>
      <c r="CN111" s="128">
        <f t="shared" si="43"/>
        <v>4</v>
      </c>
      <c r="CO111" s="129">
        <f t="shared" si="44"/>
        <v>4</v>
      </c>
      <c r="CP111" s="129" t="str">
        <f>IFS(C111=Preferences!B$13,B111,B111=Preferences!B$13,C111)</f>
        <v>#N/A</v>
      </c>
    </row>
    <row r="112" ht="13.5" customHeight="1">
      <c r="A112" s="63" t="str">
        <f t="shared" si="45"/>
        <v/>
      </c>
      <c r="B112" s="64"/>
      <c r="C112" s="64"/>
      <c r="D112" s="64"/>
      <c r="E112" s="65"/>
      <c r="F112" s="65"/>
      <c r="G112" s="65"/>
      <c r="H112" s="66"/>
      <c r="I112" s="66"/>
      <c r="J112" s="67"/>
      <c r="K112" s="68"/>
      <c r="L112" s="104"/>
      <c r="M112" s="104"/>
      <c r="N112" s="104"/>
      <c r="O112" s="104"/>
      <c r="P112" s="107" t="str">
        <f t="shared" si="1"/>
        <v/>
      </c>
      <c r="Q112" s="108" t="str">
        <f>IFERROR(IF(AND(Preferences!B$3="Manual",OR(AX112/AW112&gt;G112/F112,BD112="Serious",BD112="Very serious")),"Assess imprecision",IFS(ISBLANK(E112),"",AND(Preferences!B$3="Automatic", G112/F112&gt;=30),"Extremely serious",AND(H112&lt;=$D$1*-1,J112&lt;0,G112/F112&lt;3),"Not serious",AND(H112&lt;=$D$1*-1,J112&lt;0,G112/F112&gt;=3),"Very serious",AND(H112&gt;=$D$1,I112&gt;0,G112/F112&lt;3),"Not serious",AND(H112&gt;=$D$1,I112&gt;0,G112/F112&gt;=3),"Very serious",AND(H112&lt;=$D$1*-1,J112&gt;0,I112&gt;$D$2*-1,G112/F112&lt;3),"Serious", AND(H112&lt;=$D$1*-1,J112&gt;0,I112&lt;$D$2*-1,G112/F112&lt;3),"Very serious", AND(H112&gt;=$D$1,I112&lt;0,J112&lt;$D$2,G112/F112&lt;3),"Serious",AND(H112&gt;=$D$1,I112&lt;0,J112&gt;$D$2,G112/F112&lt;3),"Very serious", AND(H112&lt;=$D$1*-1,J112&gt;0,I112&gt;$D$2*-1,G112/F112&gt;=3),"Very serious", AND(H112&lt;=$D$1*-1,J112&gt;0,I112&lt;$D$2*-1,G112/F112&gt;=3),"Very serious", AND(H112&gt;=$D$1,I112&lt;0,J112&lt;$D$2,G112/F112&gt;=3),"Very serious", AND(H112&gt;=$D$1,I112&lt;0,J112&gt;$D$2,G112/F112&gt;=3),"Very serious", AND(H112&gt;$D$1*-1,H112&lt;$D$1,I112&gt;$D$1*-1,J112&lt;$D$1,G112/F112&lt;3),"Not serious", AND(H112&gt;$D$1*-1,H112&lt;$D$1,OR(I112&lt;=$D$1*-1,J112&gt;=$D$1),I112&gt;$D$2*-1,J112&lt;$D$2,G112/F112&lt;3),"Serious", AND(H112&gt;$D$1*-1,H112&lt;$D$1,OR(I112&lt;=$D$2*-1,J112&gt;=$D$2),G112/F112&lt;3),"Very serious", AND(H112&gt;$D$1*-1,H112&lt;$D$1,I112&gt;$D$1*-1,J112&lt;$D$1,G112/F112&gt;=3),"Very serious", AND(H112&gt;$D$1*-1,H112&lt;$D$1,OR(I112&lt;=$D$1*-1,J112&gt;=$D$1),I112&gt;$D$2*-1,J112&lt;$D$2,G112/F112&gt;=3),"Very serious", AND(H112&gt;$D$1*-1,H112&lt;$D$1,OR(I112&lt;=$D$2*-1,J112&gt;=$D$2),G112/F112&gt;=3),"Very serious")),"")</f>
        <v/>
      </c>
      <c r="R112" s="109" t="str">
        <f t="shared" si="47"/>
        <v/>
      </c>
      <c r="S112" s="64"/>
      <c r="T112" s="146"/>
      <c r="U112" s="146"/>
      <c r="V112" s="146"/>
      <c r="W112" s="73"/>
      <c r="X112" s="73"/>
      <c r="Y112" s="74"/>
      <c r="Z112" s="113" t="str">
        <f t="array" ref="Z112">INDEX($A$1:$C$500, MATCH(1,($B:$B=$B112)*($C:$C=$AB112),0),1)</f>
        <v/>
      </c>
      <c r="AA112" s="113" t="str">
        <f t="array" ref="AA112">INDEX($A$1:$C$500, MATCH(1,($B:$B=$AB112)*($C:$C=$B112),0),1)</f>
        <v/>
      </c>
      <c r="AB112" s="111"/>
      <c r="AC112" s="114" t="str">
        <f t="shared" si="2"/>
        <v/>
      </c>
      <c r="AD112" s="115" t="str">
        <f t="shared" si="3"/>
        <v/>
      </c>
      <c r="AE112" s="116" t="str">
        <f t="array" ref="AE112">INDEX($A$1:$C$500, MATCH(1,($B:$B=$AB112)*($C:$C=$AG112),0),1)</f>
        <v/>
      </c>
      <c r="AF112" s="116" t="str">
        <f t="array" ref="AF112">INDEX($A$1:$C$500, MATCH(1,($B:$B=$AG112)*($C:$C=$AB112),0),1)</f>
        <v/>
      </c>
      <c r="AG112" s="72"/>
      <c r="AH112" s="114" t="str">
        <f t="shared" si="4"/>
        <v/>
      </c>
      <c r="AI112" s="115" t="str">
        <f t="shared" si="5"/>
        <v/>
      </c>
      <c r="AJ112" s="116" t="str">
        <f t="array" ref="AJ112">INDEX($A$1:$C$500, MATCH(1,($B:$B=$C112)*($C:$C=$AG112),0),1)</f>
        <v/>
      </c>
      <c r="AK112" s="116" t="str">
        <f t="array" ref="AK112">INDEX($A$1:$C$500, MATCH(1,($B:$B=$AG112)*($C:$C=$C112),0),1)</f>
        <v/>
      </c>
      <c r="AL112" s="116" t="str">
        <f t="array" ref="AL112">INDEX($A$1:$C$500, MATCH(1,($B:$B=$C112)*($C:$C=$AB112),0),1)</f>
        <v/>
      </c>
      <c r="AM112" s="116" t="str">
        <f t="array" ref="AM112">INDEX($A$1:$C$500, MATCH(1,($B:$B=$AB112)*($C:$C=$C112),0),1)</f>
        <v/>
      </c>
      <c r="AN112" s="114" t="str">
        <f t="array" ref="AN112">IFS(ISNUMBER(AJ112),AJ112,ISNUMBER(AK112),AK112,ISNUMBER(AL112),AL112,ISNUMBER(AM112),AM112)</f>
        <v>#N/A</v>
      </c>
      <c r="AO112" s="115" t="str">
        <f t="shared" si="6"/>
        <v/>
      </c>
      <c r="AP112" s="115" t="str">
        <f t="shared" si="7"/>
        <v/>
      </c>
      <c r="AQ112" s="111"/>
      <c r="AR112" s="109" t="str">
        <f t="shared" si="8"/>
        <v/>
      </c>
      <c r="AS112" s="72" t="str">
        <f>IFERROR(IF(AND(Preferences!B$3="Manual",OR(AX112/AW112&gt;V112/U112,BD112="Serious",BD112="Very serious")),"Assess imprecision",IFERROR(IFS(AND(Preferences!B$3="Automatic",V112/U112&gt;=30),"Extremely serious",AND(W112&lt;=$D$1*-1,Y112&lt;0,V112/U112&lt;3),"Not Serious",AND(W112&lt;=$D$1*-1,Y112&lt;0,V112/U112&gt;=3),"Very serious",AND(W112&gt;=$D$1,X112&gt;0,V112/U112&lt;3),"Not Serious",AND(W112&gt;=$D$1,X112&gt;0,V112/U112&gt;=3),"Very serious",AND(W112&lt;=$D$1*-1,Y112&gt;0,X112&gt;$D$2*-1,V112/U112&lt;3),"Serious", AND(W112&lt;=$D$1*-1,Y112&gt;0,X112&lt;$D$2*-1,V112/U112&lt;3),"Very serious", AND(W112&gt;=$D$1,X112&lt;0,Y112&lt;$D$2,V112/U112&lt;3),"Serious",AND(W112&gt;=$D$1,X112&lt;0,Y112&gt;$D$2,V112/U112&lt;3),"Very serious", AND(W112&lt;=$D$1*-1,Y112&gt;0,X112&gt;$D$2*-1,V112/U112&gt;=3),"Very serious", AND(W112&lt;=$D$1*-1,Y112&gt;0,X112&lt;$D$2*-1,V112/U112&gt;=3),"Very serious", AND(W112&gt;=$D$1,X112&lt;0,Y112&lt;$D$2,V112/U112&gt;=3),"Very serious", AND(W112&gt;=$D$1,X112&lt;0,Y112&gt;$D$2,V112/U112&gt;=3),"Very serious", AND(W112&gt;$D$1*-1,W112&lt;$D$1,X112&gt;$D$1*-1,Y112&lt;$D$1,V112/U112&lt;3),"Not Serious", AND(W112&gt;$D$1*-1,W112&lt;$D$1,OR(X112&lt;=$D$1*-1,Y112&gt;=$D$1),X112&gt;$D$2*-1,Y112&lt;$D$2,V112/U112&lt;3),"Serious", AND(W112&gt;$D$1*-1,W112&lt;$D$1,OR(X112&lt;=$D$2*-1,Y112&gt;=$D$2),V112/U112&lt;3),"Very serious", AND(W112&gt;$D$1*-1,W112&lt;$D$1,X112&gt;$D$1*-1,Y112&lt;$D$1,V112/U112&gt;=3),"Very serious", AND(W112&gt;$D$1*-1,W112&lt;$D$1,OR(X112&lt;=$D$1*-1,Y112&gt;=$D$1),X112&gt;$D$2*-1,Y112&lt;$D$2,V112/U112&gt;=3),"Very serious", AND(W112&gt;$D$1*-1,W112&lt;$D$1,OR(X112&lt;=$D$2*-1,Y112&gt;=$D$2),V112/U112&gt;=3),"Very serious"),"")),"")</f>
        <v/>
      </c>
      <c r="AT112" s="109" t="str">
        <f t="shared" si="9"/>
        <v/>
      </c>
      <c r="AU112" s="64"/>
      <c r="AV112" s="147"/>
      <c r="AW112" s="147"/>
      <c r="AX112" s="147"/>
      <c r="AY112" s="118"/>
      <c r="AZ112" s="118"/>
      <c r="BA112" s="119"/>
      <c r="BB112" s="86" t="str">
        <f>IF(Preferences!B$9="Manual","",IFS(ISBLANK(B112),"",AND(ISNUMBER(E112)=TRUE,ISNUMBER(T112)=FALSE),"Direct", AND(ISNUMBER(E112)=FALSE,ISNUMBER(T112)=TRUE),"Indirect", CN112=4,"Direct",AND(CL112=FALSE, CM112=TRUE,CN112-CO112&gt;-1),"Direct", AND(CL112=FALSE,CM112=TRUE, CN112-CO112&lt;0),"Check algorithm in appendix 2", AND(CL112=TRUE, CM112=FALSE,CN112-CO112&gt;0),"Check algorithm in appendix 2", AND(CL112=TRUE, CM112=FALSE,CN112-CO112=0),"Indirect", AND(CL112=TRUE, CM112=FALSE,CN112-CO112&lt;0),"Indirect", AND(CL112=FALSE,CM112=FALSE,CN112-CO112&gt;-1),"Direct", AND(CL112=FALSE,CM112=FALSE,CN112-CO112&lt;0),"Check algorithm in appendix 2", AND(CL112=TRUE,CM112=TRUE,CN112-CO112&gt;-1),"Direct", AND(CL112=TRUE,CM112=TRUE,CN112-CO112&lt;0),"Check algorithm in appendix 2"))</f>
        <v/>
      </c>
      <c r="BC112" s="120" t="str">
        <f t="shared" si="10"/>
        <v/>
      </c>
      <c r="BD112" s="140"/>
      <c r="BE112" s="122" t="str">
        <f>IF(Preferences!B$3="Manual","", IFERROR(IFS(AND(Preferences!B$3="Automatic",AX112/AW112&gt;=30),"Extremely serious",AND(AY112&lt;=$D$1*-1,BA112&lt;0,AX112/AW112&lt;3),"Not Serious",AND(AY112&lt;=$D$1*-1,BA112&lt;0,AX112/AW112&gt;=3),"Very serious",AND(AY112&gt;=$D$1,AZ112&gt;0,AX112/AW112&lt;3),"Not Serious",AND(AY112&gt;=$D$1,AZ112&gt;0,AX112/AW112&gt;=3),"Very serious",AND(AY112&lt;=$D$1*-1,BA112&gt;0,AZ112&gt;$D$2*-1,AX112/AW112&lt;3),"Serious", AND(AY112&lt;=$D$1*-1,BA112&gt;0,AZ112&lt;$D$2*-1,AX112/AW112&lt;3),"Very serious", AND(AY112&gt;=$D$1,AZ112&lt;0,BA112&lt;$D$2,AX112/AW112&lt;3),"Serious",AND(AY112&gt;=$D$1,AZ112&lt;0,BA112&gt;$D$2,AX112/AW112&lt;3),"Very serious", AND(AY112&lt;=$D$1*-1,BA112&gt;0,AZ112&gt;$D$2*-1,AX112/AW112&gt;=3),"Very serious", AND(AY112&lt;=$D$1*-1,BA112&gt;0,AZ112&lt;$D$2*-1,AX112/AW112&gt;=3),"Very serious", AND(AY112&gt;=$D$1,AZ112&lt;0,BA112&lt;$D$2,AX112/AW112&gt;=3),"Very serious", AND(AY112&gt;=$D$1,AZ112&lt;0,BA112&gt;$D$2,AX112/AW112&gt;=3),"Very serious", AND(AY112&gt;$D$1*-1,AY112&lt;$D$1,AZ112&gt;$D$1*-1,BA112&lt;$D$1,AX112/AW112&lt;3),"Not Serious", AND(AY112&gt;$D$1*-1,AY112&lt;$D$1,OR(AZ112&lt;=$D$1*-1,BA112&gt;=$D$1),AZ112&gt;$D$2*-1,BA112&lt;$D$2,AX112/AW112&lt;3),"Serious", AND(AY112&gt;$D$1*-1,AY112&lt;$D$1,OR(AZ112&lt;=$D$2*-1,BA112&gt;=$D$2),AX112/AW112&lt;3),"Very serious", AND(AY112&gt;$D$1*-1,AY112&lt;$D$1,AZ112&gt;$D$1*-1,BA112&lt;$D$1,AX112/AW112&gt;=3),"Very serious", AND(AY112&gt;$D$1*-1,AY112&lt;$D$1,OR(AZ112&lt;=$D$1*-1,BA112&gt;=$D$1),AZ112&gt;$D$2*-1,BA112&lt;$D$2,AX112/AW112&gt;=3),"Very serious", AND(AY112&gt;$D$1*-1,AY112&lt;$D$1,OR(AZ112&lt;=$D$2*-1,BA112&gt;=$D$2),AX112/AW112&gt;=3),"Very serious"),""))</f>
        <v/>
      </c>
      <c r="BF112" s="107" t="str">
        <f t="shared" si="11"/>
        <v/>
      </c>
      <c r="BG112" s="94" t="str">
        <f t="shared" si="46"/>
        <v/>
      </c>
      <c r="BH112" s="64" t="str">
        <f t="shared" si="12"/>
        <v>#N/A</v>
      </c>
      <c r="BI112" s="64" t="str">
        <f t="shared" si="13"/>
        <v/>
      </c>
      <c r="BJ112" s="123" t="str">
        <f t="shared" si="14"/>
        <v>#N/A</v>
      </c>
      <c r="BK112" s="64" t="str">
        <f t="shared" si="50"/>
        <v>YES</v>
      </c>
      <c r="BL112" s="64" t="str">
        <f t="shared" si="16"/>
        <v>YES</v>
      </c>
      <c r="BM112" s="64" t="str">
        <f t="shared" si="17"/>
        <v>YES</v>
      </c>
      <c r="BN112" s="124" t="str">
        <f t="shared" si="18"/>
        <v/>
      </c>
      <c r="BO112" s="91" t="str">
        <f t="shared" si="19"/>
        <v/>
      </c>
      <c r="BP112" s="91" t="str">
        <f t="shared" si="20"/>
        <v>#N/A</v>
      </c>
      <c r="BQ112" s="91" t="str">
        <f t="shared" si="21"/>
        <v/>
      </c>
      <c r="BR112" s="93" t="str">
        <f t="shared" si="22"/>
        <v/>
      </c>
      <c r="BS112" s="90" t="str">
        <f t="shared" si="23"/>
        <v/>
      </c>
      <c r="BT112" s="93" t="str">
        <f t="shared" si="24"/>
        <v>NA</v>
      </c>
      <c r="BU112" s="125" t="str">
        <f t="shared" si="25"/>
        <v>#N/A</v>
      </c>
      <c r="BV112" s="93" t="str">
        <f t="shared" si="26"/>
        <v/>
      </c>
      <c r="BW112" s="93" t="str">
        <f t="shared" si="27"/>
        <v/>
      </c>
      <c r="BX112" s="93" t="str">
        <f t="shared" si="28"/>
        <v>NA</v>
      </c>
      <c r="BY112" s="95" t="str">
        <f t="shared" si="29"/>
        <v>#N/A</v>
      </c>
      <c r="BZ112" s="93" t="str">
        <f t="shared" si="30"/>
        <v/>
      </c>
      <c r="CA112" s="93" t="str">
        <f t="shared" si="31"/>
        <v/>
      </c>
      <c r="CB112" s="93" t="str">
        <f t="shared" si="32"/>
        <v>NA</v>
      </c>
      <c r="CC112" s="96" t="str">
        <f t="shared" si="33"/>
        <v>#N/A</v>
      </c>
      <c r="CD112" s="93" t="str">
        <f t="shared" si="34"/>
        <v/>
      </c>
      <c r="CE112" s="93" t="str">
        <f t="shared" si="35"/>
        <v/>
      </c>
      <c r="CF112" s="93" t="str">
        <f t="shared" si="36"/>
        <v>NA</v>
      </c>
      <c r="CG112" s="97" t="str">
        <f t="shared" si="37"/>
        <v>#N/A</v>
      </c>
      <c r="CH112" s="98" t="str">
        <f t="shared" si="38"/>
        <v>#N/A</v>
      </c>
      <c r="CI112" s="99" t="str">
        <f t="shared" si="39"/>
        <v>#N/A</v>
      </c>
      <c r="CJ112" s="126" t="str">
        <f t="shared" si="40"/>
        <v>ERROR: check cell</v>
      </c>
      <c r="CK112" s="126"/>
      <c r="CL112" s="127" t="str">
        <f t="shared" si="41"/>
        <v>#DIV/0!</v>
      </c>
      <c r="CM112" s="128" t="str">
        <f t="shared" si="42"/>
        <v>#DIV/0!</v>
      </c>
      <c r="CN112" s="128">
        <f t="shared" si="43"/>
        <v>4</v>
      </c>
      <c r="CO112" s="129">
        <f t="shared" si="44"/>
        <v>4</v>
      </c>
      <c r="CP112" s="129" t="str">
        <f>IFS(C112=Preferences!B$13,B112,B112=Preferences!B$13,C112)</f>
        <v>#N/A</v>
      </c>
    </row>
    <row r="113" ht="13.5" customHeight="1">
      <c r="A113" s="63" t="str">
        <f t="shared" si="45"/>
        <v/>
      </c>
      <c r="B113" s="64"/>
      <c r="C113" s="64"/>
      <c r="D113" s="64"/>
      <c r="E113" s="65"/>
      <c r="F113" s="65"/>
      <c r="G113" s="65"/>
      <c r="H113" s="66"/>
      <c r="I113" s="66"/>
      <c r="J113" s="67"/>
      <c r="K113" s="68"/>
      <c r="L113" s="104"/>
      <c r="M113" s="104"/>
      <c r="N113" s="104"/>
      <c r="O113" s="104"/>
      <c r="P113" s="107" t="str">
        <f t="shared" si="1"/>
        <v/>
      </c>
      <c r="Q113" s="108" t="str">
        <f>IFERROR(IF(AND(Preferences!B$3="Manual",OR(AX113/AW113&gt;G113/F113,BD113="Serious",BD113="Very serious")),"Assess imprecision",IFS(ISBLANK(E113),"",AND(Preferences!B$3="Automatic", G113/F113&gt;=30),"Extremely serious",AND(H113&lt;=$D$1*-1,J113&lt;0,G113/F113&lt;3),"Not serious",AND(H113&lt;=$D$1*-1,J113&lt;0,G113/F113&gt;=3),"Very serious",AND(H113&gt;=$D$1,I113&gt;0,G113/F113&lt;3),"Not serious",AND(H113&gt;=$D$1,I113&gt;0,G113/F113&gt;=3),"Very serious",AND(H113&lt;=$D$1*-1,J113&gt;0,I113&gt;$D$2*-1,G113/F113&lt;3),"Serious", AND(H113&lt;=$D$1*-1,J113&gt;0,I113&lt;$D$2*-1,G113/F113&lt;3),"Very serious", AND(H113&gt;=$D$1,I113&lt;0,J113&lt;$D$2,G113/F113&lt;3),"Serious",AND(H113&gt;=$D$1,I113&lt;0,J113&gt;$D$2,G113/F113&lt;3),"Very serious", AND(H113&lt;=$D$1*-1,J113&gt;0,I113&gt;$D$2*-1,G113/F113&gt;=3),"Very serious", AND(H113&lt;=$D$1*-1,J113&gt;0,I113&lt;$D$2*-1,G113/F113&gt;=3),"Very serious", AND(H113&gt;=$D$1,I113&lt;0,J113&lt;$D$2,G113/F113&gt;=3),"Very serious", AND(H113&gt;=$D$1,I113&lt;0,J113&gt;$D$2,G113/F113&gt;=3),"Very serious", AND(H113&gt;$D$1*-1,H113&lt;$D$1,I113&gt;$D$1*-1,J113&lt;$D$1,G113/F113&lt;3),"Not serious", AND(H113&gt;$D$1*-1,H113&lt;$D$1,OR(I113&lt;=$D$1*-1,J113&gt;=$D$1),I113&gt;$D$2*-1,J113&lt;$D$2,G113/F113&lt;3),"Serious", AND(H113&gt;$D$1*-1,H113&lt;$D$1,OR(I113&lt;=$D$2*-1,J113&gt;=$D$2),G113/F113&lt;3),"Very serious", AND(H113&gt;$D$1*-1,H113&lt;$D$1,I113&gt;$D$1*-1,J113&lt;$D$1,G113/F113&gt;=3),"Very serious", AND(H113&gt;$D$1*-1,H113&lt;$D$1,OR(I113&lt;=$D$1*-1,J113&gt;=$D$1),I113&gt;$D$2*-1,J113&lt;$D$2,G113/F113&gt;=3),"Very serious", AND(H113&gt;$D$1*-1,H113&lt;$D$1,OR(I113&lt;=$D$2*-1,J113&gt;=$D$2),G113/F113&gt;=3),"Very serious")),"")</f>
        <v/>
      </c>
      <c r="R113" s="109" t="str">
        <f t="shared" si="47"/>
        <v/>
      </c>
      <c r="S113" s="64"/>
      <c r="T113" s="146"/>
      <c r="U113" s="146"/>
      <c r="V113" s="146"/>
      <c r="W113" s="73"/>
      <c r="X113" s="73"/>
      <c r="Y113" s="74"/>
      <c r="Z113" s="113" t="str">
        <f t="array" ref="Z113">INDEX($A$1:$C$500, MATCH(1,($B:$B=$B113)*($C:$C=$AB113),0),1)</f>
        <v/>
      </c>
      <c r="AA113" s="113" t="str">
        <f t="array" ref="AA113">INDEX($A$1:$C$500, MATCH(1,($B:$B=$AB113)*($C:$C=$B113),0),1)</f>
        <v/>
      </c>
      <c r="AB113" s="111"/>
      <c r="AC113" s="114" t="str">
        <f t="shared" si="2"/>
        <v/>
      </c>
      <c r="AD113" s="115" t="str">
        <f t="shared" si="3"/>
        <v/>
      </c>
      <c r="AE113" s="116" t="str">
        <f t="array" ref="AE113">INDEX($A$1:$C$500, MATCH(1,($B:$B=$AB113)*($C:$C=$AG113),0),1)</f>
        <v/>
      </c>
      <c r="AF113" s="116" t="str">
        <f t="array" ref="AF113">INDEX($A$1:$C$500, MATCH(1,($B:$B=$AG113)*($C:$C=$AB113),0),1)</f>
        <v/>
      </c>
      <c r="AG113" s="72"/>
      <c r="AH113" s="114" t="str">
        <f t="shared" si="4"/>
        <v/>
      </c>
      <c r="AI113" s="115" t="str">
        <f t="shared" si="5"/>
        <v/>
      </c>
      <c r="AJ113" s="116" t="str">
        <f t="array" ref="AJ113">INDEX($A$1:$C$500, MATCH(1,($B:$B=$C113)*($C:$C=$AG113),0),1)</f>
        <v/>
      </c>
      <c r="AK113" s="116" t="str">
        <f t="array" ref="AK113">INDEX($A$1:$C$500, MATCH(1,($B:$B=$AG113)*($C:$C=$C113),0),1)</f>
        <v/>
      </c>
      <c r="AL113" s="116" t="str">
        <f t="array" ref="AL113">INDEX($A$1:$C$500, MATCH(1,($B:$B=$C113)*($C:$C=$AB113),0),1)</f>
        <v/>
      </c>
      <c r="AM113" s="116" t="str">
        <f t="array" ref="AM113">INDEX($A$1:$C$500, MATCH(1,($B:$B=$AB113)*($C:$C=$C113),0),1)</f>
        <v/>
      </c>
      <c r="AN113" s="114" t="str">
        <f t="array" ref="AN113">IFS(ISNUMBER(AJ113),AJ113,ISNUMBER(AK113),AK113,ISNUMBER(AL113),AL113,ISNUMBER(AM113),AM113)</f>
        <v>#N/A</v>
      </c>
      <c r="AO113" s="115" t="str">
        <f t="shared" si="6"/>
        <v/>
      </c>
      <c r="AP113" s="115" t="str">
        <f t="shared" si="7"/>
        <v/>
      </c>
      <c r="AQ113" s="111"/>
      <c r="AR113" s="109" t="str">
        <f t="shared" si="8"/>
        <v/>
      </c>
      <c r="AS113" s="72" t="str">
        <f>IFERROR(IF(AND(Preferences!B$3="Manual",OR(AX113/AW113&gt;V113/U113,BD113="Serious",BD113="Very serious")),"Assess imprecision",IFERROR(IFS(AND(Preferences!B$3="Automatic",V113/U113&gt;=30),"Extremely serious",AND(W113&lt;=$D$1*-1,Y113&lt;0,V113/U113&lt;3),"Not Serious",AND(W113&lt;=$D$1*-1,Y113&lt;0,V113/U113&gt;=3),"Very serious",AND(W113&gt;=$D$1,X113&gt;0,V113/U113&lt;3),"Not Serious",AND(W113&gt;=$D$1,X113&gt;0,V113/U113&gt;=3),"Very serious",AND(W113&lt;=$D$1*-1,Y113&gt;0,X113&gt;$D$2*-1,V113/U113&lt;3),"Serious", AND(W113&lt;=$D$1*-1,Y113&gt;0,X113&lt;$D$2*-1,V113/U113&lt;3),"Very serious", AND(W113&gt;=$D$1,X113&lt;0,Y113&lt;$D$2,V113/U113&lt;3),"Serious",AND(W113&gt;=$D$1,X113&lt;0,Y113&gt;$D$2,V113/U113&lt;3),"Very serious", AND(W113&lt;=$D$1*-1,Y113&gt;0,X113&gt;$D$2*-1,V113/U113&gt;=3),"Very serious", AND(W113&lt;=$D$1*-1,Y113&gt;0,X113&lt;$D$2*-1,V113/U113&gt;=3),"Very serious", AND(W113&gt;=$D$1,X113&lt;0,Y113&lt;$D$2,V113/U113&gt;=3),"Very serious", AND(W113&gt;=$D$1,X113&lt;0,Y113&gt;$D$2,V113/U113&gt;=3),"Very serious", AND(W113&gt;$D$1*-1,W113&lt;$D$1,X113&gt;$D$1*-1,Y113&lt;$D$1,V113/U113&lt;3),"Not Serious", AND(W113&gt;$D$1*-1,W113&lt;$D$1,OR(X113&lt;=$D$1*-1,Y113&gt;=$D$1),X113&gt;$D$2*-1,Y113&lt;$D$2,V113/U113&lt;3),"Serious", AND(W113&gt;$D$1*-1,W113&lt;$D$1,OR(X113&lt;=$D$2*-1,Y113&gt;=$D$2),V113/U113&lt;3),"Very serious", AND(W113&gt;$D$1*-1,W113&lt;$D$1,X113&gt;$D$1*-1,Y113&lt;$D$1,V113/U113&gt;=3),"Very serious", AND(W113&gt;$D$1*-1,W113&lt;$D$1,OR(X113&lt;=$D$1*-1,Y113&gt;=$D$1),X113&gt;$D$2*-1,Y113&lt;$D$2,V113/U113&gt;=3),"Very serious", AND(W113&gt;$D$1*-1,W113&lt;$D$1,OR(X113&lt;=$D$2*-1,Y113&gt;=$D$2),V113/U113&gt;=3),"Very serious"),"")),"")</f>
        <v/>
      </c>
      <c r="AT113" s="109" t="str">
        <f t="shared" si="9"/>
        <v/>
      </c>
      <c r="AU113" s="64"/>
      <c r="AV113" s="147"/>
      <c r="AW113" s="147"/>
      <c r="AX113" s="147"/>
      <c r="AY113" s="118"/>
      <c r="AZ113" s="118"/>
      <c r="BA113" s="119"/>
      <c r="BB113" s="86" t="str">
        <f>IF(Preferences!B$9="Manual","",IFS(ISBLANK(B113),"",AND(ISNUMBER(E113)=TRUE,ISNUMBER(T113)=FALSE),"Direct", AND(ISNUMBER(E113)=FALSE,ISNUMBER(T113)=TRUE),"Indirect", CN113=4,"Direct",AND(CL113=FALSE, CM113=TRUE,CN113-CO113&gt;-1),"Direct", AND(CL113=FALSE,CM113=TRUE, CN113-CO113&lt;0),"Check algorithm in appendix 2", AND(CL113=TRUE, CM113=FALSE,CN113-CO113&gt;0),"Check algorithm in appendix 2", AND(CL113=TRUE, CM113=FALSE,CN113-CO113=0),"Indirect", AND(CL113=TRUE, CM113=FALSE,CN113-CO113&lt;0),"Indirect", AND(CL113=FALSE,CM113=FALSE,CN113-CO113&gt;-1),"Direct", AND(CL113=FALSE,CM113=FALSE,CN113-CO113&lt;0),"Check algorithm in appendix 2", AND(CL113=TRUE,CM113=TRUE,CN113-CO113&gt;-1),"Direct", AND(CL113=TRUE,CM113=TRUE,CN113-CO113&lt;0),"Check algorithm in appendix 2"))</f>
        <v/>
      </c>
      <c r="BC113" s="120" t="str">
        <f t="shared" si="10"/>
        <v/>
      </c>
      <c r="BD113" s="140"/>
      <c r="BE113" s="122" t="str">
        <f>IF(Preferences!B$3="Manual","", IFERROR(IFS(AND(Preferences!B$3="Automatic",AX113/AW113&gt;=30),"Extremely serious",AND(AY113&lt;=$D$1*-1,BA113&lt;0,AX113/AW113&lt;3),"Not Serious",AND(AY113&lt;=$D$1*-1,BA113&lt;0,AX113/AW113&gt;=3),"Very serious",AND(AY113&gt;=$D$1,AZ113&gt;0,AX113/AW113&lt;3),"Not Serious",AND(AY113&gt;=$D$1,AZ113&gt;0,AX113/AW113&gt;=3),"Very serious",AND(AY113&lt;=$D$1*-1,BA113&gt;0,AZ113&gt;$D$2*-1,AX113/AW113&lt;3),"Serious", AND(AY113&lt;=$D$1*-1,BA113&gt;0,AZ113&lt;$D$2*-1,AX113/AW113&lt;3),"Very serious", AND(AY113&gt;=$D$1,AZ113&lt;0,BA113&lt;$D$2,AX113/AW113&lt;3),"Serious",AND(AY113&gt;=$D$1,AZ113&lt;0,BA113&gt;$D$2,AX113/AW113&lt;3),"Very serious", AND(AY113&lt;=$D$1*-1,BA113&gt;0,AZ113&gt;$D$2*-1,AX113/AW113&gt;=3),"Very serious", AND(AY113&lt;=$D$1*-1,BA113&gt;0,AZ113&lt;$D$2*-1,AX113/AW113&gt;=3),"Very serious", AND(AY113&gt;=$D$1,AZ113&lt;0,BA113&lt;$D$2,AX113/AW113&gt;=3),"Very serious", AND(AY113&gt;=$D$1,AZ113&lt;0,BA113&gt;$D$2,AX113/AW113&gt;=3),"Very serious", AND(AY113&gt;$D$1*-1,AY113&lt;$D$1,AZ113&gt;$D$1*-1,BA113&lt;$D$1,AX113/AW113&lt;3),"Not Serious", AND(AY113&gt;$D$1*-1,AY113&lt;$D$1,OR(AZ113&lt;=$D$1*-1,BA113&gt;=$D$1),AZ113&gt;$D$2*-1,BA113&lt;$D$2,AX113/AW113&lt;3),"Serious", AND(AY113&gt;$D$1*-1,AY113&lt;$D$1,OR(AZ113&lt;=$D$2*-1,BA113&gt;=$D$2),AX113/AW113&lt;3),"Very serious", AND(AY113&gt;$D$1*-1,AY113&lt;$D$1,AZ113&gt;$D$1*-1,BA113&lt;$D$1,AX113/AW113&gt;=3),"Very serious", AND(AY113&gt;$D$1*-1,AY113&lt;$D$1,OR(AZ113&lt;=$D$1*-1,BA113&gt;=$D$1),AZ113&gt;$D$2*-1,BA113&lt;$D$2,AX113/AW113&gt;=3),"Very serious", AND(AY113&gt;$D$1*-1,AY113&lt;$D$1,OR(AZ113&lt;=$D$2*-1,BA113&gt;=$D$2),AX113/AW113&gt;=3),"Very serious"),""))</f>
        <v/>
      </c>
      <c r="BF113" s="107" t="str">
        <f t="shared" si="11"/>
        <v/>
      </c>
      <c r="BG113" s="94" t="str">
        <f t="shared" si="46"/>
        <v/>
      </c>
      <c r="BH113" s="64" t="str">
        <f t="shared" si="12"/>
        <v>#N/A</v>
      </c>
      <c r="BI113" s="64" t="str">
        <f t="shared" si="13"/>
        <v/>
      </c>
      <c r="BJ113" s="123" t="str">
        <f t="shared" si="14"/>
        <v>#N/A</v>
      </c>
      <c r="BK113" s="64" t="str">
        <f t="shared" si="50"/>
        <v>YES</v>
      </c>
      <c r="BL113" s="64" t="str">
        <f t="shared" si="16"/>
        <v>YES</v>
      </c>
      <c r="BM113" s="64" t="str">
        <f t="shared" si="17"/>
        <v>YES</v>
      </c>
      <c r="BN113" s="124" t="str">
        <f t="shared" si="18"/>
        <v/>
      </c>
      <c r="BO113" s="91" t="str">
        <f t="shared" si="19"/>
        <v/>
      </c>
      <c r="BP113" s="91" t="str">
        <f t="shared" si="20"/>
        <v>#N/A</v>
      </c>
      <c r="BQ113" s="91" t="str">
        <f t="shared" si="21"/>
        <v/>
      </c>
      <c r="BR113" s="93" t="str">
        <f t="shared" si="22"/>
        <v/>
      </c>
      <c r="BS113" s="90" t="str">
        <f t="shared" si="23"/>
        <v/>
      </c>
      <c r="BT113" s="93" t="str">
        <f t="shared" si="24"/>
        <v>NA</v>
      </c>
      <c r="BU113" s="125" t="str">
        <f t="shared" si="25"/>
        <v>#N/A</v>
      </c>
      <c r="BV113" s="93" t="str">
        <f t="shared" si="26"/>
        <v/>
      </c>
      <c r="BW113" s="93" t="str">
        <f t="shared" si="27"/>
        <v/>
      </c>
      <c r="BX113" s="93" t="str">
        <f t="shared" si="28"/>
        <v>NA</v>
      </c>
      <c r="BY113" s="95" t="str">
        <f t="shared" si="29"/>
        <v>#N/A</v>
      </c>
      <c r="BZ113" s="93" t="str">
        <f t="shared" si="30"/>
        <v/>
      </c>
      <c r="CA113" s="93" t="str">
        <f t="shared" si="31"/>
        <v/>
      </c>
      <c r="CB113" s="93" t="str">
        <f t="shared" si="32"/>
        <v>NA</v>
      </c>
      <c r="CC113" s="96" t="str">
        <f t="shared" si="33"/>
        <v>#N/A</v>
      </c>
      <c r="CD113" s="93" t="str">
        <f t="shared" si="34"/>
        <v/>
      </c>
      <c r="CE113" s="93" t="str">
        <f t="shared" si="35"/>
        <v/>
      </c>
      <c r="CF113" s="93" t="str">
        <f t="shared" si="36"/>
        <v>NA</v>
      </c>
      <c r="CG113" s="97" t="str">
        <f t="shared" si="37"/>
        <v>#N/A</v>
      </c>
      <c r="CH113" s="98" t="str">
        <f t="shared" si="38"/>
        <v>#N/A</v>
      </c>
      <c r="CI113" s="99" t="str">
        <f t="shared" si="39"/>
        <v>#N/A</v>
      </c>
      <c r="CJ113" s="126" t="str">
        <f t="shared" si="40"/>
        <v>ERROR: check cell</v>
      </c>
      <c r="CK113" s="126"/>
      <c r="CL113" s="127" t="str">
        <f t="shared" si="41"/>
        <v>#DIV/0!</v>
      </c>
      <c r="CM113" s="128" t="str">
        <f t="shared" si="42"/>
        <v>#DIV/0!</v>
      </c>
      <c r="CN113" s="128">
        <f t="shared" si="43"/>
        <v>4</v>
      </c>
      <c r="CO113" s="129">
        <f t="shared" si="44"/>
        <v>4</v>
      </c>
      <c r="CP113" s="129" t="str">
        <f>IFS(C113=Preferences!B$13,B113,B113=Preferences!B$13,C113)</f>
        <v>#N/A</v>
      </c>
    </row>
    <row r="114" ht="13.5" customHeight="1">
      <c r="A114" s="63" t="str">
        <f t="shared" si="45"/>
        <v/>
      </c>
      <c r="B114" s="64"/>
      <c r="C114" s="64"/>
      <c r="D114" s="64"/>
      <c r="E114" s="65"/>
      <c r="F114" s="65"/>
      <c r="G114" s="65"/>
      <c r="H114" s="66"/>
      <c r="I114" s="66"/>
      <c r="J114" s="67"/>
      <c r="K114" s="68"/>
      <c r="L114" s="104"/>
      <c r="M114" s="104"/>
      <c r="N114" s="104"/>
      <c r="O114" s="104"/>
      <c r="P114" s="107" t="str">
        <f t="shared" si="1"/>
        <v/>
      </c>
      <c r="Q114" s="108" t="str">
        <f>IFERROR(IF(AND(Preferences!B$3="Manual",OR(AX114/AW114&gt;G114/F114,BD114="Serious",BD114="Very serious")),"Assess imprecision",IFS(ISBLANK(E114),"",AND(Preferences!B$3="Automatic", G114/F114&gt;=30),"Extremely serious",AND(H114&lt;=$D$1*-1,J114&lt;0,G114/F114&lt;3),"Not serious",AND(H114&lt;=$D$1*-1,J114&lt;0,G114/F114&gt;=3),"Very serious",AND(H114&gt;=$D$1,I114&gt;0,G114/F114&lt;3),"Not serious",AND(H114&gt;=$D$1,I114&gt;0,G114/F114&gt;=3),"Very serious",AND(H114&lt;=$D$1*-1,J114&gt;0,I114&gt;$D$2*-1,G114/F114&lt;3),"Serious", AND(H114&lt;=$D$1*-1,J114&gt;0,I114&lt;$D$2*-1,G114/F114&lt;3),"Very serious", AND(H114&gt;=$D$1,I114&lt;0,J114&lt;$D$2,G114/F114&lt;3),"Serious",AND(H114&gt;=$D$1,I114&lt;0,J114&gt;$D$2,G114/F114&lt;3),"Very serious", AND(H114&lt;=$D$1*-1,J114&gt;0,I114&gt;$D$2*-1,G114/F114&gt;=3),"Very serious", AND(H114&lt;=$D$1*-1,J114&gt;0,I114&lt;$D$2*-1,G114/F114&gt;=3),"Very serious", AND(H114&gt;=$D$1,I114&lt;0,J114&lt;$D$2,G114/F114&gt;=3),"Very serious", AND(H114&gt;=$D$1,I114&lt;0,J114&gt;$D$2,G114/F114&gt;=3),"Very serious", AND(H114&gt;$D$1*-1,H114&lt;$D$1,I114&gt;$D$1*-1,J114&lt;$D$1,G114/F114&lt;3),"Not serious", AND(H114&gt;$D$1*-1,H114&lt;$D$1,OR(I114&lt;=$D$1*-1,J114&gt;=$D$1),I114&gt;$D$2*-1,J114&lt;$D$2,G114/F114&lt;3),"Serious", AND(H114&gt;$D$1*-1,H114&lt;$D$1,OR(I114&lt;=$D$2*-1,J114&gt;=$D$2),G114/F114&lt;3),"Very serious", AND(H114&gt;$D$1*-1,H114&lt;$D$1,I114&gt;$D$1*-1,J114&lt;$D$1,G114/F114&gt;=3),"Very serious", AND(H114&gt;$D$1*-1,H114&lt;$D$1,OR(I114&lt;=$D$1*-1,J114&gt;=$D$1),I114&gt;$D$2*-1,J114&lt;$D$2,G114/F114&gt;=3),"Very serious", AND(H114&gt;$D$1*-1,H114&lt;$D$1,OR(I114&lt;=$D$2*-1,J114&gt;=$D$2),G114/F114&gt;=3),"Very serious")),"")</f>
        <v/>
      </c>
      <c r="R114" s="109" t="str">
        <f t="shared" si="47"/>
        <v/>
      </c>
      <c r="S114" s="64"/>
      <c r="T114" s="146"/>
      <c r="U114" s="146"/>
      <c r="V114" s="146"/>
      <c r="W114" s="73"/>
      <c r="X114" s="73"/>
      <c r="Y114" s="74"/>
      <c r="Z114" s="113" t="str">
        <f t="array" ref="Z114">INDEX($A$1:$C$500, MATCH(1,($B:$B=$B114)*($C:$C=$AB114),0),1)</f>
        <v/>
      </c>
      <c r="AA114" s="113" t="str">
        <f t="array" ref="AA114">INDEX($A$1:$C$500, MATCH(1,($B:$B=$AB114)*($C:$C=$B114),0),1)</f>
        <v/>
      </c>
      <c r="AB114" s="111"/>
      <c r="AC114" s="114" t="str">
        <f t="shared" si="2"/>
        <v/>
      </c>
      <c r="AD114" s="115" t="str">
        <f t="shared" si="3"/>
        <v/>
      </c>
      <c r="AE114" s="116" t="str">
        <f t="array" ref="AE114">INDEX($A$1:$C$500, MATCH(1,($B:$B=$AB114)*($C:$C=$AG114),0),1)</f>
        <v/>
      </c>
      <c r="AF114" s="116" t="str">
        <f t="array" ref="AF114">INDEX($A$1:$C$500, MATCH(1,($B:$B=$AG114)*($C:$C=$AB114),0),1)</f>
        <v/>
      </c>
      <c r="AG114" s="72"/>
      <c r="AH114" s="114" t="str">
        <f t="shared" si="4"/>
        <v/>
      </c>
      <c r="AI114" s="115" t="str">
        <f t="shared" si="5"/>
        <v/>
      </c>
      <c r="AJ114" s="116" t="str">
        <f t="array" ref="AJ114">INDEX($A$1:$C$500, MATCH(1,($B:$B=$C114)*($C:$C=$AG114),0),1)</f>
        <v/>
      </c>
      <c r="AK114" s="116" t="str">
        <f t="array" ref="AK114">INDEX($A$1:$C$500, MATCH(1,($B:$B=$AG114)*($C:$C=$C114),0),1)</f>
        <v/>
      </c>
      <c r="AL114" s="116" t="str">
        <f t="array" ref="AL114">INDEX($A$1:$C$500, MATCH(1,($B:$B=$C114)*($C:$C=$AB114),0),1)</f>
        <v/>
      </c>
      <c r="AM114" s="116" t="str">
        <f t="array" ref="AM114">INDEX($A$1:$C$500, MATCH(1,($B:$B=$AB114)*($C:$C=$C114),0),1)</f>
        <v/>
      </c>
      <c r="AN114" s="114" t="str">
        <f t="array" ref="AN114">IFS(ISNUMBER(AJ114),AJ114,ISNUMBER(AK114),AK114,ISNUMBER(AL114),AL114,ISNUMBER(AM114),AM114)</f>
        <v>#N/A</v>
      </c>
      <c r="AO114" s="115" t="str">
        <f t="shared" si="6"/>
        <v/>
      </c>
      <c r="AP114" s="115" t="str">
        <f t="shared" si="7"/>
        <v/>
      </c>
      <c r="AQ114" s="111"/>
      <c r="AR114" s="109" t="str">
        <f t="shared" si="8"/>
        <v/>
      </c>
      <c r="AS114" s="72" t="str">
        <f>IFERROR(IF(AND(Preferences!B$3="Manual",OR(AX114/AW114&gt;V114/U114,BD114="Serious",BD114="Very serious")),"Assess imprecision",IFERROR(IFS(AND(Preferences!B$3="Automatic",V114/U114&gt;=30),"Extremely serious",AND(W114&lt;=$D$1*-1,Y114&lt;0,V114/U114&lt;3),"Not Serious",AND(W114&lt;=$D$1*-1,Y114&lt;0,V114/U114&gt;=3),"Very serious",AND(W114&gt;=$D$1,X114&gt;0,V114/U114&lt;3),"Not Serious",AND(W114&gt;=$D$1,X114&gt;0,V114/U114&gt;=3),"Very serious",AND(W114&lt;=$D$1*-1,Y114&gt;0,X114&gt;$D$2*-1,V114/U114&lt;3),"Serious", AND(W114&lt;=$D$1*-1,Y114&gt;0,X114&lt;$D$2*-1,V114/U114&lt;3),"Very serious", AND(W114&gt;=$D$1,X114&lt;0,Y114&lt;$D$2,V114/U114&lt;3),"Serious",AND(W114&gt;=$D$1,X114&lt;0,Y114&gt;$D$2,V114/U114&lt;3),"Very serious", AND(W114&lt;=$D$1*-1,Y114&gt;0,X114&gt;$D$2*-1,V114/U114&gt;=3),"Very serious", AND(W114&lt;=$D$1*-1,Y114&gt;0,X114&lt;$D$2*-1,V114/U114&gt;=3),"Very serious", AND(W114&gt;=$D$1,X114&lt;0,Y114&lt;$D$2,V114/U114&gt;=3),"Very serious", AND(W114&gt;=$D$1,X114&lt;0,Y114&gt;$D$2,V114/U114&gt;=3),"Very serious", AND(W114&gt;$D$1*-1,W114&lt;$D$1,X114&gt;$D$1*-1,Y114&lt;$D$1,V114/U114&lt;3),"Not Serious", AND(W114&gt;$D$1*-1,W114&lt;$D$1,OR(X114&lt;=$D$1*-1,Y114&gt;=$D$1),X114&gt;$D$2*-1,Y114&lt;$D$2,V114/U114&lt;3),"Serious", AND(W114&gt;$D$1*-1,W114&lt;$D$1,OR(X114&lt;=$D$2*-1,Y114&gt;=$D$2),V114/U114&lt;3),"Very serious", AND(W114&gt;$D$1*-1,W114&lt;$D$1,X114&gt;$D$1*-1,Y114&lt;$D$1,V114/U114&gt;=3),"Very serious", AND(W114&gt;$D$1*-1,W114&lt;$D$1,OR(X114&lt;=$D$1*-1,Y114&gt;=$D$1),X114&gt;$D$2*-1,Y114&lt;$D$2,V114/U114&gt;=3),"Very serious", AND(W114&gt;$D$1*-1,W114&lt;$D$1,OR(X114&lt;=$D$2*-1,Y114&gt;=$D$2),V114/U114&gt;=3),"Very serious"),"")),"")</f>
        <v/>
      </c>
      <c r="AT114" s="109" t="str">
        <f t="shared" si="9"/>
        <v/>
      </c>
      <c r="AU114" s="64"/>
      <c r="AV114" s="147"/>
      <c r="AW114" s="147"/>
      <c r="AX114" s="147"/>
      <c r="AY114" s="118"/>
      <c r="AZ114" s="118"/>
      <c r="BA114" s="119"/>
      <c r="BB114" s="86" t="str">
        <f>IF(Preferences!B$9="Manual","",IFS(ISBLANK(B114),"",AND(ISNUMBER(E114)=TRUE,ISNUMBER(T114)=FALSE),"Direct", AND(ISNUMBER(E114)=FALSE,ISNUMBER(T114)=TRUE),"Indirect", CN114=4,"Direct",AND(CL114=FALSE, CM114=TRUE,CN114-CO114&gt;-1),"Direct", AND(CL114=FALSE,CM114=TRUE, CN114-CO114&lt;0),"Check algorithm in appendix 2", AND(CL114=TRUE, CM114=FALSE,CN114-CO114&gt;0),"Check algorithm in appendix 2", AND(CL114=TRUE, CM114=FALSE,CN114-CO114=0),"Indirect", AND(CL114=TRUE, CM114=FALSE,CN114-CO114&lt;0),"Indirect", AND(CL114=FALSE,CM114=FALSE,CN114-CO114&gt;-1),"Direct", AND(CL114=FALSE,CM114=FALSE,CN114-CO114&lt;0),"Check algorithm in appendix 2", AND(CL114=TRUE,CM114=TRUE,CN114-CO114&gt;-1),"Direct", AND(CL114=TRUE,CM114=TRUE,CN114-CO114&lt;0),"Check algorithm in appendix 2"))</f>
        <v/>
      </c>
      <c r="BC114" s="120" t="str">
        <f t="shared" si="10"/>
        <v/>
      </c>
      <c r="BD114" s="140"/>
      <c r="BE114" s="122" t="str">
        <f>IF(Preferences!B$3="Manual","", IFERROR(IFS(AND(Preferences!B$3="Automatic",AX114/AW114&gt;=30),"Extremely serious",AND(AY114&lt;=$D$1*-1,BA114&lt;0,AX114/AW114&lt;3),"Not Serious",AND(AY114&lt;=$D$1*-1,BA114&lt;0,AX114/AW114&gt;=3),"Very serious",AND(AY114&gt;=$D$1,AZ114&gt;0,AX114/AW114&lt;3),"Not Serious",AND(AY114&gt;=$D$1,AZ114&gt;0,AX114/AW114&gt;=3),"Very serious",AND(AY114&lt;=$D$1*-1,BA114&gt;0,AZ114&gt;$D$2*-1,AX114/AW114&lt;3),"Serious", AND(AY114&lt;=$D$1*-1,BA114&gt;0,AZ114&lt;$D$2*-1,AX114/AW114&lt;3),"Very serious", AND(AY114&gt;=$D$1,AZ114&lt;0,BA114&lt;$D$2,AX114/AW114&lt;3),"Serious",AND(AY114&gt;=$D$1,AZ114&lt;0,BA114&gt;$D$2,AX114/AW114&lt;3),"Very serious", AND(AY114&lt;=$D$1*-1,BA114&gt;0,AZ114&gt;$D$2*-1,AX114/AW114&gt;=3),"Very serious", AND(AY114&lt;=$D$1*-1,BA114&gt;0,AZ114&lt;$D$2*-1,AX114/AW114&gt;=3),"Very serious", AND(AY114&gt;=$D$1,AZ114&lt;0,BA114&lt;$D$2,AX114/AW114&gt;=3),"Very serious", AND(AY114&gt;=$D$1,AZ114&lt;0,BA114&gt;$D$2,AX114/AW114&gt;=3),"Very serious", AND(AY114&gt;$D$1*-1,AY114&lt;$D$1,AZ114&gt;$D$1*-1,BA114&lt;$D$1,AX114/AW114&lt;3),"Not Serious", AND(AY114&gt;$D$1*-1,AY114&lt;$D$1,OR(AZ114&lt;=$D$1*-1,BA114&gt;=$D$1),AZ114&gt;$D$2*-1,BA114&lt;$D$2,AX114/AW114&lt;3),"Serious", AND(AY114&gt;$D$1*-1,AY114&lt;$D$1,OR(AZ114&lt;=$D$2*-1,BA114&gt;=$D$2),AX114/AW114&lt;3),"Very serious", AND(AY114&gt;$D$1*-1,AY114&lt;$D$1,AZ114&gt;$D$1*-1,BA114&lt;$D$1,AX114/AW114&gt;=3),"Very serious", AND(AY114&gt;$D$1*-1,AY114&lt;$D$1,OR(AZ114&lt;=$D$1*-1,BA114&gt;=$D$1),AZ114&gt;$D$2*-1,BA114&lt;$D$2,AX114/AW114&gt;=3),"Very serious", AND(AY114&gt;$D$1*-1,AY114&lt;$D$1,OR(AZ114&lt;=$D$2*-1,BA114&gt;=$D$2),AX114/AW114&gt;=3),"Very serious"),""))</f>
        <v/>
      </c>
      <c r="BF114" s="107" t="str">
        <f t="shared" si="11"/>
        <v/>
      </c>
      <c r="BG114" s="94" t="str">
        <f t="shared" si="46"/>
        <v/>
      </c>
      <c r="BH114" s="64" t="str">
        <f t="shared" si="12"/>
        <v>#N/A</v>
      </c>
      <c r="BI114" s="64" t="str">
        <f t="shared" si="13"/>
        <v/>
      </c>
      <c r="BJ114" s="123" t="str">
        <f t="shared" si="14"/>
        <v>#N/A</v>
      </c>
      <c r="BK114" s="64" t="str">
        <f t="shared" si="50"/>
        <v>YES</v>
      </c>
      <c r="BL114" s="64" t="str">
        <f t="shared" si="16"/>
        <v>YES</v>
      </c>
      <c r="BM114" s="64" t="str">
        <f t="shared" si="17"/>
        <v>YES</v>
      </c>
      <c r="BN114" s="124" t="str">
        <f t="shared" si="18"/>
        <v/>
      </c>
      <c r="BO114" s="91" t="str">
        <f t="shared" si="19"/>
        <v/>
      </c>
      <c r="BP114" s="91" t="str">
        <f t="shared" si="20"/>
        <v>#N/A</v>
      </c>
      <c r="BQ114" s="91" t="str">
        <f t="shared" si="21"/>
        <v/>
      </c>
      <c r="BR114" s="93" t="str">
        <f t="shared" si="22"/>
        <v/>
      </c>
      <c r="BS114" s="90" t="str">
        <f t="shared" si="23"/>
        <v/>
      </c>
      <c r="BT114" s="93" t="str">
        <f t="shared" si="24"/>
        <v>NA</v>
      </c>
      <c r="BU114" s="125" t="str">
        <f t="shared" si="25"/>
        <v>#N/A</v>
      </c>
      <c r="BV114" s="93" t="str">
        <f t="shared" si="26"/>
        <v/>
      </c>
      <c r="BW114" s="93" t="str">
        <f t="shared" si="27"/>
        <v/>
      </c>
      <c r="BX114" s="93" t="str">
        <f t="shared" si="28"/>
        <v>NA</v>
      </c>
      <c r="BY114" s="95" t="str">
        <f t="shared" si="29"/>
        <v>#N/A</v>
      </c>
      <c r="BZ114" s="93" t="str">
        <f t="shared" si="30"/>
        <v/>
      </c>
      <c r="CA114" s="93" t="str">
        <f t="shared" si="31"/>
        <v/>
      </c>
      <c r="CB114" s="93" t="str">
        <f t="shared" si="32"/>
        <v>NA</v>
      </c>
      <c r="CC114" s="96" t="str">
        <f t="shared" si="33"/>
        <v>#N/A</v>
      </c>
      <c r="CD114" s="93" t="str">
        <f t="shared" si="34"/>
        <v/>
      </c>
      <c r="CE114" s="93" t="str">
        <f t="shared" si="35"/>
        <v/>
      </c>
      <c r="CF114" s="93" t="str">
        <f t="shared" si="36"/>
        <v>NA</v>
      </c>
      <c r="CG114" s="97" t="str">
        <f t="shared" si="37"/>
        <v>#N/A</v>
      </c>
      <c r="CH114" s="98" t="str">
        <f t="shared" si="38"/>
        <v>#N/A</v>
      </c>
      <c r="CI114" s="99" t="str">
        <f t="shared" si="39"/>
        <v>#N/A</v>
      </c>
      <c r="CJ114" s="126" t="str">
        <f t="shared" si="40"/>
        <v>ERROR: check cell</v>
      </c>
      <c r="CK114" s="126"/>
      <c r="CL114" s="127" t="str">
        <f t="shared" si="41"/>
        <v>#DIV/0!</v>
      </c>
      <c r="CM114" s="128" t="str">
        <f t="shared" si="42"/>
        <v>#DIV/0!</v>
      </c>
      <c r="CN114" s="128">
        <f t="shared" si="43"/>
        <v>4</v>
      </c>
      <c r="CO114" s="129">
        <f t="shared" si="44"/>
        <v>4</v>
      </c>
      <c r="CP114" s="129" t="str">
        <f>IFS(C114=Preferences!B$13,B114,B114=Preferences!B$13,C114)</f>
        <v>#N/A</v>
      </c>
    </row>
    <row r="115" ht="13.5" customHeight="1">
      <c r="A115" s="63" t="str">
        <f t="shared" si="45"/>
        <v/>
      </c>
      <c r="B115" s="64"/>
      <c r="C115" s="64"/>
      <c r="D115" s="64"/>
      <c r="E115" s="65"/>
      <c r="F115" s="65"/>
      <c r="G115" s="65"/>
      <c r="H115" s="66"/>
      <c r="I115" s="66"/>
      <c r="J115" s="67"/>
      <c r="K115" s="68"/>
      <c r="L115" s="104"/>
      <c r="M115" s="104"/>
      <c r="N115" s="104"/>
      <c r="O115" s="104"/>
      <c r="P115" s="107" t="str">
        <f t="shared" si="1"/>
        <v/>
      </c>
      <c r="Q115" s="108" t="str">
        <f>IFERROR(IF(AND(Preferences!B$3="Manual",OR(AX115/AW115&gt;G115/F115,BD115="Serious",BD115="Very serious")),"Assess imprecision",IFS(ISBLANK(E115),"",AND(Preferences!B$3="Automatic", G115/F115&gt;=30),"Extremely serious",AND(H115&lt;=$D$1*-1,J115&lt;0,G115/F115&lt;3),"Not serious",AND(H115&lt;=$D$1*-1,J115&lt;0,G115/F115&gt;=3),"Very serious",AND(H115&gt;=$D$1,I115&gt;0,G115/F115&lt;3),"Not serious",AND(H115&gt;=$D$1,I115&gt;0,G115/F115&gt;=3),"Very serious",AND(H115&lt;=$D$1*-1,J115&gt;0,I115&gt;$D$2*-1,G115/F115&lt;3),"Serious", AND(H115&lt;=$D$1*-1,J115&gt;0,I115&lt;$D$2*-1,G115/F115&lt;3),"Very serious", AND(H115&gt;=$D$1,I115&lt;0,J115&lt;$D$2,G115/F115&lt;3),"Serious",AND(H115&gt;=$D$1,I115&lt;0,J115&gt;$D$2,G115/F115&lt;3),"Very serious", AND(H115&lt;=$D$1*-1,J115&gt;0,I115&gt;$D$2*-1,G115/F115&gt;=3),"Very serious", AND(H115&lt;=$D$1*-1,J115&gt;0,I115&lt;$D$2*-1,G115/F115&gt;=3),"Very serious", AND(H115&gt;=$D$1,I115&lt;0,J115&lt;$D$2,G115/F115&gt;=3),"Very serious", AND(H115&gt;=$D$1,I115&lt;0,J115&gt;$D$2,G115/F115&gt;=3),"Very serious", AND(H115&gt;$D$1*-1,H115&lt;$D$1,I115&gt;$D$1*-1,J115&lt;$D$1,G115/F115&lt;3),"Not serious", AND(H115&gt;$D$1*-1,H115&lt;$D$1,OR(I115&lt;=$D$1*-1,J115&gt;=$D$1),I115&gt;$D$2*-1,J115&lt;$D$2,G115/F115&lt;3),"Serious", AND(H115&gt;$D$1*-1,H115&lt;$D$1,OR(I115&lt;=$D$2*-1,J115&gt;=$D$2),G115/F115&lt;3),"Very serious", AND(H115&gt;$D$1*-1,H115&lt;$D$1,I115&gt;$D$1*-1,J115&lt;$D$1,G115/F115&gt;=3),"Very serious", AND(H115&gt;$D$1*-1,H115&lt;$D$1,OR(I115&lt;=$D$1*-1,J115&gt;=$D$1),I115&gt;$D$2*-1,J115&lt;$D$2,G115/F115&gt;=3),"Very serious", AND(H115&gt;$D$1*-1,H115&lt;$D$1,OR(I115&lt;=$D$2*-1,J115&gt;=$D$2),G115/F115&gt;=3),"Very serious")),"")</f>
        <v/>
      </c>
      <c r="R115" s="109" t="str">
        <f t="shared" si="47"/>
        <v/>
      </c>
      <c r="S115" s="64"/>
      <c r="T115" s="146"/>
      <c r="U115" s="146"/>
      <c r="V115" s="146"/>
      <c r="W115" s="73"/>
      <c r="X115" s="73"/>
      <c r="Y115" s="74"/>
      <c r="Z115" s="113" t="str">
        <f t="array" ref="Z115">INDEX($A$1:$C$500, MATCH(1,($B:$B=$B115)*($C:$C=$AB115),0),1)</f>
        <v/>
      </c>
      <c r="AA115" s="113" t="str">
        <f t="array" ref="AA115">INDEX($A$1:$C$500, MATCH(1,($B:$B=$AB115)*($C:$C=$B115),0),1)</f>
        <v/>
      </c>
      <c r="AB115" s="111"/>
      <c r="AC115" s="114" t="str">
        <f t="shared" si="2"/>
        <v/>
      </c>
      <c r="AD115" s="115" t="str">
        <f t="shared" si="3"/>
        <v/>
      </c>
      <c r="AE115" s="116" t="str">
        <f t="array" ref="AE115">INDEX($A$1:$C$500, MATCH(1,($B:$B=$AB115)*($C:$C=$AG115),0),1)</f>
        <v/>
      </c>
      <c r="AF115" s="116" t="str">
        <f t="array" ref="AF115">INDEX($A$1:$C$500, MATCH(1,($B:$B=$AG115)*($C:$C=$AB115),0),1)</f>
        <v/>
      </c>
      <c r="AG115" s="72"/>
      <c r="AH115" s="114" t="str">
        <f t="shared" si="4"/>
        <v/>
      </c>
      <c r="AI115" s="115" t="str">
        <f t="shared" si="5"/>
        <v/>
      </c>
      <c r="AJ115" s="116" t="str">
        <f t="array" ref="AJ115">INDEX($A$1:$C$500, MATCH(1,($B:$B=$C115)*($C:$C=$AG115),0),1)</f>
        <v/>
      </c>
      <c r="AK115" s="116" t="str">
        <f t="array" ref="AK115">INDEX($A$1:$C$500, MATCH(1,($B:$B=$AG115)*($C:$C=$C115),0),1)</f>
        <v/>
      </c>
      <c r="AL115" s="116" t="str">
        <f t="array" ref="AL115">INDEX($A$1:$C$500, MATCH(1,($B:$B=$C115)*($C:$C=$AB115),0),1)</f>
        <v/>
      </c>
      <c r="AM115" s="116" t="str">
        <f t="array" ref="AM115">INDEX($A$1:$C$500, MATCH(1,($B:$B=$AB115)*($C:$C=$C115),0),1)</f>
        <v/>
      </c>
      <c r="AN115" s="114" t="str">
        <f t="array" ref="AN115">IFS(ISNUMBER(AJ115),AJ115,ISNUMBER(AK115),AK115,ISNUMBER(AL115),AL115,ISNUMBER(AM115),AM115)</f>
        <v>#N/A</v>
      </c>
      <c r="AO115" s="115" t="str">
        <f t="shared" si="6"/>
        <v/>
      </c>
      <c r="AP115" s="115" t="str">
        <f t="shared" si="7"/>
        <v/>
      </c>
      <c r="AQ115" s="111"/>
      <c r="AR115" s="109" t="str">
        <f t="shared" si="8"/>
        <v/>
      </c>
      <c r="AS115" s="72" t="str">
        <f>IFERROR(IF(AND(Preferences!B$3="Manual",OR(AX115/AW115&gt;V115/U115,BD115="Serious",BD115="Very serious")),"Assess imprecision",IFERROR(IFS(AND(Preferences!B$3="Automatic",V115/U115&gt;=30),"Extremely serious",AND(W115&lt;=$D$1*-1,Y115&lt;0,V115/U115&lt;3),"Not Serious",AND(W115&lt;=$D$1*-1,Y115&lt;0,V115/U115&gt;=3),"Very serious",AND(W115&gt;=$D$1,X115&gt;0,V115/U115&lt;3),"Not Serious",AND(W115&gt;=$D$1,X115&gt;0,V115/U115&gt;=3),"Very serious",AND(W115&lt;=$D$1*-1,Y115&gt;0,X115&gt;$D$2*-1,V115/U115&lt;3),"Serious", AND(W115&lt;=$D$1*-1,Y115&gt;0,X115&lt;$D$2*-1,V115/U115&lt;3),"Very serious", AND(W115&gt;=$D$1,X115&lt;0,Y115&lt;$D$2,V115/U115&lt;3),"Serious",AND(W115&gt;=$D$1,X115&lt;0,Y115&gt;$D$2,V115/U115&lt;3),"Very serious", AND(W115&lt;=$D$1*-1,Y115&gt;0,X115&gt;$D$2*-1,V115/U115&gt;=3),"Very serious", AND(W115&lt;=$D$1*-1,Y115&gt;0,X115&lt;$D$2*-1,V115/U115&gt;=3),"Very serious", AND(W115&gt;=$D$1,X115&lt;0,Y115&lt;$D$2,V115/U115&gt;=3),"Very serious", AND(W115&gt;=$D$1,X115&lt;0,Y115&gt;$D$2,V115/U115&gt;=3),"Very serious", AND(W115&gt;$D$1*-1,W115&lt;$D$1,X115&gt;$D$1*-1,Y115&lt;$D$1,V115/U115&lt;3),"Not Serious", AND(W115&gt;$D$1*-1,W115&lt;$D$1,OR(X115&lt;=$D$1*-1,Y115&gt;=$D$1),X115&gt;$D$2*-1,Y115&lt;$D$2,V115/U115&lt;3),"Serious", AND(W115&gt;$D$1*-1,W115&lt;$D$1,OR(X115&lt;=$D$2*-1,Y115&gt;=$D$2),V115/U115&lt;3),"Very serious", AND(W115&gt;$D$1*-1,W115&lt;$D$1,X115&gt;$D$1*-1,Y115&lt;$D$1,V115/U115&gt;=3),"Very serious", AND(W115&gt;$D$1*-1,W115&lt;$D$1,OR(X115&lt;=$D$1*-1,Y115&gt;=$D$1),X115&gt;$D$2*-1,Y115&lt;$D$2,V115/U115&gt;=3),"Very serious", AND(W115&gt;$D$1*-1,W115&lt;$D$1,OR(X115&lt;=$D$2*-1,Y115&gt;=$D$2),V115/U115&gt;=3),"Very serious"),"")),"")</f>
        <v/>
      </c>
      <c r="AT115" s="109" t="str">
        <f t="shared" si="9"/>
        <v/>
      </c>
      <c r="AU115" s="64"/>
      <c r="AV115" s="147"/>
      <c r="AW115" s="147"/>
      <c r="AX115" s="147"/>
      <c r="AY115" s="118"/>
      <c r="AZ115" s="118"/>
      <c r="BA115" s="119"/>
      <c r="BB115" s="86" t="str">
        <f>IF(Preferences!B$9="Manual","",IFS(ISBLANK(B115),"",AND(ISNUMBER(E115)=TRUE,ISNUMBER(T115)=FALSE),"Direct", AND(ISNUMBER(E115)=FALSE,ISNUMBER(T115)=TRUE),"Indirect", CN115=4,"Direct",AND(CL115=FALSE, CM115=TRUE,CN115-CO115&gt;-1),"Direct", AND(CL115=FALSE,CM115=TRUE, CN115-CO115&lt;0),"Check algorithm in appendix 2", AND(CL115=TRUE, CM115=FALSE,CN115-CO115&gt;0),"Check algorithm in appendix 2", AND(CL115=TRUE, CM115=FALSE,CN115-CO115=0),"Indirect", AND(CL115=TRUE, CM115=FALSE,CN115-CO115&lt;0),"Indirect", AND(CL115=FALSE,CM115=FALSE,CN115-CO115&gt;-1),"Direct", AND(CL115=FALSE,CM115=FALSE,CN115-CO115&lt;0),"Check algorithm in appendix 2", AND(CL115=TRUE,CM115=TRUE,CN115-CO115&gt;-1),"Direct", AND(CL115=TRUE,CM115=TRUE,CN115-CO115&lt;0),"Check algorithm in appendix 2"))</f>
        <v/>
      </c>
      <c r="BC115" s="120" t="str">
        <f t="shared" si="10"/>
        <v/>
      </c>
      <c r="BD115" s="140"/>
      <c r="BE115" s="122" t="str">
        <f>IF(Preferences!B$3="Manual","", IFERROR(IFS(AND(Preferences!B$3="Automatic",AX115/AW115&gt;=30),"Extremely serious",AND(AY115&lt;=$D$1*-1,BA115&lt;0,AX115/AW115&lt;3),"Not Serious",AND(AY115&lt;=$D$1*-1,BA115&lt;0,AX115/AW115&gt;=3),"Very serious",AND(AY115&gt;=$D$1,AZ115&gt;0,AX115/AW115&lt;3),"Not Serious",AND(AY115&gt;=$D$1,AZ115&gt;0,AX115/AW115&gt;=3),"Very serious",AND(AY115&lt;=$D$1*-1,BA115&gt;0,AZ115&gt;$D$2*-1,AX115/AW115&lt;3),"Serious", AND(AY115&lt;=$D$1*-1,BA115&gt;0,AZ115&lt;$D$2*-1,AX115/AW115&lt;3),"Very serious", AND(AY115&gt;=$D$1,AZ115&lt;0,BA115&lt;$D$2,AX115/AW115&lt;3),"Serious",AND(AY115&gt;=$D$1,AZ115&lt;0,BA115&gt;$D$2,AX115/AW115&lt;3),"Very serious", AND(AY115&lt;=$D$1*-1,BA115&gt;0,AZ115&gt;$D$2*-1,AX115/AW115&gt;=3),"Very serious", AND(AY115&lt;=$D$1*-1,BA115&gt;0,AZ115&lt;$D$2*-1,AX115/AW115&gt;=3),"Very serious", AND(AY115&gt;=$D$1,AZ115&lt;0,BA115&lt;$D$2,AX115/AW115&gt;=3),"Very serious", AND(AY115&gt;=$D$1,AZ115&lt;0,BA115&gt;$D$2,AX115/AW115&gt;=3),"Very serious", AND(AY115&gt;$D$1*-1,AY115&lt;$D$1,AZ115&gt;$D$1*-1,BA115&lt;$D$1,AX115/AW115&lt;3),"Not Serious", AND(AY115&gt;$D$1*-1,AY115&lt;$D$1,OR(AZ115&lt;=$D$1*-1,BA115&gt;=$D$1),AZ115&gt;$D$2*-1,BA115&lt;$D$2,AX115/AW115&lt;3),"Serious", AND(AY115&gt;$D$1*-1,AY115&lt;$D$1,OR(AZ115&lt;=$D$2*-1,BA115&gt;=$D$2),AX115/AW115&lt;3),"Very serious", AND(AY115&gt;$D$1*-1,AY115&lt;$D$1,AZ115&gt;$D$1*-1,BA115&lt;$D$1,AX115/AW115&gt;=3),"Very serious", AND(AY115&gt;$D$1*-1,AY115&lt;$D$1,OR(AZ115&lt;=$D$1*-1,BA115&gt;=$D$1),AZ115&gt;$D$2*-1,BA115&lt;$D$2,AX115/AW115&gt;=3),"Very serious", AND(AY115&gt;$D$1*-1,AY115&lt;$D$1,OR(AZ115&lt;=$D$2*-1,BA115&gt;=$D$2),AX115/AW115&gt;=3),"Very serious"),""))</f>
        <v/>
      </c>
      <c r="BF115" s="107" t="str">
        <f t="shared" si="11"/>
        <v/>
      </c>
      <c r="BG115" s="94" t="str">
        <f t="shared" si="46"/>
        <v/>
      </c>
      <c r="BH115" s="64" t="str">
        <f t="shared" si="12"/>
        <v>#N/A</v>
      </c>
      <c r="BI115" s="64" t="str">
        <f t="shared" si="13"/>
        <v/>
      </c>
      <c r="BJ115" s="123" t="str">
        <f t="shared" si="14"/>
        <v>#N/A</v>
      </c>
      <c r="BK115" s="64" t="str">
        <f t="shared" si="50"/>
        <v>YES</v>
      </c>
      <c r="BL115" s="64" t="str">
        <f t="shared" si="16"/>
        <v>YES</v>
      </c>
      <c r="BM115" s="64" t="str">
        <f t="shared" si="17"/>
        <v>YES</v>
      </c>
      <c r="BN115" s="124" t="str">
        <f t="shared" si="18"/>
        <v/>
      </c>
      <c r="BO115" s="91" t="str">
        <f t="shared" si="19"/>
        <v/>
      </c>
      <c r="BP115" s="91" t="str">
        <f t="shared" si="20"/>
        <v>#N/A</v>
      </c>
      <c r="BQ115" s="91" t="str">
        <f t="shared" si="21"/>
        <v/>
      </c>
      <c r="BR115" s="93" t="str">
        <f t="shared" si="22"/>
        <v/>
      </c>
      <c r="BS115" s="90" t="str">
        <f t="shared" si="23"/>
        <v/>
      </c>
      <c r="BT115" s="93" t="str">
        <f t="shared" si="24"/>
        <v>NA</v>
      </c>
      <c r="BU115" s="125" t="str">
        <f t="shared" si="25"/>
        <v>#N/A</v>
      </c>
      <c r="BV115" s="93" t="str">
        <f t="shared" si="26"/>
        <v/>
      </c>
      <c r="BW115" s="93" t="str">
        <f t="shared" si="27"/>
        <v/>
      </c>
      <c r="BX115" s="93" t="str">
        <f t="shared" si="28"/>
        <v>NA</v>
      </c>
      <c r="BY115" s="95" t="str">
        <f t="shared" si="29"/>
        <v>#N/A</v>
      </c>
      <c r="BZ115" s="93" t="str">
        <f t="shared" si="30"/>
        <v/>
      </c>
      <c r="CA115" s="93" t="str">
        <f t="shared" si="31"/>
        <v/>
      </c>
      <c r="CB115" s="93" t="str">
        <f t="shared" si="32"/>
        <v>NA</v>
      </c>
      <c r="CC115" s="96" t="str">
        <f t="shared" si="33"/>
        <v>#N/A</v>
      </c>
      <c r="CD115" s="93" t="str">
        <f t="shared" si="34"/>
        <v/>
      </c>
      <c r="CE115" s="93" t="str">
        <f t="shared" si="35"/>
        <v/>
      </c>
      <c r="CF115" s="93" t="str">
        <f t="shared" si="36"/>
        <v>NA</v>
      </c>
      <c r="CG115" s="97" t="str">
        <f t="shared" si="37"/>
        <v>#N/A</v>
      </c>
      <c r="CH115" s="98" t="str">
        <f t="shared" si="38"/>
        <v>#N/A</v>
      </c>
      <c r="CI115" s="99" t="str">
        <f t="shared" si="39"/>
        <v>#N/A</v>
      </c>
      <c r="CJ115" s="126" t="str">
        <f t="shared" si="40"/>
        <v>ERROR: check cell</v>
      </c>
      <c r="CK115" s="126"/>
      <c r="CL115" s="127" t="str">
        <f t="shared" si="41"/>
        <v>#DIV/0!</v>
      </c>
      <c r="CM115" s="128" t="str">
        <f t="shared" si="42"/>
        <v>#DIV/0!</v>
      </c>
      <c r="CN115" s="128">
        <f t="shared" si="43"/>
        <v>4</v>
      </c>
      <c r="CO115" s="129">
        <f t="shared" si="44"/>
        <v>4</v>
      </c>
      <c r="CP115" s="129" t="str">
        <f>IFS(C115=Preferences!B$13,B115,B115=Preferences!B$13,C115)</f>
        <v>#N/A</v>
      </c>
    </row>
    <row r="116" ht="13.5" customHeight="1">
      <c r="A116" s="63" t="str">
        <f t="shared" si="45"/>
        <v/>
      </c>
      <c r="B116" s="64"/>
      <c r="C116" s="64"/>
      <c r="D116" s="64"/>
      <c r="E116" s="65"/>
      <c r="F116" s="65"/>
      <c r="G116" s="65"/>
      <c r="H116" s="66"/>
      <c r="I116" s="66"/>
      <c r="J116" s="67"/>
      <c r="K116" s="68"/>
      <c r="L116" s="104"/>
      <c r="M116" s="104"/>
      <c r="N116" s="104"/>
      <c r="O116" s="104"/>
      <c r="P116" s="107" t="str">
        <f t="shared" si="1"/>
        <v/>
      </c>
      <c r="Q116" s="108" t="str">
        <f>IFERROR(IF(AND(Preferences!B$3="Manual",OR(AX116/AW116&gt;G116/F116,BD116="Serious",BD116="Very serious")),"Assess imprecision",IFS(ISBLANK(E116),"",AND(Preferences!B$3="Automatic", G116/F116&gt;=30),"Extremely serious",AND(H116&lt;=$D$1*-1,J116&lt;0,G116/F116&lt;3),"Not serious",AND(H116&lt;=$D$1*-1,J116&lt;0,G116/F116&gt;=3),"Very serious",AND(H116&gt;=$D$1,I116&gt;0,G116/F116&lt;3),"Not serious",AND(H116&gt;=$D$1,I116&gt;0,G116/F116&gt;=3),"Very serious",AND(H116&lt;=$D$1*-1,J116&gt;0,I116&gt;$D$2*-1,G116/F116&lt;3),"Serious", AND(H116&lt;=$D$1*-1,J116&gt;0,I116&lt;$D$2*-1,G116/F116&lt;3),"Very serious", AND(H116&gt;=$D$1,I116&lt;0,J116&lt;$D$2,G116/F116&lt;3),"Serious",AND(H116&gt;=$D$1,I116&lt;0,J116&gt;$D$2,G116/F116&lt;3),"Very serious", AND(H116&lt;=$D$1*-1,J116&gt;0,I116&gt;$D$2*-1,G116/F116&gt;=3),"Very serious", AND(H116&lt;=$D$1*-1,J116&gt;0,I116&lt;$D$2*-1,G116/F116&gt;=3),"Very serious", AND(H116&gt;=$D$1,I116&lt;0,J116&lt;$D$2,G116/F116&gt;=3),"Very serious", AND(H116&gt;=$D$1,I116&lt;0,J116&gt;$D$2,G116/F116&gt;=3),"Very serious", AND(H116&gt;$D$1*-1,H116&lt;$D$1,I116&gt;$D$1*-1,J116&lt;$D$1,G116/F116&lt;3),"Not serious", AND(H116&gt;$D$1*-1,H116&lt;$D$1,OR(I116&lt;=$D$1*-1,J116&gt;=$D$1),I116&gt;$D$2*-1,J116&lt;$D$2,G116/F116&lt;3),"Serious", AND(H116&gt;$D$1*-1,H116&lt;$D$1,OR(I116&lt;=$D$2*-1,J116&gt;=$D$2),G116/F116&lt;3),"Very serious", AND(H116&gt;$D$1*-1,H116&lt;$D$1,I116&gt;$D$1*-1,J116&lt;$D$1,G116/F116&gt;=3),"Very serious", AND(H116&gt;$D$1*-1,H116&lt;$D$1,OR(I116&lt;=$D$1*-1,J116&gt;=$D$1),I116&gt;$D$2*-1,J116&lt;$D$2,G116/F116&gt;=3),"Very serious", AND(H116&gt;$D$1*-1,H116&lt;$D$1,OR(I116&lt;=$D$2*-1,J116&gt;=$D$2),G116/F116&gt;=3),"Very serious")),"")</f>
        <v/>
      </c>
      <c r="R116" s="109" t="str">
        <f t="shared" si="47"/>
        <v/>
      </c>
      <c r="S116" s="64"/>
      <c r="T116" s="146"/>
      <c r="U116" s="146"/>
      <c r="V116" s="146"/>
      <c r="W116" s="73"/>
      <c r="X116" s="73"/>
      <c r="Y116" s="74"/>
      <c r="Z116" s="113" t="str">
        <f t="array" ref="Z116">INDEX($A$1:$C$500, MATCH(1,($B:$B=$B116)*($C:$C=$AB116),0),1)</f>
        <v/>
      </c>
      <c r="AA116" s="113" t="str">
        <f t="array" ref="AA116">INDEX($A$1:$C$500, MATCH(1,($B:$B=$AB116)*($C:$C=$B116),0),1)</f>
        <v/>
      </c>
      <c r="AB116" s="111"/>
      <c r="AC116" s="114" t="str">
        <f t="shared" si="2"/>
        <v/>
      </c>
      <c r="AD116" s="115" t="str">
        <f t="shared" si="3"/>
        <v/>
      </c>
      <c r="AE116" s="116" t="str">
        <f t="array" ref="AE116">INDEX($A$1:$C$500, MATCH(1,($B:$B=$AB116)*($C:$C=$AG116),0),1)</f>
        <v/>
      </c>
      <c r="AF116" s="116" t="str">
        <f t="array" ref="AF116">INDEX($A$1:$C$500, MATCH(1,($B:$B=$AG116)*($C:$C=$AB116),0),1)</f>
        <v/>
      </c>
      <c r="AG116" s="72"/>
      <c r="AH116" s="114" t="str">
        <f t="shared" si="4"/>
        <v/>
      </c>
      <c r="AI116" s="115" t="str">
        <f t="shared" si="5"/>
        <v/>
      </c>
      <c r="AJ116" s="116" t="str">
        <f t="array" ref="AJ116">INDEX($A$1:$C$500, MATCH(1,($B:$B=$C116)*($C:$C=$AG116),0),1)</f>
        <v/>
      </c>
      <c r="AK116" s="116" t="str">
        <f t="array" ref="AK116">INDEX($A$1:$C$500, MATCH(1,($B:$B=$AG116)*($C:$C=$C116),0),1)</f>
        <v/>
      </c>
      <c r="AL116" s="116" t="str">
        <f t="array" ref="AL116">INDEX($A$1:$C$500, MATCH(1,($B:$B=$C116)*($C:$C=$AB116),0),1)</f>
        <v/>
      </c>
      <c r="AM116" s="116" t="str">
        <f t="array" ref="AM116">INDEX($A$1:$C$500, MATCH(1,($B:$B=$AB116)*($C:$C=$C116),0),1)</f>
        <v/>
      </c>
      <c r="AN116" s="114" t="str">
        <f t="array" ref="AN116">IFS(ISNUMBER(AJ116),AJ116,ISNUMBER(AK116),AK116,ISNUMBER(AL116),AL116,ISNUMBER(AM116),AM116)</f>
        <v>#N/A</v>
      </c>
      <c r="AO116" s="115" t="str">
        <f t="shared" si="6"/>
        <v/>
      </c>
      <c r="AP116" s="115" t="str">
        <f t="shared" si="7"/>
        <v/>
      </c>
      <c r="AQ116" s="111"/>
      <c r="AR116" s="109" t="str">
        <f t="shared" si="8"/>
        <v/>
      </c>
      <c r="AS116" s="72" t="str">
        <f>IFERROR(IF(AND(Preferences!B$3="Manual",OR(AX116/AW116&gt;V116/U116,BD116="Serious",BD116="Very serious")),"Assess imprecision",IFERROR(IFS(AND(Preferences!B$3="Automatic",V116/U116&gt;=30),"Extremely serious",AND(W116&lt;=$D$1*-1,Y116&lt;0,V116/U116&lt;3),"Not Serious",AND(W116&lt;=$D$1*-1,Y116&lt;0,V116/U116&gt;=3),"Very serious",AND(W116&gt;=$D$1,X116&gt;0,V116/U116&lt;3),"Not Serious",AND(W116&gt;=$D$1,X116&gt;0,V116/U116&gt;=3),"Very serious",AND(W116&lt;=$D$1*-1,Y116&gt;0,X116&gt;$D$2*-1,V116/U116&lt;3),"Serious", AND(W116&lt;=$D$1*-1,Y116&gt;0,X116&lt;$D$2*-1,V116/U116&lt;3),"Very serious", AND(W116&gt;=$D$1,X116&lt;0,Y116&lt;$D$2,V116/U116&lt;3),"Serious",AND(W116&gt;=$D$1,X116&lt;0,Y116&gt;$D$2,V116/U116&lt;3),"Very serious", AND(W116&lt;=$D$1*-1,Y116&gt;0,X116&gt;$D$2*-1,V116/U116&gt;=3),"Very serious", AND(W116&lt;=$D$1*-1,Y116&gt;0,X116&lt;$D$2*-1,V116/U116&gt;=3),"Very serious", AND(W116&gt;=$D$1,X116&lt;0,Y116&lt;$D$2,V116/U116&gt;=3),"Very serious", AND(W116&gt;=$D$1,X116&lt;0,Y116&gt;$D$2,V116/U116&gt;=3),"Very serious", AND(W116&gt;$D$1*-1,W116&lt;$D$1,X116&gt;$D$1*-1,Y116&lt;$D$1,V116/U116&lt;3),"Not Serious", AND(W116&gt;$D$1*-1,W116&lt;$D$1,OR(X116&lt;=$D$1*-1,Y116&gt;=$D$1),X116&gt;$D$2*-1,Y116&lt;$D$2,V116/U116&lt;3),"Serious", AND(W116&gt;$D$1*-1,W116&lt;$D$1,OR(X116&lt;=$D$2*-1,Y116&gt;=$D$2),V116/U116&lt;3),"Very serious", AND(W116&gt;$D$1*-1,W116&lt;$D$1,X116&gt;$D$1*-1,Y116&lt;$D$1,V116/U116&gt;=3),"Very serious", AND(W116&gt;$D$1*-1,W116&lt;$D$1,OR(X116&lt;=$D$1*-1,Y116&gt;=$D$1),X116&gt;$D$2*-1,Y116&lt;$D$2,V116/U116&gt;=3),"Very serious", AND(W116&gt;$D$1*-1,W116&lt;$D$1,OR(X116&lt;=$D$2*-1,Y116&gt;=$D$2),V116/U116&gt;=3),"Very serious"),"")),"")</f>
        <v/>
      </c>
      <c r="AT116" s="109" t="str">
        <f t="shared" si="9"/>
        <v/>
      </c>
      <c r="AU116" s="64"/>
      <c r="AV116" s="147"/>
      <c r="AW116" s="147"/>
      <c r="AX116" s="147"/>
      <c r="AY116" s="118"/>
      <c r="AZ116" s="118"/>
      <c r="BA116" s="119"/>
      <c r="BB116" s="86" t="str">
        <f>IF(Preferences!B$9="Manual","",IFS(ISBLANK(B116),"",AND(ISNUMBER(E116)=TRUE,ISNUMBER(T116)=FALSE),"Direct", AND(ISNUMBER(E116)=FALSE,ISNUMBER(T116)=TRUE),"Indirect", CN116=4,"Direct",AND(CL116=FALSE, CM116=TRUE,CN116-CO116&gt;-1),"Direct", AND(CL116=FALSE,CM116=TRUE, CN116-CO116&lt;0),"Check algorithm in appendix 2", AND(CL116=TRUE, CM116=FALSE,CN116-CO116&gt;0),"Check algorithm in appendix 2", AND(CL116=TRUE, CM116=FALSE,CN116-CO116=0),"Indirect", AND(CL116=TRUE, CM116=FALSE,CN116-CO116&lt;0),"Indirect", AND(CL116=FALSE,CM116=FALSE,CN116-CO116&gt;-1),"Direct", AND(CL116=FALSE,CM116=FALSE,CN116-CO116&lt;0),"Check algorithm in appendix 2", AND(CL116=TRUE,CM116=TRUE,CN116-CO116&gt;-1),"Direct", AND(CL116=TRUE,CM116=TRUE,CN116-CO116&lt;0),"Check algorithm in appendix 2"))</f>
        <v/>
      </c>
      <c r="BC116" s="120" t="str">
        <f t="shared" si="10"/>
        <v/>
      </c>
      <c r="BD116" s="140"/>
      <c r="BE116" s="122" t="str">
        <f>IF(Preferences!B$3="Manual","", IFERROR(IFS(AND(Preferences!B$3="Automatic",AX116/AW116&gt;=30),"Extremely serious",AND(AY116&lt;=$D$1*-1,BA116&lt;0,AX116/AW116&lt;3),"Not Serious",AND(AY116&lt;=$D$1*-1,BA116&lt;0,AX116/AW116&gt;=3),"Very serious",AND(AY116&gt;=$D$1,AZ116&gt;0,AX116/AW116&lt;3),"Not Serious",AND(AY116&gt;=$D$1,AZ116&gt;0,AX116/AW116&gt;=3),"Very serious",AND(AY116&lt;=$D$1*-1,BA116&gt;0,AZ116&gt;$D$2*-1,AX116/AW116&lt;3),"Serious", AND(AY116&lt;=$D$1*-1,BA116&gt;0,AZ116&lt;$D$2*-1,AX116/AW116&lt;3),"Very serious", AND(AY116&gt;=$D$1,AZ116&lt;0,BA116&lt;$D$2,AX116/AW116&lt;3),"Serious",AND(AY116&gt;=$D$1,AZ116&lt;0,BA116&gt;$D$2,AX116/AW116&lt;3),"Very serious", AND(AY116&lt;=$D$1*-1,BA116&gt;0,AZ116&gt;$D$2*-1,AX116/AW116&gt;=3),"Very serious", AND(AY116&lt;=$D$1*-1,BA116&gt;0,AZ116&lt;$D$2*-1,AX116/AW116&gt;=3),"Very serious", AND(AY116&gt;=$D$1,AZ116&lt;0,BA116&lt;$D$2,AX116/AW116&gt;=3),"Very serious", AND(AY116&gt;=$D$1,AZ116&lt;0,BA116&gt;$D$2,AX116/AW116&gt;=3),"Very serious", AND(AY116&gt;$D$1*-1,AY116&lt;$D$1,AZ116&gt;$D$1*-1,BA116&lt;$D$1,AX116/AW116&lt;3),"Not Serious", AND(AY116&gt;$D$1*-1,AY116&lt;$D$1,OR(AZ116&lt;=$D$1*-1,BA116&gt;=$D$1),AZ116&gt;$D$2*-1,BA116&lt;$D$2,AX116/AW116&lt;3),"Serious", AND(AY116&gt;$D$1*-1,AY116&lt;$D$1,OR(AZ116&lt;=$D$2*-1,BA116&gt;=$D$2),AX116/AW116&lt;3),"Very serious", AND(AY116&gt;$D$1*-1,AY116&lt;$D$1,AZ116&gt;$D$1*-1,BA116&lt;$D$1,AX116/AW116&gt;=3),"Very serious", AND(AY116&gt;$D$1*-1,AY116&lt;$D$1,OR(AZ116&lt;=$D$1*-1,BA116&gt;=$D$1),AZ116&gt;$D$2*-1,BA116&lt;$D$2,AX116/AW116&gt;=3),"Very serious", AND(AY116&gt;$D$1*-1,AY116&lt;$D$1,OR(AZ116&lt;=$D$2*-1,BA116&gt;=$D$2),AX116/AW116&gt;=3),"Very serious"),""))</f>
        <v/>
      </c>
      <c r="BF116" s="107" t="str">
        <f t="shared" si="11"/>
        <v/>
      </c>
      <c r="BG116" s="94" t="str">
        <f t="shared" si="46"/>
        <v/>
      </c>
      <c r="BH116" s="64" t="str">
        <f t="shared" si="12"/>
        <v>#N/A</v>
      </c>
      <c r="BI116" s="64" t="str">
        <f t="shared" si="13"/>
        <v/>
      </c>
      <c r="BJ116" s="123" t="str">
        <f t="shared" si="14"/>
        <v>#N/A</v>
      </c>
      <c r="BK116" s="64" t="str">
        <f t="shared" si="50"/>
        <v>YES</v>
      </c>
      <c r="BL116" s="64" t="str">
        <f t="shared" si="16"/>
        <v>YES</v>
      </c>
      <c r="BM116" s="64" t="str">
        <f t="shared" si="17"/>
        <v>YES</v>
      </c>
      <c r="BN116" s="124" t="str">
        <f t="shared" si="18"/>
        <v/>
      </c>
      <c r="BO116" s="91" t="str">
        <f t="shared" si="19"/>
        <v/>
      </c>
      <c r="BP116" s="91" t="str">
        <f t="shared" si="20"/>
        <v>#N/A</v>
      </c>
      <c r="BQ116" s="91" t="str">
        <f t="shared" si="21"/>
        <v/>
      </c>
      <c r="BR116" s="93" t="str">
        <f t="shared" si="22"/>
        <v/>
      </c>
      <c r="BS116" s="90" t="str">
        <f t="shared" si="23"/>
        <v/>
      </c>
      <c r="BT116" s="93" t="str">
        <f t="shared" si="24"/>
        <v>NA</v>
      </c>
      <c r="BU116" s="125" t="str">
        <f t="shared" si="25"/>
        <v>#N/A</v>
      </c>
      <c r="BV116" s="93" t="str">
        <f t="shared" si="26"/>
        <v/>
      </c>
      <c r="BW116" s="93" t="str">
        <f t="shared" si="27"/>
        <v/>
      </c>
      <c r="BX116" s="93" t="str">
        <f t="shared" si="28"/>
        <v>NA</v>
      </c>
      <c r="BY116" s="95" t="str">
        <f t="shared" si="29"/>
        <v>#N/A</v>
      </c>
      <c r="BZ116" s="93" t="str">
        <f t="shared" si="30"/>
        <v/>
      </c>
      <c r="CA116" s="93" t="str">
        <f t="shared" si="31"/>
        <v/>
      </c>
      <c r="CB116" s="93" t="str">
        <f t="shared" si="32"/>
        <v>NA</v>
      </c>
      <c r="CC116" s="96" t="str">
        <f t="shared" si="33"/>
        <v>#N/A</v>
      </c>
      <c r="CD116" s="93" t="str">
        <f t="shared" si="34"/>
        <v/>
      </c>
      <c r="CE116" s="93" t="str">
        <f t="shared" si="35"/>
        <v/>
      </c>
      <c r="CF116" s="93" t="str">
        <f t="shared" si="36"/>
        <v>NA</v>
      </c>
      <c r="CG116" s="97" t="str">
        <f t="shared" si="37"/>
        <v>#N/A</v>
      </c>
      <c r="CH116" s="98" t="str">
        <f t="shared" si="38"/>
        <v>#N/A</v>
      </c>
      <c r="CI116" s="99" t="str">
        <f t="shared" si="39"/>
        <v>#N/A</v>
      </c>
      <c r="CJ116" s="126" t="str">
        <f t="shared" si="40"/>
        <v>ERROR: check cell</v>
      </c>
      <c r="CK116" s="126"/>
      <c r="CL116" s="127" t="str">
        <f t="shared" si="41"/>
        <v>#DIV/0!</v>
      </c>
      <c r="CM116" s="128" t="str">
        <f t="shared" si="42"/>
        <v>#DIV/0!</v>
      </c>
      <c r="CN116" s="128">
        <f t="shared" si="43"/>
        <v>4</v>
      </c>
      <c r="CO116" s="129">
        <f t="shared" si="44"/>
        <v>4</v>
      </c>
      <c r="CP116" s="129" t="str">
        <f>IFS(C116=Preferences!B$13,B116,B116=Preferences!B$13,C116)</f>
        <v>#N/A</v>
      </c>
    </row>
    <row r="117" ht="13.5" customHeight="1">
      <c r="A117" s="63" t="str">
        <f t="shared" si="45"/>
        <v/>
      </c>
      <c r="B117" s="64"/>
      <c r="C117" s="64"/>
      <c r="D117" s="64"/>
      <c r="E117" s="65"/>
      <c r="F117" s="65"/>
      <c r="G117" s="65"/>
      <c r="H117" s="66"/>
      <c r="I117" s="66"/>
      <c r="J117" s="67"/>
      <c r="K117" s="68"/>
      <c r="L117" s="104"/>
      <c r="M117" s="104"/>
      <c r="N117" s="104"/>
      <c r="O117" s="104"/>
      <c r="P117" s="107" t="str">
        <f t="shared" si="1"/>
        <v/>
      </c>
      <c r="Q117" s="108" t="str">
        <f>IFERROR(IF(AND(Preferences!B$3="Manual",OR(AX117/AW117&gt;G117/F117,BD117="Serious",BD117="Very serious")),"Assess imprecision",IFS(ISBLANK(E117),"",AND(Preferences!B$3="Automatic", G117/F117&gt;=30),"Extremely serious",AND(H117&lt;=$D$1*-1,J117&lt;0,G117/F117&lt;3),"Not serious",AND(H117&lt;=$D$1*-1,J117&lt;0,G117/F117&gt;=3),"Very serious",AND(H117&gt;=$D$1,I117&gt;0,G117/F117&lt;3),"Not serious",AND(H117&gt;=$D$1,I117&gt;0,G117/F117&gt;=3),"Very serious",AND(H117&lt;=$D$1*-1,J117&gt;0,I117&gt;$D$2*-1,G117/F117&lt;3),"Serious", AND(H117&lt;=$D$1*-1,J117&gt;0,I117&lt;$D$2*-1,G117/F117&lt;3),"Very serious", AND(H117&gt;=$D$1,I117&lt;0,J117&lt;$D$2,G117/F117&lt;3),"Serious",AND(H117&gt;=$D$1,I117&lt;0,J117&gt;$D$2,G117/F117&lt;3),"Very serious", AND(H117&lt;=$D$1*-1,J117&gt;0,I117&gt;$D$2*-1,G117/F117&gt;=3),"Very serious", AND(H117&lt;=$D$1*-1,J117&gt;0,I117&lt;$D$2*-1,G117/F117&gt;=3),"Very serious", AND(H117&gt;=$D$1,I117&lt;0,J117&lt;$D$2,G117/F117&gt;=3),"Very serious", AND(H117&gt;=$D$1,I117&lt;0,J117&gt;$D$2,G117/F117&gt;=3),"Very serious", AND(H117&gt;$D$1*-1,H117&lt;$D$1,I117&gt;$D$1*-1,J117&lt;$D$1,G117/F117&lt;3),"Not serious", AND(H117&gt;$D$1*-1,H117&lt;$D$1,OR(I117&lt;=$D$1*-1,J117&gt;=$D$1),I117&gt;$D$2*-1,J117&lt;$D$2,G117/F117&lt;3),"Serious", AND(H117&gt;$D$1*-1,H117&lt;$D$1,OR(I117&lt;=$D$2*-1,J117&gt;=$D$2),G117/F117&lt;3),"Very serious", AND(H117&gt;$D$1*-1,H117&lt;$D$1,I117&gt;$D$1*-1,J117&lt;$D$1,G117/F117&gt;=3),"Very serious", AND(H117&gt;$D$1*-1,H117&lt;$D$1,OR(I117&lt;=$D$1*-1,J117&gt;=$D$1),I117&gt;$D$2*-1,J117&lt;$D$2,G117/F117&gt;=3),"Very serious", AND(H117&gt;$D$1*-1,H117&lt;$D$1,OR(I117&lt;=$D$2*-1,J117&gt;=$D$2),G117/F117&gt;=3),"Very serious")),"")</f>
        <v/>
      </c>
      <c r="R117" s="109" t="str">
        <f t="shared" si="47"/>
        <v/>
      </c>
      <c r="S117" s="64"/>
      <c r="T117" s="146"/>
      <c r="U117" s="146"/>
      <c r="V117" s="146"/>
      <c r="W117" s="73"/>
      <c r="X117" s="73"/>
      <c r="Y117" s="74"/>
      <c r="Z117" s="113" t="str">
        <f t="array" ref="Z117">INDEX($A$1:$C$500, MATCH(1,($B:$B=$B117)*($C:$C=$AB117),0),1)</f>
        <v/>
      </c>
      <c r="AA117" s="113" t="str">
        <f t="array" ref="AA117">INDEX($A$1:$C$500, MATCH(1,($B:$B=$AB117)*($C:$C=$B117),0),1)</f>
        <v/>
      </c>
      <c r="AB117" s="111"/>
      <c r="AC117" s="114" t="str">
        <f t="shared" si="2"/>
        <v/>
      </c>
      <c r="AD117" s="115" t="str">
        <f t="shared" si="3"/>
        <v/>
      </c>
      <c r="AE117" s="116" t="str">
        <f t="array" ref="AE117">INDEX($A$1:$C$500, MATCH(1,($B:$B=$AB117)*($C:$C=$AG117),0),1)</f>
        <v/>
      </c>
      <c r="AF117" s="116" t="str">
        <f t="array" ref="AF117">INDEX($A$1:$C$500, MATCH(1,($B:$B=$AG117)*($C:$C=$AB117),0),1)</f>
        <v/>
      </c>
      <c r="AG117" s="72"/>
      <c r="AH117" s="114" t="str">
        <f t="shared" si="4"/>
        <v/>
      </c>
      <c r="AI117" s="115" t="str">
        <f t="shared" si="5"/>
        <v/>
      </c>
      <c r="AJ117" s="116" t="str">
        <f t="array" ref="AJ117">INDEX($A$1:$C$500, MATCH(1,($B:$B=$C117)*($C:$C=$AG117),0),1)</f>
        <v/>
      </c>
      <c r="AK117" s="116" t="str">
        <f t="array" ref="AK117">INDEX($A$1:$C$500, MATCH(1,($B:$B=$AG117)*($C:$C=$C117),0),1)</f>
        <v/>
      </c>
      <c r="AL117" s="116" t="str">
        <f t="array" ref="AL117">INDEX($A$1:$C$500, MATCH(1,($B:$B=$C117)*($C:$C=$AB117),0),1)</f>
        <v/>
      </c>
      <c r="AM117" s="116" t="str">
        <f t="array" ref="AM117">INDEX($A$1:$C$500, MATCH(1,($B:$B=$AB117)*($C:$C=$C117),0),1)</f>
        <v/>
      </c>
      <c r="AN117" s="114" t="str">
        <f t="array" ref="AN117">IFS(ISNUMBER(AJ117),AJ117,ISNUMBER(AK117),AK117,ISNUMBER(AL117),AL117,ISNUMBER(AM117),AM117)</f>
        <v>#N/A</v>
      </c>
      <c r="AO117" s="115" t="str">
        <f t="shared" si="6"/>
        <v/>
      </c>
      <c r="AP117" s="115" t="str">
        <f t="shared" si="7"/>
        <v/>
      </c>
      <c r="AQ117" s="111"/>
      <c r="AR117" s="109" t="str">
        <f t="shared" si="8"/>
        <v/>
      </c>
      <c r="AS117" s="72" t="str">
        <f>IFERROR(IF(AND(Preferences!B$3="Manual",OR(AX117/AW117&gt;V117/U117,BD117="Serious",BD117="Very serious")),"Assess imprecision",IFERROR(IFS(AND(Preferences!B$3="Automatic",V117/U117&gt;=30),"Extremely serious",AND(W117&lt;=$D$1*-1,Y117&lt;0,V117/U117&lt;3),"Not Serious",AND(W117&lt;=$D$1*-1,Y117&lt;0,V117/U117&gt;=3),"Very serious",AND(W117&gt;=$D$1,X117&gt;0,V117/U117&lt;3),"Not Serious",AND(W117&gt;=$D$1,X117&gt;0,V117/U117&gt;=3),"Very serious",AND(W117&lt;=$D$1*-1,Y117&gt;0,X117&gt;$D$2*-1,V117/U117&lt;3),"Serious", AND(W117&lt;=$D$1*-1,Y117&gt;0,X117&lt;$D$2*-1,V117/U117&lt;3),"Very serious", AND(W117&gt;=$D$1,X117&lt;0,Y117&lt;$D$2,V117/U117&lt;3),"Serious",AND(W117&gt;=$D$1,X117&lt;0,Y117&gt;$D$2,V117/U117&lt;3),"Very serious", AND(W117&lt;=$D$1*-1,Y117&gt;0,X117&gt;$D$2*-1,V117/U117&gt;=3),"Very serious", AND(W117&lt;=$D$1*-1,Y117&gt;0,X117&lt;$D$2*-1,V117/U117&gt;=3),"Very serious", AND(W117&gt;=$D$1,X117&lt;0,Y117&lt;$D$2,V117/U117&gt;=3),"Very serious", AND(W117&gt;=$D$1,X117&lt;0,Y117&gt;$D$2,V117/U117&gt;=3),"Very serious", AND(W117&gt;$D$1*-1,W117&lt;$D$1,X117&gt;$D$1*-1,Y117&lt;$D$1,V117/U117&lt;3),"Not Serious", AND(W117&gt;$D$1*-1,W117&lt;$D$1,OR(X117&lt;=$D$1*-1,Y117&gt;=$D$1),X117&gt;$D$2*-1,Y117&lt;$D$2,V117/U117&lt;3),"Serious", AND(W117&gt;$D$1*-1,W117&lt;$D$1,OR(X117&lt;=$D$2*-1,Y117&gt;=$D$2),V117/U117&lt;3),"Very serious", AND(W117&gt;$D$1*-1,W117&lt;$D$1,X117&gt;$D$1*-1,Y117&lt;$D$1,V117/U117&gt;=3),"Very serious", AND(W117&gt;$D$1*-1,W117&lt;$D$1,OR(X117&lt;=$D$1*-1,Y117&gt;=$D$1),X117&gt;$D$2*-1,Y117&lt;$D$2,V117/U117&gt;=3),"Very serious", AND(W117&gt;$D$1*-1,W117&lt;$D$1,OR(X117&lt;=$D$2*-1,Y117&gt;=$D$2),V117/U117&gt;=3),"Very serious"),"")),"")</f>
        <v/>
      </c>
      <c r="AT117" s="109" t="str">
        <f t="shared" si="9"/>
        <v/>
      </c>
      <c r="AU117" s="64"/>
      <c r="AV117" s="147"/>
      <c r="AW117" s="147"/>
      <c r="AX117" s="147"/>
      <c r="AY117" s="118"/>
      <c r="AZ117" s="118"/>
      <c r="BA117" s="119"/>
      <c r="BB117" s="86" t="str">
        <f>IF(Preferences!B$9="Manual","",IFS(ISBLANK(B117),"",AND(ISNUMBER(E117)=TRUE,ISNUMBER(T117)=FALSE),"Direct", AND(ISNUMBER(E117)=FALSE,ISNUMBER(T117)=TRUE),"Indirect", CN117=4,"Direct",AND(CL117=FALSE, CM117=TRUE,CN117-CO117&gt;-1),"Direct", AND(CL117=FALSE,CM117=TRUE, CN117-CO117&lt;0),"Check algorithm in appendix 2", AND(CL117=TRUE, CM117=FALSE,CN117-CO117&gt;0),"Check algorithm in appendix 2", AND(CL117=TRUE, CM117=FALSE,CN117-CO117=0),"Indirect", AND(CL117=TRUE, CM117=FALSE,CN117-CO117&lt;0),"Indirect", AND(CL117=FALSE,CM117=FALSE,CN117-CO117&gt;-1),"Direct", AND(CL117=FALSE,CM117=FALSE,CN117-CO117&lt;0),"Check algorithm in appendix 2", AND(CL117=TRUE,CM117=TRUE,CN117-CO117&gt;-1),"Direct", AND(CL117=TRUE,CM117=TRUE,CN117-CO117&lt;0),"Check algorithm in appendix 2"))</f>
        <v/>
      </c>
      <c r="BC117" s="120" t="str">
        <f t="shared" si="10"/>
        <v/>
      </c>
      <c r="BD117" s="140"/>
      <c r="BE117" s="122" t="str">
        <f>IF(Preferences!B$3="Manual","", IFERROR(IFS(AND(Preferences!B$3="Automatic",AX117/AW117&gt;=30),"Extremely serious",AND(AY117&lt;=$D$1*-1,BA117&lt;0,AX117/AW117&lt;3),"Not Serious",AND(AY117&lt;=$D$1*-1,BA117&lt;0,AX117/AW117&gt;=3),"Very serious",AND(AY117&gt;=$D$1,AZ117&gt;0,AX117/AW117&lt;3),"Not Serious",AND(AY117&gt;=$D$1,AZ117&gt;0,AX117/AW117&gt;=3),"Very serious",AND(AY117&lt;=$D$1*-1,BA117&gt;0,AZ117&gt;$D$2*-1,AX117/AW117&lt;3),"Serious", AND(AY117&lt;=$D$1*-1,BA117&gt;0,AZ117&lt;$D$2*-1,AX117/AW117&lt;3),"Very serious", AND(AY117&gt;=$D$1,AZ117&lt;0,BA117&lt;$D$2,AX117/AW117&lt;3),"Serious",AND(AY117&gt;=$D$1,AZ117&lt;0,BA117&gt;$D$2,AX117/AW117&lt;3),"Very serious", AND(AY117&lt;=$D$1*-1,BA117&gt;0,AZ117&gt;$D$2*-1,AX117/AW117&gt;=3),"Very serious", AND(AY117&lt;=$D$1*-1,BA117&gt;0,AZ117&lt;$D$2*-1,AX117/AW117&gt;=3),"Very serious", AND(AY117&gt;=$D$1,AZ117&lt;0,BA117&lt;$D$2,AX117/AW117&gt;=3),"Very serious", AND(AY117&gt;=$D$1,AZ117&lt;0,BA117&gt;$D$2,AX117/AW117&gt;=3),"Very serious", AND(AY117&gt;$D$1*-1,AY117&lt;$D$1,AZ117&gt;$D$1*-1,BA117&lt;$D$1,AX117/AW117&lt;3),"Not Serious", AND(AY117&gt;$D$1*-1,AY117&lt;$D$1,OR(AZ117&lt;=$D$1*-1,BA117&gt;=$D$1),AZ117&gt;$D$2*-1,BA117&lt;$D$2,AX117/AW117&lt;3),"Serious", AND(AY117&gt;$D$1*-1,AY117&lt;$D$1,OR(AZ117&lt;=$D$2*-1,BA117&gt;=$D$2),AX117/AW117&lt;3),"Very serious", AND(AY117&gt;$D$1*-1,AY117&lt;$D$1,AZ117&gt;$D$1*-1,BA117&lt;$D$1,AX117/AW117&gt;=3),"Very serious", AND(AY117&gt;$D$1*-1,AY117&lt;$D$1,OR(AZ117&lt;=$D$1*-1,BA117&gt;=$D$1),AZ117&gt;$D$2*-1,BA117&lt;$D$2,AX117/AW117&gt;=3),"Very serious", AND(AY117&gt;$D$1*-1,AY117&lt;$D$1,OR(AZ117&lt;=$D$2*-1,BA117&gt;=$D$2),AX117/AW117&gt;=3),"Very serious"),""))</f>
        <v/>
      </c>
      <c r="BF117" s="107" t="str">
        <f t="shared" si="11"/>
        <v/>
      </c>
      <c r="BG117" s="94" t="str">
        <f t="shared" si="46"/>
        <v/>
      </c>
      <c r="BH117" s="64" t="str">
        <f t="shared" si="12"/>
        <v>#N/A</v>
      </c>
      <c r="BI117" s="64" t="str">
        <f t="shared" si="13"/>
        <v/>
      </c>
      <c r="BJ117" s="123" t="str">
        <f t="shared" si="14"/>
        <v>#N/A</v>
      </c>
      <c r="BK117" s="64" t="str">
        <f t="shared" si="50"/>
        <v>YES</v>
      </c>
      <c r="BL117" s="64" t="str">
        <f t="shared" si="16"/>
        <v>YES</v>
      </c>
      <c r="BM117" s="64" t="str">
        <f t="shared" si="17"/>
        <v>YES</v>
      </c>
      <c r="BN117" s="124" t="str">
        <f t="shared" si="18"/>
        <v/>
      </c>
      <c r="BO117" s="91" t="str">
        <f t="shared" si="19"/>
        <v/>
      </c>
      <c r="BP117" s="91" t="str">
        <f t="shared" si="20"/>
        <v>#N/A</v>
      </c>
      <c r="BQ117" s="91" t="str">
        <f t="shared" si="21"/>
        <v/>
      </c>
      <c r="BR117" s="93" t="str">
        <f t="shared" si="22"/>
        <v/>
      </c>
      <c r="BS117" s="90" t="str">
        <f t="shared" si="23"/>
        <v/>
      </c>
      <c r="BT117" s="93" t="str">
        <f t="shared" si="24"/>
        <v>NA</v>
      </c>
      <c r="BU117" s="125" t="str">
        <f t="shared" si="25"/>
        <v>#N/A</v>
      </c>
      <c r="BV117" s="93" t="str">
        <f t="shared" si="26"/>
        <v/>
      </c>
      <c r="BW117" s="93" t="str">
        <f t="shared" si="27"/>
        <v/>
      </c>
      <c r="BX117" s="93" t="str">
        <f t="shared" si="28"/>
        <v>NA</v>
      </c>
      <c r="BY117" s="95" t="str">
        <f t="shared" si="29"/>
        <v>#N/A</v>
      </c>
      <c r="BZ117" s="93" t="str">
        <f t="shared" si="30"/>
        <v/>
      </c>
      <c r="CA117" s="93" t="str">
        <f t="shared" si="31"/>
        <v/>
      </c>
      <c r="CB117" s="93" t="str">
        <f t="shared" si="32"/>
        <v>NA</v>
      </c>
      <c r="CC117" s="96" t="str">
        <f t="shared" si="33"/>
        <v>#N/A</v>
      </c>
      <c r="CD117" s="93" t="str">
        <f t="shared" si="34"/>
        <v/>
      </c>
      <c r="CE117" s="93" t="str">
        <f t="shared" si="35"/>
        <v/>
      </c>
      <c r="CF117" s="93" t="str">
        <f t="shared" si="36"/>
        <v>NA</v>
      </c>
      <c r="CG117" s="97" t="str">
        <f t="shared" si="37"/>
        <v>#N/A</v>
      </c>
      <c r="CH117" s="98" t="str">
        <f t="shared" si="38"/>
        <v>#N/A</v>
      </c>
      <c r="CI117" s="99" t="str">
        <f t="shared" si="39"/>
        <v>#N/A</v>
      </c>
      <c r="CJ117" s="126" t="str">
        <f t="shared" si="40"/>
        <v>ERROR: check cell</v>
      </c>
      <c r="CK117" s="126"/>
      <c r="CL117" s="127" t="str">
        <f t="shared" si="41"/>
        <v>#DIV/0!</v>
      </c>
      <c r="CM117" s="128" t="str">
        <f t="shared" si="42"/>
        <v>#DIV/0!</v>
      </c>
      <c r="CN117" s="128">
        <f t="shared" si="43"/>
        <v>4</v>
      </c>
      <c r="CO117" s="129">
        <f t="shared" si="44"/>
        <v>4</v>
      </c>
      <c r="CP117" s="129" t="str">
        <f>IFS(C117=Preferences!B$13,B117,B117=Preferences!B$13,C117)</f>
        <v>#N/A</v>
      </c>
    </row>
    <row r="118" ht="13.5" customHeight="1">
      <c r="A118" s="63" t="str">
        <f t="shared" si="45"/>
        <v/>
      </c>
      <c r="B118" s="64"/>
      <c r="C118" s="64"/>
      <c r="D118" s="64"/>
      <c r="E118" s="65"/>
      <c r="F118" s="65"/>
      <c r="G118" s="65"/>
      <c r="H118" s="66"/>
      <c r="I118" s="66"/>
      <c r="J118" s="67"/>
      <c r="K118" s="68"/>
      <c r="L118" s="104"/>
      <c r="M118" s="104"/>
      <c r="N118" s="104"/>
      <c r="O118" s="104"/>
      <c r="P118" s="107" t="str">
        <f t="shared" si="1"/>
        <v/>
      </c>
      <c r="Q118" s="108" t="str">
        <f>IFERROR(IF(AND(Preferences!B$3="Manual",OR(AX118/AW118&gt;G118/F118,BD118="Serious",BD118="Very serious")),"Assess imprecision",IFS(ISBLANK(E118),"",AND(Preferences!B$3="Automatic", G118/F118&gt;=30),"Extremely serious",AND(H118&lt;=$D$1*-1,J118&lt;0,G118/F118&lt;3),"Not serious",AND(H118&lt;=$D$1*-1,J118&lt;0,G118/F118&gt;=3),"Very serious",AND(H118&gt;=$D$1,I118&gt;0,G118/F118&lt;3),"Not serious",AND(H118&gt;=$D$1,I118&gt;0,G118/F118&gt;=3),"Very serious",AND(H118&lt;=$D$1*-1,J118&gt;0,I118&gt;$D$2*-1,G118/F118&lt;3),"Serious", AND(H118&lt;=$D$1*-1,J118&gt;0,I118&lt;$D$2*-1,G118/F118&lt;3),"Very serious", AND(H118&gt;=$D$1,I118&lt;0,J118&lt;$D$2,G118/F118&lt;3),"Serious",AND(H118&gt;=$D$1,I118&lt;0,J118&gt;$D$2,G118/F118&lt;3),"Very serious", AND(H118&lt;=$D$1*-1,J118&gt;0,I118&gt;$D$2*-1,G118/F118&gt;=3),"Very serious", AND(H118&lt;=$D$1*-1,J118&gt;0,I118&lt;$D$2*-1,G118/F118&gt;=3),"Very serious", AND(H118&gt;=$D$1,I118&lt;0,J118&lt;$D$2,G118/F118&gt;=3),"Very serious", AND(H118&gt;=$D$1,I118&lt;0,J118&gt;$D$2,G118/F118&gt;=3),"Very serious", AND(H118&gt;$D$1*-1,H118&lt;$D$1,I118&gt;$D$1*-1,J118&lt;$D$1,G118/F118&lt;3),"Not serious", AND(H118&gt;$D$1*-1,H118&lt;$D$1,OR(I118&lt;=$D$1*-1,J118&gt;=$D$1),I118&gt;$D$2*-1,J118&lt;$D$2,G118/F118&lt;3),"Serious", AND(H118&gt;$D$1*-1,H118&lt;$D$1,OR(I118&lt;=$D$2*-1,J118&gt;=$D$2),G118/F118&lt;3),"Very serious", AND(H118&gt;$D$1*-1,H118&lt;$D$1,I118&gt;$D$1*-1,J118&lt;$D$1,G118/F118&gt;=3),"Very serious", AND(H118&gt;$D$1*-1,H118&lt;$D$1,OR(I118&lt;=$D$1*-1,J118&gt;=$D$1),I118&gt;$D$2*-1,J118&lt;$D$2,G118/F118&gt;=3),"Very serious", AND(H118&gt;$D$1*-1,H118&lt;$D$1,OR(I118&lt;=$D$2*-1,J118&gt;=$D$2),G118/F118&gt;=3),"Very serious")),"")</f>
        <v/>
      </c>
      <c r="R118" s="109" t="str">
        <f t="shared" si="47"/>
        <v/>
      </c>
      <c r="S118" s="64"/>
      <c r="T118" s="146"/>
      <c r="U118" s="146"/>
      <c r="V118" s="146"/>
      <c r="W118" s="73"/>
      <c r="X118" s="73"/>
      <c r="Y118" s="74"/>
      <c r="Z118" s="113" t="str">
        <f t="array" ref="Z118">INDEX($A$1:$C$500, MATCH(1,($B:$B=$B118)*($C:$C=$AB118),0),1)</f>
        <v/>
      </c>
      <c r="AA118" s="113" t="str">
        <f t="array" ref="AA118">INDEX($A$1:$C$500, MATCH(1,($B:$B=$AB118)*($C:$C=$B118),0),1)</f>
        <v/>
      </c>
      <c r="AB118" s="111"/>
      <c r="AC118" s="114" t="str">
        <f t="shared" si="2"/>
        <v/>
      </c>
      <c r="AD118" s="115" t="str">
        <f t="shared" si="3"/>
        <v/>
      </c>
      <c r="AE118" s="116" t="str">
        <f t="array" ref="AE118">INDEX($A$1:$C$500, MATCH(1,($B:$B=$AB118)*($C:$C=$AG118),0),1)</f>
        <v/>
      </c>
      <c r="AF118" s="116" t="str">
        <f t="array" ref="AF118">INDEX($A$1:$C$500, MATCH(1,($B:$B=$AG118)*($C:$C=$AB118),0),1)</f>
        <v/>
      </c>
      <c r="AG118" s="72"/>
      <c r="AH118" s="114" t="str">
        <f t="shared" si="4"/>
        <v/>
      </c>
      <c r="AI118" s="115" t="str">
        <f t="shared" si="5"/>
        <v/>
      </c>
      <c r="AJ118" s="116" t="str">
        <f t="array" ref="AJ118">INDEX($A$1:$C$500, MATCH(1,($B:$B=$C118)*($C:$C=$AG118),0),1)</f>
        <v/>
      </c>
      <c r="AK118" s="116" t="str">
        <f t="array" ref="AK118">INDEX($A$1:$C$500, MATCH(1,($B:$B=$AG118)*($C:$C=$C118),0),1)</f>
        <v/>
      </c>
      <c r="AL118" s="116" t="str">
        <f t="array" ref="AL118">INDEX($A$1:$C$500, MATCH(1,($B:$B=$C118)*($C:$C=$AB118),0),1)</f>
        <v/>
      </c>
      <c r="AM118" s="116" t="str">
        <f t="array" ref="AM118">INDEX($A$1:$C$500, MATCH(1,($B:$B=$AB118)*($C:$C=$C118),0),1)</f>
        <v/>
      </c>
      <c r="AN118" s="114" t="str">
        <f t="array" ref="AN118">IFS(ISNUMBER(AJ118),AJ118,ISNUMBER(AK118),AK118,ISNUMBER(AL118),AL118,ISNUMBER(AM118),AM118)</f>
        <v>#N/A</v>
      </c>
      <c r="AO118" s="115" t="str">
        <f t="shared" si="6"/>
        <v/>
      </c>
      <c r="AP118" s="115" t="str">
        <f t="shared" si="7"/>
        <v/>
      </c>
      <c r="AQ118" s="111"/>
      <c r="AR118" s="109" t="str">
        <f t="shared" si="8"/>
        <v/>
      </c>
      <c r="AS118" s="72" t="str">
        <f>IFERROR(IF(AND(Preferences!B$3="Manual",OR(AX118/AW118&gt;V118/U118,BD118="Serious",BD118="Very serious")),"Assess imprecision",IFERROR(IFS(AND(Preferences!B$3="Automatic",V118/U118&gt;=30),"Extremely serious",AND(W118&lt;=$D$1*-1,Y118&lt;0,V118/U118&lt;3),"Not Serious",AND(W118&lt;=$D$1*-1,Y118&lt;0,V118/U118&gt;=3),"Very serious",AND(W118&gt;=$D$1,X118&gt;0,V118/U118&lt;3),"Not Serious",AND(W118&gt;=$D$1,X118&gt;0,V118/U118&gt;=3),"Very serious",AND(W118&lt;=$D$1*-1,Y118&gt;0,X118&gt;$D$2*-1,V118/U118&lt;3),"Serious", AND(W118&lt;=$D$1*-1,Y118&gt;0,X118&lt;$D$2*-1,V118/U118&lt;3),"Very serious", AND(W118&gt;=$D$1,X118&lt;0,Y118&lt;$D$2,V118/U118&lt;3),"Serious",AND(W118&gt;=$D$1,X118&lt;0,Y118&gt;$D$2,V118/U118&lt;3),"Very serious", AND(W118&lt;=$D$1*-1,Y118&gt;0,X118&gt;$D$2*-1,V118/U118&gt;=3),"Very serious", AND(W118&lt;=$D$1*-1,Y118&gt;0,X118&lt;$D$2*-1,V118/U118&gt;=3),"Very serious", AND(W118&gt;=$D$1,X118&lt;0,Y118&lt;$D$2,V118/U118&gt;=3),"Very serious", AND(W118&gt;=$D$1,X118&lt;0,Y118&gt;$D$2,V118/U118&gt;=3),"Very serious", AND(W118&gt;$D$1*-1,W118&lt;$D$1,X118&gt;$D$1*-1,Y118&lt;$D$1,V118/U118&lt;3),"Not Serious", AND(W118&gt;$D$1*-1,W118&lt;$D$1,OR(X118&lt;=$D$1*-1,Y118&gt;=$D$1),X118&gt;$D$2*-1,Y118&lt;$D$2,V118/U118&lt;3),"Serious", AND(W118&gt;$D$1*-1,W118&lt;$D$1,OR(X118&lt;=$D$2*-1,Y118&gt;=$D$2),V118/U118&lt;3),"Very serious", AND(W118&gt;$D$1*-1,W118&lt;$D$1,X118&gt;$D$1*-1,Y118&lt;$D$1,V118/U118&gt;=3),"Very serious", AND(W118&gt;$D$1*-1,W118&lt;$D$1,OR(X118&lt;=$D$1*-1,Y118&gt;=$D$1),X118&gt;$D$2*-1,Y118&lt;$D$2,V118/U118&gt;=3),"Very serious", AND(W118&gt;$D$1*-1,W118&lt;$D$1,OR(X118&lt;=$D$2*-1,Y118&gt;=$D$2),V118/U118&gt;=3),"Very serious"),"")),"")</f>
        <v/>
      </c>
      <c r="AT118" s="109" t="str">
        <f t="shared" si="9"/>
        <v/>
      </c>
      <c r="AU118" s="64"/>
      <c r="AV118" s="147"/>
      <c r="AW118" s="147"/>
      <c r="AX118" s="147"/>
      <c r="AY118" s="118"/>
      <c r="AZ118" s="118"/>
      <c r="BA118" s="119"/>
      <c r="BB118" s="86" t="str">
        <f>IF(Preferences!B$9="Manual","",IFS(ISBLANK(B118),"",AND(ISNUMBER(E118)=TRUE,ISNUMBER(T118)=FALSE),"Direct", AND(ISNUMBER(E118)=FALSE,ISNUMBER(T118)=TRUE),"Indirect", CN118=4,"Direct",AND(CL118=FALSE, CM118=TRUE,CN118-CO118&gt;-1),"Direct", AND(CL118=FALSE,CM118=TRUE, CN118-CO118&lt;0),"Check algorithm in appendix 2", AND(CL118=TRUE, CM118=FALSE,CN118-CO118&gt;0),"Check algorithm in appendix 2", AND(CL118=TRUE, CM118=FALSE,CN118-CO118=0),"Indirect", AND(CL118=TRUE, CM118=FALSE,CN118-CO118&lt;0),"Indirect", AND(CL118=FALSE,CM118=FALSE,CN118-CO118&gt;-1),"Direct", AND(CL118=FALSE,CM118=FALSE,CN118-CO118&lt;0),"Check algorithm in appendix 2", AND(CL118=TRUE,CM118=TRUE,CN118-CO118&gt;-1),"Direct", AND(CL118=TRUE,CM118=TRUE,CN118-CO118&lt;0),"Check algorithm in appendix 2"))</f>
        <v/>
      </c>
      <c r="BC118" s="120" t="str">
        <f t="shared" si="10"/>
        <v/>
      </c>
      <c r="BD118" s="140"/>
      <c r="BE118" s="122" t="str">
        <f>IF(Preferences!B$3="Manual","", IFERROR(IFS(AND(Preferences!B$3="Automatic",AX118/AW118&gt;=30),"Extremely serious",AND(AY118&lt;=$D$1*-1,BA118&lt;0,AX118/AW118&lt;3),"Not Serious",AND(AY118&lt;=$D$1*-1,BA118&lt;0,AX118/AW118&gt;=3),"Very serious",AND(AY118&gt;=$D$1,AZ118&gt;0,AX118/AW118&lt;3),"Not Serious",AND(AY118&gt;=$D$1,AZ118&gt;0,AX118/AW118&gt;=3),"Very serious",AND(AY118&lt;=$D$1*-1,BA118&gt;0,AZ118&gt;$D$2*-1,AX118/AW118&lt;3),"Serious", AND(AY118&lt;=$D$1*-1,BA118&gt;0,AZ118&lt;$D$2*-1,AX118/AW118&lt;3),"Very serious", AND(AY118&gt;=$D$1,AZ118&lt;0,BA118&lt;$D$2,AX118/AW118&lt;3),"Serious",AND(AY118&gt;=$D$1,AZ118&lt;0,BA118&gt;$D$2,AX118/AW118&lt;3),"Very serious", AND(AY118&lt;=$D$1*-1,BA118&gt;0,AZ118&gt;$D$2*-1,AX118/AW118&gt;=3),"Very serious", AND(AY118&lt;=$D$1*-1,BA118&gt;0,AZ118&lt;$D$2*-1,AX118/AW118&gt;=3),"Very serious", AND(AY118&gt;=$D$1,AZ118&lt;0,BA118&lt;$D$2,AX118/AW118&gt;=3),"Very serious", AND(AY118&gt;=$D$1,AZ118&lt;0,BA118&gt;$D$2,AX118/AW118&gt;=3),"Very serious", AND(AY118&gt;$D$1*-1,AY118&lt;$D$1,AZ118&gt;$D$1*-1,BA118&lt;$D$1,AX118/AW118&lt;3),"Not Serious", AND(AY118&gt;$D$1*-1,AY118&lt;$D$1,OR(AZ118&lt;=$D$1*-1,BA118&gt;=$D$1),AZ118&gt;$D$2*-1,BA118&lt;$D$2,AX118/AW118&lt;3),"Serious", AND(AY118&gt;$D$1*-1,AY118&lt;$D$1,OR(AZ118&lt;=$D$2*-1,BA118&gt;=$D$2),AX118/AW118&lt;3),"Very serious", AND(AY118&gt;$D$1*-1,AY118&lt;$D$1,AZ118&gt;$D$1*-1,BA118&lt;$D$1,AX118/AW118&gt;=3),"Very serious", AND(AY118&gt;$D$1*-1,AY118&lt;$D$1,OR(AZ118&lt;=$D$1*-1,BA118&gt;=$D$1),AZ118&gt;$D$2*-1,BA118&lt;$D$2,AX118/AW118&gt;=3),"Very serious", AND(AY118&gt;$D$1*-1,AY118&lt;$D$1,OR(AZ118&lt;=$D$2*-1,BA118&gt;=$D$2),AX118/AW118&gt;=3),"Very serious"),""))</f>
        <v/>
      </c>
      <c r="BF118" s="107" t="str">
        <f t="shared" si="11"/>
        <v/>
      </c>
      <c r="BG118" s="94" t="str">
        <f t="shared" si="46"/>
        <v/>
      </c>
      <c r="BH118" s="64" t="str">
        <f t="shared" si="12"/>
        <v>#N/A</v>
      </c>
      <c r="BI118" s="64" t="str">
        <f t="shared" si="13"/>
        <v/>
      </c>
      <c r="BJ118" s="123" t="str">
        <f t="shared" si="14"/>
        <v>#N/A</v>
      </c>
      <c r="BK118" s="64" t="str">
        <f t="shared" si="50"/>
        <v>YES</v>
      </c>
      <c r="BL118" s="64" t="str">
        <f t="shared" si="16"/>
        <v>YES</v>
      </c>
      <c r="BM118" s="64" t="str">
        <f t="shared" si="17"/>
        <v>YES</v>
      </c>
      <c r="BN118" s="124" t="str">
        <f t="shared" si="18"/>
        <v/>
      </c>
      <c r="BO118" s="91" t="str">
        <f t="shared" si="19"/>
        <v/>
      </c>
      <c r="BP118" s="91" t="str">
        <f t="shared" si="20"/>
        <v>#N/A</v>
      </c>
      <c r="BQ118" s="91" t="str">
        <f t="shared" si="21"/>
        <v/>
      </c>
      <c r="BR118" s="93" t="str">
        <f t="shared" si="22"/>
        <v/>
      </c>
      <c r="BS118" s="90" t="str">
        <f t="shared" si="23"/>
        <v/>
      </c>
      <c r="BT118" s="93" t="str">
        <f t="shared" si="24"/>
        <v>NA</v>
      </c>
      <c r="BU118" s="125" t="str">
        <f t="shared" si="25"/>
        <v>#N/A</v>
      </c>
      <c r="BV118" s="93" t="str">
        <f t="shared" si="26"/>
        <v/>
      </c>
      <c r="BW118" s="93" t="str">
        <f t="shared" si="27"/>
        <v/>
      </c>
      <c r="BX118" s="93" t="str">
        <f t="shared" si="28"/>
        <v>NA</v>
      </c>
      <c r="BY118" s="95" t="str">
        <f t="shared" si="29"/>
        <v>#N/A</v>
      </c>
      <c r="BZ118" s="93" t="str">
        <f t="shared" si="30"/>
        <v/>
      </c>
      <c r="CA118" s="93" t="str">
        <f t="shared" si="31"/>
        <v/>
      </c>
      <c r="CB118" s="93" t="str">
        <f t="shared" si="32"/>
        <v>NA</v>
      </c>
      <c r="CC118" s="96" t="str">
        <f t="shared" si="33"/>
        <v>#N/A</v>
      </c>
      <c r="CD118" s="93" t="str">
        <f t="shared" si="34"/>
        <v/>
      </c>
      <c r="CE118" s="93" t="str">
        <f t="shared" si="35"/>
        <v/>
      </c>
      <c r="CF118" s="93" t="str">
        <f t="shared" si="36"/>
        <v>NA</v>
      </c>
      <c r="CG118" s="97" t="str">
        <f t="shared" si="37"/>
        <v>#N/A</v>
      </c>
      <c r="CH118" s="98" t="str">
        <f t="shared" si="38"/>
        <v>#N/A</v>
      </c>
      <c r="CI118" s="99" t="str">
        <f t="shared" si="39"/>
        <v>#N/A</v>
      </c>
      <c r="CJ118" s="126" t="str">
        <f t="shared" si="40"/>
        <v>ERROR: check cell</v>
      </c>
      <c r="CK118" s="126"/>
      <c r="CL118" s="127" t="str">
        <f t="shared" si="41"/>
        <v>#DIV/0!</v>
      </c>
      <c r="CM118" s="128" t="str">
        <f t="shared" si="42"/>
        <v>#DIV/0!</v>
      </c>
      <c r="CN118" s="128">
        <f t="shared" si="43"/>
        <v>4</v>
      </c>
      <c r="CO118" s="129">
        <f t="shared" si="44"/>
        <v>4</v>
      </c>
      <c r="CP118" s="129" t="str">
        <f>IFS(C118=Preferences!B$13,B118,B118=Preferences!B$13,C118)</f>
        <v>#N/A</v>
      </c>
    </row>
    <row r="119" ht="13.5" customHeight="1">
      <c r="A119" s="63" t="str">
        <f t="shared" si="45"/>
        <v/>
      </c>
      <c r="B119" s="64"/>
      <c r="C119" s="64"/>
      <c r="D119" s="64"/>
      <c r="E119" s="65"/>
      <c r="F119" s="65"/>
      <c r="G119" s="65"/>
      <c r="H119" s="66"/>
      <c r="I119" s="66"/>
      <c r="J119" s="67"/>
      <c r="K119" s="68"/>
      <c r="L119" s="104"/>
      <c r="M119" s="104"/>
      <c r="N119" s="104"/>
      <c r="O119" s="104"/>
      <c r="P119" s="107" t="str">
        <f t="shared" si="1"/>
        <v/>
      </c>
      <c r="Q119" s="108" t="str">
        <f>IFERROR(IF(AND(Preferences!B$3="Manual",OR(AX119/AW119&gt;G119/F119,BD119="Serious",BD119="Very serious")),"Assess imprecision",IFS(ISBLANK(E119),"",AND(Preferences!B$3="Automatic", G119/F119&gt;=30),"Extremely serious",AND(H119&lt;=$D$1*-1,J119&lt;0,G119/F119&lt;3),"Not serious",AND(H119&lt;=$D$1*-1,J119&lt;0,G119/F119&gt;=3),"Very serious",AND(H119&gt;=$D$1,I119&gt;0,G119/F119&lt;3),"Not serious",AND(H119&gt;=$D$1,I119&gt;0,G119/F119&gt;=3),"Very serious",AND(H119&lt;=$D$1*-1,J119&gt;0,I119&gt;$D$2*-1,G119/F119&lt;3),"Serious", AND(H119&lt;=$D$1*-1,J119&gt;0,I119&lt;$D$2*-1,G119/F119&lt;3),"Very serious", AND(H119&gt;=$D$1,I119&lt;0,J119&lt;$D$2,G119/F119&lt;3),"Serious",AND(H119&gt;=$D$1,I119&lt;0,J119&gt;$D$2,G119/F119&lt;3),"Very serious", AND(H119&lt;=$D$1*-1,J119&gt;0,I119&gt;$D$2*-1,G119/F119&gt;=3),"Very serious", AND(H119&lt;=$D$1*-1,J119&gt;0,I119&lt;$D$2*-1,G119/F119&gt;=3),"Very serious", AND(H119&gt;=$D$1,I119&lt;0,J119&lt;$D$2,G119/F119&gt;=3),"Very serious", AND(H119&gt;=$D$1,I119&lt;0,J119&gt;$D$2,G119/F119&gt;=3),"Very serious", AND(H119&gt;$D$1*-1,H119&lt;$D$1,I119&gt;$D$1*-1,J119&lt;$D$1,G119/F119&lt;3),"Not serious", AND(H119&gt;$D$1*-1,H119&lt;$D$1,OR(I119&lt;=$D$1*-1,J119&gt;=$D$1),I119&gt;$D$2*-1,J119&lt;$D$2,G119/F119&lt;3),"Serious", AND(H119&gt;$D$1*-1,H119&lt;$D$1,OR(I119&lt;=$D$2*-1,J119&gt;=$D$2),G119/F119&lt;3),"Very serious", AND(H119&gt;$D$1*-1,H119&lt;$D$1,I119&gt;$D$1*-1,J119&lt;$D$1,G119/F119&gt;=3),"Very serious", AND(H119&gt;$D$1*-1,H119&lt;$D$1,OR(I119&lt;=$D$1*-1,J119&gt;=$D$1),I119&gt;$D$2*-1,J119&lt;$D$2,G119/F119&gt;=3),"Very serious", AND(H119&gt;$D$1*-1,H119&lt;$D$1,OR(I119&lt;=$D$2*-1,J119&gt;=$D$2),G119/F119&gt;=3),"Very serious")),"")</f>
        <v/>
      </c>
      <c r="R119" s="109" t="str">
        <f t="shared" si="47"/>
        <v/>
      </c>
      <c r="S119" s="64"/>
      <c r="T119" s="146"/>
      <c r="U119" s="146"/>
      <c r="V119" s="146"/>
      <c r="W119" s="73"/>
      <c r="X119" s="73"/>
      <c r="Y119" s="74"/>
      <c r="Z119" s="113" t="str">
        <f t="array" ref="Z119">INDEX($A$1:$C$500, MATCH(1,($B:$B=$B119)*($C:$C=$AB119),0),1)</f>
        <v/>
      </c>
      <c r="AA119" s="113" t="str">
        <f t="array" ref="AA119">INDEX($A$1:$C$500, MATCH(1,($B:$B=$AB119)*($C:$C=$B119),0),1)</f>
        <v/>
      </c>
      <c r="AB119" s="111"/>
      <c r="AC119" s="114" t="str">
        <f t="shared" si="2"/>
        <v/>
      </c>
      <c r="AD119" s="115" t="str">
        <f t="shared" si="3"/>
        <v/>
      </c>
      <c r="AE119" s="116" t="str">
        <f t="array" ref="AE119">INDEX($A$1:$C$500, MATCH(1,($B:$B=$AB119)*($C:$C=$AG119),0),1)</f>
        <v/>
      </c>
      <c r="AF119" s="116" t="str">
        <f t="array" ref="AF119">INDEX($A$1:$C$500, MATCH(1,($B:$B=$AG119)*($C:$C=$AB119),0),1)</f>
        <v/>
      </c>
      <c r="AG119" s="72"/>
      <c r="AH119" s="114" t="str">
        <f t="shared" si="4"/>
        <v/>
      </c>
      <c r="AI119" s="115" t="str">
        <f t="shared" si="5"/>
        <v/>
      </c>
      <c r="AJ119" s="116" t="str">
        <f t="array" ref="AJ119">INDEX($A$1:$C$500, MATCH(1,($B:$B=$C119)*($C:$C=$AG119),0),1)</f>
        <v/>
      </c>
      <c r="AK119" s="116" t="str">
        <f t="array" ref="AK119">INDEX($A$1:$C$500, MATCH(1,($B:$B=$AG119)*($C:$C=$C119),0),1)</f>
        <v/>
      </c>
      <c r="AL119" s="116" t="str">
        <f t="array" ref="AL119">INDEX($A$1:$C$500, MATCH(1,($B:$B=$C119)*($C:$C=$AB119),0),1)</f>
        <v/>
      </c>
      <c r="AM119" s="116" t="str">
        <f t="array" ref="AM119">INDEX($A$1:$C$500, MATCH(1,($B:$B=$AB119)*($C:$C=$C119),0),1)</f>
        <v/>
      </c>
      <c r="AN119" s="114" t="str">
        <f t="array" ref="AN119">IFS(ISNUMBER(AJ119),AJ119,ISNUMBER(AK119),AK119,ISNUMBER(AL119),AL119,ISNUMBER(AM119),AM119)</f>
        <v>#N/A</v>
      </c>
      <c r="AO119" s="115" t="str">
        <f t="shared" si="6"/>
        <v/>
      </c>
      <c r="AP119" s="115" t="str">
        <f t="shared" si="7"/>
        <v/>
      </c>
      <c r="AQ119" s="111"/>
      <c r="AR119" s="109" t="str">
        <f t="shared" si="8"/>
        <v/>
      </c>
      <c r="AS119" s="72" t="str">
        <f>IFERROR(IF(AND(Preferences!B$3="Manual",OR(AX119/AW119&gt;V119/U119,BD119="Serious",BD119="Very serious")),"Assess imprecision",IFERROR(IFS(AND(Preferences!B$3="Automatic",V119/U119&gt;=30),"Extremely serious",AND(W119&lt;=$D$1*-1,Y119&lt;0,V119/U119&lt;3),"Not Serious",AND(W119&lt;=$D$1*-1,Y119&lt;0,V119/U119&gt;=3),"Very serious",AND(W119&gt;=$D$1,X119&gt;0,V119/U119&lt;3),"Not Serious",AND(W119&gt;=$D$1,X119&gt;0,V119/U119&gt;=3),"Very serious",AND(W119&lt;=$D$1*-1,Y119&gt;0,X119&gt;$D$2*-1,V119/U119&lt;3),"Serious", AND(W119&lt;=$D$1*-1,Y119&gt;0,X119&lt;$D$2*-1,V119/U119&lt;3),"Very serious", AND(W119&gt;=$D$1,X119&lt;0,Y119&lt;$D$2,V119/U119&lt;3),"Serious",AND(W119&gt;=$D$1,X119&lt;0,Y119&gt;$D$2,V119/U119&lt;3),"Very serious", AND(W119&lt;=$D$1*-1,Y119&gt;0,X119&gt;$D$2*-1,V119/U119&gt;=3),"Very serious", AND(W119&lt;=$D$1*-1,Y119&gt;0,X119&lt;$D$2*-1,V119/U119&gt;=3),"Very serious", AND(W119&gt;=$D$1,X119&lt;0,Y119&lt;$D$2,V119/U119&gt;=3),"Very serious", AND(W119&gt;=$D$1,X119&lt;0,Y119&gt;$D$2,V119/U119&gt;=3),"Very serious", AND(W119&gt;$D$1*-1,W119&lt;$D$1,X119&gt;$D$1*-1,Y119&lt;$D$1,V119/U119&lt;3),"Not Serious", AND(W119&gt;$D$1*-1,W119&lt;$D$1,OR(X119&lt;=$D$1*-1,Y119&gt;=$D$1),X119&gt;$D$2*-1,Y119&lt;$D$2,V119/U119&lt;3),"Serious", AND(W119&gt;$D$1*-1,W119&lt;$D$1,OR(X119&lt;=$D$2*-1,Y119&gt;=$D$2),V119/U119&lt;3),"Very serious", AND(W119&gt;$D$1*-1,W119&lt;$D$1,X119&gt;$D$1*-1,Y119&lt;$D$1,V119/U119&gt;=3),"Very serious", AND(W119&gt;$D$1*-1,W119&lt;$D$1,OR(X119&lt;=$D$1*-1,Y119&gt;=$D$1),X119&gt;$D$2*-1,Y119&lt;$D$2,V119/U119&gt;=3),"Very serious", AND(W119&gt;$D$1*-1,W119&lt;$D$1,OR(X119&lt;=$D$2*-1,Y119&gt;=$D$2),V119/U119&gt;=3),"Very serious"),"")),"")</f>
        <v/>
      </c>
      <c r="AT119" s="109" t="str">
        <f t="shared" si="9"/>
        <v/>
      </c>
      <c r="AU119" s="64"/>
      <c r="AV119" s="147"/>
      <c r="AW119" s="147"/>
      <c r="AX119" s="147"/>
      <c r="AY119" s="118"/>
      <c r="AZ119" s="118"/>
      <c r="BA119" s="119"/>
      <c r="BB119" s="86" t="str">
        <f>IF(Preferences!B$9="Manual","",IFS(ISBLANK(B119),"",AND(ISNUMBER(E119)=TRUE,ISNUMBER(T119)=FALSE),"Direct", AND(ISNUMBER(E119)=FALSE,ISNUMBER(T119)=TRUE),"Indirect", CN119=4,"Direct",AND(CL119=FALSE, CM119=TRUE,CN119-CO119&gt;-1),"Direct", AND(CL119=FALSE,CM119=TRUE, CN119-CO119&lt;0),"Check algorithm in appendix 2", AND(CL119=TRUE, CM119=FALSE,CN119-CO119&gt;0),"Check algorithm in appendix 2", AND(CL119=TRUE, CM119=FALSE,CN119-CO119=0),"Indirect", AND(CL119=TRUE, CM119=FALSE,CN119-CO119&lt;0),"Indirect", AND(CL119=FALSE,CM119=FALSE,CN119-CO119&gt;-1),"Direct", AND(CL119=FALSE,CM119=FALSE,CN119-CO119&lt;0),"Check algorithm in appendix 2", AND(CL119=TRUE,CM119=TRUE,CN119-CO119&gt;-1),"Direct", AND(CL119=TRUE,CM119=TRUE,CN119-CO119&lt;0),"Check algorithm in appendix 2"))</f>
        <v/>
      </c>
      <c r="BC119" s="120" t="str">
        <f t="shared" si="10"/>
        <v/>
      </c>
      <c r="BD119" s="140"/>
      <c r="BE119" s="122" t="str">
        <f>IF(Preferences!B$3="Manual","", IFERROR(IFS(AND(Preferences!B$3="Automatic",AX119/AW119&gt;=30),"Extremely serious",AND(AY119&lt;=$D$1*-1,BA119&lt;0,AX119/AW119&lt;3),"Not Serious",AND(AY119&lt;=$D$1*-1,BA119&lt;0,AX119/AW119&gt;=3),"Very serious",AND(AY119&gt;=$D$1,AZ119&gt;0,AX119/AW119&lt;3),"Not Serious",AND(AY119&gt;=$D$1,AZ119&gt;0,AX119/AW119&gt;=3),"Very serious",AND(AY119&lt;=$D$1*-1,BA119&gt;0,AZ119&gt;$D$2*-1,AX119/AW119&lt;3),"Serious", AND(AY119&lt;=$D$1*-1,BA119&gt;0,AZ119&lt;$D$2*-1,AX119/AW119&lt;3),"Very serious", AND(AY119&gt;=$D$1,AZ119&lt;0,BA119&lt;$D$2,AX119/AW119&lt;3),"Serious",AND(AY119&gt;=$D$1,AZ119&lt;0,BA119&gt;$D$2,AX119/AW119&lt;3),"Very serious", AND(AY119&lt;=$D$1*-1,BA119&gt;0,AZ119&gt;$D$2*-1,AX119/AW119&gt;=3),"Very serious", AND(AY119&lt;=$D$1*-1,BA119&gt;0,AZ119&lt;$D$2*-1,AX119/AW119&gt;=3),"Very serious", AND(AY119&gt;=$D$1,AZ119&lt;0,BA119&lt;$D$2,AX119/AW119&gt;=3),"Very serious", AND(AY119&gt;=$D$1,AZ119&lt;0,BA119&gt;$D$2,AX119/AW119&gt;=3),"Very serious", AND(AY119&gt;$D$1*-1,AY119&lt;$D$1,AZ119&gt;$D$1*-1,BA119&lt;$D$1,AX119/AW119&lt;3),"Not Serious", AND(AY119&gt;$D$1*-1,AY119&lt;$D$1,OR(AZ119&lt;=$D$1*-1,BA119&gt;=$D$1),AZ119&gt;$D$2*-1,BA119&lt;$D$2,AX119/AW119&lt;3),"Serious", AND(AY119&gt;$D$1*-1,AY119&lt;$D$1,OR(AZ119&lt;=$D$2*-1,BA119&gt;=$D$2),AX119/AW119&lt;3),"Very serious", AND(AY119&gt;$D$1*-1,AY119&lt;$D$1,AZ119&gt;$D$1*-1,BA119&lt;$D$1,AX119/AW119&gt;=3),"Very serious", AND(AY119&gt;$D$1*-1,AY119&lt;$D$1,OR(AZ119&lt;=$D$1*-1,BA119&gt;=$D$1),AZ119&gt;$D$2*-1,BA119&lt;$D$2,AX119/AW119&gt;=3),"Very serious", AND(AY119&gt;$D$1*-1,AY119&lt;$D$1,OR(AZ119&lt;=$D$2*-1,BA119&gt;=$D$2),AX119/AW119&gt;=3),"Very serious"),""))</f>
        <v/>
      </c>
      <c r="BF119" s="107" t="str">
        <f t="shared" si="11"/>
        <v/>
      </c>
      <c r="BG119" s="94" t="str">
        <f t="shared" si="46"/>
        <v/>
      </c>
      <c r="BH119" s="64" t="str">
        <f t="shared" si="12"/>
        <v>#N/A</v>
      </c>
      <c r="BI119" s="64" t="str">
        <f t="shared" si="13"/>
        <v/>
      </c>
      <c r="BJ119" s="123" t="str">
        <f t="shared" si="14"/>
        <v>#N/A</v>
      </c>
      <c r="BK119" s="64" t="str">
        <f t="shared" si="50"/>
        <v>YES</v>
      </c>
      <c r="BL119" s="64" t="str">
        <f t="shared" si="16"/>
        <v>YES</v>
      </c>
      <c r="BM119" s="64" t="str">
        <f t="shared" si="17"/>
        <v>YES</v>
      </c>
      <c r="BN119" s="124" t="str">
        <f t="shared" si="18"/>
        <v/>
      </c>
      <c r="BO119" s="91" t="str">
        <f t="shared" si="19"/>
        <v/>
      </c>
      <c r="BP119" s="91" t="str">
        <f t="shared" si="20"/>
        <v>#N/A</v>
      </c>
      <c r="BQ119" s="91" t="str">
        <f t="shared" si="21"/>
        <v/>
      </c>
      <c r="BR119" s="93" t="str">
        <f t="shared" si="22"/>
        <v/>
      </c>
      <c r="BS119" s="90" t="str">
        <f t="shared" si="23"/>
        <v/>
      </c>
      <c r="BT119" s="93" t="str">
        <f t="shared" si="24"/>
        <v>NA</v>
      </c>
      <c r="BU119" s="125" t="str">
        <f t="shared" si="25"/>
        <v>#N/A</v>
      </c>
      <c r="BV119" s="93" t="str">
        <f t="shared" si="26"/>
        <v/>
      </c>
      <c r="BW119" s="93" t="str">
        <f t="shared" si="27"/>
        <v/>
      </c>
      <c r="BX119" s="93" t="str">
        <f t="shared" si="28"/>
        <v>NA</v>
      </c>
      <c r="BY119" s="95" t="str">
        <f t="shared" si="29"/>
        <v>#N/A</v>
      </c>
      <c r="BZ119" s="93" t="str">
        <f t="shared" si="30"/>
        <v/>
      </c>
      <c r="CA119" s="93" t="str">
        <f t="shared" si="31"/>
        <v/>
      </c>
      <c r="CB119" s="93" t="str">
        <f t="shared" si="32"/>
        <v>NA</v>
      </c>
      <c r="CC119" s="96" t="str">
        <f t="shared" si="33"/>
        <v>#N/A</v>
      </c>
      <c r="CD119" s="93" t="str">
        <f t="shared" si="34"/>
        <v/>
      </c>
      <c r="CE119" s="93" t="str">
        <f t="shared" si="35"/>
        <v/>
      </c>
      <c r="CF119" s="93" t="str">
        <f t="shared" si="36"/>
        <v>NA</v>
      </c>
      <c r="CG119" s="97" t="str">
        <f t="shared" si="37"/>
        <v>#N/A</v>
      </c>
      <c r="CH119" s="98" t="str">
        <f t="shared" si="38"/>
        <v>#N/A</v>
      </c>
      <c r="CI119" s="99" t="str">
        <f t="shared" si="39"/>
        <v>#N/A</v>
      </c>
      <c r="CJ119" s="126" t="str">
        <f t="shared" si="40"/>
        <v>ERROR: check cell</v>
      </c>
      <c r="CK119" s="126"/>
      <c r="CL119" s="127" t="str">
        <f t="shared" si="41"/>
        <v>#DIV/0!</v>
      </c>
      <c r="CM119" s="128" t="str">
        <f t="shared" si="42"/>
        <v>#DIV/0!</v>
      </c>
      <c r="CN119" s="128">
        <f t="shared" si="43"/>
        <v>4</v>
      </c>
      <c r="CO119" s="129">
        <f t="shared" si="44"/>
        <v>4</v>
      </c>
      <c r="CP119" s="129" t="str">
        <f>IFS(C119=Preferences!B$13,B119,B119=Preferences!B$13,C119)</f>
        <v>#N/A</v>
      </c>
    </row>
    <row r="120" ht="13.5" customHeight="1">
      <c r="A120" s="63" t="str">
        <f t="shared" si="45"/>
        <v/>
      </c>
      <c r="B120" s="64"/>
      <c r="C120" s="64"/>
      <c r="D120" s="64"/>
      <c r="E120" s="65"/>
      <c r="F120" s="65"/>
      <c r="G120" s="65"/>
      <c r="H120" s="66"/>
      <c r="I120" s="66"/>
      <c r="J120" s="67"/>
      <c r="K120" s="68"/>
      <c r="L120" s="104"/>
      <c r="M120" s="104"/>
      <c r="N120" s="104"/>
      <c r="O120" s="104"/>
      <c r="P120" s="107" t="str">
        <f t="shared" si="1"/>
        <v/>
      </c>
      <c r="Q120" s="108" t="str">
        <f>IFERROR(IF(AND(Preferences!B$3="Manual",OR(AX120/AW120&gt;G120/F120,BD120="Serious",BD120="Very serious")),"Assess imprecision",IFS(ISBLANK(E120),"",AND(Preferences!B$3="Automatic", G120/F120&gt;=30),"Extremely serious",AND(H120&lt;=$D$1*-1,J120&lt;0,G120/F120&lt;3),"Not serious",AND(H120&lt;=$D$1*-1,J120&lt;0,G120/F120&gt;=3),"Very serious",AND(H120&gt;=$D$1,I120&gt;0,G120/F120&lt;3),"Not serious",AND(H120&gt;=$D$1,I120&gt;0,G120/F120&gt;=3),"Very serious",AND(H120&lt;=$D$1*-1,J120&gt;0,I120&gt;$D$2*-1,G120/F120&lt;3),"Serious", AND(H120&lt;=$D$1*-1,J120&gt;0,I120&lt;$D$2*-1,G120/F120&lt;3),"Very serious", AND(H120&gt;=$D$1,I120&lt;0,J120&lt;$D$2,G120/F120&lt;3),"Serious",AND(H120&gt;=$D$1,I120&lt;0,J120&gt;$D$2,G120/F120&lt;3),"Very serious", AND(H120&lt;=$D$1*-1,J120&gt;0,I120&gt;$D$2*-1,G120/F120&gt;=3),"Very serious", AND(H120&lt;=$D$1*-1,J120&gt;0,I120&lt;$D$2*-1,G120/F120&gt;=3),"Very serious", AND(H120&gt;=$D$1,I120&lt;0,J120&lt;$D$2,G120/F120&gt;=3),"Very serious", AND(H120&gt;=$D$1,I120&lt;0,J120&gt;$D$2,G120/F120&gt;=3),"Very serious", AND(H120&gt;$D$1*-1,H120&lt;$D$1,I120&gt;$D$1*-1,J120&lt;$D$1,G120/F120&lt;3),"Not serious", AND(H120&gt;$D$1*-1,H120&lt;$D$1,OR(I120&lt;=$D$1*-1,J120&gt;=$D$1),I120&gt;$D$2*-1,J120&lt;$D$2,G120/F120&lt;3),"Serious", AND(H120&gt;$D$1*-1,H120&lt;$D$1,OR(I120&lt;=$D$2*-1,J120&gt;=$D$2),G120/F120&lt;3),"Very serious", AND(H120&gt;$D$1*-1,H120&lt;$D$1,I120&gt;$D$1*-1,J120&lt;$D$1,G120/F120&gt;=3),"Very serious", AND(H120&gt;$D$1*-1,H120&lt;$D$1,OR(I120&lt;=$D$1*-1,J120&gt;=$D$1),I120&gt;$D$2*-1,J120&lt;$D$2,G120/F120&gt;=3),"Very serious", AND(H120&gt;$D$1*-1,H120&lt;$D$1,OR(I120&lt;=$D$2*-1,J120&gt;=$D$2),G120/F120&gt;=3),"Very serious")),"")</f>
        <v/>
      </c>
      <c r="R120" s="109" t="str">
        <f t="shared" si="47"/>
        <v/>
      </c>
      <c r="S120" s="64"/>
      <c r="T120" s="146"/>
      <c r="U120" s="146"/>
      <c r="V120" s="146"/>
      <c r="W120" s="73"/>
      <c r="X120" s="73"/>
      <c r="Y120" s="74"/>
      <c r="Z120" s="113" t="str">
        <f t="array" ref="Z120">INDEX($A$1:$C$500, MATCH(1,($B:$B=$B120)*($C:$C=$AB120),0),1)</f>
        <v/>
      </c>
      <c r="AA120" s="113" t="str">
        <f t="array" ref="AA120">INDEX($A$1:$C$500, MATCH(1,($B:$B=$AB120)*($C:$C=$B120),0),1)</f>
        <v/>
      </c>
      <c r="AB120" s="111"/>
      <c r="AC120" s="114" t="str">
        <f t="shared" si="2"/>
        <v/>
      </c>
      <c r="AD120" s="115" t="str">
        <f t="shared" si="3"/>
        <v/>
      </c>
      <c r="AE120" s="116" t="str">
        <f t="array" ref="AE120">INDEX($A$1:$C$500, MATCH(1,($B:$B=$AB120)*($C:$C=$AG120),0),1)</f>
        <v/>
      </c>
      <c r="AF120" s="116" t="str">
        <f t="array" ref="AF120">INDEX($A$1:$C$500, MATCH(1,($B:$B=$AG120)*($C:$C=$AB120),0),1)</f>
        <v/>
      </c>
      <c r="AG120" s="72"/>
      <c r="AH120" s="114" t="str">
        <f t="shared" si="4"/>
        <v/>
      </c>
      <c r="AI120" s="115" t="str">
        <f t="shared" si="5"/>
        <v/>
      </c>
      <c r="AJ120" s="116" t="str">
        <f t="array" ref="AJ120">INDEX($A$1:$C$500, MATCH(1,($B:$B=$C120)*($C:$C=$AG120),0),1)</f>
        <v/>
      </c>
      <c r="AK120" s="116" t="str">
        <f t="array" ref="AK120">INDEX($A$1:$C$500, MATCH(1,($B:$B=$AG120)*($C:$C=$C120),0),1)</f>
        <v/>
      </c>
      <c r="AL120" s="116" t="str">
        <f t="array" ref="AL120">INDEX($A$1:$C$500, MATCH(1,($B:$B=$C120)*($C:$C=$AB120),0),1)</f>
        <v/>
      </c>
      <c r="AM120" s="116" t="str">
        <f t="array" ref="AM120">INDEX($A$1:$C$500, MATCH(1,($B:$B=$AB120)*($C:$C=$C120),0),1)</f>
        <v/>
      </c>
      <c r="AN120" s="114" t="str">
        <f t="array" ref="AN120">IFS(ISNUMBER(AJ120),AJ120,ISNUMBER(AK120),AK120,ISNUMBER(AL120),AL120,ISNUMBER(AM120),AM120)</f>
        <v>#N/A</v>
      </c>
      <c r="AO120" s="115" t="str">
        <f t="shared" si="6"/>
        <v/>
      </c>
      <c r="AP120" s="115" t="str">
        <f t="shared" si="7"/>
        <v/>
      </c>
      <c r="AQ120" s="111"/>
      <c r="AR120" s="109" t="str">
        <f t="shared" si="8"/>
        <v/>
      </c>
      <c r="AS120" s="72" t="str">
        <f>IFERROR(IF(AND(Preferences!B$3="Manual",OR(AX120/AW120&gt;V120/U120,BD120="Serious",BD120="Very serious")),"Assess imprecision",IFERROR(IFS(AND(Preferences!B$3="Automatic",V120/U120&gt;=30),"Extremely serious",AND(W120&lt;=$D$1*-1,Y120&lt;0,V120/U120&lt;3),"Not Serious",AND(W120&lt;=$D$1*-1,Y120&lt;0,V120/U120&gt;=3),"Very serious",AND(W120&gt;=$D$1,X120&gt;0,V120/U120&lt;3),"Not Serious",AND(W120&gt;=$D$1,X120&gt;0,V120/U120&gt;=3),"Very serious",AND(W120&lt;=$D$1*-1,Y120&gt;0,X120&gt;$D$2*-1,V120/U120&lt;3),"Serious", AND(W120&lt;=$D$1*-1,Y120&gt;0,X120&lt;$D$2*-1,V120/U120&lt;3),"Very serious", AND(W120&gt;=$D$1,X120&lt;0,Y120&lt;$D$2,V120/U120&lt;3),"Serious",AND(W120&gt;=$D$1,X120&lt;0,Y120&gt;$D$2,V120/U120&lt;3),"Very serious", AND(W120&lt;=$D$1*-1,Y120&gt;0,X120&gt;$D$2*-1,V120/U120&gt;=3),"Very serious", AND(W120&lt;=$D$1*-1,Y120&gt;0,X120&lt;$D$2*-1,V120/U120&gt;=3),"Very serious", AND(W120&gt;=$D$1,X120&lt;0,Y120&lt;$D$2,V120/U120&gt;=3),"Very serious", AND(W120&gt;=$D$1,X120&lt;0,Y120&gt;$D$2,V120/U120&gt;=3),"Very serious", AND(W120&gt;$D$1*-1,W120&lt;$D$1,X120&gt;$D$1*-1,Y120&lt;$D$1,V120/U120&lt;3),"Not Serious", AND(W120&gt;$D$1*-1,W120&lt;$D$1,OR(X120&lt;=$D$1*-1,Y120&gt;=$D$1),X120&gt;$D$2*-1,Y120&lt;$D$2,V120/U120&lt;3),"Serious", AND(W120&gt;$D$1*-1,W120&lt;$D$1,OR(X120&lt;=$D$2*-1,Y120&gt;=$D$2),V120/U120&lt;3),"Very serious", AND(W120&gt;$D$1*-1,W120&lt;$D$1,X120&gt;$D$1*-1,Y120&lt;$D$1,V120/U120&gt;=3),"Very serious", AND(W120&gt;$D$1*-1,W120&lt;$D$1,OR(X120&lt;=$D$1*-1,Y120&gt;=$D$1),X120&gt;$D$2*-1,Y120&lt;$D$2,V120/U120&gt;=3),"Very serious", AND(W120&gt;$D$1*-1,W120&lt;$D$1,OR(X120&lt;=$D$2*-1,Y120&gt;=$D$2),V120/U120&gt;=3),"Very serious"),"")),"")</f>
        <v/>
      </c>
      <c r="AT120" s="109" t="str">
        <f t="shared" si="9"/>
        <v/>
      </c>
      <c r="AU120" s="64"/>
      <c r="AV120" s="147"/>
      <c r="AW120" s="147"/>
      <c r="AX120" s="147"/>
      <c r="AY120" s="118"/>
      <c r="AZ120" s="118"/>
      <c r="BA120" s="119"/>
      <c r="BB120" s="86" t="str">
        <f>IF(Preferences!B$9="Manual","",IFS(ISBLANK(B120),"",AND(ISNUMBER(E120)=TRUE,ISNUMBER(T120)=FALSE),"Direct", AND(ISNUMBER(E120)=FALSE,ISNUMBER(T120)=TRUE),"Indirect", CN120=4,"Direct",AND(CL120=FALSE, CM120=TRUE,CN120-CO120&gt;-1),"Direct", AND(CL120=FALSE,CM120=TRUE, CN120-CO120&lt;0),"Check algorithm in appendix 2", AND(CL120=TRUE, CM120=FALSE,CN120-CO120&gt;0),"Check algorithm in appendix 2", AND(CL120=TRUE, CM120=FALSE,CN120-CO120=0),"Indirect", AND(CL120=TRUE, CM120=FALSE,CN120-CO120&lt;0),"Indirect", AND(CL120=FALSE,CM120=FALSE,CN120-CO120&gt;-1),"Direct", AND(CL120=FALSE,CM120=FALSE,CN120-CO120&lt;0),"Check algorithm in appendix 2", AND(CL120=TRUE,CM120=TRUE,CN120-CO120&gt;-1),"Direct", AND(CL120=TRUE,CM120=TRUE,CN120-CO120&lt;0),"Check algorithm in appendix 2"))</f>
        <v/>
      </c>
      <c r="BC120" s="120" t="str">
        <f t="shared" si="10"/>
        <v/>
      </c>
      <c r="BD120" s="140"/>
      <c r="BE120" s="122" t="str">
        <f>IF(Preferences!B$3="Manual","", IFERROR(IFS(AND(Preferences!B$3="Automatic",AX120/AW120&gt;=30),"Extremely serious",AND(AY120&lt;=$D$1*-1,BA120&lt;0,AX120/AW120&lt;3),"Not Serious",AND(AY120&lt;=$D$1*-1,BA120&lt;0,AX120/AW120&gt;=3),"Very serious",AND(AY120&gt;=$D$1,AZ120&gt;0,AX120/AW120&lt;3),"Not Serious",AND(AY120&gt;=$D$1,AZ120&gt;0,AX120/AW120&gt;=3),"Very serious",AND(AY120&lt;=$D$1*-1,BA120&gt;0,AZ120&gt;$D$2*-1,AX120/AW120&lt;3),"Serious", AND(AY120&lt;=$D$1*-1,BA120&gt;0,AZ120&lt;$D$2*-1,AX120/AW120&lt;3),"Very serious", AND(AY120&gt;=$D$1,AZ120&lt;0,BA120&lt;$D$2,AX120/AW120&lt;3),"Serious",AND(AY120&gt;=$D$1,AZ120&lt;0,BA120&gt;$D$2,AX120/AW120&lt;3),"Very serious", AND(AY120&lt;=$D$1*-1,BA120&gt;0,AZ120&gt;$D$2*-1,AX120/AW120&gt;=3),"Very serious", AND(AY120&lt;=$D$1*-1,BA120&gt;0,AZ120&lt;$D$2*-1,AX120/AW120&gt;=3),"Very serious", AND(AY120&gt;=$D$1,AZ120&lt;0,BA120&lt;$D$2,AX120/AW120&gt;=3),"Very serious", AND(AY120&gt;=$D$1,AZ120&lt;0,BA120&gt;$D$2,AX120/AW120&gt;=3),"Very serious", AND(AY120&gt;$D$1*-1,AY120&lt;$D$1,AZ120&gt;$D$1*-1,BA120&lt;$D$1,AX120/AW120&lt;3),"Not Serious", AND(AY120&gt;$D$1*-1,AY120&lt;$D$1,OR(AZ120&lt;=$D$1*-1,BA120&gt;=$D$1),AZ120&gt;$D$2*-1,BA120&lt;$D$2,AX120/AW120&lt;3),"Serious", AND(AY120&gt;$D$1*-1,AY120&lt;$D$1,OR(AZ120&lt;=$D$2*-1,BA120&gt;=$D$2),AX120/AW120&lt;3),"Very serious", AND(AY120&gt;$D$1*-1,AY120&lt;$D$1,AZ120&gt;$D$1*-1,BA120&lt;$D$1,AX120/AW120&gt;=3),"Very serious", AND(AY120&gt;$D$1*-1,AY120&lt;$D$1,OR(AZ120&lt;=$D$1*-1,BA120&gt;=$D$1),AZ120&gt;$D$2*-1,BA120&lt;$D$2,AX120/AW120&gt;=3),"Very serious", AND(AY120&gt;$D$1*-1,AY120&lt;$D$1,OR(AZ120&lt;=$D$2*-1,BA120&gt;=$D$2),AX120/AW120&gt;=3),"Very serious"),""))</f>
        <v/>
      </c>
      <c r="BF120" s="107" t="str">
        <f t="shared" si="11"/>
        <v/>
      </c>
      <c r="BG120" s="94" t="str">
        <f t="shared" si="46"/>
        <v/>
      </c>
      <c r="BH120" s="64" t="str">
        <f t="shared" si="12"/>
        <v>#N/A</v>
      </c>
      <c r="BI120" s="64" t="str">
        <f t="shared" si="13"/>
        <v/>
      </c>
      <c r="BJ120" s="123" t="str">
        <f t="shared" si="14"/>
        <v>#N/A</v>
      </c>
      <c r="BK120" s="64" t="str">
        <f t="shared" si="50"/>
        <v>YES</v>
      </c>
      <c r="BL120" s="64" t="str">
        <f t="shared" si="16"/>
        <v>YES</v>
      </c>
      <c r="BM120" s="64" t="str">
        <f t="shared" si="17"/>
        <v>YES</v>
      </c>
      <c r="BN120" s="124" t="str">
        <f t="shared" si="18"/>
        <v/>
      </c>
      <c r="BO120" s="91" t="str">
        <f t="shared" si="19"/>
        <v/>
      </c>
      <c r="BP120" s="91" t="str">
        <f t="shared" si="20"/>
        <v>#N/A</v>
      </c>
      <c r="BQ120" s="91" t="str">
        <f t="shared" si="21"/>
        <v/>
      </c>
      <c r="BR120" s="93" t="str">
        <f t="shared" si="22"/>
        <v/>
      </c>
      <c r="BS120" s="90" t="str">
        <f t="shared" si="23"/>
        <v/>
      </c>
      <c r="BT120" s="93" t="str">
        <f t="shared" si="24"/>
        <v>NA</v>
      </c>
      <c r="BU120" s="125" t="str">
        <f t="shared" si="25"/>
        <v>#N/A</v>
      </c>
      <c r="BV120" s="93" t="str">
        <f t="shared" si="26"/>
        <v/>
      </c>
      <c r="BW120" s="93" t="str">
        <f t="shared" si="27"/>
        <v/>
      </c>
      <c r="BX120" s="93" t="str">
        <f t="shared" si="28"/>
        <v>NA</v>
      </c>
      <c r="BY120" s="95" t="str">
        <f t="shared" si="29"/>
        <v>#N/A</v>
      </c>
      <c r="BZ120" s="93" t="str">
        <f t="shared" si="30"/>
        <v/>
      </c>
      <c r="CA120" s="93" t="str">
        <f t="shared" si="31"/>
        <v/>
      </c>
      <c r="CB120" s="93" t="str">
        <f t="shared" si="32"/>
        <v>NA</v>
      </c>
      <c r="CC120" s="96" t="str">
        <f t="shared" si="33"/>
        <v>#N/A</v>
      </c>
      <c r="CD120" s="93" t="str">
        <f t="shared" si="34"/>
        <v/>
      </c>
      <c r="CE120" s="93" t="str">
        <f t="shared" si="35"/>
        <v/>
      </c>
      <c r="CF120" s="93" t="str">
        <f t="shared" si="36"/>
        <v>NA</v>
      </c>
      <c r="CG120" s="97" t="str">
        <f t="shared" si="37"/>
        <v>#N/A</v>
      </c>
      <c r="CH120" s="98" t="str">
        <f t="shared" si="38"/>
        <v>#N/A</v>
      </c>
      <c r="CI120" s="99" t="str">
        <f t="shared" si="39"/>
        <v>#N/A</v>
      </c>
      <c r="CJ120" s="126" t="str">
        <f t="shared" si="40"/>
        <v>ERROR: check cell</v>
      </c>
      <c r="CK120" s="126"/>
      <c r="CL120" s="127" t="str">
        <f t="shared" si="41"/>
        <v>#DIV/0!</v>
      </c>
      <c r="CM120" s="128" t="str">
        <f t="shared" si="42"/>
        <v>#DIV/0!</v>
      </c>
      <c r="CN120" s="128">
        <f t="shared" si="43"/>
        <v>4</v>
      </c>
      <c r="CO120" s="129">
        <f t="shared" si="44"/>
        <v>4</v>
      </c>
      <c r="CP120" s="129" t="str">
        <f>IFS(C120=Preferences!B$13,B120,B120=Preferences!B$13,C120)</f>
        <v>#N/A</v>
      </c>
    </row>
    <row r="121" ht="13.5" customHeight="1">
      <c r="A121" s="63" t="str">
        <f t="shared" si="45"/>
        <v/>
      </c>
      <c r="B121" s="64"/>
      <c r="C121" s="64"/>
      <c r="D121" s="64"/>
      <c r="E121" s="65"/>
      <c r="F121" s="65"/>
      <c r="G121" s="65"/>
      <c r="H121" s="66"/>
      <c r="I121" s="66"/>
      <c r="J121" s="67"/>
      <c r="K121" s="68"/>
      <c r="L121" s="104"/>
      <c r="M121" s="104"/>
      <c r="N121" s="104"/>
      <c r="O121" s="104"/>
      <c r="P121" s="107" t="str">
        <f t="shared" si="1"/>
        <v/>
      </c>
      <c r="Q121" s="108" t="str">
        <f>IFERROR(IF(AND(Preferences!B$3="Manual",OR(AX121/AW121&gt;G121/F121,BD121="Serious",BD121="Very serious")),"Assess imprecision",IFS(ISBLANK(E121),"",AND(Preferences!B$3="Automatic", G121/F121&gt;=30),"Extremely serious",AND(H121&lt;=$D$1*-1,J121&lt;0,G121/F121&lt;3),"Not serious",AND(H121&lt;=$D$1*-1,J121&lt;0,G121/F121&gt;=3),"Very serious",AND(H121&gt;=$D$1,I121&gt;0,G121/F121&lt;3),"Not serious",AND(H121&gt;=$D$1,I121&gt;0,G121/F121&gt;=3),"Very serious",AND(H121&lt;=$D$1*-1,J121&gt;0,I121&gt;$D$2*-1,G121/F121&lt;3),"Serious", AND(H121&lt;=$D$1*-1,J121&gt;0,I121&lt;$D$2*-1,G121/F121&lt;3),"Very serious", AND(H121&gt;=$D$1,I121&lt;0,J121&lt;$D$2,G121/F121&lt;3),"Serious",AND(H121&gt;=$D$1,I121&lt;0,J121&gt;$D$2,G121/F121&lt;3),"Very serious", AND(H121&lt;=$D$1*-1,J121&gt;0,I121&gt;$D$2*-1,G121/F121&gt;=3),"Very serious", AND(H121&lt;=$D$1*-1,J121&gt;0,I121&lt;$D$2*-1,G121/F121&gt;=3),"Very serious", AND(H121&gt;=$D$1,I121&lt;0,J121&lt;$D$2,G121/F121&gt;=3),"Very serious", AND(H121&gt;=$D$1,I121&lt;0,J121&gt;$D$2,G121/F121&gt;=3),"Very serious", AND(H121&gt;$D$1*-1,H121&lt;$D$1,I121&gt;$D$1*-1,J121&lt;$D$1,G121/F121&lt;3),"Not serious", AND(H121&gt;$D$1*-1,H121&lt;$D$1,OR(I121&lt;=$D$1*-1,J121&gt;=$D$1),I121&gt;$D$2*-1,J121&lt;$D$2,G121/F121&lt;3),"Serious", AND(H121&gt;$D$1*-1,H121&lt;$D$1,OR(I121&lt;=$D$2*-1,J121&gt;=$D$2),G121/F121&lt;3),"Very serious", AND(H121&gt;$D$1*-1,H121&lt;$D$1,I121&gt;$D$1*-1,J121&lt;$D$1,G121/F121&gt;=3),"Very serious", AND(H121&gt;$D$1*-1,H121&lt;$D$1,OR(I121&lt;=$D$1*-1,J121&gt;=$D$1),I121&gt;$D$2*-1,J121&lt;$D$2,G121/F121&gt;=3),"Very serious", AND(H121&gt;$D$1*-1,H121&lt;$D$1,OR(I121&lt;=$D$2*-1,J121&gt;=$D$2),G121/F121&gt;=3),"Very serious")),"")</f>
        <v/>
      </c>
      <c r="R121" s="109" t="str">
        <f t="shared" si="47"/>
        <v/>
      </c>
      <c r="S121" s="64"/>
      <c r="T121" s="146"/>
      <c r="U121" s="146"/>
      <c r="V121" s="146"/>
      <c r="W121" s="73"/>
      <c r="X121" s="73"/>
      <c r="Y121" s="74"/>
      <c r="Z121" s="113" t="str">
        <f t="array" ref="Z121">INDEX($A$1:$C$500, MATCH(1,($B:$B=$B121)*($C:$C=$AB121),0),1)</f>
        <v/>
      </c>
      <c r="AA121" s="113" t="str">
        <f t="array" ref="AA121">INDEX($A$1:$C$500, MATCH(1,($B:$B=$AB121)*($C:$C=$B121),0),1)</f>
        <v/>
      </c>
      <c r="AB121" s="111"/>
      <c r="AC121" s="114" t="str">
        <f t="shared" si="2"/>
        <v/>
      </c>
      <c r="AD121" s="115" t="str">
        <f t="shared" si="3"/>
        <v/>
      </c>
      <c r="AE121" s="116" t="str">
        <f t="array" ref="AE121">INDEX($A$1:$C$500, MATCH(1,($B:$B=$AB121)*($C:$C=$AG121),0),1)</f>
        <v/>
      </c>
      <c r="AF121" s="116" t="str">
        <f t="array" ref="AF121">INDEX($A$1:$C$500, MATCH(1,($B:$B=$AG121)*($C:$C=$AB121),0),1)</f>
        <v/>
      </c>
      <c r="AG121" s="111"/>
      <c r="AH121" s="114" t="str">
        <f t="shared" si="4"/>
        <v/>
      </c>
      <c r="AI121" s="115" t="str">
        <f t="shared" si="5"/>
        <v/>
      </c>
      <c r="AJ121" s="116" t="str">
        <f t="array" ref="AJ121">INDEX($A$1:$C$500, MATCH(1,($B:$B=$C121)*($C:$C=$AG121),0),1)</f>
        <v/>
      </c>
      <c r="AK121" s="116" t="str">
        <f t="array" ref="AK121">INDEX($A$1:$C$500, MATCH(1,($B:$B=$AG121)*($C:$C=$C121),0),1)</f>
        <v/>
      </c>
      <c r="AL121" s="116" t="str">
        <f t="array" ref="AL121">INDEX($A$1:$C$500, MATCH(1,($B:$B=$C121)*($C:$C=$AB121),0),1)</f>
        <v/>
      </c>
      <c r="AM121" s="116" t="str">
        <f t="array" ref="AM121">INDEX($A$1:$C$500, MATCH(1,($B:$B=$AB121)*($C:$C=$C121),0),1)</f>
        <v/>
      </c>
      <c r="AN121" s="114" t="str">
        <f t="array" ref="AN121">IFS(ISNUMBER(AJ121),AJ121,ISNUMBER(AK121),AK121,ISNUMBER(AL121),AL121,ISNUMBER(AM121),AM121)</f>
        <v>#N/A</v>
      </c>
      <c r="AO121" s="115" t="str">
        <f t="shared" si="6"/>
        <v/>
      </c>
      <c r="AP121" s="115" t="str">
        <f t="shared" si="7"/>
        <v/>
      </c>
      <c r="AQ121" s="111"/>
      <c r="AR121" s="109" t="str">
        <f t="shared" si="8"/>
        <v/>
      </c>
      <c r="AS121" s="72" t="str">
        <f>IFERROR(IF(AND(Preferences!B$3="Manual",OR(AX121/AW121&gt;V121/U121,BD121="Serious",BD121="Very serious")),"Assess imprecision",IFERROR(IFS(AND(Preferences!B$3="Automatic",V121/U121&gt;=30),"Extremely serious",AND(W121&lt;=$D$1*-1,Y121&lt;0,V121/U121&lt;3),"Not Serious",AND(W121&lt;=$D$1*-1,Y121&lt;0,V121/U121&gt;=3),"Very serious",AND(W121&gt;=$D$1,X121&gt;0,V121/U121&lt;3),"Not Serious",AND(W121&gt;=$D$1,X121&gt;0,V121/U121&gt;=3),"Very serious",AND(W121&lt;=$D$1*-1,Y121&gt;0,X121&gt;$D$2*-1,V121/U121&lt;3),"Serious", AND(W121&lt;=$D$1*-1,Y121&gt;0,X121&lt;$D$2*-1,V121/U121&lt;3),"Very serious", AND(W121&gt;=$D$1,X121&lt;0,Y121&lt;$D$2,V121/U121&lt;3),"Serious",AND(W121&gt;=$D$1,X121&lt;0,Y121&gt;$D$2,V121/U121&lt;3),"Very serious", AND(W121&lt;=$D$1*-1,Y121&gt;0,X121&gt;$D$2*-1,V121/U121&gt;=3),"Very serious", AND(W121&lt;=$D$1*-1,Y121&gt;0,X121&lt;$D$2*-1,V121/U121&gt;=3),"Very serious", AND(W121&gt;=$D$1,X121&lt;0,Y121&lt;$D$2,V121/U121&gt;=3),"Very serious", AND(W121&gt;=$D$1,X121&lt;0,Y121&gt;$D$2,V121/U121&gt;=3),"Very serious", AND(W121&gt;$D$1*-1,W121&lt;$D$1,X121&gt;$D$1*-1,Y121&lt;$D$1,V121/U121&lt;3),"Not Serious", AND(W121&gt;$D$1*-1,W121&lt;$D$1,OR(X121&lt;=$D$1*-1,Y121&gt;=$D$1),X121&gt;$D$2*-1,Y121&lt;$D$2,V121/U121&lt;3),"Serious", AND(W121&gt;$D$1*-1,W121&lt;$D$1,OR(X121&lt;=$D$2*-1,Y121&gt;=$D$2),V121/U121&lt;3),"Very serious", AND(W121&gt;$D$1*-1,W121&lt;$D$1,X121&gt;$D$1*-1,Y121&lt;$D$1,V121/U121&gt;=3),"Very serious", AND(W121&gt;$D$1*-1,W121&lt;$D$1,OR(X121&lt;=$D$1*-1,Y121&gt;=$D$1),X121&gt;$D$2*-1,Y121&lt;$D$2,V121/U121&gt;=3),"Very serious", AND(W121&gt;$D$1*-1,W121&lt;$D$1,OR(X121&lt;=$D$2*-1,Y121&gt;=$D$2),V121/U121&gt;=3),"Very serious"),"")),"")</f>
        <v/>
      </c>
      <c r="AT121" s="109" t="str">
        <f t="shared" si="9"/>
        <v/>
      </c>
      <c r="AU121" s="64"/>
      <c r="AV121" s="147"/>
      <c r="AW121" s="147"/>
      <c r="AX121" s="147"/>
      <c r="AY121" s="118"/>
      <c r="AZ121" s="118"/>
      <c r="BA121" s="119"/>
      <c r="BB121" s="86" t="str">
        <f>IF(Preferences!B$9="Manual","",IFS(ISBLANK(B121),"",AND(ISNUMBER(E121)=TRUE,ISNUMBER(T121)=FALSE),"Direct", AND(ISNUMBER(E121)=FALSE,ISNUMBER(T121)=TRUE),"Indirect", CN121=4,"Direct",AND(CL121=FALSE, CM121=TRUE,CN121-CO121&gt;-1),"Direct", AND(CL121=FALSE,CM121=TRUE, CN121-CO121&lt;0),"Check algorithm in appendix 2", AND(CL121=TRUE, CM121=FALSE,CN121-CO121&gt;0),"Check algorithm in appendix 2", AND(CL121=TRUE, CM121=FALSE,CN121-CO121=0),"Indirect", AND(CL121=TRUE, CM121=FALSE,CN121-CO121&lt;0),"Indirect", AND(CL121=FALSE,CM121=FALSE,CN121-CO121&gt;-1),"Direct", AND(CL121=FALSE,CM121=FALSE,CN121-CO121&lt;0),"Check algorithm in appendix 2", AND(CL121=TRUE,CM121=TRUE,CN121-CO121&gt;-1),"Direct", AND(CL121=TRUE,CM121=TRUE,CN121-CO121&lt;0),"Check algorithm in appendix 2"))</f>
        <v/>
      </c>
      <c r="BC121" s="120" t="str">
        <f t="shared" si="10"/>
        <v/>
      </c>
      <c r="BD121" s="140"/>
      <c r="BE121" s="122" t="str">
        <f>IF(Preferences!B$3="Manual","", IFERROR(IFS(AND(Preferences!B$3="Automatic",AX121/AW121&gt;=30),"Extremely serious",AND(AY121&lt;=$D$1*-1,BA121&lt;0,AX121/AW121&lt;3),"Not Serious",AND(AY121&lt;=$D$1*-1,BA121&lt;0,AX121/AW121&gt;=3),"Very serious",AND(AY121&gt;=$D$1,AZ121&gt;0,AX121/AW121&lt;3),"Not Serious",AND(AY121&gt;=$D$1,AZ121&gt;0,AX121/AW121&gt;=3),"Very serious",AND(AY121&lt;=$D$1*-1,BA121&gt;0,AZ121&gt;$D$2*-1,AX121/AW121&lt;3),"Serious", AND(AY121&lt;=$D$1*-1,BA121&gt;0,AZ121&lt;$D$2*-1,AX121/AW121&lt;3),"Very serious", AND(AY121&gt;=$D$1,AZ121&lt;0,BA121&lt;$D$2,AX121/AW121&lt;3),"Serious",AND(AY121&gt;=$D$1,AZ121&lt;0,BA121&gt;$D$2,AX121/AW121&lt;3),"Very serious", AND(AY121&lt;=$D$1*-1,BA121&gt;0,AZ121&gt;$D$2*-1,AX121/AW121&gt;=3),"Very serious", AND(AY121&lt;=$D$1*-1,BA121&gt;0,AZ121&lt;$D$2*-1,AX121/AW121&gt;=3),"Very serious", AND(AY121&gt;=$D$1,AZ121&lt;0,BA121&lt;$D$2,AX121/AW121&gt;=3),"Very serious", AND(AY121&gt;=$D$1,AZ121&lt;0,BA121&gt;$D$2,AX121/AW121&gt;=3),"Very serious", AND(AY121&gt;$D$1*-1,AY121&lt;$D$1,AZ121&gt;$D$1*-1,BA121&lt;$D$1,AX121/AW121&lt;3),"Not Serious", AND(AY121&gt;$D$1*-1,AY121&lt;$D$1,OR(AZ121&lt;=$D$1*-1,BA121&gt;=$D$1),AZ121&gt;$D$2*-1,BA121&lt;$D$2,AX121/AW121&lt;3),"Serious", AND(AY121&gt;$D$1*-1,AY121&lt;$D$1,OR(AZ121&lt;=$D$2*-1,BA121&gt;=$D$2),AX121/AW121&lt;3),"Very serious", AND(AY121&gt;$D$1*-1,AY121&lt;$D$1,AZ121&gt;$D$1*-1,BA121&lt;$D$1,AX121/AW121&gt;=3),"Very serious", AND(AY121&gt;$D$1*-1,AY121&lt;$D$1,OR(AZ121&lt;=$D$1*-1,BA121&gt;=$D$1),AZ121&gt;$D$2*-1,BA121&lt;$D$2,AX121/AW121&gt;=3),"Very serious", AND(AY121&gt;$D$1*-1,AY121&lt;$D$1,OR(AZ121&lt;=$D$2*-1,BA121&gt;=$D$2),AX121/AW121&gt;=3),"Very serious"),""))</f>
        <v/>
      </c>
      <c r="BF121" s="107" t="str">
        <f t="shared" si="11"/>
        <v/>
      </c>
      <c r="BG121" s="94" t="str">
        <f t="shared" si="46"/>
        <v/>
      </c>
      <c r="BH121" s="64" t="str">
        <f t="shared" si="12"/>
        <v>#N/A</v>
      </c>
      <c r="BI121" s="64" t="str">
        <f t="shared" si="13"/>
        <v/>
      </c>
      <c r="BJ121" s="123" t="str">
        <f t="shared" si="14"/>
        <v>#N/A</v>
      </c>
      <c r="BK121" s="64" t="str">
        <f t="shared" si="50"/>
        <v>YES</v>
      </c>
      <c r="BL121" s="64" t="str">
        <f t="shared" si="16"/>
        <v>YES</v>
      </c>
      <c r="BM121" s="64" t="str">
        <f t="shared" si="17"/>
        <v>YES</v>
      </c>
      <c r="BN121" s="124" t="str">
        <f t="shared" si="18"/>
        <v/>
      </c>
      <c r="BO121" s="91" t="str">
        <f t="shared" si="19"/>
        <v/>
      </c>
      <c r="BP121" s="91" t="str">
        <f t="shared" si="20"/>
        <v>#N/A</v>
      </c>
      <c r="BQ121" s="91" t="str">
        <f t="shared" si="21"/>
        <v/>
      </c>
      <c r="BR121" s="93" t="str">
        <f t="shared" si="22"/>
        <v/>
      </c>
      <c r="BS121" s="90" t="str">
        <f t="shared" si="23"/>
        <v/>
      </c>
      <c r="BT121" s="93" t="str">
        <f t="shared" si="24"/>
        <v>NA</v>
      </c>
      <c r="BU121" s="125" t="str">
        <f t="shared" si="25"/>
        <v>#N/A</v>
      </c>
      <c r="BV121" s="93" t="str">
        <f t="shared" si="26"/>
        <v/>
      </c>
      <c r="BW121" s="93" t="str">
        <f t="shared" si="27"/>
        <v/>
      </c>
      <c r="BX121" s="93" t="str">
        <f t="shared" si="28"/>
        <v>NA</v>
      </c>
      <c r="BY121" s="95" t="str">
        <f t="shared" si="29"/>
        <v>#N/A</v>
      </c>
      <c r="BZ121" s="93" t="str">
        <f t="shared" si="30"/>
        <v/>
      </c>
      <c r="CA121" s="93" t="str">
        <f t="shared" si="31"/>
        <v/>
      </c>
      <c r="CB121" s="93" t="str">
        <f t="shared" si="32"/>
        <v>NA</v>
      </c>
      <c r="CC121" s="96" t="str">
        <f t="shared" si="33"/>
        <v>#N/A</v>
      </c>
      <c r="CD121" s="93" t="str">
        <f t="shared" si="34"/>
        <v/>
      </c>
      <c r="CE121" s="93" t="str">
        <f t="shared" si="35"/>
        <v/>
      </c>
      <c r="CF121" s="93" t="str">
        <f t="shared" si="36"/>
        <v>NA</v>
      </c>
      <c r="CG121" s="97" t="str">
        <f t="shared" si="37"/>
        <v>#N/A</v>
      </c>
      <c r="CH121" s="98" t="str">
        <f t="shared" si="38"/>
        <v>#N/A</v>
      </c>
      <c r="CI121" s="99" t="str">
        <f t="shared" si="39"/>
        <v>#N/A</v>
      </c>
      <c r="CJ121" s="126" t="str">
        <f t="shared" si="40"/>
        <v>ERROR: check cell</v>
      </c>
      <c r="CK121" s="126"/>
      <c r="CL121" s="127" t="str">
        <f t="shared" si="41"/>
        <v>#DIV/0!</v>
      </c>
      <c r="CM121" s="128" t="str">
        <f t="shared" si="42"/>
        <v>#DIV/0!</v>
      </c>
      <c r="CN121" s="128">
        <f t="shared" si="43"/>
        <v>4</v>
      </c>
      <c r="CO121" s="129">
        <f t="shared" si="44"/>
        <v>4</v>
      </c>
      <c r="CP121" s="129" t="str">
        <f>IFS(C121=Preferences!B$13,B121,B121=Preferences!B$13,C121)</f>
        <v>#N/A</v>
      </c>
    </row>
    <row r="122" ht="13.5" customHeight="1">
      <c r="A122" s="63" t="str">
        <f t="shared" si="45"/>
        <v/>
      </c>
      <c r="B122" s="64"/>
      <c r="C122" s="64"/>
      <c r="D122" s="64"/>
      <c r="E122" s="65"/>
      <c r="F122" s="65"/>
      <c r="G122" s="65"/>
      <c r="H122" s="66"/>
      <c r="I122" s="66"/>
      <c r="J122" s="67"/>
      <c r="K122" s="68"/>
      <c r="L122" s="104"/>
      <c r="M122" s="104"/>
      <c r="N122" s="104"/>
      <c r="O122" s="104"/>
      <c r="P122" s="107" t="str">
        <f t="shared" si="1"/>
        <v/>
      </c>
      <c r="Q122" s="108" t="str">
        <f>IFERROR(IF(AND(Preferences!B$3="Manual",OR(AX122/AW122&gt;G122/F122,BD122="Serious",BD122="Very serious")),"Assess imprecision",IFS(ISBLANK(E122),"",AND(Preferences!B$3="Automatic", G122/F122&gt;=30),"Extremely serious",AND(H122&lt;=$D$1*-1,J122&lt;0,G122/F122&lt;3),"Not serious",AND(H122&lt;=$D$1*-1,J122&lt;0,G122/F122&gt;=3),"Very serious",AND(H122&gt;=$D$1,I122&gt;0,G122/F122&lt;3),"Not serious",AND(H122&gt;=$D$1,I122&gt;0,G122/F122&gt;=3),"Very serious",AND(H122&lt;=$D$1*-1,J122&gt;0,I122&gt;$D$2*-1,G122/F122&lt;3),"Serious", AND(H122&lt;=$D$1*-1,J122&gt;0,I122&lt;$D$2*-1,G122/F122&lt;3),"Very serious", AND(H122&gt;=$D$1,I122&lt;0,J122&lt;$D$2,G122/F122&lt;3),"Serious",AND(H122&gt;=$D$1,I122&lt;0,J122&gt;$D$2,G122/F122&lt;3),"Very serious", AND(H122&lt;=$D$1*-1,J122&gt;0,I122&gt;$D$2*-1,G122/F122&gt;=3),"Very serious", AND(H122&lt;=$D$1*-1,J122&gt;0,I122&lt;$D$2*-1,G122/F122&gt;=3),"Very serious", AND(H122&gt;=$D$1,I122&lt;0,J122&lt;$D$2,G122/F122&gt;=3),"Very serious", AND(H122&gt;=$D$1,I122&lt;0,J122&gt;$D$2,G122/F122&gt;=3),"Very serious", AND(H122&gt;$D$1*-1,H122&lt;$D$1,I122&gt;$D$1*-1,J122&lt;$D$1,G122/F122&lt;3),"Not serious", AND(H122&gt;$D$1*-1,H122&lt;$D$1,OR(I122&lt;=$D$1*-1,J122&gt;=$D$1),I122&gt;$D$2*-1,J122&lt;$D$2,G122/F122&lt;3),"Serious", AND(H122&gt;$D$1*-1,H122&lt;$D$1,OR(I122&lt;=$D$2*-1,J122&gt;=$D$2),G122/F122&lt;3),"Very serious", AND(H122&gt;$D$1*-1,H122&lt;$D$1,I122&gt;$D$1*-1,J122&lt;$D$1,G122/F122&gt;=3),"Very serious", AND(H122&gt;$D$1*-1,H122&lt;$D$1,OR(I122&lt;=$D$1*-1,J122&gt;=$D$1),I122&gt;$D$2*-1,J122&lt;$D$2,G122/F122&gt;=3),"Very serious", AND(H122&gt;$D$1*-1,H122&lt;$D$1,OR(I122&lt;=$D$2*-1,J122&gt;=$D$2),G122/F122&gt;=3),"Very serious")),"")</f>
        <v/>
      </c>
      <c r="R122" s="109" t="str">
        <f t="shared" si="47"/>
        <v/>
      </c>
      <c r="S122" s="64"/>
      <c r="T122" s="146"/>
      <c r="U122" s="146"/>
      <c r="V122" s="146"/>
      <c r="W122" s="73"/>
      <c r="X122" s="73"/>
      <c r="Y122" s="74"/>
      <c r="Z122" s="113" t="str">
        <f t="array" ref="Z122">INDEX($A$1:$C$500, MATCH(1,($B:$B=$B122)*($C:$C=$AB122),0),1)</f>
        <v/>
      </c>
      <c r="AA122" s="113" t="str">
        <f t="array" ref="AA122">INDEX($A$1:$C$500, MATCH(1,($B:$B=$AB122)*($C:$C=$B122),0),1)</f>
        <v/>
      </c>
      <c r="AB122" s="111"/>
      <c r="AC122" s="114" t="str">
        <f t="shared" si="2"/>
        <v/>
      </c>
      <c r="AD122" s="115" t="str">
        <f t="shared" si="3"/>
        <v/>
      </c>
      <c r="AE122" s="116" t="str">
        <f t="array" ref="AE122">INDEX($A$1:$C$500, MATCH(1,($B:$B=$AB122)*($C:$C=$AG122),0),1)</f>
        <v/>
      </c>
      <c r="AF122" s="116" t="str">
        <f t="array" ref="AF122">INDEX($A$1:$C$500, MATCH(1,($B:$B=$AG122)*($C:$C=$AB122),0),1)</f>
        <v/>
      </c>
      <c r="AG122" s="111"/>
      <c r="AH122" s="114" t="str">
        <f t="shared" si="4"/>
        <v/>
      </c>
      <c r="AI122" s="115" t="str">
        <f t="shared" si="5"/>
        <v/>
      </c>
      <c r="AJ122" s="116" t="str">
        <f t="array" ref="AJ122">INDEX($A$1:$C$500, MATCH(1,($B:$B=$C122)*($C:$C=$AG122),0),1)</f>
        <v/>
      </c>
      <c r="AK122" s="116" t="str">
        <f t="array" ref="AK122">INDEX($A$1:$C$500, MATCH(1,($B:$B=$AG122)*($C:$C=$C122),0),1)</f>
        <v/>
      </c>
      <c r="AL122" s="116" t="str">
        <f t="array" ref="AL122">INDEX($A$1:$C$500, MATCH(1,($B:$B=$C122)*($C:$C=$AB122),0),1)</f>
        <v/>
      </c>
      <c r="AM122" s="116" t="str">
        <f t="array" ref="AM122">INDEX($A$1:$C$500, MATCH(1,($B:$B=$AB122)*($C:$C=$C122),0),1)</f>
        <v/>
      </c>
      <c r="AN122" s="114" t="str">
        <f t="array" ref="AN122">IFS(ISNUMBER(AJ122),AJ122,ISNUMBER(AK122),AK122,ISNUMBER(AL122),AL122,ISNUMBER(AM122),AM122)</f>
        <v>#N/A</v>
      </c>
      <c r="AO122" s="115" t="str">
        <f t="shared" si="6"/>
        <v/>
      </c>
      <c r="AP122" s="115" t="str">
        <f t="shared" si="7"/>
        <v/>
      </c>
      <c r="AQ122" s="111"/>
      <c r="AR122" s="109" t="str">
        <f t="shared" si="8"/>
        <v/>
      </c>
      <c r="AS122" s="72" t="str">
        <f>IFERROR(IF(AND(Preferences!B$3="Manual",OR(AX122/AW122&gt;V122/U122,BD122="Serious",BD122="Very serious")),"Assess imprecision",IFERROR(IFS(AND(Preferences!B$3="Automatic",V122/U122&gt;=30),"Extremely serious",AND(W122&lt;=$D$1*-1,Y122&lt;0,V122/U122&lt;3),"Not Serious",AND(W122&lt;=$D$1*-1,Y122&lt;0,V122/U122&gt;=3),"Very serious",AND(W122&gt;=$D$1,X122&gt;0,V122/U122&lt;3),"Not Serious",AND(W122&gt;=$D$1,X122&gt;0,V122/U122&gt;=3),"Very serious",AND(W122&lt;=$D$1*-1,Y122&gt;0,X122&gt;$D$2*-1,V122/U122&lt;3),"Serious", AND(W122&lt;=$D$1*-1,Y122&gt;0,X122&lt;$D$2*-1,V122/U122&lt;3),"Very serious", AND(W122&gt;=$D$1,X122&lt;0,Y122&lt;$D$2,V122/U122&lt;3),"Serious",AND(W122&gt;=$D$1,X122&lt;0,Y122&gt;$D$2,V122/U122&lt;3),"Very serious", AND(W122&lt;=$D$1*-1,Y122&gt;0,X122&gt;$D$2*-1,V122/U122&gt;=3),"Very serious", AND(W122&lt;=$D$1*-1,Y122&gt;0,X122&lt;$D$2*-1,V122/U122&gt;=3),"Very serious", AND(W122&gt;=$D$1,X122&lt;0,Y122&lt;$D$2,V122/U122&gt;=3),"Very serious", AND(W122&gt;=$D$1,X122&lt;0,Y122&gt;$D$2,V122/U122&gt;=3),"Very serious", AND(W122&gt;$D$1*-1,W122&lt;$D$1,X122&gt;$D$1*-1,Y122&lt;$D$1,V122/U122&lt;3),"Not Serious", AND(W122&gt;$D$1*-1,W122&lt;$D$1,OR(X122&lt;=$D$1*-1,Y122&gt;=$D$1),X122&gt;$D$2*-1,Y122&lt;$D$2,V122/U122&lt;3),"Serious", AND(W122&gt;$D$1*-1,W122&lt;$D$1,OR(X122&lt;=$D$2*-1,Y122&gt;=$D$2),V122/U122&lt;3),"Very serious", AND(W122&gt;$D$1*-1,W122&lt;$D$1,X122&gt;$D$1*-1,Y122&lt;$D$1,V122/U122&gt;=3),"Very serious", AND(W122&gt;$D$1*-1,W122&lt;$D$1,OR(X122&lt;=$D$1*-1,Y122&gt;=$D$1),X122&gt;$D$2*-1,Y122&lt;$D$2,V122/U122&gt;=3),"Very serious", AND(W122&gt;$D$1*-1,W122&lt;$D$1,OR(X122&lt;=$D$2*-1,Y122&gt;=$D$2),V122/U122&gt;=3),"Very serious"),"")),"")</f>
        <v/>
      </c>
      <c r="AT122" s="109" t="str">
        <f t="shared" si="9"/>
        <v/>
      </c>
      <c r="AU122" s="64"/>
      <c r="AV122" s="147"/>
      <c r="AW122" s="147"/>
      <c r="AX122" s="147"/>
      <c r="AY122" s="118"/>
      <c r="AZ122" s="118"/>
      <c r="BA122" s="119"/>
      <c r="BB122" s="86" t="str">
        <f>IF(Preferences!B$9="Manual","",IFS(ISBLANK(B122),"",AND(ISNUMBER(E122)=TRUE,ISNUMBER(T122)=FALSE),"Direct", AND(ISNUMBER(E122)=FALSE,ISNUMBER(T122)=TRUE),"Indirect", CN122=4,"Direct",AND(CL122=FALSE, CM122=TRUE,CN122-CO122&gt;-1),"Direct", AND(CL122=FALSE,CM122=TRUE, CN122-CO122&lt;0),"Check algorithm in appendix 2", AND(CL122=TRUE, CM122=FALSE,CN122-CO122&gt;0),"Check algorithm in appendix 2", AND(CL122=TRUE, CM122=FALSE,CN122-CO122=0),"Indirect", AND(CL122=TRUE, CM122=FALSE,CN122-CO122&lt;0),"Indirect", AND(CL122=FALSE,CM122=FALSE,CN122-CO122&gt;-1),"Direct", AND(CL122=FALSE,CM122=FALSE,CN122-CO122&lt;0),"Check algorithm in appendix 2", AND(CL122=TRUE,CM122=TRUE,CN122-CO122&gt;-1),"Direct", AND(CL122=TRUE,CM122=TRUE,CN122-CO122&lt;0),"Check algorithm in appendix 2"))</f>
        <v/>
      </c>
      <c r="BC122" s="120" t="str">
        <f t="shared" si="10"/>
        <v/>
      </c>
      <c r="BD122" s="140"/>
      <c r="BE122" s="122" t="str">
        <f>IF(Preferences!B$3="Manual","", IFERROR(IFS(AND(Preferences!B$3="Automatic",AX122/AW122&gt;=30),"Extremely serious",AND(AY122&lt;=$D$1*-1,BA122&lt;0,AX122/AW122&lt;3),"Not Serious",AND(AY122&lt;=$D$1*-1,BA122&lt;0,AX122/AW122&gt;=3),"Very serious",AND(AY122&gt;=$D$1,AZ122&gt;0,AX122/AW122&lt;3),"Not Serious",AND(AY122&gt;=$D$1,AZ122&gt;0,AX122/AW122&gt;=3),"Very serious",AND(AY122&lt;=$D$1*-1,BA122&gt;0,AZ122&gt;$D$2*-1,AX122/AW122&lt;3),"Serious", AND(AY122&lt;=$D$1*-1,BA122&gt;0,AZ122&lt;$D$2*-1,AX122/AW122&lt;3),"Very serious", AND(AY122&gt;=$D$1,AZ122&lt;0,BA122&lt;$D$2,AX122/AW122&lt;3),"Serious",AND(AY122&gt;=$D$1,AZ122&lt;0,BA122&gt;$D$2,AX122/AW122&lt;3),"Very serious", AND(AY122&lt;=$D$1*-1,BA122&gt;0,AZ122&gt;$D$2*-1,AX122/AW122&gt;=3),"Very serious", AND(AY122&lt;=$D$1*-1,BA122&gt;0,AZ122&lt;$D$2*-1,AX122/AW122&gt;=3),"Very serious", AND(AY122&gt;=$D$1,AZ122&lt;0,BA122&lt;$D$2,AX122/AW122&gt;=3),"Very serious", AND(AY122&gt;=$D$1,AZ122&lt;0,BA122&gt;$D$2,AX122/AW122&gt;=3),"Very serious", AND(AY122&gt;$D$1*-1,AY122&lt;$D$1,AZ122&gt;$D$1*-1,BA122&lt;$D$1,AX122/AW122&lt;3),"Not Serious", AND(AY122&gt;$D$1*-1,AY122&lt;$D$1,OR(AZ122&lt;=$D$1*-1,BA122&gt;=$D$1),AZ122&gt;$D$2*-1,BA122&lt;$D$2,AX122/AW122&lt;3),"Serious", AND(AY122&gt;$D$1*-1,AY122&lt;$D$1,OR(AZ122&lt;=$D$2*-1,BA122&gt;=$D$2),AX122/AW122&lt;3),"Very serious", AND(AY122&gt;$D$1*-1,AY122&lt;$D$1,AZ122&gt;$D$1*-1,BA122&lt;$D$1,AX122/AW122&gt;=3),"Very serious", AND(AY122&gt;$D$1*-1,AY122&lt;$D$1,OR(AZ122&lt;=$D$1*-1,BA122&gt;=$D$1),AZ122&gt;$D$2*-1,BA122&lt;$D$2,AX122/AW122&gt;=3),"Very serious", AND(AY122&gt;$D$1*-1,AY122&lt;$D$1,OR(AZ122&lt;=$D$2*-1,BA122&gt;=$D$2),AX122/AW122&gt;=3),"Very serious"),""))</f>
        <v/>
      </c>
      <c r="BF122" s="107" t="str">
        <f t="shared" si="11"/>
        <v/>
      </c>
      <c r="BG122" s="94" t="str">
        <f t="shared" si="46"/>
        <v/>
      </c>
      <c r="BH122" s="64" t="str">
        <f t="shared" si="12"/>
        <v>#N/A</v>
      </c>
      <c r="BI122" s="64" t="str">
        <f t="shared" si="13"/>
        <v/>
      </c>
      <c r="BJ122" s="123" t="str">
        <f t="shared" si="14"/>
        <v>#N/A</v>
      </c>
      <c r="BK122" s="64" t="str">
        <f t="shared" si="50"/>
        <v>YES</v>
      </c>
      <c r="BL122" s="64" t="str">
        <f t="shared" si="16"/>
        <v>YES</v>
      </c>
      <c r="BM122" s="64" t="str">
        <f t="shared" si="17"/>
        <v>YES</v>
      </c>
      <c r="BN122" s="124" t="str">
        <f t="shared" si="18"/>
        <v/>
      </c>
      <c r="BO122" s="91" t="str">
        <f t="shared" si="19"/>
        <v/>
      </c>
      <c r="BP122" s="91" t="str">
        <f t="shared" si="20"/>
        <v>#N/A</v>
      </c>
      <c r="BQ122" s="91" t="str">
        <f t="shared" si="21"/>
        <v/>
      </c>
      <c r="BR122" s="93" t="str">
        <f t="shared" si="22"/>
        <v/>
      </c>
      <c r="BS122" s="90" t="str">
        <f t="shared" si="23"/>
        <v/>
      </c>
      <c r="BT122" s="93" t="str">
        <f t="shared" si="24"/>
        <v>NA</v>
      </c>
      <c r="BU122" s="125" t="str">
        <f t="shared" si="25"/>
        <v>#N/A</v>
      </c>
      <c r="BV122" s="93" t="str">
        <f t="shared" si="26"/>
        <v/>
      </c>
      <c r="BW122" s="93" t="str">
        <f t="shared" si="27"/>
        <v/>
      </c>
      <c r="BX122" s="93" t="str">
        <f t="shared" si="28"/>
        <v>NA</v>
      </c>
      <c r="BY122" s="95" t="str">
        <f t="shared" si="29"/>
        <v>#N/A</v>
      </c>
      <c r="BZ122" s="93" t="str">
        <f t="shared" si="30"/>
        <v/>
      </c>
      <c r="CA122" s="93" t="str">
        <f t="shared" si="31"/>
        <v/>
      </c>
      <c r="CB122" s="93" t="str">
        <f t="shared" si="32"/>
        <v>NA</v>
      </c>
      <c r="CC122" s="96" t="str">
        <f t="shared" si="33"/>
        <v>#N/A</v>
      </c>
      <c r="CD122" s="93" t="str">
        <f t="shared" si="34"/>
        <v/>
      </c>
      <c r="CE122" s="93" t="str">
        <f t="shared" si="35"/>
        <v/>
      </c>
      <c r="CF122" s="93" t="str">
        <f t="shared" si="36"/>
        <v>NA</v>
      </c>
      <c r="CG122" s="97" t="str">
        <f t="shared" si="37"/>
        <v>#N/A</v>
      </c>
      <c r="CH122" s="98" t="str">
        <f t="shared" si="38"/>
        <v>#N/A</v>
      </c>
      <c r="CI122" s="99" t="str">
        <f t="shared" si="39"/>
        <v>#N/A</v>
      </c>
      <c r="CJ122" s="126" t="str">
        <f t="shared" si="40"/>
        <v>ERROR: check cell</v>
      </c>
      <c r="CK122" s="126"/>
      <c r="CL122" s="127" t="str">
        <f t="shared" si="41"/>
        <v>#DIV/0!</v>
      </c>
      <c r="CM122" s="128" t="str">
        <f t="shared" si="42"/>
        <v>#DIV/0!</v>
      </c>
      <c r="CN122" s="128">
        <f t="shared" si="43"/>
        <v>4</v>
      </c>
      <c r="CO122" s="129">
        <f t="shared" si="44"/>
        <v>4</v>
      </c>
      <c r="CP122" s="129" t="str">
        <f>IFS(C122=Preferences!B$13,B122,B122=Preferences!B$13,C122)</f>
        <v>#N/A</v>
      </c>
    </row>
    <row r="123" ht="13.5" customHeight="1">
      <c r="A123" s="63" t="str">
        <f t="shared" si="45"/>
        <v/>
      </c>
      <c r="B123" s="64"/>
      <c r="C123" s="64"/>
      <c r="D123" s="64"/>
      <c r="E123" s="65"/>
      <c r="F123" s="65"/>
      <c r="G123" s="65"/>
      <c r="H123" s="66"/>
      <c r="I123" s="66"/>
      <c r="J123" s="67"/>
      <c r="K123" s="68"/>
      <c r="L123" s="104"/>
      <c r="M123" s="104"/>
      <c r="N123" s="104"/>
      <c r="O123" s="104"/>
      <c r="P123" s="107" t="str">
        <f t="shared" si="1"/>
        <v/>
      </c>
      <c r="Q123" s="108" t="str">
        <f>IFERROR(IF(AND(Preferences!B$3="Manual",OR(AX123/AW123&gt;G123/F123,BD123="Serious",BD123="Very serious")),"Assess imprecision",IFS(ISBLANK(E123),"",AND(Preferences!B$3="Automatic", G123/F123&gt;=30),"Extremely serious",AND(H123&lt;=$D$1*-1,J123&lt;0,G123/F123&lt;3),"Not serious",AND(H123&lt;=$D$1*-1,J123&lt;0,G123/F123&gt;=3),"Very serious",AND(H123&gt;=$D$1,I123&gt;0,G123/F123&lt;3),"Not serious",AND(H123&gt;=$D$1,I123&gt;0,G123/F123&gt;=3),"Very serious",AND(H123&lt;=$D$1*-1,J123&gt;0,I123&gt;$D$2*-1,G123/F123&lt;3),"Serious", AND(H123&lt;=$D$1*-1,J123&gt;0,I123&lt;$D$2*-1,G123/F123&lt;3),"Very serious", AND(H123&gt;=$D$1,I123&lt;0,J123&lt;$D$2,G123/F123&lt;3),"Serious",AND(H123&gt;=$D$1,I123&lt;0,J123&gt;$D$2,G123/F123&lt;3),"Very serious", AND(H123&lt;=$D$1*-1,J123&gt;0,I123&gt;$D$2*-1,G123/F123&gt;=3),"Very serious", AND(H123&lt;=$D$1*-1,J123&gt;0,I123&lt;$D$2*-1,G123/F123&gt;=3),"Very serious", AND(H123&gt;=$D$1,I123&lt;0,J123&lt;$D$2,G123/F123&gt;=3),"Very serious", AND(H123&gt;=$D$1,I123&lt;0,J123&gt;$D$2,G123/F123&gt;=3),"Very serious", AND(H123&gt;$D$1*-1,H123&lt;$D$1,I123&gt;$D$1*-1,J123&lt;$D$1,G123/F123&lt;3),"Not serious", AND(H123&gt;$D$1*-1,H123&lt;$D$1,OR(I123&lt;=$D$1*-1,J123&gt;=$D$1),I123&gt;$D$2*-1,J123&lt;$D$2,G123/F123&lt;3),"Serious", AND(H123&gt;$D$1*-1,H123&lt;$D$1,OR(I123&lt;=$D$2*-1,J123&gt;=$D$2),G123/F123&lt;3),"Very serious", AND(H123&gt;$D$1*-1,H123&lt;$D$1,I123&gt;$D$1*-1,J123&lt;$D$1,G123/F123&gt;=3),"Very serious", AND(H123&gt;$D$1*-1,H123&lt;$D$1,OR(I123&lt;=$D$1*-1,J123&gt;=$D$1),I123&gt;$D$2*-1,J123&lt;$D$2,G123/F123&gt;=3),"Very serious", AND(H123&gt;$D$1*-1,H123&lt;$D$1,OR(I123&lt;=$D$2*-1,J123&gt;=$D$2),G123/F123&gt;=3),"Very serious")),"")</f>
        <v/>
      </c>
      <c r="R123" s="109" t="str">
        <f t="shared" si="47"/>
        <v/>
      </c>
      <c r="S123" s="64"/>
      <c r="T123" s="146"/>
      <c r="U123" s="146"/>
      <c r="V123" s="146"/>
      <c r="W123" s="73"/>
      <c r="X123" s="73"/>
      <c r="Y123" s="74"/>
      <c r="Z123" s="113" t="str">
        <f t="array" ref="Z123">INDEX($A$1:$C$500, MATCH(1,($B:$B=$B123)*($C:$C=$AB123),0),1)</f>
        <v/>
      </c>
      <c r="AA123" s="113" t="str">
        <f t="array" ref="AA123">INDEX($A$1:$C$500, MATCH(1,($B:$B=$AB123)*($C:$C=$B123),0),1)</f>
        <v/>
      </c>
      <c r="AB123" s="111"/>
      <c r="AC123" s="114" t="str">
        <f t="shared" si="2"/>
        <v/>
      </c>
      <c r="AD123" s="115" t="str">
        <f t="shared" si="3"/>
        <v/>
      </c>
      <c r="AE123" s="116" t="str">
        <f t="array" ref="AE123">INDEX($A$1:$C$500, MATCH(1,($B:$B=$AB123)*($C:$C=$AG123),0),1)</f>
        <v/>
      </c>
      <c r="AF123" s="116" t="str">
        <f t="array" ref="AF123">INDEX($A$1:$C$500, MATCH(1,($B:$B=$AG123)*($C:$C=$AB123),0),1)</f>
        <v/>
      </c>
      <c r="AG123" s="72"/>
      <c r="AH123" s="114" t="str">
        <f t="shared" si="4"/>
        <v/>
      </c>
      <c r="AI123" s="115" t="str">
        <f t="shared" si="5"/>
        <v/>
      </c>
      <c r="AJ123" s="116" t="str">
        <f t="array" ref="AJ123">INDEX($A$1:$C$500, MATCH(1,($B:$B=$C123)*($C:$C=$AG123),0),1)</f>
        <v/>
      </c>
      <c r="AK123" s="116" t="str">
        <f t="array" ref="AK123">INDEX($A$1:$C$500, MATCH(1,($B:$B=$AG123)*($C:$C=$C123),0),1)</f>
        <v/>
      </c>
      <c r="AL123" s="116" t="str">
        <f t="array" ref="AL123">INDEX($A$1:$C$500, MATCH(1,($B:$B=$C123)*($C:$C=$AB123),0),1)</f>
        <v/>
      </c>
      <c r="AM123" s="116" t="str">
        <f t="array" ref="AM123">INDEX($A$1:$C$500, MATCH(1,($B:$B=$AB123)*($C:$C=$C123),0),1)</f>
        <v/>
      </c>
      <c r="AN123" s="114" t="str">
        <f t="array" ref="AN123">IFS(ISNUMBER(AJ123),AJ123,ISNUMBER(AK123),AK123,ISNUMBER(AL123),AL123,ISNUMBER(AM123),AM123)</f>
        <v>#N/A</v>
      </c>
      <c r="AO123" s="115" t="str">
        <f t="shared" si="6"/>
        <v/>
      </c>
      <c r="AP123" s="115" t="str">
        <f t="shared" si="7"/>
        <v/>
      </c>
      <c r="AQ123" s="111"/>
      <c r="AR123" s="109" t="str">
        <f t="shared" si="8"/>
        <v/>
      </c>
      <c r="AS123" s="72" t="str">
        <f>IFERROR(IF(AND(Preferences!B$3="Manual",OR(AX123/AW123&gt;V123/U123,BD123="Serious",BD123="Very serious")),"Assess imprecision",IFERROR(IFS(AND(Preferences!B$3="Automatic",V123/U123&gt;=30),"Extremely serious",AND(W123&lt;=$D$1*-1,Y123&lt;0,V123/U123&lt;3),"Not Serious",AND(W123&lt;=$D$1*-1,Y123&lt;0,V123/U123&gt;=3),"Very serious",AND(W123&gt;=$D$1,X123&gt;0,V123/U123&lt;3),"Not Serious",AND(W123&gt;=$D$1,X123&gt;0,V123/U123&gt;=3),"Very serious",AND(W123&lt;=$D$1*-1,Y123&gt;0,X123&gt;$D$2*-1,V123/U123&lt;3),"Serious", AND(W123&lt;=$D$1*-1,Y123&gt;0,X123&lt;$D$2*-1,V123/U123&lt;3),"Very serious", AND(W123&gt;=$D$1,X123&lt;0,Y123&lt;$D$2,V123/U123&lt;3),"Serious",AND(W123&gt;=$D$1,X123&lt;0,Y123&gt;$D$2,V123/U123&lt;3),"Very serious", AND(W123&lt;=$D$1*-1,Y123&gt;0,X123&gt;$D$2*-1,V123/U123&gt;=3),"Very serious", AND(W123&lt;=$D$1*-1,Y123&gt;0,X123&lt;$D$2*-1,V123/U123&gt;=3),"Very serious", AND(W123&gt;=$D$1,X123&lt;0,Y123&lt;$D$2,V123/U123&gt;=3),"Very serious", AND(W123&gt;=$D$1,X123&lt;0,Y123&gt;$D$2,V123/U123&gt;=3),"Very serious", AND(W123&gt;$D$1*-1,W123&lt;$D$1,X123&gt;$D$1*-1,Y123&lt;$D$1,V123/U123&lt;3),"Not Serious", AND(W123&gt;$D$1*-1,W123&lt;$D$1,OR(X123&lt;=$D$1*-1,Y123&gt;=$D$1),X123&gt;$D$2*-1,Y123&lt;$D$2,V123/U123&lt;3),"Serious", AND(W123&gt;$D$1*-1,W123&lt;$D$1,OR(X123&lt;=$D$2*-1,Y123&gt;=$D$2),V123/U123&lt;3),"Very serious", AND(W123&gt;$D$1*-1,W123&lt;$D$1,X123&gt;$D$1*-1,Y123&lt;$D$1,V123/U123&gt;=3),"Very serious", AND(W123&gt;$D$1*-1,W123&lt;$D$1,OR(X123&lt;=$D$1*-1,Y123&gt;=$D$1),X123&gt;$D$2*-1,Y123&lt;$D$2,V123/U123&gt;=3),"Very serious", AND(W123&gt;$D$1*-1,W123&lt;$D$1,OR(X123&lt;=$D$2*-1,Y123&gt;=$D$2),V123/U123&gt;=3),"Very serious"),"")),"")</f>
        <v/>
      </c>
      <c r="AT123" s="109" t="str">
        <f t="shared" si="9"/>
        <v/>
      </c>
      <c r="AU123" s="64"/>
      <c r="AV123" s="147"/>
      <c r="AW123" s="147"/>
      <c r="AX123" s="147"/>
      <c r="AY123" s="83"/>
      <c r="AZ123" s="83"/>
      <c r="BA123" s="85"/>
      <c r="BB123" s="86" t="str">
        <f>IF(Preferences!B$9="Manual","",IFS(ISBLANK(B123),"",AND(ISNUMBER(E123)=TRUE,ISNUMBER(T123)=FALSE),"Direct", AND(ISNUMBER(E123)=FALSE,ISNUMBER(T123)=TRUE),"Indirect", CN123=4,"Direct",AND(CL123=FALSE, CM123=TRUE,CN123-CO123&gt;-1),"Direct", AND(CL123=FALSE,CM123=TRUE, CN123-CO123&lt;0),"Check algorithm in appendix 2", AND(CL123=TRUE, CM123=FALSE,CN123-CO123&gt;0),"Check algorithm in appendix 2", AND(CL123=TRUE, CM123=FALSE,CN123-CO123=0),"Indirect", AND(CL123=TRUE, CM123=FALSE,CN123-CO123&lt;0),"Indirect", AND(CL123=FALSE,CM123=FALSE,CN123-CO123&gt;-1),"Direct", AND(CL123=FALSE,CM123=FALSE,CN123-CO123&lt;0),"Check algorithm in appendix 2", AND(CL123=TRUE,CM123=TRUE,CN123-CO123&gt;-1),"Direct", AND(CL123=TRUE,CM123=TRUE,CN123-CO123&lt;0),"Check algorithm in appendix 2"))</f>
        <v/>
      </c>
      <c r="BC123" s="120" t="str">
        <f t="shared" si="10"/>
        <v/>
      </c>
      <c r="BD123" s="140"/>
      <c r="BE123" s="122" t="str">
        <f>IF(Preferences!B$3="Manual","", IFERROR(IFS(AND(Preferences!B$3="Automatic",AX123/AW123&gt;=30),"Extremely serious",AND(AY123&lt;=$D$1*-1,BA123&lt;0,AX123/AW123&lt;3),"Not Serious",AND(AY123&lt;=$D$1*-1,BA123&lt;0,AX123/AW123&gt;=3),"Very serious",AND(AY123&gt;=$D$1,AZ123&gt;0,AX123/AW123&lt;3),"Not Serious",AND(AY123&gt;=$D$1,AZ123&gt;0,AX123/AW123&gt;=3),"Very serious",AND(AY123&lt;=$D$1*-1,BA123&gt;0,AZ123&gt;$D$2*-1,AX123/AW123&lt;3),"Serious", AND(AY123&lt;=$D$1*-1,BA123&gt;0,AZ123&lt;$D$2*-1,AX123/AW123&lt;3),"Very serious", AND(AY123&gt;=$D$1,AZ123&lt;0,BA123&lt;$D$2,AX123/AW123&lt;3),"Serious",AND(AY123&gt;=$D$1,AZ123&lt;0,BA123&gt;$D$2,AX123/AW123&lt;3),"Very serious", AND(AY123&lt;=$D$1*-1,BA123&gt;0,AZ123&gt;$D$2*-1,AX123/AW123&gt;=3),"Very serious", AND(AY123&lt;=$D$1*-1,BA123&gt;0,AZ123&lt;$D$2*-1,AX123/AW123&gt;=3),"Very serious", AND(AY123&gt;=$D$1,AZ123&lt;0,BA123&lt;$D$2,AX123/AW123&gt;=3),"Very serious", AND(AY123&gt;=$D$1,AZ123&lt;0,BA123&gt;$D$2,AX123/AW123&gt;=3),"Very serious", AND(AY123&gt;$D$1*-1,AY123&lt;$D$1,AZ123&gt;$D$1*-1,BA123&lt;$D$1,AX123/AW123&lt;3),"Not Serious", AND(AY123&gt;$D$1*-1,AY123&lt;$D$1,OR(AZ123&lt;=$D$1*-1,BA123&gt;=$D$1),AZ123&gt;$D$2*-1,BA123&lt;$D$2,AX123/AW123&lt;3),"Serious", AND(AY123&gt;$D$1*-1,AY123&lt;$D$1,OR(AZ123&lt;=$D$2*-1,BA123&gt;=$D$2),AX123/AW123&lt;3),"Very serious", AND(AY123&gt;$D$1*-1,AY123&lt;$D$1,AZ123&gt;$D$1*-1,BA123&lt;$D$1,AX123/AW123&gt;=3),"Very serious", AND(AY123&gt;$D$1*-1,AY123&lt;$D$1,OR(AZ123&lt;=$D$1*-1,BA123&gt;=$D$1),AZ123&gt;$D$2*-1,BA123&lt;$D$2,AX123/AW123&gt;=3),"Very serious", AND(AY123&gt;$D$1*-1,AY123&lt;$D$1,OR(AZ123&lt;=$D$2*-1,BA123&gt;=$D$2),AX123/AW123&gt;=3),"Very serious"),""))</f>
        <v/>
      </c>
      <c r="BF123" s="107" t="str">
        <f t="shared" si="11"/>
        <v/>
      </c>
      <c r="BG123" s="94" t="str">
        <f t="shared" si="46"/>
        <v/>
      </c>
      <c r="BH123" s="64" t="str">
        <f t="shared" si="12"/>
        <v>#N/A</v>
      </c>
      <c r="BI123" s="64" t="str">
        <f t="shared" si="13"/>
        <v/>
      </c>
      <c r="BJ123" s="123" t="str">
        <f t="shared" si="14"/>
        <v>#N/A</v>
      </c>
      <c r="BK123" s="64" t="str">
        <f t="shared" si="50"/>
        <v>YES</v>
      </c>
      <c r="BL123" s="64" t="str">
        <f t="shared" si="16"/>
        <v>YES</v>
      </c>
      <c r="BM123" s="64" t="str">
        <f t="shared" si="17"/>
        <v>YES</v>
      </c>
      <c r="BN123" s="124" t="str">
        <f t="shared" si="18"/>
        <v/>
      </c>
      <c r="BO123" s="91" t="str">
        <f t="shared" si="19"/>
        <v/>
      </c>
      <c r="BP123" s="91" t="str">
        <f t="shared" si="20"/>
        <v>#N/A</v>
      </c>
      <c r="BQ123" s="91" t="str">
        <f t="shared" si="21"/>
        <v/>
      </c>
      <c r="BR123" s="93" t="str">
        <f t="shared" si="22"/>
        <v/>
      </c>
      <c r="BS123" s="90" t="str">
        <f t="shared" si="23"/>
        <v/>
      </c>
      <c r="BT123" s="93" t="str">
        <f t="shared" si="24"/>
        <v>NA</v>
      </c>
      <c r="BU123" s="125" t="str">
        <f t="shared" si="25"/>
        <v>#N/A</v>
      </c>
      <c r="BV123" s="93" t="str">
        <f t="shared" si="26"/>
        <v/>
      </c>
      <c r="BW123" s="93" t="str">
        <f t="shared" si="27"/>
        <v/>
      </c>
      <c r="BX123" s="93" t="str">
        <f t="shared" si="28"/>
        <v>NA</v>
      </c>
      <c r="BY123" s="95" t="str">
        <f t="shared" si="29"/>
        <v>#N/A</v>
      </c>
      <c r="BZ123" s="93" t="str">
        <f t="shared" si="30"/>
        <v/>
      </c>
      <c r="CA123" s="93" t="str">
        <f t="shared" si="31"/>
        <v/>
      </c>
      <c r="CB123" s="93" t="str">
        <f t="shared" si="32"/>
        <v>NA</v>
      </c>
      <c r="CC123" s="96" t="str">
        <f t="shared" si="33"/>
        <v>#N/A</v>
      </c>
      <c r="CD123" s="93" t="str">
        <f t="shared" si="34"/>
        <v/>
      </c>
      <c r="CE123" s="93" t="str">
        <f t="shared" si="35"/>
        <v/>
      </c>
      <c r="CF123" s="93" t="str">
        <f t="shared" si="36"/>
        <v>NA</v>
      </c>
      <c r="CG123" s="97" t="str">
        <f t="shared" si="37"/>
        <v>#N/A</v>
      </c>
      <c r="CH123" s="98" t="str">
        <f t="shared" si="38"/>
        <v>#N/A</v>
      </c>
      <c r="CI123" s="99" t="str">
        <f t="shared" si="39"/>
        <v>#N/A</v>
      </c>
      <c r="CJ123" s="126" t="str">
        <f t="shared" si="40"/>
        <v>ERROR: check cell</v>
      </c>
      <c r="CK123" s="126"/>
      <c r="CL123" s="127" t="str">
        <f t="shared" si="41"/>
        <v>#DIV/0!</v>
      </c>
      <c r="CM123" s="128" t="str">
        <f t="shared" si="42"/>
        <v>#DIV/0!</v>
      </c>
      <c r="CN123" s="128">
        <f t="shared" si="43"/>
        <v>4</v>
      </c>
      <c r="CO123" s="129">
        <f t="shared" si="44"/>
        <v>4</v>
      </c>
      <c r="CP123" s="129" t="str">
        <f>IFS(C123=Preferences!B$13,B123,B123=Preferences!B$13,C123)</f>
        <v>#N/A</v>
      </c>
    </row>
    <row r="124" ht="13.5" customHeight="1">
      <c r="A124" s="63" t="str">
        <f t="shared" si="45"/>
        <v/>
      </c>
      <c r="B124" s="64"/>
      <c r="C124" s="64"/>
      <c r="D124" s="64"/>
      <c r="E124" s="65"/>
      <c r="F124" s="65"/>
      <c r="G124" s="65"/>
      <c r="H124" s="66"/>
      <c r="I124" s="66"/>
      <c r="J124" s="67"/>
      <c r="K124" s="68"/>
      <c r="L124" s="104"/>
      <c r="M124" s="104"/>
      <c r="N124" s="104"/>
      <c r="O124" s="104"/>
      <c r="P124" s="107" t="str">
        <f t="shared" si="1"/>
        <v/>
      </c>
      <c r="Q124" s="108" t="str">
        <f>IFERROR(IF(AND(Preferences!B$3="Manual",OR(AX124/AW124&gt;G124/F124,BD124="Serious",BD124="Very serious")),"Assess imprecision",IFS(ISBLANK(E124),"",AND(Preferences!B$3="Automatic", G124/F124&gt;=30),"Extremely serious",AND(H124&lt;=$D$1*-1,J124&lt;0,G124/F124&lt;3),"Not serious",AND(H124&lt;=$D$1*-1,J124&lt;0,G124/F124&gt;=3),"Very serious",AND(H124&gt;=$D$1,I124&gt;0,G124/F124&lt;3),"Not serious",AND(H124&gt;=$D$1,I124&gt;0,G124/F124&gt;=3),"Very serious",AND(H124&lt;=$D$1*-1,J124&gt;0,I124&gt;$D$2*-1,G124/F124&lt;3),"Serious", AND(H124&lt;=$D$1*-1,J124&gt;0,I124&lt;$D$2*-1,G124/F124&lt;3),"Very serious", AND(H124&gt;=$D$1,I124&lt;0,J124&lt;$D$2,G124/F124&lt;3),"Serious",AND(H124&gt;=$D$1,I124&lt;0,J124&gt;$D$2,G124/F124&lt;3),"Very serious", AND(H124&lt;=$D$1*-1,J124&gt;0,I124&gt;$D$2*-1,G124/F124&gt;=3),"Very serious", AND(H124&lt;=$D$1*-1,J124&gt;0,I124&lt;$D$2*-1,G124/F124&gt;=3),"Very serious", AND(H124&gt;=$D$1,I124&lt;0,J124&lt;$D$2,G124/F124&gt;=3),"Very serious", AND(H124&gt;=$D$1,I124&lt;0,J124&gt;$D$2,G124/F124&gt;=3),"Very serious", AND(H124&gt;$D$1*-1,H124&lt;$D$1,I124&gt;$D$1*-1,J124&lt;$D$1,G124/F124&lt;3),"Not serious", AND(H124&gt;$D$1*-1,H124&lt;$D$1,OR(I124&lt;=$D$1*-1,J124&gt;=$D$1),I124&gt;$D$2*-1,J124&lt;$D$2,G124/F124&lt;3),"Serious", AND(H124&gt;$D$1*-1,H124&lt;$D$1,OR(I124&lt;=$D$2*-1,J124&gt;=$D$2),G124/F124&lt;3),"Very serious", AND(H124&gt;$D$1*-1,H124&lt;$D$1,I124&gt;$D$1*-1,J124&lt;$D$1,G124/F124&gt;=3),"Very serious", AND(H124&gt;$D$1*-1,H124&lt;$D$1,OR(I124&lt;=$D$1*-1,J124&gt;=$D$1),I124&gt;$D$2*-1,J124&lt;$D$2,G124/F124&gt;=3),"Very serious", AND(H124&gt;$D$1*-1,H124&lt;$D$1,OR(I124&lt;=$D$2*-1,J124&gt;=$D$2),G124/F124&gt;=3),"Very serious")),"")</f>
        <v/>
      </c>
      <c r="R124" s="109" t="str">
        <f t="shared" si="47"/>
        <v/>
      </c>
      <c r="S124" s="64"/>
      <c r="T124" s="146"/>
      <c r="U124" s="146"/>
      <c r="V124" s="146"/>
      <c r="W124" s="73"/>
      <c r="X124" s="73"/>
      <c r="Y124" s="74"/>
      <c r="Z124" s="113" t="str">
        <f t="array" ref="Z124">INDEX($A$1:$C$500, MATCH(1,($B:$B=$B124)*($C:$C=$AB124),0),1)</f>
        <v/>
      </c>
      <c r="AA124" s="113" t="str">
        <f t="array" ref="AA124">INDEX($A$1:$C$500, MATCH(1,($B:$B=$AB124)*($C:$C=$B124),0),1)</f>
        <v/>
      </c>
      <c r="AB124" s="111"/>
      <c r="AC124" s="114" t="str">
        <f t="shared" si="2"/>
        <v/>
      </c>
      <c r="AD124" s="115" t="str">
        <f t="shared" si="3"/>
        <v/>
      </c>
      <c r="AE124" s="116" t="str">
        <f t="array" ref="AE124">INDEX($A$1:$C$500, MATCH(1,($B:$B=$AB124)*($C:$C=$AG124),0),1)</f>
        <v/>
      </c>
      <c r="AF124" s="116" t="str">
        <f t="array" ref="AF124">INDEX($A$1:$C$500, MATCH(1,($B:$B=$AG124)*($C:$C=$AB124),0),1)</f>
        <v/>
      </c>
      <c r="AG124" s="72"/>
      <c r="AH124" s="114" t="str">
        <f t="shared" si="4"/>
        <v/>
      </c>
      <c r="AI124" s="115" t="str">
        <f t="shared" si="5"/>
        <v/>
      </c>
      <c r="AJ124" s="116" t="str">
        <f t="array" ref="AJ124">INDEX($A$1:$C$500, MATCH(1,($B:$B=$C124)*($C:$C=$AG124),0),1)</f>
        <v/>
      </c>
      <c r="AK124" s="116" t="str">
        <f t="array" ref="AK124">INDEX($A$1:$C$500, MATCH(1,($B:$B=$AG124)*($C:$C=$C124),0),1)</f>
        <v/>
      </c>
      <c r="AL124" s="116" t="str">
        <f t="array" ref="AL124">INDEX($A$1:$C$500, MATCH(1,($B:$B=$C124)*($C:$C=$AB124),0),1)</f>
        <v/>
      </c>
      <c r="AM124" s="116" t="str">
        <f t="array" ref="AM124">INDEX($A$1:$C$500, MATCH(1,($B:$B=$AB124)*($C:$C=$C124),0),1)</f>
        <v/>
      </c>
      <c r="AN124" s="114" t="str">
        <f t="array" ref="AN124">IFS(ISNUMBER(AJ124),AJ124,ISNUMBER(AK124),AK124,ISNUMBER(AL124),AL124,ISNUMBER(AM124),AM124)</f>
        <v>#N/A</v>
      </c>
      <c r="AO124" s="115" t="str">
        <f t="shared" si="6"/>
        <v/>
      </c>
      <c r="AP124" s="115" t="str">
        <f t="shared" si="7"/>
        <v/>
      </c>
      <c r="AQ124" s="111"/>
      <c r="AR124" s="109" t="str">
        <f t="shared" si="8"/>
        <v/>
      </c>
      <c r="AS124" s="72" t="str">
        <f>IFERROR(IF(AND(Preferences!B$3="Manual",OR(AX124/AW124&gt;V124/U124,BD124="Serious",BD124="Very serious")),"Assess imprecision",IFERROR(IFS(AND(Preferences!B$3="Automatic",V124/U124&gt;=30),"Extremely serious",AND(W124&lt;=$D$1*-1,Y124&lt;0,V124/U124&lt;3),"Not Serious",AND(W124&lt;=$D$1*-1,Y124&lt;0,V124/U124&gt;=3),"Very serious",AND(W124&gt;=$D$1,X124&gt;0,V124/U124&lt;3),"Not Serious",AND(W124&gt;=$D$1,X124&gt;0,V124/U124&gt;=3),"Very serious",AND(W124&lt;=$D$1*-1,Y124&gt;0,X124&gt;$D$2*-1,V124/U124&lt;3),"Serious", AND(W124&lt;=$D$1*-1,Y124&gt;0,X124&lt;$D$2*-1,V124/U124&lt;3),"Very serious", AND(W124&gt;=$D$1,X124&lt;0,Y124&lt;$D$2,V124/U124&lt;3),"Serious",AND(W124&gt;=$D$1,X124&lt;0,Y124&gt;$D$2,V124/U124&lt;3),"Very serious", AND(W124&lt;=$D$1*-1,Y124&gt;0,X124&gt;$D$2*-1,V124/U124&gt;=3),"Very serious", AND(W124&lt;=$D$1*-1,Y124&gt;0,X124&lt;$D$2*-1,V124/U124&gt;=3),"Very serious", AND(W124&gt;=$D$1,X124&lt;0,Y124&lt;$D$2,V124/U124&gt;=3),"Very serious", AND(W124&gt;=$D$1,X124&lt;0,Y124&gt;$D$2,V124/U124&gt;=3),"Very serious", AND(W124&gt;$D$1*-1,W124&lt;$D$1,X124&gt;$D$1*-1,Y124&lt;$D$1,V124/U124&lt;3),"Not Serious", AND(W124&gt;$D$1*-1,W124&lt;$D$1,OR(X124&lt;=$D$1*-1,Y124&gt;=$D$1),X124&gt;$D$2*-1,Y124&lt;$D$2,V124/U124&lt;3),"Serious", AND(W124&gt;$D$1*-1,W124&lt;$D$1,OR(X124&lt;=$D$2*-1,Y124&gt;=$D$2),V124/U124&lt;3),"Very serious", AND(W124&gt;$D$1*-1,W124&lt;$D$1,X124&gt;$D$1*-1,Y124&lt;$D$1,V124/U124&gt;=3),"Very serious", AND(W124&gt;$D$1*-1,W124&lt;$D$1,OR(X124&lt;=$D$1*-1,Y124&gt;=$D$1),X124&gt;$D$2*-1,Y124&lt;$D$2,V124/U124&gt;=3),"Very serious", AND(W124&gt;$D$1*-1,W124&lt;$D$1,OR(X124&lt;=$D$2*-1,Y124&gt;=$D$2),V124/U124&gt;=3),"Very serious"),"")),"")</f>
        <v/>
      </c>
      <c r="AT124" s="109" t="str">
        <f t="shared" si="9"/>
        <v/>
      </c>
      <c r="AU124" s="64"/>
      <c r="AV124" s="147"/>
      <c r="AW124" s="147"/>
      <c r="AX124" s="147"/>
      <c r="AY124" s="83"/>
      <c r="AZ124" s="83"/>
      <c r="BA124" s="85"/>
      <c r="BB124" s="86" t="str">
        <f>IF(Preferences!B$9="Manual","",IFS(ISBLANK(B124),"",AND(ISNUMBER(E124)=TRUE,ISNUMBER(T124)=FALSE),"Direct", AND(ISNUMBER(E124)=FALSE,ISNUMBER(T124)=TRUE),"Indirect", CN124=4,"Direct",AND(CL124=FALSE, CM124=TRUE,CN124-CO124&gt;-1),"Direct", AND(CL124=FALSE,CM124=TRUE, CN124-CO124&lt;0),"Check algorithm in appendix 2", AND(CL124=TRUE, CM124=FALSE,CN124-CO124&gt;0),"Check algorithm in appendix 2", AND(CL124=TRUE, CM124=FALSE,CN124-CO124=0),"Indirect", AND(CL124=TRUE, CM124=FALSE,CN124-CO124&lt;0),"Indirect", AND(CL124=FALSE,CM124=FALSE,CN124-CO124&gt;-1),"Direct", AND(CL124=FALSE,CM124=FALSE,CN124-CO124&lt;0),"Check algorithm in appendix 2", AND(CL124=TRUE,CM124=TRUE,CN124-CO124&gt;-1),"Direct", AND(CL124=TRUE,CM124=TRUE,CN124-CO124&lt;0),"Check algorithm in appendix 2"))</f>
        <v/>
      </c>
      <c r="BC124" s="120" t="str">
        <f t="shared" si="10"/>
        <v/>
      </c>
      <c r="BD124" s="140"/>
      <c r="BE124" s="122" t="str">
        <f>IF(Preferences!B$3="Manual","", IFERROR(IFS(AND(Preferences!B$3="Automatic",AX124/AW124&gt;=30),"Extremely serious",AND(AY124&lt;=$D$1*-1,BA124&lt;0,AX124/AW124&lt;3),"Not Serious",AND(AY124&lt;=$D$1*-1,BA124&lt;0,AX124/AW124&gt;=3),"Very serious",AND(AY124&gt;=$D$1,AZ124&gt;0,AX124/AW124&lt;3),"Not Serious",AND(AY124&gt;=$D$1,AZ124&gt;0,AX124/AW124&gt;=3),"Very serious",AND(AY124&lt;=$D$1*-1,BA124&gt;0,AZ124&gt;$D$2*-1,AX124/AW124&lt;3),"Serious", AND(AY124&lt;=$D$1*-1,BA124&gt;0,AZ124&lt;$D$2*-1,AX124/AW124&lt;3),"Very serious", AND(AY124&gt;=$D$1,AZ124&lt;0,BA124&lt;$D$2,AX124/AW124&lt;3),"Serious",AND(AY124&gt;=$D$1,AZ124&lt;0,BA124&gt;$D$2,AX124/AW124&lt;3),"Very serious", AND(AY124&lt;=$D$1*-1,BA124&gt;0,AZ124&gt;$D$2*-1,AX124/AW124&gt;=3),"Very serious", AND(AY124&lt;=$D$1*-1,BA124&gt;0,AZ124&lt;$D$2*-1,AX124/AW124&gt;=3),"Very serious", AND(AY124&gt;=$D$1,AZ124&lt;0,BA124&lt;$D$2,AX124/AW124&gt;=3),"Very serious", AND(AY124&gt;=$D$1,AZ124&lt;0,BA124&gt;$D$2,AX124/AW124&gt;=3),"Very serious", AND(AY124&gt;$D$1*-1,AY124&lt;$D$1,AZ124&gt;$D$1*-1,BA124&lt;$D$1,AX124/AW124&lt;3),"Not Serious", AND(AY124&gt;$D$1*-1,AY124&lt;$D$1,OR(AZ124&lt;=$D$1*-1,BA124&gt;=$D$1),AZ124&gt;$D$2*-1,BA124&lt;$D$2,AX124/AW124&lt;3),"Serious", AND(AY124&gt;$D$1*-1,AY124&lt;$D$1,OR(AZ124&lt;=$D$2*-1,BA124&gt;=$D$2),AX124/AW124&lt;3),"Very serious", AND(AY124&gt;$D$1*-1,AY124&lt;$D$1,AZ124&gt;$D$1*-1,BA124&lt;$D$1,AX124/AW124&gt;=3),"Very serious", AND(AY124&gt;$D$1*-1,AY124&lt;$D$1,OR(AZ124&lt;=$D$1*-1,BA124&gt;=$D$1),AZ124&gt;$D$2*-1,BA124&lt;$D$2,AX124/AW124&gt;=3),"Very serious", AND(AY124&gt;$D$1*-1,AY124&lt;$D$1,OR(AZ124&lt;=$D$2*-1,BA124&gt;=$D$2),AX124/AW124&gt;=3),"Very serious"),""))</f>
        <v/>
      </c>
      <c r="BF124" s="107" t="str">
        <f t="shared" si="11"/>
        <v/>
      </c>
      <c r="BG124" s="94" t="str">
        <f t="shared" si="46"/>
        <v/>
      </c>
      <c r="BH124" s="64" t="str">
        <f t="shared" si="12"/>
        <v>#N/A</v>
      </c>
      <c r="BI124" s="64" t="str">
        <f t="shared" si="13"/>
        <v/>
      </c>
      <c r="BJ124" s="123" t="str">
        <f t="shared" si="14"/>
        <v>#N/A</v>
      </c>
      <c r="BK124" s="64" t="str">
        <f t="shared" si="50"/>
        <v>YES</v>
      </c>
      <c r="BL124" s="64" t="str">
        <f t="shared" si="16"/>
        <v>YES</v>
      </c>
      <c r="BM124" s="64" t="str">
        <f t="shared" si="17"/>
        <v>YES</v>
      </c>
      <c r="BN124" s="124" t="str">
        <f t="shared" si="18"/>
        <v/>
      </c>
      <c r="BO124" s="91" t="str">
        <f t="shared" si="19"/>
        <v/>
      </c>
      <c r="BP124" s="91" t="str">
        <f t="shared" si="20"/>
        <v>#N/A</v>
      </c>
      <c r="BQ124" s="91" t="str">
        <f t="shared" si="21"/>
        <v/>
      </c>
      <c r="BR124" s="93" t="str">
        <f t="shared" si="22"/>
        <v/>
      </c>
      <c r="BS124" s="90" t="str">
        <f t="shared" si="23"/>
        <v/>
      </c>
      <c r="BT124" s="93" t="str">
        <f t="shared" si="24"/>
        <v>NA</v>
      </c>
      <c r="BU124" s="125" t="str">
        <f t="shared" si="25"/>
        <v>#N/A</v>
      </c>
      <c r="BV124" s="93" t="str">
        <f t="shared" si="26"/>
        <v/>
      </c>
      <c r="BW124" s="93" t="str">
        <f t="shared" si="27"/>
        <v/>
      </c>
      <c r="BX124" s="93" t="str">
        <f t="shared" si="28"/>
        <v>NA</v>
      </c>
      <c r="BY124" s="95" t="str">
        <f t="shared" si="29"/>
        <v>#N/A</v>
      </c>
      <c r="BZ124" s="93" t="str">
        <f t="shared" si="30"/>
        <v/>
      </c>
      <c r="CA124" s="93" t="str">
        <f t="shared" si="31"/>
        <v/>
      </c>
      <c r="CB124" s="93" t="str">
        <f t="shared" si="32"/>
        <v>NA</v>
      </c>
      <c r="CC124" s="96" t="str">
        <f t="shared" si="33"/>
        <v>#N/A</v>
      </c>
      <c r="CD124" s="93" t="str">
        <f t="shared" si="34"/>
        <v/>
      </c>
      <c r="CE124" s="93" t="str">
        <f t="shared" si="35"/>
        <v/>
      </c>
      <c r="CF124" s="93" t="str">
        <f t="shared" si="36"/>
        <v>NA</v>
      </c>
      <c r="CG124" s="97" t="str">
        <f t="shared" si="37"/>
        <v>#N/A</v>
      </c>
      <c r="CH124" s="98" t="str">
        <f t="shared" si="38"/>
        <v>#N/A</v>
      </c>
      <c r="CI124" s="99" t="str">
        <f t="shared" si="39"/>
        <v>#N/A</v>
      </c>
      <c r="CJ124" s="126" t="str">
        <f t="shared" si="40"/>
        <v>ERROR: check cell</v>
      </c>
      <c r="CK124" s="126"/>
      <c r="CL124" s="127" t="str">
        <f t="shared" si="41"/>
        <v>#DIV/0!</v>
      </c>
      <c r="CM124" s="128" t="str">
        <f t="shared" si="42"/>
        <v>#DIV/0!</v>
      </c>
      <c r="CN124" s="128">
        <f t="shared" si="43"/>
        <v>4</v>
      </c>
      <c r="CO124" s="129">
        <f t="shared" si="44"/>
        <v>4</v>
      </c>
      <c r="CP124" s="129" t="str">
        <f>IFS(C124=Preferences!B$13,B124,B124=Preferences!B$13,C124)</f>
        <v>#N/A</v>
      </c>
    </row>
    <row r="125" ht="13.5" customHeight="1">
      <c r="A125" s="63" t="str">
        <f t="shared" si="45"/>
        <v/>
      </c>
      <c r="B125" s="64"/>
      <c r="C125" s="64"/>
      <c r="D125" s="64"/>
      <c r="E125" s="65"/>
      <c r="F125" s="65"/>
      <c r="G125" s="65"/>
      <c r="H125" s="66"/>
      <c r="I125" s="66"/>
      <c r="J125" s="67"/>
      <c r="K125" s="68"/>
      <c r="L125" s="104"/>
      <c r="M125" s="104"/>
      <c r="N125" s="104"/>
      <c r="O125" s="104"/>
      <c r="P125" s="107" t="str">
        <f t="shared" si="1"/>
        <v/>
      </c>
      <c r="Q125" s="108" t="str">
        <f>IFERROR(IF(AND(Preferences!B$3="Manual",OR(AX125/AW125&gt;G125/F125,BD125="Serious",BD125="Very serious")),"Assess imprecision",IFS(ISBLANK(E125),"",AND(Preferences!B$3="Automatic", G125/F125&gt;=30),"Extremely serious",AND(H125&lt;=$D$1*-1,J125&lt;0,G125/F125&lt;3),"Not serious",AND(H125&lt;=$D$1*-1,J125&lt;0,G125/F125&gt;=3),"Very serious",AND(H125&gt;=$D$1,I125&gt;0,G125/F125&lt;3),"Not serious",AND(H125&gt;=$D$1,I125&gt;0,G125/F125&gt;=3),"Very serious",AND(H125&lt;=$D$1*-1,J125&gt;0,I125&gt;$D$2*-1,G125/F125&lt;3),"Serious", AND(H125&lt;=$D$1*-1,J125&gt;0,I125&lt;$D$2*-1,G125/F125&lt;3),"Very serious", AND(H125&gt;=$D$1,I125&lt;0,J125&lt;$D$2,G125/F125&lt;3),"Serious",AND(H125&gt;=$D$1,I125&lt;0,J125&gt;$D$2,G125/F125&lt;3),"Very serious", AND(H125&lt;=$D$1*-1,J125&gt;0,I125&gt;$D$2*-1,G125/F125&gt;=3),"Very serious", AND(H125&lt;=$D$1*-1,J125&gt;0,I125&lt;$D$2*-1,G125/F125&gt;=3),"Very serious", AND(H125&gt;=$D$1,I125&lt;0,J125&lt;$D$2,G125/F125&gt;=3),"Very serious", AND(H125&gt;=$D$1,I125&lt;0,J125&gt;$D$2,G125/F125&gt;=3),"Very serious", AND(H125&gt;$D$1*-1,H125&lt;$D$1,I125&gt;$D$1*-1,J125&lt;$D$1,G125/F125&lt;3),"Not serious", AND(H125&gt;$D$1*-1,H125&lt;$D$1,OR(I125&lt;=$D$1*-1,J125&gt;=$D$1),I125&gt;$D$2*-1,J125&lt;$D$2,G125/F125&lt;3),"Serious", AND(H125&gt;$D$1*-1,H125&lt;$D$1,OR(I125&lt;=$D$2*-1,J125&gt;=$D$2),G125/F125&lt;3),"Very serious", AND(H125&gt;$D$1*-1,H125&lt;$D$1,I125&gt;$D$1*-1,J125&lt;$D$1,G125/F125&gt;=3),"Very serious", AND(H125&gt;$D$1*-1,H125&lt;$D$1,OR(I125&lt;=$D$1*-1,J125&gt;=$D$1),I125&gt;$D$2*-1,J125&lt;$D$2,G125/F125&gt;=3),"Very serious", AND(H125&gt;$D$1*-1,H125&lt;$D$1,OR(I125&lt;=$D$2*-1,J125&gt;=$D$2),G125/F125&gt;=3),"Very serious")),"")</f>
        <v/>
      </c>
      <c r="R125" s="109" t="str">
        <f t="shared" si="47"/>
        <v/>
      </c>
      <c r="S125" s="64"/>
      <c r="T125" s="146"/>
      <c r="U125" s="146"/>
      <c r="V125" s="146"/>
      <c r="W125" s="73"/>
      <c r="X125" s="73"/>
      <c r="Y125" s="74"/>
      <c r="Z125" s="113" t="str">
        <f t="array" ref="Z125">INDEX($A$1:$C$500, MATCH(1,($B:$B=$B125)*($C:$C=$AB125),0),1)</f>
        <v/>
      </c>
      <c r="AA125" s="113" t="str">
        <f t="array" ref="AA125">INDEX($A$1:$C$500, MATCH(1,($B:$B=$AB125)*($C:$C=$B125),0),1)</f>
        <v/>
      </c>
      <c r="AB125" s="111"/>
      <c r="AC125" s="114" t="str">
        <f t="shared" si="2"/>
        <v/>
      </c>
      <c r="AD125" s="115" t="str">
        <f t="shared" si="3"/>
        <v/>
      </c>
      <c r="AE125" s="116" t="str">
        <f t="array" ref="AE125">INDEX($A$1:$C$500, MATCH(1,($B:$B=$AB125)*($C:$C=$AG125),0),1)</f>
        <v/>
      </c>
      <c r="AF125" s="116" t="str">
        <f t="array" ref="AF125">INDEX($A$1:$C$500, MATCH(1,($B:$B=$AG125)*($C:$C=$AB125),0),1)</f>
        <v/>
      </c>
      <c r="AG125" s="72"/>
      <c r="AH125" s="114" t="str">
        <f t="shared" si="4"/>
        <v/>
      </c>
      <c r="AI125" s="115" t="str">
        <f t="shared" si="5"/>
        <v/>
      </c>
      <c r="AJ125" s="116" t="str">
        <f t="array" ref="AJ125">INDEX($A$1:$C$500, MATCH(1,($B:$B=$C125)*($C:$C=$AG125),0),1)</f>
        <v/>
      </c>
      <c r="AK125" s="116" t="str">
        <f t="array" ref="AK125">INDEX($A$1:$C$500, MATCH(1,($B:$B=$AG125)*($C:$C=$C125),0),1)</f>
        <v/>
      </c>
      <c r="AL125" s="116" t="str">
        <f t="array" ref="AL125">INDEX($A$1:$C$500, MATCH(1,($B:$B=$C125)*($C:$C=$AB125),0),1)</f>
        <v/>
      </c>
      <c r="AM125" s="116" t="str">
        <f t="array" ref="AM125">INDEX($A$1:$C$500, MATCH(1,($B:$B=$AB125)*($C:$C=$C125),0),1)</f>
        <v/>
      </c>
      <c r="AN125" s="114" t="str">
        <f t="array" ref="AN125">IFS(ISNUMBER(AJ125),AJ125,ISNUMBER(AK125),AK125,ISNUMBER(AL125),AL125,ISNUMBER(AM125),AM125)</f>
        <v>#N/A</v>
      </c>
      <c r="AO125" s="115" t="str">
        <f t="shared" si="6"/>
        <v/>
      </c>
      <c r="AP125" s="115" t="str">
        <f t="shared" si="7"/>
        <v/>
      </c>
      <c r="AQ125" s="111"/>
      <c r="AR125" s="109" t="str">
        <f t="shared" si="8"/>
        <v/>
      </c>
      <c r="AS125" s="72" t="str">
        <f>IFERROR(IF(AND(Preferences!B$3="Manual",OR(AX125/AW125&gt;V125/U125,BD125="Serious",BD125="Very serious")),"Assess imprecision",IFERROR(IFS(AND(Preferences!B$3="Automatic",V125/U125&gt;=30),"Extremely serious",AND(W125&lt;=$D$1*-1,Y125&lt;0,V125/U125&lt;3),"Not Serious",AND(W125&lt;=$D$1*-1,Y125&lt;0,V125/U125&gt;=3),"Very serious",AND(W125&gt;=$D$1,X125&gt;0,V125/U125&lt;3),"Not Serious",AND(W125&gt;=$D$1,X125&gt;0,V125/U125&gt;=3),"Very serious",AND(W125&lt;=$D$1*-1,Y125&gt;0,X125&gt;$D$2*-1,V125/U125&lt;3),"Serious", AND(W125&lt;=$D$1*-1,Y125&gt;0,X125&lt;$D$2*-1,V125/U125&lt;3),"Very serious", AND(W125&gt;=$D$1,X125&lt;0,Y125&lt;$D$2,V125/U125&lt;3),"Serious",AND(W125&gt;=$D$1,X125&lt;0,Y125&gt;$D$2,V125/U125&lt;3),"Very serious", AND(W125&lt;=$D$1*-1,Y125&gt;0,X125&gt;$D$2*-1,V125/U125&gt;=3),"Very serious", AND(W125&lt;=$D$1*-1,Y125&gt;0,X125&lt;$D$2*-1,V125/U125&gt;=3),"Very serious", AND(W125&gt;=$D$1,X125&lt;0,Y125&lt;$D$2,V125/U125&gt;=3),"Very serious", AND(W125&gt;=$D$1,X125&lt;0,Y125&gt;$D$2,V125/U125&gt;=3),"Very serious", AND(W125&gt;$D$1*-1,W125&lt;$D$1,X125&gt;$D$1*-1,Y125&lt;$D$1,V125/U125&lt;3),"Not Serious", AND(W125&gt;$D$1*-1,W125&lt;$D$1,OR(X125&lt;=$D$1*-1,Y125&gt;=$D$1),X125&gt;$D$2*-1,Y125&lt;$D$2,V125/U125&lt;3),"Serious", AND(W125&gt;$D$1*-1,W125&lt;$D$1,OR(X125&lt;=$D$2*-1,Y125&gt;=$D$2),V125/U125&lt;3),"Very serious", AND(W125&gt;$D$1*-1,W125&lt;$D$1,X125&gt;$D$1*-1,Y125&lt;$D$1,V125/U125&gt;=3),"Very serious", AND(W125&gt;$D$1*-1,W125&lt;$D$1,OR(X125&lt;=$D$1*-1,Y125&gt;=$D$1),X125&gt;$D$2*-1,Y125&lt;$D$2,V125/U125&gt;=3),"Very serious", AND(W125&gt;$D$1*-1,W125&lt;$D$1,OR(X125&lt;=$D$2*-1,Y125&gt;=$D$2),V125/U125&gt;=3),"Very serious"),"")),"")</f>
        <v/>
      </c>
      <c r="AT125" s="109" t="str">
        <f t="shared" si="9"/>
        <v/>
      </c>
      <c r="AU125" s="64"/>
      <c r="AV125" s="147"/>
      <c r="AW125" s="147"/>
      <c r="AX125" s="147"/>
      <c r="AY125" s="83"/>
      <c r="AZ125" s="83"/>
      <c r="BA125" s="85"/>
      <c r="BB125" s="86" t="str">
        <f>IF(Preferences!B$9="Manual","",IFS(ISBLANK(B125),"",AND(ISNUMBER(E125)=TRUE,ISNUMBER(T125)=FALSE),"Direct", AND(ISNUMBER(E125)=FALSE,ISNUMBER(T125)=TRUE),"Indirect", CN125=4,"Direct",AND(CL125=FALSE, CM125=TRUE,CN125-CO125&gt;-1),"Direct", AND(CL125=FALSE,CM125=TRUE, CN125-CO125&lt;0),"Check algorithm in appendix 2", AND(CL125=TRUE, CM125=FALSE,CN125-CO125&gt;0),"Check algorithm in appendix 2", AND(CL125=TRUE, CM125=FALSE,CN125-CO125=0),"Indirect", AND(CL125=TRUE, CM125=FALSE,CN125-CO125&lt;0),"Indirect", AND(CL125=FALSE,CM125=FALSE,CN125-CO125&gt;-1),"Direct", AND(CL125=FALSE,CM125=FALSE,CN125-CO125&lt;0),"Check algorithm in appendix 2", AND(CL125=TRUE,CM125=TRUE,CN125-CO125&gt;-1),"Direct", AND(CL125=TRUE,CM125=TRUE,CN125-CO125&lt;0),"Check algorithm in appendix 2"))</f>
        <v/>
      </c>
      <c r="BC125" s="120" t="str">
        <f t="shared" si="10"/>
        <v/>
      </c>
      <c r="BD125" s="140"/>
      <c r="BE125" s="122" t="str">
        <f>IF(Preferences!B$3="Manual","", IFERROR(IFS(AND(Preferences!B$3="Automatic",AX125/AW125&gt;=30),"Extremely serious",AND(AY125&lt;=$D$1*-1,BA125&lt;0,AX125/AW125&lt;3),"Not Serious",AND(AY125&lt;=$D$1*-1,BA125&lt;0,AX125/AW125&gt;=3),"Very serious",AND(AY125&gt;=$D$1,AZ125&gt;0,AX125/AW125&lt;3),"Not Serious",AND(AY125&gt;=$D$1,AZ125&gt;0,AX125/AW125&gt;=3),"Very serious",AND(AY125&lt;=$D$1*-1,BA125&gt;0,AZ125&gt;$D$2*-1,AX125/AW125&lt;3),"Serious", AND(AY125&lt;=$D$1*-1,BA125&gt;0,AZ125&lt;$D$2*-1,AX125/AW125&lt;3),"Very serious", AND(AY125&gt;=$D$1,AZ125&lt;0,BA125&lt;$D$2,AX125/AW125&lt;3),"Serious",AND(AY125&gt;=$D$1,AZ125&lt;0,BA125&gt;$D$2,AX125/AW125&lt;3),"Very serious", AND(AY125&lt;=$D$1*-1,BA125&gt;0,AZ125&gt;$D$2*-1,AX125/AW125&gt;=3),"Very serious", AND(AY125&lt;=$D$1*-1,BA125&gt;0,AZ125&lt;$D$2*-1,AX125/AW125&gt;=3),"Very serious", AND(AY125&gt;=$D$1,AZ125&lt;0,BA125&lt;$D$2,AX125/AW125&gt;=3),"Very serious", AND(AY125&gt;=$D$1,AZ125&lt;0,BA125&gt;$D$2,AX125/AW125&gt;=3),"Very serious", AND(AY125&gt;$D$1*-1,AY125&lt;$D$1,AZ125&gt;$D$1*-1,BA125&lt;$D$1,AX125/AW125&lt;3),"Not Serious", AND(AY125&gt;$D$1*-1,AY125&lt;$D$1,OR(AZ125&lt;=$D$1*-1,BA125&gt;=$D$1),AZ125&gt;$D$2*-1,BA125&lt;$D$2,AX125/AW125&lt;3),"Serious", AND(AY125&gt;$D$1*-1,AY125&lt;$D$1,OR(AZ125&lt;=$D$2*-1,BA125&gt;=$D$2),AX125/AW125&lt;3),"Very serious", AND(AY125&gt;$D$1*-1,AY125&lt;$D$1,AZ125&gt;$D$1*-1,BA125&lt;$D$1,AX125/AW125&gt;=3),"Very serious", AND(AY125&gt;$D$1*-1,AY125&lt;$D$1,OR(AZ125&lt;=$D$1*-1,BA125&gt;=$D$1),AZ125&gt;$D$2*-1,BA125&lt;$D$2,AX125/AW125&gt;=3),"Very serious", AND(AY125&gt;$D$1*-1,AY125&lt;$D$1,OR(AZ125&lt;=$D$2*-1,BA125&gt;=$D$2),AX125/AW125&gt;=3),"Very serious"),""))</f>
        <v/>
      </c>
      <c r="BF125" s="107" t="str">
        <f t="shared" si="11"/>
        <v/>
      </c>
      <c r="BG125" s="94" t="str">
        <f t="shared" si="46"/>
        <v/>
      </c>
      <c r="BH125" s="64" t="str">
        <f t="shared" si="12"/>
        <v>#N/A</v>
      </c>
      <c r="BI125" s="64" t="str">
        <f t="shared" si="13"/>
        <v/>
      </c>
      <c r="BJ125" s="123" t="str">
        <f t="shared" si="14"/>
        <v>#N/A</v>
      </c>
      <c r="BK125" s="64" t="str">
        <f t="shared" si="50"/>
        <v>YES</v>
      </c>
      <c r="BL125" s="64" t="str">
        <f t="shared" si="16"/>
        <v>YES</v>
      </c>
      <c r="BM125" s="64" t="str">
        <f t="shared" si="17"/>
        <v>YES</v>
      </c>
      <c r="BN125" s="124" t="str">
        <f t="shared" si="18"/>
        <v/>
      </c>
      <c r="BO125" s="91" t="str">
        <f t="shared" si="19"/>
        <v/>
      </c>
      <c r="BP125" s="91" t="str">
        <f t="shared" si="20"/>
        <v>#N/A</v>
      </c>
      <c r="BQ125" s="91" t="str">
        <f t="shared" si="21"/>
        <v/>
      </c>
      <c r="BR125" s="93" t="str">
        <f t="shared" si="22"/>
        <v/>
      </c>
      <c r="BS125" s="90" t="str">
        <f t="shared" si="23"/>
        <v/>
      </c>
      <c r="BT125" s="93" t="str">
        <f t="shared" si="24"/>
        <v>NA</v>
      </c>
      <c r="BU125" s="125" t="str">
        <f t="shared" si="25"/>
        <v>#N/A</v>
      </c>
      <c r="BV125" s="93" t="str">
        <f t="shared" si="26"/>
        <v/>
      </c>
      <c r="BW125" s="93" t="str">
        <f t="shared" si="27"/>
        <v/>
      </c>
      <c r="BX125" s="93" t="str">
        <f t="shared" si="28"/>
        <v>NA</v>
      </c>
      <c r="BY125" s="95" t="str">
        <f t="shared" si="29"/>
        <v>#N/A</v>
      </c>
      <c r="BZ125" s="93" t="str">
        <f t="shared" si="30"/>
        <v/>
      </c>
      <c r="CA125" s="93" t="str">
        <f t="shared" si="31"/>
        <v/>
      </c>
      <c r="CB125" s="93" t="str">
        <f t="shared" si="32"/>
        <v>NA</v>
      </c>
      <c r="CC125" s="96" t="str">
        <f t="shared" si="33"/>
        <v>#N/A</v>
      </c>
      <c r="CD125" s="93" t="str">
        <f t="shared" si="34"/>
        <v/>
      </c>
      <c r="CE125" s="93" t="str">
        <f t="shared" si="35"/>
        <v/>
      </c>
      <c r="CF125" s="93" t="str">
        <f t="shared" si="36"/>
        <v>NA</v>
      </c>
      <c r="CG125" s="97" t="str">
        <f t="shared" si="37"/>
        <v>#N/A</v>
      </c>
      <c r="CH125" s="98" t="str">
        <f t="shared" si="38"/>
        <v>#N/A</v>
      </c>
      <c r="CI125" s="99" t="str">
        <f t="shared" si="39"/>
        <v>#N/A</v>
      </c>
      <c r="CJ125" s="126" t="str">
        <f t="shared" si="40"/>
        <v>ERROR: check cell</v>
      </c>
      <c r="CK125" s="126"/>
      <c r="CL125" s="127" t="str">
        <f t="shared" si="41"/>
        <v>#DIV/0!</v>
      </c>
      <c r="CM125" s="128" t="str">
        <f t="shared" si="42"/>
        <v>#DIV/0!</v>
      </c>
      <c r="CN125" s="128">
        <f t="shared" si="43"/>
        <v>4</v>
      </c>
      <c r="CO125" s="129">
        <f t="shared" si="44"/>
        <v>4</v>
      </c>
      <c r="CP125" s="129" t="str">
        <f>IFS(C125=Preferences!B$13,B125,B125=Preferences!B$13,C125)</f>
        <v>#N/A</v>
      </c>
    </row>
    <row r="126" ht="13.5" customHeight="1">
      <c r="A126" s="63" t="str">
        <f t="shared" si="45"/>
        <v/>
      </c>
      <c r="B126" s="64"/>
      <c r="C126" s="64"/>
      <c r="D126" s="64"/>
      <c r="E126" s="65"/>
      <c r="F126" s="65"/>
      <c r="G126" s="65"/>
      <c r="H126" s="66"/>
      <c r="I126" s="66"/>
      <c r="J126" s="67"/>
      <c r="K126" s="68"/>
      <c r="L126" s="104"/>
      <c r="M126" s="104"/>
      <c r="N126" s="104"/>
      <c r="O126" s="104"/>
      <c r="P126" s="107" t="str">
        <f t="shared" si="1"/>
        <v/>
      </c>
      <c r="Q126" s="108" t="str">
        <f>IFERROR(IF(AND(Preferences!B$3="Manual",OR(AX126/AW126&gt;G126/F126,BD126="Serious",BD126="Very serious")),"Assess imprecision",IFS(ISBLANK(E126),"",AND(Preferences!B$3="Automatic", G126/F126&gt;=30),"Extremely serious",AND(H126&lt;=$D$1*-1,J126&lt;0,G126/F126&lt;3),"Not serious",AND(H126&lt;=$D$1*-1,J126&lt;0,G126/F126&gt;=3),"Very serious",AND(H126&gt;=$D$1,I126&gt;0,G126/F126&lt;3),"Not serious",AND(H126&gt;=$D$1,I126&gt;0,G126/F126&gt;=3),"Very serious",AND(H126&lt;=$D$1*-1,J126&gt;0,I126&gt;$D$2*-1,G126/F126&lt;3),"Serious", AND(H126&lt;=$D$1*-1,J126&gt;0,I126&lt;$D$2*-1,G126/F126&lt;3),"Very serious", AND(H126&gt;=$D$1,I126&lt;0,J126&lt;$D$2,G126/F126&lt;3),"Serious",AND(H126&gt;=$D$1,I126&lt;0,J126&gt;$D$2,G126/F126&lt;3),"Very serious", AND(H126&lt;=$D$1*-1,J126&gt;0,I126&gt;$D$2*-1,G126/F126&gt;=3),"Very serious", AND(H126&lt;=$D$1*-1,J126&gt;0,I126&lt;$D$2*-1,G126/F126&gt;=3),"Very serious", AND(H126&gt;=$D$1,I126&lt;0,J126&lt;$D$2,G126/F126&gt;=3),"Very serious", AND(H126&gt;=$D$1,I126&lt;0,J126&gt;$D$2,G126/F126&gt;=3),"Very serious", AND(H126&gt;$D$1*-1,H126&lt;$D$1,I126&gt;$D$1*-1,J126&lt;$D$1,G126/F126&lt;3),"Not serious", AND(H126&gt;$D$1*-1,H126&lt;$D$1,OR(I126&lt;=$D$1*-1,J126&gt;=$D$1),I126&gt;$D$2*-1,J126&lt;$D$2,G126/F126&lt;3),"Serious", AND(H126&gt;$D$1*-1,H126&lt;$D$1,OR(I126&lt;=$D$2*-1,J126&gt;=$D$2),G126/F126&lt;3),"Very serious", AND(H126&gt;$D$1*-1,H126&lt;$D$1,I126&gt;$D$1*-1,J126&lt;$D$1,G126/F126&gt;=3),"Very serious", AND(H126&gt;$D$1*-1,H126&lt;$D$1,OR(I126&lt;=$D$1*-1,J126&gt;=$D$1),I126&gt;$D$2*-1,J126&lt;$D$2,G126/F126&gt;=3),"Very serious", AND(H126&gt;$D$1*-1,H126&lt;$D$1,OR(I126&lt;=$D$2*-1,J126&gt;=$D$2),G126/F126&gt;=3),"Very serious")),"")</f>
        <v/>
      </c>
      <c r="R126" s="109" t="str">
        <f t="shared" si="47"/>
        <v/>
      </c>
      <c r="S126" s="64"/>
      <c r="T126" s="146"/>
      <c r="U126" s="146"/>
      <c r="V126" s="146"/>
      <c r="W126" s="73"/>
      <c r="X126" s="73"/>
      <c r="Y126" s="74"/>
      <c r="Z126" s="113" t="str">
        <f t="array" ref="Z126">INDEX($A$1:$C$500, MATCH(1,($B:$B=$B126)*($C:$C=$AB126),0),1)</f>
        <v/>
      </c>
      <c r="AA126" s="113" t="str">
        <f t="array" ref="AA126">INDEX($A$1:$C$500, MATCH(1,($B:$B=$AB126)*($C:$C=$B126),0),1)</f>
        <v/>
      </c>
      <c r="AB126" s="111"/>
      <c r="AC126" s="114" t="str">
        <f t="shared" si="2"/>
        <v/>
      </c>
      <c r="AD126" s="115" t="str">
        <f t="shared" si="3"/>
        <v/>
      </c>
      <c r="AE126" s="116" t="str">
        <f t="array" ref="AE126">INDEX($A$1:$C$500, MATCH(1,($B:$B=$AB126)*($C:$C=$AG126),0),1)</f>
        <v/>
      </c>
      <c r="AF126" s="116" t="str">
        <f t="array" ref="AF126">INDEX($A$1:$C$500, MATCH(1,($B:$B=$AG126)*($C:$C=$AB126),0),1)</f>
        <v/>
      </c>
      <c r="AG126" s="72"/>
      <c r="AH126" s="114" t="str">
        <f t="shared" si="4"/>
        <v/>
      </c>
      <c r="AI126" s="115" t="str">
        <f t="shared" si="5"/>
        <v/>
      </c>
      <c r="AJ126" s="116" t="str">
        <f t="array" ref="AJ126">INDEX($A$1:$C$500, MATCH(1,($B:$B=$C126)*($C:$C=$AG126),0),1)</f>
        <v/>
      </c>
      <c r="AK126" s="116" t="str">
        <f t="array" ref="AK126">INDEX($A$1:$C$500, MATCH(1,($B:$B=$AG126)*($C:$C=$C126),0),1)</f>
        <v/>
      </c>
      <c r="AL126" s="116" t="str">
        <f t="array" ref="AL126">INDEX($A$1:$C$500, MATCH(1,($B:$B=$C126)*($C:$C=$AB126),0),1)</f>
        <v/>
      </c>
      <c r="AM126" s="116" t="str">
        <f t="array" ref="AM126">INDEX($A$1:$C$500, MATCH(1,($B:$B=$AB126)*($C:$C=$C126),0),1)</f>
        <v/>
      </c>
      <c r="AN126" s="114" t="str">
        <f t="array" ref="AN126">IFS(ISNUMBER(AJ126),AJ126,ISNUMBER(AK126),AK126,ISNUMBER(AL126),AL126,ISNUMBER(AM126),AM126)</f>
        <v>#N/A</v>
      </c>
      <c r="AO126" s="115" t="str">
        <f t="shared" si="6"/>
        <v/>
      </c>
      <c r="AP126" s="115" t="str">
        <f t="shared" si="7"/>
        <v/>
      </c>
      <c r="AQ126" s="111"/>
      <c r="AR126" s="109" t="str">
        <f t="shared" si="8"/>
        <v/>
      </c>
      <c r="AS126" s="72" t="str">
        <f>IFERROR(IF(AND(Preferences!B$3="Manual",OR(AX126/AW126&gt;V126/U126,BD126="Serious",BD126="Very serious")),"Assess imprecision",IFERROR(IFS(AND(Preferences!B$3="Automatic",V126/U126&gt;=30),"Extremely serious",AND(W126&lt;=$D$1*-1,Y126&lt;0,V126/U126&lt;3),"Not Serious",AND(W126&lt;=$D$1*-1,Y126&lt;0,V126/U126&gt;=3),"Very serious",AND(W126&gt;=$D$1,X126&gt;0,V126/U126&lt;3),"Not Serious",AND(W126&gt;=$D$1,X126&gt;0,V126/U126&gt;=3),"Very serious",AND(W126&lt;=$D$1*-1,Y126&gt;0,X126&gt;$D$2*-1,V126/U126&lt;3),"Serious", AND(W126&lt;=$D$1*-1,Y126&gt;0,X126&lt;$D$2*-1,V126/U126&lt;3),"Very serious", AND(W126&gt;=$D$1,X126&lt;0,Y126&lt;$D$2,V126/U126&lt;3),"Serious",AND(W126&gt;=$D$1,X126&lt;0,Y126&gt;$D$2,V126/U126&lt;3),"Very serious", AND(W126&lt;=$D$1*-1,Y126&gt;0,X126&gt;$D$2*-1,V126/U126&gt;=3),"Very serious", AND(W126&lt;=$D$1*-1,Y126&gt;0,X126&lt;$D$2*-1,V126/U126&gt;=3),"Very serious", AND(W126&gt;=$D$1,X126&lt;0,Y126&lt;$D$2,V126/U126&gt;=3),"Very serious", AND(W126&gt;=$D$1,X126&lt;0,Y126&gt;$D$2,V126/U126&gt;=3),"Very serious", AND(W126&gt;$D$1*-1,W126&lt;$D$1,X126&gt;$D$1*-1,Y126&lt;$D$1,V126/U126&lt;3),"Not Serious", AND(W126&gt;$D$1*-1,W126&lt;$D$1,OR(X126&lt;=$D$1*-1,Y126&gt;=$D$1),X126&gt;$D$2*-1,Y126&lt;$D$2,V126/U126&lt;3),"Serious", AND(W126&gt;$D$1*-1,W126&lt;$D$1,OR(X126&lt;=$D$2*-1,Y126&gt;=$D$2),V126/U126&lt;3),"Very serious", AND(W126&gt;$D$1*-1,W126&lt;$D$1,X126&gt;$D$1*-1,Y126&lt;$D$1,V126/U126&gt;=3),"Very serious", AND(W126&gt;$D$1*-1,W126&lt;$D$1,OR(X126&lt;=$D$1*-1,Y126&gt;=$D$1),X126&gt;$D$2*-1,Y126&lt;$D$2,V126/U126&gt;=3),"Very serious", AND(W126&gt;$D$1*-1,W126&lt;$D$1,OR(X126&lt;=$D$2*-1,Y126&gt;=$D$2),V126/U126&gt;=3),"Very serious"),"")),"")</f>
        <v/>
      </c>
      <c r="AT126" s="109" t="str">
        <f t="shared" si="9"/>
        <v/>
      </c>
      <c r="AU126" s="64"/>
      <c r="AV126" s="147"/>
      <c r="AW126" s="147"/>
      <c r="AX126" s="147"/>
      <c r="AY126" s="83"/>
      <c r="AZ126" s="83"/>
      <c r="BA126" s="85"/>
      <c r="BB126" s="86" t="str">
        <f>IF(Preferences!B$9="Manual","",IFS(ISBLANK(B126),"",AND(ISNUMBER(E126)=TRUE,ISNUMBER(T126)=FALSE),"Direct", AND(ISNUMBER(E126)=FALSE,ISNUMBER(T126)=TRUE),"Indirect", CN126=4,"Direct",AND(CL126=FALSE, CM126=TRUE,CN126-CO126&gt;-1),"Direct", AND(CL126=FALSE,CM126=TRUE, CN126-CO126&lt;0),"Check algorithm in appendix 2", AND(CL126=TRUE, CM126=FALSE,CN126-CO126&gt;0),"Check algorithm in appendix 2", AND(CL126=TRUE, CM126=FALSE,CN126-CO126=0),"Indirect", AND(CL126=TRUE, CM126=FALSE,CN126-CO126&lt;0),"Indirect", AND(CL126=FALSE,CM126=FALSE,CN126-CO126&gt;-1),"Direct", AND(CL126=FALSE,CM126=FALSE,CN126-CO126&lt;0),"Check algorithm in appendix 2", AND(CL126=TRUE,CM126=TRUE,CN126-CO126&gt;-1),"Direct", AND(CL126=TRUE,CM126=TRUE,CN126-CO126&lt;0),"Check algorithm in appendix 2"))</f>
        <v/>
      </c>
      <c r="BC126" s="120" t="str">
        <f t="shared" si="10"/>
        <v/>
      </c>
      <c r="BD126" s="140"/>
      <c r="BE126" s="122" t="str">
        <f>IF(Preferences!B$3="Manual","", IFERROR(IFS(AND(Preferences!B$3="Automatic",AX126/AW126&gt;=30),"Extremely serious",AND(AY126&lt;=$D$1*-1,BA126&lt;0,AX126/AW126&lt;3),"Not Serious",AND(AY126&lt;=$D$1*-1,BA126&lt;0,AX126/AW126&gt;=3),"Very serious",AND(AY126&gt;=$D$1,AZ126&gt;0,AX126/AW126&lt;3),"Not Serious",AND(AY126&gt;=$D$1,AZ126&gt;0,AX126/AW126&gt;=3),"Very serious",AND(AY126&lt;=$D$1*-1,BA126&gt;0,AZ126&gt;$D$2*-1,AX126/AW126&lt;3),"Serious", AND(AY126&lt;=$D$1*-1,BA126&gt;0,AZ126&lt;$D$2*-1,AX126/AW126&lt;3),"Very serious", AND(AY126&gt;=$D$1,AZ126&lt;0,BA126&lt;$D$2,AX126/AW126&lt;3),"Serious",AND(AY126&gt;=$D$1,AZ126&lt;0,BA126&gt;$D$2,AX126/AW126&lt;3),"Very serious", AND(AY126&lt;=$D$1*-1,BA126&gt;0,AZ126&gt;$D$2*-1,AX126/AW126&gt;=3),"Very serious", AND(AY126&lt;=$D$1*-1,BA126&gt;0,AZ126&lt;$D$2*-1,AX126/AW126&gt;=3),"Very serious", AND(AY126&gt;=$D$1,AZ126&lt;0,BA126&lt;$D$2,AX126/AW126&gt;=3),"Very serious", AND(AY126&gt;=$D$1,AZ126&lt;0,BA126&gt;$D$2,AX126/AW126&gt;=3),"Very serious", AND(AY126&gt;$D$1*-1,AY126&lt;$D$1,AZ126&gt;$D$1*-1,BA126&lt;$D$1,AX126/AW126&lt;3),"Not Serious", AND(AY126&gt;$D$1*-1,AY126&lt;$D$1,OR(AZ126&lt;=$D$1*-1,BA126&gt;=$D$1),AZ126&gt;$D$2*-1,BA126&lt;$D$2,AX126/AW126&lt;3),"Serious", AND(AY126&gt;$D$1*-1,AY126&lt;$D$1,OR(AZ126&lt;=$D$2*-1,BA126&gt;=$D$2),AX126/AW126&lt;3),"Very serious", AND(AY126&gt;$D$1*-1,AY126&lt;$D$1,AZ126&gt;$D$1*-1,BA126&lt;$D$1,AX126/AW126&gt;=3),"Very serious", AND(AY126&gt;$D$1*-1,AY126&lt;$D$1,OR(AZ126&lt;=$D$1*-1,BA126&gt;=$D$1),AZ126&gt;$D$2*-1,BA126&lt;$D$2,AX126/AW126&gt;=3),"Very serious", AND(AY126&gt;$D$1*-1,AY126&lt;$D$1,OR(AZ126&lt;=$D$2*-1,BA126&gt;=$D$2),AX126/AW126&gt;=3),"Very serious"),""))</f>
        <v/>
      </c>
      <c r="BF126" s="107" t="str">
        <f t="shared" si="11"/>
        <v/>
      </c>
      <c r="BG126" s="94" t="str">
        <f t="shared" si="46"/>
        <v/>
      </c>
      <c r="BH126" s="64" t="str">
        <f t="shared" si="12"/>
        <v>#N/A</v>
      </c>
      <c r="BI126" s="64" t="str">
        <f t="shared" si="13"/>
        <v/>
      </c>
      <c r="BJ126" s="123" t="str">
        <f t="shared" si="14"/>
        <v>#N/A</v>
      </c>
      <c r="BK126" s="64" t="str">
        <f t="shared" si="50"/>
        <v>YES</v>
      </c>
      <c r="BL126" s="64" t="str">
        <f t="shared" si="16"/>
        <v>YES</v>
      </c>
      <c r="BM126" s="64" t="str">
        <f t="shared" si="17"/>
        <v>YES</v>
      </c>
      <c r="BN126" s="124" t="str">
        <f t="shared" si="18"/>
        <v/>
      </c>
      <c r="BO126" s="91" t="str">
        <f t="shared" si="19"/>
        <v/>
      </c>
      <c r="BP126" s="91" t="str">
        <f t="shared" si="20"/>
        <v>#N/A</v>
      </c>
      <c r="BQ126" s="91" t="str">
        <f t="shared" si="21"/>
        <v/>
      </c>
      <c r="BR126" s="93" t="str">
        <f t="shared" si="22"/>
        <v/>
      </c>
      <c r="BS126" s="90" t="str">
        <f t="shared" si="23"/>
        <v/>
      </c>
      <c r="BT126" s="93" t="str">
        <f t="shared" si="24"/>
        <v>NA</v>
      </c>
      <c r="BU126" s="125" t="str">
        <f t="shared" si="25"/>
        <v>#N/A</v>
      </c>
      <c r="BV126" s="93" t="str">
        <f t="shared" si="26"/>
        <v/>
      </c>
      <c r="BW126" s="93" t="str">
        <f t="shared" si="27"/>
        <v/>
      </c>
      <c r="BX126" s="93" t="str">
        <f t="shared" si="28"/>
        <v>NA</v>
      </c>
      <c r="BY126" s="95" t="str">
        <f t="shared" si="29"/>
        <v>#N/A</v>
      </c>
      <c r="BZ126" s="93" t="str">
        <f t="shared" si="30"/>
        <v/>
      </c>
      <c r="CA126" s="93" t="str">
        <f t="shared" si="31"/>
        <v/>
      </c>
      <c r="CB126" s="93" t="str">
        <f t="shared" si="32"/>
        <v>NA</v>
      </c>
      <c r="CC126" s="96" t="str">
        <f t="shared" si="33"/>
        <v>#N/A</v>
      </c>
      <c r="CD126" s="93" t="str">
        <f t="shared" si="34"/>
        <v/>
      </c>
      <c r="CE126" s="93" t="str">
        <f t="shared" si="35"/>
        <v/>
      </c>
      <c r="CF126" s="93" t="str">
        <f t="shared" si="36"/>
        <v>NA</v>
      </c>
      <c r="CG126" s="97" t="str">
        <f t="shared" si="37"/>
        <v>#N/A</v>
      </c>
      <c r="CH126" s="98" t="str">
        <f t="shared" si="38"/>
        <v>#N/A</v>
      </c>
      <c r="CI126" s="99" t="str">
        <f t="shared" si="39"/>
        <v>#N/A</v>
      </c>
      <c r="CJ126" s="126" t="str">
        <f t="shared" si="40"/>
        <v>ERROR: check cell</v>
      </c>
      <c r="CK126" s="126"/>
      <c r="CL126" s="127" t="str">
        <f t="shared" si="41"/>
        <v>#DIV/0!</v>
      </c>
      <c r="CM126" s="128" t="str">
        <f t="shared" si="42"/>
        <v>#DIV/0!</v>
      </c>
      <c r="CN126" s="128">
        <f t="shared" si="43"/>
        <v>4</v>
      </c>
      <c r="CO126" s="129">
        <f t="shared" si="44"/>
        <v>4</v>
      </c>
      <c r="CP126" s="129" t="str">
        <f>IFS(C126=Preferences!B$13,B126,B126=Preferences!B$13,C126)</f>
        <v>#N/A</v>
      </c>
    </row>
    <row r="127" ht="13.5" customHeight="1">
      <c r="A127" s="63" t="str">
        <f t="shared" si="45"/>
        <v/>
      </c>
      <c r="B127" s="64"/>
      <c r="C127" s="64"/>
      <c r="D127" s="64"/>
      <c r="E127" s="65"/>
      <c r="F127" s="65"/>
      <c r="G127" s="65"/>
      <c r="H127" s="66"/>
      <c r="I127" s="66"/>
      <c r="J127" s="67"/>
      <c r="K127" s="68"/>
      <c r="L127" s="104"/>
      <c r="M127" s="104"/>
      <c r="N127" s="104"/>
      <c r="O127" s="104"/>
      <c r="P127" s="107" t="str">
        <f t="shared" si="1"/>
        <v/>
      </c>
      <c r="Q127" s="108" t="str">
        <f>IFERROR(IF(AND(Preferences!B$3="Manual",OR(AX127/AW127&gt;G127/F127,BD127="Serious",BD127="Very serious")),"Assess imprecision",IFS(ISBLANK(E127),"",AND(Preferences!B$3="Automatic", G127/F127&gt;=30),"Extremely serious",AND(H127&lt;=$D$1*-1,J127&lt;0,G127/F127&lt;3),"Not serious",AND(H127&lt;=$D$1*-1,J127&lt;0,G127/F127&gt;=3),"Very serious",AND(H127&gt;=$D$1,I127&gt;0,G127/F127&lt;3),"Not serious",AND(H127&gt;=$D$1,I127&gt;0,G127/F127&gt;=3),"Very serious",AND(H127&lt;=$D$1*-1,J127&gt;0,I127&gt;$D$2*-1,G127/F127&lt;3),"Serious", AND(H127&lt;=$D$1*-1,J127&gt;0,I127&lt;$D$2*-1,G127/F127&lt;3),"Very serious", AND(H127&gt;=$D$1,I127&lt;0,J127&lt;$D$2,G127/F127&lt;3),"Serious",AND(H127&gt;=$D$1,I127&lt;0,J127&gt;$D$2,G127/F127&lt;3),"Very serious", AND(H127&lt;=$D$1*-1,J127&gt;0,I127&gt;$D$2*-1,G127/F127&gt;=3),"Very serious", AND(H127&lt;=$D$1*-1,J127&gt;0,I127&lt;$D$2*-1,G127/F127&gt;=3),"Very serious", AND(H127&gt;=$D$1,I127&lt;0,J127&lt;$D$2,G127/F127&gt;=3),"Very serious", AND(H127&gt;=$D$1,I127&lt;0,J127&gt;$D$2,G127/F127&gt;=3),"Very serious", AND(H127&gt;$D$1*-1,H127&lt;$D$1,I127&gt;$D$1*-1,J127&lt;$D$1,G127/F127&lt;3),"Not serious", AND(H127&gt;$D$1*-1,H127&lt;$D$1,OR(I127&lt;=$D$1*-1,J127&gt;=$D$1),I127&gt;$D$2*-1,J127&lt;$D$2,G127/F127&lt;3),"Serious", AND(H127&gt;$D$1*-1,H127&lt;$D$1,OR(I127&lt;=$D$2*-1,J127&gt;=$D$2),G127/F127&lt;3),"Very serious", AND(H127&gt;$D$1*-1,H127&lt;$D$1,I127&gt;$D$1*-1,J127&lt;$D$1,G127/F127&gt;=3),"Very serious", AND(H127&gt;$D$1*-1,H127&lt;$D$1,OR(I127&lt;=$D$1*-1,J127&gt;=$D$1),I127&gt;$D$2*-1,J127&lt;$D$2,G127/F127&gt;=3),"Very serious", AND(H127&gt;$D$1*-1,H127&lt;$D$1,OR(I127&lt;=$D$2*-1,J127&gt;=$D$2),G127/F127&gt;=3),"Very serious")),"")</f>
        <v/>
      </c>
      <c r="R127" s="109" t="str">
        <f t="shared" si="47"/>
        <v/>
      </c>
      <c r="S127" s="64"/>
      <c r="T127" s="146"/>
      <c r="U127" s="146"/>
      <c r="V127" s="146"/>
      <c r="W127" s="73"/>
      <c r="X127" s="73"/>
      <c r="Y127" s="74"/>
      <c r="Z127" s="113" t="str">
        <f t="array" ref="Z127">INDEX($A$1:$C$500, MATCH(1,($B:$B=$B127)*($C:$C=$AB127),0),1)</f>
        <v/>
      </c>
      <c r="AA127" s="113" t="str">
        <f t="array" ref="AA127">INDEX($A$1:$C$500, MATCH(1,($B:$B=$AB127)*($C:$C=$B127),0),1)</f>
        <v/>
      </c>
      <c r="AB127" s="111"/>
      <c r="AC127" s="114" t="str">
        <f t="shared" si="2"/>
        <v/>
      </c>
      <c r="AD127" s="115" t="str">
        <f t="shared" si="3"/>
        <v/>
      </c>
      <c r="AE127" s="116" t="str">
        <f t="array" ref="AE127">INDEX($A$1:$C$500, MATCH(1,($B:$B=$AB127)*($C:$C=$AG127),0),1)</f>
        <v/>
      </c>
      <c r="AF127" s="116" t="str">
        <f t="array" ref="AF127">INDEX($A$1:$C$500, MATCH(1,($B:$B=$AG127)*($C:$C=$AB127),0),1)</f>
        <v/>
      </c>
      <c r="AG127" s="72"/>
      <c r="AH127" s="114" t="str">
        <f t="shared" si="4"/>
        <v/>
      </c>
      <c r="AI127" s="115" t="str">
        <f t="shared" si="5"/>
        <v/>
      </c>
      <c r="AJ127" s="116" t="str">
        <f t="array" ref="AJ127">INDEX($A$1:$C$500, MATCH(1,($B:$B=$C127)*($C:$C=$AG127),0),1)</f>
        <v/>
      </c>
      <c r="AK127" s="116" t="str">
        <f t="array" ref="AK127">INDEX($A$1:$C$500, MATCH(1,($B:$B=$AG127)*($C:$C=$C127),0),1)</f>
        <v/>
      </c>
      <c r="AL127" s="116" t="str">
        <f t="array" ref="AL127">INDEX($A$1:$C$500, MATCH(1,($B:$B=$C127)*($C:$C=$AB127),0),1)</f>
        <v/>
      </c>
      <c r="AM127" s="116" t="str">
        <f t="array" ref="AM127">INDEX($A$1:$C$500, MATCH(1,($B:$B=$AB127)*($C:$C=$C127),0),1)</f>
        <v/>
      </c>
      <c r="AN127" s="114" t="str">
        <f t="array" ref="AN127">IFS(ISNUMBER(AJ127),AJ127,ISNUMBER(AK127),AK127,ISNUMBER(AL127),AL127,ISNUMBER(AM127),AM127)</f>
        <v>#N/A</v>
      </c>
      <c r="AO127" s="115" t="str">
        <f t="shared" si="6"/>
        <v/>
      </c>
      <c r="AP127" s="115" t="str">
        <f t="shared" si="7"/>
        <v/>
      </c>
      <c r="AQ127" s="111"/>
      <c r="AR127" s="109" t="str">
        <f t="shared" si="8"/>
        <v/>
      </c>
      <c r="AS127" s="72" t="str">
        <f>IFERROR(IF(AND(Preferences!B$3="Manual",OR(AX127/AW127&gt;V127/U127,BD127="Serious",BD127="Very serious")),"Assess imprecision",IFERROR(IFS(AND(Preferences!B$3="Automatic",V127/U127&gt;=30),"Extremely serious",AND(W127&lt;=$D$1*-1,Y127&lt;0,V127/U127&lt;3),"Not Serious",AND(W127&lt;=$D$1*-1,Y127&lt;0,V127/U127&gt;=3),"Very serious",AND(W127&gt;=$D$1,X127&gt;0,V127/U127&lt;3),"Not Serious",AND(W127&gt;=$D$1,X127&gt;0,V127/U127&gt;=3),"Very serious",AND(W127&lt;=$D$1*-1,Y127&gt;0,X127&gt;$D$2*-1,V127/U127&lt;3),"Serious", AND(W127&lt;=$D$1*-1,Y127&gt;0,X127&lt;$D$2*-1,V127/U127&lt;3),"Very serious", AND(W127&gt;=$D$1,X127&lt;0,Y127&lt;$D$2,V127/U127&lt;3),"Serious",AND(W127&gt;=$D$1,X127&lt;0,Y127&gt;$D$2,V127/U127&lt;3),"Very serious", AND(W127&lt;=$D$1*-1,Y127&gt;0,X127&gt;$D$2*-1,V127/U127&gt;=3),"Very serious", AND(W127&lt;=$D$1*-1,Y127&gt;0,X127&lt;$D$2*-1,V127/U127&gt;=3),"Very serious", AND(W127&gt;=$D$1,X127&lt;0,Y127&lt;$D$2,V127/U127&gt;=3),"Very serious", AND(W127&gt;=$D$1,X127&lt;0,Y127&gt;$D$2,V127/U127&gt;=3),"Very serious", AND(W127&gt;$D$1*-1,W127&lt;$D$1,X127&gt;$D$1*-1,Y127&lt;$D$1,V127/U127&lt;3),"Not Serious", AND(W127&gt;$D$1*-1,W127&lt;$D$1,OR(X127&lt;=$D$1*-1,Y127&gt;=$D$1),X127&gt;$D$2*-1,Y127&lt;$D$2,V127/U127&lt;3),"Serious", AND(W127&gt;$D$1*-1,W127&lt;$D$1,OR(X127&lt;=$D$2*-1,Y127&gt;=$D$2),V127/U127&lt;3),"Very serious", AND(W127&gt;$D$1*-1,W127&lt;$D$1,X127&gt;$D$1*-1,Y127&lt;$D$1,V127/U127&gt;=3),"Very serious", AND(W127&gt;$D$1*-1,W127&lt;$D$1,OR(X127&lt;=$D$1*-1,Y127&gt;=$D$1),X127&gt;$D$2*-1,Y127&lt;$D$2,V127/U127&gt;=3),"Very serious", AND(W127&gt;$D$1*-1,W127&lt;$D$1,OR(X127&lt;=$D$2*-1,Y127&gt;=$D$2),V127/U127&gt;=3),"Very serious"),"")),"")</f>
        <v/>
      </c>
      <c r="AT127" s="109" t="str">
        <f t="shared" si="9"/>
        <v/>
      </c>
      <c r="AU127" s="64"/>
      <c r="AV127" s="147"/>
      <c r="AW127" s="147"/>
      <c r="AX127" s="147"/>
      <c r="AY127" s="83"/>
      <c r="AZ127" s="83"/>
      <c r="BA127" s="85"/>
      <c r="BB127" s="86" t="str">
        <f>IF(Preferences!B$9="Manual","",IFS(ISBLANK(B127),"",AND(ISNUMBER(E127)=TRUE,ISNUMBER(T127)=FALSE),"Direct", AND(ISNUMBER(E127)=FALSE,ISNUMBER(T127)=TRUE),"Indirect", CN127=4,"Direct",AND(CL127=FALSE, CM127=TRUE,CN127-CO127&gt;-1),"Direct", AND(CL127=FALSE,CM127=TRUE, CN127-CO127&lt;0),"Check algorithm in appendix 2", AND(CL127=TRUE, CM127=FALSE,CN127-CO127&gt;0),"Check algorithm in appendix 2", AND(CL127=TRUE, CM127=FALSE,CN127-CO127=0),"Indirect", AND(CL127=TRUE, CM127=FALSE,CN127-CO127&lt;0),"Indirect", AND(CL127=FALSE,CM127=FALSE,CN127-CO127&gt;-1),"Direct", AND(CL127=FALSE,CM127=FALSE,CN127-CO127&lt;0),"Check algorithm in appendix 2", AND(CL127=TRUE,CM127=TRUE,CN127-CO127&gt;-1),"Direct", AND(CL127=TRUE,CM127=TRUE,CN127-CO127&lt;0),"Check algorithm in appendix 2"))</f>
        <v/>
      </c>
      <c r="BC127" s="120" t="str">
        <f t="shared" si="10"/>
        <v/>
      </c>
      <c r="BD127" s="140"/>
      <c r="BE127" s="122" t="str">
        <f>IF(Preferences!B$3="Manual","", IFERROR(IFS(AND(Preferences!B$3="Automatic",AX127/AW127&gt;=30),"Extremely serious",AND(AY127&lt;=$D$1*-1,BA127&lt;0,AX127/AW127&lt;3),"Not Serious",AND(AY127&lt;=$D$1*-1,BA127&lt;0,AX127/AW127&gt;=3),"Very serious",AND(AY127&gt;=$D$1,AZ127&gt;0,AX127/AW127&lt;3),"Not Serious",AND(AY127&gt;=$D$1,AZ127&gt;0,AX127/AW127&gt;=3),"Very serious",AND(AY127&lt;=$D$1*-1,BA127&gt;0,AZ127&gt;$D$2*-1,AX127/AW127&lt;3),"Serious", AND(AY127&lt;=$D$1*-1,BA127&gt;0,AZ127&lt;$D$2*-1,AX127/AW127&lt;3),"Very serious", AND(AY127&gt;=$D$1,AZ127&lt;0,BA127&lt;$D$2,AX127/AW127&lt;3),"Serious",AND(AY127&gt;=$D$1,AZ127&lt;0,BA127&gt;$D$2,AX127/AW127&lt;3),"Very serious", AND(AY127&lt;=$D$1*-1,BA127&gt;0,AZ127&gt;$D$2*-1,AX127/AW127&gt;=3),"Very serious", AND(AY127&lt;=$D$1*-1,BA127&gt;0,AZ127&lt;$D$2*-1,AX127/AW127&gt;=3),"Very serious", AND(AY127&gt;=$D$1,AZ127&lt;0,BA127&lt;$D$2,AX127/AW127&gt;=3),"Very serious", AND(AY127&gt;=$D$1,AZ127&lt;0,BA127&gt;$D$2,AX127/AW127&gt;=3),"Very serious", AND(AY127&gt;$D$1*-1,AY127&lt;$D$1,AZ127&gt;$D$1*-1,BA127&lt;$D$1,AX127/AW127&lt;3),"Not Serious", AND(AY127&gt;$D$1*-1,AY127&lt;$D$1,OR(AZ127&lt;=$D$1*-1,BA127&gt;=$D$1),AZ127&gt;$D$2*-1,BA127&lt;$D$2,AX127/AW127&lt;3),"Serious", AND(AY127&gt;$D$1*-1,AY127&lt;$D$1,OR(AZ127&lt;=$D$2*-1,BA127&gt;=$D$2),AX127/AW127&lt;3),"Very serious", AND(AY127&gt;$D$1*-1,AY127&lt;$D$1,AZ127&gt;$D$1*-1,BA127&lt;$D$1,AX127/AW127&gt;=3),"Very serious", AND(AY127&gt;$D$1*-1,AY127&lt;$D$1,OR(AZ127&lt;=$D$1*-1,BA127&gt;=$D$1),AZ127&gt;$D$2*-1,BA127&lt;$D$2,AX127/AW127&gt;=3),"Very serious", AND(AY127&gt;$D$1*-1,AY127&lt;$D$1,OR(AZ127&lt;=$D$2*-1,BA127&gt;=$D$2),AX127/AW127&gt;=3),"Very serious"),""))</f>
        <v/>
      </c>
      <c r="BF127" s="107" t="str">
        <f t="shared" si="11"/>
        <v/>
      </c>
      <c r="BG127" s="94" t="str">
        <f t="shared" si="46"/>
        <v/>
      </c>
      <c r="BH127" s="64" t="str">
        <f t="shared" si="12"/>
        <v>#N/A</v>
      </c>
      <c r="BI127" s="64" t="str">
        <f t="shared" si="13"/>
        <v/>
      </c>
      <c r="BJ127" s="123" t="str">
        <f t="shared" si="14"/>
        <v>#N/A</v>
      </c>
      <c r="BK127" s="64" t="str">
        <f t="shared" si="50"/>
        <v>YES</v>
      </c>
      <c r="BL127" s="64" t="str">
        <f t="shared" si="16"/>
        <v>YES</v>
      </c>
      <c r="BM127" s="64" t="str">
        <f t="shared" si="17"/>
        <v>YES</v>
      </c>
      <c r="BN127" s="124" t="str">
        <f t="shared" si="18"/>
        <v/>
      </c>
      <c r="BO127" s="91" t="str">
        <f t="shared" si="19"/>
        <v/>
      </c>
      <c r="BP127" s="91" t="str">
        <f t="shared" si="20"/>
        <v>#N/A</v>
      </c>
      <c r="BQ127" s="91" t="str">
        <f t="shared" si="21"/>
        <v/>
      </c>
      <c r="BR127" s="93" t="str">
        <f t="shared" si="22"/>
        <v/>
      </c>
      <c r="BS127" s="90" t="str">
        <f t="shared" si="23"/>
        <v/>
      </c>
      <c r="BT127" s="93" t="str">
        <f t="shared" si="24"/>
        <v>NA</v>
      </c>
      <c r="BU127" s="125" t="str">
        <f t="shared" si="25"/>
        <v>#N/A</v>
      </c>
      <c r="BV127" s="93" t="str">
        <f t="shared" si="26"/>
        <v/>
      </c>
      <c r="BW127" s="93" t="str">
        <f t="shared" si="27"/>
        <v/>
      </c>
      <c r="BX127" s="93" t="str">
        <f t="shared" si="28"/>
        <v>NA</v>
      </c>
      <c r="BY127" s="95" t="str">
        <f t="shared" si="29"/>
        <v>#N/A</v>
      </c>
      <c r="BZ127" s="93" t="str">
        <f t="shared" si="30"/>
        <v/>
      </c>
      <c r="CA127" s="93" t="str">
        <f t="shared" si="31"/>
        <v/>
      </c>
      <c r="CB127" s="93" t="str">
        <f t="shared" si="32"/>
        <v>NA</v>
      </c>
      <c r="CC127" s="96" t="str">
        <f t="shared" si="33"/>
        <v>#N/A</v>
      </c>
      <c r="CD127" s="93" t="str">
        <f t="shared" si="34"/>
        <v/>
      </c>
      <c r="CE127" s="93" t="str">
        <f t="shared" si="35"/>
        <v/>
      </c>
      <c r="CF127" s="93" t="str">
        <f t="shared" si="36"/>
        <v>NA</v>
      </c>
      <c r="CG127" s="97" t="str">
        <f t="shared" si="37"/>
        <v>#N/A</v>
      </c>
      <c r="CH127" s="98" t="str">
        <f t="shared" si="38"/>
        <v>#N/A</v>
      </c>
      <c r="CI127" s="99" t="str">
        <f t="shared" si="39"/>
        <v>#N/A</v>
      </c>
      <c r="CJ127" s="126" t="str">
        <f t="shared" si="40"/>
        <v>ERROR: check cell</v>
      </c>
      <c r="CK127" s="126"/>
      <c r="CL127" s="127" t="str">
        <f t="shared" si="41"/>
        <v>#DIV/0!</v>
      </c>
      <c r="CM127" s="128" t="str">
        <f t="shared" si="42"/>
        <v>#DIV/0!</v>
      </c>
      <c r="CN127" s="128">
        <f t="shared" si="43"/>
        <v>4</v>
      </c>
      <c r="CO127" s="129">
        <f t="shared" si="44"/>
        <v>4</v>
      </c>
      <c r="CP127" s="129" t="str">
        <f>IFS(C127=Preferences!B$13,B127,B127=Preferences!B$13,C127)</f>
        <v>#N/A</v>
      </c>
    </row>
    <row r="128" ht="13.5" customHeight="1">
      <c r="A128" s="63" t="str">
        <f t="shared" si="45"/>
        <v/>
      </c>
      <c r="B128" s="64"/>
      <c r="C128" s="64"/>
      <c r="D128" s="64"/>
      <c r="E128" s="65"/>
      <c r="F128" s="65"/>
      <c r="G128" s="65"/>
      <c r="H128" s="66"/>
      <c r="I128" s="66"/>
      <c r="J128" s="67"/>
      <c r="K128" s="68"/>
      <c r="L128" s="104"/>
      <c r="M128" s="104"/>
      <c r="N128" s="104"/>
      <c r="O128" s="104"/>
      <c r="P128" s="107" t="str">
        <f t="shared" si="1"/>
        <v/>
      </c>
      <c r="Q128" s="108" t="str">
        <f>IFERROR(IF(AND(Preferences!B$3="Manual",OR(AX128/AW128&gt;G128/F128,BD128="Serious",BD128="Very serious")),"Assess imprecision",IFS(ISBLANK(E128),"",AND(Preferences!B$3="Automatic", G128/F128&gt;=30),"Extremely serious",AND(H128&lt;=$D$1*-1,J128&lt;0,G128/F128&lt;3),"Not serious",AND(H128&lt;=$D$1*-1,J128&lt;0,G128/F128&gt;=3),"Very serious",AND(H128&gt;=$D$1,I128&gt;0,G128/F128&lt;3),"Not serious",AND(H128&gt;=$D$1,I128&gt;0,G128/F128&gt;=3),"Very serious",AND(H128&lt;=$D$1*-1,J128&gt;0,I128&gt;$D$2*-1,G128/F128&lt;3),"Serious", AND(H128&lt;=$D$1*-1,J128&gt;0,I128&lt;$D$2*-1,G128/F128&lt;3),"Very serious", AND(H128&gt;=$D$1,I128&lt;0,J128&lt;$D$2,G128/F128&lt;3),"Serious",AND(H128&gt;=$D$1,I128&lt;0,J128&gt;$D$2,G128/F128&lt;3),"Very serious", AND(H128&lt;=$D$1*-1,J128&gt;0,I128&gt;$D$2*-1,G128/F128&gt;=3),"Very serious", AND(H128&lt;=$D$1*-1,J128&gt;0,I128&lt;$D$2*-1,G128/F128&gt;=3),"Very serious", AND(H128&gt;=$D$1,I128&lt;0,J128&lt;$D$2,G128/F128&gt;=3),"Very serious", AND(H128&gt;=$D$1,I128&lt;0,J128&gt;$D$2,G128/F128&gt;=3),"Very serious", AND(H128&gt;$D$1*-1,H128&lt;$D$1,I128&gt;$D$1*-1,J128&lt;$D$1,G128/F128&lt;3),"Not serious", AND(H128&gt;$D$1*-1,H128&lt;$D$1,OR(I128&lt;=$D$1*-1,J128&gt;=$D$1),I128&gt;$D$2*-1,J128&lt;$D$2,G128/F128&lt;3),"Serious", AND(H128&gt;$D$1*-1,H128&lt;$D$1,OR(I128&lt;=$D$2*-1,J128&gt;=$D$2),G128/F128&lt;3),"Very serious", AND(H128&gt;$D$1*-1,H128&lt;$D$1,I128&gt;$D$1*-1,J128&lt;$D$1,G128/F128&gt;=3),"Very serious", AND(H128&gt;$D$1*-1,H128&lt;$D$1,OR(I128&lt;=$D$1*-1,J128&gt;=$D$1),I128&gt;$D$2*-1,J128&lt;$D$2,G128/F128&gt;=3),"Very serious", AND(H128&gt;$D$1*-1,H128&lt;$D$1,OR(I128&lt;=$D$2*-1,J128&gt;=$D$2),G128/F128&gt;=3),"Very serious")),"")</f>
        <v/>
      </c>
      <c r="R128" s="109" t="str">
        <f t="shared" si="47"/>
        <v/>
      </c>
      <c r="S128" s="64"/>
      <c r="T128" s="146"/>
      <c r="U128" s="146"/>
      <c r="V128" s="146"/>
      <c r="W128" s="73"/>
      <c r="X128" s="73"/>
      <c r="Y128" s="74"/>
      <c r="Z128" s="113" t="str">
        <f t="array" ref="Z128">INDEX($A$1:$C$500, MATCH(1,($B:$B=$B128)*($C:$C=$AB128),0),1)</f>
        <v/>
      </c>
      <c r="AA128" s="113" t="str">
        <f t="array" ref="AA128">INDEX($A$1:$C$500, MATCH(1,($B:$B=$AB128)*($C:$C=$B128),0),1)</f>
        <v/>
      </c>
      <c r="AB128" s="111"/>
      <c r="AC128" s="114" t="str">
        <f t="shared" si="2"/>
        <v/>
      </c>
      <c r="AD128" s="115" t="str">
        <f t="shared" si="3"/>
        <v/>
      </c>
      <c r="AE128" s="116" t="str">
        <f t="array" ref="AE128">INDEX($A$1:$C$500, MATCH(1,($B:$B=$AB128)*($C:$C=$AG128),0),1)</f>
        <v/>
      </c>
      <c r="AF128" s="116" t="str">
        <f t="array" ref="AF128">INDEX($A$1:$C$500, MATCH(1,($B:$B=$AG128)*($C:$C=$AB128),0),1)</f>
        <v/>
      </c>
      <c r="AG128" s="72"/>
      <c r="AH128" s="114" t="str">
        <f t="shared" si="4"/>
        <v/>
      </c>
      <c r="AI128" s="115" t="str">
        <f t="shared" si="5"/>
        <v/>
      </c>
      <c r="AJ128" s="116" t="str">
        <f t="array" ref="AJ128">INDEX($A$1:$C$500, MATCH(1,($B:$B=$C128)*($C:$C=$AG128),0),1)</f>
        <v/>
      </c>
      <c r="AK128" s="116" t="str">
        <f t="array" ref="AK128">INDEX($A$1:$C$500, MATCH(1,($B:$B=$AG128)*($C:$C=$C128),0),1)</f>
        <v/>
      </c>
      <c r="AL128" s="116" t="str">
        <f t="array" ref="AL128">INDEX($A$1:$C$500, MATCH(1,($B:$B=$C128)*($C:$C=$AB128),0),1)</f>
        <v/>
      </c>
      <c r="AM128" s="116" t="str">
        <f t="array" ref="AM128">INDEX($A$1:$C$500, MATCH(1,($B:$B=$AB128)*($C:$C=$C128),0),1)</f>
        <v/>
      </c>
      <c r="AN128" s="114" t="str">
        <f t="array" ref="AN128">IFS(ISNUMBER(AJ128),AJ128,ISNUMBER(AK128),AK128,ISNUMBER(AL128),AL128,ISNUMBER(AM128),AM128)</f>
        <v>#N/A</v>
      </c>
      <c r="AO128" s="115" t="str">
        <f t="shared" si="6"/>
        <v/>
      </c>
      <c r="AP128" s="115" t="str">
        <f t="shared" si="7"/>
        <v/>
      </c>
      <c r="AQ128" s="111"/>
      <c r="AR128" s="109" t="str">
        <f t="shared" si="8"/>
        <v/>
      </c>
      <c r="AS128" s="72" t="str">
        <f>IFERROR(IF(AND(Preferences!B$3="Manual",OR(AX128/AW128&gt;V128/U128,BD128="Serious",BD128="Very serious")),"Assess imprecision",IFERROR(IFS(AND(Preferences!B$3="Automatic",V128/U128&gt;=30),"Extremely serious",AND(W128&lt;=$D$1*-1,Y128&lt;0,V128/U128&lt;3),"Not Serious",AND(W128&lt;=$D$1*-1,Y128&lt;0,V128/U128&gt;=3),"Very serious",AND(W128&gt;=$D$1,X128&gt;0,V128/U128&lt;3),"Not Serious",AND(W128&gt;=$D$1,X128&gt;0,V128/U128&gt;=3),"Very serious",AND(W128&lt;=$D$1*-1,Y128&gt;0,X128&gt;$D$2*-1,V128/U128&lt;3),"Serious", AND(W128&lt;=$D$1*-1,Y128&gt;0,X128&lt;$D$2*-1,V128/U128&lt;3),"Very serious", AND(W128&gt;=$D$1,X128&lt;0,Y128&lt;$D$2,V128/U128&lt;3),"Serious",AND(W128&gt;=$D$1,X128&lt;0,Y128&gt;$D$2,V128/U128&lt;3),"Very serious", AND(W128&lt;=$D$1*-1,Y128&gt;0,X128&gt;$D$2*-1,V128/U128&gt;=3),"Very serious", AND(W128&lt;=$D$1*-1,Y128&gt;0,X128&lt;$D$2*-1,V128/U128&gt;=3),"Very serious", AND(W128&gt;=$D$1,X128&lt;0,Y128&lt;$D$2,V128/U128&gt;=3),"Very serious", AND(W128&gt;=$D$1,X128&lt;0,Y128&gt;$D$2,V128/U128&gt;=3),"Very serious", AND(W128&gt;$D$1*-1,W128&lt;$D$1,X128&gt;$D$1*-1,Y128&lt;$D$1,V128/U128&lt;3),"Not Serious", AND(W128&gt;$D$1*-1,W128&lt;$D$1,OR(X128&lt;=$D$1*-1,Y128&gt;=$D$1),X128&gt;$D$2*-1,Y128&lt;$D$2,V128/U128&lt;3),"Serious", AND(W128&gt;$D$1*-1,W128&lt;$D$1,OR(X128&lt;=$D$2*-1,Y128&gt;=$D$2),V128/U128&lt;3),"Very serious", AND(W128&gt;$D$1*-1,W128&lt;$D$1,X128&gt;$D$1*-1,Y128&lt;$D$1,V128/U128&gt;=3),"Very serious", AND(W128&gt;$D$1*-1,W128&lt;$D$1,OR(X128&lt;=$D$1*-1,Y128&gt;=$D$1),X128&gt;$D$2*-1,Y128&lt;$D$2,V128/U128&gt;=3),"Very serious", AND(W128&gt;$D$1*-1,W128&lt;$D$1,OR(X128&lt;=$D$2*-1,Y128&gt;=$D$2),V128/U128&gt;=3),"Very serious"),"")),"")</f>
        <v/>
      </c>
      <c r="AT128" s="109" t="str">
        <f t="shared" si="9"/>
        <v/>
      </c>
      <c r="AU128" s="64"/>
      <c r="AV128" s="147"/>
      <c r="AW128" s="147"/>
      <c r="AX128" s="147"/>
      <c r="AY128" s="83"/>
      <c r="AZ128" s="83"/>
      <c r="BA128" s="85"/>
      <c r="BB128" s="86" t="str">
        <f>IF(Preferences!B$9="Manual","",IFS(ISBLANK(B128),"",AND(ISNUMBER(E128)=TRUE,ISNUMBER(T128)=FALSE),"Direct", AND(ISNUMBER(E128)=FALSE,ISNUMBER(T128)=TRUE),"Indirect", CN128=4,"Direct",AND(CL128=FALSE, CM128=TRUE,CN128-CO128&gt;-1),"Direct", AND(CL128=FALSE,CM128=TRUE, CN128-CO128&lt;0),"Check algorithm in appendix 2", AND(CL128=TRUE, CM128=FALSE,CN128-CO128&gt;0),"Check algorithm in appendix 2", AND(CL128=TRUE, CM128=FALSE,CN128-CO128=0),"Indirect", AND(CL128=TRUE, CM128=FALSE,CN128-CO128&lt;0),"Indirect", AND(CL128=FALSE,CM128=FALSE,CN128-CO128&gt;-1),"Direct", AND(CL128=FALSE,CM128=FALSE,CN128-CO128&lt;0),"Check algorithm in appendix 2", AND(CL128=TRUE,CM128=TRUE,CN128-CO128&gt;-1),"Direct", AND(CL128=TRUE,CM128=TRUE,CN128-CO128&lt;0),"Check algorithm in appendix 2"))</f>
        <v/>
      </c>
      <c r="BC128" s="120" t="str">
        <f t="shared" si="10"/>
        <v/>
      </c>
      <c r="BD128" s="140"/>
      <c r="BE128" s="122" t="str">
        <f>IF(Preferences!B$3="Manual","", IFERROR(IFS(AND(Preferences!B$3="Automatic",AX128/AW128&gt;=30),"Extremely serious",AND(AY128&lt;=$D$1*-1,BA128&lt;0,AX128/AW128&lt;3),"Not Serious",AND(AY128&lt;=$D$1*-1,BA128&lt;0,AX128/AW128&gt;=3),"Very serious",AND(AY128&gt;=$D$1,AZ128&gt;0,AX128/AW128&lt;3),"Not Serious",AND(AY128&gt;=$D$1,AZ128&gt;0,AX128/AW128&gt;=3),"Very serious",AND(AY128&lt;=$D$1*-1,BA128&gt;0,AZ128&gt;$D$2*-1,AX128/AW128&lt;3),"Serious", AND(AY128&lt;=$D$1*-1,BA128&gt;0,AZ128&lt;$D$2*-1,AX128/AW128&lt;3),"Very serious", AND(AY128&gt;=$D$1,AZ128&lt;0,BA128&lt;$D$2,AX128/AW128&lt;3),"Serious",AND(AY128&gt;=$D$1,AZ128&lt;0,BA128&gt;$D$2,AX128/AW128&lt;3),"Very serious", AND(AY128&lt;=$D$1*-1,BA128&gt;0,AZ128&gt;$D$2*-1,AX128/AW128&gt;=3),"Very serious", AND(AY128&lt;=$D$1*-1,BA128&gt;0,AZ128&lt;$D$2*-1,AX128/AW128&gt;=3),"Very serious", AND(AY128&gt;=$D$1,AZ128&lt;0,BA128&lt;$D$2,AX128/AW128&gt;=3),"Very serious", AND(AY128&gt;=$D$1,AZ128&lt;0,BA128&gt;$D$2,AX128/AW128&gt;=3),"Very serious", AND(AY128&gt;$D$1*-1,AY128&lt;$D$1,AZ128&gt;$D$1*-1,BA128&lt;$D$1,AX128/AW128&lt;3),"Not Serious", AND(AY128&gt;$D$1*-1,AY128&lt;$D$1,OR(AZ128&lt;=$D$1*-1,BA128&gt;=$D$1),AZ128&gt;$D$2*-1,BA128&lt;$D$2,AX128/AW128&lt;3),"Serious", AND(AY128&gt;$D$1*-1,AY128&lt;$D$1,OR(AZ128&lt;=$D$2*-1,BA128&gt;=$D$2),AX128/AW128&lt;3),"Very serious", AND(AY128&gt;$D$1*-1,AY128&lt;$D$1,AZ128&gt;$D$1*-1,BA128&lt;$D$1,AX128/AW128&gt;=3),"Very serious", AND(AY128&gt;$D$1*-1,AY128&lt;$D$1,OR(AZ128&lt;=$D$1*-1,BA128&gt;=$D$1),AZ128&gt;$D$2*-1,BA128&lt;$D$2,AX128/AW128&gt;=3),"Very serious", AND(AY128&gt;$D$1*-1,AY128&lt;$D$1,OR(AZ128&lt;=$D$2*-1,BA128&gt;=$D$2),AX128/AW128&gt;=3),"Very serious"),""))</f>
        <v/>
      </c>
      <c r="BF128" s="107" t="str">
        <f t="shared" si="11"/>
        <v/>
      </c>
      <c r="BG128" s="94" t="str">
        <f t="shared" si="46"/>
        <v/>
      </c>
      <c r="BH128" s="64" t="str">
        <f t="shared" si="12"/>
        <v>#N/A</v>
      </c>
      <c r="BI128" s="64" t="str">
        <f t="shared" si="13"/>
        <v/>
      </c>
      <c r="BJ128" s="123" t="str">
        <f t="shared" si="14"/>
        <v>#N/A</v>
      </c>
      <c r="BK128" s="64" t="str">
        <f t="shared" si="50"/>
        <v>YES</v>
      </c>
      <c r="BL128" s="64" t="str">
        <f t="shared" si="16"/>
        <v>YES</v>
      </c>
      <c r="BM128" s="64" t="str">
        <f t="shared" si="17"/>
        <v>YES</v>
      </c>
      <c r="BN128" s="124" t="str">
        <f t="shared" si="18"/>
        <v/>
      </c>
      <c r="BO128" s="91" t="str">
        <f t="shared" si="19"/>
        <v/>
      </c>
      <c r="BP128" s="91" t="str">
        <f t="shared" si="20"/>
        <v>#N/A</v>
      </c>
      <c r="BQ128" s="91" t="str">
        <f t="shared" si="21"/>
        <v/>
      </c>
      <c r="BR128" s="93" t="str">
        <f t="shared" si="22"/>
        <v/>
      </c>
      <c r="BS128" s="90" t="str">
        <f t="shared" si="23"/>
        <v/>
      </c>
      <c r="BT128" s="93" t="str">
        <f t="shared" si="24"/>
        <v>NA</v>
      </c>
      <c r="BU128" s="125" t="str">
        <f t="shared" si="25"/>
        <v>#N/A</v>
      </c>
      <c r="BV128" s="93" t="str">
        <f t="shared" si="26"/>
        <v/>
      </c>
      <c r="BW128" s="93" t="str">
        <f t="shared" si="27"/>
        <v/>
      </c>
      <c r="BX128" s="93" t="str">
        <f t="shared" si="28"/>
        <v>NA</v>
      </c>
      <c r="BY128" s="95" t="str">
        <f t="shared" si="29"/>
        <v>#N/A</v>
      </c>
      <c r="BZ128" s="93" t="str">
        <f t="shared" si="30"/>
        <v/>
      </c>
      <c r="CA128" s="93" t="str">
        <f t="shared" si="31"/>
        <v/>
      </c>
      <c r="CB128" s="93" t="str">
        <f t="shared" si="32"/>
        <v>NA</v>
      </c>
      <c r="CC128" s="96" t="str">
        <f t="shared" si="33"/>
        <v>#N/A</v>
      </c>
      <c r="CD128" s="93" t="str">
        <f t="shared" si="34"/>
        <v/>
      </c>
      <c r="CE128" s="93" t="str">
        <f t="shared" si="35"/>
        <v/>
      </c>
      <c r="CF128" s="93" t="str">
        <f t="shared" si="36"/>
        <v>NA</v>
      </c>
      <c r="CG128" s="97" t="str">
        <f t="shared" si="37"/>
        <v>#N/A</v>
      </c>
      <c r="CH128" s="98" t="str">
        <f t="shared" si="38"/>
        <v>#N/A</v>
      </c>
      <c r="CI128" s="99" t="str">
        <f t="shared" si="39"/>
        <v>#N/A</v>
      </c>
      <c r="CJ128" s="126" t="str">
        <f t="shared" si="40"/>
        <v>ERROR: check cell</v>
      </c>
      <c r="CK128" s="126"/>
      <c r="CL128" s="127" t="str">
        <f t="shared" si="41"/>
        <v>#DIV/0!</v>
      </c>
      <c r="CM128" s="128" t="str">
        <f t="shared" si="42"/>
        <v>#DIV/0!</v>
      </c>
      <c r="CN128" s="128">
        <f t="shared" si="43"/>
        <v>4</v>
      </c>
      <c r="CO128" s="129">
        <f t="shared" si="44"/>
        <v>4</v>
      </c>
      <c r="CP128" s="129" t="str">
        <f>IFS(C128=Preferences!B$13,B128,B128=Preferences!B$13,C128)</f>
        <v>#N/A</v>
      </c>
    </row>
    <row r="129" ht="13.5" customHeight="1">
      <c r="A129" s="63" t="str">
        <f t="shared" si="45"/>
        <v/>
      </c>
      <c r="B129" s="64"/>
      <c r="C129" s="64"/>
      <c r="D129" s="64"/>
      <c r="E129" s="65"/>
      <c r="F129" s="65"/>
      <c r="G129" s="65"/>
      <c r="H129" s="66"/>
      <c r="I129" s="66"/>
      <c r="J129" s="67"/>
      <c r="K129" s="68"/>
      <c r="L129" s="104"/>
      <c r="M129" s="104"/>
      <c r="N129" s="104"/>
      <c r="O129" s="104"/>
      <c r="P129" s="107" t="str">
        <f t="shared" si="1"/>
        <v/>
      </c>
      <c r="Q129" s="108" t="str">
        <f>IFERROR(IF(AND(Preferences!B$3="Manual",OR(AX129/AW129&gt;G129/F129,BD129="Serious",BD129="Very serious")),"Assess imprecision",IFS(ISBLANK(E129),"",AND(Preferences!B$3="Automatic", G129/F129&gt;=30),"Extremely serious",AND(H129&lt;=$D$1*-1,J129&lt;0,G129/F129&lt;3),"Not serious",AND(H129&lt;=$D$1*-1,J129&lt;0,G129/F129&gt;=3),"Very serious",AND(H129&gt;=$D$1,I129&gt;0,G129/F129&lt;3),"Not serious",AND(H129&gt;=$D$1,I129&gt;0,G129/F129&gt;=3),"Very serious",AND(H129&lt;=$D$1*-1,J129&gt;0,I129&gt;$D$2*-1,G129/F129&lt;3),"Serious", AND(H129&lt;=$D$1*-1,J129&gt;0,I129&lt;$D$2*-1,G129/F129&lt;3),"Very serious", AND(H129&gt;=$D$1,I129&lt;0,J129&lt;$D$2,G129/F129&lt;3),"Serious",AND(H129&gt;=$D$1,I129&lt;0,J129&gt;$D$2,G129/F129&lt;3),"Very serious", AND(H129&lt;=$D$1*-1,J129&gt;0,I129&gt;$D$2*-1,G129/F129&gt;=3),"Very serious", AND(H129&lt;=$D$1*-1,J129&gt;0,I129&lt;$D$2*-1,G129/F129&gt;=3),"Very serious", AND(H129&gt;=$D$1,I129&lt;0,J129&lt;$D$2,G129/F129&gt;=3),"Very serious", AND(H129&gt;=$D$1,I129&lt;0,J129&gt;$D$2,G129/F129&gt;=3),"Very serious", AND(H129&gt;$D$1*-1,H129&lt;$D$1,I129&gt;$D$1*-1,J129&lt;$D$1,G129/F129&lt;3),"Not serious", AND(H129&gt;$D$1*-1,H129&lt;$D$1,OR(I129&lt;=$D$1*-1,J129&gt;=$D$1),I129&gt;$D$2*-1,J129&lt;$D$2,G129/F129&lt;3),"Serious", AND(H129&gt;$D$1*-1,H129&lt;$D$1,OR(I129&lt;=$D$2*-1,J129&gt;=$D$2),G129/F129&lt;3),"Very serious", AND(H129&gt;$D$1*-1,H129&lt;$D$1,I129&gt;$D$1*-1,J129&lt;$D$1,G129/F129&gt;=3),"Very serious", AND(H129&gt;$D$1*-1,H129&lt;$D$1,OR(I129&lt;=$D$1*-1,J129&gt;=$D$1),I129&gt;$D$2*-1,J129&lt;$D$2,G129/F129&gt;=3),"Very serious", AND(H129&gt;$D$1*-1,H129&lt;$D$1,OR(I129&lt;=$D$2*-1,J129&gt;=$D$2),G129/F129&gt;=3),"Very serious")),"")</f>
        <v/>
      </c>
      <c r="R129" s="109" t="str">
        <f t="shared" si="47"/>
        <v/>
      </c>
      <c r="S129" s="64"/>
      <c r="T129" s="146"/>
      <c r="U129" s="146"/>
      <c r="V129" s="146"/>
      <c r="W129" s="73"/>
      <c r="X129" s="73"/>
      <c r="Y129" s="74"/>
      <c r="Z129" s="113" t="str">
        <f t="array" ref="Z129">INDEX($A$1:$C$500, MATCH(1,($B:$B=$B129)*($C:$C=$AB129),0),1)</f>
        <v/>
      </c>
      <c r="AA129" s="113" t="str">
        <f t="array" ref="AA129">INDEX($A$1:$C$500, MATCH(1,($B:$B=$AB129)*($C:$C=$B129),0),1)</f>
        <v/>
      </c>
      <c r="AB129" s="111"/>
      <c r="AC129" s="114" t="str">
        <f t="shared" si="2"/>
        <v/>
      </c>
      <c r="AD129" s="115" t="str">
        <f t="shared" si="3"/>
        <v/>
      </c>
      <c r="AE129" s="116" t="str">
        <f t="array" ref="AE129">INDEX($A$1:$C$500, MATCH(1,($B:$B=$AB129)*($C:$C=$AG129),0),1)</f>
        <v/>
      </c>
      <c r="AF129" s="116" t="str">
        <f t="array" ref="AF129">INDEX($A$1:$C$500, MATCH(1,($B:$B=$AG129)*($C:$C=$AB129),0),1)</f>
        <v/>
      </c>
      <c r="AG129" s="72"/>
      <c r="AH129" s="114" t="str">
        <f t="shared" si="4"/>
        <v/>
      </c>
      <c r="AI129" s="115" t="str">
        <f t="shared" si="5"/>
        <v/>
      </c>
      <c r="AJ129" s="116" t="str">
        <f t="array" ref="AJ129">INDEX($A$1:$C$500, MATCH(1,($B:$B=$C129)*($C:$C=$AG129),0),1)</f>
        <v/>
      </c>
      <c r="AK129" s="116" t="str">
        <f t="array" ref="AK129">INDEX($A$1:$C$500, MATCH(1,($B:$B=$AG129)*($C:$C=$C129),0),1)</f>
        <v/>
      </c>
      <c r="AL129" s="116" t="str">
        <f t="array" ref="AL129">INDEX($A$1:$C$500, MATCH(1,($B:$B=$C129)*($C:$C=$AB129),0),1)</f>
        <v/>
      </c>
      <c r="AM129" s="116" t="str">
        <f t="array" ref="AM129">INDEX($A$1:$C$500, MATCH(1,($B:$B=$AB129)*($C:$C=$C129),0),1)</f>
        <v/>
      </c>
      <c r="AN129" s="114" t="str">
        <f t="array" ref="AN129">IFS(ISNUMBER(AJ129),AJ129,ISNUMBER(AK129),AK129,ISNUMBER(AL129),AL129,ISNUMBER(AM129),AM129)</f>
        <v>#N/A</v>
      </c>
      <c r="AO129" s="115" t="str">
        <f t="shared" si="6"/>
        <v/>
      </c>
      <c r="AP129" s="115" t="str">
        <f t="shared" si="7"/>
        <v/>
      </c>
      <c r="AQ129" s="111"/>
      <c r="AR129" s="109" t="str">
        <f t="shared" si="8"/>
        <v/>
      </c>
      <c r="AS129" s="72" t="str">
        <f>IFERROR(IF(AND(Preferences!B$3="Manual",OR(AX129/AW129&gt;V129/U129,BD129="Serious",BD129="Very serious")),"Assess imprecision",IFERROR(IFS(AND(Preferences!B$3="Automatic",V129/U129&gt;=30),"Extremely serious",AND(W129&lt;=$D$1*-1,Y129&lt;0,V129/U129&lt;3),"Not Serious",AND(W129&lt;=$D$1*-1,Y129&lt;0,V129/U129&gt;=3),"Very serious",AND(W129&gt;=$D$1,X129&gt;0,V129/U129&lt;3),"Not Serious",AND(W129&gt;=$D$1,X129&gt;0,V129/U129&gt;=3),"Very serious",AND(W129&lt;=$D$1*-1,Y129&gt;0,X129&gt;$D$2*-1,V129/U129&lt;3),"Serious", AND(W129&lt;=$D$1*-1,Y129&gt;0,X129&lt;$D$2*-1,V129/U129&lt;3),"Very serious", AND(W129&gt;=$D$1,X129&lt;0,Y129&lt;$D$2,V129/U129&lt;3),"Serious",AND(W129&gt;=$D$1,X129&lt;0,Y129&gt;$D$2,V129/U129&lt;3),"Very serious", AND(W129&lt;=$D$1*-1,Y129&gt;0,X129&gt;$D$2*-1,V129/U129&gt;=3),"Very serious", AND(W129&lt;=$D$1*-1,Y129&gt;0,X129&lt;$D$2*-1,V129/U129&gt;=3),"Very serious", AND(W129&gt;=$D$1,X129&lt;0,Y129&lt;$D$2,V129/U129&gt;=3),"Very serious", AND(W129&gt;=$D$1,X129&lt;0,Y129&gt;$D$2,V129/U129&gt;=3),"Very serious", AND(W129&gt;$D$1*-1,W129&lt;$D$1,X129&gt;$D$1*-1,Y129&lt;$D$1,V129/U129&lt;3),"Not Serious", AND(W129&gt;$D$1*-1,W129&lt;$D$1,OR(X129&lt;=$D$1*-1,Y129&gt;=$D$1),X129&gt;$D$2*-1,Y129&lt;$D$2,V129/U129&lt;3),"Serious", AND(W129&gt;$D$1*-1,W129&lt;$D$1,OR(X129&lt;=$D$2*-1,Y129&gt;=$D$2),V129/U129&lt;3),"Very serious", AND(W129&gt;$D$1*-1,W129&lt;$D$1,X129&gt;$D$1*-1,Y129&lt;$D$1,V129/U129&gt;=3),"Very serious", AND(W129&gt;$D$1*-1,W129&lt;$D$1,OR(X129&lt;=$D$1*-1,Y129&gt;=$D$1),X129&gt;$D$2*-1,Y129&lt;$D$2,V129/U129&gt;=3),"Very serious", AND(W129&gt;$D$1*-1,W129&lt;$D$1,OR(X129&lt;=$D$2*-1,Y129&gt;=$D$2),V129/U129&gt;=3),"Very serious"),"")),"")</f>
        <v/>
      </c>
      <c r="AT129" s="109" t="str">
        <f t="shared" si="9"/>
        <v/>
      </c>
      <c r="AU129" s="64"/>
      <c r="AV129" s="147"/>
      <c r="AW129" s="147"/>
      <c r="AX129" s="147"/>
      <c r="AY129" s="83"/>
      <c r="AZ129" s="83"/>
      <c r="BA129" s="85"/>
      <c r="BB129" s="86" t="str">
        <f>IF(Preferences!B$9="Manual","",IFS(ISBLANK(B129),"",AND(ISNUMBER(E129)=TRUE,ISNUMBER(T129)=FALSE),"Direct", AND(ISNUMBER(E129)=FALSE,ISNUMBER(T129)=TRUE),"Indirect", CN129=4,"Direct",AND(CL129=FALSE, CM129=TRUE,CN129-CO129&gt;-1),"Direct", AND(CL129=FALSE,CM129=TRUE, CN129-CO129&lt;0),"Check algorithm in appendix 2", AND(CL129=TRUE, CM129=FALSE,CN129-CO129&gt;0),"Check algorithm in appendix 2", AND(CL129=TRUE, CM129=FALSE,CN129-CO129=0),"Indirect", AND(CL129=TRUE, CM129=FALSE,CN129-CO129&lt;0),"Indirect", AND(CL129=FALSE,CM129=FALSE,CN129-CO129&gt;-1),"Direct", AND(CL129=FALSE,CM129=FALSE,CN129-CO129&lt;0),"Check algorithm in appendix 2", AND(CL129=TRUE,CM129=TRUE,CN129-CO129&gt;-1),"Direct", AND(CL129=TRUE,CM129=TRUE,CN129-CO129&lt;0),"Check algorithm in appendix 2"))</f>
        <v/>
      </c>
      <c r="BC129" s="120" t="str">
        <f t="shared" si="10"/>
        <v/>
      </c>
      <c r="BD129" s="140"/>
      <c r="BE129" s="122" t="str">
        <f>IF(Preferences!B$3="Manual","", IFERROR(IFS(AND(Preferences!B$3="Automatic",AX129/AW129&gt;=30),"Extremely serious",AND(AY129&lt;=$D$1*-1,BA129&lt;0,AX129/AW129&lt;3),"Not Serious",AND(AY129&lt;=$D$1*-1,BA129&lt;0,AX129/AW129&gt;=3),"Very serious",AND(AY129&gt;=$D$1,AZ129&gt;0,AX129/AW129&lt;3),"Not Serious",AND(AY129&gt;=$D$1,AZ129&gt;0,AX129/AW129&gt;=3),"Very serious",AND(AY129&lt;=$D$1*-1,BA129&gt;0,AZ129&gt;$D$2*-1,AX129/AW129&lt;3),"Serious", AND(AY129&lt;=$D$1*-1,BA129&gt;0,AZ129&lt;$D$2*-1,AX129/AW129&lt;3),"Very serious", AND(AY129&gt;=$D$1,AZ129&lt;0,BA129&lt;$D$2,AX129/AW129&lt;3),"Serious",AND(AY129&gt;=$D$1,AZ129&lt;0,BA129&gt;$D$2,AX129/AW129&lt;3),"Very serious", AND(AY129&lt;=$D$1*-1,BA129&gt;0,AZ129&gt;$D$2*-1,AX129/AW129&gt;=3),"Very serious", AND(AY129&lt;=$D$1*-1,BA129&gt;0,AZ129&lt;$D$2*-1,AX129/AW129&gt;=3),"Very serious", AND(AY129&gt;=$D$1,AZ129&lt;0,BA129&lt;$D$2,AX129/AW129&gt;=3),"Very serious", AND(AY129&gt;=$D$1,AZ129&lt;0,BA129&gt;$D$2,AX129/AW129&gt;=3),"Very serious", AND(AY129&gt;$D$1*-1,AY129&lt;$D$1,AZ129&gt;$D$1*-1,BA129&lt;$D$1,AX129/AW129&lt;3),"Not Serious", AND(AY129&gt;$D$1*-1,AY129&lt;$D$1,OR(AZ129&lt;=$D$1*-1,BA129&gt;=$D$1),AZ129&gt;$D$2*-1,BA129&lt;$D$2,AX129/AW129&lt;3),"Serious", AND(AY129&gt;$D$1*-1,AY129&lt;$D$1,OR(AZ129&lt;=$D$2*-1,BA129&gt;=$D$2),AX129/AW129&lt;3),"Very serious", AND(AY129&gt;$D$1*-1,AY129&lt;$D$1,AZ129&gt;$D$1*-1,BA129&lt;$D$1,AX129/AW129&gt;=3),"Very serious", AND(AY129&gt;$D$1*-1,AY129&lt;$D$1,OR(AZ129&lt;=$D$1*-1,BA129&gt;=$D$1),AZ129&gt;$D$2*-1,BA129&lt;$D$2,AX129/AW129&gt;=3),"Very serious", AND(AY129&gt;$D$1*-1,AY129&lt;$D$1,OR(AZ129&lt;=$D$2*-1,BA129&gt;=$D$2),AX129/AW129&gt;=3),"Very serious"),""))</f>
        <v/>
      </c>
      <c r="BF129" s="107" t="str">
        <f t="shared" si="11"/>
        <v/>
      </c>
      <c r="BG129" s="94" t="str">
        <f t="shared" si="46"/>
        <v/>
      </c>
      <c r="BH129" s="64" t="str">
        <f t="shared" si="12"/>
        <v>#N/A</v>
      </c>
      <c r="BI129" s="64" t="str">
        <f t="shared" si="13"/>
        <v/>
      </c>
      <c r="BJ129" s="123" t="str">
        <f t="shared" si="14"/>
        <v>#N/A</v>
      </c>
      <c r="BK129" s="64" t="str">
        <f t="shared" si="50"/>
        <v>YES</v>
      </c>
      <c r="BL129" s="64" t="str">
        <f t="shared" si="16"/>
        <v>YES</v>
      </c>
      <c r="BM129" s="64" t="str">
        <f t="shared" si="17"/>
        <v>YES</v>
      </c>
      <c r="BN129" s="124" t="str">
        <f t="shared" si="18"/>
        <v/>
      </c>
      <c r="BO129" s="91" t="str">
        <f t="shared" si="19"/>
        <v/>
      </c>
      <c r="BP129" s="91" t="str">
        <f t="shared" si="20"/>
        <v>#N/A</v>
      </c>
      <c r="BQ129" s="91" t="str">
        <f t="shared" si="21"/>
        <v/>
      </c>
      <c r="BR129" s="93" t="str">
        <f t="shared" si="22"/>
        <v/>
      </c>
      <c r="BS129" s="90" t="str">
        <f t="shared" si="23"/>
        <v/>
      </c>
      <c r="BT129" s="93" t="str">
        <f t="shared" si="24"/>
        <v>NA</v>
      </c>
      <c r="BU129" s="125" t="str">
        <f t="shared" si="25"/>
        <v>#N/A</v>
      </c>
      <c r="BV129" s="93" t="str">
        <f t="shared" si="26"/>
        <v/>
      </c>
      <c r="BW129" s="93" t="str">
        <f t="shared" si="27"/>
        <v/>
      </c>
      <c r="BX129" s="93" t="str">
        <f t="shared" si="28"/>
        <v>NA</v>
      </c>
      <c r="BY129" s="95" t="str">
        <f t="shared" si="29"/>
        <v>#N/A</v>
      </c>
      <c r="BZ129" s="93" t="str">
        <f t="shared" si="30"/>
        <v/>
      </c>
      <c r="CA129" s="93" t="str">
        <f t="shared" si="31"/>
        <v/>
      </c>
      <c r="CB129" s="93" t="str">
        <f t="shared" si="32"/>
        <v>NA</v>
      </c>
      <c r="CC129" s="96" t="str">
        <f t="shared" si="33"/>
        <v>#N/A</v>
      </c>
      <c r="CD129" s="93" t="str">
        <f t="shared" si="34"/>
        <v/>
      </c>
      <c r="CE129" s="93" t="str">
        <f t="shared" si="35"/>
        <v/>
      </c>
      <c r="CF129" s="93" t="str">
        <f t="shared" si="36"/>
        <v>NA</v>
      </c>
      <c r="CG129" s="97" t="str">
        <f t="shared" si="37"/>
        <v>#N/A</v>
      </c>
      <c r="CH129" s="98" t="str">
        <f t="shared" si="38"/>
        <v>#N/A</v>
      </c>
      <c r="CI129" s="99" t="str">
        <f t="shared" si="39"/>
        <v>#N/A</v>
      </c>
      <c r="CJ129" s="126" t="str">
        <f t="shared" si="40"/>
        <v>ERROR: check cell</v>
      </c>
      <c r="CK129" s="126"/>
      <c r="CL129" s="127" t="str">
        <f t="shared" si="41"/>
        <v>#DIV/0!</v>
      </c>
      <c r="CM129" s="128" t="str">
        <f t="shared" si="42"/>
        <v>#DIV/0!</v>
      </c>
      <c r="CN129" s="128">
        <f t="shared" si="43"/>
        <v>4</v>
      </c>
      <c r="CO129" s="129">
        <f t="shared" si="44"/>
        <v>4</v>
      </c>
      <c r="CP129" s="129" t="str">
        <f>IFS(C129=Preferences!B$13,B129,B129=Preferences!B$13,C129)</f>
        <v>#N/A</v>
      </c>
    </row>
    <row r="130" ht="13.5" customHeight="1">
      <c r="A130" s="63" t="str">
        <f t="shared" si="45"/>
        <v/>
      </c>
      <c r="B130" s="64"/>
      <c r="C130" s="64"/>
      <c r="D130" s="64"/>
      <c r="E130" s="65"/>
      <c r="F130" s="65"/>
      <c r="G130" s="65"/>
      <c r="H130" s="66"/>
      <c r="I130" s="66"/>
      <c r="J130" s="67"/>
      <c r="K130" s="68"/>
      <c r="L130" s="104"/>
      <c r="M130" s="104"/>
      <c r="N130" s="104"/>
      <c r="O130" s="104"/>
      <c r="P130" s="107" t="str">
        <f t="shared" si="1"/>
        <v/>
      </c>
      <c r="Q130" s="108" t="str">
        <f>IFERROR(IF(AND(Preferences!B$3="Manual",OR(AX130/AW130&gt;G130/F130,BD130="Serious",BD130="Very serious")),"Assess imprecision",IFS(ISBLANK(E130),"",AND(Preferences!B$3="Automatic", G130/F130&gt;=30),"Extremely serious",AND(H130&lt;=$D$1*-1,J130&lt;0,G130/F130&lt;3),"Not serious",AND(H130&lt;=$D$1*-1,J130&lt;0,G130/F130&gt;=3),"Very serious",AND(H130&gt;=$D$1,I130&gt;0,G130/F130&lt;3),"Not serious",AND(H130&gt;=$D$1,I130&gt;0,G130/F130&gt;=3),"Very serious",AND(H130&lt;=$D$1*-1,J130&gt;0,I130&gt;$D$2*-1,G130/F130&lt;3),"Serious", AND(H130&lt;=$D$1*-1,J130&gt;0,I130&lt;$D$2*-1,G130/F130&lt;3),"Very serious", AND(H130&gt;=$D$1,I130&lt;0,J130&lt;$D$2,G130/F130&lt;3),"Serious",AND(H130&gt;=$D$1,I130&lt;0,J130&gt;$D$2,G130/F130&lt;3),"Very serious", AND(H130&lt;=$D$1*-1,J130&gt;0,I130&gt;$D$2*-1,G130/F130&gt;=3),"Very serious", AND(H130&lt;=$D$1*-1,J130&gt;0,I130&lt;$D$2*-1,G130/F130&gt;=3),"Very serious", AND(H130&gt;=$D$1,I130&lt;0,J130&lt;$D$2,G130/F130&gt;=3),"Very serious", AND(H130&gt;=$D$1,I130&lt;0,J130&gt;$D$2,G130/F130&gt;=3),"Very serious", AND(H130&gt;$D$1*-1,H130&lt;$D$1,I130&gt;$D$1*-1,J130&lt;$D$1,G130/F130&lt;3),"Not serious", AND(H130&gt;$D$1*-1,H130&lt;$D$1,OR(I130&lt;=$D$1*-1,J130&gt;=$D$1),I130&gt;$D$2*-1,J130&lt;$D$2,G130/F130&lt;3),"Serious", AND(H130&gt;$D$1*-1,H130&lt;$D$1,OR(I130&lt;=$D$2*-1,J130&gt;=$D$2),G130/F130&lt;3),"Very serious", AND(H130&gt;$D$1*-1,H130&lt;$D$1,I130&gt;$D$1*-1,J130&lt;$D$1,G130/F130&gt;=3),"Very serious", AND(H130&gt;$D$1*-1,H130&lt;$D$1,OR(I130&lt;=$D$1*-1,J130&gt;=$D$1),I130&gt;$D$2*-1,J130&lt;$D$2,G130/F130&gt;=3),"Very serious", AND(H130&gt;$D$1*-1,H130&lt;$D$1,OR(I130&lt;=$D$2*-1,J130&gt;=$D$2),G130/F130&gt;=3),"Very serious")),"")</f>
        <v/>
      </c>
      <c r="R130" s="109" t="str">
        <f t="shared" si="47"/>
        <v/>
      </c>
      <c r="S130" s="64"/>
      <c r="T130" s="146"/>
      <c r="U130" s="146"/>
      <c r="V130" s="146"/>
      <c r="W130" s="73"/>
      <c r="X130" s="73"/>
      <c r="Y130" s="74"/>
      <c r="Z130" s="113" t="str">
        <f t="array" ref="Z130">INDEX($A$1:$C$500, MATCH(1,($B:$B=$B130)*($C:$C=$AB130),0),1)</f>
        <v/>
      </c>
      <c r="AA130" s="113" t="str">
        <f t="array" ref="AA130">INDEX($A$1:$C$500, MATCH(1,($B:$B=$AB130)*($C:$C=$B130),0),1)</f>
        <v/>
      </c>
      <c r="AB130" s="111"/>
      <c r="AC130" s="114" t="str">
        <f t="shared" si="2"/>
        <v/>
      </c>
      <c r="AD130" s="115" t="str">
        <f t="shared" si="3"/>
        <v/>
      </c>
      <c r="AE130" s="116" t="str">
        <f t="array" ref="AE130">INDEX($A$1:$C$500, MATCH(1,($B:$B=$AB130)*($C:$C=$AG130),0),1)</f>
        <v/>
      </c>
      <c r="AF130" s="116" t="str">
        <f t="array" ref="AF130">INDEX($A$1:$C$500, MATCH(1,($B:$B=$AG130)*($C:$C=$AB130),0),1)</f>
        <v/>
      </c>
      <c r="AG130" s="72"/>
      <c r="AH130" s="114" t="str">
        <f t="shared" si="4"/>
        <v/>
      </c>
      <c r="AI130" s="115" t="str">
        <f t="shared" si="5"/>
        <v/>
      </c>
      <c r="AJ130" s="116" t="str">
        <f t="array" ref="AJ130">INDEX($A$1:$C$500, MATCH(1,($B:$B=$C130)*($C:$C=$AG130),0),1)</f>
        <v/>
      </c>
      <c r="AK130" s="116" t="str">
        <f t="array" ref="AK130">INDEX($A$1:$C$500, MATCH(1,($B:$B=$AG130)*($C:$C=$C130),0),1)</f>
        <v/>
      </c>
      <c r="AL130" s="116" t="str">
        <f t="array" ref="AL130">INDEX($A$1:$C$500, MATCH(1,($B:$B=$C130)*($C:$C=$AB130),0),1)</f>
        <v/>
      </c>
      <c r="AM130" s="116" t="str">
        <f t="array" ref="AM130">INDEX($A$1:$C$500, MATCH(1,($B:$B=$AB130)*($C:$C=$C130),0),1)</f>
        <v/>
      </c>
      <c r="AN130" s="114" t="str">
        <f t="array" ref="AN130">IFS(ISNUMBER(AJ130),AJ130,ISNUMBER(AK130),AK130,ISNUMBER(AL130),AL130,ISNUMBER(AM130),AM130)</f>
        <v>#N/A</v>
      </c>
      <c r="AO130" s="115" t="str">
        <f t="shared" si="6"/>
        <v/>
      </c>
      <c r="AP130" s="115" t="str">
        <f t="shared" si="7"/>
        <v/>
      </c>
      <c r="AQ130" s="111"/>
      <c r="AR130" s="109" t="str">
        <f t="shared" si="8"/>
        <v/>
      </c>
      <c r="AS130" s="72" t="str">
        <f>IFERROR(IF(AND(Preferences!B$3="Manual",OR(AX130/AW130&gt;V130/U130,BD130="Serious",BD130="Very serious")),"Assess imprecision",IFERROR(IFS(AND(Preferences!B$3="Automatic",V130/U130&gt;=30),"Extremely serious",AND(W130&lt;=$D$1*-1,Y130&lt;0,V130/U130&lt;3),"Not Serious",AND(W130&lt;=$D$1*-1,Y130&lt;0,V130/U130&gt;=3),"Very serious",AND(W130&gt;=$D$1,X130&gt;0,V130/U130&lt;3),"Not Serious",AND(W130&gt;=$D$1,X130&gt;0,V130/U130&gt;=3),"Very serious",AND(W130&lt;=$D$1*-1,Y130&gt;0,X130&gt;$D$2*-1,V130/U130&lt;3),"Serious", AND(W130&lt;=$D$1*-1,Y130&gt;0,X130&lt;$D$2*-1,V130/U130&lt;3),"Very serious", AND(W130&gt;=$D$1,X130&lt;0,Y130&lt;$D$2,V130/U130&lt;3),"Serious",AND(W130&gt;=$D$1,X130&lt;0,Y130&gt;$D$2,V130/U130&lt;3),"Very serious", AND(W130&lt;=$D$1*-1,Y130&gt;0,X130&gt;$D$2*-1,V130/U130&gt;=3),"Very serious", AND(W130&lt;=$D$1*-1,Y130&gt;0,X130&lt;$D$2*-1,V130/U130&gt;=3),"Very serious", AND(W130&gt;=$D$1,X130&lt;0,Y130&lt;$D$2,V130/U130&gt;=3),"Very serious", AND(W130&gt;=$D$1,X130&lt;0,Y130&gt;$D$2,V130/U130&gt;=3),"Very serious", AND(W130&gt;$D$1*-1,W130&lt;$D$1,X130&gt;$D$1*-1,Y130&lt;$D$1,V130/U130&lt;3),"Not Serious", AND(W130&gt;$D$1*-1,W130&lt;$D$1,OR(X130&lt;=$D$1*-1,Y130&gt;=$D$1),X130&gt;$D$2*-1,Y130&lt;$D$2,V130/U130&lt;3),"Serious", AND(W130&gt;$D$1*-1,W130&lt;$D$1,OR(X130&lt;=$D$2*-1,Y130&gt;=$D$2),V130/U130&lt;3),"Very serious", AND(W130&gt;$D$1*-1,W130&lt;$D$1,X130&gt;$D$1*-1,Y130&lt;$D$1,V130/U130&gt;=3),"Very serious", AND(W130&gt;$D$1*-1,W130&lt;$D$1,OR(X130&lt;=$D$1*-1,Y130&gt;=$D$1),X130&gt;$D$2*-1,Y130&lt;$D$2,V130/U130&gt;=3),"Very serious", AND(W130&gt;$D$1*-1,W130&lt;$D$1,OR(X130&lt;=$D$2*-1,Y130&gt;=$D$2),V130/U130&gt;=3),"Very serious"),"")),"")</f>
        <v/>
      </c>
      <c r="AT130" s="109" t="str">
        <f t="shared" si="9"/>
        <v/>
      </c>
      <c r="AU130" s="64"/>
      <c r="AV130" s="147"/>
      <c r="AW130" s="147"/>
      <c r="AX130" s="147"/>
      <c r="AY130" s="83"/>
      <c r="AZ130" s="83"/>
      <c r="BA130" s="85"/>
      <c r="BB130" s="86" t="str">
        <f>IF(Preferences!B$9="Manual","",IFS(ISBLANK(B130),"",AND(ISNUMBER(E130)=TRUE,ISNUMBER(T130)=FALSE),"Direct", AND(ISNUMBER(E130)=FALSE,ISNUMBER(T130)=TRUE),"Indirect", CN130=4,"Direct",AND(CL130=FALSE, CM130=TRUE,CN130-CO130&gt;-1),"Direct", AND(CL130=FALSE,CM130=TRUE, CN130-CO130&lt;0),"Check algorithm in appendix 2", AND(CL130=TRUE, CM130=FALSE,CN130-CO130&gt;0),"Check algorithm in appendix 2", AND(CL130=TRUE, CM130=FALSE,CN130-CO130=0),"Indirect", AND(CL130=TRUE, CM130=FALSE,CN130-CO130&lt;0),"Indirect", AND(CL130=FALSE,CM130=FALSE,CN130-CO130&gt;-1),"Direct", AND(CL130=FALSE,CM130=FALSE,CN130-CO130&lt;0),"Check algorithm in appendix 2", AND(CL130=TRUE,CM130=TRUE,CN130-CO130&gt;-1),"Direct", AND(CL130=TRUE,CM130=TRUE,CN130-CO130&lt;0),"Check algorithm in appendix 2"))</f>
        <v/>
      </c>
      <c r="BC130" s="120" t="str">
        <f t="shared" si="10"/>
        <v/>
      </c>
      <c r="BD130" s="140"/>
      <c r="BE130" s="122" t="str">
        <f>IF(Preferences!B$3="Manual","", IFERROR(IFS(AND(Preferences!B$3="Automatic",AX130/AW130&gt;=30),"Extremely serious",AND(AY130&lt;=$D$1*-1,BA130&lt;0,AX130/AW130&lt;3),"Not Serious",AND(AY130&lt;=$D$1*-1,BA130&lt;0,AX130/AW130&gt;=3),"Very serious",AND(AY130&gt;=$D$1,AZ130&gt;0,AX130/AW130&lt;3),"Not Serious",AND(AY130&gt;=$D$1,AZ130&gt;0,AX130/AW130&gt;=3),"Very serious",AND(AY130&lt;=$D$1*-1,BA130&gt;0,AZ130&gt;$D$2*-1,AX130/AW130&lt;3),"Serious", AND(AY130&lt;=$D$1*-1,BA130&gt;0,AZ130&lt;$D$2*-1,AX130/AW130&lt;3),"Very serious", AND(AY130&gt;=$D$1,AZ130&lt;0,BA130&lt;$D$2,AX130/AW130&lt;3),"Serious",AND(AY130&gt;=$D$1,AZ130&lt;0,BA130&gt;$D$2,AX130/AW130&lt;3),"Very serious", AND(AY130&lt;=$D$1*-1,BA130&gt;0,AZ130&gt;$D$2*-1,AX130/AW130&gt;=3),"Very serious", AND(AY130&lt;=$D$1*-1,BA130&gt;0,AZ130&lt;$D$2*-1,AX130/AW130&gt;=3),"Very serious", AND(AY130&gt;=$D$1,AZ130&lt;0,BA130&lt;$D$2,AX130/AW130&gt;=3),"Very serious", AND(AY130&gt;=$D$1,AZ130&lt;0,BA130&gt;$D$2,AX130/AW130&gt;=3),"Very serious", AND(AY130&gt;$D$1*-1,AY130&lt;$D$1,AZ130&gt;$D$1*-1,BA130&lt;$D$1,AX130/AW130&lt;3),"Not Serious", AND(AY130&gt;$D$1*-1,AY130&lt;$D$1,OR(AZ130&lt;=$D$1*-1,BA130&gt;=$D$1),AZ130&gt;$D$2*-1,BA130&lt;$D$2,AX130/AW130&lt;3),"Serious", AND(AY130&gt;$D$1*-1,AY130&lt;$D$1,OR(AZ130&lt;=$D$2*-1,BA130&gt;=$D$2),AX130/AW130&lt;3),"Very serious", AND(AY130&gt;$D$1*-1,AY130&lt;$D$1,AZ130&gt;$D$1*-1,BA130&lt;$D$1,AX130/AW130&gt;=3),"Very serious", AND(AY130&gt;$D$1*-1,AY130&lt;$D$1,OR(AZ130&lt;=$D$1*-1,BA130&gt;=$D$1),AZ130&gt;$D$2*-1,BA130&lt;$D$2,AX130/AW130&gt;=3),"Very serious", AND(AY130&gt;$D$1*-1,AY130&lt;$D$1,OR(AZ130&lt;=$D$2*-1,BA130&gt;=$D$2),AX130/AW130&gt;=3),"Very serious"),""))</f>
        <v/>
      </c>
      <c r="BF130" s="107" t="str">
        <f t="shared" si="11"/>
        <v/>
      </c>
      <c r="BG130" s="94" t="str">
        <f t="shared" si="46"/>
        <v/>
      </c>
      <c r="BH130" s="64" t="str">
        <f t="shared" si="12"/>
        <v>#N/A</v>
      </c>
      <c r="BI130" s="64" t="str">
        <f t="shared" si="13"/>
        <v/>
      </c>
      <c r="BJ130" s="123" t="str">
        <f t="shared" si="14"/>
        <v>#N/A</v>
      </c>
      <c r="BK130" s="64" t="str">
        <f t="shared" si="50"/>
        <v>YES</v>
      </c>
      <c r="BL130" s="64" t="str">
        <f t="shared" si="16"/>
        <v>YES</v>
      </c>
      <c r="BM130" s="64" t="str">
        <f t="shared" si="17"/>
        <v>YES</v>
      </c>
      <c r="BN130" s="124" t="str">
        <f t="shared" si="18"/>
        <v/>
      </c>
      <c r="BO130" s="91" t="str">
        <f t="shared" si="19"/>
        <v/>
      </c>
      <c r="BP130" s="91" t="str">
        <f t="shared" si="20"/>
        <v>#N/A</v>
      </c>
      <c r="BQ130" s="91" t="str">
        <f t="shared" si="21"/>
        <v/>
      </c>
      <c r="BR130" s="93" t="str">
        <f t="shared" si="22"/>
        <v/>
      </c>
      <c r="BS130" s="90" t="str">
        <f t="shared" si="23"/>
        <v/>
      </c>
      <c r="BT130" s="93" t="str">
        <f t="shared" si="24"/>
        <v>NA</v>
      </c>
      <c r="BU130" s="125" t="str">
        <f t="shared" si="25"/>
        <v>#N/A</v>
      </c>
      <c r="BV130" s="93" t="str">
        <f t="shared" si="26"/>
        <v/>
      </c>
      <c r="BW130" s="93" t="str">
        <f t="shared" si="27"/>
        <v/>
      </c>
      <c r="BX130" s="93" t="str">
        <f t="shared" si="28"/>
        <v>NA</v>
      </c>
      <c r="BY130" s="95" t="str">
        <f t="shared" si="29"/>
        <v>#N/A</v>
      </c>
      <c r="BZ130" s="93" t="str">
        <f t="shared" si="30"/>
        <v/>
      </c>
      <c r="CA130" s="93" t="str">
        <f t="shared" si="31"/>
        <v/>
      </c>
      <c r="CB130" s="93" t="str">
        <f t="shared" si="32"/>
        <v>NA</v>
      </c>
      <c r="CC130" s="96" t="str">
        <f t="shared" si="33"/>
        <v>#N/A</v>
      </c>
      <c r="CD130" s="93" t="str">
        <f t="shared" si="34"/>
        <v/>
      </c>
      <c r="CE130" s="93" t="str">
        <f t="shared" si="35"/>
        <v/>
      </c>
      <c r="CF130" s="93" t="str">
        <f t="shared" si="36"/>
        <v>NA</v>
      </c>
      <c r="CG130" s="97" t="str">
        <f t="shared" si="37"/>
        <v>#N/A</v>
      </c>
      <c r="CH130" s="98" t="str">
        <f t="shared" si="38"/>
        <v>#N/A</v>
      </c>
      <c r="CI130" s="99" t="str">
        <f t="shared" si="39"/>
        <v>#N/A</v>
      </c>
      <c r="CJ130" s="126" t="str">
        <f t="shared" si="40"/>
        <v>ERROR: check cell</v>
      </c>
      <c r="CK130" s="126"/>
      <c r="CL130" s="127" t="str">
        <f t="shared" si="41"/>
        <v>#DIV/0!</v>
      </c>
      <c r="CM130" s="128" t="str">
        <f t="shared" si="42"/>
        <v>#DIV/0!</v>
      </c>
      <c r="CN130" s="128">
        <f t="shared" si="43"/>
        <v>4</v>
      </c>
      <c r="CO130" s="129">
        <f t="shared" si="44"/>
        <v>4</v>
      </c>
      <c r="CP130" s="129" t="str">
        <f>IFS(C130=Preferences!B$13,B130,B130=Preferences!B$13,C130)</f>
        <v>#N/A</v>
      </c>
    </row>
    <row r="131" ht="13.5" customHeight="1">
      <c r="A131" s="63" t="str">
        <f t="shared" si="45"/>
        <v/>
      </c>
      <c r="B131" s="64"/>
      <c r="C131" s="64"/>
      <c r="D131" s="64"/>
      <c r="E131" s="65"/>
      <c r="F131" s="65"/>
      <c r="G131" s="65"/>
      <c r="H131" s="66"/>
      <c r="I131" s="66"/>
      <c r="J131" s="67"/>
      <c r="K131" s="68"/>
      <c r="L131" s="104"/>
      <c r="M131" s="104"/>
      <c r="N131" s="104"/>
      <c r="O131" s="104"/>
      <c r="P131" s="107" t="str">
        <f t="shared" si="1"/>
        <v/>
      </c>
      <c r="Q131" s="108" t="str">
        <f>IFERROR(IF(AND(Preferences!B$3="Manual",OR(AX131/AW131&gt;G131/F131,BD131="Serious",BD131="Very serious")),"Assess imprecision",IFS(ISBLANK(E131),"",AND(Preferences!B$3="Automatic", G131/F131&gt;=30),"Extremely serious",AND(H131&lt;=$D$1*-1,J131&lt;0,G131/F131&lt;3),"Not serious",AND(H131&lt;=$D$1*-1,J131&lt;0,G131/F131&gt;=3),"Very serious",AND(H131&gt;=$D$1,I131&gt;0,G131/F131&lt;3),"Not serious",AND(H131&gt;=$D$1,I131&gt;0,G131/F131&gt;=3),"Very serious",AND(H131&lt;=$D$1*-1,J131&gt;0,I131&gt;$D$2*-1,G131/F131&lt;3),"Serious", AND(H131&lt;=$D$1*-1,J131&gt;0,I131&lt;$D$2*-1,G131/F131&lt;3),"Very serious", AND(H131&gt;=$D$1,I131&lt;0,J131&lt;$D$2,G131/F131&lt;3),"Serious",AND(H131&gt;=$D$1,I131&lt;0,J131&gt;$D$2,G131/F131&lt;3),"Very serious", AND(H131&lt;=$D$1*-1,J131&gt;0,I131&gt;$D$2*-1,G131/F131&gt;=3),"Very serious", AND(H131&lt;=$D$1*-1,J131&gt;0,I131&lt;$D$2*-1,G131/F131&gt;=3),"Very serious", AND(H131&gt;=$D$1,I131&lt;0,J131&lt;$D$2,G131/F131&gt;=3),"Very serious", AND(H131&gt;=$D$1,I131&lt;0,J131&gt;$D$2,G131/F131&gt;=3),"Very serious", AND(H131&gt;$D$1*-1,H131&lt;$D$1,I131&gt;$D$1*-1,J131&lt;$D$1,G131/F131&lt;3),"Not serious", AND(H131&gt;$D$1*-1,H131&lt;$D$1,OR(I131&lt;=$D$1*-1,J131&gt;=$D$1),I131&gt;$D$2*-1,J131&lt;$D$2,G131/F131&lt;3),"Serious", AND(H131&gt;$D$1*-1,H131&lt;$D$1,OR(I131&lt;=$D$2*-1,J131&gt;=$D$2),G131/F131&lt;3),"Very serious", AND(H131&gt;$D$1*-1,H131&lt;$D$1,I131&gt;$D$1*-1,J131&lt;$D$1,G131/F131&gt;=3),"Very serious", AND(H131&gt;$D$1*-1,H131&lt;$D$1,OR(I131&lt;=$D$1*-1,J131&gt;=$D$1),I131&gt;$D$2*-1,J131&lt;$D$2,G131/F131&gt;=3),"Very serious", AND(H131&gt;$D$1*-1,H131&lt;$D$1,OR(I131&lt;=$D$2*-1,J131&gt;=$D$2),G131/F131&gt;=3),"Very serious")),"")</f>
        <v/>
      </c>
      <c r="R131" s="109" t="str">
        <f t="shared" si="47"/>
        <v/>
      </c>
      <c r="S131" s="64"/>
      <c r="T131" s="146"/>
      <c r="U131" s="146"/>
      <c r="V131" s="146"/>
      <c r="W131" s="73"/>
      <c r="X131" s="73"/>
      <c r="Y131" s="74"/>
      <c r="Z131" s="113" t="str">
        <f t="array" ref="Z131">INDEX($A$1:$C$500, MATCH(1,($B:$B=$B131)*($C:$C=$AB131),0),1)</f>
        <v/>
      </c>
      <c r="AA131" s="113" t="str">
        <f t="array" ref="AA131">INDEX($A$1:$C$500, MATCH(1,($B:$B=$AB131)*($C:$C=$B131),0),1)</f>
        <v/>
      </c>
      <c r="AB131" s="111"/>
      <c r="AC131" s="114" t="str">
        <f t="shared" si="2"/>
        <v/>
      </c>
      <c r="AD131" s="115" t="str">
        <f t="shared" si="3"/>
        <v/>
      </c>
      <c r="AE131" s="116" t="str">
        <f t="array" ref="AE131">INDEX($A$1:$C$500, MATCH(1,($B:$B=$AB131)*($C:$C=$AG131),0),1)</f>
        <v/>
      </c>
      <c r="AF131" s="116" t="str">
        <f t="array" ref="AF131">INDEX($A$1:$C$500, MATCH(1,($B:$B=$AG131)*($C:$C=$AB131),0),1)</f>
        <v/>
      </c>
      <c r="AG131" s="72"/>
      <c r="AH131" s="114" t="str">
        <f t="shared" si="4"/>
        <v/>
      </c>
      <c r="AI131" s="115" t="str">
        <f t="shared" si="5"/>
        <v/>
      </c>
      <c r="AJ131" s="116" t="str">
        <f t="array" ref="AJ131">INDEX($A$1:$C$500, MATCH(1,($B:$B=$C131)*($C:$C=$AG131),0),1)</f>
        <v/>
      </c>
      <c r="AK131" s="116" t="str">
        <f t="array" ref="AK131">INDEX($A$1:$C$500, MATCH(1,($B:$B=$AG131)*($C:$C=$C131),0),1)</f>
        <v/>
      </c>
      <c r="AL131" s="116" t="str">
        <f t="array" ref="AL131">INDEX($A$1:$C$500, MATCH(1,($B:$B=$C131)*($C:$C=$AB131),0),1)</f>
        <v/>
      </c>
      <c r="AM131" s="116" t="str">
        <f t="array" ref="AM131">INDEX($A$1:$C$500, MATCH(1,($B:$B=$AB131)*($C:$C=$C131),0),1)</f>
        <v/>
      </c>
      <c r="AN131" s="114" t="str">
        <f t="array" ref="AN131">IFS(ISNUMBER(AJ131),AJ131,ISNUMBER(AK131),AK131,ISNUMBER(AL131),AL131,ISNUMBER(AM131),AM131)</f>
        <v>#N/A</v>
      </c>
      <c r="AO131" s="115" t="str">
        <f t="shared" si="6"/>
        <v/>
      </c>
      <c r="AP131" s="115" t="str">
        <f t="shared" si="7"/>
        <v/>
      </c>
      <c r="AQ131" s="111"/>
      <c r="AR131" s="109" t="str">
        <f t="shared" si="8"/>
        <v/>
      </c>
      <c r="AS131" s="72" t="str">
        <f>IFERROR(IF(AND(Preferences!B$3="Manual",OR(AX131/AW131&gt;V131/U131,BD131="Serious",BD131="Very serious")),"Assess imprecision",IFERROR(IFS(AND(Preferences!B$3="Automatic",V131/U131&gt;=30),"Extremely serious",AND(W131&lt;=$D$1*-1,Y131&lt;0,V131/U131&lt;3),"Not Serious",AND(W131&lt;=$D$1*-1,Y131&lt;0,V131/U131&gt;=3),"Very serious",AND(W131&gt;=$D$1,X131&gt;0,V131/U131&lt;3),"Not Serious",AND(W131&gt;=$D$1,X131&gt;0,V131/U131&gt;=3),"Very serious",AND(W131&lt;=$D$1*-1,Y131&gt;0,X131&gt;$D$2*-1,V131/U131&lt;3),"Serious", AND(W131&lt;=$D$1*-1,Y131&gt;0,X131&lt;$D$2*-1,V131/U131&lt;3),"Very serious", AND(W131&gt;=$D$1,X131&lt;0,Y131&lt;$D$2,V131/U131&lt;3),"Serious",AND(W131&gt;=$D$1,X131&lt;0,Y131&gt;$D$2,V131/U131&lt;3),"Very serious", AND(W131&lt;=$D$1*-1,Y131&gt;0,X131&gt;$D$2*-1,V131/U131&gt;=3),"Very serious", AND(W131&lt;=$D$1*-1,Y131&gt;0,X131&lt;$D$2*-1,V131/U131&gt;=3),"Very serious", AND(W131&gt;=$D$1,X131&lt;0,Y131&lt;$D$2,V131/U131&gt;=3),"Very serious", AND(W131&gt;=$D$1,X131&lt;0,Y131&gt;$D$2,V131/U131&gt;=3),"Very serious", AND(W131&gt;$D$1*-1,W131&lt;$D$1,X131&gt;$D$1*-1,Y131&lt;$D$1,V131/U131&lt;3),"Not Serious", AND(W131&gt;$D$1*-1,W131&lt;$D$1,OR(X131&lt;=$D$1*-1,Y131&gt;=$D$1),X131&gt;$D$2*-1,Y131&lt;$D$2,V131/U131&lt;3),"Serious", AND(W131&gt;$D$1*-1,W131&lt;$D$1,OR(X131&lt;=$D$2*-1,Y131&gt;=$D$2),V131/U131&lt;3),"Very serious", AND(W131&gt;$D$1*-1,W131&lt;$D$1,X131&gt;$D$1*-1,Y131&lt;$D$1,V131/U131&gt;=3),"Very serious", AND(W131&gt;$D$1*-1,W131&lt;$D$1,OR(X131&lt;=$D$1*-1,Y131&gt;=$D$1),X131&gt;$D$2*-1,Y131&lt;$D$2,V131/U131&gt;=3),"Very serious", AND(W131&gt;$D$1*-1,W131&lt;$D$1,OR(X131&lt;=$D$2*-1,Y131&gt;=$D$2),V131/U131&gt;=3),"Very serious"),"")),"")</f>
        <v/>
      </c>
      <c r="AT131" s="109" t="str">
        <f t="shared" si="9"/>
        <v/>
      </c>
      <c r="AU131" s="64"/>
      <c r="AV131" s="147"/>
      <c r="AW131" s="147"/>
      <c r="AX131" s="147"/>
      <c r="AY131" s="83"/>
      <c r="AZ131" s="83"/>
      <c r="BA131" s="85"/>
      <c r="BB131" s="86" t="str">
        <f>IF(Preferences!B$9="Manual","",IFS(ISBLANK(B131),"",AND(ISNUMBER(E131)=TRUE,ISNUMBER(T131)=FALSE),"Direct", AND(ISNUMBER(E131)=FALSE,ISNUMBER(T131)=TRUE),"Indirect", CN131=4,"Direct",AND(CL131=FALSE, CM131=TRUE,CN131-CO131&gt;-1),"Direct", AND(CL131=FALSE,CM131=TRUE, CN131-CO131&lt;0),"Check algorithm in appendix 2", AND(CL131=TRUE, CM131=FALSE,CN131-CO131&gt;0),"Check algorithm in appendix 2", AND(CL131=TRUE, CM131=FALSE,CN131-CO131=0),"Indirect", AND(CL131=TRUE, CM131=FALSE,CN131-CO131&lt;0),"Indirect", AND(CL131=FALSE,CM131=FALSE,CN131-CO131&gt;-1),"Direct", AND(CL131=FALSE,CM131=FALSE,CN131-CO131&lt;0),"Check algorithm in appendix 2", AND(CL131=TRUE,CM131=TRUE,CN131-CO131&gt;-1),"Direct", AND(CL131=TRUE,CM131=TRUE,CN131-CO131&lt;0),"Check algorithm in appendix 2"))</f>
        <v/>
      </c>
      <c r="BC131" s="120" t="str">
        <f t="shared" si="10"/>
        <v/>
      </c>
      <c r="BD131" s="140"/>
      <c r="BE131" s="122" t="str">
        <f>IF(Preferences!B$3="Manual","", IFERROR(IFS(AND(Preferences!B$3="Automatic",AX131/AW131&gt;=30),"Extremely serious",AND(AY131&lt;=$D$1*-1,BA131&lt;0,AX131/AW131&lt;3),"Not Serious",AND(AY131&lt;=$D$1*-1,BA131&lt;0,AX131/AW131&gt;=3),"Very serious",AND(AY131&gt;=$D$1,AZ131&gt;0,AX131/AW131&lt;3),"Not Serious",AND(AY131&gt;=$D$1,AZ131&gt;0,AX131/AW131&gt;=3),"Very serious",AND(AY131&lt;=$D$1*-1,BA131&gt;0,AZ131&gt;$D$2*-1,AX131/AW131&lt;3),"Serious", AND(AY131&lt;=$D$1*-1,BA131&gt;0,AZ131&lt;$D$2*-1,AX131/AW131&lt;3),"Very serious", AND(AY131&gt;=$D$1,AZ131&lt;0,BA131&lt;$D$2,AX131/AW131&lt;3),"Serious",AND(AY131&gt;=$D$1,AZ131&lt;0,BA131&gt;$D$2,AX131/AW131&lt;3),"Very serious", AND(AY131&lt;=$D$1*-1,BA131&gt;0,AZ131&gt;$D$2*-1,AX131/AW131&gt;=3),"Very serious", AND(AY131&lt;=$D$1*-1,BA131&gt;0,AZ131&lt;$D$2*-1,AX131/AW131&gt;=3),"Very serious", AND(AY131&gt;=$D$1,AZ131&lt;0,BA131&lt;$D$2,AX131/AW131&gt;=3),"Very serious", AND(AY131&gt;=$D$1,AZ131&lt;0,BA131&gt;$D$2,AX131/AW131&gt;=3),"Very serious", AND(AY131&gt;$D$1*-1,AY131&lt;$D$1,AZ131&gt;$D$1*-1,BA131&lt;$D$1,AX131/AW131&lt;3),"Not Serious", AND(AY131&gt;$D$1*-1,AY131&lt;$D$1,OR(AZ131&lt;=$D$1*-1,BA131&gt;=$D$1),AZ131&gt;$D$2*-1,BA131&lt;$D$2,AX131/AW131&lt;3),"Serious", AND(AY131&gt;$D$1*-1,AY131&lt;$D$1,OR(AZ131&lt;=$D$2*-1,BA131&gt;=$D$2),AX131/AW131&lt;3),"Very serious", AND(AY131&gt;$D$1*-1,AY131&lt;$D$1,AZ131&gt;$D$1*-1,BA131&lt;$D$1,AX131/AW131&gt;=3),"Very serious", AND(AY131&gt;$D$1*-1,AY131&lt;$D$1,OR(AZ131&lt;=$D$1*-1,BA131&gt;=$D$1),AZ131&gt;$D$2*-1,BA131&lt;$D$2,AX131/AW131&gt;=3),"Very serious", AND(AY131&gt;$D$1*-1,AY131&lt;$D$1,OR(AZ131&lt;=$D$2*-1,BA131&gt;=$D$2),AX131/AW131&gt;=3),"Very serious"),""))</f>
        <v/>
      </c>
      <c r="BF131" s="107" t="str">
        <f t="shared" si="11"/>
        <v/>
      </c>
      <c r="BG131" s="94" t="str">
        <f t="shared" si="46"/>
        <v/>
      </c>
      <c r="BH131" s="64" t="str">
        <f t="shared" si="12"/>
        <v>#N/A</v>
      </c>
      <c r="BI131" s="64" t="str">
        <f t="shared" si="13"/>
        <v/>
      </c>
      <c r="BJ131" s="123" t="str">
        <f t="shared" si="14"/>
        <v>#N/A</v>
      </c>
      <c r="BK131" s="64" t="str">
        <f t="shared" si="50"/>
        <v>YES</v>
      </c>
      <c r="BL131" s="64" t="str">
        <f t="shared" si="16"/>
        <v>YES</v>
      </c>
      <c r="BM131" s="64" t="str">
        <f t="shared" si="17"/>
        <v>YES</v>
      </c>
      <c r="BN131" s="124" t="str">
        <f t="shared" si="18"/>
        <v/>
      </c>
      <c r="BO131" s="91" t="str">
        <f t="shared" si="19"/>
        <v/>
      </c>
      <c r="BP131" s="91" t="str">
        <f t="shared" si="20"/>
        <v>#N/A</v>
      </c>
      <c r="BQ131" s="91" t="str">
        <f t="shared" si="21"/>
        <v/>
      </c>
      <c r="BR131" s="93" t="str">
        <f t="shared" si="22"/>
        <v/>
      </c>
      <c r="BS131" s="90" t="str">
        <f t="shared" si="23"/>
        <v/>
      </c>
      <c r="BT131" s="93" t="str">
        <f t="shared" si="24"/>
        <v>NA</v>
      </c>
      <c r="BU131" s="125" t="str">
        <f t="shared" si="25"/>
        <v>#N/A</v>
      </c>
      <c r="BV131" s="93" t="str">
        <f t="shared" si="26"/>
        <v/>
      </c>
      <c r="BW131" s="93" t="str">
        <f t="shared" si="27"/>
        <v/>
      </c>
      <c r="BX131" s="93" t="str">
        <f t="shared" si="28"/>
        <v>NA</v>
      </c>
      <c r="BY131" s="95" t="str">
        <f t="shared" si="29"/>
        <v>#N/A</v>
      </c>
      <c r="BZ131" s="93" t="str">
        <f t="shared" si="30"/>
        <v/>
      </c>
      <c r="CA131" s="93" t="str">
        <f t="shared" si="31"/>
        <v/>
      </c>
      <c r="CB131" s="93" t="str">
        <f t="shared" si="32"/>
        <v>NA</v>
      </c>
      <c r="CC131" s="96" t="str">
        <f t="shared" si="33"/>
        <v>#N/A</v>
      </c>
      <c r="CD131" s="93" t="str">
        <f t="shared" si="34"/>
        <v/>
      </c>
      <c r="CE131" s="93" t="str">
        <f t="shared" si="35"/>
        <v/>
      </c>
      <c r="CF131" s="93" t="str">
        <f t="shared" si="36"/>
        <v>NA</v>
      </c>
      <c r="CG131" s="97" t="str">
        <f t="shared" si="37"/>
        <v>#N/A</v>
      </c>
      <c r="CH131" s="98" t="str">
        <f t="shared" si="38"/>
        <v>#N/A</v>
      </c>
      <c r="CI131" s="99" t="str">
        <f t="shared" si="39"/>
        <v>#N/A</v>
      </c>
      <c r="CJ131" s="126" t="str">
        <f t="shared" si="40"/>
        <v>ERROR: check cell</v>
      </c>
      <c r="CK131" s="126"/>
      <c r="CL131" s="127" t="str">
        <f t="shared" si="41"/>
        <v>#DIV/0!</v>
      </c>
      <c r="CM131" s="128" t="str">
        <f t="shared" si="42"/>
        <v>#DIV/0!</v>
      </c>
      <c r="CN131" s="128">
        <f t="shared" si="43"/>
        <v>4</v>
      </c>
      <c r="CO131" s="129">
        <f t="shared" si="44"/>
        <v>4</v>
      </c>
      <c r="CP131" s="129" t="str">
        <f>IFS(C131=Preferences!B$13,B131,B131=Preferences!B$13,C131)</f>
        <v>#N/A</v>
      </c>
    </row>
    <row r="132" ht="13.5" customHeight="1">
      <c r="A132" s="63" t="str">
        <f t="shared" si="45"/>
        <v/>
      </c>
      <c r="B132" s="64"/>
      <c r="C132" s="64"/>
      <c r="D132" s="64"/>
      <c r="E132" s="65"/>
      <c r="F132" s="65"/>
      <c r="G132" s="65"/>
      <c r="H132" s="66"/>
      <c r="I132" s="66"/>
      <c r="J132" s="67"/>
      <c r="K132" s="68"/>
      <c r="L132" s="104"/>
      <c r="M132" s="104"/>
      <c r="N132" s="104"/>
      <c r="O132" s="104"/>
      <c r="P132" s="107" t="str">
        <f t="shared" si="1"/>
        <v/>
      </c>
      <c r="Q132" s="108" t="str">
        <f>IFERROR(IF(AND(Preferences!B$3="Manual",OR(AX132/AW132&gt;G132/F132,BD132="Serious",BD132="Very serious")),"Assess imprecision",IFS(ISBLANK(E132),"",AND(Preferences!B$3="Automatic", G132/F132&gt;=30),"Extremely serious",AND(H132&lt;=$D$1*-1,J132&lt;0,G132/F132&lt;3),"Not serious",AND(H132&lt;=$D$1*-1,J132&lt;0,G132/F132&gt;=3),"Very serious",AND(H132&gt;=$D$1,I132&gt;0,G132/F132&lt;3),"Not serious",AND(H132&gt;=$D$1,I132&gt;0,G132/F132&gt;=3),"Very serious",AND(H132&lt;=$D$1*-1,J132&gt;0,I132&gt;$D$2*-1,G132/F132&lt;3),"Serious", AND(H132&lt;=$D$1*-1,J132&gt;0,I132&lt;$D$2*-1,G132/F132&lt;3),"Very serious", AND(H132&gt;=$D$1,I132&lt;0,J132&lt;$D$2,G132/F132&lt;3),"Serious",AND(H132&gt;=$D$1,I132&lt;0,J132&gt;$D$2,G132/F132&lt;3),"Very serious", AND(H132&lt;=$D$1*-1,J132&gt;0,I132&gt;$D$2*-1,G132/F132&gt;=3),"Very serious", AND(H132&lt;=$D$1*-1,J132&gt;0,I132&lt;$D$2*-1,G132/F132&gt;=3),"Very serious", AND(H132&gt;=$D$1,I132&lt;0,J132&lt;$D$2,G132/F132&gt;=3),"Very serious", AND(H132&gt;=$D$1,I132&lt;0,J132&gt;$D$2,G132/F132&gt;=3),"Very serious", AND(H132&gt;$D$1*-1,H132&lt;$D$1,I132&gt;$D$1*-1,J132&lt;$D$1,G132/F132&lt;3),"Not serious", AND(H132&gt;$D$1*-1,H132&lt;$D$1,OR(I132&lt;=$D$1*-1,J132&gt;=$D$1),I132&gt;$D$2*-1,J132&lt;$D$2,G132/F132&lt;3),"Serious", AND(H132&gt;$D$1*-1,H132&lt;$D$1,OR(I132&lt;=$D$2*-1,J132&gt;=$D$2),G132/F132&lt;3),"Very serious", AND(H132&gt;$D$1*-1,H132&lt;$D$1,I132&gt;$D$1*-1,J132&lt;$D$1,G132/F132&gt;=3),"Very serious", AND(H132&gt;$D$1*-1,H132&lt;$D$1,OR(I132&lt;=$D$1*-1,J132&gt;=$D$1),I132&gt;$D$2*-1,J132&lt;$D$2,G132/F132&gt;=3),"Very serious", AND(H132&gt;$D$1*-1,H132&lt;$D$1,OR(I132&lt;=$D$2*-1,J132&gt;=$D$2),G132/F132&gt;=3),"Very serious")),"")</f>
        <v/>
      </c>
      <c r="R132" s="109" t="str">
        <f t="shared" si="47"/>
        <v/>
      </c>
      <c r="S132" s="64"/>
      <c r="T132" s="146"/>
      <c r="U132" s="146"/>
      <c r="V132" s="146"/>
      <c r="W132" s="73"/>
      <c r="X132" s="73"/>
      <c r="Y132" s="74"/>
      <c r="Z132" s="113" t="str">
        <f t="array" ref="Z132">INDEX($A$1:$C$500, MATCH(1,($B:$B=$B132)*($C:$C=$AB132),0),1)</f>
        <v/>
      </c>
      <c r="AA132" s="113" t="str">
        <f t="array" ref="AA132">INDEX($A$1:$C$500, MATCH(1,($B:$B=$AB132)*($C:$C=$B132),0),1)</f>
        <v/>
      </c>
      <c r="AB132" s="111"/>
      <c r="AC132" s="114" t="str">
        <f t="shared" si="2"/>
        <v/>
      </c>
      <c r="AD132" s="115" t="str">
        <f t="shared" si="3"/>
        <v/>
      </c>
      <c r="AE132" s="116" t="str">
        <f t="array" ref="AE132">INDEX($A$1:$C$500, MATCH(1,($B:$B=$AB132)*($C:$C=$AG132),0),1)</f>
        <v/>
      </c>
      <c r="AF132" s="116" t="str">
        <f t="array" ref="AF132">INDEX($A$1:$C$500, MATCH(1,($B:$B=$AG132)*($C:$C=$AB132),0),1)</f>
        <v/>
      </c>
      <c r="AG132" s="72"/>
      <c r="AH132" s="114" t="str">
        <f t="shared" si="4"/>
        <v/>
      </c>
      <c r="AI132" s="115" t="str">
        <f t="shared" si="5"/>
        <v/>
      </c>
      <c r="AJ132" s="116" t="str">
        <f t="array" ref="AJ132">INDEX($A$1:$C$500, MATCH(1,($B:$B=$C132)*($C:$C=$AG132),0),1)</f>
        <v/>
      </c>
      <c r="AK132" s="116" t="str">
        <f t="array" ref="AK132">INDEX($A$1:$C$500, MATCH(1,($B:$B=$AG132)*($C:$C=$C132),0),1)</f>
        <v/>
      </c>
      <c r="AL132" s="116" t="str">
        <f t="array" ref="AL132">INDEX($A$1:$C$500, MATCH(1,($B:$B=$C132)*($C:$C=$AB132),0),1)</f>
        <v/>
      </c>
      <c r="AM132" s="116" t="str">
        <f t="array" ref="AM132">INDEX($A$1:$C$500, MATCH(1,($B:$B=$AB132)*($C:$C=$C132),0),1)</f>
        <v/>
      </c>
      <c r="AN132" s="114" t="str">
        <f t="array" ref="AN132">IFS(ISNUMBER(AJ132),AJ132,ISNUMBER(AK132),AK132,ISNUMBER(AL132),AL132,ISNUMBER(AM132),AM132)</f>
        <v>#N/A</v>
      </c>
      <c r="AO132" s="115" t="str">
        <f t="shared" si="6"/>
        <v/>
      </c>
      <c r="AP132" s="115" t="str">
        <f t="shared" si="7"/>
        <v/>
      </c>
      <c r="AQ132" s="111"/>
      <c r="AR132" s="109" t="str">
        <f t="shared" si="8"/>
        <v/>
      </c>
      <c r="AS132" s="72" t="str">
        <f>IFERROR(IF(AND(Preferences!B$3="Manual",OR(AX132/AW132&gt;V132/U132,BD132="Serious",BD132="Very serious")),"Assess imprecision",IFERROR(IFS(AND(Preferences!B$3="Automatic",V132/U132&gt;=30),"Extremely serious",AND(W132&lt;=$D$1*-1,Y132&lt;0,V132/U132&lt;3),"Not Serious",AND(W132&lt;=$D$1*-1,Y132&lt;0,V132/U132&gt;=3),"Very serious",AND(W132&gt;=$D$1,X132&gt;0,V132/U132&lt;3),"Not Serious",AND(W132&gt;=$D$1,X132&gt;0,V132/U132&gt;=3),"Very serious",AND(W132&lt;=$D$1*-1,Y132&gt;0,X132&gt;$D$2*-1,V132/U132&lt;3),"Serious", AND(W132&lt;=$D$1*-1,Y132&gt;0,X132&lt;$D$2*-1,V132/U132&lt;3),"Very serious", AND(W132&gt;=$D$1,X132&lt;0,Y132&lt;$D$2,V132/U132&lt;3),"Serious",AND(W132&gt;=$D$1,X132&lt;0,Y132&gt;$D$2,V132/U132&lt;3),"Very serious", AND(W132&lt;=$D$1*-1,Y132&gt;0,X132&gt;$D$2*-1,V132/U132&gt;=3),"Very serious", AND(W132&lt;=$D$1*-1,Y132&gt;0,X132&lt;$D$2*-1,V132/U132&gt;=3),"Very serious", AND(W132&gt;=$D$1,X132&lt;0,Y132&lt;$D$2,V132/U132&gt;=3),"Very serious", AND(W132&gt;=$D$1,X132&lt;0,Y132&gt;$D$2,V132/U132&gt;=3),"Very serious", AND(W132&gt;$D$1*-1,W132&lt;$D$1,X132&gt;$D$1*-1,Y132&lt;$D$1,V132/U132&lt;3),"Not Serious", AND(W132&gt;$D$1*-1,W132&lt;$D$1,OR(X132&lt;=$D$1*-1,Y132&gt;=$D$1),X132&gt;$D$2*-1,Y132&lt;$D$2,V132/U132&lt;3),"Serious", AND(W132&gt;$D$1*-1,W132&lt;$D$1,OR(X132&lt;=$D$2*-1,Y132&gt;=$D$2),V132/U132&lt;3),"Very serious", AND(W132&gt;$D$1*-1,W132&lt;$D$1,X132&gt;$D$1*-1,Y132&lt;$D$1,V132/U132&gt;=3),"Very serious", AND(W132&gt;$D$1*-1,W132&lt;$D$1,OR(X132&lt;=$D$1*-1,Y132&gt;=$D$1),X132&gt;$D$2*-1,Y132&lt;$D$2,V132/U132&gt;=3),"Very serious", AND(W132&gt;$D$1*-1,W132&lt;$D$1,OR(X132&lt;=$D$2*-1,Y132&gt;=$D$2),V132/U132&gt;=3),"Very serious"),"")),"")</f>
        <v/>
      </c>
      <c r="AT132" s="109" t="str">
        <f t="shared" si="9"/>
        <v/>
      </c>
      <c r="AU132" s="64"/>
      <c r="AV132" s="147"/>
      <c r="AW132" s="147"/>
      <c r="AX132" s="147"/>
      <c r="AY132" s="83"/>
      <c r="AZ132" s="83"/>
      <c r="BA132" s="85"/>
      <c r="BB132" s="86" t="str">
        <f>IF(Preferences!B$9="Manual","",IFS(ISBLANK(B132),"",AND(ISNUMBER(E132)=TRUE,ISNUMBER(T132)=FALSE),"Direct", AND(ISNUMBER(E132)=FALSE,ISNUMBER(T132)=TRUE),"Indirect", CN132=4,"Direct",AND(CL132=FALSE, CM132=TRUE,CN132-CO132&gt;-1),"Direct", AND(CL132=FALSE,CM132=TRUE, CN132-CO132&lt;0),"Check algorithm in appendix 2", AND(CL132=TRUE, CM132=FALSE,CN132-CO132&gt;0),"Check algorithm in appendix 2", AND(CL132=TRUE, CM132=FALSE,CN132-CO132=0),"Indirect", AND(CL132=TRUE, CM132=FALSE,CN132-CO132&lt;0),"Indirect", AND(CL132=FALSE,CM132=FALSE,CN132-CO132&gt;-1),"Direct", AND(CL132=FALSE,CM132=FALSE,CN132-CO132&lt;0),"Check algorithm in appendix 2", AND(CL132=TRUE,CM132=TRUE,CN132-CO132&gt;-1),"Direct", AND(CL132=TRUE,CM132=TRUE,CN132-CO132&lt;0),"Check algorithm in appendix 2"))</f>
        <v/>
      </c>
      <c r="BC132" s="120" t="str">
        <f t="shared" si="10"/>
        <v/>
      </c>
      <c r="BD132" s="140"/>
      <c r="BE132" s="122" t="str">
        <f>IF(Preferences!B$3="Manual","", IFERROR(IFS(AND(Preferences!B$3="Automatic",AX132/AW132&gt;=30),"Extremely serious",AND(AY132&lt;=$D$1*-1,BA132&lt;0,AX132/AW132&lt;3),"Not Serious",AND(AY132&lt;=$D$1*-1,BA132&lt;0,AX132/AW132&gt;=3),"Very serious",AND(AY132&gt;=$D$1,AZ132&gt;0,AX132/AW132&lt;3),"Not Serious",AND(AY132&gt;=$D$1,AZ132&gt;0,AX132/AW132&gt;=3),"Very serious",AND(AY132&lt;=$D$1*-1,BA132&gt;0,AZ132&gt;$D$2*-1,AX132/AW132&lt;3),"Serious", AND(AY132&lt;=$D$1*-1,BA132&gt;0,AZ132&lt;$D$2*-1,AX132/AW132&lt;3),"Very serious", AND(AY132&gt;=$D$1,AZ132&lt;0,BA132&lt;$D$2,AX132/AW132&lt;3),"Serious",AND(AY132&gt;=$D$1,AZ132&lt;0,BA132&gt;$D$2,AX132/AW132&lt;3),"Very serious", AND(AY132&lt;=$D$1*-1,BA132&gt;0,AZ132&gt;$D$2*-1,AX132/AW132&gt;=3),"Very serious", AND(AY132&lt;=$D$1*-1,BA132&gt;0,AZ132&lt;$D$2*-1,AX132/AW132&gt;=3),"Very serious", AND(AY132&gt;=$D$1,AZ132&lt;0,BA132&lt;$D$2,AX132/AW132&gt;=3),"Very serious", AND(AY132&gt;=$D$1,AZ132&lt;0,BA132&gt;$D$2,AX132/AW132&gt;=3),"Very serious", AND(AY132&gt;$D$1*-1,AY132&lt;$D$1,AZ132&gt;$D$1*-1,BA132&lt;$D$1,AX132/AW132&lt;3),"Not Serious", AND(AY132&gt;$D$1*-1,AY132&lt;$D$1,OR(AZ132&lt;=$D$1*-1,BA132&gt;=$D$1),AZ132&gt;$D$2*-1,BA132&lt;$D$2,AX132/AW132&lt;3),"Serious", AND(AY132&gt;$D$1*-1,AY132&lt;$D$1,OR(AZ132&lt;=$D$2*-1,BA132&gt;=$D$2),AX132/AW132&lt;3),"Very serious", AND(AY132&gt;$D$1*-1,AY132&lt;$D$1,AZ132&gt;$D$1*-1,BA132&lt;$D$1,AX132/AW132&gt;=3),"Very serious", AND(AY132&gt;$D$1*-1,AY132&lt;$D$1,OR(AZ132&lt;=$D$1*-1,BA132&gt;=$D$1),AZ132&gt;$D$2*-1,BA132&lt;$D$2,AX132/AW132&gt;=3),"Very serious", AND(AY132&gt;$D$1*-1,AY132&lt;$D$1,OR(AZ132&lt;=$D$2*-1,BA132&gt;=$D$2),AX132/AW132&gt;=3),"Very serious"),""))</f>
        <v/>
      </c>
      <c r="BF132" s="107" t="str">
        <f t="shared" si="11"/>
        <v/>
      </c>
      <c r="BG132" s="94" t="str">
        <f t="shared" si="46"/>
        <v/>
      </c>
      <c r="BH132" s="64" t="str">
        <f t="shared" si="12"/>
        <v>#N/A</v>
      </c>
      <c r="BI132" s="64" t="str">
        <f t="shared" si="13"/>
        <v/>
      </c>
      <c r="BJ132" s="123" t="str">
        <f t="shared" si="14"/>
        <v>#N/A</v>
      </c>
      <c r="BK132" s="64" t="str">
        <f t="shared" si="50"/>
        <v>YES</v>
      </c>
      <c r="BL132" s="64" t="str">
        <f t="shared" si="16"/>
        <v>YES</v>
      </c>
      <c r="BM132" s="64" t="str">
        <f t="shared" si="17"/>
        <v>YES</v>
      </c>
      <c r="BN132" s="124" t="str">
        <f t="shared" si="18"/>
        <v/>
      </c>
      <c r="BO132" s="91" t="str">
        <f t="shared" si="19"/>
        <v/>
      </c>
      <c r="BP132" s="91" t="str">
        <f t="shared" si="20"/>
        <v>#N/A</v>
      </c>
      <c r="BQ132" s="91" t="str">
        <f t="shared" si="21"/>
        <v/>
      </c>
      <c r="BR132" s="93" t="str">
        <f t="shared" si="22"/>
        <v/>
      </c>
      <c r="BS132" s="90" t="str">
        <f t="shared" si="23"/>
        <v/>
      </c>
      <c r="BT132" s="93" t="str">
        <f t="shared" si="24"/>
        <v>NA</v>
      </c>
      <c r="BU132" s="125" t="str">
        <f t="shared" si="25"/>
        <v>#N/A</v>
      </c>
      <c r="BV132" s="93" t="str">
        <f t="shared" si="26"/>
        <v/>
      </c>
      <c r="BW132" s="93" t="str">
        <f t="shared" si="27"/>
        <v/>
      </c>
      <c r="BX132" s="93" t="str">
        <f t="shared" si="28"/>
        <v>NA</v>
      </c>
      <c r="BY132" s="95" t="str">
        <f t="shared" si="29"/>
        <v>#N/A</v>
      </c>
      <c r="BZ132" s="93" t="str">
        <f t="shared" si="30"/>
        <v/>
      </c>
      <c r="CA132" s="93" t="str">
        <f t="shared" si="31"/>
        <v/>
      </c>
      <c r="CB132" s="93" t="str">
        <f t="shared" si="32"/>
        <v>NA</v>
      </c>
      <c r="CC132" s="96" t="str">
        <f t="shared" si="33"/>
        <v>#N/A</v>
      </c>
      <c r="CD132" s="93" t="str">
        <f t="shared" si="34"/>
        <v/>
      </c>
      <c r="CE132" s="93" t="str">
        <f t="shared" si="35"/>
        <v/>
      </c>
      <c r="CF132" s="93" t="str">
        <f t="shared" si="36"/>
        <v>NA</v>
      </c>
      <c r="CG132" s="97" t="str">
        <f t="shared" si="37"/>
        <v>#N/A</v>
      </c>
      <c r="CH132" s="98" t="str">
        <f t="shared" si="38"/>
        <v>#N/A</v>
      </c>
      <c r="CI132" s="99" t="str">
        <f t="shared" si="39"/>
        <v>#N/A</v>
      </c>
      <c r="CJ132" s="126" t="str">
        <f t="shared" si="40"/>
        <v>ERROR: check cell</v>
      </c>
      <c r="CK132" s="126"/>
      <c r="CL132" s="127" t="str">
        <f t="shared" si="41"/>
        <v>#DIV/0!</v>
      </c>
      <c r="CM132" s="128" t="str">
        <f t="shared" si="42"/>
        <v>#DIV/0!</v>
      </c>
      <c r="CN132" s="128">
        <f t="shared" si="43"/>
        <v>4</v>
      </c>
      <c r="CO132" s="129">
        <f t="shared" si="44"/>
        <v>4</v>
      </c>
      <c r="CP132" s="129" t="str">
        <f>IFS(C132=Preferences!B$13,B132,B132=Preferences!B$13,C132)</f>
        <v>#N/A</v>
      </c>
    </row>
    <row r="133" ht="13.5" customHeight="1">
      <c r="A133" s="63" t="str">
        <f t="shared" si="45"/>
        <v/>
      </c>
      <c r="B133" s="64"/>
      <c r="C133" s="64"/>
      <c r="D133" s="64"/>
      <c r="E133" s="65"/>
      <c r="F133" s="65"/>
      <c r="G133" s="65"/>
      <c r="H133" s="66"/>
      <c r="I133" s="66"/>
      <c r="J133" s="67"/>
      <c r="K133" s="68"/>
      <c r="L133" s="104"/>
      <c r="M133" s="104"/>
      <c r="N133" s="104"/>
      <c r="O133" s="104"/>
      <c r="P133" s="107" t="str">
        <f t="shared" si="1"/>
        <v/>
      </c>
      <c r="Q133" s="108" t="str">
        <f>IFERROR(IF(AND(Preferences!B$3="Manual",OR(AX133/AW133&gt;G133/F133,BD133="Serious",BD133="Very serious")),"Assess imprecision",IFS(ISBLANK(E133),"",AND(Preferences!B$3="Automatic", G133/F133&gt;=30),"Extremely serious",AND(H133&lt;=$D$1*-1,J133&lt;0,G133/F133&lt;3),"Not serious",AND(H133&lt;=$D$1*-1,J133&lt;0,G133/F133&gt;=3),"Very serious",AND(H133&gt;=$D$1,I133&gt;0,G133/F133&lt;3),"Not serious",AND(H133&gt;=$D$1,I133&gt;0,G133/F133&gt;=3),"Very serious",AND(H133&lt;=$D$1*-1,J133&gt;0,I133&gt;$D$2*-1,G133/F133&lt;3),"Serious", AND(H133&lt;=$D$1*-1,J133&gt;0,I133&lt;$D$2*-1,G133/F133&lt;3),"Very serious", AND(H133&gt;=$D$1,I133&lt;0,J133&lt;$D$2,G133/F133&lt;3),"Serious",AND(H133&gt;=$D$1,I133&lt;0,J133&gt;$D$2,G133/F133&lt;3),"Very serious", AND(H133&lt;=$D$1*-1,J133&gt;0,I133&gt;$D$2*-1,G133/F133&gt;=3),"Very serious", AND(H133&lt;=$D$1*-1,J133&gt;0,I133&lt;$D$2*-1,G133/F133&gt;=3),"Very serious", AND(H133&gt;=$D$1,I133&lt;0,J133&lt;$D$2,G133/F133&gt;=3),"Very serious", AND(H133&gt;=$D$1,I133&lt;0,J133&gt;$D$2,G133/F133&gt;=3),"Very serious", AND(H133&gt;$D$1*-1,H133&lt;$D$1,I133&gt;$D$1*-1,J133&lt;$D$1,G133/F133&lt;3),"Not serious", AND(H133&gt;$D$1*-1,H133&lt;$D$1,OR(I133&lt;=$D$1*-1,J133&gt;=$D$1),I133&gt;$D$2*-1,J133&lt;$D$2,G133/F133&lt;3),"Serious", AND(H133&gt;$D$1*-1,H133&lt;$D$1,OR(I133&lt;=$D$2*-1,J133&gt;=$D$2),G133/F133&lt;3),"Very serious", AND(H133&gt;$D$1*-1,H133&lt;$D$1,I133&gt;$D$1*-1,J133&lt;$D$1,G133/F133&gt;=3),"Very serious", AND(H133&gt;$D$1*-1,H133&lt;$D$1,OR(I133&lt;=$D$1*-1,J133&gt;=$D$1),I133&gt;$D$2*-1,J133&lt;$D$2,G133/F133&gt;=3),"Very serious", AND(H133&gt;$D$1*-1,H133&lt;$D$1,OR(I133&lt;=$D$2*-1,J133&gt;=$D$2),G133/F133&gt;=3),"Very serious")),"")</f>
        <v/>
      </c>
      <c r="R133" s="109" t="str">
        <f t="shared" si="47"/>
        <v/>
      </c>
      <c r="S133" s="64"/>
      <c r="T133" s="146"/>
      <c r="U133" s="146"/>
      <c r="V133" s="146"/>
      <c r="W133" s="73"/>
      <c r="X133" s="73"/>
      <c r="Y133" s="74"/>
      <c r="Z133" s="113" t="str">
        <f t="array" ref="Z133">INDEX($A$1:$C$500, MATCH(1,($B:$B=$B133)*($C:$C=$AB133),0),1)</f>
        <v/>
      </c>
      <c r="AA133" s="113" t="str">
        <f t="array" ref="AA133">INDEX($A$1:$C$500, MATCH(1,($B:$B=$AB133)*($C:$C=$B133),0),1)</f>
        <v/>
      </c>
      <c r="AB133" s="111"/>
      <c r="AC133" s="114" t="str">
        <f t="shared" si="2"/>
        <v/>
      </c>
      <c r="AD133" s="115" t="str">
        <f t="shared" si="3"/>
        <v/>
      </c>
      <c r="AE133" s="116" t="str">
        <f t="array" ref="AE133">INDEX($A$1:$C$500, MATCH(1,($B:$B=$AB133)*($C:$C=$AG133),0),1)</f>
        <v/>
      </c>
      <c r="AF133" s="116" t="str">
        <f t="array" ref="AF133">INDEX($A$1:$C$500, MATCH(1,($B:$B=$AG133)*($C:$C=$AB133),0),1)</f>
        <v/>
      </c>
      <c r="AG133" s="72"/>
      <c r="AH133" s="114" t="str">
        <f t="shared" si="4"/>
        <v/>
      </c>
      <c r="AI133" s="115" t="str">
        <f t="shared" si="5"/>
        <v/>
      </c>
      <c r="AJ133" s="116" t="str">
        <f t="array" ref="AJ133">INDEX($A$1:$C$500, MATCH(1,($B:$B=$C133)*($C:$C=$AG133),0),1)</f>
        <v/>
      </c>
      <c r="AK133" s="116" t="str">
        <f t="array" ref="AK133">INDEX($A$1:$C$500, MATCH(1,($B:$B=$AG133)*($C:$C=$C133),0),1)</f>
        <v/>
      </c>
      <c r="AL133" s="116" t="str">
        <f t="array" ref="AL133">INDEX($A$1:$C$500, MATCH(1,($B:$B=$C133)*($C:$C=$AB133),0),1)</f>
        <v/>
      </c>
      <c r="AM133" s="116" t="str">
        <f t="array" ref="AM133">INDEX($A$1:$C$500, MATCH(1,($B:$B=$AB133)*($C:$C=$C133),0),1)</f>
        <v/>
      </c>
      <c r="AN133" s="114" t="str">
        <f t="array" ref="AN133">IFS(ISNUMBER(AJ133),AJ133,ISNUMBER(AK133),AK133,ISNUMBER(AL133),AL133,ISNUMBER(AM133),AM133)</f>
        <v>#N/A</v>
      </c>
      <c r="AO133" s="115" t="str">
        <f t="shared" si="6"/>
        <v/>
      </c>
      <c r="AP133" s="115" t="str">
        <f t="shared" si="7"/>
        <v/>
      </c>
      <c r="AQ133" s="111"/>
      <c r="AR133" s="109" t="str">
        <f t="shared" si="8"/>
        <v/>
      </c>
      <c r="AS133" s="72" t="str">
        <f>IFERROR(IF(AND(Preferences!B$3="Manual",OR(AX133/AW133&gt;V133/U133,BD133="Serious",BD133="Very serious")),"Assess imprecision",IFERROR(IFS(AND(Preferences!B$3="Automatic",V133/U133&gt;=30),"Extremely serious",AND(W133&lt;=$D$1*-1,Y133&lt;0,V133/U133&lt;3),"Not Serious",AND(W133&lt;=$D$1*-1,Y133&lt;0,V133/U133&gt;=3),"Very serious",AND(W133&gt;=$D$1,X133&gt;0,V133/U133&lt;3),"Not Serious",AND(W133&gt;=$D$1,X133&gt;0,V133/U133&gt;=3),"Very serious",AND(W133&lt;=$D$1*-1,Y133&gt;0,X133&gt;$D$2*-1,V133/U133&lt;3),"Serious", AND(W133&lt;=$D$1*-1,Y133&gt;0,X133&lt;$D$2*-1,V133/U133&lt;3),"Very serious", AND(W133&gt;=$D$1,X133&lt;0,Y133&lt;$D$2,V133/U133&lt;3),"Serious",AND(W133&gt;=$D$1,X133&lt;0,Y133&gt;$D$2,V133/U133&lt;3),"Very serious", AND(W133&lt;=$D$1*-1,Y133&gt;0,X133&gt;$D$2*-1,V133/U133&gt;=3),"Very serious", AND(W133&lt;=$D$1*-1,Y133&gt;0,X133&lt;$D$2*-1,V133/U133&gt;=3),"Very serious", AND(W133&gt;=$D$1,X133&lt;0,Y133&lt;$D$2,V133/U133&gt;=3),"Very serious", AND(W133&gt;=$D$1,X133&lt;0,Y133&gt;$D$2,V133/U133&gt;=3),"Very serious", AND(W133&gt;$D$1*-1,W133&lt;$D$1,X133&gt;$D$1*-1,Y133&lt;$D$1,V133/U133&lt;3),"Not Serious", AND(W133&gt;$D$1*-1,W133&lt;$D$1,OR(X133&lt;=$D$1*-1,Y133&gt;=$D$1),X133&gt;$D$2*-1,Y133&lt;$D$2,V133/U133&lt;3),"Serious", AND(W133&gt;$D$1*-1,W133&lt;$D$1,OR(X133&lt;=$D$2*-1,Y133&gt;=$D$2),V133/U133&lt;3),"Very serious", AND(W133&gt;$D$1*-1,W133&lt;$D$1,X133&gt;$D$1*-1,Y133&lt;$D$1,V133/U133&gt;=3),"Very serious", AND(W133&gt;$D$1*-1,W133&lt;$D$1,OR(X133&lt;=$D$1*-1,Y133&gt;=$D$1),X133&gt;$D$2*-1,Y133&lt;$D$2,V133/U133&gt;=3),"Very serious", AND(W133&gt;$D$1*-1,W133&lt;$D$1,OR(X133&lt;=$D$2*-1,Y133&gt;=$D$2),V133/U133&gt;=3),"Very serious"),"")),"")</f>
        <v/>
      </c>
      <c r="AT133" s="109" t="str">
        <f t="shared" si="9"/>
        <v/>
      </c>
      <c r="AU133" s="64"/>
      <c r="AV133" s="147"/>
      <c r="AW133" s="147"/>
      <c r="AX133" s="147"/>
      <c r="AY133" s="83"/>
      <c r="AZ133" s="83"/>
      <c r="BA133" s="85"/>
      <c r="BB133" s="86" t="str">
        <f>IF(Preferences!B$9="Manual","",IFS(ISBLANK(B133),"",AND(ISNUMBER(E133)=TRUE,ISNUMBER(T133)=FALSE),"Direct", AND(ISNUMBER(E133)=FALSE,ISNUMBER(T133)=TRUE),"Indirect", CN133=4,"Direct",AND(CL133=FALSE, CM133=TRUE,CN133-CO133&gt;-1),"Direct", AND(CL133=FALSE,CM133=TRUE, CN133-CO133&lt;0),"Check algorithm in appendix 2", AND(CL133=TRUE, CM133=FALSE,CN133-CO133&gt;0),"Check algorithm in appendix 2", AND(CL133=TRUE, CM133=FALSE,CN133-CO133=0),"Indirect", AND(CL133=TRUE, CM133=FALSE,CN133-CO133&lt;0),"Indirect", AND(CL133=FALSE,CM133=FALSE,CN133-CO133&gt;-1),"Direct", AND(CL133=FALSE,CM133=FALSE,CN133-CO133&lt;0),"Check algorithm in appendix 2", AND(CL133=TRUE,CM133=TRUE,CN133-CO133&gt;-1),"Direct", AND(CL133=TRUE,CM133=TRUE,CN133-CO133&lt;0),"Check algorithm in appendix 2"))</f>
        <v/>
      </c>
      <c r="BC133" s="120" t="str">
        <f t="shared" si="10"/>
        <v/>
      </c>
      <c r="BD133" s="140"/>
      <c r="BE133" s="122" t="str">
        <f>IF(Preferences!B$3="Manual","", IFERROR(IFS(AND(Preferences!B$3="Automatic",AX133/AW133&gt;=30),"Extremely serious",AND(AY133&lt;=$D$1*-1,BA133&lt;0,AX133/AW133&lt;3),"Not Serious",AND(AY133&lt;=$D$1*-1,BA133&lt;0,AX133/AW133&gt;=3),"Very serious",AND(AY133&gt;=$D$1,AZ133&gt;0,AX133/AW133&lt;3),"Not Serious",AND(AY133&gt;=$D$1,AZ133&gt;0,AX133/AW133&gt;=3),"Very serious",AND(AY133&lt;=$D$1*-1,BA133&gt;0,AZ133&gt;$D$2*-1,AX133/AW133&lt;3),"Serious", AND(AY133&lt;=$D$1*-1,BA133&gt;0,AZ133&lt;$D$2*-1,AX133/AW133&lt;3),"Very serious", AND(AY133&gt;=$D$1,AZ133&lt;0,BA133&lt;$D$2,AX133/AW133&lt;3),"Serious",AND(AY133&gt;=$D$1,AZ133&lt;0,BA133&gt;$D$2,AX133/AW133&lt;3),"Very serious", AND(AY133&lt;=$D$1*-1,BA133&gt;0,AZ133&gt;$D$2*-1,AX133/AW133&gt;=3),"Very serious", AND(AY133&lt;=$D$1*-1,BA133&gt;0,AZ133&lt;$D$2*-1,AX133/AW133&gt;=3),"Very serious", AND(AY133&gt;=$D$1,AZ133&lt;0,BA133&lt;$D$2,AX133/AW133&gt;=3),"Very serious", AND(AY133&gt;=$D$1,AZ133&lt;0,BA133&gt;$D$2,AX133/AW133&gt;=3),"Very serious", AND(AY133&gt;$D$1*-1,AY133&lt;$D$1,AZ133&gt;$D$1*-1,BA133&lt;$D$1,AX133/AW133&lt;3),"Not Serious", AND(AY133&gt;$D$1*-1,AY133&lt;$D$1,OR(AZ133&lt;=$D$1*-1,BA133&gt;=$D$1),AZ133&gt;$D$2*-1,BA133&lt;$D$2,AX133/AW133&lt;3),"Serious", AND(AY133&gt;$D$1*-1,AY133&lt;$D$1,OR(AZ133&lt;=$D$2*-1,BA133&gt;=$D$2),AX133/AW133&lt;3),"Very serious", AND(AY133&gt;$D$1*-1,AY133&lt;$D$1,AZ133&gt;$D$1*-1,BA133&lt;$D$1,AX133/AW133&gt;=3),"Very serious", AND(AY133&gt;$D$1*-1,AY133&lt;$D$1,OR(AZ133&lt;=$D$1*-1,BA133&gt;=$D$1),AZ133&gt;$D$2*-1,BA133&lt;$D$2,AX133/AW133&gt;=3),"Very serious", AND(AY133&gt;$D$1*-1,AY133&lt;$D$1,OR(AZ133&lt;=$D$2*-1,BA133&gt;=$D$2),AX133/AW133&gt;=3),"Very serious"),""))</f>
        <v/>
      </c>
      <c r="BF133" s="107" t="str">
        <f t="shared" si="11"/>
        <v/>
      </c>
      <c r="BG133" s="94" t="str">
        <f t="shared" si="46"/>
        <v/>
      </c>
      <c r="BH133" s="64" t="str">
        <f t="shared" si="12"/>
        <v>#N/A</v>
      </c>
      <c r="BI133" s="64" t="str">
        <f t="shared" si="13"/>
        <v/>
      </c>
      <c r="BJ133" s="123" t="str">
        <f t="shared" si="14"/>
        <v>#N/A</v>
      </c>
      <c r="BK133" s="64" t="str">
        <f t="shared" si="50"/>
        <v>YES</v>
      </c>
      <c r="BL133" s="64" t="str">
        <f t="shared" si="16"/>
        <v>YES</v>
      </c>
      <c r="BM133" s="64" t="str">
        <f t="shared" si="17"/>
        <v>YES</v>
      </c>
      <c r="BN133" s="124" t="str">
        <f t="shared" si="18"/>
        <v/>
      </c>
      <c r="BO133" s="91" t="str">
        <f t="shared" si="19"/>
        <v/>
      </c>
      <c r="BP133" s="91" t="str">
        <f t="shared" si="20"/>
        <v>#N/A</v>
      </c>
      <c r="BQ133" s="91" t="str">
        <f t="shared" si="21"/>
        <v/>
      </c>
      <c r="BR133" s="93" t="str">
        <f t="shared" si="22"/>
        <v/>
      </c>
      <c r="BS133" s="90" t="str">
        <f t="shared" si="23"/>
        <v/>
      </c>
      <c r="BT133" s="93" t="str">
        <f t="shared" si="24"/>
        <v>NA</v>
      </c>
      <c r="BU133" s="125" t="str">
        <f t="shared" si="25"/>
        <v>#N/A</v>
      </c>
      <c r="BV133" s="93" t="str">
        <f t="shared" si="26"/>
        <v/>
      </c>
      <c r="BW133" s="93" t="str">
        <f t="shared" si="27"/>
        <v/>
      </c>
      <c r="BX133" s="93" t="str">
        <f t="shared" si="28"/>
        <v>NA</v>
      </c>
      <c r="BY133" s="95" t="str">
        <f t="shared" si="29"/>
        <v>#N/A</v>
      </c>
      <c r="BZ133" s="93" t="str">
        <f t="shared" si="30"/>
        <v/>
      </c>
      <c r="CA133" s="93" t="str">
        <f t="shared" si="31"/>
        <v/>
      </c>
      <c r="CB133" s="93" t="str">
        <f t="shared" si="32"/>
        <v>NA</v>
      </c>
      <c r="CC133" s="96" t="str">
        <f t="shared" si="33"/>
        <v>#N/A</v>
      </c>
      <c r="CD133" s="93" t="str">
        <f t="shared" si="34"/>
        <v/>
      </c>
      <c r="CE133" s="93" t="str">
        <f t="shared" si="35"/>
        <v/>
      </c>
      <c r="CF133" s="93" t="str">
        <f t="shared" si="36"/>
        <v>NA</v>
      </c>
      <c r="CG133" s="97" t="str">
        <f t="shared" si="37"/>
        <v>#N/A</v>
      </c>
      <c r="CH133" s="98" t="str">
        <f t="shared" si="38"/>
        <v>#N/A</v>
      </c>
      <c r="CI133" s="99" t="str">
        <f t="shared" si="39"/>
        <v>#N/A</v>
      </c>
      <c r="CJ133" s="126" t="str">
        <f t="shared" si="40"/>
        <v>ERROR: check cell</v>
      </c>
      <c r="CK133" s="126"/>
      <c r="CL133" s="127" t="str">
        <f t="shared" si="41"/>
        <v>#DIV/0!</v>
      </c>
      <c r="CM133" s="128" t="str">
        <f t="shared" si="42"/>
        <v>#DIV/0!</v>
      </c>
      <c r="CN133" s="128">
        <f t="shared" si="43"/>
        <v>4</v>
      </c>
      <c r="CO133" s="129">
        <f t="shared" si="44"/>
        <v>4</v>
      </c>
      <c r="CP133" s="129" t="str">
        <f>IFS(C133=Preferences!B$13,B133,B133=Preferences!B$13,C133)</f>
        <v>#N/A</v>
      </c>
    </row>
    <row r="134" ht="13.5" customHeight="1">
      <c r="A134" s="63" t="str">
        <f t="shared" si="45"/>
        <v/>
      </c>
      <c r="B134" s="64"/>
      <c r="C134" s="64"/>
      <c r="D134" s="64"/>
      <c r="E134" s="65"/>
      <c r="F134" s="65"/>
      <c r="G134" s="65"/>
      <c r="H134" s="66"/>
      <c r="I134" s="66"/>
      <c r="J134" s="67"/>
      <c r="K134" s="68"/>
      <c r="L134" s="104"/>
      <c r="M134" s="104"/>
      <c r="N134" s="104"/>
      <c r="O134" s="104"/>
      <c r="P134" s="107" t="str">
        <f t="shared" si="1"/>
        <v/>
      </c>
      <c r="Q134" s="108" t="str">
        <f>IFERROR(IF(AND(Preferences!B$3="Manual",OR(AX134/AW134&gt;G134/F134,BD134="Serious",BD134="Very serious")),"Assess imprecision",IFS(ISBLANK(E134),"",AND(Preferences!B$3="Automatic", G134/F134&gt;=30),"Extremely serious",AND(H134&lt;=$D$1*-1,J134&lt;0,G134/F134&lt;3),"Not serious",AND(H134&lt;=$D$1*-1,J134&lt;0,G134/F134&gt;=3),"Very serious",AND(H134&gt;=$D$1,I134&gt;0,G134/F134&lt;3),"Not serious",AND(H134&gt;=$D$1,I134&gt;0,G134/F134&gt;=3),"Very serious",AND(H134&lt;=$D$1*-1,J134&gt;0,I134&gt;$D$2*-1,G134/F134&lt;3),"Serious", AND(H134&lt;=$D$1*-1,J134&gt;0,I134&lt;$D$2*-1,G134/F134&lt;3),"Very serious", AND(H134&gt;=$D$1,I134&lt;0,J134&lt;$D$2,G134/F134&lt;3),"Serious",AND(H134&gt;=$D$1,I134&lt;0,J134&gt;$D$2,G134/F134&lt;3),"Very serious", AND(H134&lt;=$D$1*-1,J134&gt;0,I134&gt;$D$2*-1,G134/F134&gt;=3),"Very serious", AND(H134&lt;=$D$1*-1,J134&gt;0,I134&lt;$D$2*-1,G134/F134&gt;=3),"Very serious", AND(H134&gt;=$D$1,I134&lt;0,J134&lt;$D$2,G134/F134&gt;=3),"Very serious", AND(H134&gt;=$D$1,I134&lt;0,J134&gt;$D$2,G134/F134&gt;=3),"Very serious", AND(H134&gt;$D$1*-1,H134&lt;$D$1,I134&gt;$D$1*-1,J134&lt;$D$1,G134/F134&lt;3),"Not serious", AND(H134&gt;$D$1*-1,H134&lt;$D$1,OR(I134&lt;=$D$1*-1,J134&gt;=$D$1),I134&gt;$D$2*-1,J134&lt;$D$2,G134/F134&lt;3),"Serious", AND(H134&gt;$D$1*-1,H134&lt;$D$1,OR(I134&lt;=$D$2*-1,J134&gt;=$D$2),G134/F134&lt;3),"Very serious", AND(H134&gt;$D$1*-1,H134&lt;$D$1,I134&gt;$D$1*-1,J134&lt;$D$1,G134/F134&gt;=3),"Very serious", AND(H134&gt;$D$1*-1,H134&lt;$D$1,OR(I134&lt;=$D$1*-1,J134&gt;=$D$1),I134&gt;$D$2*-1,J134&lt;$D$2,G134/F134&gt;=3),"Very serious", AND(H134&gt;$D$1*-1,H134&lt;$D$1,OR(I134&lt;=$D$2*-1,J134&gt;=$D$2),G134/F134&gt;=3),"Very serious")),"")</f>
        <v/>
      </c>
      <c r="R134" s="109" t="str">
        <f t="shared" si="47"/>
        <v/>
      </c>
      <c r="S134" s="64"/>
      <c r="T134" s="146"/>
      <c r="U134" s="146"/>
      <c r="V134" s="146"/>
      <c r="W134" s="73"/>
      <c r="X134" s="73"/>
      <c r="Y134" s="74"/>
      <c r="Z134" s="113" t="str">
        <f t="array" ref="Z134">INDEX($A$1:$C$500, MATCH(1,($B:$B=$B134)*($C:$C=$AB134),0),1)</f>
        <v/>
      </c>
      <c r="AA134" s="113" t="str">
        <f t="array" ref="AA134">INDEX($A$1:$C$500, MATCH(1,($B:$B=$AB134)*($C:$C=$B134),0),1)</f>
        <v/>
      </c>
      <c r="AB134" s="111"/>
      <c r="AC134" s="114" t="str">
        <f t="shared" si="2"/>
        <v/>
      </c>
      <c r="AD134" s="115" t="str">
        <f t="shared" si="3"/>
        <v/>
      </c>
      <c r="AE134" s="116" t="str">
        <f t="array" ref="AE134">INDEX($A$1:$C$500, MATCH(1,($B:$B=$AB134)*($C:$C=$AG134),0),1)</f>
        <v/>
      </c>
      <c r="AF134" s="116" t="str">
        <f t="array" ref="AF134">INDEX($A$1:$C$500, MATCH(1,($B:$B=$AG134)*($C:$C=$AB134),0),1)</f>
        <v/>
      </c>
      <c r="AG134" s="72"/>
      <c r="AH134" s="114" t="str">
        <f t="shared" si="4"/>
        <v/>
      </c>
      <c r="AI134" s="115" t="str">
        <f t="shared" si="5"/>
        <v/>
      </c>
      <c r="AJ134" s="116" t="str">
        <f t="array" ref="AJ134">INDEX($A$1:$C$500, MATCH(1,($B:$B=$C134)*($C:$C=$AG134),0),1)</f>
        <v/>
      </c>
      <c r="AK134" s="116" t="str">
        <f t="array" ref="AK134">INDEX($A$1:$C$500, MATCH(1,($B:$B=$AG134)*($C:$C=$C134),0),1)</f>
        <v/>
      </c>
      <c r="AL134" s="116" t="str">
        <f t="array" ref="AL134">INDEX($A$1:$C$500, MATCH(1,($B:$B=$C134)*($C:$C=$AB134),0),1)</f>
        <v/>
      </c>
      <c r="AM134" s="116" t="str">
        <f t="array" ref="AM134">INDEX($A$1:$C$500, MATCH(1,($B:$B=$AB134)*($C:$C=$C134),0),1)</f>
        <v/>
      </c>
      <c r="AN134" s="114" t="str">
        <f t="array" ref="AN134">IFS(ISNUMBER(AJ134),AJ134,ISNUMBER(AK134),AK134,ISNUMBER(AL134),AL134,ISNUMBER(AM134),AM134)</f>
        <v>#N/A</v>
      </c>
      <c r="AO134" s="115" t="str">
        <f t="shared" si="6"/>
        <v/>
      </c>
      <c r="AP134" s="115" t="str">
        <f t="shared" si="7"/>
        <v/>
      </c>
      <c r="AQ134" s="111"/>
      <c r="AR134" s="109" t="str">
        <f t="shared" si="8"/>
        <v/>
      </c>
      <c r="AS134" s="72" t="str">
        <f>IFERROR(IF(AND(Preferences!B$3="Manual",OR(AX134/AW134&gt;V134/U134,BD134="Serious",BD134="Very serious")),"Assess imprecision",IFERROR(IFS(AND(Preferences!B$3="Automatic",V134/U134&gt;=30),"Extremely serious",AND(W134&lt;=$D$1*-1,Y134&lt;0,V134/U134&lt;3),"Not Serious",AND(W134&lt;=$D$1*-1,Y134&lt;0,V134/U134&gt;=3),"Very serious",AND(W134&gt;=$D$1,X134&gt;0,V134/U134&lt;3),"Not Serious",AND(W134&gt;=$D$1,X134&gt;0,V134/U134&gt;=3),"Very serious",AND(W134&lt;=$D$1*-1,Y134&gt;0,X134&gt;$D$2*-1,V134/U134&lt;3),"Serious", AND(W134&lt;=$D$1*-1,Y134&gt;0,X134&lt;$D$2*-1,V134/U134&lt;3),"Very serious", AND(W134&gt;=$D$1,X134&lt;0,Y134&lt;$D$2,V134/U134&lt;3),"Serious",AND(W134&gt;=$D$1,X134&lt;0,Y134&gt;$D$2,V134/U134&lt;3),"Very serious", AND(W134&lt;=$D$1*-1,Y134&gt;0,X134&gt;$D$2*-1,V134/U134&gt;=3),"Very serious", AND(W134&lt;=$D$1*-1,Y134&gt;0,X134&lt;$D$2*-1,V134/U134&gt;=3),"Very serious", AND(W134&gt;=$D$1,X134&lt;0,Y134&lt;$D$2,V134/U134&gt;=3),"Very serious", AND(W134&gt;=$D$1,X134&lt;0,Y134&gt;$D$2,V134/U134&gt;=3),"Very serious", AND(W134&gt;$D$1*-1,W134&lt;$D$1,X134&gt;$D$1*-1,Y134&lt;$D$1,V134/U134&lt;3),"Not Serious", AND(W134&gt;$D$1*-1,W134&lt;$D$1,OR(X134&lt;=$D$1*-1,Y134&gt;=$D$1),X134&gt;$D$2*-1,Y134&lt;$D$2,V134/U134&lt;3),"Serious", AND(W134&gt;$D$1*-1,W134&lt;$D$1,OR(X134&lt;=$D$2*-1,Y134&gt;=$D$2),V134/U134&lt;3),"Very serious", AND(W134&gt;$D$1*-1,W134&lt;$D$1,X134&gt;$D$1*-1,Y134&lt;$D$1,V134/U134&gt;=3),"Very serious", AND(W134&gt;$D$1*-1,W134&lt;$D$1,OR(X134&lt;=$D$1*-1,Y134&gt;=$D$1),X134&gt;$D$2*-1,Y134&lt;$D$2,V134/U134&gt;=3),"Very serious", AND(W134&gt;$D$1*-1,W134&lt;$D$1,OR(X134&lt;=$D$2*-1,Y134&gt;=$D$2),V134/U134&gt;=3),"Very serious"),"")),"")</f>
        <v/>
      </c>
      <c r="AT134" s="109" t="str">
        <f t="shared" si="9"/>
        <v/>
      </c>
      <c r="AU134" s="64"/>
      <c r="AV134" s="147"/>
      <c r="AW134" s="147"/>
      <c r="AX134" s="147"/>
      <c r="AY134" s="83"/>
      <c r="AZ134" s="83"/>
      <c r="BA134" s="85"/>
      <c r="BB134" s="86" t="str">
        <f>IF(Preferences!B$9="Manual","",IFS(ISBLANK(B134),"",AND(ISNUMBER(E134)=TRUE,ISNUMBER(T134)=FALSE),"Direct", AND(ISNUMBER(E134)=FALSE,ISNUMBER(T134)=TRUE),"Indirect", CN134=4,"Direct",AND(CL134=FALSE, CM134=TRUE,CN134-CO134&gt;-1),"Direct", AND(CL134=FALSE,CM134=TRUE, CN134-CO134&lt;0),"Check algorithm in appendix 2", AND(CL134=TRUE, CM134=FALSE,CN134-CO134&gt;0),"Check algorithm in appendix 2", AND(CL134=TRUE, CM134=FALSE,CN134-CO134=0),"Indirect", AND(CL134=TRUE, CM134=FALSE,CN134-CO134&lt;0),"Indirect", AND(CL134=FALSE,CM134=FALSE,CN134-CO134&gt;-1),"Direct", AND(CL134=FALSE,CM134=FALSE,CN134-CO134&lt;0),"Check algorithm in appendix 2", AND(CL134=TRUE,CM134=TRUE,CN134-CO134&gt;-1),"Direct", AND(CL134=TRUE,CM134=TRUE,CN134-CO134&lt;0),"Check algorithm in appendix 2"))</f>
        <v/>
      </c>
      <c r="BC134" s="120" t="str">
        <f t="shared" si="10"/>
        <v/>
      </c>
      <c r="BD134" s="140"/>
      <c r="BE134" s="122" t="str">
        <f>IF(Preferences!B$3="Manual","", IFERROR(IFS(AND(Preferences!B$3="Automatic",AX134/AW134&gt;=30),"Extremely serious",AND(AY134&lt;=$D$1*-1,BA134&lt;0,AX134/AW134&lt;3),"Not Serious",AND(AY134&lt;=$D$1*-1,BA134&lt;0,AX134/AW134&gt;=3),"Very serious",AND(AY134&gt;=$D$1,AZ134&gt;0,AX134/AW134&lt;3),"Not Serious",AND(AY134&gt;=$D$1,AZ134&gt;0,AX134/AW134&gt;=3),"Very serious",AND(AY134&lt;=$D$1*-1,BA134&gt;0,AZ134&gt;$D$2*-1,AX134/AW134&lt;3),"Serious", AND(AY134&lt;=$D$1*-1,BA134&gt;0,AZ134&lt;$D$2*-1,AX134/AW134&lt;3),"Very serious", AND(AY134&gt;=$D$1,AZ134&lt;0,BA134&lt;$D$2,AX134/AW134&lt;3),"Serious",AND(AY134&gt;=$D$1,AZ134&lt;0,BA134&gt;$D$2,AX134/AW134&lt;3),"Very serious", AND(AY134&lt;=$D$1*-1,BA134&gt;0,AZ134&gt;$D$2*-1,AX134/AW134&gt;=3),"Very serious", AND(AY134&lt;=$D$1*-1,BA134&gt;0,AZ134&lt;$D$2*-1,AX134/AW134&gt;=3),"Very serious", AND(AY134&gt;=$D$1,AZ134&lt;0,BA134&lt;$D$2,AX134/AW134&gt;=3),"Very serious", AND(AY134&gt;=$D$1,AZ134&lt;0,BA134&gt;$D$2,AX134/AW134&gt;=3),"Very serious", AND(AY134&gt;$D$1*-1,AY134&lt;$D$1,AZ134&gt;$D$1*-1,BA134&lt;$D$1,AX134/AW134&lt;3),"Not Serious", AND(AY134&gt;$D$1*-1,AY134&lt;$D$1,OR(AZ134&lt;=$D$1*-1,BA134&gt;=$D$1),AZ134&gt;$D$2*-1,BA134&lt;$D$2,AX134/AW134&lt;3),"Serious", AND(AY134&gt;$D$1*-1,AY134&lt;$D$1,OR(AZ134&lt;=$D$2*-1,BA134&gt;=$D$2),AX134/AW134&lt;3),"Very serious", AND(AY134&gt;$D$1*-1,AY134&lt;$D$1,AZ134&gt;$D$1*-1,BA134&lt;$D$1,AX134/AW134&gt;=3),"Very serious", AND(AY134&gt;$D$1*-1,AY134&lt;$D$1,OR(AZ134&lt;=$D$1*-1,BA134&gt;=$D$1),AZ134&gt;$D$2*-1,BA134&lt;$D$2,AX134/AW134&gt;=3),"Very serious", AND(AY134&gt;$D$1*-1,AY134&lt;$D$1,OR(AZ134&lt;=$D$2*-1,BA134&gt;=$D$2),AX134/AW134&gt;=3),"Very serious"),""))</f>
        <v/>
      </c>
      <c r="BF134" s="107" t="str">
        <f t="shared" si="11"/>
        <v/>
      </c>
      <c r="BG134" s="94" t="str">
        <f t="shared" si="46"/>
        <v/>
      </c>
      <c r="BH134" s="64" t="str">
        <f t="shared" si="12"/>
        <v>#N/A</v>
      </c>
      <c r="BI134" s="64" t="str">
        <f t="shared" si="13"/>
        <v/>
      </c>
      <c r="BJ134" s="123" t="str">
        <f t="shared" si="14"/>
        <v>#N/A</v>
      </c>
      <c r="BK134" s="64" t="str">
        <f t="shared" si="50"/>
        <v>YES</v>
      </c>
      <c r="BL134" s="64" t="str">
        <f t="shared" si="16"/>
        <v>YES</v>
      </c>
      <c r="BM134" s="64" t="str">
        <f t="shared" si="17"/>
        <v>YES</v>
      </c>
      <c r="BN134" s="124" t="str">
        <f t="shared" si="18"/>
        <v/>
      </c>
      <c r="BO134" s="91" t="str">
        <f t="shared" si="19"/>
        <v/>
      </c>
      <c r="BP134" s="91" t="str">
        <f t="shared" si="20"/>
        <v>#N/A</v>
      </c>
      <c r="BQ134" s="91" t="str">
        <f t="shared" si="21"/>
        <v/>
      </c>
      <c r="BR134" s="93" t="str">
        <f t="shared" si="22"/>
        <v/>
      </c>
      <c r="BS134" s="90" t="str">
        <f t="shared" si="23"/>
        <v/>
      </c>
      <c r="BT134" s="93" t="str">
        <f t="shared" si="24"/>
        <v>NA</v>
      </c>
      <c r="BU134" s="125" t="str">
        <f t="shared" si="25"/>
        <v>#N/A</v>
      </c>
      <c r="BV134" s="93" t="str">
        <f t="shared" si="26"/>
        <v/>
      </c>
      <c r="BW134" s="93" t="str">
        <f t="shared" si="27"/>
        <v/>
      </c>
      <c r="BX134" s="93" t="str">
        <f t="shared" si="28"/>
        <v>NA</v>
      </c>
      <c r="BY134" s="95" t="str">
        <f t="shared" si="29"/>
        <v>#N/A</v>
      </c>
      <c r="BZ134" s="93" t="str">
        <f t="shared" si="30"/>
        <v/>
      </c>
      <c r="CA134" s="93" t="str">
        <f t="shared" si="31"/>
        <v/>
      </c>
      <c r="CB134" s="93" t="str">
        <f t="shared" si="32"/>
        <v>NA</v>
      </c>
      <c r="CC134" s="96" t="str">
        <f t="shared" si="33"/>
        <v>#N/A</v>
      </c>
      <c r="CD134" s="93" t="str">
        <f t="shared" si="34"/>
        <v/>
      </c>
      <c r="CE134" s="93" t="str">
        <f t="shared" si="35"/>
        <v/>
      </c>
      <c r="CF134" s="93" t="str">
        <f t="shared" si="36"/>
        <v>NA</v>
      </c>
      <c r="CG134" s="97" t="str">
        <f t="shared" si="37"/>
        <v>#N/A</v>
      </c>
      <c r="CH134" s="98" t="str">
        <f t="shared" si="38"/>
        <v>#N/A</v>
      </c>
      <c r="CI134" s="99" t="str">
        <f t="shared" si="39"/>
        <v>#N/A</v>
      </c>
      <c r="CJ134" s="126" t="str">
        <f t="shared" si="40"/>
        <v>ERROR: check cell</v>
      </c>
      <c r="CK134" s="126"/>
      <c r="CL134" s="127" t="str">
        <f t="shared" si="41"/>
        <v>#DIV/0!</v>
      </c>
      <c r="CM134" s="128" t="str">
        <f t="shared" si="42"/>
        <v>#DIV/0!</v>
      </c>
      <c r="CN134" s="128">
        <f t="shared" si="43"/>
        <v>4</v>
      </c>
      <c r="CO134" s="129">
        <f t="shared" si="44"/>
        <v>4</v>
      </c>
      <c r="CP134" s="129" t="str">
        <f>IFS(C134=Preferences!B$13,B134,B134=Preferences!B$13,C134)</f>
        <v>#N/A</v>
      </c>
    </row>
    <row r="135" ht="13.5" customHeight="1">
      <c r="A135" s="63" t="str">
        <f t="shared" si="45"/>
        <v/>
      </c>
      <c r="B135" s="64"/>
      <c r="C135" s="64"/>
      <c r="D135" s="64"/>
      <c r="E135" s="65"/>
      <c r="F135" s="65"/>
      <c r="G135" s="65"/>
      <c r="H135" s="66"/>
      <c r="I135" s="66"/>
      <c r="J135" s="67"/>
      <c r="K135" s="68"/>
      <c r="L135" s="104"/>
      <c r="M135" s="104"/>
      <c r="N135" s="104"/>
      <c r="O135" s="104"/>
      <c r="P135" s="107" t="str">
        <f t="shared" si="1"/>
        <v/>
      </c>
      <c r="Q135" s="108" t="str">
        <f>IFERROR(IF(AND(Preferences!B$3="Manual",OR(AX135/AW135&gt;G135/F135,BD135="Serious",BD135="Very serious")),"Assess imprecision",IFS(ISBLANK(E135),"",AND(Preferences!B$3="Automatic", G135/F135&gt;=30),"Extremely serious",AND(H135&lt;=$D$1*-1,J135&lt;0,G135/F135&lt;3),"Not serious",AND(H135&lt;=$D$1*-1,J135&lt;0,G135/F135&gt;=3),"Very serious",AND(H135&gt;=$D$1,I135&gt;0,G135/F135&lt;3),"Not serious",AND(H135&gt;=$D$1,I135&gt;0,G135/F135&gt;=3),"Very serious",AND(H135&lt;=$D$1*-1,J135&gt;0,I135&gt;$D$2*-1,G135/F135&lt;3),"Serious", AND(H135&lt;=$D$1*-1,J135&gt;0,I135&lt;$D$2*-1,G135/F135&lt;3),"Very serious", AND(H135&gt;=$D$1,I135&lt;0,J135&lt;$D$2,G135/F135&lt;3),"Serious",AND(H135&gt;=$D$1,I135&lt;0,J135&gt;$D$2,G135/F135&lt;3),"Very serious", AND(H135&lt;=$D$1*-1,J135&gt;0,I135&gt;$D$2*-1,G135/F135&gt;=3),"Very serious", AND(H135&lt;=$D$1*-1,J135&gt;0,I135&lt;$D$2*-1,G135/F135&gt;=3),"Very serious", AND(H135&gt;=$D$1,I135&lt;0,J135&lt;$D$2,G135/F135&gt;=3),"Very serious", AND(H135&gt;=$D$1,I135&lt;0,J135&gt;$D$2,G135/F135&gt;=3),"Very serious", AND(H135&gt;$D$1*-1,H135&lt;$D$1,I135&gt;$D$1*-1,J135&lt;$D$1,G135/F135&lt;3),"Not serious", AND(H135&gt;$D$1*-1,H135&lt;$D$1,OR(I135&lt;=$D$1*-1,J135&gt;=$D$1),I135&gt;$D$2*-1,J135&lt;$D$2,G135/F135&lt;3),"Serious", AND(H135&gt;$D$1*-1,H135&lt;$D$1,OR(I135&lt;=$D$2*-1,J135&gt;=$D$2),G135/F135&lt;3),"Very serious", AND(H135&gt;$D$1*-1,H135&lt;$D$1,I135&gt;$D$1*-1,J135&lt;$D$1,G135/F135&gt;=3),"Very serious", AND(H135&gt;$D$1*-1,H135&lt;$D$1,OR(I135&lt;=$D$1*-1,J135&gt;=$D$1),I135&gt;$D$2*-1,J135&lt;$D$2,G135/F135&gt;=3),"Very serious", AND(H135&gt;$D$1*-1,H135&lt;$D$1,OR(I135&lt;=$D$2*-1,J135&gt;=$D$2),G135/F135&gt;=3),"Very serious")),"")</f>
        <v/>
      </c>
      <c r="R135" s="109" t="str">
        <f t="shared" si="47"/>
        <v/>
      </c>
      <c r="S135" s="64"/>
      <c r="T135" s="146"/>
      <c r="U135" s="146"/>
      <c r="V135" s="146"/>
      <c r="W135" s="73"/>
      <c r="X135" s="73"/>
      <c r="Y135" s="74"/>
      <c r="Z135" s="113" t="str">
        <f t="array" ref="Z135">INDEX($A$1:$C$500, MATCH(1,($B:$B=$B135)*($C:$C=$AB135),0),1)</f>
        <v/>
      </c>
      <c r="AA135" s="113" t="str">
        <f t="array" ref="AA135">INDEX($A$1:$C$500, MATCH(1,($B:$B=$AB135)*($C:$C=$B135),0),1)</f>
        <v/>
      </c>
      <c r="AB135" s="111"/>
      <c r="AC135" s="114" t="str">
        <f t="shared" si="2"/>
        <v/>
      </c>
      <c r="AD135" s="115" t="str">
        <f t="shared" si="3"/>
        <v/>
      </c>
      <c r="AE135" s="116" t="str">
        <f t="array" ref="AE135">INDEX($A$1:$C$500, MATCH(1,($B:$B=$AB135)*($C:$C=$AG135),0),1)</f>
        <v/>
      </c>
      <c r="AF135" s="116" t="str">
        <f t="array" ref="AF135">INDEX($A$1:$C$500, MATCH(1,($B:$B=$AG135)*($C:$C=$AB135),0),1)</f>
        <v/>
      </c>
      <c r="AG135" s="72"/>
      <c r="AH135" s="114" t="str">
        <f t="shared" si="4"/>
        <v/>
      </c>
      <c r="AI135" s="115" t="str">
        <f t="shared" si="5"/>
        <v/>
      </c>
      <c r="AJ135" s="116" t="str">
        <f t="array" ref="AJ135">INDEX($A$1:$C$500, MATCH(1,($B:$B=$C135)*($C:$C=$AG135),0),1)</f>
        <v/>
      </c>
      <c r="AK135" s="116" t="str">
        <f t="array" ref="AK135">INDEX($A$1:$C$500, MATCH(1,($B:$B=$AG135)*($C:$C=$C135),0),1)</f>
        <v/>
      </c>
      <c r="AL135" s="116" t="str">
        <f t="array" ref="AL135">INDEX($A$1:$C$500, MATCH(1,($B:$B=$C135)*($C:$C=$AB135),0),1)</f>
        <v/>
      </c>
      <c r="AM135" s="116" t="str">
        <f t="array" ref="AM135">INDEX($A$1:$C$500, MATCH(1,($B:$B=$AB135)*($C:$C=$C135),0),1)</f>
        <v/>
      </c>
      <c r="AN135" s="114" t="str">
        <f t="array" ref="AN135">IFS(ISNUMBER(AJ135),AJ135,ISNUMBER(AK135),AK135,ISNUMBER(AL135),AL135,ISNUMBER(AM135),AM135)</f>
        <v>#N/A</v>
      </c>
      <c r="AO135" s="115" t="str">
        <f t="shared" si="6"/>
        <v/>
      </c>
      <c r="AP135" s="115" t="str">
        <f t="shared" si="7"/>
        <v/>
      </c>
      <c r="AQ135" s="111"/>
      <c r="AR135" s="109" t="str">
        <f t="shared" si="8"/>
        <v/>
      </c>
      <c r="AS135" s="72" t="str">
        <f>IFERROR(IF(AND(Preferences!B$3="Manual",OR(AX135/AW135&gt;V135/U135,BD135="Serious",BD135="Very serious")),"Assess imprecision",IFERROR(IFS(AND(Preferences!B$3="Automatic",V135/U135&gt;=30),"Extremely serious",AND(W135&lt;=$D$1*-1,Y135&lt;0,V135/U135&lt;3),"Not Serious",AND(W135&lt;=$D$1*-1,Y135&lt;0,V135/U135&gt;=3),"Very serious",AND(W135&gt;=$D$1,X135&gt;0,V135/U135&lt;3),"Not Serious",AND(W135&gt;=$D$1,X135&gt;0,V135/U135&gt;=3),"Very serious",AND(W135&lt;=$D$1*-1,Y135&gt;0,X135&gt;$D$2*-1,V135/U135&lt;3),"Serious", AND(W135&lt;=$D$1*-1,Y135&gt;0,X135&lt;$D$2*-1,V135/U135&lt;3),"Very serious", AND(W135&gt;=$D$1,X135&lt;0,Y135&lt;$D$2,V135/U135&lt;3),"Serious",AND(W135&gt;=$D$1,X135&lt;0,Y135&gt;$D$2,V135/U135&lt;3),"Very serious", AND(W135&lt;=$D$1*-1,Y135&gt;0,X135&gt;$D$2*-1,V135/U135&gt;=3),"Very serious", AND(W135&lt;=$D$1*-1,Y135&gt;0,X135&lt;$D$2*-1,V135/U135&gt;=3),"Very serious", AND(W135&gt;=$D$1,X135&lt;0,Y135&lt;$D$2,V135/U135&gt;=3),"Very serious", AND(W135&gt;=$D$1,X135&lt;0,Y135&gt;$D$2,V135/U135&gt;=3),"Very serious", AND(W135&gt;$D$1*-1,W135&lt;$D$1,X135&gt;$D$1*-1,Y135&lt;$D$1,V135/U135&lt;3),"Not Serious", AND(W135&gt;$D$1*-1,W135&lt;$D$1,OR(X135&lt;=$D$1*-1,Y135&gt;=$D$1),X135&gt;$D$2*-1,Y135&lt;$D$2,V135/U135&lt;3),"Serious", AND(W135&gt;$D$1*-1,W135&lt;$D$1,OR(X135&lt;=$D$2*-1,Y135&gt;=$D$2),V135/U135&lt;3),"Very serious", AND(W135&gt;$D$1*-1,W135&lt;$D$1,X135&gt;$D$1*-1,Y135&lt;$D$1,V135/U135&gt;=3),"Very serious", AND(W135&gt;$D$1*-1,W135&lt;$D$1,OR(X135&lt;=$D$1*-1,Y135&gt;=$D$1),X135&gt;$D$2*-1,Y135&lt;$D$2,V135/U135&gt;=3),"Very serious", AND(W135&gt;$D$1*-1,W135&lt;$D$1,OR(X135&lt;=$D$2*-1,Y135&gt;=$D$2),V135/U135&gt;=3),"Very serious"),"")),"")</f>
        <v/>
      </c>
      <c r="AT135" s="109" t="str">
        <f t="shared" si="9"/>
        <v/>
      </c>
      <c r="AU135" s="64"/>
      <c r="AV135" s="147"/>
      <c r="AW135" s="147"/>
      <c r="AX135" s="147"/>
      <c r="AY135" s="83"/>
      <c r="AZ135" s="83"/>
      <c r="BA135" s="85"/>
      <c r="BB135" s="86" t="str">
        <f>IF(Preferences!B$9="Manual","",IFS(ISBLANK(B135),"",AND(ISNUMBER(E135)=TRUE,ISNUMBER(T135)=FALSE),"Direct", AND(ISNUMBER(E135)=FALSE,ISNUMBER(T135)=TRUE),"Indirect", CN135=4,"Direct",AND(CL135=FALSE, CM135=TRUE,CN135-CO135&gt;-1),"Direct", AND(CL135=FALSE,CM135=TRUE, CN135-CO135&lt;0),"Check algorithm in appendix 2", AND(CL135=TRUE, CM135=FALSE,CN135-CO135&gt;0),"Check algorithm in appendix 2", AND(CL135=TRUE, CM135=FALSE,CN135-CO135=0),"Indirect", AND(CL135=TRUE, CM135=FALSE,CN135-CO135&lt;0),"Indirect", AND(CL135=FALSE,CM135=FALSE,CN135-CO135&gt;-1),"Direct", AND(CL135=FALSE,CM135=FALSE,CN135-CO135&lt;0),"Check algorithm in appendix 2", AND(CL135=TRUE,CM135=TRUE,CN135-CO135&gt;-1),"Direct", AND(CL135=TRUE,CM135=TRUE,CN135-CO135&lt;0),"Check algorithm in appendix 2"))</f>
        <v/>
      </c>
      <c r="BC135" s="120" t="str">
        <f t="shared" si="10"/>
        <v/>
      </c>
      <c r="BD135" s="140"/>
      <c r="BE135" s="122" t="str">
        <f>IF(Preferences!B$3="Manual","", IFERROR(IFS(AND(Preferences!B$3="Automatic",AX135/AW135&gt;=30),"Extremely serious",AND(AY135&lt;=$D$1*-1,BA135&lt;0,AX135/AW135&lt;3),"Not Serious",AND(AY135&lt;=$D$1*-1,BA135&lt;0,AX135/AW135&gt;=3),"Very serious",AND(AY135&gt;=$D$1,AZ135&gt;0,AX135/AW135&lt;3),"Not Serious",AND(AY135&gt;=$D$1,AZ135&gt;0,AX135/AW135&gt;=3),"Very serious",AND(AY135&lt;=$D$1*-1,BA135&gt;0,AZ135&gt;$D$2*-1,AX135/AW135&lt;3),"Serious", AND(AY135&lt;=$D$1*-1,BA135&gt;0,AZ135&lt;$D$2*-1,AX135/AW135&lt;3),"Very serious", AND(AY135&gt;=$D$1,AZ135&lt;0,BA135&lt;$D$2,AX135/AW135&lt;3),"Serious",AND(AY135&gt;=$D$1,AZ135&lt;0,BA135&gt;$D$2,AX135/AW135&lt;3),"Very serious", AND(AY135&lt;=$D$1*-1,BA135&gt;0,AZ135&gt;$D$2*-1,AX135/AW135&gt;=3),"Very serious", AND(AY135&lt;=$D$1*-1,BA135&gt;0,AZ135&lt;$D$2*-1,AX135/AW135&gt;=3),"Very serious", AND(AY135&gt;=$D$1,AZ135&lt;0,BA135&lt;$D$2,AX135/AW135&gt;=3),"Very serious", AND(AY135&gt;=$D$1,AZ135&lt;0,BA135&gt;$D$2,AX135/AW135&gt;=3),"Very serious", AND(AY135&gt;$D$1*-1,AY135&lt;$D$1,AZ135&gt;$D$1*-1,BA135&lt;$D$1,AX135/AW135&lt;3),"Not Serious", AND(AY135&gt;$D$1*-1,AY135&lt;$D$1,OR(AZ135&lt;=$D$1*-1,BA135&gt;=$D$1),AZ135&gt;$D$2*-1,BA135&lt;$D$2,AX135/AW135&lt;3),"Serious", AND(AY135&gt;$D$1*-1,AY135&lt;$D$1,OR(AZ135&lt;=$D$2*-1,BA135&gt;=$D$2),AX135/AW135&lt;3),"Very serious", AND(AY135&gt;$D$1*-1,AY135&lt;$D$1,AZ135&gt;$D$1*-1,BA135&lt;$D$1,AX135/AW135&gt;=3),"Very serious", AND(AY135&gt;$D$1*-1,AY135&lt;$D$1,OR(AZ135&lt;=$D$1*-1,BA135&gt;=$D$1),AZ135&gt;$D$2*-1,BA135&lt;$D$2,AX135/AW135&gt;=3),"Very serious", AND(AY135&gt;$D$1*-1,AY135&lt;$D$1,OR(AZ135&lt;=$D$2*-1,BA135&gt;=$D$2),AX135/AW135&gt;=3),"Very serious"),""))</f>
        <v/>
      </c>
      <c r="BF135" s="107" t="str">
        <f t="shared" si="11"/>
        <v/>
      </c>
      <c r="BG135" s="94" t="str">
        <f t="shared" si="46"/>
        <v/>
      </c>
      <c r="BH135" s="64" t="str">
        <f t="shared" si="12"/>
        <v>#N/A</v>
      </c>
      <c r="BI135" s="64" t="str">
        <f t="shared" si="13"/>
        <v/>
      </c>
      <c r="BJ135" s="123" t="str">
        <f t="shared" si="14"/>
        <v>#N/A</v>
      </c>
      <c r="BK135" s="64" t="str">
        <f t="shared" si="50"/>
        <v>YES</v>
      </c>
      <c r="BL135" s="64" t="str">
        <f t="shared" si="16"/>
        <v>YES</v>
      </c>
      <c r="BM135" s="64" t="str">
        <f t="shared" si="17"/>
        <v>YES</v>
      </c>
      <c r="BN135" s="124" t="str">
        <f t="shared" si="18"/>
        <v/>
      </c>
      <c r="BO135" s="91" t="str">
        <f t="shared" si="19"/>
        <v/>
      </c>
      <c r="BP135" s="91" t="str">
        <f t="shared" si="20"/>
        <v>#N/A</v>
      </c>
      <c r="BQ135" s="91" t="str">
        <f t="shared" si="21"/>
        <v/>
      </c>
      <c r="BR135" s="93" t="str">
        <f t="shared" si="22"/>
        <v/>
      </c>
      <c r="BS135" s="90" t="str">
        <f t="shared" si="23"/>
        <v/>
      </c>
      <c r="BT135" s="93" t="str">
        <f t="shared" si="24"/>
        <v>NA</v>
      </c>
      <c r="BU135" s="125" t="str">
        <f t="shared" si="25"/>
        <v>#N/A</v>
      </c>
      <c r="BV135" s="93" t="str">
        <f t="shared" si="26"/>
        <v/>
      </c>
      <c r="BW135" s="93" t="str">
        <f t="shared" si="27"/>
        <v/>
      </c>
      <c r="BX135" s="93" t="str">
        <f t="shared" si="28"/>
        <v>NA</v>
      </c>
      <c r="BY135" s="95" t="str">
        <f t="shared" si="29"/>
        <v>#N/A</v>
      </c>
      <c r="BZ135" s="93" t="str">
        <f t="shared" si="30"/>
        <v/>
      </c>
      <c r="CA135" s="93" t="str">
        <f t="shared" si="31"/>
        <v/>
      </c>
      <c r="CB135" s="93" t="str">
        <f t="shared" si="32"/>
        <v>NA</v>
      </c>
      <c r="CC135" s="96" t="str">
        <f t="shared" si="33"/>
        <v>#N/A</v>
      </c>
      <c r="CD135" s="93" t="str">
        <f t="shared" si="34"/>
        <v/>
      </c>
      <c r="CE135" s="93" t="str">
        <f t="shared" si="35"/>
        <v/>
      </c>
      <c r="CF135" s="93" t="str">
        <f t="shared" si="36"/>
        <v>NA</v>
      </c>
      <c r="CG135" s="97" t="str">
        <f t="shared" si="37"/>
        <v>#N/A</v>
      </c>
      <c r="CH135" s="98" t="str">
        <f t="shared" si="38"/>
        <v>#N/A</v>
      </c>
      <c r="CI135" s="99" t="str">
        <f t="shared" si="39"/>
        <v>#N/A</v>
      </c>
      <c r="CJ135" s="126" t="str">
        <f t="shared" si="40"/>
        <v>ERROR: check cell</v>
      </c>
      <c r="CK135" s="126"/>
      <c r="CL135" s="127" t="str">
        <f t="shared" si="41"/>
        <v>#DIV/0!</v>
      </c>
      <c r="CM135" s="128" t="str">
        <f t="shared" si="42"/>
        <v>#DIV/0!</v>
      </c>
      <c r="CN135" s="128">
        <f t="shared" si="43"/>
        <v>4</v>
      </c>
      <c r="CO135" s="129">
        <f t="shared" si="44"/>
        <v>4</v>
      </c>
      <c r="CP135" s="129" t="str">
        <f>IFS(C135=Preferences!B$13,B135,B135=Preferences!B$13,C135)</f>
        <v>#N/A</v>
      </c>
    </row>
    <row r="136" ht="13.5" customHeight="1">
      <c r="A136" s="63" t="str">
        <f t="shared" si="45"/>
        <v/>
      </c>
      <c r="B136" s="64"/>
      <c r="C136" s="64"/>
      <c r="D136" s="64"/>
      <c r="E136" s="65"/>
      <c r="F136" s="65"/>
      <c r="G136" s="65"/>
      <c r="H136" s="66"/>
      <c r="I136" s="66"/>
      <c r="J136" s="67"/>
      <c r="K136" s="68"/>
      <c r="L136" s="104"/>
      <c r="M136" s="104"/>
      <c r="N136" s="104"/>
      <c r="O136" s="104"/>
      <c r="P136" s="107" t="str">
        <f t="shared" si="1"/>
        <v/>
      </c>
      <c r="Q136" s="108" t="str">
        <f>IFERROR(IF(AND(Preferences!B$3="Manual",OR(AX136/AW136&gt;G136/F136,BD136="Serious",BD136="Very serious")),"Assess imprecision",IFS(ISBLANK(E136),"",AND(Preferences!B$3="Automatic", G136/F136&gt;=30),"Extremely serious",AND(H136&lt;=$D$1*-1,J136&lt;0,G136/F136&lt;3),"Not serious",AND(H136&lt;=$D$1*-1,J136&lt;0,G136/F136&gt;=3),"Very serious",AND(H136&gt;=$D$1,I136&gt;0,G136/F136&lt;3),"Not serious",AND(H136&gt;=$D$1,I136&gt;0,G136/F136&gt;=3),"Very serious",AND(H136&lt;=$D$1*-1,J136&gt;0,I136&gt;$D$2*-1,G136/F136&lt;3),"Serious", AND(H136&lt;=$D$1*-1,J136&gt;0,I136&lt;$D$2*-1,G136/F136&lt;3),"Very serious", AND(H136&gt;=$D$1,I136&lt;0,J136&lt;$D$2,G136/F136&lt;3),"Serious",AND(H136&gt;=$D$1,I136&lt;0,J136&gt;$D$2,G136/F136&lt;3),"Very serious", AND(H136&lt;=$D$1*-1,J136&gt;0,I136&gt;$D$2*-1,G136/F136&gt;=3),"Very serious", AND(H136&lt;=$D$1*-1,J136&gt;0,I136&lt;$D$2*-1,G136/F136&gt;=3),"Very serious", AND(H136&gt;=$D$1,I136&lt;0,J136&lt;$D$2,G136/F136&gt;=3),"Very serious", AND(H136&gt;=$D$1,I136&lt;0,J136&gt;$D$2,G136/F136&gt;=3),"Very serious", AND(H136&gt;$D$1*-1,H136&lt;$D$1,I136&gt;$D$1*-1,J136&lt;$D$1,G136/F136&lt;3),"Not serious", AND(H136&gt;$D$1*-1,H136&lt;$D$1,OR(I136&lt;=$D$1*-1,J136&gt;=$D$1),I136&gt;$D$2*-1,J136&lt;$D$2,G136/F136&lt;3),"Serious", AND(H136&gt;$D$1*-1,H136&lt;$D$1,OR(I136&lt;=$D$2*-1,J136&gt;=$D$2),G136/F136&lt;3),"Very serious", AND(H136&gt;$D$1*-1,H136&lt;$D$1,I136&gt;$D$1*-1,J136&lt;$D$1,G136/F136&gt;=3),"Very serious", AND(H136&gt;$D$1*-1,H136&lt;$D$1,OR(I136&lt;=$D$1*-1,J136&gt;=$D$1),I136&gt;$D$2*-1,J136&lt;$D$2,G136/F136&gt;=3),"Very serious", AND(H136&gt;$D$1*-1,H136&lt;$D$1,OR(I136&lt;=$D$2*-1,J136&gt;=$D$2),G136/F136&gt;=3),"Very serious")),"")</f>
        <v/>
      </c>
      <c r="R136" s="109" t="str">
        <f t="shared" si="47"/>
        <v/>
      </c>
      <c r="S136" s="64"/>
      <c r="T136" s="146"/>
      <c r="U136" s="146"/>
      <c r="V136" s="146"/>
      <c r="W136" s="73"/>
      <c r="X136" s="73"/>
      <c r="Y136" s="74"/>
      <c r="Z136" s="113" t="str">
        <f t="array" ref="Z136">INDEX($A$1:$C$500, MATCH(1,($B:$B=$B136)*($C:$C=$AB136),0),1)</f>
        <v/>
      </c>
      <c r="AA136" s="113" t="str">
        <f t="array" ref="AA136">INDEX($A$1:$C$500, MATCH(1,($B:$B=$AB136)*($C:$C=$B136),0),1)</f>
        <v/>
      </c>
      <c r="AB136" s="111"/>
      <c r="AC136" s="114" t="str">
        <f t="shared" si="2"/>
        <v/>
      </c>
      <c r="AD136" s="115" t="str">
        <f t="shared" si="3"/>
        <v/>
      </c>
      <c r="AE136" s="116" t="str">
        <f t="array" ref="AE136">INDEX($A$1:$C$500, MATCH(1,($B:$B=$AB136)*($C:$C=$AG136),0),1)</f>
        <v/>
      </c>
      <c r="AF136" s="116" t="str">
        <f t="array" ref="AF136">INDEX($A$1:$C$500, MATCH(1,($B:$B=$AG136)*($C:$C=$AB136),0),1)</f>
        <v/>
      </c>
      <c r="AG136" s="72"/>
      <c r="AH136" s="114" t="str">
        <f t="shared" si="4"/>
        <v/>
      </c>
      <c r="AI136" s="115" t="str">
        <f t="shared" si="5"/>
        <v/>
      </c>
      <c r="AJ136" s="116" t="str">
        <f t="array" ref="AJ136">INDEX($A$1:$C$500, MATCH(1,($B:$B=$C136)*($C:$C=$AG136),0),1)</f>
        <v/>
      </c>
      <c r="AK136" s="116" t="str">
        <f t="array" ref="AK136">INDEX($A$1:$C$500, MATCH(1,($B:$B=$AG136)*($C:$C=$C136),0),1)</f>
        <v/>
      </c>
      <c r="AL136" s="116" t="str">
        <f t="array" ref="AL136">INDEX($A$1:$C$500, MATCH(1,($B:$B=$C136)*($C:$C=$AB136),0),1)</f>
        <v/>
      </c>
      <c r="AM136" s="116" t="str">
        <f t="array" ref="AM136">INDEX($A$1:$C$500, MATCH(1,($B:$B=$AB136)*($C:$C=$C136),0),1)</f>
        <v/>
      </c>
      <c r="AN136" s="114" t="str">
        <f t="array" ref="AN136">IFS(ISNUMBER(AJ136),AJ136,ISNUMBER(AK136),AK136,ISNUMBER(AL136),AL136,ISNUMBER(AM136),AM136)</f>
        <v>#N/A</v>
      </c>
      <c r="AO136" s="115" t="str">
        <f t="shared" si="6"/>
        <v/>
      </c>
      <c r="AP136" s="115" t="str">
        <f t="shared" si="7"/>
        <v/>
      </c>
      <c r="AQ136" s="111"/>
      <c r="AR136" s="109" t="str">
        <f t="shared" si="8"/>
        <v/>
      </c>
      <c r="AS136" s="72" t="str">
        <f>IFERROR(IF(AND(Preferences!B$3="Manual",OR(AX136/AW136&gt;V136/U136,BD136="Serious",BD136="Very serious")),"Assess imprecision",IFERROR(IFS(AND(Preferences!B$3="Automatic",V136/U136&gt;=30),"Extremely serious",AND(W136&lt;=$D$1*-1,Y136&lt;0,V136/U136&lt;3),"Not Serious",AND(W136&lt;=$D$1*-1,Y136&lt;0,V136/U136&gt;=3),"Very serious",AND(W136&gt;=$D$1,X136&gt;0,V136/U136&lt;3),"Not Serious",AND(W136&gt;=$D$1,X136&gt;0,V136/U136&gt;=3),"Very serious",AND(W136&lt;=$D$1*-1,Y136&gt;0,X136&gt;$D$2*-1,V136/U136&lt;3),"Serious", AND(W136&lt;=$D$1*-1,Y136&gt;0,X136&lt;$D$2*-1,V136/U136&lt;3),"Very serious", AND(W136&gt;=$D$1,X136&lt;0,Y136&lt;$D$2,V136/U136&lt;3),"Serious",AND(W136&gt;=$D$1,X136&lt;0,Y136&gt;$D$2,V136/U136&lt;3),"Very serious", AND(W136&lt;=$D$1*-1,Y136&gt;0,X136&gt;$D$2*-1,V136/U136&gt;=3),"Very serious", AND(W136&lt;=$D$1*-1,Y136&gt;0,X136&lt;$D$2*-1,V136/U136&gt;=3),"Very serious", AND(W136&gt;=$D$1,X136&lt;0,Y136&lt;$D$2,V136/U136&gt;=3),"Very serious", AND(W136&gt;=$D$1,X136&lt;0,Y136&gt;$D$2,V136/U136&gt;=3),"Very serious", AND(W136&gt;$D$1*-1,W136&lt;$D$1,X136&gt;$D$1*-1,Y136&lt;$D$1,V136/U136&lt;3),"Not Serious", AND(W136&gt;$D$1*-1,W136&lt;$D$1,OR(X136&lt;=$D$1*-1,Y136&gt;=$D$1),X136&gt;$D$2*-1,Y136&lt;$D$2,V136/U136&lt;3),"Serious", AND(W136&gt;$D$1*-1,W136&lt;$D$1,OR(X136&lt;=$D$2*-1,Y136&gt;=$D$2),V136/U136&lt;3),"Very serious", AND(W136&gt;$D$1*-1,W136&lt;$D$1,X136&gt;$D$1*-1,Y136&lt;$D$1,V136/U136&gt;=3),"Very serious", AND(W136&gt;$D$1*-1,W136&lt;$D$1,OR(X136&lt;=$D$1*-1,Y136&gt;=$D$1),X136&gt;$D$2*-1,Y136&lt;$D$2,V136/U136&gt;=3),"Very serious", AND(W136&gt;$D$1*-1,W136&lt;$D$1,OR(X136&lt;=$D$2*-1,Y136&gt;=$D$2),V136/U136&gt;=3),"Very serious"),"")),"")</f>
        <v/>
      </c>
      <c r="AT136" s="109" t="str">
        <f t="shared" si="9"/>
        <v/>
      </c>
      <c r="AU136" s="64"/>
      <c r="AV136" s="147"/>
      <c r="AW136" s="147"/>
      <c r="AX136" s="147"/>
      <c r="AY136" s="83"/>
      <c r="AZ136" s="83"/>
      <c r="BA136" s="85"/>
      <c r="BB136" s="86" t="str">
        <f>IF(Preferences!B$9="Manual","",IFS(ISBLANK(B136),"",AND(ISNUMBER(E136)=TRUE,ISNUMBER(T136)=FALSE),"Direct", AND(ISNUMBER(E136)=FALSE,ISNUMBER(T136)=TRUE),"Indirect", CN136=4,"Direct",AND(CL136=FALSE, CM136=TRUE,CN136-CO136&gt;-1),"Direct", AND(CL136=FALSE,CM136=TRUE, CN136-CO136&lt;0),"Check algorithm in appendix 2", AND(CL136=TRUE, CM136=FALSE,CN136-CO136&gt;0),"Check algorithm in appendix 2", AND(CL136=TRUE, CM136=FALSE,CN136-CO136=0),"Indirect", AND(CL136=TRUE, CM136=FALSE,CN136-CO136&lt;0),"Indirect", AND(CL136=FALSE,CM136=FALSE,CN136-CO136&gt;-1),"Direct", AND(CL136=FALSE,CM136=FALSE,CN136-CO136&lt;0),"Check algorithm in appendix 2", AND(CL136=TRUE,CM136=TRUE,CN136-CO136&gt;-1),"Direct", AND(CL136=TRUE,CM136=TRUE,CN136-CO136&lt;0),"Check algorithm in appendix 2"))</f>
        <v/>
      </c>
      <c r="BC136" s="120" t="str">
        <f t="shared" si="10"/>
        <v/>
      </c>
      <c r="BD136" s="140"/>
      <c r="BE136" s="122" t="str">
        <f>IF(Preferences!B$3="Manual","", IFERROR(IFS(AND(Preferences!B$3="Automatic",AX136/AW136&gt;=30),"Extremely serious",AND(AY136&lt;=$D$1*-1,BA136&lt;0,AX136/AW136&lt;3),"Not Serious",AND(AY136&lt;=$D$1*-1,BA136&lt;0,AX136/AW136&gt;=3),"Very serious",AND(AY136&gt;=$D$1,AZ136&gt;0,AX136/AW136&lt;3),"Not Serious",AND(AY136&gt;=$D$1,AZ136&gt;0,AX136/AW136&gt;=3),"Very serious",AND(AY136&lt;=$D$1*-1,BA136&gt;0,AZ136&gt;$D$2*-1,AX136/AW136&lt;3),"Serious", AND(AY136&lt;=$D$1*-1,BA136&gt;0,AZ136&lt;$D$2*-1,AX136/AW136&lt;3),"Very serious", AND(AY136&gt;=$D$1,AZ136&lt;0,BA136&lt;$D$2,AX136/AW136&lt;3),"Serious",AND(AY136&gt;=$D$1,AZ136&lt;0,BA136&gt;$D$2,AX136/AW136&lt;3),"Very serious", AND(AY136&lt;=$D$1*-1,BA136&gt;0,AZ136&gt;$D$2*-1,AX136/AW136&gt;=3),"Very serious", AND(AY136&lt;=$D$1*-1,BA136&gt;0,AZ136&lt;$D$2*-1,AX136/AW136&gt;=3),"Very serious", AND(AY136&gt;=$D$1,AZ136&lt;0,BA136&lt;$D$2,AX136/AW136&gt;=3),"Very serious", AND(AY136&gt;=$D$1,AZ136&lt;0,BA136&gt;$D$2,AX136/AW136&gt;=3),"Very serious", AND(AY136&gt;$D$1*-1,AY136&lt;$D$1,AZ136&gt;$D$1*-1,BA136&lt;$D$1,AX136/AW136&lt;3),"Not Serious", AND(AY136&gt;$D$1*-1,AY136&lt;$D$1,OR(AZ136&lt;=$D$1*-1,BA136&gt;=$D$1),AZ136&gt;$D$2*-1,BA136&lt;$D$2,AX136/AW136&lt;3),"Serious", AND(AY136&gt;$D$1*-1,AY136&lt;$D$1,OR(AZ136&lt;=$D$2*-1,BA136&gt;=$D$2),AX136/AW136&lt;3),"Very serious", AND(AY136&gt;$D$1*-1,AY136&lt;$D$1,AZ136&gt;$D$1*-1,BA136&lt;$D$1,AX136/AW136&gt;=3),"Very serious", AND(AY136&gt;$D$1*-1,AY136&lt;$D$1,OR(AZ136&lt;=$D$1*-1,BA136&gt;=$D$1),AZ136&gt;$D$2*-1,BA136&lt;$D$2,AX136/AW136&gt;=3),"Very serious", AND(AY136&gt;$D$1*-1,AY136&lt;$D$1,OR(AZ136&lt;=$D$2*-1,BA136&gt;=$D$2),AX136/AW136&gt;=3),"Very serious"),""))</f>
        <v/>
      </c>
      <c r="BF136" s="107" t="str">
        <f t="shared" si="11"/>
        <v/>
      </c>
      <c r="BG136" s="94" t="str">
        <f t="shared" si="46"/>
        <v/>
      </c>
      <c r="BH136" s="64" t="str">
        <f t="shared" si="12"/>
        <v>#N/A</v>
      </c>
      <c r="BI136" s="64" t="str">
        <f t="shared" si="13"/>
        <v/>
      </c>
      <c r="BJ136" s="123" t="str">
        <f t="shared" si="14"/>
        <v>#N/A</v>
      </c>
      <c r="BK136" s="64" t="str">
        <f t="shared" si="50"/>
        <v>YES</v>
      </c>
      <c r="BL136" s="64" t="str">
        <f t="shared" si="16"/>
        <v>YES</v>
      </c>
      <c r="BM136" s="64" t="str">
        <f t="shared" si="17"/>
        <v>YES</v>
      </c>
      <c r="BN136" s="124" t="str">
        <f t="shared" si="18"/>
        <v/>
      </c>
      <c r="BO136" s="91" t="str">
        <f t="shared" si="19"/>
        <v/>
      </c>
      <c r="BP136" s="91" t="str">
        <f t="shared" si="20"/>
        <v>#N/A</v>
      </c>
      <c r="BQ136" s="91" t="str">
        <f t="shared" si="21"/>
        <v/>
      </c>
      <c r="BR136" s="93" t="str">
        <f t="shared" si="22"/>
        <v/>
      </c>
      <c r="BS136" s="90" t="str">
        <f t="shared" si="23"/>
        <v/>
      </c>
      <c r="BT136" s="93" t="str">
        <f t="shared" si="24"/>
        <v>NA</v>
      </c>
      <c r="BU136" s="125" t="str">
        <f t="shared" si="25"/>
        <v>#N/A</v>
      </c>
      <c r="BV136" s="93" t="str">
        <f t="shared" si="26"/>
        <v/>
      </c>
      <c r="BW136" s="93" t="str">
        <f t="shared" si="27"/>
        <v/>
      </c>
      <c r="BX136" s="93" t="str">
        <f t="shared" si="28"/>
        <v>NA</v>
      </c>
      <c r="BY136" s="95" t="str">
        <f t="shared" si="29"/>
        <v>#N/A</v>
      </c>
      <c r="BZ136" s="93" t="str">
        <f t="shared" si="30"/>
        <v/>
      </c>
      <c r="CA136" s="93" t="str">
        <f t="shared" si="31"/>
        <v/>
      </c>
      <c r="CB136" s="93" t="str">
        <f t="shared" si="32"/>
        <v>NA</v>
      </c>
      <c r="CC136" s="96" t="str">
        <f t="shared" si="33"/>
        <v>#N/A</v>
      </c>
      <c r="CD136" s="93" t="str">
        <f t="shared" si="34"/>
        <v/>
      </c>
      <c r="CE136" s="93" t="str">
        <f t="shared" si="35"/>
        <v/>
      </c>
      <c r="CF136" s="93" t="str">
        <f t="shared" si="36"/>
        <v>NA</v>
      </c>
      <c r="CG136" s="97" t="str">
        <f t="shared" si="37"/>
        <v>#N/A</v>
      </c>
      <c r="CH136" s="98" t="str">
        <f t="shared" si="38"/>
        <v>#N/A</v>
      </c>
      <c r="CI136" s="99" t="str">
        <f t="shared" si="39"/>
        <v>#N/A</v>
      </c>
      <c r="CJ136" s="126" t="str">
        <f t="shared" si="40"/>
        <v>ERROR: check cell</v>
      </c>
      <c r="CK136" s="126"/>
      <c r="CL136" s="127" t="str">
        <f t="shared" si="41"/>
        <v>#DIV/0!</v>
      </c>
      <c r="CM136" s="128" t="str">
        <f t="shared" si="42"/>
        <v>#DIV/0!</v>
      </c>
      <c r="CN136" s="128">
        <f t="shared" si="43"/>
        <v>4</v>
      </c>
      <c r="CO136" s="129">
        <f t="shared" si="44"/>
        <v>4</v>
      </c>
      <c r="CP136" s="129" t="str">
        <f>IFS(C136=Preferences!B$13,B136,B136=Preferences!B$13,C136)</f>
        <v>#N/A</v>
      </c>
    </row>
    <row r="137" ht="13.5" customHeight="1">
      <c r="A137" s="63" t="str">
        <f t="shared" si="45"/>
        <v/>
      </c>
      <c r="B137" s="64"/>
      <c r="C137" s="64"/>
      <c r="D137" s="64"/>
      <c r="E137" s="65"/>
      <c r="F137" s="65"/>
      <c r="G137" s="65"/>
      <c r="H137" s="66"/>
      <c r="I137" s="66"/>
      <c r="J137" s="67"/>
      <c r="K137" s="68"/>
      <c r="L137" s="104"/>
      <c r="M137" s="104"/>
      <c r="N137" s="104"/>
      <c r="O137" s="104"/>
      <c r="P137" s="107" t="str">
        <f t="shared" si="1"/>
        <v/>
      </c>
      <c r="Q137" s="108" t="str">
        <f>IFERROR(IF(AND(Preferences!B$3="Manual",OR(AX137/AW137&gt;G137/F137,BD137="Serious",BD137="Very serious")),"Assess imprecision",IFS(ISBLANK(E137),"",AND(Preferences!B$3="Automatic", G137/F137&gt;=30),"Extremely serious",AND(H137&lt;=$D$1*-1,J137&lt;0,G137/F137&lt;3),"Not serious",AND(H137&lt;=$D$1*-1,J137&lt;0,G137/F137&gt;=3),"Very serious",AND(H137&gt;=$D$1,I137&gt;0,G137/F137&lt;3),"Not serious",AND(H137&gt;=$D$1,I137&gt;0,G137/F137&gt;=3),"Very serious",AND(H137&lt;=$D$1*-1,J137&gt;0,I137&gt;$D$2*-1,G137/F137&lt;3),"Serious", AND(H137&lt;=$D$1*-1,J137&gt;0,I137&lt;$D$2*-1,G137/F137&lt;3),"Very serious", AND(H137&gt;=$D$1,I137&lt;0,J137&lt;$D$2,G137/F137&lt;3),"Serious",AND(H137&gt;=$D$1,I137&lt;0,J137&gt;$D$2,G137/F137&lt;3),"Very serious", AND(H137&lt;=$D$1*-1,J137&gt;0,I137&gt;$D$2*-1,G137/F137&gt;=3),"Very serious", AND(H137&lt;=$D$1*-1,J137&gt;0,I137&lt;$D$2*-1,G137/F137&gt;=3),"Very serious", AND(H137&gt;=$D$1,I137&lt;0,J137&lt;$D$2,G137/F137&gt;=3),"Very serious", AND(H137&gt;=$D$1,I137&lt;0,J137&gt;$D$2,G137/F137&gt;=3),"Very serious", AND(H137&gt;$D$1*-1,H137&lt;$D$1,I137&gt;$D$1*-1,J137&lt;$D$1,G137/F137&lt;3),"Not serious", AND(H137&gt;$D$1*-1,H137&lt;$D$1,OR(I137&lt;=$D$1*-1,J137&gt;=$D$1),I137&gt;$D$2*-1,J137&lt;$D$2,G137/F137&lt;3),"Serious", AND(H137&gt;$D$1*-1,H137&lt;$D$1,OR(I137&lt;=$D$2*-1,J137&gt;=$D$2),G137/F137&lt;3),"Very serious", AND(H137&gt;$D$1*-1,H137&lt;$D$1,I137&gt;$D$1*-1,J137&lt;$D$1,G137/F137&gt;=3),"Very serious", AND(H137&gt;$D$1*-1,H137&lt;$D$1,OR(I137&lt;=$D$1*-1,J137&gt;=$D$1),I137&gt;$D$2*-1,J137&lt;$D$2,G137/F137&gt;=3),"Very serious", AND(H137&gt;$D$1*-1,H137&lt;$D$1,OR(I137&lt;=$D$2*-1,J137&gt;=$D$2),G137/F137&gt;=3),"Very serious")),"")</f>
        <v/>
      </c>
      <c r="R137" s="109" t="str">
        <f t="shared" si="47"/>
        <v/>
      </c>
      <c r="S137" s="64"/>
      <c r="T137" s="146"/>
      <c r="U137" s="146"/>
      <c r="V137" s="146"/>
      <c r="W137" s="73"/>
      <c r="X137" s="73"/>
      <c r="Y137" s="74"/>
      <c r="Z137" s="113" t="str">
        <f t="array" ref="Z137">INDEX($A$1:$C$500, MATCH(1,($B:$B=$B137)*($C:$C=$AB137),0),1)</f>
        <v/>
      </c>
      <c r="AA137" s="113" t="str">
        <f t="array" ref="AA137">INDEX($A$1:$C$500, MATCH(1,($B:$B=$AB137)*($C:$C=$B137),0),1)</f>
        <v/>
      </c>
      <c r="AB137" s="111"/>
      <c r="AC137" s="114" t="str">
        <f t="shared" si="2"/>
        <v/>
      </c>
      <c r="AD137" s="115" t="str">
        <f t="shared" si="3"/>
        <v/>
      </c>
      <c r="AE137" s="116" t="str">
        <f t="array" ref="AE137">INDEX($A$1:$C$500, MATCH(1,($B:$B=$AB137)*($C:$C=$AG137),0),1)</f>
        <v/>
      </c>
      <c r="AF137" s="116" t="str">
        <f t="array" ref="AF137">INDEX($A$1:$C$500, MATCH(1,($B:$B=$AG137)*($C:$C=$AB137),0),1)</f>
        <v/>
      </c>
      <c r="AG137" s="72"/>
      <c r="AH137" s="114" t="str">
        <f t="shared" si="4"/>
        <v/>
      </c>
      <c r="AI137" s="115" t="str">
        <f t="shared" si="5"/>
        <v/>
      </c>
      <c r="AJ137" s="116" t="str">
        <f t="array" ref="AJ137">INDEX($A$1:$C$500, MATCH(1,($B:$B=$C137)*($C:$C=$AG137),0),1)</f>
        <v/>
      </c>
      <c r="AK137" s="116" t="str">
        <f t="array" ref="AK137">INDEX($A$1:$C$500, MATCH(1,($B:$B=$AG137)*($C:$C=$C137),0),1)</f>
        <v/>
      </c>
      <c r="AL137" s="116" t="str">
        <f t="array" ref="AL137">INDEX($A$1:$C$500, MATCH(1,($B:$B=$C137)*($C:$C=$AB137),0),1)</f>
        <v/>
      </c>
      <c r="AM137" s="116" t="str">
        <f t="array" ref="AM137">INDEX($A$1:$C$500, MATCH(1,($B:$B=$AB137)*($C:$C=$C137),0),1)</f>
        <v/>
      </c>
      <c r="AN137" s="114" t="str">
        <f t="array" ref="AN137">IFS(ISNUMBER(AJ137),AJ137,ISNUMBER(AK137),AK137,ISNUMBER(AL137),AL137,ISNUMBER(AM137),AM137)</f>
        <v>#N/A</v>
      </c>
      <c r="AO137" s="115" t="str">
        <f t="shared" si="6"/>
        <v/>
      </c>
      <c r="AP137" s="115" t="str">
        <f t="shared" si="7"/>
        <v/>
      </c>
      <c r="AQ137" s="111"/>
      <c r="AR137" s="109" t="str">
        <f t="shared" si="8"/>
        <v/>
      </c>
      <c r="AS137" s="72" t="str">
        <f>IFERROR(IF(AND(Preferences!B$3="Manual",OR(AX137/AW137&gt;V137/U137,BD137="Serious",BD137="Very serious")),"Assess imprecision",IFERROR(IFS(AND(Preferences!B$3="Automatic",V137/U137&gt;=30),"Extremely serious",AND(W137&lt;=$D$1*-1,Y137&lt;0,V137/U137&lt;3),"Not Serious",AND(W137&lt;=$D$1*-1,Y137&lt;0,V137/U137&gt;=3),"Very serious",AND(W137&gt;=$D$1,X137&gt;0,V137/U137&lt;3),"Not Serious",AND(W137&gt;=$D$1,X137&gt;0,V137/U137&gt;=3),"Very serious",AND(W137&lt;=$D$1*-1,Y137&gt;0,X137&gt;$D$2*-1,V137/U137&lt;3),"Serious", AND(W137&lt;=$D$1*-1,Y137&gt;0,X137&lt;$D$2*-1,V137/U137&lt;3),"Very serious", AND(W137&gt;=$D$1,X137&lt;0,Y137&lt;$D$2,V137/U137&lt;3),"Serious",AND(W137&gt;=$D$1,X137&lt;0,Y137&gt;$D$2,V137/U137&lt;3),"Very serious", AND(W137&lt;=$D$1*-1,Y137&gt;0,X137&gt;$D$2*-1,V137/U137&gt;=3),"Very serious", AND(W137&lt;=$D$1*-1,Y137&gt;0,X137&lt;$D$2*-1,V137/U137&gt;=3),"Very serious", AND(W137&gt;=$D$1,X137&lt;0,Y137&lt;$D$2,V137/U137&gt;=3),"Very serious", AND(W137&gt;=$D$1,X137&lt;0,Y137&gt;$D$2,V137/U137&gt;=3),"Very serious", AND(W137&gt;$D$1*-1,W137&lt;$D$1,X137&gt;$D$1*-1,Y137&lt;$D$1,V137/U137&lt;3),"Not Serious", AND(W137&gt;$D$1*-1,W137&lt;$D$1,OR(X137&lt;=$D$1*-1,Y137&gt;=$D$1),X137&gt;$D$2*-1,Y137&lt;$D$2,V137/U137&lt;3),"Serious", AND(W137&gt;$D$1*-1,W137&lt;$D$1,OR(X137&lt;=$D$2*-1,Y137&gt;=$D$2),V137/U137&lt;3),"Very serious", AND(W137&gt;$D$1*-1,W137&lt;$D$1,X137&gt;$D$1*-1,Y137&lt;$D$1,V137/U137&gt;=3),"Very serious", AND(W137&gt;$D$1*-1,W137&lt;$D$1,OR(X137&lt;=$D$1*-1,Y137&gt;=$D$1),X137&gt;$D$2*-1,Y137&lt;$D$2,V137/U137&gt;=3),"Very serious", AND(W137&gt;$D$1*-1,W137&lt;$D$1,OR(X137&lt;=$D$2*-1,Y137&gt;=$D$2),V137/U137&gt;=3),"Very serious"),"")),"")</f>
        <v/>
      </c>
      <c r="AT137" s="109" t="str">
        <f t="shared" si="9"/>
        <v/>
      </c>
      <c r="AU137" s="64"/>
      <c r="AV137" s="147"/>
      <c r="AW137" s="147"/>
      <c r="AX137" s="147"/>
      <c r="AY137" s="83"/>
      <c r="AZ137" s="83"/>
      <c r="BA137" s="85"/>
      <c r="BB137" s="86" t="str">
        <f>IF(Preferences!B$9="Manual","",IFS(ISBLANK(B137),"",AND(ISNUMBER(E137)=TRUE,ISNUMBER(T137)=FALSE),"Direct", AND(ISNUMBER(E137)=FALSE,ISNUMBER(T137)=TRUE),"Indirect", CN137=4,"Direct",AND(CL137=FALSE, CM137=TRUE,CN137-CO137&gt;-1),"Direct", AND(CL137=FALSE,CM137=TRUE, CN137-CO137&lt;0),"Check algorithm in appendix 2", AND(CL137=TRUE, CM137=FALSE,CN137-CO137&gt;0),"Check algorithm in appendix 2", AND(CL137=TRUE, CM137=FALSE,CN137-CO137=0),"Indirect", AND(CL137=TRUE, CM137=FALSE,CN137-CO137&lt;0),"Indirect", AND(CL137=FALSE,CM137=FALSE,CN137-CO137&gt;-1),"Direct", AND(CL137=FALSE,CM137=FALSE,CN137-CO137&lt;0),"Check algorithm in appendix 2", AND(CL137=TRUE,CM137=TRUE,CN137-CO137&gt;-1),"Direct", AND(CL137=TRUE,CM137=TRUE,CN137-CO137&lt;0),"Check algorithm in appendix 2"))</f>
        <v/>
      </c>
      <c r="BC137" s="120" t="str">
        <f t="shared" si="10"/>
        <v/>
      </c>
      <c r="BD137" s="140"/>
      <c r="BE137" s="122" t="str">
        <f>IF(Preferences!B$3="Manual","", IFERROR(IFS(AND(Preferences!B$3="Automatic",AX137/AW137&gt;=30),"Extremely serious",AND(AY137&lt;=$D$1*-1,BA137&lt;0,AX137/AW137&lt;3),"Not Serious",AND(AY137&lt;=$D$1*-1,BA137&lt;0,AX137/AW137&gt;=3),"Very serious",AND(AY137&gt;=$D$1,AZ137&gt;0,AX137/AW137&lt;3),"Not Serious",AND(AY137&gt;=$D$1,AZ137&gt;0,AX137/AW137&gt;=3),"Very serious",AND(AY137&lt;=$D$1*-1,BA137&gt;0,AZ137&gt;$D$2*-1,AX137/AW137&lt;3),"Serious", AND(AY137&lt;=$D$1*-1,BA137&gt;0,AZ137&lt;$D$2*-1,AX137/AW137&lt;3),"Very serious", AND(AY137&gt;=$D$1,AZ137&lt;0,BA137&lt;$D$2,AX137/AW137&lt;3),"Serious",AND(AY137&gt;=$D$1,AZ137&lt;0,BA137&gt;$D$2,AX137/AW137&lt;3),"Very serious", AND(AY137&lt;=$D$1*-1,BA137&gt;0,AZ137&gt;$D$2*-1,AX137/AW137&gt;=3),"Very serious", AND(AY137&lt;=$D$1*-1,BA137&gt;0,AZ137&lt;$D$2*-1,AX137/AW137&gt;=3),"Very serious", AND(AY137&gt;=$D$1,AZ137&lt;0,BA137&lt;$D$2,AX137/AW137&gt;=3),"Very serious", AND(AY137&gt;=$D$1,AZ137&lt;0,BA137&gt;$D$2,AX137/AW137&gt;=3),"Very serious", AND(AY137&gt;$D$1*-1,AY137&lt;$D$1,AZ137&gt;$D$1*-1,BA137&lt;$D$1,AX137/AW137&lt;3),"Not Serious", AND(AY137&gt;$D$1*-1,AY137&lt;$D$1,OR(AZ137&lt;=$D$1*-1,BA137&gt;=$D$1),AZ137&gt;$D$2*-1,BA137&lt;$D$2,AX137/AW137&lt;3),"Serious", AND(AY137&gt;$D$1*-1,AY137&lt;$D$1,OR(AZ137&lt;=$D$2*-1,BA137&gt;=$D$2),AX137/AW137&lt;3),"Very serious", AND(AY137&gt;$D$1*-1,AY137&lt;$D$1,AZ137&gt;$D$1*-1,BA137&lt;$D$1,AX137/AW137&gt;=3),"Very serious", AND(AY137&gt;$D$1*-1,AY137&lt;$D$1,OR(AZ137&lt;=$D$1*-1,BA137&gt;=$D$1),AZ137&gt;$D$2*-1,BA137&lt;$D$2,AX137/AW137&gt;=3),"Very serious", AND(AY137&gt;$D$1*-1,AY137&lt;$D$1,OR(AZ137&lt;=$D$2*-1,BA137&gt;=$D$2),AX137/AW137&gt;=3),"Very serious"),""))</f>
        <v/>
      </c>
      <c r="BF137" s="107" t="str">
        <f t="shared" si="11"/>
        <v/>
      </c>
      <c r="BG137" s="94" t="str">
        <f t="shared" si="46"/>
        <v/>
      </c>
      <c r="BH137" s="64" t="str">
        <f t="shared" si="12"/>
        <v>#N/A</v>
      </c>
      <c r="BI137" s="64" t="str">
        <f t="shared" si="13"/>
        <v/>
      </c>
      <c r="BJ137" s="123" t="str">
        <f t="shared" si="14"/>
        <v>#N/A</v>
      </c>
      <c r="BK137" s="64" t="str">
        <f t="shared" si="50"/>
        <v>YES</v>
      </c>
      <c r="BL137" s="64" t="str">
        <f t="shared" si="16"/>
        <v>YES</v>
      </c>
      <c r="BM137" s="64" t="str">
        <f t="shared" si="17"/>
        <v>YES</v>
      </c>
      <c r="BN137" s="124" t="str">
        <f t="shared" si="18"/>
        <v/>
      </c>
      <c r="BO137" s="91" t="str">
        <f t="shared" si="19"/>
        <v/>
      </c>
      <c r="BP137" s="91" t="str">
        <f t="shared" si="20"/>
        <v>#N/A</v>
      </c>
      <c r="BQ137" s="91" t="str">
        <f t="shared" si="21"/>
        <v/>
      </c>
      <c r="BR137" s="93" t="str">
        <f t="shared" si="22"/>
        <v/>
      </c>
      <c r="BS137" s="90" t="str">
        <f t="shared" si="23"/>
        <v/>
      </c>
      <c r="BT137" s="93" t="str">
        <f t="shared" si="24"/>
        <v>NA</v>
      </c>
      <c r="BU137" s="125" t="str">
        <f t="shared" si="25"/>
        <v>#N/A</v>
      </c>
      <c r="BV137" s="93" t="str">
        <f t="shared" si="26"/>
        <v/>
      </c>
      <c r="BW137" s="93" t="str">
        <f t="shared" si="27"/>
        <v/>
      </c>
      <c r="BX137" s="93" t="str">
        <f t="shared" si="28"/>
        <v>NA</v>
      </c>
      <c r="BY137" s="95" t="str">
        <f t="shared" si="29"/>
        <v>#N/A</v>
      </c>
      <c r="BZ137" s="93" t="str">
        <f t="shared" si="30"/>
        <v/>
      </c>
      <c r="CA137" s="93" t="str">
        <f t="shared" si="31"/>
        <v/>
      </c>
      <c r="CB137" s="93" t="str">
        <f t="shared" si="32"/>
        <v>NA</v>
      </c>
      <c r="CC137" s="96" t="str">
        <f t="shared" si="33"/>
        <v>#N/A</v>
      </c>
      <c r="CD137" s="93" t="str">
        <f t="shared" si="34"/>
        <v/>
      </c>
      <c r="CE137" s="93" t="str">
        <f t="shared" si="35"/>
        <v/>
      </c>
      <c r="CF137" s="93" t="str">
        <f t="shared" si="36"/>
        <v>NA</v>
      </c>
      <c r="CG137" s="97" t="str">
        <f t="shared" si="37"/>
        <v>#N/A</v>
      </c>
      <c r="CH137" s="98" t="str">
        <f t="shared" si="38"/>
        <v>#N/A</v>
      </c>
      <c r="CI137" s="99" t="str">
        <f t="shared" si="39"/>
        <v>#N/A</v>
      </c>
      <c r="CJ137" s="126" t="str">
        <f t="shared" si="40"/>
        <v>ERROR: check cell</v>
      </c>
      <c r="CK137" s="126"/>
      <c r="CL137" s="127" t="str">
        <f t="shared" si="41"/>
        <v>#DIV/0!</v>
      </c>
      <c r="CM137" s="128" t="str">
        <f t="shared" si="42"/>
        <v>#DIV/0!</v>
      </c>
      <c r="CN137" s="128">
        <f t="shared" si="43"/>
        <v>4</v>
      </c>
      <c r="CO137" s="129">
        <f t="shared" si="44"/>
        <v>4</v>
      </c>
      <c r="CP137" s="129" t="str">
        <f>IFS(C137=Preferences!B$13,B137,B137=Preferences!B$13,C137)</f>
        <v>#N/A</v>
      </c>
    </row>
    <row r="138" ht="13.5" customHeight="1">
      <c r="A138" s="63" t="str">
        <f t="shared" si="45"/>
        <v/>
      </c>
      <c r="B138" s="64"/>
      <c r="C138" s="64"/>
      <c r="D138" s="64"/>
      <c r="E138" s="65"/>
      <c r="F138" s="65"/>
      <c r="G138" s="65"/>
      <c r="H138" s="66"/>
      <c r="I138" s="66"/>
      <c r="J138" s="67"/>
      <c r="K138" s="68"/>
      <c r="L138" s="104"/>
      <c r="M138" s="104"/>
      <c r="N138" s="104"/>
      <c r="O138" s="104"/>
      <c r="P138" s="107" t="str">
        <f t="shared" si="1"/>
        <v/>
      </c>
      <c r="Q138" s="108" t="str">
        <f>IFERROR(IF(AND(Preferences!B$3="Manual",OR(AX138/AW138&gt;G138/F138,BD138="Serious",BD138="Very serious")),"Assess imprecision",IFS(ISBLANK(E138),"",AND(Preferences!B$3="Automatic", G138/F138&gt;=30),"Extremely serious",AND(H138&lt;=$D$1*-1,J138&lt;0,G138/F138&lt;3),"Not serious",AND(H138&lt;=$D$1*-1,J138&lt;0,G138/F138&gt;=3),"Very serious",AND(H138&gt;=$D$1,I138&gt;0,G138/F138&lt;3),"Not serious",AND(H138&gt;=$D$1,I138&gt;0,G138/F138&gt;=3),"Very serious",AND(H138&lt;=$D$1*-1,J138&gt;0,I138&gt;$D$2*-1,G138/F138&lt;3),"Serious", AND(H138&lt;=$D$1*-1,J138&gt;0,I138&lt;$D$2*-1,G138/F138&lt;3),"Very serious", AND(H138&gt;=$D$1,I138&lt;0,J138&lt;$D$2,G138/F138&lt;3),"Serious",AND(H138&gt;=$D$1,I138&lt;0,J138&gt;$D$2,G138/F138&lt;3),"Very serious", AND(H138&lt;=$D$1*-1,J138&gt;0,I138&gt;$D$2*-1,G138/F138&gt;=3),"Very serious", AND(H138&lt;=$D$1*-1,J138&gt;0,I138&lt;$D$2*-1,G138/F138&gt;=3),"Very serious", AND(H138&gt;=$D$1,I138&lt;0,J138&lt;$D$2,G138/F138&gt;=3),"Very serious", AND(H138&gt;=$D$1,I138&lt;0,J138&gt;$D$2,G138/F138&gt;=3),"Very serious", AND(H138&gt;$D$1*-1,H138&lt;$D$1,I138&gt;$D$1*-1,J138&lt;$D$1,G138/F138&lt;3),"Not serious", AND(H138&gt;$D$1*-1,H138&lt;$D$1,OR(I138&lt;=$D$1*-1,J138&gt;=$D$1),I138&gt;$D$2*-1,J138&lt;$D$2,G138/F138&lt;3),"Serious", AND(H138&gt;$D$1*-1,H138&lt;$D$1,OR(I138&lt;=$D$2*-1,J138&gt;=$D$2),G138/F138&lt;3),"Very serious", AND(H138&gt;$D$1*-1,H138&lt;$D$1,I138&gt;$D$1*-1,J138&lt;$D$1,G138/F138&gt;=3),"Very serious", AND(H138&gt;$D$1*-1,H138&lt;$D$1,OR(I138&lt;=$D$1*-1,J138&gt;=$D$1),I138&gt;$D$2*-1,J138&lt;$D$2,G138/F138&gt;=3),"Very serious", AND(H138&gt;$D$1*-1,H138&lt;$D$1,OR(I138&lt;=$D$2*-1,J138&gt;=$D$2),G138/F138&gt;=3),"Very serious")),"")</f>
        <v/>
      </c>
      <c r="R138" s="109" t="str">
        <f t="shared" si="47"/>
        <v/>
      </c>
      <c r="S138" s="64"/>
      <c r="T138" s="146"/>
      <c r="U138" s="146"/>
      <c r="V138" s="146"/>
      <c r="W138" s="73"/>
      <c r="X138" s="73"/>
      <c r="Y138" s="74"/>
      <c r="Z138" s="113" t="str">
        <f t="array" ref="Z138">INDEX($A$1:$C$500, MATCH(1,($B:$B=$B138)*($C:$C=$AB138),0),1)</f>
        <v/>
      </c>
      <c r="AA138" s="113" t="str">
        <f t="array" ref="AA138">INDEX($A$1:$C$500, MATCH(1,($B:$B=$AB138)*($C:$C=$B138),0),1)</f>
        <v/>
      </c>
      <c r="AB138" s="111"/>
      <c r="AC138" s="114" t="str">
        <f t="shared" si="2"/>
        <v/>
      </c>
      <c r="AD138" s="115" t="str">
        <f t="shared" si="3"/>
        <v/>
      </c>
      <c r="AE138" s="116" t="str">
        <f t="array" ref="AE138">INDEX($A$1:$C$500, MATCH(1,($B:$B=$AB138)*($C:$C=$AG138),0),1)</f>
        <v/>
      </c>
      <c r="AF138" s="116" t="str">
        <f t="array" ref="AF138">INDEX($A$1:$C$500, MATCH(1,($B:$B=$AG138)*($C:$C=$AB138),0),1)</f>
        <v/>
      </c>
      <c r="AG138" s="72"/>
      <c r="AH138" s="114" t="str">
        <f t="shared" si="4"/>
        <v/>
      </c>
      <c r="AI138" s="115" t="str">
        <f t="shared" si="5"/>
        <v/>
      </c>
      <c r="AJ138" s="116" t="str">
        <f t="array" ref="AJ138">INDEX($A$1:$C$500, MATCH(1,($B:$B=$C138)*($C:$C=$AG138),0),1)</f>
        <v/>
      </c>
      <c r="AK138" s="116" t="str">
        <f t="array" ref="AK138">INDEX($A$1:$C$500, MATCH(1,($B:$B=$AG138)*($C:$C=$C138),0),1)</f>
        <v/>
      </c>
      <c r="AL138" s="116" t="str">
        <f t="array" ref="AL138">INDEX($A$1:$C$500, MATCH(1,($B:$B=$C138)*($C:$C=$AB138),0),1)</f>
        <v/>
      </c>
      <c r="AM138" s="116" t="str">
        <f t="array" ref="AM138">INDEX($A$1:$C$500, MATCH(1,($B:$B=$AB138)*($C:$C=$C138),0),1)</f>
        <v/>
      </c>
      <c r="AN138" s="114" t="str">
        <f t="array" ref="AN138">IFS(ISNUMBER(AJ138),AJ138,ISNUMBER(AK138),AK138,ISNUMBER(AL138),AL138,ISNUMBER(AM138),AM138)</f>
        <v>#N/A</v>
      </c>
      <c r="AO138" s="115" t="str">
        <f t="shared" si="6"/>
        <v/>
      </c>
      <c r="AP138" s="115" t="str">
        <f t="shared" si="7"/>
        <v/>
      </c>
      <c r="AQ138" s="111"/>
      <c r="AR138" s="109" t="str">
        <f t="shared" si="8"/>
        <v/>
      </c>
      <c r="AS138" s="72" t="str">
        <f>IFERROR(IF(AND(Preferences!B$3="Manual",OR(AX138/AW138&gt;V138/U138,BD138="Serious",BD138="Very serious")),"Assess imprecision",IFERROR(IFS(AND(Preferences!B$3="Automatic",V138/U138&gt;=30),"Extremely serious",AND(W138&lt;=$D$1*-1,Y138&lt;0,V138/U138&lt;3),"Not Serious",AND(W138&lt;=$D$1*-1,Y138&lt;0,V138/U138&gt;=3),"Very serious",AND(W138&gt;=$D$1,X138&gt;0,V138/U138&lt;3),"Not Serious",AND(W138&gt;=$D$1,X138&gt;0,V138/U138&gt;=3),"Very serious",AND(W138&lt;=$D$1*-1,Y138&gt;0,X138&gt;$D$2*-1,V138/U138&lt;3),"Serious", AND(W138&lt;=$D$1*-1,Y138&gt;0,X138&lt;$D$2*-1,V138/U138&lt;3),"Very serious", AND(W138&gt;=$D$1,X138&lt;0,Y138&lt;$D$2,V138/U138&lt;3),"Serious",AND(W138&gt;=$D$1,X138&lt;0,Y138&gt;$D$2,V138/U138&lt;3),"Very serious", AND(W138&lt;=$D$1*-1,Y138&gt;0,X138&gt;$D$2*-1,V138/U138&gt;=3),"Very serious", AND(W138&lt;=$D$1*-1,Y138&gt;0,X138&lt;$D$2*-1,V138/U138&gt;=3),"Very serious", AND(W138&gt;=$D$1,X138&lt;0,Y138&lt;$D$2,V138/U138&gt;=3),"Very serious", AND(W138&gt;=$D$1,X138&lt;0,Y138&gt;$D$2,V138/U138&gt;=3),"Very serious", AND(W138&gt;$D$1*-1,W138&lt;$D$1,X138&gt;$D$1*-1,Y138&lt;$D$1,V138/U138&lt;3),"Not Serious", AND(W138&gt;$D$1*-1,W138&lt;$D$1,OR(X138&lt;=$D$1*-1,Y138&gt;=$D$1),X138&gt;$D$2*-1,Y138&lt;$D$2,V138/U138&lt;3),"Serious", AND(W138&gt;$D$1*-1,W138&lt;$D$1,OR(X138&lt;=$D$2*-1,Y138&gt;=$D$2),V138/U138&lt;3),"Very serious", AND(W138&gt;$D$1*-1,W138&lt;$D$1,X138&gt;$D$1*-1,Y138&lt;$D$1,V138/U138&gt;=3),"Very serious", AND(W138&gt;$D$1*-1,W138&lt;$D$1,OR(X138&lt;=$D$1*-1,Y138&gt;=$D$1),X138&gt;$D$2*-1,Y138&lt;$D$2,V138/U138&gt;=3),"Very serious", AND(W138&gt;$D$1*-1,W138&lt;$D$1,OR(X138&lt;=$D$2*-1,Y138&gt;=$D$2),V138/U138&gt;=3),"Very serious"),"")),"")</f>
        <v/>
      </c>
      <c r="AT138" s="109" t="str">
        <f t="shared" si="9"/>
        <v/>
      </c>
      <c r="AU138" s="64"/>
      <c r="AV138" s="147"/>
      <c r="AW138" s="147"/>
      <c r="AX138" s="147"/>
      <c r="AY138" s="83"/>
      <c r="AZ138" s="83"/>
      <c r="BA138" s="85"/>
      <c r="BB138" s="86" t="str">
        <f>IF(Preferences!B$9="Manual","",IFS(ISBLANK(B138),"",AND(ISNUMBER(E138)=TRUE,ISNUMBER(T138)=FALSE),"Direct", AND(ISNUMBER(E138)=FALSE,ISNUMBER(T138)=TRUE),"Indirect", CN138=4,"Direct",AND(CL138=FALSE, CM138=TRUE,CN138-CO138&gt;-1),"Direct", AND(CL138=FALSE,CM138=TRUE, CN138-CO138&lt;0),"Check algorithm in appendix 2", AND(CL138=TRUE, CM138=FALSE,CN138-CO138&gt;0),"Check algorithm in appendix 2", AND(CL138=TRUE, CM138=FALSE,CN138-CO138=0),"Indirect", AND(CL138=TRUE, CM138=FALSE,CN138-CO138&lt;0),"Indirect", AND(CL138=FALSE,CM138=FALSE,CN138-CO138&gt;-1),"Direct", AND(CL138=FALSE,CM138=FALSE,CN138-CO138&lt;0),"Check algorithm in appendix 2", AND(CL138=TRUE,CM138=TRUE,CN138-CO138&gt;-1),"Direct", AND(CL138=TRUE,CM138=TRUE,CN138-CO138&lt;0),"Check algorithm in appendix 2"))</f>
        <v/>
      </c>
      <c r="BC138" s="120" t="str">
        <f t="shared" si="10"/>
        <v/>
      </c>
      <c r="BD138" s="140"/>
      <c r="BE138" s="122" t="str">
        <f>IF(Preferences!B$3="Manual","", IFERROR(IFS(AND(Preferences!B$3="Automatic",AX138/AW138&gt;=30),"Extremely serious",AND(AY138&lt;=$D$1*-1,BA138&lt;0,AX138/AW138&lt;3),"Not Serious",AND(AY138&lt;=$D$1*-1,BA138&lt;0,AX138/AW138&gt;=3),"Very serious",AND(AY138&gt;=$D$1,AZ138&gt;0,AX138/AW138&lt;3),"Not Serious",AND(AY138&gt;=$D$1,AZ138&gt;0,AX138/AW138&gt;=3),"Very serious",AND(AY138&lt;=$D$1*-1,BA138&gt;0,AZ138&gt;$D$2*-1,AX138/AW138&lt;3),"Serious", AND(AY138&lt;=$D$1*-1,BA138&gt;0,AZ138&lt;$D$2*-1,AX138/AW138&lt;3),"Very serious", AND(AY138&gt;=$D$1,AZ138&lt;0,BA138&lt;$D$2,AX138/AW138&lt;3),"Serious",AND(AY138&gt;=$D$1,AZ138&lt;0,BA138&gt;$D$2,AX138/AW138&lt;3),"Very serious", AND(AY138&lt;=$D$1*-1,BA138&gt;0,AZ138&gt;$D$2*-1,AX138/AW138&gt;=3),"Very serious", AND(AY138&lt;=$D$1*-1,BA138&gt;0,AZ138&lt;$D$2*-1,AX138/AW138&gt;=3),"Very serious", AND(AY138&gt;=$D$1,AZ138&lt;0,BA138&lt;$D$2,AX138/AW138&gt;=3),"Very serious", AND(AY138&gt;=$D$1,AZ138&lt;0,BA138&gt;$D$2,AX138/AW138&gt;=3),"Very serious", AND(AY138&gt;$D$1*-1,AY138&lt;$D$1,AZ138&gt;$D$1*-1,BA138&lt;$D$1,AX138/AW138&lt;3),"Not Serious", AND(AY138&gt;$D$1*-1,AY138&lt;$D$1,OR(AZ138&lt;=$D$1*-1,BA138&gt;=$D$1),AZ138&gt;$D$2*-1,BA138&lt;$D$2,AX138/AW138&lt;3),"Serious", AND(AY138&gt;$D$1*-1,AY138&lt;$D$1,OR(AZ138&lt;=$D$2*-1,BA138&gt;=$D$2),AX138/AW138&lt;3),"Very serious", AND(AY138&gt;$D$1*-1,AY138&lt;$D$1,AZ138&gt;$D$1*-1,BA138&lt;$D$1,AX138/AW138&gt;=3),"Very serious", AND(AY138&gt;$D$1*-1,AY138&lt;$D$1,OR(AZ138&lt;=$D$1*-1,BA138&gt;=$D$1),AZ138&gt;$D$2*-1,BA138&lt;$D$2,AX138/AW138&gt;=3),"Very serious", AND(AY138&gt;$D$1*-1,AY138&lt;$D$1,OR(AZ138&lt;=$D$2*-1,BA138&gt;=$D$2),AX138/AW138&gt;=3),"Very serious"),""))</f>
        <v/>
      </c>
      <c r="BF138" s="107" t="str">
        <f t="shared" si="11"/>
        <v/>
      </c>
      <c r="BG138" s="94" t="str">
        <f t="shared" si="46"/>
        <v/>
      </c>
      <c r="BH138" s="64" t="str">
        <f t="shared" si="12"/>
        <v>#N/A</v>
      </c>
      <c r="BI138" s="64" t="str">
        <f t="shared" si="13"/>
        <v/>
      </c>
      <c r="BJ138" s="123" t="str">
        <f t="shared" si="14"/>
        <v>#N/A</v>
      </c>
      <c r="BK138" s="64" t="str">
        <f t="shared" si="50"/>
        <v>YES</v>
      </c>
      <c r="BL138" s="64" t="str">
        <f t="shared" si="16"/>
        <v>YES</v>
      </c>
      <c r="BM138" s="64" t="str">
        <f t="shared" si="17"/>
        <v>YES</v>
      </c>
      <c r="BN138" s="124" t="str">
        <f t="shared" si="18"/>
        <v/>
      </c>
      <c r="BO138" s="91" t="str">
        <f t="shared" si="19"/>
        <v/>
      </c>
      <c r="BP138" s="91" t="str">
        <f t="shared" si="20"/>
        <v>#N/A</v>
      </c>
      <c r="BQ138" s="91" t="str">
        <f t="shared" si="21"/>
        <v/>
      </c>
      <c r="BR138" s="93" t="str">
        <f t="shared" si="22"/>
        <v/>
      </c>
      <c r="BS138" s="90" t="str">
        <f t="shared" si="23"/>
        <v/>
      </c>
      <c r="BT138" s="93" t="str">
        <f t="shared" si="24"/>
        <v>NA</v>
      </c>
      <c r="BU138" s="125" t="str">
        <f t="shared" si="25"/>
        <v>#N/A</v>
      </c>
      <c r="BV138" s="93" t="str">
        <f t="shared" si="26"/>
        <v/>
      </c>
      <c r="BW138" s="93" t="str">
        <f t="shared" si="27"/>
        <v/>
      </c>
      <c r="BX138" s="93" t="str">
        <f t="shared" si="28"/>
        <v>NA</v>
      </c>
      <c r="BY138" s="95" t="str">
        <f t="shared" si="29"/>
        <v>#N/A</v>
      </c>
      <c r="BZ138" s="93" t="str">
        <f t="shared" si="30"/>
        <v/>
      </c>
      <c r="CA138" s="93" t="str">
        <f t="shared" si="31"/>
        <v/>
      </c>
      <c r="CB138" s="93" t="str">
        <f t="shared" si="32"/>
        <v>NA</v>
      </c>
      <c r="CC138" s="96" t="str">
        <f t="shared" si="33"/>
        <v>#N/A</v>
      </c>
      <c r="CD138" s="93" t="str">
        <f t="shared" si="34"/>
        <v/>
      </c>
      <c r="CE138" s="93" t="str">
        <f t="shared" si="35"/>
        <v/>
      </c>
      <c r="CF138" s="93" t="str">
        <f t="shared" si="36"/>
        <v>NA</v>
      </c>
      <c r="CG138" s="97" t="str">
        <f t="shared" si="37"/>
        <v>#N/A</v>
      </c>
      <c r="CH138" s="98" t="str">
        <f t="shared" si="38"/>
        <v>#N/A</v>
      </c>
      <c r="CI138" s="99" t="str">
        <f t="shared" si="39"/>
        <v>#N/A</v>
      </c>
      <c r="CJ138" s="126" t="str">
        <f t="shared" si="40"/>
        <v>ERROR: check cell</v>
      </c>
      <c r="CK138" s="126"/>
      <c r="CL138" s="127" t="str">
        <f t="shared" si="41"/>
        <v>#DIV/0!</v>
      </c>
      <c r="CM138" s="128" t="str">
        <f t="shared" si="42"/>
        <v>#DIV/0!</v>
      </c>
      <c r="CN138" s="128">
        <f t="shared" si="43"/>
        <v>4</v>
      </c>
      <c r="CO138" s="129">
        <f t="shared" si="44"/>
        <v>4</v>
      </c>
      <c r="CP138" s="129" t="str">
        <f>IFS(C138=Preferences!B$13,B138,B138=Preferences!B$13,C138)</f>
        <v>#N/A</v>
      </c>
    </row>
    <row r="139" ht="13.5" customHeight="1">
      <c r="A139" s="63" t="str">
        <f t="shared" si="45"/>
        <v/>
      </c>
      <c r="B139" s="64"/>
      <c r="C139" s="64"/>
      <c r="D139" s="64"/>
      <c r="E139" s="65"/>
      <c r="F139" s="65"/>
      <c r="G139" s="65"/>
      <c r="H139" s="66"/>
      <c r="I139" s="66"/>
      <c r="J139" s="67"/>
      <c r="K139" s="68"/>
      <c r="L139" s="104"/>
      <c r="M139" s="104"/>
      <c r="N139" s="104"/>
      <c r="O139" s="104"/>
      <c r="P139" s="107" t="str">
        <f t="shared" si="1"/>
        <v/>
      </c>
      <c r="Q139" s="108" t="str">
        <f>IFERROR(IF(AND(Preferences!B$3="Manual",OR(AX139/AW139&gt;G139/F139,BD139="Serious",BD139="Very serious")),"Assess imprecision",IFS(ISBLANK(E139),"",AND(Preferences!B$3="Automatic", G139/F139&gt;=30),"Extremely serious",AND(H139&lt;=$D$1*-1,J139&lt;0,G139/F139&lt;3),"Not serious",AND(H139&lt;=$D$1*-1,J139&lt;0,G139/F139&gt;=3),"Very serious",AND(H139&gt;=$D$1,I139&gt;0,G139/F139&lt;3),"Not serious",AND(H139&gt;=$D$1,I139&gt;0,G139/F139&gt;=3),"Very serious",AND(H139&lt;=$D$1*-1,J139&gt;0,I139&gt;$D$2*-1,G139/F139&lt;3),"Serious", AND(H139&lt;=$D$1*-1,J139&gt;0,I139&lt;$D$2*-1,G139/F139&lt;3),"Very serious", AND(H139&gt;=$D$1,I139&lt;0,J139&lt;$D$2,G139/F139&lt;3),"Serious",AND(H139&gt;=$D$1,I139&lt;0,J139&gt;$D$2,G139/F139&lt;3),"Very serious", AND(H139&lt;=$D$1*-1,J139&gt;0,I139&gt;$D$2*-1,G139/F139&gt;=3),"Very serious", AND(H139&lt;=$D$1*-1,J139&gt;0,I139&lt;$D$2*-1,G139/F139&gt;=3),"Very serious", AND(H139&gt;=$D$1,I139&lt;0,J139&lt;$D$2,G139/F139&gt;=3),"Very serious", AND(H139&gt;=$D$1,I139&lt;0,J139&gt;$D$2,G139/F139&gt;=3),"Very serious", AND(H139&gt;$D$1*-1,H139&lt;$D$1,I139&gt;$D$1*-1,J139&lt;$D$1,G139/F139&lt;3),"Not serious", AND(H139&gt;$D$1*-1,H139&lt;$D$1,OR(I139&lt;=$D$1*-1,J139&gt;=$D$1),I139&gt;$D$2*-1,J139&lt;$D$2,G139/F139&lt;3),"Serious", AND(H139&gt;$D$1*-1,H139&lt;$D$1,OR(I139&lt;=$D$2*-1,J139&gt;=$D$2),G139/F139&lt;3),"Very serious", AND(H139&gt;$D$1*-1,H139&lt;$D$1,I139&gt;$D$1*-1,J139&lt;$D$1,G139/F139&gt;=3),"Very serious", AND(H139&gt;$D$1*-1,H139&lt;$D$1,OR(I139&lt;=$D$1*-1,J139&gt;=$D$1),I139&gt;$D$2*-1,J139&lt;$D$2,G139/F139&gt;=3),"Very serious", AND(H139&gt;$D$1*-1,H139&lt;$D$1,OR(I139&lt;=$D$2*-1,J139&gt;=$D$2),G139/F139&gt;=3),"Very serious")),"")</f>
        <v/>
      </c>
      <c r="R139" s="109" t="str">
        <f t="shared" si="47"/>
        <v/>
      </c>
      <c r="S139" s="64"/>
      <c r="T139" s="146"/>
      <c r="U139" s="146"/>
      <c r="V139" s="146"/>
      <c r="W139" s="73"/>
      <c r="X139" s="73"/>
      <c r="Y139" s="74"/>
      <c r="Z139" s="113" t="str">
        <f t="array" ref="Z139">INDEX($A$1:$C$500, MATCH(1,($B:$B=$B139)*($C:$C=$AB139),0),1)</f>
        <v/>
      </c>
      <c r="AA139" s="113" t="str">
        <f t="array" ref="AA139">INDEX($A$1:$C$500, MATCH(1,($B:$B=$AB139)*($C:$C=$B139),0),1)</f>
        <v/>
      </c>
      <c r="AB139" s="111"/>
      <c r="AC139" s="114" t="str">
        <f t="shared" si="2"/>
        <v/>
      </c>
      <c r="AD139" s="115" t="str">
        <f t="shared" si="3"/>
        <v/>
      </c>
      <c r="AE139" s="116" t="str">
        <f t="array" ref="AE139">INDEX($A$1:$C$500, MATCH(1,($B:$B=$AB139)*($C:$C=$AG139),0),1)</f>
        <v/>
      </c>
      <c r="AF139" s="116" t="str">
        <f t="array" ref="AF139">INDEX($A$1:$C$500, MATCH(1,($B:$B=$AG139)*($C:$C=$AB139),0),1)</f>
        <v/>
      </c>
      <c r="AG139" s="72"/>
      <c r="AH139" s="114" t="str">
        <f t="shared" si="4"/>
        <v/>
      </c>
      <c r="AI139" s="115" t="str">
        <f t="shared" si="5"/>
        <v/>
      </c>
      <c r="AJ139" s="116" t="str">
        <f t="array" ref="AJ139">INDEX($A$1:$C$500, MATCH(1,($B:$B=$C139)*($C:$C=$AG139),0),1)</f>
        <v/>
      </c>
      <c r="AK139" s="116" t="str">
        <f t="array" ref="AK139">INDEX($A$1:$C$500, MATCH(1,($B:$B=$AG139)*($C:$C=$C139),0),1)</f>
        <v/>
      </c>
      <c r="AL139" s="116" t="str">
        <f t="array" ref="AL139">INDEX($A$1:$C$500, MATCH(1,($B:$B=$C139)*($C:$C=$AB139),0),1)</f>
        <v/>
      </c>
      <c r="AM139" s="116" t="str">
        <f t="array" ref="AM139">INDEX($A$1:$C$500, MATCH(1,($B:$B=$AB139)*($C:$C=$C139),0),1)</f>
        <v/>
      </c>
      <c r="AN139" s="114" t="str">
        <f t="array" ref="AN139">IFS(ISNUMBER(AJ139),AJ139,ISNUMBER(AK139),AK139,ISNUMBER(AL139),AL139,ISNUMBER(AM139),AM139)</f>
        <v>#N/A</v>
      </c>
      <c r="AO139" s="115" t="str">
        <f t="shared" si="6"/>
        <v/>
      </c>
      <c r="AP139" s="115" t="str">
        <f t="shared" si="7"/>
        <v/>
      </c>
      <c r="AQ139" s="111"/>
      <c r="AR139" s="109" t="str">
        <f t="shared" si="8"/>
        <v/>
      </c>
      <c r="AS139" s="72" t="str">
        <f>IFERROR(IF(AND(Preferences!B$3="Manual",OR(AX139/AW139&gt;V139/U139,BD139="Serious",BD139="Very serious")),"Assess imprecision",IFERROR(IFS(AND(Preferences!B$3="Automatic",V139/U139&gt;=30),"Extremely serious",AND(W139&lt;=$D$1*-1,Y139&lt;0,V139/U139&lt;3),"Not Serious",AND(W139&lt;=$D$1*-1,Y139&lt;0,V139/U139&gt;=3),"Very serious",AND(W139&gt;=$D$1,X139&gt;0,V139/U139&lt;3),"Not Serious",AND(W139&gt;=$D$1,X139&gt;0,V139/U139&gt;=3),"Very serious",AND(W139&lt;=$D$1*-1,Y139&gt;0,X139&gt;$D$2*-1,V139/U139&lt;3),"Serious", AND(W139&lt;=$D$1*-1,Y139&gt;0,X139&lt;$D$2*-1,V139/U139&lt;3),"Very serious", AND(W139&gt;=$D$1,X139&lt;0,Y139&lt;$D$2,V139/U139&lt;3),"Serious",AND(W139&gt;=$D$1,X139&lt;0,Y139&gt;$D$2,V139/U139&lt;3),"Very serious", AND(W139&lt;=$D$1*-1,Y139&gt;0,X139&gt;$D$2*-1,V139/U139&gt;=3),"Very serious", AND(W139&lt;=$D$1*-1,Y139&gt;0,X139&lt;$D$2*-1,V139/U139&gt;=3),"Very serious", AND(W139&gt;=$D$1,X139&lt;0,Y139&lt;$D$2,V139/U139&gt;=3),"Very serious", AND(W139&gt;=$D$1,X139&lt;0,Y139&gt;$D$2,V139/U139&gt;=3),"Very serious", AND(W139&gt;$D$1*-1,W139&lt;$D$1,X139&gt;$D$1*-1,Y139&lt;$D$1,V139/U139&lt;3),"Not Serious", AND(W139&gt;$D$1*-1,W139&lt;$D$1,OR(X139&lt;=$D$1*-1,Y139&gt;=$D$1),X139&gt;$D$2*-1,Y139&lt;$D$2,V139/U139&lt;3),"Serious", AND(W139&gt;$D$1*-1,W139&lt;$D$1,OR(X139&lt;=$D$2*-1,Y139&gt;=$D$2),V139/U139&lt;3),"Very serious", AND(W139&gt;$D$1*-1,W139&lt;$D$1,X139&gt;$D$1*-1,Y139&lt;$D$1,V139/U139&gt;=3),"Very serious", AND(W139&gt;$D$1*-1,W139&lt;$D$1,OR(X139&lt;=$D$1*-1,Y139&gt;=$D$1),X139&gt;$D$2*-1,Y139&lt;$D$2,V139/U139&gt;=3),"Very serious", AND(W139&gt;$D$1*-1,W139&lt;$D$1,OR(X139&lt;=$D$2*-1,Y139&gt;=$D$2),V139/U139&gt;=3),"Very serious"),"")),"")</f>
        <v/>
      </c>
      <c r="AT139" s="109" t="str">
        <f t="shared" si="9"/>
        <v/>
      </c>
      <c r="AU139" s="64"/>
      <c r="AV139" s="147"/>
      <c r="AW139" s="147"/>
      <c r="AX139" s="147"/>
      <c r="AY139" s="83"/>
      <c r="AZ139" s="83"/>
      <c r="BA139" s="85"/>
      <c r="BB139" s="86" t="str">
        <f>IF(Preferences!B$9="Manual","",IFS(ISBLANK(B139),"",AND(ISNUMBER(E139)=TRUE,ISNUMBER(T139)=FALSE),"Direct", AND(ISNUMBER(E139)=FALSE,ISNUMBER(T139)=TRUE),"Indirect", CN139=4,"Direct",AND(CL139=FALSE, CM139=TRUE,CN139-CO139&gt;-1),"Direct", AND(CL139=FALSE,CM139=TRUE, CN139-CO139&lt;0),"Check algorithm in appendix 2", AND(CL139=TRUE, CM139=FALSE,CN139-CO139&gt;0),"Check algorithm in appendix 2", AND(CL139=TRUE, CM139=FALSE,CN139-CO139=0),"Indirect", AND(CL139=TRUE, CM139=FALSE,CN139-CO139&lt;0),"Indirect", AND(CL139=FALSE,CM139=FALSE,CN139-CO139&gt;-1),"Direct", AND(CL139=FALSE,CM139=FALSE,CN139-CO139&lt;0),"Check algorithm in appendix 2", AND(CL139=TRUE,CM139=TRUE,CN139-CO139&gt;-1),"Direct", AND(CL139=TRUE,CM139=TRUE,CN139-CO139&lt;0),"Check algorithm in appendix 2"))</f>
        <v/>
      </c>
      <c r="BC139" s="120" t="str">
        <f t="shared" si="10"/>
        <v/>
      </c>
      <c r="BD139" s="140"/>
      <c r="BE139" s="122" t="str">
        <f>IF(Preferences!B$3="Manual","", IFERROR(IFS(AND(Preferences!B$3="Automatic",AX139/AW139&gt;=30),"Extremely serious",AND(AY139&lt;=$D$1*-1,BA139&lt;0,AX139/AW139&lt;3),"Not Serious",AND(AY139&lt;=$D$1*-1,BA139&lt;0,AX139/AW139&gt;=3),"Very serious",AND(AY139&gt;=$D$1,AZ139&gt;0,AX139/AW139&lt;3),"Not Serious",AND(AY139&gt;=$D$1,AZ139&gt;0,AX139/AW139&gt;=3),"Very serious",AND(AY139&lt;=$D$1*-1,BA139&gt;0,AZ139&gt;$D$2*-1,AX139/AW139&lt;3),"Serious", AND(AY139&lt;=$D$1*-1,BA139&gt;0,AZ139&lt;$D$2*-1,AX139/AW139&lt;3),"Very serious", AND(AY139&gt;=$D$1,AZ139&lt;0,BA139&lt;$D$2,AX139/AW139&lt;3),"Serious",AND(AY139&gt;=$D$1,AZ139&lt;0,BA139&gt;$D$2,AX139/AW139&lt;3),"Very serious", AND(AY139&lt;=$D$1*-1,BA139&gt;0,AZ139&gt;$D$2*-1,AX139/AW139&gt;=3),"Very serious", AND(AY139&lt;=$D$1*-1,BA139&gt;0,AZ139&lt;$D$2*-1,AX139/AW139&gt;=3),"Very serious", AND(AY139&gt;=$D$1,AZ139&lt;0,BA139&lt;$D$2,AX139/AW139&gt;=3),"Very serious", AND(AY139&gt;=$D$1,AZ139&lt;0,BA139&gt;$D$2,AX139/AW139&gt;=3),"Very serious", AND(AY139&gt;$D$1*-1,AY139&lt;$D$1,AZ139&gt;$D$1*-1,BA139&lt;$D$1,AX139/AW139&lt;3),"Not Serious", AND(AY139&gt;$D$1*-1,AY139&lt;$D$1,OR(AZ139&lt;=$D$1*-1,BA139&gt;=$D$1),AZ139&gt;$D$2*-1,BA139&lt;$D$2,AX139/AW139&lt;3),"Serious", AND(AY139&gt;$D$1*-1,AY139&lt;$D$1,OR(AZ139&lt;=$D$2*-1,BA139&gt;=$D$2),AX139/AW139&lt;3),"Very serious", AND(AY139&gt;$D$1*-1,AY139&lt;$D$1,AZ139&gt;$D$1*-1,BA139&lt;$D$1,AX139/AW139&gt;=3),"Very serious", AND(AY139&gt;$D$1*-1,AY139&lt;$D$1,OR(AZ139&lt;=$D$1*-1,BA139&gt;=$D$1),AZ139&gt;$D$2*-1,BA139&lt;$D$2,AX139/AW139&gt;=3),"Very serious", AND(AY139&gt;$D$1*-1,AY139&lt;$D$1,OR(AZ139&lt;=$D$2*-1,BA139&gt;=$D$2),AX139/AW139&gt;=3),"Very serious"),""))</f>
        <v/>
      </c>
      <c r="BF139" s="107" t="str">
        <f t="shared" si="11"/>
        <v/>
      </c>
      <c r="BG139" s="94" t="str">
        <f t="shared" si="46"/>
        <v/>
      </c>
      <c r="BH139" s="64" t="str">
        <f t="shared" si="12"/>
        <v>#N/A</v>
      </c>
      <c r="BI139" s="64" t="str">
        <f t="shared" si="13"/>
        <v/>
      </c>
      <c r="BJ139" s="123" t="str">
        <f t="shared" si="14"/>
        <v>#N/A</v>
      </c>
      <c r="BK139" s="64" t="str">
        <f t="shared" si="50"/>
        <v>YES</v>
      </c>
      <c r="BL139" s="64" t="str">
        <f t="shared" si="16"/>
        <v>YES</v>
      </c>
      <c r="BM139" s="64" t="str">
        <f t="shared" si="17"/>
        <v>YES</v>
      </c>
      <c r="BN139" s="124" t="str">
        <f t="shared" si="18"/>
        <v/>
      </c>
      <c r="BO139" s="91" t="str">
        <f t="shared" si="19"/>
        <v/>
      </c>
      <c r="BP139" s="91" t="str">
        <f t="shared" si="20"/>
        <v>#N/A</v>
      </c>
      <c r="BQ139" s="91" t="str">
        <f t="shared" si="21"/>
        <v/>
      </c>
      <c r="BR139" s="93" t="str">
        <f t="shared" si="22"/>
        <v/>
      </c>
      <c r="BS139" s="90" t="str">
        <f t="shared" si="23"/>
        <v/>
      </c>
      <c r="BT139" s="93" t="str">
        <f t="shared" si="24"/>
        <v>NA</v>
      </c>
      <c r="BU139" s="125" t="str">
        <f t="shared" si="25"/>
        <v>#N/A</v>
      </c>
      <c r="BV139" s="93" t="str">
        <f t="shared" si="26"/>
        <v/>
      </c>
      <c r="BW139" s="93" t="str">
        <f t="shared" si="27"/>
        <v/>
      </c>
      <c r="BX139" s="93" t="str">
        <f t="shared" si="28"/>
        <v>NA</v>
      </c>
      <c r="BY139" s="95" t="str">
        <f t="shared" si="29"/>
        <v>#N/A</v>
      </c>
      <c r="BZ139" s="93" t="str">
        <f t="shared" si="30"/>
        <v/>
      </c>
      <c r="CA139" s="93" t="str">
        <f t="shared" si="31"/>
        <v/>
      </c>
      <c r="CB139" s="93" t="str">
        <f t="shared" si="32"/>
        <v>NA</v>
      </c>
      <c r="CC139" s="96" t="str">
        <f t="shared" si="33"/>
        <v>#N/A</v>
      </c>
      <c r="CD139" s="93" t="str">
        <f t="shared" si="34"/>
        <v/>
      </c>
      <c r="CE139" s="93" t="str">
        <f t="shared" si="35"/>
        <v/>
      </c>
      <c r="CF139" s="93" t="str">
        <f t="shared" si="36"/>
        <v>NA</v>
      </c>
      <c r="CG139" s="97" t="str">
        <f t="shared" si="37"/>
        <v>#N/A</v>
      </c>
      <c r="CH139" s="98" t="str">
        <f t="shared" si="38"/>
        <v>#N/A</v>
      </c>
      <c r="CI139" s="99" t="str">
        <f t="shared" si="39"/>
        <v>#N/A</v>
      </c>
      <c r="CJ139" s="126" t="str">
        <f t="shared" si="40"/>
        <v>ERROR: check cell</v>
      </c>
      <c r="CK139" s="126"/>
      <c r="CL139" s="127" t="str">
        <f t="shared" si="41"/>
        <v>#DIV/0!</v>
      </c>
      <c r="CM139" s="128" t="str">
        <f t="shared" si="42"/>
        <v>#DIV/0!</v>
      </c>
      <c r="CN139" s="128">
        <f t="shared" si="43"/>
        <v>4</v>
      </c>
      <c r="CO139" s="129">
        <f t="shared" si="44"/>
        <v>4</v>
      </c>
      <c r="CP139" s="129" t="str">
        <f>IFS(C139=Preferences!B$13,B139,B139=Preferences!B$13,C139)</f>
        <v>#N/A</v>
      </c>
    </row>
    <row r="140" ht="13.5" customHeight="1">
      <c r="A140" s="63" t="str">
        <f t="shared" si="45"/>
        <v/>
      </c>
      <c r="B140" s="64"/>
      <c r="C140" s="64"/>
      <c r="D140" s="64"/>
      <c r="E140" s="65"/>
      <c r="F140" s="65"/>
      <c r="G140" s="65"/>
      <c r="H140" s="66"/>
      <c r="I140" s="66"/>
      <c r="J140" s="67"/>
      <c r="K140" s="68"/>
      <c r="L140" s="104"/>
      <c r="M140" s="104"/>
      <c r="N140" s="104"/>
      <c r="O140" s="104"/>
      <c r="P140" s="107" t="str">
        <f t="shared" si="1"/>
        <v/>
      </c>
      <c r="Q140" s="108" t="str">
        <f>IFERROR(IF(AND(Preferences!B$3="Manual",OR(AX140/AW140&gt;G140/F140,BD140="Serious",BD140="Very serious")),"Assess imprecision",IFS(ISBLANK(E140),"",AND(Preferences!B$3="Automatic", G140/F140&gt;=30),"Extremely serious",AND(H140&lt;=$D$1*-1,J140&lt;0,G140/F140&lt;3),"Not serious",AND(H140&lt;=$D$1*-1,J140&lt;0,G140/F140&gt;=3),"Very serious",AND(H140&gt;=$D$1,I140&gt;0,G140/F140&lt;3),"Not serious",AND(H140&gt;=$D$1,I140&gt;0,G140/F140&gt;=3),"Very serious",AND(H140&lt;=$D$1*-1,J140&gt;0,I140&gt;$D$2*-1,G140/F140&lt;3),"Serious", AND(H140&lt;=$D$1*-1,J140&gt;0,I140&lt;$D$2*-1,G140/F140&lt;3),"Very serious", AND(H140&gt;=$D$1,I140&lt;0,J140&lt;$D$2,G140/F140&lt;3),"Serious",AND(H140&gt;=$D$1,I140&lt;0,J140&gt;$D$2,G140/F140&lt;3),"Very serious", AND(H140&lt;=$D$1*-1,J140&gt;0,I140&gt;$D$2*-1,G140/F140&gt;=3),"Very serious", AND(H140&lt;=$D$1*-1,J140&gt;0,I140&lt;$D$2*-1,G140/F140&gt;=3),"Very serious", AND(H140&gt;=$D$1,I140&lt;0,J140&lt;$D$2,G140/F140&gt;=3),"Very serious", AND(H140&gt;=$D$1,I140&lt;0,J140&gt;$D$2,G140/F140&gt;=3),"Very serious", AND(H140&gt;$D$1*-1,H140&lt;$D$1,I140&gt;$D$1*-1,J140&lt;$D$1,G140/F140&lt;3),"Not serious", AND(H140&gt;$D$1*-1,H140&lt;$D$1,OR(I140&lt;=$D$1*-1,J140&gt;=$D$1),I140&gt;$D$2*-1,J140&lt;$D$2,G140/F140&lt;3),"Serious", AND(H140&gt;$D$1*-1,H140&lt;$D$1,OR(I140&lt;=$D$2*-1,J140&gt;=$D$2),G140/F140&lt;3),"Very serious", AND(H140&gt;$D$1*-1,H140&lt;$D$1,I140&gt;$D$1*-1,J140&lt;$D$1,G140/F140&gt;=3),"Very serious", AND(H140&gt;$D$1*-1,H140&lt;$D$1,OR(I140&lt;=$D$1*-1,J140&gt;=$D$1),I140&gt;$D$2*-1,J140&lt;$D$2,G140/F140&gt;=3),"Very serious", AND(H140&gt;$D$1*-1,H140&lt;$D$1,OR(I140&lt;=$D$2*-1,J140&gt;=$D$2),G140/F140&gt;=3),"Very serious")),"")</f>
        <v/>
      </c>
      <c r="R140" s="109" t="str">
        <f t="shared" si="47"/>
        <v/>
      </c>
      <c r="S140" s="64"/>
      <c r="T140" s="72"/>
      <c r="U140" s="72"/>
      <c r="V140" s="72"/>
      <c r="W140" s="73"/>
      <c r="X140" s="73"/>
      <c r="Y140" s="74"/>
      <c r="Z140" s="113" t="str">
        <f t="array" ref="Z140">INDEX($A$1:$C$500, MATCH(1,($B:$B=$B140)*($C:$C=$AB140),0),1)</f>
        <v/>
      </c>
      <c r="AA140" s="113" t="str">
        <f t="array" ref="AA140">INDEX($A$1:$C$500, MATCH(1,($B:$B=$AB140)*($C:$C=$B140),0),1)</f>
        <v/>
      </c>
      <c r="AB140" s="111"/>
      <c r="AC140" s="114" t="str">
        <f t="shared" si="2"/>
        <v/>
      </c>
      <c r="AD140" s="115" t="str">
        <f t="shared" si="3"/>
        <v/>
      </c>
      <c r="AE140" s="116" t="str">
        <f t="array" ref="AE140">INDEX($A$1:$C$500, MATCH(1,($B:$B=$AB140)*($C:$C=$AG140),0),1)</f>
        <v/>
      </c>
      <c r="AF140" s="116" t="str">
        <f t="array" ref="AF140">INDEX($A$1:$C$500, MATCH(1,($B:$B=$AG140)*($C:$C=$AB140),0),1)</f>
        <v/>
      </c>
      <c r="AG140" s="72"/>
      <c r="AH140" s="114" t="str">
        <f t="shared" si="4"/>
        <v/>
      </c>
      <c r="AI140" s="115" t="str">
        <f t="shared" si="5"/>
        <v/>
      </c>
      <c r="AJ140" s="116" t="str">
        <f t="array" ref="AJ140">INDEX($A$1:$C$500, MATCH(1,($B:$B=$C140)*($C:$C=$AG140),0),1)</f>
        <v/>
      </c>
      <c r="AK140" s="116" t="str">
        <f t="array" ref="AK140">INDEX($A$1:$C$500, MATCH(1,($B:$B=$AG140)*($C:$C=$C140),0),1)</f>
        <v/>
      </c>
      <c r="AL140" s="116" t="str">
        <f t="array" ref="AL140">INDEX($A$1:$C$500, MATCH(1,($B:$B=$C140)*($C:$C=$AB140),0),1)</f>
        <v/>
      </c>
      <c r="AM140" s="116" t="str">
        <f t="array" ref="AM140">INDEX($A$1:$C$500, MATCH(1,($B:$B=$AB140)*($C:$C=$C140),0),1)</f>
        <v/>
      </c>
      <c r="AN140" s="114" t="str">
        <f t="array" ref="AN140">IFS(ISNUMBER(AJ140),AJ140,ISNUMBER(AK140),AK140,ISNUMBER(AL140),AL140,ISNUMBER(AM140),AM140)</f>
        <v>#N/A</v>
      </c>
      <c r="AO140" s="115" t="str">
        <f t="shared" si="6"/>
        <v/>
      </c>
      <c r="AP140" s="115" t="str">
        <f t="shared" si="7"/>
        <v/>
      </c>
      <c r="AQ140" s="111"/>
      <c r="AR140" s="109" t="str">
        <f t="shared" si="8"/>
        <v/>
      </c>
      <c r="AS140" s="72" t="str">
        <f>IFERROR(IF(AND(Preferences!B$3="Manual",OR(AX140/AW140&gt;V140/U140,BD140="Serious",BD140="Very serious")),"Assess imprecision",IFERROR(IFS(AND(Preferences!B$3="Automatic",V140/U140&gt;=30),"Extremely serious",AND(W140&lt;=$D$1*-1,Y140&lt;0,V140/U140&lt;3),"Not Serious",AND(W140&lt;=$D$1*-1,Y140&lt;0,V140/U140&gt;=3),"Very serious",AND(W140&gt;=$D$1,X140&gt;0,V140/U140&lt;3),"Not Serious",AND(W140&gt;=$D$1,X140&gt;0,V140/U140&gt;=3),"Very serious",AND(W140&lt;=$D$1*-1,Y140&gt;0,X140&gt;$D$2*-1,V140/U140&lt;3),"Serious", AND(W140&lt;=$D$1*-1,Y140&gt;0,X140&lt;$D$2*-1,V140/U140&lt;3),"Very serious", AND(W140&gt;=$D$1,X140&lt;0,Y140&lt;$D$2,V140/U140&lt;3),"Serious",AND(W140&gt;=$D$1,X140&lt;0,Y140&gt;$D$2,V140/U140&lt;3),"Very serious", AND(W140&lt;=$D$1*-1,Y140&gt;0,X140&gt;$D$2*-1,V140/U140&gt;=3),"Very serious", AND(W140&lt;=$D$1*-1,Y140&gt;0,X140&lt;$D$2*-1,V140/U140&gt;=3),"Very serious", AND(W140&gt;=$D$1,X140&lt;0,Y140&lt;$D$2,V140/U140&gt;=3),"Very serious", AND(W140&gt;=$D$1,X140&lt;0,Y140&gt;$D$2,V140/U140&gt;=3),"Very serious", AND(W140&gt;$D$1*-1,W140&lt;$D$1,X140&gt;$D$1*-1,Y140&lt;$D$1,V140/U140&lt;3),"Not Serious", AND(W140&gt;$D$1*-1,W140&lt;$D$1,OR(X140&lt;=$D$1*-1,Y140&gt;=$D$1),X140&gt;$D$2*-1,Y140&lt;$D$2,V140/U140&lt;3),"Serious", AND(W140&gt;$D$1*-1,W140&lt;$D$1,OR(X140&lt;=$D$2*-1,Y140&gt;=$D$2),V140/U140&lt;3),"Very serious", AND(W140&gt;$D$1*-1,W140&lt;$D$1,X140&gt;$D$1*-1,Y140&lt;$D$1,V140/U140&gt;=3),"Very serious", AND(W140&gt;$D$1*-1,W140&lt;$D$1,OR(X140&lt;=$D$1*-1,Y140&gt;=$D$1),X140&gt;$D$2*-1,Y140&lt;$D$2,V140/U140&gt;=3),"Very serious", AND(W140&gt;$D$1*-1,W140&lt;$D$1,OR(X140&lt;=$D$2*-1,Y140&gt;=$D$2),V140/U140&gt;=3),"Very serious"),"")),"")</f>
        <v/>
      </c>
      <c r="AT140" s="109" t="str">
        <f t="shared" si="9"/>
        <v/>
      </c>
      <c r="AU140" s="64"/>
      <c r="AV140" s="83"/>
      <c r="AW140" s="83"/>
      <c r="AX140" s="83"/>
      <c r="AY140" s="83"/>
      <c r="AZ140" s="83"/>
      <c r="BA140" s="85"/>
      <c r="BB140" s="86" t="str">
        <f>IF(Preferences!B$9="Manual","",IFS(ISBLANK(B140),"",AND(ISNUMBER(E140)=TRUE,ISNUMBER(T140)=FALSE),"Direct", AND(ISNUMBER(E140)=FALSE,ISNUMBER(T140)=TRUE),"Indirect", CN140=4,"Direct",AND(CL140=FALSE, CM140=TRUE,CN140-CO140&gt;-1),"Direct", AND(CL140=FALSE,CM140=TRUE, CN140-CO140&lt;0),"Check algorithm in appendix 2", AND(CL140=TRUE, CM140=FALSE,CN140-CO140&gt;0),"Check algorithm in appendix 2", AND(CL140=TRUE, CM140=FALSE,CN140-CO140=0),"Indirect", AND(CL140=TRUE, CM140=FALSE,CN140-CO140&lt;0),"Indirect", AND(CL140=FALSE,CM140=FALSE,CN140-CO140&gt;-1),"Direct", AND(CL140=FALSE,CM140=FALSE,CN140-CO140&lt;0),"Check algorithm in appendix 2", AND(CL140=TRUE,CM140=TRUE,CN140-CO140&gt;-1),"Direct", AND(CL140=TRUE,CM140=TRUE,CN140-CO140&lt;0),"Check algorithm in appendix 2"))</f>
        <v/>
      </c>
      <c r="BC140" s="120" t="str">
        <f t="shared" si="10"/>
        <v/>
      </c>
      <c r="BD140" s="140"/>
      <c r="BE140" s="122" t="str">
        <f>IF(Preferences!B$3="Manual","", IFERROR(IFS(AND(Preferences!B$3="Automatic",AX140/AW140&gt;=30),"Extremely serious",AND(AY140&lt;=$D$1*-1,BA140&lt;0,AX140/AW140&lt;3),"Not Serious",AND(AY140&lt;=$D$1*-1,BA140&lt;0,AX140/AW140&gt;=3),"Very serious",AND(AY140&gt;=$D$1,AZ140&gt;0,AX140/AW140&lt;3),"Not Serious",AND(AY140&gt;=$D$1,AZ140&gt;0,AX140/AW140&gt;=3),"Very serious",AND(AY140&lt;=$D$1*-1,BA140&gt;0,AZ140&gt;$D$2*-1,AX140/AW140&lt;3),"Serious", AND(AY140&lt;=$D$1*-1,BA140&gt;0,AZ140&lt;$D$2*-1,AX140/AW140&lt;3),"Very serious", AND(AY140&gt;=$D$1,AZ140&lt;0,BA140&lt;$D$2,AX140/AW140&lt;3),"Serious",AND(AY140&gt;=$D$1,AZ140&lt;0,BA140&gt;$D$2,AX140/AW140&lt;3),"Very serious", AND(AY140&lt;=$D$1*-1,BA140&gt;0,AZ140&gt;$D$2*-1,AX140/AW140&gt;=3),"Very serious", AND(AY140&lt;=$D$1*-1,BA140&gt;0,AZ140&lt;$D$2*-1,AX140/AW140&gt;=3),"Very serious", AND(AY140&gt;=$D$1,AZ140&lt;0,BA140&lt;$D$2,AX140/AW140&gt;=3),"Very serious", AND(AY140&gt;=$D$1,AZ140&lt;0,BA140&gt;$D$2,AX140/AW140&gt;=3),"Very serious", AND(AY140&gt;$D$1*-1,AY140&lt;$D$1,AZ140&gt;$D$1*-1,BA140&lt;$D$1,AX140/AW140&lt;3),"Not Serious", AND(AY140&gt;$D$1*-1,AY140&lt;$D$1,OR(AZ140&lt;=$D$1*-1,BA140&gt;=$D$1),AZ140&gt;$D$2*-1,BA140&lt;$D$2,AX140/AW140&lt;3),"Serious", AND(AY140&gt;$D$1*-1,AY140&lt;$D$1,OR(AZ140&lt;=$D$2*-1,BA140&gt;=$D$2),AX140/AW140&lt;3),"Very serious", AND(AY140&gt;$D$1*-1,AY140&lt;$D$1,AZ140&gt;$D$1*-1,BA140&lt;$D$1,AX140/AW140&gt;=3),"Very serious", AND(AY140&gt;$D$1*-1,AY140&lt;$D$1,OR(AZ140&lt;=$D$1*-1,BA140&gt;=$D$1),AZ140&gt;$D$2*-1,BA140&lt;$D$2,AX140/AW140&gt;=3),"Very serious", AND(AY140&gt;$D$1*-1,AY140&lt;$D$1,OR(AZ140&lt;=$D$2*-1,BA140&gt;=$D$2),AX140/AW140&gt;=3),"Very serious"),""))</f>
        <v/>
      </c>
      <c r="BF140" s="107" t="str">
        <f t="shared" si="11"/>
        <v/>
      </c>
      <c r="BG140" s="94" t="str">
        <f t="shared" si="46"/>
        <v/>
      </c>
      <c r="BH140" s="64" t="str">
        <f t="shared" si="12"/>
        <v>#N/A</v>
      </c>
      <c r="BI140" s="64" t="str">
        <f t="shared" si="13"/>
        <v/>
      </c>
      <c r="BJ140" s="123" t="str">
        <f t="shared" si="14"/>
        <v>#N/A</v>
      </c>
      <c r="BK140" s="64" t="str">
        <f t="shared" si="50"/>
        <v>YES</v>
      </c>
      <c r="BL140" s="64" t="str">
        <f t="shared" si="16"/>
        <v>YES</v>
      </c>
      <c r="BM140" s="64" t="str">
        <f t="shared" si="17"/>
        <v>YES</v>
      </c>
      <c r="BN140" s="124" t="str">
        <f t="shared" si="18"/>
        <v/>
      </c>
      <c r="BO140" s="91" t="str">
        <f t="shared" si="19"/>
        <v/>
      </c>
      <c r="BP140" s="91" t="str">
        <f t="shared" si="20"/>
        <v>#N/A</v>
      </c>
      <c r="BQ140" s="91" t="str">
        <f t="shared" si="21"/>
        <v/>
      </c>
      <c r="BR140" s="93" t="str">
        <f t="shared" si="22"/>
        <v/>
      </c>
      <c r="BS140" s="90" t="str">
        <f t="shared" si="23"/>
        <v/>
      </c>
      <c r="BT140" s="93" t="str">
        <f t="shared" si="24"/>
        <v>NA</v>
      </c>
      <c r="BU140" s="125" t="str">
        <f t="shared" si="25"/>
        <v>#N/A</v>
      </c>
      <c r="BV140" s="93" t="str">
        <f t="shared" si="26"/>
        <v/>
      </c>
      <c r="BW140" s="93" t="str">
        <f t="shared" si="27"/>
        <v/>
      </c>
      <c r="BX140" s="93" t="str">
        <f t="shared" si="28"/>
        <v>NA</v>
      </c>
      <c r="BY140" s="95" t="str">
        <f t="shared" si="29"/>
        <v>#N/A</v>
      </c>
      <c r="BZ140" s="93" t="str">
        <f t="shared" si="30"/>
        <v/>
      </c>
      <c r="CA140" s="93" t="str">
        <f t="shared" si="31"/>
        <v/>
      </c>
      <c r="CB140" s="93" t="str">
        <f t="shared" si="32"/>
        <v>NA</v>
      </c>
      <c r="CC140" s="96" t="str">
        <f t="shared" si="33"/>
        <v>#N/A</v>
      </c>
      <c r="CD140" s="93" t="str">
        <f t="shared" si="34"/>
        <v/>
      </c>
      <c r="CE140" s="93" t="str">
        <f t="shared" si="35"/>
        <v/>
      </c>
      <c r="CF140" s="93" t="str">
        <f t="shared" si="36"/>
        <v>NA</v>
      </c>
      <c r="CG140" s="97" t="str">
        <f t="shared" si="37"/>
        <v>#N/A</v>
      </c>
      <c r="CH140" s="98" t="str">
        <f t="shared" si="38"/>
        <v>#N/A</v>
      </c>
      <c r="CI140" s="99" t="str">
        <f t="shared" si="39"/>
        <v>#N/A</v>
      </c>
      <c r="CJ140" s="126" t="str">
        <f t="shared" si="40"/>
        <v>ERROR: check cell</v>
      </c>
      <c r="CK140" s="126"/>
      <c r="CL140" s="127" t="str">
        <f t="shared" si="41"/>
        <v>#DIV/0!</v>
      </c>
      <c r="CM140" s="128" t="str">
        <f t="shared" si="42"/>
        <v>#DIV/0!</v>
      </c>
      <c r="CN140" s="128">
        <f t="shared" si="43"/>
        <v>4</v>
      </c>
      <c r="CO140" s="129">
        <f t="shared" si="44"/>
        <v>4</v>
      </c>
      <c r="CP140" s="129" t="str">
        <f>IFS(C140=Preferences!B$13,B140,B140=Preferences!B$13,C140)</f>
        <v>#N/A</v>
      </c>
    </row>
    <row r="141" ht="13.5" customHeight="1">
      <c r="A141" s="63" t="str">
        <f t="shared" si="45"/>
        <v/>
      </c>
      <c r="B141" s="64"/>
      <c r="C141" s="64"/>
      <c r="D141" s="64"/>
      <c r="E141" s="65"/>
      <c r="F141" s="65"/>
      <c r="G141" s="65"/>
      <c r="H141" s="66"/>
      <c r="I141" s="66"/>
      <c r="J141" s="67"/>
      <c r="K141" s="68"/>
      <c r="L141" s="104"/>
      <c r="M141" s="104"/>
      <c r="N141" s="104"/>
      <c r="O141" s="104"/>
      <c r="P141" s="107" t="str">
        <f t="shared" si="1"/>
        <v/>
      </c>
      <c r="Q141" s="108" t="str">
        <f>IFERROR(IF(AND(Preferences!B$3="Manual",OR(AX141/AW141&gt;G141/F141,BD141="Serious",BD141="Very serious")),"Assess imprecision",IFS(ISBLANK(E141),"",AND(Preferences!B$3="Automatic", G141/F141&gt;=30),"Extremely serious",AND(H141&lt;=$D$1*-1,J141&lt;0,G141/F141&lt;3),"Not serious",AND(H141&lt;=$D$1*-1,J141&lt;0,G141/F141&gt;=3),"Very serious",AND(H141&gt;=$D$1,I141&gt;0,G141/F141&lt;3),"Not serious",AND(H141&gt;=$D$1,I141&gt;0,G141/F141&gt;=3),"Very serious",AND(H141&lt;=$D$1*-1,J141&gt;0,I141&gt;$D$2*-1,G141/F141&lt;3),"Serious", AND(H141&lt;=$D$1*-1,J141&gt;0,I141&lt;$D$2*-1,G141/F141&lt;3),"Very serious", AND(H141&gt;=$D$1,I141&lt;0,J141&lt;$D$2,G141/F141&lt;3),"Serious",AND(H141&gt;=$D$1,I141&lt;0,J141&gt;$D$2,G141/F141&lt;3),"Very serious", AND(H141&lt;=$D$1*-1,J141&gt;0,I141&gt;$D$2*-1,G141/F141&gt;=3),"Very serious", AND(H141&lt;=$D$1*-1,J141&gt;0,I141&lt;$D$2*-1,G141/F141&gt;=3),"Very serious", AND(H141&gt;=$D$1,I141&lt;0,J141&lt;$D$2,G141/F141&gt;=3),"Very serious", AND(H141&gt;=$D$1,I141&lt;0,J141&gt;$D$2,G141/F141&gt;=3),"Very serious", AND(H141&gt;$D$1*-1,H141&lt;$D$1,I141&gt;$D$1*-1,J141&lt;$D$1,G141/F141&lt;3),"Not serious", AND(H141&gt;$D$1*-1,H141&lt;$D$1,OR(I141&lt;=$D$1*-1,J141&gt;=$D$1),I141&gt;$D$2*-1,J141&lt;$D$2,G141/F141&lt;3),"Serious", AND(H141&gt;$D$1*-1,H141&lt;$D$1,OR(I141&lt;=$D$2*-1,J141&gt;=$D$2),G141/F141&lt;3),"Very serious", AND(H141&gt;$D$1*-1,H141&lt;$D$1,I141&gt;$D$1*-1,J141&lt;$D$1,G141/F141&gt;=3),"Very serious", AND(H141&gt;$D$1*-1,H141&lt;$D$1,OR(I141&lt;=$D$1*-1,J141&gt;=$D$1),I141&gt;$D$2*-1,J141&lt;$D$2,G141/F141&gt;=3),"Very serious", AND(H141&gt;$D$1*-1,H141&lt;$D$1,OR(I141&lt;=$D$2*-1,J141&gt;=$D$2),G141/F141&gt;=3),"Very serious")),"")</f>
        <v/>
      </c>
      <c r="R141" s="109" t="str">
        <f t="shared" si="47"/>
        <v/>
      </c>
      <c r="S141" s="64"/>
      <c r="T141" s="72"/>
      <c r="U141" s="72"/>
      <c r="V141" s="72"/>
      <c r="W141" s="73"/>
      <c r="X141" s="73"/>
      <c r="Y141" s="74"/>
      <c r="Z141" s="113" t="str">
        <f t="array" ref="Z141">INDEX($A$1:$C$500, MATCH(1,($B:$B=$B141)*($C:$C=$AB141),0),1)</f>
        <v/>
      </c>
      <c r="AA141" s="113" t="str">
        <f t="array" ref="AA141">INDEX($A$1:$C$500, MATCH(1,($B:$B=$AB141)*($C:$C=$B141),0),1)</f>
        <v/>
      </c>
      <c r="AB141" s="111"/>
      <c r="AC141" s="114" t="str">
        <f t="shared" si="2"/>
        <v/>
      </c>
      <c r="AD141" s="115" t="str">
        <f t="shared" si="3"/>
        <v/>
      </c>
      <c r="AE141" s="116" t="str">
        <f t="array" ref="AE141">INDEX($A$1:$C$500, MATCH(1,($B:$B=$AB141)*($C:$C=$AG141),0),1)</f>
        <v/>
      </c>
      <c r="AF141" s="116" t="str">
        <f t="array" ref="AF141">INDEX($A$1:$C$500, MATCH(1,($B:$B=$AG141)*($C:$C=$AB141),0),1)</f>
        <v/>
      </c>
      <c r="AG141" s="72"/>
      <c r="AH141" s="114" t="str">
        <f t="shared" si="4"/>
        <v/>
      </c>
      <c r="AI141" s="115" t="str">
        <f t="shared" si="5"/>
        <v/>
      </c>
      <c r="AJ141" s="116" t="str">
        <f t="array" ref="AJ141">INDEX($A$1:$C$500, MATCH(1,($B:$B=$C141)*($C:$C=$AG141),0),1)</f>
        <v/>
      </c>
      <c r="AK141" s="116" t="str">
        <f t="array" ref="AK141">INDEX($A$1:$C$500, MATCH(1,($B:$B=$AG141)*($C:$C=$C141),0),1)</f>
        <v/>
      </c>
      <c r="AL141" s="116" t="str">
        <f t="array" ref="AL141">INDEX($A$1:$C$500, MATCH(1,($B:$B=$C141)*($C:$C=$AB141),0),1)</f>
        <v/>
      </c>
      <c r="AM141" s="116" t="str">
        <f t="array" ref="AM141">INDEX($A$1:$C$500, MATCH(1,($B:$B=$AB141)*($C:$C=$C141),0),1)</f>
        <v/>
      </c>
      <c r="AN141" s="114" t="str">
        <f t="array" ref="AN141">IFS(ISNUMBER(AJ141),AJ141,ISNUMBER(AK141),AK141,ISNUMBER(AL141),AL141,ISNUMBER(AM141),AM141)</f>
        <v>#N/A</v>
      </c>
      <c r="AO141" s="115" t="str">
        <f t="shared" si="6"/>
        <v/>
      </c>
      <c r="AP141" s="115" t="str">
        <f t="shared" si="7"/>
        <v/>
      </c>
      <c r="AQ141" s="111"/>
      <c r="AR141" s="109" t="str">
        <f t="shared" si="8"/>
        <v/>
      </c>
      <c r="AS141" s="72" t="str">
        <f>IFERROR(IF(AND(Preferences!B$3="Manual",OR(AX141/AW141&gt;V141/U141,BD141="Serious",BD141="Very serious")),"Assess imprecision",IFERROR(IFS(AND(Preferences!B$3="Automatic",V141/U141&gt;=30),"Extremely serious",AND(W141&lt;=$D$1*-1,Y141&lt;0,V141/U141&lt;3),"Not Serious",AND(W141&lt;=$D$1*-1,Y141&lt;0,V141/U141&gt;=3),"Very serious",AND(W141&gt;=$D$1,X141&gt;0,V141/U141&lt;3),"Not Serious",AND(W141&gt;=$D$1,X141&gt;0,V141/U141&gt;=3),"Very serious",AND(W141&lt;=$D$1*-1,Y141&gt;0,X141&gt;$D$2*-1,V141/U141&lt;3),"Serious", AND(W141&lt;=$D$1*-1,Y141&gt;0,X141&lt;$D$2*-1,V141/U141&lt;3),"Very serious", AND(W141&gt;=$D$1,X141&lt;0,Y141&lt;$D$2,V141/U141&lt;3),"Serious",AND(W141&gt;=$D$1,X141&lt;0,Y141&gt;$D$2,V141/U141&lt;3),"Very serious", AND(W141&lt;=$D$1*-1,Y141&gt;0,X141&gt;$D$2*-1,V141/U141&gt;=3),"Very serious", AND(W141&lt;=$D$1*-1,Y141&gt;0,X141&lt;$D$2*-1,V141/U141&gt;=3),"Very serious", AND(W141&gt;=$D$1,X141&lt;0,Y141&lt;$D$2,V141/U141&gt;=3),"Very serious", AND(W141&gt;=$D$1,X141&lt;0,Y141&gt;$D$2,V141/U141&gt;=3),"Very serious", AND(W141&gt;$D$1*-1,W141&lt;$D$1,X141&gt;$D$1*-1,Y141&lt;$D$1,V141/U141&lt;3),"Not Serious", AND(W141&gt;$D$1*-1,W141&lt;$D$1,OR(X141&lt;=$D$1*-1,Y141&gt;=$D$1),X141&gt;$D$2*-1,Y141&lt;$D$2,V141/U141&lt;3),"Serious", AND(W141&gt;$D$1*-1,W141&lt;$D$1,OR(X141&lt;=$D$2*-1,Y141&gt;=$D$2),V141/U141&lt;3),"Very serious", AND(W141&gt;$D$1*-1,W141&lt;$D$1,X141&gt;$D$1*-1,Y141&lt;$D$1,V141/U141&gt;=3),"Very serious", AND(W141&gt;$D$1*-1,W141&lt;$D$1,OR(X141&lt;=$D$1*-1,Y141&gt;=$D$1),X141&gt;$D$2*-1,Y141&lt;$D$2,V141/U141&gt;=3),"Very serious", AND(W141&gt;$D$1*-1,W141&lt;$D$1,OR(X141&lt;=$D$2*-1,Y141&gt;=$D$2),V141/U141&gt;=3),"Very serious"),"")),"")</f>
        <v/>
      </c>
      <c r="AT141" s="109" t="str">
        <f t="shared" si="9"/>
        <v/>
      </c>
      <c r="AU141" s="64"/>
      <c r="AV141" s="83"/>
      <c r="AW141" s="83"/>
      <c r="AX141" s="83"/>
      <c r="AY141" s="83"/>
      <c r="AZ141" s="83"/>
      <c r="BA141" s="85"/>
      <c r="BB141" s="86" t="str">
        <f>IF(Preferences!B$9="Manual","",IFS(ISBLANK(B141),"",AND(ISNUMBER(E141)=TRUE,ISNUMBER(T141)=FALSE),"Direct", AND(ISNUMBER(E141)=FALSE,ISNUMBER(T141)=TRUE),"Indirect", CN141=4,"Direct",AND(CL141=FALSE, CM141=TRUE,CN141-CO141&gt;-1),"Direct", AND(CL141=FALSE,CM141=TRUE, CN141-CO141&lt;0),"Check algorithm in appendix 2", AND(CL141=TRUE, CM141=FALSE,CN141-CO141&gt;0),"Check algorithm in appendix 2", AND(CL141=TRUE, CM141=FALSE,CN141-CO141=0),"Indirect", AND(CL141=TRUE, CM141=FALSE,CN141-CO141&lt;0),"Indirect", AND(CL141=FALSE,CM141=FALSE,CN141-CO141&gt;-1),"Direct", AND(CL141=FALSE,CM141=FALSE,CN141-CO141&lt;0),"Check algorithm in appendix 2", AND(CL141=TRUE,CM141=TRUE,CN141-CO141&gt;-1),"Direct", AND(CL141=TRUE,CM141=TRUE,CN141-CO141&lt;0),"Check algorithm in appendix 2"))</f>
        <v/>
      </c>
      <c r="BC141" s="120" t="str">
        <f t="shared" si="10"/>
        <v/>
      </c>
      <c r="BD141" s="140"/>
      <c r="BE141" s="122" t="str">
        <f>IF(Preferences!B$3="Manual","", IFERROR(IFS(AND(Preferences!B$3="Automatic",AX141/AW141&gt;=30),"Extremely serious",AND(AY141&lt;=$D$1*-1,BA141&lt;0,AX141/AW141&lt;3),"Not Serious",AND(AY141&lt;=$D$1*-1,BA141&lt;0,AX141/AW141&gt;=3),"Very serious",AND(AY141&gt;=$D$1,AZ141&gt;0,AX141/AW141&lt;3),"Not Serious",AND(AY141&gt;=$D$1,AZ141&gt;0,AX141/AW141&gt;=3),"Very serious",AND(AY141&lt;=$D$1*-1,BA141&gt;0,AZ141&gt;$D$2*-1,AX141/AW141&lt;3),"Serious", AND(AY141&lt;=$D$1*-1,BA141&gt;0,AZ141&lt;$D$2*-1,AX141/AW141&lt;3),"Very serious", AND(AY141&gt;=$D$1,AZ141&lt;0,BA141&lt;$D$2,AX141/AW141&lt;3),"Serious",AND(AY141&gt;=$D$1,AZ141&lt;0,BA141&gt;$D$2,AX141/AW141&lt;3),"Very serious", AND(AY141&lt;=$D$1*-1,BA141&gt;0,AZ141&gt;$D$2*-1,AX141/AW141&gt;=3),"Very serious", AND(AY141&lt;=$D$1*-1,BA141&gt;0,AZ141&lt;$D$2*-1,AX141/AW141&gt;=3),"Very serious", AND(AY141&gt;=$D$1,AZ141&lt;0,BA141&lt;$D$2,AX141/AW141&gt;=3),"Very serious", AND(AY141&gt;=$D$1,AZ141&lt;0,BA141&gt;$D$2,AX141/AW141&gt;=3),"Very serious", AND(AY141&gt;$D$1*-1,AY141&lt;$D$1,AZ141&gt;$D$1*-1,BA141&lt;$D$1,AX141/AW141&lt;3),"Not Serious", AND(AY141&gt;$D$1*-1,AY141&lt;$D$1,OR(AZ141&lt;=$D$1*-1,BA141&gt;=$D$1),AZ141&gt;$D$2*-1,BA141&lt;$D$2,AX141/AW141&lt;3),"Serious", AND(AY141&gt;$D$1*-1,AY141&lt;$D$1,OR(AZ141&lt;=$D$2*-1,BA141&gt;=$D$2),AX141/AW141&lt;3),"Very serious", AND(AY141&gt;$D$1*-1,AY141&lt;$D$1,AZ141&gt;$D$1*-1,BA141&lt;$D$1,AX141/AW141&gt;=3),"Very serious", AND(AY141&gt;$D$1*-1,AY141&lt;$D$1,OR(AZ141&lt;=$D$1*-1,BA141&gt;=$D$1),AZ141&gt;$D$2*-1,BA141&lt;$D$2,AX141/AW141&gt;=3),"Very serious", AND(AY141&gt;$D$1*-1,AY141&lt;$D$1,OR(AZ141&lt;=$D$2*-1,BA141&gt;=$D$2),AX141/AW141&gt;=3),"Very serious"),""))</f>
        <v/>
      </c>
      <c r="BF141" s="107" t="str">
        <f t="shared" si="11"/>
        <v/>
      </c>
      <c r="BG141" s="94" t="str">
        <f t="shared" si="46"/>
        <v/>
      </c>
      <c r="BH141" s="64" t="str">
        <f t="shared" si="12"/>
        <v>#N/A</v>
      </c>
      <c r="BI141" s="64" t="str">
        <f t="shared" si="13"/>
        <v/>
      </c>
      <c r="BJ141" s="123" t="str">
        <f t="shared" si="14"/>
        <v>#N/A</v>
      </c>
      <c r="BK141" s="64" t="str">
        <f t="shared" si="50"/>
        <v>YES</v>
      </c>
      <c r="BL141" s="64" t="str">
        <f t="shared" si="16"/>
        <v>YES</v>
      </c>
      <c r="BM141" s="64" t="str">
        <f t="shared" si="17"/>
        <v>YES</v>
      </c>
      <c r="BN141" s="124" t="str">
        <f t="shared" si="18"/>
        <v/>
      </c>
      <c r="BO141" s="91" t="str">
        <f t="shared" si="19"/>
        <v/>
      </c>
      <c r="BP141" s="91" t="str">
        <f t="shared" si="20"/>
        <v>#N/A</v>
      </c>
      <c r="BQ141" s="91" t="str">
        <f t="shared" si="21"/>
        <v/>
      </c>
      <c r="BR141" s="93" t="str">
        <f t="shared" si="22"/>
        <v/>
      </c>
      <c r="BS141" s="90" t="str">
        <f t="shared" si="23"/>
        <v/>
      </c>
      <c r="BT141" s="93" t="str">
        <f t="shared" si="24"/>
        <v>NA</v>
      </c>
      <c r="BU141" s="125" t="str">
        <f t="shared" si="25"/>
        <v>#N/A</v>
      </c>
      <c r="BV141" s="93" t="str">
        <f t="shared" si="26"/>
        <v/>
      </c>
      <c r="BW141" s="93" t="str">
        <f t="shared" si="27"/>
        <v/>
      </c>
      <c r="BX141" s="93" t="str">
        <f t="shared" si="28"/>
        <v>NA</v>
      </c>
      <c r="BY141" s="95" t="str">
        <f t="shared" si="29"/>
        <v>#N/A</v>
      </c>
      <c r="BZ141" s="93" t="str">
        <f t="shared" si="30"/>
        <v/>
      </c>
      <c r="CA141" s="93" t="str">
        <f t="shared" si="31"/>
        <v/>
      </c>
      <c r="CB141" s="93" t="str">
        <f t="shared" si="32"/>
        <v>NA</v>
      </c>
      <c r="CC141" s="96" t="str">
        <f t="shared" si="33"/>
        <v>#N/A</v>
      </c>
      <c r="CD141" s="93" t="str">
        <f t="shared" si="34"/>
        <v/>
      </c>
      <c r="CE141" s="93" t="str">
        <f t="shared" si="35"/>
        <v/>
      </c>
      <c r="CF141" s="93" t="str">
        <f t="shared" si="36"/>
        <v>NA</v>
      </c>
      <c r="CG141" s="97" t="str">
        <f t="shared" si="37"/>
        <v>#N/A</v>
      </c>
      <c r="CH141" s="98" t="str">
        <f t="shared" si="38"/>
        <v>#N/A</v>
      </c>
      <c r="CI141" s="99" t="str">
        <f t="shared" si="39"/>
        <v>#N/A</v>
      </c>
      <c r="CJ141" s="126" t="str">
        <f t="shared" si="40"/>
        <v>ERROR: check cell</v>
      </c>
      <c r="CK141" s="126"/>
      <c r="CL141" s="127" t="str">
        <f t="shared" si="41"/>
        <v>#DIV/0!</v>
      </c>
      <c r="CM141" s="128" t="str">
        <f t="shared" si="42"/>
        <v>#DIV/0!</v>
      </c>
      <c r="CN141" s="128">
        <f t="shared" si="43"/>
        <v>4</v>
      </c>
      <c r="CO141" s="129">
        <f t="shared" si="44"/>
        <v>4</v>
      </c>
      <c r="CP141" s="129" t="str">
        <f>IFS(C141=Preferences!B$13,B141,B141=Preferences!B$13,C141)</f>
        <v>#N/A</v>
      </c>
    </row>
    <row r="142" ht="13.5" customHeight="1">
      <c r="A142" s="63" t="str">
        <f t="shared" si="45"/>
        <v/>
      </c>
      <c r="B142" s="64"/>
      <c r="C142" s="64"/>
      <c r="D142" s="64"/>
      <c r="E142" s="65"/>
      <c r="F142" s="65"/>
      <c r="G142" s="65"/>
      <c r="H142" s="66"/>
      <c r="I142" s="66"/>
      <c r="J142" s="67"/>
      <c r="K142" s="68"/>
      <c r="L142" s="104"/>
      <c r="M142" s="104"/>
      <c r="N142" s="104"/>
      <c r="O142" s="104"/>
      <c r="P142" s="107" t="str">
        <f t="shared" si="1"/>
        <v/>
      </c>
      <c r="Q142" s="108" t="str">
        <f>IFERROR(IF(AND(Preferences!B$3="Manual",OR(AX142/AW142&gt;G142/F142,BD142="Serious",BD142="Very serious")),"Assess imprecision",IFS(ISBLANK(E142),"",AND(Preferences!B$3="Automatic", G142/F142&gt;=30),"Extremely serious",AND(H142&lt;=$D$1*-1,J142&lt;0,G142/F142&lt;3),"Not serious",AND(H142&lt;=$D$1*-1,J142&lt;0,G142/F142&gt;=3),"Very serious",AND(H142&gt;=$D$1,I142&gt;0,G142/F142&lt;3),"Not serious",AND(H142&gt;=$D$1,I142&gt;0,G142/F142&gt;=3),"Very serious",AND(H142&lt;=$D$1*-1,J142&gt;0,I142&gt;$D$2*-1,G142/F142&lt;3),"Serious", AND(H142&lt;=$D$1*-1,J142&gt;0,I142&lt;$D$2*-1,G142/F142&lt;3),"Very serious", AND(H142&gt;=$D$1,I142&lt;0,J142&lt;$D$2,G142/F142&lt;3),"Serious",AND(H142&gt;=$D$1,I142&lt;0,J142&gt;$D$2,G142/F142&lt;3),"Very serious", AND(H142&lt;=$D$1*-1,J142&gt;0,I142&gt;$D$2*-1,G142/F142&gt;=3),"Very serious", AND(H142&lt;=$D$1*-1,J142&gt;0,I142&lt;$D$2*-1,G142/F142&gt;=3),"Very serious", AND(H142&gt;=$D$1,I142&lt;0,J142&lt;$D$2,G142/F142&gt;=3),"Very serious", AND(H142&gt;=$D$1,I142&lt;0,J142&gt;$D$2,G142/F142&gt;=3),"Very serious", AND(H142&gt;$D$1*-1,H142&lt;$D$1,I142&gt;$D$1*-1,J142&lt;$D$1,G142/F142&lt;3),"Not serious", AND(H142&gt;$D$1*-1,H142&lt;$D$1,OR(I142&lt;=$D$1*-1,J142&gt;=$D$1),I142&gt;$D$2*-1,J142&lt;$D$2,G142/F142&lt;3),"Serious", AND(H142&gt;$D$1*-1,H142&lt;$D$1,OR(I142&lt;=$D$2*-1,J142&gt;=$D$2),G142/F142&lt;3),"Very serious", AND(H142&gt;$D$1*-1,H142&lt;$D$1,I142&gt;$D$1*-1,J142&lt;$D$1,G142/F142&gt;=3),"Very serious", AND(H142&gt;$D$1*-1,H142&lt;$D$1,OR(I142&lt;=$D$1*-1,J142&gt;=$D$1),I142&gt;$D$2*-1,J142&lt;$D$2,G142/F142&gt;=3),"Very serious", AND(H142&gt;$D$1*-1,H142&lt;$D$1,OR(I142&lt;=$D$2*-1,J142&gt;=$D$2),G142/F142&gt;=3),"Very serious")),"")</f>
        <v/>
      </c>
      <c r="R142" s="109" t="str">
        <f t="shared" si="47"/>
        <v/>
      </c>
      <c r="S142" s="64"/>
      <c r="T142" s="72"/>
      <c r="U142" s="72"/>
      <c r="V142" s="72"/>
      <c r="W142" s="73"/>
      <c r="X142" s="73"/>
      <c r="Y142" s="74"/>
      <c r="Z142" s="113" t="str">
        <f t="array" ref="Z142">INDEX($A$1:$C$500, MATCH(1,($B:$B=$B142)*($C:$C=$AB142),0),1)</f>
        <v/>
      </c>
      <c r="AA142" s="113" t="str">
        <f t="array" ref="AA142">INDEX($A$1:$C$500, MATCH(1,($B:$B=$AB142)*($C:$C=$B142),0),1)</f>
        <v/>
      </c>
      <c r="AB142" s="111"/>
      <c r="AC142" s="114" t="str">
        <f t="shared" si="2"/>
        <v/>
      </c>
      <c r="AD142" s="115" t="str">
        <f t="shared" si="3"/>
        <v/>
      </c>
      <c r="AE142" s="116" t="str">
        <f t="array" ref="AE142">INDEX($A$1:$C$500, MATCH(1,($B:$B=$AB142)*($C:$C=$AG142),0),1)</f>
        <v/>
      </c>
      <c r="AF142" s="116" t="str">
        <f t="array" ref="AF142">INDEX($A$1:$C$500, MATCH(1,($B:$B=$AG142)*($C:$C=$AB142),0),1)</f>
        <v/>
      </c>
      <c r="AG142" s="72"/>
      <c r="AH142" s="114" t="str">
        <f t="shared" si="4"/>
        <v/>
      </c>
      <c r="AI142" s="115" t="str">
        <f t="shared" si="5"/>
        <v/>
      </c>
      <c r="AJ142" s="116" t="str">
        <f t="array" ref="AJ142">INDEX($A$1:$C$500, MATCH(1,($B:$B=$C142)*($C:$C=$AG142),0),1)</f>
        <v/>
      </c>
      <c r="AK142" s="116" t="str">
        <f t="array" ref="AK142">INDEX($A$1:$C$500, MATCH(1,($B:$B=$AG142)*($C:$C=$C142),0),1)</f>
        <v/>
      </c>
      <c r="AL142" s="116" t="str">
        <f t="array" ref="AL142">INDEX($A$1:$C$500, MATCH(1,($B:$B=$C142)*($C:$C=$AB142),0),1)</f>
        <v/>
      </c>
      <c r="AM142" s="116" t="str">
        <f t="array" ref="AM142">INDEX($A$1:$C$500, MATCH(1,($B:$B=$AB142)*($C:$C=$C142),0),1)</f>
        <v/>
      </c>
      <c r="AN142" s="114" t="str">
        <f t="array" ref="AN142">IFS(ISNUMBER(AJ142),AJ142,ISNUMBER(AK142),AK142,ISNUMBER(AL142),AL142,ISNUMBER(AM142),AM142)</f>
        <v>#N/A</v>
      </c>
      <c r="AO142" s="115" t="str">
        <f t="shared" si="6"/>
        <v/>
      </c>
      <c r="AP142" s="115" t="str">
        <f t="shared" si="7"/>
        <v/>
      </c>
      <c r="AQ142" s="111"/>
      <c r="AR142" s="109" t="str">
        <f t="shared" si="8"/>
        <v/>
      </c>
      <c r="AS142" s="72" t="str">
        <f>IFERROR(IF(AND(Preferences!B$3="Manual",OR(AX142/AW142&gt;V142/U142,BD142="Serious",BD142="Very serious")),"Assess imprecision",IFERROR(IFS(AND(Preferences!B$3="Automatic",V142/U142&gt;=30),"Extremely serious",AND(W142&lt;=$D$1*-1,Y142&lt;0,V142/U142&lt;3),"Not Serious",AND(W142&lt;=$D$1*-1,Y142&lt;0,V142/U142&gt;=3),"Very serious",AND(W142&gt;=$D$1,X142&gt;0,V142/U142&lt;3),"Not Serious",AND(W142&gt;=$D$1,X142&gt;0,V142/U142&gt;=3),"Very serious",AND(W142&lt;=$D$1*-1,Y142&gt;0,X142&gt;$D$2*-1,V142/U142&lt;3),"Serious", AND(W142&lt;=$D$1*-1,Y142&gt;0,X142&lt;$D$2*-1,V142/U142&lt;3),"Very serious", AND(W142&gt;=$D$1,X142&lt;0,Y142&lt;$D$2,V142/U142&lt;3),"Serious",AND(W142&gt;=$D$1,X142&lt;0,Y142&gt;$D$2,V142/U142&lt;3),"Very serious", AND(W142&lt;=$D$1*-1,Y142&gt;0,X142&gt;$D$2*-1,V142/U142&gt;=3),"Very serious", AND(W142&lt;=$D$1*-1,Y142&gt;0,X142&lt;$D$2*-1,V142/U142&gt;=3),"Very serious", AND(W142&gt;=$D$1,X142&lt;0,Y142&lt;$D$2,V142/U142&gt;=3),"Very serious", AND(W142&gt;=$D$1,X142&lt;0,Y142&gt;$D$2,V142/U142&gt;=3),"Very serious", AND(W142&gt;$D$1*-1,W142&lt;$D$1,X142&gt;$D$1*-1,Y142&lt;$D$1,V142/U142&lt;3),"Not Serious", AND(W142&gt;$D$1*-1,W142&lt;$D$1,OR(X142&lt;=$D$1*-1,Y142&gt;=$D$1),X142&gt;$D$2*-1,Y142&lt;$D$2,V142/U142&lt;3),"Serious", AND(W142&gt;$D$1*-1,W142&lt;$D$1,OR(X142&lt;=$D$2*-1,Y142&gt;=$D$2),V142/U142&lt;3),"Very serious", AND(W142&gt;$D$1*-1,W142&lt;$D$1,X142&gt;$D$1*-1,Y142&lt;$D$1,V142/U142&gt;=3),"Very serious", AND(W142&gt;$D$1*-1,W142&lt;$D$1,OR(X142&lt;=$D$1*-1,Y142&gt;=$D$1),X142&gt;$D$2*-1,Y142&lt;$D$2,V142/U142&gt;=3),"Very serious", AND(W142&gt;$D$1*-1,W142&lt;$D$1,OR(X142&lt;=$D$2*-1,Y142&gt;=$D$2),V142/U142&gt;=3),"Very serious"),"")),"")</f>
        <v/>
      </c>
      <c r="AT142" s="109" t="str">
        <f t="shared" si="9"/>
        <v/>
      </c>
      <c r="AU142" s="64"/>
      <c r="AV142" s="83"/>
      <c r="AW142" s="83"/>
      <c r="AX142" s="83"/>
      <c r="AY142" s="83"/>
      <c r="AZ142" s="83"/>
      <c r="BA142" s="85"/>
      <c r="BB142" s="86" t="str">
        <f>IF(Preferences!B$9="Manual","",IFS(ISBLANK(B142),"",AND(ISNUMBER(E142)=TRUE,ISNUMBER(T142)=FALSE),"Direct", AND(ISNUMBER(E142)=FALSE,ISNUMBER(T142)=TRUE),"Indirect", CN142=4,"Direct",AND(CL142=FALSE, CM142=TRUE,CN142-CO142&gt;-1),"Direct", AND(CL142=FALSE,CM142=TRUE, CN142-CO142&lt;0),"Check algorithm in appendix 2", AND(CL142=TRUE, CM142=FALSE,CN142-CO142&gt;0),"Check algorithm in appendix 2", AND(CL142=TRUE, CM142=FALSE,CN142-CO142=0),"Indirect", AND(CL142=TRUE, CM142=FALSE,CN142-CO142&lt;0),"Indirect", AND(CL142=FALSE,CM142=FALSE,CN142-CO142&gt;-1),"Direct", AND(CL142=FALSE,CM142=FALSE,CN142-CO142&lt;0),"Check algorithm in appendix 2", AND(CL142=TRUE,CM142=TRUE,CN142-CO142&gt;-1),"Direct", AND(CL142=TRUE,CM142=TRUE,CN142-CO142&lt;0),"Check algorithm in appendix 2"))</f>
        <v/>
      </c>
      <c r="BC142" s="120" t="str">
        <f t="shared" si="10"/>
        <v/>
      </c>
      <c r="BD142" s="140"/>
      <c r="BE142" s="122" t="str">
        <f>IF(Preferences!B$3="Manual","", IFERROR(IFS(AND(Preferences!B$3="Automatic",AX142/AW142&gt;=30),"Extremely serious",AND(AY142&lt;=$D$1*-1,BA142&lt;0,AX142/AW142&lt;3),"Not Serious",AND(AY142&lt;=$D$1*-1,BA142&lt;0,AX142/AW142&gt;=3),"Very serious",AND(AY142&gt;=$D$1,AZ142&gt;0,AX142/AW142&lt;3),"Not Serious",AND(AY142&gt;=$D$1,AZ142&gt;0,AX142/AW142&gt;=3),"Very serious",AND(AY142&lt;=$D$1*-1,BA142&gt;0,AZ142&gt;$D$2*-1,AX142/AW142&lt;3),"Serious", AND(AY142&lt;=$D$1*-1,BA142&gt;0,AZ142&lt;$D$2*-1,AX142/AW142&lt;3),"Very serious", AND(AY142&gt;=$D$1,AZ142&lt;0,BA142&lt;$D$2,AX142/AW142&lt;3),"Serious",AND(AY142&gt;=$D$1,AZ142&lt;0,BA142&gt;$D$2,AX142/AW142&lt;3),"Very serious", AND(AY142&lt;=$D$1*-1,BA142&gt;0,AZ142&gt;$D$2*-1,AX142/AW142&gt;=3),"Very serious", AND(AY142&lt;=$D$1*-1,BA142&gt;0,AZ142&lt;$D$2*-1,AX142/AW142&gt;=3),"Very serious", AND(AY142&gt;=$D$1,AZ142&lt;0,BA142&lt;$D$2,AX142/AW142&gt;=3),"Very serious", AND(AY142&gt;=$D$1,AZ142&lt;0,BA142&gt;$D$2,AX142/AW142&gt;=3),"Very serious", AND(AY142&gt;$D$1*-1,AY142&lt;$D$1,AZ142&gt;$D$1*-1,BA142&lt;$D$1,AX142/AW142&lt;3),"Not Serious", AND(AY142&gt;$D$1*-1,AY142&lt;$D$1,OR(AZ142&lt;=$D$1*-1,BA142&gt;=$D$1),AZ142&gt;$D$2*-1,BA142&lt;$D$2,AX142/AW142&lt;3),"Serious", AND(AY142&gt;$D$1*-1,AY142&lt;$D$1,OR(AZ142&lt;=$D$2*-1,BA142&gt;=$D$2),AX142/AW142&lt;3),"Very serious", AND(AY142&gt;$D$1*-1,AY142&lt;$D$1,AZ142&gt;$D$1*-1,BA142&lt;$D$1,AX142/AW142&gt;=3),"Very serious", AND(AY142&gt;$D$1*-1,AY142&lt;$D$1,OR(AZ142&lt;=$D$1*-1,BA142&gt;=$D$1),AZ142&gt;$D$2*-1,BA142&lt;$D$2,AX142/AW142&gt;=3),"Very serious", AND(AY142&gt;$D$1*-1,AY142&lt;$D$1,OR(AZ142&lt;=$D$2*-1,BA142&gt;=$D$2),AX142/AW142&gt;=3),"Very serious"),""))</f>
        <v/>
      </c>
      <c r="BF142" s="107" t="str">
        <f t="shared" si="11"/>
        <v/>
      </c>
      <c r="BG142" s="94" t="str">
        <f t="shared" si="46"/>
        <v/>
      </c>
      <c r="BH142" s="64" t="str">
        <f t="shared" si="12"/>
        <v>#N/A</v>
      </c>
      <c r="BI142" s="64" t="str">
        <f t="shared" si="13"/>
        <v/>
      </c>
      <c r="BJ142" s="123" t="str">
        <f t="shared" si="14"/>
        <v>#N/A</v>
      </c>
      <c r="BK142" s="64" t="str">
        <f t="shared" si="50"/>
        <v>YES</v>
      </c>
      <c r="BL142" s="64" t="str">
        <f t="shared" si="16"/>
        <v>YES</v>
      </c>
      <c r="BM142" s="64" t="str">
        <f t="shared" si="17"/>
        <v>YES</v>
      </c>
      <c r="BN142" s="124" t="str">
        <f t="shared" si="18"/>
        <v/>
      </c>
      <c r="BO142" s="91" t="str">
        <f t="shared" si="19"/>
        <v/>
      </c>
      <c r="BP142" s="91" t="str">
        <f t="shared" si="20"/>
        <v>#N/A</v>
      </c>
      <c r="BQ142" s="91" t="str">
        <f t="shared" si="21"/>
        <v/>
      </c>
      <c r="BR142" s="93" t="str">
        <f t="shared" si="22"/>
        <v/>
      </c>
      <c r="BS142" s="90" t="str">
        <f t="shared" si="23"/>
        <v/>
      </c>
      <c r="BT142" s="93" t="str">
        <f t="shared" si="24"/>
        <v>NA</v>
      </c>
      <c r="BU142" s="125" t="str">
        <f t="shared" si="25"/>
        <v>#N/A</v>
      </c>
      <c r="BV142" s="93" t="str">
        <f t="shared" si="26"/>
        <v/>
      </c>
      <c r="BW142" s="93" t="str">
        <f t="shared" si="27"/>
        <v/>
      </c>
      <c r="BX142" s="93" t="str">
        <f t="shared" si="28"/>
        <v>NA</v>
      </c>
      <c r="BY142" s="95" t="str">
        <f t="shared" si="29"/>
        <v>#N/A</v>
      </c>
      <c r="BZ142" s="93" t="str">
        <f t="shared" si="30"/>
        <v/>
      </c>
      <c r="CA142" s="93" t="str">
        <f t="shared" si="31"/>
        <v/>
      </c>
      <c r="CB142" s="93" t="str">
        <f t="shared" si="32"/>
        <v>NA</v>
      </c>
      <c r="CC142" s="96" t="str">
        <f t="shared" si="33"/>
        <v>#N/A</v>
      </c>
      <c r="CD142" s="93" t="str">
        <f t="shared" si="34"/>
        <v/>
      </c>
      <c r="CE142" s="93" t="str">
        <f t="shared" si="35"/>
        <v/>
      </c>
      <c r="CF142" s="93" t="str">
        <f t="shared" si="36"/>
        <v>NA</v>
      </c>
      <c r="CG142" s="97" t="str">
        <f t="shared" si="37"/>
        <v>#N/A</v>
      </c>
      <c r="CH142" s="98" t="str">
        <f t="shared" si="38"/>
        <v>#N/A</v>
      </c>
      <c r="CI142" s="99" t="str">
        <f t="shared" si="39"/>
        <v>#N/A</v>
      </c>
      <c r="CJ142" s="126" t="str">
        <f t="shared" si="40"/>
        <v>ERROR: check cell</v>
      </c>
      <c r="CK142" s="126"/>
      <c r="CL142" s="127" t="str">
        <f t="shared" si="41"/>
        <v>#DIV/0!</v>
      </c>
      <c r="CM142" s="128" t="str">
        <f t="shared" si="42"/>
        <v>#DIV/0!</v>
      </c>
      <c r="CN142" s="128">
        <f t="shared" si="43"/>
        <v>4</v>
      </c>
      <c r="CO142" s="129">
        <f t="shared" si="44"/>
        <v>4</v>
      </c>
      <c r="CP142" s="129" t="str">
        <f>IFS(C142=Preferences!B$13,B142,B142=Preferences!B$13,C142)</f>
        <v>#N/A</v>
      </c>
    </row>
    <row r="143" ht="13.5" customHeight="1">
      <c r="A143" s="63" t="str">
        <f t="shared" si="45"/>
        <v/>
      </c>
      <c r="B143" s="64"/>
      <c r="C143" s="64"/>
      <c r="D143" s="64"/>
      <c r="E143" s="65"/>
      <c r="F143" s="65"/>
      <c r="G143" s="65"/>
      <c r="H143" s="66"/>
      <c r="I143" s="66"/>
      <c r="J143" s="67"/>
      <c r="K143" s="68"/>
      <c r="L143" s="104"/>
      <c r="M143" s="104"/>
      <c r="N143" s="104"/>
      <c r="O143" s="104"/>
      <c r="P143" s="107" t="str">
        <f t="shared" si="1"/>
        <v/>
      </c>
      <c r="Q143" s="108" t="str">
        <f>IFERROR(IF(AND(Preferences!B$3="Manual",OR(AX143/AW143&gt;G143/F143,BD143="Serious",BD143="Very serious")),"Assess imprecision",IFS(ISBLANK(E143),"",AND(Preferences!B$3="Automatic", G143/F143&gt;=30),"Extremely serious",AND(H143&lt;=$D$1*-1,J143&lt;0,G143/F143&lt;3),"Not serious",AND(H143&lt;=$D$1*-1,J143&lt;0,G143/F143&gt;=3),"Very serious",AND(H143&gt;=$D$1,I143&gt;0,G143/F143&lt;3),"Not serious",AND(H143&gt;=$D$1,I143&gt;0,G143/F143&gt;=3),"Very serious",AND(H143&lt;=$D$1*-1,J143&gt;0,I143&gt;$D$2*-1,G143/F143&lt;3),"Serious", AND(H143&lt;=$D$1*-1,J143&gt;0,I143&lt;$D$2*-1,G143/F143&lt;3),"Very serious", AND(H143&gt;=$D$1,I143&lt;0,J143&lt;$D$2,G143/F143&lt;3),"Serious",AND(H143&gt;=$D$1,I143&lt;0,J143&gt;$D$2,G143/F143&lt;3),"Very serious", AND(H143&lt;=$D$1*-1,J143&gt;0,I143&gt;$D$2*-1,G143/F143&gt;=3),"Very serious", AND(H143&lt;=$D$1*-1,J143&gt;0,I143&lt;$D$2*-1,G143/F143&gt;=3),"Very serious", AND(H143&gt;=$D$1,I143&lt;0,J143&lt;$D$2,G143/F143&gt;=3),"Very serious", AND(H143&gt;=$D$1,I143&lt;0,J143&gt;$D$2,G143/F143&gt;=3),"Very serious", AND(H143&gt;$D$1*-1,H143&lt;$D$1,I143&gt;$D$1*-1,J143&lt;$D$1,G143/F143&lt;3),"Not serious", AND(H143&gt;$D$1*-1,H143&lt;$D$1,OR(I143&lt;=$D$1*-1,J143&gt;=$D$1),I143&gt;$D$2*-1,J143&lt;$D$2,G143/F143&lt;3),"Serious", AND(H143&gt;$D$1*-1,H143&lt;$D$1,OR(I143&lt;=$D$2*-1,J143&gt;=$D$2),G143/F143&lt;3),"Very serious", AND(H143&gt;$D$1*-1,H143&lt;$D$1,I143&gt;$D$1*-1,J143&lt;$D$1,G143/F143&gt;=3),"Very serious", AND(H143&gt;$D$1*-1,H143&lt;$D$1,OR(I143&lt;=$D$1*-1,J143&gt;=$D$1),I143&gt;$D$2*-1,J143&lt;$D$2,G143/F143&gt;=3),"Very serious", AND(H143&gt;$D$1*-1,H143&lt;$D$1,OR(I143&lt;=$D$2*-1,J143&gt;=$D$2),G143/F143&gt;=3),"Very serious")),"")</f>
        <v/>
      </c>
      <c r="R143" s="109" t="str">
        <f t="shared" si="47"/>
        <v/>
      </c>
      <c r="S143" s="64"/>
      <c r="T143" s="72"/>
      <c r="U143" s="72"/>
      <c r="V143" s="72"/>
      <c r="W143" s="73"/>
      <c r="X143" s="73"/>
      <c r="Y143" s="74"/>
      <c r="Z143" s="113" t="str">
        <f t="array" ref="Z143">INDEX($A$1:$C$500, MATCH(1,($B:$B=$B143)*($C:$C=$AB143),0),1)</f>
        <v/>
      </c>
      <c r="AA143" s="113" t="str">
        <f t="array" ref="AA143">INDEX($A$1:$C$500, MATCH(1,($B:$B=$AB143)*($C:$C=$B143),0),1)</f>
        <v/>
      </c>
      <c r="AB143" s="111"/>
      <c r="AC143" s="114" t="str">
        <f t="shared" si="2"/>
        <v/>
      </c>
      <c r="AD143" s="115" t="str">
        <f t="shared" si="3"/>
        <v/>
      </c>
      <c r="AE143" s="116" t="str">
        <f t="array" ref="AE143">INDEX($A$1:$C$500, MATCH(1,($B:$B=$AB143)*($C:$C=$AG143),0),1)</f>
        <v/>
      </c>
      <c r="AF143" s="116" t="str">
        <f t="array" ref="AF143">INDEX($A$1:$C$500, MATCH(1,($B:$B=$AG143)*($C:$C=$AB143),0),1)</f>
        <v/>
      </c>
      <c r="AG143" s="72"/>
      <c r="AH143" s="114" t="str">
        <f t="shared" si="4"/>
        <v/>
      </c>
      <c r="AI143" s="115" t="str">
        <f t="shared" si="5"/>
        <v/>
      </c>
      <c r="AJ143" s="116" t="str">
        <f t="array" ref="AJ143">INDEX($A$1:$C$500, MATCH(1,($B:$B=$C143)*($C:$C=$AG143),0),1)</f>
        <v/>
      </c>
      <c r="AK143" s="116" t="str">
        <f t="array" ref="AK143">INDEX($A$1:$C$500, MATCH(1,($B:$B=$AG143)*($C:$C=$C143),0),1)</f>
        <v/>
      </c>
      <c r="AL143" s="116" t="str">
        <f t="array" ref="AL143">INDEX($A$1:$C$500, MATCH(1,($B:$B=$C143)*($C:$C=$AB143),0),1)</f>
        <v/>
      </c>
      <c r="AM143" s="116" t="str">
        <f t="array" ref="AM143">INDEX($A$1:$C$500, MATCH(1,($B:$B=$AB143)*($C:$C=$C143),0),1)</f>
        <v/>
      </c>
      <c r="AN143" s="114" t="str">
        <f t="array" ref="AN143">IFS(ISNUMBER(AJ143),AJ143,ISNUMBER(AK143),AK143,ISNUMBER(AL143),AL143,ISNUMBER(AM143),AM143)</f>
        <v>#N/A</v>
      </c>
      <c r="AO143" s="115" t="str">
        <f t="shared" si="6"/>
        <v/>
      </c>
      <c r="AP143" s="115" t="str">
        <f t="shared" si="7"/>
        <v/>
      </c>
      <c r="AQ143" s="111"/>
      <c r="AR143" s="109" t="str">
        <f t="shared" si="8"/>
        <v/>
      </c>
      <c r="AS143" s="72" t="str">
        <f>IFERROR(IF(AND(Preferences!B$3="Manual",OR(AX143/AW143&gt;V143/U143,BD143="Serious",BD143="Very serious")),"Assess imprecision",IFERROR(IFS(AND(Preferences!B$3="Automatic",V143/U143&gt;=30),"Extremely serious",AND(W143&lt;=$D$1*-1,Y143&lt;0,V143/U143&lt;3),"Not Serious",AND(W143&lt;=$D$1*-1,Y143&lt;0,V143/U143&gt;=3),"Very serious",AND(W143&gt;=$D$1,X143&gt;0,V143/U143&lt;3),"Not Serious",AND(W143&gt;=$D$1,X143&gt;0,V143/U143&gt;=3),"Very serious",AND(W143&lt;=$D$1*-1,Y143&gt;0,X143&gt;$D$2*-1,V143/U143&lt;3),"Serious", AND(W143&lt;=$D$1*-1,Y143&gt;0,X143&lt;$D$2*-1,V143/U143&lt;3),"Very serious", AND(W143&gt;=$D$1,X143&lt;0,Y143&lt;$D$2,V143/U143&lt;3),"Serious",AND(W143&gt;=$D$1,X143&lt;0,Y143&gt;$D$2,V143/U143&lt;3),"Very serious", AND(W143&lt;=$D$1*-1,Y143&gt;0,X143&gt;$D$2*-1,V143/U143&gt;=3),"Very serious", AND(W143&lt;=$D$1*-1,Y143&gt;0,X143&lt;$D$2*-1,V143/U143&gt;=3),"Very serious", AND(W143&gt;=$D$1,X143&lt;0,Y143&lt;$D$2,V143/U143&gt;=3),"Very serious", AND(W143&gt;=$D$1,X143&lt;0,Y143&gt;$D$2,V143/U143&gt;=3),"Very serious", AND(W143&gt;$D$1*-1,W143&lt;$D$1,X143&gt;$D$1*-1,Y143&lt;$D$1,V143/U143&lt;3),"Not Serious", AND(W143&gt;$D$1*-1,W143&lt;$D$1,OR(X143&lt;=$D$1*-1,Y143&gt;=$D$1),X143&gt;$D$2*-1,Y143&lt;$D$2,V143/U143&lt;3),"Serious", AND(W143&gt;$D$1*-1,W143&lt;$D$1,OR(X143&lt;=$D$2*-1,Y143&gt;=$D$2),V143/U143&lt;3),"Very serious", AND(W143&gt;$D$1*-1,W143&lt;$D$1,X143&gt;$D$1*-1,Y143&lt;$D$1,V143/U143&gt;=3),"Very serious", AND(W143&gt;$D$1*-1,W143&lt;$D$1,OR(X143&lt;=$D$1*-1,Y143&gt;=$D$1),X143&gt;$D$2*-1,Y143&lt;$D$2,V143/U143&gt;=3),"Very serious", AND(W143&gt;$D$1*-1,W143&lt;$D$1,OR(X143&lt;=$D$2*-1,Y143&gt;=$D$2),V143/U143&gt;=3),"Very serious"),"")),"")</f>
        <v/>
      </c>
      <c r="AT143" s="109" t="str">
        <f t="shared" si="9"/>
        <v/>
      </c>
      <c r="AU143" s="64"/>
      <c r="AV143" s="83"/>
      <c r="AW143" s="83"/>
      <c r="AX143" s="83"/>
      <c r="AY143" s="83"/>
      <c r="AZ143" s="83"/>
      <c r="BA143" s="85"/>
      <c r="BB143" s="86" t="str">
        <f>IF(Preferences!B$9="Manual","",IFS(ISBLANK(B143),"",AND(ISNUMBER(E143)=TRUE,ISNUMBER(T143)=FALSE),"Direct", AND(ISNUMBER(E143)=FALSE,ISNUMBER(T143)=TRUE),"Indirect", CN143=4,"Direct",AND(CL143=FALSE, CM143=TRUE,CN143-CO143&gt;-1),"Direct", AND(CL143=FALSE,CM143=TRUE, CN143-CO143&lt;0),"Check algorithm in appendix 2", AND(CL143=TRUE, CM143=FALSE,CN143-CO143&gt;0),"Check algorithm in appendix 2", AND(CL143=TRUE, CM143=FALSE,CN143-CO143=0),"Indirect", AND(CL143=TRUE, CM143=FALSE,CN143-CO143&lt;0),"Indirect", AND(CL143=FALSE,CM143=FALSE,CN143-CO143&gt;-1),"Direct", AND(CL143=FALSE,CM143=FALSE,CN143-CO143&lt;0),"Check algorithm in appendix 2", AND(CL143=TRUE,CM143=TRUE,CN143-CO143&gt;-1),"Direct", AND(CL143=TRUE,CM143=TRUE,CN143-CO143&lt;0),"Check algorithm in appendix 2"))</f>
        <v/>
      </c>
      <c r="BC143" s="120" t="str">
        <f t="shared" si="10"/>
        <v/>
      </c>
      <c r="BD143" s="140"/>
      <c r="BE143" s="122" t="str">
        <f>IF(Preferences!B$3="Manual","", IFERROR(IFS(AND(Preferences!B$3="Automatic",AX143/AW143&gt;=30),"Extremely serious",AND(AY143&lt;=$D$1*-1,BA143&lt;0,AX143/AW143&lt;3),"Not Serious",AND(AY143&lt;=$D$1*-1,BA143&lt;0,AX143/AW143&gt;=3),"Very serious",AND(AY143&gt;=$D$1,AZ143&gt;0,AX143/AW143&lt;3),"Not Serious",AND(AY143&gt;=$D$1,AZ143&gt;0,AX143/AW143&gt;=3),"Very serious",AND(AY143&lt;=$D$1*-1,BA143&gt;0,AZ143&gt;$D$2*-1,AX143/AW143&lt;3),"Serious", AND(AY143&lt;=$D$1*-1,BA143&gt;0,AZ143&lt;$D$2*-1,AX143/AW143&lt;3),"Very serious", AND(AY143&gt;=$D$1,AZ143&lt;0,BA143&lt;$D$2,AX143/AW143&lt;3),"Serious",AND(AY143&gt;=$D$1,AZ143&lt;0,BA143&gt;$D$2,AX143/AW143&lt;3),"Very serious", AND(AY143&lt;=$D$1*-1,BA143&gt;0,AZ143&gt;$D$2*-1,AX143/AW143&gt;=3),"Very serious", AND(AY143&lt;=$D$1*-1,BA143&gt;0,AZ143&lt;$D$2*-1,AX143/AW143&gt;=3),"Very serious", AND(AY143&gt;=$D$1,AZ143&lt;0,BA143&lt;$D$2,AX143/AW143&gt;=3),"Very serious", AND(AY143&gt;=$D$1,AZ143&lt;0,BA143&gt;$D$2,AX143/AW143&gt;=3),"Very serious", AND(AY143&gt;$D$1*-1,AY143&lt;$D$1,AZ143&gt;$D$1*-1,BA143&lt;$D$1,AX143/AW143&lt;3),"Not Serious", AND(AY143&gt;$D$1*-1,AY143&lt;$D$1,OR(AZ143&lt;=$D$1*-1,BA143&gt;=$D$1),AZ143&gt;$D$2*-1,BA143&lt;$D$2,AX143/AW143&lt;3),"Serious", AND(AY143&gt;$D$1*-1,AY143&lt;$D$1,OR(AZ143&lt;=$D$2*-1,BA143&gt;=$D$2),AX143/AW143&lt;3),"Very serious", AND(AY143&gt;$D$1*-1,AY143&lt;$D$1,AZ143&gt;$D$1*-1,BA143&lt;$D$1,AX143/AW143&gt;=3),"Very serious", AND(AY143&gt;$D$1*-1,AY143&lt;$D$1,OR(AZ143&lt;=$D$1*-1,BA143&gt;=$D$1),AZ143&gt;$D$2*-1,BA143&lt;$D$2,AX143/AW143&gt;=3),"Very serious", AND(AY143&gt;$D$1*-1,AY143&lt;$D$1,OR(AZ143&lt;=$D$2*-1,BA143&gt;=$D$2),AX143/AW143&gt;=3),"Very serious"),""))</f>
        <v/>
      </c>
      <c r="BF143" s="107" t="str">
        <f t="shared" si="11"/>
        <v/>
      </c>
      <c r="BG143" s="94" t="str">
        <f t="shared" si="46"/>
        <v/>
      </c>
      <c r="BH143" s="64" t="str">
        <f t="shared" si="12"/>
        <v>#N/A</v>
      </c>
      <c r="BI143" s="64" t="str">
        <f t="shared" si="13"/>
        <v/>
      </c>
      <c r="BJ143" s="123" t="str">
        <f t="shared" si="14"/>
        <v>#N/A</v>
      </c>
      <c r="BK143" s="64" t="str">
        <f t="shared" si="50"/>
        <v>YES</v>
      </c>
      <c r="BL143" s="64" t="str">
        <f t="shared" si="16"/>
        <v>YES</v>
      </c>
      <c r="BM143" s="64" t="str">
        <f t="shared" si="17"/>
        <v>YES</v>
      </c>
      <c r="BN143" s="124" t="str">
        <f t="shared" si="18"/>
        <v/>
      </c>
      <c r="BO143" s="91" t="str">
        <f t="shared" si="19"/>
        <v/>
      </c>
      <c r="BP143" s="91" t="str">
        <f t="shared" si="20"/>
        <v>#N/A</v>
      </c>
      <c r="BQ143" s="91" t="str">
        <f t="shared" si="21"/>
        <v/>
      </c>
      <c r="BR143" s="93" t="str">
        <f t="shared" si="22"/>
        <v/>
      </c>
      <c r="BS143" s="90" t="str">
        <f t="shared" si="23"/>
        <v/>
      </c>
      <c r="BT143" s="93" t="str">
        <f t="shared" si="24"/>
        <v>NA</v>
      </c>
      <c r="BU143" s="125" t="str">
        <f t="shared" si="25"/>
        <v>#N/A</v>
      </c>
      <c r="BV143" s="93" t="str">
        <f t="shared" si="26"/>
        <v/>
      </c>
      <c r="BW143" s="93" t="str">
        <f t="shared" si="27"/>
        <v/>
      </c>
      <c r="BX143" s="93" t="str">
        <f t="shared" si="28"/>
        <v>NA</v>
      </c>
      <c r="BY143" s="95" t="str">
        <f t="shared" si="29"/>
        <v>#N/A</v>
      </c>
      <c r="BZ143" s="93" t="str">
        <f t="shared" si="30"/>
        <v/>
      </c>
      <c r="CA143" s="93" t="str">
        <f t="shared" si="31"/>
        <v/>
      </c>
      <c r="CB143" s="93" t="str">
        <f t="shared" si="32"/>
        <v>NA</v>
      </c>
      <c r="CC143" s="96" t="str">
        <f t="shared" si="33"/>
        <v>#N/A</v>
      </c>
      <c r="CD143" s="93" t="str">
        <f t="shared" si="34"/>
        <v/>
      </c>
      <c r="CE143" s="93" t="str">
        <f t="shared" si="35"/>
        <v/>
      </c>
      <c r="CF143" s="93" t="str">
        <f t="shared" si="36"/>
        <v>NA</v>
      </c>
      <c r="CG143" s="97" t="str">
        <f t="shared" si="37"/>
        <v>#N/A</v>
      </c>
      <c r="CH143" s="98" t="str">
        <f t="shared" si="38"/>
        <v>#N/A</v>
      </c>
      <c r="CI143" s="99" t="str">
        <f t="shared" si="39"/>
        <v>#N/A</v>
      </c>
      <c r="CJ143" s="126" t="str">
        <f t="shared" si="40"/>
        <v>ERROR: check cell</v>
      </c>
      <c r="CK143" s="126"/>
      <c r="CL143" s="127" t="str">
        <f t="shared" si="41"/>
        <v>#DIV/0!</v>
      </c>
      <c r="CM143" s="128" t="str">
        <f t="shared" si="42"/>
        <v>#DIV/0!</v>
      </c>
      <c r="CN143" s="128">
        <f t="shared" si="43"/>
        <v>4</v>
      </c>
      <c r="CO143" s="129">
        <f t="shared" si="44"/>
        <v>4</v>
      </c>
      <c r="CP143" s="129" t="str">
        <f>IFS(C143=Preferences!B$13,B143,B143=Preferences!B$13,C143)</f>
        <v>#N/A</v>
      </c>
    </row>
    <row r="144" ht="13.5" customHeight="1">
      <c r="A144" s="63" t="str">
        <f t="shared" si="45"/>
        <v/>
      </c>
      <c r="B144" s="64"/>
      <c r="C144" s="64"/>
      <c r="D144" s="64"/>
      <c r="E144" s="65"/>
      <c r="F144" s="65"/>
      <c r="G144" s="65"/>
      <c r="H144" s="66"/>
      <c r="I144" s="66"/>
      <c r="J144" s="67"/>
      <c r="K144" s="68"/>
      <c r="L144" s="104"/>
      <c r="M144" s="104"/>
      <c r="N144" s="104"/>
      <c r="O144" s="104"/>
      <c r="P144" s="107" t="str">
        <f t="shared" si="1"/>
        <v/>
      </c>
      <c r="Q144" s="108" t="str">
        <f>IFERROR(IF(AND(Preferences!B$3="Manual",OR(AX144/AW144&gt;G144/F144,BD144="Serious",BD144="Very serious")),"Assess imprecision",IFS(ISBLANK(E144),"",AND(Preferences!B$3="Automatic", G144/F144&gt;=30),"Extremely serious",AND(H144&lt;=$D$1*-1,J144&lt;0,G144/F144&lt;3),"Not serious",AND(H144&lt;=$D$1*-1,J144&lt;0,G144/F144&gt;=3),"Very serious",AND(H144&gt;=$D$1,I144&gt;0,G144/F144&lt;3),"Not serious",AND(H144&gt;=$D$1,I144&gt;0,G144/F144&gt;=3),"Very serious",AND(H144&lt;=$D$1*-1,J144&gt;0,I144&gt;$D$2*-1,G144/F144&lt;3),"Serious", AND(H144&lt;=$D$1*-1,J144&gt;0,I144&lt;$D$2*-1,G144/F144&lt;3),"Very serious", AND(H144&gt;=$D$1,I144&lt;0,J144&lt;$D$2,G144/F144&lt;3),"Serious",AND(H144&gt;=$D$1,I144&lt;0,J144&gt;$D$2,G144/F144&lt;3),"Very serious", AND(H144&lt;=$D$1*-1,J144&gt;0,I144&gt;$D$2*-1,G144/F144&gt;=3),"Very serious", AND(H144&lt;=$D$1*-1,J144&gt;0,I144&lt;$D$2*-1,G144/F144&gt;=3),"Very serious", AND(H144&gt;=$D$1,I144&lt;0,J144&lt;$D$2,G144/F144&gt;=3),"Very serious", AND(H144&gt;=$D$1,I144&lt;0,J144&gt;$D$2,G144/F144&gt;=3),"Very serious", AND(H144&gt;$D$1*-1,H144&lt;$D$1,I144&gt;$D$1*-1,J144&lt;$D$1,G144/F144&lt;3),"Not serious", AND(H144&gt;$D$1*-1,H144&lt;$D$1,OR(I144&lt;=$D$1*-1,J144&gt;=$D$1),I144&gt;$D$2*-1,J144&lt;$D$2,G144/F144&lt;3),"Serious", AND(H144&gt;$D$1*-1,H144&lt;$D$1,OR(I144&lt;=$D$2*-1,J144&gt;=$D$2),G144/F144&lt;3),"Very serious", AND(H144&gt;$D$1*-1,H144&lt;$D$1,I144&gt;$D$1*-1,J144&lt;$D$1,G144/F144&gt;=3),"Very serious", AND(H144&gt;$D$1*-1,H144&lt;$D$1,OR(I144&lt;=$D$1*-1,J144&gt;=$D$1),I144&gt;$D$2*-1,J144&lt;$D$2,G144/F144&gt;=3),"Very serious", AND(H144&gt;$D$1*-1,H144&lt;$D$1,OR(I144&lt;=$D$2*-1,J144&gt;=$D$2),G144/F144&gt;=3),"Very serious")),"")</f>
        <v/>
      </c>
      <c r="R144" s="109" t="str">
        <f t="shared" si="47"/>
        <v/>
      </c>
      <c r="S144" s="64"/>
      <c r="T144" s="72"/>
      <c r="U144" s="72"/>
      <c r="V144" s="72"/>
      <c r="W144" s="73"/>
      <c r="X144" s="73"/>
      <c r="Y144" s="74"/>
      <c r="Z144" s="113" t="str">
        <f t="array" ref="Z144">INDEX($A$1:$C$500, MATCH(1,($B:$B=$B144)*($C:$C=$AB144),0),1)</f>
        <v/>
      </c>
      <c r="AA144" s="113" t="str">
        <f t="array" ref="AA144">INDEX($A$1:$C$500, MATCH(1,($B:$B=$AB144)*($C:$C=$B144),0),1)</f>
        <v/>
      </c>
      <c r="AB144" s="111"/>
      <c r="AC144" s="114" t="str">
        <f t="shared" si="2"/>
        <v/>
      </c>
      <c r="AD144" s="115" t="str">
        <f t="shared" si="3"/>
        <v/>
      </c>
      <c r="AE144" s="116" t="str">
        <f t="array" ref="AE144">INDEX($A$1:$C$500, MATCH(1,($B:$B=$AB144)*($C:$C=$AG144),0),1)</f>
        <v/>
      </c>
      <c r="AF144" s="116" t="str">
        <f t="array" ref="AF144">INDEX($A$1:$C$500, MATCH(1,($B:$B=$AG144)*($C:$C=$AB144),0),1)</f>
        <v/>
      </c>
      <c r="AG144" s="72"/>
      <c r="AH144" s="114" t="str">
        <f t="shared" si="4"/>
        <v/>
      </c>
      <c r="AI144" s="115" t="str">
        <f t="shared" si="5"/>
        <v/>
      </c>
      <c r="AJ144" s="116" t="str">
        <f t="array" ref="AJ144">INDEX($A$1:$C$500, MATCH(1,($B:$B=$C144)*($C:$C=$AG144),0),1)</f>
        <v/>
      </c>
      <c r="AK144" s="116" t="str">
        <f t="array" ref="AK144">INDEX($A$1:$C$500, MATCH(1,($B:$B=$AG144)*($C:$C=$C144),0),1)</f>
        <v/>
      </c>
      <c r="AL144" s="116" t="str">
        <f t="array" ref="AL144">INDEX($A$1:$C$500, MATCH(1,($B:$B=$C144)*($C:$C=$AB144),0),1)</f>
        <v/>
      </c>
      <c r="AM144" s="116" t="str">
        <f t="array" ref="AM144">INDEX($A$1:$C$500, MATCH(1,($B:$B=$AB144)*($C:$C=$C144),0),1)</f>
        <v/>
      </c>
      <c r="AN144" s="114" t="str">
        <f t="array" ref="AN144">IFS(ISNUMBER(AJ144),AJ144,ISNUMBER(AK144),AK144,ISNUMBER(AL144),AL144,ISNUMBER(AM144),AM144)</f>
        <v>#N/A</v>
      </c>
      <c r="AO144" s="115" t="str">
        <f t="shared" si="6"/>
        <v/>
      </c>
      <c r="AP144" s="115" t="str">
        <f t="shared" si="7"/>
        <v/>
      </c>
      <c r="AQ144" s="111"/>
      <c r="AR144" s="109" t="str">
        <f t="shared" si="8"/>
        <v/>
      </c>
      <c r="AS144" s="72" t="str">
        <f>IFERROR(IF(AND(Preferences!B$3="Manual",OR(AX144/AW144&gt;V144/U144,BD144="Serious",BD144="Very serious")),"Assess imprecision",IFERROR(IFS(AND(Preferences!B$3="Automatic",V144/U144&gt;=30),"Extremely serious",AND(W144&lt;=$D$1*-1,Y144&lt;0,V144/U144&lt;3),"Not Serious",AND(W144&lt;=$D$1*-1,Y144&lt;0,V144/U144&gt;=3),"Very serious",AND(W144&gt;=$D$1,X144&gt;0,V144/U144&lt;3),"Not Serious",AND(W144&gt;=$D$1,X144&gt;0,V144/U144&gt;=3),"Very serious",AND(W144&lt;=$D$1*-1,Y144&gt;0,X144&gt;$D$2*-1,V144/U144&lt;3),"Serious", AND(W144&lt;=$D$1*-1,Y144&gt;0,X144&lt;$D$2*-1,V144/U144&lt;3),"Very serious", AND(W144&gt;=$D$1,X144&lt;0,Y144&lt;$D$2,V144/U144&lt;3),"Serious",AND(W144&gt;=$D$1,X144&lt;0,Y144&gt;$D$2,V144/U144&lt;3),"Very serious", AND(W144&lt;=$D$1*-1,Y144&gt;0,X144&gt;$D$2*-1,V144/U144&gt;=3),"Very serious", AND(W144&lt;=$D$1*-1,Y144&gt;0,X144&lt;$D$2*-1,V144/U144&gt;=3),"Very serious", AND(W144&gt;=$D$1,X144&lt;0,Y144&lt;$D$2,V144/U144&gt;=3),"Very serious", AND(W144&gt;=$D$1,X144&lt;0,Y144&gt;$D$2,V144/U144&gt;=3),"Very serious", AND(W144&gt;$D$1*-1,W144&lt;$D$1,X144&gt;$D$1*-1,Y144&lt;$D$1,V144/U144&lt;3),"Not Serious", AND(W144&gt;$D$1*-1,W144&lt;$D$1,OR(X144&lt;=$D$1*-1,Y144&gt;=$D$1),X144&gt;$D$2*-1,Y144&lt;$D$2,V144/U144&lt;3),"Serious", AND(W144&gt;$D$1*-1,W144&lt;$D$1,OR(X144&lt;=$D$2*-1,Y144&gt;=$D$2),V144/U144&lt;3),"Very serious", AND(W144&gt;$D$1*-1,W144&lt;$D$1,X144&gt;$D$1*-1,Y144&lt;$D$1,V144/U144&gt;=3),"Very serious", AND(W144&gt;$D$1*-1,W144&lt;$D$1,OR(X144&lt;=$D$1*-1,Y144&gt;=$D$1),X144&gt;$D$2*-1,Y144&lt;$D$2,V144/U144&gt;=3),"Very serious", AND(W144&gt;$D$1*-1,W144&lt;$D$1,OR(X144&lt;=$D$2*-1,Y144&gt;=$D$2),V144/U144&gt;=3),"Very serious"),"")),"")</f>
        <v/>
      </c>
      <c r="AT144" s="109" t="str">
        <f t="shared" si="9"/>
        <v/>
      </c>
      <c r="AU144" s="64"/>
      <c r="AV144" s="83"/>
      <c r="AW144" s="83"/>
      <c r="AX144" s="83"/>
      <c r="AY144" s="83"/>
      <c r="AZ144" s="83"/>
      <c r="BA144" s="85"/>
      <c r="BB144" s="86" t="str">
        <f>IF(Preferences!B$9="Manual","",IFS(ISBLANK(B144),"",AND(ISNUMBER(E144)=TRUE,ISNUMBER(T144)=FALSE),"Direct", AND(ISNUMBER(E144)=FALSE,ISNUMBER(T144)=TRUE),"Indirect", CN144=4,"Direct",AND(CL144=FALSE, CM144=TRUE,CN144-CO144&gt;-1),"Direct", AND(CL144=FALSE,CM144=TRUE, CN144-CO144&lt;0),"Check algorithm in appendix 2", AND(CL144=TRUE, CM144=FALSE,CN144-CO144&gt;0),"Check algorithm in appendix 2", AND(CL144=TRUE, CM144=FALSE,CN144-CO144=0),"Indirect", AND(CL144=TRUE, CM144=FALSE,CN144-CO144&lt;0),"Indirect", AND(CL144=FALSE,CM144=FALSE,CN144-CO144&gt;-1),"Direct", AND(CL144=FALSE,CM144=FALSE,CN144-CO144&lt;0),"Check algorithm in appendix 2", AND(CL144=TRUE,CM144=TRUE,CN144-CO144&gt;-1),"Direct", AND(CL144=TRUE,CM144=TRUE,CN144-CO144&lt;0),"Check algorithm in appendix 2"))</f>
        <v/>
      </c>
      <c r="BC144" s="120" t="str">
        <f t="shared" si="10"/>
        <v/>
      </c>
      <c r="BD144" s="140"/>
      <c r="BE144" s="122" t="str">
        <f>IF(Preferences!B$3="Manual","", IFERROR(IFS(AND(Preferences!B$3="Automatic",AX144/AW144&gt;=30),"Extremely serious",AND(AY144&lt;=$D$1*-1,BA144&lt;0,AX144/AW144&lt;3),"Not Serious",AND(AY144&lt;=$D$1*-1,BA144&lt;0,AX144/AW144&gt;=3),"Very serious",AND(AY144&gt;=$D$1,AZ144&gt;0,AX144/AW144&lt;3),"Not Serious",AND(AY144&gt;=$D$1,AZ144&gt;0,AX144/AW144&gt;=3),"Very serious",AND(AY144&lt;=$D$1*-1,BA144&gt;0,AZ144&gt;$D$2*-1,AX144/AW144&lt;3),"Serious", AND(AY144&lt;=$D$1*-1,BA144&gt;0,AZ144&lt;$D$2*-1,AX144/AW144&lt;3),"Very serious", AND(AY144&gt;=$D$1,AZ144&lt;0,BA144&lt;$D$2,AX144/AW144&lt;3),"Serious",AND(AY144&gt;=$D$1,AZ144&lt;0,BA144&gt;$D$2,AX144/AW144&lt;3),"Very serious", AND(AY144&lt;=$D$1*-1,BA144&gt;0,AZ144&gt;$D$2*-1,AX144/AW144&gt;=3),"Very serious", AND(AY144&lt;=$D$1*-1,BA144&gt;0,AZ144&lt;$D$2*-1,AX144/AW144&gt;=3),"Very serious", AND(AY144&gt;=$D$1,AZ144&lt;0,BA144&lt;$D$2,AX144/AW144&gt;=3),"Very serious", AND(AY144&gt;=$D$1,AZ144&lt;0,BA144&gt;$D$2,AX144/AW144&gt;=3),"Very serious", AND(AY144&gt;$D$1*-1,AY144&lt;$D$1,AZ144&gt;$D$1*-1,BA144&lt;$D$1,AX144/AW144&lt;3),"Not Serious", AND(AY144&gt;$D$1*-1,AY144&lt;$D$1,OR(AZ144&lt;=$D$1*-1,BA144&gt;=$D$1),AZ144&gt;$D$2*-1,BA144&lt;$D$2,AX144/AW144&lt;3),"Serious", AND(AY144&gt;$D$1*-1,AY144&lt;$D$1,OR(AZ144&lt;=$D$2*-1,BA144&gt;=$D$2),AX144/AW144&lt;3),"Very serious", AND(AY144&gt;$D$1*-1,AY144&lt;$D$1,AZ144&gt;$D$1*-1,BA144&lt;$D$1,AX144/AW144&gt;=3),"Very serious", AND(AY144&gt;$D$1*-1,AY144&lt;$D$1,OR(AZ144&lt;=$D$1*-1,BA144&gt;=$D$1),AZ144&gt;$D$2*-1,BA144&lt;$D$2,AX144/AW144&gt;=3),"Very serious", AND(AY144&gt;$D$1*-1,AY144&lt;$D$1,OR(AZ144&lt;=$D$2*-1,BA144&gt;=$D$2),AX144/AW144&gt;=3),"Very serious"),""))</f>
        <v/>
      </c>
      <c r="BF144" s="107" t="str">
        <f t="shared" si="11"/>
        <v/>
      </c>
      <c r="BG144" s="94" t="str">
        <f t="shared" si="46"/>
        <v/>
      </c>
      <c r="BH144" s="64" t="str">
        <f t="shared" si="12"/>
        <v>#N/A</v>
      </c>
      <c r="BI144" s="64" t="str">
        <f t="shared" si="13"/>
        <v/>
      </c>
      <c r="BJ144" s="123" t="str">
        <f t="shared" si="14"/>
        <v>#N/A</v>
      </c>
      <c r="BK144" s="64" t="str">
        <f t="shared" si="50"/>
        <v>YES</v>
      </c>
      <c r="BL144" s="64" t="str">
        <f t="shared" si="16"/>
        <v>YES</v>
      </c>
      <c r="BM144" s="64" t="str">
        <f t="shared" si="17"/>
        <v>YES</v>
      </c>
      <c r="BN144" s="124" t="str">
        <f t="shared" si="18"/>
        <v/>
      </c>
      <c r="BO144" s="91" t="str">
        <f t="shared" si="19"/>
        <v/>
      </c>
      <c r="BP144" s="91" t="str">
        <f t="shared" si="20"/>
        <v>#N/A</v>
      </c>
      <c r="BQ144" s="91" t="str">
        <f t="shared" si="21"/>
        <v/>
      </c>
      <c r="BR144" s="93" t="str">
        <f t="shared" si="22"/>
        <v/>
      </c>
      <c r="BS144" s="90" t="str">
        <f t="shared" si="23"/>
        <v/>
      </c>
      <c r="BT144" s="93" t="str">
        <f t="shared" si="24"/>
        <v>NA</v>
      </c>
      <c r="BU144" s="125" t="str">
        <f t="shared" si="25"/>
        <v>#N/A</v>
      </c>
      <c r="BV144" s="93" t="str">
        <f t="shared" si="26"/>
        <v/>
      </c>
      <c r="BW144" s="93" t="str">
        <f t="shared" si="27"/>
        <v/>
      </c>
      <c r="BX144" s="93" t="str">
        <f t="shared" si="28"/>
        <v>NA</v>
      </c>
      <c r="BY144" s="95" t="str">
        <f t="shared" si="29"/>
        <v>#N/A</v>
      </c>
      <c r="BZ144" s="93" t="str">
        <f t="shared" si="30"/>
        <v/>
      </c>
      <c r="CA144" s="93" t="str">
        <f t="shared" si="31"/>
        <v/>
      </c>
      <c r="CB144" s="93" t="str">
        <f t="shared" si="32"/>
        <v>NA</v>
      </c>
      <c r="CC144" s="96" t="str">
        <f t="shared" si="33"/>
        <v>#N/A</v>
      </c>
      <c r="CD144" s="93" t="str">
        <f t="shared" si="34"/>
        <v/>
      </c>
      <c r="CE144" s="93" t="str">
        <f t="shared" si="35"/>
        <v/>
      </c>
      <c r="CF144" s="93" t="str">
        <f t="shared" si="36"/>
        <v>NA</v>
      </c>
      <c r="CG144" s="97" t="str">
        <f t="shared" si="37"/>
        <v>#N/A</v>
      </c>
      <c r="CH144" s="98" t="str">
        <f t="shared" si="38"/>
        <v>#N/A</v>
      </c>
      <c r="CI144" s="99" t="str">
        <f t="shared" si="39"/>
        <v>#N/A</v>
      </c>
      <c r="CJ144" s="126" t="str">
        <f t="shared" si="40"/>
        <v>ERROR: check cell</v>
      </c>
      <c r="CK144" s="126"/>
      <c r="CL144" s="127" t="str">
        <f t="shared" si="41"/>
        <v>#DIV/0!</v>
      </c>
      <c r="CM144" s="128" t="str">
        <f t="shared" si="42"/>
        <v>#DIV/0!</v>
      </c>
      <c r="CN144" s="128">
        <f t="shared" si="43"/>
        <v>4</v>
      </c>
      <c r="CO144" s="129">
        <f t="shared" si="44"/>
        <v>4</v>
      </c>
      <c r="CP144" s="129" t="str">
        <f>IFS(C144=Preferences!B$13,B144,B144=Preferences!B$13,C144)</f>
        <v>#N/A</v>
      </c>
    </row>
    <row r="145" ht="13.5" customHeight="1">
      <c r="A145" s="63" t="str">
        <f t="shared" si="45"/>
        <v/>
      </c>
      <c r="B145" s="64"/>
      <c r="C145" s="64"/>
      <c r="D145" s="64"/>
      <c r="E145" s="65"/>
      <c r="F145" s="65"/>
      <c r="G145" s="65"/>
      <c r="H145" s="66"/>
      <c r="I145" s="66"/>
      <c r="J145" s="67"/>
      <c r="K145" s="68"/>
      <c r="L145" s="104"/>
      <c r="M145" s="104"/>
      <c r="N145" s="104"/>
      <c r="O145" s="104"/>
      <c r="P145" s="107" t="str">
        <f t="shared" si="1"/>
        <v/>
      </c>
      <c r="Q145" s="108" t="str">
        <f>IFERROR(IF(AND(Preferences!B$3="Manual",OR(AX145/AW145&gt;G145/F145,BD145="Serious",BD145="Very serious")),"Assess imprecision",IFS(ISBLANK(E145),"",AND(Preferences!B$3="Automatic", G145/F145&gt;=30),"Extremely serious",AND(H145&lt;=$D$1*-1,J145&lt;0,G145/F145&lt;3),"Not serious",AND(H145&lt;=$D$1*-1,J145&lt;0,G145/F145&gt;=3),"Very serious",AND(H145&gt;=$D$1,I145&gt;0,G145/F145&lt;3),"Not serious",AND(H145&gt;=$D$1,I145&gt;0,G145/F145&gt;=3),"Very serious",AND(H145&lt;=$D$1*-1,J145&gt;0,I145&gt;$D$2*-1,G145/F145&lt;3),"Serious", AND(H145&lt;=$D$1*-1,J145&gt;0,I145&lt;$D$2*-1,G145/F145&lt;3),"Very serious", AND(H145&gt;=$D$1,I145&lt;0,J145&lt;$D$2,G145/F145&lt;3),"Serious",AND(H145&gt;=$D$1,I145&lt;0,J145&gt;$D$2,G145/F145&lt;3),"Very serious", AND(H145&lt;=$D$1*-1,J145&gt;0,I145&gt;$D$2*-1,G145/F145&gt;=3),"Very serious", AND(H145&lt;=$D$1*-1,J145&gt;0,I145&lt;$D$2*-1,G145/F145&gt;=3),"Very serious", AND(H145&gt;=$D$1,I145&lt;0,J145&lt;$D$2,G145/F145&gt;=3),"Very serious", AND(H145&gt;=$D$1,I145&lt;0,J145&gt;$D$2,G145/F145&gt;=3),"Very serious", AND(H145&gt;$D$1*-1,H145&lt;$D$1,I145&gt;$D$1*-1,J145&lt;$D$1,G145/F145&lt;3),"Not serious", AND(H145&gt;$D$1*-1,H145&lt;$D$1,OR(I145&lt;=$D$1*-1,J145&gt;=$D$1),I145&gt;$D$2*-1,J145&lt;$D$2,G145/F145&lt;3),"Serious", AND(H145&gt;$D$1*-1,H145&lt;$D$1,OR(I145&lt;=$D$2*-1,J145&gt;=$D$2),G145/F145&lt;3),"Very serious", AND(H145&gt;$D$1*-1,H145&lt;$D$1,I145&gt;$D$1*-1,J145&lt;$D$1,G145/F145&gt;=3),"Very serious", AND(H145&gt;$D$1*-1,H145&lt;$D$1,OR(I145&lt;=$D$1*-1,J145&gt;=$D$1),I145&gt;$D$2*-1,J145&lt;$D$2,G145/F145&gt;=3),"Very serious", AND(H145&gt;$D$1*-1,H145&lt;$D$1,OR(I145&lt;=$D$2*-1,J145&gt;=$D$2),G145/F145&gt;=3),"Very serious")),"")</f>
        <v/>
      </c>
      <c r="R145" s="109" t="str">
        <f t="shared" si="47"/>
        <v/>
      </c>
      <c r="S145" s="64"/>
      <c r="T145" s="72"/>
      <c r="U145" s="72"/>
      <c r="V145" s="72"/>
      <c r="W145" s="73"/>
      <c r="X145" s="73"/>
      <c r="Y145" s="74"/>
      <c r="Z145" s="113" t="str">
        <f t="array" ref="Z145">INDEX($A$1:$C$500, MATCH(1,($B:$B=$B145)*($C:$C=$AB145),0),1)</f>
        <v/>
      </c>
      <c r="AA145" s="113" t="str">
        <f t="array" ref="AA145">INDEX($A$1:$C$500, MATCH(1,($B:$B=$AB145)*($C:$C=$B145),0),1)</f>
        <v/>
      </c>
      <c r="AB145" s="111"/>
      <c r="AC145" s="114" t="str">
        <f t="shared" si="2"/>
        <v/>
      </c>
      <c r="AD145" s="115" t="str">
        <f t="shared" si="3"/>
        <v/>
      </c>
      <c r="AE145" s="116" t="str">
        <f t="array" ref="AE145">INDEX($A$1:$C$500, MATCH(1,($B:$B=$AB145)*($C:$C=$AG145),0),1)</f>
        <v/>
      </c>
      <c r="AF145" s="116" t="str">
        <f t="array" ref="AF145">INDEX($A$1:$C$500, MATCH(1,($B:$B=$AG145)*($C:$C=$AB145),0),1)</f>
        <v/>
      </c>
      <c r="AG145" s="72"/>
      <c r="AH145" s="114" t="str">
        <f t="shared" si="4"/>
        <v/>
      </c>
      <c r="AI145" s="115" t="str">
        <f t="shared" si="5"/>
        <v/>
      </c>
      <c r="AJ145" s="116" t="str">
        <f t="array" ref="AJ145">INDEX($A$1:$C$500, MATCH(1,($B:$B=$C145)*($C:$C=$AG145),0),1)</f>
        <v/>
      </c>
      <c r="AK145" s="116" t="str">
        <f t="array" ref="AK145">INDEX($A$1:$C$500, MATCH(1,($B:$B=$AG145)*($C:$C=$C145),0),1)</f>
        <v/>
      </c>
      <c r="AL145" s="116" t="str">
        <f t="array" ref="AL145">INDEX($A$1:$C$500, MATCH(1,($B:$B=$C145)*($C:$C=$AB145),0),1)</f>
        <v/>
      </c>
      <c r="AM145" s="116" t="str">
        <f t="array" ref="AM145">INDEX($A$1:$C$500, MATCH(1,($B:$B=$AB145)*($C:$C=$C145),0),1)</f>
        <v/>
      </c>
      <c r="AN145" s="114" t="str">
        <f t="array" ref="AN145">IFS(ISNUMBER(AJ145),AJ145,ISNUMBER(AK145),AK145,ISNUMBER(AL145),AL145,ISNUMBER(AM145),AM145)</f>
        <v>#N/A</v>
      </c>
      <c r="AO145" s="115" t="str">
        <f t="shared" si="6"/>
        <v/>
      </c>
      <c r="AP145" s="115" t="str">
        <f t="shared" si="7"/>
        <v/>
      </c>
      <c r="AQ145" s="111"/>
      <c r="AR145" s="109" t="str">
        <f t="shared" si="8"/>
        <v/>
      </c>
      <c r="AS145" s="72" t="str">
        <f>IFERROR(IF(AND(Preferences!B$3="Manual",OR(AX145/AW145&gt;V145/U145,BD145="Serious",BD145="Very serious")),"Assess imprecision",IFERROR(IFS(AND(Preferences!B$3="Automatic",V145/U145&gt;=30),"Extremely serious",AND(W145&lt;=$D$1*-1,Y145&lt;0,V145/U145&lt;3),"Not Serious",AND(W145&lt;=$D$1*-1,Y145&lt;0,V145/U145&gt;=3),"Very serious",AND(W145&gt;=$D$1,X145&gt;0,V145/U145&lt;3),"Not Serious",AND(W145&gt;=$D$1,X145&gt;0,V145/U145&gt;=3),"Very serious",AND(W145&lt;=$D$1*-1,Y145&gt;0,X145&gt;$D$2*-1,V145/U145&lt;3),"Serious", AND(W145&lt;=$D$1*-1,Y145&gt;0,X145&lt;$D$2*-1,V145/U145&lt;3),"Very serious", AND(W145&gt;=$D$1,X145&lt;0,Y145&lt;$D$2,V145/U145&lt;3),"Serious",AND(W145&gt;=$D$1,X145&lt;0,Y145&gt;$D$2,V145/U145&lt;3),"Very serious", AND(W145&lt;=$D$1*-1,Y145&gt;0,X145&gt;$D$2*-1,V145/U145&gt;=3),"Very serious", AND(W145&lt;=$D$1*-1,Y145&gt;0,X145&lt;$D$2*-1,V145/U145&gt;=3),"Very serious", AND(W145&gt;=$D$1,X145&lt;0,Y145&lt;$D$2,V145/U145&gt;=3),"Very serious", AND(W145&gt;=$D$1,X145&lt;0,Y145&gt;$D$2,V145/U145&gt;=3),"Very serious", AND(W145&gt;$D$1*-1,W145&lt;$D$1,X145&gt;$D$1*-1,Y145&lt;$D$1,V145/U145&lt;3),"Not Serious", AND(W145&gt;$D$1*-1,W145&lt;$D$1,OR(X145&lt;=$D$1*-1,Y145&gt;=$D$1),X145&gt;$D$2*-1,Y145&lt;$D$2,V145/U145&lt;3),"Serious", AND(W145&gt;$D$1*-1,W145&lt;$D$1,OR(X145&lt;=$D$2*-1,Y145&gt;=$D$2),V145/U145&lt;3),"Very serious", AND(W145&gt;$D$1*-1,W145&lt;$D$1,X145&gt;$D$1*-1,Y145&lt;$D$1,V145/U145&gt;=3),"Very serious", AND(W145&gt;$D$1*-1,W145&lt;$D$1,OR(X145&lt;=$D$1*-1,Y145&gt;=$D$1),X145&gt;$D$2*-1,Y145&lt;$D$2,V145/U145&gt;=3),"Very serious", AND(W145&gt;$D$1*-1,W145&lt;$D$1,OR(X145&lt;=$D$2*-1,Y145&gt;=$D$2),V145/U145&gt;=3),"Very serious"),"")),"")</f>
        <v/>
      </c>
      <c r="AT145" s="109" t="str">
        <f t="shared" si="9"/>
        <v/>
      </c>
      <c r="AU145" s="64"/>
      <c r="AV145" s="83"/>
      <c r="AW145" s="83"/>
      <c r="AX145" s="83"/>
      <c r="AY145" s="83"/>
      <c r="AZ145" s="83"/>
      <c r="BA145" s="85"/>
      <c r="BB145" s="86" t="str">
        <f>IF(Preferences!B$9="Manual","",IFS(ISBLANK(B145),"",AND(ISNUMBER(E145)=TRUE,ISNUMBER(T145)=FALSE),"Direct", AND(ISNUMBER(E145)=FALSE,ISNUMBER(T145)=TRUE),"Indirect", CN145=4,"Direct",AND(CL145=FALSE, CM145=TRUE,CN145-CO145&gt;-1),"Direct", AND(CL145=FALSE,CM145=TRUE, CN145-CO145&lt;0),"Check algorithm in appendix 2", AND(CL145=TRUE, CM145=FALSE,CN145-CO145&gt;0),"Check algorithm in appendix 2", AND(CL145=TRUE, CM145=FALSE,CN145-CO145=0),"Indirect", AND(CL145=TRUE, CM145=FALSE,CN145-CO145&lt;0),"Indirect", AND(CL145=FALSE,CM145=FALSE,CN145-CO145&gt;-1),"Direct", AND(CL145=FALSE,CM145=FALSE,CN145-CO145&lt;0),"Check algorithm in appendix 2", AND(CL145=TRUE,CM145=TRUE,CN145-CO145&gt;-1),"Direct", AND(CL145=TRUE,CM145=TRUE,CN145-CO145&lt;0),"Check algorithm in appendix 2"))</f>
        <v/>
      </c>
      <c r="BC145" s="120" t="str">
        <f t="shared" si="10"/>
        <v/>
      </c>
      <c r="BD145" s="140"/>
      <c r="BE145" s="122" t="str">
        <f>IF(Preferences!B$3="Manual","", IFERROR(IFS(AND(Preferences!B$3="Automatic",AX145/AW145&gt;=30),"Extremely serious",AND(AY145&lt;=$D$1*-1,BA145&lt;0,AX145/AW145&lt;3),"Not Serious",AND(AY145&lt;=$D$1*-1,BA145&lt;0,AX145/AW145&gt;=3),"Very serious",AND(AY145&gt;=$D$1,AZ145&gt;0,AX145/AW145&lt;3),"Not Serious",AND(AY145&gt;=$D$1,AZ145&gt;0,AX145/AW145&gt;=3),"Very serious",AND(AY145&lt;=$D$1*-1,BA145&gt;0,AZ145&gt;$D$2*-1,AX145/AW145&lt;3),"Serious", AND(AY145&lt;=$D$1*-1,BA145&gt;0,AZ145&lt;$D$2*-1,AX145/AW145&lt;3),"Very serious", AND(AY145&gt;=$D$1,AZ145&lt;0,BA145&lt;$D$2,AX145/AW145&lt;3),"Serious",AND(AY145&gt;=$D$1,AZ145&lt;0,BA145&gt;$D$2,AX145/AW145&lt;3),"Very serious", AND(AY145&lt;=$D$1*-1,BA145&gt;0,AZ145&gt;$D$2*-1,AX145/AW145&gt;=3),"Very serious", AND(AY145&lt;=$D$1*-1,BA145&gt;0,AZ145&lt;$D$2*-1,AX145/AW145&gt;=3),"Very serious", AND(AY145&gt;=$D$1,AZ145&lt;0,BA145&lt;$D$2,AX145/AW145&gt;=3),"Very serious", AND(AY145&gt;=$D$1,AZ145&lt;0,BA145&gt;$D$2,AX145/AW145&gt;=3),"Very serious", AND(AY145&gt;$D$1*-1,AY145&lt;$D$1,AZ145&gt;$D$1*-1,BA145&lt;$D$1,AX145/AW145&lt;3),"Not Serious", AND(AY145&gt;$D$1*-1,AY145&lt;$D$1,OR(AZ145&lt;=$D$1*-1,BA145&gt;=$D$1),AZ145&gt;$D$2*-1,BA145&lt;$D$2,AX145/AW145&lt;3),"Serious", AND(AY145&gt;$D$1*-1,AY145&lt;$D$1,OR(AZ145&lt;=$D$2*-1,BA145&gt;=$D$2),AX145/AW145&lt;3),"Very serious", AND(AY145&gt;$D$1*-1,AY145&lt;$D$1,AZ145&gt;$D$1*-1,BA145&lt;$D$1,AX145/AW145&gt;=3),"Very serious", AND(AY145&gt;$D$1*-1,AY145&lt;$D$1,OR(AZ145&lt;=$D$1*-1,BA145&gt;=$D$1),AZ145&gt;$D$2*-1,BA145&lt;$D$2,AX145/AW145&gt;=3),"Very serious", AND(AY145&gt;$D$1*-1,AY145&lt;$D$1,OR(AZ145&lt;=$D$2*-1,BA145&gt;=$D$2),AX145/AW145&gt;=3),"Very serious"),""))</f>
        <v/>
      </c>
      <c r="BF145" s="107" t="str">
        <f t="shared" si="11"/>
        <v/>
      </c>
      <c r="BG145" s="94" t="str">
        <f t="shared" si="46"/>
        <v/>
      </c>
      <c r="BH145" s="64" t="str">
        <f t="shared" si="12"/>
        <v>#N/A</v>
      </c>
      <c r="BI145" s="64" t="str">
        <f t="shared" si="13"/>
        <v/>
      </c>
      <c r="BJ145" s="123" t="str">
        <f t="shared" si="14"/>
        <v>#N/A</v>
      </c>
      <c r="BK145" s="64" t="str">
        <f t="shared" si="50"/>
        <v>YES</v>
      </c>
      <c r="BL145" s="64" t="str">
        <f t="shared" si="16"/>
        <v>YES</v>
      </c>
      <c r="BM145" s="64" t="str">
        <f t="shared" si="17"/>
        <v>YES</v>
      </c>
      <c r="BN145" s="124" t="str">
        <f t="shared" si="18"/>
        <v/>
      </c>
      <c r="BO145" s="91" t="str">
        <f t="shared" si="19"/>
        <v/>
      </c>
      <c r="BP145" s="91" t="str">
        <f t="shared" si="20"/>
        <v>#N/A</v>
      </c>
      <c r="BQ145" s="91" t="str">
        <f t="shared" si="21"/>
        <v/>
      </c>
      <c r="BR145" s="93" t="str">
        <f t="shared" si="22"/>
        <v/>
      </c>
      <c r="BS145" s="90" t="str">
        <f t="shared" si="23"/>
        <v/>
      </c>
      <c r="BT145" s="93" t="str">
        <f t="shared" si="24"/>
        <v>NA</v>
      </c>
      <c r="BU145" s="125" t="str">
        <f t="shared" si="25"/>
        <v>#N/A</v>
      </c>
      <c r="BV145" s="93" t="str">
        <f t="shared" si="26"/>
        <v/>
      </c>
      <c r="BW145" s="93" t="str">
        <f t="shared" si="27"/>
        <v/>
      </c>
      <c r="BX145" s="93" t="str">
        <f t="shared" si="28"/>
        <v>NA</v>
      </c>
      <c r="BY145" s="95" t="str">
        <f t="shared" si="29"/>
        <v>#N/A</v>
      </c>
      <c r="BZ145" s="93" t="str">
        <f t="shared" si="30"/>
        <v/>
      </c>
      <c r="CA145" s="93" t="str">
        <f t="shared" si="31"/>
        <v/>
      </c>
      <c r="CB145" s="93" t="str">
        <f t="shared" si="32"/>
        <v>NA</v>
      </c>
      <c r="CC145" s="96" t="str">
        <f t="shared" si="33"/>
        <v>#N/A</v>
      </c>
      <c r="CD145" s="93" t="str">
        <f t="shared" si="34"/>
        <v/>
      </c>
      <c r="CE145" s="93" t="str">
        <f t="shared" si="35"/>
        <v/>
      </c>
      <c r="CF145" s="93" t="str">
        <f t="shared" si="36"/>
        <v>NA</v>
      </c>
      <c r="CG145" s="97" t="str">
        <f t="shared" si="37"/>
        <v>#N/A</v>
      </c>
      <c r="CH145" s="98" t="str">
        <f t="shared" si="38"/>
        <v>#N/A</v>
      </c>
      <c r="CI145" s="99" t="str">
        <f t="shared" si="39"/>
        <v>#N/A</v>
      </c>
      <c r="CJ145" s="126" t="str">
        <f t="shared" si="40"/>
        <v>ERROR: check cell</v>
      </c>
      <c r="CK145" s="126"/>
      <c r="CL145" s="127" t="str">
        <f t="shared" si="41"/>
        <v>#DIV/0!</v>
      </c>
      <c r="CM145" s="128" t="str">
        <f t="shared" si="42"/>
        <v>#DIV/0!</v>
      </c>
      <c r="CN145" s="128">
        <f t="shared" si="43"/>
        <v>4</v>
      </c>
      <c r="CO145" s="129">
        <f t="shared" si="44"/>
        <v>4</v>
      </c>
      <c r="CP145" s="129" t="str">
        <f>IFS(C145=Preferences!B$13,B145,B145=Preferences!B$13,C145)</f>
        <v>#N/A</v>
      </c>
    </row>
    <row r="146" ht="13.5" customHeight="1">
      <c r="A146" s="63" t="str">
        <f t="shared" si="45"/>
        <v/>
      </c>
      <c r="B146" s="64"/>
      <c r="C146" s="64"/>
      <c r="D146" s="64"/>
      <c r="E146" s="65"/>
      <c r="F146" s="65"/>
      <c r="G146" s="65"/>
      <c r="H146" s="66"/>
      <c r="I146" s="66"/>
      <c r="J146" s="67"/>
      <c r="K146" s="68"/>
      <c r="L146" s="104"/>
      <c r="M146" s="104"/>
      <c r="N146" s="104"/>
      <c r="O146" s="104"/>
      <c r="P146" s="107" t="str">
        <f t="shared" si="1"/>
        <v/>
      </c>
      <c r="Q146" s="108" t="str">
        <f>IFERROR(IF(AND(Preferences!B$3="Manual",OR(AX146/AW146&gt;G146/F146,BD146="Serious",BD146="Very serious")),"Assess imprecision",IFS(ISBLANK(E146),"",AND(Preferences!B$3="Automatic", G146/F146&gt;=30),"Extremely serious",AND(H146&lt;=$D$1*-1,J146&lt;0,G146/F146&lt;3),"Not serious",AND(H146&lt;=$D$1*-1,J146&lt;0,G146/F146&gt;=3),"Very serious",AND(H146&gt;=$D$1,I146&gt;0,G146/F146&lt;3),"Not serious",AND(H146&gt;=$D$1,I146&gt;0,G146/F146&gt;=3),"Very serious",AND(H146&lt;=$D$1*-1,J146&gt;0,I146&gt;$D$2*-1,G146/F146&lt;3),"Serious", AND(H146&lt;=$D$1*-1,J146&gt;0,I146&lt;$D$2*-1,G146/F146&lt;3),"Very serious", AND(H146&gt;=$D$1,I146&lt;0,J146&lt;$D$2,G146/F146&lt;3),"Serious",AND(H146&gt;=$D$1,I146&lt;0,J146&gt;$D$2,G146/F146&lt;3),"Very serious", AND(H146&lt;=$D$1*-1,J146&gt;0,I146&gt;$D$2*-1,G146/F146&gt;=3),"Very serious", AND(H146&lt;=$D$1*-1,J146&gt;0,I146&lt;$D$2*-1,G146/F146&gt;=3),"Very serious", AND(H146&gt;=$D$1,I146&lt;0,J146&lt;$D$2,G146/F146&gt;=3),"Very serious", AND(H146&gt;=$D$1,I146&lt;0,J146&gt;$D$2,G146/F146&gt;=3),"Very serious", AND(H146&gt;$D$1*-1,H146&lt;$D$1,I146&gt;$D$1*-1,J146&lt;$D$1,G146/F146&lt;3),"Not serious", AND(H146&gt;$D$1*-1,H146&lt;$D$1,OR(I146&lt;=$D$1*-1,J146&gt;=$D$1),I146&gt;$D$2*-1,J146&lt;$D$2,G146/F146&lt;3),"Serious", AND(H146&gt;$D$1*-1,H146&lt;$D$1,OR(I146&lt;=$D$2*-1,J146&gt;=$D$2),G146/F146&lt;3),"Very serious", AND(H146&gt;$D$1*-1,H146&lt;$D$1,I146&gt;$D$1*-1,J146&lt;$D$1,G146/F146&gt;=3),"Very serious", AND(H146&gt;$D$1*-1,H146&lt;$D$1,OR(I146&lt;=$D$1*-1,J146&gt;=$D$1),I146&gt;$D$2*-1,J146&lt;$D$2,G146/F146&gt;=3),"Very serious", AND(H146&gt;$D$1*-1,H146&lt;$D$1,OR(I146&lt;=$D$2*-1,J146&gt;=$D$2),G146/F146&gt;=3),"Very serious")),"")</f>
        <v/>
      </c>
      <c r="R146" s="109" t="str">
        <f t="shared" si="47"/>
        <v/>
      </c>
      <c r="S146" s="64"/>
      <c r="T146" s="72"/>
      <c r="U146" s="72"/>
      <c r="V146" s="72"/>
      <c r="W146" s="73"/>
      <c r="X146" s="73"/>
      <c r="Y146" s="74"/>
      <c r="Z146" s="113" t="str">
        <f t="array" ref="Z146">INDEX($A$1:$C$500, MATCH(1,($B:$B=$B146)*($C:$C=$AB146),0),1)</f>
        <v/>
      </c>
      <c r="AA146" s="113" t="str">
        <f t="array" ref="AA146">INDEX($A$1:$C$500, MATCH(1,($B:$B=$AB146)*($C:$C=$B146),0),1)</f>
        <v/>
      </c>
      <c r="AB146" s="111"/>
      <c r="AC146" s="114" t="str">
        <f t="shared" si="2"/>
        <v/>
      </c>
      <c r="AD146" s="115" t="str">
        <f t="shared" si="3"/>
        <v/>
      </c>
      <c r="AE146" s="116" t="str">
        <f t="array" ref="AE146">INDEX($A$1:$C$500, MATCH(1,($B:$B=$AB146)*($C:$C=$AG146),0),1)</f>
        <v/>
      </c>
      <c r="AF146" s="116" t="str">
        <f t="array" ref="AF146">INDEX($A$1:$C$500, MATCH(1,($B:$B=$AG146)*($C:$C=$AB146),0),1)</f>
        <v/>
      </c>
      <c r="AG146" s="72"/>
      <c r="AH146" s="114" t="str">
        <f t="shared" si="4"/>
        <v/>
      </c>
      <c r="AI146" s="115" t="str">
        <f t="shared" si="5"/>
        <v/>
      </c>
      <c r="AJ146" s="116" t="str">
        <f t="array" ref="AJ146">INDEX($A$1:$C$500, MATCH(1,($B:$B=$C146)*($C:$C=$AG146),0),1)</f>
        <v/>
      </c>
      <c r="AK146" s="116" t="str">
        <f t="array" ref="AK146">INDEX($A$1:$C$500, MATCH(1,($B:$B=$AG146)*($C:$C=$C146),0),1)</f>
        <v/>
      </c>
      <c r="AL146" s="116" t="str">
        <f t="array" ref="AL146">INDEX($A$1:$C$500, MATCH(1,($B:$B=$C146)*($C:$C=$AB146),0),1)</f>
        <v/>
      </c>
      <c r="AM146" s="116" t="str">
        <f t="array" ref="AM146">INDEX($A$1:$C$500, MATCH(1,($B:$B=$AB146)*($C:$C=$C146),0),1)</f>
        <v/>
      </c>
      <c r="AN146" s="114" t="str">
        <f t="array" ref="AN146">IFS(ISNUMBER(AJ146),AJ146,ISNUMBER(AK146),AK146,ISNUMBER(AL146),AL146,ISNUMBER(AM146),AM146)</f>
        <v>#N/A</v>
      </c>
      <c r="AO146" s="115" t="str">
        <f t="shared" si="6"/>
        <v/>
      </c>
      <c r="AP146" s="115" t="str">
        <f t="shared" si="7"/>
        <v/>
      </c>
      <c r="AQ146" s="111"/>
      <c r="AR146" s="109" t="str">
        <f t="shared" si="8"/>
        <v/>
      </c>
      <c r="AS146" s="72" t="str">
        <f>IFERROR(IF(AND(Preferences!B$3="Manual",OR(AX146/AW146&gt;V146/U146,BD146="Serious",BD146="Very serious")),"Assess imprecision",IFERROR(IFS(AND(Preferences!B$3="Automatic",V146/U146&gt;=30),"Extremely serious",AND(W146&lt;=$D$1*-1,Y146&lt;0,V146/U146&lt;3),"Not Serious",AND(W146&lt;=$D$1*-1,Y146&lt;0,V146/U146&gt;=3),"Very serious",AND(W146&gt;=$D$1,X146&gt;0,V146/U146&lt;3),"Not Serious",AND(W146&gt;=$D$1,X146&gt;0,V146/U146&gt;=3),"Very serious",AND(W146&lt;=$D$1*-1,Y146&gt;0,X146&gt;$D$2*-1,V146/U146&lt;3),"Serious", AND(W146&lt;=$D$1*-1,Y146&gt;0,X146&lt;$D$2*-1,V146/U146&lt;3),"Very serious", AND(W146&gt;=$D$1,X146&lt;0,Y146&lt;$D$2,V146/U146&lt;3),"Serious",AND(W146&gt;=$D$1,X146&lt;0,Y146&gt;$D$2,V146/U146&lt;3),"Very serious", AND(W146&lt;=$D$1*-1,Y146&gt;0,X146&gt;$D$2*-1,V146/U146&gt;=3),"Very serious", AND(W146&lt;=$D$1*-1,Y146&gt;0,X146&lt;$D$2*-1,V146/U146&gt;=3),"Very serious", AND(W146&gt;=$D$1,X146&lt;0,Y146&lt;$D$2,V146/U146&gt;=3),"Very serious", AND(W146&gt;=$D$1,X146&lt;0,Y146&gt;$D$2,V146/U146&gt;=3),"Very serious", AND(W146&gt;$D$1*-1,W146&lt;$D$1,X146&gt;$D$1*-1,Y146&lt;$D$1,V146/U146&lt;3),"Not Serious", AND(W146&gt;$D$1*-1,W146&lt;$D$1,OR(X146&lt;=$D$1*-1,Y146&gt;=$D$1),X146&gt;$D$2*-1,Y146&lt;$D$2,V146/U146&lt;3),"Serious", AND(W146&gt;$D$1*-1,W146&lt;$D$1,OR(X146&lt;=$D$2*-1,Y146&gt;=$D$2),V146/U146&lt;3),"Very serious", AND(W146&gt;$D$1*-1,W146&lt;$D$1,X146&gt;$D$1*-1,Y146&lt;$D$1,V146/U146&gt;=3),"Very serious", AND(W146&gt;$D$1*-1,W146&lt;$D$1,OR(X146&lt;=$D$1*-1,Y146&gt;=$D$1),X146&gt;$D$2*-1,Y146&lt;$D$2,V146/U146&gt;=3),"Very serious", AND(W146&gt;$D$1*-1,W146&lt;$D$1,OR(X146&lt;=$D$2*-1,Y146&gt;=$D$2),V146/U146&gt;=3),"Very serious"),"")),"")</f>
        <v/>
      </c>
      <c r="AT146" s="109" t="str">
        <f t="shared" si="9"/>
        <v/>
      </c>
      <c r="AU146" s="64"/>
      <c r="AV146" s="83"/>
      <c r="AW146" s="83"/>
      <c r="AX146" s="83"/>
      <c r="AY146" s="83"/>
      <c r="AZ146" s="83"/>
      <c r="BA146" s="85"/>
      <c r="BB146" s="86" t="str">
        <f>IF(Preferences!B$9="Manual","",IFS(ISBLANK(B146),"",AND(ISNUMBER(E146)=TRUE,ISNUMBER(T146)=FALSE),"Direct", AND(ISNUMBER(E146)=FALSE,ISNUMBER(T146)=TRUE),"Indirect", CN146=4,"Direct",AND(CL146=FALSE, CM146=TRUE,CN146-CO146&gt;-1),"Direct", AND(CL146=FALSE,CM146=TRUE, CN146-CO146&lt;0),"Check algorithm in appendix 2", AND(CL146=TRUE, CM146=FALSE,CN146-CO146&gt;0),"Check algorithm in appendix 2", AND(CL146=TRUE, CM146=FALSE,CN146-CO146=0),"Indirect", AND(CL146=TRUE, CM146=FALSE,CN146-CO146&lt;0),"Indirect", AND(CL146=FALSE,CM146=FALSE,CN146-CO146&gt;-1),"Direct", AND(CL146=FALSE,CM146=FALSE,CN146-CO146&lt;0),"Check algorithm in appendix 2", AND(CL146=TRUE,CM146=TRUE,CN146-CO146&gt;-1),"Direct", AND(CL146=TRUE,CM146=TRUE,CN146-CO146&lt;0),"Check algorithm in appendix 2"))</f>
        <v/>
      </c>
      <c r="BC146" s="120" t="str">
        <f t="shared" si="10"/>
        <v/>
      </c>
      <c r="BD146" s="140"/>
      <c r="BE146" s="122" t="str">
        <f>IF(Preferences!B$3="Manual","", IFERROR(IFS(AND(Preferences!B$3="Automatic",AX146/AW146&gt;=30),"Extremely serious",AND(AY146&lt;=$D$1*-1,BA146&lt;0,AX146/AW146&lt;3),"Not Serious",AND(AY146&lt;=$D$1*-1,BA146&lt;0,AX146/AW146&gt;=3),"Very serious",AND(AY146&gt;=$D$1,AZ146&gt;0,AX146/AW146&lt;3),"Not Serious",AND(AY146&gt;=$D$1,AZ146&gt;0,AX146/AW146&gt;=3),"Very serious",AND(AY146&lt;=$D$1*-1,BA146&gt;0,AZ146&gt;$D$2*-1,AX146/AW146&lt;3),"Serious", AND(AY146&lt;=$D$1*-1,BA146&gt;0,AZ146&lt;$D$2*-1,AX146/AW146&lt;3),"Very serious", AND(AY146&gt;=$D$1,AZ146&lt;0,BA146&lt;$D$2,AX146/AW146&lt;3),"Serious",AND(AY146&gt;=$D$1,AZ146&lt;0,BA146&gt;$D$2,AX146/AW146&lt;3),"Very serious", AND(AY146&lt;=$D$1*-1,BA146&gt;0,AZ146&gt;$D$2*-1,AX146/AW146&gt;=3),"Very serious", AND(AY146&lt;=$D$1*-1,BA146&gt;0,AZ146&lt;$D$2*-1,AX146/AW146&gt;=3),"Very serious", AND(AY146&gt;=$D$1,AZ146&lt;0,BA146&lt;$D$2,AX146/AW146&gt;=3),"Very serious", AND(AY146&gt;=$D$1,AZ146&lt;0,BA146&gt;$D$2,AX146/AW146&gt;=3),"Very serious", AND(AY146&gt;$D$1*-1,AY146&lt;$D$1,AZ146&gt;$D$1*-1,BA146&lt;$D$1,AX146/AW146&lt;3),"Not Serious", AND(AY146&gt;$D$1*-1,AY146&lt;$D$1,OR(AZ146&lt;=$D$1*-1,BA146&gt;=$D$1),AZ146&gt;$D$2*-1,BA146&lt;$D$2,AX146/AW146&lt;3),"Serious", AND(AY146&gt;$D$1*-1,AY146&lt;$D$1,OR(AZ146&lt;=$D$2*-1,BA146&gt;=$D$2),AX146/AW146&lt;3),"Very serious", AND(AY146&gt;$D$1*-1,AY146&lt;$D$1,AZ146&gt;$D$1*-1,BA146&lt;$D$1,AX146/AW146&gt;=3),"Very serious", AND(AY146&gt;$D$1*-1,AY146&lt;$D$1,OR(AZ146&lt;=$D$1*-1,BA146&gt;=$D$1),AZ146&gt;$D$2*-1,BA146&lt;$D$2,AX146/AW146&gt;=3),"Very serious", AND(AY146&gt;$D$1*-1,AY146&lt;$D$1,OR(AZ146&lt;=$D$2*-1,BA146&gt;=$D$2),AX146/AW146&gt;=3),"Very serious"),""))</f>
        <v/>
      </c>
      <c r="BF146" s="107" t="str">
        <f t="shared" si="11"/>
        <v/>
      </c>
      <c r="BG146" s="94" t="str">
        <f t="shared" si="46"/>
        <v/>
      </c>
      <c r="BH146" s="64" t="str">
        <f t="shared" si="12"/>
        <v>#N/A</v>
      </c>
      <c r="BI146" s="64" t="str">
        <f t="shared" si="13"/>
        <v/>
      </c>
      <c r="BJ146" s="123" t="str">
        <f t="shared" si="14"/>
        <v>#N/A</v>
      </c>
      <c r="BK146" s="64" t="str">
        <f t="shared" si="50"/>
        <v>YES</v>
      </c>
      <c r="BL146" s="64" t="str">
        <f t="shared" si="16"/>
        <v>YES</v>
      </c>
      <c r="BM146" s="64" t="str">
        <f t="shared" si="17"/>
        <v>YES</v>
      </c>
      <c r="BN146" s="124" t="str">
        <f t="shared" si="18"/>
        <v/>
      </c>
      <c r="BO146" s="91" t="str">
        <f t="shared" si="19"/>
        <v/>
      </c>
      <c r="BP146" s="91" t="str">
        <f t="shared" si="20"/>
        <v>#N/A</v>
      </c>
      <c r="BQ146" s="91" t="str">
        <f t="shared" si="21"/>
        <v/>
      </c>
      <c r="BR146" s="93" t="str">
        <f t="shared" si="22"/>
        <v/>
      </c>
      <c r="BS146" s="90" t="str">
        <f t="shared" si="23"/>
        <v/>
      </c>
      <c r="BT146" s="93" t="str">
        <f t="shared" si="24"/>
        <v>NA</v>
      </c>
      <c r="BU146" s="125" t="str">
        <f t="shared" si="25"/>
        <v>#N/A</v>
      </c>
      <c r="BV146" s="93" t="str">
        <f t="shared" si="26"/>
        <v/>
      </c>
      <c r="BW146" s="93" t="str">
        <f t="shared" si="27"/>
        <v/>
      </c>
      <c r="BX146" s="93" t="str">
        <f t="shared" si="28"/>
        <v>NA</v>
      </c>
      <c r="BY146" s="95" t="str">
        <f t="shared" si="29"/>
        <v>#N/A</v>
      </c>
      <c r="BZ146" s="93" t="str">
        <f t="shared" si="30"/>
        <v/>
      </c>
      <c r="CA146" s="93" t="str">
        <f t="shared" si="31"/>
        <v/>
      </c>
      <c r="CB146" s="93" t="str">
        <f t="shared" si="32"/>
        <v>NA</v>
      </c>
      <c r="CC146" s="96" t="str">
        <f t="shared" si="33"/>
        <v>#N/A</v>
      </c>
      <c r="CD146" s="93" t="str">
        <f t="shared" si="34"/>
        <v/>
      </c>
      <c r="CE146" s="93" t="str">
        <f t="shared" si="35"/>
        <v/>
      </c>
      <c r="CF146" s="93" t="str">
        <f t="shared" si="36"/>
        <v>NA</v>
      </c>
      <c r="CG146" s="97" t="str">
        <f t="shared" si="37"/>
        <v>#N/A</v>
      </c>
      <c r="CH146" s="98" t="str">
        <f t="shared" si="38"/>
        <v>#N/A</v>
      </c>
      <c r="CI146" s="99" t="str">
        <f t="shared" si="39"/>
        <v>#N/A</v>
      </c>
      <c r="CJ146" s="126" t="str">
        <f t="shared" si="40"/>
        <v>ERROR: check cell</v>
      </c>
      <c r="CK146" s="126"/>
      <c r="CL146" s="127" t="str">
        <f t="shared" si="41"/>
        <v>#DIV/0!</v>
      </c>
      <c r="CM146" s="128" t="str">
        <f t="shared" si="42"/>
        <v>#DIV/0!</v>
      </c>
      <c r="CN146" s="128">
        <f t="shared" si="43"/>
        <v>4</v>
      </c>
      <c r="CO146" s="129">
        <f t="shared" si="44"/>
        <v>4</v>
      </c>
      <c r="CP146" s="129" t="str">
        <f>IFS(C146=Preferences!B$13,B146,B146=Preferences!B$13,C146)</f>
        <v>#N/A</v>
      </c>
    </row>
    <row r="147" ht="13.5" customHeight="1">
      <c r="A147" s="63" t="str">
        <f t="shared" si="45"/>
        <v/>
      </c>
      <c r="B147" s="64"/>
      <c r="C147" s="64"/>
      <c r="D147" s="64"/>
      <c r="E147" s="65"/>
      <c r="F147" s="65"/>
      <c r="G147" s="65"/>
      <c r="H147" s="66"/>
      <c r="I147" s="66"/>
      <c r="J147" s="67"/>
      <c r="K147" s="68"/>
      <c r="L147" s="104"/>
      <c r="M147" s="104"/>
      <c r="N147" s="104"/>
      <c r="O147" s="104"/>
      <c r="P147" s="107" t="str">
        <f t="shared" si="1"/>
        <v/>
      </c>
      <c r="Q147" s="108" t="str">
        <f>IFERROR(IF(AND(Preferences!B$3="Manual",OR(AX147/AW147&gt;G147/F147,BD147="Serious",BD147="Very serious")),"Assess imprecision",IFS(ISBLANK(E147),"",AND(Preferences!B$3="Automatic", G147/F147&gt;=30),"Extremely serious",AND(H147&lt;=$D$1*-1,J147&lt;0,G147/F147&lt;3),"Not serious",AND(H147&lt;=$D$1*-1,J147&lt;0,G147/F147&gt;=3),"Very serious",AND(H147&gt;=$D$1,I147&gt;0,G147/F147&lt;3),"Not serious",AND(H147&gt;=$D$1,I147&gt;0,G147/F147&gt;=3),"Very serious",AND(H147&lt;=$D$1*-1,J147&gt;0,I147&gt;$D$2*-1,G147/F147&lt;3),"Serious", AND(H147&lt;=$D$1*-1,J147&gt;0,I147&lt;$D$2*-1,G147/F147&lt;3),"Very serious", AND(H147&gt;=$D$1,I147&lt;0,J147&lt;$D$2,G147/F147&lt;3),"Serious",AND(H147&gt;=$D$1,I147&lt;0,J147&gt;$D$2,G147/F147&lt;3),"Very serious", AND(H147&lt;=$D$1*-1,J147&gt;0,I147&gt;$D$2*-1,G147/F147&gt;=3),"Very serious", AND(H147&lt;=$D$1*-1,J147&gt;0,I147&lt;$D$2*-1,G147/F147&gt;=3),"Very serious", AND(H147&gt;=$D$1,I147&lt;0,J147&lt;$D$2,G147/F147&gt;=3),"Very serious", AND(H147&gt;=$D$1,I147&lt;0,J147&gt;$D$2,G147/F147&gt;=3),"Very serious", AND(H147&gt;$D$1*-1,H147&lt;$D$1,I147&gt;$D$1*-1,J147&lt;$D$1,G147/F147&lt;3),"Not serious", AND(H147&gt;$D$1*-1,H147&lt;$D$1,OR(I147&lt;=$D$1*-1,J147&gt;=$D$1),I147&gt;$D$2*-1,J147&lt;$D$2,G147/F147&lt;3),"Serious", AND(H147&gt;$D$1*-1,H147&lt;$D$1,OR(I147&lt;=$D$2*-1,J147&gt;=$D$2),G147/F147&lt;3),"Very serious", AND(H147&gt;$D$1*-1,H147&lt;$D$1,I147&gt;$D$1*-1,J147&lt;$D$1,G147/F147&gt;=3),"Very serious", AND(H147&gt;$D$1*-1,H147&lt;$D$1,OR(I147&lt;=$D$1*-1,J147&gt;=$D$1),I147&gt;$D$2*-1,J147&lt;$D$2,G147/F147&gt;=3),"Very serious", AND(H147&gt;$D$1*-1,H147&lt;$D$1,OR(I147&lt;=$D$2*-1,J147&gt;=$D$2),G147/F147&gt;=3),"Very serious")),"")</f>
        <v/>
      </c>
      <c r="R147" s="109" t="str">
        <f t="shared" si="47"/>
        <v/>
      </c>
      <c r="S147" s="64"/>
      <c r="T147" s="72"/>
      <c r="U147" s="72"/>
      <c r="V147" s="72"/>
      <c r="W147" s="73"/>
      <c r="X147" s="73"/>
      <c r="Y147" s="74"/>
      <c r="Z147" s="113" t="str">
        <f t="array" ref="Z147">INDEX($A$1:$C$500, MATCH(1,($B:$B=$B147)*($C:$C=$AB147),0),1)</f>
        <v/>
      </c>
      <c r="AA147" s="113" t="str">
        <f t="array" ref="AA147">INDEX($A$1:$C$500, MATCH(1,($B:$B=$AB147)*($C:$C=$B147),0),1)</f>
        <v/>
      </c>
      <c r="AB147" s="111"/>
      <c r="AC147" s="114" t="str">
        <f t="shared" si="2"/>
        <v/>
      </c>
      <c r="AD147" s="115" t="str">
        <f t="shared" si="3"/>
        <v/>
      </c>
      <c r="AE147" s="116" t="str">
        <f t="array" ref="AE147">INDEX($A$1:$C$500, MATCH(1,($B:$B=$AB147)*($C:$C=$AG147),0),1)</f>
        <v/>
      </c>
      <c r="AF147" s="116" t="str">
        <f t="array" ref="AF147">INDEX($A$1:$C$500, MATCH(1,($B:$B=$AG147)*($C:$C=$AB147),0),1)</f>
        <v/>
      </c>
      <c r="AG147" s="72"/>
      <c r="AH147" s="114" t="str">
        <f t="shared" si="4"/>
        <v/>
      </c>
      <c r="AI147" s="115" t="str">
        <f t="shared" si="5"/>
        <v/>
      </c>
      <c r="AJ147" s="116" t="str">
        <f t="array" ref="AJ147">INDEX($A$1:$C$500, MATCH(1,($B:$B=$C147)*($C:$C=$AG147),0),1)</f>
        <v/>
      </c>
      <c r="AK147" s="116" t="str">
        <f t="array" ref="AK147">INDEX($A$1:$C$500, MATCH(1,($B:$B=$AG147)*($C:$C=$C147),0),1)</f>
        <v/>
      </c>
      <c r="AL147" s="116" t="str">
        <f t="array" ref="AL147">INDEX($A$1:$C$500, MATCH(1,($B:$B=$C147)*($C:$C=$AB147),0),1)</f>
        <v/>
      </c>
      <c r="AM147" s="116" t="str">
        <f t="array" ref="AM147">INDEX($A$1:$C$500, MATCH(1,($B:$B=$AB147)*($C:$C=$C147),0),1)</f>
        <v/>
      </c>
      <c r="AN147" s="114" t="str">
        <f t="array" ref="AN147">IFS(ISNUMBER(AJ147),AJ147,ISNUMBER(AK147),AK147,ISNUMBER(AL147),AL147,ISNUMBER(AM147),AM147)</f>
        <v>#N/A</v>
      </c>
      <c r="AO147" s="115" t="str">
        <f t="shared" si="6"/>
        <v/>
      </c>
      <c r="AP147" s="115" t="str">
        <f t="shared" si="7"/>
        <v/>
      </c>
      <c r="AQ147" s="111"/>
      <c r="AR147" s="109" t="str">
        <f t="shared" si="8"/>
        <v/>
      </c>
      <c r="AS147" s="72" t="str">
        <f>IFERROR(IF(AND(Preferences!B$3="Manual",OR(AX147/AW147&gt;V147/U147,BD147="Serious",BD147="Very serious")),"Assess imprecision",IFERROR(IFS(AND(Preferences!B$3="Automatic",V147/U147&gt;=30),"Extremely serious",AND(W147&lt;=$D$1*-1,Y147&lt;0,V147/U147&lt;3),"Not Serious",AND(W147&lt;=$D$1*-1,Y147&lt;0,V147/U147&gt;=3),"Very serious",AND(W147&gt;=$D$1,X147&gt;0,V147/U147&lt;3),"Not Serious",AND(W147&gt;=$D$1,X147&gt;0,V147/U147&gt;=3),"Very serious",AND(W147&lt;=$D$1*-1,Y147&gt;0,X147&gt;$D$2*-1,V147/U147&lt;3),"Serious", AND(W147&lt;=$D$1*-1,Y147&gt;0,X147&lt;$D$2*-1,V147/U147&lt;3),"Very serious", AND(W147&gt;=$D$1,X147&lt;0,Y147&lt;$D$2,V147/U147&lt;3),"Serious",AND(W147&gt;=$D$1,X147&lt;0,Y147&gt;$D$2,V147/U147&lt;3),"Very serious", AND(W147&lt;=$D$1*-1,Y147&gt;0,X147&gt;$D$2*-1,V147/U147&gt;=3),"Very serious", AND(W147&lt;=$D$1*-1,Y147&gt;0,X147&lt;$D$2*-1,V147/U147&gt;=3),"Very serious", AND(W147&gt;=$D$1,X147&lt;0,Y147&lt;$D$2,V147/U147&gt;=3),"Very serious", AND(W147&gt;=$D$1,X147&lt;0,Y147&gt;$D$2,V147/U147&gt;=3),"Very serious", AND(W147&gt;$D$1*-1,W147&lt;$D$1,X147&gt;$D$1*-1,Y147&lt;$D$1,V147/U147&lt;3),"Not Serious", AND(W147&gt;$D$1*-1,W147&lt;$D$1,OR(X147&lt;=$D$1*-1,Y147&gt;=$D$1),X147&gt;$D$2*-1,Y147&lt;$D$2,V147/U147&lt;3),"Serious", AND(W147&gt;$D$1*-1,W147&lt;$D$1,OR(X147&lt;=$D$2*-1,Y147&gt;=$D$2),V147/U147&lt;3),"Very serious", AND(W147&gt;$D$1*-1,W147&lt;$D$1,X147&gt;$D$1*-1,Y147&lt;$D$1,V147/U147&gt;=3),"Very serious", AND(W147&gt;$D$1*-1,W147&lt;$D$1,OR(X147&lt;=$D$1*-1,Y147&gt;=$D$1),X147&gt;$D$2*-1,Y147&lt;$D$2,V147/U147&gt;=3),"Very serious", AND(W147&gt;$D$1*-1,W147&lt;$D$1,OR(X147&lt;=$D$2*-1,Y147&gt;=$D$2),V147/U147&gt;=3),"Very serious"),"")),"")</f>
        <v/>
      </c>
      <c r="AT147" s="109" t="str">
        <f t="shared" si="9"/>
        <v/>
      </c>
      <c r="AU147" s="64"/>
      <c r="AV147" s="83"/>
      <c r="AW147" s="83"/>
      <c r="AX147" s="83"/>
      <c r="AY147" s="83"/>
      <c r="AZ147" s="83"/>
      <c r="BA147" s="85"/>
      <c r="BB147" s="86" t="str">
        <f>IF(Preferences!B$9="Manual","",IFS(ISBLANK(B147),"",AND(ISNUMBER(E147)=TRUE,ISNUMBER(T147)=FALSE),"Direct", AND(ISNUMBER(E147)=FALSE,ISNUMBER(T147)=TRUE),"Indirect", CN147=4,"Direct",AND(CL147=FALSE, CM147=TRUE,CN147-CO147&gt;-1),"Direct", AND(CL147=FALSE,CM147=TRUE, CN147-CO147&lt;0),"Check algorithm in appendix 2", AND(CL147=TRUE, CM147=FALSE,CN147-CO147&gt;0),"Check algorithm in appendix 2", AND(CL147=TRUE, CM147=FALSE,CN147-CO147=0),"Indirect", AND(CL147=TRUE, CM147=FALSE,CN147-CO147&lt;0),"Indirect", AND(CL147=FALSE,CM147=FALSE,CN147-CO147&gt;-1),"Direct", AND(CL147=FALSE,CM147=FALSE,CN147-CO147&lt;0),"Check algorithm in appendix 2", AND(CL147=TRUE,CM147=TRUE,CN147-CO147&gt;-1),"Direct", AND(CL147=TRUE,CM147=TRUE,CN147-CO147&lt;0),"Check algorithm in appendix 2"))</f>
        <v/>
      </c>
      <c r="BC147" s="120" t="str">
        <f t="shared" si="10"/>
        <v/>
      </c>
      <c r="BD147" s="140"/>
      <c r="BE147" s="122" t="str">
        <f>IF(Preferences!B$3="Manual","", IFERROR(IFS(AND(Preferences!B$3="Automatic",AX147/AW147&gt;=30),"Extremely serious",AND(AY147&lt;=$D$1*-1,BA147&lt;0,AX147/AW147&lt;3),"Not Serious",AND(AY147&lt;=$D$1*-1,BA147&lt;0,AX147/AW147&gt;=3),"Very serious",AND(AY147&gt;=$D$1,AZ147&gt;0,AX147/AW147&lt;3),"Not Serious",AND(AY147&gt;=$D$1,AZ147&gt;0,AX147/AW147&gt;=3),"Very serious",AND(AY147&lt;=$D$1*-1,BA147&gt;0,AZ147&gt;$D$2*-1,AX147/AW147&lt;3),"Serious", AND(AY147&lt;=$D$1*-1,BA147&gt;0,AZ147&lt;$D$2*-1,AX147/AW147&lt;3),"Very serious", AND(AY147&gt;=$D$1,AZ147&lt;0,BA147&lt;$D$2,AX147/AW147&lt;3),"Serious",AND(AY147&gt;=$D$1,AZ147&lt;0,BA147&gt;$D$2,AX147/AW147&lt;3),"Very serious", AND(AY147&lt;=$D$1*-1,BA147&gt;0,AZ147&gt;$D$2*-1,AX147/AW147&gt;=3),"Very serious", AND(AY147&lt;=$D$1*-1,BA147&gt;0,AZ147&lt;$D$2*-1,AX147/AW147&gt;=3),"Very serious", AND(AY147&gt;=$D$1,AZ147&lt;0,BA147&lt;$D$2,AX147/AW147&gt;=3),"Very serious", AND(AY147&gt;=$D$1,AZ147&lt;0,BA147&gt;$D$2,AX147/AW147&gt;=3),"Very serious", AND(AY147&gt;$D$1*-1,AY147&lt;$D$1,AZ147&gt;$D$1*-1,BA147&lt;$D$1,AX147/AW147&lt;3),"Not Serious", AND(AY147&gt;$D$1*-1,AY147&lt;$D$1,OR(AZ147&lt;=$D$1*-1,BA147&gt;=$D$1),AZ147&gt;$D$2*-1,BA147&lt;$D$2,AX147/AW147&lt;3),"Serious", AND(AY147&gt;$D$1*-1,AY147&lt;$D$1,OR(AZ147&lt;=$D$2*-1,BA147&gt;=$D$2),AX147/AW147&lt;3),"Very serious", AND(AY147&gt;$D$1*-1,AY147&lt;$D$1,AZ147&gt;$D$1*-1,BA147&lt;$D$1,AX147/AW147&gt;=3),"Very serious", AND(AY147&gt;$D$1*-1,AY147&lt;$D$1,OR(AZ147&lt;=$D$1*-1,BA147&gt;=$D$1),AZ147&gt;$D$2*-1,BA147&lt;$D$2,AX147/AW147&gt;=3),"Very serious", AND(AY147&gt;$D$1*-1,AY147&lt;$D$1,OR(AZ147&lt;=$D$2*-1,BA147&gt;=$D$2),AX147/AW147&gt;=3),"Very serious"),""))</f>
        <v/>
      </c>
      <c r="BF147" s="107" t="str">
        <f t="shared" si="11"/>
        <v/>
      </c>
      <c r="BG147" s="94" t="str">
        <f t="shared" si="46"/>
        <v/>
      </c>
      <c r="BH147" s="64" t="str">
        <f t="shared" si="12"/>
        <v>#N/A</v>
      </c>
      <c r="BI147" s="64" t="str">
        <f t="shared" si="13"/>
        <v/>
      </c>
      <c r="BJ147" s="123" t="str">
        <f t="shared" si="14"/>
        <v>#N/A</v>
      </c>
      <c r="BK147" s="64" t="str">
        <f t="shared" si="50"/>
        <v>YES</v>
      </c>
      <c r="BL147" s="64" t="str">
        <f t="shared" si="16"/>
        <v>YES</v>
      </c>
      <c r="BM147" s="64" t="str">
        <f t="shared" si="17"/>
        <v>YES</v>
      </c>
      <c r="BN147" s="124" t="str">
        <f t="shared" si="18"/>
        <v/>
      </c>
      <c r="BO147" s="91" t="str">
        <f t="shared" si="19"/>
        <v/>
      </c>
      <c r="BP147" s="91" t="str">
        <f t="shared" si="20"/>
        <v>#N/A</v>
      </c>
      <c r="BQ147" s="91" t="str">
        <f t="shared" si="21"/>
        <v/>
      </c>
      <c r="BR147" s="93" t="str">
        <f t="shared" si="22"/>
        <v/>
      </c>
      <c r="BS147" s="90" t="str">
        <f t="shared" si="23"/>
        <v/>
      </c>
      <c r="BT147" s="93" t="str">
        <f t="shared" si="24"/>
        <v>NA</v>
      </c>
      <c r="BU147" s="125" t="str">
        <f t="shared" si="25"/>
        <v>#N/A</v>
      </c>
      <c r="BV147" s="93" t="str">
        <f t="shared" si="26"/>
        <v/>
      </c>
      <c r="BW147" s="93" t="str">
        <f t="shared" si="27"/>
        <v/>
      </c>
      <c r="BX147" s="93" t="str">
        <f t="shared" si="28"/>
        <v>NA</v>
      </c>
      <c r="BY147" s="95" t="str">
        <f t="shared" si="29"/>
        <v>#N/A</v>
      </c>
      <c r="BZ147" s="93" t="str">
        <f t="shared" si="30"/>
        <v/>
      </c>
      <c r="CA147" s="93" t="str">
        <f t="shared" si="31"/>
        <v/>
      </c>
      <c r="CB147" s="93" t="str">
        <f t="shared" si="32"/>
        <v>NA</v>
      </c>
      <c r="CC147" s="96" t="str">
        <f t="shared" si="33"/>
        <v>#N/A</v>
      </c>
      <c r="CD147" s="93" t="str">
        <f t="shared" si="34"/>
        <v/>
      </c>
      <c r="CE147" s="93" t="str">
        <f t="shared" si="35"/>
        <v/>
      </c>
      <c r="CF147" s="93" t="str">
        <f t="shared" si="36"/>
        <v>NA</v>
      </c>
      <c r="CG147" s="97" t="str">
        <f t="shared" si="37"/>
        <v>#N/A</v>
      </c>
      <c r="CH147" s="98" t="str">
        <f t="shared" si="38"/>
        <v>#N/A</v>
      </c>
      <c r="CI147" s="99" t="str">
        <f t="shared" si="39"/>
        <v>#N/A</v>
      </c>
      <c r="CJ147" s="126" t="str">
        <f t="shared" si="40"/>
        <v>ERROR: check cell</v>
      </c>
      <c r="CK147" s="126"/>
      <c r="CL147" s="127" t="str">
        <f t="shared" si="41"/>
        <v>#DIV/0!</v>
      </c>
      <c r="CM147" s="128" t="str">
        <f t="shared" si="42"/>
        <v>#DIV/0!</v>
      </c>
      <c r="CN147" s="128">
        <f t="shared" si="43"/>
        <v>4</v>
      </c>
      <c r="CO147" s="129">
        <f t="shared" si="44"/>
        <v>4</v>
      </c>
      <c r="CP147" s="129" t="str">
        <f>IFS(C147=Preferences!B$13,B147,B147=Preferences!B$13,C147)</f>
        <v>#N/A</v>
      </c>
    </row>
    <row r="148" ht="13.5" customHeight="1">
      <c r="A148" s="63" t="str">
        <f t="shared" si="45"/>
        <v/>
      </c>
      <c r="B148" s="64"/>
      <c r="C148" s="64"/>
      <c r="D148" s="64"/>
      <c r="E148" s="65"/>
      <c r="F148" s="65"/>
      <c r="G148" s="65"/>
      <c r="H148" s="66"/>
      <c r="I148" s="66"/>
      <c r="J148" s="67"/>
      <c r="K148" s="68"/>
      <c r="L148" s="104"/>
      <c r="M148" s="104"/>
      <c r="N148" s="104"/>
      <c r="O148" s="104"/>
      <c r="P148" s="107" t="str">
        <f t="shared" si="1"/>
        <v/>
      </c>
      <c r="Q148" s="108" t="str">
        <f>IFERROR(IF(AND(Preferences!B$3="Manual",OR(AX148/AW148&gt;G148/F148,BD148="Serious",BD148="Very serious")),"Assess imprecision",IFS(ISBLANK(E148),"",AND(Preferences!B$3="Automatic", G148/F148&gt;=30),"Extremely serious",AND(H148&lt;=$D$1*-1,J148&lt;0,G148/F148&lt;3),"Not serious",AND(H148&lt;=$D$1*-1,J148&lt;0,G148/F148&gt;=3),"Very serious",AND(H148&gt;=$D$1,I148&gt;0,G148/F148&lt;3),"Not serious",AND(H148&gt;=$D$1,I148&gt;0,G148/F148&gt;=3),"Very serious",AND(H148&lt;=$D$1*-1,J148&gt;0,I148&gt;$D$2*-1,G148/F148&lt;3),"Serious", AND(H148&lt;=$D$1*-1,J148&gt;0,I148&lt;$D$2*-1,G148/F148&lt;3),"Very serious", AND(H148&gt;=$D$1,I148&lt;0,J148&lt;$D$2,G148/F148&lt;3),"Serious",AND(H148&gt;=$D$1,I148&lt;0,J148&gt;$D$2,G148/F148&lt;3),"Very serious", AND(H148&lt;=$D$1*-1,J148&gt;0,I148&gt;$D$2*-1,G148/F148&gt;=3),"Very serious", AND(H148&lt;=$D$1*-1,J148&gt;0,I148&lt;$D$2*-1,G148/F148&gt;=3),"Very serious", AND(H148&gt;=$D$1,I148&lt;0,J148&lt;$D$2,G148/F148&gt;=3),"Very serious", AND(H148&gt;=$D$1,I148&lt;0,J148&gt;$D$2,G148/F148&gt;=3),"Very serious", AND(H148&gt;$D$1*-1,H148&lt;$D$1,I148&gt;$D$1*-1,J148&lt;$D$1,G148/F148&lt;3),"Not serious", AND(H148&gt;$D$1*-1,H148&lt;$D$1,OR(I148&lt;=$D$1*-1,J148&gt;=$D$1),I148&gt;$D$2*-1,J148&lt;$D$2,G148/F148&lt;3),"Serious", AND(H148&gt;$D$1*-1,H148&lt;$D$1,OR(I148&lt;=$D$2*-1,J148&gt;=$D$2),G148/F148&lt;3),"Very serious", AND(H148&gt;$D$1*-1,H148&lt;$D$1,I148&gt;$D$1*-1,J148&lt;$D$1,G148/F148&gt;=3),"Very serious", AND(H148&gt;$D$1*-1,H148&lt;$D$1,OR(I148&lt;=$D$1*-1,J148&gt;=$D$1),I148&gt;$D$2*-1,J148&lt;$D$2,G148/F148&gt;=3),"Very serious", AND(H148&gt;$D$1*-1,H148&lt;$D$1,OR(I148&lt;=$D$2*-1,J148&gt;=$D$2),G148/F148&gt;=3),"Very serious")),"")</f>
        <v/>
      </c>
      <c r="R148" s="109" t="str">
        <f t="shared" si="47"/>
        <v/>
      </c>
      <c r="S148" s="64"/>
      <c r="T148" s="72"/>
      <c r="U148" s="72"/>
      <c r="V148" s="72"/>
      <c r="W148" s="73"/>
      <c r="X148" s="73"/>
      <c r="Y148" s="74"/>
      <c r="Z148" s="113" t="str">
        <f t="array" ref="Z148">INDEX($A$1:$C$500, MATCH(1,($B:$B=$B148)*($C:$C=$AB148),0),1)</f>
        <v/>
      </c>
      <c r="AA148" s="113" t="str">
        <f t="array" ref="AA148">INDEX($A$1:$C$500, MATCH(1,($B:$B=$AB148)*($C:$C=$B148),0),1)</f>
        <v/>
      </c>
      <c r="AB148" s="111"/>
      <c r="AC148" s="114" t="str">
        <f t="shared" si="2"/>
        <v/>
      </c>
      <c r="AD148" s="115" t="str">
        <f t="shared" si="3"/>
        <v/>
      </c>
      <c r="AE148" s="116" t="str">
        <f t="array" ref="AE148">INDEX($A$1:$C$500, MATCH(1,($B:$B=$AB148)*($C:$C=$AG148),0),1)</f>
        <v/>
      </c>
      <c r="AF148" s="116" t="str">
        <f t="array" ref="AF148">INDEX($A$1:$C$500, MATCH(1,($B:$B=$AG148)*($C:$C=$AB148),0),1)</f>
        <v/>
      </c>
      <c r="AG148" s="72"/>
      <c r="AH148" s="114" t="str">
        <f t="shared" si="4"/>
        <v/>
      </c>
      <c r="AI148" s="115" t="str">
        <f t="shared" si="5"/>
        <v/>
      </c>
      <c r="AJ148" s="116" t="str">
        <f t="array" ref="AJ148">INDEX($A$1:$C$500, MATCH(1,($B:$B=$C148)*($C:$C=$AG148),0),1)</f>
        <v/>
      </c>
      <c r="AK148" s="116" t="str">
        <f t="array" ref="AK148">INDEX($A$1:$C$500, MATCH(1,($B:$B=$AG148)*($C:$C=$C148),0),1)</f>
        <v/>
      </c>
      <c r="AL148" s="116" t="str">
        <f t="array" ref="AL148">INDEX($A$1:$C$500, MATCH(1,($B:$B=$C148)*($C:$C=$AB148),0),1)</f>
        <v/>
      </c>
      <c r="AM148" s="116" t="str">
        <f t="array" ref="AM148">INDEX($A$1:$C$500, MATCH(1,($B:$B=$AB148)*($C:$C=$C148),0),1)</f>
        <v/>
      </c>
      <c r="AN148" s="114" t="str">
        <f t="array" ref="AN148">IFS(ISNUMBER(AJ148),AJ148,ISNUMBER(AK148),AK148,ISNUMBER(AL148),AL148,ISNUMBER(AM148),AM148)</f>
        <v>#N/A</v>
      </c>
      <c r="AO148" s="115" t="str">
        <f t="shared" si="6"/>
        <v/>
      </c>
      <c r="AP148" s="115" t="str">
        <f t="shared" si="7"/>
        <v/>
      </c>
      <c r="AQ148" s="111"/>
      <c r="AR148" s="109" t="str">
        <f t="shared" si="8"/>
        <v/>
      </c>
      <c r="AS148" s="72" t="str">
        <f>IFERROR(IF(AND(Preferences!B$3="Manual",OR(AX148/AW148&gt;V148/U148,BD148="Serious",BD148="Very serious")),"Assess imprecision",IFERROR(IFS(AND(Preferences!B$3="Automatic",V148/U148&gt;=30),"Extremely serious",AND(W148&lt;=$D$1*-1,Y148&lt;0,V148/U148&lt;3),"Not Serious",AND(W148&lt;=$D$1*-1,Y148&lt;0,V148/U148&gt;=3),"Very serious",AND(W148&gt;=$D$1,X148&gt;0,V148/U148&lt;3),"Not Serious",AND(W148&gt;=$D$1,X148&gt;0,V148/U148&gt;=3),"Very serious",AND(W148&lt;=$D$1*-1,Y148&gt;0,X148&gt;$D$2*-1,V148/U148&lt;3),"Serious", AND(W148&lt;=$D$1*-1,Y148&gt;0,X148&lt;$D$2*-1,V148/U148&lt;3),"Very serious", AND(W148&gt;=$D$1,X148&lt;0,Y148&lt;$D$2,V148/U148&lt;3),"Serious",AND(W148&gt;=$D$1,X148&lt;0,Y148&gt;$D$2,V148/U148&lt;3),"Very serious", AND(W148&lt;=$D$1*-1,Y148&gt;0,X148&gt;$D$2*-1,V148/U148&gt;=3),"Very serious", AND(W148&lt;=$D$1*-1,Y148&gt;0,X148&lt;$D$2*-1,V148/U148&gt;=3),"Very serious", AND(W148&gt;=$D$1,X148&lt;0,Y148&lt;$D$2,V148/U148&gt;=3),"Very serious", AND(W148&gt;=$D$1,X148&lt;0,Y148&gt;$D$2,V148/U148&gt;=3),"Very serious", AND(W148&gt;$D$1*-1,W148&lt;$D$1,X148&gt;$D$1*-1,Y148&lt;$D$1,V148/U148&lt;3),"Not Serious", AND(W148&gt;$D$1*-1,W148&lt;$D$1,OR(X148&lt;=$D$1*-1,Y148&gt;=$D$1),X148&gt;$D$2*-1,Y148&lt;$D$2,V148/U148&lt;3),"Serious", AND(W148&gt;$D$1*-1,W148&lt;$D$1,OR(X148&lt;=$D$2*-1,Y148&gt;=$D$2),V148/U148&lt;3),"Very serious", AND(W148&gt;$D$1*-1,W148&lt;$D$1,X148&gt;$D$1*-1,Y148&lt;$D$1,V148/U148&gt;=3),"Very serious", AND(W148&gt;$D$1*-1,W148&lt;$D$1,OR(X148&lt;=$D$1*-1,Y148&gt;=$D$1),X148&gt;$D$2*-1,Y148&lt;$D$2,V148/U148&gt;=3),"Very serious", AND(W148&gt;$D$1*-1,W148&lt;$D$1,OR(X148&lt;=$D$2*-1,Y148&gt;=$D$2),V148/U148&gt;=3),"Very serious"),"")),"")</f>
        <v/>
      </c>
      <c r="AT148" s="109" t="str">
        <f t="shared" si="9"/>
        <v/>
      </c>
      <c r="AU148" s="64"/>
      <c r="AV148" s="83"/>
      <c r="AW148" s="83"/>
      <c r="AX148" s="83"/>
      <c r="AY148" s="83"/>
      <c r="AZ148" s="83"/>
      <c r="BA148" s="85"/>
      <c r="BB148" s="86" t="str">
        <f>IF(Preferences!B$9="Manual","",IFS(ISBLANK(B148),"",AND(ISNUMBER(E148)=TRUE,ISNUMBER(T148)=FALSE),"Direct", AND(ISNUMBER(E148)=FALSE,ISNUMBER(T148)=TRUE),"Indirect", CN148=4,"Direct",AND(CL148=FALSE, CM148=TRUE,CN148-CO148&gt;-1),"Direct", AND(CL148=FALSE,CM148=TRUE, CN148-CO148&lt;0),"Check algorithm in appendix 2", AND(CL148=TRUE, CM148=FALSE,CN148-CO148&gt;0),"Check algorithm in appendix 2", AND(CL148=TRUE, CM148=FALSE,CN148-CO148=0),"Indirect", AND(CL148=TRUE, CM148=FALSE,CN148-CO148&lt;0),"Indirect", AND(CL148=FALSE,CM148=FALSE,CN148-CO148&gt;-1),"Direct", AND(CL148=FALSE,CM148=FALSE,CN148-CO148&lt;0),"Check algorithm in appendix 2", AND(CL148=TRUE,CM148=TRUE,CN148-CO148&gt;-1),"Direct", AND(CL148=TRUE,CM148=TRUE,CN148-CO148&lt;0),"Check algorithm in appendix 2"))</f>
        <v/>
      </c>
      <c r="BC148" s="120" t="str">
        <f t="shared" si="10"/>
        <v/>
      </c>
      <c r="BD148" s="140"/>
      <c r="BE148" s="122" t="str">
        <f>IF(Preferences!B$3="Manual","", IFERROR(IFS(AND(Preferences!B$3="Automatic",AX148/AW148&gt;=30),"Extremely serious",AND(AY148&lt;=$D$1*-1,BA148&lt;0,AX148/AW148&lt;3),"Not Serious",AND(AY148&lt;=$D$1*-1,BA148&lt;0,AX148/AW148&gt;=3),"Very serious",AND(AY148&gt;=$D$1,AZ148&gt;0,AX148/AW148&lt;3),"Not Serious",AND(AY148&gt;=$D$1,AZ148&gt;0,AX148/AW148&gt;=3),"Very serious",AND(AY148&lt;=$D$1*-1,BA148&gt;0,AZ148&gt;$D$2*-1,AX148/AW148&lt;3),"Serious", AND(AY148&lt;=$D$1*-1,BA148&gt;0,AZ148&lt;$D$2*-1,AX148/AW148&lt;3),"Very serious", AND(AY148&gt;=$D$1,AZ148&lt;0,BA148&lt;$D$2,AX148/AW148&lt;3),"Serious",AND(AY148&gt;=$D$1,AZ148&lt;0,BA148&gt;$D$2,AX148/AW148&lt;3),"Very serious", AND(AY148&lt;=$D$1*-1,BA148&gt;0,AZ148&gt;$D$2*-1,AX148/AW148&gt;=3),"Very serious", AND(AY148&lt;=$D$1*-1,BA148&gt;0,AZ148&lt;$D$2*-1,AX148/AW148&gt;=3),"Very serious", AND(AY148&gt;=$D$1,AZ148&lt;0,BA148&lt;$D$2,AX148/AW148&gt;=3),"Very serious", AND(AY148&gt;=$D$1,AZ148&lt;0,BA148&gt;$D$2,AX148/AW148&gt;=3),"Very serious", AND(AY148&gt;$D$1*-1,AY148&lt;$D$1,AZ148&gt;$D$1*-1,BA148&lt;$D$1,AX148/AW148&lt;3),"Not Serious", AND(AY148&gt;$D$1*-1,AY148&lt;$D$1,OR(AZ148&lt;=$D$1*-1,BA148&gt;=$D$1),AZ148&gt;$D$2*-1,BA148&lt;$D$2,AX148/AW148&lt;3),"Serious", AND(AY148&gt;$D$1*-1,AY148&lt;$D$1,OR(AZ148&lt;=$D$2*-1,BA148&gt;=$D$2),AX148/AW148&lt;3),"Very serious", AND(AY148&gt;$D$1*-1,AY148&lt;$D$1,AZ148&gt;$D$1*-1,BA148&lt;$D$1,AX148/AW148&gt;=3),"Very serious", AND(AY148&gt;$D$1*-1,AY148&lt;$D$1,OR(AZ148&lt;=$D$1*-1,BA148&gt;=$D$1),AZ148&gt;$D$2*-1,BA148&lt;$D$2,AX148/AW148&gt;=3),"Very serious", AND(AY148&gt;$D$1*-1,AY148&lt;$D$1,OR(AZ148&lt;=$D$2*-1,BA148&gt;=$D$2),AX148/AW148&gt;=3),"Very serious"),""))</f>
        <v/>
      </c>
      <c r="BF148" s="107" t="str">
        <f t="shared" si="11"/>
        <v/>
      </c>
      <c r="BG148" s="94" t="str">
        <f t="shared" si="46"/>
        <v/>
      </c>
      <c r="BH148" s="64" t="str">
        <f t="shared" si="12"/>
        <v>#N/A</v>
      </c>
      <c r="BI148" s="64" t="str">
        <f t="shared" si="13"/>
        <v/>
      </c>
      <c r="BJ148" s="123" t="str">
        <f t="shared" si="14"/>
        <v>#N/A</v>
      </c>
      <c r="BK148" s="64" t="str">
        <f t="shared" si="50"/>
        <v>YES</v>
      </c>
      <c r="BL148" s="64" t="str">
        <f t="shared" si="16"/>
        <v>YES</v>
      </c>
      <c r="BM148" s="64" t="str">
        <f t="shared" si="17"/>
        <v>YES</v>
      </c>
      <c r="BN148" s="124" t="str">
        <f t="shared" si="18"/>
        <v/>
      </c>
      <c r="BO148" s="91" t="str">
        <f t="shared" si="19"/>
        <v/>
      </c>
      <c r="BP148" s="91" t="str">
        <f t="shared" si="20"/>
        <v>#N/A</v>
      </c>
      <c r="BQ148" s="91" t="str">
        <f t="shared" si="21"/>
        <v/>
      </c>
      <c r="BR148" s="93" t="str">
        <f t="shared" si="22"/>
        <v/>
      </c>
      <c r="BS148" s="90" t="str">
        <f t="shared" si="23"/>
        <v/>
      </c>
      <c r="BT148" s="93" t="str">
        <f t="shared" si="24"/>
        <v>NA</v>
      </c>
      <c r="BU148" s="125" t="str">
        <f t="shared" si="25"/>
        <v>#N/A</v>
      </c>
      <c r="BV148" s="93" t="str">
        <f t="shared" si="26"/>
        <v/>
      </c>
      <c r="BW148" s="93" t="str">
        <f t="shared" si="27"/>
        <v/>
      </c>
      <c r="BX148" s="93" t="str">
        <f t="shared" si="28"/>
        <v>NA</v>
      </c>
      <c r="BY148" s="95" t="str">
        <f t="shared" si="29"/>
        <v>#N/A</v>
      </c>
      <c r="BZ148" s="93" t="str">
        <f t="shared" si="30"/>
        <v/>
      </c>
      <c r="CA148" s="93" t="str">
        <f t="shared" si="31"/>
        <v/>
      </c>
      <c r="CB148" s="93" t="str">
        <f t="shared" si="32"/>
        <v>NA</v>
      </c>
      <c r="CC148" s="96" t="str">
        <f t="shared" si="33"/>
        <v>#N/A</v>
      </c>
      <c r="CD148" s="93" t="str">
        <f t="shared" si="34"/>
        <v/>
      </c>
      <c r="CE148" s="93" t="str">
        <f t="shared" si="35"/>
        <v/>
      </c>
      <c r="CF148" s="93" t="str">
        <f t="shared" si="36"/>
        <v>NA</v>
      </c>
      <c r="CG148" s="97" t="str">
        <f t="shared" si="37"/>
        <v>#N/A</v>
      </c>
      <c r="CH148" s="98" t="str">
        <f t="shared" si="38"/>
        <v>#N/A</v>
      </c>
      <c r="CI148" s="99" t="str">
        <f t="shared" si="39"/>
        <v>#N/A</v>
      </c>
      <c r="CJ148" s="126" t="str">
        <f t="shared" si="40"/>
        <v>ERROR: check cell</v>
      </c>
      <c r="CK148" s="126"/>
      <c r="CL148" s="127" t="str">
        <f t="shared" si="41"/>
        <v>#DIV/0!</v>
      </c>
      <c r="CM148" s="128" t="str">
        <f t="shared" si="42"/>
        <v>#DIV/0!</v>
      </c>
      <c r="CN148" s="128">
        <f t="shared" si="43"/>
        <v>4</v>
      </c>
      <c r="CO148" s="129">
        <f t="shared" si="44"/>
        <v>4</v>
      </c>
      <c r="CP148" s="129" t="str">
        <f>IFS(C148=Preferences!B$13,B148,B148=Preferences!B$13,C148)</f>
        <v>#N/A</v>
      </c>
    </row>
    <row r="149" ht="13.5" customHeight="1">
      <c r="A149" s="63" t="str">
        <f t="shared" si="45"/>
        <v/>
      </c>
      <c r="B149" s="64"/>
      <c r="C149" s="64"/>
      <c r="D149" s="64"/>
      <c r="E149" s="65"/>
      <c r="F149" s="65"/>
      <c r="G149" s="65"/>
      <c r="H149" s="66"/>
      <c r="I149" s="66"/>
      <c r="J149" s="67"/>
      <c r="K149" s="68"/>
      <c r="L149" s="104"/>
      <c r="M149" s="104"/>
      <c r="N149" s="104"/>
      <c r="O149" s="104"/>
      <c r="P149" s="107" t="str">
        <f t="shared" si="1"/>
        <v/>
      </c>
      <c r="Q149" s="108" t="str">
        <f>IFERROR(IF(AND(Preferences!B$3="Manual",OR(AX149/AW149&gt;G149/F149,BD149="Serious",BD149="Very serious")),"Assess imprecision",IFS(ISBLANK(E149),"",AND(Preferences!B$3="Automatic", G149/F149&gt;=30),"Extremely serious",AND(H149&lt;=$D$1*-1,J149&lt;0,G149/F149&lt;3),"Not serious",AND(H149&lt;=$D$1*-1,J149&lt;0,G149/F149&gt;=3),"Very serious",AND(H149&gt;=$D$1,I149&gt;0,G149/F149&lt;3),"Not serious",AND(H149&gt;=$D$1,I149&gt;0,G149/F149&gt;=3),"Very serious",AND(H149&lt;=$D$1*-1,J149&gt;0,I149&gt;$D$2*-1,G149/F149&lt;3),"Serious", AND(H149&lt;=$D$1*-1,J149&gt;0,I149&lt;$D$2*-1,G149/F149&lt;3),"Very serious", AND(H149&gt;=$D$1,I149&lt;0,J149&lt;$D$2,G149/F149&lt;3),"Serious",AND(H149&gt;=$D$1,I149&lt;0,J149&gt;$D$2,G149/F149&lt;3),"Very serious", AND(H149&lt;=$D$1*-1,J149&gt;0,I149&gt;$D$2*-1,G149/F149&gt;=3),"Very serious", AND(H149&lt;=$D$1*-1,J149&gt;0,I149&lt;$D$2*-1,G149/F149&gt;=3),"Very serious", AND(H149&gt;=$D$1,I149&lt;0,J149&lt;$D$2,G149/F149&gt;=3),"Very serious", AND(H149&gt;=$D$1,I149&lt;0,J149&gt;$D$2,G149/F149&gt;=3),"Very serious", AND(H149&gt;$D$1*-1,H149&lt;$D$1,I149&gt;$D$1*-1,J149&lt;$D$1,G149/F149&lt;3),"Not serious", AND(H149&gt;$D$1*-1,H149&lt;$D$1,OR(I149&lt;=$D$1*-1,J149&gt;=$D$1),I149&gt;$D$2*-1,J149&lt;$D$2,G149/F149&lt;3),"Serious", AND(H149&gt;$D$1*-1,H149&lt;$D$1,OR(I149&lt;=$D$2*-1,J149&gt;=$D$2),G149/F149&lt;3),"Very serious", AND(H149&gt;$D$1*-1,H149&lt;$D$1,I149&gt;$D$1*-1,J149&lt;$D$1,G149/F149&gt;=3),"Very serious", AND(H149&gt;$D$1*-1,H149&lt;$D$1,OR(I149&lt;=$D$1*-1,J149&gt;=$D$1),I149&gt;$D$2*-1,J149&lt;$D$2,G149/F149&gt;=3),"Very serious", AND(H149&gt;$D$1*-1,H149&lt;$D$1,OR(I149&lt;=$D$2*-1,J149&gt;=$D$2),G149/F149&gt;=3),"Very serious")),"")</f>
        <v/>
      </c>
      <c r="R149" s="109" t="str">
        <f t="shared" si="47"/>
        <v/>
      </c>
      <c r="S149" s="64"/>
      <c r="T149" s="72"/>
      <c r="U149" s="72"/>
      <c r="V149" s="72"/>
      <c r="W149" s="73"/>
      <c r="X149" s="73"/>
      <c r="Y149" s="74"/>
      <c r="Z149" s="113" t="str">
        <f t="array" ref="Z149">INDEX($A$1:$C$500, MATCH(1,($B:$B=$B149)*($C:$C=$AB149),0),1)</f>
        <v/>
      </c>
      <c r="AA149" s="113" t="str">
        <f t="array" ref="AA149">INDEX($A$1:$C$500, MATCH(1,($B:$B=$AB149)*($C:$C=$B149),0),1)</f>
        <v/>
      </c>
      <c r="AB149" s="111"/>
      <c r="AC149" s="114" t="str">
        <f t="shared" si="2"/>
        <v/>
      </c>
      <c r="AD149" s="115" t="str">
        <f t="shared" si="3"/>
        <v/>
      </c>
      <c r="AE149" s="116" t="str">
        <f t="array" ref="AE149">INDEX($A$1:$C$500, MATCH(1,($B:$B=$AB149)*($C:$C=$AG149),0),1)</f>
        <v/>
      </c>
      <c r="AF149" s="116" t="str">
        <f t="array" ref="AF149">INDEX($A$1:$C$500, MATCH(1,($B:$B=$AG149)*($C:$C=$AB149),0),1)</f>
        <v/>
      </c>
      <c r="AG149" s="72"/>
      <c r="AH149" s="114" t="str">
        <f t="shared" si="4"/>
        <v/>
      </c>
      <c r="AI149" s="115" t="str">
        <f t="shared" si="5"/>
        <v/>
      </c>
      <c r="AJ149" s="116" t="str">
        <f t="array" ref="AJ149">INDEX($A$1:$C$500, MATCH(1,($B:$B=$C149)*($C:$C=$AG149),0),1)</f>
        <v/>
      </c>
      <c r="AK149" s="116" t="str">
        <f t="array" ref="AK149">INDEX($A$1:$C$500, MATCH(1,($B:$B=$AG149)*($C:$C=$C149),0),1)</f>
        <v/>
      </c>
      <c r="AL149" s="116" t="str">
        <f t="array" ref="AL149">INDEX($A$1:$C$500, MATCH(1,($B:$B=$C149)*($C:$C=$AB149),0),1)</f>
        <v/>
      </c>
      <c r="AM149" s="116" t="str">
        <f t="array" ref="AM149">INDEX($A$1:$C$500, MATCH(1,($B:$B=$AB149)*($C:$C=$C149),0),1)</f>
        <v/>
      </c>
      <c r="AN149" s="114" t="str">
        <f t="array" ref="AN149">IFS(ISNUMBER(AJ149),AJ149,ISNUMBER(AK149),AK149,ISNUMBER(AL149),AL149,ISNUMBER(AM149),AM149)</f>
        <v>#N/A</v>
      </c>
      <c r="AO149" s="115" t="str">
        <f t="shared" si="6"/>
        <v/>
      </c>
      <c r="AP149" s="115" t="str">
        <f t="shared" si="7"/>
        <v/>
      </c>
      <c r="AQ149" s="111"/>
      <c r="AR149" s="109" t="str">
        <f t="shared" si="8"/>
        <v/>
      </c>
      <c r="AS149" s="72" t="str">
        <f>IFERROR(IF(AND(Preferences!B$3="Manual",OR(AX149/AW149&gt;V149/U149,BD149="Serious",BD149="Very serious")),"Assess imprecision",IFERROR(IFS(AND(Preferences!B$3="Automatic",V149/U149&gt;=30),"Extremely serious",AND(W149&lt;=$D$1*-1,Y149&lt;0,V149/U149&lt;3),"Not Serious",AND(W149&lt;=$D$1*-1,Y149&lt;0,V149/U149&gt;=3),"Very serious",AND(W149&gt;=$D$1,X149&gt;0,V149/U149&lt;3),"Not Serious",AND(W149&gt;=$D$1,X149&gt;0,V149/U149&gt;=3),"Very serious",AND(W149&lt;=$D$1*-1,Y149&gt;0,X149&gt;$D$2*-1,V149/U149&lt;3),"Serious", AND(W149&lt;=$D$1*-1,Y149&gt;0,X149&lt;$D$2*-1,V149/U149&lt;3),"Very serious", AND(W149&gt;=$D$1,X149&lt;0,Y149&lt;$D$2,V149/U149&lt;3),"Serious",AND(W149&gt;=$D$1,X149&lt;0,Y149&gt;$D$2,V149/U149&lt;3),"Very serious", AND(W149&lt;=$D$1*-1,Y149&gt;0,X149&gt;$D$2*-1,V149/U149&gt;=3),"Very serious", AND(W149&lt;=$D$1*-1,Y149&gt;0,X149&lt;$D$2*-1,V149/U149&gt;=3),"Very serious", AND(W149&gt;=$D$1,X149&lt;0,Y149&lt;$D$2,V149/U149&gt;=3),"Very serious", AND(W149&gt;=$D$1,X149&lt;0,Y149&gt;$D$2,V149/U149&gt;=3),"Very serious", AND(W149&gt;$D$1*-1,W149&lt;$D$1,X149&gt;$D$1*-1,Y149&lt;$D$1,V149/U149&lt;3),"Not Serious", AND(W149&gt;$D$1*-1,W149&lt;$D$1,OR(X149&lt;=$D$1*-1,Y149&gt;=$D$1),X149&gt;$D$2*-1,Y149&lt;$D$2,V149/U149&lt;3),"Serious", AND(W149&gt;$D$1*-1,W149&lt;$D$1,OR(X149&lt;=$D$2*-1,Y149&gt;=$D$2),V149/U149&lt;3),"Very serious", AND(W149&gt;$D$1*-1,W149&lt;$D$1,X149&gt;$D$1*-1,Y149&lt;$D$1,V149/U149&gt;=3),"Very serious", AND(W149&gt;$D$1*-1,W149&lt;$D$1,OR(X149&lt;=$D$1*-1,Y149&gt;=$D$1),X149&gt;$D$2*-1,Y149&lt;$D$2,V149/U149&gt;=3),"Very serious", AND(W149&gt;$D$1*-1,W149&lt;$D$1,OR(X149&lt;=$D$2*-1,Y149&gt;=$D$2),V149/U149&gt;=3),"Very serious"),"")),"")</f>
        <v/>
      </c>
      <c r="AT149" s="109" t="str">
        <f t="shared" si="9"/>
        <v/>
      </c>
      <c r="AU149" s="64"/>
      <c r="AV149" s="83"/>
      <c r="AW149" s="83"/>
      <c r="AX149" s="83"/>
      <c r="AY149" s="83"/>
      <c r="AZ149" s="83"/>
      <c r="BA149" s="85"/>
      <c r="BB149" s="86" t="str">
        <f>IF(Preferences!B$9="Manual","",IFS(ISBLANK(B149),"",AND(ISNUMBER(E149)=TRUE,ISNUMBER(T149)=FALSE),"Direct", AND(ISNUMBER(E149)=FALSE,ISNUMBER(T149)=TRUE),"Indirect", CN149=4,"Direct",AND(CL149=FALSE, CM149=TRUE,CN149-CO149&gt;-1),"Direct", AND(CL149=FALSE,CM149=TRUE, CN149-CO149&lt;0),"Check algorithm in appendix 2", AND(CL149=TRUE, CM149=FALSE,CN149-CO149&gt;0),"Check algorithm in appendix 2", AND(CL149=TRUE, CM149=FALSE,CN149-CO149=0),"Indirect", AND(CL149=TRUE, CM149=FALSE,CN149-CO149&lt;0),"Indirect", AND(CL149=FALSE,CM149=FALSE,CN149-CO149&gt;-1),"Direct", AND(CL149=FALSE,CM149=FALSE,CN149-CO149&lt;0),"Check algorithm in appendix 2", AND(CL149=TRUE,CM149=TRUE,CN149-CO149&gt;-1),"Direct", AND(CL149=TRUE,CM149=TRUE,CN149-CO149&lt;0),"Check algorithm in appendix 2"))</f>
        <v/>
      </c>
      <c r="BC149" s="120" t="str">
        <f t="shared" si="10"/>
        <v/>
      </c>
      <c r="BD149" s="140"/>
      <c r="BE149" s="122" t="str">
        <f>IF(Preferences!B$3="Manual","", IFERROR(IFS(AND(Preferences!B$3="Automatic",AX149/AW149&gt;=30),"Extremely serious",AND(AY149&lt;=$D$1*-1,BA149&lt;0,AX149/AW149&lt;3),"Not Serious",AND(AY149&lt;=$D$1*-1,BA149&lt;0,AX149/AW149&gt;=3),"Very serious",AND(AY149&gt;=$D$1,AZ149&gt;0,AX149/AW149&lt;3),"Not Serious",AND(AY149&gt;=$D$1,AZ149&gt;0,AX149/AW149&gt;=3),"Very serious",AND(AY149&lt;=$D$1*-1,BA149&gt;0,AZ149&gt;$D$2*-1,AX149/AW149&lt;3),"Serious", AND(AY149&lt;=$D$1*-1,BA149&gt;0,AZ149&lt;$D$2*-1,AX149/AW149&lt;3),"Very serious", AND(AY149&gt;=$D$1,AZ149&lt;0,BA149&lt;$D$2,AX149/AW149&lt;3),"Serious",AND(AY149&gt;=$D$1,AZ149&lt;0,BA149&gt;$D$2,AX149/AW149&lt;3),"Very serious", AND(AY149&lt;=$D$1*-1,BA149&gt;0,AZ149&gt;$D$2*-1,AX149/AW149&gt;=3),"Very serious", AND(AY149&lt;=$D$1*-1,BA149&gt;0,AZ149&lt;$D$2*-1,AX149/AW149&gt;=3),"Very serious", AND(AY149&gt;=$D$1,AZ149&lt;0,BA149&lt;$D$2,AX149/AW149&gt;=3),"Very serious", AND(AY149&gt;=$D$1,AZ149&lt;0,BA149&gt;$D$2,AX149/AW149&gt;=3),"Very serious", AND(AY149&gt;$D$1*-1,AY149&lt;$D$1,AZ149&gt;$D$1*-1,BA149&lt;$D$1,AX149/AW149&lt;3),"Not Serious", AND(AY149&gt;$D$1*-1,AY149&lt;$D$1,OR(AZ149&lt;=$D$1*-1,BA149&gt;=$D$1),AZ149&gt;$D$2*-1,BA149&lt;$D$2,AX149/AW149&lt;3),"Serious", AND(AY149&gt;$D$1*-1,AY149&lt;$D$1,OR(AZ149&lt;=$D$2*-1,BA149&gt;=$D$2),AX149/AW149&lt;3),"Very serious", AND(AY149&gt;$D$1*-1,AY149&lt;$D$1,AZ149&gt;$D$1*-1,BA149&lt;$D$1,AX149/AW149&gt;=3),"Very serious", AND(AY149&gt;$D$1*-1,AY149&lt;$D$1,OR(AZ149&lt;=$D$1*-1,BA149&gt;=$D$1),AZ149&gt;$D$2*-1,BA149&lt;$D$2,AX149/AW149&gt;=3),"Very serious", AND(AY149&gt;$D$1*-1,AY149&lt;$D$1,OR(AZ149&lt;=$D$2*-1,BA149&gt;=$D$2),AX149/AW149&gt;=3),"Very serious"),""))</f>
        <v/>
      </c>
      <c r="BF149" s="107" t="str">
        <f t="shared" si="11"/>
        <v/>
      </c>
      <c r="BG149" s="94" t="str">
        <f t="shared" si="46"/>
        <v/>
      </c>
      <c r="BH149" s="64" t="str">
        <f t="shared" si="12"/>
        <v>#N/A</v>
      </c>
      <c r="BI149" s="64" t="str">
        <f t="shared" si="13"/>
        <v/>
      </c>
      <c r="BJ149" s="123" t="str">
        <f t="shared" si="14"/>
        <v>#N/A</v>
      </c>
      <c r="BK149" s="64" t="str">
        <f t="shared" si="50"/>
        <v>YES</v>
      </c>
      <c r="BL149" s="64" t="str">
        <f t="shared" si="16"/>
        <v>YES</v>
      </c>
      <c r="BM149" s="64" t="str">
        <f t="shared" si="17"/>
        <v>YES</v>
      </c>
      <c r="BN149" s="124" t="str">
        <f t="shared" si="18"/>
        <v/>
      </c>
      <c r="BO149" s="91" t="str">
        <f t="shared" si="19"/>
        <v/>
      </c>
      <c r="BP149" s="91" t="str">
        <f t="shared" si="20"/>
        <v>#N/A</v>
      </c>
      <c r="BQ149" s="91" t="str">
        <f t="shared" si="21"/>
        <v/>
      </c>
      <c r="BR149" s="93" t="str">
        <f t="shared" si="22"/>
        <v/>
      </c>
      <c r="BS149" s="90" t="str">
        <f t="shared" si="23"/>
        <v/>
      </c>
      <c r="BT149" s="93" t="str">
        <f t="shared" si="24"/>
        <v>NA</v>
      </c>
      <c r="BU149" s="125" t="str">
        <f t="shared" si="25"/>
        <v>#N/A</v>
      </c>
      <c r="BV149" s="93" t="str">
        <f t="shared" si="26"/>
        <v/>
      </c>
      <c r="BW149" s="93" t="str">
        <f t="shared" si="27"/>
        <v/>
      </c>
      <c r="BX149" s="93" t="str">
        <f t="shared" si="28"/>
        <v>NA</v>
      </c>
      <c r="BY149" s="95" t="str">
        <f t="shared" si="29"/>
        <v>#N/A</v>
      </c>
      <c r="BZ149" s="93" t="str">
        <f t="shared" si="30"/>
        <v/>
      </c>
      <c r="CA149" s="93" t="str">
        <f t="shared" si="31"/>
        <v/>
      </c>
      <c r="CB149" s="93" t="str">
        <f t="shared" si="32"/>
        <v>NA</v>
      </c>
      <c r="CC149" s="96" t="str">
        <f t="shared" si="33"/>
        <v>#N/A</v>
      </c>
      <c r="CD149" s="93" t="str">
        <f t="shared" si="34"/>
        <v/>
      </c>
      <c r="CE149" s="93" t="str">
        <f t="shared" si="35"/>
        <v/>
      </c>
      <c r="CF149" s="93" t="str">
        <f t="shared" si="36"/>
        <v>NA</v>
      </c>
      <c r="CG149" s="97" t="str">
        <f t="shared" si="37"/>
        <v>#N/A</v>
      </c>
      <c r="CH149" s="98" t="str">
        <f t="shared" si="38"/>
        <v>#N/A</v>
      </c>
      <c r="CI149" s="99" t="str">
        <f t="shared" si="39"/>
        <v>#N/A</v>
      </c>
      <c r="CJ149" s="126" t="str">
        <f t="shared" si="40"/>
        <v>ERROR: check cell</v>
      </c>
      <c r="CK149" s="126"/>
      <c r="CL149" s="127" t="str">
        <f t="shared" si="41"/>
        <v>#DIV/0!</v>
      </c>
      <c r="CM149" s="128" t="str">
        <f t="shared" si="42"/>
        <v>#DIV/0!</v>
      </c>
      <c r="CN149" s="128">
        <f t="shared" si="43"/>
        <v>4</v>
      </c>
      <c r="CO149" s="129">
        <f t="shared" si="44"/>
        <v>4</v>
      </c>
      <c r="CP149" s="129" t="str">
        <f>IFS(C149=Preferences!B$13,B149,B149=Preferences!B$13,C149)</f>
        <v>#N/A</v>
      </c>
    </row>
    <row r="150" ht="13.5" customHeight="1">
      <c r="A150" s="63" t="str">
        <f t="shared" si="45"/>
        <v/>
      </c>
      <c r="B150" s="64"/>
      <c r="C150" s="64"/>
      <c r="D150" s="64"/>
      <c r="E150" s="65"/>
      <c r="F150" s="65"/>
      <c r="G150" s="65"/>
      <c r="H150" s="66"/>
      <c r="I150" s="66"/>
      <c r="J150" s="67"/>
      <c r="K150" s="68"/>
      <c r="L150" s="104"/>
      <c r="M150" s="104"/>
      <c r="N150" s="104"/>
      <c r="O150" s="104"/>
      <c r="P150" s="107" t="str">
        <f t="shared" si="1"/>
        <v/>
      </c>
      <c r="Q150" s="108" t="str">
        <f>IFERROR(IF(AND(Preferences!B$3="Manual",OR(AX150/AW150&gt;G150/F150,BD150="Serious",BD150="Very serious")),"Assess imprecision",IFS(ISBLANK(E150),"",AND(Preferences!B$3="Automatic", G150/F150&gt;=30),"Extremely serious",AND(H150&lt;=$D$1*-1,J150&lt;0,G150/F150&lt;3),"Not serious",AND(H150&lt;=$D$1*-1,J150&lt;0,G150/F150&gt;=3),"Very serious",AND(H150&gt;=$D$1,I150&gt;0,G150/F150&lt;3),"Not serious",AND(H150&gt;=$D$1,I150&gt;0,G150/F150&gt;=3),"Very serious",AND(H150&lt;=$D$1*-1,J150&gt;0,I150&gt;$D$2*-1,G150/F150&lt;3),"Serious", AND(H150&lt;=$D$1*-1,J150&gt;0,I150&lt;$D$2*-1,G150/F150&lt;3),"Very serious", AND(H150&gt;=$D$1,I150&lt;0,J150&lt;$D$2,G150/F150&lt;3),"Serious",AND(H150&gt;=$D$1,I150&lt;0,J150&gt;$D$2,G150/F150&lt;3),"Very serious", AND(H150&lt;=$D$1*-1,J150&gt;0,I150&gt;$D$2*-1,G150/F150&gt;=3),"Very serious", AND(H150&lt;=$D$1*-1,J150&gt;0,I150&lt;$D$2*-1,G150/F150&gt;=3),"Very serious", AND(H150&gt;=$D$1,I150&lt;0,J150&lt;$D$2,G150/F150&gt;=3),"Very serious", AND(H150&gt;=$D$1,I150&lt;0,J150&gt;$D$2,G150/F150&gt;=3),"Very serious", AND(H150&gt;$D$1*-1,H150&lt;$D$1,I150&gt;$D$1*-1,J150&lt;$D$1,G150/F150&lt;3),"Not serious", AND(H150&gt;$D$1*-1,H150&lt;$D$1,OR(I150&lt;=$D$1*-1,J150&gt;=$D$1),I150&gt;$D$2*-1,J150&lt;$D$2,G150/F150&lt;3),"Serious", AND(H150&gt;$D$1*-1,H150&lt;$D$1,OR(I150&lt;=$D$2*-1,J150&gt;=$D$2),G150/F150&lt;3),"Very serious", AND(H150&gt;$D$1*-1,H150&lt;$D$1,I150&gt;$D$1*-1,J150&lt;$D$1,G150/F150&gt;=3),"Very serious", AND(H150&gt;$D$1*-1,H150&lt;$D$1,OR(I150&lt;=$D$1*-1,J150&gt;=$D$1),I150&gt;$D$2*-1,J150&lt;$D$2,G150/F150&gt;=3),"Very serious", AND(H150&gt;$D$1*-1,H150&lt;$D$1,OR(I150&lt;=$D$2*-1,J150&gt;=$D$2),G150/F150&gt;=3),"Very serious")),"")</f>
        <v/>
      </c>
      <c r="R150" s="109" t="str">
        <f t="shared" si="47"/>
        <v/>
      </c>
      <c r="S150" s="64"/>
      <c r="T150" s="72"/>
      <c r="U150" s="72"/>
      <c r="V150" s="72"/>
      <c r="W150" s="73"/>
      <c r="X150" s="73"/>
      <c r="Y150" s="74"/>
      <c r="Z150" s="113" t="str">
        <f t="array" ref="Z150">INDEX($A$1:$C$500, MATCH(1,($B:$B=$B150)*($C:$C=$AB150),0),1)</f>
        <v/>
      </c>
      <c r="AA150" s="113" t="str">
        <f t="array" ref="AA150">INDEX($A$1:$C$500, MATCH(1,($B:$B=$AB150)*($C:$C=$B150),0),1)</f>
        <v/>
      </c>
      <c r="AB150" s="111"/>
      <c r="AC150" s="114" t="str">
        <f t="shared" si="2"/>
        <v/>
      </c>
      <c r="AD150" s="115" t="str">
        <f t="shared" si="3"/>
        <v/>
      </c>
      <c r="AE150" s="116" t="str">
        <f t="array" ref="AE150">INDEX($A$1:$C$500, MATCH(1,($B:$B=$AB150)*($C:$C=$AG150),0),1)</f>
        <v/>
      </c>
      <c r="AF150" s="116" t="str">
        <f t="array" ref="AF150">INDEX($A$1:$C$500, MATCH(1,($B:$B=$AG150)*($C:$C=$AB150),0),1)</f>
        <v/>
      </c>
      <c r="AG150" s="72"/>
      <c r="AH150" s="114" t="str">
        <f t="shared" si="4"/>
        <v/>
      </c>
      <c r="AI150" s="115" t="str">
        <f t="shared" si="5"/>
        <v/>
      </c>
      <c r="AJ150" s="116" t="str">
        <f t="array" ref="AJ150">INDEX($A$1:$C$500, MATCH(1,($B:$B=$C150)*($C:$C=$AG150),0),1)</f>
        <v/>
      </c>
      <c r="AK150" s="116" t="str">
        <f t="array" ref="AK150">INDEX($A$1:$C$500, MATCH(1,($B:$B=$AG150)*($C:$C=$C150),0),1)</f>
        <v/>
      </c>
      <c r="AL150" s="116" t="str">
        <f t="array" ref="AL150">INDEX($A$1:$C$500, MATCH(1,($B:$B=$C150)*($C:$C=$AB150),0),1)</f>
        <v/>
      </c>
      <c r="AM150" s="116" t="str">
        <f t="array" ref="AM150">INDEX($A$1:$C$500, MATCH(1,($B:$B=$AB150)*($C:$C=$C150),0),1)</f>
        <v/>
      </c>
      <c r="AN150" s="114" t="str">
        <f t="array" ref="AN150">IFS(ISNUMBER(AJ150),AJ150,ISNUMBER(AK150),AK150,ISNUMBER(AL150),AL150,ISNUMBER(AM150),AM150)</f>
        <v>#N/A</v>
      </c>
      <c r="AO150" s="115" t="str">
        <f t="shared" si="6"/>
        <v/>
      </c>
      <c r="AP150" s="115" t="str">
        <f t="shared" si="7"/>
        <v/>
      </c>
      <c r="AQ150" s="111"/>
      <c r="AR150" s="109" t="str">
        <f t="shared" si="8"/>
        <v/>
      </c>
      <c r="AS150" s="72" t="str">
        <f>IFERROR(IF(AND(Preferences!B$3="Manual",OR(AX150/AW150&gt;V150/U150,BD150="Serious",BD150="Very serious")),"Assess imprecision",IFERROR(IFS(AND(Preferences!B$3="Automatic",V150/U150&gt;=30),"Extremely serious",AND(W150&lt;=$D$1*-1,Y150&lt;0,V150/U150&lt;3),"Not Serious",AND(W150&lt;=$D$1*-1,Y150&lt;0,V150/U150&gt;=3),"Very serious",AND(W150&gt;=$D$1,X150&gt;0,V150/U150&lt;3),"Not Serious",AND(W150&gt;=$D$1,X150&gt;0,V150/U150&gt;=3),"Very serious",AND(W150&lt;=$D$1*-1,Y150&gt;0,X150&gt;$D$2*-1,V150/U150&lt;3),"Serious", AND(W150&lt;=$D$1*-1,Y150&gt;0,X150&lt;$D$2*-1,V150/U150&lt;3),"Very serious", AND(W150&gt;=$D$1,X150&lt;0,Y150&lt;$D$2,V150/U150&lt;3),"Serious",AND(W150&gt;=$D$1,X150&lt;0,Y150&gt;$D$2,V150/U150&lt;3),"Very serious", AND(W150&lt;=$D$1*-1,Y150&gt;0,X150&gt;$D$2*-1,V150/U150&gt;=3),"Very serious", AND(W150&lt;=$D$1*-1,Y150&gt;0,X150&lt;$D$2*-1,V150/U150&gt;=3),"Very serious", AND(W150&gt;=$D$1,X150&lt;0,Y150&lt;$D$2,V150/U150&gt;=3),"Very serious", AND(W150&gt;=$D$1,X150&lt;0,Y150&gt;$D$2,V150/U150&gt;=3),"Very serious", AND(W150&gt;$D$1*-1,W150&lt;$D$1,X150&gt;$D$1*-1,Y150&lt;$D$1,V150/U150&lt;3),"Not Serious", AND(W150&gt;$D$1*-1,W150&lt;$D$1,OR(X150&lt;=$D$1*-1,Y150&gt;=$D$1),X150&gt;$D$2*-1,Y150&lt;$D$2,V150/U150&lt;3),"Serious", AND(W150&gt;$D$1*-1,W150&lt;$D$1,OR(X150&lt;=$D$2*-1,Y150&gt;=$D$2),V150/U150&lt;3),"Very serious", AND(W150&gt;$D$1*-1,W150&lt;$D$1,X150&gt;$D$1*-1,Y150&lt;$D$1,V150/U150&gt;=3),"Very serious", AND(W150&gt;$D$1*-1,W150&lt;$D$1,OR(X150&lt;=$D$1*-1,Y150&gt;=$D$1),X150&gt;$D$2*-1,Y150&lt;$D$2,V150/U150&gt;=3),"Very serious", AND(W150&gt;$D$1*-1,W150&lt;$D$1,OR(X150&lt;=$D$2*-1,Y150&gt;=$D$2),V150/U150&gt;=3),"Very serious"),"")),"")</f>
        <v/>
      </c>
      <c r="AT150" s="109" t="str">
        <f t="shared" si="9"/>
        <v/>
      </c>
      <c r="AU150" s="64"/>
      <c r="AV150" s="83"/>
      <c r="AW150" s="83"/>
      <c r="AX150" s="83"/>
      <c r="AY150" s="83"/>
      <c r="AZ150" s="83"/>
      <c r="BA150" s="85"/>
      <c r="BB150" s="86" t="str">
        <f>IF(Preferences!B$9="Manual","",IFS(ISBLANK(B150),"",AND(ISNUMBER(E150)=TRUE,ISNUMBER(T150)=FALSE),"Direct", AND(ISNUMBER(E150)=FALSE,ISNUMBER(T150)=TRUE),"Indirect", CN150=4,"Direct",AND(CL150=FALSE, CM150=TRUE,CN150-CO150&gt;-1),"Direct", AND(CL150=FALSE,CM150=TRUE, CN150-CO150&lt;0),"Check algorithm in appendix 2", AND(CL150=TRUE, CM150=FALSE,CN150-CO150&gt;0),"Check algorithm in appendix 2", AND(CL150=TRUE, CM150=FALSE,CN150-CO150=0),"Indirect", AND(CL150=TRUE, CM150=FALSE,CN150-CO150&lt;0),"Indirect", AND(CL150=FALSE,CM150=FALSE,CN150-CO150&gt;-1),"Direct", AND(CL150=FALSE,CM150=FALSE,CN150-CO150&lt;0),"Check algorithm in appendix 2", AND(CL150=TRUE,CM150=TRUE,CN150-CO150&gt;-1),"Direct", AND(CL150=TRUE,CM150=TRUE,CN150-CO150&lt;0),"Check algorithm in appendix 2"))</f>
        <v/>
      </c>
      <c r="BC150" s="120" t="str">
        <f t="shared" si="10"/>
        <v/>
      </c>
      <c r="BD150" s="140"/>
      <c r="BE150" s="122" t="str">
        <f>IF(Preferences!B$3="Manual","", IFERROR(IFS(AND(Preferences!B$3="Automatic",AX150/AW150&gt;=30),"Extremely serious",AND(AY150&lt;=$D$1*-1,BA150&lt;0,AX150/AW150&lt;3),"Not Serious",AND(AY150&lt;=$D$1*-1,BA150&lt;0,AX150/AW150&gt;=3),"Very serious",AND(AY150&gt;=$D$1,AZ150&gt;0,AX150/AW150&lt;3),"Not Serious",AND(AY150&gt;=$D$1,AZ150&gt;0,AX150/AW150&gt;=3),"Very serious",AND(AY150&lt;=$D$1*-1,BA150&gt;0,AZ150&gt;$D$2*-1,AX150/AW150&lt;3),"Serious", AND(AY150&lt;=$D$1*-1,BA150&gt;0,AZ150&lt;$D$2*-1,AX150/AW150&lt;3),"Very serious", AND(AY150&gt;=$D$1,AZ150&lt;0,BA150&lt;$D$2,AX150/AW150&lt;3),"Serious",AND(AY150&gt;=$D$1,AZ150&lt;0,BA150&gt;$D$2,AX150/AW150&lt;3),"Very serious", AND(AY150&lt;=$D$1*-1,BA150&gt;0,AZ150&gt;$D$2*-1,AX150/AW150&gt;=3),"Very serious", AND(AY150&lt;=$D$1*-1,BA150&gt;0,AZ150&lt;$D$2*-1,AX150/AW150&gt;=3),"Very serious", AND(AY150&gt;=$D$1,AZ150&lt;0,BA150&lt;$D$2,AX150/AW150&gt;=3),"Very serious", AND(AY150&gt;=$D$1,AZ150&lt;0,BA150&gt;$D$2,AX150/AW150&gt;=3),"Very serious", AND(AY150&gt;$D$1*-1,AY150&lt;$D$1,AZ150&gt;$D$1*-1,BA150&lt;$D$1,AX150/AW150&lt;3),"Not Serious", AND(AY150&gt;$D$1*-1,AY150&lt;$D$1,OR(AZ150&lt;=$D$1*-1,BA150&gt;=$D$1),AZ150&gt;$D$2*-1,BA150&lt;$D$2,AX150/AW150&lt;3),"Serious", AND(AY150&gt;$D$1*-1,AY150&lt;$D$1,OR(AZ150&lt;=$D$2*-1,BA150&gt;=$D$2),AX150/AW150&lt;3),"Very serious", AND(AY150&gt;$D$1*-1,AY150&lt;$D$1,AZ150&gt;$D$1*-1,BA150&lt;$D$1,AX150/AW150&gt;=3),"Very serious", AND(AY150&gt;$D$1*-1,AY150&lt;$D$1,OR(AZ150&lt;=$D$1*-1,BA150&gt;=$D$1),AZ150&gt;$D$2*-1,BA150&lt;$D$2,AX150/AW150&gt;=3),"Very serious", AND(AY150&gt;$D$1*-1,AY150&lt;$D$1,OR(AZ150&lt;=$D$2*-1,BA150&gt;=$D$2),AX150/AW150&gt;=3),"Very serious"),""))</f>
        <v/>
      </c>
      <c r="BF150" s="107" t="str">
        <f t="shared" si="11"/>
        <v/>
      </c>
      <c r="BG150" s="94" t="str">
        <f t="shared" si="46"/>
        <v/>
      </c>
      <c r="BH150" s="64" t="str">
        <f t="shared" si="12"/>
        <v>#N/A</v>
      </c>
      <c r="BI150" s="64" t="str">
        <f t="shared" si="13"/>
        <v/>
      </c>
      <c r="BJ150" s="123" t="str">
        <f t="shared" si="14"/>
        <v>#N/A</v>
      </c>
      <c r="BK150" s="64" t="str">
        <f t="shared" si="50"/>
        <v>YES</v>
      </c>
      <c r="BL150" s="64" t="str">
        <f t="shared" si="16"/>
        <v>YES</v>
      </c>
      <c r="BM150" s="64" t="str">
        <f t="shared" si="17"/>
        <v>YES</v>
      </c>
      <c r="BN150" s="124" t="str">
        <f t="shared" si="18"/>
        <v/>
      </c>
      <c r="BO150" s="91" t="str">
        <f t="shared" si="19"/>
        <v/>
      </c>
      <c r="BP150" s="91" t="str">
        <f t="shared" si="20"/>
        <v>#N/A</v>
      </c>
      <c r="BQ150" s="91" t="str">
        <f t="shared" si="21"/>
        <v/>
      </c>
      <c r="BR150" s="93" t="str">
        <f t="shared" si="22"/>
        <v/>
      </c>
      <c r="BS150" s="90" t="str">
        <f t="shared" si="23"/>
        <v/>
      </c>
      <c r="BT150" s="93" t="str">
        <f t="shared" si="24"/>
        <v>NA</v>
      </c>
      <c r="BU150" s="125" t="str">
        <f t="shared" si="25"/>
        <v>#N/A</v>
      </c>
      <c r="BV150" s="93" t="str">
        <f t="shared" si="26"/>
        <v/>
      </c>
      <c r="BW150" s="93" t="str">
        <f t="shared" si="27"/>
        <v/>
      </c>
      <c r="BX150" s="93" t="str">
        <f t="shared" si="28"/>
        <v>NA</v>
      </c>
      <c r="BY150" s="95" t="str">
        <f t="shared" si="29"/>
        <v>#N/A</v>
      </c>
      <c r="BZ150" s="93" t="str">
        <f t="shared" si="30"/>
        <v/>
      </c>
      <c r="CA150" s="93" t="str">
        <f t="shared" si="31"/>
        <v/>
      </c>
      <c r="CB150" s="93" t="str">
        <f t="shared" si="32"/>
        <v>NA</v>
      </c>
      <c r="CC150" s="96" t="str">
        <f t="shared" si="33"/>
        <v>#N/A</v>
      </c>
      <c r="CD150" s="93" t="str">
        <f t="shared" si="34"/>
        <v/>
      </c>
      <c r="CE150" s="93" t="str">
        <f t="shared" si="35"/>
        <v/>
      </c>
      <c r="CF150" s="93" t="str">
        <f t="shared" si="36"/>
        <v>NA</v>
      </c>
      <c r="CG150" s="97" t="str">
        <f t="shared" si="37"/>
        <v>#N/A</v>
      </c>
      <c r="CH150" s="98" t="str">
        <f t="shared" si="38"/>
        <v>#N/A</v>
      </c>
      <c r="CI150" s="99" t="str">
        <f t="shared" si="39"/>
        <v>#N/A</v>
      </c>
      <c r="CJ150" s="126" t="str">
        <f t="shared" si="40"/>
        <v>ERROR: check cell</v>
      </c>
      <c r="CK150" s="126"/>
      <c r="CL150" s="127" t="str">
        <f t="shared" si="41"/>
        <v>#DIV/0!</v>
      </c>
      <c r="CM150" s="128" t="str">
        <f t="shared" si="42"/>
        <v>#DIV/0!</v>
      </c>
      <c r="CN150" s="128">
        <f t="shared" si="43"/>
        <v>4</v>
      </c>
      <c r="CO150" s="129">
        <f t="shared" si="44"/>
        <v>4</v>
      </c>
      <c r="CP150" s="129" t="str">
        <f>IFS(C150=Preferences!B$13,B150,B150=Preferences!B$13,C150)</f>
        <v>#N/A</v>
      </c>
    </row>
    <row r="151" ht="13.5" customHeight="1">
      <c r="A151" s="63" t="str">
        <f t="shared" si="45"/>
        <v/>
      </c>
      <c r="B151" s="64"/>
      <c r="C151" s="64"/>
      <c r="D151" s="64"/>
      <c r="E151" s="65"/>
      <c r="F151" s="65"/>
      <c r="G151" s="65"/>
      <c r="H151" s="66"/>
      <c r="I151" s="66"/>
      <c r="J151" s="67"/>
      <c r="K151" s="68"/>
      <c r="L151" s="104"/>
      <c r="M151" s="104"/>
      <c r="N151" s="104"/>
      <c r="O151" s="104"/>
      <c r="P151" s="107" t="str">
        <f t="shared" si="1"/>
        <v/>
      </c>
      <c r="Q151" s="108" t="str">
        <f>IFERROR(IF(AND(Preferences!B$3="Manual",OR(AX151/AW151&gt;G151/F151,BD151="Serious",BD151="Very serious")),"Assess imprecision",IFS(ISBLANK(E151),"",AND(Preferences!B$3="Automatic", G151/F151&gt;=30),"Extremely serious",AND(H151&lt;=$D$1*-1,J151&lt;0,G151/F151&lt;3),"Not serious",AND(H151&lt;=$D$1*-1,J151&lt;0,G151/F151&gt;=3),"Very serious",AND(H151&gt;=$D$1,I151&gt;0,G151/F151&lt;3),"Not serious",AND(H151&gt;=$D$1,I151&gt;0,G151/F151&gt;=3),"Very serious",AND(H151&lt;=$D$1*-1,J151&gt;0,I151&gt;$D$2*-1,G151/F151&lt;3),"Serious", AND(H151&lt;=$D$1*-1,J151&gt;0,I151&lt;$D$2*-1,G151/F151&lt;3),"Very serious", AND(H151&gt;=$D$1,I151&lt;0,J151&lt;$D$2,G151/F151&lt;3),"Serious",AND(H151&gt;=$D$1,I151&lt;0,J151&gt;$D$2,G151/F151&lt;3),"Very serious", AND(H151&lt;=$D$1*-1,J151&gt;0,I151&gt;$D$2*-1,G151/F151&gt;=3),"Very serious", AND(H151&lt;=$D$1*-1,J151&gt;0,I151&lt;$D$2*-1,G151/F151&gt;=3),"Very serious", AND(H151&gt;=$D$1,I151&lt;0,J151&lt;$D$2,G151/F151&gt;=3),"Very serious", AND(H151&gt;=$D$1,I151&lt;0,J151&gt;$D$2,G151/F151&gt;=3),"Very serious", AND(H151&gt;$D$1*-1,H151&lt;$D$1,I151&gt;$D$1*-1,J151&lt;$D$1,G151/F151&lt;3),"Not serious", AND(H151&gt;$D$1*-1,H151&lt;$D$1,OR(I151&lt;=$D$1*-1,J151&gt;=$D$1),I151&gt;$D$2*-1,J151&lt;$D$2,G151/F151&lt;3),"Serious", AND(H151&gt;$D$1*-1,H151&lt;$D$1,OR(I151&lt;=$D$2*-1,J151&gt;=$D$2),G151/F151&lt;3),"Very serious", AND(H151&gt;$D$1*-1,H151&lt;$D$1,I151&gt;$D$1*-1,J151&lt;$D$1,G151/F151&gt;=3),"Very serious", AND(H151&gt;$D$1*-1,H151&lt;$D$1,OR(I151&lt;=$D$1*-1,J151&gt;=$D$1),I151&gt;$D$2*-1,J151&lt;$D$2,G151/F151&gt;=3),"Very serious", AND(H151&gt;$D$1*-1,H151&lt;$D$1,OR(I151&lt;=$D$2*-1,J151&gt;=$D$2),G151/F151&gt;=3),"Very serious")),"")</f>
        <v/>
      </c>
      <c r="R151" s="109" t="str">
        <f t="shared" si="47"/>
        <v/>
      </c>
      <c r="S151" s="64"/>
      <c r="T151" s="72"/>
      <c r="U151" s="72"/>
      <c r="V151" s="72"/>
      <c r="W151" s="73"/>
      <c r="X151" s="73"/>
      <c r="Y151" s="74"/>
      <c r="Z151" s="113" t="str">
        <f t="array" ref="Z151">INDEX($A$1:$C$500, MATCH(1,($B:$B=$B151)*($C:$C=$AB151),0),1)</f>
        <v/>
      </c>
      <c r="AA151" s="113" t="str">
        <f t="array" ref="AA151">INDEX($A$1:$C$500, MATCH(1,($B:$B=$AB151)*($C:$C=$B151),0),1)</f>
        <v/>
      </c>
      <c r="AB151" s="111"/>
      <c r="AC151" s="114" t="str">
        <f t="shared" si="2"/>
        <v/>
      </c>
      <c r="AD151" s="115" t="str">
        <f t="shared" si="3"/>
        <v/>
      </c>
      <c r="AE151" s="116" t="str">
        <f t="array" ref="AE151">INDEX($A$1:$C$500, MATCH(1,($B:$B=$AB151)*($C:$C=$AG151),0),1)</f>
        <v/>
      </c>
      <c r="AF151" s="116" t="str">
        <f t="array" ref="AF151">INDEX($A$1:$C$500, MATCH(1,($B:$B=$AG151)*($C:$C=$AB151),0),1)</f>
        <v/>
      </c>
      <c r="AG151" s="72"/>
      <c r="AH151" s="114" t="str">
        <f t="shared" si="4"/>
        <v/>
      </c>
      <c r="AI151" s="115" t="str">
        <f t="shared" si="5"/>
        <v/>
      </c>
      <c r="AJ151" s="116" t="str">
        <f t="array" ref="AJ151">INDEX($A$1:$C$500, MATCH(1,($B:$B=$C151)*($C:$C=$AG151),0),1)</f>
        <v/>
      </c>
      <c r="AK151" s="116" t="str">
        <f t="array" ref="AK151">INDEX($A$1:$C$500, MATCH(1,($B:$B=$AG151)*($C:$C=$C151),0),1)</f>
        <v/>
      </c>
      <c r="AL151" s="116" t="str">
        <f t="array" ref="AL151">INDEX($A$1:$C$500, MATCH(1,($B:$B=$C151)*($C:$C=$AB151),0),1)</f>
        <v/>
      </c>
      <c r="AM151" s="116" t="str">
        <f t="array" ref="AM151">INDEX($A$1:$C$500, MATCH(1,($B:$B=$AB151)*($C:$C=$C151),0),1)</f>
        <v/>
      </c>
      <c r="AN151" s="114" t="str">
        <f t="array" ref="AN151">IFS(ISNUMBER(AJ151),AJ151,ISNUMBER(AK151),AK151,ISNUMBER(AL151),AL151,ISNUMBER(AM151),AM151)</f>
        <v>#N/A</v>
      </c>
      <c r="AO151" s="115" t="str">
        <f t="shared" si="6"/>
        <v/>
      </c>
      <c r="AP151" s="115" t="str">
        <f t="shared" si="7"/>
        <v/>
      </c>
      <c r="AQ151" s="111"/>
      <c r="AR151" s="109" t="str">
        <f t="shared" si="8"/>
        <v/>
      </c>
      <c r="AS151" s="72" t="str">
        <f>IFERROR(IF(AND(Preferences!B$3="Manual",OR(AX151/AW151&gt;V151/U151,BD151="Serious",BD151="Very serious")),"Assess imprecision",IFERROR(IFS(AND(Preferences!B$3="Automatic",V151/U151&gt;=30),"Extremely serious",AND(W151&lt;=$D$1*-1,Y151&lt;0,V151/U151&lt;3),"Not Serious",AND(W151&lt;=$D$1*-1,Y151&lt;0,V151/U151&gt;=3),"Very serious",AND(W151&gt;=$D$1,X151&gt;0,V151/U151&lt;3),"Not Serious",AND(W151&gt;=$D$1,X151&gt;0,V151/U151&gt;=3),"Very serious",AND(W151&lt;=$D$1*-1,Y151&gt;0,X151&gt;$D$2*-1,V151/U151&lt;3),"Serious", AND(W151&lt;=$D$1*-1,Y151&gt;0,X151&lt;$D$2*-1,V151/U151&lt;3),"Very serious", AND(W151&gt;=$D$1,X151&lt;0,Y151&lt;$D$2,V151/U151&lt;3),"Serious",AND(W151&gt;=$D$1,X151&lt;0,Y151&gt;$D$2,V151/U151&lt;3),"Very serious", AND(W151&lt;=$D$1*-1,Y151&gt;0,X151&gt;$D$2*-1,V151/U151&gt;=3),"Very serious", AND(W151&lt;=$D$1*-1,Y151&gt;0,X151&lt;$D$2*-1,V151/U151&gt;=3),"Very serious", AND(W151&gt;=$D$1,X151&lt;0,Y151&lt;$D$2,V151/U151&gt;=3),"Very serious", AND(W151&gt;=$D$1,X151&lt;0,Y151&gt;$D$2,V151/U151&gt;=3),"Very serious", AND(W151&gt;$D$1*-1,W151&lt;$D$1,X151&gt;$D$1*-1,Y151&lt;$D$1,V151/U151&lt;3),"Not Serious", AND(W151&gt;$D$1*-1,W151&lt;$D$1,OR(X151&lt;=$D$1*-1,Y151&gt;=$D$1),X151&gt;$D$2*-1,Y151&lt;$D$2,V151/U151&lt;3),"Serious", AND(W151&gt;$D$1*-1,W151&lt;$D$1,OR(X151&lt;=$D$2*-1,Y151&gt;=$D$2),V151/U151&lt;3),"Very serious", AND(W151&gt;$D$1*-1,W151&lt;$D$1,X151&gt;$D$1*-1,Y151&lt;$D$1,V151/U151&gt;=3),"Very serious", AND(W151&gt;$D$1*-1,W151&lt;$D$1,OR(X151&lt;=$D$1*-1,Y151&gt;=$D$1),X151&gt;$D$2*-1,Y151&lt;$D$2,V151/U151&gt;=3),"Very serious", AND(W151&gt;$D$1*-1,W151&lt;$D$1,OR(X151&lt;=$D$2*-1,Y151&gt;=$D$2),V151/U151&gt;=3),"Very serious"),"")),"")</f>
        <v/>
      </c>
      <c r="AT151" s="109" t="str">
        <f t="shared" si="9"/>
        <v/>
      </c>
      <c r="AU151" s="64"/>
      <c r="AV151" s="83"/>
      <c r="AW151" s="83"/>
      <c r="AX151" s="83"/>
      <c r="AY151" s="83"/>
      <c r="AZ151" s="83"/>
      <c r="BA151" s="85"/>
      <c r="BB151" s="86" t="str">
        <f>IF(Preferences!B$9="Manual","",IFS(ISBLANK(B151),"",AND(ISNUMBER(E151)=TRUE,ISNUMBER(T151)=FALSE),"Direct", AND(ISNUMBER(E151)=FALSE,ISNUMBER(T151)=TRUE),"Indirect", CN151=4,"Direct",AND(CL151=FALSE, CM151=TRUE,CN151-CO151&gt;-1),"Direct", AND(CL151=FALSE,CM151=TRUE, CN151-CO151&lt;0),"Check algorithm in appendix 2", AND(CL151=TRUE, CM151=FALSE,CN151-CO151&gt;0),"Check algorithm in appendix 2", AND(CL151=TRUE, CM151=FALSE,CN151-CO151=0),"Indirect", AND(CL151=TRUE, CM151=FALSE,CN151-CO151&lt;0),"Indirect", AND(CL151=FALSE,CM151=FALSE,CN151-CO151&gt;-1),"Direct", AND(CL151=FALSE,CM151=FALSE,CN151-CO151&lt;0),"Check algorithm in appendix 2", AND(CL151=TRUE,CM151=TRUE,CN151-CO151&gt;-1),"Direct", AND(CL151=TRUE,CM151=TRUE,CN151-CO151&lt;0),"Check algorithm in appendix 2"))</f>
        <v/>
      </c>
      <c r="BC151" s="120" t="str">
        <f t="shared" si="10"/>
        <v/>
      </c>
      <c r="BD151" s="140"/>
      <c r="BE151" s="122" t="str">
        <f>IF(Preferences!B$3="Manual","", IFERROR(IFS(AND(Preferences!B$3="Automatic",AX151/AW151&gt;=30),"Extremely serious",AND(AY151&lt;=$D$1*-1,BA151&lt;0,AX151/AW151&lt;3),"Not Serious",AND(AY151&lt;=$D$1*-1,BA151&lt;0,AX151/AW151&gt;=3),"Very serious",AND(AY151&gt;=$D$1,AZ151&gt;0,AX151/AW151&lt;3),"Not Serious",AND(AY151&gt;=$D$1,AZ151&gt;0,AX151/AW151&gt;=3),"Very serious",AND(AY151&lt;=$D$1*-1,BA151&gt;0,AZ151&gt;$D$2*-1,AX151/AW151&lt;3),"Serious", AND(AY151&lt;=$D$1*-1,BA151&gt;0,AZ151&lt;$D$2*-1,AX151/AW151&lt;3),"Very serious", AND(AY151&gt;=$D$1,AZ151&lt;0,BA151&lt;$D$2,AX151/AW151&lt;3),"Serious",AND(AY151&gt;=$D$1,AZ151&lt;0,BA151&gt;$D$2,AX151/AW151&lt;3),"Very serious", AND(AY151&lt;=$D$1*-1,BA151&gt;0,AZ151&gt;$D$2*-1,AX151/AW151&gt;=3),"Very serious", AND(AY151&lt;=$D$1*-1,BA151&gt;0,AZ151&lt;$D$2*-1,AX151/AW151&gt;=3),"Very serious", AND(AY151&gt;=$D$1,AZ151&lt;0,BA151&lt;$D$2,AX151/AW151&gt;=3),"Very serious", AND(AY151&gt;=$D$1,AZ151&lt;0,BA151&gt;$D$2,AX151/AW151&gt;=3),"Very serious", AND(AY151&gt;$D$1*-1,AY151&lt;$D$1,AZ151&gt;$D$1*-1,BA151&lt;$D$1,AX151/AW151&lt;3),"Not Serious", AND(AY151&gt;$D$1*-1,AY151&lt;$D$1,OR(AZ151&lt;=$D$1*-1,BA151&gt;=$D$1),AZ151&gt;$D$2*-1,BA151&lt;$D$2,AX151/AW151&lt;3),"Serious", AND(AY151&gt;$D$1*-1,AY151&lt;$D$1,OR(AZ151&lt;=$D$2*-1,BA151&gt;=$D$2),AX151/AW151&lt;3),"Very serious", AND(AY151&gt;$D$1*-1,AY151&lt;$D$1,AZ151&gt;$D$1*-1,BA151&lt;$D$1,AX151/AW151&gt;=3),"Very serious", AND(AY151&gt;$D$1*-1,AY151&lt;$D$1,OR(AZ151&lt;=$D$1*-1,BA151&gt;=$D$1),AZ151&gt;$D$2*-1,BA151&lt;$D$2,AX151/AW151&gt;=3),"Very serious", AND(AY151&gt;$D$1*-1,AY151&lt;$D$1,OR(AZ151&lt;=$D$2*-1,BA151&gt;=$D$2),AX151/AW151&gt;=3),"Very serious"),""))</f>
        <v/>
      </c>
      <c r="BF151" s="107" t="str">
        <f t="shared" si="11"/>
        <v/>
      </c>
      <c r="BG151" s="94" t="str">
        <f t="shared" si="46"/>
        <v/>
      </c>
      <c r="BH151" s="64" t="str">
        <f t="shared" si="12"/>
        <v>#N/A</v>
      </c>
      <c r="BI151" s="64" t="str">
        <f t="shared" si="13"/>
        <v/>
      </c>
      <c r="BJ151" s="123" t="str">
        <f t="shared" si="14"/>
        <v>#N/A</v>
      </c>
      <c r="BK151" s="64" t="str">
        <f t="shared" si="50"/>
        <v>YES</v>
      </c>
      <c r="BL151" s="64" t="str">
        <f t="shared" si="16"/>
        <v>YES</v>
      </c>
      <c r="BM151" s="64" t="str">
        <f t="shared" si="17"/>
        <v>YES</v>
      </c>
      <c r="BN151" s="124" t="str">
        <f t="shared" si="18"/>
        <v/>
      </c>
      <c r="BO151" s="91" t="str">
        <f t="shared" si="19"/>
        <v/>
      </c>
      <c r="BP151" s="91" t="str">
        <f t="shared" si="20"/>
        <v>#N/A</v>
      </c>
      <c r="BQ151" s="91" t="str">
        <f t="shared" si="21"/>
        <v/>
      </c>
      <c r="BR151" s="93" t="str">
        <f t="shared" si="22"/>
        <v/>
      </c>
      <c r="BS151" s="90" t="str">
        <f t="shared" si="23"/>
        <v/>
      </c>
      <c r="BT151" s="93" t="str">
        <f t="shared" si="24"/>
        <v>NA</v>
      </c>
      <c r="BU151" s="125" t="str">
        <f t="shared" si="25"/>
        <v>#N/A</v>
      </c>
      <c r="BV151" s="93" t="str">
        <f t="shared" si="26"/>
        <v/>
      </c>
      <c r="BW151" s="93" t="str">
        <f t="shared" si="27"/>
        <v/>
      </c>
      <c r="BX151" s="93" t="str">
        <f t="shared" si="28"/>
        <v>NA</v>
      </c>
      <c r="BY151" s="95" t="str">
        <f t="shared" si="29"/>
        <v>#N/A</v>
      </c>
      <c r="BZ151" s="93" t="str">
        <f t="shared" si="30"/>
        <v/>
      </c>
      <c r="CA151" s="93" t="str">
        <f t="shared" si="31"/>
        <v/>
      </c>
      <c r="CB151" s="93" t="str">
        <f t="shared" si="32"/>
        <v>NA</v>
      </c>
      <c r="CC151" s="96" t="str">
        <f t="shared" si="33"/>
        <v>#N/A</v>
      </c>
      <c r="CD151" s="93" t="str">
        <f t="shared" si="34"/>
        <v/>
      </c>
      <c r="CE151" s="93" t="str">
        <f t="shared" si="35"/>
        <v/>
      </c>
      <c r="CF151" s="93" t="str">
        <f t="shared" si="36"/>
        <v>NA</v>
      </c>
      <c r="CG151" s="97" t="str">
        <f t="shared" si="37"/>
        <v>#N/A</v>
      </c>
      <c r="CH151" s="98" t="str">
        <f t="shared" si="38"/>
        <v>#N/A</v>
      </c>
      <c r="CI151" s="99" t="str">
        <f t="shared" si="39"/>
        <v>#N/A</v>
      </c>
      <c r="CJ151" s="126" t="str">
        <f t="shared" si="40"/>
        <v>ERROR: check cell</v>
      </c>
      <c r="CK151" s="126"/>
      <c r="CL151" s="127" t="str">
        <f t="shared" si="41"/>
        <v>#DIV/0!</v>
      </c>
      <c r="CM151" s="128" t="str">
        <f t="shared" si="42"/>
        <v>#DIV/0!</v>
      </c>
      <c r="CN151" s="128">
        <f t="shared" si="43"/>
        <v>4</v>
      </c>
      <c r="CO151" s="129">
        <f t="shared" si="44"/>
        <v>4</v>
      </c>
      <c r="CP151" s="129" t="str">
        <f>IFS(C151=Preferences!B$13,B151,B151=Preferences!B$13,C151)</f>
        <v>#N/A</v>
      </c>
    </row>
    <row r="152" ht="13.5" customHeight="1">
      <c r="A152" s="63" t="str">
        <f t="shared" si="45"/>
        <v/>
      </c>
      <c r="B152" s="64"/>
      <c r="C152" s="64"/>
      <c r="D152" s="64"/>
      <c r="E152" s="65"/>
      <c r="F152" s="65"/>
      <c r="G152" s="65"/>
      <c r="H152" s="66"/>
      <c r="I152" s="66"/>
      <c r="J152" s="67"/>
      <c r="K152" s="68"/>
      <c r="L152" s="104"/>
      <c r="M152" s="104"/>
      <c r="N152" s="104"/>
      <c r="O152" s="104"/>
      <c r="P152" s="107" t="str">
        <f t="shared" si="1"/>
        <v/>
      </c>
      <c r="Q152" s="108" t="str">
        <f>IFERROR(IF(AND(Preferences!B$3="Manual",OR(AX152/AW152&gt;G152/F152,BD152="Serious",BD152="Very serious")),"Assess imprecision",IFS(ISBLANK(E152),"",AND(Preferences!B$3="Automatic", G152/F152&gt;=30),"Extremely serious",AND(H152&lt;=$D$1*-1,J152&lt;0,G152/F152&lt;3),"Not serious",AND(H152&lt;=$D$1*-1,J152&lt;0,G152/F152&gt;=3),"Very serious",AND(H152&gt;=$D$1,I152&gt;0,G152/F152&lt;3),"Not serious",AND(H152&gt;=$D$1,I152&gt;0,G152/F152&gt;=3),"Very serious",AND(H152&lt;=$D$1*-1,J152&gt;0,I152&gt;$D$2*-1,G152/F152&lt;3),"Serious", AND(H152&lt;=$D$1*-1,J152&gt;0,I152&lt;$D$2*-1,G152/F152&lt;3),"Very serious", AND(H152&gt;=$D$1,I152&lt;0,J152&lt;$D$2,G152/F152&lt;3),"Serious",AND(H152&gt;=$D$1,I152&lt;0,J152&gt;$D$2,G152/F152&lt;3),"Very serious", AND(H152&lt;=$D$1*-1,J152&gt;0,I152&gt;$D$2*-1,G152/F152&gt;=3),"Very serious", AND(H152&lt;=$D$1*-1,J152&gt;0,I152&lt;$D$2*-1,G152/F152&gt;=3),"Very serious", AND(H152&gt;=$D$1,I152&lt;0,J152&lt;$D$2,G152/F152&gt;=3),"Very serious", AND(H152&gt;=$D$1,I152&lt;0,J152&gt;$D$2,G152/F152&gt;=3),"Very serious", AND(H152&gt;$D$1*-1,H152&lt;$D$1,I152&gt;$D$1*-1,J152&lt;$D$1,G152/F152&lt;3),"Not serious", AND(H152&gt;$D$1*-1,H152&lt;$D$1,OR(I152&lt;=$D$1*-1,J152&gt;=$D$1),I152&gt;$D$2*-1,J152&lt;$D$2,G152/F152&lt;3),"Serious", AND(H152&gt;$D$1*-1,H152&lt;$D$1,OR(I152&lt;=$D$2*-1,J152&gt;=$D$2),G152/F152&lt;3),"Very serious", AND(H152&gt;$D$1*-1,H152&lt;$D$1,I152&gt;$D$1*-1,J152&lt;$D$1,G152/F152&gt;=3),"Very serious", AND(H152&gt;$D$1*-1,H152&lt;$D$1,OR(I152&lt;=$D$1*-1,J152&gt;=$D$1),I152&gt;$D$2*-1,J152&lt;$D$2,G152/F152&gt;=3),"Very serious", AND(H152&gt;$D$1*-1,H152&lt;$D$1,OR(I152&lt;=$D$2*-1,J152&gt;=$D$2),G152/F152&gt;=3),"Very serious")),"")</f>
        <v/>
      </c>
      <c r="R152" s="109" t="str">
        <f t="shared" si="47"/>
        <v/>
      </c>
      <c r="S152" s="64"/>
      <c r="T152" s="72"/>
      <c r="U152" s="72"/>
      <c r="V152" s="72"/>
      <c r="W152" s="73"/>
      <c r="X152" s="73"/>
      <c r="Y152" s="74"/>
      <c r="Z152" s="113" t="str">
        <f t="array" ref="Z152">INDEX($A$1:$C$500, MATCH(1,($B:$B=$B152)*($C:$C=$AB152),0),1)</f>
        <v/>
      </c>
      <c r="AA152" s="113" t="str">
        <f t="array" ref="AA152">INDEX($A$1:$C$500, MATCH(1,($B:$B=$AB152)*($C:$C=$B152),0),1)</f>
        <v/>
      </c>
      <c r="AB152" s="111"/>
      <c r="AC152" s="114" t="str">
        <f t="shared" si="2"/>
        <v/>
      </c>
      <c r="AD152" s="115" t="str">
        <f t="shared" si="3"/>
        <v/>
      </c>
      <c r="AE152" s="116" t="str">
        <f t="array" ref="AE152">INDEX($A$1:$C$500, MATCH(1,($B:$B=$AB152)*($C:$C=$AG152),0),1)</f>
        <v/>
      </c>
      <c r="AF152" s="116" t="str">
        <f t="array" ref="AF152">INDEX($A$1:$C$500, MATCH(1,($B:$B=$AG152)*($C:$C=$AB152),0),1)</f>
        <v/>
      </c>
      <c r="AG152" s="72"/>
      <c r="AH152" s="114" t="str">
        <f t="shared" si="4"/>
        <v/>
      </c>
      <c r="AI152" s="115" t="str">
        <f t="shared" si="5"/>
        <v/>
      </c>
      <c r="AJ152" s="116" t="str">
        <f t="array" ref="AJ152">INDEX($A$1:$C$500, MATCH(1,($B:$B=$C152)*($C:$C=$AG152),0),1)</f>
        <v/>
      </c>
      <c r="AK152" s="116" t="str">
        <f t="array" ref="AK152">INDEX($A$1:$C$500, MATCH(1,($B:$B=$AG152)*($C:$C=$C152),0),1)</f>
        <v/>
      </c>
      <c r="AL152" s="116" t="str">
        <f t="array" ref="AL152">INDEX($A$1:$C$500, MATCH(1,($B:$B=$C152)*($C:$C=$AB152),0),1)</f>
        <v/>
      </c>
      <c r="AM152" s="116" t="str">
        <f t="array" ref="AM152">INDEX($A$1:$C$500, MATCH(1,($B:$B=$AB152)*($C:$C=$C152),0),1)</f>
        <v/>
      </c>
      <c r="AN152" s="114" t="str">
        <f t="array" ref="AN152">IFS(ISNUMBER(AJ152),AJ152,ISNUMBER(AK152),AK152,ISNUMBER(AL152),AL152,ISNUMBER(AM152),AM152)</f>
        <v>#N/A</v>
      </c>
      <c r="AO152" s="115" t="str">
        <f t="shared" si="6"/>
        <v/>
      </c>
      <c r="AP152" s="115" t="str">
        <f t="shared" si="7"/>
        <v/>
      </c>
      <c r="AQ152" s="111"/>
      <c r="AR152" s="109" t="str">
        <f t="shared" si="8"/>
        <v/>
      </c>
      <c r="AS152" s="72" t="str">
        <f>IFERROR(IF(AND(Preferences!B$3="Manual",OR(AX152/AW152&gt;V152/U152,BD152="Serious",BD152="Very serious")),"Assess imprecision",IFERROR(IFS(AND(Preferences!B$3="Automatic",V152/U152&gt;=30),"Extremely serious",AND(W152&lt;=$D$1*-1,Y152&lt;0,V152/U152&lt;3),"Not Serious",AND(W152&lt;=$D$1*-1,Y152&lt;0,V152/U152&gt;=3),"Very serious",AND(W152&gt;=$D$1,X152&gt;0,V152/U152&lt;3),"Not Serious",AND(W152&gt;=$D$1,X152&gt;0,V152/U152&gt;=3),"Very serious",AND(W152&lt;=$D$1*-1,Y152&gt;0,X152&gt;$D$2*-1,V152/U152&lt;3),"Serious", AND(W152&lt;=$D$1*-1,Y152&gt;0,X152&lt;$D$2*-1,V152/U152&lt;3),"Very serious", AND(W152&gt;=$D$1,X152&lt;0,Y152&lt;$D$2,V152/U152&lt;3),"Serious",AND(W152&gt;=$D$1,X152&lt;0,Y152&gt;$D$2,V152/U152&lt;3),"Very serious", AND(W152&lt;=$D$1*-1,Y152&gt;0,X152&gt;$D$2*-1,V152/U152&gt;=3),"Very serious", AND(W152&lt;=$D$1*-1,Y152&gt;0,X152&lt;$D$2*-1,V152/U152&gt;=3),"Very serious", AND(W152&gt;=$D$1,X152&lt;0,Y152&lt;$D$2,V152/U152&gt;=3),"Very serious", AND(W152&gt;=$D$1,X152&lt;0,Y152&gt;$D$2,V152/U152&gt;=3),"Very serious", AND(W152&gt;$D$1*-1,W152&lt;$D$1,X152&gt;$D$1*-1,Y152&lt;$D$1,V152/U152&lt;3),"Not Serious", AND(W152&gt;$D$1*-1,W152&lt;$D$1,OR(X152&lt;=$D$1*-1,Y152&gt;=$D$1),X152&gt;$D$2*-1,Y152&lt;$D$2,V152/U152&lt;3),"Serious", AND(W152&gt;$D$1*-1,W152&lt;$D$1,OR(X152&lt;=$D$2*-1,Y152&gt;=$D$2),V152/U152&lt;3),"Very serious", AND(W152&gt;$D$1*-1,W152&lt;$D$1,X152&gt;$D$1*-1,Y152&lt;$D$1,V152/U152&gt;=3),"Very serious", AND(W152&gt;$D$1*-1,W152&lt;$D$1,OR(X152&lt;=$D$1*-1,Y152&gt;=$D$1),X152&gt;$D$2*-1,Y152&lt;$D$2,V152/U152&gt;=3),"Very serious", AND(W152&gt;$D$1*-1,W152&lt;$D$1,OR(X152&lt;=$D$2*-1,Y152&gt;=$D$2),V152/U152&gt;=3),"Very serious"),"")),"")</f>
        <v/>
      </c>
      <c r="AT152" s="109" t="str">
        <f t="shared" si="9"/>
        <v/>
      </c>
      <c r="AU152" s="64"/>
      <c r="AV152" s="83"/>
      <c r="AW152" s="83"/>
      <c r="AX152" s="83"/>
      <c r="AY152" s="83"/>
      <c r="AZ152" s="83"/>
      <c r="BA152" s="85"/>
      <c r="BB152" s="86" t="str">
        <f>IF(Preferences!B$9="Manual","",IFS(ISBLANK(B152),"",AND(ISNUMBER(E152)=TRUE,ISNUMBER(T152)=FALSE),"Direct", AND(ISNUMBER(E152)=FALSE,ISNUMBER(T152)=TRUE),"Indirect", CN152=4,"Direct",AND(CL152=FALSE, CM152=TRUE,CN152-CO152&gt;-1),"Direct", AND(CL152=FALSE,CM152=TRUE, CN152-CO152&lt;0),"Check algorithm in appendix 2", AND(CL152=TRUE, CM152=FALSE,CN152-CO152&gt;0),"Check algorithm in appendix 2", AND(CL152=TRUE, CM152=FALSE,CN152-CO152=0),"Indirect", AND(CL152=TRUE, CM152=FALSE,CN152-CO152&lt;0),"Indirect", AND(CL152=FALSE,CM152=FALSE,CN152-CO152&gt;-1),"Direct", AND(CL152=FALSE,CM152=FALSE,CN152-CO152&lt;0),"Check algorithm in appendix 2", AND(CL152=TRUE,CM152=TRUE,CN152-CO152&gt;-1),"Direct", AND(CL152=TRUE,CM152=TRUE,CN152-CO152&lt;0),"Check algorithm in appendix 2"))</f>
        <v/>
      </c>
      <c r="BC152" s="120" t="str">
        <f t="shared" si="10"/>
        <v/>
      </c>
      <c r="BD152" s="140"/>
      <c r="BE152" s="122" t="str">
        <f>IF(Preferences!B$3="Manual","", IFERROR(IFS(AND(Preferences!B$3="Automatic",AX152/AW152&gt;=30),"Extremely serious",AND(AY152&lt;=$D$1*-1,BA152&lt;0,AX152/AW152&lt;3),"Not Serious",AND(AY152&lt;=$D$1*-1,BA152&lt;0,AX152/AW152&gt;=3),"Very serious",AND(AY152&gt;=$D$1,AZ152&gt;0,AX152/AW152&lt;3),"Not Serious",AND(AY152&gt;=$D$1,AZ152&gt;0,AX152/AW152&gt;=3),"Very serious",AND(AY152&lt;=$D$1*-1,BA152&gt;0,AZ152&gt;$D$2*-1,AX152/AW152&lt;3),"Serious", AND(AY152&lt;=$D$1*-1,BA152&gt;0,AZ152&lt;$D$2*-1,AX152/AW152&lt;3),"Very serious", AND(AY152&gt;=$D$1,AZ152&lt;0,BA152&lt;$D$2,AX152/AW152&lt;3),"Serious",AND(AY152&gt;=$D$1,AZ152&lt;0,BA152&gt;$D$2,AX152/AW152&lt;3),"Very serious", AND(AY152&lt;=$D$1*-1,BA152&gt;0,AZ152&gt;$D$2*-1,AX152/AW152&gt;=3),"Very serious", AND(AY152&lt;=$D$1*-1,BA152&gt;0,AZ152&lt;$D$2*-1,AX152/AW152&gt;=3),"Very serious", AND(AY152&gt;=$D$1,AZ152&lt;0,BA152&lt;$D$2,AX152/AW152&gt;=3),"Very serious", AND(AY152&gt;=$D$1,AZ152&lt;0,BA152&gt;$D$2,AX152/AW152&gt;=3),"Very serious", AND(AY152&gt;$D$1*-1,AY152&lt;$D$1,AZ152&gt;$D$1*-1,BA152&lt;$D$1,AX152/AW152&lt;3),"Not Serious", AND(AY152&gt;$D$1*-1,AY152&lt;$D$1,OR(AZ152&lt;=$D$1*-1,BA152&gt;=$D$1),AZ152&gt;$D$2*-1,BA152&lt;$D$2,AX152/AW152&lt;3),"Serious", AND(AY152&gt;$D$1*-1,AY152&lt;$D$1,OR(AZ152&lt;=$D$2*-1,BA152&gt;=$D$2),AX152/AW152&lt;3),"Very serious", AND(AY152&gt;$D$1*-1,AY152&lt;$D$1,AZ152&gt;$D$1*-1,BA152&lt;$D$1,AX152/AW152&gt;=3),"Very serious", AND(AY152&gt;$D$1*-1,AY152&lt;$D$1,OR(AZ152&lt;=$D$1*-1,BA152&gt;=$D$1),AZ152&gt;$D$2*-1,BA152&lt;$D$2,AX152/AW152&gt;=3),"Very serious", AND(AY152&gt;$D$1*-1,AY152&lt;$D$1,OR(AZ152&lt;=$D$2*-1,BA152&gt;=$D$2),AX152/AW152&gt;=3),"Very serious"),""))</f>
        <v/>
      </c>
      <c r="BF152" s="107" t="str">
        <f t="shared" si="11"/>
        <v/>
      </c>
      <c r="BG152" s="94" t="str">
        <f t="shared" si="46"/>
        <v/>
      </c>
      <c r="BH152" s="64" t="str">
        <f t="shared" si="12"/>
        <v>#N/A</v>
      </c>
      <c r="BI152" s="64" t="str">
        <f t="shared" si="13"/>
        <v/>
      </c>
      <c r="BJ152" s="123" t="str">
        <f t="shared" si="14"/>
        <v>#N/A</v>
      </c>
      <c r="BK152" s="64" t="str">
        <f t="shared" si="50"/>
        <v>YES</v>
      </c>
      <c r="BL152" s="64" t="str">
        <f t="shared" si="16"/>
        <v>YES</v>
      </c>
      <c r="BM152" s="64" t="str">
        <f t="shared" si="17"/>
        <v>YES</v>
      </c>
      <c r="BN152" s="124" t="str">
        <f t="shared" si="18"/>
        <v/>
      </c>
      <c r="BO152" s="91" t="str">
        <f t="shared" si="19"/>
        <v/>
      </c>
      <c r="BP152" s="91" t="str">
        <f t="shared" si="20"/>
        <v>#N/A</v>
      </c>
      <c r="BQ152" s="91" t="str">
        <f t="shared" si="21"/>
        <v/>
      </c>
      <c r="BR152" s="93" t="str">
        <f t="shared" si="22"/>
        <v/>
      </c>
      <c r="BS152" s="90" t="str">
        <f t="shared" si="23"/>
        <v/>
      </c>
      <c r="BT152" s="93" t="str">
        <f t="shared" si="24"/>
        <v>NA</v>
      </c>
      <c r="BU152" s="125" t="str">
        <f t="shared" si="25"/>
        <v>#N/A</v>
      </c>
      <c r="BV152" s="93" t="str">
        <f t="shared" si="26"/>
        <v/>
      </c>
      <c r="BW152" s="93" t="str">
        <f t="shared" si="27"/>
        <v/>
      </c>
      <c r="BX152" s="93" t="str">
        <f t="shared" si="28"/>
        <v>NA</v>
      </c>
      <c r="BY152" s="95" t="str">
        <f t="shared" si="29"/>
        <v>#N/A</v>
      </c>
      <c r="BZ152" s="93" t="str">
        <f t="shared" si="30"/>
        <v/>
      </c>
      <c r="CA152" s="93" t="str">
        <f t="shared" si="31"/>
        <v/>
      </c>
      <c r="CB152" s="93" t="str">
        <f t="shared" si="32"/>
        <v>NA</v>
      </c>
      <c r="CC152" s="96" t="str">
        <f t="shared" si="33"/>
        <v>#N/A</v>
      </c>
      <c r="CD152" s="93" t="str">
        <f t="shared" si="34"/>
        <v/>
      </c>
      <c r="CE152" s="93" t="str">
        <f t="shared" si="35"/>
        <v/>
      </c>
      <c r="CF152" s="93" t="str">
        <f t="shared" si="36"/>
        <v>NA</v>
      </c>
      <c r="CG152" s="97" t="str">
        <f t="shared" si="37"/>
        <v>#N/A</v>
      </c>
      <c r="CH152" s="98" t="str">
        <f t="shared" si="38"/>
        <v>#N/A</v>
      </c>
      <c r="CI152" s="99" t="str">
        <f t="shared" si="39"/>
        <v>#N/A</v>
      </c>
      <c r="CJ152" s="126" t="str">
        <f t="shared" si="40"/>
        <v>ERROR: check cell</v>
      </c>
      <c r="CK152" s="126"/>
      <c r="CL152" s="127" t="str">
        <f t="shared" si="41"/>
        <v>#DIV/0!</v>
      </c>
      <c r="CM152" s="128" t="str">
        <f t="shared" si="42"/>
        <v>#DIV/0!</v>
      </c>
      <c r="CN152" s="128">
        <f t="shared" si="43"/>
        <v>4</v>
      </c>
      <c r="CO152" s="129">
        <f t="shared" si="44"/>
        <v>4</v>
      </c>
      <c r="CP152" s="129" t="str">
        <f>IFS(C152=Preferences!B$13,B152,B152=Preferences!B$13,C152)</f>
        <v>#N/A</v>
      </c>
    </row>
    <row r="153" ht="13.5" customHeight="1">
      <c r="A153" s="63" t="str">
        <f t="shared" si="45"/>
        <v/>
      </c>
      <c r="B153" s="64"/>
      <c r="C153" s="64"/>
      <c r="D153" s="64"/>
      <c r="E153" s="65"/>
      <c r="F153" s="65"/>
      <c r="G153" s="65"/>
      <c r="H153" s="66"/>
      <c r="I153" s="66"/>
      <c r="J153" s="67"/>
      <c r="K153" s="68"/>
      <c r="L153" s="104"/>
      <c r="M153" s="104"/>
      <c r="N153" s="104"/>
      <c r="O153" s="104"/>
      <c r="P153" s="107" t="str">
        <f t="shared" si="1"/>
        <v/>
      </c>
      <c r="Q153" s="108" t="str">
        <f>IFERROR(IF(AND(Preferences!B$3="Manual",OR(AX153/AW153&gt;G153/F153,BD153="Serious",BD153="Very serious")),"Assess imprecision",IFS(ISBLANK(E153),"",AND(Preferences!B$3="Automatic", G153/F153&gt;=30),"Extremely serious",AND(H153&lt;=$D$1*-1,J153&lt;0,G153/F153&lt;3),"Not serious",AND(H153&lt;=$D$1*-1,J153&lt;0,G153/F153&gt;=3),"Very serious",AND(H153&gt;=$D$1,I153&gt;0,G153/F153&lt;3),"Not serious",AND(H153&gt;=$D$1,I153&gt;0,G153/F153&gt;=3),"Very serious",AND(H153&lt;=$D$1*-1,J153&gt;0,I153&gt;$D$2*-1,G153/F153&lt;3),"Serious", AND(H153&lt;=$D$1*-1,J153&gt;0,I153&lt;$D$2*-1,G153/F153&lt;3),"Very serious", AND(H153&gt;=$D$1,I153&lt;0,J153&lt;$D$2,G153/F153&lt;3),"Serious",AND(H153&gt;=$D$1,I153&lt;0,J153&gt;$D$2,G153/F153&lt;3),"Very serious", AND(H153&lt;=$D$1*-1,J153&gt;0,I153&gt;$D$2*-1,G153/F153&gt;=3),"Very serious", AND(H153&lt;=$D$1*-1,J153&gt;0,I153&lt;$D$2*-1,G153/F153&gt;=3),"Very serious", AND(H153&gt;=$D$1,I153&lt;0,J153&lt;$D$2,G153/F153&gt;=3),"Very serious", AND(H153&gt;=$D$1,I153&lt;0,J153&gt;$D$2,G153/F153&gt;=3),"Very serious", AND(H153&gt;$D$1*-1,H153&lt;$D$1,I153&gt;$D$1*-1,J153&lt;$D$1,G153/F153&lt;3),"Not serious", AND(H153&gt;$D$1*-1,H153&lt;$D$1,OR(I153&lt;=$D$1*-1,J153&gt;=$D$1),I153&gt;$D$2*-1,J153&lt;$D$2,G153/F153&lt;3),"Serious", AND(H153&gt;$D$1*-1,H153&lt;$D$1,OR(I153&lt;=$D$2*-1,J153&gt;=$D$2),G153/F153&lt;3),"Very serious", AND(H153&gt;$D$1*-1,H153&lt;$D$1,I153&gt;$D$1*-1,J153&lt;$D$1,G153/F153&gt;=3),"Very serious", AND(H153&gt;$D$1*-1,H153&lt;$D$1,OR(I153&lt;=$D$1*-1,J153&gt;=$D$1),I153&gt;$D$2*-1,J153&lt;$D$2,G153/F153&gt;=3),"Very serious", AND(H153&gt;$D$1*-1,H153&lt;$D$1,OR(I153&lt;=$D$2*-1,J153&gt;=$D$2),G153/F153&gt;=3),"Very serious")),"")</f>
        <v/>
      </c>
      <c r="R153" s="109" t="str">
        <f t="shared" si="47"/>
        <v/>
      </c>
      <c r="S153" s="64"/>
      <c r="T153" s="72"/>
      <c r="U153" s="72"/>
      <c r="V153" s="72"/>
      <c r="W153" s="73"/>
      <c r="X153" s="73"/>
      <c r="Y153" s="74"/>
      <c r="Z153" s="113" t="str">
        <f t="array" ref="Z153">INDEX($A$1:$C$500, MATCH(1,($B:$B=$B153)*($C:$C=$AB153),0),1)</f>
        <v/>
      </c>
      <c r="AA153" s="113" t="str">
        <f t="array" ref="AA153">INDEX($A$1:$C$500, MATCH(1,($B:$B=$AB153)*($C:$C=$B153),0),1)</f>
        <v/>
      </c>
      <c r="AB153" s="111"/>
      <c r="AC153" s="114" t="str">
        <f t="shared" si="2"/>
        <v/>
      </c>
      <c r="AD153" s="115" t="str">
        <f t="shared" si="3"/>
        <v/>
      </c>
      <c r="AE153" s="116" t="str">
        <f t="array" ref="AE153">INDEX($A$1:$C$500, MATCH(1,($B:$B=$AB153)*($C:$C=$AG153),0),1)</f>
        <v/>
      </c>
      <c r="AF153" s="116" t="str">
        <f t="array" ref="AF153">INDEX($A$1:$C$500, MATCH(1,($B:$B=$AG153)*($C:$C=$AB153),0),1)</f>
        <v/>
      </c>
      <c r="AG153" s="72"/>
      <c r="AH153" s="114" t="str">
        <f t="shared" si="4"/>
        <v/>
      </c>
      <c r="AI153" s="115" t="str">
        <f t="shared" si="5"/>
        <v/>
      </c>
      <c r="AJ153" s="116" t="str">
        <f t="array" ref="AJ153">INDEX($A$1:$C$500, MATCH(1,($B:$B=$C153)*($C:$C=$AG153),0),1)</f>
        <v/>
      </c>
      <c r="AK153" s="116" t="str">
        <f t="array" ref="AK153">INDEX($A$1:$C$500, MATCH(1,($B:$B=$AG153)*($C:$C=$C153),0),1)</f>
        <v/>
      </c>
      <c r="AL153" s="116" t="str">
        <f t="array" ref="AL153">INDEX($A$1:$C$500, MATCH(1,($B:$B=$C153)*($C:$C=$AB153),0),1)</f>
        <v/>
      </c>
      <c r="AM153" s="116" t="str">
        <f t="array" ref="AM153">INDEX($A$1:$C$500, MATCH(1,($B:$B=$AB153)*($C:$C=$C153),0),1)</f>
        <v/>
      </c>
      <c r="AN153" s="114" t="str">
        <f t="array" ref="AN153">IFS(ISNUMBER(AJ153),AJ153,ISNUMBER(AK153),AK153,ISNUMBER(AL153),AL153,ISNUMBER(AM153),AM153)</f>
        <v>#N/A</v>
      </c>
      <c r="AO153" s="115" t="str">
        <f t="shared" si="6"/>
        <v/>
      </c>
      <c r="AP153" s="115" t="str">
        <f t="shared" si="7"/>
        <v/>
      </c>
      <c r="AQ153" s="111"/>
      <c r="AR153" s="109" t="str">
        <f t="shared" si="8"/>
        <v/>
      </c>
      <c r="AS153" s="72" t="str">
        <f>IFERROR(IF(AND(Preferences!B$3="Manual",OR(AX153/AW153&gt;V153/U153,BD153="Serious",BD153="Very serious")),"Assess imprecision",IFERROR(IFS(AND(Preferences!B$3="Automatic",V153/U153&gt;=30),"Extremely serious",AND(W153&lt;=$D$1*-1,Y153&lt;0,V153/U153&lt;3),"Not Serious",AND(W153&lt;=$D$1*-1,Y153&lt;0,V153/U153&gt;=3),"Very serious",AND(W153&gt;=$D$1,X153&gt;0,V153/U153&lt;3),"Not Serious",AND(W153&gt;=$D$1,X153&gt;0,V153/U153&gt;=3),"Very serious",AND(W153&lt;=$D$1*-1,Y153&gt;0,X153&gt;$D$2*-1,V153/U153&lt;3),"Serious", AND(W153&lt;=$D$1*-1,Y153&gt;0,X153&lt;$D$2*-1,V153/U153&lt;3),"Very serious", AND(W153&gt;=$D$1,X153&lt;0,Y153&lt;$D$2,V153/U153&lt;3),"Serious",AND(W153&gt;=$D$1,X153&lt;0,Y153&gt;$D$2,V153/U153&lt;3),"Very serious", AND(W153&lt;=$D$1*-1,Y153&gt;0,X153&gt;$D$2*-1,V153/U153&gt;=3),"Very serious", AND(W153&lt;=$D$1*-1,Y153&gt;0,X153&lt;$D$2*-1,V153/U153&gt;=3),"Very serious", AND(W153&gt;=$D$1,X153&lt;0,Y153&lt;$D$2,V153/U153&gt;=3),"Very serious", AND(W153&gt;=$D$1,X153&lt;0,Y153&gt;$D$2,V153/U153&gt;=3),"Very serious", AND(W153&gt;$D$1*-1,W153&lt;$D$1,X153&gt;$D$1*-1,Y153&lt;$D$1,V153/U153&lt;3),"Not Serious", AND(W153&gt;$D$1*-1,W153&lt;$D$1,OR(X153&lt;=$D$1*-1,Y153&gt;=$D$1),X153&gt;$D$2*-1,Y153&lt;$D$2,V153/U153&lt;3),"Serious", AND(W153&gt;$D$1*-1,W153&lt;$D$1,OR(X153&lt;=$D$2*-1,Y153&gt;=$D$2),V153/U153&lt;3),"Very serious", AND(W153&gt;$D$1*-1,W153&lt;$D$1,X153&gt;$D$1*-1,Y153&lt;$D$1,V153/U153&gt;=3),"Very serious", AND(W153&gt;$D$1*-1,W153&lt;$D$1,OR(X153&lt;=$D$1*-1,Y153&gt;=$D$1),X153&gt;$D$2*-1,Y153&lt;$D$2,V153/U153&gt;=3),"Very serious", AND(W153&gt;$D$1*-1,W153&lt;$D$1,OR(X153&lt;=$D$2*-1,Y153&gt;=$D$2),V153/U153&gt;=3),"Very serious"),"")),"")</f>
        <v/>
      </c>
      <c r="AT153" s="109" t="str">
        <f t="shared" si="9"/>
        <v/>
      </c>
      <c r="AU153" s="64"/>
      <c r="AV153" s="83"/>
      <c r="AW153" s="83"/>
      <c r="AX153" s="83"/>
      <c r="AY153" s="83"/>
      <c r="AZ153" s="83"/>
      <c r="BA153" s="85"/>
      <c r="BB153" s="86" t="str">
        <f>IF(Preferences!B$9="Manual","",IFS(ISBLANK(B153),"",AND(ISNUMBER(E153)=TRUE,ISNUMBER(T153)=FALSE),"Direct", AND(ISNUMBER(E153)=FALSE,ISNUMBER(T153)=TRUE),"Indirect", CN153=4,"Direct",AND(CL153=FALSE, CM153=TRUE,CN153-CO153&gt;-1),"Direct", AND(CL153=FALSE,CM153=TRUE, CN153-CO153&lt;0),"Check algorithm in appendix 2", AND(CL153=TRUE, CM153=FALSE,CN153-CO153&gt;0),"Check algorithm in appendix 2", AND(CL153=TRUE, CM153=FALSE,CN153-CO153=0),"Indirect", AND(CL153=TRUE, CM153=FALSE,CN153-CO153&lt;0),"Indirect", AND(CL153=FALSE,CM153=FALSE,CN153-CO153&gt;-1),"Direct", AND(CL153=FALSE,CM153=FALSE,CN153-CO153&lt;0),"Check algorithm in appendix 2", AND(CL153=TRUE,CM153=TRUE,CN153-CO153&gt;-1),"Direct", AND(CL153=TRUE,CM153=TRUE,CN153-CO153&lt;0),"Check algorithm in appendix 2"))</f>
        <v/>
      </c>
      <c r="BC153" s="120" t="str">
        <f t="shared" si="10"/>
        <v/>
      </c>
      <c r="BD153" s="140"/>
      <c r="BE153" s="122" t="str">
        <f>IF(Preferences!B$3="Manual","", IFERROR(IFS(AND(Preferences!B$3="Automatic",AX153/AW153&gt;=30),"Extremely serious",AND(AY153&lt;=$D$1*-1,BA153&lt;0,AX153/AW153&lt;3),"Not Serious",AND(AY153&lt;=$D$1*-1,BA153&lt;0,AX153/AW153&gt;=3),"Very serious",AND(AY153&gt;=$D$1,AZ153&gt;0,AX153/AW153&lt;3),"Not Serious",AND(AY153&gt;=$D$1,AZ153&gt;0,AX153/AW153&gt;=3),"Very serious",AND(AY153&lt;=$D$1*-1,BA153&gt;0,AZ153&gt;$D$2*-1,AX153/AW153&lt;3),"Serious", AND(AY153&lt;=$D$1*-1,BA153&gt;0,AZ153&lt;$D$2*-1,AX153/AW153&lt;3),"Very serious", AND(AY153&gt;=$D$1,AZ153&lt;0,BA153&lt;$D$2,AX153/AW153&lt;3),"Serious",AND(AY153&gt;=$D$1,AZ153&lt;0,BA153&gt;$D$2,AX153/AW153&lt;3),"Very serious", AND(AY153&lt;=$D$1*-1,BA153&gt;0,AZ153&gt;$D$2*-1,AX153/AW153&gt;=3),"Very serious", AND(AY153&lt;=$D$1*-1,BA153&gt;0,AZ153&lt;$D$2*-1,AX153/AW153&gt;=3),"Very serious", AND(AY153&gt;=$D$1,AZ153&lt;0,BA153&lt;$D$2,AX153/AW153&gt;=3),"Very serious", AND(AY153&gt;=$D$1,AZ153&lt;0,BA153&gt;$D$2,AX153/AW153&gt;=3),"Very serious", AND(AY153&gt;$D$1*-1,AY153&lt;$D$1,AZ153&gt;$D$1*-1,BA153&lt;$D$1,AX153/AW153&lt;3),"Not Serious", AND(AY153&gt;$D$1*-1,AY153&lt;$D$1,OR(AZ153&lt;=$D$1*-1,BA153&gt;=$D$1),AZ153&gt;$D$2*-1,BA153&lt;$D$2,AX153/AW153&lt;3),"Serious", AND(AY153&gt;$D$1*-1,AY153&lt;$D$1,OR(AZ153&lt;=$D$2*-1,BA153&gt;=$D$2),AX153/AW153&lt;3),"Very serious", AND(AY153&gt;$D$1*-1,AY153&lt;$D$1,AZ153&gt;$D$1*-1,BA153&lt;$D$1,AX153/AW153&gt;=3),"Very serious", AND(AY153&gt;$D$1*-1,AY153&lt;$D$1,OR(AZ153&lt;=$D$1*-1,BA153&gt;=$D$1),AZ153&gt;$D$2*-1,BA153&lt;$D$2,AX153/AW153&gt;=3),"Very serious", AND(AY153&gt;$D$1*-1,AY153&lt;$D$1,OR(AZ153&lt;=$D$2*-1,BA153&gt;=$D$2),AX153/AW153&gt;=3),"Very serious"),""))</f>
        <v/>
      </c>
      <c r="BF153" s="107" t="str">
        <f t="shared" si="11"/>
        <v/>
      </c>
      <c r="BG153" s="94" t="str">
        <f t="shared" si="46"/>
        <v/>
      </c>
      <c r="BH153" s="64" t="str">
        <f t="shared" si="12"/>
        <v>#N/A</v>
      </c>
      <c r="BI153" s="64" t="str">
        <f t="shared" si="13"/>
        <v/>
      </c>
      <c r="BJ153" s="123" t="str">
        <f t="shared" si="14"/>
        <v>#N/A</v>
      </c>
      <c r="BK153" s="64" t="str">
        <f t="shared" si="50"/>
        <v>YES</v>
      </c>
      <c r="BL153" s="64" t="str">
        <f t="shared" si="16"/>
        <v>YES</v>
      </c>
      <c r="BM153" s="64" t="str">
        <f t="shared" si="17"/>
        <v>YES</v>
      </c>
      <c r="BN153" s="124" t="str">
        <f t="shared" si="18"/>
        <v/>
      </c>
      <c r="BO153" s="91" t="str">
        <f t="shared" si="19"/>
        <v/>
      </c>
      <c r="BP153" s="91" t="str">
        <f t="shared" si="20"/>
        <v>#N/A</v>
      </c>
      <c r="BQ153" s="91" t="str">
        <f t="shared" si="21"/>
        <v/>
      </c>
      <c r="BR153" s="93" t="str">
        <f t="shared" si="22"/>
        <v/>
      </c>
      <c r="BS153" s="90" t="str">
        <f t="shared" si="23"/>
        <v/>
      </c>
      <c r="BT153" s="93" t="str">
        <f t="shared" si="24"/>
        <v>NA</v>
      </c>
      <c r="BU153" s="125" t="str">
        <f t="shared" si="25"/>
        <v>#N/A</v>
      </c>
      <c r="BV153" s="93" t="str">
        <f t="shared" si="26"/>
        <v/>
      </c>
      <c r="BW153" s="93" t="str">
        <f t="shared" si="27"/>
        <v/>
      </c>
      <c r="BX153" s="93" t="str">
        <f t="shared" si="28"/>
        <v>NA</v>
      </c>
      <c r="BY153" s="95" t="str">
        <f t="shared" si="29"/>
        <v>#N/A</v>
      </c>
      <c r="BZ153" s="93" t="str">
        <f t="shared" si="30"/>
        <v/>
      </c>
      <c r="CA153" s="93" t="str">
        <f t="shared" si="31"/>
        <v/>
      </c>
      <c r="CB153" s="93" t="str">
        <f t="shared" si="32"/>
        <v>NA</v>
      </c>
      <c r="CC153" s="96" t="str">
        <f t="shared" si="33"/>
        <v>#N/A</v>
      </c>
      <c r="CD153" s="93" t="str">
        <f t="shared" si="34"/>
        <v/>
      </c>
      <c r="CE153" s="93" t="str">
        <f t="shared" si="35"/>
        <v/>
      </c>
      <c r="CF153" s="93" t="str">
        <f t="shared" si="36"/>
        <v>NA</v>
      </c>
      <c r="CG153" s="97" t="str">
        <f t="shared" si="37"/>
        <v>#N/A</v>
      </c>
      <c r="CH153" s="98" t="str">
        <f t="shared" si="38"/>
        <v>#N/A</v>
      </c>
      <c r="CI153" s="99" t="str">
        <f t="shared" si="39"/>
        <v>#N/A</v>
      </c>
      <c r="CJ153" s="126" t="str">
        <f t="shared" si="40"/>
        <v>ERROR: check cell</v>
      </c>
      <c r="CK153" s="126"/>
      <c r="CL153" s="127" t="str">
        <f t="shared" si="41"/>
        <v>#DIV/0!</v>
      </c>
      <c r="CM153" s="128" t="str">
        <f t="shared" si="42"/>
        <v>#DIV/0!</v>
      </c>
      <c r="CN153" s="128">
        <f t="shared" si="43"/>
        <v>4</v>
      </c>
      <c r="CO153" s="129">
        <f t="shared" si="44"/>
        <v>4</v>
      </c>
      <c r="CP153" s="129" t="str">
        <f>IFS(C153=Preferences!B$13,B153,B153=Preferences!B$13,C153)</f>
        <v>#N/A</v>
      </c>
    </row>
    <row r="154" ht="13.5" customHeight="1">
      <c r="A154" s="63" t="str">
        <f t="shared" si="45"/>
        <v/>
      </c>
      <c r="B154" s="64"/>
      <c r="C154" s="64"/>
      <c r="D154" s="64"/>
      <c r="E154" s="65"/>
      <c r="F154" s="65"/>
      <c r="G154" s="65"/>
      <c r="H154" s="66"/>
      <c r="I154" s="66"/>
      <c r="J154" s="67"/>
      <c r="K154" s="68"/>
      <c r="L154" s="104"/>
      <c r="M154" s="104"/>
      <c r="N154" s="104"/>
      <c r="O154" s="104"/>
      <c r="P154" s="107" t="str">
        <f t="shared" si="1"/>
        <v/>
      </c>
      <c r="Q154" s="108" t="str">
        <f>IFERROR(IF(AND(Preferences!B$3="Manual",OR(AX154/AW154&gt;G154/F154,BD154="Serious",BD154="Very serious")),"Assess imprecision",IFS(ISBLANK(E154),"",AND(Preferences!B$3="Automatic", G154/F154&gt;=30),"Extremely serious",AND(H154&lt;=$D$1*-1,J154&lt;0,G154/F154&lt;3),"Not serious",AND(H154&lt;=$D$1*-1,J154&lt;0,G154/F154&gt;=3),"Very serious",AND(H154&gt;=$D$1,I154&gt;0,G154/F154&lt;3),"Not serious",AND(H154&gt;=$D$1,I154&gt;0,G154/F154&gt;=3),"Very serious",AND(H154&lt;=$D$1*-1,J154&gt;0,I154&gt;$D$2*-1,G154/F154&lt;3),"Serious", AND(H154&lt;=$D$1*-1,J154&gt;0,I154&lt;$D$2*-1,G154/F154&lt;3),"Very serious", AND(H154&gt;=$D$1,I154&lt;0,J154&lt;$D$2,G154/F154&lt;3),"Serious",AND(H154&gt;=$D$1,I154&lt;0,J154&gt;$D$2,G154/F154&lt;3),"Very serious", AND(H154&lt;=$D$1*-1,J154&gt;0,I154&gt;$D$2*-1,G154/F154&gt;=3),"Very serious", AND(H154&lt;=$D$1*-1,J154&gt;0,I154&lt;$D$2*-1,G154/F154&gt;=3),"Very serious", AND(H154&gt;=$D$1,I154&lt;0,J154&lt;$D$2,G154/F154&gt;=3),"Very serious", AND(H154&gt;=$D$1,I154&lt;0,J154&gt;$D$2,G154/F154&gt;=3),"Very serious", AND(H154&gt;$D$1*-1,H154&lt;$D$1,I154&gt;$D$1*-1,J154&lt;$D$1,G154/F154&lt;3),"Not serious", AND(H154&gt;$D$1*-1,H154&lt;$D$1,OR(I154&lt;=$D$1*-1,J154&gt;=$D$1),I154&gt;$D$2*-1,J154&lt;$D$2,G154/F154&lt;3),"Serious", AND(H154&gt;$D$1*-1,H154&lt;$D$1,OR(I154&lt;=$D$2*-1,J154&gt;=$D$2),G154/F154&lt;3),"Very serious", AND(H154&gt;$D$1*-1,H154&lt;$D$1,I154&gt;$D$1*-1,J154&lt;$D$1,G154/F154&gt;=3),"Very serious", AND(H154&gt;$D$1*-1,H154&lt;$D$1,OR(I154&lt;=$D$1*-1,J154&gt;=$D$1),I154&gt;$D$2*-1,J154&lt;$D$2,G154/F154&gt;=3),"Very serious", AND(H154&gt;$D$1*-1,H154&lt;$D$1,OR(I154&lt;=$D$2*-1,J154&gt;=$D$2),G154/F154&gt;=3),"Very serious")),"")</f>
        <v/>
      </c>
      <c r="R154" s="109" t="str">
        <f t="shared" si="47"/>
        <v/>
      </c>
      <c r="S154" s="64"/>
      <c r="T154" s="72"/>
      <c r="U154" s="72"/>
      <c r="V154" s="72"/>
      <c r="W154" s="73"/>
      <c r="X154" s="73"/>
      <c r="Y154" s="74"/>
      <c r="Z154" s="113" t="str">
        <f t="array" ref="Z154">INDEX($A$1:$C$500, MATCH(1,($B:$B=$B154)*($C:$C=$AB154),0),1)</f>
        <v/>
      </c>
      <c r="AA154" s="113" t="str">
        <f t="array" ref="AA154">INDEX($A$1:$C$500, MATCH(1,($B:$B=$AB154)*($C:$C=$B154),0),1)</f>
        <v/>
      </c>
      <c r="AB154" s="111"/>
      <c r="AC154" s="114" t="str">
        <f t="shared" si="2"/>
        <v/>
      </c>
      <c r="AD154" s="115" t="str">
        <f t="shared" si="3"/>
        <v/>
      </c>
      <c r="AE154" s="116" t="str">
        <f t="array" ref="AE154">INDEX($A$1:$C$500, MATCH(1,($B:$B=$AB154)*($C:$C=$AG154),0),1)</f>
        <v/>
      </c>
      <c r="AF154" s="116" t="str">
        <f t="array" ref="AF154">INDEX($A$1:$C$500, MATCH(1,($B:$B=$AG154)*($C:$C=$AB154),0),1)</f>
        <v/>
      </c>
      <c r="AG154" s="72"/>
      <c r="AH154" s="114" t="str">
        <f t="shared" si="4"/>
        <v/>
      </c>
      <c r="AI154" s="115" t="str">
        <f t="shared" si="5"/>
        <v/>
      </c>
      <c r="AJ154" s="116" t="str">
        <f t="array" ref="AJ154">INDEX($A$1:$C$500, MATCH(1,($B:$B=$C154)*($C:$C=$AG154),0),1)</f>
        <v/>
      </c>
      <c r="AK154" s="116" t="str">
        <f t="array" ref="AK154">INDEX($A$1:$C$500, MATCH(1,($B:$B=$AG154)*($C:$C=$C154),0),1)</f>
        <v/>
      </c>
      <c r="AL154" s="116" t="str">
        <f t="array" ref="AL154">INDEX($A$1:$C$500, MATCH(1,($B:$B=$C154)*($C:$C=$AB154),0),1)</f>
        <v/>
      </c>
      <c r="AM154" s="116" t="str">
        <f t="array" ref="AM154">INDEX($A$1:$C$500, MATCH(1,($B:$B=$AB154)*($C:$C=$C154),0),1)</f>
        <v/>
      </c>
      <c r="AN154" s="114" t="str">
        <f t="array" ref="AN154">IFS(ISNUMBER(AJ154),AJ154,ISNUMBER(AK154),AK154,ISNUMBER(AL154),AL154,ISNUMBER(AM154),AM154)</f>
        <v>#N/A</v>
      </c>
      <c r="AO154" s="115" t="str">
        <f t="shared" si="6"/>
        <v/>
      </c>
      <c r="AP154" s="115" t="str">
        <f t="shared" si="7"/>
        <v/>
      </c>
      <c r="AQ154" s="111"/>
      <c r="AR154" s="109" t="str">
        <f t="shared" si="8"/>
        <v/>
      </c>
      <c r="AS154" s="72" t="str">
        <f>IFERROR(IF(AND(Preferences!B$3="Manual",OR(AX154/AW154&gt;V154/U154,BD154="Serious",BD154="Very serious")),"Assess imprecision",IFERROR(IFS(AND(Preferences!B$3="Automatic",V154/U154&gt;=30),"Extremely serious",AND(W154&lt;=$D$1*-1,Y154&lt;0,V154/U154&lt;3),"Not Serious",AND(W154&lt;=$D$1*-1,Y154&lt;0,V154/U154&gt;=3),"Very serious",AND(W154&gt;=$D$1,X154&gt;0,V154/U154&lt;3),"Not Serious",AND(W154&gt;=$D$1,X154&gt;0,V154/U154&gt;=3),"Very serious",AND(W154&lt;=$D$1*-1,Y154&gt;0,X154&gt;$D$2*-1,V154/U154&lt;3),"Serious", AND(W154&lt;=$D$1*-1,Y154&gt;0,X154&lt;$D$2*-1,V154/U154&lt;3),"Very serious", AND(W154&gt;=$D$1,X154&lt;0,Y154&lt;$D$2,V154/U154&lt;3),"Serious",AND(W154&gt;=$D$1,X154&lt;0,Y154&gt;$D$2,V154/U154&lt;3),"Very serious", AND(W154&lt;=$D$1*-1,Y154&gt;0,X154&gt;$D$2*-1,V154/U154&gt;=3),"Very serious", AND(W154&lt;=$D$1*-1,Y154&gt;0,X154&lt;$D$2*-1,V154/U154&gt;=3),"Very serious", AND(W154&gt;=$D$1,X154&lt;0,Y154&lt;$D$2,V154/U154&gt;=3),"Very serious", AND(W154&gt;=$D$1,X154&lt;0,Y154&gt;$D$2,V154/U154&gt;=3),"Very serious", AND(W154&gt;$D$1*-1,W154&lt;$D$1,X154&gt;$D$1*-1,Y154&lt;$D$1,V154/U154&lt;3),"Not Serious", AND(W154&gt;$D$1*-1,W154&lt;$D$1,OR(X154&lt;=$D$1*-1,Y154&gt;=$D$1),X154&gt;$D$2*-1,Y154&lt;$D$2,V154/U154&lt;3),"Serious", AND(W154&gt;$D$1*-1,W154&lt;$D$1,OR(X154&lt;=$D$2*-1,Y154&gt;=$D$2),V154/U154&lt;3),"Very serious", AND(W154&gt;$D$1*-1,W154&lt;$D$1,X154&gt;$D$1*-1,Y154&lt;$D$1,V154/U154&gt;=3),"Very serious", AND(W154&gt;$D$1*-1,W154&lt;$D$1,OR(X154&lt;=$D$1*-1,Y154&gt;=$D$1),X154&gt;$D$2*-1,Y154&lt;$D$2,V154/U154&gt;=3),"Very serious", AND(W154&gt;$D$1*-1,W154&lt;$D$1,OR(X154&lt;=$D$2*-1,Y154&gt;=$D$2),V154/U154&gt;=3),"Very serious"),"")),"")</f>
        <v/>
      </c>
      <c r="AT154" s="109" t="str">
        <f t="shared" si="9"/>
        <v/>
      </c>
      <c r="AU154" s="64"/>
      <c r="AV154" s="83"/>
      <c r="AW154" s="83"/>
      <c r="AX154" s="83"/>
      <c r="AY154" s="83"/>
      <c r="AZ154" s="83"/>
      <c r="BA154" s="85"/>
      <c r="BB154" s="86" t="str">
        <f>IF(Preferences!B$9="Manual","",IFS(ISBLANK(B154),"",AND(ISNUMBER(E154)=TRUE,ISNUMBER(T154)=FALSE),"Direct", AND(ISNUMBER(E154)=FALSE,ISNUMBER(T154)=TRUE),"Indirect", CN154=4,"Direct",AND(CL154=FALSE, CM154=TRUE,CN154-CO154&gt;-1),"Direct", AND(CL154=FALSE,CM154=TRUE, CN154-CO154&lt;0),"Check algorithm in appendix 2", AND(CL154=TRUE, CM154=FALSE,CN154-CO154&gt;0),"Check algorithm in appendix 2", AND(CL154=TRUE, CM154=FALSE,CN154-CO154=0),"Indirect", AND(CL154=TRUE, CM154=FALSE,CN154-CO154&lt;0),"Indirect", AND(CL154=FALSE,CM154=FALSE,CN154-CO154&gt;-1),"Direct", AND(CL154=FALSE,CM154=FALSE,CN154-CO154&lt;0),"Check algorithm in appendix 2", AND(CL154=TRUE,CM154=TRUE,CN154-CO154&gt;-1),"Direct", AND(CL154=TRUE,CM154=TRUE,CN154-CO154&lt;0),"Check algorithm in appendix 2"))</f>
        <v/>
      </c>
      <c r="BC154" s="120" t="str">
        <f t="shared" si="10"/>
        <v/>
      </c>
      <c r="BD154" s="140"/>
      <c r="BE154" s="122" t="str">
        <f>IF(Preferences!B$3="Manual","", IFERROR(IFS(AND(Preferences!B$3="Automatic",AX154/AW154&gt;=30),"Extremely serious",AND(AY154&lt;=$D$1*-1,BA154&lt;0,AX154/AW154&lt;3),"Not Serious",AND(AY154&lt;=$D$1*-1,BA154&lt;0,AX154/AW154&gt;=3),"Very serious",AND(AY154&gt;=$D$1,AZ154&gt;0,AX154/AW154&lt;3),"Not Serious",AND(AY154&gt;=$D$1,AZ154&gt;0,AX154/AW154&gt;=3),"Very serious",AND(AY154&lt;=$D$1*-1,BA154&gt;0,AZ154&gt;$D$2*-1,AX154/AW154&lt;3),"Serious", AND(AY154&lt;=$D$1*-1,BA154&gt;0,AZ154&lt;$D$2*-1,AX154/AW154&lt;3),"Very serious", AND(AY154&gt;=$D$1,AZ154&lt;0,BA154&lt;$D$2,AX154/AW154&lt;3),"Serious",AND(AY154&gt;=$D$1,AZ154&lt;0,BA154&gt;$D$2,AX154/AW154&lt;3),"Very serious", AND(AY154&lt;=$D$1*-1,BA154&gt;0,AZ154&gt;$D$2*-1,AX154/AW154&gt;=3),"Very serious", AND(AY154&lt;=$D$1*-1,BA154&gt;0,AZ154&lt;$D$2*-1,AX154/AW154&gt;=3),"Very serious", AND(AY154&gt;=$D$1,AZ154&lt;0,BA154&lt;$D$2,AX154/AW154&gt;=3),"Very serious", AND(AY154&gt;=$D$1,AZ154&lt;0,BA154&gt;$D$2,AX154/AW154&gt;=3),"Very serious", AND(AY154&gt;$D$1*-1,AY154&lt;$D$1,AZ154&gt;$D$1*-1,BA154&lt;$D$1,AX154/AW154&lt;3),"Not Serious", AND(AY154&gt;$D$1*-1,AY154&lt;$D$1,OR(AZ154&lt;=$D$1*-1,BA154&gt;=$D$1),AZ154&gt;$D$2*-1,BA154&lt;$D$2,AX154/AW154&lt;3),"Serious", AND(AY154&gt;$D$1*-1,AY154&lt;$D$1,OR(AZ154&lt;=$D$2*-1,BA154&gt;=$D$2),AX154/AW154&lt;3),"Very serious", AND(AY154&gt;$D$1*-1,AY154&lt;$D$1,AZ154&gt;$D$1*-1,BA154&lt;$D$1,AX154/AW154&gt;=3),"Very serious", AND(AY154&gt;$D$1*-1,AY154&lt;$D$1,OR(AZ154&lt;=$D$1*-1,BA154&gt;=$D$1),AZ154&gt;$D$2*-1,BA154&lt;$D$2,AX154/AW154&gt;=3),"Very serious", AND(AY154&gt;$D$1*-1,AY154&lt;$D$1,OR(AZ154&lt;=$D$2*-1,BA154&gt;=$D$2),AX154/AW154&gt;=3),"Very serious"),""))</f>
        <v/>
      </c>
      <c r="BF154" s="107" t="str">
        <f t="shared" si="11"/>
        <v/>
      </c>
      <c r="BG154" s="94" t="str">
        <f t="shared" si="46"/>
        <v/>
      </c>
      <c r="BH154" s="64" t="str">
        <f t="shared" si="12"/>
        <v>#N/A</v>
      </c>
      <c r="BI154" s="64" t="str">
        <f t="shared" si="13"/>
        <v/>
      </c>
      <c r="BJ154" s="123" t="str">
        <f t="shared" si="14"/>
        <v>#N/A</v>
      </c>
      <c r="BK154" s="64" t="str">
        <f t="shared" si="50"/>
        <v>YES</v>
      </c>
      <c r="BL154" s="64" t="str">
        <f t="shared" si="16"/>
        <v>YES</v>
      </c>
      <c r="BM154" s="64" t="str">
        <f t="shared" si="17"/>
        <v>YES</v>
      </c>
      <c r="BN154" s="124" t="str">
        <f t="shared" si="18"/>
        <v/>
      </c>
      <c r="BO154" s="91" t="str">
        <f t="shared" si="19"/>
        <v/>
      </c>
      <c r="BP154" s="91" t="str">
        <f t="shared" si="20"/>
        <v>#N/A</v>
      </c>
      <c r="BQ154" s="91" t="str">
        <f t="shared" si="21"/>
        <v/>
      </c>
      <c r="BR154" s="93" t="str">
        <f t="shared" si="22"/>
        <v/>
      </c>
      <c r="BS154" s="90" t="str">
        <f t="shared" si="23"/>
        <v/>
      </c>
      <c r="BT154" s="93" t="str">
        <f t="shared" si="24"/>
        <v>NA</v>
      </c>
      <c r="BU154" s="125" t="str">
        <f t="shared" si="25"/>
        <v>#N/A</v>
      </c>
      <c r="BV154" s="93" t="str">
        <f t="shared" si="26"/>
        <v/>
      </c>
      <c r="BW154" s="93" t="str">
        <f t="shared" si="27"/>
        <v/>
      </c>
      <c r="BX154" s="93" t="str">
        <f t="shared" si="28"/>
        <v>NA</v>
      </c>
      <c r="BY154" s="95" t="str">
        <f t="shared" si="29"/>
        <v>#N/A</v>
      </c>
      <c r="BZ154" s="93" t="str">
        <f t="shared" si="30"/>
        <v/>
      </c>
      <c r="CA154" s="93" t="str">
        <f t="shared" si="31"/>
        <v/>
      </c>
      <c r="CB154" s="93" t="str">
        <f t="shared" si="32"/>
        <v>NA</v>
      </c>
      <c r="CC154" s="96" t="str">
        <f t="shared" si="33"/>
        <v>#N/A</v>
      </c>
      <c r="CD154" s="93" t="str">
        <f t="shared" si="34"/>
        <v/>
      </c>
      <c r="CE154" s="93" t="str">
        <f t="shared" si="35"/>
        <v/>
      </c>
      <c r="CF154" s="93" t="str">
        <f t="shared" si="36"/>
        <v>NA</v>
      </c>
      <c r="CG154" s="97" t="str">
        <f t="shared" si="37"/>
        <v>#N/A</v>
      </c>
      <c r="CH154" s="98" t="str">
        <f t="shared" si="38"/>
        <v>#N/A</v>
      </c>
      <c r="CI154" s="99" t="str">
        <f t="shared" si="39"/>
        <v>#N/A</v>
      </c>
      <c r="CJ154" s="126" t="str">
        <f t="shared" si="40"/>
        <v>ERROR: check cell</v>
      </c>
      <c r="CK154" s="126"/>
      <c r="CL154" s="127" t="str">
        <f t="shared" si="41"/>
        <v>#DIV/0!</v>
      </c>
      <c r="CM154" s="128" t="str">
        <f t="shared" si="42"/>
        <v>#DIV/0!</v>
      </c>
      <c r="CN154" s="128">
        <f t="shared" si="43"/>
        <v>4</v>
      </c>
      <c r="CO154" s="129">
        <f t="shared" si="44"/>
        <v>4</v>
      </c>
      <c r="CP154" s="129" t="str">
        <f>IFS(C154=Preferences!B$13,B154,B154=Preferences!B$13,C154)</f>
        <v>#N/A</v>
      </c>
    </row>
    <row r="155" ht="13.5" customHeight="1">
      <c r="A155" s="63" t="str">
        <f t="shared" si="45"/>
        <v/>
      </c>
      <c r="B155" s="64"/>
      <c r="C155" s="64"/>
      <c r="D155" s="64"/>
      <c r="E155" s="65"/>
      <c r="F155" s="65"/>
      <c r="G155" s="65"/>
      <c r="H155" s="66"/>
      <c r="I155" s="66"/>
      <c r="J155" s="67"/>
      <c r="K155" s="68"/>
      <c r="L155" s="104"/>
      <c r="M155" s="104"/>
      <c r="N155" s="104"/>
      <c r="O155" s="104"/>
      <c r="P155" s="107" t="str">
        <f t="shared" si="1"/>
        <v/>
      </c>
      <c r="Q155" s="108" t="str">
        <f>IFERROR(IF(AND(Preferences!B$3="Manual",OR(AX155/AW155&gt;G155/F155,BD155="Serious",BD155="Very serious")),"Assess imprecision",IFS(ISBLANK(E155),"",AND(Preferences!B$3="Automatic", G155/F155&gt;=30),"Extremely serious",AND(H155&lt;=$D$1*-1,J155&lt;0,G155/F155&lt;3),"Not serious",AND(H155&lt;=$D$1*-1,J155&lt;0,G155/F155&gt;=3),"Very serious",AND(H155&gt;=$D$1,I155&gt;0,G155/F155&lt;3),"Not serious",AND(H155&gt;=$D$1,I155&gt;0,G155/F155&gt;=3),"Very serious",AND(H155&lt;=$D$1*-1,J155&gt;0,I155&gt;$D$2*-1,G155/F155&lt;3),"Serious", AND(H155&lt;=$D$1*-1,J155&gt;0,I155&lt;$D$2*-1,G155/F155&lt;3),"Very serious", AND(H155&gt;=$D$1,I155&lt;0,J155&lt;$D$2,G155/F155&lt;3),"Serious",AND(H155&gt;=$D$1,I155&lt;0,J155&gt;$D$2,G155/F155&lt;3),"Very serious", AND(H155&lt;=$D$1*-1,J155&gt;0,I155&gt;$D$2*-1,G155/F155&gt;=3),"Very serious", AND(H155&lt;=$D$1*-1,J155&gt;0,I155&lt;$D$2*-1,G155/F155&gt;=3),"Very serious", AND(H155&gt;=$D$1,I155&lt;0,J155&lt;$D$2,G155/F155&gt;=3),"Very serious", AND(H155&gt;=$D$1,I155&lt;0,J155&gt;$D$2,G155/F155&gt;=3),"Very serious", AND(H155&gt;$D$1*-1,H155&lt;$D$1,I155&gt;$D$1*-1,J155&lt;$D$1,G155/F155&lt;3),"Not serious", AND(H155&gt;$D$1*-1,H155&lt;$D$1,OR(I155&lt;=$D$1*-1,J155&gt;=$D$1),I155&gt;$D$2*-1,J155&lt;$D$2,G155/F155&lt;3),"Serious", AND(H155&gt;$D$1*-1,H155&lt;$D$1,OR(I155&lt;=$D$2*-1,J155&gt;=$D$2),G155/F155&lt;3),"Very serious", AND(H155&gt;$D$1*-1,H155&lt;$D$1,I155&gt;$D$1*-1,J155&lt;$D$1,G155/F155&gt;=3),"Very serious", AND(H155&gt;$D$1*-1,H155&lt;$D$1,OR(I155&lt;=$D$1*-1,J155&gt;=$D$1),I155&gt;$D$2*-1,J155&lt;$D$2,G155/F155&gt;=3),"Very serious", AND(H155&gt;$D$1*-1,H155&lt;$D$1,OR(I155&lt;=$D$2*-1,J155&gt;=$D$2),G155/F155&gt;=3),"Very serious")),"")</f>
        <v/>
      </c>
      <c r="R155" s="109" t="str">
        <f t="shared" si="47"/>
        <v/>
      </c>
      <c r="S155" s="64"/>
      <c r="T155" s="72"/>
      <c r="U155" s="72"/>
      <c r="V155" s="72"/>
      <c r="W155" s="73"/>
      <c r="X155" s="73"/>
      <c r="Y155" s="74"/>
      <c r="Z155" s="113" t="str">
        <f t="array" ref="Z155">INDEX($A$1:$C$500, MATCH(1,($B:$B=$B155)*($C:$C=$AB155),0),1)</f>
        <v/>
      </c>
      <c r="AA155" s="113" t="str">
        <f t="array" ref="AA155">INDEX($A$1:$C$500, MATCH(1,($B:$B=$AB155)*($C:$C=$B155),0),1)</f>
        <v/>
      </c>
      <c r="AB155" s="111"/>
      <c r="AC155" s="114" t="str">
        <f t="shared" si="2"/>
        <v/>
      </c>
      <c r="AD155" s="115" t="str">
        <f t="shared" si="3"/>
        <v/>
      </c>
      <c r="AE155" s="116" t="str">
        <f t="array" ref="AE155">INDEX($A$1:$C$500, MATCH(1,($B:$B=$AB155)*($C:$C=$AG155),0),1)</f>
        <v/>
      </c>
      <c r="AF155" s="116" t="str">
        <f t="array" ref="AF155">INDEX($A$1:$C$500, MATCH(1,($B:$B=$AG155)*($C:$C=$AB155),0),1)</f>
        <v/>
      </c>
      <c r="AG155" s="72"/>
      <c r="AH155" s="114" t="str">
        <f t="shared" si="4"/>
        <v/>
      </c>
      <c r="AI155" s="115" t="str">
        <f t="shared" si="5"/>
        <v/>
      </c>
      <c r="AJ155" s="116" t="str">
        <f t="array" ref="AJ155">INDEX($A$1:$C$500, MATCH(1,($B:$B=$C155)*($C:$C=$AG155),0),1)</f>
        <v/>
      </c>
      <c r="AK155" s="116" t="str">
        <f t="array" ref="AK155">INDEX($A$1:$C$500, MATCH(1,($B:$B=$AG155)*($C:$C=$C155),0),1)</f>
        <v/>
      </c>
      <c r="AL155" s="116" t="str">
        <f t="array" ref="AL155">INDEX($A$1:$C$500, MATCH(1,($B:$B=$C155)*($C:$C=$AB155),0),1)</f>
        <v/>
      </c>
      <c r="AM155" s="116" t="str">
        <f t="array" ref="AM155">INDEX($A$1:$C$500, MATCH(1,($B:$B=$AB155)*($C:$C=$C155),0),1)</f>
        <v/>
      </c>
      <c r="AN155" s="114" t="str">
        <f t="array" ref="AN155">IFS(ISNUMBER(AJ155),AJ155,ISNUMBER(AK155),AK155,ISNUMBER(AL155),AL155,ISNUMBER(AM155),AM155)</f>
        <v>#N/A</v>
      </c>
      <c r="AO155" s="115" t="str">
        <f t="shared" si="6"/>
        <v/>
      </c>
      <c r="AP155" s="115" t="str">
        <f t="shared" si="7"/>
        <v/>
      </c>
      <c r="AQ155" s="111"/>
      <c r="AR155" s="109" t="str">
        <f t="shared" si="8"/>
        <v/>
      </c>
      <c r="AS155" s="72" t="str">
        <f>IFERROR(IF(AND(Preferences!B$3="Manual",OR(AX155/AW155&gt;V155/U155,BD155="Serious",BD155="Very serious")),"Assess imprecision",IFERROR(IFS(AND(Preferences!B$3="Automatic",V155/U155&gt;=30),"Extremely serious",AND(W155&lt;=$D$1*-1,Y155&lt;0,V155/U155&lt;3),"Not Serious",AND(W155&lt;=$D$1*-1,Y155&lt;0,V155/U155&gt;=3),"Very serious",AND(W155&gt;=$D$1,X155&gt;0,V155/U155&lt;3),"Not Serious",AND(W155&gt;=$D$1,X155&gt;0,V155/U155&gt;=3),"Very serious",AND(W155&lt;=$D$1*-1,Y155&gt;0,X155&gt;$D$2*-1,V155/U155&lt;3),"Serious", AND(W155&lt;=$D$1*-1,Y155&gt;0,X155&lt;$D$2*-1,V155/U155&lt;3),"Very serious", AND(W155&gt;=$D$1,X155&lt;0,Y155&lt;$D$2,V155/U155&lt;3),"Serious",AND(W155&gt;=$D$1,X155&lt;0,Y155&gt;$D$2,V155/U155&lt;3),"Very serious", AND(W155&lt;=$D$1*-1,Y155&gt;0,X155&gt;$D$2*-1,V155/U155&gt;=3),"Very serious", AND(W155&lt;=$D$1*-1,Y155&gt;0,X155&lt;$D$2*-1,V155/U155&gt;=3),"Very serious", AND(W155&gt;=$D$1,X155&lt;0,Y155&lt;$D$2,V155/U155&gt;=3),"Very serious", AND(W155&gt;=$D$1,X155&lt;0,Y155&gt;$D$2,V155/U155&gt;=3),"Very serious", AND(W155&gt;$D$1*-1,W155&lt;$D$1,X155&gt;$D$1*-1,Y155&lt;$D$1,V155/U155&lt;3),"Not Serious", AND(W155&gt;$D$1*-1,W155&lt;$D$1,OR(X155&lt;=$D$1*-1,Y155&gt;=$D$1),X155&gt;$D$2*-1,Y155&lt;$D$2,V155/U155&lt;3),"Serious", AND(W155&gt;$D$1*-1,W155&lt;$D$1,OR(X155&lt;=$D$2*-1,Y155&gt;=$D$2),V155/U155&lt;3),"Very serious", AND(W155&gt;$D$1*-1,W155&lt;$D$1,X155&gt;$D$1*-1,Y155&lt;$D$1,V155/U155&gt;=3),"Very serious", AND(W155&gt;$D$1*-1,W155&lt;$D$1,OR(X155&lt;=$D$1*-1,Y155&gt;=$D$1),X155&gt;$D$2*-1,Y155&lt;$D$2,V155/U155&gt;=3),"Very serious", AND(W155&gt;$D$1*-1,W155&lt;$D$1,OR(X155&lt;=$D$2*-1,Y155&gt;=$D$2),V155/U155&gt;=3),"Very serious"),"")),"")</f>
        <v/>
      </c>
      <c r="AT155" s="109" t="str">
        <f t="shared" si="9"/>
        <v/>
      </c>
      <c r="AU155" s="64"/>
      <c r="AV155" s="83"/>
      <c r="AW155" s="83"/>
      <c r="AX155" s="83"/>
      <c r="AY155" s="83"/>
      <c r="AZ155" s="83"/>
      <c r="BA155" s="85"/>
      <c r="BB155" s="86" t="str">
        <f>IF(Preferences!B$9="Manual","",IFS(ISBLANK(B155),"",AND(ISNUMBER(E155)=TRUE,ISNUMBER(T155)=FALSE),"Direct", AND(ISNUMBER(E155)=FALSE,ISNUMBER(T155)=TRUE),"Indirect", CN155=4,"Direct",AND(CL155=FALSE, CM155=TRUE,CN155-CO155&gt;-1),"Direct", AND(CL155=FALSE,CM155=TRUE, CN155-CO155&lt;0),"Check algorithm in appendix 2", AND(CL155=TRUE, CM155=FALSE,CN155-CO155&gt;0),"Check algorithm in appendix 2", AND(CL155=TRUE, CM155=FALSE,CN155-CO155=0),"Indirect", AND(CL155=TRUE, CM155=FALSE,CN155-CO155&lt;0),"Indirect", AND(CL155=FALSE,CM155=FALSE,CN155-CO155&gt;-1),"Direct", AND(CL155=FALSE,CM155=FALSE,CN155-CO155&lt;0),"Check algorithm in appendix 2", AND(CL155=TRUE,CM155=TRUE,CN155-CO155&gt;-1),"Direct", AND(CL155=TRUE,CM155=TRUE,CN155-CO155&lt;0),"Check algorithm in appendix 2"))</f>
        <v/>
      </c>
      <c r="BC155" s="120" t="str">
        <f t="shared" si="10"/>
        <v/>
      </c>
      <c r="BD155" s="140"/>
      <c r="BE155" s="122" t="str">
        <f>IF(Preferences!B$3="Manual","", IFERROR(IFS(AND(Preferences!B$3="Automatic",AX155/AW155&gt;=30),"Extremely serious",AND(AY155&lt;=$D$1*-1,BA155&lt;0,AX155/AW155&lt;3),"Not Serious",AND(AY155&lt;=$D$1*-1,BA155&lt;0,AX155/AW155&gt;=3),"Very serious",AND(AY155&gt;=$D$1,AZ155&gt;0,AX155/AW155&lt;3),"Not Serious",AND(AY155&gt;=$D$1,AZ155&gt;0,AX155/AW155&gt;=3),"Very serious",AND(AY155&lt;=$D$1*-1,BA155&gt;0,AZ155&gt;$D$2*-1,AX155/AW155&lt;3),"Serious", AND(AY155&lt;=$D$1*-1,BA155&gt;0,AZ155&lt;$D$2*-1,AX155/AW155&lt;3),"Very serious", AND(AY155&gt;=$D$1,AZ155&lt;0,BA155&lt;$D$2,AX155/AW155&lt;3),"Serious",AND(AY155&gt;=$D$1,AZ155&lt;0,BA155&gt;$D$2,AX155/AW155&lt;3),"Very serious", AND(AY155&lt;=$D$1*-1,BA155&gt;0,AZ155&gt;$D$2*-1,AX155/AW155&gt;=3),"Very serious", AND(AY155&lt;=$D$1*-1,BA155&gt;0,AZ155&lt;$D$2*-1,AX155/AW155&gt;=3),"Very serious", AND(AY155&gt;=$D$1,AZ155&lt;0,BA155&lt;$D$2,AX155/AW155&gt;=3),"Very serious", AND(AY155&gt;=$D$1,AZ155&lt;0,BA155&gt;$D$2,AX155/AW155&gt;=3),"Very serious", AND(AY155&gt;$D$1*-1,AY155&lt;$D$1,AZ155&gt;$D$1*-1,BA155&lt;$D$1,AX155/AW155&lt;3),"Not Serious", AND(AY155&gt;$D$1*-1,AY155&lt;$D$1,OR(AZ155&lt;=$D$1*-1,BA155&gt;=$D$1),AZ155&gt;$D$2*-1,BA155&lt;$D$2,AX155/AW155&lt;3),"Serious", AND(AY155&gt;$D$1*-1,AY155&lt;$D$1,OR(AZ155&lt;=$D$2*-1,BA155&gt;=$D$2),AX155/AW155&lt;3),"Very serious", AND(AY155&gt;$D$1*-1,AY155&lt;$D$1,AZ155&gt;$D$1*-1,BA155&lt;$D$1,AX155/AW155&gt;=3),"Very serious", AND(AY155&gt;$D$1*-1,AY155&lt;$D$1,OR(AZ155&lt;=$D$1*-1,BA155&gt;=$D$1),AZ155&gt;$D$2*-1,BA155&lt;$D$2,AX155/AW155&gt;=3),"Very serious", AND(AY155&gt;$D$1*-1,AY155&lt;$D$1,OR(AZ155&lt;=$D$2*-1,BA155&gt;=$D$2),AX155/AW155&gt;=3),"Very serious"),""))</f>
        <v/>
      </c>
      <c r="BF155" s="107" t="str">
        <f t="shared" si="11"/>
        <v/>
      </c>
      <c r="BG155" s="94" t="str">
        <f t="shared" si="46"/>
        <v/>
      </c>
      <c r="BH155" s="64" t="str">
        <f t="shared" si="12"/>
        <v>#N/A</v>
      </c>
      <c r="BI155" s="64" t="str">
        <f t="shared" si="13"/>
        <v/>
      </c>
      <c r="BJ155" s="123" t="str">
        <f t="shared" si="14"/>
        <v>#N/A</v>
      </c>
      <c r="BK155" s="64" t="str">
        <f t="shared" si="50"/>
        <v>YES</v>
      </c>
      <c r="BL155" s="64" t="str">
        <f t="shared" si="16"/>
        <v>YES</v>
      </c>
      <c r="BM155" s="64" t="str">
        <f t="shared" si="17"/>
        <v>YES</v>
      </c>
      <c r="BN155" s="124" t="str">
        <f t="shared" si="18"/>
        <v/>
      </c>
      <c r="BO155" s="91" t="str">
        <f t="shared" si="19"/>
        <v/>
      </c>
      <c r="BP155" s="91" t="str">
        <f t="shared" si="20"/>
        <v>#N/A</v>
      </c>
      <c r="BQ155" s="91" t="str">
        <f t="shared" si="21"/>
        <v/>
      </c>
      <c r="BR155" s="93" t="str">
        <f t="shared" si="22"/>
        <v/>
      </c>
      <c r="BS155" s="90" t="str">
        <f t="shared" si="23"/>
        <v/>
      </c>
      <c r="BT155" s="93" t="str">
        <f t="shared" si="24"/>
        <v>NA</v>
      </c>
      <c r="BU155" s="125" t="str">
        <f t="shared" si="25"/>
        <v>#N/A</v>
      </c>
      <c r="BV155" s="93" t="str">
        <f t="shared" si="26"/>
        <v/>
      </c>
      <c r="BW155" s="93" t="str">
        <f t="shared" si="27"/>
        <v/>
      </c>
      <c r="BX155" s="93" t="str">
        <f t="shared" si="28"/>
        <v>NA</v>
      </c>
      <c r="BY155" s="95" t="str">
        <f t="shared" si="29"/>
        <v>#N/A</v>
      </c>
      <c r="BZ155" s="93" t="str">
        <f t="shared" si="30"/>
        <v/>
      </c>
      <c r="CA155" s="93" t="str">
        <f t="shared" si="31"/>
        <v/>
      </c>
      <c r="CB155" s="93" t="str">
        <f t="shared" si="32"/>
        <v>NA</v>
      </c>
      <c r="CC155" s="96" t="str">
        <f t="shared" si="33"/>
        <v>#N/A</v>
      </c>
      <c r="CD155" s="93" t="str">
        <f t="shared" si="34"/>
        <v/>
      </c>
      <c r="CE155" s="93" t="str">
        <f t="shared" si="35"/>
        <v/>
      </c>
      <c r="CF155" s="93" t="str">
        <f t="shared" si="36"/>
        <v>NA</v>
      </c>
      <c r="CG155" s="97" t="str">
        <f t="shared" si="37"/>
        <v>#N/A</v>
      </c>
      <c r="CH155" s="98" t="str">
        <f t="shared" si="38"/>
        <v>#N/A</v>
      </c>
      <c r="CI155" s="99" t="str">
        <f t="shared" si="39"/>
        <v>#N/A</v>
      </c>
      <c r="CJ155" s="126" t="str">
        <f t="shared" si="40"/>
        <v>ERROR: check cell</v>
      </c>
      <c r="CK155" s="126"/>
      <c r="CL155" s="127" t="str">
        <f t="shared" si="41"/>
        <v>#DIV/0!</v>
      </c>
      <c r="CM155" s="128" t="str">
        <f t="shared" si="42"/>
        <v>#DIV/0!</v>
      </c>
      <c r="CN155" s="128">
        <f t="shared" si="43"/>
        <v>4</v>
      </c>
      <c r="CO155" s="129">
        <f t="shared" si="44"/>
        <v>4</v>
      </c>
      <c r="CP155" s="129" t="str">
        <f>IFS(C155=Preferences!B$13,B155,B155=Preferences!B$13,C155)</f>
        <v>#N/A</v>
      </c>
    </row>
    <row r="156" ht="13.5" customHeight="1">
      <c r="A156" s="63" t="str">
        <f t="shared" si="45"/>
        <v/>
      </c>
      <c r="B156" s="64"/>
      <c r="C156" s="64"/>
      <c r="D156" s="64"/>
      <c r="E156" s="65"/>
      <c r="F156" s="65"/>
      <c r="G156" s="65"/>
      <c r="H156" s="66"/>
      <c r="I156" s="66"/>
      <c r="J156" s="67"/>
      <c r="K156" s="68"/>
      <c r="L156" s="104"/>
      <c r="M156" s="104"/>
      <c r="N156" s="104"/>
      <c r="O156" s="104"/>
      <c r="P156" s="107" t="str">
        <f t="shared" si="1"/>
        <v/>
      </c>
      <c r="Q156" s="108" t="str">
        <f>IFERROR(IF(AND(Preferences!B$3="Manual",OR(AX156/AW156&gt;G156/F156,BD156="Serious",BD156="Very serious")),"Assess imprecision",IFS(ISBLANK(E156),"",AND(Preferences!B$3="Automatic", G156/F156&gt;=30),"Extremely serious",AND(H156&lt;=$D$1*-1,J156&lt;0,G156/F156&lt;3),"Not serious",AND(H156&lt;=$D$1*-1,J156&lt;0,G156/F156&gt;=3),"Very serious",AND(H156&gt;=$D$1,I156&gt;0,G156/F156&lt;3),"Not serious",AND(H156&gt;=$D$1,I156&gt;0,G156/F156&gt;=3),"Very serious",AND(H156&lt;=$D$1*-1,J156&gt;0,I156&gt;$D$2*-1,G156/F156&lt;3),"Serious", AND(H156&lt;=$D$1*-1,J156&gt;0,I156&lt;$D$2*-1,G156/F156&lt;3),"Very serious", AND(H156&gt;=$D$1,I156&lt;0,J156&lt;$D$2,G156/F156&lt;3),"Serious",AND(H156&gt;=$D$1,I156&lt;0,J156&gt;$D$2,G156/F156&lt;3),"Very serious", AND(H156&lt;=$D$1*-1,J156&gt;0,I156&gt;$D$2*-1,G156/F156&gt;=3),"Very serious", AND(H156&lt;=$D$1*-1,J156&gt;0,I156&lt;$D$2*-1,G156/F156&gt;=3),"Very serious", AND(H156&gt;=$D$1,I156&lt;0,J156&lt;$D$2,G156/F156&gt;=3),"Very serious", AND(H156&gt;=$D$1,I156&lt;0,J156&gt;$D$2,G156/F156&gt;=3),"Very serious", AND(H156&gt;$D$1*-1,H156&lt;$D$1,I156&gt;$D$1*-1,J156&lt;$D$1,G156/F156&lt;3),"Not serious", AND(H156&gt;$D$1*-1,H156&lt;$D$1,OR(I156&lt;=$D$1*-1,J156&gt;=$D$1),I156&gt;$D$2*-1,J156&lt;$D$2,G156/F156&lt;3),"Serious", AND(H156&gt;$D$1*-1,H156&lt;$D$1,OR(I156&lt;=$D$2*-1,J156&gt;=$D$2),G156/F156&lt;3),"Very serious", AND(H156&gt;$D$1*-1,H156&lt;$D$1,I156&gt;$D$1*-1,J156&lt;$D$1,G156/F156&gt;=3),"Very serious", AND(H156&gt;$D$1*-1,H156&lt;$D$1,OR(I156&lt;=$D$1*-1,J156&gt;=$D$1),I156&gt;$D$2*-1,J156&lt;$D$2,G156/F156&gt;=3),"Very serious", AND(H156&gt;$D$1*-1,H156&lt;$D$1,OR(I156&lt;=$D$2*-1,J156&gt;=$D$2),G156/F156&gt;=3),"Very serious")),"")</f>
        <v/>
      </c>
      <c r="R156" s="109" t="str">
        <f t="shared" si="47"/>
        <v/>
      </c>
      <c r="S156" s="64"/>
      <c r="T156" s="72"/>
      <c r="U156" s="72"/>
      <c r="V156" s="72"/>
      <c r="W156" s="73"/>
      <c r="X156" s="73"/>
      <c r="Y156" s="74"/>
      <c r="Z156" s="113" t="str">
        <f t="array" ref="Z156">INDEX($A$1:$C$500, MATCH(1,($B:$B=$B156)*($C:$C=$AB156),0),1)</f>
        <v/>
      </c>
      <c r="AA156" s="113" t="str">
        <f t="array" ref="AA156">INDEX($A$1:$C$500, MATCH(1,($B:$B=$AB156)*($C:$C=$B156),0),1)</f>
        <v/>
      </c>
      <c r="AB156" s="111"/>
      <c r="AC156" s="114" t="str">
        <f t="shared" si="2"/>
        <v/>
      </c>
      <c r="AD156" s="115" t="str">
        <f t="shared" si="3"/>
        <v/>
      </c>
      <c r="AE156" s="116" t="str">
        <f t="array" ref="AE156">INDEX($A$1:$C$500, MATCH(1,($B:$B=$AB156)*($C:$C=$AG156),0),1)</f>
        <v/>
      </c>
      <c r="AF156" s="116" t="str">
        <f t="array" ref="AF156">INDEX($A$1:$C$500, MATCH(1,($B:$B=$AG156)*($C:$C=$AB156),0),1)</f>
        <v/>
      </c>
      <c r="AG156" s="72"/>
      <c r="AH156" s="114" t="str">
        <f t="shared" si="4"/>
        <v/>
      </c>
      <c r="AI156" s="115" t="str">
        <f t="shared" si="5"/>
        <v/>
      </c>
      <c r="AJ156" s="116" t="str">
        <f t="array" ref="AJ156">INDEX($A$1:$C$500, MATCH(1,($B:$B=$C156)*($C:$C=$AG156),0),1)</f>
        <v/>
      </c>
      <c r="AK156" s="116" t="str">
        <f t="array" ref="AK156">INDEX($A$1:$C$500, MATCH(1,($B:$B=$AG156)*($C:$C=$C156),0),1)</f>
        <v/>
      </c>
      <c r="AL156" s="116" t="str">
        <f t="array" ref="AL156">INDEX($A$1:$C$500, MATCH(1,($B:$B=$C156)*($C:$C=$AB156),0),1)</f>
        <v/>
      </c>
      <c r="AM156" s="116" t="str">
        <f t="array" ref="AM156">INDEX($A$1:$C$500, MATCH(1,($B:$B=$AB156)*($C:$C=$C156),0),1)</f>
        <v/>
      </c>
      <c r="AN156" s="114" t="str">
        <f t="array" ref="AN156">IFS(ISNUMBER(AJ156),AJ156,ISNUMBER(AK156),AK156,ISNUMBER(AL156),AL156,ISNUMBER(AM156),AM156)</f>
        <v>#N/A</v>
      </c>
      <c r="AO156" s="115" t="str">
        <f t="shared" si="6"/>
        <v/>
      </c>
      <c r="AP156" s="115" t="str">
        <f t="shared" si="7"/>
        <v/>
      </c>
      <c r="AQ156" s="111"/>
      <c r="AR156" s="109" t="str">
        <f t="shared" si="8"/>
        <v/>
      </c>
      <c r="AS156" s="72" t="str">
        <f>IFERROR(IF(AND(Preferences!B$3="Manual",OR(AX156/AW156&gt;V156/U156,BD156="Serious",BD156="Very serious")),"Assess imprecision",IFERROR(IFS(AND(Preferences!B$3="Automatic",V156/U156&gt;=30),"Extremely serious",AND(W156&lt;=$D$1*-1,Y156&lt;0,V156/U156&lt;3),"Not Serious",AND(W156&lt;=$D$1*-1,Y156&lt;0,V156/U156&gt;=3),"Very serious",AND(W156&gt;=$D$1,X156&gt;0,V156/U156&lt;3),"Not Serious",AND(W156&gt;=$D$1,X156&gt;0,V156/U156&gt;=3),"Very serious",AND(W156&lt;=$D$1*-1,Y156&gt;0,X156&gt;$D$2*-1,V156/U156&lt;3),"Serious", AND(W156&lt;=$D$1*-1,Y156&gt;0,X156&lt;$D$2*-1,V156/U156&lt;3),"Very serious", AND(W156&gt;=$D$1,X156&lt;0,Y156&lt;$D$2,V156/U156&lt;3),"Serious",AND(W156&gt;=$D$1,X156&lt;0,Y156&gt;$D$2,V156/U156&lt;3),"Very serious", AND(W156&lt;=$D$1*-1,Y156&gt;0,X156&gt;$D$2*-1,V156/U156&gt;=3),"Very serious", AND(W156&lt;=$D$1*-1,Y156&gt;0,X156&lt;$D$2*-1,V156/U156&gt;=3),"Very serious", AND(W156&gt;=$D$1,X156&lt;0,Y156&lt;$D$2,V156/U156&gt;=3),"Very serious", AND(W156&gt;=$D$1,X156&lt;0,Y156&gt;$D$2,V156/U156&gt;=3),"Very serious", AND(W156&gt;$D$1*-1,W156&lt;$D$1,X156&gt;$D$1*-1,Y156&lt;$D$1,V156/U156&lt;3),"Not Serious", AND(W156&gt;$D$1*-1,W156&lt;$D$1,OR(X156&lt;=$D$1*-1,Y156&gt;=$D$1),X156&gt;$D$2*-1,Y156&lt;$D$2,V156/U156&lt;3),"Serious", AND(W156&gt;$D$1*-1,W156&lt;$D$1,OR(X156&lt;=$D$2*-1,Y156&gt;=$D$2),V156/U156&lt;3),"Very serious", AND(W156&gt;$D$1*-1,W156&lt;$D$1,X156&gt;$D$1*-1,Y156&lt;$D$1,V156/U156&gt;=3),"Very serious", AND(W156&gt;$D$1*-1,W156&lt;$D$1,OR(X156&lt;=$D$1*-1,Y156&gt;=$D$1),X156&gt;$D$2*-1,Y156&lt;$D$2,V156/U156&gt;=3),"Very serious", AND(W156&gt;$D$1*-1,W156&lt;$D$1,OR(X156&lt;=$D$2*-1,Y156&gt;=$D$2),V156/U156&gt;=3),"Very serious"),"")),"")</f>
        <v/>
      </c>
      <c r="AT156" s="109" t="str">
        <f t="shared" si="9"/>
        <v/>
      </c>
      <c r="AU156" s="64"/>
      <c r="AV156" s="83"/>
      <c r="AW156" s="83"/>
      <c r="AX156" s="83"/>
      <c r="AY156" s="83"/>
      <c r="AZ156" s="83"/>
      <c r="BA156" s="85"/>
      <c r="BB156" s="86" t="str">
        <f>IF(Preferences!B$9="Manual","",IFS(ISBLANK(B156),"",AND(ISNUMBER(E156)=TRUE,ISNUMBER(T156)=FALSE),"Direct", AND(ISNUMBER(E156)=FALSE,ISNUMBER(T156)=TRUE),"Indirect", CN156=4,"Direct",AND(CL156=FALSE, CM156=TRUE,CN156-CO156&gt;-1),"Direct", AND(CL156=FALSE,CM156=TRUE, CN156-CO156&lt;0),"Check algorithm in appendix 2", AND(CL156=TRUE, CM156=FALSE,CN156-CO156&gt;0),"Check algorithm in appendix 2", AND(CL156=TRUE, CM156=FALSE,CN156-CO156=0),"Indirect", AND(CL156=TRUE, CM156=FALSE,CN156-CO156&lt;0),"Indirect", AND(CL156=FALSE,CM156=FALSE,CN156-CO156&gt;-1),"Direct", AND(CL156=FALSE,CM156=FALSE,CN156-CO156&lt;0),"Check algorithm in appendix 2", AND(CL156=TRUE,CM156=TRUE,CN156-CO156&gt;-1),"Direct", AND(CL156=TRUE,CM156=TRUE,CN156-CO156&lt;0),"Check algorithm in appendix 2"))</f>
        <v/>
      </c>
      <c r="BC156" s="120" t="str">
        <f t="shared" si="10"/>
        <v/>
      </c>
      <c r="BD156" s="140"/>
      <c r="BE156" s="122" t="str">
        <f>IF(Preferences!B$3="Manual","", IFERROR(IFS(AND(Preferences!B$3="Automatic",AX156/AW156&gt;=30),"Extremely serious",AND(AY156&lt;=$D$1*-1,BA156&lt;0,AX156/AW156&lt;3),"Not Serious",AND(AY156&lt;=$D$1*-1,BA156&lt;0,AX156/AW156&gt;=3),"Very serious",AND(AY156&gt;=$D$1,AZ156&gt;0,AX156/AW156&lt;3),"Not Serious",AND(AY156&gt;=$D$1,AZ156&gt;0,AX156/AW156&gt;=3),"Very serious",AND(AY156&lt;=$D$1*-1,BA156&gt;0,AZ156&gt;$D$2*-1,AX156/AW156&lt;3),"Serious", AND(AY156&lt;=$D$1*-1,BA156&gt;0,AZ156&lt;$D$2*-1,AX156/AW156&lt;3),"Very serious", AND(AY156&gt;=$D$1,AZ156&lt;0,BA156&lt;$D$2,AX156/AW156&lt;3),"Serious",AND(AY156&gt;=$D$1,AZ156&lt;0,BA156&gt;$D$2,AX156/AW156&lt;3),"Very serious", AND(AY156&lt;=$D$1*-1,BA156&gt;0,AZ156&gt;$D$2*-1,AX156/AW156&gt;=3),"Very serious", AND(AY156&lt;=$D$1*-1,BA156&gt;0,AZ156&lt;$D$2*-1,AX156/AW156&gt;=3),"Very serious", AND(AY156&gt;=$D$1,AZ156&lt;0,BA156&lt;$D$2,AX156/AW156&gt;=3),"Very serious", AND(AY156&gt;=$D$1,AZ156&lt;0,BA156&gt;$D$2,AX156/AW156&gt;=3),"Very serious", AND(AY156&gt;$D$1*-1,AY156&lt;$D$1,AZ156&gt;$D$1*-1,BA156&lt;$D$1,AX156/AW156&lt;3),"Not Serious", AND(AY156&gt;$D$1*-1,AY156&lt;$D$1,OR(AZ156&lt;=$D$1*-1,BA156&gt;=$D$1),AZ156&gt;$D$2*-1,BA156&lt;$D$2,AX156/AW156&lt;3),"Serious", AND(AY156&gt;$D$1*-1,AY156&lt;$D$1,OR(AZ156&lt;=$D$2*-1,BA156&gt;=$D$2),AX156/AW156&lt;3),"Very serious", AND(AY156&gt;$D$1*-1,AY156&lt;$D$1,AZ156&gt;$D$1*-1,BA156&lt;$D$1,AX156/AW156&gt;=3),"Very serious", AND(AY156&gt;$D$1*-1,AY156&lt;$D$1,OR(AZ156&lt;=$D$1*-1,BA156&gt;=$D$1),AZ156&gt;$D$2*-1,BA156&lt;$D$2,AX156/AW156&gt;=3),"Very serious", AND(AY156&gt;$D$1*-1,AY156&lt;$D$1,OR(AZ156&lt;=$D$2*-1,BA156&gt;=$D$2),AX156/AW156&gt;=3),"Very serious"),""))</f>
        <v/>
      </c>
      <c r="BF156" s="107" t="str">
        <f t="shared" si="11"/>
        <v/>
      </c>
      <c r="BG156" s="94" t="str">
        <f t="shared" si="46"/>
        <v/>
      </c>
      <c r="BH156" s="64" t="str">
        <f t="shared" si="12"/>
        <v>#N/A</v>
      </c>
      <c r="BI156" s="64" t="str">
        <f t="shared" si="13"/>
        <v/>
      </c>
      <c r="BJ156" s="123" t="str">
        <f t="shared" si="14"/>
        <v>#N/A</v>
      </c>
      <c r="BK156" s="64" t="str">
        <f t="shared" si="50"/>
        <v>YES</v>
      </c>
      <c r="BL156" s="64" t="str">
        <f t="shared" si="16"/>
        <v>YES</v>
      </c>
      <c r="BM156" s="64" t="str">
        <f t="shared" si="17"/>
        <v>YES</v>
      </c>
      <c r="BN156" s="124" t="str">
        <f t="shared" si="18"/>
        <v/>
      </c>
      <c r="BO156" s="91" t="str">
        <f t="shared" si="19"/>
        <v/>
      </c>
      <c r="BP156" s="91" t="str">
        <f t="shared" si="20"/>
        <v>#N/A</v>
      </c>
      <c r="BQ156" s="91" t="str">
        <f t="shared" si="21"/>
        <v/>
      </c>
      <c r="BR156" s="93" t="str">
        <f t="shared" si="22"/>
        <v/>
      </c>
      <c r="BS156" s="90" t="str">
        <f t="shared" si="23"/>
        <v/>
      </c>
      <c r="BT156" s="93" t="str">
        <f t="shared" si="24"/>
        <v>NA</v>
      </c>
      <c r="BU156" s="125" t="str">
        <f t="shared" si="25"/>
        <v>#N/A</v>
      </c>
      <c r="BV156" s="93" t="str">
        <f t="shared" si="26"/>
        <v/>
      </c>
      <c r="BW156" s="93" t="str">
        <f t="shared" si="27"/>
        <v/>
      </c>
      <c r="BX156" s="93" t="str">
        <f t="shared" si="28"/>
        <v>NA</v>
      </c>
      <c r="BY156" s="95" t="str">
        <f t="shared" si="29"/>
        <v>#N/A</v>
      </c>
      <c r="BZ156" s="93" t="str">
        <f t="shared" si="30"/>
        <v/>
      </c>
      <c r="CA156" s="93" t="str">
        <f t="shared" si="31"/>
        <v/>
      </c>
      <c r="CB156" s="93" t="str">
        <f t="shared" si="32"/>
        <v>NA</v>
      </c>
      <c r="CC156" s="96" t="str">
        <f t="shared" si="33"/>
        <v>#N/A</v>
      </c>
      <c r="CD156" s="93" t="str">
        <f t="shared" si="34"/>
        <v/>
      </c>
      <c r="CE156" s="93" t="str">
        <f t="shared" si="35"/>
        <v/>
      </c>
      <c r="CF156" s="93" t="str">
        <f t="shared" si="36"/>
        <v>NA</v>
      </c>
      <c r="CG156" s="97" t="str">
        <f t="shared" si="37"/>
        <v>#N/A</v>
      </c>
      <c r="CH156" s="98" t="str">
        <f t="shared" si="38"/>
        <v>#N/A</v>
      </c>
      <c r="CI156" s="99" t="str">
        <f t="shared" si="39"/>
        <v>#N/A</v>
      </c>
      <c r="CJ156" s="126" t="str">
        <f t="shared" si="40"/>
        <v>ERROR: check cell</v>
      </c>
      <c r="CK156" s="126"/>
      <c r="CL156" s="127" t="str">
        <f t="shared" si="41"/>
        <v>#DIV/0!</v>
      </c>
      <c r="CM156" s="128" t="str">
        <f t="shared" si="42"/>
        <v>#DIV/0!</v>
      </c>
      <c r="CN156" s="128">
        <f t="shared" si="43"/>
        <v>4</v>
      </c>
      <c r="CO156" s="129">
        <f t="shared" si="44"/>
        <v>4</v>
      </c>
      <c r="CP156" s="129" t="str">
        <f>IFS(C156=Preferences!B$13,B156,B156=Preferences!B$13,C156)</f>
        <v>#N/A</v>
      </c>
    </row>
    <row r="157" ht="13.5" customHeight="1">
      <c r="A157" s="63" t="str">
        <f t="shared" si="45"/>
        <v/>
      </c>
      <c r="B157" s="64"/>
      <c r="C157" s="64"/>
      <c r="D157" s="64"/>
      <c r="E157" s="65"/>
      <c r="F157" s="65"/>
      <c r="G157" s="65"/>
      <c r="H157" s="66"/>
      <c r="I157" s="66"/>
      <c r="J157" s="67"/>
      <c r="K157" s="68"/>
      <c r="L157" s="104"/>
      <c r="M157" s="104"/>
      <c r="N157" s="104"/>
      <c r="O157" s="104"/>
      <c r="P157" s="107" t="str">
        <f t="shared" si="1"/>
        <v/>
      </c>
      <c r="Q157" s="108" t="str">
        <f>IFERROR(IF(AND(Preferences!B$3="Manual",OR(AX157/AW157&gt;G157/F157,BD157="Serious",BD157="Very serious")),"Assess imprecision",IFS(ISBLANK(E157),"",AND(Preferences!B$3="Automatic", G157/F157&gt;=30),"Extremely serious",AND(H157&lt;=$D$1*-1,J157&lt;0,G157/F157&lt;3),"Not serious",AND(H157&lt;=$D$1*-1,J157&lt;0,G157/F157&gt;=3),"Very serious",AND(H157&gt;=$D$1,I157&gt;0,G157/F157&lt;3),"Not serious",AND(H157&gt;=$D$1,I157&gt;0,G157/F157&gt;=3),"Very serious",AND(H157&lt;=$D$1*-1,J157&gt;0,I157&gt;$D$2*-1,G157/F157&lt;3),"Serious", AND(H157&lt;=$D$1*-1,J157&gt;0,I157&lt;$D$2*-1,G157/F157&lt;3),"Very serious", AND(H157&gt;=$D$1,I157&lt;0,J157&lt;$D$2,G157/F157&lt;3),"Serious",AND(H157&gt;=$D$1,I157&lt;0,J157&gt;$D$2,G157/F157&lt;3),"Very serious", AND(H157&lt;=$D$1*-1,J157&gt;0,I157&gt;$D$2*-1,G157/F157&gt;=3),"Very serious", AND(H157&lt;=$D$1*-1,J157&gt;0,I157&lt;$D$2*-1,G157/F157&gt;=3),"Very serious", AND(H157&gt;=$D$1,I157&lt;0,J157&lt;$D$2,G157/F157&gt;=3),"Very serious", AND(H157&gt;=$D$1,I157&lt;0,J157&gt;$D$2,G157/F157&gt;=3),"Very serious", AND(H157&gt;$D$1*-1,H157&lt;$D$1,I157&gt;$D$1*-1,J157&lt;$D$1,G157/F157&lt;3),"Not serious", AND(H157&gt;$D$1*-1,H157&lt;$D$1,OR(I157&lt;=$D$1*-1,J157&gt;=$D$1),I157&gt;$D$2*-1,J157&lt;$D$2,G157/F157&lt;3),"Serious", AND(H157&gt;$D$1*-1,H157&lt;$D$1,OR(I157&lt;=$D$2*-1,J157&gt;=$D$2),G157/F157&lt;3),"Very serious", AND(H157&gt;$D$1*-1,H157&lt;$D$1,I157&gt;$D$1*-1,J157&lt;$D$1,G157/F157&gt;=3),"Very serious", AND(H157&gt;$D$1*-1,H157&lt;$D$1,OR(I157&lt;=$D$1*-1,J157&gt;=$D$1),I157&gt;$D$2*-1,J157&lt;$D$2,G157/F157&gt;=3),"Very serious", AND(H157&gt;$D$1*-1,H157&lt;$D$1,OR(I157&lt;=$D$2*-1,J157&gt;=$D$2),G157/F157&gt;=3),"Very serious")),"")</f>
        <v/>
      </c>
      <c r="R157" s="109" t="str">
        <f t="shared" si="47"/>
        <v/>
      </c>
      <c r="S157" s="64"/>
      <c r="T157" s="72"/>
      <c r="U157" s="72"/>
      <c r="V157" s="72"/>
      <c r="W157" s="73"/>
      <c r="X157" s="73"/>
      <c r="Y157" s="74"/>
      <c r="Z157" s="113" t="str">
        <f t="array" ref="Z157">INDEX($A$1:$C$500, MATCH(1,($B:$B=$B157)*($C:$C=$AB157),0),1)</f>
        <v/>
      </c>
      <c r="AA157" s="113" t="str">
        <f t="array" ref="AA157">INDEX($A$1:$C$500, MATCH(1,($B:$B=$AB157)*($C:$C=$B157),0),1)</f>
        <v/>
      </c>
      <c r="AB157" s="111"/>
      <c r="AC157" s="114" t="str">
        <f t="shared" si="2"/>
        <v/>
      </c>
      <c r="AD157" s="115" t="str">
        <f t="shared" si="3"/>
        <v/>
      </c>
      <c r="AE157" s="116" t="str">
        <f t="array" ref="AE157">INDEX($A$1:$C$500, MATCH(1,($B:$B=$AB157)*($C:$C=$AG157),0),1)</f>
        <v/>
      </c>
      <c r="AF157" s="116" t="str">
        <f t="array" ref="AF157">INDEX($A$1:$C$500, MATCH(1,($B:$B=$AG157)*($C:$C=$AB157),0),1)</f>
        <v/>
      </c>
      <c r="AG157" s="72"/>
      <c r="AH157" s="114" t="str">
        <f t="shared" si="4"/>
        <v/>
      </c>
      <c r="AI157" s="115" t="str">
        <f t="shared" si="5"/>
        <v/>
      </c>
      <c r="AJ157" s="116" t="str">
        <f t="array" ref="AJ157">INDEX($A$1:$C$500, MATCH(1,($B:$B=$C157)*($C:$C=$AG157),0),1)</f>
        <v/>
      </c>
      <c r="AK157" s="116" t="str">
        <f t="array" ref="AK157">INDEX($A$1:$C$500, MATCH(1,($B:$B=$AG157)*($C:$C=$C157),0),1)</f>
        <v/>
      </c>
      <c r="AL157" s="116" t="str">
        <f t="array" ref="AL157">INDEX($A$1:$C$500, MATCH(1,($B:$B=$C157)*($C:$C=$AB157),0),1)</f>
        <v/>
      </c>
      <c r="AM157" s="116" t="str">
        <f t="array" ref="AM157">INDEX($A$1:$C$500, MATCH(1,($B:$B=$AB157)*($C:$C=$C157),0),1)</f>
        <v/>
      </c>
      <c r="AN157" s="114" t="str">
        <f t="array" ref="AN157">IFS(ISNUMBER(AJ157),AJ157,ISNUMBER(AK157),AK157,ISNUMBER(AL157),AL157,ISNUMBER(AM157),AM157)</f>
        <v>#N/A</v>
      </c>
      <c r="AO157" s="115" t="str">
        <f t="shared" si="6"/>
        <v/>
      </c>
      <c r="AP157" s="115" t="str">
        <f t="shared" si="7"/>
        <v/>
      </c>
      <c r="AQ157" s="111"/>
      <c r="AR157" s="109" t="str">
        <f t="shared" si="8"/>
        <v/>
      </c>
      <c r="AS157" s="72" t="str">
        <f>IFERROR(IF(AND(Preferences!B$3="Manual",OR(AX157/AW157&gt;V157/U157,BD157="Serious",BD157="Very serious")),"Assess imprecision",IFERROR(IFS(AND(Preferences!B$3="Automatic",V157/U157&gt;=30),"Extremely serious",AND(W157&lt;=$D$1*-1,Y157&lt;0,V157/U157&lt;3),"Not Serious",AND(W157&lt;=$D$1*-1,Y157&lt;0,V157/U157&gt;=3),"Very serious",AND(W157&gt;=$D$1,X157&gt;0,V157/U157&lt;3),"Not Serious",AND(W157&gt;=$D$1,X157&gt;0,V157/U157&gt;=3),"Very serious",AND(W157&lt;=$D$1*-1,Y157&gt;0,X157&gt;$D$2*-1,V157/U157&lt;3),"Serious", AND(W157&lt;=$D$1*-1,Y157&gt;0,X157&lt;$D$2*-1,V157/U157&lt;3),"Very serious", AND(W157&gt;=$D$1,X157&lt;0,Y157&lt;$D$2,V157/U157&lt;3),"Serious",AND(W157&gt;=$D$1,X157&lt;0,Y157&gt;$D$2,V157/U157&lt;3),"Very serious", AND(W157&lt;=$D$1*-1,Y157&gt;0,X157&gt;$D$2*-1,V157/U157&gt;=3),"Very serious", AND(W157&lt;=$D$1*-1,Y157&gt;0,X157&lt;$D$2*-1,V157/U157&gt;=3),"Very serious", AND(W157&gt;=$D$1,X157&lt;0,Y157&lt;$D$2,V157/U157&gt;=3),"Very serious", AND(W157&gt;=$D$1,X157&lt;0,Y157&gt;$D$2,V157/U157&gt;=3),"Very serious", AND(W157&gt;$D$1*-1,W157&lt;$D$1,X157&gt;$D$1*-1,Y157&lt;$D$1,V157/U157&lt;3),"Not Serious", AND(W157&gt;$D$1*-1,W157&lt;$D$1,OR(X157&lt;=$D$1*-1,Y157&gt;=$D$1),X157&gt;$D$2*-1,Y157&lt;$D$2,V157/U157&lt;3),"Serious", AND(W157&gt;$D$1*-1,W157&lt;$D$1,OR(X157&lt;=$D$2*-1,Y157&gt;=$D$2),V157/U157&lt;3),"Very serious", AND(W157&gt;$D$1*-1,W157&lt;$D$1,X157&gt;$D$1*-1,Y157&lt;$D$1,V157/U157&gt;=3),"Very serious", AND(W157&gt;$D$1*-1,W157&lt;$D$1,OR(X157&lt;=$D$1*-1,Y157&gt;=$D$1),X157&gt;$D$2*-1,Y157&lt;$D$2,V157/U157&gt;=3),"Very serious", AND(W157&gt;$D$1*-1,W157&lt;$D$1,OR(X157&lt;=$D$2*-1,Y157&gt;=$D$2),V157/U157&gt;=3),"Very serious"),"")),"")</f>
        <v/>
      </c>
      <c r="AT157" s="109" t="str">
        <f t="shared" si="9"/>
        <v/>
      </c>
      <c r="AU157" s="64"/>
      <c r="AV157" s="83"/>
      <c r="AW157" s="83"/>
      <c r="AX157" s="83"/>
      <c r="AY157" s="83"/>
      <c r="AZ157" s="83"/>
      <c r="BA157" s="85"/>
      <c r="BB157" s="86" t="str">
        <f>IF(Preferences!B$9="Manual","",IFS(ISBLANK(B157),"",AND(ISNUMBER(E157)=TRUE,ISNUMBER(T157)=FALSE),"Direct", AND(ISNUMBER(E157)=FALSE,ISNUMBER(T157)=TRUE),"Indirect", CN157=4,"Direct",AND(CL157=FALSE, CM157=TRUE,CN157-CO157&gt;-1),"Direct", AND(CL157=FALSE,CM157=TRUE, CN157-CO157&lt;0),"Check algorithm in appendix 2", AND(CL157=TRUE, CM157=FALSE,CN157-CO157&gt;0),"Check algorithm in appendix 2", AND(CL157=TRUE, CM157=FALSE,CN157-CO157=0),"Indirect", AND(CL157=TRUE, CM157=FALSE,CN157-CO157&lt;0),"Indirect", AND(CL157=FALSE,CM157=FALSE,CN157-CO157&gt;-1),"Direct", AND(CL157=FALSE,CM157=FALSE,CN157-CO157&lt;0),"Check algorithm in appendix 2", AND(CL157=TRUE,CM157=TRUE,CN157-CO157&gt;-1),"Direct", AND(CL157=TRUE,CM157=TRUE,CN157-CO157&lt;0),"Check algorithm in appendix 2"))</f>
        <v/>
      </c>
      <c r="BC157" s="120" t="str">
        <f t="shared" si="10"/>
        <v/>
      </c>
      <c r="BD157" s="140"/>
      <c r="BE157" s="122" t="str">
        <f>IF(Preferences!B$3="Manual","", IFERROR(IFS(AND(Preferences!B$3="Automatic",AX157/AW157&gt;=30),"Extremely serious",AND(AY157&lt;=$D$1*-1,BA157&lt;0,AX157/AW157&lt;3),"Not Serious",AND(AY157&lt;=$D$1*-1,BA157&lt;0,AX157/AW157&gt;=3),"Very serious",AND(AY157&gt;=$D$1,AZ157&gt;0,AX157/AW157&lt;3),"Not Serious",AND(AY157&gt;=$D$1,AZ157&gt;0,AX157/AW157&gt;=3),"Very serious",AND(AY157&lt;=$D$1*-1,BA157&gt;0,AZ157&gt;$D$2*-1,AX157/AW157&lt;3),"Serious", AND(AY157&lt;=$D$1*-1,BA157&gt;0,AZ157&lt;$D$2*-1,AX157/AW157&lt;3),"Very serious", AND(AY157&gt;=$D$1,AZ157&lt;0,BA157&lt;$D$2,AX157/AW157&lt;3),"Serious",AND(AY157&gt;=$D$1,AZ157&lt;0,BA157&gt;$D$2,AX157/AW157&lt;3),"Very serious", AND(AY157&lt;=$D$1*-1,BA157&gt;0,AZ157&gt;$D$2*-1,AX157/AW157&gt;=3),"Very serious", AND(AY157&lt;=$D$1*-1,BA157&gt;0,AZ157&lt;$D$2*-1,AX157/AW157&gt;=3),"Very serious", AND(AY157&gt;=$D$1,AZ157&lt;0,BA157&lt;$D$2,AX157/AW157&gt;=3),"Very serious", AND(AY157&gt;=$D$1,AZ157&lt;0,BA157&gt;$D$2,AX157/AW157&gt;=3),"Very serious", AND(AY157&gt;$D$1*-1,AY157&lt;$D$1,AZ157&gt;$D$1*-1,BA157&lt;$D$1,AX157/AW157&lt;3),"Not Serious", AND(AY157&gt;$D$1*-1,AY157&lt;$D$1,OR(AZ157&lt;=$D$1*-1,BA157&gt;=$D$1),AZ157&gt;$D$2*-1,BA157&lt;$D$2,AX157/AW157&lt;3),"Serious", AND(AY157&gt;$D$1*-1,AY157&lt;$D$1,OR(AZ157&lt;=$D$2*-1,BA157&gt;=$D$2),AX157/AW157&lt;3),"Very serious", AND(AY157&gt;$D$1*-1,AY157&lt;$D$1,AZ157&gt;$D$1*-1,BA157&lt;$D$1,AX157/AW157&gt;=3),"Very serious", AND(AY157&gt;$D$1*-1,AY157&lt;$D$1,OR(AZ157&lt;=$D$1*-1,BA157&gt;=$D$1),AZ157&gt;$D$2*-1,BA157&lt;$D$2,AX157/AW157&gt;=3),"Very serious", AND(AY157&gt;$D$1*-1,AY157&lt;$D$1,OR(AZ157&lt;=$D$2*-1,BA157&gt;=$D$2),AX157/AW157&gt;=3),"Very serious"),""))</f>
        <v/>
      </c>
      <c r="BF157" s="107" t="str">
        <f t="shared" si="11"/>
        <v/>
      </c>
      <c r="BG157" s="94" t="str">
        <f t="shared" si="46"/>
        <v/>
      </c>
      <c r="BH157" s="64" t="str">
        <f t="shared" si="12"/>
        <v>#N/A</v>
      </c>
      <c r="BI157" s="64" t="str">
        <f t="shared" si="13"/>
        <v/>
      </c>
      <c r="BJ157" s="123" t="str">
        <f t="shared" si="14"/>
        <v>#N/A</v>
      </c>
      <c r="BK157" s="64" t="str">
        <f t="shared" si="50"/>
        <v>YES</v>
      </c>
      <c r="BL157" s="64" t="str">
        <f t="shared" si="16"/>
        <v>YES</v>
      </c>
      <c r="BM157" s="64" t="str">
        <f t="shared" si="17"/>
        <v>YES</v>
      </c>
      <c r="BN157" s="124" t="str">
        <f t="shared" si="18"/>
        <v/>
      </c>
      <c r="BO157" s="91" t="str">
        <f t="shared" si="19"/>
        <v/>
      </c>
      <c r="BP157" s="91" t="str">
        <f t="shared" si="20"/>
        <v>#N/A</v>
      </c>
      <c r="BQ157" s="91" t="str">
        <f t="shared" si="21"/>
        <v/>
      </c>
      <c r="BR157" s="93" t="str">
        <f t="shared" si="22"/>
        <v/>
      </c>
      <c r="BS157" s="90" t="str">
        <f t="shared" si="23"/>
        <v/>
      </c>
      <c r="BT157" s="93" t="str">
        <f t="shared" si="24"/>
        <v>NA</v>
      </c>
      <c r="BU157" s="125" t="str">
        <f t="shared" si="25"/>
        <v>#N/A</v>
      </c>
      <c r="BV157" s="93" t="str">
        <f t="shared" si="26"/>
        <v/>
      </c>
      <c r="BW157" s="93" t="str">
        <f t="shared" si="27"/>
        <v/>
      </c>
      <c r="BX157" s="93" t="str">
        <f t="shared" si="28"/>
        <v>NA</v>
      </c>
      <c r="BY157" s="95" t="str">
        <f t="shared" si="29"/>
        <v>#N/A</v>
      </c>
      <c r="BZ157" s="93" t="str">
        <f t="shared" si="30"/>
        <v/>
      </c>
      <c r="CA157" s="93" t="str">
        <f t="shared" si="31"/>
        <v/>
      </c>
      <c r="CB157" s="93" t="str">
        <f t="shared" si="32"/>
        <v>NA</v>
      </c>
      <c r="CC157" s="96" t="str">
        <f t="shared" si="33"/>
        <v>#N/A</v>
      </c>
      <c r="CD157" s="93" t="str">
        <f t="shared" si="34"/>
        <v/>
      </c>
      <c r="CE157" s="93" t="str">
        <f t="shared" si="35"/>
        <v/>
      </c>
      <c r="CF157" s="93" t="str">
        <f t="shared" si="36"/>
        <v>NA</v>
      </c>
      <c r="CG157" s="97" t="str">
        <f t="shared" si="37"/>
        <v>#N/A</v>
      </c>
      <c r="CH157" s="98" t="str">
        <f t="shared" si="38"/>
        <v>#N/A</v>
      </c>
      <c r="CI157" s="99" t="str">
        <f t="shared" si="39"/>
        <v>#N/A</v>
      </c>
      <c r="CJ157" s="126" t="str">
        <f t="shared" si="40"/>
        <v>ERROR: check cell</v>
      </c>
      <c r="CK157" s="126"/>
      <c r="CL157" s="127" t="str">
        <f t="shared" si="41"/>
        <v>#DIV/0!</v>
      </c>
      <c r="CM157" s="128" t="str">
        <f t="shared" si="42"/>
        <v>#DIV/0!</v>
      </c>
      <c r="CN157" s="128">
        <f t="shared" si="43"/>
        <v>4</v>
      </c>
      <c r="CO157" s="129">
        <f t="shared" si="44"/>
        <v>4</v>
      </c>
      <c r="CP157" s="129" t="str">
        <f>IFS(C157=Preferences!B$13,B157,B157=Preferences!B$13,C157)</f>
        <v>#N/A</v>
      </c>
    </row>
    <row r="158" ht="13.5" customHeight="1">
      <c r="A158" s="63" t="str">
        <f t="shared" si="45"/>
        <v/>
      </c>
      <c r="B158" s="64"/>
      <c r="C158" s="64"/>
      <c r="D158" s="64"/>
      <c r="E158" s="65"/>
      <c r="F158" s="65"/>
      <c r="G158" s="65"/>
      <c r="H158" s="66"/>
      <c r="I158" s="66"/>
      <c r="J158" s="67"/>
      <c r="K158" s="68"/>
      <c r="L158" s="104"/>
      <c r="M158" s="104"/>
      <c r="N158" s="104"/>
      <c r="O158" s="104"/>
      <c r="P158" s="107" t="str">
        <f t="shared" si="1"/>
        <v/>
      </c>
      <c r="Q158" s="108" t="str">
        <f>IFERROR(IF(AND(Preferences!B$3="Manual",OR(AX158/AW158&gt;G158/F158,BD158="Serious",BD158="Very serious")),"Assess imprecision",IFS(ISBLANK(E158),"",AND(Preferences!B$3="Automatic", G158/F158&gt;=30),"Extremely serious",AND(H158&lt;=$D$1*-1,J158&lt;0,G158/F158&lt;3),"Not serious",AND(H158&lt;=$D$1*-1,J158&lt;0,G158/F158&gt;=3),"Very serious",AND(H158&gt;=$D$1,I158&gt;0,G158/F158&lt;3),"Not serious",AND(H158&gt;=$D$1,I158&gt;0,G158/F158&gt;=3),"Very serious",AND(H158&lt;=$D$1*-1,J158&gt;0,I158&gt;$D$2*-1,G158/F158&lt;3),"Serious", AND(H158&lt;=$D$1*-1,J158&gt;0,I158&lt;$D$2*-1,G158/F158&lt;3),"Very serious", AND(H158&gt;=$D$1,I158&lt;0,J158&lt;$D$2,G158/F158&lt;3),"Serious",AND(H158&gt;=$D$1,I158&lt;0,J158&gt;$D$2,G158/F158&lt;3),"Very serious", AND(H158&lt;=$D$1*-1,J158&gt;0,I158&gt;$D$2*-1,G158/F158&gt;=3),"Very serious", AND(H158&lt;=$D$1*-1,J158&gt;0,I158&lt;$D$2*-1,G158/F158&gt;=3),"Very serious", AND(H158&gt;=$D$1,I158&lt;0,J158&lt;$D$2,G158/F158&gt;=3),"Very serious", AND(H158&gt;=$D$1,I158&lt;0,J158&gt;$D$2,G158/F158&gt;=3),"Very serious", AND(H158&gt;$D$1*-1,H158&lt;$D$1,I158&gt;$D$1*-1,J158&lt;$D$1,G158/F158&lt;3),"Not serious", AND(H158&gt;$D$1*-1,H158&lt;$D$1,OR(I158&lt;=$D$1*-1,J158&gt;=$D$1),I158&gt;$D$2*-1,J158&lt;$D$2,G158/F158&lt;3),"Serious", AND(H158&gt;$D$1*-1,H158&lt;$D$1,OR(I158&lt;=$D$2*-1,J158&gt;=$D$2),G158/F158&lt;3),"Very serious", AND(H158&gt;$D$1*-1,H158&lt;$D$1,I158&gt;$D$1*-1,J158&lt;$D$1,G158/F158&gt;=3),"Very serious", AND(H158&gt;$D$1*-1,H158&lt;$D$1,OR(I158&lt;=$D$1*-1,J158&gt;=$D$1),I158&gt;$D$2*-1,J158&lt;$D$2,G158/F158&gt;=3),"Very serious", AND(H158&gt;$D$1*-1,H158&lt;$D$1,OR(I158&lt;=$D$2*-1,J158&gt;=$D$2),G158/F158&gt;=3),"Very serious")),"")</f>
        <v/>
      </c>
      <c r="R158" s="109" t="str">
        <f t="shared" si="47"/>
        <v/>
      </c>
      <c r="S158" s="64"/>
      <c r="T158" s="72"/>
      <c r="U158" s="72"/>
      <c r="V158" s="72"/>
      <c r="W158" s="73"/>
      <c r="X158" s="73"/>
      <c r="Y158" s="74"/>
      <c r="Z158" s="113" t="str">
        <f t="array" ref="Z158">INDEX($A$1:$C$500, MATCH(1,($B:$B=$B158)*($C:$C=$AB158),0),1)</f>
        <v/>
      </c>
      <c r="AA158" s="113" t="str">
        <f t="array" ref="AA158">INDEX($A$1:$C$500, MATCH(1,($B:$B=$AB158)*($C:$C=$B158),0),1)</f>
        <v/>
      </c>
      <c r="AB158" s="111"/>
      <c r="AC158" s="114" t="str">
        <f t="shared" si="2"/>
        <v/>
      </c>
      <c r="AD158" s="115" t="str">
        <f t="shared" si="3"/>
        <v/>
      </c>
      <c r="AE158" s="116" t="str">
        <f t="array" ref="AE158">INDEX($A$1:$C$500, MATCH(1,($B:$B=$AB158)*($C:$C=$AG158),0),1)</f>
        <v/>
      </c>
      <c r="AF158" s="116" t="str">
        <f t="array" ref="AF158">INDEX($A$1:$C$500, MATCH(1,($B:$B=$AG158)*($C:$C=$AB158),0),1)</f>
        <v/>
      </c>
      <c r="AG158" s="72"/>
      <c r="AH158" s="114" t="str">
        <f t="shared" si="4"/>
        <v/>
      </c>
      <c r="AI158" s="115" t="str">
        <f t="shared" si="5"/>
        <v/>
      </c>
      <c r="AJ158" s="116" t="str">
        <f t="array" ref="AJ158">INDEX($A$1:$C$500, MATCH(1,($B:$B=$C158)*($C:$C=$AG158),0),1)</f>
        <v/>
      </c>
      <c r="AK158" s="116" t="str">
        <f t="array" ref="AK158">INDEX($A$1:$C$500, MATCH(1,($B:$B=$AG158)*($C:$C=$C158),0),1)</f>
        <v/>
      </c>
      <c r="AL158" s="116" t="str">
        <f t="array" ref="AL158">INDEX($A$1:$C$500, MATCH(1,($B:$B=$C158)*($C:$C=$AB158),0),1)</f>
        <v/>
      </c>
      <c r="AM158" s="116" t="str">
        <f t="array" ref="AM158">INDEX($A$1:$C$500, MATCH(1,($B:$B=$AB158)*($C:$C=$C158),0),1)</f>
        <v/>
      </c>
      <c r="AN158" s="114" t="str">
        <f t="array" ref="AN158">IFS(ISNUMBER(AJ158),AJ158,ISNUMBER(AK158),AK158,ISNUMBER(AL158),AL158,ISNUMBER(AM158),AM158)</f>
        <v>#N/A</v>
      </c>
      <c r="AO158" s="115" t="str">
        <f t="shared" si="6"/>
        <v/>
      </c>
      <c r="AP158" s="115" t="str">
        <f t="shared" si="7"/>
        <v/>
      </c>
      <c r="AQ158" s="111"/>
      <c r="AR158" s="109" t="str">
        <f t="shared" si="8"/>
        <v/>
      </c>
      <c r="AS158" s="72" t="str">
        <f>IFERROR(IF(AND(Preferences!B$3="Manual",OR(AX158/AW158&gt;V158/U158,BD158="Serious",BD158="Very serious")),"Assess imprecision",IFERROR(IFS(AND(Preferences!B$3="Automatic",V158/U158&gt;=30),"Extremely serious",AND(W158&lt;=$D$1*-1,Y158&lt;0,V158/U158&lt;3),"Not Serious",AND(W158&lt;=$D$1*-1,Y158&lt;0,V158/U158&gt;=3),"Very serious",AND(W158&gt;=$D$1,X158&gt;0,V158/U158&lt;3),"Not Serious",AND(W158&gt;=$D$1,X158&gt;0,V158/U158&gt;=3),"Very serious",AND(W158&lt;=$D$1*-1,Y158&gt;0,X158&gt;$D$2*-1,V158/U158&lt;3),"Serious", AND(W158&lt;=$D$1*-1,Y158&gt;0,X158&lt;$D$2*-1,V158/U158&lt;3),"Very serious", AND(W158&gt;=$D$1,X158&lt;0,Y158&lt;$D$2,V158/U158&lt;3),"Serious",AND(W158&gt;=$D$1,X158&lt;0,Y158&gt;$D$2,V158/U158&lt;3),"Very serious", AND(W158&lt;=$D$1*-1,Y158&gt;0,X158&gt;$D$2*-1,V158/U158&gt;=3),"Very serious", AND(W158&lt;=$D$1*-1,Y158&gt;0,X158&lt;$D$2*-1,V158/U158&gt;=3),"Very serious", AND(W158&gt;=$D$1,X158&lt;0,Y158&lt;$D$2,V158/U158&gt;=3),"Very serious", AND(W158&gt;=$D$1,X158&lt;0,Y158&gt;$D$2,V158/U158&gt;=3),"Very serious", AND(W158&gt;$D$1*-1,W158&lt;$D$1,X158&gt;$D$1*-1,Y158&lt;$D$1,V158/U158&lt;3),"Not Serious", AND(W158&gt;$D$1*-1,W158&lt;$D$1,OR(X158&lt;=$D$1*-1,Y158&gt;=$D$1),X158&gt;$D$2*-1,Y158&lt;$D$2,V158/U158&lt;3),"Serious", AND(W158&gt;$D$1*-1,W158&lt;$D$1,OR(X158&lt;=$D$2*-1,Y158&gt;=$D$2),V158/U158&lt;3),"Very serious", AND(W158&gt;$D$1*-1,W158&lt;$D$1,X158&gt;$D$1*-1,Y158&lt;$D$1,V158/U158&gt;=3),"Very serious", AND(W158&gt;$D$1*-1,W158&lt;$D$1,OR(X158&lt;=$D$1*-1,Y158&gt;=$D$1),X158&gt;$D$2*-1,Y158&lt;$D$2,V158/U158&gt;=3),"Very serious", AND(W158&gt;$D$1*-1,W158&lt;$D$1,OR(X158&lt;=$D$2*-1,Y158&gt;=$D$2),V158/U158&gt;=3),"Very serious"),"")),"")</f>
        <v/>
      </c>
      <c r="AT158" s="109" t="str">
        <f t="shared" si="9"/>
        <v/>
      </c>
      <c r="AU158" s="64"/>
      <c r="AV158" s="83"/>
      <c r="AW158" s="83"/>
      <c r="AX158" s="83"/>
      <c r="AY158" s="83"/>
      <c r="AZ158" s="83"/>
      <c r="BA158" s="85"/>
      <c r="BB158" s="86" t="str">
        <f>IF(Preferences!B$9="Manual","",IFS(ISBLANK(B158),"",AND(ISNUMBER(E158)=TRUE,ISNUMBER(T158)=FALSE),"Direct", AND(ISNUMBER(E158)=FALSE,ISNUMBER(T158)=TRUE),"Indirect", CN158=4,"Direct",AND(CL158=FALSE, CM158=TRUE,CN158-CO158&gt;-1),"Direct", AND(CL158=FALSE,CM158=TRUE, CN158-CO158&lt;0),"Check algorithm in appendix 2", AND(CL158=TRUE, CM158=FALSE,CN158-CO158&gt;0),"Check algorithm in appendix 2", AND(CL158=TRUE, CM158=FALSE,CN158-CO158=0),"Indirect", AND(CL158=TRUE, CM158=FALSE,CN158-CO158&lt;0),"Indirect", AND(CL158=FALSE,CM158=FALSE,CN158-CO158&gt;-1),"Direct", AND(CL158=FALSE,CM158=FALSE,CN158-CO158&lt;0),"Check algorithm in appendix 2", AND(CL158=TRUE,CM158=TRUE,CN158-CO158&gt;-1),"Direct", AND(CL158=TRUE,CM158=TRUE,CN158-CO158&lt;0),"Check algorithm in appendix 2"))</f>
        <v/>
      </c>
      <c r="BC158" s="120" t="str">
        <f t="shared" si="10"/>
        <v/>
      </c>
      <c r="BD158" s="140"/>
      <c r="BE158" s="122" t="str">
        <f>IF(Preferences!B$3="Manual","", IFERROR(IFS(AND(Preferences!B$3="Automatic",AX158/AW158&gt;=30),"Extremely serious",AND(AY158&lt;=$D$1*-1,BA158&lt;0,AX158/AW158&lt;3),"Not Serious",AND(AY158&lt;=$D$1*-1,BA158&lt;0,AX158/AW158&gt;=3),"Very serious",AND(AY158&gt;=$D$1,AZ158&gt;0,AX158/AW158&lt;3),"Not Serious",AND(AY158&gt;=$D$1,AZ158&gt;0,AX158/AW158&gt;=3),"Very serious",AND(AY158&lt;=$D$1*-1,BA158&gt;0,AZ158&gt;$D$2*-1,AX158/AW158&lt;3),"Serious", AND(AY158&lt;=$D$1*-1,BA158&gt;0,AZ158&lt;$D$2*-1,AX158/AW158&lt;3),"Very serious", AND(AY158&gt;=$D$1,AZ158&lt;0,BA158&lt;$D$2,AX158/AW158&lt;3),"Serious",AND(AY158&gt;=$D$1,AZ158&lt;0,BA158&gt;$D$2,AX158/AW158&lt;3),"Very serious", AND(AY158&lt;=$D$1*-1,BA158&gt;0,AZ158&gt;$D$2*-1,AX158/AW158&gt;=3),"Very serious", AND(AY158&lt;=$D$1*-1,BA158&gt;0,AZ158&lt;$D$2*-1,AX158/AW158&gt;=3),"Very serious", AND(AY158&gt;=$D$1,AZ158&lt;0,BA158&lt;$D$2,AX158/AW158&gt;=3),"Very serious", AND(AY158&gt;=$D$1,AZ158&lt;0,BA158&gt;$D$2,AX158/AW158&gt;=3),"Very serious", AND(AY158&gt;$D$1*-1,AY158&lt;$D$1,AZ158&gt;$D$1*-1,BA158&lt;$D$1,AX158/AW158&lt;3),"Not Serious", AND(AY158&gt;$D$1*-1,AY158&lt;$D$1,OR(AZ158&lt;=$D$1*-1,BA158&gt;=$D$1),AZ158&gt;$D$2*-1,BA158&lt;$D$2,AX158/AW158&lt;3),"Serious", AND(AY158&gt;$D$1*-1,AY158&lt;$D$1,OR(AZ158&lt;=$D$2*-1,BA158&gt;=$D$2),AX158/AW158&lt;3),"Very serious", AND(AY158&gt;$D$1*-1,AY158&lt;$D$1,AZ158&gt;$D$1*-1,BA158&lt;$D$1,AX158/AW158&gt;=3),"Very serious", AND(AY158&gt;$D$1*-1,AY158&lt;$D$1,OR(AZ158&lt;=$D$1*-1,BA158&gt;=$D$1),AZ158&gt;$D$2*-1,BA158&lt;$D$2,AX158/AW158&gt;=3),"Very serious", AND(AY158&gt;$D$1*-1,AY158&lt;$D$1,OR(AZ158&lt;=$D$2*-1,BA158&gt;=$D$2),AX158/AW158&gt;=3),"Very serious"),""))</f>
        <v/>
      </c>
      <c r="BF158" s="107" t="str">
        <f t="shared" si="11"/>
        <v/>
      </c>
      <c r="BG158" s="94" t="str">
        <f t="shared" si="46"/>
        <v/>
      </c>
      <c r="BH158" s="64" t="str">
        <f t="shared" si="12"/>
        <v>#N/A</v>
      </c>
      <c r="BI158" s="64" t="str">
        <f t="shared" si="13"/>
        <v/>
      </c>
      <c r="BJ158" s="123" t="str">
        <f t="shared" si="14"/>
        <v>#N/A</v>
      </c>
      <c r="BK158" s="64" t="str">
        <f t="shared" si="50"/>
        <v>YES</v>
      </c>
      <c r="BL158" s="64" t="str">
        <f t="shared" si="16"/>
        <v>YES</v>
      </c>
      <c r="BM158" s="64" t="str">
        <f t="shared" si="17"/>
        <v>YES</v>
      </c>
      <c r="BN158" s="124" t="str">
        <f t="shared" si="18"/>
        <v/>
      </c>
      <c r="BO158" s="91" t="str">
        <f t="shared" si="19"/>
        <v/>
      </c>
      <c r="BP158" s="91" t="str">
        <f t="shared" si="20"/>
        <v>#N/A</v>
      </c>
      <c r="BQ158" s="91" t="str">
        <f t="shared" si="21"/>
        <v/>
      </c>
      <c r="BR158" s="93" t="str">
        <f t="shared" si="22"/>
        <v/>
      </c>
      <c r="BS158" s="90" t="str">
        <f t="shared" si="23"/>
        <v/>
      </c>
      <c r="BT158" s="93" t="str">
        <f t="shared" si="24"/>
        <v>NA</v>
      </c>
      <c r="BU158" s="125" t="str">
        <f t="shared" si="25"/>
        <v>#N/A</v>
      </c>
      <c r="BV158" s="93" t="str">
        <f t="shared" si="26"/>
        <v/>
      </c>
      <c r="BW158" s="93" t="str">
        <f t="shared" si="27"/>
        <v/>
      </c>
      <c r="BX158" s="93" t="str">
        <f t="shared" si="28"/>
        <v>NA</v>
      </c>
      <c r="BY158" s="95" t="str">
        <f t="shared" si="29"/>
        <v>#N/A</v>
      </c>
      <c r="BZ158" s="93" t="str">
        <f t="shared" si="30"/>
        <v/>
      </c>
      <c r="CA158" s="93" t="str">
        <f t="shared" si="31"/>
        <v/>
      </c>
      <c r="CB158" s="93" t="str">
        <f t="shared" si="32"/>
        <v>NA</v>
      </c>
      <c r="CC158" s="96" t="str">
        <f t="shared" si="33"/>
        <v>#N/A</v>
      </c>
      <c r="CD158" s="93" t="str">
        <f t="shared" si="34"/>
        <v/>
      </c>
      <c r="CE158" s="93" t="str">
        <f t="shared" si="35"/>
        <v/>
      </c>
      <c r="CF158" s="93" t="str">
        <f t="shared" si="36"/>
        <v>NA</v>
      </c>
      <c r="CG158" s="97" t="str">
        <f t="shared" si="37"/>
        <v>#N/A</v>
      </c>
      <c r="CH158" s="98" t="str">
        <f t="shared" si="38"/>
        <v>#N/A</v>
      </c>
      <c r="CI158" s="99" t="str">
        <f t="shared" si="39"/>
        <v>#N/A</v>
      </c>
      <c r="CJ158" s="126" t="str">
        <f t="shared" si="40"/>
        <v>ERROR: check cell</v>
      </c>
      <c r="CK158" s="126"/>
      <c r="CL158" s="127" t="str">
        <f t="shared" si="41"/>
        <v>#DIV/0!</v>
      </c>
      <c r="CM158" s="128" t="str">
        <f t="shared" si="42"/>
        <v>#DIV/0!</v>
      </c>
      <c r="CN158" s="128">
        <f t="shared" si="43"/>
        <v>4</v>
      </c>
      <c r="CO158" s="129">
        <f t="shared" si="44"/>
        <v>4</v>
      </c>
      <c r="CP158" s="129" t="str">
        <f>IFS(C158=Preferences!B$13,B158,B158=Preferences!B$13,C158)</f>
        <v>#N/A</v>
      </c>
    </row>
    <row r="159" ht="13.5" customHeight="1">
      <c r="A159" s="63" t="str">
        <f t="shared" si="45"/>
        <v/>
      </c>
      <c r="B159" s="64"/>
      <c r="C159" s="64"/>
      <c r="D159" s="64"/>
      <c r="E159" s="65"/>
      <c r="F159" s="65"/>
      <c r="G159" s="65"/>
      <c r="H159" s="66"/>
      <c r="I159" s="66"/>
      <c r="J159" s="67"/>
      <c r="K159" s="68"/>
      <c r="L159" s="104"/>
      <c r="M159" s="104"/>
      <c r="N159" s="104"/>
      <c r="O159" s="104"/>
      <c r="P159" s="107" t="str">
        <f t="shared" si="1"/>
        <v/>
      </c>
      <c r="Q159" s="108" t="str">
        <f>IFERROR(IF(AND(Preferences!B$3="Manual",OR(AX159/AW159&gt;G159/F159,BD159="Serious",BD159="Very serious")),"Assess imprecision",IFS(ISBLANK(E159),"",AND(Preferences!B$3="Automatic", G159/F159&gt;=30),"Extremely serious",AND(H159&lt;=$D$1*-1,J159&lt;0,G159/F159&lt;3),"Not serious",AND(H159&lt;=$D$1*-1,J159&lt;0,G159/F159&gt;=3),"Very serious",AND(H159&gt;=$D$1,I159&gt;0,G159/F159&lt;3),"Not serious",AND(H159&gt;=$D$1,I159&gt;0,G159/F159&gt;=3),"Very serious",AND(H159&lt;=$D$1*-1,J159&gt;0,I159&gt;$D$2*-1,G159/F159&lt;3),"Serious", AND(H159&lt;=$D$1*-1,J159&gt;0,I159&lt;$D$2*-1,G159/F159&lt;3),"Very serious", AND(H159&gt;=$D$1,I159&lt;0,J159&lt;$D$2,G159/F159&lt;3),"Serious",AND(H159&gt;=$D$1,I159&lt;0,J159&gt;$D$2,G159/F159&lt;3),"Very serious", AND(H159&lt;=$D$1*-1,J159&gt;0,I159&gt;$D$2*-1,G159/F159&gt;=3),"Very serious", AND(H159&lt;=$D$1*-1,J159&gt;0,I159&lt;$D$2*-1,G159/F159&gt;=3),"Very serious", AND(H159&gt;=$D$1,I159&lt;0,J159&lt;$D$2,G159/F159&gt;=3),"Very serious", AND(H159&gt;=$D$1,I159&lt;0,J159&gt;$D$2,G159/F159&gt;=3),"Very serious", AND(H159&gt;$D$1*-1,H159&lt;$D$1,I159&gt;$D$1*-1,J159&lt;$D$1,G159/F159&lt;3),"Not serious", AND(H159&gt;$D$1*-1,H159&lt;$D$1,OR(I159&lt;=$D$1*-1,J159&gt;=$D$1),I159&gt;$D$2*-1,J159&lt;$D$2,G159/F159&lt;3),"Serious", AND(H159&gt;$D$1*-1,H159&lt;$D$1,OR(I159&lt;=$D$2*-1,J159&gt;=$D$2),G159/F159&lt;3),"Very serious", AND(H159&gt;$D$1*-1,H159&lt;$D$1,I159&gt;$D$1*-1,J159&lt;$D$1,G159/F159&gt;=3),"Very serious", AND(H159&gt;$D$1*-1,H159&lt;$D$1,OR(I159&lt;=$D$1*-1,J159&gt;=$D$1),I159&gt;$D$2*-1,J159&lt;$D$2,G159/F159&gt;=3),"Very serious", AND(H159&gt;$D$1*-1,H159&lt;$D$1,OR(I159&lt;=$D$2*-1,J159&gt;=$D$2),G159/F159&gt;=3),"Very serious")),"")</f>
        <v/>
      </c>
      <c r="R159" s="109" t="str">
        <f t="shared" si="47"/>
        <v/>
      </c>
      <c r="S159" s="64"/>
      <c r="T159" s="72"/>
      <c r="U159" s="72"/>
      <c r="V159" s="72"/>
      <c r="W159" s="73"/>
      <c r="X159" s="73"/>
      <c r="Y159" s="74"/>
      <c r="Z159" s="113" t="str">
        <f t="array" ref="Z159">INDEX($A$1:$C$500, MATCH(1,($B:$B=$B159)*($C:$C=$AB159),0),1)</f>
        <v/>
      </c>
      <c r="AA159" s="113" t="str">
        <f t="array" ref="AA159">INDEX($A$1:$C$500, MATCH(1,($B:$B=$AB159)*($C:$C=$B159),0),1)</f>
        <v/>
      </c>
      <c r="AB159" s="111"/>
      <c r="AC159" s="114" t="str">
        <f t="shared" si="2"/>
        <v/>
      </c>
      <c r="AD159" s="115" t="str">
        <f t="shared" si="3"/>
        <v/>
      </c>
      <c r="AE159" s="116" t="str">
        <f t="array" ref="AE159">INDEX($A$1:$C$500, MATCH(1,($B:$B=$AB159)*($C:$C=$AG159),0),1)</f>
        <v/>
      </c>
      <c r="AF159" s="116" t="str">
        <f t="array" ref="AF159">INDEX($A$1:$C$500, MATCH(1,($B:$B=$AG159)*($C:$C=$AB159),0),1)</f>
        <v/>
      </c>
      <c r="AG159" s="72"/>
      <c r="AH159" s="114" t="str">
        <f t="shared" si="4"/>
        <v/>
      </c>
      <c r="AI159" s="115" t="str">
        <f t="shared" si="5"/>
        <v/>
      </c>
      <c r="AJ159" s="116" t="str">
        <f t="array" ref="AJ159">INDEX($A$1:$C$500, MATCH(1,($B:$B=$C159)*($C:$C=$AG159),0),1)</f>
        <v/>
      </c>
      <c r="AK159" s="116" t="str">
        <f t="array" ref="AK159">INDEX($A$1:$C$500, MATCH(1,($B:$B=$AG159)*($C:$C=$C159),0),1)</f>
        <v/>
      </c>
      <c r="AL159" s="116" t="str">
        <f t="array" ref="AL159">INDEX($A$1:$C$500, MATCH(1,($B:$B=$C159)*($C:$C=$AB159),0),1)</f>
        <v/>
      </c>
      <c r="AM159" s="116" t="str">
        <f t="array" ref="AM159">INDEX($A$1:$C$500, MATCH(1,($B:$B=$AB159)*($C:$C=$C159),0),1)</f>
        <v/>
      </c>
      <c r="AN159" s="114" t="str">
        <f t="array" ref="AN159">IFS(ISNUMBER(AJ159),AJ159,ISNUMBER(AK159),AK159,ISNUMBER(AL159),AL159,ISNUMBER(AM159),AM159)</f>
        <v>#N/A</v>
      </c>
      <c r="AO159" s="115" t="str">
        <f t="shared" si="6"/>
        <v/>
      </c>
      <c r="AP159" s="115" t="str">
        <f t="shared" si="7"/>
        <v/>
      </c>
      <c r="AQ159" s="111"/>
      <c r="AR159" s="109" t="str">
        <f t="shared" si="8"/>
        <v/>
      </c>
      <c r="AS159" s="72" t="str">
        <f>IFERROR(IF(AND(Preferences!B$3="Manual",OR(AX159/AW159&gt;V159/U159,BD159="Serious",BD159="Very serious")),"Assess imprecision",IFERROR(IFS(AND(Preferences!B$3="Automatic",V159/U159&gt;=30),"Extremely serious",AND(W159&lt;=$D$1*-1,Y159&lt;0,V159/U159&lt;3),"Not Serious",AND(W159&lt;=$D$1*-1,Y159&lt;0,V159/U159&gt;=3),"Very serious",AND(W159&gt;=$D$1,X159&gt;0,V159/U159&lt;3),"Not Serious",AND(W159&gt;=$D$1,X159&gt;0,V159/U159&gt;=3),"Very serious",AND(W159&lt;=$D$1*-1,Y159&gt;0,X159&gt;$D$2*-1,V159/U159&lt;3),"Serious", AND(W159&lt;=$D$1*-1,Y159&gt;0,X159&lt;$D$2*-1,V159/U159&lt;3),"Very serious", AND(W159&gt;=$D$1,X159&lt;0,Y159&lt;$D$2,V159/U159&lt;3),"Serious",AND(W159&gt;=$D$1,X159&lt;0,Y159&gt;$D$2,V159/U159&lt;3),"Very serious", AND(W159&lt;=$D$1*-1,Y159&gt;0,X159&gt;$D$2*-1,V159/U159&gt;=3),"Very serious", AND(W159&lt;=$D$1*-1,Y159&gt;0,X159&lt;$D$2*-1,V159/U159&gt;=3),"Very serious", AND(W159&gt;=$D$1,X159&lt;0,Y159&lt;$D$2,V159/U159&gt;=3),"Very serious", AND(W159&gt;=$D$1,X159&lt;0,Y159&gt;$D$2,V159/U159&gt;=3),"Very serious", AND(W159&gt;$D$1*-1,W159&lt;$D$1,X159&gt;$D$1*-1,Y159&lt;$D$1,V159/U159&lt;3),"Not Serious", AND(W159&gt;$D$1*-1,W159&lt;$D$1,OR(X159&lt;=$D$1*-1,Y159&gt;=$D$1),X159&gt;$D$2*-1,Y159&lt;$D$2,V159/U159&lt;3),"Serious", AND(W159&gt;$D$1*-1,W159&lt;$D$1,OR(X159&lt;=$D$2*-1,Y159&gt;=$D$2),V159/U159&lt;3),"Very serious", AND(W159&gt;$D$1*-1,W159&lt;$D$1,X159&gt;$D$1*-1,Y159&lt;$D$1,V159/U159&gt;=3),"Very serious", AND(W159&gt;$D$1*-1,W159&lt;$D$1,OR(X159&lt;=$D$1*-1,Y159&gt;=$D$1),X159&gt;$D$2*-1,Y159&lt;$D$2,V159/U159&gt;=3),"Very serious", AND(W159&gt;$D$1*-1,W159&lt;$D$1,OR(X159&lt;=$D$2*-1,Y159&gt;=$D$2),V159/U159&gt;=3),"Very serious"),"")),"")</f>
        <v/>
      </c>
      <c r="AT159" s="109" t="str">
        <f t="shared" si="9"/>
        <v/>
      </c>
      <c r="AU159" s="64"/>
      <c r="AV159" s="83"/>
      <c r="AW159" s="83"/>
      <c r="AX159" s="83"/>
      <c r="AY159" s="83"/>
      <c r="AZ159" s="83"/>
      <c r="BA159" s="85"/>
      <c r="BB159" s="86" t="str">
        <f>IF(Preferences!B$9="Manual","",IFS(ISBLANK(B159),"",AND(ISNUMBER(E159)=TRUE,ISNUMBER(T159)=FALSE),"Direct", AND(ISNUMBER(E159)=FALSE,ISNUMBER(T159)=TRUE),"Indirect", CN159=4,"Direct",AND(CL159=FALSE, CM159=TRUE,CN159-CO159&gt;-1),"Direct", AND(CL159=FALSE,CM159=TRUE, CN159-CO159&lt;0),"Check algorithm in appendix 2", AND(CL159=TRUE, CM159=FALSE,CN159-CO159&gt;0),"Check algorithm in appendix 2", AND(CL159=TRUE, CM159=FALSE,CN159-CO159=0),"Indirect", AND(CL159=TRUE, CM159=FALSE,CN159-CO159&lt;0),"Indirect", AND(CL159=FALSE,CM159=FALSE,CN159-CO159&gt;-1),"Direct", AND(CL159=FALSE,CM159=FALSE,CN159-CO159&lt;0),"Check algorithm in appendix 2", AND(CL159=TRUE,CM159=TRUE,CN159-CO159&gt;-1),"Direct", AND(CL159=TRUE,CM159=TRUE,CN159-CO159&lt;0),"Check algorithm in appendix 2"))</f>
        <v/>
      </c>
      <c r="BC159" s="120" t="str">
        <f t="shared" si="10"/>
        <v/>
      </c>
      <c r="BD159" s="140"/>
      <c r="BE159" s="122" t="str">
        <f>IF(Preferences!B$3="Manual","", IFERROR(IFS(AND(Preferences!B$3="Automatic",AX159/AW159&gt;=30),"Extremely serious",AND(AY159&lt;=$D$1*-1,BA159&lt;0,AX159/AW159&lt;3),"Not Serious",AND(AY159&lt;=$D$1*-1,BA159&lt;0,AX159/AW159&gt;=3),"Very serious",AND(AY159&gt;=$D$1,AZ159&gt;0,AX159/AW159&lt;3),"Not Serious",AND(AY159&gt;=$D$1,AZ159&gt;0,AX159/AW159&gt;=3),"Very serious",AND(AY159&lt;=$D$1*-1,BA159&gt;0,AZ159&gt;$D$2*-1,AX159/AW159&lt;3),"Serious", AND(AY159&lt;=$D$1*-1,BA159&gt;0,AZ159&lt;$D$2*-1,AX159/AW159&lt;3),"Very serious", AND(AY159&gt;=$D$1,AZ159&lt;0,BA159&lt;$D$2,AX159/AW159&lt;3),"Serious",AND(AY159&gt;=$D$1,AZ159&lt;0,BA159&gt;$D$2,AX159/AW159&lt;3),"Very serious", AND(AY159&lt;=$D$1*-1,BA159&gt;0,AZ159&gt;$D$2*-1,AX159/AW159&gt;=3),"Very serious", AND(AY159&lt;=$D$1*-1,BA159&gt;0,AZ159&lt;$D$2*-1,AX159/AW159&gt;=3),"Very serious", AND(AY159&gt;=$D$1,AZ159&lt;0,BA159&lt;$D$2,AX159/AW159&gt;=3),"Very serious", AND(AY159&gt;=$D$1,AZ159&lt;0,BA159&gt;$D$2,AX159/AW159&gt;=3),"Very serious", AND(AY159&gt;$D$1*-1,AY159&lt;$D$1,AZ159&gt;$D$1*-1,BA159&lt;$D$1,AX159/AW159&lt;3),"Not Serious", AND(AY159&gt;$D$1*-1,AY159&lt;$D$1,OR(AZ159&lt;=$D$1*-1,BA159&gt;=$D$1),AZ159&gt;$D$2*-1,BA159&lt;$D$2,AX159/AW159&lt;3),"Serious", AND(AY159&gt;$D$1*-1,AY159&lt;$D$1,OR(AZ159&lt;=$D$2*-1,BA159&gt;=$D$2),AX159/AW159&lt;3),"Very serious", AND(AY159&gt;$D$1*-1,AY159&lt;$D$1,AZ159&gt;$D$1*-1,BA159&lt;$D$1,AX159/AW159&gt;=3),"Very serious", AND(AY159&gt;$D$1*-1,AY159&lt;$D$1,OR(AZ159&lt;=$D$1*-1,BA159&gt;=$D$1),AZ159&gt;$D$2*-1,BA159&lt;$D$2,AX159/AW159&gt;=3),"Very serious", AND(AY159&gt;$D$1*-1,AY159&lt;$D$1,OR(AZ159&lt;=$D$2*-1,BA159&gt;=$D$2),AX159/AW159&gt;=3),"Very serious"),""))</f>
        <v/>
      </c>
      <c r="BF159" s="107" t="str">
        <f t="shared" si="11"/>
        <v/>
      </c>
      <c r="BG159" s="94" t="str">
        <f t="shared" si="46"/>
        <v/>
      </c>
      <c r="BH159" s="64" t="str">
        <f t="shared" si="12"/>
        <v>#N/A</v>
      </c>
      <c r="BI159" s="64" t="str">
        <f t="shared" si="13"/>
        <v/>
      </c>
      <c r="BJ159" s="123" t="str">
        <f t="shared" si="14"/>
        <v>#N/A</v>
      </c>
      <c r="BK159" s="64" t="str">
        <f t="shared" si="50"/>
        <v>YES</v>
      </c>
      <c r="BL159" s="64" t="str">
        <f t="shared" si="16"/>
        <v>YES</v>
      </c>
      <c r="BM159" s="64" t="str">
        <f t="shared" si="17"/>
        <v>YES</v>
      </c>
      <c r="BN159" s="124" t="str">
        <f t="shared" si="18"/>
        <v/>
      </c>
      <c r="BO159" s="91" t="str">
        <f t="shared" si="19"/>
        <v/>
      </c>
      <c r="BP159" s="91" t="str">
        <f t="shared" si="20"/>
        <v>#N/A</v>
      </c>
      <c r="BQ159" s="91" t="str">
        <f t="shared" si="21"/>
        <v/>
      </c>
      <c r="BR159" s="93" t="str">
        <f t="shared" si="22"/>
        <v/>
      </c>
      <c r="BS159" s="90" t="str">
        <f t="shared" si="23"/>
        <v/>
      </c>
      <c r="BT159" s="93" t="str">
        <f t="shared" si="24"/>
        <v>NA</v>
      </c>
      <c r="BU159" s="125" t="str">
        <f t="shared" si="25"/>
        <v>#N/A</v>
      </c>
      <c r="BV159" s="93" t="str">
        <f t="shared" si="26"/>
        <v/>
      </c>
      <c r="BW159" s="93" t="str">
        <f t="shared" si="27"/>
        <v/>
      </c>
      <c r="BX159" s="93" t="str">
        <f t="shared" si="28"/>
        <v>NA</v>
      </c>
      <c r="BY159" s="95" t="str">
        <f t="shared" si="29"/>
        <v>#N/A</v>
      </c>
      <c r="BZ159" s="93" t="str">
        <f t="shared" si="30"/>
        <v/>
      </c>
      <c r="CA159" s="93" t="str">
        <f t="shared" si="31"/>
        <v/>
      </c>
      <c r="CB159" s="93" t="str">
        <f t="shared" si="32"/>
        <v>NA</v>
      </c>
      <c r="CC159" s="96" t="str">
        <f t="shared" si="33"/>
        <v>#N/A</v>
      </c>
      <c r="CD159" s="93" t="str">
        <f t="shared" si="34"/>
        <v/>
      </c>
      <c r="CE159" s="93" t="str">
        <f t="shared" si="35"/>
        <v/>
      </c>
      <c r="CF159" s="93" t="str">
        <f t="shared" si="36"/>
        <v>NA</v>
      </c>
      <c r="CG159" s="97" t="str">
        <f t="shared" si="37"/>
        <v>#N/A</v>
      </c>
      <c r="CH159" s="98" t="str">
        <f t="shared" si="38"/>
        <v>#N/A</v>
      </c>
      <c r="CI159" s="99" t="str">
        <f t="shared" si="39"/>
        <v>#N/A</v>
      </c>
      <c r="CJ159" s="126" t="str">
        <f t="shared" si="40"/>
        <v>ERROR: check cell</v>
      </c>
      <c r="CK159" s="126"/>
      <c r="CL159" s="127" t="str">
        <f t="shared" si="41"/>
        <v>#DIV/0!</v>
      </c>
      <c r="CM159" s="128" t="str">
        <f t="shared" si="42"/>
        <v>#DIV/0!</v>
      </c>
      <c r="CN159" s="128">
        <f t="shared" si="43"/>
        <v>4</v>
      </c>
      <c r="CO159" s="129">
        <f t="shared" si="44"/>
        <v>4</v>
      </c>
      <c r="CP159" s="129" t="str">
        <f>IFS(C159=Preferences!B$13,B159,B159=Preferences!B$13,C159)</f>
        <v>#N/A</v>
      </c>
    </row>
    <row r="160" ht="13.5" customHeight="1">
      <c r="A160" s="63" t="str">
        <f t="shared" si="45"/>
        <v/>
      </c>
      <c r="B160" s="64"/>
      <c r="C160" s="64"/>
      <c r="D160" s="64"/>
      <c r="E160" s="65"/>
      <c r="F160" s="65"/>
      <c r="G160" s="65"/>
      <c r="H160" s="66"/>
      <c r="I160" s="66"/>
      <c r="J160" s="67"/>
      <c r="K160" s="68"/>
      <c r="L160" s="104"/>
      <c r="M160" s="104"/>
      <c r="N160" s="104"/>
      <c r="O160" s="104"/>
      <c r="P160" s="107" t="str">
        <f t="shared" si="1"/>
        <v/>
      </c>
      <c r="Q160" s="108" t="str">
        <f>IFERROR(IF(AND(Preferences!B$3="Manual",OR(AX160/AW160&gt;G160/F160,BD160="Serious",BD160="Very serious")),"Assess imprecision",IFS(ISBLANK(E160),"",AND(Preferences!B$3="Automatic", G160/F160&gt;=30),"Extremely serious",AND(H160&lt;=$D$1*-1,J160&lt;0,G160/F160&lt;3),"Not serious",AND(H160&lt;=$D$1*-1,J160&lt;0,G160/F160&gt;=3),"Very serious",AND(H160&gt;=$D$1,I160&gt;0,G160/F160&lt;3),"Not serious",AND(H160&gt;=$D$1,I160&gt;0,G160/F160&gt;=3),"Very serious",AND(H160&lt;=$D$1*-1,J160&gt;0,I160&gt;$D$2*-1,G160/F160&lt;3),"Serious", AND(H160&lt;=$D$1*-1,J160&gt;0,I160&lt;$D$2*-1,G160/F160&lt;3),"Very serious", AND(H160&gt;=$D$1,I160&lt;0,J160&lt;$D$2,G160/F160&lt;3),"Serious",AND(H160&gt;=$D$1,I160&lt;0,J160&gt;$D$2,G160/F160&lt;3),"Very serious", AND(H160&lt;=$D$1*-1,J160&gt;0,I160&gt;$D$2*-1,G160/F160&gt;=3),"Very serious", AND(H160&lt;=$D$1*-1,J160&gt;0,I160&lt;$D$2*-1,G160/F160&gt;=3),"Very serious", AND(H160&gt;=$D$1,I160&lt;0,J160&lt;$D$2,G160/F160&gt;=3),"Very serious", AND(H160&gt;=$D$1,I160&lt;0,J160&gt;$D$2,G160/F160&gt;=3),"Very serious", AND(H160&gt;$D$1*-1,H160&lt;$D$1,I160&gt;$D$1*-1,J160&lt;$D$1,G160/F160&lt;3),"Not serious", AND(H160&gt;$D$1*-1,H160&lt;$D$1,OR(I160&lt;=$D$1*-1,J160&gt;=$D$1),I160&gt;$D$2*-1,J160&lt;$D$2,G160/F160&lt;3),"Serious", AND(H160&gt;$D$1*-1,H160&lt;$D$1,OR(I160&lt;=$D$2*-1,J160&gt;=$D$2),G160/F160&lt;3),"Very serious", AND(H160&gt;$D$1*-1,H160&lt;$D$1,I160&gt;$D$1*-1,J160&lt;$D$1,G160/F160&gt;=3),"Very serious", AND(H160&gt;$D$1*-1,H160&lt;$D$1,OR(I160&lt;=$D$1*-1,J160&gt;=$D$1),I160&gt;$D$2*-1,J160&lt;$D$2,G160/F160&gt;=3),"Very serious", AND(H160&gt;$D$1*-1,H160&lt;$D$1,OR(I160&lt;=$D$2*-1,J160&gt;=$D$2),G160/F160&gt;=3),"Very serious")),"")</f>
        <v/>
      </c>
      <c r="R160" s="109" t="str">
        <f t="shared" si="47"/>
        <v/>
      </c>
      <c r="S160" s="64"/>
      <c r="T160" s="72"/>
      <c r="U160" s="72"/>
      <c r="V160" s="72"/>
      <c r="W160" s="73"/>
      <c r="X160" s="73"/>
      <c r="Y160" s="74"/>
      <c r="Z160" s="113" t="str">
        <f t="array" ref="Z160">INDEX($A$1:$C$500, MATCH(1,($B:$B=$B160)*($C:$C=$AB160),0),1)</f>
        <v/>
      </c>
      <c r="AA160" s="113" t="str">
        <f t="array" ref="AA160">INDEX($A$1:$C$500, MATCH(1,($B:$B=$AB160)*($C:$C=$B160),0),1)</f>
        <v/>
      </c>
      <c r="AB160" s="111"/>
      <c r="AC160" s="114" t="str">
        <f t="shared" si="2"/>
        <v/>
      </c>
      <c r="AD160" s="115" t="str">
        <f t="shared" si="3"/>
        <v/>
      </c>
      <c r="AE160" s="116" t="str">
        <f t="array" ref="AE160">INDEX($A$1:$C$500, MATCH(1,($B:$B=$AB160)*($C:$C=$AG160),0),1)</f>
        <v/>
      </c>
      <c r="AF160" s="116" t="str">
        <f t="array" ref="AF160">INDEX($A$1:$C$500, MATCH(1,($B:$B=$AG160)*($C:$C=$AB160),0),1)</f>
        <v/>
      </c>
      <c r="AG160" s="72"/>
      <c r="AH160" s="114" t="str">
        <f t="shared" si="4"/>
        <v/>
      </c>
      <c r="AI160" s="115" t="str">
        <f t="shared" si="5"/>
        <v/>
      </c>
      <c r="AJ160" s="116" t="str">
        <f t="array" ref="AJ160">INDEX($A$1:$C$500, MATCH(1,($B:$B=$C160)*($C:$C=$AG160),0),1)</f>
        <v/>
      </c>
      <c r="AK160" s="116" t="str">
        <f t="array" ref="AK160">INDEX($A$1:$C$500, MATCH(1,($B:$B=$AG160)*($C:$C=$C160),0),1)</f>
        <v/>
      </c>
      <c r="AL160" s="116" t="str">
        <f t="array" ref="AL160">INDEX($A$1:$C$500, MATCH(1,($B:$B=$C160)*($C:$C=$AB160),0),1)</f>
        <v/>
      </c>
      <c r="AM160" s="116" t="str">
        <f t="array" ref="AM160">INDEX($A$1:$C$500, MATCH(1,($B:$B=$AB160)*($C:$C=$C160),0),1)</f>
        <v/>
      </c>
      <c r="AN160" s="114" t="str">
        <f t="array" ref="AN160">IFS(ISNUMBER(AJ160),AJ160,ISNUMBER(AK160),AK160,ISNUMBER(AL160),AL160,ISNUMBER(AM160),AM160)</f>
        <v>#N/A</v>
      </c>
      <c r="AO160" s="115" t="str">
        <f t="shared" si="6"/>
        <v/>
      </c>
      <c r="AP160" s="115" t="str">
        <f t="shared" si="7"/>
        <v/>
      </c>
      <c r="AQ160" s="111"/>
      <c r="AR160" s="109" t="str">
        <f t="shared" si="8"/>
        <v/>
      </c>
      <c r="AS160" s="72" t="str">
        <f>IFERROR(IF(AND(Preferences!B$3="Manual",OR(AX160/AW160&gt;V160/U160,BD160="Serious",BD160="Very serious")),"Assess imprecision",IFERROR(IFS(AND(Preferences!B$3="Automatic",V160/U160&gt;=30),"Extremely serious",AND(W160&lt;=$D$1*-1,Y160&lt;0,V160/U160&lt;3),"Not Serious",AND(W160&lt;=$D$1*-1,Y160&lt;0,V160/U160&gt;=3),"Very serious",AND(W160&gt;=$D$1,X160&gt;0,V160/U160&lt;3),"Not Serious",AND(W160&gt;=$D$1,X160&gt;0,V160/U160&gt;=3),"Very serious",AND(W160&lt;=$D$1*-1,Y160&gt;0,X160&gt;$D$2*-1,V160/U160&lt;3),"Serious", AND(W160&lt;=$D$1*-1,Y160&gt;0,X160&lt;$D$2*-1,V160/U160&lt;3),"Very serious", AND(W160&gt;=$D$1,X160&lt;0,Y160&lt;$D$2,V160/U160&lt;3),"Serious",AND(W160&gt;=$D$1,X160&lt;0,Y160&gt;$D$2,V160/U160&lt;3),"Very serious", AND(W160&lt;=$D$1*-1,Y160&gt;0,X160&gt;$D$2*-1,V160/U160&gt;=3),"Very serious", AND(W160&lt;=$D$1*-1,Y160&gt;0,X160&lt;$D$2*-1,V160/U160&gt;=3),"Very serious", AND(W160&gt;=$D$1,X160&lt;0,Y160&lt;$D$2,V160/U160&gt;=3),"Very serious", AND(W160&gt;=$D$1,X160&lt;0,Y160&gt;$D$2,V160/U160&gt;=3),"Very serious", AND(W160&gt;$D$1*-1,W160&lt;$D$1,X160&gt;$D$1*-1,Y160&lt;$D$1,V160/U160&lt;3),"Not Serious", AND(W160&gt;$D$1*-1,W160&lt;$D$1,OR(X160&lt;=$D$1*-1,Y160&gt;=$D$1),X160&gt;$D$2*-1,Y160&lt;$D$2,V160/U160&lt;3),"Serious", AND(W160&gt;$D$1*-1,W160&lt;$D$1,OR(X160&lt;=$D$2*-1,Y160&gt;=$D$2),V160/U160&lt;3),"Very serious", AND(W160&gt;$D$1*-1,W160&lt;$D$1,X160&gt;$D$1*-1,Y160&lt;$D$1,V160/U160&gt;=3),"Very serious", AND(W160&gt;$D$1*-1,W160&lt;$D$1,OR(X160&lt;=$D$1*-1,Y160&gt;=$D$1),X160&gt;$D$2*-1,Y160&lt;$D$2,V160/U160&gt;=3),"Very serious", AND(W160&gt;$D$1*-1,W160&lt;$D$1,OR(X160&lt;=$D$2*-1,Y160&gt;=$D$2),V160/U160&gt;=3),"Very serious"),"")),"")</f>
        <v/>
      </c>
      <c r="AT160" s="109" t="str">
        <f t="shared" si="9"/>
        <v/>
      </c>
      <c r="AU160" s="64"/>
      <c r="AV160" s="83"/>
      <c r="AW160" s="83"/>
      <c r="AX160" s="83"/>
      <c r="AY160" s="83"/>
      <c r="AZ160" s="83"/>
      <c r="BA160" s="85"/>
      <c r="BB160" s="86" t="str">
        <f>IF(Preferences!B$9="Manual","",IFS(ISBLANK(B160),"",AND(ISNUMBER(E160)=TRUE,ISNUMBER(T160)=FALSE),"Direct", AND(ISNUMBER(E160)=FALSE,ISNUMBER(T160)=TRUE),"Indirect", CN160=4,"Direct",AND(CL160=FALSE, CM160=TRUE,CN160-CO160&gt;-1),"Direct", AND(CL160=FALSE,CM160=TRUE, CN160-CO160&lt;0),"Check algorithm in appendix 2", AND(CL160=TRUE, CM160=FALSE,CN160-CO160&gt;0),"Check algorithm in appendix 2", AND(CL160=TRUE, CM160=FALSE,CN160-CO160=0),"Indirect", AND(CL160=TRUE, CM160=FALSE,CN160-CO160&lt;0),"Indirect", AND(CL160=FALSE,CM160=FALSE,CN160-CO160&gt;-1),"Direct", AND(CL160=FALSE,CM160=FALSE,CN160-CO160&lt;0),"Check algorithm in appendix 2", AND(CL160=TRUE,CM160=TRUE,CN160-CO160&gt;-1),"Direct", AND(CL160=TRUE,CM160=TRUE,CN160-CO160&lt;0),"Check algorithm in appendix 2"))</f>
        <v/>
      </c>
      <c r="BC160" s="120" t="str">
        <f t="shared" si="10"/>
        <v/>
      </c>
      <c r="BD160" s="140"/>
      <c r="BE160" s="122" t="str">
        <f>IF(Preferences!B$3="Manual","", IFERROR(IFS(AND(Preferences!B$3="Automatic",AX160/AW160&gt;=30),"Extremely serious",AND(AY160&lt;=$D$1*-1,BA160&lt;0,AX160/AW160&lt;3),"Not Serious",AND(AY160&lt;=$D$1*-1,BA160&lt;0,AX160/AW160&gt;=3),"Very serious",AND(AY160&gt;=$D$1,AZ160&gt;0,AX160/AW160&lt;3),"Not Serious",AND(AY160&gt;=$D$1,AZ160&gt;0,AX160/AW160&gt;=3),"Very serious",AND(AY160&lt;=$D$1*-1,BA160&gt;0,AZ160&gt;$D$2*-1,AX160/AW160&lt;3),"Serious", AND(AY160&lt;=$D$1*-1,BA160&gt;0,AZ160&lt;$D$2*-1,AX160/AW160&lt;3),"Very serious", AND(AY160&gt;=$D$1,AZ160&lt;0,BA160&lt;$D$2,AX160/AW160&lt;3),"Serious",AND(AY160&gt;=$D$1,AZ160&lt;0,BA160&gt;$D$2,AX160/AW160&lt;3),"Very serious", AND(AY160&lt;=$D$1*-1,BA160&gt;0,AZ160&gt;$D$2*-1,AX160/AW160&gt;=3),"Very serious", AND(AY160&lt;=$D$1*-1,BA160&gt;0,AZ160&lt;$D$2*-1,AX160/AW160&gt;=3),"Very serious", AND(AY160&gt;=$D$1,AZ160&lt;0,BA160&lt;$D$2,AX160/AW160&gt;=3),"Very serious", AND(AY160&gt;=$D$1,AZ160&lt;0,BA160&gt;$D$2,AX160/AW160&gt;=3),"Very serious", AND(AY160&gt;$D$1*-1,AY160&lt;$D$1,AZ160&gt;$D$1*-1,BA160&lt;$D$1,AX160/AW160&lt;3),"Not Serious", AND(AY160&gt;$D$1*-1,AY160&lt;$D$1,OR(AZ160&lt;=$D$1*-1,BA160&gt;=$D$1),AZ160&gt;$D$2*-1,BA160&lt;$D$2,AX160/AW160&lt;3),"Serious", AND(AY160&gt;$D$1*-1,AY160&lt;$D$1,OR(AZ160&lt;=$D$2*-1,BA160&gt;=$D$2),AX160/AW160&lt;3),"Very serious", AND(AY160&gt;$D$1*-1,AY160&lt;$D$1,AZ160&gt;$D$1*-1,BA160&lt;$D$1,AX160/AW160&gt;=3),"Very serious", AND(AY160&gt;$D$1*-1,AY160&lt;$D$1,OR(AZ160&lt;=$D$1*-1,BA160&gt;=$D$1),AZ160&gt;$D$2*-1,BA160&lt;$D$2,AX160/AW160&gt;=3),"Very serious", AND(AY160&gt;$D$1*-1,AY160&lt;$D$1,OR(AZ160&lt;=$D$2*-1,BA160&gt;=$D$2),AX160/AW160&gt;=3),"Very serious"),""))</f>
        <v/>
      </c>
      <c r="BF160" s="107" t="str">
        <f t="shared" si="11"/>
        <v/>
      </c>
      <c r="BG160" s="94" t="str">
        <f t="shared" si="46"/>
        <v/>
      </c>
      <c r="BH160" s="64" t="str">
        <f t="shared" si="12"/>
        <v>#N/A</v>
      </c>
      <c r="BI160" s="64" t="str">
        <f t="shared" si="13"/>
        <v/>
      </c>
      <c r="BJ160" s="123" t="str">
        <f t="shared" si="14"/>
        <v>#N/A</v>
      </c>
      <c r="BK160" s="64" t="str">
        <f t="shared" si="50"/>
        <v>YES</v>
      </c>
      <c r="BL160" s="64" t="str">
        <f t="shared" si="16"/>
        <v>YES</v>
      </c>
      <c r="BM160" s="64" t="str">
        <f t="shared" si="17"/>
        <v>YES</v>
      </c>
      <c r="BN160" s="124" t="str">
        <f t="shared" si="18"/>
        <v/>
      </c>
      <c r="BO160" s="91" t="str">
        <f t="shared" si="19"/>
        <v/>
      </c>
      <c r="BP160" s="91" t="str">
        <f t="shared" si="20"/>
        <v>#N/A</v>
      </c>
      <c r="BQ160" s="91" t="str">
        <f t="shared" si="21"/>
        <v/>
      </c>
      <c r="BR160" s="93" t="str">
        <f t="shared" si="22"/>
        <v/>
      </c>
      <c r="BS160" s="90" t="str">
        <f t="shared" si="23"/>
        <v/>
      </c>
      <c r="BT160" s="93" t="str">
        <f t="shared" si="24"/>
        <v>NA</v>
      </c>
      <c r="BU160" s="125" t="str">
        <f t="shared" si="25"/>
        <v>#N/A</v>
      </c>
      <c r="BV160" s="93" t="str">
        <f t="shared" si="26"/>
        <v/>
      </c>
      <c r="BW160" s="93" t="str">
        <f t="shared" si="27"/>
        <v/>
      </c>
      <c r="BX160" s="93" t="str">
        <f t="shared" si="28"/>
        <v>NA</v>
      </c>
      <c r="BY160" s="95" t="str">
        <f t="shared" si="29"/>
        <v>#N/A</v>
      </c>
      <c r="BZ160" s="93" t="str">
        <f t="shared" si="30"/>
        <v/>
      </c>
      <c r="CA160" s="93" t="str">
        <f t="shared" si="31"/>
        <v/>
      </c>
      <c r="CB160" s="93" t="str">
        <f t="shared" si="32"/>
        <v>NA</v>
      </c>
      <c r="CC160" s="96" t="str">
        <f t="shared" si="33"/>
        <v>#N/A</v>
      </c>
      <c r="CD160" s="93" t="str">
        <f t="shared" si="34"/>
        <v/>
      </c>
      <c r="CE160" s="93" t="str">
        <f t="shared" si="35"/>
        <v/>
      </c>
      <c r="CF160" s="93" t="str">
        <f t="shared" si="36"/>
        <v>NA</v>
      </c>
      <c r="CG160" s="97" t="str">
        <f t="shared" si="37"/>
        <v>#N/A</v>
      </c>
      <c r="CH160" s="98" t="str">
        <f t="shared" si="38"/>
        <v>#N/A</v>
      </c>
      <c r="CI160" s="99" t="str">
        <f t="shared" si="39"/>
        <v>#N/A</v>
      </c>
      <c r="CJ160" s="126" t="str">
        <f t="shared" si="40"/>
        <v>ERROR: check cell</v>
      </c>
      <c r="CK160" s="126"/>
      <c r="CL160" s="127" t="str">
        <f t="shared" si="41"/>
        <v>#DIV/0!</v>
      </c>
      <c r="CM160" s="128" t="str">
        <f t="shared" si="42"/>
        <v>#DIV/0!</v>
      </c>
      <c r="CN160" s="128">
        <f t="shared" si="43"/>
        <v>4</v>
      </c>
      <c r="CO160" s="129">
        <f t="shared" si="44"/>
        <v>4</v>
      </c>
      <c r="CP160" s="129" t="str">
        <f>IFS(C160=Preferences!B$13,B160,B160=Preferences!B$13,C160)</f>
        <v>#N/A</v>
      </c>
    </row>
    <row r="161" ht="13.5" customHeight="1">
      <c r="A161" s="63" t="str">
        <f t="shared" si="45"/>
        <v/>
      </c>
      <c r="B161" s="64"/>
      <c r="C161" s="64"/>
      <c r="D161" s="64"/>
      <c r="E161" s="65"/>
      <c r="F161" s="65"/>
      <c r="G161" s="65"/>
      <c r="H161" s="66"/>
      <c r="I161" s="66"/>
      <c r="J161" s="67"/>
      <c r="K161" s="68"/>
      <c r="L161" s="104"/>
      <c r="M161" s="104"/>
      <c r="N161" s="104"/>
      <c r="O161" s="104"/>
      <c r="P161" s="107" t="str">
        <f t="shared" si="1"/>
        <v/>
      </c>
      <c r="Q161" s="108" t="str">
        <f>IFERROR(IF(AND(Preferences!B$3="Manual",OR(AX161/AW161&gt;G161/F161,BD161="Serious",BD161="Very serious")),"Assess imprecision",IFS(ISBLANK(E161),"",AND(Preferences!B$3="Automatic", G161/F161&gt;=30),"Extremely serious",AND(H161&lt;=$D$1*-1,J161&lt;0,G161/F161&lt;3),"Not serious",AND(H161&lt;=$D$1*-1,J161&lt;0,G161/F161&gt;=3),"Very serious",AND(H161&gt;=$D$1,I161&gt;0,G161/F161&lt;3),"Not serious",AND(H161&gt;=$D$1,I161&gt;0,G161/F161&gt;=3),"Very serious",AND(H161&lt;=$D$1*-1,J161&gt;0,I161&gt;$D$2*-1,G161/F161&lt;3),"Serious", AND(H161&lt;=$D$1*-1,J161&gt;0,I161&lt;$D$2*-1,G161/F161&lt;3),"Very serious", AND(H161&gt;=$D$1,I161&lt;0,J161&lt;$D$2,G161/F161&lt;3),"Serious",AND(H161&gt;=$D$1,I161&lt;0,J161&gt;$D$2,G161/F161&lt;3),"Very serious", AND(H161&lt;=$D$1*-1,J161&gt;0,I161&gt;$D$2*-1,G161/F161&gt;=3),"Very serious", AND(H161&lt;=$D$1*-1,J161&gt;0,I161&lt;$D$2*-1,G161/F161&gt;=3),"Very serious", AND(H161&gt;=$D$1,I161&lt;0,J161&lt;$D$2,G161/F161&gt;=3),"Very serious", AND(H161&gt;=$D$1,I161&lt;0,J161&gt;$D$2,G161/F161&gt;=3),"Very serious", AND(H161&gt;$D$1*-1,H161&lt;$D$1,I161&gt;$D$1*-1,J161&lt;$D$1,G161/F161&lt;3),"Not serious", AND(H161&gt;$D$1*-1,H161&lt;$D$1,OR(I161&lt;=$D$1*-1,J161&gt;=$D$1),I161&gt;$D$2*-1,J161&lt;$D$2,G161/F161&lt;3),"Serious", AND(H161&gt;$D$1*-1,H161&lt;$D$1,OR(I161&lt;=$D$2*-1,J161&gt;=$D$2),G161/F161&lt;3),"Very serious", AND(H161&gt;$D$1*-1,H161&lt;$D$1,I161&gt;$D$1*-1,J161&lt;$D$1,G161/F161&gt;=3),"Very serious", AND(H161&gt;$D$1*-1,H161&lt;$D$1,OR(I161&lt;=$D$1*-1,J161&gt;=$D$1),I161&gt;$D$2*-1,J161&lt;$D$2,G161/F161&gt;=3),"Very serious", AND(H161&gt;$D$1*-1,H161&lt;$D$1,OR(I161&lt;=$D$2*-1,J161&gt;=$D$2),G161/F161&gt;=3),"Very serious")),"")</f>
        <v/>
      </c>
      <c r="R161" s="109" t="str">
        <f t="shared" si="47"/>
        <v/>
      </c>
      <c r="S161" s="64"/>
      <c r="T161" s="72"/>
      <c r="U161" s="72"/>
      <c r="V161" s="72"/>
      <c r="W161" s="73"/>
      <c r="X161" s="73"/>
      <c r="Y161" s="74"/>
      <c r="Z161" s="113" t="str">
        <f t="array" ref="Z161">INDEX($A$1:$C$500, MATCH(1,($B:$B=$B161)*($C:$C=$AB161),0),1)</f>
        <v/>
      </c>
      <c r="AA161" s="113" t="str">
        <f t="array" ref="AA161">INDEX($A$1:$C$500, MATCH(1,($B:$B=$AB161)*($C:$C=$B161),0),1)</f>
        <v/>
      </c>
      <c r="AB161" s="111"/>
      <c r="AC161" s="114" t="str">
        <f t="shared" si="2"/>
        <v/>
      </c>
      <c r="AD161" s="115" t="str">
        <f t="shared" si="3"/>
        <v/>
      </c>
      <c r="AE161" s="116" t="str">
        <f t="array" ref="AE161">INDEX($A$1:$C$500, MATCH(1,($B:$B=$AB161)*($C:$C=$AG161),0),1)</f>
        <v/>
      </c>
      <c r="AF161" s="116" t="str">
        <f t="array" ref="AF161">INDEX($A$1:$C$500, MATCH(1,($B:$B=$AG161)*($C:$C=$AB161),0),1)</f>
        <v/>
      </c>
      <c r="AG161" s="72"/>
      <c r="AH161" s="114" t="str">
        <f t="shared" si="4"/>
        <v/>
      </c>
      <c r="AI161" s="115" t="str">
        <f t="shared" si="5"/>
        <v/>
      </c>
      <c r="AJ161" s="116" t="str">
        <f t="array" ref="AJ161">INDEX($A$1:$C$500, MATCH(1,($B:$B=$C161)*($C:$C=$AG161),0),1)</f>
        <v/>
      </c>
      <c r="AK161" s="116" t="str">
        <f t="array" ref="AK161">INDEX($A$1:$C$500, MATCH(1,($B:$B=$AG161)*($C:$C=$C161),0),1)</f>
        <v/>
      </c>
      <c r="AL161" s="116" t="str">
        <f t="array" ref="AL161">INDEX($A$1:$C$500, MATCH(1,($B:$B=$C161)*($C:$C=$AB161),0),1)</f>
        <v/>
      </c>
      <c r="AM161" s="116" t="str">
        <f t="array" ref="AM161">INDEX($A$1:$C$500, MATCH(1,($B:$B=$AB161)*($C:$C=$C161),0),1)</f>
        <v/>
      </c>
      <c r="AN161" s="114" t="str">
        <f t="array" ref="AN161">IFS(ISNUMBER(AJ161),AJ161,ISNUMBER(AK161),AK161,ISNUMBER(AL161),AL161,ISNUMBER(AM161),AM161)</f>
        <v>#N/A</v>
      </c>
      <c r="AO161" s="115" t="str">
        <f t="shared" si="6"/>
        <v/>
      </c>
      <c r="AP161" s="115" t="str">
        <f t="shared" si="7"/>
        <v/>
      </c>
      <c r="AQ161" s="111"/>
      <c r="AR161" s="109" t="str">
        <f t="shared" si="8"/>
        <v/>
      </c>
      <c r="AS161" s="72" t="str">
        <f>IFERROR(IF(AND(Preferences!B$3="Manual",OR(AX161/AW161&gt;V161/U161,BD161="Serious",BD161="Very serious")),"Assess imprecision",IFERROR(IFS(AND(Preferences!B$3="Automatic",V161/U161&gt;=30),"Extremely serious",AND(W161&lt;=$D$1*-1,Y161&lt;0,V161/U161&lt;3),"Not Serious",AND(W161&lt;=$D$1*-1,Y161&lt;0,V161/U161&gt;=3),"Very serious",AND(W161&gt;=$D$1,X161&gt;0,V161/U161&lt;3),"Not Serious",AND(W161&gt;=$D$1,X161&gt;0,V161/U161&gt;=3),"Very serious",AND(W161&lt;=$D$1*-1,Y161&gt;0,X161&gt;$D$2*-1,V161/U161&lt;3),"Serious", AND(W161&lt;=$D$1*-1,Y161&gt;0,X161&lt;$D$2*-1,V161/U161&lt;3),"Very serious", AND(W161&gt;=$D$1,X161&lt;0,Y161&lt;$D$2,V161/U161&lt;3),"Serious",AND(W161&gt;=$D$1,X161&lt;0,Y161&gt;$D$2,V161/U161&lt;3),"Very serious", AND(W161&lt;=$D$1*-1,Y161&gt;0,X161&gt;$D$2*-1,V161/U161&gt;=3),"Very serious", AND(W161&lt;=$D$1*-1,Y161&gt;0,X161&lt;$D$2*-1,V161/U161&gt;=3),"Very serious", AND(W161&gt;=$D$1,X161&lt;0,Y161&lt;$D$2,V161/U161&gt;=3),"Very serious", AND(W161&gt;=$D$1,X161&lt;0,Y161&gt;$D$2,V161/U161&gt;=3),"Very serious", AND(W161&gt;$D$1*-1,W161&lt;$D$1,X161&gt;$D$1*-1,Y161&lt;$D$1,V161/U161&lt;3),"Not Serious", AND(W161&gt;$D$1*-1,W161&lt;$D$1,OR(X161&lt;=$D$1*-1,Y161&gt;=$D$1),X161&gt;$D$2*-1,Y161&lt;$D$2,V161/U161&lt;3),"Serious", AND(W161&gt;$D$1*-1,W161&lt;$D$1,OR(X161&lt;=$D$2*-1,Y161&gt;=$D$2),V161/U161&lt;3),"Very serious", AND(W161&gt;$D$1*-1,W161&lt;$D$1,X161&gt;$D$1*-1,Y161&lt;$D$1,V161/U161&gt;=3),"Very serious", AND(W161&gt;$D$1*-1,W161&lt;$D$1,OR(X161&lt;=$D$1*-1,Y161&gt;=$D$1),X161&gt;$D$2*-1,Y161&lt;$D$2,V161/U161&gt;=3),"Very serious", AND(W161&gt;$D$1*-1,W161&lt;$D$1,OR(X161&lt;=$D$2*-1,Y161&gt;=$D$2),V161/U161&gt;=3),"Very serious"),"")),"")</f>
        <v/>
      </c>
      <c r="AT161" s="109" t="str">
        <f t="shared" si="9"/>
        <v/>
      </c>
      <c r="AU161" s="64"/>
      <c r="AV161" s="83"/>
      <c r="AW161" s="83"/>
      <c r="AX161" s="83"/>
      <c r="AY161" s="83"/>
      <c r="AZ161" s="83"/>
      <c r="BA161" s="85"/>
      <c r="BB161" s="86" t="str">
        <f>IF(Preferences!B$9="Manual","",IFS(ISBLANK(B161),"",AND(ISNUMBER(E161)=TRUE,ISNUMBER(T161)=FALSE),"Direct", AND(ISNUMBER(E161)=FALSE,ISNUMBER(T161)=TRUE),"Indirect", CN161=4,"Direct",AND(CL161=FALSE, CM161=TRUE,CN161-CO161&gt;-1),"Direct", AND(CL161=FALSE,CM161=TRUE, CN161-CO161&lt;0),"Check algorithm in appendix 2", AND(CL161=TRUE, CM161=FALSE,CN161-CO161&gt;0),"Check algorithm in appendix 2", AND(CL161=TRUE, CM161=FALSE,CN161-CO161=0),"Indirect", AND(CL161=TRUE, CM161=FALSE,CN161-CO161&lt;0),"Indirect", AND(CL161=FALSE,CM161=FALSE,CN161-CO161&gt;-1),"Direct", AND(CL161=FALSE,CM161=FALSE,CN161-CO161&lt;0),"Check algorithm in appendix 2", AND(CL161=TRUE,CM161=TRUE,CN161-CO161&gt;-1),"Direct", AND(CL161=TRUE,CM161=TRUE,CN161-CO161&lt;0),"Check algorithm in appendix 2"))</f>
        <v/>
      </c>
      <c r="BC161" s="120" t="str">
        <f t="shared" si="10"/>
        <v/>
      </c>
      <c r="BD161" s="140"/>
      <c r="BE161" s="122" t="str">
        <f>IF(Preferences!B$3="Manual","", IFERROR(IFS(AND(Preferences!B$3="Automatic",AX161/AW161&gt;=30),"Extremely serious",AND(AY161&lt;=$D$1*-1,BA161&lt;0,AX161/AW161&lt;3),"Not Serious",AND(AY161&lt;=$D$1*-1,BA161&lt;0,AX161/AW161&gt;=3),"Very serious",AND(AY161&gt;=$D$1,AZ161&gt;0,AX161/AW161&lt;3),"Not Serious",AND(AY161&gt;=$D$1,AZ161&gt;0,AX161/AW161&gt;=3),"Very serious",AND(AY161&lt;=$D$1*-1,BA161&gt;0,AZ161&gt;$D$2*-1,AX161/AW161&lt;3),"Serious", AND(AY161&lt;=$D$1*-1,BA161&gt;0,AZ161&lt;$D$2*-1,AX161/AW161&lt;3),"Very serious", AND(AY161&gt;=$D$1,AZ161&lt;0,BA161&lt;$D$2,AX161/AW161&lt;3),"Serious",AND(AY161&gt;=$D$1,AZ161&lt;0,BA161&gt;$D$2,AX161/AW161&lt;3),"Very serious", AND(AY161&lt;=$D$1*-1,BA161&gt;0,AZ161&gt;$D$2*-1,AX161/AW161&gt;=3),"Very serious", AND(AY161&lt;=$D$1*-1,BA161&gt;0,AZ161&lt;$D$2*-1,AX161/AW161&gt;=3),"Very serious", AND(AY161&gt;=$D$1,AZ161&lt;0,BA161&lt;$D$2,AX161/AW161&gt;=3),"Very serious", AND(AY161&gt;=$D$1,AZ161&lt;0,BA161&gt;$D$2,AX161/AW161&gt;=3),"Very serious", AND(AY161&gt;$D$1*-1,AY161&lt;$D$1,AZ161&gt;$D$1*-1,BA161&lt;$D$1,AX161/AW161&lt;3),"Not Serious", AND(AY161&gt;$D$1*-1,AY161&lt;$D$1,OR(AZ161&lt;=$D$1*-1,BA161&gt;=$D$1),AZ161&gt;$D$2*-1,BA161&lt;$D$2,AX161/AW161&lt;3),"Serious", AND(AY161&gt;$D$1*-1,AY161&lt;$D$1,OR(AZ161&lt;=$D$2*-1,BA161&gt;=$D$2),AX161/AW161&lt;3),"Very serious", AND(AY161&gt;$D$1*-1,AY161&lt;$D$1,AZ161&gt;$D$1*-1,BA161&lt;$D$1,AX161/AW161&gt;=3),"Very serious", AND(AY161&gt;$D$1*-1,AY161&lt;$D$1,OR(AZ161&lt;=$D$1*-1,BA161&gt;=$D$1),AZ161&gt;$D$2*-1,BA161&lt;$D$2,AX161/AW161&gt;=3),"Very serious", AND(AY161&gt;$D$1*-1,AY161&lt;$D$1,OR(AZ161&lt;=$D$2*-1,BA161&gt;=$D$2),AX161/AW161&gt;=3),"Very serious"),""))</f>
        <v/>
      </c>
      <c r="BF161" s="107" t="str">
        <f t="shared" si="11"/>
        <v/>
      </c>
      <c r="BG161" s="94" t="str">
        <f t="shared" si="46"/>
        <v/>
      </c>
      <c r="BH161" s="64" t="str">
        <f t="shared" si="12"/>
        <v>#N/A</v>
      </c>
      <c r="BI161" s="64" t="str">
        <f t="shared" si="13"/>
        <v/>
      </c>
      <c r="BJ161" s="123" t="str">
        <f t="shared" si="14"/>
        <v>#N/A</v>
      </c>
      <c r="BK161" s="64" t="str">
        <f t="shared" si="50"/>
        <v>YES</v>
      </c>
      <c r="BL161" s="64" t="str">
        <f t="shared" si="16"/>
        <v>YES</v>
      </c>
      <c r="BM161" s="64" t="str">
        <f t="shared" si="17"/>
        <v>YES</v>
      </c>
      <c r="BN161" s="124" t="str">
        <f t="shared" si="18"/>
        <v/>
      </c>
      <c r="BO161" s="91" t="str">
        <f t="shared" si="19"/>
        <v/>
      </c>
      <c r="BP161" s="91" t="str">
        <f t="shared" si="20"/>
        <v>#N/A</v>
      </c>
      <c r="BQ161" s="91" t="str">
        <f t="shared" si="21"/>
        <v/>
      </c>
      <c r="BR161" s="93" t="str">
        <f t="shared" si="22"/>
        <v/>
      </c>
      <c r="BS161" s="90" t="str">
        <f t="shared" si="23"/>
        <v/>
      </c>
      <c r="BT161" s="93" t="str">
        <f t="shared" si="24"/>
        <v>NA</v>
      </c>
      <c r="BU161" s="125" t="str">
        <f t="shared" si="25"/>
        <v>#N/A</v>
      </c>
      <c r="BV161" s="93" t="str">
        <f t="shared" si="26"/>
        <v/>
      </c>
      <c r="BW161" s="93" t="str">
        <f t="shared" si="27"/>
        <v/>
      </c>
      <c r="BX161" s="93" t="str">
        <f t="shared" si="28"/>
        <v>NA</v>
      </c>
      <c r="BY161" s="95" t="str">
        <f t="shared" si="29"/>
        <v>#N/A</v>
      </c>
      <c r="BZ161" s="93" t="str">
        <f t="shared" si="30"/>
        <v/>
      </c>
      <c r="CA161" s="93" t="str">
        <f t="shared" si="31"/>
        <v/>
      </c>
      <c r="CB161" s="93" t="str">
        <f t="shared" si="32"/>
        <v>NA</v>
      </c>
      <c r="CC161" s="96" t="str">
        <f t="shared" si="33"/>
        <v>#N/A</v>
      </c>
      <c r="CD161" s="93" t="str">
        <f t="shared" si="34"/>
        <v/>
      </c>
      <c r="CE161" s="93" t="str">
        <f t="shared" si="35"/>
        <v/>
      </c>
      <c r="CF161" s="93" t="str">
        <f t="shared" si="36"/>
        <v>NA</v>
      </c>
      <c r="CG161" s="97" t="str">
        <f t="shared" si="37"/>
        <v>#N/A</v>
      </c>
      <c r="CH161" s="98" t="str">
        <f t="shared" si="38"/>
        <v>#N/A</v>
      </c>
      <c r="CI161" s="99" t="str">
        <f t="shared" si="39"/>
        <v>#N/A</v>
      </c>
      <c r="CJ161" s="126" t="str">
        <f t="shared" si="40"/>
        <v>ERROR: check cell</v>
      </c>
      <c r="CK161" s="126"/>
      <c r="CL161" s="127" t="str">
        <f t="shared" si="41"/>
        <v>#DIV/0!</v>
      </c>
      <c r="CM161" s="128" t="str">
        <f t="shared" si="42"/>
        <v>#DIV/0!</v>
      </c>
      <c r="CN161" s="128">
        <f t="shared" si="43"/>
        <v>4</v>
      </c>
      <c r="CO161" s="129">
        <f t="shared" si="44"/>
        <v>4</v>
      </c>
      <c r="CP161" s="129" t="str">
        <f>IFS(C161=Preferences!B$13,B161,B161=Preferences!B$13,C161)</f>
        <v>#N/A</v>
      </c>
    </row>
    <row r="162" ht="13.5" customHeight="1">
      <c r="A162" s="63" t="str">
        <f t="shared" si="45"/>
        <v/>
      </c>
      <c r="B162" s="64"/>
      <c r="C162" s="64"/>
      <c r="D162" s="64"/>
      <c r="E162" s="65"/>
      <c r="F162" s="65"/>
      <c r="G162" s="65"/>
      <c r="H162" s="66"/>
      <c r="I162" s="66"/>
      <c r="J162" s="67"/>
      <c r="K162" s="68"/>
      <c r="L162" s="104"/>
      <c r="M162" s="104"/>
      <c r="N162" s="104"/>
      <c r="O162" s="104"/>
      <c r="P162" s="107" t="str">
        <f t="shared" si="1"/>
        <v/>
      </c>
      <c r="Q162" s="108" t="str">
        <f>IFERROR(IF(AND(Preferences!B$3="Manual",OR(AX162/AW162&gt;G162/F162,BD162="Serious",BD162="Very serious")),"Assess imprecision",IFS(ISBLANK(E162),"",AND(Preferences!B$3="Automatic", G162/F162&gt;=30),"Extremely serious",AND(H162&lt;=$D$1*-1,J162&lt;0,G162/F162&lt;3),"Not serious",AND(H162&lt;=$D$1*-1,J162&lt;0,G162/F162&gt;=3),"Very serious",AND(H162&gt;=$D$1,I162&gt;0,G162/F162&lt;3),"Not serious",AND(H162&gt;=$D$1,I162&gt;0,G162/F162&gt;=3),"Very serious",AND(H162&lt;=$D$1*-1,J162&gt;0,I162&gt;$D$2*-1,G162/F162&lt;3),"Serious", AND(H162&lt;=$D$1*-1,J162&gt;0,I162&lt;$D$2*-1,G162/F162&lt;3),"Very serious", AND(H162&gt;=$D$1,I162&lt;0,J162&lt;$D$2,G162/F162&lt;3),"Serious",AND(H162&gt;=$D$1,I162&lt;0,J162&gt;$D$2,G162/F162&lt;3),"Very serious", AND(H162&lt;=$D$1*-1,J162&gt;0,I162&gt;$D$2*-1,G162/F162&gt;=3),"Very serious", AND(H162&lt;=$D$1*-1,J162&gt;0,I162&lt;$D$2*-1,G162/F162&gt;=3),"Very serious", AND(H162&gt;=$D$1,I162&lt;0,J162&lt;$D$2,G162/F162&gt;=3),"Very serious", AND(H162&gt;=$D$1,I162&lt;0,J162&gt;$D$2,G162/F162&gt;=3),"Very serious", AND(H162&gt;$D$1*-1,H162&lt;$D$1,I162&gt;$D$1*-1,J162&lt;$D$1,G162/F162&lt;3),"Not serious", AND(H162&gt;$D$1*-1,H162&lt;$D$1,OR(I162&lt;=$D$1*-1,J162&gt;=$D$1),I162&gt;$D$2*-1,J162&lt;$D$2,G162/F162&lt;3),"Serious", AND(H162&gt;$D$1*-1,H162&lt;$D$1,OR(I162&lt;=$D$2*-1,J162&gt;=$D$2),G162/F162&lt;3),"Very serious", AND(H162&gt;$D$1*-1,H162&lt;$D$1,I162&gt;$D$1*-1,J162&lt;$D$1,G162/F162&gt;=3),"Very serious", AND(H162&gt;$D$1*-1,H162&lt;$D$1,OR(I162&lt;=$D$1*-1,J162&gt;=$D$1),I162&gt;$D$2*-1,J162&lt;$D$2,G162/F162&gt;=3),"Very serious", AND(H162&gt;$D$1*-1,H162&lt;$D$1,OR(I162&lt;=$D$2*-1,J162&gt;=$D$2),G162/F162&gt;=3),"Very serious")),"")</f>
        <v/>
      </c>
      <c r="R162" s="109" t="str">
        <f t="shared" si="47"/>
        <v/>
      </c>
      <c r="S162" s="64"/>
      <c r="T162" s="72"/>
      <c r="U162" s="72"/>
      <c r="V162" s="72"/>
      <c r="W162" s="73"/>
      <c r="X162" s="73"/>
      <c r="Y162" s="74"/>
      <c r="Z162" s="113" t="str">
        <f t="array" ref="Z162">INDEX($A$1:$C$500, MATCH(1,($B:$B=$B162)*($C:$C=$AB162),0),1)</f>
        <v/>
      </c>
      <c r="AA162" s="113" t="str">
        <f t="array" ref="AA162">INDEX($A$1:$C$500, MATCH(1,($B:$B=$AB162)*($C:$C=$B162),0),1)</f>
        <v/>
      </c>
      <c r="AB162" s="111"/>
      <c r="AC162" s="114" t="str">
        <f t="shared" si="2"/>
        <v/>
      </c>
      <c r="AD162" s="115" t="str">
        <f t="shared" si="3"/>
        <v/>
      </c>
      <c r="AE162" s="116" t="str">
        <f t="array" ref="AE162">INDEX($A$1:$C$500, MATCH(1,($B:$B=$AB162)*($C:$C=$AG162),0),1)</f>
        <v/>
      </c>
      <c r="AF162" s="116" t="str">
        <f t="array" ref="AF162">INDEX($A$1:$C$500, MATCH(1,($B:$B=$AG162)*($C:$C=$AB162),0),1)</f>
        <v/>
      </c>
      <c r="AG162" s="72"/>
      <c r="AH162" s="114" t="str">
        <f t="shared" si="4"/>
        <v/>
      </c>
      <c r="AI162" s="115" t="str">
        <f t="shared" si="5"/>
        <v/>
      </c>
      <c r="AJ162" s="116" t="str">
        <f t="array" ref="AJ162">INDEX($A$1:$C$500, MATCH(1,($B:$B=$C162)*($C:$C=$AG162),0),1)</f>
        <v/>
      </c>
      <c r="AK162" s="116" t="str">
        <f t="array" ref="AK162">INDEX($A$1:$C$500, MATCH(1,($B:$B=$AG162)*($C:$C=$C162),0),1)</f>
        <v/>
      </c>
      <c r="AL162" s="116" t="str">
        <f t="array" ref="AL162">INDEX($A$1:$C$500, MATCH(1,($B:$B=$C162)*($C:$C=$AB162),0),1)</f>
        <v/>
      </c>
      <c r="AM162" s="116" t="str">
        <f t="array" ref="AM162">INDEX($A$1:$C$500, MATCH(1,($B:$B=$AB162)*($C:$C=$C162),0),1)</f>
        <v/>
      </c>
      <c r="AN162" s="114" t="str">
        <f t="array" ref="AN162">IFS(ISNUMBER(AJ162),AJ162,ISNUMBER(AK162),AK162,ISNUMBER(AL162),AL162,ISNUMBER(AM162),AM162)</f>
        <v>#N/A</v>
      </c>
      <c r="AO162" s="115" t="str">
        <f t="shared" si="6"/>
        <v/>
      </c>
      <c r="AP162" s="115" t="str">
        <f t="shared" si="7"/>
        <v/>
      </c>
      <c r="AQ162" s="111"/>
      <c r="AR162" s="109" t="str">
        <f t="shared" si="8"/>
        <v/>
      </c>
      <c r="AS162" s="72" t="str">
        <f>IFERROR(IF(AND(Preferences!B$3="Manual",OR(AX162/AW162&gt;V162/U162,BD162="Serious",BD162="Very serious")),"Assess imprecision",IFERROR(IFS(AND(Preferences!B$3="Automatic",V162/U162&gt;=30),"Extremely serious",AND(W162&lt;=$D$1*-1,Y162&lt;0,V162/U162&lt;3),"Not Serious",AND(W162&lt;=$D$1*-1,Y162&lt;0,V162/U162&gt;=3),"Very serious",AND(W162&gt;=$D$1,X162&gt;0,V162/U162&lt;3),"Not Serious",AND(W162&gt;=$D$1,X162&gt;0,V162/U162&gt;=3),"Very serious",AND(W162&lt;=$D$1*-1,Y162&gt;0,X162&gt;$D$2*-1,V162/U162&lt;3),"Serious", AND(W162&lt;=$D$1*-1,Y162&gt;0,X162&lt;$D$2*-1,V162/U162&lt;3),"Very serious", AND(W162&gt;=$D$1,X162&lt;0,Y162&lt;$D$2,V162/U162&lt;3),"Serious",AND(W162&gt;=$D$1,X162&lt;0,Y162&gt;$D$2,V162/U162&lt;3),"Very serious", AND(W162&lt;=$D$1*-1,Y162&gt;0,X162&gt;$D$2*-1,V162/U162&gt;=3),"Very serious", AND(W162&lt;=$D$1*-1,Y162&gt;0,X162&lt;$D$2*-1,V162/U162&gt;=3),"Very serious", AND(W162&gt;=$D$1,X162&lt;0,Y162&lt;$D$2,V162/U162&gt;=3),"Very serious", AND(W162&gt;=$D$1,X162&lt;0,Y162&gt;$D$2,V162/U162&gt;=3),"Very serious", AND(W162&gt;$D$1*-1,W162&lt;$D$1,X162&gt;$D$1*-1,Y162&lt;$D$1,V162/U162&lt;3),"Not Serious", AND(W162&gt;$D$1*-1,W162&lt;$D$1,OR(X162&lt;=$D$1*-1,Y162&gt;=$D$1),X162&gt;$D$2*-1,Y162&lt;$D$2,V162/U162&lt;3),"Serious", AND(W162&gt;$D$1*-1,W162&lt;$D$1,OR(X162&lt;=$D$2*-1,Y162&gt;=$D$2),V162/U162&lt;3),"Very serious", AND(W162&gt;$D$1*-1,W162&lt;$D$1,X162&gt;$D$1*-1,Y162&lt;$D$1,V162/U162&gt;=3),"Very serious", AND(W162&gt;$D$1*-1,W162&lt;$D$1,OR(X162&lt;=$D$1*-1,Y162&gt;=$D$1),X162&gt;$D$2*-1,Y162&lt;$D$2,V162/U162&gt;=3),"Very serious", AND(W162&gt;$D$1*-1,W162&lt;$D$1,OR(X162&lt;=$D$2*-1,Y162&gt;=$D$2),V162/U162&gt;=3),"Very serious"),"")),"")</f>
        <v/>
      </c>
      <c r="AT162" s="109" t="str">
        <f t="shared" si="9"/>
        <v/>
      </c>
      <c r="AU162" s="64"/>
      <c r="AV162" s="83"/>
      <c r="AW162" s="83"/>
      <c r="AX162" s="83"/>
      <c r="AY162" s="83"/>
      <c r="AZ162" s="83"/>
      <c r="BA162" s="85"/>
      <c r="BB162" s="86" t="str">
        <f>IF(Preferences!B$9="Manual","",IFS(ISBLANK(B162),"",AND(ISNUMBER(E162)=TRUE,ISNUMBER(T162)=FALSE),"Direct", AND(ISNUMBER(E162)=FALSE,ISNUMBER(T162)=TRUE),"Indirect", CN162=4,"Direct",AND(CL162=FALSE, CM162=TRUE,CN162-CO162&gt;-1),"Direct", AND(CL162=FALSE,CM162=TRUE, CN162-CO162&lt;0),"Check algorithm in appendix 2", AND(CL162=TRUE, CM162=FALSE,CN162-CO162&gt;0),"Check algorithm in appendix 2", AND(CL162=TRUE, CM162=FALSE,CN162-CO162=0),"Indirect", AND(CL162=TRUE, CM162=FALSE,CN162-CO162&lt;0),"Indirect", AND(CL162=FALSE,CM162=FALSE,CN162-CO162&gt;-1),"Direct", AND(CL162=FALSE,CM162=FALSE,CN162-CO162&lt;0),"Check algorithm in appendix 2", AND(CL162=TRUE,CM162=TRUE,CN162-CO162&gt;-1),"Direct", AND(CL162=TRUE,CM162=TRUE,CN162-CO162&lt;0),"Check algorithm in appendix 2"))</f>
        <v/>
      </c>
      <c r="BC162" s="120" t="str">
        <f t="shared" si="10"/>
        <v/>
      </c>
      <c r="BD162" s="140"/>
      <c r="BE162" s="122" t="str">
        <f>IF(Preferences!B$3="Manual","", IFERROR(IFS(AND(Preferences!B$3="Automatic",AX162/AW162&gt;=30),"Extremely serious",AND(AY162&lt;=$D$1*-1,BA162&lt;0,AX162/AW162&lt;3),"Not Serious",AND(AY162&lt;=$D$1*-1,BA162&lt;0,AX162/AW162&gt;=3),"Very serious",AND(AY162&gt;=$D$1,AZ162&gt;0,AX162/AW162&lt;3),"Not Serious",AND(AY162&gt;=$D$1,AZ162&gt;0,AX162/AW162&gt;=3),"Very serious",AND(AY162&lt;=$D$1*-1,BA162&gt;0,AZ162&gt;$D$2*-1,AX162/AW162&lt;3),"Serious", AND(AY162&lt;=$D$1*-1,BA162&gt;0,AZ162&lt;$D$2*-1,AX162/AW162&lt;3),"Very serious", AND(AY162&gt;=$D$1,AZ162&lt;0,BA162&lt;$D$2,AX162/AW162&lt;3),"Serious",AND(AY162&gt;=$D$1,AZ162&lt;0,BA162&gt;$D$2,AX162/AW162&lt;3),"Very serious", AND(AY162&lt;=$D$1*-1,BA162&gt;0,AZ162&gt;$D$2*-1,AX162/AW162&gt;=3),"Very serious", AND(AY162&lt;=$D$1*-1,BA162&gt;0,AZ162&lt;$D$2*-1,AX162/AW162&gt;=3),"Very serious", AND(AY162&gt;=$D$1,AZ162&lt;0,BA162&lt;$D$2,AX162/AW162&gt;=3),"Very serious", AND(AY162&gt;=$D$1,AZ162&lt;0,BA162&gt;$D$2,AX162/AW162&gt;=3),"Very serious", AND(AY162&gt;$D$1*-1,AY162&lt;$D$1,AZ162&gt;$D$1*-1,BA162&lt;$D$1,AX162/AW162&lt;3),"Not Serious", AND(AY162&gt;$D$1*-1,AY162&lt;$D$1,OR(AZ162&lt;=$D$1*-1,BA162&gt;=$D$1),AZ162&gt;$D$2*-1,BA162&lt;$D$2,AX162/AW162&lt;3),"Serious", AND(AY162&gt;$D$1*-1,AY162&lt;$D$1,OR(AZ162&lt;=$D$2*-1,BA162&gt;=$D$2),AX162/AW162&lt;3),"Very serious", AND(AY162&gt;$D$1*-1,AY162&lt;$D$1,AZ162&gt;$D$1*-1,BA162&lt;$D$1,AX162/AW162&gt;=3),"Very serious", AND(AY162&gt;$D$1*-1,AY162&lt;$D$1,OR(AZ162&lt;=$D$1*-1,BA162&gt;=$D$1),AZ162&gt;$D$2*-1,BA162&lt;$D$2,AX162/AW162&gt;=3),"Very serious", AND(AY162&gt;$D$1*-1,AY162&lt;$D$1,OR(AZ162&lt;=$D$2*-1,BA162&gt;=$D$2),AX162/AW162&gt;=3),"Very serious"),""))</f>
        <v/>
      </c>
      <c r="BF162" s="107" t="str">
        <f t="shared" si="11"/>
        <v/>
      </c>
      <c r="BG162" s="94" t="str">
        <f t="shared" si="46"/>
        <v/>
      </c>
      <c r="BH162" s="64" t="str">
        <f t="shared" si="12"/>
        <v>#N/A</v>
      </c>
      <c r="BI162" s="64" t="str">
        <f t="shared" si="13"/>
        <v/>
      </c>
      <c r="BJ162" s="123" t="str">
        <f t="shared" si="14"/>
        <v>#N/A</v>
      </c>
      <c r="BK162" s="64" t="str">
        <f t="shared" si="50"/>
        <v>YES</v>
      </c>
      <c r="BL162" s="64" t="str">
        <f t="shared" si="16"/>
        <v>YES</v>
      </c>
      <c r="BM162" s="64" t="str">
        <f t="shared" si="17"/>
        <v>YES</v>
      </c>
      <c r="BN162" s="124" t="str">
        <f t="shared" si="18"/>
        <v/>
      </c>
      <c r="BO162" s="91" t="str">
        <f t="shared" si="19"/>
        <v/>
      </c>
      <c r="BP162" s="91" t="str">
        <f t="shared" si="20"/>
        <v>#N/A</v>
      </c>
      <c r="BQ162" s="91" t="str">
        <f t="shared" si="21"/>
        <v/>
      </c>
      <c r="BR162" s="93" t="str">
        <f t="shared" si="22"/>
        <v/>
      </c>
      <c r="BS162" s="90" t="str">
        <f t="shared" si="23"/>
        <v/>
      </c>
      <c r="BT162" s="93" t="str">
        <f t="shared" si="24"/>
        <v>NA</v>
      </c>
      <c r="BU162" s="125" t="str">
        <f t="shared" si="25"/>
        <v>#N/A</v>
      </c>
      <c r="BV162" s="93" t="str">
        <f t="shared" si="26"/>
        <v/>
      </c>
      <c r="BW162" s="93" t="str">
        <f t="shared" si="27"/>
        <v/>
      </c>
      <c r="BX162" s="93" t="str">
        <f t="shared" si="28"/>
        <v>NA</v>
      </c>
      <c r="BY162" s="95" t="str">
        <f t="shared" si="29"/>
        <v>#N/A</v>
      </c>
      <c r="BZ162" s="93" t="str">
        <f t="shared" si="30"/>
        <v/>
      </c>
      <c r="CA162" s="93" t="str">
        <f t="shared" si="31"/>
        <v/>
      </c>
      <c r="CB162" s="93" t="str">
        <f t="shared" si="32"/>
        <v>NA</v>
      </c>
      <c r="CC162" s="96" t="str">
        <f t="shared" si="33"/>
        <v>#N/A</v>
      </c>
      <c r="CD162" s="93" t="str">
        <f t="shared" si="34"/>
        <v/>
      </c>
      <c r="CE162" s="93" t="str">
        <f t="shared" si="35"/>
        <v/>
      </c>
      <c r="CF162" s="93" t="str">
        <f t="shared" si="36"/>
        <v>NA</v>
      </c>
      <c r="CG162" s="97" t="str">
        <f t="shared" si="37"/>
        <v>#N/A</v>
      </c>
      <c r="CH162" s="98" t="str">
        <f t="shared" si="38"/>
        <v>#N/A</v>
      </c>
      <c r="CI162" s="99" t="str">
        <f t="shared" si="39"/>
        <v>#N/A</v>
      </c>
      <c r="CJ162" s="126" t="str">
        <f t="shared" si="40"/>
        <v>ERROR: check cell</v>
      </c>
      <c r="CK162" s="126"/>
      <c r="CL162" s="127" t="str">
        <f t="shared" si="41"/>
        <v>#DIV/0!</v>
      </c>
      <c r="CM162" s="128" t="str">
        <f t="shared" si="42"/>
        <v>#DIV/0!</v>
      </c>
      <c r="CN162" s="128">
        <f t="shared" si="43"/>
        <v>4</v>
      </c>
      <c r="CO162" s="129">
        <f t="shared" si="44"/>
        <v>4</v>
      </c>
      <c r="CP162" s="129" t="str">
        <f>IFS(C162=Preferences!B$13,B162,B162=Preferences!B$13,C162)</f>
        <v>#N/A</v>
      </c>
    </row>
    <row r="163" ht="13.5" customHeight="1">
      <c r="A163" s="63" t="str">
        <f t="shared" si="45"/>
        <v/>
      </c>
      <c r="B163" s="64"/>
      <c r="C163" s="64"/>
      <c r="D163" s="64"/>
      <c r="E163" s="65"/>
      <c r="F163" s="65"/>
      <c r="G163" s="65"/>
      <c r="H163" s="66"/>
      <c r="I163" s="66"/>
      <c r="J163" s="67"/>
      <c r="K163" s="68"/>
      <c r="L163" s="104"/>
      <c r="M163" s="104"/>
      <c r="N163" s="104"/>
      <c r="O163" s="104"/>
      <c r="P163" s="107" t="str">
        <f t="shared" si="1"/>
        <v/>
      </c>
      <c r="Q163" s="108" t="str">
        <f>IFERROR(IF(AND(Preferences!B$3="Manual",OR(AX163/AW163&gt;G163/F163,BD163="Serious",BD163="Very serious")),"Assess imprecision",IFS(ISBLANK(E163),"",AND(Preferences!B$3="Automatic", G163/F163&gt;=30),"Extremely serious",AND(H163&lt;=$D$1*-1,J163&lt;0,G163/F163&lt;3),"Not serious",AND(H163&lt;=$D$1*-1,J163&lt;0,G163/F163&gt;=3),"Very serious",AND(H163&gt;=$D$1,I163&gt;0,G163/F163&lt;3),"Not serious",AND(H163&gt;=$D$1,I163&gt;0,G163/F163&gt;=3),"Very serious",AND(H163&lt;=$D$1*-1,J163&gt;0,I163&gt;$D$2*-1,G163/F163&lt;3),"Serious", AND(H163&lt;=$D$1*-1,J163&gt;0,I163&lt;$D$2*-1,G163/F163&lt;3),"Very serious", AND(H163&gt;=$D$1,I163&lt;0,J163&lt;$D$2,G163/F163&lt;3),"Serious",AND(H163&gt;=$D$1,I163&lt;0,J163&gt;$D$2,G163/F163&lt;3),"Very serious", AND(H163&lt;=$D$1*-1,J163&gt;0,I163&gt;$D$2*-1,G163/F163&gt;=3),"Very serious", AND(H163&lt;=$D$1*-1,J163&gt;0,I163&lt;$D$2*-1,G163/F163&gt;=3),"Very serious", AND(H163&gt;=$D$1,I163&lt;0,J163&lt;$D$2,G163/F163&gt;=3),"Very serious", AND(H163&gt;=$D$1,I163&lt;0,J163&gt;$D$2,G163/F163&gt;=3),"Very serious", AND(H163&gt;$D$1*-1,H163&lt;$D$1,I163&gt;$D$1*-1,J163&lt;$D$1,G163/F163&lt;3),"Not serious", AND(H163&gt;$D$1*-1,H163&lt;$D$1,OR(I163&lt;=$D$1*-1,J163&gt;=$D$1),I163&gt;$D$2*-1,J163&lt;$D$2,G163/F163&lt;3),"Serious", AND(H163&gt;$D$1*-1,H163&lt;$D$1,OR(I163&lt;=$D$2*-1,J163&gt;=$D$2),G163/F163&lt;3),"Very serious", AND(H163&gt;$D$1*-1,H163&lt;$D$1,I163&gt;$D$1*-1,J163&lt;$D$1,G163/F163&gt;=3),"Very serious", AND(H163&gt;$D$1*-1,H163&lt;$D$1,OR(I163&lt;=$D$1*-1,J163&gt;=$D$1),I163&gt;$D$2*-1,J163&lt;$D$2,G163/F163&gt;=3),"Very serious", AND(H163&gt;$D$1*-1,H163&lt;$D$1,OR(I163&lt;=$D$2*-1,J163&gt;=$D$2),G163/F163&gt;=3),"Very serious")),"")</f>
        <v/>
      </c>
      <c r="R163" s="109" t="str">
        <f t="shared" si="47"/>
        <v/>
      </c>
      <c r="S163" s="64"/>
      <c r="T163" s="72"/>
      <c r="U163" s="72"/>
      <c r="V163" s="72"/>
      <c r="W163" s="73"/>
      <c r="X163" s="73"/>
      <c r="Y163" s="74"/>
      <c r="Z163" s="113" t="str">
        <f t="array" ref="Z163">INDEX($A$1:$C$500, MATCH(1,($B:$B=$B163)*($C:$C=$AB163),0),1)</f>
        <v/>
      </c>
      <c r="AA163" s="113" t="str">
        <f t="array" ref="AA163">INDEX($A$1:$C$500, MATCH(1,($B:$B=$AB163)*($C:$C=$B163),0),1)</f>
        <v/>
      </c>
      <c r="AB163" s="111"/>
      <c r="AC163" s="114" t="str">
        <f t="shared" si="2"/>
        <v/>
      </c>
      <c r="AD163" s="115" t="str">
        <f t="shared" si="3"/>
        <v/>
      </c>
      <c r="AE163" s="116" t="str">
        <f t="array" ref="AE163">INDEX($A$1:$C$500, MATCH(1,($B:$B=$AB163)*($C:$C=$AG163),0),1)</f>
        <v/>
      </c>
      <c r="AF163" s="116" t="str">
        <f t="array" ref="AF163">INDEX($A$1:$C$500, MATCH(1,($B:$B=$AG163)*($C:$C=$AB163),0),1)</f>
        <v/>
      </c>
      <c r="AG163" s="72"/>
      <c r="AH163" s="114" t="str">
        <f t="shared" si="4"/>
        <v/>
      </c>
      <c r="AI163" s="115" t="str">
        <f t="shared" si="5"/>
        <v/>
      </c>
      <c r="AJ163" s="116" t="str">
        <f t="array" ref="AJ163">INDEX($A$1:$C$500, MATCH(1,($B:$B=$C163)*($C:$C=$AG163),0),1)</f>
        <v/>
      </c>
      <c r="AK163" s="116" t="str">
        <f t="array" ref="AK163">INDEX($A$1:$C$500, MATCH(1,($B:$B=$AG163)*($C:$C=$C163),0),1)</f>
        <v/>
      </c>
      <c r="AL163" s="116" t="str">
        <f t="array" ref="AL163">INDEX($A$1:$C$500, MATCH(1,($B:$B=$C163)*($C:$C=$AB163),0),1)</f>
        <v/>
      </c>
      <c r="AM163" s="116" t="str">
        <f t="array" ref="AM163">INDEX($A$1:$C$500, MATCH(1,($B:$B=$AB163)*($C:$C=$C163),0),1)</f>
        <v/>
      </c>
      <c r="AN163" s="114" t="str">
        <f t="array" ref="AN163">IFS(ISNUMBER(AJ163),AJ163,ISNUMBER(AK163),AK163,ISNUMBER(AL163),AL163,ISNUMBER(AM163),AM163)</f>
        <v>#N/A</v>
      </c>
      <c r="AO163" s="115" t="str">
        <f t="shared" si="6"/>
        <v/>
      </c>
      <c r="AP163" s="115" t="str">
        <f t="shared" si="7"/>
        <v/>
      </c>
      <c r="AQ163" s="111"/>
      <c r="AR163" s="109" t="str">
        <f t="shared" si="8"/>
        <v/>
      </c>
      <c r="AS163" s="72" t="str">
        <f>IFERROR(IF(AND(Preferences!B$3="Manual",OR(AX163/AW163&gt;V163/U163,BD163="Serious",BD163="Very serious")),"Assess imprecision",IFERROR(IFS(AND(Preferences!B$3="Automatic",V163/U163&gt;=30),"Extremely serious",AND(W163&lt;=$D$1*-1,Y163&lt;0,V163/U163&lt;3),"Not Serious",AND(W163&lt;=$D$1*-1,Y163&lt;0,V163/U163&gt;=3),"Very serious",AND(W163&gt;=$D$1,X163&gt;0,V163/U163&lt;3),"Not Serious",AND(W163&gt;=$D$1,X163&gt;0,V163/U163&gt;=3),"Very serious",AND(W163&lt;=$D$1*-1,Y163&gt;0,X163&gt;$D$2*-1,V163/U163&lt;3),"Serious", AND(W163&lt;=$D$1*-1,Y163&gt;0,X163&lt;$D$2*-1,V163/U163&lt;3),"Very serious", AND(W163&gt;=$D$1,X163&lt;0,Y163&lt;$D$2,V163/U163&lt;3),"Serious",AND(W163&gt;=$D$1,X163&lt;0,Y163&gt;$D$2,V163/U163&lt;3),"Very serious", AND(W163&lt;=$D$1*-1,Y163&gt;0,X163&gt;$D$2*-1,V163/U163&gt;=3),"Very serious", AND(W163&lt;=$D$1*-1,Y163&gt;0,X163&lt;$D$2*-1,V163/U163&gt;=3),"Very serious", AND(W163&gt;=$D$1,X163&lt;0,Y163&lt;$D$2,V163/U163&gt;=3),"Very serious", AND(W163&gt;=$D$1,X163&lt;0,Y163&gt;$D$2,V163/U163&gt;=3),"Very serious", AND(W163&gt;$D$1*-1,W163&lt;$D$1,X163&gt;$D$1*-1,Y163&lt;$D$1,V163/U163&lt;3),"Not Serious", AND(W163&gt;$D$1*-1,W163&lt;$D$1,OR(X163&lt;=$D$1*-1,Y163&gt;=$D$1),X163&gt;$D$2*-1,Y163&lt;$D$2,V163/U163&lt;3),"Serious", AND(W163&gt;$D$1*-1,W163&lt;$D$1,OR(X163&lt;=$D$2*-1,Y163&gt;=$D$2),V163/U163&lt;3),"Very serious", AND(W163&gt;$D$1*-1,W163&lt;$D$1,X163&gt;$D$1*-1,Y163&lt;$D$1,V163/U163&gt;=3),"Very serious", AND(W163&gt;$D$1*-1,W163&lt;$D$1,OR(X163&lt;=$D$1*-1,Y163&gt;=$D$1),X163&gt;$D$2*-1,Y163&lt;$D$2,V163/U163&gt;=3),"Very serious", AND(W163&gt;$D$1*-1,W163&lt;$D$1,OR(X163&lt;=$D$2*-1,Y163&gt;=$D$2),V163/U163&gt;=3),"Very serious"),"")),"")</f>
        <v/>
      </c>
      <c r="AT163" s="109" t="str">
        <f t="shared" si="9"/>
        <v/>
      </c>
      <c r="AU163" s="64"/>
      <c r="AV163" s="83"/>
      <c r="AW163" s="83"/>
      <c r="AX163" s="83"/>
      <c r="AY163" s="83"/>
      <c r="AZ163" s="83"/>
      <c r="BA163" s="85"/>
      <c r="BB163" s="86" t="str">
        <f>IF(Preferences!B$9="Manual","",IFS(ISBLANK(B163),"",AND(ISNUMBER(E163)=TRUE,ISNUMBER(T163)=FALSE),"Direct", AND(ISNUMBER(E163)=FALSE,ISNUMBER(T163)=TRUE),"Indirect", CN163=4,"Direct",AND(CL163=FALSE, CM163=TRUE,CN163-CO163&gt;-1),"Direct", AND(CL163=FALSE,CM163=TRUE, CN163-CO163&lt;0),"Check algorithm in appendix 2", AND(CL163=TRUE, CM163=FALSE,CN163-CO163&gt;0),"Check algorithm in appendix 2", AND(CL163=TRUE, CM163=FALSE,CN163-CO163=0),"Indirect", AND(CL163=TRUE, CM163=FALSE,CN163-CO163&lt;0),"Indirect", AND(CL163=FALSE,CM163=FALSE,CN163-CO163&gt;-1),"Direct", AND(CL163=FALSE,CM163=FALSE,CN163-CO163&lt;0),"Check algorithm in appendix 2", AND(CL163=TRUE,CM163=TRUE,CN163-CO163&gt;-1),"Direct", AND(CL163=TRUE,CM163=TRUE,CN163-CO163&lt;0),"Check algorithm in appendix 2"))</f>
        <v/>
      </c>
      <c r="BC163" s="120" t="str">
        <f t="shared" si="10"/>
        <v/>
      </c>
      <c r="BD163" s="140"/>
      <c r="BE163" s="122" t="str">
        <f>IF(Preferences!B$3="Manual","", IFERROR(IFS(AND(Preferences!B$3="Automatic",AX163/AW163&gt;=30),"Extremely serious",AND(AY163&lt;=$D$1*-1,BA163&lt;0,AX163/AW163&lt;3),"Not Serious",AND(AY163&lt;=$D$1*-1,BA163&lt;0,AX163/AW163&gt;=3),"Very serious",AND(AY163&gt;=$D$1,AZ163&gt;0,AX163/AW163&lt;3),"Not Serious",AND(AY163&gt;=$D$1,AZ163&gt;0,AX163/AW163&gt;=3),"Very serious",AND(AY163&lt;=$D$1*-1,BA163&gt;0,AZ163&gt;$D$2*-1,AX163/AW163&lt;3),"Serious", AND(AY163&lt;=$D$1*-1,BA163&gt;0,AZ163&lt;$D$2*-1,AX163/AW163&lt;3),"Very serious", AND(AY163&gt;=$D$1,AZ163&lt;0,BA163&lt;$D$2,AX163/AW163&lt;3),"Serious",AND(AY163&gt;=$D$1,AZ163&lt;0,BA163&gt;$D$2,AX163/AW163&lt;3),"Very serious", AND(AY163&lt;=$D$1*-1,BA163&gt;0,AZ163&gt;$D$2*-1,AX163/AW163&gt;=3),"Very serious", AND(AY163&lt;=$D$1*-1,BA163&gt;0,AZ163&lt;$D$2*-1,AX163/AW163&gt;=3),"Very serious", AND(AY163&gt;=$D$1,AZ163&lt;0,BA163&lt;$D$2,AX163/AW163&gt;=3),"Very serious", AND(AY163&gt;=$D$1,AZ163&lt;0,BA163&gt;$D$2,AX163/AW163&gt;=3),"Very serious", AND(AY163&gt;$D$1*-1,AY163&lt;$D$1,AZ163&gt;$D$1*-1,BA163&lt;$D$1,AX163/AW163&lt;3),"Not Serious", AND(AY163&gt;$D$1*-1,AY163&lt;$D$1,OR(AZ163&lt;=$D$1*-1,BA163&gt;=$D$1),AZ163&gt;$D$2*-1,BA163&lt;$D$2,AX163/AW163&lt;3),"Serious", AND(AY163&gt;$D$1*-1,AY163&lt;$D$1,OR(AZ163&lt;=$D$2*-1,BA163&gt;=$D$2),AX163/AW163&lt;3),"Very serious", AND(AY163&gt;$D$1*-1,AY163&lt;$D$1,AZ163&gt;$D$1*-1,BA163&lt;$D$1,AX163/AW163&gt;=3),"Very serious", AND(AY163&gt;$D$1*-1,AY163&lt;$D$1,OR(AZ163&lt;=$D$1*-1,BA163&gt;=$D$1),AZ163&gt;$D$2*-1,BA163&lt;$D$2,AX163/AW163&gt;=3),"Very serious", AND(AY163&gt;$D$1*-1,AY163&lt;$D$1,OR(AZ163&lt;=$D$2*-1,BA163&gt;=$D$2),AX163/AW163&gt;=3),"Very serious"),""))</f>
        <v/>
      </c>
      <c r="BF163" s="107" t="str">
        <f t="shared" si="11"/>
        <v/>
      </c>
      <c r="BG163" s="94" t="str">
        <f t="shared" si="46"/>
        <v/>
      </c>
      <c r="BH163" s="64" t="str">
        <f t="shared" si="12"/>
        <v>#N/A</v>
      </c>
      <c r="BI163" s="64" t="str">
        <f t="shared" si="13"/>
        <v/>
      </c>
      <c r="BJ163" s="123" t="str">
        <f t="shared" si="14"/>
        <v>#N/A</v>
      </c>
      <c r="BK163" s="64" t="str">
        <f t="shared" si="50"/>
        <v>YES</v>
      </c>
      <c r="BL163" s="64" t="str">
        <f t="shared" si="16"/>
        <v>YES</v>
      </c>
      <c r="BM163" s="64" t="str">
        <f t="shared" si="17"/>
        <v>YES</v>
      </c>
      <c r="BN163" s="124" t="str">
        <f t="shared" si="18"/>
        <v/>
      </c>
      <c r="BO163" s="91" t="str">
        <f t="shared" si="19"/>
        <v/>
      </c>
      <c r="BP163" s="91" t="str">
        <f t="shared" si="20"/>
        <v>#N/A</v>
      </c>
      <c r="BQ163" s="91" t="str">
        <f t="shared" si="21"/>
        <v/>
      </c>
      <c r="BR163" s="93" t="str">
        <f t="shared" si="22"/>
        <v/>
      </c>
      <c r="BS163" s="90" t="str">
        <f t="shared" si="23"/>
        <v/>
      </c>
      <c r="BT163" s="93" t="str">
        <f t="shared" si="24"/>
        <v>NA</v>
      </c>
      <c r="BU163" s="125" t="str">
        <f t="shared" si="25"/>
        <v>#N/A</v>
      </c>
      <c r="BV163" s="93" t="str">
        <f t="shared" si="26"/>
        <v/>
      </c>
      <c r="BW163" s="93" t="str">
        <f t="shared" si="27"/>
        <v/>
      </c>
      <c r="BX163" s="93" t="str">
        <f t="shared" si="28"/>
        <v>NA</v>
      </c>
      <c r="BY163" s="95" t="str">
        <f t="shared" si="29"/>
        <v>#N/A</v>
      </c>
      <c r="BZ163" s="93" t="str">
        <f t="shared" si="30"/>
        <v/>
      </c>
      <c r="CA163" s="93" t="str">
        <f t="shared" si="31"/>
        <v/>
      </c>
      <c r="CB163" s="93" t="str">
        <f t="shared" si="32"/>
        <v>NA</v>
      </c>
      <c r="CC163" s="96" t="str">
        <f t="shared" si="33"/>
        <v>#N/A</v>
      </c>
      <c r="CD163" s="93" t="str">
        <f t="shared" si="34"/>
        <v/>
      </c>
      <c r="CE163" s="93" t="str">
        <f t="shared" si="35"/>
        <v/>
      </c>
      <c r="CF163" s="93" t="str">
        <f t="shared" si="36"/>
        <v>NA</v>
      </c>
      <c r="CG163" s="97" t="str">
        <f t="shared" si="37"/>
        <v>#N/A</v>
      </c>
      <c r="CH163" s="98" t="str">
        <f t="shared" si="38"/>
        <v>#N/A</v>
      </c>
      <c r="CI163" s="99" t="str">
        <f t="shared" si="39"/>
        <v>#N/A</v>
      </c>
      <c r="CJ163" s="126" t="str">
        <f t="shared" si="40"/>
        <v>ERROR: check cell</v>
      </c>
      <c r="CK163" s="126"/>
      <c r="CL163" s="127" t="str">
        <f t="shared" si="41"/>
        <v>#DIV/0!</v>
      </c>
      <c r="CM163" s="128" t="str">
        <f t="shared" si="42"/>
        <v>#DIV/0!</v>
      </c>
      <c r="CN163" s="128">
        <f t="shared" si="43"/>
        <v>4</v>
      </c>
      <c r="CO163" s="129">
        <f t="shared" si="44"/>
        <v>4</v>
      </c>
      <c r="CP163" s="129" t="str">
        <f>IFS(C163=Preferences!B$13,B163,B163=Preferences!B$13,C163)</f>
        <v>#N/A</v>
      </c>
    </row>
    <row r="164" ht="13.5" customHeight="1">
      <c r="A164" s="63" t="str">
        <f t="shared" si="45"/>
        <v/>
      </c>
      <c r="B164" s="64"/>
      <c r="C164" s="64"/>
      <c r="D164" s="64"/>
      <c r="E164" s="65"/>
      <c r="F164" s="65"/>
      <c r="G164" s="65"/>
      <c r="H164" s="66"/>
      <c r="I164" s="66"/>
      <c r="J164" s="67"/>
      <c r="K164" s="68"/>
      <c r="L164" s="104"/>
      <c r="M164" s="104"/>
      <c r="N164" s="104"/>
      <c r="O164" s="104"/>
      <c r="P164" s="107" t="str">
        <f t="shared" si="1"/>
        <v/>
      </c>
      <c r="Q164" s="108" t="str">
        <f>IFERROR(IF(AND(Preferences!B$3="Manual",OR(AX164/AW164&gt;G164/F164,BD164="Serious",BD164="Very serious")),"Assess imprecision",IFS(ISBLANK(E164),"",AND(Preferences!B$3="Automatic", G164/F164&gt;=30),"Extremely serious",AND(H164&lt;=$D$1*-1,J164&lt;0,G164/F164&lt;3),"Not serious",AND(H164&lt;=$D$1*-1,J164&lt;0,G164/F164&gt;=3),"Very serious",AND(H164&gt;=$D$1,I164&gt;0,G164/F164&lt;3),"Not serious",AND(H164&gt;=$D$1,I164&gt;0,G164/F164&gt;=3),"Very serious",AND(H164&lt;=$D$1*-1,J164&gt;0,I164&gt;$D$2*-1,G164/F164&lt;3),"Serious", AND(H164&lt;=$D$1*-1,J164&gt;0,I164&lt;$D$2*-1,G164/F164&lt;3),"Very serious", AND(H164&gt;=$D$1,I164&lt;0,J164&lt;$D$2,G164/F164&lt;3),"Serious",AND(H164&gt;=$D$1,I164&lt;0,J164&gt;$D$2,G164/F164&lt;3),"Very serious", AND(H164&lt;=$D$1*-1,J164&gt;0,I164&gt;$D$2*-1,G164/F164&gt;=3),"Very serious", AND(H164&lt;=$D$1*-1,J164&gt;0,I164&lt;$D$2*-1,G164/F164&gt;=3),"Very serious", AND(H164&gt;=$D$1,I164&lt;0,J164&lt;$D$2,G164/F164&gt;=3),"Very serious", AND(H164&gt;=$D$1,I164&lt;0,J164&gt;$D$2,G164/F164&gt;=3),"Very serious", AND(H164&gt;$D$1*-1,H164&lt;$D$1,I164&gt;$D$1*-1,J164&lt;$D$1,G164/F164&lt;3),"Not serious", AND(H164&gt;$D$1*-1,H164&lt;$D$1,OR(I164&lt;=$D$1*-1,J164&gt;=$D$1),I164&gt;$D$2*-1,J164&lt;$D$2,G164/F164&lt;3),"Serious", AND(H164&gt;$D$1*-1,H164&lt;$D$1,OR(I164&lt;=$D$2*-1,J164&gt;=$D$2),G164/F164&lt;3),"Very serious", AND(H164&gt;$D$1*-1,H164&lt;$D$1,I164&gt;$D$1*-1,J164&lt;$D$1,G164/F164&gt;=3),"Very serious", AND(H164&gt;$D$1*-1,H164&lt;$D$1,OR(I164&lt;=$D$1*-1,J164&gt;=$D$1),I164&gt;$D$2*-1,J164&lt;$D$2,G164/F164&gt;=3),"Very serious", AND(H164&gt;$D$1*-1,H164&lt;$D$1,OR(I164&lt;=$D$2*-1,J164&gt;=$D$2),G164/F164&gt;=3),"Very serious")),"")</f>
        <v/>
      </c>
      <c r="R164" s="109" t="str">
        <f t="shared" si="47"/>
        <v/>
      </c>
      <c r="S164" s="64"/>
      <c r="T164" s="72"/>
      <c r="U164" s="72"/>
      <c r="V164" s="72"/>
      <c r="W164" s="73"/>
      <c r="X164" s="73"/>
      <c r="Y164" s="74"/>
      <c r="Z164" s="113" t="str">
        <f t="array" ref="Z164">INDEX($A$1:$C$500, MATCH(1,($B:$B=$B164)*($C:$C=$AB164),0),1)</f>
        <v/>
      </c>
      <c r="AA164" s="113" t="str">
        <f t="array" ref="AA164">INDEX($A$1:$C$500, MATCH(1,($B:$B=$AB164)*($C:$C=$B164),0),1)</f>
        <v/>
      </c>
      <c r="AB164" s="111"/>
      <c r="AC164" s="114" t="str">
        <f t="shared" si="2"/>
        <v/>
      </c>
      <c r="AD164" s="115" t="str">
        <f t="shared" si="3"/>
        <v/>
      </c>
      <c r="AE164" s="116" t="str">
        <f t="array" ref="AE164">INDEX($A$1:$C$500, MATCH(1,($B:$B=$AB164)*($C:$C=$AG164),0),1)</f>
        <v/>
      </c>
      <c r="AF164" s="116" t="str">
        <f t="array" ref="AF164">INDEX($A$1:$C$500, MATCH(1,($B:$B=$AG164)*($C:$C=$AB164),0),1)</f>
        <v/>
      </c>
      <c r="AG164" s="72"/>
      <c r="AH164" s="114" t="str">
        <f t="shared" si="4"/>
        <v/>
      </c>
      <c r="AI164" s="115" t="str">
        <f t="shared" si="5"/>
        <v/>
      </c>
      <c r="AJ164" s="116" t="str">
        <f t="array" ref="AJ164">INDEX($A$1:$C$500, MATCH(1,($B:$B=$C164)*($C:$C=$AG164),0),1)</f>
        <v/>
      </c>
      <c r="AK164" s="116" t="str">
        <f t="array" ref="AK164">INDEX($A$1:$C$500, MATCH(1,($B:$B=$AG164)*($C:$C=$C164),0),1)</f>
        <v/>
      </c>
      <c r="AL164" s="116" t="str">
        <f t="array" ref="AL164">INDEX($A$1:$C$500, MATCH(1,($B:$B=$C164)*($C:$C=$AB164),0),1)</f>
        <v/>
      </c>
      <c r="AM164" s="116" t="str">
        <f t="array" ref="AM164">INDEX($A$1:$C$500, MATCH(1,($B:$B=$AB164)*($C:$C=$C164),0),1)</f>
        <v/>
      </c>
      <c r="AN164" s="114" t="str">
        <f t="array" ref="AN164">IFS(ISNUMBER(AJ164),AJ164,ISNUMBER(AK164),AK164,ISNUMBER(AL164),AL164,ISNUMBER(AM164),AM164)</f>
        <v>#N/A</v>
      </c>
      <c r="AO164" s="115" t="str">
        <f t="shared" si="6"/>
        <v/>
      </c>
      <c r="AP164" s="115" t="str">
        <f t="shared" si="7"/>
        <v/>
      </c>
      <c r="AQ164" s="111"/>
      <c r="AR164" s="109" t="str">
        <f t="shared" si="8"/>
        <v/>
      </c>
      <c r="AS164" s="72" t="str">
        <f>IFERROR(IF(AND(Preferences!B$3="Manual",OR(AX164/AW164&gt;V164/U164,BD164="Serious",BD164="Very serious")),"Assess imprecision",IFERROR(IFS(AND(Preferences!B$3="Automatic",V164/U164&gt;=30),"Extremely serious",AND(W164&lt;=$D$1*-1,Y164&lt;0,V164/U164&lt;3),"Not Serious",AND(W164&lt;=$D$1*-1,Y164&lt;0,V164/U164&gt;=3),"Very serious",AND(W164&gt;=$D$1,X164&gt;0,V164/U164&lt;3),"Not Serious",AND(W164&gt;=$D$1,X164&gt;0,V164/U164&gt;=3),"Very serious",AND(W164&lt;=$D$1*-1,Y164&gt;0,X164&gt;$D$2*-1,V164/U164&lt;3),"Serious", AND(W164&lt;=$D$1*-1,Y164&gt;0,X164&lt;$D$2*-1,V164/U164&lt;3),"Very serious", AND(W164&gt;=$D$1,X164&lt;0,Y164&lt;$D$2,V164/U164&lt;3),"Serious",AND(W164&gt;=$D$1,X164&lt;0,Y164&gt;$D$2,V164/U164&lt;3),"Very serious", AND(W164&lt;=$D$1*-1,Y164&gt;0,X164&gt;$D$2*-1,V164/U164&gt;=3),"Very serious", AND(W164&lt;=$D$1*-1,Y164&gt;0,X164&lt;$D$2*-1,V164/U164&gt;=3),"Very serious", AND(W164&gt;=$D$1,X164&lt;0,Y164&lt;$D$2,V164/U164&gt;=3),"Very serious", AND(W164&gt;=$D$1,X164&lt;0,Y164&gt;$D$2,V164/U164&gt;=3),"Very serious", AND(W164&gt;$D$1*-1,W164&lt;$D$1,X164&gt;$D$1*-1,Y164&lt;$D$1,V164/U164&lt;3),"Not Serious", AND(W164&gt;$D$1*-1,W164&lt;$D$1,OR(X164&lt;=$D$1*-1,Y164&gt;=$D$1),X164&gt;$D$2*-1,Y164&lt;$D$2,V164/U164&lt;3),"Serious", AND(W164&gt;$D$1*-1,W164&lt;$D$1,OR(X164&lt;=$D$2*-1,Y164&gt;=$D$2),V164/U164&lt;3),"Very serious", AND(W164&gt;$D$1*-1,W164&lt;$D$1,X164&gt;$D$1*-1,Y164&lt;$D$1,V164/U164&gt;=3),"Very serious", AND(W164&gt;$D$1*-1,W164&lt;$D$1,OR(X164&lt;=$D$1*-1,Y164&gt;=$D$1),X164&gt;$D$2*-1,Y164&lt;$D$2,V164/U164&gt;=3),"Very serious", AND(W164&gt;$D$1*-1,W164&lt;$D$1,OR(X164&lt;=$D$2*-1,Y164&gt;=$D$2),V164/U164&gt;=3),"Very serious"),"")),"")</f>
        <v/>
      </c>
      <c r="AT164" s="109" t="str">
        <f t="shared" si="9"/>
        <v/>
      </c>
      <c r="AU164" s="64"/>
      <c r="AV164" s="83"/>
      <c r="AW164" s="83"/>
      <c r="AX164" s="83"/>
      <c r="AY164" s="83"/>
      <c r="AZ164" s="83"/>
      <c r="BA164" s="85"/>
      <c r="BB164" s="86" t="str">
        <f>IF(Preferences!B$9="Manual","",IFS(ISBLANK(B164),"",AND(ISNUMBER(E164)=TRUE,ISNUMBER(T164)=FALSE),"Direct", AND(ISNUMBER(E164)=FALSE,ISNUMBER(T164)=TRUE),"Indirect", CN164=4,"Direct",AND(CL164=FALSE, CM164=TRUE,CN164-CO164&gt;-1),"Direct", AND(CL164=FALSE,CM164=TRUE, CN164-CO164&lt;0),"Check algorithm in appendix 2", AND(CL164=TRUE, CM164=FALSE,CN164-CO164&gt;0),"Check algorithm in appendix 2", AND(CL164=TRUE, CM164=FALSE,CN164-CO164=0),"Indirect", AND(CL164=TRUE, CM164=FALSE,CN164-CO164&lt;0),"Indirect", AND(CL164=FALSE,CM164=FALSE,CN164-CO164&gt;-1),"Direct", AND(CL164=FALSE,CM164=FALSE,CN164-CO164&lt;0),"Check algorithm in appendix 2", AND(CL164=TRUE,CM164=TRUE,CN164-CO164&gt;-1),"Direct", AND(CL164=TRUE,CM164=TRUE,CN164-CO164&lt;0),"Check algorithm in appendix 2"))</f>
        <v/>
      </c>
      <c r="BC164" s="120" t="str">
        <f t="shared" si="10"/>
        <v/>
      </c>
      <c r="BD164" s="140"/>
      <c r="BE164" s="122" t="str">
        <f>IF(Preferences!B$3="Manual","", IFERROR(IFS(AND(Preferences!B$3="Automatic",AX164/AW164&gt;=30),"Extremely serious",AND(AY164&lt;=$D$1*-1,BA164&lt;0,AX164/AW164&lt;3),"Not Serious",AND(AY164&lt;=$D$1*-1,BA164&lt;0,AX164/AW164&gt;=3),"Very serious",AND(AY164&gt;=$D$1,AZ164&gt;0,AX164/AW164&lt;3),"Not Serious",AND(AY164&gt;=$D$1,AZ164&gt;0,AX164/AW164&gt;=3),"Very serious",AND(AY164&lt;=$D$1*-1,BA164&gt;0,AZ164&gt;$D$2*-1,AX164/AW164&lt;3),"Serious", AND(AY164&lt;=$D$1*-1,BA164&gt;0,AZ164&lt;$D$2*-1,AX164/AW164&lt;3),"Very serious", AND(AY164&gt;=$D$1,AZ164&lt;0,BA164&lt;$D$2,AX164/AW164&lt;3),"Serious",AND(AY164&gt;=$D$1,AZ164&lt;0,BA164&gt;$D$2,AX164/AW164&lt;3),"Very serious", AND(AY164&lt;=$D$1*-1,BA164&gt;0,AZ164&gt;$D$2*-1,AX164/AW164&gt;=3),"Very serious", AND(AY164&lt;=$D$1*-1,BA164&gt;0,AZ164&lt;$D$2*-1,AX164/AW164&gt;=3),"Very serious", AND(AY164&gt;=$D$1,AZ164&lt;0,BA164&lt;$D$2,AX164/AW164&gt;=3),"Very serious", AND(AY164&gt;=$D$1,AZ164&lt;0,BA164&gt;$D$2,AX164/AW164&gt;=3),"Very serious", AND(AY164&gt;$D$1*-1,AY164&lt;$D$1,AZ164&gt;$D$1*-1,BA164&lt;$D$1,AX164/AW164&lt;3),"Not Serious", AND(AY164&gt;$D$1*-1,AY164&lt;$D$1,OR(AZ164&lt;=$D$1*-1,BA164&gt;=$D$1),AZ164&gt;$D$2*-1,BA164&lt;$D$2,AX164/AW164&lt;3),"Serious", AND(AY164&gt;$D$1*-1,AY164&lt;$D$1,OR(AZ164&lt;=$D$2*-1,BA164&gt;=$D$2),AX164/AW164&lt;3),"Very serious", AND(AY164&gt;$D$1*-1,AY164&lt;$D$1,AZ164&gt;$D$1*-1,BA164&lt;$D$1,AX164/AW164&gt;=3),"Very serious", AND(AY164&gt;$D$1*-1,AY164&lt;$D$1,OR(AZ164&lt;=$D$1*-1,BA164&gt;=$D$1),AZ164&gt;$D$2*-1,BA164&lt;$D$2,AX164/AW164&gt;=3),"Very serious", AND(AY164&gt;$D$1*-1,AY164&lt;$D$1,OR(AZ164&lt;=$D$2*-1,BA164&gt;=$D$2),AX164/AW164&gt;=3),"Very serious"),""))</f>
        <v/>
      </c>
      <c r="BF164" s="107" t="str">
        <f t="shared" si="11"/>
        <v/>
      </c>
      <c r="BG164" s="94" t="str">
        <f t="shared" si="46"/>
        <v/>
      </c>
      <c r="BH164" s="64" t="str">
        <f t="shared" si="12"/>
        <v>#N/A</v>
      </c>
      <c r="BI164" s="64" t="str">
        <f t="shared" si="13"/>
        <v/>
      </c>
      <c r="BJ164" s="123" t="str">
        <f t="shared" si="14"/>
        <v>#N/A</v>
      </c>
      <c r="BK164" s="64" t="str">
        <f t="shared" si="50"/>
        <v>YES</v>
      </c>
      <c r="BL164" s="64" t="str">
        <f t="shared" si="16"/>
        <v>YES</v>
      </c>
      <c r="BM164" s="64" t="str">
        <f t="shared" si="17"/>
        <v>YES</v>
      </c>
      <c r="BN164" s="124" t="str">
        <f t="shared" si="18"/>
        <v/>
      </c>
      <c r="BO164" s="91" t="str">
        <f t="shared" si="19"/>
        <v/>
      </c>
      <c r="BP164" s="91" t="str">
        <f t="shared" si="20"/>
        <v>#N/A</v>
      </c>
      <c r="BQ164" s="91" t="str">
        <f t="shared" si="21"/>
        <v/>
      </c>
      <c r="BR164" s="93" t="str">
        <f t="shared" si="22"/>
        <v/>
      </c>
      <c r="BS164" s="90" t="str">
        <f t="shared" si="23"/>
        <v/>
      </c>
      <c r="BT164" s="93" t="str">
        <f t="shared" si="24"/>
        <v>NA</v>
      </c>
      <c r="BU164" s="125" t="str">
        <f t="shared" si="25"/>
        <v>#N/A</v>
      </c>
      <c r="BV164" s="93" t="str">
        <f t="shared" si="26"/>
        <v/>
      </c>
      <c r="BW164" s="93" t="str">
        <f t="shared" si="27"/>
        <v/>
      </c>
      <c r="BX164" s="93" t="str">
        <f t="shared" si="28"/>
        <v>NA</v>
      </c>
      <c r="BY164" s="95" t="str">
        <f t="shared" si="29"/>
        <v>#N/A</v>
      </c>
      <c r="BZ164" s="93" t="str">
        <f t="shared" si="30"/>
        <v/>
      </c>
      <c r="CA164" s="93" t="str">
        <f t="shared" si="31"/>
        <v/>
      </c>
      <c r="CB164" s="93" t="str">
        <f t="shared" si="32"/>
        <v>NA</v>
      </c>
      <c r="CC164" s="96" t="str">
        <f t="shared" si="33"/>
        <v>#N/A</v>
      </c>
      <c r="CD164" s="93" t="str">
        <f t="shared" si="34"/>
        <v/>
      </c>
      <c r="CE164" s="93" t="str">
        <f t="shared" si="35"/>
        <v/>
      </c>
      <c r="CF164" s="93" t="str">
        <f t="shared" si="36"/>
        <v>NA</v>
      </c>
      <c r="CG164" s="97" t="str">
        <f t="shared" si="37"/>
        <v>#N/A</v>
      </c>
      <c r="CH164" s="98" t="str">
        <f t="shared" si="38"/>
        <v>#N/A</v>
      </c>
      <c r="CI164" s="99" t="str">
        <f t="shared" si="39"/>
        <v>#N/A</v>
      </c>
      <c r="CJ164" s="126" t="str">
        <f t="shared" si="40"/>
        <v>ERROR: check cell</v>
      </c>
      <c r="CK164" s="126"/>
      <c r="CL164" s="127" t="str">
        <f t="shared" si="41"/>
        <v>#DIV/0!</v>
      </c>
      <c r="CM164" s="128" t="str">
        <f t="shared" si="42"/>
        <v>#DIV/0!</v>
      </c>
      <c r="CN164" s="128">
        <f t="shared" si="43"/>
        <v>4</v>
      </c>
      <c r="CO164" s="129">
        <f t="shared" si="44"/>
        <v>4</v>
      </c>
      <c r="CP164" s="129" t="str">
        <f>IFS(C164=Preferences!B$13,B164,B164=Preferences!B$13,C164)</f>
        <v>#N/A</v>
      </c>
    </row>
    <row r="165" ht="13.5" customHeight="1">
      <c r="A165" s="63" t="str">
        <f t="shared" si="45"/>
        <v/>
      </c>
      <c r="B165" s="64"/>
      <c r="C165" s="64"/>
      <c r="D165" s="64"/>
      <c r="E165" s="65"/>
      <c r="F165" s="65"/>
      <c r="G165" s="65"/>
      <c r="H165" s="66"/>
      <c r="I165" s="66"/>
      <c r="J165" s="67"/>
      <c r="K165" s="68"/>
      <c r="L165" s="104"/>
      <c r="M165" s="104"/>
      <c r="N165" s="104"/>
      <c r="O165" s="104"/>
      <c r="P165" s="107" t="str">
        <f t="shared" si="1"/>
        <v/>
      </c>
      <c r="Q165" s="108" t="str">
        <f>IFERROR(IF(AND(Preferences!B$3="Manual",OR(AX165/AW165&gt;G165/F165,BD165="Serious",BD165="Very serious")),"Assess imprecision",IFS(ISBLANK(E165),"",AND(Preferences!B$3="Automatic", G165/F165&gt;=30),"Extremely serious",AND(H165&lt;=$D$1*-1,J165&lt;0,G165/F165&lt;3),"Not serious",AND(H165&lt;=$D$1*-1,J165&lt;0,G165/F165&gt;=3),"Very serious",AND(H165&gt;=$D$1,I165&gt;0,G165/F165&lt;3),"Not serious",AND(H165&gt;=$D$1,I165&gt;0,G165/F165&gt;=3),"Very serious",AND(H165&lt;=$D$1*-1,J165&gt;0,I165&gt;$D$2*-1,G165/F165&lt;3),"Serious", AND(H165&lt;=$D$1*-1,J165&gt;0,I165&lt;$D$2*-1,G165/F165&lt;3),"Very serious", AND(H165&gt;=$D$1,I165&lt;0,J165&lt;$D$2,G165/F165&lt;3),"Serious",AND(H165&gt;=$D$1,I165&lt;0,J165&gt;$D$2,G165/F165&lt;3),"Very serious", AND(H165&lt;=$D$1*-1,J165&gt;0,I165&gt;$D$2*-1,G165/F165&gt;=3),"Very serious", AND(H165&lt;=$D$1*-1,J165&gt;0,I165&lt;$D$2*-1,G165/F165&gt;=3),"Very serious", AND(H165&gt;=$D$1,I165&lt;0,J165&lt;$D$2,G165/F165&gt;=3),"Very serious", AND(H165&gt;=$D$1,I165&lt;0,J165&gt;$D$2,G165/F165&gt;=3),"Very serious", AND(H165&gt;$D$1*-1,H165&lt;$D$1,I165&gt;$D$1*-1,J165&lt;$D$1,G165/F165&lt;3),"Not serious", AND(H165&gt;$D$1*-1,H165&lt;$D$1,OR(I165&lt;=$D$1*-1,J165&gt;=$D$1),I165&gt;$D$2*-1,J165&lt;$D$2,G165/F165&lt;3),"Serious", AND(H165&gt;$D$1*-1,H165&lt;$D$1,OR(I165&lt;=$D$2*-1,J165&gt;=$D$2),G165/F165&lt;3),"Very serious", AND(H165&gt;$D$1*-1,H165&lt;$D$1,I165&gt;$D$1*-1,J165&lt;$D$1,G165/F165&gt;=3),"Very serious", AND(H165&gt;$D$1*-1,H165&lt;$D$1,OR(I165&lt;=$D$1*-1,J165&gt;=$D$1),I165&gt;$D$2*-1,J165&lt;$D$2,G165/F165&gt;=3),"Very serious", AND(H165&gt;$D$1*-1,H165&lt;$D$1,OR(I165&lt;=$D$2*-1,J165&gt;=$D$2),G165/F165&gt;=3),"Very serious")),"")</f>
        <v/>
      </c>
      <c r="R165" s="109" t="str">
        <f t="shared" si="47"/>
        <v/>
      </c>
      <c r="S165" s="64"/>
      <c r="T165" s="72"/>
      <c r="U165" s="72"/>
      <c r="V165" s="72"/>
      <c r="W165" s="73"/>
      <c r="X165" s="73"/>
      <c r="Y165" s="74"/>
      <c r="Z165" s="113" t="str">
        <f t="array" ref="Z165">INDEX($A$1:$C$500, MATCH(1,($B:$B=$B165)*($C:$C=$AB165),0),1)</f>
        <v/>
      </c>
      <c r="AA165" s="113" t="str">
        <f t="array" ref="AA165">INDEX($A$1:$C$500, MATCH(1,($B:$B=$AB165)*($C:$C=$B165),0),1)</f>
        <v/>
      </c>
      <c r="AB165" s="111"/>
      <c r="AC165" s="114" t="str">
        <f t="shared" si="2"/>
        <v/>
      </c>
      <c r="AD165" s="115" t="str">
        <f t="shared" si="3"/>
        <v/>
      </c>
      <c r="AE165" s="116" t="str">
        <f t="array" ref="AE165">INDEX($A$1:$C$500, MATCH(1,($B:$B=$AB165)*($C:$C=$AG165),0),1)</f>
        <v/>
      </c>
      <c r="AF165" s="116" t="str">
        <f t="array" ref="AF165">INDEX($A$1:$C$500, MATCH(1,($B:$B=$AG165)*($C:$C=$AB165),0),1)</f>
        <v/>
      </c>
      <c r="AG165" s="72"/>
      <c r="AH165" s="114" t="str">
        <f t="shared" si="4"/>
        <v/>
      </c>
      <c r="AI165" s="115" t="str">
        <f t="shared" si="5"/>
        <v/>
      </c>
      <c r="AJ165" s="116" t="str">
        <f t="array" ref="AJ165">INDEX($A$1:$C$500, MATCH(1,($B:$B=$C165)*($C:$C=$AG165),0),1)</f>
        <v/>
      </c>
      <c r="AK165" s="116" t="str">
        <f t="array" ref="AK165">INDEX($A$1:$C$500, MATCH(1,($B:$B=$AG165)*($C:$C=$C165),0),1)</f>
        <v/>
      </c>
      <c r="AL165" s="116" t="str">
        <f t="array" ref="AL165">INDEX($A$1:$C$500, MATCH(1,($B:$B=$C165)*($C:$C=$AB165),0),1)</f>
        <v/>
      </c>
      <c r="AM165" s="116" t="str">
        <f t="array" ref="AM165">INDEX($A$1:$C$500, MATCH(1,($B:$B=$AB165)*($C:$C=$C165),0),1)</f>
        <v/>
      </c>
      <c r="AN165" s="114" t="str">
        <f t="array" ref="AN165">IFS(ISNUMBER(AJ165),AJ165,ISNUMBER(AK165),AK165,ISNUMBER(AL165),AL165,ISNUMBER(AM165),AM165)</f>
        <v>#N/A</v>
      </c>
      <c r="AO165" s="115" t="str">
        <f t="shared" si="6"/>
        <v/>
      </c>
      <c r="AP165" s="115" t="str">
        <f t="shared" si="7"/>
        <v/>
      </c>
      <c r="AQ165" s="111"/>
      <c r="AR165" s="109" t="str">
        <f t="shared" si="8"/>
        <v/>
      </c>
      <c r="AS165" s="72" t="str">
        <f>IFERROR(IF(AND(Preferences!B$3="Manual",OR(AX165/AW165&gt;V165/U165,BD165="Serious",BD165="Very serious")),"Assess imprecision",IFERROR(IFS(AND(Preferences!B$3="Automatic",V165/U165&gt;=30),"Extremely serious",AND(W165&lt;=$D$1*-1,Y165&lt;0,V165/U165&lt;3),"Not Serious",AND(W165&lt;=$D$1*-1,Y165&lt;0,V165/U165&gt;=3),"Very serious",AND(W165&gt;=$D$1,X165&gt;0,V165/U165&lt;3),"Not Serious",AND(W165&gt;=$D$1,X165&gt;0,V165/U165&gt;=3),"Very serious",AND(W165&lt;=$D$1*-1,Y165&gt;0,X165&gt;$D$2*-1,V165/U165&lt;3),"Serious", AND(W165&lt;=$D$1*-1,Y165&gt;0,X165&lt;$D$2*-1,V165/U165&lt;3),"Very serious", AND(W165&gt;=$D$1,X165&lt;0,Y165&lt;$D$2,V165/U165&lt;3),"Serious",AND(W165&gt;=$D$1,X165&lt;0,Y165&gt;$D$2,V165/U165&lt;3),"Very serious", AND(W165&lt;=$D$1*-1,Y165&gt;0,X165&gt;$D$2*-1,V165/U165&gt;=3),"Very serious", AND(W165&lt;=$D$1*-1,Y165&gt;0,X165&lt;$D$2*-1,V165/U165&gt;=3),"Very serious", AND(W165&gt;=$D$1,X165&lt;0,Y165&lt;$D$2,V165/U165&gt;=3),"Very serious", AND(W165&gt;=$D$1,X165&lt;0,Y165&gt;$D$2,V165/U165&gt;=3),"Very serious", AND(W165&gt;$D$1*-1,W165&lt;$D$1,X165&gt;$D$1*-1,Y165&lt;$D$1,V165/U165&lt;3),"Not Serious", AND(W165&gt;$D$1*-1,W165&lt;$D$1,OR(X165&lt;=$D$1*-1,Y165&gt;=$D$1),X165&gt;$D$2*-1,Y165&lt;$D$2,V165/U165&lt;3),"Serious", AND(W165&gt;$D$1*-1,W165&lt;$D$1,OR(X165&lt;=$D$2*-1,Y165&gt;=$D$2),V165/U165&lt;3),"Very serious", AND(W165&gt;$D$1*-1,W165&lt;$D$1,X165&gt;$D$1*-1,Y165&lt;$D$1,V165/U165&gt;=3),"Very serious", AND(W165&gt;$D$1*-1,W165&lt;$D$1,OR(X165&lt;=$D$1*-1,Y165&gt;=$D$1),X165&gt;$D$2*-1,Y165&lt;$D$2,V165/U165&gt;=3),"Very serious", AND(W165&gt;$D$1*-1,W165&lt;$D$1,OR(X165&lt;=$D$2*-1,Y165&gt;=$D$2),V165/U165&gt;=3),"Very serious"),"")),"")</f>
        <v/>
      </c>
      <c r="AT165" s="109" t="str">
        <f t="shared" si="9"/>
        <v/>
      </c>
      <c r="AU165" s="64"/>
      <c r="AV165" s="83"/>
      <c r="AW165" s="83"/>
      <c r="AX165" s="83"/>
      <c r="AY165" s="83"/>
      <c r="AZ165" s="83"/>
      <c r="BA165" s="85"/>
      <c r="BB165" s="86" t="str">
        <f>IF(Preferences!B$9="Manual","",IFS(ISBLANK(B165),"",AND(ISNUMBER(E165)=TRUE,ISNUMBER(T165)=FALSE),"Direct", AND(ISNUMBER(E165)=FALSE,ISNUMBER(T165)=TRUE),"Indirect", CN165=4,"Direct",AND(CL165=FALSE, CM165=TRUE,CN165-CO165&gt;-1),"Direct", AND(CL165=FALSE,CM165=TRUE, CN165-CO165&lt;0),"Check algorithm in appendix 2", AND(CL165=TRUE, CM165=FALSE,CN165-CO165&gt;0),"Check algorithm in appendix 2", AND(CL165=TRUE, CM165=FALSE,CN165-CO165=0),"Indirect", AND(CL165=TRUE, CM165=FALSE,CN165-CO165&lt;0),"Indirect", AND(CL165=FALSE,CM165=FALSE,CN165-CO165&gt;-1),"Direct", AND(CL165=FALSE,CM165=FALSE,CN165-CO165&lt;0),"Check algorithm in appendix 2", AND(CL165=TRUE,CM165=TRUE,CN165-CO165&gt;-1),"Direct", AND(CL165=TRUE,CM165=TRUE,CN165-CO165&lt;0),"Check algorithm in appendix 2"))</f>
        <v/>
      </c>
      <c r="BC165" s="120" t="str">
        <f t="shared" si="10"/>
        <v/>
      </c>
      <c r="BD165" s="140"/>
      <c r="BE165" s="122" t="str">
        <f>IF(Preferences!B$3="Manual","", IFERROR(IFS(AND(Preferences!B$3="Automatic",AX165/AW165&gt;=30),"Extremely serious",AND(AY165&lt;=$D$1*-1,BA165&lt;0,AX165/AW165&lt;3),"Not Serious",AND(AY165&lt;=$D$1*-1,BA165&lt;0,AX165/AW165&gt;=3),"Very serious",AND(AY165&gt;=$D$1,AZ165&gt;0,AX165/AW165&lt;3),"Not Serious",AND(AY165&gt;=$D$1,AZ165&gt;0,AX165/AW165&gt;=3),"Very serious",AND(AY165&lt;=$D$1*-1,BA165&gt;0,AZ165&gt;$D$2*-1,AX165/AW165&lt;3),"Serious", AND(AY165&lt;=$D$1*-1,BA165&gt;0,AZ165&lt;$D$2*-1,AX165/AW165&lt;3),"Very serious", AND(AY165&gt;=$D$1,AZ165&lt;0,BA165&lt;$D$2,AX165/AW165&lt;3),"Serious",AND(AY165&gt;=$D$1,AZ165&lt;0,BA165&gt;$D$2,AX165/AW165&lt;3),"Very serious", AND(AY165&lt;=$D$1*-1,BA165&gt;0,AZ165&gt;$D$2*-1,AX165/AW165&gt;=3),"Very serious", AND(AY165&lt;=$D$1*-1,BA165&gt;0,AZ165&lt;$D$2*-1,AX165/AW165&gt;=3),"Very serious", AND(AY165&gt;=$D$1,AZ165&lt;0,BA165&lt;$D$2,AX165/AW165&gt;=3),"Very serious", AND(AY165&gt;=$D$1,AZ165&lt;0,BA165&gt;$D$2,AX165/AW165&gt;=3),"Very serious", AND(AY165&gt;$D$1*-1,AY165&lt;$D$1,AZ165&gt;$D$1*-1,BA165&lt;$D$1,AX165/AW165&lt;3),"Not Serious", AND(AY165&gt;$D$1*-1,AY165&lt;$D$1,OR(AZ165&lt;=$D$1*-1,BA165&gt;=$D$1),AZ165&gt;$D$2*-1,BA165&lt;$D$2,AX165/AW165&lt;3),"Serious", AND(AY165&gt;$D$1*-1,AY165&lt;$D$1,OR(AZ165&lt;=$D$2*-1,BA165&gt;=$D$2),AX165/AW165&lt;3),"Very serious", AND(AY165&gt;$D$1*-1,AY165&lt;$D$1,AZ165&gt;$D$1*-1,BA165&lt;$D$1,AX165/AW165&gt;=3),"Very serious", AND(AY165&gt;$D$1*-1,AY165&lt;$D$1,OR(AZ165&lt;=$D$1*-1,BA165&gt;=$D$1),AZ165&gt;$D$2*-1,BA165&lt;$D$2,AX165/AW165&gt;=3),"Very serious", AND(AY165&gt;$D$1*-1,AY165&lt;$D$1,OR(AZ165&lt;=$D$2*-1,BA165&gt;=$D$2),AX165/AW165&gt;=3),"Very serious"),""))</f>
        <v/>
      </c>
      <c r="BF165" s="107" t="str">
        <f t="shared" si="11"/>
        <v/>
      </c>
      <c r="BG165" s="94" t="str">
        <f t="shared" si="46"/>
        <v/>
      </c>
      <c r="BH165" s="64" t="str">
        <f t="shared" si="12"/>
        <v>#N/A</v>
      </c>
      <c r="BI165" s="64" t="str">
        <f t="shared" si="13"/>
        <v/>
      </c>
      <c r="BJ165" s="123" t="str">
        <f t="shared" si="14"/>
        <v>#N/A</v>
      </c>
      <c r="BK165" s="64" t="str">
        <f t="shared" si="50"/>
        <v>YES</v>
      </c>
      <c r="BL165" s="64" t="str">
        <f t="shared" si="16"/>
        <v>YES</v>
      </c>
      <c r="BM165" s="64" t="str">
        <f t="shared" si="17"/>
        <v>YES</v>
      </c>
      <c r="BN165" s="124" t="str">
        <f t="shared" si="18"/>
        <v/>
      </c>
      <c r="BO165" s="91" t="str">
        <f t="shared" si="19"/>
        <v/>
      </c>
      <c r="BP165" s="91" t="str">
        <f t="shared" si="20"/>
        <v>#N/A</v>
      </c>
      <c r="BQ165" s="91" t="str">
        <f t="shared" si="21"/>
        <v/>
      </c>
      <c r="BR165" s="93" t="str">
        <f t="shared" si="22"/>
        <v/>
      </c>
      <c r="BS165" s="90" t="str">
        <f t="shared" si="23"/>
        <v/>
      </c>
      <c r="BT165" s="93" t="str">
        <f t="shared" si="24"/>
        <v>NA</v>
      </c>
      <c r="BU165" s="125" t="str">
        <f t="shared" si="25"/>
        <v>#N/A</v>
      </c>
      <c r="BV165" s="93" t="str">
        <f t="shared" si="26"/>
        <v/>
      </c>
      <c r="BW165" s="93" t="str">
        <f t="shared" si="27"/>
        <v/>
      </c>
      <c r="BX165" s="93" t="str">
        <f t="shared" si="28"/>
        <v>NA</v>
      </c>
      <c r="BY165" s="95" t="str">
        <f t="shared" si="29"/>
        <v>#N/A</v>
      </c>
      <c r="BZ165" s="93" t="str">
        <f t="shared" si="30"/>
        <v/>
      </c>
      <c r="CA165" s="93" t="str">
        <f t="shared" si="31"/>
        <v/>
      </c>
      <c r="CB165" s="93" t="str">
        <f t="shared" si="32"/>
        <v>NA</v>
      </c>
      <c r="CC165" s="96" t="str">
        <f t="shared" si="33"/>
        <v>#N/A</v>
      </c>
      <c r="CD165" s="93" t="str">
        <f t="shared" si="34"/>
        <v/>
      </c>
      <c r="CE165" s="93" t="str">
        <f t="shared" si="35"/>
        <v/>
      </c>
      <c r="CF165" s="93" t="str">
        <f t="shared" si="36"/>
        <v>NA</v>
      </c>
      <c r="CG165" s="97" t="str">
        <f t="shared" si="37"/>
        <v>#N/A</v>
      </c>
      <c r="CH165" s="98" t="str">
        <f t="shared" si="38"/>
        <v>#N/A</v>
      </c>
      <c r="CI165" s="99" t="str">
        <f t="shared" si="39"/>
        <v>#N/A</v>
      </c>
      <c r="CJ165" s="126" t="str">
        <f t="shared" si="40"/>
        <v>ERROR: check cell</v>
      </c>
      <c r="CK165" s="126"/>
      <c r="CL165" s="127" t="str">
        <f t="shared" si="41"/>
        <v>#DIV/0!</v>
      </c>
      <c r="CM165" s="128" t="str">
        <f t="shared" si="42"/>
        <v>#DIV/0!</v>
      </c>
      <c r="CN165" s="128">
        <f t="shared" si="43"/>
        <v>4</v>
      </c>
      <c r="CO165" s="129">
        <f t="shared" si="44"/>
        <v>4</v>
      </c>
      <c r="CP165" s="129" t="str">
        <f>IFS(C165=Preferences!B$13,B165,B165=Preferences!B$13,C165)</f>
        <v>#N/A</v>
      </c>
    </row>
    <row r="166" ht="13.5" customHeight="1">
      <c r="A166" s="63" t="str">
        <f t="shared" si="45"/>
        <v/>
      </c>
      <c r="B166" s="64"/>
      <c r="C166" s="64"/>
      <c r="D166" s="64"/>
      <c r="E166" s="65"/>
      <c r="F166" s="65"/>
      <c r="G166" s="65"/>
      <c r="H166" s="66"/>
      <c r="I166" s="66"/>
      <c r="J166" s="67"/>
      <c r="K166" s="68"/>
      <c r="L166" s="104"/>
      <c r="M166" s="104"/>
      <c r="N166" s="104"/>
      <c r="O166" s="104"/>
      <c r="P166" s="107" t="str">
        <f t="shared" si="1"/>
        <v/>
      </c>
      <c r="Q166" s="108" t="str">
        <f>IFERROR(IF(AND(Preferences!B$3="Manual",OR(AX166/AW166&gt;G166/F166,BD166="Serious",BD166="Very serious")),"Assess imprecision",IFS(ISBLANK(E166),"",AND(Preferences!B$3="Automatic", G166/F166&gt;=30),"Extremely serious",AND(H166&lt;=$D$1*-1,J166&lt;0,G166/F166&lt;3),"Not serious",AND(H166&lt;=$D$1*-1,J166&lt;0,G166/F166&gt;=3),"Very serious",AND(H166&gt;=$D$1,I166&gt;0,G166/F166&lt;3),"Not serious",AND(H166&gt;=$D$1,I166&gt;0,G166/F166&gt;=3),"Very serious",AND(H166&lt;=$D$1*-1,J166&gt;0,I166&gt;$D$2*-1,G166/F166&lt;3),"Serious", AND(H166&lt;=$D$1*-1,J166&gt;0,I166&lt;$D$2*-1,G166/F166&lt;3),"Very serious", AND(H166&gt;=$D$1,I166&lt;0,J166&lt;$D$2,G166/F166&lt;3),"Serious",AND(H166&gt;=$D$1,I166&lt;0,J166&gt;$D$2,G166/F166&lt;3),"Very serious", AND(H166&lt;=$D$1*-1,J166&gt;0,I166&gt;$D$2*-1,G166/F166&gt;=3),"Very serious", AND(H166&lt;=$D$1*-1,J166&gt;0,I166&lt;$D$2*-1,G166/F166&gt;=3),"Very serious", AND(H166&gt;=$D$1,I166&lt;0,J166&lt;$D$2,G166/F166&gt;=3),"Very serious", AND(H166&gt;=$D$1,I166&lt;0,J166&gt;$D$2,G166/F166&gt;=3),"Very serious", AND(H166&gt;$D$1*-1,H166&lt;$D$1,I166&gt;$D$1*-1,J166&lt;$D$1,G166/F166&lt;3),"Not serious", AND(H166&gt;$D$1*-1,H166&lt;$D$1,OR(I166&lt;=$D$1*-1,J166&gt;=$D$1),I166&gt;$D$2*-1,J166&lt;$D$2,G166/F166&lt;3),"Serious", AND(H166&gt;$D$1*-1,H166&lt;$D$1,OR(I166&lt;=$D$2*-1,J166&gt;=$D$2),G166/F166&lt;3),"Very serious", AND(H166&gt;$D$1*-1,H166&lt;$D$1,I166&gt;$D$1*-1,J166&lt;$D$1,G166/F166&gt;=3),"Very serious", AND(H166&gt;$D$1*-1,H166&lt;$D$1,OR(I166&lt;=$D$1*-1,J166&gt;=$D$1),I166&gt;$D$2*-1,J166&lt;$D$2,G166/F166&gt;=3),"Very serious", AND(H166&gt;$D$1*-1,H166&lt;$D$1,OR(I166&lt;=$D$2*-1,J166&gt;=$D$2),G166/F166&gt;=3),"Very serious")),"")</f>
        <v/>
      </c>
      <c r="R166" s="109" t="str">
        <f t="shared" si="47"/>
        <v/>
      </c>
      <c r="S166" s="64"/>
      <c r="T166" s="72"/>
      <c r="U166" s="72"/>
      <c r="V166" s="72"/>
      <c r="W166" s="73"/>
      <c r="X166" s="73"/>
      <c r="Y166" s="74"/>
      <c r="Z166" s="113" t="str">
        <f t="array" ref="Z166">INDEX($A$1:$C$500, MATCH(1,($B:$B=$B166)*($C:$C=$AB166),0),1)</f>
        <v/>
      </c>
      <c r="AA166" s="113" t="str">
        <f t="array" ref="AA166">INDEX($A$1:$C$500, MATCH(1,($B:$B=$AB166)*($C:$C=$B166),0),1)</f>
        <v/>
      </c>
      <c r="AB166" s="111"/>
      <c r="AC166" s="114" t="str">
        <f t="shared" si="2"/>
        <v/>
      </c>
      <c r="AD166" s="115" t="str">
        <f t="shared" si="3"/>
        <v/>
      </c>
      <c r="AE166" s="116" t="str">
        <f t="array" ref="AE166">INDEX($A$1:$C$500, MATCH(1,($B:$B=$AB166)*($C:$C=$AG166),0),1)</f>
        <v/>
      </c>
      <c r="AF166" s="116" t="str">
        <f t="array" ref="AF166">INDEX($A$1:$C$500, MATCH(1,($B:$B=$AG166)*($C:$C=$AB166),0),1)</f>
        <v/>
      </c>
      <c r="AG166" s="72"/>
      <c r="AH166" s="114" t="str">
        <f t="shared" si="4"/>
        <v/>
      </c>
      <c r="AI166" s="115" t="str">
        <f t="shared" si="5"/>
        <v/>
      </c>
      <c r="AJ166" s="116" t="str">
        <f t="array" ref="AJ166">INDEX($A$1:$C$500, MATCH(1,($B:$B=$C166)*($C:$C=$AG166),0),1)</f>
        <v/>
      </c>
      <c r="AK166" s="116" t="str">
        <f t="array" ref="AK166">INDEX($A$1:$C$500, MATCH(1,($B:$B=$AG166)*($C:$C=$C166),0),1)</f>
        <v/>
      </c>
      <c r="AL166" s="116" t="str">
        <f t="array" ref="AL166">INDEX($A$1:$C$500, MATCH(1,($B:$B=$C166)*($C:$C=$AB166),0),1)</f>
        <v/>
      </c>
      <c r="AM166" s="116" t="str">
        <f t="array" ref="AM166">INDEX($A$1:$C$500, MATCH(1,($B:$B=$AB166)*($C:$C=$C166),0),1)</f>
        <v/>
      </c>
      <c r="AN166" s="114" t="str">
        <f t="array" ref="AN166">IFS(ISNUMBER(AJ166),AJ166,ISNUMBER(AK166),AK166,ISNUMBER(AL166),AL166,ISNUMBER(AM166),AM166)</f>
        <v>#N/A</v>
      </c>
      <c r="AO166" s="115" t="str">
        <f t="shared" si="6"/>
        <v/>
      </c>
      <c r="AP166" s="115" t="str">
        <f t="shared" si="7"/>
        <v/>
      </c>
      <c r="AQ166" s="111"/>
      <c r="AR166" s="109" t="str">
        <f t="shared" si="8"/>
        <v/>
      </c>
      <c r="AS166" s="72" t="str">
        <f>IFERROR(IF(AND(Preferences!B$3="Manual",OR(AX166/AW166&gt;V166/U166,BD166="Serious",BD166="Very serious")),"Assess imprecision",IFERROR(IFS(AND(Preferences!B$3="Automatic",V166/U166&gt;=30),"Extremely serious",AND(W166&lt;=$D$1*-1,Y166&lt;0,V166/U166&lt;3),"Not Serious",AND(W166&lt;=$D$1*-1,Y166&lt;0,V166/U166&gt;=3),"Very serious",AND(W166&gt;=$D$1,X166&gt;0,V166/U166&lt;3),"Not Serious",AND(W166&gt;=$D$1,X166&gt;0,V166/U166&gt;=3),"Very serious",AND(W166&lt;=$D$1*-1,Y166&gt;0,X166&gt;$D$2*-1,V166/U166&lt;3),"Serious", AND(W166&lt;=$D$1*-1,Y166&gt;0,X166&lt;$D$2*-1,V166/U166&lt;3),"Very serious", AND(W166&gt;=$D$1,X166&lt;0,Y166&lt;$D$2,V166/U166&lt;3),"Serious",AND(W166&gt;=$D$1,X166&lt;0,Y166&gt;$D$2,V166/U166&lt;3),"Very serious", AND(W166&lt;=$D$1*-1,Y166&gt;0,X166&gt;$D$2*-1,V166/U166&gt;=3),"Very serious", AND(W166&lt;=$D$1*-1,Y166&gt;0,X166&lt;$D$2*-1,V166/U166&gt;=3),"Very serious", AND(W166&gt;=$D$1,X166&lt;0,Y166&lt;$D$2,V166/U166&gt;=3),"Very serious", AND(W166&gt;=$D$1,X166&lt;0,Y166&gt;$D$2,V166/U166&gt;=3),"Very serious", AND(W166&gt;$D$1*-1,W166&lt;$D$1,X166&gt;$D$1*-1,Y166&lt;$D$1,V166/U166&lt;3),"Not Serious", AND(W166&gt;$D$1*-1,W166&lt;$D$1,OR(X166&lt;=$D$1*-1,Y166&gt;=$D$1),X166&gt;$D$2*-1,Y166&lt;$D$2,V166/U166&lt;3),"Serious", AND(W166&gt;$D$1*-1,W166&lt;$D$1,OR(X166&lt;=$D$2*-1,Y166&gt;=$D$2),V166/U166&lt;3),"Very serious", AND(W166&gt;$D$1*-1,W166&lt;$D$1,X166&gt;$D$1*-1,Y166&lt;$D$1,V166/U166&gt;=3),"Very serious", AND(W166&gt;$D$1*-1,W166&lt;$D$1,OR(X166&lt;=$D$1*-1,Y166&gt;=$D$1),X166&gt;$D$2*-1,Y166&lt;$D$2,V166/U166&gt;=3),"Very serious", AND(W166&gt;$D$1*-1,W166&lt;$D$1,OR(X166&lt;=$D$2*-1,Y166&gt;=$D$2),V166/U166&gt;=3),"Very serious"),"")),"")</f>
        <v/>
      </c>
      <c r="AT166" s="109" t="str">
        <f t="shared" si="9"/>
        <v/>
      </c>
      <c r="AU166" s="64"/>
      <c r="AV166" s="83"/>
      <c r="AW166" s="83"/>
      <c r="AX166" s="83"/>
      <c r="AY166" s="83"/>
      <c r="AZ166" s="83"/>
      <c r="BA166" s="85"/>
      <c r="BB166" s="86" t="str">
        <f>IF(Preferences!B$9="Manual","",IFS(ISBLANK(B166),"",AND(ISNUMBER(E166)=TRUE,ISNUMBER(T166)=FALSE),"Direct", AND(ISNUMBER(E166)=FALSE,ISNUMBER(T166)=TRUE),"Indirect", CN166=4,"Direct",AND(CL166=FALSE, CM166=TRUE,CN166-CO166&gt;-1),"Direct", AND(CL166=FALSE,CM166=TRUE, CN166-CO166&lt;0),"Check algorithm in appendix 2", AND(CL166=TRUE, CM166=FALSE,CN166-CO166&gt;0),"Check algorithm in appendix 2", AND(CL166=TRUE, CM166=FALSE,CN166-CO166=0),"Indirect", AND(CL166=TRUE, CM166=FALSE,CN166-CO166&lt;0),"Indirect", AND(CL166=FALSE,CM166=FALSE,CN166-CO166&gt;-1),"Direct", AND(CL166=FALSE,CM166=FALSE,CN166-CO166&lt;0),"Check algorithm in appendix 2", AND(CL166=TRUE,CM166=TRUE,CN166-CO166&gt;-1),"Direct", AND(CL166=TRUE,CM166=TRUE,CN166-CO166&lt;0),"Check algorithm in appendix 2"))</f>
        <v/>
      </c>
      <c r="BC166" s="120" t="str">
        <f t="shared" si="10"/>
        <v/>
      </c>
      <c r="BD166" s="140"/>
      <c r="BE166" s="122" t="str">
        <f>IF(Preferences!B$3="Manual","", IFERROR(IFS(AND(Preferences!B$3="Automatic",AX166/AW166&gt;=30),"Extremely serious",AND(AY166&lt;=$D$1*-1,BA166&lt;0,AX166/AW166&lt;3),"Not Serious",AND(AY166&lt;=$D$1*-1,BA166&lt;0,AX166/AW166&gt;=3),"Very serious",AND(AY166&gt;=$D$1,AZ166&gt;0,AX166/AW166&lt;3),"Not Serious",AND(AY166&gt;=$D$1,AZ166&gt;0,AX166/AW166&gt;=3),"Very serious",AND(AY166&lt;=$D$1*-1,BA166&gt;0,AZ166&gt;$D$2*-1,AX166/AW166&lt;3),"Serious", AND(AY166&lt;=$D$1*-1,BA166&gt;0,AZ166&lt;$D$2*-1,AX166/AW166&lt;3),"Very serious", AND(AY166&gt;=$D$1,AZ166&lt;0,BA166&lt;$D$2,AX166/AW166&lt;3),"Serious",AND(AY166&gt;=$D$1,AZ166&lt;0,BA166&gt;$D$2,AX166/AW166&lt;3),"Very serious", AND(AY166&lt;=$D$1*-1,BA166&gt;0,AZ166&gt;$D$2*-1,AX166/AW166&gt;=3),"Very serious", AND(AY166&lt;=$D$1*-1,BA166&gt;0,AZ166&lt;$D$2*-1,AX166/AW166&gt;=3),"Very serious", AND(AY166&gt;=$D$1,AZ166&lt;0,BA166&lt;$D$2,AX166/AW166&gt;=3),"Very serious", AND(AY166&gt;=$D$1,AZ166&lt;0,BA166&gt;$D$2,AX166/AW166&gt;=3),"Very serious", AND(AY166&gt;$D$1*-1,AY166&lt;$D$1,AZ166&gt;$D$1*-1,BA166&lt;$D$1,AX166/AW166&lt;3),"Not Serious", AND(AY166&gt;$D$1*-1,AY166&lt;$D$1,OR(AZ166&lt;=$D$1*-1,BA166&gt;=$D$1),AZ166&gt;$D$2*-1,BA166&lt;$D$2,AX166/AW166&lt;3),"Serious", AND(AY166&gt;$D$1*-1,AY166&lt;$D$1,OR(AZ166&lt;=$D$2*-1,BA166&gt;=$D$2),AX166/AW166&lt;3),"Very serious", AND(AY166&gt;$D$1*-1,AY166&lt;$D$1,AZ166&gt;$D$1*-1,BA166&lt;$D$1,AX166/AW166&gt;=3),"Very serious", AND(AY166&gt;$D$1*-1,AY166&lt;$D$1,OR(AZ166&lt;=$D$1*-1,BA166&gt;=$D$1),AZ166&gt;$D$2*-1,BA166&lt;$D$2,AX166/AW166&gt;=3),"Very serious", AND(AY166&gt;$D$1*-1,AY166&lt;$D$1,OR(AZ166&lt;=$D$2*-1,BA166&gt;=$D$2),AX166/AW166&gt;=3),"Very serious"),""))</f>
        <v/>
      </c>
      <c r="BF166" s="107" t="str">
        <f t="shared" si="11"/>
        <v/>
      </c>
      <c r="BG166" s="94" t="str">
        <f t="shared" si="46"/>
        <v/>
      </c>
      <c r="BH166" s="64" t="str">
        <f t="shared" si="12"/>
        <v>#N/A</v>
      </c>
      <c r="BI166" s="64" t="str">
        <f t="shared" si="13"/>
        <v/>
      </c>
      <c r="BJ166" s="123" t="str">
        <f t="shared" si="14"/>
        <v>#N/A</v>
      </c>
      <c r="BK166" s="64" t="str">
        <f t="shared" si="50"/>
        <v>YES</v>
      </c>
      <c r="BL166" s="64" t="str">
        <f t="shared" si="16"/>
        <v>YES</v>
      </c>
      <c r="BM166" s="64" t="str">
        <f t="shared" si="17"/>
        <v>YES</v>
      </c>
      <c r="BN166" s="124" t="str">
        <f t="shared" si="18"/>
        <v/>
      </c>
      <c r="BO166" s="91" t="str">
        <f t="shared" si="19"/>
        <v/>
      </c>
      <c r="BP166" s="91" t="str">
        <f t="shared" si="20"/>
        <v>#N/A</v>
      </c>
      <c r="BQ166" s="91" t="str">
        <f t="shared" si="21"/>
        <v/>
      </c>
      <c r="BR166" s="93" t="str">
        <f t="shared" si="22"/>
        <v/>
      </c>
      <c r="BS166" s="90" t="str">
        <f t="shared" si="23"/>
        <v/>
      </c>
      <c r="BT166" s="93" t="str">
        <f t="shared" si="24"/>
        <v>NA</v>
      </c>
      <c r="BU166" s="125" t="str">
        <f t="shared" si="25"/>
        <v>#N/A</v>
      </c>
      <c r="BV166" s="93" t="str">
        <f t="shared" si="26"/>
        <v/>
      </c>
      <c r="BW166" s="93" t="str">
        <f t="shared" si="27"/>
        <v/>
      </c>
      <c r="BX166" s="93" t="str">
        <f t="shared" si="28"/>
        <v>NA</v>
      </c>
      <c r="BY166" s="95" t="str">
        <f t="shared" si="29"/>
        <v>#N/A</v>
      </c>
      <c r="BZ166" s="93" t="str">
        <f t="shared" si="30"/>
        <v/>
      </c>
      <c r="CA166" s="93" t="str">
        <f t="shared" si="31"/>
        <v/>
      </c>
      <c r="CB166" s="93" t="str">
        <f t="shared" si="32"/>
        <v>NA</v>
      </c>
      <c r="CC166" s="96" t="str">
        <f t="shared" si="33"/>
        <v>#N/A</v>
      </c>
      <c r="CD166" s="93" t="str">
        <f t="shared" si="34"/>
        <v/>
      </c>
      <c r="CE166" s="93" t="str">
        <f t="shared" si="35"/>
        <v/>
      </c>
      <c r="CF166" s="93" t="str">
        <f t="shared" si="36"/>
        <v>NA</v>
      </c>
      <c r="CG166" s="97" t="str">
        <f t="shared" si="37"/>
        <v>#N/A</v>
      </c>
      <c r="CH166" s="98" t="str">
        <f t="shared" si="38"/>
        <v>#N/A</v>
      </c>
      <c r="CI166" s="99" t="str">
        <f t="shared" si="39"/>
        <v>#N/A</v>
      </c>
      <c r="CJ166" s="126" t="str">
        <f t="shared" si="40"/>
        <v>ERROR: check cell</v>
      </c>
      <c r="CK166" s="126"/>
      <c r="CL166" s="127" t="str">
        <f t="shared" si="41"/>
        <v>#DIV/0!</v>
      </c>
      <c r="CM166" s="128" t="str">
        <f t="shared" si="42"/>
        <v>#DIV/0!</v>
      </c>
      <c r="CN166" s="128">
        <f t="shared" si="43"/>
        <v>4</v>
      </c>
      <c r="CO166" s="129">
        <f t="shared" si="44"/>
        <v>4</v>
      </c>
      <c r="CP166" s="129" t="str">
        <f>IFS(C166=Preferences!B$13,B166,B166=Preferences!B$13,C166)</f>
        <v>#N/A</v>
      </c>
    </row>
    <row r="167" ht="13.5" customHeight="1">
      <c r="A167" s="63" t="str">
        <f t="shared" si="45"/>
        <v/>
      </c>
      <c r="B167" s="64"/>
      <c r="C167" s="64"/>
      <c r="D167" s="64"/>
      <c r="E167" s="65"/>
      <c r="F167" s="65"/>
      <c r="G167" s="65"/>
      <c r="H167" s="66"/>
      <c r="I167" s="66"/>
      <c r="J167" s="67"/>
      <c r="K167" s="68"/>
      <c r="L167" s="104"/>
      <c r="M167" s="104"/>
      <c r="N167" s="104"/>
      <c r="O167" s="104"/>
      <c r="P167" s="107" t="str">
        <f t="shared" si="1"/>
        <v/>
      </c>
      <c r="Q167" s="108" t="str">
        <f>IFERROR(IF(AND(Preferences!B$3="Manual",OR(AX167/AW167&gt;G167/F167,BD167="Serious",BD167="Very serious")),"Assess imprecision",IFS(ISBLANK(E167),"",AND(Preferences!B$3="Automatic", G167/F167&gt;=30),"Extremely serious",AND(H167&lt;=$D$1*-1,J167&lt;0,G167/F167&lt;3),"Not serious",AND(H167&lt;=$D$1*-1,J167&lt;0,G167/F167&gt;=3),"Very serious",AND(H167&gt;=$D$1,I167&gt;0,G167/F167&lt;3),"Not serious",AND(H167&gt;=$D$1,I167&gt;0,G167/F167&gt;=3),"Very serious",AND(H167&lt;=$D$1*-1,J167&gt;0,I167&gt;$D$2*-1,G167/F167&lt;3),"Serious", AND(H167&lt;=$D$1*-1,J167&gt;0,I167&lt;$D$2*-1,G167/F167&lt;3),"Very serious", AND(H167&gt;=$D$1,I167&lt;0,J167&lt;$D$2,G167/F167&lt;3),"Serious",AND(H167&gt;=$D$1,I167&lt;0,J167&gt;$D$2,G167/F167&lt;3),"Very serious", AND(H167&lt;=$D$1*-1,J167&gt;0,I167&gt;$D$2*-1,G167/F167&gt;=3),"Very serious", AND(H167&lt;=$D$1*-1,J167&gt;0,I167&lt;$D$2*-1,G167/F167&gt;=3),"Very serious", AND(H167&gt;=$D$1,I167&lt;0,J167&lt;$D$2,G167/F167&gt;=3),"Very serious", AND(H167&gt;=$D$1,I167&lt;0,J167&gt;$D$2,G167/F167&gt;=3),"Very serious", AND(H167&gt;$D$1*-1,H167&lt;$D$1,I167&gt;$D$1*-1,J167&lt;$D$1,G167/F167&lt;3),"Not serious", AND(H167&gt;$D$1*-1,H167&lt;$D$1,OR(I167&lt;=$D$1*-1,J167&gt;=$D$1),I167&gt;$D$2*-1,J167&lt;$D$2,G167/F167&lt;3),"Serious", AND(H167&gt;$D$1*-1,H167&lt;$D$1,OR(I167&lt;=$D$2*-1,J167&gt;=$D$2),G167/F167&lt;3),"Very serious", AND(H167&gt;$D$1*-1,H167&lt;$D$1,I167&gt;$D$1*-1,J167&lt;$D$1,G167/F167&gt;=3),"Very serious", AND(H167&gt;$D$1*-1,H167&lt;$D$1,OR(I167&lt;=$D$1*-1,J167&gt;=$D$1),I167&gt;$D$2*-1,J167&lt;$D$2,G167/F167&gt;=3),"Very serious", AND(H167&gt;$D$1*-1,H167&lt;$D$1,OR(I167&lt;=$D$2*-1,J167&gt;=$D$2),G167/F167&gt;=3),"Very serious")),"")</f>
        <v/>
      </c>
      <c r="R167" s="109" t="str">
        <f t="shared" si="47"/>
        <v/>
      </c>
      <c r="S167" s="64"/>
      <c r="T167" s="72"/>
      <c r="U167" s="72"/>
      <c r="V167" s="72"/>
      <c r="W167" s="73"/>
      <c r="X167" s="73"/>
      <c r="Y167" s="74"/>
      <c r="Z167" s="113" t="str">
        <f t="array" ref="Z167">INDEX($A$1:$C$500, MATCH(1,($B:$B=$B167)*($C:$C=$AB167),0),1)</f>
        <v/>
      </c>
      <c r="AA167" s="113" t="str">
        <f t="array" ref="AA167">INDEX($A$1:$C$500, MATCH(1,($B:$B=$AB167)*($C:$C=$B167),0),1)</f>
        <v/>
      </c>
      <c r="AB167" s="111"/>
      <c r="AC167" s="114" t="str">
        <f t="shared" si="2"/>
        <v/>
      </c>
      <c r="AD167" s="115" t="str">
        <f t="shared" si="3"/>
        <v/>
      </c>
      <c r="AE167" s="116" t="str">
        <f t="array" ref="AE167">INDEX($A$1:$C$500, MATCH(1,($B:$B=$AB167)*($C:$C=$AG167),0),1)</f>
        <v/>
      </c>
      <c r="AF167" s="116" t="str">
        <f t="array" ref="AF167">INDEX($A$1:$C$500, MATCH(1,($B:$B=$AG167)*($C:$C=$AB167),0),1)</f>
        <v/>
      </c>
      <c r="AG167" s="72"/>
      <c r="AH167" s="114" t="str">
        <f t="shared" si="4"/>
        <v/>
      </c>
      <c r="AI167" s="115" t="str">
        <f t="shared" si="5"/>
        <v/>
      </c>
      <c r="AJ167" s="116" t="str">
        <f t="array" ref="AJ167">INDEX($A$1:$C$500, MATCH(1,($B:$B=$C167)*($C:$C=$AG167),0),1)</f>
        <v/>
      </c>
      <c r="AK167" s="116" t="str">
        <f t="array" ref="AK167">INDEX($A$1:$C$500, MATCH(1,($B:$B=$AG167)*($C:$C=$C167),0),1)</f>
        <v/>
      </c>
      <c r="AL167" s="116" t="str">
        <f t="array" ref="AL167">INDEX($A$1:$C$500, MATCH(1,($B:$B=$C167)*($C:$C=$AB167),0),1)</f>
        <v/>
      </c>
      <c r="AM167" s="116" t="str">
        <f t="array" ref="AM167">INDEX($A$1:$C$500, MATCH(1,($B:$B=$AB167)*($C:$C=$C167),0),1)</f>
        <v/>
      </c>
      <c r="AN167" s="114" t="str">
        <f t="array" ref="AN167">IFS(ISNUMBER(AJ167),AJ167,ISNUMBER(AK167),AK167,ISNUMBER(AL167),AL167,ISNUMBER(AM167),AM167)</f>
        <v>#N/A</v>
      </c>
      <c r="AO167" s="115" t="str">
        <f t="shared" si="6"/>
        <v/>
      </c>
      <c r="AP167" s="115" t="str">
        <f t="shared" si="7"/>
        <v/>
      </c>
      <c r="AQ167" s="111"/>
      <c r="AR167" s="109" t="str">
        <f t="shared" si="8"/>
        <v/>
      </c>
      <c r="AS167" s="72" t="str">
        <f>IFERROR(IF(AND(Preferences!B$3="Manual",OR(AX167/AW167&gt;V167/U167,BD167="Serious",BD167="Very serious")),"Assess imprecision",IFERROR(IFS(AND(Preferences!B$3="Automatic",V167/U167&gt;=30),"Extremely serious",AND(W167&lt;=$D$1*-1,Y167&lt;0,V167/U167&lt;3),"Not Serious",AND(W167&lt;=$D$1*-1,Y167&lt;0,V167/U167&gt;=3),"Very serious",AND(W167&gt;=$D$1,X167&gt;0,V167/U167&lt;3),"Not Serious",AND(W167&gt;=$D$1,X167&gt;0,V167/U167&gt;=3),"Very serious",AND(W167&lt;=$D$1*-1,Y167&gt;0,X167&gt;$D$2*-1,V167/U167&lt;3),"Serious", AND(W167&lt;=$D$1*-1,Y167&gt;0,X167&lt;$D$2*-1,V167/U167&lt;3),"Very serious", AND(W167&gt;=$D$1,X167&lt;0,Y167&lt;$D$2,V167/U167&lt;3),"Serious",AND(W167&gt;=$D$1,X167&lt;0,Y167&gt;$D$2,V167/U167&lt;3),"Very serious", AND(W167&lt;=$D$1*-1,Y167&gt;0,X167&gt;$D$2*-1,V167/U167&gt;=3),"Very serious", AND(W167&lt;=$D$1*-1,Y167&gt;0,X167&lt;$D$2*-1,V167/U167&gt;=3),"Very serious", AND(W167&gt;=$D$1,X167&lt;0,Y167&lt;$D$2,V167/U167&gt;=3),"Very serious", AND(W167&gt;=$D$1,X167&lt;0,Y167&gt;$D$2,V167/U167&gt;=3),"Very serious", AND(W167&gt;$D$1*-1,W167&lt;$D$1,X167&gt;$D$1*-1,Y167&lt;$D$1,V167/U167&lt;3),"Not Serious", AND(W167&gt;$D$1*-1,W167&lt;$D$1,OR(X167&lt;=$D$1*-1,Y167&gt;=$D$1),X167&gt;$D$2*-1,Y167&lt;$D$2,V167/U167&lt;3),"Serious", AND(W167&gt;$D$1*-1,W167&lt;$D$1,OR(X167&lt;=$D$2*-1,Y167&gt;=$D$2),V167/U167&lt;3),"Very serious", AND(W167&gt;$D$1*-1,W167&lt;$D$1,X167&gt;$D$1*-1,Y167&lt;$D$1,V167/U167&gt;=3),"Very serious", AND(W167&gt;$D$1*-1,W167&lt;$D$1,OR(X167&lt;=$D$1*-1,Y167&gt;=$D$1),X167&gt;$D$2*-1,Y167&lt;$D$2,V167/U167&gt;=3),"Very serious", AND(W167&gt;$D$1*-1,W167&lt;$D$1,OR(X167&lt;=$D$2*-1,Y167&gt;=$D$2),V167/U167&gt;=3),"Very serious"),"")),"")</f>
        <v/>
      </c>
      <c r="AT167" s="109" t="str">
        <f t="shared" si="9"/>
        <v/>
      </c>
      <c r="AU167" s="64"/>
      <c r="AV167" s="83"/>
      <c r="AW167" s="83"/>
      <c r="AX167" s="83"/>
      <c r="AY167" s="83"/>
      <c r="AZ167" s="83"/>
      <c r="BA167" s="85"/>
      <c r="BB167" s="86" t="str">
        <f>IF(Preferences!B$9="Manual","",IFS(ISBLANK(B167),"",AND(ISNUMBER(E167)=TRUE,ISNUMBER(T167)=FALSE),"Direct", AND(ISNUMBER(E167)=FALSE,ISNUMBER(T167)=TRUE),"Indirect", CN167=4,"Direct",AND(CL167=FALSE, CM167=TRUE,CN167-CO167&gt;-1),"Direct", AND(CL167=FALSE,CM167=TRUE, CN167-CO167&lt;0),"Check algorithm in appendix 2", AND(CL167=TRUE, CM167=FALSE,CN167-CO167&gt;0),"Check algorithm in appendix 2", AND(CL167=TRUE, CM167=FALSE,CN167-CO167=0),"Indirect", AND(CL167=TRUE, CM167=FALSE,CN167-CO167&lt;0),"Indirect", AND(CL167=FALSE,CM167=FALSE,CN167-CO167&gt;-1),"Direct", AND(CL167=FALSE,CM167=FALSE,CN167-CO167&lt;0),"Check algorithm in appendix 2", AND(CL167=TRUE,CM167=TRUE,CN167-CO167&gt;-1),"Direct", AND(CL167=TRUE,CM167=TRUE,CN167-CO167&lt;0),"Check algorithm in appendix 2"))</f>
        <v/>
      </c>
      <c r="BC167" s="120" t="str">
        <f t="shared" si="10"/>
        <v/>
      </c>
      <c r="BD167" s="140"/>
      <c r="BE167" s="122" t="str">
        <f>IF(Preferences!B$3="Manual","", IFERROR(IFS(AND(Preferences!B$3="Automatic",AX167/AW167&gt;=30),"Extremely serious",AND(AY167&lt;=$D$1*-1,BA167&lt;0,AX167/AW167&lt;3),"Not Serious",AND(AY167&lt;=$D$1*-1,BA167&lt;0,AX167/AW167&gt;=3),"Very serious",AND(AY167&gt;=$D$1,AZ167&gt;0,AX167/AW167&lt;3),"Not Serious",AND(AY167&gt;=$D$1,AZ167&gt;0,AX167/AW167&gt;=3),"Very serious",AND(AY167&lt;=$D$1*-1,BA167&gt;0,AZ167&gt;$D$2*-1,AX167/AW167&lt;3),"Serious", AND(AY167&lt;=$D$1*-1,BA167&gt;0,AZ167&lt;$D$2*-1,AX167/AW167&lt;3),"Very serious", AND(AY167&gt;=$D$1,AZ167&lt;0,BA167&lt;$D$2,AX167/AW167&lt;3),"Serious",AND(AY167&gt;=$D$1,AZ167&lt;0,BA167&gt;$D$2,AX167/AW167&lt;3),"Very serious", AND(AY167&lt;=$D$1*-1,BA167&gt;0,AZ167&gt;$D$2*-1,AX167/AW167&gt;=3),"Very serious", AND(AY167&lt;=$D$1*-1,BA167&gt;0,AZ167&lt;$D$2*-1,AX167/AW167&gt;=3),"Very serious", AND(AY167&gt;=$D$1,AZ167&lt;0,BA167&lt;$D$2,AX167/AW167&gt;=3),"Very serious", AND(AY167&gt;=$D$1,AZ167&lt;0,BA167&gt;$D$2,AX167/AW167&gt;=3),"Very serious", AND(AY167&gt;$D$1*-1,AY167&lt;$D$1,AZ167&gt;$D$1*-1,BA167&lt;$D$1,AX167/AW167&lt;3),"Not Serious", AND(AY167&gt;$D$1*-1,AY167&lt;$D$1,OR(AZ167&lt;=$D$1*-1,BA167&gt;=$D$1),AZ167&gt;$D$2*-1,BA167&lt;$D$2,AX167/AW167&lt;3),"Serious", AND(AY167&gt;$D$1*-1,AY167&lt;$D$1,OR(AZ167&lt;=$D$2*-1,BA167&gt;=$D$2),AX167/AW167&lt;3),"Very serious", AND(AY167&gt;$D$1*-1,AY167&lt;$D$1,AZ167&gt;$D$1*-1,BA167&lt;$D$1,AX167/AW167&gt;=3),"Very serious", AND(AY167&gt;$D$1*-1,AY167&lt;$D$1,OR(AZ167&lt;=$D$1*-1,BA167&gt;=$D$1),AZ167&gt;$D$2*-1,BA167&lt;$D$2,AX167/AW167&gt;=3),"Very serious", AND(AY167&gt;$D$1*-1,AY167&lt;$D$1,OR(AZ167&lt;=$D$2*-1,BA167&gt;=$D$2),AX167/AW167&gt;=3),"Very serious"),""))</f>
        <v/>
      </c>
      <c r="BF167" s="107" t="str">
        <f t="shared" si="11"/>
        <v/>
      </c>
      <c r="BG167" s="94" t="str">
        <f t="shared" si="46"/>
        <v/>
      </c>
      <c r="BH167" s="64" t="str">
        <f t="shared" si="12"/>
        <v>#N/A</v>
      </c>
      <c r="BI167" s="64" t="str">
        <f t="shared" si="13"/>
        <v/>
      </c>
      <c r="BJ167" s="123" t="str">
        <f t="shared" si="14"/>
        <v>#N/A</v>
      </c>
      <c r="BK167" s="64" t="str">
        <f t="shared" si="50"/>
        <v>YES</v>
      </c>
      <c r="BL167" s="64" t="str">
        <f t="shared" si="16"/>
        <v>YES</v>
      </c>
      <c r="BM167" s="64" t="str">
        <f t="shared" si="17"/>
        <v>YES</v>
      </c>
      <c r="BN167" s="124" t="str">
        <f t="shared" si="18"/>
        <v/>
      </c>
      <c r="BO167" s="91" t="str">
        <f t="shared" si="19"/>
        <v/>
      </c>
      <c r="BP167" s="91" t="str">
        <f t="shared" si="20"/>
        <v>#N/A</v>
      </c>
      <c r="BQ167" s="91" t="str">
        <f t="shared" si="21"/>
        <v/>
      </c>
      <c r="BR167" s="93" t="str">
        <f t="shared" si="22"/>
        <v/>
      </c>
      <c r="BS167" s="90" t="str">
        <f t="shared" si="23"/>
        <v/>
      </c>
      <c r="BT167" s="93" t="str">
        <f t="shared" si="24"/>
        <v>NA</v>
      </c>
      <c r="BU167" s="125" t="str">
        <f t="shared" si="25"/>
        <v>#N/A</v>
      </c>
      <c r="BV167" s="93" t="str">
        <f t="shared" si="26"/>
        <v/>
      </c>
      <c r="BW167" s="93" t="str">
        <f t="shared" si="27"/>
        <v/>
      </c>
      <c r="BX167" s="93" t="str">
        <f t="shared" si="28"/>
        <v>NA</v>
      </c>
      <c r="BY167" s="95" t="str">
        <f t="shared" si="29"/>
        <v>#N/A</v>
      </c>
      <c r="BZ167" s="93" t="str">
        <f t="shared" si="30"/>
        <v/>
      </c>
      <c r="CA167" s="93" t="str">
        <f t="shared" si="31"/>
        <v/>
      </c>
      <c r="CB167" s="93" t="str">
        <f t="shared" si="32"/>
        <v>NA</v>
      </c>
      <c r="CC167" s="96" t="str">
        <f t="shared" si="33"/>
        <v>#N/A</v>
      </c>
      <c r="CD167" s="93" t="str">
        <f t="shared" si="34"/>
        <v/>
      </c>
      <c r="CE167" s="93" t="str">
        <f t="shared" si="35"/>
        <v/>
      </c>
      <c r="CF167" s="93" t="str">
        <f t="shared" si="36"/>
        <v>NA</v>
      </c>
      <c r="CG167" s="97" t="str">
        <f t="shared" si="37"/>
        <v>#N/A</v>
      </c>
      <c r="CH167" s="98" t="str">
        <f t="shared" si="38"/>
        <v>#N/A</v>
      </c>
      <c r="CI167" s="99" t="str">
        <f t="shared" si="39"/>
        <v>#N/A</v>
      </c>
      <c r="CJ167" s="126" t="str">
        <f t="shared" si="40"/>
        <v>ERROR: check cell</v>
      </c>
      <c r="CK167" s="126"/>
      <c r="CL167" s="127" t="str">
        <f t="shared" si="41"/>
        <v>#DIV/0!</v>
      </c>
      <c r="CM167" s="128" t="str">
        <f t="shared" si="42"/>
        <v>#DIV/0!</v>
      </c>
      <c r="CN167" s="128">
        <f t="shared" si="43"/>
        <v>4</v>
      </c>
      <c r="CO167" s="129">
        <f t="shared" si="44"/>
        <v>4</v>
      </c>
      <c r="CP167" s="129" t="str">
        <f>IFS(C167=Preferences!B$13,B167,B167=Preferences!B$13,C167)</f>
        <v>#N/A</v>
      </c>
    </row>
    <row r="168" ht="13.5" customHeight="1">
      <c r="A168" s="63" t="str">
        <f t="shared" si="45"/>
        <v/>
      </c>
      <c r="B168" s="64"/>
      <c r="C168" s="64"/>
      <c r="D168" s="64"/>
      <c r="E168" s="65"/>
      <c r="F168" s="65"/>
      <c r="G168" s="65"/>
      <c r="H168" s="66"/>
      <c r="I168" s="66"/>
      <c r="J168" s="67"/>
      <c r="K168" s="68"/>
      <c r="L168" s="104"/>
      <c r="M168" s="104"/>
      <c r="N168" s="104"/>
      <c r="O168" s="104"/>
      <c r="P168" s="107" t="str">
        <f t="shared" si="1"/>
        <v/>
      </c>
      <c r="Q168" s="108" t="str">
        <f>IFERROR(IF(AND(Preferences!B$3="Manual",OR(AX168/AW168&gt;G168/F168,BD168="Serious",BD168="Very serious")),"Assess imprecision",IFS(ISBLANK(E168),"",AND(Preferences!B$3="Automatic", G168/F168&gt;=30),"Extremely serious",AND(H168&lt;=$D$1*-1,J168&lt;0,G168/F168&lt;3),"Not serious",AND(H168&lt;=$D$1*-1,J168&lt;0,G168/F168&gt;=3),"Very serious",AND(H168&gt;=$D$1,I168&gt;0,G168/F168&lt;3),"Not serious",AND(H168&gt;=$D$1,I168&gt;0,G168/F168&gt;=3),"Very serious",AND(H168&lt;=$D$1*-1,J168&gt;0,I168&gt;$D$2*-1,G168/F168&lt;3),"Serious", AND(H168&lt;=$D$1*-1,J168&gt;0,I168&lt;$D$2*-1,G168/F168&lt;3),"Very serious", AND(H168&gt;=$D$1,I168&lt;0,J168&lt;$D$2,G168/F168&lt;3),"Serious",AND(H168&gt;=$D$1,I168&lt;0,J168&gt;$D$2,G168/F168&lt;3),"Very serious", AND(H168&lt;=$D$1*-1,J168&gt;0,I168&gt;$D$2*-1,G168/F168&gt;=3),"Very serious", AND(H168&lt;=$D$1*-1,J168&gt;0,I168&lt;$D$2*-1,G168/F168&gt;=3),"Very serious", AND(H168&gt;=$D$1,I168&lt;0,J168&lt;$D$2,G168/F168&gt;=3),"Very serious", AND(H168&gt;=$D$1,I168&lt;0,J168&gt;$D$2,G168/F168&gt;=3),"Very serious", AND(H168&gt;$D$1*-1,H168&lt;$D$1,I168&gt;$D$1*-1,J168&lt;$D$1,G168/F168&lt;3),"Not serious", AND(H168&gt;$D$1*-1,H168&lt;$D$1,OR(I168&lt;=$D$1*-1,J168&gt;=$D$1),I168&gt;$D$2*-1,J168&lt;$D$2,G168/F168&lt;3),"Serious", AND(H168&gt;$D$1*-1,H168&lt;$D$1,OR(I168&lt;=$D$2*-1,J168&gt;=$D$2),G168/F168&lt;3),"Very serious", AND(H168&gt;$D$1*-1,H168&lt;$D$1,I168&gt;$D$1*-1,J168&lt;$D$1,G168/F168&gt;=3),"Very serious", AND(H168&gt;$D$1*-1,H168&lt;$D$1,OR(I168&lt;=$D$1*-1,J168&gt;=$D$1),I168&gt;$D$2*-1,J168&lt;$D$2,G168/F168&gt;=3),"Very serious", AND(H168&gt;$D$1*-1,H168&lt;$D$1,OR(I168&lt;=$D$2*-1,J168&gt;=$D$2),G168/F168&gt;=3),"Very serious")),"")</f>
        <v/>
      </c>
      <c r="R168" s="109" t="str">
        <f t="shared" si="47"/>
        <v/>
      </c>
      <c r="S168" s="64"/>
      <c r="T168" s="72"/>
      <c r="U168" s="72"/>
      <c r="V168" s="72"/>
      <c r="W168" s="73"/>
      <c r="X168" s="73"/>
      <c r="Y168" s="74"/>
      <c r="Z168" s="113" t="str">
        <f t="array" ref="Z168">INDEX($A$1:$C$500, MATCH(1,($B:$B=$B168)*($C:$C=$AB168),0),1)</f>
        <v/>
      </c>
      <c r="AA168" s="113" t="str">
        <f t="array" ref="AA168">INDEX($A$1:$C$500, MATCH(1,($B:$B=$AB168)*($C:$C=$B168),0),1)</f>
        <v/>
      </c>
      <c r="AB168" s="111"/>
      <c r="AC168" s="114" t="str">
        <f t="shared" si="2"/>
        <v/>
      </c>
      <c r="AD168" s="115" t="str">
        <f t="shared" si="3"/>
        <v/>
      </c>
      <c r="AE168" s="116" t="str">
        <f t="array" ref="AE168">INDEX($A$1:$C$500, MATCH(1,($B:$B=$AB168)*($C:$C=$AG168),0),1)</f>
        <v/>
      </c>
      <c r="AF168" s="116" t="str">
        <f t="array" ref="AF168">INDEX($A$1:$C$500, MATCH(1,($B:$B=$AG168)*($C:$C=$AB168),0),1)</f>
        <v/>
      </c>
      <c r="AG168" s="72"/>
      <c r="AH168" s="114" t="str">
        <f t="shared" si="4"/>
        <v/>
      </c>
      <c r="AI168" s="115" t="str">
        <f t="shared" si="5"/>
        <v/>
      </c>
      <c r="AJ168" s="116" t="str">
        <f t="array" ref="AJ168">INDEX($A$1:$C$500, MATCH(1,($B:$B=$C168)*($C:$C=$AG168),0),1)</f>
        <v/>
      </c>
      <c r="AK168" s="116" t="str">
        <f t="array" ref="AK168">INDEX($A$1:$C$500, MATCH(1,($B:$B=$AG168)*($C:$C=$C168),0),1)</f>
        <v/>
      </c>
      <c r="AL168" s="116" t="str">
        <f t="array" ref="AL168">INDEX($A$1:$C$500, MATCH(1,($B:$B=$C168)*($C:$C=$AB168),0),1)</f>
        <v/>
      </c>
      <c r="AM168" s="116" t="str">
        <f t="array" ref="AM168">INDEX($A$1:$C$500, MATCH(1,($B:$B=$AB168)*($C:$C=$C168),0),1)</f>
        <v/>
      </c>
      <c r="AN168" s="114" t="str">
        <f t="array" ref="AN168">IFS(ISNUMBER(AJ168),AJ168,ISNUMBER(AK168),AK168,ISNUMBER(AL168),AL168,ISNUMBER(AM168),AM168)</f>
        <v>#N/A</v>
      </c>
      <c r="AO168" s="115" t="str">
        <f t="shared" si="6"/>
        <v/>
      </c>
      <c r="AP168" s="115" t="str">
        <f t="shared" si="7"/>
        <v/>
      </c>
      <c r="AQ168" s="111"/>
      <c r="AR168" s="109" t="str">
        <f t="shared" si="8"/>
        <v/>
      </c>
      <c r="AS168" s="72" t="str">
        <f>IFERROR(IF(AND(Preferences!B$3="Manual",OR(AX168/AW168&gt;V168/U168,BD168="Serious",BD168="Very serious")),"Assess imprecision",IFERROR(IFS(AND(Preferences!B$3="Automatic",V168/U168&gt;=30),"Extremely serious",AND(W168&lt;=$D$1*-1,Y168&lt;0,V168/U168&lt;3),"Not Serious",AND(W168&lt;=$D$1*-1,Y168&lt;0,V168/U168&gt;=3),"Very serious",AND(W168&gt;=$D$1,X168&gt;0,V168/U168&lt;3),"Not Serious",AND(W168&gt;=$D$1,X168&gt;0,V168/U168&gt;=3),"Very serious",AND(W168&lt;=$D$1*-1,Y168&gt;0,X168&gt;$D$2*-1,V168/U168&lt;3),"Serious", AND(W168&lt;=$D$1*-1,Y168&gt;0,X168&lt;$D$2*-1,V168/U168&lt;3),"Very serious", AND(W168&gt;=$D$1,X168&lt;0,Y168&lt;$D$2,V168/U168&lt;3),"Serious",AND(W168&gt;=$D$1,X168&lt;0,Y168&gt;$D$2,V168/U168&lt;3),"Very serious", AND(W168&lt;=$D$1*-1,Y168&gt;0,X168&gt;$D$2*-1,V168/U168&gt;=3),"Very serious", AND(W168&lt;=$D$1*-1,Y168&gt;0,X168&lt;$D$2*-1,V168/U168&gt;=3),"Very serious", AND(W168&gt;=$D$1,X168&lt;0,Y168&lt;$D$2,V168/U168&gt;=3),"Very serious", AND(W168&gt;=$D$1,X168&lt;0,Y168&gt;$D$2,V168/U168&gt;=3),"Very serious", AND(W168&gt;$D$1*-1,W168&lt;$D$1,X168&gt;$D$1*-1,Y168&lt;$D$1,V168/U168&lt;3),"Not Serious", AND(W168&gt;$D$1*-1,W168&lt;$D$1,OR(X168&lt;=$D$1*-1,Y168&gt;=$D$1),X168&gt;$D$2*-1,Y168&lt;$D$2,V168/U168&lt;3),"Serious", AND(W168&gt;$D$1*-1,W168&lt;$D$1,OR(X168&lt;=$D$2*-1,Y168&gt;=$D$2),V168/U168&lt;3),"Very serious", AND(W168&gt;$D$1*-1,W168&lt;$D$1,X168&gt;$D$1*-1,Y168&lt;$D$1,V168/U168&gt;=3),"Very serious", AND(W168&gt;$D$1*-1,W168&lt;$D$1,OR(X168&lt;=$D$1*-1,Y168&gt;=$D$1),X168&gt;$D$2*-1,Y168&lt;$D$2,V168/U168&gt;=3),"Very serious", AND(W168&gt;$D$1*-1,W168&lt;$D$1,OR(X168&lt;=$D$2*-1,Y168&gt;=$D$2),V168/U168&gt;=3),"Very serious"),"")),"")</f>
        <v/>
      </c>
      <c r="AT168" s="109" t="str">
        <f t="shared" si="9"/>
        <v/>
      </c>
      <c r="AU168" s="64"/>
      <c r="AV168" s="83"/>
      <c r="AW168" s="83"/>
      <c r="AX168" s="83"/>
      <c r="AY168" s="83"/>
      <c r="AZ168" s="83"/>
      <c r="BA168" s="85"/>
      <c r="BB168" s="86" t="str">
        <f>IF(Preferences!B$9="Manual","",IFS(ISBLANK(B168),"",AND(ISNUMBER(E168)=TRUE,ISNUMBER(T168)=FALSE),"Direct", AND(ISNUMBER(E168)=FALSE,ISNUMBER(T168)=TRUE),"Indirect", CN168=4,"Direct",AND(CL168=FALSE, CM168=TRUE,CN168-CO168&gt;-1),"Direct", AND(CL168=FALSE,CM168=TRUE, CN168-CO168&lt;0),"Check algorithm in appendix 2", AND(CL168=TRUE, CM168=FALSE,CN168-CO168&gt;0),"Check algorithm in appendix 2", AND(CL168=TRUE, CM168=FALSE,CN168-CO168=0),"Indirect", AND(CL168=TRUE, CM168=FALSE,CN168-CO168&lt;0),"Indirect", AND(CL168=FALSE,CM168=FALSE,CN168-CO168&gt;-1),"Direct", AND(CL168=FALSE,CM168=FALSE,CN168-CO168&lt;0),"Check algorithm in appendix 2", AND(CL168=TRUE,CM168=TRUE,CN168-CO168&gt;-1),"Direct", AND(CL168=TRUE,CM168=TRUE,CN168-CO168&lt;0),"Check algorithm in appendix 2"))</f>
        <v/>
      </c>
      <c r="BC168" s="120" t="str">
        <f t="shared" si="10"/>
        <v/>
      </c>
      <c r="BD168" s="140"/>
      <c r="BE168" s="122" t="str">
        <f>IF(Preferences!B$3="Manual","", IFERROR(IFS(AND(Preferences!B$3="Automatic",AX168/AW168&gt;=30),"Extremely serious",AND(AY168&lt;=$D$1*-1,BA168&lt;0,AX168/AW168&lt;3),"Not Serious",AND(AY168&lt;=$D$1*-1,BA168&lt;0,AX168/AW168&gt;=3),"Very serious",AND(AY168&gt;=$D$1,AZ168&gt;0,AX168/AW168&lt;3),"Not Serious",AND(AY168&gt;=$D$1,AZ168&gt;0,AX168/AW168&gt;=3),"Very serious",AND(AY168&lt;=$D$1*-1,BA168&gt;0,AZ168&gt;$D$2*-1,AX168/AW168&lt;3),"Serious", AND(AY168&lt;=$D$1*-1,BA168&gt;0,AZ168&lt;$D$2*-1,AX168/AW168&lt;3),"Very serious", AND(AY168&gt;=$D$1,AZ168&lt;0,BA168&lt;$D$2,AX168/AW168&lt;3),"Serious",AND(AY168&gt;=$D$1,AZ168&lt;0,BA168&gt;$D$2,AX168/AW168&lt;3),"Very serious", AND(AY168&lt;=$D$1*-1,BA168&gt;0,AZ168&gt;$D$2*-1,AX168/AW168&gt;=3),"Very serious", AND(AY168&lt;=$D$1*-1,BA168&gt;0,AZ168&lt;$D$2*-1,AX168/AW168&gt;=3),"Very serious", AND(AY168&gt;=$D$1,AZ168&lt;0,BA168&lt;$D$2,AX168/AW168&gt;=3),"Very serious", AND(AY168&gt;=$D$1,AZ168&lt;0,BA168&gt;$D$2,AX168/AW168&gt;=3),"Very serious", AND(AY168&gt;$D$1*-1,AY168&lt;$D$1,AZ168&gt;$D$1*-1,BA168&lt;$D$1,AX168/AW168&lt;3),"Not Serious", AND(AY168&gt;$D$1*-1,AY168&lt;$D$1,OR(AZ168&lt;=$D$1*-1,BA168&gt;=$D$1),AZ168&gt;$D$2*-1,BA168&lt;$D$2,AX168/AW168&lt;3),"Serious", AND(AY168&gt;$D$1*-1,AY168&lt;$D$1,OR(AZ168&lt;=$D$2*-1,BA168&gt;=$D$2),AX168/AW168&lt;3),"Very serious", AND(AY168&gt;$D$1*-1,AY168&lt;$D$1,AZ168&gt;$D$1*-1,BA168&lt;$D$1,AX168/AW168&gt;=3),"Very serious", AND(AY168&gt;$D$1*-1,AY168&lt;$D$1,OR(AZ168&lt;=$D$1*-1,BA168&gt;=$D$1),AZ168&gt;$D$2*-1,BA168&lt;$D$2,AX168/AW168&gt;=3),"Very serious", AND(AY168&gt;$D$1*-1,AY168&lt;$D$1,OR(AZ168&lt;=$D$2*-1,BA168&gt;=$D$2),AX168/AW168&gt;=3),"Very serious"),""))</f>
        <v/>
      </c>
      <c r="BF168" s="107" t="str">
        <f t="shared" si="11"/>
        <v/>
      </c>
      <c r="BG168" s="94" t="str">
        <f t="shared" si="46"/>
        <v/>
      </c>
      <c r="BH168" s="64" t="str">
        <f t="shared" si="12"/>
        <v>#N/A</v>
      </c>
      <c r="BI168" s="64" t="str">
        <f t="shared" si="13"/>
        <v/>
      </c>
      <c r="BJ168" s="123" t="str">
        <f t="shared" si="14"/>
        <v>#N/A</v>
      </c>
      <c r="BK168" s="64" t="str">
        <f t="shared" si="50"/>
        <v>YES</v>
      </c>
      <c r="BL168" s="64" t="str">
        <f t="shared" si="16"/>
        <v>YES</v>
      </c>
      <c r="BM168" s="64" t="str">
        <f t="shared" si="17"/>
        <v>YES</v>
      </c>
      <c r="BN168" s="124" t="str">
        <f t="shared" si="18"/>
        <v/>
      </c>
      <c r="BO168" s="91" t="str">
        <f t="shared" si="19"/>
        <v/>
      </c>
      <c r="BP168" s="91" t="str">
        <f t="shared" si="20"/>
        <v>#N/A</v>
      </c>
      <c r="BQ168" s="91" t="str">
        <f t="shared" si="21"/>
        <v/>
      </c>
      <c r="BR168" s="93" t="str">
        <f t="shared" si="22"/>
        <v/>
      </c>
      <c r="BS168" s="90" t="str">
        <f t="shared" si="23"/>
        <v/>
      </c>
      <c r="BT168" s="93" t="str">
        <f t="shared" si="24"/>
        <v>NA</v>
      </c>
      <c r="BU168" s="125" t="str">
        <f t="shared" si="25"/>
        <v>#N/A</v>
      </c>
      <c r="BV168" s="93" t="str">
        <f t="shared" si="26"/>
        <v/>
      </c>
      <c r="BW168" s="93" t="str">
        <f t="shared" si="27"/>
        <v/>
      </c>
      <c r="BX168" s="93" t="str">
        <f t="shared" si="28"/>
        <v>NA</v>
      </c>
      <c r="BY168" s="95" t="str">
        <f t="shared" si="29"/>
        <v>#N/A</v>
      </c>
      <c r="BZ168" s="93" t="str">
        <f t="shared" si="30"/>
        <v/>
      </c>
      <c r="CA168" s="93" t="str">
        <f t="shared" si="31"/>
        <v/>
      </c>
      <c r="CB168" s="93" t="str">
        <f t="shared" si="32"/>
        <v>NA</v>
      </c>
      <c r="CC168" s="96" t="str">
        <f t="shared" si="33"/>
        <v>#N/A</v>
      </c>
      <c r="CD168" s="93" t="str">
        <f t="shared" si="34"/>
        <v/>
      </c>
      <c r="CE168" s="93" t="str">
        <f t="shared" si="35"/>
        <v/>
      </c>
      <c r="CF168" s="93" t="str">
        <f t="shared" si="36"/>
        <v>NA</v>
      </c>
      <c r="CG168" s="97" t="str">
        <f t="shared" si="37"/>
        <v>#N/A</v>
      </c>
      <c r="CH168" s="98" t="str">
        <f t="shared" si="38"/>
        <v>#N/A</v>
      </c>
      <c r="CI168" s="99" t="str">
        <f t="shared" si="39"/>
        <v>#N/A</v>
      </c>
      <c r="CJ168" s="126" t="str">
        <f t="shared" si="40"/>
        <v>ERROR: check cell</v>
      </c>
      <c r="CK168" s="126"/>
      <c r="CL168" s="127" t="str">
        <f t="shared" si="41"/>
        <v>#DIV/0!</v>
      </c>
      <c r="CM168" s="128" t="str">
        <f t="shared" si="42"/>
        <v>#DIV/0!</v>
      </c>
      <c r="CN168" s="128">
        <f t="shared" si="43"/>
        <v>4</v>
      </c>
      <c r="CO168" s="129">
        <f t="shared" si="44"/>
        <v>4</v>
      </c>
      <c r="CP168" s="129" t="str">
        <f>IFS(C168=Preferences!B$13,B168,B168=Preferences!B$13,C168)</f>
        <v>#N/A</v>
      </c>
    </row>
    <row r="169" ht="13.5" customHeight="1">
      <c r="A169" s="63" t="str">
        <f t="shared" si="45"/>
        <v/>
      </c>
      <c r="B169" s="64"/>
      <c r="C169" s="64"/>
      <c r="D169" s="64"/>
      <c r="E169" s="65"/>
      <c r="F169" s="65"/>
      <c r="G169" s="65"/>
      <c r="H169" s="66"/>
      <c r="I169" s="66"/>
      <c r="J169" s="67"/>
      <c r="K169" s="68"/>
      <c r="L169" s="104"/>
      <c r="M169" s="104"/>
      <c r="N169" s="104"/>
      <c r="O169" s="104"/>
      <c r="P169" s="107" t="str">
        <f t="shared" si="1"/>
        <v/>
      </c>
      <c r="Q169" s="108" t="str">
        <f>IFERROR(IF(AND(Preferences!B$3="Manual",OR(AX169/AW169&gt;G169/F169,BD169="Serious",BD169="Very serious")),"Assess imprecision",IFS(ISBLANK(E169),"",AND(Preferences!B$3="Automatic", G169/F169&gt;=30),"Extremely serious",AND(H169&lt;=$D$1*-1,J169&lt;0,G169/F169&lt;3),"Not serious",AND(H169&lt;=$D$1*-1,J169&lt;0,G169/F169&gt;=3),"Very serious",AND(H169&gt;=$D$1,I169&gt;0,G169/F169&lt;3),"Not serious",AND(H169&gt;=$D$1,I169&gt;0,G169/F169&gt;=3),"Very serious",AND(H169&lt;=$D$1*-1,J169&gt;0,I169&gt;$D$2*-1,G169/F169&lt;3),"Serious", AND(H169&lt;=$D$1*-1,J169&gt;0,I169&lt;$D$2*-1,G169/F169&lt;3),"Very serious", AND(H169&gt;=$D$1,I169&lt;0,J169&lt;$D$2,G169/F169&lt;3),"Serious",AND(H169&gt;=$D$1,I169&lt;0,J169&gt;$D$2,G169/F169&lt;3),"Very serious", AND(H169&lt;=$D$1*-1,J169&gt;0,I169&gt;$D$2*-1,G169/F169&gt;=3),"Very serious", AND(H169&lt;=$D$1*-1,J169&gt;0,I169&lt;$D$2*-1,G169/F169&gt;=3),"Very serious", AND(H169&gt;=$D$1,I169&lt;0,J169&lt;$D$2,G169/F169&gt;=3),"Very serious", AND(H169&gt;=$D$1,I169&lt;0,J169&gt;$D$2,G169/F169&gt;=3),"Very serious", AND(H169&gt;$D$1*-1,H169&lt;$D$1,I169&gt;$D$1*-1,J169&lt;$D$1,G169/F169&lt;3),"Not serious", AND(H169&gt;$D$1*-1,H169&lt;$D$1,OR(I169&lt;=$D$1*-1,J169&gt;=$D$1),I169&gt;$D$2*-1,J169&lt;$D$2,G169/F169&lt;3),"Serious", AND(H169&gt;$D$1*-1,H169&lt;$D$1,OR(I169&lt;=$D$2*-1,J169&gt;=$D$2),G169/F169&lt;3),"Very serious", AND(H169&gt;$D$1*-1,H169&lt;$D$1,I169&gt;$D$1*-1,J169&lt;$D$1,G169/F169&gt;=3),"Very serious", AND(H169&gt;$D$1*-1,H169&lt;$D$1,OR(I169&lt;=$D$1*-1,J169&gt;=$D$1),I169&gt;$D$2*-1,J169&lt;$D$2,G169/F169&gt;=3),"Very serious", AND(H169&gt;$D$1*-1,H169&lt;$D$1,OR(I169&lt;=$D$2*-1,J169&gt;=$D$2),G169/F169&gt;=3),"Very serious")),"")</f>
        <v/>
      </c>
      <c r="R169" s="109" t="str">
        <f t="shared" si="47"/>
        <v/>
      </c>
      <c r="S169" s="64"/>
      <c r="T169" s="72"/>
      <c r="U169" s="72"/>
      <c r="V169" s="72"/>
      <c r="W169" s="73"/>
      <c r="X169" s="73"/>
      <c r="Y169" s="74"/>
      <c r="Z169" s="113" t="str">
        <f t="array" ref="Z169">INDEX($A$1:$C$500, MATCH(1,($B:$B=$B169)*($C:$C=$AB169),0),1)</f>
        <v/>
      </c>
      <c r="AA169" s="113" t="str">
        <f t="array" ref="AA169">INDEX($A$1:$C$500, MATCH(1,($B:$B=$AB169)*($C:$C=$B169),0),1)</f>
        <v/>
      </c>
      <c r="AB169" s="111"/>
      <c r="AC169" s="114" t="str">
        <f t="shared" si="2"/>
        <v/>
      </c>
      <c r="AD169" s="115" t="str">
        <f t="shared" si="3"/>
        <v/>
      </c>
      <c r="AE169" s="116" t="str">
        <f t="array" ref="AE169">INDEX($A$1:$C$500, MATCH(1,($B:$B=$AB169)*($C:$C=$AG169),0),1)</f>
        <v/>
      </c>
      <c r="AF169" s="116" t="str">
        <f t="array" ref="AF169">INDEX($A$1:$C$500, MATCH(1,($B:$B=$AG169)*($C:$C=$AB169),0),1)</f>
        <v/>
      </c>
      <c r="AG169" s="72"/>
      <c r="AH169" s="114" t="str">
        <f t="shared" si="4"/>
        <v/>
      </c>
      <c r="AI169" s="115" t="str">
        <f t="shared" si="5"/>
        <v/>
      </c>
      <c r="AJ169" s="116" t="str">
        <f t="array" ref="AJ169">INDEX($A$1:$C$500, MATCH(1,($B:$B=$C169)*($C:$C=$AG169),0),1)</f>
        <v/>
      </c>
      <c r="AK169" s="116" t="str">
        <f t="array" ref="AK169">INDEX($A$1:$C$500, MATCH(1,($B:$B=$AG169)*($C:$C=$C169),0),1)</f>
        <v/>
      </c>
      <c r="AL169" s="116" t="str">
        <f t="array" ref="AL169">INDEX($A$1:$C$500, MATCH(1,($B:$B=$C169)*($C:$C=$AB169),0),1)</f>
        <v/>
      </c>
      <c r="AM169" s="116" t="str">
        <f t="array" ref="AM169">INDEX($A$1:$C$500, MATCH(1,($B:$B=$AB169)*($C:$C=$C169),0),1)</f>
        <v/>
      </c>
      <c r="AN169" s="114" t="str">
        <f t="array" ref="AN169">IFS(ISNUMBER(AJ169),AJ169,ISNUMBER(AK169),AK169,ISNUMBER(AL169),AL169,ISNUMBER(AM169),AM169)</f>
        <v>#N/A</v>
      </c>
      <c r="AO169" s="115" t="str">
        <f t="shared" si="6"/>
        <v/>
      </c>
      <c r="AP169" s="115" t="str">
        <f t="shared" si="7"/>
        <v/>
      </c>
      <c r="AQ169" s="111"/>
      <c r="AR169" s="109" t="str">
        <f t="shared" si="8"/>
        <v/>
      </c>
      <c r="AS169" s="72" t="str">
        <f>IFERROR(IF(AND(Preferences!B$3="Manual",OR(AX169/AW169&gt;V169/U169,BD169="Serious",BD169="Very serious")),"Assess imprecision",IFERROR(IFS(AND(Preferences!B$3="Automatic",V169/U169&gt;=30),"Extremely serious",AND(W169&lt;=$D$1*-1,Y169&lt;0,V169/U169&lt;3),"Not Serious",AND(W169&lt;=$D$1*-1,Y169&lt;0,V169/U169&gt;=3),"Very serious",AND(W169&gt;=$D$1,X169&gt;0,V169/U169&lt;3),"Not Serious",AND(W169&gt;=$D$1,X169&gt;0,V169/U169&gt;=3),"Very serious",AND(W169&lt;=$D$1*-1,Y169&gt;0,X169&gt;$D$2*-1,V169/U169&lt;3),"Serious", AND(W169&lt;=$D$1*-1,Y169&gt;0,X169&lt;$D$2*-1,V169/U169&lt;3),"Very serious", AND(W169&gt;=$D$1,X169&lt;0,Y169&lt;$D$2,V169/U169&lt;3),"Serious",AND(W169&gt;=$D$1,X169&lt;0,Y169&gt;$D$2,V169/U169&lt;3),"Very serious", AND(W169&lt;=$D$1*-1,Y169&gt;0,X169&gt;$D$2*-1,V169/U169&gt;=3),"Very serious", AND(W169&lt;=$D$1*-1,Y169&gt;0,X169&lt;$D$2*-1,V169/U169&gt;=3),"Very serious", AND(W169&gt;=$D$1,X169&lt;0,Y169&lt;$D$2,V169/U169&gt;=3),"Very serious", AND(W169&gt;=$D$1,X169&lt;0,Y169&gt;$D$2,V169/U169&gt;=3),"Very serious", AND(W169&gt;$D$1*-1,W169&lt;$D$1,X169&gt;$D$1*-1,Y169&lt;$D$1,V169/U169&lt;3),"Not Serious", AND(W169&gt;$D$1*-1,W169&lt;$D$1,OR(X169&lt;=$D$1*-1,Y169&gt;=$D$1),X169&gt;$D$2*-1,Y169&lt;$D$2,V169/U169&lt;3),"Serious", AND(W169&gt;$D$1*-1,W169&lt;$D$1,OR(X169&lt;=$D$2*-1,Y169&gt;=$D$2),V169/U169&lt;3),"Very serious", AND(W169&gt;$D$1*-1,W169&lt;$D$1,X169&gt;$D$1*-1,Y169&lt;$D$1,V169/U169&gt;=3),"Very serious", AND(W169&gt;$D$1*-1,W169&lt;$D$1,OR(X169&lt;=$D$1*-1,Y169&gt;=$D$1),X169&gt;$D$2*-1,Y169&lt;$D$2,V169/U169&gt;=3),"Very serious", AND(W169&gt;$D$1*-1,W169&lt;$D$1,OR(X169&lt;=$D$2*-1,Y169&gt;=$D$2),V169/U169&gt;=3),"Very serious"),"")),"")</f>
        <v/>
      </c>
      <c r="AT169" s="109" t="str">
        <f t="shared" si="9"/>
        <v/>
      </c>
      <c r="AU169" s="64"/>
      <c r="AV169" s="83"/>
      <c r="AW169" s="83"/>
      <c r="AX169" s="83"/>
      <c r="AY169" s="83"/>
      <c r="AZ169" s="83"/>
      <c r="BA169" s="85"/>
      <c r="BB169" s="86" t="str">
        <f>IF(Preferences!B$9="Manual","",IFS(ISBLANK(B169),"",AND(ISNUMBER(E169)=TRUE,ISNUMBER(T169)=FALSE),"Direct", AND(ISNUMBER(E169)=FALSE,ISNUMBER(T169)=TRUE),"Indirect", CN169=4,"Direct",AND(CL169=FALSE, CM169=TRUE,CN169-CO169&gt;-1),"Direct", AND(CL169=FALSE,CM169=TRUE, CN169-CO169&lt;0),"Check algorithm in appendix 2", AND(CL169=TRUE, CM169=FALSE,CN169-CO169&gt;0),"Check algorithm in appendix 2", AND(CL169=TRUE, CM169=FALSE,CN169-CO169=0),"Indirect", AND(CL169=TRUE, CM169=FALSE,CN169-CO169&lt;0),"Indirect", AND(CL169=FALSE,CM169=FALSE,CN169-CO169&gt;-1),"Direct", AND(CL169=FALSE,CM169=FALSE,CN169-CO169&lt;0),"Check algorithm in appendix 2", AND(CL169=TRUE,CM169=TRUE,CN169-CO169&gt;-1),"Direct", AND(CL169=TRUE,CM169=TRUE,CN169-CO169&lt;0),"Check algorithm in appendix 2"))</f>
        <v/>
      </c>
      <c r="BC169" s="120" t="str">
        <f t="shared" si="10"/>
        <v/>
      </c>
      <c r="BD169" s="140"/>
      <c r="BE169" s="122" t="str">
        <f>IF(Preferences!B$3="Manual","", IFERROR(IFS(AND(Preferences!B$3="Automatic",AX169/AW169&gt;=30),"Extremely serious",AND(AY169&lt;=$D$1*-1,BA169&lt;0,AX169/AW169&lt;3),"Not Serious",AND(AY169&lt;=$D$1*-1,BA169&lt;0,AX169/AW169&gt;=3),"Very serious",AND(AY169&gt;=$D$1,AZ169&gt;0,AX169/AW169&lt;3),"Not Serious",AND(AY169&gt;=$D$1,AZ169&gt;0,AX169/AW169&gt;=3),"Very serious",AND(AY169&lt;=$D$1*-1,BA169&gt;0,AZ169&gt;$D$2*-1,AX169/AW169&lt;3),"Serious", AND(AY169&lt;=$D$1*-1,BA169&gt;0,AZ169&lt;$D$2*-1,AX169/AW169&lt;3),"Very serious", AND(AY169&gt;=$D$1,AZ169&lt;0,BA169&lt;$D$2,AX169/AW169&lt;3),"Serious",AND(AY169&gt;=$D$1,AZ169&lt;0,BA169&gt;$D$2,AX169/AW169&lt;3),"Very serious", AND(AY169&lt;=$D$1*-1,BA169&gt;0,AZ169&gt;$D$2*-1,AX169/AW169&gt;=3),"Very serious", AND(AY169&lt;=$D$1*-1,BA169&gt;0,AZ169&lt;$D$2*-1,AX169/AW169&gt;=3),"Very serious", AND(AY169&gt;=$D$1,AZ169&lt;0,BA169&lt;$D$2,AX169/AW169&gt;=3),"Very serious", AND(AY169&gt;=$D$1,AZ169&lt;0,BA169&gt;$D$2,AX169/AW169&gt;=3),"Very serious", AND(AY169&gt;$D$1*-1,AY169&lt;$D$1,AZ169&gt;$D$1*-1,BA169&lt;$D$1,AX169/AW169&lt;3),"Not Serious", AND(AY169&gt;$D$1*-1,AY169&lt;$D$1,OR(AZ169&lt;=$D$1*-1,BA169&gt;=$D$1),AZ169&gt;$D$2*-1,BA169&lt;$D$2,AX169/AW169&lt;3),"Serious", AND(AY169&gt;$D$1*-1,AY169&lt;$D$1,OR(AZ169&lt;=$D$2*-1,BA169&gt;=$D$2),AX169/AW169&lt;3),"Very serious", AND(AY169&gt;$D$1*-1,AY169&lt;$D$1,AZ169&gt;$D$1*-1,BA169&lt;$D$1,AX169/AW169&gt;=3),"Very serious", AND(AY169&gt;$D$1*-1,AY169&lt;$D$1,OR(AZ169&lt;=$D$1*-1,BA169&gt;=$D$1),AZ169&gt;$D$2*-1,BA169&lt;$D$2,AX169/AW169&gt;=3),"Very serious", AND(AY169&gt;$D$1*-1,AY169&lt;$D$1,OR(AZ169&lt;=$D$2*-1,BA169&gt;=$D$2),AX169/AW169&gt;=3),"Very serious"),""))</f>
        <v/>
      </c>
      <c r="BF169" s="107" t="str">
        <f t="shared" si="11"/>
        <v/>
      </c>
      <c r="BG169" s="94" t="str">
        <f t="shared" si="46"/>
        <v/>
      </c>
      <c r="BH169" s="64" t="str">
        <f t="shared" si="12"/>
        <v>#N/A</v>
      </c>
      <c r="BI169" s="64" t="str">
        <f t="shared" si="13"/>
        <v/>
      </c>
      <c r="BJ169" s="123" t="str">
        <f t="shared" si="14"/>
        <v>#N/A</v>
      </c>
      <c r="BK169" s="64" t="str">
        <f t="shared" si="50"/>
        <v>YES</v>
      </c>
      <c r="BL169" s="64" t="str">
        <f t="shared" si="16"/>
        <v>YES</v>
      </c>
      <c r="BM169" s="64" t="str">
        <f t="shared" si="17"/>
        <v>YES</v>
      </c>
      <c r="BN169" s="124" t="str">
        <f t="shared" si="18"/>
        <v/>
      </c>
      <c r="BO169" s="91" t="str">
        <f t="shared" si="19"/>
        <v/>
      </c>
      <c r="BP169" s="91" t="str">
        <f t="shared" si="20"/>
        <v>#N/A</v>
      </c>
      <c r="BQ169" s="91" t="str">
        <f t="shared" si="21"/>
        <v/>
      </c>
      <c r="BR169" s="93" t="str">
        <f t="shared" si="22"/>
        <v/>
      </c>
      <c r="BS169" s="90" t="str">
        <f t="shared" si="23"/>
        <v/>
      </c>
      <c r="BT169" s="93" t="str">
        <f t="shared" si="24"/>
        <v>NA</v>
      </c>
      <c r="BU169" s="125" t="str">
        <f t="shared" si="25"/>
        <v>#N/A</v>
      </c>
      <c r="BV169" s="93" t="str">
        <f t="shared" si="26"/>
        <v/>
      </c>
      <c r="BW169" s="93" t="str">
        <f t="shared" si="27"/>
        <v/>
      </c>
      <c r="BX169" s="93" t="str">
        <f t="shared" si="28"/>
        <v>NA</v>
      </c>
      <c r="BY169" s="95" t="str">
        <f t="shared" si="29"/>
        <v>#N/A</v>
      </c>
      <c r="BZ169" s="93" t="str">
        <f t="shared" si="30"/>
        <v/>
      </c>
      <c r="CA169" s="93" t="str">
        <f t="shared" si="31"/>
        <v/>
      </c>
      <c r="CB169" s="93" t="str">
        <f t="shared" si="32"/>
        <v>NA</v>
      </c>
      <c r="CC169" s="96" t="str">
        <f t="shared" si="33"/>
        <v>#N/A</v>
      </c>
      <c r="CD169" s="93" t="str">
        <f t="shared" si="34"/>
        <v/>
      </c>
      <c r="CE169" s="93" t="str">
        <f t="shared" si="35"/>
        <v/>
      </c>
      <c r="CF169" s="93" t="str">
        <f t="shared" si="36"/>
        <v>NA</v>
      </c>
      <c r="CG169" s="97" t="str">
        <f t="shared" si="37"/>
        <v>#N/A</v>
      </c>
      <c r="CH169" s="98" t="str">
        <f t="shared" si="38"/>
        <v>#N/A</v>
      </c>
      <c r="CI169" s="99" t="str">
        <f t="shared" si="39"/>
        <v>#N/A</v>
      </c>
      <c r="CJ169" s="126" t="str">
        <f t="shared" si="40"/>
        <v>ERROR: check cell</v>
      </c>
      <c r="CK169" s="126"/>
      <c r="CL169" s="127" t="str">
        <f t="shared" si="41"/>
        <v>#DIV/0!</v>
      </c>
      <c r="CM169" s="128" t="str">
        <f t="shared" si="42"/>
        <v>#DIV/0!</v>
      </c>
      <c r="CN169" s="128">
        <f t="shared" si="43"/>
        <v>4</v>
      </c>
      <c r="CO169" s="129">
        <f t="shared" si="44"/>
        <v>4</v>
      </c>
      <c r="CP169" s="129" t="str">
        <f>IFS(C169=Preferences!B$13,B169,B169=Preferences!B$13,C169)</f>
        <v>#N/A</v>
      </c>
    </row>
    <row r="170" ht="13.5" customHeight="1">
      <c r="A170" s="63" t="str">
        <f t="shared" si="45"/>
        <v/>
      </c>
      <c r="B170" s="64"/>
      <c r="C170" s="64"/>
      <c r="D170" s="64"/>
      <c r="E170" s="65"/>
      <c r="F170" s="65"/>
      <c r="G170" s="65"/>
      <c r="H170" s="66"/>
      <c r="I170" s="66"/>
      <c r="J170" s="67"/>
      <c r="K170" s="68"/>
      <c r="L170" s="104"/>
      <c r="M170" s="104"/>
      <c r="N170" s="104"/>
      <c r="O170" s="104"/>
      <c r="P170" s="107" t="str">
        <f t="shared" si="1"/>
        <v/>
      </c>
      <c r="Q170" s="108" t="str">
        <f>IFERROR(IF(AND(Preferences!B$3="Manual",OR(AX170/AW170&gt;G170/F170,BD170="Serious",BD170="Very serious")),"Assess imprecision",IFS(ISBLANK(E170),"",AND(Preferences!B$3="Automatic", G170/F170&gt;=30),"Extremely serious",AND(H170&lt;=$D$1*-1,J170&lt;0,G170/F170&lt;3),"Not serious",AND(H170&lt;=$D$1*-1,J170&lt;0,G170/F170&gt;=3),"Very serious",AND(H170&gt;=$D$1,I170&gt;0,G170/F170&lt;3),"Not serious",AND(H170&gt;=$D$1,I170&gt;0,G170/F170&gt;=3),"Very serious",AND(H170&lt;=$D$1*-1,J170&gt;0,I170&gt;$D$2*-1,G170/F170&lt;3),"Serious", AND(H170&lt;=$D$1*-1,J170&gt;0,I170&lt;$D$2*-1,G170/F170&lt;3),"Very serious", AND(H170&gt;=$D$1,I170&lt;0,J170&lt;$D$2,G170/F170&lt;3),"Serious",AND(H170&gt;=$D$1,I170&lt;0,J170&gt;$D$2,G170/F170&lt;3),"Very serious", AND(H170&lt;=$D$1*-1,J170&gt;0,I170&gt;$D$2*-1,G170/F170&gt;=3),"Very serious", AND(H170&lt;=$D$1*-1,J170&gt;0,I170&lt;$D$2*-1,G170/F170&gt;=3),"Very serious", AND(H170&gt;=$D$1,I170&lt;0,J170&lt;$D$2,G170/F170&gt;=3),"Very serious", AND(H170&gt;=$D$1,I170&lt;0,J170&gt;$D$2,G170/F170&gt;=3),"Very serious", AND(H170&gt;$D$1*-1,H170&lt;$D$1,I170&gt;$D$1*-1,J170&lt;$D$1,G170/F170&lt;3),"Not serious", AND(H170&gt;$D$1*-1,H170&lt;$D$1,OR(I170&lt;=$D$1*-1,J170&gt;=$D$1),I170&gt;$D$2*-1,J170&lt;$D$2,G170/F170&lt;3),"Serious", AND(H170&gt;$D$1*-1,H170&lt;$D$1,OR(I170&lt;=$D$2*-1,J170&gt;=$D$2),G170/F170&lt;3),"Very serious", AND(H170&gt;$D$1*-1,H170&lt;$D$1,I170&gt;$D$1*-1,J170&lt;$D$1,G170/F170&gt;=3),"Very serious", AND(H170&gt;$D$1*-1,H170&lt;$D$1,OR(I170&lt;=$D$1*-1,J170&gt;=$D$1),I170&gt;$D$2*-1,J170&lt;$D$2,G170/F170&gt;=3),"Very serious", AND(H170&gt;$D$1*-1,H170&lt;$D$1,OR(I170&lt;=$D$2*-1,J170&gt;=$D$2),G170/F170&gt;=3),"Very serious")),"")</f>
        <v/>
      </c>
      <c r="R170" s="109" t="str">
        <f t="shared" si="47"/>
        <v/>
      </c>
      <c r="S170" s="64"/>
      <c r="T170" s="72"/>
      <c r="U170" s="72"/>
      <c r="V170" s="72"/>
      <c r="W170" s="73"/>
      <c r="X170" s="73"/>
      <c r="Y170" s="74"/>
      <c r="Z170" s="113" t="str">
        <f t="array" ref="Z170">INDEX($A$1:$C$500, MATCH(1,($B:$B=$B170)*($C:$C=$AB170),0),1)</f>
        <v/>
      </c>
      <c r="AA170" s="113" t="str">
        <f t="array" ref="AA170">INDEX($A$1:$C$500, MATCH(1,($B:$B=$AB170)*($C:$C=$B170),0),1)</f>
        <v/>
      </c>
      <c r="AB170" s="111"/>
      <c r="AC170" s="114" t="str">
        <f t="shared" si="2"/>
        <v/>
      </c>
      <c r="AD170" s="115" t="str">
        <f t="shared" si="3"/>
        <v/>
      </c>
      <c r="AE170" s="116" t="str">
        <f t="array" ref="AE170">INDEX($A$1:$C$500, MATCH(1,($B:$B=$AB170)*($C:$C=$AG170),0),1)</f>
        <v/>
      </c>
      <c r="AF170" s="116" t="str">
        <f t="array" ref="AF170">INDEX($A$1:$C$500, MATCH(1,($B:$B=$AG170)*($C:$C=$AB170),0),1)</f>
        <v/>
      </c>
      <c r="AG170" s="72"/>
      <c r="AH170" s="114" t="str">
        <f t="shared" si="4"/>
        <v/>
      </c>
      <c r="AI170" s="115" t="str">
        <f t="shared" si="5"/>
        <v/>
      </c>
      <c r="AJ170" s="116" t="str">
        <f t="array" ref="AJ170">INDEX($A$1:$C$500, MATCH(1,($B:$B=$C170)*($C:$C=$AG170),0),1)</f>
        <v/>
      </c>
      <c r="AK170" s="116" t="str">
        <f t="array" ref="AK170">INDEX($A$1:$C$500, MATCH(1,($B:$B=$AG170)*($C:$C=$C170),0),1)</f>
        <v/>
      </c>
      <c r="AL170" s="116" t="str">
        <f t="array" ref="AL170">INDEX($A$1:$C$500, MATCH(1,($B:$B=$C170)*($C:$C=$AB170),0),1)</f>
        <v/>
      </c>
      <c r="AM170" s="116" t="str">
        <f t="array" ref="AM170">INDEX($A$1:$C$500, MATCH(1,($B:$B=$AB170)*($C:$C=$C170),0),1)</f>
        <v/>
      </c>
      <c r="AN170" s="114" t="str">
        <f t="array" ref="AN170">IFS(ISNUMBER(AJ170),AJ170,ISNUMBER(AK170),AK170,ISNUMBER(AL170),AL170,ISNUMBER(AM170),AM170)</f>
        <v>#N/A</v>
      </c>
      <c r="AO170" s="115" t="str">
        <f t="shared" si="6"/>
        <v/>
      </c>
      <c r="AP170" s="115" t="str">
        <f t="shared" si="7"/>
        <v/>
      </c>
      <c r="AQ170" s="111"/>
      <c r="AR170" s="109" t="str">
        <f t="shared" si="8"/>
        <v/>
      </c>
      <c r="AS170" s="72" t="str">
        <f>IFERROR(IF(AND(Preferences!B$3="Manual",OR(AX170/AW170&gt;V170/U170,BD170="Serious",BD170="Very serious")),"Assess imprecision",IFERROR(IFS(AND(Preferences!B$3="Automatic",V170/U170&gt;=30),"Extremely serious",AND(W170&lt;=$D$1*-1,Y170&lt;0,V170/U170&lt;3),"Not Serious",AND(W170&lt;=$D$1*-1,Y170&lt;0,V170/U170&gt;=3),"Very serious",AND(W170&gt;=$D$1,X170&gt;0,V170/U170&lt;3),"Not Serious",AND(W170&gt;=$D$1,X170&gt;0,V170/U170&gt;=3),"Very serious",AND(W170&lt;=$D$1*-1,Y170&gt;0,X170&gt;$D$2*-1,V170/U170&lt;3),"Serious", AND(W170&lt;=$D$1*-1,Y170&gt;0,X170&lt;$D$2*-1,V170/U170&lt;3),"Very serious", AND(W170&gt;=$D$1,X170&lt;0,Y170&lt;$D$2,V170/U170&lt;3),"Serious",AND(W170&gt;=$D$1,X170&lt;0,Y170&gt;$D$2,V170/U170&lt;3),"Very serious", AND(W170&lt;=$D$1*-1,Y170&gt;0,X170&gt;$D$2*-1,V170/U170&gt;=3),"Very serious", AND(W170&lt;=$D$1*-1,Y170&gt;0,X170&lt;$D$2*-1,V170/U170&gt;=3),"Very serious", AND(W170&gt;=$D$1,X170&lt;0,Y170&lt;$D$2,V170/U170&gt;=3),"Very serious", AND(W170&gt;=$D$1,X170&lt;0,Y170&gt;$D$2,V170/U170&gt;=3),"Very serious", AND(W170&gt;$D$1*-1,W170&lt;$D$1,X170&gt;$D$1*-1,Y170&lt;$D$1,V170/U170&lt;3),"Not Serious", AND(W170&gt;$D$1*-1,W170&lt;$D$1,OR(X170&lt;=$D$1*-1,Y170&gt;=$D$1),X170&gt;$D$2*-1,Y170&lt;$D$2,V170/U170&lt;3),"Serious", AND(W170&gt;$D$1*-1,W170&lt;$D$1,OR(X170&lt;=$D$2*-1,Y170&gt;=$D$2),V170/U170&lt;3),"Very serious", AND(W170&gt;$D$1*-1,W170&lt;$D$1,X170&gt;$D$1*-1,Y170&lt;$D$1,V170/U170&gt;=3),"Very serious", AND(W170&gt;$D$1*-1,W170&lt;$D$1,OR(X170&lt;=$D$1*-1,Y170&gt;=$D$1),X170&gt;$D$2*-1,Y170&lt;$D$2,V170/U170&gt;=3),"Very serious", AND(W170&gt;$D$1*-1,W170&lt;$D$1,OR(X170&lt;=$D$2*-1,Y170&gt;=$D$2),V170/U170&gt;=3),"Very serious"),"")),"")</f>
        <v/>
      </c>
      <c r="AT170" s="109" t="str">
        <f t="shared" si="9"/>
        <v/>
      </c>
      <c r="AU170" s="64"/>
      <c r="AV170" s="83"/>
      <c r="AW170" s="83"/>
      <c r="AX170" s="83"/>
      <c r="AY170" s="83"/>
      <c r="AZ170" s="83"/>
      <c r="BA170" s="85"/>
      <c r="BB170" s="86" t="str">
        <f>IF(Preferences!B$9="Manual","",IFS(ISBLANK(B170),"",AND(ISNUMBER(E170)=TRUE,ISNUMBER(T170)=FALSE),"Direct", AND(ISNUMBER(E170)=FALSE,ISNUMBER(T170)=TRUE),"Indirect", CN170=4,"Direct",AND(CL170=FALSE, CM170=TRUE,CN170-CO170&gt;-1),"Direct", AND(CL170=FALSE,CM170=TRUE, CN170-CO170&lt;0),"Check algorithm in appendix 2", AND(CL170=TRUE, CM170=FALSE,CN170-CO170&gt;0),"Check algorithm in appendix 2", AND(CL170=TRUE, CM170=FALSE,CN170-CO170=0),"Indirect", AND(CL170=TRUE, CM170=FALSE,CN170-CO170&lt;0),"Indirect", AND(CL170=FALSE,CM170=FALSE,CN170-CO170&gt;-1),"Direct", AND(CL170=FALSE,CM170=FALSE,CN170-CO170&lt;0),"Check algorithm in appendix 2", AND(CL170=TRUE,CM170=TRUE,CN170-CO170&gt;-1),"Direct", AND(CL170=TRUE,CM170=TRUE,CN170-CO170&lt;0),"Check algorithm in appendix 2"))</f>
        <v/>
      </c>
      <c r="BC170" s="120" t="str">
        <f t="shared" si="10"/>
        <v/>
      </c>
      <c r="BD170" s="140"/>
      <c r="BE170" s="122" t="str">
        <f>IF(Preferences!B$3="Manual","", IFERROR(IFS(AND(Preferences!B$3="Automatic",AX170/AW170&gt;=30),"Extremely serious",AND(AY170&lt;=$D$1*-1,BA170&lt;0,AX170/AW170&lt;3),"Not Serious",AND(AY170&lt;=$D$1*-1,BA170&lt;0,AX170/AW170&gt;=3),"Very serious",AND(AY170&gt;=$D$1,AZ170&gt;0,AX170/AW170&lt;3),"Not Serious",AND(AY170&gt;=$D$1,AZ170&gt;0,AX170/AW170&gt;=3),"Very serious",AND(AY170&lt;=$D$1*-1,BA170&gt;0,AZ170&gt;$D$2*-1,AX170/AW170&lt;3),"Serious", AND(AY170&lt;=$D$1*-1,BA170&gt;0,AZ170&lt;$D$2*-1,AX170/AW170&lt;3),"Very serious", AND(AY170&gt;=$D$1,AZ170&lt;0,BA170&lt;$D$2,AX170/AW170&lt;3),"Serious",AND(AY170&gt;=$D$1,AZ170&lt;0,BA170&gt;$D$2,AX170/AW170&lt;3),"Very serious", AND(AY170&lt;=$D$1*-1,BA170&gt;0,AZ170&gt;$D$2*-1,AX170/AW170&gt;=3),"Very serious", AND(AY170&lt;=$D$1*-1,BA170&gt;0,AZ170&lt;$D$2*-1,AX170/AW170&gt;=3),"Very serious", AND(AY170&gt;=$D$1,AZ170&lt;0,BA170&lt;$D$2,AX170/AW170&gt;=3),"Very serious", AND(AY170&gt;=$D$1,AZ170&lt;0,BA170&gt;$D$2,AX170/AW170&gt;=3),"Very serious", AND(AY170&gt;$D$1*-1,AY170&lt;$D$1,AZ170&gt;$D$1*-1,BA170&lt;$D$1,AX170/AW170&lt;3),"Not Serious", AND(AY170&gt;$D$1*-1,AY170&lt;$D$1,OR(AZ170&lt;=$D$1*-1,BA170&gt;=$D$1),AZ170&gt;$D$2*-1,BA170&lt;$D$2,AX170/AW170&lt;3),"Serious", AND(AY170&gt;$D$1*-1,AY170&lt;$D$1,OR(AZ170&lt;=$D$2*-1,BA170&gt;=$D$2),AX170/AW170&lt;3),"Very serious", AND(AY170&gt;$D$1*-1,AY170&lt;$D$1,AZ170&gt;$D$1*-1,BA170&lt;$D$1,AX170/AW170&gt;=3),"Very serious", AND(AY170&gt;$D$1*-1,AY170&lt;$D$1,OR(AZ170&lt;=$D$1*-1,BA170&gt;=$D$1),AZ170&gt;$D$2*-1,BA170&lt;$D$2,AX170/AW170&gt;=3),"Very serious", AND(AY170&gt;$D$1*-1,AY170&lt;$D$1,OR(AZ170&lt;=$D$2*-1,BA170&gt;=$D$2),AX170/AW170&gt;=3),"Very serious"),""))</f>
        <v/>
      </c>
      <c r="BF170" s="107" t="str">
        <f t="shared" si="11"/>
        <v/>
      </c>
      <c r="BG170" s="94" t="str">
        <f t="shared" si="46"/>
        <v/>
      </c>
      <c r="BH170" s="64" t="str">
        <f t="shared" si="12"/>
        <v>#N/A</v>
      </c>
      <c r="BI170" s="64" t="str">
        <f t="shared" si="13"/>
        <v/>
      </c>
      <c r="BJ170" s="123" t="str">
        <f t="shared" si="14"/>
        <v>#N/A</v>
      </c>
      <c r="BK170" s="64" t="str">
        <f t="shared" si="50"/>
        <v>YES</v>
      </c>
      <c r="BL170" s="64" t="str">
        <f t="shared" si="16"/>
        <v>YES</v>
      </c>
      <c r="BM170" s="64" t="str">
        <f t="shared" si="17"/>
        <v>YES</v>
      </c>
      <c r="BN170" s="124" t="str">
        <f t="shared" si="18"/>
        <v/>
      </c>
      <c r="BO170" s="91" t="str">
        <f t="shared" si="19"/>
        <v/>
      </c>
      <c r="BP170" s="91" t="str">
        <f t="shared" si="20"/>
        <v>#N/A</v>
      </c>
      <c r="BQ170" s="91" t="str">
        <f t="shared" si="21"/>
        <v/>
      </c>
      <c r="BR170" s="93" t="str">
        <f t="shared" si="22"/>
        <v/>
      </c>
      <c r="BS170" s="90" t="str">
        <f t="shared" si="23"/>
        <v/>
      </c>
      <c r="BT170" s="93" t="str">
        <f t="shared" si="24"/>
        <v>NA</v>
      </c>
      <c r="BU170" s="125" t="str">
        <f t="shared" si="25"/>
        <v>#N/A</v>
      </c>
      <c r="BV170" s="93" t="str">
        <f t="shared" si="26"/>
        <v/>
      </c>
      <c r="BW170" s="93" t="str">
        <f t="shared" si="27"/>
        <v/>
      </c>
      <c r="BX170" s="93" t="str">
        <f t="shared" si="28"/>
        <v>NA</v>
      </c>
      <c r="BY170" s="95" t="str">
        <f t="shared" si="29"/>
        <v>#N/A</v>
      </c>
      <c r="BZ170" s="93" t="str">
        <f t="shared" si="30"/>
        <v/>
      </c>
      <c r="CA170" s="93" t="str">
        <f t="shared" si="31"/>
        <v/>
      </c>
      <c r="CB170" s="93" t="str">
        <f t="shared" si="32"/>
        <v>NA</v>
      </c>
      <c r="CC170" s="96" t="str">
        <f t="shared" si="33"/>
        <v>#N/A</v>
      </c>
      <c r="CD170" s="93" t="str">
        <f t="shared" si="34"/>
        <v/>
      </c>
      <c r="CE170" s="93" t="str">
        <f t="shared" si="35"/>
        <v/>
      </c>
      <c r="CF170" s="93" t="str">
        <f t="shared" si="36"/>
        <v>NA</v>
      </c>
      <c r="CG170" s="97" t="str">
        <f t="shared" si="37"/>
        <v>#N/A</v>
      </c>
      <c r="CH170" s="98" t="str">
        <f t="shared" si="38"/>
        <v>#N/A</v>
      </c>
      <c r="CI170" s="99" t="str">
        <f t="shared" si="39"/>
        <v>#N/A</v>
      </c>
      <c r="CJ170" s="126" t="str">
        <f t="shared" si="40"/>
        <v>ERROR: check cell</v>
      </c>
      <c r="CK170" s="126"/>
      <c r="CL170" s="127" t="str">
        <f t="shared" si="41"/>
        <v>#DIV/0!</v>
      </c>
      <c r="CM170" s="128" t="str">
        <f t="shared" si="42"/>
        <v>#DIV/0!</v>
      </c>
      <c r="CN170" s="128">
        <f t="shared" si="43"/>
        <v>4</v>
      </c>
      <c r="CO170" s="129">
        <f t="shared" si="44"/>
        <v>4</v>
      </c>
      <c r="CP170" s="129" t="str">
        <f>IFS(C170=Preferences!B$13,B170,B170=Preferences!B$13,C170)</f>
        <v>#N/A</v>
      </c>
    </row>
    <row r="171" ht="13.5" customHeight="1">
      <c r="A171" s="63" t="str">
        <f t="shared" si="45"/>
        <v/>
      </c>
      <c r="B171" s="64"/>
      <c r="C171" s="64"/>
      <c r="D171" s="64"/>
      <c r="E171" s="65"/>
      <c r="F171" s="65"/>
      <c r="G171" s="65"/>
      <c r="H171" s="66"/>
      <c r="I171" s="66"/>
      <c r="J171" s="67"/>
      <c r="K171" s="68"/>
      <c r="L171" s="104"/>
      <c r="M171" s="104"/>
      <c r="N171" s="104"/>
      <c r="O171" s="104"/>
      <c r="P171" s="107" t="str">
        <f t="shared" si="1"/>
        <v/>
      </c>
      <c r="Q171" s="108" t="str">
        <f>IFERROR(IF(AND(Preferences!B$3="Manual",OR(AX171/AW171&gt;G171/F171,BD171="Serious",BD171="Very serious")),"Assess imprecision",IFS(ISBLANK(E171),"",AND(Preferences!B$3="Automatic", G171/F171&gt;=30),"Extremely serious",AND(H171&lt;=$D$1*-1,J171&lt;0,G171/F171&lt;3),"Not serious",AND(H171&lt;=$D$1*-1,J171&lt;0,G171/F171&gt;=3),"Very serious",AND(H171&gt;=$D$1,I171&gt;0,G171/F171&lt;3),"Not serious",AND(H171&gt;=$D$1,I171&gt;0,G171/F171&gt;=3),"Very serious",AND(H171&lt;=$D$1*-1,J171&gt;0,I171&gt;$D$2*-1,G171/F171&lt;3),"Serious", AND(H171&lt;=$D$1*-1,J171&gt;0,I171&lt;$D$2*-1,G171/F171&lt;3),"Very serious", AND(H171&gt;=$D$1,I171&lt;0,J171&lt;$D$2,G171/F171&lt;3),"Serious",AND(H171&gt;=$D$1,I171&lt;0,J171&gt;$D$2,G171/F171&lt;3),"Very serious", AND(H171&lt;=$D$1*-1,J171&gt;0,I171&gt;$D$2*-1,G171/F171&gt;=3),"Very serious", AND(H171&lt;=$D$1*-1,J171&gt;0,I171&lt;$D$2*-1,G171/F171&gt;=3),"Very serious", AND(H171&gt;=$D$1,I171&lt;0,J171&lt;$D$2,G171/F171&gt;=3),"Very serious", AND(H171&gt;=$D$1,I171&lt;0,J171&gt;$D$2,G171/F171&gt;=3),"Very serious", AND(H171&gt;$D$1*-1,H171&lt;$D$1,I171&gt;$D$1*-1,J171&lt;$D$1,G171/F171&lt;3),"Not serious", AND(H171&gt;$D$1*-1,H171&lt;$D$1,OR(I171&lt;=$D$1*-1,J171&gt;=$D$1),I171&gt;$D$2*-1,J171&lt;$D$2,G171/F171&lt;3),"Serious", AND(H171&gt;$D$1*-1,H171&lt;$D$1,OR(I171&lt;=$D$2*-1,J171&gt;=$D$2),G171/F171&lt;3),"Very serious", AND(H171&gt;$D$1*-1,H171&lt;$D$1,I171&gt;$D$1*-1,J171&lt;$D$1,G171/F171&gt;=3),"Very serious", AND(H171&gt;$D$1*-1,H171&lt;$D$1,OR(I171&lt;=$D$1*-1,J171&gt;=$D$1),I171&gt;$D$2*-1,J171&lt;$D$2,G171/F171&gt;=3),"Very serious", AND(H171&gt;$D$1*-1,H171&lt;$D$1,OR(I171&lt;=$D$2*-1,J171&gt;=$D$2),G171/F171&gt;=3),"Very serious")),"")</f>
        <v/>
      </c>
      <c r="R171" s="109" t="str">
        <f t="shared" si="47"/>
        <v/>
      </c>
      <c r="S171" s="64"/>
      <c r="T171" s="72"/>
      <c r="U171" s="72"/>
      <c r="V171" s="72"/>
      <c r="W171" s="73"/>
      <c r="X171" s="73"/>
      <c r="Y171" s="74"/>
      <c r="Z171" s="113" t="str">
        <f t="array" ref="Z171">INDEX($A$1:$C$500, MATCH(1,($B:$B=$B171)*($C:$C=$AB171),0),1)</f>
        <v/>
      </c>
      <c r="AA171" s="113" t="str">
        <f t="array" ref="AA171">INDEX($A$1:$C$500, MATCH(1,($B:$B=$AB171)*($C:$C=$B171),0),1)</f>
        <v/>
      </c>
      <c r="AB171" s="111"/>
      <c r="AC171" s="114" t="str">
        <f t="shared" si="2"/>
        <v/>
      </c>
      <c r="AD171" s="115" t="str">
        <f t="shared" si="3"/>
        <v/>
      </c>
      <c r="AE171" s="116" t="str">
        <f t="array" ref="AE171">INDEX($A$1:$C$500, MATCH(1,($B:$B=$AB171)*($C:$C=$AG171),0),1)</f>
        <v/>
      </c>
      <c r="AF171" s="116" t="str">
        <f t="array" ref="AF171">INDEX($A$1:$C$500, MATCH(1,($B:$B=$AG171)*($C:$C=$AB171),0),1)</f>
        <v/>
      </c>
      <c r="AG171" s="72"/>
      <c r="AH171" s="114" t="str">
        <f t="shared" si="4"/>
        <v/>
      </c>
      <c r="AI171" s="115" t="str">
        <f t="shared" si="5"/>
        <v/>
      </c>
      <c r="AJ171" s="116" t="str">
        <f t="array" ref="AJ171">INDEX($A$1:$C$500, MATCH(1,($B:$B=$C171)*($C:$C=$AG171),0),1)</f>
        <v/>
      </c>
      <c r="AK171" s="116" t="str">
        <f t="array" ref="AK171">INDEX($A$1:$C$500, MATCH(1,($B:$B=$AG171)*($C:$C=$C171),0),1)</f>
        <v/>
      </c>
      <c r="AL171" s="116" t="str">
        <f t="array" ref="AL171">INDEX($A$1:$C$500, MATCH(1,($B:$B=$C171)*($C:$C=$AB171),0),1)</f>
        <v/>
      </c>
      <c r="AM171" s="116" t="str">
        <f t="array" ref="AM171">INDEX($A$1:$C$500, MATCH(1,($B:$B=$AB171)*($C:$C=$C171),0),1)</f>
        <v/>
      </c>
      <c r="AN171" s="114" t="str">
        <f t="array" ref="AN171">IFS(ISNUMBER(AJ171),AJ171,ISNUMBER(AK171),AK171,ISNUMBER(AL171),AL171,ISNUMBER(AM171),AM171)</f>
        <v>#N/A</v>
      </c>
      <c r="AO171" s="115" t="str">
        <f t="shared" si="6"/>
        <v/>
      </c>
      <c r="AP171" s="115" t="str">
        <f t="shared" si="7"/>
        <v/>
      </c>
      <c r="AQ171" s="111"/>
      <c r="AR171" s="109" t="str">
        <f t="shared" si="8"/>
        <v/>
      </c>
      <c r="AS171" s="72" t="str">
        <f>IFERROR(IF(AND(Preferences!B$3="Manual",OR(AX171/AW171&gt;V171/U171,BD171="Serious",BD171="Very serious")),"Assess imprecision",IFERROR(IFS(AND(Preferences!B$3="Automatic",V171/U171&gt;=30),"Extremely serious",AND(W171&lt;=$D$1*-1,Y171&lt;0,V171/U171&lt;3),"Not Serious",AND(W171&lt;=$D$1*-1,Y171&lt;0,V171/U171&gt;=3),"Very serious",AND(W171&gt;=$D$1,X171&gt;0,V171/U171&lt;3),"Not Serious",AND(W171&gt;=$D$1,X171&gt;0,V171/U171&gt;=3),"Very serious",AND(W171&lt;=$D$1*-1,Y171&gt;0,X171&gt;$D$2*-1,V171/U171&lt;3),"Serious", AND(W171&lt;=$D$1*-1,Y171&gt;0,X171&lt;$D$2*-1,V171/U171&lt;3),"Very serious", AND(W171&gt;=$D$1,X171&lt;0,Y171&lt;$D$2,V171/U171&lt;3),"Serious",AND(W171&gt;=$D$1,X171&lt;0,Y171&gt;$D$2,V171/U171&lt;3),"Very serious", AND(W171&lt;=$D$1*-1,Y171&gt;0,X171&gt;$D$2*-1,V171/U171&gt;=3),"Very serious", AND(W171&lt;=$D$1*-1,Y171&gt;0,X171&lt;$D$2*-1,V171/U171&gt;=3),"Very serious", AND(W171&gt;=$D$1,X171&lt;0,Y171&lt;$D$2,V171/U171&gt;=3),"Very serious", AND(W171&gt;=$D$1,X171&lt;0,Y171&gt;$D$2,V171/U171&gt;=3),"Very serious", AND(W171&gt;$D$1*-1,W171&lt;$D$1,X171&gt;$D$1*-1,Y171&lt;$D$1,V171/U171&lt;3),"Not Serious", AND(W171&gt;$D$1*-1,W171&lt;$D$1,OR(X171&lt;=$D$1*-1,Y171&gt;=$D$1),X171&gt;$D$2*-1,Y171&lt;$D$2,V171/U171&lt;3),"Serious", AND(W171&gt;$D$1*-1,W171&lt;$D$1,OR(X171&lt;=$D$2*-1,Y171&gt;=$D$2),V171/U171&lt;3),"Very serious", AND(W171&gt;$D$1*-1,W171&lt;$D$1,X171&gt;$D$1*-1,Y171&lt;$D$1,V171/U171&gt;=3),"Very serious", AND(W171&gt;$D$1*-1,W171&lt;$D$1,OR(X171&lt;=$D$1*-1,Y171&gt;=$D$1),X171&gt;$D$2*-1,Y171&lt;$D$2,V171/U171&gt;=3),"Very serious", AND(W171&gt;$D$1*-1,W171&lt;$D$1,OR(X171&lt;=$D$2*-1,Y171&gt;=$D$2),V171/U171&gt;=3),"Very serious"),"")),"")</f>
        <v/>
      </c>
      <c r="AT171" s="109" t="str">
        <f t="shared" si="9"/>
        <v/>
      </c>
      <c r="AU171" s="64"/>
      <c r="AV171" s="83"/>
      <c r="AW171" s="83"/>
      <c r="AX171" s="83"/>
      <c r="AY171" s="83"/>
      <c r="AZ171" s="83"/>
      <c r="BA171" s="85"/>
      <c r="BB171" s="86" t="str">
        <f>IF(Preferences!B$9="Manual","",IFS(ISBLANK(B171),"",AND(ISNUMBER(E171)=TRUE,ISNUMBER(T171)=FALSE),"Direct", AND(ISNUMBER(E171)=FALSE,ISNUMBER(T171)=TRUE),"Indirect", CN171=4,"Direct",AND(CL171=FALSE, CM171=TRUE,CN171-CO171&gt;-1),"Direct", AND(CL171=FALSE,CM171=TRUE, CN171-CO171&lt;0),"Check algorithm in appendix 2", AND(CL171=TRUE, CM171=FALSE,CN171-CO171&gt;0),"Check algorithm in appendix 2", AND(CL171=TRUE, CM171=FALSE,CN171-CO171=0),"Indirect", AND(CL171=TRUE, CM171=FALSE,CN171-CO171&lt;0),"Indirect", AND(CL171=FALSE,CM171=FALSE,CN171-CO171&gt;-1),"Direct", AND(CL171=FALSE,CM171=FALSE,CN171-CO171&lt;0),"Check algorithm in appendix 2", AND(CL171=TRUE,CM171=TRUE,CN171-CO171&gt;-1),"Direct", AND(CL171=TRUE,CM171=TRUE,CN171-CO171&lt;0),"Check algorithm in appendix 2"))</f>
        <v/>
      </c>
      <c r="BC171" s="120" t="str">
        <f t="shared" si="10"/>
        <v/>
      </c>
      <c r="BD171" s="140"/>
      <c r="BE171" s="122" t="str">
        <f>IF(Preferences!B$3="Manual","", IFERROR(IFS(AND(Preferences!B$3="Automatic",AX171/AW171&gt;=30),"Extremely serious",AND(AY171&lt;=$D$1*-1,BA171&lt;0,AX171/AW171&lt;3),"Not Serious",AND(AY171&lt;=$D$1*-1,BA171&lt;0,AX171/AW171&gt;=3),"Very serious",AND(AY171&gt;=$D$1,AZ171&gt;0,AX171/AW171&lt;3),"Not Serious",AND(AY171&gt;=$D$1,AZ171&gt;0,AX171/AW171&gt;=3),"Very serious",AND(AY171&lt;=$D$1*-1,BA171&gt;0,AZ171&gt;$D$2*-1,AX171/AW171&lt;3),"Serious", AND(AY171&lt;=$D$1*-1,BA171&gt;0,AZ171&lt;$D$2*-1,AX171/AW171&lt;3),"Very serious", AND(AY171&gt;=$D$1,AZ171&lt;0,BA171&lt;$D$2,AX171/AW171&lt;3),"Serious",AND(AY171&gt;=$D$1,AZ171&lt;0,BA171&gt;$D$2,AX171/AW171&lt;3),"Very serious", AND(AY171&lt;=$D$1*-1,BA171&gt;0,AZ171&gt;$D$2*-1,AX171/AW171&gt;=3),"Very serious", AND(AY171&lt;=$D$1*-1,BA171&gt;0,AZ171&lt;$D$2*-1,AX171/AW171&gt;=3),"Very serious", AND(AY171&gt;=$D$1,AZ171&lt;0,BA171&lt;$D$2,AX171/AW171&gt;=3),"Very serious", AND(AY171&gt;=$D$1,AZ171&lt;0,BA171&gt;$D$2,AX171/AW171&gt;=3),"Very serious", AND(AY171&gt;$D$1*-1,AY171&lt;$D$1,AZ171&gt;$D$1*-1,BA171&lt;$D$1,AX171/AW171&lt;3),"Not Serious", AND(AY171&gt;$D$1*-1,AY171&lt;$D$1,OR(AZ171&lt;=$D$1*-1,BA171&gt;=$D$1),AZ171&gt;$D$2*-1,BA171&lt;$D$2,AX171/AW171&lt;3),"Serious", AND(AY171&gt;$D$1*-1,AY171&lt;$D$1,OR(AZ171&lt;=$D$2*-1,BA171&gt;=$D$2),AX171/AW171&lt;3),"Very serious", AND(AY171&gt;$D$1*-1,AY171&lt;$D$1,AZ171&gt;$D$1*-1,BA171&lt;$D$1,AX171/AW171&gt;=3),"Very serious", AND(AY171&gt;$D$1*-1,AY171&lt;$D$1,OR(AZ171&lt;=$D$1*-1,BA171&gt;=$D$1),AZ171&gt;$D$2*-1,BA171&lt;$D$2,AX171/AW171&gt;=3),"Very serious", AND(AY171&gt;$D$1*-1,AY171&lt;$D$1,OR(AZ171&lt;=$D$2*-1,BA171&gt;=$D$2),AX171/AW171&gt;=3),"Very serious"),""))</f>
        <v/>
      </c>
      <c r="BF171" s="107" t="str">
        <f t="shared" si="11"/>
        <v/>
      </c>
      <c r="BG171" s="94" t="str">
        <f t="shared" si="46"/>
        <v/>
      </c>
      <c r="BH171" s="64" t="str">
        <f t="shared" si="12"/>
        <v>#N/A</v>
      </c>
      <c r="BI171" s="64" t="str">
        <f t="shared" si="13"/>
        <v/>
      </c>
      <c r="BJ171" s="123" t="str">
        <f t="shared" si="14"/>
        <v>#N/A</v>
      </c>
      <c r="BK171" s="64" t="str">
        <f t="shared" si="50"/>
        <v>YES</v>
      </c>
      <c r="BL171" s="64" t="str">
        <f t="shared" si="16"/>
        <v>YES</v>
      </c>
      <c r="BM171" s="64" t="str">
        <f t="shared" si="17"/>
        <v>YES</v>
      </c>
      <c r="BN171" s="124" t="str">
        <f t="shared" si="18"/>
        <v/>
      </c>
      <c r="BO171" s="91" t="str">
        <f t="shared" si="19"/>
        <v/>
      </c>
      <c r="BP171" s="91" t="str">
        <f t="shared" si="20"/>
        <v>#N/A</v>
      </c>
      <c r="BQ171" s="91" t="str">
        <f t="shared" si="21"/>
        <v/>
      </c>
      <c r="BR171" s="93" t="str">
        <f t="shared" si="22"/>
        <v/>
      </c>
      <c r="BS171" s="90" t="str">
        <f t="shared" si="23"/>
        <v/>
      </c>
      <c r="BT171" s="93" t="str">
        <f t="shared" si="24"/>
        <v>NA</v>
      </c>
      <c r="BU171" s="125" t="str">
        <f t="shared" si="25"/>
        <v>#N/A</v>
      </c>
      <c r="BV171" s="93" t="str">
        <f t="shared" si="26"/>
        <v/>
      </c>
      <c r="BW171" s="93" t="str">
        <f t="shared" si="27"/>
        <v/>
      </c>
      <c r="BX171" s="93" t="str">
        <f t="shared" si="28"/>
        <v>NA</v>
      </c>
      <c r="BY171" s="95" t="str">
        <f t="shared" si="29"/>
        <v>#N/A</v>
      </c>
      <c r="BZ171" s="93" t="str">
        <f t="shared" si="30"/>
        <v/>
      </c>
      <c r="CA171" s="93" t="str">
        <f t="shared" si="31"/>
        <v/>
      </c>
      <c r="CB171" s="93" t="str">
        <f t="shared" si="32"/>
        <v>NA</v>
      </c>
      <c r="CC171" s="96" t="str">
        <f t="shared" si="33"/>
        <v>#N/A</v>
      </c>
      <c r="CD171" s="93" t="str">
        <f t="shared" si="34"/>
        <v/>
      </c>
      <c r="CE171" s="93" t="str">
        <f t="shared" si="35"/>
        <v/>
      </c>
      <c r="CF171" s="93" t="str">
        <f t="shared" si="36"/>
        <v>NA</v>
      </c>
      <c r="CG171" s="97" t="str">
        <f t="shared" si="37"/>
        <v>#N/A</v>
      </c>
      <c r="CH171" s="98" t="str">
        <f t="shared" si="38"/>
        <v>#N/A</v>
      </c>
      <c r="CI171" s="99" t="str">
        <f t="shared" si="39"/>
        <v>#N/A</v>
      </c>
      <c r="CJ171" s="126" t="str">
        <f t="shared" si="40"/>
        <v>ERROR: check cell</v>
      </c>
      <c r="CK171" s="126"/>
      <c r="CL171" s="127" t="str">
        <f t="shared" si="41"/>
        <v>#DIV/0!</v>
      </c>
      <c r="CM171" s="128" t="str">
        <f t="shared" si="42"/>
        <v>#DIV/0!</v>
      </c>
      <c r="CN171" s="128">
        <f t="shared" si="43"/>
        <v>4</v>
      </c>
      <c r="CO171" s="129">
        <f t="shared" si="44"/>
        <v>4</v>
      </c>
      <c r="CP171" s="129" t="str">
        <f>IFS(C171=Preferences!B$13,B171,B171=Preferences!B$13,C171)</f>
        <v>#N/A</v>
      </c>
    </row>
    <row r="172" ht="13.5" customHeight="1">
      <c r="A172" s="63" t="str">
        <f t="shared" si="45"/>
        <v/>
      </c>
      <c r="B172" s="64"/>
      <c r="C172" s="64"/>
      <c r="D172" s="64"/>
      <c r="E172" s="65"/>
      <c r="F172" s="65"/>
      <c r="G172" s="65"/>
      <c r="H172" s="66"/>
      <c r="I172" s="66"/>
      <c r="J172" s="67"/>
      <c r="K172" s="68"/>
      <c r="L172" s="104"/>
      <c r="M172" s="104"/>
      <c r="N172" s="104"/>
      <c r="O172" s="104"/>
      <c r="P172" s="107" t="str">
        <f t="shared" si="1"/>
        <v/>
      </c>
      <c r="Q172" s="108" t="str">
        <f>IFERROR(IF(AND(Preferences!B$3="Manual",OR(AX172/AW172&gt;G172/F172,BD172="Serious",BD172="Very serious")),"Assess imprecision",IFS(ISBLANK(E172),"",AND(Preferences!B$3="Automatic", G172/F172&gt;=30),"Extremely serious",AND(H172&lt;=$D$1*-1,J172&lt;0,G172/F172&lt;3),"Not serious",AND(H172&lt;=$D$1*-1,J172&lt;0,G172/F172&gt;=3),"Very serious",AND(H172&gt;=$D$1,I172&gt;0,G172/F172&lt;3),"Not serious",AND(H172&gt;=$D$1,I172&gt;0,G172/F172&gt;=3),"Very serious",AND(H172&lt;=$D$1*-1,J172&gt;0,I172&gt;$D$2*-1,G172/F172&lt;3),"Serious", AND(H172&lt;=$D$1*-1,J172&gt;0,I172&lt;$D$2*-1,G172/F172&lt;3),"Very serious", AND(H172&gt;=$D$1,I172&lt;0,J172&lt;$D$2,G172/F172&lt;3),"Serious",AND(H172&gt;=$D$1,I172&lt;0,J172&gt;$D$2,G172/F172&lt;3),"Very serious", AND(H172&lt;=$D$1*-1,J172&gt;0,I172&gt;$D$2*-1,G172/F172&gt;=3),"Very serious", AND(H172&lt;=$D$1*-1,J172&gt;0,I172&lt;$D$2*-1,G172/F172&gt;=3),"Very serious", AND(H172&gt;=$D$1,I172&lt;0,J172&lt;$D$2,G172/F172&gt;=3),"Very serious", AND(H172&gt;=$D$1,I172&lt;0,J172&gt;$D$2,G172/F172&gt;=3),"Very serious", AND(H172&gt;$D$1*-1,H172&lt;$D$1,I172&gt;$D$1*-1,J172&lt;$D$1,G172/F172&lt;3),"Not serious", AND(H172&gt;$D$1*-1,H172&lt;$D$1,OR(I172&lt;=$D$1*-1,J172&gt;=$D$1),I172&gt;$D$2*-1,J172&lt;$D$2,G172/F172&lt;3),"Serious", AND(H172&gt;$D$1*-1,H172&lt;$D$1,OR(I172&lt;=$D$2*-1,J172&gt;=$D$2),G172/F172&lt;3),"Very serious", AND(H172&gt;$D$1*-1,H172&lt;$D$1,I172&gt;$D$1*-1,J172&lt;$D$1,G172/F172&gt;=3),"Very serious", AND(H172&gt;$D$1*-1,H172&lt;$D$1,OR(I172&lt;=$D$1*-1,J172&gt;=$D$1),I172&gt;$D$2*-1,J172&lt;$D$2,G172/F172&gt;=3),"Very serious", AND(H172&gt;$D$1*-1,H172&lt;$D$1,OR(I172&lt;=$D$2*-1,J172&gt;=$D$2),G172/F172&gt;=3),"Very serious")),"")</f>
        <v/>
      </c>
      <c r="R172" s="109" t="str">
        <f t="shared" si="47"/>
        <v/>
      </c>
      <c r="S172" s="64"/>
      <c r="T172" s="72"/>
      <c r="U172" s="72"/>
      <c r="V172" s="72"/>
      <c r="W172" s="73"/>
      <c r="X172" s="73"/>
      <c r="Y172" s="74"/>
      <c r="Z172" s="113" t="str">
        <f t="array" ref="Z172">INDEX($A$1:$C$500, MATCH(1,($B:$B=$B172)*($C:$C=$AB172),0),1)</f>
        <v/>
      </c>
      <c r="AA172" s="113" t="str">
        <f t="array" ref="AA172">INDEX($A$1:$C$500, MATCH(1,($B:$B=$AB172)*($C:$C=$B172),0),1)</f>
        <v/>
      </c>
      <c r="AB172" s="111"/>
      <c r="AC172" s="114" t="str">
        <f t="shared" si="2"/>
        <v/>
      </c>
      <c r="AD172" s="115" t="str">
        <f t="shared" si="3"/>
        <v/>
      </c>
      <c r="AE172" s="116" t="str">
        <f t="array" ref="AE172">INDEX($A$1:$C$500, MATCH(1,($B:$B=$AB172)*($C:$C=$AG172),0),1)</f>
        <v/>
      </c>
      <c r="AF172" s="116" t="str">
        <f t="array" ref="AF172">INDEX($A$1:$C$500, MATCH(1,($B:$B=$AG172)*($C:$C=$AB172),0),1)</f>
        <v/>
      </c>
      <c r="AG172" s="72"/>
      <c r="AH172" s="114" t="str">
        <f t="shared" si="4"/>
        <v/>
      </c>
      <c r="AI172" s="115" t="str">
        <f t="shared" si="5"/>
        <v/>
      </c>
      <c r="AJ172" s="116" t="str">
        <f t="array" ref="AJ172">INDEX($A$1:$C$500, MATCH(1,($B:$B=$C172)*($C:$C=$AG172),0),1)</f>
        <v/>
      </c>
      <c r="AK172" s="116" t="str">
        <f t="array" ref="AK172">INDEX($A$1:$C$500, MATCH(1,($B:$B=$AG172)*($C:$C=$C172),0),1)</f>
        <v/>
      </c>
      <c r="AL172" s="116" t="str">
        <f t="array" ref="AL172">INDEX($A$1:$C$500, MATCH(1,($B:$B=$C172)*($C:$C=$AB172),0),1)</f>
        <v/>
      </c>
      <c r="AM172" s="116" t="str">
        <f t="array" ref="AM172">INDEX($A$1:$C$500, MATCH(1,($B:$B=$AB172)*($C:$C=$C172),0),1)</f>
        <v/>
      </c>
      <c r="AN172" s="114" t="str">
        <f t="array" ref="AN172">IFS(ISNUMBER(AJ172),AJ172,ISNUMBER(AK172),AK172,ISNUMBER(AL172),AL172,ISNUMBER(AM172),AM172)</f>
        <v>#N/A</v>
      </c>
      <c r="AO172" s="115" t="str">
        <f t="shared" si="6"/>
        <v/>
      </c>
      <c r="AP172" s="115" t="str">
        <f t="shared" si="7"/>
        <v/>
      </c>
      <c r="AQ172" s="111"/>
      <c r="AR172" s="109" t="str">
        <f t="shared" si="8"/>
        <v/>
      </c>
      <c r="AS172" s="72" t="str">
        <f>IFERROR(IF(AND(Preferences!B$3="Manual",OR(AX172/AW172&gt;V172/U172,BD172="Serious",BD172="Very serious")),"Assess imprecision",IFERROR(IFS(AND(Preferences!B$3="Automatic",V172/U172&gt;=30),"Extremely serious",AND(W172&lt;=$D$1*-1,Y172&lt;0,V172/U172&lt;3),"Not Serious",AND(W172&lt;=$D$1*-1,Y172&lt;0,V172/U172&gt;=3),"Very serious",AND(W172&gt;=$D$1,X172&gt;0,V172/U172&lt;3),"Not Serious",AND(W172&gt;=$D$1,X172&gt;0,V172/U172&gt;=3),"Very serious",AND(W172&lt;=$D$1*-1,Y172&gt;0,X172&gt;$D$2*-1,V172/U172&lt;3),"Serious", AND(W172&lt;=$D$1*-1,Y172&gt;0,X172&lt;$D$2*-1,V172/U172&lt;3),"Very serious", AND(W172&gt;=$D$1,X172&lt;0,Y172&lt;$D$2,V172/U172&lt;3),"Serious",AND(W172&gt;=$D$1,X172&lt;0,Y172&gt;$D$2,V172/U172&lt;3),"Very serious", AND(W172&lt;=$D$1*-1,Y172&gt;0,X172&gt;$D$2*-1,V172/U172&gt;=3),"Very serious", AND(W172&lt;=$D$1*-1,Y172&gt;0,X172&lt;$D$2*-1,V172/U172&gt;=3),"Very serious", AND(W172&gt;=$D$1,X172&lt;0,Y172&lt;$D$2,V172/U172&gt;=3),"Very serious", AND(W172&gt;=$D$1,X172&lt;0,Y172&gt;$D$2,V172/U172&gt;=3),"Very serious", AND(W172&gt;$D$1*-1,W172&lt;$D$1,X172&gt;$D$1*-1,Y172&lt;$D$1,V172/U172&lt;3),"Not Serious", AND(W172&gt;$D$1*-1,W172&lt;$D$1,OR(X172&lt;=$D$1*-1,Y172&gt;=$D$1),X172&gt;$D$2*-1,Y172&lt;$D$2,V172/U172&lt;3),"Serious", AND(W172&gt;$D$1*-1,W172&lt;$D$1,OR(X172&lt;=$D$2*-1,Y172&gt;=$D$2),V172/U172&lt;3),"Very serious", AND(W172&gt;$D$1*-1,W172&lt;$D$1,X172&gt;$D$1*-1,Y172&lt;$D$1,V172/U172&gt;=3),"Very serious", AND(W172&gt;$D$1*-1,W172&lt;$D$1,OR(X172&lt;=$D$1*-1,Y172&gt;=$D$1),X172&gt;$D$2*-1,Y172&lt;$D$2,V172/U172&gt;=3),"Very serious", AND(W172&gt;$D$1*-1,W172&lt;$D$1,OR(X172&lt;=$D$2*-1,Y172&gt;=$D$2),V172/U172&gt;=3),"Very serious"),"")),"")</f>
        <v/>
      </c>
      <c r="AT172" s="109" t="str">
        <f t="shared" si="9"/>
        <v/>
      </c>
      <c r="AU172" s="64"/>
      <c r="AV172" s="83"/>
      <c r="AW172" s="83"/>
      <c r="AX172" s="83"/>
      <c r="AY172" s="83"/>
      <c r="AZ172" s="83"/>
      <c r="BA172" s="85"/>
      <c r="BB172" s="86" t="str">
        <f>IF(Preferences!B$9="Manual","",IFS(ISBLANK(B172),"",AND(ISNUMBER(E172)=TRUE,ISNUMBER(T172)=FALSE),"Direct", AND(ISNUMBER(E172)=FALSE,ISNUMBER(T172)=TRUE),"Indirect", CN172=4,"Direct",AND(CL172=FALSE, CM172=TRUE,CN172-CO172&gt;-1),"Direct", AND(CL172=FALSE,CM172=TRUE, CN172-CO172&lt;0),"Check algorithm in appendix 2", AND(CL172=TRUE, CM172=FALSE,CN172-CO172&gt;0),"Check algorithm in appendix 2", AND(CL172=TRUE, CM172=FALSE,CN172-CO172=0),"Indirect", AND(CL172=TRUE, CM172=FALSE,CN172-CO172&lt;0),"Indirect", AND(CL172=FALSE,CM172=FALSE,CN172-CO172&gt;-1),"Direct", AND(CL172=FALSE,CM172=FALSE,CN172-CO172&lt;0),"Check algorithm in appendix 2", AND(CL172=TRUE,CM172=TRUE,CN172-CO172&gt;-1),"Direct", AND(CL172=TRUE,CM172=TRUE,CN172-CO172&lt;0),"Check algorithm in appendix 2"))</f>
        <v/>
      </c>
      <c r="BC172" s="120" t="str">
        <f t="shared" si="10"/>
        <v/>
      </c>
      <c r="BD172" s="140"/>
      <c r="BE172" s="122" t="str">
        <f>IF(Preferences!B$3="Manual","", IFERROR(IFS(AND(Preferences!B$3="Automatic",AX172/AW172&gt;=30),"Extremely serious",AND(AY172&lt;=$D$1*-1,BA172&lt;0,AX172/AW172&lt;3),"Not Serious",AND(AY172&lt;=$D$1*-1,BA172&lt;0,AX172/AW172&gt;=3),"Very serious",AND(AY172&gt;=$D$1,AZ172&gt;0,AX172/AW172&lt;3),"Not Serious",AND(AY172&gt;=$D$1,AZ172&gt;0,AX172/AW172&gt;=3),"Very serious",AND(AY172&lt;=$D$1*-1,BA172&gt;0,AZ172&gt;$D$2*-1,AX172/AW172&lt;3),"Serious", AND(AY172&lt;=$D$1*-1,BA172&gt;0,AZ172&lt;$D$2*-1,AX172/AW172&lt;3),"Very serious", AND(AY172&gt;=$D$1,AZ172&lt;0,BA172&lt;$D$2,AX172/AW172&lt;3),"Serious",AND(AY172&gt;=$D$1,AZ172&lt;0,BA172&gt;$D$2,AX172/AW172&lt;3),"Very serious", AND(AY172&lt;=$D$1*-1,BA172&gt;0,AZ172&gt;$D$2*-1,AX172/AW172&gt;=3),"Very serious", AND(AY172&lt;=$D$1*-1,BA172&gt;0,AZ172&lt;$D$2*-1,AX172/AW172&gt;=3),"Very serious", AND(AY172&gt;=$D$1,AZ172&lt;0,BA172&lt;$D$2,AX172/AW172&gt;=3),"Very serious", AND(AY172&gt;=$D$1,AZ172&lt;0,BA172&gt;$D$2,AX172/AW172&gt;=3),"Very serious", AND(AY172&gt;$D$1*-1,AY172&lt;$D$1,AZ172&gt;$D$1*-1,BA172&lt;$D$1,AX172/AW172&lt;3),"Not Serious", AND(AY172&gt;$D$1*-1,AY172&lt;$D$1,OR(AZ172&lt;=$D$1*-1,BA172&gt;=$D$1),AZ172&gt;$D$2*-1,BA172&lt;$D$2,AX172/AW172&lt;3),"Serious", AND(AY172&gt;$D$1*-1,AY172&lt;$D$1,OR(AZ172&lt;=$D$2*-1,BA172&gt;=$D$2),AX172/AW172&lt;3),"Very serious", AND(AY172&gt;$D$1*-1,AY172&lt;$D$1,AZ172&gt;$D$1*-1,BA172&lt;$D$1,AX172/AW172&gt;=3),"Very serious", AND(AY172&gt;$D$1*-1,AY172&lt;$D$1,OR(AZ172&lt;=$D$1*-1,BA172&gt;=$D$1),AZ172&gt;$D$2*-1,BA172&lt;$D$2,AX172/AW172&gt;=3),"Very serious", AND(AY172&gt;$D$1*-1,AY172&lt;$D$1,OR(AZ172&lt;=$D$2*-1,BA172&gt;=$D$2),AX172/AW172&gt;=3),"Very serious"),""))</f>
        <v/>
      </c>
      <c r="BF172" s="107" t="str">
        <f t="shared" si="11"/>
        <v/>
      </c>
      <c r="BG172" s="94" t="str">
        <f t="shared" si="46"/>
        <v/>
      </c>
      <c r="BH172" s="64" t="str">
        <f t="shared" si="12"/>
        <v>#N/A</v>
      </c>
      <c r="BI172" s="64" t="str">
        <f t="shared" si="13"/>
        <v/>
      </c>
      <c r="BJ172" s="123" t="str">
        <f t="shared" si="14"/>
        <v>#N/A</v>
      </c>
      <c r="BK172" s="64" t="str">
        <f t="shared" si="50"/>
        <v>YES</v>
      </c>
      <c r="BL172" s="64" t="str">
        <f t="shared" si="16"/>
        <v>YES</v>
      </c>
      <c r="BM172" s="64" t="str">
        <f t="shared" si="17"/>
        <v>YES</v>
      </c>
      <c r="BN172" s="124" t="str">
        <f t="shared" si="18"/>
        <v/>
      </c>
      <c r="BO172" s="91" t="str">
        <f t="shared" si="19"/>
        <v/>
      </c>
      <c r="BP172" s="91" t="str">
        <f t="shared" si="20"/>
        <v>#N/A</v>
      </c>
      <c r="BQ172" s="91" t="str">
        <f t="shared" si="21"/>
        <v/>
      </c>
      <c r="BR172" s="93" t="str">
        <f t="shared" si="22"/>
        <v/>
      </c>
      <c r="BS172" s="90" t="str">
        <f t="shared" si="23"/>
        <v/>
      </c>
      <c r="BT172" s="93" t="str">
        <f t="shared" si="24"/>
        <v>NA</v>
      </c>
      <c r="BU172" s="125" t="str">
        <f t="shared" si="25"/>
        <v>#N/A</v>
      </c>
      <c r="BV172" s="93" t="str">
        <f t="shared" si="26"/>
        <v/>
      </c>
      <c r="BW172" s="93" t="str">
        <f t="shared" si="27"/>
        <v/>
      </c>
      <c r="BX172" s="93" t="str">
        <f t="shared" si="28"/>
        <v>NA</v>
      </c>
      <c r="BY172" s="95" t="str">
        <f t="shared" si="29"/>
        <v>#N/A</v>
      </c>
      <c r="BZ172" s="93" t="str">
        <f t="shared" si="30"/>
        <v/>
      </c>
      <c r="CA172" s="93" t="str">
        <f t="shared" si="31"/>
        <v/>
      </c>
      <c r="CB172" s="93" t="str">
        <f t="shared" si="32"/>
        <v>NA</v>
      </c>
      <c r="CC172" s="96" t="str">
        <f t="shared" si="33"/>
        <v>#N/A</v>
      </c>
      <c r="CD172" s="93" t="str">
        <f t="shared" si="34"/>
        <v/>
      </c>
      <c r="CE172" s="93" t="str">
        <f t="shared" si="35"/>
        <v/>
      </c>
      <c r="CF172" s="93" t="str">
        <f t="shared" si="36"/>
        <v>NA</v>
      </c>
      <c r="CG172" s="97" t="str">
        <f t="shared" si="37"/>
        <v>#N/A</v>
      </c>
      <c r="CH172" s="98" t="str">
        <f t="shared" si="38"/>
        <v>#N/A</v>
      </c>
      <c r="CI172" s="99" t="str">
        <f t="shared" si="39"/>
        <v>#N/A</v>
      </c>
      <c r="CJ172" s="126" t="str">
        <f t="shared" si="40"/>
        <v>ERROR: check cell</v>
      </c>
      <c r="CK172" s="126"/>
      <c r="CL172" s="127" t="str">
        <f t="shared" si="41"/>
        <v>#DIV/0!</v>
      </c>
      <c r="CM172" s="128" t="str">
        <f t="shared" si="42"/>
        <v>#DIV/0!</v>
      </c>
      <c r="CN172" s="128">
        <f t="shared" si="43"/>
        <v>4</v>
      </c>
      <c r="CO172" s="129">
        <f t="shared" si="44"/>
        <v>4</v>
      </c>
      <c r="CP172" s="129" t="str">
        <f>IFS(C172=Preferences!B$13,B172,B172=Preferences!B$13,C172)</f>
        <v>#N/A</v>
      </c>
    </row>
    <row r="173" ht="13.5" customHeight="1">
      <c r="A173" s="63" t="str">
        <f t="shared" si="45"/>
        <v/>
      </c>
      <c r="B173" s="64"/>
      <c r="C173" s="64"/>
      <c r="D173" s="64"/>
      <c r="E173" s="65"/>
      <c r="F173" s="65"/>
      <c r="G173" s="65"/>
      <c r="H173" s="66"/>
      <c r="I173" s="66"/>
      <c r="J173" s="67"/>
      <c r="K173" s="68"/>
      <c r="L173" s="104"/>
      <c r="M173" s="104"/>
      <c r="N173" s="104"/>
      <c r="O173" s="104"/>
      <c r="P173" s="107" t="str">
        <f t="shared" si="1"/>
        <v/>
      </c>
      <c r="Q173" s="108" t="str">
        <f>IFERROR(IF(AND(Preferences!B$3="Manual",OR(AX173/AW173&gt;G173/F173,BD173="Serious",BD173="Very serious")),"Assess imprecision",IFS(ISBLANK(E173),"",AND(Preferences!B$3="Automatic", G173/F173&gt;=30),"Extremely serious",AND(H173&lt;=$D$1*-1,J173&lt;0,G173/F173&lt;3),"Not serious",AND(H173&lt;=$D$1*-1,J173&lt;0,G173/F173&gt;=3),"Very serious",AND(H173&gt;=$D$1,I173&gt;0,G173/F173&lt;3),"Not serious",AND(H173&gt;=$D$1,I173&gt;0,G173/F173&gt;=3),"Very serious",AND(H173&lt;=$D$1*-1,J173&gt;0,I173&gt;$D$2*-1,G173/F173&lt;3),"Serious", AND(H173&lt;=$D$1*-1,J173&gt;0,I173&lt;$D$2*-1,G173/F173&lt;3),"Very serious", AND(H173&gt;=$D$1,I173&lt;0,J173&lt;$D$2,G173/F173&lt;3),"Serious",AND(H173&gt;=$D$1,I173&lt;0,J173&gt;$D$2,G173/F173&lt;3),"Very serious", AND(H173&lt;=$D$1*-1,J173&gt;0,I173&gt;$D$2*-1,G173/F173&gt;=3),"Very serious", AND(H173&lt;=$D$1*-1,J173&gt;0,I173&lt;$D$2*-1,G173/F173&gt;=3),"Very serious", AND(H173&gt;=$D$1,I173&lt;0,J173&lt;$D$2,G173/F173&gt;=3),"Very serious", AND(H173&gt;=$D$1,I173&lt;0,J173&gt;$D$2,G173/F173&gt;=3),"Very serious", AND(H173&gt;$D$1*-1,H173&lt;$D$1,I173&gt;$D$1*-1,J173&lt;$D$1,G173/F173&lt;3),"Not serious", AND(H173&gt;$D$1*-1,H173&lt;$D$1,OR(I173&lt;=$D$1*-1,J173&gt;=$D$1),I173&gt;$D$2*-1,J173&lt;$D$2,G173/F173&lt;3),"Serious", AND(H173&gt;$D$1*-1,H173&lt;$D$1,OR(I173&lt;=$D$2*-1,J173&gt;=$D$2),G173/F173&lt;3),"Very serious", AND(H173&gt;$D$1*-1,H173&lt;$D$1,I173&gt;$D$1*-1,J173&lt;$D$1,G173/F173&gt;=3),"Very serious", AND(H173&gt;$D$1*-1,H173&lt;$D$1,OR(I173&lt;=$D$1*-1,J173&gt;=$D$1),I173&gt;$D$2*-1,J173&lt;$D$2,G173/F173&gt;=3),"Very serious", AND(H173&gt;$D$1*-1,H173&lt;$D$1,OR(I173&lt;=$D$2*-1,J173&gt;=$D$2),G173/F173&gt;=3),"Very serious")),"")</f>
        <v/>
      </c>
      <c r="R173" s="109" t="str">
        <f t="shared" si="47"/>
        <v/>
      </c>
      <c r="S173" s="64"/>
      <c r="T173" s="72"/>
      <c r="U173" s="72"/>
      <c r="V173" s="72"/>
      <c r="W173" s="73"/>
      <c r="X173" s="73"/>
      <c r="Y173" s="74"/>
      <c r="Z173" s="113" t="str">
        <f t="array" ref="Z173">INDEX($A$1:$C$500, MATCH(1,($B:$B=$B173)*($C:$C=$AB173),0),1)</f>
        <v/>
      </c>
      <c r="AA173" s="113" t="str">
        <f t="array" ref="AA173">INDEX($A$1:$C$500, MATCH(1,($B:$B=$AB173)*($C:$C=$B173),0),1)</f>
        <v/>
      </c>
      <c r="AB173" s="111"/>
      <c r="AC173" s="114" t="str">
        <f t="shared" si="2"/>
        <v/>
      </c>
      <c r="AD173" s="115" t="str">
        <f t="shared" si="3"/>
        <v/>
      </c>
      <c r="AE173" s="116" t="str">
        <f t="array" ref="AE173">INDEX($A$1:$C$500, MATCH(1,($B:$B=$AB173)*($C:$C=$AG173),0),1)</f>
        <v/>
      </c>
      <c r="AF173" s="116" t="str">
        <f t="array" ref="AF173">INDEX($A$1:$C$500, MATCH(1,($B:$B=$AG173)*($C:$C=$AB173),0),1)</f>
        <v/>
      </c>
      <c r="AG173" s="72"/>
      <c r="AH173" s="114" t="str">
        <f t="shared" si="4"/>
        <v/>
      </c>
      <c r="AI173" s="115" t="str">
        <f t="shared" si="5"/>
        <v/>
      </c>
      <c r="AJ173" s="116" t="str">
        <f t="array" ref="AJ173">INDEX($A$1:$C$500, MATCH(1,($B:$B=$C173)*($C:$C=$AG173),0),1)</f>
        <v/>
      </c>
      <c r="AK173" s="116" t="str">
        <f t="array" ref="AK173">INDEX($A$1:$C$500, MATCH(1,($B:$B=$AG173)*($C:$C=$C173),0),1)</f>
        <v/>
      </c>
      <c r="AL173" s="116" t="str">
        <f t="array" ref="AL173">INDEX($A$1:$C$500, MATCH(1,($B:$B=$C173)*($C:$C=$AB173),0),1)</f>
        <v/>
      </c>
      <c r="AM173" s="116" t="str">
        <f t="array" ref="AM173">INDEX($A$1:$C$500, MATCH(1,($B:$B=$AB173)*($C:$C=$C173),0),1)</f>
        <v/>
      </c>
      <c r="AN173" s="114" t="str">
        <f t="array" ref="AN173">IFS(ISNUMBER(AJ173),AJ173,ISNUMBER(AK173),AK173,ISNUMBER(AL173),AL173,ISNUMBER(AM173),AM173)</f>
        <v>#N/A</v>
      </c>
      <c r="AO173" s="115" t="str">
        <f t="shared" si="6"/>
        <v/>
      </c>
      <c r="AP173" s="115" t="str">
        <f t="shared" si="7"/>
        <v/>
      </c>
      <c r="AQ173" s="111"/>
      <c r="AR173" s="109" t="str">
        <f t="shared" si="8"/>
        <v/>
      </c>
      <c r="AS173" s="72" t="str">
        <f>IFERROR(IF(AND(Preferences!B$3="Manual",OR(AX173/AW173&gt;V173/U173,BD173="Serious",BD173="Very serious")),"Assess imprecision",IFERROR(IFS(AND(Preferences!B$3="Automatic",V173/U173&gt;=30),"Extremely serious",AND(W173&lt;=$D$1*-1,Y173&lt;0,V173/U173&lt;3),"Not Serious",AND(W173&lt;=$D$1*-1,Y173&lt;0,V173/U173&gt;=3),"Very serious",AND(W173&gt;=$D$1,X173&gt;0,V173/U173&lt;3),"Not Serious",AND(W173&gt;=$D$1,X173&gt;0,V173/U173&gt;=3),"Very serious",AND(W173&lt;=$D$1*-1,Y173&gt;0,X173&gt;$D$2*-1,V173/U173&lt;3),"Serious", AND(W173&lt;=$D$1*-1,Y173&gt;0,X173&lt;$D$2*-1,V173/U173&lt;3),"Very serious", AND(W173&gt;=$D$1,X173&lt;0,Y173&lt;$D$2,V173/U173&lt;3),"Serious",AND(W173&gt;=$D$1,X173&lt;0,Y173&gt;$D$2,V173/U173&lt;3),"Very serious", AND(W173&lt;=$D$1*-1,Y173&gt;0,X173&gt;$D$2*-1,V173/U173&gt;=3),"Very serious", AND(W173&lt;=$D$1*-1,Y173&gt;0,X173&lt;$D$2*-1,V173/U173&gt;=3),"Very serious", AND(W173&gt;=$D$1,X173&lt;0,Y173&lt;$D$2,V173/U173&gt;=3),"Very serious", AND(W173&gt;=$D$1,X173&lt;0,Y173&gt;$D$2,V173/U173&gt;=3),"Very serious", AND(W173&gt;$D$1*-1,W173&lt;$D$1,X173&gt;$D$1*-1,Y173&lt;$D$1,V173/U173&lt;3),"Not Serious", AND(W173&gt;$D$1*-1,W173&lt;$D$1,OR(X173&lt;=$D$1*-1,Y173&gt;=$D$1),X173&gt;$D$2*-1,Y173&lt;$D$2,V173/U173&lt;3),"Serious", AND(W173&gt;$D$1*-1,W173&lt;$D$1,OR(X173&lt;=$D$2*-1,Y173&gt;=$D$2),V173/U173&lt;3),"Very serious", AND(W173&gt;$D$1*-1,W173&lt;$D$1,X173&gt;$D$1*-1,Y173&lt;$D$1,V173/U173&gt;=3),"Very serious", AND(W173&gt;$D$1*-1,W173&lt;$D$1,OR(X173&lt;=$D$1*-1,Y173&gt;=$D$1),X173&gt;$D$2*-1,Y173&lt;$D$2,V173/U173&gt;=3),"Very serious", AND(W173&gt;$D$1*-1,W173&lt;$D$1,OR(X173&lt;=$D$2*-1,Y173&gt;=$D$2),V173/U173&gt;=3),"Very serious"),"")),"")</f>
        <v/>
      </c>
      <c r="AT173" s="109" t="str">
        <f t="shared" si="9"/>
        <v/>
      </c>
      <c r="AU173" s="64"/>
      <c r="AV173" s="83"/>
      <c r="AW173" s="83"/>
      <c r="AX173" s="83"/>
      <c r="AY173" s="83"/>
      <c r="AZ173" s="83"/>
      <c r="BA173" s="85"/>
      <c r="BB173" s="86" t="str">
        <f>IF(Preferences!B$9="Manual","",IFS(ISBLANK(B173),"",AND(ISNUMBER(E173)=TRUE,ISNUMBER(T173)=FALSE),"Direct", AND(ISNUMBER(E173)=FALSE,ISNUMBER(T173)=TRUE),"Indirect", CN173=4,"Direct",AND(CL173=FALSE, CM173=TRUE,CN173-CO173&gt;-1),"Direct", AND(CL173=FALSE,CM173=TRUE, CN173-CO173&lt;0),"Check algorithm in appendix 2", AND(CL173=TRUE, CM173=FALSE,CN173-CO173&gt;0),"Check algorithm in appendix 2", AND(CL173=TRUE, CM173=FALSE,CN173-CO173=0),"Indirect", AND(CL173=TRUE, CM173=FALSE,CN173-CO173&lt;0),"Indirect", AND(CL173=FALSE,CM173=FALSE,CN173-CO173&gt;-1),"Direct", AND(CL173=FALSE,CM173=FALSE,CN173-CO173&lt;0),"Check algorithm in appendix 2", AND(CL173=TRUE,CM173=TRUE,CN173-CO173&gt;-1),"Direct", AND(CL173=TRUE,CM173=TRUE,CN173-CO173&lt;0),"Check algorithm in appendix 2"))</f>
        <v/>
      </c>
      <c r="BC173" s="120" t="str">
        <f t="shared" si="10"/>
        <v/>
      </c>
      <c r="BD173" s="148"/>
      <c r="BE173" s="122" t="str">
        <f>IF(Preferences!B$3="Manual","", IFERROR(IFS(AND(Preferences!B$3="Automatic",AX173/AW173&gt;=30),"Extremely serious",AND(AY173&lt;=$D$1*-1,BA173&lt;0,AX173/AW173&lt;3),"Not Serious",AND(AY173&lt;=$D$1*-1,BA173&lt;0,AX173/AW173&gt;=3),"Very serious",AND(AY173&gt;=$D$1,AZ173&gt;0,AX173/AW173&lt;3),"Not Serious",AND(AY173&gt;=$D$1,AZ173&gt;0,AX173/AW173&gt;=3),"Very serious",AND(AY173&lt;=$D$1*-1,BA173&gt;0,AZ173&gt;$D$2*-1,AX173/AW173&lt;3),"Serious", AND(AY173&lt;=$D$1*-1,BA173&gt;0,AZ173&lt;$D$2*-1,AX173/AW173&lt;3),"Very serious", AND(AY173&gt;=$D$1,AZ173&lt;0,BA173&lt;$D$2,AX173/AW173&lt;3),"Serious",AND(AY173&gt;=$D$1,AZ173&lt;0,BA173&gt;$D$2,AX173/AW173&lt;3),"Very serious", AND(AY173&lt;=$D$1*-1,BA173&gt;0,AZ173&gt;$D$2*-1,AX173/AW173&gt;=3),"Very serious", AND(AY173&lt;=$D$1*-1,BA173&gt;0,AZ173&lt;$D$2*-1,AX173/AW173&gt;=3),"Very serious", AND(AY173&gt;=$D$1,AZ173&lt;0,BA173&lt;$D$2,AX173/AW173&gt;=3),"Very serious", AND(AY173&gt;=$D$1,AZ173&lt;0,BA173&gt;$D$2,AX173/AW173&gt;=3),"Very serious", AND(AY173&gt;$D$1*-1,AY173&lt;$D$1,AZ173&gt;$D$1*-1,BA173&lt;$D$1,AX173/AW173&lt;3),"Not Serious", AND(AY173&gt;$D$1*-1,AY173&lt;$D$1,OR(AZ173&lt;=$D$1*-1,BA173&gt;=$D$1),AZ173&gt;$D$2*-1,BA173&lt;$D$2,AX173/AW173&lt;3),"Serious", AND(AY173&gt;$D$1*-1,AY173&lt;$D$1,OR(AZ173&lt;=$D$2*-1,BA173&gt;=$D$2),AX173/AW173&lt;3),"Very serious", AND(AY173&gt;$D$1*-1,AY173&lt;$D$1,AZ173&gt;$D$1*-1,BA173&lt;$D$1,AX173/AW173&gt;=3),"Very serious", AND(AY173&gt;$D$1*-1,AY173&lt;$D$1,OR(AZ173&lt;=$D$1*-1,BA173&gt;=$D$1),AZ173&gt;$D$2*-1,BA173&lt;$D$2,AX173/AW173&gt;=3),"Very serious", AND(AY173&gt;$D$1*-1,AY173&lt;$D$1,OR(AZ173&lt;=$D$2*-1,BA173&gt;=$D$2),AX173/AW173&gt;=3),"Very serious"),""))</f>
        <v/>
      </c>
      <c r="BF173" s="107" t="str">
        <f t="shared" si="11"/>
        <v/>
      </c>
      <c r="BG173" s="94" t="str">
        <f t="shared" si="46"/>
        <v/>
      </c>
      <c r="BH173" s="64" t="str">
        <f t="shared" si="12"/>
        <v>#N/A</v>
      </c>
      <c r="BI173" s="64" t="str">
        <f t="shared" si="13"/>
        <v/>
      </c>
      <c r="BJ173" s="123" t="str">
        <f t="shared" si="14"/>
        <v>#N/A</v>
      </c>
      <c r="BK173" s="64" t="str">
        <f t="shared" si="50"/>
        <v>YES</v>
      </c>
      <c r="BL173" s="64" t="str">
        <f t="shared" si="16"/>
        <v>YES</v>
      </c>
      <c r="BM173" s="64" t="str">
        <f t="shared" si="17"/>
        <v>YES</v>
      </c>
      <c r="BN173" s="124" t="str">
        <f t="shared" si="18"/>
        <v/>
      </c>
      <c r="BO173" s="91" t="str">
        <f t="shared" si="19"/>
        <v/>
      </c>
      <c r="BP173" s="91" t="str">
        <f t="shared" si="20"/>
        <v>#N/A</v>
      </c>
      <c r="BQ173" s="91" t="str">
        <f t="shared" si="21"/>
        <v/>
      </c>
      <c r="BR173" s="93" t="str">
        <f t="shared" si="22"/>
        <v/>
      </c>
      <c r="BS173" s="90" t="str">
        <f t="shared" si="23"/>
        <v/>
      </c>
      <c r="BT173" s="93" t="str">
        <f t="shared" si="24"/>
        <v>NA</v>
      </c>
      <c r="BU173" s="125" t="str">
        <f t="shared" si="25"/>
        <v>#N/A</v>
      </c>
      <c r="BV173" s="93" t="str">
        <f t="shared" si="26"/>
        <v/>
      </c>
      <c r="BW173" s="93" t="str">
        <f t="shared" si="27"/>
        <v/>
      </c>
      <c r="BX173" s="93" t="str">
        <f t="shared" si="28"/>
        <v>NA</v>
      </c>
      <c r="BY173" s="95" t="str">
        <f t="shared" si="29"/>
        <v>#N/A</v>
      </c>
      <c r="BZ173" s="93" t="str">
        <f t="shared" si="30"/>
        <v/>
      </c>
      <c r="CA173" s="93" t="str">
        <f t="shared" si="31"/>
        <v/>
      </c>
      <c r="CB173" s="93" t="str">
        <f t="shared" si="32"/>
        <v>NA</v>
      </c>
      <c r="CC173" s="96" t="str">
        <f t="shared" si="33"/>
        <v>#N/A</v>
      </c>
      <c r="CD173" s="93" t="str">
        <f t="shared" si="34"/>
        <v/>
      </c>
      <c r="CE173" s="93" t="str">
        <f t="shared" si="35"/>
        <v/>
      </c>
      <c r="CF173" s="93" t="str">
        <f t="shared" si="36"/>
        <v>NA</v>
      </c>
      <c r="CG173" s="97" t="str">
        <f t="shared" si="37"/>
        <v>#N/A</v>
      </c>
      <c r="CH173" s="98" t="str">
        <f t="shared" si="38"/>
        <v>#N/A</v>
      </c>
      <c r="CI173" s="99" t="str">
        <f t="shared" si="39"/>
        <v>#N/A</v>
      </c>
      <c r="CJ173" s="126" t="str">
        <f t="shared" si="40"/>
        <v>ERROR: check cell</v>
      </c>
      <c r="CK173" s="126" t="str">
        <f>if(AND(T173&lt;1=TRUE,E173&lt;1=TRUE)=TRUE,if(OR(AND(V173&gt;G173=TRUE,G173&gt;U173=TRUE),AND(G173&gt;V173=TRUE,V173&gt;F173=TRUE)=TRUE)=TRUE,"No serious incoherence","Quantitative incoherence (same direction of effect)"),if(AND(T173&gt;1=TRUE,E173&gt;1=TRUE)=TRUE,if(OR(AND(V173&gt;G173=TRUE,G173&gt;U173=TRUE),AND(G173&gt;V173=TRUE,V173&gt;F173=TRUE)=TRUE)=TRUE,"No serious incoherence","Quantitative incoherence (same direction of effect)"),if(OR(AND(T173&lt;1=TRUE,E173&gt;1=TRUE)=TRUE,AND(T173&gt;1=TRUE,E173&lt;1=TRUE)=TRUE)=TRUE,if(OR(AND(V173&gt;G173=TRUE,G173&gt;U173=TRUE),AND(G173&gt;V173=TRUE,V173&gt;F173=TRUE)=TRUE)=TRUE,"No serious incoherence","Qualitative incoherence (different direction of effect)"))))</f>
        <v>Quantitative incoherence (same direction of effect)</v>
      </c>
      <c r="CL173" s="127" t="str">
        <f t="shared" si="41"/>
        <v>#DIV/0!</v>
      </c>
      <c r="CM173" s="128" t="str">
        <f t="shared" si="42"/>
        <v>#DIV/0!</v>
      </c>
      <c r="CN173" s="128">
        <f t="shared" si="43"/>
        <v>4</v>
      </c>
      <c r="CO173" s="129">
        <f t="shared" si="44"/>
        <v>4</v>
      </c>
      <c r="CP173" s="129" t="str">
        <f>IFS(C173=Preferences!B$13,B173,B173=Preferences!B$13,C173)</f>
        <v>#N/A</v>
      </c>
    </row>
    <row r="174" ht="13.5" customHeight="1">
      <c r="A174" s="63" t="str">
        <f t="shared" si="45"/>
        <v/>
      </c>
      <c r="B174" s="64"/>
      <c r="C174" s="64"/>
      <c r="D174" s="64"/>
      <c r="E174" s="65"/>
      <c r="F174" s="65"/>
      <c r="G174" s="65"/>
      <c r="H174" s="66"/>
      <c r="I174" s="66"/>
      <c r="J174" s="67"/>
      <c r="K174" s="68"/>
      <c r="L174" s="104"/>
      <c r="M174" s="104"/>
      <c r="N174" s="104"/>
      <c r="O174" s="104"/>
      <c r="P174" s="107" t="str">
        <f t="shared" si="1"/>
        <v/>
      </c>
      <c r="Q174" s="108" t="str">
        <f>IFERROR(IF(AND(Preferences!B$3="Manual",OR(AX174/AW174&gt;G174/F174,BD174="Serious",BD174="Very serious")),"Assess imprecision",IFS(ISBLANK(E174),"",AND(Preferences!B$3="Automatic", G174/F174&gt;=30),"Extremely serious",AND(H174&lt;=$D$1*-1,J174&lt;0,G174/F174&lt;3),"Not serious",AND(H174&lt;=$D$1*-1,J174&lt;0,G174/F174&gt;=3),"Very serious",AND(H174&gt;=$D$1,I174&gt;0,G174/F174&lt;3),"Not serious",AND(H174&gt;=$D$1,I174&gt;0,G174/F174&gt;=3),"Very serious",AND(H174&lt;=$D$1*-1,J174&gt;0,I174&gt;$D$2*-1,G174/F174&lt;3),"Serious", AND(H174&lt;=$D$1*-1,J174&gt;0,I174&lt;$D$2*-1,G174/F174&lt;3),"Very serious", AND(H174&gt;=$D$1,I174&lt;0,J174&lt;$D$2,G174/F174&lt;3),"Serious",AND(H174&gt;=$D$1,I174&lt;0,J174&gt;$D$2,G174/F174&lt;3),"Very serious", AND(H174&lt;=$D$1*-1,J174&gt;0,I174&gt;$D$2*-1,G174/F174&gt;=3),"Very serious", AND(H174&lt;=$D$1*-1,J174&gt;0,I174&lt;$D$2*-1,G174/F174&gt;=3),"Very serious", AND(H174&gt;=$D$1,I174&lt;0,J174&lt;$D$2,G174/F174&gt;=3),"Very serious", AND(H174&gt;=$D$1,I174&lt;0,J174&gt;$D$2,G174/F174&gt;=3),"Very serious", AND(H174&gt;$D$1*-1,H174&lt;$D$1,I174&gt;$D$1*-1,J174&lt;$D$1,G174/F174&lt;3),"Not serious", AND(H174&gt;$D$1*-1,H174&lt;$D$1,OR(I174&lt;=$D$1*-1,J174&gt;=$D$1),I174&gt;$D$2*-1,J174&lt;$D$2,G174/F174&lt;3),"Serious", AND(H174&gt;$D$1*-1,H174&lt;$D$1,OR(I174&lt;=$D$2*-1,J174&gt;=$D$2),G174/F174&lt;3),"Very serious", AND(H174&gt;$D$1*-1,H174&lt;$D$1,I174&gt;$D$1*-1,J174&lt;$D$1,G174/F174&gt;=3),"Very serious", AND(H174&gt;$D$1*-1,H174&lt;$D$1,OR(I174&lt;=$D$1*-1,J174&gt;=$D$1),I174&gt;$D$2*-1,J174&lt;$D$2,G174/F174&gt;=3),"Very serious", AND(H174&gt;$D$1*-1,H174&lt;$D$1,OR(I174&lt;=$D$2*-1,J174&gt;=$D$2),G174/F174&gt;=3),"Very serious")),"")</f>
        <v/>
      </c>
      <c r="R174" s="109" t="str">
        <f t="shared" si="47"/>
        <v/>
      </c>
      <c r="S174" s="64"/>
      <c r="T174" s="72"/>
      <c r="U174" s="72"/>
      <c r="V174" s="72"/>
      <c r="W174" s="73"/>
      <c r="X174" s="73"/>
      <c r="Y174" s="74"/>
      <c r="Z174" s="113" t="str">
        <f t="array" ref="Z174">INDEX($A$1:$C$500, MATCH(1,($B:$B=$B174)*($C:$C=$AB174),0),1)</f>
        <v/>
      </c>
      <c r="AA174" s="113" t="str">
        <f t="array" ref="AA174">INDEX($A$1:$C$500, MATCH(1,($B:$B=$AB174)*($C:$C=$B174),0),1)</f>
        <v/>
      </c>
      <c r="AB174" s="111"/>
      <c r="AC174" s="114" t="str">
        <f t="shared" si="2"/>
        <v/>
      </c>
      <c r="AD174" s="115" t="str">
        <f t="shared" si="3"/>
        <v/>
      </c>
      <c r="AE174" s="116" t="str">
        <f t="array" ref="AE174">INDEX($A$1:$C$500, MATCH(1,($B:$B=$AB174)*($C:$C=$AG174),0),1)</f>
        <v/>
      </c>
      <c r="AF174" s="116" t="str">
        <f t="array" ref="AF174">INDEX($A$1:$C$500, MATCH(1,($B:$B=$AG174)*($C:$C=$AB174),0),1)</f>
        <v/>
      </c>
      <c r="AG174" s="72"/>
      <c r="AH174" s="114" t="str">
        <f t="shared" si="4"/>
        <v/>
      </c>
      <c r="AI174" s="115" t="str">
        <f t="shared" si="5"/>
        <v/>
      </c>
      <c r="AJ174" s="116" t="str">
        <f t="array" ref="AJ174">INDEX($A$1:$C$500, MATCH(1,($B:$B=$C174)*($C:$C=$AG174),0),1)</f>
        <v/>
      </c>
      <c r="AK174" s="116" t="str">
        <f t="array" ref="AK174">INDEX($A$1:$C$500, MATCH(1,($B:$B=$AG174)*($C:$C=$C174),0),1)</f>
        <v/>
      </c>
      <c r="AL174" s="116" t="str">
        <f t="array" ref="AL174">INDEX($A$1:$C$500, MATCH(1,($B:$B=$C174)*($C:$C=$AB174),0),1)</f>
        <v/>
      </c>
      <c r="AM174" s="116" t="str">
        <f t="array" ref="AM174">INDEX($A$1:$C$500, MATCH(1,($B:$B=$AB174)*($C:$C=$C174),0),1)</f>
        <v/>
      </c>
      <c r="AN174" s="114" t="str">
        <f t="array" ref="AN174">IFS(ISNUMBER(AJ174),AJ174,ISNUMBER(AK174),AK174,ISNUMBER(AL174),AL174,ISNUMBER(AM174),AM174)</f>
        <v>#N/A</v>
      </c>
      <c r="AO174" s="115" t="str">
        <f t="shared" si="6"/>
        <v/>
      </c>
      <c r="AP174" s="115" t="str">
        <f t="shared" si="7"/>
        <v/>
      </c>
      <c r="AQ174" s="111"/>
      <c r="AR174" s="109" t="str">
        <f t="shared" si="8"/>
        <v/>
      </c>
      <c r="AS174" s="72" t="str">
        <f>IFERROR(IF(AND(Preferences!B$3="Manual",OR(AX174/AW174&gt;V174/U174,BD174="Serious",BD174="Very serious")),"Assess imprecision",IFERROR(IFS(AND(Preferences!B$3="Automatic",V174/U174&gt;=30),"Extremely serious",AND(W174&lt;=$D$1*-1,Y174&lt;0,V174/U174&lt;3),"Not Serious",AND(W174&lt;=$D$1*-1,Y174&lt;0,V174/U174&gt;=3),"Very serious",AND(W174&gt;=$D$1,X174&gt;0,V174/U174&lt;3),"Not Serious",AND(W174&gt;=$D$1,X174&gt;0,V174/U174&gt;=3),"Very serious",AND(W174&lt;=$D$1*-1,Y174&gt;0,X174&gt;$D$2*-1,V174/U174&lt;3),"Serious", AND(W174&lt;=$D$1*-1,Y174&gt;0,X174&lt;$D$2*-1,V174/U174&lt;3),"Very serious", AND(W174&gt;=$D$1,X174&lt;0,Y174&lt;$D$2,V174/U174&lt;3),"Serious",AND(W174&gt;=$D$1,X174&lt;0,Y174&gt;$D$2,V174/U174&lt;3),"Very serious", AND(W174&lt;=$D$1*-1,Y174&gt;0,X174&gt;$D$2*-1,V174/U174&gt;=3),"Very serious", AND(W174&lt;=$D$1*-1,Y174&gt;0,X174&lt;$D$2*-1,V174/U174&gt;=3),"Very serious", AND(W174&gt;=$D$1,X174&lt;0,Y174&lt;$D$2,V174/U174&gt;=3),"Very serious", AND(W174&gt;=$D$1,X174&lt;0,Y174&gt;$D$2,V174/U174&gt;=3),"Very serious", AND(W174&gt;$D$1*-1,W174&lt;$D$1,X174&gt;$D$1*-1,Y174&lt;$D$1,V174/U174&lt;3),"Not Serious", AND(W174&gt;$D$1*-1,W174&lt;$D$1,OR(X174&lt;=$D$1*-1,Y174&gt;=$D$1),X174&gt;$D$2*-1,Y174&lt;$D$2,V174/U174&lt;3),"Serious", AND(W174&gt;$D$1*-1,W174&lt;$D$1,OR(X174&lt;=$D$2*-1,Y174&gt;=$D$2),V174/U174&lt;3),"Very serious", AND(W174&gt;$D$1*-1,W174&lt;$D$1,X174&gt;$D$1*-1,Y174&lt;$D$1,V174/U174&gt;=3),"Very serious", AND(W174&gt;$D$1*-1,W174&lt;$D$1,OR(X174&lt;=$D$1*-1,Y174&gt;=$D$1),X174&gt;$D$2*-1,Y174&lt;$D$2,V174/U174&gt;=3),"Very serious", AND(W174&gt;$D$1*-1,W174&lt;$D$1,OR(X174&lt;=$D$2*-1,Y174&gt;=$D$2),V174/U174&gt;=3),"Very serious"),"")),"")</f>
        <v/>
      </c>
      <c r="AT174" s="109" t="str">
        <f t="shared" si="9"/>
        <v/>
      </c>
      <c r="AU174" s="64"/>
      <c r="AV174" s="83"/>
      <c r="AW174" s="83"/>
      <c r="AX174" s="83"/>
      <c r="AY174" s="83"/>
      <c r="AZ174" s="83"/>
      <c r="BA174" s="85"/>
      <c r="BB174" s="86" t="str">
        <f>IF(Preferences!B$9="Manual","",IFS(ISBLANK(B174),"",AND(ISNUMBER(E174)=TRUE,ISNUMBER(T174)=FALSE),"Direct", AND(ISNUMBER(E174)=FALSE,ISNUMBER(T174)=TRUE),"Indirect", CN174=4,"Direct",AND(CL174=FALSE, CM174=TRUE,CN174-CO174&gt;-1),"Direct", AND(CL174=FALSE,CM174=TRUE, CN174-CO174&lt;0),"Check algorithm in appendix 2", AND(CL174=TRUE, CM174=FALSE,CN174-CO174&gt;0),"Check algorithm in appendix 2", AND(CL174=TRUE, CM174=FALSE,CN174-CO174=0),"Indirect", AND(CL174=TRUE, CM174=FALSE,CN174-CO174&lt;0),"Indirect", AND(CL174=FALSE,CM174=FALSE,CN174-CO174&gt;-1),"Direct", AND(CL174=FALSE,CM174=FALSE,CN174-CO174&lt;0),"Check algorithm in appendix 2", AND(CL174=TRUE,CM174=TRUE,CN174-CO174&gt;-1),"Direct", AND(CL174=TRUE,CM174=TRUE,CN174-CO174&lt;0),"Check algorithm in appendix 2"))</f>
        <v/>
      </c>
      <c r="BC174" s="120" t="str">
        <f t="shared" si="10"/>
        <v/>
      </c>
      <c r="BD174" s="140"/>
      <c r="BE174" s="122" t="str">
        <f>IF(Preferences!B$3="Manual","", IFERROR(IFS(AND(Preferences!B$3="Automatic",AX174/AW174&gt;=30),"Extremely serious",AND(AY174&lt;=$D$1*-1,BA174&lt;0,AX174/AW174&lt;3),"Not Serious",AND(AY174&lt;=$D$1*-1,BA174&lt;0,AX174/AW174&gt;=3),"Very serious",AND(AY174&gt;=$D$1,AZ174&gt;0,AX174/AW174&lt;3),"Not Serious",AND(AY174&gt;=$D$1,AZ174&gt;0,AX174/AW174&gt;=3),"Very serious",AND(AY174&lt;=$D$1*-1,BA174&gt;0,AZ174&gt;$D$2*-1,AX174/AW174&lt;3),"Serious", AND(AY174&lt;=$D$1*-1,BA174&gt;0,AZ174&lt;$D$2*-1,AX174/AW174&lt;3),"Very serious", AND(AY174&gt;=$D$1,AZ174&lt;0,BA174&lt;$D$2,AX174/AW174&lt;3),"Serious",AND(AY174&gt;=$D$1,AZ174&lt;0,BA174&gt;$D$2,AX174/AW174&lt;3),"Very serious", AND(AY174&lt;=$D$1*-1,BA174&gt;0,AZ174&gt;$D$2*-1,AX174/AW174&gt;=3),"Very serious", AND(AY174&lt;=$D$1*-1,BA174&gt;0,AZ174&lt;$D$2*-1,AX174/AW174&gt;=3),"Very serious", AND(AY174&gt;=$D$1,AZ174&lt;0,BA174&lt;$D$2,AX174/AW174&gt;=3),"Very serious", AND(AY174&gt;=$D$1,AZ174&lt;0,BA174&gt;$D$2,AX174/AW174&gt;=3),"Very serious", AND(AY174&gt;$D$1*-1,AY174&lt;$D$1,AZ174&gt;$D$1*-1,BA174&lt;$D$1,AX174/AW174&lt;3),"Not Serious", AND(AY174&gt;$D$1*-1,AY174&lt;$D$1,OR(AZ174&lt;=$D$1*-1,BA174&gt;=$D$1),AZ174&gt;$D$2*-1,BA174&lt;$D$2,AX174/AW174&lt;3),"Serious", AND(AY174&gt;$D$1*-1,AY174&lt;$D$1,OR(AZ174&lt;=$D$2*-1,BA174&gt;=$D$2),AX174/AW174&lt;3),"Very serious", AND(AY174&gt;$D$1*-1,AY174&lt;$D$1,AZ174&gt;$D$1*-1,BA174&lt;$D$1,AX174/AW174&gt;=3),"Very serious", AND(AY174&gt;$D$1*-1,AY174&lt;$D$1,OR(AZ174&lt;=$D$1*-1,BA174&gt;=$D$1),AZ174&gt;$D$2*-1,BA174&lt;$D$2,AX174/AW174&gt;=3),"Very serious", AND(AY174&gt;$D$1*-1,AY174&lt;$D$1,OR(AZ174&lt;=$D$2*-1,BA174&gt;=$D$2),AX174/AW174&gt;=3),"Very serious"),""))</f>
        <v/>
      </c>
      <c r="BF174" s="107" t="str">
        <f t="shared" si="11"/>
        <v/>
      </c>
      <c r="BG174" s="94" t="str">
        <f t="shared" si="46"/>
        <v/>
      </c>
      <c r="BH174" s="64" t="str">
        <f t="shared" si="12"/>
        <v>#N/A</v>
      </c>
      <c r="BI174" s="64" t="str">
        <f t="shared" si="13"/>
        <v/>
      </c>
      <c r="BJ174" s="123" t="str">
        <f t="shared" si="14"/>
        <v>#N/A</v>
      </c>
      <c r="BK174" s="64" t="str">
        <f t="shared" si="50"/>
        <v>YES</v>
      </c>
      <c r="BL174" s="64" t="str">
        <f t="shared" si="16"/>
        <v>YES</v>
      </c>
      <c r="BM174" s="64" t="str">
        <f t="shared" si="17"/>
        <v>YES</v>
      </c>
      <c r="BN174" s="124" t="str">
        <f t="shared" si="18"/>
        <v/>
      </c>
      <c r="BO174" s="91" t="str">
        <f t="shared" si="19"/>
        <v/>
      </c>
      <c r="BP174" s="91" t="str">
        <f t="shared" si="20"/>
        <v>#N/A</v>
      </c>
      <c r="BQ174" s="91" t="str">
        <f t="shared" si="21"/>
        <v/>
      </c>
      <c r="BR174" s="93" t="str">
        <f t="shared" si="22"/>
        <v/>
      </c>
      <c r="BS174" s="90" t="str">
        <f t="shared" si="23"/>
        <v/>
      </c>
      <c r="BT174" s="93" t="str">
        <f t="shared" si="24"/>
        <v>NA</v>
      </c>
      <c r="BU174" s="125" t="str">
        <f t="shared" si="25"/>
        <v>#N/A</v>
      </c>
      <c r="BV174" s="93" t="str">
        <f t="shared" si="26"/>
        <v/>
      </c>
      <c r="BW174" s="93" t="str">
        <f t="shared" si="27"/>
        <v/>
      </c>
      <c r="BX174" s="93" t="str">
        <f t="shared" si="28"/>
        <v>NA</v>
      </c>
      <c r="BY174" s="95" t="str">
        <f t="shared" si="29"/>
        <v>#N/A</v>
      </c>
      <c r="BZ174" s="93" t="str">
        <f t="shared" si="30"/>
        <v/>
      </c>
      <c r="CA174" s="93" t="str">
        <f t="shared" si="31"/>
        <v/>
      </c>
      <c r="CB174" s="93" t="str">
        <f t="shared" si="32"/>
        <v>NA</v>
      </c>
      <c r="CC174" s="96" t="str">
        <f t="shared" si="33"/>
        <v>#N/A</v>
      </c>
      <c r="CD174" s="93" t="str">
        <f t="shared" si="34"/>
        <v/>
      </c>
      <c r="CE174" s="93" t="str">
        <f t="shared" si="35"/>
        <v/>
      </c>
      <c r="CF174" s="93" t="str">
        <f t="shared" si="36"/>
        <v>NA</v>
      </c>
      <c r="CG174" s="97" t="str">
        <f t="shared" si="37"/>
        <v>#N/A</v>
      </c>
      <c r="CH174" s="98" t="str">
        <f t="shared" si="38"/>
        <v>#N/A</v>
      </c>
      <c r="CI174" s="99" t="str">
        <f t="shared" si="39"/>
        <v>#N/A</v>
      </c>
      <c r="CJ174" s="126" t="str">
        <f t="shared" si="40"/>
        <v>ERROR: check cell</v>
      </c>
      <c r="CK174" s="126"/>
      <c r="CL174" s="127" t="str">
        <f t="shared" si="41"/>
        <v>#DIV/0!</v>
      </c>
      <c r="CM174" s="128" t="str">
        <f t="shared" si="42"/>
        <v>#DIV/0!</v>
      </c>
      <c r="CN174" s="128">
        <f t="shared" si="43"/>
        <v>4</v>
      </c>
      <c r="CO174" s="129">
        <f t="shared" si="44"/>
        <v>4</v>
      </c>
      <c r="CP174" s="129" t="str">
        <f>IFS(C174=Preferences!B$13,B174,B174=Preferences!B$13,C174)</f>
        <v>#N/A</v>
      </c>
    </row>
    <row r="175" ht="13.5" customHeight="1">
      <c r="A175" s="63" t="str">
        <f t="shared" si="45"/>
        <v/>
      </c>
      <c r="B175" s="64"/>
      <c r="C175" s="64"/>
      <c r="D175" s="64"/>
      <c r="E175" s="65"/>
      <c r="F175" s="65"/>
      <c r="G175" s="65"/>
      <c r="H175" s="66"/>
      <c r="I175" s="66"/>
      <c r="J175" s="67"/>
      <c r="K175" s="68"/>
      <c r="L175" s="104"/>
      <c r="M175" s="104"/>
      <c r="N175" s="104"/>
      <c r="O175" s="104"/>
      <c r="P175" s="107" t="str">
        <f t="shared" si="1"/>
        <v/>
      </c>
      <c r="Q175" s="108" t="str">
        <f>IFERROR(IF(AND(Preferences!B$3="Manual",OR(AX175/AW175&gt;G175/F175,BD175="Serious",BD175="Very serious")),"Assess imprecision",IFS(ISBLANK(E175),"",AND(Preferences!B$3="Automatic", G175/F175&gt;=30),"Extremely serious",AND(H175&lt;=$D$1*-1,J175&lt;0,G175/F175&lt;3),"Not serious",AND(H175&lt;=$D$1*-1,J175&lt;0,G175/F175&gt;=3),"Very serious",AND(H175&gt;=$D$1,I175&gt;0,G175/F175&lt;3),"Not serious",AND(H175&gt;=$D$1,I175&gt;0,G175/F175&gt;=3),"Very serious",AND(H175&lt;=$D$1*-1,J175&gt;0,I175&gt;$D$2*-1,G175/F175&lt;3),"Serious", AND(H175&lt;=$D$1*-1,J175&gt;0,I175&lt;$D$2*-1,G175/F175&lt;3),"Very serious", AND(H175&gt;=$D$1,I175&lt;0,J175&lt;$D$2,G175/F175&lt;3),"Serious",AND(H175&gt;=$D$1,I175&lt;0,J175&gt;$D$2,G175/F175&lt;3),"Very serious", AND(H175&lt;=$D$1*-1,J175&gt;0,I175&gt;$D$2*-1,G175/F175&gt;=3),"Very serious", AND(H175&lt;=$D$1*-1,J175&gt;0,I175&lt;$D$2*-1,G175/F175&gt;=3),"Very serious", AND(H175&gt;=$D$1,I175&lt;0,J175&lt;$D$2,G175/F175&gt;=3),"Very serious", AND(H175&gt;=$D$1,I175&lt;0,J175&gt;$D$2,G175/F175&gt;=3),"Very serious", AND(H175&gt;$D$1*-1,H175&lt;$D$1,I175&gt;$D$1*-1,J175&lt;$D$1,G175/F175&lt;3),"Not serious", AND(H175&gt;$D$1*-1,H175&lt;$D$1,OR(I175&lt;=$D$1*-1,J175&gt;=$D$1),I175&gt;$D$2*-1,J175&lt;$D$2,G175/F175&lt;3),"Serious", AND(H175&gt;$D$1*-1,H175&lt;$D$1,OR(I175&lt;=$D$2*-1,J175&gt;=$D$2),G175/F175&lt;3),"Very serious", AND(H175&gt;$D$1*-1,H175&lt;$D$1,I175&gt;$D$1*-1,J175&lt;$D$1,G175/F175&gt;=3),"Very serious", AND(H175&gt;$D$1*-1,H175&lt;$D$1,OR(I175&lt;=$D$1*-1,J175&gt;=$D$1),I175&gt;$D$2*-1,J175&lt;$D$2,G175/F175&gt;=3),"Very serious", AND(H175&gt;$D$1*-1,H175&lt;$D$1,OR(I175&lt;=$D$2*-1,J175&gt;=$D$2),G175/F175&gt;=3),"Very serious")),"")</f>
        <v/>
      </c>
      <c r="R175" s="109" t="str">
        <f t="shared" si="47"/>
        <v/>
      </c>
      <c r="S175" s="64"/>
      <c r="T175" s="72"/>
      <c r="U175" s="72"/>
      <c r="V175" s="72"/>
      <c r="W175" s="73"/>
      <c r="X175" s="73"/>
      <c r="Y175" s="74"/>
      <c r="Z175" s="113" t="str">
        <f t="array" ref="Z175">INDEX($A$1:$C$500, MATCH(1,($B:$B=$B175)*($C:$C=$AB175),0),1)</f>
        <v/>
      </c>
      <c r="AA175" s="113" t="str">
        <f t="array" ref="AA175">INDEX($A$1:$C$500, MATCH(1,($B:$B=$AB175)*($C:$C=$B175),0),1)</f>
        <v/>
      </c>
      <c r="AB175" s="111"/>
      <c r="AC175" s="114" t="str">
        <f t="shared" si="2"/>
        <v/>
      </c>
      <c r="AD175" s="115" t="str">
        <f t="shared" si="3"/>
        <v/>
      </c>
      <c r="AE175" s="116" t="str">
        <f t="array" ref="AE175">INDEX($A$1:$C$500, MATCH(1,($B:$B=$AB175)*($C:$C=$AG175),0),1)</f>
        <v/>
      </c>
      <c r="AF175" s="116" t="str">
        <f t="array" ref="AF175">INDEX($A$1:$C$500, MATCH(1,($B:$B=$AG175)*($C:$C=$AB175),0),1)</f>
        <v/>
      </c>
      <c r="AG175" s="72"/>
      <c r="AH175" s="114" t="str">
        <f t="shared" si="4"/>
        <v/>
      </c>
      <c r="AI175" s="115" t="str">
        <f t="shared" si="5"/>
        <v/>
      </c>
      <c r="AJ175" s="116" t="str">
        <f t="array" ref="AJ175">INDEX($A$1:$C$500, MATCH(1,($B:$B=$C175)*($C:$C=$AG175),0),1)</f>
        <v/>
      </c>
      <c r="AK175" s="116" t="str">
        <f t="array" ref="AK175">INDEX($A$1:$C$500, MATCH(1,($B:$B=$AG175)*($C:$C=$C175),0),1)</f>
        <v/>
      </c>
      <c r="AL175" s="116" t="str">
        <f t="array" ref="AL175">INDEX($A$1:$C$500, MATCH(1,($B:$B=$C175)*($C:$C=$AB175),0),1)</f>
        <v/>
      </c>
      <c r="AM175" s="116" t="str">
        <f t="array" ref="AM175">INDEX($A$1:$C$500, MATCH(1,($B:$B=$AB175)*($C:$C=$C175),0),1)</f>
        <v/>
      </c>
      <c r="AN175" s="114" t="str">
        <f t="array" ref="AN175">IFS(ISNUMBER(AJ175),AJ175,ISNUMBER(AK175),AK175,ISNUMBER(AL175),AL175,ISNUMBER(AM175),AM175)</f>
        <v>#N/A</v>
      </c>
      <c r="AO175" s="115" t="str">
        <f t="shared" si="6"/>
        <v/>
      </c>
      <c r="AP175" s="115" t="str">
        <f t="shared" si="7"/>
        <v/>
      </c>
      <c r="AQ175" s="111"/>
      <c r="AR175" s="109" t="str">
        <f t="shared" si="8"/>
        <v/>
      </c>
      <c r="AS175" s="72" t="str">
        <f>IFERROR(IF(AND(Preferences!B$3="Manual",OR(AX175/AW175&gt;V175/U175,BD175="Serious",BD175="Very serious")),"Assess imprecision",IFERROR(IFS(AND(Preferences!B$3="Automatic",V175/U175&gt;=30),"Extremely serious",AND(W175&lt;=$D$1*-1,Y175&lt;0,V175/U175&lt;3),"Not Serious",AND(W175&lt;=$D$1*-1,Y175&lt;0,V175/U175&gt;=3),"Very serious",AND(W175&gt;=$D$1,X175&gt;0,V175/U175&lt;3),"Not Serious",AND(W175&gt;=$D$1,X175&gt;0,V175/U175&gt;=3),"Very serious",AND(W175&lt;=$D$1*-1,Y175&gt;0,X175&gt;$D$2*-1,V175/U175&lt;3),"Serious", AND(W175&lt;=$D$1*-1,Y175&gt;0,X175&lt;$D$2*-1,V175/U175&lt;3),"Very serious", AND(W175&gt;=$D$1,X175&lt;0,Y175&lt;$D$2,V175/U175&lt;3),"Serious",AND(W175&gt;=$D$1,X175&lt;0,Y175&gt;$D$2,V175/U175&lt;3),"Very serious", AND(W175&lt;=$D$1*-1,Y175&gt;0,X175&gt;$D$2*-1,V175/U175&gt;=3),"Very serious", AND(W175&lt;=$D$1*-1,Y175&gt;0,X175&lt;$D$2*-1,V175/U175&gt;=3),"Very serious", AND(W175&gt;=$D$1,X175&lt;0,Y175&lt;$D$2,V175/U175&gt;=3),"Very serious", AND(W175&gt;=$D$1,X175&lt;0,Y175&gt;$D$2,V175/U175&gt;=3),"Very serious", AND(W175&gt;$D$1*-1,W175&lt;$D$1,X175&gt;$D$1*-1,Y175&lt;$D$1,V175/U175&lt;3),"Not Serious", AND(W175&gt;$D$1*-1,W175&lt;$D$1,OR(X175&lt;=$D$1*-1,Y175&gt;=$D$1),X175&gt;$D$2*-1,Y175&lt;$D$2,V175/U175&lt;3),"Serious", AND(W175&gt;$D$1*-1,W175&lt;$D$1,OR(X175&lt;=$D$2*-1,Y175&gt;=$D$2),V175/U175&lt;3),"Very serious", AND(W175&gt;$D$1*-1,W175&lt;$D$1,X175&gt;$D$1*-1,Y175&lt;$D$1,V175/U175&gt;=3),"Very serious", AND(W175&gt;$D$1*-1,W175&lt;$D$1,OR(X175&lt;=$D$1*-1,Y175&gt;=$D$1),X175&gt;$D$2*-1,Y175&lt;$D$2,V175/U175&gt;=3),"Very serious", AND(W175&gt;$D$1*-1,W175&lt;$D$1,OR(X175&lt;=$D$2*-1,Y175&gt;=$D$2),V175/U175&gt;=3),"Very serious"),"")),"")</f>
        <v/>
      </c>
      <c r="AT175" s="109" t="str">
        <f t="shared" si="9"/>
        <v/>
      </c>
      <c r="AU175" s="64"/>
      <c r="AV175" s="83"/>
      <c r="AW175" s="83"/>
      <c r="AX175" s="83"/>
      <c r="AY175" s="83"/>
      <c r="AZ175" s="83"/>
      <c r="BA175" s="85"/>
      <c r="BB175" s="86" t="str">
        <f>IF(Preferences!B$9="Manual","",IFS(ISBLANK(B175),"",AND(ISNUMBER(E175)=TRUE,ISNUMBER(T175)=FALSE),"Direct", AND(ISNUMBER(E175)=FALSE,ISNUMBER(T175)=TRUE),"Indirect", CN175=4,"Direct",AND(CL175=FALSE, CM175=TRUE,CN175-CO175&gt;-1),"Direct", AND(CL175=FALSE,CM175=TRUE, CN175-CO175&lt;0),"Check algorithm in appendix 2", AND(CL175=TRUE, CM175=FALSE,CN175-CO175&gt;0),"Check algorithm in appendix 2", AND(CL175=TRUE, CM175=FALSE,CN175-CO175=0),"Indirect", AND(CL175=TRUE, CM175=FALSE,CN175-CO175&lt;0),"Indirect", AND(CL175=FALSE,CM175=FALSE,CN175-CO175&gt;-1),"Direct", AND(CL175=FALSE,CM175=FALSE,CN175-CO175&lt;0),"Check algorithm in appendix 2", AND(CL175=TRUE,CM175=TRUE,CN175-CO175&gt;-1),"Direct", AND(CL175=TRUE,CM175=TRUE,CN175-CO175&lt;0),"Check algorithm in appendix 2"))</f>
        <v/>
      </c>
      <c r="BC175" s="120" t="str">
        <f t="shared" si="10"/>
        <v/>
      </c>
      <c r="BD175" s="140"/>
      <c r="BE175" s="122" t="str">
        <f>IF(Preferences!B$3="Manual","", IFERROR(IFS(AND(Preferences!B$3="Automatic",AX175/AW175&gt;=30),"Extremely serious",AND(AY175&lt;=$D$1*-1,BA175&lt;0,AX175/AW175&lt;3),"Not Serious",AND(AY175&lt;=$D$1*-1,BA175&lt;0,AX175/AW175&gt;=3),"Very serious",AND(AY175&gt;=$D$1,AZ175&gt;0,AX175/AW175&lt;3),"Not Serious",AND(AY175&gt;=$D$1,AZ175&gt;0,AX175/AW175&gt;=3),"Very serious",AND(AY175&lt;=$D$1*-1,BA175&gt;0,AZ175&gt;$D$2*-1,AX175/AW175&lt;3),"Serious", AND(AY175&lt;=$D$1*-1,BA175&gt;0,AZ175&lt;$D$2*-1,AX175/AW175&lt;3),"Very serious", AND(AY175&gt;=$D$1,AZ175&lt;0,BA175&lt;$D$2,AX175/AW175&lt;3),"Serious",AND(AY175&gt;=$D$1,AZ175&lt;0,BA175&gt;$D$2,AX175/AW175&lt;3),"Very serious", AND(AY175&lt;=$D$1*-1,BA175&gt;0,AZ175&gt;$D$2*-1,AX175/AW175&gt;=3),"Very serious", AND(AY175&lt;=$D$1*-1,BA175&gt;0,AZ175&lt;$D$2*-1,AX175/AW175&gt;=3),"Very serious", AND(AY175&gt;=$D$1,AZ175&lt;0,BA175&lt;$D$2,AX175/AW175&gt;=3),"Very serious", AND(AY175&gt;=$D$1,AZ175&lt;0,BA175&gt;$D$2,AX175/AW175&gt;=3),"Very serious", AND(AY175&gt;$D$1*-1,AY175&lt;$D$1,AZ175&gt;$D$1*-1,BA175&lt;$D$1,AX175/AW175&lt;3),"Not Serious", AND(AY175&gt;$D$1*-1,AY175&lt;$D$1,OR(AZ175&lt;=$D$1*-1,BA175&gt;=$D$1),AZ175&gt;$D$2*-1,BA175&lt;$D$2,AX175/AW175&lt;3),"Serious", AND(AY175&gt;$D$1*-1,AY175&lt;$D$1,OR(AZ175&lt;=$D$2*-1,BA175&gt;=$D$2),AX175/AW175&lt;3),"Very serious", AND(AY175&gt;$D$1*-1,AY175&lt;$D$1,AZ175&gt;$D$1*-1,BA175&lt;$D$1,AX175/AW175&gt;=3),"Very serious", AND(AY175&gt;$D$1*-1,AY175&lt;$D$1,OR(AZ175&lt;=$D$1*-1,BA175&gt;=$D$1),AZ175&gt;$D$2*-1,BA175&lt;$D$2,AX175/AW175&gt;=3),"Very serious", AND(AY175&gt;$D$1*-1,AY175&lt;$D$1,OR(AZ175&lt;=$D$2*-1,BA175&gt;=$D$2),AX175/AW175&gt;=3),"Very serious"),""))</f>
        <v/>
      </c>
      <c r="BF175" s="107" t="str">
        <f t="shared" si="11"/>
        <v/>
      </c>
      <c r="BG175" s="94" t="str">
        <f t="shared" si="46"/>
        <v/>
      </c>
      <c r="BH175" s="64" t="str">
        <f t="shared" si="12"/>
        <v>#N/A</v>
      </c>
      <c r="BI175" s="64" t="str">
        <f t="shared" si="13"/>
        <v/>
      </c>
      <c r="BJ175" s="123" t="str">
        <f t="shared" si="14"/>
        <v>#N/A</v>
      </c>
      <c r="BK175" s="64" t="str">
        <f t="shared" si="50"/>
        <v>YES</v>
      </c>
      <c r="BL175" s="64" t="str">
        <f t="shared" si="16"/>
        <v>YES</v>
      </c>
      <c r="BM175" s="64" t="str">
        <f t="shared" si="17"/>
        <v>YES</v>
      </c>
      <c r="BN175" s="124" t="str">
        <f t="shared" si="18"/>
        <v/>
      </c>
      <c r="BO175" s="91" t="str">
        <f t="shared" si="19"/>
        <v/>
      </c>
      <c r="BP175" s="91" t="str">
        <f t="shared" si="20"/>
        <v>#N/A</v>
      </c>
      <c r="BQ175" s="91" t="str">
        <f t="shared" si="21"/>
        <v/>
      </c>
      <c r="BR175" s="93" t="str">
        <f t="shared" si="22"/>
        <v/>
      </c>
      <c r="BS175" s="90" t="str">
        <f t="shared" si="23"/>
        <v/>
      </c>
      <c r="BT175" s="93" t="str">
        <f t="shared" si="24"/>
        <v>NA</v>
      </c>
      <c r="BU175" s="125" t="str">
        <f t="shared" si="25"/>
        <v>#N/A</v>
      </c>
      <c r="BV175" s="93" t="str">
        <f t="shared" si="26"/>
        <v/>
      </c>
      <c r="BW175" s="93" t="str">
        <f t="shared" si="27"/>
        <v/>
      </c>
      <c r="BX175" s="93" t="str">
        <f t="shared" si="28"/>
        <v>NA</v>
      </c>
      <c r="BY175" s="95" t="str">
        <f t="shared" si="29"/>
        <v>#N/A</v>
      </c>
      <c r="BZ175" s="93" t="str">
        <f t="shared" si="30"/>
        <v/>
      </c>
      <c r="CA175" s="93" t="str">
        <f t="shared" si="31"/>
        <v/>
      </c>
      <c r="CB175" s="93" t="str">
        <f t="shared" si="32"/>
        <v>NA</v>
      </c>
      <c r="CC175" s="96" t="str">
        <f t="shared" si="33"/>
        <v>#N/A</v>
      </c>
      <c r="CD175" s="93" t="str">
        <f t="shared" si="34"/>
        <v/>
      </c>
      <c r="CE175" s="93" t="str">
        <f t="shared" si="35"/>
        <v/>
      </c>
      <c r="CF175" s="93" t="str">
        <f t="shared" si="36"/>
        <v>NA</v>
      </c>
      <c r="CG175" s="97" t="str">
        <f t="shared" si="37"/>
        <v>#N/A</v>
      </c>
      <c r="CH175" s="98" t="str">
        <f t="shared" si="38"/>
        <v>#N/A</v>
      </c>
      <c r="CI175" s="99" t="str">
        <f t="shared" si="39"/>
        <v>#N/A</v>
      </c>
      <c r="CJ175" s="126" t="str">
        <f t="shared" si="40"/>
        <v>ERROR: check cell</v>
      </c>
      <c r="CK175" s="126"/>
      <c r="CL175" s="127" t="str">
        <f t="shared" si="41"/>
        <v>#DIV/0!</v>
      </c>
      <c r="CM175" s="128" t="str">
        <f t="shared" si="42"/>
        <v>#DIV/0!</v>
      </c>
      <c r="CN175" s="128">
        <f t="shared" si="43"/>
        <v>4</v>
      </c>
      <c r="CO175" s="129">
        <f t="shared" si="44"/>
        <v>4</v>
      </c>
      <c r="CP175" s="129" t="str">
        <f>IFS(C175=Preferences!B$13,B175,B175=Preferences!B$13,C175)</f>
        <v>#N/A</v>
      </c>
    </row>
    <row r="176" ht="13.5" customHeight="1">
      <c r="A176" s="63" t="str">
        <f t="shared" si="45"/>
        <v/>
      </c>
      <c r="B176" s="64"/>
      <c r="C176" s="64"/>
      <c r="D176" s="64"/>
      <c r="E176" s="65"/>
      <c r="F176" s="65"/>
      <c r="G176" s="65"/>
      <c r="H176" s="66"/>
      <c r="I176" s="66"/>
      <c r="J176" s="67"/>
      <c r="K176" s="68"/>
      <c r="L176" s="104"/>
      <c r="M176" s="104"/>
      <c r="N176" s="104"/>
      <c r="O176" s="104"/>
      <c r="P176" s="107" t="str">
        <f t="shared" si="1"/>
        <v/>
      </c>
      <c r="Q176" s="108" t="str">
        <f>IFERROR(IF(AND(Preferences!B$3="Manual",OR(AX176/AW176&gt;G176/F176,BD176="Serious",BD176="Very serious")),"Assess imprecision",IFS(ISBLANK(E176),"",AND(Preferences!B$3="Automatic", G176/F176&gt;=30),"Extremely serious",AND(H176&lt;=$D$1*-1,J176&lt;0,G176/F176&lt;3),"Not serious",AND(H176&lt;=$D$1*-1,J176&lt;0,G176/F176&gt;=3),"Very serious",AND(H176&gt;=$D$1,I176&gt;0,G176/F176&lt;3),"Not serious",AND(H176&gt;=$D$1,I176&gt;0,G176/F176&gt;=3),"Very serious",AND(H176&lt;=$D$1*-1,J176&gt;0,I176&gt;$D$2*-1,G176/F176&lt;3),"Serious", AND(H176&lt;=$D$1*-1,J176&gt;0,I176&lt;$D$2*-1,G176/F176&lt;3),"Very serious", AND(H176&gt;=$D$1,I176&lt;0,J176&lt;$D$2,G176/F176&lt;3),"Serious",AND(H176&gt;=$D$1,I176&lt;0,J176&gt;$D$2,G176/F176&lt;3),"Very serious", AND(H176&lt;=$D$1*-1,J176&gt;0,I176&gt;$D$2*-1,G176/F176&gt;=3),"Very serious", AND(H176&lt;=$D$1*-1,J176&gt;0,I176&lt;$D$2*-1,G176/F176&gt;=3),"Very serious", AND(H176&gt;=$D$1,I176&lt;0,J176&lt;$D$2,G176/F176&gt;=3),"Very serious", AND(H176&gt;=$D$1,I176&lt;0,J176&gt;$D$2,G176/F176&gt;=3),"Very serious", AND(H176&gt;$D$1*-1,H176&lt;$D$1,I176&gt;$D$1*-1,J176&lt;$D$1,G176/F176&lt;3),"Not serious", AND(H176&gt;$D$1*-1,H176&lt;$D$1,OR(I176&lt;=$D$1*-1,J176&gt;=$D$1),I176&gt;$D$2*-1,J176&lt;$D$2,G176/F176&lt;3),"Serious", AND(H176&gt;$D$1*-1,H176&lt;$D$1,OR(I176&lt;=$D$2*-1,J176&gt;=$D$2),G176/F176&lt;3),"Very serious", AND(H176&gt;$D$1*-1,H176&lt;$D$1,I176&gt;$D$1*-1,J176&lt;$D$1,G176/F176&gt;=3),"Very serious", AND(H176&gt;$D$1*-1,H176&lt;$D$1,OR(I176&lt;=$D$1*-1,J176&gt;=$D$1),I176&gt;$D$2*-1,J176&lt;$D$2,G176/F176&gt;=3),"Very serious", AND(H176&gt;$D$1*-1,H176&lt;$D$1,OR(I176&lt;=$D$2*-1,J176&gt;=$D$2),G176/F176&gt;=3),"Very serious")),"")</f>
        <v/>
      </c>
      <c r="R176" s="109" t="str">
        <f t="shared" si="47"/>
        <v/>
      </c>
      <c r="S176" s="64"/>
      <c r="T176" s="72"/>
      <c r="U176" s="72"/>
      <c r="V176" s="72"/>
      <c r="W176" s="73"/>
      <c r="X176" s="73"/>
      <c r="Y176" s="74"/>
      <c r="Z176" s="113" t="str">
        <f t="array" ref="Z176">INDEX($A$1:$C$500, MATCH(1,($B:$B=$B176)*($C:$C=$AB176),0),1)</f>
        <v/>
      </c>
      <c r="AA176" s="113" t="str">
        <f t="array" ref="AA176">INDEX($A$1:$C$500, MATCH(1,($B:$B=$AB176)*($C:$C=$B176),0),1)</f>
        <v/>
      </c>
      <c r="AB176" s="111"/>
      <c r="AC176" s="114" t="str">
        <f t="shared" si="2"/>
        <v/>
      </c>
      <c r="AD176" s="115" t="str">
        <f t="shared" si="3"/>
        <v/>
      </c>
      <c r="AE176" s="116" t="str">
        <f t="array" ref="AE176">INDEX($A$1:$C$500, MATCH(1,($B:$B=$AB176)*($C:$C=$AG176),0),1)</f>
        <v/>
      </c>
      <c r="AF176" s="116" t="str">
        <f t="array" ref="AF176">INDEX($A$1:$C$500, MATCH(1,($B:$B=$AG176)*($C:$C=$AB176),0),1)</f>
        <v/>
      </c>
      <c r="AG176" s="72"/>
      <c r="AH176" s="114" t="str">
        <f t="shared" si="4"/>
        <v/>
      </c>
      <c r="AI176" s="115" t="str">
        <f t="shared" si="5"/>
        <v/>
      </c>
      <c r="AJ176" s="116" t="str">
        <f t="array" ref="AJ176">INDEX($A$1:$C$500, MATCH(1,($B:$B=$C176)*($C:$C=$AG176),0),1)</f>
        <v/>
      </c>
      <c r="AK176" s="116" t="str">
        <f t="array" ref="AK176">INDEX($A$1:$C$500, MATCH(1,($B:$B=$AG176)*($C:$C=$C176),0),1)</f>
        <v/>
      </c>
      <c r="AL176" s="116" t="str">
        <f t="array" ref="AL176">INDEX($A$1:$C$500, MATCH(1,($B:$B=$C176)*($C:$C=$AB176),0),1)</f>
        <v/>
      </c>
      <c r="AM176" s="116" t="str">
        <f t="array" ref="AM176">INDEX($A$1:$C$500, MATCH(1,($B:$B=$AB176)*($C:$C=$C176),0),1)</f>
        <v/>
      </c>
      <c r="AN176" s="114" t="str">
        <f t="array" ref="AN176">IFS(ISNUMBER(AJ176),AJ176,ISNUMBER(AK176),AK176,ISNUMBER(AL176),AL176,ISNUMBER(AM176),AM176)</f>
        <v>#N/A</v>
      </c>
      <c r="AO176" s="115" t="str">
        <f t="shared" si="6"/>
        <v/>
      </c>
      <c r="AP176" s="115" t="str">
        <f t="shared" si="7"/>
        <v/>
      </c>
      <c r="AQ176" s="111"/>
      <c r="AR176" s="109" t="str">
        <f t="shared" si="8"/>
        <v/>
      </c>
      <c r="AS176" s="72" t="str">
        <f>IFERROR(IF(AND(Preferences!B$3="Manual",OR(AX176/AW176&gt;V176/U176,BD176="Serious",BD176="Very serious")),"Assess imprecision",IFERROR(IFS(AND(Preferences!B$3="Automatic",V176/U176&gt;=30),"Extremely serious",AND(W176&lt;=$D$1*-1,Y176&lt;0,V176/U176&lt;3),"Not Serious",AND(W176&lt;=$D$1*-1,Y176&lt;0,V176/U176&gt;=3),"Very serious",AND(W176&gt;=$D$1,X176&gt;0,V176/U176&lt;3),"Not Serious",AND(W176&gt;=$D$1,X176&gt;0,V176/U176&gt;=3),"Very serious",AND(W176&lt;=$D$1*-1,Y176&gt;0,X176&gt;$D$2*-1,V176/U176&lt;3),"Serious", AND(W176&lt;=$D$1*-1,Y176&gt;0,X176&lt;$D$2*-1,V176/U176&lt;3),"Very serious", AND(W176&gt;=$D$1,X176&lt;0,Y176&lt;$D$2,V176/U176&lt;3),"Serious",AND(W176&gt;=$D$1,X176&lt;0,Y176&gt;$D$2,V176/U176&lt;3),"Very serious", AND(W176&lt;=$D$1*-1,Y176&gt;0,X176&gt;$D$2*-1,V176/U176&gt;=3),"Very serious", AND(W176&lt;=$D$1*-1,Y176&gt;0,X176&lt;$D$2*-1,V176/U176&gt;=3),"Very serious", AND(W176&gt;=$D$1,X176&lt;0,Y176&lt;$D$2,V176/U176&gt;=3),"Very serious", AND(W176&gt;=$D$1,X176&lt;0,Y176&gt;$D$2,V176/U176&gt;=3),"Very serious", AND(W176&gt;$D$1*-1,W176&lt;$D$1,X176&gt;$D$1*-1,Y176&lt;$D$1,V176/U176&lt;3),"Not Serious", AND(W176&gt;$D$1*-1,W176&lt;$D$1,OR(X176&lt;=$D$1*-1,Y176&gt;=$D$1),X176&gt;$D$2*-1,Y176&lt;$D$2,V176/U176&lt;3),"Serious", AND(W176&gt;$D$1*-1,W176&lt;$D$1,OR(X176&lt;=$D$2*-1,Y176&gt;=$D$2),V176/U176&lt;3),"Very serious", AND(W176&gt;$D$1*-1,W176&lt;$D$1,X176&gt;$D$1*-1,Y176&lt;$D$1,V176/U176&gt;=3),"Very serious", AND(W176&gt;$D$1*-1,W176&lt;$D$1,OR(X176&lt;=$D$1*-1,Y176&gt;=$D$1),X176&gt;$D$2*-1,Y176&lt;$D$2,V176/U176&gt;=3),"Very serious", AND(W176&gt;$D$1*-1,W176&lt;$D$1,OR(X176&lt;=$D$2*-1,Y176&gt;=$D$2),V176/U176&gt;=3),"Very serious"),"")),"")</f>
        <v/>
      </c>
      <c r="AT176" s="109" t="str">
        <f t="shared" si="9"/>
        <v/>
      </c>
      <c r="AU176" s="64"/>
      <c r="AV176" s="83"/>
      <c r="AW176" s="83"/>
      <c r="AX176" s="83"/>
      <c r="AY176" s="83"/>
      <c r="AZ176" s="83"/>
      <c r="BA176" s="85"/>
      <c r="BB176" s="86" t="str">
        <f>IF(Preferences!B$9="Manual","",IFS(ISBLANK(B176),"",AND(ISNUMBER(E176)=TRUE,ISNUMBER(T176)=FALSE),"Direct", AND(ISNUMBER(E176)=FALSE,ISNUMBER(T176)=TRUE),"Indirect", CN176=4,"Direct",AND(CL176=FALSE, CM176=TRUE,CN176-CO176&gt;-1),"Direct", AND(CL176=FALSE,CM176=TRUE, CN176-CO176&lt;0),"Check algorithm in appendix 2", AND(CL176=TRUE, CM176=FALSE,CN176-CO176&gt;0),"Check algorithm in appendix 2", AND(CL176=TRUE, CM176=FALSE,CN176-CO176=0),"Indirect", AND(CL176=TRUE, CM176=FALSE,CN176-CO176&lt;0),"Indirect", AND(CL176=FALSE,CM176=FALSE,CN176-CO176&gt;-1),"Direct", AND(CL176=FALSE,CM176=FALSE,CN176-CO176&lt;0),"Check algorithm in appendix 2", AND(CL176=TRUE,CM176=TRUE,CN176-CO176&gt;-1),"Direct", AND(CL176=TRUE,CM176=TRUE,CN176-CO176&lt;0),"Check algorithm in appendix 2"))</f>
        <v/>
      </c>
      <c r="BC176" s="120" t="str">
        <f t="shared" si="10"/>
        <v/>
      </c>
      <c r="BD176" s="140"/>
      <c r="BE176" s="122" t="str">
        <f>IF(Preferences!B$3="Manual","", IFERROR(IFS(AND(Preferences!B$3="Automatic",AX176/AW176&gt;=30),"Extremely serious",AND(AY176&lt;=$D$1*-1,BA176&lt;0,AX176/AW176&lt;3),"Not Serious",AND(AY176&lt;=$D$1*-1,BA176&lt;0,AX176/AW176&gt;=3),"Very serious",AND(AY176&gt;=$D$1,AZ176&gt;0,AX176/AW176&lt;3),"Not Serious",AND(AY176&gt;=$D$1,AZ176&gt;0,AX176/AW176&gt;=3),"Very serious",AND(AY176&lt;=$D$1*-1,BA176&gt;0,AZ176&gt;$D$2*-1,AX176/AW176&lt;3),"Serious", AND(AY176&lt;=$D$1*-1,BA176&gt;0,AZ176&lt;$D$2*-1,AX176/AW176&lt;3),"Very serious", AND(AY176&gt;=$D$1,AZ176&lt;0,BA176&lt;$D$2,AX176/AW176&lt;3),"Serious",AND(AY176&gt;=$D$1,AZ176&lt;0,BA176&gt;$D$2,AX176/AW176&lt;3),"Very serious", AND(AY176&lt;=$D$1*-1,BA176&gt;0,AZ176&gt;$D$2*-1,AX176/AW176&gt;=3),"Very serious", AND(AY176&lt;=$D$1*-1,BA176&gt;0,AZ176&lt;$D$2*-1,AX176/AW176&gt;=3),"Very serious", AND(AY176&gt;=$D$1,AZ176&lt;0,BA176&lt;$D$2,AX176/AW176&gt;=3),"Very serious", AND(AY176&gt;=$D$1,AZ176&lt;0,BA176&gt;$D$2,AX176/AW176&gt;=3),"Very serious", AND(AY176&gt;$D$1*-1,AY176&lt;$D$1,AZ176&gt;$D$1*-1,BA176&lt;$D$1,AX176/AW176&lt;3),"Not Serious", AND(AY176&gt;$D$1*-1,AY176&lt;$D$1,OR(AZ176&lt;=$D$1*-1,BA176&gt;=$D$1),AZ176&gt;$D$2*-1,BA176&lt;$D$2,AX176/AW176&lt;3),"Serious", AND(AY176&gt;$D$1*-1,AY176&lt;$D$1,OR(AZ176&lt;=$D$2*-1,BA176&gt;=$D$2),AX176/AW176&lt;3),"Very serious", AND(AY176&gt;$D$1*-1,AY176&lt;$D$1,AZ176&gt;$D$1*-1,BA176&lt;$D$1,AX176/AW176&gt;=3),"Very serious", AND(AY176&gt;$D$1*-1,AY176&lt;$D$1,OR(AZ176&lt;=$D$1*-1,BA176&gt;=$D$1),AZ176&gt;$D$2*-1,BA176&lt;$D$2,AX176/AW176&gt;=3),"Very serious", AND(AY176&gt;$D$1*-1,AY176&lt;$D$1,OR(AZ176&lt;=$D$2*-1,BA176&gt;=$D$2),AX176/AW176&gt;=3),"Very serious"),""))</f>
        <v/>
      </c>
      <c r="BF176" s="107" t="str">
        <f t="shared" si="11"/>
        <v/>
      </c>
      <c r="BG176" s="94" t="str">
        <f t="shared" si="46"/>
        <v/>
      </c>
      <c r="BH176" s="64" t="str">
        <f t="shared" si="12"/>
        <v>#N/A</v>
      </c>
      <c r="BI176" s="64" t="str">
        <f t="shared" si="13"/>
        <v/>
      </c>
      <c r="BJ176" s="123" t="str">
        <f t="shared" si="14"/>
        <v>#N/A</v>
      </c>
      <c r="BK176" s="64" t="str">
        <f t="shared" si="50"/>
        <v>YES</v>
      </c>
      <c r="BL176" s="64" t="str">
        <f t="shared" si="16"/>
        <v>YES</v>
      </c>
      <c r="BM176" s="64" t="str">
        <f t="shared" si="17"/>
        <v>YES</v>
      </c>
      <c r="BN176" s="124" t="str">
        <f t="shared" si="18"/>
        <v/>
      </c>
      <c r="BO176" s="91" t="str">
        <f t="shared" si="19"/>
        <v/>
      </c>
      <c r="BP176" s="91" t="str">
        <f t="shared" si="20"/>
        <v>#N/A</v>
      </c>
      <c r="BQ176" s="91" t="str">
        <f t="shared" si="21"/>
        <v/>
      </c>
      <c r="BR176" s="93" t="str">
        <f t="shared" si="22"/>
        <v/>
      </c>
      <c r="BS176" s="90" t="str">
        <f t="shared" si="23"/>
        <v/>
      </c>
      <c r="BT176" s="93" t="str">
        <f t="shared" si="24"/>
        <v>NA</v>
      </c>
      <c r="BU176" s="125" t="str">
        <f t="shared" si="25"/>
        <v>#N/A</v>
      </c>
      <c r="BV176" s="93" t="str">
        <f t="shared" si="26"/>
        <v/>
      </c>
      <c r="BW176" s="93" t="str">
        <f t="shared" si="27"/>
        <v/>
      </c>
      <c r="BX176" s="93" t="str">
        <f t="shared" si="28"/>
        <v>NA</v>
      </c>
      <c r="BY176" s="95" t="str">
        <f t="shared" si="29"/>
        <v>#N/A</v>
      </c>
      <c r="BZ176" s="93" t="str">
        <f t="shared" si="30"/>
        <v/>
      </c>
      <c r="CA176" s="93" t="str">
        <f t="shared" si="31"/>
        <v/>
      </c>
      <c r="CB176" s="93" t="str">
        <f t="shared" si="32"/>
        <v>NA</v>
      </c>
      <c r="CC176" s="96" t="str">
        <f t="shared" si="33"/>
        <v>#N/A</v>
      </c>
      <c r="CD176" s="93" t="str">
        <f t="shared" si="34"/>
        <v/>
      </c>
      <c r="CE176" s="93" t="str">
        <f t="shared" si="35"/>
        <v/>
      </c>
      <c r="CF176" s="93" t="str">
        <f t="shared" si="36"/>
        <v>NA</v>
      </c>
      <c r="CG176" s="97" t="str">
        <f t="shared" si="37"/>
        <v>#N/A</v>
      </c>
      <c r="CH176" s="98" t="str">
        <f t="shared" si="38"/>
        <v>#N/A</v>
      </c>
      <c r="CI176" s="99" t="str">
        <f t="shared" si="39"/>
        <v>#N/A</v>
      </c>
      <c r="CJ176" s="126" t="str">
        <f t="shared" si="40"/>
        <v>ERROR: check cell</v>
      </c>
      <c r="CK176" s="126"/>
      <c r="CL176" s="127" t="str">
        <f t="shared" si="41"/>
        <v>#DIV/0!</v>
      </c>
      <c r="CM176" s="128" t="str">
        <f t="shared" si="42"/>
        <v>#DIV/0!</v>
      </c>
      <c r="CN176" s="128">
        <f t="shared" si="43"/>
        <v>4</v>
      </c>
      <c r="CO176" s="129">
        <f t="shared" si="44"/>
        <v>4</v>
      </c>
      <c r="CP176" s="129" t="str">
        <f>IFS(C176=Preferences!B$13,B176,B176=Preferences!B$13,C176)</f>
        <v>#N/A</v>
      </c>
    </row>
    <row r="177" ht="13.5" customHeight="1">
      <c r="A177" s="63" t="str">
        <f t="shared" si="45"/>
        <v/>
      </c>
      <c r="B177" s="64"/>
      <c r="C177" s="64"/>
      <c r="D177" s="64"/>
      <c r="E177" s="65"/>
      <c r="F177" s="65"/>
      <c r="G177" s="65"/>
      <c r="H177" s="66"/>
      <c r="I177" s="66"/>
      <c r="J177" s="67"/>
      <c r="K177" s="68"/>
      <c r="L177" s="104"/>
      <c r="M177" s="104"/>
      <c r="N177" s="104"/>
      <c r="O177" s="104"/>
      <c r="P177" s="107" t="str">
        <f t="shared" si="1"/>
        <v/>
      </c>
      <c r="Q177" s="108" t="str">
        <f>IFERROR(IF(AND(Preferences!B$3="Manual",OR(AX177/AW177&gt;G177/F177,BD177="Serious",BD177="Very serious")),"Assess imprecision",IFS(ISBLANK(E177),"",AND(Preferences!B$3="Automatic", G177/F177&gt;=30),"Extremely serious",AND(H177&lt;=$D$1*-1,J177&lt;0,G177/F177&lt;3),"Not serious",AND(H177&lt;=$D$1*-1,J177&lt;0,G177/F177&gt;=3),"Very serious",AND(H177&gt;=$D$1,I177&gt;0,G177/F177&lt;3),"Not serious",AND(H177&gt;=$D$1,I177&gt;0,G177/F177&gt;=3),"Very serious",AND(H177&lt;=$D$1*-1,J177&gt;0,I177&gt;$D$2*-1,G177/F177&lt;3),"Serious", AND(H177&lt;=$D$1*-1,J177&gt;0,I177&lt;$D$2*-1,G177/F177&lt;3),"Very serious", AND(H177&gt;=$D$1,I177&lt;0,J177&lt;$D$2,G177/F177&lt;3),"Serious",AND(H177&gt;=$D$1,I177&lt;0,J177&gt;$D$2,G177/F177&lt;3),"Very serious", AND(H177&lt;=$D$1*-1,J177&gt;0,I177&gt;$D$2*-1,G177/F177&gt;=3),"Very serious", AND(H177&lt;=$D$1*-1,J177&gt;0,I177&lt;$D$2*-1,G177/F177&gt;=3),"Very serious", AND(H177&gt;=$D$1,I177&lt;0,J177&lt;$D$2,G177/F177&gt;=3),"Very serious", AND(H177&gt;=$D$1,I177&lt;0,J177&gt;$D$2,G177/F177&gt;=3),"Very serious", AND(H177&gt;$D$1*-1,H177&lt;$D$1,I177&gt;$D$1*-1,J177&lt;$D$1,G177/F177&lt;3),"Not serious", AND(H177&gt;$D$1*-1,H177&lt;$D$1,OR(I177&lt;=$D$1*-1,J177&gt;=$D$1),I177&gt;$D$2*-1,J177&lt;$D$2,G177/F177&lt;3),"Serious", AND(H177&gt;$D$1*-1,H177&lt;$D$1,OR(I177&lt;=$D$2*-1,J177&gt;=$D$2),G177/F177&lt;3),"Very serious", AND(H177&gt;$D$1*-1,H177&lt;$D$1,I177&gt;$D$1*-1,J177&lt;$D$1,G177/F177&gt;=3),"Very serious", AND(H177&gt;$D$1*-1,H177&lt;$D$1,OR(I177&lt;=$D$1*-1,J177&gt;=$D$1),I177&gt;$D$2*-1,J177&lt;$D$2,G177/F177&gt;=3),"Very serious", AND(H177&gt;$D$1*-1,H177&lt;$D$1,OR(I177&lt;=$D$2*-1,J177&gt;=$D$2),G177/F177&gt;=3),"Very serious")),"")</f>
        <v/>
      </c>
      <c r="R177" s="109" t="str">
        <f t="shared" si="47"/>
        <v/>
      </c>
      <c r="S177" s="64"/>
      <c r="T177" s="72"/>
      <c r="U177" s="72"/>
      <c r="V177" s="72"/>
      <c r="W177" s="73"/>
      <c r="X177" s="73"/>
      <c r="Y177" s="74"/>
      <c r="Z177" s="113" t="str">
        <f t="array" ref="Z177">INDEX($A$1:$C$500, MATCH(1,($B:$B=$B177)*($C:$C=$AB177),0),1)</f>
        <v/>
      </c>
      <c r="AA177" s="113" t="str">
        <f t="array" ref="AA177">INDEX($A$1:$C$500, MATCH(1,($B:$B=$AB177)*($C:$C=$B177),0),1)</f>
        <v/>
      </c>
      <c r="AB177" s="111"/>
      <c r="AC177" s="114" t="str">
        <f t="shared" si="2"/>
        <v/>
      </c>
      <c r="AD177" s="115" t="str">
        <f t="shared" si="3"/>
        <v/>
      </c>
      <c r="AE177" s="116" t="str">
        <f t="array" ref="AE177">INDEX($A$1:$C$500, MATCH(1,($B:$B=$AB177)*($C:$C=$AG177),0),1)</f>
        <v/>
      </c>
      <c r="AF177" s="116" t="str">
        <f t="array" ref="AF177">INDEX($A$1:$C$500, MATCH(1,($B:$B=$AG177)*($C:$C=$AB177),0),1)</f>
        <v/>
      </c>
      <c r="AG177" s="72"/>
      <c r="AH177" s="114" t="str">
        <f t="shared" si="4"/>
        <v/>
      </c>
      <c r="AI177" s="115" t="str">
        <f t="shared" si="5"/>
        <v/>
      </c>
      <c r="AJ177" s="116" t="str">
        <f t="array" ref="AJ177">INDEX($A$1:$C$500, MATCH(1,($B:$B=$C177)*($C:$C=$AG177),0),1)</f>
        <v/>
      </c>
      <c r="AK177" s="116" t="str">
        <f t="array" ref="AK177">INDEX($A$1:$C$500, MATCH(1,($B:$B=$AG177)*($C:$C=$C177),0),1)</f>
        <v/>
      </c>
      <c r="AL177" s="116" t="str">
        <f t="array" ref="AL177">INDEX($A$1:$C$500, MATCH(1,($B:$B=$C177)*($C:$C=$AB177),0),1)</f>
        <v/>
      </c>
      <c r="AM177" s="116" t="str">
        <f t="array" ref="AM177">INDEX($A$1:$C$500, MATCH(1,($B:$B=$AB177)*($C:$C=$C177),0),1)</f>
        <v/>
      </c>
      <c r="AN177" s="114" t="str">
        <f t="array" ref="AN177">IFS(ISNUMBER(AJ177),AJ177,ISNUMBER(AK177),AK177,ISNUMBER(AL177),AL177,ISNUMBER(AM177),AM177)</f>
        <v>#N/A</v>
      </c>
      <c r="AO177" s="115" t="str">
        <f t="shared" si="6"/>
        <v/>
      </c>
      <c r="AP177" s="115" t="str">
        <f t="shared" si="7"/>
        <v/>
      </c>
      <c r="AQ177" s="111"/>
      <c r="AR177" s="109" t="str">
        <f t="shared" si="8"/>
        <v/>
      </c>
      <c r="AS177" s="72" t="str">
        <f>IFERROR(IF(AND(Preferences!B$3="Manual",OR(AX177/AW177&gt;V177/U177,BD177="Serious",BD177="Very serious")),"Assess imprecision",IFERROR(IFS(AND(Preferences!B$3="Automatic",V177/U177&gt;=30),"Extremely serious",AND(W177&lt;=$D$1*-1,Y177&lt;0,V177/U177&lt;3),"Not Serious",AND(W177&lt;=$D$1*-1,Y177&lt;0,V177/U177&gt;=3),"Very serious",AND(W177&gt;=$D$1,X177&gt;0,V177/U177&lt;3),"Not Serious",AND(W177&gt;=$D$1,X177&gt;0,V177/U177&gt;=3),"Very serious",AND(W177&lt;=$D$1*-1,Y177&gt;0,X177&gt;$D$2*-1,V177/U177&lt;3),"Serious", AND(W177&lt;=$D$1*-1,Y177&gt;0,X177&lt;$D$2*-1,V177/U177&lt;3),"Very serious", AND(W177&gt;=$D$1,X177&lt;0,Y177&lt;$D$2,V177/U177&lt;3),"Serious",AND(W177&gt;=$D$1,X177&lt;0,Y177&gt;$D$2,V177/U177&lt;3),"Very serious", AND(W177&lt;=$D$1*-1,Y177&gt;0,X177&gt;$D$2*-1,V177/U177&gt;=3),"Very serious", AND(W177&lt;=$D$1*-1,Y177&gt;0,X177&lt;$D$2*-1,V177/U177&gt;=3),"Very serious", AND(W177&gt;=$D$1,X177&lt;0,Y177&lt;$D$2,V177/U177&gt;=3),"Very serious", AND(W177&gt;=$D$1,X177&lt;0,Y177&gt;$D$2,V177/U177&gt;=3),"Very serious", AND(W177&gt;$D$1*-1,W177&lt;$D$1,X177&gt;$D$1*-1,Y177&lt;$D$1,V177/U177&lt;3),"Not Serious", AND(W177&gt;$D$1*-1,W177&lt;$D$1,OR(X177&lt;=$D$1*-1,Y177&gt;=$D$1),X177&gt;$D$2*-1,Y177&lt;$D$2,V177/U177&lt;3),"Serious", AND(W177&gt;$D$1*-1,W177&lt;$D$1,OR(X177&lt;=$D$2*-1,Y177&gt;=$D$2),V177/U177&lt;3),"Very serious", AND(W177&gt;$D$1*-1,W177&lt;$D$1,X177&gt;$D$1*-1,Y177&lt;$D$1,V177/U177&gt;=3),"Very serious", AND(W177&gt;$D$1*-1,W177&lt;$D$1,OR(X177&lt;=$D$1*-1,Y177&gt;=$D$1),X177&gt;$D$2*-1,Y177&lt;$D$2,V177/U177&gt;=3),"Very serious", AND(W177&gt;$D$1*-1,W177&lt;$D$1,OR(X177&lt;=$D$2*-1,Y177&gt;=$D$2),V177/U177&gt;=3),"Very serious"),"")),"")</f>
        <v/>
      </c>
      <c r="AT177" s="109" t="str">
        <f t="shared" si="9"/>
        <v/>
      </c>
      <c r="AU177" s="64"/>
      <c r="AV177" s="83"/>
      <c r="AW177" s="83"/>
      <c r="AX177" s="83"/>
      <c r="AY177" s="83"/>
      <c r="AZ177" s="83"/>
      <c r="BA177" s="85"/>
      <c r="BB177" s="86" t="str">
        <f>IF(Preferences!B$9="Manual","",IFS(ISBLANK(B177),"",AND(ISNUMBER(E177)=TRUE,ISNUMBER(T177)=FALSE),"Direct", AND(ISNUMBER(E177)=FALSE,ISNUMBER(T177)=TRUE),"Indirect", CN177=4,"Direct",AND(CL177=FALSE, CM177=TRUE,CN177-CO177&gt;-1),"Direct", AND(CL177=FALSE,CM177=TRUE, CN177-CO177&lt;0),"Check algorithm in appendix 2", AND(CL177=TRUE, CM177=FALSE,CN177-CO177&gt;0),"Check algorithm in appendix 2", AND(CL177=TRUE, CM177=FALSE,CN177-CO177=0),"Indirect", AND(CL177=TRUE, CM177=FALSE,CN177-CO177&lt;0),"Indirect", AND(CL177=FALSE,CM177=FALSE,CN177-CO177&gt;-1),"Direct", AND(CL177=FALSE,CM177=FALSE,CN177-CO177&lt;0),"Check algorithm in appendix 2", AND(CL177=TRUE,CM177=TRUE,CN177-CO177&gt;-1),"Direct", AND(CL177=TRUE,CM177=TRUE,CN177-CO177&lt;0),"Check algorithm in appendix 2"))</f>
        <v/>
      </c>
      <c r="BC177" s="120" t="str">
        <f t="shared" si="10"/>
        <v/>
      </c>
      <c r="BD177" s="140"/>
      <c r="BE177" s="122" t="str">
        <f>IF(Preferences!B$3="Manual","", IFERROR(IFS(AND(Preferences!B$3="Automatic",AX177/AW177&gt;=30),"Extremely serious",AND(AY177&lt;=$D$1*-1,BA177&lt;0,AX177/AW177&lt;3),"Not Serious",AND(AY177&lt;=$D$1*-1,BA177&lt;0,AX177/AW177&gt;=3),"Very serious",AND(AY177&gt;=$D$1,AZ177&gt;0,AX177/AW177&lt;3),"Not Serious",AND(AY177&gt;=$D$1,AZ177&gt;0,AX177/AW177&gt;=3),"Very serious",AND(AY177&lt;=$D$1*-1,BA177&gt;0,AZ177&gt;$D$2*-1,AX177/AW177&lt;3),"Serious", AND(AY177&lt;=$D$1*-1,BA177&gt;0,AZ177&lt;$D$2*-1,AX177/AW177&lt;3),"Very serious", AND(AY177&gt;=$D$1,AZ177&lt;0,BA177&lt;$D$2,AX177/AW177&lt;3),"Serious",AND(AY177&gt;=$D$1,AZ177&lt;0,BA177&gt;$D$2,AX177/AW177&lt;3),"Very serious", AND(AY177&lt;=$D$1*-1,BA177&gt;0,AZ177&gt;$D$2*-1,AX177/AW177&gt;=3),"Very serious", AND(AY177&lt;=$D$1*-1,BA177&gt;0,AZ177&lt;$D$2*-1,AX177/AW177&gt;=3),"Very serious", AND(AY177&gt;=$D$1,AZ177&lt;0,BA177&lt;$D$2,AX177/AW177&gt;=3),"Very serious", AND(AY177&gt;=$D$1,AZ177&lt;0,BA177&gt;$D$2,AX177/AW177&gt;=3),"Very serious", AND(AY177&gt;$D$1*-1,AY177&lt;$D$1,AZ177&gt;$D$1*-1,BA177&lt;$D$1,AX177/AW177&lt;3),"Not Serious", AND(AY177&gt;$D$1*-1,AY177&lt;$D$1,OR(AZ177&lt;=$D$1*-1,BA177&gt;=$D$1),AZ177&gt;$D$2*-1,BA177&lt;$D$2,AX177/AW177&lt;3),"Serious", AND(AY177&gt;$D$1*-1,AY177&lt;$D$1,OR(AZ177&lt;=$D$2*-1,BA177&gt;=$D$2),AX177/AW177&lt;3),"Very serious", AND(AY177&gt;$D$1*-1,AY177&lt;$D$1,AZ177&gt;$D$1*-1,BA177&lt;$D$1,AX177/AW177&gt;=3),"Very serious", AND(AY177&gt;$D$1*-1,AY177&lt;$D$1,OR(AZ177&lt;=$D$1*-1,BA177&gt;=$D$1),AZ177&gt;$D$2*-1,BA177&lt;$D$2,AX177/AW177&gt;=3),"Very serious", AND(AY177&gt;$D$1*-1,AY177&lt;$D$1,OR(AZ177&lt;=$D$2*-1,BA177&gt;=$D$2),AX177/AW177&gt;=3),"Very serious"),""))</f>
        <v/>
      </c>
      <c r="BF177" s="107" t="str">
        <f t="shared" si="11"/>
        <v/>
      </c>
      <c r="BG177" s="94" t="str">
        <f t="shared" si="46"/>
        <v/>
      </c>
      <c r="BH177" s="64" t="str">
        <f t="shared" si="12"/>
        <v>#N/A</v>
      </c>
      <c r="BI177" s="64" t="str">
        <f t="shared" si="13"/>
        <v/>
      </c>
      <c r="BJ177" s="123" t="str">
        <f t="shared" si="14"/>
        <v>#N/A</v>
      </c>
      <c r="BK177" s="64" t="str">
        <f t="shared" si="50"/>
        <v>YES</v>
      </c>
      <c r="BL177" s="64" t="str">
        <f t="shared" si="16"/>
        <v>YES</v>
      </c>
      <c r="BM177" s="64" t="str">
        <f t="shared" si="17"/>
        <v>YES</v>
      </c>
      <c r="BN177" s="124" t="str">
        <f t="shared" si="18"/>
        <v/>
      </c>
      <c r="BO177" s="91" t="str">
        <f t="shared" si="19"/>
        <v/>
      </c>
      <c r="BP177" s="91" t="str">
        <f t="shared" si="20"/>
        <v>#N/A</v>
      </c>
      <c r="BQ177" s="91" t="str">
        <f t="shared" si="21"/>
        <v/>
      </c>
      <c r="BR177" s="93" t="str">
        <f t="shared" si="22"/>
        <v/>
      </c>
      <c r="BS177" s="90" t="str">
        <f t="shared" si="23"/>
        <v/>
      </c>
      <c r="BT177" s="93" t="str">
        <f t="shared" si="24"/>
        <v>NA</v>
      </c>
      <c r="BU177" s="125" t="str">
        <f t="shared" si="25"/>
        <v>#N/A</v>
      </c>
      <c r="BV177" s="93" t="str">
        <f t="shared" si="26"/>
        <v/>
      </c>
      <c r="BW177" s="93" t="str">
        <f t="shared" si="27"/>
        <v/>
      </c>
      <c r="BX177" s="93" t="str">
        <f t="shared" si="28"/>
        <v>NA</v>
      </c>
      <c r="BY177" s="95" t="str">
        <f t="shared" si="29"/>
        <v>#N/A</v>
      </c>
      <c r="BZ177" s="93" t="str">
        <f t="shared" si="30"/>
        <v/>
      </c>
      <c r="CA177" s="93" t="str">
        <f t="shared" si="31"/>
        <v/>
      </c>
      <c r="CB177" s="93" t="str">
        <f t="shared" si="32"/>
        <v>NA</v>
      </c>
      <c r="CC177" s="96" t="str">
        <f t="shared" si="33"/>
        <v>#N/A</v>
      </c>
      <c r="CD177" s="93" t="str">
        <f t="shared" si="34"/>
        <v/>
      </c>
      <c r="CE177" s="93" t="str">
        <f t="shared" si="35"/>
        <v/>
      </c>
      <c r="CF177" s="93" t="str">
        <f t="shared" si="36"/>
        <v>NA</v>
      </c>
      <c r="CG177" s="97" t="str">
        <f t="shared" si="37"/>
        <v>#N/A</v>
      </c>
      <c r="CH177" s="98" t="str">
        <f t="shared" si="38"/>
        <v>#N/A</v>
      </c>
      <c r="CI177" s="99" t="str">
        <f t="shared" si="39"/>
        <v>#N/A</v>
      </c>
      <c r="CJ177" s="126" t="str">
        <f t="shared" si="40"/>
        <v>ERROR: check cell</v>
      </c>
      <c r="CK177" s="126"/>
      <c r="CL177" s="127" t="str">
        <f t="shared" si="41"/>
        <v>#DIV/0!</v>
      </c>
      <c r="CM177" s="128" t="str">
        <f t="shared" si="42"/>
        <v>#DIV/0!</v>
      </c>
      <c r="CN177" s="128">
        <f t="shared" si="43"/>
        <v>4</v>
      </c>
      <c r="CO177" s="129">
        <f t="shared" si="44"/>
        <v>4</v>
      </c>
      <c r="CP177" s="129" t="str">
        <f>IFS(C177=Preferences!B$13,B177,B177=Preferences!B$13,C177)</f>
        <v>#N/A</v>
      </c>
    </row>
    <row r="178" ht="13.5" customHeight="1">
      <c r="A178" s="63" t="str">
        <f t="shared" si="45"/>
        <v/>
      </c>
      <c r="B178" s="64"/>
      <c r="C178" s="64"/>
      <c r="D178" s="64"/>
      <c r="E178" s="65"/>
      <c r="F178" s="65"/>
      <c r="G178" s="65"/>
      <c r="H178" s="66"/>
      <c r="I178" s="66"/>
      <c r="J178" s="67"/>
      <c r="K178" s="68"/>
      <c r="L178" s="104"/>
      <c r="M178" s="104"/>
      <c r="N178" s="104"/>
      <c r="O178" s="104"/>
      <c r="P178" s="107" t="str">
        <f t="shared" si="1"/>
        <v/>
      </c>
      <c r="Q178" s="108" t="str">
        <f>IFERROR(IF(AND(Preferences!B$3="Manual",OR(AX178/AW178&gt;G178/F178,BD178="Serious",BD178="Very serious")),"Assess imprecision",IFS(ISBLANK(E178),"",AND(Preferences!B$3="Automatic", G178/F178&gt;=30),"Extremely serious",AND(H178&lt;=$D$1*-1,J178&lt;0,G178/F178&lt;3),"Not serious",AND(H178&lt;=$D$1*-1,J178&lt;0,G178/F178&gt;=3),"Very serious",AND(H178&gt;=$D$1,I178&gt;0,G178/F178&lt;3),"Not serious",AND(H178&gt;=$D$1,I178&gt;0,G178/F178&gt;=3),"Very serious",AND(H178&lt;=$D$1*-1,J178&gt;0,I178&gt;$D$2*-1,G178/F178&lt;3),"Serious", AND(H178&lt;=$D$1*-1,J178&gt;0,I178&lt;$D$2*-1,G178/F178&lt;3),"Very serious", AND(H178&gt;=$D$1,I178&lt;0,J178&lt;$D$2,G178/F178&lt;3),"Serious",AND(H178&gt;=$D$1,I178&lt;0,J178&gt;$D$2,G178/F178&lt;3),"Very serious", AND(H178&lt;=$D$1*-1,J178&gt;0,I178&gt;$D$2*-1,G178/F178&gt;=3),"Very serious", AND(H178&lt;=$D$1*-1,J178&gt;0,I178&lt;$D$2*-1,G178/F178&gt;=3),"Very serious", AND(H178&gt;=$D$1,I178&lt;0,J178&lt;$D$2,G178/F178&gt;=3),"Very serious", AND(H178&gt;=$D$1,I178&lt;0,J178&gt;$D$2,G178/F178&gt;=3),"Very serious", AND(H178&gt;$D$1*-1,H178&lt;$D$1,I178&gt;$D$1*-1,J178&lt;$D$1,G178/F178&lt;3),"Not serious", AND(H178&gt;$D$1*-1,H178&lt;$D$1,OR(I178&lt;=$D$1*-1,J178&gt;=$D$1),I178&gt;$D$2*-1,J178&lt;$D$2,G178/F178&lt;3),"Serious", AND(H178&gt;$D$1*-1,H178&lt;$D$1,OR(I178&lt;=$D$2*-1,J178&gt;=$D$2),G178/F178&lt;3),"Very serious", AND(H178&gt;$D$1*-1,H178&lt;$D$1,I178&gt;$D$1*-1,J178&lt;$D$1,G178/F178&gt;=3),"Very serious", AND(H178&gt;$D$1*-1,H178&lt;$D$1,OR(I178&lt;=$D$1*-1,J178&gt;=$D$1),I178&gt;$D$2*-1,J178&lt;$D$2,G178/F178&gt;=3),"Very serious", AND(H178&gt;$D$1*-1,H178&lt;$D$1,OR(I178&lt;=$D$2*-1,J178&gt;=$D$2),G178/F178&gt;=3),"Very serious")),"")</f>
        <v/>
      </c>
      <c r="R178" s="109" t="str">
        <f t="shared" si="47"/>
        <v/>
      </c>
      <c r="S178" s="64"/>
      <c r="T178" s="72"/>
      <c r="U178" s="72"/>
      <c r="V178" s="72"/>
      <c r="W178" s="73"/>
      <c r="X178" s="73"/>
      <c r="Y178" s="74"/>
      <c r="Z178" s="113" t="str">
        <f t="array" ref="Z178">INDEX($A$1:$C$500, MATCH(1,($B:$B=$B178)*($C:$C=$AB178),0),1)</f>
        <v/>
      </c>
      <c r="AA178" s="113" t="str">
        <f t="array" ref="AA178">INDEX($A$1:$C$500, MATCH(1,($B:$B=$AB178)*($C:$C=$B178),0),1)</f>
        <v/>
      </c>
      <c r="AB178" s="111"/>
      <c r="AC178" s="114" t="str">
        <f t="shared" si="2"/>
        <v/>
      </c>
      <c r="AD178" s="115" t="str">
        <f t="shared" si="3"/>
        <v/>
      </c>
      <c r="AE178" s="116" t="str">
        <f t="array" ref="AE178">INDEX($A$1:$C$500, MATCH(1,($B:$B=$AB178)*($C:$C=$AG178),0),1)</f>
        <v/>
      </c>
      <c r="AF178" s="116" t="str">
        <f t="array" ref="AF178">INDEX($A$1:$C$500, MATCH(1,($B:$B=$AG178)*($C:$C=$AB178),0),1)</f>
        <v/>
      </c>
      <c r="AG178" s="72"/>
      <c r="AH178" s="114" t="str">
        <f t="shared" si="4"/>
        <v/>
      </c>
      <c r="AI178" s="115" t="str">
        <f t="shared" si="5"/>
        <v/>
      </c>
      <c r="AJ178" s="116" t="str">
        <f t="array" ref="AJ178">INDEX($A$1:$C$500, MATCH(1,($B:$B=$C178)*($C:$C=$AG178),0),1)</f>
        <v/>
      </c>
      <c r="AK178" s="116" t="str">
        <f t="array" ref="AK178">INDEX($A$1:$C$500, MATCH(1,($B:$B=$AG178)*($C:$C=$C178),0),1)</f>
        <v/>
      </c>
      <c r="AL178" s="116" t="str">
        <f t="array" ref="AL178">INDEX($A$1:$C$500, MATCH(1,($B:$B=$C178)*($C:$C=$AB178),0),1)</f>
        <v/>
      </c>
      <c r="AM178" s="116" t="str">
        <f t="array" ref="AM178">INDEX($A$1:$C$500, MATCH(1,($B:$B=$AB178)*($C:$C=$C178),0),1)</f>
        <v/>
      </c>
      <c r="AN178" s="114" t="str">
        <f t="array" ref="AN178">IFS(ISNUMBER(AJ178),AJ178,ISNUMBER(AK178),AK178,ISNUMBER(AL178),AL178,ISNUMBER(AM178),AM178)</f>
        <v>#N/A</v>
      </c>
      <c r="AO178" s="115" t="str">
        <f t="shared" si="6"/>
        <v/>
      </c>
      <c r="AP178" s="115" t="str">
        <f t="shared" si="7"/>
        <v/>
      </c>
      <c r="AQ178" s="111"/>
      <c r="AR178" s="109" t="str">
        <f t="shared" si="8"/>
        <v/>
      </c>
      <c r="AS178" s="72" t="str">
        <f>IFERROR(IF(AND(Preferences!B$3="Manual",OR(AX178/AW178&gt;V178/U178,BD178="Serious",BD178="Very serious")),"Assess imprecision",IFERROR(IFS(AND(Preferences!B$3="Automatic",V178/U178&gt;=30),"Extremely serious",AND(W178&lt;=$D$1*-1,Y178&lt;0,V178/U178&lt;3),"Not Serious",AND(W178&lt;=$D$1*-1,Y178&lt;0,V178/U178&gt;=3),"Very serious",AND(W178&gt;=$D$1,X178&gt;0,V178/U178&lt;3),"Not Serious",AND(W178&gt;=$D$1,X178&gt;0,V178/U178&gt;=3),"Very serious",AND(W178&lt;=$D$1*-1,Y178&gt;0,X178&gt;$D$2*-1,V178/U178&lt;3),"Serious", AND(W178&lt;=$D$1*-1,Y178&gt;0,X178&lt;$D$2*-1,V178/U178&lt;3),"Very serious", AND(W178&gt;=$D$1,X178&lt;0,Y178&lt;$D$2,V178/U178&lt;3),"Serious",AND(W178&gt;=$D$1,X178&lt;0,Y178&gt;$D$2,V178/U178&lt;3),"Very serious", AND(W178&lt;=$D$1*-1,Y178&gt;0,X178&gt;$D$2*-1,V178/U178&gt;=3),"Very serious", AND(W178&lt;=$D$1*-1,Y178&gt;0,X178&lt;$D$2*-1,V178/U178&gt;=3),"Very serious", AND(W178&gt;=$D$1,X178&lt;0,Y178&lt;$D$2,V178/U178&gt;=3),"Very serious", AND(W178&gt;=$D$1,X178&lt;0,Y178&gt;$D$2,V178/U178&gt;=3),"Very serious", AND(W178&gt;$D$1*-1,W178&lt;$D$1,X178&gt;$D$1*-1,Y178&lt;$D$1,V178/U178&lt;3),"Not Serious", AND(W178&gt;$D$1*-1,W178&lt;$D$1,OR(X178&lt;=$D$1*-1,Y178&gt;=$D$1),X178&gt;$D$2*-1,Y178&lt;$D$2,V178/U178&lt;3),"Serious", AND(W178&gt;$D$1*-1,W178&lt;$D$1,OR(X178&lt;=$D$2*-1,Y178&gt;=$D$2),V178/U178&lt;3),"Very serious", AND(W178&gt;$D$1*-1,W178&lt;$D$1,X178&gt;$D$1*-1,Y178&lt;$D$1,V178/U178&gt;=3),"Very serious", AND(W178&gt;$D$1*-1,W178&lt;$D$1,OR(X178&lt;=$D$1*-1,Y178&gt;=$D$1),X178&gt;$D$2*-1,Y178&lt;$D$2,V178/U178&gt;=3),"Very serious", AND(W178&gt;$D$1*-1,W178&lt;$D$1,OR(X178&lt;=$D$2*-1,Y178&gt;=$D$2),V178/U178&gt;=3),"Very serious"),"")),"")</f>
        <v/>
      </c>
      <c r="AT178" s="109" t="str">
        <f t="shared" si="9"/>
        <v/>
      </c>
      <c r="AU178" s="64"/>
      <c r="AV178" s="83"/>
      <c r="AW178" s="83"/>
      <c r="AX178" s="83"/>
      <c r="AY178" s="83"/>
      <c r="AZ178" s="83"/>
      <c r="BA178" s="85"/>
      <c r="BB178" s="86" t="str">
        <f>IF(Preferences!B$9="Manual","",IFS(ISBLANK(B178),"",AND(ISNUMBER(E178)=TRUE,ISNUMBER(T178)=FALSE),"Direct", AND(ISNUMBER(E178)=FALSE,ISNUMBER(T178)=TRUE),"Indirect", CN178=4,"Direct",AND(CL178=FALSE, CM178=TRUE,CN178-CO178&gt;-1),"Direct", AND(CL178=FALSE,CM178=TRUE, CN178-CO178&lt;0),"Check algorithm in appendix 2", AND(CL178=TRUE, CM178=FALSE,CN178-CO178&gt;0),"Check algorithm in appendix 2", AND(CL178=TRUE, CM178=FALSE,CN178-CO178=0),"Indirect", AND(CL178=TRUE, CM178=FALSE,CN178-CO178&lt;0),"Indirect", AND(CL178=FALSE,CM178=FALSE,CN178-CO178&gt;-1),"Direct", AND(CL178=FALSE,CM178=FALSE,CN178-CO178&lt;0),"Check algorithm in appendix 2", AND(CL178=TRUE,CM178=TRUE,CN178-CO178&gt;-1),"Direct", AND(CL178=TRUE,CM178=TRUE,CN178-CO178&lt;0),"Check algorithm in appendix 2"))</f>
        <v/>
      </c>
      <c r="BC178" s="120" t="str">
        <f t="shared" si="10"/>
        <v/>
      </c>
      <c r="BD178" s="140"/>
      <c r="BE178" s="122" t="str">
        <f>IF(Preferences!B$3="Manual","", IFERROR(IFS(AND(Preferences!B$3="Automatic",AX178/AW178&gt;=30),"Extremely serious",AND(AY178&lt;=$D$1*-1,BA178&lt;0,AX178/AW178&lt;3),"Not Serious",AND(AY178&lt;=$D$1*-1,BA178&lt;0,AX178/AW178&gt;=3),"Very serious",AND(AY178&gt;=$D$1,AZ178&gt;0,AX178/AW178&lt;3),"Not Serious",AND(AY178&gt;=$D$1,AZ178&gt;0,AX178/AW178&gt;=3),"Very serious",AND(AY178&lt;=$D$1*-1,BA178&gt;0,AZ178&gt;$D$2*-1,AX178/AW178&lt;3),"Serious", AND(AY178&lt;=$D$1*-1,BA178&gt;0,AZ178&lt;$D$2*-1,AX178/AW178&lt;3),"Very serious", AND(AY178&gt;=$D$1,AZ178&lt;0,BA178&lt;$D$2,AX178/AW178&lt;3),"Serious",AND(AY178&gt;=$D$1,AZ178&lt;0,BA178&gt;$D$2,AX178/AW178&lt;3),"Very serious", AND(AY178&lt;=$D$1*-1,BA178&gt;0,AZ178&gt;$D$2*-1,AX178/AW178&gt;=3),"Very serious", AND(AY178&lt;=$D$1*-1,BA178&gt;0,AZ178&lt;$D$2*-1,AX178/AW178&gt;=3),"Very serious", AND(AY178&gt;=$D$1,AZ178&lt;0,BA178&lt;$D$2,AX178/AW178&gt;=3),"Very serious", AND(AY178&gt;=$D$1,AZ178&lt;0,BA178&gt;$D$2,AX178/AW178&gt;=3),"Very serious", AND(AY178&gt;$D$1*-1,AY178&lt;$D$1,AZ178&gt;$D$1*-1,BA178&lt;$D$1,AX178/AW178&lt;3),"Not Serious", AND(AY178&gt;$D$1*-1,AY178&lt;$D$1,OR(AZ178&lt;=$D$1*-1,BA178&gt;=$D$1),AZ178&gt;$D$2*-1,BA178&lt;$D$2,AX178/AW178&lt;3),"Serious", AND(AY178&gt;$D$1*-1,AY178&lt;$D$1,OR(AZ178&lt;=$D$2*-1,BA178&gt;=$D$2),AX178/AW178&lt;3),"Very serious", AND(AY178&gt;$D$1*-1,AY178&lt;$D$1,AZ178&gt;$D$1*-1,BA178&lt;$D$1,AX178/AW178&gt;=3),"Very serious", AND(AY178&gt;$D$1*-1,AY178&lt;$D$1,OR(AZ178&lt;=$D$1*-1,BA178&gt;=$D$1),AZ178&gt;$D$2*-1,BA178&lt;$D$2,AX178/AW178&gt;=3),"Very serious", AND(AY178&gt;$D$1*-1,AY178&lt;$D$1,OR(AZ178&lt;=$D$2*-1,BA178&gt;=$D$2),AX178/AW178&gt;=3),"Very serious"),""))</f>
        <v/>
      </c>
      <c r="BF178" s="107" t="str">
        <f t="shared" si="11"/>
        <v/>
      </c>
      <c r="BG178" s="94" t="str">
        <f t="shared" si="46"/>
        <v/>
      </c>
      <c r="BH178" s="64" t="str">
        <f t="shared" si="12"/>
        <v>#N/A</v>
      </c>
      <c r="BI178" s="64" t="str">
        <f t="shared" si="13"/>
        <v/>
      </c>
      <c r="BJ178" s="123" t="str">
        <f t="shared" si="14"/>
        <v>#N/A</v>
      </c>
      <c r="BK178" s="64" t="str">
        <f t="shared" si="50"/>
        <v>YES</v>
      </c>
      <c r="BL178" s="64" t="str">
        <f t="shared" si="16"/>
        <v>YES</v>
      </c>
      <c r="BM178" s="64" t="str">
        <f t="shared" si="17"/>
        <v>YES</v>
      </c>
      <c r="BN178" s="124" t="str">
        <f t="shared" si="18"/>
        <v/>
      </c>
      <c r="BO178" s="91" t="str">
        <f t="shared" si="19"/>
        <v/>
      </c>
      <c r="BP178" s="91" t="str">
        <f t="shared" si="20"/>
        <v>#N/A</v>
      </c>
      <c r="BQ178" s="91" t="str">
        <f t="shared" si="21"/>
        <v/>
      </c>
      <c r="BR178" s="93" t="str">
        <f t="shared" si="22"/>
        <v/>
      </c>
      <c r="BS178" s="90" t="str">
        <f t="shared" si="23"/>
        <v/>
      </c>
      <c r="BT178" s="93" t="str">
        <f t="shared" si="24"/>
        <v>NA</v>
      </c>
      <c r="BU178" s="125" t="str">
        <f t="shared" si="25"/>
        <v>#N/A</v>
      </c>
      <c r="BV178" s="93" t="str">
        <f t="shared" si="26"/>
        <v/>
      </c>
      <c r="BW178" s="93" t="str">
        <f t="shared" si="27"/>
        <v/>
      </c>
      <c r="BX178" s="93" t="str">
        <f t="shared" si="28"/>
        <v>NA</v>
      </c>
      <c r="BY178" s="95" t="str">
        <f t="shared" si="29"/>
        <v>#N/A</v>
      </c>
      <c r="BZ178" s="93" t="str">
        <f t="shared" si="30"/>
        <v/>
      </c>
      <c r="CA178" s="93" t="str">
        <f t="shared" si="31"/>
        <v/>
      </c>
      <c r="CB178" s="93" t="str">
        <f t="shared" si="32"/>
        <v>NA</v>
      </c>
      <c r="CC178" s="96" t="str">
        <f t="shared" si="33"/>
        <v>#N/A</v>
      </c>
      <c r="CD178" s="93" t="str">
        <f t="shared" si="34"/>
        <v/>
      </c>
      <c r="CE178" s="93" t="str">
        <f t="shared" si="35"/>
        <v/>
      </c>
      <c r="CF178" s="93" t="str">
        <f t="shared" si="36"/>
        <v>NA</v>
      </c>
      <c r="CG178" s="97" t="str">
        <f t="shared" si="37"/>
        <v>#N/A</v>
      </c>
      <c r="CH178" s="98" t="str">
        <f t="shared" si="38"/>
        <v>#N/A</v>
      </c>
      <c r="CI178" s="99" t="str">
        <f t="shared" si="39"/>
        <v>#N/A</v>
      </c>
      <c r="CJ178" s="126" t="str">
        <f t="shared" si="40"/>
        <v>ERROR: check cell</v>
      </c>
      <c r="CK178" s="126"/>
      <c r="CL178" s="127" t="str">
        <f t="shared" si="41"/>
        <v>#DIV/0!</v>
      </c>
      <c r="CM178" s="128" t="str">
        <f t="shared" si="42"/>
        <v>#DIV/0!</v>
      </c>
      <c r="CN178" s="128">
        <f t="shared" si="43"/>
        <v>4</v>
      </c>
      <c r="CO178" s="129">
        <f t="shared" si="44"/>
        <v>4</v>
      </c>
      <c r="CP178" s="129" t="str">
        <f>IFS(C178=Preferences!B$13,B178,B178=Preferences!B$13,C178)</f>
        <v>#N/A</v>
      </c>
    </row>
    <row r="179" ht="13.5" customHeight="1">
      <c r="A179" s="63" t="str">
        <f t="shared" si="45"/>
        <v/>
      </c>
      <c r="B179" s="64"/>
      <c r="C179" s="64"/>
      <c r="D179" s="64"/>
      <c r="E179" s="65"/>
      <c r="F179" s="65"/>
      <c r="G179" s="65"/>
      <c r="H179" s="66"/>
      <c r="I179" s="66"/>
      <c r="J179" s="67"/>
      <c r="K179" s="68"/>
      <c r="L179" s="104"/>
      <c r="M179" s="104"/>
      <c r="N179" s="104"/>
      <c r="O179" s="104"/>
      <c r="P179" s="107" t="str">
        <f t="shared" si="1"/>
        <v/>
      </c>
      <c r="Q179" s="108" t="str">
        <f>IFERROR(IF(AND(Preferences!B$3="Manual",OR(AX179/AW179&gt;G179/F179,BD179="Serious",BD179="Very serious")),"Assess imprecision",IFS(ISBLANK(E179),"",AND(Preferences!B$3="Automatic", G179/F179&gt;=30),"Extremely serious",AND(H179&lt;=$D$1*-1,J179&lt;0,G179/F179&lt;3),"Not serious",AND(H179&lt;=$D$1*-1,J179&lt;0,G179/F179&gt;=3),"Very serious",AND(H179&gt;=$D$1,I179&gt;0,G179/F179&lt;3),"Not serious",AND(H179&gt;=$D$1,I179&gt;0,G179/F179&gt;=3),"Very serious",AND(H179&lt;=$D$1*-1,J179&gt;0,I179&gt;$D$2*-1,G179/F179&lt;3),"Serious", AND(H179&lt;=$D$1*-1,J179&gt;0,I179&lt;$D$2*-1,G179/F179&lt;3),"Very serious", AND(H179&gt;=$D$1,I179&lt;0,J179&lt;$D$2,G179/F179&lt;3),"Serious",AND(H179&gt;=$D$1,I179&lt;0,J179&gt;$D$2,G179/F179&lt;3),"Very serious", AND(H179&lt;=$D$1*-1,J179&gt;0,I179&gt;$D$2*-1,G179/F179&gt;=3),"Very serious", AND(H179&lt;=$D$1*-1,J179&gt;0,I179&lt;$D$2*-1,G179/F179&gt;=3),"Very serious", AND(H179&gt;=$D$1,I179&lt;0,J179&lt;$D$2,G179/F179&gt;=3),"Very serious", AND(H179&gt;=$D$1,I179&lt;0,J179&gt;$D$2,G179/F179&gt;=3),"Very serious", AND(H179&gt;$D$1*-1,H179&lt;$D$1,I179&gt;$D$1*-1,J179&lt;$D$1,G179/F179&lt;3),"Not serious", AND(H179&gt;$D$1*-1,H179&lt;$D$1,OR(I179&lt;=$D$1*-1,J179&gt;=$D$1),I179&gt;$D$2*-1,J179&lt;$D$2,G179/F179&lt;3),"Serious", AND(H179&gt;$D$1*-1,H179&lt;$D$1,OR(I179&lt;=$D$2*-1,J179&gt;=$D$2),G179/F179&lt;3),"Very serious", AND(H179&gt;$D$1*-1,H179&lt;$D$1,I179&gt;$D$1*-1,J179&lt;$D$1,G179/F179&gt;=3),"Very serious", AND(H179&gt;$D$1*-1,H179&lt;$D$1,OR(I179&lt;=$D$1*-1,J179&gt;=$D$1),I179&gt;$D$2*-1,J179&lt;$D$2,G179/F179&gt;=3),"Very serious", AND(H179&gt;$D$1*-1,H179&lt;$D$1,OR(I179&lt;=$D$2*-1,J179&gt;=$D$2),G179/F179&gt;=3),"Very serious")),"")</f>
        <v/>
      </c>
      <c r="R179" s="109" t="str">
        <f t="shared" si="47"/>
        <v/>
      </c>
      <c r="S179" s="64"/>
      <c r="T179" s="72"/>
      <c r="U179" s="72"/>
      <c r="V179" s="72"/>
      <c r="W179" s="73"/>
      <c r="X179" s="73"/>
      <c r="Y179" s="74"/>
      <c r="Z179" s="113" t="str">
        <f t="array" ref="Z179">INDEX($A$1:$C$500, MATCH(1,($B:$B=$B179)*($C:$C=$AB179),0),1)</f>
        <v/>
      </c>
      <c r="AA179" s="113" t="str">
        <f t="array" ref="AA179">INDEX($A$1:$C$500, MATCH(1,($B:$B=$AB179)*($C:$C=$B179),0),1)</f>
        <v/>
      </c>
      <c r="AB179" s="111"/>
      <c r="AC179" s="114" t="str">
        <f t="shared" si="2"/>
        <v/>
      </c>
      <c r="AD179" s="115" t="str">
        <f t="shared" si="3"/>
        <v/>
      </c>
      <c r="AE179" s="116" t="str">
        <f t="array" ref="AE179">INDEX($A$1:$C$500, MATCH(1,($B:$B=$AB179)*($C:$C=$AG179),0),1)</f>
        <v/>
      </c>
      <c r="AF179" s="116" t="str">
        <f t="array" ref="AF179">INDEX($A$1:$C$500, MATCH(1,($B:$B=$AG179)*($C:$C=$AB179),0),1)</f>
        <v/>
      </c>
      <c r="AG179" s="72"/>
      <c r="AH179" s="114" t="str">
        <f t="shared" si="4"/>
        <v/>
      </c>
      <c r="AI179" s="115" t="str">
        <f t="shared" si="5"/>
        <v/>
      </c>
      <c r="AJ179" s="116" t="str">
        <f t="array" ref="AJ179">INDEX($A$1:$C$500, MATCH(1,($B:$B=$C179)*($C:$C=$AG179),0),1)</f>
        <v/>
      </c>
      <c r="AK179" s="116" t="str">
        <f t="array" ref="AK179">INDEX($A$1:$C$500, MATCH(1,($B:$B=$AG179)*($C:$C=$C179),0),1)</f>
        <v/>
      </c>
      <c r="AL179" s="116" t="str">
        <f t="array" ref="AL179">INDEX($A$1:$C$500, MATCH(1,($B:$B=$C179)*($C:$C=$AB179),0),1)</f>
        <v/>
      </c>
      <c r="AM179" s="116" t="str">
        <f t="array" ref="AM179">INDEX($A$1:$C$500, MATCH(1,($B:$B=$AB179)*($C:$C=$C179),0),1)</f>
        <v/>
      </c>
      <c r="AN179" s="114" t="str">
        <f t="array" ref="AN179">IFS(ISNUMBER(AJ179),AJ179,ISNUMBER(AK179),AK179,ISNUMBER(AL179),AL179,ISNUMBER(AM179),AM179)</f>
        <v>#N/A</v>
      </c>
      <c r="AO179" s="115" t="str">
        <f t="shared" si="6"/>
        <v/>
      </c>
      <c r="AP179" s="115" t="str">
        <f t="shared" si="7"/>
        <v/>
      </c>
      <c r="AQ179" s="111"/>
      <c r="AR179" s="109" t="str">
        <f t="shared" si="8"/>
        <v/>
      </c>
      <c r="AS179" s="72" t="str">
        <f>IFERROR(IF(AND(Preferences!B$3="Manual",OR(AX179/AW179&gt;V179/U179,BD179="Serious",BD179="Very serious")),"Assess imprecision",IFERROR(IFS(AND(Preferences!B$3="Automatic",V179/U179&gt;=30),"Extremely serious",AND(W179&lt;=$D$1*-1,Y179&lt;0,V179/U179&lt;3),"Not Serious",AND(W179&lt;=$D$1*-1,Y179&lt;0,V179/U179&gt;=3),"Very serious",AND(W179&gt;=$D$1,X179&gt;0,V179/U179&lt;3),"Not Serious",AND(W179&gt;=$D$1,X179&gt;0,V179/U179&gt;=3),"Very serious",AND(W179&lt;=$D$1*-1,Y179&gt;0,X179&gt;$D$2*-1,V179/U179&lt;3),"Serious", AND(W179&lt;=$D$1*-1,Y179&gt;0,X179&lt;$D$2*-1,V179/U179&lt;3),"Very serious", AND(W179&gt;=$D$1,X179&lt;0,Y179&lt;$D$2,V179/U179&lt;3),"Serious",AND(W179&gt;=$D$1,X179&lt;0,Y179&gt;$D$2,V179/U179&lt;3),"Very serious", AND(W179&lt;=$D$1*-1,Y179&gt;0,X179&gt;$D$2*-1,V179/U179&gt;=3),"Very serious", AND(W179&lt;=$D$1*-1,Y179&gt;0,X179&lt;$D$2*-1,V179/U179&gt;=3),"Very serious", AND(W179&gt;=$D$1,X179&lt;0,Y179&lt;$D$2,V179/U179&gt;=3),"Very serious", AND(W179&gt;=$D$1,X179&lt;0,Y179&gt;$D$2,V179/U179&gt;=3),"Very serious", AND(W179&gt;$D$1*-1,W179&lt;$D$1,X179&gt;$D$1*-1,Y179&lt;$D$1,V179/U179&lt;3),"Not Serious", AND(W179&gt;$D$1*-1,W179&lt;$D$1,OR(X179&lt;=$D$1*-1,Y179&gt;=$D$1),X179&gt;$D$2*-1,Y179&lt;$D$2,V179/U179&lt;3),"Serious", AND(W179&gt;$D$1*-1,W179&lt;$D$1,OR(X179&lt;=$D$2*-1,Y179&gt;=$D$2),V179/U179&lt;3),"Very serious", AND(W179&gt;$D$1*-1,W179&lt;$D$1,X179&gt;$D$1*-1,Y179&lt;$D$1,V179/U179&gt;=3),"Very serious", AND(W179&gt;$D$1*-1,W179&lt;$D$1,OR(X179&lt;=$D$1*-1,Y179&gt;=$D$1),X179&gt;$D$2*-1,Y179&lt;$D$2,V179/U179&gt;=3),"Very serious", AND(W179&gt;$D$1*-1,W179&lt;$D$1,OR(X179&lt;=$D$2*-1,Y179&gt;=$D$2),V179/U179&gt;=3),"Very serious"),"")),"")</f>
        <v/>
      </c>
      <c r="AT179" s="109" t="str">
        <f t="shared" si="9"/>
        <v/>
      </c>
      <c r="AU179" s="64"/>
      <c r="AV179" s="83"/>
      <c r="AW179" s="83"/>
      <c r="AX179" s="83"/>
      <c r="AY179" s="83"/>
      <c r="AZ179" s="83"/>
      <c r="BA179" s="85"/>
      <c r="BB179" s="86" t="str">
        <f>IF(Preferences!B$9="Manual","",IFS(ISBLANK(B179),"",AND(ISNUMBER(E179)=TRUE,ISNUMBER(T179)=FALSE),"Direct", AND(ISNUMBER(E179)=FALSE,ISNUMBER(T179)=TRUE),"Indirect", CN179=4,"Direct",AND(CL179=FALSE, CM179=TRUE,CN179-CO179&gt;-1),"Direct", AND(CL179=FALSE,CM179=TRUE, CN179-CO179&lt;0),"Check algorithm in appendix 2", AND(CL179=TRUE, CM179=FALSE,CN179-CO179&gt;0),"Check algorithm in appendix 2", AND(CL179=TRUE, CM179=FALSE,CN179-CO179=0),"Indirect", AND(CL179=TRUE, CM179=FALSE,CN179-CO179&lt;0),"Indirect", AND(CL179=FALSE,CM179=FALSE,CN179-CO179&gt;-1),"Direct", AND(CL179=FALSE,CM179=FALSE,CN179-CO179&lt;0),"Check algorithm in appendix 2", AND(CL179=TRUE,CM179=TRUE,CN179-CO179&gt;-1),"Direct", AND(CL179=TRUE,CM179=TRUE,CN179-CO179&lt;0),"Check algorithm in appendix 2"))</f>
        <v/>
      </c>
      <c r="BC179" s="120" t="str">
        <f t="shared" si="10"/>
        <v/>
      </c>
      <c r="BD179" s="140"/>
      <c r="BE179" s="122" t="str">
        <f>IF(Preferences!B$3="Manual","", IFERROR(IFS(AND(Preferences!B$3="Automatic",AX179/AW179&gt;=30),"Extremely serious",AND(AY179&lt;=$D$1*-1,BA179&lt;0,AX179/AW179&lt;3),"Not Serious",AND(AY179&lt;=$D$1*-1,BA179&lt;0,AX179/AW179&gt;=3),"Very serious",AND(AY179&gt;=$D$1,AZ179&gt;0,AX179/AW179&lt;3),"Not Serious",AND(AY179&gt;=$D$1,AZ179&gt;0,AX179/AW179&gt;=3),"Very serious",AND(AY179&lt;=$D$1*-1,BA179&gt;0,AZ179&gt;$D$2*-1,AX179/AW179&lt;3),"Serious", AND(AY179&lt;=$D$1*-1,BA179&gt;0,AZ179&lt;$D$2*-1,AX179/AW179&lt;3),"Very serious", AND(AY179&gt;=$D$1,AZ179&lt;0,BA179&lt;$D$2,AX179/AW179&lt;3),"Serious",AND(AY179&gt;=$D$1,AZ179&lt;0,BA179&gt;$D$2,AX179/AW179&lt;3),"Very serious", AND(AY179&lt;=$D$1*-1,BA179&gt;0,AZ179&gt;$D$2*-1,AX179/AW179&gt;=3),"Very serious", AND(AY179&lt;=$D$1*-1,BA179&gt;0,AZ179&lt;$D$2*-1,AX179/AW179&gt;=3),"Very serious", AND(AY179&gt;=$D$1,AZ179&lt;0,BA179&lt;$D$2,AX179/AW179&gt;=3),"Very serious", AND(AY179&gt;=$D$1,AZ179&lt;0,BA179&gt;$D$2,AX179/AW179&gt;=3),"Very serious", AND(AY179&gt;$D$1*-1,AY179&lt;$D$1,AZ179&gt;$D$1*-1,BA179&lt;$D$1,AX179/AW179&lt;3),"Not Serious", AND(AY179&gt;$D$1*-1,AY179&lt;$D$1,OR(AZ179&lt;=$D$1*-1,BA179&gt;=$D$1),AZ179&gt;$D$2*-1,BA179&lt;$D$2,AX179/AW179&lt;3),"Serious", AND(AY179&gt;$D$1*-1,AY179&lt;$D$1,OR(AZ179&lt;=$D$2*-1,BA179&gt;=$D$2),AX179/AW179&lt;3),"Very serious", AND(AY179&gt;$D$1*-1,AY179&lt;$D$1,AZ179&gt;$D$1*-1,BA179&lt;$D$1,AX179/AW179&gt;=3),"Very serious", AND(AY179&gt;$D$1*-1,AY179&lt;$D$1,OR(AZ179&lt;=$D$1*-1,BA179&gt;=$D$1),AZ179&gt;$D$2*-1,BA179&lt;$D$2,AX179/AW179&gt;=3),"Very serious", AND(AY179&gt;$D$1*-1,AY179&lt;$D$1,OR(AZ179&lt;=$D$2*-1,BA179&gt;=$D$2),AX179/AW179&gt;=3),"Very serious"),""))</f>
        <v/>
      </c>
      <c r="BF179" s="107" t="str">
        <f t="shared" si="11"/>
        <v/>
      </c>
      <c r="BG179" s="94" t="str">
        <f t="shared" si="46"/>
        <v/>
      </c>
      <c r="BH179" s="64" t="str">
        <f t="shared" si="12"/>
        <v>#N/A</v>
      </c>
      <c r="BI179" s="64" t="str">
        <f t="shared" si="13"/>
        <v/>
      </c>
      <c r="BJ179" s="123" t="str">
        <f t="shared" si="14"/>
        <v>#N/A</v>
      </c>
      <c r="BK179" s="64" t="str">
        <f t="shared" si="50"/>
        <v>YES</v>
      </c>
      <c r="BL179" s="64" t="str">
        <f t="shared" si="16"/>
        <v>YES</v>
      </c>
      <c r="BM179" s="64" t="str">
        <f t="shared" si="17"/>
        <v>YES</v>
      </c>
      <c r="BN179" s="124" t="str">
        <f t="shared" si="18"/>
        <v/>
      </c>
      <c r="BO179" s="91" t="str">
        <f t="shared" si="19"/>
        <v/>
      </c>
      <c r="BP179" s="91" t="str">
        <f t="shared" si="20"/>
        <v>#N/A</v>
      </c>
      <c r="BQ179" s="91" t="str">
        <f t="shared" si="21"/>
        <v/>
      </c>
      <c r="BR179" s="93" t="str">
        <f t="shared" si="22"/>
        <v/>
      </c>
      <c r="BS179" s="90" t="str">
        <f t="shared" si="23"/>
        <v/>
      </c>
      <c r="BT179" s="93" t="str">
        <f t="shared" si="24"/>
        <v>NA</v>
      </c>
      <c r="BU179" s="125" t="str">
        <f t="shared" si="25"/>
        <v>#N/A</v>
      </c>
      <c r="BV179" s="93" t="str">
        <f t="shared" si="26"/>
        <v/>
      </c>
      <c r="BW179" s="93" t="str">
        <f t="shared" si="27"/>
        <v/>
      </c>
      <c r="BX179" s="93" t="str">
        <f t="shared" si="28"/>
        <v>NA</v>
      </c>
      <c r="BY179" s="95" t="str">
        <f t="shared" si="29"/>
        <v>#N/A</v>
      </c>
      <c r="BZ179" s="93" t="str">
        <f t="shared" si="30"/>
        <v/>
      </c>
      <c r="CA179" s="93" t="str">
        <f t="shared" si="31"/>
        <v/>
      </c>
      <c r="CB179" s="93" t="str">
        <f t="shared" si="32"/>
        <v>NA</v>
      </c>
      <c r="CC179" s="96" t="str">
        <f t="shared" si="33"/>
        <v>#N/A</v>
      </c>
      <c r="CD179" s="93" t="str">
        <f t="shared" si="34"/>
        <v/>
      </c>
      <c r="CE179" s="93" t="str">
        <f t="shared" si="35"/>
        <v/>
      </c>
      <c r="CF179" s="93" t="str">
        <f t="shared" si="36"/>
        <v>NA</v>
      </c>
      <c r="CG179" s="97" t="str">
        <f t="shared" si="37"/>
        <v>#N/A</v>
      </c>
      <c r="CH179" s="98" t="str">
        <f t="shared" si="38"/>
        <v>#N/A</v>
      </c>
      <c r="CI179" s="99" t="str">
        <f t="shared" si="39"/>
        <v>#N/A</v>
      </c>
      <c r="CJ179" s="126" t="str">
        <f t="shared" si="40"/>
        <v>ERROR: check cell</v>
      </c>
      <c r="CK179" s="126"/>
      <c r="CL179" s="127" t="str">
        <f t="shared" si="41"/>
        <v>#DIV/0!</v>
      </c>
      <c r="CM179" s="128" t="str">
        <f t="shared" si="42"/>
        <v>#DIV/0!</v>
      </c>
      <c r="CN179" s="128">
        <f t="shared" si="43"/>
        <v>4</v>
      </c>
      <c r="CO179" s="129">
        <f t="shared" si="44"/>
        <v>4</v>
      </c>
      <c r="CP179" s="129" t="str">
        <f>IFS(C179=Preferences!B$13,B179,B179=Preferences!B$13,C179)</f>
        <v>#N/A</v>
      </c>
    </row>
    <row r="180" ht="13.5" customHeight="1">
      <c r="A180" s="63" t="str">
        <f t="shared" si="45"/>
        <v/>
      </c>
      <c r="B180" s="64"/>
      <c r="C180" s="64"/>
      <c r="D180" s="64"/>
      <c r="E180" s="65"/>
      <c r="F180" s="65"/>
      <c r="G180" s="65"/>
      <c r="H180" s="66"/>
      <c r="I180" s="66"/>
      <c r="J180" s="67"/>
      <c r="K180" s="68"/>
      <c r="L180" s="104"/>
      <c r="M180" s="104"/>
      <c r="N180" s="104"/>
      <c r="O180" s="104"/>
      <c r="P180" s="107" t="str">
        <f t="shared" si="1"/>
        <v/>
      </c>
      <c r="Q180" s="108" t="str">
        <f>IFERROR(IF(AND(Preferences!B$3="Manual",OR(AX180/AW180&gt;G180/F180,BD180="Serious",BD180="Very serious")),"Assess imprecision",IFS(ISBLANK(E180),"",AND(Preferences!B$3="Automatic", G180/F180&gt;=30),"Extremely serious",AND(H180&lt;=$D$1*-1,J180&lt;0,G180/F180&lt;3),"Not serious",AND(H180&lt;=$D$1*-1,J180&lt;0,G180/F180&gt;=3),"Very serious",AND(H180&gt;=$D$1,I180&gt;0,G180/F180&lt;3),"Not serious",AND(H180&gt;=$D$1,I180&gt;0,G180/F180&gt;=3),"Very serious",AND(H180&lt;=$D$1*-1,J180&gt;0,I180&gt;$D$2*-1,G180/F180&lt;3),"Serious", AND(H180&lt;=$D$1*-1,J180&gt;0,I180&lt;$D$2*-1,G180/F180&lt;3),"Very serious", AND(H180&gt;=$D$1,I180&lt;0,J180&lt;$D$2,G180/F180&lt;3),"Serious",AND(H180&gt;=$D$1,I180&lt;0,J180&gt;$D$2,G180/F180&lt;3),"Very serious", AND(H180&lt;=$D$1*-1,J180&gt;0,I180&gt;$D$2*-1,G180/F180&gt;=3),"Very serious", AND(H180&lt;=$D$1*-1,J180&gt;0,I180&lt;$D$2*-1,G180/F180&gt;=3),"Very serious", AND(H180&gt;=$D$1,I180&lt;0,J180&lt;$D$2,G180/F180&gt;=3),"Very serious", AND(H180&gt;=$D$1,I180&lt;0,J180&gt;$D$2,G180/F180&gt;=3),"Very serious", AND(H180&gt;$D$1*-1,H180&lt;$D$1,I180&gt;$D$1*-1,J180&lt;$D$1,G180/F180&lt;3),"Not serious", AND(H180&gt;$D$1*-1,H180&lt;$D$1,OR(I180&lt;=$D$1*-1,J180&gt;=$D$1),I180&gt;$D$2*-1,J180&lt;$D$2,G180/F180&lt;3),"Serious", AND(H180&gt;$D$1*-1,H180&lt;$D$1,OR(I180&lt;=$D$2*-1,J180&gt;=$D$2),G180/F180&lt;3),"Very serious", AND(H180&gt;$D$1*-1,H180&lt;$D$1,I180&gt;$D$1*-1,J180&lt;$D$1,G180/F180&gt;=3),"Very serious", AND(H180&gt;$D$1*-1,H180&lt;$D$1,OR(I180&lt;=$D$1*-1,J180&gt;=$D$1),I180&gt;$D$2*-1,J180&lt;$D$2,G180/F180&gt;=3),"Very serious", AND(H180&gt;$D$1*-1,H180&lt;$D$1,OR(I180&lt;=$D$2*-1,J180&gt;=$D$2),G180/F180&gt;=3),"Very serious")),"")</f>
        <v/>
      </c>
      <c r="R180" s="109" t="str">
        <f t="shared" si="47"/>
        <v/>
      </c>
      <c r="S180" s="64"/>
      <c r="T180" s="72"/>
      <c r="U180" s="72"/>
      <c r="V180" s="72"/>
      <c r="W180" s="73"/>
      <c r="X180" s="73"/>
      <c r="Y180" s="74"/>
      <c r="Z180" s="113" t="str">
        <f t="array" ref="Z180">INDEX($A$1:$C$500, MATCH(1,($B:$B=$B180)*($C:$C=$AB180),0),1)</f>
        <v/>
      </c>
      <c r="AA180" s="113" t="str">
        <f t="array" ref="AA180">INDEX($A$1:$C$500, MATCH(1,($B:$B=$AB180)*($C:$C=$B180),0),1)</f>
        <v/>
      </c>
      <c r="AB180" s="111"/>
      <c r="AC180" s="114" t="str">
        <f t="shared" si="2"/>
        <v/>
      </c>
      <c r="AD180" s="115" t="str">
        <f t="shared" si="3"/>
        <v/>
      </c>
      <c r="AE180" s="116" t="str">
        <f t="array" ref="AE180">INDEX($A$1:$C$500, MATCH(1,($B:$B=$AB180)*($C:$C=$AG180),0),1)</f>
        <v/>
      </c>
      <c r="AF180" s="116" t="str">
        <f t="array" ref="AF180">INDEX($A$1:$C$500, MATCH(1,($B:$B=$AG180)*($C:$C=$AB180),0),1)</f>
        <v/>
      </c>
      <c r="AG180" s="72"/>
      <c r="AH180" s="114" t="str">
        <f t="shared" si="4"/>
        <v/>
      </c>
      <c r="AI180" s="115" t="str">
        <f t="shared" si="5"/>
        <v/>
      </c>
      <c r="AJ180" s="116" t="str">
        <f t="array" ref="AJ180">INDEX($A$1:$C$500, MATCH(1,($B:$B=$C180)*($C:$C=$AG180),0),1)</f>
        <v/>
      </c>
      <c r="AK180" s="116" t="str">
        <f t="array" ref="AK180">INDEX($A$1:$C$500, MATCH(1,($B:$B=$AG180)*($C:$C=$C180),0),1)</f>
        <v/>
      </c>
      <c r="AL180" s="116" t="str">
        <f t="array" ref="AL180">INDEX($A$1:$C$500, MATCH(1,($B:$B=$C180)*($C:$C=$AB180),0),1)</f>
        <v/>
      </c>
      <c r="AM180" s="116" t="str">
        <f t="array" ref="AM180">INDEX($A$1:$C$500, MATCH(1,($B:$B=$AB180)*($C:$C=$C180),0),1)</f>
        <v/>
      </c>
      <c r="AN180" s="114" t="str">
        <f t="array" ref="AN180">IFS(ISNUMBER(AJ180),AJ180,ISNUMBER(AK180),AK180,ISNUMBER(AL180),AL180,ISNUMBER(AM180),AM180)</f>
        <v>#N/A</v>
      </c>
      <c r="AO180" s="115" t="str">
        <f t="shared" si="6"/>
        <v/>
      </c>
      <c r="AP180" s="115" t="str">
        <f t="shared" si="7"/>
        <v/>
      </c>
      <c r="AQ180" s="111"/>
      <c r="AR180" s="109" t="str">
        <f t="shared" si="8"/>
        <v/>
      </c>
      <c r="AS180" s="72" t="str">
        <f>IFERROR(IF(AND(Preferences!B$3="Manual",OR(AX180/AW180&gt;V180/U180,BD180="Serious",BD180="Very serious")),"Assess imprecision",IFERROR(IFS(AND(Preferences!B$3="Automatic",V180/U180&gt;=30),"Extremely serious",AND(W180&lt;=$D$1*-1,Y180&lt;0,V180/U180&lt;3),"Not Serious",AND(W180&lt;=$D$1*-1,Y180&lt;0,V180/U180&gt;=3),"Very serious",AND(W180&gt;=$D$1,X180&gt;0,V180/U180&lt;3),"Not Serious",AND(W180&gt;=$D$1,X180&gt;0,V180/U180&gt;=3),"Very serious",AND(W180&lt;=$D$1*-1,Y180&gt;0,X180&gt;$D$2*-1,V180/U180&lt;3),"Serious", AND(W180&lt;=$D$1*-1,Y180&gt;0,X180&lt;$D$2*-1,V180/U180&lt;3),"Very serious", AND(W180&gt;=$D$1,X180&lt;0,Y180&lt;$D$2,V180/U180&lt;3),"Serious",AND(W180&gt;=$D$1,X180&lt;0,Y180&gt;$D$2,V180/U180&lt;3),"Very serious", AND(W180&lt;=$D$1*-1,Y180&gt;0,X180&gt;$D$2*-1,V180/U180&gt;=3),"Very serious", AND(W180&lt;=$D$1*-1,Y180&gt;0,X180&lt;$D$2*-1,V180/U180&gt;=3),"Very serious", AND(W180&gt;=$D$1,X180&lt;0,Y180&lt;$D$2,V180/U180&gt;=3),"Very serious", AND(W180&gt;=$D$1,X180&lt;0,Y180&gt;$D$2,V180/U180&gt;=3),"Very serious", AND(W180&gt;$D$1*-1,W180&lt;$D$1,X180&gt;$D$1*-1,Y180&lt;$D$1,V180/U180&lt;3),"Not Serious", AND(W180&gt;$D$1*-1,W180&lt;$D$1,OR(X180&lt;=$D$1*-1,Y180&gt;=$D$1),X180&gt;$D$2*-1,Y180&lt;$D$2,V180/U180&lt;3),"Serious", AND(W180&gt;$D$1*-1,W180&lt;$D$1,OR(X180&lt;=$D$2*-1,Y180&gt;=$D$2),V180/U180&lt;3),"Very serious", AND(W180&gt;$D$1*-1,W180&lt;$D$1,X180&gt;$D$1*-1,Y180&lt;$D$1,V180/U180&gt;=3),"Very serious", AND(W180&gt;$D$1*-1,W180&lt;$D$1,OR(X180&lt;=$D$1*-1,Y180&gt;=$D$1),X180&gt;$D$2*-1,Y180&lt;$D$2,V180/U180&gt;=3),"Very serious", AND(W180&gt;$D$1*-1,W180&lt;$D$1,OR(X180&lt;=$D$2*-1,Y180&gt;=$D$2),V180/U180&gt;=3),"Very serious"),"")),"")</f>
        <v/>
      </c>
      <c r="AT180" s="109" t="str">
        <f t="shared" si="9"/>
        <v/>
      </c>
      <c r="AU180" s="64"/>
      <c r="AV180" s="83"/>
      <c r="AW180" s="83"/>
      <c r="AX180" s="83"/>
      <c r="AY180" s="83"/>
      <c r="AZ180" s="83"/>
      <c r="BA180" s="85"/>
      <c r="BB180" s="86" t="str">
        <f>IF(Preferences!B$9="Manual","",IFS(ISBLANK(B180),"",AND(ISNUMBER(E180)=TRUE,ISNUMBER(T180)=FALSE),"Direct", AND(ISNUMBER(E180)=FALSE,ISNUMBER(T180)=TRUE),"Indirect", CN180=4,"Direct",AND(CL180=FALSE, CM180=TRUE,CN180-CO180&gt;-1),"Direct", AND(CL180=FALSE,CM180=TRUE, CN180-CO180&lt;0),"Check algorithm in appendix 2", AND(CL180=TRUE, CM180=FALSE,CN180-CO180&gt;0),"Check algorithm in appendix 2", AND(CL180=TRUE, CM180=FALSE,CN180-CO180=0),"Indirect", AND(CL180=TRUE, CM180=FALSE,CN180-CO180&lt;0),"Indirect", AND(CL180=FALSE,CM180=FALSE,CN180-CO180&gt;-1),"Direct", AND(CL180=FALSE,CM180=FALSE,CN180-CO180&lt;0),"Check algorithm in appendix 2", AND(CL180=TRUE,CM180=TRUE,CN180-CO180&gt;-1),"Direct", AND(CL180=TRUE,CM180=TRUE,CN180-CO180&lt;0),"Check algorithm in appendix 2"))</f>
        <v/>
      </c>
      <c r="BC180" s="120" t="str">
        <f t="shared" si="10"/>
        <v/>
      </c>
      <c r="BD180" s="140"/>
      <c r="BE180" s="122" t="str">
        <f>IF(Preferences!B$3="Manual","", IFERROR(IFS(AND(Preferences!B$3="Automatic",AX180/AW180&gt;=30),"Extremely serious",AND(AY180&lt;=$D$1*-1,BA180&lt;0,AX180/AW180&lt;3),"Not Serious",AND(AY180&lt;=$D$1*-1,BA180&lt;0,AX180/AW180&gt;=3),"Very serious",AND(AY180&gt;=$D$1,AZ180&gt;0,AX180/AW180&lt;3),"Not Serious",AND(AY180&gt;=$D$1,AZ180&gt;0,AX180/AW180&gt;=3),"Very serious",AND(AY180&lt;=$D$1*-1,BA180&gt;0,AZ180&gt;$D$2*-1,AX180/AW180&lt;3),"Serious", AND(AY180&lt;=$D$1*-1,BA180&gt;0,AZ180&lt;$D$2*-1,AX180/AW180&lt;3),"Very serious", AND(AY180&gt;=$D$1,AZ180&lt;0,BA180&lt;$D$2,AX180/AW180&lt;3),"Serious",AND(AY180&gt;=$D$1,AZ180&lt;0,BA180&gt;$D$2,AX180/AW180&lt;3),"Very serious", AND(AY180&lt;=$D$1*-1,BA180&gt;0,AZ180&gt;$D$2*-1,AX180/AW180&gt;=3),"Very serious", AND(AY180&lt;=$D$1*-1,BA180&gt;0,AZ180&lt;$D$2*-1,AX180/AW180&gt;=3),"Very serious", AND(AY180&gt;=$D$1,AZ180&lt;0,BA180&lt;$D$2,AX180/AW180&gt;=3),"Very serious", AND(AY180&gt;=$D$1,AZ180&lt;0,BA180&gt;$D$2,AX180/AW180&gt;=3),"Very serious", AND(AY180&gt;$D$1*-1,AY180&lt;$D$1,AZ180&gt;$D$1*-1,BA180&lt;$D$1,AX180/AW180&lt;3),"Not Serious", AND(AY180&gt;$D$1*-1,AY180&lt;$D$1,OR(AZ180&lt;=$D$1*-1,BA180&gt;=$D$1),AZ180&gt;$D$2*-1,BA180&lt;$D$2,AX180/AW180&lt;3),"Serious", AND(AY180&gt;$D$1*-1,AY180&lt;$D$1,OR(AZ180&lt;=$D$2*-1,BA180&gt;=$D$2),AX180/AW180&lt;3),"Very serious", AND(AY180&gt;$D$1*-1,AY180&lt;$D$1,AZ180&gt;$D$1*-1,BA180&lt;$D$1,AX180/AW180&gt;=3),"Very serious", AND(AY180&gt;$D$1*-1,AY180&lt;$D$1,OR(AZ180&lt;=$D$1*-1,BA180&gt;=$D$1),AZ180&gt;$D$2*-1,BA180&lt;$D$2,AX180/AW180&gt;=3),"Very serious", AND(AY180&gt;$D$1*-1,AY180&lt;$D$1,OR(AZ180&lt;=$D$2*-1,BA180&gt;=$D$2),AX180/AW180&gt;=3),"Very serious"),""))</f>
        <v/>
      </c>
      <c r="BF180" s="107" t="str">
        <f t="shared" si="11"/>
        <v/>
      </c>
      <c r="BG180" s="94" t="str">
        <f t="shared" si="46"/>
        <v/>
      </c>
      <c r="BH180" s="64" t="str">
        <f t="shared" si="12"/>
        <v>#N/A</v>
      </c>
      <c r="BI180" s="64" t="str">
        <f t="shared" si="13"/>
        <v/>
      </c>
      <c r="BJ180" s="123" t="str">
        <f t="shared" si="14"/>
        <v>#N/A</v>
      </c>
      <c r="BK180" s="64" t="str">
        <f t="shared" si="50"/>
        <v>YES</v>
      </c>
      <c r="BL180" s="64" t="str">
        <f t="shared" si="16"/>
        <v>YES</v>
      </c>
      <c r="BM180" s="64" t="str">
        <f t="shared" si="17"/>
        <v>YES</v>
      </c>
      <c r="BN180" s="124" t="str">
        <f t="shared" si="18"/>
        <v/>
      </c>
      <c r="BO180" s="91" t="str">
        <f t="shared" si="19"/>
        <v/>
      </c>
      <c r="BP180" s="91" t="str">
        <f t="shared" si="20"/>
        <v>#N/A</v>
      </c>
      <c r="BQ180" s="91" t="str">
        <f t="shared" si="21"/>
        <v/>
      </c>
      <c r="BR180" s="93" t="str">
        <f t="shared" si="22"/>
        <v/>
      </c>
      <c r="BS180" s="90" t="str">
        <f t="shared" si="23"/>
        <v/>
      </c>
      <c r="BT180" s="93" t="str">
        <f t="shared" si="24"/>
        <v>NA</v>
      </c>
      <c r="BU180" s="125" t="str">
        <f t="shared" si="25"/>
        <v>#N/A</v>
      </c>
      <c r="BV180" s="93" t="str">
        <f t="shared" si="26"/>
        <v/>
      </c>
      <c r="BW180" s="93" t="str">
        <f t="shared" si="27"/>
        <v/>
      </c>
      <c r="BX180" s="93" t="str">
        <f t="shared" si="28"/>
        <v>NA</v>
      </c>
      <c r="BY180" s="95" t="str">
        <f t="shared" si="29"/>
        <v>#N/A</v>
      </c>
      <c r="BZ180" s="93" t="str">
        <f t="shared" si="30"/>
        <v/>
      </c>
      <c r="CA180" s="93" t="str">
        <f t="shared" si="31"/>
        <v/>
      </c>
      <c r="CB180" s="93" t="str">
        <f t="shared" si="32"/>
        <v>NA</v>
      </c>
      <c r="CC180" s="96" t="str">
        <f t="shared" si="33"/>
        <v>#N/A</v>
      </c>
      <c r="CD180" s="93" t="str">
        <f t="shared" si="34"/>
        <v/>
      </c>
      <c r="CE180" s="93" t="str">
        <f t="shared" si="35"/>
        <v/>
      </c>
      <c r="CF180" s="93" t="str">
        <f t="shared" si="36"/>
        <v>NA</v>
      </c>
      <c r="CG180" s="97" t="str">
        <f t="shared" si="37"/>
        <v>#N/A</v>
      </c>
      <c r="CH180" s="98" t="str">
        <f t="shared" si="38"/>
        <v>#N/A</v>
      </c>
      <c r="CI180" s="99" t="str">
        <f t="shared" si="39"/>
        <v>#N/A</v>
      </c>
      <c r="CJ180" s="126" t="str">
        <f t="shared" si="40"/>
        <v>ERROR: check cell</v>
      </c>
      <c r="CK180" s="126"/>
      <c r="CL180" s="127" t="str">
        <f t="shared" si="41"/>
        <v>#DIV/0!</v>
      </c>
      <c r="CM180" s="128" t="str">
        <f t="shared" si="42"/>
        <v>#DIV/0!</v>
      </c>
      <c r="CN180" s="128">
        <f t="shared" si="43"/>
        <v>4</v>
      </c>
      <c r="CO180" s="129">
        <f t="shared" si="44"/>
        <v>4</v>
      </c>
      <c r="CP180" s="129" t="str">
        <f>IFS(C180=Preferences!B$13,B180,B180=Preferences!B$13,C180)</f>
        <v>#N/A</v>
      </c>
    </row>
    <row r="181" ht="13.5" customHeight="1">
      <c r="A181" s="63" t="str">
        <f t="shared" si="45"/>
        <v/>
      </c>
      <c r="B181" s="64"/>
      <c r="C181" s="64"/>
      <c r="D181" s="64"/>
      <c r="E181" s="65"/>
      <c r="F181" s="65"/>
      <c r="G181" s="65"/>
      <c r="H181" s="66"/>
      <c r="I181" s="66"/>
      <c r="J181" s="67"/>
      <c r="K181" s="68"/>
      <c r="L181" s="104"/>
      <c r="M181" s="104"/>
      <c r="N181" s="104"/>
      <c r="O181" s="104"/>
      <c r="P181" s="107" t="str">
        <f t="shared" si="1"/>
        <v/>
      </c>
      <c r="Q181" s="108" t="str">
        <f>IFERROR(IF(AND(Preferences!B$3="Manual",OR(AX181/AW181&gt;G181/F181,BD181="Serious",BD181="Very serious")),"Assess imprecision",IFS(ISBLANK(E181),"",AND(Preferences!B$3="Automatic", G181/F181&gt;=30),"Extremely serious",AND(H181&lt;=$D$1*-1,J181&lt;0,G181/F181&lt;3),"Not serious",AND(H181&lt;=$D$1*-1,J181&lt;0,G181/F181&gt;=3),"Very serious",AND(H181&gt;=$D$1,I181&gt;0,G181/F181&lt;3),"Not serious",AND(H181&gt;=$D$1,I181&gt;0,G181/F181&gt;=3),"Very serious",AND(H181&lt;=$D$1*-1,J181&gt;0,I181&gt;$D$2*-1,G181/F181&lt;3),"Serious", AND(H181&lt;=$D$1*-1,J181&gt;0,I181&lt;$D$2*-1,G181/F181&lt;3),"Very serious", AND(H181&gt;=$D$1,I181&lt;0,J181&lt;$D$2,G181/F181&lt;3),"Serious",AND(H181&gt;=$D$1,I181&lt;0,J181&gt;$D$2,G181/F181&lt;3),"Very serious", AND(H181&lt;=$D$1*-1,J181&gt;0,I181&gt;$D$2*-1,G181/F181&gt;=3),"Very serious", AND(H181&lt;=$D$1*-1,J181&gt;0,I181&lt;$D$2*-1,G181/F181&gt;=3),"Very serious", AND(H181&gt;=$D$1,I181&lt;0,J181&lt;$D$2,G181/F181&gt;=3),"Very serious", AND(H181&gt;=$D$1,I181&lt;0,J181&gt;$D$2,G181/F181&gt;=3),"Very serious", AND(H181&gt;$D$1*-1,H181&lt;$D$1,I181&gt;$D$1*-1,J181&lt;$D$1,G181/F181&lt;3),"Not serious", AND(H181&gt;$D$1*-1,H181&lt;$D$1,OR(I181&lt;=$D$1*-1,J181&gt;=$D$1),I181&gt;$D$2*-1,J181&lt;$D$2,G181/F181&lt;3),"Serious", AND(H181&gt;$D$1*-1,H181&lt;$D$1,OR(I181&lt;=$D$2*-1,J181&gt;=$D$2),G181/F181&lt;3),"Very serious", AND(H181&gt;$D$1*-1,H181&lt;$D$1,I181&gt;$D$1*-1,J181&lt;$D$1,G181/F181&gt;=3),"Very serious", AND(H181&gt;$D$1*-1,H181&lt;$D$1,OR(I181&lt;=$D$1*-1,J181&gt;=$D$1),I181&gt;$D$2*-1,J181&lt;$D$2,G181/F181&gt;=3),"Very serious", AND(H181&gt;$D$1*-1,H181&lt;$D$1,OR(I181&lt;=$D$2*-1,J181&gt;=$D$2),G181/F181&gt;=3),"Very serious")),"")</f>
        <v/>
      </c>
      <c r="R181" s="109" t="str">
        <f t="shared" si="47"/>
        <v/>
      </c>
      <c r="S181" s="64"/>
      <c r="T181" s="72"/>
      <c r="U181" s="72"/>
      <c r="V181" s="72"/>
      <c r="W181" s="73"/>
      <c r="X181" s="73"/>
      <c r="Y181" s="74"/>
      <c r="Z181" s="113" t="str">
        <f t="array" ref="Z181">INDEX($A$1:$C$500, MATCH(1,($B:$B=$B181)*($C:$C=$AB181),0),1)</f>
        <v/>
      </c>
      <c r="AA181" s="113" t="str">
        <f t="array" ref="AA181">INDEX($A$1:$C$500, MATCH(1,($B:$B=$AB181)*($C:$C=$B181),0),1)</f>
        <v/>
      </c>
      <c r="AB181" s="111"/>
      <c r="AC181" s="114" t="str">
        <f t="shared" si="2"/>
        <v/>
      </c>
      <c r="AD181" s="115" t="str">
        <f t="shared" si="3"/>
        <v/>
      </c>
      <c r="AE181" s="116" t="str">
        <f t="array" ref="AE181">INDEX($A$1:$C$500, MATCH(1,($B:$B=$AB181)*($C:$C=$AG181),0),1)</f>
        <v/>
      </c>
      <c r="AF181" s="116" t="str">
        <f t="array" ref="AF181">INDEX($A$1:$C$500, MATCH(1,($B:$B=$AG181)*($C:$C=$AB181),0),1)</f>
        <v/>
      </c>
      <c r="AG181" s="72"/>
      <c r="AH181" s="114" t="str">
        <f t="shared" si="4"/>
        <v/>
      </c>
      <c r="AI181" s="115" t="str">
        <f t="shared" si="5"/>
        <v/>
      </c>
      <c r="AJ181" s="116" t="str">
        <f t="array" ref="AJ181">INDEX($A$1:$C$500, MATCH(1,($B:$B=$C181)*($C:$C=$AG181),0),1)</f>
        <v/>
      </c>
      <c r="AK181" s="116" t="str">
        <f t="array" ref="AK181">INDEX($A$1:$C$500, MATCH(1,($B:$B=$AG181)*($C:$C=$C181),0),1)</f>
        <v/>
      </c>
      <c r="AL181" s="116" t="str">
        <f t="array" ref="AL181">INDEX($A$1:$C$500, MATCH(1,($B:$B=$C181)*($C:$C=$AB181),0),1)</f>
        <v/>
      </c>
      <c r="AM181" s="116" t="str">
        <f t="array" ref="AM181">INDEX($A$1:$C$500, MATCH(1,($B:$B=$AB181)*($C:$C=$C181),0),1)</f>
        <v/>
      </c>
      <c r="AN181" s="114" t="str">
        <f t="array" ref="AN181">IFS(ISNUMBER(AJ181),AJ181,ISNUMBER(AK181),AK181,ISNUMBER(AL181),AL181,ISNUMBER(AM181),AM181)</f>
        <v>#N/A</v>
      </c>
      <c r="AO181" s="115" t="str">
        <f t="shared" si="6"/>
        <v/>
      </c>
      <c r="AP181" s="115" t="str">
        <f t="shared" si="7"/>
        <v/>
      </c>
      <c r="AQ181" s="111"/>
      <c r="AR181" s="109" t="str">
        <f t="shared" si="8"/>
        <v/>
      </c>
      <c r="AS181" s="72" t="str">
        <f>IFERROR(IF(AND(Preferences!B$3="Manual",OR(AX181/AW181&gt;V181/U181,BD181="Serious",BD181="Very serious")),"Assess imprecision",IFERROR(IFS(AND(Preferences!B$3="Automatic",V181/U181&gt;=30),"Extremely serious",AND(W181&lt;=$D$1*-1,Y181&lt;0,V181/U181&lt;3),"Not Serious",AND(W181&lt;=$D$1*-1,Y181&lt;0,V181/U181&gt;=3),"Very serious",AND(W181&gt;=$D$1,X181&gt;0,V181/U181&lt;3),"Not Serious",AND(W181&gt;=$D$1,X181&gt;0,V181/U181&gt;=3),"Very serious",AND(W181&lt;=$D$1*-1,Y181&gt;0,X181&gt;$D$2*-1,V181/U181&lt;3),"Serious", AND(W181&lt;=$D$1*-1,Y181&gt;0,X181&lt;$D$2*-1,V181/U181&lt;3),"Very serious", AND(W181&gt;=$D$1,X181&lt;0,Y181&lt;$D$2,V181/U181&lt;3),"Serious",AND(W181&gt;=$D$1,X181&lt;0,Y181&gt;$D$2,V181/U181&lt;3),"Very serious", AND(W181&lt;=$D$1*-1,Y181&gt;0,X181&gt;$D$2*-1,V181/U181&gt;=3),"Very serious", AND(W181&lt;=$D$1*-1,Y181&gt;0,X181&lt;$D$2*-1,V181/U181&gt;=3),"Very serious", AND(W181&gt;=$D$1,X181&lt;0,Y181&lt;$D$2,V181/U181&gt;=3),"Very serious", AND(W181&gt;=$D$1,X181&lt;0,Y181&gt;$D$2,V181/U181&gt;=3),"Very serious", AND(W181&gt;$D$1*-1,W181&lt;$D$1,X181&gt;$D$1*-1,Y181&lt;$D$1,V181/U181&lt;3),"Not Serious", AND(W181&gt;$D$1*-1,W181&lt;$D$1,OR(X181&lt;=$D$1*-1,Y181&gt;=$D$1),X181&gt;$D$2*-1,Y181&lt;$D$2,V181/U181&lt;3),"Serious", AND(W181&gt;$D$1*-1,W181&lt;$D$1,OR(X181&lt;=$D$2*-1,Y181&gt;=$D$2),V181/U181&lt;3),"Very serious", AND(W181&gt;$D$1*-1,W181&lt;$D$1,X181&gt;$D$1*-1,Y181&lt;$D$1,V181/U181&gt;=3),"Very serious", AND(W181&gt;$D$1*-1,W181&lt;$D$1,OR(X181&lt;=$D$1*-1,Y181&gt;=$D$1),X181&gt;$D$2*-1,Y181&lt;$D$2,V181/U181&gt;=3),"Very serious", AND(W181&gt;$D$1*-1,W181&lt;$D$1,OR(X181&lt;=$D$2*-1,Y181&gt;=$D$2),V181/U181&gt;=3),"Very serious"),"")),"")</f>
        <v/>
      </c>
      <c r="AT181" s="109" t="str">
        <f t="shared" si="9"/>
        <v/>
      </c>
      <c r="AU181" s="64"/>
      <c r="AV181" s="83"/>
      <c r="AW181" s="83"/>
      <c r="AX181" s="83"/>
      <c r="AY181" s="83"/>
      <c r="AZ181" s="83"/>
      <c r="BA181" s="85"/>
      <c r="BB181" s="86" t="str">
        <f>IF(Preferences!B$9="Manual","",IFS(ISBLANK(B181),"",AND(ISNUMBER(E181)=TRUE,ISNUMBER(T181)=FALSE),"Direct", AND(ISNUMBER(E181)=FALSE,ISNUMBER(T181)=TRUE),"Indirect", CN181=4,"Direct",AND(CL181=FALSE, CM181=TRUE,CN181-CO181&gt;-1),"Direct", AND(CL181=FALSE,CM181=TRUE, CN181-CO181&lt;0),"Check algorithm in appendix 2", AND(CL181=TRUE, CM181=FALSE,CN181-CO181&gt;0),"Check algorithm in appendix 2", AND(CL181=TRUE, CM181=FALSE,CN181-CO181=0),"Indirect", AND(CL181=TRUE, CM181=FALSE,CN181-CO181&lt;0),"Indirect", AND(CL181=FALSE,CM181=FALSE,CN181-CO181&gt;-1),"Direct", AND(CL181=FALSE,CM181=FALSE,CN181-CO181&lt;0),"Check algorithm in appendix 2", AND(CL181=TRUE,CM181=TRUE,CN181-CO181&gt;-1),"Direct", AND(CL181=TRUE,CM181=TRUE,CN181-CO181&lt;0),"Check algorithm in appendix 2"))</f>
        <v/>
      </c>
      <c r="BC181" s="120" t="str">
        <f t="shared" si="10"/>
        <v/>
      </c>
      <c r="BD181" s="140"/>
      <c r="BE181" s="122" t="str">
        <f>IF(Preferences!B$3="Manual","", IFERROR(IFS(AND(Preferences!B$3="Automatic",AX181/AW181&gt;=30),"Extremely serious",AND(AY181&lt;=$D$1*-1,BA181&lt;0,AX181/AW181&lt;3),"Not Serious",AND(AY181&lt;=$D$1*-1,BA181&lt;0,AX181/AW181&gt;=3),"Very serious",AND(AY181&gt;=$D$1,AZ181&gt;0,AX181/AW181&lt;3),"Not Serious",AND(AY181&gt;=$D$1,AZ181&gt;0,AX181/AW181&gt;=3),"Very serious",AND(AY181&lt;=$D$1*-1,BA181&gt;0,AZ181&gt;$D$2*-1,AX181/AW181&lt;3),"Serious", AND(AY181&lt;=$D$1*-1,BA181&gt;0,AZ181&lt;$D$2*-1,AX181/AW181&lt;3),"Very serious", AND(AY181&gt;=$D$1,AZ181&lt;0,BA181&lt;$D$2,AX181/AW181&lt;3),"Serious",AND(AY181&gt;=$D$1,AZ181&lt;0,BA181&gt;$D$2,AX181/AW181&lt;3),"Very serious", AND(AY181&lt;=$D$1*-1,BA181&gt;0,AZ181&gt;$D$2*-1,AX181/AW181&gt;=3),"Very serious", AND(AY181&lt;=$D$1*-1,BA181&gt;0,AZ181&lt;$D$2*-1,AX181/AW181&gt;=3),"Very serious", AND(AY181&gt;=$D$1,AZ181&lt;0,BA181&lt;$D$2,AX181/AW181&gt;=3),"Very serious", AND(AY181&gt;=$D$1,AZ181&lt;0,BA181&gt;$D$2,AX181/AW181&gt;=3),"Very serious", AND(AY181&gt;$D$1*-1,AY181&lt;$D$1,AZ181&gt;$D$1*-1,BA181&lt;$D$1,AX181/AW181&lt;3),"Not Serious", AND(AY181&gt;$D$1*-1,AY181&lt;$D$1,OR(AZ181&lt;=$D$1*-1,BA181&gt;=$D$1),AZ181&gt;$D$2*-1,BA181&lt;$D$2,AX181/AW181&lt;3),"Serious", AND(AY181&gt;$D$1*-1,AY181&lt;$D$1,OR(AZ181&lt;=$D$2*-1,BA181&gt;=$D$2),AX181/AW181&lt;3),"Very serious", AND(AY181&gt;$D$1*-1,AY181&lt;$D$1,AZ181&gt;$D$1*-1,BA181&lt;$D$1,AX181/AW181&gt;=3),"Very serious", AND(AY181&gt;$D$1*-1,AY181&lt;$D$1,OR(AZ181&lt;=$D$1*-1,BA181&gt;=$D$1),AZ181&gt;$D$2*-1,BA181&lt;$D$2,AX181/AW181&gt;=3),"Very serious", AND(AY181&gt;$D$1*-1,AY181&lt;$D$1,OR(AZ181&lt;=$D$2*-1,BA181&gt;=$D$2),AX181/AW181&gt;=3),"Very serious"),""))</f>
        <v/>
      </c>
      <c r="BF181" s="107" t="str">
        <f t="shared" si="11"/>
        <v/>
      </c>
      <c r="BG181" s="94" t="str">
        <f t="shared" si="46"/>
        <v/>
      </c>
      <c r="BH181" s="64" t="str">
        <f t="shared" si="12"/>
        <v>#N/A</v>
      </c>
      <c r="BI181" s="64" t="str">
        <f t="shared" si="13"/>
        <v/>
      </c>
      <c r="BJ181" s="123" t="str">
        <f t="shared" si="14"/>
        <v>#N/A</v>
      </c>
      <c r="BK181" s="64" t="str">
        <f t="shared" si="50"/>
        <v>YES</v>
      </c>
      <c r="BL181" s="64" t="str">
        <f t="shared" si="16"/>
        <v>YES</v>
      </c>
      <c r="BM181" s="64" t="str">
        <f t="shared" si="17"/>
        <v>YES</v>
      </c>
      <c r="BN181" s="124" t="str">
        <f t="shared" si="18"/>
        <v/>
      </c>
      <c r="BO181" s="91" t="str">
        <f t="shared" si="19"/>
        <v/>
      </c>
      <c r="BP181" s="91" t="str">
        <f t="shared" si="20"/>
        <v>#N/A</v>
      </c>
      <c r="BQ181" s="91" t="str">
        <f t="shared" si="21"/>
        <v/>
      </c>
      <c r="BR181" s="93" t="str">
        <f t="shared" si="22"/>
        <v/>
      </c>
      <c r="BS181" s="90" t="str">
        <f t="shared" si="23"/>
        <v/>
      </c>
      <c r="BT181" s="93" t="str">
        <f t="shared" si="24"/>
        <v>NA</v>
      </c>
      <c r="BU181" s="125" t="str">
        <f t="shared" si="25"/>
        <v>#N/A</v>
      </c>
      <c r="BV181" s="93" t="str">
        <f t="shared" si="26"/>
        <v/>
      </c>
      <c r="BW181" s="93" t="str">
        <f t="shared" si="27"/>
        <v/>
      </c>
      <c r="BX181" s="93" t="str">
        <f t="shared" si="28"/>
        <v>NA</v>
      </c>
      <c r="BY181" s="95" t="str">
        <f t="shared" si="29"/>
        <v>#N/A</v>
      </c>
      <c r="BZ181" s="93" t="str">
        <f t="shared" si="30"/>
        <v/>
      </c>
      <c r="CA181" s="93" t="str">
        <f t="shared" si="31"/>
        <v/>
      </c>
      <c r="CB181" s="93" t="str">
        <f t="shared" si="32"/>
        <v>NA</v>
      </c>
      <c r="CC181" s="96" t="str">
        <f t="shared" si="33"/>
        <v>#N/A</v>
      </c>
      <c r="CD181" s="93" t="str">
        <f t="shared" si="34"/>
        <v/>
      </c>
      <c r="CE181" s="93" t="str">
        <f t="shared" si="35"/>
        <v/>
      </c>
      <c r="CF181" s="93" t="str">
        <f t="shared" si="36"/>
        <v>NA</v>
      </c>
      <c r="CG181" s="97" t="str">
        <f t="shared" si="37"/>
        <v>#N/A</v>
      </c>
      <c r="CH181" s="98" t="str">
        <f t="shared" si="38"/>
        <v>#N/A</v>
      </c>
      <c r="CI181" s="99" t="str">
        <f t="shared" si="39"/>
        <v>#N/A</v>
      </c>
      <c r="CJ181" s="126" t="str">
        <f t="shared" si="40"/>
        <v>ERROR: check cell</v>
      </c>
      <c r="CK181" s="126"/>
      <c r="CL181" s="127" t="str">
        <f t="shared" si="41"/>
        <v>#DIV/0!</v>
      </c>
      <c r="CM181" s="128" t="str">
        <f t="shared" si="42"/>
        <v>#DIV/0!</v>
      </c>
      <c r="CN181" s="128">
        <f t="shared" si="43"/>
        <v>4</v>
      </c>
      <c r="CO181" s="129">
        <f t="shared" si="44"/>
        <v>4</v>
      </c>
      <c r="CP181" s="129" t="str">
        <f>IFS(C181=Preferences!B$13,B181,B181=Preferences!B$13,C181)</f>
        <v>#N/A</v>
      </c>
    </row>
    <row r="182" ht="13.5" customHeight="1">
      <c r="A182" s="63" t="str">
        <f t="shared" si="45"/>
        <v/>
      </c>
      <c r="B182" s="64"/>
      <c r="C182" s="64"/>
      <c r="D182" s="64"/>
      <c r="E182" s="65"/>
      <c r="F182" s="65"/>
      <c r="G182" s="65"/>
      <c r="H182" s="66"/>
      <c r="I182" s="66"/>
      <c r="J182" s="67"/>
      <c r="K182" s="68"/>
      <c r="L182" s="104"/>
      <c r="M182" s="104"/>
      <c r="N182" s="104"/>
      <c r="O182" s="104"/>
      <c r="P182" s="107" t="str">
        <f t="shared" si="1"/>
        <v/>
      </c>
      <c r="Q182" s="108" t="str">
        <f>IFERROR(IF(AND(Preferences!B$3="Manual",OR(AX182/AW182&gt;G182/F182,BD182="Serious",BD182="Very serious")),"Assess imprecision",IFS(ISBLANK(E182),"",AND(Preferences!B$3="Automatic", G182/F182&gt;=30),"Extremely serious",AND(H182&lt;=$D$1*-1,J182&lt;0,G182/F182&lt;3),"Not serious",AND(H182&lt;=$D$1*-1,J182&lt;0,G182/F182&gt;=3),"Very serious",AND(H182&gt;=$D$1,I182&gt;0,G182/F182&lt;3),"Not serious",AND(H182&gt;=$D$1,I182&gt;0,G182/F182&gt;=3),"Very serious",AND(H182&lt;=$D$1*-1,J182&gt;0,I182&gt;$D$2*-1,G182/F182&lt;3),"Serious", AND(H182&lt;=$D$1*-1,J182&gt;0,I182&lt;$D$2*-1,G182/F182&lt;3),"Very serious", AND(H182&gt;=$D$1,I182&lt;0,J182&lt;$D$2,G182/F182&lt;3),"Serious",AND(H182&gt;=$D$1,I182&lt;0,J182&gt;$D$2,G182/F182&lt;3),"Very serious", AND(H182&lt;=$D$1*-1,J182&gt;0,I182&gt;$D$2*-1,G182/F182&gt;=3),"Very serious", AND(H182&lt;=$D$1*-1,J182&gt;0,I182&lt;$D$2*-1,G182/F182&gt;=3),"Very serious", AND(H182&gt;=$D$1,I182&lt;0,J182&lt;$D$2,G182/F182&gt;=3),"Very serious", AND(H182&gt;=$D$1,I182&lt;0,J182&gt;$D$2,G182/F182&gt;=3),"Very serious", AND(H182&gt;$D$1*-1,H182&lt;$D$1,I182&gt;$D$1*-1,J182&lt;$D$1,G182/F182&lt;3),"Not serious", AND(H182&gt;$D$1*-1,H182&lt;$D$1,OR(I182&lt;=$D$1*-1,J182&gt;=$D$1),I182&gt;$D$2*-1,J182&lt;$D$2,G182/F182&lt;3),"Serious", AND(H182&gt;$D$1*-1,H182&lt;$D$1,OR(I182&lt;=$D$2*-1,J182&gt;=$D$2),G182/F182&lt;3),"Very serious", AND(H182&gt;$D$1*-1,H182&lt;$D$1,I182&gt;$D$1*-1,J182&lt;$D$1,G182/F182&gt;=3),"Very serious", AND(H182&gt;$D$1*-1,H182&lt;$D$1,OR(I182&lt;=$D$1*-1,J182&gt;=$D$1),I182&gt;$D$2*-1,J182&lt;$D$2,G182/F182&gt;=3),"Very serious", AND(H182&gt;$D$1*-1,H182&lt;$D$1,OR(I182&lt;=$D$2*-1,J182&gt;=$D$2),G182/F182&gt;=3),"Very serious")),"")</f>
        <v/>
      </c>
      <c r="R182" s="109" t="str">
        <f t="shared" si="47"/>
        <v/>
      </c>
      <c r="S182" s="64"/>
      <c r="T182" s="72"/>
      <c r="U182" s="72"/>
      <c r="V182" s="72"/>
      <c r="W182" s="73"/>
      <c r="X182" s="73"/>
      <c r="Y182" s="74"/>
      <c r="Z182" s="113" t="str">
        <f t="array" ref="Z182">INDEX($A$1:$C$500, MATCH(1,($B:$B=$B182)*($C:$C=$AB182),0),1)</f>
        <v/>
      </c>
      <c r="AA182" s="113" t="str">
        <f t="array" ref="AA182">INDEX($A$1:$C$500, MATCH(1,($B:$B=$AB182)*($C:$C=$B182),0),1)</f>
        <v/>
      </c>
      <c r="AB182" s="111"/>
      <c r="AC182" s="114" t="str">
        <f t="shared" si="2"/>
        <v/>
      </c>
      <c r="AD182" s="115" t="str">
        <f t="shared" si="3"/>
        <v/>
      </c>
      <c r="AE182" s="116" t="str">
        <f t="array" ref="AE182">INDEX($A$1:$C$500, MATCH(1,($B:$B=$AB182)*($C:$C=$AG182),0),1)</f>
        <v/>
      </c>
      <c r="AF182" s="116" t="str">
        <f t="array" ref="AF182">INDEX($A$1:$C$500, MATCH(1,($B:$B=$AG182)*($C:$C=$AB182),0),1)</f>
        <v/>
      </c>
      <c r="AG182" s="72"/>
      <c r="AH182" s="114" t="str">
        <f t="shared" si="4"/>
        <v/>
      </c>
      <c r="AI182" s="115" t="str">
        <f t="shared" si="5"/>
        <v/>
      </c>
      <c r="AJ182" s="116" t="str">
        <f t="array" ref="AJ182">INDEX($A$1:$C$500, MATCH(1,($B:$B=$C182)*($C:$C=$AG182),0),1)</f>
        <v/>
      </c>
      <c r="AK182" s="116" t="str">
        <f t="array" ref="AK182">INDEX($A$1:$C$500, MATCH(1,($B:$B=$AG182)*($C:$C=$C182),0),1)</f>
        <v/>
      </c>
      <c r="AL182" s="116" t="str">
        <f t="array" ref="AL182">INDEX($A$1:$C$500, MATCH(1,($B:$B=$C182)*($C:$C=$AB182),0),1)</f>
        <v/>
      </c>
      <c r="AM182" s="116" t="str">
        <f t="array" ref="AM182">INDEX($A$1:$C$500, MATCH(1,($B:$B=$AB182)*($C:$C=$C182),0),1)</f>
        <v/>
      </c>
      <c r="AN182" s="114" t="str">
        <f t="array" ref="AN182">IFS(ISNUMBER(AJ182),AJ182,ISNUMBER(AK182),AK182,ISNUMBER(AL182),AL182,ISNUMBER(AM182),AM182)</f>
        <v>#N/A</v>
      </c>
      <c r="AO182" s="115" t="str">
        <f t="shared" si="6"/>
        <v/>
      </c>
      <c r="AP182" s="115" t="str">
        <f t="shared" si="7"/>
        <v/>
      </c>
      <c r="AQ182" s="111"/>
      <c r="AR182" s="109" t="str">
        <f t="shared" si="8"/>
        <v/>
      </c>
      <c r="AS182" s="72" t="str">
        <f>IFERROR(IF(AND(Preferences!B$3="Manual",OR(AX182/AW182&gt;V182/U182,BD182="Serious",BD182="Very serious")),"Assess imprecision",IFERROR(IFS(AND(Preferences!B$3="Automatic",V182/U182&gt;=30),"Extremely serious",AND(W182&lt;=$D$1*-1,Y182&lt;0,V182/U182&lt;3),"Not Serious",AND(W182&lt;=$D$1*-1,Y182&lt;0,V182/U182&gt;=3),"Very serious",AND(W182&gt;=$D$1,X182&gt;0,V182/U182&lt;3),"Not Serious",AND(W182&gt;=$D$1,X182&gt;0,V182/U182&gt;=3),"Very serious",AND(W182&lt;=$D$1*-1,Y182&gt;0,X182&gt;$D$2*-1,V182/U182&lt;3),"Serious", AND(W182&lt;=$D$1*-1,Y182&gt;0,X182&lt;$D$2*-1,V182/U182&lt;3),"Very serious", AND(W182&gt;=$D$1,X182&lt;0,Y182&lt;$D$2,V182/U182&lt;3),"Serious",AND(W182&gt;=$D$1,X182&lt;0,Y182&gt;$D$2,V182/U182&lt;3),"Very serious", AND(W182&lt;=$D$1*-1,Y182&gt;0,X182&gt;$D$2*-1,V182/U182&gt;=3),"Very serious", AND(W182&lt;=$D$1*-1,Y182&gt;0,X182&lt;$D$2*-1,V182/U182&gt;=3),"Very serious", AND(W182&gt;=$D$1,X182&lt;0,Y182&lt;$D$2,V182/U182&gt;=3),"Very serious", AND(W182&gt;=$D$1,X182&lt;0,Y182&gt;$D$2,V182/U182&gt;=3),"Very serious", AND(W182&gt;$D$1*-1,W182&lt;$D$1,X182&gt;$D$1*-1,Y182&lt;$D$1,V182/U182&lt;3),"Not Serious", AND(W182&gt;$D$1*-1,W182&lt;$D$1,OR(X182&lt;=$D$1*-1,Y182&gt;=$D$1),X182&gt;$D$2*-1,Y182&lt;$D$2,V182/U182&lt;3),"Serious", AND(W182&gt;$D$1*-1,W182&lt;$D$1,OR(X182&lt;=$D$2*-1,Y182&gt;=$D$2),V182/U182&lt;3),"Very serious", AND(W182&gt;$D$1*-1,W182&lt;$D$1,X182&gt;$D$1*-1,Y182&lt;$D$1,V182/U182&gt;=3),"Very serious", AND(W182&gt;$D$1*-1,W182&lt;$D$1,OR(X182&lt;=$D$1*-1,Y182&gt;=$D$1),X182&gt;$D$2*-1,Y182&lt;$D$2,V182/U182&gt;=3),"Very serious", AND(W182&gt;$D$1*-1,W182&lt;$D$1,OR(X182&lt;=$D$2*-1,Y182&gt;=$D$2),V182/U182&gt;=3),"Very serious"),"")),"")</f>
        <v/>
      </c>
      <c r="AT182" s="109" t="str">
        <f t="shared" si="9"/>
        <v/>
      </c>
      <c r="AU182" s="64"/>
      <c r="AV182" s="83"/>
      <c r="AW182" s="83"/>
      <c r="AX182" s="83"/>
      <c r="AY182" s="83"/>
      <c r="AZ182" s="83"/>
      <c r="BA182" s="85"/>
      <c r="BB182" s="86" t="str">
        <f>IF(Preferences!B$9="Manual","",IFS(ISBLANK(B182),"",AND(ISNUMBER(E182)=TRUE,ISNUMBER(T182)=FALSE),"Direct", AND(ISNUMBER(E182)=FALSE,ISNUMBER(T182)=TRUE),"Indirect", CN182=4,"Direct",AND(CL182=FALSE, CM182=TRUE,CN182-CO182&gt;-1),"Direct", AND(CL182=FALSE,CM182=TRUE, CN182-CO182&lt;0),"Check algorithm in appendix 2", AND(CL182=TRUE, CM182=FALSE,CN182-CO182&gt;0),"Check algorithm in appendix 2", AND(CL182=TRUE, CM182=FALSE,CN182-CO182=0),"Indirect", AND(CL182=TRUE, CM182=FALSE,CN182-CO182&lt;0),"Indirect", AND(CL182=FALSE,CM182=FALSE,CN182-CO182&gt;-1),"Direct", AND(CL182=FALSE,CM182=FALSE,CN182-CO182&lt;0),"Check algorithm in appendix 2", AND(CL182=TRUE,CM182=TRUE,CN182-CO182&gt;-1),"Direct", AND(CL182=TRUE,CM182=TRUE,CN182-CO182&lt;0),"Check algorithm in appendix 2"))</f>
        <v/>
      </c>
      <c r="BC182" s="120" t="str">
        <f t="shared" si="10"/>
        <v/>
      </c>
      <c r="BD182" s="140"/>
      <c r="BE182" s="122" t="str">
        <f>IF(Preferences!B$3="Manual","", IFERROR(IFS(AND(Preferences!B$3="Automatic",AX182/AW182&gt;=30),"Extremely serious",AND(AY182&lt;=$D$1*-1,BA182&lt;0,AX182/AW182&lt;3),"Not Serious",AND(AY182&lt;=$D$1*-1,BA182&lt;0,AX182/AW182&gt;=3),"Very serious",AND(AY182&gt;=$D$1,AZ182&gt;0,AX182/AW182&lt;3),"Not Serious",AND(AY182&gt;=$D$1,AZ182&gt;0,AX182/AW182&gt;=3),"Very serious",AND(AY182&lt;=$D$1*-1,BA182&gt;0,AZ182&gt;$D$2*-1,AX182/AW182&lt;3),"Serious", AND(AY182&lt;=$D$1*-1,BA182&gt;0,AZ182&lt;$D$2*-1,AX182/AW182&lt;3),"Very serious", AND(AY182&gt;=$D$1,AZ182&lt;0,BA182&lt;$D$2,AX182/AW182&lt;3),"Serious",AND(AY182&gt;=$D$1,AZ182&lt;0,BA182&gt;$D$2,AX182/AW182&lt;3),"Very serious", AND(AY182&lt;=$D$1*-1,BA182&gt;0,AZ182&gt;$D$2*-1,AX182/AW182&gt;=3),"Very serious", AND(AY182&lt;=$D$1*-1,BA182&gt;0,AZ182&lt;$D$2*-1,AX182/AW182&gt;=3),"Very serious", AND(AY182&gt;=$D$1,AZ182&lt;0,BA182&lt;$D$2,AX182/AW182&gt;=3),"Very serious", AND(AY182&gt;=$D$1,AZ182&lt;0,BA182&gt;$D$2,AX182/AW182&gt;=3),"Very serious", AND(AY182&gt;$D$1*-1,AY182&lt;$D$1,AZ182&gt;$D$1*-1,BA182&lt;$D$1,AX182/AW182&lt;3),"Not Serious", AND(AY182&gt;$D$1*-1,AY182&lt;$D$1,OR(AZ182&lt;=$D$1*-1,BA182&gt;=$D$1),AZ182&gt;$D$2*-1,BA182&lt;$D$2,AX182/AW182&lt;3),"Serious", AND(AY182&gt;$D$1*-1,AY182&lt;$D$1,OR(AZ182&lt;=$D$2*-1,BA182&gt;=$D$2),AX182/AW182&lt;3),"Very serious", AND(AY182&gt;$D$1*-1,AY182&lt;$D$1,AZ182&gt;$D$1*-1,BA182&lt;$D$1,AX182/AW182&gt;=3),"Very serious", AND(AY182&gt;$D$1*-1,AY182&lt;$D$1,OR(AZ182&lt;=$D$1*-1,BA182&gt;=$D$1),AZ182&gt;$D$2*-1,BA182&lt;$D$2,AX182/AW182&gt;=3),"Very serious", AND(AY182&gt;$D$1*-1,AY182&lt;$D$1,OR(AZ182&lt;=$D$2*-1,BA182&gt;=$D$2),AX182/AW182&gt;=3),"Very serious"),""))</f>
        <v/>
      </c>
      <c r="BF182" s="107" t="str">
        <f t="shared" si="11"/>
        <v/>
      </c>
      <c r="BG182" s="94" t="str">
        <f t="shared" si="46"/>
        <v/>
      </c>
      <c r="BH182" s="64" t="str">
        <f t="shared" si="12"/>
        <v>#N/A</v>
      </c>
      <c r="BI182" s="64" t="str">
        <f t="shared" si="13"/>
        <v/>
      </c>
      <c r="BJ182" s="123" t="str">
        <f t="shared" si="14"/>
        <v>#N/A</v>
      </c>
      <c r="BK182" s="64" t="str">
        <f t="shared" si="50"/>
        <v>YES</v>
      </c>
      <c r="BL182" s="64" t="str">
        <f t="shared" si="16"/>
        <v>YES</v>
      </c>
      <c r="BM182" s="64" t="str">
        <f t="shared" si="17"/>
        <v>YES</v>
      </c>
      <c r="BN182" s="124" t="str">
        <f t="shared" si="18"/>
        <v/>
      </c>
      <c r="BO182" s="91" t="str">
        <f t="shared" si="19"/>
        <v/>
      </c>
      <c r="BP182" s="91" t="str">
        <f t="shared" si="20"/>
        <v>#N/A</v>
      </c>
      <c r="BQ182" s="91" t="str">
        <f t="shared" si="21"/>
        <v/>
      </c>
      <c r="BR182" s="93" t="str">
        <f t="shared" si="22"/>
        <v/>
      </c>
      <c r="BS182" s="90" t="str">
        <f t="shared" si="23"/>
        <v/>
      </c>
      <c r="BT182" s="93" t="str">
        <f t="shared" si="24"/>
        <v>NA</v>
      </c>
      <c r="BU182" s="125" t="str">
        <f t="shared" si="25"/>
        <v>#N/A</v>
      </c>
      <c r="BV182" s="93" t="str">
        <f t="shared" si="26"/>
        <v/>
      </c>
      <c r="BW182" s="93" t="str">
        <f t="shared" si="27"/>
        <v/>
      </c>
      <c r="BX182" s="93" t="str">
        <f t="shared" si="28"/>
        <v>NA</v>
      </c>
      <c r="BY182" s="95" t="str">
        <f t="shared" si="29"/>
        <v>#N/A</v>
      </c>
      <c r="BZ182" s="93" t="str">
        <f t="shared" si="30"/>
        <v/>
      </c>
      <c r="CA182" s="93" t="str">
        <f t="shared" si="31"/>
        <v/>
      </c>
      <c r="CB182" s="93" t="str">
        <f t="shared" si="32"/>
        <v>NA</v>
      </c>
      <c r="CC182" s="96" t="str">
        <f t="shared" si="33"/>
        <v>#N/A</v>
      </c>
      <c r="CD182" s="93" t="str">
        <f t="shared" si="34"/>
        <v/>
      </c>
      <c r="CE182" s="93" t="str">
        <f t="shared" si="35"/>
        <v/>
      </c>
      <c r="CF182" s="93" t="str">
        <f t="shared" si="36"/>
        <v>NA</v>
      </c>
      <c r="CG182" s="97" t="str">
        <f t="shared" si="37"/>
        <v>#N/A</v>
      </c>
      <c r="CH182" s="98" t="str">
        <f t="shared" si="38"/>
        <v>#N/A</v>
      </c>
      <c r="CI182" s="99" t="str">
        <f t="shared" si="39"/>
        <v>#N/A</v>
      </c>
      <c r="CJ182" s="126" t="str">
        <f t="shared" si="40"/>
        <v>ERROR: check cell</v>
      </c>
      <c r="CK182" s="126"/>
      <c r="CL182" s="127" t="str">
        <f t="shared" si="41"/>
        <v>#DIV/0!</v>
      </c>
      <c r="CM182" s="128" t="str">
        <f t="shared" si="42"/>
        <v>#DIV/0!</v>
      </c>
      <c r="CN182" s="128">
        <f t="shared" si="43"/>
        <v>4</v>
      </c>
      <c r="CO182" s="129">
        <f t="shared" si="44"/>
        <v>4</v>
      </c>
      <c r="CP182" s="129" t="str">
        <f>IFS(C182=Preferences!B$13,B182,B182=Preferences!B$13,C182)</f>
        <v>#N/A</v>
      </c>
    </row>
    <row r="183" ht="13.5" customHeight="1">
      <c r="A183" s="63" t="str">
        <f t="shared" si="45"/>
        <v/>
      </c>
      <c r="B183" s="64"/>
      <c r="C183" s="64"/>
      <c r="D183" s="64"/>
      <c r="E183" s="65"/>
      <c r="F183" s="65"/>
      <c r="G183" s="65"/>
      <c r="H183" s="66"/>
      <c r="I183" s="66"/>
      <c r="J183" s="67"/>
      <c r="K183" s="68"/>
      <c r="L183" s="104"/>
      <c r="M183" s="104"/>
      <c r="N183" s="104"/>
      <c r="O183" s="104"/>
      <c r="P183" s="107" t="str">
        <f t="shared" si="1"/>
        <v/>
      </c>
      <c r="Q183" s="108" t="str">
        <f>IFERROR(IF(AND(Preferences!B$3="Manual",OR(AX183/AW183&gt;G183/F183,BD183="Serious",BD183="Very serious")),"Assess imprecision",IFS(ISBLANK(E183),"",AND(Preferences!B$3="Automatic", G183/F183&gt;=30),"Extremely serious",AND(H183&lt;=$D$1*-1,J183&lt;0,G183/F183&lt;3),"Not serious",AND(H183&lt;=$D$1*-1,J183&lt;0,G183/F183&gt;=3),"Very serious",AND(H183&gt;=$D$1,I183&gt;0,G183/F183&lt;3),"Not serious",AND(H183&gt;=$D$1,I183&gt;0,G183/F183&gt;=3),"Very serious",AND(H183&lt;=$D$1*-1,J183&gt;0,I183&gt;$D$2*-1,G183/F183&lt;3),"Serious", AND(H183&lt;=$D$1*-1,J183&gt;0,I183&lt;$D$2*-1,G183/F183&lt;3),"Very serious", AND(H183&gt;=$D$1,I183&lt;0,J183&lt;$D$2,G183/F183&lt;3),"Serious",AND(H183&gt;=$D$1,I183&lt;0,J183&gt;$D$2,G183/F183&lt;3),"Very serious", AND(H183&lt;=$D$1*-1,J183&gt;0,I183&gt;$D$2*-1,G183/F183&gt;=3),"Very serious", AND(H183&lt;=$D$1*-1,J183&gt;0,I183&lt;$D$2*-1,G183/F183&gt;=3),"Very serious", AND(H183&gt;=$D$1,I183&lt;0,J183&lt;$D$2,G183/F183&gt;=3),"Very serious", AND(H183&gt;=$D$1,I183&lt;0,J183&gt;$D$2,G183/F183&gt;=3),"Very serious", AND(H183&gt;$D$1*-1,H183&lt;$D$1,I183&gt;$D$1*-1,J183&lt;$D$1,G183/F183&lt;3),"Not serious", AND(H183&gt;$D$1*-1,H183&lt;$D$1,OR(I183&lt;=$D$1*-1,J183&gt;=$D$1),I183&gt;$D$2*-1,J183&lt;$D$2,G183/F183&lt;3),"Serious", AND(H183&gt;$D$1*-1,H183&lt;$D$1,OR(I183&lt;=$D$2*-1,J183&gt;=$D$2),G183/F183&lt;3),"Very serious", AND(H183&gt;$D$1*-1,H183&lt;$D$1,I183&gt;$D$1*-1,J183&lt;$D$1,G183/F183&gt;=3),"Very serious", AND(H183&gt;$D$1*-1,H183&lt;$D$1,OR(I183&lt;=$D$1*-1,J183&gt;=$D$1),I183&gt;$D$2*-1,J183&lt;$D$2,G183/F183&gt;=3),"Very serious", AND(H183&gt;$D$1*-1,H183&lt;$D$1,OR(I183&lt;=$D$2*-1,J183&gt;=$D$2),G183/F183&gt;=3),"Very serious")),"")</f>
        <v/>
      </c>
      <c r="R183" s="109" t="str">
        <f t="shared" si="47"/>
        <v/>
      </c>
      <c r="S183" s="64"/>
      <c r="T183" s="72"/>
      <c r="U183" s="72"/>
      <c r="V183" s="72"/>
      <c r="W183" s="73"/>
      <c r="X183" s="73"/>
      <c r="Y183" s="74"/>
      <c r="Z183" s="113" t="str">
        <f t="array" ref="Z183">INDEX($A$1:$C$500, MATCH(1,($B:$B=$B183)*($C:$C=$AB183),0),1)</f>
        <v/>
      </c>
      <c r="AA183" s="113" t="str">
        <f t="array" ref="AA183">INDEX($A$1:$C$500, MATCH(1,($B:$B=$AB183)*($C:$C=$B183),0),1)</f>
        <v/>
      </c>
      <c r="AB183" s="111"/>
      <c r="AC183" s="114" t="str">
        <f t="shared" si="2"/>
        <v/>
      </c>
      <c r="AD183" s="115" t="str">
        <f t="shared" si="3"/>
        <v/>
      </c>
      <c r="AE183" s="116" t="str">
        <f t="array" ref="AE183">INDEX($A$1:$C$500, MATCH(1,($B:$B=$AB183)*($C:$C=$AG183),0),1)</f>
        <v/>
      </c>
      <c r="AF183" s="116" t="str">
        <f t="array" ref="AF183">INDEX($A$1:$C$500, MATCH(1,($B:$B=$AG183)*($C:$C=$AB183),0),1)</f>
        <v/>
      </c>
      <c r="AG183" s="72"/>
      <c r="AH183" s="114" t="str">
        <f t="shared" si="4"/>
        <v/>
      </c>
      <c r="AI183" s="115" t="str">
        <f t="shared" si="5"/>
        <v/>
      </c>
      <c r="AJ183" s="116" t="str">
        <f t="array" ref="AJ183">INDEX($A$1:$C$500, MATCH(1,($B:$B=$C183)*($C:$C=$AG183),0),1)</f>
        <v/>
      </c>
      <c r="AK183" s="116" t="str">
        <f t="array" ref="AK183">INDEX($A$1:$C$500, MATCH(1,($B:$B=$AG183)*($C:$C=$C183),0),1)</f>
        <v/>
      </c>
      <c r="AL183" s="116" t="str">
        <f t="array" ref="AL183">INDEX($A$1:$C$500, MATCH(1,($B:$B=$C183)*($C:$C=$AB183),0),1)</f>
        <v/>
      </c>
      <c r="AM183" s="116" t="str">
        <f t="array" ref="AM183">INDEX($A$1:$C$500, MATCH(1,($B:$B=$AB183)*($C:$C=$C183),0),1)</f>
        <v/>
      </c>
      <c r="AN183" s="114" t="str">
        <f t="array" ref="AN183">IFS(ISNUMBER(AJ183),AJ183,ISNUMBER(AK183),AK183,ISNUMBER(AL183),AL183,ISNUMBER(AM183),AM183)</f>
        <v>#N/A</v>
      </c>
      <c r="AO183" s="115" t="str">
        <f t="shared" si="6"/>
        <v/>
      </c>
      <c r="AP183" s="115" t="str">
        <f t="shared" si="7"/>
        <v/>
      </c>
      <c r="AQ183" s="111"/>
      <c r="AR183" s="109" t="str">
        <f t="shared" si="8"/>
        <v/>
      </c>
      <c r="AS183" s="72" t="str">
        <f>IFERROR(IF(AND(Preferences!B$3="Manual",OR(AX183/AW183&gt;V183/U183,BD183="Serious",BD183="Very serious")),"Assess imprecision",IFERROR(IFS(AND(Preferences!B$3="Automatic",V183/U183&gt;=30),"Extremely serious",AND(W183&lt;=$D$1*-1,Y183&lt;0,V183/U183&lt;3),"Not Serious",AND(W183&lt;=$D$1*-1,Y183&lt;0,V183/U183&gt;=3),"Very serious",AND(W183&gt;=$D$1,X183&gt;0,V183/U183&lt;3),"Not Serious",AND(W183&gt;=$D$1,X183&gt;0,V183/U183&gt;=3),"Very serious",AND(W183&lt;=$D$1*-1,Y183&gt;0,X183&gt;$D$2*-1,V183/U183&lt;3),"Serious", AND(W183&lt;=$D$1*-1,Y183&gt;0,X183&lt;$D$2*-1,V183/U183&lt;3),"Very serious", AND(W183&gt;=$D$1,X183&lt;0,Y183&lt;$D$2,V183/U183&lt;3),"Serious",AND(W183&gt;=$D$1,X183&lt;0,Y183&gt;$D$2,V183/U183&lt;3),"Very serious", AND(W183&lt;=$D$1*-1,Y183&gt;0,X183&gt;$D$2*-1,V183/U183&gt;=3),"Very serious", AND(W183&lt;=$D$1*-1,Y183&gt;0,X183&lt;$D$2*-1,V183/U183&gt;=3),"Very serious", AND(W183&gt;=$D$1,X183&lt;0,Y183&lt;$D$2,V183/U183&gt;=3),"Very serious", AND(W183&gt;=$D$1,X183&lt;0,Y183&gt;$D$2,V183/U183&gt;=3),"Very serious", AND(W183&gt;$D$1*-1,W183&lt;$D$1,X183&gt;$D$1*-1,Y183&lt;$D$1,V183/U183&lt;3),"Not Serious", AND(W183&gt;$D$1*-1,W183&lt;$D$1,OR(X183&lt;=$D$1*-1,Y183&gt;=$D$1),X183&gt;$D$2*-1,Y183&lt;$D$2,V183/U183&lt;3),"Serious", AND(W183&gt;$D$1*-1,W183&lt;$D$1,OR(X183&lt;=$D$2*-1,Y183&gt;=$D$2),V183/U183&lt;3),"Very serious", AND(W183&gt;$D$1*-1,W183&lt;$D$1,X183&gt;$D$1*-1,Y183&lt;$D$1,V183/U183&gt;=3),"Very serious", AND(W183&gt;$D$1*-1,W183&lt;$D$1,OR(X183&lt;=$D$1*-1,Y183&gt;=$D$1),X183&gt;$D$2*-1,Y183&lt;$D$2,V183/U183&gt;=3),"Very serious", AND(W183&gt;$D$1*-1,W183&lt;$D$1,OR(X183&lt;=$D$2*-1,Y183&gt;=$D$2),V183/U183&gt;=3),"Very serious"),"")),"")</f>
        <v/>
      </c>
      <c r="AT183" s="109" t="str">
        <f t="shared" si="9"/>
        <v/>
      </c>
      <c r="AU183" s="64"/>
      <c r="AV183" s="83"/>
      <c r="AW183" s="83"/>
      <c r="AX183" s="83"/>
      <c r="AY183" s="83"/>
      <c r="AZ183" s="83"/>
      <c r="BA183" s="85"/>
      <c r="BB183" s="86" t="str">
        <f>IF(Preferences!B$9="Manual","",IFS(ISBLANK(B183),"",AND(ISNUMBER(E183)=TRUE,ISNUMBER(T183)=FALSE),"Direct", AND(ISNUMBER(E183)=FALSE,ISNUMBER(T183)=TRUE),"Indirect", CN183=4,"Direct",AND(CL183=FALSE, CM183=TRUE,CN183-CO183&gt;-1),"Direct", AND(CL183=FALSE,CM183=TRUE, CN183-CO183&lt;0),"Check algorithm in appendix 2", AND(CL183=TRUE, CM183=FALSE,CN183-CO183&gt;0),"Check algorithm in appendix 2", AND(CL183=TRUE, CM183=FALSE,CN183-CO183=0),"Indirect", AND(CL183=TRUE, CM183=FALSE,CN183-CO183&lt;0),"Indirect", AND(CL183=FALSE,CM183=FALSE,CN183-CO183&gt;-1),"Direct", AND(CL183=FALSE,CM183=FALSE,CN183-CO183&lt;0),"Check algorithm in appendix 2", AND(CL183=TRUE,CM183=TRUE,CN183-CO183&gt;-1),"Direct", AND(CL183=TRUE,CM183=TRUE,CN183-CO183&lt;0),"Check algorithm in appendix 2"))</f>
        <v/>
      </c>
      <c r="BC183" s="120" t="str">
        <f t="shared" si="10"/>
        <v/>
      </c>
      <c r="BD183" s="140"/>
      <c r="BE183" s="122" t="str">
        <f>IF(Preferences!B$3="Manual","", IFERROR(IFS(AND(Preferences!B$3="Automatic",AX183/AW183&gt;=30),"Extremely serious",AND(AY183&lt;=$D$1*-1,BA183&lt;0,AX183/AW183&lt;3),"Not Serious",AND(AY183&lt;=$D$1*-1,BA183&lt;0,AX183/AW183&gt;=3),"Very serious",AND(AY183&gt;=$D$1,AZ183&gt;0,AX183/AW183&lt;3),"Not Serious",AND(AY183&gt;=$D$1,AZ183&gt;0,AX183/AW183&gt;=3),"Very serious",AND(AY183&lt;=$D$1*-1,BA183&gt;0,AZ183&gt;$D$2*-1,AX183/AW183&lt;3),"Serious", AND(AY183&lt;=$D$1*-1,BA183&gt;0,AZ183&lt;$D$2*-1,AX183/AW183&lt;3),"Very serious", AND(AY183&gt;=$D$1,AZ183&lt;0,BA183&lt;$D$2,AX183/AW183&lt;3),"Serious",AND(AY183&gt;=$D$1,AZ183&lt;0,BA183&gt;$D$2,AX183/AW183&lt;3),"Very serious", AND(AY183&lt;=$D$1*-1,BA183&gt;0,AZ183&gt;$D$2*-1,AX183/AW183&gt;=3),"Very serious", AND(AY183&lt;=$D$1*-1,BA183&gt;0,AZ183&lt;$D$2*-1,AX183/AW183&gt;=3),"Very serious", AND(AY183&gt;=$D$1,AZ183&lt;0,BA183&lt;$D$2,AX183/AW183&gt;=3),"Very serious", AND(AY183&gt;=$D$1,AZ183&lt;0,BA183&gt;$D$2,AX183/AW183&gt;=3),"Very serious", AND(AY183&gt;$D$1*-1,AY183&lt;$D$1,AZ183&gt;$D$1*-1,BA183&lt;$D$1,AX183/AW183&lt;3),"Not Serious", AND(AY183&gt;$D$1*-1,AY183&lt;$D$1,OR(AZ183&lt;=$D$1*-1,BA183&gt;=$D$1),AZ183&gt;$D$2*-1,BA183&lt;$D$2,AX183/AW183&lt;3),"Serious", AND(AY183&gt;$D$1*-1,AY183&lt;$D$1,OR(AZ183&lt;=$D$2*-1,BA183&gt;=$D$2),AX183/AW183&lt;3),"Very serious", AND(AY183&gt;$D$1*-1,AY183&lt;$D$1,AZ183&gt;$D$1*-1,BA183&lt;$D$1,AX183/AW183&gt;=3),"Very serious", AND(AY183&gt;$D$1*-1,AY183&lt;$D$1,OR(AZ183&lt;=$D$1*-1,BA183&gt;=$D$1),AZ183&gt;$D$2*-1,BA183&lt;$D$2,AX183/AW183&gt;=3),"Very serious", AND(AY183&gt;$D$1*-1,AY183&lt;$D$1,OR(AZ183&lt;=$D$2*-1,BA183&gt;=$D$2),AX183/AW183&gt;=3),"Very serious"),""))</f>
        <v/>
      </c>
      <c r="BF183" s="107" t="str">
        <f t="shared" si="11"/>
        <v/>
      </c>
      <c r="BG183" s="94" t="str">
        <f t="shared" si="46"/>
        <v/>
      </c>
      <c r="BH183" s="64" t="str">
        <f t="shared" si="12"/>
        <v>#N/A</v>
      </c>
      <c r="BI183" s="64" t="str">
        <f t="shared" si="13"/>
        <v/>
      </c>
      <c r="BJ183" s="123" t="str">
        <f t="shared" si="14"/>
        <v>#N/A</v>
      </c>
      <c r="BK183" s="64" t="str">
        <f t="shared" si="50"/>
        <v>YES</v>
      </c>
      <c r="BL183" s="64" t="str">
        <f t="shared" si="16"/>
        <v>YES</v>
      </c>
      <c r="BM183" s="64" t="str">
        <f t="shared" si="17"/>
        <v>YES</v>
      </c>
      <c r="BN183" s="124" t="str">
        <f t="shared" si="18"/>
        <v/>
      </c>
      <c r="BO183" s="91" t="str">
        <f t="shared" si="19"/>
        <v/>
      </c>
      <c r="BP183" s="91" t="str">
        <f t="shared" si="20"/>
        <v>#N/A</v>
      </c>
      <c r="BQ183" s="91" t="str">
        <f t="shared" si="21"/>
        <v/>
      </c>
      <c r="BR183" s="93" t="str">
        <f t="shared" si="22"/>
        <v/>
      </c>
      <c r="BS183" s="90" t="str">
        <f t="shared" si="23"/>
        <v/>
      </c>
      <c r="BT183" s="93" t="str">
        <f t="shared" si="24"/>
        <v>NA</v>
      </c>
      <c r="BU183" s="125" t="str">
        <f t="shared" si="25"/>
        <v>#N/A</v>
      </c>
      <c r="BV183" s="93" t="str">
        <f t="shared" si="26"/>
        <v/>
      </c>
      <c r="BW183" s="93" t="str">
        <f t="shared" si="27"/>
        <v/>
      </c>
      <c r="BX183" s="93" t="str">
        <f t="shared" si="28"/>
        <v>NA</v>
      </c>
      <c r="BY183" s="95" t="str">
        <f t="shared" si="29"/>
        <v>#N/A</v>
      </c>
      <c r="BZ183" s="93" t="str">
        <f t="shared" si="30"/>
        <v/>
      </c>
      <c r="CA183" s="93" t="str">
        <f t="shared" si="31"/>
        <v/>
      </c>
      <c r="CB183" s="93" t="str">
        <f t="shared" si="32"/>
        <v>NA</v>
      </c>
      <c r="CC183" s="96" t="str">
        <f t="shared" si="33"/>
        <v>#N/A</v>
      </c>
      <c r="CD183" s="93" t="str">
        <f t="shared" si="34"/>
        <v/>
      </c>
      <c r="CE183" s="93" t="str">
        <f t="shared" si="35"/>
        <v/>
      </c>
      <c r="CF183" s="93" t="str">
        <f t="shared" si="36"/>
        <v>NA</v>
      </c>
      <c r="CG183" s="97" t="str">
        <f t="shared" si="37"/>
        <v>#N/A</v>
      </c>
      <c r="CH183" s="98" t="str">
        <f t="shared" si="38"/>
        <v>#N/A</v>
      </c>
      <c r="CI183" s="99" t="str">
        <f t="shared" si="39"/>
        <v>#N/A</v>
      </c>
      <c r="CJ183" s="126" t="str">
        <f t="shared" si="40"/>
        <v>ERROR: check cell</v>
      </c>
      <c r="CK183" s="126"/>
      <c r="CL183" s="127" t="str">
        <f t="shared" si="41"/>
        <v>#DIV/0!</v>
      </c>
      <c r="CM183" s="128" t="str">
        <f t="shared" si="42"/>
        <v>#DIV/0!</v>
      </c>
      <c r="CN183" s="128">
        <f t="shared" si="43"/>
        <v>4</v>
      </c>
      <c r="CO183" s="129">
        <f t="shared" si="44"/>
        <v>4</v>
      </c>
      <c r="CP183" s="129" t="str">
        <f>IFS(C183=Preferences!B$13,B183,B183=Preferences!B$13,C183)</f>
        <v>#N/A</v>
      </c>
    </row>
    <row r="184" ht="13.5" customHeight="1">
      <c r="A184" s="63" t="str">
        <f t="shared" si="45"/>
        <v/>
      </c>
      <c r="B184" s="64"/>
      <c r="C184" s="64"/>
      <c r="D184" s="64"/>
      <c r="E184" s="65"/>
      <c r="F184" s="65"/>
      <c r="G184" s="65"/>
      <c r="H184" s="66"/>
      <c r="I184" s="66"/>
      <c r="J184" s="67"/>
      <c r="K184" s="68"/>
      <c r="L184" s="104"/>
      <c r="M184" s="104"/>
      <c r="N184" s="104"/>
      <c r="O184" s="104"/>
      <c r="P184" s="107" t="str">
        <f t="shared" si="1"/>
        <v/>
      </c>
      <c r="Q184" s="108" t="str">
        <f>IFERROR(IF(AND(Preferences!B$3="Manual",OR(AX184/AW184&gt;G184/F184,BD184="Serious",BD184="Very serious")),"Assess imprecision",IFS(ISBLANK(E184),"",AND(Preferences!B$3="Automatic", G184/F184&gt;=30),"Extremely serious",AND(H184&lt;=$D$1*-1,J184&lt;0,G184/F184&lt;3),"Not serious",AND(H184&lt;=$D$1*-1,J184&lt;0,G184/F184&gt;=3),"Very serious",AND(H184&gt;=$D$1,I184&gt;0,G184/F184&lt;3),"Not serious",AND(H184&gt;=$D$1,I184&gt;0,G184/F184&gt;=3),"Very serious",AND(H184&lt;=$D$1*-1,J184&gt;0,I184&gt;$D$2*-1,G184/F184&lt;3),"Serious", AND(H184&lt;=$D$1*-1,J184&gt;0,I184&lt;$D$2*-1,G184/F184&lt;3),"Very serious", AND(H184&gt;=$D$1,I184&lt;0,J184&lt;$D$2,G184/F184&lt;3),"Serious",AND(H184&gt;=$D$1,I184&lt;0,J184&gt;$D$2,G184/F184&lt;3),"Very serious", AND(H184&lt;=$D$1*-1,J184&gt;0,I184&gt;$D$2*-1,G184/F184&gt;=3),"Very serious", AND(H184&lt;=$D$1*-1,J184&gt;0,I184&lt;$D$2*-1,G184/F184&gt;=3),"Very serious", AND(H184&gt;=$D$1,I184&lt;0,J184&lt;$D$2,G184/F184&gt;=3),"Very serious", AND(H184&gt;=$D$1,I184&lt;0,J184&gt;$D$2,G184/F184&gt;=3),"Very serious", AND(H184&gt;$D$1*-1,H184&lt;$D$1,I184&gt;$D$1*-1,J184&lt;$D$1,G184/F184&lt;3),"Not serious", AND(H184&gt;$D$1*-1,H184&lt;$D$1,OR(I184&lt;=$D$1*-1,J184&gt;=$D$1),I184&gt;$D$2*-1,J184&lt;$D$2,G184/F184&lt;3),"Serious", AND(H184&gt;$D$1*-1,H184&lt;$D$1,OR(I184&lt;=$D$2*-1,J184&gt;=$D$2),G184/F184&lt;3),"Very serious", AND(H184&gt;$D$1*-1,H184&lt;$D$1,I184&gt;$D$1*-1,J184&lt;$D$1,G184/F184&gt;=3),"Very serious", AND(H184&gt;$D$1*-1,H184&lt;$D$1,OR(I184&lt;=$D$1*-1,J184&gt;=$D$1),I184&gt;$D$2*-1,J184&lt;$D$2,G184/F184&gt;=3),"Very serious", AND(H184&gt;$D$1*-1,H184&lt;$D$1,OR(I184&lt;=$D$2*-1,J184&gt;=$D$2),G184/F184&gt;=3),"Very serious")),"")</f>
        <v/>
      </c>
      <c r="R184" s="109" t="str">
        <f t="shared" si="47"/>
        <v/>
      </c>
      <c r="S184" s="64"/>
      <c r="T184" s="72"/>
      <c r="U184" s="72"/>
      <c r="V184" s="72"/>
      <c r="W184" s="73"/>
      <c r="X184" s="73"/>
      <c r="Y184" s="74"/>
      <c r="Z184" s="113" t="str">
        <f t="array" ref="Z184">INDEX($A$1:$C$500, MATCH(1,($B:$B=$B184)*($C:$C=$AB184),0),1)</f>
        <v/>
      </c>
      <c r="AA184" s="113" t="str">
        <f t="array" ref="AA184">INDEX($A$1:$C$500, MATCH(1,($B:$B=$AB184)*($C:$C=$B184),0),1)</f>
        <v/>
      </c>
      <c r="AB184" s="111"/>
      <c r="AC184" s="114" t="str">
        <f t="shared" si="2"/>
        <v/>
      </c>
      <c r="AD184" s="115" t="str">
        <f t="shared" si="3"/>
        <v/>
      </c>
      <c r="AE184" s="116" t="str">
        <f t="array" ref="AE184">INDEX($A$1:$C$500, MATCH(1,($B:$B=$AB184)*($C:$C=$AG184),0),1)</f>
        <v/>
      </c>
      <c r="AF184" s="116" t="str">
        <f t="array" ref="AF184">INDEX($A$1:$C$500, MATCH(1,($B:$B=$AG184)*($C:$C=$AB184),0),1)</f>
        <v/>
      </c>
      <c r="AG184" s="72"/>
      <c r="AH184" s="114" t="str">
        <f t="shared" si="4"/>
        <v/>
      </c>
      <c r="AI184" s="115" t="str">
        <f t="shared" si="5"/>
        <v/>
      </c>
      <c r="AJ184" s="116" t="str">
        <f t="array" ref="AJ184">INDEX($A$1:$C$500, MATCH(1,($B:$B=$C184)*($C:$C=$AG184),0),1)</f>
        <v/>
      </c>
      <c r="AK184" s="116" t="str">
        <f t="array" ref="AK184">INDEX($A$1:$C$500, MATCH(1,($B:$B=$AG184)*($C:$C=$C184),0),1)</f>
        <v/>
      </c>
      <c r="AL184" s="116" t="str">
        <f t="array" ref="AL184">INDEX($A$1:$C$500, MATCH(1,($B:$B=$C184)*($C:$C=$AB184),0),1)</f>
        <v/>
      </c>
      <c r="AM184" s="116" t="str">
        <f t="array" ref="AM184">INDEX($A$1:$C$500, MATCH(1,($B:$B=$AB184)*($C:$C=$C184),0),1)</f>
        <v/>
      </c>
      <c r="AN184" s="114" t="str">
        <f t="array" ref="AN184">IFS(ISNUMBER(AJ184),AJ184,ISNUMBER(AK184),AK184,ISNUMBER(AL184),AL184,ISNUMBER(AM184),AM184)</f>
        <v>#N/A</v>
      </c>
      <c r="AO184" s="115" t="str">
        <f t="shared" si="6"/>
        <v/>
      </c>
      <c r="AP184" s="115" t="str">
        <f t="shared" si="7"/>
        <v/>
      </c>
      <c r="AQ184" s="111"/>
      <c r="AR184" s="109" t="str">
        <f t="shared" si="8"/>
        <v/>
      </c>
      <c r="AS184" s="72" t="str">
        <f>IFERROR(IF(AND(Preferences!B$3="Manual",OR(AX184/AW184&gt;V184/U184,BD184="Serious",BD184="Very serious")),"Assess imprecision",IFERROR(IFS(AND(Preferences!B$3="Automatic",V184/U184&gt;=30),"Extremely serious",AND(W184&lt;=$D$1*-1,Y184&lt;0,V184/U184&lt;3),"Not Serious",AND(W184&lt;=$D$1*-1,Y184&lt;0,V184/U184&gt;=3),"Very serious",AND(W184&gt;=$D$1,X184&gt;0,V184/U184&lt;3),"Not Serious",AND(W184&gt;=$D$1,X184&gt;0,V184/U184&gt;=3),"Very serious",AND(W184&lt;=$D$1*-1,Y184&gt;0,X184&gt;$D$2*-1,V184/U184&lt;3),"Serious", AND(W184&lt;=$D$1*-1,Y184&gt;0,X184&lt;$D$2*-1,V184/U184&lt;3),"Very serious", AND(W184&gt;=$D$1,X184&lt;0,Y184&lt;$D$2,V184/U184&lt;3),"Serious",AND(W184&gt;=$D$1,X184&lt;0,Y184&gt;$D$2,V184/U184&lt;3),"Very serious", AND(W184&lt;=$D$1*-1,Y184&gt;0,X184&gt;$D$2*-1,V184/U184&gt;=3),"Very serious", AND(W184&lt;=$D$1*-1,Y184&gt;0,X184&lt;$D$2*-1,V184/U184&gt;=3),"Very serious", AND(W184&gt;=$D$1,X184&lt;0,Y184&lt;$D$2,V184/U184&gt;=3),"Very serious", AND(W184&gt;=$D$1,X184&lt;0,Y184&gt;$D$2,V184/U184&gt;=3),"Very serious", AND(W184&gt;$D$1*-1,W184&lt;$D$1,X184&gt;$D$1*-1,Y184&lt;$D$1,V184/U184&lt;3),"Not Serious", AND(W184&gt;$D$1*-1,W184&lt;$D$1,OR(X184&lt;=$D$1*-1,Y184&gt;=$D$1),X184&gt;$D$2*-1,Y184&lt;$D$2,V184/U184&lt;3),"Serious", AND(W184&gt;$D$1*-1,W184&lt;$D$1,OR(X184&lt;=$D$2*-1,Y184&gt;=$D$2),V184/U184&lt;3),"Very serious", AND(W184&gt;$D$1*-1,W184&lt;$D$1,X184&gt;$D$1*-1,Y184&lt;$D$1,V184/U184&gt;=3),"Very serious", AND(W184&gt;$D$1*-1,W184&lt;$D$1,OR(X184&lt;=$D$1*-1,Y184&gt;=$D$1),X184&gt;$D$2*-1,Y184&lt;$D$2,V184/U184&gt;=3),"Very serious", AND(W184&gt;$D$1*-1,W184&lt;$D$1,OR(X184&lt;=$D$2*-1,Y184&gt;=$D$2),V184/U184&gt;=3),"Very serious"),"")),"")</f>
        <v/>
      </c>
      <c r="AT184" s="109" t="str">
        <f t="shared" si="9"/>
        <v/>
      </c>
      <c r="AU184" s="64"/>
      <c r="AV184" s="83"/>
      <c r="AW184" s="83"/>
      <c r="AX184" s="83"/>
      <c r="AY184" s="83"/>
      <c r="AZ184" s="83"/>
      <c r="BA184" s="85"/>
      <c r="BB184" s="86" t="str">
        <f>IF(Preferences!B$9="Manual","",IFS(ISBLANK(B184),"",AND(ISNUMBER(E184)=TRUE,ISNUMBER(T184)=FALSE),"Direct", AND(ISNUMBER(E184)=FALSE,ISNUMBER(T184)=TRUE),"Indirect", CN184=4,"Direct",AND(CL184=FALSE, CM184=TRUE,CN184-CO184&gt;-1),"Direct", AND(CL184=FALSE,CM184=TRUE, CN184-CO184&lt;0),"Check algorithm in appendix 2", AND(CL184=TRUE, CM184=FALSE,CN184-CO184&gt;0),"Check algorithm in appendix 2", AND(CL184=TRUE, CM184=FALSE,CN184-CO184=0),"Indirect", AND(CL184=TRUE, CM184=FALSE,CN184-CO184&lt;0),"Indirect", AND(CL184=FALSE,CM184=FALSE,CN184-CO184&gt;-1),"Direct", AND(CL184=FALSE,CM184=FALSE,CN184-CO184&lt;0),"Check algorithm in appendix 2", AND(CL184=TRUE,CM184=TRUE,CN184-CO184&gt;-1),"Direct", AND(CL184=TRUE,CM184=TRUE,CN184-CO184&lt;0),"Check algorithm in appendix 2"))</f>
        <v/>
      </c>
      <c r="BC184" s="120" t="str">
        <f t="shared" si="10"/>
        <v/>
      </c>
      <c r="BD184" s="140"/>
      <c r="BE184" s="122" t="str">
        <f>IF(Preferences!B$3="Manual","", IFERROR(IFS(AND(Preferences!B$3="Automatic",AX184/AW184&gt;=30),"Extremely serious",AND(AY184&lt;=$D$1*-1,BA184&lt;0,AX184/AW184&lt;3),"Not Serious",AND(AY184&lt;=$D$1*-1,BA184&lt;0,AX184/AW184&gt;=3),"Very serious",AND(AY184&gt;=$D$1,AZ184&gt;0,AX184/AW184&lt;3),"Not Serious",AND(AY184&gt;=$D$1,AZ184&gt;0,AX184/AW184&gt;=3),"Very serious",AND(AY184&lt;=$D$1*-1,BA184&gt;0,AZ184&gt;$D$2*-1,AX184/AW184&lt;3),"Serious", AND(AY184&lt;=$D$1*-1,BA184&gt;0,AZ184&lt;$D$2*-1,AX184/AW184&lt;3),"Very serious", AND(AY184&gt;=$D$1,AZ184&lt;0,BA184&lt;$D$2,AX184/AW184&lt;3),"Serious",AND(AY184&gt;=$D$1,AZ184&lt;0,BA184&gt;$D$2,AX184/AW184&lt;3),"Very serious", AND(AY184&lt;=$D$1*-1,BA184&gt;0,AZ184&gt;$D$2*-1,AX184/AW184&gt;=3),"Very serious", AND(AY184&lt;=$D$1*-1,BA184&gt;0,AZ184&lt;$D$2*-1,AX184/AW184&gt;=3),"Very serious", AND(AY184&gt;=$D$1,AZ184&lt;0,BA184&lt;$D$2,AX184/AW184&gt;=3),"Very serious", AND(AY184&gt;=$D$1,AZ184&lt;0,BA184&gt;$D$2,AX184/AW184&gt;=3),"Very serious", AND(AY184&gt;$D$1*-1,AY184&lt;$D$1,AZ184&gt;$D$1*-1,BA184&lt;$D$1,AX184/AW184&lt;3),"Not Serious", AND(AY184&gt;$D$1*-1,AY184&lt;$D$1,OR(AZ184&lt;=$D$1*-1,BA184&gt;=$D$1),AZ184&gt;$D$2*-1,BA184&lt;$D$2,AX184/AW184&lt;3),"Serious", AND(AY184&gt;$D$1*-1,AY184&lt;$D$1,OR(AZ184&lt;=$D$2*-1,BA184&gt;=$D$2),AX184/AW184&lt;3),"Very serious", AND(AY184&gt;$D$1*-1,AY184&lt;$D$1,AZ184&gt;$D$1*-1,BA184&lt;$D$1,AX184/AW184&gt;=3),"Very serious", AND(AY184&gt;$D$1*-1,AY184&lt;$D$1,OR(AZ184&lt;=$D$1*-1,BA184&gt;=$D$1),AZ184&gt;$D$2*-1,BA184&lt;$D$2,AX184/AW184&gt;=3),"Very serious", AND(AY184&gt;$D$1*-1,AY184&lt;$D$1,OR(AZ184&lt;=$D$2*-1,BA184&gt;=$D$2),AX184/AW184&gt;=3),"Very serious"),""))</f>
        <v/>
      </c>
      <c r="BF184" s="107" t="str">
        <f t="shared" si="11"/>
        <v/>
      </c>
      <c r="BG184" s="94" t="str">
        <f t="shared" si="46"/>
        <v/>
      </c>
      <c r="BH184" s="64" t="str">
        <f t="shared" si="12"/>
        <v>#N/A</v>
      </c>
      <c r="BI184" s="64" t="str">
        <f t="shared" si="13"/>
        <v/>
      </c>
      <c r="BJ184" s="123" t="str">
        <f t="shared" si="14"/>
        <v>#N/A</v>
      </c>
      <c r="BK184" s="64" t="str">
        <f t="shared" si="50"/>
        <v>YES</v>
      </c>
      <c r="BL184" s="64" t="str">
        <f t="shared" si="16"/>
        <v>YES</v>
      </c>
      <c r="BM184" s="64" t="str">
        <f t="shared" si="17"/>
        <v>YES</v>
      </c>
      <c r="BN184" s="124" t="str">
        <f t="shared" si="18"/>
        <v/>
      </c>
      <c r="BO184" s="91" t="str">
        <f t="shared" si="19"/>
        <v/>
      </c>
      <c r="BP184" s="91" t="str">
        <f t="shared" si="20"/>
        <v>#N/A</v>
      </c>
      <c r="BQ184" s="91" t="str">
        <f t="shared" si="21"/>
        <v/>
      </c>
      <c r="BR184" s="93" t="str">
        <f t="shared" si="22"/>
        <v/>
      </c>
      <c r="BS184" s="90" t="str">
        <f t="shared" si="23"/>
        <v/>
      </c>
      <c r="BT184" s="93" t="str">
        <f t="shared" si="24"/>
        <v>NA</v>
      </c>
      <c r="BU184" s="125" t="str">
        <f t="shared" si="25"/>
        <v>#N/A</v>
      </c>
      <c r="BV184" s="93" t="str">
        <f t="shared" si="26"/>
        <v/>
      </c>
      <c r="BW184" s="93" t="str">
        <f t="shared" si="27"/>
        <v/>
      </c>
      <c r="BX184" s="93" t="str">
        <f t="shared" si="28"/>
        <v>NA</v>
      </c>
      <c r="BY184" s="95" t="str">
        <f t="shared" si="29"/>
        <v>#N/A</v>
      </c>
      <c r="BZ184" s="93" t="str">
        <f t="shared" si="30"/>
        <v/>
      </c>
      <c r="CA184" s="93" t="str">
        <f t="shared" si="31"/>
        <v/>
      </c>
      <c r="CB184" s="93" t="str">
        <f t="shared" si="32"/>
        <v>NA</v>
      </c>
      <c r="CC184" s="96" t="str">
        <f t="shared" si="33"/>
        <v>#N/A</v>
      </c>
      <c r="CD184" s="93" t="str">
        <f t="shared" si="34"/>
        <v/>
      </c>
      <c r="CE184" s="93" t="str">
        <f t="shared" si="35"/>
        <v/>
      </c>
      <c r="CF184" s="93" t="str">
        <f t="shared" si="36"/>
        <v>NA</v>
      </c>
      <c r="CG184" s="97" t="str">
        <f t="shared" si="37"/>
        <v>#N/A</v>
      </c>
      <c r="CH184" s="98" t="str">
        <f t="shared" si="38"/>
        <v>#N/A</v>
      </c>
      <c r="CI184" s="99" t="str">
        <f t="shared" si="39"/>
        <v>#N/A</v>
      </c>
      <c r="CJ184" s="126" t="str">
        <f t="shared" si="40"/>
        <v>ERROR: check cell</v>
      </c>
      <c r="CK184" s="126"/>
      <c r="CL184" s="127" t="str">
        <f t="shared" si="41"/>
        <v>#DIV/0!</v>
      </c>
      <c r="CM184" s="128" t="str">
        <f t="shared" si="42"/>
        <v>#DIV/0!</v>
      </c>
      <c r="CN184" s="128">
        <f t="shared" si="43"/>
        <v>4</v>
      </c>
      <c r="CO184" s="129">
        <f t="shared" si="44"/>
        <v>4</v>
      </c>
      <c r="CP184" s="129" t="str">
        <f>IFS(C184=Preferences!B$13,B184,B184=Preferences!B$13,C184)</f>
        <v>#N/A</v>
      </c>
    </row>
    <row r="185" ht="13.5" customHeight="1">
      <c r="A185" s="63" t="str">
        <f t="shared" si="45"/>
        <v/>
      </c>
      <c r="B185" s="64"/>
      <c r="C185" s="64"/>
      <c r="D185" s="64"/>
      <c r="E185" s="65"/>
      <c r="F185" s="65"/>
      <c r="G185" s="65"/>
      <c r="H185" s="66"/>
      <c r="I185" s="66"/>
      <c r="J185" s="67"/>
      <c r="K185" s="68"/>
      <c r="L185" s="104"/>
      <c r="M185" s="104"/>
      <c r="N185" s="104"/>
      <c r="O185" s="104"/>
      <c r="P185" s="107" t="str">
        <f t="shared" si="1"/>
        <v/>
      </c>
      <c r="Q185" s="108" t="str">
        <f>IFERROR(IF(AND(Preferences!B$3="Manual",OR(AX185/AW185&gt;G185/F185,BD185="Serious",BD185="Very serious")),"Assess imprecision",IFS(ISBLANK(E185),"",AND(Preferences!B$3="Automatic", G185/F185&gt;=30),"Extremely serious",AND(H185&lt;=$D$1*-1,J185&lt;0,G185/F185&lt;3),"Not serious",AND(H185&lt;=$D$1*-1,J185&lt;0,G185/F185&gt;=3),"Very serious",AND(H185&gt;=$D$1,I185&gt;0,G185/F185&lt;3),"Not serious",AND(H185&gt;=$D$1,I185&gt;0,G185/F185&gt;=3),"Very serious",AND(H185&lt;=$D$1*-1,J185&gt;0,I185&gt;$D$2*-1,G185/F185&lt;3),"Serious", AND(H185&lt;=$D$1*-1,J185&gt;0,I185&lt;$D$2*-1,G185/F185&lt;3),"Very serious", AND(H185&gt;=$D$1,I185&lt;0,J185&lt;$D$2,G185/F185&lt;3),"Serious",AND(H185&gt;=$D$1,I185&lt;0,J185&gt;$D$2,G185/F185&lt;3),"Very serious", AND(H185&lt;=$D$1*-1,J185&gt;0,I185&gt;$D$2*-1,G185/F185&gt;=3),"Very serious", AND(H185&lt;=$D$1*-1,J185&gt;0,I185&lt;$D$2*-1,G185/F185&gt;=3),"Very serious", AND(H185&gt;=$D$1,I185&lt;0,J185&lt;$D$2,G185/F185&gt;=3),"Very serious", AND(H185&gt;=$D$1,I185&lt;0,J185&gt;$D$2,G185/F185&gt;=3),"Very serious", AND(H185&gt;$D$1*-1,H185&lt;$D$1,I185&gt;$D$1*-1,J185&lt;$D$1,G185/F185&lt;3),"Not serious", AND(H185&gt;$D$1*-1,H185&lt;$D$1,OR(I185&lt;=$D$1*-1,J185&gt;=$D$1),I185&gt;$D$2*-1,J185&lt;$D$2,G185/F185&lt;3),"Serious", AND(H185&gt;$D$1*-1,H185&lt;$D$1,OR(I185&lt;=$D$2*-1,J185&gt;=$D$2),G185/F185&lt;3),"Very serious", AND(H185&gt;$D$1*-1,H185&lt;$D$1,I185&gt;$D$1*-1,J185&lt;$D$1,G185/F185&gt;=3),"Very serious", AND(H185&gt;$D$1*-1,H185&lt;$D$1,OR(I185&lt;=$D$1*-1,J185&gt;=$D$1),I185&gt;$D$2*-1,J185&lt;$D$2,G185/F185&gt;=3),"Very serious", AND(H185&gt;$D$1*-1,H185&lt;$D$1,OR(I185&lt;=$D$2*-1,J185&gt;=$D$2),G185/F185&gt;=3),"Very serious")),"")</f>
        <v/>
      </c>
      <c r="R185" s="109" t="str">
        <f t="shared" si="47"/>
        <v/>
      </c>
      <c r="S185" s="64"/>
      <c r="T185" s="72"/>
      <c r="U185" s="72"/>
      <c r="V185" s="72"/>
      <c r="W185" s="73"/>
      <c r="X185" s="73"/>
      <c r="Y185" s="74"/>
      <c r="Z185" s="113" t="str">
        <f t="array" ref="Z185">INDEX($A$1:$C$500, MATCH(1,($B:$B=$B185)*($C:$C=$AB185),0),1)</f>
        <v/>
      </c>
      <c r="AA185" s="113" t="str">
        <f t="array" ref="AA185">INDEX($A$1:$C$500, MATCH(1,($B:$B=$AB185)*($C:$C=$B185),0),1)</f>
        <v/>
      </c>
      <c r="AB185" s="111"/>
      <c r="AC185" s="114" t="str">
        <f t="shared" si="2"/>
        <v/>
      </c>
      <c r="AD185" s="115" t="str">
        <f t="shared" si="3"/>
        <v/>
      </c>
      <c r="AE185" s="116" t="str">
        <f t="array" ref="AE185">INDEX($A$1:$C$500, MATCH(1,($B:$B=$AB185)*($C:$C=$AG185),0),1)</f>
        <v/>
      </c>
      <c r="AF185" s="116" t="str">
        <f t="array" ref="AF185">INDEX($A$1:$C$500, MATCH(1,($B:$B=$AG185)*($C:$C=$AB185),0),1)</f>
        <v/>
      </c>
      <c r="AG185" s="72"/>
      <c r="AH185" s="114" t="str">
        <f t="shared" si="4"/>
        <v/>
      </c>
      <c r="AI185" s="115" t="str">
        <f t="shared" si="5"/>
        <v/>
      </c>
      <c r="AJ185" s="116" t="str">
        <f t="array" ref="AJ185">INDEX($A$1:$C$500, MATCH(1,($B:$B=$C185)*($C:$C=$AG185),0),1)</f>
        <v/>
      </c>
      <c r="AK185" s="116" t="str">
        <f t="array" ref="AK185">INDEX($A$1:$C$500, MATCH(1,($B:$B=$AG185)*($C:$C=$C185),0),1)</f>
        <v/>
      </c>
      <c r="AL185" s="116" t="str">
        <f t="array" ref="AL185">INDEX($A$1:$C$500, MATCH(1,($B:$B=$C185)*($C:$C=$AB185),0),1)</f>
        <v/>
      </c>
      <c r="AM185" s="116" t="str">
        <f t="array" ref="AM185">INDEX($A$1:$C$500, MATCH(1,($B:$B=$AB185)*($C:$C=$C185),0),1)</f>
        <v/>
      </c>
      <c r="AN185" s="114" t="str">
        <f t="array" ref="AN185">IFS(ISNUMBER(AJ185),AJ185,ISNUMBER(AK185),AK185,ISNUMBER(AL185),AL185,ISNUMBER(AM185),AM185)</f>
        <v>#N/A</v>
      </c>
      <c r="AO185" s="115" t="str">
        <f t="shared" si="6"/>
        <v/>
      </c>
      <c r="AP185" s="115" t="str">
        <f t="shared" si="7"/>
        <v/>
      </c>
      <c r="AQ185" s="111"/>
      <c r="AR185" s="109" t="str">
        <f t="shared" si="8"/>
        <v/>
      </c>
      <c r="AS185" s="72" t="str">
        <f>IFERROR(IF(AND(Preferences!B$3="Manual",OR(AX185/AW185&gt;V185/U185,BD185="Serious",BD185="Very serious")),"Assess imprecision",IFERROR(IFS(AND(Preferences!B$3="Automatic",V185/U185&gt;=30),"Extremely serious",AND(W185&lt;=$D$1*-1,Y185&lt;0,V185/U185&lt;3),"Not Serious",AND(W185&lt;=$D$1*-1,Y185&lt;0,V185/U185&gt;=3),"Very serious",AND(W185&gt;=$D$1,X185&gt;0,V185/U185&lt;3),"Not Serious",AND(W185&gt;=$D$1,X185&gt;0,V185/U185&gt;=3),"Very serious",AND(W185&lt;=$D$1*-1,Y185&gt;0,X185&gt;$D$2*-1,V185/U185&lt;3),"Serious", AND(W185&lt;=$D$1*-1,Y185&gt;0,X185&lt;$D$2*-1,V185/U185&lt;3),"Very serious", AND(W185&gt;=$D$1,X185&lt;0,Y185&lt;$D$2,V185/U185&lt;3),"Serious",AND(W185&gt;=$D$1,X185&lt;0,Y185&gt;$D$2,V185/U185&lt;3),"Very serious", AND(W185&lt;=$D$1*-1,Y185&gt;0,X185&gt;$D$2*-1,V185/U185&gt;=3),"Very serious", AND(W185&lt;=$D$1*-1,Y185&gt;0,X185&lt;$D$2*-1,V185/U185&gt;=3),"Very serious", AND(W185&gt;=$D$1,X185&lt;0,Y185&lt;$D$2,V185/U185&gt;=3),"Very serious", AND(W185&gt;=$D$1,X185&lt;0,Y185&gt;$D$2,V185/U185&gt;=3),"Very serious", AND(W185&gt;$D$1*-1,W185&lt;$D$1,X185&gt;$D$1*-1,Y185&lt;$D$1,V185/U185&lt;3),"Not Serious", AND(W185&gt;$D$1*-1,W185&lt;$D$1,OR(X185&lt;=$D$1*-1,Y185&gt;=$D$1),X185&gt;$D$2*-1,Y185&lt;$D$2,V185/U185&lt;3),"Serious", AND(W185&gt;$D$1*-1,W185&lt;$D$1,OR(X185&lt;=$D$2*-1,Y185&gt;=$D$2),V185/U185&lt;3),"Very serious", AND(W185&gt;$D$1*-1,W185&lt;$D$1,X185&gt;$D$1*-1,Y185&lt;$D$1,V185/U185&gt;=3),"Very serious", AND(W185&gt;$D$1*-1,W185&lt;$D$1,OR(X185&lt;=$D$1*-1,Y185&gt;=$D$1),X185&gt;$D$2*-1,Y185&lt;$D$2,V185/U185&gt;=3),"Very serious", AND(W185&gt;$D$1*-1,W185&lt;$D$1,OR(X185&lt;=$D$2*-1,Y185&gt;=$D$2),V185/U185&gt;=3),"Very serious"),"")),"")</f>
        <v/>
      </c>
      <c r="AT185" s="109" t="str">
        <f t="shared" si="9"/>
        <v/>
      </c>
      <c r="AU185" s="64"/>
      <c r="AV185" s="83"/>
      <c r="AW185" s="83"/>
      <c r="AX185" s="83"/>
      <c r="AY185" s="83"/>
      <c r="AZ185" s="83"/>
      <c r="BA185" s="85"/>
      <c r="BB185" s="86" t="str">
        <f>IF(Preferences!B$9="Manual","",IFS(ISBLANK(B185),"",AND(ISNUMBER(E185)=TRUE,ISNUMBER(T185)=FALSE),"Direct", AND(ISNUMBER(E185)=FALSE,ISNUMBER(T185)=TRUE),"Indirect", CN185=4,"Direct",AND(CL185=FALSE, CM185=TRUE,CN185-CO185&gt;-1),"Direct", AND(CL185=FALSE,CM185=TRUE, CN185-CO185&lt;0),"Check algorithm in appendix 2", AND(CL185=TRUE, CM185=FALSE,CN185-CO185&gt;0),"Check algorithm in appendix 2", AND(CL185=TRUE, CM185=FALSE,CN185-CO185=0),"Indirect", AND(CL185=TRUE, CM185=FALSE,CN185-CO185&lt;0),"Indirect", AND(CL185=FALSE,CM185=FALSE,CN185-CO185&gt;-1),"Direct", AND(CL185=FALSE,CM185=FALSE,CN185-CO185&lt;0),"Check algorithm in appendix 2", AND(CL185=TRUE,CM185=TRUE,CN185-CO185&gt;-1),"Direct", AND(CL185=TRUE,CM185=TRUE,CN185-CO185&lt;0),"Check algorithm in appendix 2"))</f>
        <v/>
      </c>
      <c r="BC185" s="120" t="str">
        <f t="shared" si="10"/>
        <v/>
      </c>
      <c r="BD185" s="140"/>
      <c r="BE185" s="122" t="str">
        <f>IF(Preferences!B$3="Manual","", IFERROR(IFS(AND(Preferences!B$3="Automatic",AX185/AW185&gt;=30),"Extremely serious",AND(AY185&lt;=$D$1*-1,BA185&lt;0,AX185/AW185&lt;3),"Not Serious",AND(AY185&lt;=$D$1*-1,BA185&lt;0,AX185/AW185&gt;=3),"Very serious",AND(AY185&gt;=$D$1,AZ185&gt;0,AX185/AW185&lt;3),"Not Serious",AND(AY185&gt;=$D$1,AZ185&gt;0,AX185/AW185&gt;=3),"Very serious",AND(AY185&lt;=$D$1*-1,BA185&gt;0,AZ185&gt;$D$2*-1,AX185/AW185&lt;3),"Serious", AND(AY185&lt;=$D$1*-1,BA185&gt;0,AZ185&lt;$D$2*-1,AX185/AW185&lt;3),"Very serious", AND(AY185&gt;=$D$1,AZ185&lt;0,BA185&lt;$D$2,AX185/AW185&lt;3),"Serious",AND(AY185&gt;=$D$1,AZ185&lt;0,BA185&gt;$D$2,AX185/AW185&lt;3),"Very serious", AND(AY185&lt;=$D$1*-1,BA185&gt;0,AZ185&gt;$D$2*-1,AX185/AW185&gt;=3),"Very serious", AND(AY185&lt;=$D$1*-1,BA185&gt;0,AZ185&lt;$D$2*-1,AX185/AW185&gt;=3),"Very serious", AND(AY185&gt;=$D$1,AZ185&lt;0,BA185&lt;$D$2,AX185/AW185&gt;=3),"Very serious", AND(AY185&gt;=$D$1,AZ185&lt;0,BA185&gt;$D$2,AX185/AW185&gt;=3),"Very serious", AND(AY185&gt;$D$1*-1,AY185&lt;$D$1,AZ185&gt;$D$1*-1,BA185&lt;$D$1,AX185/AW185&lt;3),"Not Serious", AND(AY185&gt;$D$1*-1,AY185&lt;$D$1,OR(AZ185&lt;=$D$1*-1,BA185&gt;=$D$1),AZ185&gt;$D$2*-1,BA185&lt;$D$2,AX185/AW185&lt;3),"Serious", AND(AY185&gt;$D$1*-1,AY185&lt;$D$1,OR(AZ185&lt;=$D$2*-1,BA185&gt;=$D$2),AX185/AW185&lt;3),"Very serious", AND(AY185&gt;$D$1*-1,AY185&lt;$D$1,AZ185&gt;$D$1*-1,BA185&lt;$D$1,AX185/AW185&gt;=3),"Very serious", AND(AY185&gt;$D$1*-1,AY185&lt;$D$1,OR(AZ185&lt;=$D$1*-1,BA185&gt;=$D$1),AZ185&gt;$D$2*-1,BA185&lt;$D$2,AX185/AW185&gt;=3),"Very serious", AND(AY185&gt;$D$1*-1,AY185&lt;$D$1,OR(AZ185&lt;=$D$2*-1,BA185&gt;=$D$2),AX185/AW185&gt;=3),"Very serious"),""))</f>
        <v/>
      </c>
      <c r="BF185" s="107" t="str">
        <f t="shared" si="11"/>
        <v/>
      </c>
      <c r="BG185" s="94" t="str">
        <f t="shared" si="46"/>
        <v/>
      </c>
      <c r="BH185" s="64" t="str">
        <f t="shared" si="12"/>
        <v>#N/A</v>
      </c>
      <c r="BI185" s="64" t="str">
        <f t="shared" si="13"/>
        <v/>
      </c>
      <c r="BJ185" s="123" t="str">
        <f t="shared" si="14"/>
        <v>#N/A</v>
      </c>
      <c r="BK185" s="64" t="str">
        <f t="shared" si="50"/>
        <v>YES</v>
      </c>
      <c r="BL185" s="64" t="str">
        <f t="shared" si="16"/>
        <v>YES</v>
      </c>
      <c r="BM185" s="64" t="str">
        <f t="shared" si="17"/>
        <v>YES</v>
      </c>
      <c r="BN185" s="124" t="str">
        <f t="shared" si="18"/>
        <v/>
      </c>
      <c r="BO185" s="91" t="str">
        <f t="shared" si="19"/>
        <v/>
      </c>
      <c r="BP185" s="91" t="str">
        <f t="shared" si="20"/>
        <v>#N/A</v>
      </c>
      <c r="BQ185" s="91" t="str">
        <f t="shared" si="21"/>
        <v/>
      </c>
      <c r="BR185" s="93" t="str">
        <f t="shared" si="22"/>
        <v/>
      </c>
      <c r="BS185" s="90" t="str">
        <f t="shared" si="23"/>
        <v/>
      </c>
      <c r="BT185" s="93" t="str">
        <f t="shared" si="24"/>
        <v>NA</v>
      </c>
      <c r="BU185" s="125" t="str">
        <f t="shared" si="25"/>
        <v>#N/A</v>
      </c>
      <c r="BV185" s="93" t="str">
        <f t="shared" si="26"/>
        <v/>
      </c>
      <c r="BW185" s="93" t="str">
        <f t="shared" si="27"/>
        <v/>
      </c>
      <c r="BX185" s="93" t="str">
        <f t="shared" si="28"/>
        <v>NA</v>
      </c>
      <c r="BY185" s="95" t="str">
        <f t="shared" si="29"/>
        <v>#N/A</v>
      </c>
      <c r="BZ185" s="93" t="str">
        <f t="shared" si="30"/>
        <v/>
      </c>
      <c r="CA185" s="93" t="str">
        <f t="shared" si="31"/>
        <v/>
      </c>
      <c r="CB185" s="93" t="str">
        <f t="shared" si="32"/>
        <v>NA</v>
      </c>
      <c r="CC185" s="96" t="str">
        <f t="shared" si="33"/>
        <v>#N/A</v>
      </c>
      <c r="CD185" s="93" t="str">
        <f t="shared" si="34"/>
        <v/>
      </c>
      <c r="CE185" s="93" t="str">
        <f t="shared" si="35"/>
        <v/>
      </c>
      <c r="CF185" s="93" t="str">
        <f t="shared" si="36"/>
        <v>NA</v>
      </c>
      <c r="CG185" s="97" t="str">
        <f t="shared" si="37"/>
        <v>#N/A</v>
      </c>
      <c r="CH185" s="98" t="str">
        <f t="shared" si="38"/>
        <v>#N/A</v>
      </c>
      <c r="CI185" s="99" t="str">
        <f t="shared" si="39"/>
        <v>#N/A</v>
      </c>
      <c r="CJ185" s="126" t="str">
        <f t="shared" si="40"/>
        <v>ERROR: check cell</v>
      </c>
      <c r="CK185" s="126"/>
      <c r="CL185" s="127" t="str">
        <f t="shared" si="41"/>
        <v>#DIV/0!</v>
      </c>
      <c r="CM185" s="128" t="str">
        <f t="shared" si="42"/>
        <v>#DIV/0!</v>
      </c>
      <c r="CN185" s="128">
        <f t="shared" si="43"/>
        <v>4</v>
      </c>
      <c r="CO185" s="129">
        <f t="shared" si="44"/>
        <v>4</v>
      </c>
      <c r="CP185" s="129" t="str">
        <f>IFS(C185=Preferences!B$13,B185,B185=Preferences!B$13,C185)</f>
        <v>#N/A</v>
      </c>
    </row>
    <row r="186" ht="13.5" customHeight="1">
      <c r="A186" s="63" t="str">
        <f t="shared" si="45"/>
        <v/>
      </c>
      <c r="B186" s="64"/>
      <c r="C186" s="64"/>
      <c r="D186" s="64"/>
      <c r="E186" s="65"/>
      <c r="F186" s="65"/>
      <c r="G186" s="65"/>
      <c r="H186" s="66"/>
      <c r="I186" s="66"/>
      <c r="J186" s="67"/>
      <c r="K186" s="68"/>
      <c r="L186" s="104"/>
      <c r="M186" s="104"/>
      <c r="N186" s="104"/>
      <c r="O186" s="104"/>
      <c r="P186" s="107" t="str">
        <f t="shared" si="1"/>
        <v/>
      </c>
      <c r="Q186" s="108" t="str">
        <f>IFERROR(IF(AND(Preferences!B$3="Manual",OR(AX186/AW186&gt;G186/F186,BD186="Serious",BD186="Very serious")),"Assess imprecision",IFS(ISBLANK(E186),"",AND(Preferences!B$3="Automatic", G186/F186&gt;=30),"Extremely serious",AND(H186&lt;=$D$1*-1,J186&lt;0,G186/F186&lt;3),"Not serious",AND(H186&lt;=$D$1*-1,J186&lt;0,G186/F186&gt;=3),"Very serious",AND(H186&gt;=$D$1,I186&gt;0,G186/F186&lt;3),"Not serious",AND(H186&gt;=$D$1,I186&gt;0,G186/F186&gt;=3),"Very serious",AND(H186&lt;=$D$1*-1,J186&gt;0,I186&gt;$D$2*-1,G186/F186&lt;3),"Serious", AND(H186&lt;=$D$1*-1,J186&gt;0,I186&lt;$D$2*-1,G186/F186&lt;3),"Very serious", AND(H186&gt;=$D$1,I186&lt;0,J186&lt;$D$2,G186/F186&lt;3),"Serious",AND(H186&gt;=$D$1,I186&lt;0,J186&gt;$D$2,G186/F186&lt;3),"Very serious", AND(H186&lt;=$D$1*-1,J186&gt;0,I186&gt;$D$2*-1,G186/F186&gt;=3),"Very serious", AND(H186&lt;=$D$1*-1,J186&gt;0,I186&lt;$D$2*-1,G186/F186&gt;=3),"Very serious", AND(H186&gt;=$D$1,I186&lt;0,J186&lt;$D$2,G186/F186&gt;=3),"Very serious", AND(H186&gt;=$D$1,I186&lt;0,J186&gt;$D$2,G186/F186&gt;=3),"Very serious", AND(H186&gt;$D$1*-1,H186&lt;$D$1,I186&gt;$D$1*-1,J186&lt;$D$1,G186/F186&lt;3),"Not serious", AND(H186&gt;$D$1*-1,H186&lt;$D$1,OR(I186&lt;=$D$1*-1,J186&gt;=$D$1),I186&gt;$D$2*-1,J186&lt;$D$2,G186/F186&lt;3),"Serious", AND(H186&gt;$D$1*-1,H186&lt;$D$1,OR(I186&lt;=$D$2*-1,J186&gt;=$D$2),G186/F186&lt;3),"Very serious", AND(H186&gt;$D$1*-1,H186&lt;$D$1,I186&gt;$D$1*-1,J186&lt;$D$1,G186/F186&gt;=3),"Very serious", AND(H186&gt;$D$1*-1,H186&lt;$D$1,OR(I186&lt;=$D$1*-1,J186&gt;=$D$1),I186&gt;$D$2*-1,J186&lt;$D$2,G186/F186&gt;=3),"Very serious", AND(H186&gt;$D$1*-1,H186&lt;$D$1,OR(I186&lt;=$D$2*-1,J186&gt;=$D$2),G186/F186&gt;=3),"Very serious")),"")</f>
        <v/>
      </c>
      <c r="R186" s="109" t="str">
        <f t="shared" si="47"/>
        <v/>
      </c>
      <c r="S186" s="64"/>
      <c r="T186" s="72"/>
      <c r="U186" s="72"/>
      <c r="V186" s="72"/>
      <c r="W186" s="73"/>
      <c r="X186" s="73"/>
      <c r="Y186" s="74"/>
      <c r="Z186" s="113" t="str">
        <f t="array" ref="Z186">INDEX($A$1:$C$500, MATCH(1,($B:$B=$B186)*($C:$C=$AB186),0),1)</f>
        <v/>
      </c>
      <c r="AA186" s="113" t="str">
        <f t="array" ref="AA186">INDEX($A$1:$C$500, MATCH(1,($B:$B=$AB186)*($C:$C=$B186),0),1)</f>
        <v/>
      </c>
      <c r="AB186" s="111"/>
      <c r="AC186" s="114" t="str">
        <f t="shared" si="2"/>
        <v/>
      </c>
      <c r="AD186" s="115" t="str">
        <f t="shared" si="3"/>
        <v/>
      </c>
      <c r="AE186" s="116" t="str">
        <f t="array" ref="AE186">INDEX($A$1:$C$500, MATCH(1,($B:$B=$AB186)*($C:$C=$AG186),0),1)</f>
        <v/>
      </c>
      <c r="AF186" s="116" t="str">
        <f t="array" ref="AF186">INDEX($A$1:$C$500, MATCH(1,($B:$B=$AG186)*($C:$C=$AB186),0),1)</f>
        <v/>
      </c>
      <c r="AG186" s="72"/>
      <c r="AH186" s="114" t="str">
        <f t="shared" si="4"/>
        <v/>
      </c>
      <c r="AI186" s="115" t="str">
        <f t="shared" si="5"/>
        <v/>
      </c>
      <c r="AJ186" s="116" t="str">
        <f t="array" ref="AJ186">INDEX($A$1:$C$500, MATCH(1,($B:$B=$C186)*($C:$C=$AG186),0),1)</f>
        <v/>
      </c>
      <c r="AK186" s="116" t="str">
        <f t="array" ref="AK186">INDEX($A$1:$C$500, MATCH(1,($B:$B=$AG186)*($C:$C=$C186),0),1)</f>
        <v/>
      </c>
      <c r="AL186" s="116" t="str">
        <f t="array" ref="AL186">INDEX($A$1:$C$500, MATCH(1,($B:$B=$C186)*($C:$C=$AB186),0),1)</f>
        <v/>
      </c>
      <c r="AM186" s="116" t="str">
        <f t="array" ref="AM186">INDEX($A$1:$C$500, MATCH(1,($B:$B=$AB186)*($C:$C=$C186),0),1)</f>
        <v/>
      </c>
      <c r="AN186" s="114" t="str">
        <f t="array" ref="AN186">IFS(ISNUMBER(AJ186),AJ186,ISNUMBER(AK186),AK186,ISNUMBER(AL186),AL186,ISNUMBER(AM186),AM186)</f>
        <v>#N/A</v>
      </c>
      <c r="AO186" s="115" t="str">
        <f t="shared" si="6"/>
        <v/>
      </c>
      <c r="AP186" s="115" t="str">
        <f t="shared" si="7"/>
        <v/>
      </c>
      <c r="AQ186" s="111"/>
      <c r="AR186" s="109" t="str">
        <f t="shared" si="8"/>
        <v/>
      </c>
      <c r="AS186" s="72" t="str">
        <f>IFERROR(IF(AND(Preferences!B$3="Manual",OR(AX186/AW186&gt;V186/U186,BD186="Serious",BD186="Very serious")),"Assess imprecision",IFERROR(IFS(AND(Preferences!B$3="Automatic",V186/U186&gt;=30),"Extremely serious",AND(W186&lt;=$D$1*-1,Y186&lt;0,V186/U186&lt;3),"Not Serious",AND(W186&lt;=$D$1*-1,Y186&lt;0,V186/U186&gt;=3),"Very serious",AND(W186&gt;=$D$1,X186&gt;0,V186/U186&lt;3),"Not Serious",AND(W186&gt;=$D$1,X186&gt;0,V186/U186&gt;=3),"Very serious",AND(W186&lt;=$D$1*-1,Y186&gt;0,X186&gt;$D$2*-1,V186/U186&lt;3),"Serious", AND(W186&lt;=$D$1*-1,Y186&gt;0,X186&lt;$D$2*-1,V186/U186&lt;3),"Very serious", AND(W186&gt;=$D$1,X186&lt;0,Y186&lt;$D$2,V186/U186&lt;3),"Serious",AND(W186&gt;=$D$1,X186&lt;0,Y186&gt;$D$2,V186/U186&lt;3),"Very serious", AND(W186&lt;=$D$1*-1,Y186&gt;0,X186&gt;$D$2*-1,V186/U186&gt;=3),"Very serious", AND(W186&lt;=$D$1*-1,Y186&gt;0,X186&lt;$D$2*-1,V186/U186&gt;=3),"Very serious", AND(W186&gt;=$D$1,X186&lt;0,Y186&lt;$D$2,V186/U186&gt;=3),"Very serious", AND(W186&gt;=$D$1,X186&lt;0,Y186&gt;$D$2,V186/U186&gt;=3),"Very serious", AND(W186&gt;$D$1*-1,W186&lt;$D$1,X186&gt;$D$1*-1,Y186&lt;$D$1,V186/U186&lt;3),"Not Serious", AND(W186&gt;$D$1*-1,W186&lt;$D$1,OR(X186&lt;=$D$1*-1,Y186&gt;=$D$1),X186&gt;$D$2*-1,Y186&lt;$D$2,V186/U186&lt;3),"Serious", AND(W186&gt;$D$1*-1,W186&lt;$D$1,OR(X186&lt;=$D$2*-1,Y186&gt;=$D$2),V186/U186&lt;3),"Very serious", AND(W186&gt;$D$1*-1,W186&lt;$D$1,X186&gt;$D$1*-1,Y186&lt;$D$1,V186/U186&gt;=3),"Very serious", AND(W186&gt;$D$1*-1,W186&lt;$D$1,OR(X186&lt;=$D$1*-1,Y186&gt;=$D$1),X186&gt;$D$2*-1,Y186&lt;$D$2,V186/U186&gt;=3),"Very serious", AND(W186&gt;$D$1*-1,W186&lt;$D$1,OR(X186&lt;=$D$2*-1,Y186&gt;=$D$2),V186/U186&gt;=3),"Very serious"),"")),"")</f>
        <v/>
      </c>
      <c r="AT186" s="109" t="str">
        <f t="shared" si="9"/>
        <v/>
      </c>
      <c r="AU186" s="64"/>
      <c r="AV186" s="83"/>
      <c r="AW186" s="83"/>
      <c r="AX186" s="83"/>
      <c r="AY186" s="83"/>
      <c r="AZ186" s="83"/>
      <c r="BA186" s="85"/>
      <c r="BB186" s="86" t="str">
        <f>IF(Preferences!B$9="Manual","",IFS(ISBLANK(B186),"",AND(ISNUMBER(E186)=TRUE,ISNUMBER(T186)=FALSE),"Direct", AND(ISNUMBER(E186)=FALSE,ISNUMBER(T186)=TRUE),"Indirect", CN186=4,"Direct",AND(CL186=FALSE, CM186=TRUE,CN186-CO186&gt;-1),"Direct", AND(CL186=FALSE,CM186=TRUE, CN186-CO186&lt;0),"Check algorithm in appendix 2", AND(CL186=TRUE, CM186=FALSE,CN186-CO186&gt;0),"Check algorithm in appendix 2", AND(CL186=TRUE, CM186=FALSE,CN186-CO186=0),"Indirect", AND(CL186=TRUE, CM186=FALSE,CN186-CO186&lt;0),"Indirect", AND(CL186=FALSE,CM186=FALSE,CN186-CO186&gt;-1),"Direct", AND(CL186=FALSE,CM186=FALSE,CN186-CO186&lt;0),"Check algorithm in appendix 2", AND(CL186=TRUE,CM186=TRUE,CN186-CO186&gt;-1),"Direct", AND(CL186=TRUE,CM186=TRUE,CN186-CO186&lt;0),"Check algorithm in appendix 2"))</f>
        <v/>
      </c>
      <c r="BC186" s="120" t="str">
        <f t="shared" si="10"/>
        <v/>
      </c>
      <c r="BD186" s="140"/>
      <c r="BE186" s="122" t="str">
        <f>IF(Preferences!B$3="Manual","", IFERROR(IFS(AND(Preferences!B$3="Automatic",AX186/AW186&gt;=30),"Extremely serious",AND(AY186&lt;=$D$1*-1,BA186&lt;0,AX186/AW186&lt;3),"Not Serious",AND(AY186&lt;=$D$1*-1,BA186&lt;0,AX186/AW186&gt;=3),"Very serious",AND(AY186&gt;=$D$1,AZ186&gt;0,AX186/AW186&lt;3),"Not Serious",AND(AY186&gt;=$D$1,AZ186&gt;0,AX186/AW186&gt;=3),"Very serious",AND(AY186&lt;=$D$1*-1,BA186&gt;0,AZ186&gt;$D$2*-1,AX186/AW186&lt;3),"Serious", AND(AY186&lt;=$D$1*-1,BA186&gt;0,AZ186&lt;$D$2*-1,AX186/AW186&lt;3),"Very serious", AND(AY186&gt;=$D$1,AZ186&lt;0,BA186&lt;$D$2,AX186/AW186&lt;3),"Serious",AND(AY186&gt;=$D$1,AZ186&lt;0,BA186&gt;$D$2,AX186/AW186&lt;3),"Very serious", AND(AY186&lt;=$D$1*-1,BA186&gt;0,AZ186&gt;$D$2*-1,AX186/AW186&gt;=3),"Very serious", AND(AY186&lt;=$D$1*-1,BA186&gt;0,AZ186&lt;$D$2*-1,AX186/AW186&gt;=3),"Very serious", AND(AY186&gt;=$D$1,AZ186&lt;0,BA186&lt;$D$2,AX186/AW186&gt;=3),"Very serious", AND(AY186&gt;=$D$1,AZ186&lt;0,BA186&gt;$D$2,AX186/AW186&gt;=3),"Very serious", AND(AY186&gt;$D$1*-1,AY186&lt;$D$1,AZ186&gt;$D$1*-1,BA186&lt;$D$1,AX186/AW186&lt;3),"Not Serious", AND(AY186&gt;$D$1*-1,AY186&lt;$D$1,OR(AZ186&lt;=$D$1*-1,BA186&gt;=$D$1),AZ186&gt;$D$2*-1,BA186&lt;$D$2,AX186/AW186&lt;3),"Serious", AND(AY186&gt;$D$1*-1,AY186&lt;$D$1,OR(AZ186&lt;=$D$2*-1,BA186&gt;=$D$2),AX186/AW186&lt;3),"Very serious", AND(AY186&gt;$D$1*-1,AY186&lt;$D$1,AZ186&gt;$D$1*-1,BA186&lt;$D$1,AX186/AW186&gt;=3),"Very serious", AND(AY186&gt;$D$1*-1,AY186&lt;$D$1,OR(AZ186&lt;=$D$1*-1,BA186&gt;=$D$1),AZ186&gt;$D$2*-1,BA186&lt;$D$2,AX186/AW186&gt;=3),"Very serious", AND(AY186&gt;$D$1*-1,AY186&lt;$D$1,OR(AZ186&lt;=$D$2*-1,BA186&gt;=$D$2),AX186/AW186&gt;=3),"Very serious"),""))</f>
        <v/>
      </c>
      <c r="BF186" s="107" t="str">
        <f t="shared" si="11"/>
        <v/>
      </c>
      <c r="BG186" s="94" t="str">
        <f t="shared" si="46"/>
        <v/>
      </c>
      <c r="BH186" s="64" t="str">
        <f t="shared" si="12"/>
        <v>#N/A</v>
      </c>
      <c r="BI186" s="64" t="str">
        <f t="shared" si="13"/>
        <v/>
      </c>
      <c r="BJ186" s="123" t="str">
        <f t="shared" si="14"/>
        <v>#N/A</v>
      </c>
      <c r="BK186" s="64" t="str">
        <f t="shared" si="50"/>
        <v>YES</v>
      </c>
      <c r="BL186" s="64" t="str">
        <f t="shared" si="16"/>
        <v>YES</v>
      </c>
      <c r="BM186" s="64" t="str">
        <f t="shared" si="17"/>
        <v>YES</v>
      </c>
      <c r="BN186" s="124" t="str">
        <f t="shared" si="18"/>
        <v/>
      </c>
      <c r="BO186" s="91" t="str">
        <f t="shared" si="19"/>
        <v/>
      </c>
      <c r="BP186" s="91" t="str">
        <f t="shared" si="20"/>
        <v>#N/A</v>
      </c>
      <c r="BQ186" s="91" t="str">
        <f t="shared" si="21"/>
        <v/>
      </c>
      <c r="BR186" s="93" t="str">
        <f t="shared" si="22"/>
        <v/>
      </c>
      <c r="BS186" s="90" t="str">
        <f t="shared" si="23"/>
        <v/>
      </c>
      <c r="BT186" s="93" t="str">
        <f t="shared" si="24"/>
        <v>NA</v>
      </c>
      <c r="BU186" s="125" t="str">
        <f t="shared" si="25"/>
        <v>#N/A</v>
      </c>
      <c r="BV186" s="93" t="str">
        <f t="shared" si="26"/>
        <v/>
      </c>
      <c r="BW186" s="93" t="str">
        <f t="shared" si="27"/>
        <v/>
      </c>
      <c r="BX186" s="93" t="str">
        <f t="shared" si="28"/>
        <v>NA</v>
      </c>
      <c r="BY186" s="95" t="str">
        <f t="shared" si="29"/>
        <v>#N/A</v>
      </c>
      <c r="BZ186" s="93" t="str">
        <f t="shared" si="30"/>
        <v/>
      </c>
      <c r="CA186" s="93" t="str">
        <f t="shared" si="31"/>
        <v/>
      </c>
      <c r="CB186" s="93" t="str">
        <f t="shared" si="32"/>
        <v>NA</v>
      </c>
      <c r="CC186" s="96" t="str">
        <f t="shared" si="33"/>
        <v>#N/A</v>
      </c>
      <c r="CD186" s="93" t="str">
        <f t="shared" si="34"/>
        <v/>
      </c>
      <c r="CE186" s="93" t="str">
        <f t="shared" si="35"/>
        <v/>
      </c>
      <c r="CF186" s="93" t="str">
        <f t="shared" si="36"/>
        <v>NA</v>
      </c>
      <c r="CG186" s="97" t="str">
        <f t="shared" si="37"/>
        <v>#N/A</v>
      </c>
      <c r="CH186" s="98" t="str">
        <f t="shared" si="38"/>
        <v>#N/A</v>
      </c>
      <c r="CI186" s="99" t="str">
        <f t="shared" si="39"/>
        <v>#N/A</v>
      </c>
      <c r="CJ186" s="126" t="str">
        <f t="shared" si="40"/>
        <v>ERROR: check cell</v>
      </c>
      <c r="CK186" s="126"/>
      <c r="CL186" s="127" t="str">
        <f t="shared" si="41"/>
        <v>#DIV/0!</v>
      </c>
      <c r="CM186" s="128" t="str">
        <f t="shared" si="42"/>
        <v>#DIV/0!</v>
      </c>
      <c r="CN186" s="128">
        <f t="shared" si="43"/>
        <v>4</v>
      </c>
      <c r="CO186" s="129">
        <f t="shared" si="44"/>
        <v>4</v>
      </c>
      <c r="CP186" s="129" t="str">
        <f>IFS(C186=Preferences!B$13,B186,B186=Preferences!B$13,C186)</f>
        <v>#N/A</v>
      </c>
    </row>
    <row r="187" ht="13.5" customHeight="1">
      <c r="A187" s="63" t="str">
        <f t="shared" si="45"/>
        <v/>
      </c>
      <c r="B187" s="64"/>
      <c r="C187" s="64"/>
      <c r="D187" s="64"/>
      <c r="E187" s="65"/>
      <c r="F187" s="65"/>
      <c r="G187" s="65"/>
      <c r="H187" s="66"/>
      <c r="I187" s="66"/>
      <c r="J187" s="67"/>
      <c r="K187" s="68"/>
      <c r="L187" s="104"/>
      <c r="M187" s="104"/>
      <c r="N187" s="104"/>
      <c r="O187" s="104"/>
      <c r="P187" s="107" t="str">
        <f t="shared" si="1"/>
        <v/>
      </c>
      <c r="Q187" s="108" t="str">
        <f>IFERROR(IF(AND(Preferences!B$3="Manual",OR(AX187/AW187&gt;G187/F187,BD187="Serious",BD187="Very serious")),"Assess imprecision",IFS(ISBLANK(E187),"",AND(Preferences!B$3="Automatic", G187/F187&gt;=30),"Extremely serious",AND(H187&lt;=$D$1*-1,J187&lt;0,G187/F187&lt;3),"Not serious",AND(H187&lt;=$D$1*-1,J187&lt;0,G187/F187&gt;=3),"Very serious",AND(H187&gt;=$D$1,I187&gt;0,G187/F187&lt;3),"Not serious",AND(H187&gt;=$D$1,I187&gt;0,G187/F187&gt;=3),"Very serious",AND(H187&lt;=$D$1*-1,J187&gt;0,I187&gt;$D$2*-1,G187/F187&lt;3),"Serious", AND(H187&lt;=$D$1*-1,J187&gt;0,I187&lt;$D$2*-1,G187/F187&lt;3),"Very serious", AND(H187&gt;=$D$1,I187&lt;0,J187&lt;$D$2,G187/F187&lt;3),"Serious",AND(H187&gt;=$D$1,I187&lt;0,J187&gt;$D$2,G187/F187&lt;3),"Very serious", AND(H187&lt;=$D$1*-1,J187&gt;0,I187&gt;$D$2*-1,G187/F187&gt;=3),"Very serious", AND(H187&lt;=$D$1*-1,J187&gt;0,I187&lt;$D$2*-1,G187/F187&gt;=3),"Very serious", AND(H187&gt;=$D$1,I187&lt;0,J187&lt;$D$2,G187/F187&gt;=3),"Very serious", AND(H187&gt;=$D$1,I187&lt;0,J187&gt;$D$2,G187/F187&gt;=3),"Very serious", AND(H187&gt;$D$1*-1,H187&lt;$D$1,I187&gt;$D$1*-1,J187&lt;$D$1,G187/F187&lt;3),"Not serious", AND(H187&gt;$D$1*-1,H187&lt;$D$1,OR(I187&lt;=$D$1*-1,J187&gt;=$D$1),I187&gt;$D$2*-1,J187&lt;$D$2,G187/F187&lt;3),"Serious", AND(H187&gt;$D$1*-1,H187&lt;$D$1,OR(I187&lt;=$D$2*-1,J187&gt;=$D$2),G187/F187&lt;3),"Very serious", AND(H187&gt;$D$1*-1,H187&lt;$D$1,I187&gt;$D$1*-1,J187&lt;$D$1,G187/F187&gt;=3),"Very serious", AND(H187&gt;$D$1*-1,H187&lt;$D$1,OR(I187&lt;=$D$1*-1,J187&gt;=$D$1),I187&gt;$D$2*-1,J187&lt;$D$2,G187/F187&gt;=3),"Very serious", AND(H187&gt;$D$1*-1,H187&lt;$D$1,OR(I187&lt;=$D$2*-1,J187&gt;=$D$2),G187/F187&gt;=3),"Very serious")),"")</f>
        <v/>
      </c>
      <c r="R187" s="109" t="str">
        <f t="shared" si="47"/>
        <v/>
      </c>
      <c r="S187" s="64"/>
      <c r="T187" s="72"/>
      <c r="U187" s="72"/>
      <c r="V187" s="72"/>
      <c r="W187" s="73"/>
      <c r="X187" s="73"/>
      <c r="Y187" s="74"/>
      <c r="Z187" s="113" t="str">
        <f t="array" ref="Z187">INDEX($A$1:$C$500, MATCH(1,($B:$B=$B187)*($C:$C=$AB187),0),1)</f>
        <v/>
      </c>
      <c r="AA187" s="113" t="str">
        <f t="array" ref="AA187">INDEX($A$1:$C$500, MATCH(1,($B:$B=$AB187)*($C:$C=$B187),0),1)</f>
        <v/>
      </c>
      <c r="AB187" s="111"/>
      <c r="AC187" s="114" t="str">
        <f t="shared" si="2"/>
        <v/>
      </c>
      <c r="AD187" s="115" t="str">
        <f t="shared" si="3"/>
        <v/>
      </c>
      <c r="AE187" s="116" t="str">
        <f t="array" ref="AE187">INDEX($A$1:$C$500, MATCH(1,($B:$B=$AB187)*($C:$C=$AG187),0),1)</f>
        <v/>
      </c>
      <c r="AF187" s="116" t="str">
        <f t="array" ref="AF187">INDEX($A$1:$C$500, MATCH(1,($B:$B=$AG187)*($C:$C=$AB187),0),1)</f>
        <v/>
      </c>
      <c r="AG187" s="72"/>
      <c r="AH187" s="114" t="str">
        <f t="shared" si="4"/>
        <v/>
      </c>
      <c r="AI187" s="115" t="str">
        <f t="shared" si="5"/>
        <v/>
      </c>
      <c r="AJ187" s="116" t="str">
        <f t="array" ref="AJ187">INDEX($A$1:$C$500, MATCH(1,($B:$B=$C187)*($C:$C=$AG187),0),1)</f>
        <v/>
      </c>
      <c r="AK187" s="116" t="str">
        <f t="array" ref="AK187">INDEX($A$1:$C$500, MATCH(1,($B:$B=$AG187)*($C:$C=$C187),0),1)</f>
        <v/>
      </c>
      <c r="AL187" s="116" t="str">
        <f t="array" ref="AL187">INDEX($A$1:$C$500, MATCH(1,($B:$B=$C187)*($C:$C=$AB187),0),1)</f>
        <v/>
      </c>
      <c r="AM187" s="116" t="str">
        <f t="array" ref="AM187">INDEX($A$1:$C$500, MATCH(1,($B:$B=$AB187)*($C:$C=$C187),0),1)</f>
        <v/>
      </c>
      <c r="AN187" s="114" t="str">
        <f t="array" ref="AN187">IFS(ISNUMBER(AJ187),AJ187,ISNUMBER(AK187),AK187,ISNUMBER(AL187),AL187,ISNUMBER(AM187),AM187)</f>
        <v>#N/A</v>
      </c>
      <c r="AO187" s="115" t="str">
        <f t="shared" si="6"/>
        <v/>
      </c>
      <c r="AP187" s="115" t="str">
        <f t="shared" si="7"/>
        <v/>
      </c>
      <c r="AQ187" s="111"/>
      <c r="AR187" s="109" t="str">
        <f t="shared" si="8"/>
        <v/>
      </c>
      <c r="AS187" s="72" t="str">
        <f>IFERROR(IF(AND(Preferences!B$3="Manual",OR(AX187/AW187&gt;V187/U187,BD187="Serious",BD187="Very serious")),"Assess imprecision",IFERROR(IFS(AND(Preferences!B$3="Automatic",V187/U187&gt;=30),"Extremely serious",AND(W187&lt;=$D$1*-1,Y187&lt;0,V187/U187&lt;3),"Not Serious",AND(W187&lt;=$D$1*-1,Y187&lt;0,V187/U187&gt;=3),"Very serious",AND(W187&gt;=$D$1,X187&gt;0,V187/U187&lt;3),"Not Serious",AND(W187&gt;=$D$1,X187&gt;0,V187/U187&gt;=3),"Very serious",AND(W187&lt;=$D$1*-1,Y187&gt;0,X187&gt;$D$2*-1,V187/U187&lt;3),"Serious", AND(W187&lt;=$D$1*-1,Y187&gt;0,X187&lt;$D$2*-1,V187/U187&lt;3),"Very serious", AND(W187&gt;=$D$1,X187&lt;0,Y187&lt;$D$2,V187/U187&lt;3),"Serious",AND(W187&gt;=$D$1,X187&lt;0,Y187&gt;$D$2,V187/U187&lt;3),"Very serious", AND(W187&lt;=$D$1*-1,Y187&gt;0,X187&gt;$D$2*-1,V187/U187&gt;=3),"Very serious", AND(W187&lt;=$D$1*-1,Y187&gt;0,X187&lt;$D$2*-1,V187/U187&gt;=3),"Very serious", AND(W187&gt;=$D$1,X187&lt;0,Y187&lt;$D$2,V187/U187&gt;=3),"Very serious", AND(W187&gt;=$D$1,X187&lt;0,Y187&gt;$D$2,V187/U187&gt;=3),"Very serious", AND(W187&gt;$D$1*-1,W187&lt;$D$1,X187&gt;$D$1*-1,Y187&lt;$D$1,V187/U187&lt;3),"Not Serious", AND(W187&gt;$D$1*-1,W187&lt;$D$1,OR(X187&lt;=$D$1*-1,Y187&gt;=$D$1),X187&gt;$D$2*-1,Y187&lt;$D$2,V187/U187&lt;3),"Serious", AND(W187&gt;$D$1*-1,W187&lt;$D$1,OR(X187&lt;=$D$2*-1,Y187&gt;=$D$2),V187/U187&lt;3),"Very serious", AND(W187&gt;$D$1*-1,W187&lt;$D$1,X187&gt;$D$1*-1,Y187&lt;$D$1,V187/U187&gt;=3),"Very serious", AND(W187&gt;$D$1*-1,W187&lt;$D$1,OR(X187&lt;=$D$1*-1,Y187&gt;=$D$1),X187&gt;$D$2*-1,Y187&lt;$D$2,V187/U187&gt;=3),"Very serious", AND(W187&gt;$D$1*-1,W187&lt;$D$1,OR(X187&lt;=$D$2*-1,Y187&gt;=$D$2),V187/U187&gt;=3),"Very serious"),"")),"")</f>
        <v/>
      </c>
      <c r="AT187" s="109" t="str">
        <f t="shared" si="9"/>
        <v/>
      </c>
      <c r="AU187" s="64"/>
      <c r="AV187" s="83"/>
      <c r="AW187" s="83"/>
      <c r="AX187" s="83"/>
      <c r="AY187" s="83"/>
      <c r="AZ187" s="83"/>
      <c r="BA187" s="85"/>
      <c r="BB187" s="86" t="str">
        <f>IF(Preferences!B$9="Manual","",IFS(ISBLANK(B187),"",AND(ISNUMBER(E187)=TRUE,ISNUMBER(T187)=FALSE),"Direct", AND(ISNUMBER(E187)=FALSE,ISNUMBER(T187)=TRUE),"Indirect", CN187=4,"Direct",AND(CL187=FALSE, CM187=TRUE,CN187-CO187&gt;-1),"Direct", AND(CL187=FALSE,CM187=TRUE, CN187-CO187&lt;0),"Check algorithm in appendix 2", AND(CL187=TRUE, CM187=FALSE,CN187-CO187&gt;0),"Check algorithm in appendix 2", AND(CL187=TRUE, CM187=FALSE,CN187-CO187=0),"Indirect", AND(CL187=TRUE, CM187=FALSE,CN187-CO187&lt;0),"Indirect", AND(CL187=FALSE,CM187=FALSE,CN187-CO187&gt;-1),"Direct", AND(CL187=FALSE,CM187=FALSE,CN187-CO187&lt;0),"Check algorithm in appendix 2", AND(CL187=TRUE,CM187=TRUE,CN187-CO187&gt;-1),"Direct", AND(CL187=TRUE,CM187=TRUE,CN187-CO187&lt;0),"Check algorithm in appendix 2"))</f>
        <v/>
      </c>
      <c r="BC187" s="120" t="str">
        <f t="shared" si="10"/>
        <v/>
      </c>
      <c r="BD187" s="140"/>
      <c r="BE187" s="122" t="str">
        <f>IF(Preferences!B$3="Manual","", IFERROR(IFS(AND(Preferences!B$3="Automatic",AX187/AW187&gt;=30),"Extremely serious",AND(AY187&lt;=$D$1*-1,BA187&lt;0,AX187/AW187&lt;3),"Not Serious",AND(AY187&lt;=$D$1*-1,BA187&lt;0,AX187/AW187&gt;=3),"Very serious",AND(AY187&gt;=$D$1,AZ187&gt;0,AX187/AW187&lt;3),"Not Serious",AND(AY187&gt;=$D$1,AZ187&gt;0,AX187/AW187&gt;=3),"Very serious",AND(AY187&lt;=$D$1*-1,BA187&gt;0,AZ187&gt;$D$2*-1,AX187/AW187&lt;3),"Serious", AND(AY187&lt;=$D$1*-1,BA187&gt;0,AZ187&lt;$D$2*-1,AX187/AW187&lt;3),"Very serious", AND(AY187&gt;=$D$1,AZ187&lt;0,BA187&lt;$D$2,AX187/AW187&lt;3),"Serious",AND(AY187&gt;=$D$1,AZ187&lt;0,BA187&gt;$D$2,AX187/AW187&lt;3),"Very serious", AND(AY187&lt;=$D$1*-1,BA187&gt;0,AZ187&gt;$D$2*-1,AX187/AW187&gt;=3),"Very serious", AND(AY187&lt;=$D$1*-1,BA187&gt;0,AZ187&lt;$D$2*-1,AX187/AW187&gt;=3),"Very serious", AND(AY187&gt;=$D$1,AZ187&lt;0,BA187&lt;$D$2,AX187/AW187&gt;=3),"Very serious", AND(AY187&gt;=$D$1,AZ187&lt;0,BA187&gt;$D$2,AX187/AW187&gt;=3),"Very serious", AND(AY187&gt;$D$1*-1,AY187&lt;$D$1,AZ187&gt;$D$1*-1,BA187&lt;$D$1,AX187/AW187&lt;3),"Not Serious", AND(AY187&gt;$D$1*-1,AY187&lt;$D$1,OR(AZ187&lt;=$D$1*-1,BA187&gt;=$D$1),AZ187&gt;$D$2*-1,BA187&lt;$D$2,AX187/AW187&lt;3),"Serious", AND(AY187&gt;$D$1*-1,AY187&lt;$D$1,OR(AZ187&lt;=$D$2*-1,BA187&gt;=$D$2),AX187/AW187&lt;3),"Very serious", AND(AY187&gt;$D$1*-1,AY187&lt;$D$1,AZ187&gt;$D$1*-1,BA187&lt;$D$1,AX187/AW187&gt;=3),"Very serious", AND(AY187&gt;$D$1*-1,AY187&lt;$D$1,OR(AZ187&lt;=$D$1*-1,BA187&gt;=$D$1),AZ187&gt;$D$2*-1,BA187&lt;$D$2,AX187/AW187&gt;=3),"Very serious", AND(AY187&gt;$D$1*-1,AY187&lt;$D$1,OR(AZ187&lt;=$D$2*-1,BA187&gt;=$D$2),AX187/AW187&gt;=3),"Very serious"),""))</f>
        <v/>
      </c>
      <c r="BF187" s="107" t="str">
        <f t="shared" si="11"/>
        <v/>
      </c>
      <c r="BG187" s="94" t="str">
        <f t="shared" si="46"/>
        <v/>
      </c>
      <c r="BH187" s="64" t="str">
        <f t="shared" si="12"/>
        <v>#N/A</v>
      </c>
      <c r="BI187" s="64" t="str">
        <f t="shared" si="13"/>
        <v/>
      </c>
      <c r="BJ187" s="123" t="str">
        <f t="shared" si="14"/>
        <v>#N/A</v>
      </c>
      <c r="BK187" s="64" t="str">
        <f t="shared" si="50"/>
        <v>YES</v>
      </c>
      <c r="BL187" s="64" t="str">
        <f t="shared" si="16"/>
        <v>YES</v>
      </c>
      <c r="BM187" s="64" t="str">
        <f t="shared" si="17"/>
        <v>YES</v>
      </c>
      <c r="BN187" s="124" t="str">
        <f t="shared" si="18"/>
        <v/>
      </c>
      <c r="BO187" s="91" t="str">
        <f t="shared" si="19"/>
        <v/>
      </c>
      <c r="BP187" s="91" t="str">
        <f t="shared" si="20"/>
        <v>#N/A</v>
      </c>
      <c r="BQ187" s="91" t="str">
        <f t="shared" si="21"/>
        <v/>
      </c>
      <c r="BR187" s="93" t="str">
        <f t="shared" si="22"/>
        <v/>
      </c>
      <c r="BS187" s="90" t="str">
        <f t="shared" si="23"/>
        <v/>
      </c>
      <c r="BT187" s="93" t="str">
        <f t="shared" si="24"/>
        <v>NA</v>
      </c>
      <c r="BU187" s="125" t="str">
        <f t="shared" si="25"/>
        <v>#N/A</v>
      </c>
      <c r="BV187" s="93" t="str">
        <f t="shared" si="26"/>
        <v/>
      </c>
      <c r="BW187" s="93" t="str">
        <f t="shared" si="27"/>
        <v/>
      </c>
      <c r="BX187" s="93" t="str">
        <f t="shared" si="28"/>
        <v>NA</v>
      </c>
      <c r="BY187" s="95" t="str">
        <f t="shared" si="29"/>
        <v>#N/A</v>
      </c>
      <c r="BZ187" s="93" t="str">
        <f t="shared" si="30"/>
        <v/>
      </c>
      <c r="CA187" s="93" t="str">
        <f t="shared" si="31"/>
        <v/>
      </c>
      <c r="CB187" s="93" t="str">
        <f t="shared" si="32"/>
        <v>NA</v>
      </c>
      <c r="CC187" s="96" t="str">
        <f t="shared" si="33"/>
        <v>#N/A</v>
      </c>
      <c r="CD187" s="93" t="str">
        <f t="shared" si="34"/>
        <v/>
      </c>
      <c r="CE187" s="93" t="str">
        <f t="shared" si="35"/>
        <v/>
      </c>
      <c r="CF187" s="93" t="str">
        <f t="shared" si="36"/>
        <v>NA</v>
      </c>
      <c r="CG187" s="97" t="str">
        <f t="shared" si="37"/>
        <v>#N/A</v>
      </c>
      <c r="CH187" s="98" t="str">
        <f t="shared" si="38"/>
        <v>#N/A</v>
      </c>
      <c r="CI187" s="99" t="str">
        <f t="shared" si="39"/>
        <v>#N/A</v>
      </c>
      <c r="CJ187" s="126" t="str">
        <f t="shared" si="40"/>
        <v>ERROR: check cell</v>
      </c>
      <c r="CK187" s="126"/>
      <c r="CL187" s="127" t="str">
        <f t="shared" si="41"/>
        <v>#DIV/0!</v>
      </c>
      <c r="CM187" s="128" t="str">
        <f t="shared" si="42"/>
        <v>#DIV/0!</v>
      </c>
      <c r="CN187" s="128">
        <f t="shared" si="43"/>
        <v>4</v>
      </c>
      <c r="CO187" s="129">
        <f t="shared" si="44"/>
        <v>4</v>
      </c>
      <c r="CP187" s="129" t="str">
        <f>IFS(C187=Preferences!B$13,B187,B187=Preferences!B$13,C187)</f>
        <v>#N/A</v>
      </c>
    </row>
    <row r="188" ht="13.5" customHeight="1">
      <c r="A188" s="63" t="str">
        <f t="shared" si="45"/>
        <v/>
      </c>
      <c r="B188" s="64"/>
      <c r="C188" s="64"/>
      <c r="D188" s="64"/>
      <c r="E188" s="65"/>
      <c r="F188" s="65"/>
      <c r="G188" s="65"/>
      <c r="H188" s="66"/>
      <c r="I188" s="66"/>
      <c r="J188" s="67"/>
      <c r="K188" s="68"/>
      <c r="L188" s="104"/>
      <c r="M188" s="104"/>
      <c r="N188" s="104"/>
      <c r="O188" s="104"/>
      <c r="P188" s="107" t="str">
        <f t="shared" si="1"/>
        <v/>
      </c>
      <c r="Q188" s="108" t="str">
        <f>IFERROR(IF(AND(Preferences!B$3="Manual",OR(AX188/AW188&gt;G188/F188,BD188="Serious",BD188="Very serious")),"Assess imprecision",IFS(ISBLANK(E188),"",AND(Preferences!B$3="Automatic", G188/F188&gt;=30),"Extremely serious",AND(H188&lt;=$D$1*-1,J188&lt;0,G188/F188&lt;3),"Not serious",AND(H188&lt;=$D$1*-1,J188&lt;0,G188/F188&gt;=3),"Very serious",AND(H188&gt;=$D$1,I188&gt;0,G188/F188&lt;3),"Not serious",AND(H188&gt;=$D$1,I188&gt;0,G188/F188&gt;=3),"Very serious",AND(H188&lt;=$D$1*-1,J188&gt;0,I188&gt;$D$2*-1,G188/F188&lt;3),"Serious", AND(H188&lt;=$D$1*-1,J188&gt;0,I188&lt;$D$2*-1,G188/F188&lt;3),"Very serious", AND(H188&gt;=$D$1,I188&lt;0,J188&lt;$D$2,G188/F188&lt;3),"Serious",AND(H188&gt;=$D$1,I188&lt;0,J188&gt;$D$2,G188/F188&lt;3),"Very serious", AND(H188&lt;=$D$1*-1,J188&gt;0,I188&gt;$D$2*-1,G188/F188&gt;=3),"Very serious", AND(H188&lt;=$D$1*-1,J188&gt;0,I188&lt;$D$2*-1,G188/F188&gt;=3),"Very serious", AND(H188&gt;=$D$1,I188&lt;0,J188&lt;$D$2,G188/F188&gt;=3),"Very serious", AND(H188&gt;=$D$1,I188&lt;0,J188&gt;$D$2,G188/F188&gt;=3),"Very serious", AND(H188&gt;$D$1*-1,H188&lt;$D$1,I188&gt;$D$1*-1,J188&lt;$D$1,G188/F188&lt;3),"Not serious", AND(H188&gt;$D$1*-1,H188&lt;$D$1,OR(I188&lt;=$D$1*-1,J188&gt;=$D$1),I188&gt;$D$2*-1,J188&lt;$D$2,G188/F188&lt;3),"Serious", AND(H188&gt;$D$1*-1,H188&lt;$D$1,OR(I188&lt;=$D$2*-1,J188&gt;=$D$2),G188/F188&lt;3),"Very serious", AND(H188&gt;$D$1*-1,H188&lt;$D$1,I188&gt;$D$1*-1,J188&lt;$D$1,G188/F188&gt;=3),"Very serious", AND(H188&gt;$D$1*-1,H188&lt;$D$1,OR(I188&lt;=$D$1*-1,J188&gt;=$D$1),I188&gt;$D$2*-1,J188&lt;$D$2,G188/F188&gt;=3),"Very serious", AND(H188&gt;$D$1*-1,H188&lt;$D$1,OR(I188&lt;=$D$2*-1,J188&gt;=$D$2),G188/F188&gt;=3),"Very serious")),"")</f>
        <v/>
      </c>
      <c r="R188" s="109" t="str">
        <f t="shared" si="47"/>
        <v/>
      </c>
      <c r="S188" s="64"/>
      <c r="T188" s="72"/>
      <c r="U188" s="72"/>
      <c r="V188" s="72"/>
      <c r="W188" s="73"/>
      <c r="X188" s="73"/>
      <c r="Y188" s="74"/>
      <c r="Z188" s="113" t="str">
        <f t="array" ref="Z188">INDEX($A$1:$C$500, MATCH(1,($B:$B=$B188)*($C:$C=$AB188),0),1)</f>
        <v/>
      </c>
      <c r="AA188" s="113" t="str">
        <f t="array" ref="AA188">INDEX($A$1:$C$500, MATCH(1,($B:$B=$AB188)*($C:$C=$B188),0),1)</f>
        <v/>
      </c>
      <c r="AB188" s="111"/>
      <c r="AC188" s="114" t="str">
        <f t="shared" si="2"/>
        <v/>
      </c>
      <c r="AD188" s="115" t="str">
        <f t="shared" si="3"/>
        <v/>
      </c>
      <c r="AE188" s="116" t="str">
        <f t="array" ref="AE188">INDEX($A$1:$C$500, MATCH(1,($B:$B=$AB188)*($C:$C=$AG188),0),1)</f>
        <v/>
      </c>
      <c r="AF188" s="116" t="str">
        <f t="array" ref="AF188">INDEX($A$1:$C$500, MATCH(1,($B:$B=$AG188)*($C:$C=$AB188),0),1)</f>
        <v/>
      </c>
      <c r="AG188" s="72"/>
      <c r="AH188" s="114" t="str">
        <f t="shared" si="4"/>
        <v/>
      </c>
      <c r="AI188" s="115" t="str">
        <f t="shared" si="5"/>
        <v/>
      </c>
      <c r="AJ188" s="116" t="str">
        <f t="array" ref="AJ188">INDEX($A$1:$C$500, MATCH(1,($B:$B=$C188)*($C:$C=$AG188),0),1)</f>
        <v/>
      </c>
      <c r="AK188" s="116" t="str">
        <f t="array" ref="AK188">INDEX($A$1:$C$500, MATCH(1,($B:$B=$AG188)*($C:$C=$C188),0),1)</f>
        <v/>
      </c>
      <c r="AL188" s="116" t="str">
        <f t="array" ref="AL188">INDEX($A$1:$C$500, MATCH(1,($B:$B=$C188)*($C:$C=$AB188),0),1)</f>
        <v/>
      </c>
      <c r="AM188" s="116" t="str">
        <f t="array" ref="AM188">INDEX($A$1:$C$500, MATCH(1,($B:$B=$AB188)*($C:$C=$C188),0),1)</f>
        <v/>
      </c>
      <c r="AN188" s="114" t="str">
        <f t="array" ref="AN188">IFS(ISNUMBER(AJ188),AJ188,ISNUMBER(AK188),AK188,ISNUMBER(AL188),AL188,ISNUMBER(AM188),AM188)</f>
        <v>#N/A</v>
      </c>
      <c r="AO188" s="115" t="str">
        <f t="shared" si="6"/>
        <v/>
      </c>
      <c r="AP188" s="115" t="str">
        <f t="shared" si="7"/>
        <v/>
      </c>
      <c r="AQ188" s="111"/>
      <c r="AR188" s="109" t="str">
        <f t="shared" si="8"/>
        <v/>
      </c>
      <c r="AS188" s="72" t="str">
        <f>IFERROR(IF(AND(Preferences!B$3="Manual",OR(AX188/AW188&gt;V188/U188,BD188="Serious",BD188="Very serious")),"Assess imprecision",IFERROR(IFS(AND(Preferences!B$3="Automatic",V188/U188&gt;=30),"Extremely serious",AND(W188&lt;=$D$1*-1,Y188&lt;0,V188/U188&lt;3),"Not Serious",AND(W188&lt;=$D$1*-1,Y188&lt;0,V188/U188&gt;=3),"Very serious",AND(W188&gt;=$D$1,X188&gt;0,V188/U188&lt;3),"Not Serious",AND(W188&gt;=$D$1,X188&gt;0,V188/U188&gt;=3),"Very serious",AND(W188&lt;=$D$1*-1,Y188&gt;0,X188&gt;$D$2*-1,V188/U188&lt;3),"Serious", AND(W188&lt;=$D$1*-1,Y188&gt;0,X188&lt;$D$2*-1,V188/U188&lt;3),"Very serious", AND(W188&gt;=$D$1,X188&lt;0,Y188&lt;$D$2,V188/U188&lt;3),"Serious",AND(W188&gt;=$D$1,X188&lt;0,Y188&gt;$D$2,V188/U188&lt;3),"Very serious", AND(W188&lt;=$D$1*-1,Y188&gt;0,X188&gt;$D$2*-1,V188/U188&gt;=3),"Very serious", AND(W188&lt;=$D$1*-1,Y188&gt;0,X188&lt;$D$2*-1,V188/U188&gt;=3),"Very serious", AND(W188&gt;=$D$1,X188&lt;0,Y188&lt;$D$2,V188/U188&gt;=3),"Very serious", AND(W188&gt;=$D$1,X188&lt;0,Y188&gt;$D$2,V188/U188&gt;=3),"Very serious", AND(W188&gt;$D$1*-1,W188&lt;$D$1,X188&gt;$D$1*-1,Y188&lt;$D$1,V188/U188&lt;3),"Not Serious", AND(W188&gt;$D$1*-1,W188&lt;$D$1,OR(X188&lt;=$D$1*-1,Y188&gt;=$D$1),X188&gt;$D$2*-1,Y188&lt;$D$2,V188/U188&lt;3),"Serious", AND(W188&gt;$D$1*-1,W188&lt;$D$1,OR(X188&lt;=$D$2*-1,Y188&gt;=$D$2),V188/U188&lt;3),"Very serious", AND(W188&gt;$D$1*-1,W188&lt;$D$1,X188&gt;$D$1*-1,Y188&lt;$D$1,V188/U188&gt;=3),"Very serious", AND(W188&gt;$D$1*-1,W188&lt;$D$1,OR(X188&lt;=$D$1*-1,Y188&gt;=$D$1),X188&gt;$D$2*-1,Y188&lt;$D$2,V188/U188&gt;=3),"Very serious", AND(W188&gt;$D$1*-1,W188&lt;$D$1,OR(X188&lt;=$D$2*-1,Y188&gt;=$D$2),V188/U188&gt;=3),"Very serious"),"")),"")</f>
        <v/>
      </c>
      <c r="AT188" s="109" t="str">
        <f t="shared" si="9"/>
        <v/>
      </c>
      <c r="AU188" s="64"/>
      <c r="AV188" s="83"/>
      <c r="AW188" s="83"/>
      <c r="AX188" s="83"/>
      <c r="AY188" s="83"/>
      <c r="AZ188" s="83"/>
      <c r="BA188" s="85"/>
      <c r="BB188" s="86" t="str">
        <f>IF(Preferences!B$9="Manual","",IFS(ISBLANK(B188),"",AND(ISNUMBER(E188)=TRUE,ISNUMBER(T188)=FALSE),"Direct", AND(ISNUMBER(E188)=FALSE,ISNUMBER(T188)=TRUE),"Indirect", CN188=4,"Direct",AND(CL188=FALSE, CM188=TRUE,CN188-CO188&gt;-1),"Direct", AND(CL188=FALSE,CM188=TRUE, CN188-CO188&lt;0),"Check algorithm in appendix 2", AND(CL188=TRUE, CM188=FALSE,CN188-CO188&gt;0),"Check algorithm in appendix 2", AND(CL188=TRUE, CM188=FALSE,CN188-CO188=0),"Indirect", AND(CL188=TRUE, CM188=FALSE,CN188-CO188&lt;0),"Indirect", AND(CL188=FALSE,CM188=FALSE,CN188-CO188&gt;-1),"Direct", AND(CL188=FALSE,CM188=FALSE,CN188-CO188&lt;0),"Check algorithm in appendix 2", AND(CL188=TRUE,CM188=TRUE,CN188-CO188&gt;-1),"Direct", AND(CL188=TRUE,CM188=TRUE,CN188-CO188&lt;0),"Check algorithm in appendix 2"))</f>
        <v/>
      </c>
      <c r="BC188" s="120" t="str">
        <f t="shared" si="10"/>
        <v/>
      </c>
      <c r="BD188" s="140"/>
      <c r="BE188" s="122" t="str">
        <f>IF(Preferences!B$3="Manual","", IFERROR(IFS(AND(Preferences!B$3="Automatic",AX188/AW188&gt;=30),"Extremely serious",AND(AY188&lt;=$D$1*-1,BA188&lt;0,AX188/AW188&lt;3),"Not Serious",AND(AY188&lt;=$D$1*-1,BA188&lt;0,AX188/AW188&gt;=3),"Very serious",AND(AY188&gt;=$D$1,AZ188&gt;0,AX188/AW188&lt;3),"Not Serious",AND(AY188&gt;=$D$1,AZ188&gt;0,AX188/AW188&gt;=3),"Very serious",AND(AY188&lt;=$D$1*-1,BA188&gt;0,AZ188&gt;$D$2*-1,AX188/AW188&lt;3),"Serious", AND(AY188&lt;=$D$1*-1,BA188&gt;0,AZ188&lt;$D$2*-1,AX188/AW188&lt;3),"Very serious", AND(AY188&gt;=$D$1,AZ188&lt;0,BA188&lt;$D$2,AX188/AW188&lt;3),"Serious",AND(AY188&gt;=$D$1,AZ188&lt;0,BA188&gt;$D$2,AX188/AW188&lt;3),"Very serious", AND(AY188&lt;=$D$1*-1,BA188&gt;0,AZ188&gt;$D$2*-1,AX188/AW188&gt;=3),"Very serious", AND(AY188&lt;=$D$1*-1,BA188&gt;0,AZ188&lt;$D$2*-1,AX188/AW188&gt;=3),"Very serious", AND(AY188&gt;=$D$1,AZ188&lt;0,BA188&lt;$D$2,AX188/AW188&gt;=3),"Very serious", AND(AY188&gt;=$D$1,AZ188&lt;0,BA188&gt;$D$2,AX188/AW188&gt;=3),"Very serious", AND(AY188&gt;$D$1*-1,AY188&lt;$D$1,AZ188&gt;$D$1*-1,BA188&lt;$D$1,AX188/AW188&lt;3),"Not Serious", AND(AY188&gt;$D$1*-1,AY188&lt;$D$1,OR(AZ188&lt;=$D$1*-1,BA188&gt;=$D$1),AZ188&gt;$D$2*-1,BA188&lt;$D$2,AX188/AW188&lt;3),"Serious", AND(AY188&gt;$D$1*-1,AY188&lt;$D$1,OR(AZ188&lt;=$D$2*-1,BA188&gt;=$D$2),AX188/AW188&lt;3),"Very serious", AND(AY188&gt;$D$1*-1,AY188&lt;$D$1,AZ188&gt;$D$1*-1,BA188&lt;$D$1,AX188/AW188&gt;=3),"Very serious", AND(AY188&gt;$D$1*-1,AY188&lt;$D$1,OR(AZ188&lt;=$D$1*-1,BA188&gt;=$D$1),AZ188&gt;$D$2*-1,BA188&lt;$D$2,AX188/AW188&gt;=3),"Very serious", AND(AY188&gt;$D$1*-1,AY188&lt;$D$1,OR(AZ188&lt;=$D$2*-1,BA188&gt;=$D$2),AX188/AW188&gt;=3),"Very serious"),""))</f>
        <v/>
      </c>
      <c r="BF188" s="107" t="str">
        <f t="shared" si="11"/>
        <v/>
      </c>
      <c r="BG188" s="94" t="str">
        <f t="shared" si="46"/>
        <v/>
      </c>
      <c r="BH188" s="64" t="str">
        <f t="shared" si="12"/>
        <v>#N/A</v>
      </c>
      <c r="BI188" s="64" t="str">
        <f t="shared" si="13"/>
        <v/>
      </c>
      <c r="BJ188" s="123" t="str">
        <f t="shared" si="14"/>
        <v>#N/A</v>
      </c>
      <c r="BK188" s="64" t="str">
        <f t="shared" si="50"/>
        <v>YES</v>
      </c>
      <c r="BL188" s="64" t="str">
        <f t="shared" si="16"/>
        <v>YES</v>
      </c>
      <c r="BM188" s="64" t="str">
        <f t="shared" si="17"/>
        <v>YES</v>
      </c>
      <c r="BN188" s="124" t="str">
        <f t="shared" si="18"/>
        <v/>
      </c>
      <c r="BO188" s="91" t="str">
        <f t="shared" si="19"/>
        <v/>
      </c>
      <c r="BP188" s="91" t="str">
        <f t="shared" si="20"/>
        <v>#N/A</v>
      </c>
      <c r="BQ188" s="91" t="str">
        <f t="shared" si="21"/>
        <v/>
      </c>
      <c r="BR188" s="93" t="str">
        <f t="shared" si="22"/>
        <v/>
      </c>
      <c r="BS188" s="90" t="str">
        <f t="shared" si="23"/>
        <v/>
      </c>
      <c r="BT188" s="93" t="str">
        <f t="shared" si="24"/>
        <v>NA</v>
      </c>
      <c r="BU188" s="125" t="str">
        <f t="shared" si="25"/>
        <v>#N/A</v>
      </c>
      <c r="BV188" s="93" t="str">
        <f t="shared" si="26"/>
        <v/>
      </c>
      <c r="BW188" s="93" t="str">
        <f t="shared" si="27"/>
        <v/>
      </c>
      <c r="BX188" s="93" t="str">
        <f t="shared" si="28"/>
        <v>NA</v>
      </c>
      <c r="BY188" s="95" t="str">
        <f t="shared" si="29"/>
        <v>#N/A</v>
      </c>
      <c r="BZ188" s="93" t="str">
        <f t="shared" si="30"/>
        <v/>
      </c>
      <c r="CA188" s="93" t="str">
        <f t="shared" si="31"/>
        <v/>
      </c>
      <c r="CB188" s="93" t="str">
        <f t="shared" si="32"/>
        <v>NA</v>
      </c>
      <c r="CC188" s="96" t="str">
        <f t="shared" si="33"/>
        <v>#N/A</v>
      </c>
      <c r="CD188" s="93" t="str">
        <f t="shared" si="34"/>
        <v/>
      </c>
      <c r="CE188" s="93" t="str">
        <f t="shared" si="35"/>
        <v/>
      </c>
      <c r="CF188" s="93" t="str">
        <f t="shared" si="36"/>
        <v>NA</v>
      </c>
      <c r="CG188" s="97" t="str">
        <f t="shared" si="37"/>
        <v>#N/A</v>
      </c>
      <c r="CH188" s="98" t="str">
        <f t="shared" si="38"/>
        <v>#N/A</v>
      </c>
      <c r="CI188" s="99" t="str">
        <f t="shared" si="39"/>
        <v>#N/A</v>
      </c>
      <c r="CJ188" s="126" t="str">
        <f t="shared" si="40"/>
        <v>ERROR: check cell</v>
      </c>
      <c r="CK188" s="126"/>
      <c r="CL188" s="127" t="str">
        <f t="shared" si="41"/>
        <v>#DIV/0!</v>
      </c>
      <c r="CM188" s="128" t="str">
        <f t="shared" si="42"/>
        <v>#DIV/0!</v>
      </c>
      <c r="CN188" s="128">
        <f t="shared" si="43"/>
        <v>4</v>
      </c>
      <c r="CO188" s="129">
        <f t="shared" si="44"/>
        <v>4</v>
      </c>
      <c r="CP188" s="129" t="str">
        <f>IFS(C188=Preferences!B$13,B188,B188=Preferences!B$13,C188)</f>
        <v>#N/A</v>
      </c>
    </row>
    <row r="189" ht="13.5" customHeight="1">
      <c r="A189" s="63" t="str">
        <f t="shared" si="45"/>
        <v/>
      </c>
      <c r="B189" s="64"/>
      <c r="C189" s="64"/>
      <c r="D189" s="64"/>
      <c r="E189" s="65"/>
      <c r="F189" s="65"/>
      <c r="G189" s="65"/>
      <c r="H189" s="66"/>
      <c r="I189" s="66"/>
      <c r="J189" s="67"/>
      <c r="K189" s="68"/>
      <c r="L189" s="104"/>
      <c r="M189" s="104"/>
      <c r="N189" s="104"/>
      <c r="O189" s="104"/>
      <c r="P189" s="107" t="str">
        <f t="shared" si="1"/>
        <v/>
      </c>
      <c r="Q189" s="108" t="str">
        <f>IFERROR(IF(AND(Preferences!B$3="Manual",OR(AX189/AW189&gt;G189/F189,BD189="Serious",BD189="Very serious")),"Assess imprecision",IFS(ISBLANK(E189),"",AND(Preferences!B$3="Automatic", G189/F189&gt;=30),"Extremely serious",AND(H189&lt;=$D$1*-1,J189&lt;0,G189/F189&lt;3),"Not serious",AND(H189&lt;=$D$1*-1,J189&lt;0,G189/F189&gt;=3),"Very serious",AND(H189&gt;=$D$1,I189&gt;0,G189/F189&lt;3),"Not serious",AND(H189&gt;=$D$1,I189&gt;0,G189/F189&gt;=3),"Very serious",AND(H189&lt;=$D$1*-1,J189&gt;0,I189&gt;$D$2*-1,G189/F189&lt;3),"Serious", AND(H189&lt;=$D$1*-1,J189&gt;0,I189&lt;$D$2*-1,G189/F189&lt;3),"Very serious", AND(H189&gt;=$D$1,I189&lt;0,J189&lt;$D$2,G189/F189&lt;3),"Serious",AND(H189&gt;=$D$1,I189&lt;0,J189&gt;$D$2,G189/F189&lt;3),"Very serious", AND(H189&lt;=$D$1*-1,J189&gt;0,I189&gt;$D$2*-1,G189/F189&gt;=3),"Very serious", AND(H189&lt;=$D$1*-1,J189&gt;0,I189&lt;$D$2*-1,G189/F189&gt;=3),"Very serious", AND(H189&gt;=$D$1,I189&lt;0,J189&lt;$D$2,G189/F189&gt;=3),"Very serious", AND(H189&gt;=$D$1,I189&lt;0,J189&gt;$D$2,G189/F189&gt;=3),"Very serious", AND(H189&gt;$D$1*-1,H189&lt;$D$1,I189&gt;$D$1*-1,J189&lt;$D$1,G189/F189&lt;3),"Not serious", AND(H189&gt;$D$1*-1,H189&lt;$D$1,OR(I189&lt;=$D$1*-1,J189&gt;=$D$1),I189&gt;$D$2*-1,J189&lt;$D$2,G189/F189&lt;3),"Serious", AND(H189&gt;$D$1*-1,H189&lt;$D$1,OR(I189&lt;=$D$2*-1,J189&gt;=$D$2),G189/F189&lt;3),"Very serious", AND(H189&gt;$D$1*-1,H189&lt;$D$1,I189&gt;$D$1*-1,J189&lt;$D$1,G189/F189&gt;=3),"Very serious", AND(H189&gt;$D$1*-1,H189&lt;$D$1,OR(I189&lt;=$D$1*-1,J189&gt;=$D$1),I189&gt;$D$2*-1,J189&lt;$D$2,G189/F189&gt;=3),"Very serious", AND(H189&gt;$D$1*-1,H189&lt;$D$1,OR(I189&lt;=$D$2*-1,J189&gt;=$D$2),G189/F189&gt;=3),"Very serious")),"")</f>
        <v/>
      </c>
      <c r="R189" s="109" t="str">
        <f t="shared" si="47"/>
        <v/>
      </c>
      <c r="S189" s="64"/>
      <c r="T189" s="72"/>
      <c r="U189" s="72"/>
      <c r="V189" s="72"/>
      <c r="W189" s="73"/>
      <c r="X189" s="73"/>
      <c r="Y189" s="74"/>
      <c r="Z189" s="113" t="str">
        <f t="array" ref="Z189">INDEX($A$1:$C$500, MATCH(1,($B:$B=$B189)*($C:$C=$AB189),0),1)</f>
        <v/>
      </c>
      <c r="AA189" s="113" t="str">
        <f t="array" ref="AA189">INDEX($A$1:$C$500, MATCH(1,($B:$B=$AB189)*($C:$C=$B189),0),1)</f>
        <v/>
      </c>
      <c r="AB189" s="111"/>
      <c r="AC189" s="114" t="str">
        <f t="shared" si="2"/>
        <v/>
      </c>
      <c r="AD189" s="115" t="str">
        <f t="shared" si="3"/>
        <v/>
      </c>
      <c r="AE189" s="116" t="str">
        <f t="array" ref="AE189">INDEX($A$1:$C$500, MATCH(1,($B:$B=$AB189)*($C:$C=$AG189),0),1)</f>
        <v/>
      </c>
      <c r="AF189" s="116" t="str">
        <f t="array" ref="AF189">INDEX($A$1:$C$500, MATCH(1,($B:$B=$AG189)*($C:$C=$AB189),0),1)</f>
        <v/>
      </c>
      <c r="AG189" s="72"/>
      <c r="AH189" s="114" t="str">
        <f t="shared" si="4"/>
        <v/>
      </c>
      <c r="AI189" s="115" t="str">
        <f t="shared" si="5"/>
        <v/>
      </c>
      <c r="AJ189" s="116" t="str">
        <f t="array" ref="AJ189">INDEX($A$1:$C$500, MATCH(1,($B:$B=$C189)*($C:$C=$AG189),0),1)</f>
        <v/>
      </c>
      <c r="AK189" s="116" t="str">
        <f t="array" ref="AK189">INDEX($A$1:$C$500, MATCH(1,($B:$B=$AG189)*($C:$C=$C189),0),1)</f>
        <v/>
      </c>
      <c r="AL189" s="116" t="str">
        <f t="array" ref="AL189">INDEX($A$1:$C$500, MATCH(1,($B:$B=$C189)*($C:$C=$AB189),0),1)</f>
        <v/>
      </c>
      <c r="AM189" s="116" t="str">
        <f t="array" ref="AM189">INDEX($A$1:$C$500, MATCH(1,($B:$B=$AB189)*($C:$C=$C189),0),1)</f>
        <v/>
      </c>
      <c r="AN189" s="114" t="str">
        <f t="array" ref="AN189">IFS(ISNUMBER(AJ189),AJ189,ISNUMBER(AK189),AK189,ISNUMBER(AL189),AL189,ISNUMBER(AM189),AM189)</f>
        <v>#N/A</v>
      </c>
      <c r="AO189" s="115" t="str">
        <f t="shared" si="6"/>
        <v/>
      </c>
      <c r="AP189" s="115" t="str">
        <f t="shared" si="7"/>
        <v/>
      </c>
      <c r="AQ189" s="111"/>
      <c r="AR189" s="109" t="str">
        <f t="shared" si="8"/>
        <v/>
      </c>
      <c r="AS189" s="72" t="str">
        <f>IFERROR(IF(AND(Preferences!B$3="Manual",OR(AX189/AW189&gt;V189/U189,BD189="Serious",BD189="Very serious")),"Assess imprecision",IFERROR(IFS(AND(Preferences!B$3="Automatic",V189/U189&gt;=30),"Extremely serious",AND(W189&lt;=$D$1*-1,Y189&lt;0,V189/U189&lt;3),"Not Serious",AND(W189&lt;=$D$1*-1,Y189&lt;0,V189/U189&gt;=3),"Very serious",AND(W189&gt;=$D$1,X189&gt;0,V189/U189&lt;3),"Not Serious",AND(W189&gt;=$D$1,X189&gt;0,V189/U189&gt;=3),"Very serious",AND(W189&lt;=$D$1*-1,Y189&gt;0,X189&gt;$D$2*-1,V189/U189&lt;3),"Serious", AND(W189&lt;=$D$1*-1,Y189&gt;0,X189&lt;$D$2*-1,V189/U189&lt;3),"Very serious", AND(W189&gt;=$D$1,X189&lt;0,Y189&lt;$D$2,V189/U189&lt;3),"Serious",AND(W189&gt;=$D$1,X189&lt;0,Y189&gt;$D$2,V189/U189&lt;3),"Very serious", AND(W189&lt;=$D$1*-1,Y189&gt;0,X189&gt;$D$2*-1,V189/U189&gt;=3),"Very serious", AND(W189&lt;=$D$1*-1,Y189&gt;0,X189&lt;$D$2*-1,V189/U189&gt;=3),"Very serious", AND(W189&gt;=$D$1,X189&lt;0,Y189&lt;$D$2,V189/U189&gt;=3),"Very serious", AND(W189&gt;=$D$1,X189&lt;0,Y189&gt;$D$2,V189/U189&gt;=3),"Very serious", AND(W189&gt;$D$1*-1,W189&lt;$D$1,X189&gt;$D$1*-1,Y189&lt;$D$1,V189/U189&lt;3),"Not Serious", AND(W189&gt;$D$1*-1,W189&lt;$D$1,OR(X189&lt;=$D$1*-1,Y189&gt;=$D$1),X189&gt;$D$2*-1,Y189&lt;$D$2,V189/U189&lt;3),"Serious", AND(W189&gt;$D$1*-1,W189&lt;$D$1,OR(X189&lt;=$D$2*-1,Y189&gt;=$D$2),V189/U189&lt;3),"Very serious", AND(W189&gt;$D$1*-1,W189&lt;$D$1,X189&gt;$D$1*-1,Y189&lt;$D$1,V189/U189&gt;=3),"Very serious", AND(W189&gt;$D$1*-1,W189&lt;$D$1,OR(X189&lt;=$D$1*-1,Y189&gt;=$D$1),X189&gt;$D$2*-1,Y189&lt;$D$2,V189/U189&gt;=3),"Very serious", AND(W189&gt;$D$1*-1,W189&lt;$D$1,OR(X189&lt;=$D$2*-1,Y189&gt;=$D$2),V189/U189&gt;=3),"Very serious"),"")),"")</f>
        <v/>
      </c>
      <c r="AT189" s="109" t="str">
        <f t="shared" si="9"/>
        <v/>
      </c>
      <c r="AU189" s="64"/>
      <c r="AV189" s="83"/>
      <c r="AW189" s="83"/>
      <c r="AX189" s="83"/>
      <c r="AY189" s="83"/>
      <c r="AZ189" s="83"/>
      <c r="BA189" s="85"/>
      <c r="BB189" s="86" t="str">
        <f>IF(Preferences!B$9="Manual","",IFS(ISBLANK(B189),"",AND(ISNUMBER(E189)=TRUE,ISNUMBER(T189)=FALSE),"Direct", AND(ISNUMBER(E189)=FALSE,ISNUMBER(T189)=TRUE),"Indirect", CN189=4,"Direct",AND(CL189=FALSE, CM189=TRUE,CN189-CO189&gt;-1),"Direct", AND(CL189=FALSE,CM189=TRUE, CN189-CO189&lt;0),"Check algorithm in appendix 2", AND(CL189=TRUE, CM189=FALSE,CN189-CO189&gt;0),"Check algorithm in appendix 2", AND(CL189=TRUE, CM189=FALSE,CN189-CO189=0),"Indirect", AND(CL189=TRUE, CM189=FALSE,CN189-CO189&lt;0),"Indirect", AND(CL189=FALSE,CM189=FALSE,CN189-CO189&gt;-1),"Direct", AND(CL189=FALSE,CM189=FALSE,CN189-CO189&lt;0),"Check algorithm in appendix 2", AND(CL189=TRUE,CM189=TRUE,CN189-CO189&gt;-1),"Direct", AND(CL189=TRUE,CM189=TRUE,CN189-CO189&lt;0),"Check algorithm in appendix 2"))</f>
        <v/>
      </c>
      <c r="BC189" s="120" t="str">
        <f t="shared" si="10"/>
        <v/>
      </c>
      <c r="BD189" s="140"/>
      <c r="BE189" s="122" t="str">
        <f>IF(Preferences!B$3="Manual","", IFERROR(IFS(AND(Preferences!B$3="Automatic",AX189/AW189&gt;=30),"Extremely serious",AND(AY189&lt;=$D$1*-1,BA189&lt;0,AX189/AW189&lt;3),"Not Serious",AND(AY189&lt;=$D$1*-1,BA189&lt;0,AX189/AW189&gt;=3),"Very serious",AND(AY189&gt;=$D$1,AZ189&gt;0,AX189/AW189&lt;3),"Not Serious",AND(AY189&gt;=$D$1,AZ189&gt;0,AX189/AW189&gt;=3),"Very serious",AND(AY189&lt;=$D$1*-1,BA189&gt;0,AZ189&gt;$D$2*-1,AX189/AW189&lt;3),"Serious", AND(AY189&lt;=$D$1*-1,BA189&gt;0,AZ189&lt;$D$2*-1,AX189/AW189&lt;3),"Very serious", AND(AY189&gt;=$D$1,AZ189&lt;0,BA189&lt;$D$2,AX189/AW189&lt;3),"Serious",AND(AY189&gt;=$D$1,AZ189&lt;0,BA189&gt;$D$2,AX189/AW189&lt;3),"Very serious", AND(AY189&lt;=$D$1*-1,BA189&gt;0,AZ189&gt;$D$2*-1,AX189/AW189&gt;=3),"Very serious", AND(AY189&lt;=$D$1*-1,BA189&gt;0,AZ189&lt;$D$2*-1,AX189/AW189&gt;=3),"Very serious", AND(AY189&gt;=$D$1,AZ189&lt;0,BA189&lt;$D$2,AX189/AW189&gt;=3),"Very serious", AND(AY189&gt;=$D$1,AZ189&lt;0,BA189&gt;$D$2,AX189/AW189&gt;=3),"Very serious", AND(AY189&gt;$D$1*-1,AY189&lt;$D$1,AZ189&gt;$D$1*-1,BA189&lt;$D$1,AX189/AW189&lt;3),"Not Serious", AND(AY189&gt;$D$1*-1,AY189&lt;$D$1,OR(AZ189&lt;=$D$1*-1,BA189&gt;=$D$1),AZ189&gt;$D$2*-1,BA189&lt;$D$2,AX189/AW189&lt;3),"Serious", AND(AY189&gt;$D$1*-1,AY189&lt;$D$1,OR(AZ189&lt;=$D$2*-1,BA189&gt;=$D$2),AX189/AW189&lt;3),"Very serious", AND(AY189&gt;$D$1*-1,AY189&lt;$D$1,AZ189&gt;$D$1*-1,BA189&lt;$D$1,AX189/AW189&gt;=3),"Very serious", AND(AY189&gt;$D$1*-1,AY189&lt;$D$1,OR(AZ189&lt;=$D$1*-1,BA189&gt;=$D$1),AZ189&gt;$D$2*-1,BA189&lt;$D$2,AX189/AW189&gt;=3),"Very serious", AND(AY189&gt;$D$1*-1,AY189&lt;$D$1,OR(AZ189&lt;=$D$2*-1,BA189&gt;=$D$2),AX189/AW189&gt;=3),"Very serious"),""))</f>
        <v/>
      </c>
      <c r="BF189" s="107" t="str">
        <f t="shared" si="11"/>
        <v/>
      </c>
      <c r="BG189" s="94" t="str">
        <f t="shared" si="46"/>
        <v/>
      </c>
      <c r="BH189" s="64" t="str">
        <f t="shared" si="12"/>
        <v>#N/A</v>
      </c>
      <c r="BI189" s="64" t="str">
        <f t="shared" si="13"/>
        <v/>
      </c>
      <c r="BJ189" s="123" t="str">
        <f t="shared" si="14"/>
        <v>#N/A</v>
      </c>
      <c r="BK189" s="64" t="str">
        <f t="shared" si="50"/>
        <v>YES</v>
      </c>
      <c r="BL189" s="64" t="str">
        <f t="shared" si="16"/>
        <v>YES</v>
      </c>
      <c r="BM189" s="64" t="str">
        <f t="shared" si="17"/>
        <v>YES</v>
      </c>
      <c r="BN189" s="124" t="str">
        <f t="shared" si="18"/>
        <v/>
      </c>
      <c r="BO189" s="91" t="str">
        <f t="shared" si="19"/>
        <v/>
      </c>
      <c r="BP189" s="91" t="str">
        <f t="shared" si="20"/>
        <v>#N/A</v>
      </c>
      <c r="BQ189" s="91" t="str">
        <f t="shared" si="21"/>
        <v/>
      </c>
      <c r="BR189" s="93" t="str">
        <f t="shared" si="22"/>
        <v/>
      </c>
      <c r="BS189" s="90" t="str">
        <f t="shared" si="23"/>
        <v/>
      </c>
      <c r="BT189" s="93" t="str">
        <f t="shared" si="24"/>
        <v>NA</v>
      </c>
      <c r="BU189" s="125" t="str">
        <f t="shared" si="25"/>
        <v>#N/A</v>
      </c>
      <c r="BV189" s="93" t="str">
        <f t="shared" si="26"/>
        <v/>
      </c>
      <c r="BW189" s="93" t="str">
        <f t="shared" si="27"/>
        <v/>
      </c>
      <c r="BX189" s="93" t="str">
        <f t="shared" si="28"/>
        <v>NA</v>
      </c>
      <c r="BY189" s="95" t="str">
        <f t="shared" si="29"/>
        <v>#N/A</v>
      </c>
      <c r="BZ189" s="93" t="str">
        <f t="shared" si="30"/>
        <v/>
      </c>
      <c r="CA189" s="93" t="str">
        <f t="shared" si="31"/>
        <v/>
      </c>
      <c r="CB189" s="93" t="str">
        <f t="shared" si="32"/>
        <v>NA</v>
      </c>
      <c r="CC189" s="96" t="str">
        <f t="shared" si="33"/>
        <v>#N/A</v>
      </c>
      <c r="CD189" s="93" t="str">
        <f t="shared" si="34"/>
        <v/>
      </c>
      <c r="CE189" s="93" t="str">
        <f t="shared" si="35"/>
        <v/>
      </c>
      <c r="CF189" s="93" t="str">
        <f t="shared" si="36"/>
        <v>NA</v>
      </c>
      <c r="CG189" s="97" t="str">
        <f t="shared" si="37"/>
        <v>#N/A</v>
      </c>
      <c r="CH189" s="98" t="str">
        <f t="shared" si="38"/>
        <v>#N/A</v>
      </c>
      <c r="CI189" s="99" t="str">
        <f t="shared" si="39"/>
        <v>#N/A</v>
      </c>
      <c r="CJ189" s="126" t="str">
        <f t="shared" si="40"/>
        <v>ERROR: check cell</v>
      </c>
      <c r="CK189" s="126"/>
      <c r="CL189" s="127" t="str">
        <f t="shared" si="41"/>
        <v>#DIV/0!</v>
      </c>
      <c r="CM189" s="128" t="str">
        <f t="shared" si="42"/>
        <v>#DIV/0!</v>
      </c>
      <c r="CN189" s="128">
        <f t="shared" si="43"/>
        <v>4</v>
      </c>
      <c r="CO189" s="129">
        <f t="shared" si="44"/>
        <v>4</v>
      </c>
      <c r="CP189" s="129" t="str">
        <f>IFS(C189=Preferences!B$13,B189,B189=Preferences!B$13,C189)</f>
        <v>#N/A</v>
      </c>
    </row>
    <row r="190" ht="13.5" customHeight="1">
      <c r="A190" s="63" t="str">
        <f t="shared" si="45"/>
        <v/>
      </c>
      <c r="B190" s="64"/>
      <c r="C190" s="64"/>
      <c r="D190" s="64"/>
      <c r="E190" s="65"/>
      <c r="F190" s="65"/>
      <c r="G190" s="65"/>
      <c r="H190" s="66"/>
      <c r="I190" s="66"/>
      <c r="J190" s="67"/>
      <c r="K190" s="68"/>
      <c r="L190" s="104"/>
      <c r="M190" s="104"/>
      <c r="N190" s="104"/>
      <c r="O190" s="104"/>
      <c r="P190" s="107" t="str">
        <f t="shared" si="1"/>
        <v/>
      </c>
      <c r="Q190" s="108" t="str">
        <f>IFERROR(IF(AND(Preferences!B$3="Manual",OR(AX190/AW190&gt;G190/F190,BD190="Serious",BD190="Very serious")),"Assess imprecision",IFS(ISBLANK(E190),"",AND(Preferences!B$3="Automatic", G190/F190&gt;=30),"Extremely serious",AND(H190&lt;=$D$1*-1,J190&lt;0,G190/F190&lt;3),"Not serious",AND(H190&lt;=$D$1*-1,J190&lt;0,G190/F190&gt;=3),"Very serious",AND(H190&gt;=$D$1,I190&gt;0,G190/F190&lt;3),"Not serious",AND(H190&gt;=$D$1,I190&gt;0,G190/F190&gt;=3),"Very serious",AND(H190&lt;=$D$1*-1,J190&gt;0,I190&gt;$D$2*-1,G190/F190&lt;3),"Serious", AND(H190&lt;=$D$1*-1,J190&gt;0,I190&lt;$D$2*-1,G190/F190&lt;3),"Very serious", AND(H190&gt;=$D$1,I190&lt;0,J190&lt;$D$2,G190/F190&lt;3),"Serious",AND(H190&gt;=$D$1,I190&lt;0,J190&gt;$D$2,G190/F190&lt;3),"Very serious", AND(H190&lt;=$D$1*-1,J190&gt;0,I190&gt;$D$2*-1,G190/F190&gt;=3),"Very serious", AND(H190&lt;=$D$1*-1,J190&gt;0,I190&lt;$D$2*-1,G190/F190&gt;=3),"Very serious", AND(H190&gt;=$D$1,I190&lt;0,J190&lt;$D$2,G190/F190&gt;=3),"Very serious", AND(H190&gt;=$D$1,I190&lt;0,J190&gt;$D$2,G190/F190&gt;=3),"Very serious", AND(H190&gt;$D$1*-1,H190&lt;$D$1,I190&gt;$D$1*-1,J190&lt;$D$1,G190/F190&lt;3),"Not serious", AND(H190&gt;$D$1*-1,H190&lt;$D$1,OR(I190&lt;=$D$1*-1,J190&gt;=$D$1),I190&gt;$D$2*-1,J190&lt;$D$2,G190/F190&lt;3),"Serious", AND(H190&gt;$D$1*-1,H190&lt;$D$1,OR(I190&lt;=$D$2*-1,J190&gt;=$D$2),G190/F190&lt;3),"Very serious", AND(H190&gt;$D$1*-1,H190&lt;$D$1,I190&gt;$D$1*-1,J190&lt;$D$1,G190/F190&gt;=3),"Very serious", AND(H190&gt;$D$1*-1,H190&lt;$D$1,OR(I190&lt;=$D$1*-1,J190&gt;=$D$1),I190&gt;$D$2*-1,J190&lt;$D$2,G190/F190&gt;=3),"Very serious", AND(H190&gt;$D$1*-1,H190&lt;$D$1,OR(I190&lt;=$D$2*-1,J190&gt;=$D$2),G190/F190&gt;=3),"Very serious")),"")</f>
        <v/>
      </c>
      <c r="R190" s="109" t="str">
        <f t="shared" si="47"/>
        <v/>
      </c>
      <c r="S190" s="64"/>
      <c r="T190" s="72"/>
      <c r="U190" s="72"/>
      <c r="V190" s="72"/>
      <c r="W190" s="73"/>
      <c r="X190" s="73"/>
      <c r="Y190" s="74"/>
      <c r="Z190" s="113" t="str">
        <f t="array" ref="Z190">INDEX($A$1:$C$500, MATCH(1,($B:$B=$B190)*($C:$C=$AB190),0),1)</f>
        <v/>
      </c>
      <c r="AA190" s="113" t="str">
        <f t="array" ref="AA190">INDEX($A$1:$C$500, MATCH(1,($B:$B=$AB190)*($C:$C=$B190),0),1)</f>
        <v/>
      </c>
      <c r="AB190" s="111"/>
      <c r="AC190" s="114" t="str">
        <f t="shared" si="2"/>
        <v/>
      </c>
      <c r="AD190" s="115" t="str">
        <f t="shared" si="3"/>
        <v/>
      </c>
      <c r="AE190" s="116" t="str">
        <f t="array" ref="AE190">INDEX($A$1:$C$500, MATCH(1,($B:$B=$AB190)*($C:$C=$AG190),0),1)</f>
        <v/>
      </c>
      <c r="AF190" s="116" t="str">
        <f t="array" ref="AF190">INDEX($A$1:$C$500, MATCH(1,($B:$B=$AG190)*($C:$C=$AB190),0),1)</f>
        <v/>
      </c>
      <c r="AG190" s="72"/>
      <c r="AH190" s="114" t="str">
        <f t="shared" si="4"/>
        <v/>
      </c>
      <c r="AI190" s="115" t="str">
        <f t="shared" si="5"/>
        <v/>
      </c>
      <c r="AJ190" s="116" t="str">
        <f t="array" ref="AJ190">INDEX($A$1:$C$500, MATCH(1,($B:$B=$C190)*($C:$C=$AG190),0),1)</f>
        <v/>
      </c>
      <c r="AK190" s="116" t="str">
        <f t="array" ref="AK190">INDEX($A$1:$C$500, MATCH(1,($B:$B=$AG190)*($C:$C=$C190),0),1)</f>
        <v/>
      </c>
      <c r="AL190" s="116" t="str">
        <f t="array" ref="AL190">INDEX($A$1:$C$500, MATCH(1,($B:$B=$C190)*($C:$C=$AB190),0),1)</f>
        <v/>
      </c>
      <c r="AM190" s="116" t="str">
        <f t="array" ref="AM190">INDEX($A$1:$C$500, MATCH(1,($B:$B=$AB190)*($C:$C=$C190),0),1)</f>
        <v/>
      </c>
      <c r="AN190" s="114" t="str">
        <f t="array" ref="AN190">IFS(ISNUMBER(AJ190),AJ190,ISNUMBER(AK190),AK190,ISNUMBER(AL190),AL190,ISNUMBER(AM190),AM190)</f>
        <v>#N/A</v>
      </c>
      <c r="AO190" s="115" t="str">
        <f t="shared" si="6"/>
        <v/>
      </c>
      <c r="AP190" s="115" t="str">
        <f t="shared" si="7"/>
        <v/>
      </c>
      <c r="AQ190" s="111"/>
      <c r="AR190" s="109" t="str">
        <f t="shared" si="8"/>
        <v/>
      </c>
      <c r="AS190" s="72" t="str">
        <f>IFERROR(IF(AND(Preferences!B$3="Manual",OR(AX190/AW190&gt;V190/U190,BD190="Serious",BD190="Very serious")),"Assess imprecision",IFERROR(IFS(AND(Preferences!B$3="Automatic",V190/U190&gt;=30),"Extremely serious",AND(W190&lt;=$D$1*-1,Y190&lt;0,V190/U190&lt;3),"Not Serious",AND(W190&lt;=$D$1*-1,Y190&lt;0,V190/U190&gt;=3),"Very serious",AND(W190&gt;=$D$1,X190&gt;0,V190/U190&lt;3),"Not Serious",AND(W190&gt;=$D$1,X190&gt;0,V190/U190&gt;=3),"Very serious",AND(W190&lt;=$D$1*-1,Y190&gt;0,X190&gt;$D$2*-1,V190/U190&lt;3),"Serious", AND(W190&lt;=$D$1*-1,Y190&gt;0,X190&lt;$D$2*-1,V190/U190&lt;3),"Very serious", AND(W190&gt;=$D$1,X190&lt;0,Y190&lt;$D$2,V190/U190&lt;3),"Serious",AND(W190&gt;=$D$1,X190&lt;0,Y190&gt;$D$2,V190/U190&lt;3),"Very serious", AND(W190&lt;=$D$1*-1,Y190&gt;0,X190&gt;$D$2*-1,V190/U190&gt;=3),"Very serious", AND(W190&lt;=$D$1*-1,Y190&gt;0,X190&lt;$D$2*-1,V190/U190&gt;=3),"Very serious", AND(W190&gt;=$D$1,X190&lt;0,Y190&lt;$D$2,V190/U190&gt;=3),"Very serious", AND(W190&gt;=$D$1,X190&lt;0,Y190&gt;$D$2,V190/U190&gt;=3),"Very serious", AND(W190&gt;$D$1*-1,W190&lt;$D$1,X190&gt;$D$1*-1,Y190&lt;$D$1,V190/U190&lt;3),"Not Serious", AND(W190&gt;$D$1*-1,W190&lt;$D$1,OR(X190&lt;=$D$1*-1,Y190&gt;=$D$1),X190&gt;$D$2*-1,Y190&lt;$D$2,V190/U190&lt;3),"Serious", AND(W190&gt;$D$1*-1,W190&lt;$D$1,OR(X190&lt;=$D$2*-1,Y190&gt;=$D$2),V190/U190&lt;3),"Very serious", AND(W190&gt;$D$1*-1,W190&lt;$D$1,X190&gt;$D$1*-1,Y190&lt;$D$1,V190/U190&gt;=3),"Very serious", AND(W190&gt;$D$1*-1,W190&lt;$D$1,OR(X190&lt;=$D$1*-1,Y190&gt;=$D$1),X190&gt;$D$2*-1,Y190&lt;$D$2,V190/U190&gt;=3),"Very serious", AND(W190&gt;$D$1*-1,W190&lt;$D$1,OR(X190&lt;=$D$2*-1,Y190&gt;=$D$2),V190/U190&gt;=3),"Very serious"),"")),"")</f>
        <v/>
      </c>
      <c r="AT190" s="109" t="str">
        <f t="shared" si="9"/>
        <v/>
      </c>
      <c r="AU190" s="64"/>
      <c r="AV190" s="83"/>
      <c r="AW190" s="83"/>
      <c r="AX190" s="83"/>
      <c r="AY190" s="83"/>
      <c r="AZ190" s="83"/>
      <c r="BA190" s="85"/>
      <c r="BB190" s="86" t="str">
        <f>IF(Preferences!B$9="Manual","",IFS(ISBLANK(B190),"",AND(ISNUMBER(E190)=TRUE,ISNUMBER(T190)=FALSE),"Direct", AND(ISNUMBER(E190)=FALSE,ISNUMBER(T190)=TRUE),"Indirect", CN190=4,"Direct",AND(CL190=FALSE, CM190=TRUE,CN190-CO190&gt;-1),"Direct", AND(CL190=FALSE,CM190=TRUE, CN190-CO190&lt;0),"Check algorithm in appendix 2", AND(CL190=TRUE, CM190=FALSE,CN190-CO190&gt;0),"Check algorithm in appendix 2", AND(CL190=TRUE, CM190=FALSE,CN190-CO190=0),"Indirect", AND(CL190=TRUE, CM190=FALSE,CN190-CO190&lt;0),"Indirect", AND(CL190=FALSE,CM190=FALSE,CN190-CO190&gt;-1),"Direct", AND(CL190=FALSE,CM190=FALSE,CN190-CO190&lt;0),"Check algorithm in appendix 2", AND(CL190=TRUE,CM190=TRUE,CN190-CO190&gt;-1),"Direct", AND(CL190=TRUE,CM190=TRUE,CN190-CO190&lt;0),"Check algorithm in appendix 2"))</f>
        <v/>
      </c>
      <c r="BC190" s="120" t="str">
        <f t="shared" si="10"/>
        <v/>
      </c>
      <c r="BD190" s="140"/>
      <c r="BE190" s="122" t="str">
        <f>IF(Preferences!B$3="Manual","", IFERROR(IFS(AND(Preferences!B$3="Automatic",AX190/AW190&gt;=30),"Extremely serious",AND(AY190&lt;=$D$1*-1,BA190&lt;0,AX190/AW190&lt;3),"Not Serious",AND(AY190&lt;=$D$1*-1,BA190&lt;0,AX190/AW190&gt;=3),"Very serious",AND(AY190&gt;=$D$1,AZ190&gt;0,AX190/AW190&lt;3),"Not Serious",AND(AY190&gt;=$D$1,AZ190&gt;0,AX190/AW190&gt;=3),"Very serious",AND(AY190&lt;=$D$1*-1,BA190&gt;0,AZ190&gt;$D$2*-1,AX190/AW190&lt;3),"Serious", AND(AY190&lt;=$D$1*-1,BA190&gt;0,AZ190&lt;$D$2*-1,AX190/AW190&lt;3),"Very serious", AND(AY190&gt;=$D$1,AZ190&lt;0,BA190&lt;$D$2,AX190/AW190&lt;3),"Serious",AND(AY190&gt;=$D$1,AZ190&lt;0,BA190&gt;$D$2,AX190/AW190&lt;3),"Very serious", AND(AY190&lt;=$D$1*-1,BA190&gt;0,AZ190&gt;$D$2*-1,AX190/AW190&gt;=3),"Very serious", AND(AY190&lt;=$D$1*-1,BA190&gt;0,AZ190&lt;$D$2*-1,AX190/AW190&gt;=3),"Very serious", AND(AY190&gt;=$D$1,AZ190&lt;0,BA190&lt;$D$2,AX190/AW190&gt;=3),"Very serious", AND(AY190&gt;=$D$1,AZ190&lt;0,BA190&gt;$D$2,AX190/AW190&gt;=3),"Very serious", AND(AY190&gt;$D$1*-1,AY190&lt;$D$1,AZ190&gt;$D$1*-1,BA190&lt;$D$1,AX190/AW190&lt;3),"Not Serious", AND(AY190&gt;$D$1*-1,AY190&lt;$D$1,OR(AZ190&lt;=$D$1*-1,BA190&gt;=$D$1),AZ190&gt;$D$2*-1,BA190&lt;$D$2,AX190/AW190&lt;3),"Serious", AND(AY190&gt;$D$1*-1,AY190&lt;$D$1,OR(AZ190&lt;=$D$2*-1,BA190&gt;=$D$2),AX190/AW190&lt;3),"Very serious", AND(AY190&gt;$D$1*-1,AY190&lt;$D$1,AZ190&gt;$D$1*-1,BA190&lt;$D$1,AX190/AW190&gt;=3),"Very serious", AND(AY190&gt;$D$1*-1,AY190&lt;$D$1,OR(AZ190&lt;=$D$1*-1,BA190&gt;=$D$1),AZ190&gt;$D$2*-1,BA190&lt;$D$2,AX190/AW190&gt;=3),"Very serious", AND(AY190&gt;$D$1*-1,AY190&lt;$D$1,OR(AZ190&lt;=$D$2*-1,BA190&gt;=$D$2),AX190/AW190&gt;=3),"Very serious"),""))</f>
        <v/>
      </c>
      <c r="BF190" s="107" t="str">
        <f t="shared" si="11"/>
        <v/>
      </c>
      <c r="BG190" s="94" t="str">
        <f t="shared" si="46"/>
        <v/>
      </c>
      <c r="BH190" s="64" t="str">
        <f t="shared" si="12"/>
        <v>#N/A</v>
      </c>
      <c r="BI190" s="64" t="str">
        <f t="shared" si="13"/>
        <v/>
      </c>
      <c r="BJ190" s="123" t="str">
        <f t="shared" si="14"/>
        <v>#N/A</v>
      </c>
      <c r="BK190" s="64" t="str">
        <f t="shared" si="50"/>
        <v>YES</v>
      </c>
      <c r="BL190" s="64" t="str">
        <f t="shared" si="16"/>
        <v>YES</v>
      </c>
      <c r="BM190" s="64" t="str">
        <f t="shared" si="17"/>
        <v>YES</v>
      </c>
      <c r="BN190" s="124" t="str">
        <f t="shared" si="18"/>
        <v/>
      </c>
      <c r="BO190" s="91" t="str">
        <f t="shared" si="19"/>
        <v/>
      </c>
      <c r="BP190" s="91" t="str">
        <f t="shared" si="20"/>
        <v>#N/A</v>
      </c>
      <c r="BQ190" s="91" t="str">
        <f t="shared" si="21"/>
        <v/>
      </c>
      <c r="BR190" s="93" t="str">
        <f t="shared" si="22"/>
        <v/>
      </c>
      <c r="BS190" s="90" t="str">
        <f t="shared" si="23"/>
        <v/>
      </c>
      <c r="BT190" s="93" t="str">
        <f t="shared" si="24"/>
        <v>NA</v>
      </c>
      <c r="BU190" s="125" t="str">
        <f t="shared" si="25"/>
        <v>#N/A</v>
      </c>
      <c r="BV190" s="93" t="str">
        <f t="shared" si="26"/>
        <v/>
      </c>
      <c r="BW190" s="93" t="str">
        <f t="shared" si="27"/>
        <v/>
      </c>
      <c r="BX190" s="93" t="str">
        <f t="shared" si="28"/>
        <v>NA</v>
      </c>
      <c r="BY190" s="95" t="str">
        <f t="shared" si="29"/>
        <v>#N/A</v>
      </c>
      <c r="BZ190" s="93" t="str">
        <f t="shared" si="30"/>
        <v/>
      </c>
      <c r="CA190" s="93" t="str">
        <f t="shared" si="31"/>
        <v/>
      </c>
      <c r="CB190" s="93" t="str">
        <f t="shared" si="32"/>
        <v>NA</v>
      </c>
      <c r="CC190" s="96" t="str">
        <f t="shared" si="33"/>
        <v>#N/A</v>
      </c>
      <c r="CD190" s="93" t="str">
        <f t="shared" si="34"/>
        <v/>
      </c>
      <c r="CE190" s="93" t="str">
        <f t="shared" si="35"/>
        <v/>
      </c>
      <c r="CF190" s="93" t="str">
        <f t="shared" si="36"/>
        <v>NA</v>
      </c>
      <c r="CG190" s="97" t="str">
        <f t="shared" si="37"/>
        <v>#N/A</v>
      </c>
      <c r="CH190" s="98" t="str">
        <f t="shared" si="38"/>
        <v>#N/A</v>
      </c>
      <c r="CI190" s="99" t="str">
        <f t="shared" si="39"/>
        <v>#N/A</v>
      </c>
      <c r="CJ190" s="126" t="str">
        <f t="shared" si="40"/>
        <v>ERROR: check cell</v>
      </c>
      <c r="CK190" s="126"/>
      <c r="CL190" s="127" t="str">
        <f t="shared" si="41"/>
        <v>#DIV/0!</v>
      </c>
      <c r="CM190" s="128" t="str">
        <f t="shared" si="42"/>
        <v>#DIV/0!</v>
      </c>
      <c r="CN190" s="128">
        <f t="shared" si="43"/>
        <v>4</v>
      </c>
      <c r="CO190" s="129">
        <f t="shared" si="44"/>
        <v>4</v>
      </c>
      <c r="CP190" s="129" t="str">
        <f>IFS(C190=Preferences!B$13,B190,B190=Preferences!B$13,C190)</f>
        <v>#N/A</v>
      </c>
    </row>
    <row r="191" ht="13.5" customHeight="1">
      <c r="A191" s="63" t="str">
        <f t="shared" si="45"/>
        <v/>
      </c>
      <c r="B191" s="64"/>
      <c r="C191" s="64"/>
      <c r="D191" s="64"/>
      <c r="E191" s="65"/>
      <c r="F191" s="65"/>
      <c r="G191" s="65"/>
      <c r="H191" s="66"/>
      <c r="I191" s="66"/>
      <c r="J191" s="67"/>
      <c r="K191" s="68"/>
      <c r="L191" s="104"/>
      <c r="M191" s="104"/>
      <c r="N191" s="104"/>
      <c r="O191" s="104"/>
      <c r="P191" s="107" t="str">
        <f t="shared" si="1"/>
        <v/>
      </c>
      <c r="Q191" s="108" t="str">
        <f>IFERROR(IF(AND(Preferences!B$3="Manual",OR(AX191/AW191&gt;G191/F191,BD191="Serious",BD191="Very serious")),"Assess imprecision",IFS(ISBLANK(E191),"",AND(Preferences!B$3="Automatic", G191/F191&gt;=30),"Extremely serious",AND(H191&lt;=$D$1*-1,J191&lt;0,G191/F191&lt;3),"Not serious",AND(H191&lt;=$D$1*-1,J191&lt;0,G191/F191&gt;=3),"Very serious",AND(H191&gt;=$D$1,I191&gt;0,G191/F191&lt;3),"Not serious",AND(H191&gt;=$D$1,I191&gt;0,G191/F191&gt;=3),"Very serious",AND(H191&lt;=$D$1*-1,J191&gt;0,I191&gt;$D$2*-1,G191/F191&lt;3),"Serious", AND(H191&lt;=$D$1*-1,J191&gt;0,I191&lt;$D$2*-1,G191/F191&lt;3),"Very serious", AND(H191&gt;=$D$1,I191&lt;0,J191&lt;$D$2,G191/F191&lt;3),"Serious",AND(H191&gt;=$D$1,I191&lt;0,J191&gt;$D$2,G191/F191&lt;3),"Very serious", AND(H191&lt;=$D$1*-1,J191&gt;0,I191&gt;$D$2*-1,G191/F191&gt;=3),"Very serious", AND(H191&lt;=$D$1*-1,J191&gt;0,I191&lt;$D$2*-1,G191/F191&gt;=3),"Very serious", AND(H191&gt;=$D$1,I191&lt;0,J191&lt;$D$2,G191/F191&gt;=3),"Very serious", AND(H191&gt;=$D$1,I191&lt;0,J191&gt;$D$2,G191/F191&gt;=3),"Very serious", AND(H191&gt;$D$1*-1,H191&lt;$D$1,I191&gt;$D$1*-1,J191&lt;$D$1,G191/F191&lt;3),"Not serious", AND(H191&gt;$D$1*-1,H191&lt;$D$1,OR(I191&lt;=$D$1*-1,J191&gt;=$D$1),I191&gt;$D$2*-1,J191&lt;$D$2,G191/F191&lt;3),"Serious", AND(H191&gt;$D$1*-1,H191&lt;$D$1,OR(I191&lt;=$D$2*-1,J191&gt;=$D$2),G191/F191&lt;3),"Very serious", AND(H191&gt;$D$1*-1,H191&lt;$D$1,I191&gt;$D$1*-1,J191&lt;$D$1,G191/F191&gt;=3),"Very serious", AND(H191&gt;$D$1*-1,H191&lt;$D$1,OR(I191&lt;=$D$1*-1,J191&gt;=$D$1),I191&gt;$D$2*-1,J191&lt;$D$2,G191/F191&gt;=3),"Very serious", AND(H191&gt;$D$1*-1,H191&lt;$D$1,OR(I191&lt;=$D$2*-1,J191&gt;=$D$2),G191/F191&gt;=3),"Very serious")),"")</f>
        <v/>
      </c>
      <c r="R191" s="109" t="str">
        <f t="shared" si="47"/>
        <v/>
      </c>
      <c r="S191" s="64"/>
      <c r="T191" s="72"/>
      <c r="U191" s="72"/>
      <c r="V191" s="72"/>
      <c r="W191" s="73"/>
      <c r="X191" s="73"/>
      <c r="Y191" s="74"/>
      <c r="Z191" s="113" t="str">
        <f t="array" ref="Z191">INDEX($A$1:$C$500, MATCH(1,($B:$B=$B191)*($C:$C=$AB191),0),1)</f>
        <v/>
      </c>
      <c r="AA191" s="113" t="str">
        <f t="array" ref="AA191">INDEX($A$1:$C$500, MATCH(1,($B:$B=$AB191)*($C:$C=$B191),0),1)</f>
        <v/>
      </c>
      <c r="AB191" s="111"/>
      <c r="AC191" s="114" t="str">
        <f t="shared" si="2"/>
        <v/>
      </c>
      <c r="AD191" s="115" t="str">
        <f t="shared" si="3"/>
        <v/>
      </c>
      <c r="AE191" s="116" t="str">
        <f t="array" ref="AE191">INDEX($A$1:$C$500, MATCH(1,($B:$B=$AB191)*($C:$C=$AG191),0),1)</f>
        <v/>
      </c>
      <c r="AF191" s="116" t="str">
        <f t="array" ref="AF191">INDEX($A$1:$C$500, MATCH(1,($B:$B=$AG191)*($C:$C=$AB191),0),1)</f>
        <v/>
      </c>
      <c r="AG191" s="72"/>
      <c r="AH191" s="114" t="str">
        <f t="shared" si="4"/>
        <v/>
      </c>
      <c r="AI191" s="115" t="str">
        <f t="shared" si="5"/>
        <v/>
      </c>
      <c r="AJ191" s="116" t="str">
        <f t="array" ref="AJ191">INDEX($A$1:$C$500, MATCH(1,($B:$B=$C191)*($C:$C=$AG191),0),1)</f>
        <v/>
      </c>
      <c r="AK191" s="116" t="str">
        <f t="array" ref="AK191">INDEX($A$1:$C$500, MATCH(1,($B:$B=$AG191)*($C:$C=$C191),0),1)</f>
        <v/>
      </c>
      <c r="AL191" s="116" t="str">
        <f t="array" ref="AL191">INDEX($A$1:$C$500, MATCH(1,($B:$B=$C191)*($C:$C=$AB191),0),1)</f>
        <v/>
      </c>
      <c r="AM191" s="116" t="str">
        <f t="array" ref="AM191">INDEX($A$1:$C$500, MATCH(1,($B:$B=$AB191)*($C:$C=$C191),0),1)</f>
        <v/>
      </c>
      <c r="AN191" s="114" t="str">
        <f t="array" ref="AN191">IFS(ISNUMBER(AJ191),AJ191,ISNUMBER(AK191),AK191,ISNUMBER(AL191),AL191,ISNUMBER(AM191),AM191)</f>
        <v>#N/A</v>
      </c>
      <c r="AO191" s="115" t="str">
        <f t="shared" si="6"/>
        <v/>
      </c>
      <c r="AP191" s="115" t="str">
        <f t="shared" si="7"/>
        <v/>
      </c>
      <c r="AQ191" s="111"/>
      <c r="AR191" s="109" t="str">
        <f t="shared" si="8"/>
        <v/>
      </c>
      <c r="AS191" s="72" t="str">
        <f>IFERROR(IF(AND(Preferences!B$3="Manual",OR(AX191/AW191&gt;V191/U191,BD191="Serious",BD191="Very serious")),"Assess imprecision",IFERROR(IFS(AND(Preferences!B$3="Automatic",V191/U191&gt;=30),"Extremely serious",AND(W191&lt;=$D$1*-1,Y191&lt;0,V191/U191&lt;3),"Not Serious",AND(W191&lt;=$D$1*-1,Y191&lt;0,V191/U191&gt;=3),"Very serious",AND(W191&gt;=$D$1,X191&gt;0,V191/U191&lt;3),"Not Serious",AND(W191&gt;=$D$1,X191&gt;0,V191/U191&gt;=3),"Very serious",AND(W191&lt;=$D$1*-1,Y191&gt;0,X191&gt;$D$2*-1,V191/U191&lt;3),"Serious", AND(W191&lt;=$D$1*-1,Y191&gt;0,X191&lt;$D$2*-1,V191/U191&lt;3),"Very serious", AND(W191&gt;=$D$1,X191&lt;0,Y191&lt;$D$2,V191/U191&lt;3),"Serious",AND(W191&gt;=$D$1,X191&lt;0,Y191&gt;$D$2,V191/U191&lt;3),"Very serious", AND(W191&lt;=$D$1*-1,Y191&gt;0,X191&gt;$D$2*-1,V191/U191&gt;=3),"Very serious", AND(W191&lt;=$D$1*-1,Y191&gt;0,X191&lt;$D$2*-1,V191/U191&gt;=3),"Very serious", AND(W191&gt;=$D$1,X191&lt;0,Y191&lt;$D$2,V191/U191&gt;=3),"Very serious", AND(W191&gt;=$D$1,X191&lt;0,Y191&gt;$D$2,V191/U191&gt;=3),"Very serious", AND(W191&gt;$D$1*-1,W191&lt;$D$1,X191&gt;$D$1*-1,Y191&lt;$D$1,V191/U191&lt;3),"Not Serious", AND(W191&gt;$D$1*-1,W191&lt;$D$1,OR(X191&lt;=$D$1*-1,Y191&gt;=$D$1),X191&gt;$D$2*-1,Y191&lt;$D$2,V191/U191&lt;3),"Serious", AND(W191&gt;$D$1*-1,W191&lt;$D$1,OR(X191&lt;=$D$2*-1,Y191&gt;=$D$2),V191/U191&lt;3),"Very serious", AND(W191&gt;$D$1*-1,W191&lt;$D$1,X191&gt;$D$1*-1,Y191&lt;$D$1,V191/U191&gt;=3),"Very serious", AND(W191&gt;$D$1*-1,W191&lt;$D$1,OR(X191&lt;=$D$1*-1,Y191&gt;=$D$1),X191&gt;$D$2*-1,Y191&lt;$D$2,V191/U191&gt;=3),"Very serious", AND(W191&gt;$D$1*-1,W191&lt;$D$1,OR(X191&lt;=$D$2*-1,Y191&gt;=$D$2),V191/U191&gt;=3),"Very serious"),"")),"")</f>
        <v/>
      </c>
      <c r="AT191" s="109" t="str">
        <f t="shared" si="9"/>
        <v/>
      </c>
      <c r="AU191" s="64"/>
      <c r="AV191" s="83"/>
      <c r="AW191" s="83"/>
      <c r="AX191" s="83"/>
      <c r="AY191" s="83"/>
      <c r="AZ191" s="83"/>
      <c r="BA191" s="85"/>
      <c r="BB191" s="86" t="str">
        <f>IF(Preferences!B$9="Manual","",IFS(ISBLANK(B191),"",AND(ISNUMBER(E191)=TRUE,ISNUMBER(T191)=FALSE),"Direct", AND(ISNUMBER(E191)=FALSE,ISNUMBER(T191)=TRUE),"Indirect", CN191=4,"Direct",AND(CL191=FALSE, CM191=TRUE,CN191-CO191&gt;-1),"Direct", AND(CL191=FALSE,CM191=TRUE, CN191-CO191&lt;0),"Check algorithm in appendix 2", AND(CL191=TRUE, CM191=FALSE,CN191-CO191&gt;0),"Check algorithm in appendix 2", AND(CL191=TRUE, CM191=FALSE,CN191-CO191=0),"Indirect", AND(CL191=TRUE, CM191=FALSE,CN191-CO191&lt;0),"Indirect", AND(CL191=FALSE,CM191=FALSE,CN191-CO191&gt;-1),"Direct", AND(CL191=FALSE,CM191=FALSE,CN191-CO191&lt;0),"Check algorithm in appendix 2", AND(CL191=TRUE,CM191=TRUE,CN191-CO191&gt;-1),"Direct", AND(CL191=TRUE,CM191=TRUE,CN191-CO191&lt;0),"Check algorithm in appendix 2"))</f>
        <v/>
      </c>
      <c r="BC191" s="120" t="str">
        <f t="shared" si="10"/>
        <v/>
      </c>
      <c r="BD191" s="140"/>
      <c r="BE191" s="122" t="str">
        <f>IF(Preferences!B$3="Manual","", IFERROR(IFS(AND(Preferences!B$3="Automatic",AX191/AW191&gt;=30),"Extremely serious",AND(AY191&lt;=$D$1*-1,BA191&lt;0,AX191/AW191&lt;3),"Not Serious",AND(AY191&lt;=$D$1*-1,BA191&lt;0,AX191/AW191&gt;=3),"Very serious",AND(AY191&gt;=$D$1,AZ191&gt;0,AX191/AW191&lt;3),"Not Serious",AND(AY191&gt;=$D$1,AZ191&gt;0,AX191/AW191&gt;=3),"Very serious",AND(AY191&lt;=$D$1*-1,BA191&gt;0,AZ191&gt;$D$2*-1,AX191/AW191&lt;3),"Serious", AND(AY191&lt;=$D$1*-1,BA191&gt;0,AZ191&lt;$D$2*-1,AX191/AW191&lt;3),"Very serious", AND(AY191&gt;=$D$1,AZ191&lt;0,BA191&lt;$D$2,AX191/AW191&lt;3),"Serious",AND(AY191&gt;=$D$1,AZ191&lt;0,BA191&gt;$D$2,AX191/AW191&lt;3),"Very serious", AND(AY191&lt;=$D$1*-1,BA191&gt;0,AZ191&gt;$D$2*-1,AX191/AW191&gt;=3),"Very serious", AND(AY191&lt;=$D$1*-1,BA191&gt;0,AZ191&lt;$D$2*-1,AX191/AW191&gt;=3),"Very serious", AND(AY191&gt;=$D$1,AZ191&lt;0,BA191&lt;$D$2,AX191/AW191&gt;=3),"Very serious", AND(AY191&gt;=$D$1,AZ191&lt;0,BA191&gt;$D$2,AX191/AW191&gt;=3),"Very serious", AND(AY191&gt;$D$1*-1,AY191&lt;$D$1,AZ191&gt;$D$1*-1,BA191&lt;$D$1,AX191/AW191&lt;3),"Not Serious", AND(AY191&gt;$D$1*-1,AY191&lt;$D$1,OR(AZ191&lt;=$D$1*-1,BA191&gt;=$D$1),AZ191&gt;$D$2*-1,BA191&lt;$D$2,AX191/AW191&lt;3),"Serious", AND(AY191&gt;$D$1*-1,AY191&lt;$D$1,OR(AZ191&lt;=$D$2*-1,BA191&gt;=$D$2),AX191/AW191&lt;3),"Very serious", AND(AY191&gt;$D$1*-1,AY191&lt;$D$1,AZ191&gt;$D$1*-1,BA191&lt;$D$1,AX191/AW191&gt;=3),"Very serious", AND(AY191&gt;$D$1*-1,AY191&lt;$D$1,OR(AZ191&lt;=$D$1*-1,BA191&gt;=$D$1),AZ191&gt;$D$2*-1,BA191&lt;$D$2,AX191/AW191&gt;=3),"Very serious", AND(AY191&gt;$D$1*-1,AY191&lt;$D$1,OR(AZ191&lt;=$D$2*-1,BA191&gt;=$D$2),AX191/AW191&gt;=3),"Very serious"),""))</f>
        <v/>
      </c>
      <c r="BF191" s="107" t="str">
        <f t="shared" si="11"/>
        <v/>
      </c>
      <c r="BG191" s="94" t="str">
        <f t="shared" si="46"/>
        <v/>
      </c>
      <c r="BH191" s="64" t="str">
        <f t="shared" si="12"/>
        <v>#N/A</v>
      </c>
      <c r="BI191" s="64" t="str">
        <f t="shared" si="13"/>
        <v/>
      </c>
      <c r="BJ191" s="123" t="str">
        <f t="shared" si="14"/>
        <v>#N/A</v>
      </c>
      <c r="BK191" s="64" t="str">
        <f t="shared" si="50"/>
        <v>YES</v>
      </c>
      <c r="BL191" s="64" t="str">
        <f t="shared" si="16"/>
        <v>YES</v>
      </c>
      <c r="BM191" s="64" t="str">
        <f t="shared" si="17"/>
        <v>YES</v>
      </c>
      <c r="BN191" s="124" t="str">
        <f t="shared" si="18"/>
        <v/>
      </c>
      <c r="BO191" s="91" t="str">
        <f t="shared" si="19"/>
        <v/>
      </c>
      <c r="BP191" s="91" t="str">
        <f t="shared" si="20"/>
        <v>#N/A</v>
      </c>
      <c r="BQ191" s="91" t="str">
        <f t="shared" si="21"/>
        <v/>
      </c>
      <c r="BR191" s="93" t="str">
        <f t="shared" si="22"/>
        <v/>
      </c>
      <c r="BS191" s="90" t="str">
        <f t="shared" si="23"/>
        <v/>
      </c>
      <c r="BT191" s="93" t="str">
        <f t="shared" si="24"/>
        <v>NA</v>
      </c>
      <c r="BU191" s="125" t="str">
        <f t="shared" si="25"/>
        <v>#N/A</v>
      </c>
      <c r="BV191" s="93" t="str">
        <f t="shared" si="26"/>
        <v/>
      </c>
      <c r="BW191" s="93" t="str">
        <f t="shared" si="27"/>
        <v/>
      </c>
      <c r="BX191" s="93" t="str">
        <f t="shared" si="28"/>
        <v>NA</v>
      </c>
      <c r="BY191" s="95" t="str">
        <f t="shared" si="29"/>
        <v>#N/A</v>
      </c>
      <c r="BZ191" s="93" t="str">
        <f t="shared" si="30"/>
        <v/>
      </c>
      <c r="CA191" s="93" t="str">
        <f t="shared" si="31"/>
        <v/>
      </c>
      <c r="CB191" s="93" t="str">
        <f t="shared" si="32"/>
        <v>NA</v>
      </c>
      <c r="CC191" s="96" t="str">
        <f t="shared" si="33"/>
        <v>#N/A</v>
      </c>
      <c r="CD191" s="93" t="str">
        <f t="shared" si="34"/>
        <v/>
      </c>
      <c r="CE191" s="93" t="str">
        <f t="shared" si="35"/>
        <v/>
      </c>
      <c r="CF191" s="93" t="str">
        <f t="shared" si="36"/>
        <v>NA</v>
      </c>
      <c r="CG191" s="97" t="str">
        <f t="shared" si="37"/>
        <v>#N/A</v>
      </c>
      <c r="CH191" s="98" t="str">
        <f t="shared" si="38"/>
        <v>#N/A</v>
      </c>
      <c r="CI191" s="99" t="str">
        <f t="shared" si="39"/>
        <v>#N/A</v>
      </c>
      <c r="CJ191" s="126" t="str">
        <f t="shared" si="40"/>
        <v>ERROR: check cell</v>
      </c>
      <c r="CK191" s="126"/>
      <c r="CL191" s="127" t="str">
        <f t="shared" si="41"/>
        <v>#DIV/0!</v>
      </c>
      <c r="CM191" s="128" t="str">
        <f t="shared" si="42"/>
        <v>#DIV/0!</v>
      </c>
      <c r="CN191" s="128">
        <f t="shared" si="43"/>
        <v>4</v>
      </c>
      <c r="CO191" s="129">
        <f t="shared" si="44"/>
        <v>4</v>
      </c>
      <c r="CP191" s="129" t="str">
        <f>IFS(C191=Preferences!B$13,B191,B191=Preferences!B$13,C191)</f>
        <v>#N/A</v>
      </c>
    </row>
    <row r="192" ht="13.5" customHeight="1">
      <c r="A192" s="63" t="str">
        <f t="shared" si="45"/>
        <v/>
      </c>
      <c r="B192" s="64"/>
      <c r="C192" s="64"/>
      <c r="D192" s="64"/>
      <c r="E192" s="65"/>
      <c r="F192" s="65"/>
      <c r="G192" s="65"/>
      <c r="H192" s="66"/>
      <c r="I192" s="66"/>
      <c r="J192" s="67"/>
      <c r="K192" s="68"/>
      <c r="L192" s="104"/>
      <c r="M192" s="104"/>
      <c r="N192" s="104"/>
      <c r="O192" s="104"/>
      <c r="P192" s="107" t="str">
        <f t="shared" si="1"/>
        <v/>
      </c>
      <c r="Q192" s="108" t="str">
        <f>IFERROR(IF(AND(Preferences!B$3="Manual",OR(AX192/AW192&gt;G192/F192,BD192="Serious",BD192="Very serious")),"Assess imprecision",IFS(ISBLANK(E192),"",AND(Preferences!B$3="Automatic", G192/F192&gt;=30),"Extremely serious",AND(H192&lt;=$D$1*-1,J192&lt;0,G192/F192&lt;3),"Not serious",AND(H192&lt;=$D$1*-1,J192&lt;0,G192/F192&gt;=3),"Very serious",AND(H192&gt;=$D$1,I192&gt;0,G192/F192&lt;3),"Not serious",AND(H192&gt;=$D$1,I192&gt;0,G192/F192&gt;=3),"Very serious",AND(H192&lt;=$D$1*-1,J192&gt;0,I192&gt;$D$2*-1,G192/F192&lt;3),"Serious", AND(H192&lt;=$D$1*-1,J192&gt;0,I192&lt;$D$2*-1,G192/F192&lt;3),"Very serious", AND(H192&gt;=$D$1,I192&lt;0,J192&lt;$D$2,G192/F192&lt;3),"Serious",AND(H192&gt;=$D$1,I192&lt;0,J192&gt;$D$2,G192/F192&lt;3),"Very serious", AND(H192&lt;=$D$1*-1,J192&gt;0,I192&gt;$D$2*-1,G192/F192&gt;=3),"Very serious", AND(H192&lt;=$D$1*-1,J192&gt;0,I192&lt;$D$2*-1,G192/F192&gt;=3),"Very serious", AND(H192&gt;=$D$1,I192&lt;0,J192&lt;$D$2,G192/F192&gt;=3),"Very serious", AND(H192&gt;=$D$1,I192&lt;0,J192&gt;$D$2,G192/F192&gt;=3),"Very serious", AND(H192&gt;$D$1*-1,H192&lt;$D$1,I192&gt;$D$1*-1,J192&lt;$D$1,G192/F192&lt;3),"Not serious", AND(H192&gt;$D$1*-1,H192&lt;$D$1,OR(I192&lt;=$D$1*-1,J192&gt;=$D$1),I192&gt;$D$2*-1,J192&lt;$D$2,G192/F192&lt;3),"Serious", AND(H192&gt;$D$1*-1,H192&lt;$D$1,OR(I192&lt;=$D$2*-1,J192&gt;=$D$2),G192/F192&lt;3),"Very serious", AND(H192&gt;$D$1*-1,H192&lt;$D$1,I192&gt;$D$1*-1,J192&lt;$D$1,G192/F192&gt;=3),"Very serious", AND(H192&gt;$D$1*-1,H192&lt;$D$1,OR(I192&lt;=$D$1*-1,J192&gt;=$D$1),I192&gt;$D$2*-1,J192&lt;$D$2,G192/F192&gt;=3),"Very serious", AND(H192&gt;$D$1*-1,H192&lt;$D$1,OR(I192&lt;=$D$2*-1,J192&gt;=$D$2),G192/F192&gt;=3),"Very serious")),"")</f>
        <v/>
      </c>
      <c r="R192" s="109" t="str">
        <f t="shared" si="47"/>
        <v/>
      </c>
      <c r="S192" s="64"/>
      <c r="T192" s="72"/>
      <c r="U192" s="72"/>
      <c r="V192" s="72"/>
      <c r="W192" s="73"/>
      <c r="X192" s="73"/>
      <c r="Y192" s="74"/>
      <c r="Z192" s="113" t="str">
        <f t="array" ref="Z192">INDEX($A$1:$C$500, MATCH(1,($B:$B=$B192)*($C:$C=$AB192),0),1)</f>
        <v/>
      </c>
      <c r="AA192" s="113" t="str">
        <f t="array" ref="AA192">INDEX($A$1:$C$500, MATCH(1,($B:$B=$AB192)*($C:$C=$B192),0),1)</f>
        <v/>
      </c>
      <c r="AB192" s="111"/>
      <c r="AC192" s="114" t="str">
        <f t="shared" si="2"/>
        <v/>
      </c>
      <c r="AD192" s="115" t="str">
        <f t="shared" si="3"/>
        <v/>
      </c>
      <c r="AE192" s="116" t="str">
        <f t="array" ref="AE192">INDEX($A$1:$C$500, MATCH(1,($B:$B=$AB192)*($C:$C=$AG192),0),1)</f>
        <v/>
      </c>
      <c r="AF192" s="116" t="str">
        <f t="array" ref="AF192">INDEX($A$1:$C$500, MATCH(1,($B:$B=$AG192)*($C:$C=$AB192),0),1)</f>
        <v/>
      </c>
      <c r="AG192" s="72"/>
      <c r="AH192" s="114" t="str">
        <f t="shared" si="4"/>
        <v/>
      </c>
      <c r="AI192" s="115" t="str">
        <f t="shared" si="5"/>
        <v/>
      </c>
      <c r="AJ192" s="116" t="str">
        <f t="array" ref="AJ192">INDEX($A$1:$C$500, MATCH(1,($B:$B=$C192)*($C:$C=$AG192),0),1)</f>
        <v/>
      </c>
      <c r="AK192" s="116" t="str">
        <f t="array" ref="AK192">INDEX($A$1:$C$500, MATCH(1,($B:$B=$AG192)*($C:$C=$C192),0),1)</f>
        <v/>
      </c>
      <c r="AL192" s="116" t="str">
        <f t="array" ref="AL192">INDEX($A$1:$C$500, MATCH(1,($B:$B=$C192)*($C:$C=$AB192),0),1)</f>
        <v/>
      </c>
      <c r="AM192" s="116" t="str">
        <f t="array" ref="AM192">INDEX($A$1:$C$500, MATCH(1,($B:$B=$AB192)*($C:$C=$C192),0),1)</f>
        <v/>
      </c>
      <c r="AN192" s="114" t="str">
        <f t="array" ref="AN192">IFS(ISNUMBER(AJ192),AJ192,ISNUMBER(AK192),AK192,ISNUMBER(AL192),AL192,ISNUMBER(AM192),AM192)</f>
        <v>#N/A</v>
      </c>
      <c r="AO192" s="115" t="str">
        <f t="shared" si="6"/>
        <v/>
      </c>
      <c r="AP192" s="115" t="str">
        <f t="shared" si="7"/>
        <v/>
      </c>
      <c r="AQ192" s="111"/>
      <c r="AR192" s="109" t="str">
        <f t="shared" si="8"/>
        <v/>
      </c>
      <c r="AS192" s="72" t="str">
        <f>IFERROR(IF(AND(Preferences!B$3="Manual",OR(AX192/AW192&gt;V192/U192,BD192="Serious",BD192="Very serious")),"Assess imprecision",IFERROR(IFS(AND(Preferences!B$3="Automatic",V192/U192&gt;=30),"Extremely serious",AND(W192&lt;=$D$1*-1,Y192&lt;0,V192/U192&lt;3),"Not Serious",AND(W192&lt;=$D$1*-1,Y192&lt;0,V192/U192&gt;=3),"Very serious",AND(W192&gt;=$D$1,X192&gt;0,V192/U192&lt;3),"Not Serious",AND(W192&gt;=$D$1,X192&gt;0,V192/U192&gt;=3),"Very serious",AND(W192&lt;=$D$1*-1,Y192&gt;0,X192&gt;$D$2*-1,V192/U192&lt;3),"Serious", AND(W192&lt;=$D$1*-1,Y192&gt;0,X192&lt;$D$2*-1,V192/U192&lt;3),"Very serious", AND(W192&gt;=$D$1,X192&lt;0,Y192&lt;$D$2,V192/U192&lt;3),"Serious",AND(W192&gt;=$D$1,X192&lt;0,Y192&gt;$D$2,V192/U192&lt;3),"Very serious", AND(W192&lt;=$D$1*-1,Y192&gt;0,X192&gt;$D$2*-1,V192/U192&gt;=3),"Very serious", AND(W192&lt;=$D$1*-1,Y192&gt;0,X192&lt;$D$2*-1,V192/U192&gt;=3),"Very serious", AND(W192&gt;=$D$1,X192&lt;0,Y192&lt;$D$2,V192/U192&gt;=3),"Very serious", AND(W192&gt;=$D$1,X192&lt;0,Y192&gt;$D$2,V192/U192&gt;=3),"Very serious", AND(W192&gt;$D$1*-1,W192&lt;$D$1,X192&gt;$D$1*-1,Y192&lt;$D$1,V192/U192&lt;3),"Not Serious", AND(W192&gt;$D$1*-1,W192&lt;$D$1,OR(X192&lt;=$D$1*-1,Y192&gt;=$D$1),X192&gt;$D$2*-1,Y192&lt;$D$2,V192/U192&lt;3),"Serious", AND(W192&gt;$D$1*-1,W192&lt;$D$1,OR(X192&lt;=$D$2*-1,Y192&gt;=$D$2),V192/U192&lt;3),"Very serious", AND(W192&gt;$D$1*-1,W192&lt;$D$1,X192&gt;$D$1*-1,Y192&lt;$D$1,V192/U192&gt;=3),"Very serious", AND(W192&gt;$D$1*-1,W192&lt;$D$1,OR(X192&lt;=$D$1*-1,Y192&gt;=$D$1),X192&gt;$D$2*-1,Y192&lt;$D$2,V192/U192&gt;=3),"Very serious", AND(W192&gt;$D$1*-1,W192&lt;$D$1,OR(X192&lt;=$D$2*-1,Y192&gt;=$D$2),V192/U192&gt;=3),"Very serious"),"")),"")</f>
        <v/>
      </c>
      <c r="AT192" s="109" t="str">
        <f t="shared" si="9"/>
        <v/>
      </c>
      <c r="AU192" s="64"/>
      <c r="AV192" s="83"/>
      <c r="AW192" s="83"/>
      <c r="AX192" s="83"/>
      <c r="AY192" s="83"/>
      <c r="AZ192" s="83"/>
      <c r="BA192" s="85"/>
      <c r="BB192" s="86" t="str">
        <f>IF(Preferences!B$9="Manual","",IFS(ISBLANK(B192),"",AND(ISNUMBER(E192)=TRUE,ISNUMBER(T192)=FALSE),"Direct", AND(ISNUMBER(E192)=FALSE,ISNUMBER(T192)=TRUE),"Indirect", CN192=4,"Direct",AND(CL192=FALSE, CM192=TRUE,CN192-CO192&gt;-1),"Direct", AND(CL192=FALSE,CM192=TRUE, CN192-CO192&lt;0),"Check algorithm in appendix 2", AND(CL192=TRUE, CM192=FALSE,CN192-CO192&gt;0),"Check algorithm in appendix 2", AND(CL192=TRUE, CM192=FALSE,CN192-CO192=0),"Indirect", AND(CL192=TRUE, CM192=FALSE,CN192-CO192&lt;0),"Indirect", AND(CL192=FALSE,CM192=FALSE,CN192-CO192&gt;-1),"Direct", AND(CL192=FALSE,CM192=FALSE,CN192-CO192&lt;0),"Check algorithm in appendix 2", AND(CL192=TRUE,CM192=TRUE,CN192-CO192&gt;-1),"Direct", AND(CL192=TRUE,CM192=TRUE,CN192-CO192&lt;0),"Check algorithm in appendix 2"))</f>
        <v/>
      </c>
      <c r="BC192" s="120" t="str">
        <f t="shared" si="10"/>
        <v/>
      </c>
      <c r="BD192" s="140"/>
      <c r="BE192" s="122" t="str">
        <f>IF(Preferences!B$3="Manual","", IFERROR(IFS(AND(Preferences!B$3="Automatic",AX192/AW192&gt;=30),"Extremely serious",AND(AY192&lt;=$D$1*-1,BA192&lt;0,AX192/AW192&lt;3),"Not Serious",AND(AY192&lt;=$D$1*-1,BA192&lt;0,AX192/AW192&gt;=3),"Very serious",AND(AY192&gt;=$D$1,AZ192&gt;0,AX192/AW192&lt;3),"Not Serious",AND(AY192&gt;=$D$1,AZ192&gt;0,AX192/AW192&gt;=3),"Very serious",AND(AY192&lt;=$D$1*-1,BA192&gt;0,AZ192&gt;$D$2*-1,AX192/AW192&lt;3),"Serious", AND(AY192&lt;=$D$1*-1,BA192&gt;0,AZ192&lt;$D$2*-1,AX192/AW192&lt;3),"Very serious", AND(AY192&gt;=$D$1,AZ192&lt;0,BA192&lt;$D$2,AX192/AW192&lt;3),"Serious",AND(AY192&gt;=$D$1,AZ192&lt;0,BA192&gt;$D$2,AX192/AW192&lt;3),"Very serious", AND(AY192&lt;=$D$1*-1,BA192&gt;0,AZ192&gt;$D$2*-1,AX192/AW192&gt;=3),"Very serious", AND(AY192&lt;=$D$1*-1,BA192&gt;0,AZ192&lt;$D$2*-1,AX192/AW192&gt;=3),"Very serious", AND(AY192&gt;=$D$1,AZ192&lt;0,BA192&lt;$D$2,AX192/AW192&gt;=3),"Very serious", AND(AY192&gt;=$D$1,AZ192&lt;0,BA192&gt;$D$2,AX192/AW192&gt;=3),"Very serious", AND(AY192&gt;$D$1*-1,AY192&lt;$D$1,AZ192&gt;$D$1*-1,BA192&lt;$D$1,AX192/AW192&lt;3),"Not Serious", AND(AY192&gt;$D$1*-1,AY192&lt;$D$1,OR(AZ192&lt;=$D$1*-1,BA192&gt;=$D$1),AZ192&gt;$D$2*-1,BA192&lt;$D$2,AX192/AW192&lt;3),"Serious", AND(AY192&gt;$D$1*-1,AY192&lt;$D$1,OR(AZ192&lt;=$D$2*-1,BA192&gt;=$D$2),AX192/AW192&lt;3),"Very serious", AND(AY192&gt;$D$1*-1,AY192&lt;$D$1,AZ192&gt;$D$1*-1,BA192&lt;$D$1,AX192/AW192&gt;=3),"Very serious", AND(AY192&gt;$D$1*-1,AY192&lt;$D$1,OR(AZ192&lt;=$D$1*-1,BA192&gt;=$D$1),AZ192&gt;$D$2*-1,BA192&lt;$D$2,AX192/AW192&gt;=3),"Very serious", AND(AY192&gt;$D$1*-1,AY192&lt;$D$1,OR(AZ192&lt;=$D$2*-1,BA192&gt;=$D$2),AX192/AW192&gt;=3),"Very serious"),""))</f>
        <v/>
      </c>
      <c r="BF192" s="107" t="str">
        <f t="shared" si="11"/>
        <v/>
      </c>
      <c r="BG192" s="94" t="str">
        <f t="shared" si="46"/>
        <v/>
      </c>
      <c r="BH192" s="64" t="str">
        <f t="shared" si="12"/>
        <v>#N/A</v>
      </c>
      <c r="BI192" s="64" t="str">
        <f t="shared" si="13"/>
        <v/>
      </c>
      <c r="BJ192" s="123" t="str">
        <f t="shared" si="14"/>
        <v>#N/A</v>
      </c>
      <c r="BK192" s="64" t="str">
        <f t="shared" si="50"/>
        <v>YES</v>
      </c>
      <c r="BL192" s="64" t="str">
        <f t="shared" si="16"/>
        <v>YES</v>
      </c>
      <c r="BM192" s="64" t="str">
        <f t="shared" si="17"/>
        <v>YES</v>
      </c>
      <c r="BN192" s="124" t="str">
        <f t="shared" si="18"/>
        <v/>
      </c>
      <c r="BO192" s="91" t="str">
        <f t="shared" si="19"/>
        <v/>
      </c>
      <c r="BP192" s="91" t="str">
        <f t="shared" si="20"/>
        <v>#N/A</v>
      </c>
      <c r="BQ192" s="91" t="str">
        <f t="shared" si="21"/>
        <v/>
      </c>
      <c r="BR192" s="93" t="str">
        <f t="shared" si="22"/>
        <v/>
      </c>
      <c r="BS192" s="90" t="str">
        <f t="shared" si="23"/>
        <v/>
      </c>
      <c r="BT192" s="93" t="str">
        <f t="shared" si="24"/>
        <v>NA</v>
      </c>
      <c r="BU192" s="125" t="str">
        <f t="shared" si="25"/>
        <v>#N/A</v>
      </c>
      <c r="BV192" s="93" t="str">
        <f t="shared" si="26"/>
        <v/>
      </c>
      <c r="BW192" s="93" t="str">
        <f t="shared" si="27"/>
        <v/>
      </c>
      <c r="BX192" s="93" t="str">
        <f t="shared" si="28"/>
        <v>NA</v>
      </c>
      <c r="BY192" s="95" t="str">
        <f t="shared" si="29"/>
        <v>#N/A</v>
      </c>
      <c r="BZ192" s="93" t="str">
        <f t="shared" si="30"/>
        <v/>
      </c>
      <c r="CA192" s="93" t="str">
        <f t="shared" si="31"/>
        <v/>
      </c>
      <c r="CB192" s="93" t="str">
        <f t="shared" si="32"/>
        <v>NA</v>
      </c>
      <c r="CC192" s="96" t="str">
        <f t="shared" si="33"/>
        <v>#N/A</v>
      </c>
      <c r="CD192" s="93" t="str">
        <f t="shared" si="34"/>
        <v/>
      </c>
      <c r="CE192" s="93" t="str">
        <f t="shared" si="35"/>
        <v/>
      </c>
      <c r="CF192" s="93" t="str">
        <f t="shared" si="36"/>
        <v>NA</v>
      </c>
      <c r="CG192" s="97" t="str">
        <f t="shared" si="37"/>
        <v>#N/A</v>
      </c>
      <c r="CH192" s="98" t="str">
        <f t="shared" si="38"/>
        <v>#N/A</v>
      </c>
      <c r="CI192" s="99" t="str">
        <f t="shared" si="39"/>
        <v>#N/A</v>
      </c>
      <c r="CJ192" s="126" t="str">
        <f t="shared" si="40"/>
        <v>ERROR: check cell</v>
      </c>
      <c r="CK192" s="126"/>
      <c r="CL192" s="127" t="str">
        <f t="shared" si="41"/>
        <v>#DIV/0!</v>
      </c>
      <c r="CM192" s="128" t="str">
        <f t="shared" si="42"/>
        <v>#DIV/0!</v>
      </c>
      <c r="CN192" s="128">
        <f t="shared" si="43"/>
        <v>4</v>
      </c>
      <c r="CO192" s="129">
        <f t="shared" si="44"/>
        <v>4</v>
      </c>
      <c r="CP192" s="129" t="str">
        <f>IFS(C192=Preferences!B$13,B192,B192=Preferences!B$13,C192)</f>
        <v>#N/A</v>
      </c>
    </row>
    <row r="193" ht="13.5" customHeight="1">
      <c r="A193" s="63" t="str">
        <f t="shared" si="45"/>
        <v/>
      </c>
      <c r="B193" s="64"/>
      <c r="C193" s="64"/>
      <c r="D193" s="64"/>
      <c r="E193" s="65"/>
      <c r="F193" s="65"/>
      <c r="G193" s="65"/>
      <c r="H193" s="66"/>
      <c r="I193" s="66"/>
      <c r="J193" s="67"/>
      <c r="K193" s="68"/>
      <c r="L193" s="104"/>
      <c r="M193" s="104"/>
      <c r="N193" s="104"/>
      <c r="O193" s="104"/>
      <c r="P193" s="107" t="str">
        <f t="shared" si="1"/>
        <v/>
      </c>
      <c r="Q193" s="108" t="str">
        <f>IFERROR(IF(AND(Preferences!B$3="Manual",OR(AX193/AW193&gt;G193/F193,BD193="Serious",BD193="Very serious")),"Assess imprecision",IFS(ISBLANK(E193),"",AND(Preferences!B$3="Automatic", G193/F193&gt;=30),"Extremely serious",AND(H193&lt;=$D$1*-1,J193&lt;0,G193/F193&lt;3),"Not serious",AND(H193&lt;=$D$1*-1,J193&lt;0,G193/F193&gt;=3),"Very serious",AND(H193&gt;=$D$1,I193&gt;0,G193/F193&lt;3),"Not serious",AND(H193&gt;=$D$1,I193&gt;0,G193/F193&gt;=3),"Very serious",AND(H193&lt;=$D$1*-1,J193&gt;0,I193&gt;$D$2*-1,G193/F193&lt;3),"Serious", AND(H193&lt;=$D$1*-1,J193&gt;0,I193&lt;$D$2*-1,G193/F193&lt;3),"Very serious", AND(H193&gt;=$D$1,I193&lt;0,J193&lt;$D$2,G193/F193&lt;3),"Serious",AND(H193&gt;=$D$1,I193&lt;0,J193&gt;$D$2,G193/F193&lt;3),"Very serious", AND(H193&lt;=$D$1*-1,J193&gt;0,I193&gt;$D$2*-1,G193/F193&gt;=3),"Very serious", AND(H193&lt;=$D$1*-1,J193&gt;0,I193&lt;$D$2*-1,G193/F193&gt;=3),"Very serious", AND(H193&gt;=$D$1,I193&lt;0,J193&lt;$D$2,G193/F193&gt;=3),"Very serious", AND(H193&gt;=$D$1,I193&lt;0,J193&gt;$D$2,G193/F193&gt;=3),"Very serious", AND(H193&gt;$D$1*-1,H193&lt;$D$1,I193&gt;$D$1*-1,J193&lt;$D$1,G193/F193&lt;3),"Not serious", AND(H193&gt;$D$1*-1,H193&lt;$D$1,OR(I193&lt;=$D$1*-1,J193&gt;=$D$1),I193&gt;$D$2*-1,J193&lt;$D$2,G193/F193&lt;3),"Serious", AND(H193&gt;$D$1*-1,H193&lt;$D$1,OR(I193&lt;=$D$2*-1,J193&gt;=$D$2),G193/F193&lt;3),"Very serious", AND(H193&gt;$D$1*-1,H193&lt;$D$1,I193&gt;$D$1*-1,J193&lt;$D$1,G193/F193&gt;=3),"Very serious", AND(H193&gt;$D$1*-1,H193&lt;$D$1,OR(I193&lt;=$D$1*-1,J193&gt;=$D$1),I193&gt;$D$2*-1,J193&lt;$D$2,G193/F193&gt;=3),"Very serious", AND(H193&gt;$D$1*-1,H193&lt;$D$1,OR(I193&lt;=$D$2*-1,J193&gt;=$D$2),G193/F193&gt;=3),"Very serious")),"")</f>
        <v/>
      </c>
      <c r="R193" s="109" t="str">
        <f t="shared" si="47"/>
        <v/>
      </c>
      <c r="S193" s="64"/>
      <c r="T193" s="72"/>
      <c r="U193" s="72"/>
      <c r="V193" s="72"/>
      <c r="W193" s="73"/>
      <c r="X193" s="73"/>
      <c r="Y193" s="74"/>
      <c r="Z193" s="113" t="str">
        <f t="array" ref="Z193">INDEX($A$1:$C$500, MATCH(1,($B:$B=$B193)*($C:$C=$AB193),0),1)</f>
        <v/>
      </c>
      <c r="AA193" s="113" t="str">
        <f t="array" ref="AA193">INDEX($A$1:$C$500, MATCH(1,($B:$B=$AB193)*($C:$C=$B193),0),1)</f>
        <v/>
      </c>
      <c r="AB193" s="111"/>
      <c r="AC193" s="114" t="str">
        <f t="shared" si="2"/>
        <v/>
      </c>
      <c r="AD193" s="115" t="str">
        <f t="shared" si="3"/>
        <v/>
      </c>
      <c r="AE193" s="116" t="str">
        <f t="array" ref="AE193">INDEX($A$1:$C$500, MATCH(1,($B:$B=$AB193)*($C:$C=$AG193),0),1)</f>
        <v/>
      </c>
      <c r="AF193" s="116" t="str">
        <f t="array" ref="AF193">INDEX($A$1:$C$500, MATCH(1,($B:$B=$AG193)*($C:$C=$AB193),0),1)</f>
        <v/>
      </c>
      <c r="AG193" s="72"/>
      <c r="AH193" s="114" t="str">
        <f t="shared" si="4"/>
        <v/>
      </c>
      <c r="AI193" s="115" t="str">
        <f t="shared" si="5"/>
        <v/>
      </c>
      <c r="AJ193" s="116" t="str">
        <f t="array" ref="AJ193">INDEX($A$1:$C$500, MATCH(1,($B:$B=$C193)*($C:$C=$AG193),0),1)</f>
        <v/>
      </c>
      <c r="AK193" s="116" t="str">
        <f t="array" ref="AK193">INDEX($A$1:$C$500, MATCH(1,($B:$B=$AG193)*($C:$C=$C193),0),1)</f>
        <v/>
      </c>
      <c r="AL193" s="116" t="str">
        <f t="array" ref="AL193">INDEX($A$1:$C$500, MATCH(1,($B:$B=$C193)*($C:$C=$AB193),0),1)</f>
        <v/>
      </c>
      <c r="AM193" s="116" t="str">
        <f t="array" ref="AM193">INDEX($A$1:$C$500, MATCH(1,($B:$B=$AB193)*($C:$C=$C193),0),1)</f>
        <v/>
      </c>
      <c r="AN193" s="114" t="str">
        <f t="array" ref="AN193">IFS(ISNUMBER(AJ193),AJ193,ISNUMBER(AK193),AK193,ISNUMBER(AL193),AL193,ISNUMBER(AM193),AM193)</f>
        <v>#N/A</v>
      </c>
      <c r="AO193" s="115" t="str">
        <f t="shared" si="6"/>
        <v/>
      </c>
      <c r="AP193" s="115" t="str">
        <f t="shared" si="7"/>
        <v/>
      </c>
      <c r="AQ193" s="111"/>
      <c r="AR193" s="109" t="str">
        <f t="shared" si="8"/>
        <v/>
      </c>
      <c r="AS193" s="72" t="str">
        <f>IFERROR(IF(AND(Preferences!B$3="Manual",OR(AX193/AW193&gt;V193/U193,BD193="Serious",BD193="Very serious")),"Assess imprecision",IFERROR(IFS(AND(Preferences!B$3="Automatic",V193/U193&gt;=30),"Extremely serious",AND(W193&lt;=$D$1*-1,Y193&lt;0,V193/U193&lt;3),"Not Serious",AND(W193&lt;=$D$1*-1,Y193&lt;0,V193/U193&gt;=3),"Very serious",AND(W193&gt;=$D$1,X193&gt;0,V193/U193&lt;3),"Not Serious",AND(W193&gt;=$D$1,X193&gt;0,V193/U193&gt;=3),"Very serious",AND(W193&lt;=$D$1*-1,Y193&gt;0,X193&gt;$D$2*-1,V193/U193&lt;3),"Serious", AND(W193&lt;=$D$1*-1,Y193&gt;0,X193&lt;$D$2*-1,V193/U193&lt;3),"Very serious", AND(W193&gt;=$D$1,X193&lt;0,Y193&lt;$D$2,V193/U193&lt;3),"Serious",AND(W193&gt;=$D$1,X193&lt;0,Y193&gt;$D$2,V193/U193&lt;3),"Very serious", AND(W193&lt;=$D$1*-1,Y193&gt;0,X193&gt;$D$2*-1,V193/U193&gt;=3),"Very serious", AND(W193&lt;=$D$1*-1,Y193&gt;0,X193&lt;$D$2*-1,V193/U193&gt;=3),"Very serious", AND(W193&gt;=$D$1,X193&lt;0,Y193&lt;$D$2,V193/U193&gt;=3),"Very serious", AND(W193&gt;=$D$1,X193&lt;0,Y193&gt;$D$2,V193/U193&gt;=3),"Very serious", AND(W193&gt;$D$1*-1,W193&lt;$D$1,X193&gt;$D$1*-1,Y193&lt;$D$1,V193/U193&lt;3),"Not Serious", AND(W193&gt;$D$1*-1,W193&lt;$D$1,OR(X193&lt;=$D$1*-1,Y193&gt;=$D$1),X193&gt;$D$2*-1,Y193&lt;$D$2,V193/U193&lt;3),"Serious", AND(W193&gt;$D$1*-1,W193&lt;$D$1,OR(X193&lt;=$D$2*-1,Y193&gt;=$D$2),V193/U193&lt;3),"Very serious", AND(W193&gt;$D$1*-1,W193&lt;$D$1,X193&gt;$D$1*-1,Y193&lt;$D$1,V193/U193&gt;=3),"Very serious", AND(W193&gt;$D$1*-1,W193&lt;$D$1,OR(X193&lt;=$D$1*-1,Y193&gt;=$D$1),X193&gt;$D$2*-1,Y193&lt;$D$2,V193/U193&gt;=3),"Very serious", AND(W193&gt;$D$1*-1,W193&lt;$D$1,OR(X193&lt;=$D$2*-1,Y193&gt;=$D$2),V193/U193&gt;=3),"Very serious"),"")),"")</f>
        <v/>
      </c>
      <c r="AT193" s="109" t="str">
        <f t="shared" si="9"/>
        <v/>
      </c>
      <c r="AU193" s="64"/>
      <c r="AV193" s="83"/>
      <c r="AW193" s="83"/>
      <c r="AX193" s="83"/>
      <c r="AY193" s="83"/>
      <c r="AZ193" s="83"/>
      <c r="BA193" s="85"/>
      <c r="BB193" s="86" t="str">
        <f>IF(Preferences!B$9="Manual","",IFS(ISBLANK(B193),"",AND(ISNUMBER(E193)=TRUE,ISNUMBER(T193)=FALSE),"Direct", AND(ISNUMBER(E193)=FALSE,ISNUMBER(T193)=TRUE),"Indirect", CN193=4,"Direct",AND(CL193=FALSE, CM193=TRUE,CN193-CO193&gt;-1),"Direct", AND(CL193=FALSE,CM193=TRUE, CN193-CO193&lt;0),"Check algorithm in appendix 2", AND(CL193=TRUE, CM193=FALSE,CN193-CO193&gt;0),"Check algorithm in appendix 2", AND(CL193=TRUE, CM193=FALSE,CN193-CO193=0),"Indirect", AND(CL193=TRUE, CM193=FALSE,CN193-CO193&lt;0),"Indirect", AND(CL193=FALSE,CM193=FALSE,CN193-CO193&gt;-1),"Direct", AND(CL193=FALSE,CM193=FALSE,CN193-CO193&lt;0),"Check algorithm in appendix 2", AND(CL193=TRUE,CM193=TRUE,CN193-CO193&gt;-1),"Direct", AND(CL193=TRUE,CM193=TRUE,CN193-CO193&lt;0),"Check algorithm in appendix 2"))</f>
        <v/>
      </c>
      <c r="BC193" s="120" t="str">
        <f t="shared" si="10"/>
        <v/>
      </c>
      <c r="BD193" s="140"/>
      <c r="BE193" s="122" t="str">
        <f>IF(Preferences!B$3="Manual","", IFERROR(IFS(AND(Preferences!B$3="Automatic",AX193/AW193&gt;=30),"Extremely serious",AND(AY193&lt;=$D$1*-1,BA193&lt;0,AX193/AW193&lt;3),"Not Serious",AND(AY193&lt;=$D$1*-1,BA193&lt;0,AX193/AW193&gt;=3),"Very serious",AND(AY193&gt;=$D$1,AZ193&gt;0,AX193/AW193&lt;3),"Not Serious",AND(AY193&gt;=$D$1,AZ193&gt;0,AX193/AW193&gt;=3),"Very serious",AND(AY193&lt;=$D$1*-1,BA193&gt;0,AZ193&gt;$D$2*-1,AX193/AW193&lt;3),"Serious", AND(AY193&lt;=$D$1*-1,BA193&gt;0,AZ193&lt;$D$2*-1,AX193/AW193&lt;3),"Very serious", AND(AY193&gt;=$D$1,AZ193&lt;0,BA193&lt;$D$2,AX193/AW193&lt;3),"Serious",AND(AY193&gt;=$D$1,AZ193&lt;0,BA193&gt;$D$2,AX193/AW193&lt;3),"Very serious", AND(AY193&lt;=$D$1*-1,BA193&gt;0,AZ193&gt;$D$2*-1,AX193/AW193&gt;=3),"Very serious", AND(AY193&lt;=$D$1*-1,BA193&gt;0,AZ193&lt;$D$2*-1,AX193/AW193&gt;=3),"Very serious", AND(AY193&gt;=$D$1,AZ193&lt;0,BA193&lt;$D$2,AX193/AW193&gt;=3),"Very serious", AND(AY193&gt;=$D$1,AZ193&lt;0,BA193&gt;$D$2,AX193/AW193&gt;=3),"Very serious", AND(AY193&gt;$D$1*-1,AY193&lt;$D$1,AZ193&gt;$D$1*-1,BA193&lt;$D$1,AX193/AW193&lt;3),"Not Serious", AND(AY193&gt;$D$1*-1,AY193&lt;$D$1,OR(AZ193&lt;=$D$1*-1,BA193&gt;=$D$1),AZ193&gt;$D$2*-1,BA193&lt;$D$2,AX193/AW193&lt;3),"Serious", AND(AY193&gt;$D$1*-1,AY193&lt;$D$1,OR(AZ193&lt;=$D$2*-1,BA193&gt;=$D$2),AX193/AW193&lt;3),"Very serious", AND(AY193&gt;$D$1*-1,AY193&lt;$D$1,AZ193&gt;$D$1*-1,BA193&lt;$D$1,AX193/AW193&gt;=3),"Very serious", AND(AY193&gt;$D$1*-1,AY193&lt;$D$1,OR(AZ193&lt;=$D$1*-1,BA193&gt;=$D$1),AZ193&gt;$D$2*-1,BA193&lt;$D$2,AX193/AW193&gt;=3),"Very serious", AND(AY193&gt;$D$1*-1,AY193&lt;$D$1,OR(AZ193&lt;=$D$2*-1,BA193&gt;=$D$2),AX193/AW193&gt;=3),"Very serious"),""))</f>
        <v/>
      </c>
      <c r="BF193" s="107" t="str">
        <f t="shared" si="11"/>
        <v/>
      </c>
      <c r="BG193" s="94" t="str">
        <f t="shared" si="46"/>
        <v/>
      </c>
      <c r="BH193" s="64" t="str">
        <f t="shared" si="12"/>
        <v>#N/A</v>
      </c>
      <c r="BI193" s="64" t="str">
        <f t="shared" si="13"/>
        <v/>
      </c>
      <c r="BJ193" s="123" t="str">
        <f t="shared" si="14"/>
        <v>#N/A</v>
      </c>
      <c r="BK193" s="64" t="str">
        <f t="shared" si="50"/>
        <v>YES</v>
      </c>
      <c r="BL193" s="64" t="str">
        <f t="shared" si="16"/>
        <v>YES</v>
      </c>
      <c r="BM193" s="64" t="str">
        <f t="shared" si="17"/>
        <v>YES</v>
      </c>
      <c r="BN193" s="124" t="str">
        <f t="shared" si="18"/>
        <v/>
      </c>
      <c r="BO193" s="91" t="str">
        <f t="shared" si="19"/>
        <v/>
      </c>
      <c r="BP193" s="91" t="str">
        <f t="shared" si="20"/>
        <v>#N/A</v>
      </c>
      <c r="BQ193" s="91" t="str">
        <f t="shared" si="21"/>
        <v/>
      </c>
      <c r="BR193" s="93" t="str">
        <f t="shared" si="22"/>
        <v/>
      </c>
      <c r="BS193" s="90" t="str">
        <f t="shared" si="23"/>
        <v/>
      </c>
      <c r="BT193" s="93" t="str">
        <f t="shared" si="24"/>
        <v>NA</v>
      </c>
      <c r="BU193" s="125" t="str">
        <f t="shared" si="25"/>
        <v>#N/A</v>
      </c>
      <c r="BV193" s="93" t="str">
        <f t="shared" si="26"/>
        <v/>
      </c>
      <c r="BW193" s="93" t="str">
        <f t="shared" si="27"/>
        <v/>
      </c>
      <c r="BX193" s="93" t="str">
        <f t="shared" si="28"/>
        <v>NA</v>
      </c>
      <c r="BY193" s="95" t="str">
        <f t="shared" si="29"/>
        <v>#N/A</v>
      </c>
      <c r="BZ193" s="93" t="str">
        <f t="shared" si="30"/>
        <v/>
      </c>
      <c r="CA193" s="93" t="str">
        <f t="shared" si="31"/>
        <v/>
      </c>
      <c r="CB193" s="93" t="str">
        <f t="shared" si="32"/>
        <v>NA</v>
      </c>
      <c r="CC193" s="96" t="str">
        <f t="shared" si="33"/>
        <v>#N/A</v>
      </c>
      <c r="CD193" s="93" t="str">
        <f t="shared" si="34"/>
        <v/>
      </c>
      <c r="CE193" s="93" t="str">
        <f t="shared" si="35"/>
        <v/>
      </c>
      <c r="CF193" s="93" t="str">
        <f t="shared" si="36"/>
        <v>NA</v>
      </c>
      <c r="CG193" s="97" t="str">
        <f t="shared" si="37"/>
        <v>#N/A</v>
      </c>
      <c r="CH193" s="98" t="str">
        <f t="shared" si="38"/>
        <v>#N/A</v>
      </c>
      <c r="CI193" s="99" t="str">
        <f t="shared" si="39"/>
        <v>#N/A</v>
      </c>
      <c r="CJ193" s="126" t="str">
        <f t="shared" si="40"/>
        <v>ERROR: check cell</v>
      </c>
      <c r="CK193" s="126"/>
      <c r="CL193" s="127" t="str">
        <f t="shared" si="41"/>
        <v>#DIV/0!</v>
      </c>
      <c r="CM193" s="128" t="str">
        <f t="shared" si="42"/>
        <v>#DIV/0!</v>
      </c>
      <c r="CN193" s="128">
        <f t="shared" si="43"/>
        <v>4</v>
      </c>
      <c r="CO193" s="129">
        <f t="shared" si="44"/>
        <v>4</v>
      </c>
      <c r="CP193" s="129" t="str">
        <f>IFS(C193=Preferences!B$13,B193,B193=Preferences!B$13,C193)</f>
        <v>#N/A</v>
      </c>
    </row>
    <row r="194" ht="13.5" customHeight="1">
      <c r="A194" s="63" t="str">
        <f t="shared" si="45"/>
        <v/>
      </c>
      <c r="B194" s="64"/>
      <c r="C194" s="64"/>
      <c r="D194" s="64"/>
      <c r="E194" s="65"/>
      <c r="F194" s="65"/>
      <c r="G194" s="65"/>
      <c r="H194" s="66"/>
      <c r="I194" s="66"/>
      <c r="J194" s="67"/>
      <c r="K194" s="68"/>
      <c r="L194" s="104"/>
      <c r="M194" s="104"/>
      <c r="N194" s="104"/>
      <c r="O194" s="104"/>
      <c r="P194" s="107" t="str">
        <f t="shared" si="1"/>
        <v/>
      </c>
      <c r="Q194" s="108" t="str">
        <f>IFERROR(IF(AND(Preferences!B$3="Manual",OR(AX194/AW194&gt;G194/F194,BD194="Serious",BD194="Very serious")),"Assess imprecision",IFS(ISBLANK(E194),"",AND(Preferences!B$3="Automatic", G194/F194&gt;=30),"Extremely serious",AND(H194&lt;=$D$1*-1,J194&lt;0,G194/F194&lt;3),"Not serious",AND(H194&lt;=$D$1*-1,J194&lt;0,G194/F194&gt;=3),"Very serious",AND(H194&gt;=$D$1,I194&gt;0,G194/F194&lt;3),"Not serious",AND(H194&gt;=$D$1,I194&gt;0,G194/F194&gt;=3),"Very serious",AND(H194&lt;=$D$1*-1,J194&gt;0,I194&gt;$D$2*-1,G194/F194&lt;3),"Serious", AND(H194&lt;=$D$1*-1,J194&gt;0,I194&lt;$D$2*-1,G194/F194&lt;3),"Very serious", AND(H194&gt;=$D$1,I194&lt;0,J194&lt;$D$2,G194/F194&lt;3),"Serious",AND(H194&gt;=$D$1,I194&lt;0,J194&gt;$D$2,G194/F194&lt;3),"Very serious", AND(H194&lt;=$D$1*-1,J194&gt;0,I194&gt;$D$2*-1,G194/F194&gt;=3),"Very serious", AND(H194&lt;=$D$1*-1,J194&gt;0,I194&lt;$D$2*-1,G194/F194&gt;=3),"Very serious", AND(H194&gt;=$D$1,I194&lt;0,J194&lt;$D$2,G194/F194&gt;=3),"Very serious", AND(H194&gt;=$D$1,I194&lt;0,J194&gt;$D$2,G194/F194&gt;=3),"Very serious", AND(H194&gt;$D$1*-1,H194&lt;$D$1,I194&gt;$D$1*-1,J194&lt;$D$1,G194/F194&lt;3),"Not serious", AND(H194&gt;$D$1*-1,H194&lt;$D$1,OR(I194&lt;=$D$1*-1,J194&gt;=$D$1),I194&gt;$D$2*-1,J194&lt;$D$2,G194/F194&lt;3),"Serious", AND(H194&gt;$D$1*-1,H194&lt;$D$1,OR(I194&lt;=$D$2*-1,J194&gt;=$D$2),G194/F194&lt;3),"Very serious", AND(H194&gt;$D$1*-1,H194&lt;$D$1,I194&gt;$D$1*-1,J194&lt;$D$1,G194/F194&gt;=3),"Very serious", AND(H194&gt;$D$1*-1,H194&lt;$D$1,OR(I194&lt;=$D$1*-1,J194&gt;=$D$1),I194&gt;$D$2*-1,J194&lt;$D$2,G194/F194&gt;=3),"Very serious", AND(H194&gt;$D$1*-1,H194&lt;$D$1,OR(I194&lt;=$D$2*-1,J194&gt;=$D$2),G194/F194&gt;=3),"Very serious")),"")</f>
        <v/>
      </c>
      <c r="R194" s="109" t="str">
        <f t="shared" si="47"/>
        <v/>
      </c>
      <c r="S194" s="64"/>
      <c r="T194" s="72"/>
      <c r="U194" s="72"/>
      <c r="V194" s="72"/>
      <c r="W194" s="73"/>
      <c r="X194" s="73"/>
      <c r="Y194" s="74"/>
      <c r="Z194" s="113" t="str">
        <f t="array" ref="Z194">INDEX($A$1:$C$500, MATCH(1,($B:$B=$B194)*($C:$C=$AB194),0),1)</f>
        <v/>
      </c>
      <c r="AA194" s="113" t="str">
        <f t="array" ref="AA194">INDEX($A$1:$C$500, MATCH(1,($B:$B=$AB194)*($C:$C=$B194),0),1)</f>
        <v/>
      </c>
      <c r="AB194" s="111"/>
      <c r="AC194" s="114" t="str">
        <f t="shared" si="2"/>
        <v/>
      </c>
      <c r="AD194" s="115" t="str">
        <f t="shared" si="3"/>
        <v/>
      </c>
      <c r="AE194" s="116" t="str">
        <f t="array" ref="AE194">INDEX($A$1:$C$500, MATCH(1,($B:$B=$AB194)*($C:$C=$AG194),0),1)</f>
        <v/>
      </c>
      <c r="AF194" s="116" t="str">
        <f t="array" ref="AF194">INDEX($A$1:$C$500, MATCH(1,($B:$B=$AG194)*($C:$C=$AB194),0),1)</f>
        <v/>
      </c>
      <c r="AG194" s="72"/>
      <c r="AH194" s="114" t="str">
        <f t="shared" si="4"/>
        <v/>
      </c>
      <c r="AI194" s="115" t="str">
        <f t="shared" si="5"/>
        <v/>
      </c>
      <c r="AJ194" s="116" t="str">
        <f t="array" ref="AJ194">INDEX($A$1:$C$500, MATCH(1,($B:$B=$C194)*($C:$C=$AG194),0),1)</f>
        <v/>
      </c>
      <c r="AK194" s="116" t="str">
        <f t="array" ref="AK194">INDEX($A$1:$C$500, MATCH(1,($B:$B=$AG194)*($C:$C=$C194),0),1)</f>
        <v/>
      </c>
      <c r="AL194" s="116" t="str">
        <f t="array" ref="AL194">INDEX($A$1:$C$500, MATCH(1,($B:$B=$C194)*($C:$C=$AB194),0),1)</f>
        <v/>
      </c>
      <c r="AM194" s="116" t="str">
        <f t="array" ref="AM194">INDEX($A$1:$C$500, MATCH(1,($B:$B=$AB194)*($C:$C=$C194),0),1)</f>
        <v/>
      </c>
      <c r="AN194" s="114" t="str">
        <f t="array" ref="AN194">IFS(ISNUMBER(AJ194),AJ194,ISNUMBER(AK194),AK194,ISNUMBER(AL194),AL194,ISNUMBER(AM194),AM194)</f>
        <v>#N/A</v>
      </c>
      <c r="AO194" s="115" t="str">
        <f t="shared" si="6"/>
        <v/>
      </c>
      <c r="AP194" s="115" t="str">
        <f t="shared" si="7"/>
        <v/>
      </c>
      <c r="AQ194" s="111"/>
      <c r="AR194" s="109" t="str">
        <f t="shared" si="8"/>
        <v/>
      </c>
      <c r="AS194" s="72" t="str">
        <f>IFERROR(IF(AND(Preferences!B$3="Manual",OR(AX194/AW194&gt;V194/U194,BD194="Serious",BD194="Very serious")),"Assess imprecision",IFERROR(IFS(AND(Preferences!B$3="Automatic",V194/U194&gt;=30),"Extremely serious",AND(W194&lt;=$D$1*-1,Y194&lt;0,V194/U194&lt;3),"Not Serious",AND(W194&lt;=$D$1*-1,Y194&lt;0,V194/U194&gt;=3),"Very serious",AND(W194&gt;=$D$1,X194&gt;0,V194/U194&lt;3),"Not Serious",AND(W194&gt;=$D$1,X194&gt;0,V194/U194&gt;=3),"Very serious",AND(W194&lt;=$D$1*-1,Y194&gt;0,X194&gt;$D$2*-1,V194/U194&lt;3),"Serious", AND(W194&lt;=$D$1*-1,Y194&gt;0,X194&lt;$D$2*-1,V194/U194&lt;3),"Very serious", AND(W194&gt;=$D$1,X194&lt;0,Y194&lt;$D$2,V194/U194&lt;3),"Serious",AND(W194&gt;=$D$1,X194&lt;0,Y194&gt;$D$2,V194/U194&lt;3),"Very serious", AND(W194&lt;=$D$1*-1,Y194&gt;0,X194&gt;$D$2*-1,V194/U194&gt;=3),"Very serious", AND(W194&lt;=$D$1*-1,Y194&gt;0,X194&lt;$D$2*-1,V194/U194&gt;=3),"Very serious", AND(W194&gt;=$D$1,X194&lt;0,Y194&lt;$D$2,V194/U194&gt;=3),"Very serious", AND(W194&gt;=$D$1,X194&lt;0,Y194&gt;$D$2,V194/U194&gt;=3),"Very serious", AND(W194&gt;$D$1*-1,W194&lt;$D$1,X194&gt;$D$1*-1,Y194&lt;$D$1,V194/U194&lt;3),"Not Serious", AND(W194&gt;$D$1*-1,W194&lt;$D$1,OR(X194&lt;=$D$1*-1,Y194&gt;=$D$1),X194&gt;$D$2*-1,Y194&lt;$D$2,V194/U194&lt;3),"Serious", AND(W194&gt;$D$1*-1,W194&lt;$D$1,OR(X194&lt;=$D$2*-1,Y194&gt;=$D$2),V194/U194&lt;3),"Very serious", AND(W194&gt;$D$1*-1,W194&lt;$D$1,X194&gt;$D$1*-1,Y194&lt;$D$1,V194/U194&gt;=3),"Very serious", AND(W194&gt;$D$1*-1,W194&lt;$D$1,OR(X194&lt;=$D$1*-1,Y194&gt;=$D$1),X194&gt;$D$2*-1,Y194&lt;$D$2,V194/U194&gt;=3),"Very serious", AND(W194&gt;$D$1*-1,W194&lt;$D$1,OR(X194&lt;=$D$2*-1,Y194&gt;=$D$2),V194/U194&gt;=3),"Very serious"),"")),"")</f>
        <v/>
      </c>
      <c r="AT194" s="109" t="str">
        <f t="shared" si="9"/>
        <v/>
      </c>
      <c r="AU194" s="64"/>
      <c r="AV194" s="83"/>
      <c r="AW194" s="83"/>
      <c r="AX194" s="83"/>
      <c r="AY194" s="83"/>
      <c r="AZ194" s="83"/>
      <c r="BA194" s="85"/>
      <c r="BB194" s="86" t="str">
        <f>IF(Preferences!B$9="Manual","",IFS(ISBLANK(B194),"",AND(ISNUMBER(E194)=TRUE,ISNUMBER(T194)=FALSE),"Direct", AND(ISNUMBER(E194)=FALSE,ISNUMBER(T194)=TRUE),"Indirect", CN194=4,"Direct",AND(CL194=FALSE, CM194=TRUE,CN194-CO194&gt;-1),"Direct", AND(CL194=FALSE,CM194=TRUE, CN194-CO194&lt;0),"Check algorithm in appendix 2", AND(CL194=TRUE, CM194=FALSE,CN194-CO194&gt;0),"Check algorithm in appendix 2", AND(CL194=TRUE, CM194=FALSE,CN194-CO194=0),"Indirect", AND(CL194=TRUE, CM194=FALSE,CN194-CO194&lt;0),"Indirect", AND(CL194=FALSE,CM194=FALSE,CN194-CO194&gt;-1),"Direct", AND(CL194=FALSE,CM194=FALSE,CN194-CO194&lt;0),"Check algorithm in appendix 2", AND(CL194=TRUE,CM194=TRUE,CN194-CO194&gt;-1),"Direct", AND(CL194=TRUE,CM194=TRUE,CN194-CO194&lt;0),"Check algorithm in appendix 2"))</f>
        <v/>
      </c>
      <c r="BC194" s="120" t="str">
        <f t="shared" si="10"/>
        <v/>
      </c>
      <c r="BD194" s="140"/>
      <c r="BE194" s="122" t="str">
        <f>IF(Preferences!B$3="Manual","", IFERROR(IFS(AND(Preferences!B$3="Automatic",AX194/AW194&gt;=30),"Extremely serious",AND(AY194&lt;=$D$1*-1,BA194&lt;0,AX194/AW194&lt;3),"Not Serious",AND(AY194&lt;=$D$1*-1,BA194&lt;0,AX194/AW194&gt;=3),"Very serious",AND(AY194&gt;=$D$1,AZ194&gt;0,AX194/AW194&lt;3),"Not Serious",AND(AY194&gt;=$D$1,AZ194&gt;0,AX194/AW194&gt;=3),"Very serious",AND(AY194&lt;=$D$1*-1,BA194&gt;0,AZ194&gt;$D$2*-1,AX194/AW194&lt;3),"Serious", AND(AY194&lt;=$D$1*-1,BA194&gt;0,AZ194&lt;$D$2*-1,AX194/AW194&lt;3),"Very serious", AND(AY194&gt;=$D$1,AZ194&lt;0,BA194&lt;$D$2,AX194/AW194&lt;3),"Serious",AND(AY194&gt;=$D$1,AZ194&lt;0,BA194&gt;$D$2,AX194/AW194&lt;3),"Very serious", AND(AY194&lt;=$D$1*-1,BA194&gt;0,AZ194&gt;$D$2*-1,AX194/AW194&gt;=3),"Very serious", AND(AY194&lt;=$D$1*-1,BA194&gt;0,AZ194&lt;$D$2*-1,AX194/AW194&gt;=3),"Very serious", AND(AY194&gt;=$D$1,AZ194&lt;0,BA194&lt;$D$2,AX194/AW194&gt;=3),"Very serious", AND(AY194&gt;=$D$1,AZ194&lt;0,BA194&gt;$D$2,AX194/AW194&gt;=3),"Very serious", AND(AY194&gt;$D$1*-1,AY194&lt;$D$1,AZ194&gt;$D$1*-1,BA194&lt;$D$1,AX194/AW194&lt;3),"Not Serious", AND(AY194&gt;$D$1*-1,AY194&lt;$D$1,OR(AZ194&lt;=$D$1*-1,BA194&gt;=$D$1),AZ194&gt;$D$2*-1,BA194&lt;$D$2,AX194/AW194&lt;3),"Serious", AND(AY194&gt;$D$1*-1,AY194&lt;$D$1,OR(AZ194&lt;=$D$2*-1,BA194&gt;=$D$2),AX194/AW194&lt;3),"Very serious", AND(AY194&gt;$D$1*-1,AY194&lt;$D$1,AZ194&gt;$D$1*-1,BA194&lt;$D$1,AX194/AW194&gt;=3),"Very serious", AND(AY194&gt;$D$1*-1,AY194&lt;$D$1,OR(AZ194&lt;=$D$1*-1,BA194&gt;=$D$1),AZ194&gt;$D$2*-1,BA194&lt;$D$2,AX194/AW194&gt;=3),"Very serious", AND(AY194&gt;$D$1*-1,AY194&lt;$D$1,OR(AZ194&lt;=$D$2*-1,BA194&gt;=$D$2),AX194/AW194&gt;=3),"Very serious"),""))</f>
        <v/>
      </c>
      <c r="BF194" s="107" t="str">
        <f t="shared" si="11"/>
        <v/>
      </c>
      <c r="BG194" s="94" t="str">
        <f t="shared" si="46"/>
        <v/>
      </c>
      <c r="BH194" s="64" t="str">
        <f t="shared" si="12"/>
        <v>#N/A</v>
      </c>
      <c r="BI194" s="64" t="str">
        <f t="shared" si="13"/>
        <v/>
      </c>
      <c r="BJ194" s="123" t="str">
        <f t="shared" si="14"/>
        <v>#N/A</v>
      </c>
      <c r="BK194" s="64" t="str">
        <f t="shared" si="50"/>
        <v>YES</v>
      </c>
      <c r="BL194" s="64" t="str">
        <f t="shared" si="16"/>
        <v>YES</v>
      </c>
      <c r="BM194" s="64" t="str">
        <f t="shared" si="17"/>
        <v>YES</v>
      </c>
      <c r="BN194" s="124" t="str">
        <f t="shared" si="18"/>
        <v/>
      </c>
      <c r="BO194" s="91" t="str">
        <f t="shared" si="19"/>
        <v/>
      </c>
      <c r="BP194" s="91" t="str">
        <f t="shared" si="20"/>
        <v>#N/A</v>
      </c>
      <c r="BQ194" s="91" t="str">
        <f t="shared" si="21"/>
        <v/>
      </c>
      <c r="BR194" s="93" t="str">
        <f t="shared" si="22"/>
        <v/>
      </c>
      <c r="BS194" s="90" t="str">
        <f t="shared" si="23"/>
        <v/>
      </c>
      <c r="BT194" s="93" t="str">
        <f t="shared" si="24"/>
        <v>NA</v>
      </c>
      <c r="BU194" s="125" t="str">
        <f t="shared" si="25"/>
        <v>#N/A</v>
      </c>
      <c r="BV194" s="93" t="str">
        <f t="shared" si="26"/>
        <v/>
      </c>
      <c r="BW194" s="93" t="str">
        <f t="shared" si="27"/>
        <v/>
      </c>
      <c r="BX194" s="93" t="str">
        <f t="shared" si="28"/>
        <v>NA</v>
      </c>
      <c r="BY194" s="95" t="str">
        <f t="shared" si="29"/>
        <v>#N/A</v>
      </c>
      <c r="BZ194" s="93" t="str">
        <f t="shared" si="30"/>
        <v/>
      </c>
      <c r="CA194" s="93" t="str">
        <f t="shared" si="31"/>
        <v/>
      </c>
      <c r="CB194" s="93" t="str">
        <f t="shared" si="32"/>
        <v>NA</v>
      </c>
      <c r="CC194" s="96" t="str">
        <f t="shared" si="33"/>
        <v>#N/A</v>
      </c>
      <c r="CD194" s="93" t="str">
        <f t="shared" si="34"/>
        <v/>
      </c>
      <c r="CE194" s="93" t="str">
        <f t="shared" si="35"/>
        <v/>
      </c>
      <c r="CF194" s="93" t="str">
        <f t="shared" si="36"/>
        <v>NA</v>
      </c>
      <c r="CG194" s="97" t="str">
        <f t="shared" si="37"/>
        <v>#N/A</v>
      </c>
      <c r="CH194" s="98" t="str">
        <f t="shared" si="38"/>
        <v>#N/A</v>
      </c>
      <c r="CI194" s="99" t="str">
        <f t="shared" si="39"/>
        <v>#N/A</v>
      </c>
      <c r="CJ194" s="126" t="str">
        <f t="shared" si="40"/>
        <v>ERROR: check cell</v>
      </c>
      <c r="CK194" s="126"/>
      <c r="CL194" s="127" t="str">
        <f t="shared" si="41"/>
        <v>#DIV/0!</v>
      </c>
      <c r="CM194" s="128" t="str">
        <f t="shared" si="42"/>
        <v>#DIV/0!</v>
      </c>
      <c r="CN194" s="128">
        <f t="shared" si="43"/>
        <v>4</v>
      </c>
      <c r="CO194" s="129">
        <f t="shared" si="44"/>
        <v>4</v>
      </c>
      <c r="CP194" s="129" t="str">
        <f>IFS(C194=Preferences!B$13,B194,B194=Preferences!B$13,C194)</f>
        <v>#N/A</v>
      </c>
    </row>
    <row r="195" ht="13.5" customHeight="1">
      <c r="A195" s="63" t="str">
        <f t="shared" si="45"/>
        <v/>
      </c>
      <c r="B195" s="64"/>
      <c r="C195" s="64"/>
      <c r="D195" s="64"/>
      <c r="E195" s="65"/>
      <c r="F195" s="65"/>
      <c r="G195" s="65"/>
      <c r="H195" s="66"/>
      <c r="I195" s="66"/>
      <c r="J195" s="67"/>
      <c r="K195" s="68"/>
      <c r="L195" s="104"/>
      <c r="M195" s="104"/>
      <c r="N195" s="104"/>
      <c r="O195" s="104"/>
      <c r="P195" s="107" t="str">
        <f t="shared" si="1"/>
        <v/>
      </c>
      <c r="Q195" s="108" t="str">
        <f>IFERROR(IF(AND(Preferences!B$3="Manual",OR(AX195/AW195&gt;G195/F195,BD195="Serious",BD195="Very serious")),"Assess imprecision",IFS(ISBLANK(E195),"",AND(Preferences!B$3="Automatic", G195/F195&gt;=30),"Extremely serious",AND(H195&lt;=$D$1*-1,J195&lt;0,G195/F195&lt;3),"Not serious",AND(H195&lt;=$D$1*-1,J195&lt;0,G195/F195&gt;=3),"Very serious",AND(H195&gt;=$D$1,I195&gt;0,G195/F195&lt;3),"Not serious",AND(H195&gt;=$D$1,I195&gt;0,G195/F195&gt;=3),"Very serious",AND(H195&lt;=$D$1*-1,J195&gt;0,I195&gt;$D$2*-1,G195/F195&lt;3),"Serious", AND(H195&lt;=$D$1*-1,J195&gt;0,I195&lt;$D$2*-1,G195/F195&lt;3),"Very serious", AND(H195&gt;=$D$1,I195&lt;0,J195&lt;$D$2,G195/F195&lt;3),"Serious",AND(H195&gt;=$D$1,I195&lt;0,J195&gt;$D$2,G195/F195&lt;3),"Very serious", AND(H195&lt;=$D$1*-1,J195&gt;0,I195&gt;$D$2*-1,G195/F195&gt;=3),"Very serious", AND(H195&lt;=$D$1*-1,J195&gt;0,I195&lt;$D$2*-1,G195/F195&gt;=3),"Very serious", AND(H195&gt;=$D$1,I195&lt;0,J195&lt;$D$2,G195/F195&gt;=3),"Very serious", AND(H195&gt;=$D$1,I195&lt;0,J195&gt;$D$2,G195/F195&gt;=3),"Very serious", AND(H195&gt;$D$1*-1,H195&lt;$D$1,I195&gt;$D$1*-1,J195&lt;$D$1,G195/F195&lt;3),"Not serious", AND(H195&gt;$D$1*-1,H195&lt;$D$1,OR(I195&lt;=$D$1*-1,J195&gt;=$D$1),I195&gt;$D$2*-1,J195&lt;$D$2,G195/F195&lt;3),"Serious", AND(H195&gt;$D$1*-1,H195&lt;$D$1,OR(I195&lt;=$D$2*-1,J195&gt;=$D$2),G195/F195&lt;3),"Very serious", AND(H195&gt;$D$1*-1,H195&lt;$D$1,I195&gt;$D$1*-1,J195&lt;$D$1,G195/F195&gt;=3),"Very serious", AND(H195&gt;$D$1*-1,H195&lt;$D$1,OR(I195&lt;=$D$1*-1,J195&gt;=$D$1),I195&gt;$D$2*-1,J195&lt;$D$2,G195/F195&gt;=3),"Very serious", AND(H195&gt;$D$1*-1,H195&lt;$D$1,OR(I195&lt;=$D$2*-1,J195&gt;=$D$2),G195/F195&gt;=3),"Very serious")),"")</f>
        <v/>
      </c>
      <c r="R195" s="109" t="str">
        <f t="shared" si="47"/>
        <v/>
      </c>
      <c r="S195" s="64"/>
      <c r="T195" s="72"/>
      <c r="U195" s="72"/>
      <c r="V195" s="72"/>
      <c r="W195" s="73"/>
      <c r="X195" s="73"/>
      <c r="Y195" s="74"/>
      <c r="Z195" s="113" t="str">
        <f t="array" ref="Z195">INDEX($A$1:$C$500, MATCH(1,($B:$B=$B195)*($C:$C=$AB195),0),1)</f>
        <v/>
      </c>
      <c r="AA195" s="113" t="str">
        <f t="array" ref="AA195">INDEX($A$1:$C$500, MATCH(1,($B:$B=$AB195)*($C:$C=$B195),0),1)</f>
        <v/>
      </c>
      <c r="AB195" s="111"/>
      <c r="AC195" s="114" t="str">
        <f t="shared" si="2"/>
        <v/>
      </c>
      <c r="AD195" s="115" t="str">
        <f t="shared" si="3"/>
        <v/>
      </c>
      <c r="AE195" s="116" t="str">
        <f t="array" ref="AE195">INDEX($A$1:$C$500, MATCH(1,($B:$B=$AB195)*($C:$C=$AG195),0),1)</f>
        <v/>
      </c>
      <c r="AF195" s="116" t="str">
        <f t="array" ref="AF195">INDEX($A$1:$C$500, MATCH(1,($B:$B=$AG195)*($C:$C=$AB195),0),1)</f>
        <v/>
      </c>
      <c r="AG195" s="72"/>
      <c r="AH195" s="114" t="str">
        <f t="shared" si="4"/>
        <v/>
      </c>
      <c r="AI195" s="115" t="str">
        <f t="shared" si="5"/>
        <v/>
      </c>
      <c r="AJ195" s="116" t="str">
        <f t="array" ref="AJ195">INDEX($A$1:$C$500, MATCH(1,($B:$B=$C195)*($C:$C=$AG195),0),1)</f>
        <v/>
      </c>
      <c r="AK195" s="116" t="str">
        <f t="array" ref="AK195">INDEX($A$1:$C$500, MATCH(1,($B:$B=$AG195)*($C:$C=$C195),0),1)</f>
        <v/>
      </c>
      <c r="AL195" s="116" t="str">
        <f t="array" ref="AL195">INDEX($A$1:$C$500, MATCH(1,($B:$B=$C195)*($C:$C=$AB195),0),1)</f>
        <v/>
      </c>
      <c r="AM195" s="116" t="str">
        <f t="array" ref="AM195">INDEX($A$1:$C$500, MATCH(1,($B:$B=$AB195)*($C:$C=$C195),0),1)</f>
        <v/>
      </c>
      <c r="AN195" s="114" t="str">
        <f t="array" ref="AN195">IFS(ISNUMBER(AJ195),AJ195,ISNUMBER(AK195),AK195,ISNUMBER(AL195),AL195,ISNUMBER(AM195),AM195)</f>
        <v>#N/A</v>
      </c>
      <c r="AO195" s="115" t="str">
        <f t="shared" si="6"/>
        <v/>
      </c>
      <c r="AP195" s="115" t="str">
        <f t="shared" si="7"/>
        <v/>
      </c>
      <c r="AQ195" s="111"/>
      <c r="AR195" s="109" t="str">
        <f t="shared" si="8"/>
        <v/>
      </c>
      <c r="AS195" s="72" t="str">
        <f>IFERROR(IF(AND(Preferences!B$3="Manual",OR(AX195/AW195&gt;V195/U195,BD195="Serious",BD195="Very serious")),"Assess imprecision",IFERROR(IFS(AND(Preferences!B$3="Automatic",V195/U195&gt;=30),"Extremely serious",AND(W195&lt;=$D$1*-1,Y195&lt;0,V195/U195&lt;3),"Not Serious",AND(W195&lt;=$D$1*-1,Y195&lt;0,V195/U195&gt;=3),"Very serious",AND(W195&gt;=$D$1,X195&gt;0,V195/U195&lt;3),"Not Serious",AND(W195&gt;=$D$1,X195&gt;0,V195/U195&gt;=3),"Very serious",AND(W195&lt;=$D$1*-1,Y195&gt;0,X195&gt;$D$2*-1,V195/U195&lt;3),"Serious", AND(W195&lt;=$D$1*-1,Y195&gt;0,X195&lt;$D$2*-1,V195/U195&lt;3),"Very serious", AND(W195&gt;=$D$1,X195&lt;0,Y195&lt;$D$2,V195/U195&lt;3),"Serious",AND(W195&gt;=$D$1,X195&lt;0,Y195&gt;$D$2,V195/U195&lt;3),"Very serious", AND(W195&lt;=$D$1*-1,Y195&gt;0,X195&gt;$D$2*-1,V195/U195&gt;=3),"Very serious", AND(W195&lt;=$D$1*-1,Y195&gt;0,X195&lt;$D$2*-1,V195/U195&gt;=3),"Very serious", AND(W195&gt;=$D$1,X195&lt;0,Y195&lt;$D$2,V195/U195&gt;=3),"Very serious", AND(W195&gt;=$D$1,X195&lt;0,Y195&gt;$D$2,V195/U195&gt;=3),"Very serious", AND(W195&gt;$D$1*-1,W195&lt;$D$1,X195&gt;$D$1*-1,Y195&lt;$D$1,V195/U195&lt;3),"Not Serious", AND(W195&gt;$D$1*-1,W195&lt;$D$1,OR(X195&lt;=$D$1*-1,Y195&gt;=$D$1),X195&gt;$D$2*-1,Y195&lt;$D$2,V195/U195&lt;3),"Serious", AND(W195&gt;$D$1*-1,W195&lt;$D$1,OR(X195&lt;=$D$2*-1,Y195&gt;=$D$2),V195/U195&lt;3),"Very serious", AND(W195&gt;$D$1*-1,W195&lt;$D$1,X195&gt;$D$1*-1,Y195&lt;$D$1,V195/U195&gt;=3),"Very serious", AND(W195&gt;$D$1*-1,W195&lt;$D$1,OR(X195&lt;=$D$1*-1,Y195&gt;=$D$1),X195&gt;$D$2*-1,Y195&lt;$D$2,V195/U195&gt;=3),"Very serious", AND(W195&gt;$D$1*-1,W195&lt;$D$1,OR(X195&lt;=$D$2*-1,Y195&gt;=$D$2),V195/U195&gt;=3),"Very serious"),"")),"")</f>
        <v/>
      </c>
      <c r="AT195" s="109" t="str">
        <f t="shared" si="9"/>
        <v/>
      </c>
      <c r="AU195" s="64"/>
      <c r="AV195" s="83"/>
      <c r="AW195" s="83"/>
      <c r="AX195" s="83"/>
      <c r="AY195" s="83"/>
      <c r="AZ195" s="83"/>
      <c r="BA195" s="85"/>
      <c r="BB195" s="86" t="str">
        <f>IF(Preferences!B$9="Manual","",IFS(ISBLANK(B195),"",AND(ISNUMBER(E195)=TRUE,ISNUMBER(T195)=FALSE),"Direct", AND(ISNUMBER(E195)=FALSE,ISNUMBER(T195)=TRUE),"Indirect", CN195=4,"Direct",AND(CL195=FALSE, CM195=TRUE,CN195-CO195&gt;-1),"Direct", AND(CL195=FALSE,CM195=TRUE, CN195-CO195&lt;0),"Check algorithm in appendix 2", AND(CL195=TRUE, CM195=FALSE,CN195-CO195&gt;0),"Check algorithm in appendix 2", AND(CL195=TRUE, CM195=FALSE,CN195-CO195=0),"Indirect", AND(CL195=TRUE, CM195=FALSE,CN195-CO195&lt;0),"Indirect", AND(CL195=FALSE,CM195=FALSE,CN195-CO195&gt;-1),"Direct", AND(CL195=FALSE,CM195=FALSE,CN195-CO195&lt;0),"Check algorithm in appendix 2", AND(CL195=TRUE,CM195=TRUE,CN195-CO195&gt;-1),"Direct", AND(CL195=TRUE,CM195=TRUE,CN195-CO195&lt;0),"Check algorithm in appendix 2"))</f>
        <v/>
      </c>
      <c r="BC195" s="120" t="str">
        <f t="shared" si="10"/>
        <v/>
      </c>
      <c r="BD195" s="140"/>
      <c r="BE195" s="122" t="str">
        <f>IF(Preferences!B$3="Manual","", IFERROR(IFS(AND(Preferences!B$3="Automatic",AX195/AW195&gt;=30),"Extremely serious",AND(AY195&lt;=$D$1*-1,BA195&lt;0,AX195/AW195&lt;3),"Not Serious",AND(AY195&lt;=$D$1*-1,BA195&lt;0,AX195/AW195&gt;=3),"Very serious",AND(AY195&gt;=$D$1,AZ195&gt;0,AX195/AW195&lt;3),"Not Serious",AND(AY195&gt;=$D$1,AZ195&gt;0,AX195/AW195&gt;=3),"Very serious",AND(AY195&lt;=$D$1*-1,BA195&gt;0,AZ195&gt;$D$2*-1,AX195/AW195&lt;3),"Serious", AND(AY195&lt;=$D$1*-1,BA195&gt;0,AZ195&lt;$D$2*-1,AX195/AW195&lt;3),"Very serious", AND(AY195&gt;=$D$1,AZ195&lt;0,BA195&lt;$D$2,AX195/AW195&lt;3),"Serious",AND(AY195&gt;=$D$1,AZ195&lt;0,BA195&gt;$D$2,AX195/AW195&lt;3),"Very serious", AND(AY195&lt;=$D$1*-1,BA195&gt;0,AZ195&gt;$D$2*-1,AX195/AW195&gt;=3),"Very serious", AND(AY195&lt;=$D$1*-1,BA195&gt;0,AZ195&lt;$D$2*-1,AX195/AW195&gt;=3),"Very serious", AND(AY195&gt;=$D$1,AZ195&lt;0,BA195&lt;$D$2,AX195/AW195&gt;=3),"Very serious", AND(AY195&gt;=$D$1,AZ195&lt;0,BA195&gt;$D$2,AX195/AW195&gt;=3),"Very serious", AND(AY195&gt;$D$1*-1,AY195&lt;$D$1,AZ195&gt;$D$1*-1,BA195&lt;$D$1,AX195/AW195&lt;3),"Not Serious", AND(AY195&gt;$D$1*-1,AY195&lt;$D$1,OR(AZ195&lt;=$D$1*-1,BA195&gt;=$D$1),AZ195&gt;$D$2*-1,BA195&lt;$D$2,AX195/AW195&lt;3),"Serious", AND(AY195&gt;$D$1*-1,AY195&lt;$D$1,OR(AZ195&lt;=$D$2*-1,BA195&gt;=$D$2),AX195/AW195&lt;3),"Very serious", AND(AY195&gt;$D$1*-1,AY195&lt;$D$1,AZ195&gt;$D$1*-1,BA195&lt;$D$1,AX195/AW195&gt;=3),"Very serious", AND(AY195&gt;$D$1*-1,AY195&lt;$D$1,OR(AZ195&lt;=$D$1*-1,BA195&gt;=$D$1),AZ195&gt;$D$2*-1,BA195&lt;$D$2,AX195/AW195&gt;=3),"Very serious", AND(AY195&gt;$D$1*-1,AY195&lt;$D$1,OR(AZ195&lt;=$D$2*-1,BA195&gt;=$D$2),AX195/AW195&gt;=3),"Very serious"),""))</f>
        <v/>
      </c>
      <c r="BF195" s="107" t="str">
        <f t="shared" si="11"/>
        <v/>
      </c>
      <c r="BG195" s="94" t="str">
        <f t="shared" si="46"/>
        <v/>
      </c>
      <c r="BH195" s="64" t="str">
        <f t="shared" si="12"/>
        <v>#N/A</v>
      </c>
      <c r="BI195" s="64" t="str">
        <f t="shared" si="13"/>
        <v/>
      </c>
      <c r="BJ195" s="123" t="str">
        <f t="shared" si="14"/>
        <v>#N/A</v>
      </c>
      <c r="BK195" s="64" t="str">
        <f t="shared" si="50"/>
        <v>YES</v>
      </c>
      <c r="BL195" s="64" t="str">
        <f t="shared" si="16"/>
        <v>YES</v>
      </c>
      <c r="BM195" s="64" t="str">
        <f t="shared" si="17"/>
        <v>YES</v>
      </c>
      <c r="BN195" s="124" t="str">
        <f t="shared" si="18"/>
        <v/>
      </c>
      <c r="BO195" s="91" t="str">
        <f t="shared" si="19"/>
        <v/>
      </c>
      <c r="BP195" s="91" t="str">
        <f t="shared" si="20"/>
        <v>#N/A</v>
      </c>
      <c r="BQ195" s="91" t="str">
        <f t="shared" si="21"/>
        <v/>
      </c>
      <c r="BR195" s="93" t="str">
        <f t="shared" si="22"/>
        <v/>
      </c>
      <c r="BS195" s="90" t="str">
        <f t="shared" si="23"/>
        <v/>
      </c>
      <c r="BT195" s="93" t="str">
        <f t="shared" si="24"/>
        <v>NA</v>
      </c>
      <c r="BU195" s="125" t="str">
        <f t="shared" si="25"/>
        <v>#N/A</v>
      </c>
      <c r="BV195" s="93" t="str">
        <f t="shared" si="26"/>
        <v/>
      </c>
      <c r="BW195" s="93" t="str">
        <f t="shared" si="27"/>
        <v/>
      </c>
      <c r="BX195" s="93" t="str">
        <f t="shared" si="28"/>
        <v>NA</v>
      </c>
      <c r="BY195" s="95" t="str">
        <f t="shared" si="29"/>
        <v>#N/A</v>
      </c>
      <c r="BZ195" s="93" t="str">
        <f t="shared" si="30"/>
        <v/>
      </c>
      <c r="CA195" s="93" t="str">
        <f t="shared" si="31"/>
        <v/>
      </c>
      <c r="CB195" s="93" t="str">
        <f t="shared" si="32"/>
        <v>NA</v>
      </c>
      <c r="CC195" s="96" t="str">
        <f t="shared" si="33"/>
        <v>#N/A</v>
      </c>
      <c r="CD195" s="93" t="str">
        <f t="shared" si="34"/>
        <v/>
      </c>
      <c r="CE195" s="93" t="str">
        <f t="shared" si="35"/>
        <v/>
      </c>
      <c r="CF195" s="93" t="str">
        <f t="shared" si="36"/>
        <v>NA</v>
      </c>
      <c r="CG195" s="97" t="str">
        <f t="shared" si="37"/>
        <v>#N/A</v>
      </c>
      <c r="CH195" s="98" t="str">
        <f t="shared" si="38"/>
        <v>#N/A</v>
      </c>
      <c r="CI195" s="99" t="str">
        <f t="shared" si="39"/>
        <v>#N/A</v>
      </c>
      <c r="CJ195" s="126" t="str">
        <f t="shared" si="40"/>
        <v>ERROR: check cell</v>
      </c>
      <c r="CK195" s="126"/>
      <c r="CL195" s="127" t="str">
        <f t="shared" si="41"/>
        <v>#DIV/0!</v>
      </c>
      <c r="CM195" s="128" t="str">
        <f t="shared" si="42"/>
        <v>#DIV/0!</v>
      </c>
      <c r="CN195" s="128">
        <f t="shared" si="43"/>
        <v>4</v>
      </c>
      <c r="CO195" s="129">
        <f t="shared" si="44"/>
        <v>4</v>
      </c>
      <c r="CP195" s="129" t="str">
        <f>IFS(C195=Preferences!B$13,B195,B195=Preferences!B$13,C195)</f>
        <v>#N/A</v>
      </c>
    </row>
    <row r="196" ht="13.5" customHeight="1">
      <c r="A196" s="63" t="str">
        <f t="shared" si="45"/>
        <v/>
      </c>
      <c r="B196" s="64"/>
      <c r="C196" s="64"/>
      <c r="D196" s="64"/>
      <c r="E196" s="65"/>
      <c r="F196" s="65"/>
      <c r="G196" s="65"/>
      <c r="H196" s="66"/>
      <c r="I196" s="66"/>
      <c r="J196" s="67"/>
      <c r="K196" s="68"/>
      <c r="L196" s="104"/>
      <c r="M196" s="104"/>
      <c r="N196" s="104"/>
      <c r="O196" s="104"/>
      <c r="P196" s="107" t="str">
        <f t="shared" si="1"/>
        <v/>
      </c>
      <c r="Q196" s="108" t="str">
        <f>IFERROR(IF(AND(Preferences!B$3="Manual",OR(AX196/AW196&gt;G196/F196,BD196="Serious",BD196="Very serious")),"Assess imprecision",IFS(ISBLANK(E196),"",AND(Preferences!B$3="Automatic", G196/F196&gt;=30),"Extremely serious",AND(H196&lt;=$D$1*-1,J196&lt;0,G196/F196&lt;3),"Not serious",AND(H196&lt;=$D$1*-1,J196&lt;0,G196/F196&gt;=3),"Very serious",AND(H196&gt;=$D$1,I196&gt;0,G196/F196&lt;3),"Not serious",AND(H196&gt;=$D$1,I196&gt;0,G196/F196&gt;=3),"Very serious",AND(H196&lt;=$D$1*-1,J196&gt;0,I196&gt;$D$2*-1,G196/F196&lt;3),"Serious", AND(H196&lt;=$D$1*-1,J196&gt;0,I196&lt;$D$2*-1,G196/F196&lt;3),"Very serious", AND(H196&gt;=$D$1,I196&lt;0,J196&lt;$D$2,G196/F196&lt;3),"Serious",AND(H196&gt;=$D$1,I196&lt;0,J196&gt;$D$2,G196/F196&lt;3),"Very serious", AND(H196&lt;=$D$1*-1,J196&gt;0,I196&gt;$D$2*-1,G196/F196&gt;=3),"Very serious", AND(H196&lt;=$D$1*-1,J196&gt;0,I196&lt;$D$2*-1,G196/F196&gt;=3),"Very serious", AND(H196&gt;=$D$1,I196&lt;0,J196&lt;$D$2,G196/F196&gt;=3),"Very serious", AND(H196&gt;=$D$1,I196&lt;0,J196&gt;$D$2,G196/F196&gt;=3),"Very serious", AND(H196&gt;$D$1*-1,H196&lt;$D$1,I196&gt;$D$1*-1,J196&lt;$D$1,G196/F196&lt;3),"Not serious", AND(H196&gt;$D$1*-1,H196&lt;$D$1,OR(I196&lt;=$D$1*-1,J196&gt;=$D$1),I196&gt;$D$2*-1,J196&lt;$D$2,G196/F196&lt;3),"Serious", AND(H196&gt;$D$1*-1,H196&lt;$D$1,OR(I196&lt;=$D$2*-1,J196&gt;=$D$2),G196/F196&lt;3),"Very serious", AND(H196&gt;$D$1*-1,H196&lt;$D$1,I196&gt;$D$1*-1,J196&lt;$D$1,G196/F196&gt;=3),"Very serious", AND(H196&gt;$D$1*-1,H196&lt;$D$1,OR(I196&lt;=$D$1*-1,J196&gt;=$D$1),I196&gt;$D$2*-1,J196&lt;$D$2,G196/F196&gt;=3),"Very serious", AND(H196&gt;$D$1*-1,H196&lt;$D$1,OR(I196&lt;=$D$2*-1,J196&gt;=$D$2),G196/F196&gt;=3),"Very serious")),"")</f>
        <v/>
      </c>
      <c r="R196" s="109" t="str">
        <f t="shared" si="47"/>
        <v/>
      </c>
      <c r="S196" s="64"/>
      <c r="T196" s="72"/>
      <c r="U196" s="72"/>
      <c r="V196" s="72"/>
      <c r="W196" s="73"/>
      <c r="X196" s="73"/>
      <c r="Y196" s="74"/>
      <c r="Z196" s="113" t="str">
        <f t="array" ref="Z196">INDEX($A$1:$C$500, MATCH(1,($B:$B=$B196)*($C:$C=$AB196),0),1)</f>
        <v/>
      </c>
      <c r="AA196" s="113" t="str">
        <f t="array" ref="AA196">INDEX($A$1:$C$500, MATCH(1,($B:$B=$AB196)*($C:$C=$B196),0),1)</f>
        <v/>
      </c>
      <c r="AB196" s="111"/>
      <c r="AC196" s="114" t="str">
        <f t="shared" si="2"/>
        <v/>
      </c>
      <c r="AD196" s="115" t="str">
        <f t="shared" si="3"/>
        <v/>
      </c>
      <c r="AE196" s="116" t="str">
        <f t="array" ref="AE196">INDEX($A$1:$C$500, MATCH(1,($B:$B=$AB196)*($C:$C=$AG196),0),1)</f>
        <v/>
      </c>
      <c r="AF196" s="116" t="str">
        <f t="array" ref="AF196">INDEX($A$1:$C$500, MATCH(1,($B:$B=$AG196)*($C:$C=$AB196),0),1)</f>
        <v/>
      </c>
      <c r="AG196" s="72"/>
      <c r="AH196" s="114" t="str">
        <f t="shared" si="4"/>
        <v/>
      </c>
      <c r="AI196" s="115" t="str">
        <f t="shared" si="5"/>
        <v/>
      </c>
      <c r="AJ196" s="116" t="str">
        <f t="array" ref="AJ196">INDEX($A$1:$C$500, MATCH(1,($B:$B=$C196)*($C:$C=$AG196),0),1)</f>
        <v/>
      </c>
      <c r="AK196" s="116" t="str">
        <f t="array" ref="AK196">INDEX($A$1:$C$500, MATCH(1,($B:$B=$AG196)*($C:$C=$C196),0),1)</f>
        <v/>
      </c>
      <c r="AL196" s="116" t="str">
        <f t="array" ref="AL196">INDEX($A$1:$C$500, MATCH(1,($B:$B=$C196)*($C:$C=$AB196),0),1)</f>
        <v/>
      </c>
      <c r="AM196" s="116" t="str">
        <f t="array" ref="AM196">INDEX($A$1:$C$500, MATCH(1,($B:$B=$AB196)*($C:$C=$C196),0),1)</f>
        <v/>
      </c>
      <c r="AN196" s="114" t="str">
        <f t="array" ref="AN196">IFS(ISNUMBER(AJ196),AJ196,ISNUMBER(AK196),AK196,ISNUMBER(AL196),AL196,ISNUMBER(AM196),AM196)</f>
        <v>#N/A</v>
      </c>
      <c r="AO196" s="115" t="str">
        <f t="shared" si="6"/>
        <v/>
      </c>
      <c r="AP196" s="115" t="str">
        <f t="shared" si="7"/>
        <v/>
      </c>
      <c r="AQ196" s="111"/>
      <c r="AR196" s="109" t="str">
        <f t="shared" si="8"/>
        <v/>
      </c>
      <c r="AS196" s="72" t="str">
        <f>IFERROR(IF(AND(Preferences!B$3="Manual",OR(AX196/AW196&gt;V196/U196,BD196="Serious",BD196="Very serious")),"Assess imprecision",IFERROR(IFS(AND(Preferences!B$3="Automatic",V196/U196&gt;=30),"Extremely serious",AND(W196&lt;=$D$1*-1,Y196&lt;0,V196/U196&lt;3),"Not Serious",AND(W196&lt;=$D$1*-1,Y196&lt;0,V196/U196&gt;=3),"Very serious",AND(W196&gt;=$D$1,X196&gt;0,V196/U196&lt;3),"Not Serious",AND(W196&gt;=$D$1,X196&gt;0,V196/U196&gt;=3),"Very serious",AND(W196&lt;=$D$1*-1,Y196&gt;0,X196&gt;$D$2*-1,V196/U196&lt;3),"Serious", AND(W196&lt;=$D$1*-1,Y196&gt;0,X196&lt;$D$2*-1,V196/U196&lt;3),"Very serious", AND(W196&gt;=$D$1,X196&lt;0,Y196&lt;$D$2,V196/U196&lt;3),"Serious",AND(W196&gt;=$D$1,X196&lt;0,Y196&gt;$D$2,V196/U196&lt;3),"Very serious", AND(W196&lt;=$D$1*-1,Y196&gt;0,X196&gt;$D$2*-1,V196/U196&gt;=3),"Very serious", AND(W196&lt;=$D$1*-1,Y196&gt;0,X196&lt;$D$2*-1,V196/U196&gt;=3),"Very serious", AND(W196&gt;=$D$1,X196&lt;0,Y196&lt;$D$2,V196/U196&gt;=3),"Very serious", AND(W196&gt;=$D$1,X196&lt;0,Y196&gt;$D$2,V196/U196&gt;=3),"Very serious", AND(W196&gt;$D$1*-1,W196&lt;$D$1,X196&gt;$D$1*-1,Y196&lt;$D$1,V196/U196&lt;3),"Not Serious", AND(W196&gt;$D$1*-1,W196&lt;$D$1,OR(X196&lt;=$D$1*-1,Y196&gt;=$D$1),X196&gt;$D$2*-1,Y196&lt;$D$2,V196/U196&lt;3),"Serious", AND(W196&gt;$D$1*-1,W196&lt;$D$1,OR(X196&lt;=$D$2*-1,Y196&gt;=$D$2),V196/U196&lt;3),"Very serious", AND(W196&gt;$D$1*-1,W196&lt;$D$1,X196&gt;$D$1*-1,Y196&lt;$D$1,V196/U196&gt;=3),"Very serious", AND(W196&gt;$D$1*-1,W196&lt;$D$1,OR(X196&lt;=$D$1*-1,Y196&gt;=$D$1),X196&gt;$D$2*-1,Y196&lt;$D$2,V196/U196&gt;=3),"Very serious", AND(W196&gt;$D$1*-1,W196&lt;$D$1,OR(X196&lt;=$D$2*-1,Y196&gt;=$D$2),V196/U196&gt;=3),"Very serious"),"")),"")</f>
        <v/>
      </c>
      <c r="AT196" s="109" t="str">
        <f t="shared" si="9"/>
        <v/>
      </c>
      <c r="AU196" s="64"/>
      <c r="AV196" s="83"/>
      <c r="AW196" s="83"/>
      <c r="AX196" s="83"/>
      <c r="AY196" s="83"/>
      <c r="AZ196" s="83"/>
      <c r="BA196" s="85"/>
      <c r="BB196" s="86" t="str">
        <f>IF(Preferences!B$9="Manual","",IFS(ISBLANK(B196),"",AND(ISNUMBER(E196)=TRUE,ISNUMBER(T196)=FALSE),"Direct", AND(ISNUMBER(E196)=FALSE,ISNUMBER(T196)=TRUE),"Indirect", CN196=4,"Direct",AND(CL196=FALSE, CM196=TRUE,CN196-CO196&gt;-1),"Direct", AND(CL196=FALSE,CM196=TRUE, CN196-CO196&lt;0),"Check algorithm in appendix 2", AND(CL196=TRUE, CM196=FALSE,CN196-CO196&gt;0),"Check algorithm in appendix 2", AND(CL196=TRUE, CM196=FALSE,CN196-CO196=0),"Indirect", AND(CL196=TRUE, CM196=FALSE,CN196-CO196&lt;0),"Indirect", AND(CL196=FALSE,CM196=FALSE,CN196-CO196&gt;-1),"Direct", AND(CL196=FALSE,CM196=FALSE,CN196-CO196&lt;0),"Check algorithm in appendix 2", AND(CL196=TRUE,CM196=TRUE,CN196-CO196&gt;-1),"Direct", AND(CL196=TRUE,CM196=TRUE,CN196-CO196&lt;0),"Check algorithm in appendix 2"))</f>
        <v/>
      </c>
      <c r="BC196" s="120" t="str">
        <f t="shared" si="10"/>
        <v/>
      </c>
      <c r="BD196" s="140"/>
      <c r="BE196" s="122" t="str">
        <f>IF(Preferences!B$3="Manual","", IFERROR(IFS(AND(Preferences!B$3="Automatic",AX196/AW196&gt;=30),"Extremely serious",AND(AY196&lt;=$D$1*-1,BA196&lt;0,AX196/AW196&lt;3),"Not Serious",AND(AY196&lt;=$D$1*-1,BA196&lt;0,AX196/AW196&gt;=3),"Very serious",AND(AY196&gt;=$D$1,AZ196&gt;0,AX196/AW196&lt;3),"Not Serious",AND(AY196&gt;=$D$1,AZ196&gt;0,AX196/AW196&gt;=3),"Very serious",AND(AY196&lt;=$D$1*-1,BA196&gt;0,AZ196&gt;$D$2*-1,AX196/AW196&lt;3),"Serious", AND(AY196&lt;=$D$1*-1,BA196&gt;0,AZ196&lt;$D$2*-1,AX196/AW196&lt;3),"Very serious", AND(AY196&gt;=$D$1,AZ196&lt;0,BA196&lt;$D$2,AX196/AW196&lt;3),"Serious",AND(AY196&gt;=$D$1,AZ196&lt;0,BA196&gt;$D$2,AX196/AW196&lt;3),"Very serious", AND(AY196&lt;=$D$1*-1,BA196&gt;0,AZ196&gt;$D$2*-1,AX196/AW196&gt;=3),"Very serious", AND(AY196&lt;=$D$1*-1,BA196&gt;0,AZ196&lt;$D$2*-1,AX196/AW196&gt;=3),"Very serious", AND(AY196&gt;=$D$1,AZ196&lt;0,BA196&lt;$D$2,AX196/AW196&gt;=3),"Very serious", AND(AY196&gt;=$D$1,AZ196&lt;0,BA196&gt;$D$2,AX196/AW196&gt;=3),"Very serious", AND(AY196&gt;$D$1*-1,AY196&lt;$D$1,AZ196&gt;$D$1*-1,BA196&lt;$D$1,AX196/AW196&lt;3),"Not Serious", AND(AY196&gt;$D$1*-1,AY196&lt;$D$1,OR(AZ196&lt;=$D$1*-1,BA196&gt;=$D$1),AZ196&gt;$D$2*-1,BA196&lt;$D$2,AX196/AW196&lt;3),"Serious", AND(AY196&gt;$D$1*-1,AY196&lt;$D$1,OR(AZ196&lt;=$D$2*-1,BA196&gt;=$D$2),AX196/AW196&lt;3),"Very serious", AND(AY196&gt;$D$1*-1,AY196&lt;$D$1,AZ196&gt;$D$1*-1,BA196&lt;$D$1,AX196/AW196&gt;=3),"Very serious", AND(AY196&gt;$D$1*-1,AY196&lt;$D$1,OR(AZ196&lt;=$D$1*-1,BA196&gt;=$D$1),AZ196&gt;$D$2*-1,BA196&lt;$D$2,AX196/AW196&gt;=3),"Very serious", AND(AY196&gt;$D$1*-1,AY196&lt;$D$1,OR(AZ196&lt;=$D$2*-1,BA196&gt;=$D$2),AX196/AW196&gt;=3),"Very serious"),""))</f>
        <v/>
      </c>
      <c r="BF196" s="107" t="str">
        <f t="shared" si="11"/>
        <v/>
      </c>
      <c r="BG196" s="94" t="str">
        <f t="shared" si="46"/>
        <v/>
      </c>
      <c r="BH196" s="64" t="str">
        <f t="shared" si="12"/>
        <v>#N/A</v>
      </c>
      <c r="BI196" s="64" t="str">
        <f t="shared" si="13"/>
        <v/>
      </c>
      <c r="BJ196" s="123" t="str">
        <f t="shared" si="14"/>
        <v>#N/A</v>
      </c>
      <c r="BK196" s="64" t="str">
        <f t="shared" si="50"/>
        <v>YES</v>
      </c>
      <c r="BL196" s="64" t="str">
        <f t="shared" si="16"/>
        <v>YES</v>
      </c>
      <c r="BM196" s="64" t="str">
        <f t="shared" si="17"/>
        <v>YES</v>
      </c>
      <c r="BN196" s="124" t="str">
        <f t="shared" si="18"/>
        <v/>
      </c>
      <c r="BO196" s="91" t="str">
        <f t="shared" si="19"/>
        <v/>
      </c>
      <c r="BP196" s="91" t="str">
        <f t="shared" si="20"/>
        <v>#N/A</v>
      </c>
      <c r="BQ196" s="91" t="str">
        <f t="shared" si="21"/>
        <v/>
      </c>
      <c r="BR196" s="93" t="str">
        <f t="shared" si="22"/>
        <v/>
      </c>
      <c r="BS196" s="90" t="str">
        <f t="shared" si="23"/>
        <v/>
      </c>
      <c r="BT196" s="93" t="str">
        <f t="shared" si="24"/>
        <v>NA</v>
      </c>
      <c r="BU196" s="125" t="str">
        <f t="shared" si="25"/>
        <v>#N/A</v>
      </c>
      <c r="BV196" s="93" t="str">
        <f t="shared" si="26"/>
        <v/>
      </c>
      <c r="BW196" s="93" t="str">
        <f t="shared" si="27"/>
        <v/>
      </c>
      <c r="BX196" s="93" t="str">
        <f t="shared" si="28"/>
        <v>NA</v>
      </c>
      <c r="BY196" s="95" t="str">
        <f t="shared" si="29"/>
        <v>#N/A</v>
      </c>
      <c r="BZ196" s="93" t="str">
        <f t="shared" si="30"/>
        <v/>
      </c>
      <c r="CA196" s="93" t="str">
        <f t="shared" si="31"/>
        <v/>
      </c>
      <c r="CB196" s="93" t="str">
        <f t="shared" si="32"/>
        <v>NA</v>
      </c>
      <c r="CC196" s="96" t="str">
        <f t="shared" si="33"/>
        <v>#N/A</v>
      </c>
      <c r="CD196" s="93" t="str">
        <f t="shared" si="34"/>
        <v/>
      </c>
      <c r="CE196" s="93" t="str">
        <f t="shared" si="35"/>
        <v/>
      </c>
      <c r="CF196" s="93" t="str">
        <f t="shared" si="36"/>
        <v>NA</v>
      </c>
      <c r="CG196" s="97" t="str">
        <f t="shared" si="37"/>
        <v>#N/A</v>
      </c>
      <c r="CH196" s="98" t="str">
        <f t="shared" si="38"/>
        <v>#N/A</v>
      </c>
      <c r="CI196" s="99" t="str">
        <f t="shared" si="39"/>
        <v>#N/A</v>
      </c>
      <c r="CJ196" s="126" t="str">
        <f t="shared" si="40"/>
        <v>ERROR: check cell</v>
      </c>
      <c r="CK196" s="126"/>
      <c r="CL196" s="127" t="str">
        <f t="shared" si="41"/>
        <v>#DIV/0!</v>
      </c>
      <c r="CM196" s="128" t="str">
        <f t="shared" si="42"/>
        <v>#DIV/0!</v>
      </c>
      <c r="CN196" s="128">
        <f t="shared" si="43"/>
        <v>4</v>
      </c>
      <c r="CO196" s="129">
        <f t="shared" si="44"/>
        <v>4</v>
      </c>
      <c r="CP196" s="129" t="str">
        <f>IFS(C196=Preferences!B$13,B196,B196=Preferences!B$13,C196)</f>
        <v>#N/A</v>
      </c>
    </row>
    <row r="197" ht="13.5" customHeight="1">
      <c r="A197" s="63" t="str">
        <f t="shared" si="45"/>
        <v/>
      </c>
      <c r="B197" s="64"/>
      <c r="C197" s="64"/>
      <c r="D197" s="64"/>
      <c r="E197" s="65"/>
      <c r="F197" s="65"/>
      <c r="G197" s="65"/>
      <c r="H197" s="66"/>
      <c r="I197" s="66"/>
      <c r="J197" s="67"/>
      <c r="K197" s="68"/>
      <c r="L197" s="133"/>
      <c r="M197" s="133"/>
      <c r="N197" s="133"/>
      <c r="O197" s="133"/>
      <c r="P197" s="107" t="str">
        <f t="shared" si="1"/>
        <v/>
      </c>
      <c r="Q197" s="108" t="str">
        <f>IFERROR(IF(AND(Preferences!B$3="Manual",OR(AX197/AW197&gt;G197/F197,BD197="Serious",BD197="Very serious")),"Assess imprecision",IFS(ISBLANK(E197),"",AND(Preferences!B$3="Automatic", G197/F197&gt;=30),"Extremely serious",AND(H197&lt;=$D$1*-1,J197&lt;0,G197/F197&lt;3),"Not serious",AND(H197&lt;=$D$1*-1,J197&lt;0,G197/F197&gt;=3),"Very serious",AND(H197&gt;=$D$1,I197&gt;0,G197/F197&lt;3),"Not serious",AND(H197&gt;=$D$1,I197&gt;0,G197/F197&gt;=3),"Very serious",AND(H197&lt;=$D$1*-1,J197&gt;0,I197&gt;$D$2*-1,G197/F197&lt;3),"Serious", AND(H197&lt;=$D$1*-1,J197&gt;0,I197&lt;$D$2*-1,G197/F197&lt;3),"Very serious", AND(H197&gt;=$D$1,I197&lt;0,J197&lt;$D$2,G197/F197&lt;3),"Serious",AND(H197&gt;=$D$1,I197&lt;0,J197&gt;$D$2,G197/F197&lt;3),"Very serious", AND(H197&lt;=$D$1*-1,J197&gt;0,I197&gt;$D$2*-1,G197/F197&gt;=3),"Very serious", AND(H197&lt;=$D$1*-1,J197&gt;0,I197&lt;$D$2*-1,G197/F197&gt;=3),"Very serious", AND(H197&gt;=$D$1,I197&lt;0,J197&lt;$D$2,G197/F197&gt;=3),"Very serious", AND(H197&gt;=$D$1,I197&lt;0,J197&gt;$D$2,G197/F197&gt;=3),"Very serious", AND(H197&gt;$D$1*-1,H197&lt;$D$1,I197&gt;$D$1*-1,J197&lt;$D$1,G197/F197&lt;3),"Not serious", AND(H197&gt;$D$1*-1,H197&lt;$D$1,OR(I197&lt;=$D$1*-1,J197&gt;=$D$1),I197&gt;$D$2*-1,J197&lt;$D$2,G197/F197&lt;3),"Serious", AND(H197&gt;$D$1*-1,H197&lt;$D$1,OR(I197&lt;=$D$2*-1,J197&gt;=$D$2),G197/F197&lt;3),"Very serious", AND(H197&gt;$D$1*-1,H197&lt;$D$1,I197&gt;$D$1*-1,J197&lt;$D$1,G197/F197&gt;=3),"Very serious", AND(H197&gt;$D$1*-1,H197&lt;$D$1,OR(I197&lt;=$D$1*-1,J197&gt;=$D$1),I197&gt;$D$2*-1,J197&lt;$D$2,G197/F197&gt;=3),"Very serious", AND(H197&gt;$D$1*-1,H197&lt;$D$1,OR(I197&lt;=$D$2*-1,J197&gt;=$D$2),G197/F197&gt;=3),"Very serious")),"")</f>
        <v/>
      </c>
      <c r="R197" s="109" t="str">
        <f t="shared" si="47"/>
        <v/>
      </c>
      <c r="S197" s="64"/>
      <c r="T197" s="72"/>
      <c r="U197" s="72"/>
      <c r="V197" s="72"/>
      <c r="W197" s="73"/>
      <c r="X197" s="73"/>
      <c r="Y197" s="74"/>
      <c r="Z197" s="113" t="str">
        <f t="array" ref="Z197">INDEX($A$1:$C$500, MATCH(1,($B:$B=$B197)*($C:$C=$AB197),0),1)</f>
        <v/>
      </c>
      <c r="AA197" s="113" t="str">
        <f t="array" ref="AA197">INDEX($A$1:$C$500, MATCH(1,($B:$B=$AB197)*($C:$C=$B197),0),1)</f>
        <v/>
      </c>
      <c r="AB197" s="111"/>
      <c r="AC197" s="114" t="str">
        <f t="shared" si="2"/>
        <v/>
      </c>
      <c r="AD197" s="115" t="str">
        <f t="shared" si="3"/>
        <v/>
      </c>
      <c r="AE197" s="116" t="str">
        <f t="array" ref="AE197">INDEX($A$1:$C$500, MATCH(1,($B:$B=$AB197)*($C:$C=$AG197),0),1)</f>
        <v/>
      </c>
      <c r="AF197" s="116" t="str">
        <f t="array" ref="AF197">INDEX($A$1:$C$500, MATCH(1,($B:$B=$AG197)*($C:$C=$AB197),0),1)</f>
        <v/>
      </c>
      <c r="AG197" s="72"/>
      <c r="AH197" s="114" t="str">
        <f t="shared" si="4"/>
        <v/>
      </c>
      <c r="AI197" s="115" t="str">
        <f t="shared" si="5"/>
        <v/>
      </c>
      <c r="AJ197" s="116" t="str">
        <f t="array" ref="AJ197">INDEX($A$1:$C$500, MATCH(1,($B:$B=$C197)*($C:$C=$AG197),0),1)</f>
        <v/>
      </c>
      <c r="AK197" s="116" t="str">
        <f t="array" ref="AK197">INDEX($A$1:$C$500, MATCH(1,($B:$B=$AG197)*($C:$C=$C197),0),1)</f>
        <v/>
      </c>
      <c r="AL197" s="116" t="str">
        <f t="array" ref="AL197">INDEX($A$1:$C$500, MATCH(1,($B:$B=$C197)*($C:$C=$AB197),0),1)</f>
        <v/>
      </c>
      <c r="AM197" s="116" t="str">
        <f t="array" ref="AM197">INDEX($A$1:$C$500, MATCH(1,($B:$B=$AB197)*($C:$C=$C197),0),1)</f>
        <v/>
      </c>
      <c r="AN197" s="114" t="str">
        <f t="array" ref="AN197">IFS(ISNUMBER(AJ197),AJ197,ISNUMBER(AK197),AK197,ISNUMBER(AL197),AL197,ISNUMBER(AM197),AM197)</f>
        <v>#N/A</v>
      </c>
      <c r="AO197" s="115" t="str">
        <f t="shared" si="6"/>
        <v/>
      </c>
      <c r="AP197" s="115" t="str">
        <f t="shared" si="7"/>
        <v/>
      </c>
      <c r="AQ197" s="111"/>
      <c r="AR197" s="109" t="str">
        <f t="shared" si="8"/>
        <v/>
      </c>
      <c r="AS197" s="72" t="str">
        <f>IFERROR(IF(AND(Preferences!B$3="Manual",OR(AX197/AW197&gt;V197/U197,BD197="Serious",BD197="Very serious")),"Assess imprecision",IFERROR(IFS(AND(Preferences!B$3="Automatic",V197/U197&gt;=30),"Extremely serious",AND(W197&lt;=$D$1*-1,Y197&lt;0,V197/U197&lt;3),"Not Serious",AND(W197&lt;=$D$1*-1,Y197&lt;0,V197/U197&gt;=3),"Very serious",AND(W197&gt;=$D$1,X197&gt;0,V197/U197&lt;3),"Not Serious",AND(W197&gt;=$D$1,X197&gt;0,V197/U197&gt;=3),"Very serious",AND(W197&lt;=$D$1*-1,Y197&gt;0,X197&gt;$D$2*-1,V197/U197&lt;3),"Serious", AND(W197&lt;=$D$1*-1,Y197&gt;0,X197&lt;$D$2*-1,V197/U197&lt;3),"Very serious", AND(W197&gt;=$D$1,X197&lt;0,Y197&lt;$D$2,V197/U197&lt;3),"Serious",AND(W197&gt;=$D$1,X197&lt;0,Y197&gt;$D$2,V197/U197&lt;3),"Very serious", AND(W197&lt;=$D$1*-1,Y197&gt;0,X197&gt;$D$2*-1,V197/U197&gt;=3),"Very serious", AND(W197&lt;=$D$1*-1,Y197&gt;0,X197&lt;$D$2*-1,V197/U197&gt;=3),"Very serious", AND(W197&gt;=$D$1,X197&lt;0,Y197&lt;$D$2,V197/U197&gt;=3),"Very serious", AND(W197&gt;=$D$1,X197&lt;0,Y197&gt;$D$2,V197/U197&gt;=3),"Very serious", AND(W197&gt;$D$1*-1,W197&lt;$D$1,X197&gt;$D$1*-1,Y197&lt;$D$1,V197/U197&lt;3),"Not Serious", AND(W197&gt;$D$1*-1,W197&lt;$D$1,OR(X197&lt;=$D$1*-1,Y197&gt;=$D$1),X197&gt;$D$2*-1,Y197&lt;$D$2,V197/U197&lt;3),"Serious", AND(W197&gt;$D$1*-1,W197&lt;$D$1,OR(X197&lt;=$D$2*-1,Y197&gt;=$D$2),V197/U197&lt;3),"Very serious", AND(W197&gt;$D$1*-1,W197&lt;$D$1,X197&gt;$D$1*-1,Y197&lt;$D$1,V197/U197&gt;=3),"Very serious", AND(W197&gt;$D$1*-1,W197&lt;$D$1,OR(X197&lt;=$D$1*-1,Y197&gt;=$D$1),X197&gt;$D$2*-1,Y197&lt;$D$2,V197/U197&gt;=3),"Very serious", AND(W197&gt;$D$1*-1,W197&lt;$D$1,OR(X197&lt;=$D$2*-1,Y197&gt;=$D$2),V197/U197&gt;=3),"Very serious"),"")),"")</f>
        <v/>
      </c>
      <c r="AT197" s="109" t="str">
        <f t="shared" si="9"/>
        <v/>
      </c>
      <c r="AU197" s="64"/>
      <c r="AV197" s="83"/>
      <c r="AW197" s="83"/>
      <c r="AX197" s="83"/>
      <c r="AY197" s="83"/>
      <c r="AZ197" s="83"/>
      <c r="BA197" s="85"/>
      <c r="BB197" s="86" t="str">
        <f>IF(Preferences!B$9="Manual","",IFS(ISBLANK(B197),"",AND(ISNUMBER(E197)=TRUE,ISNUMBER(T197)=FALSE),"Direct", AND(ISNUMBER(E197)=FALSE,ISNUMBER(T197)=TRUE),"Indirect", CN197=4,"Direct",AND(CL197=FALSE, CM197=TRUE,CN197-CO197&gt;-1),"Direct", AND(CL197=FALSE,CM197=TRUE, CN197-CO197&lt;0),"Check algorithm in appendix 2", AND(CL197=TRUE, CM197=FALSE,CN197-CO197&gt;0),"Check algorithm in appendix 2", AND(CL197=TRUE, CM197=FALSE,CN197-CO197=0),"Indirect", AND(CL197=TRUE, CM197=FALSE,CN197-CO197&lt;0),"Indirect", AND(CL197=FALSE,CM197=FALSE,CN197-CO197&gt;-1),"Direct", AND(CL197=FALSE,CM197=FALSE,CN197-CO197&lt;0),"Check algorithm in appendix 2", AND(CL197=TRUE,CM197=TRUE,CN197-CO197&gt;-1),"Direct", AND(CL197=TRUE,CM197=TRUE,CN197-CO197&lt;0),"Check algorithm in appendix 2"))</f>
        <v/>
      </c>
      <c r="BC197" s="120" t="str">
        <f t="shared" si="10"/>
        <v/>
      </c>
      <c r="BD197" s="140"/>
      <c r="BE197" s="122" t="str">
        <f>IF(Preferences!B$3="Manual","", IFERROR(IFS(AND(Preferences!B$3="Automatic",AX197/AW197&gt;=30),"Extremely serious",AND(AY197&lt;=$D$1*-1,BA197&lt;0,AX197/AW197&lt;3),"Not Serious",AND(AY197&lt;=$D$1*-1,BA197&lt;0,AX197/AW197&gt;=3),"Very serious",AND(AY197&gt;=$D$1,AZ197&gt;0,AX197/AW197&lt;3),"Not Serious",AND(AY197&gt;=$D$1,AZ197&gt;0,AX197/AW197&gt;=3),"Very serious",AND(AY197&lt;=$D$1*-1,BA197&gt;0,AZ197&gt;$D$2*-1,AX197/AW197&lt;3),"Serious", AND(AY197&lt;=$D$1*-1,BA197&gt;0,AZ197&lt;$D$2*-1,AX197/AW197&lt;3),"Very serious", AND(AY197&gt;=$D$1,AZ197&lt;0,BA197&lt;$D$2,AX197/AW197&lt;3),"Serious",AND(AY197&gt;=$D$1,AZ197&lt;0,BA197&gt;$D$2,AX197/AW197&lt;3),"Very serious", AND(AY197&lt;=$D$1*-1,BA197&gt;0,AZ197&gt;$D$2*-1,AX197/AW197&gt;=3),"Very serious", AND(AY197&lt;=$D$1*-1,BA197&gt;0,AZ197&lt;$D$2*-1,AX197/AW197&gt;=3),"Very serious", AND(AY197&gt;=$D$1,AZ197&lt;0,BA197&lt;$D$2,AX197/AW197&gt;=3),"Very serious", AND(AY197&gt;=$D$1,AZ197&lt;0,BA197&gt;$D$2,AX197/AW197&gt;=3),"Very serious", AND(AY197&gt;$D$1*-1,AY197&lt;$D$1,AZ197&gt;$D$1*-1,BA197&lt;$D$1,AX197/AW197&lt;3),"Not Serious", AND(AY197&gt;$D$1*-1,AY197&lt;$D$1,OR(AZ197&lt;=$D$1*-1,BA197&gt;=$D$1),AZ197&gt;$D$2*-1,BA197&lt;$D$2,AX197/AW197&lt;3),"Serious", AND(AY197&gt;$D$1*-1,AY197&lt;$D$1,OR(AZ197&lt;=$D$2*-1,BA197&gt;=$D$2),AX197/AW197&lt;3),"Very serious", AND(AY197&gt;$D$1*-1,AY197&lt;$D$1,AZ197&gt;$D$1*-1,BA197&lt;$D$1,AX197/AW197&gt;=3),"Very serious", AND(AY197&gt;$D$1*-1,AY197&lt;$D$1,OR(AZ197&lt;=$D$1*-1,BA197&gt;=$D$1),AZ197&gt;$D$2*-1,BA197&lt;$D$2,AX197/AW197&gt;=3),"Very serious", AND(AY197&gt;$D$1*-1,AY197&lt;$D$1,OR(AZ197&lt;=$D$2*-1,BA197&gt;=$D$2),AX197/AW197&gt;=3),"Very serious"),""))</f>
        <v/>
      </c>
      <c r="BF197" s="107" t="str">
        <f t="shared" si="11"/>
        <v/>
      </c>
      <c r="BG197" s="94" t="str">
        <f t="shared" si="46"/>
        <v/>
      </c>
      <c r="BH197" s="64" t="str">
        <f t="shared" si="12"/>
        <v>#N/A</v>
      </c>
      <c r="BI197" s="64" t="str">
        <f t="shared" si="13"/>
        <v/>
      </c>
      <c r="BJ197" s="123" t="str">
        <f t="shared" si="14"/>
        <v>#N/A</v>
      </c>
      <c r="BK197" s="64" t="str">
        <f t="shared" si="50"/>
        <v>YES</v>
      </c>
      <c r="BL197" s="64" t="str">
        <f t="shared" si="16"/>
        <v>YES</v>
      </c>
      <c r="BM197" s="64" t="str">
        <f t="shared" si="17"/>
        <v>YES</v>
      </c>
      <c r="BN197" s="124" t="str">
        <f t="shared" si="18"/>
        <v/>
      </c>
      <c r="BO197" s="91" t="str">
        <f t="shared" si="19"/>
        <v/>
      </c>
      <c r="BP197" s="91" t="str">
        <f t="shared" si="20"/>
        <v>#N/A</v>
      </c>
      <c r="BQ197" s="91" t="str">
        <f t="shared" si="21"/>
        <v/>
      </c>
      <c r="BR197" s="93" t="str">
        <f t="shared" si="22"/>
        <v/>
      </c>
      <c r="BS197" s="90" t="str">
        <f t="shared" si="23"/>
        <v/>
      </c>
      <c r="BT197" s="93" t="str">
        <f t="shared" si="24"/>
        <v>NA</v>
      </c>
      <c r="BU197" s="125" t="str">
        <f t="shared" si="25"/>
        <v>#N/A</v>
      </c>
      <c r="BV197" s="93" t="str">
        <f t="shared" si="26"/>
        <v/>
      </c>
      <c r="BW197" s="93" t="str">
        <f t="shared" si="27"/>
        <v/>
      </c>
      <c r="BX197" s="93" t="str">
        <f t="shared" si="28"/>
        <v>NA</v>
      </c>
      <c r="BY197" s="95" t="str">
        <f t="shared" si="29"/>
        <v>#N/A</v>
      </c>
      <c r="BZ197" s="93" t="str">
        <f t="shared" si="30"/>
        <v/>
      </c>
      <c r="CA197" s="93" t="str">
        <f t="shared" si="31"/>
        <v/>
      </c>
      <c r="CB197" s="93" t="str">
        <f t="shared" si="32"/>
        <v>NA</v>
      </c>
      <c r="CC197" s="96" t="str">
        <f t="shared" si="33"/>
        <v>#N/A</v>
      </c>
      <c r="CD197" s="93" t="str">
        <f t="shared" si="34"/>
        <v/>
      </c>
      <c r="CE197" s="93" t="str">
        <f t="shared" si="35"/>
        <v/>
      </c>
      <c r="CF197" s="93" t="str">
        <f t="shared" si="36"/>
        <v>NA</v>
      </c>
      <c r="CG197" s="97" t="str">
        <f t="shared" si="37"/>
        <v>#N/A</v>
      </c>
      <c r="CH197" s="98" t="str">
        <f t="shared" si="38"/>
        <v>#N/A</v>
      </c>
      <c r="CI197" s="99" t="str">
        <f t="shared" si="39"/>
        <v>#N/A</v>
      </c>
      <c r="CJ197" s="126" t="str">
        <f t="shared" si="40"/>
        <v>ERROR: check cell</v>
      </c>
      <c r="CK197" s="126" t="str">
        <f>if(AND(T197&lt;1=TRUE,E197&lt;1=TRUE)=TRUE,if(OR(AND(V197&gt;G197=TRUE,G197&gt;U197=TRUE),AND(G197&gt;V197=TRUE,V197&gt;F197=TRUE)=TRUE)=TRUE,"No serious incoherence","Quantitative incoherence (same direction of effect)"),if(AND(T197&gt;1=TRUE,E197&gt;1=TRUE)=TRUE,if(OR(AND(V197&gt;G197=TRUE,G197&gt;U197=TRUE),AND(G197&gt;V197=TRUE,V197&gt;F197=TRUE)=TRUE)=TRUE,"No serious incoherence","Quantitative incoherence (same direction of effect)"),if(OR(AND(T197&lt;1=TRUE,E197&gt;1=TRUE)=TRUE,AND(T197&gt;1=TRUE,E197&lt;1=TRUE)=TRUE)=TRUE,if(OR(AND(V197&gt;G197=TRUE,G197&gt;U197=TRUE),AND(G197&gt;V197=TRUE,V197&gt;F197=TRUE)=TRUE)=TRUE,"No serious incoherence","Qualitative incoherence (different direction of effect)"))))</f>
        <v>Quantitative incoherence (same direction of effect)</v>
      </c>
      <c r="CL197" s="127" t="str">
        <f t="shared" si="41"/>
        <v>#DIV/0!</v>
      </c>
      <c r="CM197" s="128" t="str">
        <f t="shared" si="42"/>
        <v>#DIV/0!</v>
      </c>
      <c r="CN197" s="128">
        <f t="shared" si="43"/>
        <v>4</v>
      </c>
      <c r="CO197" s="129">
        <f t="shared" si="44"/>
        <v>4</v>
      </c>
      <c r="CP197" s="129" t="str">
        <f>IFS(C197=Preferences!B$13,B197,B197=Preferences!B$13,C197)</f>
        <v>#N/A</v>
      </c>
    </row>
    <row r="198" ht="13.5" customHeight="1">
      <c r="A198" s="63" t="str">
        <f t="shared" si="45"/>
        <v/>
      </c>
      <c r="B198" s="64"/>
      <c r="C198" s="64"/>
      <c r="D198" s="64"/>
      <c r="E198" s="65"/>
      <c r="F198" s="65"/>
      <c r="G198" s="65"/>
      <c r="H198" s="66"/>
      <c r="I198" s="66"/>
      <c r="J198" s="67"/>
      <c r="K198" s="68"/>
      <c r="L198" s="104"/>
      <c r="M198" s="104"/>
      <c r="N198" s="104"/>
      <c r="O198" s="104"/>
      <c r="P198" s="107" t="str">
        <f t="shared" si="1"/>
        <v/>
      </c>
      <c r="Q198" s="108" t="str">
        <f>IFERROR(IF(AND(Preferences!B$3="Manual",OR(AX198/AW198&gt;G198/F198,BD198="Serious",BD198="Very serious")),"Assess imprecision",IFS(ISBLANK(E198),"",AND(Preferences!B$3="Automatic", G198/F198&gt;=30),"Extremely serious",AND(H198&lt;=$D$1*-1,J198&lt;0,G198/F198&lt;3),"Not serious",AND(H198&lt;=$D$1*-1,J198&lt;0,G198/F198&gt;=3),"Very serious",AND(H198&gt;=$D$1,I198&gt;0,G198/F198&lt;3),"Not serious",AND(H198&gt;=$D$1,I198&gt;0,G198/F198&gt;=3),"Very serious",AND(H198&lt;=$D$1*-1,J198&gt;0,I198&gt;$D$2*-1,G198/F198&lt;3),"Serious", AND(H198&lt;=$D$1*-1,J198&gt;0,I198&lt;$D$2*-1,G198/F198&lt;3),"Very serious", AND(H198&gt;=$D$1,I198&lt;0,J198&lt;$D$2,G198/F198&lt;3),"Serious",AND(H198&gt;=$D$1,I198&lt;0,J198&gt;$D$2,G198/F198&lt;3),"Very serious", AND(H198&lt;=$D$1*-1,J198&gt;0,I198&gt;$D$2*-1,G198/F198&gt;=3),"Very serious", AND(H198&lt;=$D$1*-1,J198&gt;0,I198&lt;$D$2*-1,G198/F198&gt;=3),"Very serious", AND(H198&gt;=$D$1,I198&lt;0,J198&lt;$D$2,G198/F198&gt;=3),"Very serious", AND(H198&gt;=$D$1,I198&lt;0,J198&gt;$D$2,G198/F198&gt;=3),"Very serious", AND(H198&gt;$D$1*-1,H198&lt;$D$1,I198&gt;$D$1*-1,J198&lt;$D$1,G198/F198&lt;3),"Not serious", AND(H198&gt;$D$1*-1,H198&lt;$D$1,OR(I198&lt;=$D$1*-1,J198&gt;=$D$1),I198&gt;$D$2*-1,J198&lt;$D$2,G198/F198&lt;3),"Serious", AND(H198&gt;$D$1*-1,H198&lt;$D$1,OR(I198&lt;=$D$2*-1,J198&gt;=$D$2),G198/F198&lt;3),"Very serious", AND(H198&gt;$D$1*-1,H198&lt;$D$1,I198&gt;$D$1*-1,J198&lt;$D$1,G198/F198&gt;=3),"Very serious", AND(H198&gt;$D$1*-1,H198&lt;$D$1,OR(I198&lt;=$D$1*-1,J198&gt;=$D$1),I198&gt;$D$2*-1,J198&lt;$D$2,G198/F198&gt;=3),"Very serious", AND(H198&gt;$D$1*-1,H198&lt;$D$1,OR(I198&lt;=$D$2*-1,J198&gt;=$D$2),G198/F198&gt;=3),"Very serious")),"")</f>
        <v/>
      </c>
      <c r="R198" s="109" t="str">
        <f t="shared" si="47"/>
        <v/>
      </c>
      <c r="S198" s="64"/>
      <c r="T198" s="72"/>
      <c r="U198" s="72"/>
      <c r="V198" s="72"/>
      <c r="W198" s="73"/>
      <c r="X198" s="73"/>
      <c r="Y198" s="74"/>
      <c r="Z198" s="113" t="str">
        <f t="array" ref="Z198">INDEX($A$1:$C$500, MATCH(1,($B:$B=$B198)*($C:$C=$AB198),0),1)</f>
        <v/>
      </c>
      <c r="AA198" s="113" t="str">
        <f t="array" ref="AA198">INDEX($A$1:$C$500, MATCH(1,($B:$B=$AB198)*($C:$C=$B198),0),1)</f>
        <v/>
      </c>
      <c r="AB198" s="111"/>
      <c r="AC198" s="114" t="str">
        <f t="shared" si="2"/>
        <v/>
      </c>
      <c r="AD198" s="115" t="str">
        <f t="shared" si="3"/>
        <v/>
      </c>
      <c r="AE198" s="116" t="str">
        <f t="array" ref="AE198">INDEX($A$1:$C$500, MATCH(1,($B:$B=$AB198)*($C:$C=$AG198),0),1)</f>
        <v/>
      </c>
      <c r="AF198" s="116" t="str">
        <f t="array" ref="AF198">INDEX($A$1:$C$500, MATCH(1,($B:$B=$AG198)*($C:$C=$AB198),0),1)</f>
        <v/>
      </c>
      <c r="AG198" s="72"/>
      <c r="AH198" s="114" t="str">
        <f t="shared" si="4"/>
        <v/>
      </c>
      <c r="AI198" s="115" t="str">
        <f t="shared" si="5"/>
        <v/>
      </c>
      <c r="AJ198" s="116" t="str">
        <f t="array" ref="AJ198">INDEX($A$1:$C$500, MATCH(1,($B:$B=$C198)*($C:$C=$AG198),0),1)</f>
        <v/>
      </c>
      <c r="AK198" s="116" t="str">
        <f t="array" ref="AK198">INDEX($A$1:$C$500, MATCH(1,($B:$B=$AG198)*($C:$C=$C198),0),1)</f>
        <v/>
      </c>
      <c r="AL198" s="116" t="str">
        <f t="array" ref="AL198">INDEX($A$1:$C$500, MATCH(1,($B:$B=$C198)*($C:$C=$AB198),0),1)</f>
        <v/>
      </c>
      <c r="AM198" s="116" t="str">
        <f t="array" ref="AM198">INDEX($A$1:$C$500, MATCH(1,($B:$B=$AB198)*($C:$C=$C198),0),1)</f>
        <v/>
      </c>
      <c r="AN198" s="114" t="str">
        <f t="array" ref="AN198">IFS(ISNUMBER(AJ198),AJ198,ISNUMBER(AK198),AK198,ISNUMBER(AL198),AL198,ISNUMBER(AM198),AM198)</f>
        <v>#N/A</v>
      </c>
      <c r="AO198" s="115" t="str">
        <f t="shared" si="6"/>
        <v/>
      </c>
      <c r="AP198" s="115" t="str">
        <f t="shared" si="7"/>
        <v/>
      </c>
      <c r="AQ198" s="111"/>
      <c r="AR198" s="109" t="str">
        <f t="shared" si="8"/>
        <v/>
      </c>
      <c r="AS198" s="72" t="str">
        <f>IFERROR(IF(AND(Preferences!B$3="Manual",OR(AX198/AW198&gt;V198/U198,BD198="Serious",BD198="Very serious")),"Assess imprecision",IFERROR(IFS(AND(Preferences!B$3="Automatic",V198/U198&gt;=30),"Extremely serious",AND(W198&lt;=$D$1*-1,Y198&lt;0,V198/U198&lt;3),"Not Serious",AND(W198&lt;=$D$1*-1,Y198&lt;0,V198/U198&gt;=3),"Very serious",AND(W198&gt;=$D$1,X198&gt;0,V198/U198&lt;3),"Not Serious",AND(W198&gt;=$D$1,X198&gt;0,V198/U198&gt;=3),"Very serious",AND(W198&lt;=$D$1*-1,Y198&gt;0,X198&gt;$D$2*-1,V198/U198&lt;3),"Serious", AND(W198&lt;=$D$1*-1,Y198&gt;0,X198&lt;$D$2*-1,V198/U198&lt;3),"Very serious", AND(W198&gt;=$D$1,X198&lt;0,Y198&lt;$D$2,V198/U198&lt;3),"Serious",AND(W198&gt;=$D$1,X198&lt;0,Y198&gt;$D$2,V198/U198&lt;3),"Very serious", AND(W198&lt;=$D$1*-1,Y198&gt;0,X198&gt;$D$2*-1,V198/U198&gt;=3),"Very serious", AND(W198&lt;=$D$1*-1,Y198&gt;0,X198&lt;$D$2*-1,V198/U198&gt;=3),"Very serious", AND(W198&gt;=$D$1,X198&lt;0,Y198&lt;$D$2,V198/U198&gt;=3),"Very serious", AND(W198&gt;=$D$1,X198&lt;0,Y198&gt;$D$2,V198/U198&gt;=3),"Very serious", AND(W198&gt;$D$1*-1,W198&lt;$D$1,X198&gt;$D$1*-1,Y198&lt;$D$1,V198/U198&lt;3),"Not Serious", AND(W198&gt;$D$1*-1,W198&lt;$D$1,OR(X198&lt;=$D$1*-1,Y198&gt;=$D$1),X198&gt;$D$2*-1,Y198&lt;$D$2,V198/U198&lt;3),"Serious", AND(W198&gt;$D$1*-1,W198&lt;$D$1,OR(X198&lt;=$D$2*-1,Y198&gt;=$D$2),V198/U198&lt;3),"Very serious", AND(W198&gt;$D$1*-1,W198&lt;$D$1,X198&gt;$D$1*-1,Y198&lt;$D$1,V198/U198&gt;=3),"Very serious", AND(W198&gt;$D$1*-1,W198&lt;$D$1,OR(X198&lt;=$D$1*-1,Y198&gt;=$D$1),X198&gt;$D$2*-1,Y198&lt;$D$2,V198/U198&gt;=3),"Very serious", AND(W198&gt;$D$1*-1,W198&lt;$D$1,OR(X198&lt;=$D$2*-1,Y198&gt;=$D$2),V198/U198&gt;=3),"Very serious"),"")),"")</f>
        <v/>
      </c>
      <c r="AT198" s="109" t="str">
        <f t="shared" si="9"/>
        <v/>
      </c>
      <c r="AU198" s="64"/>
      <c r="AV198" s="83"/>
      <c r="AW198" s="83"/>
      <c r="AX198" s="83"/>
      <c r="AY198" s="83"/>
      <c r="AZ198" s="83"/>
      <c r="BA198" s="85"/>
      <c r="BB198" s="86" t="str">
        <f>IF(Preferences!B$9="Manual","",IFS(ISBLANK(B198),"",AND(ISNUMBER(E198)=TRUE,ISNUMBER(T198)=FALSE),"Direct", AND(ISNUMBER(E198)=FALSE,ISNUMBER(T198)=TRUE),"Indirect", CN198=4,"Direct",AND(CL198=FALSE, CM198=TRUE,CN198-CO198&gt;-1),"Direct", AND(CL198=FALSE,CM198=TRUE, CN198-CO198&lt;0),"Check algorithm in appendix 2", AND(CL198=TRUE, CM198=FALSE,CN198-CO198&gt;0),"Check algorithm in appendix 2", AND(CL198=TRUE, CM198=FALSE,CN198-CO198=0),"Indirect", AND(CL198=TRUE, CM198=FALSE,CN198-CO198&lt;0),"Indirect", AND(CL198=FALSE,CM198=FALSE,CN198-CO198&gt;-1),"Direct", AND(CL198=FALSE,CM198=FALSE,CN198-CO198&lt;0),"Check algorithm in appendix 2", AND(CL198=TRUE,CM198=TRUE,CN198-CO198&gt;-1),"Direct", AND(CL198=TRUE,CM198=TRUE,CN198-CO198&lt;0),"Check algorithm in appendix 2"))</f>
        <v/>
      </c>
      <c r="BC198" s="120" t="str">
        <f t="shared" si="10"/>
        <v/>
      </c>
      <c r="BD198" s="140"/>
      <c r="BE198" s="122" t="str">
        <f>IF(Preferences!B$3="Manual","", IFERROR(IFS(AND(Preferences!B$3="Automatic",AX198/AW198&gt;=30),"Extremely serious",AND(AY198&lt;=$D$1*-1,BA198&lt;0,AX198/AW198&lt;3),"Not Serious",AND(AY198&lt;=$D$1*-1,BA198&lt;0,AX198/AW198&gt;=3),"Very serious",AND(AY198&gt;=$D$1,AZ198&gt;0,AX198/AW198&lt;3),"Not Serious",AND(AY198&gt;=$D$1,AZ198&gt;0,AX198/AW198&gt;=3),"Very serious",AND(AY198&lt;=$D$1*-1,BA198&gt;0,AZ198&gt;$D$2*-1,AX198/AW198&lt;3),"Serious", AND(AY198&lt;=$D$1*-1,BA198&gt;0,AZ198&lt;$D$2*-1,AX198/AW198&lt;3),"Very serious", AND(AY198&gt;=$D$1,AZ198&lt;0,BA198&lt;$D$2,AX198/AW198&lt;3),"Serious",AND(AY198&gt;=$D$1,AZ198&lt;0,BA198&gt;$D$2,AX198/AW198&lt;3),"Very serious", AND(AY198&lt;=$D$1*-1,BA198&gt;0,AZ198&gt;$D$2*-1,AX198/AW198&gt;=3),"Very serious", AND(AY198&lt;=$D$1*-1,BA198&gt;0,AZ198&lt;$D$2*-1,AX198/AW198&gt;=3),"Very serious", AND(AY198&gt;=$D$1,AZ198&lt;0,BA198&lt;$D$2,AX198/AW198&gt;=3),"Very serious", AND(AY198&gt;=$D$1,AZ198&lt;0,BA198&gt;$D$2,AX198/AW198&gt;=3),"Very serious", AND(AY198&gt;$D$1*-1,AY198&lt;$D$1,AZ198&gt;$D$1*-1,BA198&lt;$D$1,AX198/AW198&lt;3),"Not Serious", AND(AY198&gt;$D$1*-1,AY198&lt;$D$1,OR(AZ198&lt;=$D$1*-1,BA198&gt;=$D$1),AZ198&gt;$D$2*-1,BA198&lt;$D$2,AX198/AW198&lt;3),"Serious", AND(AY198&gt;$D$1*-1,AY198&lt;$D$1,OR(AZ198&lt;=$D$2*-1,BA198&gt;=$D$2),AX198/AW198&lt;3),"Very serious", AND(AY198&gt;$D$1*-1,AY198&lt;$D$1,AZ198&gt;$D$1*-1,BA198&lt;$D$1,AX198/AW198&gt;=3),"Very serious", AND(AY198&gt;$D$1*-1,AY198&lt;$D$1,OR(AZ198&lt;=$D$1*-1,BA198&gt;=$D$1),AZ198&gt;$D$2*-1,BA198&lt;$D$2,AX198/AW198&gt;=3),"Very serious", AND(AY198&gt;$D$1*-1,AY198&lt;$D$1,OR(AZ198&lt;=$D$2*-1,BA198&gt;=$D$2),AX198/AW198&gt;=3),"Very serious"),""))</f>
        <v/>
      </c>
      <c r="BF198" s="107" t="str">
        <f t="shared" si="11"/>
        <v/>
      </c>
      <c r="BG198" s="94" t="str">
        <f t="shared" si="46"/>
        <v/>
      </c>
      <c r="BH198" s="64" t="str">
        <f t="shared" si="12"/>
        <v>#N/A</v>
      </c>
      <c r="BI198" s="64" t="str">
        <f t="shared" si="13"/>
        <v/>
      </c>
      <c r="BJ198" s="123" t="str">
        <f t="shared" si="14"/>
        <v>#N/A</v>
      </c>
      <c r="BK198" s="64" t="str">
        <f t="shared" si="50"/>
        <v>YES</v>
      </c>
      <c r="BL198" s="64" t="str">
        <f t="shared" si="16"/>
        <v>YES</v>
      </c>
      <c r="BM198" s="64" t="str">
        <f t="shared" si="17"/>
        <v>YES</v>
      </c>
      <c r="BN198" s="124" t="str">
        <f t="shared" si="18"/>
        <v/>
      </c>
      <c r="BO198" s="91" t="str">
        <f t="shared" si="19"/>
        <v/>
      </c>
      <c r="BP198" s="91" t="str">
        <f t="shared" si="20"/>
        <v>#N/A</v>
      </c>
      <c r="BQ198" s="91" t="str">
        <f t="shared" si="21"/>
        <v/>
      </c>
      <c r="BR198" s="93" t="str">
        <f t="shared" si="22"/>
        <v/>
      </c>
      <c r="BS198" s="90" t="str">
        <f t="shared" si="23"/>
        <v/>
      </c>
      <c r="BT198" s="93" t="str">
        <f t="shared" si="24"/>
        <v>NA</v>
      </c>
      <c r="BU198" s="125" t="str">
        <f t="shared" si="25"/>
        <v>#N/A</v>
      </c>
      <c r="BV198" s="93" t="str">
        <f t="shared" si="26"/>
        <v/>
      </c>
      <c r="BW198" s="93" t="str">
        <f t="shared" si="27"/>
        <v/>
      </c>
      <c r="BX198" s="93" t="str">
        <f t="shared" si="28"/>
        <v>NA</v>
      </c>
      <c r="BY198" s="95" t="str">
        <f t="shared" si="29"/>
        <v>#N/A</v>
      </c>
      <c r="BZ198" s="93" t="str">
        <f t="shared" si="30"/>
        <v/>
      </c>
      <c r="CA198" s="93" t="str">
        <f t="shared" si="31"/>
        <v/>
      </c>
      <c r="CB198" s="93" t="str">
        <f t="shared" si="32"/>
        <v>NA</v>
      </c>
      <c r="CC198" s="96" t="str">
        <f t="shared" si="33"/>
        <v>#N/A</v>
      </c>
      <c r="CD198" s="93" t="str">
        <f t="shared" si="34"/>
        <v/>
      </c>
      <c r="CE198" s="93" t="str">
        <f t="shared" si="35"/>
        <v/>
      </c>
      <c r="CF198" s="93" t="str">
        <f t="shared" si="36"/>
        <v>NA</v>
      </c>
      <c r="CG198" s="97" t="str">
        <f t="shared" si="37"/>
        <v>#N/A</v>
      </c>
      <c r="CH198" s="98" t="str">
        <f t="shared" si="38"/>
        <v>#N/A</v>
      </c>
      <c r="CI198" s="99" t="str">
        <f t="shared" si="39"/>
        <v>#N/A</v>
      </c>
      <c r="CJ198" s="126" t="str">
        <f t="shared" si="40"/>
        <v>ERROR: check cell</v>
      </c>
      <c r="CK198" s="126"/>
      <c r="CL198" s="127" t="str">
        <f t="shared" si="41"/>
        <v>#DIV/0!</v>
      </c>
      <c r="CM198" s="128" t="str">
        <f t="shared" si="42"/>
        <v>#DIV/0!</v>
      </c>
      <c r="CN198" s="128">
        <f t="shared" si="43"/>
        <v>4</v>
      </c>
      <c r="CO198" s="129">
        <f t="shared" si="44"/>
        <v>4</v>
      </c>
      <c r="CP198" s="129" t="str">
        <f>IFS(C198=Preferences!B$13,B198,B198=Preferences!B$13,C198)</f>
        <v>#N/A</v>
      </c>
    </row>
    <row r="199" ht="13.5" customHeight="1">
      <c r="A199" s="63" t="str">
        <f t="shared" si="45"/>
        <v/>
      </c>
      <c r="B199" s="64"/>
      <c r="C199" s="64"/>
      <c r="D199" s="64"/>
      <c r="E199" s="65"/>
      <c r="F199" s="65"/>
      <c r="G199" s="65"/>
      <c r="H199" s="66"/>
      <c r="I199" s="66"/>
      <c r="J199" s="67"/>
      <c r="K199" s="68"/>
      <c r="L199" s="104"/>
      <c r="M199" s="104"/>
      <c r="N199" s="104"/>
      <c r="O199" s="104"/>
      <c r="P199" s="107" t="str">
        <f t="shared" si="1"/>
        <v/>
      </c>
      <c r="Q199" s="108" t="str">
        <f>IFERROR(IF(AND(Preferences!B$3="Manual",OR(AX199/AW199&gt;G199/F199,BD199="Serious",BD199="Very serious")),"Assess imprecision",IFS(ISBLANK(E199),"",AND(Preferences!B$3="Automatic", G199/F199&gt;=30),"Extremely serious",AND(H199&lt;=$D$1*-1,J199&lt;0,G199/F199&lt;3),"Not serious",AND(H199&lt;=$D$1*-1,J199&lt;0,G199/F199&gt;=3),"Very serious",AND(H199&gt;=$D$1,I199&gt;0,G199/F199&lt;3),"Not serious",AND(H199&gt;=$D$1,I199&gt;0,G199/F199&gt;=3),"Very serious",AND(H199&lt;=$D$1*-1,J199&gt;0,I199&gt;$D$2*-1,G199/F199&lt;3),"Serious", AND(H199&lt;=$D$1*-1,J199&gt;0,I199&lt;$D$2*-1,G199/F199&lt;3),"Very serious", AND(H199&gt;=$D$1,I199&lt;0,J199&lt;$D$2,G199/F199&lt;3),"Serious",AND(H199&gt;=$D$1,I199&lt;0,J199&gt;$D$2,G199/F199&lt;3),"Very serious", AND(H199&lt;=$D$1*-1,J199&gt;0,I199&gt;$D$2*-1,G199/F199&gt;=3),"Very serious", AND(H199&lt;=$D$1*-1,J199&gt;0,I199&lt;$D$2*-1,G199/F199&gt;=3),"Very serious", AND(H199&gt;=$D$1,I199&lt;0,J199&lt;$D$2,G199/F199&gt;=3),"Very serious", AND(H199&gt;=$D$1,I199&lt;0,J199&gt;$D$2,G199/F199&gt;=3),"Very serious", AND(H199&gt;$D$1*-1,H199&lt;$D$1,I199&gt;$D$1*-1,J199&lt;$D$1,G199/F199&lt;3),"Not serious", AND(H199&gt;$D$1*-1,H199&lt;$D$1,OR(I199&lt;=$D$1*-1,J199&gt;=$D$1),I199&gt;$D$2*-1,J199&lt;$D$2,G199/F199&lt;3),"Serious", AND(H199&gt;$D$1*-1,H199&lt;$D$1,OR(I199&lt;=$D$2*-1,J199&gt;=$D$2),G199/F199&lt;3),"Very serious", AND(H199&gt;$D$1*-1,H199&lt;$D$1,I199&gt;$D$1*-1,J199&lt;$D$1,G199/F199&gt;=3),"Very serious", AND(H199&gt;$D$1*-1,H199&lt;$D$1,OR(I199&lt;=$D$1*-1,J199&gt;=$D$1),I199&gt;$D$2*-1,J199&lt;$D$2,G199/F199&gt;=3),"Very serious", AND(H199&gt;$D$1*-1,H199&lt;$D$1,OR(I199&lt;=$D$2*-1,J199&gt;=$D$2),G199/F199&gt;=3),"Very serious")),"")</f>
        <v/>
      </c>
      <c r="R199" s="109" t="str">
        <f t="shared" si="47"/>
        <v/>
      </c>
      <c r="S199" s="64"/>
      <c r="T199" s="72"/>
      <c r="U199" s="72"/>
      <c r="V199" s="72"/>
      <c r="W199" s="73"/>
      <c r="X199" s="73"/>
      <c r="Y199" s="74"/>
      <c r="Z199" s="113" t="str">
        <f t="array" ref="Z199">INDEX($A$1:$C$500, MATCH(1,($B:$B=$B199)*($C:$C=$AB199),0),1)</f>
        <v/>
      </c>
      <c r="AA199" s="113" t="str">
        <f t="array" ref="AA199">INDEX($A$1:$C$500, MATCH(1,($B:$B=$AB199)*($C:$C=$B199),0),1)</f>
        <v/>
      </c>
      <c r="AB199" s="111"/>
      <c r="AC199" s="114" t="str">
        <f t="shared" si="2"/>
        <v/>
      </c>
      <c r="AD199" s="115" t="str">
        <f t="shared" si="3"/>
        <v/>
      </c>
      <c r="AE199" s="116" t="str">
        <f t="array" ref="AE199">INDEX($A$1:$C$500, MATCH(1,($B:$B=$AB199)*($C:$C=$AG199),0),1)</f>
        <v/>
      </c>
      <c r="AF199" s="116" t="str">
        <f t="array" ref="AF199">INDEX($A$1:$C$500, MATCH(1,($B:$B=$AG199)*($C:$C=$AB199),0),1)</f>
        <v/>
      </c>
      <c r="AG199" s="72"/>
      <c r="AH199" s="114" t="str">
        <f t="shared" si="4"/>
        <v/>
      </c>
      <c r="AI199" s="115" t="str">
        <f t="shared" si="5"/>
        <v/>
      </c>
      <c r="AJ199" s="116" t="str">
        <f t="array" ref="AJ199">INDEX($A$1:$C$500, MATCH(1,($B:$B=$C199)*($C:$C=$AG199),0),1)</f>
        <v/>
      </c>
      <c r="AK199" s="116" t="str">
        <f t="array" ref="AK199">INDEX($A$1:$C$500, MATCH(1,($B:$B=$AG199)*($C:$C=$C199),0),1)</f>
        <v/>
      </c>
      <c r="AL199" s="116" t="str">
        <f t="array" ref="AL199">INDEX($A$1:$C$500, MATCH(1,($B:$B=$C199)*($C:$C=$AB199),0),1)</f>
        <v/>
      </c>
      <c r="AM199" s="116" t="str">
        <f t="array" ref="AM199">INDEX($A$1:$C$500, MATCH(1,($B:$B=$AB199)*($C:$C=$C199),0),1)</f>
        <v/>
      </c>
      <c r="AN199" s="114" t="str">
        <f t="array" ref="AN199">IFS(ISNUMBER(AJ199),AJ199,ISNUMBER(AK199),AK199,ISNUMBER(AL199),AL199,ISNUMBER(AM199),AM199)</f>
        <v>#N/A</v>
      </c>
      <c r="AO199" s="115" t="str">
        <f t="shared" si="6"/>
        <v/>
      </c>
      <c r="AP199" s="115" t="str">
        <f t="shared" si="7"/>
        <v/>
      </c>
      <c r="AQ199" s="111"/>
      <c r="AR199" s="109" t="str">
        <f t="shared" si="8"/>
        <v/>
      </c>
      <c r="AS199" s="72" t="str">
        <f>IFERROR(IF(AND(Preferences!B$3="Manual",OR(AX199/AW199&gt;V199/U199,BD199="Serious",BD199="Very serious")),"Assess imprecision",IFERROR(IFS(AND(Preferences!B$3="Automatic",V199/U199&gt;=30),"Extremely serious",AND(W199&lt;=$D$1*-1,Y199&lt;0,V199/U199&lt;3),"Not Serious",AND(W199&lt;=$D$1*-1,Y199&lt;0,V199/U199&gt;=3),"Very serious",AND(W199&gt;=$D$1,X199&gt;0,V199/U199&lt;3),"Not Serious",AND(W199&gt;=$D$1,X199&gt;0,V199/U199&gt;=3),"Very serious",AND(W199&lt;=$D$1*-1,Y199&gt;0,X199&gt;$D$2*-1,V199/U199&lt;3),"Serious", AND(W199&lt;=$D$1*-1,Y199&gt;0,X199&lt;$D$2*-1,V199/U199&lt;3),"Very serious", AND(W199&gt;=$D$1,X199&lt;0,Y199&lt;$D$2,V199/U199&lt;3),"Serious",AND(W199&gt;=$D$1,X199&lt;0,Y199&gt;$D$2,V199/U199&lt;3),"Very serious", AND(W199&lt;=$D$1*-1,Y199&gt;0,X199&gt;$D$2*-1,V199/U199&gt;=3),"Very serious", AND(W199&lt;=$D$1*-1,Y199&gt;0,X199&lt;$D$2*-1,V199/U199&gt;=3),"Very serious", AND(W199&gt;=$D$1,X199&lt;0,Y199&lt;$D$2,V199/U199&gt;=3),"Very serious", AND(W199&gt;=$D$1,X199&lt;0,Y199&gt;$D$2,V199/U199&gt;=3),"Very serious", AND(W199&gt;$D$1*-1,W199&lt;$D$1,X199&gt;$D$1*-1,Y199&lt;$D$1,V199/U199&lt;3),"Not Serious", AND(W199&gt;$D$1*-1,W199&lt;$D$1,OR(X199&lt;=$D$1*-1,Y199&gt;=$D$1),X199&gt;$D$2*-1,Y199&lt;$D$2,V199/U199&lt;3),"Serious", AND(W199&gt;$D$1*-1,W199&lt;$D$1,OR(X199&lt;=$D$2*-1,Y199&gt;=$D$2),V199/U199&lt;3),"Very serious", AND(W199&gt;$D$1*-1,W199&lt;$D$1,X199&gt;$D$1*-1,Y199&lt;$D$1,V199/U199&gt;=3),"Very serious", AND(W199&gt;$D$1*-1,W199&lt;$D$1,OR(X199&lt;=$D$1*-1,Y199&gt;=$D$1),X199&gt;$D$2*-1,Y199&lt;$D$2,V199/U199&gt;=3),"Very serious", AND(W199&gt;$D$1*-1,W199&lt;$D$1,OR(X199&lt;=$D$2*-1,Y199&gt;=$D$2),V199/U199&gt;=3),"Very serious"),"")),"")</f>
        <v/>
      </c>
      <c r="AT199" s="109" t="str">
        <f t="shared" si="9"/>
        <v/>
      </c>
      <c r="AU199" s="64"/>
      <c r="AV199" s="83"/>
      <c r="AW199" s="83"/>
      <c r="AX199" s="83"/>
      <c r="AY199" s="83"/>
      <c r="AZ199" s="83"/>
      <c r="BA199" s="85"/>
      <c r="BB199" s="86" t="str">
        <f>IF(Preferences!B$9="Manual","",IFS(ISBLANK(B199),"",AND(ISNUMBER(E199)=TRUE,ISNUMBER(T199)=FALSE),"Direct", AND(ISNUMBER(E199)=FALSE,ISNUMBER(T199)=TRUE),"Indirect", CN199=4,"Direct",AND(CL199=FALSE, CM199=TRUE,CN199-CO199&gt;-1),"Direct", AND(CL199=FALSE,CM199=TRUE, CN199-CO199&lt;0),"Check algorithm in appendix 2", AND(CL199=TRUE, CM199=FALSE,CN199-CO199&gt;0),"Check algorithm in appendix 2", AND(CL199=TRUE, CM199=FALSE,CN199-CO199=0),"Indirect", AND(CL199=TRUE, CM199=FALSE,CN199-CO199&lt;0),"Indirect", AND(CL199=FALSE,CM199=FALSE,CN199-CO199&gt;-1),"Direct", AND(CL199=FALSE,CM199=FALSE,CN199-CO199&lt;0),"Check algorithm in appendix 2", AND(CL199=TRUE,CM199=TRUE,CN199-CO199&gt;-1),"Direct", AND(CL199=TRUE,CM199=TRUE,CN199-CO199&lt;0),"Check algorithm in appendix 2"))</f>
        <v/>
      </c>
      <c r="BC199" s="120" t="str">
        <f t="shared" si="10"/>
        <v/>
      </c>
      <c r="BD199" s="140"/>
      <c r="BE199" s="122" t="str">
        <f>IF(Preferences!B$3="Manual","", IFERROR(IFS(AND(Preferences!B$3="Automatic",AX199/AW199&gt;=30),"Extremely serious",AND(AY199&lt;=$D$1*-1,BA199&lt;0,AX199/AW199&lt;3),"Not Serious",AND(AY199&lt;=$D$1*-1,BA199&lt;0,AX199/AW199&gt;=3),"Very serious",AND(AY199&gt;=$D$1,AZ199&gt;0,AX199/AW199&lt;3),"Not Serious",AND(AY199&gt;=$D$1,AZ199&gt;0,AX199/AW199&gt;=3),"Very serious",AND(AY199&lt;=$D$1*-1,BA199&gt;0,AZ199&gt;$D$2*-1,AX199/AW199&lt;3),"Serious", AND(AY199&lt;=$D$1*-1,BA199&gt;0,AZ199&lt;$D$2*-1,AX199/AW199&lt;3),"Very serious", AND(AY199&gt;=$D$1,AZ199&lt;0,BA199&lt;$D$2,AX199/AW199&lt;3),"Serious",AND(AY199&gt;=$D$1,AZ199&lt;0,BA199&gt;$D$2,AX199/AW199&lt;3),"Very serious", AND(AY199&lt;=$D$1*-1,BA199&gt;0,AZ199&gt;$D$2*-1,AX199/AW199&gt;=3),"Very serious", AND(AY199&lt;=$D$1*-1,BA199&gt;0,AZ199&lt;$D$2*-1,AX199/AW199&gt;=3),"Very serious", AND(AY199&gt;=$D$1,AZ199&lt;0,BA199&lt;$D$2,AX199/AW199&gt;=3),"Very serious", AND(AY199&gt;=$D$1,AZ199&lt;0,BA199&gt;$D$2,AX199/AW199&gt;=3),"Very serious", AND(AY199&gt;$D$1*-1,AY199&lt;$D$1,AZ199&gt;$D$1*-1,BA199&lt;$D$1,AX199/AW199&lt;3),"Not Serious", AND(AY199&gt;$D$1*-1,AY199&lt;$D$1,OR(AZ199&lt;=$D$1*-1,BA199&gt;=$D$1),AZ199&gt;$D$2*-1,BA199&lt;$D$2,AX199/AW199&lt;3),"Serious", AND(AY199&gt;$D$1*-1,AY199&lt;$D$1,OR(AZ199&lt;=$D$2*-1,BA199&gt;=$D$2),AX199/AW199&lt;3),"Very serious", AND(AY199&gt;$D$1*-1,AY199&lt;$D$1,AZ199&gt;$D$1*-1,BA199&lt;$D$1,AX199/AW199&gt;=3),"Very serious", AND(AY199&gt;$D$1*-1,AY199&lt;$D$1,OR(AZ199&lt;=$D$1*-1,BA199&gt;=$D$1),AZ199&gt;$D$2*-1,BA199&lt;$D$2,AX199/AW199&gt;=3),"Very serious", AND(AY199&gt;$D$1*-1,AY199&lt;$D$1,OR(AZ199&lt;=$D$2*-1,BA199&gt;=$D$2),AX199/AW199&gt;=3),"Very serious"),""))</f>
        <v/>
      </c>
      <c r="BF199" s="107" t="str">
        <f t="shared" si="11"/>
        <v/>
      </c>
      <c r="BG199" s="94" t="str">
        <f t="shared" si="46"/>
        <v/>
      </c>
      <c r="BH199" s="64" t="str">
        <f t="shared" si="12"/>
        <v>#N/A</v>
      </c>
      <c r="BI199" s="64" t="str">
        <f t="shared" si="13"/>
        <v/>
      </c>
      <c r="BJ199" s="123" t="str">
        <f t="shared" si="14"/>
        <v>#N/A</v>
      </c>
      <c r="BK199" s="64" t="str">
        <f t="shared" si="50"/>
        <v>YES</v>
      </c>
      <c r="BL199" s="64" t="str">
        <f t="shared" si="16"/>
        <v>YES</v>
      </c>
      <c r="BM199" s="64" t="str">
        <f t="shared" si="17"/>
        <v>YES</v>
      </c>
      <c r="BN199" s="124" t="str">
        <f t="shared" si="18"/>
        <v/>
      </c>
      <c r="BO199" s="91" t="str">
        <f t="shared" si="19"/>
        <v/>
      </c>
      <c r="BP199" s="91" t="str">
        <f t="shared" si="20"/>
        <v>#N/A</v>
      </c>
      <c r="BQ199" s="91" t="str">
        <f t="shared" si="21"/>
        <v/>
      </c>
      <c r="BR199" s="93" t="str">
        <f t="shared" si="22"/>
        <v/>
      </c>
      <c r="BS199" s="90" t="str">
        <f t="shared" si="23"/>
        <v/>
      </c>
      <c r="BT199" s="93" t="str">
        <f t="shared" si="24"/>
        <v>NA</v>
      </c>
      <c r="BU199" s="125" t="str">
        <f t="shared" si="25"/>
        <v>#N/A</v>
      </c>
      <c r="BV199" s="93" t="str">
        <f t="shared" si="26"/>
        <v/>
      </c>
      <c r="BW199" s="93" t="str">
        <f t="shared" si="27"/>
        <v/>
      </c>
      <c r="BX199" s="93" t="str">
        <f t="shared" si="28"/>
        <v>NA</v>
      </c>
      <c r="BY199" s="95" t="str">
        <f t="shared" si="29"/>
        <v>#N/A</v>
      </c>
      <c r="BZ199" s="93" t="str">
        <f t="shared" si="30"/>
        <v/>
      </c>
      <c r="CA199" s="93" t="str">
        <f t="shared" si="31"/>
        <v/>
      </c>
      <c r="CB199" s="93" t="str">
        <f t="shared" si="32"/>
        <v>NA</v>
      </c>
      <c r="CC199" s="96" t="str">
        <f t="shared" si="33"/>
        <v>#N/A</v>
      </c>
      <c r="CD199" s="93" t="str">
        <f t="shared" si="34"/>
        <v/>
      </c>
      <c r="CE199" s="93" t="str">
        <f t="shared" si="35"/>
        <v/>
      </c>
      <c r="CF199" s="93" t="str">
        <f t="shared" si="36"/>
        <v>NA</v>
      </c>
      <c r="CG199" s="97" t="str">
        <f t="shared" si="37"/>
        <v>#N/A</v>
      </c>
      <c r="CH199" s="98" t="str">
        <f t="shared" si="38"/>
        <v>#N/A</v>
      </c>
      <c r="CI199" s="99" t="str">
        <f t="shared" si="39"/>
        <v>#N/A</v>
      </c>
      <c r="CJ199" s="126" t="str">
        <f t="shared" si="40"/>
        <v>ERROR: check cell</v>
      </c>
      <c r="CK199" s="126"/>
      <c r="CL199" s="127" t="str">
        <f t="shared" si="41"/>
        <v>#DIV/0!</v>
      </c>
      <c r="CM199" s="128" t="str">
        <f t="shared" si="42"/>
        <v>#DIV/0!</v>
      </c>
      <c r="CN199" s="128">
        <f t="shared" si="43"/>
        <v>4</v>
      </c>
      <c r="CO199" s="129">
        <f t="shared" si="44"/>
        <v>4</v>
      </c>
      <c r="CP199" s="129" t="str">
        <f>IFS(C199=Preferences!B$13,B199,B199=Preferences!B$13,C199)</f>
        <v>#N/A</v>
      </c>
    </row>
    <row r="200" ht="13.5" customHeight="1">
      <c r="A200" s="63" t="str">
        <f t="shared" si="45"/>
        <v/>
      </c>
      <c r="B200" s="64"/>
      <c r="C200" s="64"/>
      <c r="D200" s="64"/>
      <c r="E200" s="65"/>
      <c r="F200" s="65"/>
      <c r="G200" s="65"/>
      <c r="H200" s="66"/>
      <c r="I200" s="66"/>
      <c r="J200" s="67"/>
      <c r="K200" s="68"/>
      <c r="L200" s="104"/>
      <c r="M200" s="104"/>
      <c r="N200" s="104"/>
      <c r="O200" s="104"/>
      <c r="P200" s="107" t="str">
        <f t="shared" si="1"/>
        <v/>
      </c>
      <c r="Q200" s="108" t="str">
        <f>IFERROR(IF(AND(Preferences!B$3="Manual",OR(AX200/AW200&gt;G200/F200,BD200="Serious",BD200="Very serious")),"Assess imprecision",IFS(ISBLANK(E200),"",AND(Preferences!B$3="Automatic", G200/F200&gt;=30),"Extremely serious",AND(H200&lt;=$D$1*-1,J200&lt;0,G200/F200&lt;3),"Not serious",AND(H200&lt;=$D$1*-1,J200&lt;0,G200/F200&gt;=3),"Very serious",AND(H200&gt;=$D$1,I200&gt;0,G200/F200&lt;3),"Not serious",AND(H200&gt;=$D$1,I200&gt;0,G200/F200&gt;=3),"Very serious",AND(H200&lt;=$D$1*-1,J200&gt;0,I200&gt;$D$2*-1,G200/F200&lt;3),"Serious", AND(H200&lt;=$D$1*-1,J200&gt;0,I200&lt;$D$2*-1,G200/F200&lt;3),"Very serious", AND(H200&gt;=$D$1,I200&lt;0,J200&lt;$D$2,G200/F200&lt;3),"Serious",AND(H200&gt;=$D$1,I200&lt;0,J200&gt;$D$2,G200/F200&lt;3),"Very serious", AND(H200&lt;=$D$1*-1,J200&gt;0,I200&gt;$D$2*-1,G200/F200&gt;=3),"Very serious", AND(H200&lt;=$D$1*-1,J200&gt;0,I200&lt;$D$2*-1,G200/F200&gt;=3),"Very serious", AND(H200&gt;=$D$1,I200&lt;0,J200&lt;$D$2,G200/F200&gt;=3),"Very serious", AND(H200&gt;=$D$1,I200&lt;0,J200&gt;$D$2,G200/F200&gt;=3),"Very serious", AND(H200&gt;$D$1*-1,H200&lt;$D$1,I200&gt;$D$1*-1,J200&lt;$D$1,G200/F200&lt;3),"Not serious", AND(H200&gt;$D$1*-1,H200&lt;$D$1,OR(I200&lt;=$D$1*-1,J200&gt;=$D$1),I200&gt;$D$2*-1,J200&lt;$D$2,G200/F200&lt;3),"Serious", AND(H200&gt;$D$1*-1,H200&lt;$D$1,OR(I200&lt;=$D$2*-1,J200&gt;=$D$2),G200/F200&lt;3),"Very serious", AND(H200&gt;$D$1*-1,H200&lt;$D$1,I200&gt;$D$1*-1,J200&lt;$D$1,G200/F200&gt;=3),"Very serious", AND(H200&gt;$D$1*-1,H200&lt;$D$1,OR(I200&lt;=$D$1*-1,J200&gt;=$D$1),I200&gt;$D$2*-1,J200&lt;$D$2,G200/F200&gt;=3),"Very serious", AND(H200&gt;$D$1*-1,H200&lt;$D$1,OR(I200&lt;=$D$2*-1,J200&gt;=$D$2),G200/F200&gt;=3),"Very serious")),"")</f>
        <v/>
      </c>
      <c r="R200" s="109" t="str">
        <f t="shared" si="47"/>
        <v/>
      </c>
      <c r="S200" s="64"/>
      <c r="T200" s="72"/>
      <c r="U200" s="72"/>
      <c r="V200" s="72"/>
      <c r="W200" s="73"/>
      <c r="X200" s="73"/>
      <c r="Y200" s="74"/>
      <c r="Z200" s="113" t="str">
        <f t="array" ref="Z200">INDEX($A$1:$C$500, MATCH(1,($B:$B=$B200)*($C:$C=$AB200),0),1)</f>
        <v/>
      </c>
      <c r="AA200" s="113" t="str">
        <f t="array" ref="AA200">INDEX($A$1:$C$500, MATCH(1,($B:$B=$AB200)*($C:$C=$B200),0),1)</f>
        <v/>
      </c>
      <c r="AB200" s="111"/>
      <c r="AC200" s="114" t="str">
        <f t="shared" si="2"/>
        <v/>
      </c>
      <c r="AD200" s="115" t="str">
        <f t="shared" si="3"/>
        <v/>
      </c>
      <c r="AE200" s="116" t="str">
        <f t="array" ref="AE200">INDEX($A$1:$C$500, MATCH(1,($B:$B=$AB200)*($C:$C=$AG200),0),1)</f>
        <v/>
      </c>
      <c r="AF200" s="116" t="str">
        <f t="array" ref="AF200">INDEX($A$1:$C$500, MATCH(1,($B:$B=$AG200)*($C:$C=$AB200),0),1)</f>
        <v/>
      </c>
      <c r="AG200" s="72"/>
      <c r="AH200" s="114" t="str">
        <f t="shared" si="4"/>
        <v/>
      </c>
      <c r="AI200" s="115" t="str">
        <f t="shared" si="5"/>
        <v/>
      </c>
      <c r="AJ200" s="116" t="str">
        <f t="array" ref="AJ200">INDEX($A$1:$C$500, MATCH(1,($B:$B=$C200)*($C:$C=$AG200),0),1)</f>
        <v/>
      </c>
      <c r="AK200" s="116" t="str">
        <f t="array" ref="AK200">INDEX($A$1:$C$500, MATCH(1,($B:$B=$AG200)*($C:$C=$C200),0),1)</f>
        <v/>
      </c>
      <c r="AL200" s="116" t="str">
        <f t="array" ref="AL200">INDEX($A$1:$C$500, MATCH(1,($B:$B=$C200)*($C:$C=$AB200),0),1)</f>
        <v/>
      </c>
      <c r="AM200" s="116" t="str">
        <f t="array" ref="AM200">INDEX($A$1:$C$500, MATCH(1,($B:$B=$AB200)*($C:$C=$C200),0),1)</f>
        <v/>
      </c>
      <c r="AN200" s="114" t="str">
        <f t="array" ref="AN200">IFS(ISNUMBER(AJ200),AJ200,ISNUMBER(AK200),AK200,ISNUMBER(AL200),AL200,ISNUMBER(AM200),AM200)</f>
        <v>#N/A</v>
      </c>
      <c r="AO200" s="115" t="str">
        <f t="shared" si="6"/>
        <v/>
      </c>
      <c r="AP200" s="115" t="str">
        <f t="shared" si="7"/>
        <v/>
      </c>
      <c r="AQ200" s="111"/>
      <c r="AR200" s="109" t="str">
        <f t="shared" si="8"/>
        <v/>
      </c>
      <c r="AS200" s="72" t="str">
        <f>IFERROR(IF(AND(Preferences!B$3="Manual",OR(AX200/AW200&gt;V200/U200,BD200="Serious",BD200="Very serious")),"Assess imprecision",IFERROR(IFS(AND(Preferences!B$3="Automatic",V200/U200&gt;=30),"Extremely serious",AND(W200&lt;=$D$1*-1,Y200&lt;0,V200/U200&lt;3),"Not Serious",AND(W200&lt;=$D$1*-1,Y200&lt;0,V200/U200&gt;=3),"Very serious",AND(W200&gt;=$D$1,X200&gt;0,V200/U200&lt;3),"Not Serious",AND(W200&gt;=$D$1,X200&gt;0,V200/U200&gt;=3),"Very serious",AND(W200&lt;=$D$1*-1,Y200&gt;0,X200&gt;$D$2*-1,V200/U200&lt;3),"Serious", AND(W200&lt;=$D$1*-1,Y200&gt;0,X200&lt;$D$2*-1,V200/U200&lt;3),"Very serious", AND(W200&gt;=$D$1,X200&lt;0,Y200&lt;$D$2,V200/U200&lt;3),"Serious",AND(W200&gt;=$D$1,X200&lt;0,Y200&gt;$D$2,V200/U200&lt;3),"Very serious", AND(W200&lt;=$D$1*-1,Y200&gt;0,X200&gt;$D$2*-1,V200/U200&gt;=3),"Very serious", AND(W200&lt;=$D$1*-1,Y200&gt;0,X200&lt;$D$2*-1,V200/U200&gt;=3),"Very serious", AND(W200&gt;=$D$1,X200&lt;0,Y200&lt;$D$2,V200/U200&gt;=3),"Very serious", AND(W200&gt;=$D$1,X200&lt;0,Y200&gt;$D$2,V200/U200&gt;=3),"Very serious", AND(W200&gt;$D$1*-1,W200&lt;$D$1,X200&gt;$D$1*-1,Y200&lt;$D$1,V200/U200&lt;3),"Not Serious", AND(W200&gt;$D$1*-1,W200&lt;$D$1,OR(X200&lt;=$D$1*-1,Y200&gt;=$D$1),X200&gt;$D$2*-1,Y200&lt;$D$2,V200/U200&lt;3),"Serious", AND(W200&gt;$D$1*-1,W200&lt;$D$1,OR(X200&lt;=$D$2*-1,Y200&gt;=$D$2),V200/U200&lt;3),"Very serious", AND(W200&gt;$D$1*-1,W200&lt;$D$1,X200&gt;$D$1*-1,Y200&lt;$D$1,V200/U200&gt;=3),"Very serious", AND(W200&gt;$D$1*-1,W200&lt;$D$1,OR(X200&lt;=$D$1*-1,Y200&gt;=$D$1),X200&gt;$D$2*-1,Y200&lt;$D$2,V200/U200&gt;=3),"Very serious", AND(W200&gt;$D$1*-1,W200&lt;$D$1,OR(X200&lt;=$D$2*-1,Y200&gt;=$D$2),V200/U200&gt;=3),"Very serious"),"")),"")</f>
        <v/>
      </c>
      <c r="AT200" s="109" t="str">
        <f t="shared" si="9"/>
        <v/>
      </c>
      <c r="AU200" s="64"/>
      <c r="AV200" s="83"/>
      <c r="AW200" s="83"/>
      <c r="AX200" s="83"/>
      <c r="AY200" s="83"/>
      <c r="AZ200" s="83"/>
      <c r="BA200" s="85"/>
      <c r="BB200" s="86" t="str">
        <f>IF(Preferences!B$9="Manual","",IFS(ISBLANK(B200),"",AND(ISNUMBER(E200)=TRUE,ISNUMBER(T200)=FALSE),"Direct", AND(ISNUMBER(E200)=FALSE,ISNUMBER(T200)=TRUE),"Indirect", CN200=4,"Direct",AND(CL200=FALSE, CM200=TRUE,CN200-CO200&gt;-1),"Direct", AND(CL200=FALSE,CM200=TRUE, CN200-CO200&lt;0),"Check algorithm in appendix 2", AND(CL200=TRUE, CM200=FALSE,CN200-CO200&gt;0),"Check algorithm in appendix 2", AND(CL200=TRUE, CM200=FALSE,CN200-CO200=0),"Indirect", AND(CL200=TRUE, CM200=FALSE,CN200-CO200&lt;0),"Indirect", AND(CL200=FALSE,CM200=FALSE,CN200-CO200&gt;-1),"Direct", AND(CL200=FALSE,CM200=FALSE,CN200-CO200&lt;0),"Check algorithm in appendix 2", AND(CL200=TRUE,CM200=TRUE,CN200-CO200&gt;-1),"Direct", AND(CL200=TRUE,CM200=TRUE,CN200-CO200&lt;0),"Check algorithm in appendix 2"))</f>
        <v/>
      </c>
      <c r="BC200" s="120" t="str">
        <f t="shared" si="10"/>
        <v/>
      </c>
      <c r="BD200" s="140"/>
      <c r="BE200" s="122" t="str">
        <f>IF(Preferences!B$3="Manual","", IFERROR(IFS(AND(Preferences!B$3="Automatic",AX200/AW200&gt;=30),"Extremely serious",AND(AY200&lt;=$D$1*-1,BA200&lt;0,AX200/AW200&lt;3),"Not Serious",AND(AY200&lt;=$D$1*-1,BA200&lt;0,AX200/AW200&gt;=3),"Very serious",AND(AY200&gt;=$D$1,AZ200&gt;0,AX200/AW200&lt;3),"Not Serious",AND(AY200&gt;=$D$1,AZ200&gt;0,AX200/AW200&gt;=3),"Very serious",AND(AY200&lt;=$D$1*-1,BA200&gt;0,AZ200&gt;$D$2*-1,AX200/AW200&lt;3),"Serious", AND(AY200&lt;=$D$1*-1,BA200&gt;0,AZ200&lt;$D$2*-1,AX200/AW200&lt;3),"Very serious", AND(AY200&gt;=$D$1,AZ200&lt;0,BA200&lt;$D$2,AX200/AW200&lt;3),"Serious",AND(AY200&gt;=$D$1,AZ200&lt;0,BA200&gt;$D$2,AX200/AW200&lt;3),"Very serious", AND(AY200&lt;=$D$1*-1,BA200&gt;0,AZ200&gt;$D$2*-1,AX200/AW200&gt;=3),"Very serious", AND(AY200&lt;=$D$1*-1,BA200&gt;0,AZ200&lt;$D$2*-1,AX200/AW200&gt;=3),"Very serious", AND(AY200&gt;=$D$1,AZ200&lt;0,BA200&lt;$D$2,AX200/AW200&gt;=3),"Very serious", AND(AY200&gt;=$D$1,AZ200&lt;0,BA200&gt;$D$2,AX200/AW200&gt;=3),"Very serious", AND(AY200&gt;$D$1*-1,AY200&lt;$D$1,AZ200&gt;$D$1*-1,BA200&lt;$D$1,AX200/AW200&lt;3),"Not Serious", AND(AY200&gt;$D$1*-1,AY200&lt;$D$1,OR(AZ200&lt;=$D$1*-1,BA200&gt;=$D$1),AZ200&gt;$D$2*-1,BA200&lt;$D$2,AX200/AW200&lt;3),"Serious", AND(AY200&gt;$D$1*-1,AY200&lt;$D$1,OR(AZ200&lt;=$D$2*-1,BA200&gt;=$D$2),AX200/AW200&lt;3),"Very serious", AND(AY200&gt;$D$1*-1,AY200&lt;$D$1,AZ200&gt;$D$1*-1,BA200&lt;$D$1,AX200/AW200&gt;=3),"Very serious", AND(AY200&gt;$D$1*-1,AY200&lt;$D$1,OR(AZ200&lt;=$D$1*-1,BA200&gt;=$D$1),AZ200&gt;$D$2*-1,BA200&lt;$D$2,AX200/AW200&gt;=3),"Very serious", AND(AY200&gt;$D$1*-1,AY200&lt;$D$1,OR(AZ200&lt;=$D$2*-1,BA200&gt;=$D$2),AX200/AW200&gt;=3),"Very serious"),""))</f>
        <v/>
      </c>
      <c r="BF200" s="107" t="str">
        <f t="shared" si="11"/>
        <v/>
      </c>
      <c r="BG200" s="94" t="str">
        <f t="shared" si="46"/>
        <v/>
      </c>
      <c r="BH200" s="64" t="str">
        <f t="shared" si="12"/>
        <v>#N/A</v>
      </c>
      <c r="BI200" s="64" t="str">
        <f t="shared" si="13"/>
        <v/>
      </c>
      <c r="BJ200" s="123" t="str">
        <f t="shared" si="14"/>
        <v>#N/A</v>
      </c>
      <c r="BK200" s="64" t="str">
        <f t="shared" si="50"/>
        <v>YES</v>
      </c>
      <c r="BL200" s="64" t="str">
        <f t="shared" si="16"/>
        <v>YES</v>
      </c>
      <c r="BM200" s="64" t="str">
        <f t="shared" si="17"/>
        <v>YES</v>
      </c>
      <c r="BN200" s="124" t="str">
        <f t="shared" si="18"/>
        <v/>
      </c>
      <c r="BO200" s="91" t="str">
        <f t="shared" si="19"/>
        <v/>
      </c>
      <c r="BP200" s="91" t="str">
        <f t="shared" si="20"/>
        <v>#N/A</v>
      </c>
      <c r="BQ200" s="91" t="str">
        <f t="shared" si="21"/>
        <v/>
      </c>
      <c r="BR200" s="93" t="str">
        <f t="shared" si="22"/>
        <v/>
      </c>
      <c r="BS200" s="90" t="str">
        <f t="shared" si="23"/>
        <v/>
      </c>
      <c r="BT200" s="93" t="str">
        <f t="shared" si="24"/>
        <v>NA</v>
      </c>
      <c r="BU200" s="125" t="str">
        <f t="shared" si="25"/>
        <v>#N/A</v>
      </c>
      <c r="BV200" s="93" t="str">
        <f t="shared" si="26"/>
        <v/>
      </c>
      <c r="BW200" s="93" t="str">
        <f t="shared" si="27"/>
        <v/>
      </c>
      <c r="BX200" s="93" t="str">
        <f t="shared" si="28"/>
        <v>NA</v>
      </c>
      <c r="BY200" s="95" t="str">
        <f t="shared" si="29"/>
        <v>#N/A</v>
      </c>
      <c r="BZ200" s="93" t="str">
        <f t="shared" si="30"/>
        <v/>
      </c>
      <c r="CA200" s="93" t="str">
        <f t="shared" si="31"/>
        <v/>
      </c>
      <c r="CB200" s="93" t="str">
        <f t="shared" si="32"/>
        <v>NA</v>
      </c>
      <c r="CC200" s="96" t="str">
        <f t="shared" si="33"/>
        <v>#N/A</v>
      </c>
      <c r="CD200" s="93" t="str">
        <f t="shared" si="34"/>
        <v/>
      </c>
      <c r="CE200" s="93" t="str">
        <f t="shared" si="35"/>
        <v/>
      </c>
      <c r="CF200" s="93" t="str">
        <f t="shared" si="36"/>
        <v>NA</v>
      </c>
      <c r="CG200" s="97" t="str">
        <f t="shared" si="37"/>
        <v>#N/A</v>
      </c>
      <c r="CH200" s="98" t="str">
        <f t="shared" si="38"/>
        <v>#N/A</v>
      </c>
      <c r="CI200" s="99" t="str">
        <f t="shared" si="39"/>
        <v>#N/A</v>
      </c>
      <c r="CJ200" s="126" t="str">
        <f t="shared" si="40"/>
        <v>ERROR: check cell</v>
      </c>
      <c r="CK200" s="126"/>
      <c r="CL200" s="127" t="str">
        <f t="shared" si="41"/>
        <v>#DIV/0!</v>
      </c>
      <c r="CM200" s="128" t="str">
        <f t="shared" si="42"/>
        <v>#DIV/0!</v>
      </c>
      <c r="CN200" s="128">
        <f t="shared" si="43"/>
        <v>4</v>
      </c>
      <c r="CO200" s="129">
        <f t="shared" si="44"/>
        <v>4</v>
      </c>
      <c r="CP200" s="129" t="str">
        <f>IFS(C200=Preferences!B$13,B200,B200=Preferences!B$13,C200)</f>
        <v>#N/A</v>
      </c>
    </row>
    <row r="201" ht="13.5" customHeight="1">
      <c r="A201" s="63" t="str">
        <f t="shared" si="45"/>
        <v/>
      </c>
      <c r="B201" s="64"/>
      <c r="C201" s="64"/>
      <c r="D201" s="64"/>
      <c r="E201" s="65"/>
      <c r="F201" s="65"/>
      <c r="G201" s="65"/>
      <c r="H201" s="66"/>
      <c r="I201" s="66"/>
      <c r="J201" s="67"/>
      <c r="K201" s="68"/>
      <c r="L201" s="104"/>
      <c r="M201" s="104"/>
      <c r="N201" s="104"/>
      <c r="O201" s="104"/>
      <c r="P201" s="107" t="str">
        <f t="shared" si="1"/>
        <v/>
      </c>
      <c r="Q201" s="108" t="str">
        <f>IFERROR(IF(AND(Preferences!B$3="Manual",OR(AX201/AW201&gt;G201/F201,BD201="Serious",BD201="Very serious")),"Assess imprecision",IFS(ISBLANK(E201),"",AND(Preferences!B$3="Automatic", G201/F201&gt;=30),"Extremely serious",AND(H201&lt;=$D$1*-1,J201&lt;0,G201/F201&lt;3),"Not serious",AND(H201&lt;=$D$1*-1,J201&lt;0,G201/F201&gt;=3),"Very serious",AND(H201&gt;=$D$1,I201&gt;0,G201/F201&lt;3),"Not serious",AND(H201&gt;=$D$1,I201&gt;0,G201/F201&gt;=3),"Very serious",AND(H201&lt;=$D$1*-1,J201&gt;0,I201&gt;$D$2*-1,G201/F201&lt;3),"Serious", AND(H201&lt;=$D$1*-1,J201&gt;0,I201&lt;$D$2*-1,G201/F201&lt;3),"Very serious", AND(H201&gt;=$D$1,I201&lt;0,J201&lt;$D$2,G201/F201&lt;3),"Serious",AND(H201&gt;=$D$1,I201&lt;0,J201&gt;$D$2,G201/F201&lt;3),"Very serious", AND(H201&lt;=$D$1*-1,J201&gt;0,I201&gt;$D$2*-1,G201/F201&gt;=3),"Very serious", AND(H201&lt;=$D$1*-1,J201&gt;0,I201&lt;$D$2*-1,G201/F201&gt;=3),"Very serious", AND(H201&gt;=$D$1,I201&lt;0,J201&lt;$D$2,G201/F201&gt;=3),"Very serious", AND(H201&gt;=$D$1,I201&lt;0,J201&gt;$D$2,G201/F201&gt;=3),"Very serious", AND(H201&gt;$D$1*-1,H201&lt;$D$1,I201&gt;$D$1*-1,J201&lt;$D$1,G201/F201&lt;3),"Not serious", AND(H201&gt;$D$1*-1,H201&lt;$D$1,OR(I201&lt;=$D$1*-1,J201&gt;=$D$1),I201&gt;$D$2*-1,J201&lt;$D$2,G201/F201&lt;3),"Serious", AND(H201&gt;$D$1*-1,H201&lt;$D$1,OR(I201&lt;=$D$2*-1,J201&gt;=$D$2),G201/F201&lt;3),"Very serious", AND(H201&gt;$D$1*-1,H201&lt;$D$1,I201&gt;$D$1*-1,J201&lt;$D$1,G201/F201&gt;=3),"Very serious", AND(H201&gt;$D$1*-1,H201&lt;$D$1,OR(I201&lt;=$D$1*-1,J201&gt;=$D$1),I201&gt;$D$2*-1,J201&lt;$D$2,G201/F201&gt;=3),"Very serious", AND(H201&gt;$D$1*-1,H201&lt;$D$1,OR(I201&lt;=$D$2*-1,J201&gt;=$D$2),G201/F201&gt;=3),"Very serious")),"")</f>
        <v/>
      </c>
      <c r="R201" s="109" t="str">
        <f t="shared" si="47"/>
        <v/>
      </c>
      <c r="S201" s="64"/>
      <c r="T201" s="72"/>
      <c r="U201" s="72"/>
      <c r="V201" s="72"/>
      <c r="W201" s="73"/>
      <c r="X201" s="73"/>
      <c r="Y201" s="74"/>
      <c r="Z201" s="113" t="str">
        <f t="array" ref="Z201">INDEX($A$1:$C$500, MATCH(1,($B:$B=$B201)*($C:$C=$AB201),0),1)</f>
        <v/>
      </c>
      <c r="AA201" s="113" t="str">
        <f t="array" ref="AA201">INDEX($A$1:$C$500, MATCH(1,($B:$B=$AB201)*($C:$C=$B201),0),1)</f>
        <v/>
      </c>
      <c r="AB201" s="111"/>
      <c r="AC201" s="114" t="str">
        <f t="shared" si="2"/>
        <v/>
      </c>
      <c r="AD201" s="115" t="str">
        <f t="shared" si="3"/>
        <v/>
      </c>
      <c r="AE201" s="116" t="str">
        <f t="array" ref="AE201">INDEX($A$1:$C$500, MATCH(1,($B:$B=$AB201)*($C:$C=$AG201),0),1)</f>
        <v/>
      </c>
      <c r="AF201" s="116" t="str">
        <f t="array" ref="AF201">INDEX($A$1:$C$500, MATCH(1,($B:$B=$AG201)*($C:$C=$AB201),0),1)</f>
        <v/>
      </c>
      <c r="AG201" s="72"/>
      <c r="AH201" s="114" t="str">
        <f t="shared" si="4"/>
        <v/>
      </c>
      <c r="AI201" s="115" t="str">
        <f t="shared" si="5"/>
        <v/>
      </c>
      <c r="AJ201" s="116" t="str">
        <f t="array" ref="AJ201">INDEX($A$1:$C$500, MATCH(1,($B:$B=$C201)*($C:$C=$AG201),0),1)</f>
        <v/>
      </c>
      <c r="AK201" s="116" t="str">
        <f t="array" ref="AK201">INDEX($A$1:$C$500, MATCH(1,($B:$B=$AG201)*($C:$C=$C201),0),1)</f>
        <v/>
      </c>
      <c r="AL201" s="116" t="str">
        <f t="array" ref="AL201">INDEX($A$1:$C$500, MATCH(1,($B:$B=$C201)*($C:$C=$AB201),0),1)</f>
        <v/>
      </c>
      <c r="AM201" s="116" t="str">
        <f t="array" ref="AM201">INDEX($A$1:$C$500, MATCH(1,($B:$B=$AB201)*($C:$C=$C201),0),1)</f>
        <v/>
      </c>
      <c r="AN201" s="114" t="str">
        <f t="array" ref="AN201">IFS(ISNUMBER(AJ201),AJ201,ISNUMBER(AK201),AK201,ISNUMBER(AL201),AL201,ISNUMBER(AM201),AM201)</f>
        <v>#N/A</v>
      </c>
      <c r="AO201" s="115" t="str">
        <f t="shared" si="6"/>
        <v/>
      </c>
      <c r="AP201" s="115" t="str">
        <f t="shared" si="7"/>
        <v/>
      </c>
      <c r="AQ201" s="111"/>
      <c r="AR201" s="109" t="str">
        <f t="shared" si="8"/>
        <v/>
      </c>
      <c r="AS201" s="72" t="str">
        <f>IFERROR(IF(AND(Preferences!B$3="Manual",OR(AX201/AW201&gt;V201/U201,BD201="Serious",BD201="Very serious")),"Assess imprecision",IFERROR(IFS(AND(Preferences!B$3="Automatic",V201/U201&gt;=30),"Extremely serious",AND(W201&lt;=$D$1*-1,Y201&lt;0,V201/U201&lt;3),"Not Serious",AND(W201&lt;=$D$1*-1,Y201&lt;0,V201/U201&gt;=3),"Very serious",AND(W201&gt;=$D$1,X201&gt;0,V201/U201&lt;3),"Not Serious",AND(W201&gt;=$D$1,X201&gt;0,V201/U201&gt;=3),"Very serious",AND(W201&lt;=$D$1*-1,Y201&gt;0,X201&gt;$D$2*-1,V201/U201&lt;3),"Serious", AND(W201&lt;=$D$1*-1,Y201&gt;0,X201&lt;$D$2*-1,V201/U201&lt;3),"Very serious", AND(W201&gt;=$D$1,X201&lt;0,Y201&lt;$D$2,V201/U201&lt;3),"Serious",AND(W201&gt;=$D$1,X201&lt;0,Y201&gt;$D$2,V201/U201&lt;3),"Very serious", AND(W201&lt;=$D$1*-1,Y201&gt;0,X201&gt;$D$2*-1,V201/U201&gt;=3),"Very serious", AND(W201&lt;=$D$1*-1,Y201&gt;0,X201&lt;$D$2*-1,V201/U201&gt;=3),"Very serious", AND(W201&gt;=$D$1,X201&lt;0,Y201&lt;$D$2,V201/U201&gt;=3),"Very serious", AND(W201&gt;=$D$1,X201&lt;0,Y201&gt;$D$2,V201/U201&gt;=3),"Very serious", AND(W201&gt;$D$1*-1,W201&lt;$D$1,X201&gt;$D$1*-1,Y201&lt;$D$1,V201/U201&lt;3),"Not Serious", AND(W201&gt;$D$1*-1,W201&lt;$D$1,OR(X201&lt;=$D$1*-1,Y201&gt;=$D$1),X201&gt;$D$2*-1,Y201&lt;$D$2,V201/U201&lt;3),"Serious", AND(W201&gt;$D$1*-1,W201&lt;$D$1,OR(X201&lt;=$D$2*-1,Y201&gt;=$D$2),V201/U201&lt;3),"Very serious", AND(W201&gt;$D$1*-1,W201&lt;$D$1,X201&gt;$D$1*-1,Y201&lt;$D$1,V201/U201&gt;=3),"Very serious", AND(W201&gt;$D$1*-1,W201&lt;$D$1,OR(X201&lt;=$D$1*-1,Y201&gt;=$D$1),X201&gt;$D$2*-1,Y201&lt;$D$2,V201/U201&gt;=3),"Very serious", AND(W201&gt;$D$1*-1,W201&lt;$D$1,OR(X201&lt;=$D$2*-1,Y201&gt;=$D$2),V201/U201&gt;=3),"Very serious"),"")),"")</f>
        <v/>
      </c>
      <c r="AT201" s="109" t="str">
        <f t="shared" si="9"/>
        <v/>
      </c>
      <c r="AU201" s="64"/>
      <c r="AV201" s="83"/>
      <c r="AW201" s="83"/>
      <c r="AX201" s="83"/>
      <c r="AY201" s="83"/>
      <c r="AZ201" s="83"/>
      <c r="BA201" s="85"/>
      <c r="BB201" s="86" t="str">
        <f>IF(Preferences!B$9="Manual","",IFS(ISBLANK(B201),"",AND(ISNUMBER(E201)=TRUE,ISNUMBER(T201)=FALSE),"Direct", AND(ISNUMBER(E201)=FALSE,ISNUMBER(T201)=TRUE),"Indirect", CN201=4,"Direct",AND(CL201=FALSE, CM201=TRUE,CN201-CO201&gt;-1),"Direct", AND(CL201=FALSE,CM201=TRUE, CN201-CO201&lt;0),"Check algorithm in appendix 2", AND(CL201=TRUE, CM201=FALSE,CN201-CO201&gt;0),"Check algorithm in appendix 2", AND(CL201=TRUE, CM201=FALSE,CN201-CO201=0),"Indirect", AND(CL201=TRUE, CM201=FALSE,CN201-CO201&lt;0),"Indirect", AND(CL201=FALSE,CM201=FALSE,CN201-CO201&gt;-1),"Direct", AND(CL201=FALSE,CM201=FALSE,CN201-CO201&lt;0),"Check algorithm in appendix 2", AND(CL201=TRUE,CM201=TRUE,CN201-CO201&gt;-1),"Direct", AND(CL201=TRUE,CM201=TRUE,CN201-CO201&lt;0),"Check algorithm in appendix 2"))</f>
        <v/>
      </c>
      <c r="BC201" s="120" t="str">
        <f t="shared" si="10"/>
        <v/>
      </c>
      <c r="BD201" s="140"/>
      <c r="BE201" s="122" t="str">
        <f>IF(Preferences!B$3="Manual","", IFERROR(IFS(AND(Preferences!B$3="Automatic",AX201/AW201&gt;=30),"Extremely serious",AND(AY201&lt;=$D$1*-1,BA201&lt;0,AX201/AW201&lt;3),"Not Serious",AND(AY201&lt;=$D$1*-1,BA201&lt;0,AX201/AW201&gt;=3),"Very serious",AND(AY201&gt;=$D$1,AZ201&gt;0,AX201/AW201&lt;3),"Not Serious",AND(AY201&gt;=$D$1,AZ201&gt;0,AX201/AW201&gt;=3),"Very serious",AND(AY201&lt;=$D$1*-1,BA201&gt;0,AZ201&gt;$D$2*-1,AX201/AW201&lt;3),"Serious", AND(AY201&lt;=$D$1*-1,BA201&gt;0,AZ201&lt;$D$2*-1,AX201/AW201&lt;3),"Very serious", AND(AY201&gt;=$D$1,AZ201&lt;0,BA201&lt;$D$2,AX201/AW201&lt;3),"Serious",AND(AY201&gt;=$D$1,AZ201&lt;0,BA201&gt;$D$2,AX201/AW201&lt;3),"Very serious", AND(AY201&lt;=$D$1*-1,BA201&gt;0,AZ201&gt;$D$2*-1,AX201/AW201&gt;=3),"Very serious", AND(AY201&lt;=$D$1*-1,BA201&gt;0,AZ201&lt;$D$2*-1,AX201/AW201&gt;=3),"Very serious", AND(AY201&gt;=$D$1,AZ201&lt;0,BA201&lt;$D$2,AX201/AW201&gt;=3),"Very serious", AND(AY201&gt;=$D$1,AZ201&lt;0,BA201&gt;$D$2,AX201/AW201&gt;=3),"Very serious", AND(AY201&gt;$D$1*-1,AY201&lt;$D$1,AZ201&gt;$D$1*-1,BA201&lt;$D$1,AX201/AW201&lt;3),"Not Serious", AND(AY201&gt;$D$1*-1,AY201&lt;$D$1,OR(AZ201&lt;=$D$1*-1,BA201&gt;=$D$1),AZ201&gt;$D$2*-1,BA201&lt;$D$2,AX201/AW201&lt;3),"Serious", AND(AY201&gt;$D$1*-1,AY201&lt;$D$1,OR(AZ201&lt;=$D$2*-1,BA201&gt;=$D$2),AX201/AW201&lt;3),"Very serious", AND(AY201&gt;$D$1*-1,AY201&lt;$D$1,AZ201&gt;$D$1*-1,BA201&lt;$D$1,AX201/AW201&gt;=3),"Very serious", AND(AY201&gt;$D$1*-1,AY201&lt;$D$1,OR(AZ201&lt;=$D$1*-1,BA201&gt;=$D$1),AZ201&gt;$D$2*-1,BA201&lt;$D$2,AX201/AW201&gt;=3),"Very serious", AND(AY201&gt;$D$1*-1,AY201&lt;$D$1,OR(AZ201&lt;=$D$2*-1,BA201&gt;=$D$2),AX201/AW201&gt;=3),"Very serious"),""))</f>
        <v/>
      </c>
      <c r="BF201" s="107" t="str">
        <f t="shared" si="11"/>
        <v/>
      </c>
      <c r="BG201" s="94" t="str">
        <f t="shared" si="46"/>
        <v/>
      </c>
      <c r="BH201" s="64" t="str">
        <f t="shared" si="12"/>
        <v>#N/A</v>
      </c>
      <c r="BI201" s="64" t="str">
        <f t="shared" si="13"/>
        <v/>
      </c>
      <c r="BJ201" s="123" t="str">
        <f t="shared" si="14"/>
        <v>#N/A</v>
      </c>
      <c r="BK201" s="64" t="str">
        <f t="shared" si="50"/>
        <v>YES</v>
      </c>
      <c r="BL201" s="64" t="str">
        <f t="shared" si="16"/>
        <v>YES</v>
      </c>
      <c r="BM201" s="64" t="str">
        <f t="shared" si="17"/>
        <v>YES</v>
      </c>
      <c r="BN201" s="124" t="str">
        <f t="shared" si="18"/>
        <v/>
      </c>
      <c r="BO201" s="91" t="str">
        <f t="shared" si="19"/>
        <v/>
      </c>
      <c r="BP201" s="91" t="str">
        <f t="shared" si="20"/>
        <v>#N/A</v>
      </c>
      <c r="BQ201" s="91" t="str">
        <f t="shared" si="21"/>
        <v/>
      </c>
      <c r="BR201" s="93" t="str">
        <f t="shared" si="22"/>
        <v/>
      </c>
      <c r="BS201" s="90" t="str">
        <f t="shared" si="23"/>
        <v/>
      </c>
      <c r="BT201" s="93" t="str">
        <f t="shared" si="24"/>
        <v>NA</v>
      </c>
      <c r="BU201" s="125" t="str">
        <f t="shared" si="25"/>
        <v>#N/A</v>
      </c>
      <c r="BV201" s="93" t="str">
        <f t="shared" si="26"/>
        <v/>
      </c>
      <c r="BW201" s="93" t="str">
        <f t="shared" si="27"/>
        <v/>
      </c>
      <c r="BX201" s="93" t="str">
        <f t="shared" si="28"/>
        <v>NA</v>
      </c>
      <c r="BY201" s="95" t="str">
        <f t="shared" si="29"/>
        <v>#N/A</v>
      </c>
      <c r="BZ201" s="93" t="str">
        <f t="shared" si="30"/>
        <v/>
      </c>
      <c r="CA201" s="93" t="str">
        <f t="shared" si="31"/>
        <v/>
      </c>
      <c r="CB201" s="93" t="str">
        <f t="shared" si="32"/>
        <v>NA</v>
      </c>
      <c r="CC201" s="96" t="str">
        <f t="shared" si="33"/>
        <v>#N/A</v>
      </c>
      <c r="CD201" s="93" t="str">
        <f t="shared" si="34"/>
        <v/>
      </c>
      <c r="CE201" s="93" t="str">
        <f t="shared" si="35"/>
        <v/>
      </c>
      <c r="CF201" s="93" t="str">
        <f t="shared" si="36"/>
        <v>NA</v>
      </c>
      <c r="CG201" s="97" t="str">
        <f t="shared" si="37"/>
        <v>#N/A</v>
      </c>
      <c r="CH201" s="98" t="str">
        <f t="shared" si="38"/>
        <v>#N/A</v>
      </c>
      <c r="CI201" s="99" t="str">
        <f t="shared" si="39"/>
        <v>#N/A</v>
      </c>
      <c r="CJ201" s="126" t="str">
        <f t="shared" si="40"/>
        <v>ERROR: check cell</v>
      </c>
      <c r="CK201" s="126"/>
      <c r="CL201" s="127" t="str">
        <f t="shared" si="41"/>
        <v>#DIV/0!</v>
      </c>
      <c r="CM201" s="128" t="str">
        <f t="shared" si="42"/>
        <v>#DIV/0!</v>
      </c>
      <c r="CN201" s="128">
        <f t="shared" si="43"/>
        <v>4</v>
      </c>
      <c r="CO201" s="129">
        <f t="shared" si="44"/>
        <v>4</v>
      </c>
      <c r="CP201" s="129" t="str">
        <f>IFS(C201=Preferences!B$13,B201,B201=Preferences!B$13,C201)</f>
        <v>#N/A</v>
      </c>
    </row>
    <row r="202" ht="13.5" customHeight="1">
      <c r="A202" s="63" t="str">
        <f t="shared" si="45"/>
        <v/>
      </c>
      <c r="B202" s="64"/>
      <c r="C202" s="64"/>
      <c r="D202" s="64"/>
      <c r="E202" s="65"/>
      <c r="F202" s="65"/>
      <c r="G202" s="65"/>
      <c r="H202" s="66"/>
      <c r="I202" s="66"/>
      <c r="J202" s="67"/>
      <c r="K202" s="68"/>
      <c r="L202" s="104"/>
      <c r="M202" s="104"/>
      <c r="N202" s="104"/>
      <c r="O202" s="104"/>
      <c r="P202" s="107" t="str">
        <f t="shared" si="1"/>
        <v/>
      </c>
      <c r="Q202" s="108" t="str">
        <f>IFERROR(IF(AND(Preferences!B$3="Manual",OR(AX202/AW202&gt;G202/F202,BD202="Serious",BD202="Very serious")),"Assess imprecision",IFS(ISBLANK(E202),"",AND(Preferences!B$3="Automatic", G202/F202&gt;=30),"Extremely serious",AND(H202&lt;=$D$1*-1,J202&lt;0,G202/F202&lt;3),"Not serious",AND(H202&lt;=$D$1*-1,J202&lt;0,G202/F202&gt;=3),"Very serious",AND(H202&gt;=$D$1,I202&gt;0,G202/F202&lt;3),"Not serious",AND(H202&gt;=$D$1,I202&gt;0,G202/F202&gt;=3),"Very serious",AND(H202&lt;=$D$1*-1,J202&gt;0,I202&gt;$D$2*-1,G202/F202&lt;3),"Serious", AND(H202&lt;=$D$1*-1,J202&gt;0,I202&lt;$D$2*-1,G202/F202&lt;3),"Very serious", AND(H202&gt;=$D$1,I202&lt;0,J202&lt;$D$2,G202/F202&lt;3),"Serious",AND(H202&gt;=$D$1,I202&lt;0,J202&gt;$D$2,G202/F202&lt;3),"Very serious", AND(H202&lt;=$D$1*-1,J202&gt;0,I202&gt;$D$2*-1,G202/F202&gt;=3),"Very serious", AND(H202&lt;=$D$1*-1,J202&gt;0,I202&lt;$D$2*-1,G202/F202&gt;=3),"Very serious", AND(H202&gt;=$D$1,I202&lt;0,J202&lt;$D$2,G202/F202&gt;=3),"Very serious", AND(H202&gt;=$D$1,I202&lt;0,J202&gt;$D$2,G202/F202&gt;=3),"Very serious", AND(H202&gt;$D$1*-1,H202&lt;$D$1,I202&gt;$D$1*-1,J202&lt;$D$1,G202/F202&lt;3),"Not serious", AND(H202&gt;$D$1*-1,H202&lt;$D$1,OR(I202&lt;=$D$1*-1,J202&gt;=$D$1),I202&gt;$D$2*-1,J202&lt;$D$2,G202/F202&lt;3),"Serious", AND(H202&gt;$D$1*-1,H202&lt;$D$1,OR(I202&lt;=$D$2*-1,J202&gt;=$D$2),G202/F202&lt;3),"Very serious", AND(H202&gt;$D$1*-1,H202&lt;$D$1,I202&gt;$D$1*-1,J202&lt;$D$1,G202/F202&gt;=3),"Very serious", AND(H202&gt;$D$1*-1,H202&lt;$D$1,OR(I202&lt;=$D$1*-1,J202&gt;=$D$1),I202&gt;$D$2*-1,J202&lt;$D$2,G202/F202&gt;=3),"Very serious", AND(H202&gt;$D$1*-1,H202&lt;$D$1,OR(I202&lt;=$D$2*-1,J202&gt;=$D$2),G202/F202&gt;=3),"Very serious")),"")</f>
        <v/>
      </c>
      <c r="R202" s="109" t="str">
        <f t="shared" si="47"/>
        <v/>
      </c>
      <c r="S202" s="64"/>
      <c r="T202" s="72"/>
      <c r="U202" s="72"/>
      <c r="V202" s="72"/>
      <c r="W202" s="73"/>
      <c r="X202" s="73"/>
      <c r="Y202" s="74"/>
      <c r="Z202" s="113" t="str">
        <f t="array" ref="Z202">INDEX($A$1:$C$500, MATCH(1,($B:$B=$B202)*($C:$C=$AB202),0),1)</f>
        <v/>
      </c>
      <c r="AA202" s="113" t="str">
        <f t="array" ref="AA202">INDEX($A$1:$C$500, MATCH(1,($B:$B=$AB202)*($C:$C=$B202),0),1)</f>
        <v/>
      </c>
      <c r="AB202" s="111"/>
      <c r="AC202" s="114" t="str">
        <f t="shared" si="2"/>
        <v/>
      </c>
      <c r="AD202" s="115" t="str">
        <f t="shared" si="3"/>
        <v/>
      </c>
      <c r="AE202" s="116" t="str">
        <f t="array" ref="AE202">INDEX($A$1:$C$500, MATCH(1,($B:$B=$AB202)*($C:$C=$AG202),0),1)</f>
        <v/>
      </c>
      <c r="AF202" s="116" t="str">
        <f t="array" ref="AF202">INDEX($A$1:$C$500, MATCH(1,($B:$B=$AG202)*($C:$C=$AB202),0),1)</f>
        <v/>
      </c>
      <c r="AG202" s="72"/>
      <c r="AH202" s="114" t="str">
        <f t="shared" si="4"/>
        <v/>
      </c>
      <c r="AI202" s="115" t="str">
        <f t="shared" si="5"/>
        <v/>
      </c>
      <c r="AJ202" s="116" t="str">
        <f t="array" ref="AJ202">INDEX($A$1:$C$500, MATCH(1,($B:$B=$C202)*($C:$C=$AG202),0),1)</f>
        <v/>
      </c>
      <c r="AK202" s="116" t="str">
        <f t="array" ref="AK202">INDEX($A$1:$C$500, MATCH(1,($B:$B=$AG202)*($C:$C=$C202),0),1)</f>
        <v/>
      </c>
      <c r="AL202" s="116" t="str">
        <f t="array" ref="AL202">INDEX($A$1:$C$500, MATCH(1,($B:$B=$C202)*($C:$C=$AB202),0),1)</f>
        <v/>
      </c>
      <c r="AM202" s="116" t="str">
        <f t="array" ref="AM202">INDEX($A$1:$C$500, MATCH(1,($B:$B=$AB202)*($C:$C=$C202),0),1)</f>
        <v/>
      </c>
      <c r="AN202" s="114" t="str">
        <f t="array" ref="AN202">IFS(ISNUMBER(AJ202),AJ202,ISNUMBER(AK202),AK202,ISNUMBER(AL202),AL202,ISNUMBER(AM202),AM202)</f>
        <v>#N/A</v>
      </c>
      <c r="AO202" s="115" t="str">
        <f t="shared" si="6"/>
        <v/>
      </c>
      <c r="AP202" s="115" t="str">
        <f t="shared" si="7"/>
        <v/>
      </c>
      <c r="AQ202" s="111"/>
      <c r="AR202" s="109" t="str">
        <f t="shared" si="8"/>
        <v/>
      </c>
      <c r="AS202" s="72" t="str">
        <f>IFERROR(IF(AND(Preferences!B$3="Manual",OR(AX202/AW202&gt;V202/U202,BD202="Serious",BD202="Very serious")),"Assess imprecision",IFERROR(IFS(AND(Preferences!B$3="Automatic",V202/U202&gt;=30),"Extremely serious",AND(W202&lt;=$D$1*-1,Y202&lt;0,V202/U202&lt;3),"Not Serious",AND(W202&lt;=$D$1*-1,Y202&lt;0,V202/U202&gt;=3),"Very serious",AND(W202&gt;=$D$1,X202&gt;0,V202/U202&lt;3),"Not Serious",AND(W202&gt;=$D$1,X202&gt;0,V202/U202&gt;=3),"Very serious",AND(W202&lt;=$D$1*-1,Y202&gt;0,X202&gt;$D$2*-1,V202/U202&lt;3),"Serious", AND(W202&lt;=$D$1*-1,Y202&gt;0,X202&lt;$D$2*-1,V202/U202&lt;3),"Very serious", AND(W202&gt;=$D$1,X202&lt;0,Y202&lt;$D$2,V202/U202&lt;3),"Serious",AND(W202&gt;=$D$1,X202&lt;0,Y202&gt;$D$2,V202/U202&lt;3),"Very serious", AND(W202&lt;=$D$1*-1,Y202&gt;0,X202&gt;$D$2*-1,V202/U202&gt;=3),"Very serious", AND(W202&lt;=$D$1*-1,Y202&gt;0,X202&lt;$D$2*-1,V202/U202&gt;=3),"Very serious", AND(W202&gt;=$D$1,X202&lt;0,Y202&lt;$D$2,V202/U202&gt;=3),"Very serious", AND(W202&gt;=$D$1,X202&lt;0,Y202&gt;$D$2,V202/U202&gt;=3),"Very serious", AND(W202&gt;$D$1*-1,W202&lt;$D$1,X202&gt;$D$1*-1,Y202&lt;$D$1,V202/U202&lt;3),"Not Serious", AND(W202&gt;$D$1*-1,W202&lt;$D$1,OR(X202&lt;=$D$1*-1,Y202&gt;=$D$1),X202&gt;$D$2*-1,Y202&lt;$D$2,V202/U202&lt;3),"Serious", AND(W202&gt;$D$1*-1,W202&lt;$D$1,OR(X202&lt;=$D$2*-1,Y202&gt;=$D$2),V202/U202&lt;3),"Very serious", AND(W202&gt;$D$1*-1,W202&lt;$D$1,X202&gt;$D$1*-1,Y202&lt;$D$1,V202/U202&gt;=3),"Very serious", AND(W202&gt;$D$1*-1,W202&lt;$D$1,OR(X202&lt;=$D$1*-1,Y202&gt;=$D$1),X202&gt;$D$2*-1,Y202&lt;$D$2,V202/U202&gt;=3),"Very serious", AND(W202&gt;$D$1*-1,W202&lt;$D$1,OR(X202&lt;=$D$2*-1,Y202&gt;=$D$2),V202/U202&gt;=3),"Very serious"),"")),"")</f>
        <v/>
      </c>
      <c r="AT202" s="109" t="str">
        <f t="shared" si="9"/>
        <v/>
      </c>
      <c r="AU202" s="64"/>
      <c r="AV202" s="83"/>
      <c r="AW202" s="83"/>
      <c r="AX202" s="83"/>
      <c r="AY202" s="83"/>
      <c r="AZ202" s="83"/>
      <c r="BA202" s="85"/>
      <c r="BB202" s="86" t="str">
        <f>IF(Preferences!B$9="Manual","",IFS(ISBLANK(B202),"",AND(ISNUMBER(E202)=TRUE,ISNUMBER(T202)=FALSE),"Direct", AND(ISNUMBER(E202)=FALSE,ISNUMBER(T202)=TRUE),"Indirect", CN202=4,"Direct",AND(CL202=FALSE, CM202=TRUE,CN202-CO202&gt;-1),"Direct", AND(CL202=FALSE,CM202=TRUE, CN202-CO202&lt;0),"Check algorithm in appendix 2", AND(CL202=TRUE, CM202=FALSE,CN202-CO202&gt;0),"Check algorithm in appendix 2", AND(CL202=TRUE, CM202=FALSE,CN202-CO202=0),"Indirect", AND(CL202=TRUE, CM202=FALSE,CN202-CO202&lt;0),"Indirect", AND(CL202=FALSE,CM202=FALSE,CN202-CO202&gt;-1),"Direct", AND(CL202=FALSE,CM202=FALSE,CN202-CO202&lt;0),"Check algorithm in appendix 2", AND(CL202=TRUE,CM202=TRUE,CN202-CO202&gt;-1),"Direct", AND(CL202=TRUE,CM202=TRUE,CN202-CO202&lt;0),"Check algorithm in appendix 2"))</f>
        <v/>
      </c>
      <c r="BC202" s="120" t="str">
        <f t="shared" si="10"/>
        <v/>
      </c>
      <c r="BD202" s="140"/>
      <c r="BE202" s="122" t="str">
        <f>IF(Preferences!B$3="Manual","", IFERROR(IFS(AND(Preferences!B$3="Automatic",AX202/AW202&gt;=30),"Extremely serious",AND(AY202&lt;=$D$1*-1,BA202&lt;0,AX202/AW202&lt;3),"Not Serious",AND(AY202&lt;=$D$1*-1,BA202&lt;0,AX202/AW202&gt;=3),"Very serious",AND(AY202&gt;=$D$1,AZ202&gt;0,AX202/AW202&lt;3),"Not Serious",AND(AY202&gt;=$D$1,AZ202&gt;0,AX202/AW202&gt;=3),"Very serious",AND(AY202&lt;=$D$1*-1,BA202&gt;0,AZ202&gt;$D$2*-1,AX202/AW202&lt;3),"Serious", AND(AY202&lt;=$D$1*-1,BA202&gt;0,AZ202&lt;$D$2*-1,AX202/AW202&lt;3),"Very serious", AND(AY202&gt;=$D$1,AZ202&lt;0,BA202&lt;$D$2,AX202/AW202&lt;3),"Serious",AND(AY202&gt;=$D$1,AZ202&lt;0,BA202&gt;$D$2,AX202/AW202&lt;3),"Very serious", AND(AY202&lt;=$D$1*-1,BA202&gt;0,AZ202&gt;$D$2*-1,AX202/AW202&gt;=3),"Very serious", AND(AY202&lt;=$D$1*-1,BA202&gt;0,AZ202&lt;$D$2*-1,AX202/AW202&gt;=3),"Very serious", AND(AY202&gt;=$D$1,AZ202&lt;0,BA202&lt;$D$2,AX202/AW202&gt;=3),"Very serious", AND(AY202&gt;=$D$1,AZ202&lt;0,BA202&gt;$D$2,AX202/AW202&gt;=3),"Very serious", AND(AY202&gt;$D$1*-1,AY202&lt;$D$1,AZ202&gt;$D$1*-1,BA202&lt;$D$1,AX202/AW202&lt;3),"Not Serious", AND(AY202&gt;$D$1*-1,AY202&lt;$D$1,OR(AZ202&lt;=$D$1*-1,BA202&gt;=$D$1),AZ202&gt;$D$2*-1,BA202&lt;$D$2,AX202/AW202&lt;3),"Serious", AND(AY202&gt;$D$1*-1,AY202&lt;$D$1,OR(AZ202&lt;=$D$2*-1,BA202&gt;=$D$2),AX202/AW202&lt;3),"Very serious", AND(AY202&gt;$D$1*-1,AY202&lt;$D$1,AZ202&gt;$D$1*-1,BA202&lt;$D$1,AX202/AW202&gt;=3),"Very serious", AND(AY202&gt;$D$1*-1,AY202&lt;$D$1,OR(AZ202&lt;=$D$1*-1,BA202&gt;=$D$1),AZ202&gt;$D$2*-1,BA202&lt;$D$2,AX202/AW202&gt;=3),"Very serious", AND(AY202&gt;$D$1*-1,AY202&lt;$D$1,OR(AZ202&lt;=$D$2*-1,BA202&gt;=$D$2),AX202/AW202&gt;=3),"Very serious"),""))</f>
        <v/>
      </c>
      <c r="BF202" s="107" t="str">
        <f t="shared" si="11"/>
        <v/>
      </c>
      <c r="BG202" s="94" t="str">
        <f t="shared" si="46"/>
        <v/>
      </c>
      <c r="BH202" s="64" t="str">
        <f t="shared" si="12"/>
        <v>#N/A</v>
      </c>
      <c r="BI202" s="64" t="str">
        <f t="shared" si="13"/>
        <v/>
      </c>
      <c r="BJ202" s="123" t="str">
        <f t="shared" si="14"/>
        <v>#N/A</v>
      </c>
      <c r="BK202" s="64" t="str">
        <f t="shared" si="50"/>
        <v>YES</v>
      </c>
      <c r="BL202" s="64" t="str">
        <f t="shared" si="16"/>
        <v>YES</v>
      </c>
      <c r="BM202" s="64" t="str">
        <f t="shared" si="17"/>
        <v>YES</v>
      </c>
      <c r="BN202" s="124" t="str">
        <f t="shared" si="18"/>
        <v/>
      </c>
      <c r="BO202" s="91" t="str">
        <f t="shared" si="19"/>
        <v/>
      </c>
      <c r="BP202" s="91" t="str">
        <f t="shared" si="20"/>
        <v>#N/A</v>
      </c>
      <c r="BQ202" s="91" t="str">
        <f t="shared" si="21"/>
        <v/>
      </c>
      <c r="BR202" s="93" t="str">
        <f t="shared" si="22"/>
        <v/>
      </c>
      <c r="BS202" s="90" t="str">
        <f t="shared" si="23"/>
        <v/>
      </c>
      <c r="BT202" s="93" t="str">
        <f t="shared" si="24"/>
        <v>NA</v>
      </c>
      <c r="BU202" s="125" t="str">
        <f t="shared" si="25"/>
        <v>#N/A</v>
      </c>
      <c r="BV202" s="93" t="str">
        <f t="shared" si="26"/>
        <v/>
      </c>
      <c r="BW202" s="93" t="str">
        <f t="shared" si="27"/>
        <v/>
      </c>
      <c r="BX202" s="93" t="str">
        <f t="shared" si="28"/>
        <v>NA</v>
      </c>
      <c r="BY202" s="95" t="str">
        <f t="shared" si="29"/>
        <v>#N/A</v>
      </c>
      <c r="BZ202" s="93" t="str">
        <f t="shared" si="30"/>
        <v/>
      </c>
      <c r="CA202" s="93" t="str">
        <f t="shared" si="31"/>
        <v/>
      </c>
      <c r="CB202" s="93" t="str">
        <f t="shared" si="32"/>
        <v>NA</v>
      </c>
      <c r="CC202" s="96" t="str">
        <f t="shared" si="33"/>
        <v>#N/A</v>
      </c>
      <c r="CD202" s="93" t="str">
        <f t="shared" si="34"/>
        <v/>
      </c>
      <c r="CE202" s="93" t="str">
        <f t="shared" si="35"/>
        <v/>
      </c>
      <c r="CF202" s="93" t="str">
        <f t="shared" si="36"/>
        <v>NA</v>
      </c>
      <c r="CG202" s="97" t="str">
        <f t="shared" si="37"/>
        <v>#N/A</v>
      </c>
      <c r="CH202" s="98" t="str">
        <f t="shared" si="38"/>
        <v>#N/A</v>
      </c>
      <c r="CI202" s="99" t="str">
        <f t="shared" si="39"/>
        <v>#N/A</v>
      </c>
      <c r="CJ202" s="126" t="str">
        <f t="shared" si="40"/>
        <v>ERROR: check cell</v>
      </c>
      <c r="CK202" s="126" t="str">
        <f>if(AND(T202&lt;1=TRUE,E202&lt;1=TRUE)=TRUE,if(OR(AND(V202&gt;G202=TRUE,G202&gt;U202=TRUE),AND(G202&gt;V202=TRUE,V202&gt;F202=TRUE)=TRUE)=TRUE,"No serious incoherence","Quantitative incoherence (same direction of effect)"),if(AND(T202&gt;1=TRUE,E202&gt;1=TRUE)=TRUE,if(OR(AND(V202&gt;G202=TRUE,G202&gt;U202=TRUE),AND(G202&gt;V202=TRUE,V202&gt;F202=TRUE)=TRUE)=TRUE,"No serious incoherence","Quantitative incoherence (same direction of effect)"),if(OR(AND(T202&lt;1=TRUE,E202&gt;1=TRUE)=TRUE,AND(T202&gt;1=TRUE,E202&lt;1=TRUE)=TRUE)=TRUE,if(OR(AND(V202&gt;G202=TRUE,G202&gt;U202=TRUE),AND(G202&gt;V202=TRUE,V202&gt;F202=TRUE)=TRUE)=TRUE,"No serious incoherence","Qualitative incoherence (different direction of effect)"))))</f>
        <v>Quantitative incoherence (same direction of effect)</v>
      </c>
      <c r="CL202" s="127" t="str">
        <f t="shared" si="41"/>
        <v>#DIV/0!</v>
      </c>
      <c r="CM202" s="128" t="str">
        <f t="shared" si="42"/>
        <v>#DIV/0!</v>
      </c>
      <c r="CN202" s="128">
        <f t="shared" si="43"/>
        <v>4</v>
      </c>
      <c r="CO202" s="129">
        <f t="shared" si="44"/>
        <v>4</v>
      </c>
      <c r="CP202" s="129" t="str">
        <f>IFS(C202=Preferences!B$13,B202,B202=Preferences!B$13,C202)</f>
        <v>#N/A</v>
      </c>
    </row>
    <row r="203" ht="13.5" customHeight="1">
      <c r="A203" s="63" t="str">
        <f t="shared" si="45"/>
        <v/>
      </c>
      <c r="B203" s="64"/>
      <c r="C203" s="64"/>
      <c r="D203" s="64"/>
      <c r="E203" s="65"/>
      <c r="F203" s="65"/>
      <c r="G203" s="65"/>
      <c r="H203" s="66"/>
      <c r="I203" s="66"/>
      <c r="J203" s="67"/>
      <c r="K203" s="68"/>
      <c r="L203" s="104"/>
      <c r="M203" s="104"/>
      <c r="N203" s="104"/>
      <c r="O203" s="104"/>
      <c r="P203" s="107" t="str">
        <f t="shared" si="1"/>
        <v/>
      </c>
      <c r="Q203" s="108" t="str">
        <f>IFERROR(IF(AND(Preferences!B$3="Manual",OR(AX203/AW203&gt;G203/F203,BD203="Serious",BD203="Very serious")),"Assess imprecision",IFS(ISBLANK(E203),"",AND(Preferences!B$3="Automatic", G203/F203&gt;=30),"Extremely serious",AND(H203&lt;=$D$1*-1,J203&lt;0,G203/F203&lt;3),"Not serious",AND(H203&lt;=$D$1*-1,J203&lt;0,G203/F203&gt;=3),"Very serious",AND(H203&gt;=$D$1,I203&gt;0,G203/F203&lt;3),"Not serious",AND(H203&gt;=$D$1,I203&gt;0,G203/F203&gt;=3),"Very serious",AND(H203&lt;=$D$1*-1,J203&gt;0,I203&gt;$D$2*-1,G203/F203&lt;3),"Serious", AND(H203&lt;=$D$1*-1,J203&gt;0,I203&lt;$D$2*-1,G203/F203&lt;3),"Very serious", AND(H203&gt;=$D$1,I203&lt;0,J203&lt;$D$2,G203/F203&lt;3),"Serious",AND(H203&gt;=$D$1,I203&lt;0,J203&gt;$D$2,G203/F203&lt;3),"Very serious", AND(H203&lt;=$D$1*-1,J203&gt;0,I203&gt;$D$2*-1,G203/F203&gt;=3),"Very serious", AND(H203&lt;=$D$1*-1,J203&gt;0,I203&lt;$D$2*-1,G203/F203&gt;=3),"Very serious", AND(H203&gt;=$D$1,I203&lt;0,J203&lt;$D$2,G203/F203&gt;=3),"Very serious", AND(H203&gt;=$D$1,I203&lt;0,J203&gt;$D$2,G203/F203&gt;=3),"Very serious", AND(H203&gt;$D$1*-1,H203&lt;$D$1,I203&gt;$D$1*-1,J203&lt;$D$1,G203/F203&lt;3),"Not serious", AND(H203&gt;$D$1*-1,H203&lt;$D$1,OR(I203&lt;=$D$1*-1,J203&gt;=$D$1),I203&gt;$D$2*-1,J203&lt;$D$2,G203/F203&lt;3),"Serious", AND(H203&gt;$D$1*-1,H203&lt;$D$1,OR(I203&lt;=$D$2*-1,J203&gt;=$D$2),G203/F203&lt;3),"Very serious", AND(H203&gt;$D$1*-1,H203&lt;$D$1,I203&gt;$D$1*-1,J203&lt;$D$1,G203/F203&gt;=3),"Very serious", AND(H203&gt;$D$1*-1,H203&lt;$D$1,OR(I203&lt;=$D$1*-1,J203&gt;=$D$1),I203&gt;$D$2*-1,J203&lt;$D$2,G203/F203&gt;=3),"Very serious", AND(H203&gt;$D$1*-1,H203&lt;$D$1,OR(I203&lt;=$D$2*-1,J203&gt;=$D$2),G203/F203&gt;=3),"Very serious")),"")</f>
        <v/>
      </c>
      <c r="R203" s="109" t="str">
        <f t="shared" si="47"/>
        <v/>
      </c>
      <c r="S203" s="64"/>
      <c r="T203" s="72"/>
      <c r="U203" s="72"/>
      <c r="V203" s="72"/>
      <c r="W203" s="73"/>
      <c r="X203" s="73"/>
      <c r="Y203" s="74"/>
      <c r="Z203" s="113" t="str">
        <f t="array" ref="Z203">INDEX($A$1:$C$500, MATCH(1,($B:$B=$B203)*($C:$C=$AB203),0),1)</f>
        <v/>
      </c>
      <c r="AA203" s="113" t="str">
        <f t="array" ref="AA203">INDEX($A$1:$C$500, MATCH(1,($B:$B=$AB203)*($C:$C=$B203),0),1)</f>
        <v/>
      </c>
      <c r="AB203" s="111"/>
      <c r="AC203" s="114" t="str">
        <f t="shared" si="2"/>
        <v/>
      </c>
      <c r="AD203" s="115" t="str">
        <f t="shared" si="3"/>
        <v/>
      </c>
      <c r="AE203" s="116" t="str">
        <f t="array" ref="AE203">INDEX($A$1:$C$500, MATCH(1,($B:$B=$AB203)*($C:$C=$AG203),0),1)</f>
        <v/>
      </c>
      <c r="AF203" s="116" t="str">
        <f t="array" ref="AF203">INDEX($A$1:$C$500, MATCH(1,($B:$B=$AG203)*($C:$C=$AB203),0),1)</f>
        <v/>
      </c>
      <c r="AG203" s="72"/>
      <c r="AH203" s="114" t="str">
        <f t="shared" si="4"/>
        <v/>
      </c>
      <c r="AI203" s="115" t="str">
        <f t="shared" si="5"/>
        <v/>
      </c>
      <c r="AJ203" s="116" t="str">
        <f t="array" ref="AJ203">INDEX($A$1:$C$500, MATCH(1,($B:$B=$C203)*($C:$C=$AG203),0),1)</f>
        <v/>
      </c>
      <c r="AK203" s="116" t="str">
        <f t="array" ref="AK203">INDEX($A$1:$C$500, MATCH(1,($B:$B=$AG203)*($C:$C=$C203),0),1)</f>
        <v/>
      </c>
      <c r="AL203" s="116" t="str">
        <f t="array" ref="AL203">INDEX($A$1:$C$500, MATCH(1,($B:$B=$C203)*($C:$C=$AB203),0),1)</f>
        <v/>
      </c>
      <c r="AM203" s="116" t="str">
        <f t="array" ref="AM203">INDEX($A$1:$C$500, MATCH(1,($B:$B=$AB203)*($C:$C=$C203),0),1)</f>
        <v/>
      </c>
      <c r="AN203" s="114" t="str">
        <f t="array" ref="AN203">IFS(ISNUMBER(AJ203),AJ203,ISNUMBER(AK203),AK203,ISNUMBER(AL203),AL203,ISNUMBER(AM203),AM203)</f>
        <v>#N/A</v>
      </c>
      <c r="AO203" s="115" t="str">
        <f t="shared" si="6"/>
        <v/>
      </c>
      <c r="AP203" s="115" t="str">
        <f t="shared" si="7"/>
        <v/>
      </c>
      <c r="AQ203" s="111"/>
      <c r="AR203" s="109" t="str">
        <f t="shared" si="8"/>
        <v/>
      </c>
      <c r="AS203" s="72" t="str">
        <f>IFERROR(IF(AND(Preferences!B$3="Manual",OR(AX203/AW203&gt;V203/U203,BD203="Serious",BD203="Very serious")),"Assess imprecision",IFERROR(IFS(AND(Preferences!B$3="Automatic",V203/U203&gt;=30),"Extremely serious",AND(W203&lt;=$D$1*-1,Y203&lt;0,V203/U203&lt;3),"Not Serious",AND(W203&lt;=$D$1*-1,Y203&lt;0,V203/U203&gt;=3),"Very serious",AND(W203&gt;=$D$1,X203&gt;0,V203/U203&lt;3),"Not Serious",AND(W203&gt;=$D$1,X203&gt;0,V203/U203&gt;=3),"Very serious",AND(W203&lt;=$D$1*-1,Y203&gt;0,X203&gt;$D$2*-1,V203/U203&lt;3),"Serious", AND(W203&lt;=$D$1*-1,Y203&gt;0,X203&lt;$D$2*-1,V203/U203&lt;3),"Very serious", AND(W203&gt;=$D$1,X203&lt;0,Y203&lt;$D$2,V203/U203&lt;3),"Serious",AND(W203&gt;=$D$1,X203&lt;0,Y203&gt;$D$2,V203/U203&lt;3),"Very serious", AND(W203&lt;=$D$1*-1,Y203&gt;0,X203&gt;$D$2*-1,V203/U203&gt;=3),"Very serious", AND(W203&lt;=$D$1*-1,Y203&gt;0,X203&lt;$D$2*-1,V203/U203&gt;=3),"Very serious", AND(W203&gt;=$D$1,X203&lt;0,Y203&lt;$D$2,V203/U203&gt;=3),"Very serious", AND(W203&gt;=$D$1,X203&lt;0,Y203&gt;$D$2,V203/U203&gt;=3),"Very serious", AND(W203&gt;$D$1*-1,W203&lt;$D$1,X203&gt;$D$1*-1,Y203&lt;$D$1,V203/U203&lt;3),"Not Serious", AND(W203&gt;$D$1*-1,W203&lt;$D$1,OR(X203&lt;=$D$1*-1,Y203&gt;=$D$1),X203&gt;$D$2*-1,Y203&lt;$D$2,V203/U203&lt;3),"Serious", AND(W203&gt;$D$1*-1,W203&lt;$D$1,OR(X203&lt;=$D$2*-1,Y203&gt;=$D$2),V203/U203&lt;3),"Very serious", AND(W203&gt;$D$1*-1,W203&lt;$D$1,X203&gt;$D$1*-1,Y203&lt;$D$1,V203/U203&gt;=3),"Very serious", AND(W203&gt;$D$1*-1,W203&lt;$D$1,OR(X203&lt;=$D$1*-1,Y203&gt;=$D$1),X203&gt;$D$2*-1,Y203&lt;$D$2,V203/U203&gt;=3),"Very serious", AND(W203&gt;$D$1*-1,W203&lt;$D$1,OR(X203&lt;=$D$2*-1,Y203&gt;=$D$2),V203/U203&gt;=3),"Very serious"),"")),"")</f>
        <v/>
      </c>
      <c r="AT203" s="109" t="str">
        <f t="shared" si="9"/>
        <v/>
      </c>
      <c r="AU203" s="64"/>
      <c r="AV203" s="83"/>
      <c r="AW203" s="83"/>
      <c r="AX203" s="83"/>
      <c r="AY203" s="83"/>
      <c r="AZ203" s="83"/>
      <c r="BA203" s="85"/>
      <c r="BB203" s="86" t="str">
        <f>IF(Preferences!B$9="Manual","",IFS(ISBLANK(B203),"",AND(ISNUMBER(E203)=TRUE,ISNUMBER(T203)=FALSE),"Direct", AND(ISNUMBER(E203)=FALSE,ISNUMBER(T203)=TRUE),"Indirect", CN203=4,"Direct",AND(CL203=FALSE, CM203=TRUE,CN203-CO203&gt;-1),"Direct", AND(CL203=FALSE,CM203=TRUE, CN203-CO203&lt;0),"Check algorithm in appendix 2", AND(CL203=TRUE, CM203=FALSE,CN203-CO203&gt;0),"Check algorithm in appendix 2", AND(CL203=TRUE, CM203=FALSE,CN203-CO203=0),"Indirect", AND(CL203=TRUE, CM203=FALSE,CN203-CO203&lt;0),"Indirect", AND(CL203=FALSE,CM203=FALSE,CN203-CO203&gt;-1),"Direct", AND(CL203=FALSE,CM203=FALSE,CN203-CO203&lt;0),"Check algorithm in appendix 2", AND(CL203=TRUE,CM203=TRUE,CN203-CO203&gt;-1),"Direct", AND(CL203=TRUE,CM203=TRUE,CN203-CO203&lt;0),"Check algorithm in appendix 2"))</f>
        <v/>
      </c>
      <c r="BC203" s="120" t="str">
        <f t="shared" si="10"/>
        <v/>
      </c>
      <c r="BD203" s="140"/>
      <c r="BE203" s="122" t="str">
        <f>IF(Preferences!B$3="Manual","", IFERROR(IFS(AND(Preferences!B$3="Automatic",AX203/AW203&gt;=30),"Extremely serious",AND(AY203&lt;=$D$1*-1,BA203&lt;0,AX203/AW203&lt;3),"Not Serious",AND(AY203&lt;=$D$1*-1,BA203&lt;0,AX203/AW203&gt;=3),"Very serious",AND(AY203&gt;=$D$1,AZ203&gt;0,AX203/AW203&lt;3),"Not Serious",AND(AY203&gt;=$D$1,AZ203&gt;0,AX203/AW203&gt;=3),"Very serious",AND(AY203&lt;=$D$1*-1,BA203&gt;0,AZ203&gt;$D$2*-1,AX203/AW203&lt;3),"Serious", AND(AY203&lt;=$D$1*-1,BA203&gt;0,AZ203&lt;$D$2*-1,AX203/AW203&lt;3),"Very serious", AND(AY203&gt;=$D$1,AZ203&lt;0,BA203&lt;$D$2,AX203/AW203&lt;3),"Serious",AND(AY203&gt;=$D$1,AZ203&lt;0,BA203&gt;$D$2,AX203/AW203&lt;3),"Very serious", AND(AY203&lt;=$D$1*-1,BA203&gt;0,AZ203&gt;$D$2*-1,AX203/AW203&gt;=3),"Very serious", AND(AY203&lt;=$D$1*-1,BA203&gt;0,AZ203&lt;$D$2*-1,AX203/AW203&gt;=3),"Very serious", AND(AY203&gt;=$D$1,AZ203&lt;0,BA203&lt;$D$2,AX203/AW203&gt;=3),"Very serious", AND(AY203&gt;=$D$1,AZ203&lt;0,BA203&gt;$D$2,AX203/AW203&gt;=3),"Very serious", AND(AY203&gt;$D$1*-1,AY203&lt;$D$1,AZ203&gt;$D$1*-1,BA203&lt;$D$1,AX203/AW203&lt;3),"Not Serious", AND(AY203&gt;$D$1*-1,AY203&lt;$D$1,OR(AZ203&lt;=$D$1*-1,BA203&gt;=$D$1),AZ203&gt;$D$2*-1,BA203&lt;$D$2,AX203/AW203&lt;3),"Serious", AND(AY203&gt;$D$1*-1,AY203&lt;$D$1,OR(AZ203&lt;=$D$2*-1,BA203&gt;=$D$2),AX203/AW203&lt;3),"Very serious", AND(AY203&gt;$D$1*-1,AY203&lt;$D$1,AZ203&gt;$D$1*-1,BA203&lt;$D$1,AX203/AW203&gt;=3),"Very serious", AND(AY203&gt;$D$1*-1,AY203&lt;$D$1,OR(AZ203&lt;=$D$1*-1,BA203&gt;=$D$1),AZ203&gt;$D$2*-1,BA203&lt;$D$2,AX203/AW203&gt;=3),"Very serious", AND(AY203&gt;$D$1*-1,AY203&lt;$D$1,OR(AZ203&lt;=$D$2*-1,BA203&gt;=$D$2),AX203/AW203&gt;=3),"Very serious"),""))</f>
        <v/>
      </c>
      <c r="BF203" s="107" t="str">
        <f t="shared" si="11"/>
        <v/>
      </c>
      <c r="BG203" s="94" t="str">
        <f t="shared" si="46"/>
        <v/>
      </c>
      <c r="BH203" s="64" t="str">
        <f t="shared" si="12"/>
        <v>#N/A</v>
      </c>
      <c r="BI203" s="64" t="str">
        <f t="shared" si="13"/>
        <v/>
      </c>
      <c r="BJ203" s="123" t="str">
        <f t="shared" si="14"/>
        <v>#N/A</v>
      </c>
      <c r="BK203" s="64" t="str">
        <f t="shared" si="50"/>
        <v>YES</v>
      </c>
      <c r="BL203" s="64" t="str">
        <f t="shared" si="16"/>
        <v>YES</v>
      </c>
      <c r="BM203" s="64" t="str">
        <f t="shared" si="17"/>
        <v>YES</v>
      </c>
      <c r="BN203" s="124" t="str">
        <f t="shared" si="18"/>
        <v/>
      </c>
      <c r="BO203" s="91" t="str">
        <f t="shared" si="19"/>
        <v/>
      </c>
      <c r="BP203" s="91" t="str">
        <f t="shared" si="20"/>
        <v>#N/A</v>
      </c>
      <c r="BQ203" s="91" t="str">
        <f t="shared" si="21"/>
        <v/>
      </c>
      <c r="BR203" s="93" t="str">
        <f t="shared" si="22"/>
        <v/>
      </c>
      <c r="BS203" s="90" t="str">
        <f t="shared" si="23"/>
        <v/>
      </c>
      <c r="BT203" s="93" t="str">
        <f t="shared" si="24"/>
        <v>NA</v>
      </c>
      <c r="BU203" s="125" t="str">
        <f t="shared" si="25"/>
        <v>#N/A</v>
      </c>
      <c r="BV203" s="93" t="str">
        <f t="shared" si="26"/>
        <v/>
      </c>
      <c r="BW203" s="93" t="str">
        <f t="shared" si="27"/>
        <v/>
      </c>
      <c r="BX203" s="93" t="str">
        <f t="shared" si="28"/>
        <v>NA</v>
      </c>
      <c r="BY203" s="95" t="str">
        <f t="shared" si="29"/>
        <v>#N/A</v>
      </c>
      <c r="BZ203" s="93" t="str">
        <f t="shared" si="30"/>
        <v/>
      </c>
      <c r="CA203" s="93" t="str">
        <f t="shared" si="31"/>
        <v/>
      </c>
      <c r="CB203" s="93" t="str">
        <f t="shared" si="32"/>
        <v>NA</v>
      </c>
      <c r="CC203" s="96" t="str">
        <f t="shared" si="33"/>
        <v>#N/A</v>
      </c>
      <c r="CD203" s="93" t="str">
        <f t="shared" si="34"/>
        <v/>
      </c>
      <c r="CE203" s="93" t="str">
        <f t="shared" si="35"/>
        <v/>
      </c>
      <c r="CF203" s="93" t="str">
        <f t="shared" si="36"/>
        <v>NA</v>
      </c>
      <c r="CG203" s="97" t="str">
        <f t="shared" si="37"/>
        <v>#N/A</v>
      </c>
      <c r="CH203" s="98" t="str">
        <f t="shared" si="38"/>
        <v>#N/A</v>
      </c>
      <c r="CI203" s="99" t="str">
        <f t="shared" si="39"/>
        <v>#N/A</v>
      </c>
      <c r="CJ203" s="126" t="str">
        <f t="shared" si="40"/>
        <v>ERROR: check cell</v>
      </c>
      <c r="CK203" s="126"/>
      <c r="CL203" s="127" t="str">
        <f t="shared" si="41"/>
        <v>#DIV/0!</v>
      </c>
      <c r="CM203" s="128" t="str">
        <f t="shared" si="42"/>
        <v>#DIV/0!</v>
      </c>
      <c r="CN203" s="128">
        <f t="shared" si="43"/>
        <v>4</v>
      </c>
      <c r="CO203" s="129">
        <f t="shared" si="44"/>
        <v>4</v>
      </c>
      <c r="CP203" s="129" t="str">
        <f>IFS(C203=Preferences!B$13,B203,B203=Preferences!B$13,C203)</f>
        <v>#N/A</v>
      </c>
    </row>
    <row r="204" ht="13.5" customHeight="1">
      <c r="A204" s="63" t="str">
        <f t="shared" si="45"/>
        <v/>
      </c>
      <c r="B204" s="64"/>
      <c r="C204" s="64"/>
      <c r="D204" s="64"/>
      <c r="E204" s="65"/>
      <c r="F204" s="65"/>
      <c r="G204" s="65"/>
      <c r="H204" s="66"/>
      <c r="I204" s="66"/>
      <c r="J204" s="67"/>
      <c r="K204" s="68"/>
      <c r="L204" s="104"/>
      <c r="M204" s="104"/>
      <c r="N204" s="104"/>
      <c r="O204" s="104"/>
      <c r="P204" s="107" t="str">
        <f t="shared" si="1"/>
        <v/>
      </c>
      <c r="Q204" s="108" t="str">
        <f>IFERROR(IF(AND(Preferences!B$3="Manual",OR(AX204/AW204&gt;G204/F204,BD204="Serious",BD204="Very serious")),"Assess imprecision",IFS(ISBLANK(E204),"",AND(Preferences!B$3="Automatic", G204/F204&gt;=30),"Extremely serious",AND(H204&lt;=$D$1*-1,J204&lt;0,G204/F204&lt;3),"Not serious",AND(H204&lt;=$D$1*-1,J204&lt;0,G204/F204&gt;=3),"Very serious",AND(H204&gt;=$D$1,I204&gt;0,G204/F204&lt;3),"Not serious",AND(H204&gt;=$D$1,I204&gt;0,G204/F204&gt;=3),"Very serious",AND(H204&lt;=$D$1*-1,J204&gt;0,I204&gt;$D$2*-1,G204/F204&lt;3),"Serious", AND(H204&lt;=$D$1*-1,J204&gt;0,I204&lt;$D$2*-1,G204/F204&lt;3),"Very serious", AND(H204&gt;=$D$1,I204&lt;0,J204&lt;$D$2,G204/F204&lt;3),"Serious",AND(H204&gt;=$D$1,I204&lt;0,J204&gt;$D$2,G204/F204&lt;3),"Very serious", AND(H204&lt;=$D$1*-1,J204&gt;0,I204&gt;$D$2*-1,G204/F204&gt;=3),"Very serious", AND(H204&lt;=$D$1*-1,J204&gt;0,I204&lt;$D$2*-1,G204/F204&gt;=3),"Very serious", AND(H204&gt;=$D$1,I204&lt;0,J204&lt;$D$2,G204/F204&gt;=3),"Very serious", AND(H204&gt;=$D$1,I204&lt;0,J204&gt;$D$2,G204/F204&gt;=3),"Very serious", AND(H204&gt;$D$1*-1,H204&lt;$D$1,I204&gt;$D$1*-1,J204&lt;$D$1,G204/F204&lt;3),"Not serious", AND(H204&gt;$D$1*-1,H204&lt;$D$1,OR(I204&lt;=$D$1*-1,J204&gt;=$D$1),I204&gt;$D$2*-1,J204&lt;$D$2,G204/F204&lt;3),"Serious", AND(H204&gt;$D$1*-1,H204&lt;$D$1,OR(I204&lt;=$D$2*-1,J204&gt;=$D$2),G204/F204&lt;3),"Very serious", AND(H204&gt;$D$1*-1,H204&lt;$D$1,I204&gt;$D$1*-1,J204&lt;$D$1,G204/F204&gt;=3),"Very serious", AND(H204&gt;$D$1*-1,H204&lt;$D$1,OR(I204&lt;=$D$1*-1,J204&gt;=$D$1),I204&gt;$D$2*-1,J204&lt;$D$2,G204/F204&gt;=3),"Very serious", AND(H204&gt;$D$1*-1,H204&lt;$D$1,OR(I204&lt;=$D$2*-1,J204&gt;=$D$2),G204/F204&gt;=3),"Very serious")),"")</f>
        <v/>
      </c>
      <c r="R204" s="109" t="str">
        <f t="shared" si="47"/>
        <v/>
      </c>
      <c r="S204" s="64"/>
      <c r="T204" s="72"/>
      <c r="U204" s="72"/>
      <c r="V204" s="72"/>
      <c r="W204" s="73"/>
      <c r="X204" s="73"/>
      <c r="Y204" s="74"/>
      <c r="Z204" s="113" t="str">
        <f t="array" ref="Z204">INDEX($A$1:$C$500, MATCH(1,($B:$B=$B204)*($C:$C=$AB204),0),1)</f>
        <v/>
      </c>
      <c r="AA204" s="113" t="str">
        <f t="array" ref="AA204">INDEX($A$1:$C$500, MATCH(1,($B:$B=$AB204)*($C:$C=$B204),0),1)</f>
        <v/>
      </c>
      <c r="AB204" s="111"/>
      <c r="AC204" s="114" t="str">
        <f t="shared" si="2"/>
        <v/>
      </c>
      <c r="AD204" s="115" t="str">
        <f t="shared" si="3"/>
        <v/>
      </c>
      <c r="AE204" s="116" t="str">
        <f t="array" ref="AE204">INDEX($A$1:$C$500, MATCH(1,($B:$B=$AB204)*($C:$C=$AG204),0),1)</f>
        <v/>
      </c>
      <c r="AF204" s="116" t="str">
        <f t="array" ref="AF204">INDEX($A$1:$C$500, MATCH(1,($B:$B=$AG204)*($C:$C=$AB204),0),1)</f>
        <v/>
      </c>
      <c r="AG204" s="72"/>
      <c r="AH204" s="114" t="str">
        <f t="shared" si="4"/>
        <v/>
      </c>
      <c r="AI204" s="115" t="str">
        <f t="shared" si="5"/>
        <v/>
      </c>
      <c r="AJ204" s="116" t="str">
        <f t="array" ref="AJ204">INDEX($A$1:$C$500, MATCH(1,($B:$B=$C204)*($C:$C=$AG204),0),1)</f>
        <v/>
      </c>
      <c r="AK204" s="116" t="str">
        <f t="array" ref="AK204">INDEX($A$1:$C$500, MATCH(1,($B:$B=$AG204)*($C:$C=$C204),0),1)</f>
        <v/>
      </c>
      <c r="AL204" s="116" t="str">
        <f t="array" ref="AL204">INDEX($A$1:$C$500, MATCH(1,($B:$B=$C204)*($C:$C=$AB204),0),1)</f>
        <v/>
      </c>
      <c r="AM204" s="116" t="str">
        <f t="array" ref="AM204">INDEX($A$1:$C$500, MATCH(1,($B:$B=$AB204)*($C:$C=$C204),0),1)</f>
        <v/>
      </c>
      <c r="AN204" s="114" t="str">
        <f t="array" ref="AN204">IFS(ISNUMBER(AJ204),AJ204,ISNUMBER(AK204),AK204,ISNUMBER(AL204),AL204,ISNUMBER(AM204),AM204)</f>
        <v>#N/A</v>
      </c>
      <c r="AO204" s="115" t="str">
        <f t="shared" si="6"/>
        <v/>
      </c>
      <c r="AP204" s="115" t="str">
        <f t="shared" si="7"/>
        <v/>
      </c>
      <c r="AQ204" s="111"/>
      <c r="AR204" s="109" t="str">
        <f t="shared" si="8"/>
        <v/>
      </c>
      <c r="AS204" s="72" t="str">
        <f>IFERROR(IF(AND(Preferences!B$3="Manual",OR(AX204/AW204&gt;V204/U204,BD204="Serious",BD204="Very serious")),"Assess imprecision",IFERROR(IFS(AND(Preferences!B$3="Automatic",V204/U204&gt;=30),"Extremely serious",AND(W204&lt;=$D$1*-1,Y204&lt;0,V204/U204&lt;3),"Not Serious",AND(W204&lt;=$D$1*-1,Y204&lt;0,V204/U204&gt;=3),"Very serious",AND(W204&gt;=$D$1,X204&gt;0,V204/U204&lt;3),"Not Serious",AND(W204&gt;=$D$1,X204&gt;0,V204/U204&gt;=3),"Very serious",AND(W204&lt;=$D$1*-1,Y204&gt;0,X204&gt;$D$2*-1,V204/U204&lt;3),"Serious", AND(W204&lt;=$D$1*-1,Y204&gt;0,X204&lt;$D$2*-1,V204/U204&lt;3),"Very serious", AND(W204&gt;=$D$1,X204&lt;0,Y204&lt;$D$2,V204/U204&lt;3),"Serious",AND(W204&gt;=$D$1,X204&lt;0,Y204&gt;$D$2,V204/U204&lt;3),"Very serious", AND(W204&lt;=$D$1*-1,Y204&gt;0,X204&gt;$D$2*-1,V204/U204&gt;=3),"Very serious", AND(W204&lt;=$D$1*-1,Y204&gt;0,X204&lt;$D$2*-1,V204/U204&gt;=3),"Very serious", AND(W204&gt;=$D$1,X204&lt;0,Y204&lt;$D$2,V204/U204&gt;=3),"Very serious", AND(W204&gt;=$D$1,X204&lt;0,Y204&gt;$D$2,V204/U204&gt;=3),"Very serious", AND(W204&gt;$D$1*-1,W204&lt;$D$1,X204&gt;$D$1*-1,Y204&lt;$D$1,V204/U204&lt;3),"Not Serious", AND(W204&gt;$D$1*-1,W204&lt;$D$1,OR(X204&lt;=$D$1*-1,Y204&gt;=$D$1),X204&gt;$D$2*-1,Y204&lt;$D$2,V204/U204&lt;3),"Serious", AND(W204&gt;$D$1*-1,W204&lt;$D$1,OR(X204&lt;=$D$2*-1,Y204&gt;=$D$2),V204/U204&lt;3),"Very serious", AND(W204&gt;$D$1*-1,W204&lt;$D$1,X204&gt;$D$1*-1,Y204&lt;$D$1,V204/U204&gt;=3),"Very serious", AND(W204&gt;$D$1*-1,W204&lt;$D$1,OR(X204&lt;=$D$1*-1,Y204&gt;=$D$1),X204&gt;$D$2*-1,Y204&lt;$D$2,V204/U204&gt;=3),"Very serious", AND(W204&gt;$D$1*-1,W204&lt;$D$1,OR(X204&lt;=$D$2*-1,Y204&gt;=$D$2),V204/U204&gt;=3),"Very serious"),"")),"")</f>
        <v/>
      </c>
      <c r="AT204" s="109" t="str">
        <f t="shared" si="9"/>
        <v/>
      </c>
      <c r="AU204" s="64"/>
      <c r="AV204" s="83"/>
      <c r="AW204" s="83"/>
      <c r="AX204" s="83"/>
      <c r="AY204" s="83"/>
      <c r="AZ204" s="83"/>
      <c r="BA204" s="85"/>
      <c r="BB204" s="86" t="str">
        <f>IF(Preferences!B$9="Manual","",IFS(ISBLANK(B204),"",AND(ISNUMBER(E204)=TRUE,ISNUMBER(T204)=FALSE),"Direct", AND(ISNUMBER(E204)=FALSE,ISNUMBER(T204)=TRUE),"Indirect", CN204=4,"Direct",AND(CL204=FALSE, CM204=TRUE,CN204-CO204&gt;-1),"Direct", AND(CL204=FALSE,CM204=TRUE, CN204-CO204&lt;0),"Check algorithm in appendix 2", AND(CL204=TRUE, CM204=FALSE,CN204-CO204&gt;0),"Check algorithm in appendix 2", AND(CL204=TRUE, CM204=FALSE,CN204-CO204=0),"Indirect", AND(CL204=TRUE, CM204=FALSE,CN204-CO204&lt;0),"Indirect", AND(CL204=FALSE,CM204=FALSE,CN204-CO204&gt;-1),"Direct", AND(CL204=FALSE,CM204=FALSE,CN204-CO204&lt;0),"Check algorithm in appendix 2", AND(CL204=TRUE,CM204=TRUE,CN204-CO204&gt;-1),"Direct", AND(CL204=TRUE,CM204=TRUE,CN204-CO204&lt;0),"Check algorithm in appendix 2"))</f>
        <v/>
      </c>
      <c r="BC204" s="120" t="str">
        <f t="shared" si="10"/>
        <v/>
      </c>
      <c r="BD204" s="140"/>
      <c r="BE204" s="122" t="str">
        <f>IF(Preferences!B$3="Manual","", IFERROR(IFS(AND(Preferences!B$3="Automatic",AX204/AW204&gt;=30),"Extremely serious",AND(AY204&lt;=$D$1*-1,BA204&lt;0,AX204/AW204&lt;3),"Not Serious",AND(AY204&lt;=$D$1*-1,BA204&lt;0,AX204/AW204&gt;=3),"Very serious",AND(AY204&gt;=$D$1,AZ204&gt;0,AX204/AW204&lt;3),"Not Serious",AND(AY204&gt;=$D$1,AZ204&gt;0,AX204/AW204&gt;=3),"Very serious",AND(AY204&lt;=$D$1*-1,BA204&gt;0,AZ204&gt;$D$2*-1,AX204/AW204&lt;3),"Serious", AND(AY204&lt;=$D$1*-1,BA204&gt;0,AZ204&lt;$D$2*-1,AX204/AW204&lt;3),"Very serious", AND(AY204&gt;=$D$1,AZ204&lt;0,BA204&lt;$D$2,AX204/AW204&lt;3),"Serious",AND(AY204&gt;=$D$1,AZ204&lt;0,BA204&gt;$D$2,AX204/AW204&lt;3),"Very serious", AND(AY204&lt;=$D$1*-1,BA204&gt;0,AZ204&gt;$D$2*-1,AX204/AW204&gt;=3),"Very serious", AND(AY204&lt;=$D$1*-1,BA204&gt;0,AZ204&lt;$D$2*-1,AX204/AW204&gt;=3),"Very serious", AND(AY204&gt;=$D$1,AZ204&lt;0,BA204&lt;$D$2,AX204/AW204&gt;=3),"Very serious", AND(AY204&gt;=$D$1,AZ204&lt;0,BA204&gt;$D$2,AX204/AW204&gt;=3),"Very serious", AND(AY204&gt;$D$1*-1,AY204&lt;$D$1,AZ204&gt;$D$1*-1,BA204&lt;$D$1,AX204/AW204&lt;3),"Not Serious", AND(AY204&gt;$D$1*-1,AY204&lt;$D$1,OR(AZ204&lt;=$D$1*-1,BA204&gt;=$D$1),AZ204&gt;$D$2*-1,BA204&lt;$D$2,AX204/AW204&lt;3),"Serious", AND(AY204&gt;$D$1*-1,AY204&lt;$D$1,OR(AZ204&lt;=$D$2*-1,BA204&gt;=$D$2),AX204/AW204&lt;3),"Very serious", AND(AY204&gt;$D$1*-1,AY204&lt;$D$1,AZ204&gt;$D$1*-1,BA204&lt;$D$1,AX204/AW204&gt;=3),"Very serious", AND(AY204&gt;$D$1*-1,AY204&lt;$D$1,OR(AZ204&lt;=$D$1*-1,BA204&gt;=$D$1),AZ204&gt;$D$2*-1,BA204&lt;$D$2,AX204/AW204&gt;=3),"Very serious", AND(AY204&gt;$D$1*-1,AY204&lt;$D$1,OR(AZ204&lt;=$D$2*-1,BA204&gt;=$D$2),AX204/AW204&gt;=3),"Very serious"),""))</f>
        <v/>
      </c>
      <c r="BF204" s="107" t="str">
        <f t="shared" si="11"/>
        <v/>
      </c>
      <c r="BG204" s="94" t="str">
        <f t="shared" si="46"/>
        <v/>
      </c>
      <c r="BH204" s="64" t="str">
        <f t="shared" si="12"/>
        <v>#N/A</v>
      </c>
      <c r="BI204" s="64" t="str">
        <f t="shared" si="13"/>
        <v/>
      </c>
      <c r="BJ204" s="123" t="str">
        <f t="shared" si="14"/>
        <v>#N/A</v>
      </c>
      <c r="BK204" s="64" t="str">
        <f t="shared" si="50"/>
        <v>YES</v>
      </c>
      <c r="BL204" s="64" t="str">
        <f t="shared" si="16"/>
        <v>YES</v>
      </c>
      <c r="BM204" s="64" t="str">
        <f t="shared" si="17"/>
        <v>YES</v>
      </c>
      <c r="BN204" s="124" t="str">
        <f t="shared" si="18"/>
        <v/>
      </c>
      <c r="BO204" s="91" t="str">
        <f t="shared" si="19"/>
        <v/>
      </c>
      <c r="BP204" s="91" t="str">
        <f t="shared" si="20"/>
        <v>#N/A</v>
      </c>
      <c r="BQ204" s="91" t="str">
        <f t="shared" si="21"/>
        <v/>
      </c>
      <c r="BR204" s="93" t="str">
        <f t="shared" si="22"/>
        <v/>
      </c>
      <c r="BS204" s="90" t="str">
        <f t="shared" si="23"/>
        <v/>
      </c>
      <c r="BT204" s="93" t="str">
        <f t="shared" si="24"/>
        <v>NA</v>
      </c>
      <c r="BU204" s="125" t="str">
        <f t="shared" si="25"/>
        <v>#N/A</v>
      </c>
      <c r="BV204" s="93" t="str">
        <f t="shared" si="26"/>
        <v/>
      </c>
      <c r="BW204" s="93" t="str">
        <f t="shared" si="27"/>
        <v/>
      </c>
      <c r="BX204" s="93" t="str">
        <f t="shared" si="28"/>
        <v>NA</v>
      </c>
      <c r="BY204" s="95" t="str">
        <f t="shared" si="29"/>
        <v>#N/A</v>
      </c>
      <c r="BZ204" s="93" t="str">
        <f t="shared" si="30"/>
        <v/>
      </c>
      <c r="CA204" s="93" t="str">
        <f t="shared" si="31"/>
        <v/>
      </c>
      <c r="CB204" s="93" t="str">
        <f t="shared" si="32"/>
        <v>NA</v>
      </c>
      <c r="CC204" s="96" t="str">
        <f t="shared" si="33"/>
        <v>#N/A</v>
      </c>
      <c r="CD204" s="93" t="str">
        <f t="shared" si="34"/>
        <v/>
      </c>
      <c r="CE204" s="93" t="str">
        <f t="shared" si="35"/>
        <v/>
      </c>
      <c r="CF204" s="93" t="str">
        <f t="shared" si="36"/>
        <v>NA</v>
      </c>
      <c r="CG204" s="97" t="str">
        <f t="shared" si="37"/>
        <v>#N/A</v>
      </c>
      <c r="CH204" s="98" t="str">
        <f t="shared" si="38"/>
        <v>#N/A</v>
      </c>
      <c r="CI204" s="99" t="str">
        <f t="shared" si="39"/>
        <v>#N/A</v>
      </c>
      <c r="CJ204" s="126" t="str">
        <f t="shared" si="40"/>
        <v>ERROR: check cell</v>
      </c>
      <c r="CK204" s="126"/>
      <c r="CL204" s="127" t="str">
        <f t="shared" si="41"/>
        <v>#DIV/0!</v>
      </c>
      <c r="CM204" s="128" t="str">
        <f t="shared" si="42"/>
        <v>#DIV/0!</v>
      </c>
      <c r="CN204" s="128">
        <f t="shared" si="43"/>
        <v>4</v>
      </c>
      <c r="CO204" s="129">
        <f t="shared" si="44"/>
        <v>4</v>
      </c>
      <c r="CP204" s="129" t="str">
        <f>IFS(C204=Preferences!B$13,B204,B204=Preferences!B$13,C204)</f>
        <v>#N/A</v>
      </c>
    </row>
    <row r="205" ht="13.5" customHeight="1">
      <c r="A205" s="63" t="str">
        <f t="shared" si="45"/>
        <v/>
      </c>
      <c r="B205" s="64"/>
      <c r="C205" s="64"/>
      <c r="D205" s="64"/>
      <c r="E205" s="65"/>
      <c r="F205" s="65"/>
      <c r="G205" s="65"/>
      <c r="H205" s="66"/>
      <c r="I205" s="66"/>
      <c r="J205" s="67"/>
      <c r="K205" s="68"/>
      <c r="L205" s="104"/>
      <c r="M205" s="104"/>
      <c r="N205" s="104"/>
      <c r="O205" s="104"/>
      <c r="P205" s="107" t="str">
        <f t="shared" si="1"/>
        <v/>
      </c>
      <c r="Q205" s="108" t="str">
        <f>IFERROR(IF(AND(Preferences!B$3="Manual",OR(AX205/AW205&gt;G205/F205,BD205="Serious",BD205="Very serious")),"Assess imprecision",IFS(ISBLANK(E205),"",AND(Preferences!B$3="Automatic", G205/F205&gt;=30),"Extremely serious",AND(H205&lt;=$D$1*-1,J205&lt;0,G205/F205&lt;3),"Not serious",AND(H205&lt;=$D$1*-1,J205&lt;0,G205/F205&gt;=3),"Very serious",AND(H205&gt;=$D$1,I205&gt;0,G205/F205&lt;3),"Not serious",AND(H205&gt;=$D$1,I205&gt;0,G205/F205&gt;=3),"Very serious",AND(H205&lt;=$D$1*-1,J205&gt;0,I205&gt;$D$2*-1,G205/F205&lt;3),"Serious", AND(H205&lt;=$D$1*-1,J205&gt;0,I205&lt;$D$2*-1,G205/F205&lt;3),"Very serious", AND(H205&gt;=$D$1,I205&lt;0,J205&lt;$D$2,G205/F205&lt;3),"Serious",AND(H205&gt;=$D$1,I205&lt;0,J205&gt;$D$2,G205/F205&lt;3),"Very serious", AND(H205&lt;=$D$1*-1,J205&gt;0,I205&gt;$D$2*-1,G205/F205&gt;=3),"Very serious", AND(H205&lt;=$D$1*-1,J205&gt;0,I205&lt;$D$2*-1,G205/F205&gt;=3),"Very serious", AND(H205&gt;=$D$1,I205&lt;0,J205&lt;$D$2,G205/F205&gt;=3),"Very serious", AND(H205&gt;=$D$1,I205&lt;0,J205&gt;$D$2,G205/F205&gt;=3),"Very serious", AND(H205&gt;$D$1*-1,H205&lt;$D$1,I205&gt;$D$1*-1,J205&lt;$D$1,G205/F205&lt;3),"Not serious", AND(H205&gt;$D$1*-1,H205&lt;$D$1,OR(I205&lt;=$D$1*-1,J205&gt;=$D$1),I205&gt;$D$2*-1,J205&lt;$D$2,G205/F205&lt;3),"Serious", AND(H205&gt;$D$1*-1,H205&lt;$D$1,OR(I205&lt;=$D$2*-1,J205&gt;=$D$2),G205/F205&lt;3),"Very serious", AND(H205&gt;$D$1*-1,H205&lt;$D$1,I205&gt;$D$1*-1,J205&lt;$D$1,G205/F205&gt;=3),"Very serious", AND(H205&gt;$D$1*-1,H205&lt;$D$1,OR(I205&lt;=$D$1*-1,J205&gt;=$D$1),I205&gt;$D$2*-1,J205&lt;$D$2,G205/F205&gt;=3),"Very serious", AND(H205&gt;$D$1*-1,H205&lt;$D$1,OR(I205&lt;=$D$2*-1,J205&gt;=$D$2),G205/F205&gt;=3),"Very serious")),"")</f>
        <v/>
      </c>
      <c r="R205" s="109" t="str">
        <f t="shared" si="47"/>
        <v/>
      </c>
      <c r="S205" s="64"/>
      <c r="T205" s="72"/>
      <c r="U205" s="72"/>
      <c r="V205" s="72"/>
      <c r="W205" s="73"/>
      <c r="X205" s="73"/>
      <c r="Y205" s="74"/>
      <c r="Z205" s="113" t="str">
        <f t="array" ref="Z205">INDEX($A$1:$C$500, MATCH(1,($B:$B=$B205)*($C:$C=$AB205),0),1)</f>
        <v/>
      </c>
      <c r="AA205" s="113" t="str">
        <f t="array" ref="AA205">INDEX($A$1:$C$500, MATCH(1,($B:$B=$AB205)*($C:$C=$B205),0),1)</f>
        <v/>
      </c>
      <c r="AB205" s="111"/>
      <c r="AC205" s="114" t="str">
        <f t="shared" si="2"/>
        <v/>
      </c>
      <c r="AD205" s="115" t="str">
        <f t="shared" si="3"/>
        <v/>
      </c>
      <c r="AE205" s="116" t="str">
        <f t="array" ref="AE205">INDEX($A$1:$C$500, MATCH(1,($B:$B=$AB205)*($C:$C=$AG205),0),1)</f>
        <v/>
      </c>
      <c r="AF205" s="116" t="str">
        <f t="array" ref="AF205">INDEX($A$1:$C$500, MATCH(1,($B:$B=$AG205)*($C:$C=$AB205),0),1)</f>
        <v/>
      </c>
      <c r="AG205" s="72"/>
      <c r="AH205" s="114" t="str">
        <f t="shared" si="4"/>
        <v/>
      </c>
      <c r="AI205" s="115" t="str">
        <f t="shared" si="5"/>
        <v/>
      </c>
      <c r="AJ205" s="116" t="str">
        <f t="array" ref="AJ205">INDEX($A$1:$C$500, MATCH(1,($B:$B=$C205)*($C:$C=$AG205),0),1)</f>
        <v/>
      </c>
      <c r="AK205" s="116" t="str">
        <f t="array" ref="AK205">INDEX($A$1:$C$500, MATCH(1,($B:$B=$AG205)*($C:$C=$C205),0),1)</f>
        <v/>
      </c>
      <c r="AL205" s="116" t="str">
        <f t="array" ref="AL205">INDEX($A$1:$C$500, MATCH(1,($B:$B=$C205)*($C:$C=$AB205),0),1)</f>
        <v/>
      </c>
      <c r="AM205" s="116" t="str">
        <f t="array" ref="AM205">INDEX($A$1:$C$500, MATCH(1,($B:$B=$AB205)*($C:$C=$C205),0),1)</f>
        <v/>
      </c>
      <c r="AN205" s="114" t="str">
        <f t="array" ref="AN205">IFS(ISNUMBER(AJ205),AJ205,ISNUMBER(AK205),AK205,ISNUMBER(AL205),AL205,ISNUMBER(AM205),AM205)</f>
        <v>#N/A</v>
      </c>
      <c r="AO205" s="115" t="str">
        <f t="shared" si="6"/>
        <v/>
      </c>
      <c r="AP205" s="115" t="str">
        <f t="shared" si="7"/>
        <v/>
      </c>
      <c r="AQ205" s="111"/>
      <c r="AR205" s="109" t="str">
        <f t="shared" si="8"/>
        <v/>
      </c>
      <c r="AS205" s="72" t="str">
        <f>IFERROR(IF(AND(Preferences!B$3="Manual",OR(AX205/AW205&gt;V205/U205,BD205="Serious",BD205="Very serious")),"Assess imprecision",IFERROR(IFS(AND(Preferences!B$3="Automatic",V205/U205&gt;=30),"Extremely serious",AND(W205&lt;=$D$1*-1,Y205&lt;0,V205/U205&lt;3),"Not Serious",AND(W205&lt;=$D$1*-1,Y205&lt;0,V205/U205&gt;=3),"Very serious",AND(W205&gt;=$D$1,X205&gt;0,V205/U205&lt;3),"Not Serious",AND(W205&gt;=$D$1,X205&gt;0,V205/U205&gt;=3),"Very serious",AND(W205&lt;=$D$1*-1,Y205&gt;0,X205&gt;$D$2*-1,V205/U205&lt;3),"Serious", AND(W205&lt;=$D$1*-1,Y205&gt;0,X205&lt;$D$2*-1,V205/U205&lt;3),"Very serious", AND(W205&gt;=$D$1,X205&lt;0,Y205&lt;$D$2,V205/U205&lt;3),"Serious",AND(W205&gt;=$D$1,X205&lt;0,Y205&gt;$D$2,V205/U205&lt;3),"Very serious", AND(W205&lt;=$D$1*-1,Y205&gt;0,X205&gt;$D$2*-1,V205/U205&gt;=3),"Very serious", AND(W205&lt;=$D$1*-1,Y205&gt;0,X205&lt;$D$2*-1,V205/U205&gt;=3),"Very serious", AND(W205&gt;=$D$1,X205&lt;0,Y205&lt;$D$2,V205/U205&gt;=3),"Very serious", AND(W205&gt;=$D$1,X205&lt;0,Y205&gt;$D$2,V205/U205&gt;=3),"Very serious", AND(W205&gt;$D$1*-1,W205&lt;$D$1,X205&gt;$D$1*-1,Y205&lt;$D$1,V205/U205&lt;3),"Not Serious", AND(W205&gt;$D$1*-1,W205&lt;$D$1,OR(X205&lt;=$D$1*-1,Y205&gt;=$D$1),X205&gt;$D$2*-1,Y205&lt;$D$2,V205/U205&lt;3),"Serious", AND(W205&gt;$D$1*-1,W205&lt;$D$1,OR(X205&lt;=$D$2*-1,Y205&gt;=$D$2),V205/U205&lt;3),"Very serious", AND(W205&gt;$D$1*-1,W205&lt;$D$1,X205&gt;$D$1*-1,Y205&lt;$D$1,V205/U205&gt;=3),"Very serious", AND(W205&gt;$D$1*-1,W205&lt;$D$1,OR(X205&lt;=$D$1*-1,Y205&gt;=$D$1),X205&gt;$D$2*-1,Y205&lt;$D$2,V205/U205&gt;=3),"Very serious", AND(W205&gt;$D$1*-1,W205&lt;$D$1,OR(X205&lt;=$D$2*-1,Y205&gt;=$D$2),V205/U205&gt;=3),"Very serious"),"")),"")</f>
        <v/>
      </c>
      <c r="AT205" s="109" t="str">
        <f t="shared" si="9"/>
        <v/>
      </c>
      <c r="AU205" s="64"/>
      <c r="AV205" s="83"/>
      <c r="AW205" s="83"/>
      <c r="AX205" s="83"/>
      <c r="AY205" s="83"/>
      <c r="AZ205" s="83"/>
      <c r="BA205" s="85"/>
      <c r="BB205" s="86" t="str">
        <f>IF(Preferences!B$9="Manual","",IFS(ISBLANK(B205),"",AND(ISNUMBER(E205)=TRUE,ISNUMBER(T205)=FALSE),"Direct", AND(ISNUMBER(E205)=FALSE,ISNUMBER(T205)=TRUE),"Indirect", CN205=4,"Direct",AND(CL205=FALSE, CM205=TRUE,CN205-CO205&gt;-1),"Direct", AND(CL205=FALSE,CM205=TRUE, CN205-CO205&lt;0),"Check algorithm in appendix 2", AND(CL205=TRUE, CM205=FALSE,CN205-CO205&gt;0),"Check algorithm in appendix 2", AND(CL205=TRUE, CM205=FALSE,CN205-CO205=0),"Indirect", AND(CL205=TRUE, CM205=FALSE,CN205-CO205&lt;0),"Indirect", AND(CL205=FALSE,CM205=FALSE,CN205-CO205&gt;-1),"Direct", AND(CL205=FALSE,CM205=FALSE,CN205-CO205&lt;0),"Check algorithm in appendix 2", AND(CL205=TRUE,CM205=TRUE,CN205-CO205&gt;-1),"Direct", AND(CL205=TRUE,CM205=TRUE,CN205-CO205&lt;0),"Check algorithm in appendix 2"))</f>
        <v/>
      </c>
      <c r="BC205" s="120" t="str">
        <f t="shared" si="10"/>
        <v/>
      </c>
      <c r="BD205" s="140"/>
      <c r="BE205" s="122" t="str">
        <f>IF(Preferences!B$3="Manual","", IFERROR(IFS(AND(Preferences!B$3="Automatic",AX205/AW205&gt;=30),"Extremely serious",AND(AY205&lt;=$D$1*-1,BA205&lt;0,AX205/AW205&lt;3),"Not Serious",AND(AY205&lt;=$D$1*-1,BA205&lt;0,AX205/AW205&gt;=3),"Very serious",AND(AY205&gt;=$D$1,AZ205&gt;0,AX205/AW205&lt;3),"Not Serious",AND(AY205&gt;=$D$1,AZ205&gt;0,AX205/AW205&gt;=3),"Very serious",AND(AY205&lt;=$D$1*-1,BA205&gt;0,AZ205&gt;$D$2*-1,AX205/AW205&lt;3),"Serious", AND(AY205&lt;=$D$1*-1,BA205&gt;0,AZ205&lt;$D$2*-1,AX205/AW205&lt;3),"Very serious", AND(AY205&gt;=$D$1,AZ205&lt;0,BA205&lt;$D$2,AX205/AW205&lt;3),"Serious",AND(AY205&gt;=$D$1,AZ205&lt;0,BA205&gt;$D$2,AX205/AW205&lt;3),"Very serious", AND(AY205&lt;=$D$1*-1,BA205&gt;0,AZ205&gt;$D$2*-1,AX205/AW205&gt;=3),"Very serious", AND(AY205&lt;=$D$1*-1,BA205&gt;0,AZ205&lt;$D$2*-1,AX205/AW205&gt;=3),"Very serious", AND(AY205&gt;=$D$1,AZ205&lt;0,BA205&lt;$D$2,AX205/AW205&gt;=3),"Very serious", AND(AY205&gt;=$D$1,AZ205&lt;0,BA205&gt;$D$2,AX205/AW205&gt;=3),"Very serious", AND(AY205&gt;$D$1*-1,AY205&lt;$D$1,AZ205&gt;$D$1*-1,BA205&lt;$D$1,AX205/AW205&lt;3),"Not Serious", AND(AY205&gt;$D$1*-1,AY205&lt;$D$1,OR(AZ205&lt;=$D$1*-1,BA205&gt;=$D$1),AZ205&gt;$D$2*-1,BA205&lt;$D$2,AX205/AW205&lt;3),"Serious", AND(AY205&gt;$D$1*-1,AY205&lt;$D$1,OR(AZ205&lt;=$D$2*-1,BA205&gt;=$D$2),AX205/AW205&lt;3),"Very serious", AND(AY205&gt;$D$1*-1,AY205&lt;$D$1,AZ205&gt;$D$1*-1,BA205&lt;$D$1,AX205/AW205&gt;=3),"Very serious", AND(AY205&gt;$D$1*-1,AY205&lt;$D$1,OR(AZ205&lt;=$D$1*-1,BA205&gt;=$D$1),AZ205&gt;$D$2*-1,BA205&lt;$D$2,AX205/AW205&gt;=3),"Very serious", AND(AY205&gt;$D$1*-1,AY205&lt;$D$1,OR(AZ205&lt;=$D$2*-1,BA205&gt;=$D$2),AX205/AW205&gt;=3),"Very serious"),""))</f>
        <v/>
      </c>
      <c r="BF205" s="107" t="str">
        <f t="shared" si="11"/>
        <v/>
      </c>
      <c r="BG205" s="94" t="str">
        <f t="shared" si="46"/>
        <v/>
      </c>
      <c r="BH205" s="64" t="str">
        <f t="shared" si="12"/>
        <v>#N/A</v>
      </c>
      <c r="BI205" s="64" t="str">
        <f t="shared" si="13"/>
        <v/>
      </c>
      <c r="BJ205" s="123" t="str">
        <f t="shared" si="14"/>
        <v>#N/A</v>
      </c>
      <c r="BK205" s="64" t="str">
        <f t="shared" si="50"/>
        <v>YES</v>
      </c>
      <c r="BL205" s="64" t="str">
        <f t="shared" si="16"/>
        <v>YES</v>
      </c>
      <c r="BM205" s="64" t="str">
        <f t="shared" si="17"/>
        <v>YES</v>
      </c>
      <c r="BN205" s="124" t="str">
        <f t="shared" si="18"/>
        <v/>
      </c>
      <c r="BO205" s="91" t="str">
        <f t="shared" si="19"/>
        <v/>
      </c>
      <c r="BP205" s="91" t="str">
        <f t="shared" si="20"/>
        <v>#N/A</v>
      </c>
      <c r="BQ205" s="91" t="str">
        <f t="shared" si="21"/>
        <v/>
      </c>
      <c r="BR205" s="93" t="str">
        <f t="shared" si="22"/>
        <v/>
      </c>
      <c r="BS205" s="90" t="str">
        <f t="shared" si="23"/>
        <v/>
      </c>
      <c r="BT205" s="93" t="str">
        <f t="shared" si="24"/>
        <v>NA</v>
      </c>
      <c r="BU205" s="125" t="str">
        <f t="shared" si="25"/>
        <v>#N/A</v>
      </c>
      <c r="BV205" s="93" t="str">
        <f t="shared" si="26"/>
        <v/>
      </c>
      <c r="BW205" s="93" t="str">
        <f t="shared" si="27"/>
        <v/>
      </c>
      <c r="BX205" s="93" t="str">
        <f t="shared" si="28"/>
        <v>NA</v>
      </c>
      <c r="BY205" s="95" t="str">
        <f t="shared" si="29"/>
        <v>#N/A</v>
      </c>
      <c r="BZ205" s="93" t="str">
        <f t="shared" si="30"/>
        <v/>
      </c>
      <c r="CA205" s="93" t="str">
        <f t="shared" si="31"/>
        <v/>
      </c>
      <c r="CB205" s="93" t="str">
        <f t="shared" si="32"/>
        <v>NA</v>
      </c>
      <c r="CC205" s="96" t="str">
        <f t="shared" si="33"/>
        <v>#N/A</v>
      </c>
      <c r="CD205" s="93" t="str">
        <f t="shared" si="34"/>
        <v/>
      </c>
      <c r="CE205" s="93" t="str">
        <f t="shared" si="35"/>
        <v/>
      </c>
      <c r="CF205" s="93" t="str">
        <f t="shared" si="36"/>
        <v>NA</v>
      </c>
      <c r="CG205" s="97" t="str">
        <f t="shared" si="37"/>
        <v>#N/A</v>
      </c>
      <c r="CH205" s="98" t="str">
        <f t="shared" si="38"/>
        <v>#N/A</v>
      </c>
      <c r="CI205" s="99" t="str">
        <f t="shared" si="39"/>
        <v>#N/A</v>
      </c>
      <c r="CJ205" s="126" t="str">
        <f t="shared" si="40"/>
        <v>ERROR: check cell</v>
      </c>
      <c r="CK205" s="126"/>
      <c r="CL205" s="127" t="str">
        <f t="shared" si="41"/>
        <v>#DIV/0!</v>
      </c>
      <c r="CM205" s="128" t="str">
        <f t="shared" si="42"/>
        <v>#DIV/0!</v>
      </c>
      <c r="CN205" s="128">
        <f t="shared" si="43"/>
        <v>4</v>
      </c>
      <c r="CO205" s="129">
        <f t="shared" si="44"/>
        <v>4</v>
      </c>
      <c r="CP205" s="129" t="str">
        <f>IFS(C205=Preferences!B$13,B205,B205=Preferences!B$13,C205)</f>
        <v>#N/A</v>
      </c>
    </row>
    <row r="206" ht="13.5" customHeight="1">
      <c r="A206" s="63" t="str">
        <f t="shared" si="45"/>
        <v/>
      </c>
      <c r="B206" s="64"/>
      <c r="C206" s="64"/>
      <c r="D206" s="64"/>
      <c r="E206" s="65"/>
      <c r="F206" s="65"/>
      <c r="G206" s="65"/>
      <c r="H206" s="66"/>
      <c r="I206" s="66"/>
      <c r="J206" s="67"/>
      <c r="K206" s="68"/>
      <c r="L206" s="104"/>
      <c r="M206" s="104"/>
      <c r="N206" s="104"/>
      <c r="O206" s="104"/>
      <c r="P206" s="107" t="str">
        <f t="shared" si="1"/>
        <v/>
      </c>
      <c r="Q206" s="108" t="str">
        <f>IFERROR(IF(AND(Preferences!B$3="Manual",OR(AX206/AW206&gt;G206/F206,BD206="Serious",BD206="Very serious")),"Assess imprecision",IFS(ISBLANK(E206),"",AND(Preferences!B$3="Automatic", G206/F206&gt;=30),"Extremely serious",AND(H206&lt;=$D$1*-1,J206&lt;0,G206/F206&lt;3),"Not serious",AND(H206&lt;=$D$1*-1,J206&lt;0,G206/F206&gt;=3),"Very serious",AND(H206&gt;=$D$1,I206&gt;0,G206/F206&lt;3),"Not serious",AND(H206&gt;=$D$1,I206&gt;0,G206/F206&gt;=3),"Very serious",AND(H206&lt;=$D$1*-1,J206&gt;0,I206&gt;$D$2*-1,G206/F206&lt;3),"Serious", AND(H206&lt;=$D$1*-1,J206&gt;0,I206&lt;$D$2*-1,G206/F206&lt;3),"Very serious", AND(H206&gt;=$D$1,I206&lt;0,J206&lt;$D$2,G206/F206&lt;3),"Serious",AND(H206&gt;=$D$1,I206&lt;0,J206&gt;$D$2,G206/F206&lt;3),"Very serious", AND(H206&lt;=$D$1*-1,J206&gt;0,I206&gt;$D$2*-1,G206/F206&gt;=3),"Very serious", AND(H206&lt;=$D$1*-1,J206&gt;0,I206&lt;$D$2*-1,G206/F206&gt;=3),"Very serious", AND(H206&gt;=$D$1,I206&lt;0,J206&lt;$D$2,G206/F206&gt;=3),"Very serious", AND(H206&gt;=$D$1,I206&lt;0,J206&gt;$D$2,G206/F206&gt;=3),"Very serious", AND(H206&gt;$D$1*-1,H206&lt;$D$1,I206&gt;$D$1*-1,J206&lt;$D$1,G206/F206&lt;3),"Not serious", AND(H206&gt;$D$1*-1,H206&lt;$D$1,OR(I206&lt;=$D$1*-1,J206&gt;=$D$1),I206&gt;$D$2*-1,J206&lt;$D$2,G206/F206&lt;3),"Serious", AND(H206&gt;$D$1*-1,H206&lt;$D$1,OR(I206&lt;=$D$2*-1,J206&gt;=$D$2),G206/F206&lt;3),"Very serious", AND(H206&gt;$D$1*-1,H206&lt;$D$1,I206&gt;$D$1*-1,J206&lt;$D$1,G206/F206&gt;=3),"Very serious", AND(H206&gt;$D$1*-1,H206&lt;$D$1,OR(I206&lt;=$D$1*-1,J206&gt;=$D$1),I206&gt;$D$2*-1,J206&lt;$D$2,G206/F206&gt;=3),"Very serious", AND(H206&gt;$D$1*-1,H206&lt;$D$1,OR(I206&lt;=$D$2*-1,J206&gt;=$D$2),G206/F206&gt;=3),"Very serious")),"")</f>
        <v/>
      </c>
      <c r="R206" s="109" t="str">
        <f t="shared" si="47"/>
        <v/>
      </c>
      <c r="S206" s="64"/>
      <c r="T206" s="72"/>
      <c r="U206" s="72"/>
      <c r="V206" s="72"/>
      <c r="W206" s="73"/>
      <c r="X206" s="73"/>
      <c r="Y206" s="74"/>
      <c r="Z206" s="113" t="str">
        <f t="array" ref="Z206">INDEX($A$1:$C$500, MATCH(1,($B:$B=$B206)*($C:$C=$AB206),0),1)</f>
        <v/>
      </c>
      <c r="AA206" s="113" t="str">
        <f t="array" ref="AA206">INDEX($A$1:$C$500, MATCH(1,($B:$B=$AB206)*($C:$C=$B206),0),1)</f>
        <v/>
      </c>
      <c r="AB206" s="111"/>
      <c r="AC206" s="114" t="str">
        <f t="shared" si="2"/>
        <v/>
      </c>
      <c r="AD206" s="115" t="str">
        <f t="shared" si="3"/>
        <v/>
      </c>
      <c r="AE206" s="116" t="str">
        <f t="array" ref="AE206">INDEX($A$1:$C$500, MATCH(1,($B:$B=$AB206)*($C:$C=$AG206),0),1)</f>
        <v/>
      </c>
      <c r="AF206" s="116" t="str">
        <f t="array" ref="AF206">INDEX($A$1:$C$500, MATCH(1,($B:$B=$AG206)*($C:$C=$AB206),0),1)</f>
        <v/>
      </c>
      <c r="AG206" s="72"/>
      <c r="AH206" s="114" t="str">
        <f t="shared" si="4"/>
        <v/>
      </c>
      <c r="AI206" s="115" t="str">
        <f t="shared" si="5"/>
        <v/>
      </c>
      <c r="AJ206" s="116" t="str">
        <f t="array" ref="AJ206">INDEX($A$1:$C$500, MATCH(1,($B:$B=$C206)*($C:$C=$AG206),0),1)</f>
        <v/>
      </c>
      <c r="AK206" s="116" t="str">
        <f t="array" ref="AK206">INDEX($A$1:$C$500, MATCH(1,($B:$B=$AG206)*($C:$C=$C206),0),1)</f>
        <v/>
      </c>
      <c r="AL206" s="116" t="str">
        <f t="array" ref="AL206">INDEX($A$1:$C$500, MATCH(1,($B:$B=$C206)*($C:$C=$AB206),0),1)</f>
        <v/>
      </c>
      <c r="AM206" s="116" t="str">
        <f t="array" ref="AM206">INDEX($A$1:$C$500, MATCH(1,($B:$B=$AB206)*($C:$C=$C206),0),1)</f>
        <v/>
      </c>
      <c r="AN206" s="114" t="str">
        <f t="array" ref="AN206">IFS(ISNUMBER(AJ206),AJ206,ISNUMBER(AK206),AK206,ISNUMBER(AL206),AL206,ISNUMBER(AM206),AM206)</f>
        <v>#N/A</v>
      </c>
      <c r="AO206" s="115" t="str">
        <f t="shared" si="6"/>
        <v/>
      </c>
      <c r="AP206" s="115" t="str">
        <f t="shared" si="7"/>
        <v/>
      </c>
      <c r="AQ206" s="111"/>
      <c r="AR206" s="109" t="str">
        <f t="shared" si="8"/>
        <v/>
      </c>
      <c r="AS206" s="72" t="str">
        <f>IFERROR(IF(AND(Preferences!B$3="Manual",OR(AX206/AW206&gt;V206/U206,BD206="Serious",BD206="Very serious")),"Assess imprecision",IFERROR(IFS(AND(Preferences!B$3="Automatic",V206/U206&gt;=30),"Extremely serious",AND(W206&lt;=$D$1*-1,Y206&lt;0,V206/U206&lt;3),"Not Serious",AND(W206&lt;=$D$1*-1,Y206&lt;0,V206/U206&gt;=3),"Very serious",AND(W206&gt;=$D$1,X206&gt;0,V206/U206&lt;3),"Not Serious",AND(W206&gt;=$D$1,X206&gt;0,V206/U206&gt;=3),"Very serious",AND(W206&lt;=$D$1*-1,Y206&gt;0,X206&gt;$D$2*-1,V206/U206&lt;3),"Serious", AND(W206&lt;=$D$1*-1,Y206&gt;0,X206&lt;$D$2*-1,V206/U206&lt;3),"Very serious", AND(W206&gt;=$D$1,X206&lt;0,Y206&lt;$D$2,V206/U206&lt;3),"Serious",AND(W206&gt;=$D$1,X206&lt;0,Y206&gt;$D$2,V206/U206&lt;3),"Very serious", AND(W206&lt;=$D$1*-1,Y206&gt;0,X206&gt;$D$2*-1,V206/U206&gt;=3),"Very serious", AND(W206&lt;=$D$1*-1,Y206&gt;0,X206&lt;$D$2*-1,V206/U206&gt;=3),"Very serious", AND(W206&gt;=$D$1,X206&lt;0,Y206&lt;$D$2,V206/U206&gt;=3),"Very serious", AND(W206&gt;=$D$1,X206&lt;0,Y206&gt;$D$2,V206/U206&gt;=3),"Very serious", AND(W206&gt;$D$1*-1,W206&lt;$D$1,X206&gt;$D$1*-1,Y206&lt;$D$1,V206/U206&lt;3),"Not Serious", AND(W206&gt;$D$1*-1,W206&lt;$D$1,OR(X206&lt;=$D$1*-1,Y206&gt;=$D$1),X206&gt;$D$2*-1,Y206&lt;$D$2,V206/U206&lt;3),"Serious", AND(W206&gt;$D$1*-1,W206&lt;$D$1,OR(X206&lt;=$D$2*-1,Y206&gt;=$D$2),V206/U206&lt;3),"Very serious", AND(W206&gt;$D$1*-1,W206&lt;$D$1,X206&gt;$D$1*-1,Y206&lt;$D$1,V206/U206&gt;=3),"Very serious", AND(W206&gt;$D$1*-1,W206&lt;$D$1,OR(X206&lt;=$D$1*-1,Y206&gt;=$D$1),X206&gt;$D$2*-1,Y206&lt;$D$2,V206/U206&gt;=3),"Very serious", AND(W206&gt;$D$1*-1,W206&lt;$D$1,OR(X206&lt;=$D$2*-1,Y206&gt;=$D$2),V206/U206&gt;=3),"Very serious"),"")),"")</f>
        <v/>
      </c>
      <c r="AT206" s="109" t="str">
        <f t="shared" si="9"/>
        <v/>
      </c>
      <c r="AU206" s="64"/>
      <c r="AV206" s="83"/>
      <c r="AW206" s="83"/>
      <c r="AX206" s="83"/>
      <c r="AY206" s="83"/>
      <c r="AZ206" s="83"/>
      <c r="BA206" s="85"/>
      <c r="BB206" s="86" t="str">
        <f>IF(Preferences!B$9="Manual","",IFS(ISBLANK(B206),"",AND(ISNUMBER(E206)=TRUE,ISNUMBER(T206)=FALSE),"Direct", AND(ISNUMBER(E206)=FALSE,ISNUMBER(T206)=TRUE),"Indirect", CN206=4,"Direct",AND(CL206=FALSE, CM206=TRUE,CN206-CO206&gt;-1),"Direct", AND(CL206=FALSE,CM206=TRUE, CN206-CO206&lt;0),"Check algorithm in appendix 2", AND(CL206=TRUE, CM206=FALSE,CN206-CO206&gt;0),"Check algorithm in appendix 2", AND(CL206=TRUE, CM206=FALSE,CN206-CO206=0),"Indirect", AND(CL206=TRUE, CM206=FALSE,CN206-CO206&lt;0),"Indirect", AND(CL206=FALSE,CM206=FALSE,CN206-CO206&gt;-1),"Direct", AND(CL206=FALSE,CM206=FALSE,CN206-CO206&lt;0),"Check algorithm in appendix 2", AND(CL206=TRUE,CM206=TRUE,CN206-CO206&gt;-1),"Direct", AND(CL206=TRUE,CM206=TRUE,CN206-CO206&lt;0),"Check algorithm in appendix 2"))</f>
        <v/>
      </c>
      <c r="BC206" s="120" t="str">
        <f t="shared" si="10"/>
        <v/>
      </c>
      <c r="BD206" s="140"/>
      <c r="BE206" s="122" t="str">
        <f>IF(Preferences!B$3="Manual","", IFERROR(IFS(AND(Preferences!B$3="Automatic",AX206/AW206&gt;=30),"Extremely serious",AND(AY206&lt;=$D$1*-1,BA206&lt;0,AX206/AW206&lt;3),"Not Serious",AND(AY206&lt;=$D$1*-1,BA206&lt;0,AX206/AW206&gt;=3),"Very serious",AND(AY206&gt;=$D$1,AZ206&gt;0,AX206/AW206&lt;3),"Not Serious",AND(AY206&gt;=$D$1,AZ206&gt;0,AX206/AW206&gt;=3),"Very serious",AND(AY206&lt;=$D$1*-1,BA206&gt;0,AZ206&gt;$D$2*-1,AX206/AW206&lt;3),"Serious", AND(AY206&lt;=$D$1*-1,BA206&gt;0,AZ206&lt;$D$2*-1,AX206/AW206&lt;3),"Very serious", AND(AY206&gt;=$D$1,AZ206&lt;0,BA206&lt;$D$2,AX206/AW206&lt;3),"Serious",AND(AY206&gt;=$D$1,AZ206&lt;0,BA206&gt;$D$2,AX206/AW206&lt;3),"Very serious", AND(AY206&lt;=$D$1*-1,BA206&gt;0,AZ206&gt;$D$2*-1,AX206/AW206&gt;=3),"Very serious", AND(AY206&lt;=$D$1*-1,BA206&gt;0,AZ206&lt;$D$2*-1,AX206/AW206&gt;=3),"Very serious", AND(AY206&gt;=$D$1,AZ206&lt;0,BA206&lt;$D$2,AX206/AW206&gt;=3),"Very serious", AND(AY206&gt;=$D$1,AZ206&lt;0,BA206&gt;$D$2,AX206/AW206&gt;=3),"Very serious", AND(AY206&gt;$D$1*-1,AY206&lt;$D$1,AZ206&gt;$D$1*-1,BA206&lt;$D$1,AX206/AW206&lt;3),"Not Serious", AND(AY206&gt;$D$1*-1,AY206&lt;$D$1,OR(AZ206&lt;=$D$1*-1,BA206&gt;=$D$1),AZ206&gt;$D$2*-1,BA206&lt;$D$2,AX206/AW206&lt;3),"Serious", AND(AY206&gt;$D$1*-1,AY206&lt;$D$1,OR(AZ206&lt;=$D$2*-1,BA206&gt;=$D$2),AX206/AW206&lt;3),"Very serious", AND(AY206&gt;$D$1*-1,AY206&lt;$D$1,AZ206&gt;$D$1*-1,BA206&lt;$D$1,AX206/AW206&gt;=3),"Very serious", AND(AY206&gt;$D$1*-1,AY206&lt;$D$1,OR(AZ206&lt;=$D$1*-1,BA206&gt;=$D$1),AZ206&gt;$D$2*-1,BA206&lt;$D$2,AX206/AW206&gt;=3),"Very serious", AND(AY206&gt;$D$1*-1,AY206&lt;$D$1,OR(AZ206&lt;=$D$2*-1,BA206&gt;=$D$2),AX206/AW206&gt;=3),"Very serious"),""))</f>
        <v/>
      </c>
      <c r="BF206" s="107" t="str">
        <f t="shared" si="11"/>
        <v/>
      </c>
      <c r="BG206" s="94" t="str">
        <f t="shared" si="46"/>
        <v/>
      </c>
      <c r="BH206" s="64" t="str">
        <f t="shared" si="12"/>
        <v>#N/A</v>
      </c>
      <c r="BI206" s="64" t="str">
        <f t="shared" si="13"/>
        <v/>
      </c>
      <c r="BJ206" s="123" t="str">
        <f t="shared" si="14"/>
        <v>#N/A</v>
      </c>
      <c r="BK206" s="64" t="str">
        <f t="shared" si="50"/>
        <v>YES</v>
      </c>
      <c r="BL206" s="64" t="str">
        <f t="shared" si="16"/>
        <v>YES</v>
      </c>
      <c r="BM206" s="64" t="str">
        <f t="shared" si="17"/>
        <v>YES</v>
      </c>
      <c r="BN206" s="124" t="str">
        <f t="shared" si="18"/>
        <v/>
      </c>
      <c r="BO206" s="91" t="str">
        <f t="shared" si="19"/>
        <v/>
      </c>
      <c r="BP206" s="91" t="str">
        <f t="shared" si="20"/>
        <v>#N/A</v>
      </c>
      <c r="BQ206" s="91" t="str">
        <f t="shared" si="21"/>
        <v/>
      </c>
      <c r="BR206" s="93" t="str">
        <f t="shared" si="22"/>
        <v/>
      </c>
      <c r="BS206" s="90" t="str">
        <f t="shared" si="23"/>
        <v/>
      </c>
      <c r="BT206" s="93" t="str">
        <f t="shared" si="24"/>
        <v>NA</v>
      </c>
      <c r="BU206" s="125" t="str">
        <f t="shared" si="25"/>
        <v>#N/A</v>
      </c>
      <c r="BV206" s="93" t="str">
        <f t="shared" si="26"/>
        <v/>
      </c>
      <c r="BW206" s="93" t="str">
        <f t="shared" si="27"/>
        <v/>
      </c>
      <c r="BX206" s="93" t="str">
        <f t="shared" si="28"/>
        <v>NA</v>
      </c>
      <c r="BY206" s="95" t="str">
        <f t="shared" si="29"/>
        <v>#N/A</v>
      </c>
      <c r="BZ206" s="93" t="str">
        <f t="shared" si="30"/>
        <v/>
      </c>
      <c r="CA206" s="93" t="str">
        <f t="shared" si="31"/>
        <v/>
      </c>
      <c r="CB206" s="93" t="str">
        <f t="shared" si="32"/>
        <v>NA</v>
      </c>
      <c r="CC206" s="96" t="str">
        <f t="shared" si="33"/>
        <v>#N/A</v>
      </c>
      <c r="CD206" s="93" t="str">
        <f t="shared" si="34"/>
        <v/>
      </c>
      <c r="CE206" s="93" t="str">
        <f t="shared" si="35"/>
        <v/>
      </c>
      <c r="CF206" s="93" t="str">
        <f t="shared" si="36"/>
        <v>NA</v>
      </c>
      <c r="CG206" s="97" t="str">
        <f t="shared" si="37"/>
        <v>#N/A</v>
      </c>
      <c r="CH206" s="98" t="str">
        <f t="shared" si="38"/>
        <v>#N/A</v>
      </c>
      <c r="CI206" s="99" t="str">
        <f t="shared" si="39"/>
        <v>#N/A</v>
      </c>
      <c r="CJ206" s="126" t="str">
        <f t="shared" si="40"/>
        <v>ERROR: check cell</v>
      </c>
      <c r="CK206" s="126"/>
      <c r="CL206" s="127" t="str">
        <f t="shared" si="41"/>
        <v>#DIV/0!</v>
      </c>
      <c r="CM206" s="128" t="str">
        <f t="shared" si="42"/>
        <v>#DIV/0!</v>
      </c>
      <c r="CN206" s="128">
        <f t="shared" si="43"/>
        <v>4</v>
      </c>
      <c r="CO206" s="129">
        <f t="shared" si="44"/>
        <v>4</v>
      </c>
      <c r="CP206" s="129" t="str">
        <f>IFS(C206=Preferences!B$13,B206,B206=Preferences!B$13,C206)</f>
        <v>#N/A</v>
      </c>
    </row>
    <row r="207" ht="13.5" customHeight="1">
      <c r="A207" s="63" t="str">
        <f t="shared" si="45"/>
        <v/>
      </c>
      <c r="B207" s="64"/>
      <c r="C207" s="64"/>
      <c r="D207" s="64"/>
      <c r="E207" s="65"/>
      <c r="F207" s="65"/>
      <c r="G207" s="65"/>
      <c r="H207" s="66"/>
      <c r="I207" s="66"/>
      <c r="J207" s="67"/>
      <c r="K207" s="68"/>
      <c r="L207" s="104"/>
      <c r="M207" s="104"/>
      <c r="N207" s="104"/>
      <c r="O207" s="104"/>
      <c r="P207" s="107" t="str">
        <f t="shared" si="1"/>
        <v/>
      </c>
      <c r="Q207" s="108" t="str">
        <f>IFERROR(IF(AND(Preferences!B$3="Manual",OR(AX207/AW207&gt;G207/F207,BD207="Serious",BD207="Very serious")),"Assess imprecision",IFS(ISBLANK(E207),"",AND(Preferences!B$3="Automatic", G207/F207&gt;=30),"Extremely serious",AND(H207&lt;=$D$1*-1,J207&lt;0,G207/F207&lt;3),"Not serious",AND(H207&lt;=$D$1*-1,J207&lt;0,G207/F207&gt;=3),"Very serious",AND(H207&gt;=$D$1,I207&gt;0,G207/F207&lt;3),"Not serious",AND(H207&gt;=$D$1,I207&gt;0,G207/F207&gt;=3),"Very serious",AND(H207&lt;=$D$1*-1,J207&gt;0,I207&gt;$D$2*-1,G207/F207&lt;3),"Serious", AND(H207&lt;=$D$1*-1,J207&gt;0,I207&lt;$D$2*-1,G207/F207&lt;3),"Very serious", AND(H207&gt;=$D$1,I207&lt;0,J207&lt;$D$2,G207/F207&lt;3),"Serious",AND(H207&gt;=$D$1,I207&lt;0,J207&gt;$D$2,G207/F207&lt;3),"Very serious", AND(H207&lt;=$D$1*-1,J207&gt;0,I207&gt;$D$2*-1,G207/F207&gt;=3),"Very serious", AND(H207&lt;=$D$1*-1,J207&gt;0,I207&lt;$D$2*-1,G207/F207&gt;=3),"Very serious", AND(H207&gt;=$D$1,I207&lt;0,J207&lt;$D$2,G207/F207&gt;=3),"Very serious", AND(H207&gt;=$D$1,I207&lt;0,J207&gt;$D$2,G207/F207&gt;=3),"Very serious", AND(H207&gt;$D$1*-1,H207&lt;$D$1,I207&gt;$D$1*-1,J207&lt;$D$1,G207/F207&lt;3),"Not serious", AND(H207&gt;$D$1*-1,H207&lt;$D$1,OR(I207&lt;=$D$1*-1,J207&gt;=$D$1),I207&gt;$D$2*-1,J207&lt;$D$2,G207/F207&lt;3),"Serious", AND(H207&gt;$D$1*-1,H207&lt;$D$1,OR(I207&lt;=$D$2*-1,J207&gt;=$D$2),G207/F207&lt;3),"Very serious", AND(H207&gt;$D$1*-1,H207&lt;$D$1,I207&gt;$D$1*-1,J207&lt;$D$1,G207/F207&gt;=3),"Very serious", AND(H207&gt;$D$1*-1,H207&lt;$D$1,OR(I207&lt;=$D$1*-1,J207&gt;=$D$1),I207&gt;$D$2*-1,J207&lt;$D$2,G207/F207&gt;=3),"Very serious", AND(H207&gt;$D$1*-1,H207&lt;$D$1,OR(I207&lt;=$D$2*-1,J207&gt;=$D$2),G207/F207&gt;=3),"Very serious")),"")</f>
        <v/>
      </c>
      <c r="R207" s="109" t="str">
        <f t="shared" si="47"/>
        <v/>
      </c>
      <c r="S207" s="64"/>
      <c r="T207" s="72"/>
      <c r="U207" s="72"/>
      <c r="V207" s="72"/>
      <c r="W207" s="73"/>
      <c r="X207" s="73"/>
      <c r="Y207" s="74"/>
      <c r="Z207" s="113" t="str">
        <f t="array" ref="Z207">INDEX($A$1:$C$500, MATCH(1,($B:$B=$B207)*($C:$C=$AB207),0),1)</f>
        <v/>
      </c>
      <c r="AA207" s="113" t="str">
        <f t="array" ref="AA207">INDEX($A$1:$C$500, MATCH(1,($B:$B=$AB207)*($C:$C=$B207),0),1)</f>
        <v/>
      </c>
      <c r="AB207" s="111"/>
      <c r="AC207" s="114" t="str">
        <f t="shared" si="2"/>
        <v/>
      </c>
      <c r="AD207" s="115" t="str">
        <f t="shared" si="3"/>
        <v/>
      </c>
      <c r="AE207" s="116" t="str">
        <f t="array" ref="AE207">INDEX($A$1:$C$500, MATCH(1,($B:$B=$AB207)*($C:$C=$AG207),0),1)</f>
        <v/>
      </c>
      <c r="AF207" s="116" t="str">
        <f t="array" ref="AF207">INDEX($A$1:$C$500, MATCH(1,($B:$B=$AG207)*($C:$C=$AB207),0),1)</f>
        <v/>
      </c>
      <c r="AG207" s="72"/>
      <c r="AH207" s="114" t="str">
        <f t="shared" si="4"/>
        <v/>
      </c>
      <c r="AI207" s="115" t="str">
        <f t="shared" si="5"/>
        <v/>
      </c>
      <c r="AJ207" s="116" t="str">
        <f t="array" ref="AJ207">INDEX($A$1:$C$500, MATCH(1,($B:$B=$C207)*($C:$C=$AG207),0),1)</f>
        <v/>
      </c>
      <c r="AK207" s="116" t="str">
        <f t="array" ref="AK207">INDEX($A$1:$C$500, MATCH(1,($B:$B=$AG207)*($C:$C=$C207),0),1)</f>
        <v/>
      </c>
      <c r="AL207" s="116" t="str">
        <f t="array" ref="AL207">INDEX($A$1:$C$500, MATCH(1,($B:$B=$C207)*($C:$C=$AB207),0),1)</f>
        <v/>
      </c>
      <c r="AM207" s="116" t="str">
        <f t="array" ref="AM207">INDEX($A$1:$C$500, MATCH(1,($B:$B=$AB207)*($C:$C=$C207),0),1)</f>
        <v/>
      </c>
      <c r="AN207" s="114" t="str">
        <f t="array" ref="AN207">IFS(ISNUMBER(AJ207),AJ207,ISNUMBER(AK207),AK207,ISNUMBER(AL207),AL207,ISNUMBER(AM207),AM207)</f>
        <v>#N/A</v>
      </c>
      <c r="AO207" s="115" t="str">
        <f t="shared" si="6"/>
        <v/>
      </c>
      <c r="AP207" s="115" t="str">
        <f t="shared" si="7"/>
        <v/>
      </c>
      <c r="AQ207" s="111"/>
      <c r="AR207" s="109" t="str">
        <f t="shared" si="8"/>
        <v/>
      </c>
      <c r="AS207" s="72" t="str">
        <f>IFERROR(IF(AND(Preferences!B$3="Manual",OR(AX207/AW207&gt;V207/U207,BD207="Serious",BD207="Very serious")),"Assess imprecision",IFERROR(IFS(AND(Preferences!B$3="Automatic",V207/U207&gt;=30),"Extremely serious",AND(W207&lt;=$D$1*-1,Y207&lt;0,V207/U207&lt;3),"Not Serious",AND(W207&lt;=$D$1*-1,Y207&lt;0,V207/U207&gt;=3),"Very serious",AND(W207&gt;=$D$1,X207&gt;0,V207/U207&lt;3),"Not Serious",AND(W207&gt;=$D$1,X207&gt;0,V207/U207&gt;=3),"Very serious",AND(W207&lt;=$D$1*-1,Y207&gt;0,X207&gt;$D$2*-1,V207/U207&lt;3),"Serious", AND(W207&lt;=$D$1*-1,Y207&gt;0,X207&lt;$D$2*-1,V207/U207&lt;3),"Very serious", AND(W207&gt;=$D$1,X207&lt;0,Y207&lt;$D$2,V207/U207&lt;3),"Serious",AND(W207&gt;=$D$1,X207&lt;0,Y207&gt;$D$2,V207/U207&lt;3),"Very serious", AND(W207&lt;=$D$1*-1,Y207&gt;0,X207&gt;$D$2*-1,V207/U207&gt;=3),"Very serious", AND(W207&lt;=$D$1*-1,Y207&gt;0,X207&lt;$D$2*-1,V207/U207&gt;=3),"Very serious", AND(W207&gt;=$D$1,X207&lt;0,Y207&lt;$D$2,V207/U207&gt;=3),"Very serious", AND(W207&gt;=$D$1,X207&lt;0,Y207&gt;$D$2,V207/U207&gt;=3),"Very serious", AND(W207&gt;$D$1*-1,W207&lt;$D$1,X207&gt;$D$1*-1,Y207&lt;$D$1,V207/U207&lt;3),"Not Serious", AND(W207&gt;$D$1*-1,W207&lt;$D$1,OR(X207&lt;=$D$1*-1,Y207&gt;=$D$1),X207&gt;$D$2*-1,Y207&lt;$D$2,V207/U207&lt;3),"Serious", AND(W207&gt;$D$1*-1,W207&lt;$D$1,OR(X207&lt;=$D$2*-1,Y207&gt;=$D$2),V207/U207&lt;3),"Very serious", AND(W207&gt;$D$1*-1,W207&lt;$D$1,X207&gt;$D$1*-1,Y207&lt;$D$1,V207/U207&gt;=3),"Very serious", AND(W207&gt;$D$1*-1,W207&lt;$D$1,OR(X207&lt;=$D$1*-1,Y207&gt;=$D$1),X207&gt;$D$2*-1,Y207&lt;$D$2,V207/U207&gt;=3),"Very serious", AND(W207&gt;$D$1*-1,W207&lt;$D$1,OR(X207&lt;=$D$2*-1,Y207&gt;=$D$2),V207/U207&gt;=3),"Very serious"),"")),"")</f>
        <v/>
      </c>
      <c r="AT207" s="109" t="str">
        <f t="shared" si="9"/>
        <v/>
      </c>
      <c r="AU207" s="64"/>
      <c r="AV207" s="83"/>
      <c r="AW207" s="83"/>
      <c r="AX207" s="83"/>
      <c r="AY207" s="83"/>
      <c r="AZ207" s="83"/>
      <c r="BA207" s="85"/>
      <c r="BB207" s="86" t="str">
        <f>IF(Preferences!B$9="Manual","",IFS(ISBLANK(B207),"",AND(ISNUMBER(E207)=TRUE,ISNUMBER(T207)=FALSE),"Direct", AND(ISNUMBER(E207)=FALSE,ISNUMBER(T207)=TRUE),"Indirect", CN207=4,"Direct",AND(CL207=FALSE, CM207=TRUE,CN207-CO207&gt;-1),"Direct", AND(CL207=FALSE,CM207=TRUE, CN207-CO207&lt;0),"Check algorithm in appendix 2", AND(CL207=TRUE, CM207=FALSE,CN207-CO207&gt;0),"Check algorithm in appendix 2", AND(CL207=TRUE, CM207=FALSE,CN207-CO207=0),"Indirect", AND(CL207=TRUE, CM207=FALSE,CN207-CO207&lt;0),"Indirect", AND(CL207=FALSE,CM207=FALSE,CN207-CO207&gt;-1),"Direct", AND(CL207=FALSE,CM207=FALSE,CN207-CO207&lt;0),"Check algorithm in appendix 2", AND(CL207=TRUE,CM207=TRUE,CN207-CO207&gt;-1),"Direct", AND(CL207=TRUE,CM207=TRUE,CN207-CO207&lt;0),"Check algorithm in appendix 2"))</f>
        <v/>
      </c>
      <c r="BC207" s="120" t="str">
        <f t="shared" si="10"/>
        <v/>
      </c>
      <c r="BD207" s="140"/>
      <c r="BE207" s="122" t="str">
        <f>IF(Preferences!B$3="Manual","", IFERROR(IFS(AND(Preferences!B$3="Automatic",AX207/AW207&gt;=30),"Extremely serious",AND(AY207&lt;=$D$1*-1,BA207&lt;0,AX207/AW207&lt;3),"Not Serious",AND(AY207&lt;=$D$1*-1,BA207&lt;0,AX207/AW207&gt;=3),"Very serious",AND(AY207&gt;=$D$1,AZ207&gt;0,AX207/AW207&lt;3),"Not Serious",AND(AY207&gt;=$D$1,AZ207&gt;0,AX207/AW207&gt;=3),"Very serious",AND(AY207&lt;=$D$1*-1,BA207&gt;0,AZ207&gt;$D$2*-1,AX207/AW207&lt;3),"Serious", AND(AY207&lt;=$D$1*-1,BA207&gt;0,AZ207&lt;$D$2*-1,AX207/AW207&lt;3),"Very serious", AND(AY207&gt;=$D$1,AZ207&lt;0,BA207&lt;$D$2,AX207/AW207&lt;3),"Serious",AND(AY207&gt;=$D$1,AZ207&lt;0,BA207&gt;$D$2,AX207/AW207&lt;3),"Very serious", AND(AY207&lt;=$D$1*-1,BA207&gt;0,AZ207&gt;$D$2*-1,AX207/AW207&gt;=3),"Very serious", AND(AY207&lt;=$D$1*-1,BA207&gt;0,AZ207&lt;$D$2*-1,AX207/AW207&gt;=3),"Very serious", AND(AY207&gt;=$D$1,AZ207&lt;0,BA207&lt;$D$2,AX207/AW207&gt;=3),"Very serious", AND(AY207&gt;=$D$1,AZ207&lt;0,BA207&gt;$D$2,AX207/AW207&gt;=3),"Very serious", AND(AY207&gt;$D$1*-1,AY207&lt;$D$1,AZ207&gt;$D$1*-1,BA207&lt;$D$1,AX207/AW207&lt;3),"Not Serious", AND(AY207&gt;$D$1*-1,AY207&lt;$D$1,OR(AZ207&lt;=$D$1*-1,BA207&gt;=$D$1),AZ207&gt;$D$2*-1,BA207&lt;$D$2,AX207/AW207&lt;3),"Serious", AND(AY207&gt;$D$1*-1,AY207&lt;$D$1,OR(AZ207&lt;=$D$2*-1,BA207&gt;=$D$2),AX207/AW207&lt;3),"Very serious", AND(AY207&gt;$D$1*-1,AY207&lt;$D$1,AZ207&gt;$D$1*-1,BA207&lt;$D$1,AX207/AW207&gt;=3),"Very serious", AND(AY207&gt;$D$1*-1,AY207&lt;$D$1,OR(AZ207&lt;=$D$1*-1,BA207&gt;=$D$1),AZ207&gt;$D$2*-1,BA207&lt;$D$2,AX207/AW207&gt;=3),"Very serious", AND(AY207&gt;$D$1*-1,AY207&lt;$D$1,OR(AZ207&lt;=$D$2*-1,BA207&gt;=$D$2),AX207/AW207&gt;=3),"Very serious"),""))</f>
        <v/>
      </c>
      <c r="BF207" s="107" t="str">
        <f t="shared" si="11"/>
        <v/>
      </c>
      <c r="BG207" s="94" t="str">
        <f t="shared" si="46"/>
        <v/>
      </c>
      <c r="BH207" s="64" t="str">
        <f t="shared" si="12"/>
        <v>#N/A</v>
      </c>
      <c r="BI207" s="64" t="str">
        <f t="shared" si="13"/>
        <v/>
      </c>
      <c r="BJ207" s="123" t="str">
        <f t="shared" si="14"/>
        <v>#N/A</v>
      </c>
      <c r="BK207" s="64" t="str">
        <f t="shared" si="50"/>
        <v>YES</v>
      </c>
      <c r="BL207" s="64" t="str">
        <f t="shared" si="16"/>
        <v>YES</v>
      </c>
      <c r="BM207" s="64" t="str">
        <f t="shared" si="17"/>
        <v>YES</v>
      </c>
      <c r="BN207" s="124" t="str">
        <f t="shared" si="18"/>
        <v/>
      </c>
      <c r="BO207" s="91" t="str">
        <f t="shared" si="19"/>
        <v/>
      </c>
      <c r="BP207" s="91" t="str">
        <f t="shared" si="20"/>
        <v>#N/A</v>
      </c>
      <c r="BQ207" s="91" t="str">
        <f t="shared" si="21"/>
        <v/>
      </c>
      <c r="BR207" s="93" t="str">
        <f t="shared" si="22"/>
        <v/>
      </c>
      <c r="BS207" s="90" t="str">
        <f t="shared" si="23"/>
        <v/>
      </c>
      <c r="BT207" s="93" t="str">
        <f t="shared" si="24"/>
        <v>NA</v>
      </c>
      <c r="BU207" s="125" t="str">
        <f t="shared" si="25"/>
        <v>#N/A</v>
      </c>
      <c r="BV207" s="93" t="str">
        <f t="shared" si="26"/>
        <v/>
      </c>
      <c r="BW207" s="93" t="str">
        <f t="shared" si="27"/>
        <v/>
      </c>
      <c r="BX207" s="93" t="str">
        <f t="shared" si="28"/>
        <v>NA</v>
      </c>
      <c r="BY207" s="95" t="str">
        <f t="shared" si="29"/>
        <v>#N/A</v>
      </c>
      <c r="BZ207" s="93" t="str">
        <f t="shared" si="30"/>
        <v/>
      </c>
      <c r="CA207" s="93" t="str">
        <f t="shared" si="31"/>
        <v/>
      </c>
      <c r="CB207" s="93" t="str">
        <f t="shared" si="32"/>
        <v>NA</v>
      </c>
      <c r="CC207" s="96" t="str">
        <f t="shared" si="33"/>
        <v>#N/A</v>
      </c>
      <c r="CD207" s="93" t="str">
        <f t="shared" si="34"/>
        <v/>
      </c>
      <c r="CE207" s="93" t="str">
        <f t="shared" si="35"/>
        <v/>
      </c>
      <c r="CF207" s="93" t="str">
        <f t="shared" si="36"/>
        <v>NA</v>
      </c>
      <c r="CG207" s="97" t="str">
        <f t="shared" si="37"/>
        <v>#N/A</v>
      </c>
      <c r="CH207" s="98" t="str">
        <f t="shared" si="38"/>
        <v>#N/A</v>
      </c>
      <c r="CI207" s="99" t="str">
        <f t="shared" si="39"/>
        <v>#N/A</v>
      </c>
      <c r="CJ207" s="126" t="str">
        <f t="shared" si="40"/>
        <v>ERROR: check cell</v>
      </c>
      <c r="CK207" s="126"/>
      <c r="CL207" s="127" t="str">
        <f t="shared" si="41"/>
        <v>#DIV/0!</v>
      </c>
      <c r="CM207" s="128" t="str">
        <f t="shared" si="42"/>
        <v>#DIV/0!</v>
      </c>
      <c r="CN207" s="128">
        <f t="shared" si="43"/>
        <v>4</v>
      </c>
      <c r="CO207" s="129">
        <f t="shared" si="44"/>
        <v>4</v>
      </c>
      <c r="CP207" s="129" t="str">
        <f>IFS(C207=Preferences!B$13,B207,B207=Preferences!B$13,C207)</f>
        <v>#N/A</v>
      </c>
    </row>
    <row r="208" ht="13.5" customHeight="1">
      <c r="A208" s="63" t="str">
        <f t="shared" si="45"/>
        <v/>
      </c>
      <c r="B208" s="64"/>
      <c r="C208" s="64"/>
      <c r="D208" s="64"/>
      <c r="E208" s="65"/>
      <c r="F208" s="65"/>
      <c r="G208" s="65"/>
      <c r="H208" s="66"/>
      <c r="I208" s="66"/>
      <c r="J208" s="67"/>
      <c r="K208" s="68"/>
      <c r="L208" s="104"/>
      <c r="M208" s="104"/>
      <c r="N208" s="104"/>
      <c r="O208" s="104"/>
      <c r="P208" s="107" t="str">
        <f t="shared" si="1"/>
        <v/>
      </c>
      <c r="Q208" s="108" t="str">
        <f>IFERROR(IF(AND(Preferences!B$3="Manual",OR(AX208/AW208&gt;G208/F208,BD208="Serious",BD208="Very serious")),"Assess imprecision",IFS(ISBLANK(E208),"",AND(Preferences!B$3="Automatic", G208/F208&gt;=30),"Extremely serious",AND(H208&lt;=$D$1*-1,J208&lt;0,G208/F208&lt;3),"Not serious",AND(H208&lt;=$D$1*-1,J208&lt;0,G208/F208&gt;=3),"Very serious",AND(H208&gt;=$D$1,I208&gt;0,G208/F208&lt;3),"Not serious",AND(H208&gt;=$D$1,I208&gt;0,G208/F208&gt;=3),"Very serious",AND(H208&lt;=$D$1*-1,J208&gt;0,I208&gt;$D$2*-1,G208/F208&lt;3),"Serious", AND(H208&lt;=$D$1*-1,J208&gt;0,I208&lt;$D$2*-1,G208/F208&lt;3),"Very serious", AND(H208&gt;=$D$1,I208&lt;0,J208&lt;$D$2,G208/F208&lt;3),"Serious",AND(H208&gt;=$D$1,I208&lt;0,J208&gt;$D$2,G208/F208&lt;3),"Very serious", AND(H208&lt;=$D$1*-1,J208&gt;0,I208&gt;$D$2*-1,G208/F208&gt;=3),"Very serious", AND(H208&lt;=$D$1*-1,J208&gt;0,I208&lt;$D$2*-1,G208/F208&gt;=3),"Very serious", AND(H208&gt;=$D$1,I208&lt;0,J208&lt;$D$2,G208/F208&gt;=3),"Very serious", AND(H208&gt;=$D$1,I208&lt;0,J208&gt;$D$2,G208/F208&gt;=3),"Very serious", AND(H208&gt;$D$1*-1,H208&lt;$D$1,I208&gt;$D$1*-1,J208&lt;$D$1,G208/F208&lt;3),"Not serious", AND(H208&gt;$D$1*-1,H208&lt;$D$1,OR(I208&lt;=$D$1*-1,J208&gt;=$D$1),I208&gt;$D$2*-1,J208&lt;$D$2,G208/F208&lt;3),"Serious", AND(H208&gt;$D$1*-1,H208&lt;$D$1,OR(I208&lt;=$D$2*-1,J208&gt;=$D$2),G208/F208&lt;3),"Very serious", AND(H208&gt;$D$1*-1,H208&lt;$D$1,I208&gt;$D$1*-1,J208&lt;$D$1,G208/F208&gt;=3),"Very serious", AND(H208&gt;$D$1*-1,H208&lt;$D$1,OR(I208&lt;=$D$1*-1,J208&gt;=$D$1),I208&gt;$D$2*-1,J208&lt;$D$2,G208/F208&gt;=3),"Very serious", AND(H208&gt;$D$1*-1,H208&lt;$D$1,OR(I208&lt;=$D$2*-1,J208&gt;=$D$2),G208/F208&gt;=3),"Very serious")),"")</f>
        <v/>
      </c>
      <c r="R208" s="109" t="str">
        <f t="shared" si="47"/>
        <v/>
      </c>
      <c r="S208" s="64"/>
      <c r="T208" s="72"/>
      <c r="U208" s="72"/>
      <c r="V208" s="72"/>
      <c r="W208" s="73"/>
      <c r="X208" s="73"/>
      <c r="Y208" s="74"/>
      <c r="Z208" s="113" t="str">
        <f t="array" ref="Z208">INDEX($A$1:$C$500, MATCH(1,($B:$B=$B208)*($C:$C=$AB208),0),1)</f>
        <v/>
      </c>
      <c r="AA208" s="113" t="str">
        <f t="array" ref="AA208">INDEX($A$1:$C$500, MATCH(1,($B:$B=$AB208)*($C:$C=$B208),0),1)</f>
        <v/>
      </c>
      <c r="AB208" s="111"/>
      <c r="AC208" s="114" t="str">
        <f t="shared" si="2"/>
        <v/>
      </c>
      <c r="AD208" s="115" t="str">
        <f t="shared" si="3"/>
        <v/>
      </c>
      <c r="AE208" s="116" t="str">
        <f t="array" ref="AE208">INDEX($A$1:$C$500, MATCH(1,($B:$B=$AB208)*($C:$C=$AG208),0),1)</f>
        <v/>
      </c>
      <c r="AF208" s="116" t="str">
        <f t="array" ref="AF208">INDEX($A$1:$C$500, MATCH(1,($B:$B=$AG208)*($C:$C=$AB208),0),1)</f>
        <v/>
      </c>
      <c r="AG208" s="72"/>
      <c r="AH208" s="114" t="str">
        <f t="shared" si="4"/>
        <v/>
      </c>
      <c r="AI208" s="115" t="str">
        <f t="shared" si="5"/>
        <v/>
      </c>
      <c r="AJ208" s="116" t="str">
        <f t="array" ref="AJ208">INDEX($A$1:$C$500, MATCH(1,($B:$B=$C208)*($C:$C=$AG208),0),1)</f>
        <v/>
      </c>
      <c r="AK208" s="116" t="str">
        <f t="array" ref="AK208">INDEX($A$1:$C$500, MATCH(1,($B:$B=$AG208)*($C:$C=$C208),0),1)</f>
        <v/>
      </c>
      <c r="AL208" s="116" t="str">
        <f t="array" ref="AL208">INDEX($A$1:$C$500, MATCH(1,($B:$B=$C208)*($C:$C=$AB208),0),1)</f>
        <v/>
      </c>
      <c r="AM208" s="116" t="str">
        <f t="array" ref="AM208">INDEX($A$1:$C$500, MATCH(1,($B:$B=$AB208)*($C:$C=$C208),0),1)</f>
        <v/>
      </c>
      <c r="AN208" s="114" t="str">
        <f t="array" ref="AN208">IFS(ISNUMBER(AJ208),AJ208,ISNUMBER(AK208),AK208,ISNUMBER(AL208),AL208,ISNUMBER(AM208),AM208)</f>
        <v>#N/A</v>
      </c>
      <c r="AO208" s="115" t="str">
        <f t="shared" si="6"/>
        <v/>
      </c>
      <c r="AP208" s="115" t="str">
        <f t="shared" si="7"/>
        <v/>
      </c>
      <c r="AQ208" s="111"/>
      <c r="AR208" s="109" t="str">
        <f t="shared" si="8"/>
        <v/>
      </c>
      <c r="AS208" s="72" t="str">
        <f>IFERROR(IF(AND(Preferences!B$3="Manual",OR(AX208/AW208&gt;V208/U208,BD208="Serious",BD208="Very serious")),"Assess imprecision",IFERROR(IFS(AND(Preferences!B$3="Automatic",V208/U208&gt;=30),"Extremely serious",AND(W208&lt;=$D$1*-1,Y208&lt;0,V208/U208&lt;3),"Not Serious",AND(W208&lt;=$D$1*-1,Y208&lt;0,V208/U208&gt;=3),"Very serious",AND(W208&gt;=$D$1,X208&gt;0,V208/U208&lt;3),"Not Serious",AND(W208&gt;=$D$1,X208&gt;0,V208/U208&gt;=3),"Very serious",AND(W208&lt;=$D$1*-1,Y208&gt;0,X208&gt;$D$2*-1,V208/U208&lt;3),"Serious", AND(W208&lt;=$D$1*-1,Y208&gt;0,X208&lt;$D$2*-1,V208/U208&lt;3),"Very serious", AND(W208&gt;=$D$1,X208&lt;0,Y208&lt;$D$2,V208/U208&lt;3),"Serious",AND(W208&gt;=$D$1,X208&lt;0,Y208&gt;$D$2,V208/U208&lt;3),"Very serious", AND(W208&lt;=$D$1*-1,Y208&gt;0,X208&gt;$D$2*-1,V208/U208&gt;=3),"Very serious", AND(W208&lt;=$D$1*-1,Y208&gt;0,X208&lt;$D$2*-1,V208/U208&gt;=3),"Very serious", AND(W208&gt;=$D$1,X208&lt;0,Y208&lt;$D$2,V208/U208&gt;=3),"Very serious", AND(W208&gt;=$D$1,X208&lt;0,Y208&gt;$D$2,V208/U208&gt;=3),"Very serious", AND(W208&gt;$D$1*-1,W208&lt;$D$1,X208&gt;$D$1*-1,Y208&lt;$D$1,V208/U208&lt;3),"Not Serious", AND(W208&gt;$D$1*-1,W208&lt;$D$1,OR(X208&lt;=$D$1*-1,Y208&gt;=$D$1),X208&gt;$D$2*-1,Y208&lt;$D$2,V208/U208&lt;3),"Serious", AND(W208&gt;$D$1*-1,W208&lt;$D$1,OR(X208&lt;=$D$2*-1,Y208&gt;=$D$2),V208/U208&lt;3),"Very serious", AND(W208&gt;$D$1*-1,W208&lt;$D$1,X208&gt;$D$1*-1,Y208&lt;$D$1,V208/U208&gt;=3),"Very serious", AND(W208&gt;$D$1*-1,W208&lt;$D$1,OR(X208&lt;=$D$1*-1,Y208&gt;=$D$1),X208&gt;$D$2*-1,Y208&lt;$D$2,V208/U208&gt;=3),"Very serious", AND(W208&gt;$D$1*-1,W208&lt;$D$1,OR(X208&lt;=$D$2*-1,Y208&gt;=$D$2),V208/U208&gt;=3),"Very serious"),"")),"")</f>
        <v/>
      </c>
      <c r="AT208" s="109" t="str">
        <f t="shared" si="9"/>
        <v/>
      </c>
      <c r="AU208" s="64"/>
      <c r="AV208" s="83"/>
      <c r="AW208" s="83"/>
      <c r="AX208" s="83"/>
      <c r="AY208" s="83"/>
      <c r="AZ208" s="83"/>
      <c r="BA208" s="85"/>
      <c r="BB208" s="86" t="str">
        <f>IF(Preferences!B$9="Manual","",IFS(ISBLANK(B208),"",AND(ISNUMBER(E208)=TRUE,ISNUMBER(T208)=FALSE),"Direct", AND(ISNUMBER(E208)=FALSE,ISNUMBER(T208)=TRUE),"Indirect", CN208=4,"Direct",AND(CL208=FALSE, CM208=TRUE,CN208-CO208&gt;-1),"Direct", AND(CL208=FALSE,CM208=TRUE, CN208-CO208&lt;0),"Check algorithm in appendix 2", AND(CL208=TRUE, CM208=FALSE,CN208-CO208&gt;0),"Check algorithm in appendix 2", AND(CL208=TRUE, CM208=FALSE,CN208-CO208=0),"Indirect", AND(CL208=TRUE, CM208=FALSE,CN208-CO208&lt;0),"Indirect", AND(CL208=FALSE,CM208=FALSE,CN208-CO208&gt;-1),"Direct", AND(CL208=FALSE,CM208=FALSE,CN208-CO208&lt;0),"Check algorithm in appendix 2", AND(CL208=TRUE,CM208=TRUE,CN208-CO208&gt;-1),"Direct", AND(CL208=TRUE,CM208=TRUE,CN208-CO208&lt;0),"Check algorithm in appendix 2"))</f>
        <v/>
      </c>
      <c r="BC208" s="120" t="str">
        <f t="shared" si="10"/>
        <v/>
      </c>
      <c r="BD208" s="140"/>
      <c r="BE208" s="122" t="str">
        <f>IF(Preferences!B$3="Manual","", IFERROR(IFS(AND(Preferences!B$3="Automatic",AX208/AW208&gt;=30),"Extremely serious",AND(AY208&lt;=$D$1*-1,BA208&lt;0,AX208/AW208&lt;3),"Not Serious",AND(AY208&lt;=$D$1*-1,BA208&lt;0,AX208/AW208&gt;=3),"Very serious",AND(AY208&gt;=$D$1,AZ208&gt;0,AX208/AW208&lt;3),"Not Serious",AND(AY208&gt;=$D$1,AZ208&gt;0,AX208/AW208&gt;=3),"Very serious",AND(AY208&lt;=$D$1*-1,BA208&gt;0,AZ208&gt;$D$2*-1,AX208/AW208&lt;3),"Serious", AND(AY208&lt;=$D$1*-1,BA208&gt;0,AZ208&lt;$D$2*-1,AX208/AW208&lt;3),"Very serious", AND(AY208&gt;=$D$1,AZ208&lt;0,BA208&lt;$D$2,AX208/AW208&lt;3),"Serious",AND(AY208&gt;=$D$1,AZ208&lt;0,BA208&gt;$D$2,AX208/AW208&lt;3),"Very serious", AND(AY208&lt;=$D$1*-1,BA208&gt;0,AZ208&gt;$D$2*-1,AX208/AW208&gt;=3),"Very serious", AND(AY208&lt;=$D$1*-1,BA208&gt;0,AZ208&lt;$D$2*-1,AX208/AW208&gt;=3),"Very serious", AND(AY208&gt;=$D$1,AZ208&lt;0,BA208&lt;$D$2,AX208/AW208&gt;=3),"Very serious", AND(AY208&gt;=$D$1,AZ208&lt;0,BA208&gt;$D$2,AX208/AW208&gt;=3),"Very serious", AND(AY208&gt;$D$1*-1,AY208&lt;$D$1,AZ208&gt;$D$1*-1,BA208&lt;$D$1,AX208/AW208&lt;3),"Not Serious", AND(AY208&gt;$D$1*-1,AY208&lt;$D$1,OR(AZ208&lt;=$D$1*-1,BA208&gt;=$D$1),AZ208&gt;$D$2*-1,BA208&lt;$D$2,AX208/AW208&lt;3),"Serious", AND(AY208&gt;$D$1*-1,AY208&lt;$D$1,OR(AZ208&lt;=$D$2*-1,BA208&gt;=$D$2),AX208/AW208&lt;3),"Very serious", AND(AY208&gt;$D$1*-1,AY208&lt;$D$1,AZ208&gt;$D$1*-1,BA208&lt;$D$1,AX208/AW208&gt;=3),"Very serious", AND(AY208&gt;$D$1*-1,AY208&lt;$D$1,OR(AZ208&lt;=$D$1*-1,BA208&gt;=$D$1),AZ208&gt;$D$2*-1,BA208&lt;$D$2,AX208/AW208&gt;=3),"Very serious", AND(AY208&gt;$D$1*-1,AY208&lt;$D$1,OR(AZ208&lt;=$D$2*-1,BA208&gt;=$D$2),AX208/AW208&gt;=3),"Very serious"),""))</f>
        <v/>
      </c>
      <c r="BF208" s="107" t="str">
        <f t="shared" si="11"/>
        <v/>
      </c>
      <c r="BG208" s="94" t="str">
        <f t="shared" si="46"/>
        <v/>
      </c>
      <c r="BH208" s="64" t="str">
        <f t="shared" si="12"/>
        <v>#N/A</v>
      </c>
      <c r="BI208" s="64" t="str">
        <f t="shared" si="13"/>
        <v/>
      </c>
      <c r="BJ208" s="123" t="str">
        <f t="shared" si="14"/>
        <v>#N/A</v>
      </c>
      <c r="BK208" s="64" t="str">
        <f t="shared" si="50"/>
        <v>YES</v>
      </c>
      <c r="BL208" s="64" t="str">
        <f t="shared" si="16"/>
        <v>YES</v>
      </c>
      <c r="BM208" s="64" t="str">
        <f t="shared" si="17"/>
        <v>YES</v>
      </c>
      <c r="BN208" s="124" t="str">
        <f t="shared" si="18"/>
        <v/>
      </c>
      <c r="BO208" s="91" t="str">
        <f t="shared" si="19"/>
        <v/>
      </c>
      <c r="BP208" s="91" t="str">
        <f t="shared" si="20"/>
        <v>#N/A</v>
      </c>
      <c r="BQ208" s="91" t="str">
        <f t="shared" si="21"/>
        <v/>
      </c>
      <c r="BR208" s="93" t="str">
        <f t="shared" si="22"/>
        <v/>
      </c>
      <c r="BS208" s="90" t="str">
        <f t="shared" si="23"/>
        <v/>
      </c>
      <c r="BT208" s="93" t="str">
        <f t="shared" si="24"/>
        <v>NA</v>
      </c>
      <c r="BU208" s="125" t="str">
        <f t="shared" si="25"/>
        <v>#N/A</v>
      </c>
      <c r="BV208" s="93" t="str">
        <f t="shared" si="26"/>
        <v/>
      </c>
      <c r="BW208" s="93" t="str">
        <f t="shared" si="27"/>
        <v/>
      </c>
      <c r="BX208" s="93" t="str">
        <f t="shared" si="28"/>
        <v>NA</v>
      </c>
      <c r="BY208" s="95" t="str">
        <f t="shared" si="29"/>
        <v>#N/A</v>
      </c>
      <c r="BZ208" s="93" t="str">
        <f t="shared" si="30"/>
        <v/>
      </c>
      <c r="CA208" s="93" t="str">
        <f t="shared" si="31"/>
        <v/>
      </c>
      <c r="CB208" s="93" t="str">
        <f t="shared" si="32"/>
        <v>NA</v>
      </c>
      <c r="CC208" s="96" t="str">
        <f t="shared" si="33"/>
        <v>#N/A</v>
      </c>
      <c r="CD208" s="93" t="str">
        <f t="shared" si="34"/>
        <v/>
      </c>
      <c r="CE208" s="93" t="str">
        <f t="shared" si="35"/>
        <v/>
      </c>
      <c r="CF208" s="93" t="str">
        <f t="shared" si="36"/>
        <v>NA</v>
      </c>
      <c r="CG208" s="97" t="str">
        <f t="shared" si="37"/>
        <v>#N/A</v>
      </c>
      <c r="CH208" s="98" t="str">
        <f t="shared" si="38"/>
        <v>#N/A</v>
      </c>
      <c r="CI208" s="99" t="str">
        <f t="shared" si="39"/>
        <v>#N/A</v>
      </c>
      <c r="CJ208" s="126" t="str">
        <f t="shared" si="40"/>
        <v>ERROR: check cell</v>
      </c>
      <c r="CK208" s="126"/>
      <c r="CL208" s="127" t="str">
        <f t="shared" si="41"/>
        <v>#DIV/0!</v>
      </c>
      <c r="CM208" s="128" t="str">
        <f t="shared" si="42"/>
        <v>#DIV/0!</v>
      </c>
      <c r="CN208" s="128">
        <f t="shared" si="43"/>
        <v>4</v>
      </c>
      <c r="CO208" s="129">
        <f t="shared" si="44"/>
        <v>4</v>
      </c>
      <c r="CP208" s="129" t="str">
        <f>IFS(C208=Preferences!B$13,B208,B208=Preferences!B$13,C208)</f>
        <v>#N/A</v>
      </c>
    </row>
    <row r="209" ht="13.5" customHeight="1">
      <c r="A209" s="63" t="str">
        <f t="shared" si="45"/>
        <v/>
      </c>
      <c r="B209" s="64"/>
      <c r="C209" s="64"/>
      <c r="D209" s="64"/>
      <c r="E209" s="65"/>
      <c r="F209" s="65"/>
      <c r="G209" s="65"/>
      <c r="H209" s="66"/>
      <c r="I209" s="66"/>
      <c r="J209" s="67"/>
      <c r="K209" s="68"/>
      <c r="L209" s="104"/>
      <c r="M209" s="104"/>
      <c r="N209" s="104"/>
      <c r="O209" s="104"/>
      <c r="P209" s="107" t="str">
        <f t="shared" si="1"/>
        <v/>
      </c>
      <c r="Q209" s="108" t="str">
        <f>IFERROR(IF(AND(Preferences!B$3="Manual",OR(AX209/AW209&gt;G209/F209,BD209="Serious",BD209="Very serious")),"Assess imprecision",IFS(ISBLANK(E209),"",AND(Preferences!B$3="Automatic", G209/F209&gt;=30),"Extremely serious",AND(H209&lt;=$D$1*-1,J209&lt;0,G209/F209&lt;3),"Not serious",AND(H209&lt;=$D$1*-1,J209&lt;0,G209/F209&gt;=3),"Very serious",AND(H209&gt;=$D$1,I209&gt;0,G209/F209&lt;3),"Not serious",AND(H209&gt;=$D$1,I209&gt;0,G209/F209&gt;=3),"Very serious",AND(H209&lt;=$D$1*-1,J209&gt;0,I209&gt;$D$2*-1,G209/F209&lt;3),"Serious", AND(H209&lt;=$D$1*-1,J209&gt;0,I209&lt;$D$2*-1,G209/F209&lt;3),"Very serious", AND(H209&gt;=$D$1,I209&lt;0,J209&lt;$D$2,G209/F209&lt;3),"Serious",AND(H209&gt;=$D$1,I209&lt;0,J209&gt;$D$2,G209/F209&lt;3),"Very serious", AND(H209&lt;=$D$1*-1,J209&gt;0,I209&gt;$D$2*-1,G209/F209&gt;=3),"Very serious", AND(H209&lt;=$D$1*-1,J209&gt;0,I209&lt;$D$2*-1,G209/F209&gt;=3),"Very serious", AND(H209&gt;=$D$1,I209&lt;0,J209&lt;$D$2,G209/F209&gt;=3),"Very serious", AND(H209&gt;=$D$1,I209&lt;0,J209&gt;$D$2,G209/F209&gt;=3),"Very serious", AND(H209&gt;$D$1*-1,H209&lt;$D$1,I209&gt;$D$1*-1,J209&lt;$D$1,G209/F209&lt;3),"Not serious", AND(H209&gt;$D$1*-1,H209&lt;$D$1,OR(I209&lt;=$D$1*-1,J209&gt;=$D$1),I209&gt;$D$2*-1,J209&lt;$D$2,G209/F209&lt;3),"Serious", AND(H209&gt;$D$1*-1,H209&lt;$D$1,OR(I209&lt;=$D$2*-1,J209&gt;=$D$2),G209/F209&lt;3),"Very serious", AND(H209&gt;$D$1*-1,H209&lt;$D$1,I209&gt;$D$1*-1,J209&lt;$D$1,G209/F209&gt;=3),"Very serious", AND(H209&gt;$D$1*-1,H209&lt;$D$1,OR(I209&lt;=$D$1*-1,J209&gt;=$D$1),I209&gt;$D$2*-1,J209&lt;$D$2,G209/F209&gt;=3),"Very serious", AND(H209&gt;$D$1*-1,H209&lt;$D$1,OR(I209&lt;=$D$2*-1,J209&gt;=$D$2),G209/F209&gt;=3),"Very serious")),"")</f>
        <v/>
      </c>
      <c r="R209" s="109" t="str">
        <f t="shared" si="47"/>
        <v/>
      </c>
      <c r="S209" s="64"/>
      <c r="T209" s="72"/>
      <c r="U209" s="72"/>
      <c r="V209" s="72"/>
      <c r="W209" s="73"/>
      <c r="X209" s="73"/>
      <c r="Y209" s="74"/>
      <c r="Z209" s="113" t="str">
        <f t="array" ref="Z209">INDEX($A$1:$C$500, MATCH(1,($B:$B=$B209)*($C:$C=$AB209),0),1)</f>
        <v/>
      </c>
      <c r="AA209" s="113" t="str">
        <f t="array" ref="AA209">INDEX($A$1:$C$500, MATCH(1,($B:$B=$AB209)*($C:$C=$B209),0),1)</f>
        <v/>
      </c>
      <c r="AB209" s="111"/>
      <c r="AC209" s="114" t="str">
        <f t="shared" si="2"/>
        <v/>
      </c>
      <c r="AD209" s="115" t="str">
        <f t="shared" si="3"/>
        <v/>
      </c>
      <c r="AE209" s="116" t="str">
        <f t="array" ref="AE209">INDEX($A$1:$C$500, MATCH(1,($B:$B=$AB209)*($C:$C=$AG209),0),1)</f>
        <v/>
      </c>
      <c r="AF209" s="116" t="str">
        <f t="array" ref="AF209">INDEX($A$1:$C$500, MATCH(1,($B:$B=$AG209)*($C:$C=$AB209),0),1)</f>
        <v/>
      </c>
      <c r="AG209" s="72"/>
      <c r="AH209" s="114" t="str">
        <f t="shared" si="4"/>
        <v/>
      </c>
      <c r="AI209" s="115" t="str">
        <f t="shared" si="5"/>
        <v/>
      </c>
      <c r="AJ209" s="116" t="str">
        <f t="array" ref="AJ209">INDEX($A$1:$C$500, MATCH(1,($B:$B=$C209)*($C:$C=$AG209),0),1)</f>
        <v/>
      </c>
      <c r="AK209" s="116" t="str">
        <f t="array" ref="AK209">INDEX($A$1:$C$500, MATCH(1,($B:$B=$AG209)*($C:$C=$C209),0),1)</f>
        <v/>
      </c>
      <c r="AL209" s="116" t="str">
        <f t="array" ref="AL209">INDEX($A$1:$C$500, MATCH(1,($B:$B=$C209)*($C:$C=$AB209),0),1)</f>
        <v/>
      </c>
      <c r="AM209" s="116" t="str">
        <f t="array" ref="AM209">INDEX($A$1:$C$500, MATCH(1,($B:$B=$AB209)*($C:$C=$C209),0),1)</f>
        <v/>
      </c>
      <c r="AN209" s="114" t="str">
        <f t="array" ref="AN209">IFS(ISNUMBER(AJ209),AJ209,ISNUMBER(AK209),AK209,ISNUMBER(AL209),AL209,ISNUMBER(AM209),AM209)</f>
        <v>#N/A</v>
      </c>
      <c r="AO209" s="115" t="str">
        <f t="shared" si="6"/>
        <v/>
      </c>
      <c r="AP209" s="115" t="str">
        <f t="shared" si="7"/>
        <v/>
      </c>
      <c r="AQ209" s="111"/>
      <c r="AR209" s="109" t="str">
        <f t="shared" si="8"/>
        <v/>
      </c>
      <c r="AS209" s="72" t="str">
        <f>IFERROR(IF(AND(Preferences!B$3="Manual",OR(AX209/AW209&gt;V209/U209,BD209="Serious",BD209="Very serious")),"Assess imprecision",IFERROR(IFS(AND(Preferences!B$3="Automatic",V209/U209&gt;=30),"Extremely serious",AND(W209&lt;=$D$1*-1,Y209&lt;0,V209/U209&lt;3),"Not Serious",AND(W209&lt;=$D$1*-1,Y209&lt;0,V209/U209&gt;=3),"Very serious",AND(W209&gt;=$D$1,X209&gt;0,V209/U209&lt;3),"Not Serious",AND(W209&gt;=$D$1,X209&gt;0,V209/U209&gt;=3),"Very serious",AND(W209&lt;=$D$1*-1,Y209&gt;0,X209&gt;$D$2*-1,V209/U209&lt;3),"Serious", AND(W209&lt;=$D$1*-1,Y209&gt;0,X209&lt;$D$2*-1,V209/U209&lt;3),"Very serious", AND(W209&gt;=$D$1,X209&lt;0,Y209&lt;$D$2,V209/U209&lt;3),"Serious",AND(W209&gt;=$D$1,X209&lt;0,Y209&gt;$D$2,V209/U209&lt;3),"Very serious", AND(W209&lt;=$D$1*-1,Y209&gt;0,X209&gt;$D$2*-1,V209/U209&gt;=3),"Very serious", AND(W209&lt;=$D$1*-1,Y209&gt;0,X209&lt;$D$2*-1,V209/U209&gt;=3),"Very serious", AND(W209&gt;=$D$1,X209&lt;0,Y209&lt;$D$2,V209/U209&gt;=3),"Very serious", AND(W209&gt;=$D$1,X209&lt;0,Y209&gt;$D$2,V209/U209&gt;=3),"Very serious", AND(W209&gt;$D$1*-1,W209&lt;$D$1,X209&gt;$D$1*-1,Y209&lt;$D$1,V209/U209&lt;3),"Not Serious", AND(W209&gt;$D$1*-1,W209&lt;$D$1,OR(X209&lt;=$D$1*-1,Y209&gt;=$D$1),X209&gt;$D$2*-1,Y209&lt;$D$2,V209/U209&lt;3),"Serious", AND(W209&gt;$D$1*-1,W209&lt;$D$1,OR(X209&lt;=$D$2*-1,Y209&gt;=$D$2),V209/U209&lt;3),"Very serious", AND(W209&gt;$D$1*-1,W209&lt;$D$1,X209&gt;$D$1*-1,Y209&lt;$D$1,V209/U209&gt;=3),"Very serious", AND(W209&gt;$D$1*-1,W209&lt;$D$1,OR(X209&lt;=$D$1*-1,Y209&gt;=$D$1),X209&gt;$D$2*-1,Y209&lt;$D$2,V209/U209&gt;=3),"Very serious", AND(W209&gt;$D$1*-1,W209&lt;$D$1,OR(X209&lt;=$D$2*-1,Y209&gt;=$D$2),V209/U209&gt;=3),"Very serious"),"")),"")</f>
        <v/>
      </c>
      <c r="AT209" s="109" t="str">
        <f t="shared" si="9"/>
        <v/>
      </c>
      <c r="AU209" s="64"/>
      <c r="AV209" s="83"/>
      <c r="AW209" s="83"/>
      <c r="AX209" s="83"/>
      <c r="AY209" s="83"/>
      <c r="AZ209" s="83"/>
      <c r="BA209" s="85"/>
      <c r="BB209" s="86" t="str">
        <f>IF(Preferences!B$9="Manual","",IFS(ISBLANK(B209),"",AND(ISNUMBER(E209)=TRUE,ISNUMBER(T209)=FALSE),"Direct", AND(ISNUMBER(E209)=FALSE,ISNUMBER(T209)=TRUE),"Indirect", CN209=4,"Direct",AND(CL209=FALSE, CM209=TRUE,CN209-CO209&gt;-1),"Direct", AND(CL209=FALSE,CM209=TRUE, CN209-CO209&lt;0),"Check algorithm in appendix 2", AND(CL209=TRUE, CM209=FALSE,CN209-CO209&gt;0),"Check algorithm in appendix 2", AND(CL209=TRUE, CM209=FALSE,CN209-CO209=0),"Indirect", AND(CL209=TRUE, CM209=FALSE,CN209-CO209&lt;0),"Indirect", AND(CL209=FALSE,CM209=FALSE,CN209-CO209&gt;-1),"Direct", AND(CL209=FALSE,CM209=FALSE,CN209-CO209&lt;0),"Check algorithm in appendix 2", AND(CL209=TRUE,CM209=TRUE,CN209-CO209&gt;-1),"Direct", AND(CL209=TRUE,CM209=TRUE,CN209-CO209&lt;0),"Check algorithm in appendix 2"))</f>
        <v/>
      </c>
      <c r="BC209" s="120" t="str">
        <f t="shared" si="10"/>
        <v/>
      </c>
      <c r="BD209" s="140"/>
      <c r="BE209" s="122" t="str">
        <f>IF(Preferences!B$3="Manual","", IFERROR(IFS(AND(Preferences!B$3="Automatic",AX209/AW209&gt;=30),"Extremely serious",AND(AY209&lt;=$D$1*-1,BA209&lt;0,AX209/AW209&lt;3),"Not Serious",AND(AY209&lt;=$D$1*-1,BA209&lt;0,AX209/AW209&gt;=3),"Very serious",AND(AY209&gt;=$D$1,AZ209&gt;0,AX209/AW209&lt;3),"Not Serious",AND(AY209&gt;=$D$1,AZ209&gt;0,AX209/AW209&gt;=3),"Very serious",AND(AY209&lt;=$D$1*-1,BA209&gt;0,AZ209&gt;$D$2*-1,AX209/AW209&lt;3),"Serious", AND(AY209&lt;=$D$1*-1,BA209&gt;0,AZ209&lt;$D$2*-1,AX209/AW209&lt;3),"Very serious", AND(AY209&gt;=$D$1,AZ209&lt;0,BA209&lt;$D$2,AX209/AW209&lt;3),"Serious",AND(AY209&gt;=$D$1,AZ209&lt;0,BA209&gt;$D$2,AX209/AW209&lt;3),"Very serious", AND(AY209&lt;=$D$1*-1,BA209&gt;0,AZ209&gt;$D$2*-1,AX209/AW209&gt;=3),"Very serious", AND(AY209&lt;=$D$1*-1,BA209&gt;0,AZ209&lt;$D$2*-1,AX209/AW209&gt;=3),"Very serious", AND(AY209&gt;=$D$1,AZ209&lt;0,BA209&lt;$D$2,AX209/AW209&gt;=3),"Very serious", AND(AY209&gt;=$D$1,AZ209&lt;0,BA209&gt;$D$2,AX209/AW209&gt;=3),"Very serious", AND(AY209&gt;$D$1*-1,AY209&lt;$D$1,AZ209&gt;$D$1*-1,BA209&lt;$D$1,AX209/AW209&lt;3),"Not Serious", AND(AY209&gt;$D$1*-1,AY209&lt;$D$1,OR(AZ209&lt;=$D$1*-1,BA209&gt;=$D$1),AZ209&gt;$D$2*-1,BA209&lt;$D$2,AX209/AW209&lt;3),"Serious", AND(AY209&gt;$D$1*-1,AY209&lt;$D$1,OR(AZ209&lt;=$D$2*-1,BA209&gt;=$D$2),AX209/AW209&lt;3),"Very serious", AND(AY209&gt;$D$1*-1,AY209&lt;$D$1,AZ209&gt;$D$1*-1,BA209&lt;$D$1,AX209/AW209&gt;=3),"Very serious", AND(AY209&gt;$D$1*-1,AY209&lt;$D$1,OR(AZ209&lt;=$D$1*-1,BA209&gt;=$D$1),AZ209&gt;$D$2*-1,BA209&lt;$D$2,AX209/AW209&gt;=3),"Very serious", AND(AY209&gt;$D$1*-1,AY209&lt;$D$1,OR(AZ209&lt;=$D$2*-1,BA209&gt;=$D$2),AX209/AW209&gt;=3),"Very serious"),""))</f>
        <v/>
      </c>
      <c r="BF209" s="107" t="str">
        <f t="shared" si="11"/>
        <v/>
      </c>
      <c r="BG209" s="94" t="str">
        <f t="shared" si="46"/>
        <v/>
      </c>
      <c r="BH209" s="64" t="str">
        <f t="shared" si="12"/>
        <v>#N/A</v>
      </c>
      <c r="BI209" s="64" t="str">
        <f t="shared" si="13"/>
        <v/>
      </c>
      <c r="BJ209" s="123" t="str">
        <f t="shared" si="14"/>
        <v>#N/A</v>
      </c>
      <c r="BK209" s="64" t="str">
        <f t="shared" si="50"/>
        <v>YES</v>
      </c>
      <c r="BL209" s="64" t="str">
        <f t="shared" si="16"/>
        <v>YES</v>
      </c>
      <c r="BM209" s="64" t="str">
        <f t="shared" si="17"/>
        <v>YES</v>
      </c>
      <c r="BN209" s="124" t="str">
        <f t="shared" si="18"/>
        <v/>
      </c>
      <c r="BO209" s="91" t="str">
        <f t="shared" si="19"/>
        <v/>
      </c>
      <c r="BP209" s="91" t="str">
        <f t="shared" si="20"/>
        <v>#N/A</v>
      </c>
      <c r="BQ209" s="91" t="str">
        <f t="shared" si="21"/>
        <v/>
      </c>
      <c r="BR209" s="93" t="str">
        <f t="shared" si="22"/>
        <v/>
      </c>
      <c r="BS209" s="90" t="str">
        <f t="shared" si="23"/>
        <v/>
      </c>
      <c r="BT209" s="93" t="str">
        <f t="shared" si="24"/>
        <v>NA</v>
      </c>
      <c r="BU209" s="125" t="str">
        <f t="shared" si="25"/>
        <v>#N/A</v>
      </c>
      <c r="BV209" s="93" t="str">
        <f t="shared" si="26"/>
        <v/>
      </c>
      <c r="BW209" s="93" t="str">
        <f t="shared" si="27"/>
        <v/>
      </c>
      <c r="BX209" s="93" t="str">
        <f t="shared" si="28"/>
        <v>NA</v>
      </c>
      <c r="BY209" s="95" t="str">
        <f t="shared" si="29"/>
        <v>#N/A</v>
      </c>
      <c r="BZ209" s="93" t="str">
        <f t="shared" si="30"/>
        <v/>
      </c>
      <c r="CA209" s="93" t="str">
        <f t="shared" si="31"/>
        <v/>
      </c>
      <c r="CB209" s="93" t="str">
        <f t="shared" si="32"/>
        <v>NA</v>
      </c>
      <c r="CC209" s="96" t="str">
        <f t="shared" si="33"/>
        <v>#N/A</v>
      </c>
      <c r="CD209" s="93" t="str">
        <f t="shared" si="34"/>
        <v/>
      </c>
      <c r="CE209" s="93" t="str">
        <f t="shared" si="35"/>
        <v/>
      </c>
      <c r="CF209" s="93" t="str">
        <f t="shared" si="36"/>
        <v>NA</v>
      </c>
      <c r="CG209" s="97" t="str">
        <f t="shared" si="37"/>
        <v>#N/A</v>
      </c>
      <c r="CH209" s="98" t="str">
        <f t="shared" si="38"/>
        <v>#N/A</v>
      </c>
      <c r="CI209" s="99" t="str">
        <f t="shared" si="39"/>
        <v>#N/A</v>
      </c>
      <c r="CJ209" s="126" t="str">
        <f t="shared" si="40"/>
        <v>ERROR: check cell</v>
      </c>
      <c r="CK209" s="126"/>
      <c r="CL209" s="127" t="str">
        <f t="shared" si="41"/>
        <v>#DIV/0!</v>
      </c>
      <c r="CM209" s="128" t="str">
        <f t="shared" si="42"/>
        <v>#DIV/0!</v>
      </c>
      <c r="CN209" s="128">
        <f t="shared" si="43"/>
        <v>4</v>
      </c>
      <c r="CO209" s="129">
        <f t="shared" si="44"/>
        <v>4</v>
      </c>
      <c r="CP209" s="129" t="str">
        <f>IFS(C209=Preferences!B$13,B209,B209=Preferences!B$13,C209)</f>
        <v>#N/A</v>
      </c>
    </row>
    <row r="210" ht="13.5" customHeight="1">
      <c r="A210" s="63" t="str">
        <f t="shared" si="45"/>
        <v/>
      </c>
      <c r="B210" s="64"/>
      <c r="C210" s="64"/>
      <c r="D210" s="64"/>
      <c r="E210" s="65"/>
      <c r="F210" s="65"/>
      <c r="G210" s="65"/>
      <c r="H210" s="66"/>
      <c r="I210" s="66"/>
      <c r="J210" s="67"/>
      <c r="K210" s="68"/>
      <c r="L210" s="104"/>
      <c r="M210" s="104"/>
      <c r="N210" s="104"/>
      <c r="O210" s="104"/>
      <c r="P210" s="107" t="str">
        <f t="shared" si="1"/>
        <v/>
      </c>
      <c r="Q210" s="108" t="str">
        <f>IFERROR(IF(AND(Preferences!B$3="Manual",OR(AX210/AW210&gt;G210/F210,BD210="Serious",BD210="Very serious")),"Assess imprecision",IFS(ISBLANK(E210),"",AND(Preferences!B$3="Automatic", G210/F210&gt;=30),"Extremely serious",AND(H210&lt;=$D$1*-1,J210&lt;0,G210/F210&lt;3),"Not serious",AND(H210&lt;=$D$1*-1,J210&lt;0,G210/F210&gt;=3),"Very serious",AND(H210&gt;=$D$1,I210&gt;0,G210/F210&lt;3),"Not serious",AND(H210&gt;=$D$1,I210&gt;0,G210/F210&gt;=3),"Very serious",AND(H210&lt;=$D$1*-1,J210&gt;0,I210&gt;$D$2*-1,G210/F210&lt;3),"Serious", AND(H210&lt;=$D$1*-1,J210&gt;0,I210&lt;$D$2*-1,G210/F210&lt;3),"Very serious", AND(H210&gt;=$D$1,I210&lt;0,J210&lt;$D$2,G210/F210&lt;3),"Serious",AND(H210&gt;=$D$1,I210&lt;0,J210&gt;$D$2,G210/F210&lt;3),"Very serious", AND(H210&lt;=$D$1*-1,J210&gt;0,I210&gt;$D$2*-1,G210/F210&gt;=3),"Very serious", AND(H210&lt;=$D$1*-1,J210&gt;0,I210&lt;$D$2*-1,G210/F210&gt;=3),"Very serious", AND(H210&gt;=$D$1,I210&lt;0,J210&lt;$D$2,G210/F210&gt;=3),"Very serious", AND(H210&gt;=$D$1,I210&lt;0,J210&gt;$D$2,G210/F210&gt;=3),"Very serious", AND(H210&gt;$D$1*-1,H210&lt;$D$1,I210&gt;$D$1*-1,J210&lt;$D$1,G210/F210&lt;3),"Not serious", AND(H210&gt;$D$1*-1,H210&lt;$D$1,OR(I210&lt;=$D$1*-1,J210&gt;=$D$1),I210&gt;$D$2*-1,J210&lt;$D$2,G210/F210&lt;3),"Serious", AND(H210&gt;$D$1*-1,H210&lt;$D$1,OR(I210&lt;=$D$2*-1,J210&gt;=$D$2),G210/F210&lt;3),"Very serious", AND(H210&gt;$D$1*-1,H210&lt;$D$1,I210&gt;$D$1*-1,J210&lt;$D$1,G210/F210&gt;=3),"Very serious", AND(H210&gt;$D$1*-1,H210&lt;$D$1,OR(I210&lt;=$D$1*-1,J210&gt;=$D$1),I210&gt;$D$2*-1,J210&lt;$D$2,G210/F210&gt;=3),"Very serious", AND(H210&gt;$D$1*-1,H210&lt;$D$1,OR(I210&lt;=$D$2*-1,J210&gt;=$D$2),G210/F210&gt;=3),"Very serious")),"")</f>
        <v/>
      </c>
      <c r="R210" s="109" t="str">
        <f t="shared" si="47"/>
        <v/>
      </c>
      <c r="S210" s="64"/>
      <c r="T210" s="72"/>
      <c r="U210" s="72"/>
      <c r="V210" s="72"/>
      <c r="W210" s="73"/>
      <c r="X210" s="73"/>
      <c r="Y210" s="74"/>
      <c r="Z210" s="113" t="str">
        <f t="array" ref="Z210">INDEX($A$1:$C$500, MATCH(1,($B:$B=$B210)*($C:$C=$AB210),0),1)</f>
        <v/>
      </c>
      <c r="AA210" s="113" t="str">
        <f t="array" ref="AA210">INDEX($A$1:$C$500, MATCH(1,($B:$B=$AB210)*($C:$C=$B210),0),1)</f>
        <v/>
      </c>
      <c r="AB210" s="111"/>
      <c r="AC210" s="114" t="str">
        <f t="shared" si="2"/>
        <v/>
      </c>
      <c r="AD210" s="115" t="str">
        <f t="shared" si="3"/>
        <v/>
      </c>
      <c r="AE210" s="116" t="str">
        <f t="array" ref="AE210">INDEX($A$1:$C$500, MATCH(1,($B:$B=$AB210)*($C:$C=$AG210),0),1)</f>
        <v/>
      </c>
      <c r="AF210" s="116" t="str">
        <f t="array" ref="AF210">INDEX($A$1:$C$500, MATCH(1,($B:$B=$AG210)*($C:$C=$AB210),0),1)</f>
        <v/>
      </c>
      <c r="AG210" s="72"/>
      <c r="AH210" s="114" t="str">
        <f t="shared" si="4"/>
        <v/>
      </c>
      <c r="AI210" s="115" t="str">
        <f t="shared" si="5"/>
        <v/>
      </c>
      <c r="AJ210" s="116" t="str">
        <f t="array" ref="AJ210">INDEX($A$1:$C$500, MATCH(1,($B:$B=$C210)*($C:$C=$AG210),0),1)</f>
        <v/>
      </c>
      <c r="AK210" s="116" t="str">
        <f t="array" ref="AK210">INDEX($A$1:$C$500, MATCH(1,($B:$B=$AG210)*($C:$C=$C210),0),1)</f>
        <v/>
      </c>
      <c r="AL210" s="116" t="str">
        <f t="array" ref="AL210">INDEX($A$1:$C$500, MATCH(1,($B:$B=$C210)*($C:$C=$AB210),0),1)</f>
        <v/>
      </c>
      <c r="AM210" s="116" t="str">
        <f t="array" ref="AM210">INDEX($A$1:$C$500, MATCH(1,($B:$B=$AB210)*($C:$C=$C210),0),1)</f>
        <v/>
      </c>
      <c r="AN210" s="114" t="str">
        <f t="array" ref="AN210">IFS(ISNUMBER(AJ210),AJ210,ISNUMBER(AK210),AK210,ISNUMBER(AL210),AL210,ISNUMBER(AM210),AM210)</f>
        <v>#N/A</v>
      </c>
      <c r="AO210" s="115" t="str">
        <f t="shared" si="6"/>
        <v/>
      </c>
      <c r="AP210" s="115" t="str">
        <f t="shared" si="7"/>
        <v/>
      </c>
      <c r="AQ210" s="111"/>
      <c r="AR210" s="109" t="str">
        <f t="shared" si="8"/>
        <v/>
      </c>
      <c r="AS210" s="72" t="str">
        <f>IFERROR(IF(AND(Preferences!B$3="Manual",OR(AX210/AW210&gt;V210/U210,BD210="Serious",BD210="Very serious")),"Assess imprecision",IFERROR(IFS(AND(Preferences!B$3="Automatic",V210/U210&gt;=30),"Extremely serious",AND(W210&lt;=$D$1*-1,Y210&lt;0,V210/U210&lt;3),"Not Serious",AND(W210&lt;=$D$1*-1,Y210&lt;0,V210/U210&gt;=3),"Very serious",AND(W210&gt;=$D$1,X210&gt;0,V210/U210&lt;3),"Not Serious",AND(W210&gt;=$D$1,X210&gt;0,V210/U210&gt;=3),"Very serious",AND(W210&lt;=$D$1*-1,Y210&gt;0,X210&gt;$D$2*-1,V210/U210&lt;3),"Serious", AND(W210&lt;=$D$1*-1,Y210&gt;0,X210&lt;$D$2*-1,V210/U210&lt;3),"Very serious", AND(W210&gt;=$D$1,X210&lt;0,Y210&lt;$D$2,V210/U210&lt;3),"Serious",AND(W210&gt;=$D$1,X210&lt;0,Y210&gt;$D$2,V210/U210&lt;3),"Very serious", AND(W210&lt;=$D$1*-1,Y210&gt;0,X210&gt;$D$2*-1,V210/U210&gt;=3),"Very serious", AND(W210&lt;=$D$1*-1,Y210&gt;0,X210&lt;$D$2*-1,V210/U210&gt;=3),"Very serious", AND(W210&gt;=$D$1,X210&lt;0,Y210&lt;$D$2,V210/U210&gt;=3),"Very serious", AND(W210&gt;=$D$1,X210&lt;0,Y210&gt;$D$2,V210/U210&gt;=3),"Very serious", AND(W210&gt;$D$1*-1,W210&lt;$D$1,X210&gt;$D$1*-1,Y210&lt;$D$1,V210/U210&lt;3),"Not Serious", AND(W210&gt;$D$1*-1,W210&lt;$D$1,OR(X210&lt;=$D$1*-1,Y210&gt;=$D$1),X210&gt;$D$2*-1,Y210&lt;$D$2,V210/U210&lt;3),"Serious", AND(W210&gt;$D$1*-1,W210&lt;$D$1,OR(X210&lt;=$D$2*-1,Y210&gt;=$D$2),V210/U210&lt;3),"Very serious", AND(W210&gt;$D$1*-1,W210&lt;$D$1,X210&gt;$D$1*-1,Y210&lt;$D$1,V210/U210&gt;=3),"Very serious", AND(W210&gt;$D$1*-1,W210&lt;$D$1,OR(X210&lt;=$D$1*-1,Y210&gt;=$D$1),X210&gt;$D$2*-1,Y210&lt;$D$2,V210/U210&gt;=3),"Very serious", AND(W210&gt;$D$1*-1,W210&lt;$D$1,OR(X210&lt;=$D$2*-1,Y210&gt;=$D$2),V210/U210&gt;=3),"Very serious"),"")),"")</f>
        <v/>
      </c>
      <c r="AT210" s="109" t="str">
        <f t="shared" si="9"/>
        <v/>
      </c>
      <c r="AU210" s="64"/>
      <c r="AV210" s="83"/>
      <c r="AW210" s="83"/>
      <c r="AX210" s="83"/>
      <c r="AY210" s="83"/>
      <c r="AZ210" s="83"/>
      <c r="BA210" s="85"/>
      <c r="BB210" s="86" t="str">
        <f>IF(Preferences!B$9="Manual","",IFS(ISBLANK(B210),"",AND(ISNUMBER(E210)=TRUE,ISNUMBER(T210)=FALSE),"Direct", AND(ISNUMBER(E210)=FALSE,ISNUMBER(T210)=TRUE),"Indirect", CN210=4,"Direct",AND(CL210=FALSE, CM210=TRUE,CN210-CO210&gt;-1),"Direct", AND(CL210=FALSE,CM210=TRUE, CN210-CO210&lt;0),"Check algorithm in appendix 2", AND(CL210=TRUE, CM210=FALSE,CN210-CO210&gt;0),"Check algorithm in appendix 2", AND(CL210=TRUE, CM210=FALSE,CN210-CO210=0),"Indirect", AND(CL210=TRUE, CM210=FALSE,CN210-CO210&lt;0),"Indirect", AND(CL210=FALSE,CM210=FALSE,CN210-CO210&gt;-1),"Direct", AND(CL210=FALSE,CM210=FALSE,CN210-CO210&lt;0),"Check algorithm in appendix 2", AND(CL210=TRUE,CM210=TRUE,CN210-CO210&gt;-1),"Direct", AND(CL210=TRUE,CM210=TRUE,CN210-CO210&lt;0),"Check algorithm in appendix 2"))</f>
        <v/>
      </c>
      <c r="BC210" s="120" t="str">
        <f t="shared" si="10"/>
        <v/>
      </c>
      <c r="BD210" s="140"/>
      <c r="BE210" s="122" t="str">
        <f>IF(Preferences!B$3="Manual","", IFERROR(IFS(AND(Preferences!B$3="Automatic",AX210/AW210&gt;=30),"Extremely serious",AND(AY210&lt;=$D$1*-1,BA210&lt;0,AX210/AW210&lt;3),"Not Serious",AND(AY210&lt;=$D$1*-1,BA210&lt;0,AX210/AW210&gt;=3),"Very serious",AND(AY210&gt;=$D$1,AZ210&gt;0,AX210/AW210&lt;3),"Not Serious",AND(AY210&gt;=$D$1,AZ210&gt;0,AX210/AW210&gt;=3),"Very serious",AND(AY210&lt;=$D$1*-1,BA210&gt;0,AZ210&gt;$D$2*-1,AX210/AW210&lt;3),"Serious", AND(AY210&lt;=$D$1*-1,BA210&gt;0,AZ210&lt;$D$2*-1,AX210/AW210&lt;3),"Very serious", AND(AY210&gt;=$D$1,AZ210&lt;0,BA210&lt;$D$2,AX210/AW210&lt;3),"Serious",AND(AY210&gt;=$D$1,AZ210&lt;0,BA210&gt;$D$2,AX210/AW210&lt;3),"Very serious", AND(AY210&lt;=$D$1*-1,BA210&gt;0,AZ210&gt;$D$2*-1,AX210/AW210&gt;=3),"Very serious", AND(AY210&lt;=$D$1*-1,BA210&gt;0,AZ210&lt;$D$2*-1,AX210/AW210&gt;=3),"Very serious", AND(AY210&gt;=$D$1,AZ210&lt;0,BA210&lt;$D$2,AX210/AW210&gt;=3),"Very serious", AND(AY210&gt;=$D$1,AZ210&lt;0,BA210&gt;$D$2,AX210/AW210&gt;=3),"Very serious", AND(AY210&gt;$D$1*-1,AY210&lt;$D$1,AZ210&gt;$D$1*-1,BA210&lt;$D$1,AX210/AW210&lt;3),"Not Serious", AND(AY210&gt;$D$1*-1,AY210&lt;$D$1,OR(AZ210&lt;=$D$1*-1,BA210&gt;=$D$1),AZ210&gt;$D$2*-1,BA210&lt;$D$2,AX210/AW210&lt;3),"Serious", AND(AY210&gt;$D$1*-1,AY210&lt;$D$1,OR(AZ210&lt;=$D$2*-1,BA210&gt;=$D$2),AX210/AW210&lt;3),"Very serious", AND(AY210&gt;$D$1*-1,AY210&lt;$D$1,AZ210&gt;$D$1*-1,BA210&lt;$D$1,AX210/AW210&gt;=3),"Very serious", AND(AY210&gt;$D$1*-1,AY210&lt;$D$1,OR(AZ210&lt;=$D$1*-1,BA210&gt;=$D$1),AZ210&gt;$D$2*-1,BA210&lt;$D$2,AX210/AW210&gt;=3),"Very serious", AND(AY210&gt;$D$1*-1,AY210&lt;$D$1,OR(AZ210&lt;=$D$2*-1,BA210&gt;=$D$2),AX210/AW210&gt;=3),"Very serious"),""))</f>
        <v/>
      </c>
      <c r="BF210" s="107" t="str">
        <f t="shared" si="11"/>
        <v/>
      </c>
      <c r="BG210" s="94" t="str">
        <f t="shared" si="46"/>
        <v/>
      </c>
      <c r="BH210" s="64" t="str">
        <f t="shared" si="12"/>
        <v>#N/A</v>
      </c>
      <c r="BI210" s="64" t="str">
        <f t="shared" si="13"/>
        <v/>
      </c>
      <c r="BJ210" s="123" t="str">
        <f t="shared" si="14"/>
        <v>#N/A</v>
      </c>
      <c r="BK210" s="64" t="str">
        <f t="shared" si="50"/>
        <v>YES</v>
      </c>
      <c r="BL210" s="64" t="str">
        <f t="shared" si="16"/>
        <v>YES</v>
      </c>
      <c r="BM210" s="64" t="str">
        <f t="shared" si="17"/>
        <v>YES</v>
      </c>
      <c r="BN210" s="124" t="str">
        <f t="shared" si="18"/>
        <v/>
      </c>
      <c r="BO210" s="91" t="str">
        <f t="shared" si="19"/>
        <v/>
      </c>
      <c r="BP210" s="91" t="str">
        <f t="shared" si="20"/>
        <v>#N/A</v>
      </c>
      <c r="BQ210" s="91" t="str">
        <f t="shared" si="21"/>
        <v/>
      </c>
      <c r="BR210" s="93" t="str">
        <f t="shared" si="22"/>
        <v/>
      </c>
      <c r="BS210" s="90" t="str">
        <f t="shared" si="23"/>
        <v/>
      </c>
      <c r="BT210" s="93" t="str">
        <f t="shared" si="24"/>
        <v>NA</v>
      </c>
      <c r="BU210" s="125" t="str">
        <f t="shared" si="25"/>
        <v>#N/A</v>
      </c>
      <c r="BV210" s="93" t="str">
        <f t="shared" si="26"/>
        <v/>
      </c>
      <c r="BW210" s="93" t="str">
        <f t="shared" si="27"/>
        <v/>
      </c>
      <c r="BX210" s="93" t="str">
        <f t="shared" si="28"/>
        <v>NA</v>
      </c>
      <c r="BY210" s="95" t="str">
        <f t="shared" si="29"/>
        <v>#N/A</v>
      </c>
      <c r="BZ210" s="93" t="str">
        <f t="shared" si="30"/>
        <v/>
      </c>
      <c r="CA210" s="93" t="str">
        <f t="shared" si="31"/>
        <v/>
      </c>
      <c r="CB210" s="93" t="str">
        <f t="shared" si="32"/>
        <v>NA</v>
      </c>
      <c r="CC210" s="96" t="str">
        <f t="shared" si="33"/>
        <v>#N/A</v>
      </c>
      <c r="CD210" s="93" t="str">
        <f t="shared" si="34"/>
        <v/>
      </c>
      <c r="CE210" s="93" t="str">
        <f t="shared" si="35"/>
        <v/>
      </c>
      <c r="CF210" s="93" t="str">
        <f t="shared" si="36"/>
        <v>NA</v>
      </c>
      <c r="CG210" s="97" t="str">
        <f t="shared" si="37"/>
        <v>#N/A</v>
      </c>
      <c r="CH210" s="98" t="str">
        <f t="shared" si="38"/>
        <v>#N/A</v>
      </c>
      <c r="CI210" s="99" t="str">
        <f t="shared" si="39"/>
        <v>#N/A</v>
      </c>
      <c r="CJ210" s="126" t="str">
        <f t="shared" si="40"/>
        <v>ERROR: check cell</v>
      </c>
      <c r="CK210" s="126"/>
      <c r="CL210" s="127" t="str">
        <f t="shared" si="41"/>
        <v>#DIV/0!</v>
      </c>
      <c r="CM210" s="128" t="str">
        <f t="shared" si="42"/>
        <v>#DIV/0!</v>
      </c>
      <c r="CN210" s="128">
        <f t="shared" si="43"/>
        <v>4</v>
      </c>
      <c r="CO210" s="129">
        <f t="shared" si="44"/>
        <v>4</v>
      </c>
      <c r="CP210" s="129" t="str">
        <f>IFS(C210=Preferences!B$13,B210,B210=Preferences!B$13,C210)</f>
        <v>#N/A</v>
      </c>
    </row>
    <row r="211" ht="13.5" customHeight="1">
      <c r="A211" s="63" t="str">
        <f t="shared" si="45"/>
        <v/>
      </c>
      <c r="B211" s="64"/>
      <c r="C211" s="64"/>
      <c r="D211" s="64"/>
      <c r="E211" s="65"/>
      <c r="F211" s="65"/>
      <c r="G211" s="65"/>
      <c r="H211" s="66"/>
      <c r="I211" s="66"/>
      <c r="J211" s="67"/>
      <c r="K211" s="68"/>
      <c r="L211" s="104"/>
      <c r="M211" s="104"/>
      <c r="N211" s="104"/>
      <c r="O211" s="104"/>
      <c r="P211" s="107" t="str">
        <f t="shared" si="1"/>
        <v/>
      </c>
      <c r="Q211" s="108" t="str">
        <f>IFERROR(IF(AND(Preferences!B$3="Manual",OR(AX211/AW211&gt;G211/F211,BD211="Serious",BD211="Very serious")),"Assess imprecision",IFS(ISBLANK(E211),"",AND(Preferences!B$3="Automatic", G211/F211&gt;=30),"Extremely serious",AND(H211&lt;=$D$1*-1,J211&lt;0,G211/F211&lt;3),"Not serious",AND(H211&lt;=$D$1*-1,J211&lt;0,G211/F211&gt;=3),"Very serious",AND(H211&gt;=$D$1,I211&gt;0,G211/F211&lt;3),"Not serious",AND(H211&gt;=$D$1,I211&gt;0,G211/F211&gt;=3),"Very serious",AND(H211&lt;=$D$1*-1,J211&gt;0,I211&gt;$D$2*-1,G211/F211&lt;3),"Serious", AND(H211&lt;=$D$1*-1,J211&gt;0,I211&lt;$D$2*-1,G211/F211&lt;3),"Very serious", AND(H211&gt;=$D$1,I211&lt;0,J211&lt;$D$2,G211/F211&lt;3),"Serious",AND(H211&gt;=$D$1,I211&lt;0,J211&gt;$D$2,G211/F211&lt;3),"Very serious", AND(H211&lt;=$D$1*-1,J211&gt;0,I211&gt;$D$2*-1,G211/F211&gt;=3),"Very serious", AND(H211&lt;=$D$1*-1,J211&gt;0,I211&lt;$D$2*-1,G211/F211&gt;=3),"Very serious", AND(H211&gt;=$D$1,I211&lt;0,J211&lt;$D$2,G211/F211&gt;=3),"Very serious", AND(H211&gt;=$D$1,I211&lt;0,J211&gt;$D$2,G211/F211&gt;=3),"Very serious", AND(H211&gt;$D$1*-1,H211&lt;$D$1,I211&gt;$D$1*-1,J211&lt;$D$1,G211/F211&lt;3),"Not serious", AND(H211&gt;$D$1*-1,H211&lt;$D$1,OR(I211&lt;=$D$1*-1,J211&gt;=$D$1),I211&gt;$D$2*-1,J211&lt;$D$2,G211/F211&lt;3),"Serious", AND(H211&gt;$D$1*-1,H211&lt;$D$1,OR(I211&lt;=$D$2*-1,J211&gt;=$D$2),G211/F211&lt;3),"Very serious", AND(H211&gt;$D$1*-1,H211&lt;$D$1,I211&gt;$D$1*-1,J211&lt;$D$1,G211/F211&gt;=3),"Very serious", AND(H211&gt;$D$1*-1,H211&lt;$D$1,OR(I211&lt;=$D$1*-1,J211&gt;=$D$1),I211&gt;$D$2*-1,J211&lt;$D$2,G211/F211&gt;=3),"Very serious", AND(H211&gt;$D$1*-1,H211&lt;$D$1,OR(I211&lt;=$D$2*-1,J211&gt;=$D$2),G211/F211&gt;=3),"Very serious")),"")</f>
        <v/>
      </c>
      <c r="R211" s="109" t="str">
        <f t="shared" si="47"/>
        <v/>
      </c>
      <c r="S211" s="64"/>
      <c r="T211" s="72"/>
      <c r="U211" s="72"/>
      <c r="V211" s="72"/>
      <c r="W211" s="73"/>
      <c r="X211" s="73"/>
      <c r="Y211" s="74"/>
      <c r="Z211" s="113" t="str">
        <f t="array" ref="Z211">INDEX($A$1:$C$500, MATCH(1,($B:$B=$B211)*($C:$C=$AB211),0),1)</f>
        <v/>
      </c>
      <c r="AA211" s="113" t="str">
        <f t="array" ref="AA211">INDEX($A$1:$C$500, MATCH(1,($B:$B=$AB211)*($C:$C=$B211),0),1)</f>
        <v/>
      </c>
      <c r="AB211" s="111"/>
      <c r="AC211" s="114" t="str">
        <f t="shared" si="2"/>
        <v/>
      </c>
      <c r="AD211" s="115" t="str">
        <f t="shared" si="3"/>
        <v/>
      </c>
      <c r="AE211" s="116" t="str">
        <f t="array" ref="AE211">INDEX($A$1:$C$500, MATCH(1,($B:$B=$AB211)*($C:$C=$AG211),0),1)</f>
        <v/>
      </c>
      <c r="AF211" s="116" t="str">
        <f t="array" ref="AF211">INDEX($A$1:$C$500, MATCH(1,($B:$B=$AG211)*($C:$C=$AB211),0),1)</f>
        <v/>
      </c>
      <c r="AG211" s="72"/>
      <c r="AH211" s="114" t="str">
        <f t="shared" si="4"/>
        <v/>
      </c>
      <c r="AI211" s="115" t="str">
        <f t="shared" si="5"/>
        <v/>
      </c>
      <c r="AJ211" s="116" t="str">
        <f t="array" ref="AJ211">INDEX($A$1:$C$500, MATCH(1,($B:$B=$C211)*($C:$C=$AG211),0),1)</f>
        <v/>
      </c>
      <c r="AK211" s="116" t="str">
        <f t="array" ref="AK211">INDEX($A$1:$C$500, MATCH(1,($B:$B=$AG211)*($C:$C=$C211),0),1)</f>
        <v/>
      </c>
      <c r="AL211" s="116" t="str">
        <f t="array" ref="AL211">INDEX($A$1:$C$500, MATCH(1,($B:$B=$C211)*($C:$C=$AB211),0),1)</f>
        <v/>
      </c>
      <c r="AM211" s="116" t="str">
        <f t="array" ref="AM211">INDEX($A$1:$C$500, MATCH(1,($B:$B=$AB211)*($C:$C=$C211),0),1)</f>
        <v/>
      </c>
      <c r="AN211" s="114" t="str">
        <f t="array" ref="AN211">IFS(ISNUMBER(AJ211),AJ211,ISNUMBER(AK211),AK211,ISNUMBER(AL211),AL211,ISNUMBER(AM211),AM211)</f>
        <v>#N/A</v>
      </c>
      <c r="AO211" s="115" t="str">
        <f t="shared" si="6"/>
        <v/>
      </c>
      <c r="AP211" s="115" t="str">
        <f t="shared" si="7"/>
        <v/>
      </c>
      <c r="AQ211" s="111"/>
      <c r="AR211" s="109" t="str">
        <f t="shared" si="8"/>
        <v/>
      </c>
      <c r="AS211" s="72" t="str">
        <f>IFERROR(IF(AND(Preferences!B$3="Manual",OR(AX211/AW211&gt;V211/U211,BD211="Serious",BD211="Very serious")),"Assess imprecision",IFERROR(IFS(AND(Preferences!B$3="Automatic",V211/U211&gt;=30),"Extremely serious",AND(W211&lt;=$D$1*-1,Y211&lt;0,V211/U211&lt;3),"Not Serious",AND(W211&lt;=$D$1*-1,Y211&lt;0,V211/U211&gt;=3),"Very serious",AND(W211&gt;=$D$1,X211&gt;0,V211/U211&lt;3),"Not Serious",AND(W211&gt;=$D$1,X211&gt;0,V211/U211&gt;=3),"Very serious",AND(W211&lt;=$D$1*-1,Y211&gt;0,X211&gt;$D$2*-1,V211/U211&lt;3),"Serious", AND(W211&lt;=$D$1*-1,Y211&gt;0,X211&lt;$D$2*-1,V211/U211&lt;3),"Very serious", AND(W211&gt;=$D$1,X211&lt;0,Y211&lt;$D$2,V211/U211&lt;3),"Serious",AND(W211&gt;=$D$1,X211&lt;0,Y211&gt;$D$2,V211/U211&lt;3),"Very serious", AND(W211&lt;=$D$1*-1,Y211&gt;0,X211&gt;$D$2*-1,V211/U211&gt;=3),"Very serious", AND(W211&lt;=$D$1*-1,Y211&gt;0,X211&lt;$D$2*-1,V211/U211&gt;=3),"Very serious", AND(W211&gt;=$D$1,X211&lt;0,Y211&lt;$D$2,V211/U211&gt;=3),"Very serious", AND(W211&gt;=$D$1,X211&lt;0,Y211&gt;$D$2,V211/U211&gt;=3),"Very serious", AND(W211&gt;$D$1*-1,W211&lt;$D$1,X211&gt;$D$1*-1,Y211&lt;$D$1,V211/U211&lt;3),"Not Serious", AND(W211&gt;$D$1*-1,W211&lt;$D$1,OR(X211&lt;=$D$1*-1,Y211&gt;=$D$1),X211&gt;$D$2*-1,Y211&lt;$D$2,V211/U211&lt;3),"Serious", AND(W211&gt;$D$1*-1,W211&lt;$D$1,OR(X211&lt;=$D$2*-1,Y211&gt;=$D$2),V211/U211&lt;3),"Very serious", AND(W211&gt;$D$1*-1,W211&lt;$D$1,X211&gt;$D$1*-1,Y211&lt;$D$1,V211/U211&gt;=3),"Very serious", AND(W211&gt;$D$1*-1,W211&lt;$D$1,OR(X211&lt;=$D$1*-1,Y211&gt;=$D$1),X211&gt;$D$2*-1,Y211&lt;$D$2,V211/U211&gt;=3),"Very serious", AND(W211&gt;$D$1*-1,W211&lt;$D$1,OR(X211&lt;=$D$2*-1,Y211&gt;=$D$2),V211/U211&gt;=3),"Very serious"),"")),"")</f>
        <v/>
      </c>
      <c r="AT211" s="109" t="str">
        <f t="shared" si="9"/>
        <v/>
      </c>
      <c r="AU211" s="64"/>
      <c r="AV211" s="83"/>
      <c r="AW211" s="83"/>
      <c r="AX211" s="83"/>
      <c r="AY211" s="83"/>
      <c r="AZ211" s="83"/>
      <c r="BA211" s="85"/>
      <c r="BB211" s="86" t="str">
        <f>IF(Preferences!B$9="Manual","",IFS(ISBLANK(B211),"",AND(ISNUMBER(E211)=TRUE,ISNUMBER(T211)=FALSE),"Direct", AND(ISNUMBER(E211)=FALSE,ISNUMBER(T211)=TRUE),"Indirect", CN211=4,"Direct",AND(CL211=FALSE, CM211=TRUE,CN211-CO211&gt;-1),"Direct", AND(CL211=FALSE,CM211=TRUE, CN211-CO211&lt;0),"Check algorithm in appendix 2", AND(CL211=TRUE, CM211=FALSE,CN211-CO211&gt;0),"Check algorithm in appendix 2", AND(CL211=TRUE, CM211=FALSE,CN211-CO211=0),"Indirect", AND(CL211=TRUE, CM211=FALSE,CN211-CO211&lt;0),"Indirect", AND(CL211=FALSE,CM211=FALSE,CN211-CO211&gt;-1),"Direct", AND(CL211=FALSE,CM211=FALSE,CN211-CO211&lt;0),"Check algorithm in appendix 2", AND(CL211=TRUE,CM211=TRUE,CN211-CO211&gt;-1),"Direct", AND(CL211=TRUE,CM211=TRUE,CN211-CO211&lt;0),"Check algorithm in appendix 2"))</f>
        <v/>
      </c>
      <c r="BC211" s="120" t="str">
        <f t="shared" si="10"/>
        <v/>
      </c>
      <c r="BD211" s="140"/>
      <c r="BE211" s="122" t="str">
        <f>IF(Preferences!B$3="Manual","", IFERROR(IFS(AND(Preferences!B$3="Automatic",AX211/AW211&gt;=30),"Extremely serious",AND(AY211&lt;=$D$1*-1,BA211&lt;0,AX211/AW211&lt;3),"Not Serious",AND(AY211&lt;=$D$1*-1,BA211&lt;0,AX211/AW211&gt;=3),"Very serious",AND(AY211&gt;=$D$1,AZ211&gt;0,AX211/AW211&lt;3),"Not Serious",AND(AY211&gt;=$D$1,AZ211&gt;0,AX211/AW211&gt;=3),"Very serious",AND(AY211&lt;=$D$1*-1,BA211&gt;0,AZ211&gt;$D$2*-1,AX211/AW211&lt;3),"Serious", AND(AY211&lt;=$D$1*-1,BA211&gt;0,AZ211&lt;$D$2*-1,AX211/AW211&lt;3),"Very serious", AND(AY211&gt;=$D$1,AZ211&lt;0,BA211&lt;$D$2,AX211/AW211&lt;3),"Serious",AND(AY211&gt;=$D$1,AZ211&lt;0,BA211&gt;$D$2,AX211/AW211&lt;3),"Very serious", AND(AY211&lt;=$D$1*-1,BA211&gt;0,AZ211&gt;$D$2*-1,AX211/AW211&gt;=3),"Very serious", AND(AY211&lt;=$D$1*-1,BA211&gt;0,AZ211&lt;$D$2*-1,AX211/AW211&gt;=3),"Very serious", AND(AY211&gt;=$D$1,AZ211&lt;0,BA211&lt;$D$2,AX211/AW211&gt;=3),"Very serious", AND(AY211&gt;=$D$1,AZ211&lt;0,BA211&gt;$D$2,AX211/AW211&gt;=3),"Very serious", AND(AY211&gt;$D$1*-1,AY211&lt;$D$1,AZ211&gt;$D$1*-1,BA211&lt;$D$1,AX211/AW211&lt;3),"Not Serious", AND(AY211&gt;$D$1*-1,AY211&lt;$D$1,OR(AZ211&lt;=$D$1*-1,BA211&gt;=$D$1),AZ211&gt;$D$2*-1,BA211&lt;$D$2,AX211/AW211&lt;3),"Serious", AND(AY211&gt;$D$1*-1,AY211&lt;$D$1,OR(AZ211&lt;=$D$2*-1,BA211&gt;=$D$2),AX211/AW211&lt;3),"Very serious", AND(AY211&gt;$D$1*-1,AY211&lt;$D$1,AZ211&gt;$D$1*-1,BA211&lt;$D$1,AX211/AW211&gt;=3),"Very serious", AND(AY211&gt;$D$1*-1,AY211&lt;$D$1,OR(AZ211&lt;=$D$1*-1,BA211&gt;=$D$1),AZ211&gt;$D$2*-1,BA211&lt;$D$2,AX211/AW211&gt;=3),"Very serious", AND(AY211&gt;$D$1*-1,AY211&lt;$D$1,OR(AZ211&lt;=$D$2*-1,BA211&gt;=$D$2),AX211/AW211&gt;=3),"Very serious"),""))</f>
        <v/>
      </c>
      <c r="BF211" s="107" t="str">
        <f t="shared" si="11"/>
        <v/>
      </c>
      <c r="BG211" s="94" t="str">
        <f t="shared" si="46"/>
        <v/>
      </c>
      <c r="BH211" s="64" t="str">
        <f t="shared" si="12"/>
        <v>#N/A</v>
      </c>
      <c r="BI211" s="64" t="str">
        <f t="shared" si="13"/>
        <v/>
      </c>
      <c r="BJ211" s="123" t="str">
        <f t="shared" si="14"/>
        <v>#N/A</v>
      </c>
      <c r="BK211" s="64" t="str">
        <f t="shared" si="50"/>
        <v>YES</v>
      </c>
      <c r="BL211" s="64" t="str">
        <f t="shared" si="16"/>
        <v>YES</v>
      </c>
      <c r="BM211" s="64" t="str">
        <f t="shared" si="17"/>
        <v>YES</v>
      </c>
      <c r="BN211" s="124" t="str">
        <f t="shared" si="18"/>
        <v/>
      </c>
      <c r="BO211" s="91" t="str">
        <f t="shared" si="19"/>
        <v/>
      </c>
      <c r="BP211" s="91" t="str">
        <f t="shared" si="20"/>
        <v>#N/A</v>
      </c>
      <c r="BQ211" s="91" t="str">
        <f t="shared" si="21"/>
        <v/>
      </c>
      <c r="BR211" s="93" t="str">
        <f t="shared" si="22"/>
        <v/>
      </c>
      <c r="BS211" s="90" t="str">
        <f t="shared" si="23"/>
        <v/>
      </c>
      <c r="BT211" s="93" t="str">
        <f t="shared" si="24"/>
        <v>NA</v>
      </c>
      <c r="BU211" s="125" t="str">
        <f t="shared" si="25"/>
        <v>#N/A</v>
      </c>
      <c r="BV211" s="93" t="str">
        <f t="shared" si="26"/>
        <v/>
      </c>
      <c r="BW211" s="93" t="str">
        <f t="shared" si="27"/>
        <v/>
      </c>
      <c r="BX211" s="93" t="str">
        <f t="shared" si="28"/>
        <v>NA</v>
      </c>
      <c r="BY211" s="95" t="str">
        <f t="shared" si="29"/>
        <v>#N/A</v>
      </c>
      <c r="BZ211" s="93" t="str">
        <f t="shared" si="30"/>
        <v/>
      </c>
      <c r="CA211" s="93" t="str">
        <f t="shared" si="31"/>
        <v/>
      </c>
      <c r="CB211" s="93" t="str">
        <f t="shared" si="32"/>
        <v>NA</v>
      </c>
      <c r="CC211" s="96" t="str">
        <f t="shared" si="33"/>
        <v>#N/A</v>
      </c>
      <c r="CD211" s="93" t="str">
        <f t="shared" si="34"/>
        <v/>
      </c>
      <c r="CE211" s="93" t="str">
        <f t="shared" si="35"/>
        <v/>
      </c>
      <c r="CF211" s="93" t="str">
        <f t="shared" si="36"/>
        <v>NA</v>
      </c>
      <c r="CG211" s="97" t="str">
        <f t="shared" si="37"/>
        <v>#N/A</v>
      </c>
      <c r="CH211" s="98" t="str">
        <f t="shared" si="38"/>
        <v>#N/A</v>
      </c>
      <c r="CI211" s="99" t="str">
        <f t="shared" si="39"/>
        <v>#N/A</v>
      </c>
      <c r="CJ211" s="126" t="str">
        <f t="shared" si="40"/>
        <v>ERROR: check cell</v>
      </c>
      <c r="CK211" s="126"/>
      <c r="CL211" s="127" t="str">
        <f t="shared" si="41"/>
        <v>#DIV/0!</v>
      </c>
      <c r="CM211" s="128" t="str">
        <f t="shared" si="42"/>
        <v>#DIV/0!</v>
      </c>
      <c r="CN211" s="128">
        <f t="shared" si="43"/>
        <v>4</v>
      </c>
      <c r="CO211" s="129">
        <f t="shared" si="44"/>
        <v>4</v>
      </c>
      <c r="CP211" s="129" t="str">
        <f>IFS(C211=Preferences!B$13,B211,B211=Preferences!B$13,C211)</f>
        <v>#N/A</v>
      </c>
    </row>
    <row r="212" ht="13.5" customHeight="1">
      <c r="A212" s="63" t="str">
        <f t="shared" si="45"/>
        <v/>
      </c>
      <c r="B212" s="64"/>
      <c r="C212" s="64"/>
      <c r="D212" s="64"/>
      <c r="E212" s="65"/>
      <c r="F212" s="65"/>
      <c r="G212" s="65"/>
      <c r="H212" s="66"/>
      <c r="I212" s="66"/>
      <c r="J212" s="67"/>
      <c r="K212" s="68"/>
      <c r="L212" s="104"/>
      <c r="M212" s="104"/>
      <c r="N212" s="104"/>
      <c r="O212" s="104"/>
      <c r="P212" s="107" t="str">
        <f t="shared" si="1"/>
        <v/>
      </c>
      <c r="Q212" s="108" t="str">
        <f>IFERROR(IF(AND(Preferences!B$3="Manual",OR(AX212/AW212&gt;G212/F212,BD212="Serious",BD212="Very serious")),"Assess imprecision",IFS(ISBLANK(E212),"",AND(Preferences!B$3="Automatic", G212/F212&gt;=30),"Extremely serious",AND(H212&lt;=$D$1*-1,J212&lt;0,G212/F212&lt;3),"Not serious",AND(H212&lt;=$D$1*-1,J212&lt;0,G212/F212&gt;=3),"Very serious",AND(H212&gt;=$D$1,I212&gt;0,G212/F212&lt;3),"Not serious",AND(H212&gt;=$D$1,I212&gt;0,G212/F212&gt;=3),"Very serious",AND(H212&lt;=$D$1*-1,J212&gt;0,I212&gt;$D$2*-1,G212/F212&lt;3),"Serious", AND(H212&lt;=$D$1*-1,J212&gt;0,I212&lt;$D$2*-1,G212/F212&lt;3),"Very serious", AND(H212&gt;=$D$1,I212&lt;0,J212&lt;$D$2,G212/F212&lt;3),"Serious",AND(H212&gt;=$D$1,I212&lt;0,J212&gt;$D$2,G212/F212&lt;3),"Very serious", AND(H212&lt;=$D$1*-1,J212&gt;0,I212&gt;$D$2*-1,G212/F212&gt;=3),"Very serious", AND(H212&lt;=$D$1*-1,J212&gt;0,I212&lt;$D$2*-1,G212/F212&gt;=3),"Very serious", AND(H212&gt;=$D$1,I212&lt;0,J212&lt;$D$2,G212/F212&gt;=3),"Very serious", AND(H212&gt;=$D$1,I212&lt;0,J212&gt;$D$2,G212/F212&gt;=3),"Very serious", AND(H212&gt;$D$1*-1,H212&lt;$D$1,I212&gt;$D$1*-1,J212&lt;$D$1,G212/F212&lt;3),"Not serious", AND(H212&gt;$D$1*-1,H212&lt;$D$1,OR(I212&lt;=$D$1*-1,J212&gt;=$D$1),I212&gt;$D$2*-1,J212&lt;$D$2,G212/F212&lt;3),"Serious", AND(H212&gt;$D$1*-1,H212&lt;$D$1,OR(I212&lt;=$D$2*-1,J212&gt;=$D$2),G212/F212&lt;3),"Very serious", AND(H212&gt;$D$1*-1,H212&lt;$D$1,I212&gt;$D$1*-1,J212&lt;$D$1,G212/F212&gt;=3),"Very serious", AND(H212&gt;$D$1*-1,H212&lt;$D$1,OR(I212&lt;=$D$1*-1,J212&gt;=$D$1),I212&gt;$D$2*-1,J212&lt;$D$2,G212/F212&gt;=3),"Very serious", AND(H212&gt;$D$1*-1,H212&lt;$D$1,OR(I212&lt;=$D$2*-1,J212&gt;=$D$2),G212/F212&gt;=3),"Very serious")),"")</f>
        <v/>
      </c>
      <c r="R212" s="109" t="str">
        <f t="shared" si="47"/>
        <v/>
      </c>
      <c r="S212" s="64"/>
      <c r="T212" s="72"/>
      <c r="U212" s="72"/>
      <c r="V212" s="72"/>
      <c r="W212" s="73"/>
      <c r="X212" s="73"/>
      <c r="Y212" s="74"/>
      <c r="Z212" s="113" t="str">
        <f t="array" ref="Z212">INDEX($A$1:$C$500, MATCH(1,($B:$B=$B212)*($C:$C=$AB212),0),1)</f>
        <v/>
      </c>
      <c r="AA212" s="113" t="str">
        <f t="array" ref="AA212">INDEX($A$1:$C$500, MATCH(1,($B:$B=$AB212)*($C:$C=$B212),0),1)</f>
        <v/>
      </c>
      <c r="AB212" s="111"/>
      <c r="AC212" s="114" t="str">
        <f t="shared" si="2"/>
        <v/>
      </c>
      <c r="AD212" s="115" t="str">
        <f t="shared" si="3"/>
        <v/>
      </c>
      <c r="AE212" s="116" t="str">
        <f t="array" ref="AE212">INDEX($A$1:$C$500, MATCH(1,($B:$B=$AB212)*($C:$C=$AG212),0),1)</f>
        <v/>
      </c>
      <c r="AF212" s="116" t="str">
        <f t="array" ref="AF212">INDEX($A$1:$C$500, MATCH(1,($B:$B=$AG212)*($C:$C=$AB212),0),1)</f>
        <v/>
      </c>
      <c r="AG212" s="72"/>
      <c r="AH212" s="114" t="str">
        <f t="shared" si="4"/>
        <v/>
      </c>
      <c r="AI212" s="115" t="str">
        <f t="shared" si="5"/>
        <v/>
      </c>
      <c r="AJ212" s="116" t="str">
        <f t="array" ref="AJ212">INDEX($A$1:$C$500, MATCH(1,($B:$B=$C212)*($C:$C=$AG212),0),1)</f>
        <v/>
      </c>
      <c r="AK212" s="116" t="str">
        <f t="array" ref="AK212">INDEX($A$1:$C$500, MATCH(1,($B:$B=$AG212)*($C:$C=$C212),0),1)</f>
        <v/>
      </c>
      <c r="AL212" s="116" t="str">
        <f t="array" ref="AL212">INDEX($A$1:$C$500, MATCH(1,($B:$B=$C212)*($C:$C=$AB212),0),1)</f>
        <v/>
      </c>
      <c r="AM212" s="116" t="str">
        <f t="array" ref="AM212">INDEX($A$1:$C$500, MATCH(1,($B:$B=$AB212)*($C:$C=$C212),0),1)</f>
        <v/>
      </c>
      <c r="AN212" s="114" t="str">
        <f t="array" ref="AN212">IFS(ISNUMBER(AJ212),AJ212,ISNUMBER(AK212),AK212,ISNUMBER(AL212),AL212,ISNUMBER(AM212),AM212)</f>
        <v>#N/A</v>
      </c>
      <c r="AO212" s="115" t="str">
        <f t="shared" si="6"/>
        <v/>
      </c>
      <c r="AP212" s="115" t="str">
        <f t="shared" si="7"/>
        <v/>
      </c>
      <c r="AQ212" s="111"/>
      <c r="AR212" s="109" t="str">
        <f t="shared" si="8"/>
        <v/>
      </c>
      <c r="AS212" s="72" t="str">
        <f>IFERROR(IF(AND(Preferences!B$3="Manual",OR(AX212/AW212&gt;V212/U212,BD212="Serious",BD212="Very serious")),"Assess imprecision",IFERROR(IFS(AND(Preferences!B$3="Automatic",V212/U212&gt;=30),"Extremely serious",AND(W212&lt;=$D$1*-1,Y212&lt;0,V212/U212&lt;3),"Not Serious",AND(W212&lt;=$D$1*-1,Y212&lt;0,V212/U212&gt;=3),"Very serious",AND(W212&gt;=$D$1,X212&gt;0,V212/U212&lt;3),"Not Serious",AND(W212&gt;=$D$1,X212&gt;0,V212/U212&gt;=3),"Very serious",AND(W212&lt;=$D$1*-1,Y212&gt;0,X212&gt;$D$2*-1,V212/U212&lt;3),"Serious", AND(W212&lt;=$D$1*-1,Y212&gt;0,X212&lt;$D$2*-1,V212/U212&lt;3),"Very serious", AND(W212&gt;=$D$1,X212&lt;0,Y212&lt;$D$2,V212/U212&lt;3),"Serious",AND(W212&gt;=$D$1,X212&lt;0,Y212&gt;$D$2,V212/U212&lt;3),"Very serious", AND(W212&lt;=$D$1*-1,Y212&gt;0,X212&gt;$D$2*-1,V212/U212&gt;=3),"Very serious", AND(W212&lt;=$D$1*-1,Y212&gt;0,X212&lt;$D$2*-1,V212/U212&gt;=3),"Very serious", AND(W212&gt;=$D$1,X212&lt;0,Y212&lt;$D$2,V212/U212&gt;=3),"Very serious", AND(W212&gt;=$D$1,X212&lt;0,Y212&gt;$D$2,V212/U212&gt;=3),"Very serious", AND(W212&gt;$D$1*-1,W212&lt;$D$1,X212&gt;$D$1*-1,Y212&lt;$D$1,V212/U212&lt;3),"Not Serious", AND(W212&gt;$D$1*-1,W212&lt;$D$1,OR(X212&lt;=$D$1*-1,Y212&gt;=$D$1),X212&gt;$D$2*-1,Y212&lt;$D$2,V212/U212&lt;3),"Serious", AND(W212&gt;$D$1*-1,W212&lt;$D$1,OR(X212&lt;=$D$2*-1,Y212&gt;=$D$2),V212/U212&lt;3),"Very serious", AND(W212&gt;$D$1*-1,W212&lt;$D$1,X212&gt;$D$1*-1,Y212&lt;$D$1,V212/U212&gt;=3),"Very serious", AND(W212&gt;$D$1*-1,W212&lt;$D$1,OR(X212&lt;=$D$1*-1,Y212&gt;=$D$1),X212&gt;$D$2*-1,Y212&lt;$D$2,V212/U212&gt;=3),"Very serious", AND(W212&gt;$D$1*-1,W212&lt;$D$1,OR(X212&lt;=$D$2*-1,Y212&gt;=$D$2),V212/U212&gt;=3),"Very serious"),"")),"")</f>
        <v/>
      </c>
      <c r="AT212" s="109" t="str">
        <f t="shared" si="9"/>
        <v/>
      </c>
      <c r="AU212" s="64"/>
      <c r="AV212" s="83"/>
      <c r="AW212" s="83"/>
      <c r="AX212" s="83"/>
      <c r="AY212" s="83"/>
      <c r="AZ212" s="83"/>
      <c r="BA212" s="85"/>
      <c r="BB212" s="86" t="str">
        <f>IF(Preferences!B$9="Manual","",IFS(ISBLANK(B212),"",AND(ISNUMBER(E212)=TRUE,ISNUMBER(T212)=FALSE),"Direct", AND(ISNUMBER(E212)=FALSE,ISNUMBER(T212)=TRUE),"Indirect", CN212=4,"Direct",AND(CL212=FALSE, CM212=TRUE,CN212-CO212&gt;-1),"Direct", AND(CL212=FALSE,CM212=TRUE, CN212-CO212&lt;0),"Check algorithm in appendix 2", AND(CL212=TRUE, CM212=FALSE,CN212-CO212&gt;0),"Check algorithm in appendix 2", AND(CL212=TRUE, CM212=FALSE,CN212-CO212=0),"Indirect", AND(CL212=TRUE, CM212=FALSE,CN212-CO212&lt;0),"Indirect", AND(CL212=FALSE,CM212=FALSE,CN212-CO212&gt;-1),"Direct", AND(CL212=FALSE,CM212=FALSE,CN212-CO212&lt;0),"Check algorithm in appendix 2", AND(CL212=TRUE,CM212=TRUE,CN212-CO212&gt;-1),"Direct", AND(CL212=TRUE,CM212=TRUE,CN212-CO212&lt;0),"Check algorithm in appendix 2"))</f>
        <v/>
      </c>
      <c r="BC212" s="120" t="str">
        <f t="shared" si="10"/>
        <v/>
      </c>
      <c r="BD212" s="140"/>
      <c r="BE212" s="122" t="str">
        <f>IF(Preferences!B$3="Manual","", IFERROR(IFS(AND(Preferences!B$3="Automatic",AX212/AW212&gt;=30),"Extremely serious",AND(AY212&lt;=$D$1*-1,BA212&lt;0,AX212/AW212&lt;3),"Not Serious",AND(AY212&lt;=$D$1*-1,BA212&lt;0,AX212/AW212&gt;=3),"Very serious",AND(AY212&gt;=$D$1,AZ212&gt;0,AX212/AW212&lt;3),"Not Serious",AND(AY212&gt;=$D$1,AZ212&gt;0,AX212/AW212&gt;=3),"Very serious",AND(AY212&lt;=$D$1*-1,BA212&gt;0,AZ212&gt;$D$2*-1,AX212/AW212&lt;3),"Serious", AND(AY212&lt;=$D$1*-1,BA212&gt;0,AZ212&lt;$D$2*-1,AX212/AW212&lt;3),"Very serious", AND(AY212&gt;=$D$1,AZ212&lt;0,BA212&lt;$D$2,AX212/AW212&lt;3),"Serious",AND(AY212&gt;=$D$1,AZ212&lt;0,BA212&gt;$D$2,AX212/AW212&lt;3),"Very serious", AND(AY212&lt;=$D$1*-1,BA212&gt;0,AZ212&gt;$D$2*-1,AX212/AW212&gt;=3),"Very serious", AND(AY212&lt;=$D$1*-1,BA212&gt;0,AZ212&lt;$D$2*-1,AX212/AW212&gt;=3),"Very serious", AND(AY212&gt;=$D$1,AZ212&lt;0,BA212&lt;$D$2,AX212/AW212&gt;=3),"Very serious", AND(AY212&gt;=$D$1,AZ212&lt;0,BA212&gt;$D$2,AX212/AW212&gt;=3),"Very serious", AND(AY212&gt;$D$1*-1,AY212&lt;$D$1,AZ212&gt;$D$1*-1,BA212&lt;$D$1,AX212/AW212&lt;3),"Not Serious", AND(AY212&gt;$D$1*-1,AY212&lt;$D$1,OR(AZ212&lt;=$D$1*-1,BA212&gt;=$D$1),AZ212&gt;$D$2*-1,BA212&lt;$D$2,AX212/AW212&lt;3),"Serious", AND(AY212&gt;$D$1*-1,AY212&lt;$D$1,OR(AZ212&lt;=$D$2*-1,BA212&gt;=$D$2),AX212/AW212&lt;3),"Very serious", AND(AY212&gt;$D$1*-1,AY212&lt;$D$1,AZ212&gt;$D$1*-1,BA212&lt;$D$1,AX212/AW212&gt;=3),"Very serious", AND(AY212&gt;$D$1*-1,AY212&lt;$D$1,OR(AZ212&lt;=$D$1*-1,BA212&gt;=$D$1),AZ212&gt;$D$2*-1,BA212&lt;$D$2,AX212/AW212&gt;=3),"Very serious", AND(AY212&gt;$D$1*-1,AY212&lt;$D$1,OR(AZ212&lt;=$D$2*-1,BA212&gt;=$D$2),AX212/AW212&gt;=3),"Very serious"),""))</f>
        <v/>
      </c>
      <c r="BF212" s="107" t="str">
        <f t="shared" si="11"/>
        <v/>
      </c>
      <c r="BG212" s="94" t="str">
        <f t="shared" si="46"/>
        <v/>
      </c>
      <c r="BH212" s="64" t="str">
        <f t="shared" si="12"/>
        <v>#N/A</v>
      </c>
      <c r="BI212" s="64" t="str">
        <f t="shared" si="13"/>
        <v/>
      </c>
      <c r="BJ212" s="123" t="str">
        <f t="shared" si="14"/>
        <v>#N/A</v>
      </c>
      <c r="BK212" s="64" t="str">
        <f t="shared" si="50"/>
        <v>YES</v>
      </c>
      <c r="BL212" s="64" t="str">
        <f t="shared" si="16"/>
        <v>YES</v>
      </c>
      <c r="BM212" s="64" t="str">
        <f t="shared" si="17"/>
        <v>YES</v>
      </c>
      <c r="BN212" s="124" t="str">
        <f t="shared" si="18"/>
        <v/>
      </c>
      <c r="BO212" s="91" t="str">
        <f t="shared" si="19"/>
        <v/>
      </c>
      <c r="BP212" s="91" t="str">
        <f t="shared" si="20"/>
        <v>#N/A</v>
      </c>
      <c r="BQ212" s="91" t="str">
        <f t="shared" si="21"/>
        <v/>
      </c>
      <c r="BR212" s="93" t="str">
        <f t="shared" si="22"/>
        <v/>
      </c>
      <c r="BS212" s="90" t="str">
        <f t="shared" si="23"/>
        <v/>
      </c>
      <c r="BT212" s="93" t="str">
        <f t="shared" si="24"/>
        <v>NA</v>
      </c>
      <c r="BU212" s="125" t="str">
        <f t="shared" si="25"/>
        <v>#N/A</v>
      </c>
      <c r="BV212" s="93" t="str">
        <f t="shared" si="26"/>
        <v/>
      </c>
      <c r="BW212" s="93" t="str">
        <f t="shared" si="27"/>
        <v/>
      </c>
      <c r="BX212" s="93" t="str">
        <f t="shared" si="28"/>
        <v>NA</v>
      </c>
      <c r="BY212" s="95" t="str">
        <f t="shared" si="29"/>
        <v>#N/A</v>
      </c>
      <c r="BZ212" s="93" t="str">
        <f t="shared" si="30"/>
        <v/>
      </c>
      <c r="CA212" s="93" t="str">
        <f t="shared" si="31"/>
        <v/>
      </c>
      <c r="CB212" s="93" t="str">
        <f t="shared" si="32"/>
        <v>NA</v>
      </c>
      <c r="CC212" s="96" t="str">
        <f t="shared" si="33"/>
        <v>#N/A</v>
      </c>
      <c r="CD212" s="93" t="str">
        <f t="shared" si="34"/>
        <v/>
      </c>
      <c r="CE212" s="93" t="str">
        <f t="shared" si="35"/>
        <v/>
      </c>
      <c r="CF212" s="93" t="str">
        <f t="shared" si="36"/>
        <v>NA</v>
      </c>
      <c r="CG212" s="97" t="str">
        <f t="shared" si="37"/>
        <v>#N/A</v>
      </c>
      <c r="CH212" s="98" t="str">
        <f t="shared" si="38"/>
        <v>#N/A</v>
      </c>
      <c r="CI212" s="99" t="str">
        <f t="shared" si="39"/>
        <v>#N/A</v>
      </c>
      <c r="CJ212" s="126" t="str">
        <f t="shared" si="40"/>
        <v>ERROR: check cell</v>
      </c>
      <c r="CK212" s="126"/>
      <c r="CL212" s="127" t="str">
        <f t="shared" si="41"/>
        <v>#DIV/0!</v>
      </c>
      <c r="CM212" s="128" t="str">
        <f t="shared" si="42"/>
        <v>#DIV/0!</v>
      </c>
      <c r="CN212" s="128">
        <f t="shared" si="43"/>
        <v>4</v>
      </c>
      <c r="CO212" s="129">
        <f t="shared" si="44"/>
        <v>4</v>
      </c>
      <c r="CP212" s="129" t="str">
        <f>IFS(C212=Preferences!B$13,B212,B212=Preferences!B$13,C212)</f>
        <v>#N/A</v>
      </c>
    </row>
    <row r="213" ht="13.5" customHeight="1">
      <c r="A213" s="63" t="str">
        <f t="shared" si="45"/>
        <v/>
      </c>
      <c r="B213" s="64"/>
      <c r="C213" s="64"/>
      <c r="D213" s="64"/>
      <c r="E213" s="65"/>
      <c r="F213" s="65"/>
      <c r="G213" s="65"/>
      <c r="H213" s="66"/>
      <c r="I213" s="66"/>
      <c r="J213" s="67"/>
      <c r="K213" s="68"/>
      <c r="L213" s="104"/>
      <c r="M213" s="104"/>
      <c r="N213" s="104"/>
      <c r="O213" s="104"/>
      <c r="P213" s="107" t="str">
        <f t="shared" si="1"/>
        <v/>
      </c>
      <c r="Q213" s="108" t="str">
        <f>IFERROR(IF(AND(Preferences!B$3="Manual",OR(AX213/AW213&gt;G213/F213,BD213="Serious",BD213="Very serious")),"Assess imprecision",IFS(ISBLANK(E213),"",AND(Preferences!B$3="Automatic", G213/F213&gt;=30),"Extremely serious",AND(H213&lt;=$D$1*-1,J213&lt;0,G213/F213&lt;3),"Not serious",AND(H213&lt;=$D$1*-1,J213&lt;0,G213/F213&gt;=3),"Very serious",AND(H213&gt;=$D$1,I213&gt;0,G213/F213&lt;3),"Not serious",AND(H213&gt;=$D$1,I213&gt;0,G213/F213&gt;=3),"Very serious",AND(H213&lt;=$D$1*-1,J213&gt;0,I213&gt;$D$2*-1,G213/F213&lt;3),"Serious", AND(H213&lt;=$D$1*-1,J213&gt;0,I213&lt;$D$2*-1,G213/F213&lt;3),"Very serious", AND(H213&gt;=$D$1,I213&lt;0,J213&lt;$D$2,G213/F213&lt;3),"Serious",AND(H213&gt;=$D$1,I213&lt;0,J213&gt;$D$2,G213/F213&lt;3),"Very serious", AND(H213&lt;=$D$1*-1,J213&gt;0,I213&gt;$D$2*-1,G213/F213&gt;=3),"Very serious", AND(H213&lt;=$D$1*-1,J213&gt;0,I213&lt;$D$2*-1,G213/F213&gt;=3),"Very serious", AND(H213&gt;=$D$1,I213&lt;0,J213&lt;$D$2,G213/F213&gt;=3),"Very serious", AND(H213&gt;=$D$1,I213&lt;0,J213&gt;$D$2,G213/F213&gt;=3),"Very serious", AND(H213&gt;$D$1*-1,H213&lt;$D$1,I213&gt;$D$1*-1,J213&lt;$D$1,G213/F213&lt;3),"Not serious", AND(H213&gt;$D$1*-1,H213&lt;$D$1,OR(I213&lt;=$D$1*-1,J213&gt;=$D$1),I213&gt;$D$2*-1,J213&lt;$D$2,G213/F213&lt;3),"Serious", AND(H213&gt;$D$1*-1,H213&lt;$D$1,OR(I213&lt;=$D$2*-1,J213&gt;=$D$2),G213/F213&lt;3),"Very serious", AND(H213&gt;$D$1*-1,H213&lt;$D$1,I213&gt;$D$1*-1,J213&lt;$D$1,G213/F213&gt;=3),"Very serious", AND(H213&gt;$D$1*-1,H213&lt;$D$1,OR(I213&lt;=$D$1*-1,J213&gt;=$D$1),I213&gt;$D$2*-1,J213&lt;$D$2,G213/F213&gt;=3),"Very serious", AND(H213&gt;$D$1*-1,H213&lt;$D$1,OR(I213&lt;=$D$2*-1,J213&gt;=$D$2),G213/F213&gt;=3),"Very serious")),"")</f>
        <v/>
      </c>
      <c r="R213" s="109" t="str">
        <f t="shared" si="47"/>
        <v/>
      </c>
      <c r="S213" s="64"/>
      <c r="T213" s="72"/>
      <c r="U213" s="72"/>
      <c r="V213" s="72"/>
      <c r="W213" s="73"/>
      <c r="X213" s="73"/>
      <c r="Y213" s="74"/>
      <c r="Z213" s="113" t="str">
        <f t="array" ref="Z213">INDEX($A$1:$C$500, MATCH(1,($B:$B=$B213)*($C:$C=$AB213),0),1)</f>
        <v/>
      </c>
      <c r="AA213" s="113" t="str">
        <f t="array" ref="AA213">INDEX($A$1:$C$500, MATCH(1,($B:$B=$AB213)*($C:$C=$B213),0),1)</f>
        <v/>
      </c>
      <c r="AB213" s="111"/>
      <c r="AC213" s="114" t="str">
        <f t="shared" si="2"/>
        <v/>
      </c>
      <c r="AD213" s="115" t="str">
        <f t="shared" si="3"/>
        <v/>
      </c>
      <c r="AE213" s="116" t="str">
        <f t="array" ref="AE213">INDEX($A$1:$C$500, MATCH(1,($B:$B=$AB213)*($C:$C=$AG213),0),1)</f>
        <v/>
      </c>
      <c r="AF213" s="116" t="str">
        <f t="array" ref="AF213">INDEX($A$1:$C$500, MATCH(1,($B:$B=$AG213)*($C:$C=$AB213),0),1)</f>
        <v/>
      </c>
      <c r="AG213" s="72"/>
      <c r="AH213" s="114" t="str">
        <f t="shared" si="4"/>
        <v/>
      </c>
      <c r="AI213" s="115" t="str">
        <f t="shared" si="5"/>
        <v/>
      </c>
      <c r="AJ213" s="116" t="str">
        <f t="array" ref="AJ213">INDEX($A$1:$C$500, MATCH(1,($B:$B=$C213)*($C:$C=$AG213),0),1)</f>
        <v/>
      </c>
      <c r="AK213" s="116" t="str">
        <f t="array" ref="AK213">INDEX($A$1:$C$500, MATCH(1,($B:$B=$AG213)*($C:$C=$C213),0),1)</f>
        <v/>
      </c>
      <c r="AL213" s="116" t="str">
        <f t="array" ref="AL213">INDEX($A$1:$C$500, MATCH(1,($B:$B=$C213)*($C:$C=$AB213),0),1)</f>
        <v/>
      </c>
      <c r="AM213" s="116" t="str">
        <f t="array" ref="AM213">INDEX($A$1:$C$500, MATCH(1,($B:$B=$AB213)*($C:$C=$C213),0),1)</f>
        <v/>
      </c>
      <c r="AN213" s="114" t="str">
        <f t="array" ref="AN213">IFS(ISNUMBER(AJ213),AJ213,ISNUMBER(AK213),AK213,ISNUMBER(AL213),AL213,ISNUMBER(AM213),AM213)</f>
        <v>#N/A</v>
      </c>
      <c r="AO213" s="115" t="str">
        <f t="shared" si="6"/>
        <v/>
      </c>
      <c r="AP213" s="115" t="str">
        <f t="shared" si="7"/>
        <v/>
      </c>
      <c r="AQ213" s="111"/>
      <c r="AR213" s="109" t="str">
        <f t="shared" si="8"/>
        <v/>
      </c>
      <c r="AS213" s="72" t="str">
        <f>IFERROR(IF(AND(Preferences!B$3="Manual",OR(AX213/AW213&gt;V213/U213,BD213="Serious",BD213="Very serious")),"Assess imprecision",IFERROR(IFS(AND(Preferences!B$3="Automatic",V213/U213&gt;=30),"Extremely serious",AND(W213&lt;=$D$1*-1,Y213&lt;0,V213/U213&lt;3),"Not Serious",AND(W213&lt;=$D$1*-1,Y213&lt;0,V213/U213&gt;=3),"Very serious",AND(W213&gt;=$D$1,X213&gt;0,V213/U213&lt;3),"Not Serious",AND(W213&gt;=$D$1,X213&gt;0,V213/U213&gt;=3),"Very serious",AND(W213&lt;=$D$1*-1,Y213&gt;0,X213&gt;$D$2*-1,V213/U213&lt;3),"Serious", AND(W213&lt;=$D$1*-1,Y213&gt;0,X213&lt;$D$2*-1,V213/U213&lt;3),"Very serious", AND(W213&gt;=$D$1,X213&lt;0,Y213&lt;$D$2,V213/U213&lt;3),"Serious",AND(W213&gt;=$D$1,X213&lt;0,Y213&gt;$D$2,V213/U213&lt;3),"Very serious", AND(W213&lt;=$D$1*-1,Y213&gt;0,X213&gt;$D$2*-1,V213/U213&gt;=3),"Very serious", AND(W213&lt;=$D$1*-1,Y213&gt;0,X213&lt;$D$2*-1,V213/U213&gt;=3),"Very serious", AND(W213&gt;=$D$1,X213&lt;0,Y213&lt;$D$2,V213/U213&gt;=3),"Very serious", AND(W213&gt;=$D$1,X213&lt;0,Y213&gt;$D$2,V213/U213&gt;=3),"Very serious", AND(W213&gt;$D$1*-1,W213&lt;$D$1,X213&gt;$D$1*-1,Y213&lt;$D$1,V213/U213&lt;3),"Not Serious", AND(W213&gt;$D$1*-1,W213&lt;$D$1,OR(X213&lt;=$D$1*-1,Y213&gt;=$D$1),X213&gt;$D$2*-1,Y213&lt;$D$2,V213/U213&lt;3),"Serious", AND(W213&gt;$D$1*-1,W213&lt;$D$1,OR(X213&lt;=$D$2*-1,Y213&gt;=$D$2),V213/U213&lt;3),"Very serious", AND(W213&gt;$D$1*-1,W213&lt;$D$1,X213&gt;$D$1*-1,Y213&lt;$D$1,V213/U213&gt;=3),"Very serious", AND(W213&gt;$D$1*-1,W213&lt;$D$1,OR(X213&lt;=$D$1*-1,Y213&gt;=$D$1),X213&gt;$D$2*-1,Y213&lt;$D$2,V213/U213&gt;=3),"Very serious", AND(W213&gt;$D$1*-1,W213&lt;$D$1,OR(X213&lt;=$D$2*-1,Y213&gt;=$D$2),V213/U213&gt;=3),"Very serious"),"")),"")</f>
        <v/>
      </c>
      <c r="AT213" s="109" t="str">
        <f t="shared" si="9"/>
        <v/>
      </c>
      <c r="AU213" s="64"/>
      <c r="AV213" s="83"/>
      <c r="AW213" s="83"/>
      <c r="AX213" s="83"/>
      <c r="AY213" s="83"/>
      <c r="AZ213" s="83"/>
      <c r="BA213" s="85"/>
      <c r="BB213" s="86" t="str">
        <f>IF(Preferences!B$9="Manual","",IFS(ISBLANK(B213),"",AND(ISNUMBER(E213)=TRUE,ISNUMBER(T213)=FALSE),"Direct", AND(ISNUMBER(E213)=FALSE,ISNUMBER(T213)=TRUE),"Indirect", CN213=4,"Direct",AND(CL213=FALSE, CM213=TRUE,CN213-CO213&gt;-1),"Direct", AND(CL213=FALSE,CM213=TRUE, CN213-CO213&lt;0),"Check algorithm in appendix 2", AND(CL213=TRUE, CM213=FALSE,CN213-CO213&gt;0),"Check algorithm in appendix 2", AND(CL213=TRUE, CM213=FALSE,CN213-CO213=0),"Indirect", AND(CL213=TRUE, CM213=FALSE,CN213-CO213&lt;0),"Indirect", AND(CL213=FALSE,CM213=FALSE,CN213-CO213&gt;-1),"Direct", AND(CL213=FALSE,CM213=FALSE,CN213-CO213&lt;0),"Check algorithm in appendix 2", AND(CL213=TRUE,CM213=TRUE,CN213-CO213&gt;-1),"Direct", AND(CL213=TRUE,CM213=TRUE,CN213-CO213&lt;0),"Check algorithm in appendix 2"))</f>
        <v/>
      </c>
      <c r="BC213" s="120" t="str">
        <f t="shared" si="10"/>
        <v/>
      </c>
      <c r="BD213" s="140"/>
      <c r="BE213" s="122" t="str">
        <f>IF(Preferences!B$3="Manual","", IFERROR(IFS(AND(Preferences!B$3="Automatic",AX213/AW213&gt;=30),"Extremely serious",AND(AY213&lt;=$D$1*-1,BA213&lt;0,AX213/AW213&lt;3),"Not Serious",AND(AY213&lt;=$D$1*-1,BA213&lt;0,AX213/AW213&gt;=3),"Very serious",AND(AY213&gt;=$D$1,AZ213&gt;0,AX213/AW213&lt;3),"Not Serious",AND(AY213&gt;=$D$1,AZ213&gt;0,AX213/AW213&gt;=3),"Very serious",AND(AY213&lt;=$D$1*-1,BA213&gt;0,AZ213&gt;$D$2*-1,AX213/AW213&lt;3),"Serious", AND(AY213&lt;=$D$1*-1,BA213&gt;0,AZ213&lt;$D$2*-1,AX213/AW213&lt;3),"Very serious", AND(AY213&gt;=$D$1,AZ213&lt;0,BA213&lt;$D$2,AX213/AW213&lt;3),"Serious",AND(AY213&gt;=$D$1,AZ213&lt;0,BA213&gt;$D$2,AX213/AW213&lt;3),"Very serious", AND(AY213&lt;=$D$1*-1,BA213&gt;0,AZ213&gt;$D$2*-1,AX213/AW213&gt;=3),"Very serious", AND(AY213&lt;=$D$1*-1,BA213&gt;0,AZ213&lt;$D$2*-1,AX213/AW213&gt;=3),"Very serious", AND(AY213&gt;=$D$1,AZ213&lt;0,BA213&lt;$D$2,AX213/AW213&gt;=3),"Very serious", AND(AY213&gt;=$D$1,AZ213&lt;0,BA213&gt;$D$2,AX213/AW213&gt;=3),"Very serious", AND(AY213&gt;$D$1*-1,AY213&lt;$D$1,AZ213&gt;$D$1*-1,BA213&lt;$D$1,AX213/AW213&lt;3),"Not Serious", AND(AY213&gt;$D$1*-1,AY213&lt;$D$1,OR(AZ213&lt;=$D$1*-1,BA213&gt;=$D$1),AZ213&gt;$D$2*-1,BA213&lt;$D$2,AX213/AW213&lt;3),"Serious", AND(AY213&gt;$D$1*-1,AY213&lt;$D$1,OR(AZ213&lt;=$D$2*-1,BA213&gt;=$D$2),AX213/AW213&lt;3),"Very serious", AND(AY213&gt;$D$1*-1,AY213&lt;$D$1,AZ213&gt;$D$1*-1,BA213&lt;$D$1,AX213/AW213&gt;=3),"Very serious", AND(AY213&gt;$D$1*-1,AY213&lt;$D$1,OR(AZ213&lt;=$D$1*-1,BA213&gt;=$D$1),AZ213&gt;$D$2*-1,BA213&lt;$D$2,AX213/AW213&gt;=3),"Very serious", AND(AY213&gt;$D$1*-1,AY213&lt;$D$1,OR(AZ213&lt;=$D$2*-1,BA213&gt;=$D$2),AX213/AW213&gt;=3),"Very serious"),""))</f>
        <v/>
      </c>
      <c r="BF213" s="107" t="str">
        <f t="shared" si="11"/>
        <v/>
      </c>
      <c r="BG213" s="94" t="str">
        <f t="shared" si="46"/>
        <v/>
      </c>
      <c r="BH213" s="64" t="str">
        <f t="shared" si="12"/>
        <v>#N/A</v>
      </c>
      <c r="BI213" s="64" t="str">
        <f t="shared" si="13"/>
        <v/>
      </c>
      <c r="BJ213" s="123" t="str">
        <f t="shared" si="14"/>
        <v>#N/A</v>
      </c>
      <c r="BK213" s="64" t="str">
        <f t="shared" si="50"/>
        <v>YES</v>
      </c>
      <c r="BL213" s="64" t="str">
        <f t="shared" si="16"/>
        <v>YES</v>
      </c>
      <c r="BM213" s="64" t="str">
        <f t="shared" si="17"/>
        <v>YES</v>
      </c>
      <c r="BN213" s="124" t="str">
        <f t="shared" si="18"/>
        <v/>
      </c>
      <c r="BO213" s="91" t="str">
        <f t="shared" si="19"/>
        <v/>
      </c>
      <c r="BP213" s="91" t="str">
        <f t="shared" si="20"/>
        <v>#N/A</v>
      </c>
      <c r="BQ213" s="91" t="str">
        <f t="shared" si="21"/>
        <v/>
      </c>
      <c r="BR213" s="93" t="str">
        <f t="shared" si="22"/>
        <v/>
      </c>
      <c r="BS213" s="90" t="str">
        <f t="shared" si="23"/>
        <v/>
      </c>
      <c r="BT213" s="93" t="str">
        <f t="shared" si="24"/>
        <v>NA</v>
      </c>
      <c r="BU213" s="125" t="str">
        <f t="shared" si="25"/>
        <v>#N/A</v>
      </c>
      <c r="BV213" s="93" t="str">
        <f t="shared" si="26"/>
        <v/>
      </c>
      <c r="BW213" s="93" t="str">
        <f t="shared" si="27"/>
        <v/>
      </c>
      <c r="BX213" s="93" t="str">
        <f t="shared" si="28"/>
        <v>NA</v>
      </c>
      <c r="BY213" s="95" t="str">
        <f t="shared" si="29"/>
        <v>#N/A</v>
      </c>
      <c r="BZ213" s="93" t="str">
        <f t="shared" si="30"/>
        <v/>
      </c>
      <c r="CA213" s="93" t="str">
        <f t="shared" si="31"/>
        <v/>
      </c>
      <c r="CB213" s="93" t="str">
        <f t="shared" si="32"/>
        <v>NA</v>
      </c>
      <c r="CC213" s="96" t="str">
        <f t="shared" si="33"/>
        <v>#N/A</v>
      </c>
      <c r="CD213" s="93" t="str">
        <f t="shared" si="34"/>
        <v/>
      </c>
      <c r="CE213" s="93" t="str">
        <f t="shared" si="35"/>
        <v/>
      </c>
      <c r="CF213" s="93" t="str">
        <f t="shared" si="36"/>
        <v>NA</v>
      </c>
      <c r="CG213" s="97" t="str">
        <f t="shared" si="37"/>
        <v>#N/A</v>
      </c>
      <c r="CH213" s="98" t="str">
        <f t="shared" si="38"/>
        <v>#N/A</v>
      </c>
      <c r="CI213" s="99" t="str">
        <f t="shared" si="39"/>
        <v>#N/A</v>
      </c>
      <c r="CJ213" s="126" t="str">
        <f t="shared" si="40"/>
        <v>ERROR: check cell</v>
      </c>
      <c r="CK213" s="126"/>
      <c r="CL213" s="127" t="str">
        <f t="shared" si="41"/>
        <v>#DIV/0!</v>
      </c>
      <c r="CM213" s="128" t="str">
        <f t="shared" si="42"/>
        <v>#DIV/0!</v>
      </c>
      <c r="CN213" s="128">
        <f t="shared" si="43"/>
        <v>4</v>
      </c>
      <c r="CO213" s="129">
        <f t="shared" si="44"/>
        <v>4</v>
      </c>
      <c r="CP213" s="129" t="str">
        <f>IFS(C213=Preferences!B$13,B213,B213=Preferences!B$13,C213)</f>
        <v>#N/A</v>
      </c>
    </row>
    <row r="214" ht="13.5" customHeight="1">
      <c r="A214" s="63" t="str">
        <f t="shared" si="45"/>
        <v/>
      </c>
      <c r="B214" s="64"/>
      <c r="C214" s="64"/>
      <c r="D214" s="64"/>
      <c r="E214" s="65"/>
      <c r="F214" s="65"/>
      <c r="G214" s="65"/>
      <c r="H214" s="66"/>
      <c r="I214" s="66"/>
      <c r="J214" s="67"/>
      <c r="K214" s="68"/>
      <c r="L214" s="104"/>
      <c r="M214" s="104"/>
      <c r="N214" s="104"/>
      <c r="O214" s="104"/>
      <c r="P214" s="107" t="str">
        <f t="shared" si="1"/>
        <v/>
      </c>
      <c r="Q214" s="108" t="str">
        <f>IFERROR(IF(AND(Preferences!B$3="Manual",OR(AX214/AW214&gt;G214/F214,BD214="Serious",BD214="Very serious")),"Assess imprecision",IFS(ISBLANK(E214),"",AND(Preferences!B$3="Automatic", G214/F214&gt;=30),"Extremely serious",AND(H214&lt;=$D$1*-1,J214&lt;0,G214/F214&lt;3),"Not serious",AND(H214&lt;=$D$1*-1,J214&lt;0,G214/F214&gt;=3),"Very serious",AND(H214&gt;=$D$1,I214&gt;0,G214/F214&lt;3),"Not serious",AND(H214&gt;=$D$1,I214&gt;0,G214/F214&gt;=3),"Very serious",AND(H214&lt;=$D$1*-1,J214&gt;0,I214&gt;$D$2*-1,G214/F214&lt;3),"Serious", AND(H214&lt;=$D$1*-1,J214&gt;0,I214&lt;$D$2*-1,G214/F214&lt;3),"Very serious", AND(H214&gt;=$D$1,I214&lt;0,J214&lt;$D$2,G214/F214&lt;3),"Serious",AND(H214&gt;=$D$1,I214&lt;0,J214&gt;$D$2,G214/F214&lt;3),"Very serious", AND(H214&lt;=$D$1*-1,J214&gt;0,I214&gt;$D$2*-1,G214/F214&gt;=3),"Very serious", AND(H214&lt;=$D$1*-1,J214&gt;0,I214&lt;$D$2*-1,G214/F214&gt;=3),"Very serious", AND(H214&gt;=$D$1,I214&lt;0,J214&lt;$D$2,G214/F214&gt;=3),"Very serious", AND(H214&gt;=$D$1,I214&lt;0,J214&gt;$D$2,G214/F214&gt;=3),"Very serious", AND(H214&gt;$D$1*-1,H214&lt;$D$1,I214&gt;$D$1*-1,J214&lt;$D$1,G214/F214&lt;3),"Not serious", AND(H214&gt;$D$1*-1,H214&lt;$D$1,OR(I214&lt;=$D$1*-1,J214&gt;=$D$1),I214&gt;$D$2*-1,J214&lt;$D$2,G214/F214&lt;3),"Serious", AND(H214&gt;$D$1*-1,H214&lt;$D$1,OR(I214&lt;=$D$2*-1,J214&gt;=$D$2),G214/F214&lt;3),"Very serious", AND(H214&gt;$D$1*-1,H214&lt;$D$1,I214&gt;$D$1*-1,J214&lt;$D$1,G214/F214&gt;=3),"Very serious", AND(H214&gt;$D$1*-1,H214&lt;$D$1,OR(I214&lt;=$D$1*-1,J214&gt;=$D$1),I214&gt;$D$2*-1,J214&lt;$D$2,G214/F214&gt;=3),"Very serious", AND(H214&gt;$D$1*-1,H214&lt;$D$1,OR(I214&lt;=$D$2*-1,J214&gt;=$D$2),G214/F214&gt;=3),"Very serious")),"")</f>
        <v/>
      </c>
      <c r="R214" s="109" t="str">
        <f t="shared" si="47"/>
        <v/>
      </c>
      <c r="S214" s="64"/>
      <c r="T214" s="72"/>
      <c r="U214" s="72"/>
      <c r="V214" s="72"/>
      <c r="W214" s="73"/>
      <c r="X214" s="73"/>
      <c r="Y214" s="74"/>
      <c r="Z214" s="113" t="str">
        <f t="array" ref="Z214">INDEX($A$1:$C$500, MATCH(1,($B:$B=$B214)*($C:$C=$AB214),0),1)</f>
        <v/>
      </c>
      <c r="AA214" s="113" t="str">
        <f t="array" ref="AA214">INDEX($A$1:$C$500, MATCH(1,($B:$B=$AB214)*($C:$C=$B214),0),1)</f>
        <v/>
      </c>
      <c r="AB214" s="111"/>
      <c r="AC214" s="114" t="str">
        <f t="shared" si="2"/>
        <v/>
      </c>
      <c r="AD214" s="115" t="str">
        <f t="shared" si="3"/>
        <v/>
      </c>
      <c r="AE214" s="116" t="str">
        <f t="array" ref="AE214">INDEX($A$1:$C$500, MATCH(1,($B:$B=$AB214)*($C:$C=$AG214),0),1)</f>
        <v/>
      </c>
      <c r="AF214" s="116" t="str">
        <f t="array" ref="AF214">INDEX($A$1:$C$500, MATCH(1,($B:$B=$AG214)*($C:$C=$AB214),0),1)</f>
        <v/>
      </c>
      <c r="AG214" s="72"/>
      <c r="AH214" s="114" t="str">
        <f t="shared" si="4"/>
        <v/>
      </c>
      <c r="AI214" s="115" t="str">
        <f t="shared" si="5"/>
        <v/>
      </c>
      <c r="AJ214" s="116" t="str">
        <f t="array" ref="AJ214">INDEX($A$1:$C$500, MATCH(1,($B:$B=$C214)*($C:$C=$AG214),0),1)</f>
        <v/>
      </c>
      <c r="AK214" s="116" t="str">
        <f t="array" ref="AK214">INDEX($A$1:$C$500, MATCH(1,($B:$B=$AG214)*($C:$C=$C214),0),1)</f>
        <v/>
      </c>
      <c r="AL214" s="116" t="str">
        <f t="array" ref="AL214">INDEX($A$1:$C$500, MATCH(1,($B:$B=$C214)*($C:$C=$AB214),0),1)</f>
        <v/>
      </c>
      <c r="AM214" s="116" t="str">
        <f t="array" ref="AM214">INDEX($A$1:$C$500, MATCH(1,($B:$B=$AB214)*($C:$C=$C214),0),1)</f>
        <v/>
      </c>
      <c r="AN214" s="114" t="str">
        <f t="array" ref="AN214">IFS(ISNUMBER(AJ214),AJ214,ISNUMBER(AK214),AK214,ISNUMBER(AL214),AL214,ISNUMBER(AM214),AM214)</f>
        <v>#N/A</v>
      </c>
      <c r="AO214" s="115" t="str">
        <f t="shared" si="6"/>
        <v/>
      </c>
      <c r="AP214" s="115" t="str">
        <f t="shared" si="7"/>
        <v/>
      </c>
      <c r="AQ214" s="111"/>
      <c r="AR214" s="109" t="str">
        <f t="shared" si="8"/>
        <v/>
      </c>
      <c r="AS214" s="72" t="str">
        <f>IFERROR(IF(AND(Preferences!B$3="Manual",OR(AX214/AW214&gt;V214/U214,BD214="Serious",BD214="Very serious")),"Assess imprecision",IFERROR(IFS(AND(Preferences!B$3="Automatic",V214/U214&gt;=30),"Extremely serious",AND(W214&lt;=$D$1*-1,Y214&lt;0,V214/U214&lt;3),"Not Serious",AND(W214&lt;=$D$1*-1,Y214&lt;0,V214/U214&gt;=3),"Very serious",AND(W214&gt;=$D$1,X214&gt;0,V214/U214&lt;3),"Not Serious",AND(W214&gt;=$D$1,X214&gt;0,V214/U214&gt;=3),"Very serious",AND(W214&lt;=$D$1*-1,Y214&gt;0,X214&gt;$D$2*-1,V214/U214&lt;3),"Serious", AND(W214&lt;=$D$1*-1,Y214&gt;0,X214&lt;$D$2*-1,V214/U214&lt;3),"Very serious", AND(W214&gt;=$D$1,X214&lt;0,Y214&lt;$D$2,V214/U214&lt;3),"Serious",AND(W214&gt;=$D$1,X214&lt;0,Y214&gt;$D$2,V214/U214&lt;3),"Very serious", AND(W214&lt;=$D$1*-1,Y214&gt;0,X214&gt;$D$2*-1,V214/U214&gt;=3),"Very serious", AND(W214&lt;=$D$1*-1,Y214&gt;0,X214&lt;$D$2*-1,V214/U214&gt;=3),"Very serious", AND(W214&gt;=$D$1,X214&lt;0,Y214&lt;$D$2,V214/U214&gt;=3),"Very serious", AND(W214&gt;=$D$1,X214&lt;0,Y214&gt;$D$2,V214/U214&gt;=3),"Very serious", AND(W214&gt;$D$1*-1,W214&lt;$D$1,X214&gt;$D$1*-1,Y214&lt;$D$1,V214/U214&lt;3),"Not Serious", AND(W214&gt;$D$1*-1,W214&lt;$D$1,OR(X214&lt;=$D$1*-1,Y214&gt;=$D$1),X214&gt;$D$2*-1,Y214&lt;$D$2,V214/U214&lt;3),"Serious", AND(W214&gt;$D$1*-1,W214&lt;$D$1,OR(X214&lt;=$D$2*-1,Y214&gt;=$D$2),V214/U214&lt;3),"Very serious", AND(W214&gt;$D$1*-1,W214&lt;$D$1,X214&gt;$D$1*-1,Y214&lt;$D$1,V214/U214&gt;=3),"Very serious", AND(W214&gt;$D$1*-1,W214&lt;$D$1,OR(X214&lt;=$D$1*-1,Y214&gt;=$D$1),X214&gt;$D$2*-1,Y214&lt;$D$2,V214/U214&gt;=3),"Very serious", AND(W214&gt;$D$1*-1,W214&lt;$D$1,OR(X214&lt;=$D$2*-1,Y214&gt;=$D$2),V214/U214&gt;=3),"Very serious"),"")),"")</f>
        <v/>
      </c>
      <c r="AT214" s="109" t="str">
        <f t="shared" si="9"/>
        <v/>
      </c>
      <c r="AU214" s="64"/>
      <c r="AV214" s="83"/>
      <c r="AW214" s="83"/>
      <c r="AX214" s="83"/>
      <c r="AY214" s="83"/>
      <c r="AZ214" s="83"/>
      <c r="BA214" s="85"/>
      <c r="BB214" s="86" t="str">
        <f>IF(Preferences!B$9="Manual","",IFS(ISBLANK(B214),"",AND(ISNUMBER(E214)=TRUE,ISNUMBER(T214)=FALSE),"Direct", AND(ISNUMBER(E214)=FALSE,ISNUMBER(T214)=TRUE),"Indirect", CN214=4,"Direct",AND(CL214=FALSE, CM214=TRUE,CN214-CO214&gt;-1),"Direct", AND(CL214=FALSE,CM214=TRUE, CN214-CO214&lt;0),"Check algorithm in appendix 2", AND(CL214=TRUE, CM214=FALSE,CN214-CO214&gt;0),"Check algorithm in appendix 2", AND(CL214=TRUE, CM214=FALSE,CN214-CO214=0),"Indirect", AND(CL214=TRUE, CM214=FALSE,CN214-CO214&lt;0),"Indirect", AND(CL214=FALSE,CM214=FALSE,CN214-CO214&gt;-1),"Direct", AND(CL214=FALSE,CM214=FALSE,CN214-CO214&lt;0),"Check algorithm in appendix 2", AND(CL214=TRUE,CM214=TRUE,CN214-CO214&gt;-1),"Direct", AND(CL214=TRUE,CM214=TRUE,CN214-CO214&lt;0),"Check algorithm in appendix 2"))</f>
        <v/>
      </c>
      <c r="BC214" s="120" t="str">
        <f t="shared" si="10"/>
        <v/>
      </c>
      <c r="BD214" s="140"/>
      <c r="BE214" s="122" t="str">
        <f>IF(Preferences!B$3="Manual","", IFERROR(IFS(AND(Preferences!B$3="Automatic",AX214/AW214&gt;=30),"Extremely serious",AND(AY214&lt;=$D$1*-1,BA214&lt;0,AX214/AW214&lt;3),"Not Serious",AND(AY214&lt;=$D$1*-1,BA214&lt;0,AX214/AW214&gt;=3),"Very serious",AND(AY214&gt;=$D$1,AZ214&gt;0,AX214/AW214&lt;3),"Not Serious",AND(AY214&gt;=$D$1,AZ214&gt;0,AX214/AW214&gt;=3),"Very serious",AND(AY214&lt;=$D$1*-1,BA214&gt;0,AZ214&gt;$D$2*-1,AX214/AW214&lt;3),"Serious", AND(AY214&lt;=$D$1*-1,BA214&gt;0,AZ214&lt;$D$2*-1,AX214/AW214&lt;3),"Very serious", AND(AY214&gt;=$D$1,AZ214&lt;0,BA214&lt;$D$2,AX214/AW214&lt;3),"Serious",AND(AY214&gt;=$D$1,AZ214&lt;0,BA214&gt;$D$2,AX214/AW214&lt;3),"Very serious", AND(AY214&lt;=$D$1*-1,BA214&gt;0,AZ214&gt;$D$2*-1,AX214/AW214&gt;=3),"Very serious", AND(AY214&lt;=$D$1*-1,BA214&gt;0,AZ214&lt;$D$2*-1,AX214/AW214&gt;=3),"Very serious", AND(AY214&gt;=$D$1,AZ214&lt;0,BA214&lt;$D$2,AX214/AW214&gt;=3),"Very serious", AND(AY214&gt;=$D$1,AZ214&lt;0,BA214&gt;$D$2,AX214/AW214&gt;=3),"Very serious", AND(AY214&gt;$D$1*-1,AY214&lt;$D$1,AZ214&gt;$D$1*-1,BA214&lt;$D$1,AX214/AW214&lt;3),"Not Serious", AND(AY214&gt;$D$1*-1,AY214&lt;$D$1,OR(AZ214&lt;=$D$1*-1,BA214&gt;=$D$1),AZ214&gt;$D$2*-1,BA214&lt;$D$2,AX214/AW214&lt;3),"Serious", AND(AY214&gt;$D$1*-1,AY214&lt;$D$1,OR(AZ214&lt;=$D$2*-1,BA214&gt;=$D$2),AX214/AW214&lt;3),"Very serious", AND(AY214&gt;$D$1*-1,AY214&lt;$D$1,AZ214&gt;$D$1*-1,BA214&lt;$D$1,AX214/AW214&gt;=3),"Very serious", AND(AY214&gt;$D$1*-1,AY214&lt;$D$1,OR(AZ214&lt;=$D$1*-1,BA214&gt;=$D$1),AZ214&gt;$D$2*-1,BA214&lt;$D$2,AX214/AW214&gt;=3),"Very serious", AND(AY214&gt;$D$1*-1,AY214&lt;$D$1,OR(AZ214&lt;=$D$2*-1,BA214&gt;=$D$2),AX214/AW214&gt;=3),"Very serious"),""))</f>
        <v/>
      </c>
      <c r="BF214" s="107" t="str">
        <f t="shared" si="11"/>
        <v/>
      </c>
      <c r="BG214" s="94" t="str">
        <f t="shared" si="46"/>
        <v/>
      </c>
      <c r="BH214" s="64" t="str">
        <f t="shared" si="12"/>
        <v>#N/A</v>
      </c>
      <c r="BI214" s="64" t="str">
        <f t="shared" si="13"/>
        <v/>
      </c>
      <c r="BJ214" s="123" t="str">
        <f t="shared" si="14"/>
        <v>#N/A</v>
      </c>
      <c r="BK214" s="64" t="str">
        <f t="shared" si="50"/>
        <v>YES</v>
      </c>
      <c r="BL214" s="64" t="str">
        <f t="shared" si="16"/>
        <v>YES</v>
      </c>
      <c r="BM214" s="64" t="str">
        <f t="shared" si="17"/>
        <v>YES</v>
      </c>
      <c r="BN214" s="124" t="str">
        <f t="shared" si="18"/>
        <v/>
      </c>
      <c r="BO214" s="91" t="str">
        <f t="shared" si="19"/>
        <v/>
      </c>
      <c r="BP214" s="91" t="str">
        <f t="shared" si="20"/>
        <v>#N/A</v>
      </c>
      <c r="BQ214" s="91" t="str">
        <f t="shared" si="21"/>
        <v/>
      </c>
      <c r="BR214" s="93" t="str">
        <f t="shared" si="22"/>
        <v/>
      </c>
      <c r="BS214" s="90" t="str">
        <f t="shared" si="23"/>
        <v/>
      </c>
      <c r="BT214" s="93" t="str">
        <f t="shared" si="24"/>
        <v>NA</v>
      </c>
      <c r="BU214" s="125" t="str">
        <f t="shared" si="25"/>
        <v>#N/A</v>
      </c>
      <c r="BV214" s="93" t="str">
        <f t="shared" si="26"/>
        <v/>
      </c>
      <c r="BW214" s="93" t="str">
        <f t="shared" si="27"/>
        <v/>
      </c>
      <c r="BX214" s="93" t="str">
        <f t="shared" si="28"/>
        <v>NA</v>
      </c>
      <c r="BY214" s="95" t="str">
        <f t="shared" si="29"/>
        <v>#N/A</v>
      </c>
      <c r="BZ214" s="93" t="str">
        <f t="shared" si="30"/>
        <v/>
      </c>
      <c r="CA214" s="93" t="str">
        <f t="shared" si="31"/>
        <v/>
      </c>
      <c r="CB214" s="93" t="str">
        <f t="shared" si="32"/>
        <v>NA</v>
      </c>
      <c r="CC214" s="96" t="str">
        <f t="shared" si="33"/>
        <v>#N/A</v>
      </c>
      <c r="CD214" s="93" t="str">
        <f t="shared" si="34"/>
        <v/>
      </c>
      <c r="CE214" s="93" t="str">
        <f t="shared" si="35"/>
        <v/>
      </c>
      <c r="CF214" s="93" t="str">
        <f t="shared" si="36"/>
        <v>NA</v>
      </c>
      <c r="CG214" s="97" t="str">
        <f t="shared" si="37"/>
        <v>#N/A</v>
      </c>
      <c r="CH214" s="98" t="str">
        <f t="shared" si="38"/>
        <v>#N/A</v>
      </c>
      <c r="CI214" s="99" t="str">
        <f t="shared" si="39"/>
        <v>#N/A</v>
      </c>
      <c r="CJ214" s="126" t="str">
        <f t="shared" si="40"/>
        <v>ERROR: check cell</v>
      </c>
      <c r="CK214" s="126"/>
      <c r="CL214" s="127" t="str">
        <f t="shared" si="41"/>
        <v>#DIV/0!</v>
      </c>
      <c r="CM214" s="128" t="str">
        <f t="shared" si="42"/>
        <v>#DIV/0!</v>
      </c>
      <c r="CN214" s="128">
        <f t="shared" si="43"/>
        <v>4</v>
      </c>
      <c r="CO214" s="129">
        <f t="shared" si="44"/>
        <v>4</v>
      </c>
      <c r="CP214" s="129" t="str">
        <f>IFS(C214=Preferences!B$13,B214,B214=Preferences!B$13,C214)</f>
        <v>#N/A</v>
      </c>
    </row>
    <row r="215" ht="13.5" customHeight="1">
      <c r="A215" s="63" t="str">
        <f t="shared" si="45"/>
        <v/>
      </c>
      <c r="B215" s="64"/>
      <c r="C215" s="64"/>
      <c r="D215" s="64"/>
      <c r="E215" s="65"/>
      <c r="F215" s="65"/>
      <c r="G215" s="65"/>
      <c r="H215" s="66"/>
      <c r="I215" s="66"/>
      <c r="J215" s="67"/>
      <c r="K215" s="68"/>
      <c r="L215" s="104"/>
      <c r="M215" s="104"/>
      <c r="N215" s="104"/>
      <c r="O215" s="104"/>
      <c r="P215" s="107" t="str">
        <f t="shared" si="1"/>
        <v/>
      </c>
      <c r="Q215" s="108" t="str">
        <f>IFERROR(IF(AND(Preferences!B$3="Manual",OR(AX215/AW215&gt;G215/F215,BD215="Serious",BD215="Very serious")),"Assess imprecision",IFS(ISBLANK(E215),"",AND(Preferences!B$3="Automatic", G215/F215&gt;=30),"Extremely serious",AND(H215&lt;=$D$1*-1,J215&lt;0,G215/F215&lt;3),"Not serious",AND(H215&lt;=$D$1*-1,J215&lt;0,G215/F215&gt;=3),"Very serious",AND(H215&gt;=$D$1,I215&gt;0,G215/F215&lt;3),"Not serious",AND(H215&gt;=$D$1,I215&gt;0,G215/F215&gt;=3),"Very serious",AND(H215&lt;=$D$1*-1,J215&gt;0,I215&gt;$D$2*-1,G215/F215&lt;3),"Serious", AND(H215&lt;=$D$1*-1,J215&gt;0,I215&lt;$D$2*-1,G215/F215&lt;3),"Very serious", AND(H215&gt;=$D$1,I215&lt;0,J215&lt;$D$2,G215/F215&lt;3),"Serious",AND(H215&gt;=$D$1,I215&lt;0,J215&gt;$D$2,G215/F215&lt;3),"Very serious", AND(H215&lt;=$D$1*-1,J215&gt;0,I215&gt;$D$2*-1,G215/F215&gt;=3),"Very serious", AND(H215&lt;=$D$1*-1,J215&gt;0,I215&lt;$D$2*-1,G215/F215&gt;=3),"Very serious", AND(H215&gt;=$D$1,I215&lt;0,J215&lt;$D$2,G215/F215&gt;=3),"Very serious", AND(H215&gt;=$D$1,I215&lt;0,J215&gt;$D$2,G215/F215&gt;=3),"Very serious", AND(H215&gt;$D$1*-1,H215&lt;$D$1,I215&gt;$D$1*-1,J215&lt;$D$1,G215/F215&lt;3),"Not serious", AND(H215&gt;$D$1*-1,H215&lt;$D$1,OR(I215&lt;=$D$1*-1,J215&gt;=$D$1),I215&gt;$D$2*-1,J215&lt;$D$2,G215/F215&lt;3),"Serious", AND(H215&gt;$D$1*-1,H215&lt;$D$1,OR(I215&lt;=$D$2*-1,J215&gt;=$D$2),G215/F215&lt;3),"Very serious", AND(H215&gt;$D$1*-1,H215&lt;$D$1,I215&gt;$D$1*-1,J215&lt;$D$1,G215/F215&gt;=3),"Very serious", AND(H215&gt;$D$1*-1,H215&lt;$D$1,OR(I215&lt;=$D$1*-1,J215&gt;=$D$1),I215&gt;$D$2*-1,J215&lt;$D$2,G215/F215&gt;=3),"Very serious", AND(H215&gt;$D$1*-1,H215&lt;$D$1,OR(I215&lt;=$D$2*-1,J215&gt;=$D$2),G215/F215&gt;=3),"Very serious")),"")</f>
        <v/>
      </c>
      <c r="R215" s="109" t="str">
        <f t="shared" si="47"/>
        <v/>
      </c>
      <c r="S215" s="64"/>
      <c r="T215" s="72"/>
      <c r="U215" s="72"/>
      <c r="V215" s="72"/>
      <c r="W215" s="73"/>
      <c r="X215" s="73"/>
      <c r="Y215" s="74"/>
      <c r="Z215" s="113" t="str">
        <f t="array" ref="Z215">INDEX($A$1:$C$500, MATCH(1,($B:$B=$B215)*($C:$C=$AB215),0),1)</f>
        <v/>
      </c>
      <c r="AA215" s="113" t="str">
        <f t="array" ref="AA215">INDEX($A$1:$C$500, MATCH(1,($B:$B=$AB215)*($C:$C=$B215),0),1)</f>
        <v/>
      </c>
      <c r="AB215" s="111"/>
      <c r="AC215" s="114" t="str">
        <f t="shared" si="2"/>
        <v/>
      </c>
      <c r="AD215" s="115" t="str">
        <f t="shared" si="3"/>
        <v/>
      </c>
      <c r="AE215" s="116" t="str">
        <f t="array" ref="AE215">INDEX($A$1:$C$500, MATCH(1,($B:$B=$AB215)*($C:$C=$AG215),0),1)</f>
        <v/>
      </c>
      <c r="AF215" s="116" t="str">
        <f t="array" ref="AF215">INDEX($A$1:$C$500, MATCH(1,($B:$B=$AG215)*($C:$C=$AB215),0),1)</f>
        <v/>
      </c>
      <c r="AG215" s="72"/>
      <c r="AH215" s="114" t="str">
        <f t="shared" si="4"/>
        <v/>
      </c>
      <c r="AI215" s="115" t="str">
        <f t="shared" si="5"/>
        <v/>
      </c>
      <c r="AJ215" s="116" t="str">
        <f t="array" ref="AJ215">INDEX($A$1:$C$500, MATCH(1,($B:$B=$C215)*($C:$C=$AG215),0),1)</f>
        <v/>
      </c>
      <c r="AK215" s="116" t="str">
        <f t="array" ref="AK215">INDEX($A$1:$C$500, MATCH(1,($B:$B=$AG215)*($C:$C=$C215),0),1)</f>
        <v/>
      </c>
      <c r="AL215" s="116" t="str">
        <f t="array" ref="AL215">INDEX($A$1:$C$500, MATCH(1,($B:$B=$C215)*($C:$C=$AB215),0),1)</f>
        <v/>
      </c>
      <c r="AM215" s="116" t="str">
        <f t="array" ref="AM215">INDEX($A$1:$C$500, MATCH(1,($B:$B=$AB215)*($C:$C=$C215),0),1)</f>
        <v/>
      </c>
      <c r="AN215" s="114" t="str">
        <f t="array" ref="AN215">IFS(ISNUMBER(AJ215),AJ215,ISNUMBER(AK215),AK215,ISNUMBER(AL215),AL215,ISNUMBER(AM215),AM215)</f>
        <v>#N/A</v>
      </c>
      <c r="AO215" s="115" t="str">
        <f t="shared" si="6"/>
        <v/>
      </c>
      <c r="AP215" s="115" t="str">
        <f t="shared" si="7"/>
        <v/>
      </c>
      <c r="AQ215" s="111"/>
      <c r="AR215" s="109" t="str">
        <f t="shared" si="8"/>
        <v/>
      </c>
      <c r="AS215" s="72" t="str">
        <f>IFERROR(IF(AND(Preferences!B$3="Manual",OR(AX215/AW215&gt;V215/U215,BD215="Serious",BD215="Very serious")),"Assess imprecision",IFERROR(IFS(AND(Preferences!B$3="Automatic",V215/U215&gt;=30),"Extremely serious",AND(W215&lt;=$D$1*-1,Y215&lt;0,V215/U215&lt;3),"Not Serious",AND(W215&lt;=$D$1*-1,Y215&lt;0,V215/U215&gt;=3),"Very serious",AND(W215&gt;=$D$1,X215&gt;0,V215/U215&lt;3),"Not Serious",AND(W215&gt;=$D$1,X215&gt;0,V215/U215&gt;=3),"Very serious",AND(W215&lt;=$D$1*-1,Y215&gt;0,X215&gt;$D$2*-1,V215/U215&lt;3),"Serious", AND(W215&lt;=$D$1*-1,Y215&gt;0,X215&lt;$D$2*-1,V215/U215&lt;3),"Very serious", AND(W215&gt;=$D$1,X215&lt;0,Y215&lt;$D$2,V215/U215&lt;3),"Serious",AND(W215&gt;=$D$1,X215&lt;0,Y215&gt;$D$2,V215/U215&lt;3),"Very serious", AND(W215&lt;=$D$1*-1,Y215&gt;0,X215&gt;$D$2*-1,V215/U215&gt;=3),"Very serious", AND(W215&lt;=$D$1*-1,Y215&gt;0,X215&lt;$D$2*-1,V215/U215&gt;=3),"Very serious", AND(W215&gt;=$D$1,X215&lt;0,Y215&lt;$D$2,V215/U215&gt;=3),"Very serious", AND(W215&gt;=$D$1,X215&lt;0,Y215&gt;$D$2,V215/U215&gt;=3),"Very serious", AND(W215&gt;$D$1*-1,W215&lt;$D$1,X215&gt;$D$1*-1,Y215&lt;$D$1,V215/U215&lt;3),"Not Serious", AND(W215&gt;$D$1*-1,W215&lt;$D$1,OR(X215&lt;=$D$1*-1,Y215&gt;=$D$1),X215&gt;$D$2*-1,Y215&lt;$D$2,V215/U215&lt;3),"Serious", AND(W215&gt;$D$1*-1,W215&lt;$D$1,OR(X215&lt;=$D$2*-1,Y215&gt;=$D$2),V215/U215&lt;3),"Very serious", AND(W215&gt;$D$1*-1,W215&lt;$D$1,X215&gt;$D$1*-1,Y215&lt;$D$1,V215/U215&gt;=3),"Very serious", AND(W215&gt;$D$1*-1,W215&lt;$D$1,OR(X215&lt;=$D$1*-1,Y215&gt;=$D$1),X215&gt;$D$2*-1,Y215&lt;$D$2,V215/U215&gt;=3),"Very serious", AND(W215&gt;$D$1*-1,W215&lt;$D$1,OR(X215&lt;=$D$2*-1,Y215&gt;=$D$2),V215/U215&gt;=3),"Very serious"),"")),"")</f>
        <v/>
      </c>
      <c r="AT215" s="109" t="str">
        <f t="shared" si="9"/>
        <v/>
      </c>
      <c r="AU215" s="64"/>
      <c r="AV215" s="83"/>
      <c r="AW215" s="83"/>
      <c r="AX215" s="83"/>
      <c r="AY215" s="83"/>
      <c r="AZ215" s="83"/>
      <c r="BA215" s="85"/>
      <c r="BB215" s="86" t="str">
        <f>IF(Preferences!B$9="Manual","",IFS(ISBLANK(B215),"",AND(ISNUMBER(E215)=TRUE,ISNUMBER(T215)=FALSE),"Direct", AND(ISNUMBER(E215)=FALSE,ISNUMBER(T215)=TRUE),"Indirect", CN215=4,"Direct",AND(CL215=FALSE, CM215=TRUE,CN215-CO215&gt;-1),"Direct", AND(CL215=FALSE,CM215=TRUE, CN215-CO215&lt;0),"Check algorithm in appendix 2", AND(CL215=TRUE, CM215=FALSE,CN215-CO215&gt;0),"Check algorithm in appendix 2", AND(CL215=TRUE, CM215=FALSE,CN215-CO215=0),"Indirect", AND(CL215=TRUE, CM215=FALSE,CN215-CO215&lt;0),"Indirect", AND(CL215=FALSE,CM215=FALSE,CN215-CO215&gt;-1),"Direct", AND(CL215=FALSE,CM215=FALSE,CN215-CO215&lt;0),"Check algorithm in appendix 2", AND(CL215=TRUE,CM215=TRUE,CN215-CO215&gt;-1),"Direct", AND(CL215=TRUE,CM215=TRUE,CN215-CO215&lt;0),"Check algorithm in appendix 2"))</f>
        <v/>
      </c>
      <c r="BC215" s="120" t="str">
        <f t="shared" si="10"/>
        <v/>
      </c>
      <c r="BD215" s="140"/>
      <c r="BE215" s="122" t="str">
        <f>IF(Preferences!B$3="Manual","", IFERROR(IFS(AND(Preferences!B$3="Automatic",AX215/AW215&gt;=30),"Extremely serious",AND(AY215&lt;=$D$1*-1,BA215&lt;0,AX215/AW215&lt;3),"Not Serious",AND(AY215&lt;=$D$1*-1,BA215&lt;0,AX215/AW215&gt;=3),"Very serious",AND(AY215&gt;=$D$1,AZ215&gt;0,AX215/AW215&lt;3),"Not Serious",AND(AY215&gt;=$D$1,AZ215&gt;0,AX215/AW215&gt;=3),"Very serious",AND(AY215&lt;=$D$1*-1,BA215&gt;0,AZ215&gt;$D$2*-1,AX215/AW215&lt;3),"Serious", AND(AY215&lt;=$D$1*-1,BA215&gt;0,AZ215&lt;$D$2*-1,AX215/AW215&lt;3),"Very serious", AND(AY215&gt;=$D$1,AZ215&lt;0,BA215&lt;$D$2,AX215/AW215&lt;3),"Serious",AND(AY215&gt;=$D$1,AZ215&lt;0,BA215&gt;$D$2,AX215/AW215&lt;3),"Very serious", AND(AY215&lt;=$D$1*-1,BA215&gt;0,AZ215&gt;$D$2*-1,AX215/AW215&gt;=3),"Very serious", AND(AY215&lt;=$D$1*-1,BA215&gt;0,AZ215&lt;$D$2*-1,AX215/AW215&gt;=3),"Very serious", AND(AY215&gt;=$D$1,AZ215&lt;0,BA215&lt;$D$2,AX215/AW215&gt;=3),"Very serious", AND(AY215&gt;=$D$1,AZ215&lt;0,BA215&gt;$D$2,AX215/AW215&gt;=3),"Very serious", AND(AY215&gt;$D$1*-1,AY215&lt;$D$1,AZ215&gt;$D$1*-1,BA215&lt;$D$1,AX215/AW215&lt;3),"Not Serious", AND(AY215&gt;$D$1*-1,AY215&lt;$D$1,OR(AZ215&lt;=$D$1*-1,BA215&gt;=$D$1),AZ215&gt;$D$2*-1,BA215&lt;$D$2,AX215/AW215&lt;3),"Serious", AND(AY215&gt;$D$1*-1,AY215&lt;$D$1,OR(AZ215&lt;=$D$2*-1,BA215&gt;=$D$2),AX215/AW215&lt;3),"Very serious", AND(AY215&gt;$D$1*-1,AY215&lt;$D$1,AZ215&gt;$D$1*-1,BA215&lt;$D$1,AX215/AW215&gt;=3),"Very serious", AND(AY215&gt;$D$1*-1,AY215&lt;$D$1,OR(AZ215&lt;=$D$1*-1,BA215&gt;=$D$1),AZ215&gt;$D$2*-1,BA215&lt;$D$2,AX215/AW215&gt;=3),"Very serious", AND(AY215&gt;$D$1*-1,AY215&lt;$D$1,OR(AZ215&lt;=$D$2*-1,BA215&gt;=$D$2),AX215/AW215&gt;=3),"Very serious"),""))</f>
        <v/>
      </c>
      <c r="BF215" s="107" t="str">
        <f t="shared" si="11"/>
        <v/>
      </c>
      <c r="BG215" s="94" t="str">
        <f t="shared" si="46"/>
        <v/>
      </c>
      <c r="BH215" s="64" t="str">
        <f t="shared" si="12"/>
        <v>#N/A</v>
      </c>
      <c r="BI215" s="64" t="str">
        <f t="shared" si="13"/>
        <v/>
      </c>
      <c r="BJ215" s="123" t="str">
        <f t="shared" si="14"/>
        <v>#N/A</v>
      </c>
      <c r="BK215" s="64" t="str">
        <f t="shared" si="50"/>
        <v>YES</v>
      </c>
      <c r="BL215" s="64" t="str">
        <f t="shared" si="16"/>
        <v>YES</v>
      </c>
      <c r="BM215" s="64" t="str">
        <f t="shared" si="17"/>
        <v>YES</v>
      </c>
      <c r="BN215" s="124" t="str">
        <f t="shared" si="18"/>
        <v/>
      </c>
      <c r="BO215" s="91" t="str">
        <f t="shared" si="19"/>
        <v/>
      </c>
      <c r="BP215" s="91" t="str">
        <f t="shared" si="20"/>
        <v>#N/A</v>
      </c>
      <c r="BQ215" s="91" t="str">
        <f t="shared" si="21"/>
        <v/>
      </c>
      <c r="BR215" s="93" t="str">
        <f t="shared" si="22"/>
        <v/>
      </c>
      <c r="BS215" s="90" t="str">
        <f t="shared" si="23"/>
        <v/>
      </c>
      <c r="BT215" s="93" t="str">
        <f t="shared" si="24"/>
        <v>NA</v>
      </c>
      <c r="BU215" s="125" t="str">
        <f t="shared" si="25"/>
        <v>#N/A</v>
      </c>
      <c r="BV215" s="93" t="str">
        <f t="shared" si="26"/>
        <v/>
      </c>
      <c r="BW215" s="93" t="str">
        <f t="shared" si="27"/>
        <v/>
      </c>
      <c r="BX215" s="93" t="str">
        <f t="shared" si="28"/>
        <v>NA</v>
      </c>
      <c r="BY215" s="95" t="str">
        <f t="shared" si="29"/>
        <v>#N/A</v>
      </c>
      <c r="BZ215" s="93" t="str">
        <f t="shared" si="30"/>
        <v/>
      </c>
      <c r="CA215" s="93" t="str">
        <f t="shared" si="31"/>
        <v/>
      </c>
      <c r="CB215" s="93" t="str">
        <f t="shared" si="32"/>
        <v>NA</v>
      </c>
      <c r="CC215" s="96" t="str">
        <f t="shared" si="33"/>
        <v>#N/A</v>
      </c>
      <c r="CD215" s="93" t="str">
        <f t="shared" si="34"/>
        <v/>
      </c>
      <c r="CE215" s="93" t="str">
        <f t="shared" si="35"/>
        <v/>
      </c>
      <c r="CF215" s="93" t="str">
        <f t="shared" si="36"/>
        <v>NA</v>
      </c>
      <c r="CG215" s="97" t="str">
        <f t="shared" si="37"/>
        <v>#N/A</v>
      </c>
      <c r="CH215" s="98" t="str">
        <f t="shared" si="38"/>
        <v>#N/A</v>
      </c>
      <c r="CI215" s="99" t="str">
        <f t="shared" si="39"/>
        <v>#N/A</v>
      </c>
      <c r="CJ215" s="126" t="str">
        <f t="shared" si="40"/>
        <v>ERROR: check cell</v>
      </c>
      <c r="CK215" s="126"/>
      <c r="CL215" s="127" t="str">
        <f t="shared" si="41"/>
        <v>#DIV/0!</v>
      </c>
      <c r="CM215" s="128" t="str">
        <f t="shared" si="42"/>
        <v>#DIV/0!</v>
      </c>
      <c r="CN215" s="128">
        <f t="shared" si="43"/>
        <v>4</v>
      </c>
      <c r="CO215" s="129">
        <f t="shared" si="44"/>
        <v>4</v>
      </c>
      <c r="CP215" s="129" t="str">
        <f>IFS(C215=Preferences!B$13,B215,B215=Preferences!B$13,C215)</f>
        <v>#N/A</v>
      </c>
    </row>
    <row r="216" ht="13.5" customHeight="1">
      <c r="A216" s="63" t="str">
        <f t="shared" si="45"/>
        <v/>
      </c>
      <c r="B216" s="64"/>
      <c r="C216" s="64"/>
      <c r="D216" s="64"/>
      <c r="E216" s="65"/>
      <c r="F216" s="65"/>
      <c r="G216" s="65"/>
      <c r="H216" s="66"/>
      <c r="I216" s="66"/>
      <c r="J216" s="67"/>
      <c r="K216" s="68"/>
      <c r="L216" s="104"/>
      <c r="M216" s="104"/>
      <c r="N216" s="104"/>
      <c r="O216" s="104"/>
      <c r="P216" s="107" t="str">
        <f t="shared" si="1"/>
        <v/>
      </c>
      <c r="Q216" s="108" t="str">
        <f>IFERROR(IF(AND(Preferences!B$3="Manual",OR(AX216/AW216&gt;G216/F216,BD216="Serious",BD216="Very serious")),"Assess imprecision",IFS(ISBLANK(E216),"",AND(Preferences!B$3="Automatic", G216/F216&gt;=30),"Extremely serious",AND(H216&lt;=$D$1*-1,J216&lt;0,G216/F216&lt;3),"Not serious",AND(H216&lt;=$D$1*-1,J216&lt;0,G216/F216&gt;=3),"Very serious",AND(H216&gt;=$D$1,I216&gt;0,G216/F216&lt;3),"Not serious",AND(H216&gt;=$D$1,I216&gt;0,G216/F216&gt;=3),"Very serious",AND(H216&lt;=$D$1*-1,J216&gt;0,I216&gt;$D$2*-1,G216/F216&lt;3),"Serious", AND(H216&lt;=$D$1*-1,J216&gt;0,I216&lt;$D$2*-1,G216/F216&lt;3),"Very serious", AND(H216&gt;=$D$1,I216&lt;0,J216&lt;$D$2,G216/F216&lt;3),"Serious",AND(H216&gt;=$D$1,I216&lt;0,J216&gt;$D$2,G216/F216&lt;3),"Very serious", AND(H216&lt;=$D$1*-1,J216&gt;0,I216&gt;$D$2*-1,G216/F216&gt;=3),"Very serious", AND(H216&lt;=$D$1*-1,J216&gt;0,I216&lt;$D$2*-1,G216/F216&gt;=3),"Very serious", AND(H216&gt;=$D$1,I216&lt;0,J216&lt;$D$2,G216/F216&gt;=3),"Very serious", AND(H216&gt;=$D$1,I216&lt;0,J216&gt;$D$2,G216/F216&gt;=3),"Very serious", AND(H216&gt;$D$1*-1,H216&lt;$D$1,I216&gt;$D$1*-1,J216&lt;$D$1,G216/F216&lt;3),"Not serious", AND(H216&gt;$D$1*-1,H216&lt;$D$1,OR(I216&lt;=$D$1*-1,J216&gt;=$D$1),I216&gt;$D$2*-1,J216&lt;$D$2,G216/F216&lt;3),"Serious", AND(H216&gt;$D$1*-1,H216&lt;$D$1,OR(I216&lt;=$D$2*-1,J216&gt;=$D$2),G216/F216&lt;3),"Very serious", AND(H216&gt;$D$1*-1,H216&lt;$D$1,I216&gt;$D$1*-1,J216&lt;$D$1,G216/F216&gt;=3),"Very serious", AND(H216&gt;$D$1*-1,H216&lt;$D$1,OR(I216&lt;=$D$1*-1,J216&gt;=$D$1),I216&gt;$D$2*-1,J216&lt;$D$2,G216/F216&gt;=3),"Very serious", AND(H216&gt;$D$1*-1,H216&lt;$D$1,OR(I216&lt;=$D$2*-1,J216&gt;=$D$2),G216/F216&gt;=3),"Very serious")),"")</f>
        <v/>
      </c>
      <c r="R216" s="109" t="str">
        <f t="shared" si="47"/>
        <v/>
      </c>
      <c r="S216" s="64"/>
      <c r="T216" s="72"/>
      <c r="U216" s="72"/>
      <c r="V216" s="72"/>
      <c r="W216" s="73"/>
      <c r="X216" s="73"/>
      <c r="Y216" s="74"/>
      <c r="Z216" s="113" t="str">
        <f t="array" ref="Z216">INDEX($A$1:$C$500, MATCH(1,($B:$B=$B216)*($C:$C=$AB216),0),1)</f>
        <v/>
      </c>
      <c r="AA216" s="113" t="str">
        <f t="array" ref="AA216">INDEX($A$1:$C$500, MATCH(1,($B:$B=$AB216)*($C:$C=$B216),0),1)</f>
        <v/>
      </c>
      <c r="AB216" s="111"/>
      <c r="AC216" s="114" t="str">
        <f t="shared" si="2"/>
        <v/>
      </c>
      <c r="AD216" s="115" t="str">
        <f t="shared" si="3"/>
        <v/>
      </c>
      <c r="AE216" s="116" t="str">
        <f t="array" ref="AE216">INDEX($A$1:$C$500, MATCH(1,($B:$B=$AB216)*($C:$C=$AG216),0),1)</f>
        <v/>
      </c>
      <c r="AF216" s="116" t="str">
        <f t="array" ref="AF216">INDEX($A$1:$C$500, MATCH(1,($B:$B=$AG216)*($C:$C=$AB216),0),1)</f>
        <v/>
      </c>
      <c r="AG216" s="72"/>
      <c r="AH216" s="114" t="str">
        <f t="shared" si="4"/>
        <v/>
      </c>
      <c r="AI216" s="115" t="str">
        <f t="shared" si="5"/>
        <v/>
      </c>
      <c r="AJ216" s="116" t="str">
        <f t="array" ref="AJ216">INDEX($A$1:$C$500, MATCH(1,($B:$B=$C216)*($C:$C=$AG216),0),1)</f>
        <v/>
      </c>
      <c r="AK216" s="116" t="str">
        <f t="array" ref="AK216">INDEX($A$1:$C$500, MATCH(1,($B:$B=$AG216)*($C:$C=$C216),0),1)</f>
        <v/>
      </c>
      <c r="AL216" s="116" t="str">
        <f t="array" ref="AL216">INDEX($A$1:$C$500, MATCH(1,($B:$B=$C216)*($C:$C=$AB216),0),1)</f>
        <v/>
      </c>
      <c r="AM216" s="116" t="str">
        <f t="array" ref="AM216">INDEX($A$1:$C$500, MATCH(1,($B:$B=$AB216)*($C:$C=$C216),0),1)</f>
        <v/>
      </c>
      <c r="AN216" s="114" t="str">
        <f t="array" ref="AN216">IFS(ISNUMBER(AJ216),AJ216,ISNUMBER(AK216),AK216,ISNUMBER(AL216),AL216,ISNUMBER(AM216),AM216)</f>
        <v>#N/A</v>
      </c>
      <c r="AO216" s="115" t="str">
        <f t="shared" si="6"/>
        <v/>
      </c>
      <c r="AP216" s="115" t="str">
        <f t="shared" si="7"/>
        <v/>
      </c>
      <c r="AQ216" s="111"/>
      <c r="AR216" s="109" t="str">
        <f t="shared" si="8"/>
        <v/>
      </c>
      <c r="AS216" s="72" t="str">
        <f>IFERROR(IF(AND(Preferences!B$3="Manual",OR(AX216/AW216&gt;V216/U216,BD216="Serious",BD216="Very serious")),"Assess imprecision",IFERROR(IFS(AND(Preferences!B$3="Automatic",V216/U216&gt;=30),"Extremely serious",AND(W216&lt;=$D$1*-1,Y216&lt;0,V216/U216&lt;3),"Not Serious",AND(W216&lt;=$D$1*-1,Y216&lt;0,V216/U216&gt;=3),"Very serious",AND(W216&gt;=$D$1,X216&gt;0,V216/U216&lt;3),"Not Serious",AND(W216&gt;=$D$1,X216&gt;0,V216/U216&gt;=3),"Very serious",AND(W216&lt;=$D$1*-1,Y216&gt;0,X216&gt;$D$2*-1,V216/U216&lt;3),"Serious", AND(W216&lt;=$D$1*-1,Y216&gt;0,X216&lt;$D$2*-1,V216/U216&lt;3),"Very serious", AND(W216&gt;=$D$1,X216&lt;0,Y216&lt;$D$2,V216/U216&lt;3),"Serious",AND(W216&gt;=$D$1,X216&lt;0,Y216&gt;$D$2,V216/U216&lt;3),"Very serious", AND(W216&lt;=$D$1*-1,Y216&gt;0,X216&gt;$D$2*-1,V216/U216&gt;=3),"Very serious", AND(W216&lt;=$D$1*-1,Y216&gt;0,X216&lt;$D$2*-1,V216/U216&gt;=3),"Very serious", AND(W216&gt;=$D$1,X216&lt;0,Y216&lt;$D$2,V216/U216&gt;=3),"Very serious", AND(W216&gt;=$D$1,X216&lt;0,Y216&gt;$D$2,V216/U216&gt;=3),"Very serious", AND(W216&gt;$D$1*-1,W216&lt;$D$1,X216&gt;$D$1*-1,Y216&lt;$D$1,V216/U216&lt;3),"Not Serious", AND(W216&gt;$D$1*-1,W216&lt;$D$1,OR(X216&lt;=$D$1*-1,Y216&gt;=$D$1),X216&gt;$D$2*-1,Y216&lt;$D$2,V216/U216&lt;3),"Serious", AND(W216&gt;$D$1*-1,W216&lt;$D$1,OR(X216&lt;=$D$2*-1,Y216&gt;=$D$2),V216/U216&lt;3),"Very serious", AND(W216&gt;$D$1*-1,W216&lt;$D$1,X216&gt;$D$1*-1,Y216&lt;$D$1,V216/U216&gt;=3),"Very serious", AND(W216&gt;$D$1*-1,W216&lt;$D$1,OR(X216&lt;=$D$1*-1,Y216&gt;=$D$1),X216&gt;$D$2*-1,Y216&lt;$D$2,V216/U216&gt;=3),"Very serious", AND(W216&gt;$D$1*-1,W216&lt;$D$1,OR(X216&lt;=$D$2*-1,Y216&gt;=$D$2),V216/U216&gt;=3),"Very serious"),"")),"")</f>
        <v/>
      </c>
      <c r="AT216" s="109" t="str">
        <f t="shared" si="9"/>
        <v/>
      </c>
      <c r="AU216" s="64"/>
      <c r="AV216" s="83"/>
      <c r="AW216" s="83"/>
      <c r="AX216" s="83"/>
      <c r="AY216" s="83"/>
      <c r="AZ216" s="83"/>
      <c r="BA216" s="85"/>
      <c r="BB216" s="86" t="str">
        <f>IF(Preferences!B$9="Manual","",IFS(ISBLANK(B216),"",AND(ISNUMBER(E216)=TRUE,ISNUMBER(T216)=FALSE),"Direct", AND(ISNUMBER(E216)=FALSE,ISNUMBER(T216)=TRUE),"Indirect", CN216=4,"Direct",AND(CL216=FALSE, CM216=TRUE,CN216-CO216&gt;-1),"Direct", AND(CL216=FALSE,CM216=TRUE, CN216-CO216&lt;0),"Check algorithm in appendix 2", AND(CL216=TRUE, CM216=FALSE,CN216-CO216&gt;0),"Check algorithm in appendix 2", AND(CL216=TRUE, CM216=FALSE,CN216-CO216=0),"Indirect", AND(CL216=TRUE, CM216=FALSE,CN216-CO216&lt;0),"Indirect", AND(CL216=FALSE,CM216=FALSE,CN216-CO216&gt;-1),"Direct", AND(CL216=FALSE,CM216=FALSE,CN216-CO216&lt;0),"Check algorithm in appendix 2", AND(CL216=TRUE,CM216=TRUE,CN216-CO216&gt;-1),"Direct", AND(CL216=TRUE,CM216=TRUE,CN216-CO216&lt;0),"Check algorithm in appendix 2"))</f>
        <v/>
      </c>
      <c r="BC216" s="120" t="str">
        <f t="shared" si="10"/>
        <v/>
      </c>
      <c r="BD216" s="140"/>
      <c r="BE216" s="122" t="str">
        <f>IF(Preferences!B$3="Manual","", IFERROR(IFS(AND(Preferences!B$3="Automatic",AX216/AW216&gt;=30),"Extremely serious",AND(AY216&lt;=$D$1*-1,BA216&lt;0,AX216/AW216&lt;3),"Not Serious",AND(AY216&lt;=$D$1*-1,BA216&lt;0,AX216/AW216&gt;=3),"Very serious",AND(AY216&gt;=$D$1,AZ216&gt;0,AX216/AW216&lt;3),"Not Serious",AND(AY216&gt;=$D$1,AZ216&gt;0,AX216/AW216&gt;=3),"Very serious",AND(AY216&lt;=$D$1*-1,BA216&gt;0,AZ216&gt;$D$2*-1,AX216/AW216&lt;3),"Serious", AND(AY216&lt;=$D$1*-1,BA216&gt;0,AZ216&lt;$D$2*-1,AX216/AW216&lt;3),"Very serious", AND(AY216&gt;=$D$1,AZ216&lt;0,BA216&lt;$D$2,AX216/AW216&lt;3),"Serious",AND(AY216&gt;=$D$1,AZ216&lt;0,BA216&gt;$D$2,AX216/AW216&lt;3),"Very serious", AND(AY216&lt;=$D$1*-1,BA216&gt;0,AZ216&gt;$D$2*-1,AX216/AW216&gt;=3),"Very serious", AND(AY216&lt;=$D$1*-1,BA216&gt;0,AZ216&lt;$D$2*-1,AX216/AW216&gt;=3),"Very serious", AND(AY216&gt;=$D$1,AZ216&lt;0,BA216&lt;$D$2,AX216/AW216&gt;=3),"Very serious", AND(AY216&gt;=$D$1,AZ216&lt;0,BA216&gt;$D$2,AX216/AW216&gt;=3),"Very serious", AND(AY216&gt;$D$1*-1,AY216&lt;$D$1,AZ216&gt;$D$1*-1,BA216&lt;$D$1,AX216/AW216&lt;3),"Not Serious", AND(AY216&gt;$D$1*-1,AY216&lt;$D$1,OR(AZ216&lt;=$D$1*-1,BA216&gt;=$D$1),AZ216&gt;$D$2*-1,BA216&lt;$D$2,AX216/AW216&lt;3),"Serious", AND(AY216&gt;$D$1*-1,AY216&lt;$D$1,OR(AZ216&lt;=$D$2*-1,BA216&gt;=$D$2),AX216/AW216&lt;3),"Very serious", AND(AY216&gt;$D$1*-1,AY216&lt;$D$1,AZ216&gt;$D$1*-1,BA216&lt;$D$1,AX216/AW216&gt;=3),"Very serious", AND(AY216&gt;$D$1*-1,AY216&lt;$D$1,OR(AZ216&lt;=$D$1*-1,BA216&gt;=$D$1),AZ216&gt;$D$2*-1,BA216&lt;$D$2,AX216/AW216&gt;=3),"Very serious", AND(AY216&gt;$D$1*-1,AY216&lt;$D$1,OR(AZ216&lt;=$D$2*-1,BA216&gt;=$D$2),AX216/AW216&gt;=3),"Very serious"),""))</f>
        <v/>
      </c>
      <c r="BF216" s="107" t="str">
        <f t="shared" si="11"/>
        <v/>
      </c>
      <c r="BG216" s="94" t="str">
        <f t="shared" si="46"/>
        <v/>
      </c>
      <c r="BH216" s="64" t="str">
        <f t="shared" si="12"/>
        <v>#N/A</v>
      </c>
      <c r="BI216" s="64" t="str">
        <f t="shared" si="13"/>
        <v/>
      </c>
      <c r="BJ216" s="123" t="str">
        <f t="shared" si="14"/>
        <v>#N/A</v>
      </c>
      <c r="BK216" s="64" t="str">
        <f t="shared" si="50"/>
        <v>YES</v>
      </c>
      <c r="BL216" s="64" t="str">
        <f t="shared" si="16"/>
        <v>YES</v>
      </c>
      <c r="BM216" s="64" t="str">
        <f t="shared" si="17"/>
        <v>YES</v>
      </c>
      <c r="BN216" s="124" t="str">
        <f t="shared" si="18"/>
        <v/>
      </c>
      <c r="BO216" s="91" t="str">
        <f t="shared" si="19"/>
        <v/>
      </c>
      <c r="BP216" s="91" t="str">
        <f t="shared" si="20"/>
        <v>#N/A</v>
      </c>
      <c r="BQ216" s="91" t="str">
        <f t="shared" si="21"/>
        <v/>
      </c>
      <c r="BR216" s="93" t="str">
        <f t="shared" si="22"/>
        <v/>
      </c>
      <c r="BS216" s="90" t="str">
        <f t="shared" si="23"/>
        <v/>
      </c>
      <c r="BT216" s="93" t="str">
        <f t="shared" si="24"/>
        <v>NA</v>
      </c>
      <c r="BU216" s="125" t="str">
        <f t="shared" si="25"/>
        <v>#N/A</v>
      </c>
      <c r="BV216" s="93" t="str">
        <f t="shared" si="26"/>
        <v/>
      </c>
      <c r="BW216" s="93" t="str">
        <f t="shared" si="27"/>
        <v/>
      </c>
      <c r="BX216" s="93" t="str">
        <f t="shared" si="28"/>
        <v>NA</v>
      </c>
      <c r="BY216" s="95" t="str">
        <f t="shared" si="29"/>
        <v>#N/A</v>
      </c>
      <c r="BZ216" s="93" t="str">
        <f t="shared" si="30"/>
        <v/>
      </c>
      <c r="CA216" s="93" t="str">
        <f t="shared" si="31"/>
        <v/>
      </c>
      <c r="CB216" s="93" t="str">
        <f t="shared" si="32"/>
        <v>NA</v>
      </c>
      <c r="CC216" s="96" t="str">
        <f t="shared" si="33"/>
        <v>#N/A</v>
      </c>
      <c r="CD216" s="93" t="str">
        <f t="shared" si="34"/>
        <v/>
      </c>
      <c r="CE216" s="93" t="str">
        <f t="shared" si="35"/>
        <v/>
      </c>
      <c r="CF216" s="93" t="str">
        <f t="shared" si="36"/>
        <v>NA</v>
      </c>
      <c r="CG216" s="97" t="str">
        <f t="shared" si="37"/>
        <v>#N/A</v>
      </c>
      <c r="CH216" s="98" t="str">
        <f t="shared" si="38"/>
        <v>#N/A</v>
      </c>
      <c r="CI216" s="99" t="str">
        <f t="shared" si="39"/>
        <v>#N/A</v>
      </c>
      <c r="CJ216" s="126" t="str">
        <f t="shared" si="40"/>
        <v>ERROR: check cell</v>
      </c>
      <c r="CK216" s="126"/>
      <c r="CL216" s="127" t="str">
        <f t="shared" si="41"/>
        <v>#DIV/0!</v>
      </c>
      <c r="CM216" s="128" t="str">
        <f t="shared" si="42"/>
        <v>#DIV/0!</v>
      </c>
      <c r="CN216" s="128">
        <f t="shared" si="43"/>
        <v>4</v>
      </c>
      <c r="CO216" s="129">
        <f t="shared" si="44"/>
        <v>4</v>
      </c>
      <c r="CP216" s="129" t="str">
        <f>IFS(C216=Preferences!B$13,B216,B216=Preferences!B$13,C216)</f>
        <v>#N/A</v>
      </c>
    </row>
    <row r="217" ht="13.5" customHeight="1">
      <c r="A217" s="63" t="str">
        <f t="shared" si="45"/>
        <v/>
      </c>
      <c r="B217" s="64"/>
      <c r="C217" s="64"/>
      <c r="D217" s="64"/>
      <c r="E217" s="65"/>
      <c r="F217" s="65"/>
      <c r="G217" s="65"/>
      <c r="H217" s="66"/>
      <c r="I217" s="66"/>
      <c r="J217" s="67"/>
      <c r="K217" s="68"/>
      <c r="L217" s="104"/>
      <c r="M217" s="104"/>
      <c r="N217" s="104"/>
      <c r="O217" s="104"/>
      <c r="P217" s="107" t="str">
        <f t="shared" si="1"/>
        <v/>
      </c>
      <c r="Q217" s="108" t="str">
        <f>IFERROR(IF(AND(Preferences!B$3="Manual",OR(AX217/AW217&gt;G217/F217,BD217="Serious",BD217="Very serious")),"Assess imprecision",IFS(ISBLANK(E217),"",AND(Preferences!B$3="Automatic", G217/F217&gt;=30),"Extremely serious",AND(H217&lt;=$D$1*-1,J217&lt;0,G217/F217&lt;3),"Not serious",AND(H217&lt;=$D$1*-1,J217&lt;0,G217/F217&gt;=3),"Very serious",AND(H217&gt;=$D$1,I217&gt;0,G217/F217&lt;3),"Not serious",AND(H217&gt;=$D$1,I217&gt;0,G217/F217&gt;=3),"Very serious",AND(H217&lt;=$D$1*-1,J217&gt;0,I217&gt;$D$2*-1,G217/F217&lt;3),"Serious", AND(H217&lt;=$D$1*-1,J217&gt;0,I217&lt;$D$2*-1,G217/F217&lt;3),"Very serious", AND(H217&gt;=$D$1,I217&lt;0,J217&lt;$D$2,G217/F217&lt;3),"Serious",AND(H217&gt;=$D$1,I217&lt;0,J217&gt;$D$2,G217/F217&lt;3),"Very serious", AND(H217&lt;=$D$1*-1,J217&gt;0,I217&gt;$D$2*-1,G217/F217&gt;=3),"Very serious", AND(H217&lt;=$D$1*-1,J217&gt;0,I217&lt;$D$2*-1,G217/F217&gt;=3),"Very serious", AND(H217&gt;=$D$1,I217&lt;0,J217&lt;$D$2,G217/F217&gt;=3),"Very serious", AND(H217&gt;=$D$1,I217&lt;0,J217&gt;$D$2,G217/F217&gt;=3),"Very serious", AND(H217&gt;$D$1*-1,H217&lt;$D$1,I217&gt;$D$1*-1,J217&lt;$D$1,G217/F217&lt;3),"Not serious", AND(H217&gt;$D$1*-1,H217&lt;$D$1,OR(I217&lt;=$D$1*-1,J217&gt;=$D$1),I217&gt;$D$2*-1,J217&lt;$D$2,G217/F217&lt;3),"Serious", AND(H217&gt;$D$1*-1,H217&lt;$D$1,OR(I217&lt;=$D$2*-1,J217&gt;=$D$2),G217/F217&lt;3),"Very serious", AND(H217&gt;$D$1*-1,H217&lt;$D$1,I217&gt;$D$1*-1,J217&lt;$D$1,G217/F217&gt;=3),"Very serious", AND(H217&gt;$D$1*-1,H217&lt;$D$1,OR(I217&lt;=$D$1*-1,J217&gt;=$D$1),I217&gt;$D$2*-1,J217&lt;$D$2,G217/F217&gt;=3),"Very serious", AND(H217&gt;$D$1*-1,H217&lt;$D$1,OR(I217&lt;=$D$2*-1,J217&gt;=$D$2),G217/F217&gt;=3),"Very serious")),"")</f>
        <v/>
      </c>
      <c r="R217" s="109" t="str">
        <f t="shared" si="47"/>
        <v/>
      </c>
      <c r="S217" s="64"/>
      <c r="T217" s="72"/>
      <c r="U217" s="72"/>
      <c r="V217" s="72"/>
      <c r="W217" s="73"/>
      <c r="X217" s="73"/>
      <c r="Y217" s="74"/>
      <c r="Z217" s="113" t="str">
        <f t="array" ref="Z217">INDEX($A$1:$C$500, MATCH(1,($B:$B=$B217)*($C:$C=$AB217),0),1)</f>
        <v/>
      </c>
      <c r="AA217" s="113" t="str">
        <f t="array" ref="AA217">INDEX($A$1:$C$500, MATCH(1,($B:$B=$AB217)*($C:$C=$B217),0),1)</f>
        <v/>
      </c>
      <c r="AB217" s="111"/>
      <c r="AC217" s="114" t="str">
        <f t="shared" si="2"/>
        <v/>
      </c>
      <c r="AD217" s="115" t="str">
        <f t="shared" si="3"/>
        <v/>
      </c>
      <c r="AE217" s="116" t="str">
        <f t="array" ref="AE217">INDEX($A$1:$C$500, MATCH(1,($B:$B=$AB217)*($C:$C=$AG217),0),1)</f>
        <v/>
      </c>
      <c r="AF217" s="116" t="str">
        <f t="array" ref="AF217">INDEX($A$1:$C$500, MATCH(1,($B:$B=$AG217)*($C:$C=$AB217),0),1)</f>
        <v/>
      </c>
      <c r="AG217" s="72"/>
      <c r="AH217" s="114" t="str">
        <f t="shared" si="4"/>
        <v/>
      </c>
      <c r="AI217" s="115" t="str">
        <f t="shared" si="5"/>
        <v/>
      </c>
      <c r="AJ217" s="116" t="str">
        <f t="array" ref="AJ217">INDEX($A$1:$C$500, MATCH(1,($B:$B=$C217)*($C:$C=$AG217),0),1)</f>
        <v/>
      </c>
      <c r="AK217" s="116" t="str">
        <f t="array" ref="AK217">INDEX($A$1:$C$500, MATCH(1,($B:$B=$AG217)*($C:$C=$C217),0),1)</f>
        <v/>
      </c>
      <c r="AL217" s="116" t="str">
        <f t="array" ref="AL217">INDEX($A$1:$C$500, MATCH(1,($B:$B=$C217)*($C:$C=$AB217),0),1)</f>
        <v/>
      </c>
      <c r="AM217" s="116" t="str">
        <f t="array" ref="AM217">INDEX($A$1:$C$500, MATCH(1,($B:$B=$AB217)*($C:$C=$C217),0),1)</f>
        <v/>
      </c>
      <c r="AN217" s="114" t="str">
        <f t="array" ref="AN217">IFS(ISNUMBER(AJ217),AJ217,ISNUMBER(AK217),AK217,ISNUMBER(AL217),AL217,ISNUMBER(AM217),AM217)</f>
        <v>#N/A</v>
      </c>
      <c r="AO217" s="115" t="str">
        <f t="shared" si="6"/>
        <v/>
      </c>
      <c r="AP217" s="115" t="str">
        <f t="shared" si="7"/>
        <v/>
      </c>
      <c r="AQ217" s="111"/>
      <c r="AR217" s="109" t="str">
        <f t="shared" si="8"/>
        <v/>
      </c>
      <c r="AS217" s="72" t="str">
        <f>IFERROR(IF(AND(Preferences!B$3="Manual",OR(AX217/AW217&gt;V217/U217,BD217="Serious",BD217="Very serious")),"Assess imprecision",IFERROR(IFS(AND(Preferences!B$3="Automatic",V217/U217&gt;=30),"Extremely serious",AND(W217&lt;=$D$1*-1,Y217&lt;0,V217/U217&lt;3),"Not Serious",AND(W217&lt;=$D$1*-1,Y217&lt;0,V217/U217&gt;=3),"Very serious",AND(W217&gt;=$D$1,X217&gt;0,V217/U217&lt;3),"Not Serious",AND(W217&gt;=$D$1,X217&gt;0,V217/U217&gt;=3),"Very serious",AND(W217&lt;=$D$1*-1,Y217&gt;0,X217&gt;$D$2*-1,V217/U217&lt;3),"Serious", AND(W217&lt;=$D$1*-1,Y217&gt;0,X217&lt;$D$2*-1,V217/U217&lt;3),"Very serious", AND(W217&gt;=$D$1,X217&lt;0,Y217&lt;$D$2,V217/U217&lt;3),"Serious",AND(W217&gt;=$D$1,X217&lt;0,Y217&gt;$D$2,V217/U217&lt;3),"Very serious", AND(W217&lt;=$D$1*-1,Y217&gt;0,X217&gt;$D$2*-1,V217/U217&gt;=3),"Very serious", AND(W217&lt;=$D$1*-1,Y217&gt;0,X217&lt;$D$2*-1,V217/U217&gt;=3),"Very serious", AND(W217&gt;=$D$1,X217&lt;0,Y217&lt;$D$2,V217/U217&gt;=3),"Very serious", AND(W217&gt;=$D$1,X217&lt;0,Y217&gt;$D$2,V217/U217&gt;=3),"Very serious", AND(W217&gt;$D$1*-1,W217&lt;$D$1,X217&gt;$D$1*-1,Y217&lt;$D$1,V217/U217&lt;3),"Not Serious", AND(W217&gt;$D$1*-1,W217&lt;$D$1,OR(X217&lt;=$D$1*-1,Y217&gt;=$D$1),X217&gt;$D$2*-1,Y217&lt;$D$2,V217/U217&lt;3),"Serious", AND(W217&gt;$D$1*-1,W217&lt;$D$1,OR(X217&lt;=$D$2*-1,Y217&gt;=$D$2),V217/U217&lt;3),"Very serious", AND(W217&gt;$D$1*-1,W217&lt;$D$1,X217&gt;$D$1*-1,Y217&lt;$D$1,V217/U217&gt;=3),"Very serious", AND(W217&gt;$D$1*-1,W217&lt;$D$1,OR(X217&lt;=$D$1*-1,Y217&gt;=$D$1),X217&gt;$D$2*-1,Y217&lt;$D$2,V217/U217&gt;=3),"Very serious", AND(W217&gt;$D$1*-1,W217&lt;$D$1,OR(X217&lt;=$D$2*-1,Y217&gt;=$D$2),V217/U217&gt;=3),"Very serious"),"")),"")</f>
        <v/>
      </c>
      <c r="AT217" s="109" t="str">
        <f t="shared" si="9"/>
        <v/>
      </c>
      <c r="AU217" s="64"/>
      <c r="AV217" s="83"/>
      <c r="AW217" s="83"/>
      <c r="AX217" s="83"/>
      <c r="AY217" s="83"/>
      <c r="AZ217" s="83"/>
      <c r="BA217" s="85"/>
      <c r="BB217" s="86" t="str">
        <f>IF(Preferences!B$9="Manual","",IFS(ISBLANK(B217),"",AND(ISNUMBER(E217)=TRUE,ISNUMBER(T217)=FALSE),"Direct", AND(ISNUMBER(E217)=FALSE,ISNUMBER(T217)=TRUE),"Indirect", CN217=4,"Direct",AND(CL217=FALSE, CM217=TRUE,CN217-CO217&gt;-1),"Direct", AND(CL217=FALSE,CM217=TRUE, CN217-CO217&lt;0),"Check algorithm in appendix 2", AND(CL217=TRUE, CM217=FALSE,CN217-CO217&gt;0),"Check algorithm in appendix 2", AND(CL217=TRUE, CM217=FALSE,CN217-CO217=0),"Indirect", AND(CL217=TRUE, CM217=FALSE,CN217-CO217&lt;0),"Indirect", AND(CL217=FALSE,CM217=FALSE,CN217-CO217&gt;-1),"Direct", AND(CL217=FALSE,CM217=FALSE,CN217-CO217&lt;0),"Check algorithm in appendix 2", AND(CL217=TRUE,CM217=TRUE,CN217-CO217&gt;-1),"Direct", AND(CL217=TRUE,CM217=TRUE,CN217-CO217&lt;0),"Check algorithm in appendix 2"))</f>
        <v/>
      </c>
      <c r="BC217" s="120" t="str">
        <f t="shared" si="10"/>
        <v/>
      </c>
      <c r="BD217" s="140"/>
      <c r="BE217" s="122" t="str">
        <f>IF(Preferences!B$3="Manual","", IFERROR(IFS(AND(Preferences!B$3="Automatic",AX217/AW217&gt;=30),"Extremely serious",AND(AY217&lt;=$D$1*-1,BA217&lt;0,AX217/AW217&lt;3),"Not Serious",AND(AY217&lt;=$D$1*-1,BA217&lt;0,AX217/AW217&gt;=3),"Very serious",AND(AY217&gt;=$D$1,AZ217&gt;0,AX217/AW217&lt;3),"Not Serious",AND(AY217&gt;=$D$1,AZ217&gt;0,AX217/AW217&gt;=3),"Very serious",AND(AY217&lt;=$D$1*-1,BA217&gt;0,AZ217&gt;$D$2*-1,AX217/AW217&lt;3),"Serious", AND(AY217&lt;=$D$1*-1,BA217&gt;0,AZ217&lt;$D$2*-1,AX217/AW217&lt;3),"Very serious", AND(AY217&gt;=$D$1,AZ217&lt;0,BA217&lt;$D$2,AX217/AW217&lt;3),"Serious",AND(AY217&gt;=$D$1,AZ217&lt;0,BA217&gt;$D$2,AX217/AW217&lt;3),"Very serious", AND(AY217&lt;=$D$1*-1,BA217&gt;0,AZ217&gt;$D$2*-1,AX217/AW217&gt;=3),"Very serious", AND(AY217&lt;=$D$1*-1,BA217&gt;0,AZ217&lt;$D$2*-1,AX217/AW217&gt;=3),"Very serious", AND(AY217&gt;=$D$1,AZ217&lt;0,BA217&lt;$D$2,AX217/AW217&gt;=3),"Very serious", AND(AY217&gt;=$D$1,AZ217&lt;0,BA217&gt;$D$2,AX217/AW217&gt;=3),"Very serious", AND(AY217&gt;$D$1*-1,AY217&lt;$D$1,AZ217&gt;$D$1*-1,BA217&lt;$D$1,AX217/AW217&lt;3),"Not Serious", AND(AY217&gt;$D$1*-1,AY217&lt;$D$1,OR(AZ217&lt;=$D$1*-1,BA217&gt;=$D$1),AZ217&gt;$D$2*-1,BA217&lt;$D$2,AX217/AW217&lt;3),"Serious", AND(AY217&gt;$D$1*-1,AY217&lt;$D$1,OR(AZ217&lt;=$D$2*-1,BA217&gt;=$D$2),AX217/AW217&lt;3),"Very serious", AND(AY217&gt;$D$1*-1,AY217&lt;$D$1,AZ217&gt;$D$1*-1,BA217&lt;$D$1,AX217/AW217&gt;=3),"Very serious", AND(AY217&gt;$D$1*-1,AY217&lt;$D$1,OR(AZ217&lt;=$D$1*-1,BA217&gt;=$D$1),AZ217&gt;$D$2*-1,BA217&lt;$D$2,AX217/AW217&gt;=3),"Very serious", AND(AY217&gt;$D$1*-1,AY217&lt;$D$1,OR(AZ217&lt;=$D$2*-1,BA217&gt;=$D$2),AX217/AW217&gt;=3),"Very serious"),""))</f>
        <v/>
      </c>
      <c r="BF217" s="107" t="str">
        <f t="shared" si="11"/>
        <v/>
      </c>
      <c r="BG217" s="94" t="str">
        <f t="shared" si="46"/>
        <v/>
      </c>
      <c r="BH217" s="64" t="str">
        <f t="shared" si="12"/>
        <v>#N/A</v>
      </c>
      <c r="BI217" s="64" t="str">
        <f t="shared" si="13"/>
        <v/>
      </c>
      <c r="BJ217" s="123" t="str">
        <f t="shared" si="14"/>
        <v>#N/A</v>
      </c>
      <c r="BK217" s="64" t="str">
        <f t="shared" si="50"/>
        <v>YES</v>
      </c>
      <c r="BL217" s="64" t="str">
        <f t="shared" si="16"/>
        <v>YES</v>
      </c>
      <c r="BM217" s="64" t="str">
        <f t="shared" si="17"/>
        <v>YES</v>
      </c>
      <c r="BN217" s="124" t="str">
        <f t="shared" si="18"/>
        <v/>
      </c>
      <c r="BO217" s="91" t="str">
        <f t="shared" si="19"/>
        <v/>
      </c>
      <c r="BP217" s="91" t="str">
        <f t="shared" si="20"/>
        <v>#N/A</v>
      </c>
      <c r="BQ217" s="91" t="str">
        <f t="shared" si="21"/>
        <v/>
      </c>
      <c r="BR217" s="93" t="str">
        <f t="shared" si="22"/>
        <v/>
      </c>
      <c r="BS217" s="90" t="str">
        <f t="shared" si="23"/>
        <v/>
      </c>
      <c r="BT217" s="93" t="str">
        <f t="shared" si="24"/>
        <v>NA</v>
      </c>
      <c r="BU217" s="125" t="str">
        <f t="shared" si="25"/>
        <v>#N/A</v>
      </c>
      <c r="BV217" s="93" t="str">
        <f t="shared" si="26"/>
        <v/>
      </c>
      <c r="BW217" s="93" t="str">
        <f t="shared" si="27"/>
        <v/>
      </c>
      <c r="BX217" s="93" t="str">
        <f t="shared" si="28"/>
        <v>NA</v>
      </c>
      <c r="BY217" s="95" t="str">
        <f t="shared" si="29"/>
        <v>#N/A</v>
      </c>
      <c r="BZ217" s="93" t="str">
        <f t="shared" si="30"/>
        <v/>
      </c>
      <c r="CA217" s="93" t="str">
        <f t="shared" si="31"/>
        <v/>
      </c>
      <c r="CB217" s="93" t="str">
        <f t="shared" si="32"/>
        <v>NA</v>
      </c>
      <c r="CC217" s="96" t="str">
        <f t="shared" si="33"/>
        <v>#N/A</v>
      </c>
      <c r="CD217" s="93" t="str">
        <f t="shared" si="34"/>
        <v/>
      </c>
      <c r="CE217" s="93" t="str">
        <f t="shared" si="35"/>
        <v/>
      </c>
      <c r="CF217" s="93" t="str">
        <f t="shared" si="36"/>
        <v>NA</v>
      </c>
      <c r="CG217" s="97" t="str">
        <f t="shared" si="37"/>
        <v>#N/A</v>
      </c>
      <c r="CH217" s="98" t="str">
        <f t="shared" si="38"/>
        <v>#N/A</v>
      </c>
      <c r="CI217" s="99" t="str">
        <f t="shared" si="39"/>
        <v>#N/A</v>
      </c>
      <c r="CJ217" s="126" t="str">
        <f t="shared" si="40"/>
        <v>ERROR: check cell</v>
      </c>
      <c r="CK217" s="126"/>
      <c r="CL217" s="127" t="str">
        <f t="shared" si="41"/>
        <v>#DIV/0!</v>
      </c>
      <c r="CM217" s="128" t="str">
        <f t="shared" si="42"/>
        <v>#DIV/0!</v>
      </c>
      <c r="CN217" s="128">
        <f t="shared" si="43"/>
        <v>4</v>
      </c>
      <c r="CO217" s="129">
        <f t="shared" si="44"/>
        <v>4</v>
      </c>
      <c r="CP217" s="129" t="str">
        <f>IFS(C217=Preferences!B$13,B217,B217=Preferences!B$13,C217)</f>
        <v>#N/A</v>
      </c>
    </row>
    <row r="218" ht="13.5" customHeight="1">
      <c r="A218" s="63" t="str">
        <f t="shared" si="45"/>
        <v/>
      </c>
      <c r="B218" s="64"/>
      <c r="C218" s="64"/>
      <c r="D218" s="64"/>
      <c r="E218" s="65"/>
      <c r="F218" s="65"/>
      <c r="G218" s="65"/>
      <c r="H218" s="66"/>
      <c r="I218" s="66"/>
      <c r="J218" s="67"/>
      <c r="K218" s="68"/>
      <c r="L218" s="104"/>
      <c r="M218" s="104"/>
      <c r="N218" s="104"/>
      <c r="O218" s="104"/>
      <c r="P218" s="107" t="str">
        <f t="shared" si="1"/>
        <v/>
      </c>
      <c r="Q218" s="108" t="str">
        <f>IFERROR(IF(AND(Preferences!B$3="Manual",OR(AX218/AW218&gt;G218/F218,BD218="Serious",BD218="Very serious")),"Assess imprecision",IFS(ISBLANK(E218),"",AND(Preferences!B$3="Automatic", G218/F218&gt;=30),"Extremely serious",AND(H218&lt;=$D$1*-1,J218&lt;0,G218/F218&lt;3),"Not serious",AND(H218&lt;=$D$1*-1,J218&lt;0,G218/F218&gt;=3),"Very serious",AND(H218&gt;=$D$1,I218&gt;0,G218/F218&lt;3),"Not serious",AND(H218&gt;=$D$1,I218&gt;0,G218/F218&gt;=3),"Very serious",AND(H218&lt;=$D$1*-1,J218&gt;0,I218&gt;$D$2*-1,G218/F218&lt;3),"Serious", AND(H218&lt;=$D$1*-1,J218&gt;0,I218&lt;$D$2*-1,G218/F218&lt;3),"Very serious", AND(H218&gt;=$D$1,I218&lt;0,J218&lt;$D$2,G218/F218&lt;3),"Serious",AND(H218&gt;=$D$1,I218&lt;0,J218&gt;$D$2,G218/F218&lt;3),"Very serious", AND(H218&lt;=$D$1*-1,J218&gt;0,I218&gt;$D$2*-1,G218/F218&gt;=3),"Very serious", AND(H218&lt;=$D$1*-1,J218&gt;0,I218&lt;$D$2*-1,G218/F218&gt;=3),"Very serious", AND(H218&gt;=$D$1,I218&lt;0,J218&lt;$D$2,G218/F218&gt;=3),"Very serious", AND(H218&gt;=$D$1,I218&lt;0,J218&gt;$D$2,G218/F218&gt;=3),"Very serious", AND(H218&gt;$D$1*-1,H218&lt;$D$1,I218&gt;$D$1*-1,J218&lt;$D$1,G218/F218&lt;3),"Not serious", AND(H218&gt;$D$1*-1,H218&lt;$D$1,OR(I218&lt;=$D$1*-1,J218&gt;=$D$1),I218&gt;$D$2*-1,J218&lt;$D$2,G218/F218&lt;3),"Serious", AND(H218&gt;$D$1*-1,H218&lt;$D$1,OR(I218&lt;=$D$2*-1,J218&gt;=$D$2),G218/F218&lt;3),"Very serious", AND(H218&gt;$D$1*-1,H218&lt;$D$1,I218&gt;$D$1*-1,J218&lt;$D$1,G218/F218&gt;=3),"Very serious", AND(H218&gt;$D$1*-1,H218&lt;$D$1,OR(I218&lt;=$D$1*-1,J218&gt;=$D$1),I218&gt;$D$2*-1,J218&lt;$D$2,G218/F218&gt;=3),"Very serious", AND(H218&gt;$D$1*-1,H218&lt;$D$1,OR(I218&lt;=$D$2*-1,J218&gt;=$D$2),G218/F218&gt;=3),"Very serious")),"")</f>
        <v/>
      </c>
      <c r="R218" s="109" t="str">
        <f t="shared" si="47"/>
        <v/>
      </c>
      <c r="S218" s="64"/>
      <c r="T218" s="72"/>
      <c r="U218" s="72"/>
      <c r="V218" s="72"/>
      <c r="W218" s="73"/>
      <c r="X218" s="73"/>
      <c r="Y218" s="74"/>
      <c r="Z218" s="113" t="str">
        <f t="array" ref="Z218">INDEX($A$1:$C$500, MATCH(1,($B:$B=$B218)*($C:$C=$AB218),0),1)</f>
        <v/>
      </c>
      <c r="AA218" s="113" t="str">
        <f t="array" ref="AA218">INDEX($A$1:$C$500, MATCH(1,($B:$B=$AB218)*($C:$C=$B218),0),1)</f>
        <v/>
      </c>
      <c r="AB218" s="111"/>
      <c r="AC218" s="114" t="str">
        <f t="shared" si="2"/>
        <v/>
      </c>
      <c r="AD218" s="115" t="str">
        <f t="shared" si="3"/>
        <v/>
      </c>
      <c r="AE218" s="116" t="str">
        <f t="array" ref="AE218">INDEX($A$1:$C$500, MATCH(1,($B:$B=$AB218)*($C:$C=$AG218),0),1)</f>
        <v/>
      </c>
      <c r="AF218" s="116" t="str">
        <f t="array" ref="AF218">INDEX($A$1:$C$500, MATCH(1,($B:$B=$AG218)*($C:$C=$AB218),0),1)</f>
        <v/>
      </c>
      <c r="AG218" s="72"/>
      <c r="AH218" s="114" t="str">
        <f t="shared" si="4"/>
        <v/>
      </c>
      <c r="AI218" s="115" t="str">
        <f t="shared" si="5"/>
        <v/>
      </c>
      <c r="AJ218" s="116" t="str">
        <f t="array" ref="AJ218">INDEX($A$1:$C$500, MATCH(1,($B:$B=$C218)*($C:$C=$AG218),0),1)</f>
        <v/>
      </c>
      <c r="AK218" s="116" t="str">
        <f t="array" ref="AK218">INDEX($A$1:$C$500, MATCH(1,($B:$B=$AG218)*($C:$C=$C218),0),1)</f>
        <v/>
      </c>
      <c r="AL218" s="116" t="str">
        <f t="array" ref="AL218">INDEX($A$1:$C$500, MATCH(1,($B:$B=$C218)*($C:$C=$AB218),0),1)</f>
        <v/>
      </c>
      <c r="AM218" s="116" t="str">
        <f t="array" ref="AM218">INDEX($A$1:$C$500, MATCH(1,($B:$B=$AB218)*($C:$C=$C218),0),1)</f>
        <v/>
      </c>
      <c r="AN218" s="114" t="str">
        <f t="array" ref="AN218">IFS(ISNUMBER(AJ218),AJ218,ISNUMBER(AK218),AK218,ISNUMBER(AL218),AL218,ISNUMBER(AM218),AM218)</f>
        <v>#N/A</v>
      </c>
      <c r="AO218" s="115" t="str">
        <f t="shared" si="6"/>
        <v/>
      </c>
      <c r="AP218" s="115" t="str">
        <f t="shared" si="7"/>
        <v/>
      </c>
      <c r="AQ218" s="111"/>
      <c r="AR218" s="109" t="str">
        <f t="shared" si="8"/>
        <v/>
      </c>
      <c r="AS218" s="72" t="str">
        <f>IFERROR(IF(AND(Preferences!B$3="Manual",OR(AX218/AW218&gt;V218/U218,BD218="Serious",BD218="Very serious")),"Assess imprecision",IFERROR(IFS(AND(Preferences!B$3="Automatic",V218/U218&gt;=30),"Extremely serious",AND(W218&lt;=$D$1*-1,Y218&lt;0,V218/U218&lt;3),"Not Serious",AND(W218&lt;=$D$1*-1,Y218&lt;0,V218/U218&gt;=3),"Very serious",AND(W218&gt;=$D$1,X218&gt;0,V218/U218&lt;3),"Not Serious",AND(W218&gt;=$D$1,X218&gt;0,V218/U218&gt;=3),"Very serious",AND(W218&lt;=$D$1*-1,Y218&gt;0,X218&gt;$D$2*-1,V218/U218&lt;3),"Serious", AND(W218&lt;=$D$1*-1,Y218&gt;0,X218&lt;$D$2*-1,V218/U218&lt;3),"Very serious", AND(W218&gt;=$D$1,X218&lt;0,Y218&lt;$D$2,V218/U218&lt;3),"Serious",AND(W218&gt;=$D$1,X218&lt;0,Y218&gt;$D$2,V218/U218&lt;3),"Very serious", AND(W218&lt;=$D$1*-1,Y218&gt;0,X218&gt;$D$2*-1,V218/U218&gt;=3),"Very serious", AND(W218&lt;=$D$1*-1,Y218&gt;0,X218&lt;$D$2*-1,V218/U218&gt;=3),"Very serious", AND(W218&gt;=$D$1,X218&lt;0,Y218&lt;$D$2,V218/U218&gt;=3),"Very serious", AND(W218&gt;=$D$1,X218&lt;0,Y218&gt;$D$2,V218/U218&gt;=3),"Very serious", AND(W218&gt;$D$1*-1,W218&lt;$D$1,X218&gt;$D$1*-1,Y218&lt;$D$1,V218/U218&lt;3),"Not Serious", AND(W218&gt;$D$1*-1,W218&lt;$D$1,OR(X218&lt;=$D$1*-1,Y218&gt;=$D$1),X218&gt;$D$2*-1,Y218&lt;$D$2,V218/U218&lt;3),"Serious", AND(W218&gt;$D$1*-1,W218&lt;$D$1,OR(X218&lt;=$D$2*-1,Y218&gt;=$D$2),V218/U218&lt;3),"Very serious", AND(W218&gt;$D$1*-1,W218&lt;$D$1,X218&gt;$D$1*-1,Y218&lt;$D$1,V218/U218&gt;=3),"Very serious", AND(W218&gt;$D$1*-1,W218&lt;$D$1,OR(X218&lt;=$D$1*-1,Y218&gt;=$D$1),X218&gt;$D$2*-1,Y218&lt;$D$2,V218/U218&gt;=3),"Very serious", AND(W218&gt;$D$1*-1,W218&lt;$D$1,OR(X218&lt;=$D$2*-1,Y218&gt;=$D$2),V218/U218&gt;=3),"Very serious"),"")),"")</f>
        <v/>
      </c>
      <c r="AT218" s="109" t="str">
        <f t="shared" si="9"/>
        <v/>
      </c>
      <c r="AU218" s="64"/>
      <c r="AV218" s="83"/>
      <c r="AW218" s="83"/>
      <c r="AX218" s="83"/>
      <c r="AY218" s="83"/>
      <c r="AZ218" s="83"/>
      <c r="BA218" s="85"/>
      <c r="BB218" s="86" t="str">
        <f>IF(Preferences!B$9="Manual","",IFS(ISBLANK(B218),"",AND(ISNUMBER(E218)=TRUE,ISNUMBER(T218)=FALSE),"Direct", AND(ISNUMBER(E218)=FALSE,ISNUMBER(T218)=TRUE),"Indirect", CN218=4,"Direct",AND(CL218=FALSE, CM218=TRUE,CN218-CO218&gt;-1),"Direct", AND(CL218=FALSE,CM218=TRUE, CN218-CO218&lt;0),"Check algorithm in appendix 2", AND(CL218=TRUE, CM218=FALSE,CN218-CO218&gt;0),"Check algorithm in appendix 2", AND(CL218=TRUE, CM218=FALSE,CN218-CO218=0),"Indirect", AND(CL218=TRUE, CM218=FALSE,CN218-CO218&lt;0),"Indirect", AND(CL218=FALSE,CM218=FALSE,CN218-CO218&gt;-1),"Direct", AND(CL218=FALSE,CM218=FALSE,CN218-CO218&lt;0),"Check algorithm in appendix 2", AND(CL218=TRUE,CM218=TRUE,CN218-CO218&gt;-1),"Direct", AND(CL218=TRUE,CM218=TRUE,CN218-CO218&lt;0),"Check algorithm in appendix 2"))</f>
        <v/>
      </c>
      <c r="BC218" s="120" t="str">
        <f t="shared" si="10"/>
        <v/>
      </c>
      <c r="BD218" s="140"/>
      <c r="BE218" s="122" t="str">
        <f>IF(Preferences!B$3="Manual","", IFERROR(IFS(AND(Preferences!B$3="Automatic",AX218/AW218&gt;=30),"Extremely serious",AND(AY218&lt;=$D$1*-1,BA218&lt;0,AX218/AW218&lt;3),"Not Serious",AND(AY218&lt;=$D$1*-1,BA218&lt;0,AX218/AW218&gt;=3),"Very serious",AND(AY218&gt;=$D$1,AZ218&gt;0,AX218/AW218&lt;3),"Not Serious",AND(AY218&gt;=$D$1,AZ218&gt;0,AX218/AW218&gt;=3),"Very serious",AND(AY218&lt;=$D$1*-1,BA218&gt;0,AZ218&gt;$D$2*-1,AX218/AW218&lt;3),"Serious", AND(AY218&lt;=$D$1*-1,BA218&gt;0,AZ218&lt;$D$2*-1,AX218/AW218&lt;3),"Very serious", AND(AY218&gt;=$D$1,AZ218&lt;0,BA218&lt;$D$2,AX218/AW218&lt;3),"Serious",AND(AY218&gt;=$D$1,AZ218&lt;0,BA218&gt;$D$2,AX218/AW218&lt;3),"Very serious", AND(AY218&lt;=$D$1*-1,BA218&gt;0,AZ218&gt;$D$2*-1,AX218/AW218&gt;=3),"Very serious", AND(AY218&lt;=$D$1*-1,BA218&gt;0,AZ218&lt;$D$2*-1,AX218/AW218&gt;=3),"Very serious", AND(AY218&gt;=$D$1,AZ218&lt;0,BA218&lt;$D$2,AX218/AW218&gt;=3),"Very serious", AND(AY218&gt;=$D$1,AZ218&lt;0,BA218&gt;$D$2,AX218/AW218&gt;=3),"Very serious", AND(AY218&gt;$D$1*-1,AY218&lt;$D$1,AZ218&gt;$D$1*-1,BA218&lt;$D$1,AX218/AW218&lt;3),"Not Serious", AND(AY218&gt;$D$1*-1,AY218&lt;$D$1,OR(AZ218&lt;=$D$1*-1,BA218&gt;=$D$1),AZ218&gt;$D$2*-1,BA218&lt;$D$2,AX218/AW218&lt;3),"Serious", AND(AY218&gt;$D$1*-1,AY218&lt;$D$1,OR(AZ218&lt;=$D$2*-1,BA218&gt;=$D$2),AX218/AW218&lt;3),"Very serious", AND(AY218&gt;$D$1*-1,AY218&lt;$D$1,AZ218&gt;$D$1*-1,BA218&lt;$D$1,AX218/AW218&gt;=3),"Very serious", AND(AY218&gt;$D$1*-1,AY218&lt;$D$1,OR(AZ218&lt;=$D$1*-1,BA218&gt;=$D$1),AZ218&gt;$D$2*-1,BA218&lt;$D$2,AX218/AW218&gt;=3),"Very serious", AND(AY218&gt;$D$1*-1,AY218&lt;$D$1,OR(AZ218&lt;=$D$2*-1,BA218&gt;=$D$2),AX218/AW218&gt;=3),"Very serious"),""))</f>
        <v/>
      </c>
      <c r="BF218" s="107" t="str">
        <f t="shared" si="11"/>
        <v/>
      </c>
      <c r="BG218" s="94" t="str">
        <f t="shared" si="46"/>
        <v/>
      </c>
      <c r="BH218" s="64" t="str">
        <f t="shared" si="12"/>
        <v>#N/A</v>
      </c>
      <c r="BI218" s="64" t="str">
        <f t="shared" si="13"/>
        <v/>
      </c>
      <c r="BJ218" s="123" t="str">
        <f t="shared" si="14"/>
        <v>#N/A</v>
      </c>
      <c r="BK218" s="64" t="str">
        <f t="shared" si="50"/>
        <v>YES</v>
      </c>
      <c r="BL218" s="64" t="str">
        <f t="shared" si="16"/>
        <v>YES</v>
      </c>
      <c r="BM218" s="64" t="str">
        <f t="shared" si="17"/>
        <v>YES</v>
      </c>
      <c r="BN218" s="124" t="str">
        <f t="shared" si="18"/>
        <v/>
      </c>
      <c r="BO218" s="91" t="str">
        <f t="shared" si="19"/>
        <v/>
      </c>
      <c r="BP218" s="91" t="str">
        <f t="shared" si="20"/>
        <v>#N/A</v>
      </c>
      <c r="BQ218" s="91" t="str">
        <f t="shared" si="21"/>
        <v/>
      </c>
      <c r="BR218" s="93" t="str">
        <f t="shared" si="22"/>
        <v/>
      </c>
      <c r="BS218" s="90" t="str">
        <f t="shared" si="23"/>
        <v/>
      </c>
      <c r="BT218" s="93" t="str">
        <f t="shared" si="24"/>
        <v>NA</v>
      </c>
      <c r="BU218" s="125" t="str">
        <f t="shared" si="25"/>
        <v>#N/A</v>
      </c>
      <c r="BV218" s="93" t="str">
        <f t="shared" si="26"/>
        <v/>
      </c>
      <c r="BW218" s="93" t="str">
        <f t="shared" si="27"/>
        <v/>
      </c>
      <c r="BX218" s="93" t="str">
        <f t="shared" si="28"/>
        <v>NA</v>
      </c>
      <c r="BY218" s="95" t="str">
        <f t="shared" si="29"/>
        <v>#N/A</v>
      </c>
      <c r="BZ218" s="93" t="str">
        <f t="shared" si="30"/>
        <v/>
      </c>
      <c r="CA218" s="93" t="str">
        <f t="shared" si="31"/>
        <v/>
      </c>
      <c r="CB218" s="93" t="str">
        <f t="shared" si="32"/>
        <v>NA</v>
      </c>
      <c r="CC218" s="96" t="str">
        <f t="shared" si="33"/>
        <v>#N/A</v>
      </c>
      <c r="CD218" s="93" t="str">
        <f t="shared" si="34"/>
        <v/>
      </c>
      <c r="CE218" s="93" t="str">
        <f t="shared" si="35"/>
        <v/>
      </c>
      <c r="CF218" s="93" t="str">
        <f t="shared" si="36"/>
        <v>NA</v>
      </c>
      <c r="CG218" s="97" t="str">
        <f t="shared" si="37"/>
        <v>#N/A</v>
      </c>
      <c r="CH218" s="98" t="str">
        <f t="shared" si="38"/>
        <v>#N/A</v>
      </c>
      <c r="CI218" s="99" t="str">
        <f t="shared" si="39"/>
        <v>#N/A</v>
      </c>
      <c r="CJ218" s="126" t="str">
        <f t="shared" si="40"/>
        <v>ERROR: check cell</v>
      </c>
      <c r="CK218" s="126"/>
      <c r="CL218" s="127" t="str">
        <f t="shared" si="41"/>
        <v>#DIV/0!</v>
      </c>
      <c r="CM218" s="128" t="str">
        <f t="shared" si="42"/>
        <v>#DIV/0!</v>
      </c>
      <c r="CN218" s="128">
        <f t="shared" si="43"/>
        <v>4</v>
      </c>
      <c r="CO218" s="129">
        <f t="shared" si="44"/>
        <v>4</v>
      </c>
      <c r="CP218" s="129" t="str">
        <f>IFS(C218=Preferences!B$13,B218,B218=Preferences!B$13,C218)</f>
        <v>#N/A</v>
      </c>
    </row>
    <row r="219" ht="13.5" customHeight="1">
      <c r="A219" s="63" t="str">
        <f t="shared" si="45"/>
        <v/>
      </c>
      <c r="B219" s="64"/>
      <c r="C219" s="64"/>
      <c r="D219" s="64"/>
      <c r="E219" s="65"/>
      <c r="F219" s="65"/>
      <c r="G219" s="65"/>
      <c r="H219" s="66"/>
      <c r="I219" s="66"/>
      <c r="J219" s="67"/>
      <c r="K219" s="68"/>
      <c r="L219" s="104"/>
      <c r="M219" s="104"/>
      <c r="N219" s="104"/>
      <c r="O219" s="104"/>
      <c r="P219" s="107" t="str">
        <f t="shared" si="1"/>
        <v/>
      </c>
      <c r="Q219" s="108" t="str">
        <f>IFERROR(IF(AND(Preferences!B$3="Manual",OR(AX219/AW219&gt;G219/F219,BD219="Serious",BD219="Very serious")),"Assess imprecision",IFS(ISBLANK(E219),"",AND(Preferences!B$3="Automatic", G219/F219&gt;=30),"Extremely serious",AND(H219&lt;=$D$1*-1,J219&lt;0,G219/F219&lt;3),"Not serious",AND(H219&lt;=$D$1*-1,J219&lt;0,G219/F219&gt;=3),"Very serious",AND(H219&gt;=$D$1,I219&gt;0,G219/F219&lt;3),"Not serious",AND(H219&gt;=$D$1,I219&gt;0,G219/F219&gt;=3),"Very serious",AND(H219&lt;=$D$1*-1,J219&gt;0,I219&gt;$D$2*-1,G219/F219&lt;3),"Serious", AND(H219&lt;=$D$1*-1,J219&gt;0,I219&lt;$D$2*-1,G219/F219&lt;3),"Very serious", AND(H219&gt;=$D$1,I219&lt;0,J219&lt;$D$2,G219/F219&lt;3),"Serious",AND(H219&gt;=$D$1,I219&lt;0,J219&gt;$D$2,G219/F219&lt;3),"Very serious", AND(H219&lt;=$D$1*-1,J219&gt;0,I219&gt;$D$2*-1,G219/F219&gt;=3),"Very serious", AND(H219&lt;=$D$1*-1,J219&gt;0,I219&lt;$D$2*-1,G219/F219&gt;=3),"Very serious", AND(H219&gt;=$D$1,I219&lt;0,J219&lt;$D$2,G219/F219&gt;=3),"Very serious", AND(H219&gt;=$D$1,I219&lt;0,J219&gt;$D$2,G219/F219&gt;=3),"Very serious", AND(H219&gt;$D$1*-1,H219&lt;$D$1,I219&gt;$D$1*-1,J219&lt;$D$1,G219/F219&lt;3),"Not serious", AND(H219&gt;$D$1*-1,H219&lt;$D$1,OR(I219&lt;=$D$1*-1,J219&gt;=$D$1),I219&gt;$D$2*-1,J219&lt;$D$2,G219/F219&lt;3),"Serious", AND(H219&gt;$D$1*-1,H219&lt;$D$1,OR(I219&lt;=$D$2*-1,J219&gt;=$D$2),G219/F219&lt;3),"Very serious", AND(H219&gt;$D$1*-1,H219&lt;$D$1,I219&gt;$D$1*-1,J219&lt;$D$1,G219/F219&gt;=3),"Very serious", AND(H219&gt;$D$1*-1,H219&lt;$D$1,OR(I219&lt;=$D$1*-1,J219&gt;=$D$1),I219&gt;$D$2*-1,J219&lt;$D$2,G219/F219&gt;=3),"Very serious", AND(H219&gt;$D$1*-1,H219&lt;$D$1,OR(I219&lt;=$D$2*-1,J219&gt;=$D$2),G219/F219&gt;=3),"Very serious")),"")</f>
        <v/>
      </c>
      <c r="R219" s="109" t="str">
        <f t="shared" si="47"/>
        <v/>
      </c>
      <c r="S219" s="64"/>
      <c r="T219" s="72"/>
      <c r="U219" s="72"/>
      <c r="V219" s="72"/>
      <c r="W219" s="73"/>
      <c r="X219" s="73"/>
      <c r="Y219" s="74"/>
      <c r="Z219" s="113" t="str">
        <f t="array" ref="Z219">INDEX($A$1:$C$500, MATCH(1,($B:$B=$B219)*($C:$C=$AB219),0),1)</f>
        <v/>
      </c>
      <c r="AA219" s="113" t="str">
        <f t="array" ref="AA219">INDEX($A$1:$C$500, MATCH(1,($B:$B=$AB219)*($C:$C=$B219),0),1)</f>
        <v/>
      </c>
      <c r="AB219" s="111"/>
      <c r="AC219" s="114" t="str">
        <f t="shared" si="2"/>
        <v/>
      </c>
      <c r="AD219" s="115" t="str">
        <f t="shared" si="3"/>
        <v/>
      </c>
      <c r="AE219" s="116" t="str">
        <f t="array" ref="AE219">INDEX($A$1:$C$500, MATCH(1,($B:$B=$AB219)*($C:$C=$AG219),0),1)</f>
        <v/>
      </c>
      <c r="AF219" s="116" t="str">
        <f t="array" ref="AF219">INDEX($A$1:$C$500, MATCH(1,($B:$B=$AG219)*($C:$C=$AB219),0),1)</f>
        <v/>
      </c>
      <c r="AG219" s="72"/>
      <c r="AH219" s="114" t="str">
        <f t="shared" si="4"/>
        <v/>
      </c>
      <c r="AI219" s="115" t="str">
        <f t="shared" si="5"/>
        <v/>
      </c>
      <c r="AJ219" s="116" t="str">
        <f t="array" ref="AJ219">INDEX($A$1:$C$500, MATCH(1,($B:$B=$C219)*($C:$C=$AG219),0),1)</f>
        <v/>
      </c>
      <c r="AK219" s="116" t="str">
        <f t="array" ref="AK219">INDEX($A$1:$C$500, MATCH(1,($B:$B=$AG219)*($C:$C=$C219),0),1)</f>
        <v/>
      </c>
      <c r="AL219" s="116" t="str">
        <f t="array" ref="AL219">INDEX($A$1:$C$500, MATCH(1,($B:$B=$C219)*($C:$C=$AB219),0),1)</f>
        <v/>
      </c>
      <c r="AM219" s="116" t="str">
        <f t="array" ref="AM219">INDEX($A$1:$C$500, MATCH(1,($B:$B=$AB219)*($C:$C=$C219),0),1)</f>
        <v/>
      </c>
      <c r="AN219" s="114" t="str">
        <f t="array" ref="AN219">IFS(ISNUMBER(AJ219),AJ219,ISNUMBER(AK219),AK219,ISNUMBER(AL219),AL219,ISNUMBER(AM219),AM219)</f>
        <v>#N/A</v>
      </c>
      <c r="AO219" s="115" t="str">
        <f t="shared" si="6"/>
        <v/>
      </c>
      <c r="AP219" s="115" t="str">
        <f t="shared" si="7"/>
        <v/>
      </c>
      <c r="AQ219" s="111"/>
      <c r="AR219" s="109" t="str">
        <f t="shared" si="8"/>
        <v/>
      </c>
      <c r="AS219" s="72" t="str">
        <f>IFERROR(IF(AND(Preferences!B$3="Manual",OR(AX219/AW219&gt;V219/U219,BD219="Serious",BD219="Very serious")),"Assess imprecision",IFERROR(IFS(AND(Preferences!B$3="Automatic",V219/U219&gt;=30),"Extremely serious",AND(W219&lt;=$D$1*-1,Y219&lt;0,V219/U219&lt;3),"Not Serious",AND(W219&lt;=$D$1*-1,Y219&lt;0,V219/U219&gt;=3),"Very serious",AND(W219&gt;=$D$1,X219&gt;0,V219/U219&lt;3),"Not Serious",AND(W219&gt;=$D$1,X219&gt;0,V219/U219&gt;=3),"Very serious",AND(W219&lt;=$D$1*-1,Y219&gt;0,X219&gt;$D$2*-1,V219/U219&lt;3),"Serious", AND(W219&lt;=$D$1*-1,Y219&gt;0,X219&lt;$D$2*-1,V219/U219&lt;3),"Very serious", AND(W219&gt;=$D$1,X219&lt;0,Y219&lt;$D$2,V219/U219&lt;3),"Serious",AND(W219&gt;=$D$1,X219&lt;0,Y219&gt;$D$2,V219/U219&lt;3),"Very serious", AND(W219&lt;=$D$1*-1,Y219&gt;0,X219&gt;$D$2*-1,V219/U219&gt;=3),"Very serious", AND(W219&lt;=$D$1*-1,Y219&gt;0,X219&lt;$D$2*-1,V219/U219&gt;=3),"Very serious", AND(W219&gt;=$D$1,X219&lt;0,Y219&lt;$D$2,V219/U219&gt;=3),"Very serious", AND(W219&gt;=$D$1,X219&lt;0,Y219&gt;$D$2,V219/U219&gt;=3),"Very serious", AND(W219&gt;$D$1*-1,W219&lt;$D$1,X219&gt;$D$1*-1,Y219&lt;$D$1,V219/U219&lt;3),"Not Serious", AND(W219&gt;$D$1*-1,W219&lt;$D$1,OR(X219&lt;=$D$1*-1,Y219&gt;=$D$1),X219&gt;$D$2*-1,Y219&lt;$D$2,V219/U219&lt;3),"Serious", AND(W219&gt;$D$1*-1,W219&lt;$D$1,OR(X219&lt;=$D$2*-1,Y219&gt;=$D$2),V219/U219&lt;3),"Very serious", AND(W219&gt;$D$1*-1,W219&lt;$D$1,X219&gt;$D$1*-1,Y219&lt;$D$1,V219/U219&gt;=3),"Very serious", AND(W219&gt;$D$1*-1,W219&lt;$D$1,OR(X219&lt;=$D$1*-1,Y219&gt;=$D$1),X219&gt;$D$2*-1,Y219&lt;$D$2,V219/U219&gt;=3),"Very serious", AND(W219&gt;$D$1*-1,W219&lt;$D$1,OR(X219&lt;=$D$2*-1,Y219&gt;=$D$2),V219/U219&gt;=3),"Very serious"),"")),"")</f>
        <v/>
      </c>
      <c r="AT219" s="109" t="str">
        <f t="shared" si="9"/>
        <v/>
      </c>
      <c r="AU219" s="64"/>
      <c r="AV219" s="83"/>
      <c r="AW219" s="83"/>
      <c r="AX219" s="83"/>
      <c r="AY219" s="83"/>
      <c r="AZ219" s="83"/>
      <c r="BA219" s="85"/>
      <c r="BB219" s="86" t="str">
        <f>IF(Preferences!B$9="Manual","",IFS(ISBLANK(B219),"",AND(ISNUMBER(E219)=TRUE,ISNUMBER(T219)=FALSE),"Direct", AND(ISNUMBER(E219)=FALSE,ISNUMBER(T219)=TRUE),"Indirect", CN219=4,"Direct",AND(CL219=FALSE, CM219=TRUE,CN219-CO219&gt;-1),"Direct", AND(CL219=FALSE,CM219=TRUE, CN219-CO219&lt;0),"Check algorithm in appendix 2", AND(CL219=TRUE, CM219=FALSE,CN219-CO219&gt;0),"Check algorithm in appendix 2", AND(CL219=TRUE, CM219=FALSE,CN219-CO219=0),"Indirect", AND(CL219=TRUE, CM219=FALSE,CN219-CO219&lt;0),"Indirect", AND(CL219=FALSE,CM219=FALSE,CN219-CO219&gt;-1),"Direct", AND(CL219=FALSE,CM219=FALSE,CN219-CO219&lt;0),"Check algorithm in appendix 2", AND(CL219=TRUE,CM219=TRUE,CN219-CO219&gt;-1),"Direct", AND(CL219=TRUE,CM219=TRUE,CN219-CO219&lt;0),"Check algorithm in appendix 2"))</f>
        <v/>
      </c>
      <c r="BC219" s="120" t="str">
        <f t="shared" si="10"/>
        <v/>
      </c>
      <c r="BD219" s="140"/>
      <c r="BE219" s="122" t="str">
        <f>IF(Preferences!B$3="Manual","", IFERROR(IFS(AND(Preferences!B$3="Automatic",AX219/AW219&gt;=30),"Extremely serious",AND(AY219&lt;=$D$1*-1,BA219&lt;0,AX219/AW219&lt;3),"Not Serious",AND(AY219&lt;=$D$1*-1,BA219&lt;0,AX219/AW219&gt;=3),"Very serious",AND(AY219&gt;=$D$1,AZ219&gt;0,AX219/AW219&lt;3),"Not Serious",AND(AY219&gt;=$D$1,AZ219&gt;0,AX219/AW219&gt;=3),"Very serious",AND(AY219&lt;=$D$1*-1,BA219&gt;0,AZ219&gt;$D$2*-1,AX219/AW219&lt;3),"Serious", AND(AY219&lt;=$D$1*-1,BA219&gt;0,AZ219&lt;$D$2*-1,AX219/AW219&lt;3),"Very serious", AND(AY219&gt;=$D$1,AZ219&lt;0,BA219&lt;$D$2,AX219/AW219&lt;3),"Serious",AND(AY219&gt;=$D$1,AZ219&lt;0,BA219&gt;$D$2,AX219/AW219&lt;3),"Very serious", AND(AY219&lt;=$D$1*-1,BA219&gt;0,AZ219&gt;$D$2*-1,AX219/AW219&gt;=3),"Very serious", AND(AY219&lt;=$D$1*-1,BA219&gt;0,AZ219&lt;$D$2*-1,AX219/AW219&gt;=3),"Very serious", AND(AY219&gt;=$D$1,AZ219&lt;0,BA219&lt;$D$2,AX219/AW219&gt;=3),"Very serious", AND(AY219&gt;=$D$1,AZ219&lt;0,BA219&gt;$D$2,AX219/AW219&gt;=3),"Very serious", AND(AY219&gt;$D$1*-1,AY219&lt;$D$1,AZ219&gt;$D$1*-1,BA219&lt;$D$1,AX219/AW219&lt;3),"Not Serious", AND(AY219&gt;$D$1*-1,AY219&lt;$D$1,OR(AZ219&lt;=$D$1*-1,BA219&gt;=$D$1),AZ219&gt;$D$2*-1,BA219&lt;$D$2,AX219/AW219&lt;3),"Serious", AND(AY219&gt;$D$1*-1,AY219&lt;$D$1,OR(AZ219&lt;=$D$2*-1,BA219&gt;=$D$2),AX219/AW219&lt;3),"Very serious", AND(AY219&gt;$D$1*-1,AY219&lt;$D$1,AZ219&gt;$D$1*-1,BA219&lt;$D$1,AX219/AW219&gt;=3),"Very serious", AND(AY219&gt;$D$1*-1,AY219&lt;$D$1,OR(AZ219&lt;=$D$1*-1,BA219&gt;=$D$1),AZ219&gt;$D$2*-1,BA219&lt;$D$2,AX219/AW219&gt;=3),"Very serious", AND(AY219&gt;$D$1*-1,AY219&lt;$D$1,OR(AZ219&lt;=$D$2*-1,BA219&gt;=$D$2),AX219/AW219&gt;=3),"Very serious"),""))</f>
        <v/>
      </c>
      <c r="BF219" s="107" t="str">
        <f t="shared" si="11"/>
        <v/>
      </c>
      <c r="BG219" s="94" t="str">
        <f t="shared" si="46"/>
        <v/>
      </c>
      <c r="BH219" s="64" t="str">
        <f t="shared" si="12"/>
        <v>#N/A</v>
      </c>
      <c r="BI219" s="64" t="str">
        <f t="shared" si="13"/>
        <v/>
      </c>
      <c r="BJ219" s="123" t="str">
        <f t="shared" si="14"/>
        <v>#N/A</v>
      </c>
      <c r="BK219" s="64" t="str">
        <f t="shared" si="50"/>
        <v>YES</v>
      </c>
      <c r="BL219" s="64" t="str">
        <f t="shared" si="16"/>
        <v>YES</v>
      </c>
      <c r="BM219" s="64" t="str">
        <f t="shared" si="17"/>
        <v>YES</v>
      </c>
      <c r="BN219" s="124" t="str">
        <f t="shared" si="18"/>
        <v/>
      </c>
      <c r="BO219" s="91" t="str">
        <f t="shared" si="19"/>
        <v/>
      </c>
      <c r="BP219" s="91" t="str">
        <f t="shared" si="20"/>
        <v>#N/A</v>
      </c>
      <c r="BQ219" s="91" t="str">
        <f t="shared" si="21"/>
        <v/>
      </c>
      <c r="BR219" s="93" t="str">
        <f t="shared" si="22"/>
        <v/>
      </c>
      <c r="BS219" s="90" t="str">
        <f t="shared" si="23"/>
        <v/>
      </c>
      <c r="BT219" s="93" t="str">
        <f t="shared" si="24"/>
        <v>NA</v>
      </c>
      <c r="BU219" s="125" t="str">
        <f t="shared" si="25"/>
        <v>#N/A</v>
      </c>
      <c r="BV219" s="93" t="str">
        <f t="shared" si="26"/>
        <v/>
      </c>
      <c r="BW219" s="93" t="str">
        <f t="shared" si="27"/>
        <v/>
      </c>
      <c r="BX219" s="93" t="str">
        <f t="shared" si="28"/>
        <v>NA</v>
      </c>
      <c r="BY219" s="95" t="str">
        <f t="shared" si="29"/>
        <v>#N/A</v>
      </c>
      <c r="BZ219" s="93" t="str">
        <f t="shared" si="30"/>
        <v/>
      </c>
      <c r="CA219" s="93" t="str">
        <f t="shared" si="31"/>
        <v/>
      </c>
      <c r="CB219" s="93" t="str">
        <f t="shared" si="32"/>
        <v>NA</v>
      </c>
      <c r="CC219" s="96" t="str">
        <f t="shared" si="33"/>
        <v>#N/A</v>
      </c>
      <c r="CD219" s="93" t="str">
        <f t="shared" si="34"/>
        <v/>
      </c>
      <c r="CE219" s="93" t="str">
        <f t="shared" si="35"/>
        <v/>
      </c>
      <c r="CF219" s="93" t="str">
        <f t="shared" si="36"/>
        <v>NA</v>
      </c>
      <c r="CG219" s="97" t="str">
        <f t="shared" si="37"/>
        <v>#N/A</v>
      </c>
      <c r="CH219" s="98" t="str">
        <f t="shared" si="38"/>
        <v>#N/A</v>
      </c>
      <c r="CI219" s="99" t="str">
        <f t="shared" si="39"/>
        <v>#N/A</v>
      </c>
      <c r="CJ219" s="126" t="str">
        <f t="shared" si="40"/>
        <v>ERROR: check cell</v>
      </c>
      <c r="CK219" s="126"/>
      <c r="CL219" s="127" t="str">
        <f t="shared" si="41"/>
        <v>#DIV/0!</v>
      </c>
      <c r="CM219" s="128" t="str">
        <f t="shared" si="42"/>
        <v>#DIV/0!</v>
      </c>
      <c r="CN219" s="128">
        <f t="shared" si="43"/>
        <v>4</v>
      </c>
      <c r="CO219" s="129">
        <f t="shared" si="44"/>
        <v>4</v>
      </c>
      <c r="CP219" s="129" t="str">
        <f>IFS(C219=Preferences!B$13,B219,B219=Preferences!B$13,C219)</f>
        <v>#N/A</v>
      </c>
    </row>
    <row r="220" ht="13.5" customHeight="1">
      <c r="A220" s="63" t="str">
        <f t="shared" si="45"/>
        <v/>
      </c>
      <c r="B220" s="64"/>
      <c r="C220" s="64"/>
      <c r="D220" s="64"/>
      <c r="E220" s="65"/>
      <c r="F220" s="65"/>
      <c r="G220" s="65"/>
      <c r="H220" s="66"/>
      <c r="I220" s="66"/>
      <c r="J220" s="67"/>
      <c r="K220" s="68"/>
      <c r="L220" s="104"/>
      <c r="M220" s="104"/>
      <c r="N220" s="104"/>
      <c r="O220" s="104"/>
      <c r="P220" s="107" t="str">
        <f t="shared" si="1"/>
        <v/>
      </c>
      <c r="Q220" s="108" t="str">
        <f>IFERROR(IF(AND(Preferences!B$3="Manual",OR(AX220/AW220&gt;G220/F220,BD220="Serious",BD220="Very serious")),"Assess imprecision",IFS(ISBLANK(E220),"",AND(Preferences!B$3="Automatic", G220/F220&gt;=30),"Extremely serious",AND(H220&lt;=$D$1*-1,J220&lt;0,G220/F220&lt;3),"Not serious",AND(H220&lt;=$D$1*-1,J220&lt;0,G220/F220&gt;=3),"Very serious",AND(H220&gt;=$D$1,I220&gt;0,G220/F220&lt;3),"Not serious",AND(H220&gt;=$D$1,I220&gt;0,G220/F220&gt;=3),"Very serious",AND(H220&lt;=$D$1*-1,J220&gt;0,I220&gt;$D$2*-1,G220/F220&lt;3),"Serious", AND(H220&lt;=$D$1*-1,J220&gt;0,I220&lt;$D$2*-1,G220/F220&lt;3),"Very serious", AND(H220&gt;=$D$1,I220&lt;0,J220&lt;$D$2,G220/F220&lt;3),"Serious",AND(H220&gt;=$D$1,I220&lt;0,J220&gt;$D$2,G220/F220&lt;3),"Very serious", AND(H220&lt;=$D$1*-1,J220&gt;0,I220&gt;$D$2*-1,G220/F220&gt;=3),"Very serious", AND(H220&lt;=$D$1*-1,J220&gt;0,I220&lt;$D$2*-1,G220/F220&gt;=3),"Very serious", AND(H220&gt;=$D$1,I220&lt;0,J220&lt;$D$2,G220/F220&gt;=3),"Very serious", AND(H220&gt;=$D$1,I220&lt;0,J220&gt;$D$2,G220/F220&gt;=3),"Very serious", AND(H220&gt;$D$1*-1,H220&lt;$D$1,I220&gt;$D$1*-1,J220&lt;$D$1,G220/F220&lt;3),"Not serious", AND(H220&gt;$D$1*-1,H220&lt;$D$1,OR(I220&lt;=$D$1*-1,J220&gt;=$D$1),I220&gt;$D$2*-1,J220&lt;$D$2,G220/F220&lt;3),"Serious", AND(H220&gt;$D$1*-1,H220&lt;$D$1,OR(I220&lt;=$D$2*-1,J220&gt;=$D$2),G220/F220&lt;3),"Very serious", AND(H220&gt;$D$1*-1,H220&lt;$D$1,I220&gt;$D$1*-1,J220&lt;$D$1,G220/F220&gt;=3),"Very serious", AND(H220&gt;$D$1*-1,H220&lt;$D$1,OR(I220&lt;=$D$1*-1,J220&gt;=$D$1),I220&gt;$D$2*-1,J220&lt;$D$2,G220/F220&gt;=3),"Very serious", AND(H220&gt;$D$1*-1,H220&lt;$D$1,OR(I220&lt;=$D$2*-1,J220&gt;=$D$2),G220/F220&gt;=3),"Very serious")),"")</f>
        <v/>
      </c>
      <c r="R220" s="109" t="str">
        <f t="shared" si="47"/>
        <v/>
      </c>
      <c r="S220" s="64"/>
      <c r="T220" s="72"/>
      <c r="U220" s="72"/>
      <c r="V220" s="72"/>
      <c r="W220" s="73"/>
      <c r="X220" s="73"/>
      <c r="Y220" s="74"/>
      <c r="Z220" s="113" t="str">
        <f t="array" ref="Z220">INDEX($A$1:$C$500, MATCH(1,($B:$B=$B220)*($C:$C=$AB220),0),1)</f>
        <v/>
      </c>
      <c r="AA220" s="113" t="str">
        <f t="array" ref="AA220">INDEX($A$1:$C$500, MATCH(1,($B:$B=$AB220)*($C:$C=$B220),0),1)</f>
        <v/>
      </c>
      <c r="AB220" s="111"/>
      <c r="AC220" s="114" t="str">
        <f t="shared" si="2"/>
        <v/>
      </c>
      <c r="AD220" s="115" t="str">
        <f t="shared" si="3"/>
        <v/>
      </c>
      <c r="AE220" s="116" t="str">
        <f t="array" ref="AE220">INDEX($A$1:$C$500, MATCH(1,($B:$B=$AB220)*($C:$C=$AG220),0),1)</f>
        <v/>
      </c>
      <c r="AF220" s="116" t="str">
        <f t="array" ref="AF220">INDEX($A$1:$C$500, MATCH(1,($B:$B=$AG220)*($C:$C=$AB220),0),1)</f>
        <v/>
      </c>
      <c r="AG220" s="72"/>
      <c r="AH220" s="114" t="str">
        <f t="shared" si="4"/>
        <v/>
      </c>
      <c r="AI220" s="115" t="str">
        <f t="shared" si="5"/>
        <v/>
      </c>
      <c r="AJ220" s="116" t="str">
        <f t="array" ref="AJ220">INDEX($A$1:$C$500, MATCH(1,($B:$B=$C220)*($C:$C=$AG220),0),1)</f>
        <v/>
      </c>
      <c r="AK220" s="116" t="str">
        <f t="array" ref="AK220">INDEX($A$1:$C$500, MATCH(1,($B:$B=$AG220)*($C:$C=$C220),0),1)</f>
        <v/>
      </c>
      <c r="AL220" s="116" t="str">
        <f t="array" ref="AL220">INDEX($A$1:$C$500, MATCH(1,($B:$B=$C220)*($C:$C=$AB220),0),1)</f>
        <v/>
      </c>
      <c r="AM220" s="116" t="str">
        <f t="array" ref="AM220">INDEX($A$1:$C$500, MATCH(1,($B:$B=$AB220)*($C:$C=$C220),0),1)</f>
        <v/>
      </c>
      <c r="AN220" s="114" t="str">
        <f t="array" ref="AN220">IFS(ISNUMBER(AJ220),AJ220,ISNUMBER(AK220),AK220,ISNUMBER(AL220),AL220,ISNUMBER(AM220),AM220)</f>
        <v>#N/A</v>
      </c>
      <c r="AO220" s="115" t="str">
        <f t="shared" si="6"/>
        <v/>
      </c>
      <c r="AP220" s="115" t="str">
        <f t="shared" si="7"/>
        <v/>
      </c>
      <c r="AQ220" s="111"/>
      <c r="AR220" s="109" t="str">
        <f t="shared" si="8"/>
        <v/>
      </c>
      <c r="AS220" s="72" t="str">
        <f>IFERROR(IF(AND(Preferences!B$3="Manual",OR(AX220/AW220&gt;V220/U220,BD220="Serious",BD220="Very serious")),"Assess imprecision",IFERROR(IFS(AND(Preferences!B$3="Automatic",V220/U220&gt;=30),"Extremely serious",AND(W220&lt;=$D$1*-1,Y220&lt;0,V220/U220&lt;3),"Not Serious",AND(W220&lt;=$D$1*-1,Y220&lt;0,V220/U220&gt;=3),"Very serious",AND(W220&gt;=$D$1,X220&gt;0,V220/U220&lt;3),"Not Serious",AND(W220&gt;=$D$1,X220&gt;0,V220/U220&gt;=3),"Very serious",AND(W220&lt;=$D$1*-1,Y220&gt;0,X220&gt;$D$2*-1,V220/U220&lt;3),"Serious", AND(W220&lt;=$D$1*-1,Y220&gt;0,X220&lt;$D$2*-1,V220/U220&lt;3),"Very serious", AND(W220&gt;=$D$1,X220&lt;0,Y220&lt;$D$2,V220/U220&lt;3),"Serious",AND(W220&gt;=$D$1,X220&lt;0,Y220&gt;$D$2,V220/U220&lt;3),"Very serious", AND(W220&lt;=$D$1*-1,Y220&gt;0,X220&gt;$D$2*-1,V220/U220&gt;=3),"Very serious", AND(W220&lt;=$D$1*-1,Y220&gt;0,X220&lt;$D$2*-1,V220/U220&gt;=3),"Very serious", AND(W220&gt;=$D$1,X220&lt;0,Y220&lt;$D$2,V220/U220&gt;=3),"Very serious", AND(W220&gt;=$D$1,X220&lt;0,Y220&gt;$D$2,V220/U220&gt;=3),"Very serious", AND(W220&gt;$D$1*-1,W220&lt;$D$1,X220&gt;$D$1*-1,Y220&lt;$D$1,V220/U220&lt;3),"Not Serious", AND(W220&gt;$D$1*-1,W220&lt;$D$1,OR(X220&lt;=$D$1*-1,Y220&gt;=$D$1),X220&gt;$D$2*-1,Y220&lt;$D$2,V220/U220&lt;3),"Serious", AND(W220&gt;$D$1*-1,W220&lt;$D$1,OR(X220&lt;=$D$2*-1,Y220&gt;=$D$2),V220/U220&lt;3),"Very serious", AND(W220&gt;$D$1*-1,W220&lt;$D$1,X220&gt;$D$1*-1,Y220&lt;$D$1,V220/U220&gt;=3),"Very serious", AND(W220&gt;$D$1*-1,W220&lt;$D$1,OR(X220&lt;=$D$1*-1,Y220&gt;=$D$1),X220&gt;$D$2*-1,Y220&lt;$D$2,V220/U220&gt;=3),"Very serious", AND(W220&gt;$D$1*-1,W220&lt;$D$1,OR(X220&lt;=$D$2*-1,Y220&gt;=$D$2),V220/U220&gt;=3),"Very serious"),"")),"")</f>
        <v/>
      </c>
      <c r="AT220" s="109" t="str">
        <f t="shared" si="9"/>
        <v/>
      </c>
      <c r="AU220" s="64"/>
      <c r="AV220" s="83"/>
      <c r="AW220" s="83"/>
      <c r="AX220" s="83"/>
      <c r="AY220" s="83"/>
      <c r="AZ220" s="83"/>
      <c r="BA220" s="85"/>
      <c r="BB220" s="86" t="str">
        <f>IF(Preferences!B$9="Manual","",IFS(ISBLANK(B220),"",AND(ISNUMBER(E220)=TRUE,ISNUMBER(T220)=FALSE),"Direct", AND(ISNUMBER(E220)=FALSE,ISNUMBER(T220)=TRUE),"Indirect", CN220=4,"Direct",AND(CL220=FALSE, CM220=TRUE,CN220-CO220&gt;-1),"Direct", AND(CL220=FALSE,CM220=TRUE, CN220-CO220&lt;0),"Check algorithm in appendix 2", AND(CL220=TRUE, CM220=FALSE,CN220-CO220&gt;0),"Check algorithm in appendix 2", AND(CL220=TRUE, CM220=FALSE,CN220-CO220=0),"Indirect", AND(CL220=TRUE, CM220=FALSE,CN220-CO220&lt;0),"Indirect", AND(CL220=FALSE,CM220=FALSE,CN220-CO220&gt;-1),"Direct", AND(CL220=FALSE,CM220=FALSE,CN220-CO220&lt;0),"Check algorithm in appendix 2", AND(CL220=TRUE,CM220=TRUE,CN220-CO220&gt;-1),"Direct", AND(CL220=TRUE,CM220=TRUE,CN220-CO220&lt;0),"Check algorithm in appendix 2"))</f>
        <v/>
      </c>
      <c r="BC220" s="120" t="str">
        <f t="shared" si="10"/>
        <v/>
      </c>
      <c r="BD220" s="140"/>
      <c r="BE220" s="122" t="str">
        <f>IF(Preferences!B$3="Manual","", IFERROR(IFS(AND(Preferences!B$3="Automatic",AX220/AW220&gt;=30),"Extremely serious",AND(AY220&lt;=$D$1*-1,BA220&lt;0,AX220/AW220&lt;3),"Not Serious",AND(AY220&lt;=$D$1*-1,BA220&lt;0,AX220/AW220&gt;=3),"Very serious",AND(AY220&gt;=$D$1,AZ220&gt;0,AX220/AW220&lt;3),"Not Serious",AND(AY220&gt;=$D$1,AZ220&gt;0,AX220/AW220&gt;=3),"Very serious",AND(AY220&lt;=$D$1*-1,BA220&gt;0,AZ220&gt;$D$2*-1,AX220/AW220&lt;3),"Serious", AND(AY220&lt;=$D$1*-1,BA220&gt;0,AZ220&lt;$D$2*-1,AX220/AW220&lt;3),"Very serious", AND(AY220&gt;=$D$1,AZ220&lt;0,BA220&lt;$D$2,AX220/AW220&lt;3),"Serious",AND(AY220&gt;=$D$1,AZ220&lt;0,BA220&gt;$D$2,AX220/AW220&lt;3),"Very serious", AND(AY220&lt;=$D$1*-1,BA220&gt;0,AZ220&gt;$D$2*-1,AX220/AW220&gt;=3),"Very serious", AND(AY220&lt;=$D$1*-1,BA220&gt;0,AZ220&lt;$D$2*-1,AX220/AW220&gt;=3),"Very serious", AND(AY220&gt;=$D$1,AZ220&lt;0,BA220&lt;$D$2,AX220/AW220&gt;=3),"Very serious", AND(AY220&gt;=$D$1,AZ220&lt;0,BA220&gt;$D$2,AX220/AW220&gt;=3),"Very serious", AND(AY220&gt;$D$1*-1,AY220&lt;$D$1,AZ220&gt;$D$1*-1,BA220&lt;$D$1,AX220/AW220&lt;3),"Not Serious", AND(AY220&gt;$D$1*-1,AY220&lt;$D$1,OR(AZ220&lt;=$D$1*-1,BA220&gt;=$D$1),AZ220&gt;$D$2*-1,BA220&lt;$D$2,AX220/AW220&lt;3),"Serious", AND(AY220&gt;$D$1*-1,AY220&lt;$D$1,OR(AZ220&lt;=$D$2*-1,BA220&gt;=$D$2),AX220/AW220&lt;3),"Very serious", AND(AY220&gt;$D$1*-1,AY220&lt;$D$1,AZ220&gt;$D$1*-1,BA220&lt;$D$1,AX220/AW220&gt;=3),"Very serious", AND(AY220&gt;$D$1*-1,AY220&lt;$D$1,OR(AZ220&lt;=$D$1*-1,BA220&gt;=$D$1),AZ220&gt;$D$2*-1,BA220&lt;$D$2,AX220/AW220&gt;=3),"Very serious", AND(AY220&gt;$D$1*-1,AY220&lt;$D$1,OR(AZ220&lt;=$D$2*-1,BA220&gt;=$D$2),AX220/AW220&gt;=3),"Very serious"),""))</f>
        <v/>
      </c>
      <c r="BF220" s="107" t="str">
        <f t="shared" si="11"/>
        <v/>
      </c>
      <c r="BG220" s="94" t="str">
        <f t="shared" si="46"/>
        <v/>
      </c>
      <c r="BH220" s="64" t="str">
        <f t="shared" si="12"/>
        <v>#N/A</v>
      </c>
      <c r="BI220" s="64" t="str">
        <f t="shared" si="13"/>
        <v/>
      </c>
      <c r="BJ220" s="123" t="str">
        <f t="shared" si="14"/>
        <v>#N/A</v>
      </c>
      <c r="BK220" s="64" t="str">
        <f t="shared" si="50"/>
        <v>YES</v>
      </c>
      <c r="BL220" s="64" t="str">
        <f t="shared" si="16"/>
        <v>YES</v>
      </c>
      <c r="BM220" s="64" t="str">
        <f t="shared" si="17"/>
        <v>YES</v>
      </c>
      <c r="BN220" s="124" t="str">
        <f t="shared" si="18"/>
        <v/>
      </c>
      <c r="BO220" s="91" t="str">
        <f t="shared" si="19"/>
        <v/>
      </c>
      <c r="BP220" s="91" t="str">
        <f t="shared" si="20"/>
        <v>#N/A</v>
      </c>
      <c r="BQ220" s="91" t="str">
        <f t="shared" si="21"/>
        <v/>
      </c>
      <c r="BR220" s="93" t="str">
        <f t="shared" si="22"/>
        <v/>
      </c>
      <c r="BS220" s="90" t="str">
        <f t="shared" si="23"/>
        <v/>
      </c>
      <c r="BT220" s="93" t="str">
        <f t="shared" si="24"/>
        <v>NA</v>
      </c>
      <c r="BU220" s="125" t="str">
        <f t="shared" si="25"/>
        <v>#N/A</v>
      </c>
      <c r="BV220" s="93" t="str">
        <f t="shared" si="26"/>
        <v/>
      </c>
      <c r="BW220" s="93" t="str">
        <f t="shared" si="27"/>
        <v/>
      </c>
      <c r="BX220" s="93" t="str">
        <f t="shared" si="28"/>
        <v>NA</v>
      </c>
      <c r="BY220" s="95" t="str">
        <f t="shared" si="29"/>
        <v>#N/A</v>
      </c>
      <c r="BZ220" s="93" t="str">
        <f t="shared" si="30"/>
        <v/>
      </c>
      <c r="CA220" s="93" t="str">
        <f t="shared" si="31"/>
        <v/>
      </c>
      <c r="CB220" s="93" t="str">
        <f t="shared" si="32"/>
        <v>NA</v>
      </c>
      <c r="CC220" s="96" t="str">
        <f t="shared" si="33"/>
        <v>#N/A</v>
      </c>
      <c r="CD220" s="93" t="str">
        <f t="shared" si="34"/>
        <v/>
      </c>
      <c r="CE220" s="93" t="str">
        <f t="shared" si="35"/>
        <v/>
      </c>
      <c r="CF220" s="93" t="str">
        <f t="shared" si="36"/>
        <v>NA</v>
      </c>
      <c r="CG220" s="97" t="str">
        <f t="shared" si="37"/>
        <v>#N/A</v>
      </c>
      <c r="CH220" s="98" t="str">
        <f t="shared" si="38"/>
        <v>#N/A</v>
      </c>
      <c r="CI220" s="99" t="str">
        <f t="shared" si="39"/>
        <v>#N/A</v>
      </c>
      <c r="CJ220" s="126" t="str">
        <f t="shared" si="40"/>
        <v>ERROR: check cell</v>
      </c>
      <c r="CK220" s="126"/>
      <c r="CL220" s="127" t="str">
        <f t="shared" si="41"/>
        <v>#DIV/0!</v>
      </c>
      <c r="CM220" s="128" t="str">
        <f t="shared" si="42"/>
        <v>#DIV/0!</v>
      </c>
      <c r="CN220" s="128">
        <f t="shared" si="43"/>
        <v>4</v>
      </c>
      <c r="CO220" s="129">
        <f t="shared" si="44"/>
        <v>4</v>
      </c>
      <c r="CP220" s="129" t="str">
        <f>IFS(C220=Preferences!B$13,B220,B220=Preferences!B$13,C220)</f>
        <v>#N/A</v>
      </c>
    </row>
    <row r="221" ht="13.5" customHeight="1">
      <c r="A221" s="63" t="str">
        <f t="shared" si="45"/>
        <v/>
      </c>
      <c r="B221" s="64"/>
      <c r="C221" s="64"/>
      <c r="D221" s="64"/>
      <c r="E221" s="65"/>
      <c r="F221" s="65"/>
      <c r="G221" s="65"/>
      <c r="H221" s="66"/>
      <c r="I221" s="66"/>
      <c r="J221" s="67"/>
      <c r="K221" s="68"/>
      <c r="L221" s="104"/>
      <c r="M221" s="104"/>
      <c r="N221" s="104"/>
      <c r="O221" s="104"/>
      <c r="P221" s="107" t="str">
        <f t="shared" si="1"/>
        <v/>
      </c>
      <c r="Q221" s="108" t="str">
        <f>IFERROR(IF(AND(Preferences!B$3="Manual",OR(AX221/AW221&gt;G221/F221,BD221="Serious",BD221="Very serious")),"Assess imprecision",IFS(ISBLANK(E221),"",AND(Preferences!B$3="Automatic", G221/F221&gt;=30),"Extremely serious",AND(H221&lt;=$D$1*-1,J221&lt;0,G221/F221&lt;3),"Not serious",AND(H221&lt;=$D$1*-1,J221&lt;0,G221/F221&gt;=3),"Very serious",AND(H221&gt;=$D$1,I221&gt;0,G221/F221&lt;3),"Not serious",AND(H221&gt;=$D$1,I221&gt;0,G221/F221&gt;=3),"Very serious",AND(H221&lt;=$D$1*-1,J221&gt;0,I221&gt;$D$2*-1,G221/F221&lt;3),"Serious", AND(H221&lt;=$D$1*-1,J221&gt;0,I221&lt;$D$2*-1,G221/F221&lt;3),"Very serious", AND(H221&gt;=$D$1,I221&lt;0,J221&lt;$D$2,G221/F221&lt;3),"Serious",AND(H221&gt;=$D$1,I221&lt;0,J221&gt;$D$2,G221/F221&lt;3),"Very serious", AND(H221&lt;=$D$1*-1,J221&gt;0,I221&gt;$D$2*-1,G221/F221&gt;=3),"Very serious", AND(H221&lt;=$D$1*-1,J221&gt;0,I221&lt;$D$2*-1,G221/F221&gt;=3),"Very serious", AND(H221&gt;=$D$1,I221&lt;0,J221&lt;$D$2,G221/F221&gt;=3),"Very serious", AND(H221&gt;=$D$1,I221&lt;0,J221&gt;$D$2,G221/F221&gt;=3),"Very serious", AND(H221&gt;$D$1*-1,H221&lt;$D$1,I221&gt;$D$1*-1,J221&lt;$D$1,G221/F221&lt;3),"Not serious", AND(H221&gt;$D$1*-1,H221&lt;$D$1,OR(I221&lt;=$D$1*-1,J221&gt;=$D$1),I221&gt;$D$2*-1,J221&lt;$D$2,G221/F221&lt;3),"Serious", AND(H221&gt;$D$1*-1,H221&lt;$D$1,OR(I221&lt;=$D$2*-1,J221&gt;=$D$2),G221/F221&lt;3),"Very serious", AND(H221&gt;$D$1*-1,H221&lt;$D$1,I221&gt;$D$1*-1,J221&lt;$D$1,G221/F221&gt;=3),"Very serious", AND(H221&gt;$D$1*-1,H221&lt;$D$1,OR(I221&lt;=$D$1*-1,J221&gt;=$D$1),I221&gt;$D$2*-1,J221&lt;$D$2,G221/F221&gt;=3),"Very serious", AND(H221&gt;$D$1*-1,H221&lt;$D$1,OR(I221&lt;=$D$2*-1,J221&gt;=$D$2),G221/F221&gt;=3),"Very serious")),"")</f>
        <v/>
      </c>
      <c r="R221" s="109" t="str">
        <f t="shared" si="47"/>
        <v/>
      </c>
      <c r="S221" s="64"/>
      <c r="T221" s="72"/>
      <c r="U221" s="72"/>
      <c r="V221" s="72"/>
      <c r="W221" s="73"/>
      <c r="X221" s="73"/>
      <c r="Y221" s="74"/>
      <c r="Z221" s="113" t="str">
        <f t="array" ref="Z221">INDEX($A$1:$C$500, MATCH(1,($B:$B=$B221)*($C:$C=$AB221),0),1)</f>
        <v/>
      </c>
      <c r="AA221" s="113" t="str">
        <f t="array" ref="AA221">INDEX($A$1:$C$500, MATCH(1,($B:$B=$AB221)*($C:$C=$B221),0),1)</f>
        <v/>
      </c>
      <c r="AB221" s="111"/>
      <c r="AC221" s="114" t="str">
        <f t="shared" si="2"/>
        <v/>
      </c>
      <c r="AD221" s="115" t="str">
        <f t="shared" si="3"/>
        <v/>
      </c>
      <c r="AE221" s="116" t="str">
        <f t="array" ref="AE221">INDEX($A$1:$C$500, MATCH(1,($B:$B=$AB221)*($C:$C=$AG221),0),1)</f>
        <v/>
      </c>
      <c r="AF221" s="116" t="str">
        <f t="array" ref="AF221">INDEX($A$1:$C$500, MATCH(1,($B:$B=$AG221)*($C:$C=$AB221),0),1)</f>
        <v/>
      </c>
      <c r="AG221" s="72"/>
      <c r="AH221" s="114" t="str">
        <f t="shared" si="4"/>
        <v/>
      </c>
      <c r="AI221" s="115" t="str">
        <f t="shared" si="5"/>
        <v/>
      </c>
      <c r="AJ221" s="116" t="str">
        <f t="array" ref="AJ221">INDEX($A$1:$C$500, MATCH(1,($B:$B=$C221)*($C:$C=$AG221),0),1)</f>
        <v/>
      </c>
      <c r="AK221" s="116" t="str">
        <f t="array" ref="AK221">INDEX($A$1:$C$500, MATCH(1,($B:$B=$AG221)*($C:$C=$C221),0),1)</f>
        <v/>
      </c>
      <c r="AL221" s="116" t="str">
        <f t="array" ref="AL221">INDEX($A$1:$C$500, MATCH(1,($B:$B=$C221)*($C:$C=$AB221),0),1)</f>
        <v/>
      </c>
      <c r="AM221" s="116" t="str">
        <f t="array" ref="AM221">INDEX($A$1:$C$500, MATCH(1,($B:$B=$AB221)*($C:$C=$C221),0),1)</f>
        <v/>
      </c>
      <c r="AN221" s="114" t="str">
        <f t="array" ref="AN221">IFS(ISNUMBER(AJ221),AJ221,ISNUMBER(AK221),AK221,ISNUMBER(AL221),AL221,ISNUMBER(AM221),AM221)</f>
        <v>#N/A</v>
      </c>
      <c r="AO221" s="115" t="str">
        <f t="shared" si="6"/>
        <v/>
      </c>
      <c r="AP221" s="115" t="str">
        <f t="shared" si="7"/>
        <v/>
      </c>
      <c r="AQ221" s="111"/>
      <c r="AR221" s="109" t="str">
        <f t="shared" si="8"/>
        <v/>
      </c>
      <c r="AS221" s="72" t="str">
        <f>IFERROR(IF(AND(Preferences!B$3="Manual",OR(AX221/AW221&gt;V221/U221,BD221="Serious",BD221="Very serious")),"Assess imprecision",IFERROR(IFS(AND(Preferences!B$3="Automatic",V221/U221&gt;=30),"Extremely serious",AND(W221&lt;=$D$1*-1,Y221&lt;0,V221/U221&lt;3),"Not Serious",AND(W221&lt;=$D$1*-1,Y221&lt;0,V221/U221&gt;=3),"Very serious",AND(W221&gt;=$D$1,X221&gt;0,V221/U221&lt;3),"Not Serious",AND(W221&gt;=$D$1,X221&gt;0,V221/U221&gt;=3),"Very serious",AND(W221&lt;=$D$1*-1,Y221&gt;0,X221&gt;$D$2*-1,V221/U221&lt;3),"Serious", AND(W221&lt;=$D$1*-1,Y221&gt;0,X221&lt;$D$2*-1,V221/U221&lt;3),"Very serious", AND(W221&gt;=$D$1,X221&lt;0,Y221&lt;$D$2,V221/U221&lt;3),"Serious",AND(W221&gt;=$D$1,X221&lt;0,Y221&gt;$D$2,V221/U221&lt;3),"Very serious", AND(W221&lt;=$D$1*-1,Y221&gt;0,X221&gt;$D$2*-1,V221/U221&gt;=3),"Very serious", AND(W221&lt;=$D$1*-1,Y221&gt;0,X221&lt;$D$2*-1,V221/U221&gt;=3),"Very serious", AND(W221&gt;=$D$1,X221&lt;0,Y221&lt;$D$2,V221/U221&gt;=3),"Very serious", AND(W221&gt;=$D$1,X221&lt;0,Y221&gt;$D$2,V221/U221&gt;=3),"Very serious", AND(W221&gt;$D$1*-1,W221&lt;$D$1,X221&gt;$D$1*-1,Y221&lt;$D$1,V221/U221&lt;3),"Not Serious", AND(W221&gt;$D$1*-1,W221&lt;$D$1,OR(X221&lt;=$D$1*-1,Y221&gt;=$D$1),X221&gt;$D$2*-1,Y221&lt;$D$2,V221/U221&lt;3),"Serious", AND(W221&gt;$D$1*-1,W221&lt;$D$1,OR(X221&lt;=$D$2*-1,Y221&gt;=$D$2),V221/U221&lt;3),"Very serious", AND(W221&gt;$D$1*-1,W221&lt;$D$1,X221&gt;$D$1*-1,Y221&lt;$D$1,V221/U221&gt;=3),"Very serious", AND(W221&gt;$D$1*-1,W221&lt;$D$1,OR(X221&lt;=$D$1*-1,Y221&gt;=$D$1),X221&gt;$D$2*-1,Y221&lt;$D$2,V221/U221&gt;=3),"Very serious", AND(W221&gt;$D$1*-1,W221&lt;$D$1,OR(X221&lt;=$D$2*-1,Y221&gt;=$D$2),V221/U221&gt;=3),"Very serious"),"")),"")</f>
        <v/>
      </c>
      <c r="AT221" s="109" t="str">
        <f t="shared" si="9"/>
        <v/>
      </c>
      <c r="AU221" s="64"/>
      <c r="AV221" s="83"/>
      <c r="AW221" s="83"/>
      <c r="AX221" s="83"/>
      <c r="AY221" s="83"/>
      <c r="AZ221" s="83"/>
      <c r="BA221" s="85"/>
      <c r="BB221" s="86" t="str">
        <f>IF(Preferences!B$9="Manual","",IFS(ISBLANK(B221),"",AND(ISNUMBER(E221)=TRUE,ISNUMBER(T221)=FALSE),"Direct", AND(ISNUMBER(E221)=FALSE,ISNUMBER(T221)=TRUE),"Indirect", CN221=4,"Direct",AND(CL221=FALSE, CM221=TRUE,CN221-CO221&gt;-1),"Direct", AND(CL221=FALSE,CM221=TRUE, CN221-CO221&lt;0),"Check algorithm in appendix 2", AND(CL221=TRUE, CM221=FALSE,CN221-CO221&gt;0),"Check algorithm in appendix 2", AND(CL221=TRUE, CM221=FALSE,CN221-CO221=0),"Indirect", AND(CL221=TRUE, CM221=FALSE,CN221-CO221&lt;0),"Indirect", AND(CL221=FALSE,CM221=FALSE,CN221-CO221&gt;-1),"Direct", AND(CL221=FALSE,CM221=FALSE,CN221-CO221&lt;0),"Check algorithm in appendix 2", AND(CL221=TRUE,CM221=TRUE,CN221-CO221&gt;-1),"Direct", AND(CL221=TRUE,CM221=TRUE,CN221-CO221&lt;0),"Check algorithm in appendix 2"))</f>
        <v/>
      </c>
      <c r="BC221" s="120" t="str">
        <f t="shared" si="10"/>
        <v/>
      </c>
      <c r="BD221" s="140"/>
      <c r="BE221" s="122" t="str">
        <f>IF(Preferences!B$3="Manual","", IFERROR(IFS(AND(Preferences!B$3="Automatic",AX221/AW221&gt;=30),"Extremely serious",AND(AY221&lt;=$D$1*-1,BA221&lt;0,AX221/AW221&lt;3),"Not Serious",AND(AY221&lt;=$D$1*-1,BA221&lt;0,AX221/AW221&gt;=3),"Very serious",AND(AY221&gt;=$D$1,AZ221&gt;0,AX221/AW221&lt;3),"Not Serious",AND(AY221&gt;=$D$1,AZ221&gt;0,AX221/AW221&gt;=3),"Very serious",AND(AY221&lt;=$D$1*-1,BA221&gt;0,AZ221&gt;$D$2*-1,AX221/AW221&lt;3),"Serious", AND(AY221&lt;=$D$1*-1,BA221&gt;0,AZ221&lt;$D$2*-1,AX221/AW221&lt;3),"Very serious", AND(AY221&gt;=$D$1,AZ221&lt;0,BA221&lt;$D$2,AX221/AW221&lt;3),"Serious",AND(AY221&gt;=$D$1,AZ221&lt;0,BA221&gt;$D$2,AX221/AW221&lt;3),"Very serious", AND(AY221&lt;=$D$1*-1,BA221&gt;0,AZ221&gt;$D$2*-1,AX221/AW221&gt;=3),"Very serious", AND(AY221&lt;=$D$1*-1,BA221&gt;0,AZ221&lt;$D$2*-1,AX221/AW221&gt;=3),"Very serious", AND(AY221&gt;=$D$1,AZ221&lt;0,BA221&lt;$D$2,AX221/AW221&gt;=3),"Very serious", AND(AY221&gt;=$D$1,AZ221&lt;0,BA221&gt;$D$2,AX221/AW221&gt;=3),"Very serious", AND(AY221&gt;$D$1*-1,AY221&lt;$D$1,AZ221&gt;$D$1*-1,BA221&lt;$D$1,AX221/AW221&lt;3),"Not Serious", AND(AY221&gt;$D$1*-1,AY221&lt;$D$1,OR(AZ221&lt;=$D$1*-1,BA221&gt;=$D$1),AZ221&gt;$D$2*-1,BA221&lt;$D$2,AX221/AW221&lt;3),"Serious", AND(AY221&gt;$D$1*-1,AY221&lt;$D$1,OR(AZ221&lt;=$D$2*-1,BA221&gt;=$D$2),AX221/AW221&lt;3),"Very serious", AND(AY221&gt;$D$1*-1,AY221&lt;$D$1,AZ221&gt;$D$1*-1,BA221&lt;$D$1,AX221/AW221&gt;=3),"Very serious", AND(AY221&gt;$D$1*-1,AY221&lt;$D$1,OR(AZ221&lt;=$D$1*-1,BA221&gt;=$D$1),AZ221&gt;$D$2*-1,BA221&lt;$D$2,AX221/AW221&gt;=3),"Very serious", AND(AY221&gt;$D$1*-1,AY221&lt;$D$1,OR(AZ221&lt;=$D$2*-1,BA221&gt;=$D$2),AX221/AW221&gt;=3),"Very serious"),""))</f>
        <v/>
      </c>
      <c r="BF221" s="107" t="str">
        <f t="shared" si="11"/>
        <v/>
      </c>
      <c r="BG221" s="94" t="str">
        <f t="shared" si="46"/>
        <v/>
      </c>
      <c r="BH221" s="64" t="str">
        <f t="shared" si="12"/>
        <v>#N/A</v>
      </c>
      <c r="BI221" s="64" t="str">
        <f t="shared" si="13"/>
        <v/>
      </c>
      <c r="BJ221" s="123" t="str">
        <f t="shared" si="14"/>
        <v>#N/A</v>
      </c>
      <c r="BK221" s="64" t="str">
        <f t="shared" si="50"/>
        <v>YES</v>
      </c>
      <c r="BL221" s="64" t="str">
        <f t="shared" si="16"/>
        <v>YES</v>
      </c>
      <c r="BM221" s="64" t="str">
        <f t="shared" si="17"/>
        <v>YES</v>
      </c>
      <c r="BN221" s="124" t="str">
        <f t="shared" si="18"/>
        <v/>
      </c>
      <c r="BO221" s="91" t="str">
        <f t="shared" si="19"/>
        <v/>
      </c>
      <c r="BP221" s="91" t="str">
        <f t="shared" si="20"/>
        <v>#N/A</v>
      </c>
      <c r="BQ221" s="91" t="str">
        <f t="shared" si="21"/>
        <v/>
      </c>
      <c r="BR221" s="93" t="str">
        <f t="shared" si="22"/>
        <v/>
      </c>
      <c r="BS221" s="90" t="str">
        <f t="shared" si="23"/>
        <v/>
      </c>
      <c r="BT221" s="93" t="str">
        <f t="shared" si="24"/>
        <v>NA</v>
      </c>
      <c r="BU221" s="125" t="str">
        <f t="shared" si="25"/>
        <v>#N/A</v>
      </c>
      <c r="BV221" s="93" t="str">
        <f t="shared" si="26"/>
        <v/>
      </c>
      <c r="BW221" s="93" t="str">
        <f t="shared" si="27"/>
        <v/>
      </c>
      <c r="BX221" s="93" t="str">
        <f t="shared" si="28"/>
        <v>NA</v>
      </c>
      <c r="BY221" s="95" t="str">
        <f t="shared" si="29"/>
        <v>#N/A</v>
      </c>
      <c r="BZ221" s="93" t="str">
        <f t="shared" si="30"/>
        <v/>
      </c>
      <c r="CA221" s="93" t="str">
        <f t="shared" si="31"/>
        <v/>
      </c>
      <c r="CB221" s="93" t="str">
        <f t="shared" si="32"/>
        <v>NA</v>
      </c>
      <c r="CC221" s="96" t="str">
        <f t="shared" si="33"/>
        <v>#N/A</v>
      </c>
      <c r="CD221" s="93" t="str">
        <f t="shared" si="34"/>
        <v/>
      </c>
      <c r="CE221" s="93" t="str">
        <f t="shared" si="35"/>
        <v/>
      </c>
      <c r="CF221" s="93" t="str">
        <f t="shared" si="36"/>
        <v>NA</v>
      </c>
      <c r="CG221" s="97" t="str">
        <f t="shared" si="37"/>
        <v>#N/A</v>
      </c>
      <c r="CH221" s="98" t="str">
        <f t="shared" si="38"/>
        <v>#N/A</v>
      </c>
      <c r="CI221" s="99" t="str">
        <f t="shared" si="39"/>
        <v>#N/A</v>
      </c>
      <c r="CJ221" s="126" t="str">
        <f t="shared" si="40"/>
        <v>ERROR: check cell</v>
      </c>
      <c r="CK221" s="126"/>
      <c r="CL221" s="127" t="str">
        <f t="shared" si="41"/>
        <v>#DIV/0!</v>
      </c>
      <c r="CM221" s="128" t="str">
        <f t="shared" si="42"/>
        <v>#DIV/0!</v>
      </c>
      <c r="CN221" s="128">
        <f t="shared" si="43"/>
        <v>4</v>
      </c>
      <c r="CO221" s="129">
        <f t="shared" si="44"/>
        <v>4</v>
      </c>
      <c r="CP221" s="129" t="str">
        <f>IFS(C221=Preferences!B$13,B221,B221=Preferences!B$13,C221)</f>
        <v>#N/A</v>
      </c>
    </row>
    <row r="222" ht="13.5" customHeight="1">
      <c r="A222" s="63" t="str">
        <f t="shared" si="45"/>
        <v/>
      </c>
      <c r="B222" s="64"/>
      <c r="C222" s="64"/>
      <c r="D222" s="64"/>
      <c r="E222" s="65"/>
      <c r="F222" s="65"/>
      <c r="G222" s="65"/>
      <c r="H222" s="66"/>
      <c r="I222" s="66"/>
      <c r="J222" s="67"/>
      <c r="K222" s="68"/>
      <c r="L222" s="104"/>
      <c r="M222" s="104"/>
      <c r="N222" s="104"/>
      <c r="O222" s="104"/>
      <c r="P222" s="107" t="str">
        <f t="shared" si="1"/>
        <v/>
      </c>
      <c r="Q222" s="108" t="str">
        <f>IFERROR(IF(AND(Preferences!B$3="Manual",OR(AX222/AW222&gt;G222/F222,BD222="Serious",BD222="Very serious")),"Assess imprecision",IFS(ISBLANK(E222),"",AND(Preferences!B$3="Automatic", G222/F222&gt;=30),"Extremely serious",AND(H222&lt;=$D$1*-1,J222&lt;0,G222/F222&lt;3),"Not serious",AND(H222&lt;=$D$1*-1,J222&lt;0,G222/F222&gt;=3),"Very serious",AND(H222&gt;=$D$1,I222&gt;0,G222/F222&lt;3),"Not serious",AND(H222&gt;=$D$1,I222&gt;0,G222/F222&gt;=3),"Very serious",AND(H222&lt;=$D$1*-1,J222&gt;0,I222&gt;$D$2*-1,G222/F222&lt;3),"Serious", AND(H222&lt;=$D$1*-1,J222&gt;0,I222&lt;$D$2*-1,G222/F222&lt;3),"Very serious", AND(H222&gt;=$D$1,I222&lt;0,J222&lt;$D$2,G222/F222&lt;3),"Serious",AND(H222&gt;=$D$1,I222&lt;0,J222&gt;$D$2,G222/F222&lt;3),"Very serious", AND(H222&lt;=$D$1*-1,J222&gt;0,I222&gt;$D$2*-1,G222/F222&gt;=3),"Very serious", AND(H222&lt;=$D$1*-1,J222&gt;0,I222&lt;$D$2*-1,G222/F222&gt;=3),"Very serious", AND(H222&gt;=$D$1,I222&lt;0,J222&lt;$D$2,G222/F222&gt;=3),"Very serious", AND(H222&gt;=$D$1,I222&lt;0,J222&gt;$D$2,G222/F222&gt;=3),"Very serious", AND(H222&gt;$D$1*-1,H222&lt;$D$1,I222&gt;$D$1*-1,J222&lt;$D$1,G222/F222&lt;3),"Not serious", AND(H222&gt;$D$1*-1,H222&lt;$D$1,OR(I222&lt;=$D$1*-1,J222&gt;=$D$1),I222&gt;$D$2*-1,J222&lt;$D$2,G222/F222&lt;3),"Serious", AND(H222&gt;$D$1*-1,H222&lt;$D$1,OR(I222&lt;=$D$2*-1,J222&gt;=$D$2),G222/F222&lt;3),"Very serious", AND(H222&gt;$D$1*-1,H222&lt;$D$1,I222&gt;$D$1*-1,J222&lt;$D$1,G222/F222&gt;=3),"Very serious", AND(H222&gt;$D$1*-1,H222&lt;$D$1,OR(I222&lt;=$D$1*-1,J222&gt;=$D$1),I222&gt;$D$2*-1,J222&lt;$D$2,G222/F222&gt;=3),"Very serious", AND(H222&gt;$D$1*-1,H222&lt;$D$1,OR(I222&lt;=$D$2*-1,J222&gt;=$D$2),G222/F222&gt;=3),"Very serious")),"")</f>
        <v/>
      </c>
      <c r="R222" s="109" t="str">
        <f t="shared" si="47"/>
        <v/>
      </c>
      <c r="S222" s="64"/>
      <c r="T222" s="72"/>
      <c r="U222" s="72"/>
      <c r="V222" s="72"/>
      <c r="W222" s="73"/>
      <c r="X222" s="73"/>
      <c r="Y222" s="74"/>
      <c r="Z222" s="113" t="str">
        <f t="array" ref="Z222">INDEX($A$1:$C$500, MATCH(1,($B:$B=$B222)*($C:$C=$AB222),0),1)</f>
        <v/>
      </c>
      <c r="AA222" s="113" t="str">
        <f t="array" ref="AA222">INDEX($A$1:$C$500, MATCH(1,($B:$B=$AB222)*($C:$C=$B222),0),1)</f>
        <v/>
      </c>
      <c r="AB222" s="111"/>
      <c r="AC222" s="114" t="str">
        <f t="shared" si="2"/>
        <v/>
      </c>
      <c r="AD222" s="115" t="str">
        <f t="shared" si="3"/>
        <v/>
      </c>
      <c r="AE222" s="116" t="str">
        <f t="array" ref="AE222">INDEX($A$1:$C$500, MATCH(1,($B:$B=$AB222)*($C:$C=$AG222),0),1)</f>
        <v/>
      </c>
      <c r="AF222" s="116" t="str">
        <f t="array" ref="AF222">INDEX($A$1:$C$500, MATCH(1,($B:$B=$AG222)*($C:$C=$AB222),0),1)</f>
        <v/>
      </c>
      <c r="AG222" s="72"/>
      <c r="AH222" s="114" t="str">
        <f t="shared" si="4"/>
        <v/>
      </c>
      <c r="AI222" s="115" t="str">
        <f t="shared" si="5"/>
        <v/>
      </c>
      <c r="AJ222" s="116" t="str">
        <f t="array" ref="AJ222">INDEX($A$1:$C$500, MATCH(1,($B:$B=$C222)*($C:$C=$AG222),0),1)</f>
        <v/>
      </c>
      <c r="AK222" s="116" t="str">
        <f t="array" ref="AK222">INDEX($A$1:$C$500, MATCH(1,($B:$B=$AG222)*($C:$C=$C222),0),1)</f>
        <v/>
      </c>
      <c r="AL222" s="116" t="str">
        <f t="array" ref="AL222">INDEX($A$1:$C$500, MATCH(1,($B:$B=$C222)*($C:$C=$AB222),0),1)</f>
        <v/>
      </c>
      <c r="AM222" s="116" t="str">
        <f t="array" ref="AM222">INDEX($A$1:$C$500, MATCH(1,($B:$B=$AB222)*($C:$C=$C222),0),1)</f>
        <v/>
      </c>
      <c r="AN222" s="114" t="str">
        <f t="array" ref="AN222">IFS(ISNUMBER(AJ222),AJ222,ISNUMBER(AK222),AK222,ISNUMBER(AL222),AL222,ISNUMBER(AM222),AM222)</f>
        <v>#N/A</v>
      </c>
      <c r="AO222" s="115" t="str">
        <f t="shared" si="6"/>
        <v/>
      </c>
      <c r="AP222" s="115" t="str">
        <f t="shared" si="7"/>
        <v/>
      </c>
      <c r="AQ222" s="111"/>
      <c r="AR222" s="109" t="str">
        <f t="shared" si="8"/>
        <v/>
      </c>
      <c r="AS222" s="72" t="str">
        <f>IFERROR(IF(AND(Preferences!B$3="Manual",OR(AX222/AW222&gt;V222/U222,BD222="Serious",BD222="Very serious")),"Assess imprecision",IFERROR(IFS(AND(Preferences!B$3="Automatic",V222/U222&gt;=30),"Extremely serious",AND(W222&lt;=$D$1*-1,Y222&lt;0,V222/U222&lt;3),"Not Serious",AND(W222&lt;=$D$1*-1,Y222&lt;0,V222/U222&gt;=3),"Very serious",AND(W222&gt;=$D$1,X222&gt;0,V222/U222&lt;3),"Not Serious",AND(W222&gt;=$D$1,X222&gt;0,V222/U222&gt;=3),"Very serious",AND(W222&lt;=$D$1*-1,Y222&gt;0,X222&gt;$D$2*-1,V222/U222&lt;3),"Serious", AND(W222&lt;=$D$1*-1,Y222&gt;0,X222&lt;$D$2*-1,V222/U222&lt;3),"Very serious", AND(W222&gt;=$D$1,X222&lt;0,Y222&lt;$D$2,V222/U222&lt;3),"Serious",AND(W222&gt;=$D$1,X222&lt;0,Y222&gt;$D$2,V222/U222&lt;3),"Very serious", AND(W222&lt;=$D$1*-1,Y222&gt;0,X222&gt;$D$2*-1,V222/U222&gt;=3),"Very serious", AND(W222&lt;=$D$1*-1,Y222&gt;0,X222&lt;$D$2*-1,V222/U222&gt;=3),"Very serious", AND(W222&gt;=$D$1,X222&lt;0,Y222&lt;$D$2,V222/U222&gt;=3),"Very serious", AND(W222&gt;=$D$1,X222&lt;0,Y222&gt;$D$2,V222/U222&gt;=3),"Very serious", AND(W222&gt;$D$1*-1,W222&lt;$D$1,X222&gt;$D$1*-1,Y222&lt;$D$1,V222/U222&lt;3),"Not Serious", AND(W222&gt;$D$1*-1,W222&lt;$D$1,OR(X222&lt;=$D$1*-1,Y222&gt;=$D$1),X222&gt;$D$2*-1,Y222&lt;$D$2,V222/U222&lt;3),"Serious", AND(W222&gt;$D$1*-1,W222&lt;$D$1,OR(X222&lt;=$D$2*-1,Y222&gt;=$D$2),V222/U222&lt;3),"Very serious", AND(W222&gt;$D$1*-1,W222&lt;$D$1,X222&gt;$D$1*-1,Y222&lt;$D$1,V222/U222&gt;=3),"Very serious", AND(W222&gt;$D$1*-1,W222&lt;$D$1,OR(X222&lt;=$D$1*-1,Y222&gt;=$D$1),X222&gt;$D$2*-1,Y222&lt;$D$2,V222/U222&gt;=3),"Very serious", AND(W222&gt;$D$1*-1,W222&lt;$D$1,OR(X222&lt;=$D$2*-1,Y222&gt;=$D$2),V222/U222&gt;=3),"Very serious"),"")),"")</f>
        <v/>
      </c>
      <c r="AT222" s="109" t="str">
        <f t="shared" si="9"/>
        <v/>
      </c>
      <c r="AU222" s="64"/>
      <c r="AV222" s="83"/>
      <c r="AW222" s="83"/>
      <c r="AX222" s="83"/>
      <c r="AY222" s="83"/>
      <c r="AZ222" s="83"/>
      <c r="BA222" s="85"/>
      <c r="BB222" s="86" t="str">
        <f>IF(Preferences!B$9="Manual","",IFS(ISBLANK(B222),"",AND(ISNUMBER(E222)=TRUE,ISNUMBER(T222)=FALSE),"Direct", AND(ISNUMBER(E222)=FALSE,ISNUMBER(T222)=TRUE),"Indirect", CN222=4,"Direct",AND(CL222=FALSE, CM222=TRUE,CN222-CO222&gt;-1),"Direct", AND(CL222=FALSE,CM222=TRUE, CN222-CO222&lt;0),"Check algorithm in appendix 2", AND(CL222=TRUE, CM222=FALSE,CN222-CO222&gt;0),"Check algorithm in appendix 2", AND(CL222=TRUE, CM222=FALSE,CN222-CO222=0),"Indirect", AND(CL222=TRUE, CM222=FALSE,CN222-CO222&lt;0),"Indirect", AND(CL222=FALSE,CM222=FALSE,CN222-CO222&gt;-1),"Direct", AND(CL222=FALSE,CM222=FALSE,CN222-CO222&lt;0),"Check algorithm in appendix 2", AND(CL222=TRUE,CM222=TRUE,CN222-CO222&gt;-1),"Direct", AND(CL222=TRUE,CM222=TRUE,CN222-CO222&lt;0),"Check algorithm in appendix 2"))</f>
        <v/>
      </c>
      <c r="BC222" s="120" t="str">
        <f t="shared" si="10"/>
        <v/>
      </c>
      <c r="BD222" s="140"/>
      <c r="BE222" s="122" t="str">
        <f>IF(Preferences!B$3="Manual","", IFERROR(IFS(AND(Preferences!B$3="Automatic",AX222/AW222&gt;=30),"Extremely serious",AND(AY222&lt;=$D$1*-1,BA222&lt;0,AX222/AW222&lt;3),"Not Serious",AND(AY222&lt;=$D$1*-1,BA222&lt;0,AX222/AW222&gt;=3),"Very serious",AND(AY222&gt;=$D$1,AZ222&gt;0,AX222/AW222&lt;3),"Not Serious",AND(AY222&gt;=$D$1,AZ222&gt;0,AX222/AW222&gt;=3),"Very serious",AND(AY222&lt;=$D$1*-1,BA222&gt;0,AZ222&gt;$D$2*-1,AX222/AW222&lt;3),"Serious", AND(AY222&lt;=$D$1*-1,BA222&gt;0,AZ222&lt;$D$2*-1,AX222/AW222&lt;3),"Very serious", AND(AY222&gt;=$D$1,AZ222&lt;0,BA222&lt;$D$2,AX222/AW222&lt;3),"Serious",AND(AY222&gt;=$D$1,AZ222&lt;0,BA222&gt;$D$2,AX222/AW222&lt;3),"Very serious", AND(AY222&lt;=$D$1*-1,BA222&gt;0,AZ222&gt;$D$2*-1,AX222/AW222&gt;=3),"Very serious", AND(AY222&lt;=$D$1*-1,BA222&gt;0,AZ222&lt;$D$2*-1,AX222/AW222&gt;=3),"Very serious", AND(AY222&gt;=$D$1,AZ222&lt;0,BA222&lt;$D$2,AX222/AW222&gt;=3),"Very serious", AND(AY222&gt;=$D$1,AZ222&lt;0,BA222&gt;$D$2,AX222/AW222&gt;=3),"Very serious", AND(AY222&gt;$D$1*-1,AY222&lt;$D$1,AZ222&gt;$D$1*-1,BA222&lt;$D$1,AX222/AW222&lt;3),"Not Serious", AND(AY222&gt;$D$1*-1,AY222&lt;$D$1,OR(AZ222&lt;=$D$1*-1,BA222&gt;=$D$1),AZ222&gt;$D$2*-1,BA222&lt;$D$2,AX222/AW222&lt;3),"Serious", AND(AY222&gt;$D$1*-1,AY222&lt;$D$1,OR(AZ222&lt;=$D$2*-1,BA222&gt;=$D$2),AX222/AW222&lt;3),"Very serious", AND(AY222&gt;$D$1*-1,AY222&lt;$D$1,AZ222&gt;$D$1*-1,BA222&lt;$D$1,AX222/AW222&gt;=3),"Very serious", AND(AY222&gt;$D$1*-1,AY222&lt;$D$1,OR(AZ222&lt;=$D$1*-1,BA222&gt;=$D$1),AZ222&gt;$D$2*-1,BA222&lt;$D$2,AX222/AW222&gt;=3),"Very serious", AND(AY222&gt;$D$1*-1,AY222&lt;$D$1,OR(AZ222&lt;=$D$2*-1,BA222&gt;=$D$2),AX222/AW222&gt;=3),"Very serious"),""))</f>
        <v/>
      </c>
      <c r="BF222" s="107" t="str">
        <f t="shared" si="11"/>
        <v/>
      </c>
      <c r="BG222" s="94" t="str">
        <f t="shared" si="46"/>
        <v/>
      </c>
      <c r="BH222" s="64" t="str">
        <f t="shared" si="12"/>
        <v>#N/A</v>
      </c>
      <c r="BI222" s="64" t="str">
        <f t="shared" si="13"/>
        <v/>
      </c>
      <c r="BJ222" s="123" t="str">
        <f t="shared" si="14"/>
        <v>#N/A</v>
      </c>
      <c r="BK222" s="64" t="str">
        <f t="shared" si="50"/>
        <v>YES</v>
      </c>
      <c r="BL222" s="64" t="str">
        <f t="shared" si="16"/>
        <v>YES</v>
      </c>
      <c r="BM222" s="64" t="str">
        <f t="shared" si="17"/>
        <v>YES</v>
      </c>
      <c r="BN222" s="124" t="str">
        <f t="shared" si="18"/>
        <v/>
      </c>
      <c r="BO222" s="91" t="str">
        <f t="shared" si="19"/>
        <v/>
      </c>
      <c r="BP222" s="91" t="str">
        <f t="shared" si="20"/>
        <v>#N/A</v>
      </c>
      <c r="BQ222" s="91" t="str">
        <f t="shared" si="21"/>
        <v/>
      </c>
      <c r="BR222" s="93" t="str">
        <f t="shared" si="22"/>
        <v/>
      </c>
      <c r="BS222" s="90" t="str">
        <f t="shared" si="23"/>
        <v/>
      </c>
      <c r="BT222" s="93" t="str">
        <f t="shared" si="24"/>
        <v>NA</v>
      </c>
      <c r="BU222" s="125" t="str">
        <f t="shared" si="25"/>
        <v>#N/A</v>
      </c>
      <c r="BV222" s="93" t="str">
        <f t="shared" si="26"/>
        <v/>
      </c>
      <c r="BW222" s="93" t="str">
        <f t="shared" si="27"/>
        <v/>
      </c>
      <c r="BX222" s="93" t="str">
        <f t="shared" si="28"/>
        <v>NA</v>
      </c>
      <c r="BY222" s="95" t="str">
        <f t="shared" si="29"/>
        <v>#N/A</v>
      </c>
      <c r="BZ222" s="93" t="str">
        <f t="shared" si="30"/>
        <v/>
      </c>
      <c r="CA222" s="93" t="str">
        <f t="shared" si="31"/>
        <v/>
      </c>
      <c r="CB222" s="93" t="str">
        <f t="shared" si="32"/>
        <v>NA</v>
      </c>
      <c r="CC222" s="96" t="str">
        <f t="shared" si="33"/>
        <v>#N/A</v>
      </c>
      <c r="CD222" s="93" t="str">
        <f t="shared" si="34"/>
        <v/>
      </c>
      <c r="CE222" s="93" t="str">
        <f t="shared" si="35"/>
        <v/>
      </c>
      <c r="CF222" s="93" t="str">
        <f t="shared" si="36"/>
        <v>NA</v>
      </c>
      <c r="CG222" s="97" t="str">
        <f t="shared" si="37"/>
        <v>#N/A</v>
      </c>
      <c r="CH222" s="98" t="str">
        <f t="shared" si="38"/>
        <v>#N/A</v>
      </c>
      <c r="CI222" s="99" t="str">
        <f t="shared" si="39"/>
        <v>#N/A</v>
      </c>
      <c r="CJ222" s="126" t="str">
        <f t="shared" si="40"/>
        <v>ERROR: check cell</v>
      </c>
      <c r="CK222" s="126"/>
      <c r="CL222" s="127" t="str">
        <f t="shared" si="41"/>
        <v>#DIV/0!</v>
      </c>
      <c r="CM222" s="128" t="str">
        <f t="shared" si="42"/>
        <v>#DIV/0!</v>
      </c>
      <c r="CN222" s="128">
        <f t="shared" si="43"/>
        <v>4</v>
      </c>
      <c r="CO222" s="129">
        <f t="shared" si="44"/>
        <v>4</v>
      </c>
      <c r="CP222" s="129" t="str">
        <f>IFS(C222=Preferences!B$13,B222,B222=Preferences!B$13,C222)</f>
        <v>#N/A</v>
      </c>
    </row>
    <row r="223" ht="13.5" customHeight="1">
      <c r="A223" s="63" t="str">
        <f t="shared" si="45"/>
        <v/>
      </c>
      <c r="B223" s="64"/>
      <c r="C223" s="64"/>
      <c r="D223" s="64"/>
      <c r="E223" s="65"/>
      <c r="F223" s="65"/>
      <c r="G223" s="65"/>
      <c r="H223" s="66"/>
      <c r="I223" s="66"/>
      <c r="J223" s="67"/>
      <c r="K223" s="68"/>
      <c r="L223" s="104"/>
      <c r="M223" s="104"/>
      <c r="N223" s="104"/>
      <c r="O223" s="104"/>
      <c r="P223" s="107" t="str">
        <f t="shared" si="1"/>
        <v/>
      </c>
      <c r="Q223" s="108" t="str">
        <f>IFERROR(IF(AND(Preferences!B$3="Manual",OR(AX223/AW223&gt;G223/F223,BD223="Serious",BD223="Very serious")),"Assess imprecision",IFS(ISBLANK(E223),"",AND(Preferences!B$3="Automatic", G223/F223&gt;=30),"Extremely serious",AND(H223&lt;=$D$1*-1,J223&lt;0,G223/F223&lt;3),"Not serious",AND(H223&lt;=$D$1*-1,J223&lt;0,G223/F223&gt;=3),"Very serious",AND(H223&gt;=$D$1,I223&gt;0,G223/F223&lt;3),"Not serious",AND(H223&gt;=$D$1,I223&gt;0,G223/F223&gt;=3),"Very serious",AND(H223&lt;=$D$1*-1,J223&gt;0,I223&gt;$D$2*-1,G223/F223&lt;3),"Serious", AND(H223&lt;=$D$1*-1,J223&gt;0,I223&lt;$D$2*-1,G223/F223&lt;3),"Very serious", AND(H223&gt;=$D$1,I223&lt;0,J223&lt;$D$2,G223/F223&lt;3),"Serious",AND(H223&gt;=$D$1,I223&lt;0,J223&gt;$D$2,G223/F223&lt;3),"Very serious", AND(H223&lt;=$D$1*-1,J223&gt;0,I223&gt;$D$2*-1,G223/F223&gt;=3),"Very serious", AND(H223&lt;=$D$1*-1,J223&gt;0,I223&lt;$D$2*-1,G223/F223&gt;=3),"Very serious", AND(H223&gt;=$D$1,I223&lt;0,J223&lt;$D$2,G223/F223&gt;=3),"Very serious", AND(H223&gt;=$D$1,I223&lt;0,J223&gt;$D$2,G223/F223&gt;=3),"Very serious", AND(H223&gt;$D$1*-1,H223&lt;$D$1,I223&gt;$D$1*-1,J223&lt;$D$1,G223/F223&lt;3),"Not serious", AND(H223&gt;$D$1*-1,H223&lt;$D$1,OR(I223&lt;=$D$1*-1,J223&gt;=$D$1),I223&gt;$D$2*-1,J223&lt;$D$2,G223/F223&lt;3),"Serious", AND(H223&gt;$D$1*-1,H223&lt;$D$1,OR(I223&lt;=$D$2*-1,J223&gt;=$D$2),G223/F223&lt;3),"Very serious", AND(H223&gt;$D$1*-1,H223&lt;$D$1,I223&gt;$D$1*-1,J223&lt;$D$1,G223/F223&gt;=3),"Very serious", AND(H223&gt;$D$1*-1,H223&lt;$D$1,OR(I223&lt;=$D$1*-1,J223&gt;=$D$1),I223&gt;$D$2*-1,J223&lt;$D$2,G223/F223&gt;=3),"Very serious", AND(H223&gt;$D$1*-1,H223&lt;$D$1,OR(I223&lt;=$D$2*-1,J223&gt;=$D$2),G223/F223&gt;=3),"Very serious")),"")</f>
        <v/>
      </c>
      <c r="R223" s="109" t="str">
        <f t="shared" si="47"/>
        <v/>
      </c>
      <c r="S223" s="64"/>
      <c r="T223" s="72"/>
      <c r="U223" s="72"/>
      <c r="V223" s="72"/>
      <c r="W223" s="73"/>
      <c r="X223" s="73"/>
      <c r="Y223" s="74"/>
      <c r="Z223" s="113" t="str">
        <f t="array" ref="Z223">INDEX($A$1:$C$500, MATCH(1,($B:$B=$B223)*($C:$C=$AB223),0),1)</f>
        <v/>
      </c>
      <c r="AA223" s="113" t="str">
        <f t="array" ref="AA223">INDEX($A$1:$C$500, MATCH(1,($B:$B=$AB223)*($C:$C=$B223),0),1)</f>
        <v/>
      </c>
      <c r="AB223" s="111"/>
      <c r="AC223" s="114" t="str">
        <f t="shared" si="2"/>
        <v/>
      </c>
      <c r="AD223" s="115" t="str">
        <f t="shared" si="3"/>
        <v/>
      </c>
      <c r="AE223" s="116" t="str">
        <f t="array" ref="AE223">INDEX($A$1:$C$500, MATCH(1,($B:$B=$AB223)*($C:$C=$AG223),0),1)</f>
        <v/>
      </c>
      <c r="AF223" s="116" t="str">
        <f t="array" ref="AF223">INDEX($A$1:$C$500, MATCH(1,($B:$B=$AG223)*($C:$C=$AB223),0),1)</f>
        <v/>
      </c>
      <c r="AG223" s="72"/>
      <c r="AH223" s="114" t="str">
        <f t="shared" si="4"/>
        <v/>
      </c>
      <c r="AI223" s="115" t="str">
        <f t="shared" si="5"/>
        <v/>
      </c>
      <c r="AJ223" s="116" t="str">
        <f t="array" ref="AJ223">INDEX($A$1:$C$500, MATCH(1,($B:$B=$C223)*($C:$C=$AG223),0),1)</f>
        <v/>
      </c>
      <c r="AK223" s="116" t="str">
        <f t="array" ref="AK223">INDEX($A$1:$C$500, MATCH(1,($B:$B=$AG223)*($C:$C=$C223),0),1)</f>
        <v/>
      </c>
      <c r="AL223" s="116" t="str">
        <f t="array" ref="AL223">INDEX($A$1:$C$500, MATCH(1,($B:$B=$C223)*($C:$C=$AB223),0),1)</f>
        <v/>
      </c>
      <c r="AM223" s="116" t="str">
        <f t="array" ref="AM223">INDEX($A$1:$C$500, MATCH(1,($B:$B=$AB223)*($C:$C=$C223),0),1)</f>
        <v/>
      </c>
      <c r="AN223" s="114" t="str">
        <f t="array" ref="AN223">IFS(ISNUMBER(AJ223),AJ223,ISNUMBER(AK223),AK223,ISNUMBER(AL223),AL223,ISNUMBER(AM223),AM223)</f>
        <v>#N/A</v>
      </c>
      <c r="AO223" s="115" t="str">
        <f t="shared" si="6"/>
        <v/>
      </c>
      <c r="AP223" s="115" t="str">
        <f t="shared" si="7"/>
        <v/>
      </c>
      <c r="AQ223" s="111"/>
      <c r="AR223" s="109" t="str">
        <f t="shared" si="8"/>
        <v/>
      </c>
      <c r="AS223" s="72" t="str">
        <f>IFERROR(IF(AND(Preferences!B$3="Manual",OR(AX223/AW223&gt;V223/U223,BD223="Serious",BD223="Very serious")),"Assess imprecision",IFERROR(IFS(AND(Preferences!B$3="Automatic",V223/U223&gt;=30),"Extremely serious",AND(W223&lt;=$D$1*-1,Y223&lt;0,V223/U223&lt;3),"Not Serious",AND(W223&lt;=$D$1*-1,Y223&lt;0,V223/U223&gt;=3),"Very serious",AND(W223&gt;=$D$1,X223&gt;0,V223/U223&lt;3),"Not Serious",AND(W223&gt;=$D$1,X223&gt;0,V223/U223&gt;=3),"Very serious",AND(W223&lt;=$D$1*-1,Y223&gt;0,X223&gt;$D$2*-1,V223/U223&lt;3),"Serious", AND(W223&lt;=$D$1*-1,Y223&gt;0,X223&lt;$D$2*-1,V223/U223&lt;3),"Very serious", AND(W223&gt;=$D$1,X223&lt;0,Y223&lt;$D$2,V223/U223&lt;3),"Serious",AND(W223&gt;=$D$1,X223&lt;0,Y223&gt;$D$2,V223/U223&lt;3),"Very serious", AND(W223&lt;=$D$1*-1,Y223&gt;0,X223&gt;$D$2*-1,V223/U223&gt;=3),"Very serious", AND(W223&lt;=$D$1*-1,Y223&gt;0,X223&lt;$D$2*-1,V223/U223&gt;=3),"Very serious", AND(W223&gt;=$D$1,X223&lt;0,Y223&lt;$D$2,V223/U223&gt;=3),"Very serious", AND(W223&gt;=$D$1,X223&lt;0,Y223&gt;$D$2,V223/U223&gt;=3),"Very serious", AND(W223&gt;$D$1*-1,W223&lt;$D$1,X223&gt;$D$1*-1,Y223&lt;$D$1,V223/U223&lt;3),"Not Serious", AND(W223&gt;$D$1*-1,W223&lt;$D$1,OR(X223&lt;=$D$1*-1,Y223&gt;=$D$1),X223&gt;$D$2*-1,Y223&lt;$D$2,V223/U223&lt;3),"Serious", AND(W223&gt;$D$1*-1,W223&lt;$D$1,OR(X223&lt;=$D$2*-1,Y223&gt;=$D$2),V223/U223&lt;3),"Very serious", AND(W223&gt;$D$1*-1,W223&lt;$D$1,X223&gt;$D$1*-1,Y223&lt;$D$1,V223/U223&gt;=3),"Very serious", AND(W223&gt;$D$1*-1,W223&lt;$D$1,OR(X223&lt;=$D$1*-1,Y223&gt;=$D$1),X223&gt;$D$2*-1,Y223&lt;$D$2,V223/U223&gt;=3),"Very serious", AND(W223&gt;$D$1*-1,W223&lt;$D$1,OR(X223&lt;=$D$2*-1,Y223&gt;=$D$2),V223/U223&gt;=3),"Very serious"),"")),"")</f>
        <v/>
      </c>
      <c r="AT223" s="109" t="str">
        <f t="shared" si="9"/>
        <v/>
      </c>
      <c r="AU223" s="64"/>
      <c r="AV223" s="83"/>
      <c r="AW223" s="83"/>
      <c r="AX223" s="83"/>
      <c r="AY223" s="83"/>
      <c r="AZ223" s="83"/>
      <c r="BA223" s="85"/>
      <c r="BB223" s="86" t="str">
        <f>IF(Preferences!B$9="Manual","",IFS(ISBLANK(B223),"",AND(ISNUMBER(E223)=TRUE,ISNUMBER(T223)=FALSE),"Direct", AND(ISNUMBER(E223)=FALSE,ISNUMBER(T223)=TRUE),"Indirect", CN223=4,"Direct",AND(CL223=FALSE, CM223=TRUE,CN223-CO223&gt;-1),"Direct", AND(CL223=FALSE,CM223=TRUE, CN223-CO223&lt;0),"Check algorithm in appendix 2", AND(CL223=TRUE, CM223=FALSE,CN223-CO223&gt;0),"Check algorithm in appendix 2", AND(CL223=TRUE, CM223=FALSE,CN223-CO223=0),"Indirect", AND(CL223=TRUE, CM223=FALSE,CN223-CO223&lt;0),"Indirect", AND(CL223=FALSE,CM223=FALSE,CN223-CO223&gt;-1),"Direct", AND(CL223=FALSE,CM223=FALSE,CN223-CO223&lt;0),"Check algorithm in appendix 2", AND(CL223=TRUE,CM223=TRUE,CN223-CO223&gt;-1),"Direct", AND(CL223=TRUE,CM223=TRUE,CN223-CO223&lt;0),"Check algorithm in appendix 2"))</f>
        <v/>
      </c>
      <c r="BC223" s="120" t="str">
        <f t="shared" si="10"/>
        <v/>
      </c>
      <c r="BD223" s="140"/>
      <c r="BE223" s="122" t="str">
        <f>IF(Preferences!B$3="Manual","", IFERROR(IFS(AND(Preferences!B$3="Automatic",AX223/AW223&gt;=30),"Extremely serious",AND(AY223&lt;=$D$1*-1,BA223&lt;0,AX223/AW223&lt;3),"Not Serious",AND(AY223&lt;=$D$1*-1,BA223&lt;0,AX223/AW223&gt;=3),"Very serious",AND(AY223&gt;=$D$1,AZ223&gt;0,AX223/AW223&lt;3),"Not Serious",AND(AY223&gt;=$D$1,AZ223&gt;0,AX223/AW223&gt;=3),"Very serious",AND(AY223&lt;=$D$1*-1,BA223&gt;0,AZ223&gt;$D$2*-1,AX223/AW223&lt;3),"Serious", AND(AY223&lt;=$D$1*-1,BA223&gt;0,AZ223&lt;$D$2*-1,AX223/AW223&lt;3),"Very serious", AND(AY223&gt;=$D$1,AZ223&lt;0,BA223&lt;$D$2,AX223/AW223&lt;3),"Serious",AND(AY223&gt;=$D$1,AZ223&lt;0,BA223&gt;$D$2,AX223/AW223&lt;3),"Very serious", AND(AY223&lt;=$D$1*-1,BA223&gt;0,AZ223&gt;$D$2*-1,AX223/AW223&gt;=3),"Very serious", AND(AY223&lt;=$D$1*-1,BA223&gt;0,AZ223&lt;$D$2*-1,AX223/AW223&gt;=3),"Very serious", AND(AY223&gt;=$D$1,AZ223&lt;0,BA223&lt;$D$2,AX223/AW223&gt;=3),"Very serious", AND(AY223&gt;=$D$1,AZ223&lt;0,BA223&gt;$D$2,AX223/AW223&gt;=3),"Very serious", AND(AY223&gt;$D$1*-1,AY223&lt;$D$1,AZ223&gt;$D$1*-1,BA223&lt;$D$1,AX223/AW223&lt;3),"Not Serious", AND(AY223&gt;$D$1*-1,AY223&lt;$D$1,OR(AZ223&lt;=$D$1*-1,BA223&gt;=$D$1),AZ223&gt;$D$2*-1,BA223&lt;$D$2,AX223/AW223&lt;3),"Serious", AND(AY223&gt;$D$1*-1,AY223&lt;$D$1,OR(AZ223&lt;=$D$2*-1,BA223&gt;=$D$2),AX223/AW223&lt;3),"Very serious", AND(AY223&gt;$D$1*-1,AY223&lt;$D$1,AZ223&gt;$D$1*-1,BA223&lt;$D$1,AX223/AW223&gt;=3),"Very serious", AND(AY223&gt;$D$1*-1,AY223&lt;$D$1,OR(AZ223&lt;=$D$1*-1,BA223&gt;=$D$1),AZ223&gt;$D$2*-1,BA223&lt;$D$2,AX223/AW223&gt;=3),"Very serious", AND(AY223&gt;$D$1*-1,AY223&lt;$D$1,OR(AZ223&lt;=$D$2*-1,BA223&gt;=$D$2),AX223/AW223&gt;=3),"Very serious"),""))</f>
        <v/>
      </c>
      <c r="BF223" s="107" t="str">
        <f t="shared" si="11"/>
        <v/>
      </c>
      <c r="BG223" s="94" t="str">
        <f t="shared" si="46"/>
        <v/>
      </c>
      <c r="BH223" s="64" t="str">
        <f t="shared" si="12"/>
        <v>#N/A</v>
      </c>
      <c r="BI223" s="64" t="str">
        <f t="shared" si="13"/>
        <v/>
      </c>
      <c r="BJ223" s="123" t="str">
        <f t="shared" si="14"/>
        <v>#N/A</v>
      </c>
      <c r="BK223" s="64" t="str">
        <f t="shared" si="50"/>
        <v>YES</v>
      </c>
      <c r="BL223" s="64" t="str">
        <f t="shared" si="16"/>
        <v>YES</v>
      </c>
      <c r="BM223" s="64" t="str">
        <f t="shared" si="17"/>
        <v>YES</v>
      </c>
      <c r="BN223" s="124" t="str">
        <f t="shared" si="18"/>
        <v/>
      </c>
      <c r="BO223" s="91" t="str">
        <f t="shared" si="19"/>
        <v/>
      </c>
      <c r="BP223" s="91" t="str">
        <f t="shared" si="20"/>
        <v>#N/A</v>
      </c>
      <c r="BQ223" s="91" t="str">
        <f t="shared" si="21"/>
        <v/>
      </c>
      <c r="BR223" s="93" t="str">
        <f t="shared" si="22"/>
        <v/>
      </c>
      <c r="BS223" s="90" t="str">
        <f t="shared" si="23"/>
        <v/>
      </c>
      <c r="BT223" s="93" t="str">
        <f t="shared" si="24"/>
        <v>NA</v>
      </c>
      <c r="BU223" s="125" t="str">
        <f t="shared" si="25"/>
        <v>#N/A</v>
      </c>
      <c r="BV223" s="93" t="str">
        <f t="shared" si="26"/>
        <v/>
      </c>
      <c r="BW223" s="93" t="str">
        <f t="shared" si="27"/>
        <v/>
      </c>
      <c r="BX223" s="93" t="str">
        <f t="shared" si="28"/>
        <v>NA</v>
      </c>
      <c r="BY223" s="95" t="str">
        <f t="shared" si="29"/>
        <v>#N/A</v>
      </c>
      <c r="BZ223" s="93" t="str">
        <f t="shared" si="30"/>
        <v/>
      </c>
      <c r="CA223" s="93" t="str">
        <f t="shared" si="31"/>
        <v/>
      </c>
      <c r="CB223" s="93" t="str">
        <f t="shared" si="32"/>
        <v>NA</v>
      </c>
      <c r="CC223" s="96" t="str">
        <f t="shared" si="33"/>
        <v>#N/A</v>
      </c>
      <c r="CD223" s="93" t="str">
        <f t="shared" si="34"/>
        <v/>
      </c>
      <c r="CE223" s="93" t="str">
        <f t="shared" si="35"/>
        <v/>
      </c>
      <c r="CF223" s="93" t="str">
        <f t="shared" si="36"/>
        <v>NA</v>
      </c>
      <c r="CG223" s="97" t="str">
        <f t="shared" si="37"/>
        <v>#N/A</v>
      </c>
      <c r="CH223" s="98" t="str">
        <f t="shared" si="38"/>
        <v>#N/A</v>
      </c>
      <c r="CI223" s="99" t="str">
        <f t="shared" si="39"/>
        <v>#N/A</v>
      </c>
      <c r="CJ223" s="126" t="str">
        <f t="shared" si="40"/>
        <v>ERROR: check cell</v>
      </c>
      <c r="CK223" s="126"/>
      <c r="CL223" s="127" t="str">
        <f t="shared" si="41"/>
        <v>#DIV/0!</v>
      </c>
      <c r="CM223" s="128" t="str">
        <f t="shared" si="42"/>
        <v>#DIV/0!</v>
      </c>
      <c r="CN223" s="128">
        <f t="shared" si="43"/>
        <v>4</v>
      </c>
      <c r="CO223" s="129">
        <f t="shared" si="44"/>
        <v>4</v>
      </c>
      <c r="CP223" s="129" t="str">
        <f>IFS(C223=Preferences!B$13,B223,B223=Preferences!B$13,C223)</f>
        <v>#N/A</v>
      </c>
    </row>
    <row r="224" ht="13.5" customHeight="1">
      <c r="A224" s="63" t="str">
        <f t="shared" si="45"/>
        <v/>
      </c>
      <c r="B224" s="64"/>
      <c r="C224" s="64"/>
      <c r="D224" s="64"/>
      <c r="E224" s="65"/>
      <c r="F224" s="65"/>
      <c r="G224" s="65"/>
      <c r="H224" s="66"/>
      <c r="I224" s="66"/>
      <c r="J224" s="67"/>
      <c r="K224" s="68"/>
      <c r="L224" s="104"/>
      <c r="M224" s="104"/>
      <c r="N224" s="104"/>
      <c r="O224" s="104"/>
      <c r="P224" s="107" t="str">
        <f t="shared" si="1"/>
        <v/>
      </c>
      <c r="Q224" s="108" t="str">
        <f>IFERROR(IF(AND(Preferences!B$3="Manual",OR(AX224/AW224&gt;G224/F224,BD224="Serious",BD224="Very serious")),"Assess imprecision",IFS(ISBLANK(E224),"",AND(Preferences!B$3="Automatic", G224/F224&gt;=30),"Extremely serious",AND(H224&lt;=$D$1*-1,J224&lt;0,G224/F224&lt;3),"Not serious",AND(H224&lt;=$D$1*-1,J224&lt;0,G224/F224&gt;=3),"Very serious",AND(H224&gt;=$D$1,I224&gt;0,G224/F224&lt;3),"Not serious",AND(H224&gt;=$D$1,I224&gt;0,G224/F224&gt;=3),"Very serious",AND(H224&lt;=$D$1*-1,J224&gt;0,I224&gt;$D$2*-1,G224/F224&lt;3),"Serious", AND(H224&lt;=$D$1*-1,J224&gt;0,I224&lt;$D$2*-1,G224/F224&lt;3),"Very serious", AND(H224&gt;=$D$1,I224&lt;0,J224&lt;$D$2,G224/F224&lt;3),"Serious",AND(H224&gt;=$D$1,I224&lt;0,J224&gt;$D$2,G224/F224&lt;3),"Very serious", AND(H224&lt;=$D$1*-1,J224&gt;0,I224&gt;$D$2*-1,G224/F224&gt;=3),"Very serious", AND(H224&lt;=$D$1*-1,J224&gt;0,I224&lt;$D$2*-1,G224/F224&gt;=3),"Very serious", AND(H224&gt;=$D$1,I224&lt;0,J224&lt;$D$2,G224/F224&gt;=3),"Very serious", AND(H224&gt;=$D$1,I224&lt;0,J224&gt;$D$2,G224/F224&gt;=3),"Very serious", AND(H224&gt;$D$1*-1,H224&lt;$D$1,I224&gt;$D$1*-1,J224&lt;$D$1,G224/F224&lt;3),"Not serious", AND(H224&gt;$D$1*-1,H224&lt;$D$1,OR(I224&lt;=$D$1*-1,J224&gt;=$D$1),I224&gt;$D$2*-1,J224&lt;$D$2,G224/F224&lt;3),"Serious", AND(H224&gt;$D$1*-1,H224&lt;$D$1,OR(I224&lt;=$D$2*-1,J224&gt;=$D$2),G224/F224&lt;3),"Very serious", AND(H224&gt;$D$1*-1,H224&lt;$D$1,I224&gt;$D$1*-1,J224&lt;$D$1,G224/F224&gt;=3),"Very serious", AND(H224&gt;$D$1*-1,H224&lt;$D$1,OR(I224&lt;=$D$1*-1,J224&gt;=$D$1),I224&gt;$D$2*-1,J224&lt;$D$2,G224/F224&gt;=3),"Very serious", AND(H224&gt;$D$1*-1,H224&lt;$D$1,OR(I224&lt;=$D$2*-1,J224&gt;=$D$2),G224/F224&gt;=3),"Very serious")),"")</f>
        <v/>
      </c>
      <c r="R224" s="109" t="str">
        <f t="shared" si="47"/>
        <v/>
      </c>
      <c r="S224" s="64"/>
      <c r="T224" s="72"/>
      <c r="U224" s="72"/>
      <c r="V224" s="72"/>
      <c r="W224" s="73"/>
      <c r="X224" s="73"/>
      <c r="Y224" s="74"/>
      <c r="Z224" s="113" t="str">
        <f t="array" ref="Z224">INDEX($A$1:$C$500, MATCH(1,($B:$B=$B224)*($C:$C=$AB224),0),1)</f>
        <v/>
      </c>
      <c r="AA224" s="113" t="str">
        <f t="array" ref="AA224">INDEX($A$1:$C$500, MATCH(1,($B:$B=$AB224)*($C:$C=$B224),0),1)</f>
        <v/>
      </c>
      <c r="AB224" s="111"/>
      <c r="AC224" s="114" t="str">
        <f t="shared" si="2"/>
        <v/>
      </c>
      <c r="AD224" s="115" t="str">
        <f t="shared" si="3"/>
        <v/>
      </c>
      <c r="AE224" s="116" t="str">
        <f t="array" ref="AE224">INDEX($A$1:$C$500, MATCH(1,($B:$B=$AB224)*($C:$C=$AG224),0),1)</f>
        <v/>
      </c>
      <c r="AF224" s="116" t="str">
        <f t="array" ref="AF224">INDEX($A$1:$C$500, MATCH(1,($B:$B=$AG224)*($C:$C=$AB224),0),1)</f>
        <v/>
      </c>
      <c r="AG224" s="72"/>
      <c r="AH224" s="114" t="str">
        <f t="shared" si="4"/>
        <v/>
      </c>
      <c r="AI224" s="115" t="str">
        <f t="shared" si="5"/>
        <v/>
      </c>
      <c r="AJ224" s="116" t="str">
        <f t="array" ref="AJ224">INDEX($A$1:$C$500, MATCH(1,($B:$B=$C224)*($C:$C=$AG224),0),1)</f>
        <v/>
      </c>
      <c r="AK224" s="116" t="str">
        <f t="array" ref="AK224">INDEX($A$1:$C$500, MATCH(1,($B:$B=$AG224)*($C:$C=$C224),0),1)</f>
        <v/>
      </c>
      <c r="AL224" s="116" t="str">
        <f t="array" ref="AL224">INDEX($A$1:$C$500, MATCH(1,($B:$B=$C224)*($C:$C=$AB224),0),1)</f>
        <v/>
      </c>
      <c r="AM224" s="116" t="str">
        <f t="array" ref="AM224">INDEX($A$1:$C$500, MATCH(1,($B:$B=$AB224)*($C:$C=$C224),0),1)</f>
        <v/>
      </c>
      <c r="AN224" s="114" t="str">
        <f t="array" ref="AN224">IFS(ISNUMBER(AJ224),AJ224,ISNUMBER(AK224),AK224,ISNUMBER(AL224),AL224,ISNUMBER(AM224),AM224)</f>
        <v>#N/A</v>
      </c>
      <c r="AO224" s="115" t="str">
        <f t="shared" si="6"/>
        <v/>
      </c>
      <c r="AP224" s="115" t="str">
        <f t="shared" si="7"/>
        <v/>
      </c>
      <c r="AQ224" s="111"/>
      <c r="AR224" s="109" t="str">
        <f t="shared" si="8"/>
        <v/>
      </c>
      <c r="AS224" s="72" t="str">
        <f>IFERROR(IF(AND(Preferences!B$3="Manual",OR(AX224/AW224&gt;V224/U224,BD224="Serious",BD224="Very serious")),"Assess imprecision",IFERROR(IFS(AND(Preferences!B$3="Automatic",V224/U224&gt;=30),"Extremely serious",AND(W224&lt;=$D$1*-1,Y224&lt;0,V224/U224&lt;3),"Not Serious",AND(W224&lt;=$D$1*-1,Y224&lt;0,V224/U224&gt;=3),"Very serious",AND(W224&gt;=$D$1,X224&gt;0,V224/U224&lt;3),"Not Serious",AND(W224&gt;=$D$1,X224&gt;0,V224/U224&gt;=3),"Very serious",AND(W224&lt;=$D$1*-1,Y224&gt;0,X224&gt;$D$2*-1,V224/U224&lt;3),"Serious", AND(W224&lt;=$D$1*-1,Y224&gt;0,X224&lt;$D$2*-1,V224/U224&lt;3),"Very serious", AND(W224&gt;=$D$1,X224&lt;0,Y224&lt;$D$2,V224/U224&lt;3),"Serious",AND(W224&gt;=$D$1,X224&lt;0,Y224&gt;$D$2,V224/U224&lt;3),"Very serious", AND(W224&lt;=$D$1*-1,Y224&gt;0,X224&gt;$D$2*-1,V224/U224&gt;=3),"Very serious", AND(W224&lt;=$D$1*-1,Y224&gt;0,X224&lt;$D$2*-1,V224/U224&gt;=3),"Very serious", AND(W224&gt;=$D$1,X224&lt;0,Y224&lt;$D$2,V224/U224&gt;=3),"Very serious", AND(W224&gt;=$D$1,X224&lt;0,Y224&gt;$D$2,V224/U224&gt;=3),"Very serious", AND(W224&gt;$D$1*-1,W224&lt;$D$1,X224&gt;$D$1*-1,Y224&lt;$D$1,V224/U224&lt;3),"Not Serious", AND(W224&gt;$D$1*-1,W224&lt;$D$1,OR(X224&lt;=$D$1*-1,Y224&gt;=$D$1),X224&gt;$D$2*-1,Y224&lt;$D$2,V224/U224&lt;3),"Serious", AND(W224&gt;$D$1*-1,W224&lt;$D$1,OR(X224&lt;=$D$2*-1,Y224&gt;=$D$2),V224/U224&lt;3),"Very serious", AND(W224&gt;$D$1*-1,W224&lt;$D$1,X224&gt;$D$1*-1,Y224&lt;$D$1,V224/U224&gt;=3),"Very serious", AND(W224&gt;$D$1*-1,W224&lt;$D$1,OR(X224&lt;=$D$1*-1,Y224&gt;=$D$1),X224&gt;$D$2*-1,Y224&lt;$D$2,V224/U224&gt;=3),"Very serious", AND(W224&gt;$D$1*-1,W224&lt;$D$1,OR(X224&lt;=$D$2*-1,Y224&gt;=$D$2),V224/U224&gt;=3),"Very serious"),"")),"")</f>
        <v/>
      </c>
      <c r="AT224" s="109" t="str">
        <f t="shared" si="9"/>
        <v/>
      </c>
      <c r="AU224" s="64"/>
      <c r="AV224" s="83"/>
      <c r="AW224" s="83"/>
      <c r="AX224" s="83"/>
      <c r="AY224" s="83"/>
      <c r="AZ224" s="83"/>
      <c r="BA224" s="85"/>
      <c r="BB224" s="86" t="str">
        <f>IF(Preferences!B$9="Manual","",IFS(ISBLANK(B224),"",AND(ISNUMBER(E224)=TRUE,ISNUMBER(T224)=FALSE),"Direct", AND(ISNUMBER(E224)=FALSE,ISNUMBER(T224)=TRUE),"Indirect", CN224=4,"Direct",AND(CL224=FALSE, CM224=TRUE,CN224-CO224&gt;-1),"Direct", AND(CL224=FALSE,CM224=TRUE, CN224-CO224&lt;0),"Check algorithm in appendix 2", AND(CL224=TRUE, CM224=FALSE,CN224-CO224&gt;0),"Check algorithm in appendix 2", AND(CL224=TRUE, CM224=FALSE,CN224-CO224=0),"Indirect", AND(CL224=TRUE, CM224=FALSE,CN224-CO224&lt;0),"Indirect", AND(CL224=FALSE,CM224=FALSE,CN224-CO224&gt;-1),"Direct", AND(CL224=FALSE,CM224=FALSE,CN224-CO224&lt;0),"Check algorithm in appendix 2", AND(CL224=TRUE,CM224=TRUE,CN224-CO224&gt;-1),"Direct", AND(CL224=TRUE,CM224=TRUE,CN224-CO224&lt;0),"Check algorithm in appendix 2"))</f>
        <v/>
      </c>
      <c r="BC224" s="120" t="str">
        <f t="shared" si="10"/>
        <v/>
      </c>
      <c r="BD224" s="140"/>
      <c r="BE224" s="122" t="str">
        <f>IF(Preferences!B$3="Manual","", IFERROR(IFS(AND(Preferences!B$3="Automatic",AX224/AW224&gt;=30),"Extremely serious",AND(AY224&lt;=$D$1*-1,BA224&lt;0,AX224/AW224&lt;3),"Not Serious",AND(AY224&lt;=$D$1*-1,BA224&lt;0,AX224/AW224&gt;=3),"Very serious",AND(AY224&gt;=$D$1,AZ224&gt;0,AX224/AW224&lt;3),"Not Serious",AND(AY224&gt;=$D$1,AZ224&gt;0,AX224/AW224&gt;=3),"Very serious",AND(AY224&lt;=$D$1*-1,BA224&gt;0,AZ224&gt;$D$2*-1,AX224/AW224&lt;3),"Serious", AND(AY224&lt;=$D$1*-1,BA224&gt;0,AZ224&lt;$D$2*-1,AX224/AW224&lt;3),"Very serious", AND(AY224&gt;=$D$1,AZ224&lt;0,BA224&lt;$D$2,AX224/AW224&lt;3),"Serious",AND(AY224&gt;=$D$1,AZ224&lt;0,BA224&gt;$D$2,AX224/AW224&lt;3),"Very serious", AND(AY224&lt;=$D$1*-1,BA224&gt;0,AZ224&gt;$D$2*-1,AX224/AW224&gt;=3),"Very serious", AND(AY224&lt;=$D$1*-1,BA224&gt;0,AZ224&lt;$D$2*-1,AX224/AW224&gt;=3),"Very serious", AND(AY224&gt;=$D$1,AZ224&lt;0,BA224&lt;$D$2,AX224/AW224&gt;=3),"Very serious", AND(AY224&gt;=$D$1,AZ224&lt;0,BA224&gt;$D$2,AX224/AW224&gt;=3),"Very serious", AND(AY224&gt;$D$1*-1,AY224&lt;$D$1,AZ224&gt;$D$1*-1,BA224&lt;$D$1,AX224/AW224&lt;3),"Not Serious", AND(AY224&gt;$D$1*-1,AY224&lt;$D$1,OR(AZ224&lt;=$D$1*-1,BA224&gt;=$D$1),AZ224&gt;$D$2*-1,BA224&lt;$D$2,AX224/AW224&lt;3),"Serious", AND(AY224&gt;$D$1*-1,AY224&lt;$D$1,OR(AZ224&lt;=$D$2*-1,BA224&gt;=$D$2),AX224/AW224&lt;3),"Very serious", AND(AY224&gt;$D$1*-1,AY224&lt;$D$1,AZ224&gt;$D$1*-1,BA224&lt;$D$1,AX224/AW224&gt;=3),"Very serious", AND(AY224&gt;$D$1*-1,AY224&lt;$D$1,OR(AZ224&lt;=$D$1*-1,BA224&gt;=$D$1),AZ224&gt;$D$2*-1,BA224&lt;$D$2,AX224/AW224&gt;=3),"Very serious", AND(AY224&gt;$D$1*-1,AY224&lt;$D$1,OR(AZ224&lt;=$D$2*-1,BA224&gt;=$D$2),AX224/AW224&gt;=3),"Very serious"),""))</f>
        <v/>
      </c>
      <c r="BF224" s="107" t="str">
        <f t="shared" si="11"/>
        <v/>
      </c>
      <c r="BG224" s="94" t="str">
        <f t="shared" si="46"/>
        <v/>
      </c>
      <c r="BH224" s="64" t="str">
        <f t="shared" si="12"/>
        <v>#N/A</v>
      </c>
      <c r="BI224" s="64" t="str">
        <f t="shared" si="13"/>
        <v/>
      </c>
      <c r="BJ224" s="123" t="str">
        <f t="shared" si="14"/>
        <v>#N/A</v>
      </c>
      <c r="BK224" s="64" t="str">
        <f t="shared" si="50"/>
        <v>YES</v>
      </c>
      <c r="BL224" s="64" t="str">
        <f t="shared" si="16"/>
        <v>YES</v>
      </c>
      <c r="BM224" s="64" t="str">
        <f t="shared" si="17"/>
        <v>YES</v>
      </c>
      <c r="BN224" s="124" t="str">
        <f t="shared" si="18"/>
        <v/>
      </c>
      <c r="BO224" s="91" t="str">
        <f t="shared" si="19"/>
        <v/>
      </c>
      <c r="BP224" s="91" t="str">
        <f t="shared" si="20"/>
        <v>#N/A</v>
      </c>
      <c r="BQ224" s="91" t="str">
        <f t="shared" si="21"/>
        <v/>
      </c>
      <c r="BR224" s="93" t="str">
        <f t="shared" si="22"/>
        <v/>
      </c>
      <c r="BS224" s="90" t="str">
        <f t="shared" si="23"/>
        <v/>
      </c>
      <c r="BT224" s="93" t="str">
        <f t="shared" si="24"/>
        <v>NA</v>
      </c>
      <c r="BU224" s="125" t="str">
        <f t="shared" si="25"/>
        <v>#N/A</v>
      </c>
      <c r="BV224" s="93" t="str">
        <f t="shared" si="26"/>
        <v/>
      </c>
      <c r="BW224" s="93" t="str">
        <f t="shared" si="27"/>
        <v/>
      </c>
      <c r="BX224" s="93" t="str">
        <f t="shared" si="28"/>
        <v>NA</v>
      </c>
      <c r="BY224" s="95" t="str">
        <f t="shared" si="29"/>
        <v>#N/A</v>
      </c>
      <c r="BZ224" s="93" t="str">
        <f t="shared" si="30"/>
        <v/>
      </c>
      <c r="CA224" s="93" t="str">
        <f t="shared" si="31"/>
        <v/>
      </c>
      <c r="CB224" s="93" t="str">
        <f t="shared" si="32"/>
        <v>NA</v>
      </c>
      <c r="CC224" s="96" t="str">
        <f t="shared" si="33"/>
        <v>#N/A</v>
      </c>
      <c r="CD224" s="93" t="str">
        <f t="shared" si="34"/>
        <v/>
      </c>
      <c r="CE224" s="93" t="str">
        <f t="shared" si="35"/>
        <v/>
      </c>
      <c r="CF224" s="93" t="str">
        <f t="shared" si="36"/>
        <v>NA</v>
      </c>
      <c r="CG224" s="97" t="str">
        <f t="shared" si="37"/>
        <v>#N/A</v>
      </c>
      <c r="CH224" s="98" t="str">
        <f t="shared" si="38"/>
        <v>#N/A</v>
      </c>
      <c r="CI224" s="99" t="str">
        <f t="shared" si="39"/>
        <v>#N/A</v>
      </c>
      <c r="CJ224" s="126" t="str">
        <f t="shared" si="40"/>
        <v>ERROR: check cell</v>
      </c>
      <c r="CK224" s="126"/>
      <c r="CL224" s="127" t="str">
        <f t="shared" si="41"/>
        <v>#DIV/0!</v>
      </c>
      <c r="CM224" s="128" t="str">
        <f t="shared" si="42"/>
        <v>#DIV/0!</v>
      </c>
      <c r="CN224" s="128">
        <f t="shared" si="43"/>
        <v>4</v>
      </c>
      <c r="CO224" s="129">
        <f t="shared" si="44"/>
        <v>4</v>
      </c>
      <c r="CP224" s="129" t="str">
        <f>IFS(C224=Preferences!B$13,B224,B224=Preferences!B$13,C224)</f>
        <v>#N/A</v>
      </c>
    </row>
    <row r="225" ht="13.5" customHeight="1">
      <c r="A225" s="63" t="str">
        <f t="shared" si="45"/>
        <v/>
      </c>
      <c r="B225" s="64"/>
      <c r="C225" s="64"/>
      <c r="D225" s="64"/>
      <c r="E225" s="65"/>
      <c r="F225" s="65"/>
      <c r="G225" s="65"/>
      <c r="H225" s="66"/>
      <c r="I225" s="66"/>
      <c r="J225" s="67"/>
      <c r="K225" s="68"/>
      <c r="L225" s="104"/>
      <c r="M225" s="104"/>
      <c r="N225" s="104"/>
      <c r="O225" s="104"/>
      <c r="P225" s="107" t="str">
        <f t="shared" si="1"/>
        <v/>
      </c>
      <c r="Q225" s="108" t="str">
        <f>IFERROR(IF(AND(Preferences!B$3="Manual",OR(AX225/AW225&gt;G225/F225,BD225="Serious",BD225="Very serious")),"Assess imprecision",IFS(ISBLANK(E225),"",AND(Preferences!B$3="Automatic", G225/F225&gt;=30),"Extremely serious",AND(H225&lt;=$D$1*-1,J225&lt;0,G225/F225&lt;3),"Not serious",AND(H225&lt;=$D$1*-1,J225&lt;0,G225/F225&gt;=3),"Very serious",AND(H225&gt;=$D$1,I225&gt;0,G225/F225&lt;3),"Not serious",AND(H225&gt;=$D$1,I225&gt;0,G225/F225&gt;=3),"Very serious",AND(H225&lt;=$D$1*-1,J225&gt;0,I225&gt;$D$2*-1,G225/F225&lt;3),"Serious", AND(H225&lt;=$D$1*-1,J225&gt;0,I225&lt;$D$2*-1,G225/F225&lt;3),"Very serious", AND(H225&gt;=$D$1,I225&lt;0,J225&lt;$D$2,G225/F225&lt;3),"Serious",AND(H225&gt;=$D$1,I225&lt;0,J225&gt;$D$2,G225/F225&lt;3),"Very serious", AND(H225&lt;=$D$1*-1,J225&gt;0,I225&gt;$D$2*-1,G225/F225&gt;=3),"Very serious", AND(H225&lt;=$D$1*-1,J225&gt;0,I225&lt;$D$2*-1,G225/F225&gt;=3),"Very serious", AND(H225&gt;=$D$1,I225&lt;0,J225&lt;$D$2,G225/F225&gt;=3),"Very serious", AND(H225&gt;=$D$1,I225&lt;0,J225&gt;$D$2,G225/F225&gt;=3),"Very serious", AND(H225&gt;$D$1*-1,H225&lt;$D$1,I225&gt;$D$1*-1,J225&lt;$D$1,G225/F225&lt;3),"Not serious", AND(H225&gt;$D$1*-1,H225&lt;$D$1,OR(I225&lt;=$D$1*-1,J225&gt;=$D$1),I225&gt;$D$2*-1,J225&lt;$D$2,G225/F225&lt;3),"Serious", AND(H225&gt;$D$1*-1,H225&lt;$D$1,OR(I225&lt;=$D$2*-1,J225&gt;=$D$2),G225/F225&lt;3),"Very serious", AND(H225&gt;$D$1*-1,H225&lt;$D$1,I225&gt;$D$1*-1,J225&lt;$D$1,G225/F225&gt;=3),"Very serious", AND(H225&gt;$D$1*-1,H225&lt;$D$1,OR(I225&lt;=$D$1*-1,J225&gt;=$D$1),I225&gt;$D$2*-1,J225&lt;$D$2,G225/F225&gt;=3),"Very serious", AND(H225&gt;$D$1*-1,H225&lt;$D$1,OR(I225&lt;=$D$2*-1,J225&gt;=$D$2),G225/F225&gt;=3),"Very serious")),"")</f>
        <v/>
      </c>
      <c r="R225" s="109" t="str">
        <f t="shared" si="47"/>
        <v/>
      </c>
      <c r="S225" s="64"/>
      <c r="T225" s="72"/>
      <c r="U225" s="72"/>
      <c r="V225" s="72"/>
      <c r="W225" s="73"/>
      <c r="X225" s="73"/>
      <c r="Y225" s="74"/>
      <c r="Z225" s="113" t="str">
        <f t="array" ref="Z225">INDEX($A$1:$C$500, MATCH(1,($B:$B=$B225)*($C:$C=$AB225),0),1)</f>
        <v/>
      </c>
      <c r="AA225" s="113" t="str">
        <f t="array" ref="AA225">INDEX($A$1:$C$500, MATCH(1,($B:$B=$AB225)*($C:$C=$B225),0),1)</f>
        <v/>
      </c>
      <c r="AB225" s="111"/>
      <c r="AC225" s="114" t="str">
        <f t="shared" si="2"/>
        <v/>
      </c>
      <c r="AD225" s="115" t="str">
        <f t="shared" si="3"/>
        <v/>
      </c>
      <c r="AE225" s="116" t="str">
        <f t="array" ref="AE225">INDEX($A$1:$C$500, MATCH(1,($B:$B=$AB225)*($C:$C=$AG225),0),1)</f>
        <v/>
      </c>
      <c r="AF225" s="116" t="str">
        <f t="array" ref="AF225">INDEX($A$1:$C$500, MATCH(1,($B:$B=$AG225)*($C:$C=$AB225),0),1)</f>
        <v/>
      </c>
      <c r="AG225" s="111"/>
      <c r="AH225" s="114" t="str">
        <f t="shared" si="4"/>
        <v/>
      </c>
      <c r="AI225" s="115" t="str">
        <f t="shared" si="5"/>
        <v/>
      </c>
      <c r="AJ225" s="116" t="str">
        <f t="array" ref="AJ225">INDEX($A$1:$C$500, MATCH(1,($B:$B=$C225)*($C:$C=$AG225),0),1)</f>
        <v/>
      </c>
      <c r="AK225" s="116" t="str">
        <f t="array" ref="AK225">INDEX($A$1:$C$500, MATCH(1,($B:$B=$AG225)*($C:$C=$C225),0),1)</f>
        <v/>
      </c>
      <c r="AL225" s="116" t="str">
        <f t="array" ref="AL225">INDEX($A$1:$C$500, MATCH(1,($B:$B=$C225)*($C:$C=$AB225),0),1)</f>
        <v/>
      </c>
      <c r="AM225" s="116" t="str">
        <f t="array" ref="AM225">INDEX($A$1:$C$500, MATCH(1,($B:$B=$AB225)*($C:$C=$C225),0),1)</f>
        <v/>
      </c>
      <c r="AN225" s="114" t="str">
        <f t="array" ref="AN225">IFS(ISNUMBER(AJ225),AJ225,ISNUMBER(AK225),AK225,ISNUMBER(AL225),AL225,ISNUMBER(AM225),AM225)</f>
        <v>#N/A</v>
      </c>
      <c r="AO225" s="115" t="str">
        <f t="shared" si="6"/>
        <v/>
      </c>
      <c r="AP225" s="115" t="str">
        <f t="shared" si="7"/>
        <v/>
      </c>
      <c r="AQ225" s="111"/>
      <c r="AR225" s="109" t="str">
        <f t="shared" si="8"/>
        <v/>
      </c>
      <c r="AS225" s="72" t="str">
        <f>IFERROR(IF(AND(Preferences!B$3="Manual",OR(AX225/AW225&gt;V225/U225,BD225="Serious",BD225="Very serious")),"Assess imprecision",IFERROR(IFS(AND(Preferences!B$3="Automatic",V225/U225&gt;=30),"Extremely serious",AND(W225&lt;=$D$1*-1,Y225&lt;0,V225/U225&lt;3),"Not Serious",AND(W225&lt;=$D$1*-1,Y225&lt;0,V225/U225&gt;=3),"Very serious",AND(W225&gt;=$D$1,X225&gt;0,V225/U225&lt;3),"Not Serious",AND(W225&gt;=$D$1,X225&gt;0,V225/U225&gt;=3),"Very serious",AND(W225&lt;=$D$1*-1,Y225&gt;0,X225&gt;$D$2*-1,V225/U225&lt;3),"Serious", AND(W225&lt;=$D$1*-1,Y225&gt;0,X225&lt;$D$2*-1,V225/U225&lt;3),"Very serious", AND(W225&gt;=$D$1,X225&lt;0,Y225&lt;$D$2,V225/U225&lt;3),"Serious",AND(W225&gt;=$D$1,X225&lt;0,Y225&gt;$D$2,V225/U225&lt;3),"Very serious", AND(W225&lt;=$D$1*-1,Y225&gt;0,X225&gt;$D$2*-1,V225/U225&gt;=3),"Very serious", AND(W225&lt;=$D$1*-1,Y225&gt;0,X225&lt;$D$2*-1,V225/U225&gt;=3),"Very serious", AND(W225&gt;=$D$1,X225&lt;0,Y225&lt;$D$2,V225/U225&gt;=3),"Very serious", AND(W225&gt;=$D$1,X225&lt;0,Y225&gt;$D$2,V225/U225&gt;=3),"Very serious", AND(W225&gt;$D$1*-1,W225&lt;$D$1,X225&gt;$D$1*-1,Y225&lt;$D$1,V225/U225&lt;3),"Not Serious", AND(W225&gt;$D$1*-1,W225&lt;$D$1,OR(X225&lt;=$D$1*-1,Y225&gt;=$D$1),X225&gt;$D$2*-1,Y225&lt;$D$2,V225/U225&lt;3),"Serious", AND(W225&gt;$D$1*-1,W225&lt;$D$1,OR(X225&lt;=$D$2*-1,Y225&gt;=$D$2),V225/U225&lt;3),"Very serious", AND(W225&gt;$D$1*-1,W225&lt;$D$1,X225&gt;$D$1*-1,Y225&lt;$D$1,V225/U225&gt;=3),"Very serious", AND(W225&gt;$D$1*-1,W225&lt;$D$1,OR(X225&lt;=$D$1*-1,Y225&gt;=$D$1),X225&gt;$D$2*-1,Y225&lt;$D$2,V225/U225&gt;=3),"Very serious", AND(W225&gt;$D$1*-1,W225&lt;$D$1,OR(X225&lt;=$D$2*-1,Y225&gt;=$D$2),V225/U225&gt;=3),"Very serious"),"")),"")</f>
        <v/>
      </c>
      <c r="AT225" s="109" t="str">
        <f t="shared" si="9"/>
        <v/>
      </c>
      <c r="AU225" s="64"/>
      <c r="AV225" s="83"/>
      <c r="AW225" s="83"/>
      <c r="AX225" s="83"/>
      <c r="AY225" s="83"/>
      <c r="AZ225" s="83"/>
      <c r="BA225" s="85"/>
      <c r="BB225" s="86" t="str">
        <f>IF(Preferences!B$9="Manual","",IFS(ISBLANK(B225),"",AND(ISNUMBER(E225)=TRUE,ISNUMBER(T225)=FALSE),"Direct", AND(ISNUMBER(E225)=FALSE,ISNUMBER(T225)=TRUE),"Indirect", CN225=4,"Direct",AND(CL225=FALSE, CM225=TRUE,CN225-CO225&gt;-1),"Direct", AND(CL225=FALSE,CM225=TRUE, CN225-CO225&lt;0),"Check algorithm in appendix 2", AND(CL225=TRUE, CM225=FALSE,CN225-CO225&gt;0),"Check algorithm in appendix 2", AND(CL225=TRUE, CM225=FALSE,CN225-CO225=0),"Indirect", AND(CL225=TRUE, CM225=FALSE,CN225-CO225&lt;0),"Indirect", AND(CL225=FALSE,CM225=FALSE,CN225-CO225&gt;-1),"Direct", AND(CL225=FALSE,CM225=FALSE,CN225-CO225&lt;0),"Check algorithm in appendix 2", AND(CL225=TRUE,CM225=TRUE,CN225-CO225&gt;-1),"Direct", AND(CL225=TRUE,CM225=TRUE,CN225-CO225&lt;0),"Check algorithm in appendix 2"))</f>
        <v/>
      </c>
      <c r="BC225" s="120" t="str">
        <f t="shared" si="10"/>
        <v/>
      </c>
      <c r="BD225" s="140"/>
      <c r="BE225" s="122" t="str">
        <f>IF(Preferences!B$3="Manual","", IFERROR(IFS(AND(Preferences!B$3="Automatic",AX225/AW225&gt;=30),"Extremely serious",AND(AY225&lt;=$D$1*-1,BA225&lt;0,AX225/AW225&lt;3),"Not Serious",AND(AY225&lt;=$D$1*-1,BA225&lt;0,AX225/AW225&gt;=3),"Very serious",AND(AY225&gt;=$D$1,AZ225&gt;0,AX225/AW225&lt;3),"Not Serious",AND(AY225&gt;=$D$1,AZ225&gt;0,AX225/AW225&gt;=3),"Very serious",AND(AY225&lt;=$D$1*-1,BA225&gt;0,AZ225&gt;$D$2*-1,AX225/AW225&lt;3),"Serious", AND(AY225&lt;=$D$1*-1,BA225&gt;0,AZ225&lt;$D$2*-1,AX225/AW225&lt;3),"Very serious", AND(AY225&gt;=$D$1,AZ225&lt;0,BA225&lt;$D$2,AX225/AW225&lt;3),"Serious",AND(AY225&gt;=$D$1,AZ225&lt;0,BA225&gt;$D$2,AX225/AW225&lt;3),"Very serious", AND(AY225&lt;=$D$1*-1,BA225&gt;0,AZ225&gt;$D$2*-1,AX225/AW225&gt;=3),"Very serious", AND(AY225&lt;=$D$1*-1,BA225&gt;0,AZ225&lt;$D$2*-1,AX225/AW225&gt;=3),"Very serious", AND(AY225&gt;=$D$1,AZ225&lt;0,BA225&lt;$D$2,AX225/AW225&gt;=3),"Very serious", AND(AY225&gt;=$D$1,AZ225&lt;0,BA225&gt;$D$2,AX225/AW225&gt;=3),"Very serious", AND(AY225&gt;$D$1*-1,AY225&lt;$D$1,AZ225&gt;$D$1*-1,BA225&lt;$D$1,AX225/AW225&lt;3),"Not Serious", AND(AY225&gt;$D$1*-1,AY225&lt;$D$1,OR(AZ225&lt;=$D$1*-1,BA225&gt;=$D$1),AZ225&gt;$D$2*-1,BA225&lt;$D$2,AX225/AW225&lt;3),"Serious", AND(AY225&gt;$D$1*-1,AY225&lt;$D$1,OR(AZ225&lt;=$D$2*-1,BA225&gt;=$D$2),AX225/AW225&lt;3),"Very serious", AND(AY225&gt;$D$1*-1,AY225&lt;$D$1,AZ225&gt;$D$1*-1,BA225&lt;$D$1,AX225/AW225&gt;=3),"Very serious", AND(AY225&gt;$D$1*-1,AY225&lt;$D$1,OR(AZ225&lt;=$D$1*-1,BA225&gt;=$D$1),AZ225&gt;$D$2*-1,BA225&lt;$D$2,AX225/AW225&gt;=3),"Very serious", AND(AY225&gt;$D$1*-1,AY225&lt;$D$1,OR(AZ225&lt;=$D$2*-1,BA225&gt;=$D$2),AX225/AW225&gt;=3),"Very serious"),""))</f>
        <v/>
      </c>
      <c r="BF225" s="107" t="str">
        <f t="shared" si="11"/>
        <v/>
      </c>
      <c r="BG225" s="94" t="str">
        <f t="shared" si="46"/>
        <v/>
      </c>
      <c r="BH225" s="64" t="str">
        <f t="shared" si="12"/>
        <v>#N/A</v>
      </c>
      <c r="BI225" s="64" t="str">
        <f t="shared" si="13"/>
        <v/>
      </c>
      <c r="BJ225" s="123" t="str">
        <f t="shared" si="14"/>
        <v>#N/A</v>
      </c>
      <c r="BK225" s="64" t="str">
        <f t="shared" si="50"/>
        <v>YES</v>
      </c>
      <c r="BL225" s="64" t="str">
        <f t="shared" si="16"/>
        <v>YES</v>
      </c>
      <c r="BM225" s="64" t="str">
        <f t="shared" si="17"/>
        <v>YES</v>
      </c>
      <c r="BN225" s="124" t="str">
        <f t="shared" si="18"/>
        <v/>
      </c>
      <c r="BO225" s="91" t="str">
        <f t="shared" si="19"/>
        <v/>
      </c>
      <c r="BP225" s="91" t="str">
        <f t="shared" si="20"/>
        <v>#N/A</v>
      </c>
      <c r="BQ225" s="91" t="str">
        <f t="shared" si="21"/>
        <v/>
      </c>
      <c r="BR225" s="93" t="str">
        <f t="shared" si="22"/>
        <v/>
      </c>
      <c r="BS225" s="90" t="str">
        <f t="shared" si="23"/>
        <v/>
      </c>
      <c r="BT225" s="93" t="str">
        <f t="shared" si="24"/>
        <v>NA</v>
      </c>
      <c r="BU225" s="125" t="str">
        <f t="shared" si="25"/>
        <v>#N/A</v>
      </c>
      <c r="BV225" s="93" t="str">
        <f t="shared" si="26"/>
        <v/>
      </c>
      <c r="BW225" s="93" t="str">
        <f t="shared" si="27"/>
        <v/>
      </c>
      <c r="BX225" s="93" t="str">
        <f t="shared" si="28"/>
        <v>NA</v>
      </c>
      <c r="BY225" s="95" t="str">
        <f t="shared" si="29"/>
        <v>#N/A</v>
      </c>
      <c r="BZ225" s="93" t="str">
        <f t="shared" si="30"/>
        <v/>
      </c>
      <c r="CA225" s="93" t="str">
        <f t="shared" si="31"/>
        <v/>
      </c>
      <c r="CB225" s="93" t="str">
        <f t="shared" si="32"/>
        <v>NA</v>
      </c>
      <c r="CC225" s="96" t="str">
        <f t="shared" si="33"/>
        <v>#N/A</v>
      </c>
      <c r="CD225" s="93" t="str">
        <f t="shared" si="34"/>
        <v/>
      </c>
      <c r="CE225" s="93" t="str">
        <f t="shared" si="35"/>
        <v/>
      </c>
      <c r="CF225" s="93" t="str">
        <f t="shared" si="36"/>
        <v>NA</v>
      </c>
      <c r="CG225" s="97" t="str">
        <f t="shared" si="37"/>
        <v>#N/A</v>
      </c>
      <c r="CH225" s="98" t="str">
        <f t="shared" si="38"/>
        <v>#N/A</v>
      </c>
      <c r="CI225" s="99" t="str">
        <f t="shared" si="39"/>
        <v>#N/A</v>
      </c>
      <c r="CJ225" s="126" t="str">
        <f t="shared" si="40"/>
        <v>ERROR: check cell</v>
      </c>
      <c r="CK225" s="126"/>
      <c r="CL225" s="127" t="str">
        <f t="shared" si="41"/>
        <v>#DIV/0!</v>
      </c>
      <c r="CM225" s="128" t="str">
        <f t="shared" si="42"/>
        <v>#DIV/0!</v>
      </c>
      <c r="CN225" s="128">
        <f t="shared" si="43"/>
        <v>4</v>
      </c>
      <c r="CO225" s="129">
        <f t="shared" si="44"/>
        <v>4</v>
      </c>
      <c r="CP225" s="129" t="str">
        <f>IFS(C225=Preferences!B$13,B225,B225=Preferences!B$13,C225)</f>
        <v>#N/A</v>
      </c>
    </row>
    <row r="226" ht="13.5" customHeight="1">
      <c r="A226" s="63" t="str">
        <f t="shared" si="45"/>
        <v/>
      </c>
      <c r="B226" s="64"/>
      <c r="C226" s="64"/>
      <c r="D226" s="64"/>
      <c r="E226" s="65"/>
      <c r="F226" s="65"/>
      <c r="G226" s="65"/>
      <c r="H226" s="66"/>
      <c r="I226" s="66"/>
      <c r="J226" s="67"/>
      <c r="K226" s="68"/>
      <c r="L226" s="104"/>
      <c r="M226" s="104"/>
      <c r="N226" s="104"/>
      <c r="O226" s="104"/>
      <c r="P226" s="107" t="str">
        <f t="shared" si="1"/>
        <v/>
      </c>
      <c r="Q226" s="108" t="str">
        <f>IFERROR(IF(AND(Preferences!B$3="Manual",OR(AX226/AW226&gt;G226/F226,BD226="Serious",BD226="Very serious")),"Assess imprecision",IFS(ISBLANK(E226),"",AND(Preferences!B$3="Automatic", G226/F226&gt;=30),"Extremely serious",AND(H226&lt;=$D$1*-1,J226&lt;0,G226/F226&lt;3),"Not serious",AND(H226&lt;=$D$1*-1,J226&lt;0,G226/F226&gt;=3),"Very serious",AND(H226&gt;=$D$1,I226&gt;0,G226/F226&lt;3),"Not serious",AND(H226&gt;=$D$1,I226&gt;0,G226/F226&gt;=3),"Very serious",AND(H226&lt;=$D$1*-1,J226&gt;0,I226&gt;$D$2*-1,G226/F226&lt;3),"Serious", AND(H226&lt;=$D$1*-1,J226&gt;0,I226&lt;$D$2*-1,G226/F226&lt;3),"Very serious", AND(H226&gt;=$D$1,I226&lt;0,J226&lt;$D$2,G226/F226&lt;3),"Serious",AND(H226&gt;=$D$1,I226&lt;0,J226&gt;$D$2,G226/F226&lt;3),"Very serious", AND(H226&lt;=$D$1*-1,J226&gt;0,I226&gt;$D$2*-1,G226/F226&gt;=3),"Very serious", AND(H226&lt;=$D$1*-1,J226&gt;0,I226&lt;$D$2*-1,G226/F226&gt;=3),"Very serious", AND(H226&gt;=$D$1,I226&lt;0,J226&lt;$D$2,G226/F226&gt;=3),"Very serious", AND(H226&gt;=$D$1,I226&lt;0,J226&gt;$D$2,G226/F226&gt;=3),"Very serious", AND(H226&gt;$D$1*-1,H226&lt;$D$1,I226&gt;$D$1*-1,J226&lt;$D$1,G226/F226&lt;3),"Not serious", AND(H226&gt;$D$1*-1,H226&lt;$D$1,OR(I226&lt;=$D$1*-1,J226&gt;=$D$1),I226&gt;$D$2*-1,J226&lt;$D$2,G226/F226&lt;3),"Serious", AND(H226&gt;$D$1*-1,H226&lt;$D$1,OR(I226&lt;=$D$2*-1,J226&gt;=$D$2),G226/F226&lt;3),"Very serious", AND(H226&gt;$D$1*-1,H226&lt;$D$1,I226&gt;$D$1*-1,J226&lt;$D$1,G226/F226&gt;=3),"Very serious", AND(H226&gt;$D$1*-1,H226&lt;$D$1,OR(I226&lt;=$D$1*-1,J226&gt;=$D$1),I226&gt;$D$2*-1,J226&lt;$D$2,G226/F226&gt;=3),"Very serious", AND(H226&gt;$D$1*-1,H226&lt;$D$1,OR(I226&lt;=$D$2*-1,J226&gt;=$D$2),G226/F226&gt;=3),"Very serious")),"")</f>
        <v/>
      </c>
      <c r="R226" s="109" t="str">
        <f t="shared" si="47"/>
        <v/>
      </c>
      <c r="S226" s="64"/>
      <c r="T226" s="72"/>
      <c r="U226" s="72"/>
      <c r="V226" s="72"/>
      <c r="W226" s="73"/>
      <c r="X226" s="73"/>
      <c r="Y226" s="74"/>
      <c r="Z226" s="113" t="str">
        <f t="array" ref="Z226">INDEX($A$1:$C$500, MATCH(1,($B:$B=$B226)*($C:$C=$AB226),0),1)</f>
        <v/>
      </c>
      <c r="AA226" s="113" t="str">
        <f t="array" ref="AA226">INDEX($A$1:$C$500, MATCH(1,($B:$B=$AB226)*($C:$C=$B226),0),1)</f>
        <v/>
      </c>
      <c r="AB226" s="111"/>
      <c r="AC226" s="114" t="str">
        <f t="shared" si="2"/>
        <v/>
      </c>
      <c r="AD226" s="115" t="str">
        <f t="shared" si="3"/>
        <v/>
      </c>
      <c r="AE226" s="116" t="str">
        <f t="array" ref="AE226">INDEX($A$1:$C$500, MATCH(1,($B:$B=$AB226)*($C:$C=$AG226),0),1)</f>
        <v/>
      </c>
      <c r="AF226" s="116" t="str">
        <f t="array" ref="AF226">INDEX($A$1:$C$500, MATCH(1,($B:$B=$AG226)*($C:$C=$AB226),0),1)</f>
        <v/>
      </c>
      <c r="AG226" s="72"/>
      <c r="AH226" s="114" t="str">
        <f t="shared" si="4"/>
        <v/>
      </c>
      <c r="AI226" s="115" t="str">
        <f t="shared" si="5"/>
        <v/>
      </c>
      <c r="AJ226" s="116" t="str">
        <f t="array" ref="AJ226">INDEX($A$1:$C$500, MATCH(1,($B:$B=$C226)*($C:$C=$AG226),0),1)</f>
        <v/>
      </c>
      <c r="AK226" s="116" t="str">
        <f t="array" ref="AK226">INDEX($A$1:$C$500, MATCH(1,($B:$B=$AG226)*($C:$C=$C226),0),1)</f>
        <v/>
      </c>
      <c r="AL226" s="116" t="str">
        <f t="array" ref="AL226">INDEX($A$1:$C$500, MATCH(1,($B:$B=$C226)*($C:$C=$AB226),0),1)</f>
        <v/>
      </c>
      <c r="AM226" s="116" t="str">
        <f t="array" ref="AM226">INDEX($A$1:$C$500, MATCH(1,($B:$B=$AB226)*($C:$C=$C226),0),1)</f>
        <v/>
      </c>
      <c r="AN226" s="114" t="str">
        <f t="array" ref="AN226">IFS(ISNUMBER(AJ226),AJ226,ISNUMBER(AK226),AK226,ISNUMBER(AL226),AL226,ISNUMBER(AM226),AM226)</f>
        <v>#N/A</v>
      </c>
      <c r="AO226" s="115" t="str">
        <f t="shared" si="6"/>
        <v/>
      </c>
      <c r="AP226" s="115" t="str">
        <f t="shared" si="7"/>
        <v/>
      </c>
      <c r="AQ226" s="111"/>
      <c r="AR226" s="109" t="str">
        <f t="shared" si="8"/>
        <v/>
      </c>
      <c r="AS226" s="72" t="str">
        <f>IFERROR(IF(AND(Preferences!B$3="Manual",OR(AX226/AW226&gt;V226/U226,BD226="Serious",BD226="Very serious")),"Assess imprecision",IFERROR(IFS(AND(Preferences!B$3="Automatic",V226/U226&gt;=30),"Extremely serious",AND(W226&lt;=$D$1*-1,Y226&lt;0,V226/U226&lt;3),"Not Serious",AND(W226&lt;=$D$1*-1,Y226&lt;0,V226/U226&gt;=3),"Very serious",AND(W226&gt;=$D$1,X226&gt;0,V226/U226&lt;3),"Not Serious",AND(W226&gt;=$D$1,X226&gt;0,V226/U226&gt;=3),"Very serious",AND(W226&lt;=$D$1*-1,Y226&gt;0,X226&gt;$D$2*-1,V226/U226&lt;3),"Serious", AND(W226&lt;=$D$1*-1,Y226&gt;0,X226&lt;$D$2*-1,V226/U226&lt;3),"Very serious", AND(W226&gt;=$D$1,X226&lt;0,Y226&lt;$D$2,V226/U226&lt;3),"Serious",AND(W226&gt;=$D$1,X226&lt;0,Y226&gt;$D$2,V226/U226&lt;3),"Very serious", AND(W226&lt;=$D$1*-1,Y226&gt;0,X226&gt;$D$2*-1,V226/U226&gt;=3),"Very serious", AND(W226&lt;=$D$1*-1,Y226&gt;0,X226&lt;$D$2*-1,V226/U226&gt;=3),"Very serious", AND(W226&gt;=$D$1,X226&lt;0,Y226&lt;$D$2,V226/U226&gt;=3),"Very serious", AND(W226&gt;=$D$1,X226&lt;0,Y226&gt;$D$2,V226/U226&gt;=3),"Very serious", AND(W226&gt;$D$1*-1,W226&lt;$D$1,X226&gt;$D$1*-1,Y226&lt;$D$1,V226/U226&lt;3),"Not Serious", AND(W226&gt;$D$1*-1,W226&lt;$D$1,OR(X226&lt;=$D$1*-1,Y226&gt;=$D$1),X226&gt;$D$2*-1,Y226&lt;$D$2,V226/U226&lt;3),"Serious", AND(W226&gt;$D$1*-1,W226&lt;$D$1,OR(X226&lt;=$D$2*-1,Y226&gt;=$D$2),V226/U226&lt;3),"Very serious", AND(W226&gt;$D$1*-1,W226&lt;$D$1,X226&gt;$D$1*-1,Y226&lt;$D$1,V226/U226&gt;=3),"Very serious", AND(W226&gt;$D$1*-1,W226&lt;$D$1,OR(X226&lt;=$D$1*-1,Y226&gt;=$D$1),X226&gt;$D$2*-1,Y226&lt;$D$2,V226/U226&gt;=3),"Very serious", AND(W226&gt;$D$1*-1,W226&lt;$D$1,OR(X226&lt;=$D$2*-1,Y226&gt;=$D$2),V226/U226&gt;=3),"Very serious"),"")),"")</f>
        <v/>
      </c>
      <c r="AT226" s="109" t="str">
        <f t="shared" si="9"/>
        <v/>
      </c>
      <c r="AU226" s="64"/>
      <c r="AV226" s="83"/>
      <c r="AW226" s="83"/>
      <c r="AX226" s="83"/>
      <c r="AY226" s="83"/>
      <c r="AZ226" s="83"/>
      <c r="BA226" s="85"/>
      <c r="BB226" s="86" t="str">
        <f>IF(Preferences!B$9="Manual","",IFS(ISBLANK(B226),"",AND(ISNUMBER(E226)=TRUE,ISNUMBER(T226)=FALSE),"Direct", AND(ISNUMBER(E226)=FALSE,ISNUMBER(T226)=TRUE),"Indirect", CN226=4,"Direct",AND(CL226=FALSE, CM226=TRUE,CN226-CO226&gt;-1),"Direct", AND(CL226=FALSE,CM226=TRUE, CN226-CO226&lt;0),"Check algorithm in appendix 2", AND(CL226=TRUE, CM226=FALSE,CN226-CO226&gt;0),"Check algorithm in appendix 2", AND(CL226=TRUE, CM226=FALSE,CN226-CO226=0),"Indirect", AND(CL226=TRUE, CM226=FALSE,CN226-CO226&lt;0),"Indirect", AND(CL226=FALSE,CM226=FALSE,CN226-CO226&gt;-1),"Direct", AND(CL226=FALSE,CM226=FALSE,CN226-CO226&lt;0),"Check algorithm in appendix 2", AND(CL226=TRUE,CM226=TRUE,CN226-CO226&gt;-1),"Direct", AND(CL226=TRUE,CM226=TRUE,CN226-CO226&lt;0),"Check algorithm in appendix 2"))</f>
        <v/>
      </c>
      <c r="BC226" s="120" t="str">
        <f t="shared" si="10"/>
        <v/>
      </c>
      <c r="BD226" s="140"/>
      <c r="BE226" s="122" t="str">
        <f>IF(Preferences!B$3="Manual","", IFERROR(IFS(AND(Preferences!B$3="Automatic",AX226/AW226&gt;=30),"Extremely serious",AND(AY226&lt;=$D$1*-1,BA226&lt;0,AX226/AW226&lt;3),"Not Serious",AND(AY226&lt;=$D$1*-1,BA226&lt;0,AX226/AW226&gt;=3),"Very serious",AND(AY226&gt;=$D$1,AZ226&gt;0,AX226/AW226&lt;3),"Not Serious",AND(AY226&gt;=$D$1,AZ226&gt;0,AX226/AW226&gt;=3),"Very serious",AND(AY226&lt;=$D$1*-1,BA226&gt;0,AZ226&gt;$D$2*-1,AX226/AW226&lt;3),"Serious", AND(AY226&lt;=$D$1*-1,BA226&gt;0,AZ226&lt;$D$2*-1,AX226/AW226&lt;3),"Very serious", AND(AY226&gt;=$D$1,AZ226&lt;0,BA226&lt;$D$2,AX226/AW226&lt;3),"Serious",AND(AY226&gt;=$D$1,AZ226&lt;0,BA226&gt;$D$2,AX226/AW226&lt;3),"Very serious", AND(AY226&lt;=$D$1*-1,BA226&gt;0,AZ226&gt;$D$2*-1,AX226/AW226&gt;=3),"Very serious", AND(AY226&lt;=$D$1*-1,BA226&gt;0,AZ226&lt;$D$2*-1,AX226/AW226&gt;=3),"Very serious", AND(AY226&gt;=$D$1,AZ226&lt;0,BA226&lt;$D$2,AX226/AW226&gt;=3),"Very serious", AND(AY226&gt;=$D$1,AZ226&lt;0,BA226&gt;$D$2,AX226/AW226&gt;=3),"Very serious", AND(AY226&gt;$D$1*-1,AY226&lt;$D$1,AZ226&gt;$D$1*-1,BA226&lt;$D$1,AX226/AW226&lt;3),"Not Serious", AND(AY226&gt;$D$1*-1,AY226&lt;$D$1,OR(AZ226&lt;=$D$1*-1,BA226&gt;=$D$1),AZ226&gt;$D$2*-1,BA226&lt;$D$2,AX226/AW226&lt;3),"Serious", AND(AY226&gt;$D$1*-1,AY226&lt;$D$1,OR(AZ226&lt;=$D$2*-1,BA226&gt;=$D$2),AX226/AW226&lt;3),"Very serious", AND(AY226&gt;$D$1*-1,AY226&lt;$D$1,AZ226&gt;$D$1*-1,BA226&lt;$D$1,AX226/AW226&gt;=3),"Very serious", AND(AY226&gt;$D$1*-1,AY226&lt;$D$1,OR(AZ226&lt;=$D$1*-1,BA226&gt;=$D$1),AZ226&gt;$D$2*-1,BA226&lt;$D$2,AX226/AW226&gt;=3),"Very serious", AND(AY226&gt;$D$1*-1,AY226&lt;$D$1,OR(AZ226&lt;=$D$2*-1,BA226&gt;=$D$2),AX226/AW226&gt;=3),"Very serious"),""))</f>
        <v/>
      </c>
      <c r="BF226" s="107" t="str">
        <f t="shared" si="11"/>
        <v/>
      </c>
      <c r="BG226" s="94" t="str">
        <f t="shared" si="46"/>
        <v/>
      </c>
      <c r="BH226" s="64" t="str">
        <f t="shared" si="12"/>
        <v>#N/A</v>
      </c>
      <c r="BI226" s="64" t="str">
        <f t="shared" si="13"/>
        <v/>
      </c>
      <c r="BJ226" s="123" t="str">
        <f t="shared" si="14"/>
        <v>#N/A</v>
      </c>
      <c r="BK226" s="64" t="str">
        <f t="shared" si="50"/>
        <v>YES</v>
      </c>
      <c r="BL226" s="64" t="str">
        <f t="shared" si="16"/>
        <v>YES</v>
      </c>
      <c r="BM226" s="64" t="str">
        <f t="shared" si="17"/>
        <v>YES</v>
      </c>
      <c r="BN226" s="124" t="str">
        <f t="shared" si="18"/>
        <v/>
      </c>
      <c r="BO226" s="91" t="str">
        <f t="shared" si="19"/>
        <v/>
      </c>
      <c r="BP226" s="91" t="str">
        <f t="shared" si="20"/>
        <v>#N/A</v>
      </c>
      <c r="BQ226" s="91" t="str">
        <f t="shared" si="21"/>
        <v/>
      </c>
      <c r="BR226" s="93" t="str">
        <f t="shared" si="22"/>
        <v/>
      </c>
      <c r="BS226" s="90" t="str">
        <f t="shared" si="23"/>
        <v/>
      </c>
      <c r="BT226" s="93" t="str">
        <f t="shared" si="24"/>
        <v>NA</v>
      </c>
      <c r="BU226" s="125" t="str">
        <f t="shared" si="25"/>
        <v>#N/A</v>
      </c>
      <c r="BV226" s="93" t="str">
        <f t="shared" si="26"/>
        <v/>
      </c>
      <c r="BW226" s="93" t="str">
        <f t="shared" si="27"/>
        <v/>
      </c>
      <c r="BX226" s="93" t="str">
        <f t="shared" si="28"/>
        <v>NA</v>
      </c>
      <c r="BY226" s="95" t="str">
        <f t="shared" si="29"/>
        <v>#N/A</v>
      </c>
      <c r="BZ226" s="93" t="str">
        <f t="shared" si="30"/>
        <v/>
      </c>
      <c r="CA226" s="93" t="str">
        <f t="shared" si="31"/>
        <v/>
      </c>
      <c r="CB226" s="93" t="str">
        <f t="shared" si="32"/>
        <v>NA</v>
      </c>
      <c r="CC226" s="96" t="str">
        <f t="shared" si="33"/>
        <v>#N/A</v>
      </c>
      <c r="CD226" s="93" t="str">
        <f t="shared" si="34"/>
        <v/>
      </c>
      <c r="CE226" s="93" t="str">
        <f t="shared" si="35"/>
        <v/>
      </c>
      <c r="CF226" s="93" t="str">
        <f t="shared" si="36"/>
        <v>NA</v>
      </c>
      <c r="CG226" s="97" t="str">
        <f t="shared" si="37"/>
        <v>#N/A</v>
      </c>
      <c r="CH226" s="98" t="str">
        <f t="shared" si="38"/>
        <v>#N/A</v>
      </c>
      <c r="CI226" s="99" t="str">
        <f t="shared" si="39"/>
        <v>#N/A</v>
      </c>
      <c r="CJ226" s="126" t="str">
        <f t="shared" si="40"/>
        <v>ERROR: check cell</v>
      </c>
      <c r="CK226" s="126"/>
      <c r="CL226" s="127" t="str">
        <f t="shared" si="41"/>
        <v>#DIV/0!</v>
      </c>
      <c r="CM226" s="128" t="str">
        <f t="shared" si="42"/>
        <v>#DIV/0!</v>
      </c>
      <c r="CN226" s="128">
        <f t="shared" si="43"/>
        <v>4</v>
      </c>
      <c r="CO226" s="129">
        <f t="shared" si="44"/>
        <v>4</v>
      </c>
      <c r="CP226" s="129" t="str">
        <f>IFS(C226=Preferences!B$13,B226,B226=Preferences!B$13,C226)</f>
        <v>#N/A</v>
      </c>
    </row>
    <row r="227" ht="13.5" customHeight="1">
      <c r="A227" s="63" t="str">
        <f t="shared" si="45"/>
        <v/>
      </c>
      <c r="B227" s="64"/>
      <c r="C227" s="64"/>
      <c r="D227" s="64"/>
      <c r="E227" s="65"/>
      <c r="F227" s="65"/>
      <c r="G227" s="65"/>
      <c r="H227" s="66"/>
      <c r="I227" s="66"/>
      <c r="J227" s="67"/>
      <c r="K227" s="68"/>
      <c r="L227" s="104"/>
      <c r="M227" s="104"/>
      <c r="N227" s="104"/>
      <c r="O227" s="104"/>
      <c r="P227" s="107" t="str">
        <f t="shared" si="1"/>
        <v/>
      </c>
      <c r="Q227" s="108" t="str">
        <f>IFERROR(IF(AND(Preferences!B$3="Manual",OR(AX227/AW227&gt;G227/F227,BD227="Serious",BD227="Very serious")),"Assess imprecision",IFS(ISBLANK(E227),"",AND(Preferences!B$3="Automatic", G227/F227&gt;=30),"Extremely serious",AND(H227&lt;=$D$1*-1,J227&lt;0,G227/F227&lt;3),"Not serious",AND(H227&lt;=$D$1*-1,J227&lt;0,G227/F227&gt;=3),"Very serious",AND(H227&gt;=$D$1,I227&gt;0,G227/F227&lt;3),"Not serious",AND(H227&gt;=$D$1,I227&gt;0,G227/F227&gt;=3),"Very serious",AND(H227&lt;=$D$1*-1,J227&gt;0,I227&gt;$D$2*-1,G227/F227&lt;3),"Serious", AND(H227&lt;=$D$1*-1,J227&gt;0,I227&lt;$D$2*-1,G227/F227&lt;3),"Very serious", AND(H227&gt;=$D$1,I227&lt;0,J227&lt;$D$2,G227/F227&lt;3),"Serious",AND(H227&gt;=$D$1,I227&lt;0,J227&gt;$D$2,G227/F227&lt;3),"Very serious", AND(H227&lt;=$D$1*-1,J227&gt;0,I227&gt;$D$2*-1,G227/F227&gt;=3),"Very serious", AND(H227&lt;=$D$1*-1,J227&gt;0,I227&lt;$D$2*-1,G227/F227&gt;=3),"Very serious", AND(H227&gt;=$D$1,I227&lt;0,J227&lt;$D$2,G227/F227&gt;=3),"Very serious", AND(H227&gt;=$D$1,I227&lt;0,J227&gt;$D$2,G227/F227&gt;=3),"Very serious", AND(H227&gt;$D$1*-1,H227&lt;$D$1,I227&gt;$D$1*-1,J227&lt;$D$1,G227/F227&lt;3),"Not serious", AND(H227&gt;$D$1*-1,H227&lt;$D$1,OR(I227&lt;=$D$1*-1,J227&gt;=$D$1),I227&gt;$D$2*-1,J227&lt;$D$2,G227/F227&lt;3),"Serious", AND(H227&gt;$D$1*-1,H227&lt;$D$1,OR(I227&lt;=$D$2*-1,J227&gt;=$D$2),G227/F227&lt;3),"Very serious", AND(H227&gt;$D$1*-1,H227&lt;$D$1,I227&gt;$D$1*-1,J227&lt;$D$1,G227/F227&gt;=3),"Very serious", AND(H227&gt;$D$1*-1,H227&lt;$D$1,OR(I227&lt;=$D$1*-1,J227&gt;=$D$1),I227&gt;$D$2*-1,J227&lt;$D$2,G227/F227&gt;=3),"Very serious", AND(H227&gt;$D$1*-1,H227&lt;$D$1,OR(I227&lt;=$D$2*-1,J227&gt;=$D$2),G227/F227&gt;=3),"Very serious")),"")</f>
        <v/>
      </c>
      <c r="R227" s="109" t="str">
        <f t="shared" si="47"/>
        <v/>
      </c>
      <c r="S227" s="64"/>
      <c r="T227" s="72"/>
      <c r="U227" s="72"/>
      <c r="V227" s="72"/>
      <c r="W227" s="73"/>
      <c r="X227" s="73"/>
      <c r="Y227" s="74"/>
      <c r="Z227" s="113" t="str">
        <f t="array" ref="Z227">INDEX($A$1:$C$500, MATCH(1,($B:$B=$B227)*($C:$C=$AB227),0),1)</f>
        <v/>
      </c>
      <c r="AA227" s="113" t="str">
        <f t="array" ref="AA227">INDEX($A$1:$C$500, MATCH(1,($B:$B=$AB227)*($C:$C=$B227),0),1)</f>
        <v/>
      </c>
      <c r="AB227" s="111"/>
      <c r="AC227" s="114" t="str">
        <f t="shared" si="2"/>
        <v/>
      </c>
      <c r="AD227" s="115" t="str">
        <f t="shared" si="3"/>
        <v/>
      </c>
      <c r="AE227" s="116" t="str">
        <f t="array" ref="AE227">INDEX($A$1:$C$500, MATCH(1,($B:$B=$AB227)*($C:$C=$AG227),0),1)</f>
        <v/>
      </c>
      <c r="AF227" s="116" t="str">
        <f t="array" ref="AF227">INDEX($A$1:$C$500, MATCH(1,($B:$B=$AG227)*($C:$C=$AB227),0),1)</f>
        <v/>
      </c>
      <c r="AG227" s="72"/>
      <c r="AH227" s="114" t="str">
        <f t="shared" si="4"/>
        <v/>
      </c>
      <c r="AI227" s="115" t="str">
        <f t="shared" si="5"/>
        <v/>
      </c>
      <c r="AJ227" s="116" t="str">
        <f t="array" ref="AJ227">INDEX($A$1:$C$500, MATCH(1,($B:$B=$C227)*($C:$C=$AG227),0),1)</f>
        <v/>
      </c>
      <c r="AK227" s="116" t="str">
        <f t="array" ref="AK227">INDEX($A$1:$C$500, MATCH(1,($B:$B=$AG227)*($C:$C=$C227),0),1)</f>
        <v/>
      </c>
      <c r="AL227" s="116" t="str">
        <f t="array" ref="AL227">INDEX($A$1:$C$500, MATCH(1,($B:$B=$C227)*($C:$C=$AB227),0),1)</f>
        <v/>
      </c>
      <c r="AM227" s="116" t="str">
        <f t="array" ref="AM227">INDEX($A$1:$C$500, MATCH(1,($B:$B=$AB227)*($C:$C=$C227),0),1)</f>
        <v/>
      </c>
      <c r="AN227" s="114" t="str">
        <f t="array" ref="AN227">IFS(ISNUMBER(AJ227),AJ227,ISNUMBER(AK227),AK227,ISNUMBER(AL227),AL227,ISNUMBER(AM227),AM227)</f>
        <v>#N/A</v>
      </c>
      <c r="AO227" s="115" t="str">
        <f t="shared" si="6"/>
        <v/>
      </c>
      <c r="AP227" s="115" t="str">
        <f t="shared" si="7"/>
        <v/>
      </c>
      <c r="AQ227" s="111"/>
      <c r="AR227" s="109" t="str">
        <f t="shared" si="8"/>
        <v/>
      </c>
      <c r="AS227" s="72" t="str">
        <f>IFERROR(IF(AND(Preferences!B$3="Manual",OR(AX227/AW227&gt;V227/U227,BD227="Serious",BD227="Very serious")),"Assess imprecision",IFERROR(IFS(AND(Preferences!B$3="Automatic",V227/U227&gt;=30),"Extremely serious",AND(W227&lt;=$D$1*-1,Y227&lt;0,V227/U227&lt;3),"Not Serious",AND(W227&lt;=$D$1*-1,Y227&lt;0,V227/U227&gt;=3),"Very serious",AND(W227&gt;=$D$1,X227&gt;0,V227/U227&lt;3),"Not Serious",AND(W227&gt;=$D$1,X227&gt;0,V227/U227&gt;=3),"Very serious",AND(W227&lt;=$D$1*-1,Y227&gt;0,X227&gt;$D$2*-1,V227/U227&lt;3),"Serious", AND(W227&lt;=$D$1*-1,Y227&gt;0,X227&lt;$D$2*-1,V227/U227&lt;3),"Very serious", AND(W227&gt;=$D$1,X227&lt;0,Y227&lt;$D$2,V227/U227&lt;3),"Serious",AND(W227&gt;=$D$1,X227&lt;0,Y227&gt;$D$2,V227/U227&lt;3),"Very serious", AND(W227&lt;=$D$1*-1,Y227&gt;0,X227&gt;$D$2*-1,V227/U227&gt;=3),"Very serious", AND(W227&lt;=$D$1*-1,Y227&gt;0,X227&lt;$D$2*-1,V227/U227&gt;=3),"Very serious", AND(W227&gt;=$D$1,X227&lt;0,Y227&lt;$D$2,V227/U227&gt;=3),"Very serious", AND(W227&gt;=$D$1,X227&lt;0,Y227&gt;$D$2,V227/U227&gt;=3),"Very serious", AND(W227&gt;$D$1*-1,W227&lt;$D$1,X227&gt;$D$1*-1,Y227&lt;$D$1,V227/U227&lt;3),"Not Serious", AND(W227&gt;$D$1*-1,W227&lt;$D$1,OR(X227&lt;=$D$1*-1,Y227&gt;=$D$1),X227&gt;$D$2*-1,Y227&lt;$D$2,V227/U227&lt;3),"Serious", AND(W227&gt;$D$1*-1,W227&lt;$D$1,OR(X227&lt;=$D$2*-1,Y227&gt;=$D$2),V227/U227&lt;3),"Very serious", AND(W227&gt;$D$1*-1,W227&lt;$D$1,X227&gt;$D$1*-1,Y227&lt;$D$1,V227/U227&gt;=3),"Very serious", AND(W227&gt;$D$1*-1,W227&lt;$D$1,OR(X227&lt;=$D$1*-1,Y227&gt;=$D$1),X227&gt;$D$2*-1,Y227&lt;$D$2,V227/U227&gt;=3),"Very serious", AND(W227&gt;$D$1*-1,W227&lt;$D$1,OR(X227&lt;=$D$2*-1,Y227&gt;=$D$2),V227/U227&gt;=3),"Very serious"),"")),"")</f>
        <v/>
      </c>
      <c r="AT227" s="109" t="str">
        <f t="shared" si="9"/>
        <v/>
      </c>
      <c r="AU227" s="64"/>
      <c r="AV227" s="83"/>
      <c r="AW227" s="83"/>
      <c r="AX227" s="83"/>
      <c r="AY227" s="83"/>
      <c r="AZ227" s="83"/>
      <c r="BA227" s="85"/>
      <c r="BB227" s="86" t="str">
        <f>IF(Preferences!B$9="Manual","",IFS(ISBLANK(B227),"",AND(ISNUMBER(E227)=TRUE,ISNUMBER(T227)=FALSE),"Direct", AND(ISNUMBER(E227)=FALSE,ISNUMBER(T227)=TRUE),"Indirect", CN227=4,"Direct",AND(CL227=FALSE, CM227=TRUE,CN227-CO227&gt;-1),"Direct", AND(CL227=FALSE,CM227=TRUE, CN227-CO227&lt;0),"Check algorithm in appendix 2", AND(CL227=TRUE, CM227=FALSE,CN227-CO227&gt;0),"Check algorithm in appendix 2", AND(CL227=TRUE, CM227=FALSE,CN227-CO227=0),"Indirect", AND(CL227=TRUE, CM227=FALSE,CN227-CO227&lt;0),"Indirect", AND(CL227=FALSE,CM227=FALSE,CN227-CO227&gt;-1),"Direct", AND(CL227=FALSE,CM227=FALSE,CN227-CO227&lt;0),"Check algorithm in appendix 2", AND(CL227=TRUE,CM227=TRUE,CN227-CO227&gt;-1),"Direct", AND(CL227=TRUE,CM227=TRUE,CN227-CO227&lt;0),"Check algorithm in appendix 2"))</f>
        <v/>
      </c>
      <c r="BC227" s="120" t="str">
        <f t="shared" si="10"/>
        <v/>
      </c>
      <c r="BD227" s="140"/>
      <c r="BE227" s="122" t="str">
        <f>IF(Preferences!B$3="Manual","", IFERROR(IFS(AND(Preferences!B$3="Automatic",AX227/AW227&gt;=30),"Extremely serious",AND(AY227&lt;=$D$1*-1,BA227&lt;0,AX227/AW227&lt;3),"Not Serious",AND(AY227&lt;=$D$1*-1,BA227&lt;0,AX227/AW227&gt;=3),"Very serious",AND(AY227&gt;=$D$1,AZ227&gt;0,AX227/AW227&lt;3),"Not Serious",AND(AY227&gt;=$D$1,AZ227&gt;0,AX227/AW227&gt;=3),"Very serious",AND(AY227&lt;=$D$1*-1,BA227&gt;0,AZ227&gt;$D$2*-1,AX227/AW227&lt;3),"Serious", AND(AY227&lt;=$D$1*-1,BA227&gt;0,AZ227&lt;$D$2*-1,AX227/AW227&lt;3),"Very serious", AND(AY227&gt;=$D$1,AZ227&lt;0,BA227&lt;$D$2,AX227/AW227&lt;3),"Serious",AND(AY227&gt;=$D$1,AZ227&lt;0,BA227&gt;$D$2,AX227/AW227&lt;3),"Very serious", AND(AY227&lt;=$D$1*-1,BA227&gt;0,AZ227&gt;$D$2*-1,AX227/AW227&gt;=3),"Very serious", AND(AY227&lt;=$D$1*-1,BA227&gt;0,AZ227&lt;$D$2*-1,AX227/AW227&gt;=3),"Very serious", AND(AY227&gt;=$D$1,AZ227&lt;0,BA227&lt;$D$2,AX227/AW227&gt;=3),"Very serious", AND(AY227&gt;=$D$1,AZ227&lt;0,BA227&gt;$D$2,AX227/AW227&gt;=3),"Very serious", AND(AY227&gt;$D$1*-1,AY227&lt;$D$1,AZ227&gt;$D$1*-1,BA227&lt;$D$1,AX227/AW227&lt;3),"Not Serious", AND(AY227&gt;$D$1*-1,AY227&lt;$D$1,OR(AZ227&lt;=$D$1*-1,BA227&gt;=$D$1),AZ227&gt;$D$2*-1,BA227&lt;$D$2,AX227/AW227&lt;3),"Serious", AND(AY227&gt;$D$1*-1,AY227&lt;$D$1,OR(AZ227&lt;=$D$2*-1,BA227&gt;=$D$2),AX227/AW227&lt;3),"Very serious", AND(AY227&gt;$D$1*-1,AY227&lt;$D$1,AZ227&gt;$D$1*-1,BA227&lt;$D$1,AX227/AW227&gt;=3),"Very serious", AND(AY227&gt;$D$1*-1,AY227&lt;$D$1,OR(AZ227&lt;=$D$1*-1,BA227&gt;=$D$1),AZ227&gt;$D$2*-1,BA227&lt;$D$2,AX227/AW227&gt;=3),"Very serious", AND(AY227&gt;$D$1*-1,AY227&lt;$D$1,OR(AZ227&lt;=$D$2*-1,BA227&gt;=$D$2),AX227/AW227&gt;=3),"Very serious"),""))</f>
        <v/>
      </c>
      <c r="BF227" s="107" t="str">
        <f t="shared" si="11"/>
        <v/>
      </c>
      <c r="BG227" s="94" t="str">
        <f t="shared" si="46"/>
        <v/>
      </c>
      <c r="BH227" s="64" t="str">
        <f t="shared" si="12"/>
        <v>#N/A</v>
      </c>
      <c r="BI227" s="64" t="str">
        <f t="shared" si="13"/>
        <v/>
      </c>
      <c r="BJ227" s="123" t="str">
        <f t="shared" si="14"/>
        <v>#N/A</v>
      </c>
      <c r="BK227" s="64" t="str">
        <f t="shared" si="50"/>
        <v>YES</v>
      </c>
      <c r="BL227" s="64" t="str">
        <f t="shared" si="16"/>
        <v>YES</v>
      </c>
      <c r="BM227" s="64" t="str">
        <f t="shared" si="17"/>
        <v>YES</v>
      </c>
      <c r="BN227" s="124" t="str">
        <f t="shared" si="18"/>
        <v/>
      </c>
      <c r="BO227" s="91" t="str">
        <f t="shared" si="19"/>
        <v/>
      </c>
      <c r="BP227" s="91" t="str">
        <f t="shared" si="20"/>
        <v>#N/A</v>
      </c>
      <c r="BQ227" s="91" t="str">
        <f t="shared" si="21"/>
        <v/>
      </c>
      <c r="BR227" s="93" t="str">
        <f t="shared" si="22"/>
        <v/>
      </c>
      <c r="BS227" s="90" t="str">
        <f t="shared" si="23"/>
        <v/>
      </c>
      <c r="BT227" s="93" t="str">
        <f t="shared" si="24"/>
        <v>NA</v>
      </c>
      <c r="BU227" s="125" t="str">
        <f t="shared" si="25"/>
        <v>#N/A</v>
      </c>
      <c r="BV227" s="93" t="str">
        <f t="shared" si="26"/>
        <v/>
      </c>
      <c r="BW227" s="93" t="str">
        <f t="shared" si="27"/>
        <v/>
      </c>
      <c r="BX227" s="93" t="str">
        <f t="shared" si="28"/>
        <v>NA</v>
      </c>
      <c r="BY227" s="95" t="str">
        <f t="shared" si="29"/>
        <v>#N/A</v>
      </c>
      <c r="BZ227" s="93" t="str">
        <f t="shared" si="30"/>
        <v/>
      </c>
      <c r="CA227" s="93" t="str">
        <f t="shared" si="31"/>
        <v/>
      </c>
      <c r="CB227" s="93" t="str">
        <f t="shared" si="32"/>
        <v>NA</v>
      </c>
      <c r="CC227" s="96" t="str">
        <f t="shared" si="33"/>
        <v>#N/A</v>
      </c>
      <c r="CD227" s="93" t="str">
        <f t="shared" si="34"/>
        <v/>
      </c>
      <c r="CE227" s="93" t="str">
        <f t="shared" si="35"/>
        <v/>
      </c>
      <c r="CF227" s="93" t="str">
        <f t="shared" si="36"/>
        <v>NA</v>
      </c>
      <c r="CG227" s="97" t="str">
        <f t="shared" si="37"/>
        <v>#N/A</v>
      </c>
      <c r="CH227" s="98" t="str">
        <f t="shared" si="38"/>
        <v>#N/A</v>
      </c>
      <c r="CI227" s="99" t="str">
        <f t="shared" si="39"/>
        <v>#N/A</v>
      </c>
      <c r="CJ227" s="126" t="str">
        <f t="shared" si="40"/>
        <v>ERROR: check cell</v>
      </c>
      <c r="CK227" s="126"/>
      <c r="CL227" s="127" t="str">
        <f t="shared" si="41"/>
        <v>#DIV/0!</v>
      </c>
      <c r="CM227" s="128" t="str">
        <f t="shared" si="42"/>
        <v>#DIV/0!</v>
      </c>
      <c r="CN227" s="128">
        <f t="shared" si="43"/>
        <v>4</v>
      </c>
      <c r="CO227" s="129">
        <f t="shared" si="44"/>
        <v>4</v>
      </c>
      <c r="CP227" s="129" t="str">
        <f>IFS(C227=Preferences!B$13,B227,B227=Preferences!B$13,C227)</f>
        <v>#N/A</v>
      </c>
    </row>
    <row r="228" ht="13.5" customHeight="1">
      <c r="A228" s="63" t="str">
        <f t="shared" si="45"/>
        <v/>
      </c>
      <c r="B228" s="64"/>
      <c r="C228" s="64"/>
      <c r="D228" s="64"/>
      <c r="E228" s="65"/>
      <c r="F228" s="65"/>
      <c r="G228" s="65"/>
      <c r="H228" s="66"/>
      <c r="I228" s="66"/>
      <c r="J228" s="67"/>
      <c r="K228" s="68"/>
      <c r="L228" s="104"/>
      <c r="M228" s="104"/>
      <c r="N228" s="104"/>
      <c r="O228" s="104"/>
      <c r="P228" s="107" t="str">
        <f t="shared" si="1"/>
        <v/>
      </c>
      <c r="Q228" s="108" t="str">
        <f>IFERROR(IF(AND(Preferences!B$3="Manual",OR(AX228/AW228&gt;G228/F228,BD228="Serious",BD228="Very serious")),"Assess imprecision",IFS(ISBLANK(E228),"",AND(Preferences!B$3="Automatic", G228/F228&gt;=30),"Extremely serious",AND(H228&lt;=$D$1*-1,J228&lt;0,G228/F228&lt;3),"Not serious",AND(H228&lt;=$D$1*-1,J228&lt;0,G228/F228&gt;=3),"Very serious",AND(H228&gt;=$D$1,I228&gt;0,G228/F228&lt;3),"Not serious",AND(H228&gt;=$D$1,I228&gt;0,G228/F228&gt;=3),"Very serious",AND(H228&lt;=$D$1*-1,J228&gt;0,I228&gt;$D$2*-1,G228/F228&lt;3),"Serious", AND(H228&lt;=$D$1*-1,J228&gt;0,I228&lt;$D$2*-1,G228/F228&lt;3),"Very serious", AND(H228&gt;=$D$1,I228&lt;0,J228&lt;$D$2,G228/F228&lt;3),"Serious",AND(H228&gt;=$D$1,I228&lt;0,J228&gt;$D$2,G228/F228&lt;3),"Very serious", AND(H228&lt;=$D$1*-1,J228&gt;0,I228&gt;$D$2*-1,G228/F228&gt;=3),"Very serious", AND(H228&lt;=$D$1*-1,J228&gt;0,I228&lt;$D$2*-1,G228/F228&gt;=3),"Very serious", AND(H228&gt;=$D$1,I228&lt;0,J228&lt;$D$2,G228/F228&gt;=3),"Very serious", AND(H228&gt;=$D$1,I228&lt;0,J228&gt;$D$2,G228/F228&gt;=3),"Very serious", AND(H228&gt;$D$1*-1,H228&lt;$D$1,I228&gt;$D$1*-1,J228&lt;$D$1,G228/F228&lt;3),"Not serious", AND(H228&gt;$D$1*-1,H228&lt;$D$1,OR(I228&lt;=$D$1*-1,J228&gt;=$D$1),I228&gt;$D$2*-1,J228&lt;$D$2,G228/F228&lt;3),"Serious", AND(H228&gt;$D$1*-1,H228&lt;$D$1,OR(I228&lt;=$D$2*-1,J228&gt;=$D$2),G228/F228&lt;3),"Very serious", AND(H228&gt;$D$1*-1,H228&lt;$D$1,I228&gt;$D$1*-1,J228&lt;$D$1,G228/F228&gt;=3),"Very serious", AND(H228&gt;$D$1*-1,H228&lt;$D$1,OR(I228&lt;=$D$1*-1,J228&gt;=$D$1),I228&gt;$D$2*-1,J228&lt;$D$2,G228/F228&gt;=3),"Very serious", AND(H228&gt;$D$1*-1,H228&lt;$D$1,OR(I228&lt;=$D$2*-1,J228&gt;=$D$2),G228/F228&gt;=3),"Very serious")),"")</f>
        <v/>
      </c>
      <c r="R228" s="109" t="str">
        <f t="shared" si="47"/>
        <v/>
      </c>
      <c r="S228" s="64"/>
      <c r="T228" s="72"/>
      <c r="U228" s="72"/>
      <c r="V228" s="72"/>
      <c r="W228" s="73"/>
      <c r="X228" s="73"/>
      <c r="Y228" s="74"/>
      <c r="Z228" s="113" t="str">
        <f t="array" ref="Z228">INDEX($A$1:$C$500, MATCH(1,($B:$B=$B228)*($C:$C=$AB228),0),1)</f>
        <v/>
      </c>
      <c r="AA228" s="113" t="str">
        <f t="array" ref="AA228">INDEX($A$1:$C$500, MATCH(1,($B:$B=$AB228)*($C:$C=$B228),0),1)</f>
        <v/>
      </c>
      <c r="AB228" s="111"/>
      <c r="AC228" s="114" t="str">
        <f t="shared" si="2"/>
        <v/>
      </c>
      <c r="AD228" s="115" t="str">
        <f t="shared" si="3"/>
        <v/>
      </c>
      <c r="AE228" s="116" t="str">
        <f t="array" ref="AE228">INDEX($A$1:$C$500, MATCH(1,($B:$B=$AB228)*($C:$C=$AG228),0),1)</f>
        <v/>
      </c>
      <c r="AF228" s="116" t="str">
        <f t="array" ref="AF228">INDEX($A$1:$C$500, MATCH(1,($B:$B=$AG228)*($C:$C=$AB228),0),1)</f>
        <v/>
      </c>
      <c r="AG228" s="72"/>
      <c r="AH228" s="114" t="str">
        <f t="shared" si="4"/>
        <v/>
      </c>
      <c r="AI228" s="115" t="str">
        <f t="shared" si="5"/>
        <v/>
      </c>
      <c r="AJ228" s="116" t="str">
        <f t="array" ref="AJ228">INDEX($A$1:$C$500, MATCH(1,($B:$B=$C228)*($C:$C=$AG228),0),1)</f>
        <v/>
      </c>
      <c r="AK228" s="116" t="str">
        <f t="array" ref="AK228">INDEX($A$1:$C$500, MATCH(1,($B:$B=$AG228)*($C:$C=$C228),0),1)</f>
        <v/>
      </c>
      <c r="AL228" s="116" t="str">
        <f t="array" ref="AL228">INDEX($A$1:$C$500, MATCH(1,($B:$B=$C228)*($C:$C=$AB228),0),1)</f>
        <v/>
      </c>
      <c r="AM228" s="116" t="str">
        <f t="array" ref="AM228">INDEX($A$1:$C$500, MATCH(1,($B:$B=$AB228)*($C:$C=$C228),0),1)</f>
        <v/>
      </c>
      <c r="AN228" s="114" t="str">
        <f t="array" ref="AN228">IFS(ISNUMBER(AJ228),AJ228,ISNUMBER(AK228),AK228,ISNUMBER(AL228),AL228,ISNUMBER(AM228),AM228)</f>
        <v>#N/A</v>
      </c>
      <c r="AO228" s="115" t="str">
        <f t="shared" si="6"/>
        <v/>
      </c>
      <c r="AP228" s="115" t="str">
        <f t="shared" si="7"/>
        <v/>
      </c>
      <c r="AQ228" s="111"/>
      <c r="AR228" s="109" t="str">
        <f t="shared" si="8"/>
        <v/>
      </c>
      <c r="AS228" s="72" t="str">
        <f>IFERROR(IF(AND(Preferences!B$3="Manual",OR(AX228/AW228&gt;V228/U228,BD228="Serious",BD228="Very serious")),"Assess imprecision",IFERROR(IFS(AND(Preferences!B$3="Automatic",V228/U228&gt;=30),"Extremely serious",AND(W228&lt;=$D$1*-1,Y228&lt;0,V228/U228&lt;3),"Not Serious",AND(W228&lt;=$D$1*-1,Y228&lt;0,V228/U228&gt;=3),"Very serious",AND(W228&gt;=$D$1,X228&gt;0,V228/U228&lt;3),"Not Serious",AND(W228&gt;=$D$1,X228&gt;0,V228/U228&gt;=3),"Very serious",AND(W228&lt;=$D$1*-1,Y228&gt;0,X228&gt;$D$2*-1,V228/U228&lt;3),"Serious", AND(W228&lt;=$D$1*-1,Y228&gt;0,X228&lt;$D$2*-1,V228/U228&lt;3),"Very serious", AND(W228&gt;=$D$1,X228&lt;0,Y228&lt;$D$2,V228/U228&lt;3),"Serious",AND(W228&gt;=$D$1,X228&lt;0,Y228&gt;$D$2,V228/U228&lt;3),"Very serious", AND(W228&lt;=$D$1*-1,Y228&gt;0,X228&gt;$D$2*-1,V228/U228&gt;=3),"Very serious", AND(W228&lt;=$D$1*-1,Y228&gt;0,X228&lt;$D$2*-1,V228/U228&gt;=3),"Very serious", AND(W228&gt;=$D$1,X228&lt;0,Y228&lt;$D$2,V228/U228&gt;=3),"Very serious", AND(W228&gt;=$D$1,X228&lt;0,Y228&gt;$D$2,V228/U228&gt;=3),"Very serious", AND(W228&gt;$D$1*-1,W228&lt;$D$1,X228&gt;$D$1*-1,Y228&lt;$D$1,V228/U228&lt;3),"Not Serious", AND(W228&gt;$D$1*-1,W228&lt;$D$1,OR(X228&lt;=$D$1*-1,Y228&gt;=$D$1),X228&gt;$D$2*-1,Y228&lt;$D$2,V228/U228&lt;3),"Serious", AND(W228&gt;$D$1*-1,W228&lt;$D$1,OR(X228&lt;=$D$2*-1,Y228&gt;=$D$2),V228/U228&lt;3),"Very serious", AND(W228&gt;$D$1*-1,W228&lt;$D$1,X228&gt;$D$1*-1,Y228&lt;$D$1,V228/U228&gt;=3),"Very serious", AND(W228&gt;$D$1*-1,W228&lt;$D$1,OR(X228&lt;=$D$1*-1,Y228&gt;=$D$1),X228&gt;$D$2*-1,Y228&lt;$D$2,V228/U228&gt;=3),"Very serious", AND(W228&gt;$D$1*-1,W228&lt;$D$1,OR(X228&lt;=$D$2*-1,Y228&gt;=$D$2),V228/U228&gt;=3),"Very serious"),"")),"")</f>
        <v/>
      </c>
      <c r="AT228" s="109" t="str">
        <f t="shared" si="9"/>
        <v/>
      </c>
      <c r="AU228" s="64"/>
      <c r="AV228" s="83"/>
      <c r="AW228" s="83"/>
      <c r="AX228" s="83"/>
      <c r="AY228" s="83"/>
      <c r="AZ228" s="83"/>
      <c r="BA228" s="85"/>
      <c r="BB228" s="86" t="str">
        <f>IF(Preferences!B$9="Manual","",IFS(ISBLANK(B228),"",AND(ISNUMBER(E228)=TRUE,ISNUMBER(T228)=FALSE),"Direct", AND(ISNUMBER(E228)=FALSE,ISNUMBER(T228)=TRUE),"Indirect", CN228=4,"Direct",AND(CL228=FALSE, CM228=TRUE,CN228-CO228&gt;-1),"Direct", AND(CL228=FALSE,CM228=TRUE, CN228-CO228&lt;0),"Check algorithm in appendix 2", AND(CL228=TRUE, CM228=FALSE,CN228-CO228&gt;0),"Check algorithm in appendix 2", AND(CL228=TRUE, CM228=FALSE,CN228-CO228=0),"Indirect", AND(CL228=TRUE, CM228=FALSE,CN228-CO228&lt;0),"Indirect", AND(CL228=FALSE,CM228=FALSE,CN228-CO228&gt;-1),"Direct", AND(CL228=FALSE,CM228=FALSE,CN228-CO228&lt;0),"Check algorithm in appendix 2", AND(CL228=TRUE,CM228=TRUE,CN228-CO228&gt;-1),"Direct", AND(CL228=TRUE,CM228=TRUE,CN228-CO228&lt;0),"Check algorithm in appendix 2"))</f>
        <v/>
      </c>
      <c r="BC228" s="120" t="str">
        <f t="shared" si="10"/>
        <v/>
      </c>
      <c r="BD228" s="140"/>
      <c r="BE228" s="122" t="str">
        <f>IF(Preferences!B$3="Manual","", IFERROR(IFS(AND(Preferences!B$3="Automatic",AX228/AW228&gt;=30),"Extremely serious",AND(AY228&lt;=$D$1*-1,BA228&lt;0,AX228/AW228&lt;3),"Not Serious",AND(AY228&lt;=$D$1*-1,BA228&lt;0,AX228/AW228&gt;=3),"Very serious",AND(AY228&gt;=$D$1,AZ228&gt;0,AX228/AW228&lt;3),"Not Serious",AND(AY228&gt;=$D$1,AZ228&gt;0,AX228/AW228&gt;=3),"Very serious",AND(AY228&lt;=$D$1*-1,BA228&gt;0,AZ228&gt;$D$2*-1,AX228/AW228&lt;3),"Serious", AND(AY228&lt;=$D$1*-1,BA228&gt;0,AZ228&lt;$D$2*-1,AX228/AW228&lt;3),"Very serious", AND(AY228&gt;=$D$1,AZ228&lt;0,BA228&lt;$D$2,AX228/AW228&lt;3),"Serious",AND(AY228&gt;=$D$1,AZ228&lt;0,BA228&gt;$D$2,AX228/AW228&lt;3),"Very serious", AND(AY228&lt;=$D$1*-1,BA228&gt;0,AZ228&gt;$D$2*-1,AX228/AW228&gt;=3),"Very serious", AND(AY228&lt;=$D$1*-1,BA228&gt;0,AZ228&lt;$D$2*-1,AX228/AW228&gt;=3),"Very serious", AND(AY228&gt;=$D$1,AZ228&lt;0,BA228&lt;$D$2,AX228/AW228&gt;=3),"Very serious", AND(AY228&gt;=$D$1,AZ228&lt;0,BA228&gt;$D$2,AX228/AW228&gt;=3),"Very serious", AND(AY228&gt;$D$1*-1,AY228&lt;$D$1,AZ228&gt;$D$1*-1,BA228&lt;$D$1,AX228/AW228&lt;3),"Not Serious", AND(AY228&gt;$D$1*-1,AY228&lt;$D$1,OR(AZ228&lt;=$D$1*-1,BA228&gt;=$D$1),AZ228&gt;$D$2*-1,BA228&lt;$D$2,AX228/AW228&lt;3),"Serious", AND(AY228&gt;$D$1*-1,AY228&lt;$D$1,OR(AZ228&lt;=$D$2*-1,BA228&gt;=$D$2),AX228/AW228&lt;3),"Very serious", AND(AY228&gt;$D$1*-1,AY228&lt;$D$1,AZ228&gt;$D$1*-1,BA228&lt;$D$1,AX228/AW228&gt;=3),"Very serious", AND(AY228&gt;$D$1*-1,AY228&lt;$D$1,OR(AZ228&lt;=$D$1*-1,BA228&gt;=$D$1),AZ228&gt;$D$2*-1,BA228&lt;$D$2,AX228/AW228&gt;=3),"Very serious", AND(AY228&gt;$D$1*-1,AY228&lt;$D$1,OR(AZ228&lt;=$D$2*-1,BA228&gt;=$D$2),AX228/AW228&gt;=3),"Very serious"),""))</f>
        <v/>
      </c>
      <c r="BF228" s="107" t="str">
        <f t="shared" si="11"/>
        <v/>
      </c>
      <c r="BG228" s="94" t="str">
        <f t="shared" si="46"/>
        <v/>
      </c>
      <c r="BH228" s="64" t="str">
        <f t="shared" si="12"/>
        <v>#N/A</v>
      </c>
      <c r="BI228" s="64" t="str">
        <f t="shared" si="13"/>
        <v/>
      </c>
      <c r="BJ228" s="123" t="str">
        <f t="shared" si="14"/>
        <v>#N/A</v>
      </c>
      <c r="BK228" s="64" t="str">
        <f t="shared" si="50"/>
        <v>YES</v>
      </c>
      <c r="BL228" s="64" t="str">
        <f t="shared" si="16"/>
        <v>YES</v>
      </c>
      <c r="BM228" s="64" t="str">
        <f t="shared" si="17"/>
        <v>YES</v>
      </c>
      <c r="BN228" s="124" t="str">
        <f t="shared" si="18"/>
        <v/>
      </c>
      <c r="BO228" s="91" t="str">
        <f t="shared" si="19"/>
        <v/>
      </c>
      <c r="BP228" s="91" t="str">
        <f t="shared" si="20"/>
        <v>#N/A</v>
      </c>
      <c r="BQ228" s="91" t="str">
        <f t="shared" si="21"/>
        <v/>
      </c>
      <c r="BR228" s="93" t="str">
        <f t="shared" si="22"/>
        <v/>
      </c>
      <c r="BS228" s="90" t="str">
        <f t="shared" si="23"/>
        <v/>
      </c>
      <c r="BT228" s="93" t="str">
        <f t="shared" si="24"/>
        <v>NA</v>
      </c>
      <c r="BU228" s="125" t="str">
        <f t="shared" si="25"/>
        <v>#N/A</v>
      </c>
      <c r="BV228" s="93" t="str">
        <f t="shared" si="26"/>
        <v/>
      </c>
      <c r="BW228" s="93" t="str">
        <f t="shared" si="27"/>
        <v/>
      </c>
      <c r="BX228" s="93" t="str">
        <f t="shared" si="28"/>
        <v>NA</v>
      </c>
      <c r="BY228" s="95" t="str">
        <f t="shared" si="29"/>
        <v>#N/A</v>
      </c>
      <c r="BZ228" s="93" t="str">
        <f t="shared" si="30"/>
        <v/>
      </c>
      <c r="CA228" s="93" t="str">
        <f t="shared" si="31"/>
        <v/>
      </c>
      <c r="CB228" s="93" t="str">
        <f t="shared" si="32"/>
        <v>NA</v>
      </c>
      <c r="CC228" s="96" t="str">
        <f t="shared" si="33"/>
        <v>#N/A</v>
      </c>
      <c r="CD228" s="93" t="str">
        <f t="shared" si="34"/>
        <v/>
      </c>
      <c r="CE228" s="93" t="str">
        <f t="shared" si="35"/>
        <v/>
      </c>
      <c r="CF228" s="93" t="str">
        <f t="shared" si="36"/>
        <v>NA</v>
      </c>
      <c r="CG228" s="97" t="str">
        <f t="shared" si="37"/>
        <v>#N/A</v>
      </c>
      <c r="CH228" s="98" t="str">
        <f t="shared" si="38"/>
        <v>#N/A</v>
      </c>
      <c r="CI228" s="99" t="str">
        <f t="shared" si="39"/>
        <v>#N/A</v>
      </c>
      <c r="CJ228" s="126" t="str">
        <f t="shared" si="40"/>
        <v>ERROR: check cell</v>
      </c>
      <c r="CK228" s="126"/>
      <c r="CL228" s="127" t="str">
        <f t="shared" si="41"/>
        <v>#DIV/0!</v>
      </c>
      <c r="CM228" s="128" t="str">
        <f t="shared" si="42"/>
        <v>#DIV/0!</v>
      </c>
      <c r="CN228" s="128">
        <f t="shared" si="43"/>
        <v>4</v>
      </c>
      <c r="CO228" s="129">
        <f t="shared" si="44"/>
        <v>4</v>
      </c>
      <c r="CP228" s="129" t="str">
        <f>IFS(C228=Preferences!B$13,B228,B228=Preferences!B$13,C228)</f>
        <v>#N/A</v>
      </c>
    </row>
    <row r="229" ht="13.5" customHeight="1">
      <c r="A229" s="63" t="str">
        <f t="shared" si="45"/>
        <v/>
      </c>
      <c r="B229" s="64"/>
      <c r="C229" s="64"/>
      <c r="D229" s="64"/>
      <c r="E229" s="65"/>
      <c r="F229" s="65"/>
      <c r="G229" s="65"/>
      <c r="H229" s="66"/>
      <c r="I229" s="66"/>
      <c r="J229" s="67"/>
      <c r="K229" s="68"/>
      <c r="L229" s="104"/>
      <c r="M229" s="104"/>
      <c r="N229" s="104"/>
      <c r="O229" s="104"/>
      <c r="P229" s="107" t="str">
        <f t="shared" si="1"/>
        <v/>
      </c>
      <c r="Q229" s="108" t="str">
        <f>IFERROR(IF(AND(Preferences!B$3="Manual",OR(AX229/AW229&gt;G229/F229,BD229="Serious",BD229="Very serious")),"Assess imprecision",IFS(ISBLANK(E229),"",AND(Preferences!B$3="Automatic", G229/F229&gt;=30),"Extremely serious",AND(H229&lt;=$D$1*-1,J229&lt;0,G229/F229&lt;3),"Not serious",AND(H229&lt;=$D$1*-1,J229&lt;0,G229/F229&gt;=3),"Very serious",AND(H229&gt;=$D$1,I229&gt;0,G229/F229&lt;3),"Not serious",AND(H229&gt;=$D$1,I229&gt;0,G229/F229&gt;=3),"Very serious",AND(H229&lt;=$D$1*-1,J229&gt;0,I229&gt;$D$2*-1,G229/F229&lt;3),"Serious", AND(H229&lt;=$D$1*-1,J229&gt;0,I229&lt;$D$2*-1,G229/F229&lt;3),"Very serious", AND(H229&gt;=$D$1,I229&lt;0,J229&lt;$D$2,G229/F229&lt;3),"Serious",AND(H229&gt;=$D$1,I229&lt;0,J229&gt;$D$2,G229/F229&lt;3),"Very serious", AND(H229&lt;=$D$1*-1,J229&gt;0,I229&gt;$D$2*-1,G229/F229&gt;=3),"Very serious", AND(H229&lt;=$D$1*-1,J229&gt;0,I229&lt;$D$2*-1,G229/F229&gt;=3),"Very serious", AND(H229&gt;=$D$1,I229&lt;0,J229&lt;$D$2,G229/F229&gt;=3),"Very serious", AND(H229&gt;=$D$1,I229&lt;0,J229&gt;$D$2,G229/F229&gt;=3),"Very serious", AND(H229&gt;$D$1*-1,H229&lt;$D$1,I229&gt;$D$1*-1,J229&lt;$D$1,G229/F229&lt;3),"Not serious", AND(H229&gt;$D$1*-1,H229&lt;$D$1,OR(I229&lt;=$D$1*-1,J229&gt;=$D$1),I229&gt;$D$2*-1,J229&lt;$D$2,G229/F229&lt;3),"Serious", AND(H229&gt;$D$1*-1,H229&lt;$D$1,OR(I229&lt;=$D$2*-1,J229&gt;=$D$2),G229/F229&lt;3),"Very serious", AND(H229&gt;$D$1*-1,H229&lt;$D$1,I229&gt;$D$1*-1,J229&lt;$D$1,G229/F229&gt;=3),"Very serious", AND(H229&gt;$D$1*-1,H229&lt;$D$1,OR(I229&lt;=$D$1*-1,J229&gt;=$D$1),I229&gt;$D$2*-1,J229&lt;$D$2,G229/F229&gt;=3),"Very serious", AND(H229&gt;$D$1*-1,H229&lt;$D$1,OR(I229&lt;=$D$2*-1,J229&gt;=$D$2),G229/F229&gt;=3),"Very serious")),"")</f>
        <v/>
      </c>
      <c r="R229" s="109" t="str">
        <f t="shared" si="47"/>
        <v/>
      </c>
      <c r="S229" s="64"/>
      <c r="T229" s="72"/>
      <c r="U229" s="72"/>
      <c r="V229" s="72"/>
      <c r="W229" s="73"/>
      <c r="X229" s="73"/>
      <c r="Y229" s="74"/>
      <c r="Z229" s="113" t="str">
        <f t="array" ref="Z229">INDEX($A$1:$C$500, MATCH(1,($B:$B=$B229)*($C:$C=$AB229),0),1)</f>
        <v/>
      </c>
      <c r="AA229" s="113" t="str">
        <f t="array" ref="AA229">INDEX($A$1:$C$500, MATCH(1,($B:$B=$AB229)*($C:$C=$B229),0),1)</f>
        <v/>
      </c>
      <c r="AB229" s="111"/>
      <c r="AC229" s="114" t="str">
        <f t="shared" si="2"/>
        <v/>
      </c>
      <c r="AD229" s="115" t="str">
        <f t="shared" si="3"/>
        <v/>
      </c>
      <c r="AE229" s="116" t="str">
        <f t="array" ref="AE229">INDEX($A$1:$C$500, MATCH(1,($B:$B=$AB229)*($C:$C=$AG229),0),1)</f>
        <v/>
      </c>
      <c r="AF229" s="116" t="str">
        <f t="array" ref="AF229">INDEX($A$1:$C$500, MATCH(1,($B:$B=$AG229)*($C:$C=$AB229),0),1)</f>
        <v/>
      </c>
      <c r="AG229" s="72"/>
      <c r="AH229" s="114" t="str">
        <f t="shared" si="4"/>
        <v/>
      </c>
      <c r="AI229" s="115" t="str">
        <f t="shared" si="5"/>
        <v/>
      </c>
      <c r="AJ229" s="116" t="str">
        <f t="array" ref="AJ229">INDEX($A$1:$C$500, MATCH(1,($B:$B=$C229)*($C:$C=$AG229),0),1)</f>
        <v/>
      </c>
      <c r="AK229" s="116" t="str">
        <f t="array" ref="AK229">INDEX($A$1:$C$500, MATCH(1,($B:$B=$AG229)*($C:$C=$C229),0),1)</f>
        <v/>
      </c>
      <c r="AL229" s="116" t="str">
        <f t="array" ref="AL229">INDEX($A$1:$C$500, MATCH(1,($B:$B=$C229)*($C:$C=$AB229),0),1)</f>
        <v/>
      </c>
      <c r="AM229" s="116" t="str">
        <f t="array" ref="AM229">INDEX($A$1:$C$500, MATCH(1,($B:$B=$AB229)*($C:$C=$C229),0),1)</f>
        <v/>
      </c>
      <c r="AN229" s="114" t="str">
        <f t="array" ref="AN229">IFS(ISNUMBER(AJ229),AJ229,ISNUMBER(AK229),AK229,ISNUMBER(AL229),AL229,ISNUMBER(AM229),AM229)</f>
        <v>#N/A</v>
      </c>
      <c r="AO229" s="115" t="str">
        <f t="shared" si="6"/>
        <v/>
      </c>
      <c r="AP229" s="115" t="str">
        <f t="shared" si="7"/>
        <v/>
      </c>
      <c r="AQ229" s="111"/>
      <c r="AR229" s="109" t="str">
        <f t="shared" si="8"/>
        <v/>
      </c>
      <c r="AS229" s="72" t="str">
        <f>IFERROR(IF(AND(Preferences!B$3="Manual",OR(AX229/AW229&gt;V229/U229,BD229="Serious",BD229="Very serious")),"Assess imprecision",IFERROR(IFS(AND(Preferences!B$3="Automatic",V229/U229&gt;=30),"Extremely serious",AND(W229&lt;=$D$1*-1,Y229&lt;0,V229/U229&lt;3),"Not Serious",AND(W229&lt;=$D$1*-1,Y229&lt;0,V229/U229&gt;=3),"Very serious",AND(W229&gt;=$D$1,X229&gt;0,V229/U229&lt;3),"Not Serious",AND(W229&gt;=$D$1,X229&gt;0,V229/U229&gt;=3),"Very serious",AND(W229&lt;=$D$1*-1,Y229&gt;0,X229&gt;$D$2*-1,V229/U229&lt;3),"Serious", AND(W229&lt;=$D$1*-1,Y229&gt;0,X229&lt;$D$2*-1,V229/U229&lt;3),"Very serious", AND(W229&gt;=$D$1,X229&lt;0,Y229&lt;$D$2,V229/U229&lt;3),"Serious",AND(W229&gt;=$D$1,X229&lt;0,Y229&gt;$D$2,V229/U229&lt;3),"Very serious", AND(W229&lt;=$D$1*-1,Y229&gt;0,X229&gt;$D$2*-1,V229/U229&gt;=3),"Very serious", AND(W229&lt;=$D$1*-1,Y229&gt;0,X229&lt;$D$2*-1,V229/U229&gt;=3),"Very serious", AND(W229&gt;=$D$1,X229&lt;0,Y229&lt;$D$2,V229/U229&gt;=3),"Very serious", AND(W229&gt;=$D$1,X229&lt;0,Y229&gt;$D$2,V229/U229&gt;=3),"Very serious", AND(W229&gt;$D$1*-1,W229&lt;$D$1,X229&gt;$D$1*-1,Y229&lt;$D$1,V229/U229&lt;3),"Not Serious", AND(W229&gt;$D$1*-1,W229&lt;$D$1,OR(X229&lt;=$D$1*-1,Y229&gt;=$D$1),X229&gt;$D$2*-1,Y229&lt;$D$2,V229/U229&lt;3),"Serious", AND(W229&gt;$D$1*-1,W229&lt;$D$1,OR(X229&lt;=$D$2*-1,Y229&gt;=$D$2),V229/U229&lt;3),"Very serious", AND(W229&gt;$D$1*-1,W229&lt;$D$1,X229&gt;$D$1*-1,Y229&lt;$D$1,V229/U229&gt;=3),"Very serious", AND(W229&gt;$D$1*-1,W229&lt;$D$1,OR(X229&lt;=$D$1*-1,Y229&gt;=$D$1),X229&gt;$D$2*-1,Y229&lt;$D$2,V229/U229&gt;=3),"Very serious", AND(W229&gt;$D$1*-1,W229&lt;$D$1,OR(X229&lt;=$D$2*-1,Y229&gt;=$D$2),V229/U229&gt;=3),"Very serious"),"")),"")</f>
        <v/>
      </c>
      <c r="AT229" s="109" t="str">
        <f t="shared" si="9"/>
        <v/>
      </c>
      <c r="AU229" s="64"/>
      <c r="AV229" s="83"/>
      <c r="AW229" s="83"/>
      <c r="AX229" s="83"/>
      <c r="AY229" s="83"/>
      <c r="AZ229" s="83"/>
      <c r="BA229" s="85"/>
      <c r="BB229" s="86" t="str">
        <f>IF(Preferences!B$9="Manual","",IFS(ISBLANK(B229),"",AND(ISNUMBER(E229)=TRUE,ISNUMBER(T229)=FALSE),"Direct", AND(ISNUMBER(E229)=FALSE,ISNUMBER(T229)=TRUE),"Indirect", CN229=4,"Direct",AND(CL229=FALSE, CM229=TRUE,CN229-CO229&gt;-1),"Direct", AND(CL229=FALSE,CM229=TRUE, CN229-CO229&lt;0),"Check algorithm in appendix 2", AND(CL229=TRUE, CM229=FALSE,CN229-CO229&gt;0),"Check algorithm in appendix 2", AND(CL229=TRUE, CM229=FALSE,CN229-CO229=0),"Indirect", AND(CL229=TRUE, CM229=FALSE,CN229-CO229&lt;0),"Indirect", AND(CL229=FALSE,CM229=FALSE,CN229-CO229&gt;-1),"Direct", AND(CL229=FALSE,CM229=FALSE,CN229-CO229&lt;0),"Check algorithm in appendix 2", AND(CL229=TRUE,CM229=TRUE,CN229-CO229&gt;-1),"Direct", AND(CL229=TRUE,CM229=TRUE,CN229-CO229&lt;0),"Check algorithm in appendix 2"))</f>
        <v/>
      </c>
      <c r="BC229" s="120" t="str">
        <f t="shared" si="10"/>
        <v/>
      </c>
      <c r="BD229" s="140"/>
      <c r="BE229" s="122" t="str">
        <f>IF(Preferences!B$3="Manual","", IFERROR(IFS(AND(Preferences!B$3="Automatic",AX229/AW229&gt;=30),"Extremely serious",AND(AY229&lt;=$D$1*-1,BA229&lt;0,AX229/AW229&lt;3),"Not Serious",AND(AY229&lt;=$D$1*-1,BA229&lt;0,AX229/AW229&gt;=3),"Very serious",AND(AY229&gt;=$D$1,AZ229&gt;0,AX229/AW229&lt;3),"Not Serious",AND(AY229&gt;=$D$1,AZ229&gt;0,AX229/AW229&gt;=3),"Very serious",AND(AY229&lt;=$D$1*-1,BA229&gt;0,AZ229&gt;$D$2*-1,AX229/AW229&lt;3),"Serious", AND(AY229&lt;=$D$1*-1,BA229&gt;0,AZ229&lt;$D$2*-1,AX229/AW229&lt;3),"Very serious", AND(AY229&gt;=$D$1,AZ229&lt;0,BA229&lt;$D$2,AX229/AW229&lt;3),"Serious",AND(AY229&gt;=$D$1,AZ229&lt;0,BA229&gt;$D$2,AX229/AW229&lt;3),"Very serious", AND(AY229&lt;=$D$1*-1,BA229&gt;0,AZ229&gt;$D$2*-1,AX229/AW229&gt;=3),"Very serious", AND(AY229&lt;=$D$1*-1,BA229&gt;0,AZ229&lt;$D$2*-1,AX229/AW229&gt;=3),"Very serious", AND(AY229&gt;=$D$1,AZ229&lt;0,BA229&lt;$D$2,AX229/AW229&gt;=3),"Very serious", AND(AY229&gt;=$D$1,AZ229&lt;0,BA229&gt;$D$2,AX229/AW229&gt;=3),"Very serious", AND(AY229&gt;$D$1*-1,AY229&lt;$D$1,AZ229&gt;$D$1*-1,BA229&lt;$D$1,AX229/AW229&lt;3),"Not Serious", AND(AY229&gt;$D$1*-1,AY229&lt;$D$1,OR(AZ229&lt;=$D$1*-1,BA229&gt;=$D$1),AZ229&gt;$D$2*-1,BA229&lt;$D$2,AX229/AW229&lt;3),"Serious", AND(AY229&gt;$D$1*-1,AY229&lt;$D$1,OR(AZ229&lt;=$D$2*-1,BA229&gt;=$D$2),AX229/AW229&lt;3),"Very serious", AND(AY229&gt;$D$1*-1,AY229&lt;$D$1,AZ229&gt;$D$1*-1,BA229&lt;$D$1,AX229/AW229&gt;=3),"Very serious", AND(AY229&gt;$D$1*-1,AY229&lt;$D$1,OR(AZ229&lt;=$D$1*-1,BA229&gt;=$D$1),AZ229&gt;$D$2*-1,BA229&lt;$D$2,AX229/AW229&gt;=3),"Very serious", AND(AY229&gt;$D$1*-1,AY229&lt;$D$1,OR(AZ229&lt;=$D$2*-1,BA229&gt;=$D$2),AX229/AW229&gt;=3),"Very serious"),""))</f>
        <v/>
      </c>
      <c r="BF229" s="107" t="str">
        <f t="shared" si="11"/>
        <v/>
      </c>
      <c r="BG229" s="94" t="str">
        <f t="shared" si="46"/>
        <v/>
      </c>
      <c r="BH229" s="64" t="str">
        <f t="shared" si="12"/>
        <v>#N/A</v>
      </c>
      <c r="BI229" s="64" t="str">
        <f t="shared" si="13"/>
        <v/>
      </c>
      <c r="BJ229" s="123" t="str">
        <f t="shared" si="14"/>
        <v>#N/A</v>
      </c>
      <c r="BK229" s="64" t="str">
        <f t="shared" si="50"/>
        <v>YES</v>
      </c>
      <c r="BL229" s="64" t="str">
        <f t="shared" si="16"/>
        <v>YES</v>
      </c>
      <c r="BM229" s="64" t="str">
        <f t="shared" si="17"/>
        <v>YES</v>
      </c>
      <c r="BN229" s="124" t="str">
        <f t="shared" si="18"/>
        <v/>
      </c>
      <c r="BO229" s="91" t="str">
        <f t="shared" si="19"/>
        <v/>
      </c>
      <c r="BP229" s="91" t="str">
        <f t="shared" si="20"/>
        <v>#N/A</v>
      </c>
      <c r="BQ229" s="91" t="str">
        <f t="shared" si="21"/>
        <v/>
      </c>
      <c r="BR229" s="93" t="str">
        <f t="shared" si="22"/>
        <v/>
      </c>
      <c r="BS229" s="90" t="str">
        <f t="shared" si="23"/>
        <v/>
      </c>
      <c r="BT229" s="93" t="str">
        <f t="shared" si="24"/>
        <v>NA</v>
      </c>
      <c r="BU229" s="125" t="str">
        <f t="shared" si="25"/>
        <v>#N/A</v>
      </c>
      <c r="BV229" s="93" t="str">
        <f t="shared" si="26"/>
        <v/>
      </c>
      <c r="BW229" s="93" t="str">
        <f t="shared" si="27"/>
        <v/>
      </c>
      <c r="BX229" s="93" t="str">
        <f t="shared" si="28"/>
        <v>NA</v>
      </c>
      <c r="BY229" s="95" t="str">
        <f t="shared" si="29"/>
        <v>#N/A</v>
      </c>
      <c r="BZ229" s="93" t="str">
        <f t="shared" si="30"/>
        <v/>
      </c>
      <c r="CA229" s="93" t="str">
        <f t="shared" si="31"/>
        <v/>
      </c>
      <c r="CB229" s="93" t="str">
        <f t="shared" si="32"/>
        <v>NA</v>
      </c>
      <c r="CC229" s="96" t="str">
        <f t="shared" si="33"/>
        <v>#N/A</v>
      </c>
      <c r="CD229" s="93" t="str">
        <f t="shared" si="34"/>
        <v/>
      </c>
      <c r="CE229" s="93" t="str">
        <f t="shared" si="35"/>
        <v/>
      </c>
      <c r="CF229" s="93" t="str">
        <f t="shared" si="36"/>
        <v>NA</v>
      </c>
      <c r="CG229" s="97" t="str">
        <f t="shared" si="37"/>
        <v>#N/A</v>
      </c>
      <c r="CH229" s="98" t="str">
        <f t="shared" si="38"/>
        <v>#N/A</v>
      </c>
      <c r="CI229" s="99" t="str">
        <f t="shared" si="39"/>
        <v>#N/A</v>
      </c>
      <c r="CJ229" s="126" t="str">
        <f t="shared" si="40"/>
        <v>ERROR: check cell</v>
      </c>
      <c r="CK229" s="126"/>
      <c r="CL229" s="127" t="str">
        <f t="shared" si="41"/>
        <v>#DIV/0!</v>
      </c>
      <c r="CM229" s="128" t="str">
        <f t="shared" si="42"/>
        <v>#DIV/0!</v>
      </c>
      <c r="CN229" s="128">
        <f t="shared" si="43"/>
        <v>4</v>
      </c>
      <c r="CO229" s="129">
        <f t="shared" si="44"/>
        <v>4</v>
      </c>
      <c r="CP229" s="129" t="str">
        <f>IFS(C229=Preferences!B$13,B229,B229=Preferences!B$13,C229)</f>
        <v>#N/A</v>
      </c>
    </row>
    <row r="230" ht="13.5" customHeight="1">
      <c r="A230" s="63" t="str">
        <f t="shared" si="45"/>
        <v/>
      </c>
      <c r="B230" s="64"/>
      <c r="C230" s="64"/>
      <c r="D230" s="64"/>
      <c r="E230" s="65"/>
      <c r="F230" s="65"/>
      <c r="G230" s="65"/>
      <c r="H230" s="66"/>
      <c r="I230" s="66"/>
      <c r="J230" s="67"/>
      <c r="K230" s="68"/>
      <c r="L230" s="104"/>
      <c r="M230" s="104"/>
      <c r="N230" s="104"/>
      <c r="O230" s="104"/>
      <c r="P230" s="107" t="str">
        <f t="shared" si="1"/>
        <v/>
      </c>
      <c r="Q230" s="108" t="str">
        <f>IFERROR(IF(AND(Preferences!B$3="Manual",OR(AX230/AW230&gt;G230/F230,BD230="Serious",BD230="Very serious")),"Assess imprecision",IFS(ISBLANK(E230),"",AND(Preferences!B$3="Automatic", G230/F230&gt;=30),"Extremely serious",AND(H230&lt;=$D$1*-1,J230&lt;0,G230/F230&lt;3),"Not serious",AND(H230&lt;=$D$1*-1,J230&lt;0,G230/F230&gt;=3),"Very serious",AND(H230&gt;=$D$1,I230&gt;0,G230/F230&lt;3),"Not serious",AND(H230&gt;=$D$1,I230&gt;0,G230/F230&gt;=3),"Very serious",AND(H230&lt;=$D$1*-1,J230&gt;0,I230&gt;$D$2*-1,G230/F230&lt;3),"Serious", AND(H230&lt;=$D$1*-1,J230&gt;0,I230&lt;$D$2*-1,G230/F230&lt;3),"Very serious", AND(H230&gt;=$D$1,I230&lt;0,J230&lt;$D$2,G230/F230&lt;3),"Serious",AND(H230&gt;=$D$1,I230&lt;0,J230&gt;$D$2,G230/F230&lt;3),"Very serious", AND(H230&lt;=$D$1*-1,J230&gt;0,I230&gt;$D$2*-1,G230/F230&gt;=3),"Very serious", AND(H230&lt;=$D$1*-1,J230&gt;0,I230&lt;$D$2*-1,G230/F230&gt;=3),"Very serious", AND(H230&gt;=$D$1,I230&lt;0,J230&lt;$D$2,G230/F230&gt;=3),"Very serious", AND(H230&gt;=$D$1,I230&lt;0,J230&gt;$D$2,G230/F230&gt;=3),"Very serious", AND(H230&gt;$D$1*-1,H230&lt;$D$1,I230&gt;$D$1*-1,J230&lt;$D$1,G230/F230&lt;3),"Not serious", AND(H230&gt;$D$1*-1,H230&lt;$D$1,OR(I230&lt;=$D$1*-1,J230&gt;=$D$1),I230&gt;$D$2*-1,J230&lt;$D$2,G230/F230&lt;3),"Serious", AND(H230&gt;$D$1*-1,H230&lt;$D$1,OR(I230&lt;=$D$2*-1,J230&gt;=$D$2),G230/F230&lt;3),"Very serious", AND(H230&gt;$D$1*-1,H230&lt;$D$1,I230&gt;$D$1*-1,J230&lt;$D$1,G230/F230&gt;=3),"Very serious", AND(H230&gt;$D$1*-1,H230&lt;$D$1,OR(I230&lt;=$D$1*-1,J230&gt;=$D$1),I230&gt;$D$2*-1,J230&lt;$D$2,G230/F230&gt;=3),"Very serious", AND(H230&gt;$D$1*-1,H230&lt;$D$1,OR(I230&lt;=$D$2*-1,J230&gt;=$D$2),G230/F230&gt;=3),"Very serious")),"")</f>
        <v/>
      </c>
      <c r="R230" s="109" t="str">
        <f t="shared" si="47"/>
        <v/>
      </c>
      <c r="S230" s="64"/>
      <c r="T230" s="72"/>
      <c r="U230" s="72"/>
      <c r="V230" s="72"/>
      <c r="W230" s="73"/>
      <c r="X230" s="73"/>
      <c r="Y230" s="74"/>
      <c r="Z230" s="113" t="str">
        <f t="array" ref="Z230">INDEX($A$1:$C$500, MATCH(1,($B:$B=$B230)*($C:$C=$AB230),0),1)</f>
        <v/>
      </c>
      <c r="AA230" s="113" t="str">
        <f t="array" ref="AA230">INDEX($A$1:$C$500, MATCH(1,($B:$B=$AB230)*($C:$C=$B230),0),1)</f>
        <v/>
      </c>
      <c r="AB230" s="111"/>
      <c r="AC230" s="114" t="str">
        <f t="shared" si="2"/>
        <v/>
      </c>
      <c r="AD230" s="115" t="str">
        <f t="shared" si="3"/>
        <v/>
      </c>
      <c r="AE230" s="116" t="str">
        <f t="array" ref="AE230">INDEX($A$1:$C$500, MATCH(1,($B:$B=$AB230)*($C:$C=$AG230),0),1)</f>
        <v/>
      </c>
      <c r="AF230" s="116" t="str">
        <f t="array" ref="AF230">INDEX($A$1:$C$500, MATCH(1,($B:$B=$AG230)*($C:$C=$AB230),0),1)</f>
        <v/>
      </c>
      <c r="AG230" s="72"/>
      <c r="AH230" s="114" t="str">
        <f t="shared" si="4"/>
        <v/>
      </c>
      <c r="AI230" s="115" t="str">
        <f t="shared" si="5"/>
        <v/>
      </c>
      <c r="AJ230" s="116" t="str">
        <f t="array" ref="AJ230">INDEX($A$1:$C$500, MATCH(1,($B:$B=$C230)*($C:$C=$AG230),0),1)</f>
        <v/>
      </c>
      <c r="AK230" s="116" t="str">
        <f t="array" ref="AK230">INDEX($A$1:$C$500, MATCH(1,($B:$B=$AG230)*($C:$C=$C230),0),1)</f>
        <v/>
      </c>
      <c r="AL230" s="116" t="str">
        <f t="array" ref="AL230">INDEX($A$1:$C$500, MATCH(1,($B:$B=$C230)*($C:$C=$AB230),0),1)</f>
        <v/>
      </c>
      <c r="AM230" s="116" t="str">
        <f t="array" ref="AM230">INDEX($A$1:$C$500, MATCH(1,($B:$B=$AB230)*($C:$C=$C230),0),1)</f>
        <v/>
      </c>
      <c r="AN230" s="114" t="str">
        <f t="array" ref="AN230">IFS(ISNUMBER(AJ230),AJ230,ISNUMBER(AK230),AK230,ISNUMBER(AL230),AL230,ISNUMBER(AM230),AM230)</f>
        <v>#N/A</v>
      </c>
      <c r="AO230" s="115" t="str">
        <f t="shared" si="6"/>
        <v/>
      </c>
      <c r="AP230" s="115" t="str">
        <f t="shared" si="7"/>
        <v/>
      </c>
      <c r="AQ230" s="111"/>
      <c r="AR230" s="109" t="str">
        <f t="shared" si="8"/>
        <v/>
      </c>
      <c r="AS230" s="72" t="str">
        <f>IFERROR(IF(AND(Preferences!B$3="Manual",OR(AX230/AW230&gt;V230/U230,BD230="Serious",BD230="Very serious")),"Assess imprecision",IFERROR(IFS(AND(Preferences!B$3="Automatic",V230/U230&gt;=30),"Extremely serious",AND(W230&lt;=$D$1*-1,Y230&lt;0,V230/U230&lt;3),"Not Serious",AND(W230&lt;=$D$1*-1,Y230&lt;0,V230/U230&gt;=3),"Very serious",AND(W230&gt;=$D$1,X230&gt;0,V230/U230&lt;3),"Not Serious",AND(W230&gt;=$D$1,X230&gt;0,V230/U230&gt;=3),"Very serious",AND(W230&lt;=$D$1*-1,Y230&gt;0,X230&gt;$D$2*-1,V230/U230&lt;3),"Serious", AND(W230&lt;=$D$1*-1,Y230&gt;0,X230&lt;$D$2*-1,V230/U230&lt;3),"Very serious", AND(W230&gt;=$D$1,X230&lt;0,Y230&lt;$D$2,V230/U230&lt;3),"Serious",AND(W230&gt;=$D$1,X230&lt;0,Y230&gt;$D$2,V230/U230&lt;3),"Very serious", AND(W230&lt;=$D$1*-1,Y230&gt;0,X230&gt;$D$2*-1,V230/U230&gt;=3),"Very serious", AND(W230&lt;=$D$1*-1,Y230&gt;0,X230&lt;$D$2*-1,V230/U230&gt;=3),"Very serious", AND(W230&gt;=$D$1,X230&lt;0,Y230&lt;$D$2,V230/U230&gt;=3),"Very serious", AND(W230&gt;=$D$1,X230&lt;0,Y230&gt;$D$2,V230/U230&gt;=3),"Very serious", AND(W230&gt;$D$1*-1,W230&lt;$D$1,X230&gt;$D$1*-1,Y230&lt;$D$1,V230/U230&lt;3),"Not Serious", AND(W230&gt;$D$1*-1,W230&lt;$D$1,OR(X230&lt;=$D$1*-1,Y230&gt;=$D$1),X230&gt;$D$2*-1,Y230&lt;$D$2,V230/U230&lt;3),"Serious", AND(W230&gt;$D$1*-1,W230&lt;$D$1,OR(X230&lt;=$D$2*-1,Y230&gt;=$D$2),V230/U230&lt;3),"Very serious", AND(W230&gt;$D$1*-1,W230&lt;$D$1,X230&gt;$D$1*-1,Y230&lt;$D$1,V230/U230&gt;=3),"Very serious", AND(W230&gt;$D$1*-1,W230&lt;$D$1,OR(X230&lt;=$D$1*-1,Y230&gt;=$D$1),X230&gt;$D$2*-1,Y230&lt;$D$2,V230/U230&gt;=3),"Very serious", AND(W230&gt;$D$1*-1,W230&lt;$D$1,OR(X230&lt;=$D$2*-1,Y230&gt;=$D$2),V230/U230&gt;=3),"Very serious"),"")),"")</f>
        <v/>
      </c>
      <c r="AT230" s="109" t="str">
        <f t="shared" si="9"/>
        <v/>
      </c>
      <c r="AU230" s="64"/>
      <c r="AV230" s="83"/>
      <c r="AW230" s="83"/>
      <c r="AX230" s="83"/>
      <c r="AY230" s="83"/>
      <c r="AZ230" s="83"/>
      <c r="BA230" s="85"/>
      <c r="BB230" s="86" t="str">
        <f>IF(Preferences!B$9="Manual","",IFS(ISBLANK(B230),"",AND(ISNUMBER(E230)=TRUE,ISNUMBER(T230)=FALSE),"Direct", AND(ISNUMBER(E230)=FALSE,ISNUMBER(T230)=TRUE),"Indirect", CN230=4,"Direct",AND(CL230=FALSE, CM230=TRUE,CN230-CO230&gt;-1),"Direct", AND(CL230=FALSE,CM230=TRUE, CN230-CO230&lt;0),"Check algorithm in appendix 2", AND(CL230=TRUE, CM230=FALSE,CN230-CO230&gt;0),"Check algorithm in appendix 2", AND(CL230=TRUE, CM230=FALSE,CN230-CO230=0),"Indirect", AND(CL230=TRUE, CM230=FALSE,CN230-CO230&lt;0),"Indirect", AND(CL230=FALSE,CM230=FALSE,CN230-CO230&gt;-1),"Direct", AND(CL230=FALSE,CM230=FALSE,CN230-CO230&lt;0),"Check algorithm in appendix 2", AND(CL230=TRUE,CM230=TRUE,CN230-CO230&gt;-1),"Direct", AND(CL230=TRUE,CM230=TRUE,CN230-CO230&lt;0),"Check algorithm in appendix 2"))</f>
        <v/>
      </c>
      <c r="BC230" s="120" t="str">
        <f t="shared" si="10"/>
        <v/>
      </c>
      <c r="BD230" s="140"/>
      <c r="BE230" s="122" t="str">
        <f>IF(Preferences!B$3="Manual","", IFERROR(IFS(AND(Preferences!B$3="Automatic",AX230/AW230&gt;=30),"Extremely serious",AND(AY230&lt;=$D$1*-1,BA230&lt;0,AX230/AW230&lt;3),"Not Serious",AND(AY230&lt;=$D$1*-1,BA230&lt;0,AX230/AW230&gt;=3),"Very serious",AND(AY230&gt;=$D$1,AZ230&gt;0,AX230/AW230&lt;3),"Not Serious",AND(AY230&gt;=$D$1,AZ230&gt;0,AX230/AW230&gt;=3),"Very serious",AND(AY230&lt;=$D$1*-1,BA230&gt;0,AZ230&gt;$D$2*-1,AX230/AW230&lt;3),"Serious", AND(AY230&lt;=$D$1*-1,BA230&gt;0,AZ230&lt;$D$2*-1,AX230/AW230&lt;3),"Very serious", AND(AY230&gt;=$D$1,AZ230&lt;0,BA230&lt;$D$2,AX230/AW230&lt;3),"Serious",AND(AY230&gt;=$D$1,AZ230&lt;0,BA230&gt;$D$2,AX230/AW230&lt;3),"Very serious", AND(AY230&lt;=$D$1*-1,BA230&gt;0,AZ230&gt;$D$2*-1,AX230/AW230&gt;=3),"Very serious", AND(AY230&lt;=$D$1*-1,BA230&gt;0,AZ230&lt;$D$2*-1,AX230/AW230&gt;=3),"Very serious", AND(AY230&gt;=$D$1,AZ230&lt;0,BA230&lt;$D$2,AX230/AW230&gt;=3),"Very serious", AND(AY230&gt;=$D$1,AZ230&lt;0,BA230&gt;$D$2,AX230/AW230&gt;=3),"Very serious", AND(AY230&gt;$D$1*-1,AY230&lt;$D$1,AZ230&gt;$D$1*-1,BA230&lt;$D$1,AX230/AW230&lt;3),"Not Serious", AND(AY230&gt;$D$1*-1,AY230&lt;$D$1,OR(AZ230&lt;=$D$1*-1,BA230&gt;=$D$1),AZ230&gt;$D$2*-1,BA230&lt;$D$2,AX230/AW230&lt;3),"Serious", AND(AY230&gt;$D$1*-1,AY230&lt;$D$1,OR(AZ230&lt;=$D$2*-1,BA230&gt;=$D$2),AX230/AW230&lt;3),"Very serious", AND(AY230&gt;$D$1*-1,AY230&lt;$D$1,AZ230&gt;$D$1*-1,BA230&lt;$D$1,AX230/AW230&gt;=3),"Very serious", AND(AY230&gt;$D$1*-1,AY230&lt;$D$1,OR(AZ230&lt;=$D$1*-1,BA230&gt;=$D$1),AZ230&gt;$D$2*-1,BA230&lt;$D$2,AX230/AW230&gt;=3),"Very serious", AND(AY230&gt;$D$1*-1,AY230&lt;$D$1,OR(AZ230&lt;=$D$2*-1,BA230&gt;=$D$2),AX230/AW230&gt;=3),"Very serious"),""))</f>
        <v/>
      </c>
      <c r="BF230" s="107" t="str">
        <f t="shared" si="11"/>
        <v/>
      </c>
      <c r="BG230" s="94" t="str">
        <f t="shared" si="46"/>
        <v/>
      </c>
      <c r="BH230" s="64" t="str">
        <f t="shared" si="12"/>
        <v>#N/A</v>
      </c>
      <c r="BI230" s="64" t="str">
        <f t="shared" si="13"/>
        <v/>
      </c>
      <c r="BJ230" s="123" t="str">
        <f t="shared" si="14"/>
        <v>#N/A</v>
      </c>
      <c r="BK230" s="64" t="str">
        <f t="shared" si="50"/>
        <v>YES</v>
      </c>
      <c r="BL230" s="64" t="str">
        <f t="shared" si="16"/>
        <v>YES</v>
      </c>
      <c r="BM230" s="64" t="str">
        <f t="shared" si="17"/>
        <v>YES</v>
      </c>
      <c r="BN230" s="124" t="str">
        <f t="shared" si="18"/>
        <v/>
      </c>
      <c r="BO230" s="91" t="str">
        <f t="shared" si="19"/>
        <v/>
      </c>
      <c r="BP230" s="91" t="str">
        <f t="shared" si="20"/>
        <v>#N/A</v>
      </c>
      <c r="BQ230" s="91" t="str">
        <f t="shared" si="21"/>
        <v/>
      </c>
      <c r="BR230" s="93" t="str">
        <f t="shared" si="22"/>
        <v/>
      </c>
      <c r="BS230" s="90" t="str">
        <f t="shared" si="23"/>
        <v/>
      </c>
      <c r="BT230" s="93" t="str">
        <f t="shared" si="24"/>
        <v>NA</v>
      </c>
      <c r="BU230" s="125" t="str">
        <f t="shared" si="25"/>
        <v>#N/A</v>
      </c>
      <c r="BV230" s="93" t="str">
        <f t="shared" si="26"/>
        <v/>
      </c>
      <c r="BW230" s="93" t="str">
        <f t="shared" si="27"/>
        <v/>
      </c>
      <c r="BX230" s="93" t="str">
        <f t="shared" si="28"/>
        <v>NA</v>
      </c>
      <c r="BY230" s="95" t="str">
        <f t="shared" si="29"/>
        <v>#N/A</v>
      </c>
      <c r="BZ230" s="93" t="str">
        <f t="shared" si="30"/>
        <v/>
      </c>
      <c r="CA230" s="93" t="str">
        <f t="shared" si="31"/>
        <v/>
      </c>
      <c r="CB230" s="93" t="str">
        <f t="shared" si="32"/>
        <v>NA</v>
      </c>
      <c r="CC230" s="96" t="str">
        <f t="shared" si="33"/>
        <v>#N/A</v>
      </c>
      <c r="CD230" s="93" t="str">
        <f t="shared" si="34"/>
        <v/>
      </c>
      <c r="CE230" s="93" t="str">
        <f t="shared" si="35"/>
        <v/>
      </c>
      <c r="CF230" s="93" t="str">
        <f t="shared" si="36"/>
        <v>NA</v>
      </c>
      <c r="CG230" s="97" t="str">
        <f t="shared" si="37"/>
        <v>#N/A</v>
      </c>
      <c r="CH230" s="98" t="str">
        <f t="shared" si="38"/>
        <v>#N/A</v>
      </c>
      <c r="CI230" s="99" t="str">
        <f t="shared" si="39"/>
        <v>#N/A</v>
      </c>
      <c r="CJ230" s="126" t="str">
        <f t="shared" si="40"/>
        <v>ERROR: check cell</v>
      </c>
      <c r="CK230" s="126"/>
      <c r="CL230" s="127" t="str">
        <f t="shared" si="41"/>
        <v>#DIV/0!</v>
      </c>
      <c r="CM230" s="128" t="str">
        <f t="shared" si="42"/>
        <v>#DIV/0!</v>
      </c>
      <c r="CN230" s="128">
        <f t="shared" si="43"/>
        <v>4</v>
      </c>
      <c r="CO230" s="129">
        <f t="shared" si="44"/>
        <v>4</v>
      </c>
      <c r="CP230" s="129" t="str">
        <f>IFS(C230=Preferences!B$13,B230,B230=Preferences!B$13,C230)</f>
        <v>#N/A</v>
      </c>
    </row>
    <row r="231" ht="13.5" customHeight="1">
      <c r="A231" s="63" t="str">
        <f t="shared" si="45"/>
        <v/>
      </c>
      <c r="B231" s="64"/>
      <c r="C231" s="64"/>
      <c r="D231" s="64"/>
      <c r="E231" s="65"/>
      <c r="F231" s="65"/>
      <c r="G231" s="65"/>
      <c r="H231" s="66"/>
      <c r="I231" s="66"/>
      <c r="J231" s="67"/>
      <c r="K231" s="68"/>
      <c r="L231" s="104"/>
      <c r="M231" s="104"/>
      <c r="N231" s="104"/>
      <c r="O231" s="104"/>
      <c r="P231" s="107" t="str">
        <f t="shared" si="1"/>
        <v/>
      </c>
      <c r="Q231" s="108" t="str">
        <f>IFERROR(IF(AND(Preferences!B$3="Manual",OR(AX231/AW231&gt;G231/F231,BD231="Serious",BD231="Very serious")),"Assess imprecision",IFS(ISBLANK(E231),"",AND(Preferences!B$3="Automatic", G231/F231&gt;=30),"Extremely serious",AND(H231&lt;=$D$1*-1,J231&lt;0,G231/F231&lt;3),"Not serious",AND(H231&lt;=$D$1*-1,J231&lt;0,G231/F231&gt;=3),"Very serious",AND(H231&gt;=$D$1,I231&gt;0,G231/F231&lt;3),"Not serious",AND(H231&gt;=$D$1,I231&gt;0,G231/F231&gt;=3),"Very serious",AND(H231&lt;=$D$1*-1,J231&gt;0,I231&gt;$D$2*-1,G231/F231&lt;3),"Serious", AND(H231&lt;=$D$1*-1,J231&gt;0,I231&lt;$D$2*-1,G231/F231&lt;3),"Very serious", AND(H231&gt;=$D$1,I231&lt;0,J231&lt;$D$2,G231/F231&lt;3),"Serious",AND(H231&gt;=$D$1,I231&lt;0,J231&gt;$D$2,G231/F231&lt;3),"Very serious", AND(H231&lt;=$D$1*-1,J231&gt;0,I231&gt;$D$2*-1,G231/F231&gt;=3),"Very serious", AND(H231&lt;=$D$1*-1,J231&gt;0,I231&lt;$D$2*-1,G231/F231&gt;=3),"Very serious", AND(H231&gt;=$D$1,I231&lt;0,J231&lt;$D$2,G231/F231&gt;=3),"Very serious", AND(H231&gt;=$D$1,I231&lt;0,J231&gt;$D$2,G231/F231&gt;=3),"Very serious", AND(H231&gt;$D$1*-1,H231&lt;$D$1,I231&gt;$D$1*-1,J231&lt;$D$1,G231/F231&lt;3),"Not serious", AND(H231&gt;$D$1*-1,H231&lt;$D$1,OR(I231&lt;=$D$1*-1,J231&gt;=$D$1),I231&gt;$D$2*-1,J231&lt;$D$2,G231/F231&lt;3),"Serious", AND(H231&gt;$D$1*-1,H231&lt;$D$1,OR(I231&lt;=$D$2*-1,J231&gt;=$D$2),G231/F231&lt;3),"Very serious", AND(H231&gt;$D$1*-1,H231&lt;$D$1,I231&gt;$D$1*-1,J231&lt;$D$1,G231/F231&gt;=3),"Very serious", AND(H231&gt;$D$1*-1,H231&lt;$D$1,OR(I231&lt;=$D$1*-1,J231&gt;=$D$1),I231&gt;$D$2*-1,J231&lt;$D$2,G231/F231&gt;=3),"Very serious", AND(H231&gt;$D$1*-1,H231&lt;$D$1,OR(I231&lt;=$D$2*-1,J231&gt;=$D$2),G231/F231&gt;=3),"Very serious")),"")</f>
        <v/>
      </c>
      <c r="R231" s="109" t="str">
        <f t="shared" si="47"/>
        <v/>
      </c>
      <c r="S231" s="64"/>
      <c r="T231" s="72"/>
      <c r="U231" s="72"/>
      <c r="V231" s="72"/>
      <c r="W231" s="73"/>
      <c r="X231" s="73"/>
      <c r="Y231" s="74"/>
      <c r="Z231" s="113" t="str">
        <f t="array" ref="Z231">INDEX($A$1:$C$500, MATCH(1,($B:$B=$B231)*($C:$C=$AB231),0),1)</f>
        <v/>
      </c>
      <c r="AA231" s="113" t="str">
        <f t="array" ref="AA231">INDEX($A$1:$C$500, MATCH(1,($B:$B=$AB231)*($C:$C=$B231),0),1)</f>
        <v/>
      </c>
      <c r="AB231" s="111"/>
      <c r="AC231" s="114" t="str">
        <f t="shared" si="2"/>
        <v/>
      </c>
      <c r="AD231" s="115" t="str">
        <f t="shared" si="3"/>
        <v/>
      </c>
      <c r="AE231" s="116" t="str">
        <f t="array" ref="AE231">INDEX($A$1:$C$500, MATCH(1,($B:$B=$AB231)*($C:$C=$AG231),0),1)</f>
        <v/>
      </c>
      <c r="AF231" s="116" t="str">
        <f t="array" ref="AF231">INDEX($A$1:$C$500, MATCH(1,($B:$B=$AG231)*($C:$C=$AB231),0),1)</f>
        <v/>
      </c>
      <c r="AG231" s="72"/>
      <c r="AH231" s="114" t="str">
        <f t="shared" si="4"/>
        <v/>
      </c>
      <c r="AI231" s="115" t="str">
        <f t="shared" si="5"/>
        <v/>
      </c>
      <c r="AJ231" s="116" t="str">
        <f t="array" ref="AJ231">INDEX($A$1:$C$500, MATCH(1,($B:$B=$C231)*($C:$C=$AG231),0),1)</f>
        <v/>
      </c>
      <c r="AK231" s="116" t="str">
        <f t="array" ref="AK231">INDEX($A$1:$C$500, MATCH(1,($B:$B=$AG231)*($C:$C=$C231),0),1)</f>
        <v/>
      </c>
      <c r="AL231" s="116" t="str">
        <f t="array" ref="AL231">INDEX($A$1:$C$500, MATCH(1,($B:$B=$C231)*($C:$C=$AB231),0),1)</f>
        <v/>
      </c>
      <c r="AM231" s="116" t="str">
        <f t="array" ref="AM231">INDEX($A$1:$C$500, MATCH(1,($B:$B=$AB231)*($C:$C=$C231),0),1)</f>
        <v/>
      </c>
      <c r="AN231" s="114" t="str">
        <f t="array" ref="AN231">IFS(ISNUMBER(AJ231),AJ231,ISNUMBER(AK231),AK231,ISNUMBER(AL231),AL231,ISNUMBER(AM231),AM231)</f>
        <v>#N/A</v>
      </c>
      <c r="AO231" s="115" t="str">
        <f t="shared" si="6"/>
        <v/>
      </c>
      <c r="AP231" s="115" t="str">
        <f t="shared" si="7"/>
        <v/>
      </c>
      <c r="AQ231" s="111"/>
      <c r="AR231" s="109" t="str">
        <f t="shared" si="8"/>
        <v/>
      </c>
      <c r="AS231" s="72" t="str">
        <f>IFERROR(IF(AND(Preferences!B$3="Manual",OR(AX231/AW231&gt;V231/U231,BD231="Serious",BD231="Very serious")),"Assess imprecision",IFERROR(IFS(AND(Preferences!B$3="Automatic",V231/U231&gt;=30),"Extremely serious",AND(W231&lt;=$D$1*-1,Y231&lt;0,V231/U231&lt;3),"Not Serious",AND(W231&lt;=$D$1*-1,Y231&lt;0,V231/U231&gt;=3),"Very serious",AND(W231&gt;=$D$1,X231&gt;0,V231/U231&lt;3),"Not Serious",AND(W231&gt;=$D$1,X231&gt;0,V231/U231&gt;=3),"Very serious",AND(W231&lt;=$D$1*-1,Y231&gt;0,X231&gt;$D$2*-1,V231/U231&lt;3),"Serious", AND(W231&lt;=$D$1*-1,Y231&gt;0,X231&lt;$D$2*-1,V231/U231&lt;3),"Very serious", AND(W231&gt;=$D$1,X231&lt;0,Y231&lt;$D$2,V231/U231&lt;3),"Serious",AND(W231&gt;=$D$1,X231&lt;0,Y231&gt;$D$2,V231/U231&lt;3),"Very serious", AND(W231&lt;=$D$1*-1,Y231&gt;0,X231&gt;$D$2*-1,V231/U231&gt;=3),"Very serious", AND(W231&lt;=$D$1*-1,Y231&gt;0,X231&lt;$D$2*-1,V231/U231&gt;=3),"Very serious", AND(W231&gt;=$D$1,X231&lt;0,Y231&lt;$D$2,V231/U231&gt;=3),"Very serious", AND(W231&gt;=$D$1,X231&lt;0,Y231&gt;$D$2,V231/U231&gt;=3),"Very serious", AND(W231&gt;$D$1*-1,W231&lt;$D$1,X231&gt;$D$1*-1,Y231&lt;$D$1,V231/U231&lt;3),"Not Serious", AND(W231&gt;$D$1*-1,W231&lt;$D$1,OR(X231&lt;=$D$1*-1,Y231&gt;=$D$1),X231&gt;$D$2*-1,Y231&lt;$D$2,V231/U231&lt;3),"Serious", AND(W231&gt;$D$1*-1,W231&lt;$D$1,OR(X231&lt;=$D$2*-1,Y231&gt;=$D$2),V231/U231&lt;3),"Very serious", AND(W231&gt;$D$1*-1,W231&lt;$D$1,X231&gt;$D$1*-1,Y231&lt;$D$1,V231/U231&gt;=3),"Very serious", AND(W231&gt;$D$1*-1,W231&lt;$D$1,OR(X231&lt;=$D$1*-1,Y231&gt;=$D$1),X231&gt;$D$2*-1,Y231&lt;$D$2,V231/U231&gt;=3),"Very serious", AND(W231&gt;$D$1*-1,W231&lt;$D$1,OR(X231&lt;=$D$2*-1,Y231&gt;=$D$2),V231/U231&gt;=3),"Very serious"),"")),"")</f>
        <v/>
      </c>
      <c r="AT231" s="109" t="str">
        <f t="shared" si="9"/>
        <v/>
      </c>
      <c r="AU231" s="64"/>
      <c r="AV231" s="83"/>
      <c r="AW231" s="83"/>
      <c r="AX231" s="83"/>
      <c r="AY231" s="83"/>
      <c r="AZ231" s="83"/>
      <c r="BA231" s="85"/>
      <c r="BB231" s="86" t="str">
        <f>IF(Preferences!B$9="Manual","",IFS(ISBLANK(B231),"",AND(ISNUMBER(E231)=TRUE,ISNUMBER(T231)=FALSE),"Direct", AND(ISNUMBER(E231)=FALSE,ISNUMBER(T231)=TRUE),"Indirect", CN231=4,"Direct",AND(CL231=FALSE, CM231=TRUE,CN231-CO231&gt;-1),"Direct", AND(CL231=FALSE,CM231=TRUE, CN231-CO231&lt;0),"Check algorithm in appendix 2", AND(CL231=TRUE, CM231=FALSE,CN231-CO231&gt;0),"Check algorithm in appendix 2", AND(CL231=TRUE, CM231=FALSE,CN231-CO231=0),"Indirect", AND(CL231=TRUE, CM231=FALSE,CN231-CO231&lt;0),"Indirect", AND(CL231=FALSE,CM231=FALSE,CN231-CO231&gt;-1),"Direct", AND(CL231=FALSE,CM231=FALSE,CN231-CO231&lt;0),"Check algorithm in appendix 2", AND(CL231=TRUE,CM231=TRUE,CN231-CO231&gt;-1),"Direct", AND(CL231=TRUE,CM231=TRUE,CN231-CO231&lt;0),"Check algorithm in appendix 2"))</f>
        <v/>
      </c>
      <c r="BC231" s="120" t="str">
        <f t="shared" si="10"/>
        <v/>
      </c>
      <c r="BD231" s="140"/>
      <c r="BE231" s="122" t="str">
        <f>IF(Preferences!B$3="Manual","", IFERROR(IFS(AND(Preferences!B$3="Automatic",AX231/AW231&gt;=30),"Extremely serious",AND(AY231&lt;=$D$1*-1,BA231&lt;0,AX231/AW231&lt;3),"Not Serious",AND(AY231&lt;=$D$1*-1,BA231&lt;0,AX231/AW231&gt;=3),"Very serious",AND(AY231&gt;=$D$1,AZ231&gt;0,AX231/AW231&lt;3),"Not Serious",AND(AY231&gt;=$D$1,AZ231&gt;0,AX231/AW231&gt;=3),"Very serious",AND(AY231&lt;=$D$1*-1,BA231&gt;0,AZ231&gt;$D$2*-1,AX231/AW231&lt;3),"Serious", AND(AY231&lt;=$D$1*-1,BA231&gt;0,AZ231&lt;$D$2*-1,AX231/AW231&lt;3),"Very serious", AND(AY231&gt;=$D$1,AZ231&lt;0,BA231&lt;$D$2,AX231/AW231&lt;3),"Serious",AND(AY231&gt;=$D$1,AZ231&lt;0,BA231&gt;$D$2,AX231/AW231&lt;3),"Very serious", AND(AY231&lt;=$D$1*-1,BA231&gt;0,AZ231&gt;$D$2*-1,AX231/AW231&gt;=3),"Very serious", AND(AY231&lt;=$D$1*-1,BA231&gt;0,AZ231&lt;$D$2*-1,AX231/AW231&gt;=3),"Very serious", AND(AY231&gt;=$D$1,AZ231&lt;0,BA231&lt;$D$2,AX231/AW231&gt;=3),"Very serious", AND(AY231&gt;=$D$1,AZ231&lt;0,BA231&gt;$D$2,AX231/AW231&gt;=3),"Very serious", AND(AY231&gt;$D$1*-1,AY231&lt;$D$1,AZ231&gt;$D$1*-1,BA231&lt;$D$1,AX231/AW231&lt;3),"Not Serious", AND(AY231&gt;$D$1*-1,AY231&lt;$D$1,OR(AZ231&lt;=$D$1*-1,BA231&gt;=$D$1),AZ231&gt;$D$2*-1,BA231&lt;$D$2,AX231/AW231&lt;3),"Serious", AND(AY231&gt;$D$1*-1,AY231&lt;$D$1,OR(AZ231&lt;=$D$2*-1,BA231&gt;=$D$2),AX231/AW231&lt;3),"Very serious", AND(AY231&gt;$D$1*-1,AY231&lt;$D$1,AZ231&gt;$D$1*-1,BA231&lt;$D$1,AX231/AW231&gt;=3),"Very serious", AND(AY231&gt;$D$1*-1,AY231&lt;$D$1,OR(AZ231&lt;=$D$1*-1,BA231&gt;=$D$1),AZ231&gt;$D$2*-1,BA231&lt;$D$2,AX231/AW231&gt;=3),"Very serious", AND(AY231&gt;$D$1*-1,AY231&lt;$D$1,OR(AZ231&lt;=$D$2*-1,BA231&gt;=$D$2),AX231/AW231&gt;=3),"Very serious"),""))</f>
        <v/>
      </c>
      <c r="BF231" s="107" t="str">
        <f t="shared" si="11"/>
        <v/>
      </c>
      <c r="BG231" s="94" t="str">
        <f t="shared" si="46"/>
        <v/>
      </c>
      <c r="BH231" s="64" t="str">
        <f t="shared" si="12"/>
        <v>#N/A</v>
      </c>
      <c r="BI231" s="64" t="str">
        <f t="shared" si="13"/>
        <v/>
      </c>
      <c r="BJ231" s="123" t="str">
        <f t="shared" si="14"/>
        <v>#N/A</v>
      </c>
      <c r="BK231" s="64" t="str">
        <f t="shared" si="50"/>
        <v>YES</v>
      </c>
      <c r="BL231" s="64" t="str">
        <f t="shared" si="16"/>
        <v>YES</v>
      </c>
      <c r="BM231" s="64" t="str">
        <f t="shared" si="17"/>
        <v>YES</v>
      </c>
      <c r="BN231" s="124" t="str">
        <f t="shared" si="18"/>
        <v/>
      </c>
      <c r="BO231" s="91" t="str">
        <f t="shared" si="19"/>
        <v/>
      </c>
      <c r="BP231" s="91" t="str">
        <f t="shared" si="20"/>
        <v>#N/A</v>
      </c>
      <c r="BQ231" s="91" t="str">
        <f t="shared" si="21"/>
        <v/>
      </c>
      <c r="BR231" s="93" t="str">
        <f t="shared" si="22"/>
        <v/>
      </c>
      <c r="BS231" s="90" t="str">
        <f t="shared" si="23"/>
        <v/>
      </c>
      <c r="BT231" s="93" t="str">
        <f t="shared" si="24"/>
        <v>NA</v>
      </c>
      <c r="BU231" s="125" t="str">
        <f t="shared" si="25"/>
        <v>#N/A</v>
      </c>
      <c r="BV231" s="93" t="str">
        <f t="shared" si="26"/>
        <v/>
      </c>
      <c r="BW231" s="93" t="str">
        <f t="shared" si="27"/>
        <v/>
      </c>
      <c r="BX231" s="93" t="str">
        <f t="shared" si="28"/>
        <v>NA</v>
      </c>
      <c r="BY231" s="95" t="str">
        <f t="shared" si="29"/>
        <v>#N/A</v>
      </c>
      <c r="BZ231" s="93" t="str">
        <f t="shared" si="30"/>
        <v/>
      </c>
      <c r="CA231" s="93" t="str">
        <f t="shared" si="31"/>
        <v/>
      </c>
      <c r="CB231" s="93" t="str">
        <f t="shared" si="32"/>
        <v>NA</v>
      </c>
      <c r="CC231" s="96" t="str">
        <f t="shared" si="33"/>
        <v>#N/A</v>
      </c>
      <c r="CD231" s="93" t="str">
        <f t="shared" si="34"/>
        <v/>
      </c>
      <c r="CE231" s="93" t="str">
        <f t="shared" si="35"/>
        <v/>
      </c>
      <c r="CF231" s="93" t="str">
        <f t="shared" si="36"/>
        <v>NA</v>
      </c>
      <c r="CG231" s="97" t="str">
        <f t="shared" si="37"/>
        <v>#N/A</v>
      </c>
      <c r="CH231" s="98" t="str">
        <f t="shared" si="38"/>
        <v>#N/A</v>
      </c>
      <c r="CI231" s="99" t="str">
        <f t="shared" si="39"/>
        <v>#N/A</v>
      </c>
      <c r="CJ231" s="126" t="str">
        <f t="shared" si="40"/>
        <v>ERROR: check cell</v>
      </c>
      <c r="CK231" s="126"/>
      <c r="CL231" s="127" t="str">
        <f t="shared" si="41"/>
        <v>#DIV/0!</v>
      </c>
      <c r="CM231" s="128" t="str">
        <f t="shared" si="42"/>
        <v>#DIV/0!</v>
      </c>
      <c r="CN231" s="128">
        <f t="shared" si="43"/>
        <v>4</v>
      </c>
      <c r="CO231" s="129">
        <f t="shared" si="44"/>
        <v>4</v>
      </c>
      <c r="CP231" s="129" t="str">
        <f>IFS(C231=Preferences!B$13,B231,B231=Preferences!B$13,C231)</f>
        <v>#N/A</v>
      </c>
    </row>
    <row r="232" ht="13.5" customHeight="1">
      <c r="A232" s="63" t="str">
        <f t="shared" si="45"/>
        <v/>
      </c>
      <c r="B232" s="64"/>
      <c r="C232" s="64"/>
      <c r="D232" s="64"/>
      <c r="E232" s="65"/>
      <c r="F232" s="65"/>
      <c r="G232" s="65"/>
      <c r="H232" s="66"/>
      <c r="I232" s="66"/>
      <c r="J232" s="67"/>
      <c r="K232" s="68"/>
      <c r="L232" s="104"/>
      <c r="M232" s="104"/>
      <c r="N232" s="104"/>
      <c r="O232" s="104"/>
      <c r="P232" s="107" t="str">
        <f t="shared" si="1"/>
        <v/>
      </c>
      <c r="Q232" s="108" t="str">
        <f>IFERROR(IF(AND(Preferences!B$3="Manual",OR(AX232/AW232&gt;G232/F232,BD232="Serious",BD232="Very serious")),"Assess imprecision",IFS(ISBLANK(E232),"",AND(Preferences!B$3="Automatic", G232/F232&gt;=30),"Extremely serious",AND(H232&lt;=$D$1*-1,J232&lt;0,G232/F232&lt;3),"Not serious",AND(H232&lt;=$D$1*-1,J232&lt;0,G232/F232&gt;=3),"Very serious",AND(H232&gt;=$D$1,I232&gt;0,G232/F232&lt;3),"Not serious",AND(H232&gt;=$D$1,I232&gt;0,G232/F232&gt;=3),"Very serious",AND(H232&lt;=$D$1*-1,J232&gt;0,I232&gt;$D$2*-1,G232/F232&lt;3),"Serious", AND(H232&lt;=$D$1*-1,J232&gt;0,I232&lt;$D$2*-1,G232/F232&lt;3),"Very serious", AND(H232&gt;=$D$1,I232&lt;0,J232&lt;$D$2,G232/F232&lt;3),"Serious",AND(H232&gt;=$D$1,I232&lt;0,J232&gt;$D$2,G232/F232&lt;3),"Very serious", AND(H232&lt;=$D$1*-1,J232&gt;0,I232&gt;$D$2*-1,G232/F232&gt;=3),"Very serious", AND(H232&lt;=$D$1*-1,J232&gt;0,I232&lt;$D$2*-1,G232/F232&gt;=3),"Very serious", AND(H232&gt;=$D$1,I232&lt;0,J232&lt;$D$2,G232/F232&gt;=3),"Very serious", AND(H232&gt;=$D$1,I232&lt;0,J232&gt;$D$2,G232/F232&gt;=3),"Very serious", AND(H232&gt;$D$1*-1,H232&lt;$D$1,I232&gt;$D$1*-1,J232&lt;$D$1,G232/F232&lt;3),"Not serious", AND(H232&gt;$D$1*-1,H232&lt;$D$1,OR(I232&lt;=$D$1*-1,J232&gt;=$D$1),I232&gt;$D$2*-1,J232&lt;$D$2,G232/F232&lt;3),"Serious", AND(H232&gt;$D$1*-1,H232&lt;$D$1,OR(I232&lt;=$D$2*-1,J232&gt;=$D$2),G232/F232&lt;3),"Very serious", AND(H232&gt;$D$1*-1,H232&lt;$D$1,I232&gt;$D$1*-1,J232&lt;$D$1,G232/F232&gt;=3),"Very serious", AND(H232&gt;$D$1*-1,H232&lt;$D$1,OR(I232&lt;=$D$1*-1,J232&gt;=$D$1),I232&gt;$D$2*-1,J232&lt;$D$2,G232/F232&gt;=3),"Very serious", AND(H232&gt;$D$1*-1,H232&lt;$D$1,OR(I232&lt;=$D$2*-1,J232&gt;=$D$2),G232/F232&gt;=3),"Very serious")),"")</f>
        <v/>
      </c>
      <c r="R232" s="109" t="str">
        <f t="shared" si="47"/>
        <v/>
      </c>
      <c r="S232" s="64"/>
      <c r="T232" s="72"/>
      <c r="U232" s="72"/>
      <c r="V232" s="72"/>
      <c r="W232" s="73"/>
      <c r="X232" s="73"/>
      <c r="Y232" s="74"/>
      <c r="Z232" s="113" t="str">
        <f t="array" ref="Z232">INDEX($A$1:$C$500, MATCH(1,($B:$B=$B232)*($C:$C=$AB232),0),1)</f>
        <v/>
      </c>
      <c r="AA232" s="113" t="str">
        <f t="array" ref="AA232">INDEX($A$1:$C$500, MATCH(1,($B:$B=$AB232)*($C:$C=$B232),0),1)</f>
        <v/>
      </c>
      <c r="AB232" s="111"/>
      <c r="AC232" s="114" t="str">
        <f t="shared" si="2"/>
        <v/>
      </c>
      <c r="AD232" s="115" t="str">
        <f t="shared" si="3"/>
        <v/>
      </c>
      <c r="AE232" s="116" t="str">
        <f t="array" ref="AE232">INDEX($A$1:$C$500, MATCH(1,($B:$B=$AB232)*($C:$C=$AG232),0),1)</f>
        <v/>
      </c>
      <c r="AF232" s="116" t="str">
        <f t="array" ref="AF232">INDEX($A$1:$C$500, MATCH(1,($B:$B=$AG232)*($C:$C=$AB232),0),1)</f>
        <v/>
      </c>
      <c r="AG232" s="72"/>
      <c r="AH232" s="114" t="str">
        <f t="shared" si="4"/>
        <v/>
      </c>
      <c r="AI232" s="115" t="str">
        <f t="shared" si="5"/>
        <v/>
      </c>
      <c r="AJ232" s="116" t="str">
        <f t="array" ref="AJ232">INDEX($A$1:$C$500, MATCH(1,($B:$B=$C232)*($C:$C=$AG232),0),1)</f>
        <v/>
      </c>
      <c r="AK232" s="116" t="str">
        <f t="array" ref="AK232">INDEX($A$1:$C$500, MATCH(1,($B:$B=$AG232)*($C:$C=$C232),0),1)</f>
        <v/>
      </c>
      <c r="AL232" s="116" t="str">
        <f t="array" ref="AL232">INDEX($A$1:$C$500, MATCH(1,($B:$B=$C232)*($C:$C=$AB232),0),1)</f>
        <v/>
      </c>
      <c r="AM232" s="116" t="str">
        <f t="array" ref="AM232">INDEX($A$1:$C$500, MATCH(1,($B:$B=$AB232)*($C:$C=$C232),0),1)</f>
        <v/>
      </c>
      <c r="AN232" s="114" t="str">
        <f t="array" ref="AN232">IFS(ISNUMBER(AJ232),AJ232,ISNUMBER(AK232),AK232,ISNUMBER(AL232),AL232,ISNUMBER(AM232),AM232)</f>
        <v>#N/A</v>
      </c>
      <c r="AO232" s="115" t="str">
        <f t="shared" si="6"/>
        <v/>
      </c>
      <c r="AP232" s="115" t="str">
        <f t="shared" si="7"/>
        <v/>
      </c>
      <c r="AQ232" s="111"/>
      <c r="AR232" s="109" t="str">
        <f t="shared" si="8"/>
        <v/>
      </c>
      <c r="AS232" s="72" t="str">
        <f>IFERROR(IF(AND(Preferences!B$3="Manual",OR(AX232/AW232&gt;V232/U232,BD232="Serious",BD232="Very serious")),"Assess imprecision",IFERROR(IFS(AND(Preferences!B$3="Automatic",V232/U232&gt;=30),"Extremely serious",AND(W232&lt;=$D$1*-1,Y232&lt;0,V232/U232&lt;3),"Not Serious",AND(W232&lt;=$D$1*-1,Y232&lt;0,V232/U232&gt;=3),"Very serious",AND(W232&gt;=$D$1,X232&gt;0,V232/U232&lt;3),"Not Serious",AND(W232&gt;=$D$1,X232&gt;0,V232/U232&gt;=3),"Very serious",AND(W232&lt;=$D$1*-1,Y232&gt;0,X232&gt;$D$2*-1,V232/U232&lt;3),"Serious", AND(W232&lt;=$D$1*-1,Y232&gt;0,X232&lt;$D$2*-1,V232/U232&lt;3),"Very serious", AND(W232&gt;=$D$1,X232&lt;0,Y232&lt;$D$2,V232/U232&lt;3),"Serious",AND(W232&gt;=$D$1,X232&lt;0,Y232&gt;$D$2,V232/U232&lt;3),"Very serious", AND(W232&lt;=$D$1*-1,Y232&gt;0,X232&gt;$D$2*-1,V232/U232&gt;=3),"Very serious", AND(W232&lt;=$D$1*-1,Y232&gt;0,X232&lt;$D$2*-1,V232/U232&gt;=3),"Very serious", AND(W232&gt;=$D$1,X232&lt;0,Y232&lt;$D$2,V232/U232&gt;=3),"Very serious", AND(W232&gt;=$D$1,X232&lt;0,Y232&gt;$D$2,V232/U232&gt;=3),"Very serious", AND(W232&gt;$D$1*-1,W232&lt;$D$1,X232&gt;$D$1*-1,Y232&lt;$D$1,V232/U232&lt;3),"Not Serious", AND(W232&gt;$D$1*-1,W232&lt;$D$1,OR(X232&lt;=$D$1*-1,Y232&gt;=$D$1),X232&gt;$D$2*-1,Y232&lt;$D$2,V232/U232&lt;3),"Serious", AND(W232&gt;$D$1*-1,W232&lt;$D$1,OR(X232&lt;=$D$2*-1,Y232&gt;=$D$2),V232/U232&lt;3),"Very serious", AND(W232&gt;$D$1*-1,W232&lt;$D$1,X232&gt;$D$1*-1,Y232&lt;$D$1,V232/U232&gt;=3),"Very serious", AND(W232&gt;$D$1*-1,W232&lt;$D$1,OR(X232&lt;=$D$1*-1,Y232&gt;=$D$1),X232&gt;$D$2*-1,Y232&lt;$D$2,V232/U232&gt;=3),"Very serious", AND(W232&gt;$D$1*-1,W232&lt;$D$1,OR(X232&lt;=$D$2*-1,Y232&gt;=$D$2),V232/U232&gt;=3),"Very serious"),"")),"")</f>
        <v/>
      </c>
      <c r="AT232" s="109" t="str">
        <f t="shared" si="9"/>
        <v/>
      </c>
      <c r="AU232" s="64"/>
      <c r="AV232" s="83"/>
      <c r="AW232" s="83"/>
      <c r="AX232" s="83"/>
      <c r="AY232" s="83"/>
      <c r="AZ232" s="83"/>
      <c r="BA232" s="85"/>
      <c r="BB232" s="86" t="str">
        <f>IF(Preferences!B$9="Manual","",IFS(ISBLANK(B232),"",AND(ISNUMBER(E232)=TRUE,ISNUMBER(T232)=FALSE),"Direct", AND(ISNUMBER(E232)=FALSE,ISNUMBER(T232)=TRUE),"Indirect", CN232=4,"Direct",AND(CL232=FALSE, CM232=TRUE,CN232-CO232&gt;-1),"Direct", AND(CL232=FALSE,CM232=TRUE, CN232-CO232&lt;0),"Check algorithm in appendix 2", AND(CL232=TRUE, CM232=FALSE,CN232-CO232&gt;0),"Check algorithm in appendix 2", AND(CL232=TRUE, CM232=FALSE,CN232-CO232=0),"Indirect", AND(CL232=TRUE, CM232=FALSE,CN232-CO232&lt;0),"Indirect", AND(CL232=FALSE,CM232=FALSE,CN232-CO232&gt;-1),"Direct", AND(CL232=FALSE,CM232=FALSE,CN232-CO232&lt;0),"Check algorithm in appendix 2", AND(CL232=TRUE,CM232=TRUE,CN232-CO232&gt;-1),"Direct", AND(CL232=TRUE,CM232=TRUE,CN232-CO232&lt;0),"Check algorithm in appendix 2"))</f>
        <v/>
      </c>
      <c r="BC232" s="120" t="str">
        <f t="shared" si="10"/>
        <v/>
      </c>
      <c r="BD232" s="140"/>
      <c r="BE232" s="122" t="str">
        <f>IF(Preferences!B$3="Manual","", IFERROR(IFS(AND(Preferences!B$3="Automatic",AX232/AW232&gt;=30),"Extremely serious",AND(AY232&lt;=$D$1*-1,BA232&lt;0,AX232/AW232&lt;3),"Not Serious",AND(AY232&lt;=$D$1*-1,BA232&lt;0,AX232/AW232&gt;=3),"Very serious",AND(AY232&gt;=$D$1,AZ232&gt;0,AX232/AW232&lt;3),"Not Serious",AND(AY232&gt;=$D$1,AZ232&gt;0,AX232/AW232&gt;=3),"Very serious",AND(AY232&lt;=$D$1*-1,BA232&gt;0,AZ232&gt;$D$2*-1,AX232/AW232&lt;3),"Serious", AND(AY232&lt;=$D$1*-1,BA232&gt;0,AZ232&lt;$D$2*-1,AX232/AW232&lt;3),"Very serious", AND(AY232&gt;=$D$1,AZ232&lt;0,BA232&lt;$D$2,AX232/AW232&lt;3),"Serious",AND(AY232&gt;=$D$1,AZ232&lt;0,BA232&gt;$D$2,AX232/AW232&lt;3),"Very serious", AND(AY232&lt;=$D$1*-1,BA232&gt;0,AZ232&gt;$D$2*-1,AX232/AW232&gt;=3),"Very serious", AND(AY232&lt;=$D$1*-1,BA232&gt;0,AZ232&lt;$D$2*-1,AX232/AW232&gt;=3),"Very serious", AND(AY232&gt;=$D$1,AZ232&lt;0,BA232&lt;$D$2,AX232/AW232&gt;=3),"Very serious", AND(AY232&gt;=$D$1,AZ232&lt;0,BA232&gt;$D$2,AX232/AW232&gt;=3),"Very serious", AND(AY232&gt;$D$1*-1,AY232&lt;$D$1,AZ232&gt;$D$1*-1,BA232&lt;$D$1,AX232/AW232&lt;3),"Not Serious", AND(AY232&gt;$D$1*-1,AY232&lt;$D$1,OR(AZ232&lt;=$D$1*-1,BA232&gt;=$D$1),AZ232&gt;$D$2*-1,BA232&lt;$D$2,AX232/AW232&lt;3),"Serious", AND(AY232&gt;$D$1*-1,AY232&lt;$D$1,OR(AZ232&lt;=$D$2*-1,BA232&gt;=$D$2),AX232/AW232&lt;3),"Very serious", AND(AY232&gt;$D$1*-1,AY232&lt;$D$1,AZ232&gt;$D$1*-1,BA232&lt;$D$1,AX232/AW232&gt;=3),"Very serious", AND(AY232&gt;$D$1*-1,AY232&lt;$D$1,OR(AZ232&lt;=$D$1*-1,BA232&gt;=$D$1),AZ232&gt;$D$2*-1,BA232&lt;$D$2,AX232/AW232&gt;=3),"Very serious", AND(AY232&gt;$D$1*-1,AY232&lt;$D$1,OR(AZ232&lt;=$D$2*-1,BA232&gt;=$D$2),AX232/AW232&gt;=3),"Very serious"),""))</f>
        <v/>
      </c>
      <c r="BF232" s="107" t="str">
        <f t="shared" si="11"/>
        <v/>
      </c>
      <c r="BG232" s="94" t="str">
        <f t="shared" si="46"/>
        <v/>
      </c>
      <c r="BH232" s="64" t="str">
        <f t="shared" si="12"/>
        <v>#N/A</v>
      </c>
      <c r="BI232" s="64" t="str">
        <f t="shared" si="13"/>
        <v/>
      </c>
      <c r="BJ232" s="123" t="str">
        <f t="shared" si="14"/>
        <v>#N/A</v>
      </c>
      <c r="BK232" s="64" t="str">
        <f t="shared" si="50"/>
        <v>YES</v>
      </c>
      <c r="BL232" s="64" t="str">
        <f t="shared" si="16"/>
        <v>YES</v>
      </c>
      <c r="BM232" s="64" t="str">
        <f t="shared" si="17"/>
        <v>YES</v>
      </c>
      <c r="BN232" s="124" t="str">
        <f t="shared" si="18"/>
        <v/>
      </c>
      <c r="BO232" s="91" t="str">
        <f t="shared" si="19"/>
        <v/>
      </c>
      <c r="BP232" s="91" t="str">
        <f t="shared" si="20"/>
        <v>#N/A</v>
      </c>
      <c r="BQ232" s="91" t="str">
        <f t="shared" si="21"/>
        <v/>
      </c>
      <c r="BR232" s="93" t="str">
        <f t="shared" si="22"/>
        <v/>
      </c>
      <c r="BS232" s="90" t="str">
        <f t="shared" si="23"/>
        <v/>
      </c>
      <c r="BT232" s="93" t="str">
        <f t="shared" si="24"/>
        <v>NA</v>
      </c>
      <c r="BU232" s="125" t="str">
        <f t="shared" si="25"/>
        <v>#N/A</v>
      </c>
      <c r="BV232" s="93" t="str">
        <f t="shared" si="26"/>
        <v/>
      </c>
      <c r="BW232" s="93" t="str">
        <f t="shared" si="27"/>
        <v/>
      </c>
      <c r="BX232" s="93" t="str">
        <f t="shared" si="28"/>
        <v>NA</v>
      </c>
      <c r="BY232" s="95" t="str">
        <f t="shared" si="29"/>
        <v>#N/A</v>
      </c>
      <c r="BZ232" s="93" t="str">
        <f t="shared" si="30"/>
        <v/>
      </c>
      <c r="CA232" s="93" t="str">
        <f t="shared" si="31"/>
        <v/>
      </c>
      <c r="CB232" s="93" t="str">
        <f t="shared" si="32"/>
        <v>NA</v>
      </c>
      <c r="CC232" s="96" t="str">
        <f t="shared" si="33"/>
        <v>#N/A</v>
      </c>
      <c r="CD232" s="93" t="str">
        <f t="shared" si="34"/>
        <v/>
      </c>
      <c r="CE232" s="93" t="str">
        <f t="shared" si="35"/>
        <v/>
      </c>
      <c r="CF232" s="93" t="str">
        <f t="shared" si="36"/>
        <v>NA</v>
      </c>
      <c r="CG232" s="97" t="str">
        <f t="shared" si="37"/>
        <v>#N/A</v>
      </c>
      <c r="CH232" s="98" t="str">
        <f t="shared" si="38"/>
        <v>#N/A</v>
      </c>
      <c r="CI232" s="99" t="str">
        <f t="shared" si="39"/>
        <v>#N/A</v>
      </c>
      <c r="CJ232" s="126" t="str">
        <f t="shared" si="40"/>
        <v>ERROR: check cell</v>
      </c>
      <c r="CK232" s="126"/>
      <c r="CL232" s="127" t="str">
        <f t="shared" si="41"/>
        <v>#DIV/0!</v>
      </c>
      <c r="CM232" s="128" t="str">
        <f t="shared" si="42"/>
        <v>#DIV/0!</v>
      </c>
      <c r="CN232" s="128">
        <f t="shared" si="43"/>
        <v>4</v>
      </c>
      <c r="CO232" s="129">
        <f t="shared" si="44"/>
        <v>4</v>
      </c>
      <c r="CP232" s="129" t="str">
        <f>IFS(C232=Preferences!B$13,B232,B232=Preferences!B$13,C232)</f>
        <v>#N/A</v>
      </c>
    </row>
    <row r="233" ht="13.5" customHeight="1">
      <c r="A233" s="63" t="str">
        <f t="shared" si="45"/>
        <v/>
      </c>
      <c r="B233" s="64"/>
      <c r="C233" s="64"/>
      <c r="D233" s="64"/>
      <c r="E233" s="65"/>
      <c r="F233" s="65"/>
      <c r="G233" s="65"/>
      <c r="H233" s="66"/>
      <c r="I233" s="66"/>
      <c r="J233" s="67"/>
      <c r="K233" s="68"/>
      <c r="L233" s="104"/>
      <c r="M233" s="104"/>
      <c r="N233" s="104"/>
      <c r="O233" s="104"/>
      <c r="P233" s="107" t="str">
        <f t="shared" si="1"/>
        <v/>
      </c>
      <c r="Q233" s="108" t="str">
        <f>IFERROR(IF(AND(Preferences!B$3="Manual",OR(AX233/AW233&gt;G233/F233,BD233="Serious",BD233="Very serious")),"Assess imprecision",IFS(ISBLANK(E233),"",AND(Preferences!B$3="Automatic", G233/F233&gt;=30),"Extremely serious",AND(H233&lt;=$D$1*-1,J233&lt;0,G233/F233&lt;3),"Not serious",AND(H233&lt;=$D$1*-1,J233&lt;0,G233/F233&gt;=3),"Very serious",AND(H233&gt;=$D$1,I233&gt;0,G233/F233&lt;3),"Not serious",AND(H233&gt;=$D$1,I233&gt;0,G233/F233&gt;=3),"Very serious",AND(H233&lt;=$D$1*-1,J233&gt;0,I233&gt;$D$2*-1,G233/F233&lt;3),"Serious", AND(H233&lt;=$D$1*-1,J233&gt;0,I233&lt;$D$2*-1,G233/F233&lt;3),"Very serious", AND(H233&gt;=$D$1,I233&lt;0,J233&lt;$D$2,G233/F233&lt;3),"Serious",AND(H233&gt;=$D$1,I233&lt;0,J233&gt;$D$2,G233/F233&lt;3),"Very serious", AND(H233&lt;=$D$1*-1,J233&gt;0,I233&gt;$D$2*-1,G233/F233&gt;=3),"Very serious", AND(H233&lt;=$D$1*-1,J233&gt;0,I233&lt;$D$2*-1,G233/F233&gt;=3),"Very serious", AND(H233&gt;=$D$1,I233&lt;0,J233&lt;$D$2,G233/F233&gt;=3),"Very serious", AND(H233&gt;=$D$1,I233&lt;0,J233&gt;$D$2,G233/F233&gt;=3),"Very serious", AND(H233&gt;$D$1*-1,H233&lt;$D$1,I233&gt;$D$1*-1,J233&lt;$D$1,G233/F233&lt;3),"Not serious", AND(H233&gt;$D$1*-1,H233&lt;$D$1,OR(I233&lt;=$D$1*-1,J233&gt;=$D$1),I233&gt;$D$2*-1,J233&lt;$D$2,G233/F233&lt;3),"Serious", AND(H233&gt;$D$1*-1,H233&lt;$D$1,OR(I233&lt;=$D$2*-1,J233&gt;=$D$2),G233/F233&lt;3),"Very serious", AND(H233&gt;$D$1*-1,H233&lt;$D$1,I233&gt;$D$1*-1,J233&lt;$D$1,G233/F233&gt;=3),"Very serious", AND(H233&gt;$D$1*-1,H233&lt;$D$1,OR(I233&lt;=$D$1*-1,J233&gt;=$D$1),I233&gt;$D$2*-1,J233&lt;$D$2,G233/F233&gt;=3),"Very serious", AND(H233&gt;$D$1*-1,H233&lt;$D$1,OR(I233&lt;=$D$2*-1,J233&gt;=$D$2),G233/F233&gt;=3),"Very serious")),"")</f>
        <v/>
      </c>
      <c r="R233" s="109" t="str">
        <f t="shared" si="47"/>
        <v/>
      </c>
      <c r="S233" s="64"/>
      <c r="T233" s="72"/>
      <c r="U233" s="72"/>
      <c r="V233" s="72"/>
      <c r="W233" s="73"/>
      <c r="X233" s="73"/>
      <c r="Y233" s="74"/>
      <c r="Z233" s="113" t="str">
        <f t="array" ref="Z233">INDEX($A$1:$C$500, MATCH(1,($B:$B=$B233)*($C:$C=$AB233),0),1)</f>
        <v/>
      </c>
      <c r="AA233" s="113" t="str">
        <f t="array" ref="AA233">INDEX($A$1:$C$500, MATCH(1,($B:$B=$AB233)*($C:$C=$B233),0),1)</f>
        <v/>
      </c>
      <c r="AB233" s="111"/>
      <c r="AC233" s="114" t="str">
        <f t="shared" si="2"/>
        <v/>
      </c>
      <c r="AD233" s="115" t="str">
        <f t="shared" si="3"/>
        <v/>
      </c>
      <c r="AE233" s="116" t="str">
        <f t="array" ref="AE233">INDEX($A$1:$C$500, MATCH(1,($B:$B=$AB233)*($C:$C=$AG233),0),1)</f>
        <v/>
      </c>
      <c r="AF233" s="116" t="str">
        <f t="array" ref="AF233">INDEX($A$1:$C$500, MATCH(1,($B:$B=$AG233)*($C:$C=$AB233),0),1)</f>
        <v/>
      </c>
      <c r="AG233" s="72"/>
      <c r="AH233" s="114" t="str">
        <f t="shared" si="4"/>
        <v/>
      </c>
      <c r="AI233" s="115" t="str">
        <f t="shared" si="5"/>
        <v/>
      </c>
      <c r="AJ233" s="116" t="str">
        <f t="array" ref="AJ233">INDEX($A$1:$C$500, MATCH(1,($B:$B=$C233)*($C:$C=$AG233),0),1)</f>
        <v/>
      </c>
      <c r="AK233" s="116" t="str">
        <f t="array" ref="AK233">INDEX($A$1:$C$500, MATCH(1,($B:$B=$AG233)*($C:$C=$C233),0),1)</f>
        <v/>
      </c>
      <c r="AL233" s="116" t="str">
        <f t="array" ref="AL233">INDEX($A$1:$C$500, MATCH(1,($B:$B=$C233)*($C:$C=$AB233),0),1)</f>
        <v/>
      </c>
      <c r="AM233" s="116" t="str">
        <f t="array" ref="AM233">INDEX($A$1:$C$500, MATCH(1,($B:$B=$AB233)*($C:$C=$C233),0),1)</f>
        <v/>
      </c>
      <c r="AN233" s="114" t="str">
        <f t="array" ref="AN233">IFS(ISNUMBER(AJ233),AJ233,ISNUMBER(AK233),AK233,ISNUMBER(AL233),AL233,ISNUMBER(AM233),AM233)</f>
        <v>#N/A</v>
      </c>
      <c r="AO233" s="115" t="str">
        <f t="shared" si="6"/>
        <v/>
      </c>
      <c r="AP233" s="115" t="str">
        <f t="shared" si="7"/>
        <v/>
      </c>
      <c r="AQ233" s="111"/>
      <c r="AR233" s="109" t="str">
        <f t="shared" si="8"/>
        <v/>
      </c>
      <c r="AS233" s="72" t="str">
        <f>IFERROR(IF(AND(Preferences!B$3="Manual",OR(AX233/AW233&gt;V233/U233,BD233="Serious",BD233="Very serious")),"Assess imprecision",IFERROR(IFS(AND(Preferences!B$3="Automatic",V233/U233&gt;=30),"Extremely serious",AND(W233&lt;=$D$1*-1,Y233&lt;0,V233/U233&lt;3),"Not Serious",AND(W233&lt;=$D$1*-1,Y233&lt;0,V233/U233&gt;=3),"Very serious",AND(W233&gt;=$D$1,X233&gt;0,V233/U233&lt;3),"Not Serious",AND(W233&gt;=$D$1,X233&gt;0,V233/U233&gt;=3),"Very serious",AND(W233&lt;=$D$1*-1,Y233&gt;0,X233&gt;$D$2*-1,V233/U233&lt;3),"Serious", AND(W233&lt;=$D$1*-1,Y233&gt;0,X233&lt;$D$2*-1,V233/U233&lt;3),"Very serious", AND(W233&gt;=$D$1,X233&lt;0,Y233&lt;$D$2,V233/U233&lt;3),"Serious",AND(W233&gt;=$D$1,X233&lt;0,Y233&gt;$D$2,V233/U233&lt;3),"Very serious", AND(W233&lt;=$D$1*-1,Y233&gt;0,X233&gt;$D$2*-1,V233/U233&gt;=3),"Very serious", AND(W233&lt;=$D$1*-1,Y233&gt;0,X233&lt;$D$2*-1,V233/U233&gt;=3),"Very serious", AND(W233&gt;=$D$1,X233&lt;0,Y233&lt;$D$2,V233/U233&gt;=3),"Very serious", AND(W233&gt;=$D$1,X233&lt;0,Y233&gt;$D$2,V233/U233&gt;=3),"Very serious", AND(W233&gt;$D$1*-1,W233&lt;$D$1,X233&gt;$D$1*-1,Y233&lt;$D$1,V233/U233&lt;3),"Not Serious", AND(W233&gt;$D$1*-1,W233&lt;$D$1,OR(X233&lt;=$D$1*-1,Y233&gt;=$D$1),X233&gt;$D$2*-1,Y233&lt;$D$2,V233/U233&lt;3),"Serious", AND(W233&gt;$D$1*-1,W233&lt;$D$1,OR(X233&lt;=$D$2*-1,Y233&gt;=$D$2),V233/U233&lt;3),"Very serious", AND(W233&gt;$D$1*-1,W233&lt;$D$1,X233&gt;$D$1*-1,Y233&lt;$D$1,V233/U233&gt;=3),"Very serious", AND(W233&gt;$D$1*-1,W233&lt;$D$1,OR(X233&lt;=$D$1*-1,Y233&gt;=$D$1),X233&gt;$D$2*-1,Y233&lt;$D$2,V233/U233&gt;=3),"Very serious", AND(W233&gt;$D$1*-1,W233&lt;$D$1,OR(X233&lt;=$D$2*-1,Y233&gt;=$D$2),V233/U233&gt;=3),"Very serious"),"")),"")</f>
        <v/>
      </c>
      <c r="AT233" s="109" t="str">
        <f t="shared" si="9"/>
        <v/>
      </c>
      <c r="AU233" s="64"/>
      <c r="AV233" s="83"/>
      <c r="AW233" s="83"/>
      <c r="AX233" s="83"/>
      <c r="AY233" s="83"/>
      <c r="AZ233" s="83"/>
      <c r="BA233" s="85"/>
      <c r="BB233" s="86" t="str">
        <f>IF(Preferences!B$9="Manual","",IFS(ISBLANK(B233),"",AND(ISNUMBER(E233)=TRUE,ISNUMBER(T233)=FALSE),"Direct", AND(ISNUMBER(E233)=FALSE,ISNUMBER(T233)=TRUE),"Indirect", CN233=4,"Direct",AND(CL233=FALSE, CM233=TRUE,CN233-CO233&gt;-1),"Direct", AND(CL233=FALSE,CM233=TRUE, CN233-CO233&lt;0),"Check algorithm in appendix 2", AND(CL233=TRUE, CM233=FALSE,CN233-CO233&gt;0),"Check algorithm in appendix 2", AND(CL233=TRUE, CM233=FALSE,CN233-CO233=0),"Indirect", AND(CL233=TRUE, CM233=FALSE,CN233-CO233&lt;0),"Indirect", AND(CL233=FALSE,CM233=FALSE,CN233-CO233&gt;-1),"Direct", AND(CL233=FALSE,CM233=FALSE,CN233-CO233&lt;0),"Check algorithm in appendix 2", AND(CL233=TRUE,CM233=TRUE,CN233-CO233&gt;-1),"Direct", AND(CL233=TRUE,CM233=TRUE,CN233-CO233&lt;0),"Check algorithm in appendix 2"))</f>
        <v/>
      </c>
      <c r="BC233" s="120" t="str">
        <f t="shared" si="10"/>
        <v/>
      </c>
      <c r="BD233" s="140"/>
      <c r="BE233" s="122" t="str">
        <f>IF(Preferences!B$3="Manual","", IFERROR(IFS(AND(Preferences!B$3="Automatic",AX233/AW233&gt;=30),"Extremely serious",AND(AY233&lt;=$D$1*-1,BA233&lt;0,AX233/AW233&lt;3),"Not Serious",AND(AY233&lt;=$D$1*-1,BA233&lt;0,AX233/AW233&gt;=3),"Very serious",AND(AY233&gt;=$D$1,AZ233&gt;0,AX233/AW233&lt;3),"Not Serious",AND(AY233&gt;=$D$1,AZ233&gt;0,AX233/AW233&gt;=3),"Very serious",AND(AY233&lt;=$D$1*-1,BA233&gt;0,AZ233&gt;$D$2*-1,AX233/AW233&lt;3),"Serious", AND(AY233&lt;=$D$1*-1,BA233&gt;0,AZ233&lt;$D$2*-1,AX233/AW233&lt;3),"Very serious", AND(AY233&gt;=$D$1,AZ233&lt;0,BA233&lt;$D$2,AX233/AW233&lt;3),"Serious",AND(AY233&gt;=$D$1,AZ233&lt;0,BA233&gt;$D$2,AX233/AW233&lt;3),"Very serious", AND(AY233&lt;=$D$1*-1,BA233&gt;0,AZ233&gt;$D$2*-1,AX233/AW233&gt;=3),"Very serious", AND(AY233&lt;=$D$1*-1,BA233&gt;0,AZ233&lt;$D$2*-1,AX233/AW233&gt;=3),"Very serious", AND(AY233&gt;=$D$1,AZ233&lt;0,BA233&lt;$D$2,AX233/AW233&gt;=3),"Very serious", AND(AY233&gt;=$D$1,AZ233&lt;0,BA233&gt;$D$2,AX233/AW233&gt;=3),"Very serious", AND(AY233&gt;$D$1*-1,AY233&lt;$D$1,AZ233&gt;$D$1*-1,BA233&lt;$D$1,AX233/AW233&lt;3),"Not Serious", AND(AY233&gt;$D$1*-1,AY233&lt;$D$1,OR(AZ233&lt;=$D$1*-1,BA233&gt;=$D$1),AZ233&gt;$D$2*-1,BA233&lt;$D$2,AX233/AW233&lt;3),"Serious", AND(AY233&gt;$D$1*-1,AY233&lt;$D$1,OR(AZ233&lt;=$D$2*-1,BA233&gt;=$D$2),AX233/AW233&lt;3),"Very serious", AND(AY233&gt;$D$1*-1,AY233&lt;$D$1,AZ233&gt;$D$1*-1,BA233&lt;$D$1,AX233/AW233&gt;=3),"Very serious", AND(AY233&gt;$D$1*-1,AY233&lt;$D$1,OR(AZ233&lt;=$D$1*-1,BA233&gt;=$D$1),AZ233&gt;$D$2*-1,BA233&lt;$D$2,AX233/AW233&gt;=3),"Very serious", AND(AY233&gt;$D$1*-1,AY233&lt;$D$1,OR(AZ233&lt;=$D$2*-1,BA233&gt;=$D$2),AX233/AW233&gt;=3),"Very serious"),""))</f>
        <v/>
      </c>
      <c r="BF233" s="107" t="str">
        <f t="shared" si="11"/>
        <v/>
      </c>
      <c r="BG233" s="94" t="str">
        <f t="shared" si="46"/>
        <v/>
      </c>
      <c r="BH233" s="64" t="str">
        <f t="shared" si="12"/>
        <v>#N/A</v>
      </c>
      <c r="BI233" s="64" t="str">
        <f t="shared" si="13"/>
        <v/>
      </c>
      <c r="BJ233" s="123" t="str">
        <f t="shared" si="14"/>
        <v>#N/A</v>
      </c>
      <c r="BK233" s="64" t="str">
        <f t="shared" si="50"/>
        <v>YES</v>
      </c>
      <c r="BL233" s="64" t="str">
        <f t="shared" si="16"/>
        <v>YES</v>
      </c>
      <c r="BM233" s="64" t="str">
        <f t="shared" si="17"/>
        <v>YES</v>
      </c>
      <c r="BN233" s="124" t="str">
        <f t="shared" si="18"/>
        <v/>
      </c>
      <c r="BO233" s="91" t="str">
        <f t="shared" si="19"/>
        <v/>
      </c>
      <c r="BP233" s="91" t="str">
        <f t="shared" si="20"/>
        <v>#N/A</v>
      </c>
      <c r="BQ233" s="91" t="str">
        <f t="shared" si="21"/>
        <v/>
      </c>
      <c r="BR233" s="93" t="str">
        <f t="shared" si="22"/>
        <v/>
      </c>
      <c r="BS233" s="90" t="str">
        <f t="shared" si="23"/>
        <v/>
      </c>
      <c r="BT233" s="93" t="str">
        <f t="shared" si="24"/>
        <v>NA</v>
      </c>
      <c r="BU233" s="125" t="str">
        <f t="shared" si="25"/>
        <v>#N/A</v>
      </c>
      <c r="BV233" s="93" t="str">
        <f t="shared" si="26"/>
        <v/>
      </c>
      <c r="BW233" s="93" t="str">
        <f t="shared" si="27"/>
        <v/>
      </c>
      <c r="BX233" s="93" t="str">
        <f t="shared" si="28"/>
        <v>NA</v>
      </c>
      <c r="BY233" s="95" t="str">
        <f t="shared" si="29"/>
        <v>#N/A</v>
      </c>
      <c r="BZ233" s="93" t="str">
        <f t="shared" si="30"/>
        <v/>
      </c>
      <c r="CA233" s="93" t="str">
        <f t="shared" si="31"/>
        <v/>
      </c>
      <c r="CB233" s="93" t="str">
        <f t="shared" si="32"/>
        <v>NA</v>
      </c>
      <c r="CC233" s="96" t="str">
        <f t="shared" si="33"/>
        <v>#N/A</v>
      </c>
      <c r="CD233" s="93" t="str">
        <f t="shared" si="34"/>
        <v/>
      </c>
      <c r="CE233" s="93" t="str">
        <f t="shared" si="35"/>
        <v/>
      </c>
      <c r="CF233" s="93" t="str">
        <f t="shared" si="36"/>
        <v>NA</v>
      </c>
      <c r="CG233" s="97" t="str">
        <f t="shared" si="37"/>
        <v>#N/A</v>
      </c>
      <c r="CH233" s="98" t="str">
        <f t="shared" si="38"/>
        <v>#N/A</v>
      </c>
      <c r="CI233" s="99" t="str">
        <f t="shared" si="39"/>
        <v>#N/A</v>
      </c>
      <c r="CJ233" s="126" t="str">
        <f t="shared" si="40"/>
        <v>ERROR: check cell</v>
      </c>
      <c r="CK233" s="126"/>
      <c r="CL233" s="127" t="str">
        <f t="shared" si="41"/>
        <v>#DIV/0!</v>
      </c>
      <c r="CM233" s="128" t="str">
        <f t="shared" si="42"/>
        <v>#DIV/0!</v>
      </c>
      <c r="CN233" s="128">
        <f t="shared" si="43"/>
        <v>4</v>
      </c>
      <c r="CO233" s="129">
        <f t="shared" si="44"/>
        <v>4</v>
      </c>
      <c r="CP233" s="129" t="str">
        <f>IFS(C233=Preferences!B$13,B233,B233=Preferences!B$13,C233)</f>
        <v>#N/A</v>
      </c>
    </row>
    <row r="234" ht="13.5" customHeight="1">
      <c r="A234" s="63" t="str">
        <f t="shared" si="45"/>
        <v/>
      </c>
      <c r="B234" s="64"/>
      <c r="C234" s="64"/>
      <c r="D234" s="64"/>
      <c r="E234" s="65"/>
      <c r="F234" s="65"/>
      <c r="G234" s="65"/>
      <c r="H234" s="66"/>
      <c r="I234" s="66"/>
      <c r="J234" s="67"/>
      <c r="K234" s="68"/>
      <c r="L234" s="104"/>
      <c r="M234" s="104"/>
      <c r="N234" s="104"/>
      <c r="O234" s="104"/>
      <c r="P234" s="107" t="str">
        <f t="shared" si="1"/>
        <v/>
      </c>
      <c r="Q234" s="108" t="str">
        <f>IFERROR(IF(AND(Preferences!B$3="Manual",OR(AX234/AW234&gt;G234/F234,BD234="Serious",BD234="Very serious")),"Assess imprecision",IFS(ISBLANK(E234),"",AND(Preferences!B$3="Automatic", G234/F234&gt;=30),"Extremely serious",AND(H234&lt;=$D$1*-1,J234&lt;0,G234/F234&lt;3),"Not serious",AND(H234&lt;=$D$1*-1,J234&lt;0,G234/F234&gt;=3),"Very serious",AND(H234&gt;=$D$1,I234&gt;0,G234/F234&lt;3),"Not serious",AND(H234&gt;=$D$1,I234&gt;0,G234/F234&gt;=3),"Very serious",AND(H234&lt;=$D$1*-1,J234&gt;0,I234&gt;$D$2*-1,G234/F234&lt;3),"Serious", AND(H234&lt;=$D$1*-1,J234&gt;0,I234&lt;$D$2*-1,G234/F234&lt;3),"Very serious", AND(H234&gt;=$D$1,I234&lt;0,J234&lt;$D$2,G234/F234&lt;3),"Serious",AND(H234&gt;=$D$1,I234&lt;0,J234&gt;$D$2,G234/F234&lt;3),"Very serious", AND(H234&lt;=$D$1*-1,J234&gt;0,I234&gt;$D$2*-1,G234/F234&gt;=3),"Very serious", AND(H234&lt;=$D$1*-1,J234&gt;0,I234&lt;$D$2*-1,G234/F234&gt;=3),"Very serious", AND(H234&gt;=$D$1,I234&lt;0,J234&lt;$D$2,G234/F234&gt;=3),"Very serious", AND(H234&gt;=$D$1,I234&lt;0,J234&gt;$D$2,G234/F234&gt;=3),"Very serious", AND(H234&gt;$D$1*-1,H234&lt;$D$1,I234&gt;$D$1*-1,J234&lt;$D$1,G234/F234&lt;3),"Not serious", AND(H234&gt;$D$1*-1,H234&lt;$D$1,OR(I234&lt;=$D$1*-1,J234&gt;=$D$1),I234&gt;$D$2*-1,J234&lt;$D$2,G234/F234&lt;3),"Serious", AND(H234&gt;$D$1*-1,H234&lt;$D$1,OR(I234&lt;=$D$2*-1,J234&gt;=$D$2),G234/F234&lt;3),"Very serious", AND(H234&gt;$D$1*-1,H234&lt;$D$1,I234&gt;$D$1*-1,J234&lt;$D$1,G234/F234&gt;=3),"Very serious", AND(H234&gt;$D$1*-1,H234&lt;$D$1,OR(I234&lt;=$D$1*-1,J234&gt;=$D$1),I234&gt;$D$2*-1,J234&lt;$D$2,G234/F234&gt;=3),"Very serious", AND(H234&gt;$D$1*-1,H234&lt;$D$1,OR(I234&lt;=$D$2*-1,J234&gt;=$D$2),G234/F234&gt;=3),"Very serious")),"")</f>
        <v/>
      </c>
      <c r="R234" s="109" t="str">
        <f t="shared" si="47"/>
        <v/>
      </c>
      <c r="S234" s="64"/>
      <c r="T234" s="72"/>
      <c r="U234" s="72"/>
      <c r="V234" s="72"/>
      <c r="W234" s="73"/>
      <c r="X234" s="73"/>
      <c r="Y234" s="74"/>
      <c r="Z234" s="113" t="str">
        <f t="array" ref="Z234">INDEX($A$1:$C$500, MATCH(1,($B:$B=$B234)*($C:$C=$AB234),0),1)</f>
        <v/>
      </c>
      <c r="AA234" s="113" t="str">
        <f t="array" ref="AA234">INDEX($A$1:$C$500, MATCH(1,($B:$B=$AB234)*($C:$C=$B234),0),1)</f>
        <v/>
      </c>
      <c r="AB234" s="111"/>
      <c r="AC234" s="114" t="str">
        <f t="shared" si="2"/>
        <v/>
      </c>
      <c r="AD234" s="115" t="str">
        <f t="shared" si="3"/>
        <v/>
      </c>
      <c r="AE234" s="116" t="str">
        <f t="array" ref="AE234">INDEX($A$1:$C$500, MATCH(1,($B:$B=$AB234)*($C:$C=$AG234),0),1)</f>
        <v/>
      </c>
      <c r="AF234" s="116" t="str">
        <f t="array" ref="AF234">INDEX($A$1:$C$500, MATCH(1,($B:$B=$AG234)*($C:$C=$AB234),0),1)</f>
        <v/>
      </c>
      <c r="AG234" s="72"/>
      <c r="AH234" s="114" t="str">
        <f t="shared" si="4"/>
        <v/>
      </c>
      <c r="AI234" s="115" t="str">
        <f t="shared" si="5"/>
        <v/>
      </c>
      <c r="AJ234" s="116" t="str">
        <f t="array" ref="AJ234">INDEX($A$1:$C$500, MATCH(1,($B:$B=$C234)*($C:$C=$AG234),0),1)</f>
        <v/>
      </c>
      <c r="AK234" s="116" t="str">
        <f t="array" ref="AK234">INDEX($A$1:$C$500, MATCH(1,($B:$B=$AG234)*($C:$C=$C234),0),1)</f>
        <v/>
      </c>
      <c r="AL234" s="116" t="str">
        <f t="array" ref="AL234">INDEX($A$1:$C$500, MATCH(1,($B:$B=$C234)*($C:$C=$AB234),0),1)</f>
        <v/>
      </c>
      <c r="AM234" s="116" t="str">
        <f t="array" ref="AM234">INDEX($A$1:$C$500, MATCH(1,($B:$B=$AB234)*($C:$C=$C234),0),1)</f>
        <v/>
      </c>
      <c r="AN234" s="114" t="str">
        <f t="array" ref="AN234">IFS(ISNUMBER(AJ234),AJ234,ISNUMBER(AK234),AK234,ISNUMBER(AL234),AL234,ISNUMBER(AM234),AM234)</f>
        <v>#N/A</v>
      </c>
      <c r="AO234" s="115" t="str">
        <f t="shared" si="6"/>
        <v/>
      </c>
      <c r="AP234" s="115" t="str">
        <f t="shared" si="7"/>
        <v/>
      </c>
      <c r="AQ234" s="111"/>
      <c r="AR234" s="109" t="str">
        <f t="shared" si="8"/>
        <v/>
      </c>
      <c r="AS234" s="72" t="str">
        <f>IFERROR(IF(AND(Preferences!B$3="Manual",OR(AX234/AW234&gt;V234/U234,BD234="Serious",BD234="Very serious")),"Assess imprecision",IFERROR(IFS(AND(Preferences!B$3="Automatic",V234/U234&gt;=30),"Extremely serious",AND(W234&lt;=$D$1*-1,Y234&lt;0,V234/U234&lt;3),"Not Serious",AND(W234&lt;=$D$1*-1,Y234&lt;0,V234/U234&gt;=3),"Very serious",AND(W234&gt;=$D$1,X234&gt;0,V234/U234&lt;3),"Not Serious",AND(W234&gt;=$D$1,X234&gt;0,V234/U234&gt;=3),"Very serious",AND(W234&lt;=$D$1*-1,Y234&gt;0,X234&gt;$D$2*-1,V234/U234&lt;3),"Serious", AND(W234&lt;=$D$1*-1,Y234&gt;0,X234&lt;$D$2*-1,V234/U234&lt;3),"Very serious", AND(W234&gt;=$D$1,X234&lt;0,Y234&lt;$D$2,V234/U234&lt;3),"Serious",AND(W234&gt;=$D$1,X234&lt;0,Y234&gt;$D$2,V234/U234&lt;3),"Very serious", AND(W234&lt;=$D$1*-1,Y234&gt;0,X234&gt;$D$2*-1,V234/U234&gt;=3),"Very serious", AND(W234&lt;=$D$1*-1,Y234&gt;0,X234&lt;$D$2*-1,V234/U234&gt;=3),"Very serious", AND(W234&gt;=$D$1,X234&lt;0,Y234&lt;$D$2,V234/U234&gt;=3),"Very serious", AND(W234&gt;=$D$1,X234&lt;0,Y234&gt;$D$2,V234/U234&gt;=3),"Very serious", AND(W234&gt;$D$1*-1,W234&lt;$D$1,X234&gt;$D$1*-1,Y234&lt;$D$1,V234/U234&lt;3),"Not Serious", AND(W234&gt;$D$1*-1,W234&lt;$D$1,OR(X234&lt;=$D$1*-1,Y234&gt;=$D$1),X234&gt;$D$2*-1,Y234&lt;$D$2,V234/U234&lt;3),"Serious", AND(W234&gt;$D$1*-1,W234&lt;$D$1,OR(X234&lt;=$D$2*-1,Y234&gt;=$D$2),V234/U234&lt;3),"Very serious", AND(W234&gt;$D$1*-1,W234&lt;$D$1,X234&gt;$D$1*-1,Y234&lt;$D$1,V234/U234&gt;=3),"Very serious", AND(W234&gt;$D$1*-1,W234&lt;$D$1,OR(X234&lt;=$D$1*-1,Y234&gt;=$D$1),X234&gt;$D$2*-1,Y234&lt;$D$2,V234/U234&gt;=3),"Very serious", AND(W234&gt;$D$1*-1,W234&lt;$D$1,OR(X234&lt;=$D$2*-1,Y234&gt;=$D$2),V234/U234&gt;=3),"Very serious"),"")),"")</f>
        <v/>
      </c>
      <c r="AT234" s="109" t="str">
        <f t="shared" si="9"/>
        <v/>
      </c>
      <c r="AU234" s="64"/>
      <c r="AV234" s="83"/>
      <c r="AW234" s="83"/>
      <c r="AX234" s="83"/>
      <c r="AY234" s="83"/>
      <c r="AZ234" s="83"/>
      <c r="BA234" s="85"/>
      <c r="BB234" s="86" t="str">
        <f>IF(Preferences!B$9="Manual","",IFS(ISBLANK(B234),"",AND(ISNUMBER(E234)=TRUE,ISNUMBER(T234)=FALSE),"Direct", AND(ISNUMBER(E234)=FALSE,ISNUMBER(T234)=TRUE),"Indirect", CN234=4,"Direct",AND(CL234=FALSE, CM234=TRUE,CN234-CO234&gt;-1),"Direct", AND(CL234=FALSE,CM234=TRUE, CN234-CO234&lt;0),"Check algorithm in appendix 2", AND(CL234=TRUE, CM234=FALSE,CN234-CO234&gt;0),"Check algorithm in appendix 2", AND(CL234=TRUE, CM234=FALSE,CN234-CO234=0),"Indirect", AND(CL234=TRUE, CM234=FALSE,CN234-CO234&lt;0),"Indirect", AND(CL234=FALSE,CM234=FALSE,CN234-CO234&gt;-1),"Direct", AND(CL234=FALSE,CM234=FALSE,CN234-CO234&lt;0),"Check algorithm in appendix 2", AND(CL234=TRUE,CM234=TRUE,CN234-CO234&gt;-1),"Direct", AND(CL234=TRUE,CM234=TRUE,CN234-CO234&lt;0),"Check algorithm in appendix 2"))</f>
        <v/>
      </c>
      <c r="BC234" s="120" t="str">
        <f t="shared" si="10"/>
        <v/>
      </c>
      <c r="BD234" s="140"/>
      <c r="BE234" s="122" t="str">
        <f>IF(Preferences!B$3="Manual","", IFERROR(IFS(AND(Preferences!B$3="Automatic",AX234/AW234&gt;=30),"Extremely serious",AND(AY234&lt;=$D$1*-1,BA234&lt;0,AX234/AW234&lt;3),"Not Serious",AND(AY234&lt;=$D$1*-1,BA234&lt;0,AX234/AW234&gt;=3),"Very serious",AND(AY234&gt;=$D$1,AZ234&gt;0,AX234/AW234&lt;3),"Not Serious",AND(AY234&gt;=$D$1,AZ234&gt;0,AX234/AW234&gt;=3),"Very serious",AND(AY234&lt;=$D$1*-1,BA234&gt;0,AZ234&gt;$D$2*-1,AX234/AW234&lt;3),"Serious", AND(AY234&lt;=$D$1*-1,BA234&gt;0,AZ234&lt;$D$2*-1,AX234/AW234&lt;3),"Very serious", AND(AY234&gt;=$D$1,AZ234&lt;0,BA234&lt;$D$2,AX234/AW234&lt;3),"Serious",AND(AY234&gt;=$D$1,AZ234&lt;0,BA234&gt;$D$2,AX234/AW234&lt;3),"Very serious", AND(AY234&lt;=$D$1*-1,BA234&gt;0,AZ234&gt;$D$2*-1,AX234/AW234&gt;=3),"Very serious", AND(AY234&lt;=$D$1*-1,BA234&gt;0,AZ234&lt;$D$2*-1,AX234/AW234&gt;=3),"Very serious", AND(AY234&gt;=$D$1,AZ234&lt;0,BA234&lt;$D$2,AX234/AW234&gt;=3),"Very serious", AND(AY234&gt;=$D$1,AZ234&lt;0,BA234&gt;$D$2,AX234/AW234&gt;=3),"Very serious", AND(AY234&gt;$D$1*-1,AY234&lt;$D$1,AZ234&gt;$D$1*-1,BA234&lt;$D$1,AX234/AW234&lt;3),"Not Serious", AND(AY234&gt;$D$1*-1,AY234&lt;$D$1,OR(AZ234&lt;=$D$1*-1,BA234&gt;=$D$1),AZ234&gt;$D$2*-1,BA234&lt;$D$2,AX234/AW234&lt;3),"Serious", AND(AY234&gt;$D$1*-1,AY234&lt;$D$1,OR(AZ234&lt;=$D$2*-1,BA234&gt;=$D$2),AX234/AW234&lt;3),"Very serious", AND(AY234&gt;$D$1*-1,AY234&lt;$D$1,AZ234&gt;$D$1*-1,BA234&lt;$D$1,AX234/AW234&gt;=3),"Very serious", AND(AY234&gt;$D$1*-1,AY234&lt;$D$1,OR(AZ234&lt;=$D$1*-1,BA234&gt;=$D$1),AZ234&gt;$D$2*-1,BA234&lt;$D$2,AX234/AW234&gt;=3),"Very serious", AND(AY234&gt;$D$1*-1,AY234&lt;$D$1,OR(AZ234&lt;=$D$2*-1,BA234&gt;=$D$2),AX234/AW234&gt;=3),"Very serious"),""))</f>
        <v/>
      </c>
      <c r="BF234" s="107" t="str">
        <f t="shared" si="11"/>
        <v/>
      </c>
      <c r="BG234" s="94" t="str">
        <f t="shared" si="46"/>
        <v/>
      </c>
      <c r="BH234" s="64" t="str">
        <f t="shared" si="12"/>
        <v>#N/A</v>
      </c>
      <c r="BI234" s="64" t="str">
        <f t="shared" si="13"/>
        <v/>
      </c>
      <c r="BJ234" s="123" t="str">
        <f t="shared" si="14"/>
        <v>#N/A</v>
      </c>
      <c r="BK234" s="64" t="str">
        <f t="shared" si="50"/>
        <v>YES</v>
      </c>
      <c r="BL234" s="64" t="str">
        <f t="shared" si="16"/>
        <v>YES</v>
      </c>
      <c r="BM234" s="64" t="str">
        <f t="shared" si="17"/>
        <v>YES</v>
      </c>
      <c r="BN234" s="124" t="str">
        <f t="shared" si="18"/>
        <v/>
      </c>
      <c r="BO234" s="91" t="str">
        <f t="shared" si="19"/>
        <v/>
      </c>
      <c r="BP234" s="91" t="str">
        <f t="shared" si="20"/>
        <v>#N/A</v>
      </c>
      <c r="BQ234" s="91" t="str">
        <f t="shared" si="21"/>
        <v/>
      </c>
      <c r="BR234" s="93" t="str">
        <f t="shared" si="22"/>
        <v/>
      </c>
      <c r="BS234" s="90" t="str">
        <f t="shared" si="23"/>
        <v/>
      </c>
      <c r="BT234" s="93" t="str">
        <f t="shared" si="24"/>
        <v>NA</v>
      </c>
      <c r="BU234" s="125" t="str">
        <f t="shared" si="25"/>
        <v>#N/A</v>
      </c>
      <c r="BV234" s="93" t="str">
        <f t="shared" si="26"/>
        <v/>
      </c>
      <c r="BW234" s="93" t="str">
        <f t="shared" si="27"/>
        <v/>
      </c>
      <c r="BX234" s="93" t="str">
        <f t="shared" si="28"/>
        <v>NA</v>
      </c>
      <c r="BY234" s="95" t="str">
        <f t="shared" si="29"/>
        <v>#N/A</v>
      </c>
      <c r="BZ234" s="93" t="str">
        <f t="shared" si="30"/>
        <v/>
      </c>
      <c r="CA234" s="93" t="str">
        <f t="shared" si="31"/>
        <v/>
      </c>
      <c r="CB234" s="93" t="str">
        <f t="shared" si="32"/>
        <v>NA</v>
      </c>
      <c r="CC234" s="96" t="str">
        <f t="shared" si="33"/>
        <v>#N/A</v>
      </c>
      <c r="CD234" s="93" t="str">
        <f t="shared" si="34"/>
        <v/>
      </c>
      <c r="CE234" s="93" t="str">
        <f t="shared" si="35"/>
        <v/>
      </c>
      <c r="CF234" s="93" t="str">
        <f t="shared" si="36"/>
        <v>NA</v>
      </c>
      <c r="CG234" s="97" t="str">
        <f t="shared" si="37"/>
        <v>#N/A</v>
      </c>
      <c r="CH234" s="98" t="str">
        <f t="shared" si="38"/>
        <v>#N/A</v>
      </c>
      <c r="CI234" s="99" t="str">
        <f t="shared" si="39"/>
        <v>#N/A</v>
      </c>
      <c r="CJ234" s="126" t="str">
        <f t="shared" si="40"/>
        <v>ERROR: check cell</v>
      </c>
      <c r="CK234" s="126"/>
      <c r="CL234" s="127" t="str">
        <f t="shared" si="41"/>
        <v>#DIV/0!</v>
      </c>
      <c r="CM234" s="128" t="str">
        <f t="shared" si="42"/>
        <v>#DIV/0!</v>
      </c>
      <c r="CN234" s="128">
        <f t="shared" si="43"/>
        <v>4</v>
      </c>
      <c r="CO234" s="129">
        <f t="shared" si="44"/>
        <v>4</v>
      </c>
      <c r="CP234" s="129" t="str">
        <f>IFS(C234=Preferences!B$13,B234,B234=Preferences!B$13,C234)</f>
        <v>#N/A</v>
      </c>
    </row>
    <row r="235" ht="13.5" customHeight="1">
      <c r="A235" s="63" t="str">
        <f t="shared" si="45"/>
        <v/>
      </c>
      <c r="B235" s="64"/>
      <c r="C235" s="64"/>
      <c r="D235" s="64"/>
      <c r="E235" s="65"/>
      <c r="F235" s="65"/>
      <c r="G235" s="65"/>
      <c r="H235" s="66"/>
      <c r="I235" s="66"/>
      <c r="J235" s="67"/>
      <c r="K235" s="68"/>
      <c r="L235" s="104"/>
      <c r="M235" s="104"/>
      <c r="N235" s="104"/>
      <c r="O235" s="104"/>
      <c r="P235" s="107" t="str">
        <f t="shared" si="1"/>
        <v/>
      </c>
      <c r="Q235" s="108" t="str">
        <f>IFERROR(IF(AND(Preferences!B$3="Manual",OR(AX235/AW235&gt;G235/F235,BD235="Serious",BD235="Very serious")),"Assess imprecision",IFS(ISBLANK(E235),"",AND(Preferences!B$3="Automatic", G235/F235&gt;=30),"Extremely serious",AND(H235&lt;=$D$1*-1,J235&lt;0,G235/F235&lt;3),"Not serious",AND(H235&lt;=$D$1*-1,J235&lt;0,G235/F235&gt;=3),"Very serious",AND(H235&gt;=$D$1,I235&gt;0,G235/F235&lt;3),"Not serious",AND(H235&gt;=$D$1,I235&gt;0,G235/F235&gt;=3),"Very serious",AND(H235&lt;=$D$1*-1,J235&gt;0,I235&gt;$D$2*-1,G235/F235&lt;3),"Serious", AND(H235&lt;=$D$1*-1,J235&gt;0,I235&lt;$D$2*-1,G235/F235&lt;3),"Very serious", AND(H235&gt;=$D$1,I235&lt;0,J235&lt;$D$2,G235/F235&lt;3),"Serious",AND(H235&gt;=$D$1,I235&lt;0,J235&gt;$D$2,G235/F235&lt;3),"Very serious", AND(H235&lt;=$D$1*-1,J235&gt;0,I235&gt;$D$2*-1,G235/F235&gt;=3),"Very serious", AND(H235&lt;=$D$1*-1,J235&gt;0,I235&lt;$D$2*-1,G235/F235&gt;=3),"Very serious", AND(H235&gt;=$D$1,I235&lt;0,J235&lt;$D$2,G235/F235&gt;=3),"Very serious", AND(H235&gt;=$D$1,I235&lt;0,J235&gt;$D$2,G235/F235&gt;=3),"Very serious", AND(H235&gt;$D$1*-1,H235&lt;$D$1,I235&gt;$D$1*-1,J235&lt;$D$1,G235/F235&lt;3),"Not serious", AND(H235&gt;$D$1*-1,H235&lt;$D$1,OR(I235&lt;=$D$1*-1,J235&gt;=$D$1),I235&gt;$D$2*-1,J235&lt;$D$2,G235/F235&lt;3),"Serious", AND(H235&gt;$D$1*-1,H235&lt;$D$1,OR(I235&lt;=$D$2*-1,J235&gt;=$D$2),G235/F235&lt;3),"Very serious", AND(H235&gt;$D$1*-1,H235&lt;$D$1,I235&gt;$D$1*-1,J235&lt;$D$1,G235/F235&gt;=3),"Very serious", AND(H235&gt;$D$1*-1,H235&lt;$D$1,OR(I235&lt;=$D$1*-1,J235&gt;=$D$1),I235&gt;$D$2*-1,J235&lt;$D$2,G235/F235&gt;=3),"Very serious", AND(H235&gt;$D$1*-1,H235&lt;$D$1,OR(I235&lt;=$D$2*-1,J235&gt;=$D$2),G235/F235&gt;=3),"Very serious")),"")</f>
        <v/>
      </c>
      <c r="R235" s="109" t="str">
        <f t="shared" si="47"/>
        <v/>
      </c>
      <c r="S235" s="64"/>
      <c r="T235" s="72"/>
      <c r="U235" s="72"/>
      <c r="V235" s="72"/>
      <c r="W235" s="73"/>
      <c r="X235" s="73"/>
      <c r="Y235" s="74"/>
      <c r="Z235" s="113" t="str">
        <f t="array" ref="Z235">INDEX($A$1:$C$500, MATCH(1,($B:$B=$B235)*($C:$C=$AB235),0),1)</f>
        <v/>
      </c>
      <c r="AA235" s="113" t="str">
        <f t="array" ref="AA235">INDEX($A$1:$C$500, MATCH(1,($B:$B=$AB235)*($C:$C=$B235),0),1)</f>
        <v/>
      </c>
      <c r="AB235" s="111"/>
      <c r="AC235" s="114" t="str">
        <f t="shared" si="2"/>
        <v/>
      </c>
      <c r="AD235" s="115" t="str">
        <f t="shared" si="3"/>
        <v/>
      </c>
      <c r="AE235" s="116" t="str">
        <f t="array" ref="AE235">INDEX($A$1:$C$500, MATCH(1,($B:$B=$AB235)*($C:$C=$AG235),0),1)</f>
        <v/>
      </c>
      <c r="AF235" s="116" t="str">
        <f t="array" ref="AF235">INDEX($A$1:$C$500, MATCH(1,($B:$B=$AG235)*($C:$C=$AB235),0),1)</f>
        <v/>
      </c>
      <c r="AG235" s="72"/>
      <c r="AH235" s="114" t="str">
        <f t="shared" si="4"/>
        <v/>
      </c>
      <c r="AI235" s="115" t="str">
        <f t="shared" si="5"/>
        <v/>
      </c>
      <c r="AJ235" s="116" t="str">
        <f t="array" ref="AJ235">INDEX($A$1:$C$500, MATCH(1,($B:$B=$C235)*($C:$C=$AG235),0),1)</f>
        <v/>
      </c>
      <c r="AK235" s="116" t="str">
        <f t="array" ref="AK235">INDEX($A$1:$C$500, MATCH(1,($B:$B=$AG235)*($C:$C=$C235),0),1)</f>
        <v/>
      </c>
      <c r="AL235" s="116" t="str">
        <f t="array" ref="AL235">INDEX($A$1:$C$500, MATCH(1,($B:$B=$C235)*($C:$C=$AB235),0),1)</f>
        <v/>
      </c>
      <c r="AM235" s="116" t="str">
        <f t="array" ref="AM235">INDEX($A$1:$C$500, MATCH(1,($B:$B=$AB235)*($C:$C=$C235),0),1)</f>
        <v/>
      </c>
      <c r="AN235" s="114" t="str">
        <f t="array" ref="AN235">IFS(ISNUMBER(AJ235),AJ235,ISNUMBER(AK235),AK235,ISNUMBER(AL235),AL235,ISNUMBER(AM235),AM235)</f>
        <v>#N/A</v>
      </c>
      <c r="AO235" s="115" t="str">
        <f t="shared" si="6"/>
        <v/>
      </c>
      <c r="AP235" s="115" t="str">
        <f t="shared" si="7"/>
        <v/>
      </c>
      <c r="AQ235" s="111"/>
      <c r="AR235" s="109" t="str">
        <f t="shared" si="8"/>
        <v/>
      </c>
      <c r="AS235" s="72" t="str">
        <f>IFERROR(IF(AND(Preferences!B$3="Manual",OR(AX235/AW235&gt;V235/U235,BD235="Serious",BD235="Very serious")),"Assess imprecision",IFERROR(IFS(AND(Preferences!B$3="Automatic",V235/U235&gt;=30),"Extremely serious",AND(W235&lt;=$D$1*-1,Y235&lt;0,V235/U235&lt;3),"Not Serious",AND(W235&lt;=$D$1*-1,Y235&lt;0,V235/U235&gt;=3),"Very serious",AND(W235&gt;=$D$1,X235&gt;0,V235/U235&lt;3),"Not Serious",AND(W235&gt;=$D$1,X235&gt;0,V235/U235&gt;=3),"Very serious",AND(W235&lt;=$D$1*-1,Y235&gt;0,X235&gt;$D$2*-1,V235/U235&lt;3),"Serious", AND(W235&lt;=$D$1*-1,Y235&gt;0,X235&lt;$D$2*-1,V235/U235&lt;3),"Very serious", AND(W235&gt;=$D$1,X235&lt;0,Y235&lt;$D$2,V235/U235&lt;3),"Serious",AND(W235&gt;=$D$1,X235&lt;0,Y235&gt;$D$2,V235/U235&lt;3),"Very serious", AND(W235&lt;=$D$1*-1,Y235&gt;0,X235&gt;$D$2*-1,V235/U235&gt;=3),"Very serious", AND(W235&lt;=$D$1*-1,Y235&gt;0,X235&lt;$D$2*-1,V235/U235&gt;=3),"Very serious", AND(W235&gt;=$D$1,X235&lt;0,Y235&lt;$D$2,V235/U235&gt;=3),"Very serious", AND(W235&gt;=$D$1,X235&lt;0,Y235&gt;$D$2,V235/U235&gt;=3),"Very serious", AND(W235&gt;$D$1*-1,W235&lt;$D$1,X235&gt;$D$1*-1,Y235&lt;$D$1,V235/U235&lt;3),"Not Serious", AND(W235&gt;$D$1*-1,W235&lt;$D$1,OR(X235&lt;=$D$1*-1,Y235&gt;=$D$1),X235&gt;$D$2*-1,Y235&lt;$D$2,V235/U235&lt;3),"Serious", AND(W235&gt;$D$1*-1,W235&lt;$D$1,OR(X235&lt;=$D$2*-1,Y235&gt;=$D$2),V235/U235&lt;3),"Very serious", AND(W235&gt;$D$1*-1,W235&lt;$D$1,X235&gt;$D$1*-1,Y235&lt;$D$1,V235/U235&gt;=3),"Very serious", AND(W235&gt;$D$1*-1,W235&lt;$D$1,OR(X235&lt;=$D$1*-1,Y235&gt;=$D$1),X235&gt;$D$2*-1,Y235&lt;$D$2,V235/U235&gt;=3),"Very serious", AND(W235&gt;$D$1*-1,W235&lt;$D$1,OR(X235&lt;=$D$2*-1,Y235&gt;=$D$2),V235/U235&gt;=3),"Very serious"),"")),"")</f>
        <v/>
      </c>
      <c r="AT235" s="109" t="str">
        <f t="shared" si="9"/>
        <v/>
      </c>
      <c r="AU235" s="64"/>
      <c r="AV235" s="83"/>
      <c r="AW235" s="83"/>
      <c r="AX235" s="83"/>
      <c r="AY235" s="83"/>
      <c r="AZ235" s="83"/>
      <c r="BA235" s="85"/>
      <c r="BB235" s="86" t="str">
        <f>IF(Preferences!B$9="Manual","",IFS(ISBLANK(B235),"",AND(ISNUMBER(E235)=TRUE,ISNUMBER(T235)=FALSE),"Direct", AND(ISNUMBER(E235)=FALSE,ISNUMBER(T235)=TRUE),"Indirect", CN235=4,"Direct",AND(CL235=FALSE, CM235=TRUE,CN235-CO235&gt;-1),"Direct", AND(CL235=FALSE,CM235=TRUE, CN235-CO235&lt;0),"Check algorithm in appendix 2", AND(CL235=TRUE, CM235=FALSE,CN235-CO235&gt;0),"Check algorithm in appendix 2", AND(CL235=TRUE, CM235=FALSE,CN235-CO235=0),"Indirect", AND(CL235=TRUE, CM235=FALSE,CN235-CO235&lt;0),"Indirect", AND(CL235=FALSE,CM235=FALSE,CN235-CO235&gt;-1),"Direct", AND(CL235=FALSE,CM235=FALSE,CN235-CO235&lt;0),"Check algorithm in appendix 2", AND(CL235=TRUE,CM235=TRUE,CN235-CO235&gt;-1),"Direct", AND(CL235=TRUE,CM235=TRUE,CN235-CO235&lt;0),"Check algorithm in appendix 2"))</f>
        <v/>
      </c>
      <c r="BC235" s="120" t="str">
        <f t="shared" si="10"/>
        <v/>
      </c>
      <c r="BD235" s="140"/>
      <c r="BE235" s="122" t="str">
        <f>IF(Preferences!B$3="Manual","", IFERROR(IFS(AND(Preferences!B$3="Automatic",AX235/AW235&gt;=30),"Extremely serious",AND(AY235&lt;=$D$1*-1,BA235&lt;0,AX235/AW235&lt;3),"Not Serious",AND(AY235&lt;=$D$1*-1,BA235&lt;0,AX235/AW235&gt;=3),"Very serious",AND(AY235&gt;=$D$1,AZ235&gt;0,AX235/AW235&lt;3),"Not Serious",AND(AY235&gt;=$D$1,AZ235&gt;0,AX235/AW235&gt;=3),"Very serious",AND(AY235&lt;=$D$1*-1,BA235&gt;0,AZ235&gt;$D$2*-1,AX235/AW235&lt;3),"Serious", AND(AY235&lt;=$D$1*-1,BA235&gt;0,AZ235&lt;$D$2*-1,AX235/AW235&lt;3),"Very serious", AND(AY235&gt;=$D$1,AZ235&lt;0,BA235&lt;$D$2,AX235/AW235&lt;3),"Serious",AND(AY235&gt;=$D$1,AZ235&lt;0,BA235&gt;$D$2,AX235/AW235&lt;3),"Very serious", AND(AY235&lt;=$D$1*-1,BA235&gt;0,AZ235&gt;$D$2*-1,AX235/AW235&gt;=3),"Very serious", AND(AY235&lt;=$D$1*-1,BA235&gt;0,AZ235&lt;$D$2*-1,AX235/AW235&gt;=3),"Very serious", AND(AY235&gt;=$D$1,AZ235&lt;0,BA235&lt;$D$2,AX235/AW235&gt;=3),"Very serious", AND(AY235&gt;=$D$1,AZ235&lt;0,BA235&gt;$D$2,AX235/AW235&gt;=3),"Very serious", AND(AY235&gt;$D$1*-1,AY235&lt;$D$1,AZ235&gt;$D$1*-1,BA235&lt;$D$1,AX235/AW235&lt;3),"Not Serious", AND(AY235&gt;$D$1*-1,AY235&lt;$D$1,OR(AZ235&lt;=$D$1*-1,BA235&gt;=$D$1),AZ235&gt;$D$2*-1,BA235&lt;$D$2,AX235/AW235&lt;3),"Serious", AND(AY235&gt;$D$1*-1,AY235&lt;$D$1,OR(AZ235&lt;=$D$2*-1,BA235&gt;=$D$2),AX235/AW235&lt;3),"Very serious", AND(AY235&gt;$D$1*-1,AY235&lt;$D$1,AZ235&gt;$D$1*-1,BA235&lt;$D$1,AX235/AW235&gt;=3),"Very serious", AND(AY235&gt;$D$1*-1,AY235&lt;$D$1,OR(AZ235&lt;=$D$1*-1,BA235&gt;=$D$1),AZ235&gt;$D$2*-1,BA235&lt;$D$2,AX235/AW235&gt;=3),"Very serious", AND(AY235&gt;$D$1*-1,AY235&lt;$D$1,OR(AZ235&lt;=$D$2*-1,BA235&gt;=$D$2),AX235/AW235&gt;=3),"Very serious"),""))</f>
        <v/>
      </c>
      <c r="BF235" s="107" t="str">
        <f t="shared" si="11"/>
        <v/>
      </c>
      <c r="BG235" s="94" t="str">
        <f t="shared" si="46"/>
        <v/>
      </c>
      <c r="BH235" s="64" t="str">
        <f t="shared" si="12"/>
        <v>#N/A</v>
      </c>
      <c r="BI235" s="64" t="str">
        <f t="shared" si="13"/>
        <v/>
      </c>
      <c r="BJ235" s="123" t="str">
        <f t="shared" si="14"/>
        <v>#N/A</v>
      </c>
      <c r="BK235" s="64" t="str">
        <f t="shared" si="50"/>
        <v>YES</v>
      </c>
      <c r="BL235" s="64" t="str">
        <f t="shared" si="16"/>
        <v>YES</v>
      </c>
      <c r="BM235" s="64" t="str">
        <f t="shared" si="17"/>
        <v>YES</v>
      </c>
      <c r="BN235" s="124" t="str">
        <f t="shared" si="18"/>
        <v/>
      </c>
      <c r="BO235" s="91" t="str">
        <f t="shared" si="19"/>
        <v/>
      </c>
      <c r="BP235" s="91" t="str">
        <f t="shared" si="20"/>
        <v>#N/A</v>
      </c>
      <c r="BQ235" s="91" t="str">
        <f t="shared" si="21"/>
        <v/>
      </c>
      <c r="BR235" s="93" t="str">
        <f t="shared" si="22"/>
        <v/>
      </c>
      <c r="BS235" s="90" t="str">
        <f t="shared" si="23"/>
        <v/>
      </c>
      <c r="BT235" s="93" t="str">
        <f t="shared" si="24"/>
        <v>NA</v>
      </c>
      <c r="BU235" s="125" t="str">
        <f t="shared" si="25"/>
        <v>#N/A</v>
      </c>
      <c r="BV235" s="93" t="str">
        <f t="shared" si="26"/>
        <v/>
      </c>
      <c r="BW235" s="93" t="str">
        <f t="shared" si="27"/>
        <v/>
      </c>
      <c r="BX235" s="93" t="str">
        <f t="shared" si="28"/>
        <v>NA</v>
      </c>
      <c r="BY235" s="95" t="str">
        <f t="shared" si="29"/>
        <v>#N/A</v>
      </c>
      <c r="BZ235" s="93" t="str">
        <f t="shared" si="30"/>
        <v/>
      </c>
      <c r="CA235" s="93" t="str">
        <f t="shared" si="31"/>
        <v/>
      </c>
      <c r="CB235" s="93" t="str">
        <f t="shared" si="32"/>
        <v>NA</v>
      </c>
      <c r="CC235" s="96" t="str">
        <f t="shared" si="33"/>
        <v>#N/A</v>
      </c>
      <c r="CD235" s="93" t="str">
        <f t="shared" si="34"/>
        <v/>
      </c>
      <c r="CE235" s="93" t="str">
        <f t="shared" si="35"/>
        <v/>
      </c>
      <c r="CF235" s="93" t="str">
        <f t="shared" si="36"/>
        <v>NA</v>
      </c>
      <c r="CG235" s="97" t="str">
        <f t="shared" si="37"/>
        <v>#N/A</v>
      </c>
      <c r="CH235" s="98" t="str">
        <f t="shared" si="38"/>
        <v>#N/A</v>
      </c>
      <c r="CI235" s="99" t="str">
        <f t="shared" si="39"/>
        <v>#N/A</v>
      </c>
      <c r="CJ235" s="126" t="str">
        <f t="shared" si="40"/>
        <v>ERROR: check cell</v>
      </c>
      <c r="CK235" s="126"/>
      <c r="CL235" s="127" t="str">
        <f t="shared" si="41"/>
        <v>#DIV/0!</v>
      </c>
      <c r="CM235" s="128" t="str">
        <f t="shared" si="42"/>
        <v>#DIV/0!</v>
      </c>
      <c r="CN235" s="128">
        <f t="shared" si="43"/>
        <v>4</v>
      </c>
      <c r="CO235" s="129">
        <f t="shared" si="44"/>
        <v>4</v>
      </c>
      <c r="CP235" s="129" t="str">
        <f>IFS(C235=Preferences!B$13,B235,B235=Preferences!B$13,C235)</f>
        <v>#N/A</v>
      </c>
    </row>
    <row r="236" ht="13.5" customHeight="1">
      <c r="A236" s="63" t="str">
        <f t="shared" si="45"/>
        <v/>
      </c>
      <c r="B236" s="64"/>
      <c r="C236" s="64"/>
      <c r="D236" s="64"/>
      <c r="E236" s="65"/>
      <c r="F236" s="65"/>
      <c r="G236" s="65"/>
      <c r="H236" s="66"/>
      <c r="I236" s="66"/>
      <c r="J236" s="67"/>
      <c r="K236" s="68"/>
      <c r="L236" s="104"/>
      <c r="M236" s="104"/>
      <c r="N236" s="104"/>
      <c r="O236" s="104"/>
      <c r="P236" s="107" t="str">
        <f t="shared" si="1"/>
        <v/>
      </c>
      <c r="Q236" s="108" t="str">
        <f>IFERROR(IF(AND(Preferences!B$3="Manual",OR(AX236/AW236&gt;G236/F236,BD236="Serious",BD236="Very serious")),"Assess imprecision",IFS(ISBLANK(E236),"",AND(Preferences!B$3="Automatic", G236/F236&gt;=30),"Extremely serious",AND(H236&lt;=$D$1*-1,J236&lt;0,G236/F236&lt;3),"Not serious",AND(H236&lt;=$D$1*-1,J236&lt;0,G236/F236&gt;=3),"Very serious",AND(H236&gt;=$D$1,I236&gt;0,G236/F236&lt;3),"Not serious",AND(H236&gt;=$D$1,I236&gt;0,G236/F236&gt;=3),"Very serious",AND(H236&lt;=$D$1*-1,J236&gt;0,I236&gt;$D$2*-1,G236/F236&lt;3),"Serious", AND(H236&lt;=$D$1*-1,J236&gt;0,I236&lt;$D$2*-1,G236/F236&lt;3),"Very serious", AND(H236&gt;=$D$1,I236&lt;0,J236&lt;$D$2,G236/F236&lt;3),"Serious",AND(H236&gt;=$D$1,I236&lt;0,J236&gt;$D$2,G236/F236&lt;3),"Very serious", AND(H236&lt;=$D$1*-1,J236&gt;0,I236&gt;$D$2*-1,G236/F236&gt;=3),"Very serious", AND(H236&lt;=$D$1*-1,J236&gt;0,I236&lt;$D$2*-1,G236/F236&gt;=3),"Very serious", AND(H236&gt;=$D$1,I236&lt;0,J236&lt;$D$2,G236/F236&gt;=3),"Very serious", AND(H236&gt;=$D$1,I236&lt;0,J236&gt;$D$2,G236/F236&gt;=3),"Very serious", AND(H236&gt;$D$1*-1,H236&lt;$D$1,I236&gt;$D$1*-1,J236&lt;$D$1,G236/F236&lt;3),"Not serious", AND(H236&gt;$D$1*-1,H236&lt;$D$1,OR(I236&lt;=$D$1*-1,J236&gt;=$D$1),I236&gt;$D$2*-1,J236&lt;$D$2,G236/F236&lt;3),"Serious", AND(H236&gt;$D$1*-1,H236&lt;$D$1,OR(I236&lt;=$D$2*-1,J236&gt;=$D$2),G236/F236&lt;3),"Very serious", AND(H236&gt;$D$1*-1,H236&lt;$D$1,I236&gt;$D$1*-1,J236&lt;$D$1,G236/F236&gt;=3),"Very serious", AND(H236&gt;$D$1*-1,H236&lt;$D$1,OR(I236&lt;=$D$1*-1,J236&gt;=$D$1),I236&gt;$D$2*-1,J236&lt;$D$2,G236/F236&gt;=3),"Very serious", AND(H236&gt;$D$1*-1,H236&lt;$D$1,OR(I236&lt;=$D$2*-1,J236&gt;=$D$2),G236/F236&gt;=3),"Very serious")),"")</f>
        <v/>
      </c>
      <c r="R236" s="109" t="str">
        <f t="shared" si="47"/>
        <v/>
      </c>
      <c r="S236" s="64"/>
      <c r="T236" s="72"/>
      <c r="U236" s="72"/>
      <c r="V236" s="72"/>
      <c r="W236" s="73"/>
      <c r="X236" s="73"/>
      <c r="Y236" s="74"/>
      <c r="Z236" s="113" t="str">
        <f t="array" ref="Z236">INDEX($A$1:$C$500, MATCH(1,($B:$B=$B236)*($C:$C=$AB236),0),1)</f>
        <v/>
      </c>
      <c r="AA236" s="113" t="str">
        <f t="array" ref="AA236">INDEX($A$1:$C$500, MATCH(1,($B:$B=$AB236)*($C:$C=$B236),0),1)</f>
        <v/>
      </c>
      <c r="AB236" s="111"/>
      <c r="AC236" s="114" t="str">
        <f t="shared" si="2"/>
        <v/>
      </c>
      <c r="AD236" s="115" t="str">
        <f t="shared" si="3"/>
        <v/>
      </c>
      <c r="AE236" s="116" t="str">
        <f t="array" ref="AE236">INDEX($A$1:$C$500, MATCH(1,($B:$B=$AB236)*($C:$C=$AG236),0),1)</f>
        <v/>
      </c>
      <c r="AF236" s="116" t="str">
        <f t="array" ref="AF236">INDEX($A$1:$C$500, MATCH(1,($B:$B=$AG236)*($C:$C=$AB236),0),1)</f>
        <v/>
      </c>
      <c r="AG236" s="72"/>
      <c r="AH236" s="114" t="str">
        <f t="shared" si="4"/>
        <v/>
      </c>
      <c r="AI236" s="115" t="str">
        <f t="shared" si="5"/>
        <v/>
      </c>
      <c r="AJ236" s="116" t="str">
        <f t="array" ref="AJ236">INDEX($A$1:$C$500, MATCH(1,($B:$B=$C236)*($C:$C=$AG236),0),1)</f>
        <v/>
      </c>
      <c r="AK236" s="116" t="str">
        <f t="array" ref="AK236">INDEX($A$1:$C$500, MATCH(1,($B:$B=$AG236)*($C:$C=$C236),0),1)</f>
        <v/>
      </c>
      <c r="AL236" s="116" t="str">
        <f t="array" ref="AL236">INDEX($A$1:$C$500, MATCH(1,($B:$B=$C236)*($C:$C=$AB236),0),1)</f>
        <v/>
      </c>
      <c r="AM236" s="116" t="str">
        <f t="array" ref="AM236">INDEX($A$1:$C$500, MATCH(1,($B:$B=$AB236)*($C:$C=$C236),0),1)</f>
        <v/>
      </c>
      <c r="AN236" s="114" t="str">
        <f t="array" ref="AN236">IFS(ISNUMBER(AJ236),AJ236,ISNUMBER(AK236),AK236,ISNUMBER(AL236),AL236,ISNUMBER(AM236),AM236)</f>
        <v>#N/A</v>
      </c>
      <c r="AO236" s="115" t="str">
        <f t="shared" si="6"/>
        <v/>
      </c>
      <c r="AP236" s="115" t="str">
        <f t="shared" si="7"/>
        <v/>
      </c>
      <c r="AQ236" s="111"/>
      <c r="AR236" s="109" t="str">
        <f t="shared" si="8"/>
        <v/>
      </c>
      <c r="AS236" s="72" t="str">
        <f>IFERROR(IF(AND(Preferences!B$3="Manual",OR(AX236/AW236&gt;V236/U236,BD236="Serious",BD236="Very serious")),"Assess imprecision",IFERROR(IFS(AND(Preferences!B$3="Automatic",V236/U236&gt;=30),"Extremely serious",AND(W236&lt;=$D$1*-1,Y236&lt;0,V236/U236&lt;3),"Not Serious",AND(W236&lt;=$D$1*-1,Y236&lt;0,V236/U236&gt;=3),"Very serious",AND(W236&gt;=$D$1,X236&gt;0,V236/U236&lt;3),"Not Serious",AND(W236&gt;=$D$1,X236&gt;0,V236/U236&gt;=3),"Very serious",AND(W236&lt;=$D$1*-1,Y236&gt;0,X236&gt;$D$2*-1,V236/U236&lt;3),"Serious", AND(W236&lt;=$D$1*-1,Y236&gt;0,X236&lt;$D$2*-1,V236/U236&lt;3),"Very serious", AND(W236&gt;=$D$1,X236&lt;0,Y236&lt;$D$2,V236/U236&lt;3),"Serious",AND(W236&gt;=$D$1,X236&lt;0,Y236&gt;$D$2,V236/U236&lt;3),"Very serious", AND(W236&lt;=$D$1*-1,Y236&gt;0,X236&gt;$D$2*-1,V236/U236&gt;=3),"Very serious", AND(W236&lt;=$D$1*-1,Y236&gt;0,X236&lt;$D$2*-1,V236/U236&gt;=3),"Very serious", AND(W236&gt;=$D$1,X236&lt;0,Y236&lt;$D$2,V236/U236&gt;=3),"Very serious", AND(W236&gt;=$D$1,X236&lt;0,Y236&gt;$D$2,V236/U236&gt;=3),"Very serious", AND(W236&gt;$D$1*-1,W236&lt;$D$1,X236&gt;$D$1*-1,Y236&lt;$D$1,V236/U236&lt;3),"Not Serious", AND(W236&gt;$D$1*-1,W236&lt;$D$1,OR(X236&lt;=$D$1*-1,Y236&gt;=$D$1),X236&gt;$D$2*-1,Y236&lt;$D$2,V236/U236&lt;3),"Serious", AND(W236&gt;$D$1*-1,W236&lt;$D$1,OR(X236&lt;=$D$2*-1,Y236&gt;=$D$2),V236/U236&lt;3),"Very serious", AND(W236&gt;$D$1*-1,W236&lt;$D$1,X236&gt;$D$1*-1,Y236&lt;$D$1,V236/U236&gt;=3),"Very serious", AND(W236&gt;$D$1*-1,W236&lt;$D$1,OR(X236&lt;=$D$1*-1,Y236&gt;=$D$1),X236&gt;$D$2*-1,Y236&lt;$D$2,V236/U236&gt;=3),"Very serious", AND(W236&gt;$D$1*-1,W236&lt;$D$1,OR(X236&lt;=$D$2*-1,Y236&gt;=$D$2),V236/U236&gt;=3),"Very serious"),"")),"")</f>
        <v/>
      </c>
      <c r="AT236" s="109" t="str">
        <f t="shared" si="9"/>
        <v/>
      </c>
      <c r="AU236" s="64"/>
      <c r="AV236" s="83"/>
      <c r="AW236" s="83"/>
      <c r="AX236" s="83"/>
      <c r="AY236" s="83"/>
      <c r="AZ236" s="83"/>
      <c r="BA236" s="85"/>
      <c r="BB236" s="86" t="str">
        <f>IF(Preferences!B$9="Manual","",IFS(ISBLANK(B236),"",AND(ISNUMBER(E236)=TRUE,ISNUMBER(T236)=FALSE),"Direct", AND(ISNUMBER(E236)=FALSE,ISNUMBER(T236)=TRUE),"Indirect", CN236=4,"Direct",AND(CL236=FALSE, CM236=TRUE,CN236-CO236&gt;-1),"Direct", AND(CL236=FALSE,CM236=TRUE, CN236-CO236&lt;0),"Check algorithm in appendix 2", AND(CL236=TRUE, CM236=FALSE,CN236-CO236&gt;0),"Check algorithm in appendix 2", AND(CL236=TRUE, CM236=FALSE,CN236-CO236=0),"Indirect", AND(CL236=TRUE, CM236=FALSE,CN236-CO236&lt;0),"Indirect", AND(CL236=FALSE,CM236=FALSE,CN236-CO236&gt;-1),"Direct", AND(CL236=FALSE,CM236=FALSE,CN236-CO236&lt;0),"Check algorithm in appendix 2", AND(CL236=TRUE,CM236=TRUE,CN236-CO236&gt;-1),"Direct", AND(CL236=TRUE,CM236=TRUE,CN236-CO236&lt;0),"Check algorithm in appendix 2"))</f>
        <v/>
      </c>
      <c r="BC236" s="120" t="str">
        <f t="shared" si="10"/>
        <v/>
      </c>
      <c r="BD236" s="140"/>
      <c r="BE236" s="122" t="str">
        <f>IF(Preferences!B$3="Manual","", IFERROR(IFS(AND(Preferences!B$3="Automatic",AX236/AW236&gt;=30),"Extremely serious",AND(AY236&lt;=$D$1*-1,BA236&lt;0,AX236/AW236&lt;3),"Not Serious",AND(AY236&lt;=$D$1*-1,BA236&lt;0,AX236/AW236&gt;=3),"Very serious",AND(AY236&gt;=$D$1,AZ236&gt;0,AX236/AW236&lt;3),"Not Serious",AND(AY236&gt;=$D$1,AZ236&gt;0,AX236/AW236&gt;=3),"Very serious",AND(AY236&lt;=$D$1*-1,BA236&gt;0,AZ236&gt;$D$2*-1,AX236/AW236&lt;3),"Serious", AND(AY236&lt;=$D$1*-1,BA236&gt;0,AZ236&lt;$D$2*-1,AX236/AW236&lt;3),"Very serious", AND(AY236&gt;=$D$1,AZ236&lt;0,BA236&lt;$D$2,AX236/AW236&lt;3),"Serious",AND(AY236&gt;=$D$1,AZ236&lt;0,BA236&gt;$D$2,AX236/AW236&lt;3),"Very serious", AND(AY236&lt;=$D$1*-1,BA236&gt;0,AZ236&gt;$D$2*-1,AX236/AW236&gt;=3),"Very serious", AND(AY236&lt;=$D$1*-1,BA236&gt;0,AZ236&lt;$D$2*-1,AX236/AW236&gt;=3),"Very serious", AND(AY236&gt;=$D$1,AZ236&lt;0,BA236&lt;$D$2,AX236/AW236&gt;=3),"Very serious", AND(AY236&gt;=$D$1,AZ236&lt;0,BA236&gt;$D$2,AX236/AW236&gt;=3),"Very serious", AND(AY236&gt;$D$1*-1,AY236&lt;$D$1,AZ236&gt;$D$1*-1,BA236&lt;$D$1,AX236/AW236&lt;3),"Not Serious", AND(AY236&gt;$D$1*-1,AY236&lt;$D$1,OR(AZ236&lt;=$D$1*-1,BA236&gt;=$D$1),AZ236&gt;$D$2*-1,BA236&lt;$D$2,AX236/AW236&lt;3),"Serious", AND(AY236&gt;$D$1*-1,AY236&lt;$D$1,OR(AZ236&lt;=$D$2*-1,BA236&gt;=$D$2),AX236/AW236&lt;3),"Very serious", AND(AY236&gt;$D$1*-1,AY236&lt;$D$1,AZ236&gt;$D$1*-1,BA236&lt;$D$1,AX236/AW236&gt;=3),"Very serious", AND(AY236&gt;$D$1*-1,AY236&lt;$D$1,OR(AZ236&lt;=$D$1*-1,BA236&gt;=$D$1),AZ236&gt;$D$2*-1,BA236&lt;$D$2,AX236/AW236&gt;=3),"Very serious", AND(AY236&gt;$D$1*-1,AY236&lt;$D$1,OR(AZ236&lt;=$D$2*-1,BA236&gt;=$D$2),AX236/AW236&gt;=3),"Very serious"),""))</f>
        <v/>
      </c>
      <c r="BF236" s="107" t="str">
        <f t="shared" si="11"/>
        <v/>
      </c>
      <c r="BG236" s="94" t="str">
        <f t="shared" si="46"/>
        <v/>
      </c>
      <c r="BH236" s="64" t="str">
        <f t="shared" si="12"/>
        <v>#N/A</v>
      </c>
      <c r="BI236" s="64" t="str">
        <f t="shared" si="13"/>
        <v/>
      </c>
      <c r="BJ236" s="123" t="str">
        <f t="shared" si="14"/>
        <v>#N/A</v>
      </c>
      <c r="BK236" s="64" t="str">
        <f t="shared" si="50"/>
        <v>YES</v>
      </c>
      <c r="BL236" s="64" t="str">
        <f t="shared" si="16"/>
        <v>YES</v>
      </c>
      <c r="BM236" s="64" t="str">
        <f t="shared" si="17"/>
        <v>YES</v>
      </c>
      <c r="BN236" s="124" t="str">
        <f t="shared" si="18"/>
        <v/>
      </c>
      <c r="BO236" s="91" t="str">
        <f t="shared" si="19"/>
        <v/>
      </c>
      <c r="BP236" s="91" t="str">
        <f t="shared" si="20"/>
        <v>#N/A</v>
      </c>
      <c r="BQ236" s="91" t="str">
        <f t="shared" si="21"/>
        <v/>
      </c>
      <c r="BR236" s="93" t="str">
        <f t="shared" si="22"/>
        <v/>
      </c>
      <c r="BS236" s="90" t="str">
        <f t="shared" si="23"/>
        <v/>
      </c>
      <c r="BT236" s="93" t="str">
        <f t="shared" si="24"/>
        <v>NA</v>
      </c>
      <c r="BU236" s="125" t="str">
        <f t="shared" si="25"/>
        <v>#N/A</v>
      </c>
      <c r="BV236" s="93" t="str">
        <f t="shared" si="26"/>
        <v/>
      </c>
      <c r="BW236" s="93" t="str">
        <f t="shared" si="27"/>
        <v/>
      </c>
      <c r="BX236" s="93" t="str">
        <f t="shared" si="28"/>
        <v>NA</v>
      </c>
      <c r="BY236" s="95" t="str">
        <f t="shared" si="29"/>
        <v>#N/A</v>
      </c>
      <c r="BZ236" s="93" t="str">
        <f t="shared" si="30"/>
        <v/>
      </c>
      <c r="CA236" s="93" t="str">
        <f t="shared" si="31"/>
        <v/>
      </c>
      <c r="CB236" s="93" t="str">
        <f t="shared" si="32"/>
        <v>NA</v>
      </c>
      <c r="CC236" s="96" t="str">
        <f t="shared" si="33"/>
        <v>#N/A</v>
      </c>
      <c r="CD236" s="93" t="str">
        <f t="shared" si="34"/>
        <v/>
      </c>
      <c r="CE236" s="93" t="str">
        <f t="shared" si="35"/>
        <v/>
      </c>
      <c r="CF236" s="93" t="str">
        <f t="shared" si="36"/>
        <v>NA</v>
      </c>
      <c r="CG236" s="97" t="str">
        <f t="shared" si="37"/>
        <v>#N/A</v>
      </c>
      <c r="CH236" s="98" t="str">
        <f t="shared" si="38"/>
        <v>#N/A</v>
      </c>
      <c r="CI236" s="99" t="str">
        <f t="shared" si="39"/>
        <v>#N/A</v>
      </c>
      <c r="CJ236" s="126" t="str">
        <f t="shared" si="40"/>
        <v>ERROR: check cell</v>
      </c>
      <c r="CK236" s="126"/>
      <c r="CL236" s="127" t="str">
        <f t="shared" si="41"/>
        <v>#DIV/0!</v>
      </c>
      <c r="CM236" s="128" t="str">
        <f t="shared" si="42"/>
        <v>#DIV/0!</v>
      </c>
      <c r="CN236" s="128">
        <f t="shared" si="43"/>
        <v>4</v>
      </c>
      <c r="CO236" s="129">
        <f t="shared" si="44"/>
        <v>4</v>
      </c>
      <c r="CP236" s="129" t="str">
        <f>IFS(C236=Preferences!B$13,B236,B236=Preferences!B$13,C236)</f>
        <v>#N/A</v>
      </c>
    </row>
    <row r="237" ht="13.5" customHeight="1">
      <c r="A237" s="63" t="str">
        <f t="shared" si="45"/>
        <v/>
      </c>
      <c r="B237" s="64"/>
      <c r="C237" s="64"/>
      <c r="D237" s="64"/>
      <c r="E237" s="65"/>
      <c r="F237" s="65"/>
      <c r="G237" s="65"/>
      <c r="H237" s="66"/>
      <c r="I237" s="66"/>
      <c r="J237" s="67"/>
      <c r="K237" s="68"/>
      <c r="L237" s="104"/>
      <c r="M237" s="104"/>
      <c r="N237" s="104"/>
      <c r="O237" s="104"/>
      <c r="P237" s="107" t="str">
        <f t="shared" si="1"/>
        <v/>
      </c>
      <c r="Q237" s="108" t="str">
        <f>IFERROR(IF(AND(Preferences!B$3="Manual",OR(AX237/AW237&gt;G237/F237,BD237="Serious",BD237="Very serious")),"Assess imprecision",IFS(ISBLANK(E237),"",AND(Preferences!B$3="Automatic", G237/F237&gt;=30),"Extremely serious",AND(H237&lt;=$D$1*-1,J237&lt;0,G237/F237&lt;3),"Not serious",AND(H237&lt;=$D$1*-1,J237&lt;0,G237/F237&gt;=3),"Very serious",AND(H237&gt;=$D$1,I237&gt;0,G237/F237&lt;3),"Not serious",AND(H237&gt;=$D$1,I237&gt;0,G237/F237&gt;=3),"Very serious",AND(H237&lt;=$D$1*-1,J237&gt;0,I237&gt;$D$2*-1,G237/F237&lt;3),"Serious", AND(H237&lt;=$D$1*-1,J237&gt;0,I237&lt;$D$2*-1,G237/F237&lt;3),"Very serious", AND(H237&gt;=$D$1,I237&lt;0,J237&lt;$D$2,G237/F237&lt;3),"Serious",AND(H237&gt;=$D$1,I237&lt;0,J237&gt;$D$2,G237/F237&lt;3),"Very serious", AND(H237&lt;=$D$1*-1,J237&gt;0,I237&gt;$D$2*-1,G237/F237&gt;=3),"Very serious", AND(H237&lt;=$D$1*-1,J237&gt;0,I237&lt;$D$2*-1,G237/F237&gt;=3),"Very serious", AND(H237&gt;=$D$1,I237&lt;0,J237&lt;$D$2,G237/F237&gt;=3),"Very serious", AND(H237&gt;=$D$1,I237&lt;0,J237&gt;$D$2,G237/F237&gt;=3),"Very serious", AND(H237&gt;$D$1*-1,H237&lt;$D$1,I237&gt;$D$1*-1,J237&lt;$D$1,G237/F237&lt;3),"Not serious", AND(H237&gt;$D$1*-1,H237&lt;$D$1,OR(I237&lt;=$D$1*-1,J237&gt;=$D$1),I237&gt;$D$2*-1,J237&lt;$D$2,G237/F237&lt;3),"Serious", AND(H237&gt;$D$1*-1,H237&lt;$D$1,OR(I237&lt;=$D$2*-1,J237&gt;=$D$2),G237/F237&lt;3),"Very serious", AND(H237&gt;$D$1*-1,H237&lt;$D$1,I237&gt;$D$1*-1,J237&lt;$D$1,G237/F237&gt;=3),"Very serious", AND(H237&gt;$D$1*-1,H237&lt;$D$1,OR(I237&lt;=$D$1*-1,J237&gt;=$D$1),I237&gt;$D$2*-1,J237&lt;$D$2,G237/F237&gt;=3),"Very serious", AND(H237&gt;$D$1*-1,H237&lt;$D$1,OR(I237&lt;=$D$2*-1,J237&gt;=$D$2),G237/F237&gt;=3),"Very serious")),"")</f>
        <v/>
      </c>
      <c r="R237" s="109" t="str">
        <f t="shared" si="47"/>
        <v/>
      </c>
      <c r="S237" s="64"/>
      <c r="T237" s="72"/>
      <c r="U237" s="72"/>
      <c r="V237" s="72"/>
      <c r="W237" s="73"/>
      <c r="X237" s="73"/>
      <c r="Y237" s="74"/>
      <c r="Z237" s="113" t="str">
        <f t="array" ref="Z237">INDEX($A$1:$C$500, MATCH(1,($B:$B=$B237)*($C:$C=$AB237),0),1)</f>
        <v/>
      </c>
      <c r="AA237" s="113" t="str">
        <f t="array" ref="AA237">INDEX($A$1:$C$500, MATCH(1,($B:$B=$AB237)*($C:$C=$B237),0),1)</f>
        <v/>
      </c>
      <c r="AB237" s="111"/>
      <c r="AC237" s="114" t="str">
        <f t="shared" si="2"/>
        <v/>
      </c>
      <c r="AD237" s="115" t="str">
        <f t="shared" si="3"/>
        <v/>
      </c>
      <c r="AE237" s="116" t="str">
        <f t="array" ref="AE237">INDEX($A$1:$C$500, MATCH(1,($B:$B=$AB237)*($C:$C=$AG237),0),1)</f>
        <v/>
      </c>
      <c r="AF237" s="116" t="str">
        <f t="array" ref="AF237">INDEX($A$1:$C$500, MATCH(1,($B:$B=$AG237)*($C:$C=$AB237),0),1)</f>
        <v/>
      </c>
      <c r="AG237" s="72"/>
      <c r="AH237" s="114" t="str">
        <f t="shared" si="4"/>
        <v/>
      </c>
      <c r="AI237" s="115" t="str">
        <f t="shared" si="5"/>
        <v/>
      </c>
      <c r="AJ237" s="116" t="str">
        <f t="array" ref="AJ237">INDEX($A$1:$C$500, MATCH(1,($B:$B=$C237)*($C:$C=$AG237),0),1)</f>
        <v/>
      </c>
      <c r="AK237" s="116" t="str">
        <f t="array" ref="AK237">INDEX($A$1:$C$500, MATCH(1,($B:$B=$AG237)*($C:$C=$C237),0),1)</f>
        <v/>
      </c>
      <c r="AL237" s="116" t="str">
        <f t="array" ref="AL237">INDEX($A$1:$C$500, MATCH(1,($B:$B=$C237)*($C:$C=$AB237),0),1)</f>
        <v/>
      </c>
      <c r="AM237" s="116" t="str">
        <f t="array" ref="AM237">INDEX($A$1:$C$500, MATCH(1,($B:$B=$AB237)*($C:$C=$C237),0),1)</f>
        <v/>
      </c>
      <c r="AN237" s="114" t="str">
        <f t="array" ref="AN237">IFS(ISNUMBER(AJ237),AJ237,ISNUMBER(AK237),AK237,ISNUMBER(AL237),AL237,ISNUMBER(AM237),AM237)</f>
        <v>#N/A</v>
      </c>
      <c r="AO237" s="115" t="str">
        <f t="shared" si="6"/>
        <v/>
      </c>
      <c r="AP237" s="115" t="str">
        <f t="shared" si="7"/>
        <v/>
      </c>
      <c r="AQ237" s="111"/>
      <c r="AR237" s="109" t="str">
        <f t="shared" si="8"/>
        <v/>
      </c>
      <c r="AS237" s="72" t="str">
        <f>IFERROR(IF(AND(Preferences!B$3="Manual",OR(AX237/AW237&gt;V237/U237,BD237="Serious",BD237="Very serious")),"Assess imprecision",IFERROR(IFS(AND(Preferences!B$3="Automatic",V237/U237&gt;=30),"Extremely serious",AND(W237&lt;=$D$1*-1,Y237&lt;0,V237/U237&lt;3),"Not Serious",AND(W237&lt;=$D$1*-1,Y237&lt;0,V237/U237&gt;=3),"Very serious",AND(W237&gt;=$D$1,X237&gt;0,V237/U237&lt;3),"Not Serious",AND(W237&gt;=$D$1,X237&gt;0,V237/U237&gt;=3),"Very serious",AND(W237&lt;=$D$1*-1,Y237&gt;0,X237&gt;$D$2*-1,V237/U237&lt;3),"Serious", AND(W237&lt;=$D$1*-1,Y237&gt;0,X237&lt;$D$2*-1,V237/U237&lt;3),"Very serious", AND(W237&gt;=$D$1,X237&lt;0,Y237&lt;$D$2,V237/U237&lt;3),"Serious",AND(W237&gt;=$D$1,X237&lt;0,Y237&gt;$D$2,V237/U237&lt;3),"Very serious", AND(W237&lt;=$D$1*-1,Y237&gt;0,X237&gt;$D$2*-1,V237/U237&gt;=3),"Very serious", AND(W237&lt;=$D$1*-1,Y237&gt;0,X237&lt;$D$2*-1,V237/U237&gt;=3),"Very serious", AND(W237&gt;=$D$1,X237&lt;0,Y237&lt;$D$2,V237/U237&gt;=3),"Very serious", AND(W237&gt;=$D$1,X237&lt;0,Y237&gt;$D$2,V237/U237&gt;=3),"Very serious", AND(W237&gt;$D$1*-1,W237&lt;$D$1,X237&gt;$D$1*-1,Y237&lt;$D$1,V237/U237&lt;3),"Not Serious", AND(W237&gt;$D$1*-1,W237&lt;$D$1,OR(X237&lt;=$D$1*-1,Y237&gt;=$D$1),X237&gt;$D$2*-1,Y237&lt;$D$2,V237/U237&lt;3),"Serious", AND(W237&gt;$D$1*-1,W237&lt;$D$1,OR(X237&lt;=$D$2*-1,Y237&gt;=$D$2),V237/U237&lt;3),"Very serious", AND(W237&gt;$D$1*-1,W237&lt;$D$1,X237&gt;$D$1*-1,Y237&lt;$D$1,V237/U237&gt;=3),"Very serious", AND(W237&gt;$D$1*-1,W237&lt;$D$1,OR(X237&lt;=$D$1*-1,Y237&gt;=$D$1),X237&gt;$D$2*-1,Y237&lt;$D$2,V237/U237&gt;=3),"Very serious", AND(W237&gt;$D$1*-1,W237&lt;$D$1,OR(X237&lt;=$D$2*-1,Y237&gt;=$D$2),V237/U237&gt;=3),"Very serious"),"")),"")</f>
        <v/>
      </c>
      <c r="AT237" s="109" t="str">
        <f t="shared" si="9"/>
        <v/>
      </c>
      <c r="AU237" s="64"/>
      <c r="AV237" s="83"/>
      <c r="AW237" s="83"/>
      <c r="AX237" s="83"/>
      <c r="AY237" s="83"/>
      <c r="AZ237" s="83"/>
      <c r="BA237" s="85"/>
      <c r="BB237" s="86" t="str">
        <f>IF(Preferences!B$9="Manual","",IFS(ISBLANK(B237),"",AND(ISNUMBER(E237)=TRUE,ISNUMBER(T237)=FALSE),"Direct", AND(ISNUMBER(E237)=FALSE,ISNUMBER(T237)=TRUE),"Indirect", CN237=4,"Direct",AND(CL237=FALSE, CM237=TRUE,CN237-CO237&gt;-1),"Direct", AND(CL237=FALSE,CM237=TRUE, CN237-CO237&lt;0),"Check algorithm in appendix 2", AND(CL237=TRUE, CM237=FALSE,CN237-CO237&gt;0),"Check algorithm in appendix 2", AND(CL237=TRUE, CM237=FALSE,CN237-CO237=0),"Indirect", AND(CL237=TRUE, CM237=FALSE,CN237-CO237&lt;0),"Indirect", AND(CL237=FALSE,CM237=FALSE,CN237-CO237&gt;-1),"Direct", AND(CL237=FALSE,CM237=FALSE,CN237-CO237&lt;0),"Check algorithm in appendix 2", AND(CL237=TRUE,CM237=TRUE,CN237-CO237&gt;-1),"Direct", AND(CL237=TRUE,CM237=TRUE,CN237-CO237&lt;0),"Check algorithm in appendix 2"))</f>
        <v/>
      </c>
      <c r="BC237" s="120" t="str">
        <f t="shared" si="10"/>
        <v/>
      </c>
      <c r="BD237" s="140"/>
      <c r="BE237" s="122" t="str">
        <f>IF(Preferences!B$3="Manual","", IFERROR(IFS(AND(Preferences!B$3="Automatic",AX237/AW237&gt;=30),"Extremely serious",AND(AY237&lt;=$D$1*-1,BA237&lt;0,AX237/AW237&lt;3),"Not Serious",AND(AY237&lt;=$D$1*-1,BA237&lt;0,AX237/AW237&gt;=3),"Very serious",AND(AY237&gt;=$D$1,AZ237&gt;0,AX237/AW237&lt;3),"Not Serious",AND(AY237&gt;=$D$1,AZ237&gt;0,AX237/AW237&gt;=3),"Very serious",AND(AY237&lt;=$D$1*-1,BA237&gt;0,AZ237&gt;$D$2*-1,AX237/AW237&lt;3),"Serious", AND(AY237&lt;=$D$1*-1,BA237&gt;0,AZ237&lt;$D$2*-1,AX237/AW237&lt;3),"Very serious", AND(AY237&gt;=$D$1,AZ237&lt;0,BA237&lt;$D$2,AX237/AW237&lt;3),"Serious",AND(AY237&gt;=$D$1,AZ237&lt;0,BA237&gt;$D$2,AX237/AW237&lt;3),"Very serious", AND(AY237&lt;=$D$1*-1,BA237&gt;0,AZ237&gt;$D$2*-1,AX237/AW237&gt;=3),"Very serious", AND(AY237&lt;=$D$1*-1,BA237&gt;0,AZ237&lt;$D$2*-1,AX237/AW237&gt;=3),"Very serious", AND(AY237&gt;=$D$1,AZ237&lt;0,BA237&lt;$D$2,AX237/AW237&gt;=3),"Very serious", AND(AY237&gt;=$D$1,AZ237&lt;0,BA237&gt;$D$2,AX237/AW237&gt;=3),"Very serious", AND(AY237&gt;$D$1*-1,AY237&lt;$D$1,AZ237&gt;$D$1*-1,BA237&lt;$D$1,AX237/AW237&lt;3),"Not Serious", AND(AY237&gt;$D$1*-1,AY237&lt;$D$1,OR(AZ237&lt;=$D$1*-1,BA237&gt;=$D$1),AZ237&gt;$D$2*-1,BA237&lt;$D$2,AX237/AW237&lt;3),"Serious", AND(AY237&gt;$D$1*-1,AY237&lt;$D$1,OR(AZ237&lt;=$D$2*-1,BA237&gt;=$D$2),AX237/AW237&lt;3),"Very serious", AND(AY237&gt;$D$1*-1,AY237&lt;$D$1,AZ237&gt;$D$1*-1,BA237&lt;$D$1,AX237/AW237&gt;=3),"Very serious", AND(AY237&gt;$D$1*-1,AY237&lt;$D$1,OR(AZ237&lt;=$D$1*-1,BA237&gt;=$D$1),AZ237&gt;$D$2*-1,BA237&lt;$D$2,AX237/AW237&gt;=3),"Very serious", AND(AY237&gt;$D$1*-1,AY237&lt;$D$1,OR(AZ237&lt;=$D$2*-1,BA237&gt;=$D$2),AX237/AW237&gt;=3),"Very serious"),""))</f>
        <v/>
      </c>
      <c r="BF237" s="107" t="str">
        <f t="shared" si="11"/>
        <v/>
      </c>
      <c r="BG237" s="94" t="str">
        <f t="shared" si="46"/>
        <v/>
      </c>
      <c r="BH237" s="64" t="str">
        <f t="shared" si="12"/>
        <v>#N/A</v>
      </c>
      <c r="BI237" s="64" t="str">
        <f t="shared" si="13"/>
        <v/>
      </c>
      <c r="BJ237" s="123" t="str">
        <f t="shared" si="14"/>
        <v>#N/A</v>
      </c>
      <c r="BK237" s="64" t="str">
        <f t="shared" si="50"/>
        <v>YES</v>
      </c>
      <c r="BL237" s="64" t="str">
        <f t="shared" si="16"/>
        <v>YES</v>
      </c>
      <c r="BM237" s="64" t="str">
        <f t="shared" si="17"/>
        <v>YES</v>
      </c>
      <c r="BN237" s="124" t="str">
        <f t="shared" si="18"/>
        <v/>
      </c>
      <c r="BO237" s="91" t="str">
        <f t="shared" si="19"/>
        <v/>
      </c>
      <c r="BP237" s="91" t="str">
        <f t="shared" si="20"/>
        <v>#N/A</v>
      </c>
      <c r="BQ237" s="91" t="str">
        <f t="shared" si="21"/>
        <v/>
      </c>
      <c r="BR237" s="93" t="str">
        <f t="shared" si="22"/>
        <v/>
      </c>
      <c r="BS237" s="90" t="str">
        <f t="shared" si="23"/>
        <v/>
      </c>
      <c r="BT237" s="93" t="str">
        <f t="shared" si="24"/>
        <v>NA</v>
      </c>
      <c r="BU237" s="125" t="str">
        <f t="shared" si="25"/>
        <v>#N/A</v>
      </c>
      <c r="BV237" s="93" t="str">
        <f t="shared" si="26"/>
        <v/>
      </c>
      <c r="BW237" s="93" t="str">
        <f t="shared" si="27"/>
        <v/>
      </c>
      <c r="BX237" s="93" t="str">
        <f t="shared" si="28"/>
        <v>NA</v>
      </c>
      <c r="BY237" s="95" t="str">
        <f t="shared" si="29"/>
        <v>#N/A</v>
      </c>
      <c r="BZ237" s="93" t="str">
        <f t="shared" si="30"/>
        <v/>
      </c>
      <c r="CA237" s="93" t="str">
        <f t="shared" si="31"/>
        <v/>
      </c>
      <c r="CB237" s="93" t="str">
        <f t="shared" si="32"/>
        <v>NA</v>
      </c>
      <c r="CC237" s="96" t="str">
        <f t="shared" si="33"/>
        <v>#N/A</v>
      </c>
      <c r="CD237" s="93" t="str">
        <f t="shared" si="34"/>
        <v/>
      </c>
      <c r="CE237" s="93" t="str">
        <f t="shared" si="35"/>
        <v/>
      </c>
      <c r="CF237" s="93" t="str">
        <f t="shared" si="36"/>
        <v>NA</v>
      </c>
      <c r="CG237" s="97" t="str">
        <f t="shared" si="37"/>
        <v>#N/A</v>
      </c>
      <c r="CH237" s="98" t="str">
        <f t="shared" si="38"/>
        <v>#N/A</v>
      </c>
      <c r="CI237" s="99" t="str">
        <f t="shared" si="39"/>
        <v>#N/A</v>
      </c>
      <c r="CJ237" s="126" t="str">
        <f t="shared" si="40"/>
        <v>ERROR: check cell</v>
      </c>
      <c r="CK237" s="126"/>
      <c r="CL237" s="127" t="str">
        <f t="shared" si="41"/>
        <v>#DIV/0!</v>
      </c>
      <c r="CM237" s="128" t="str">
        <f t="shared" si="42"/>
        <v>#DIV/0!</v>
      </c>
      <c r="CN237" s="128">
        <f t="shared" si="43"/>
        <v>4</v>
      </c>
      <c r="CO237" s="129">
        <f t="shared" si="44"/>
        <v>4</v>
      </c>
      <c r="CP237" s="129" t="str">
        <f>IFS(C237=Preferences!B$13,B237,B237=Preferences!B$13,C237)</f>
        <v>#N/A</v>
      </c>
    </row>
    <row r="238" ht="13.5" customHeight="1">
      <c r="A238" s="63" t="str">
        <f t="shared" si="45"/>
        <v/>
      </c>
      <c r="B238" s="64"/>
      <c r="C238" s="64"/>
      <c r="D238" s="64"/>
      <c r="E238" s="65"/>
      <c r="F238" s="65"/>
      <c r="G238" s="65"/>
      <c r="H238" s="66"/>
      <c r="I238" s="66"/>
      <c r="J238" s="67"/>
      <c r="K238" s="68"/>
      <c r="L238" s="104"/>
      <c r="M238" s="104"/>
      <c r="N238" s="104"/>
      <c r="O238" s="104"/>
      <c r="P238" s="107" t="str">
        <f t="shared" si="1"/>
        <v/>
      </c>
      <c r="Q238" s="108" t="str">
        <f>IFERROR(IF(AND(Preferences!B$3="Manual",OR(AX238/AW238&gt;G238/F238,BD238="Serious",BD238="Very serious")),"Assess imprecision",IFS(ISBLANK(E238),"",AND(Preferences!B$3="Automatic", G238/F238&gt;=30),"Extremely serious",AND(H238&lt;=$D$1*-1,J238&lt;0,G238/F238&lt;3),"Not serious",AND(H238&lt;=$D$1*-1,J238&lt;0,G238/F238&gt;=3),"Very serious",AND(H238&gt;=$D$1,I238&gt;0,G238/F238&lt;3),"Not serious",AND(H238&gt;=$D$1,I238&gt;0,G238/F238&gt;=3),"Very serious",AND(H238&lt;=$D$1*-1,J238&gt;0,I238&gt;$D$2*-1,G238/F238&lt;3),"Serious", AND(H238&lt;=$D$1*-1,J238&gt;0,I238&lt;$D$2*-1,G238/F238&lt;3),"Very serious", AND(H238&gt;=$D$1,I238&lt;0,J238&lt;$D$2,G238/F238&lt;3),"Serious",AND(H238&gt;=$D$1,I238&lt;0,J238&gt;$D$2,G238/F238&lt;3),"Very serious", AND(H238&lt;=$D$1*-1,J238&gt;0,I238&gt;$D$2*-1,G238/F238&gt;=3),"Very serious", AND(H238&lt;=$D$1*-1,J238&gt;0,I238&lt;$D$2*-1,G238/F238&gt;=3),"Very serious", AND(H238&gt;=$D$1,I238&lt;0,J238&lt;$D$2,G238/F238&gt;=3),"Very serious", AND(H238&gt;=$D$1,I238&lt;0,J238&gt;$D$2,G238/F238&gt;=3),"Very serious", AND(H238&gt;$D$1*-1,H238&lt;$D$1,I238&gt;$D$1*-1,J238&lt;$D$1,G238/F238&lt;3),"Not serious", AND(H238&gt;$D$1*-1,H238&lt;$D$1,OR(I238&lt;=$D$1*-1,J238&gt;=$D$1),I238&gt;$D$2*-1,J238&lt;$D$2,G238/F238&lt;3),"Serious", AND(H238&gt;$D$1*-1,H238&lt;$D$1,OR(I238&lt;=$D$2*-1,J238&gt;=$D$2),G238/F238&lt;3),"Very serious", AND(H238&gt;$D$1*-1,H238&lt;$D$1,I238&gt;$D$1*-1,J238&lt;$D$1,G238/F238&gt;=3),"Very serious", AND(H238&gt;$D$1*-1,H238&lt;$D$1,OR(I238&lt;=$D$1*-1,J238&gt;=$D$1),I238&gt;$D$2*-1,J238&lt;$D$2,G238/F238&gt;=3),"Very serious", AND(H238&gt;$D$1*-1,H238&lt;$D$1,OR(I238&lt;=$D$2*-1,J238&gt;=$D$2),G238/F238&gt;=3),"Very serious")),"")</f>
        <v/>
      </c>
      <c r="R238" s="109" t="str">
        <f t="shared" si="47"/>
        <v/>
      </c>
      <c r="S238" s="64"/>
      <c r="T238" s="72"/>
      <c r="U238" s="72"/>
      <c r="V238" s="72"/>
      <c r="W238" s="73"/>
      <c r="X238" s="73"/>
      <c r="Y238" s="74"/>
      <c r="Z238" s="113" t="str">
        <f t="array" ref="Z238">INDEX($A$1:$C$500, MATCH(1,($B:$B=$B238)*($C:$C=$AB238),0),1)</f>
        <v/>
      </c>
      <c r="AA238" s="113" t="str">
        <f t="array" ref="AA238">INDEX($A$1:$C$500, MATCH(1,($B:$B=$AB238)*($C:$C=$B238),0),1)</f>
        <v/>
      </c>
      <c r="AB238" s="111"/>
      <c r="AC238" s="114" t="str">
        <f t="shared" si="2"/>
        <v/>
      </c>
      <c r="AD238" s="115" t="str">
        <f t="shared" si="3"/>
        <v/>
      </c>
      <c r="AE238" s="116" t="str">
        <f t="array" ref="AE238">INDEX($A$1:$C$500, MATCH(1,($B:$B=$AB238)*($C:$C=$AG238),0),1)</f>
        <v/>
      </c>
      <c r="AF238" s="116" t="str">
        <f t="array" ref="AF238">INDEX($A$1:$C$500, MATCH(1,($B:$B=$AG238)*($C:$C=$AB238),0),1)</f>
        <v/>
      </c>
      <c r="AG238" s="72"/>
      <c r="AH238" s="114" t="str">
        <f t="shared" si="4"/>
        <v/>
      </c>
      <c r="AI238" s="115" t="str">
        <f t="shared" si="5"/>
        <v/>
      </c>
      <c r="AJ238" s="116" t="str">
        <f t="array" ref="AJ238">INDEX($A$1:$C$500, MATCH(1,($B:$B=$C238)*($C:$C=$AG238),0),1)</f>
        <v/>
      </c>
      <c r="AK238" s="116" t="str">
        <f t="array" ref="AK238">INDEX($A$1:$C$500, MATCH(1,($B:$B=$AG238)*($C:$C=$C238),0),1)</f>
        <v/>
      </c>
      <c r="AL238" s="116" t="str">
        <f t="array" ref="AL238">INDEX($A$1:$C$500, MATCH(1,($B:$B=$C238)*($C:$C=$AB238),0),1)</f>
        <v/>
      </c>
      <c r="AM238" s="116" t="str">
        <f t="array" ref="AM238">INDEX($A$1:$C$500, MATCH(1,($B:$B=$AB238)*($C:$C=$C238),0),1)</f>
        <v/>
      </c>
      <c r="AN238" s="114" t="str">
        <f t="array" ref="AN238">IFS(ISNUMBER(AJ238),AJ238,ISNUMBER(AK238),AK238,ISNUMBER(AL238),AL238,ISNUMBER(AM238),AM238)</f>
        <v>#N/A</v>
      </c>
      <c r="AO238" s="115" t="str">
        <f t="shared" si="6"/>
        <v/>
      </c>
      <c r="AP238" s="115" t="str">
        <f t="shared" si="7"/>
        <v/>
      </c>
      <c r="AQ238" s="111"/>
      <c r="AR238" s="109" t="str">
        <f t="shared" si="8"/>
        <v/>
      </c>
      <c r="AS238" s="72" t="str">
        <f>IFERROR(IF(AND(Preferences!B$3="Manual",OR(AX238/AW238&gt;V238/U238,BD238="Serious",BD238="Very serious")),"Assess imprecision",IFERROR(IFS(AND(Preferences!B$3="Automatic",V238/U238&gt;=30),"Extremely serious",AND(W238&lt;=$D$1*-1,Y238&lt;0,V238/U238&lt;3),"Not Serious",AND(W238&lt;=$D$1*-1,Y238&lt;0,V238/U238&gt;=3),"Very serious",AND(W238&gt;=$D$1,X238&gt;0,V238/U238&lt;3),"Not Serious",AND(W238&gt;=$D$1,X238&gt;0,V238/U238&gt;=3),"Very serious",AND(W238&lt;=$D$1*-1,Y238&gt;0,X238&gt;$D$2*-1,V238/U238&lt;3),"Serious", AND(W238&lt;=$D$1*-1,Y238&gt;0,X238&lt;$D$2*-1,V238/U238&lt;3),"Very serious", AND(W238&gt;=$D$1,X238&lt;0,Y238&lt;$D$2,V238/U238&lt;3),"Serious",AND(W238&gt;=$D$1,X238&lt;0,Y238&gt;$D$2,V238/U238&lt;3),"Very serious", AND(W238&lt;=$D$1*-1,Y238&gt;0,X238&gt;$D$2*-1,V238/U238&gt;=3),"Very serious", AND(W238&lt;=$D$1*-1,Y238&gt;0,X238&lt;$D$2*-1,V238/U238&gt;=3),"Very serious", AND(W238&gt;=$D$1,X238&lt;0,Y238&lt;$D$2,V238/U238&gt;=3),"Very serious", AND(W238&gt;=$D$1,X238&lt;0,Y238&gt;$D$2,V238/U238&gt;=3),"Very serious", AND(W238&gt;$D$1*-1,W238&lt;$D$1,X238&gt;$D$1*-1,Y238&lt;$D$1,V238/U238&lt;3),"Not Serious", AND(W238&gt;$D$1*-1,W238&lt;$D$1,OR(X238&lt;=$D$1*-1,Y238&gt;=$D$1),X238&gt;$D$2*-1,Y238&lt;$D$2,V238/U238&lt;3),"Serious", AND(W238&gt;$D$1*-1,W238&lt;$D$1,OR(X238&lt;=$D$2*-1,Y238&gt;=$D$2),V238/U238&lt;3),"Very serious", AND(W238&gt;$D$1*-1,W238&lt;$D$1,X238&gt;$D$1*-1,Y238&lt;$D$1,V238/U238&gt;=3),"Very serious", AND(W238&gt;$D$1*-1,W238&lt;$D$1,OR(X238&lt;=$D$1*-1,Y238&gt;=$D$1),X238&gt;$D$2*-1,Y238&lt;$D$2,V238/U238&gt;=3),"Very serious", AND(W238&gt;$D$1*-1,W238&lt;$D$1,OR(X238&lt;=$D$2*-1,Y238&gt;=$D$2),V238/U238&gt;=3),"Very serious"),"")),"")</f>
        <v/>
      </c>
      <c r="AT238" s="109" t="str">
        <f t="shared" si="9"/>
        <v/>
      </c>
      <c r="AU238" s="64"/>
      <c r="AV238" s="83"/>
      <c r="AW238" s="83"/>
      <c r="AX238" s="83"/>
      <c r="AY238" s="83"/>
      <c r="AZ238" s="83"/>
      <c r="BA238" s="85"/>
      <c r="BB238" s="86" t="str">
        <f>IF(Preferences!B$9="Manual","",IFS(ISBLANK(B238),"",AND(ISNUMBER(E238)=TRUE,ISNUMBER(T238)=FALSE),"Direct", AND(ISNUMBER(E238)=FALSE,ISNUMBER(T238)=TRUE),"Indirect", CN238=4,"Direct",AND(CL238=FALSE, CM238=TRUE,CN238-CO238&gt;-1),"Direct", AND(CL238=FALSE,CM238=TRUE, CN238-CO238&lt;0),"Check algorithm in appendix 2", AND(CL238=TRUE, CM238=FALSE,CN238-CO238&gt;0),"Check algorithm in appendix 2", AND(CL238=TRUE, CM238=FALSE,CN238-CO238=0),"Indirect", AND(CL238=TRUE, CM238=FALSE,CN238-CO238&lt;0),"Indirect", AND(CL238=FALSE,CM238=FALSE,CN238-CO238&gt;-1),"Direct", AND(CL238=FALSE,CM238=FALSE,CN238-CO238&lt;0),"Check algorithm in appendix 2", AND(CL238=TRUE,CM238=TRUE,CN238-CO238&gt;-1),"Direct", AND(CL238=TRUE,CM238=TRUE,CN238-CO238&lt;0),"Check algorithm in appendix 2"))</f>
        <v/>
      </c>
      <c r="BC238" s="120" t="str">
        <f t="shared" si="10"/>
        <v/>
      </c>
      <c r="BD238" s="140"/>
      <c r="BE238" s="122" t="str">
        <f>IF(Preferences!B$3="Manual","", IFERROR(IFS(AND(Preferences!B$3="Automatic",AX238/AW238&gt;=30),"Extremely serious",AND(AY238&lt;=$D$1*-1,BA238&lt;0,AX238/AW238&lt;3),"Not Serious",AND(AY238&lt;=$D$1*-1,BA238&lt;0,AX238/AW238&gt;=3),"Very serious",AND(AY238&gt;=$D$1,AZ238&gt;0,AX238/AW238&lt;3),"Not Serious",AND(AY238&gt;=$D$1,AZ238&gt;0,AX238/AW238&gt;=3),"Very serious",AND(AY238&lt;=$D$1*-1,BA238&gt;0,AZ238&gt;$D$2*-1,AX238/AW238&lt;3),"Serious", AND(AY238&lt;=$D$1*-1,BA238&gt;0,AZ238&lt;$D$2*-1,AX238/AW238&lt;3),"Very serious", AND(AY238&gt;=$D$1,AZ238&lt;0,BA238&lt;$D$2,AX238/AW238&lt;3),"Serious",AND(AY238&gt;=$D$1,AZ238&lt;0,BA238&gt;$D$2,AX238/AW238&lt;3),"Very serious", AND(AY238&lt;=$D$1*-1,BA238&gt;0,AZ238&gt;$D$2*-1,AX238/AW238&gt;=3),"Very serious", AND(AY238&lt;=$D$1*-1,BA238&gt;0,AZ238&lt;$D$2*-1,AX238/AW238&gt;=3),"Very serious", AND(AY238&gt;=$D$1,AZ238&lt;0,BA238&lt;$D$2,AX238/AW238&gt;=3),"Very serious", AND(AY238&gt;=$D$1,AZ238&lt;0,BA238&gt;$D$2,AX238/AW238&gt;=3),"Very serious", AND(AY238&gt;$D$1*-1,AY238&lt;$D$1,AZ238&gt;$D$1*-1,BA238&lt;$D$1,AX238/AW238&lt;3),"Not Serious", AND(AY238&gt;$D$1*-1,AY238&lt;$D$1,OR(AZ238&lt;=$D$1*-1,BA238&gt;=$D$1),AZ238&gt;$D$2*-1,BA238&lt;$D$2,AX238/AW238&lt;3),"Serious", AND(AY238&gt;$D$1*-1,AY238&lt;$D$1,OR(AZ238&lt;=$D$2*-1,BA238&gt;=$D$2),AX238/AW238&lt;3),"Very serious", AND(AY238&gt;$D$1*-1,AY238&lt;$D$1,AZ238&gt;$D$1*-1,BA238&lt;$D$1,AX238/AW238&gt;=3),"Very serious", AND(AY238&gt;$D$1*-1,AY238&lt;$D$1,OR(AZ238&lt;=$D$1*-1,BA238&gt;=$D$1),AZ238&gt;$D$2*-1,BA238&lt;$D$2,AX238/AW238&gt;=3),"Very serious", AND(AY238&gt;$D$1*-1,AY238&lt;$D$1,OR(AZ238&lt;=$D$2*-1,BA238&gt;=$D$2),AX238/AW238&gt;=3),"Very serious"),""))</f>
        <v/>
      </c>
      <c r="BF238" s="107" t="str">
        <f t="shared" si="11"/>
        <v/>
      </c>
      <c r="BG238" s="94" t="str">
        <f t="shared" si="46"/>
        <v/>
      </c>
      <c r="BH238" s="64" t="str">
        <f t="shared" si="12"/>
        <v>#N/A</v>
      </c>
      <c r="BI238" s="64" t="str">
        <f t="shared" si="13"/>
        <v/>
      </c>
      <c r="BJ238" s="123" t="str">
        <f t="shared" si="14"/>
        <v>#N/A</v>
      </c>
      <c r="BK238" s="64" t="str">
        <f t="shared" si="50"/>
        <v>YES</v>
      </c>
      <c r="BL238" s="64" t="str">
        <f t="shared" si="16"/>
        <v>YES</v>
      </c>
      <c r="BM238" s="64" t="str">
        <f t="shared" si="17"/>
        <v>YES</v>
      </c>
      <c r="BN238" s="124" t="str">
        <f t="shared" si="18"/>
        <v/>
      </c>
      <c r="BO238" s="91" t="str">
        <f t="shared" si="19"/>
        <v/>
      </c>
      <c r="BP238" s="91" t="str">
        <f t="shared" si="20"/>
        <v>#N/A</v>
      </c>
      <c r="BQ238" s="91" t="str">
        <f t="shared" si="21"/>
        <v/>
      </c>
      <c r="BR238" s="93" t="str">
        <f t="shared" si="22"/>
        <v/>
      </c>
      <c r="BS238" s="90" t="str">
        <f t="shared" si="23"/>
        <v/>
      </c>
      <c r="BT238" s="93" t="str">
        <f t="shared" si="24"/>
        <v>NA</v>
      </c>
      <c r="BU238" s="125" t="str">
        <f t="shared" si="25"/>
        <v>#N/A</v>
      </c>
      <c r="BV238" s="93" t="str">
        <f t="shared" si="26"/>
        <v/>
      </c>
      <c r="BW238" s="93" t="str">
        <f t="shared" si="27"/>
        <v/>
      </c>
      <c r="BX238" s="93" t="str">
        <f t="shared" si="28"/>
        <v>NA</v>
      </c>
      <c r="BY238" s="95" t="str">
        <f t="shared" si="29"/>
        <v>#N/A</v>
      </c>
      <c r="BZ238" s="93" t="str">
        <f t="shared" si="30"/>
        <v/>
      </c>
      <c r="CA238" s="93" t="str">
        <f t="shared" si="31"/>
        <v/>
      </c>
      <c r="CB238" s="93" t="str">
        <f t="shared" si="32"/>
        <v>NA</v>
      </c>
      <c r="CC238" s="96" t="str">
        <f t="shared" si="33"/>
        <v>#N/A</v>
      </c>
      <c r="CD238" s="93" t="str">
        <f t="shared" si="34"/>
        <v/>
      </c>
      <c r="CE238" s="93" t="str">
        <f t="shared" si="35"/>
        <v/>
      </c>
      <c r="CF238" s="93" t="str">
        <f t="shared" si="36"/>
        <v>NA</v>
      </c>
      <c r="CG238" s="97" t="str">
        <f t="shared" si="37"/>
        <v>#N/A</v>
      </c>
      <c r="CH238" s="98" t="str">
        <f t="shared" si="38"/>
        <v>#N/A</v>
      </c>
      <c r="CI238" s="99" t="str">
        <f t="shared" si="39"/>
        <v>#N/A</v>
      </c>
      <c r="CJ238" s="126" t="str">
        <f t="shared" si="40"/>
        <v>ERROR: check cell</v>
      </c>
      <c r="CK238" s="126"/>
      <c r="CL238" s="127" t="str">
        <f t="shared" si="41"/>
        <v>#DIV/0!</v>
      </c>
      <c r="CM238" s="128" t="str">
        <f t="shared" si="42"/>
        <v>#DIV/0!</v>
      </c>
      <c r="CN238" s="128">
        <f t="shared" si="43"/>
        <v>4</v>
      </c>
      <c r="CO238" s="129">
        <f t="shared" si="44"/>
        <v>4</v>
      </c>
      <c r="CP238" s="129" t="str">
        <f>IFS(C238=Preferences!B$13,B238,B238=Preferences!B$13,C238)</f>
        <v>#N/A</v>
      </c>
    </row>
    <row r="239" ht="13.5" customHeight="1">
      <c r="A239" s="63" t="str">
        <f t="shared" si="45"/>
        <v/>
      </c>
      <c r="B239" s="64"/>
      <c r="C239" s="64"/>
      <c r="D239" s="64"/>
      <c r="E239" s="65"/>
      <c r="F239" s="65"/>
      <c r="G239" s="65"/>
      <c r="H239" s="66"/>
      <c r="I239" s="66"/>
      <c r="J239" s="67"/>
      <c r="K239" s="68"/>
      <c r="L239" s="104"/>
      <c r="M239" s="104"/>
      <c r="N239" s="104"/>
      <c r="O239" s="104"/>
      <c r="P239" s="107" t="str">
        <f t="shared" si="1"/>
        <v/>
      </c>
      <c r="Q239" s="108" t="str">
        <f>IFERROR(IF(AND(Preferences!B$3="Manual",OR(AX239/AW239&gt;G239/F239,BD239="Serious",BD239="Very serious")),"Assess imprecision",IFS(ISBLANK(E239),"",AND(Preferences!B$3="Automatic", G239/F239&gt;=30),"Extremely serious",AND(H239&lt;=$D$1*-1,J239&lt;0,G239/F239&lt;3),"Not serious",AND(H239&lt;=$D$1*-1,J239&lt;0,G239/F239&gt;=3),"Very serious",AND(H239&gt;=$D$1,I239&gt;0,G239/F239&lt;3),"Not serious",AND(H239&gt;=$D$1,I239&gt;0,G239/F239&gt;=3),"Very serious",AND(H239&lt;=$D$1*-1,J239&gt;0,I239&gt;$D$2*-1,G239/F239&lt;3),"Serious", AND(H239&lt;=$D$1*-1,J239&gt;0,I239&lt;$D$2*-1,G239/F239&lt;3),"Very serious", AND(H239&gt;=$D$1,I239&lt;0,J239&lt;$D$2,G239/F239&lt;3),"Serious",AND(H239&gt;=$D$1,I239&lt;0,J239&gt;$D$2,G239/F239&lt;3),"Very serious", AND(H239&lt;=$D$1*-1,J239&gt;0,I239&gt;$D$2*-1,G239/F239&gt;=3),"Very serious", AND(H239&lt;=$D$1*-1,J239&gt;0,I239&lt;$D$2*-1,G239/F239&gt;=3),"Very serious", AND(H239&gt;=$D$1,I239&lt;0,J239&lt;$D$2,G239/F239&gt;=3),"Very serious", AND(H239&gt;=$D$1,I239&lt;0,J239&gt;$D$2,G239/F239&gt;=3),"Very serious", AND(H239&gt;$D$1*-1,H239&lt;$D$1,I239&gt;$D$1*-1,J239&lt;$D$1,G239/F239&lt;3),"Not serious", AND(H239&gt;$D$1*-1,H239&lt;$D$1,OR(I239&lt;=$D$1*-1,J239&gt;=$D$1),I239&gt;$D$2*-1,J239&lt;$D$2,G239/F239&lt;3),"Serious", AND(H239&gt;$D$1*-1,H239&lt;$D$1,OR(I239&lt;=$D$2*-1,J239&gt;=$D$2),G239/F239&lt;3),"Very serious", AND(H239&gt;$D$1*-1,H239&lt;$D$1,I239&gt;$D$1*-1,J239&lt;$D$1,G239/F239&gt;=3),"Very serious", AND(H239&gt;$D$1*-1,H239&lt;$D$1,OR(I239&lt;=$D$1*-1,J239&gt;=$D$1),I239&gt;$D$2*-1,J239&lt;$D$2,G239/F239&gt;=3),"Very serious", AND(H239&gt;$D$1*-1,H239&lt;$D$1,OR(I239&lt;=$D$2*-1,J239&gt;=$D$2),G239/F239&gt;=3),"Very serious")),"")</f>
        <v/>
      </c>
      <c r="R239" s="109" t="str">
        <f t="shared" si="47"/>
        <v/>
      </c>
      <c r="S239" s="64"/>
      <c r="T239" s="72"/>
      <c r="U239" s="72"/>
      <c r="V239" s="72"/>
      <c r="W239" s="73"/>
      <c r="X239" s="73"/>
      <c r="Y239" s="74"/>
      <c r="Z239" s="113" t="str">
        <f t="array" ref="Z239">INDEX($A$1:$C$500, MATCH(1,($B:$B=$B239)*($C:$C=$AB239),0),1)</f>
        <v/>
      </c>
      <c r="AA239" s="113" t="str">
        <f t="array" ref="AA239">INDEX($A$1:$C$500, MATCH(1,($B:$B=$AB239)*($C:$C=$B239),0),1)</f>
        <v/>
      </c>
      <c r="AB239" s="111"/>
      <c r="AC239" s="114" t="str">
        <f t="shared" si="2"/>
        <v/>
      </c>
      <c r="AD239" s="115" t="str">
        <f t="shared" si="3"/>
        <v/>
      </c>
      <c r="AE239" s="116" t="str">
        <f t="array" ref="AE239">INDEX($A$1:$C$500, MATCH(1,($B:$B=$AB239)*($C:$C=$AG239),0),1)</f>
        <v/>
      </c>
      <c r="AF239" s="116" t="str">
        <f t="array" ref="AF239">INDEX($A$1:$C$500, MATCH(1,($B:$B=$AG239)*($C:$C=$AB239),0),1)</f>
        <v/>
      </c>
      <c r="AG239" s="72"/>
      <c r="AH239" s="114" t="str">
        <f t="shared" si="4"/>
        <v/>
      </c>
      <c r="AI239" s="115" t="str">
        <f t="shared" si="5"/>
        <v/>
      </c>
      <c r="AJ239" s="116" t="str">
        <f t="array" ref="AJ239">INDEX($A$1:$C$500, MATCH(1,($B:$B=$C239)*($C:$C=$AG239),0),1)</f>
        <v/>
      </c>
      <c r="AK239" s="116" t="str">
        <f t="array" ref="AK239">INDEX($A$1:$C$500, MATCH(1,($B:$B=$AG239)*($C:$C=$C239),0),1)</f>
        <v/>
      </c>
      <c r="AL239" s="116" t="str">
        <f t="array" ref="AL239">INDEX($A$1:$C$500, MATCH(1,($B:$B=$C239)*($C:$C=$AB239),0),1)</f>
        <v/>
      </c>
      <c r="AM239" s="116" t="str">
        <f t="array" ref="AM239">INDEX($A$1:$C$500, MATCH(1,($B:$B=$AB239)*($C:$C=$C239),0),1)</f>
        <v/>
      </c>
      <c r="AN239" s="114" t="str">
        <f t="array" ref="AN239">IFS(ISNUMBER(AJ239),AJ239,ISNUMBER(AK239),AK239,ISNUMBER(AL239),AL239,ISNUMBER(AM239),AM239)</f>
        <v>#N/A</v>
      </c>
      <c r="AO239" s="115" t="str">
        <f t="shared" si="6"/>
        <v/>
      </c>
      <c r="AP239" s="115" t="str">
        <f t="shared" si="7"/>
        <v/>
      </c>
      <c r="AQ239" s="111"/>
      <c r="AR239" s="109" t="str">
        <f t="shared" si="8"/>
        <v/>
      </c>
      <c r="AS239" s="72" t="str">
        <f>IFERROR(IF(AND(Preferences!B$3="Manual",OR(AX239/AW239&gt;V239/U239,BD239="Serious",BD239="Very serious")),"Assess imprecision",IFERROR(IFS(AND(Preferences!B$3="Automatic",V239/U239&gt;=30),"Extremely serious",AND(W239&lt;=$D$1*-1,Y239&lt;0,V239/U239&lt;3),"Not Serious",AND(W239&lt;=$D$1*-1,Y239&lt;0,V239/U239&gt;=3),"Very serious",AND(W239&gt;=$D$1,X239&gt;0,V239/U239&lt;3),"Not Serious",AND(W239&gt;=$D$1,X239&gt;0,V239/U239&gt;=3),"Very serious",AND(W239&lt;=$D$1*-1,Y239&gt;0,X239&gt;$D$2*-1,V239/U239&lt;3),"Serious", AND(W239&lt;=$D$1*-1,Y239&gt;0,X239&lt;$D$2*-1,V239/U239&lt;3),"Very serious", AND(W239&gt;=$D$1,X239&lt;0,Y239&lt;$D$2,V239/U239&lt;3),"Serious",AND(W239&gt;=$D$1,X239&lt;0,Y239&gt;$D$2,V239/U239&lt;3),"Very serious", AND(W239&lt;=$D$1*-1,Y239&gt;0,X239&gt;$D$2*-1,V239/U239&gt;=3),"Very serious", AND(W239&lt;=$D$1*-1,Y239&gt;0,X239&lt;$D$2*-1,V239/U239&gt;=3),"Very serious", AND(W239&gt;=$D$1,X239&lt;0,Y239&lt;$D$2,V239/U239&gt;=3),"Very serious", AND(W239&gt;=$D$1,X239&lt;0,Y239&gt;$D$2,V239/U239&gt;=3),"Very serious", AND(W239&gt;$D$1*-1,W239&lt;$D$1,X239&gt;$D$1*-1,Y239&lt;$D$1,V239/U239&lt;3),"Not Serious", AND(W239&gt;$D$1*-1,W239&lt;$D$1,OR(X239&lt;=$D$1*-1,Y239&gt;=$D$1),X239&gt;$D$2*-1,Y239&lt;$D$2,V239/U239&lt;3),"Serious", AND(W239&gt;$D$1*-1,W239&lt;$D$1,OR(X239&lt;=$D$2*-1,Y239&gt;=$D$2),V239/U239&lt;3),"Very serious", AND(W239&gt;$D$1*-1,W239&lt;$D$1,X239&gt;$D$1*-1,Y239&lt;$D$1,V239/U239&gt;=3),"Very serious", AND(W239&gt;$D$1*-1,W239&lt;$D$1,OR(X239&lt;=$D$1*-1,Y239&gt;=$D$1),X239&gt;$D$2*-1,Y239&lt;$D$2,V239/U239&gt;=3),"Very serious", AND(W239&gt;$D$1*-1,W239&lt;$D$1,OR(X239&lt;=$D$2*-1,Y239&gt;=$D$2),V239/U239&gt;=3),"Very serious"),"")),"")</f>
        <v/>
      </c>
      <c r="AT239" s="109" t="str">
        <f t="shared" si="9"/>
        <v/>
      </c>
      <c r="AU239" s="64"/>
      <c r="AV239" s="83"/>
      <c r="AW239" s="83"/>
      <c r="AX239" s="83"/>
      <c r="AY239" s="83"/>
      <c r="AZ239" s="83"/>
      <c r="BA239" s="85"/>
      <c r="BB239" s="86" t="str">
        <f>IF(Preferences!B$9="Manual","",IFS(ISBLANK(B239),"",AND(ISNUMBER(E239)=TRUE,ISNUMBER(T239)=FALSE),"Direct", AND(ISNUMBER(E239)=FALSE,ISNUMBER(T239)=TRUE),"Indirect", CN239=4,"Direct",AND(CL239=FALSE, CM239=TRUE,CN239-CO239&gt;-1),"Direct", AND(CL239=FALSE,CM239=TRUE, CN239-CO239&lt;0),"Check algorithm in appendix 2", AND(CL239=TRUE, CM239=FALSE,CN239-CO239&gt;0),"Check algorithm in appendix 2", AND(CL239=TRUE, CM239=FALSE,CN239-CO239=0),"Indirect", AND(CL239=TRUE, CM239=FALSE,CN239-CO239&lt;0),"Indirect", AND(CL239=FALSE,CM239=FALSE,CN239-CO239&gt;-1),"Direct", AND(CL239=FALSE,CM239=FALSE,CN239-CO239&lt;0),"Check algorithm in appendix 2", AND(CL239=TRUE,CM239=TRUE,CN239-CO239&gt;-1),"Direct", AND(CL239=TRUE,CM239=TRUE,CN239-CO239&lt;0),"Check algorithm in appendix 2"))</f>
        <v/>
      </c>
      <c r="BC239" s="120" t="str">
        <f t="shared" si="10"/>
        <v/>
      </c>
      <c r="BD239" s="140"/>
      <c r="BE239" s="122" t="str">
        <f>IF(Preferences!B$3="Manual","", IFERROR(IFS(AND(Preferences!B$3="Automatic",AX239/AW239&gt;=30),"Extremely serious",AND(AY239&lt;=$D$1*-1,BA239&lt;0,AX239/AW239&lt;3),"Not Serious",AND(AY239&lt;=$D$1*-1,BA239&lt;0,AX239/AW239&gt;=3),"Very serious",AND(AY239&gt;=$D$1,AZ239&gt;0,AX239/AW239&lt;3),"Not Serious",AND(AY239&gt;=$D$1,AZ239&gt;0,AX239/AW239&gt;=3),"Very serious",AND(AY239&lt;=$D$1*-1,BA239&gt;0,AZ239&gt;$D$2*-1,AX239/AW239&lt;3),"Serious", AND(AY239&lt;=$D$1*-1,BA239&gt;0,AZ239&lt;$D$2*-1,AX239/AW239&lt;3),"Very serious", AND(AY239&gt;=$D$1,AZ239&lt;0,BA239&lt;$D$2,AX239/AW239&lt;3),"Serious",AND(AY239&gt;=$D$1,AZ239&lt;0,BA239&gt;$D$2,AX239/AW239&lt;3),"Very serious", AND(AY239&lt;=$D$1*-1,BA239&gt;0,AZ239&gt;$D$2*-1,AX239/AW239&gt;=3),"Very serious", AND(AY239&lt;=$D$1*-1,BA239&gt;0,AZ239&lt;$D$2*-1,AX239/AW239&gt;=3),"Very serious", AND(AY239&gt;=$D$1,AZ239&lt;0,BA239&lt;$D$2,AX239/AW239&gt;=3),"Very serious", AND(AY239&gt;=$D$1,AZ239&lt;0,BA239&gt;$D$2,AX239/AW239&gt;=3),"Very serious", AND(AY239&gt;$D$1*-1,AY239&lt;$D$1,AZ239&gt;$D$1*-1,BA239&lt;$D$1,AX239/AW239&lt;3),"Not Serious", AND(AY239&gt;$D$1*-1,AY239&lt;$D$1,OR(AZ239&lt;=$D$1*-1,BA239&gt;=$D$1),AZ239&gt;$D$2*-1,BA239&lt;$D$2,AX239/AW239&lt;3),"Serious", AND(AY239&gt;$D$1*-1,AY239&lt;$D$1,OR(AZ239&lt;=$D$2*-1,BA239&gt;=$D$2),AX239/AW239&lt;3),"Very serious", AND(AY239&gt;$D$1*-1,AY239&lt;$D$1,AZ239&gt;$D$1*-1,BA239&lt;$D$1,AX239/AW239&gt;=3),"Very serious", AND(AY239&gt;$D$1*-1,AY239&lt;$D$1,OR(AZ239&lt;=$D$1*-1,BA239&gt;=$D$1),AZ239&gt;$D$2*-1,BA239&lt;$D$2,AX239/AW239&gt;=3),"Very serious", AND(AY239&gt;$D$1*-1,AY239&lt;$D$1,OR(AZ239&lt;=$D$2*-1,BA239&gt;=$D$2),AX239/AW239&gt;=3),"Very serious"),""))</f>
        <v/>
      </c>
      <c r="BF239" s="107" t="str">
        <f t="shared" si="11"/>
        <v/>
      </c>
      <c r="BG239" s="94" t="str">
        <f t="shared" si="46"/>
        <v/>
      </c>
      <c r="BH239" s="64" t="str">
        <f t="shared" si="12"/>
        <v>#N/A</v>
      </c>
      <c r="BI239" s="64" t="str">
        <f t="shared" si="13"/>
        <v/>
      </c>
      <c r="BJ239" s="123" t="str">
        <f t="shared" si="14"/>
        <v>#N/A</v>
      </c>
      <c r="BK239" s="64" t="str">
        <f t="shared" si="50"/>
        <v>YES</v>
      </c>
      <c r="BL239" s="64" t="str">
        <f t="shared" si="16"/>
        <v>YES</v>
      </c>
      <c r="BM239" s="64" t="str">
        <f t="shared" si="17"/>
        <v>YES</v>
      </c>
      <c r="BN239" s="124" t="str">
        <f t="shared" si="18"/>
        <v/>
      </c>
      <c r="BO239" s="91" t="str">
        <f t="shared" si="19"/>
        <v/>
      </c>
      <c r="BP239" s="91" t="str">
        <f t="shared" si="20"/>
        <v>#N/A</v>
      </c>
      <c r="BQ239" s="91" t="str">
        <f t="shared" si="21"/>
        <v/>
      </c>
      <c r="BR239" s="93" t="str">
        <f t="shared" si="22"/>
        <v/>
      </c>
      <c r="BS239" s="90" t="str">
        <f t="shared" si="23"/>
        <v/>
      </c>
      <c r="BT239" s="93" t="str">
        <f t="shared" si="24"/>
        <v>NA</v>
      </c>
      <c r="BU239" s="125" t="str">
        <f t="shared" si="25"/>
        <v>#N/A</v>
      </c>
      <c r="BV239" s="93" t="str">
        <f t="shared" si="26"/>
        <v/>
      </c>
      <c r="BW239" s="93" t="str">
        <f t="shared" si="27"/>
        <v/>
      </c>
      <c r="BX239" s="93" t="str">
        <f t="shared" si="28"/>
        <v>NA</v>
      </c>
      <c r="BY239" s="95" t="str">
        <f t="shared" si="29"/>
        <v>#N/A</v>
      </c>
      <c r="BZ239" s="93" t="str">
        <f t="shared" si="30"/>
        <v/>
      </c>
      <c r="CA239" s="93" t="str">
        <f t="shared" si="31"/>
        <v/>
      </c>
      <c r="CB239" s="93" t="str">
        <f t="shared" si="32"/>
        <v>NA</v>
      </c>
      <c r="CC239" s="96" t="str">
        <f t="shared" si="33"/>
        <v>#N/A</v>
      </c>
      <c r="CD239" s="93" t="str">
        <f t="shared" si="34"/>
        <v/>
      </c>
      <c r="CE239" s="93" t="str">
        <f t="shared" si="35"/>
        <v/>
      </c>
      <c r="CF239" s="93" t="str">
        <f t="shared" si="36"/>
        <v>NA</v>
      </c>
      <c r="CG239" s="97" t="str">
        <f t="shared" si="37"/>
        <v>#N/A</v>
      </c>
      <c r="CH239" s="98" t="str">
        <f t="shared" si="38"/>
        <v>#N/A</v>
      </c>
      <c r="CI239" s="99" t="str">
        <f t="shared" si="39"/>
        <v>#N/A</v>
      </c>
      <c r="CJ239" s="126" t="str">
        <f t="shared" si="40"/>
        <v>ERROR: check cell</v>
      </c>
      <c r="CK239" s="126"/>
      <c r="CL239" s="127" t="str">
        <f t="shared" si="41"/>
        <v>#DIV/0!</v>
      </c>
      <c r="CM239" s="128" t="str">
        <f t="shared" si="42"/>
        <v>#DIV/0!</v>
      </c>
      <c r="CN239" s="128">
        <f t="shared" si="43"/>
        <v>4</v>
      </c>
      <c r="CO239" s="129">
        <f t="shared" si="44"/>
        <v>4</v>
      </c>
      <c r="CP239" s="129" t="str">
        <f>IFS(C239=Preferences!B$13,B239,B239=Preferences!B$13,C239)</f>
        <v>#N/A</v>
      </c>
    </row>
    <row r="240" ht="13.5" customHeight="1">
      <c r="A240" s="63" t="str">
        <f t="shared" si="45"/>
        <v/>
      </c>
      <c r="B240" s="64"/>
      <c r="C240" s="64"/>
      <c r="D240" s="64"/>
      <c r="E240" s="65"/>
      <c r="F240" s="65"/>
      <c r="G240" s="65"/>
      <c r="H240" s="66"/>
      <c r="I240" s="66"/>
      <c r="J240" s="67"/>
      <c r="K240" s="68"/>
      <c r="L240" s="104"/>
      <c r="M240" s="104"/>
      <c r="N240" s="104"/>
      <c r="O240" s="104"/>
      <c r="P240" s="107" t="str">
        <f t="shared" si="1"/>
        <v/>
      </c>
      <c r="Q240" s="108" t="str">
        <f>IFERROR(IF(AND(Preferences!B$3="Manual",OR(AX240/AW240&gt;G240/F240,BD240="Serious",BD240="Very serious")),"Assess imprecision",IFS(ISBLANK(E240),"",AND(Preferences!B$3="Automatic", G240/F240&gt;=30),"Extremely serious",AND(H240&lt;=$D$1*-1,J240&lt;0,G240/F240&lt;3),"Not serious",AND(H240&lt;=$D$1*-1,J240&lt;0,G240/F240&gt;=3),"Very serious",AND(H240&gt;=$D$1,I240&gt;0,G240/F240&lt;3),"Not serious",AND(H240&gt;=$D$1,I240&gt;0,G240/F240&gt;=3),"Very serious",AND(H240&lt;=$D$1*-1,J240&gt;0,I240&gt;$D$2*-1,G240/F240&lt;3),"Serious", AND(H240&lt;=$D$1*-1,J240&gt;0,I240&lt;$D$2*-1,G240/F240&lt;3),"Very serious", AND(H240&gt;=$D$1,I240&lt;0,J240&lt;$D$2,G240/F240&lt;3),"Serious",AND(H240&gt;=$D$1,I240&lt;0,J240&gt;$D$2,G240/F240&lt;3),"Very serious", AND(H240&lt;=$D$1*-1,J240&gt;0,I240&gt;$D$2*-1,G240/F240&gt;=3),"Very serious", AND(H240&lt;=$D$1*-1,J240&gt;0,I240&lt;$D$2*-1,G240/F240&gt;=3),"Very serious", AND(H240&gt;=$D$1,I240&lt;0,J240&lt;$D$2,G240/F240&gt;=3),"Very serious", AND(H240&gt;=$D$1,I240&lt;0,J240&gt;$D$2,G240/F240&gt;=3),"Very serious", AND(H240&gt;$D$1*-1,H240&lt;$D$1,I240&gt;$D$1*-1,J240&lt;$D$1,G240/F240&lt;3),"Not serious", AND(H240&gt;$D$1*-1,H240&lt;$D$1,OR(I240&lt;=$D$1*-1,J240&gt;=$D$1),I240&gt;$D$2*-1,J240&lt;$D$2,G240/F240&lt;3),"Serious", AND(H240&gt;$D$1*-1,H240&lt;$D$1,OR(I240&lt;=$D$2*-1,J240&gt;=$D$2),G240/F240&lt;3),"Very serious", AND(H240&gt;$D$1*-1,H240&lt;$D$1,I240&gt;$D$1*-1,J240&lt;$D$1,G240/F240&gt;=3),"Very serious", AND(H240&gt;$D$1*-1,H240&lt;$D$1,OR(I240&lt;=$D$1*-1,J240&gt;=$D$1),I240&gt;$D$2*-1,J240&lt;$D$2,G240/F240&gt;=3),"Very serious", AND(H240&gt;$D$1*-1,H240&lt;$D$1,OR(I240&lt;=$D$2*-1,J240&gt;=$D$2),G240/F240&gt;=3),"Very serious")),"")</f>
        <v/>
      </c>
      <c r="R240" s="109" t="str">
        <f t="shared" si="47"/>
        <v/>
      </c>
      <c r="S240" s="64"/>
      <c r="T240" s="72"/>
      <c r="U240" s="72"/>
      <c r="V240" s="72"/>
      <c r="W240" s="73"/>
      <c r="X240" s="73"/>
      <c r="Y240" s="74"/>
      <c r="Z240" s="113" t="str">
        <f t="array" ref="Z240">INDEX($A$1:$C$500, MATCH(1,($B:$B=$B240)*($C:$C=$AB240),0),1)</f>
        <v/>
      </c>
      <c r="AA240" s="113" t="str">
        <f t="array" ref="AA240">INDEX($A$1:$C$500, MATCH(1,($B:$B=$AB240)*($C:$C=$B240),0),1)</f>
        <v/>
      </c>
      <c r="AB240" s="111"/>
      <c r="AC240" s="114" t="str">
        <f t="shared" si="2"/>
        <v/>
      </c>
      <c r="AD240" s="115" t="str">
        <f t="shared" si="3"/>
        <v/>
      </c>
      <c r="AE240" s="116" t="str">
        <f t="array" ref="AE240">INDEX($A$1:$C$500, MATCH(1,($B:$B=$AB240)*($C:$C=$AG240),0),1)</f>
        <v/>
      </c>
      <c r="AF240" s="116" t="str">
        <f t="array" ref="AF240">INDEX($A$1:$C$500, MATCH(1,($B:$B=$AG240)*($C:$C=$AB240),0),1)</f>
        <v/>
      </c>
      <c r="AG240" s="72"/>
      <c r="AH240" s="114" t="str">
        <f t="shared" si="4"/>
        <v/>
      </c>
      <c r="AI240" s="115" t="str">
        <f t="shared" si="5"/>
        <v/>
      </c>
      <c r="AJ240" s="116" t="str">
        <f t="array" ref="AJ240">INDEX($A$1:$C$500, MATCH(1,($B:$B=$C240)*($C:$C=$AG240),0),1)</f>
        <v/>
      </c>
      <c r="AK240" s="116" t="str">
        <f t="array" ref="AK240">INDEX($A$1:$C$500, MATCH(1,($B:$B=$AG240)*($C:$C=$C240),0),1)</f>
        <v/>
      </c>
      <c r="AL240" s="116" t="str">
        <f t="array" ref="AL240">INDEX($A$1:$C$500, MATCH(1,($B:$B=$C240)*($C:$C=$AB240),0),1)</f>
        <v/>
      </c>
      <c r="AM240" s="116" t="str">
        <f t="array" ref="AM240">INDEX($A$1:$C$500, MATCH(1,($B:$B=$AB240)*($C:$C=$C240),0),1)</f>
        <v/>
      </c>
      <c r="AN240" s="114" t="str">
        <f t="array" ref="AN240">IFS(ISNUMBER(AJ240),AJ240,ISNUMBER(AK240),AK240,ISNUMBER(AL240),AL240,ISNUMBER(AM240),AM240)</f>
        <v>#N/A</v>
      </c>
      <c r="AO240" s="115" t="str">
        <f t="shared" si="6"/>
        <v/>
      </c>
      <c r="AP240" s="115" t="str">
        <f t="shared" si="7"/>
        <v/>
      </c>
      <c r="AQ240" s="111"/>
      <c r="AR240" s="109" t="str">
        <f t="shared" si="8"/>
        <v/>
      </c>
      <c r="AS240" s="72" t="str">
        <f>IFERROR(IF(AND(Preferences!B$3="Manual",OR(AX240/AW240&gt;V240/U240,BD240="Serious",BD240="Very serious")),"Assess imprecision",IFERROR(IFS(AND(Preferences!B$3="Automatic",V240/U240&gt;=30),"Extremely serious",AND(W240&lt;=$D$1*-1,Y240&lt;0,V240/U240&lt;3),"Not Serious",AND(W240&lt;=$D$1*-1,Y240&lt;0,V240/U240&gt;=3),"Very serious",AND(W240&gt;=$D$1,X240&gt;0,V240/U240&lt;3),"Not Serious",AND(W240&gt;=$D$1,X240&gt;0,V240/U240&gt;=3),"Very serious",AND(W240&lt;=$D$1*-1,Y240&gt;0,X240&gt;$D$2*-1,V240/U240&lt;3),"Serious", AND(W240&lt;=$D$1*-1,Y240&gt;0,X240&lt;$D$2*-1,V240/U240&lt;3),"Very serious", AND(W240&gt;=$D$1,X240&lt;0,Y240&lt;$D$2,V240/U240&lt;3),"Serious",AND(W240&gt;=$D$1,X240&lt;0,Y240&gt;$D$2,V240/U240&lt;3),"Very serious", AND(W240&lt;=$D$1*-1,Y240&gt;0,X240&gt;$D$2*-1,V240/U240&gt;=3),"Very serious", AND(W240&lt;=$D$1*-1,Y240&gt;0,X240&lt;$D$2*-1,V240/U240&gt;=3),"Very serious", AND(W240&gt;=$D$1,X240&lt;0,Y240&lt;$D$2,V240/U240&gt;=3),"Very serious", AND(W240&gt;=$D$1,X240&lt;0,Y240&gt;$D$2,V240/U240&gt;=3),"Very serious", AND(W240&gt;$D$1*-1,W240&lt;$D$1,X240&gt;$D$1*-1,Y240&lt;$D$1,V240/U240&lt;3),"Not Serious", AND(W240&gt;$D$1*-1,W240&lt;$D$1,OR(X240&lt;=$D$1*-1,Y240&gt;=$D$1),X240&gt;$D$2*-1,Y240&lt;$D$2,V240/U240&lt;3),"Serious", AND(W240&gt;$D$1*-1,W240&lt;$D$1,OR(X240&lt;=$D$2*-1,Y240&gt;=$D$2),V240/U240&lt;3),"Very serious", AND(W240&gt;$D$1*-1,W240&lt;$D$1,X240&gt;$D$1*-1,Y240&lt;$D$1,V240/U240&gt;=3),"Very serious", AND(W240&gt;$D$1*-1,W240&lt;$D$1,OR(X240&lt;=$D$1*-1,Y240&gt;=$D$1),X240&gt;$D$2*-1,Y240&lt;$D$2,V240/U240&gt;=3),"Very serious", AND(W240&gt;$D$1*-1,W240&lt;$D$1,OR(X240&lt;=$D$2*-1,Y240&gt;=$D$2),V240/U240&gt;=3),"Very serious"),"")),"")</f>
        <v/>
      </c>
      <c r="AT240" s="109" t="str">
        <f t="shared" si="9"/>
        <v/>
      </c>
      <c r="AU240" s="64"/>
      <c r="AV240" s="83"/>
      <c r="AW240" s="83"/>
      <c r="AX240" s="83"/>
      <c r="AY240" s="83"/>
      <c r="AZ240" s="83"/>
      <c r="BA240" s="85"/>
      <c r="BB240" s="86" t="str">
        <f>IF(Preferences!B$9="Manual","",IFS(ISBLANK(B240),"",AND(ISNUMBER(E240)=TRUE,ISNUMBER(T240)=FALSE),"Direct", AND(ISNUMBER(E240)=FALSE,ISNUMBER(T240)=TRUE),"Indirect", CN240=4,"Direct",AND(CL240=FALSE, CM240=TRUE,CN240-CO240&gt;-1),"Direct", AND(CL240=FALSE,CM240=TRUE, CN240-CO240&lt;0),"Check algorithm in appendix 2", AND(CL240=TRUE, CM240=FALSE,CN240-CO240&gt;0),"Check algorithm in appendix 2", AND(CL240=TRUE, CM240=FALSE,CN240-CO240=0),"Indirect", AND(CL240=TRUE, CM240=FALSE,CN240-CO240&lt;0),"Indirect", AND(CL240=FALSE,CM240=FALSE,CN240-CO240&gt;-1),"Direct", AND(CL240=FALSE,CM240=FALSE,CN240-CO240&lt;0),"Check algorithm in appendix 2", AND(CL240=TRUE,CM240=TRUE,CN240-CO240&gt;-1),"Direct", AND(CL240=TRUE,CM240=TRUE,CN240-CO240&lt;0),"Check algorithm in appendix 2"))</f>
        <v/>
      </c>
      <c r="BC240" s="120" t="str">
        <f t="shared" si="10"/>
        <v/>
      </c>
      <c r="BD240" s="140"/>
      <c r="BE240" s="122" t="str">
        <f>IF(Preferences!B$3="Manual","", IFERROR(IFS(AND(Preferences!B$3="Automatic",AX240/AW240&gt;=30),"Extremely serious",AND(AY240&lt;=$D$1*-1,BA240&lt;0,AX240/AW240&lt;3),"Not Serious",AND(AY240&lt;=$D$1*-1,BA240&lt;0,AX240/AW240&gt;=3),"Very serious",AND(AY240&gt;=$D$1,AZ240&gt;0,AX240/AW240&lt;3),"Not Serious",AND(AY240&gt;=$D$1,AZ240&gt;0,AX240/AW240&gt;=3),"Very serious",AND(AY240&lt;=$D$1*-1,BA240&gt;0,AZ240&gt;$D$2*-1,AX240/AW240&lt;3),"Serious", AND(AY240&lt;=$D$1*-1,BA240&gt;0,AZ240&lt;$D$2*-1,AX240/AW240&lt;3),"Very serious", AND(AY240&gt;=$D$1,AZ240&lt;0,BA240&lt;$D$2,AX240/AW240&lt;3),"Serious",AND(AY240&gt;=$D$1,AZ240&lt;0,BA240&gt;$D$2,AX240/AW240&lt;3),"Very serious", AND(AY240&lt;=$D$1*-1,BA240&gt;0,AZ240&gt;$D$2*-1,AX240/AW240&gt;=3),"Very serious", AND(AY240&lt;=$D$1*-1,BA240&gt;0,AZ240&lt;$D$2*-1,AX240/AW240&gt;=3),"Very serious", AND(AY240&gt;=$D$1,AZ240&lt;0,BA240&lt;$D$2,AX240/AW240&gt;=3),"Very serious", AND(AY240&gt;=$D$1,AZ240&lt;0,BA240&gt;$D$2,AX240/AW240&gt;=3),"Very serious", AND(AY240&gt;$D$1*-1,AY240&lt;$D$1,AZ240&gt;$D$1*-1,BA240&lt;$D$1,AX240/AW240&lt;3),"Not Serious", AND(AY240&gt;$D$1*-1,AY240&lt;$D$1,OR(AZ240&lt;=$D$1*-1,BA240&gt;=$D$1),AZ240&gt;$D$2*-1,BA240&lt;$D$2,AX240/AW240&lt;3),"Serious", AND(AY240&gt;$D$1*-1,AY240&lt;$D$1,OR(AZ240&lt;=$D$2*-1,BA240&gt;=$D$2),AX240/AW240&lt;3),"Very serious", AND(AY240&gt;$D$1*-1,AY240&lt;$D$1,AZ240&gt;$D$1*-1,BA240&lt;$D$1,AX240/AW240&gt;=3),"Very serious", AND(AY240&gt;$D$1*-1,AY240&lt;$D$1,OR(AZ240&lt;=$D$1*-1,BA240&gt;=$D$1),AZ240&gt;$D$2*-1,BA240&lt;$D$2,AX240/AW240&gt;=3),"Very serious", AND(AY240&gt;$D$1*-1,AY240&lt;$D$1,OR(AZ240&lt;=$D$2*-1,BA240&gt;=$D$2),AX240/AW240&gt;=3),"Very serious"),""))</f>
        <v/>
      </c>
      <c r="BF240" s="107" t="str">
        <f t="shared" si="11"/>
        <v/>
      </c>
      <c r="BG240" s="94" t="str">
        <f t="shared" si="46"/>
        <v/>
      </c>
      <c r="BH240" s="64" t="str">
        <f t="shared" si="12"/>
        <v>#N/A</v>
      </c>
      <c r="BI240" s="64" t="str">
        <f t="shared" si="13"/>
        <v/>
      </c>
      <c r="BJ240" s="123" t="str">
        <f t="shared" si="14"/>
        <v>#N/A</v>
      </c>
      <c r="BK240" s="64" t="str">
        <f t="shared" si="50"/>
        <v>YES</v>
      </c>
      <c r="BL240" s="64" t="str">
        <f t="shared" si="16"/>
        <v>YES</v>
      </c>
      <c r="BM240" s="64" t="str">
        <f t="shared" si="17"/>
        <v>YES</v>
      </c>
      <c r="BN240" s="124" t="str">
        <f t="shared" si="18"/>
        <v/>
      </c>
      <c r="BO240" s="91" t="str">
        <f t="shared" si="19"/>
        <v/>
      </c>
      <c r="BP240" s="91" t="str">
        <f t="shared" si="20"/>
        <v>#N/A</v>
      </c>
      <c r="BQ240" s="91" t="str">
        <f t="shared" si="21"/>
        <v/>
      </c>
      <c r="BR240" s="93" t="str">
        <f t="shared" si="22"/>
        <v/>
      </c>
      <c r="BS240" s="90" t="str">
        <f t="shared" si="23"/>
        <v/>
      </c>
      <c r="BT240" s="93" t="str">
        <f t="shared" si="24"/>
        <v>NA</v>
      </c>
      <c r="BU240" s="125" t="str">
        <f t="shared" si="25"/>
        <v>#N/A</v>
      </c>
      <c r="BV240" s="93" t="str">
        <f t="shared" si="26"/>
        <v/>
      </c>
      <c r="BW240" s="93" t="str">
        <f t="shared" si="27"/>
        <v/>
      </c>
      <c r="BX240" s="93" t="str">
        <f t="shared" si="28"/>
        <v>NA</v>
      </c>
      <c r="BY240" s="95" t="str">
        <f t="shared" si="29"/>
        <v>#N/A</v>
      </c>
      <c r="BZ240" s="93" t="str">
        <f t="shared" si="30"/>
        <v/>
      </c>
      <c r="CA240" s="93" t="str">
        <f t="shared" si="31"/>
        <v/>
      </c>
      <c r="CB240" s="93" t="str">
        <f t="shared" si="32"/>
        <v>NA</v>
      </c>
      <c r="CC240" s="96" t="str">
        <f t="shared" si="33"/>
        <v>#N/A</v>
      </c>
      <c r="CD240" s="93" t="str">
        <f t="shared" si="34"/>
        <v/>
      </c>
      <c r="CE240" s="93" t="str">
        <f t="shared" si="35"/>
        <v/>
      </c>
      <c r="CF240" s="93" t="str">
        <f t="shared" si="36"/>
        <v>NA</v>
      </c>
      <c r="CG240" s="97" t="str">
        <f t="shared" si="37"/>
        <v>#N/A</v>
      </c>
      <c r="CH240" s="98" t="str">
        <f t="shared" si="38"/>
        <v>#N/A</v>
      </c>
      <c r="CI240" s="99" t="str">
        <f t="shared" si="39"/>
        <v>#N/A</v>
      </c>
      <c r="CJ240" s="126" t="str">
        <f t="shared" si="40"/>
        <v>ERROR: check cell</v>
      </c>
      <c r="CK240" s="126"/>
      <c r="CL240" s="127" t="str">
        <f t="shared" si="41"/>
        <v>#DIV/0!</v>
      </c>
      <c r="CM240" s="128" t="str">
        <f t="shared" si="42"/>
        <v>#DIV/0!</v>
      </c>
      <c r="CN240" s="128">
        <f t="shared" si="43"/>
        <v>4</v>
      </c>
      <c r="CO240" s="129">
        <f t="shared" si="44"/>
        <v>4</v>
      </c>
      <c r="CP240" s="129" t="str">
        <f>IFS(C240=Preferences!B$13,B240,B240=Preferences!B$13,C240)</f>
        <v>#N/A</v>
      </c>
    </row>
    <row r="241" ht="13.5" customHeight="1">
      <c r="A241" s="63" t="str">
        <f t="shared" si="45"/>
        <v/>
      </c>
      <c r="B241" s="64"/>
      <c r="C241" s="64"/>
      <c r="D241" s="64"/>
      <c r="E241" s="65"/>
      <c r="F241" s="65"/>
      <c r="G241" s="65"/>
      <c r="H241" s="66"/>
      <c r="I241" s="66"/>
      <c r="J241" s="67"/>
      <c r="K241" s="68"/>
      <c r="L241" s="104"/>
      <c r="M241" s="104"/>
      <c r="N241" s="104"/>
      <c r="O241" s="104"/>
      <c r="P241" s="107" t="str">
        <f t="shared" si="1"/>
        <v/>
      </c>
      <c r="Q241" s="108" t="str">
        <f>IFERROR(IF(AND(Preferences!B$3="Manual",OR(AX241/AW241&gt;G241/F241,BD241="Serious",BD241="Very serious")),"Assess imprecision",IFS(ISBLANK(E241),"",AND(Preferences!B$3="Automatic", G241/F241&gt;=30),"Extremely serious",AND(H241&lt;=$D$1*-1,J241&lt;0,G241/F241&lt;3),"Not serious",AND(H241&lt;=$D$1*-1,J241&lt;0,G241/F241&gt;=3),"Very serious",AND(H241&gt;=$D$1,I241&gt;0,G241/F241&lt;3),"Not serious",AND(H241&gt;=$D$1,I241&gt;0,G241/F241&gt;=3),"Very serious",AND(H241&lt;=$D$1*-1,J241&gt;0,I241&gt;$D$2*-1,G241/F241&lt;3),"Serious", AND(H241&lt;=$D$1*-1,J241&gt;0,I241&lt;$D$2*-1,G241/F241&lt;3),"Very serious", AND(H241&gt;=$D$1,I241&lt;0,J241&lt;$D$2,G241/F241&lt;3),"Serious",AND(H241&gt;=$D$1,I241&lt;0,J241&gt;$D$2,G241/F241&lt;3),"Very serious", AND(H241&lt;=$D$1*-1,J241&gt;0,I241&gt;$D$2*-1,G241/F241&gt;=3),"Very serious", AND(H241&lt;=$D$1*-1,J241&gt;0,I241&lt;$D$2*-1,G241/F241&gt;=3),"Very serious", AND(H241&gt;=$D$1,I241&lt;0,J241&lt;$D$2,G241/F241&gt;=3),"Very serious", AND(H241&gt;=$D$1,I241&lt;0,J241&gt;$D$2,G241/F241&gt;=3),"Very serious", AND(H241&gt;$D$1*-1,H241&lt;$D$1,I241&gt;$D$1*-1,J241&lt;$D$1,G241/F241&lt;3),"Not serious", AND(H241&gt;$D$1*-1,H241&lt;$D$1,OR(I241&lt;=$D$1*-1,J241&gt;=$D$1),I241&gt;$D$2*-1,J241&lt;$D$2,G241/F241&lt;3),"Serious", AND(H241&gt;$D$1*-1,H241&lt;$D$1,OR(I241&lt;=$D$2*-1,J241&gt;=$D$2),G241/F241&lt;3),"Very serious", AND(H241&gt;$D$1*-1,H241&lt;$D$1,I241&gt;$D$1*-1,J241&lt;$D$1,G241/F241&gt;=3),"Very serious", AND(H241&gt;$D$1*-1,H241&lt;$D$1,OR(I241&lt;=$D$1*-1,J241&gt;=$D$1),I241&gt;$D$2*-1,J241&lt;$D$2,G241/F241&gt;=3),"Very serious", AND(H241&gt;$D$1*-1,H241&lt;$D$1,OR(I241&lt;=$D$2*-1,J241&gt;=$D$2),G241/F241&gt;=3),"Very serious")),"")</f>
        <v/>
      </c>
      <c r="R241" s="109" t="str">
        <f t="shared" si="47"/>
        <v/>
      </c>
      <c r="S241" s="64"/>
      <c r="T241" s="72"/>
      <c r="U241" s="72"/>
      <c r="V241" s="72"/>
      <c r="W241" s="73"/>
      <c r="X241" s="73"/>
      <c r="Y241" s="74"/>
      <c r="Z241" s="113" t="str">
        <f t="array" ref="Z241">INDEX($A$1:$C$500, MATCH(1,($B:$B=$B241)*($C:$C=$AB241),0),1)</f>
        <v/>
      </c>
      <c r="AA241" s="113" t="str">
        <f t="array" ref="AA241">INDEX($A$1:$C$500, MATCH(1,($B:$B=$AB241)*($C:$C=$B241),0),1)</f>
        <v/>
      </c>
      <c r="AB241" s="111"/>
      <c r="AC241" s="114" t="str">
        <f t="shared" si="2"/>
        <v/>
      </c>
      <c r="AD241" s="115" t="str">
        <f t="shared" si="3"/>
        <v/>
      </c>
      <c r="AE241" s="116" t="str">
        <f t="array" ref="AE241">INDEX($A$1:$C$500, MATCH(1,($B:$B=$AB241)*($C:$C=$AG241),0),1)</f>
        <v/>
      </c>
      <c r="AF241" s="116" t="str">
        <f t="array" ref="AF241">INDEX($A$1:$C$500, MATCH(1,($B:$B=$AG241)*($C:$C=$AB241),0),1)</f>
        <v/>
      </c>
      <c r="AG241" s="72"/>
      <c r="AH241" s="114" t="str">
        <f t="shared" si="4"/>
        <v/>
      </c>
      <c r="AI241" s="115" t="str">
        <f t="shared" si="5"/>
        <v/>
      </c>
      <c r="AJ241" s="116" t="str">
        <f t="array" ref="AJ241">INDEX($A$1:$C$500, MATCH(1,($B:$B=$C241)*($C:$C=$AG241),0),1)</f>
        <v/>
      </c>
      <c r="AK241" s="116" t="str">
        <f t="array" ref="AK241">INDEX($A$1:$C$500, MATCH(1,($B:$B=$AG241)*($C:$C=$C241),0),1)</f>
        <v/>
      </c>
      <c r="AL241" s="116" t="str">
        <f t="array" ref="AL241">INDEX($A$1:$C$500, MATCH(1,($B:$B=$C241)*($C:$C=$AB241),0),1)</f>
        <v/>
      </c>
      <c r="AM241" s="116" t="str">
        <f t="array" ref="AM241">INDEX($A$1:$C$500, MATCH(1,($B:$B=$AB241)*($C:$C=$C241),0),1)</f>
        <v/>
      </c>
      <c r="AN241" s="114" t="str">
        <f t="array" ref="AN241">IFS(ISNUMBER(AJ241),AJ241,ISNUMBER(AK241),AK241,ISNUMBER(AL241),AL241,ISNUMBER(AM241),AM241)</f>
        <v>#N/A</v>
      </c>
      <c r="AO241" s="115" t="str">
        <f t="shared" si="6"/>
        <v/>
      </c>
      <c r="AP241" s="115" t="str">
        <f t="shared" si="7"/>
        <v/>
      </c>
      <c r="AQ241" s="111"/>
      <c r="AR241" s="109" t="str">
        <f t="shared" si="8"/>
        <v/>
      </c>
      <c r="AS241" s="72" t="str">
        <f>IFERROR(IF(AND(Preferences!B$3="Manual",OR(AX241/AW241&gt;V241/U241,BD241="Serious",BD241="Very serious")),"Assess imprecision",IFERROR(IFS(AND(Preferences!B$3="Automatic",V241/U241&gt;=30),"Extremely serious",AND(W241&lt;=$D$1*-1,Y241&lt;0,V241/U241&lt;3),"Not Serious",AND(W241&lt;=$D$1*-1,Y241&lt;0,V241/U241&gt;=3),"Very serious",AND(W241&gt;=$D$1,X241&gt;0,V241/U241&lt;3),"Not Serious",AND(W241&gt;=$D$1,X241&gt;0,V241/U241&gt;=3),"Very serious",AND(W241&lt;=$D$1*-1,Y241&gt;0,X241&gt;$D$2*-1,V241/U241&lt;3),"Serious", AND(W241&lt;=$D$1*-1,Y241&gt;0,X241&lt;$D$2*-1,V241/U241&lt;3),"Very serious", AND(W241&gt;=$D$1,X241&lt;0,Y241&lt;$D$2,V241/U241&lt;3),"Serious",AND(W241&gt;=$D$1,X241&lt;0,Y241&gt;$D$2,V241/U241&lt;3),"Very serious", AND(W241&lt;=$D$1*-1,Y241&gt;0,X241&gt;$D$2*-1,V241/U241&gt;=3),"Very serious", AND(W241&lt;=$D$1*-1,Y241&gt;0,X241&lt;$D$2*-1,V241/U241&gt;=3),"Very serious", AND(W241&gt;=$D$1,X241&lt;0,Y241&lt;$D$2,V241/U241&gt;=3),"Very serious", AND(W241&gt;=$D$1,X241&lt;0,Y241&gt;$D$2,V241/U241&gt;=3),"Very serious", AND(W241&gt;$D$1*-1,W241&lt;$D$1,X241&gt;$D$1*-1,Y241&lt;$D$1,V241/U241&lt;3),"Not Serious", AND(W241&gt;$D$1*-1,W241&lt;$D$1,OR(X241&lt;=$D$1*-1,Y241&gt;=$D$1),X241&gt;$D$2*-1,Y241&lt;$D$2,V241/U241&lt;3),"Serious", AND(W241&gt;$D$1*-1,W241&lt;$D$1,OR(X241&lt;=$D$2*-1,Y241&gt;=$D$2),V241/U241&lt;3),"Very serious", AND(W241&gt;$D$1*-1,W241&lt;$D$1,X241&gt;$D$1*-1,Y241&lt;$D$1,V241/U241&gt;=3),"Very serious", AND(W241&gt;$D$1*-1,W241&lt;$D$1,OR(X241&lt;=$D$1*-1,Y241&gt;=$D$1),X241&gt;$D$2*-1,Y241&lt;$D$2,V241/U241&gt;=3),"Very serious", AND(W241&gt;$D$1*-1,W241&lt;$D$1,OR(X241&lt;=$D$2*-1,Y241&gt;=$D$2),V241/U241&gt;=3),"Very serious"),"")),"")</f>
        <v/>
      </c>
      <c r="AT241" s="109" t="str">
        <f t="shared" si="9"/>
        <v/>
      </c>
      <c r="AU241" s="64"/>
      <c r="AV241" s="83"/>
      <c r="AW241" s="83"/>
      <c r="AX241" s="83"/>
      <c r="AY241" s="83"/>
      <c r="AZ241" s="83"/>
      <c r="BA241" s="85"/>
      <c r="BB241" s="86" t="str">
        <f>IF(Preferences!B$9="Manual","",IFS(ISBLANK(B241),"",AND(ISNUMBER(E241)=TRUE,ISNUMBER(T241)=FALSE),"Direct", AND(ISNUMBER(E241)=FALSE,ISNUMBER(T241)=TRUE),"Indirect", CN241=4,"Direct",AND(CL241=FALSE, CM241=TRUE,CN241-CO241&gt;-1),"Direct", AND(CL241=FALSE,CM241=TRUE, CN241-CO241&lt;0),"Check algorithm in appendix 2", AND(CL241=TRUE, CM241=FALSE,CN241-CO241&gt;0),"Check algorithm in appendix 2", AND(CL241=TRUE, CM241=FALSE,CN241-CO241=0),"Indirect", AND(CL241=TRUE, CM241=FALSE,CN241-CO241&lt;0),"Indirect", AND(CL241=FALSE,CM241=FALSE,CN241-CO241&gt;-1),"Direct", AND(CL241=FALSE,CM241=FALSE,CN241-CO241&lt;0),"Check algorithm in appendix 2", AND(CL241=TRUE,CM241=TRUE,CN241-CO241&gt;-1),"Direct", AND(CL241=TRUE,CM241=TRUE,CN241-CO241&lt;0),"Check algorithm in appendix 2"))</f>
        <v/>
      </c>
      <c r="BC241" s="120" t="str">
        <f t="shared" si="10"/>
        <v/>
      </c>
      <c r="BD241" s="140"/>
      <c r="BE241" s="122" t="str">
        <f>IF(Preferences!B$3="Manual","", IFERROR(IFS(AND(Preferences!B$3="Automatic",AX241/AW241&gt;=30),"Extremely serious",AND(AY241&lt;=$D$1*-1,BA241&lt;0,AX241/AW241&lt;3),"Not Serious",AND(AY241&lt;=$D$1*-1,BA241&lt;0,AX241/AW241&gt;=3),"Very serious",AND(AY241&gt;=$D$1,AZ241&gt;0,AX241/AW241&lt;3),"Not Serious",AND(AY241&gt;=$D$1,AZ241&gt;0,AX241/AW241&gt;=3),"Very serious",AND(AY241&lt;=$D$1*-1,BA241&gt;0,AZ241&gt;$D$2*-1,AX241/AW241&lt;3),"Serious", AND(AY241&lt;=$D$1*-1,BA241&gt;0,AZ241&lt;$D$2*-1,AX241/AW241&lt;3),"Very serious", AND(AY241&gt;=$D$1,AZ241&lt;0,BA241&lt;$D$2,AX241/AW241&lt;3),"Serious",AND(AY241&gt;=$D$1,AZ241&lt;0,BA241&gt;$D$2,AX241/AW241&lt;3),"Very serious", AND(AY241&lt;=$D$1*-1,BA241&gt;0,AZ241&gt;$D$2*-1,AX241/AW241&gt;=3),"Very serious", AND(AY241&lt;=$D$1*-1,BA241&gt;0,AZ241&lt;$D$2*-1,AX241/AW241&gt;=3),"Very serious", AND(AY241&gt;=$D$1,AZ241&lt;0,BA241&lt;$D$2,AX241/AW241&gt;=3),"Very serious", AND(AY241&gt;=$D$1,AZ241&lt;0,BA241&gt;$D$2,AX241/AW241&gt;=3),"Very serious", AND(AY241&gt;$D$1*-1,AY241&lt;$D$1,AZ241&gt;$D$1*-1,BA241&lt;$D$1,AX241/AW241&lt;3),"Not Serious", AND(AY241&gt;$D$1*-1,AY241&lt;$D$1,OR(AZ241&lt;=$D$1*-1,BA241&gt;=$D$1),AZ241&gt;$D$2*-1,BA241&lt;$D$2,AX241/AW241&lt;3),"Serious", AND(AY241&gt;$D$1*-1,AY241&lt;$D$1,OR(AZ241&lt;=$D$2*-1,BA241&gt;=$D$2),AX241/AW241&lt;3),"Very serious", AND(AY241&gt;$D$1*-1,AY241&lt;$D$1,AZ241&gt;$D$1*-1,BA241&lt;$D$1,AX241/AW241&gt;=3),"Very serious", AND(AY241&gt;$D$1*-1,AY241&lt;$D$1,OR(AZ241&lt;=$D$1*-1,BA241&gt;=$D$1),AZ241&gt;$D$2*-1,BA241&lt;$D$2,AX241/AW241&gt;=3),"Very serious", AND(AY241&gt;$D$1*-1,AY241&lt;$D$1,OR(AZ241&lt;=$D$2*-1,BA241&gt;=$D$2),AX241/AW241&gt;=3),"Very serious"),""))</f>
        <v/>
      </c>
      <c r="BF241" s="107" t="str">
        <f t="shared" si="11"/>
        <v/>
      </c>
      <c r="BG241" s="94" t="str">
        <f t="shared" si="46"/>
        <v/>
      </c>
      <c r="BH241" s="64" t="str">
        <f t="shared" si="12"/>
        <v>#N/A</v>
      </c>
      <c r="BI241" s="64" t="str">
        <f t="shared" si="13"/>
        <v/>
      </c>
      <c r="BJ241" s="123" t="str">
        <f t="shared" si="14"/>
        <v>#N/A</v>
      </c>
      <c r="BK241" s="64" t="str">
        <f t="shared" si="50"/>
        <v>YES</v>
      </c>
      <c r="BL241" s="64" t="str">
        <f t="shared" si="16"/>
        <v>YES</v>
      </c>
      <c r="BM241" s="64" t="str">
        <f t="shared" si="17"/>
        <v>YES</v>
      </c>
      <c r="BN241" s="124" t="str">
        <f t="shared" si="18"/>
        <v/>
      </c>
      <c r="BO241" s="91" t="str">
        <f t="shared" si="19"/>
        <v/>
      </c>
      <c r="BP241" s="91" t="str">
        <f t="shared" si="20"/>
        <v>#N/A</v>
      </c>
      <c r="BQ241" s="91" t="str">
        <f t="shared" si="21"/>
        <v/>
      </c>
      <c r="BR241" s="93" t="str">
        <f t="shared" si="22"/>
        <v/>
      </c>
      <c r="BS241" s="90" t="str">
        <f t="shared" si="23"/>
        <v/>
      </c>
      <c r="BT241" s="93" t="str">
        <f t="shared" si="24"/>
        <v>NA</v>
      </c>
      <c r="BU241" s="125" t="str">
        <f t="shared" si="25"/>
        <v>#N/A</v>
      </c>
      <c r="BV241" s="93" t="str">
        <f t="shared" si="26"/>
        <v/>
      </c>
      <c r="BW241" s="93" t="str">
        <f t="shared" si="27"/>
        <v/>
      </c>
      <c r="BX241" s="93" t="str">
        <f t="shared" si="28"/>
        <v>NA</v>
      </c>
      <c r="BY241" s="95" t="str">
        <f t="shared" si="29"/>
        <v>#N/A</v>
      </c>
      <c r="BZ241" s="93" t="str">
        <f t="shared" si="30"/>
        <v/>
      </c>
      <c r="CA241" s="93" t="str">
        <f t="shared" si="31"/>
        <v/>
      </c>
      <c r="CB241" s="93" t="str">
        <f t="shared" si="32"/>
        <v>NA</v>
      </c>
      <c r="CC241" s="96" t="str">
        <f t="shared" si="33"/>
        <v>#N/A</v>
      </c>
      <c r="CD241" s="93" t="str">
        <f t="shared" si="34"/>
        <v/>
      </c>
      <c r="CE241" s="93" t="str">
        <f t="shared" si="35"/>
        <v/>
      </c>
      <c r="CF241" s="93" t="str">
        <f t="shared" si="36"/>
        <v>NA</v>
      </c>
      <c r="CG241" s="97" t="str">
        <f t="shared" si="37"/>
        <v>#N/A</v>
      </c>
      <c r="CH241" s="98" t="str">
        <f t="shared" si="38"/>
        <v>#N/A</v>
      </c>
      <c r="CI241" s="99" t="str">
        <f t="shared" si="39"/>
        <v>#N/A</v>
      </c>
      <c r="CJ241" s="126" t="str">
        <f t="shared" si="40"/>
        <v>ERROR: check cell</v>
      </c>
      <c r="CK241" s="126"/>
      <c r="CL241" s="127" t="str">
        <f t="shared" si="41"/>
        <v>#DIV/0!</v>
      </c>
      <c r="CM241" s="128" t="str">
        <f t="shared" si="42"/>
        <v>#DIV/0!</v>
      </c>
      <c r="CN241" s="128">
        <f t="shared" si="43"/>
        <v>4</v>
      </c>
      <c r="CO241" s="129">
        <f t="shared" si="44"/>
        <v>4</v>
      </c>
      <c r="CP241" s="129" t="str">
        <f>IFS(C241=Preferences!B$13,B241,B241=Preferences!B$13,C241)</f>
        <v>#N/A</v>
      </c>
    </row>
    <row r="242" ht="13.5" customHeight="1">
      <c r="A242" s="63" t="str">
        <f t="shared" si="45"/>
        <v/>
      </c>
      <c r="B242" s="64"/>
      <c r="C242" s="64"/>
      <c r="D242" s="64"/>
      <c r="E242" s="65"/>
      <c r="F242" s="65"/>
      <c r="G242" s="65"/>
      <c r="H242" s="66"/>
      <c r="I242" s="66"/>
      <c r="J242" s="67"/>
      <c r="K242" s="68"/>
      <c r="L242" s="133"/>
      <c r="M242" s="133"/>
      <c r="N242" s="133"/>
      <c r="O242" s="133"/>
      <c r="P242" s="107" t="str">
        <f t="shared" si="1"/>
        <v/>
      </c>
      <c r="Q242" s="108" t="str">
        <f>IFERROR(IF(AND(Preferences!B$3="Manual",OR(AX242/AW242&gt;G242/F242,BD242="Serious",BD242="Very serious")),"Assess imprecision",IFS(ISBLANK(E242),"",AND(Preferences!B$3="Automatic", G242/F242&gt;=30),"Extremely serious",AND(H242&lt;=$D$1*-1,J242&lt;0,G242/F242&lt;3),"Not serious",AND(H242&lt;=$D$1*-1,J242&lt;0,G242/F242&gt;=3),"Very serious",AND(H242&gt;=$D$1,I242&gt;0,G242/F242&lt;3),"Not serious",AND(H242&gt;=$D$1,I242&gt;0,G242/F242&gt;=3),"Very serious",AND(H242&lt;=$D$1*-1,J242&gt;0,I242&gt;$D$2*-1,G242/F242&lt;3),"Serious", AND(H242&lt;=$D$1*-1,J242&gt;0,I242&lt;$D$2*-1,G242/F242&lt;3),"Very serious", AND(H242&gt;=$D$1,I242&lt;0,J242&lt;$D$2,G242/F242&lt;3),"Serious",AND(H242&gt;=$D$1,I242&lt;0,J242&gt;$D$2,G242/F242&lt;3),"Very serious", AND(H242&lt;=$D$1*-1,J242&gt;0,I242&gt;$D$2*-1,G242/F242&gt;=3),"Very serious", AND(H242&lt;=$D$1*-1,J242&gt;0,I242&lt;$D$2*-1,G242/F242&gt;=3),"Very serious", AND(H242&gt;=$D$1,I242&lt;0,J242&lt;$D$2,G242/F242&gt;=3),"Very serious", AND(H242&gt;=$D$1,I242&lt;0,J242&gt;$D$2,G242/F242&gt;=3),"Very serious", AND(H242&gt;$D$1*-1,H242&lt;$D$1,I242&gt;$D$1*-1,J242&lt;$D$1,G242/F242&lt;3),"Not serious", AND(H242&gt;$D$1*-1,H242&lt;$D$1,OR(I242&lt;=$D$1*-1,J242&gt;=$D$1),I242&gt;$D$2*-1,J242&lt;$D$2,G242/F242&lt;3),"Serious", AND(H242&gt;$D$1*-1,H242&lt;$D$1,OR(I242&lt;=$D$2*-1,J242&gt;=$D$2),G242/F242&lt;3),"Very serious", AND(H242&gt;$D$1*-1,H242&lt;$D$1,I242&gt;$D$1*-1,J242&lt;$D$1,G242/F242&gt;=3),"Very serious", AND(H242&gt;$D$1*-1,H242&lt;$D$1,OR(I242&lt;=$D$1*-1,J242&gt;=$D$1),I242&gt;$D$2*-1,J242&lt;$D$2,G242/F242&gt;=3),"Very serious", AND(H242&gt;$D$1*-1,H242&lt;$D$1,OR(I242&lt;=$D$2*-1,J242&gt;=$D$2),G242/F242&gt;=3),"Very serious")),"")</f>
        <v/>
      </c>
      <c r="R242" s="109" t="str">
        <f t="shared" si="47"/>
        <v/>
      </c>
      <c r="S242" s="64"/>
      <c r="T242" s="72"/>
      <c r="U242" s="72"/>
      <c r="V242" s="72"/>
      <c r="W242" s="73"/>
      <c r="X242" s="73"/>
      <c r="Y242" s="74"/>
      <c r="Z242" s="113" t="str">
        <f t="array" ref="Z242">INDEX($A$1:$C$500, MATCH(1,($B:$B=$B242)*($C:$C=$AB242),0),1)</f>
        <v/>
      </c>
      <c r="AA242" s="113" t="str">
        <f t="array" ref="AA242">INDEX($A$1:$C$500, MATCH(1,($B:$B=$AB242)*($C:$C=$B242),0),1)</f>
        <v/>
      </c>
      <c r="AB242" s="111"/>
      <c r="AC242" s="114" t="str">
        <f t="shared" si="2"/>
        <v/>
      </c>
      <c r="AD242" s="115" t="str">
        <f t="shared" si="3"/>
        <v/>
      </c>
      <c r="AE242" s="116" t="str">
        <f t="array" ref="AE242">INDEX($A$1:$C$500, MATCH(1,($B:$B=$AB242)*($C:$C=$AG242),0),1)</f>
        <v/>
      </c>
      <c r="AF242" s="116" t="str">
        <f t="array" ref="AF242">INDEX($A$1:$C$500, MATCH(1,($B:$B=$AG242)*($C:$C=$AB242),0),1)</f>
        <v/>
      </c>
      <c r="AG242" s="72"/>
      <c r="AH242" s="114" t="str">
        <f t="shared" si="4"/>
        <v/>
      </c>
      <c r="AI242" s="115" t="str">
        <f t="shared" si="5"/>
        <v/>
      </c>
      <c r="AJ242" s="116" t="str">
        <f t="array" ref="AJ242">INDEX($A$1:$C$500, MATCH(1,($B:$B=$C242)*($C:$C=$AG242),0),1)</f>
        <v/>
      </c>
      <c r="AK242" s="116" t="str">
        <f t="array" ref="AK242">INDEX($A$1:$C$500, MATCH(1,($B:$B=$AG242)*($C:$C=$C242),0),1)</f>
        <v/>
      </c>
      <c r="AL242" s="116" t="str">
        <f t="array" ref="AL242">INDEX($A$1:$C$500, MATCH(1,($B:$B=$C242)*($C:$C=$AB242),0),1)</f>
        <v/>
      </c>
      <c r="AM242" s="116" t="str">
        <f t="array" ref="AM242">INDEX($A$1:$C$500, MATCH(1,($B:$B=$AB242)*($C:$C=$C242),0),1)</f>
        <v/>
      </c>
      <c r="AN242" s="114" t="str">
        <f t="array" ref="AN242">IFS(ISNUMBER(AJ242),AJ242,ISNUMBER(AK242),AK242,ISNUMBER(AL242),AL242,ISNUMBER(AM242),AM242)</f>
        <v>#N/A</v>
      </c>
      <c r="AO242" s="115" t="str">
        <f t="shared" si="6"/>
        <v/>
      </c>
      <c r="AP242" s="115" t="str">
        <f t="shared" si="7"/>
        <v/>
      </c>
      <c r="AQ242" s="111"/>
      <c r="AR242" s="109" t="str">
        <f t="shared" si="8"/>
        <v/>
      </c>
      <c r="AS242" s="72" t="str">
        <f>IFERROR(IF(AND(Preferences!B$3="Manual",OR(AX242/AW242&gt;V242/U242,BD242="Serious",BD242="Very serious")),"Assess imprecision",IFERROR(IFS(AND(Preferences!B$3="Automatic",V242/U242&gt;=30),"Extremely serious",AND(W242&lt;=$D$1*-1,Y242&lt;0,V242/U242&lt;3),"Not Serious",AND(W242&lt;=$D$1*-1,Y242&lt;0,V242/U242&gt;=3),"Very serious",AND(W242&gt;=$D$1,X242&gt;0,V242/U242&lt;3),"Not Serious",AND(W242&gt;=$D$1,X242&gt;0,V242/U242&gt;=3),"Very serious",AND(W242&lt;=$D$1*-1,Y242&gt;0,X242&gt;$D$2*-1,V242/U242&lt;3),"Serious", AND(W242&lt;=$D$1*-1,Y242&gt;0,X242&lt;$D$2*-1,V242/U242&lt;3),"Very serious", AND(W242&gt;=$D$1,X242&lt;0,Y242&lt;$D$2,V242/U242&lt;3),"Serious",AND(W242&gt;=$D$1,X242&lt;0,Y242&gt;$D$2,V242/U242&lt;3),"Very serious", AND(W242&lt;=$D$1*-1,Y242&gt;0,X242&gt;$D$2*-1,V242/U242&gt;=3),"Very serious", AND(W242&lt;=$D$1*-1,Y242&gt;0,X242&lt;$D$2*-1,V242/U242&gt;=3),"Very serious", AND(W242&gt;=$D$1,X242&lt;0,Y242&lt;$D$2,V242/U242&gt;=3),"Very serious", AND(W242&gt;=$D$1,X242&lt;0,Y242&gt;$D$2,V242/U242&gt;=3),"Very serious", AND(W242&gt;$D$1*-1,W242&lt;$D$1,X242&gt;$D$1*-1,Y242&lt;$D$1,V242/U242&lt;3),"Not Serious", AND(W242&gt;$D$1*-1,W242&lt;$D$1,OR(X242&lt;=$D$1*-1,Y242&gt;=$D$1),X242&gt;$D$2*-1,Y242&lt;$D$2,V242/U242&lt;3),"Serious", AND(W242&gt;$D$1*-1,W242&lt;$D$1,OR(X242&lt;=$D$2*-1,Y242&gt;=$D$2),V242/U242&lt;3),"Very serious", AND(W242&gt;$D$1*-1,W242&lt;$D$1,X242&gt;$D$1*-1,Y242&lt;$D$1,V242/U242&gt;=3),"Very serious", AND(W242&gt;$D$1*-1,W242&lt;$D$1,OR(X242&lt;=$D$1*-1,Y242&gt;=$D$1),X242&gt;$D$2*-1,Y242&lt;$D$2,V242/U242&gt;=3),"Very serious", AND(W242&gt;$D$1*-1,W242&lt;$D$1,OR(X242&lt;=$D$2*-1,Y242&gt;=$D$2),V242/U242&gt;=3),"Very serious"),"")),"")</f>
        <v/>
      </c>
      <c r="AT242" s="109" t="str">
        <f t="shared" si="9"/>
        <v/>
      </c>
      <c r="AU242" s="64"/>
      <c r="AV242" s="83"/>
      <c r="AW242" s="83"/>
      <c r="AX242" s="83"/>
      <c r="AY242" s="83"/>
      <c r="AZ242" s="83"/>
      <c r="BA242" s="85"/>
      <c r="BB242" s="86" t="str">
        <f>IF(Preferences!B$9="Manual","",IFS(ISBLANK(B242),"",AND(ISNUMBER(E242)=TRUE,ISNUMBER(T242)=FALSE),"Direct", AND(ISNUMBER(E242)=FALSE,ISNUMBER(T242)=TRUE),"Indirect", CN242=4,"Direct",AND(CL242=FALSE, CM242=TRUE,CN242-CO242&gt;-1),"Direct", AND(CL242=FALSE,CM242=TRUE, CN242-CO242&lt;0),"Check algorithm in appendix 2", AND(CL242=TRUE, CM242=FALSE,CN242-CO242&gt;0),"Check algorithm in appendix 2", AND(CL242=TRUE, CM242=FALSE,CN242-CO242=0),"Indirect", AND(CL242=TRUE, CM242=FALSE,CN242-CO242&lt;0),"Indirect", AND(CL242=FALSE,CM242=FALSE,CN242-CO242&gt;-1),"Direct", AND(CL242=FALSE,CM242=FALSE,CN242-CO242&lt;0),"Check algorithm in appendix 2", AND(CL242=TRUE,CM242=TRUE,CN242-CO242&gt;-1),"Direct", AND(CL242=TRUE,CM242=TRUE,CN242-CO242&lt;0),"Check algorithm in appendix 2"))</f>
        <v/>
      </c>
      <c r="BC242" s="120" t="str">
        <f t="shared" si="10"/>
        <v/>
      </c>
      <c r="BD242" s="140"/>
      <c r="BE242" s="122" t="str">
        <f>IF(Preferences!B$3="Manual","", IFERROR(IFS(AND(Preferences!B$3="Automatic",AX242/AW242&gt;=30),"Extremely serious",AND(AY242&lt;=$D$1*-1,BA242&lt;0,AX242/AW242&lt;3),"Not Serious",AND(AY242&lt;=$D$1*-1,BA242&lt;0,AX242/AW242&gt;=3),"Very serious",AND(AY242&gt;=$D$1,AZ242&gt;0,AX242/AW242&lt;3),"Not Serious",AND(AY242&gt;=$D$1,AZ242&gt;0,AX242/AW242&gt;=3),"Very serious",AND(AY242&lt;=$D$1*-1,BA242&gt;0,AZ242&gt;$D$2*-1,AX242/AW242&lt;3),"Serious", AND(AY242&lt;=$D$1*-1,BA242&gt;0,AZ242&lt;$D$2*-1,AX242/AW242&lt;3),"Very serious", AND(AY242&gt;=$D$1,AZ242&lt;0,BA242&lt;$D$2,AX242/AW242&lt;3),"Serious",AND(AY242&gt;=$D$1,AZ242&lt;0,BA242&gt;$D$2,AX242/AW242&lt;3),"Very serious", AND(AY242&lt;=$D$1*-1,BA242&gt;0,AZ242&gt;$D$2*-1,AX242/AW242&gt;=3),"Very serious", AND(AY242&lt;=$D$1*-1,BA242&gt;0,AZ242&lt;$D$2*-1,AX242/AW242&gt;=3),"Very serious", AND(AY242&gt;=$D$1,AZ242&lt;0,BA242&lt;$D$2,AX242/AW242&gt;=3),"Very serious", AND(AY242&gt;=$D$1,AZ242&lt;0,BA242&gt;$D$2,AX242/AW242&gt;=3),"Very serious", AND(AY242&gt;$D$1*-1,AY242&lt;$D$1,AZ242&gt;$D$1*-1,BA242&lt;$D$1,AX242/AW242&lt;3),"Not Serious", AND(AY242&gt;$D$1*-1,AY242&lt;$D$1,OR(AZ242&lt;=$D$1*-1,BA242&gt;=$D$1),AZ242&gt;$D$2*-1,BA242&lt;$D$2,AX242/AW242&lt;3),"Serious", AND(AY242&gt;$D$1*-1,AY242&lt;$D$1,OR(AZ242&lt;=$D$2*-1,BA242&gt;=$D$2),AX242/AW242&lt;3),"Very serious", AND(AY242&gt;$D$1*-1,AY242&lt;$D$1,AZ242&gt;$D$1*-1,BA242&lt;$D$1,AX242/AW242&gt;=3),"Very serious", AND(AY242&gt;$D$1*-1,AY242&lt;$D$1,OR(AZ242&lt;=$D$1*-1,BA242&gt;=$D$1),AZ242&gt;$D$2*-1,BA242&lt;$D$2,AX242/AW242&gt;=3),"Very serious", AND(AY242&gt;$D$1*-1,AY242&lt;$D$1,OR(AZ242&lt;=$D$2*-1,BA242&gt;=$D$2),AX242/AW242&gt;=3),"Very serious"),""))</f>
        <v/>
      </c>
      <c r="BF242" s="107" t="str">
        <f t="shared" si="11"/>
        <v/>
      </c>
      <c r="BG242" s="94" t="str">
        <f t="shared" si="46"/>
        <v/>
      </c>
      <c r="BH242" s="64" t="str">
        <f t="shared" si="12"/>
        <v>#N/A</v>
      </c>
      <c r="BI242" s="64" t="str">
        <f t="shared" si="13"/>
        <v/>
      </c>
      <c r="BJ242" s="123" t="str">
        <f t="shared" si="14"/>
        <v>#N/A</v>
      </c>
      <c r="BK242" s="64" t="str">
        <f t="shared" si="50"/>
        <v>YES</v>
      </c>
      <c r="BL242" s="64" t="str">
        <f t="shared" si="16"/>
        <v>YES</v>
      </c>
      <c r="BM242" s="64" t="str">
        <f t="shared" si="17"/>
        <v>YES</v>
      </c>
      <c r="BN242" s="124" t="str">
        <f t="shared" si="18"/>
        <v/>
      </c>
      <c r="BO242" s="91" t="str">
        <f t="shared" si="19"/>
        <v/>
      </c>
      <c r="BP242" s="91" t="str">
        <f t="shared" si="20"/>
        <v>#N/A</v>
      </c>
      <c r="BQ242" s="91" t="str">
        <f t="shared" si="21"/>
        <v/>
      </c>
      <c r="BR242" s="93" t="str">
        <f t="shared" si="22"/>
        <v/>
      </c>
      <c r="BS242" s="90" t="str">
        <f t="shared" si="23"/>
        <v/>
      </c>
      <c r="BT242" s="93" t="str">
        <f t="shared" si="24"/>
        <v>NA</v>
      </c>
      <c r="BU242" s="125" t="str">
        <f t="shared" si="25"/>
        <v>#N/A</v>
      </c>
      <c r="BV242" s="93" t="str">
        <f t="shared" si="26"/>
        <v/>
      </c>
      <c r="BW242" s="93" t="str">
        <f t="shared" si="27"/>
        <v/>
      </c>
      <c r="BX242" s="93" t="str">
        <f t="shared" si="28"/>
        <v>NA</v>
      </c>
      <c r="BY242" s="95" t="str">
        <f t="shared" si="29"/>
        <v>#N/A</v>
      </c>
      <c r="BZ242" s="93" t="str">
        <f t="shared" si="30"/>
        <v/>
      </c>
      <c r="CA242" s="93" t="str">
        <f t="shared" si="31"/>
        <v/>
      </c>
      <c r="CB242" s="93" t="str">
        <f t="shared" si="32"/>
        <v>NA</v>
      </c>
      <c r="CC242" s="96" t="str">
        <f t="shared" si="33"/>
        <v>#N/A</v>
      </c>
      <c r="CD242" s="93" t="str">
        <f t="shared" si="34"/>
        <v/>
      </c>
      <c r="CE242" s="93" t="str">
        <f t="shared" si="35"/>
        <v/>
      </c>
      <c r="CF242" s="93" t="str">
        <f t="shared" si="36"/>
        <v>NA</v>
      </c>
      <c r="CG242" s="97" t="str">
        <f t="shared" si="37"/>
        <v>#N/A</v>
      </c>
      <c r="CH242" s="98" t="str">
        <f t="shared" si="38"/>
        <v>#N/A</v>
      </c>
      <c r="CI242" s="99" t="str">
        <f t="shared" si="39"/>
        <v>#N/A</v>
      </c>
      <c r="CJ242" s="126" t="str">
        <f t="shared" si="40"/>
        <v>ERROR: check cell</v>
      </c>
      <c r="CK242" s="126" t="str">
        <f>if(AND(T242&lt;1=TRUE,E242&lt;1=TRUE)=TRUE,if(OR(AND(V242&gt;G242=TRUE,G242&gt;U242=TRUE),AND(G242&gt;V242=TRUE,V242&gt;F242=TRUE)=TRUE)=TRUE,"No serious incoherence","Quantitative incoherence (same direction of effect)"),if(AND(T242&gt;1=TRUE,E242&gt;1=TRUE)=TRUE,if(OR(AND(V242&gt;G242=TRUE,G242&gt;U242=TRUE),AND(G242&gt;V242=TRUE,V242&gt;F242=TRUE)=TRUE)=TRUE,"No serious incoherence","Quantitative incoherence (same direction of effect)"),if(OR(AND(T242&lt;1=TRUE,E242&gt;1=TRUE)=TRUE,AND(T242&gt;1=TRUE,E242&lt;1=TRUE)=TRUE)=TRUE,if(OR(AND(V242&gt;G242=TRUE,G242&gt;U242=TRUE),AND(G242&gt;V242=TRUE,V242&gt;F242=TRUE)=TRUE)=TRUE,"No serious incoherence","Qualitative incoherence (different direction of effect)"))))</f>
        <v>Quantitative incoherence (same direction of effect)</v>
      </c>
      <c r="CL242" s="127" t="str">
        <f t="shared" si="41"/>
        <v>#DIV/0!</v>
      </c>
      <c r="CM242" s="128" t="str">
        <f t="shared" si="42"/>
        <v>#DIV/0!</v>
      </c>
      <c r="CN242" s="128">
        <f t="shared" si="43"/>
        <v>4</v>
      </c>
      <c r="CO242" s="129">
        <f t="shared" si="44"/>
        <v>4</v>
      </c>
      <c r="CP242" s="129" t="str">
        <f>IFS(C242=Preferences!B$13,B242,B242=Preferences!B$13,C242)</f>
        <v>#N/A</v>
      </c>
    </row>
    <row r="243" ht="13.5" customHeight="1">
      <c r="A243" s="63" t="str">
        <f t="shared" si="45"/>
        <v/>
      </c>
      <c r="B243" s="64"/>
      <c r="C243" s="64"/>
      <c r="D243" s="64"/>
      <c r="E243" s="65"/>
      <c r="F243" s="65"/>
      <c r="G243" s="65"/>
      <c r="H243" s="66"/>
      <c r="I243" s="66"/>
      <c r="J243" s="67"/>
      <c r="K243" s="68"/>
      <c r="L243" s="104"/>
      <c r="M243" s="104"/>
      <c r="N243" s="104"/>
      <c r="O243" s="104"/>
      <c r="P243" s="107" t="str">
        <f t="shared" si="1"/>
        <v/>
      </c>
      <c r="Q243" s="108" t="str">
        <f>IFERROR(IF(AND(Preferences!B$3="Manual",OR(AX243/AW243&gt;G243/F243,BD243="Serious",BD243="Very serious")),"Assess imprecision",IFS(ISBLANK(E243),"",AND(Preferences!B$3="Automatic", G243/F243&gt;=30),"Extremely serious",AND(H243&lt;=$D$1*-1,J243&lt;0,G243/F243&lt;3),"Not serious",AND(H243&lt;=$D$1*-1,J243&lt;0,G243/F243&gt;=3),"Very serious",AND(H243&gt;=$D$1,I243&gt;0,G243/F243&lt;3),"Not serious",AND(H243&gt;=$D$1,I243&gt;0,G243/F243&gt;=3),"Very serious",AND(H243&lt;=$D$1*-1,J243&gt;0,I243&gt;$D$2*-1,G243/F243&lt;3),"Serious", AND(H243&lt;=$D$1*-1,J243&gt;0,I243&lt;$D$2*-1,G243/F243&lt;3),"Very serious", AND(H243&gt;=$D$1,I243&lt;0,J243&lt;$D$2,G243/F243&lt;3),"Serious",AND(H243&gt;=$D$1,I243&lt;0,J243&gt;$D$2,G243/F243&lt;3),"Very serious", AND(H243&lt;=$D$1*-1,J243&gt;0,I243&gt;$D$2*-1,G243/F243&gt;=3),"Very serious", AND(H243&lt;=$D$1*-1,J243&gt;0,I243&lt;$D$2*-1,G243/F243&gt;=3),"Very serious", AND(H243&gt;=$D$1,I243&lt;0,J243&lt;$D$2,G243/F243&gt;=3),"Very serious", AND(H243&gt;=$D$1,I243&lt;0,J243&gt;$D$2,G243/F243&gt;=3),"Very serious", AND(H243&gt;$D$1*-1,H243&lt;$D$1,I243&gt;$D$1*-1,J243&lt;$D$1,G243/F243&lt;3),"Not serious", AND(H243&gt;$D$1*-1,H243&lt;$D$1,OR(I243&lt;=$D$1*-1,J243&gt;=$D$1),I243&gt;$D$2*-1,J243&lt;$D$2,G243/F243&lt;3),"Serious", AND(H243&gt;$D$1*-1,H243&lt;$D$1,OR(I243&lt;=$D$2*-1,J243&gt;=$D$2),G243/F243&lt;3),"Very serious", AND(H243&gt;$D$1*-1,H243&lt;$D$1,I243&gt;$D$1*-1,J243&lt;$D$1,G243/F243&gt;=3),"Very serious", AND(H243&gt;$D$1*-1,H243&lt;$D$1,OR(I243&lt;=$D$1*-1,J243&gt;=$D$1),I243&gt;$D$2*-1,J243&lt;$D$2,G243/F243&gt;=3),"Very serious", AND(H243&gt;$D$1*-1,H243&lt;$D$1,OR(I243&lt;=$D$2*-1,J243&gt;=$D$2),G243/F243&gt;=3),"Very serious")),"")</f>
        <v/>
      </c>
      <c r="R243" s="109" t="str">
        <f t="shared" si="47"/>
        <v/>
      </c>
      <c r="S243" s="64"/>
      <c r="T243" s="72"/>
      <c r="U243" s="72"/>
      <c r="V243" s="72"/>
      <c r="W243" s="73"/>
      <c r="X243" s="73"/>
      <c r="Y243" s="74"/>
      <c r="Z243" s="113" t="str">
        <f t="array" ref="Z243">INDEX($A$1:$C$500, MATCH(1,($B:$B=$B243)*($C:$C=$AB243),0),1)</f>
        <v/>
      </c>
      <c r="AA243" s="113" t="str">
        <f t="array" ref="AA243">INDEX($A$1:$C$500, MATCH(1,($B:$B=$AB243)*($C:$C=$B243),0),1)</f>
        <v/>
      </c>
      <c r="AB243" s="111"/>
      <c r="AC243" s="114" t="str">
        <f t="shared" si="2"/>
        <v/>
      </c>
      <c r="AD243" s="115" t="str">
        <f t="shared" si="3"/>
        <v/>
      </c>
      <c r="AE243" s="116" t="str">
        <f t="array" ref="AE243">INDEX($A$1:$C$500, MATCH(1,($B:$B=$AB243)*($C:$C=$AG243),0),1)</f>
        <v/>
      </c>
      <c r="AF243" s="116" t="str">
        <f t="array" ref="AF243">INDEX($A$1:$C$500, MATCH(1,($B:$B=$AG243)*($C:$C=$AB243),0),1)</f>
        <v/>
      </c>
      <c r="AG243" s="72"/>
      <c r="AH243" s="114" t="str">
        <f t="shared" si="4"/>
        <v/>
      </c>
      <c r="AI243" s="115" t="str">
        <f t="shared" si="5"/>
        <v/>
      </c>
      <c r="AJ243" s="116" t="str">
        <f t="array" ref="AJ243">INDEX($A$1:$C$500, MATCH(1,($B:$B=$C243)*($C:$C=$AG243),0),1)</f>
        <v/>
      </c>
      <c r="AK243" s="116" t="str">
        <f t="array" ref="AK243">INDEX($A$1:$C$500, MATCH(1,($B:$B=$AG243)*($C:$C=$C243),0),1)</f>
        <v/>
      </c>
      <c r="AL243" s="116" t="str">
        <f t="array" ref="AL243">INDEX($A$1:$C$500, MATCH(1,($B:$B=$C243)*($C:$C=$AB243),0),1)</f>
        <v/>
      </c>
      <c r="AM243" s="116" t="str">
        <f t="array" ref="AM243">INDEX($A$1:$C$500, MATCH(1,($B:$B=$AB243)*($C:$C=$C243),0),1)</f>
        <v/>
      </c>
      <c r="AN243" s="114" t="str">
        <f t="array" ref="AN243">IFS(ISNUMBER(AJ243),AJ243,ISNUMBER(AK243),AK243,ISNUMBER(AL243),AL243,ISNUMBER(AM243),AM243)</f>
        <v>#N/A</v>
      </c>
      <c r="AO243" s="115" t="str">
        <f t="shared" si="6"/>
        <v/>
      </c>
      <c r="AP243" s="115" t="str">
        <f t="shared" si="7"/>
        <v/>
      </c>
      <c r="AQ243" s="111"/>
      <c r="AR243" s="109" t="str">
        <f t="shared" si="8"/>
        <v/>
      </c>
      <c r="AS243" s="72" t="str">
        <f>IFERROR(IF(AND(Preferences!B$3="Manual",OR(AX243/AW243&gt;V243/U243,BD243="Serious",BD243="Very serious")),"Assess imprecision",IFERROR(IFS(AND(Preferences!B$3="Automatic",V243/U243&gt;=30),"Extremely serious",AND(W243&lt;=$D$1*-1,Y243&lt;0,V243/U243&lt;3),"Not Serious",AND(W243&lt;=$D$1*-1,Y243&lt;0,V243/U243&gt;=3),"Very serious",AND(W243&gt;=$D$1,X243&gt;0,V243/U243&lt;3),"Not Serious",AND(W243&gt;=$D$1,X243&gt;0,V243/U243&gt;=3),"Very serious",AND(W243&lt;=$D$1*-1,Y243&gt;0,X243&gt;$D$2*-1,V243/U243&lt;3),"Serious", AND(W243&lt;=$D$1*-1,Y243&gt;0,X243&lt;$D$2*-1,V243/U243&lt;3),"Very serious", AND(W243&gt;=$D$1,X243&lt;0,Y243&lt;$D$2,V243/U243&lt;3),"Serious",AND(W243&gt;=$D$1,X243&lt;0,Y243&gt;$D$2,V243/U243&lt;3),"Very serious", AND(W243&lt;=$D$1*-1,Y243&gt;0,X243&gt;$D$2*-1,V243/U243&gt;=3),"Very serious", AND(W243&lt;=$D$1*-1,Y243&gt;0,X243&lt;$D$2*-1,V243/U243&gt;=3),"Very serious", AND(W243&gt;=$D$1,X243&lt;0,Y243&lt;$D$2,V243/U243&gt;=3),"Very serious", AND(W243&gt;=$D$1,X243&lt;0,Y243&gt;$D$2,V243/U243&gt;=3),"Very serious", AND(W243&gt;$D$1*-1,W243&lt;$D$1,X243&gt;$D$1*-1,Y243&lt;$D$1,V243/U243&lt;3),"Not Serious", AND(W243&gt;$D$1*-1,W243&lt;$D$1,OR(X243&lt;=$D$1*-1,Y243&gt;=$D$1),X243&gt;$D$2*-1,Y243&lt;$D$2,V243/U243&lt;3),"Serious", AND(W243&gt;$D$1*-1,W243&lt;$D$1,OR(X243&lt;=$D$2*-1,Y243&gt;=$D$2),V243/U243&lt;3),"Very serious", AND(W243&gt;$D$1*-1,W243&lt;$D$1,X243&gt;$D$1*-1,Y243&lt;$D$1,V243/U243&gt;=3),"Very serious", AND(W243&gt;$D$1*-1,W243&lt;$D$1,OR(X243&lt;=$D$1*-1,Y243&gt;=$D$1),X243&gt;$D$2*-1,Y243&lt;$D$2,V243/U243&gt;=3),"Very serious", AND(W243&gt;$D$1*-1,W243&lt;$D$1,OR(X243&lt;=$D$2*-1,Y243&gt;=$D$2),V243/U243&gt;=3),"Very serious"),"")),"")</f>
        <v/>
      </c>
      <c r="AT243" s="109" t="str">
        <f t="shared" si="9"/>
        <v/>
      </c>
      <c r="AU243" s="64"/>
      <c r="AV243" s="83"/>
      <c r="AW243" s="83"/>
      <c r="AX243" s="83"/>
      <c r="AY243" s="83"/>
      <c r="AZ243" s="83"/>
      <c r="BA243" s="85"/>
      <c r="BB243" s="86" t="str">
        <f>IF(Preferences!B$9="Manual","",IFS(ISBLANK(B243),"",AND(ISNUMBER(E243)=TRUE,ISNUMBER(T243)=FALSE),"Direct", AND(ISNUMBER(E243)=FALSE,ISNUMBER(T243)=TRUE),"Indirect", CN243=4,"Direct",AND(CL243=FALSE, CM243=TRUE,CN243-CO243&gt;-1),"Direct", AND(CL243=FALSE,CM243=TRUE, CN243-CO243&lt;0),"Check algorithm in appendix 2", AND(CL243=TRUE, CM243=FALSE,CN243-CO243&gt;0),"Check algorithm in appendix 2", AND(CL243=TRUE, CM243=FALSE,CN243-CO243=0),"Indirect", AND(CL243=TRUE, CM243=FALSE,CN243-CO243&lt;0),"Indirect", AND(CL243=FALSE,CM243=FALSE,CN243-CO243&gt;-1),"Direct", AND(CL243=FALSE,CM243=FALSE,CN243-CO243&lt;0),"Check algorithm in appendix 2", AND(CL243=TRUE,CM243=TRUE,CN243-CO243&gt;-1),"Direct", AND(CL243=TRUE,CM243=TRUE,CN243-CO243&lt;0),"Check algorithm in appendix 2"))</f>
        <v/>
      </c>
      <c r="BC243" s="120" t="str">
        <f t="shared" si="10"/>
        <v/>
      </c>
      <c r="BD243" s="140"/>
      <c r="BE243" s="122" t="str">
        <f>IF(Preferences!B$3="Manual","", IFERROR(IFS(AND(Preferences!B$3="Automatic",AX243/AW243&gt;=30),"Extremely serious",AND(AY243&lt;=$D$1*-1,BA243&lt;0,AX243/AW243&lt;3),"Not Serious",AND(AY243&lt;=$D$1*-1,BA243&lt;0,AX243/AW243&gt;=3),"Very serious",AND(AY243&gt;=$D$1,AZ243&gt;0,AX243/AW243&lt;3),"Not Serious",AND(AY243&gt;=$D$1,AZ243&gt;0,AX243/AW243&gt;=3),"Very serious",AND(AY243&lt;=$D$1*-1,BA243&gt;0,AZ243&gt;$D$2*-1,AX243/AW243&lt;3),"Serious", AND(AY243&lt;=$D$1*-1,BA243&gt;0,AZ243&lt;$D$2*-1,AX243/AW243&lt;3),"Very serious", AND(AY243&gt;=$D$1,AZ243&lt;0,BA243&lt;$D$2,AX243/AW243&lt;3),"Serious",AND(AY243&gt;=$D$1,AZ243&lt;0,BA243&gt;$D$2,AX243/AW243&lt;3),"Very serious", AND(AY243&lt;=$D$1*-1,BA243&gt;0,AZ243&gt;$D$2*-1,AX243/AW243&gt;=3),"Very serious", AND(AY243&lt;=$D$1*-1,BA243&gt;0,AZ243&lt;$D$2*-1,AX243/AW243&gt;=3),"Very serious", AND(AY243&gt;=$D$1,AZ243&lt;0,BA243&lt;$D$2,AX243/AW243&gt;=3),"Very serious", AND(AY243&gt;=$D$1,AZ243&lt;0,BA243&gt;$D$2,AX243/AW243&gt;=3),"Very serious", AND(AY243&gt;$D$1*-1,AY243&lt;$D$1,AZ243&gt;$D$1*-1,BA243&lt;$D$1,AX243/AW243&lt;3),"Not Serious", AND(AY243&gt;$D$1*-1,AY243&lt;$D$1,OR(AZ243&lt;=$D$1*-1,BA243&gt;=$D$1),AZ243&gt;$D$2*-1,BA243&lt;$D$2,AX243/AW243&lt;3),"Serious", AND(AY243&gt;$D$1*-1,AY243&lt;$D$1,OR(AZ243&lt;=$D$2*-1,BA243&gt;=$D$2),AX243/AW243&lt;3),"Very serious", AND(AY243&gt;$D$1*-1,AY243&lt;$D$1,AZ243&gt;$D$1*-1,BA243&lt;$D$1,AX243/AW243&gt;=3),"Very serious", AND(AY243&gt;$D$1*-1,AY243&lt;$D$1,OR(AZ243&lt;=$D$1*-1,BA243&gt;=$D$1),AZ243&gt;$D$2*-1,BA243&lt;$D$2,AX243/AW243&gt;=3),"Very serious", AND(AY243&gt;$D$1*-1,AY243&lt;$D$1,OR(AZ243&lt;=$D$2*-1,BA243&gt;=$D$2),AX243/AW243&gt;=3),"Very serious"),""))</f>
        <v/>
      </c>
      <c r="BF243" s="107" t="str">
        <f t="shared" si="11"/>
        <v/>
      </c>
      <c r="BG243" s="94" t="str">
        <f t="shared" si="46"/>
        <v/>
      </c>
      <c r="BH243" s="64" t="str">
        <f t="shared" si="12"/>
        <v>#N/A</v>
      </c>
      <c r="BI243" s="64" t="str">
        <f t="shared" si="13"/>
        <v/>
      </c>
      <c r="BJ243" s="123" t="str">
        <f t="shared" si="14"/>
        <v>#N/A</v>
      </c>
      <c r="BK243" s="64" t="str">
        <f t="shared" si="50"/>
        <v>YES</v>
      </c>
      <c r="BL243" s="64" t="str">
        <f t="shared" si="16"/>
        <v>YES</v>
      </c>
      <c r="BM243" s="64" t="str">
        <f t="shared" si="17"/>
        <v>YES</v>
      </c>
      <c r="BN243" s="124" t="str">
        <f t="shared" si="18"/>
        <v/>
      </c>
      <c r="BO243" s="91" t="str">
        <f t="shared" si="19"/>
        <v/>
      </c>
      <c r="BP243" s="91" t="str">
        <f t="shared" si="20"/>
        <v>#N/A</v>
      </c>
      <c r="BQ243" s="91" t="str">
        <f t="shared" si="21"/>
        <v/>
      </c>
      <c r="BR243" s="93" t="str">
        <f t="shared" si="22"/>
        <v/>
      </c>
      <c r="BS243" s="90" t="str">
        <f t="shared" si="23"/>
        <v/>
      </c>
      <c r="BT243" s="93" t="str">
        <f t="shared" si="24"/>
        <v>NA</v>
      </c>
      <c r="BU243" s="125" t="str">
        <f t="shared" si="25"/>
        <v>#N/A</v>
      </c>
      <c r="BV243" s="93" t="str">
        <f t="shared" si="26"/>
        <v/>
      </c>
      <c r="BW243" s="93" t="str">
        <f t="shared" si="27"/>
        <v/>
      </c>
      <c r="BX243" s="93" t="str">
        <f t="shared" si="28"/>
        <v>NA</v>
      </c>
      <c r="BY243" s="95" t="str">
        <f t="shared" si="29"/>
        <v>#N/A</v>
      </c>
      <c r="BZ243" s="93" t="str">
        <f t="shared" si="30"/>
        <v/>
      </c>
      <c r="CA243" s="93" t="str">
        <f t="shared" si="31"/>
        <v/>
      </c>
      <c r="CB243" s="93" t="str">
        <f t="shared" si="32"/>
        <v>NA</v>
      </c>
      <c r="CC243" s="96" t="str">
        <f t="shared" si="33"/>
        <v>#N/A</v>
      </c>
      <c r="CD243" s="93" t="str">
        <f t="shared" si="34"/>
        <v/>
      </c>
      <c r="CE243" s="93" t="str">
        <f t="shared" si="35"/>
        <v/>
      </c>
      <c r="CF243" s="93" t="str">
        <f t="shared" si="36"/>
        <v>NA</v>
      </c>
      <c r="CG243" s="97" t="str">
        <f t="shared" si="37"/>
        <v>#N/A</v>
      </c>
      <c r="CH243" s="98" t="str">
        <f t="shared" si="38"/>
        <v>#N/A</v>
      </c>
      <c r="CI243" s="99" t="str">
        <f t="shared" si="39"/>
        <v>#N/A</v>
      </c>
      <c r="CJ243" s="126" t="str">
        <f t="shared" si="40"/>
        <v>ERROR: check cell</v>
      </c>
      <c r="CK243" s="126"/>
      <c r="CL243" s="127" t="str">
        <f t="shared" si="41"/>
        <v>#DIV/0!</v>
      </c>
      <c r="CM243" s="128" t="str">
        <f t="shared" si="42"/>
        <v>#DIV/0!</v>
      </c>
      <c r="CN243" s="128">
        <f t="shared" si="43"/>
        <v>4</v>
      </c>
      <c r="CO243" s="129">
        <f t="shared" si="44"/>
        <v>4</v>
      </c>
      <c r="CP243" s="129" t="str">
        <f>IFS(C243=Preferences!B$13,B243,B243=Preferences!B$13,C243)</f>
        <v>#N/A</v>
      </c>
    </row>
    <row r="244" ht="13.5" customHeight="1">
      <c r="A244" s="63" t="str">
        <f t="shared" si="45"/>
        <v/>
      </c>
      <c r="B244" s="64"/>
      <c r="C244" s="64"/>
      <c r="D244" s="64"/>
      <c r="E244" s="65"/>
      <c r="F244" s="65"/>
      <c r="G244" s="65"/>
      <c r="H244" s="66"/>
      <c r="I244" s="66"/>
      <c r="J244" s="67"/>
      <c r="K244" s="68"/>
      <c r="L244" s="104"/>
      <c r="M244" s="104"/>
      <c r="N244" s="104"/>
      <c r="O244" s="104"/>
      <c r="P244" s="107" t="str">
        <f t="shared" si="1"/>
        <v/>
      </c>
      <c r="Q244" s="108" t="str">
        <f>IFERROR(IF(AND(Preferences!B$3="Manual",OR(AX244/AW244&gt;G244/F244,BD244="Serious",BD244="Very serious")),"Assess imprecision",IFS(ISBLANK(E244),"",AND(Preferences!B$3="Automatic", G244/F244&gt;=30),"Extremely serious",AND(H244&lt;=$D$1*-1,J244&lt;0,G244/F244&lt;3),"Not serious",AND(H244&lt;=$D$1*-1,J244&lt;0,G244/F244&gt;=3),"Very serious",AND(H244&gt;=$D$1,I244&gt;0,G244/F244&lt;3),"Not serious",AND(H244&gt;=$D$1,I244&gt;0,G244/F244&gt;=3),"Very serious",AND(H244&lt;=$D$1*-1,J244&gt;0,I244&gt;$D$2*-1,G244/F244&lt;3),"Serious", AND(H244&lt;=$D$1*-1,J244&gt;0,I244&lt;$D$2*-1,G244/F244&lt;3),"Very serious", AND(H244&gt;=$D$1,I244&lt;0,J244&lt;$D$2,G244/F244&lt;3),"Serious",AND(H244&gt;=$D$1,I244&lt;0,J244&gt;$D$2,G244/F244&lt;3),"Very serious", AND(H244&lt;=$D$1*-1,J244&gt;0,I244&gt;$D$2*-1,G244/F244&gt;=3),"Very serious", AND(H244&lt;=$D$1*-1,J244&gt;0,I244&lt;$D$2*-1,G244/F244&gt;=3),"Very serious", AND(H244&gt;=$D$1,I244&lt;0,J244&lt;$D$2,G244/F244&gt;=3),"Very serious", AND(H244&gt;=$D$1,I244&lt;0,J244&gt;$D$2,G244/F244&gt;=3),"Very serious", AND(H244&gt;$D$1*-1,H244&lt;$D$1,I244&gt;$D$1*-1,J244&lt;$D$1,G244/F244&lt;3),"Not serious", AND(H244&gt;$D$1*-1,H244&lt;$D$1,OR(I244&lt;=$D$1*-1,J244&gt;=$D$1),I244&gt;$D$2*-1,J244&lt;$D$2,G244/F244&lt;3),"Serious", AND(H244&gt;$D$1*-1,H244&lt;$D$1,OR(I244&lt;=$D$2*-1,J244&gt;=$D$2),G244/F244&lt;3),"Very serious", AND(H244&gt;$D$1*-1,H244&lt;$D$1,I244&gt;$D$1*-1,J244&lt;$D$1,G244/F244&gt;=3),"Very serious", AND(H244&gt;$D$1*-1,H244&lt;$D$1,OR(I244&lt;=$D$1*-1,J244&gt;=$D$1),I244&gt;$D$2*-1,J244&lt;$D$2,G244/F244&gt;=3),"Very serious", AND(H244&gt;$D$1*-1,H244&lt;$D$1,OR(I244&lt;=$D$2*-1,J244&gt;=$D$2),G244/F244&gt;=3),"Very serious")),"")</f>
        <v/>
      </c>
      <c r="R244" s="109" t="str">
        <f t="shared" si="47"/>
        <v/>
      </c>
      <c r="S244" s="64"/>
      <c r="T244" s="72"/>
      <c r="U244" s="72"/>
      <c r="V244" s="72"/>
      <c r="W244" s="73"/>
      <c r="X244" s="73"/>
      <c r="Y244" s="74"/>
      <c r="Z244" s="113" t="str">
        <f t="array" ref="Z244">INDEX($A$1:$C$500, MATCH(1,($B:$B=$B244)*($C:$C=$AB244),0),1)</f>
        <v/>
      </c>
      <c r="AA244" s="113" t="str">
        <f t="array" ref="AA244">INDEX($A$1:$C$500, MATCH(1,($B:$B=$AB244)*($C:$C=$B244),0),1)</f>
        <v/>
      </c>
      <c r="AB244" s="111"/>
      <c r="AC244" s="114" t="str">
        <f t="shared" si="2"/>
        <v/>
      </c>
      <c r="AD244" s="115" t="str">
        <f t="shared" si="3"/>
        <v/>
      </c>
      <c r="AE244" s="116" t="str">
        <f t="array" ref="AE244">INDEX($A$1:$C$500, MATCH(1,($B:$B=$AB244)*($C:$C=$AG244),0),1)</f>
        <v/>
      </c>
      <c r="AF244" s="116" t="str">
        <f t="array" ref="AF244">INDEX($A$1:$C$500, MATCH(1,($B:$B=$AG244)*($C:$C=$AB244),0),1)</f>
        <v/>
      </c>
      <c r="AG244" s="72"/>
      <c r="AH244" s="114" t="str">
        <f t="shared" si="4"/>
        <v/>
      </c>
      <c r="AI244" s="115" t="str">
        <f t="shared" si="5"/>
        <v/>
      </c>
      <c r="AJ244" s="116" t="str">
        <f t="array" ref="AJ244">INDEX($A$1:$C$500, MATCH(1,($B:$B=$C244)*($C:$C=$AG244),0),1)</f>
        <v/>
      </c>
      <c r="AK244" s="116" t="str">
        <f t="array" ref="AK244">INDEX($A$1:$C$500, MATCH(1,($B:$B=$AG244)*($C:$C=$C244),0),1)</f>
        <v/>
      </c>
      <c r="AL244" s="116" t="str">
        <f t="array" ref="AL244">INDEX($A$1:$C$500, MATCH(1,($B:$B=$C244)*($C:$C=$AB244),0),1)</f>
        <v/>
      </c>
      <c r="AM244" s="116" t="str">
        <f t="array" ref="AM244">INDEX($A$1:$C$500, MATCH(1,($B:$B=$AB244)*($C:$C=$C244),0),1)</f>
        <v/>
      </c>
      <c r="AN244" s="114" t="str">
        <f t="array" ref="AN244">IFS(ISNUMBER(AJ244),AJ244,ISNUMBER(AK244),AK244,ISNUMBER(AL244),AL244,ISNUMBER(AM244),AM244)</f>
        <v>#N/A</v>
      </c>
      <c r="AO244" s="115" t="str">
        <f t="shared" si="6"/>
        <v/>
      </c>
      <c r="AP244" s="115" t="str">
        <f t="shared" si="7"/>
        <v/>
      </c>
      <c r="AQ244" s="111"/>
      <c r="AR244" s="109" t="str">
        <f t="shared" si="8"/>
        <v/>
      </c>
      <c r="AS244" s="72" t="str">
        <f>IFERROR(IF(AND(Preferences!B$3="Manual",OR(AX244/AW244&gt;V244/U244,BD244="Serious",BD244="Very serious")),"Assess imprecision",IFERROR(IFS(AND(Preferences!B$3="Automatic",V244/U244&gt;=30),"Extremely serious",AND(W244&lt;=$D$1*-1,Y244&lt;0,V244/U244&lt;3),"Not Serious",AND(W244&lt;=$D$1*-1,Y244&lt;0,V244/U244&gt;=3),"Very serious",AND(W244&gt;=$D$1,X244&gt;0,V244/U244&lt;3),"Not Serious",AND(W244&gt;=$D$1,X244&gt;0,V244/U244&gt;=3),"Very serious",AND(W244&lt;=$D$1*-1,Y244&gt;0,X244&gt;$D$2*-1,V244/U244&lt;3),"Serious", AND(W244&lt;=$D$1*-1,Y244&gt;0,X244&lt;$D$2*-1,V244/U244&lt;3),"Very serious", AND(W244&gt;=$D$1,X244&lt;0,Y244&lt;$D$2,V244/U244&lt;3),"Serious",AND(W244&gt;=$D$1,X244&lt;0,Y244&gt;$D$2,V244/U244&lt;3),"Very serious", AND(W244&lt;=$D$1*-1,Y244&gt;0,X244&gt;$D$2*-1,V244/U244&gt;=3),"Very serious", AND(W244&lt;=$D$1*-1,Y244&gt;0,X244&lt;$D$2*-1,V244/U244&gt;=3),"Very serious", AND(W244&gt;=$D$1,X244&lt;0,Y244&lt;$D$2,V244/U244&gt;=3),"Very serious", AND(W244&gt;=$D$1,X244&lt;0,Y244&gt;$D$2,V244/U244&gt;=3),"Very serious", AND(W244&gt;$D$1*-1,W244&lt;$D$1,X244&gt;$D$1*-1,Y244&lt;$D$1,V244/U244&lt;3),"Not Serious", AND(W244&gt;$D$1*-1,W244&lt;$D$1,OR(X244&lt;=$D$1*-1,Y244&gt;=$D$1),X244&gt;$D$2*-1,Y244&lt;$D$2,V244/U244&lt;3),"Serious", AND(W244&gt;$D$1*-1,W244&lt;$D$1,OR(X244&lt;=$D$2*-1,Y244&gt;=$D$2),V244/U244&lt;3),"Very serious", AND(W244&gt;$D$1*-1,W244&lt;$D$1,X244&gt;$D$1*-1,Y244&lt;$D$1,V244/U244&gt;=3),"Very serious", AND(W244&gt;$D$1*-1,W244&lt;$D$1,OR(X244&lt;=$D$1*-1,Y244&gt;=$D$1),X244&gt;$D$2*-1,Y244&lt;$D$2,V244/U244&gt;=3),"Very serious", AND(W244&gt;$D$1*-1,W244&lt;$D$1,OR(X244&lt;=$D$2*-1,Y244&gt;=$D$2),V244/U244&gt;=3),"Very serious"),"")),"")</f>
        <v/>
      </c>
      <c r="AT244" s="109" t="str">
        <f t="shared" si="9"/>
        <v/>
      </c>
      <c r="AU244" s="64"/>
      <c r="AV244" s="83"/>
      <c r="AW244" s="83"/>
      <c r="AX244" s="83"/>
      <c r="AY244" s="83"/>
      <c r="AZ244" s="83"/>
      <c r="BA244" s="85"/>
      <c r="BB244" s="86" t="str">
        <f>IF(Preferences!B$9="Manual","",IFS(ISBLANK(B244),"",AND(ISNUMBER(E244)=TRUE,ISNUMBER(T244)=FALSE),"Direct", AND(ISNUMBER(E244)=FALSE,ISNUMBER(T244)=TRUE),"Indirect", CN244=4,"Direct",AND(CL244=FALSE, CM244=TRUE,CN244-CO244&gt;-1),"Direct", AND(CL244=FALSE,CM244=TRUE, CN244-CO244&lt;0),"Check algorithm in appendix 2", AND(CL244=TRUE, CM244=FALSE,CN244-CO244&gt;0),"Check algorithm in appendix 2", AND(CL244=TRUE, CM244=FALSE,CN244-CO244=0),"Indirect", AND(CL244=TRUE, CM244=FALSE,CN244-CO244&lt;0),"Indirect", AND(CL244=FALSE,CM244=FALSE,CN244-CO244&gt;-1),"Direct", AND(CL244=FALSE,CM244=FALSE,CN244-CO244&lt;0),"Check algorithm in appendix 2", AND(CL244=TRUE,CM244=TRUE,CN244-CO244&gt;-1),"Direct", AND(CL244=TRUE,CM244=TRUE,CN244-CO244&lt;0),"Check algorithm in appendix 2"))</f>
        <v/>
      </c>
      <c r="BC244" s="120" t="str">
        <f t="shared" si="10"/>
        <v/>
      </c>
      <c r="BD244" s="140"/>
      <c r="BE244" s="122" t="str">
        <f>IF(Preferences!B$3="Manual","", IFERROR(IFS(AND(Preferences!B$3="Automatic",AX244/AW244&gt;=30),"Extremely serious",AND(AY244&lt;=$D$1*-1,BA244&lt;0,AX244/AW244&lt;3),"Not Serious",AND(AY244&lt;=$D$1*-1,BA244&lt;0,AX244/AW244&gt;=3),"Very serious",AND(AY244&gt;=$D$1,AZ244&gt;0,AX244/AW244&lt;3),"Not Serious",AND(AY244&gt;=$D$1,AZ244&gt;0,AX244/AW244&gt;=3),"Very serious",AND(AY244&lt;=$D$1*-1,BA244&gt;0,AZ244&gt;$D$2*-1,AX244/AW244&lt;3),"Serious", AND(AY244&lt;=$D$1*-1,BA244&gt;0,AZ244&lt;$D$2*-1,AX244/AW244&lt;3),"Very serious", AND(AY244&gt;=$D$1,AZ244&lt;0,BA244&lt;$D$2,AX244/AW244&lt;3),"Serious",AND(AY244&gt;=$D$1,AZ244&lt;0,BA244&gt;$D$2,AX244/AW244&lt;3),"Very serious", AND(AY244&lt;=$D$1*-1,BA244&gt;0,AZ244&gt;$D$2*-1,AX244/AW244&gt;=3),"Very serious", AND(AY244&lt;=$D$1*-1,BA244&gt;0,AZ244&lt;$D$2*-1,AX244/AW244&gt;=3),"Very serious", AND(AY244&gt;=$D$1,AZ244&lt;0,BA244&lt;$D$2,AX244/AW244&gt;=3),"Very serious", AND(AY244&gt;=$D$1,AZ244&lt;0,BA244&gt;$D$2,AX244/AW244&gt;=3),"Very serious", AND(AY244&gt;$D$1*-1,AY244&lt;$D$1,AZ244&gt;$D$1*-1,BA244&lt;$D$1,AX244/AW244&lt;3),"Not Serious", AND(AY244&gt;$D$1*-1,AY244&lt;$D$1,OR(AZ244&lt;=$D$1*-1,BA244&gt;=$D$1),AZ244&gt;$D$2*-1,BA244&lt;$D$2,AX244/AW244&lt;3),"Serious", AND(AY244&gt;$D$1*-1,AY244&lt;$D$1,OR(AZ244&lt;=$D$2*-1,BA244&gt;=$D$2),AX244/AW244&lt;3),"Very serious", AND(AY244&gt;$D$1*-1,AY244&lt;$D$1,AZ244&gt;$D$1*-1,BA244&lt;$D$1,AX244/AW244&gt;=3),"Very serious", AND(AY244&gt;$D$1*-1,AY244&lt;$D$1,OR(AZ244&lt;=$D$1*-1,BA244&gt;=$D$1),AZ244&gt;$D$2*-1,BA244&lt;$D$2,AX244/AW244&gt;=3),"Very serious", AND(AY244&gt;$D$1*-1,AY244&lt;$D$1,OR(AZ244&lt;=$D$2*-1,BA244&gt;=$D$2),AX244/AW244&gt;=3),"Very serious"),""))</f>
        <v/>
      </c>
      <c r="BF244" s="107" t="str">
        <f t="shared" si="11"/>
        <v/>
      </c>
      <c r="BG244" s="94" t="str">
        <f t="shared" si="46"/>
        <v/>
      </c>
      <c r="BH244" s="64" t="str">
        <f t="shared" si="12"/>
        <v>#N/A</v>
      </c>
      <c r="BI244" s="64" t="str">
        <f t="shared" si="13"/>
        <v/>
      </c>
      <c r="BJ244" s="123" t="str">
        <f t="shared" si="14"/>
        <v>#N/A</v>
      </c>
      <c r="BK244" s="64" t="str">
        <f t="shared" si="50"/>
        <v>YES</v>
      </c>
      <c r="BL244" s="64" t="str">
        <f t="shared" si="16"/>
        <v>YES</v>
      </c>
      <c r="BM244" s="64" t="str">
        <f t="shared" si="17"/>
        <v>YES</v>
      </c>
      <c r="BN244" s="124" t="str">
        <f t="shared" si="18"/>
        <v/>
      </c>
      <c r="BO244" s="91" t="str">
        <f t="shared" si="19"/>
        <v/>
      </c>
      <c r="BP244" s="91" t="str">
        <f t="shared" si="20"/>
        <v>#N/A</v>
      </c>
      <c r="BQ244" s="91" t="str">
        <f t="shared" si="21"/>
        <v/>
      </c>
      <c r="BR244" s="93" t="str">
        <f t="shared" si="22"/>
        <v/>
      </c>
      <c r="BS244" s="90" t="str">
        <f t="shared" si="23"/>
        <v/>
      </c>
      <c r="BT244" s="93" t="str">
        <f t="shared" si="24"/>
        <v>NA</v>
      </c>
      <c r="BU244" s="125" t="str">
        <f t="shared" si="25"/>
        <v>#N/A</v>
      </c>
      <c r="BV244" s="93" t="str">
        <f t="shared" si="26"/>
        <v/>
      </c>
      <c r="BW244" s="93" t="str">
        <f t="shared" si="27"/>
        <v/>
      </c>
      <c r="BX244" s="93" t="str">
        <f t="shared" si="28"/>
        <v>NA</v>
      </c>
      <c r="BY244" s="95" t="str">
        <f t="shared" si="29"/>
        <v>#N/A</v>
      </c>
      <c r="BZ244" s="93" t="str">
        <f t="shared" si="30"/>
        <v/>
      </c>
      <c r="CA244" s="93" t="str">
        <f t="shared" si="31"/>
        <v/>
      </c>
      <c r="CB244" s="93" t="str">
        <f t="shared" si="32"/>
        <v>NA</v>
      </c>
      <c r="CC244" s="96" t="str">
        <f t="shared" si="33"/>
        <v>#N/A</v>
      </c>
      <c r="CD244" s="93" t="str">
        <f t="shared" si="34"/>
        <v/>
      </c>
      <c r="CE244" s="93" t="str">
        <f t="shared" si="35"/>
        <v/>
      </c>
      <c r="CF244" s="93" t="str">
        <f t="shared" si="36"/>
        <v>NA</v>
      </c>
      <c r="CG244" s="97" t="str">
        <f t="shared" si="37"/>
        <v>#N/A</v>
      </c>
      <c r="CH244" s="98" t="str">
        <f t="shared" si="38"/>
        <v>#N/A</v>
      </c>
      <c r="CI244" s="99" t="str">
        <f t="shared" si="39"/>
        <v>#N/A</v>
      </c>
      <c r="CJ244" s="126" t="str">
        <f t="shared" si="40"/>
        <v>ERROR: check cell</v>
      </c>
      <c r="CK244" s="126"/>
      <c r="CL244" s="127" t="str">
        <f t="shared" si="41"/>
        <v>#DIV/0!</v>
      </c>
      <c r="CM244" s="128" t="str">
        <f t="shared" si="42"/>
        <v>#DIV/0!</v>
      </c>
      <c r="CN244" s="128">
        <f t="shared" si="43"/>
        <v>4</v>
      </c>
      <c r="CO244" s="129">
        <f t="shared" si="44"/>
        <v>4</v>
      </c>
      <c r="CP244" s="129" t="str">
        <f>IFS(C244=Preferences!B$13,B244,B244=Preferences!B$13,C244)</f>
        <v>#N/A</v>
      </c>
    </row>
    <row r="245" ht="13.5" customHeight="1">
      <c r="A245" s="63" t="str">
        <f t="shared" si="45"/>
        <v/>
      </c>
      <c r="B245" s="64"/>
      <c r="C245" s="64"/>
      <c r="D245" s="64"/>
      <c r="E245" s="65"/>
      <c r="F245" s="65"/>
      <c r="G245" s="65"/>
      <c r="H245" s="66"/>
      <c r="I245" s="66"/>
      <c r="J245" s="67"/>
      <c r="K245" s="68"/>
      <c r="L245" s="104"/>
      <c r="M245" s="104"/>
      <c r="N245" s="104"/>
      <c r="O245" s="104"/>
      <c r="P245" s="107" t="str">
        <f t="shared" si="1"/>
        <v/>
      </c>
      <c r="Q245" s="108" t="str">
        <f>IFERROR(IF(AND(Preferences!B$3="Manual",OR(AX245/AW245&gt;G245/F245,BD245="Serious",BD245="Very serious")),"Assess imprecision",IFS(ISBLANK(E245),"",AND(Preferences!B$3="Automatic", G245/F245&gt;=30),"Extremely serious",AND(H245&lt;=$D$1*-1,J245&lt;0,G245/F245&lt;3),"Not serious",AND(H245&lt;=$D$1*-1,J245&lt;0,G245/F245&gt;=3),"Very serious",AND(H245&gt;=$D$1,I245&gt;0,G245/F245&lt;3),"Not serious",AND(H245&gt;=$D$1,I245&gt;0,G245/F245&gt;=3),"Very serious",AND(H245&lt;=$D$1*-1,J245&gt;0,I245&gt;$D$2*-1,G245/F245&lt;3),"Serious", AND(H245&lt;=$D$1*-1,J245&gt;0,I245&lt;$D$2*-1,G245/F245&lt;3),"Very serious", AND(H245&gt;=$D$1,I245&lt;0,J245&lt;$D$2,G245/F245&lt;3),"Serious",AND(H245&gt;=$D$1,I245&lt;0,J245&gt;$D$2,G245/F245&lt;3),"Very serious", AND(H245&lt;=$D$1*-1,J245&gt;0,I245&gt;$D$2*-1,G245/F245&gt;=3),"Very serious", AND(H245&lt;=$D$1*-1,J245&gt;0,I245&lt;$D$2*-1,G245/F245&gt;=3),"Very serious", AND(H245&gt;=$D$1,I245&lt;0,J245&lt;$D$2,G245/F245&gt;=3),"Very serious", AND(H245&gt;=$D$1,I245&lt;0,J245&gt;$D$2,G245/F245&gt;=3),"Very serious", AND(H245&gt;$D$1*-1,H245&lt;$D$1,I245&gt;$D$1*-1,J245&lt;$D$1,G245/F245&lt;3),"Not serious", AND(H245&gt;$D$1*-1,H245&lt;$D$1,OR(I245&lt;=$D$1*-1,J245&gt;=$D$1),I245&gt;$D$2*-1,J245&lt;$D$2,G245/F245&lt;3),"Serious", AND(H245&gt;$D$1*-1,H245&lt;$D$1,OR(I245&lt;=$D$2*-1,J245&gt;=$D$2),G245/F245&lt;3),"Very serious", AND(H245&gt;$D$1*-1,H245&lt;$D$1,I245&gt;$D$1*-1,J245&lt;$D$1,G245/F245&gt;=3),"Very serious", AND(H245&gt;$D$1*-1,H245&lt;$D$1,OR(I245&lt;=$D$1*-1,J245&gt;=$D$1),I245&gt;$D$2*-1,J245&lt;$D$2,G245/F245&gt;=3),"Very serious", AND(H245&gt;$D$1*-1,H245&lt;$D$1,OR(I245&lt;=$D$2*-1,J245&gt;=$D$2),G245/F245&gt;=3),"Very serious")),"")</f>
        <v/>
      </c>
      <c r="R245" s="109" t="str">
        <f t="shared" si="47"/>
        <v/>
      </c>
      <c r="S245" s="64"/>
      <c r="T245" s="72"/>
      <c r="U245" s="72"/>
      <c r="V245" s="72"/>
      <c r="W245" s="73"/>
      <c r="X245" s="73"/>
      <c r="Y245" s="74"/>
      <c r="Z245" s="113" t="str">
        <f t="array" ref="Z245">INDEX($A$1:$C$500, MATCH(1,($B:$B=$B245)*($C:$C=$AB245),0),1)</f>
        <v/>
      </c>
      <c r="AA245" s="113" t="str">
        <f t="array" ref="AA245">INDEX($A$1:$C$500, MATCH(1,($B:$B=$AB245)*($C:$C=$B245),0),1)</f>
        <v/>
      </c>
      <c r="AB245" s="111"/>
      <c r="AC245" s="114" t="str">
        <f t="shared" si="2"/>
        <v/>
      </c>
      <c r="AD245" s="115" t="str">
        <f t="shared" si="3"/>
        <v/>
      </c>
      <c r="AE245" s="116" t="str">
        <f t="array" ref="AE245">INDEX($A$1:$C$500, MATCH(1,($B:$B=$AB245)*($C:$C=$AG245),0),1)</f>
        <v/>
      </c>
      <c r="AF245" s="116" t="str">
        <f t="array" ref="AF245">INDEX($A$1:$C$500, MATCH(1,($B:$B=$AG245)*($C:$C=$AB245),0),1)</f>
        <v/>
      </c>
      <c r="AG245" s="72"/>
      <c r="AH245" s="114" t="str">
        <f t="shared" si="4"/>
        <v/>
      </c>
      <c r="AI245" s="115" t="str">
        <f t="shared" si="5"/>
        <v/>
      </c>
      <c r="AJ245" s="116" t="str">
        <f t="array" ref="AJ245">INDEX($A$1:$C$500, MATCH(1,($B:$B=$C245)*($C:$C=$AG245),0),1)</f>
        <v/>
      </c>
      <c r="AK245" s="116" t="str">
        <f t="array" ref="AK245">INDEX($A$1:$C$500, MATCH(1,($B:$B=$AG245)*($C:$C=$C245),0),1)</f>
        <v/>
      </c>
      <c r="AL245" s="116" t="str">
        <f t="array" ref="AL245">INDEX($A$1:$C$500, MATCH(1,($B:$B=$C245)*($C:$C=$AB245),0),1)</f>
        <v/>
      </c>
      <c r="AM245" s="116" t="str">
        <f t="array" ref="AM245">INDEX($A$1:$C$500, MATCH(1,($B:$B=$AB245)*($C:$C=$C245),0),1)</f>
        <v/>
      </c>
      <c r="AN245" s="114" t="str">
        <f t="array" ref="AN245">IFS(ISNUMBER(AJ245),AJ245,ISNUMBER(AK245),AK245,ISNUMBER(AL245),AL245,ISNUMBER(AM245),AM245)</f>
        <v>#N/A</v>
      </c>
      <c r="AO245" s="115" t="str">
        <f t="shared" si="6"/>
        <v/>
      </c>
      <c r="AP245" s="115" t="str">
        <f t="shared" si="7"/>
        <v/>
      </c>
      <c r="AQ245" s="111"/>
      <c r="AR245" s="109" t="str">
        <f t="shared" si="8"/>
        <v/>
      </c>
      <c r="AS245" s="72" t="str">
        <f>IFERROR(IF(AND(Preferences!B$3="Manual",OR(AX245/AW245&gt;V245/U245,BD245="Serious",BD245="Very serious")),"Assess imprecision",IFERROR(IFS(AND(Preferences!B$3="Automatic",V245/U245&gt;=30),"Extremely serious",AND(W245&lt;=$D$1*-1,Y245&lt;0,V245/U245&lt;3),"Not Serious",AND(W245&lt;=$D$1*-1,Y245&lt;0,V245/U245&gt;=3),"Very serious",AND(W245&gt;=$D$1,X245&gt;0,V245/U245&lt;3),"Not Serious",AND(W245&gt;=$D$1,X245&gt;0,V245/U245&gt;=3),"Very serious",AND(W245&lt;=$D$1*-1,Y245&gt;0,X245&gt;$D$2*-1,V245/U245&lt;3),"Serious", AND(W245&lt;=$D$1*-1,Y245&gt;0,X245&lt;$D$2*-1,V245/U245&lt;3),"Very serious", AND(W245&gt;=$D$1,X245&lt;0,Y245&lt;$D$2,V245/U245&lt;3),"Serious",AND(W245&gt;=$D$1,X245&lt;0,Y245&gt;$D$2,V245/U245&lt;3),"Very serious", AND(W245&lt;=$D$1*-1,Y245&gt;0,X245&gt;$D$2*-1,V245/U245&gt;=3),"Very serious", AND(W245&lt;=$D$1*-1,Y245&gt;0,X245&lt;$D$2*-1,V245/U245&gt;=3),"Very serious", AND(W245&gt;=$D$1,X245&lt;0,Y245&lt;$D$2,V245/U245&gt;=3),"Very serious", AND(W245&gt;=$D$1,X245&lt;0,Y245&gt;$D$2,V245/U245&gt;=3),"Very serious", AND(W245&gt;$D$1*-1,W245&lt;$D$1,X245&gt;$D$1*-1,Y245&lt;$D$1,V245/U245&lt;3),"Not Serious", AND(W245&gt;$D$1*-1,W245&lt;$D$1,OR(X245&lt;=$D$1*-1,Y245&gt;=$D$1),X245&gt;$D$2*-1,Y245&lt;$D$2,V245/U245&lt;3),"Serious", AND(W245&gt;$D$1*-1,W245&lt;$D$1,OR(X245&lt;=$D$2*-1,Y245&gt;=$D$2),V245/U245&lt;3),"Very serious", AND(W245&gt;$D$1*-1,W245&lt;$D$1,X245&gt;$D$1*-1,Y245&lt;$D$1,V245/U245&gt;=3),"Very serious", AND(W245&gt;$D$1*-1,W245&lt;$D$1,OR(X245&lt;=$D$1*-1,Y245&gt;=$D$1),X245&gt;$D$2*-1,Y245&lt;$D$2,V245/U245&gt;=3),"Very serious", AND(W245&gt;$D$1*-1,W245&lt;$D$1,OR(X245&lt;=$D$2*-1,Y245&gt;=$D$2),V245/U245&gt;=3),"Very serious"),"")),"")</f>
        <v/>
      </c>
      <c r="AT245" s="109" t="str">
        <f t="shared" si="9"/>
        <v/>
      </c>
      <c r="AU245" s="64"/>
      <c r="AV245" s="83"/>
      <c r="AW245" s="83"/>
      <c r="AX245" s="83"/>
      <c r="AY245" s="83"/>
      <c r="AZ245" s="83"/>
      <c r="BA245" s="85"/>
      <c r="BB245" s="86" t="str">
        <f>IF(Preferences!B$9="Manual","",IFS(ISBLANK(B245),"",AND(ISNUMBER(E245)=TRUE,ISNUMBER(T245)=FALSE),"Direct", AND(ISNUMBER(E245)=FALSE,ISNUMBER(T245)=TRUE),"Indirect", CN245=4,"Direct",AND(CL245=FALSE, CM245=TRUE,CN245-CO245&gt;-1),"Direct", AND(CL245=FALSE,CM245=TRUE, CN245-CO245&lt;0),"Check algorithm in appendix 2", AND(CL245=TRUE, CM245=FALSE,CN245-CO245&gt;0),"Check algorithm in appendix 2", AND(CL245=TRUE, CM245=FALSE,CN245-CO245=0),"Indirect", AND(CL245=TRUE, CM245=FALSE,CN245-CO245&lt;0),"Indirect", AND(CL245=FALSE,CM245=FALSE,CN245-CO245&gt;-1),"Direct", AND(CL245=FALSE,CM245=FALSE,CN245-CO245&lt;0),"Check algorithm in appendix 2", AND(CL245=TRUE,CM245=TRUE,CN245-CO245&gt;-1),"Direct", AND(CL245=TRUE,CM245=TRUE,CN245-CO245&lt;0),"Check algorithm in appendix 2"))</f>
        <v/>
      </c>
      <c r="BC245" s="120" t="str">
        <f t="shared" si="10"/>
        <v/>
      </c>
      <c r="BD245" s="140"/>
      <c r="BE245" s="122" t="str">
        <f>IF(Preferences!B$3="Manual","", IFERROR(IFS(AND(Preferences!B$3="Automatic",AX245/AW245&gt;=30),"Extremely serious",AND(AY245&lt;=$D$1*-1,BA245&lt;0,AX245/AW245&lt;3),"Not Serious",AND(AY245&lt;=$D$1*-1,BA245&lt;0,AX245/AW245&gt;=3),"Very serious",AND(AY245&gt;=$D$1,AZ245&gt;0,AX245/AW245&lt;3),"Not Serious",AND(AY245&gt;=$D$1,AZ245&gt;0,AX245/AW245&gt;=3),"Very serious",AND(AY245&lt;=$D$1*-1,BA245&gt;0,AZ245&gt;$D$2*-1,AX245/AW245&lt;3),"Serious", AND(AY245&lt;=$D$1*-1,BA245&gt;0,AZ245&lt;$D$2*-1,AX245/AW245&lt;3),"Very serious", AND(AY245&gt;=$D$1,AZ245&lt;0,BA245&lt;$D$2,AX245/AW245&lt;3),"Serious",AND(AY245&gt;=$D$1,AZ245&lt;0,BA245&gt;$D$2,AX245/AW245&lt;3),"Very serious", AND(AY245&lt;=$D$1*-1,BA245&gt;0,AZ245&gt;$D$2*-1,AX245/AW245&gt;=3),"Very serious", AND(AY245&lt;=$D$1*-1,BA245&gt;0,AZ245&lt;$D$2*-1,AX245/AW245&gt;=3),"Very serious", AND(AY245&gt;=$D$1,AZ245&lt;0,BA245&lt;$D$2,AX245/AW245&gt;=3),"Very serious", AND(AY245&gt;=$D$1,AZ245&lt;0,BA245&gt;$D$2,AX245/AW245&gt;=3),"Very serious", AND(AY245&gt;$D$1*-1,AY245&lt;$D$1,AZ245&gt;$D$1*-1,BA245&lt;$D$1,AX245/AW245&lt;3),"Not Serious", AND(AY245&gt;$D$1*-1,AY245&lt;$D$1,OR(AZ245&lt;=$D$1*-1,BA245&gt;=$D$1),AZ245&gt;$D$2*-1,BA245&lt;$D$2,AX245/AW245&lt;3),"Serious", AND(AY245&gt;$D$1*-1,AY245&lt;$D$1,OR(AZ245&lt;=$D$2*-1,BA245&gt;=$D$2),AX245/AW245&lt;3),"Very serious", AND(AY245&gt;$D$1*-1,AY245&lt;$D$1,AZ245&gt;$D$1*-1,BA245&lt;$D$1,AX245/AW245&gt;=3),"Very serious", AND(AY245&gt;$D$1*-1,AY245&lt;$D$1,OR(AZ245&lt;=$D$1*-1,BA245&gt;=$D$1),AZ245&gt;$D$2*-1,BA245&lt;$D$2,AX245/AW245&gt;=3),"Very serious", AND(AY245&gt;$D$1*-1,AY245&lt;$D$1,OR(AZ245&lt;=$D$2*-1,BA245&gt;=$D$2),AX245/AW245&gt;=3),"Very serious"),""))</f>
        <v/>
      </c>
      <c r="BF245" s="107" t="str">
        <f t="shared" si="11"/>
        <v/>
      </c>
      <c r="BG245" s="94" t="str">
        <f t="shared" si="46"/>
        <v/>
      </c>
      <c r="BH245" s="64" t="str">
        <f t="shared" si="12"/>
        <v>#N/A</v>
      </c>
      <c r="BI245" s="64" t="str">
        <f t="shared" si="13"/>
        <v/>
      </c>
      <c r="BJ245" s="123" t="str">
        <f t="shared" si="14"/>
        <v>#N/A</v>
      </c>
      <c r="BK245" s="64" t="str">
        <f t="shared" si="50"/>
        <v>YES</v>
      </c>
      <c r="BL245" s="64" t="str">
        <f t="shared" si="16"/>
        <v>YES</v>
      </c>
      <c r="BM245" s="64" t="str">
        <f t="shared" si="17"/>
        <v>YES</v>
      </c>
      <c r="BN245" s="124" t="str">
        <f t="shared" si="18"/>
        <v/>
      </c>
      <c r="BO245" s="91" t="str">
        <f t="shared" si="19"/>
        <v/>
      </c>
      <c r="BP245" s="91" t="str">
        <f t="shared" si="20"/>
        <v>#N/A</v>
      </c>
      <c r="BQ245" s="91" t="str">
        <f t="shared" si="21"/>
        <v/>
      </c>
      <c r="BR245" s="93" t="str">
        <f t="shared" si="22"/>
        <v/>
      </c>
      <c r="BS245" s="90" t="str">
        <f t="shared" si="23"/>
        <v/>
      </c>
      <c r="BT245" s="93" t="str">
        <f t="shared" si="24"/>
        <v>NA</v>
      </c>
      <c r="BU245" s="125" t="str">
        <f t="shared" si="25"/>
        <v>#N/A</v>
      </c>
      <c r="BV245" s="93" t="str">
        <f t="shared" si="26"/>
        <v/>
      </c>
      <c r="BW245" s="93" t="str">
        <f t="shared" si="27"/>
        <v/>
      </c>
      <c r="BX245" s="93" t="str">
        <f t="shared" si="28"/>
        <v>NA</v>
      </c>
      <c r="BY245" s="95" t="str">
        <f t="shared" si="29"/>
        <v>#N/A</v>
      </c>
      <c r="BZ245" s="93" t="str">
        <f t="shared" si="30"/>
        <v/>
      </c>
      <c r="CA245" s="93" t="str">
        <f t="shared" si="31"/>
        <v/>
      </c>
      <c r="CB245" s="93" t="str">
        <f t="shared" si="32"/>
        <v>NA</v>
      </c>
      <c r="CC245" s="96" t="str">
        <f t="shared" si="33"/>
        <v>#N/A</v>
      </c>
      <c r="CD245" s="93" t="str">
        <f t="shared" si="34"/>
        <v/>
      </c>
      <c r="CE245" s="93" t="str">
        <f t="shared" si="35"/>
        <v/>
      </c>
      <c r="CF245" s="93" t="str">
        <f t="shared" si="36"/>
        <v>NA</v>
      </c>
      <c r="CG245" s="97" t="str">
        <f t="shared" si="37"/>
        <v>#N/A</v>
      </c>
      <c r="CH245" s="98" t="str">
        <f t="shared" si="38"/>
        <v>#N/A</v>
      </c>
      <c r="CI245" s="99" t="str">
        <f t="shared" si="39"/>
        <v>#N/A</v>
      </c>
      <c r="CJ245" s="126" t="str">
        <f t="shared" si="40"/>
        <v>ERROR: check cell</v>
      </c>
      <c r="CK245" s="126"/>
      <c r="CL245" s="127" t="str">
        <f t="shared" si="41"/>
        <v>#DIV/0!</v>
      </c>
      <c r="CM245" s="128" t="str">
        <f t="shared" si="42"/>
        <v>#DIV/0!</v>
      </c>
      <c r="CN245" s="128">
        <f t="shared" si="43"/>
        <v>4</v>
      </c>
      <c r="CO245" s="129">
        <f t="shared" si="44"/>
        <v>4</v>
      </c>
      <c r="CP245" s="129" t="str">
        <f>IFS(C245=Preferences!B$13,B245,B245=Preferences!B$13,C245)</f>
        <v>#N/A</v>
      </c>
    </row>
    <row r="246" ht="13.5" customHeight="1">
      <c r="A246" s="63" t="str">
        <f t="shared" si="45"/>
        <v/>
      </c>
      <c r="B246" s="64"/>
      <c r="C246" s="64"/>
      <c r="D246" s="64"/>
      <c r="E246" s="65"/>
      <c r="F246" s="65"/>
      <c r="G246" s="65"/>
      <c r="H246" s="66"/>
      <c r="I246" s="66"/>
      <c r="J246" s="67"/>
      <c r="K246" s="68"/>
      <c r="L246" s="104"/>
      <c r="M246" s="104"/>
      <c r="N246" s="104"/>
      <c r="O246" s="104"/>
      <c r="P246" s="107" t="str">
        <f t="shared" si="1"/>
        <v/>
      </c>
      <c r="Q246" s="108" t="str">
        <f>IFERROR(IF(AND(Preferences!B$3="Manual",OR(AX246/AW246&gt;G246/F246,BD246="Serious",BD246="Very serious")),"Assess imprecision",IFS(ISBLANK(E246),"",AND(Preferences!B$3="Automatic", G246/F246&gt;=30),"Extremely serious",AND(H246&lt;=$D$1*-1,J246&lt;0,G246/F246&lt;3),"Not serious",AND(H246&lt;=$D$1*-1,J246&lt;0,G246/F246&gt;=3),"Very serious",AND(H246&gt;=$D$1,I246&gt;0,G246/F246&lt;3),"Not serious",AND(H246&gt;=$D$1,I246&gt;0,G246/F246&gt;=3),"Very serious",AND(H246&lt;=$D$1*-1,J246&gt;0,I246&gt;$D$2*-1,G246/F246&lt;3),"Serious", AND(H246&lt;=$D$1*-1,J246&gt;0,I246&lt;$D$2*-1,G246/F246&lt;3),"Very serious", AND(H246&gt;=$D$1,I246&lt;0,J246&lt;$D$2,G246/F246&lt;3),"Serious",AND(H246&gt;=$D$1,I246&lt;0,J246&gt;$D$2,G246/F246&lt;3),"Very serious", AND(H246&lt;=$D$1*-1,J246&gt;0,I246&gt;$D$2*-1,G246/F246&gt;=3),"Very serious", AND(H246&lt;=$D$1*-1,J246&gt;0,I246&lt;$D$2*-1,G246/F246&gt;=3),"Very serious", AND(H246&gt;=$D$1,I246&lt;0,J246&lt;$D$2,G246/F246&gt;=3),"Very serious", AND(H246&gt;=$D$1,I246&lt;0,J246&gt;$D$2,G246/F246&gt;=3),"Very serious", AND(H246&gt;$D$1*-1,H246&lt;$D$1,I246&gt;$D$1*-1,J246&lt;$D$1,G246/F246&lt;3),"Not serious", AND(H246&gt;$D$1*-1,H246&lt;$D$1,OR(I246&lt;=$D$1*-1,J246&gt;=$D$1),I246&gt;$D$2*-1,J246&lt;$D$2,G246/F246&lt;3),"Serious", AND(H246&gt;$D$1*-1,H246&lt;$D$1,OR(I246&lt;=$D$2*-1,J246&gt;=$D$2),G246/F246&lt;3),"Very serious", AND(H246&gt;$D$1*-1,H246&lt;$D$1,I246&gt;$D$1*-1,J246&lt;$D$1,G246/F246&gt;=3),"Very serious", AND(H246&gt;$D$1*-1,H246&lt;$D$1,OR(I246&lt;=$D$1*-1,J246&gt;=$D$1),I246&gt;$D$2*-1,J246&lt;$D$2,G246/F246&gt;=3),"Very serious", AND(H246&gt;$D$1*-1,H246&lt;$D$1,OR(I246&lt;=$D$2*-1,J246&gt;=$D$2),G246/F246&gt;=3),"Very serious")),"")</f>
        <v/>
      </c>
      <c r="R246" s="109" t="str">
        <f t="shared" si="47"/>
        <v/>
      </c>
      <c r="S246" s="64"/>
      <c r="T246" s="72"/>
      <c r="U246" s="72"/>
      <c r="V246" s="72"/>
      <c r="W246" s="73"/>
      <c r="X246" s="73"/>
      <c r="Y246" s="74"/>
      <c r="Z246" s="113" t="str">
        <f t="array" ref="Z246">INDEX($A$1:$C$500, MATCH(1,($B:$B=$B246)*($C:$C=$AB246),0),1)</f>
        <v/>
      </c>
      <c r="AA246" s="113" t="str">
        <f t="array" ref="AA246">INDEX($A$1:$C$500, MATCH(1,($B:$B=$AB246)*($C:$C=$B246),0),1)</f>
        <v/>
      </c>
      <c r="AB246" s="111"/>
      <c r="AC246" s="114" t="str">
        <f t="shared" si="2"/>
        <v/>
      </c>
      <c r="AD246" s="115" t="str">
        <f t="shared" si="3"/>
        <v/>
      </c>
      <c r="AE246" s="116" t="str">
        <f t="array" ref="AE246">INDEX($A$1:$C$500, MATCH(1,($B:$B=$AB246)*($C:$C=$AG246),0),1)</f>
        <v/>
      </c>
      <c r="AF246" s="116" t="str">
        <f t="array" ref="AF246">INDEX($A$1:$C$500, MATCH(1,($B:$B=$AG246)*($C:$C=$AB246),0),1)</f>
        <v/>
      </c>
      <c r="AG246" s="72"/>
      <c r="AH246" s="114" t="str">
        <f t="shared" si="4"/>
        <v/>
      </c>
      <c r="AI246" s="115" t="str">
        <f t="shared" si="5"/>
        <v/>
      </c>
      <c r="AJ246" s="116" t="str">
        <f t="array" ref="AJ246">INDEX($A$1:$C$500, MATCH(1,($B:$B=$C246)*($C:$C=$AG246),0),1)</f>
        <v/>
      </c>
      <c r="AK246" s="116" t="str">
        <f t="array" ref="AK246">INDEX($A$1:$C$500, MATCH(1,($B:$B=$AG246)*($C:$C=$C246),0),1)</f>
        <v/>
      </c>
      <c r="AL246" s="116" t="str">
        <f t="array" ref="AL246">INDEX($A$1:$C$500, MATCH(1,($B:$B=$C246)*($C:$C=$AB246),0),1)</f>
        <v/>
      </c>
      <c r="AM246" s="116" t="str">
        <f t="array" ref="AM246">INDEX($A$1:$C$500, MATCH(1,($B:$B=$AB246)*($C:$C=$C246),0),1)</f>
        <v/>
      </c>
      <c r="AN246" s="114" t="str">
        <f t="array" ref="AN246">IFS(ISNUMBER(AJ246),AJ246,ISNUMBER(AK246),AK246,ISNUMBER(AL246),AL246,ISNUMBER(AM246),AM246)</f>
        <v>#N/A</v>
      </c>
      <c r="AO246" s="115" t="str">
        <f t="shared" si="6"/>
        <v/>
      </c>
      <c r="AP246" s="115" t="str">
        <f t="shared" si="7"/>
        <v/>
      </c>
      <c r="AQ246" s="111"/>
      <c r="AR246" s="109" t="str">
        <f t="shared" si="8"/>
        <v/>
      </c>
      <c r="AS246" s="72" t="str">
        <f>IFERROR(IF(AND(Preferences!B$3="Manual",OR(AX246/AW246&gt;V246/U246,BD246="Serious",BD246="Very serious")),"Assess imprecision",IFERROR(IFS(AND(Preferences!B$3="Automatic",V246/U246&gt;=30),"Extremely serious",AND(W246&lt;=$D$1*-1,Y246&lt;0,V246/U246&lt;3),"Not Serious",AND(W246&lt;=$D$1*-1,Y246&lt;0,V246/U246&gt;=3),"Very serious",AND(W246&gt;=$D$1,X246&gt;0,V246/U246&lt;3),"Not Serious",AND(W246&gt;=$D$1,X246&gt;0,V246/U246&gt;=3),"Very serious",AND(W246&lt;=$D$1*-1,Y246&gt;0,X246&gt;$D$2*-1,V246/U246&lt;3),"Serious", AND(W246&lt;=$D$1*-1,Y246&gt;0,X246&lt;$D$2*-1,V246/U246&lt;3),"Very serious", AND(W246&gt;=$D$1,X246&lt;0,Y246&lt;$D$2,V246/U246&lt;3),"Serious",AND(W246&gt;=$D$1,X246&lt;0,Y246&gt;$D$2,V246/U246&lt;3),"Very serious", AND(W246&lt;=$D$1*-1,Y246&gt;0,X246&gt;$D$2*-1,V246/U246&gt;=3),"Very serious", AND(W246&lt;=$D$1*-1,Y246&gt;0,X246&lt;$D$2*-1,V246/U246&gt;=3),"Very serious", AND(W246&gt;=$D$1,X246&lt;0,Y246&lt;$D$2,V246/U246&gt;=3),"Very serious", AND(W246&gt;=$D$1,X246&lt;0,Y246&gt;$D$2,V246/U246&gt;=3),"Very serious", AND(W246&gt;$D$1*-1,W246&lt;$D$1,X246&gt;$D$1*-1,Y246&lt;$D$1,V246/U246&lt;3),"Not Serious", AND(W246&gt;$D$1*-1,W246&lt;$D$1,OR(X246&lt;=$D$1*-1,Y246&gt;=$D$1),X246&gt;$D$2*-1,Y246&lt;$D$2,V246/U246&lt;3),"Serious", AND(W246&gt;$D$1*-1,W246&lt;$D$1,OR(X246&lt;=$D$2*-1,Y246&gt;=$D$2),V246/U246&lt;3),"Very serious", AND(W246&gt;$D$1*-1,W246&lt;$D$1,X246&gt;$D$1*-1,Y246&lt;$D$1,V246/U246&gt;=3),"Very serious", AND(W246&gt;$D$1*-1,W246&lt;$D$1,OR(X246&lt;=$D$1*-1,Y246&gt;=$D$1),X246&gt;$D$2*-1,Y246&lt;$D$2,V246/U246&gt;=3),"Very serious", AND(W246&gt;$D$1*-1,W246&lt;$D$1,OR(X246&lt;=$D$2*-1,Y246&gt;=$D$2),V246/U246&gt;=3),"Very serious"),"")),"")</f>
        <v/>
      </c>
      <c r="AT246" s="109" t="str">
        <f t="shared" si="9"/>
        <v/>
      </c>
      <c r="AU246" s="64"/>
      <c r="AV246" s="83"/>
      <c r="AW246" s="83"/>
      <c r="AX246" s="83"/>
      <c r="AY246" s="83"/>
      <c r="AZ246" s="83"/>
      <c r="BA246" s="85"/>
      <c r="BB246" s="86" t="str">
        <f>IF(Preferences!B$9="Manual","",IFS(ISBLANK(B246),"",AND(ISNUMBER(E246)=TRUE,ISNUMBER(T246)=FALSE),"Direct", AND(ISNUMBER(E246)=FALSE,ISNUMBER(T246)=TRUE),"Indirect", CN246=4,"Direct",AND(CL246=FALSE, CM246=TRUE,CN246-CO246&gt;-1),"Direct", AND(CL246=FALSE,CM246=TRUE, CN246-CO246&lt;0),"Check algorithm in appendix 2", AND(CL246=TRUE, CM246=FALSE,CN246-CO246&gt;0),"Check algorithm in appendix 2", AND(CL246=TRUE, CM246=FALSE,CN246-CO246=0),"Indirect", AND(CL246=TRUE, CM246=FALSE,CN246-CO246&lt;0),"Indirect", AND(CL246=FALSE,CM246=FALSE,CN246-CO246&gt;-1),"Direct", AND(CL246=FALSE,CM246=FALSE,CN246-CO246&lt;0),"Check algorithm in appendix 2", AND(CL246=TRUE,CM246=TRUE,CN246-CO246&gt;-1),"Direct", AND(CL246=TRUE,CM246=TRUE,CN246-CO246&lt;0),"Check algorithm in appendix 2"))</f>
        <v/>
      </c>
      <c r="BC246" s="120" t="str">
        <f t="shared" si="10"/>
        <v/>
      </c>
      <c r="BD246" s="140"/>
      <c r="BE246" s="122" t="str">
        <f>IF(Preferences!B$3="Manual","", IFERROR(IFS(AND(Preferences!B$3="Automatic",AX246/AW246&gt;=30),"Extremely serious",AND(AY246&lt;=$D$1*-1,BA246&lt;0,AX246/AW246&lt;3),"Not Serious",AND(AY246&lt;=$D$1*-1,BA246&lt;0,AX246/AW246&gt;=3),"Very serious",AND(AY246&gt;=$D$1,AZ246&gt;0,AX246/AW246&lt;3),"Not Serious",AND(AY246&gt;=$D$1,AZ246&gt;0,AX246/AW246&gt;=3),"Very serious",AND(AY246&lt;=$D$1*-1,BA246&gt;0,AZ246&gt;$D$2*-1,AX246/AW246&lt;3),"Serious", AND(AY246&lt;=$D$1*-1,BA246&gt;0,AZ246&lt;$D$2*-1,AX246/AW246&lt;3),"Very serious", AND(AY246&gt;=$D$1,AZ246&lt;0,BA246&lt;$D$2,AX246/AW246&lt;3),"Serious",AND(AY246&gt;=$D$1,AZ246&lt;0,BA246&gt;$D$2,AX246/AW246&lt;3),"Very serious", AND(AY246&lt;=$D$1*-1,BA246&gt;0,AZ246&gt;$D$2*-1,AX246/AW246&gt;=3),"Very serious", AND(AY246&lt;=$D$1*-1,BA246&gt;0,AZ246&lt;$D$2*-1,AX246/AW246&gt;=3),"Very serious", AND(AY246&gt;=$D$1,AZ246&lt;0,BA246&lt;$D$2,AX246/AW246&gt;=3),"Very serious", AND(AY246&gt;=$D$1,AZ246&lt;0,BA246&gt;$D$2,AX246/AW246&gt;=3),"Very serious", AND(AY246&gt;$D$1*-1,AY246&lt;$D$1,AZ246&gt;$D$1*-1,BA246&lt;$D$1,AX246/AW246&lt;3),"Not Serious", AND(AY246&gt;$D$1*-1,AY246&lt;$D$1,OR(AZ246&lt;=$D$1*-1,BA246&gt;=$D$1),AZ246&gt;$D$2*-1,BA246&lt;$D$2,AX246/AW246&lt;3),"Serious", AND(AY246&gt;$D$1*-1,AY246&lt;$D$1,OR(AZ246&lt;=$D$2*-1,BA246&gt;=$D$2),AX246/AW246&lt;3),"Very serious", AND(AY246&gt;$D$1*-1,AY246&lt;$D$1,AZ246&gt;$D$1*-1,BA246&lt;$D$1,AX246/AW246&gt;=3),"Very serious", AND(AY246&gt;$D$1*-1,AY246&lt;$D$1,OR(AZ246&lt;=$D$1*-1,BA246&gt;=$D$1),AZ246&gt;$D$2*-1,BA246&lt;$D$2,AX246/AW246&gt;=3),"Very serious", AND(AY246&gt;$D$1*-1,AY246&lt;$D$1,OR(AZ246&lt;=$D$2*-1,BA246&gt;=$D$2),AX246/AW246&gt;=3),"Very serious"),""))</f>
        <v/>
      </c>
      <c r="BF246" s="107" t="str">
        <f t="shared" si="11"/>
        <v/>
      </c>
      <c r="BG246" s="94" t="str">
        <f t="shared" si="46"/>
        <v/>
      </c>
      <c r="BH246" s="64" t="str">
        <f t="shared" si="12"/>
        <v>#N/A</v>
      </c>
      <c r="BI246" s="64" t="str">
        <f t="shared" si="13"/>
        <v/>
      </c>
      <c r="BJ246" s="123" t="str">
        <f t="shared" si="14"/>
        <v>#N/A</v>
      </c>
      <c r="BK246" s="64" t="str">
        <f t="shared" si="50"/>
        <v>YES</v>
      </c>
      <c r="BL246" s="64" t="str">
        <f t="shared" si="16"/>
        <v>YES</v>
      </c>
      <c r="BM246" s="64" t="str">
        <f t="shared" si="17"/>
        <v>YES</v>
      </c>
      <c r="BN246" s="124" t="str">
        <f t="shared" si="18"/>
        <v/>
      </c>
      <c r="BO246" s="91" t="str">
        <f t="shared" si="19"/>
        <v/>
      </c>
      <c r="BP246" s="91" t="str">
        <f t="shared" si="20"/>
        <v>#N/A</v>
      </c>
      <c r="BQ246" s="91" t="str">
        <f t="shared" si="21"/>
        <v/>
      </c>
      <c r="BR246" s="93" t="str">
        <f t="shared" si="22"/>
        <v/>
      </c>
      <c r="BS246" s="90" t="str">
        <f t="shared" si="23"/>
        <v/>
      </c>
      <c r="BT246" s="93" t="str">
        <f t="shared" si="24"/>
        <v>NA</v>
      </c>
      <c r="BU246" s="125" t="str">
        <f t="shared" si="25"/>
        <v>#N/A</v>
      </c>
      <c r="BV246" s="93" t="str">
        <f t="shared" si="26"/>
        <v/>
      </c>
      <c r="BW246" s="93" t="str">
        <f t="shared" si="27"/>
        <v/>
      </c>
      <c r="BX246" s="93" t="str">
        <f t="shared" si="28"/>
        <v>NA</v>
      </c>
      <c r="BY246" s="95" t="str">
        <f t="shared" si="29"/>
        <v>#N/A</v>
      </c>
      <c r="BZ246" s="93" t="str">
        <f t="shared" si="30"/>
        <v/>
      </c>
      <c r="CA246" s="93" t="str">
        <f t="shared" si="31"/>
        <v/>
      </c>
      <c r="CB246" s="93" t="str">
        <f t="shared" si="32"/>
        <v>NA</v>
      </c>
      <c r="CC246" s="96" t="str">
        <f t="shared" si="33"/>
        <v>#N/A</v>
      </c>
      <c r="CD246" s="93" t="str">
        <f t="shared" si="34"/>
        <v/>
      </c>
      <c r="CE246" s="93" t="str">
        <f t="shared" si="35"/>
        <v/>
      </c>
      <c r="CF246" s="93" t="str">
        <f t="shared" si="36"/>
        <v>NA</v>
      </c>
      <c r="CG246" s="97" t="str">
        <f t="shared" si="37"/>
        <v>#N/A</v>
      </c>
      <c r="CH246" s="98" t="str">
        <f t="shared" si="38"/>
        <v>#N/A</v>
      </c>
      <c r="CI246" s="99" t="str">
        <f t="shared" si="39"/>
        <v>#N/A</v>
      </c>
      <c r="CJ246" s="126" t="str">
        <f t="shared" si="40"/>
        <v>ERROR: check cell</v>
      </c>
      <c r="CK246" s="126"/>
      <c r="CL246" s="127" t="str">
        <f t="shared" si="41"/>
        <v>#DIV/0!</v>
      </c>
      <c r="CM246" s="128" t="str">
        <f t="shared" si="42"/>
        <v>#DIV/0!</v>
      </c>
      <c r="CN246" s="128">
        <f t="shared" si="43"/>
        <v>4</v>
      </c>
      <c r="CO246" s="129">
        <f t="shared" si="44"/>
        <v>4</v>
      </c>
      <c r="CP246" s="129" t="str">
        <f>IFS(C246=Preferences!B$13,B246,B246=Preferences!B$13,C246)</f>
        <v>#N/A</v>
      </c>
    </row>
    <row r="247" ht="13.5" customHeight="1">
      <c r="A247" s="63" t="str">
        <f t="shared" si="45"/>
        <v/>
      </c>
      <c r="B247" s="64"/>
      <c r="C247" s="64"/>
      <c r="D247" s="64"/>
      <c r="E247" s="65"/>
      <c r="F247" s="65"/>
      <c r="G247" s="65"/>
      <c r="H247" s="66"/>
      <c r="I247" s="66"/>
      <c r="J247" s="67"/>
      <c r="K247" s="68"/>
      <c r="L247" s="104"/>
      <c r="M247" s="104"/>
      <c r="N247" s="104"/>
      <c r="O247" s="104"/>
      <c r="P247" s="107" t="str">
        <f t="shared" si="1"/>
        <v/>
      </c>
      <c r="Q247" s="108" t="str">
        <f>IFERROR(IF(AND(Preferences!B$3="Manual",OR(AX247/AW247&gt;G247/F247,BD247="Serious",BD247="Very serious")),"Assess imprecision",IFS(ISBLANK(E247),"",AND(Preferences!B$3="Automatic", G247/F247&gt;=30),"Extremely serious",AND(H247&lt;=$D$1*-1,J247&lt;0,G247/F247&lt;3),"Not serious",AND(H247&lt;=$D$1*-1,J247&lt;0,G247/F247&gt;=3),"Very serious",AND(H247&gt;=$D$1,I247&gt;0,G247/F247&lt;3),"Not serious",AND(H247&gt;=$D$1,I247&gt;0,G247/F247&gt;=3),"Very serious",AND(H247&lt;=$D$1*-1,J247&gt;0,I247&gt;$D$2*-1,G247/F247&lt;3),"Serious", AND(H247&lt;=$D$1*-1,J247&gt;0,I247&lt;$D$2*-1,G247/F247&lt;3),"Very serious", AND(H247&gt;=$D$1,I247&lt;0,J247&lt;$D$2,G247/F247&lt;3),"Serious",AND(H247&gt;=$D$1,I247&lt;0,J247&gt;$D$2,G247/F247&lt;3),"Very serious", AND(H247&lt;=$D$1*-1,J247&gt;0,I247&gt;$D$2*-1,G247/F247&gt;=3),"Very serious", AND(H247&lt;=$D$1*-1,J247&gt;0,I247&lt;$D$2*-1,G247/F247&gt;=3),"Very serious", AND(H247&gt;=$D$1,I247&lt;0,J247&lt;$D$2,G247/F247&gt;=3),"Very serious", AND(H247&gt;=$D$1,I247&lt;0,J247&gt;$D$2,G247/F247&gt;=3),"Very serious", AND(H247&gt;$D$1*-1,H247&lt;$D$1,I247&gt;$D$1*-1,J247&lt;$D$1,G247/F247&lt;3),"Not serious", AND(H247&gt;$D$1*-1,H247&lt;$D$1,OR(I247&lt;=$D$1*-1,J247&gt;=$D$1),I247&gt;$D$2*-1,J247&lt;$D$2,G247/F247&lt;3),"Serious", AND(H247&gt;$D$1*-1,H247&lt;$D$1,OR(I247&lt;=$D$2*-1,J247&gt;=$D$2),G247/F247&lt;3),"Very serious", AND(H247&gt;$D$1*-1,H247&lt;$D$1,I247&gt;$D$1*-1,J247&lt;$D$1,G247/F247&gt;=3),"Very serious", AND(H247&gt;$D$1*-1,H247&lt;$D$1,OR(I247&lt;=$D$1*-1,J247&gt;=$D$1),I247&gt;$D$2*-1,J247&lt;$D$2,G247/F247&gt;=3),"Very serious", AND(H247&gt;$D$1*-1,H247&lt;$D$1,OR(I247&lt;=$D$2*-1,J247&gt;=$D$2),G247/F247&gt;=3),"Very serious")),"")</f>
        <v/>
      </c>
      <c r="R247" s="109" t="str">
        <f t="shared" si="47"/>
        <v/>
      </c>
      <c r="S247" s="64"/>
      <c r="T247" s="72"/>
      <c r="U247" s="72"/>
      <c r="V247" s="72"/>
      <c r="W247" s="73"/>
      <c r="X247" s="73"/>
      <c r="Y247" s="74"/>
      <c r="Z247" s="113" t="str">
        <f t="array" ref="Z247">INDEX($A$1:$C$500, MATCH(1,($B:$B=$B247)*($C:$C=$AB247),0),1)</f>
        <v/>
      </c>
      <c r="AA247" s="113" t="str">
        <f t="array" ref="AA247">INDEX($A$1:$C$500, MATCH(1,($B:$B=$AB247)*($C:$C=$B247),0),1)</f>
        <v/>
      </c>
      <c r="AB247" s="111"/>
      <c r="AC247" s="114" t="str">
        <f t="shared" si="2"/>
        <v/>
      </c>
      <c r="AD247" s="115" t="str">
        <f t="shared" si="3"/>
        <v/>
      </c>
      <c r="AE247" s="116" t="str">
        <f t="array" ref="AE247">INDEX($A$1:$C$500, MATCH(1,($B:$B=$AB247)*($C:$C=$AG247),0),1)</f>
        <v/>
      </c>
      <c r="AF247" s="116" t="str">
        <f t="array" ref="AF247">INDEX($A$1:$C$500, MATCH(1,($B:$B=$AG247)*($C:$C=$AB247),0),1)</f>
        <v/>
      </c>
      <c r="AG247" s="72"/>
      <c r="AH247" s="114" t="str">
        <f t="shared" si="4"/>
        <v/>
      </c>
      <c r="AI247" s="115" t="str">
        <f t="shared" si="5"/>
        <v/>
      </c>
      <c r="AJ247" s="116" t="str">
        <f t="array" ref="AJ247">INDEX($A$1:$C$500, MATCH(1,($B:$B=$C247)*($C:$C=$AG247),0),1)</f>
        <v/>
      </c>
      <c r="AK247" s="116" t="str">
        <f t="array" ref="AK247">INDEX($A$1:$C$500, MATCH(1,($B:$B=$AG247)*($C:$C=$C247),0),1)</f>
        <v/>
      </c>
      <c r="AL247" s="116" t="str">
        <f t="array" ref="AL247">INDEX($A$1:$C$500, MATCH(1,($B:$B=$C247)*($C:$C=$AB247),0),1)</f>
        <v/>
      </c>
      <c r="AM247" s="116" t="str">
        <f t="array" ref="AM247">INDEX($A$1:$C$500, MATCH(1,($B:$B=$AB247)*($C:$C=$C247),0),1)</f>
        <v/>
      </c>
      <c r="AN247" s="114" t="str">
        <f t="array" ref="AN247">IFS(ISNUMBER(AJ247),AJ247,ISNUMBER(AK247),AK247,ISNUMBER(AL247),AL247,ISNUMBER(AM247),AM247)</f>
        <v>#N/A</v>
      </c>
      <c r="AO247" s="115" t="str">
        <f t="shared" si="6"/>
        <v/>
      </c>
      <c r="AP247" s="115" t="str">
        <f t="shared" si="7"/>
        <v/>
      </c>
      <c r="AQ247" s="111"/>
      <c r="AR247" s="109" t="str">
        <f t="shared" si="8"/>
        <v/>
      </c>
      <c r="AS247" s="72" t="str">
        <f>IFERROR(IF(AND(Preferences!B$3="Manual",OR(AX247/AW247&gt;V247/U247,BD247="Serious",BD247="Very serious")),"Assess imprecision",IFERROR(IFS(AND(Preferences!B$3="Automatic",V247/U247&gt;=30),"Extremely serious",AND(W247&lt;=$D$1*-1,Y247&lt;0,V247/U247&lt;3),"Not Serious",AND(W247&lt;=$D$1*-1,Y247&lt;0,V247/U247&gt;=3),"Very serious",AND(W247&gt;=$D$1,X247&gt;0,V247/U247&lt;3),"Not Serious",AND(W247&gt;=$D$1,X247&gt;0,V247/U247&gt;=3),"Very serious",AND(W247&lt;=$D$1*-1,Y247&gt;0,X247&gt;$D$2*-1,V247/U247&lt;3),"Serious", AND(W247&lt;=$D$1*-1,Y247&gt;0,X247&lt;$D$2*-1,V247/U247&lt;3),"Very serious", AND(W247&gt;=$D$1,X247&lt;0,Y247&lt;$D$2,V247/U247&lt;3),"Serious",AND(W247&gt;=$D$1,X247&lt;0,Y247&gt;$D$2,V247/U247&lt;3),"Very serious", AND(W247&lt;=$D$1*-1,Y247&gt;0,X247&gt;$D$2*-1,V247/U247&gt;=3),"Very serious", AND(W247&lt;=$D$1*-1,Y247&gt;0,X247&lt;$D$2*-1,V247/U247&gt;=3),"Very serious", AND(W247&gt;=$D$1,X247&lt;0,Y247&lt;$D$2,V247/U247&gt;=3),"Very serious", AND(W247&gt;=$D$1,X247&lt;0,Y247&gt;$D$2,V247/U247&gt;=3),"Very serious", AND(W247&gt;$D$1*-1,W247&lt;$D$1,X247&gt;$D$1*-1,Y247&lt;$D$1,V247/U247&lt;3),"Not Serious", AND(W247&gt;$D$1*-1,W247&lt;$D$1,OR(X247&lt;=$D$1*-1,Y247&gt;=$D$1),X247&gt;$D$2*-1,Y247&lt;$D$2,V247/U247&lt;3),"Serious", AND(W247&gt;$D$1*-1,W247&lt;$D$1,OR(X247&lt;=$D$2*-1,Y247&gt;=$D$2),V247/U247&lt;3),"Very serious", AND(W247&gt;$D$1*-1,W247&lt;$D$1,X247&gt;$D$1*-1,Y247&lt;$D$1,V247/U247&gt;=3),"Very serious", AND(W247&gt;$D$1*-1,W247&lt;$D$1,OR(X247&lt;=$D$1*-1,Y247&gt;=$D$1),X247&gt;$D$2*-1,Y247&lt;$D$2,V247/U247&gt;=3),"Very serious", AND(W247&gt;$D$1*-1,W247&lt;$D$1,OR(X247&lt;=$D$2*-1,Y247&gt;=$D$2),V247/U247&gt;=3),"Very serious"),"")),"")</f>
        <v/>
      </c>
      <c r="AT247" s="109" t="str">
        <f t="shared" si="9"/>
        <v/>
      </c>
      <c r="AU247" s="64"/>
      <c r="AV247" s="83"/>
      <c r="AW247" s="83"/>
      <c r="AX247" s="83"/>
      <c r="AY247" s="83"/>
      <c r="AZ247" s="83"/>
      <c r="BA247" s="85"/>
      <c r="BB247" s="86" t="str">
        <f>IF(Preferences!B$9="Manual","",IFS(ISBLANK(B247),"",AND(ISNUMBER(E247)=TRUE,ISNUMBER(T247)=FALSE),"Direct", AND(ISNUMBER(E247)=FALSE,ISNUMBER(T247)=TRUE),"Indirect", CN247=4,"Direct",AND(CL247=FALSE, CM247=TRUE,CN247-CO247&gt;-1),"Direct", AND(CL247=FALSE,CM247=TRUE, CN247-CO247&lt;0),"Check algorithm in appendix 2", AND(CL247=TRUE, CM247=FALSE,CN247-CO247&gt;0),"Check algorithm in appendix 2", AND(CL247=TRUE, CM247=FALSE,CN247-CO247=0),"Indirect", AND(CL247=TRUE, CM247=FALSE,CN247-CO247&lt;0),"Indirect", AND(CL247=FALSE,CM247=FALSE,CN247-CO247&gt;-1),"Direct", AND(CL247=FALSE,CM247=FALSE,CN247-CO247&lt;0),"Check algorithm in appendix 2", AND(CL247=TRUE,CM247=TRUE,CN247-CO247&gt;-1),"Direct", AND(CL247=TRUE,CM247=TRUE,CN247-CO247&lt;0),"Check algorithm in appendix 2"))</f>
        <v/>
      </c>
      <c r="BC247" s="120" t="str">
        <f t="shared" si="10"/>
        <v/>
      </c>
      <c r="BD247" s="140"/>
      <c r="BE247" s="122" t="str">
        <f>IF(Preferences!B$3="Manual","", IFERROR(IFS(AND(Preferences!B$3="Automatic",AX247/AW247&gt;=30),"Extremely serious",AND(AY247&lt;=$D$1*-1,BA247&lt;0,AX247/AW247&lt;3),"Not Serious",AND(AY247&lt;=$D$1*-1,BA247&lt;0,AX247/AW247&gt;=3),"Very serious",AND(AY247&gt;=$D$1,AZ247&gt;0,AX247/AW247&lt;3),"Not Serious",AND(AY247&gt;=$D$1,AZ247&gt;0,AX247/AW247&gt;=3),"Very serious",AND(AY247&lt;=$D$1*-1,BA247&gt;0,AZ247&gt;$D$2*-1,AX247/AW247&lt;3),"Serious", AND(AY247&lt;=$D$1*-1,BA247&gt;0,AZ247&lt;$D$2*-1,AX247/AW247&lt;3),"Very serious", AND(AY247&gt;=$D$1,AZ247&lt;0,BA247&lt;$D$2,AX247/AW247&lt;3),"Serious",AND(AY247&gt;=$D$1,AZ247&lt;0,BA247&gt;$D$2,AX247/AW247&lt;3),"Very serious", AND(AY247&lt;=$D$1*-1,BA247&gt;0,AZ247&gt;$D$2*-1,AX247/AW247&gt;=3),"Very serious", AND(AY247&lt;=$D$1*-1,BA247&gt;0,AZ247&lt;$D$2*-1,AX247/AW247&gt;=3),"Very serious", AND(AY247&gt;=$D$1,AZ247&lt;0,BA247&lt;$D$2,AX247/AW247&gt;=3),"Very serious", AND(AY247&gt;=$D$1,AZ247&lt;0,BA247&gt;$D$2,AX247/AW247&gt;=3),"Very serious", AND(AY247&gt;$D$1*-1,AY247&lt;$D$1,AZ247&gt;$D$1*-1,BA247&lt;$D$1,AX247/AW247&lt;3),"Not Serious", AND(AY247&gt;$D$1*-1,AY247&lt;$D$1,OR(AZ247&lt;=$D$1*-1,BA247&gt;=$D$1),AZ247&gt;$D$2*-1,BA247&lt;$D$2,AX247/AW247&lt;3),"Serious", AND(AY247&gt;$D$1*-1,AY247&lt;$D$1,OR(AZ247&lt;=$D$2*-1,BA247&gt;=$D$2),AX247/AW247&lt;3),"Very serious", AND(AY247&gt;$D$1*-1,AY247&lt;$D$1,AZ247&gt;$D$1*-1,BA247&lt;$D$1,AX247/AW247&gt;=3),"Very serious", AND(AY247&gt;$D$1*-1,AY247&lt;$D$1,OR(AZ247&lt;=$D$1*-1,BA247&gt;=$D$1),AZ247&gt;$D$2*-1,BA247&lt;$D$2,AX247/AW247&gt;=3),"Very serious", AND(AY247&gt;$D$1*-1,AY247&lt;$D$1,OR(AZ247&lt;=$D$2*-1,BA247&gt;=$D$2),AX247/AW247&gt;=3),"Very serious"),""))</f>
        <v/>
      </c>
      <c r="BF247" s="107" t="str">
        <f t="shared" si="11"/>
        <v/>
      </c>
      <c r="BG247" s="94" t="str">
        <f t="shared" si="46"/>
        <v/>
      </c>
      <c r="BH247" s="64" t="str">
        <f t="shared" si="12"/>
        <v>#N/A</v>
      </c>
      <c r="BI247" s="64" t="str">
        <f t="shared" si="13"/>
        <v/>
      </c>
      <c r="BJ247" s="123" t="str">
        <f t="shared" si="14"/>
        <v>#N/A</v>
      </c>
      <c r="BK247" s="64" t="str">
        <f t="shared" si="50"/>
        <v>YES</v>
      </c>
      <c r="BL247" s="64" t="str">
        <f t="shared" si="16"/>
        <v>YES</v>
      </c>
      <c r="BM247" s="64" t="str">
        <f t="shared" si="17"/>
        <v>YES</v>
      </c>
      <c r="BN247" s="124" t="str">
        <f t="shared" si="18"/>
        <v/>
      </c>
      <c r="BO247" s="91" t="str">
        <f t="shared" si="19"/>
        <v/>
      </c>
      <c r="BP247" s="91" t="str">
        <f t="shared" si="20"/>
        <v>#N/A</v>
      </c>
      <c r="BQ247" s="91" t="str">
        <f t="shared" si="21"/>
        <v/>
      </c>
      <c r="BR247" s="93" t="str">
        <f t="shared" si="22"/>
        <v/>
      </c>
      <c r="BS247" s="90" t="str">
        <f t="shared" si="23"/>
        <v/>
      </c>
      <c r="BT247" s="93" t="str">
        <f t="shared" si="24"/>
        <v>NA</v>
      </c>
      <c r="BU247" s="125" t="str">
        <f t="shared" si="25"/>
        <v>#N/A</v>
      </c>
      <c r="BV247" s="93" t="str">
        <f t="shared" si="26"/>
        <v/>
      </c>
      <c r="BW247" s="93" t="str">
        <f t="shared" si="27"/>
        <v/>
      </c>
      <c r="BX247" s="93" t="str">
        <f t="shared" si="28"/>
        <v>NA</v>
      </c>
      <c r="BY247" s="95" t="str">
        <f t="shared" si="29"/>
        <v>#N/A</v>
      </c>
      <c r="BZ247" s="93" t="str">
        <f t="shared" si="30"/>
        <v/>
      </c>
      <c r="CA247" s="93" t="str">
        <f t="shared" si="31"/>
        <v/>
      </c>
      <c r="CB247" s="93" t="str">
        <f t="shared" si="32"/>
        <v>NA</v>
      </c>
      <c r="CC247" s="96" t="str">
        <f t="shared" si="33"/>
        <v>#N/A</v>
      </c>
      <c r="CD247" s="93" t="str">
        <f t="shared" si="34"/>
        <v/>
      </c>
      <c r="CE247" s="93" t="str">
        <f t="shared" si="35"/>
        <v/>
      </c>
      <c r="CF247" s="93" t="str">
        <f t="shared" si="36"/>
        <v>NA</v>
      </c>
      <c r="CG247" s="97" t="str">
        <f t="shared" si="37"/>
        <v>#N/A</v>
      </c>
      <c r="CH247" s="98" t="str">
        <f t="shared" si="38"/>
        <v>#N/A</v>
      </c>
      <c r="CI247" s="99" t="str">
        <f t="shared" si="39"/>
        <v>#N/A</v>
      </c>
      <c r="CJ247" s="126" t="str">
        <f t="shared" si="40"/>
        <v>ERROR: check cell</v>
      </c>
      <c r="CK247" s="126"/>
      <c r="CL247" s="127" t="str">
        <f t="shared" si="41"/>
        <v>#DIV/0!</v>
      </c>
      <c r="CM247" s="128" t="str">
        <f t="shared" si="42"/>
        <v>#DIV/0!</v>
      </c>
      <c r="CN247" s="128">
        <f t="shared" si="43"/>
        <v>4</v>
      </c>
      <c r="CO247" s="129">
        <f t="shared" si="44"/>
        <v>4</v>
      </c>
      <c r="CP247" s="129" t="str">
        <f>IFS(C247=Preferences!B$13,B247,B247=Preferences!B$13,C247)</f>
        <v>#N/A</v>
      </c>
    </row>
    <row r="248" ht="13.5" customHeight="1">
      <c r="A248" s="63" t="str">
        <f t="shared" si="45"/>
        <v/>
      </c>
      <c r="B248" s="64"/>
      <c r="C248" s="64"/>
      <c r="D248" s="64"/>
      <c r="E248" s="65"/>
      <c r="F248" s="65"/>
      <c r="G248" s="65"/>
      <c r="H248" s="66"/>
      <c r="I248" s="66"/>
      <c r="J248" s="67"/>
      <c r="K248" s="68"/>
      <c r="L248" s="104"/>
      <c r="M248" s="104"/>
      <c r="N248" s="104"/>
      <c r="O248" s="104"/>
      <c r="P248" s="107" t="str">
        <f t="shared" si="1"/>
        <v/>
      </c>
      <c r="Q248" s="108" t="str">
        <f>IFERROR(IF(AND(Preferences!B$3="Manual",OR(AX248/AW248&gt;G248/F248,BD248="Serious",BD248="Very serious")),"Assess imprecision",IFS(ISBLANK(E248),"",AND(Preferences!B$3="Automatic", G248/F248&gt;=30),"Extremely serious",AND(H248&lt;=$D$1*-1,J248&lt;0,G248/F248&lt;3),"Not serious",AND(H248&lt;=$D$1*-1,J248&lt;0,G248/F248&gt;=3),"Very serious",AND(H248&gt;=$D$1,I248&gt;0,G248/F248&lt;3),"Not serious",AND(H248&gt;=$D$1,I248&gt;0,G248/F248&gt;=3),"Very serious",AND(H248&lt;=$D$1*-1,J248&gt;0,I248&gt;$D$2*-1,G248/F248&lt;3),"Serious", AND(H248&lt;=$D$1*-1,J248&gt;0,I248&lt;$D$2*-1,G248/F248&lt;3),"Very serious", AND(H248&gt;=$D$1,I248&lt;0,J248&lt;$D$2,G248/F248&lt;3),"Serious",AND(H248&gt;=$D$1,I248&lt;0,J248&gt;$D$2,G248/F248&lt;3),"Very serious", AND(H248&lt;=$D$1*-1,J248&gt;0,I248&gt;$D$2*-1,G248/F248&gt;=3),"Very serious", AND(H248&lt;=$D$1*-1,J248&gt;0,I248&lt;$D$2*-1,G248/F248&gt;=3),"Very serious", AND(H248&gt;=$D$1,I248&lt;0,J248&lt;$D$2,G248/F248&gt;=3),"Very serious", AND(H248&gt;=$D$1,I248&lt;0,J248&gt;$D$2,G248/F248&gt;=3),"Very serious", AND(H248&gt;$D$1*-1,H248&lt;$D$1,I248&gt;$D$1*-1,J248&lt;$D$1,G248/F248&lt;3),"Not serious", AND(H248&gt;$D$1*-1,H248&lt;$D$1,OR(I248&lt;=$D$1*-1,J248&gt;=$D$1),I248&gt;$D$2*-1,J248&lt;$D$2,G248/F248&lt;3),"Serious", AND(H248&gt;$D$1*-1,H248&lt;$D$1,OR(I248&lt;=$D$2*-1,J248&gt;=$D$2),G248/F248&lt;3),"Very serious", AND(H248&gt;$D$1*-1,H248&lt;$D$1,I248&gt;$D$1*-1,J248&lt;$D$1,G248/F248&gt;=3),"Very serious", AND(H248&gt;$D$1*-1,H248&lt;$D$1,OR(I248&lt;=$D$1*-1,J248&gt;=$D$1),I248&gt;$D$2*-1,J248&lt;$D$2,G248/F248&gt;=3),"Very serious", AND(H248&gt;$D$1*-1,H248&lt;$D$1,OR(I248&lt;=$D$2*-1,J248&gt;=$D$2),G248/F248&gt;=3),"Very serious")),"")</f>
        <v/>
      </c>
      <c r="R248" s="109" t="str">
        <f t="shared" si="47"/>
        <v/>
      </c>
      <c r="S248" s="64"/>
      <c r="T248" s="72"/>
      <c r="U248" s="72"/>
      <c r="V248" s="72"/>
      <c r="W248" s="73"/>
      <c r="X248" s="73"/>
      <c r="Y248" s="74"/>
      <c r="Z248" s="113" t="str">
        <f t="array" ref="Z248">INDEX($A$1:$C$500, MATCH(1,($B:$B=$B248)*($C:$C=$AB248),0),1)</f>
        <v/>
      </c>
      <c r="AA248" s="113" t="str">
        <f t="array" ref="AA248">INDEX($A$1:$C$500, MATCH(1,($B:$B=$AB248)*($C:$C=$B248),0),1)</f>
        <v/>
      </c>
      <c r="AB248" s="111"/>
      <c r="AC248" s="114" t="str">
        <f t="shared" si="2"/>
        <v/>
      </c>
      <c r="AD248" s="115" t="str">
        <f t="shared" si="3"/>
        <v/>
      </c>
      <c r="AE248" s="116" t="str">
        <f t="array" ref="AE248">INDEX($A$1:$C$500, MATCH(1,($B:$B=$AB248)*($C:$C=$AG248),0),1)</f>
        <v/>
      </c>
      <c r="AF248" s="116" t="str">
        <f t="array" ref="AF248">INDEX($A$1:$C$500, MATCH(1,($B:$B=$AG248)*($C:$C=$AB248),0),1)</f>
        <v/>
      </c>
      <c r="AG248" s="72"/>
      <c r="AH248" s="114" t="str">
        <f t="shared" si="4"/>
        <v/>
      </c>
      <c r="AI248" s="115" t="str">
        <f t="shared" si="5"/>
        <v/>
      </c>
      <c r="AJ248" s="116" t="str">
        <f t="array" ref="AJ248">INDEX($A$1:$C$500, MATCH(1,($B:$B=$C248)*($C:$C=$AG248),0),1)</f>
        <v/>
      </c>
      <c r="AK248" s="116" t="str">
        <f t="array" ref="AK248">INDEX($A$1:$C$500, MATCH(1,($B:$B=$AG248)*($C:$C=$C248),0),1)</f>
        <v/>
      </c>
      <c r="AL248" s="116" t="str">
        <f t="array" ref="AL248">INDEX($A$1:$C$500, MATCH(1,($B:$B=$C248)*($C:$C=$AB248),0),1)</f>
        <v/>
      </c>
      <c r="AM248" s="116" t="str">
        <f t="array" ref="AM248">INDEX($A$1:$C$500, MATCH(1,($B:$B=$AB248)*($C:$C=$C248),0),1)</f>
        <v/>
      </c>
      <c r="AN248" s="114" t="str">
        <f t="array" ref="AN248">IFS(ISNUMBER(AJ248),AJ248,ISNUMBER(AK248),AK248,ISNUMBER(AL248),AL248,ISNUMBER(AM248),AM248)</f>
        <v>#N/A</v>
      </c>
      <c r="AO248" s="115" t="str">
        <f t="shared" si="6"/>
        <v/>
      </c>
      <c r="AP248" s="115" t="str">
        <f t="shared" si="7"/>
        <v/>
      </c>
      <c r="AQ248" s="111"/>
      <c r="AR248" s="109" t="str">
        <f t="shared" si="8"/>
        <v/>
      </c>
      <c r="AS248" s="72" t="str">
        <f>IFERROR(IF(AND(Preferences!B$3="Manual",OR(AX248/AW248&gt;V248/U248,BD248="Serious",BD248="Very serious")),"Assess imprecision",IFERROR(IFS(AND(Preferences!B$3="Automatic",V248/U248&gt;=30),"Extremely serious",AND(W248&lt;=$D$1*-1,Y248&lt;0,V248/U248&lt;3),"Not Serious",AND(W248&lt;=$D$1*-1,Y248&lt;0,V248/U248&gt;=3),"Very serious",AND(W248&gt;=$D$1,X248&gt;0,V248/U248&lt;3),"Not Serious",AND(W248&gt;=$D$1,X248&gt;0,V248/U248&gt;=3),"Very serious",AND(W248&lt;=$D$1*-1,Y248&gt;0,X248&gt;$D$2*-1,V248/U248&lt;3),"Serious", AND(W248&lt;=$D$1*-1,Y248&gt;0,X248&lt;$D$2*-1,V248/U248&lt;3),"Very serious", AND(W248&gt;=$D$1,X248&lt;0,Y248&lt;$D$2,V248/U248&lt;3),"Serious",AND(W248&gt;=$D$1,X248&lt;0,Y248&gt;$D$2,V248/U248&lt;3),"Very serious", AND(W248&lt;=$D$1*-1,Y248&gt;0,X248&gt;$D$2*-1,V248/U248&gt;=3),"Very serious", AND(W248&lt;=$D$1*-1,Y248&gt;0,X248&lt;$D$2*-1,V248/U248&gt;=3),"Very serious", AND(W248&gt;=$D$1,X248&lt;0,Y248&lt;$D$2,V248/U248&gt;=3),"Very serious", AND(W248&gt;=$D$1,X248&lt;0,Y248&gt;$D$2,V248/U248&gt;=3),"Very serious", AND(W248&gt;$D$1*-1,W248&lt;$D$1,X248&gt;$D$1*-1,Y248&lt;$D$1,V248/U248&lt;3),"Not Serious", AND(W248&gt;$D$1*-1,W248&lt;$D$1,OR(X248&lt;=$D$1*-1,Y248&gt;=$D$1),X248&gt;$D$2*-1,Y248&lt;$D$2,V248/U248&lt;3),"Serious", AND(W248&gt;$D$1*-1,W248&lt;$D$1,OR(X248&lt;=$D$2*-1,Y248&gt;=$D$2),V248/U248&lt;3),"Very serious", AND(W248&gt;$D$1*-1,W248&lt;$D$1,X248&gt;$D$1*-1,Y248&lt;$D$1,V248/U248&gt;=3),"Very serious", AND(W248&gt;$D$1*-1,W248&lt;$D$1,OR(X248&lt;=$D$1*-1,Y248&gt;=$D$1),X248&gt;$D$2*-1,Y248&lt;$D$2,V248/U248&gt;=3),"Very serious", AND(W248&gt;$D$1*-1,W248&lt;$D$1,OR(X248&lt;=$D$2*-1,Y248&gt;=$D$2),V248/U248&gt;=3),"Very serious"),"")),"")</f>
        <v/>
      </c>
      <c r="AT248" s="109" t="str">
        <f t="shared" si="9"/>
        <v/>
      </c>
      <c r="AU248" s="64"/>
      <c r="AV248" s="83"/>
      <c r="AW248" s="83"/>
      <c r="AX248" s="83"/>
      <c r="AY248" s="83"/>
      <c r="AZ248" s="83"/>
      <c r="BA248" s="85"/>
      <c r="BB248" s="86" t="str">
        <f>IF(Preferences!B$9="Manual","",IFS(ISBLANK(B248),"",AND(ISNUMBER(E248)=TRUE,ISNUMBER(T248)=FALSE),"Direct", AND(ISNUMBER(E248)=FALSE,ISNUMBER(T248)=TRUE),"Indirect", CN248=4,"Direct",AND(CL248=FALSE, CM248=TRUE,CN248-CO248&gt;-1),"Direct", AND(CL248=FALSE,CM248=TRUE, CN248-CO248&lt;0),"Check algorithm in appendix 2", AND(CL248=TRUE, CM248=FALSE,CN248-CO248&gt;0),"Check algorithm in appendix 2", AND(CL248=TRUE, CM248=FALSE,CN248-CO248=0),"Indirect", AND(CL248=TRUE, CM248=FALSE,CN248-CO248&lt;0),"Indirect", AND(CL248=FALSE,CM248=FALSE,CN248-CO248&gt;-1),"Direct", AND(CL248=FALSE,CM248=FALSE,CN248-CO248&lt;0),"Check algorithm in appendix 2", AND(CL248=TRUE,CM248=TRUE,CN248-CO248&gt;-1),"Direct", AND(CL248=TRUE,CM248=TRUE,CN248-CO248&lt;0),"Check algorithm in appendix 2"))</f>
        <v/>
      </c>
      <c r="BC248" s="120" t="str">
        <f t="shared" si="10"/>
        <v/>
      </c>
      <c r="BD248" s="140"/>
      <c r="BE248" s="122" t="str">
        <f>IF(Preferences!B$3="Manual","", IFERROR(IFS(AND(Preferences!B$3="Automatic",AX248/AW248&gt;=30),"Extremely serious",AND(AY248&lt;=$D$1*-1,BA248&lt;0,AX248/AW248&lt;3),"Not Serious",AND(AY248&lt;=$D$1*-1,BA248&lt;0,AX248/AW248&gt;=3),"Very serious",AND(AY248&gt;=$D$1,AZ248&gt;0,AX248/AW248&lt;3),"Not Serious",AND(AY248&gt;=$D$1,AZ248&gt;0,AX248/AW248&gt;=3),"Very serious",AND(AY248&lt;=$D$1*-1,BA248&gt;0,AZ248&gt;$D$2*-1,AX248/AW248&lt;3),"Serious", AND(AY248&lt;=$D$1*-1,BA248&gt;0,AZ248&lt;$D$2*-1,AX248/AW248&lt;3),"Very serious", AND(AY248&gt;=$D$1,AZ248&lt;0,BA248&lt;$D$2,AX248/AW248&lt;3),"Serious",AND(AY248&gt;=$D$1,AZ248&lt;0,BA248&gt;$D$2,AX248/AW248&lt;3),"Very serious", AND(AY248&lt;=$D$1*-1,BA248&gt;0,AZ248&gt;$D$2*-1,AX248/AW248&gt;=3),"Very serious", AND(AY248&lt;=$D$1*-1,BA248&gt;0,AZ248&lt;$D$2*-1,AX248/AW248&gt;=3),"Very serious", AND(AY248&gt;=$D$1,AZ248&lt;0,BA248&lt;$D$2,AX248/AW248&gt;=3),"Very serious", AND(AY248&gt;=$D$1,AZ248&lt;0,BA248&gt;$D$2,AX248/AW248&gt;=3),"Very serious", AND(AY248&gt;$D$1*-1,AY248&lt;$D$1,AZ248&gt;$D$1*-1,BA248&lt;$D$1,AX248/AW248&lt;3),"Not Serious", AND(AY248&gt;$D$1*-1,AY248&lt;$D$1,OR(AZ248&lt;=$D$1*-1,BA248&gt;=$D$1),AZ248&gt;$D$2*-1,BA248&lt;$D$2,AX248/AW248&lt;3),"Serious", AND(AY248&gt;$D$1*-1,AY248&lt;$D$1,OR(AZ248&lt;=$D$2*-1,BA248&gt;=$D$2),AX248/AW248&lt;3),"Very serious", AND(AY248&gt;$D$1*-1,AY248&lt;$D$1,AZ248&gt;$D$1*-1,BA248&lt;$D$1,AX248/AW248&gt;=3),"Very serious", AND(AY248&gt;$D$1*-1,AY248&lt;$D$1,OR(AZ248&lt;=$D$1*-1,BA248&gt;=$D$1),AZ248&gt;$D$2*-1,BA248&lt;$D$2,AX248/AW248&gt;=3),"Very serious", AND(AY248&gt;$D$1*-1,AY248&lt;$D$1,OR(AZ248&lt;=$D$2*-1,BA248&gt;=$D$2),AX248/AW248&gt;=3),"Very serious"),""))</f>
        <v/>
      </c>
      <c r="BF248" s="107" t="str">
        <f t="shared" si="11"/>
        <v/>
      </c>
      <c r="BG248" s="94" t="str">
        <f t="shared" si="46"/>
        <v/>
      </c>
      <c r="BH248" s="64" t="str">
        <f t="shared" si="12"/>
        <v>#N/A</v>
      </c>
      <c r="BI248" s="64" t="str">
        <f t="shared" si="13"/>
        <v/>
      </c>
      <c r="BJ248" s="123" t="str">
        <f t="shared" si="14"/>
        <v>#N/A</v>
      </c>
      <c r="BK248" s="64" t="str">
        <f t="shared" si="50"/>
        <v>YES</v>
      </c>
      <c r="BL248" s="64" t="str">
        <f t="shared" si="16"/>
        <v>YES</v>
      </c>
      <c r="BM248" s="64" t="str">
        <f t="shared" si="17"/>
        <v>YES</v>
      </c>
      <c r="BN248" s="124" t="str">
        <f t="shared" si="18"/>
        <v/>
      </c>
      <c r="BO248" s="91" t="str">
        <f t="shared" si="19"/>
        <v/>
      </c>
      <c r="BP248" s="91" t="str">
        <f t="shared" si="20"/>
        <v>#N/A</v>
      </c>
      <c r="BQ248" s="91" t="str">
        <f t="shared" si="21"/>
        <v/>
      </c>
      <c r="BR248" s="93" t="str">
        <f t="shared" si="22"/>
        <v/>
      </c>
      <c r="BS248" s="90" t="str">
        <f t="shared" si="23"/>
        <v/>
      </c>
      <c r="BT248" s="93" t="str">
        <f t="shared" si="24"/>
        <v>NA</v>
      </c>
      <c r="BU248" s="125" t="str">
        <f t="shared" si="25"/>
        <v>#N/A</v>
      </c>
      <c r="BV248" s="93" t="str">
        <f t="shared" si="26"/>
        <v/>
      </c>
      <c r="BW248" s="93" t="str">
        <f t="shared" si="27"/>
        <v/>
      </c>
      <c r="BX248" s="93" t="str">
        <f t="shared" si="28"/>
        <v>NA</v>
      </c>
      <c r="BY248" s="95" t="str">
        <f t="shared" si="29"/>
        <v>#N/A</v>
      </c>
      <c r="BZ248" s="93" t="str">
        <f t="shared" si="30"/>
        <v/>
      </c>
      <c r="CA248" s="93" t="str">
        <f t="shared" si="31"/>
        <v/>
      </c>
      <c r="CB248" s="93" t="str">
        <f t="shared" si="32"/>
        <v>NA</v>
      </c>
      <c r="CC248" s="96" t="str">
        <f t="shared" si="33"/>
        <v>#N/A</v>
      </c>
      <c r="CD248" s="93" t="str">
        <f t="shared" si="34"/>
        <v/>
      </c>
      <c r="CE248" s="93" t="str">
        <f t="shared" si="35"/>
        <v/>
      </c>
      <c r="CF248" s="93" t="str">
        <f t="shared" si="36"/>
        <v>NA</v>
      </c>
      <c r="CG248" s="97" t="str">
        <f t="shared" si="37"/>
        <v>#N/A</v>
      </c>
      <c r="CH248" s="98" t="str">
        <f t="shared" si="38"/>
        <v>#N/A</v>
      </c>
      <c r="CI248" s="99" t="str">
        <f t="shared" si="39"/>
        <v>#N/A</v>
      </c>
      <c r="CJ248" s="126" t="str">
        <f t="shared" si="40"/>
        <v>ERROR: check cell</v>
      </c>
      <c r="CK248" s="126"/>
      <c r="CL248" s="127" t="str">
        <f t="shared" si="41"/>
        <v>#DIV/0!</v>
      </c>
      <c r="CM248" s="128" t="str">
        <f t="shared" si="42"/>
        <v>#DIV/0!</v>
      </c>
      <c r="CN248" s="128">
        <f t="shared" si="43"/>
        <v>4</v>
      </c>
      <c r="CO248" s="129">
        <f t="shared" si="44"/>
        <v>4</v>
      </c>
      <c r="CP248" s="129" t="str">
        <f>IFS(C248=Preferences!B$13,B248,B248=Preferences!B$13,C248)</f>
        <v>#N/A</v>
      </c>
    </row>
    <row r="249" ht="13.5" customHeight="1">
      <c r="A249" s="63" t="str">
        <f t="shared" si="45"/>
        <v/>
      </c>
      <c r="B249" s="64"/>
      <c r="C249" s="64"/>
      <c r="D249" s="64"/>
      <c r="E249" s="65"/>
      <c r="F249" s="65"/>
      <c r="G249" s="65"/>
      <c r="H249" s="66"/>
      <c r="I249" s="66"/>
      <c r="J249" s="67"/>
      <c r="K249" s="68"/>
      <c r="L249" s="104"/>
      <c r="M249" s="104"/>
      <c r="N249" s="104"/>
      <c r="O249" s="104"/>
      <c r="P249" s="107" t="str">
        <f t="shared" si="1"/>
        <v/>
      </c>
      <c r="Q249" s="108" t="str">
        <f>IFERROR(IF(AND(Preferences!B$3="Manual",OR(AX249/AW249&gt;G249/F249,BD249="Serious",BD249="Very serious")),"Assess imprecision",IFS(ISBLANK(E249),"",AND(Preferences!B$3="Automatic", G249/F249&gt;=30),"Extremely serious",AND(H249&lt;=$D$1*-1,J249&lt;0,G249/F249&lt;3),"Not serious",AND(H249&lt;=$D$1*-1,J249&lt;0,G249/F249&gt;=3),"Very serious",AND(H249&gt;=$D$1,I249&gt;0,G249/F249&lt;3),"Not serious",AND(H249&gt;=$D$1,I249&gt;0,G249/F249&gt;=3),"Very serious",AND(H249&lt;=$D$1*-1,J249&gt;0,I249&gt;$D$2*-1,G249/F249&lt;3),"Serious", AND(H249&lt;=$D$1*-1,J249&gt;0,I249&lt;$D$2*-1,G249/F249&lt;3),"Very serious", AND(H249&gt;=$D$1,I249&lt;0,J249&lt;$D$2,G249/F249&lt;3),"Serious",AND(H249&gt;=$D$1,I249&lt;0,J249&gt;$D$2,G249/F249&lt;3),"Very serious", AND(H249&lt;=$D$1*-1,J249&gt;0,I249&gt;$D$2*-1,G249/F249&gt;=3),"Very serious", AND(H249&lt;=$D$1*-1,J249&gt;0,I249&lt;$D$2*-1,G249/F249&gt;=3),"Very serious", AND(H249&gt;=$D$1,I249&lt;0,J249&lt;$D$2,G249/F249&gt;=3),"Very serious", AND(H249&gt;=$D$1,I249&lt;0,J249&gt;$D$2,G249/F249&gt;=3),"Very serious", AND(H249&gt;$D$1*-1,H249&lt;$D$1,I249&gt;$D$1*-1,J249&lt;$D$1,G249/F249&lt;3),"Not serious", AND(H249&gt;$D$1*-1,H249&lt;$D$1,OR(I249&lt;=$D$1*-1,J249&gt;=$D$1),I249&gt;$D$2*-1,J249&lt;$D$2,G249/F249&lt;3),"Serious", AND(H249&gt;$D$1*-1,H249&lt;$D$1,OR(I249&lt;=$D$2*-1,J249&gt;=$D$2),G249/F249&lt;3),"Very serious", AND(H249&gt;$D$1*-1,H249&lt;$D$1,I249&gt;$D$1*-1,J249&lt;$D$1,G249/F249&gt;=3),"Very serious", AND(H249&gt;$D$1*-1,H249&lt;$D$1,OR(I249&lt;=$D$1*-1,J249&gt;=$D$1),I249&gt;$D$2*-1,J249&lt;$D$2,G249/F249&gt;=3),"Very serious", AND(H249&gt;$D$1*-1,H249&lt;$D$1,OR(I249&lt;=$D$2*-1,J249&gt;=$D$2),G249/F249&gt;=3),"Very serious")),"")</f>
        <v/>
      </c>
      <c r="R249" s="109" t="str">
        <f t="shared" si="47"/>
        <v/>
      </c>
      <c r="S249" s="64"/>
      <c r="T249" s="72"/>
      <c r="U249" s="72"/>
      <c r="V249" s="72"/>
      <c r="W249" s="73"/>
      <c r="X249" s="73"/>
      <c r="Y249" s="74"/>
      <c r="Z249" s="113" t="str">
        <f t="array" ref="Z249">INDEX($A$1:$C$500, MATCH(1,($B:$B=$B249)*($C:$C=$AB249),0),1)</f>
        <v/>
      </c>
      <c r="AA249" s="113" t="str">
        <f t="array" ref="AA249">INDEX($A$1:$C$500, MATCH(1,($B:$B=$AB249)*($C:$C=$B249),0),1)</f>
        <v/>
      </c>
      <c r="AB249" s="111"/>
      <c r="AC249" s="114" t="str">
        <f t="shared" si="2"/>
        <v/>
      </c>
      <c r="AD249" s="115" t="str">
        <f t="shared" si="3"/>
        <v/>
      </c>
      <c r="AE249" s="116" t="str">
        <f t="array" ref="AE249">INDEX($A$1:$C$500, MATCH(1,($B:$B=$AB249)*($C:$C=$AG249),0),1)</f>
        <v/>
      </c>
      <c r="AF249" s="116" t="str">
        <f t="array" ref="AF249">INDEX($A$1:$C$500, MATCH(1,($B:$B=$AG249)*($C:$C=$AB249),0),1)</f>
        <v/>
      </c>
      <c r="AG249" s="72"/>
      <c r="AH249" s="114" t="str">
        <f t="shared" si="4"/>
        <v/>
      </c>
      <c r="AI249" s="115" t="str">
        <f t="shared" si="5"/>
        <v/>
      </c>
      <c r="AJ249" s="116" t="str">
        <f t="array" ref="AJ249">INDEX($A$1:$C$500, MATCH(1,($B:$B=$C249)*($C:$C=$AG249),0),1)</f>
        <v/>
      </c>
      <c r="AK249" s="116" t="str">
        <f t="array" ref="AK249">INDEX($A$1:$C$500, MATCH(1,($B:$B=$AG249)*($C:$C=$C249),0),1)</f>
        <v/>
      </c>
      <c r="AL249" s="116" t="str">
        <f t="array" ref="AL249">INDEX($A$1:$C$500, MATCH(1,($B:$B=$C249)*($C:$C=$AB249),0),1)</f>
        <v/>
      </c>
      <c r="AM249" s="116" t="str">
        <f t="array" ref="AM249">INDEX($A$1:$C$500, MATCH(1,($B:$B=$AB249)*($C:$C=$C249),0),1)</f>
        <v/>
      </c>
      <c r="AN249" s="114" t="str">
        <f t="array" ref="AN249">IFS(ISNUMBER(AJ249),AJ249,ISNUMBER(AK249),AK249,ISNUMBER(AL249),AL249,ISNUMBER(AM249),AM249)</f>
        <v>#N/A</v>
      </c>
      <c r="AO249" s="115" t="str">
        <f t="shared" si="6"/>
        <v/>
      </c>
      <c r="AP249" s="115" t="str">
        <f t="shared" si="7"/>
        <v/>
      </c>
      <c r="AQ249" s="111"/>
      <c r="AR249" s="109" t="str">
        <f t="shared" si="8"/>
        <v/>
      </c>
      <c r="AS249" s="72" t="str">
        <f>IFERROR(IF(AND(Preferences!B$3="Manual",OR(AX249/AW249&gt;V249/U249,BD249="Serious",BD249="Very serious")),"Assess imprecision",IFERROR(IFS(AND(Preferences!B$3="Automatic",V249/U249&gt;=30),"Extremely serious",AND(W249&lt;=$D$1*-1,Y249&lt;0,V249/U249&lt;3),"Not Serious",AND(W249&lt;=$D$1*-1,Y249&lt;0,V249/U249&gt;=3),"Very serious",AND(W249&gt;=$D$1,X249&gt;0,V249/U249&lt;3),"Not Serious",AND(W249&gt;=$D$1,X249&gt;0,V249/U249&gt;=3),"Very serious",AND(W249&lt;=$D$1*-1,Y249&gt;0,X249&gt;$D$2*-1,V249/U249&lt;3),"Serious", AND(W249&lt;=$D$1*-1,Y249&gt;0,X249&lt;$D$2*-1,V249/U249&lt;3),"Very serious", AND(W249&gt;=$D$1,X249&lt;0,Y249&lt;$D$2,V249/U249&lt;3),"Serious",AND(W249&gt;=$D$1,X249&lt;0,Y249&gt;$D$2,V249/U249&lt;3),"Very serious", AND(W249&lt;=$D$1*-1,Y249&gt;0,X249&gt;$D$2*-1,V249/U249&gt;=3),"Very serious", AND(W249&lt;=$D$1*-1,Y249&gt;0,X249&lt;$D$2*-1,V249/U249&gt;=3),"Very serious", AND(W249&gt;=$D$1,X249&lt;0,Y249&lt;$D$2,V249/U249&gt;=3),"Very serious", AND(W249&gt;=$D$1,X249&lt;0,Y249&gt;$D$2,V249/U249&gt;=3),"Very serious", AND(W249&gt;$D$1*-1,W249&lt;$D$1,X249&gt;$D$1*-1,Y249&lt;$D$1,V249/U249&lt;3),"Not Serious", AND(W249&gt;$D$1*-1,W249&lt;$D$1,OR(X249&lt;=$D$1*-1,Y249&gt;=$D$1),X249&gt;$D$2*-1,Y249&lt;$D$2,V249/U249&lt;3),"Serious", AND(W249&gt;$D$1*-1,W249&lt;$D$1,OR(X249&lt;=$D$2*-1,Y249&gt;=$D$2),V249/U249&lt;3),"Very serious", AND(W249&gt;$D$1*-1,W249&lt;$D$1,X249&gt;$D$1*-1,Y249&lt;$D$1,V249/U249&gt;=3),"Very serious", AND(W249&gt;$D$1*-1,W249&lt;$D$1,OR(X249&lt;=$D$1*-1,Y249&gt;=$D$1),X249&gt;$D$2*-1,Y249&lt;$D$2,V249/U249&gt;=3),"Very serious", AND(W249&gt;$D$1*-1,W249&lt;$D$1,OR(X249&lt;=$D$2*-1,Y249&gt;=$D$2),V249/U249&gt;=3),"Very serious"),"")),"")</f>
        <v/>
      </c>
      <c r="AT249" s="109" t="str">
        <f t="shared" si="9"/>
        <v/>
      </c>
      <c r="AU249" s="64"/>
      <c r="AV249" s="83"/>
      <c r="AW249" s="83"/>
      <c r="AX249" s="83"/>
      <c r="AY249" s="83"/>
      <c r="AZ249" s="83"/>
      <c r="BA249" s="85"/>
      <c r="BB249" s="86" t="str">
        <f>IF(Preferences!B$9="Manual","",IFS(ISBLANK(B249),"",AND(ISNUMBER(E249)=TRUE,ISNUMBER(T249)=FALSE),"Direct", AND(ISNUMBER(E249)=FALSE,ISNUMBER(T249)=TRUE),"Indirect", CN249=4,"Direct",AND(CL249=FALSE, CM249=TRUE,CN249-CO249&gt;-1),"Direct", AND(CL249=FALSE,CM249=TRUE, CN249-CO249&lt;0),"Check algorithm in appendix 2", AND(CL249=TRUE, CM249=FALSE,CN249-CO249&gt;0),"Check algorithm in appendix 2", AND(CL249=TRUE, CM249=FALSE,CN249-CO249=0),"Indirect", AND(CL249=TRUE, CM249=FALSE,CN249-CO249&lt;0),"Indirect", AND(CL249=FALSE,CM249=FALSE,CN249-CO249&gt;-1),"Direct", AND(CL249=FALSE,CM249=FALSE,CN249-CO249&lt;0),"Check algorithm in appendix 2", AND(CL249=TRUE,CM249=TRUE,CN249-CO249&gt;-1),"Direct", AND(CL249=TRUE,CM249=TRUE,CN249-CO249&lt;0),"Check algorithm in appendix 2"))</f>
        <v/>
      </c>
      <c r="BC249" s="120" t="str">
        <f t="shared" si="10"/>
        <v/>
      </c>
      <c r="BD249" s="140"/>
      <c r="BE249" s="122" t="str">
        <f>IF(Preferences!B$3="Manual","", IFERROR(IFS(AND(Preferences!B$3="Automatic",AX249/AW249&gt;=30),"Extremely serious",AND(AY249&lt;=$D$1*-1,BA249&lt;0,AX249/AW249&lt;3),"Not Serious",AND(AY249&lt;=$D$1*-1,BA249&lt;0,AX249/AW249&gt;=3),"Very serious",AND(AY249&gt;=$D$1,AZ249&gt;0,AX249/AW249&lt;3),"Not Serious",AND(AY249&gt;=$D$1,AZ249&gt;0,AX249/AW249&gt;=3),"Very serious",AND(AY249&lt;=$D$1*-1,BA249&gt;0,AZ249&gt;$D$2*-1,AX249/AW249&lt;3),"Serious", AND(AY249&lt;=$D$1*-1,BA249&gt;0,AZ249&lt;$D$2*-1,AX249/AW249&lt;3),"Very serious", AND(AY249&gt;=$D$1,AZ249&lt;0,BA249&lt;$D$2,AX249/AW249&lt;3),"Serious",AND(AY249&gt;=$D$1,AZ249&lt;0,BA249&gt;$D$2,AX249/AW249&lt;3),"Very serious", AND(AY249&lt;=$D$1*-1,BA249&gt;0,AZ249&gt;$D$2*-1,AX249/AW249&gt;=3),"Very serious", AND(AY249&lt;=$D$1*-1,BA249&gt;0,AZ249&lt;$D$2*-1,AX249/AW249&gt;=3),"Very serious", AND(AY249&gt;=$D$1,AZ249&lt;0,BA249&lt;$D$2,AX249/AW249&gt;=3),"Very serious", AND(AY249&gt;=$D$1,AZ249&lt;0,BA249&gt;$D$2,AX249/AW249&gt;=3),"Very serious", AND(AY249&gt;$D$1*-1,AY249&lt;$D$1,AZ249&gt;$D$1*-1,BA249&lt;$D$1,AX249/AW249&lt;3),"Not Serious", AND(AY249&gt;$D$1*-1,AY249&lt;$D$1,OR(AZ249&lt;=$D$1*-1,BA249&gt;=$D$1),AZ249&gt;$D$2*-1,BA249&lt;$D$2,AX249/AW249&lt;3),"Serious", AND(AY249&gt;$D$1*-1,AY249&lt;$D$1,OR(AZ249&lt;=$D$2*-1,BA249&gt;=$D$2),AX249/AW249&lt;3),"Very serious", AND(AY249&gt;$D$1*-1,AY249&lt;$D$1,AZ249&gt;$D$1*-1,BA249&lt;$D$1,AX249/AW249&gt;=3),"Very serious", AND(AY249&gt;$D$1*-1,AY249&lt;$D$1,OR(AZ249&lt;=$D$1*-1,BA249&gt;=$D$1),AZ249&gt;$D$2*-1,BA249&lt;$D$2,AX249/AW249&gt;=3),"Very serious", AND(AY249&gt;$D$1*-1,AY249&lt;$D$1,OR(AZ249&lt;=$D$2*-1,BA249&gt;=$D$2),AX249/AW249&gt;=3),"Very serious"),""))</f>
        <v/>
      </c>
      <c r="BF249" s="107" t="str">
        <f t="shared" si="11"/>
        <v/>
      </c>
      <c r="BG249" s="94" t="str">
        <f t="shared" si="46"/>
        <v/>
      </c>
      <c r="BH249" s="64" t="str">
        <f t="shared" si="12"/>
        <v>#N/A</v>
      </c>
      <c r="BI249" s="64" t="str">
        <f t="shared" si="13"/>
        <v/>
      </c>
      <c r="BJ249" s="123" t="str">
        <f t="shared" si="14"/>
        <v>#N/A</v>
      </c>
      <c r="BK249" s="64" t="str">
        <f t="shared" si="50"/>
        <v>YES</v>
      </c>
      <c r="BL249" s="64" t="str">
        <f t="shared" si="16"/>
        <v>YES</v>
      </c>
      <c r="BM249" s="64" t="str">
        <f t="shared" si="17"/>
        <v>YES</v>
      </c>
      <c r="BN249" s="124" t="str">
        <f t="shared" si="18"/>
        <v/>
      </c>
      <c r="BO249" s="91" t="str">
        <f t="shared" si="19"/>
        <v/>
      </c>
      <c r="BP249" s="91" t="str">
        <f t="shared" si="20"/>
        <v>#N/A</v>
      </c>
      <c r="BQ249" s="91" t="str">
        <f t="shared" si="21"/>
        <v/>
      </c>
      <c r="BR249" s="93" t="str">
        <f t="shared" si="22"/>
        <v/>
      </c>
      <c r="BS249" s="90" t="str">
        <f t="shared" si="23"/>
        <v/>
      </c>
      <c r="BT249" s="93" t="str">
        <f t="shared" si="24"/>
        <v>NA</v>
      </c>
      <c r="BU249" s="125" t="str">
        <f t="shared" si="25"/>
        <v>#N/A</v>
      </c>
      <c r="BV249" s="93" t="str">
        <f t="shared" si="26"/>
        <v/>
      </c>
      <c r="BW249" s="93" t="str">
        <f t="shared" si="27"/>
        <v/>
      </c>
      <c r="BX249" s="93" t="str">
        <f t="shared" si="28"/>
        <v>NA</v>
      </c>
      <c r="BY249" s="95" t="str">
        <f t="shared" si="29"/>
        <v>#N/A</v>
      </c>
      <c r="BZ249" s="93" t="str">
        <f t="shared" si="30"/>
        <v/>
      </c>
      <c r="CA249" s="93" t="str">
        <f t="shared" si="31"/>
        <v/>
      </c>
      <c r="CB249" s="93" t="str">
        <f t="shared" si="32"/>
        <v>NA</v>
      </c>
      <c r="CC249" s="96" t="str">
        <f t="shared" si="33"/>
        <v>#N/A</v>
      </c>
      <c r="CD249" s="93" t="str">
        <f t="shared" si="34"/>
        <v/>
      </c>
      <c r="CE249" s="93" t="str">
        <f t="shared" si="35"/>
        <v/>
      </c>
      <c r="CF249" s="93" t="str">
        <f t="shared" si="36"/>
        <v>NA</v>
      </c>
      <c r="CG249" s="97" t="str">
        <f t="shared" si="37"/>
        <v>#N/A</v>
      </c>
      <c r="CH249" s="98" t="str">
        <f t="shared" si="38"/>
        <v>#N/A</v>
      </c>
      <c r="CI249" s="99" t="str">
        <f t="shared" si="39"/>
        <v>#N/A</v>
      </c>
      <c r="CJ249" s="126" t="str">
        <f t="shared" si="40"/>
        <v>ERROR: check cell</v>
      </c>
      <c r="CK249" s="126"/>
      <c r="CL249" s="127" t="str">
        <f t="shared" si="41"/>
        <v>#DIV/0!</v>
      </c>
      <c r="CM249" s="128" t="str">
        <f t="shared" si="42"/>
        <v>#DIV/0!</v>
      </c>
      <c r="CN249" s="128">
        <f t="shared" si="43"/>
        <v>4</v>
      </c>
      <c r="CO249" s="129">
        <f t="shared" si="44"/>
        <v>4</v>
      </c>
      <c r="CP249" s="129" t="str">
        <f>IFS(C249=Preferences!B$13,B249,B249=Preferences!B$13,C249)</f>
        <v>#N/A</v>
      </c>
    </row>
    <row r="250" ht="13.5" customHeight="1">
      <c r="A250" s="63" t="str">
        <f t="shared" si="45"/>
        <v/>
      </c>
      <c r="B250" s="64"/>
      <c r="C250" s="64"/>
      <c r="D250" s="64"/>
      <c r="E250" s="65"/>
      <c r="F250" s="65"/>
      <c r="G250" s="65"/>
      <c r="H250" s="66"/>
      <c r="I250" s="66"/>
      <c r="J250" s="67"/>
      <c r="K250" s="68"/>
      <c r="L250" s="104"/>
      <c r="M250" s="104"/>
      <c r="N250" s="104"/>
      <c r="O250" s="104"/>
      <c r="P250" s="107" t="str">
        <f t="shared" si="1"/>
        <v/>
      </c>
      <c r="Q250" s="108" t="str">
        <f>IFERROR(IF(AND(Preferences!B$3="Manual",OR(AX250/AW250&gt;G250/F250,BD250="Serious",BD250="Very serious")),"Assess imprecision",IFS(ISBLANK(E250),"",AND(Preferences!B$3="Automatic", G250/F250&gt;=30),"Extremely serious",AND(H250&lt;=$D$1*-1,J250&lt;0,G250/F250&lt;3),"Not serious",AND(H250&lt;=$D$1*-1,J250&lt;0,G250/F250&gt;=3),"Very serious",AND(H250&gt;=$D$1,I250&gt;0,G250/F250&lt;3),"Not serious",AND(H250&gt;=$D$1,I250&gt;0,G250/F250&gt;=3),"Very serious",AND(H250&lt;=$D$1*-1,J250&gt;0,I250&gt;$D$2*-1,G250/F250&lt;3),"Serious", AND(H250&lt;=$D$1*-1,J250&gt;0,I250&lt;$D$2*-1,G250/F250&lt;3),"Very serious", AND(H250&gt;=$D$1,I250&lt;0,J250&lt;$D$2,G250/F250&lt;3),"Serious",AND(H250&gt;=$D$1,I250&lt;0,J250&gt;$D$2,G250/F250&lt;3),"Very serious", AND(H250&lt;=$D$1*-1,J250&gt;0,I250&gt;$D$2*-1,G250/F250&gt;=3),"Very serious", AND(H250&lt;=$D$1*-1,J250&gt;0,I250&lt;$D$2*-1,G250/F250&gt;=3),"Very serious", AND(H250&gt;=$D$1,I250&lt;0,J250&lt;$D$2,G250/F250&gt;=3),"Very serious", AND(H250&gt;=$D$1,I250&lt;0,J250&gt;$D$2,G250/F250&gt;=3),"Very serious", AND(H250&gt;$D$1*-1,H250&lt;$D$1,I250&gt;$D$1*-1,J250&lt;$D$1,G250/F250&lt;3),"Not serious", AND(H250&gt;$D$1*-1,H250&lt;$D$1,OR(I250&lt;=$D$1*-1,J250&gt;=$D$1),I250&gt;$D$2*-1,J250&lt;$D$2,G250/F250&lt;3),"Serious", AND(H250&gt;$D$1*-1,H250&lt;$D$1,OR(I250&lt;=$D$2*-1,J250&gt;=$D$2),G250/F250&lt;3),"Very serious", AND(H250&gt;$D$1*-1,H250&lt;$D$1,I250&gt;$D$1*-1,J250&lt;$D$1,G250/F250&gt;=3),"Very serious", AND(H250&gt;$D$1*-1,H250&lt;$D$1,OR(I250&lt;=$D$1*-1,J250&gt;=$D$1),I250&gt;$D$2*-1,J250&lt;$D$2,G250/F250&gt;=3),"Very serious", AND(H250&gt;$D$1*-1,H250&lt;$D$1,OR(I250&lt;=$D$2*-1,J250&gt;=$D$2),G250/F250&gt;=3),"Very serious")),"")</f>
        <v/>
      </c>
      <c r="R250" s="109" t="str">
        <f t="shared" si="47"/>
        <v/>
      </c>
      <c r="S250" s="64"/>
      <c r="T250" s="72"/>
      <c r="U250" s="72"/>
      <c r="V250" s="72"/>
      <c r="W250" s="73"/>
      <c r="X250" s="73"/>
      <c r="Y250" s="74"/>
      <c r="Z250" s="113" t="str">
        <f t="array" ref="Z250">INDEX($A$1:$C$500, MATCH(1,($B:$B=$B250)*($C:$C=$AB250),0),1)</f>
        <v/>
      </c>
      <c r="AA250" s="113" t="str">
        <f t="array" ref="AA250">INDEX($A$1:$C$500, MATCH(1,($B:$B=$AB250)*($C:$C=$B250),0),1)</f>
        <v/>
      </c>
      <c r="AB250" s="111"/>
      <c r="AC250" s="114" t="str">
        <f t="shared" si="2"/>
        <v/>
      </c>
      <c r="AD250" s="115" t="str">
        <f t="shared" si="3"/>
        <v/>
      </c>
      <c r="AE250" s="116" t="str">
        <f t="array" ref="AE250">INDEX($A$1:$C$500, MATCH(1,($B:$B=$AB250)*($C:$C=$AG250),0),1)</f>
        <v/>
      </c>
      <c r="AF250" s="116" t="str">
        <f t="array" ref="AF250">INDEX($A$1:$C$500, MATCH(1,($B:$B=$AG250)*($C:$C=$AB250),0),1)</f>
        <v/>
      </c>
      <c r="AG250" s="72"/>
      <c r="AH250" s="114" t="str">
        <f t="shared" si="4"/>
        <v/>
      </c>
      <c r="AI250" s="115" t="str">
        <f t="shared" si="5"/>
        <v/>
      </c>
      <c r="AJ250" s="116" t="str">
        <f t="array" ref="AJ250">INDEX($A$1:$C$500, MATCH(1,($B:$B=$C250)*($C:$C=$AG250),0),1)</f>
        <v/>
      </c>
      <c r="AK250" s="116" t="str">
        <f t="array" ref="AK250">INDEX($A$1:$C$500, MATCH(1,($B:$B=$AG250)*($C:$C=$C250),0),1)</f>
        <v/>
      </c>
      <c r="AL250" s="116" t="str">
        <f t="array" ref="AL250">INDEX($A$1:$C$500, MATCH(1,($B:$B=$C250)*($C:$C=$AB250),0),1)</f>
        <v/>
      </c>
      <c r="AM250" s="116" t="str">
        <f t="array" ref="AM250">INDEX($A$1:$C$500, MATCH(1,($B:$B=$AB250)*($C:$C=$C250),0),1)</f>
        <v/>
      </c>
      <c r="AN250" s="114" t="str">
        <f t="array" ref="AN250">IFS(ISNUMBER(AJ250),AJ250,ISNUMBER(AK250),AK250,ISNUMBER(AL250),AL250,ISNUMBER(AM250),AM250)</f>
        <v>#N/A</v>
      </c>
      <c r="AO250" s="115" t="str">
        <f t="shared" si="6"/>
        <v/>
      </c>
      <c r="AP250" s="115" t="str">
        <f t="shared" si="7"/>
        <v/>
      </c>
      <c r="AQ250" s="111"/>
      <c r="AR250" s="109" t="str">
        <f t="shared" si="8"/>
        <v/>
      </c>
      <c r="AS250" s="72" t="str">
        <f>IFERROR(IF(AND(Preferences!B$3="Manual",OR(AX250/AW250&gt;V250/U250,BD250="Serious",BD250="Very serious")),"Assess imprecision",IFERROR(IFS(AND(Preferences!B$3="Automatic",V250/U250&gt;=30),"Extremely serious",AND(W250&lt;=$D$1*-1,Y250&lt;0,V250/U250&lt;3),"Not Serious",AND(W250&lt;=$D$1*-1,Y250&lt;0,V250/U250&gt;=3),"Very serious",AND(W250&gt;=$D$1,X250&gt;0,V250/U250&lt;3),"Not Serious",AND(W250&gt;=$D$1,X250&gt;0,V250/U250&gt;=3),"Very serious",AND(W250&lt;=$D$1*-1,Y250&gt;0,X250&gt;$D$2*-1,V250/U250&lt;3),"Serious", AND(W250&lt;=$D$1*-1,Y250&gt;0,X250&lt;$D$2*-1,V250/U250&lt;3),"Very serious", AND(W250&gt;=$D$1,X250&lt;0,Y250&lt;$D$2,V250/U250&lt;3),"Serious",AND(W250&gt;=$D$1,X250&lt;0,Y250&gt;$D$2,V250/U250&lt;3),"Very serious", AND(W250&lt;=$D$1*-1,Y250&gt;0,X250&gt;$D$2*-1,V250/U250&gt;=3),"Very serious", AND(W250&lt;=$D$1*-1,Y250&gt;0,X250&lt;$D$2*-1,V250/U250&gt;=3),"Very serious", AND(W250&gt;=$D$1,X250&lt;0,Y250&lt;$D$2,V250/U250&gt;=3),"Very serious", AND(W250&gt;=$D$1,X250&lt;0,Y250&gt;$D$2,V250/U250&gt;=3),"Very serious", AND(W250&gt;$D$1*-1,W250&lt;$D$1,X250&gt;$D$1*-1,Y250&lt;$D$1,V250/U250&lt;3),"Not Serious", AND(W250&gt;$D$1*-1,W250&lt;$D$1,OR(X250&lt;=$D$1*-1,Y250&gt;=$D$1),X250&gt;$D$2*-1,Y250&lt;$D$2,V250/U250&lt;3),"Serious", AND(W250&gt;$D$1*-1,W250&lt;$D$1,OR(X250&lt;=$D$2*-1,Y250&gt;=$D$2),V250/U250&lt;3),"Very serious", AND(W250&gt;$D$1*-1,W250&lt;$D$1,X250&gt;$D$1*-1,Y250&lt;$D$1,V250/U250&gt;=3),"Very serious", AND(W250&gt;$D$1*-1,W250&lt;$D$1,OR(X250&lt;=$D$1*-1,Y250&gt;=$D$1),X250&gt;$D$2*-1,Y250&lt;$D$2,V250/U250&gt;=3),"Very serious", AND(W250&gt;$D$1*-1,W250&lt;$D$1,OR(X250&lt;=$D$2*-1,Y250&gt;=$D$2),V250/U250&gt;=3),"Very serious"),"")),"")</f>
        <v/>
      </c>
      <c r="AT250" s="109" t="str">
        <f t="shared" si="9"/>
        <v/>
      </c>
      <c r="AU250" s="64"/>
      <c r="AV250" s="83"/>
      <c r="AW250" s="83"/>
      <c r="AX250" s="83"/>
      <c r="AY250" s="83"/>
      <c r="AZ250" s="83"/>
      <c r="BA250" s="85"/>
      <c r="BB250" s="86" t="str">
        <f>IF(Preferences!B$9="Manual","",IFS(ISBLANK(B250),"",AND(ISNUMBER(E250)=TRUE,ISNUMBER(T250)=FALSE),"Direct", AND(ISNUMBER(E250)=FALSE,ISNUMBER(T250)=TRUE),"Indirect", CN250=4,"Direct",AND(CL250=FALSE, CM250=TRUE,CN250-CO250&gt;-1),"Direct", AND(CL250=FALSE,CM250=TRUE, CN250-CO250&lt;0),"Check algorithm in appendix 2", AND(CL250=TRUE, CM250=FALSE,CN250-CO250&gt;0),"Check algorithm in appendix 2", AND(CL250=TRUE, CM250=FALSE,CN250-CO250=0),"Indirect", AND(CL250=TRUE, CM250=FALSE,CN250-CO250&lt;0),"Indirect", AND(CL250=FALSE,CM250=FALSE,CN250-CO250&gt;-1),"Direct", AND(CL250=FALSE,CM250=FALSE,CN250-CO250&lt;0),"Check algorithm in appendix 2", AND(CL250=TRUE,CM250=TRUE,CN250-CO250&gt;-1),"Direct", AND(CL250=TRUE,CM250=TRUE,CN250-CO250&lt;0),"Check algorithm in appendix 2"))</f>
        <v/>
      </c>
      <c r="BC250" s="120" t="str">
        <f t="shared" si="10"/>
        <v/>
      </c>
      <c r="BD250" s="140"/>
      <c r="BE250" s="122" t="str">
        <f>IF(Preferences!B$3="Manual","", IFERROR(IFS(AND(Preferences!B$3="Automatic",AX250/AW250&gt;=30),"Extremely serious",AND(AY250&lt;=$D$1*-1,BA250&lt;0,AX250/AW250&lt;3),"Not Serious",AND(AY250&lt;=$D$1*-1,BA250&lt;0,AX250/AW250&gt;=3),"Very serious",AND(AY250&gt;=$D$1,AZ250&gt;0,AX250/AW250&lt;3),"Not Serious",AND(AY250&gt;=$D$1,AZ250&gt;0,AX250/AW250&gt;=3),"Very serious",AND(AY250&lt;=$D$1*-1,BA250&gt;0,AZ250&gt;$D$2*-1,AX250/AW250&lt;3),"Serious", AND(AY250&lt;=$D$1*-1,BA250&gt;0,AZ250&lt;$D$2*-1,AX250/AW250&lt;3),"Very serious", AND(AY250&gt;=$D$1,AZ250&lt;0,BA250&lt;$D$2,AX250/AW250&lt;3),"Serious",AND(AY250&gt;=$D$1,AZ250&lt;0,BA250&gt;$D$2,AX250/AW250&lt;3),"Very serious", AND(AY250&lt;=$D$1*-1,BA250&gt;0,AZ250&gt;$D$2*-1,AX250/AW250&gt;=3),"Very serious", AND(AY250&lt;=$D$1*-1,BA250&gt;0,AZ250&lt;$D$2*-1,AX250/AW250&gt;=3),"Very serious", AND(AY250&gt;=$D$1,AZ250&lt;0,BA250&lt;$D$2,AX250/AW250&gt;=3),"Very serious", AND(AY250&gt;=$D$1,AZ250&lt;0,BA250&gt;$D$2,AX250/AW250&gt;=3),"Very serious", AND(AY250&gt;$D$1*-1,AY250&lt;$D$1,AZ250&gt;$D$1*-1,BA250&lt;$D$1,AX250/AW250&lt;3),"Not Serious", AND(AY250&gt;$D$1*-1,AY250&lt;$D$1,OR(AZ250&lt;=$D$1*-1,BA250&gt;=$D$1),AZ250&gt;$D$2*-1,BA250&lt;$D$2,AX250/AW250&lt;3),"Serious", AND(AY250&gt;$D$1*-1,AY250&lt;$D$1,OR(AZ250&lt;=$D$2*-1,BA250&gt;=$D$2),AX250/AW250&lt;3),"Very serious", AND(AY250&gt;$D$1*-1,AY250&lt;$D$1,AZ250&gt;$D$1*-1,BA250&lt;$D$1,AX250/AW250&gt;=3),"Very serious", AND(AY250&gt;$D$1*-1,AY250&lt;$D$1,OR(AZ250&lt;=$D$1*-1,BA250&gt;=$D$1),AZ250&gt;$D$2*-1,BA250&lt;$D$2,AX250/AW250&gt;=3),"Very serious", AND(AY250&gt;$D$1*-1,AY250&lt;$D$1,OR(AZ250&lt;=$D$2*-1,BA250&gt;=$D$2),AX250/AW250&gt;=3),"Very serious"),""))</f>
        <v/>
      </c>
      <c r="BF250" s="107" t="str">
        <f t="shared" si="11"/>
        <v/>
      </c>
      <c r="BG250" s="94" t="str">
        <f t="shared" si="46"/>
        <v/>
      </c>
      <c r="BH250" s="64" t="str">
        <f t="shared" si="12"/>
        <v>#N/A</v>
      </c>
      <c r="BI250" s="64" t="str">
        <f t="shared" si="13"/>
        <v/>
      </c>
      <c r="BJ250" s="123" t="str">
        <f t="shared" si="14"/>
        <v>#N/A</v>
      </c>
      <c r="BK250" s="64" t="str">
        <f t="shared" si="50"/>
        <v>YES</v>
      </c>
      <c r="BL250" s="64" t="str">
        <f t="shared" si="16"/>
        <v>YES</v>
      </c>
      <c r="BM250" s="64" t="str">
        <f t="shared" si="17"/>
        <v>YES</v>
      </c>
      <c r="BN250" s="124" t="str">
        <f t="shared" si="18"/>
        <v/>
      </c>
      <c r="BO250" s="91" t="str">
        <f t="shared" si="19"/>
        <v/>
      </c>
      <c r="BP250" s="91" t="str">
        <f t="shared" si="20"/>
        <v>#N/A</v>
      </c>
      <c r="BQ250" s="91" t="str">
        <f t="shared" si="21"/>
        <v/>
      </c>
      <c r="BR250" s="93" t="str">
        <f t="shared" si="22"/>
        <v/>
      </c>
      <c r="BS250" s="90" t="str">
        <f t="shared" si="23"/>
        <v/>
      </c>
      <c r="BT250" s="93" t="str">
        <f t="shared" si="24"/>
        <v>NA</v>
      </c>
      <c r="BU250" s="125" t="str">
        <f t="shared" si="25"/>
        <v>#N/A</v>
      </c>
      <c r="BV250" s="93" t="str">
        <f t="shared" si="26"/>
        <v/>
      </c>
      <c r="BW250" s="93" t="str">
        <f t="shared" si="27"/>
        <v/>
      </c>
      <c r="BX250" s="93" t="str">
        <f t="shared" si="28"/>
        <v>NA</v>
      </c>
      <c r="BY250" s="95" t="str">
        <f t="shared" si="29"/>
        <v>#N/A</v>
      </c>
      <c r="BZ250" s="93" t="str">
        <f t="shared" si="30"/>
        <v/>
      </c>
      <c r="CA250" s="93" t="str">
        <f t="shared" si="31"/>
        <v/>
      </c>
      <c r="CB250" s="93" t="str">
        <f t="shared" si="32"/>
        <v>NA</v>
      </c>
      <c r="CC250" s="96" t="str">
        <f t="shared" si="33"/>
        <v>#N/A</v>
      </c>
      <c r="CD250" s="93" t="str">
        <f t="shared" si="34"/>
        <v/>
      </c>
      <c r="CE250" s="93" t="str">
        <f t="shared" si="35"/>
        <v/>
      </c>
      <c r="CF250" s="93" t="str">
        <f t="shared" si="36"/>
        <v>NA</v>
      </c>
      <c r="CG250" s="97" t="str">
        <f t="shared" si="37"/>
        <v>#N/A</v>
      </c>
      <c r="CH250" s="98" t="str">
        <f t="shared" si="38"/>
        <v>#N/A</v>
      </c>
      <c r="CI250" s="99" t="str">
        <f t="shared" si="39"/>
        <v>#N/A</v>
      </c>
      <c r="CJ250" s="126" t="str">
        <f t="shared" si="40"/>
        <v>ERROR: check cell</v>
      </c>
      <c r="CK250" s="126"/>
      <c r="CL250" s="127" t="str">
        <f t="shared" si="41"/>
        <v>#DIV/0!</v>
      </c>
      <c r="CM250" s="128" t="str">
        <f t="shared" si="42"/>
        <v>#DIV/0!</v>
      </c>
      <c r="CN250" s="128">
        <f t="shared" si="43"/>
        <v>4</v>
      </c>
      <c r="CO250" s="129">
        <f t="shared" si="44"/>
        <v>4</v>
      </c>
      <c r="CP250" s="129" t="str">
        <f>IFS(C250=Preferences!B$13,B250,B250=Preferences!B$13,C250)</f>
        <v>#N/A</v>
      </c>
    </row>
    <row r="251" ht="13.5" customHeight="1">
      <c r="A251" s="63" t="str">
        <f t="shared" si="45"/>
        <v/>
      </c>
      <c r="B251" s="64"/>
      <c r="C251" s="64"/>
      <c r="D251" s="64"/>
      <c r="E251" s="65"/>
      <c r="F251" s="65"/>
      <c r="G251" s="65"/>
      <c r="H251" s="66"/>
      <c r="I251" s="66"/>
      <c r="J251" s="67"/>
      <c r="K251" s="68"/>
      <c r="L251" s="104"/>
      <c r="M251" s="104"/>
      <c r="N251" s="104"/>
      <c r="O251" s="104"/>
      <c r="P251" s="107" t="str">
        <f t="shared" si="1"/>
        <v/>
      </c>
      <c r="Q251" s="108" t="str">
        <f>IFERROR(IF(AND(Preferences!B$3="Manual",OR(AX251/AW251&gt;G251/F251,BD251="Serious",BD251="Very serious")),"Assess imprecision",IFS(ISBLANK(E251),"",AND(Preferences!B$3="Automatic", G251/F251&gt;=30),"Extremely serious",AND(H251&lt;=$D$1*-1,J251&lt;0,G251/F251&lt;3),"Not serious",AND(H251&lt;=$D$1*-1,J251&lt;0,G251/F251&gt;=3),"Very serious",AND(H251&gt;=$D$1,I251&gt;0,G251/F251&lt;3),"Not serious",AND(H251&gt;=$D$1,I251&gt;0,G251/F251&gt;=3),"Very serious",AND(H251&lt;=$D$1*-1,J251&gt;0,I251&gt;$D$2*-1,G251/F251&lt;3),"Serious", AND(H251&lt;=$D$1*-1,J251&gt;0,I251&lt;$D$2*-1,G251/F251&lt;3),"Very serious", AND(H251&gt;=$D$1,I251&lt;0,J251&lt;$D$2,G251/F251&lt;3),"Serious",AND(H251&gt;=$D$1,I251&lt;0,J251&gt;$D$2,G251/F251&lt;3),"Very serious", AND(H251&lt;=$D$1*-1,J251&gt;0,I251&gt;$D$2*-1,G251/F251&gt;=3),"Very serious", AND(H251&lt;=$D$1*-1,J251&gt;0,I251&lt;$D$2*-1,G251/F251&gt;=3),"Very serious", AND(H251&gt;=$D$1,I251&lt;0,J251&lt;$D$2,G251/F251&gt;=3),"Very serious", AND(H251&gt;=$D$1,I251&lt;0,J251&gt;$D$2,G251/F251&gt;=3),"Very serious", AND(H251&gt;$D$1*-1,H251&lt;$D$1,I251&gt;$D$1*-1,J251&lt;$D$1,G251/F251&lt;3),"Not serious", AND(H251&gt;$D$1*-1,H251&lt;$D$1,OR(I251&lt;=$D$1*-1,J251&gt;=$D$1),I251&gt;$D$2*-1,J251&lt;$D$2,G251/F251&lt;3),"Serious", AND(H251&gt;$D$1*-1,H251&lt;$D$1,OR(I251&lt;=$D$2*-1,J251&gt;=$D$2),G251/F251&lt;3),"Very serious", AND(H251&gt;$D$1*-1,H251&lt;$D$1,I251&gt;$D$1*-1,J251&lt;$D$1,G251/F251&gt;=3),"Very serious", AND(H251&gt;$D$1*-1,H251&lt;$D$1,OR(I251&lt;=$D$1*-1,J251&gt;=$D$1),I251&gt;$D$2*-1,J251&lt;$D$2,G251/F251&gt;=3),"Very serious", AND(H251&gt;$D$1*-1,H251&lt;$D$1,OR(I251&lt;=$D$2*-1,J251&gt;=$D$2),G251/F251&gt;=3),"Very serious")),"")</f>
        <v/>
      </c>
      <c r="R251" s="109" t="str">
        <f t="shared" si="47"/>
        <v/>
      </c>
      <c r="S251" s="64"/>
      <c r="T251" s="72"/>
      <c r="U251" s="72"/>
      <c r="V251" s="72"/>
      <c r="W251" s="73"/>
      <c r="X251" s="73"/>
      <c r="Y251" s="74"/>
      <c r="Z251" s="113" t="str">
        <f t="array" ref="Z251">INDEX($A$1:$C$500, MATCH(1,($B:$B=$B251)*($C:$C=$AB251),0),1)</f>
        <v/>
      </c>
      <c r="AA251" s="113" t="str">
        <f t="array" ref="AA251">INDEX($A$1:$C$500, MATCH(1,($B:$B=$AB251)*($C:$C=$B251),0),1)</f>
        <v/>
      </c>
      <c r="AB251" s="111"/>
      <c r="AC251" s="114" t="str">
        <f t="shared" si="2"/>
        <v/>
      </c>
      <c r="AD251" s="115" t="str">
        <f t="shared" si="3"/>
        <v/>
      </c>
      <c r="AE251" s="116" t="str">
        <f t="array" ref="AE251">INDEX($A$1:$C$500, MATCH(1,($B:$B=$AB251)*($C:$C=$AG251),0),1)</f>
        <v/>
      </c>
      <c r="AF251" s="116" t="str">
        <f t="array" ref="AF251">INDEX($A$1:$C$500, MATCH(1,($B:$B=$AG251)*($C:$C=$AB251),0),1)</f>
        <v/>
      </c>
      <c r="AG251" s="72"/>
      <c r="AH251" s="114" t="str">
        <f t="shared" si="4"/>
        <v/>
      </c>
      <c r="AI251" s="115" t="str">
        <f t="shared" si="5"/>
        <v/>
      </c>
      <c r="AJ251" s="116" t="str">
        <f t="array" ref="AJ251">INDEX($A$1:$C$500, MATCH(1,($B:$B=$C251)*($C:$C=$AG251),0),1)</f>
        <v/>
      </c>
      <c r="AK251" s="116" t="str">
        <f t="array" ref="AK251">INDEX($A$1:$C$500, MATCH(1,($B:$B=$AG251)*($C:$C=$C251),0),1)</f>
        <v/>
      </c>
      <c r="AL251" s="116" t="str">
        <f t="array" ref="AL251">INDEX($A$1:$C$500, MATCH(1,($B:$B=$C251)*($C:$C=$AB251),0),1)</f>
        <v/>
      </c>
      <c r="AM251" s="116" t="str">
        <f t="array" ref="AM251">INDEX($A$1:$C$500, MATCH(1,($B:$B=$AB251)*($C:$C=$C251),0),1)</f>
        <v/>
      </c>
      <c r="AN251" s="114" t="str">
        <f t="array" ref="AN251">IFS(ISNUMBER(AJ251),AJ251,ISNUMBER(AK251),AK251,ISNUMBER(AL251),AL251,ISNUMBER(AM251),AM251)</f>
        <v>#N/A</v>
      </c>
      <c r="AO251" s="115" t="str">
        <f t="shared" si="6"/>
        <v/>
      </c>
      <c r="AP251" s="115" t="str">
        <f t="shared" si="7"/>
        <v/>
      </c>
      <c r="AQ251" s="111"/>
      <c r="AR251" s="109" t="str">
        <f t="shared" si="8"/>
        <v/>
      </c>
      <c r="AS251" s="72" t="str">
        <f>IFERROR(IF(AND(Preferences!B$3="Manual",OR(AX251/AW251&gt;V251/U251,BD251="Serious",BD251="Very serious")),"Assess imprecision",IFERROR(IFS(AND(Preferences!B$3="Automatic",V251/U251&gt;=30),"Extremely serious",AND(W251&lt;=$D$1*-1,Y251&lt;0,V251/U251&lt;3),"Not Serious",AND(W251&lt;=$D$1*-1,Y251&lt;0,V251/U251&gt;=3),"Very serious",AND(W251&gt;=$D$1,X251&gt;0,V251/U251&lt;3),"Not Serious",AND(W251&gt;=$D$1,X251&gt;0,V251/U251&gt;=3),"Very serious",AND(W251&lt;=$D$1*-1,Y251&gt;0,X251&gt;$D$2*-1,V251/U251&lt;3),"Serious", AND(W251&lt;=$D$1*-1,Y251&gt;0,X251&lt;$D$2*-1,V251/U251&lt;3),"Very serious", AND(W251&gt;=$D$1,X251&lt;0,Y251&lt;$D$2,V251/U251&lt;3),"Serious",AND(W251&gt;=$D$1,X251&lt;0,Y251&gt;$D$2,V251/U251&lt;3),"Very serious", AND(W251&lt;=$D$1*-1,Y251&gt;0,X251&gt;$D$2*-1,V251/U251&gt;=3),"Very serious", AND(W251&lt;=$D$1*-1,Y251&gt;0,X251&lt;$D$2*-1,V251/U251&gt;=3),"Very serious", AND(W251&gt;=$D$1,X251&lt;0,Y251&lt;$D$2,V251/U251&gt;=3),"Very serious", AND(W251&gt;=$D$1,X251&lt;0,Y251&gt;$D$2,V251/U251&gt;=3),"Very serious", AND(W251&gt;$D$1*-1,W251&lt;$D$1,X251&gt;$D$1*-1,Y251&lt;$D$1,V251/U251&lt;3),"Not Serious", AND(W251&gt;$D$1*-1,W251&lt;$D$1,OR(X251&lt;=$D$1*-1,Y251&gt;=$D$1),X251&gt;$D$2*-1,Y251&lt;$D$2,V251/U251&lt;3),"Serious", AND(W251&gt;$D$1*-1,W251&lt;$D$1,OR(X251&lt;=$D$2*-1,Y251&gt;=$D$2),V251/U251&lt;3),"Very serious", AND(W251&gt;$D$1*-1,W251&lt;$D$1,X251&gt;$D$1*-1,Y251&lt;$D$1,V251/U251&gt;=3),"Very serious", AND(W251&gt;$D$1*-1,W251&lt;$D$1,OR(X251&lt;=$D$1*-1,Y251&gt;=$D$1),X251&gt;$D$2*-1,Y251&lt;$D$2,V251/U251&gt;=3),"Very serious", AND(W251&gt;$D$1*-1,W251&lt;$D$1,OR(X251&lt;=$D$2*-1,Y251&gt;=$D$2),V251/U251&gt;=3),"Very serious"),"")),"")</f>
        <v/>
      </c>
      <c r="AT251" s="109" t="str">
        <f t="shared" si="9"/>
        <v/>
      </c>
      <c r="AU251" s="64"/>
      <c r="AV251" s="83"/>
      <c r="AW251" s="83"/>
      <c r="AX251" s="83"/>
      <c r="AY251" s="83"/>
      <c r="AZ251" s="83"/>
      <c r="BA251" s="85"/>
      <c r="BB251" s="86" t="str">
        <f>IF(Preferences!B$9="Manual","",IFS(ISBLANK(B251),"",AND(ISNUMBER(E251)=TRUE,ISNUMBER(T251)=FALSE),"Direct", AND(ISNUMBER(E251)=FALSE,ISNUMBER(T251)=TRUE),"Indirect", CN251=4,"Direct",AND(CL251=FALSE, CM251=TRUE,CN251-CO251&gt;-1),"Direct", AND(CL251=FALSE,CM251=TRUE, CN251-CO251&lt;0),"Check algorithm in appendix 2", AND(CL251=TRUE, CM251=FALSE,CN251-CO251&gt;0),"Check algorithm in appendix 2", AND(CL251=TRUE, CM251=FALSE,CN251-CO251=0),"Indirect", AND(CL251=TRUE, CM251=FALSE,CN251-CO251&lt;0),"Indirect", AND(CL251=FALSE,CM251=FALSE,CN251-CO251&gt;-1),"Direct", AND(CL251=FALSE,CM251=FALSE,CN251-CO251&lt;0),"Check algorithm in appendix 2", AND(CL251=TRUE,CM251=TRUE,CN251-CO251&gt;-1),"Direct", AND(CL251=TRUE,CM251=TRUE,CN251-CO251&lt;0),"Check algorithm in appendix 2"))</f>
        <v/>
      </c>
      <c r="BC251" s="120" t="str">
        <f t="shared" si="10"/>
        <v/>
      </c>
      <c r="BD251" s="140"/>
      <c r="BE251" s="122" t="str">
        <f>IF(Preferences!B$3="Manual","", IFERROR(IFS(AND(Preferences!B$3="Automatic",AX251/AW251&gt;=30),"Extremely serious",AND(AY251&lt;=$D$1*-1,BA251&lt;0,AX251/AW251&lt;3),"Not Serious",AND(AY251&lt;=$D$1*-1,BA251&lt;0,AX251/AW251&gt;=3),"Very serious",AND(AY251&gt;=$D$1,AZ251&gt;0,AX251/AW251&lt;3),"Not Serious",AND(AY251&gt;=$D$1,AZ251&gt;0,AX251/AW251&gt;=3),"Very serious",AND(AY251&lt;=$D$1*-1,BA251&gt;0,AZ251&gt;$D$2*-1,AX251/AW251&lt;3),"Serious", AND(AY251&lt;=$D$1*-1,BA251&gt;0,AZ251&lt;$D$2*-1,AX251/AW251&lt;3),"Very serious", AND(AY251&gt;=$D$1,AZ251&lt;0,BA251&lt;$D$2,AX251/AW251&lt;3),"Serious",AND(AY251&gt;=$D$1,AZ251&lt;0,BA251&gt;$D$2,AX251/AW251&lt;3),"Very serious", AND(AY251&lt;=$D$1*-1,BA251&gt;0,AZ251&gt;$D$2*-1,AX251/AW251&gt;=3),"Very serious", AND(AY251&lt;=$D$1*-1,BA251&gt;0,AZ251&lt;$D$2*-1,AX251/AW251&gt;=3),"Very serious", AND(AY251&gt;=$D$1,AZ251&lt;0,BA251&lt;$D$2,AX251/AW251&gt;=3),"Very serious", AND(AY251&gt;=$D$1,AZ251&lt;0,BA251&gt;$D$2,AX251/AW251&gt;=3),"Very serious", AND(AY251&gt;$D$1*-1,AY251&lt;$D$1,AZ251&gt;$D$1*-1,BA251&lt;$D$1,AX251/AW251&lt;3),"Not Serious", AND(AY251&gt;$D$1*-1,AY251&lt;$D$1,OR(AZ251&lt;=$D$1*-1,BA251&gt;=$D$1),AZ251&gt;$D$2*-1,BA251&lt;$D$2,AX251/AW251&lt;3),"Serious", AND(AY251&gt;$D$1*-1,AY251&lt;$D$1,OR(AZ251&lt;=$D$2*-1,BA251&gt;=$D$2),AX251/AW251&lt;3),"Very serious", AND(AY251&gt;$D$1*-1,AY251&lt;$D$1,AZ251&gt;$D$1*-1,BA251&lt;$D$1,AX251/AW251&gt;=3),"Very serious", AND(AY251&gt;$D$1*-1,AY251&lt;$D$1,OR(AZ251&lt;=$D$1*-1,BA251&gt;=$D$1),AZ251&gt;$D$2*-1,BA251&lt;$D$2,AX251/AW251&gt;=3),"Very serious", AND(AY251&gt;$D$1*-1,AY251&lt;$D$1,OR(AZ251&lt;=$D$2*-1,BA251&gt;=$D$2),AX251/AW251&gt;=3),"Very serious"),""))</f>
        <v/>
      </c>
      <c r="BF251" s="107" t="str">
        <f t="shared" si="11"/>
        <v/>
      </c>
      <c r="BG251" s="94" t="str">
        <f t="shared" si="46"/>
        <v/>
      </c>
      <c r="BH251" s="64" t="str">
        <f t="shared" si="12"/>
        <v>#N/A</v>
      </c>
      <c r="BI251" s="64" t="str">
        <f t="shared" si="13"/>
        <v/>
      </c>
      <c r="BJ251" s="123" t="str">
        <f t="shared" si="14"/>
        <v>#N/A</v>
      </c>
      <c r="BK251" s="64" t="str">
        <f t="shared" si="50"/>
        <v>YES</v>
      </c>
      <c r="BL251" s="64" t="str">
        <f t="shared" si="16"/>
        <v>YES</v>
      </c>
      <c r="BM251" s="64" t="str">
        <f t="shared" si="17"/>
        <v>YES</v>
      </c>
      <c r="BN251" s="124" t="str">
        <f t="shared" si="18"/>
        <v/>
      </c>
      <c r="BO251" s="91" t="str">
        <f t="shared" si="19"/>
        <v/>
      </c>
      <c r="BP251" s="91" t="str">
        <f t="shared" si="20"/>
        <v>#N/A</v>
      </c>
      <c r="BQ251" s="91" t="str">
        <f t="shared" si="21"/>
        <v/>
      </c>
      <c r="BR251" s="93" t="str">
        <f t="shared" si="22"/>
        <v/>
      </c>
      <c r="BS251" s="90" t="str">
        <f t="shared" si="23"/>
        <v/>
      </c>
      <c r="BT251" s="93" t="str">
        <f t="shared" si="24"/>
        <v>NA</v>
      </c>
      <c r="BU251" s="125" t="str">
        <f t="shared" si="25"/>
        <v>#N/A</v>
      </c>
      <c r="BV251" s="93" t="str">
        <f t="shared" si="26"/>
        <v/>
      </c>
      <c r="BW251" s="93" t="str">
        <f t="shared" si="27"/>
        <v/>
      </c>
      <c r="BX251" s="93" t="str">
        <f t="shared" si="28"/>
        <v>NA</v>
      </c>
      <c r="BY251" s="95" t="str">
        <f t="shared" si="29"/>
        <v>#N/A</v>
      </c>
      <c r="BZ251" s="93" t="str">
        <f t="shared" si="30"/>
        <v/>
      </c>
      <c r="CA251" s="93" t="str">
        <f t="shared" si="31"/>
        <v/>
      </c>
      <c r="CB251" s="93" t="str">
        <f t="shared" si="32"/>
        <v>NA</v>
      </c>
      <c r="CC251" s="96" t="str">
        <f t="shared" si="33"/>
        <v>#N/A</v>
      </c>
      <c r="CD251" s="93" t="str">
        <f t="shared" si="34"/>
        <v/>
      </c>
      <c r="CE251" s="93" t="str">
        <f t="shared" si="35"/>
        <v/>
      </c>
      <c r="CF251" s="93" t="str">
        <f t="shared" si="36"/>
        <v>NA</v>
      </c>
      <c r="CG251" s="97" t="str">
        <f t="shared" si="37"/>
        <v>#N/A</v>
      </c>
      <c r="CH251" s="98" t="str">
        <f t="shared" si="38"/>
        <v>#N/A</v>
      </c>
      <c r="CI251" s="99" t="str">
        <f t="shared" si="39"/>
        <v>#N/A</v>
      </c>
      <c r="CJ251" s="126" t="str">
        <f t="shared" si="40"/>
        <v>ERROR: check cell</v>
      </c>
      <c r="CK251" s="126"/>
      <c r="CL251" s="127" t="str">
        <f t="shared" si="41"/>
        <v>#DIV/0!</v>
      </c>
      <c r="CM251" s="128" t="str">
        <f t="shared" si="42"/>
        <v>#DIV/0!</v>
      </c>
      <c r="CN251" s="128">
        <f t="shared" si="43"/>
        <v>4</v>
      </c>
      <c r="CO251" s="129">
        <f t="shared" si="44"/>
        <v>4</v>
      </c>
      <c r="CP251" s="129" t="str">
        <f>IFS(C251=Preferences!B$13,B251,B251=Preferences!B$13,C251)</f>
        <v>#N/A</v>
      </c>
    </row>
    <row r="252" ht="13.5" customHeight="1">
      <c r="A252" s="63" t="str">
        <f t="shared" si="45"/>
        <v/>
      </c>
      <c r="B252" s="64"/>
      <c r="C252" s="64"/>
      <c r="D252" s="64"/>
      <c r="E252" s="65"/>
      <c r="F252" s="65"/>
      <c r="G252" s="65"/>
      <c r="H252" s="66"/>
      <c r="I252" s="66"/>
      <c r="J252" s="67"/>
      <c r="K252" s="68"/>
      <c r="L252" s="104"/>
      <c r="M252" s="104"/>
      <c r="N252" s="104"/>
      <c r="O252" s="104"/>
      <c r="P252" s="107" t="str">
        <f t="shared" si="1"/>
        <v/>
      </c>
      <c r="Q252" s="108" t="str">
        <f>IFERROR(IF(AND(Preferences!B$3="Manual",OR(AX252/AW252&gt;G252/F252,BD252="Serious",BD252="Very serious")),"Assess imprecision",IFS(ISBLANK(E252),"",AND(Preferences!B$3="Automatic", G252/F252&gt;=30),"Extremely serious",AND(H252&lt;=$D$1*-1,J252&lt;0,G252/F252&lt;3),"Not serious",AND(H252&lt;=$D$1*-1,J252&lt;0,G252/F252&gt;=3),"Very serious",AND(H252&gt;=$D$1,I252&gt;0,G252/F252&lt;3),"Not serious",AND(H252&gt;=$D$1,I252&gt;0,G252/F252&gt;=3),"Very serious",AND(H252&lt;=$D$1*-1,J252&gt;0,I252&gt;$D$2*-1,G252/F252&lt;3),"Serious", AND(H252&lt;=$D$1*-1,J252&gt;0,I252&lt;$D$2*-1,G252/F252&lt;3),"Very serious", AND(H252&gt;=$D$1,I252&lt;0,J252&lt;$D$2,G252/F252&lt;3),"Serious",AND(H252&gt;=$D$1,I252&lt;0,J252&gt;$D$2,G252/F252&lt;3),"Very serious", AND(H252&lt;=$D$1*-1,J252&gt;0,I252&gt;$D$2*-1,G252/F252&gt;=3),"Very serious", AND(H252&lt;=$D$1*-1,J252&gt;0,I252&lt;$D$2*-1,G252/F252&gt;=3),"Very serious", AND(H252&gt;=$D$1,I252&lt;0,J252&lt;$D$2,G252/F252&gt;=3),"Very serious", AND(H252&gt;=$D$1,I252&lt;0,J252&gt;$D$2,G252/F252&gt;=3),"Very serious", AND(H252&gt;$D$1*-1,H252&lt;$D$1,I252&gt;$D$1*-1,J252&lt;$D$1,G252/F252&lt;3),"Not serious", AND(H252&gt;$D$1*-1,H252&lt;$D$1,OR(I252&lt;=$D$1*-1,J252&gt;=$D$1),I252&gt;$D$2*-1,J252&lt;$D$2,G252/F252&lt;3),"Serious", AND(H252&gt;$D$1*-1,H252&lt;$D$1,OR(I252&lt;=$D$2*-1,J252&gt;=$D$2),G252/F252&lt;3),"Very serious", AND(H252&gt;$D$1*-1,H252&lt;$D$1,I252&gt;$D$1*-1,J252&lt;$D$1,G252/F252&gt;=3),"Very serious", AND(H252&gt;$D$1*-1,H252&lt;$D$1,OR(I252&lt;=$D$1*-1,J252&gt;=$D$1),I252&gt;$D$2*-1,J252&lt;$D$2,G252/F252&gt;=3),"Very serious", AND(H252&gt;$D$1*-1,H252&lt;$D$1,OR(I252&lt;=$D$2*-1,J252&gt;=$D$2),G252/F252&gt;=3),"Very serious")),"")</f>
        <v/>
      </c>
      <c r="R252" s="109" t="str">
        <f t="shared" si="47"/>
        <v/>
      </c>
      <c r="S252" s="64"/>
      <c r="T252" s="72"/>
      <c r="U252" s="72"/>
      <c r="V252" s="72"/>
      <c r="W252" s="73"/>
      <c r="X252" s="73"/>
      <c r="Y252" s="74"/>
      <c r="Z252" s="113" t="str">
        <f t="array" ref="Z252">INDEX($A$1:$C$500, MATCH(1,($B:$B=$B252)*($C:$C=$AB252),0),1)</f>
        <v/>
      </c>
      <c r="AA252" s="113" t="str">
        <f t="array" ref="AA252">INDEX($A$1:$C$500, MATCH(1,($B:$B=$AB252)*($C:$C=$B252),0),1)</f>
        <v/>
      </c>
      <c r="AB252" s="111"/>
      <c r="AC252" s="114" t="str">
        <f t="shared" si="2"/>
        <v/>
      </c>
      <c r="AD252" s="115" t="str">
        <f t="shared" si="3"/>
        <v/>
      </c>
      <c r="AE252" s="116" t="str">
        <f t="array" ref="AE252">INDEX($A$1:$C$500, MATCH(1,($B:$B=$AB252)*($C:$C=$AG252),0),1)</f>
        <v/>
      </c>
      <c r="AF252" s="116" t="str">
        <f t="array" ref="AF252">INDEX($A$1:$C$500, MATCH(1,($B:$B=$AG252)*($C:$C=$AB252),0),1)</f>
        <v/>
      </c>
      <c r="AG252" s="72"/>
      <c r="AH252" s="114" t="str">
        <f t="shared" si="4"/>
        <v/>
      </c>
      <c r="AI252" s="115" t="str">
        <f t="shared" si="5"/>
        <v/>
      </c>
      <c r="AJ252" s="116" t="str">
        <f t="array" ref="AJ252">INDEX($A$1:$C$500, MATCH(1,($B:$B=$C252)*($C:$C=$AG252),0),1)</f>
        <v/>
      </c>
      <c r="AK252" s="116" t="str">
        <f t="array" ref="AK252">INDEX($A$1:$C$500, MATCH(1,($B:$B=$AG252)*($C:$C=$C252),0),1)</f>
        <v/>
      </c>
      <c r="AL252" s="116" t="str">
        <f t="array" ref="AL252">INDEX($A$1:$C$500, MATCH(1,($B:$B=$C252)*($C:$C=$AB252),0),1)</f>
        <v/>
      </c>
      <c r="AM252" s="116" t="str">
        <f t="array" ref="AM252">INDEX($A$1:$C$500, MATCH(1,($B:$B=$AB252)*($C:$C=$C252),0),1)</f>
        <v/>
      </c>
      <c r="AN252" s="114" t="str">
        <f t="array" ref="AN252">IFS(ISNUMBER(AJ252),AJ252,ISNUMBER(AK252),AK252,ISNUMBER(AL252),AL252,ISNUMBER(AM252),AM252)</f>
        <v>#N/A</v>
      </c>
      <c r="AO252" s="115" t="str">
        <f t="shared" si="6"/>
        <v/>
      </c>
      <c r="AP252" s="115" t="str">
        <f t="shared" si="7"/>
        <v/>
      </c>
      <c r="AQ252" s="111"/>
      <c r="AR252" s="109" t="str">
        <f t="shared" si="8"/>
        <v/>
      </c>
      <c r="AS252" s="72" t="str">
        <f>IFERROR(IF(AND(Preferences!B$3="Manual",OR(AX252/AW252&gt;V252/U252,BD252="Serious",BD252="Very serious")),"Assess imprecision",IFERROR(IFS(AND(Preferences!B$3="Automatic",V252/U252&gt;=30),"Extremely serious",AND(W252&lt;=$D$1*-1,Y252&lt;0,V252/U252&lt;3),"Not Serious",AND(W252&lt;=$D$1*-1,Y252&lt;0,V252/U252&gt;=3),"Very serious",AND(W252&gt;=$D$1,X252&gt;0,V252/U252&lt;3),"Not Serious",AND(W252&gt;=$D$1,X252&gt;0,V252/U252&gt;=3),"Very serious",AND(W252&lt;=$D$1*-1,Y252&gt;0,X252&gt;$D$2*-1,V252/U252&lt;3),"Serious", AND(W252&lt;=$D$1*-1,Y252&gt;0,X252&lt;$D$2*-1,V252/U252&lt;3),"Very serious", AND(W252&gt;=$D$1,X252&lt;0,Y252&lt;$D$2,V252/U252&lt;3),"Serious",AND(W252&gt;=$D$1,X252&lt;0,Y252&gt;$D$2,V252/U252&lt;3),"Very serious", AND(W252&lt;=$D$1*-1,Y252&gt;0,X252&gt;$D$2*-1,V252/U252&gt;=3),"Very serious", AND(W252&lt;=$D$1*-1,Y252&gt;0,X252&lt;$D$2*-1,V252/U252&gt;=3),"Very serious", AND(W252&gt;=$D$1,X252&lt;0,Y252&lt;$D$2,V252/U252&gt;=3),"Very serious", AND(W252&gt;=$D$1,X252&lt;0,Y252&gt;$D$2,V252/U252&gt;=3),"Very serious", AND(W252&gt;$D$1*-1,W252&lt;$D$1,X252&gt;$D$1*-1,Y252&lt;$D$1,V252/U252&lt;3),"Not Serious", AND(W252&gt;$D$1*-1,W252&lt;$D$1,OR(X252&lt;=$D$1*-1,Y252&gt;=$D$1),X252&gt;$D$2*-1,Y252&lt;$D$2,V252/U252&lt;3),"Serious", AND(W252&gt;$D$1*-1,W252&lt;$D$1,OR(X252&lt;=$D$2*-1,Y252&gt;=$D$2),V252/U252&lt;3),"Very serious", AND(W252&gt;$D$1*-1,W252&lt;$D$1,X252&gt;$D$1*-1,Y252&lt;$D$1,V252/U252&gt;=3),"Very serious", AND(W252&gt;$D$1*-1,W252&lt;$D$1,OR(X252&lt;=$D$1*-1,Y252&gt;=$D$1),X252&gt;$D$2*-1,Y252&lt;$D$2,V252/U252&gt;=3),"Very serious", AND(W252&gt;$D$1*-1,W252&lt;$D$1,OR(X252&lt;=$D$2*-1,Y252&gt;=$D$2),V252/U252&gt;=3),"Very serious"),"")),"")</f>
        <v/>
      </c>
      <c r="AT252" s="109" t="str">
        <f t="shared" si="9"/>
        <v/>
      </c>
      <c r="AU252" s="64"/>
      <c r="AV252" s="83"/>
      <c r="AW252" s="83"/>
      <c r="AX252" s="83"/>
      <c r="AY252" s="83"/>
      <c r="AZ252" s="83"/>
      <c r="BA252" s="85"/>
      <c r="BB252" s="86" t="str">
        <f>IF(Preferences!B$9="Manual","",IFS(ISBLANK(B252),"",AND(ISNUMBER(E252)=TRUE,ISNUMBER(T252)=FALSE),"Direct", AND(ISNUMBER(E252)=FALSE,ISNUMBER(T252)=TRUE),"Indirect", CN252=4,"Direct",AND(CL252=FALSE, CM252=TRUE,CN252-CO252&gt;-1),"Direct", AND(CL252=FALSE,CM252=TRUE, CN252-CO252&lt;0),"Check algorithm in appendix 2", AND(CL252=TRUE, CM252=FALSE,CN252-CO252&gt;0),"Check algorithm in appendix 2", AND(CL252=TRUE, CM252=FALSE,CN252-CO252=0),"Indirect", AND(CL252=TRUE, CM252=FALSE,CN252-CO252&lt;0),"Indirect", AND(CL252=FALSE,CM252=FALSE,CN252-CO252&gt;-1),"Direct", AND(CL252=FALSE,CM252=FALSE,CN252-CO252&lt;0),"Check algorithm in appendix 2", AND(CL252=TRUE,CM252=TRUE,CN252-CO252&gt;-1),"Direct", AND(CL252=TRUE,CM252=TRUE,CN252-CO252&lt;0),"Check algorithm in appendix 2"))</f>
        <v/>
      </c>
      <c r="BC252" s="120" t="str">
        <f t="shared" si="10"/>
        <v/>
      </c>
      <c r="BD252" s="140"/>
      <c r="BE252" s="122" t="str">
        <f>IF(Preferences!B$3="Manual","", IFERROR(IFS(AND(Preferences!B$3="Automatic",AX252/AW252&gt;=30),"Extremely serious",AND(AY252&lt;=$D$1*-1,BA252&lt;0,AX252/AW252&lt;3),"Not Serious",AND(AY252&lt;=$D$1*-1,BA252&lt;0,AX252/AW252&gt;=3),"Very serious",AND(AY252&gt;=$D$1,AZ252&gt;0,AX252/AW252&lt;3),"Not Serious",AND(AY252&gt;=$D$1,AZ252&gt;0,AX252/AW252&gt;=3),"Very serious",AND(AY252&lt;=$D$1*-1,BA252&gt;0,AZ252&gt;$D$2*-1,AX252/AW252&lt;3),"Serious", AND(AY252&lt;=$D$1*-1,BA252&gt;0,AZ252&lt;$D$2*-1,AX252/AW252&lt;3),"Very serious", AND(AY252&gt;=$D$1,AZ252&lt;0,BA252&lt;$D$2,AX252/AW252&lt;3),"Serious",AND(AY252&gt;=$D$1,AZ252&lt;0,BA252&gt;$D$2,AX252/AW252&lt;3),"Very serious", AND(AY252&lt;=$D$1*-1,BA252&gt;0,AZ252&gt;$D$2*-1,AX252/AW252&gt;=3),"Very serious", AND(AY252&lt;=$D$1*-1,BA252&gt;0,AZ252&lt;$D$2*-1,AX252/AW252&gt;=3),"Very serious", AND(AY252&gt;=$D$1,AZ252&lt;0,BA252&lt;$D$2,AX252/AW252&gt;=3),"Very serious", AND(AY252&gt;=$D$1,AZ252&lt;0,BA252&gt;$D$2,AX252/AW252&gt;=3),"Very serious", AND(AY252&gt;$D$1*-1,AY252&lt;$D$1,AZ252&gt;$D$1*-1,BA252&lt;$D$1,AX252/AW252&lt;3),"Not Serious", AND(AY252&gt;$D$1*-1,AY252&lt;$D$1,OR(AZ252&lt;=$D$1*-1,BA252&gt;=$D$1),AZ252&gt;$D$2*-1,BA252&lt;$D$2,AX252/AW252&lt;3),"Serious", AND(AY252&gt;$D$1*-1,AY252&lt;$D$1,OR(AZ252&lt;=$D$2*-1,BA252&gt;=$D$2),AX252/AW252&lt;3),"Very serious", AND(AY252&gt;$D$1*-1,AY252&lt;$D$1,AZ252&gt;$D$1*-1,BA252&lt;$D$1,AX252/AW252&gt;=3),"Very serious", AND(AY252&gt;$D$1*-1,AY252&lt;$D$1,OR(AZ252&lt;=$D$1*-1,BA252&gt;=$D$1),AZ252&gt;$D$2*-1,BA252&lt;$D$2,AX252/AW252&gt;=3),"Very serious", AND(AY252&gt;$D$1*-1,AY252&lt;$D$1,OR(AZ252&lt;=$D$2*-1,BA252&gt;=$D$2),AX252/AW252&gt;=3),"Very serious"),""))</f>
        <v/>
      </c>
      <c r="BF252" s="107" t="str">
        <f t="shared" si="11"/>
        <v/>
      </c>
      <c r="BG252" s="94" t="str">
        <f t="shared" si="46"/>
        <v/>
      </c>
      <c r="BH252" s="64" t="str">
        <f t="shared" si="12"/>
        <v>#N/A</v>
      </c>
      <c r="BI252" s="64" t="str">
        <f t="shared" si="13"/>
        <v/>
      </c>
      <c r="BJ252" s="123" t="str">
        <f t="shared" si="14"/>
        <v>#N/A</v>
      </c>
      <c r="BK252" s="64" t="str">
        <f t="shared" si="50"/>
        <v>YES</v>
      </c>
      <c r="BL252" s="64" t="str">
        <f t="shared" si="16"/>
        <v>YES</v>
      </c>
      <c r="BM252" s="64" t="str">
        <f t="shared" si="17"/>
        <v>YES</v>
      </c>
      <c r="BN252" s="124" t="str">
        <f t="shared" si="18"/>
        <v/>
      </c>
      <c r="BO252" s="91" t="str">
        <f t="shared" si="19"/>
        <v/>
      </c>
      <c r="BP252" s="91" t="str">
        <f t="shared" si="20"/>
        <v>#N/A</v>
      </c>
      <c r="BQ252" s="91" t="str">
        <f t="shared" si="21"/>
        <v/>
      </c>
      <c r="BR252" s="93" t="str">
        <f t="shared" si="22"/>
        <v/>
      </c>
      <c r="BS252" s="90" t="str">
        <f t="shared" si="23"/>
        <v/>
      </c>
      <c r="BT252" s="93" t="str">
        <f t="shared" si="24"/>
        <v>NA</v>
      </c>
      <c r="BU252" s="125" t="str">
        <f t="shared" si="25"/>
        <v>#N/A</v>
      </c>
      <c r="BV252" s="93" t="str">
        <f t="shared" si="26"/>
        <v/>
      </c>
      <c r="BW252" s="93" t="str">
        <f t="shared" si="27"/>
        <v/>
      </c>
      <c r="BX252" s="93" t="str">
        <f t="shared" si="28"/>
        <v>NA</v>
      </c>
      <c r="BY252" s="95" t="str">
        <f t="shared" si="29"/>
        <v>#N/A</v>
      </c>
      <c r="BZ252" s="93" t="str">
        <f t="shared" si="30"/>
        <v/>
      </c>
      <c r="CA252" s="93" t="str">
        <f t="shared" si="31"/>
        <v/>
      </c>
      <c r="CB252" s="93" t="str">
        <f t="shared" si="32"/>
        <v>NA</v>
      </c>
      <c r="CC252" s="96" t="str">
        <f t="shared" si="33"/>
        <v>#N/A</v>
      </c>
      <c r="CD252" s="93" t="str">
        <f t="shared" si="34"/>
        <v/>
      </c>
      <c r="CE252" s="93" t="str">
        <f t="shared" si="35"/>
        <v/>
      </c>
      <c r="CF252" s="93" t="str">
        <f t="shared" si="36"/>
        <v>NA</v>
      </c>
      <c r="CG252" s="97" t="str">
        <f t="shared" si="37"/>
        <v>#N/A</v>
      </c>
      <c r="CH252" s="98" t="str">
        <f t="shared" si="38"/>
        <v>#N/A</v>
      </c>
      <c r="CI252" s="99" t="str">
        <f t="shared" si="39"/>
        <v>#N/A</v>
      </c>
      <c r="CJ252" s="126" t="str">
        <f t="shared" si="40"/>
        <v>ERROR: check cell</v>
      </c>
      <c r="CK252" s="126"/>
      <c r="CL252" s="127" t="str">
        <f t="shared" si="41"/>
        <v>#DIV/0!</v>
      </c>
      <c r="CM252" s="128" t="str">
        <f t="shared" si="42"/>
        <v>#DIV/0!</v>
      </c>
      <c r="CN252" s="128">
        <f t="shared" si="43"/>
        <v>4</v>
      </c>
      <c r="CO252" s="129">
        <f t="shared" si="44"/>
        <v>4</v>
      </c>
      <c r="CP252" s="129" t="str">
        <f>IFS(C252=Preferences!B$13,B252,B252=Preferences!B$13,C252)</f>
        <v>#N/A</v>
      </c>
    </row>
    <row r="253" ht="13.5" customHeight="1">
      <c r="A253" s="63" t="str">
        <f t="shared" si="45"/>
        <v/>
      </c>
      <c r="B253" s="64"/>
      <c r="C253" s="64"/>
      <c r="D253" s="64"/>
      <c r="E253" s="65"/>
      <c r="F253" s="65"/>
      <c r="G253" s="65"/>
      <c r="H253" s="66"/>
      <c r="I253" s="66"/>
      <c r="J253" s="67"/>
      <c r="K253" s="68"/>
      <c r="L253" s="104"/>
      <c r="M253" s="104"/>
      <c r="N253" s="104"/>
      <c r="O253" s="104"/>
      <c r="P253" s="107" t="str">
        <f t="shared" si="1"/>
        <v/>
      </c>
      <c r="Q253" s="108" t="str">
        <f>IFERROR(IF(AND(Preferences!B$3="Manual",OR(AX253/AW253&gt;G253/F253,BD253="Serious",BD253="Very serious")),"Assess imprecision",IFS(ISBLANK(E253),"",AND(Preferences!B$3="Automatic", G253/F253&gt;=30),"Extremely serious",AND(H253&lt;=$D$1*-1,J253&lt;0,G253/F253&lt;3),"Not serious",AND(H253&lt;=$D$1*-1,J253&lt;0,G253/F253&gt;=3),"Very serious",AND(H253&gt;=$D$1,I253&gt;0,G253/F253&lt;3),"Not serious",AND(H253&gt;=$D$1,I253&gt;0,G253/F253&gt;=3),"Very serious",AND(H253&lt;=$D$1*-1,J253&gt;0,I253&gt;$D$2*-1,G253/F253&lt;3),"Serious", AND(H253&lt;=$D$1*-1,J253&gt;0,I253&lt;$D$2*-1,G253/F253&lt;3),"Very serious", AND(H253&gt;=$D$1,I253&lt;0,J253&lt;$D$2,G253/F253&lt;3),"Serious",AND(H253&gt;=$D$1,I253&lt;0,J253&gt;$D$2,G253/F253&lt;3),"Very serious", AND(H253&lt;=$D$1*-1,J253&gt;0,I253&gt;$D$2*-1,G253/F253&gt;=3),"Very serious", AND(H253&lt;=$D$1*-1,J253&gt;0,I253&lt;$D$2*-1,G253/F253&gt;=3),"Very serious", AND(H253&gt;=$D$1,I253&lt;0,J253&lt;$D$2,G253/F253&gt;=3),"Very serious", AND(H253&gt;=$D$1,I253&lt;0,J253&gt;$D$2,G253/F253&gt;=3),"Very serious", AND(H253&gt;$D$1*-1,H253&lt;$D$1,I253&gt;$D$1*-1,J253&lt;$D$1,G253/F253&lt;3),"Not serious", AND(H253&gt;$D$1*-1,H253&lt;$D$1,OR(I253&lt;=$D$1*-1,J253&gt;=$D$1),I253&gt;$D$2*-1,J253&lt;$D$2,G253/F253&lt;3),"Serious", AND(H253&gt;$D$1*-1,H253&lt;$D$1,OR(I253&lt;=$D$2*-1,J253&gt;=$D$2),G253/F253&lt;3),"Very serious", AND(H253&gt;$D$1*-1,H253&lt;$D$1,I253&gt;$D$1*-1,J253&lt;$D$1,G253/F253&gt;=3),"Very serious", AND(H253&gt;$D$1*-1,H253&lt;$D$1,OR(I253&lt;=$D$1*-1,J253&gt;=$D$1),I253&gt;$D$2*-1,J253&lt;$D$2,G253/F253&gt;=3),"Very serious", AND(H253&gt;$D$1*-1,H253&lt;$D$1,OR(I253&lt;=$D$2*-1,J253&gt;=$D$2),G253/F253&gt;=3),"Very serious")),"")</f>
        <v/>
      </c>
      <c r="R253" s="109" t="str">
        <f t="shared" si="47"/>
        <v/>
      </c>
      <c r="S253" s="64"/>
      <c r="T253" s="72"/>
      <c r="U253" s="72"/>
      <c r="V253" s="72"/>
      <c r="W253" s="73"/>
      <c r="X253" s="73"/>
      <c r="Y253" s="74"/>
      <c r="Z253" s="113" t="str">
        <f t="array" ref="Z253">INDEX($A$1:$C$500, MATCH(1,($B:$B=$B253)*($C:$C=$AB253),0),1)</f>
        <v/>
      </c>
      <c r="AA253" s="113" t="str">
        <f t="array" ref="AA253">INDEX($A$1:$C$500, MATCH(1,($B:$B=$AB253)*($C:$C=$B253),0),1)</f>
        <v/>
      </c>
      <c r="AB253" s="111"/>
      <c r="AC253" s="114" t="str">
        <f t="shared" si="2"/>
        <v/>
      </c>
      <c r="AD253" s="115" t="str">
        <f t="shared" si="3"/>
        <v/>
      </c>
      <c r="AE253" s="116" t="str">
        <f t="array" ref="AE253">INDEX($A$1:$C$500, MATCH(1,($B:$B=$AB253)*($C:$C=$AG253),0),1)</f>
        <v/>
      </c>
      <c r="AF253" s="116" t="str">
        <f t="array" ref="AF253">INDEX($A$1:$C$500, MATCH(1,($B:$B=$AG253)*($C:$C=$AB253),0),1)</f>
        <v/>
      </c>
      <c r="AG253" s="72"/>
      <c r="AH253" s="114" t="str">
        <f t="shared" si="4"/>
        <v/>
      </c>
      <c r="AI253" s="115" t="str">
        <f t="shared" si="5"/>
        <v/>
      </c>
      <c r="AJ253" s="116" t="str">
        <f t="array" ref="AJ253">INDEX($A$1:$C$500, MATCH(1,($B:$B=$C253)*($C:$C=$AG253),0),1)</f>
        <v/>
      </c>
      <c r="AK253" s="116" t="str">
        <f t="array" ref="AK253">INDEX($A$1:$C$500, MATCH(1,($B:$B=$AG253)*($C:$C=$C253),0),1)</f>
        <v/>
      </c>
      <c r="AL253" s="116" t="str">
        <f t="array" ref="AL253">INDEX($A$1:$C$500, MATCH(1,($B:$B=$C253)*($C:$C=$AB253),0),1)</f>
        <v/>
      </c>
      <c r="AM253" s="116" t="str">
        <f t="array" ref="AM253">INDEX($A$1:$C$500, MATCH(1,($B:$B=$AB253)*($C:$C=$C253),0),1)</f>
        <v/>
      </c>
      <c r="AN253" s="114" t="str">
        <f t="array" ref="AN253">IFS(ISNUMBER(AJ253),AJ253,ISNUMBER(AK253),AK253,ISNUMBER(AL253),AL253,ISNUMBER(AM253),AM253)</f>
        <v>#N/A</v>
      </c>
      <c r="AO253" s="115" t="str">
        <f t="shared" si="6"/>
        <v/>
      </c>
      <c r="AP253" s="115" t="str">
        <f t="shared" si="7"/>
        <v/>
      </c>
      <c r="AQ253" s="111"/>
      <c r="AR253" s="109" t="str">
        <f t="shared" si="8"/>
        <v/>
      </c>
      <c r="AS253" s="72" t="str">
        <f>IFERROR(IF(AND(Preferences!B$3="Manual",OR(AX253/AW253&gt;V253/U253,BD253="Serious",BD253="Very serious")),"Assess imprecision",IFERROR(IFS(AND(Preferences!B$3="Automatic",V253/U253&gt;=30),"Extremely serious",AND(W253&lt;=$D$1*-1,Y253&lt;0,V253/U253&lt;3),"Not Serious",AND(W253&lt;=$D$1*-1,Y253&lt;0,V253/U253&gt;=3),"Very serious",AND(W253&gt;=$D$1,X253&gt;0,V253/U253&lt;3),"Not Serious",AND(W253&gt;=$D$1,X253&gt;0,V253/U253&gt;=3),"Very serious",AND(W253&lt;=$D$1*-1,Y253&gt;0,X253&gt;$D$2*-1,V253/U253&lt;3),"Serious", AND(W253&lt;=$D$1*-1,Y253&gt;0,X253&lt;$D$2*-1,V253/U253&lt;3),"Very serious", AND(W253&gt;=$D$1,X253&lt;0,Y253&lt;$D$2,V253/U253&lt;3),"Serious",AND(W253&gt;=$D$1,X253&lt;0,Y253&gt;$D$2,V253/U253&lt;3),"Very serious", AND(W253&lt;=$D$1*-1,Y253&gt;0,X253&gt;$D$2*-1,V253/U253&gt;=3),"Very serious", AND(W253&lt;=$D$1*-1,Y253&gt;0,X253&lt;$D$2*-1,V253/U253&gt;=3),"Very serious", AND(W253&gt;=$D$1,X253&lt;0,Y253&lt;$D$2,V253/U253&gt;=3),"Very serious", AND(W253&gt;=$D$1,X253&lt;0,Y253&gt;$D$2,V253/U253&gt;=3),"Very serious", AND(W253&gt;$D$1*-1,W253&lt;$D$1,X253&gt;$D$1*-1,Y253&lt;$D$1,V253/U253&lt;3),"Not Serious", AND(W253&gt;$D$1*-1,W253&lt;$D$1,OR(X253&lt;=$D$1*-1,Y253&gt;=$D$1),X253&gt;$D$2*-1,Y253&lt;$D$2,V253/U253&lt;3),"Serious", AND(W253&gt;$D$1*-1,W253&lt;$D$1,OR(X253&lt;=$D$2*-1,Y253&gt;=$D$2),V253/U253&lt;3),"Very serious", AND(W253&gt;$D$1*-1,W253&lt;$D$1,X253&gt;$D$1*-1,Y253&lt;$D$1,V253/U253&gt;=3),"Very serious", AND(W253&gt;$D$1*-1,W253&lt;$D$1,OR(X253&lt;=$D$1*-1,Y253&gt;=$D$1),X253&gt;$D$2*-1,Y253&lt;$D$2,V253/U253&gt;=3),"Very serious", AND(W253&gt;$D$1*-1,W253&lt;$D$1,OR(X253&lt;=$D$2*-1,Y253&gt;=$D$2),V253/U253&gt;=3),"Very serious"),"")),"")</f>
        <v/>
      </c>
      <c r="AT253" s="109" t="str">
        <f t="shared" si="9"/>
        <v/>
      </c>
      <c r="AU253" s="64"/>
      <c r="AV253" s="83"/>
      <c r="AW253" s="83"/>
      <c r="AX253" s="83"/>
      <c r="AY253" s="83"/>
      <c r="AZ253" s="83"/>
      <c r="BA253" s="85"/>
      <c r="BB253" s="86" t="str">
        <f>IF(Preferences!B$9="Manual","",IFS(ISBLANK(B253),"",AND(ISNUMBER(E253)=TRUE,ISNUMBER(T253)=FALSE),"Direct", AND(ISNUMBER(E253)=FALSE,ISNUMBER(T253)=TRUE),"Indirect", CN253=4,"Direct",AND(CL253=FALSE, CM253=TRUE,CN253-CO253&gt;-1),"Direct", AND(CL253=FALSE,CM253=TRUE, CN253-CO253&lt;0),"Check algorithm in appendix 2", AND(CL253=TRUE, CM253=FALSE,CN253-CO253&gt;0),"Check algorithm in appendix 2", AND(CL253=TRUE, CM253=FALSE,CN253-CO253=0),"Indirect", AND(CL253=TRUE, CM253=FALSE,CN253-CO253&lt;0),"Indirect", AND(CL253=FALSE,CM253=FALSE,CN253-CO253&gt;-1),"Direct", AND(CL253=FALSE,CM253=FALSE,CN253-CO253&lt;0),"Check algorithm in appendix 2", AND(CL253=TRUE,CM253=TRUE,CN253-CO253&gt;-1),"Direct", AND(CL253=TRUE,CM253=TRUE,CN253-CO253&lt;0),"Check algorithm in appendix 2"))</f>
        <v/>
      </c>
      <c r="BC253" s="120" t="str">
        <f t="shared" si="10"/>
        <v/>
      </c>
      <c r="BD253" s="140"/>
      <c r="BE253" s="122" t="str">
        <f>IF(Preferences!B$3="Manual","", IFERROR(IFS(AND(Preferences!B$3="Automatic",AX253/AW253&gt;=30),"Extremely serious",AND(AY253&lt;=$D$1*-1,BA253&lt;0,AX253/AW253&lt;3),"Not Serious",AND(AY253&lt;=$D$1*-1,BA253&lt;0,AX253/AW253&gt;=3),"Very serious",AND(AY253&gt;=$D$1,AZ253&gt;0,AX253/AW253&lt;3),"Not Serious",AND(AY253&gt;=$D$1,AZ253&gt;0,AX253/AW253&gt;=3),"Very serious",AND(AY253&lt;=$D$1*-1,BA253&gt;0,AZ253&gt;$D$2*-1,AX253/AW253&lt;3),"Serious", AND(AY253&lt;=$D$1*-1,BA253&gt;0,AZ253&lt;$D$2*-1,AX253/AW253&lt;3),"Very serious", AND(AY253&gt;=$D$1,AZ253&lt;0,BA253&lt;$D$2,AX253/AW253&lt;3),"Serious",AND(AY253&gt;=$D$1,AZ253&lt;0,BA253&gt;$D$2,AX253/AW253&lt;3),"Very serious", AND(AY253&lt;=$D$1*-1,BA253&gt;0,AZ253&gt;$D$2*-1,AX253/AW253&gt;=3),"Very serious", AND(AY253&lt;=$D$1*-1,BA253&gt;0,AZ253&lt;$D$2*-1,AX253/AW253&gt;=3),"Very serious", AND(AY253&gt;=$D$1,AZ253&lt;0,BA253&lt;$D$2,AX253/AW253&gt;=3),"Very serious", AND(AY253&gt;=$D$1,AZ253&lt;0,BA253&gt;$D$2,AX253/AW253&gt;=3),"Very serious", AND(AY253&gt;$D$1*-1,AY253&lt;$D$1,AZ253&gt;$D$1*-1,BA253&lt;$D$1,AX253/AW253&lt;3),"Not Serious", AND(AY253&gt;$D$1*-1,AY253&lt;$D$1,OR(AZ253&lt;=$D$1*-1,BA253&gt;=$D$1),AZ253&gt;$D$2*-1,BA253&lt;$D$2,AX253/AW253&lt;3),"Serious", AND(AY253&gt;$D$1*-1,AY253&lt;$D$1,OR(AZ253&lt;=$D$2*-1,BA253&gt;=$D$2),AX253/AW253&lt;3),"Very serious", AND(AY253&gt;$D$1*-1,AY253&lt;$D$1,AZ253&gt;$D$1*-1,BA253&lt;$D$1,AX253/AW253&gt;=3),"Very serious", AND(AY253&gt;$D$1*-1,AY253&lt;$D$1,OR(AZ253&lt;=$D$1*-1,BA253&gt;=$D$1),AZ253&gt;$D$2*-1,BA253&lt;$D$2,AX253/AW253&gt;=3),"Very serious", AND(AY253&gt;$D$1*-1,AY253&lt;$D$1,OR(AZ253&lt;=$D$2*-1,BA253&gt;=$D$2),AX253/AW253&gt;=3),"Very serious"),""))</f>
        <v/>
      </c>
      <c r="BF253" s="107" t="str">
        <f t="shared" si="11"/>
        <v/>
      </c>
      <c r="BG253" s="94" t="str">
        <f t="shared" si="46"/>
        <v/>
      </c>
      <c r="BH253" s="64" t="str">
        <f t="shared" si="12"/>
        <v>#N/A</v>
      </c>
      <c r="BI253" s="64" t="str">
        <f t="shared" si="13"/>
        <v/>
      </c>
      <c r="BJ253" s="123" t="str">
        <f t="shared" si="14"/>
        <v>#N/A</v>
      </c>
      <c r="BK253" s="64" t="str">
        <f t="shared" si="50"/>
        <v>YES</v>
      </c>
      <c r="BL253" s="64" t="str">
        <f t="shared" si="16"/>
        <v>YES</v>
      </c>
      <c r="BM253" s="64" t="str">
        <f t="shared" si="17"/>
        <v>YES</v>
      </c>
      <c r="BN253" s="124" t="str">
        <f t="shared" si="18"/>
        <v/>
      </c>
      <c r="BO253" s="91" t="str">
        <f t="shared" si="19"/>
        <v/>
      </c>
      <c r="BP253" s="91" t="str">
        <f t="shared" si="20"/>
        <v>#N/A</v>
      </c>
      <c r="BQ253" s="91" t="str">
        <f t="shared" si="21"/>
        <v/>
      </c>
      <c r="BR253" s="93" t="str">
        <f t="shared" si="22"/>
        <v/>
      </c>
      <c r="BS253" s="90" t="str">
        <f t="shared" si="23"/>
        <v/>
      </c>
      <c r="BT253" s="93" t="str">
        <f t="shared" si="24"/>
        <v>NA</v>
      </c>
      <c r="BU253" s="125" t="str">
        <f t="shared" si="25"/>
        <v>#N/A</v>
      </c>
      <c r="BV253" s="93" t="str">
        <f t="shared" si="26"/>
        <v/>
      </c>
      <c r="BW253" s="93" t="str">
        <f t="shared" si="27"/>
        <v/>
      </c>
      <c r="BX253" s="93" t="str">
        <f t="shared" si="28"/>
        <v>NA</v>
      </c>
      <c r="BY253" s="95" t="str">
        <f t="shared" si="29"/>
        <v>#N/A</v>
      </c>
      <c r="BZ253" s="93" t="str">
        <f t="shared" si="30"/>
        <v/>
      </c>
      <c r="CA253" s="93" t="str">
        <f t="shared" si="31"/>
        <v/>
      </c>
      <c r="CB253" s="93" t="str">
        <f t="shared" si="32"/>
        <v>NA</v>
      </c>
      <c r="CC253" s="96" t="str">
        <f t="shared" si="33"/>
        <v>#N/A</v>
      </c>
      <c r="CD253" s="93" t="str">
        <f t="shared" si="34"/>
        <v/>
      </c>
      <c r="CE253" s="93" t="str">
        <f t="shared" si="35"/>
        <v/>
      </c>
      <c r="CF253" s="93" t="str">
        <f t="shared" si="36"/>
        <v>NA</v>
      </c>
      <c r="CG253" s="97" t="str">
        <f t="shared" si="37"/>
        <v>#N/A</v>
      </c>
      <c r="CH253" s="98" t="str">
        <f t="shared" si="38"/>
        <v>#N/A</v>
      </c>
      <c r="CI253" s="99" t="str">
        <f t="shared" si="39"/>
        <v>#N/A</v>
      </c>
      <c r="CJ253" s="126" t="str">
        <f t="shared" si="40"/>
        <v>ERROR: check cell</v>
      </c>
      <c r="CK253" s="126"/>
      <c r="CL253" s="127" t="str">
        <f t="shared" si="41"/>
        <v>#DIV/0!</v>
      </c>
      <c r="CM253" s="128" t="str">
        <f t="shared" si="42"/>
        <v>#DIV/0!</v>
      </c>
      <c r="CN253" s="128">
        <f t="shared" si="43"/>
        <v>4</v>
      </c>
      <c r="CO253" s="129">
        <f t="shared" si="44"/>
        <v>4</v>
      </c>
      <c r="CP253" s="129" t="str">
        <f>IFS(C253=Preferences!B$13,B253,B253=Preferences!B$13,C253)</f>
        <v>#N/A</v>
      </c>
    </row>
    <row r="254" ht="13.5" customHeight="1">
      <c r="A254" s="63" t="str">
        <f t="shared" si="45"/>
        <v/>
      </c>
      <c r="B254" s="64"/>
      <c r="C254" s="64"/>
      <c r="D254" s="64"/>
      <c r="E254" s="65"/>
      <c r="F254" s="65"/>
      <c r="G254" s="65"/>
      <c r="H254" s="66"/>
      <c r="I254" s="66"/>
      <c r="J254" s="67"/>
      <c r="K254" s="68"/>
      <c r="L254" s="104"/>
      <c r="M254" s="104"/>
      <c r="N254" s="104"/>
      <c r="O254" s="104"/>
      <c r="P254" s="107" t="str">
        <f t="shared" si="1"/>
        <v/>
      </c>
      <c r="Q254" s="108" t="str">
        <f>IFERROR(IF(AND(Preferences!B$3="Manual",OR(AX254/AW254&gt;G254/F254,BD254="Serious",BD254="Very serious")),"Assess imprecision",IFS(ISBLANK(E254),"",AND(Preferences!B$3="Automatic", G254/F254&gt;=30),"Extremely serious",AND(H254&lt;=$D$1*-1,J254&lt;0,G254/F254&lt;3),"Not serious",AND(H254&lt;=$D$1*-1,J254&lt;0,G254/F254&gt;=3),"Very serious",AND(H254&gt;=$D$1,I254&gt;0,G254/F254&lt;3),"Not serious",AND(H254&gt;=$D$1,I254&gt;0,G254/F254&gt;=3),"Very serious",AND(H254&lt;=$D$1*-1,J254&gt;0,I254&gt;$D$2*-1,G254/F254&lt;3),"Serious", AND(H254&lt;=$D$1*-1,J254&gt;0,I254&lt;$D$2*-1,G254/F254&lt;3),"Very serious", AND(H254&gt;=$D$1,I254&lt;0,J254&lt;$D$2,G254/F254&lt;3),"Serious",AND(H254&gt;=$D$1,I254&lt;0,J254&gt;$D$2,G254/F254&lt;3),"Very serious", AND(H254&lt;=$D$1*-1,J254&gt;0,I254&gt;$D$2*-1,G254/F254&gt;=3),"Very serious", AND(H254&lt;=$D$1*-1,J254&gt;0,I254&lt;$D$2*-1,G254/F254&gt;=3),"Very serious", AND(H254&gt;=$D$1,I254&lt;0,J254&lt;$D$2,G254/F254&gt;=3),"Very serious", AND(H254&gt;=$D$1,I254&lt;0,J254&gt;$D$2,G254/F254&gt;=3),"Very serious", AND(H254&gt;$D$1*-1,H254&lt;$D$1,I254&gt;$D$1*-1,J254&lt;$D$1,G254/F254&lt;3),"Not serious", AND(H254&gt;$D$1*-1,H254&lt;$D$1,OR(I254&lt;=$D$1*-1,J254&gt;=$D$1),I254&gt;$D$2*-1,J254&lt;$D$2,G254/F254&lt;3),"Serious", AND(H254&gt;$D$1*-1,H254&lt;$D$1,OR(I254&lt;=$D$2*-1,J254&gt;=$D$2),G254/F254&lt;3),"Very serious", AND(H254&gt;$D$1*-1,H254&lt;$D$1,I254&gt;$D$1*-1,J254&lt;$D$1,G254/F254&gt;=3),"Very serious", AND(H254&gt;$D$1*-1,H254&lt;$D$1,OR(I254&lt;=$D$1*-1,J254&gt;=$D$1),I254&gt;$D$2*-1,J254&lt;$D$2,G254/F254&gt;=3),"Very serious", AND(H254&gt;$D$1*-1,H254&lt;$D$1,OR(I254&lt;=$D$2*-1,J254&gt;=$D$2),G254/F254&gt;=3),"Very serious")),"")</f>
        <v/>
      </c>
      <c r="R254" s="109" t="str">
        <f t="shared" si="47"/>
        <v/>
      </c>
      <c r="S254" s="64"/>
      <c r="T254" s="72"/>
      <c r="U254" s="72"/>
      <c r="V254" s="72"/>
      <c r="W254" s="73"/>
      <c r="X254" s="73"/>
      <c r="Y254" s="74"/>
      <c r="Z254" s="113" t="str">
        <f t="array" ref="Z254">INDEX($A$1:$C$500, MATCH(1,($B:$B=$B254)*($C:$C=$AB254),0),1)</f>
        <v/>
      </c>
      <c r="AA254" s="113" t="str">
        <f t="array" ref="AA254">INDEX($A$1:$C$500, MATCH(1,($B:$B=$AB254)*($C:$C=$B254),0),1)</f>
        <v/>
      </c>
      <c r="AB254" s="111"/>
      <c r="AC254" s="114" t="str">
        <f t="shared" si="2"/>
        <v/>
      </c>
      <c r="AD254" s="115" t="str">
        <f t="shared" si="3"/>
        <v/>
      </c>
      <c r="AE254" s="116" t="str">
        <f t="array" ref="AE254">INDEX($A$1:$C$500, MATCH(1,($B:$B=$AB254)*($C:$C=$AG254),0),1)</f>
        <v/>
      </c>
      <c r="AF254" s="116" t="str">
        <f t="array" ref="AF254">INDEX($A$1:$C$500, MATCH(1,($B:$B=$AG254)*($C:$C=$AB254),0),1)</f>
        <v/>
      </c>
      <c r="AG254" s="72"/>
      <c r="AH254" s="114" t="str">
        <f t="shared" si="4"/>
        <v/>
      </c>
      <c r="AI254" s="115" t="str">
        <f t="shared" si="5"/>
        <v/>
      </c>
      <c r="AJ254" s="116" t="str">
        <f t="array" ref="AJ254">INDEX($A$1:$C$500, MATCH(1,($B:$B=$C254)*($C:$C=$AG254),0),1)</f>
        <v/>
      </c>
      <c r="AK254" s="116" t="str">
        <f t="array" ref="AK254">INDEX($A$1:$C$500, MATCH(1,($B:$B=$AG254)*($C:$C=$C254),0),1)</f>
        <v/>
      </c>
      <c r="AL254" s="116" t="str">
        <f t="array" ref="AL254">INDEX($A$1:$C$500, MATCH(1,($B:$B=$C254)*($C:$C=$AB254),0),1)</f>
        <v/>
      </c>
      <c r="AM254" s="116" t="str">
        <f t="array" ref="AM254">INDEX($A$1:$C$500, MATCH(1,($B:$B=$AB254)*($C:$C=$C254),0),1)</f>
        <v/>
      </c>
      <c r="AN254" s="114" t="str">
        <f t="array" ref="AN254">IFS(ISNUMBER(AJ254),AJ254,ISNUMBER(AK254),AK254,ISNUMBER(AL254),AL254,ISNUMBER(AM254),AM254)</f>
        <v>#N/A</v>
      </c>
      <c r="AO254" s="115" t="str">
        <f t="shared" si="6"/>
        <v/>
      </c>
      <c r="AP254" s="115" t="str">
        <f t="shared" si="7"/>
        <v/>
      </c>
      <c r="AQ254" s="111"/>
      <c r="AR254" s="109" t="str">
        <f t="shared" si="8"/>
        <v/>
      </c>
      <c r="AS254" s="72" t="str">
        <f>IFERROR(IF(AND(Preferences!B$3="Manual",OR(AX254/AW254&gt;V254/U254,BD254="Serious",BD254="Very serious")),"Assess imprecision",IFERROR(IFS(AND(Preferences!B$3="Automatic",V254/U254&gt;=30),"Extremely serious",AND(W254&lt;=$D$1*-1,Y254&lt;0,V254/U254&lt;3),"Not Serious",AND(W254&lt;=$D$1*-1,Y254&lt;0,V254/U254&gt;=3),"Very serious",AND(W254&gt;=$D$1,X254&gt;0,V254/U254&lt;3),"Not Serious",AND(W254&gt;=$D$1,X254&gt;0,V254/U254&gt;=3),"Very serious",AND(W254&lt;=$D$1*-1,Y254&gt;0,X254&gt;$D$2*-1,V254/U254&lt;3),"Serious", AND(W254&lt;=$D$1*-1,Y254&gt;0,X254&lt;$D$2*-1,V254/U254&lt;3),"Very serious", AND(W254&gt;=$D$1,X254&lt;0,Y254&lt;$D$2,V254/U254&lt;3),"Serious",AND(W254&gt;=$D$1,X254&lt;0,Y254&gt;$D$2,V254/U254&lt;3),"Very serious", AND(W254&lt;=$D$1*-1,Y254&gt;0,X254&gt;$D$2*-1,V254/U254&gt;=3),"Very serious", AND(W254&lt;=$D$1*-1,Y254&gt;0,X254&lt;$D$2*-1,V254/U254&gt;=3),"Very serious", AND(W254&gt;=$D$1,X254&lt;0,Y254&lt;$D$2,V254/U254&gt;=3),"Very serious", AND(W254&gt;=$D$1,X254&lt;0,Y254&gt;$D$2,V254/U254&gt;=3),"Very serious", AND(W254&gt;$D$1*-1,W254&lt;$D$1,X254&gt;$D$1*-1,Y254&lt;$D$1,V254/U254&lt;3),"Not Serious", AND(W254&gt;$D$1*-1,W254&lt;$D$1,OR(X254&lt;=$D$1*-1,Y254&gt;=$D$1),X254&gt;$D$2*-1,Y254&lt;$D$2,V254/U254&lt;3),"Serious", AND(W254&gt;$D$1*-1,W254&lt;$D$1,OR(X254&lt;=$D$2*-1,Y254&gt;=$D$2),V254/U254&lt;3),"Very serious", AND(W254&gt;$D$1*-1,W254&lt;$D$1,X254&gt;$D$1*-1,Y254&lt;$D$1,V254/U254&gt;=3),"Very serious", AND(W254&gt;$D$1*-1,W254&lt;$D$1,OR(X254&lt;=$D$1*-1,Y254&gt;=$D$1),X254&gt;$D$2*-1,Y254&lt;$D$2,V254/U254&gt;=3),"Very serious", AND(W254&gt;$D$1*-1,W254&lt;$D$1,OR(X254&lt;=$D$2*-1,Y254&gt;=$D$2),V254/U254&gt;=3),"Very serious"),"")),"")</f>
        <v/>
      </c>
      <c r="AT254" s="109" t="str">
        <f t="shared" si="9"/>
        <v/>
      </c>
      <c r="AU254" s="64"/>
      <c r="AV254" s="83"/>
      <c r="AW254" s="83"/>
      <c r="AX254" s="83"/>
      <c r="AY254" s="83"/>
      <c r="AZ254" s="83"/>
      <c r="BA254" s="85"/>
      <c r="BB254" s="86" t="str">
        <f>IF(Preferences!B$9="Manual","",IFS(ISBLANK(B254),"",AND(ISNUMBER(E254)=TRUE,ISNUMBER(T254)=FALSE),"Direct", AND(ISNUMBER(E254)=FALSE,ISNUMBER(T254)=TRUE),"Indirect", CN254=4,"Direct",AND(CL254=FALSE, CM254=TRUE,CN254-CO254&gt;-1),"Direct", AND(CL254=FALSE,CM254=TRUE, CN254-CO254&lt;0),"Check algorithm in appendix 2", AND(CL254=TRUE, CM254=FALSE,CN254-CO254&gt;0),"Check algorithm in appendix 2", AND(CL254=TRUE, CM254=FALSE,CN254-CO254=0),"Indirect", AND(CL254=TRUE, CM254=FALSE,CN254-CO254&lt;0),"Indirect", AND(CL254=FALSE,CM254=FALSE,CN254-CO254&gt;-1),"Direct", AND(CL254=FALSE,CM254=FALSE,CN254-CO254&lt;0),"Check algorithm in appendix 2", AND(CL254=TRUE,CM254=TRUE,CN254-CO254&gt;-1),"Direct", AND(CL254=TRUE,CM254=TRUE,CN254-CO254&lt;0),"Check algorithm in appendix 2"))</f>
        <v/>
      </c>
      <c r="BC254" s="120" t="str">
        <f t="shared" si="10"/>
        <v/>
      </c>
      <c r="BD254" s="140"/>
      <c r="BE254" s="122" t="str">
        <f>IF(Preferences!B$3="Manual","", IFERROR(IFS(AND(Preferences!B$3="Automatic",AX254/AW254&gt;=30),"Extremely serious",AND(AY254&lt;=$D$1*-1,BA254&lt;0,AX254/AW254&lt;3),"Not Serious",AND(AY254&lt;=$D$1*-1,BA254&lt;0,AX254/AW254&gt;=3),"Very serious",AND(AY254&gt;=$D$1,AZ254&gt;0,AX254/AW254&lt;3),"Not Serious",AND(AY254&gt;=$D$1,AZ254&gt;0,AX254/AW254&gt;=3),"Very serious",AND(AY254&lt;=$D$1*-1,BA254&gt;0,AZ254&gt;$D$2*-1,AX254/AW254&lt;3),"Serious", AND(AY254&lt;=$D$1*-1,BA254&gt;0,AZ254&lt;$D$2*-1,AX254/AW254&lt;3),"Very serious", AND(AY254&gt;=$D$1,AZ254&lt;0,BA254&lt;$D$2,AX254/AW254&lt;3),"Serious",AND(AY254&gt;=$D$1,AZ254&lt;0,BA254&gt;$D$2,AX254/AW254&lt;3),"Very serious", AND(AY254&lt;=$D$1*-1,BA254&gt;0,AZ254&gt;$D$2*-1,AX254/AW254&gt;=3),"Very serious", AND(AY254&lt;=$D$1*-1,BA254&gt;0,AZ254&lt;$D$2*-1,AX254/AW254&gt;=3),"Very serious", AND(AY254&gt;=$D$1,AZ254&lt;0,BA254&lt;$D$2,AX254/AW254&gt;=3),"Very serious", AND(AY254&gt;=$D$1,AZ254&lt;0,BA254&gt;$D$2,AX254/AW254&gt;=3),"Very serious", AND(AY254&gt;$D$1*-1,AY254&lt;$D$1,AZ254&gt;$D$1*-1,BA254&lt;$D$1,AX254/AW254&lt;3),"Not Serious", AND(AY254&gt;$D$1*-1,AY254&lt;$D$1,OR(AZ254&lt;=$D$1*-1,BA254&gt;=$D$1),AZ254&gt;$D$2*-1,BA254&lt;$D$2,AX254/AW254&lt;3),"Serious", AND(AY254&gt;$D$1*-1,AY254&lt;$D$1,OR(AZ254&lt;=$D$2*-1,BA254&gt;=$D$2),AX254/AW254&lt;3),"Very serious", AND(AY254&gt;$D$1*-1,AY254&lt;$D$1,AZ254&gt;$D$1*-1,BA254&lt;$D$1,AX254/AW254&gt;=3),"Very serious", AND(AY254&gt;$D$1*-1,AY254&lt;$D$1,OR(AZ254&lt;=$D$1*-1,BA254&gt;=$D$1),AZ254&gt;$D$2*-1,BA254&lt;$D$2,AX254/AW254&gt;=3),"Very serious", AND(AY254&gt;$D$1*-1,AY254&lt;$D$1,OR(AZ254&lt;=$D$2*-1,BA254&gt;=$D$2),AX254/AW254&gt;=3),"Very serious"),""))</f>
        <v/>
      </c>
      <c r="BF254" s="107" t="str">
        <f t="shared" si="11"/>
        <v/>
      </c>
      <c r="BG254" s="94" t="str">
        <f t="shared" si="46"/>
        <v/>
      </c>
      <c r="BH254" s="64" t="str">
        <f t="shared" si="12"/>
        <v>#N/A</v>
      </c>
      <c r="BI254" s="64" t="str">
        <f t="shared" si="13"/>
        <v/>
      </c>
      <c r="BJ254" s="123" t="str">
        <f t="shared" si="14"/>
        <v>#N/A</v>
      </c>
      <c r="BK254" s="64" t="str">
        <f t="shared" si="50"/>
        <v>YES</v>
      </c>
      <c r="BL254" s="64" t="str">
        <f t="shared" si="16"/>
        <v>YES</v>
      </c>
      <c r="BM254" s="64" t="str">
        <f t="shared" si="17"/>
        <v>YES</v>
      </c>
      <c r="BN254" s="124" t="str">
        <f t="shared" si="18"/>
        <v/>
      </c>
      <c r="BO254" s="91" t="str">
        <f t="shared" si="19"/>
        <v/>
      </c>
      <c r="BP254" s="91" t="str">
        <f t="shared" si="20"/>
        <v>#N/A</v>
      </c>
      <c r="BQ254" s="91" t="str">
        <f t="shared" si="21"/>
        <v/>
      </c>
      <c r="BR254" s="93" t="str">
        <f t="shared" si="22"/>
        <v/>
      </c>
      <c r="BS254" s="90" t="str">
        <f t="shared" si="23"/>
        <v/>
      </c>
      <c r="BT254" s="93" t="str">
        <f t="shared" si="24"/>
        <v>NA</v>
      </c>
      <c r="BU254" s="125" t="str">
        <f t="shared" si="25"/>
        <v>#N/A</v>
      </c>
      <c r="BV254" s="93" t="str">
        <f t="shared" si="26"/>
        <v/>
      </c>
      <c r="BW254" s="93" t="str">
        <f t="shared" si="27"/>
        <v/>
      </c>
      <c r="BX254" s="93" t="str">
        <f t="shared" si="28"/>
        <v>NA</v>
      </c>
      <c r="BY254" s="95" t="str">
        <f t="shared" si="29"/>
        <v>#N/A</v>
      </c>
      <c r="BZ254" s="93" t="str">
        <f t="shared" si="30"/>
        <v/>
      </c>
      <c r="CA254" s="93" t="str">
        <f t="shared" si="31"/>
        <v/>
      </c>
      <c r="CB254" s="93" t="str">
        <f t="shared" si="32"/>
        <v>NA</v>
      </c>
      <c r="CC254" s="96" t="str">
        <f t="shared" si="33"/>
        <v>#N/A</v>
      </c>
      <c r="CD254" s="93" t="str">
        <f t="shared" si="34"/>
        <v/>
      </c>
      <c r="CE254" s="93" t="str">
        <f t="shared" si="35"/>
        <v/>
      </c>
      <c r="CF254" s="93" t="str">
        <f t="shared" si="36"/>
        <v>NA</v>
      </c>
      <c r="CG254" s="97" t="str">
        <f t="shared" si="37"/>
        <v>#N/A</v>
      </c>
      <c r="CH254" s="98" t="str">
        <f t="shared" si="38"/>
        <v>#N/A</v>
      </c>
      <c r="CI254" s="99" t="str">
        <f t="shared" si="39"/>
        <v>#N/A</v>
      </c>
      <c r="CJ254" s="126" t="str">
        <f t="shared" si="40"/>
        <v>ERROR: check cell</v>
      </c>
      <c r="CK254" s="126"/>
      <c r="CL254" s="127" t="str">
        <f t="shared" si="41"/>
        <v>#DIV/0!</v>
      </c>
      <c r="CM254" s="128" t="str">
        <f t="shared" si="42"/>
        <v>#DIV/0!</v>
      </c>
      <c r="CN254" s="128">
        <f t="shared" si="43"/>
        <v>4</v>
      </c>
      <c r="CO254" s="129">
        <f t="shared" si="44"/>
        <v>4</v>
      </c>
      <c r="CP254" s="129" t="str">
        <f>IFS(C254=Preferences!B$13,B254,B254=Preferences!B$13,C254)</f>
        <v>#N/A</v>
      </c>
    </row>
    <row r="255" ht="13.5" customHeight="1">
      <c r="A255" s="63" t="str">
        <f t="shared" si="45"/>
        <v/>
      </c>
      <c r="B255" s="64"/>
      <c r="C255" s="64"/>
      <c r="D255" s="64"/>
      <c r="E255" s="65"/>
      <c r="F255" s="65"/>
      <c r="G255" s="65"/>
      <c r="H255" s="66"/>
      <c r="I255" s="66"/>
      <c r="J255" s="67"/>
      <c r="K255" s="68"/>
      <c r="L255" s="104"/>
      <c r="M255" s="104"/>
      <c r="N255" s="104"/>
      <c r="O255" s="104"/>
      <c r="P255" s="107" t="str">
        <f t="shared" si="1"/>
        <v/>
      </c>
      <c r="Q255" s="108" t="str">
        <f>IFERROR(IF(AND(Preferences!B$3="Manual",OR(AX255/AW255&gt;G255/F255,BD255="Serious",BD255="Very serious")),"Assess imprecision",IFS(ISBLANK(E255),"",AND(Preferences!B$3="Automatic", G255/F255&gt;=30),"Extremely serious",AND(H255&lt;=$D$1*-1,J255&lt;0,G255/F255&lt;3),"Not serious",AND(H255&lt;=$D$1*-1,J255&lt;0,G255/F255&gt;=3),"Very serious",AND(H255&gt;=$D$1,I255&gt;0,G255/F255&lt;3),"Not serious",AND(H255&gt;=$D$1,I255&gt;0,G255/F255&gt;=3),"Very serious",AND(H255&lt;=$D$1*-1,J255&gt;0,I255&gt;$D$2*-1,G255/F255&lt;3),"Serious", AND(H255&lt;=$D$1*-1,J255&gt;0,I255&lt;$D$2*-1,G255/F255&lt;3),"Very serious", AND(H255&gt;=$D$1,I255&lt;0,J255&lt;$D$2,G255/F255&lt;3),"Serious",AND(H255&gt;=$D$1,I255&lt;0,J255&gt;$D$2,G255/F255&lt;3),"Very serious", AND(H255&lt;=$D$1*-1,J255&gt;0,I255&gt;$D$2*-1,G255/F255&gt;=3),"Very serious", AND(H255&lt;=$D$1*-1,J255&gt;0,I255&lt;$D$2*-1,G255/F255&gt;=3),"Very serious", AND(H255&gt;=$D$1,I255&lt;0,J255&lt;$D$2,G255/F255&gt;=3),"Very serious", AND(H255&gt;=$D$1,I255&lt;0,J255&gt;$D$2,G255/F255&gt;=3),"Very serious", AND(H255&gt;$D$1*-1,H255&lt;$D$1,I255&gt;$D$1*-1,J255&lt;$D$1,G255/F255&lt;3),"Not serious", AND(H255&gt;$D$1*-1,H255&lt;$D$1,OR(I255&lt;=$D$1*-1,J255&gt;=$D$1),I255&gt;$D$2*-1,J255&lt;$D$2,G255/F255&lt;3),"Serious", AND(H255&gt;$D$1*-1,H255&lt;$D$1,OR(I255&lt;=$D$2*-1,J255&gt;=$D$2),G255/F255&lt;3),"Very serious", AND(H255&gt;$D$1*-1,H255&lt;$D$1,I255&gt;$D$1*-1,J255&lt;$D$1,G255/F255&gt;=3),"Very serious", AND(H255&gt;$D$1*-1,H255&lt;$D$1,OR(I255&lt;=$D$1*-1,J255&gt;=$D$1),I255&gt;$D$2*-1,J255&lt;$D$2,G255/F255&gt;=3),"Very serious", AND(H255&gt;$D$1*-1,H255&lt;$D$1,OR(I255&lt;=$D$2*-1,J255&gt;=$D$2),G255/F255&gt;=3),"Very serious")),"")</f>
        <v/>
      </c>
      <c r="R255" s="109" t="str">
        <f t="shared" si="47"/>
        <v/>
      </c>
      <c r="S255" s="64"/>
      <c r="T255" s="72"/>
      <c r="U255" s="72"/>
      <c r="V255" s="72"/>
      <c r="W255" s="73"/>
      <c r="X255" s="73"/>
      <c r="Y255" s="74"/>
      <c r="Z255" s="113" t="str">
        <f t="array" ref="Z255">INDEX($A$1:$C$500, MATCH(1,($B:$B=$B255)*($C:$C=$AB255),0),1)</f>
        <v/>
      </c>
      <c r="AA255" s="113" t="str">
        <f t="array" ref="AA255">INDEX($A$1:$C$500, MATCH(1,($B:$B=$AB255)*($C:$C=$B255),0),1)</f>
        <v/>
      </c>
      <c r="AB255" s="111"/>
      <c r="AC255" s="114" t="str">
        <f t="shared" si="2"/>
        <v/>
      </c>
      <c r="AD255" s="115" t="str">
        <f t="shared" si="3"/>
        <v/>
      </c>
      <c r="AE255" s="116" t="str">
        <f t="array" ref="AE255">INDEX($A$1:$C$500, MATCH(1,($B:$B=$AB255)*($C:$C=$AG255),0),1)</f>
        <v/>
      </c>
      <c r="AF255" s="116" t="str">
        <f t="array" ref="AF255">INDEX($A$1:$C$500, MATCH(1,($B:$B=$AG255)*($C:$C=$AB255),0),1)</f>
        <v/>
      </c>
      <c r="AG255" s="72"/>
      <c r="AH255" s="114" t="str">
        <f t="shared" si="4"/>
        <v/>
      </c>
      <c r="AI255" s="115" t="str">
        <f t="shared" si="5"/>
        <v/>
      </c>
      <c r="AJ255" s="116" t="str">
        <f t="array" ref="AJ255">INDEX($A$1:$C$500, MATCH(1,($B:$B=$C255)*($C:$C=$AG255),0),1)</f>
        <v/>
      </c>
      <c r="AK255" s="116" t="str">
        <f t="array" ref="AK255">INDEX($A$1:$C$500, MATCH(1,($B:$B=$AG255)*($C:$C=$C255),0),1)</f>
        <v/>
      </c>
      <c r="AL255" s="116" t="str">
        <f t="array" ref="AL255">INDEX($A$1:$C$500, MATCH(1,($B:$B=$C255)*($C:$C=$AB255),0),1)</f>
        <v/>
      </c>
      <c r="AM255" s="116" t="str">
        <f t="array" ref="AM255">INDEX($A$1:$C$500, MATCH(1,($B:$B=$AB255)*($C:$C=$C255),0),1)</f>
        <v/>
      </c>
      <c r="AN255" s="114" t="str">
        <f t="array" ref="AN255">IFS(ISNUMBER(AJ255),AJ255,ISNUMBER(AK255),AK255,ISNUMBER(AL255),AL255,ISNUMBER(AM255),AM255)</f>
        <v>#N/A</v>
      </c>
      <c r="AO255" s="115" t="str">
        <f t="shared" si="6"/>
        <v/>
      </c>
      <c r="AP255" s="115" t="str">
        <f t="shared" si="7"/>
        <v/>
      </c>
      <c r="AQ255" s="111"/>
      <c r="AR255" s="109" t="str">
        <f t="shared" si="8"/>
        <v/>
      </c>
      <c r="AS255" s="72" t="str">
        <f>IFERROR(IF(AND(Preferences!B$3="Manual",OR(AX255/AW255&gt;V255/U255,BD255="Serious",BD255="Very serious")),"Assess imprecision",IFERROR(IFS(AND(Preferences!B$3="Automatic",V255/U255&gt;=30),"Extremely serious",AND(W255&lt;=$D$1*-1,Y255&lt;0,V255/U255&lt;3),"Not Serious",AND(W255&lt;=$D$1*-1,Y255&lt;0,V255/U255&gt;=3),"Very serious",AND(W255&gt;=$D$1,X255&gt;0,V255/U255&lt;3),"Not Serious",AND(W255&gt;=$D$1,X255&gt;0,V255/U255&gt;=3),"Very serious",AND(W255&lt;=$D$1*-1,Y255&gt;0,X255&gt;$D$2*-1,V255/U255&lt;3),"Serious", AND(W255&lt;=$D$1*-1,Y255&gt;0,X255&lt;$D$2*-1,V255/U255&lt;3),"Very serious", AND(W255&gt;=$D$1,X255&lt;0,Y255&lt;$D$2,V255/U255&lt;3),"Serious",AND(W255&gt;=$D$1,X255&lt;0,Y255&gt;$D$2,V255/U255&lt;3),"Very serious", AND(W255&lt;=$D$1*-1,Y255&gt;0,X255&gt;$D$2*-1,V255/U255&gt;=3),"Very serious", AND(W255&lt;=$D$1*-1,Y255&gt;0,X255&lt;$D$2*-1,V255/U255&gt;=3),"Very serious", AND(W255&gt;=$D$1,X255&lt;0,Y255&lt;$D$2,V255/U255&gt;=3),"Very serious", AND(W255&gt;=$D$1,X255&lt;0,Y255&gt;$D$2,V255/U255&gt;=3),"Very serious", AND(W255&gt;$D$1*-1,W255&lt;$D$1,X255&gt;$D$1*-1,Y255&lt;$D$1,V255/U255&lt;3),"Not Serious", AND(W255&gt;$D$1*-1,W255&lt;$D$1,OR(X255&lt;=$D$1*-1,Y255&gt;=$D$1),X255&gt;$D$2*-1,Y255&lt;$D$2,V255/U255&lt;3),"Serious", AND(W255&gt;$D$1*-1,W255&lt;$D$1,OR(X255&lt;=$D$2*-1,Y255&gt;=$D$2),V255/U255&lt;3),"Very serious", AND(W255&gt;$D$1*-1,W255&lt;$D$1,X255&gt;$D$1*-1,Y255&lt;$D$1,V255/U255&gt;=3),"Very serious", AND(W255&gt;$D$1*-1,W255&lt;$D$1,OR(X255&lt;=$D$1*-1,Y255&gt;=$D$1),X255&gt;$D$2*-1,Y255&lt;$D$2,V255/U255&gt;=3),"Very serious", AND(W255&gt;$D$1*-1,W255&lt;$D$1,OR(X255&lt;=$D$2*-1,Y255&gt;=$D$2),V255/U255&gt;=3),"Very serious"),"")),"")</f>
        <v/>
      </c>
      <c r="AT255" s="109" t="str">
        <f t="shared" si="9"/>
        <v/>
      </c>
      <c r="AU255" s="64"/>
      <c r="AV255" s="83"/>
      <c r="AW255" s="83"/>
      <c r="AX255" s="83"/>
      <c r="AY255" s="83"/>
      <c r="AZ255" s="83"/>
      <c r="BA255" s="85"/>
      <c r="BB255" s="86" t="str">
        <f>IF(Preferences!B$9="Manual","",IFS(ISBLANK(B255),"",AND(ISNUMBER(E255)=TRUE,ISNUMBER(T255)=FALSE),"Direct", AND(ISNUMBER(E255)=FALSE,ISNUMBER(T255)=TRUE),"Indirect", CN255=4,"Direct",AND(CL255=FALSE, CM255=TRUE,CN255-CO255&gt;-1),"Direct", AND(CL255=FALSE,CM255=TRUE, CN255-CO255&lt;0),"Check algorithm in appendix 2", AND(CL255=TRUE, CM255=FALSE,CN255-CO255&gt;0),"Check algorithm in appendix 2", AND(CL255=TRUE, CM255=FALSE,CN255-CO255=0),"Indirect", AND(CL255=TRUE, CM255=FALSE,CN255-CO255&lt;0),"Indirect", AND(CL255=FALSE,CM255=FALSE,CN255-CO255&gt;-1),"Direct", AND(CL255=FALSE,CM255=FALSE,CN255-CO255&lt;0),"Check algorithm in appendix 2", AND(CL255=TRUE,CM255=TRUE,CN255-CO255&gt;-1),"Direct", AND(CL255=TRUE,CM255=TRUE,CN255-CO255&lt;0),"Check algorithm in appendix 2"))</f>
        <v/>
      </c>
      <c r="BC255" s="120" t="str">
        <f t="shared" si="10"/>
        <v/>
      </c>
      <c r="BD255" s="140"/>
      <c r="BE255" s="122" t="str">
        <f>IF(Preferences!B$3="Manual","", IFERROR(IFS(AND(Preferences!B$3="Automatic",AX255/AW255&gt;=30),"Extremely serious",AND(AY255&lt;=$D$1*-1,BA255&lt;0,AX255/AW255&lt;3),"Not Serious",AND(AY255&lt;=$D$1*-1,BA255&lt;0,AX255/AW255&gt;=3),"Very serious",AND(AY255&gt;=$D$1,AZ255&gt;0,AX255/AW255&lt;3),"Not Serious",AND(AY255&gt;=$D$1,AZ255&gt;0,AX255/AW255&gt;=3),"Very serious",AND(AY255&lt;=$D$1*-1,BA255&gt;0,AZ255&gt;$D$2*-1,AX255/AW255&lt;3),"Serious", AND(AY255&lt;=$D$1*-1,BA255&gt;0,AZ255&lt;$D$2*-1,AX255/AW255&lt;3),"Very serious", AND(AY255&gt;=$D$1,AZ255&lt;0,BA255&lt;$D$2,AX255/AW255&lt;3),"Serious",AND(AY255&gt;=$D$1,AZ255&lt;0,BA255&gt;$D$2,AX255/AW255&lt;3),"Very serious", AND(AY255&lt;=$D$1*-1,BA255&gt;0,AZ255&gt;$D$2*-1,AX255/AW255&gt;=3),"Very serious", AND(AY255&lt;=$D$1*-1,BA255&gt;0,AZ255&lt;$D$2*-1,AX255/AW255&gt;=3),"Very serious", AND(AY255&gt;=$D$1,AZ255&lt;0,BA255&lt;$D$2,AX255/AW255&gt;=3),"Very serious", AND(AY255&gt;=$D$1,AZ255&lt;0,BA255&gt;$D$2,AX255/AW255&gt;=3),"Very serious", AND(AY255&gt;$D$1*-1,AY255&lt;$D$1,AZ255&gt;$D$1*-1,BA255&lt;$D$1,AX255/AW255&lt;3),"Not Serious", AND(AY255&gt;$D$1*-1,AY255&lt;$D$1,OR(AZ255&lt;=$D$1*-1,BA255&gt;=$D$1),AZ255&gt;$D$2*-1,BA255&lt;$D$2,AX255/AW255&lt;3),"Serious", AND(AY255&gt;$D$1*-1,AY255&lt;$D$1,OR(AZ255&lt;=$D$2*-1,BA255&gt;=$D$2),AX255/AW255&lt;3),"Very serious", AND(AY255&gt;$D$1*-1,AY255&lt;$D$1,AZ255&gt;$D$1*-1,BA255&lt;$D$1,AX255/AW255&gt;=3),"Very serious", AND(AY255&gt;$D$1*-1,AY255&lt;$D$1,OR(AZ255&lt;=$D$1*-1,BA255&gt;=$D$1),AZ255&gt;$D$2*-1,BA255&lt;$D$2,AX255/AW255&gt;=3),"Very serious", AND(AY255&gt;$D$1*-1,AY255&lt;$D$1,OR(AZ255&lt;=$D$2*-1,BA255&gt;=$D$2),AX255/AW255&gt;=3),"Very serious"),""))</f>
        <v/>
      </c>
      <c r="BF255" s="107" t="str">
        <f t="shared" si="11"/>
        <v/>
      </c>
      <c r="BG255" s="94" t="str">
        <f t="shared" si="46"/>
        <v/>
      </c>
      <c r="BH255" s="64" t="str">
        <f t="shared" si="12"/>
        <v>#N/A</v>
      </c>
      <c r="BI255" s="64" t="str">
        <f t="shared" si="13"/>
        <v/>
      </c>
      <c r="BJ255" s="123" t="str">
        <f t="shared" si="14"/>
        <v>#N/A</v>
      </c>
      <c r="BK255" s="64" t="str">
        <f t="shared" si="50"/>
        <v>YES</v>
      </c>
      <c r="BL255" s="64" t="str">
        <f t="shared" si="16"/>
        <v>YES</v>
      </c>
      <c r="BM255" s="64" t="str">
        <f t="shared" si="17"/>
        <v>YES</v>
      </c>
      <c r="BN255" s="124" t="str">
        <f t="shared" si="18"/>
        <v/>
      </c>
      <c r="BO255" s="91" t="str">
        <f t="shared" si="19"/>
        <v/>
      </c>
      <c r="BP255" s="91" t="str">
        <f t="shared" si="20"/>
        <v>#N/A</v>
      </c>
      <c r="BQ255" s="91" t="str">
        <f t="shared" si="21"/>
        <v/>
      </c>
      <c r="BR255" s="93" t="str">
        <f t="shared" si="22"/>
        <v/>
      </c>
      <c r="BS255" s="90" t="str">
        <f t="shared" si="23"/>
        <v/>
      </c>
      <c r="BT255" s="93" t="str">
        <f t="shared" si="24"/>
        <v>NA</v>
      </c>
      <c r="BU255" s="125" t="str">
        <f t="shared" si="25"/>
        <v>#N/A</v>
      </c>
      <c r="BV255" s="93" t="str">
        <f t="shared" si="26"/>
        <v/>
      </c>
      <c r="BW255" s="93" t="str">
        <f t="shared" si="27"/>
        <v/>
      </c>
      <c r="BX255" s="93" t="str">
        <f t="shared" si="28"/>
        <v>NA</v>
      </c>
      <c r="BY255" s="95" t="str">
        <f t="shared" si="29"/>
        <v>#N/A</v>
      </c>
      <c r="BZ255" s="93" t="str">
        <f t="shared" si="30"/>
        <v/>
      </c>
      <c r="CA255" s="93" t="str">
        <f t="shared" si="31"/>
        <v/>
      </c>
      <c r="CB255" s="93" t="str">
        <f t="shared" si="32"/>
        <v>NA</v>
      </c>
      <c r="CC255" s="96" t="str">
        <f t="shared" si="33"/>
        <v>#N/A</v>
      </c>
      <c r="CD255" s="93" t="str">
        <f t="shared" si="34"/>
        <v/>
      </c>
      <c r="CE255" s="93" t="str">
        <f t="shared" si="35"/>
        <v/>
      </c>
      <c r="CF255" s="93" t="str">
        <f t="shared" si="36"/>
        <v>NA</v>
      </c>
      <c r="CG255" s="97" t="str">
        <f t="shared" si="37"/>
        <v>#N/A</v>
      </c>
      <c r="CH255" s="98" t="str">
        <f t="shared" si="38"/>
        <v>#N/A</v>
      </c>
      <c r="CI255" s="99" t="str">
        <f t="shared" si="39"/>
        <v>#N/A</v>
      </c>
      <c r="CJ255" s="126" t="str">
        <f t="shared" si="40"/>
        <v>ERROR: check cell</v>
      </c>
      <c r="CK255" s="126"/>
      <c r="CL255" s="127" t="str">
        <f t="shared" si="41"/>
        <v>#DIV/0!</v>
      </c>
      <c r="CM255" s="128" t="str">
        <f t="shared" si="42"/>
        <v>#DIV/0!</v>
      </c>
      <c r="CN255" s="128">
        <f t="shared" si="43"/>
        <v>4</v>
      </c>
      <c r="CO255" s="129">
        <f t="shared" si="44"/>
        <v>4</v>
      </c>
      <c r="CP255" s="129" t="str">
        <f>IFS(C255=Preferences!B$13,B255,B255=Preferences!B$13,C255)</f>
        <v>#N/A</v>
      </c>
    </row>
    <row r="256" ht="13.5" customHeight="1">
      <c r="A256" s="63" t="str">
        <f t="shared" si="45"/>
        <v/>
      </c>
      <c r="B256" s="64"/>
      <c r="C256" s="64"/>
      <c r="D256" s="64"/>
      <c r="E256" s="65"/>
      <c r="F256" s="65"/>
      <c r="G256" s="65"/>
      <c r="H256" s="66"/>
      <c r="I256" s="66"/>
      <c r="J256" s="67"/>
      <c r="K256" s="68"/>
      <c r="L256" s="104"/>
      <c r="M256" s="104"/>
      <c r="N256" s="104"/>
      <c r="O256" s="104"/>
      <c r="P256" s="107" t="str">
        <f t="shared" si="1"/>
        <v/>
      </c>
      <c r="Q256" s="108" t="str">
        <f>IFERROR(IF(AND(Preferences!B$3="Manual",OR(AX256/AW256&gt;G256/F256,BD256="Serious",BD256="Very serious")),"Assess imprecision",IFS(ISBLANK(E256),"",AND(Preferences!B$3="Automatic", G256/F256&gt;=30),"Extremely serious",AND(H256&lt;=$D$1*-1,J256&lt;0,G256/F256&lt;3),"Not serious",AND(H256&lt;=$D$1*-1,J256&lt;0,G256/F256&gt;=3),"Very serious",AND(H256&gt;=$D$1,I256&gt;0,G256/F256&lt;3),"Not serious",AND(H256&gt;=$D$1,I256&gt;0,G256/F256&gt;=3),"Very serious",AND(H256&lt;=$D$1*-1,J256&gt;0,I256&gt;$D$2*-1,G256/F256&lt;3),"Serious", AND(H256&lt;=$D$1*-1,J256&gt;0,I256&lt;$D$2*-1,G256/F256&lt;3),"Very serious", AND(H256&gt;=$D$1,I256&lt;0,J256&lt;$D$2,G256/F256&lt;3),"Serious",AND(H256&gt;=$D$1,I256&lt;0,J256&gt;$D$2,G256/F256&lt;3),"Very serious", AND(H256&lt;=$D$1*-1,J256&gt;0,I256&gt;$D$2*-1,G256/F256&gt;=3),"Very serious", AND(H256&lt;=$D$1*-1,J256&gt;0,I256&lt;$D$2*-1,G256/F256&gt;=3),"Very serious", AND(H256&gt;=$D$1,I256&lt;0,J256&lt;$D$2,G256/F256&gt;=3),"Very serious", AND(H256&gt;=$D$1,I256&lt;0,J256&gt;$D$2,G256/F256&gt;=3),"Very serious", AND(H256&gt;$D$1*-1,H256&lt;$D$1,I256&gt;$D$1*-1,J256&lt;$D$1,G256/F256&lt;3),"Not serious", AND(H256&gt;$D$1*-1,H256&lt;$D$1,OR(I256&lt;=$D$1*-1,J256&gt;=$D$1),I256&gt;$D$2*-1,J256&lt;$D$2,G256/F256&lt;3),"Serious", AND(H256&gt;$D$1*-1,H256&lt;$D$1,OR(I256&lt;=$D$2*-1,J256&gt;=$D$2),G256/F256&lt;3),"Very serious", AND(H256&gt;$D$1*-1,H256&lt;$D$1,I256&gt;$D$1*-1,J256&lt;$D$1,G256/F256&gt;=3),"Very serious", AND(H256&gt;$D$1*-1,H256&lt;$D$1,OR(I256&lt;=$D$1*-1,J256&gt;=$D$1),I256&gt;$D$2*-1,J256&lt;$D$2,G256/F256&gt;=3),"Very serious", AND(H256&gt;$D$1*-1,H256&lt;$D$1,OR(I256&lt;=$D$2*-1,J256&gt;=$D$2),G256/F256&gt;=3),"Very serious")),"")</f>
        <v/>
      </c>
      <c r="R256" s="109" t="str">
        <f t="shared" si="47"/>
        <v/>
      </c>
      <c r="S256" s="64"/>
      <c r="T256" s="72"/>
      <c r="U256" s="72"/>
      <c r="V256" s="72"/>
      <c r="W256" s="73"/>
      <c r="X256" s="73"/>
      <c r="Y256" s="74"/>
      <c r="Z256" s="113" t="str">
        <f t="array" ref="Z256">INDEX($A$1:$C$500, MATCH(1,($B:$B=$B256)*($C:$C=$AB256),0),1)</f>
        <v/>
      </c>
      <c r="AA256" s="113" t="str">
        <f t="array" ref="AA256">INDEX($A$1:$C$500, MATCH(1,($B:$B=$AB256)*($C:$C=$B256),0),1)</f>
        <v/>
      </c>
      <c r="AB256" s="111"/>
      <c r="AC256" s="114" t="str">
        <f t="shared" si="2"/>
        <v/>
      </c>
      <c r="AD256" s="115" t="str">
        <f t="shared" si="3"/>
        <v/>
      </c>
      <c r="AE256" s="116" t="str">
        <f t="array" ref="AE256">INDEX($A$1:$C$500, MATCH(1,($B:$B=$AB256)*($C:$C=$AG256),0),1)</f>
        <v/>
      </c>
      <c r="AF256" s="116" t="str">
        <f t="array" ref="AF256">INDEX($A$1:$C$500, MATCH(1,($B:$B=$AG256)*($C:$C=$AB256),0),1)</f>
        <v/>
      </c>
      <c r="AG256" s="72"/>
      <c r="AH256" s="114" t="str">
        <f t="shared" si="4"/>
        <v/>
      </c>
      <c r="AI256" s="115" t="str">
        <f t="shared" si="5"/>
        <v/>
      </c>
      <c r="AJ256" s="116" t="str">
        <f t="array" ref="AJ256">INDEX($A$1:$C$500, MATCH(1,($B:$B=$C256)*($C:$C=$AG256),0),1)</f>
        <v/>
      </c>
      <c r="AK256" s="116" t="str">
        <f t="array" ref="AK256">INDEX($A$1:$C$500, MATCH(1,($B:$B=$AG256)*($C:$C=$C256),0),1)</f>
        <v/>
      </c>
      <c r="AL256" s="116" t="str">
        <f t="array" ref="AL256">INDEX($A$1:$C$500, MATCH(1,($B:$B=$C256)*($C:$C=$AB256),0),1)</f>
        <v/>
      </c>
      <c r="AM256" s="116" t="str">
        <f t="array" ref="AM256">INDEX($A$1:$C$500, MATCH(1,($B:$B=$AB256)*($C:$C=$C256),0),1)</f>
        <v/>
      </c>
      <c r="AN256" s="114" t="str">
        <f t="array" ref="AN256">IFS(ISNUMBER(AJ256),AJ256,ISNUMBER(AK256),AK256,ISNUMBER(AL256),AL256,ISNUMBER(AM256),AM256)</f>
        <v>#N/A</v>
      </c>
      <c r="AO256" s="115" t="str">
        <f t="shared" si="6"/>
        <v/>
      </c>
      <c r="AP256" s="115" t="str">
        <f t="shared" si="7"/>
        <v/>
      </c>
      <c r="AQ256" s="111"/>
      <c r="AR256" s="109" t="str">
        <f t="shared" si="8"/>
        <v/>
      </c>
      <c r="AS256" s="72" t="str">
        <f>IFERROR(IF(AND(Preferences!B$3="Manual",OR(AX256/AW256&gt;V256/U256,BD256="Serious",BD256="Very serious")),"Assess imprecision",IFERROR(IFS(AND(Preferences!B$3="Automatic",V256/U256&gt;=30),"Extremely serious",AND(W256&lt;=$D$1*-1,Y256&lt;0,V256/U256&lt;3),"Not Serious",AND(W256&lt;=$D$1*-1,Y256&lt;0,V256/U256&gt;=3),"Very serious",AND(W256&gt;=$D$1,X256&gt;0,V256/U256&lt;3),"Not Serious",AND(W256&gt;=$D$1,X256&gt;0,V256/U256&gt;=3),"Very serious",AND(W256&lt;=$D$1*-1,Y256&gt;0,X256&gt;$D$2*-1,V256/U256&lt;3),"Serious", AND(W256&lt;=$D$1*-1,Y256&gt;0,X256&lt;$D$2*-1,V256/U256&lt;3),"Very serious", AND(W256&gt;=$D$1,X256&lt;0,Y256&lt;$D$2,V256/U256&lt;3),"Serious",AND(W256&gt;=$D$1,X256&lt;0,Y256&gt;$D$2,V256/U256&lt;3),"Very serious", AND(W256&lt;=$D$1*-1,Y256&gt;0,X256&gt;$D$2*-1,V256/U256&gt;=3),"Very serious", AND(W256&lt;=$D$1*-1,Y256&gt;0,X256&lt;$D$2*-1,V256/U256&gt;=3),"Very serious", AND(W256&gt;=$D$1,X256&lt;0,Y256&lt;$D$2,V256/U256&gt;=3),"Very serious", AND(W256&gt;=$D$1,X256&lt;0,Y256&gt;$D$2,V256/U256&gt;=3),"Very serious", AND(W256&gt;$D$1*-1,W256&lt;$D$1,X256&gt;$D$1*-1,Y256&lt;$D$1,V256/U256&lt;3),"Not Serious", AND(W256&gt;$D$1*-1,W256&lt;$D$1,OR(X256&lt;=$D$1*-1,Y256&gt;=$D$1),X256&gt;$D$2*-1,Y256&lt;$D$2,V256/U256&lt;3),"Serious", AND(W256&gt;$D$1*-1,W256&lt;$D$1,OR(X256&lt;=$D$2*-1,Y256&gt;=$D$2),V256/U256&lt;3),"Very serious", AND(W256&gt;$D$1*-1,W256&lt;$D$1,X256&gt;$D$1*-1,Y256&lt;$D$1,V256/U256&gt;=3),"Very serious", AND(W256&gt;$D$1*-1,W256&lt;$D$1,OR(X256&lt;=$D$1*-1,Y256&gt;=$D$1),X256&gt;$D$2*-1,Y256&lt;$D$2,V256/U256&gt;=3),"Very serious", AND(W256&gt;$D$1*-1,W256&lt;$D$1,OR(X256&lt;=$D$2*-1,Y256&gt;=$D$2),V256/U256&gt;=3),"Very serious"),"")),"")</f>
        <v/>
      </c>
      <c r="AT256" s="109" t="str">
        <f t="shared" si="9"/>
        <v/>
      </c>
      <c r="AU256" s="64"/>
      <c r="AV256" s="83"/>
      <c r="AW256" s="83"/>
      <c r="AX256" s="83"/>
      <c r="AY256" s="83"/>
      <c r="AZ256" s="83"/>
      <c r="BA256" s="85"/>
      <c r="BB256" s="86" t="str">
        <f>IF(Preferences!B$9="Manual","",IFS(ISBLANK(B256),"",AND(ISNUMBER(E256)=TRUE,ISNUMBER(T256)=FALSE),"Direct", AND(ISNUMBER(E256)=FALSE,ISNUMBER(T256)=TRUE),"Indirect", CN256=4,"Direct",AND(CL256=FALSE, CM256=TRUE,CN256-CO256&gt;-1),"Direct", AND(CL256=FALSE,CM256=TRUE, CN256-CO256&lt;0),"Check algorithm in appendix 2", AND(CL256=TRUE, CM256=FALSE,CN256-CO256&gt;0),"Check algorithm in appendix 2", AND(CL256=TRUE, CM256=FALSE,CN256-CO256=0),"Indirect", AND(CL256=TRUE, CM256=FALSE,CN256-CO256&lt;0),"Indirect", AND(CL256=FALSE,CM256=FALSE,CN256-CO256&gt;-1),"Direct", AND(CL256=FALSE,CM256=FALSE,CN256-CO256&lt;0),"Check algorithm in appendix 2", AND(CL256=TRUE,CM256=TRUE,CN256-CO256&gt;-1),"Direct", AND(CL256=TRUE,CM256=TRUE,CN256-CO256&lt;0),"Check algorithm in appendix 2"))</f>
        <v/>
      </c>
      <c r="BC256" s="120" t="str">
        <f t="shared" si="10"/>
        <v/>
      </c>
      <c r="BD256" s="140"/>
      <c r="BE256" s="122" t="str">
        <f>IF(Preferences!B$3="Manual","", IFERROR(IFS(AND(Preferences!B$3="Automatic",AX256/AW256&gt;=30),"Extremely serious",AND(AY256&lt;=$D$1*-1,BA256&lt;0,AX256/AW256&lt;3),"Not Serious",AND(AY256&lt;=$D$1*-1,BA256&lt;0,AX256/AW256&gt;=3),"Very serious",AND(AY256&gt;=$D$1,AZ256&gt;0,AX256/AW256&lt;3),"Not Serious",AND(AY256&gt;=$D$1,AZ256&gt;0,AX256/AW256&gt;=3),"Very serious",AND(AY256&lt;=$D$1*-1,BA256&gt;0,AZ256&gt;$D$2*-1,AX256/AW256&lt;3),"Serious", AND(AY256&lt;=$D$1*-1,BA256&gt;0,AZ256&lt;$D$2*-1,AX256/AW256&lt;3),"Very serious", AND(AY256&gt;=$D$1,AZ256&lt;0,BA256&lt;$D$2,AX256/AW256&lt;3),"Serious",AND(AY256&gt;=$D$1,AZ256&lt;0,BA256&gt;$D$2,AX256/AW256&lt;3),"Very serious", AND(AY256&lt;=$D$1*-1,BA256&gt;0,AZ256&gt;$D$2*-1,AX256/AW256&gt;=3),"Very serious", AND(AY256&lt;=$D$1*-1,BA256&gt;0,AZ256&lt;$D$2*-1,AX256/AW256&gt;=3),"Very serious", AND(AY256&gt;=$D$1,AZ256&lt;0,BA256&lt;$D$2,AX256/AW256&gt;=3),"Very serious", AND(AY256&gt;=$D$1,AZ256&lt;0,BA256&gt;$D$2,AX256/AW256&gt;=3),"Very serious", AND(AY256&gt;$D$1*-1,AY256&lt;$D$1,AZ256&gt;$D$1*-1,BA256&lt;$D$1,AX256/AW256&lt;3),"Not Serious", AND(AY256&gt;$D$1*-1,AY256&lt;$D$1,OR(AZ256&lt;=$D$1*-1,BA256&gt;=$D$1),AZ256&gt;$D$2*-1,BA256&lt;$D$2,AX256/AW256&lt;3),"Serious", AND(AY256&gt;$D$1*-1,AY256&lt;$D$1,OR(AZ256&lt;=$D$2*-1,BA256&gt;=$D$2),AX256/AW256&lt;3),"Very serious", AND(AY256&gt;$D$1*-1,AY256&lt;$D$1,AZ256&gt;$D$1*-1,BA256&lt;$D$1,AX256/AW256&gt;=3),"Very serious", AND(AY256&gt;$D$1*-1,AY256&lt;$D$1,OR(AZ256&lt;=$D$1*-1,BA256&gt;=$D$1),AZ256&gt;$D$2*-1,BA256&lt;$D$2,AX256/AW256&gt;=3),"Very serious", AND(AY256&gt;$D$1*-1,AY256&lt;$D$1,OR(AZ256&lt;=$D$2*-1,BA256&gt;=$D$2),AX256/AW256&gt;=3),"Very serious"),""))</f>
        <v/>
      </c>
      <c r="BF256" s="107" t="str">
        <f t="shared" si="11"/>
        <v/>
      </c>
      <c r="BG256" s="94" t="str">
        <f t="shared" si="46"/>
        <v/>
      </c>
      <c r="BH256" s="64" t="str">
        <f t="shared" si="12"/>
        <v>#N/A</v>
      </c>
      <c r="BI256" s="64" t="str">
        <f t="shared" si="13"/>
        <v/>
      </c>
      <c r="BJ256" s="123" t="str">
        <f t="shared" si="14"/>
        <v>#N/A</v>
      </c>
      <c r="BK256" s="64" t="str">
        <f t="shared" si="50"/>
        <v>YES</v>
      </c>
      <c r="BL256" s="64" t="str">
        <f t="shared" si="16"/>
        <v>YES</v>
      </c>
      <c r="BM256" s="64" t="str">
        <f t="shared" si="17"/>
        <v>YES</v>
      </c>
      <c r="BN256" s="124" t="str">
        <f t="shared" si="18"/>
        <v/>
      </c>
      <c r="BO256" s="91" t="str">
        <f t="shared" si="19"/>
        <v/>
      </c>
      <c r="BP256" s="91" t="str">
        <f t="shared" si="20"/>
        <v>#N/A</v>
      </c>
      <c r="BQ256" s="91" t="str">
        <f t="shared" si="21"/>
        <v/>
      </c>
      <c r="BR256" s="93" t="str">
        <f t="shared" si="22"/>
        <v/>
      </c>
      <c r="BS256" s="90" t="str">
        <f t="shared" si="23"/>
        <v/>
      </c>
      <c r="BT256" s="93" t="str">
        <f t="shared" si="24"/>
        <v>NA</v>
      </c>
      <c r="BU256" s="125" t="str">
        <f t="shared" si="25"/>
        <v>#N/A</v>
      </c>
      <c r="BV256" s="93" t="str">
        <f t="shared" si="26"/>
        <v/>
      </c>
      <c r="BW256" s="93" t="str">
        <f t="shared" si="27"/>
        <v/>
      </c>
      <c r="BX256" s="93" t="str">
        <f t="shared" si="28"/>
        <v>NA</v>
      </c>
      <c r="BY256" s="95" t="str">
        <f t="shared" si="29"/>
        <v>#N/A</v>
      </c>
      <c r="BZ256" s="93" t="str">
        <f t="shared" si="30"/>
        <v/>
      </c>
      <c r="CA256" s="93" t="str">
        <f t="shared" si="31"/>
        <v/>
      </c>
      <c r="CB256" s="93" t="str">
        <f t="shared" si="32"/>
        <v>NA</v>
      </c>
      <c r="CC256" s="96" t="str">
        <f t="shared" si="33"/>
        <v>#N/A</v>
      </c>
      <c r="CD256" s="93" t="str">
        <f t="shared" si="34"/>
        <v/>
      </c>
      <c r="CE256" s="93" t="str">
        <f t="shared" si="35"/>
        <v/>
      </c>
      <c r="CF256" s="93" t="str">
        <f t="shared" si="36"/>
        <v>NA</v>
      </c>
      <c r="CG256" s="97" t="str">
        <f t="shared" si="37"/>
        <v>#N/A</v>
      </c>
      <c r="CH256" s="98" t="str">
        <f t="shared" si="38"/>
        <v>#N/A</v>
      </c>
      <c r="CI256" s="99" t="str">
        <f t="shared" si="39"/>
        <v>#N/A</v>
      </c>
      <c r="CJ256" s="126" t="str">
        <f t="shared" si="40"/>
        <v>ERROR: check cell</v>
      </c>
      <c r="CK256" s="126"/>
      <c r="CL256" s="127" t="str">
        <f t="shared" si="41"/>
        <v>#DIV/0!</v>
      </c>
      <c r="CM256" s="128" t="str">
        <f t="shared" si="42"/>
        <v>#DIV/0!</v>
      </c>
      <c r="CN256" s="128">
        <f t="shared" si="43"/>
        <v>4</v>
      </c>
      <c r="CO256" s="129">
        <f t="shared" si="44"/>
        <v>4</v>
      </c>
      <c r="CP256" s="129" t="str">
        <f>IFS(C256=Preferences!B$13,B256,B256=Preferences!B$13,C256)</f>
        <v>#N/A</v>
      </c>
    </row>
    <row r="257" ht="13.5" customHeight="1">
      <c r="A257" s="63" t="str">
        <f t="shared" si="45"/>
        <v/>
      </c>
      <c r="B257" s="64"/>
      <c r="C257" s="64"/>
      <c r="D257" s="64"/>
      <c r="E257" s="65"/>
      <c r="F257" s="65"/>
      <c r="G257" s="65"/>
      <c r="H257" s="66"/>
      <c r="I257" s="66"/>
      <c r="J257" s="67"/>
      <c r="K257" s="68"/>
      <c r="L257" s="104"/>
      <c r="M257" s="104"/>
      <c r="N257" s="104"/>
      <c r="O257" s="104"/>
      <c r="P257" s="107" t="str">
        <f t="shared" si="1"/>
        <v/>
      </c>
      <c r="Q257" s="108" t="str">
        <f>IFERROR(IF(AND(Preferences!B$3="Manual",OR(AX257/AW257&gt;G257/F257,BD257="Serious",BD257="Very serious")),"Assess imprecision",IFS(ISBLANK(E257),"",AND(Preferences!B$3="Automatic", G257/F257&gt;=30),"Extremely serious",AND(H257&lt;=$D$1*-1,J257&lt;0,G257/F257&lt;3),"Not serious",AND(H257&lt;=$D$1*-1,J257&lt;0,G257/F257&gt;=3),"Very serious",AND(H257&gt;=$D$1,I257&gt;0,G257/F257&lt;3),"Not serious",AND(H257&gt;=$D$1,I257&gt;0,G257/F257&gt;=3),"Very serious",AND(H257&lt;=$D$1*-1,J257&gt;0,I257&gt;$D$2*-1,G257/F257&lt;3),"Serious", AND(H257&lt;=$D$1*-1,J257&gt;0,I257&lt;$D$2*-1,G257/F257&lt;3),"Very serious", AND(H257&gt;=$D$1,I257&lt;0,J257&lt;$D$2,G257/F257&lt;3),"Serious",AND(H257&gt;=$D$1,I257&lt;0,J257&gt;$D$2,G257/F257&lt;3),"Very serious", AND(H257&lt;=$D$1*-1,J257&gt;0,I257&gt;$D$2*-1,G257/F257&gt;=3),"Very serious", AND(H257&lt;=$D$1*-1,J257&gt;0,I257&lt;$D$2*-1,G257/F257&gt;=3),"Very serious", AND(H257&gt;=$D$1,I257&lt;0,J257&lt;$D$2,G257/F257&gt;=3),"Very serious", AND(H257&gt;=$D$1,I257&lt;0,J257&gt;$D$2,G257/F257&gt;=3),"Very serious", AND(H257&gt;$D$1*-1,H257&lt;$D$1,I257&gt;$D$1*-1,J257&lt;$D$1,G257/F257&lt;3),"Not serious", AND(H257&gt;$D$1*-1,H257&lt;$D$1,OR(I257&lt;=$D$1*-1,J257&gt;=$D$1),I257&gt;$D$2*-1,J257&lt;$D$2,G257/F257&lt;3),"Serious", AND(H257&gt;$D$1*-1,H257&lt;$D$1,OR(I257&lt;=$D$2*-1,J257&gt;=$D$2),G257/F257&lt;3),"Very serious", AND(H257&gt;$D$1*-1,H257&lt;$D$1,I257&gt;$D$1*-1,J257&lt;$D$1,G257/F257&gt;=3),"Very serious", AND(H257&gt;$D$1*-1,H257&lt;$D$1,OR(I257&lt;=$D$1*-1,J257&gt;=$D$1),I257&gt;$D$2*-1,J257&lt;$D$2,G257/F257&gt;=3),"Very serious", AND(H257&gt;$D$1*-1,H257&lt;$D$1,OR(I257&lt;=$D$2*-1,J257&gt;=$D$2),G257/F257&gt;=3),"Very serious")),"")</f>
        <v/>
      </c>
      <c r="R257" s="109" t="str">
        <f t="shared" si="47"/>
        <v/>
      </c>
      <c r="S257" s="64"/>
      <c r="T257" s="72"/>
      <c r="U257" s="72"/>
      <c r="V257" s="72"/>
      <c r="W257" s="73"/>
      <c r="X257" s="73"/>
      <c r="Y257" s="74"/>
      <c r="Z257" s="113" t="str">
        <f t="array" ref="Z257">INDEX($A$1:$C$500, MATCH(1,($B:$B=$B257)*($C:$C=$AB257),0),1)</f>
        <v/>
      </c>
      <c r="AA257" s="113" t="str">
        <f t="array" ref="AA257">INDEX($A$1:$C$500, MATCH(1,($B:$B=$AB257)*($C:$C=$B257),0),1)</f>
        <v/>
      </c>
      <c r="AB257" s="111"/>
      <c r="AC257" s="114" t="str">
        <f t="shared" si="2"/>
        <v/>
      </c>
      <c r="AD257" s="115" t="str">
        <f t="shared" si="3"/>
        <v/>
      </c>
      <c r="AE257" s="116" t="str">
        <f t="array" ref="AE257">INDEX($A$1:$C$500, MATCH(1,($B:$B=$AB257)*($C:$C=$AG257),0),1)</f>
        <v/>
      </c>
      <c r="AF257" s="116" t="str">
        <f t="array" ref="AF257">INDEX($A$1:$C$500, MATCH(1,($B:$B=$AG257)*($C:$C=$AB257),0),1)</f>
        <v/>
      </c>
      <c r="AG257" s="72"/>
      <c r="AH257" s="114" t="str">
        <f t="shared" si="4"/>
        <v/>
      </c>
      <c r="AI257" s="115" t="str">
        <f t="shared" si="5"/>
        <v/>
      </c>
      <c r="AJ257" s="116" t="str">
        <f t="array" ref="AJ257">INDEX($A$1:$C$500, MATCH(1,($B:$B=$C257)*($C:$C=$AG257),0),1)</f>
        <v/>
      </c>
      <c r="AK257" s="116" t="str">
        <f t="array" ref="AK257">INDEX($A$1:$C$500, MATCH(1,($B:$B=$AG257)*($C:$C=$C257),0),1)</f>
        <v/>
      </c>
      <c r="AL257" s="116" t="str">
        <f t="array" ref="AL257">INDEX($A$1:$C$500, MATCH(1,($B:$B=$C257)*($C:$C=$AB257),0),1)</f>
        <v/>
      </c>
      <c r="AM257" s="116" t="str">
        <f t="array" ref="AM257">INDEX($A$1:$C$500, MATCH(1,($B:$B=$AB257)*($C:$C=$C257),0),1)</f>
        <v/>
      </c>
      <c r="AN257" s="114" t="str">
        <f t="array" ref="AN257">IFS(ISNUMBER(AJ257),AJ257,ISNUMBER(AK257),AK257,ISNUMBER(AL257),AL257,ISNUMBER(AM257),AM257)</f>
        <v>#N/A</v>
      </c>
      <c r="AO257" s="115" t="str">
        <f t="shared" si="6"/>
        <v/>
      </c>
      <c r="AP257" s="115" t="str">
        <f t="shared" si="7"/>
        <v/>
      </c>
      <c r="AQ257" s="111"/>
      <c r="AR257" s="109" t="str">
        <f t="shared" si="8"/>
        <v/>
      </c>
      <c r="AS257" s="72" t="str">
        <f>IFERROR(IF(AND(Preferences!B$3="Manual",OR(AX257/AW257&gt;V257/U257,BD257="Serious",BD257="Very serious")),"Assess imprecision",IFERROR(IFS(AND(Preferences!B$3="Automatic",V257/U257&gt;=30),"Extremely serious",AND(W257&lt;=$D$1*-1,Y257&lt;0,V257/U257&lt;3),"Not Serious",AND(W257&lt;=$D$1*-1,Y257&lt;0,V257/U257&gt;=3),"Very serious",AND(W257&gt;=$D$1,X257&gt;0,V257/U257&lt;3),"Not Serious",AND(W257&gt;=$D$1,X257&gt;0,V257/U257&gt;=3),"Very serious",AND(W257&lt;=$D$1*-1,Y257&gt;0,X257&gt;$D$2*-1,V257/U257&lt;3),"Serious", AND(W257&lt;=$D$1*-1,Y257&gt;0,X257&lt;$D$2*-1,V257/U257&lt;3),"Very serious", AND(W257&gt;=$D$1,X257&lt;0,Y257&lt;$D$2,V257/U257&lt;3),"Serious",AND(W257&gt;=$D$1,X257&lt;0,Y257&gt;$D$2,V257/U257&lt;3),"Very serious", AND(W257&lt;=$D$1*-1,Y257&gt;0,X257&gt;$D$2*-1,V257/U257&gt;=3),"Very serious", AND(W257&lt;=$D$1*-1,Y257&gt;0,X257&lt;$D$2*-1,V257/U257&gt;=3),"Very serious", AND(W257&gt;=$D$1,X257&lt;0,Y257&lt;$D$2,V257/U257&gt;=3),"Very serious", AND(W257&gt;=$D$1,X257&lt;0,Y257&gt;$D$2,V257/U257&gt;=3),"Very serious", AND(W257&gt;$D$1*-1,W257&lt;$D$1,X257&gt;$D$1*-1,Y257&lt;$D$1,V257/U257&lt;3),"Not Serious", AND(W257&gt;$D$1*-1,W257&lt;$D$1,OR(X257&lt;=$D$1*-1,Y257&gt;=$D$1),X257&gt;$D$2*-1,Y257&lt;$D$2,V257/U257&lt;3),"Serious", AND(W257&gt;$D$1*-1,W257&lt;$D$1,OR(X257&lt;=$D$2*-1,Y257&gt;=$D$2),V257/U257&lt;3),"Very serious", AND(W257&gt;$D$1*-1,W257&lt;$D$1,X257&gt;$D$1*-1,Y257&lt;$D$1,V257/U257&gt;=3),"Very serious", AND(W257&gt;$D$1*-1,W257&lt;$D$1,OR(X257&lt;=$D$1*-1,Y257&gt;=$D$1),X257&gt;$D$2*-1,Y257&lt;$D$2,V257/U257&gt;=3),"Very serious", AND(W257&gt;$D$1*-1,W257&lt;$D$1,OR(X257&lt;=$D$2*-1,Y257&gt;=$D$2),V257/U257&gt;=3),"Very serious"),"")),"")</f>
        <v/>
      </c>
      <c r="AT257" s="109" t="str">
        <f t="shared" si="9"/>
        <v/>
      </c>
      <c r="AU257" s="64"/>
      <c r="AV257" s="83"/>
      <c r="AW257" s="83"/>
      <c r="AX257" s="83"/>
      <c r="AY257" s="83"/>
      <c r="AZ257" s="83"/>
      <c r="BA257" s="85"/>
      <c r="BB257" s="86" t="str">
        <f>IF(Preferences!B$9="Manual","",IFS(ISBLANK(B257),"",AND(ISNUMBER(E257)=TRUE,ISNUMBER(T257)=FALSE),"Direct", AND(ISNUMBER(E257)=FALSE,ISNUMBER(T257)=TRUE),"Indirect", CN257=4,"Direct",AND(CL257=FALSE, CM257=TRUE,CN257-CO257&gt;-1),"Direct", AND(CL257=FALSE,CM257=TRUE, CN257-CO257&lt;0),"Check algorithm in appendix 2", AND(CL257=TRUE, CM257=FALSE,CN257-CO257&gt;0),"Check algorithm in appendix 2", AND(CL257=TRUE, CM257=FALSE,CN257-CO257=0),"Indirect", AND(CL257=TRUE, CM257=FALSE,CN257-CO257&lt;0),"Indirect", AND(CL257=FALSE,CM257=FALSE,CN257-CO257&gt;-1),"Direct", AND(CL257=FALSE,CM257=FALSE,CN257-CO257&lt;0),"Check algorithm in appendix 2", AND(CL257=TRUE,CM257=TRUE,CN257-CO257&gt;-1),"Direct", AND(CL257=TRUE,CM257=TRUE,CN257-CO257&lt;0),"Check algorithm in appendix 2"))</f>
        <v/>
      </c>
      <c r="BC257" s="120" t="str">
        <f t="shared" si="10"/>
        <v/>
      </c>
      <c r="BD257" s="140"/>
      <c r="BE257" s="122" t="str">
        <f>IF(Preferences!B$3="Manual","", IFERROR(IFS(AND(Preferences!B$3="Automatic",AX257/AW257&gt;=30),"Extremely serious",AND(AY257&lt;=$D$1*-1,BA257&lt;0,AX257/AW257&lt;3),"Not Serious",AND(AY257&lt;=$D$1*-1,BA257&lt;0,AX257/AW257&gt;=3),"Very serious",AND(AY257&gt;=$D$1,AZ257&gt;0,AX257/AW257&lt;3),"Not Serious",AND(AY257&gt;=$D$1,AZ257&gt;0,AX257/AW257&gt;=3),"Very serious",AND(AY257&lt;=$D$1*-1,BA257&gt;0,AZ257&gt;$D$2*-1,AX257/AW257&lt;3),"Serious", AND(AY257&lt;=$D$1*-1,BA257&gt;0,AZ257&lt;$D$2*-1,AX257/AW257&lt;3),"Very serious", AND(AY257&gt;=$D$1,AZ257&lt;0,BA257&lt;$D$2,AX257/AW257&lt;3),"Serious",AND(AY257&gt;=$D$1,AZ257&lt;0,BA257&gt;$D$2,AX257/AW257&lt;3),"Very serious", AND(AY257&lt;=$D$1*-1,BA257&gt;0,AZ257&gt;$D$2*-1,AX257/AW257&gt;=3),"Very serious", AND(AY257&lt;=$D$1*-1,BA257&gt;0,AZ257&lt;$D$2*-1,AX257/AW257&gt;=3),"Very serious", AND(AY257&gt;=$D$1,AZ257&lt;0,BA257&lt;$D$2,AX257/AW257&gt;=3),"Very serious", AND(AY257&gt;=$D$1,AZ257&lt;0,BA257&gt;$D$2,AX257/AW257&gt;=3),"Very serious", AND(AY257&gt;$D$1*-1,AY257&lt;$D$1,AZ257&gt;$D$1*-1,BA257&lt;$D$1,AX257/AW257&lt;3),"Not Serious", AND(AY257&gt;$D$1*-1,AY257&lt;$D$1,OR(AZ257&lt;=$D$1*-1,BA257&gt;=$D$1),AZ257&gt;$D$2*-1,BA257&lt;$D$2,AX257/AW257&lt;3),"Serious", AND(AY257&gt;$D$1*-1,AY257&lt;$D$1,OR(AZ257&lt;=$D$2*-1,BA257&gt;=$D$2),AX257/AW257&lt;3),"Very serious", AND(AY257&gt;$D$1*-1,AY257&lt;$D$1,AZ257&gt;$D$1*-1,BA257&lt;$D$1,AX257/AW257&gt;=3),"Very serious", AND(AY257&gt;$D$1*-1,AY257&lt;$D$1,OR(AZ257&lt;=$D$1*-1,BA257&gt;=$D$1),AZ257&gt;$D$2*-1,BA257&lt;$D$2,AX257/AW257&gt;=3),"Very serious", AND(AY257&gt;$D$1*-1,AY257&lt;$D$1,OR(AZ257&lt;=$D$2*-1,BA257&gt;=$D$2),AX257/AW257&gt;=3),"Very serious"),""))</f>
        <v/>
      </c>
      <c r="BF257" s="107" t="str">
        <f t="shared" si="11"/>
        <v/>
      </c>
      <c r="BG257" s="94" t="str">
        <f t="shared" si="46"/>
        <v/>
      </c>
      <c r="BH257" s="64" t="str">
        <f t="shared" si="12"/>
        <v>#N/A</v>
      </c>
      <c r="BI257" s="64" t="str">
        <f t="shared" si="13"/>
        <v/>
      </c>
      <c r="BJ257" s="123" t="str">
        <f t="shared" si="14"/>
        <v>#N/A</v>
      </c>
      <c r="BK257" s="64" t="str">
        <f t="shared" si="50"/>
        <v>YES</v>
      </c>
      <c r="BL257" s="64" t="str">
        <f t="shared" si="16"/>
        <v>YES</v>
      </c>
      <c r="BM257" s="64" t="str">
        <f t="shared" si="17"/>
        <v>YES</v>
      </c>
      <c r="BN257" s="124" t="str">
        <f t="shared" si="18"/>
        <v/>
      </c>
      <c r="BO257" s="91" t="str">
        <f t="shared" si="19"/>
        <v/>
      </c>
      <c r="BP257" s="91" t="str">
        <f t="shared" si="20"/>
        <v>#N/A</v>
      </c>
      <c r="BQ257" s="91" t="str">
        <f t="shared" si="21"/>
        <v/>
      </c>
      <c r="BR257" s="93" t="str">
        <f t="shared" si="22"/>
        <v/>
      </c>
      <c r="BS257" s="90" t="str">
        <f t="shared" si="23"/>
        <v/>
      </c>
      <c r="BT257" s="93" t="str">
        <f t="shared" si="24"/>
        <v>NA</v>
      </c>
      <c r="BU257" s="125" t="str">
        <f t="shared" si="25"/>
        <v>#N/A</v>
      </c>
      <c r="BV257" s="93" t="str">
        <f t="shared" si="26"/>
        <v/>
      </c>
      <c r="BW257" s="93" t="str">
        <f t="shared" si="27"/>
        <v/>
      </c>
      <c r="BX257" s="93" t="str">
        <f t="shared" si="28"/>
        <v>NA</v>
      </c>
      <c r="BY257" s="95" t="str">
        <f t="shared" si="29"/>
        <v>#N/A</v>
      </c>
      <c r="BZ257" s="93" t="str">
        <f t="shared" si="30"/>
        <v/>
      </c>
      <c r="CA257" s="93" t="str">
        <f t="shared" si="31"/>
        <v/>
      </c>
      <c r="CB257" s="93" t="str">
        <f t="shared" si="32"/>
        <v>NA</v>
      </c>
      <c r="CC257" s="96" t="str">
        <f t="shared" si="33"/>
        <v>#N/A</v>
      </c>
      <c r="CD257" s="93" t="str">
        <f t="shared" si="34"/>
        <v/>
      </c>
      <c r="CE257" s="93" t="str">
        <f t="shared" si="35"/>
        <v/>
      </c>
      <c r="CF257" s="93" t="str">
        <f t="shared" si="36"/>
        <v>NA</v>
      </c>
      <c r="CG257" s="97" t="str">
        <f t="shared" si="37"/>
        <v>#N/A</v>
      </c>
      <c r="CH257" s="98" t="str">
        <f t="shared" si="38"/>
        <v>#N/A</v>
      </c>
      <c r="CI257" s="99" t="str">
        <f t="shared" si="39"/>
        <v>#N/A</v>
      </c>
      <c r="CJ257" s="126" t="str">
        <f t="shared" si="40"/>
        <v>ERROR: check cell</v>
      </c>
      <c r="CK257" s="126"/>
      <c r="CL257" s="127" t="str">
        <f t="shared" si="41"/>
        <v>#DIV/0!</v>
      </c>
      <c r="CM257" s="128" t="str">
        <f t="shared" si="42"/>
        <v>#DIV/0!</v>
      </c>
      <c r="CN257" s="128">
        <f t="shared" si="43"/>
        <v>4</v>
      </c>
      <c r="CO257" s="129">
        <f t="shared" si="44"/>
        <v>4</v>
      </c>
      <c r="CP257" s="129" t="str">
        <f>IFS(C257=Preferences!B$13,B257,B257=Preferences!B$13,C257)</f>
        <v>#N/A</v>
      </c>
    </row>
    <row r="258" ht="13.5" customHeight="1">
      <c r="A258" s="63" t="str">
        <f t="shared" si="45"/>
        <v/>
      </c>
      <c r="B258" s="64"/>
      <c r="C258" s="64"/>
      <c r="D258" s="64"/>
      <c r="E258" s="65"/>
      <c r="F258" s="65"/>
      <c r="G258" s="65"/>
      <c r="H258" s="66"/>
      <c r="I258" s="66"/>
      <c r="J258" s="67"/>
      <c r="K258" s="68"/>
      <c r="L258" s="104"/>
      <c r="M258" s="104"/>
      <c r="N258" s="104"/>
      <c r="O258" s="104"/>
      <c r="P258" s="107" t="str">
        <f t="shared" si="1"/>
        <v/>
      </c>
      <c r="Q258" s="108" t="str">
        <f>IFERROR(IF(AND(Preferences!B$3="Manual",OR(AX258/AW258&gt;G258/F258,BD258="Serious",BD258="Very serious")),"Assess imprecision",IFS(ISBLANK(E258),"",AND(Preferences!B$3="Automatic", G258/F258&gt;=30),"Extremely serious",AND(H258&lt;=$D$1*-1,J258&lt;0,G258/F258&lt;3),"Not serious",AND(H258&lt;=$D$1*-1,J258&lt;0,G258/F258&gt;=3),"Very serious",AND(H258&gt;=$D$1,I258&gt;0,G258/F258&lt;3),"Not serious",AND(H258&gt;=$D$1,I258&gt;0,G258/F258&gt;=3),"Very serious",AND(H258&lt;=$D$1*-1,J258&gt;0,I258&gt;$D$2*-1,G258/F258&lt;3),"Serious", AND(H258&lt;=$D$1*-1,J258&gt;0,I258&lt;$D$2*-1,G258/F258&lt;3),"Very serious", AND(H258&gt;=$D$1,I258&lt;0,J258&lt;$D$2,G258/F258&lt;3),"Serious",AND(H258&gt;=$D$1,I258&lt;0,J258&gt;$D$2,G258/F258&lt;3),"Very serious", AND(H258&lt;=$D$1*-1,J258&gt;0,I258&gt;$D$2*-1,G258/F258&gt;=3),"Very serious", AND(H258&lt;=$D$1*-1,J258&gt;0,I258&lt;$D$2*-1,G258/F258&gt;=3),"Very serious", AND(H258&gt;=$D$1,I258&lt;0,J258&lt;$D$2,G258/F258&gt;=3),"Very serious", AND(H258&gt;=$D$1,I258&lt;0,J258&gt;$D$2,G258/F258&gt;=3),"Very serious", AND(H258&gt;$D$1*-1,H258&lt;$D$1,I258&gt;$D$1*-1,J258&lt;$D$1,G258/F258&lt;3),"Not serious", AND(H258&gt;$D$1*-1,H258&lt;$D$1,OR(I258&lt;=$D$1*-1,J258&gt;=$D$1),I258&gt;$D$2*-1,J258&lt;$D$2,G258/F258&lt;3),"Serious", AND(H258&gt;$D$1*-1,H258&lt;$D$1,OR(I258&lt;=$D$2*-1,J258&gt;=$D$2),G258/F258&lt;3),"Very serious", AND(H258&gt;$D$1*-1,H258&lt;$D$1,I258&gt;$D$1*-1,J258&lt;$D$1,G258/F258&gt;=3),"Very serious", AND(H258&gt;$D$1*-1,H258&lt;$D$1,OR(I258&lt;=$D$1*-1,J258&gt;=$D$1),I258&gt;$D$2*-1,J258&lt;$D$2,G258/F258&gt;=3),"Very serious", AND(H258&gt;$D$1*-1,H258&lt;$D$1,OR(I258&lt;=$D$2*-1,J258&gt;=$D$2),G258/F258&gt;=3),"Very serious")),"")</f>
        <v/>
      </c>
      <c r="R258" s="109" t="str">
        <f t="shared" si="47"/>
        <v/>
      </c>
      <c r="S258" s="64"/>
      <c r="T258" s="72"/>
      <c r="U258" s="72"/>
      <c r="V258" s="72"/>
      <c r="W258" s="73"/>
      <c r="X258" s="73"/>
      <c r="Y258" s="74"/>
      <c r="Z258" s="113" t="str">
        <f t="array" ref="Z258">INDEX($A$1:$C$500, MATCH(1,($B:$B=$B258)*($C:$C=$AB258),0),1)</f>
        <v/>
      </c>
      <c r="AA258" s="113" t="str">
        <f t="array" ref="AA258">INDEX($A$1:$C$500, MATCH(1,($B:$B=$AB258)*($C:$C=$B258),0),1)</f>
        <v/>
      </c>
      <c r="AB258" s="111"/>
      <c r="AC258" s="114" t="str">
        <f t="shared" si="2"/>
        <v/>
      </c>
      <c r="AD258" s="115" t="str">
        <f t="shared" si="3"/>
        <v/>
      </c>
      <c r="AE258" s="116" t="str">
        <f t="array" ref="AE258">INDEX($A$1:$C$500, MATCH(1,($B:$B=$AB258)*($C:$C=$AG258),0),1)</f>
        <v/>
      </c>
      <c r="AF258" s="116" t="str">
        <f t="array" ref="AF258">INDEX($A$1:$C$500, MATCH(1,($B:$B=$AG258)*($C:$C=$AB258),0),1)</f>
        <v/>
      </c>
      <c r="AG258" s="72"/>
      <c r="AH258" s="114" t="str">
        <f t="shared" si="4"/>
        <v/>
      </c>
      <c r="AI258" s="115" t="str">
        <f t="shared" si="5"/>
        <v/>
      </c>
      <c r="AJ258" s="116" t="str">
        <f t="array" ref="AJ258">INDEX($A$1:$C$500, MATCH(1,($B:$B=$C258)*($C:$C=$AG258),0),1)</f>
        <v/>
      </c>
      <c r="AK258" s="116" t="str">
        <f t="array" ref="AK258">INDEX($A$1:$C$500, MATCH(1,($B:$B=$AG258)*($C:$C=$C258),0),1)</f>
        <v/>
      </c>
      <c r="AL258" s="116" t="str">
        <f t="array" ref="AL258">INDEX($A$1:$C$500, MATCH(1,($B:$B=$C258)*($C:$C=$AB258),0),1)</f>
        <v/>
      </c>
      <c r="AM258" s="116" t="str">
        <f t="array" ref="AM258">INDEX($A$1:$C$500, MATCH(1,($B:$B=$AB258)*($C:$C=$C258),0),1)</f>
        <v/>
      </c>
      <c r="AN258" s="114" t="str">
        <f t="array" ref="AN258">IFS(ISNUMBER(AJ258),AJ258,ISNUMBER(AK258),AK258,ISNUMBER(AL258),AL258,ISNUMBER(AM258),AM258)</f>
        <v>#N/A</v>
      </c>
      <c r="AO258" s="115" t="str">
        <f t="shared" si="6"/>
        <v/>
      </c>
      <c r="AP258" s="115" t="str">
        <f t="shared" si="7"/>
        <v/>
      </c>
      <c r="AQ258" s="111"/>
      <c r="AR258" s="109" t="str">
        <f t="shared" si="8"/>
        <v/>
      </c>
      <c r="AS258" s="72" t="str">
        <f>IFERROR(IF(AND(Preferences!B$3="Manual",OR(AX258/AW258&gt;V258/U258,BD258="Serious",BD258="Very serious")),"Assess imprecision",IFERROR(IFS(AND(Preferences!B$3="Automatic",V258/U258&gt;=30),"Extremely serious",AND(W258&lt;=$D$1*-1,Y258&lt;0,V258/U258&lt;3),"Not Serious",AND(W258&lt;=$D$1*-1,Y258&lt;0,V258/U258&gt;=3),"Very serious",AND(W258&gt;=$D$1,X258&gt;0,V258/U258&lt;3),"Not Serious",AND(W258&gt;=$D$1,X258&gt;0,V258/U258&gt;=3),"Very serious",AND(W258&lt;=$D$1*-1,Y258&gt;0,X258&gt;$D$2*-1,V258/U258&lt;3),"Serious", AND(W258&lt;=$D$1*-1,Y258&gt;0,X258&lt;$D$2*-1,V258/U258&lt;3),"Very serious", AND(W258&gt;=$D$1,X258&lt;0,Y258&lt;$D$2,V258/U258&lt;3),"Serious",AND(W258&gt;=$D$1,X258&lt;0,Y258&gt;$D$2,V258/U258&lt;3),"Very serious", AND(W258&lt;=$D$1*-1,Y258&gt;0,X258&gt;$D$2*-1,V258/U258&gt;=3),"Very serious", AND(W258&lt;=$D$1*-1,Y258&gt;0,X258&lt;$D$2*-1,V258/U258&gt;=3),"Very serious", AND(W258&gt;=$D$1,X258&lt;0,Y258&lt;$D$2,V258/U258&gt;=3),"Very serious", AND(W258&gt;=$D$1,X258&lt;0,Y258&gt;$D$2,V258/U258&gt;=3),"Very serious", AND(W258&gt;$D$1*-1,W258&lt;$D$1,X258&gt;$D$1*-1,Y258&lt;$D$1,V258/U258&lt;3),"Not Serious", AND(W258&gt;$D$1*-1,W258&lt;$D$1,OR(X258&lt;=$D$1*-1,Y258&gt;=$D$1),X258&gt;$D$2*-1,Y258&lt;$D$2,V258/U258&lt;3),"Serious", AND(W258&gt;$D$1*-1,W258&lt;$D$1,OR(X258&lt;=$D$2*-1,Y258&gt;=$D$2),V258/U258&lt;3),"Very serious", AND(W258&gt;$D$1*-1,W258&lt;$D$1,X258&gt;$D$1*-1,Y258&lt;$D$1,V258/U258&gt;=3),"Very serious", AND(W258&gt;$D$1*-1,W258&lt;$D$1,OR(X258&lt;=$D$1*-1,Y258&gt;=$D$1),X258&gt;$D$2*-1,Y258&lt;$D$2,V258/U258&gt;=3),"Very serious", AND(W258&gt;$D$1*-1,W258&lt;$D$1,OR(X258&lt;=$D$2*-1,Y258&gt;=$D$2),V258/U258&gt;=3),"Very serious"),"")),"")</f>
        <v/>
      </c>
      <c r="AT258" s="109" t="str">
        <f t="shared" si="9"/>
        <v/>
      </c>
      <c r="AU258" s="64"/>
      <c r="AV258" s="83"/>
      <c r="AW258" s="83"/>
      <c r="AX258" s="83"/>
      <c r="AY258" s="83"/>
      <c r="AZ258" s="83"/>
      <c r="BA258" s="85"/>
      <c r="BB258" s="86" t="str">
        <f>IF(Preferences!B$9="Manual","",IFS(ISBLANK(B258),"",AND(ISNUMBER(E258)=TRUE,ISNUMBER(T258)=FALSE),"Direct", AND(ISNUMBER(E258)=FALSE,ISNUMBER(T258)=TRUE),"Indirect", CN258=4,"Direct",AND(CL258=FALSE, CM258=TRUE,CN258-CO258&gt;-1),"Direct", AND(CL258=FALSE,CM258=TRUE, CN258-CO258&lt;0),"Check algorithm in appendix 2", AND(CL258=TRUE, CM258=FALSE,CN258-CO258&gt;0),"Check algorithm in appendix 2", AND(CL258=TRUE, CM258=FALSE,CN258-CO258=0),"Indirect", AND(CL258=TRUE, CM258=FALSE,CN258-CO258&lt;0),"Indirect", AND(CL258=FALSE,CM258=FALSE,CN258-CO258&gt;-1),"Direct", AND(CL258=FALSE,CM258=FALSE,CN258-CO258&lt;0),"Check algorithm in appendix 2", AND(CL258=TRUE,CM258=TRUE,CN258-CO258&gt;-1),"Direct", AND(CL258=TRUE,CM258=TRUE,CN258-CO258&lt;0),"Check algorithm in appendix 2"))</f>
        <v/>
      </c>
      <c r="BC258" s="120" t="str">
        <f t="shared" si="10"/>
        <v/>
      </c>
      <c r="BD258" s="140"/>
      <c r="BE258" s="122" t="str">
        <f>IF(Preferences!B$3="Manual","", IFERROR(IFS(AND(Preferences!B$3="Automatic",AX258/AW258&gt;=30),"Extremely serious",AND(AY258&lt;=$D$1*-1,BA258&lt;0,AX258/AW258&lt;3),"Not Serious",AND(AY258&lt;=$D$1*-1,BA258&lt;0,AX258/AW258&gt;=3),"Very serious",AND(AY258&gt;=$D$1,AZ258&gt;0,AX258/AW258&lt;3),"Not Serious",AND(AY258&gt;=$D$1,AZ258&gt;0,AX258/AW258&gt;=3),"Very serious",AND(AY258&lt;=$D$1*-1,BA258&gt;0,AZ258&gt;$D$2*-1,AX258/AW258&lt;3),"Serious", AND(AY258&lt;=$D$1*-1,BA258&gt;0,AZ258&lt;$D$2*-1,AX258/AW258&lt;3),"Very serious", AND(AY258&gt;=$D$1,AZ258&lt;0,BA258&lt;$D$2,AX258/AW258&lt;3),"Serious",AND(AY258&gt;=$D$1,AZ258&lt;0,BA258&gt;$D$2,AX258/AW258&lt;3),"Very serious", AND(AY258&lt;=$D$1*-1,BA258&gt;0,AZ258&gt;$D$2*-1,AX258/AW258&gt;=3),"Very serious", AND(AY258&lt;=$D$1*-1,BA258&gt;0,AZ258&lt;$D$2*-1,AX258/AW258&gt;=3),"Very serious", AND(AY258&gt;=$D$1,AZ258&lt;0,BA258&lt;$D$2,AX258/AW258&gt;=3),"Very serious", AND(AY258&gt;=$D$1,AZ258&lt;0,BA258&gt;$D$2,AX258/AW258&gt;=3),"Very serious", AND(AY258&gt;$D$1*-1,AY258&lt;$D$1,AZ258&gt;$D$1*-1,BA258&lt;$D$1,AX258/AW258&lt;3),"Not Serious", AND(AY258&gt;$D$1*-1,AY258&lt;$D$1,OR(AZ258&lt;=$D$1*-1,BA258&gt;=$D$1),AZ258&gt;$D$2*-1,BA258&lt;$D$2,AX258/AW258&lt;3),"Serious", AND(AY258&gt;$D$1*-1,AY258&lt;$D$1,OR(AZ258&lt;=$D$2*-1,BA258&gt;=$D$2),AX258/AW258&lt;3),"Very serious", AND(AY258&gt;$D$1*-1,AY258&lt;$D$1,AZ258&gt;$D$1*-1,BA258&lt;$D$1,AX258/AW258&gt;=3),"Very serious", AND(AY258&gt;$D$1*-1,AY258&lt;$D$1,OR(AZ258&lt;=$D$1*-1,BA258&gt;=$D$1),AZ258&gt;$D$2*-1,BA258&lt;$D$2,AX258/AW258&gt;=3),"Very serious", AND(AY258&gt;$D$1*-1,AY258&lt;$D$1,OR(AZ258&lt;=$D$2*-1,BA258&gt;=$D$2),AX258/AW258&gt;=3),"Very serious"),""))</f>
        <v/>
      </c>
      <c r="BF258" s="107" t="str">
        <f t="shared" si="11"/>
        <v/>
      </c>
      <c r="BG258" s="94" t="str">
        <f t="shared" si="46"/>
        <v/>
      </c>
      <c r="BH258" s="64" t="str">
        <f t="shared" si="12"/>
        <v>#N/A</v>
      </c>
      <c r="BI258" s="64" t="str">
        <f t="shared" si="13"/>
        <v/>
      </c>
      <c r="BJ258" s="123" t="str">
        <f t="shared" si="14"/>
        <v>#N/A</v>
      </c>
      <c r="BK258" s="64" t="str">
        <f t="shared" si="50"/>
        <v>YES</v>
      </c>
      <c r="BL258" s="64" t="str">
        <f t="shared" si="16"/>
        <v>YES</v>
      </c>
      <c r="BM258" s="64" t="str">
        <f t="shared" si="17"/>
        <v>YES</v>
      </c>
      <c r="BN258" s="124" t="str">
        <f t="shared" si="18"/>
        <v/>
      </c>
      <c r="BO258" s="91" t="str">
        <f t="shared" si="19"/>
        <v/>
      </c>
      <c r="BP258" s="91" t="str">
        <f t="shared" si="20"/>
        <v>#N/A</v>
      </c>
      <c r="BQ258" s="91" t="str">
        <f t="shared" si="21"/>
        <v/>
      </c>
      <c r="BR258" s="93" t="str">
        <f t="shared" si="22"/>
        <v/>
      </c>
      <c r="BS258" s="90" t="str">
        <f t="shared" si="23"/>
        <v/>
      </c>
      <c r="BT258" s="93" t="str">
        <f t="shared" si="24"/>
        <v>NA</v>
      </c>
      <c r="BU258" s="125" t="str">
        <f t="shared" si="25"/>
        <v>#N/A</v>
      </c>
      <c r="BV258" s="93" t="str">
        <f t="shared" si="26"/>
        <v/>
      </c>
      <c r="BW258" s="93" t="str">
        <f t="shared" si="27"/>
        <v/>
      </c>
      <c r="BX258" s="93" t="str">
        <f t="shared" si="28"/>
        <v>NA</v>
      </c>
      <c r="BY258" s="95" t="str">
        <f t="shared" si="29"/>
        <v>#N/A</v>
      </c>
      <c r="BZ258" s="93" t="str">
        <f t="shared" si="30"/>
        <v/>
      </c>
      <c r="CA258" s="93" t="str">
        <f t="shared" si="31"/>
        <v/>
      </c>
      <c r="CB258" s="93" t="str">
        <f t="shared" si="32"/>
        <v>NA</v>
      </c>
      <c r="CC258" s="96" t="str">
        <f t="shared" si="33"/>
        <v>#N/A</v>
      </c>
      <c r="CD258" s="93" t="str">
        <f t="shared" si="34"/>
        <v/>
      </c>
      <c r="CE258" s="93" t="str">
        <f t="shared" si="35"/>
        <v/>
      </c>
      <c r="CF258" s="93" t="str">
        <f t="shared" si="36"/>
        <v>NA</v>
      </c>
      <c r="CG258" s="97" t="str">
        <f t="shared" si="37"/>
        <v>#N/A</v>
      </c>
      <c r="CH258" s="98" t="str">
        <f t="shared" si="38"/>
        <v>#N/A</v>
      </c>
      <c r="CI258" s="99" t="str">
        <f t="shared" si="39"/>
        <v>#N/A</v>
      </c>
      <c r="CJ258" s="126" t="str">
        <f t="shared" si="40"/>
        <v>ERROR: check cell</v>
      </c>
      <c r="CK258" s="126"/>
      <c r="CL258" s="127" t="str">
        <f t="shared" si="41"/>
        <v>#DIV/0!</v>
      </c>
      <c r="CM258" s="128" t="str">
        <f t="shared" si="42"/>
        <v>#DIV/0!</v>
      </c>
      <c r="CN258" s="128">
        <f t="shared" si="43"/>
        <v>4</v>
      </c>
      <c r="CO258" s="129">
        <f t="shared" si="44"/>
        <v>4</v>
      </c>
      <c r="CP258" s="129" t="str">
        <f>IFS(C258=Preferences!B$13,B258,B258=Preferences!B$13,C258)</f>
        <v>#N/A</v>
      </c>
    </row>
    <row r="259" ht="13.5" customHeight="1">
      <c r="A259" s="63" t="str">
        <f t="shared" si="45"/>
        <v/>
      </c>
      <c r="B259" s="64"/>
      <c r="C259" s="64"/>
      <c r="D259" s="64"/>
      <c r="E259" s="65"/>
      <c r="F259" s="65"/>
      <c r="G259" s="65"/>
      <c r="H259" s="66"/>
      <c r="I259" s="66"/>
      <c r="J259" s="67"/>
      <c r="K259" s="68"/>
      <c r="L259" s="104"/>
      <c r="M259" s="104"/>
      <c r="N259" s="104"/>
      <c r="O259" s="104"/>
      <c r="P259" s="107" t="str">
        <f t="shared" si="1"/>
        <v/>
      </c>
      <c r="Q259" s="108" t="str">
        <f>IFERROR(IF(AND(Preferences!B$3="Manual",OR(AX259/AW259&gt;G259/F259,BD259="Serious",BD259="Very serious")),"Assess imprecision",IFS(ISBLANK(E259),"",AND(Preferences!B$3="Automatic", G259/F259&gt;=30),"Extremely serious",AND(H259&lt;=$D$1*-1,J259&lt;0,G259/F259&lt;3),"Not serious",AND(H259&lt;=$D$1*-1,J259&lt;0,G259/F259&gt;=3),"Very serious",AND(H259&gt;=$D$1,I259&gt;0,G259/F259&lt;3),"Not serious",AND(H259&gt;=$D$1,I259&gt;0,G259/F259&gt;=3),"Very serious",AND(H259&lt;=$D$1*-1,J259&gt;0,I259&gt;$D$2*-1,G259/F259&lt;3),"Serious", AND(H259&lt;=$D$1*-1,J259&gt;0,I259&lt;$D$2*-1,G259/F259&lt;3),"Very serious", AND(H259&gt;=$D$1,I259&lt;0,J259&lt;$D$2,G259/F259&lt;3),"Serious",AND(H259&gt;=$D$1,I259&lt;0,J259&gt;$D$2,G259/F259&lt;3),"Very serious", AND(H259&lt;=$D$1*-1,J259&gt;0,I259&gt;$D$2*-1,G259/F259&gt;=3),"Very serious", AND(H259&lt;=$D$1*-1,J259&gt;0,I259&lt;$D$2*-1,G259/F259&gt;=3),"Very serious", AND(H259&gt;=$D$1,I259&lt;0,J259&lt;$D$2,G259/F259&gt;=3),"Very serious", AND(H259&gt;=$D$1,I259&lt;0,J259&gt;$D$2,G259/F259&gt;=3),"Very serious", AND(H259&gt;$D$1*-1,H259&lt;$D$1,I259&gt;$D$1*-1,J259&lt;$D$1,G259/F259&lt;3),"Not serious", AND(H259&gt;$D$1*-1,H259&lt;$D$1,OR(I259&lt;=$D$1*-1,J259&gt;=$D$1),I259&gt;$D$2*-1,J259&lt;$D$2,G259/F259&lt;3),"Serious", AND(H259&gt;$D$1*-1,H259&lt;$D$1,OR(I259&lt;=$D$2*-1,J259&gt;=$D$2),G259/F259&lt;3),"Very serious", AND(H259&gt;$D$1*-1,H259&lt;$D$1,I259&gt;$D$1*-1,J259&lt;$D$1,G259/F259&gt;=3),"Very serious", AND(H259&gt;$D$1*-1,H259&lt;$D$1,OR(I259&lt;=$D$1*-1,J259&gt;=$D$1),I259&gt;$D$2*-1,J259&lt;$D$2,G259/F259&gt;=3),"Very serious", AND(H259&gt;$D$1*-1,H259&lt;$D$1,OR(I259&lt;=$D$2*-1,J259&gt;=$D$2),G259/F259&gt;=3),"Very serious")),"")</f>
        <v/>
      </c>
      <c r="R259" s="109" t="str">
        <f t="shared" si="47"/>
        <v/>
      </c>
      <c r="S259" s="64"/>
      <c r="T259" s="72"/>
      <c r="U259" s="72"/>
      <c r="V259" s="72"/>
      <c r="W259" s="73"/>
      <c r="X259" s="73"/>
      <c r="Y259" s="74"/>
      <c r="Z259" s="113" t="str">
        <f t="array" ref="Z259">INDEX($A$1:$C$500, MATCH(1,($B:$B=$B259)*($C:$C=$AB259),0),1)</f>
        <v/>
      </c>
      <c r="AA259" s="113" t="str">
        <f t="array" ref="AA259">INDEX($A$1:$C$500, MATCH(1,($B:$B=$AB259)*($C:$C=$B259),0),1)</f>
        <v/>
      </c>
      <c r="AB259" s="111"/>
      <c r="AC259" s="114" t="str">
        <f t="shared" si="2"/>
        <v/>
      </c>
      <c r="AD259" s="115" t="str">
        <f t="shared" si="3"/>
        <v/>
      </c>
      <c r="AE259" s="116" t="str">
        <f t="array" ref="AE259">INDEX($A$1:$C$500, MATCH(1,($B:$B=$AB259)*($C:$C=$AG259),0),1)</f>
        <v/>
      </c>
      <c r="AF259" s="116" t="str">
        <f t="array" ref="AF259">INDEX($A$1:$C$500, MATCH(1,($B:$B=$AG259)*($C:$C=$AB259),0),1)</f>
        <v/>
      </c>
      <c r="AG259" s="72"/>
      <c r="AH259" s="114" t="str">
        <f t="shared" si="4"/>
        <v/>
      </c>
      <c r="AI259" s="115" t="str">
        <f t="shared" si="5"/>
        <v/>
      </c>
      <c r="AJ259" s="116" t="str">
        <f t="array" ref="AJ259">INDEX($A$1:$C$500, MATCH(1,($B:$B=$C259)*($C:$C=$AG259),0),1)</f>
        <v/>
      </c>
      <c r="AK259" s="116" t="str">
        <f t="array" ref="AK259">INDEX($A$1:$C$500, MATCH(1,($B:$B=$AG259)*($C:$C=$C259),0),1)</f>
        <v/>
      </c>
      <c r="AL259" s="116" t="str">
        <f t="array" ref="AL259">INDEX($A$1:$C$500, MATCH(1,($B:$B=$C259)*($C:$C=$AB259),0),1)</f>
        <v/>
      </c>
      <c r="AM259" s="116" t="str">
        <f t="array" ref="AM259">INDEX($A$1:$C$500, MATCH(1,($B:$B=$AB259)*($C:$C=$C259),0),1)</f>
        <v/>
      </c>
      <c r="AN259" s="114" t="str">
        <f t="array" ref="AN259">IFS(ISNUMBER(AJ259),AJ259,ISNUMBER(AK259),AK259,ISNUMBER(AL259),AL259,ISNUMBER(AM259),AM259)</f>
        <v>#N/A</v>
      </c>
      <c r="AO259" s="115" t="str">
        <f t="shared" si="6"/>
        <v/>
      </c>
      <c r="AP259" s="115" t="str">
        <f t="shared" si="7"/>
        <v/>
      </c>
      <c r="AQ259" s="111"/>
      <c r="AR259" s="109" t="str">
        <f t="shared" si="8"/>
        <v/>
      </c>
      <c r="AS259" s="72" t="str">
        <f>IFERROR(IF(AND(Preferences!B$3="Manual",OR(AX259/AW259&gt;V259/U259,BD259="Serious",BD259="Very serious")),"Assess imprecision",IFERROR(IFS(AND(Preferences!B$3="Automatic",V259/U259&gt;=30),"Extremely serious",AND(W259&lt;=$D$1*-1,Y259&lt;0,V259/U259&lt;3),"Not Serious",AND(W259&lt;=$D$1*-1,Y259&lt;0,V259/U259&gt;=3),"Very serious",AND(W259&gt;=$D$1,X259&gt;0,V259/U259&lt;3),"Not Serious",AND(W259&gt;=$D$1,X259&gt;0,V259/U259&gt;=3),"Very serious",AND(W259&lt;=$D$1*-1,Y259&gt;0,X259&gt;$D$2*-1,V259/U259&lt;3),"Serious", AND(W259&lt;=$D$1*-1,Y259&gt;0,X259&lt;$D$2*-1,V259/U259&lt;3),"Very serious", AND(W259&gt;=$D$1,X259&lt;0,Y259&lt;$D$2,V259/U259&lt;3),"Serious",AND(W259&gt;=$D$1,X259&lt;0,Y259&gt;$D$2,V259/U259&lt;3),"Very serious", AND(W259&lt;=$D$1*-1,Y259&gt;0,X259&gt;$D$2*-1,V259/U259&gt;=3),"Very serious", AND(W259&lt;=$D$1*-1,Y259&gt;0,X259&lt;$D$2*-1,V259/U259&gt;=3),"Very serious", AND(W259&gt;=$D$1,X259&lt;0,Y259&lt;$D$2,V259/U259&gt;=3),"Very serious", AND(W259&gt;=$D$1,X259&lt;0,Y259&gt;$D$2,V259/U259&gt;=3),"Very serious", AND(W259&gt;$D$1*-1,W259&lt;$D$1,X259&gt;$D$1*-1,Y259&lt;$D$1,V259/U259&lt;3),"Not Serious", AND(W259&gt;$D$1*-1,W259&lt;$D$1,OR(X259&lt;=$D$1*-1,Y259&gt;=$D$1),X259&gt;$D$2*-1,Y259&lt;$D$2,V259/U259&lt;3),"Serious", AND(W259&gt;$D$1*-1,W259&lt;$D$1,OR(X259&lt;=$D$2*-1,Y259&gt;=$D$2),V259/U259&lt;3),"Very serious", AND(W259&gt;$D$1*-1,W259&lt;$D$1,X259&gt;$D$1*-1,Y259&lt;$D$1,V259/U259&gt;=3),"Very serious", AND(W259&gt;$D$1*-1,W259&lt;$D$1,OR(X259&lt;=$D$1*-1,Y259&gt;=$D$1),X259&gt;$D$2*-1,Y259&lt;$D$2,V259/U259&gt;=3),"Very serious", AND(W259&gt;$D$1*-1,W259&lt;$D$1,OR(X259&lt;=$D$2*-1,Y259&gt;=$D$2),V259/U259&gt;=3),"Very serious"),"")),"")</f>
        <v/>
      </c>
      <c r="AT259" s="109" t="str">
        <f t="shared" si="9"/>
        <v/>
      </c>
      <c r="AU259" s="64"/>
      <c r="AV259" s="83"/>
      <c r="AW259" s="83"/>
      <c r="AX259" s="83"/>
      <c r="AY259" s="83"/>
      <c r="AZ259" s="83"/>
      <c r="BA259" s="85"/>
      <c r="BB259" s="86" t="str">
        <f>IF(Preferences!B$9="Manual","",IFS(ISBLANK(B259),"",AND(ISNUMBER(E259)=TRUE,ISNUMBER(T259)=FALSE),"Direct", AND(ISNUMBER(E259)=FALSE,ISNUMBER(T259)=TRUE),"Indirect", CN259=4,"Direct",AND(CL259=FALSE, CM259=TRUE,CN259-CO259&gt;-1),"Direct", AND(CL259=FALSE,CM259=TRUE, CN259-CO259&lt;0),"Check algorithm in appendix 2", AND(CL259=TRUE, CM259=FALSE,CN259-CO259&gt;0),"Check algorithm in appendix 2", AND(CL259=TRUE, CM259=FALSE,CN259-CO259=0),"Indirect", AND(CL259=TRUE, CM259=FALSE,CN259-CO259&lt;0),"Indirect", AND(CL259=FALSE,CM259=FALSE,CN259-CO259&gt;-1),"Direct", AND(CL259=FALSE,CM259=FALSE,CN259-CO259&lt;0),"Check algorithm in appendix 2", AND(CL259=TRUE,CM259=TRUE,CN259-CO259&gt;-1),"Direct", AND(CL259=TRUE,CM259=TRUE,CN259-CO259&lt;0),"Check algorithm in appendix 2"))</f>
        <v/>
      </c>
      <c r="BC259" s="120" t="str">
        <f t="shared" si="10"/>
        <v/>
      </c>
      <c r="BD259" s="140"/>
      <c r="BE259" s="122" t="str">
        <f>IF(Preferences!B$3="Manual","", IFERROR(IFS(AND(Preferences!B$3="Automatic",AX259/AW259&gt;=30),"Extremely serious",AND(AY259&lt;=$D$1*-1,BA259&lt;0,AX259/AW259&lt;3),"Not Serious",AND(AY259&lt;=$D$1*-1,BA259&lt;0,AX259/AW259&gt;=3),"Very serious",AND(AY259&gt;=$D$1,AZ259&gt;0,AX259/AW259&lt;3),"Not Serious",AND(AY259&gt;=$D$1,AZ259&gt;0,AX259/AW259&gt;=3),"Very serious",AND(AY259&lt;=$D$1*-1,BA259&gt;0,AZ259&gt;$D$2*-1,AX259/AW259&lt;3),"Serious", AND(AY259&lt;=$D$1*-1,BA259&gt;0,AZ259&lt;$D$2*-1,AX259/AW259&lt;3),"Very serious", AND(AY259&gt;=$D$1,AZ259&lt;0,BA259&lt;$D$2,AX259/AW259&lt;3),"Serious",AND(AY259&gt;=$D$1,AZ259&lt;0,BA259&gt;$D$2,AX259/AW259&lt;3),"Very serious", AND(AY259&lt;=$D$1*-1,BA259&gt;0,AZ259&gt;$D$2*-1,AX259/AW259&gt;=3),"Very serious", AND(AY259&lt;=$D$1*-1,BA259&gt;0,AZ259&lt;$D$2*-1,AX259/AW259&gt;=3),"Very serious", AND(AY259&gt;=$D$1,AZ259&lt;0,BA259&lt;$D$2,AX259/AW259&gt;=3),"Very serious", AND(AY259&gt;=$D$1,AZ259&lt;0,BA259&gt;$D$2,AX259/AW259&gt;=3),"Very serious", AND(AY259&gt;$D$1*-1,AY259&lt;$D$1,AZ259&gt;$D$1*-1,BA259&lt;$D$1,AX259/AW259&lt;3),"Not Serious", AND(AY259&gt;$D$1*-1,AY259&lt;$D$1,OR(AZ259&lt;=$D$1*-1,BA259&gt;=$D$1),AZ259&gt;$D$2*-1,BA259&lt;$D$2,AX259/AW259&lt;3),"Serious", AND(AY259&gt;$D$1*-1,AY259&lt;$D$1,OR(AZ259&lt;=$D$2*-1,BA259&gt;=$D$2),AX259/AW259&lt;3),"Very serious", AND(AY259&gt;$D$1*-1,AY259&lt;$D$1,AZ259&gt;$D$1*-1,BA259&lt;$D$1,AX259/AW259&gt;=3),"Very serious", AND(AY259&gt;$D$1*-1,AY259&lt;$D$1,OR(AZ259&lt;=$D$1*-1,BA259&gt;=$D$1),AZ259&gt;$D$2*-1,BA259&lt;$D$2,AX259/AW259&gt;=3),"Very serious", AND(AY259&gt;$D$1*-1,AY259&lt;$D$1,OR(AZ259&lt;=$D$2*-1,BA259&gt;=$D$2),AX259/AW259&gt;=3),"Very serious"),""))</f>
        <v/>
      </c>
      <c r="BF259" s="107" t="str">
        <f t="shared" si="11"/>
        <v/>
      </c>
      <c r="BG259" s="94" t="str">
        <f t="shared" si="46"/>
        <v/>
      </c>
      <c r="BH259" s="64" t="str">
        <f t="shared" si="12"/>
        <v>#N/A</v>
      </c>
      <c r="BI259" s="64" t="str">
        <f t="shared" si="13"/>
        <v/>
      </c>
      <c r="BJ259" s="123" t="str">
        <f t="shared" si="14"/>
        <v>#N/A</v>
      </c>
      <c r="BK259" s="64" t="str">
        <f t="shared" si="50"/>
        <v>YES</v>
      </c>
      <c r="BL259" s="64" t="str">
        <f t="shared" si="16"/>
        <v>YES</v>
      </c>
      <c r="BM259" s="64" t="str">
        <f t="shared" si="17"/>
        <v>YES</v>
      </c>
      <c r="BN259" s="124" t="str">
        <f t="shared" si="18"/>
        <v/>
      </c>
      <c r="BO259" s="91" t="str">
        <f t="shared" si="19"/>
        <v/>
      </c>
      <c r="BP259" s="91" t="str">
        <f t="shared" si="20"/>
        <v>#N/A</v>
      </c>
      <c r="BQ259" s="91" t="str">
        <f t="shared" si="21"/>
        <v/>
      </c>
      <c r="BR259" s="93" t="str">
        <f t="shared" si="22"/>
        <v/>
      </c>
      <c r="BS259" s="90" t="str">
        <f t="shared" si="23"/>
        <v/>
      </c>
      <c r="BT259" s="93" t="str">
        <f t="shared" si="24"/>
        <v>NA</v>
      </c>
      <c r="BU259" s="125" t="str">
        <f t="shared" si="25"/>
        <v>#N/A</v>
      </c>
      <c r="BV259" s="93" t="str">
        <f t="shared" si="26"/>
        <v/>
      </c>
      <c r="BW259" s="93" t="str">
        <f t="shared" si="27"/>
        <v/>
      </c>
      <c r="BX259" s="93" t="str">
        <f t="shared" si="28"/>
        <v>NA</v>
      </c>
      <c r="BY259" s="95" t="str">
        <f t="shared" si="29"/>
        <v>#N/A</v>
      </c>
      <c r="BZ259" s="93" t="str">
        <f t="shared" si="30"/>
        <v/>
      </c>
      <c r="CA259" s="93" t="str">
        <f t="shared" si="31"/>
        <v/>
      </c>
      <c r="CB259" s="93" t="str">
        <f t="shared" si="32"/>
        <v>NA</v>
      </c>
      <c r="CC259" s="96" t="str">
        <f t="shared" si="33"/>
        <v>#N/A</v>
      </c>
      <c r="CD259" s="93" t="str">
        <f t="shared" si="34"/>
        <v/>
      </c>
      <c r="CE259" s="93" t="str">
        <f t="shared" si="35"/>
        <v/>
      </c>
      <c r="CF259" s="93" t="str">
        <f t="shared" si="36"/>
        <v>NA</v>
      </c>
      <c r="CG259" s="97" t="str">
        <f t="shared" si="37"/>
        <v>#N/A</v>
      </c>
      <c r="CH259" s="98" t="str">
        <f t="shared" si="38"/>
        <v>#N/A</v>
      </c>
      <c r="CI259" s="99" t="str">
        <f t="shared" si="39"/>
        <v>#N/A</v>
      </c>
      <c r="CJ259" s="126" t="str">
        <f t="shared" si="40"/>
        <v>ERROR: check cell</v>
      </c>
      <c r="CK259" s="126"/>
      <c r="CL259" s="127" t="str">
        <f t="shared" si="41"/>
        <v>#DIV/0!</v>
      </c>
      <c r="CM259" s="128" t="str">
        <f t="shared" si="42"/>
        <v>#DIV/0!</v>
      </c>
      <c r="CN259" s="128">
        <f t="shared" si="43"/>
        <v>4</v>
      </c>
      <c r="CO259" s="129">
        <f t="shared" si="44"/>
        <v>4</v>
      </c>
      <c r="CP259" s="129" t="str">
        <f>IFS(C259=Preferences!B$13,B259,B259=Preferences!B$13,C259)</f>
        <v>#N/A</v>
      </c>
    </row>
    <row r="260" ht="13.5" customHeight="1">
      <c r="A260" s="63" t="str">
        <f t="shared" si="45"/>
        <v/>
      </c>
      <c r="B260" s="64"/>
      <c r="C260" s="64"/>
      <c r="D260" s="64"/>
      <c r="E260" s="65"/>
      <c r="F260" s="65"/>
      <c r="G260" s="65"/>
      <c r="H260" s="66"/>
      <c r="I260" s="66"/>
      <c r="J260" s="67"/>
      <c r="K260" s="68"/>
      <c r="L260" s="104"/>
      <c r="M260" s="104"/>
      <c r="N260" s="104"/>
      <c r="O260" s="104"/>
      <c r="P260" s="107" t="str">
        <f t="shared" si="1"/>
        <v/>
      </c>
      <c r="Q260" s="108" t="str">
        <f>IFERROR(IF(AND(Preferences!B$3="Manual",OR(AX260/AW260&gt;G260/F260,BD260="Serious",BD260="Very serious")),"Assess imprecision",IFS(ISBLANK(E260),"",AND(Preferences!B$3="Automatic", G260/F260&gt;=30),"Extremely serious",AND(H260&lt;=$D$1*-1,J260&lt;0,G260/F260&lt;3),"Not serious",AND(H260&lt;=$D$1*-1,J260&lt;0,G260/F260&gt;=3),"Very serious",AND(H260&gt;=$D$1,I260&gt;0,G260/F260&lt;3),"Not serious",AND(H260&gt;=$D$1,I260&gt;0,G260/F260&gt;=3),"Very serious",AND(H260&lt;=$D$1*-1,J260&gt;0,I260&gt;$D$2*-1,G260/F260&lt;3),"Serious", AND(H260&lt;=$D$1*-1,J260&gt;0,I260&lt;$D$2*-1,G260/F260&lt;3),"Very serious", AND(H260&gt;=$D$1,I260&lt;0,J260&lt;$D$2,G260/F260&lt;3),"Serious",AND(H260&gt;=$D$1,I260&lt;0,J260&gt;$D$2,G260/F260&lt;3),"Very serious", AND(H260&lt;=$D$1*-1,J260&gt;0,I260&gt;$D$2*-1,G260/F260&gt;=3),"Very serious", AND(H260&lt;=$D$1*-1,J260&gt;0,I260&lt;$D$2*-1,G260/F260&gt;=3),"Very serious", AND(H260&gt;=$D$1,I260&lt;0,J260&lt;$D$2,G260/F260&gt;=3),"Very serious", AND(H260&gt;=$D$1,I260&lt;0,J260&gt;$D$2,G260/F260&gt;=3),"Very serious", AND(H260&gt;$D$1*-1,H260&lt;$D$1,I260&gt;$D$1*-1,J260&lt;$D$1,G260/F260&lt;3),"Not serious", AND(H260&gt;$D$1*-1,H260&lt;$D$1,OR(I260&lt;=$D$1*-1,J260&gt;=$D$1),I260&gt;$D$2*-1,J260&lt;$D$2,G260/F260&lt;3),"Serious", AND(H260&gt;$D$1*-1,H260&lt;$D$1,OR(I260&lt;=$D$2*-1,J260&gt;=$D$2),G260/F260&lt;3),"Very serious", AND(H260&gt;$D$1*-1,H260&lt;$D$1,I260&gt;$D$1*-1,J260&lt;$D$1,G260/F260&gt;=3),"Very serious", AND(H260&gt;$D$1*-1,H260&lt;$D$1,OR(I260&lt;=$D$1*-1,J260&gt;=$D$1),I260&gt;$D$2*-1,J260&lt;$D$2,G260/F260&gt;=3),"Very serious", AND(H260&gt;$D$1*-1,H260&lt;$D$1,OR(I260&lt;=$D$2*-1,J260&gt;=$D$2),G260/F260&gt;=3),"Very serious")),"")</f>
        <v/>
      </c>
      <c r="R260" s="109" t="str">
        <f t="shared" si="47"/>
        <v/>
      </c>
      <c r="S260" s="64"/>
      <c r="T260" s="72"/>
      <c r="U260" s="72"/>
      <c r="V260" s="72"/>
      <c r="W260" s="73"/>
      <c r="X260" s="73"/>
      <c r="Y260" s="74"/>
      <c r="Z260" s="113" t="str">
        <f t="array" ref="Z260">INDEX($A$1:$C$500, MATCH(1,($B:$B=$B260)*($C:$C=$AB260),0),1)</f>
        <v/>
      </c>
      <c r="AA260" s="113" t="str">
        <f t="array" ref="AA260">INDEX($A$1:$C$500, MATCH(1,($B:$B=$AB260)*($C:$C=$B260),0),1)</f>
        <v/>
      </c>
      <c r="AB260" s="111"/>
      <c r="AC260" s="114" t="str">
        <f t="shared" si="2"/>
        <v/>
      </c>
      <c r="AD260" s="115" t="str">
        <f t="shared" si="3"/>
        <v/>
      </c>
      <c r="AE260" s="116" t="str">
        <f t="array" ref="AE260">INDEX($A$1:$C$500, MATCH(1,($B:$B=$AB260)*($C:$C=$AG260),0),1)</f>
        <v/>
      </c>
      <c r="AF260" s="116" t="str">
        <f t="array" ref="AF260">INDEX($A$1:$C$500, MATCH(1,($B:$B=$AG260)*($C:$C=$AB260),0),1)</f>
        <v/>
      </c>
      <c r="AG260" s="72"/>
      <c r="AH260" s="114" t="str">
        <f t="shared" si="4"/>
        <v/>
      </c>
      <c r="AI260" s="115" t="str">
        <f t="shared" si="5"/>
        <v/>
      </c>
      <c r="AJ260" s="116" t="str">
        <f t="array" ref="AJ260">INDEX($A$1:$C$500, MATCH(1,($B:$B=$C260)*($C:$C=$AG260),0),1)</f>
        <v/>
      </c>
      <c r="AK260" s="116" t="str">
        <f t="array" ref="AK260">INDEX($A$1:$C$500, MATCH(1,($B:$B=$AG260)*($C:$C=$C260),0),1)</f>
        <v/>
      </c>
      <c r="AL260" s="116" t="str">
        <f t="array" ref="AL260">INDEX($A$1:$C$500, MATCH(1,($B:$B=$C260)*($C:$C=$AB260),0),1)</f>
        <v/>
      </c>
      <c r="AM260" s="116" t="str">
        <f t="array" ref="AM260">INDEX($A$1:$C$500, MATCH(1,($B:$B=$AB260)*($C:$C=$C260),0),1)</f>
        <v/>
      </c>
      <c r="AN260" s="114" t="str">
        <f t="array" ref="AN260">IFS(ISNUMBER(AJ260),AJ260,ISNUMBER(AK260),AK260,ISNUMBER(AL260),AL260,ISNUMBER(AM260),AM260)</f>
        <v>#N/A</v>
      </c>
      <c r="AO260" s="115" t="str">
        <f t="shared" si="6"/>
        <v/>
      </c>
      <c r="AP260" s="115" t="str">
        <f t="shared" si="7"/>
        <v/>
      </c>
      <c r="AQ260" s="111"/>
      <c r="AR260" s="109" t="str">
        <f t="shared" si="8"/>
        <v/>
      </c>
      <c r="AS260" s="72" t="str">
        <f>IFERROR(IF(AND(Preferences!B$3="Manual",OR(AX260/AW260&gt;V260/U260,BD260="Serious",BD260="Very serious")),"Assess imprecision",IFERROR(IFS(AND(Preferences!B$3="Automatic",V260/U260&gt;=30),"Extremely serious",AND(W260&lt;=$D$1*-1,Y260&lt;0,V260/U260&lt;3),"Not Serious",AND(W260&lt;=$D$1*-1,Y260&lt;0,V260/U260&gt;=3),"Very serious",AND(W260&gt;=$D$1,X260&gt;0,V260/U260&lt;3),"Not Serious",AND(W260&gt;=$D$1,X260&gt;0,V260/U260&gt;=3),"Very serious",AND(W260&lt;=$D$1*-1,Y260&gt;0,X260&gt;$D$2*-1,V260/U260&lt;3),"Serious", AND(W260&lt;=$D$1*-1,Y260&gt;0,X260&lt;$D$2*-1,V260/U260&lt;3),"Very serious", AND(W260&gt;=$D$1,X260&lt;0,Y260&lt;$D$2,V260/U260&lt;3),"Serious",AND(W260&gt;=$D$1,X260&lt;0,Y260&gt;$D$2,V260/U260&lt;3),"Very serious", AND(W260&lt;=$D$1*-1,Y260&gt;0,X260&gt;$D$2*-1,V260/U260&gt;=3),"Very serious", AND(W260&lt;=$D$1*-1,Y260&gt;0,X260&lt;$D$2*-1,V260/U260&gt;=3),"Very serious", AND(W260&gt;=$D$1,X260&lt;0,Y260&lt;$D$2,V260/U260&gt;=3),"Very serious", AND(W260&gt;=$D$1,X260&lt;0,Y260&gt;$D$2,V260/U260&gt;=3),"Very serious", AND(W260&gt;$D$1*-1,W260&lt;$D$1,X260&gt;$D$1*-1,Y260&lt;$D$1,V260/U260&lt;3),"Not Serious", AND(W260&gt;$D$1*-1,W260&lt;$D$1,OR(X260&lt;=$D$1*-1,Y260&gt;=$D$1),X260&gt;$D$2*-1,Y260&lt;$D$2,V260/U260&lt;3),"Serious", AND(W260&gt;$D$1*-1,W260&lt;$D$1,OR(X260&lt;=$D$2*-1,Y260&gt;=$D$2),V260/U260&lt;3),"Very serious", AND(W260&gt;$D$1*-1,W260&lt;$D$1,X260&gt;$D$1*-1,Y260&lt;$D$1,V260/U260&gt;=3),"Very serious", AND(W260&gt;$D$1*-1,W260&lt;$D$1,OR(X260&lt;=$D$1*-1,Y260&gt;=$D$1),X260&gt;$D$2*-1,Y260&lt;$D$2,V260/U260&gt;=3),"Very serious", AND(W260&gt;$D$1*-1,W260&lt;$D$1,OR(X260&lt;=$D$2*-1,Y260&gt;=$D$2),V260/U260&gt;=3),"Very serious"),"")),"")</f>
        <v/>
      </c>
      <c r="AT260" s="109" t="str">
        <f t="shared" si="9"/>
        <v/>
      </c>
      <c r="AU260" s="64"/>
      <c r="AV260" s="83"/>
      <c r="AW260" s="83"/>
      <c r="AX260" s="83"/>
      <c r="AY260" s="83"/>
      <c r="AZ260" s="83"/>
      <c r="BA260" s="85"/>
      <c r="BB260" s="86" t="str">
        <f>IF(Preferences!B$9="Manual","",IFS(ISBLANK(B260),"",AND(ISNUMBER(E260)=TRUE,ISNUMBER(T260)=FALSE),"Direct", AND(ISNUMBER(E260)=FALSE,ISNUMBER(T260)=TRUE),"Indirect", CN260=4,"Direct",AND(CL260=FALSE, CM260=TRUE,CN260-CO260&gt;-1),"Direct", AND(CL260=FALSE,CM260=TRUE, CN260-CO260&lt;0),"Check algorithm in appendix 2", AND(CL260=TRUE, CM260=FALSE,CN260-CO260&gt;0),"Check algorithm in appendix 2", AND(CL260=TRUE, CM260=FALSE,CN260-CO260=0),"Indirect", AND(CL260=TRUE, CM260=FALSE,CN260-CO260&lt;0),"Indirect", AND(CL260=FALSE,CM260=FALSE,CN260-CO260&gt;-1),"Direct", AND(CL260=FALSE,CM260=FALSE,CN260-CO260&lt;0),"Check algorithm in appendix 2", AND(CL260=TRUE,CM260=TRUE,CN260-CO260&gt;-1),"Direct", AND(CL260=TRUE,CM260=TRUE,CN260-CO260&lt;0),"Check algorithm in appendix 2"))</f>
        <v/>
      </c>
      <c r="BC260" s="120" t="str">
        <f t="shared" si="10"/>
        <v/>
      </c>
      <c r="BD260" s="140"/>
      <c r="BE260" s="122" t="str">
        <f>IF(Preferences!B$3="Manual","", IFERROR(IFS(AND(Preferences!B$3="Automatic",AX260/AW260&gt;=30),"Extremely serious",AND(AY260&lt;=$D$1*-1,BA260&lt;0,AX260/AW260&lt;3),"Not Serious",AND(AY260&lt;=$D$1*-1,BA260&lt;0,AX260/AW260&gt;=3),"Very serious",AND(AY260&gt;=$D$1,AZ260&gt;0,AX260/AW260&lt;3),"Not Serious",AND(AY260&gt;=$D$1,AZ260&gt;0,AX260/AW260&gt;=3),"Very serious",AND(AY260&lt;=$D$1*-1,BA260&gt;0,AZ260&gt;$D$2*-1,AX260/AW260&lt;3),"Serious", AND(AY260&lt;=$D$1*-1,BA260&gt;0,AZ260&lt;$D$2*-1,AX260/AW260&lt;3),"Very serious", AND(AY260&gt;=$D$1,AZ260&lt;0,BA260&lt;$D$2,AX260/AW260&lt;3),"Serious",AND(AY260&gt;=$D$1,AZ260&lt;0,BA260&gt;$D$2,AX260/AW260&lt;3),"Very serious", AND(AY260&lt;=$D$1*-1,BA260&gt;0,AZ260&gt;$D$2*-1,AX260/AW260&gt;=3),"Very serious", AND(AY260&lt;=$D$1*-1,BA260&gt;0,AZ260&lt;$D$2*-1,AX260/AW260&gt;=3),"Very serious", AND(AY260&gt;=$D$1,AZ260&lt;0,BA260&lt;$D$2,AX260/AW260&gt;=3),"Very serious", AND(AY260&gt;=$D$1,AZ260&lt;0,BA260&gt;$D$2,AX260/AW260&gt;=3),"Very serious", AND(AY260&gt;$D$1*-1,AY260&lt;$D$1,AZ260&gt;$D$1*-1,BA260&lt;$D$1,AX260/AW260&lt;3),"Not Serious", AND(AY260&gt;$D$1*-1,AY260&lt;$D$1,OR(AZ260&lt;=$D$1*-1,BA260&gt;=$D$1),AZ260&gt;$D$2*-1,BA260&lt;$D$2,AX260/AW260&lt;3),"Serious", AND(AY260&gt;$D$1*-1,AY260&lt;$D$1,OR(AZ260&lt;=$D$2*-1,BA260&gt;=$D$2),AX260/AW260&lt;3),"Very serious", AND(AY260&gt;$D$1*-1,AY260&lt;$D$1,AZ260&gt;$D$1*-1,BA260&lt;$D$1,AX260/AW260&gt;=3),"Very serious", AND(AY260&gt;$D$1*-1,AY260&lt;$D$1,OR(AZ260&lt;=$D$1*-1,BA260&gt;=$D$1),AZ260&gt;$D$2*-1,BA260&lt;$D$2,AX260/AW260&gt;=3),"Very serious", AND(AY260&gt;$D$1*-1,AY260&lt;$D$1,OR(AZ260&lt;=$D$2*-1,BA260&gt;=$D$2),AX260/AW260&gt;=3),"Very serious"),""))</f>
        <v/>
      </c>
      <c r="BF260" s="107" t="str">
        <f t="shared" si="11"/>
        <v/>
      </c>
      <c r="BG260" s="94" t="str">
        <f t="shared" si="46"/>
        <v/>
      </c>
      <c r="BH260" s="64" t="str">
        <f t="shared" si="12"/>
        <v>#N/A</v>
      </c>
      <c r="BI260" s="64" t="str">
        <f t="shared" si="13"/>
        <v/>
      </c>
      <c r="BJ260" s="123" t="str">
        <f t="shared" si="14"/>
        <v>#N/A</v>
      </c>
      <c r="BK260" s="64" t="str">
        <f t="shared" si="50"/>
        <v>YES</v>
      </c>
      <c r="BL260" s="64" t="str">
        <f t="shared" si="16"/>
        <v>YES</v>
      </c>
      <c r="BM260" s="64" t="str">
        <f t="shared" si="17"/>
        <v>YES</v>
      </c>
      <c r="BN260" s="124" t="str">
        <f t="shared" si="18"/>
        <v/>
      </c>
      <c r="BO260" s="91" t="str">
        <f t="shared" si="19"/>
        <v/>
      </c>
      <c r="BP260" s="91" t="str">
        <f t="shared" si="20"/>
        <v>#N/A</v>
      </c>
      <c r="BQ260" s="91" t="str">
        <f t="shared" si="21"/>
        <v/>
      </c>
      <c r="BR260" s="93" t="str">
        <f t="shared" si="22"/>
        <v/>
      </c>
      <c r="BS260" s="90" t="str">
        <f t="shared" si="23"/>
        <v/>
      </c>
      <c r="BT260" s="93" t="str">
        <f t="shared" si="24"/>
        <v>NA</v>
      </c>
      <c r="BU260" s="125" t="str">
        <f t="shared" si="25"/>
        <v>#N/A</v>
      </c>
      <c r="BV260" s="93" t="str">
        <f t="shared" si="26"/>
        <v/>
      </c>
      <c r="BW260" s="93" t="str">
        <f t="shared" si="27"/>
        <v/>
      </c>
      <c r="BX260" s="93" t="str">
        <f t="shared" si="28"/>
        <v>NA</v>
      </c>
      <c r="BY260" s="95" t="str">
        <f t="shared" si="29"/>
        <v>#N/A</v>
      </c>
      <c r="BZ260" s="93" t="str">
        <f t="shared" si="30"/>
        <v/>
      </c>
      <c r="CA260" s="93" t="str">
        <f t="shared" si="31"/>
        <v/>
      </c>
      <c r="CB260" s="93" t="str">
        <f t="shared" si="32"/>
        <v>NA</v>
      </c>
      <c r="CC260" s="96" t="str">
        <f t="shared" si="33"/>
        <v>#N/A</v>
      </c>
      <c r="CD260" s="93" t="str">
        <f t="shared" si="34"/>
        <v/>
      </c>
      <c r="CE260" s="93" t="str">
        <f t="shared" si="35"/>
        <v/>
      </c>
      <c r="CF260" s="93" t="str">
        <f t="shared" si="36"/>
        <v>NA</v>
      </c>
      <c r="CG260" s="97" t="str">
        <f t="shared" si="37"/>
        <v>#N/A</v>
      </c>
      <c r="CH260" s="98" t="str">
        <f t="shared" si="38"/>
        <v>#N/A</v>
      </c>
      <c r="CI260" s="99" t="str">
        <f t="shared" si="39"/>
        <v>#N/A</v>
      </c>
      <c r="CJ260" s="126" t="str">
        <f t="shared" si="40"/>
        <v>ERROR: check cell</v>
      </c>
      <c r="CK260" s="126"/>
      <c r="CL260" s="127" t="str">
        <f t="shared" si="41"/>
        <v>#DIV/0!</v>
      </c>
      <c r="CM260" s="128" t="str">
        <f t="shared" si="42"/>
        <v>#DIV/0!</v>
      </c>
      <c r="CN260" s="128">
        <f t="shared" si="43"/>
        <v>4</v>
      </c>
      <c r="CO260" s="129">
        <f t="shared" si="44"/>
        <v>4</v>
      </c>
      <c r="CP260" s="129" t="str">
        <f>IFS(C260=Preferences!B$13,B260,B260=Preferences!B$13,C260)</f>
        <v>#N/A</v>
      </c>
    </row>
    <row r="261" ht="13.5" customHeight="1">
      <c r="A261" s="63" t="str">
        <f t="shared" si="45"/>
        <v/>
      </c>
      <c r="B261" s="64"/>
      <c r="C261" s="64"/>
      <c r="D261" s="64"/>
      <c r="E261" s="65"/>
      <c r="F261" s="65"/>
      <c r="G261" s="65"/>
      <c r="H261" s="66"/>
      <c r="I261" s="66"/>
      <c r="J261" s="67"/>
      <c r="K261" s="68"/>
      <c r="L261" s="104"/>
      <c r="M261" s="104"/>
      <c r="N261" s="104"/>
      <c r="O261" s="104"/>
      <c r="P261" s="107" t="str">
        <f t="shared" si="1"/>
        <v/>
      </c>
      <c r="Q261" s="108" t="str">
        <f>IFERROR(IF(AND(Preferences!B$3="Manual",OR(AX261/AW261&gt;G261/F261,BD261="Serious",BD261="Very serious")),"Assess imprecision",IFS(ISBLANK(E261),"",AND(Preferences!B$3="Automatic", G261/F261&gt;=30),"Extremely serious",AND(H261&lt;=$D$1*-1,J261&lt;0,G261/F261&lt;3),"Not serious",AND(H261&lt;=$D$1*-1,J261&lt;0,G261/F261&gt;=3),"Very serious",AND(H261&gt;=$D$1,I261&gt;0,G261/F261&lt;3),"Not serious",AND(H261&gt;=$D$1,I261&gt;0,G261/F261&gt;=3),"Very serious",AND(H261&lt;=$D$1*-1,J261&gt;0,I261&gt;$D$2*-1,G261/F261&lt;3),"Serious", AND(H261&lt;=$D$1*-1,J261&gt;0,I261&lt;$D$2*-1,G261/F261&lt;3),"Very serious", AND(H261&gt;=$D$1,I261&lt;0,J261&lt;$D$2,G261/F261&lt;3),"Serious",AND(H261&gt;=$D$1,I261&lt;0,J261&gt;$D$2,G261/F261&lt;3),"Very serious", AND(H261&lt;=$D$1*-1,J261&gt;0,I261&gt;$D$2*-1,G261/F261&gt;=3),"Very serious", AND(H261&lt;=$D$1*-1,J261&gt;0,I261&lt;$D$2*-1,G261/F261&gt;=3),"Very serious", AND(H261&gt;=$D$1,I261&lt;0,J261&lt;$D$2,G261/F261&gt;=3),"Very serious", AND(H261&gt;=$D$1,I261&lt;0,J261&gt;$D$2,G261/F261&gt;=3),"Very serious", AND(H261&gt;$D$1*-1,H261&lt;$D$1,I261&gt;$D$1*-1,J261&lt;$D$1,G261/F261&lt;3),"Not serious", AND(H261&gt;$D$1*-1,H261&lt;$D$1,OR(I261&lt;=$D$1*-1,J261&gt;=$D$1),I261&gt;$D$2*-1,J261&lt;$D$2,G261/F261&lt;3),"Serious", AND(H261&gt;$D$1*-1,H261&lt;$D$1,OR(I261&lt;=$D$2*-1,J261&gt;=$D$2),G261/F261&lt;3),"Very serious", AND(H261&gt;$D$1*-1,H261&lt;$D$1,I261&gt;$D$1*-1,J261&lt;$D$1,G261/F261&gt;=3),"Very serious", AND(H261&gt;$D$1*-1,H261&lt;$D$1,OR(I261&lt;=$D$1*-1,J261&gt;=$D$1),I261&gt;$D$2*-1,J261&lt;$D$2,G261/F261&gt;=3),"Very serious", AND(H261&gt;$D$1*-1,H261&lt;$D$1,OR(I261&lt;=$D$2*-1,J261&gt;=$D$2),G261/F261&gt;=3),"Very serious")),"")</f>
        <v/>
      </c>
      <c r="R261" s="109" t="str">
        <f t="shared" si="47"/>
        <v/>
      </c>
      <c r="S261" s="64"/>
      <c r="T261" s="72"/>
      <c r="U261" s="72"/>
      <c r="V261" s="72"/>
      <c r="W261" s="73"/>
      <c r="X261" s="73"/>
      <c r="Y261" s="74"/>
      <c r="Z261" s="113" t="str">
        <f t="array" ref="Z261">INDEX($A$1:$C$500, MATCH(1,($B:$B=$B261)*($C:$C=$AB261),0),1)</f>
        <v/>
      </c>
      <c r="AA261" s="113" t="str">
        <f t="array" ref="AA261">INDEX($A$1:$C$500, MATCH(1,($B:$B=$AB261)*($C:$C=$B261),0),1)</f>
        <v/>
      </c>
      <c r="AB261" s="111"/>
      <c r="AC261" s="114" t="str">
        <f t="shared" si="2"/>
        <v/>
      </c>
      <c r="AD261" s="115" t="str">
        <f t="shared" si="3"/>
        <v/>
      </c>
      <c r="AE261" s="116" t="str">
        <f t="array" ref="AE261">INDEX($A$1:$C$500, MATCH(1,($B:$B=$AB261)*($C:$C=$AG261),0),1)</f>
        <v/>
      </c>
      <c r="AF261" s="116" t="str">
        <f t="array" ref="AF261">INDEX($A$1:$C$500, MATCH(1,($B:$B=$AG261)*($C:$C=$AB261),0),1)</f>
        <v/>
      </c>
      <c r="AG261" s="72"/>
      <c r="AH261" s="114" t="str">
        <f t="shared" si="4"/>
        <v/>
      </c>
      <c r="AI261" s="115" t="str">
        <f t="shared" si="5"/>
        <v/>
      </c>
      <c r="AJ261" s="116" t="str">
        <f t="array" ref="AJ261">INDEX($A$1:$C$500, MATCH(1,($B:$B=$C261)*($C:$C=$AG261),0),1)</f>
        <v/>
      </c>
      <c r="AK261" s="116" t="str">
        <f t="array" ref="AK261">INDEX($A$1:$C$500, MATCH(1,($B:$B=$AG261)*($C:$C=$C261),0),1)</f>
        <v/>
      </c>
      <c r="AL261" s="116" t="str">
        <f t="array" ref="AL261">INDEX($A$1:$C$500, MATCH(1,($B:$B=$C261)*($C:$C=$AB261),0),1)</f>
        <v/>
      </c>
      <c r="AM261" s="116" t="str">
        <f t="array" ref="AM261">INDEX($A$1:$C$500, MATCH(1,($B:$B=$AB261)*($C:$C=$C261),0),1)</f>
        <v/>
      </c>
      <c r="AN261" s="114" t="str">
        <f t="array" ref="AN261">IFS(ISNUMBER(AJ261),AJ261,ISNUMBER(AK261),AK261,ISNUMBER(AL261),AL261,ISNUMBER(AM261),AM261)</f>
        <v>#N/A</v>
      </c>
      <c r="AO261" s="115" t="str">
        <f t="shared" si="6"/>
        <v/>
      </c>
      <c r="AP261" s="115" t="str">
        <f t="shared" si="7"/>
        <v/>
      </c>
      <c r="AQ261" s="111"/>
      <c r="AR261" s="109" t="str">
        <f t="shared" si="8"/>
        <v/>
      </c>
      <c r="AS261" s="72" t="str">
        <f>IFERROR(IF(AND(Preferences!B$3="Manual",OR(AX261/AW261&gt;V261/U261,BD261="Serious",BD261="Very serious")),"Assess imprecision",IFERROR(IFS(AND(Preferences!B$3="Automatic",V261/U261&gt;=30),"Extremely serious",AND(W261&lt;=$D$1*-1,Y261&lt;0,V261/U261&lt;3),"Not Serious",AND(W261&lt;=$D$1*-1,Y261&lt;0,V261/U261&gt;=3),"Very serious",AND(W261&gt;=$D$1,X261&gt;0,V261/U261&lt;3),"Not Serious",AND(W261&gt;=$D$1,X261&gt;0,V261/U261&gt;=3),"Very serious",AND(W261&lt;=$D$1*-1,Y261&gt;0,X261&gt;$D$2*-1,V261/U261&lt;3),"Serious", AND(W261&lt;=$D$1*-1,Y261&gt;0,X261&lt;$D$2*-1,V261/U261&lt;3),"Very serious", AND(W261&gt;=$D$1,X261&lt;0,Y261&lt;$D$2,V261/U261&lt;3),"Serious",AND(W261&gt;=$D$1,X261&lt;0,Y261&gt;$D$2,V261/U261&lt;3),"Very serious", AND(W261&lt;=$D$1*-1,Y261&gt;0,X261&gt;$D$2*-1,V261/U261&gt;=3),"Very serious", AND(W261&lt;=$D$1*-1,Y261&gt;0,X261&lt;$D$2*-1,V261/U261&gt;=3),"Very serious", AND(W261&gt;=$D$1,X261&lt;0,Y261&lt;$D$2,V261/U261&gt;=3),"Very serious", AND(W261&gt;=$D$1,X261&lt;0,Y261&gt;$D$2,V261/U261&gt;=3),"Very serious", AND(W261&gt;$D$1*-1,W261&lt;$D$1,X261&gt;$D$1*-1,Y261&lt;$D$1,V261/U261&lt;3),"Not Serious", AND(W261&gt;$D$1*-1,W261&lt;$D$1,OR(X261&lt;=$D$1*-1,Y261&gt;=$D$1),X261&gt;$D$2*-1,Y261&lt;$D$2,V261/U261&lt;3),"Serious", AND(W261&gt;$D$1*-1,W261&lt;$D$1,OR(X261&lt;=$D$2*-1,Y261&gt;=$D$2),V261/U261&lt;3),"Very serious", AND(W261&gt;$D$1*-1,W261&lt;$D$1,X261&gt;$D$1*-1,Y261&lt;$D$1,V261/U261&gt;=3),"Very serious", AND(W261&gt;$D$1*-1,W261&lt;$D$1,OR(X261&lt;=$D$1*-1,Y261&gt;=$D$1),X261&gt;$D$2*-1,Y261&lt;$D$2,V261/U261&gt;=3),"Very serious", AND(W261&gt;$D$1*-1,W261&lt;$D$1,OR(X261&lt;=$D$2*-1,Y261&gt;=$D$2),V261/U261&gt;=3),"Very serious"),"")),"")</f>
        <v/>
      </c>
      <c r="AT261" s="109" t="str">
        <f t="shared" si="9"/>
        <v/>
      </c>
      <c r="AU261" s="64"/>
      <c r="AV261" s="83"/>
      <c r="AW261" s="83"/>
      <c r="AX261" s="83"/>
      <c r="AY261" s="83"/>
      <c r="AZ261" s="83"/>
      <c r="BA261" s="85"/>
      <c r="BB261" s="86" t="str">
        <f>IF(Preferences!B$9="Manual","",IFS(ISBLANK(B261),"",AND(ISNUMBER(E261)=TRUE,ISNUMBER(T261)=FALSE),"Direct", AND(ISNUMBER(E261)=FALSE,ISNUMBER(T261)=TRUE),"Indirect", CN261=4,"Direct",AND(CL261=FALSE, CM261=TRUE,CN261-CO261&gt;-1),"Direct", AND(CL261=FALSE,CM261=TRUE, CN261-CO261&lt;0),"Check algorithm in appendix 2", AND(CL261=TRUE, CM261=FALSE,CN261-CO261&gt;0),"Check algorithm in appendix 2", AND(CL261=TRUE, CM261=FALSE,CN261-CO261=0),"Indirect", AND(CL261=TRUE, CM261=FALSE,CN261-CO261&lt;0),"Indirect", AND(CL261=FALSE,CM261=FALSE,CN261-CO261&gt;-1),"Direct", AND(CL261=FALSE,CM261=FALSE,CN261-CO261&lt;0),"Check algorithm in appendix 2", AND(CL261=TRUE,CM261=TRUE,CN261-CO261&gt;-1),"Direct", AND(CL261=TRUE,CM261=TRUE,CN261-CO261&lt;0),"Check algorithm in appendix 2"))</f>
        <v/>
      </c>
      <c r="BC261" s="120" t="str">
        <f t="shared" si="10"/>
        <v/>
      </c>
      <c r="BD261" s="140"/>
      <c r="BE261" s="122" t="str">
        <f>IF(Preferences!B$3="Manual","", IFERROR(IFS(AND(Preferences!B$3="Automatic",AX261/AW261&gt;=30),"Extremely serious",AND(AY261&lt;=$D$1*-1,BA261&lt;0,AX261/AW261&lt;3),"Not Serious",AND(AY261&lt;=$D$1*-1,BA261&lt;0,AX261/AW261&gt;=3),"Very serious",AND(AY261&gt;=$D$1,AZ261&gt;0,AX261/AW261&lt;3),"Not Serious",AND(AY261&gt;=$D$1,AZ261&gt;0,AX261/AW261&gt;=3),"Very serious",AND(AY261&lt;=$D$1*-1,BA261&gt;0,AZ261&gt;$D$2*-1,AX261/AW261&lt;3),"Serious", AND(AY261&lt;=$D$1*-1,BA261&gt;0,AZ261&lt;$D$2*-1,AX261/AW261&lt;3),"Very serious", AND(AY261&gt;=$D$1,AZ261&lt;0,BA261&lt;$D$2,AX261/AW261&lt;3),"Serious",AND(AY261&gt;=$D$1,AZ261&lt;0,BA261&gt;$D$2,AX261/AW261&lt;3),"Very serious", AND(AY261&lt;=$D$1*-1,BA261&gt;0,AZ261&gt;$D$2*-1,AX261/AW261&gt;=3),"Very serious", AND(AY261&lt;=$D$1*-1,BA261&gt;0,AZ261&lt;$D$2*-1,AX261/AW261&gt;=3),"Very serious", AND(AY261&gt;=$D$1,AZ261&lt;0,BA261&lt;$D$2,AX261/AW261&gt;=3),"Very serious", AND(AY261&gt;=$D$1,AZ261&lt;0,BA261&gt;$D$2,AX261/AW261&gt;=3),"Very serious", AND(AY261&gt;$D$1*-1,AY261&lt;$D$1,AZ261&gt;$D$1*-1,BA261&lt;$D$1,AX261/AW261&lt;3),"Not Serious", AND(AY261&gt;$D$1*-1,AY261&lt;$D$1,OR(AZ261&lt;=$D$1*-1,BA261&gt;=$D$1),AZ261&gt;$D$2*-1,BA261&lt;$D$2,AX261/AW261&lt;3),"Serious", AND(AY261&gt;$D$1*-1,AY261&lt;$D$1,OR(AZ261&lt;=$D$2*-1,BA261&gt;=$D$2),AX261/AW261&lt;3),"Very serious", AND(AY261&gt;$D$1*-1,AY261&lt;$D$1,AZ261&gt;$D$1*-1,BA261&lt;$D$1,AX261/AW261&gt;=3),"Very serious", AND(AY261&gt;$D$1*-1,AY261&lt;$D$1,OR(AZ261&lt;=$D$1*-1,BA261&gt;=$D$1),AZ261&gt;$D$2*-1,BA261&lt;$D$2,AX261/AW261&gt;=3),"Very serious", AND(AY261&gt;$D$1*-1,AY261&lt;$D$1,OR(AZ261&lt;=$D$2*-1,BA261&gt;=$D$2),AX261/AW261&gt;=3),"Very serious"),""))</f>
        <v/>
      </c>
      <c r="BF261" s="107" t="str">
        <f t="shared" si="11"/>
        <v/>
      </c>
      <c r="BG261" s="94" t="str">
        <f t="shared" si="46"/>
        <v/>
      </c>
      <c r="BH261" s="64" t="str">
        <f t="shared" si="12"/>
        <v>#N/A</v>
      </c>
      <c r="BI261" s="64" t="str">
        <f t="shared" si="13"/>
        <v/>
      </c>
      <c r="BJ261" s="123" t="str">
        <f t="shared" si="14"/>
        <v>#N/A</v>
      </c>
      <c r="BK261" s="64" t="str">
        <f t="shared" si="50"/>
        <v>YES</v>
      </c>
      <c r="BL261" s="64" t="str">
        <f t="shared" si="16"/>
        <v>YES</v>
      </c>
      <c r="BM261" s="64" t="str">
        <f t="shared" si="17"/>
        <v>YES</v>
      </c>
      <c r="BN261" s="124" t="str">
        <f t="shared" si="18"/>
        <v/>
      </c>
      <c r="BO261" s="91" t="str">
        <f t="shared" si="19"/>
        <v/>
      </c>
      <c r="BP261" s="91" t="str">
        <f t="shared" si="20"/>
        <v>#N/A</v>
      </c>
      <c r="BQ261" s="91" t="str">
        <f t="shared" si="21"/>
        <v/>
      </c>
      <c r="BR261" s="93" t="str">
        <f t="shared" si="22"/>
        <v/>
      </c>
      <c r="BS261" s="90" t="str">
        <f t="shared" si="23"/>
        <v/>
      </c>
      <c r="BT261" s="93" t="str">
        <f t="shared" si="24"/>
        <v>NA</v>
      </c>
      <c r="BU261" s="125" t="str">
        <f t="shared" si="25"/>
        <v>#N/A</v>
      </c>
      <c r="BV261" s="93" t="str">
        <f t="shared" si="26"/>
        <v/>
      </c>
      <c r="BW261" s="93" t="str">
        <f t="shared" si="27"/>
        <v/>
      </c>
      <c r="BX261" s="93" t="str">
        <f t="shared" si="28"/>
        <v>NA</v>
      </c>
      <c r="BY261" s="95" t="str">
        <f t="shared" si="29"/>
        <v>#N/A</v>
      </c>
      <c r="BZ261" s="93" t="str">
        <f t="shared" si="30"/>
        <v/>
      </c>
      <c r="CA261" s="93" t="str">
        <f t="shared" si="31"/>
        <v/>
      </c>
      <c r="CB261" s="93" t="str">
        <f t="shared" si="32"/>
        <v>NA</v>
      </c>
      <c r="CC261" s="96" t="str">
        <f t="shared" si="33"/>
        <v>#N/A</v>
      </c>
      <c r="CD261" s="93" t="str">
        <f t="shared" si="34"/>
        <v/>
      </c>
      <c r="CE261" s="93" t="str">
        <f t="shared" si="35"/>
        <v/>
      </c>
      <c r="CF261" s="93" t="str">
        <f t="shared" si="36"/>
        <v>NA</v>
      </c>
      <c r="CG261" s="97" t="str">
        <f t="shared" si="37"/>
        <v>#N/A</v>
      </c>
      <c r="CH261" s="98" t="str">
        <f t="shared" si="38"/>
        <v>#N/A</v>
      </c>
      <c r="CI261" s="99" t="str">
        <f t="shared" si="39"/>
        <v>#N/A</v>
      </c>
      <c r="CJ261" s="126" t="str">
        <f t="shared" si="40"/>
        <v>ERROR: check cell</v>
      </c>
      <c r="CK261" s="126"/>
      <c r="CL261" s="127" t="str">
        <f t="shared" si="41"/>
        <v>#DIV/0!</v>
      </c>
      <c r="CM261" s="128" t="str">
        <f t="shared" si="42"/>
        <v>#DIV/0!</v>
      </c>
      <c r="CN261" s="128">
        <f t="shared" si="43"/>
        <v>4</v>
      </c>
      <c r="CO261" s="129">
        <f t="shared" si="44"/>
        <v>4</v>
      </c>
      <c r="CP261" s="129" t="str">
        <f>IFS(C261=Preferences!B$13,B261,B261=Preferences!B$13,C261)</f>
        <v>#N/A</v>
      </c>
    </row>
    <row r="262" ht="13.5" customHeight="1">
      <c r="A262" s="63" t="str">
        <f t="shared" si="45"/>
        <v/>
      </c>
      <c r="B262" s="64"/>
      <c r="C262" s="64"/>
      <c r="D262" s="64"/>
      <c r="E262" s="65"/>
      <c r="F262" s="65"/>
      <c r="G262" s="65"/>
      <c r="H262" s="66"/>
      <c r="I262" s="66"/>
      <c r="J262" s="67"/>
      <c r="K262" s="68"/>
      <c r="L262" s="104"/>
      <c r="M262" s="104"/>
      <c r="N262" s="104"/>
      <c r="O262" s="104"/>
      <c r="P262" s="107" t="str">
        <f t="shared" si="1"/>
        <v/>
      </c>
      <c r="Q262" s="108" t="str">
        <f>IFERROR(IF(AND(Preferences!B$3="Manual",OR(AX262/AW262&gt;G262/F262,BD262="Serious",BD262="Very serious")),"Assess imprecision",IFS(ISBLANK(E262),"",AND(Preferences!B$3="Automatic", G262/F262&gt;=30),"Extremely serious",AND(H262&lt;=$D$1*-1,J262&lt;0,G262/F262&lt;3),"Not serious",AND(H262&lt;=$D$1*-1,J262&lt;0,G262/F262&gt;=3),"Very serious",AND(H262&gt;=$D$1,I262&gt;0,G262/F262&lt;3),"Not serious",AND(H262&gt;=$D$1,I262&gt;0,G262/F262&gt;=3),"Very serious",AND(H262&lt;=$D$1*-1,J262&gt;0,I262&gt;$D$2*-1,G262/F262&lt;3),"Serious", AND(H262&lt;=$D$1*-1,J262&gt;0,I262&lt;$D$2*-1,G262/F262&lt;3),"Very serious", AND(H262&gt;=$D$1,I262&lt;0,J262&lt;$D$2,G262/F262&lt;3),"Serious",AND(H262&gt;=$D$1,I262&lt;0,J262&gt;$D$2,G262/F262&lt;3),"Very serious", AND(H262&lt;=$D$1*-1,J262&gt;0,I262&gt;$D$2*-1,G262/F262&gt;=3),"Very serious", AND(H262&lt;=$D$1*-1,J262&gt;0,I262&lt;$D$2*-1,G262/F262&gt;=3),"Very serious", AND(H262&gt;=$D$1,I262&lt;0,J262&lt;$D$2,G262/F262&gt;=3),"Very serious", AND(H262&gt;=$D$1,I262&lt;0,J262&gt;$D$2,G262/F262&gt;=3),"Very serious", AND(H262&gt;$D$1*-1,H262&lt;$D$1,I262&gt;$D$1*-1,J262&lt;$D$1,G262/F262&lt;3),"Not serious", AND(H262&gt;$D$1*-1,H262&lt;$D$1,OR(I262&lt;=$D$1*-1,J262&gt;=$D$1),I262&gt;$D$2*-1,J262&lt;$D$2,G262/F262&lt;3),"Serious", AND(H262&gt;$D$1*-1,H262&lt;$D$1,OR(I262&lt;=$D$2*-1,J262&gt;=$D$2),G262/F262&lt;3),"Very serious", AND(H262&gt;$D$1*-1,H262&lt;$D$1,I262&gt;$D$1*-1,J262&lt;$D$1,G262/F262&gt;=3),"Very serious", AND(H262&gt;$D$1*-1,H262&lt;$D$1,OR(I262&lt;=$D$1*-1,J262&gt;=$D$1),I262&gt;$D$2*-1,J262&lt;$D$2,G262/F262&gt;=3),"Very serious", AND(H262&gt;$D$1*-1,H262&lt;$D$1,OR(I262&lt;=$D$2*-1,J262&gt;=$D$2),G262/F262&gt;=3),"Very serious")),"")</f>
        <v/>
      </c>
      <c r="R262" s="109" t="str">
        <f t="shared" si="47"/>
        <v/>
      </c>
      <c r="S262" s="64"/>
      <c r="T262" s="72"/>
      <c r="U262" s="72"/>
      <c r="V262" s="72"/>
      <c r="W262" s="73"/>
      <c r="X262" s="73"/>
      <c r="Y262" s="74"/>
      <c r="Z262" s="113" t="str">
        <f t="array" ref="Z262">INDEX($A$1:$C$500, MATCH(1,($B:$B=$B262)*($C:$C=$AB262),0),1)</f>
        <v/>
      </c>
      <c r="AA262" s="113" t="str">
        <f t="array" ref="AA262">INDEX($A$1:$C$500, MATCH(1,($B:$B=$AB262)*($C:$C=$B262),0),1)</f>
        <v/>
      </c>
      <c r="AB262" s="111"/>
      <c r="AC262" s="114" t="str">
        <f t="shared" si="2"/>
        <v/>
      </c>
      <c r="AD262" s="115" t="str">
        <f t="shared" si="3"/>
        <v/>
      </c>
      <c r="AE262" s="116" t="str">
        <f t="array" ref="AE262">INDEX($A$1:$C$500, MATCH(1,($B:$B=$AB262)*($C:$C=$AG262),0),1)</f>
        <v/>
      </c>
      <c r="AF262" s="116" t="str">
        <f t="array" ref="AF262">INDEX($A$1:$C$500, MATCH(1,($B:$B=$AG262)*($C:$C=$AB262),0),1)</f>
        <v/>
      </c>
      <c r="AG262" s="72"/>
      <c r="AH262" s="114" t="str">
        <f t="shared" si="4"/>
        <v/>
      </c>
      <c r="AI262" s="115" t="str">
        <f t="shared" si="5"/>
        <v/>
      </c>
      <c r="AJ262" s="116" t="str">
        <f t="array" ref="AJ262">INDEX($A$1:$C$500, MATCH(1,($B:$B=$C262)*($C:$C=$AG262),0),1)</f>
        <v/>
      </c>
      <c r="AK262" s="116" t="str">
        <f t="array" ref="AK262">INDEX($A$1:$C$500, MATCH(1,($B:$B=$AG262)*($C:$C=$C262),0),1)</f>
        <v/>
      </c>
      <c r="AL262" s="116" t="str">
        <f t="array" ref="AL262">INDEX($A$1:$C$500, MATCH(1,($B:$B=$C262)*($C:$C=$AB262),0),1)</f>
        <v/>
      </c>
      <c r="AM262" s="116" t="str">
        <f t="array" ref="AM262">INDEX($A$1:$C$500, MATCH(1,($B:$B=$AB262)*($C:$C=$C262),0),1)</f>
        <v/>
      </c>
      <c r="AN262" s="114" t="str">
        <f t="array" ref="AN262">IFS(ISNUMBER(AJ262),AJ262,ISNUMBER(AK262),AK262,ISNUMBER(AL262),AL262,ISNUMBER(AM262),AM262)</f>
        <v>#N/A</v>
      </c>
      <c r="AO262" s="115" t="str">
        <f t="shared" si="6"/>
        <v/>
      </c>
      <c r="AP262" s="115" t="str">
        <f t="shared" si="7"/>
        <v/>
      </c>
      <c r="AQ262" s="111"/>
      <c r="AR262" s="109" t="str">
        <f t="shared" si="8"/>
        <v/>
      </c>
      <c r="AS262" s="72" t="str">
        <f>IFERROR(IF(AND(Preferences!B$3="Manual",OR(AX262/AW262&gt;V262/U262,BD262="Serious",BD262="Very serious")),"Assess imprecision",IFERROR(IFS(AND(Preferences!B$3="Automatic",V262/U262&gt;=30),"Extremely serious",AND(W262&lt;=$D$1*-1,Y262&lt;0,V262/U262&lt;3),"Not Serious",AND(W262&lt;=$D$1*-1,Y262&lt;0,V262/U262&gt;=3),"Very serious",AND(W262&gt;=$D$1,X262&gt;0,V262/U262&lt;3),"Not Serious",AND(W262&gt;=$D$1,X262&gt;0,V262/U262&gt;=3),"Very serious",AND(W262&lt;=$D$1*-1,Y262&gt;0,X262&gt;$D$2*-1,V262/U262&lt;3),"Serious", AND(W262&lt;=$D$1*-1,Y262&gt;0,X262&lt;$D$2*-1,V262/U262&lt;3),"Very serious", AND(W262&gt;=$D$1,X262&lt;0,Y262&lt;$D$2,V262/U262&lt;3),"Serious",AND(W262&gt;=$D$1,X262&lt;0,Y262&gt;$D$2,V262/U262&lt;3),"Very serious", AND(W262&lt;=$D$1*-1,Y262&gt;0,X262&gt;$D$2*-1,V262/U262&gt;=3),"Very serious", AND(W262&lt;=$D$1*-1,Y262&gt;0,X262&lt;$D$2*-1,V262/U262&gt;=3),"Very serious", AND(W262&gt;=$D$1,X262&lt;0,Y262&lt;$D$2,V262/U262&gt;=3),"Very serious", AND(W262&gt;=$D$1,X262&lt;0,Y262&gt;$D$2,V262/U262&gt;=3),"Very serious", AND(W262&gt;$D$1*-1,W262&lt;$D$1,X262&gt;$D$1*-1,Y262&lt;$D$1,V262/U262&lt;3),"Not Serious", AND(W262&gt;$D$1*-1,W262&lt;$D$1,OR(X262&lt;=$D$1*-1,Y262&gt;=$D$1),X262&gt;$D$2*-1,Y262&lt;$D$2,V262/U262&lt;3),"Serious", AND(W262&gt;$D$1*-1,W262&lt;$D$1,OR(X262&lt;=$D$2*-1,Y262&gt;=$D$2),V262/U262&lt;3),"Very serious", AND(W262&gt;$D$1*-1,W262&lt;$D$1,X262&gt;$D$1*-1,Y262&lt;$D$1,V262/U262&gt;=3),"Very serious", AND(W262&gt;$D$1*-1,W262&lt;$D$1,OR(X262&lt;=$D$1*-1,Y262&gt;=$D$1),X262&gt;$D$2*-1,Y262&lt;$D$2,V262/U262&gt;=3),"Very serious", AND(W262&gt;$D$1*-1,W262&lt;$D$1,OR(X262&lt;=$D$2*-1,Y262&gt;=$D$2),V262/U262&gt;=3),"Very serious"),"")),"")</f>
        <v/>
      </c>
      <c r="AT262" s="109" t="str">
        <f t="shared" si="9"/>
        <v/>
      </c>
      <c r="AU262" s="64"/>
      <c r="AV262" s="83"/>
      <c r="AW262" s="83"/>
      <c r="AX262" s="83"/>
      <c r="AY262" s="83"/>
      <c r="AZ262" s="83"/>
      <c r="BA262" s="85"/>
      <c r="BB262" s="86" t="str">
        <f>IF(Preferences!B$9="Manual","",IFS(ISBLANK(B262),"",AND(ISNUMBER(E262)=TRUE,ISNUMBER(T262)=FALSE),"Direct", AND(ISNUMBER(E262)=FALSE,ISNUMBER(T262)=TRUE),"Indirect", CN262=4,"Direct",AND(CL262=FALSE, CM262=TRUE,CN262-CO262&gt;-1),"Direct", AND(CL262=FALSE,CM262=TRUE, CN262-CO262&lt;0),"Check algorithm in appendix 2", AND(CL262=TRUE, CM262=FALSE,CN262-CO262&gt;0),"Check algorithm in appendix 2", AND(CL262=TRUE, CM262=FALSE,CN262-CO262=0),"Indirect", AND(CL262=TRUE, CM262=FALSE,CN262-CO262&lt;0),"Indirect", AND(CL262=FALSE,CM262=FALSE,CN262-CO262&gt;-1),"Direct", AND(CL262=FALSE,CM262=FALSE,CN262-CO262&lt;0),"Check algorithm in appendix 2", AND(CL262=TRUE,CM262=TRUE,CN262-CO262&gt;-1),"Direct", AND(CL262=TRUE,CM262=TRUE,CN262-CO262&lt;0),"Check algorithm in appendix 2"))</f>
        <v/>
      </c>
      <c r="BC262" s="120" t="str">
        <f t="shared" si="10"/>
        <v/>
      </c>
      <c r="BD262" s="140"/>
      <c r="BE262" s="122" t="str">
        <f>IF(Preferences!B$3="Manual","", IFERROR(IFS(AND(Preferences!B$3="Automatic",AX262/AW262&gt;=30),"Extremely serious",AND(AY262&lt;=$D$1*-1,BA262&lt;0,AX262/AW262&lt;3),"Not Serious",AND(AY262&lt;=$D$1*-1,BA262&lt;0,AX262/AW262&gt;=3),"Very serious",AND(AY262&gt;=$D$1,AZ262&gt;0,AX262/AW262&lt;3),"Not Serious",AND(AY262&gt;=$D$1,AZ262&gt;0,AX262/AW262&gt;=3),"Very serious",AND(AY262&lt;=$D$1*-1,BA262&gt;0,AZ262&gt;$D$2*-1,AX262/AW262&lt;3),"Serious", AND(AY262&lt;=$D$1*-1,BA262&gt;0,AZ262&lt;$D$2*-1,AX262/AW262&lt;3),"Very serious", AND(AY262&gt;=$D$1,AZ262&lt;0,BA262&lt;$D$2,AX262/AW262&lt;3),"Serious",AND(AY262&gt;=$D$1,AZ262&lt;0,BA262&gt;$D$2,AX262/AW262&lt;3),"Very serious", AND(AY262&lt;=$D$1*-1,BA262&gt;0,AZ262&gt;$D$2*-1,AX262/AW262&gt;=3),"Very serious", AND(AY262&lt;=$D$1*-1,BA262&gt;0,AZ262&lt;$D$2*-1,AX262/AW262&gt;=3),"Very serious", AND(AY262&gt;=$D$1,AZ262&lt;0,BA262&lt;$D$2,AX262/AW262&gt;=3),"Very serious", AND(AY262&gt;=$D$1,AZ262&lt;0,BA262&gt;$D$2,AX262/AW262&gt;=3),"Very serious", AND(AY262&gt;$D$1*-1,AY262&lt;$D$1,AZ262&gt;$D$1*-1,BA262&lt;$D$1,AX262/AW262&lt;3),"Not Serious", AND(AY262&gt;$D$1*-1,AY262&lt;$D$1,OR(AZ262&lt;=$D$1*-1,BA262&gt;=$D$1),AZ262&gt;$D$2*-1,BA262&lt;$D$2,AX262/AW262&lt;3),"Serious", AND(AY262&gt;$D$1*-1,AY262&lt;$D$1,OR(AZ262&lt;=$D$2*-1,BA262&gt;=$D$2),AX262/AW262&lt;3),"Very serious", AND(AY262&gt;$D$1*-1,AY262&lt;$D$1,AZ262&gt;$D$1*-1,BA262&lt;$D$1,AX262/AW262&gt;=3),"Very serious", AND(AY262&gt;$D$1*-1,AY262&lt;$D$1,OR(AZ262&lt;=$D$1*-1,BA262&gt;=$D$1),AZ262&gt;$D$2*-1,BA262&lt;$D$2,AX262/AW262&gt;=3),"Very serious", AND(AY262&gt;$D$1*-1,AY262&lt;$D$1,OR(AZ262&lt;=$D$2*-1,BA262&gt;=$D$2),AX262/AW262&gt;=3),"Very serious"),""))</f>
        <v/>
      </c>
      <c r="BF262" s="107" t="str">
        <f t="shared" si="11"/>
        <v/>
      </c>
      <c r="BG262" s="94" t="str">
        <f t="shared" si="46"/>
        <v/>
      </c>
      <c r="BH262" s="64" t="str">
        <f t="shared" si="12"/>
        <v>#N/A</v>
      </c>
      <c r="BI262" s="64" t="str">
        <f t="shared" si="13"/>
        <v/>
      </c>
      <c r="BJ262" s="123" t="str">
        <f t="shared" si="14"/>
        <v>#N/A</v>
      </c>
      <c r="BK262" s="64" t="str">
        <f t="shared" si="50"/>
        <v>YES</v>
      </c>
      <c r="BL262" s="64" t="str">
        <f t="shared" si="16"/>
        <v>YES</v>
      </c>
      <c r="BM262" s="64" t="str">
        <f t="shared" si="17"/>
        <v>YES</v>
      </c>
      <c r="BN262" s="124" t="str">
        <f t="shared" si="18"/>
        <v/>
      </c>
      <c r="BO262" s="91" t="str">
        <f t="shared" si="19"/>
        <v/>
      </c>
      <c r="BP262" s="91" t="str">
        <f t="shared" si="20"/>
        <v>#N/A</v>
      </c>
      <c r="BQ262" s="91" t="str">
        <f t="shared" si="21"/>
        <v/>
      </c>
      <c r="BR262" s="93" t="str">
        <f t="shared" si="22"/>
        <v/>
      </c>
      <c r="BS262" s="90" t="str">
        <f t="shared" si="23"/>
        <v/>
      </c>
      <c r="BT262" s="93" t="str">
        <f t="shared" si="24"/>
        <v>NA</v>
      </c>
      <c r="BU262" s="125" t="str">
        <f t="shared" si="25"/>
        <v>#N/A</v>
      </c>
      <c r="BV262" s="93" t="str">
        <f t="shared" si="26"/>
        <v/>
      </c>
      <c r="BW262" s="93" t="str">
        <f t="shared" si="27"/>
        <v/>
      </c>
      <c r="BX262" s="93" t="str">
        <f t="shared" si="28"/>
        <v>NA</v>
      </c>
      <c r="BY262" s="95" t="str">
        <f t="shared" si="29"/>
        <v>#N/A</v>
      </c>
      <c r="BZ262" s="93" t="str">
        <f t="shared" si="30"/>
        <v/>
      </c>
      <c r="CA262" s="93" t="str">
        <f t="shared" si="31"/>
        <v/>
      </c>
      <c r="CB262" s="93" t="str">
        <f t="shared" si="32"/>
        <v>NA</v>
      </c>
      <c r="CC262" s="96" t="str">
        <f t="shared" si="33"/>
        <v>#N/A</v>
      </c>
      <c r="CD262" s="93" t="str">
        <f t="shared" si="34"/>
        <v/>
      </c>
      <c r="CE262" s="93" t="str">
        <f t="shared" si="35"/>
        <v/>
      </c>
      <c r="CF262" s="93" t="str">
        <f t="shared" si="36"/>
        <v>NA</v>
      </c>
      <c r="CG262" s="97" t="str">
        <f t="shared" si="37"/>
        <v>#N/A</v>
      </c>
      <c r="CH262" s="98" t="str">
        <f t="shared" si="38"/>
        <v>#N/A</v>
      </c>
      <c r="CI262" s="99" t="str">
        <f t="shared" si="39"/>
        <v>#N/A</v>
      </c>
      <c r="CJ262" s="126" t="str">
        <f t="shared" si="40"/>
        <v>ERROR: check cell</v>
      </c>
      <c r="CK262" s="126"/>
      <c r="CL262" s="127" t="str">
        <f t="shared" si="41"/>
        <v>#DIV/0!</v>
      </c>
      <c r="CM262" s="128" t="str">
        <f t="shared" si="42"/>
        <v>#DIV/0!</v>
      </c>
      <c r="CN262" s="128">
        <f t="shared" si="43"/>
        <v>4</v>
      </c>
      <c r="CO262" s="129">
        <f t="shared" si="44"/>
        <v>4</v>
      </c>
      <c r="CP262" s="129" t="str">
        <f>IFS(C262=Preferences!B$13,B262,B262=Preferences!B$13,C262)</f>
        <v>#N/A</v>
      </c>
    </row>
    <row r="263" ht="13.5" customHeight="1">
      <c r="A263" s="63" t="str">
        <f t="shared" si="45"/>
        <v/>
      </c>
      <c r="B263" s="64"/>
      <c r="C263" s="64"/>
      <c r="D263" s="64"/>
      <c r="E263" s="65"/>
      <c r="F263" s="65"/>
      <c r="G263" s="65"/>
      <c r="H263" s="66"/>
      <c r="I263" s="66"/>
      <c r="J263" s="67"/>
      <c r="K263" s="68"/>
      <c r="L263" s="104"/>
      <c r="M263" s="104"/>
      <c r="N263" s="104"/>
      <c r="O263" s="104"/>
      <c r="P263" s="107" t="str">
        <f t="shared" si="1"/>
        <v/>
      </c>
      <c r="Q263" s="108" t="str">
        <f>IFERROR(IF(AND(Preferences!B$3="Manual",OR(AX263/AW263&gt;G263/F263,BD263="Serious",BD263="Very serious")),"Assess imprecision",IFS(ISBLANK(E263),"",AND(Preferences!B$3="Automatic", G263/F263&gt;=30),"Extremely serious",AND(H263&lt;=$D$1*-1,J263&lt;0,G263/F263&lt;3),"Not serious",AND(H263&lt;=$D$1*-1,J263&lt;0,G263/F263&gt;=3),"Very serious",AND(H263&gt;=$D$1,I263&gt;0,G263/F263&lt;3),"Not serious",AND(H263&gt;=$D$1,I263&gt;0,G263/F263&gt;=3),"Very serious",AND(H263&lt;=$D$1*-1,J263&gt;0,I263&gt;$D$2*-1,G263/F263&lt;3),"Serious", AND(H263&lt;=$D$1*-1,J263&gt;0,I263&lt;$D$2*-1,G263/F263&lt;3),"Very serious", AND(H263&gt;=$D$1,I263&lt;0,J263&lt;$D$2,G263/F263&lt;3),"Serious",AND(H263&gt;=$D$1,I263&lt;0,J263&gt;$D$2,G263/F263&lt;3),"Very serious", AND(H263&lt;=$D$1*-1,J263&gt;0,I263&gt;$D$2*-1,G263/F263&gt;=3),"Very serious", AND(H263&lt;=$D$1*-1,J263&gt;0,I263&lt;$D$2*-1,G263/F263&gt;=3),"Very serious", AND(H263&gt;=$D$1,I263&lt;0,J263&lt;$D$2,G263/F263&gt;=3),"Very serious", AND(H263&gt;=$D$1,I263&lt;0,J263&gt;$D$2,G263/F263&gt;=3),"Very serious", AND(H263&gt;$D$1*-1,H263&lt;$D$1,I263&gt;$D$1*-1,J263&lt;$D$1,G263/F263&lt;3),"Not serious", AND(H263&gt;$D$1*-1,H263&lt;$D$1,OR(I263&lt;=$D$1*-1,J263&gt;=$D$1),I263&gt;$D$2*-1,J263&lt;$D$2,G263/F263&lt;3),"Serious", AND(H263&gt;$D$1*-1,H263&lt;$D$1,OR(I263&lt;=$D$2*-1,J263&gt;=$D$2),G263/F263&lt;3),"Very serious", AND(H263&gt;$D$1*-1,H263&lt;$D$1,I263&gt;$D$1*-1,J263&lt;$D$1,G263/F263&gt;=3),"Very serious", AND(H263&gt;$D$1*-1,H263&lt;$D$1,OR(I263&lt;=$D$1*-1,J263&gt;=$D$1),I263&gt;$D$2*-1,J263&lt;$D$2,G263/F263&gt;=3),"Very serious", AND(H263&gt;$D$1*-1,H263&lt;$D$1,OR(I263&lt;=$D$2*-1,J263&gt;=$D$2),G263/F263&gt;=3),"Very serious")),"")</f>
        <v/>
      </c>
      <c r="R263" s="109" t="str">
        <f t="shared" si="47"/>
        <v/>
      </c>
      <c r="S263" s="64"/>
      <c r="T263" s="72"/>
      <c r="U263" s="72"/>
      <c r="V263" s="72"/>
      <c r="W263" s="73"/>
      <c r="X263" s="73"/>
      <c r="Y263" s="74"/>
      <c r="Z263" s="113" t="str">
        <f t="array" ref="Z263">INDEX($A$1:$C$500, MATCH(1,($B:$B=$B263)*($C:$C=$AB263),0),1)</f>
        <v/>
      </c>
      <c r="AA263" s="113" t="str">
        <f t="array" ref="AA263">INDEX($A$1:$C$500, MATCH(1,($B:$B=$AB263)*($C:$C=$B263),0),1)</f>
        <v/>
      </c>
      <c r="AB263" s="111"/>
      <c r="AC263" s="114" t="str">
        <f t="shared" si="2"/>
        <v/>
      </c>
      <c r="AD263" s="115" t="str">
        <f t="shared" si="3"/>
        <v/>
      </c>
      <c r="AE263" s="116" t="str">
        <f t="array" ref="AE263">INDEX($A$1:$C$500, MATCH(1,($B:$B=$AB263)*($C:$C=$AG263),0),1)</f>
        <v/>
      </c>
      <c r="AF263" s="116" t="str">
        <f t="array" ref="AF263">INDEX($A$1:$C$500, MATCH(1,($B:$B=$AG263)*($C:$C=$AB263),0),1)</f>
        <v/>
      </c>
      <c r="AG263" s="72"/>
      <c r="AH263" s="114" t="str">
        <f t="shared" si="4"/>
        <v/>
      </c>
      <c r="AI263" s="115" t="str">
        <f t="shared" si="5"/>
        <v/>
      </c>
      <c r="AJ263" s="116" t="str">
        <f t="array" ref="AJ263">INDEX($A$1:$C$500, MATCH(1,($B:$B=$C263)*($C:$C=$AG263),0),1)</f>
        <v/>
      </c>
      <c r="AK263" s="116" t="str">
        <f t="array" ref="AK263">INDEX($A$1:$C$500, MATCH(1,($B:$B=$AG263)*($C:$C=$C263),0),1)</f>
        <v/>
      </c>
      <c r="AL263" s="116" t="str">
        <f t="array" ref="AL263">INDEX($A$1:$C$500, MATCH(1,($B:$B=$C263)*($C:$C=$AB263),0),1)</f>
        <v/>
      </c>
      <c r="AM263" s="116" t="str">
        <f t="array" ref="AM263">INDEX($A$1:$C$500, MATCH(1,($B:$B=$AB263)*($C:$C=$C263),0),1)</f>
        <v/>
      </c>
      <c r="AN263" s="114" t="str">
        <f t="array" ref="AN263">IFS(ISNUMBER(AJ263),AJ263,ISNUMBER(AK263),AK263,ISNUMBER(AL263),AL263,ISNUMBER(AM263),AM263)</f>
        <v>#N/A</v>
      </c>
      <c r="AO263" s="115" t="str">
        <f t="shared" si="6"/>
        <v/>
      </c>
      <c r="AP263" s="115" t="str">
        <f t="shared" si="7"/>
        <v/>
      </c>
      <c r="AQ263" s="111"/>
      <c r="AR263" s="109" t="str">
        <f t="shared" si="8"/>
        <v/>
      </c>
      <c r="AS263" s="72" t="str">
        <f>IFERROR(IF(AND(Preferences!B$3="Manual",OR(AX263/AW263&gt;V263/U263,BD263="Serious",BD263="Very serious")),"Assess imprecision",IFERROR(IFS(AND(Preferences!B$3="Automatic",V263/U263&gt;=30),"Extremely serious",AND(W263&lt;=$D$1*-1,Y263&lt;0,V263/U263&lt;3),"Not Serious",AND(W263&lt;=$D$1*-1,Y263&lt;0,V263/U263&gt;=3),"Very serious",AND(W263&gt;=$D$1,X263&gt;0,V263/U263&lt;3),"Not Serious",AND(W263&gt;=$D$1,X263&gt;0,V263/U263&gt;=3),"Very serious",AND(W263&lt;=$D$1*-1,Y263&gt;0,X263&gt;$D$2*-1,V263/U263&lt;3),"Serious", AND(W263&lt;=$D$1*-1,Y263&gt;0,X263&lt;$D$2*-1,V263/U263&lt;3),"Very serious", AND(W263&gt;=$D$1,X263&lt;0,Y263&lt;$D$2,V263/U263&lt;3),"Serious",AND(W263&gt;=$D$1,X263&lt;0,Y263&gt;$D$2,V263/U263&lt;3),"Very serious", AND(W263&lt;=$D$1*-1,Y263&gt;0,X263&gt;$D$2*-1,V263/U263&gt;=3),"Very serious", AND(W263&lt;=$D$1*-1,Y263&gt;0,X263&lt;$D$2*-1,V263/U263&gt;=3),"Very serious", AND(W263&gt;=$D$1,X263&lt;0,Y263&lt;$D$2,V263/U263&gt;=3),"Very serious", AND(W263&gt;=$D$1,X263&lt;0,Y263&gt;$D$2,V263/U263&gt;=3),"Very serious", AND(W263&gt;$D$1*-1,W263&lt;$D$1,X263&gt;$D$1*-1,Y263&lt;$D$1,V263/U263&lt;3),"Not Serious", AND(W263&gt;$D$1*-1,W263&lt;$D$1,OR(X263&lt;=$D$1*-1,Y263&gt;=$D$1),X263&gt;$D$2*-1,Y263&lt;$D$2,V263/U263&lt;3),"Serious", AND(W263&gt;$D$1*-1,W263&lt;$D$1,OR(X263&lt;=$D$2*-1,Y263&gt;=$D$2),V263/U263&lt;3),"Very serious", AND(W263&gt;$D$1*-1,W263&lt;$D$1,X263&gt;$D$1*-1,Y263&lt;$D$1,V263/U263&gt;=3),"Very serious", AND(W263&gt;$D$1*-1,W263&lt;$D$1,OR(X263&lt;=$D$1*-1,Y263&gt;=$D$1),X263&gt;$D$2*-1,Y263&lt;$D$2,V263/U263&gt;=3),"Very serious", AND(W263&gt;$D$1*-1,W263&lt;$D$1,OR(X263&lt;=$D$2*-1,Y263&gt;=$D$2),V263/U263&gt;=3),"Very serious"),"")),"")</f>
        <v/>
      </c>
      <c r="AT263" s="109" t="str">
        <f t="shared" si="9"/>
        <v/>
      </c>
      <c r="AU263" s="64"/>
      <c r="AV263" s="83"/>
      <c r="AW263" s="83"/>
      <c r="AX263" s="83"/>
      <c r="AY263" s="83"/>
      <c r="AZ263" s="83"/>
      <c r="BA263" s="85"/>
      <c r="BB263" s="86" t="str">
        <f>IF(Preferences!B$9="Manual","",IFS(ISBLANK(B263),"",AND(ISNUMBER(E263)=TRUE,ISNUMBER(T263)=FALSE),"Direct", AND(ISNUMBER(E263)=FALSE,ISNUMBER(T263)=TRUE),"Indirect", CN263=4,"Direct",AND(CL263=FALSE, CM263=TRUE,CN263-CO263&gt;-1),"Direct", AND(CL263=FALSE,CM263=TRUE, CN263-CO263&lt;0),"Check algorithm in appendix 2", AND(CL263=TRUE, CM263=FALSE,CN263-CO263&gt;0),"Check algorithm in appendix 2", AND(CL263=TRUE, CM263=FALSE,CN263-CO263=0),"Indirect", AND(CL263=TRUE, CM263=FALSE,CN263-CO263&lt;0),"Indirect", AND(CL263=FALSE,CM263=FALSE,CN263-CO263&gt;-1),"Direct", AND(CL263=FALSE,CM263=FALSE,CN263-CO263&lt;0),"Check algorithm in appendix 2", AND(CL263=TRUE,CM263=TRUE,CN263-CO263&gt;-1),"Direct", AND(CL263=TRUE,CM263=TRUE,CN263-CO263&lt;0),"Check algorithm in appendix 2"))</f>
        <v/>
      </c>
      <c r="BC263" s="120" t="str">
        <f t="shared" si="10"/>
        <v/>
      </c>
      <c r="BD263" s="140"/>
      <c r="BE263" s="122" t="str">
        <f>IF(Preferences!B$3="Manual","", IFERROR(IFS(AND(Preferences!B$3="Automatic",AX263/AW263&gt;=30),"Extremely serious",AND(AY263&lt;=$D$1*-1,BA263&lt;0,AX263/AW263&lt;3),"Not Serious",AND(AY263&lt;=$D$1*-1,BA263&lt;0,AX263/AW263&gt;=3),"Very serious",AND(AY263&gt;=$D$1,AZ263&gt;0,AX263/AW263&lt;3),"Not Serious",AND(AY263&gt;=$D$1,AZ263&gt;0,AX263/AW263&gt;=3),"Very serious",AND(AY263&lt;=$D$1*-1,BA263&gt;0,AZ263&gt;$D$2*-1,AX263/AW263&lt;3),"Serious", AND(AY263&lt;=$D$1*-1,BA263&gt;0,AZ263&lt;$D$2*-1,AX263/AW263&lt;3),"Very serious", AND(AY263&gt;=$D$1,AZ263&lt;0,BA263&lt;$D$2,AX263/AW263&lt;3),"Serious",AND(AY263&gt;=$D$1,AZ263&lt;0,BA263&gt;$D$2,AX263/AW263&lt;3),"Very serious", AND(AY263&lt;=$D$1*-1,BA263&gt;0,AZ263&gt;$D$2*-1,AX263/AW263&gt;=3),"Very serious", AND(AY263&lt;=$D$1*-1,BA263&gt;0,AZ263&lt;$D$2*-1,AX263/AW263&gt;=3),"Very serious", AND(AY263&gt;=$D$1,AZ263&lt;0,BA263&lt;$D$2,AX263/AW263&gt;=3),"Very serious", AND(AY263&gt;=$D$1,AZ263&lt;0,BA263&gt;$D$2,AX263/AW263&gt;=3),"Very serious", AND(AY263&gt;$D$1*-1,AY263&lt;$D$1,AZ263&gt;$D$1*-1,BA263&lt;$D$1,AX263/AW263&lt;3),"Not Serious", AND(AY263&gt;$D$1*-1,AY263&lt;$D$1,OR(AZ263&lt;=$D$1*-1,BA263&gt;=$D$1),AZ263&gt;$D$2*-1,BA263&lt;$D$2,AX263/AW263&lt;3),"Serious", AND(AY263&gt;$D$1*-1,AY263&lt;$D$1,OR(AZ263&lt;=$D$2*-1,BA263&gt;=$D$2),AX263/AW263&lt;3),"Very serious", AND(AY263&gt;$D$1*-1,AY263&lt;$D$1,AZ263&gt;$D$1*-1,BA263&lt;$D$1,AX263/AW263&gt;=3),"Very serious", AND(AY263&gt;$D$1*-1,AY263&lt;$D$1,OR(AZ263&lt;=$D$1*-1,BA263&gt;=$D$1),AZ263&gt;$D$2*-1,BA263&lt;$D$2,AX263/AW263&gt;=3),"Very serious", AND(AY263&gt;$D$1*-1,AY263&lt;$D$1,OR(AZ263&lt;=$D$2*-1,BA263&gt;=$D$2),AX263/AW263&gt;=3),"Very serious"),""))</f>
        <v/>
      </c>
      <c r="BF263" s="107" t="str">
        <f t="shared" si="11"/>
        <v/>
      </c>
      <c r="BG263" s="94" t="str">
        <f t="shared" si="46"/>
        <v/>
      </c>
      <c r="BH263" s="64" t="str">
        <f t="shared" si="12"/>
        <v>#N/A</v>
      </c>
      <c r="BI263" s="64" t="str">
        <f t="shared" si="13"/>
        <v/>
      </c>
      <c r="BJ263" s="123" t="str">
        <f t="shared" si="14"/>
        <v>#N/A</v>
      </c>
      <c r="BK263" s="64" t="str">
        <f t="shared" si="50"/>
        <v>YES</v>
      </c>
      <c r="BL263" s="64" t="str">
        <f t="shared" si="16"/>
        <v>YES</v>
      </c>
      <c r="BM263" s="64" t="str">
        <f t="shared" si="17"/>
        <v>YES</v>
      </c>
      <c r="BN263" s="124" t="str">
        <f t="shared" si="18"/>
        <v/>
      </c>
      <c r="BO263" s="91" t="str">
        <f t="shared" si="19"/>
        <v/>
      </c>
      <c r="BP263" s="91" t="str">
        <f t="shared" si="20"/>
        <v>#N/A</v>
      </c>
      <c r="BQ263" s="91" t="str">
        <f t="shared" si="21"/>
        <v/>
      </c>
      <c r="BR263" s="93" t="str">
        <f t="shared" si="22"/>
        <v/>
      </c>
      <c r="BS263" s="90" t="str">
        <f t="shared" si="23"/>
        <v/>
      </c>
      <c r="BT263" s="93" t="str">
        <f t="shared" si="24"/>
        <v>NA</v>
      </c>
      <c r="BU263" s="125" t="str">
        <f t="shared" si="25"/>
        <v>#N/A</v>
      </c>
      <c r="BV263" s="93" t="str">
        <f t="shared" si="26"/>
        <v/>
      </c>
      <c r="BW263" s="93" t="str">
        <f t="shared" si="27"/>
        <v/>
      </c>
      <c r="BX263" s="93" t="str">
        <f t="shared" si="28"/>
        <v>NA</v>
      </c>
      <c r="BY263" s="95" t="str">
        <f t="shared" si="29"/>
        <v>#N/A</v>
      </c>
      <c r="BZ263" s="93" t="str">
        <f t="shared" si="30"/>
        <v/>
      </c>
      <c r="CA263" s="93" t="str">
        <f t="shared" si="31"/>
        <v/>
      </c>
      <c r="CB263" s="93" t="str">
        <f t="shared" si="32"/>
        <v>NA</v>
      </c>
      <c r="CC263" s="96" t="str">
        <f t="shared" si="33"/>
        <v>#N/A</v>
      </c>
      <c r="CD263" s="93" t="str">
        <f t="shared" si="34"/>
        <v/>
      </c>
      <c r="CE263" s="93" t="str">
        <f t="shared" si="35"/>
        <v/>
      </c>
      <c r="CF263" s="93" t="str">
        <f t="shared" si="36"/>
        <v>NA</v>
      </c>
      <c r="CG263" s="97" t="str">
        <f t="shared" si="37"/>
        <v>#N/A</v>
      </c>
      <c r="CH263" s="98" t="str">
        <f t="shared" si="38"/>
        <v>#N/A</v>
      </c>
      <c r="CI263" s="99" t="str">
        <f t="shared" si="39"/>
        <v>#N/A</v>
      </c>
      <c r="CJ263" s="126" t="str">
        <f t="shared" si="40"/>
        <v>ERROR: check cell</v>
      </c>
      <c r="CK263" s="126"/>
      <c r="CL263" s="127" t="str">
        <f t="shared" si="41"/>
        <v>#DIV/0!</v>
      </c>
      <c r="CM263" s="128" t="str">
        <f t="shared" si="42"/>
        <v>#DIV/0!</v>
      </c>
      <c r="CN263" s="128">
        <f t="shared" si="43"/>
        <v>4</v>
      </c>
      <c r="CO263" s="129">
        <f t="shared" si="44"/>
        <v>4</v>
      </c>
      <c r="CP263" s="129" t="str">
        <f>IFS(C263=Preferences!B$13,B263,B263=Preferences!B$13,C263)</f>
        <v>#N/A</v>
      </c>
    </row>
    <row r="264" ht="13.5" customHeight="1">
      <c r="A264" s="63" t="str">
        <f t="shared" si="45"/>
        <v/>
      </c>
      <c r="B264" s="64"/>
      <c r="C264" s="64"/>
      <c r="D264" s="64"/>
      <c r="E264" s="65"/>
      <c r="F264" s="65"/>
      <c r="G264" s="65"/>
      <c r="H264" s="66"/>
      <c r="I264" s="66"/>
      <c r="J264" s="67"/>
      <c r="K264" s="68"/>
      <c r="L264" s="104"/>
      <c r="M264" s="104"/>
      <c r="N264" s="104"/>
      <c r="O264" s="104"/>
      <c r="P264" s="107" t="str">
        <f t="shared" si="1"/>
        <v/>
      </c>
      <c r="Q264" s="108" t="str">
        <f>IFERROR(IF(AND(Preferences!B$3="Manual",OR(AX264/AW264&gt;G264/F264,BD264="Serious",BD264="Very serious")),"Assess imprecision",IFS(ISBLANK(E264),"",AND(Preferences!B$3="Automatic", G264/F264&gt;=30),"Extremely serious",AND(H264&lt;=$D$1*-1,J264&lt;0,G264/F264&lt;3),"Not serious",AND(H264&lt;=$D$1*-1,J264&lt;0,G264/F264&gt;=3),"Very serious",AND(H264&gt;=$D$1,I264&gt;0,G264/F264&lt;3),"Not serious",AND(H264&gt;=$D$1,I264&gt;0,G264/F264&gt;=3),"Very serious",AND(H264&lt;=$D$1*-1,J264&gt;0,I264&gt;$D$2*-1,G264/F264&lt;3),"Serious", AND(H264&lt;=$D$1*-1,J264&gt;0,I264&lt;$D$2*-1,G264/F264&lt;3),"Very serious", AND(H264&gt;=$D$1,I264&lt;0,J264&lt;$D$2,G264/F264&lt;3),"Serious",AND(H264&gt;=$D$1,I264&lt;0,J264&gt;$D$2,G264/F264&lt;3),"Very serious", AND(H264&lt;=$D$1*-1,J264&gt;0,I264&gt;$D$2*-1,G264/F264&gt;=3),"Very serious", AND(H264&lt;=$D$1*-1,J264&gt;0,I264&lt;$D$2*-1,G264/F264&gt;=3),"Very serious", AND(H264&gt;=$D$1,I264&lt;0,J264&lt;$D$2,G264/F264&gt;=3),"Very serious", AND(H264&gt;=$D$1,I264&lt;0,J264&gt;$D$2,G264/F264&gt;=3),"Very serious", AND(H264&gt;$D$1*-1,H264&lt;$D$1,I264&gt;$D$1*-1,J264&lt;$D$1,G264/F264&lt;3),"Not serious", AND(H264&gt;$D$1*-1,H264&lt;$D$1,OR(I264&lt;=$D$1*-1,J264&gt;=$D$1),I264&gt;$D$2*-1,J264&lt;$D$2,G264/F264&lt;3),"Serious", AND(H264&gt;$D$1*-1,H264&lt;$D$1,OR(I264&lt;=$D$2*-1,J264&gt;=$D$2),G264/F264&lt;3),"Very serious", AND(H264&gt;$D$1*-1,H264&lt;$D$1,I264&gt;$D$1*-1,J264&lt;$D$1,G264/F264&gt;=3),"Very serious", AND(H264&gt;$D$1*-1,H264&lt;$D$1,OR(I264&lt;=$D$1*-1,J264&gt;=$D$1),I264&gt;$D$2*-1,J264&lt;$D$2,G264/F264&gt;=3),"Very serious", AND(H264&gt;$D$1*-1,H264&lt;$D$1,OR(I264&lt;=$D$2*-1,J264&gt;=$D$2),G264/F264&gt;=3),"Very serious")),"")</f>
        <v/>
      </c>
      <c r="R264" s="109" t="str">
        <f t="shared" si="47"/>
        <v/>
      </c>
      <c r="S264" s="64"/>
      <c r="T264" s="72"/>
      <c r="U264" s="72"/>
      <c r="V264" s="72"/>
      <c r="W264" s="73"/>
      <c r="X264" s="73"/>
      <c r="Y264" s="74"/>
      <c r="Z264" s="113" t="str">
        <f t="array" ref="Z264">INDEX($A$1:$C$500, MATCH(1,($B:$B=$B264)*($C:$C=$AB264),0),1)</f>
        <v/>
      </c>
      <c r="AA264" s="113" t="str">
        <f t="array" ref="AA264">INDEX($A$1:$C$500, MATCH(1,($B:$B=$AB264)*($C:$C=$B264),0),1)</f>
        <v/>
      </c>
      <c r="AB264" s="111"/>
      <c r="AC264" s="114" t="str">
        <f t="shared" si="2"/>
        <v/>
      </c>
      <c r="AD264" s="115" t="str">
        <f t="shared" si="3"/>
        <v/>
      </c>
      <c r="AE264" s="116" t="str">
        <f t="array" ref="AE264">INDEX($A$1:$C$500, MATCH(1,($B:$B=$AB264)*($C:$C=$AG264),0),1)</f>
        <v/>
      </c>
      <c r="AF264" s="116" t="str">
        <f t="array" ref="AF264">INDEX($A$1:$C$500, MATCH(1,($B:$B=$AG264)*($C:$C=$AB264),0),1)</f>
        <v/>
      </c>
      <c r="AG264" s="72"/>
      <c r="AH264" s="114" t="str">
        <f t="shared" si="4"/>
        <v/>
      </c>
      <c r="AI264" s="115" t="str">
        <f t="shared" si="5"/>
        <v/>
      </c>
      <c r="AJ264" s="116" t="str">
        <f t="array" ref="AJ264">INDEX($A$1:$C$500, MATCH(1,($B:$B=$C264)*($C:$C=$AG264),0),1)</f>
        <v/>
      </c>
      <c r="AK264" s="116" t="str">
        <f t="array" ref="AK264">INDEX($A$1:$C$500, MATCH(1,($B:$B=$AG264)*($C:$C=$C264),0),1)</f>
        <v/>
      </c>
      <c r="AL264" s="116" t="str">
        <f t="array" ref="AL264">INDEX($A$1:$C$500, MATCH(1,($B:$B=$C264)*($C:$C=$AB264),0),1)</f>
        <v/>
      </c>
      <c r="AM264" s="116" t="str">
        <f t="array" ref="AM264">INDEX($A$1:$C$500, MATCH(1,($B:$B=$AB264)*($C:$C=$C264),0),1)</f>
        <v/>
      </c>
      <c r="AN264" s="114" t="str">
        <f t="array" ref="AN264">IFS(ISNUMBER(AJ264),AJ264,ISNUMBER(AK264),AK264,ISNUMBER(AL264),AL264,ISNUMBER(AM264),AM264)</f>
        <v>#N/A</v>
      </c>
      <c r="AO264" s="115" t="str">
        <f t="shared" si="6"/>
        <v/>
      </c>
      <c r="AP264" s="115" t="str">
        <f t="shared" si="7"/>
        <v/>
      </c>
      <c r="AQ264" s="111"/>
      <c r="AR264" s="109" t="str">
        <f t="shared" si="8"/>
        <v/>
      </c>
      <c r="AS264" s="72" t="str">
        <f>IFERROR(IF(AND(Preferences!B$3="Manual",OR(AX264/AW264&gt;V264/U264,BD264="Serious",BD264="Very serious")),"Assess imprecision",IFERROR(IFS(AND(Preferences!B$3="Automatic",V264/U264&gt;=30),"Extremely serious",AND(W264&lt;=$D$1*-1,Y264&lt;0,V264/U264&lt;3),"Not Serious",AND(W264&lt;=$D$1*-1,Y264&lt;0,V264/U264&gt;=3),"Very serious",AND(W264&gt;=$D$1,X264&gt;0,V264/U264&lt;3),"Not Serious",AND(W264&gt;=$D$1,X264&gt;0,V264/U264&gt;=3),"Very serious",AND(W264&lt;=$D$1*-1,Y264&gt;0,X264&gt;$D$2*-1,V264/U264&lt;3),"Serious", AND(W264&lt;=$D$1*-1,Y264&gt;0,X264&lt;$D$2*-1,V264/U264&lt;3),"Very serious", AND(W264&gt;=$D$1,X264&lt;0,Y264&lt;$D$2,V264/U264&lt;3),"Serious",AND(W264&gt;=$D$1,X264&lt;0,Y264&gt;$D$2,V264/U264&lt;3),"Very serious", AND(W264&lt;=$D$1*-1,Y264&gt;0,X264&gt;$D$2*-1,V264/U264&gt;=3),"Very serious", AND(W264&lt;=$D$1*-1,Y264&gt;0,X264&lt;$D$2*-1,V264/U264&gt;=3),"Very serious", AND(W264&gt;=$D$1,X264&lt;0,Y264&lt;$D$2,V264/U264&gt;=3),"Very serious", AND(W264&gt;=$D$1,X264&lt;0,Y264&gt;$D$2,V264/U264&gt;=3),"Very serious", AND(W264&gt;$D$1*-1,W264&lt;$D$1,X264&gt;$D$1*-1,Y264&lt;$D$1,V264/U264&lt;3),"Not Serious", AND(W264&gt;$D$1*-1,W264&lt;$D$1,OR(X264&lt;=$D$1*-1,Y264&gt;=$D$1),X264&gt;$D$2*-1,Y264&lt;$D$2,V264/U264&lt;3),"Serious", AND(W264&gt;$D$1*-1,W264&lt;$D$1,OR(X264&lt;=$D$2*-1,Y264&gt;=$D$2),V264/U264&lt;3),"Very serious", AND(W264&gt;$D$1*-1,W264&lt;$D$1,X264&gt;$D$1*-1,Y264&lt;$D$1,V264/U264&gt;=3),"Very serious", AND(W264&gt;$D$1*-1,W264&lt;$D$1,OR(X264&lt;=$D$1*-1,Y264&gt;=$D$1),X264&gt;$D$2*-1,Y264&lt;$D$2,V264/U264&gt;=3),"Very serious", AND(W264&gt;$D$1*-1,W264&lt;$D$1,OR(X264&lt;=$D$2*-1,Y264&gt;=$D$2),V264/U264&gt;=3),"Very serious"),"")),"")</f>
        <v/>
      </c>
      <c r="AT264" s="109" t="str">
        <f t="shared" si="9"/>
        <v/>
      </c>
      <c r="AU264" s="64"/>
      <c r="AV264" s="83"/>
      <c r="AW264" s="83"/>
      <c r="AX264" s="83"/>
      <c r="AY264" s="83"/>
      <c r="AZ264" s="83"/>
      <c r="BA264" s="85"/>
      <c r="BB264" s="86" t="str">
        <f>IF(Preferences!B$9="Manual","",IFS(ISBLANK(B264),"",AND(ISNUMBER(E264)=TRUE,ISNUMBER(T264)=FALSE),"Direct", AND(ISNUMBER(E264)=FALSE,ISNUMBER(T264)=TRUE),"Indirect", CN264=4,"Direct",AND(CL264=FALSE, CM264=TRUE,CN264-CO264&gt;-1),"Direct", AND(CL264=FALSE,CM264=TRUE, CN264-CO264&lt;0),"Check algorithm in appendix 2", AND(CL264=TRUE, CM264=FALSE,CN264-CO264&gt;0),"Check algorithm in appendix 2", AND(CL264=TRUE, CM264=FALSE,CN264-CO264=0),"Indirect", AND(CL264=TRUE, CM264=FALSE,CN264-CO264&lt;0),"Indirect", AND(CL264=FALSE,CM264=FALSE,CN264-CO264&gt;-1),"Direct", AND(CL264=FALSE,CM264=FALSE,CN264-CO264&lt;0),"Check algorithm in appendix 2", AND(CL264=TRUE,CM264=TRUE,CN264-CO264&gt;-1),"Direct", AND(CL264=TRUE,CM264=TRUE,CN264-CO264&lt;0),"Check algorithm in appendix 2"))</f>
        <v/>
      </c>
      <c r="BC264" s="120" t="str">
        <f t="shared" si="10"/>
        <v/>
      </c>
      <c r="BD264" s="140"/>
      <c r="BE264" s="122" t="str">
        <f>IF(Preferences!B$3="Manual","", IFERROR(IFS(AND(Preferences!B$3="Automatic",AX264/AW264&gt;=30),"Extremely serious",AND(AY264&lt;=$D$1*-1,BA264&lt;0,AX264/AW264&lt;3),"Not Serious",AND(AY264&lt;=$D$1*-1,BA264&lt;0,AX264/AW264&gt;=3),"Very serious",AND(AY264&gt;=$D$1,AZ264&gt;0,AX264/AW264&lt;3),"Not Serious",AND(AY264&gt;=$D$1,AZ264&gt;0,AX264/AW264&gt;=3),"Very serious",AND(AY264&lt;=$D$1*-1,BA264&gt;0,AZ264&gt;$D$2*-1,AX264/AW264&lt;3),"Serious", AND(AY264&lt;=$D$1*-1,BA264&gt;0,AZ264&lt;$D$2*-1,AX264/AW264&lt;3),"Very serious", AND(AY264&gt;=$D$1,AZ264&lt;0,BA264&lt;$D$2,AX264/AW264&lt;3),"Serious",AND(AY264&gt;=$D$1,AZ264&lt;0,BA264&gt;$D$2,AX264/AW264&lt;3),"Very serious", AND(AY264&lt;=$D$1*-1,BA264&gt;0,AZ264&gt;$D$2*-1,AX264/AW264&gt;=3),"Very serious", AND(AY264&lt;=$D$1*-1,BA264&gt;0,AZ264&lt;$D$2*-1,AX264/AW264&gt;=3),"Very serious", AND(AY264&gt;=$D$1,AZ264&lt;0,BA264&lt;$D$2,AX264/AW264&gt;=3),"Very serious", AND(AY264&gt;=$D$1,AZ264&lt;0,BA264&gt;$D$2,AX264/AW264&gt;=3),"Very serious", AND(AY264&gt;$D$1*-1,AY264&lt;$D$1,AZ264&gt;$D$1*-1,BA264&lt;$D$1,AX264/AW264&lt;3),"Not Serious", AND(AY264&gt;$D$1*-1,AY264&lt;$D$1,OR(AZ264&lt;=$D$1*-1,BA264&gt;=$D$1),AZ264&gt;$D$2*-1,BA264&lt;$D$2,AX264/AW264&lt;3),"Serious", AND(AY264&gt;$D$1*-1,AY264&lt;$D$1,OR(AZ264&lt;=$D$2*-1,BA264&gt;=$D$2),AX264/AW264&lt;3),"Very serious", AND(AY264&gt;$D$1*-1,AY264&lt;$D$1,AZ264&gt;$D$1*-1,BA264&lt;$D$1,AX264/AW264&gt;=3),"Very serious", AND(AY264&gt;$D$1*-1,AY264&lt;$D$1,OR(AZ264&lt;=$D$1*-1,BA264&gt;=$D$1),AZ264&gt;$D$2*-1,BA264&lt;$D$2,AX264/AW264&gt;=3),"Very serious", AND(AY264&gt;$D$1*-1,AY264&lt;$D$1,OR(AZ264&lt;=$D$2*-1,BA264&gt;=$D$2),AX264/AW264&gt;=3),"Very serious"),""))</f>
        <v/>
      </c>
      <c r="BF264" s="107" t="str">
        <f t="shared" si="11"/>
        <v/>
      </c>
      <c r="BG264" s="94" t="str">
        <f t="shared" si="46"/>
        <v/>
      </c>
      <c r="BH264" s="64" t="str">
        <f t="shared" si="12"/>
        <v>#N/A</v>
      </c>
      <c r="BI264" s="64" t="str">
        <f t="shared" si="13"/>
        <v/>
      </c>
      <c r="BJ264" s="123" t="str">
        <f t="shared" si="14"/>
        <v>#N/A</v>
      </c>
      <c r="BK264" s="64" t="str">
        <f t="shared" si="50"/>
        <v>YES</v>
      </c>
      <c r="BL264" s="64" t="str">
        <f t="shared" si="16"/>
        <v>YES</v>
      </c>
      <c r="BM264" s="64" t="str">
        <f t="shared" si="17"/>
        <v>YES</v>
      </c>
      <c r="BN264" s="124" t="str">
        <f t="shared" si="18"/>
        <v/>
      </c>
      <c r="BO264" s="91" t="str">
        <f t="shared" si="19"/>
        <v/>
      </c>
      <c r="BP264" s="91" t="str">
        <f t="shared" si="20"/>
        <v>#N/A</v>
      </c>
      <c r="BQ264" s="91" t="str">
        <f t="shared" si="21"/>
        <v/>
      </c>
      <c r="BR264" s="93" t="str">
        <f t="shared" si="22"/>
        <v/>
      </c>
      <c r="BS264" s="90" t="str">
        <f t="shared" si="23"/>
        <v/>
      </c>
      <c r="BT264" s="93" t="str">
        <f t="shared" si="24"/>
        <v>NA</v>
      </c>
      <c r="BU264" s="125" t="str">
        <f t="shared" si="25"/>
        <v>#N/A</v>
      </c>
      <c r="BV264" s="93" t="str">
        <f t="shared" si="26"/>
        <v/>
      </c>
      <c r="BW264" s="93" t="str">
        <f t="shared" si="27"/>
        <v/>
      </c>
      <c r="BX264" s="93" t="str">
        <f t="shared" si="28"/>
        <v>NA</v>
      </c>
      <c r="BY264" s="95" t="str">
        <f t="shared" si="29"/>
        <v>#N/A</v>
      </c>
      <c r="BZ264" s="93" t="str">
        <f t="shared" si="30"/>
        <v/>
      </c>
      <c r="CA264" s="93" t="str">
        <f t="shared" si="31"/>
        <v/>
      </c>
      <c r="CB264" s="93" t="str">
        <f t="shared" si="32"/>
        <v>NA</v>
      </c>
      <c r="CC264" s="96" t="str">
        <f t="shared" si="33"/>
        <v>#N/A</v>
      </c>
      <c r="CD264" s="93" t="str">
        <f t="shared" si="34"/>
        <v/>
      </c>
      <c r="CE264" s="93" t="str">
        <f t="shared" si="35"/>
        <v/>
      </c>
      <c r="CF264" s="93" t="str">
        <f t="shared" si="36"/>
        <v>NA</v>
      </c>
      <c r="CG264" s="97" t="str">
        <f t="shared" si="37"/>
        <v>#N/A</v>
      </c>
      <c r="CH264" s="98" t="str">
        <f t="shared" si="38"/>
        <v>#N/A</v>
      </c>
      <c r="CI264" s="99" t="str">
        <f t="shared" si="39"/>
        <v>#N/A</v>
      </c>
      <c r="CJ264" s="126" t="str">
        <f t="shared" si="40"/>
        <v>ERROR: check cell</v>
      </c>
      <c r="CK264" s="126"/>
      <c r="CL264" s="127" t="str">
        <f t="shared" si="41"/>
        <v>#DIV/0!</v>
      </c>
      <c r="CM264" s="128" t="str">
        <f t="shared" si="42"/>
        <v>#DIV/0!</v>
      </c>
      <c r="CN264" s="128">
        <f t="shared" si="43"/>
        <v>4</v>
      </c>
      <c r="CO264" s="129">
        <f t="shared" si="44"/>
        <v>4</v>
      </c>
      <c r="CP264" s="129" t="str">
        <f>IFS(C264=Preferences!B$13,B264,B264=Preferences!B$13,C264)</f>
        <v>#N/A</v>
      </c>
    </row>
    <row r="265" ht="13.5" customHeight="1">
      <c r="A265" s="63" t="str">
        <f t="shared" si="45"/>
        <v/>
      </c>
      <c r="B265" s="64"/>
      <c r="C265" s="64"/>
      <c r="D265" s="64"/>
      <c r="E265" s="65"/>
      <c r="F265" s="65"/>
      <c r="G265" s="65"/>
      <c r="H265" s="66"/>
      <c r="I265" s="66"/>
      <c r="J265" s="67"/>
      <c r="K265" s="68"/>
      <c r="L265" s="104"/>
      <c r="M265" s="104"/>
      <c r="N265" s="104"/>
      <c r="O265" s="104"/>
      <c r="P265" s="107" t="str">
        <f t="shared" si="1"/>
        <v/>
      </c>
      <c r="Q265" s="108" t="str">
        <f>IFERROR(IF(AND(Preferences!B$3="Manual",OR(AX265/AW265&gt;G265/F265,BD265="Serious",BD265="Very serious")),"Assess imprecision",IFS(ISBLANK(E265),"",AND(Preferences!B$3="Automatic", G265/F265&gt;=30),"Extremely serious",AND(H265&lt;=$D$1*-1,J265&lt;0,G265/F265&lt;3),"Not serious",AND(H265&lt;=$D$1*-1,J265&lt;0,G265/F265&gt;=3),"Very serious",AND(H265&gt;=$D$1,I265&gt;0,G265/F265&lt;3),"Not serious",AND(H265&gt;=$D$1,I265&gt;0,G265/F265&gt;=3),"Very serious",AND(H265&lt;=$D$1*-1,J265&gt;0,I265&gt;$D$2*-1,G265/F265&lt;3),"Serious", AND(H265&lt;=$D$1*-1,J265&gt;0,I265&lt;$D$2*-1,G265/F265&lt;3),"Very serious", AND(H265&gt;=$D$1,I265&lt;0,J265&lt;$D$2,G265/F265&lt;3),"Serious",AND(H265&gt;=$D$1,I265&lt;0,J265&gt;$D$2,G265/F265&lt;3),"Very serious", AND(H265&lt;=$D$1*-1,J265&gt;0,I265&gt;$D$2*-1,G265/F265&gt;=3),"Very serious", AND(H265&lt;=$D$1*-1,J265&gt;0,I265&lt;$D$2*-1,G265/F265&gt;=3),"Very serious", AND(H265&gt;=$D$1,I265&lt;0,J265&lt;$D$2,G265/F265&gt;=3),"Very serious", AND(H265&gt;=$D$1,I265&lt;0,J265&gt;$D$2,G265/F265&gt;=3),"Very serious", AND(H265&gt;$D$1*-1,H265&lt;$D$1,I265&gt;$D$1*-1,J265&lt;$D$1,G265/F265&lt;3),"Not serious", AND(H265&gt;$D$1*-1,H265&lt;$D$1,OR(I265&lt;=$D$1*-1,J265&gt;=$D$1),I265&gt;$D$2*-1,J265&lt;$D$2,G265/F265&lt;3),"Serious", AND(H265&gt;$D$1*-1,H265&lt;$D$1,OR(I265&lt;=$D$2*-1,J265&gt;=$D$2),G265/F265&lt;3),"Very serious", AND(H265&gt;$D$1*-1,H265&lt;$D$1,I265&gt;$D$1*-1,J265&lt;$D$1,G265/F265&gt;=3),"Very serious", AND(H265&gt;$D$1*-1,H265&lt;$D$1,OR(I265&lt;=$D$1*-1,J265&gt;=$D$1),I265&gt;$D$2*-1,J265&lt;$D$2,G265/F265&gt;=3),"Very serious", AND(H265&gt;$D$1*-1,H265&lt;$D$1,OR(I265&lt;=$D$2*-1,J265&gt;=$D$2),G265/F265&gt;=3),"Very serious")),"")</f>
        <v/>
      </c>
      <c r="R265" s="109" t="str">
        <f t="shared" si="47"/>
        <v/>
      </c>
      <c r="S265" s="64"/>
      <c r="T265" s="72"/>
      <c r="U265" s="72"/>
      <c r="V265" s="72"/>
      <c r="W265" s="73"/>
      <c r="X265" s="73"/>
      <c r="Y265" s="74"/>
      <c r="Z265" s="113" t="str">
        <f t="array" ref="Z265">INDEX($A$1:$C$500, MATCH(1,($B:$B=$B265)*($C:$C=$AB265),0),1)</f>
        <v/>
      </c>
      <c r="AA265" s="113" t="str">
        <f t="array" ref="AA265">INDEX($A$1:$C$500, MATCH(1,($B:$B=$AB265)*($C:$C=$B265),0),1)</f>
        <v/>
      </c>
      <c r="AB265" s="111"/>
      <c r="AC265" s="114" t="str">
        <f t="shared" si="2"/>
        <v/>
      </c>
      <c r="AD265" s="115" t="str">
        <f t="shared" si="3"/>
        <v/>
      </c>
      <c r="AE265" s="116" t="str">
        <f t="array" ref="AE265">INDEX($A$1:$C$500, MATCH(1,($B:$B=$AB265)*($C:$C=$AG265),0),1)</f>
        <v/>
      </c>
      <c r="AF265" s="116" t="str">
        <f t="array" ref="AF265">INDEX($A$1:$C$500, MATCH(1,($B:$B=$AG265)*($C:$C=$AB265),0),1)</f>
        <v/>
      </c>
      <c r="AG265" s="72"/>
      <c r="AH265" s="114" t="str">
        <f t="shared" si="4"/>
        <v/>
      </c>
      <c r="AI265" s="115" t="str">
        <f t="shared" si="5"/>
        <v/>
      </c>
      <c r="AJ265" s="116" t="str">
        <f t="array" ref="AJ265">INDEX($A$1:$C$500, MATCH(1,($B:$B=$C265)*($C:$C=$AG265),0),1)</f>
        <v/>
      </c>
      <c r="AK265" s="116" t="str">
        <f t="array" ref="AK265">INDEX($A$1:$C$500, MATCH(1,($B:$B=$AG265)*($C:$C=$C265),0),1)</f>
        <v/>
      </c>
      <c r="AL265" s="116" t="str">
        <f t="array" ref="AL265">INDEX($A$1:$C$500, MATCH(1,($B:$B=$C265)*($C:$C=$AB265),0),1)</f>
        <v/>
      </c>
      <c r="AM265" s="116" t="str">
        <f t="array" ref="AM265">INDEX($A$1:$C$500, MATCH(1,($B:$B=$AB265)*($C:$C=$C265),0),1)</f>
        <v/>
      </c>
      <c r="AN265" s="114" t="str">
        <f t="array" ref="AN265">IFS(ISNUMBER(AJ265),AJ265,ISNUMBER(AK265),AK265,ISNUMBER(AL265),AL265,ISNUMBER(AM265),AM265)</f>
        <v>#N/A</v>
      </c>
      <c r="AO265" s="115" t="str">
        <f t="shared" si="6"/>
        <v/>
      </c>
      <c r="AP265" s="115" t="str">
        <f t="shared" si="7"/>
        <v/>
      </c>
      <c r="AQ265" s="111"/>
      <c r="AR265" s="109" t="str">
        <f t="shared" si="8"/>
        <v/>
      </c>
      <c r="AS265" s="72" t="str">
        <f>IFERROR(IF(AND(Preferences!B$3="Manual",OR(AX265/AW265&gt;V265/U265,BD265="Serious",BD265="Very serious")),"Assess imprecision",IFERROR(IFS(AND(Preferences!B$3="Automatic",V265/U265&gt;=30),"Extremely serious",AND(W265&lt;=$D$1*-1,Y265&lt;0,V265/U265&lt;3),"Not Serious",AND(W265&lt;=$D$1*-1,Y265&lt;0,V265/U265&gt;=3),"Very serious",AND(W265&gt;=$D$1,X265&gt;0,V265/U265&lt;3),"Not Serious",AND(W265&gt;=$D$1,X265&gt;0,V265/U265&gt;=3),"Very serious",AND(W265&lt;=$D$1*-1,Y265&gt;0,X265&gt;$D$2*-1,V265/U265&lt;3),"Serious", AND(W265&lt;=$D$1*-1,Y265&gt;0,X265&lt;$D$2*-1,V265/U265&lt;3),"Very serious", AND(W265&gt;=$D$1,X265&lt;0,Y265&lt;$D$2,V265/U265&lt;3),"Serious",AND(W265&gt;=$D$1,X265&lt;0,Y265&gt;$D$2,V265/U265&lt;3),"Very serious", AND(W265&lt;=$D$1*-1,Y265&gt;0,X265&gt;$D$2*-1,V265/U265&gt;=3),"Very serious", AND(W265&lt;=$D$1*-1,Y265&gt;0,X265&lt;$D$2*-1,V265/U265&gt;=3),"Very serious", AND(W265&gt;=$D$1,X265&lt;0,Y265&lt;$D$2,V265/U265&gt;=3),"Very serious", AND(W265&gt;=$D$1,X265&lt;0,Y265&gt;$D$2,V265/U265&gt;=3),"Very serious", AND(W265&gt;$D$1*-1,W265&lt;$D$1,X265&gt;$D$1*-1,Y265&lt;$D$1,V265/U265&lt;3),"Not Serious", AND(W265&gt;$D$1*-1,W265&lt;$D$1,OR(X265&lt;=$D$1*-1,Y265&gt;=$D$1),X265&gt;$D$2*-1,Y265&lt;$D$2,V265/U265&lt;3),"Serious", AND(W265&gt;$D$1*-1,W265&lt;$D$1,OR(X265&lt;=$D$2*-1,Y265&gt;=$D$2),V265/U265&lt;3),"Very serious", AND(W265&gt;$D$1*-1,W265&lt;$D$1,X265&gt;$D$1*-1,Y265&lt;$D$1,V265/U265&gt;=3),"Very serious", AND(W265&gt;$D$1*-1,W265&lt;$D$1,OR(X265&lt;=$D$1*-1,Y265&gt;=$D$1),X265&gt;$D$2*-1,Y265&lt;$D$2,V265/U265&gt;=3),"Very serious", AND(W265&gt;$D$1*-1,W265&lt;$D$1,OR(X265&lt;=$D$2*-1,Y265&gt;=$D$2),V265/U265&gt;=3),"Very serious"),"")),"")</f>
        <v/>
      </c>
      <c r="AT265" s="109" t="str">
        <f t="shared" si="9"/>
        <v/>
      </c>
      <c r="AU265" s="64"/>
      <c r="AV265" s="83"/>
      <c r="AW265" s="83"/>
      <c r="AX265" s="83"/>
      <c r="AY265" s="83"/>
      <c r="AZ265" s="83"/>
      <c r="BA265" s="85"/>
      <c r="BB265" s="86" t="str">
        <f>IF(Preferences!B$9="Manual","",IFS(ISBLANK(B265),"",AND(ISNUMBER(E265)=TRUE,ISNUMBER(T265)=FALSE),"Direct", AND(ISNUMBER(E265)=FALSE,ISNUMBER(T265)=TRUE),"Indirect", CN265=4,"Direct",AND(CL265=FALSE, CM265=TRUE,CN265-CO265&gt;-1),"Direct", AND(CL265=FALSE,CM265=TRUE, CN265-CO265&lt;0),"Check algorithm in appendix 2", AND(CL265=TRUE, CM265=FALSE,CN265-CO265&gt;0),"Check algorithm in appendix 2", AND(CL265=TRUE, CM265=FALSE,CN265-CO265=0),"Indirect", AND(CL265=TRUE, CM265=FALSE,CN265-CO265&lt;0),"Indirect", AND(CL265=FALSE,CM265=FALSE,CN265-CO265&gt;-1),"Direct", AND(CL265=FALSE,CM265=FALSE,CN265-CO265&lt;0),"Check algorithm in appendix 2", AND(CL265=TRUE,CM265=TRUE,CN265-CO265&gt;-1),"Direct", AND(CL265=TRUE,CM265=TRUE,CN265-CO265&lt;0),"Check algorithm in appendix 2"))</f>
        <v/>
      </c>
      <c r="BC265" s="120" t="str">
        <f t="shared" si="10"/>
        <v/>
      </c>
      <c r="BD265" s="140"/>
      <c r="BE265" s="122" t="str">
        <f>IF(Preferences!B$3="Manual","", IFERROR(IFS(AND(Preferences!B$3="Automatic",AX265/AW265&gt;=30),"Extremely serious",AND(AY265&lt;=$D$1*-1,BA265&lt;0,AX265/AW265&lt;3),"Not Serious",AND(AY265&lt;=$D$1*-1,BA265&lt;0,AX265/AW265&gt;=3),"Very serious",AND(AY265&gt;=$D$1,AZ265&gt;0,AX265/AW265&lt;3),"Not Serious",AND(AY265&gt;=$D$1,AZ265&gt;0,AX265/AW265&gt;=3),"Very serious",AND(AY265&lt;=$D$1*-1,BA265&gt;0,AZ265&gt;$D$2*-1,AX265/AW265&lt;3),"Serious", AND(AY265&lt;=$D$1*-1,BA265&gt;0,AZ265&lt;$D$2*-1,AX265/AW265&lt;3),"Very serious", AND(AY265&gt;=$D$1,AZ265&lt;0,BA265&lt;$D$2,AX265/AW265&lt;3),"Serious",AND(AY265&gt;=$D$1,AZ265&lt;0,BA265&gt;$D$2,AX265/AW265&lt;3),"Very serious", AND(AY265&lt;=$D$1*-1,BA265&gt;0,AZ265&gt;$D$2*-1,AX265/AW265&gt;=3),"Very serious", AND(AY265&lt;=$D$1*-1,BA265&gt;0,AZ265&lt;$D$2*-1,AX265/AW265&gt;=3),"Very serious", AND(AY265&gt;=$D$1,AZ265&lt;0,BA265&lt;$D$2,AX265/AW265&gt;=3),"Very serious", AND(AY265&gt;=$D$1,AZ265&lt;0,BA265&gt;$D$2,AX265/AW265&gt;=3),"Very serious", AND(AY265&gt;$D$1*-1,AY265&lt;$D$1,AZ265&gt;$D$1*-1,BA265&lt;$D$1,AX265/AW265&lt;3),"Not Serious", AND(AY265&gt;$D$1*-1,AY265&lt;$D$1,OR(AZ265&lt;=$D$1*-1,BA265&gt;=$D$1),AZ265&gt;$D$2*-1,BA265&lt;$D$2,AX265/AW265&lt;3),"Serious", AND(AY265&gt;$D$1*-1,AY265&lt;$D$1,OR(AZ265&lt;=$D$2*-1,BA265&gt;=$D$2),AX265/AW265&lt;3),"Very serious", AND(AY265&gt;$D$1*-1,AY265&lt;$D$1,AZ265&gt;$D$1*-1,BA265&lt;$D$1,AX265/AW265&gt;=3),"Very serious", AND(AY265&gt;$D$1*-1,AY265&lt;$D$1,OR(AZ265&lt;=$D$1*-1,BA265&gt;=$D$1),AZ265&gt;$D$2*-1,BA265&lt;$D$2,AX265/AW265&gt;=3),"Very serious", AND(AY265&gt;$D$1*-1,AY265&lt;$D$1,OR(AZ265&lt;=$D$2*-1,BA265&gt;=$D$2),AX265/AW265&gt;=3),"Very serious"),""))</f>
        <v/>
      </c>
      <c r="BF265" s="107" t="str">
        <f t="shared" si="11"/>
        <v/>
      </c>
      <c r="BG265" s="94" t="str">
        <f t="shared" si="46"/>
        <v/>
      </c>
      <c r="BH265" s="64" t="str">
        <f t="shared" si="12"/>
        <v>#N/A</v>
      </c>
      <c r="BI265" s="64" t="str">
        <f t="shared" si="13"/>
        <v/>
      </c>
      <c r="BJ265" s="123" t="str">
        <f t="shared" si="14"/>
        <v>#N/A</v>
      </c>
      <c r="BK265" s="64" t="str">
        <f t="shared" si="50"/>
        <v>YES</v>
      </c>
      <c r="BL265" s="64" t="str">
        <f t="shared" si="16"/>
        <v>YES</v>
      </c>
      <c r="BM265" s="64" t="str">
        <f t="shared" si="17"/>
        <v>YES</v>
      </c>
      <c r="BN265" s="124" t="str">
        <f t="shared" si="18"/>
        <v/>
      </c>
      <c r="BO265" s="91" t="str">
        <f t="shared" si="19"/>
        <v/>
      </c>
      <c r="BP265" s="91" t="str">
        <f t="shared" si="20"/>
        <v>#N/A</v>
      </c>
      <c r="BQ265" s="91" t="str">
        <f t="shared" si="21"/>
        <v/>
      </c>
      <c r="BR265" s="93" t="str">
        <f t="shared" si="22"/>
        <v/>
      </c>
      <c r="BS265" s="90" t="str">
        <f t="shared" si="23"/>
        <v/>
      </c>
      <c r="BT265" s="93" t="str">
        <f t="shared" si="24"/>
        <v>NA</v>
      </c>
      <c r="BU265" s="125" t="str">
        <f t="shared" si="25"/>
        <v>#N/A</v>
      </c>
      <c r="BV265" s="93" t="str">
        <f t="shared" si="26"/>
        <v/>
      </c>
      <c r="BW265" s="93" t="str">
        <f t="shared" si="27"/>
        <v/>
      </c>
      <c r="BX265" s="93" t="str">
        <f t="shared" si="28"/>
        <v>NA</v>
      </c>
      <c r="BY265" s="95" t="str">
        <f t="shared" si="29"/>
        <v>#N/A</v>
      </c>
      <c r="BZ265" s="93" t="str">
        <f t="shared" si="30"/>
        <v/>
      </c>
      <c r="CA265" s="93" t="str">
        <f t="shared" si="31"/>
        <v/>
      </c>
      <c r="CB265" s="93" t="str">
        <f t="shared" si="32"/>
        <v>NA</v>
      </c>
      <c r="CC265" s="96" t="str">
        <f t="shared" si="33"/>
        <v>#N/A</v>
      </c>
      <c r="CD265" s="93" t="str">
        <f t="shared" si="34"/>
        <v/>
      </c>
      <c r="CE265" s="93" t="str">
        <f t="shared" si="35"/>
        <v/>
      </c>
      <c r="CF265" s="93" t="str">
        <f t="shared" si="36"/>
        <v>NA</v>
      </c>
      <c r="CG265" s="97" t="str">
        <f t="shared" si="37"/>
        <v>#N/A</v>
      </c>
      <c r="CH265" s="98" t="str">
        <f t="shared" si="38"/>
        <v>#N/A</v>
      </c>
      <c r="CI265" s="99" t="str">
        <f t="shared" si="39"/>
        <v>#N/A</v>
      </c>
      <c r="CJ265" s="126" t="str">
        <f t="shared" si="40"/>
        <v>ERROR: check cell</v>
      </c>
      <c r="CK265" s="126"/>
      <c r="CL265" s="127" t="str">
        <f t="shared" si="41"/>
        <v>#DIV/0!</v>
      </c>
      <c r="CM265" s="128" t="str">
        <f t="shared" si="42"/>
        <v>#DIV/0!</v>
      </c>
      <c r="CN265" s="128">
        <f t="shared" si="43"/>
        <v>4</v>
      </c>
      <c r="CO265" s="129">
        <f t="shared" si="44"/>
        <v>4</v>
      </c>
      <c r="CP265" s="129" t="str">
        <f>IFS(C265=Preferences!B$13,B265,B265=Preferences!B$13,C265)</f>
        <v>#N/A</v>
      </c>
    </row>
    <row r="266" ht="13.5" customHeight="1">
      <c r="A266" s="63" t="str">
        <f t="shared" si="45"/>
        <v/>
      </c>
      <c r="B266" s="64"/>
      <c r="C266" s="64"/>
      <c r="D266" s="64"/>
      <c r="E266" s="65"/>
      <c r="F266" s="65"/>
      <c r="G266" s="65"/>
      <c r="H266" s="66"/>
      <c r="I266" s="66"/>
      <c r="J266" s="67"/>
      <c r="K266" s="68"/>
      <c r="L266" s="104"/>
      <c r="M266" s="104"/>
      <c r="N266" s="104"/>
      <c r="O266" s="104"/>
      <c r="P266" s="107" t="str">
        <f t="shared" si="1"/>
        <v/>
      </c>
      <c r="Q266" s="108" t="str">
        <f>IFERROR(IF(AND(Preferences!B$3="Manual",OR(AX266/AW266&gt;G266/F266,BD266="Serious",BD266="Very serious")),"Assess imprecision",IFS(ISBLANK(E266),"",AND(Preferences!B$3="Automatic", G266/F266&gt;=30),"Extremely serious",AND(H266&lt;=$D$1*-1,J266&lt;0,G266/F266&lt;3),"Not serious",AND(H266&lt;=$D$1*-1,J266&lt;0,G266/F266&gt;=3),"Very serious",AND(H266&gt;=$D$1,I266&gt;0,G266/F266&lt;3),"Not serious",AND(H266&gt;=$D$1,I266&gt;0,G266/F266&gt;=3),"Very serious",AND(H266&lt;=$D$1*-1,J266&gt;0,I266&gt;$D$2*-1,G266/F266&lt;3),"Serious", AND(H266&lt;=$D$1*-1,J266&gt;0,I266&lt;$D$2*-1,G266/F266&lt;3),"Very serious", AND(H266&gt;=$D$1,I266&lt;0,J266&lt;$D$2,G266/F266&lt;3),"Serious",AND(H266&gt;=$D$1,I266&lt;0,J266&gt;$D$2,G266/F266&lt;3),"Very serious", AND(H266&lt;=$D$1*-1,J266&gt;0,I266&gt;$D$2*-1,G266/F266&gt;=3),"Very serious", AND(H266&lt;=$D$1*-1,J266&gt;0,I266&lt;$D$2*-1,G266/F266&gt;=3),"Very serious", AND(H266&gt;=$D$1,I266&lt;0,J266&lt;$D$2,G266/F266&gt;=3),"Very serious", AND(H266&gt;=$D$1,I266&lt;0,J266&gt;$D$2,G266/F266&gt;=3),"Very serious", AND(H266&gt;$D$1*-1,H266&lt;$D$1,I266&gt;$D$1*-1,J266&lt;$D$1,G266/F266&lt;3),"Not serious", AND(H266&gt;$D$1*-1,H266&lt;$D$1,OR(I266&lt;=$D$1*-1,J266&gt;=$D$1),I266&gt;$D$2*-1,J266&lt;$D$2,G266/F266&lt;3),"Serious", AND(H266&gt;$D$1*-1,H266&lt;$D$1,OR(I266&lt;=$D$2*-1,J266&gt;=$D$2),G266/F266&lt;3),"Very serious", AND(H266&gt;$D$1*-1,H266&lt;$D$1,I266&gt;$D$1*-1,J266&lt;$D$1,G266/F266&gt;=3),"Very serious", AND(H266&gt;$D$1*-1,H266&lt;$D$1,OR(I266&lt;=$D$1*-1,J266&gt;=$D$1),I266&gt;$D$2*-1,J266&lt;$D$2,G266/F266&gt;=3),"Very serious", AND(H266&gt;$D$1*-1,H266&lt;$D$1,OR(I266&lt;=$D$2*-1,J266&gt;=$D$2),G266/F266&gt;=3),"Very serious")),"")</f>
        <v/>
      </c>
      <c r="R266" s="109" t="str">
        <f t="shared" si="47"/>
        <v/>
      </c>
      <c r="S266" s="64"/>
      <c r="T266" s="72"/>
      <c r="U266" s="72"/>
      <c r="V266" s="72"/>
      <c r="W266" s="73"/>
      <c r="X266" s="73"/>
      <c r="Y266" s="74"/>
      <c r="Z266" s="113" t="str">
        <f t="array" ref="Z266">INDEX($A$1:$C$500, MATCH(1,($B:$B=$B266)*($C:$C=$AB266),0),1)</f>
        <v/>
      </c>
      <c r="AA266" s="113" t="str">
        <f t="array" ref="AA266">INDEX($A$1:$C$500, MATCH(1,($B:$B=$AB266)*($C:$C=$B266),0),1)</f>
        <v/>
      </c>
      <c r="AB266" s="111"/>
      <c r="AC266" s="114" t="str">
        <f t="shared" si="2"/>
        <v/>
      </c>
      <c r="AD266" s="115" t="str">
        <f t="shared" si="3"/>
        <v/>
      </c>
      <c r="AE266" s="116" t="str">
        <f t="array" ref="AE266">INDEX($A$1:$C$500, MATCH(1,($B:$B=$AB266)*($C:$C=$AG266),0),1)</f>
        <v/>
      </c>
      <c r="AF266" s="116" t="str">
        <f t="array" ref="AF266">INDEX($A$1:$C$500, MATCH(1,($B:$B=$AG266)*($C:$C=$AB266),0),1)</f>
        <v/>
      </c>
      <c r="AG266" s="72"/>
      <c r="AH266" s="114" t="str">
        <f t="shared" si="4"/>
        <v/>
      </c>
      <c r="AI266" s="115" t="str">
        <f t="shared" si="5"/>
        <v/>
      </c>
      <c r="AJ266" s="116" t="str">
        <f t="array" ref="AJ266">INDEX($A$1:$C$500, MATCH(1,($B:$B=$C266)*($C:$C=$AG266),0),1)</f>
        <v/>
      </c>
      <c r="AK266" s="116" t="str">
        <f t="array" ref="AK266">INDEX($A$1:$C$500, MATCH(1,($B:$B=$AG266)*($C:$C=$C266),0),1)</f>
        <v/>
      </c>
      <c r="AL266" s="116" t="str">
        <f t="array" ref="AL266">INDEX($A$1:$C$500, MATCH(1,($B:$B=$C266)*($C:$C=$AB266),0),1)</f>
        <v/>
      </c>
      <c r="AM266" s="116" t="str">
        <f t="array" ref="AM266">INDEX($A$1:$C$500, MATCH(1,($B:$B=$AB266)*($C:$C=$C266),0),1)</f>
        <v/>
      </c>
      <c r="AN266" s="114" t="str">
        <f t="array" ref="AN266">IFS(ISNUMBER(AJ266),AJ266,ISNUMBER(AK266),AK266,ISNUMBER(AL266),AL266,ISNUMBER(AM266),AM266)</f>
        <v>#N/A</v>
      </c>
      <c r="AO266" s="115" t="str">
        <f t="shared" si="6"/>
        <v/>
      </c>
      <c r="AP266" s="115" t="str">
        <f t="shared" si="7"/>
        <v/>
      </c>
      <c r="AQ266" s="111"/>
      <c r="AR266" s="109" t="str">
        <f t="shared" si="8"/>
        <v/>
      </c>
      <c r="AS266" s="72" t="str">
        <f>IFERROR(IF(AND(Preferences!B$3="Manual",OR(AX266/AW266&gt;V266/U266,BD266="Serious",BD266="Very serious")),"Assess imprecision",IFERROR(IFS(AND(Preferences!B$3="Automatic",V266/U266&gt;=30),"Extremely serious",AND(W266&lt;=$D$1*-1,Y266&lt;0,V266/U266&lt;3),"Not Serious",AND(W266&lt;=$D$1*-1,Y266&lt;0,V266/U266&gt;=3),"Very serious",AND(W266&gt;=$D$1,X266&gt;0,V266/U266&lt;3),"Not Serious",AND(W266&gt;=$D$1,X266&gt;0,V266/U266&gt;=3),"Very serious",AND(W266&lt;=$D$1*-1,Y266&gt;0,X266&gt;$D$2*-1,V266/U266&lt;3),"Serious", AND(W266&lt;=$D$1*-1,Y266&gt;0,X266&lt;$D$2*-1,V266/U266&lt;3),"Very serious", AND(W266&gt;=$D$1,X266&lt;0,Y266&lt;$D$2,V266/U266&lt;3),"Serious",AND(W266&gt;=$D$1,X266&lt;0,Y266&gt;$D$2,V266/U266&lt;3),"Very serious", AND(W266&lt;=$D$1*-1,Y266&gt;0,X266&gt;$D$2*-1,V266/U266&gt;=3),"Very serious", AND(W266&lt;=$D$1*-1,Y266&gt;0,X266&lt;$D$2*-1,V266/U266&gt;=3),"Very serious", AND(W266&gt;=$D$1,X266&lt;0,Y266&lt;$D$2,V266/U266&gt;=3),"Very serious", AND(W266&gt;=$D$1,X266&lt;0,Y266&gt;$D$2,V266/U266&gt;=3),"Very serious", AND(W266&gt;$D$1*-1,W266&lt;$D$1,X266&gt;$D$1*-1,Y266&lt;$D$1,V266/U266&lt;3),"Not Serious", AND(W266&gt;$D$1*-1,W266&lt;$D$1,OR(X266&lt;=$D$1*-1,Y266&gt;=$D$1),X266&gt;$D$2*-1,Y266&lt;$D$2,V266/U266&lt;3),"Serious", AND(W266&gt;$D$1*-1,W266&lt;$D$1,OR(X266&lt;=$D$2*-1,Y266&gt;=$D$2),V266/U266&lt;3),"Very serious", AND(W266&gt;$D$1*-1,W266&lt;$D$1,X266&gt;$D$1*-1,Y266&lt;$D$1,V266/U266&gt;=3),"Very serious", AND(W266&gt;$D$1*-1,W266&lt;$D$1,OR(X266&lt;=$D$1*-1,Y266&gt;=$D$1),X266&gt;$D$2*-1,Y266&lt;$D$2,V266/U266&gt;=3),"Very serious", AND(W266&gt;$D$1*-1,W266&lt;$D$1,OR(X266&lt;=$D$2*-1,Y266&gt;=$D$2),V266/U266&gt;=3),"Very serious"),"")),"")</f>
        <v/>
      </c>
      <c r="AT266" s="109" t="str">
        <f t="shared" si="9"/>
        <v/>
      </c>
      <c r="AU266" s="64"/>
      <c r="AV266" s="83"/>
      <c r="AW266" s="83"/>
      <c r="AX266" s="83"/>
      <c r="AY266" s="83"/>
      <c r="AZ266" s="83"/>
      <c r="BA266" s="85"/>
      <c r="BB266" s="86" t="str">
        <f>IF(Preferences!B$9="Manual","",IFS(ISBLANK(B266),"",AND(ISNUMBER(E266)=TRUE,ISNUMBER(T266)=FALSE),"Direct", AND(ISNUMBER(E266)=FALSE,ISNUMBER(T266)=TRUE),"Indirect", CN266=4,"Direct",AND(CL266=FALSE, CM266=TRUE,CN266-CO266&gt;-1),"Direct", AND(CL266=FALSE,CM266=TRUE, CN266-CO266&lt;0),"Check algorithm in appendix 2", AND(CL266=TRUE, CM266=FALSE,CN266-CO266&gt;0),"Check algorithm in appendix 2", AND(CL266=TRUE, CM266=FALSE,CN266-CO266=0),"Indirect", AND(CL266=TRUE, CM266=FALSE,CN266-CO266&lt;0),"Indirect", AND(CL266=FALSE,CM266=FALSE,CN266-CO266&gt;-1),"Direct", AND(CL266=FALSE,CM266=FALSE,CN266-CO266&lt;0),"Check algorithm in appendix 2", AND(CL266=TRUE,CM266=TRUE,CN266-CO266&gt;-1),"Direct", AND(CL266=TRUE,CM266=TRUE,CN266-CO266&lt;0),"Check algorithm in appendix 2"))</f>
        <v/>
      </c>
      <c r="BC266" s="120" t="str">
        <f t="shared" si="10"/>
        <v/>
      </c>
      <c r="BD266" s="140"/>
      <c r="BE266" s="122" t="str">
        <f>IF(Preferences!B$3="Manual","", IFERROR(IFS(AND(Preferences!B$3="Automatic",AX266/AW266&gt;=30),"Extremely serious",AND(AY266&lt;=$D$1*-1,BA266&lt;0,AX266/AW266&lt;3),"Not Serious",AND(AY266&lt;=$D$1*-1,BA266&lt;0,AX266/AW266&gt;=3),"Very serious",AND(AY266&gt;=$D$1,AZ266&gt;0,AX266/AW266&lt;3),"Not Serious",AND(AY266&gt;=$D$1,AZ266&gt;0,AX266/AW266&gt;=3),"Very serious",AND(AY266&lt;=$D$1*-1,BA266&gt;0,AZ266&gt;$D$2*-1,AX266/AW266&lt;3),"Serious", AND(AY266&lt;=$D$1*-1,BA266&gt;0,AZ266&lt;$D$2*-1,AX266/AW266&lt;3),"Very serious", AND(AY266&gt;=$D$1,AZ266&lt;0,BA266&lt;$D$2,AX266/AW266&lt;3),"Serious",AND(AY266&gt;=$D$1,AZ266&lt;0,BA266&gt;$D$2,AX266/AW266&lt;3),"Very serious", AND(AY266&lt;=$D$1*-1,BA266&gt;0,AZ266&gt;$D$2*-1,AX266/AW266&gt;=3),"Very serious", AND(AY266&lt;=$D$1*-1,BA266&gt;0,AZ266&lt;$D$2*-1,AX266/AW266&gt;=3),"Very serious", AND(AY266&gt;=$D$1,AZ266&lt;0,BA266&lt;$D$2,AX266/AW266&gt;=3),"Very serious", AND(AY266&gt;=$D$1,AZ266&lt;0,BA266&gt;$D$2,AX266/AW266&gt;=3),"Very serious", AND(AY266&gt;$D$1*-1,AY266&lt;$D$1,AZ266&gt;$D$1*-1,BA266&lt;$D$1,AX266/AW266&lt;3),"Not Serious", AND(AY266&gt;$D$1*-1,AY266&lt;$D$1,OR(AZ266&lt;=$D$1*-1,BA266&gt;=$D$1),AZ266&gt;$D$2*-1,BA266&lt;$D$2,AX266/AW266&lt;3),"Serious", AND(AY266&gt;$D$1*-1,AY266&lt;$D$1,OR(AZ266&lt;=$D$2*-1,BA266&gt;=$D$2),AX266/AW266&lt;3),"Very serious", AND(AY266&gt;$D$1*-1,AY266&lt;$D$1,AZ266&gt;$D$1*-1,BA266&lt;$D$1,AX266/AW266&gt;=3),"Very serious", AND(AY266&gt;$D$1*-1,AY266&lt;$D$1,OR(AZ266&lt;=$D$1*-1,BA266&gt;=$D$1),AZ266&gt;$D$2*-1,BA266&lt;$D$2,AX266/AW266&gt;=3),"Very serious", AND(AY266&gt;$D$1*-1,AY266&lt;$D$1,OR(AZ266&lt;=$D$2*-1,BA266&gt;=$D$2),AX266/AW266&gt;=3),"Very serious"),""))</f>
        <v/>
      </c>
      <c r="BF266" s="107" t="str">
        <f t="shared" si="11"/>
        <v/>
      </c>
      <c r="BG266" s="94" t="str">
        <f t="shared" si="46"/>
        <v/>
      </c>
      <c r="BH266" s="64" t="str">
        <f t="shared" si="12"/>
        <v>#N/A</v>
      </c>
      <c r="BI266" s="64" t="str">
        <f t="shared" si="13"/>
        <v/>
      </c>
      <c r="BJ266" s="123" t="str">
        <f t="shared" si="14"/>
        <v>#N/A</v>
      </c>
      <c r="BK266" s="64" t="str">
        <f t="shared" si="50"/>
        <v>YES</v>
      </c>
      <c r="BL266" s="64" t="str">
        <f t="shared" si="16"/>
        <v>YES</v>
      </c>
      <c r="BM266" s="64" t="str">
        <f t="shared" si="17"/>
        <v>YES</v>
      </c>
      <c r="BN266" s="124" t="str">
        <f t="shared" si="18"/>
        <v/>
      </c>
      <c r="BO266" s="91" t="str">
        <f t="shared" si="19"/>
        <v/>
      </c>
      <c r="BP266" s="91" t="str">
        <f t="shared" si="20"/>
        <v>#N/A</v>
      </c>
      <c r="BQ266" s="91" t="str">
        <f t="shared" si="21"/>
        <v/>
      </c>
      <c r="BR266" s="93" t="str">
        <f t="shared" si="22"/>
        <v/>
      </c>
      <c r="BS266" s="90" t="str">
        <f t="shared" si="23"/>
        <v/>
      </c>
      <c r="BT266" s="93" t="str">
        <f t="shared" si="24"/>
        <v>NA</v>
      </c>
      <c r="BU266" s="125" t="str">
        <f t="shared" si="25"/>
        <v>#N/A</v>
      </c>
      <c r="BV266" s="93" t="str">
        <f t="shared" si="26"/>
        <v/>
      </c>
      <c r="BW266" s="93" t="str">
        <f t="shared" si="27"/>
        <v/>
      </c>
      <c r="BX266" s="93" t="str">
        <f t="shared" si="28"/>
        <v>NA</v>
      </c>
      <c r="BY266" s="95" t="str">
        <f t="shared" si="29"/>
        <v>#N/A</v>
      </c>
      <c r="BZ266" s="93" t="str">
        <f t="shared" si="30"/>
        <v/>
      </c>
      <c r="CA266" s="93" t="str">
        <f t="shared" si="31"/>
        <v/>
      </c>
      <c r="CB266" s="93" t="str">
        <f t="shared" si="32"/>
        <v>NA</v>
      </c>
      <c r="CC266" s="96" t="str">
        <f t="shared" si="33"/>
        <v>#N/A</v>
      </c>
      <c r="CD266" s="93" t="str">
        <f t="shared" si="34"/>
        <v/>
      </c>
      <c r="CE266" s="93" t="str">
        <f t="shared" si="35"/>
        <v/>
      </c>
      <c r="CF266" s="93" t="str">
        <f t="shared" si="36"/>
        <v>NA</v>
      </c>
      <c r="CG266" s="97" t="str">
        <f t="shared" si="37"/>
        <v>#N/A</v>
      </c>
      <c r="CH266" s="98" t="str">
        <f t="shared" si="38"/>
        <v>#N/A</v>
      </c>
      <c r="CI266" s="99" t="str">
        <f t="shared" si="39"/>
        <v>#N/A</v>
      </c>
      <c r="CJ266" s="126" t="str">
        <f t="shared" si="40"/>
        <v>ERROR: check cell</v>
      </c>
      <c r="CK266" s="126"/>
      <c r="CL266" s="127" t="str">
        <f t="shared" si="41"/>
        <v>#DIV/0!</v>
      </c>
      <c r="CM266" s="128" t="str">
        <f t="shared" si="42"/>
        <v>#DIV/0!</v>
      </c>
      <c r="CN266" s="128">
        <f t="shared" si="43"/>
        <v>4</v>
      </c>
      <c r="CO266" s="129">
        <f t="shared" si="44"/>
        <v>4</v>
      </c>
      <c r="CP266" s="129" t="str">
        <f>IFS(C266=Preferences!B$13,B266,B266=Preferences!B$13,C266)</f>
        <v>#N/A</v>
      </c>
    </row>
    <row r="267" ht="13.5" customHeight="1">
      <c r="A267" s="63" t="str">
        <f t="shared" si="45"/>
        <v/>
      </c>
      <c r="B267" s="64"/>
      <c r="C267" s="64"/>
      <c r="D267" s="64"/>
      <c r="E267" s="65"/>
      <c r="F267" s="65"/>
      <c r="G267" s="65"/>
      <c r="H267" s="66"/>
      <c r="I267" s="66"/>
      <c r="J267" s="67"/>
      <c r="K267" s="68"/>
      <c r="L267" s="104"/>
      <c r="M267" s="104"/>
      <c r="N267" s="104"/>
      <c r="O267" s="104"/>
      <c r="P267" s="107" t="str">
        <f t="shared" si="1"/>
        <v/>
      </c>
      <c r="Q267" s="108" t="str">
        <f>IFERROR(IF(AND(Preferences!B$3="Manual",OR(AX267/AW267&gt;G267/F267,BD267="Serious",BD267="Very serious")),"Assess imprecision",IFS(ISBLANK(E267),"",AND(Preferences!B$3="Automatic", G267/F267&gt;=30),"Extremely serious",AND(H267&lt;=$D$1*-1,J267&lt;0,G267/F267&lt;3),"Not serious",AND(H267&lt;=$D$1*-1,J267&lt;0,G267/F267&gt;=3),"Very serious",AND(H267&gt;=$D$1,I267&gt;0,G267/F267&lt;3),"Not serious",AND(H267&gt;=$D$1,I267&gt;0,G267/F267&gt;=3),"Very serious",AND(H267&lt;=$D$1*-1,J267&gt;0,I267&gt;$D$2*-1,G267/F267&lt;3),"Serious", AND(H267&lt;=$D$1*-1,J267&gt;0,I267&lt;$D$2*-1,G267/F267&lt;3),"Very serious", AND(H267&gt;=$D$1,I267&lt;0,J267&lt;$D$2,G267/F267&lt;3),"Serious",AND(H267&gt;=$D$1,I267&lt;0,J267&gt;$D$2,G267/F267&lt;3),"Very serious", AND(H267&lt;=$D$1*-1,J267&gt;0,I267&gt;$D$2*-1,G267/F267&gt;=3),"Very serious", AND(H267&lt;=$D$1*-1,J267&gt;0,I267&lt;$D$2*-1,G267/F267&gt;=3),"Very serious", AND(H267&gt;=$D$1,I267&lt;0,J267&lt;$D$2,G267/F267&gt;=3),"Very serious", AND(H267&gt;=$D$1,I267&lt;0,J267&gt;$D$2,G267/F267&gt;=3),"Very serious", AND(H267&gt;$D$1*-1,H267&lt;$D$1,I267&gt;$D$1*-1,J267&lt;$D$1,G267/F267&lt;3),"Not serious", AND(H267&gt;$D$1*-1,H267&lt;$D$1,OR(I267&lt;=$D$1*-1,J267&gt;=$D$1),I267&gt;$D$2*-1,J267&lt;$D$2,G267/F267&lt;3),"Serious", AND(H267&gt;$D$1*-1,H267&lt;$D$1,OR(I267&lt;=$D$2*-1,J267&gt;=$D$2),G267/F267&lt;3),"Very serious", AND(H267&gt;$D$1*-1,H267&lt;$D$1,I267&gt;$D$1*-1,J267&lt;$D$1,G267/F267&gt;=3),"Very serious", AND(H267&gt;$D$1*-1,H267&lt;$D$1,OR(I267&lt;=$D$1*-1,J267&gt;=$D$1),I267&gt;$D$2*-1,J267&lt;$D$2,G267/F267&gt;=3),"Very serious", AND(H267&gt;$D$1*-1,H267&lt;$D$1,OR(I267&lt;=$D$2*-1,J267&gt;=$D$2),G267/F267&gt;=3),"Very serious")),"")</f>
        <v/>
      </c>
      <c r="R267" s="109" t="str">
        <f t="shared" si="47"/>
        <v/>
      </c>
      <c r="S267" s="64"/>
      <c r="T267" s="72"/>
      <c r="U267" s="72"/>
      <c r="V267" s="72"/>
      <c r="W267" s="73"/>
      <c r="X267" s="73"/>
      <c r="Y267" s="74"/>
      <c r="Z267" s="113" t="str">
        <f t="array" ref="Z267">INDEX($A$1:$C$500, MATCH(1,($B:$B=$B267)*($C:$C=$AB267),0),1)</f>
        <v/>
      </c>
      <c r="AA267" s="113" t="str">
        <f t="array" ref="AA267">INDEX($A$1:$C$500, MATCH(1,($B:$B=$AB267)*($C:$C=$B267),0),1)</f>
        <v/>
      </c>
      <c r="AB267" s="111"/>
      <c r="AC267" s="114" t="str">
        <f t="shared" si="2"/>
        <v/>
      </c>
      <c r="AD267" s="115" t="str">
        <f t="shared" si="3"/>
        <v/>
      </c>
      <c r="AE267" s="116" t="str">
        <f t="array" ref="AE267">INDEX($A$1:$C$500, MATCH(1,($B:$B=$AB267)*($C:$C=$AG267),0),1)</f>
        <v/>
      </c>
      <c r="AF267" s="116" t="str">
        <f t="array" ref="AF267">INDEX($A$1:$C$500, MATCH(1,($B:$B=$AG267)*($C:$C=$AB267),0),1)</f>
        <v/>
      </c>
      <c r="AG267" s="72"/>
      <c r="AH267" s="114" t="str">
        <f t="shared" si="4"/>
        <v/>
      </c>
      <c r="AI267" s="115" t="str">
        <f t="shared" si="5"/>
        <v/>
      </c>
      <c r="AJ267" s="116" t="str">
        <f t="array" ref="AJ267">INDEX($A$1:$C$500, MATCH(1,($B:$B=$C267)*($C:$C=$AG267),0),1)</f>
        <v/>
      </c>
      <c r="AK267" s="116" t="str">
        <f t="array" ref="AK267">INDEX($A$1:$C$500, MATCH(1,($B:$B=$AG267)*($C:$C=$C267),0),1)</f>
        <v/>
      </c>
      <c r="AL267" s="116" t="str">
        <f t="array" ref="AL267">INDEX($A$1:$C$500, MATCH(1,($B:$B=$C267)*($C:$C=$AB267),0),1)</f>
        <v/>
      </c>
      <c r="AM267" s="116" t="str">
        <f t="array" ref="AM267">INDEX($A$1:$C$500, MATCH(1,($B:$B=$AB267)*($C:$C=$C267),0),1)</f>
        <v/>
      </c>
      <c r="AN267" s="114" t="str">
        <f t="array" ref="AN267">IFS(ISNUMBER(AJ267),AJ267,ISNUMBER(AK267),AK267,ISNUMBER(AL267),AL267,ISNUMBER(AM267),AM267)</f>
        <v>#N/A</v>
      </c>
      <c r="AO267" s="115" t="str">
        <f t="shared" si="6"/>
        <v/>
      </c>
      <c r="AP267" s="115" t="str">
        <f t="shared" si="7"/>
        <v/>
      </c>
      <c r="AQ267" s="111"/>
      <c r="AR267" s="109" t="str">
        <f t="shared" si="8"/>
        <v/>
      </c>
      <c r="AS267" s="72" t="str">
        <f>IFERROR(IF(AND(Preferences!B$3="Manual",OR(AX267/AW267&gt;V267/U267,BD267="Serious",BD267="Very serious")),"Assess imprecision",IFERROR(IFS(AND(Preferences!B$3="Automatic",V267/U267&gt;=30),"Extremely serious",AND(W267&lt;=$D$1*-1,Y267&lt;0,V267/U267&lt;3),"Not Serious",AND(W267&lt;=$D$1*-1,Y267&lt;0,V267/U267&gt;=3),"Very serious",AND(W267&gt;=$D$1,X267&gt;0,V267/U267&lt;3),"Not Serious",AND(W267&gt;=$D$1,X267&gt;0,V267/U267&gt;=3),"Very serious",AND(W267&lt;=$D$1*-1,Y267&gt;0,X267&gt;$D$2*-1,V267/U267&lt;3),"Serious", AND(W267&lt;=$D$1*-1,Y267&gt;0,X267&lt;$D$2*-1,V267/U267&lt;3),"Very serious", AND(W267&gt;=$D$1,X267&lt;0,Y267&lt;$D$2,V267/U267&lt;3),"Serious",AND(W267&gt;=$D$1,X267&lt;0,Y267&gt;$D$2,V267/U267&lt;3),"Very serious", AND(W267&lt;=$D$1*-1,Y267&gt;0,X267&gt;$D$2*-1,V267/U267&gt;=3),"Very serious", AND(W267&lt;=$D$1*-1,Y267&gt;0,X267&lt;$D$2*-1,V267/U267&gt;=3),"Very serious", AND(W267&gt;=$D$1,X267&lt;0,Y267&lt;$D$2,V267/U267&gt;=3),"Very serious", AND(W267&gt;=$D$1,X267&lt;0,Y267&gt;$D$2,V267/U267&gt;=3),"Very serious", AND(W267&gt;$D$1*-1,W267&lt;$D$1,X267&gt;$D$1*-1,Y267&lt;$D$1,V267/U267&lt;3),"Not Serious", AND(W267&gt;$D$1*-1,W267&lt;$D$1,OR(X267&lt;=$D$1*-1,Y267&gt;=$D$1),X267&gt;$D$2*-1,Y267&lt;$D$2,V267/U267&lt;3),"Serious", AND(W267&gt;$D$1*-1,W267&lt;$D$1,OR(X267&lt;=$D$2*-1,Y267&gt;=$D$2),V267/U267&lt;3),"Very serious", AND(W267&gt;$D$1*-1,W267&lt;$D$1,X267&gt;$D$1*-1,Y267&lt;$D$1,V267/U267&gt;=3),"Very serious", AND(W267&gt;$D$1*-1,W267&lt;$D$1,OR(X267&lt;=$D$1*-1,Y267&gt;=$D$1),X267&gt;$D$2*-1,Y267&lt;$D$2,V267/U267&gt;=3),"Very serious", AND(W267&gt;$D$1*-1,W267&lt;$D$1,OR(X267&lt;=$D$2*-1,Y267&gt;=$D$2),V267/U267&gt;=3),"Very serious"),"")),"")</f>
        <v/>
      </c>
      <c r="AT267" s="109" t="str">
        <f t="shared" si="9"/>
        <v/>
      </c>
      <c r="AU267" s="64"/>
      <c r="AV267" s="83"/>
      <c r="AW267" s="83"/>
      <c r="AX267" s="83"/>
      <c r="AY267" s="83"/>
      <c r="AZ267" s="83"/>
      <c r="BA267" s="85"/>
      <c r="BB267" s="86" t="str">
        <f>IF(Preferences!B$9="Manual","",IFS(ISBLANK(B267),"",AND(ISNUMBER(E267)=TRUE,ISNUMBER(T267)=FALSE),"Direct", AND(ISNUMBER(E267)=FALSE,ISNUMBER(T267)=TRUE),"Indirect", CN267=4,"Direct",AND(CL267=FALSE, CM267=TRUE,CN267-CO267&gt;-1),"Direct", AND(CL267=FALSE,CM267=TRUE, CN267-CO267&lt;0),"Check algorithm in appendix 2", AND(CL267=TRUE, CM267=FALSE,CN267-CO267&gt;0),"Check algorithm in appendix 2", AND(CL267=TRUE, CM267=FALSE,CN267-CO267=0),"Indirect", AND(CL267=TRUE, CM267=FALSE,CN267-CO267&lt;0),"Indirect", AND(CL267=FALSE,CM267=FALSE,CN267-CO267&gt;-1),"Direct", AND(CL267=FALSE,CM267=FALSE,CN267-CO267&lt;0),"Check algorithm in appendix 2", AND(CL267=TRUE,CM267=TRUE,CN267-CO267&gt;-1),"Direct", AND(CL267=TRUE,CM267=TRUE,CN267-CO267&lt;0),"Check algorithm in appendix 2"))</f>
        <v/>
      </c>
      <c r="BC267" s="120" t="str">
        <f t="shared" si="10"/>
        <v/>
      </c>
      <c r="BD267" s="140"/>
      <c r="BE267" s="122" t="str">
        <f>IF(Preferences!B$3="Manual","", IFERROR(IFS(AND(Preferences!B$3="Automatic",AX267/AW267&gt;=30),"Extremely serious",AND(AY267&lt;=$D$1*-1,BA267&lt;0,AX267/AW267&lt;3),"Not Serious",AND(AY267&lt;=$D$1*-1,BA267&lt;0,AX267/AW267&gt;=3),"Very serious",AND(AY267&gt;=$D$1,AZ267&gt;0,AX267/AW267&lt;3),"Not Serious",AND(AY267&gt;=$D$1,AZ267&gt;0,AX267/AW267&gt;=3),"Very serious",AND(AY267&lt;=$D$1*-1,BA267&gt;0,AZ267&gt;$D$2*-1,AX267/AW267&lt;3),"Serious", AND(AY267&lt;=$D$1*-1,BA267&gt;0,AZ267&lt;$D$2*-1,AX267/AW267&lt;3),"Very serious", AND(AY267&gt;=$D$1,AZ267&lt;0,BA267&lt;$D$2,AX267/AW267&lt;3),"Serious",AND(AY267&gt;=$D$1,AZ267&lt;0,BA267&gt;$D$2,AX267/AW267&lt;3),"Very serious", AND(AY267&lt;=$D$1*-1,BA267&gt;0,AZ267&gt;$D$2*-1,AX267/AW267&gt;=3),"Very serious", AND(AY267&lt;=$D$1*-1,BA267&gt;0,AZ267&lt;$D$2*-1,AX267/AW267&gt;=3),"Very serious", AND(AY267&gt;=$D$1,AZ267&lt;0,BA267&lt;$D$2,AX267/AW267&gt;=3),"Very serious", AND(AY267&gt;=$D$1,AZ267&lt;0,BA267&gt;$D$2,AX267/AW267&gt;=3),"Very serious", AND(AY267&gt;$D$1*-1,AY267&lt;$D$1,AZ267&gt;$D$1*-1,BA267&lt;$D$1,AX267/AW267&lt;3),"Not Serious", AND(AY267&gt;$D$1*-1,AY267&lt;$D$1,OR(AZ267&lt;=$D$1*-1,BA267&gt;=$D$1),AZ267&gt;$D$2*-1,BA267&lt;$D$2,AX267/AW267&lt;3),"Serious", AND(AY267&gt;$D$1*-1,AY267&lt;$D$1,OR(AZ267&lt;=$D$2*-1,BA267&gt;=$D$2),AX267/AW267&lt;3),"Very serious", AND(AY267&gt;$D$1*-1,AY267&lt;$D$1,AZ267&gt;$D$1*-1,BA267&lt;$D$1,AX267/AW267&gt;=3),"Very serious", AND(AY267&gt;$D$1*-1,AY267&lt;$D$1,OR(AZ267&lt;=$D$1*-1,BA267&gt;=$D$1),AZ267&gt;$D$2*-1,BA267&lt;$D$2,AX267/AW267&gt;=3),"Very serious", AND(AY267&gt;$D$1*-1,AY267&lt;$D$1,OR(AZ267&lt;=$D$2*-1,BA267&gt;=$D$2),AX267/AW267&gt;=3),"Very serious"),""))</f>
        <v/>
      </c>
      <c r="BF267" s="107" t="str">
        <f t="shared" si="11"/>
        <v/>
      </c>
      <c r="BG267" s="94" t="str">
        <f t="shared" si="46"/>
        <v/>
      </c>
      <c r="BH267" s="64" t="str">
        <f t="shared" si="12"/>
        <v>#N/A</v>
      </c>
      <c r="BI267" s="64" t="str">
        <f t="shared" si="13"/>
        <v/>
      </c>
      <c r="BJ267" s="123" t="str">
        <f t="shared" si="14"/>
        <v>#N/A</v>
      </c>
      <c r="BK267" s="64" t="str">
        <f t="shared" si="50"/>
        <v>YES</v>
      </c>
      <c r="BL267" s="64" t="str">
        <f t="shared" si="16"/>
        <v>YES</v>
      </c>
      <c r="BM267" s="64" t="str">
        <f t="shared" si="17"/>
        <v>YES</v>
      </c>
      <c r="BN267" s="124" t="str">
        <f t="shared" si="18"/>
        <v/>
      </c>
      <c r="BO267" s="91" t="str">
        <f t="shared" si="19"/>
        <v/>
      </c>
      <c r="BP267" s="91" t="str">
        <f t="shared" si="20"/>
        <v>#N/A</v>
      </c>
      <c r="BQ267" s="91" t="str">
        <f t="shared" si="21"/>
        <v/>
      </c>
      <c r="BR267" s="93" t="str">
        <f t="shared" si="22"/>
        <v/>
      </c>
      <c r="BS267" s="90" t="str">
        <f t="shared" si="23"/>
        <v/>
      </c>
      <c r="BT267" s="93" t="str">
        <f t="shared" si="24"/>
        <v>NA</v>
      </c>
      <c r="BU267" s="125" t="str">
        <f t="shared" si="25"/>
        <v>#N/A</v>
      </c>
      <c r="BV267" s="93" t="str">
        <f t="shared" si="26"/>
        <v/>
      </c>
      <c r="BW267" s="93" t="str">
        <f t="shared" si="27"/>
        <v/>
      </c>
      <c r="BX267" s="93" t="str">
        <f t="shared" si="28"/>
        <v>NA</v>
      </c>
      <c r="BY267" s="95" t="str">
        <f t="shared" si="29"/>
        <v>#N/A</v>
      </c>
      <c r="BZ267" s="93" t="str">
        <f t="shared" si="30"/>
        <v/>
      </c>
      <c r="CA267" s="93" t="str">
        <f t="shared" si="31"/>
        <v/>
      </c>
      <c r="CB267" s="93" t="str">
        <f t="shared" si="32"/>
        <v>NA</v>
      </c>
      <c r="CC267" s="96" t="str">
        <f t="shared" si="33"/>
        <v>#N/A</v>
      </c>
      <c r="CD267" s="93" t="str">
        <f t="shared" si="34"/>
        <v/>
      </c>
      <c r="CE267" s="93" t="str">
        <f t="shared" si="35"/>
        <v/>
      </c>
      <c r="CF267" s="93" t="str">
        <f t="shared" si="36"/>
        <v>NA</v>
      </c>
      <c r="CG267" s="97" t="str">
        <f t="shared" si="37"/>
        <v>#N/A</v>
      </c>
      <c r="CH267" s="98" t="str">
        <f t="shared" si="38"/>
        <v>#N/A</v>
      </c>
      <c r="CI267" s="99" t="str">
        <f t="shared" si="39"/>
        <v>#N/A</v>
      </c>
      <c r="CJ267" s="126" t="str">
        <f t="shared" si="40"/>
        <v>ERROR: check cell</v>
      </c>
      <c r="CK267" s="126"/>
      <c r="CL267" s="127" t="str">
        <f t="shared" si="41"/>
        <v>#DIV/0!</v>
      </c>
      <c r="CM267" s="128" t="str">
        <f t="shared" si="42"/>
        <v>#DIV/0!</v>
      </c>
      <c r="CN267" s="128">
        <f t="shared" si="43"/>
        <v>4</v>
      </c>
      <c r="CO267" s="129">
        <f t="shared" si="44"/>
        <v>4</v>
      </c>
      <c r="CP267" s="129" t="str">
        <f>IFS(C267=Preferences!B$13,B267,B267=Preferences!B$13,C267)</f>
        <v>#N/A</v>
      </c>
    </row>
    <row r="268" ht="13.5" customHeight="1">
      <c r="A268" s="63" t="str">
        <f t="shared" si="45"/>
        <v/>
      </c>
      <c r="B268" s="64"/>
      <c r="C268" s="64"/>
      <c r="D268" s="64"/>
      <c r="E268" s="65"/>
      <c r="F268" s="65"/>
      <c r="G268" s="65"/>
      <c r="H268" s="66"/>
      <c r="I268" s="66"/>
      <c r="J268" s="67"/>
      <c r="K268" s="68"/>
      <c r="L268" s="104"/>
      <c r="M268" s="104"/>
      <c r="N268" s="104"/>
      <c r="O268" s="104"/>
      <c r="P268" s="107" t="str">
        <f t="shared" si="1"/>
        <v/>
      </c>
      <c r="Q268" s="108" t="str">
        <f>IFERROR(IF(AND(Preferences!B$3="Manual",OR(AX268/AW268&gt;G268/F268,BD268="Serious",BD268="Very serious")),"Assess imprecision",IFS(ISBLANK(E268),"",AND(Preferences!B$3="Automatic", G268/F268&gt;=30),"Extremely serious",AND(H268&lt;=$D$1*-1,J268&lt;0,G268/F268&lt;3),"Not serious",AND(H268&lt;=$D$1*-1,J268&lt;0,G268/F268&gt;=3),"Very serious",AND(H268&gt;=$D$1,I268&gt;0,G268/F268&lt;3),"Not serious",AND(H268&gt;=$D$1,I268&gt;0,G268/F268&gt;=3),"Very serious",AND(H268&lt;=$D$1*-1,J268&gt;0,I268&gt;$D$2*-1,G268/F268&lt;3),"Serious", AND(H268&lt;=$D$1*-1,J268&gt;0,I268&lt;$D$2*-1,G268/F268&lt;3),"Very serious", AND(H268&gt;=$D$1,I268&lt;0,J268&lt;$D$2,G268/F268&lt;3),"Serious",AND(H268&gt;=$D$1,I268&lt;0,J268&gt;$D$2,G268/F268&lt;3),"Very serious", AND(H268&lt;=$D$1*-1,J268&gt;0,I268&gt;$D$2*-1,G268/F268&gt;=3),"Very serious", AND(H268&lt;=$D$1*-1,J268&gt;0,I268&lt;$D$2*-1,G268/F268&gt;=3),"Very serious", AND(H268&gt;=$D$1,I268&lt;0,J268&lt;$D$2,G268/F268&gt;=3),"Very serious", AND(H268&gt;=$D$1,I268&lt;0,J268&gt;$D$2,G268/F268&gt;=3),"Very serious", AND(H268&gt;$D$1*-1,H268&lt;$D$1,I268&gt;$D$1*-1,J268&lt;$D$1,G268/F268&lt;3),"Not serious", AND(H268&gt;$D$1*-1,H268&lt;$D$1,OR(I268&lt;=$D$1*-1,J268&gt;=$D$1),I268&gt;$D$2*-1,J268&lt;$D$2,G268/F268&lt;3),"Serious", AND(H268&gt;$D$1*-1,H268&lt;$D$1,OR(I268&lt;=$D$2*-1,J268&gt;=$D$2),G268/F268&lt;3),"Very serious", AND(H268&gt;$D$1*-1,H268&lt;$D$1,I268&gt;$D$1*-1,J268&lt;$D$1,G268/F268&gt;=3),"Very serious", AND(H268&gt;$D$1*-1,H268&lt;$D$1,OR(I268&lt;=$D$1*-1,J268&gt;=$D$1),I268&gt;$D$2*-1,J268&lt;$D$2,G268/F268&gt;=3),"Very serious", AND(H268&gt;$D$1*-1,H268&lt;$D$1,OR(I268&lt;=$D$2*-1,J268&gt;=$D$2),G268/F268&gt;=3),"Very serious")),"")</f>
        <v/>
      </c>
      <c r="R268" s="109" t="str">
        <f t="shared" si="47"/>
        <v/>
      </c>
      <c r="S268" s="64"/>
      <c r="T268" s="72"/>
      <c r="U268" s="72"/>
      <c r="V268" s="72"/>
      <c r="W268" s="73"/>
      <c r="X268" s="73"/>
      <c r="Y268" s="74"/>
      <c r="Z268" s="113" t="str">
        <f t="array" ref="Z268">INDEX($A$1:$C$500, MATCH(1,($B:$B=$B268)*($C:$C=$AB268),0),1)</f>
        <v/>
      </c>
      <c r="AA268" s="113" t="str">
        <f t="array" ref="AA268">INDEX($A$1:$C$500, MATCH(1,($B:$B=$AB268)*($C:$C=$B268),0),1)</f>
        <v/>
      </c>
      <c r="AB268" s="111"/>
      <c r="AC268" s="114" t="str">
        <f t="shared" si="2"/>
        <v/>
      </c>
      <c r="AD268" s="115" t="str">
        <f t="shared" si="3"/>
        <v/>
      </c>
      <c r="AE268" s="116" t="str">
        <f t="array" ref="AE268">INDEX($A$1:$C$500, MATCH(1,($B:$B=$AB268)*($C:$C=$AG268),0),1)</f>
        <v/>
      </c>
      <c r="AF268" s="116" t="str">
        <f t="array" ref="AF268">INDEX($A$1:$C$500, MATCH(1,($B:$B=$AG268)*($C:$C=$AB268),0),1)</f>
        <v/>
      </c>
      <c r="AG268" s="72"/>
      <c r="AH268" s="114" t="str">
        <f t="shared" si="4"/>
        <v/>
      </c>
      <c r="AI268" s="115" t="str">
        <f t="shared" si="5"/>
        <v/>
      </c>
      <c r="AJ268" s="116" t="str">
        <f t="array" ref="AJ268">INDEX($A$1:$C$500, MATCH(1,($B:$B=$C268)*($C:$C=$AG268),0),1)</f>
        <v/>
      </c>
      <c r="AK268" s="116" t="str">
        <f t="array" ref="AK268">INDEX($A$1:$C$500, MATCH(1,($B:$B=$AG268)*($C:$C=$C268),0),1)</f>
        <v/>
      </c>
      <c r="AL268" s="116" t="str">
        <f t="array" ref="AL268">INDEX($A$1:$C$500, MATCH(1,($B:$B=$C268)*($C:$C=$AB268),0),1)</f>
        <v/>
      </c>
      <c r="AM268" s="116" t="str">
        <f t="array" ref="AM268">INDEX($A$1:$C$500, MATCH(1,($B:$B=$AB268)*($C:$C=$C268),0),1)</f>
        <v/>
      </c>
      <c r="AN268" s="114" t="str">
        <f t="array" ref="AN268">IFS(ISNUMBER(AJ268),AJ268,ISNUMBER(AK268),AK268,ISNUMBER(AL268),AL268,ISNUMBER(AM268),AM268)</f>
        <v>#N/A</v>
      </c>
      <c r="AO268" s="115" t="str">
        <f t="shared" si="6"/>
        <v/>
      </c>
      <c r="AP268" s="115" t="str">
        <f t="shared" si="7"/>
        <v/>
      </c>
      <c r="AQ268" s="111"/>
      <c r="AR268" s="109" t="str">
        <f t="shared" si="8"/>
        <v/>
      </c>
      <c r="AS268" s="72" t="str">
        <f>IFERROR(IF(AND(Preferences!B$3="Manual",OR(AX268/AW268&gt;V268/U268,BD268="Serious",BD268="Very serious")),"Assess imprecision",IFERROR(IFS(AND(Preferences!B$3="Automatic",V268/U268&gt;=30),"Extremely serious",AND(W268&lt;=$D$1*-1,Y268&lt;0,V268/U268&lt;3),"Not Serious",AND(W268&lt;=$D$1*-1,Y268&lt;0,V268/U268&gt;=3),"Very serious",AND(W268&gt;=$D$1,X268&gt;0,V268/U268&lt;3),"Not Serious",AND(W268&gt;=$D$1,X268&gt;0,V268/U268&gt;=3),"Very serious",AND(W268&lt;=$D$1*-1,Y268&gt;0,X268&gt;$D$2*-1,V268/U268&lt;3),"Serious", AND(W268&lt;=$D$1*-1,Y268&gt;0,X268&lt;$D$2*-1,V268/U268&lt;3),"Very serious", AND(W268&gt;=$D$1,X268&lt;0,Y268&lt;$D$2,V268/U268&lt;3),"Serious",AND(W268&gt;=$D$1,X268&lt;0,Y268&gt;$D$2,V268/U268&lt;3),"Very serious", AND(W268&lt;=$D$1*-1,Y268&gt;0,X268&gt;$D$2*-1,V268/U268&gt;=3),"Very serious", AND(W268&lt;=$D$1*-1,Y268&gt;0,X268&lt;$D$2*-1,V268/U268&gt;=3),"Very serious", AND(W268&gt;=$D$1,X268&lt;0,Y268&lt;$D$2,V268/U268&gt;=3),"Very serious", AND(W268&gt;=$D$1,X268&lt;0,Y268&gt;$D$2,V268/U268&gt;=3),"Very serious", AND(W268&gt;$D$1*-1,W268&lt;$D$1,X268&gt;$D$1*-1,Y268&lt;$D$1,V268/U268&lt;3),"Not Serious", AND(W268&gt;$D$1*-1,W268&lt;$D$1,OR(X268&lt;=$D$1*-1,Y268&gt;=$D$1),X268&gt;$D$2*-1,Y268&lt;$D$2,V268/U268&lt;3),"Serious", AND(W268&gt;$D$1*-1,W268&lt;$D$1,OR(X268&lt;=$D$2*-1,Y268&gt;=$D$2),V268/U268&lt;3),"Very serious", AND(W268&gt;$D$1*-1,W268&lt;$D$1,X268&gt;$D$1*-1,Y268&lt;$D$1,V268/U268&gt;=3),"Very serious", AND(W268&gt;$D$1*-1,W268&lt;$D$1,OR(X268&lt;=$D$1*-1,Y268&gt;=$D$1),X268&gt;$D$2*-1,Y268&lt;$D$2,V268/U268&gt;=3),"Very serious", AND(W268&gt;$D$1*-1,W268&lt;$D$1,OR(X268&lt;=$D$2*-1,Y268&gt;=$D$2),V268/U268&gt;=3),"Very serious"),"")),"")</f>
        <v/>
      </c>
      <c r="AT268" s="109" t="str">
        <f t="shared" si="9"/>
        <v/>
      </c>
      <c r="AU268" s="64"/>
      <c r="AV268" s="83"/>
      <c r="AW268" s="83"/>
      <c r="AX268" s="83"/>
      <c r="AY268" s="83"/>
      <c r="AZ268" s="83"/>
      <c r="BA268" s="85"/>
      <c r="BB268" s="86" t="str">
        <f>IF(Preferences!B$9="Manual","",IFS(ISBLANK(B268),"",AND(ISNUMBER(E268)=TRUE,ISNUMBER(T268)=FALSE),"Direct", AND(ISNUMBER(E268)=FALSE,ISNUMBER(T268)=TRUE),"Indirect", CN268=4,"Direct",AND(CL268=FALSE, CM268=TRUE,CN268-CO268&gt;-1),"Direct", AND(CL268=FALSE,CM268=TRUE, CN268-CO268&lt;0),"Check algorithm in appendix 2", AND(CL268=TRUE, CM268=FALSE,CN268-CO268&gt;0),"Check algorithm in appendix 2", AND(CL268=TRUE, CM268=FALSE,CN268-CO268=0),"Indirect", AND(CL268=TRUE, CM268=FALSE,CN268-CO268&lt;0),"Indirect", AND(CL268=FALSE,CM268=FALSE,CN268-CO268&gt;-1),"Direct", AND(CL268=FALSE,CM268=FALSE,CN268-CO268&lt;0),"Check algorithm in appendix 2", AND(CL268=TRUE,CM268=TRUE,CN268-CO268&gt;-1),"Direct", AND(CL268=TRUE,CM268=TRUE,CN268-CO268&lt;0),"Check algorithm in appendix 2"))</f>
        <v/>
      </c>
      <c r="BC268" s="120" t="str">
        <f t="shared" si="10"/>
        <v/>
      </c>
      <c r="BD268" s="140"/>
      <c r="BE268" s="122" t="str">
        <f>IF(Preferences!B$3="Manual","", IFERROR(IFS(AND(Preferences!B$3="Automatic",AX268/AW268&gt;=30),"Extremely serious",AND(AY268&lt;=$D$1*-1,BA268&lt;0,AX268/AW268&lt;3),"Not Serious",AND(AY268&lt;=$D$1*-1,BA268&lt;0,AX268/AW268&gt;=3),"Very serious",AND(AY268&gt;=$D$1,AZ268&gt;0,AX268/AW268&lt;3),"Not Serious",AND(AY268&gt;=$D$1,AZ268&gt;0,AX268/AW268&gt;=3),"Very serious",AND(AY268&lt;=$D$1*-1,BA268&gt;0,AZ268&gt;$D$2*-1,AX268/AW268&lt;3),"Serious", AND(AY268&lt;=$D$1*-1,BA268&gt;0,AZ268&lt;$D$2*-1,AX268/AW268&lt;3),"Very serious", AND(AY268&gt;=$D$1,AZ268&lt;0,BA268&lt;$D$2,AX268/AW268&lt;3),"Serious",AND(AY268&gt;=$D$1,AZ268&lt;0,BA268&gt;$D$2,AX268/AW268&lt;3),"Very serious", AND(AY268&lt;=$D$1*-1,BA268&gt;0,AZ268&gt;$D$2*-1,AX268/AW268&gt;=3),"Very serious", AND(AY268&lt;=$D$1*-1,BA268&gt;0,AZ268&lt;$D$2*-1,AX268/AW268&gt;=3),"Very serious", AND(AY268&gt;=$D$1,AZ268&lt;0,BA268&lt;$D$2,AX268/AW268&gt;=3),"Very serious", AND(AY268&gt;=$D$1,AZ268&lt;0,BA268&gt;$D$2,AX268/AW268&gt;=3),"Very serious", AND(AY268&gt;$D$1*-1,AY268&lt;$D$1,AZ268&gt;$D$1*-1,BA268&lt;$D$1,AX268/AW268&lt;3),"Not Serious", AND(AY268&gt;$D$1*-1,AY268&lt;$D$1,OR(AZ268&lt;=$D$1*-1,BA268&gt;=$D$1),AZ268&gt;$D$2*-1,BA268&lt;$D$2,AX268/AW268&lt;3),"Serious", AND(AY268&gt;$D$1*-1,AY268&lt;$D$1,OR(AZ268&lt;=$D$2*-1,BA268&gt;=$D$2),AX268/AW268&lt;3),"Very serious", AND(AY268&gt;$D$1*-1,AY268&lt;$D$1,AZ268&gt;$D$1*-1,BA268&lt;$D$1,AX268/AW268&gt;=3),"Very serious", AND(AY268&gt;$D$1*-1,AY268&lt;$D$1,OR(AZ268&lt;=$D$1*-1,BA268&gt;=$D$1),AZ268&gt;$D$2*-1,BA268&lt;$D$2,AX268/AW268&gt;=3),"Very serious", AND(AY268&gt;$D$1*-1,AY268&lt;$D$1,OR(AZ268&lt;=$D$2*-1,BA268&gt;=$D$2),AX268/AW268&gt;=3),"Very serious"),""))</f>
        <v/>
      </c>
      <c r="BF268" s="107" t="str">
        <f t="shared" si="11"/>
        <v/>
      </c>
      <c r="BG268" s="94" t="str">
        <f t="shared" si="46"/>
        <v/>
      </c>
      <c r="BH268" s="64" t="str">
        <f t="shared" si="12"/>
        <v>#N/A</v>
      </c>
      <c r="BI268" s="64" t="str">
        <f t="shared" si="13"/>
        <v/>
      </c>
      <c r="BJ268" s="123" t="str">
        <f t="shared" si="14"/>
        <v>#N/A</v>
      </c>
      <c r="BK268" s="64" t="str">
        <f t="shared" si="50"/>
        <v>YES</v>
      </c>
      <c r="BL268" s="64" t="str">
        <f t="shared" si="16"/>
        <v>YES</v>
      </c>
      <c r="BM268" s="64" t="str">
        <f t="shared" si="17"/>
        <v>YES</v>
      </c>
      <c r="BN268" s="124" t="str">
        <f t="shared" si="18"/>
        <v/>
      </c>
      <c r="BO268" s="91" t="str">
        <f t="shared" si="19"/>
        <v/>
      </c>
      <c r="BP268" s="91" t="str">
        <f t="shared" si="20"/>
        <v>#N/A</v>
      </c>
      <c r="BQ268" s="91" t="str">
        <f t="shared" si="21"/>
        <v/>
      </c>
      <c r="BR268" s="93" t="str">
        <f t="shared" si="22"/>
        <v/>
      </c>
      <c r="BS268" s="90" t="str">
        <f t="shared" si="23"/>
        <v/>
      </c>
      <c r="BT268" s="93" t="str">
        <f t="shared" si="24"/>
        <v>NA</v>
      </c>
      <c r="BU268" s="125" t="str">
        <f t="shared" si="25"/>
        <v>#N/A</v>
      </c>
      <c r="BV268" s="93" t="str">
        <f t="shared" si="26"/>
        <v/>
      </c>
      <c r="BW268" s="93" t="str">
        <f t="shared" si="27"/>
        <v/>
      </c>
      <c r="BX268" s="93" t="str">
        <f t="shared" si="28"/>
        <v>NA</v>
      </c>
      <c r="BY268" s="95" t="str">
        <f t="shared" si="29"/>
        <v>#N/A</v>
      </c>
      <c r="BZ268" s="93" t="str">
        <f t="shared" si="30"/>
        <v/>
      </c>
      <c r="CA268" s="93" t="str">
        <f t="shared" si="31"/>
        <v/>
      </c>
      <c r="CB268" s="93" t="str">
        <f t="shared" si="32"/>
        <v>NA</v>
      </c>
      <c r="CC268" s="96" t="str">
        <f t="shared" si="33"/>
        <v>#N/A</v>
      </c>
      <c r="CD268" s="93" t="str">
        <f t="shared" si="34"/>
        <v/>
      </c>
      <c r="CE268" s="93" t="str">
        <f t="shared" si="35"/>
        <v/>
      </c>
      <c r="CF268" s="93" t="str">
        <f t="shared" si="36"/>
        <v>NA</v>
      </c>
      <c r="CG268" s="97" t="str">
        <f t="shared" si="37"/>
        <v>#N/A</v>
      </c>
      <c r="CH268" s="98" t="str">
        <f t="shared" si="38"/>
        <v>#N/A</v>
      </c>
      <c r="CI268" s="99" t="str">
        <f t="shared" si="39"/>
        <v>#N/A</v>
      </c>
      <c r="CJ268" s="126" t="str">
        <f t="shared" si="40"/>
        <v>ERROR: check cell</v>
      </c>
      <c r="CK268" s="126"/>
      <c r="CL268" s="127" t="str">
        <f t="shared" si="41"/>
        <v>#DIV/0!</v>
      </c>
      <c r="CM268" s="128" t="str">
        <f t="shared" si="42"/>
        <v>#DIV/0!</v>
      </c>
      <c r="CN268" s="128">
        <f t="shared" si="43"/>
        <v>4</v>
      </c>
      <c r="CO268" s="129">
        <f t="shared" si="44"/>
        <v>4</v>
      </c>
      <c r="CP268" s="129" t="str">
        <f>IFS(C268=Preferences!B$13,B268,B268=Preferences!B$13,C268)</f>
        <v>#N/A</v>
      </c>
    </row>
    <row r="269" ht="13.5" customHeight="1">
      <c r="A269" s="63" t="str">
        <f t="shared" si="45"/>
        <v/>
      </c>
      <c r="B269" s="64"/>
      <c r="C269" s="64"/>
      <c r="D269" s="64"/>
      <c r="E269" s="65"/>
      <c r="F269" s="65"/>
      <c r="G269" s="65"/>
      <c r="H269" s="66"/>
      <c r="I269" s="66"/>
      <c r="J269" s="67"/>
      <c r="K269" s="68"/>
      <c r="L269" s="104"/>
      <c r="M269" s="104"/>
      <c r="N269" s="104"/>
      <c r="O269" s="104"/>
      <c r="P269" s="107" t="str">
        <f t="shared" si="1"/>
        <v/>
      </c>
      <c r="Q269" s="108" t="str">
        <f>IFERROR(IF(AND(Preferences!B$3="Manual",OR(AX269/AW269&gt;G269/F269,BD269="Serious",BD269="Very serious")),"Assess imprecision",IFS(ISBLANK(E269),"",AND(Preferences!B$3="Automatic", G269/F269&gt;=30),"Extremely serious",AND(H269&lt;=$D$1*-1,J269&lt;0,G269/F269&lt;3),"Not serious",AND(H269&lt;=$D$1*-1,J269&lt;0,G269/F269&gt;=3),"Very serious",AND(H269&gt;=$D$1,I269&gt;0,G269/F269&lt;3),"Not serious",AND(H269&gt;=$D$1,I269&gt;0,G269/F269&gt;=3),"Very serious",AND(H269&lt;=$D$1*-1,J269&gt;0,I269&gt;$D$2*-1,G269/F269&lt;3),"Serious", AND(H269&lt;=$D$1*-1,J269&gt;0,I269&lt;$D$2*-1,G269/F269&lt;3),"Very serious", AND(H269&gt;=$D$1,I269&lt;0,J269&lt;$D$2,G269/F269&lt;3),"Serious",AND(H269&gt;=$D$1,I269&lt;0,J269&gt;$D$2,G269/F269&lt;3),"Very serious", AND(H269&lt;=$D$1*-1,J269&gt;0,I269&gt;$D$2*-1,G269/F269&gt;=3),"Very serious", AND(H269&lt;=$D$1*-1,J269&gt;0,I269&lt;$D$2*-1,G269/F269&gt;=3),"Very serious", AND(H269&gt;=$D$1,I269&lt;0,J269&lt;$D$2,G269/F269&gt;=3),"Very serious", AND(H269&gt;=$D$1,I269&lt;0,J269&gt;$D$2,G269/F269&gt;=3),"Very serious", AND(H269&gt;$D$1*-1,H269&lt;$D$1,I269&gt;$D$1*-1,J269&lt;$D$1,G269/F269&lt;3),"Not serious", AND(H269&gt;$D$1*-1,H269&lt;$D$1,OR(I269&lt;=$D$1*-1,J269&gt;=$D$1),I269&gt;$D$2*-1,J269&lt;$D$2,G269/F269&lt;3),"Serious", AND(H269&gt;$D$1*-1,H269&lt;$D$1,OR(I269&lt;=$D$2*-1,J269&gt;=$D$2),G269/F269&lt;3),"Very serious", AND(H269&gt;$D$1*-1,H269&lt;$D$1,I269&gt;$D$1*-1,J269&lt;$D$1,G269/F269&gt;=3),"Very serious", AND(H269&gt;$D$1*-1,H269&lt;$D$1,OR(I269&lt;=$D$1*-1,J269&gt;=$D$1),I269&gt;$D$2*-1,J269&lt;$D$2,G269/F269&gt;=3),"Very serious", AND(H269&gt;$D$1*-1,H269&lt;$D$1,OR(I269&lt;=$D$2*-1,J269&gt;=$D$2),G269/F269&gt;=3),"Very serious")),"")</f>
        <v/>
      </c>
      <c r="R269" s="109" t="str">
        <f t="shared" si="47"/>
        <v/>
      </c>
      <c r="S269" s="64"/>
      <c r="T269" s="72"/>
      <c r="U269" s="72"/>
      <c r="V269" s="72"/>
      <c r="W269" s="73"/>
      <c r="X269" s="73"/>
      <c r="Y269" s="74"/>
      <c r="Z269" s="113" t="str">
        <f t="array" ref="Z269">INDEX($A$1:$C$500, MATCH(1,($B:$B=$B269)*($C:$C=$AB269),0),1)</f>
        <v/>
      </c>
      <c r="AA269" s="113" t="str">
        <f t="array" ref="AA269">INDEX($A$1:$C$500, MATCH(1,($B:$B=$AB269)*($C:$C=$B269),0),1)</f>
        <v/>
      </c>
      <c r="AB269" s="111"/>
      <c r="AC269" s="114" t="str">
        <f t="shared" si="2"/>
        <v/>
      </c>
      <c r="AD269" s="115" t="str">
        <f t="shared" si="3"/>
        <v/>
      </c>
      <c r="AE269" s="116" t="str">
        <f t="array" ref="AE269">INDEX($A$1:$C$500, MATCH(1,($B:$B=$AB269)*($C:$C=$AG269),0),1)</f>
        <v/>
      </c>
      <c r="AF269" s="116" t="str">
        <f t="array" ref="AF269">INDEX($A$1:$C$500, MATCH(1,($B:$B=$AG269)*($C:$C=$AB269),0),1)</f>
        <v/>
      </c>
      <c r="AG269" s="72"/>
      <c r="AH269" s="114" t="str">
        <f t="shared" si="4"/>
        <v/>
      </c>
      <c r="AI269" s="115" t="str">
        <f t="shared" si="5"/>
        <v/>
      </c>
      <c r="AJ269" s="116" t="str">
        <f t="array" ref="AJ269">INDEX($A$1:$C$500, MATCH(1,($B:$B=$C269)*($C:$C=$AG269),0),1)</f>
        <v/>
      </c>
      <c r="AK269" s="116" t="str">
        <f t="array" ref="AK269">INDEX($A$1:$C$500, MATCH(1,($B:$B=$AG269)*($C:$C=$C269),0),1)</f>
        <v/>
      </c>
      <c r="AL269" s="116" t="str">
        <f t="array" ref="AL269">INDEX($A$1:$C$500, MATCH(1,($B:$B=$C269)*($C:$C=$AB269),0),1)</f>
        <v/>
      </c>
      <c r="AM269" s="116" t="str">
        <f t="array" ref="AM269">INDEX($A$1:$C$500, MATCH(1,($B:$B=$AB269)*($C:$C=$C269),0),1)</f>
        <v/>
      </c>
      <c r="AN269" s="114" t="str">
        <f t="array" ref="AN269">IFS(ISNUMBER(AJ269),AJ269,ISNUMBER(AK269),AK269,ISNUMBER(AL269),AL269,ISNUMBER(AM269),AM269)</f>
        <v>#N/A</v>
      </c>
      <c r="AO269" s="115" t="str">
        <f t="shared" si="6"/>
        <v/>
      </c>
      <c r="AP269" s="115" t="str">
        <f t="shared" si="7"/>
        <v/>
      </c>
      <c r="AQ269" s="111"/>
      <c r="AR269" s="109" t="str">
        <f t="shared" si="8"/>
        <v/>
      </c>
      <c r="AS269" s="72" t="str">
        <f>IFERROR(IF(AND(Preferences!B$3="Manual",OR(AX269/AW269&gt;V269/U269,BD269="Serious",BD269="Very serious")),"Assess imprecision",IFERROR(IFS(AND(Preferences!B$3="Automatic",V269/U269&gt;=30),"Extremely serious",AND(W269&lt;=$D$1*-1,Y269&lt;0,V269/U269&lt;3),"Not Serious",AND(W269&lt;=$D$1*-1,Y269&lt;0,V269/U269&gt;=3),"Very serious",AND(W269&gt;=$D$1,X269&gt;0,V269/U269&lt;3),"Not Serious",AND(W269&gt;=$D$1,X269&gt;0,V269/U269&gt;=3),"Very serious",AND(W269&lt;=$D$1*-1,Y269&gt;0,X269&gt;$D$2*-1,V269/U269&lt;3),"Serious", AND(W269&lt;=$D$1*-1,Y269&gt;0,X269&lt;$D$2*-1,V269/U269&lt;3),"Very serious", AND(W269&gt;=$D$1,X269&lt;0,Y269&lt;$D$2,V269/U269&lt;3),"Serious",AND(W269&gt;=$D$1,X269&lt;0,Y269&gt;$D$2,V269/U269&lt;3),"Very serious", AND(W269&lt;=$D$1*-1,Y269&gt;0,X269&gt;$D$2*-1,V269/U269&gt;=3),"Very serious", AND(W269&lt;=$D$1*-1,Y269&gt;0,X269&lt;$D$2*-1,V269/U269&gt;=3),"Very serious", AND(W269&gt;=$D$1,X269&lt;0,Y269&lt;$D$2,V269/U269&gt;=3),"Very serious", AND(W269&gt;=$D$1,X269&lt;0,Y269&gt;$D$2,V269/U269&gt;=3),"Very serious", AND(W269&gt;$D$1*-1,W269&lt;$D$1,X269&gt;$D$1*-1,Y269&lt;$D$1,V269/U269&lt;3),"Not Serious", AND(W269&gt;$D$1*-1,W269&lt;$D$1,OR(X269&lt;=$D$1*-1,Y269&gt;=$D$1),X269&gt;$D$2*-1,Y269&lt;$D$2,V269/U269&lt;3),"Serious", AND(W269&gt;$D$1*-1,W269&lt;$D$1,OR(X269&lt;=$D$2*-1,Y269&gt;=$D$2),V269/U269&lt;3),"Very serious", AND(W269&gt;$D$1*-1,W269&lt;$D$1,X269&gt;$D$1*-1,Y269&lt;$D$1,V269/U269&gt;=3),"Very serious", AND(W269&gt;$D$1*-1,W269&lt;$D$1,OR(X269&lt;=$D$1*-1,Y269&gt;=$D$1),X269&gt;$D$2*-1,Y269&lt;$D$2,V269/U269&gt;=3),"Very serious", AND(W269&gt;$D$1*-1,W269&lt;$D$1,OR(X269&lt;=$D$2*-1,Y269&gt;=$D$2),V269/U269&gt;=3),"Very serious"),"")),"")</f>
        <v/>
      </c>
      <c r="AT269" s="109" t="str">
        <f t="shared" si="9"/>
        <v/>
      </c>
      <c r="AU269" s="64"/>
      <c r="AV269" s="83"/>
      <c r="AW269" s="83"/>
      <c r="AX269" s="83"/>
      <c r="AY269" s="83"/>
      <c r="AZ269" s="83"/>
      <c r="BA269" s="85"/>
      <c r="BB269" s="86" t="str">
        <f>IF(Preferences!B$9="Manual","",IFS(ISBLANK(B269),"",AND(ISNUMBER(E269)=TRUE,ISNUMBER(T269)=FALSE),"Direct", AND(ISNUMBER(E269)=FALSE,ISNUMBER(T269)=TRUE),"Indirect", CN269=4,"Direct",AND(CL269=FALSE, CM269=TRUE,CN269-CO269&gt;-1),"Direct", AND(CL269=FALSE,CM269=TRUE, CN269-CO269&lt;0),"Check algorithm in appendix 2", AND(CL269=TRUE, CM269=FALSE,CN269-CO269&gt;0),"Check algorithm in appendix 2", AND(CL269=TRUE, CM269=FALSE,CN269-CO269=0),"Indirect", AND(CL269=TRUE, CM269=FALSE,CN269-CO269&lt;0),"Indirect", AND(CL269=FALSE,CM269=FALSE,CN269-CO269&gt;-1),"Direct", AND(CL269=FALSE,CM269=FALSE,CN269-CO269&lt;0),"Check algorithm in appendix 2", AND(CL269=TRUE,CM269=TRUE,CN269-CO269&gt;-1),"Direct", AND(CL269=TRUE,CM269=TRUE,CN269-CO269&lt;0),"Check algorithm in appendix 2"))</f>
        <v/>
      </c>
      <c r="BC269" s="120" t="str">
        <f t="shared" si="10"/>
        <v/>
      </c>
      <c r="BD269" s="140"/>
      <c r="BE269" s="122" t="str">
        <f>IF(Preferences!B$3="Manual","", IFERROR(IFS(AND(Preferences!B$3="Automatic",AX269/AW269&gt;=30),"Extremely serious",AND(AY269&lt;=$D$1*-1,BA269&lt;0,AX269/AW269&lt;3),"Not Serious",AND(AY269&lt;=$D$1*-1,BA269&lt;0,AX269/AW269&gt;=3),"Very serious",AND(AY269&gt;=$D$1,AZ269&gt;0,AX269/AW269&lt;3),"Not Serious",AND(AY269&gt;=$D$1,AZ269&gt;0,AX269/AW269&gt;=3),"Very serious",AND(AY269&lt;=$D$1*-1,BA269&gt;0,AZ269&gt;$D$2*-1,AX269/AW269&lt;3),"Serious", AND(AY269&lt;=$D$1*-1,BA269&gt;0,AZ269&lt;$D$2*-1,AX269/AW269&lt;3),"Very serious", AND(AY269&gt;=$D$1,AZ269&lt;0,BA269&lt;$D$2,AX269/AW269&lt;3),"Serious",AND(AY269&gt;=$D$1,AZ269&lt;0,BA269&gt;$D$2,AX269/AW269&lt;3),"Very serious", AND(AY269&lt;=$D$1*-1,BA269&gt;0,AZ269&gt;$D$2*-1,AX269/AW269&gt;=3),"Very serious", AND(AY269&lt;=$D$1*-1,BA269&gt;0,AZ269&lt;$D$2*-1,AX269/AW269&gt;=3),"Very serious", AND(AY269&gt;=$D$1,AZ269&lt;0,BA269&lt;$D$2,AX269/AW269&gt;=3),"Very serious", AND(AY269&gt;=$D$1,AZ269&lt;0,BA269&gt;$D$2,AX269/AW269&gt;=3),"Very serious", AND(AY269&gt;$D$1*-1,AY269&lt;$D$1,AZ269&gt;$D$1*-1,BA269&lt;$D$1,AX269/AW269&lt;3),"Not Serious", AND(AY269&gt;$D$1*-1,AY269&lt;$D$1,OR(AZ269&lt;=$D$1*-1,BA269&gt;=$D$1),AZ269&gt;$D$2*-1,BA269&lt;$D$2,AX269/AW269&lt;3),"Serious", AND(AY269&gt;$D$1*-1,AY269&lt;$D$1,OR(AZ269&lt;=$D$2*-1,BA269&gt;=$D$2),AX269/AW269&lt;3),"Very serious", AND(AY269&gt;$D$1*-1,AY269&lt;$D$1,AZ269&gt;$D$1*-1,BA269&lt;$D$1,AX269/AW269&gt;=3),"Very serious", AND(AY269&gt;$D$1*-1,AY269&lt;$D$1,OR(AZ269&lt;=$D$1*-1,BA269&gt;=$D$1),AZ269&gt;$D$2*-1,BA269&lt;$D$2,AX269/AW269&gt;=3),"Very serious", AND(AY269&gt;$D$1*-1,AY269&lt;$D$1,OR(AZ269&lt;=$D$2*-1,BA269&gt;=$D$2),AX269/AW269&gt;=3),"Very serious"),""))</f>
        <v/>
      </c>
      <c r="BF269" s="107" t="str">
        <f t="shared" si="11"/>
        <v/>
      </c>
      <c r="BG269" s="94" t="str">
        <f t="shared" si="46"/>
        <v/>
      </c>
      <c r="BH269" s="64" t="str">
        <f t="shared" si="12"/>
        <v>#N/A</v>
      </c>
      <c r="BI269" s="64" t="str">
        <f t="shared" si="13"/>
        <v/>
      </c>
      <c r="BJ269" s="123" t="str">
        <f t="shared" si="14"/>
        <v>#N/A</v>
      </c>
      <c r="BK269" s="64" t="str">
        <f t="shared" si="50"/>
        <v>YES</v>
      </c>
      <c r="BL269" s="64" t="str">
        <f t="shared" si="16"/>
        <v>YES</v>
      </c>
      <c r="BM269" s="64" t="str">
        <f t="shared" si="17"/>
        <v>YES</v>
      </c>
      <c r="BN269" s="124" t="str">
        <f t="shared" si="18"/>
        <v/>
      </c>
      <c r="BO269" s="91" t="str">
        <f t="shared" si="19"/>
        <v/>
      </c>
      <c r="BP269" s="91" t="str">
        <f t="shared" si="20"/>
        <v>#N/A</v>
      </c>
      <c r="BQ269" s="91" t="str">
        <f t="shared" si="21"/>
        <v/>
      </c>
      <c r="BR269" s="93" t="str">
        <f t="shared" si="22"/>
        <v/>
      </c>
      <c r="BS269" s="90" t="str">
        <f t="shared" si="23"/>
        <v/>
      </c>
      <c r="BT269" s="93" t="str">
        <f t="shared" si="24"/>
        <v>NA</v>
      </c>
      <c r="BU269" s="125" t="str">
        <f t="shared" si="25"/>
        <v>#N/A</v>
      </c>
      <c r="BV269" s="93" t="str">
        <f t="shared" si="26"/>
        <v/>
      </c>
      <c r="BW269" s="93" t="str">
        <f t="shared" si="27"/>
        <v/>
      </c>
      <c r="BX269" s="93" t="str">
        <f t="shared" si="28"/>
        <v>NA</v>
      </c>
      <c r="BY269" s="95" t="str">
        <f t="shared" si="29"/>
        <v>#N/A</v>
      </c>
      <c r="BZ269" s="93" t="str">
        <f t="shared" si="30"/>
        <v/>
      </c>
      <c r="CA269" s="93" t="str">
        <f t="shared" si="31"/>
        <v/>
      </c>
      <c r="CB269" s="93" t="str">
        <f t="shared" si="32"/>
        <v>NA</v>
      </c>
      <c r="CC269" s="96" t="str">
        <f t="shared" si="33"/>
        <v>#N/A</v>
      </c>
      <c r="CD269" s="93" t="str">
        <f t="shared" si="34"/>
        <v/>
      </c>
      <c r="CE269" s="93" t="str">
        <f t="shared" si="35"/>
        <v/>
      </c>
      <c r="CF269" s="93" t="str">
        <f t="shared" si="36"/>
        <v>NA</v>
      </c>
      <c r="CG269" s="97" t="str">
        <f t="shared" si="37"/>
        <v>#N/A</v>
      </c>
      <c r="CH269" s="98" t="str">
        <f t="shared" si="38"/>
        <v>#N/A</v>
      </c>
      <c r="CI269" s="99" t="str">
        <f t="shared" si="39"/>
        <v>#N/A</v>
      </c>
      <c r="CJ269" s="126" t="str">
        <f t="shared" si="40"/>
        <v>ERROR: check cell</v>
      </c>
      <c r="CK269" s="126"/>
      <c r="CL269" s="127" t="str">
        <f t="shared" si="41"/>
        <v>#DIV/0!</v>
      </c>
      <c r="CM269" s="128" t="str">
        <f t="shared" si="42"/>
        <v>#DIV/0!</v>
      </c>
      <c r="CN269" s="128">
        <f t="shared" si="43"/>
        <v>4</v>
      </c>
      <c r="CO269" s="129">
        <f t="shared" si="44"/>
        <v>4</v>
      </c>
      <c r="CP269" s="129" t="str">
        <f>IFS(C269=Preferences!B$13,B269,B269=Preferences!B$13,C269)</f>
        <v>#N/A</v>
      </c>
    </row>
    <row r="270" ht="13.5" customHeight="1">
      <c r="A270" s="63" t="str">
        <f t="shared" si="45"/>
        <v/>
      </c>
      <c r="B270" s="64"/>
      <c r="C270" s="64"/>
      <c r="D270" s="64"/>
      <c r="E270" s="65"/>
      <c r="F270" s="65"/>
      <c r="G270" s="65"/>
      <c r="H270" s="66"/>
      <c r="I270" s="66"/>
      <c r="J270" s="67"/>
      <c r="K270" s="68"/>
      <c r="L270" s="104"/>
      <c r="M270" s="104"/>
      <c r="N270" s="104"/>
      <c r="O270" s="104"/>
      <c r="P270" s="107" t="str">
        <f t="shared" si="1"/>
        <v/>
      </c>
      <c r="Q270" s="108" t="str">
        <f>IFERROR(IF(AND(Preferences!B$3="Manual",OR(AX270/AW270&gt;G270/F270,BD270="Serious",BD270="Very serious")),"Assess imprecision",IFS(ISBLANK(E270),"",AND(Preferences!B$3="Automatic", G270/F270&gt;=30),"Extremely serious",AND(H270&lt;=$D$1*-1,J270&lt;0,G270/F270&lt;3),"Not serious",AND(H270&lt;=$D$1*-1,J270&lt;0,G270/F270&gt;=3),"Very serious",AND(H270&gt;=$D$1,I270&gt;0,G270/F270&lt;3),"Not serious",AND(H270&gt;=$D$1,I270&gt;0,G270/F270&gt;=3),"Very serious",AND(H270&lt;=$D$1*-1,J270&gt;0,I270&gt;$D$2*-1,G270/F270&lt;3),"Serious", AND(H270&lt;=$D$1*-1,J270&gt;0,I270&lt;$D$2*-1,G270/F270&lt;3),"Very serious", AND(H270&gt;=$D$1,I270&lt;0,J270&lt;$D$2,G270/F270&lt;3),"Serious",AND(H270&gt;=$D$1,I270&lt;0,J270&gt;$D$2,G270/F270&lt;3),"Very serious", AND(H270&lt;=$D$1*-1,J270&gt;0,I270&gt;$D$2*-1,G270/F270&gt;=3),"Very serious", AND(H270&lt;=$D$1*-1,J270&gt;0,I270&lt;$D$2*-1,G270/F270&gt;=3),"Very serious", AND(H270&gt;=$D$1,I270&lt;0,J270&lt;$D$2,G270/F270&gt;=3),"Very serious", AND(H270&gt;=$D$1,I270&lt;0,J270&gt;$D$2,G270/F270&gt;=3),"Very serious", AND(H270&gt;$D$1*-1,H270&lt;$D$1,I270&gt;$D$1*-1,J270&lt;$D$1,G270/F270&lt;3),"Not serious", AND(H270&gt;$D$1*-1,H270&lt;$D$1,OR(I270&lt;=$D$1*-1,J270&gt;=$D$1),I270&gt;$D$2*-1,J270&lt;$D$2,G270/F270&lt;3),"Serious", AND(H270&gt;$D$1*-1,H270&lt;$D$1,OR(I270&lt;=$D$2*-1,J270&gt;=$D$2),G270/F270&lt;3),"Very serious", AND(H270&gt;$D$1*-1,H270&lt;$D$1,I270&gt;$D$1*-1,J270&lt;$D$1,G270/F270&gt;=3),"Very serious", AND(H270&gt;$D$1*-1,H270&lt;$D$1,OR(I270&lt;=$D$1*-1,J270&gt;=$D$1),I270&gt;$D$2*-1,J270&lt;$D$2,G270/F270&gt;=3),"Very serious", AND(H270&gt;$D$1*-1,H270&lt;$D$1,OR(I270&lt;=$D$2*-1,J270&gt;=$D$2),G270/F270&gt;=3),"Very serious")),"")</f>
        <v/>
      </c>
      <c r="R270" s="109" t="str">
        <f t="shared" si="47"/>
        <v/>
      </c>
      <c r="S270" s="64"/>
      <c r="T270" s="72"/>
      <c r="U270" s="72"/>
      <c r="V270" s="72"/>
      <c r="W270" s="73"/>
      <c r="X270" s="73"/>
      <c r="Y270" s="74"/>
      <c r="Z270" s="113" t="str">
        <f t="array" ref="Z270">INDEX($A$1:$C$500, MATCH(1,($B:$B=$B270)*($C:$C=$AB270),0),1)</f>
        <v/>
      </c>
      <c r="AA270" s="113" t="str">
        <f t="array" ref="AA270">INDEX($A$1:$C$500, MATCH(1,($B:$B=$AB270)*($C:$C=$B270),0),1)</f>
        <v/>
      </c>
      <c r="AB270" s="111"/>
      <c r="AC270" s="114" t="str">
        <f t="shared" si="2"/>
        <v/>
      </c>
      <c r="AD270" s="115" t="str">
        <f t="shared" si="3"/>
        <v/>
      </c>
      <c r="AE270" s="116" t="str">
        <f t="array" ref="AE270">INDEX($A$1:$C$500, MATCH(1,($B:$B=$AB270)*($C:$C=$AG270),0),1)</f>
        <v/>
      </c>
      <c r="AF270" s="116" t="str">
        <f t="array" ref="AF270">INDEX($A$1:$C$500, MATCH(1,($B:$B=$AG270)*($C:$C=$AB270),0),1)</f>
        <v/>
      </c>
      <c r="AG270" s="72"/>
      <c r="AH270" s="114" t="str">
        <f t="shared" si="4"/>
        <v/>
      </c>
      <c r="AI270" s="115" t="str">
        <f t="shared" si="5"/>
        <v/>
      </c>
      <c r="AJ270" s="116" t="str">
        <f t="array" ref="AJ270">INDEX($A$1:$C$500, MATCH(1,($B:$B=$C270)*($C:$C=$AG270),0),1)</f>
        <v/>
      </c>
      <c r="AK270" s="116" t="str">
        <f t="array" ref="AK270">INDEX($A$1:$C$500, MATCH(1,($B:$B=$AG270)*($C:$C=$C270),0),1)</f>
        <v/>
      </c>
      <c r="AL270" s="116" t="str">
        <f t="array" ref="AL270">INDEX($A$1:$C$500, MATCH(1,($B:$B=$C270)*($C:$C=$AB270),0),1)</f>
        <v/>
      </c>
      <c r="AM270" s="116" t="str">
        <f t="array" ref="AM270">INDEX($A$1:$C$500, MATCH(1,($B:$B=$AB270)*($C:$C=$C270),0),1)</f>
        <v/>
      </c>
      <c r="AN270" s="114" t="str">
        <f t="array" ref="AN270">IFS(ISNUMBER(AJ270),AJ270,ISNUMBER(AK270),AK270,ISNUMBER(AL270),AL270,ISNUMBER(AM270),AM270)</f>
        <v>#N/A</v>
      </c>
      <c r="AO270" s="115" t="str">
        <f t="shared" si="6"/>
        <v/>
      </c>
      <c r="AP270" s="115" t="str">
        <f t="shared" si="7"/>
        <v/>
      </c>
      <c r="AQ270" s="111"/>
      <c r="AR270" s="109" t="str">
        <f t="shared" si="8"/>
        <v/>
      </c>
      <c r="AS270" s="72" t="str">
        <f>IFERROR(IF(AND(Preferences!B$3="Manual",OR(AX270/AW270&gt;V270/U270,BD270="Serious",BD270="Very serious")),"Assess imprecision",IFERROR(IFS(AND(Preferences!B$3="Automatic",V270/U270&gt;=30),"Extremely serious",AND(W270&lt;=$D$1*-1,Y270&lt;0,V270/U270&lt;3),"Not Serious",AND(W270&lt;=$D$1*-1,Y270&lt;0,V270/U270&gt;=3),"Very serious",AND(W270&gt;=$D$1,X270&gt;0,V270/U270&lt;3),"Not Serious",AND(W270&gt;=$D$1,X270&gt;0,V270/U270&gt;=3),"Very serious",AND(W270&lt;=$D$1*-1,Y270&gt;0,X270&gt;$D$2*-1,V270/U270&lt;3),"Serious", AND(W270&lt;=$D$1*-1,Y270&gt;0,X270&lt;$D$2*-1,V270/U270&lt;3),"Very serious", AND(W270&gt;=$D$1,X270&lt;0,Y270&lt;$D$2,V270/U270&lt;3),"Serious",AND(W270&gt;=$D$1,X270&lt;0,Y270&gt;$D$2,V270/U270&lt;3),"Very serious", AND(W270&lt;=$D$1*-1,Y270&gt;0,X270&gt;$D$2*-1,V270/U270&gt;=3),"Very serious", AND(W270&lt;=$D$1*-1,Y270&gt;0,X270&lt;$D$2*-1,V270/U270&gt;=3),"Very serious", AND(W270&gt;=$D$1,X270&lt;0,Y270&lt;$D$2,V270/U270&gt;=3),"Very serious", AND(W270&gt;=$D$1,X270&lt;0,Y270&gt;$D$2,V270/U270&gt;=3),"Very serious", AND(W270&gt;$D$1*-1,W270&lt;$D$1,X270&gt;$D$1*-1,Y270&lt;$D$1,V270/U270&lt;3),"Not Serious", AND(W270&gt;$D$1*-1,W270&lt;$D$1,OR(X270&lt;=$D$1*-1,Y270&gt;=$D$1),X270&gt;$D$2*-1,Y270&lt;$D$2,V270/U270&lt;3),"Serious", AND(W270&gt;$D$1*-1,W270&lt;$D$1,OR(X270&lt;=$D$2*-1,Y270&gt;=$D$2),V270/U270&lt;3),"Very serious", AND(W270&gt;$D$1*-1,W270&lt;$D$1,X270&gt;$D$1*-1,Y270&lt;$D$1,V270/U270&gt;=3),"Very serious", AND(W270&gt;$D$1*-1,W270&lt;$D$1,OR(X270&lt;=$D$1*-1,Y270&gt;=$D$1),X270&gt;$D$2*-1,Y270&lt;$D$2,V270/U270&gt;=3),"Very serious", AND(W270&gt;$D$1*-1,W270&lt;$D$1,OR(X270&lt;=$D$2*-1,Y270&gt;=$D$2),V270/U270&gt;=3),"Very serious"),"")),"")</f>
        <v/>
      </c>
      <c r="AT270" s="109" t="str">
        <f t="shared" si="9"/>
        <v/>
      </c>
      <c r="AU270" s="64"/>
      <c r="AV270" s="83"/>
      <c r="AW270" s="83"/>
      <c r="AX270" s="83"/>
      <c r="AY270" s="83"/>
      <c r="AZ270" s="83"/>
      <c r="BA270" s="85"/>
      <c r="BB270" s="86" t="str">
        <f>IF(Preferences!B$9="Manual","",IFS(ISBLANK(B270),"",AND(ISNUMBER(E270)=TRUE,ISNUMBER(T270)=FALSE),"Direct", AND(ISNUMBER(E270)=FALSE,ISNUMBER(T270)=TRUE),"Indirect", CN270=4,"Direct",AND(CL270=FALSE, CM270=TRUE,CN270-CO270&gt;-1),"Direct", AND(CL270=FALSE,CM270=TRUE, CN270-CO270&lt;0),"Check algorithm in appendix 2", AND(CL270=TRUE, CM270=FALSE,CN270-CO270&gt;0),"Check algorithm in appendix 2", AND(CL270=TRUE, CM270=FALSE,CN270-CO270=0),"Indirect", AND(CL270=TRUE, CM270=FALSE,CN270-CO270&lt;0),"Indirect", AND(CL270=FALSE,CM270=FALSE,CN270-CO270&gt;-1),"Direct", AND(CL270=FALSE,CM270=FALSE,CN270-CO270&lt;0),"Check algorithm in appendix 2", AND(CL270=TRUE,CM270=TRUE,CN270-CO270&gt;-1),"Direct", AND(CL270=TRUE,CM270=TRUE,CN270-CO270&lt;0),"Check algorithm in appendix 2"))</f>
        <v/>
      </c>
      <c r="BC270" s="120" t="str">
        <f t="shared" si="10"/>
        <v/>
      </c>
      <c r="BD270" s="140"/>
      <c r="BE270" s="122" t="str">
        <f>IF(Preferences!B$3="Manual","", IFERROR(IFS(AND(Preferences!B$3="Automatic",AX270/AW270&gt;=30),"Extremely serious",AND(AY270&lt;=$D$1*-1,BA270&lt;0,AX270/AW270&lt;3),"Not Serious",AND(AY270&lt;=$D$1*-1,BA270&lt;0,AX270/AW270&gt;=3),"Very serious",AND(AY270&gt;=$D$1,AZ270&gt;0,AX270/AW270&lt;3),"Not Serious",AND(AY270&gt;=$D$1,AZ270&gt;0,AX270/AW270&gt;=3),"Very serious",AND(AY270&lt;=$D$1*-1,BA270&gt;0,AZ270&gt;$D$2*-1,AX270/AW270&lt;3),"Serious", AND(AY270&lt;=$D$1*-1,BA270&gt;0,AZ270&lt;$D$2*-1,AX270/AW270&lt;3),"Very serious", AND(AY270&gt;=$D$1,AZ270&lt;0,BA270&lt;$D$2,AX270/AW270&lt;3),"Serious",AND(AY270&gt;=$D$1,AZ270&lt;0,BA270&gt;$D$2,AX270/AW270&lt;3),"Very serious", AND(AY270&lt;=$D$1*-1,BA270&gt;0,AZ270&gt;$D$2*-1,AX270/AW270&gt;=3),"Very serious", AND(AY270&lt;=$D$1*-1,BA270&gt;0,AZ270&lt;$D$2*-1,AX270/AW270&gt;=3),"Very serious", AND(AY270&gt;=$D$1,AZ270&lt;0,BA270&lt;$D$2,AX270/AW270&gt;=3),"Very serious", AND(AY270&gt;=$D$1,AZ270&lt;0,BA270&gt;$D$2,AX270/AW270&gt;=3),"Very serious", AND(AY270&gt;$D$1*-1,AY270&lt;$D$1,AZ270&gt;$D$1*-1,BA270&lt;$D$1,AX270/AW270&lt;3),"Not Serious", AND(AY270&gt;$D$1*-1,AY270&lt;$D$1,OR(AZ270&lt;=$D$1*-1,BA270&gt;=$D$1),AZ270&gt;$D$2*-1,BA270&lt;$D$2,AX270/AW270&lt;3),"Serious", AND(AY270&gt;$D$1*-1,AY270&lt;$D$1,OR(AZ270&lt;=$D$2*-1,BA270&gt;=$D$2),AX270/AW270&lt;3),"Very serious", AND(AY270&gt;$D$1*-1,AY270&lt;$D$1,AZ270&gt;$D$1*-1,BA270&lt;$D$1,AX270/AW270&gt;=3),"Very serious", AND(AY270&gt;$D$1*-1,AY270&lt;$D$1,OR(AZ270&lt;=$D$1*-1,BA270&gt;=$D$1),AZ270&gt;$D$2*-1,BA270&lt;$D$2,AX270/AW270&gt;=3),"Very serious", AND(AY270&gt;$D$1*-1,AY270&lt;$D$1,OR(AZ270&lt;=$D$2*-1,BA270&gt;=$D$2),AX270/AW270&gt;=3),"Very serious"),""))</f>
        <v/>
      </c>
      <c r="BF270" s="107" t="str">
        <f t="shared" si="11"/>
        <v/>
      </c>
      <c r="BG270" s="94" t="str">
        <f t="shared" si="46"/>
        <v/>
      </c>
      <c r="BH270" s="64" t="str">
        <f t="shared" si="12"/>
        <v>#N/A</v>
      </c>
      <c r="BI270" s="64" t="str">
        <f t="shared" si="13"/>
        <v/>
      </c>
      <c r="BJ270" s="123" t="str">
        <f t="shared" si="14"/>
        <v>#N/A</v>
      </c>
      <c r="BK270" s="64" t="str">
        <f t="shared" si="50"/>
        <v>YES</v>
      </c>
      <c r="BL270" s="64" t="str">
        <f t="shared" si="16"/>
        <v>YES</v>
      </c>
      <c r="BM270" s="64" t="str">
        <f t="shared" si="17"/>
        <v>YES</v>
      </c>
      <c r="BN270" s="124" t="str">
        <f t="shared" si="18"/>
        <v/>
      </c>
      <c r="BO270" s="91" t="str">
        <f t="shared" si="19"/>
        <v/>
      </c>
      <c r="BP270" s="91" t="str">
        <f t="shared" si="20"/>
        <v>#N/A</v>
      </c>
      <c r="BQ270" s="91" t="str">
        <f t="shared" si="21"/>
        <v/>
      </c>
      <c r="BR270" s="93" t="str">
        <f t="shared" si="22"/>
        <v/>
      </c>
      <c r="BS270" s="90" t="str">
        <f t="shared" si="23"/>
        <v/>
      </c>
      <c r="BT270" s="93" t="str">
        <f t="shared" si="24"/>
        <v>NA</v>
      </c>
      <c r="BU270" s="125" t="str">
        <f t="shared" si="25"/>
        <v>#N/A</v>
      </c>
      <c r="BV270" s="93" t="str">
        <f t="shared" si="26"/>
        <v/>
      </c>
      <c r="BW270" s="93" t="str">
        <f t="shared" si="27"/>
        <v/>
      </c>
      <c r="BX270" s="93" t="str">
        <f t="shared" si="28"/>
        <v>NA</v>
      </c>
      <c r="BY270" s="95" t="str">
        <f t="shared" si="29"/>
        <v>#N/A</v>
      </c>
      <c r="BZ270" s="93" t="str">
        <f t="shared" si="30"/>
        <v/>
      </c>
      <c r="CA270" s="93" t="str">
        <f t="shared" si="31"/>
        <v/>
      </c>
      <c r="CB270" s="93" t="str">
        <f t="shared" si="32"/>
        <v>NA</v>
      </c>
      <c r="CC270" s="96" t="str">
        <f t="shared" si="33"/>
        <v>#N/A</v>
      </c>
      <c r="CD270" s="93" t="str">
        <f t="shared" si="34"/>
        <v/>
      </c>
      <c r="CE270" s="93" t="str">
        <f t="shared" si="35"/>
        <v/>
      </c>
      <c r="CF270" s="93" t="str">
        <f t="shared" si="36"/>
        <v>NA</v>
      </c>
      <c r="CG270" s="97" t="str">
        <f t="shared" si="37"/>
        <v>#N/A</v>
      </c>
      <c r="CH270" s="98" t="str">
        <f t="shared" si="38"/>
        <v>#N/A</v>
      </c>
      <c r="CI270" s="99" t="str">
        <f t="shared" si="39"/>
        <v>#N/A</v>
      </c>
      <c r="CJ270" s="126" t="str">
        <f t="shared" si="40"/>
        <v>ERROR: check cell</v>
      </c>
      <c r="CK270" s="126"/>
      <c r="CL270" s="127" t="str">
        <f t="shared" si="41"/>
        <v>#DIV/0!</v>
      </c>
      <c r="CM270" s="128" t="str">
        <f t="shared" si="42"/>
        <v>#DIV/0!</v>
      </c>
      <c r="CN270" s="128">
        <f t="shared" si="43"/>
        <v>4</v>
      </c>
      <c r="CO270" s="129">
        <f t="shared" si="44"/>
        <v>4</v>
      </c>
      <c r="CP270" s="129" t="str">
        <f>IFS(C270=Preferences!B$13,B270,B270=Preferences!B$13,C270)</f>
        <v>#N/A</v>
      </c>
    </row>
    <row r="271" ht="13.5" customHeight="1">
      <c r="A271" s="63" t="str">
        <f t="shared" si="45"/>
        <v/>
      </c>
      <c r="B271" s="64"/>
      <c r="C271" s="64"/>
      <c r="D271" s="64"/>
      <c r="E271" s="65"/>
      <c r="F271" s="65"/>
      <c r="G271" s="65"/>
      <c r="H271" s="66"/>
      <c r="I271" s="66"/>
      <c r="J271" s="67"/>
      <c r="K271" s="68"/>
      <c r="L271" s="104"/>
      <c r="M271" s="104"/>
      <c r="N271" s="104"/>
      <c r="O271" s="104"/>
      <c r="P271" s="107" t="str">
        <f t="shared" si="1"/>
        <v/>
      </c>
      <c r="Q271" s="108" t="str">
        <f>IFERROR(IF(AND(Preferences!B$3="Manual",OR(AX271/AW271&gt;G271/F271,BD271="Serious",BD271="Very serious")),"Assess imprecision",IFS(ISBLANK(E271),"",AND(Preferences!B$3="Automatic", G271/F271&gt;=30),"Extremely serious",AND(H271&lt;=$D$1*-1,J271&lt;0,G271/F271&lt;3),"Not serious",AND(H271&lt;=$D$1*-1,J271&lt;0,G271/F271&gt;=3),"Very serious",AND(H271&gt;=$D$1,I271&gt;0,G271/F271&lt;3),"Not serious",AND(H271&gt;=$D$1,I271&gt;0,G271/F271&gt;=3),"Very serious",AND(H271&lt;=$D$1*-1,J271&gt;0,I271&gt;$D$2*-1,G271/F271&lt;3),"Serious", AND(H271&lt;=$D$1*-1,J271&gt;0,I271&lt;$D$2*-1,G271/F271&lt;3),"Very serious", AND(H271&gt;=$D$1,I271&lt;0,J271&lt;$D$2,G271/F271&lt;3),"Serious",AND(H271&gt;=$D$1,I271&lt;0,J271&gt;$D$2,G271/F271&lt;3),"Very serious", AND(H271&lt;=$D$1*-1,J271&gt;0,I271&gt;$D$2*-1,G271/F271&gt;=3),"Very serious", AND(H271&lt;=$D$1*-1,J271&gt;0,I271&lt;$D$2*-1,G271/F271&gt;=3),"Very serious", AND(H271&gt;=$D$1,I271&lt;0,J271&lt;$D$2,G271/F271&gt;=3),"Very serious", AND(H271&gt;=$D$1,I271&lt;0,J271&gt;$D$2,G271/F271&gt;=3),"Very serious", AND(H271&gt;$D$1*-1,H271&lt;$D$1,I271&gt;$D$1*-1,J271&lt;$D$1,G271/F271&lt;3),"Not serious", AND(H271&gt;$D$1*-1,H271&lt;$D$1,OR(I271&lt;=$D$1*-1,J271&gt;=$D$1),I271&gt;$D$2*-1,J271&lt;$D$2,G271/F271&lt;3),"Serious", AND(H271&gt;$D$1*-1,H271&lt;$D$1,OR(I271&lt;=$D$2*-1,J271&gt;=$D$2),G271/F271&lt;3),"Very serious", AND(H271&gt;$D$1*-1,H271&lt;$D$1,I271&gt;$D$1*-1,J271&lt;$D$1,G271/F271&gt;=3),"Very serious", AND(H271&gt;$D$1*-1,H271&lt;$D$1,OR(I271&lt;=$D$1*-1,J271&gt;=$D$1),I271&gt;$D$2*-1,J271&lt;$D$2,G271/F271&gt;=3),"Very serious", AND(H271&gt;$D$1*-1,H271&lt;$D$1,OR(I271&lt;=$D$2*-1,J271&gt;=$D$2),G271/F271&gt;=3),"Very serious")),"")</f>
        <v/>
      </c>
      <c r="R271" s="109" t="str">
        <f t="shared" si="47"/>
        <v/>
      </c>
      <c r="S271" s="64"/>
      <c r="T271" s="72"/>
      <c r="U271" s="72"/>
      <c r="V271" s="72"/>
      <c r="W271" s="73"/>
      <c r="X271" s="73"/>
      <c r="Y271" s="74"/>
      <c r="Z271" s="113" t="str">
        <f t="array" ref="Z271">INDEX($A$1:$C$500, MATCH(1,($B:$B=$B271)*($C:$C=$AB271),0),1)</f>
        <v/>
      </c>
      <c r="AA271" s="113" t="str">
        <f t="array" ref="AA271">INDEX($A$1:$C$500, MATCH(1,($B:$B=$AB271)*($C:$C=$B271),0),1)</f>
        <v/>
      </c>
      <c r="AB271" s="111"/>
      <c r="AC271" s="114" t="str">
        <f t="shared" si="2"/>
        <v/>
      </c>
      <c r="AD271" s="115" t="str">
        <f t="shared" si="3"/>
        <v/>
      </c>
      <c r="AE271" s="116" t="str">
        <f t="array" ref="AE271">INDEX($A$1:$C$500, MATCH(1,($B:$B=$AB271)*($C:$C=$AG271),0),1)</f>
        <v/>
      </c>
      <c r="AF271" s="116" t="str">
        <f t="array" ref="AF271">INDEX($A$1:$C$500, MATCH(1,($B:$B=$AG271)*($C:$C=$AB271),0),1)</f>
        <v/>
      </c>
      <c r="AG271" s="72"/>
      <c r="AH271" s="114" t="str">
        <f t="shared" si="4"/>
        <v/>
      </c>
      <c r="AI271" s="115" t="str">
        <f t="shared" si="5"/>
        <v/>
      </c>
      <c r="AJ271" s="116" t="str">
        <f t="array" ref="AJ271">INDEX($A$1:$C$500, MATCH(1,($B:$B=$C271)*($C:$C=$AG271),0),1)</f>
        <v/>
      </c>
      <c r="AK271" s="116" t="str">
        <f t="array" ref="AK271">INDEX($A$1:$C$500, MATCH(1,($B:$B=$AG271)*($C:$C=$C271),0),1)</f>
        <v/>
      </c>
      <c r="AL271" s="116" t="str">
        <f t="array" ref="AL271">INDEX($A$1:$C$500, MATCH(1,($B:$B=$C271)*($C:$C=$AB271),0),1)</f>
        <v/>
      </c>
      <c r="AM271" s="116" t="str">
        <f t="array" ref="AM271">INDEX($A$1:$C$500, MATCH(1,($B:$B=$AB271)*($C:$C=$C271),0),1)</f>
        <v/>
      </c>
      <c r="AN271" s="114" t="str">
        <f t="array" ref="AN271">IFS(ISNUMBER(AJ271),AJ271,ISNUMBER(AK271),AK271,ISNUMBER(AL271),AL271,ISNUMBER(AM271),AM271)</f>
        <v>#N/A</v>
      </c>
      <c r="AO271" s="115" t="str">
        <f t="shared" si="6"/>
        <v/>
      </c>
      <c r="AP271" s="115" t="str">
        <f t="shared" si="7"/>
        <v/>
      </c>
      <c r="AQ271" s="111"/>
      <c r="AR271" s="109" t="str">
        <f t="shared" si="8"/>
        <v/>
      </c>
      <c r="AS271" s="72" t="str">
        <f>IFERROR(IF(AND(Preferences!B$3="Manual",OR(AX271/AW271&gt;V271/U271,BD271="Serious",BD271="Very serious")),"Assess imprecision",IFERROR(IFS(AND(Preferences!B$3="Automatic",V271/U271&gt;=30),"Extremely serious",AND(W271&lt;=$D$1*-1,Y271&lt;0,V271/U271&lt;3),"Not Serious",AND(W271&lt;=$D$1*-1,Y271&lt;0,V271/U271&gt;=3),"Very serious",AND(W271&gt;=$D$1,X271&gt;0,V271/U271&lt;3),"Not Serious",AND(W271&gt;=$D$1,X271&gt;0,V271/U271&gt;=3),"Very serious",AND(W271&lt;=$D$1*-1,Y271&gt;0,X271&gt;$D$2*-1,V271/U271&lt;3),"Serious", AND(W271&lt;=$D$1*-1,Y271&gt;0,X271&lt;$D$2*-1,V271/U271&lt;3),"Very serious", AND(W271&gt;=$D$1,X271&lt;0,Y271&lt;$D$2,V271/U271&lt;3),"Serious",AND(W271&gt;=$D$1,X271&lt;0,Y271&gt;$D$2,V271/U271&lt;3),"Very serious", AND(W271&lt;=$D$1*-1,Y271&gt;0,X271&gt;$D$2*-1,V271/U271&gt;=3),"Very serious", AND(W271&lt;=$D$1*-1,Y271&gt;0,X271&lt;$D$2*-1,V271/U271&gt;=3),"Very serious", AND(W271&gt;=$D$1,X271&lt;0,Y271&lt;$D$2,V271/U271&gt;=3),"Very serious", AND(W271&gt;=$D$1,X271&lt;0,Y271&gt;$D$2,V271/U271&gt;=3),"Very serious", AND(W271&gt;$D$1*-1,W271&lt;$D$1,X271&gt;$D$1*-1,Y271&lt;$D$1,V271/U271&lt;3),"Not Serious", AND(W271&gt;$D$1*-1,W271&lt;$D$1,OR(X271&lt;=$D$1*-1,Y271&gt;=$D$1),X271&gt;$D$2*-1,Y271&lt;$D$2,V271/U271&lt;3),"Serious", AND(W271&gt;$D$1*-1,W271&lt;$D$1,OR(X271&lt;=$D$2*-1,Y271&gt;=$D$2),V271/U271&lt;3),"Very serious", AND(W271&gt;$D$1*-1,W271&lt;$D$1,X271&gt;$D$1*-1,Y271&lt;$D$1,V271/U271&gt;=3),"Very serious", AND(W271&gt;$D$1*-1,W271&lt;$D$1,OR(X271&lt;=$D$1*-1,Y271&gt;=$D$1),X271&gt;$D$2*-1,Y271&lt;$D$2,V271/U271&gt;=3),"Very serious", AND(W271&gt;$D$1*-1,W271&lt;$D$1,OR(X271&lt;=$D$2*-1,Y271&gt;=$D$2),V271/U271&gt;=3),"Very serious"),"")),"")</f>
        <v/>
      </c>
      <c r="AT271" s="109" t="str">
        <f t="shared" si="9"/>
        <v/>
      </c>
      <c r="AU271" s="64"/>
      <c r="AV271" s="83"/>
      <c r="AW271" s="83"/>
      <c r="AX271" s="83"/>
      <c r="AY271" s="83"/>
      <c r="AZ271" s="83"/>
      <c r="BA271" s="85"/>
      <c r="BB271" s="86" t="str">
        <f>IF(Preferences!B$9="Manual","",IFS(ISBLANK(B271),"",AND(ISNUMBER(E271)=TRUE,ISNUMBER(T271)=FALSE),"Direct", AND(ISNUMBER(E271)=FALSE,ISNUMBER(T271)=TRUE),"Indirect", CN271=4,"Direct",AND(CL271=FALSE, CM271=TRUE,CN271-CO271&gt;-1),"Direct", AND(CL271=FALSE,CM271=TRUE, CN271-CO271&lt;0),"Check algorithm in appendix 2", AND(CL271=TRUE, CM271=FALSE,CN271-CO271&gt;0),"Check algorithm in appendix 2", AND(CL271=TRUE, CM271=FALSE,CN271-CO271=0),"Indirect", AND(CL271=TRUE, CM271=FALSE,CN271-CO271&lt;0),"Indirect", AND(CL271=FALSE,CM271=FALSE,CN271-CO271&gt;-1),"Direct", AND(CL271=FALSE,CM271=FALSE,CN271-CO271&lt;0),"Check algorithm in appendix 2", AND(CL271=TRUE,CM271=TRUE,CN271-CO271&gt;-1),"Direct", AND(CL271=TRUE,CM271=TRUE,CN271-CO271&lt;0),"Check algorithm in appendix 2"))</f>
        <v/>
      </c>
      <c r="BC271" s="120" t="str">
        <f t="shared" si="10"/>
        <v/>
      </c>
      <c r="BD271" s="140"/>
      <c r="BE271" s="122" t="str">
        <f>IF(Preferences!B$3="Manual","", IFERROR(IFS(AND(Preferences!B$3="Automatic",AX271/AW271&gt;=30),"Extremely serious",AND(AY271&lt;=$D$1*-1,BA271&lt;0,AX271/AW271&lt;3),"Not Serious",AND(AY271&lt;=$D$1*-1,BA271&lt;0,AX271/AW271&gt;=3),"Very serious",AND(AY271&gt;=$D$1,AZ271&gt;0,AX271/AW271&lt;3),"Not Serious",AND(AY271&gt;=$D$1,AZ271&gt;0,AX271/AW271&gt;=3),"Very serious",AND(AY271&lt;=$D$1*-1,BA271&gt;0,AZ271&gt;$D$2*-1,AX271/AW271&lt;3),"Serious", AND(AY271&lt;=$D$1*-1,BA271&gt;0,AZ271&lt;$D$2*-1,AX271/AW271&lt;3),"Very serious", AND(AY271&gt;=$D$1,AZ271&lt;0,BA271&lt;$D$2,AX271/AW271&lt;3),"Serious",AND(AY271&gt;=$D$1,AZ271&lt;0,BA271&gt;$D$2,AX271/AW271&lt;3),"Very serious", AND(AY271&lt;=$D$1*-1,BA271&gt;0,AZ271&gt;$D$2*-1,AX271/AW271&gt;=3),"Very serious", AND(AY271&lt;=$D$1*-1,BA271&gt;0,AZ271&lt;$D$2*-1,AX271/AW271&gt;=3),"Very serious", AND(AY271&gt;=$D$1,AZ271&lt;0,BA271&lt;$D$2,AX271/AW271&gt;=3),"Very serious", AND(AY271&gt;=$D$1,AZ271&lt;0,BA271&gt;$D$2,AX271/AW271&gt;=3),"Very serious", AND(AY271&gt;$D$1*-1,AY271&lt;$D$1,AZ271&gt;$D$1*-1,BA271&lt;$D$1,AX271/AW271&lt;3),"Not Serious", AND(AY271&gt;$D$1*-1,AY271&lt;$D$1,OR(AZ271&lt;=$D$1*-1,BA271&gt;=$D$1),AZ271&gt;$D$2*-1,BA271&lt;$D$2,AX271/AW271&lt;3),"Serious", AND(AY271&gt;$D$1*-1,AY271&lt;$D$1,OR(AZ271&lt;=$D$2*-1,BA271&gt;=$D$2),AX271/AW271&lt;3),"Very serious", AND(AY271&gt;$D$1*-1,AY271&lt;$D$1,AZ271&gt;$D$1*-1,BA271&lt;$D$1,AX271/AW271&gt;=3),"Very serious", AND(AY271&gt;$D$1*-1,AY271&lt;$D$1,OR(AZ271&lt;=$D$1*-1,BA271&gt;=$D$1),AZ271&gt;$D$2*-1,BA271&lt;$D$2,AX271/AW271&gt;=3),"Very serious", AND(AY271&gt;$D$1*-1,AY271&lt;$D$1,OR(AZ271&lt;=$D$2*-1,BA271&gt;=$D$2),AX271/AW271&gt;=3),"Very serious"),""))</f>
        <v/>
      </c>
      <c r="BF271" s="107" t="str">
        <f t="shared" si="11"/>
        <v/>
      </c>
      <c r="BG271" s="94" t="str">
        <f t="shared" si="46"/>
        <v/>
      </c>
      <c r="BH271" s="64" t="str">
        <f t="shared" si="12"/>
        <v>#N/A</v>
      </c>
      <c r="BI271" s="64" t="str">
        <f t="shared" si="13"/>
        <v/>
      </c>
      <c r="BJ271" s="123" t="str">
        <f t="shared" si="14"/>
        <v>#N/A</v>
      </c>
      <c r="BK271" s="64" t="str">
        <f t="shared" si="50"/>
        <v>YES</v>
      </c>
      <c r="BL271" s="64" t="str">
        <f t="shared" si="16"/>
        <v>YES</v>
      </c>
      <c r="BM271" s="64" t="str">
        <f t="shared" si="17"/>
        <v>YES</v>
      </c>
      <c r="BN271" s="124" t="str">
        <f t="shared" si="18"/>
        <v/>
      </c>
      <c r="BO271" s="91" t="str">
        <f t="shared" si="19"/>
        <v/>
      </c>
      <c r="BP271" s="91" t="str">
        <f t="shared" si="20"/>
        <v>#N/A</v>
      </c>
      <c r="BQ271" s="91" t="str">
        <f t="shared" si="21"/>
        <v/>
      </c>
      <c r="BR271" s="93" t="str">
        <f t="shared" si="22"/>
        <v/>
      </c>
      <c r="BS271" s="90" t="str">
        <f t="shared" si="23"/>
        <v/>
      </c>
      <c r="BT271" s="93" t="str">
        <f t="shared" si="24"/>
        <v>NA</v>
      </c>
      <c r="BU271" s="125" t="str">
        <f t="shared" si="25"/>
        <v>#N/A</v>
      </c>
      <c r="BV271" s="93" t="str">
        <f t="shared" si="26"/>
        <v/>
      </c>
      <c r="BW271" s="93" t="str">
        <f t="shared" si="27"/>
        <v/>
      </c>
      <c r="BX271" s="93" t="str">
        <f t="shared" si="28"/>
        <v>NA</v>
      </c>
      <c r="BY271" s="95" t="str">
        <f t="shared" si="29"/>
        <v>#N/A</v>
      </c>
      <c r="BZ271" s="93" t="str">
        <f t="shared" si="30"/>
        <v/>
      </c>
      <c r="CA271" s="93" t="str">
        <f t="shared" si="31"/>
        <v/>
      </c>
      <c r="CB271" s="93" t="str">
        <f t="shared" si="32"/>
        <v>NA</v>
      </c>
      <c r="CC271" s="96" t="str">
        <f t="shared" si="33"/>
        <v>#N/A</v>
      </c>
      <c r="CD271" s="93" t="str">
        <f t="shared" si="34"/>
        <v/>
      </c>
      <c r="CE271" s="93" t="str">
        <f t="shared" si="35"/>
        <v/>
      </c>
      <c r="CF271" s="93" t="str">
        <f t="shared" si="36"/>
        <v>NA</v>
      </c>
      <c r="CG271" s="97" t="str">
        <f t="shared" si="37"/>
        <v>#N/A</v>
      </c>
      <c r="CH271" s="98" t="str">
        <f t="shared" si="38"/>
        <v>#N/A</v>
      </c>
      <c r="CI271" s="99" t="str">
        <f t="shared" si="39"/>
        <v>#N/A</v>
      </c>
      <c r="CJ271" s="126" t="str">
        <f t="shared" si="40"/>
        <v>ERROR: check cell</v>
      </c>
      <c r="CK271" s="126"/>
      <c r="CL271" s="127" t="str">
        <f t="shared" si="41"/>
        <v>#DIV/0!</v>
      </c>
      <c r="CM271" s="128" t="str">
        <f t="shared" si="42"/>
        <v>#DIV/0!</v>
      </c>
      <c r="CN271" s="128">
        <f t="shared" si="43"/>
        <v>4</v>
      </c>
      <c r="CO271" s="129">
        <f t="shared" si="44"/>
        <v>4</v>
      </c>
      <c r="CP271" s="129" t="str">
        <f>IFS(C271=Preferences!B$13,B271,B271=Preferences!B$13,C271)</f>
        <v>#N/A</v>
      </c>
    </row>
    <row r="272" ht="13.5" customHeight="1">
      <c r="A272" s="63" t="str">
        <f t="shared" si="45"/>
        <v/>
      </c>
      <c r="B272" s="64"/>
      <c r="C272" s="64"/>
      <c r="D272" s="64"/>
      <c r="E272" s="65"/>
      <c r="F272" s="65"/>
      <c r="G272" s="65"/>
      <c r="H272" s="66"/>
      <c r="I272" s="66"/>
      <c r="J272" s="67"/>
      <c r="K272" s="68"/>
      <c r="L272" s="104"/>
      <c r="M272" s="104"/>
      <c r="N272" s="104"/>
      <c r="O272" s="104"/>
      <c r="P272" s="107" t="str">
        <f t="shared" si="1"/>
        <v/>
      </c>
      <c r="Q272" s="108" t="str">
        <f>IFERROR(IF(AND(Preferences!B$3="Manual",OR(AX272/AW272&gt;G272/F272,BD272="Serious",BD272="Very serious")),"Assess imprecision",IFS(ISBLANK(E272),"",AND(Preferences!B$3="Automatic", G272/F272&gt;=30),"Extremely serious",AND(H272&lt;=$D$1*-1,J272&lt;0,G272/F272&lt;3),"Not serious",AND(H272&lt;=$D$1*-1,J272&lt;0,G272/F272&gt;=3),"Very serious",AND(H272&gt;=$D$1,I272&gt;0,G272/F272&lt;3),"Not serious",AND(H272&gt;=$D$1,I272&gt;0,G272/F272&gt;=3),"Very serious",AND(H272&lt;=$D$1*-1,J272&gt;0,I272&gt;$D$2*-1,G272/F272&lt;3),"Serious", AND(H272&lt;=$D$1*-1,J272&gt;0,I272&lt;$D$2*-1,G272/F272&lt;3),"Very serious", AND(H272&gt;=$D$1,I272&lt;0,J272&lt;$D$2,G272/F272&lt;3),"Serious",AND(H272&gt;=$D$1,I272&lt;0,J272&gt;$D$2,G272/F272&lt;3),"Very serious", AND(H272&lt;=$D$1*-1,J272&gt;0,I272&gt;$D$2*-1,G272/F272&gt;=3),"Very serious", AND(H272&lt;=$D$1*-1,J272&gt;0,I272&lt;$D$2*-1,G272/F272&gt;=3),"Very serious", AND(H272&gt;=$D$1,I272&lt;0,J272&lt;$D$2,G272/F272&gt;=3),"Very serious", AND(H272&gt;=$D$1,I272&lt;0,J272&gt;$D$2,G272/F272&gt;=3),"Very serious", AND(H272&gt;$D$1*-1,H272&lt;$D$1,I272&gt;$D$1*-1,J272&lt;$D$1,G272/F272&lt;3),"Not serious", AND(H272&gt;$D$1*-1,H272&lt;$D$1,OR(I272&lt;=$D$1*-1,J272&gt;=$D$1),I272&gt;$D$2*-1,J272&lt;$D$2,G272/F272&lt;3),"Serious", AND(H272&gt;$D$1*-1,H272&lt;$D$1,OR(I272&lt;=$D$2*-1,J272&gt;=$D$2),G272/F272&lt;3),"Very serious", AND(H272&gt;$D$1*-1,H272&lt;$D$1,I272&gt;$D$1*-1,J272&lt;$D$1,G272/F272&gt;=3),"Very serious", AND(H272&gt;$D$1*-1,H272&lt;$D$1,OR(I272&lt;=$D$1*-1,J272&gt;=$D$1),I272&gt;$D$2*-1,J272&lt;$D$2,G272/F272&gt;=3),"Very serious", AND(H272&gt;$D$1*-1,H272&lt;$D$1,OR(I272&lt;=$D$2*-1,J272&gt;=$D$2),G272/F272&gt;=3),"Very serious")),"")</f>
        <v/>
      </c>
      <c r="R272" s="109" t="str">
        <f t="shared" si="47"/>
        <v/>
      </c>
      <c r="S272" s="64"/>
      <c r="T272" s="72"/>
      <c r="U272" s="72"/>
      <c r="V272" s="72"/>
      <c r="W272" s="73"/>
      <c r="X272" s="73"/>
      <c r="Y272" s="74"/>
      <c r="Z272" s="113" t="str">
        <f t="array" ref="Z272">INDEX($A$1:$C$500, MATCH(1,($B:$B=$B272)*($C:$C=$AB272),0),1)</f>
        <v/>
      </c>
      <c r="AA272" s="113" t="str">
        <f t="array" ref="AA272">INDEX($A$1:$C$500, MATCH(1,($B:$B=$AB272)*($C:$C=$B272),0),1)</f>
        <v/>
      </c>
      <c r="AB272" s="111"/>
      <c r="AC272" s="114" t="str">
        <f t="shared" si="2"/>
        <v/>
      </c>
      <c r="AD272" s="115" t="str">
        <f t="shared" si="3"/>
        <v/>
      </c>
      <c r="AE272" s="116" t="str">
        <f t="array" ref="AE272">INDEX($A$1:$C$500, MATCH(1,($B:$B=$AB272)*($C:$C=$AG272),0),1)</f>
        <v/>
      </c>
      <c r="AF272" s="116" t="str">
        <f t="array" ref="AF272">INDEX($A$1:$C$500, MATCH(1,($B:$B=$AG272)*($C:$C=$AB272),0),1)</f>
        <v/>
      </c>
      <c r="AG272" s="72"/>
      <c r="AH272" s="114" t="str">
        <f t="shared" si="4"/>
        <v/>
      </c>
      <c r="AI272" s="115" t="str">
        <f t="shared" si="5"/>
        <v/>
      </c>
      <c r="AJ272" s="116" t="str">
        <f t="array" ref="AJ272">INDEX($A$1:$C$500, MATCH(1,($B:$B=$C272)*($C:$C=$AG272),0),1)</f>
        <v/>
      </c>
      <c r="AK272" s="116" t="str">
        <f t="array" ref="AK272">INDEX($A$1:$C$500, MATCH(1,($B:$B=$AG272)*($C:$C=$C272),0),1)</f>
        <v/>
      </c>
      <c r="AL272" s="116" t="str">
        <f t="array" ref="AL272">INDEX($A$1:$C$500, MATCH(1,($B:$B=$C272)*($C:$C=$AB272),0),1)</f>
        <v/>
      </c>
      <c r="AM272" s="116" t="str">
        <f t="array" ref="AM272">INDEX($A$1:$C$500, MATCH(1,($B:$B=$AB272)*($C:$C=$C272),0),1)</f>
        <v/>
      </c>
      <c r="AN272" s="114" t="str">
        <f t="array" ref="AN272">IFS(ISNUMBER(AJ272),AJ272,ISNUMBER(AK272),AK272,ISNUMBER(AL272),AL272,ISNUMBER(AM272),AM272)</f>
        <v>#N/A</v>
      </c>
      <c r="AO272" s="115" t="str">
        <f t="shared" si="6"/>
        <v/>
      </c>
      <c r="AP272" s="115" t="str">
        <f t="shared" si="7"/>
        <v/>
      </c>
      <c r="AQ272" s="111"/>
      <c r="AR272" s="109" t="str">
        <f t="shared" si="8"/>
        <v/>
      </c>
      <c r="AS272" s="72" t="str">
        <f>IFERROR(IF(AND(Preferences!B$3="Manual",OR(AX272/AW272&gt;V272/U272,BD272="Serious",BD272="Very serious")),"Assess imprecision",IFERROR(IFS(AND(Preferences!B$3="Automatic",V272/U272&gt;=30),"Extremely serious",AND(W272&lt;=$D$1*-1,Y272&lt;0,V272/U272&lt;3),"Not Serious",AND(W272&lt;=$D$1*-1,Y272&lt;0,V272/U272&gt;=3),"Very serious",AND(W272&gt;=$D$1,X272&gt;0,V272/U272&lt;3),"Not Serious",AND(W272&gt;=$D$1,X272&gt;0,V272/U272&gt;=3),"Very serious",AND(W272&lt;=$D$1*-1,Y272&gt;0,X272&gt;$D$2*-1,V272/U272&lt;3),"Serious", AND(W272&lt;=$D$1*-1,Y272&gt;0,X272&lt;$D$2*-1,V272/U272&lt;3),"Very serious", AND(W272&gt;=$D$1,X272&lt;0,Y272&lt;$D$2,V272/U272&lt;3),"Serious",AND(W272&gt;=$D$1,X272&lt;0,Y272&gt;$D$2,V272/U272&lt;3),"Very serious", AND(W272&lt;=$D$1*-1,Y272&gt;0,X272&gt;$D$2*-1,V272/U272&gt;=3),"Very serious", AND(W272&lt;=$D$1*-1,Y272&gt;0,X272&lt;$D$2*-1,V272/U272&gt;=3),"Very serious", AND(W272&gt;=$D$1,X272&lt;0,Y272&lt;$D$2,V272/U272&gt;=3),"Very serious", AND(W272&gt;=$D$1,X272&lt;0,Y272&gt;$D$2,V272/U272&gt;=3),"Very serious", AND(W272&gt;$D$1*-1,W272&lt;$D$1,X272&gt;$D$1*-1,Y272&lt;$D$1,V272/U272&lt;3),"Not Serious", AND(W272&gt;$D$1*-1,W272&lt;$D$1,OR(X272&lt;=$D$1*-1,Y272&gt;=$D$1),X272&gt;$D$2*-1,Y272&lt;$D$2,V272/U272&lt;3),"Serious", AND(W272&gt;$D$1*-1,W272&lt;$D$1,OR(X272&lt;=$D$2*-1,Y272&gt;=$D$2),V272/U272&lt;3),"Very serious", AND(W272&gt;$D$1*-1,W272&lt;$D$1,X272&gt;$D$1*-1,Y272&lt;$D$1,V272/U272&gt;=3),"Very serious", AND(W272&gt;$D$1*-1,W272&lt;$D$1,OR(X272&lt;=$D$1*-1,Y272&gt;=$D$1),X272&gt;$D$2*-1,Y272&lt;$D$2,V272/U272&gt;=3),"Very serious", AND(W272&gt;$D$1*-1,W272&lt;$D$1,OR(X272&lt;=$D$2*-1,Y272&gt;=$D$2),V272/U272&gt;=3),"Very serious"),"")),"")</f>
        <v/>
      </c>
      <c r="AT272" s="109" t="str">
        <f t="shared" si="9"/>
        <v/>
      </c>
      <c r="AU272" s="64"/>
      <c r="AV272" s="83"/>
      <c r="AW272" s="83"/>
      <c r="AX272" s="83"/>
      <c r="AY272" s="83"/>
      <c r="AZ272" s="83"/>
      <c r="BA272" s="85"/>
      <c r="BB272" s="86" t="str">
        <f>IF(Preferences!B$9="Manual","",IFS(ISBLANK(B272),"",AND(ISNUMBER(E272)=TRUE,ISNUMBER(T272)=FALSE),"Direct", AND(ISNUMBER(E272)=FALSE,ISNUMBER(T272)=TRUE),"Indirect", CN272=4,"Direct",AND(CL272=FALSE, CM272=TRUE,CN272-CO272&gt;-1),"Direct", AND(CL272=FALSE,CM272=TRUE, CN272-CO272&lt;0),"Check algorithm in appendix 2", AND(CL272=TRUE, CM272=FALSE,CN272-CO272&gt;0),"Check algorithm in appendix 2", AND(CL272=TRUE, CM272=FALSE,CN272-CO272=0),"Indirect", AND(CL272=TRUE, CM272=FALSE,CN272-CO272&lt;0),"Indirect", AND(CL272=FALSE,CM272=FALSE,CN272-CO272&gt;-1),"Direct", AND(CL272=FALSE,CM272=FALSE,CN272-CO272&lt;0),"Check algorithm in appendix 2", AND(CL272=TRUE,CM272=TRUE,CN272-CO272&gt;-1),"Direct", AND(CL272=TRUE,CM272=TRUE,CN272-CO272&lt;0),"Check algorithm in appendix 2"))</f>
        <v/>
      </c>
      <c r="BC272" s="120" t="str">
        <f t="shared" si="10"/>
        <v/>
      </c>
      <c r="BD272" s="140"/>
      <c r="BE272" s="122" t="str">
        <f>IF(Preferences!B$3="Manual","", IFERROR(IFS(AND(Preferences!B$3="Automatic",AX272/AW272&gt;=30),"Extremely serious",AND(AY272&lt;=$D$1*-1,BA272&lt;0,AX272/AW272&lt;3),"Not Serious",AND(AY272&lt;=$D$1*-1,BA272&lt;0,AX272/AW272&gt;=3),"Very serious",AND(AY272&gt;=$D$1,AZ272&gt;0,AX272/AW272&lt;3),"Not Serious",AND(AY272&gt;=$D$1,AZ272&gt;0,AX272/AW272&gt;=3),"Very serious",AND(AY272&lt;=$D$1*-1,BA272&gt;0,AZ272&gt;$D$2*-1,AX272/AW272&lt;3),"Serious", AND(AY272&lt;=$D$1*-1,BA272&gt;0,AZ272&lt;$D$2*-1,AX272/AW272&lt;3),"Very serious", AND(AY272&gt;=$D$1,AZ272&lt;0,BA272&lt;$D$2,AX272/AW272&lt;3),"Serious",AND(AY272&gt;=$D$1,AZ272&lt;0,BA272&gt;$D$2,AX272/AW272&lt;3),"Very serious", AND(AY272&lt;=$D$1*-1,BA272&gt;0,AZ272&gt;$D$2*-1,AX272/AW272&gt;=3),"Very serious", AND(AY272&lt;=$D$1*-1,BA272&gt;0,AZ272&lt;$D$2*-1,AX272/AW272&gt;=3),"Very serious", AND(AY272&gt;=$D$1,AZ272&lt;0,BA272&lt;$D$2,AX272/AW272&gt;=3),"Very serious", AND(AY272&gt;=$D$1,AZ272&lt;0,BA272&gt;$D$2,AX272/AW272&gt;=3),"Very serious", AND(AY272&gt;$D$1*-1,AY272&lt;$D$1,AZ272&gt;$D$1*-1,BA272&lt;$D$1,AX272/AW272&lt;3),"Not Serious", AND(AY272&gt;$D$1*-1,AY272&lt;$D$1,OR(AZ272&lt;=$D$1*-1,BA272&gt;=$D$1),AZ272&gt;$D$2*-1,BA272&lt;$D$2,AX272/AW272&lt;3),"Serious", AND(AY272&gt;$D$1*-1,AY272&lt;$D$1,OR(AZ272&lt;=$D$2*-1,BA272&gt;=$D$2),AX272/AW272&lt;3),"Very serious", AND(AY272&gt;$D$1*-1,AY272&lt;$D$1,AZ272&gt;$D$1*-1,BA272&lt;$D$1,AX272/AW272&gt;=3),"Very serious", AND(AY272&gt;$D$1*-1,AY272&lt;$D$1,OR(AZ272&lt;=$D$1*-1,BA272&gt;=$D$1),AZ272&gt;$D$2*-1,BA272&lt;$D$2,AX272/AW272&gt;=3),"Very serious", AND(AY272&gt;$D$1*-1,AY272&lt;$D$1,OR(AZ272&lt;=$D$2*-1,BA272&gt;=$D$2),AX272/AW272&gt;=3),"Very serious"),""))</f>
        <v/>
      </c>
      <c r="BF272" s="107" t="str">
        <f t="shared" si="11"/>
        <v/>
      </c>
      <c r="BG272" s="94" t="str">
        <f t="shared" si="46"/>
        <v/>
      </c>
      <c r="BH272" s="64" t="str">
        <f t="shared" si="12"/>
        <v>#N/A</v>
      </c>
      <c r="BI272" s="64" t="str">
        <f t="shared" si="13"/>
        <v/>
      </c>
      <c r="BJ272" s="123" t="str">
        <f t="shared" si="14"/>
        <v>#N/A</v>
      </c>
      <c r="BK272" s="64" t="str">
        <f t="shared" si="50"/>
        <v>YES</v>
      </c>
      <c r="BL272" s="64" t="str">
        <f t="shared" si="16"/>
        <v>YES</v>
      </c>
      <c r="BM272" s="64" t="str">
        <f t="shared" si="17"/>
        <v>YES</v>
      </c>
      <c r="BN272" s="124" t="str">
        <f t="shared" si="18"/>
        <v/>
      </c>
      <c r="BO272" s="91" t="str">
        <f t="shared" si="19"/>
        <v/>
      </c>
      <c r="BP272" s="91" t="str">
        <f t="shared" si="20"/>
        <v>#N/A</v>
      </c>
      <c r="BQ272" s="91" t="str">
        <f t="shared" si="21"/>
        <v/>
      </c>
      <c r="BR272" s="93" t="str">
        <f t="shared" si="22"/>
        <v/>
      </c>
      <c r="BS272" s="90" t="str">
        <f t="shared" si="23"/>
        <v/>
      </c>
      <c r="BT272" s="93" t="str">
        <f t="shared" si="24"/>
        <v>NA</v>
      </c>
      <c r="BU272" s="125" t="str">
        <f t="shared" si="25"/>
        <v>#N/A</v>
      </c>
      <c r="BV272" s="93" t="str">
        <f t="shared" si="26"/>
        <v/>
      </c>
      <c r="BW272" s="93" t="str">
        <f t="shared" si="27"/>
        <v/>
      </c>
      <c r="BX272" s="93" t="str">
        <f t="shared" si="28"/>
        <v>NA</v>
      </c>
      <c r="BY272" s="95" t="str">
        <f t="shared" si="29"/>
        <v>#N/A</v>
      </c>
      <c r="BZ272" s="93" t="str">
        <f t="shared" si="30"/>
        <v/>
      </c>
      <c r="CA272" s="93" t="str">
        <f t="shared" si="31"/>
        <v/>
      </c>
      <c r="CB272" s="93" t="str">
        <f t="shared" si="32"/>
        <v>NA</v>
      </c>
      <c r="CC272" s="96" t="str">
        <f t="shared" si="33"/>
        <v>#N/A</v>
      </c>
      <c r="CD272" s="93" t="str">
        <f t="shared" si="34"/>
        <v/>
      </c>
      <c r="CE272" s="93" t="str">
        <f t="shared" si="35"/>
        <v/>
      </c>
      <c r="CF272" s="93" t="str">
        <f t="shared" si="36"/>
        <v>NA</v>
      </c>
      <c r="CG272" s="97" t="str">
        <f t="shared" si="37"/>
        <v>#N/A</v>
      </c>
      <c r="CH272" s="98" t="str">
        <f t="shared" si="38"/>
        <v>#N/A</v>
      </c>
      <c r="CI272" s="99" t="str">
        <f t="shared" si="39"/>
        <v>#N/A</v>
      </c>
      <c r="CJ272" s="126" t="str">
        <f t="shared" si="40"/>
        <v>ERROR: check cell</v>
      </c>
      <c r="CK272" s="126"/>
      <c r="CL272" s="127" t="str">
        <f t="shared" si="41"/>
        <v>#DIV/0!</v>
      </c>
      <c r="CM272" s="128" t="str">
        <f t="shared" si="42"/>
        <v>#DIV/0!</v>
      </c>
      <c r="CN272" s="128">
        <f t="shared" si="43"/>
        <v>4</v>
      </c>
      <c r="CO272" s="129">
        <f t="shared" si="44"/>
        <v>4</v>
      </c>
      <c r="CP272" s="129" t="str">
        <f>IFS(C272=Preferences!B$13,B272,B272=Preferences!B$13,C272)</f>
        <v>#N/A</v>
      </c>
    </row>
    <row r="273" ht="13.5" customHeight="1">
      <c r="A273" s="63" t="str">
        <f t="shared" si="45"/>
        <v/>
      </c>
      <c r="B273" s="64"/>
      <c r="C273" s="64"/>
      <c r="D273" s="64"/>
      <c r="E273" s="65"/>
      <c r="F273" s="65"/>
      <c r="G273" s="65"/>
      <c r="H273" s="66"/>
      <c r="I273" s="66"/>
      <c r="J273" s="67"/>
      <c r="K273" s="68"/>
      <c r="L273" s="104"/>
      <c r="M273" s="104"/>
      <c r="N273" s="104"/>
      <c r="O273" s="104"/>
      <c r="P273" s="107" t="str">
        <f t="shared" si="1"/>
        <v/>
      </c>
      <c r="Q273" s="108" t="str">
        <f>IFERROR(IF(AND(Preferences!B$3="Manual",OR(AX273/AW273&gt;G273/F273,BD273="Serious",BD273="Very serious")),"Assess imprecision",IFS(ISBLANK(E273),"",AND(Preferences!B$3="Automatic", G273/F273&gt;=30),"Extremely serious",AND(H273&lt;=$D$1*-1,J273&lt;0,G273/F273&lt;3),"Not serious",AND(H273&lt;=$D$1*-1,J273&lt;0,G273/F273&gt;=3),"Very serious",AND(H273&gt;=$D$1,I273&gt;0,G273/F273&lt;3),"Not serious",AND(H273&gt;=$D$1,I273&gt;0,G273/F273&gt;=3),"Very serious",AND(H273&lt;=$D$1*-1,J273&gt;0,I273&gt;$D$2*-1,G273/F273&lt;3),"Serious", AND(H273&lt;=$D$1*-1,J273&gt;0,I273&lt;$D$2*-1,G273/F273&lt;3),"Very serious", AND(H273&gt;=$D$1,I273&lt;0,J273&lt;$D$2,G273/F273&lt;3),"Serious",AND(H273&gt;=$D$1,I273&lt;0,J273&gt;$D$2,G273/F273&lt;3),"Very serious", AND(H273&lt;=$D$1*-1,J273&gt;0,I273&gt;$D$2*-1,G273/F273&gt;=3),"Very serious", AND(H273&lt;=$D$1*-1,J273&gt;0,I273&lt;$D$2*-1,G273/F273&gt;=3),"Very serious", AND(H273&gt;=$D$1,I273&lt;0,J273&lt;$D$2,G273/F273&gt;=3),"Very serious", AND(H273&gt;=$D$1,I273&lt;0,J273&gt;$D$2,G273/F273&gt;=3),"Very serious", AND(H273&gt;$D$1*-1,H273&lt;$D$1,I273&gt;$D$1*-1,J273&lt;$D$1,G273/F273&lt;3),"Not serious", AND(H273&gt;$D$1*-1,H273&lt;$D$1,OR(I273&lt;=$D$1*-1,J273&gt;=$D$1),I273&gt;$D$2*-1,J273&lt;$D$2,G273/F273&lt;3),"Serious", AND(H273&gt;$D$1*-1,H273&lt;$D$1,OR(I273&lt;=$D$2*-1,J273&gt;=$D$2),G273/F273&lt;3),"Very serious", AND(H273&gt;$D$1*-1,H273&lt;$D$1,I273&gt;$D$1*-1,J273&lt;$D$1,G273/F273&gt;=3),"Very serious", AND(H273&gt;$D$1*-1,H273&lt;$D$1,OR(I273&lt;=$D$1*-1,J273&gt;=$D$1),I273&gt;$D$2*-1,J273&lt;$D$2,G273/F273&gt;=3),"Very serious", AND(H273&gt;$D$1*-1,H273&lt;$D$1,OR(I273&lt;=$D$2*-1,J273&gt;=$D$2),G273/F273&gt;=3),"Very serious")),"")</f>
        <v/>
      </c>
      <c r="R273" s="109" t="str">
        <f t="shared" si="47"/>
        <v/>
      </c>
      <c r="S273" s="64"/>
      <c r="T273" s="72"/>
      <c r="U273" s="72"/>
      <c r="V273" s="72"/>
      <c r="W273" s="73"/>
      <c r="X273" s="73"/>
      <c r="Y273" s="74"/>
      <c r="Z273" s="113" t="str">
        <f t="array" ref="Z273">INDEX($A$1:$C$500, MATCH(1,($B:$B=$B273)*($C:$C=$AB273),0),1)</f>
        <v/>
      </c>
      <c r="AA273" s="113" t="str">
        <f t="array" ref="AA273">INDEX($A$1:$C$500, MATCH(1,($B:$B=$AB273)*($C:$C=$B273),0),1)</f>
        <v/>
      </c>
      <c r="AB273" s="111"/>
      <c r="AC273" s="114" t="str">
        <f t="shared" si="2"/>
        <v/>
      </c>
      <c r="AD273" s="115" t="str">
        <f t="shared" si="3"/>
        <v/>
      </c>
      <c r="AE273" s="116" t="str">
        <f t="array" ref="AE273">INDEX($A$1:$C$500, MATCH(1,($B:$B=$AB273)*($C:$C=$AG273),0),1)</f>
        <v/>
      </c>
      <c r="AF273" s="116" t="str">
        <f t="array" ref="AF273">INDEX($A$1:$C$500, MATCH(1,($B:$B=$AG273)*($C:$C=$AB273),0),1)</f>
        <v/>
      </c>
      <c r="AG273" s="72"/>
      <c r="AH273" s="114" t="str">
        <f t="shared" si="4"/>
        <v/>
      </c>
      <c r="AI273" s="115" t="str">
        <f t="shared" si="5"/>
        <v/>
      </c>
      <c r="AJ273" s="116" t="str">
        <f t="array" ref="AJ273">INDEX($A$1:$C$500, MATCH(1,($B:$B=$C273)*($C:$C=$AG273),0),1)</f>
        <v/>
      </c>
      <c r="AK273" s="116" t="str">
        <f t="array" ref="AK273">INDEX($A$1:$C$500, MATCH(1,($B:$B=$AG273)*($C:$C=$C273),0),1)</f>
        <v/>
      </c>
      <c r="AL273" s="116" t="str">
        <f t="array" ref="AL273">INDEX($A$1:$C$500, MATCH(1,($B:$B=$C273)*($C:$C=$AB273),0),1)</f>
        <v/>
      </c>
      <c r="AM273" s="116" t="str">
        <f t="array" ref="AM273">INDEX($A$1:$C$500, MATCH(1,($B:$B=$AB273)*($C:$C=$C273),0),1)</f>
        <v/>
      </c>
      <c r="AN273" s="114" t="str">
        <f t="array" ref="AN273">IFS(ISNUMBER(AJ273),AJ273,ISNUMBER(AK273),AK273,ISNUMBER(AL273),AL273,ISNUMBER(AM273),AM273)</f>
        <v>#N/A</v>
      </c>
      <c r="AO273" s="115" t="str">
        <f t="shared" si="6"/>
        <v/>
      </c>
      <c r="AP273" s="115" t="str">
        <f t="shared" si="7"/>
        <v/>
      </c>
      <c r="AQ273" s="111"/>
      <c r="AR273" s="109" t="str">
        <f t="shared" si="8"/>
        <v/>
      </c>
      <c r="AS273" s="72" t="str">
        <f>IFERROR(IF(AND(Preferences!B$3="Manual",OR(AX273/AW273&gt;V273/U273,BD273="Serious",BD273="Very serious")),"Assess imprecision",IFERROR(IFS(AND(Preferences!B$3="Automatic",V273/U273&gt;=30),"Extremely serious",AND(W273&lt;=$D$1*-1,Y273&lt;0,V273/U273&lt;3),"Not Serious",AND(W273&lt;=$D$1*-1,Y273&lt;0,V273/U273&gt;=3),"Very serious",AND(W273&gt;=$D$1,X273&gt;0,V273/U273&lt;3),"Not Serious",AND(W273&gt;=$D$1,X273&gt;0,V273/U273&gt;=3),"Very serious",AND(W273&lt;=$D$1*-1,Y273&gt;0,X273&gt;$D$2*-1,V273/U273&lt;3),"Serious", AND(W273&lt;=$D$1*-1,Y273&gt;0,X273&lt;$D$2*-1,V273/U273&lt;3),"Very serious", AND(W273&gt;=$D$1,X273&lt;0,Y273&lt;$D$2,V273/U273&lt;3),"Serious",AND(W273&gt;=$D$1,X273&lt;0,Y273&gt;$D$2,V273/U273&lt;3),"Very serious", AND(W273&lt;=$D$1*-1,Y273&gt;0,X273&gt;$D$2*-1,V273/U273&gt;=3),"Very serious", AND(W273&lt;=$D$1*-1,Y273&gt;0,X273&lt;$D$2*-1,V273/U273&gt;=3),"Very serious", AND(W273&gt;=$D$1,X273&lt;0,Y273&lt;$D$2,V273/U273&gt;=3),"Very serious", AND(W273&gt;=$D$1,X273&lt;0,Y273&gt;$D$2,V273/U273&gt;=3),"Very serious", AND(W273&gt;$D$1*-1,W273&lt;$D$1,X273&gt;$D$1*-1,Y273&lt;$D$1,V273/U273&lt;3),"Not Serious", AND(W273&gt;$D$1*-1,W273&lt;$D$1,OR(X273&lt;=$D$1*-1,Y273&gt;=$D$1),X273&gt;$D$2*-1,Y273&lt;$D$2,V273/U273&lt;3),"Serious", AND(W273&gt;$D$1*-1,W273&lt;$D$1,OR(X273&lt;=$D$2*-1,Y273&gt;=$D$2),V273/U273&lt;3),"Very serious", AND(W273&gt;$D$1*-1,W273&lt;$D$1,X273&gt;$D$1*-1,Y273&lt;$D$1,V273/U273&gt;=3),"Very serious", AND(W273&gt;$D$1*-1,W273&lt;$D$1,OR(X273&lt;=$D$1*-1,Y273&gt;=$D$1),X273&gt;$D$2*-1,Y273&lt;$D$2,V273/U273&gt;=3),"Very serious", AND(W273&gt;$D$1*-1,W273&lt;$D$1,OR(X273&lt;=$D$2*-1,Y273&gt;=$D$2),V273/U273&gt;=3),"Very serious"),"")),"")</f>
        <v/>
      </c>
      <c r="AT273" s="109" t="str">
        <f t="shared" si="9"/>
        <v/>
      </c>
      <c r="AU273" s="64"/>
      <c r="AV273" s="83"/>
      <c r="AW273" s="83"/>
      <c r="AX273" s="83"/>
      <c r="AY273" s="83"/>
      <c r="AZ273" s="83"/>
      <c r="BA273" s="85"/>
      <c r="BB273" s="86" t="str">
        <f>IF(Preferences!B$9="Manual","",IFS(ISBLANK(B273),"",AND(ISNUMBER(E273)=TRUE,ISNUMBER(T273)=FALSE),"Direct", AND(ISNUMBER(E273)=FALSE,ISNUMBER(T273)=TRUE),"Indirect", CN273=4,"Direct",AND(CL273=FALSE, CM273=TRUE,CN273-CO273&gt;-1),"Direct", AND(CL273=FALSE,CM273=TRUE, CN273-CO273&lt;0),"Check algorithm in appendix 2", AND(CL273=TRUE, CM273=FALSE,CN273-CO273&gt;0),"Check algorithm in appendix 2", AND(CL273=TRUE, CM273=FALSE,CN273-CO273=0),"Indirect", AND(CL273=TRUE, CM273=FALSE,CN273-CO273&lt;0),"Indirect", AND(CL273=FALSE,CM273=FALSE,CN273-CO273&gt;-1),"Direct", AND(CL273=FALSE,CM273=FALSE,CN273-CO273&lt;0),"Check algorithm in appendix 2", AND(CL273=TRUE,CM273=TRUE,CN273-CO273&gt;-1),"Direct", AND(CL273=TRUE,CM273=TRUE,CN273-CO273&lt;0),"Check algorithm in appendix 2"))</f>
        <v/>
      </c>
      <c r="BC273" s="120" t="str">
        <f t="shared" si="10"/>
        <v/>
      </c>
      <c r="BD273" s="140"/>
      <c r="BE273" s="122" t="str">
        <f>IF(Preferences!B$3="Manual","", IFERROR(IFS(AND(Preferences!B$3="Automatic",AX273/AW273&gt;=30),"Extremely serious",AND(AY273&lt;=$D$1*-1,BA273&lt;0,AX273/AW273&lt;3),"Not Serious",AND(AY273&lt;=$D$1*-1,BA273&lt;0,AX273/AW273&gt;=3),"Very serious",AND(AY273&gt;=$D$1,AZ273&gt;0,AX273/AW273&lt;3),"Not Serious",AND(AY273&gt;=$D$1,AZ273&gt;0,AX273/AW273&gt;=3),"Very serious",AND(AY273&lt;=$D$1*-1,BA273&gt;0,AZ273&gt;$D$2*-1,AX273/AW273&lt;3),"Serious", AND(AY273&lt;=$D$1*-1,BA273&gt;0,AZ273&lt;$D$2*-1,AX273/AW273&lt;3),"Very serious", AND(AY273&gt;=$D$1,AZ273&lt;0,BA273&lt;$D$2,AX273/AW273&lt;3),"Serious",AND(AY273&gt;=$D$1,AZ273&lt;0,BA273&gt;$D$2,AX273/AW273&lt;3),"Very serious", AND(AY273&lt;=$D$1*-1,BA273&gt;0,AZ273&gt;$D$2*-1,AX273/AW273&gt;=3),"Very serious", AND(AY273&lt;=$D$1*-1,BA273&gt;0,AZ273&lt;$D$2*-1,AX273/AW273&gt;=3),"Very serious", AND(AY273&gt;=$D$1,AZ273&lt;0,BA273&lt;$D$2,AX273/AW273&gt;=3),"Very serious", AND(AY273&gt;=$D$1,AZ273&lt;0,BA273&gt;$D$2,AX273/AW273&gt;=3),"Very serious", AND(AY273&gt;$D$1*-1,AY273&lt;$D$1,AZ273&gt;$D$1*-1,BA273&lt;$D$1,AX273/AW273&lt;3),"Not Serious", AND(AY273&gt;$D$1*-1,AY273&lt;$D$1,OR(AZ273&lt;=$D$1*-1,BA273&gt;=$D$1),AZ273&gt;$D$2*-1,BA273&lt;$D$2,AX273/AW273&lt;3),"Serious", AND(AY273&gt;$D$1*-1,AY273&lt;$D$1,OR(AZ273&lt;=$D$2*-1,BA273&gt;=$D$2),AX273/AW273&lt;3),"Very serious", AND(AY273&gt;$D$1*-1,AY273&lt;$D$1,AZ273&gt;$D$1*-1,BA273&lt;$D$1,AX273/AW273&gt;=3),"Very serious", AND(AY273&gt;$D$1*-1,AY273&lt;$D$1,OR(AZ273&lt;=$D$1*-1,BA273&gt;=$D$1),AZ273&gt;$D$2*-1,BA273&lt;$D$2,AX273/AW273&gt;=3),"Very serious", AND(AY273&gt;$D$1*-1,AY273&lt;$D$1,OR(AZ273&lt;=$D$2*-1,BA273&gt;=$D$2),AX273/AW273&gt;=3),"Very serious"),""))</f>
        <v/>
      </c>
      <c r="BF273" s="107" t="str">
        <f t="shared" si="11"/>
        <v/>
      </c>
      <c r="BG273" s="94" t="str">
        <f t="shared" si="46"/>
        <v/>
      </c>
      <c r="BH273" s="64" t="str">
        <f t="shared" si="12"/>
        <v>#N/A</v>
      </c>
      <c r="BI273" s="64" t="str">
        <f t="shared" si="13"/>
        <v/>
      </c>
      <c r="BJ273" s="123" t="str">
        <f t="shared" si="14"/>
        <v>#N/A</v>
      </c>
      <c r="BK273" s="64" t="str">
        <f t="shared" si="50"/>
        <v>YES</v>
      </c>
      <c r="BL273" s="64" t="str">
        <f t="shared" si="16"/>
        <v>YES</v>
      </c>
      <c r="BM273" s="64" t="str">
        <f t="shared" si="17"/>
        <v>YES</v>
      </c>
      <c r="BN273" s="124" t="str">
        <f t="shared" si="18"/>
        <v/>
      </c>
      <c r="BO273" s="91" t="str">
        <f t="shared" si="19"/>
        <v/>
      </c>
      <c r="BP273" s="91" t="str">
        <f t="shared" si="20"/>
        <v>#N/A</v>
      </c>
      <c r="BQ273" s="91" t="str">
        <f t="shared" si="21"/>
        <v/>
      </c>
      <c r="BR273" s="93" t="str">
        <f t="shared" si="22"/>
        <v/>
      </c>
      <c r="BS273" s="90" t="str">
        <f t="shared" si="23"/>
        <v/>
      </c>
      <c r="BT273" s="93" t="str">
        <f t="shared" si="24"/>
        <v>NA</v>
      </c>
      <c r="BU273" s="125" t="str">
        <f t="shared" si="25"/>
        <v>#N/A</v>
      </c>
      <c r="BV273" s="93" t="str">
        <f t="shared" si="26"/>
        <v/>
      </c>
      <c r="BW273" s="93" t="str">
        <f t="shared" si="27"/>
        <v/>
      </c>
      <c r="BX273" s="93" t="str">
        <f t="shared" si="28"/>
        <v>NA</v>
      </c>
      <c r="BY273" s="95" t="str">
        <f t="shared" si="29"/>
        <v>#N/A</v>
      </c>
      <c r="BZ273" s="93" t="str">
        <f t="shared" si="30"/>
        <v/>
      </c>
      <c r="CA273" s="93" t="str">
        <f t="shared" si="31"/>
        <v/>
      </c>
      <c r="CB273" s="93" t="str">
        <f t="shared" si="32"/>
        <v>NA</v>
      </c>
      <c r="CC273" s="96" t="str">
        <f t="shared" si="33"/>
        <v>#N/A</v>
      </c>
      <c r="CD273" s="93" t="str">
        <f t="shared" si="34"/>
        <v/>
      </c>
      <c r="CE273" s="93" t="str">
        <f t="shared" si="35"/>
        <v/>
      </c>
      <c r="CF273" s="93" t="str">
        <f t="shared" si="36"/>
        <v>NA</v>
      </c>
      <c r="CG273" s="97" t="str">
        <f t="shared" si="37"/>
        <v>#N/A</v>
      </c>
      <c r="CH273" s="98" t="str">
        <f t="shared" si="38"/>
        <v>#N/A</v>
      </c>
      <c r="CI273" s="99" t="str">
        <f t="shared" si="39"/>
        <v>#N/A</v>
      </c>
      <c r="CJ273" s="126" t="str">
        <f t="shared" si="40"/>
        <v>ERROR: check cell</v>
      </c>
      <c r="CK273" s="126"/>
      <c r="CL273" s="127" t="str">
        <f t="shared" si="41"/>
        <v>#DIV/0!</v>
      </c>
      <c r="CM273" s="128" t="str">
        <f t="shared" si="42"/>
        <v>#DIV/0!</v>
      </c>
      <c r="CN273" s="128">
        <f t="shared" si="43"/>
        <v>4</v>
      </c>
      <c r="CO273" s="129">
        <f t="shared" si="44"/>
        <v>4</v>
      </c>
      <c r="CP273" s="129" t="str">
        <f>IFS(C273=Preferences!B$13,B273,B273=Preferences!B$13,C273)</f>
        <v>#N/A</v>
      </c>
    </row>
    <row r="274" ht="13.5" customHeight="1">
      <c r="A274" s="63" t="str">
        <f t="shared" si="45"/>
        <v/>
      </c>
      <c r="B274" s="64"/>
      <c r="C274" s="64"/>
      <c r="D274" s="64"/>
      <c r="E274" s="65"/>
      <c r="F274" s="65"/>
      <c r="G274" s="65"/>
      <c r="H274" s="66"/>
      <c r="I274" s="66"/>
      <c r="J274" s="67"/>
      <c r="K274" s="68"/>
      <c r="L274" s="104"/>
      <c r="M274" s="104"/>
      <c r="N274" s="104"/>
      <c r="O274" s="104"/>
      <c r="P274" s="107" t="str">
        <f t="shared" si="1"/>
        <v/>
      </c>
      <c r="Q274" s="108" t="str">
        <f>IFERROR(IF(AND(Preferences!B$3="Manual",OR(AX274/AW274&gt;G274/F274,BD274="Serious",BD274="Very serious")),"Assess imprecision",IFS(ISBLANK(E274),"",AND(Preferences!B$3="Automatic", G274/F274&gt;=30),"Extremely serious",AND(H274&lt;=$D$1*-1,J274&lt;0,G274/F274&lt;3),"Not serious",AND(H274&lt;=$D$1*-1,J274&lt;0,G274/F274&gt;=3),"Very serious",AND(H274&gt;=$D$1,I274&gt;0,G274/F274&lt;3),"Not serious",AND(H274&gt;=$D$1,I274&gt;0,G274/F274&gt;=3),"Very serious",AND(H274&lt;=$D$1*-1,J274&gt;0,I274&gt;$D$2*-1,G274/F274&lt;3),"Serious", AND(H274&lt;=$D$1*-1,J274&gt;0,I274&lt;$D$2*-1,G274/F274&lt;3),"Very serious", AND(H274&gt;=$D$1,I274&lt;0,J274&lt;$D$2,G274/F274&lt;3),"Serious",AND(H274&gt;=$D$1,I274&lt;0,J274&gt;$D$2,G274/F274&lt;3),"Very serious", AND(H274&lt;=$D$1*-1,J274&gt;0,I274&gt;$D$2*-1,G274/F274&gt;=3),"Very serious", AND(H274&lt;=$D$1*-1,J274&gt;0,I274&lt;$D$2*-1,G274/F274&gt;=3),"Very serious", AND(H274&gt;=$D$1,I274&lt;0,J274&lt;$D$2,G274/F274&gt;=3),"Very serious", AND(H274&gt;=$D$1,I274&lt;0,J274&gt;$D$2,G274/F274&gt;=3),"Very serious", AND(H274&gt;$D$1*-1,H274&lt;$D$1,I274&gt;$D$1*-1,J274&lt;$D$1,G274/F274&lt;3),"Not serious", AND(H274&gt;$D$1*-1,H274&lt;$D$1,OR(I274&lt;=$D$1*-1,J274&gt;=$D$1),I274&gt;$D$2*-1,J274&lt;$D$2,G274/F274&lt;3),"Serious", AND(H274&gt;$D$1*-1,H274&lt;$D$1,OR(I274&lt;=$D$2*-1,J274&gt;=$D$2),G274/F274&lt;3),"Very serious", AND(H274&gt;$D$1*-1,H274&lt;$D$1,I274&gt;$D$1*-1,J274&lt;$D$1,G274/F274&gt;=3),"Very serious", AND(H274&gt;$D$1*-1,H274&lt;$D$1,OR(I274&lt;=$D$1*-1,J274&gt;=$D$1),I274&gt;$D$2*-1,J274&lt;$D$2,G274/F274&gt;=3),"Very serious", AND(H274&gt;$D$1*-1,H274&lt;$D$1,OR(I274&lt;=$D$2*-1,J274&gt;=$D$2),G274/F274&gt;=3),"Very serious")),"")</f>
        <v/>
      </c>
      <c r="R274" s="109" t="str">
        <f t="shared" si="47"/>
        <v/>
      </c>
      <c r="S274" s="64"/>
      <c r="T274" s="72"/>
      <c r="U274" s="72"/>
      <c r="V274" s="72"/>
      <c r="W274" s="73"/>
      <c r="X274" s="73"/>
      <c r="Y274" s="74"/>
      <c r="Z274" s="113" t="str">
        <f t="array" ref="Z274">INDEX($A$1:$C$500, MATCH(1,($B:$B=$B274)*($C:$C=$AB274),0),1)</f>
        <v/>
      </c>
      <c r="AA274" s="113" t="str">
        <f t="array" ref="AA274">INDEX($A$1:$C$500, MATCH(1,($B:$B=$AB274)*($C:$C=$B274),0),1)</f>
        <v/>
      </c>
      <c r="AB274" s="111"/>
      <c r="AC274" s="114" t="str">
        <f t="shared" si="2"/>
        <v/>
      </c>
      <c r="AD274" s="115" t="str">
        <f t="shared" si="3"/>
        <v/>
      </c>
      <c r="AE274" s="116" t="str">
        <f t="array" ref="AE274">INDEX($A$1:$C$500, MATCH(1,($B:$B=$AB274)*($C:$C=$AG274),0),1)</f>
        <v/>
      </c>
      <c r="AF274" s="116" t="str">
        <f t="array" ref="AF274">INDEX($A$1:$C$500, MATCH(1,($B:$B=$AG274)*($C:$C=$AB274),0),1)</f>
        <v/>
      </c>
      <c r="AG274" s="72"/>
      <c r="AH274" s="114" t="str">
        <f t="shared" si="4"/>
        <v/>
      </c>
      <c r="AI274" s="115" t="str">
        <f t="shared" si="5"/>
        <v/>
      </c>
      <c r="AJ274" s="116" t="str">
        <f t="array" ref="AJ274">INDEX($A$1:$C$500, MATCH(1,($B:$B=$C274)*($C:$C=$AG274),0),1)</f>
        <v/>
      </c>
      <c r="AK274" s="116" t="str">
        <f t="array" ref="AK274">INDEX($A$1:$C$500, MATCH(1,($B:$B=$AG274)*($C:$C=$C274),0),1)</f>
        <v/>
      </c>
      <c r="AL274" s="116" t="str">
        <f t="array" ref="AL274">INDEX($A$1:$C$500, MATCH(1,($B:$B=$C274)*($C:$C=$AB274),0),1)</f>
        <v/>
      </c>
      <c r="AM274" s="116" t="str">
        <f t="array" ref="AM274">INDEX($A$1:$C$500, MATCH(1,($B:$B=$AB274)*($C:$C=$C274),0),1)</f>
        <v/>
      </c>
      <c r="AN274" s="114" t="str">
        <f t="array" ref="AN274">IFS(ISNUMBER(AJ274),AJ274,ISNUMBER(AK274),AK274,ISNUMBER(AL274),AL274,ISNUMBER(AM274),AM274)</f>
        <v>#N/A</v>
      </c>
      <c r="AO274" s="115" t="str">
        <f t="shared" si="6"/>
        <v/>
      </c>
      <c r="AP274" s="115" t="str">
        <f t="shared" si="7"/>
        <v/>
      </c>
      <c r="AQ274" s="111"/>
      <c r="AR274" s="109" t="str">
        <f t="shared" si="8"/>
        <v/>
      </c>
      <c r="AS274" s="72" t="str">
        <f>IFERROR(IF(AND(Preferences!B$3="Manual",OR(AX274/AW274&gt;V274/U274,BD274="Serious",BD274="Very serious")),"Assess imprecision",IFERROR(IFS(AND(Preferences!B$3="Automatic",V274/U274&gt;=30),"Extremely serious",AND(W274&lt;=$D$1*-1,Y274&lt;0,V274/U274&lt;3),"Not Serious",AND(W274&lt;=$D$1*-1,Y274&lt;0,V274/U274&gt;=3),"Very serious",AND(W274&gt;=$D$1,X274&gt;0,V274/U274&lt;3),"Not Serious",AND(W274&gt;=$D$1,X274&gt;0,V274/U274&gt;=3),"Very serious",AND(W274&lt;=$D$1*-1,Y274&gt;0,X274&gt;$D$2*-1,V274/U274&lt;3),"Serious", AND(W274&lt;=$D$1*-1,Y274&gt;0,X274&lt;$D$2*-1,V274/U274&lt;3),"Very serious", AND(W274&gt;=$D$1,X274&lt;0,Y274&lt;$D$2,V274/U274&lt;3),"Serious",AND(W274&gt;=$D$1,X274&lt;0,Y274&gt;$D$2,V274/U274&lt;3),"Very serious", AND(W274&lt;=$D$1*-1,Y274&gt;0,X274&gt;$D$2*-1,V274/U274&gt;=3),"Very serious", AND(W274&lt;=$D$1*-1,Y274&gt;0,X274&lt;$D$2*-1,V274/U274&gt;=3),"Very serious", AND(W274&gt;=$D$1,X274&lt;0,Y274&lt;$D$2,V274/U274&gt;=3),"Very serious", AND(W274&gt;=$D$1,X274&lt;0,Y274&gt;$D$2,V274/U274&gt;=3),"Very serious", AND(W274&gt;$D$1*-1,W274&lt;$D$1,X274&gt;$D$1*-1,Y274&lt;$D$1,V274/U274&lt;3),"Not Serious", AND(W274&gt;$D$1*-1,W274&lt;$D$1,OR(X274&lt;=$D$1*-1,Y274&gt;=$D$1),X274&gt;$D$2*-1,Y274&lt;$D$2,V274/U274&lt;3),"Serious", AND(W274&gt;$D$1*-1,W274&lt;$D$1,OR(X274&lt;=$D$2*-1,Y274&gt;=$D$2),V274/U274&lt;3),"Very serious", AND(W274&gt;$D$1*-1,W274&lt;$D$1,X274&gt;$D$1*-1,Y274&lt;$D$1,V274/U274&gt;=3),"Very serious", AND(W274&gt;$D$1*-1,W274&lt;$D$1,OR(X274&lt;=$D$1*-1,Y274&gt;=$D$1),X274&gt;$D$2*-1,Y274&lt;$D$2,V274/U274&gt;=3),"Very serious", AND(W274&gt;$D$1*-1,W274&lt;$D$1,OR(X274&lt;=$D$2*-1,Y274&gt;=$D$2),V274/U274&gt;=3),"Very serious"),"")),"")</f>
        <v/>
      </c>
      <c r="AT274" s="109" t="str">
        <f t="shared" si="9"/>
        <v/>
      </c>
      <c r="AU274" s="64"/>
      <c r="AV274" s="83"/>
      <c r="AW274" s="83"/>
      <c r="AX274" s="83"/>
      <c r="AY274" s="83"/>
      <c r="AZ274" s="83"/>
      <c r="BA274" s="85"/>
      <c r="BB274" s="86" t="str">
        <f>IF(Preferences!B$9="Manual","",IFS(ISBLANK(B274),"",AND(ISNUMBER(E274)=TRUE,ISNUMBER(T274)=FALSE),"Direct", AND(ISNUMBER(E274)=FALSE,ISNUMBER(T274)=TRUE),"Indirect", CN274=4,"Direct",AND(CL274=FALSE, CM274=TRUE,CN274-CO274&gt;-1),"Direct", AND(CL274=FALSE,CM274=TRUE, CN274-CO274&lt;0),"Check algorithm in appendix 2", AND(CL274=TRUE, CM274=FALSE,CN274-CO274&gt;0),"Check algorithm in appendix 2", AND(CL274=TRUE, CM274=FALSE,CN274-CO274=0),"Indirect", AND(CL274=TRUE, CM274=FALSE,CN274-CO274&lt;0),"Indirect", AND(CL274=FALSE,CM274=FALSE,CN274-CO274&gt;-1),"Direct", AND(CL274=FALSE,CM274=FALSE,CN274-CO274&lt;0),"Check algorithm in appendix 2", AND(CL274=TRUE,CM274=TRUE,CN274-CO274&gt;-1),"Direct", AND(CL274=TRUE,CM274=TRUE,CN274-CO274&lt;0),"Check algorithm in appendix 2"))</f>
        <v/>
      </c>
      <c r="BC274" s="120" t="str">
        <f t="shared" si="10"/>
        <v/>
      </c>
      <c r="BD274" s="140"/>
      <c r="BE274" s="122" t="str">
        <f>IF(Preferences!B$3="Manual","", IFERROR(IFS(AND(Preferences!B$3="Automatic",AX274/AW274&gt;=30),"Extremely serious",AND(AY274&lt;=$D$1*-1,BA274&lt;0,AX274/AW274&lt;3),"Not Serious",AND(AY274&lt;=$D$1*-1,BA274&lt;0,AX274/AW274&gt;=3),"Very serious",AND(AY274&gt;=$D$1,AZ274&gt;0,AX274/AW274&lt;3),"Not Serious",AND(AY274&gt;=$D$1,AZ274&gt;0,AX274/AW274&gt;=3),"Very serious",AND(AY274&lt;=$D$1*-1,BA274&gt;0,AZ274&gt;$D$2*-1,AX274/AW274&lt;3),"Serious", AND(AY274&lt;=$D$1*-1,BA274&gt;0,AZ274&lt;$D$2*-1,AX274/AW274&lt;3),"Very serious", AND(AY274&gt;=$D$1,AZ274&lt;0,BA274&lt;$D$2,AX274/AW274&lt;3),"Serious",AND(AY274&gt;=$D$1,AZ274&lt;0,BA274&gt;$D$2,AX274/AW274&lt;3),"Very serious", AND(AY274&lt;=$D$1*-1,BA274&gt;0,AZ274&gt;$D$2*-1,AX274/AW274&gt;=3),"Very serious", AND(AY274&lt;=$D$1*-1,BA274&gt;0,AZ274&lt;$D$2*-1,AX274/AW274&gt;=3),"Very serious", AND(AY274&gt;=$D$1,AZ274&lt;0,BA274&lt;$D$2,AX274/AW274&gt;=3),"Very serious", AND(AY274&gt;=$D$1,AZ274&lt;0,BA274&gt;$D$2,AX274/AW274&gt;=3),"Very serious", AND(AY274&gt;$D$1*-1,AY274&lt;$D$1,AZ274&gt;$D$1*-1,BA274&lt;$D$1,AX274/AW274&lt;3),"Not Serious", AND(AY274&gt;$D$1*-1,AY274&lt;$D$1,OR(AZ274&lt;=$D$1*-1,BA274&gt;=$D$1),AZ274&gt;$D$2*-1,BA274&lt;$D$2,AX274/AW274&lt;3),"Serious", AND(AY274&gt;$D$1*-1,AY274&lt;$D$1,OR(AZ274&lt;=$D$2*-1,BA274&gt;=$D$2),AX274/AW274&lt;3),"Very serious", AND(AY274&gt;$D$1*-1,AY274&lt;$D$1,AZ274&gt;$D$1*-1,BA274&lt;$D$1,AX274/AW274&gt;=3),"Very serious", AND(AY274&gt;$D$1*-1,AY274&lt;$D$1,OR(AZ274&lt;=$D$1*-1,BA274&gt;=$D$1),AZ274&gt;$D$2*-1,BA274&lt;$D$2,AX274/AW274&gt;=3),"Very serious", AND(AY274&gt;$D$1*-1,AY274&lt;$D$1,OR(AZ274&lt;=$D$2*-1,BA274&gt;=$D$2),AX274/AW274&gt;=3),"Very serious"),""))</f>
        <v/>
      </c>
      <c r="BF274" s="107" t="str">
        <f t="shared" si="11"/>
        <v/>
      </c>
      <c r="BG274" s="94" t="str">
        <f t="shared" si="46"/>
        <v/>
      </c>
      <c r="BH274" s="64" t="str">
        <f t="shared" si="12"/>
        <v>#N/A</v>
      </c>
      <c r="BI274" s="64" t="str">
        <f t="shared" si="13"/>
        <v/>
      </c>
      <c r="BJ274" s="123" t="str">
        <f t="shared" si="14"/>
        <v>#N/A</v>
      </c>
      <c r="BK274" s="64" t="str">
        <f t="shared" si="50"/>
        <v>YES</v>
      </c>
      <c r="BL274" s="64" t="str">
        <f t="shared" si="16"/>
        <v>YES</v>
      </c>
      <c r="BM274" s="64" t="str">
        <f t="shared" si="17"/>
        <v>YES</v>
      </c>
      <c r="BN274" s="124" t="str">
        <f t="shared" si="18"/>
        <v/>
      </c>
      <c r="BO274" s="91" t="str">
        <f t="shared" si="19"/>
        <v/>
      </c>
      <c r="BP274" s="91" t="str">
        <f t="shared" si="20"/>
        <v>#N/A</v>
      </c>
      <c r="BQ274" s="91" t="str">
        <f t="shared" si="21"/>
        <v/>
      </c>
      <c r="BR274" s="93" t="str">
        <f t="shared" si="22"/>
        <v/>
      </c>
      <c r="BS274" s="90" t="str">
        <f t="shared" si="23"/>
        <v/>
      </c>
      <c r="BT274" s="93" t="str">
        <f t="shared" si="24"/>
        <v>NA</v>
      </c>
      <c r="BU274" s="125" t="str">
        <f t="shared" si="25"/>
        <v>#N/A</v>
      </c>
      <c r="BV274" s="93" t="str">
        <f t="shared" si="26"/>
        <v/>
      </c>
      <c r="BW274" s="93" t="str">
        <f t="shared" si="27"/>
        <v/>
      </c>
      <c r="BX274" s="93" t="str">
        <f t="shared" si="28"/>
        <v>NA</v>
      </c>
      <c r="BY274" s="95" t="str">
        <f t="shared" si="29"/>
        <v>#N/A</v>
      </c>
      <c r="BZ274" s="93" t="str">
        <f t="shared" si="30"/>
        <v/>
      </c>
      <c r="CA274" s="93" t="str">
        <f t="shared" si="31"/>
        <v/>
      </c>
      <c r="CB274" s="93" t="str">
        <f t="shared" si="32"/>
        <v>NA</v>
      </c>
      <c r="CC274" s="96" t="str">
        <f t="shared" si="33"/>
        <v>#N/A</v>
      </c>
      <c r="CD274" s="93" t="str">
        <f t="shared" si="34"/>
        <v/>
      </c>
      <c r="CE274" s="93" t="str">
        <f t="shared" si="35"/>
        <v/>
      </c>
      <c r="CF274" s="93" t="str">
        <f t="shared" si="36"/>
        <v>NA</v>
      </c>
      <c r="CG274" s="97" t="str">
        <f t="shared" si="37"/>
        <v>#N/A</v>
      </c>
      <c r="CH274" s="98" t="str">
        <f t="shared" si="38"/>
        <v>#N/A</v>
      </c>
      <c r="CI274" s="99" t="str">
        <f t="shared" si="39"/>
        <v>#N/A</v>
      </c>
      <c r="CJ274" s="126" t="str">
        <f t="shared" si="40"/>
        <v>ERROR: check cell</v>
      </c>
      <c r="CK274" s="126"/>
      <c r="CL274" s="127" t="str">
        <f t="shared" si="41"/>
        <v>#DIV/0!</v>
      </c>
      <c r="CM274" s="128" t="str">
        <f t="shared" si="42"/>
        <v>#DIV/0!</v>
      </c>
      <c r="CN274" s="128">
        <f t="shared" si="43"/>
        <v>4</v>
      </c>
      <c r="CO274" s="129">
        <f t="shared" si="44"/>
        <v>4</v>
      </c>
      <c r="CP274" s="129" t="str">
        <f>IFS(C274=Preferences!B$13,B274,B274=Preferences!B$13,C274)</f>
        <v>#N/A</v>
      </c>
    </row>
    <row r="275" ht="13.5" customHeight="1">
      <c r="A275" s="63" t="str">
        <f t="shared" si="45"/>
        <v/>
      </c>
      <c r="B275" s="64"/>
      <c r="C275" s="64"/>
      <c r="D275" s="64"/>
      <c r="E275" s="65"/>
      <c r="F275" s="65"/>
      <c r="G275" s="65"/>
      <c r="H275" s="66"/>
      <c r="I275" s="66"/>
      <c r="J275" s="67"/>
      <c r="K275" s="68"/>
      <c r="L275" s="104"/>
      <c r="M275" s="104"/>
      <c r="N275" s="104"/>
      <c r="O275" s="104"/>
      <c r="P275" s="107" t="str">
        <f t="shared" si="1"/>
        <v/>
      </c>
      <c r="Q275" s="108" t="str">
        <f>IFERROR(IF(AND(Preferences!B$3="Manual",OR(AX275/AW275&gt;G275/F275,BD275="Serious",BD275="Very serious")),"Assess imprecision",IFS(ISBLANK(E275),"",AND(Preferences!B$3="Automatic", G275/F275&gt;=30),"Extremely serious",AND(H275&lt;=$D$1*-1,J275&lt;0,G275/F275&lt;3),"Not serious",AND(H275&lt;=$D$1*-1,J275&lt;0,G275/F275&gt;=3),"Very serious",AND(H275&gt;=$D$1,I275&gt;0,G275/F275&lt;3),"Not serious",AND(H275&gt;=$D$1,I275&gt;0,G275/F275&gt;=3),"Very serious",AND(H275&lt;=$D$1*-1,J275&gt;0,I275&gt;$D$2*-1,G275/F275&lt;3),"Serious", AND(H275&lt;=$D$1*-1,J275&gt;0,I275&lt;$D$2*-1,G275/F275&lt;3),"Very serious", AND(H275&gt;=$D$1,I275&lt;0,J275&lt;$D$2,G275/F275&lt;3),"Serious",AND(H275&gt;=$D$1,I275&lt;0,J275&gt;$D$2,G275/F275&lt;3),"Very serious", AND(H275&lt;=$D$1*-1,J275&gt;0,I275&gt;$D$2*-1,G275/F275&gt;=3),"Very serious", AND(H275&lt;=$D$1*-1,J275&gt;0,I275&lt;$D$2*-1,G275/F275&gt;=3),"Very serious", AND(H275&gt;=$D$1,I275&lt;0,J275&lt;$D$2,G275/F275&gt;=3),"Very serious", AND(H275&gt;=$D$1,I275&lt;0,J275&gt;$D$2,G275/F275&gt;=3),"Very serious", AND(H275&gt;$D$1*-1,H275&lt;$D$1,I275&gt;$D$1*-1,J275&lt;$D$1,G275/F275&lt;3),"Not serious", AND(H275&gt;$D$1*-1,H275&lt;$D$1,OR(I275&lt;=$D$1*-1,J275&gt;=$D$1),I275&gt;$D$2*-1,J275&lt;$D$2,G275/F275&lt;3),"Serious", AND(H275&gt;$D$1*-1,H275&lt;$D$1,OR(I275&lt;=$D$2*-1,J275&gt;=$D$2),G275/F275&lt;3),"Very serious", AND(H275&gt;$D$1*-1,H275&lt;$D$1,I275&gt;$D$1*-1,J275&lt;$D$1,G275/F275&gt;=3),"Very serious", AND(H275&gt;$D$1*-1,H275&lt;$D$1,OR(I275&lt;=$D$1*-1,J275&gt;=$D$1),I275&gt;$D$2*-1,J275&lt;$D$2,G275/F275&gt;=3),"Very serious", AND(H275&gt;$D$1*-1,H275&lt;$D$1,OR(I275&lt;=$D$2*-1,J275&gt;=$D$2),G275/F275&gt;=3),"Very serious")),"")</f>
        <v/>
      </c>
      <c r="R275" s="109" t="str">
        <f t="shared" si="47"/>
        <v/>
      </c>
      <c r="S275" s="64"/>
      <c r="T275" s="72"/>
      <c r="U275" s="72"/>
      <c r="V275" s="72"/>
      <c r="W275" s="73"/>
      <c r="X275" s="73"/>
      <c r="Y275" s="74"/>
      <c r="Z275" s="113" t="str">
        <f t="array" ref="Z275">INDEX($A$1:$C$500, MATCH(1,($B:$B=$B275)*($C:$C=$AB275),0),1)</f>
        <v/>
      </c>
      <c r="AA275" s="113" t="str">
        <f t="array" ref="AA275">INDEX($A$1:$C$500, MATCH(1,($B:$B=$AB275)*($C:$C=$B275),0),1)</f>
        <v/>
      </c>
      <c r="AB275" s="111"/>
      <c r="AC275" s="114" t="str">
        <f t="shared" si="2"/>
        <v/>
      </c>
      <c r="AD275" s="115" t="str">
        <f t="shared" si="3"/>
        <v/>
      </c>
      <c r="AE275" s="116" t="str">
        <f t="array" ref="AE275">INDEX($A$1:$C$500, MATCH(1,($B:$B=$AB275)*($C:$C=$AG275),0),1)</f>
        <v/>
      </c>
      <c r="AF275" s="116" t="str">
        <f t="array" ref="AF275">INDEX($A$1:$C$500, MATCH(1,($B:$B=$AG275)*($C:$C=$AB275),0),1)</f>
        <v/>
      </c>
      <c r="AG275" s="72"/>
      <c r="AH275" s="114" t="str">
        <f t="shared" si="4"/>
        <v/>
      </c>
      <c r="AI275" s="115" t="str">
        <f t="shared" si="5"/>
        <v/>
      </c>
      <c r="AJ275" s="116" t="str">
        <f t="array" ref="AJ275">INDEX($A$1:$C$500, MATCH(1,($B:$B=$C275)*($C:$C=$AG275),0),1)</f>
        <v/>
      </c>
      <c r="AK275" s="116" t="str">
        <f t="array" ref="AK275">INDEX($A$1:$C$500, MATCH(1,($B:$B=$AG275)*($C:$C=$C275),0),1)</f>
        <v/>
      </c>
      <c r="AL275" s="116" t="str">
        <f t="array" ref="AL275">INDEX($A$1:$C$500, MATCH(1,($B:$B=$C275)*($C:$C=$AB275),0),1)</f>
        <v/>
      </c>
      <c r="AM275" s="116" t="str">
        <f t="array" ref="AM275">INDEX($A$1:$C$500, MATCH(1,($B:$B=$AB275)*($C:$C=$C275),0),1)</f>
        <v/>
      </c>
      <c r="AN275" s="114" t="str">
        <f t="array" ref="AN275">IFS(ISNUMBER(AJ275),AJ275,ISNUMBER(AK275),AK275,ISNUMBER(AL275),AL275,ISNUMBER(AM275),AM275)</f>
        <v>#N/A</v>
      </c>
      <c r="AO275" s="115" t="str">
        <f t="shared" si="6"/>
        <v/>
      </c>
      <c r="AP275" s="115" t="str">
        <f t="shared" si="7"/>
        <v/>
      </c>
      <c r="AQ275" s="111"/>
      <c r="AR275" s="109" t="str">
        <f t="shared" si="8"/>
        <v/>
      </c>
      <c r="AS275" s="72" t="str">
        <f>IFERROR(IF(AND(Preferences!B$3="Manual",OR(AX275/AW275&gt;V275/U275,BD275="Serious",BD275="Very serious")),"Assess imprecision",IFERROR(IFS(AND(Preferences!B$3="Automatic",V275/U275&gt;=30),"Extremely serious",AND(W275&lt;=$D$1*-1,Y275&lt;0,V275/U275&lt;3),"Not Serious",AND(W275&lt;=$D$1*-1,Y275&lt;0,V275/U275&gt;=3),"Very serious",AND(W275&gt;=$D$1,X275&gt;0,V275/U275&lt;3),"Not Serious",AND(W275&gt;=$D$1,X275&gt;0,V275/U275&gt;=3),"Very serious",AND(W275&lt;=$D$1*-1,Y275&gt;0,X275&gt;$D$2*-1,V275/U275&lt;3),"Serious", AND(W275&lt;=$D$1*-1,Y275&gt;0,X275&lt;$D$2*-1,V275/U275&lt;3),"Very serious", AND(W275&gt;=$D$1,X275&lt;0,Y275&lt;$D$2,V275/U275&lt;3),"Serious",AND(W275&gt;=$D$1,X275&lt;0,Y275&gt;$D$2,V275/U275&lt;3),"Very serious", AND(W275&lt;=$D$1*-1,Y275&gt;0,X275&gt;$D$2*-1,V275/U275&gt;=3),"Very serious", AND(W275&lt;=$D$1*-1,Y275&gt;0,X275&lt;$D$2*-1,V275/U275&gt;=3),"Very serious", AND(W275&gt;=$D$1,X275&lt;0,Y275&lt;$D$2,V275/U275&gt;=3),"Very serious", AND(W275&gt;=$D$1,X275&lt;0,Y275&gt;$D$2,V275/U275&gt;=3),"Very serious", AND(W275&gt;$D$1*-1,W275&lt;$D$1,X275&gt;$D$1*-1,Y275&lt;$D$1,V275/U275&lt;3),"Not Serious", AND(W275&gt;$D$1*-1,W275&lt;$D$1,OR(X275&lt;=$D$1*-1,Y275&gt;=$D$1),X275&gt;$D$2*-1,Y275&lt;$D$2,V275/U275&lt;3),"Serious", AND(W275&gt;$D$1*-1,W275&lt;$D$1,OR(X275&lt;=$D$2*-1,Y275&gt;=$D$2),V275/U275&lt;3),"Very serious", AND(W275&gt;$D$1*-1,W275&lt;$D$1,X275&gt;$D$1*-1,Y275&lt;$D$1,V275/U275&gt;=3),"Very serious", AND(W275&gt;$D$1*-1,W275&lt;$D$1,OR(X275&lt;=$D$1*-1,Y275&gt;=$D$1),X275&gt;$D$2*-1,Y275&lt;$D$2,V275/U275&gt;=3),"Very serious", AND(W275&gt;$D$1*-1,W275&lt;$D$1,OR(X275&lt;=$D$2*-1,Y275&gt;=$D$2),V275/U275&gt;=3),"Very serious"),"")),"")</f>
        <v/>
      </c>
      <c r="AT275" s="109" t="str">
        <f t="shared" si="9"/>
        <v/>
      </c>
      <c r="AU275" s="64"/>
      <c r="AV275" s="83"/>
      <c r="AW275" s="83"/>
      <c r="AX275" s="83"/>
      <c r="AY275" s="83"/>
      <c r="AZ275" s="83"/>
      <c r="BA275" s="85"/>
      <c r="BB275" s="86" t="str">
        <f>IF(Preferences!B$9="Manual","",IFS(ISBLANK(B275),"",AND(ISNUMBER(E275)=TRUE,ISNUMBER(T275)=FALSE),"Direct", AND(ISNUMBER(E275)=FALSE,ISNUMBER(T275)=TRUE),"Indirect", CN275=4,"Direct",AND(CL275=FALSE, CM275=TRUE,CN275-CO275&gt;-1),"Direct", AND(CL275=FALSE,CM275=TRUE, CN275-CO275&lt;0),"Check algorithm in appendix 2", AND(CL275=TRUE, CM275=FALSE,CN275-CO275&gt;0),"Check algorithm in appendix 2", AND(CL275=TRUE, CM275=FALSE,CN275-CO275=0),"Indirect", AND(CL275=TRUE, CM275=FALSE,CN275-CO275&lt;0),"Indirect", AND(CL275=FALSE,CM275=FALSE,CN275-CO275&gt;-1),"Direct", AND(CL275=FALSE,CM275=FALSE,CN275-CO275&lt;0),"Check algorithm in appendix 2", AND(CL275=TRUE,CM275=TRUE,CN275-CO275&gt;-1),"Direct", AND(CL275=TRUE,CM275=TRUE,CN275-CO275&lt;0),"Check algorithm in appendix 2"))</f>
        <v/>
      </c>
      <c r="BC275" s="120" t="str">
        <f t="shared" si="10"/>
        <v/>
      </c>
      <c r="BD275" s="140"/>
      <c r="BE275" s="122" t="str">
        <f>IF(Preferences!B$3="Manual","", IFERROR(IFS(AND(Preferences!B$3="Automatic",AX275/AW275&gt;=30),"Extremely serious",AND(AY275&lt;=$D$1*-1,BA275&lt;0,AX275/AW275&lt;3),"Not Serious",AND(AY275&lt;=$D$1*-1,BA275&lt;0,AX275/AW275&gt;=3),"Very serious",AND(AY275&gt;=$D$1,AZ275&gt;0,AX275/AW275&lt;3),"Not Serious",AND(AY275&gt;=$D$1,AZ275&gt;0,AX275/AW275&gt;=3),"Very serious",AND(AY275&lt;=$D$1*-1,BA275&gt;0,AZ275&gt;$D$2*-1,AX275/AW275&lt;3),"Serious", AND(AY275&lt;=$D$1*-1,BA275&gt;0,AZ275&lt;$D$2*-1,AX275/AW275&lt;3),"Very serious", AND(AY275&gt;=$D$1,AZ275&lt;0,BA275&lt;$D$2,AX275/AW275&lt;3),"Serious",AND(AY275&gt;=$D$1,AZ275&lt;0,BA275&gt;$D$2,AX275/AW275&lt;3),"Very serious", AND(AY275&lt;=$D$1*-1,BA275&gt;0,AZ275&gt;$D$2*-1,AX275/AW275&gt;=3),"Very serious", AND(AY275&lt;=$D$1*-1,BA275&gt;0,AZ275&lt;$D$2*-1,AX275/AW275&gt;=3),"Very serious", AND(AY275&gt;=$D$1,AZ275&lt;0,BA275&lt;$D$2,AX275/AW275&gt;=3),"Very serious", AND(AY275&gt;=$D$1,AZ275&lt;0,BA275&gt;$D$2,AX275/AW275&gt;=3),"Very serious", AND(AY275&gt;$D$1*-1,AY275&lt;$D$1,AZ275&gt;$D$1*-1,BA275&lt;$D$1,AX275/AW275&lt;3),"Not Serious", AND(AY275&gt;$D$1*-1,AY275&lt;$D$1,OR(AZ275&lt;=$D$1*-1,BA275&gt;=$D$1),AZ275&gt;$D$2*-1,BA275&lt;$D$2,AX275/AW275&lt;3),"Serious", AND(AY275&gt;$D$1*-1,AY275&lt;$D$1,OR(AZ275&lt;=$D$2*-1,BA275&gt;=$D$2),AX275/AW275&lt;3),"Very serious", AND(AY275&gt;$D$1*-1,AY275&lt;$D$1,AZ275&gt;$D$1*-1,BA275&lt;$D$1,AX275/AW275&gt;=3),"Very serious", AND(AY275&gt;$D$1*-1,AY275&lt;$D$1,OR(AZ275&lt;=$D$1*-1,BA275&gt;=$D$1),AZ275&gt;$D$2*-1,BA275&lt;$D$2,AX275/AW275&gt;=3),"Very serious", AND(AY275&gt;$D$1*-1,AY275&lt;$D$1,OR(AZ275&lt;=$D$2*-1,BA275&gt;=$D$2),AX275/AW275&gt;=3),"Very serious"),""))</f>
        <v/>
      </c>
      <c r="BF275" s="107" t="str">
        <f t="shared" si="11"/>
        <v/>
      </c>
      <c r="BG275" s="94" t="str">
        <f t="shared" si="46"/>
        <v/>
      </c>
      <c r="BH275" s="64" t="str">
        <f t="shared" si="12"/>
        <v>#N/A</v>
      </c>
      <c r="BI275" s="64" t="str">
        <f t="shared" si="13"/>
        <v/>
      </c>
      <c r="BJ275" s="123" t="str">
        <f t="shared" si="14"/>
        <v>#N/A</v>
      </c>
      <c r="BK275" s="64" t="str">
        <f t="shared" si="50"/>
        <v>YES</v>
      </c>
      <c r="BL275" s="64" t="str">
        <f t="shared" si="16"/>
        <v>YES</v>
      </c>
      <c r="BM275" s="64" t="str">
        <f t="shared" si="17"/>
        <v>YES</v>
      </c>
      <c r="BN275" s="124" t="str">
        <f t="shared" si="18"/>
        <v/>
      </c>
      <c r="BO275" s="91" t="str">
        <f t="shared" si="19"/>
        <v/>
      </c>
      <c r="BP275" s="91" t="str">
        <f t="shared" si="20"/>
        <v>#N/A</v>
      </c>
      <c r="BQ275" s="91" t="str">
        <f t="shared" si="21"/>
        <v/>
      </c>
      <c r="BR275" s="93" t="str">
        <f t="shared" si="22"/>
        <v/>
      </c>
      <c r="BS275" s="90" t="str">
        <f t="shared" si="23"/>
        <v/>
      </c>
      <c r="BT275" s="93" t="str">
        <f t="shared" si="24"/>
        <v>NA</v>
      </c>
      <c r="BU275" s="125" t="str">
        <f t="shared" si="25"/>
        <v>#N/A</v>
      </c>
      <c r="BV275" s="93" t="str">
        <f t="shared" si="26"/>
        <v/>
      </c>
      <c r="BW275" s="93" t="str">
        <f t="shared" si="27"/>
        <v/>
      </c>
      <c r="BX275" s="93" t="str">
        <f t="shared" si="28"/>
        <v>NA</v>
      </c>
      <c r="BY275" s="95" t="str">
        <f t="shared" si="29"/>
        <v>#N/A</v>
      </c>
      <c r="BZ275" s="93" t="str">
        <f t="shared" si="30"/>
        <v/>
      </c>
      <c r="CA275" s="93" t="str">
        <f t="shared" si="31"/>
        <v/>
      </c>
      <c r="CB275" s="93" t="str">
        <f t="shared" si="32"/>
        <v>NA</v>
      </c>
      <c r="CC275" s="96" t="str">
        <f t="shared" si="33"/>
        <v>#N/A</v>
      </c>
      <c r="CD275" s="93" t="str">
        <f t="shared" si="34"/>
        <v/>
      </c>
      <c r="CE275" s="93" t="str">
        <f t="shared" si="35"/>
        <v/>
      </c>
      <c r="CF275" s="93" t="str">
        <f t="shared" si="36"/>
        <v>NA</v>
      </c>
      <c r="CG275" s="97" t="str">
        <f t="shared" si="37"/>
        <v>#N/A</v>
      </c>
      <c r="CH275" s="98" t="str">
        <f t="shared" si="38"/>
        <v>#N/A</v>
      </c>
      <c r="CI275" s="99" t="str">
        <f t="shared" si="39"/>
        <v>#N/A</v>
      </c>
      <c r="CJ275" s="126" t="str">
        <f t="shared" si="40"/>
        <v>ERROR: check cell</v>
      </c>
      <c r="CK275" s="126"/>
      <c r="CL275" s="127" t="str">
        <f t="shared" si="41"/>
        <v>#DIV/0!</v>
      </c>
      <c r="CM275" s="128" t="str">
        <f t="shared" si="42"/>
        <v>#DIV/0!</v>
      </c>
      <c r="CN275" s="128">
        <f t="shared" si="43"/>
        <v>4</v>
      </c>
      <c r="CO275" s="129">
        <f t="shared" si="44"/>
        <v>4</v>
      </c>
      <c r="CP275" s="129" t="str">
        <f>IFS(C275=Preferences!B$13,B275,B275=Preferences!B$13,C275)</f>
        <v>#N/A</v>
      </c>
    </row>
    <row r="276" ht="13.5" customHeight="1">
      <c r="A276" s="63" t="str">
        <f t="shared" si="45"/>
        <v/>
      </c>
      <c r="B276" s="64"/>
      <c r="C276" s="64"/>
      <c r="D276" s="64"/>
      <c r="E276" s="65"/>
      <c r="F276" s="65"/>
      <c r="G276" s="65"/>
      <c r="H276" s="66"/>
      <c r="I276" s="66"/>
      <c r="J276" s="67"/>
      <c r="K276" s="68"/>
      <c r="L276" s="104"/>
      <c r="M276" s="104"/>
      <c r="N276" s="104"/>
      <c r="O276" s="104"/>
      <c r="P276" s="107" t="str">
        <f t="shared" si="1"/>
        <v/>
      </c>
      <c r="Q276" s="108" t="str">
        <f>IFERROR(IF(AND(Preferences!B$3="Manual",OR(AX276/AW276&gt;G276/F276,BD276="Serious",BD276="Very serious")),"Assess imprecision",IFS(ISBLANK(E276),"",AND(Preferences!B$3="Automatic", G276/F276&gt;=30),"Extremely serious",AND(H276&lt;=$D$1*-1,J276&lt;0,G276/F276&lt;3),"Not serious",AND(H276&lt;=$D$1*-1,J276&lt;0,G276/F276&gt;=3),"Very serious",AND(H276&gt;=$D$1,I276&gt;0,G276/F276&lt;3),"Not serious",AND(H276&gt;=$D$1,I276&gt;0,G276/F276&gt;=3),"Very serious",AND(H276&lt;=$D$1*-1,J276&gt;0,I276&gt;$D$2*-1,G276/F276&lt;3),"Serious", AND(H276&lt;=$D$1*-1,J276&gt;0,I276&lt;$D$2*-1,G276/F276&lt;3),"Very serious", AND(H276&gt;=$D$1,I276&lt;0,J276&lt;$D$2,G276/F276&lt;3),"Serious",AND(H276&gt;=$D$1,I276&lt;0,J276&gt;$D$2,G276/F276&lt;3),"Very serious", AND(H276&lt;=$D$1*-1,J276&gt;0,I276&gt;$D$2*-1,G276/F276&gt;=3),"Very serious", AND(H276&lt;=$D$1*-1,J276&gt;0,I276&lt;$D$2*-1,G276/F276&gt;=3),"Very serious", AND(H276&gt;=$D$1,I276&lt;0,J276&lt;$D$2,G276/F276&gt;=3),"Very serious", AND(H276&gt;=$D$1,I276&lt;0,J276&gt;$D$2,G276/F276&gt;=3),"Very serious", AND(H276&gt;$D$1*-1,H276&lt;$D$1,I276&gt;$D$1*-1,J276&lt;$D$1,G276/F276&lt;3),"Not serious", AND(H276&gt;$D$1*-1,H276&lt;$D$1,OR(I276&lt;=$D$1*-1,J276&gt;=$D$1),I276&gt;$D$2*-1,J276&lt;$D$2,G276/F276&lt;3),"Serious", AND(H276&gt;$D$1*-1,H276&lt;$D$1,OR(I276&lt;=$D$2*-1,J276&gt;=$D$2),G276/F276&lt;3),"Very serious", AND(H276&gt;$D$1*-1,H276&lt;$D$1,I276&gt;$D$1*-1,J276&lt;$D$1,G276/F276&gt;=3),"Very serious", AND(H276&gt;$D$1*-1,H276&lt;$D$1,OR(I276&lt;=$D$1*-1,J276&gt;=$D$1),I276&gt;$D$2*-1,J276&lt;$D$2,G276/F276&gt;=3),"Very serious", AND(H276&gt;$D$1*-1,H276&lt;$D$1,OR(I276&lt;=$D$2*-1,J276&gt;=$D$2),G276/F276&gt;=3),"Very serious")),"")</f>
        <v/>
      </c>
      <c r="R276" s="109" t="str">
        <f t="shared" si="47"/>
        <v/>
      </c>
      <c r="S276" s="64"/>
      <c r="T276" s="72"/>
      <c r="U276" s="72"/>
      <c r="V276" s="72"/>
      <c r="W276" s="73"/>
      <c r="X276" s="73"/>
      <c r="Y276" s="74"/>
      <c r="Z276" s="113" t="str">
        <f t="array" ref="Z276">INDEX($A$1:$C$500, MATCH(1,($B:$B=$B276)*($C:$C=$AB276),0),1)</f>
        <v/>
      </c>
      <c r="AA276" s="113" t="str">
        <f t="array" ref="AA276">INDEX($A$1:$C$500, MATCH(1,($B:$B=$AB276)*($C:$C=$B276),0),1)</f>
        <v/>
      </c>
      <c r="AB276" s="111"/>
      <c r="AC276" s="114" t="str">
        <f t="shared" si="2"/>
        <v/>
      </c>
      <c r="AD276" s="115" t="str">
        <f t="shared" si="3"/>
        <v/>
      </c>
      <c r="AE276" s="116" t="str">
        <f t="array" ref="AE276">INDEX($A$1:$C$500, MATCH(1,($B:$B=$AB276)*($C:$C=$AG276),0),1)</f>
        <v/>
      </c>
      <c r="AF276" s="116" t="str">
        <f t="array" ref="AF276">INDEX($A$1:$C$500, MATCH(1,($B:$B=$AG276)*($C:$C=$AB276),0),1)</f>
        <v/>
      </c>
      <c r="AG276" s="72"/>
      <c r="AH276" s="114" t="str">
        <f t="shared" si="4"/>
        <v/>
      </c>
      <c r="AI276" s="115" t="str">
        <f t="shared" si="5"/>
        <v/>
      </c>
      <c r="AJ276" s="116" t="str">
        <f t="array" ref="AJ276">INDEX($A$1:$C$500, MATCH(1,($B:$B=$C276)*($C:$C=$AG276),0),1)</f>
        <v/>
      </c>
      <c r="AK276" s="116" t="str">
        <f t="array" ref="AK276">INDEX($A$1:$C$500, MATCH(1,($B:$B=$AG276)*($C:$C=$C276),0),1)</f>
        <v/>
      </c>
      <c r="AL276" s="116" t="str">
        <f t="array" ref="AL276">INDEX($A$1:$C$500, MATCH(1,($B:$B=$C276)*($C:$C=$AB276),0),1)</f>
        <v/>
      </c>
      <c r="AM276" s="116" t="str">
        <f t="array" ref="AM276">INDEX($A$1:$C$500, MATCH(1,($B:$B=$AB276)*($C:$C=$C276),0),1)</f>
        <v/>
      </c>
      <c r="AN276" s="114" t="str">
        <f t="array" ref="AN276">IFS(ISNUMBER(AJ276),AJ276,ISNUMBER(AK276),AK276,ISNUMBER(AL276),AL276,ISNUMBER(AM276),AM276)</f>
        <v>#N/A</v>
      </c>
      <c r="AO276" s="115" t="str">
        <f t="shared" si="6"/>
        <v/>
      </c>
      <c r="AP276" s="115" t="str">
        <f t="shared" si="7"/>
        <v/>
      </c>
      <c r="AQ276" s="111"/>
      <c r="AR276" s="109" t="str">
        <f t="shared" si="8"/>
        <v/>
      </c>
      <c r="AS276" s="72" t="str">
        <f>IFERROR(IF(AND(Preferences!B$3="Manual",OR(AX276/AW276&gt;V276/U276,BD276="Serious",BD276="Very serious")),"Assess imprecision",IFERROR(IFS(AND(Preferences!B$3="Automatic",V276/U276&gt;=30),"Extremely serious",AND(W276&lt;=$D$1*-1,Y276&lt;0,V276/U276&lt;3),"Not Serious",AND(W276&lt;=$D$1*-1,Y276&lt;0,V276/U276&gt;=3),"Very serious",AND(W276&gt;=$D$1,X276&gt;0,V276/U276&lt;3),"Not Serious",AND(W276&gt;=$D$1,X276&gt;0,V276/U276&gt;=3),"Very serious",AND(W276&lt;=$D$1*-1,Y276&gt;0,X276&gt;$D$2*-1,V276/U276&lt;3),"Serious", AND(W276&lt;=$D$1*-1,Y276&gt;0,X276&lt;$D$2*-1,V276/U276&lt;3),"Very serious", AND(W276&gt;=$D$1,X276&lt;0,Y276&lt;$D$2,V276/U276&lt;3),"Serious",AND(W276&gt;=$D$1,X276&lt;0,Y276&gt;$D$2,V276/U276&lt;3),"Very serious", AND(W276&lt;=$D$1*-1,Y276&gt;0,X276&gt;$D$2*-1,V276/U276&gt;=3),"Very serious", AND(W276&lt;=$D$1*-1,Y276&gt;0,X276&lt;$D$2*-1,V276/U276&gt;=3),"Very serious", AND(W276&gt;=$D$1,X276&lt;0,Y276&lt;$D$2,V276/U276&gt;=3),"Very serious", AND(W276&gt;=$D$1,X276&lt;0,Y276&gt;$D$2,V276/U276&gt;=3),"Very serious", AND(W276&gt;$D$1*-1,W276&lt;$D$1,X276&gt;$D$1*-1,Y276&lt;$D$1,V276/U276&lt;3),"Not Serious", AND(W276&gt;$D$1*-1,W276&lt;$D$1,OR(X276&lt;=$D$1*-1,Y276&gt;=$D$1),X276&gt;$D$2*-1,Y276&lt;$D$2,V276/U276&lt;3),"Serious", AND(W276&gt;$D$1*-1,W276&lt;$D$1,OR(X276&lt;=$D$2*-1,Y276&gt;=$D$2),V276/U276&lt;3),"Very serious", AND(W276&gt;$D$1*-1,W276&lt;$D$1,X276&gt;$D$1*-1,Y276&lt;$D$1,V276/U276&gt;=3),"Very serious", AND(W276&gt;$D$1*-1,W276&lt;$D$1,OR(X276&lt;=$D$1*-1,Y276&gt;=$D$1),X276&gt;$D$2*-1,Y276&lt;$D$2,V276/U276&gt;=3),"Very serious", AND(W276&gt;$D$1*-1,W276&lt;$D$1,OR(X276&lt;=$D$2*-1,Y276&gt;=$D$2),V276/U276&gt;=3),"Very serious"),"")),"")</f>
        <v/>
      </c>
      <c r="AT276" s="109" t="str">
        <f t="shared" si="9"/>
        <v/>
      </c>
      <c r="AU276" s="64"/>
      <c r="AV276" s="83"/>
      <c r="AW276" s="83"/>
      <c r="AX276" s="83"/>
      <c r="AY276" s="83"/>
      <c r="AZ276" s="83"/>
      <c r="BA276" s="85"/>
      <c r="BB276" s="86" t="str">
        <f>IF(Preferences!B$9="Manual","",IFS(ISBLANK(B276),"",AND(ISNUMBER(E276)=TRUE,ISNUMBER(T276)=FALSE),"Direct", AND(ISNUMBER(E276)=FALSE,ISNUMBER(T276)=TRUE),"Indirect", CN276=4,"Direct",AND(CL276=FALSE, CM276=TRUE,CN276-CO276&gt;-1),"Direct", AND(CL276=FALSE,CM276=TRUE, CN276-CO276&lt;0),"Check algorithm in appendix 2", AND(CL276=TRUE, CM276=FALSE,CN276-CO276&gt;0),"Check algorithm in appendix 2", AND(CL276=TRUE, CM276=FALSE,CN276-CO276=0),"Indirect", AND(CL276=TRUE, CM276=FALSE,CN276-CO276&lt;0),"Indirect", AND(CL276=FALSE,CM276=FALSE,CN276-CO276&gt;-1),"Direct", AND(CL276=FALSE,CM276=FALSE,CN276-CO276&lt;0),"Check algorithm in appendix 2", AND(CL276=TRUE,CM276=TRUE,CN276-CO276&gt;-1),"Direct", AND(CL276=TRUE,CM276=TRUE,CN276-CO276&lt;0),"Check algorithm in appendix 2"))</f>
        <v/>
      </c>
      <c r="BC276" s="120" t="str">
        <f t="shared" si="10"/>
        <v/>
      </c>
      <c r="BD276" s="140"/>
      <c r="BE276" s="122" t="str">
        <f>IF(Preferences!B$3="Manual","", IFERROR(IFS(AND(Preferences!B$3="Automatic",AX276/AW276&gt;=30),"Extremely serious",AND(AY276&lt;=$D$1*-1,BA276&lt;0,AX276/AW276&lt;3),"Not Serious",AND(AY276&lt;=$D$1*-1,BA276&lt;0,AX276/AW276&gt;=3),"Very serious",AND(AY276&gt;=$D$1,AZ276&gt;0,AX276/AW276&lt;3),"Not Serious",AND(AY276&gt;=$D$1,AZ276&gt;0,AX276/AW276&gt;=3),"Very serious",AND(AY276&lt;=$D$1*-1,BA276&gt;0,AZ276&gt;$D$2*-1,AX276/AW276&lt;3),"Serious", AND(AY276&lt;=$D$1*-1,BA276&gt;0,AZ276&lt;$D$2*-1,AX276/AW276&lt;3),"Very serious", AND(AY276&gt;=$D$1,AZ276&lt;0,BA276&lt;$D$2,AX276/AW276&lt;3),"Serious",AND(AY276&gt;=$D$1,AZ276&lt;0,BA276&gt;$D$2,AX276/AW276&lt;3),"Very serious", AND(AY276&lt;=$D$1*-1,BA276&gt;0,AZ276&gt;$D$2*-1,AX276/AW276&gt;=3),"Very serious", AND(AY276&lt;=$D$1*-1,BA276&gt;0,AZ276&lt;$D$2*-1,AX276/AW276&gt;=3),"Very serious", AND(AY276&gt;=$D$1,AZ276&lt;0,BA276&lt;$D$2,AX276/AW276&gt;=3),"Very serious", AND(AY276&gt;=$D$1,AZ276&lt;0,BA276&gt;$D$2,AX276/AW276&gt;=3),"Very serious", AND(AY276&gt;$D$1*-1,AY276&lt;$D$1,AZ276&gt;$D$1*-1,BA276&lt;$D$1,AX276/AW276&lt;3),"Not Serious", AND(AY276&gt;$D$1*-1,AY276&lt;$D$1,OR(AZ276&lt;=$D$1*-1,BA276&gt;=$D$1),AZ276&gt;$D$2*-1,BA276&lt;$D$2,AX276/AW276&lt;3),"Serious", AND(AY276&gt;$D$1*-1,AY276&lt;$D$1,OR(AZ276&lt;=$D$2*-1,BA276&gt;=$D$2),AX276/AW276&lt;3),"Very serious", AND(AY276&gt;$D$1*-1,AY276&lt;$D$1,AZ276&gt;$D$1*-1,BA276&lt;$D$1,AX276/AW276&gt;=3),"Very serious", AND(AY276&gt;$D$1*-1,AY276&lt;$D$1,OR(AZ276&lt;=$D$1*-1,BA276&gt;=$D$1),AZ276&gt;$D$2*-1,BA276&lt;$D$2,AX276/AW276&gt;=3),"Very serious", AND(AY276&gt;$D$1*-1,AY276&lt;$D$1,OR(AZ276&lt;=$D$2*-1,BA276&gt;=$D$2),AX276/AW276&gt;=3),"Very serious"),""))</f>
        <v/>
      </c>
      <c r="BF276" s="107" t="str">
        <f t="shared" si="11"/>
        <v/>
      </c>
      <c r="BG276" s="94" t="str">
        <f t="shared" si="46"/>
        <v/>
      </c>
      <c r="BH276" s="64" t="str">
        <f t="shared" si="12"/>
        <v>#N/A</v>
      </c>
      <c r="BI276" s="64" t="str">
        <f t="shared" si="13"/>
        <v/>
      </c>
      <c r="BJ276" s="123" t="str">
        <f t="shared" si="14"/>
        <v>#N/A</v>
      </c>
      <c r="BK276" s="64" t="str">
        <f t="shared" si="50"/>
        <v>YES</v>
      </c>
      <c r="BL276" s="64" t="str">
        <f t="shared" si="16"/>
        <v>YES</v>
      </c>
      <c r="BM276" s="64" t="str">
        <f t="shared" si="17"/>
        <v>YES</v>
      </c>
      <c r="BN276" s="124" t="str">
        <f t="shared" si="18"/>
        <v/>
      </c>
      <c r="BO276" s="91" t="str">
        <f t="shared" si="19"/>
        <v/>
      </c>
      <c r="BP276" s="91" t="str">
        <f t="shared" si="20"/>
        <v>#N/A</v>
      </c>
      <c r="BQ276" s="91" t="str">
        <f t="shared" si="21"/>
        <v/>
      </c>
      <c r="BR276" s="93" t="str">
        <f t="shared" si="22"/>
        <v/>
      </c>
      <c r="BS276" s="90" t="str">
        <f t="shared" si="23"/>
        <v/>
      </c>
      <c r="BT276" s="93" t="str">
        <f t="shared" si="24"/>
        <v>NA</v>
      </c>
      <c r="BU276" s="125" t="str">
        <f t="shared" si="25"/>
        <v>#N/A</v>
      </c>
      <c r="BV276" s="93" t="str">
        <f t="shared" si="26"/>
        <v/>
      </c>
      <c r="BW276" s="93" t="str">
        <f t="shared" si="27"/>
        <v/>
      </c>
      <c r="BX276" s="93" t="str">
        <f t="shared" si="28"/>
        <v>NA</v>
      </c>
      <c r="BY276" s="95" t="str">
        <f t="shared" si="29"/>
        <v>#N/A</v>
      </c>
      <c r="BZ276" s="93" t="str">
        <f t="shared" si="30"/>
        <v/>
      </c>
      <c r="CA276" s="93" t="str">
        <f t="shared" si="31"/>
        <v/>
      </c>
      <c r="CB276" s="93" t="str">
        <f t="shared" si="32"/>
        <v>NA</v>
      </c>
      <c r="CC276" s="96" t="str">
        <f t="shared" si="33"/>
        <v>#N/A</v>
      </c>
      <c r="CD276" s="93" t="str">
        <f t="shared" si="34"/>
        <v/>
      </c>
      <c r="CE276" s="93" t="str">
        <f t="shared" si="35"/>
        <v/>
      </c>
      <c r="CF276" s="93" t="str">
        <f t="shared" si="36"/>
        <v>NA</v>
      </c>
      <c r="CG276" s="97" t="str">
        <f t="shared" si="37"/>
        <v>#N/A</v>
      </c>
      <c r="CH276" s="98" t="str">
        <f t="shared" si="38"/>
        <v>#N/A</v>
      </c>
      <c r="CI276" s="99" t="str">
        <f t="shared" si="39"/>
        <v>#N/A</v>
      </c>
      <c r="CJ276" s="126" t="str">
        <f t="shared" si="40"/>
        <v>ERROR: check cell</v>
      </c>
      <c r="CK276" s="126"/>
      <c r="CL276" s="127" t="str">
        <f t="shared" si="41"/>
        <v>#DIV/0!</v>
      </c>
      <c r="CM276" s="128" t="str">
        <f t="shared" si="42"/>
        <v>#DIV/0!</v>
      </c>
      <c r="CN276" s="128">
        <f t="shared" si="43"/>
        <v>4</v>
      </c>
      <c r="CO276" s="129">
        <f t="shared" si="44"/>
        <v>4</v>
      </c>
      <c r="CP276" s="129" t="str">
        <f>IFS(C276=Preferences!B$13,B276,B276=Preferences!B$13,C276)</f>
        <v>#N/A</v>
      </c>
    </row>
    <row r="277" ht="13.5" customHeight="1">
      <c r="A277" s="63" t="str">
        <f t="shared" si="45"/>
        <v/>
      </c>
      <c r="B277" s="64"/>
      <c r="C277" s="64"/>
      <c r="D277" s="64"/>
      <c r="E277" s="65"/>
      <c r="F277" s="65"/>
      <c r="G277" s="65"/>
      <c r="H277" s="66"/>
      <c r="I277" s="66"/>
      <c r="J277" s="67"/>
      <c r="K277" s="68"/>
      <c r="L277" s="104"/>
      <c r="M277" s="104"/>
      <c r="N277" s="104"/>
      <c r="O277" s="104"/>
      <c r="P277" s="107" t="str">
        <f t="shared" si="1"/>
        <v/>
      </c>
      <c r="Q277" s="108" t="str">
        <f>IFERROR(IF(AND(Preferences!B$3="Manual",OR(AX277/AW277&gt;G277/F277,BD277="Serious",BD277="Very serious")),"Assess imprecision",IFS(ISBLANK(E277),"",AND(Preferences!B$3="Automatic", G277/F277&gt;=30),"Extremely serious",AND(H277&lt;=$D$1*-1,J277&lt;0,G277/F277&lt;3),"Not serious",AND(H277&lt;=$D$1*-1,J277&lt;0,G277/F277&gt;=3),"Very serious",AND(H277&gt;=$D$1,I277&gt;0,G277/F277&lt;3),"Not serious",AND(H277&gt;=$D$1,I277&gt;0,G277/F277&gt;=3),"Very serious",AND(H277&lt;=$D$1*-1,J277&gt;0,I277&gt;$D$2*-1,G277/F277&lt;3),"Serious", AND(H277&lt;=$D$1*-1,J277&gt;0,I277&lt;$D$2*-1,G277/F277&lt;3),"Very serious", AND(H277&gt;=$D$1,I277&lt;0,J277&lt;$D$2,G277/F277&lt;3),"Serious",AND(H277&gt;=$D$1,I277&lt;0,J277&gt;$D$2,G277/F277&lt;3),"Very serious", AND(H277&lt;=$D$1*-1,J277&gt;0,I277&gt;$D$2*-1,G277/F277&gt;=3),"Very serious", AND(H277&lt;=$D$1*-1,J277&gt;0,I277&lt;$D$2*-1,G277/F277&gt;=3),"Very serious", AND(H277&gt;=$D$1,I277&lt;0,J277&lt;$D$2,G277/F277&gt;=3),"Very serious", AND(H277&gt;=$D$1,I277&lt;0,J277&gt;$D$2,G277/F277&gt;=3),"Very serious", AND(H277&gt;$D$1*-1,H277&lt;$D$1,I277&gt;$D$1*-1,J277&lt;$D$1,G277/F277&lt;3),"Not serious", AND(H277&gt;$D$1*-1,H277&lt;$D$1,OR(I277&lt;=$D$1*-1,J277&gt;=$D$1),I277&gt;$D$2*-1,J277&lt;$D$2,G277/F277&lt;3),"Serious", AND(H277&gt;$D$1*-1,H277&lt;$D$1,OR(I277&lt;=$D$2*-1,J277&gt;=$D$2),G277/F277&lt;3),"Very serious", AND(H277&gt;$D$1*-1,H277&lt;$D$1,I277&gt;$D$1*-1,J277&lt;$D$1,G277/F277&gt;=3),"Very serious", AND(H277&gt;$D$1*-1,H277&lt;$D$1,OR(I277&lt;=$D$1*-1,J277&gt;=$D$1),I277&gt;$D$2*-1,J277&lt;$D$2,G277/F277&gt;=3),"Very serious", AND(H277&gt;$D$1*-1,H277&lt;$D$1,OR(I277&lt;=$D$2*-1,J277&gt;=$D$2),G277/F277&gt;=3),"Very serious")),"")</f>
        <v/>
      </c>
      <c r="R277" s="109" t="str">
        <f t="shared" si="47"/>
        <v/>
      </c>
      <c r="S277" s="64"/>
      <c r="T277" s="72"/>
      <c r="U277" s="72"/>
      <c r="V277" s="72"/>
      <c r="W277" s="73"/>
      <c r="X277" s="73"/>
      <c r="Y277" s="74"/>
      <c r="Z277" s="113" t="str">
        <f t="array" ref="Z277">INDEX($A$1:$C$500, MATCH(1,($B:$B=$B277)*($C:$C=$AB277),0),1)</f>
        <v/>
      </c>
      <c r="AA277" s="113" t="str">
        <f t="array" ref="AA277">INDEX($A$1:$C$500, MATCH(1,($B:$B=$AB277)*($C:$C=$B277),0),1)</f>
        <v/>
      </c>
      <c r="AB277" s="111"/>
      <c r="AC277" s="114" t="str">
        <f t="shared" si="2"/>
        <v/>
      </c>
      <c r="AD277" s="115" t="str">
        <f t="shared" si="3"/>
        <v/>
      </c>
      <c r="AE277" s="116" t="str">
        <f t="array" ref="AE277">INDEX($A$1:$C$500, MATCH(1,($B:$B=$AB277)*($C:$C=$AG277),0),1)</f>
        <v/>
      </c>
      <c r="AF277" s="116" t="str">
        <f t="array" ref="AF277">INDEX($A$1:$C$500, MATCH(1,($B:$B=$AG277)*($C:$C=$AB277),0),1)</f>
        <v/>
      </c>
      <c r="AG277" s="72"/>
      <c r="AH277" s="114" t="str">
        <f t="shared" si="4"/>
        <v/>
      </c>
      <c r="AI277" s="115" t="str">
        <f t="shared" si="5"/>
        <v/>
      </c>
      <c r="AJ277" s="116" t="str">
        <f t="array" ref="AJ277">INDEX($A$1:$C$500, MATCH(1,($B:$B=$C277)*($C:$C=$AG277),0),1)</f>
        <v/>
      </c>
      <c r="AK277" s="116" t="str">
        <f t="array" ref="AK277">INDEX($A$1:$C$500, MATCH(1,($B:$B=$AG277)*($C:$C=$C277),0),1)</f>
        <v/>
      </c>
      <c r="AL277" s="116" t="str">
        <f t="array" ref="AL277">INDEX($A$1:$C$500, MATCH(1,($B:$B=$C277)*($C:$C=$AB277),0),1)</f>
        <v/>
      </c>
      <c r="AM277" s="116" t="str">
        <f t="array" ref="AM277">INDEX($A$1:$C$500, MATCH(1,($B:$B=$AB277)*($C:$C=$C277),0),1)</f>
        <v/>
      </c>
      <c r="AN277" s="114" t="str">
        <f t="array" ref="AN277">IFS(ISNUMBER(AJ277),AJ277,ISNUMBER(AK277),AK277,ISNUMBER(AL277),AL277,ISNUMBER(AM277),AM277)</f>
        <v>#N/A</v>
      </c>
      <c r="AO277" s="115" t="str">
        <f t="shared" si="6"/>
        <v/>
      </c>
      <c r="AP277" s="115" t="str">
        <f t="shared" si="7"/>
        <v/>
      </c>
      <c r="AQ277" s="111"/>
      <c r="AR277" s="109" t="str">
        <f t="shared" si="8"/>
        <v/>
      </c>
      <c r="AS277" s="72" t="str">
        <f>IFERROR(IF(AND(Preferences!B$3="Manual",OR(AX277/AW277&gt;V277/U277,BD277="Serious",BD277="Very serious")),"Assess imprecision",IFERROR(IFS(AND(Preferences!B$3="Automatic",V277/U277&gt;=30),"Extremely serious",AND(W277&lt;=$D$1*-1,Y277&lt;0,V277/U277&lt;3),"Not Serious",AND(W277&lt;=$D$1*-1,Y277&lt;0,V277/U277&gt;=3),"Very serious",AND(W277&gt;=$D$1,X277&gt;0,V277/U277&lt;3),"Not Serious",AND(W277&gt;=$D$1,X277&gt;0,V277/U277&gt;=3),"Very serious",AND(W277&lt;=$D$1*-1,Y277&gt;0,X277&gt;$D$2*-1,V277/U277&lt;3),"Serious", AND(W277&lt;=$D$1*-1,Y277&gt;0,X277&lt;$D$2*-1,V277/U277&lt;3),"Very serious", AND(W277&gt;=$D$1,X277&lt;0,Y277&lt;$D$2,V277/U277&lt;3),"Serious",AND(W277&gt;=$D$1,X277&lt;0,Y277&gt;$D$2,V277/U277&lt;3),"Very serious", AND(W277&lt;=$D$1*-1,Y277&gt;0,X277&gt;$D$2*-1,V277/U277&gt;=3),"Very serious", AND(W277&lt;=$D$1*-1,Y277&gt;0,X277&lt;$D$2*-1,V277/U277&gt;=3),"Very serious", AND(W277&gt;=$D$1,X277&lt;0,Y277&lt;$D$2,V277/U277&gt;=3),"Very serious", AND(W277&gt;=$D$1,X277&lt;0,Y277&gt;$D$2,V277/U277&gt;=3),"Very serious", AND(W277&gt;$D$1*-1,W277&lt;$D$1,X277&gt;$D$1*-1,Y277&lt;$D$1,V277/U277&lt;3),"Not Serious", AND(W277&gt;$D$1*-1,W277&lt;$D$1,OR(X277&lt;=$D$1*-1,Y277&gt;=$D$1),X277&gt;$D$2*-1,Y277&lt;$D$2,V277/U277&lt;3),"Serious", AND(W277&gt;$D$1*-1,W277&lt;$D$1,OR(X277&lt;=$D$2*-1,Y277&gt;=$D$2),V277/U277&lt;3),"Very serious", AND(W277&gt;$D$1*-1,W277&lt;$D$1,X277&gt;$D$1*-1,Y277&lt;$D$1,V277/U277&gt;=3),"Very serious", AND(W277&gt;$D$1*-1,W277&lt;$D$1,OR(X277&lt;=$D$1*-1,Y277&gt;=$D$1),X277&gt;$D$2*-1,Y277&lt;$D$2,V277/U277&gt;=3),"Very serious", AND(W277&gt;$D$1*-1,W277&lt;$D$1,OR(X277&lt;=$D$2*-1,Y277&gt;=$D$2),V277/U277&gt;=3),"Very serious"),"")),"")</f>
        <v/>
      </c>
      <c r="AT277" s="109" t="str">
        <f t="shared" si="9"/>
        <v/>
      </c>
      <c r="AU277" s="64"/>
      <c r="AV277" s="83"/>
      <c r="AW277" s="83"/>
      <c r="AX277" s="83"/>
      <c r="AY277" s="83"/>
      <c r="AZ277" s="83"/>
      <c r="BA277" s="85"/>
      <c r="BB277" s="86" t="str">
        <f>IF(Preferences!B$9="Manual","",IFS(ISBLANK(B277),"",AND(ISNUMBER(E277)=TRUE,ISNUMBER(T277)=FALSE),"Direct", AND(ISNUMBER(E277)=FALSE,ISNUMBER(T277)=TRUE),"Indirect", CN277=4,"Direct",AND(CL277=FALSE, CM277=TRUE,CN277-CO277&gt;-1),"Direct", AND(CL277=FALSE,CM277=TRUE, CN277-CO277&lt;0),"Check algorithm in appendix 2", AND(CL277=TRUE, CM277=FALSE,CN277-CO277&gt;0),"Check algorithm in appendix 2", AND(CL277=TRUE, CM277=FALSE,CN277-CO277=0),"Indirect", AND(CL277=TRUE, CM277=FALSE,CN277-CO277&lt;0),"Indirect", AND(CL277=FALSE,CM277=FALSE,CN277-CO277&gt;-1),"Direct", AND(CL277=FALSE,CM277=FALSE,CN277-CO277&lt;0),"Check algorithm in appendix 2", AND(CL277=TRUE,CM277=TRUE,CN277-CO277&gt;-1),"Direct", AND(CL277=TRUE,CM277=TRUE,CN277-CO277&lt;0),"Check algorithm in appendix 2"))</f>
        <v/>
      </c>
      <c r="BC277" s="120" t="str">
        <f t="shared" si="10"/>
        <v/>
      </c>
      <c r="BD277" s="140"/>
      <c r="BE277" s="122" t="str">
        <f>IF(Preferences!B$3="Manual","", IFERROR(IFS(AND(Preferences!B$3="Automatic",AX277/AW277&gt;=30),"Extremely serious",AND(AY277&lt;=$D$1*-1,BA277&lt;0,AX277/AW277&lt;3),"Not Serious",AND(AY277&lt;=$D$1*-1,BA277&lt;0,AX277/AW277&gt;=3),"Very serious",AND(AY277&gt;=$D$1,AZ277&gt;0,AX277/AW277&lt;3),"Not Serious",AND(AY277&gt;=$D$1,AZ277&gt;0,AX277/AW277&gt;=3),"Very serious",AND(AY277&lt;=$D$1*-1,BA277&gt;0,AZ277&gt;$D$2*-1,AX277/AW277&lt;3),"Serious", AND(AY277&lt;=$D$1*-1,BA277&gt;0,AZ277&lt;$D$2*-1,AX277/AW277&lt;3),"Very serious", AND(AY277&gt;=$D$1,AZ277&lt;0,BA277&lt;$D$2,AX277/AW277&lt;3),"Serious",AND(AY277&gt;=$D$1,AZ277&lt;0,BA277&gt;$D$2,AX277/AW277&lt;3),"Very serious", AND(AY277&lt;=$D$1*-1,BA277&gt;0,AZ277&gt;$D$2*-1,AX277/AW277&gt;=3),"Very serious", AND(AY277&lt;=$D$1*-1,BA277&gt;0,AZ277&lt;$D$2*-1,AX277/AW277&gt;=3),"Very serious", AND(AY277&gt;=$D$1,AZ277&lt;0,BA277&lt;$D$2,AX277/AW277&gt;=3),"Very serious", AND(AY277&gt;=$D$1,AZ277&lt;0,BA277&gt;$D$2,AX277/AW277&gt;=3),"Very serious", AND(AY277&gt;$D$1*-1,AY277&lt;$D$1,AZ277&gt;$D$1*-1,BA277&lt;$D$1,AX277/AW277&lt;3),"Not Serious", AND(AY277&gt;$D$1*-1,AY277&lt;$D$1,OR(AZ277&lt;=$D$1*-1,BA277&gt;=$D$1),AZ277&gt;$D$2*-1,BA277&lt;$D$2,AX277/AW277&lt;3),"Serious", AND(AY277&gt;$D$1*-1,AY277&lt;$D$1,OR(AZ277&lt;=$D$2*-1,BA277&gt;=$D$2),AX277/AW277&lt;3),"Very serious", AND(AY277&gt;$D$1*-1,AY277&lt;$D$1,AZ277&gt;$D$1*-1,BA277&lt;$D$1,AX277/AW277&gt;=3),"Very serious", AND(AY277&gt;$D$1*-1,AY277&lt;$D$1,OR(AZ277&lt;=$D$1*-1,BA277&gt;=$D$1),AZ277&gt;$D$2*-1,BA277&lt;$D$2,AX277/AW277&gt;=3),"Very serious", AND(AY277&gt;$D$1*-1,AY277&lt;$D$1,OR(AZ277&lt;=$D$2*-1,BA277&gt;=$D$2),AX277/AW277&gt;=3),"Very serious"),""))</f>
        <v/>
      </c>
      <c r="BF277" s="107" t="str">
        <f t="shared" si="11"/>
        <v/>
      </c>
      <c r="BG277" s="94" t="str">
        <f t="shared" si="46"/>
        <v/>
      </c>
      <c r="BH277" s="64" t="str">
        <f t="shared" si="12"/>
        <v>#N/A</v>
      </c>
      <c r="BI277" s="64" t="str">
        <f t="shared" si="13"/>
        <v/>
      </c>
      <c r="BJ277" s="123" t="str">
        <f t="shared" si="14"/>
        <v>#N/A</v>
      </c>
      <c r="BK277" s="64" t="str">
        <f t="shared" si="50"/>
        <v>YES</v>
      </c>
      <c r="BL277" s="64" t="str">
        <f t="shared" si="16"/>
        <v>YES</v>
      </c>
      <c r="BM277" s="64" t="str">
        <f t="shared" si="17"/>
        <v>YES</v>
      </c>
      <c r="BN277" s="124" t="str">
        <f t="shared" si="18"/>
        <v/>
      </c>
      <c r="BO277" s="91" t="str">
        <f t="shared" si="19"/>
        <v/>
      </c>
      <c r="BP277" s="91" t="str">
        <f t="shared" si="20"/>
        <v>#N/A</v>
      </c>
      <c r="BQ277" s="91" t="str">
        <f t="shared" si="21"/>
        <v/>
      </c>
      <c r="BR277" s="93" t="str">
        <f t="shared" si="22"/>
        <v/>
      </c>
      <c r="BS277" s="90" t="str">
        <f t="shared" si="23"/>
        <v/>
      </c>
      <c r="BT277" s="93" t="str">
        <f t="shared" si="24"/>
        <v>NA</v>
      </c>
      <c r="BU277" s="125" t="str">
        <f t="shared" si="25"/>
        <v>#N/A</v>
      </c>
      <c r="BV277" s="93" t="str">
        <f t="shared" si="26"/>
        <v/>
      </c>
      <c r="BW277" s="93" t="str">
        <f t="shared" si="27"/>
        <v/>
      </c>
      <c r="BX277" s="93" t="str">
        <f t="shared" si="28"/>
        <v>NA</v>
      </c>
      <c r="BY277" s="95" t="str">
        <f t="shared" si="29"/>
        <v>#N/A</v>
      </c>
      <c r="BZ277" s="93" t="str">
        <f t="shared" si="30"/>
        <v/>
      </c>
      <c r="CA277" s="93" t="str">
        <f t="shared" si="31"/>
        <v/>
      </c>
      <c r="CB277" s="93" t="str">
        <f t="shared" si="32"/>
        <v>NA</v>
      </c>
      <c r="CC277" s="96" t="str">
        <f t="shared" si="33"/>
        <v>#N/A</v>
      </c>
      <c r="CD277" s="93" t="str">
        <f t="shared" si="34"/>
        <v/>
      </c>
      <c r="CE277" s="93" t="str">
        <f t="shared" si="35"/>
        <v/>
      </c>
      <c r="CF277" s="93" t="str">
        <f t="shared" si="36"/>
        <v>NA</v>
      </c>
      <c r="CG277" s="97" t="str">
        <f t="shared" si="37"/>
        <v>#N/A</v>
      </c>
      <c r="CH277" s="98" t="str">
        <f t="shared" si="38"/>
        <v>#N/A</v>
      </c>
      <c r="CI277" s="99" t="str">
        <f t="shared" si="39"/>
        <v>#N/A</v>
      </c>
      <c r="CJ277" s="126" t="str">
        <f t="shared" si="40"/>
        <v>ERROR: check cell</v>
      </c>
      <c r="CK277" s="126"/>
      <c r="CL277" s="127" t="str">
        <f t="shared" si="41"/>
        <v>#DIV/0!</v>
      </c>
      <c r="CM277" s="128" t="str">
        <f t="shared" si="42"/>
        <v>#DIV/0!</v>
      </c>
      <c r="CN277" s="128">
        <f t="shared" si="43"/>
        <v>4</v>
      </c>
      <c r="CO277" s="129">
        <f t="shared" si="44"/>
        <v>4</v>
      </c>
      <c r="CP277" s="129" t="str">
        <f>IFS(C277=Preferences!B$13,B277,B277=Preferences!B$13,C277)</f>
        <v>#N/A</v>
      </c>
    </row>
    <row r="278" ht="13.5" customHeight="1">
      <c r="A278" s="63" t="str">
        <f t="shared" si="45"/>
        <v/>
      </c>
      <c r="B278" s="64"/>
      <c r="C278" s="64"/>
      <c r="D278" s="64"/>
      <c r="E278" s="65"/>
      <c r="F278" s="65"/>
      <c r="G278" s="65"/>
      <c r="H278" s="66"/>
      <c r="I278" s="66"/>
      <c r="J278" s="67"/>
      <c r="K278" s="68"/>
      <c r="L278" s="104"/>
      <c r="M278" s="104"/>
      <c r="N278" s="104"/>
      <c r="O278" s="104"/>
      <c r="P278" s="107" t="str">
        <f t="shared" si="1"/>
        <v/>
      </c>
      <c r="Q278" s="108" t="str">
        <f>IFERROR(IF(AND(Preferences!B$3="Manual",OR(AX278/AW278&gt;G278/F278,BD278="Serious",BD278="Very serious")),"Assess imprecision",IFS(ISBLANK(E278),"",AND(Preferences!B$3="Automatic", G278/F278&gt;=30),"Extremely serious",AND(H278&lt;=$D$1*-1,J278&lt;0,G278/F278&lt;3),"Not serious",AND(H278&lt;=$D$1*-1,J278&lt;0,G278/F278&gt;=3),"Very serious",AND(H278&gt;=$D$1,I278&gt;0,G278/F278&lt;3),"Not serious",AND(H278&gt;=$D$1,I278&gt;0,G278/F278&gt;=3),"Very serious",AND(H278&lt;=$D$1*-1,J278&gt;0,I278&gt;$D$2*-1,G278/F278&lt;3),"Serious", AND(H278&lt;=$D$1*-1,J278&gt;0,I278&lt;$D$2*-1,G278/F278&lt;3),"Very serious", AND(H278&gt;=$D$1,I278&lt;0,J278&lt;$D$2,G278/F278&lt;3),"Serious",AND(H278&gt;=$D$1,I278&lt;0,J278&gt;$D$2,G278/F278&lt;3),"Very serious", AND(H278&lt;=$D$1*-1,J278&gt;0,I278&gt;$D$2*-1,G278/F278&gt;=3),"Very serious", AND(H278&lt;=$D$1*-1,J278&gt;0,I278&lt;$D$2*-1,G278/F278&gt;=3),"Very serious", AND(H278&gt;=$D$1,I278&lt;0,J278&lt;$D$2,G278/F278&gt;=3),"Very serious", AND(H278&gt;=$D$1,I278&lt;0,J278&gt;$D$2,G278/F278&gt;=3),"Very serious", AND(H278&gt;$D$1*-1,H278&lt;$D$1,I278&gt;$D$1*-1,J278&lt;$D$1,G278/F278&lt;3),"Not serious", AND(H278&gt;$D$1*-1,H278&lt;$D$1,OR(I278&lt;=$D$1*-1,J278&gt;=$D$1),I278&gt;$D$2*-1,J278&lt;$D$2,G278/F278&lt;3),"Serious", AND(H278&gt;$D$1*-1,H278&lt;$D$1,OR(I278&lt;=$D$2*-1,J278&gt;=$D$2),G278/F278&lt;3),"Very serious", AND(H278&gt;$D$1*-1,H278&lt;$D$1,I278&gt;$D$1*-1,J278&lt;$D$1,G278/F278&gt;=3),"Very serious", AND(H278&gt;$D$1*-1,H278&lt;$D$1,OR(I278&lt;=$D$1*-1,J278&gt;=$D$1),I278&gt;$D$2*-1,J278&lt;$D$2,G278/F278&gt;=3),"Very serious", AND(H278&gt;$D$1*-1,H278&lt;$D$1,OR(I278&lt;=$D$2*-1,J278&gt;=$D$2),G278/F278&gt;=3),"Very serious")),"")</f>
        <v/>
      </c>
      <c r="R278" s="109" t="str">
        <f t="shared" si="47"/>
        <v/>
      </c>
      <c r="S278" s="64"/>
      <c r="T278" s="72"/>
      <c r="U278" s="72"/>
      <c r="V278" s="72"/>
      <c r="W278" s="73"/>
      <c r="X278" s="73"/>
      <c r="Y278" s="74"/>
      <c r="Z278" s="113" t="str">
        <f t="array" ref="Z278">INDEX($A$1:$C$500, MATCH(1,($B:$B=$B278)*($C:$C=$AB278),0),1)</f>
        <v/>
      </c>
      <c r="AA278" s="113" t="str">
        <f t="array" ref="AA278">INDEX($A$1:$C$500, MATCH(1,($B:$B=$AB278)*($C:$C=$B278),0),1)</f>
        <v/>
      </c>
      <c r="AB278" s="111"/>
      <c r="AC278" s="114" t="str">
        <f t="shared" si="2"/>
        <v/>
      </c>
      <c r="AD278" s="115" t="str">
        <f t="shared" si="3"/>
        <v/>
      </c>
      <c r="AE278" s="116" t="str">
        <f t="array" ref="AE278">INDEX($A$1:$C$500, MATCH(1,($B:$B=$AB278)*($C:$C=$AG278),0),1)</f>
        <v/>
      </c>
      <c r="AF278" s="116" t="str">
        <f t="array" ref="AF278">INDEX($A$1:$C$500, MATCH(1,($B:$B=$AG278)*($C:$C=$AB278),0),1)</f>
        <v/>
      </c>
      <c r="AG278" s="72"/>
      <c r="AH278" s="114" t="str">
        <f t="shared" si="4"/>
        <v/>
      </c>
      <c r="AI278" s="115" t="str">
        <f t="shared" si="5"/>
        <v/>
      </c>
      <c r="AJ278" s="116" t="str">
        <f t="array" ref="AJ278">INDEX($A$1:$C$500, MATCH(1,($B:$B=$C278)*($C:$C=$AG278),0),1)</f>
        <v/>
      </c>
      <c r="AK278" s="116" t="str">
        <f t="array" ref="AK278">INDEX($A$1:$C$500, MATCH(1,($B:$B=$AG278)*($C:$C=$C278),0),1)</f>
        <v/>
      </c>
      <c r="AL278" s="116" t="str">
        <f t="array" ref="AL278">INDEX($A$1:$C$500, MATCH(1,($B:$B=$C278)*($C:$C=$AB278),0),1)</f>
        <v/>
      </c>
      <c r="AM278" s="116" t="str">
        <f t="array" ref="AM278">INDEX($A$1:$C$500, MATCH(1,($B:$B=$AB278)*($C:$C=$C278),0),1)</f>
        <v/>
      </c>
      <c r="AN278" s="114" t="str">
        <f t="array" ref="AN278">IFS(ISNUMBER(AJ278),AJ278,ISNUMBER(AK278),AK278,ISNUMBER(AL278),AL278,ISNUMBER(AM278),AM278)</f>
        <v>#N/A</v>
      </c>
      <c r="AO278" s="115" t="str">
        <f t="shared" si="6"/>
        <v/>
      </c>
      <c r="AP278" s="115" t="str">
        <f t="shared" si="7"/>
        <v/>
      </c>
      <c r="AQ278" s="111"/>
      <c r="AR278" s="109" t="str">
        <f t="shared" si="8"/>
        <v/>
      </c>
      <c r="AS278" s="72" t="str">
        <f>IFERROR(IF(AND(Preferences!B$3="Manual",OR(AX278/AW278&gt;V278/U278,BD278="Serious",BD278="Very serious")),"Assess imprecision",IFERROR(IFS(AND(Preferences!B$3="Automatic",V278/U278&gt;=30),"Extremely serious",AND(W278&lt;=$D$1*-1,Y278&lt;0,V278/U278&lt;3),"Not Serious",AND(W278&lt;=$D$1*-1,Y278&lt;0,V278/U278&gt;=3),"Very serious",AND(W278&gt;=$D$1,X278&gt;0,V278/U278&lt;3),"Not Serious",AND(W278&gt;=$D$1,X278&gt;0,V278/U278&gt;=3),"Very serious",AND(W278&lt;=$D$1*-1,Y278&gt;0,X278&gt;$D$2*-1,V278/U278&lt;3),"Serious", AND(W278&lt;=$D$1*-1,Y278&gt;0,X278&lt;$D$2*-1,V278/U278&lt;3),"Very serious", AND(W278&gt;=$D$1,X278&lt;0,Y278&lt;$D$2,V278/U278&lt;3),"Serious",AND(W278&gt;=$D$1,X278&lt;0,Y278&gt;$D$2,V278/U278&lt;3),"Very serious", AND(W278&lt;=$D$1*-1,Y278&gt;0,X278&gt;$D$2*-1,V278/U278&gt;=3),"Very serious", AND(W278&lt;=$D$1*-1,Y278&gt;0,X278&lt;$D$2*-1,V278/U278&gt;=3),"Very serious", AND(W278&gt;=$D$1,X278&lt;0,Y278&lt;$D$2,V278/U278&gt;=3),"Very serious", AND(W278&gt;=$D$1,X278&lt;0,Y278&gt;$D$2,V278/U278&gt;=3),"Very serious", AND(W278&gt;$D$1*-1,W278&lt;$D$1,X278&gt;$D$1*-1,Y278&lt;$D$1,V278/U278&lt;3),"Not Serious", AND(W278&gt;$D$1*-1,W278&lt;$D$1,OR(X278&lt;=$D$1*-1,Y278&gt;=$D$1),X278&gt;$D$2*-1,Y278&lt;$D$2,V278/U278&lt;3),"Serious", AND(W278&gt;$D$1*-1,W278&lt;$D$1,OR(X278&lt;=$D$2*-1,Y278&gt;=$D$2),V278/U278&lt;3),"Very serious", AND(W278&gt;$D$1*-1,W278&lt;$D$1,X278&gt;$D$1*-1,Y278&lt;$D$1,V278/U278&gt;=3),"Very serious", AND(W278&gt;$D$1*-1,W278&lt;$D$1,OR(X278&lt;=$D$1*-1,Y278&gt;=$D$1),X278&gt;$D$2*-1,Y278&lt;$D$2,V278/U278&gt;=3),"Very serious", AND(W278&gt;$D$1*-1,W278&lt;$D$1,OR(X278&lt;=$D$2*-1,Y278&gt;=$D$2),V278/U278&gt;=3),"Very serious"),"")),"")</f>
        <v/>
      </c>
      <c r="AT278" s="109" t="str">
        <f t="shared" si="9"/>
        <v/>
      </c>
      <c r="AU278" s="64"/>
      <c r="AV278" s="83"/>
      <c r="AW278" s="83"/>
      <c r="AX278" s="83"/>
      <c r="AY278" s="83"/>
      <c r="AZ278" s="83"/>
      <c r="BA278" s="85"/>
      <c r="BB278" s="86" t="str">
        <f>IF(Preferences!B$9="Manual","",IFS(ISBLANK(B278),"",AND(ISNUMBER(E278)=TRUE,ISNUMBER(T278)=FALSE),"Direct", AND(ISNUMBER(E278)=FALSE,ISNUMBER(T278)=TRUE),"Indirect", CN278=4,"Direct",AND(CL278=FALSE, CM278=TRUE,CN278-CO278&gt;-1),"Direct", AND(CL278=FALSE,CM278=TRUE, CN278-CO278&lt;0),"Check algorithm in appendix 2", AND(CL278=TRUE, CM278=FALSE,CN278-CO278&gt;0),"Check algorithm in appendix 2", AND(CL278=TRUE, CM278=FALSE,CN278-CO278=0),"Indirect", AND(CL278=TRUE, CM278=FALSE,CN278-CO278&lt;0),"Indirect", AND(CL278=FALSE,CM278=FALSE,CN278-CO278&gt;-1),"Direct", AND(CL278=FALSE,CM278=FALSE,CN278-CO278&lt;0),"Check algorithm in appendix 2", AND(CL278=TRUE,CM278=TRUE,CN278-CO278&gt;-1),"Direct", AND(CL278=TRUE,CM278=TRUE,CN278-CO278&lt;0),"Check algorithm in appendix 2"))</f>
        <v/>
      </c>
      <c r="BC278" s="120" t="str">
        <f t="shared" si="10"/>
        <v/>
      </c>
      <c r="BD278" s="140"/>
      <c r="BE278" s="122" t="str">
        <f>IF(Preferences!B$3="Manual","", IFERROR(IFS(AND(Preferences!B$3="Automatic",AX278/AW278&gt;=30),"Extremely serious",AND(AY278&lt;=$D$1*-1,BA278&lt;0,AX278/AW278&lt;3),"Not Serious",AND(AY278&lt;=$D$1*-1,BA278&lt;0,AX278/AW278&gt;=3),"Very serious",AND(AY278&gt;=$D$1,AZ278&gt;0,AX278/AW278&lt;3),"Not Serious",AND(AY278&gt;=$D$1,AZ278&gt;0,AX278/AW278&gt;=3),"Very serious",AND(AY278&lt;=$D$1*-1,BA278&gt;0,AZ278&gt;$D$2*-1,AX278/AW278&lt;3),"Serious", AND(AY278&lt;=$D$1*-1,BA278&gt;0,AZ278&lt;$D$2*-1,AX278/AW278&lt;3),"Very serious", AND(AY278&gt;=$D$1,AZ278&lt;0,BA278&lt;$D$2,AX278/AW278&lt;3),"Serious",AND(AY278&gt;=$D$1,AZ278&lt;0,BA278&gt;$D$2,AX278/AW278&lt;3),"Very serious", AND(AY278&lt;=$D$1*-1,BA278&gt;0,AZ278&gt;$D$2*-1,AX278/AW278&gt;=3),"Very serious", AND(AY278&lt;=$D$1*-1,BA278&gt;0,AZ278&lt;$D$2*-1,AX278/AW278&gt;=3),"Very serious", AND(AY278&gt;=$D$1,AZ278&lt;0,BA278&lt;$D$2,AX278/AW278&gt;=3),"Very serious", AND(AY278&gt;=$D$1,AZ278&lt;0,BA278&gt;$D$2,AX278/AW278&gt;=3),"Very serious", AND(AY278&gt;$D$1*-1,AY278&lt;$D$1,AZ278&gt;$D$1*-1,BA278&lt;$D$1,AX278/AW278&lt;3),"Not Serious", AND(AY278&gt;$D$1*-1,AY278&lt;$D$1,OR(AZ278&lt;=$D$1*-1,BA278&gt;=$D$1),AZ278&gt;$D$2*-1,BA278&lt;$D$2,AX278/AW278&lt;3),"Serious", AND(AY278&gt;$D$1*-1,AY278&lt;$D$1,OR(AZ278&lt;=$D$2*-1,BA278&gt;=$D$2),AX278/AW278&lt;3),"Very serious", AND(AY278&gt;$D$1*-1,AY278&lt;$D$1,AZ278&gt;$D$1*-1,BA278&lt;$D$1,AX278/AW278&gt;=3),"Very serious", AND(AY278&gt;$D$1*-1,AY278&lt;$D$1,OR(AZ278&lt;=$D$1*-1,BA278&gt;=$D$1),AZ278&gt;$D$2*-1,BA278&lt;$D$2,AX278/AW278&gt;=3),"Very serious", AND(AY278&gt;$D$1*-1,AY278&lt;$D$1,OR(AZ278&lt;=$D$2*-1,BA278&gt;=$D$2),AX278/AW278&gt;=3),"Very serious"),""))</f>
        <v/>
      </c>
      <c r="BF278" s="107" t="str">
        <f t="shared" si="11"/>
        <v/>
      </c>
      <c r="BG278" s="94" t="str">
        <f t="shared" si="46"/>
        <v/>
      </c>
      <c r="BH278" s="64" t="str">
        <f t="shared" si="12"/>
        <v>#N/A</v>
      </c>
      <c r="BI278" s="64" t="str">
        <f t="shared" si="13"/>
        <v/>
      </c>
      <c r="BJ278" s="123" t="str">
        <f t="shared" si="14"/>
        <v>#N/A</v>
      </c>
      <c r="BK278" s="64" t="str">
        <f t="shared" si="50"/>
        <v>YES</v>
      </c>
      <c r="BL278" s="64" t="str">
        <f t="shared" si="16"/>
        <v>YES</v>
      </c>
      <c r="BM278" s="64" t="str">
        <f t="shared" si="17"/>
        <v>YES</v>
      </c>
      <c r="BN278" s="124" t="str">
        <f t="shared" si="18"/>
        <v/>
      </c>
      <c r="BO278" s="91" t="str">
        <f t="shared" si="19"/>
        <v/>
      </c>
      <c r="BP278" s="91" t="str">
        <f t="shared" si="20"/>
        <v>#N/A</v>
      </c>
      <c r="BQ278" s="91" t="str">
        <f t="shared" si="21"/>
        <v/>
      </c>
      <c r="BR278" s="93" t="str">
        <f t="shared" si="22"/>
        <v/>
      </c>
      <c r="BS278" s="90" t="str">
        <f t="shared" si="23"/>
        <v/>
      </c>
      <c r="BT278" s="93" t="str">
        <f t="shared" si="24"/>
        <v>NA</v>
      </c>
      <c r="BU278" s="125" t="str">
        <f t="shared" si="25"/>
        <v>#N/A</v>
      </c>
      <c r="BV278" s="93" t="str">
        <f t="shared" si="26"/>
        <v/>
      </c>
      <c r="BW278" s="93" t="str">
        <f t="shared" si="27"/>
        <v/>
      </c>
      <c r="BX278" s="93" t="str">
        <f t="shared" si="28"/>
        <v>NA</v>
      </c>
      <c r="BY278" s="95" t="str">
        <f t="shared" si="29"/>
        <v>#N/A</v>
      </c>
      <c r="BZ278" s="93" t="str">
        <f t="shared" si="30"/>
        <v/>
      </c>
      <c r="CA278" s="93" t="str">
        <f t="shared" si="31"/>
        <v/>
      </c>
      <c r="CB278" s="93" t="str">
        <f t="shared" si="32"/>
        <v>NA</v>
      </c>
      <c r="CC278" s="96" t="str">
        <f t="shared" si="33"/>
        <v>#N/A</v>
      </c>
      <c r="CD278" s="93" t="str">
        <f t="shared" si="34"/>
        <v/>
      </c>
      <c r="CE278" s="93" t="str">
        <f t="shared" si="35"/>
        <v/>
      </c>
      <c r="CF278" s="93" t="str">
        <f t="shared" si="36"/>
        <v>NA</v>
      </c>
      <c r="CG278" s="97" t="str">
        <f t="shared" si="37"/>
        <v>#N/A</v>
      </c>
      <c r="CH278" s="98" t="str">
        <f t="shared" si="38"/>
        <v>#N/A</v>
      </c>
      <c r="CI278" s="99" t="str">
        <f t="shared" si="39"/>
        <v>#N/A</v>
      </c>
      <c r="CJ278" s="126" t="str">
        <f t="shared" si="40"/>
        <v>ERROR: check cell</v>
      </c>
      <c r="CK278" s="126"/>
      <c r="CL278" s="127" t="str">
        <f t="shared" si="41"/>
        <v>#DIV/0!</v>
      </c>
      <c r="CM278" s="128" t="str">
        <f t="shared" si="42"/>
        <v>#DIV/0!</v>
      </c>
      <c r="CN278" s="128">
        <f t="shared" si="43"/>
        <v>4</v>
      </c>
      <c r="CO278" s="129">
        <f t="shared" si="44"/>
        <v>4</v>
      </c>
      <c r="CP278" s="129" t="str">
        <f>IFS(C278=Preferences!B$13,B278,B278=Preferences!B$13,C278)</f>
        <v>#N/A</v>
      </c>
    </row>
    <row r="279" ht="13.5" customHeight="1">
      <c r="A279" s="63" t="str">
        <f t="shared" si="45"/>
        <v/>
      </c>
      <c r="B279" s="64"/>
      <c r="C279" s="64"/>
      <c r="D279" s="64"/>
      <c r="E279" s="65"/>
      <c r="F279" s="65"/>
      <c r="G279" s="65"/>
      <c r="H279" s="66"/>
      <c r="I279" s="66"/>
      <c r="J279" s="67"/>
      <c r="K279" s="68"/>
      <c r="L279" s="104"/>
      <c r="M279" s="104"/>
      <c r="N279" s="104"/>
      <c r="O279" s="104"/>
      <c r="P279" s="107" t="str">
        <f t="shared" si="1"/>
        <v/>
      </c>
      <c r="Q279" s="108" t="str">
        <f>IFERROR(IF(AND(Preferences!B$3="Manual",OR(AX279/AW279&gt;G279/F279,BD279="Serious",BD279="Very serious")),"Assess imprecision",IFS(ISBLANK(E279),"",AND(Preferences!B$3="Automatic", G279/F279&gt;=30),"Extremely serious",AND(H279&lt;=$D$1*-1,J279&lt;0,G279/F279&lt;3),"Not serious",AND(H279&lt;=$D$1*-1,J279&lt;0,G279/F279&gt;=3),"Very serious",AND(H279&gt;=$D$1,I279&gt;0,G279/F279&lt;3),"Not serious",AND(H279&gt;=$D$1,I279&gt;0,G279/F279&gt;=3),"Very serious",AND(H279&lt;=$D$1*-1,J279&gt;0,I279&gt;$D$2*-1,G279/F279&lt;3),"Serious", AND(H279&lt;=$D$1*-1,J279&gt;0,I279&lt;$D$2*-1,G279/F279&lt;3),"Very serious", AND(H279&gt;=$D$1,I279&lt;0,J279&lt;$D$2,G279/F279&lt;3),"Serious",AND(H279&gt;=$D$1,I279&lt;0,J279&gt;$D$2,G279/F279&lt;3),"Very serious", AND(H279&lt;=$D$1*-1,J279&gt;0,I279&gt;$D$2*-1,G279/F279&gt;=3),"Very serious", AND(H279&lt;=$D$1*-1,J279&gt;0,I279&lt;$D$2*-1,G279/F279&gt;=3),"Very serious", AND(H279&gt;=$D$1,I279&lt;0,J279&lt;$D$2,G279/F279&gt;=3),"Very serious", AND(H279&gt;=$D$1,I279&lt;0,J279&gt;$D$2,G279/F279&gt;=3),"Very serious", AND(H279&gt;$D$1*-1,H279&lt;$D$1,I279&gt;$D$1*-1,J279&lt;$D$1,G279/F279&lt;3),"Not serious", AND(H279&gt;$D$1*-1,H279&lt;$D$1,OR(I279&lt;=$D$1*-1,J279&gt;=$D$1),I279&gt;$D$2*-1,J279&lt;$D$2,G279/F279&lt;3),"Serious", AND(H279&gt;$D$1*-1,H279&lt;$D$1,OR(I279&lt;=$D$2*-1,J279&gt;=$D$2),G279/F279&lt;3),"Very serious", AND(H279&gt;$D$1*-1,H279&lt;$D$1,I279&gt;$D$1*-1,J279&lt;$D$1,G279/F279&gt;=3),"Very serious", AND(H279&gt;$D$1*-1,H279&lt;$D$1,OR(I279&lt;=$D$1*-1,J279&gt;=$D$1),I279&gt;$D$2*-1,J279&lt;$D$2,G279/F279&gt;=3),"Very serious", AND(H279&gt;$D$1*-1,H279&lt;$D$1,OR(I279&lt;=$D$2*-1,J279&gt;=$D$2),G279/F279&gt;=3),"Very serious")),"")</f>
        <v/>
      </c>
      <c r="R279" s="109" t="str">
        <f t="shared" si="47"/>
        <v/>
      </c>
      <c r="S279" s="64"/>
      <c r="T279" s="72"/>
      <c r="U279" s="72"/>
      <c r="V279" s="72"/>
      <c r="W279" s="73"/>
      <c r="X279" s="73"/>
      <c r="Y279" s="74"/>
      <c r="Z279" s="113" t="str">
        <f t="array" ref="Z279">INDEX($A$1:$C$500, MATCH(1,($B:$B=$B279)*($C:$C=$AB279),0),1)</f>
        <v/>
      </c>
      <c r="AA279" s="113" t="str">
        <f t="array" ref="AA279">INDEX($A$1:$C$500, MATCH(1,($B:$B=$AB279)*($C:$C=$B279),0),1)</f>
        <v/>
      </c>
      <c r="AB279" s="111"/>
      <c r="AC279" s="114" t="str">
        <f t="shared" si="2"/>
        <v/>
      </c>
      <c r="AD279" s="115" t="str">
        <f t="shared" si="3"/>
        <v/>
      </c>
      <c r="AE279" s="116" t="str">
        <f t="array" ref="AE279">INDEX($A$1:$C$500, MATCH(1,($B:$B=$AB279)*($C:$C=$AG279),0),1)</f>
        <v/>
      </c>
      <c r="AF279" s="116" t="str">
        <f t="array" ref="AF279">INDEX($A$1:$C$500, MATCH(1,($B:$B=$AG279)*($C:$C=$AB279),0),1)</f>
        <v/>
      </c>
      <c r="AG279" s="72"/>
      <c r="AH279" s="114" t="str">
        <f t="shared" si="4"/>
        <v/>
      </c>
      <c r="AI279" s="115" t="str">
        <f t="shared" si="5"/>
        <v/>
      </c>
      <c r="AJ279" s="116" t="str">
        <f t="array" ref="AJ279">INDEX($A$1:$C$500, MATCH(1,($B:$B=$C279)*($C:$C=$AG279),0),1)</f>
        <v/>
      </c>
      <c r="AK279" s="116" t="str">
        <f t="array" ref="AK279">INDEX($A$1:$C$500, MATCH(1,($B:$B=$AG279)*($C:$C=$C279),0),1)</f>
        <v/>
      </c>
      <c r="AL279" s="116" t="str">
        <f t="array" ref="AL279">INDEX($A$1:$C$500, MATCH(1,($B:$B=$C279)*($C:$C=$AB279),0),1)</f>
        <v/>
      </c>
      <c r="AM279" s="116" t="str">
        <f t="array" ref="AM279">INDEX($A$1:$C$500, MATCH(1,($B:$B=$AB279)*($C:$C=$C279),0),1)</f>
        <v/>
      </c>
      <c r="AN279" s="114" t="str">
        <f t="array" ref="AN279">IFS(ISNUMBER(AJ279),AJ279,ISNUMBER(AK279),AK279,ISNUMBER(AL279),AL279,ISNUMBER(AM279),AM279)</f>
        <v>#N/A</v>
      </c>
      <c r="AO279" s="115" t="str">
        <f t="shared" si="6"/>
        <v/>
      </c>
      <c r="AP279" s="115" t="str">
        <f t="shared" si="7"/>
        <v/>
      </c>
      <c r="AQ279" s="111"/>
      <c r="AR279" s="109" t="str">
        <f t="shared" si="8"/>
        <v/>
      </c>
      <c r="AS279" s="72" t="str">
        <f>IFERROR(IF(AND(Preferences!B$3="Manual",OR(AX279/AW279&gt;V279/U279,BD279="Serious",BD279="Very serious")),"Assess imprecision",IFERROR(IFS(AND(Preferences!B$3="Automatic",V279/U279&gt;=30),"Extremely serious",AND(W279&lt;=$D$1*-1,Y279&lt;0,V279/U279&lt;3),"Not Serious",AND(W279&lt;=$D$1*-1,Y279&lt;0,V279/U279&gt;=3),"Very serious",AND(W279&gt;=$D$1,X279&gt;0,V279/U279&lt;3),"Not Serious",AND(W279&gt;=$D$1,X279&gt;0,V279/U279&gt;=3),"Very serious",AND(W279&lt;=$D$1*-1,Y279&gt;0,X279&gt;$D$2*-1,V279/U279&lt;3),"Serious", AND(W279&lt;=$D$1*-1,Y279&gt;0,X279&lt;$D$2*-1,V279/U279&lt;3),"Very serious", AND(W279&gt;=$D$1,X279&lt;0,Y279&lt;$D$2,V279/U279&lt;3),"Serious",AND(W279&gt;=$D$1,X279&lt;0,Y279&gt;$D$2,V279/U279&lt;3),"Very serious", AND(W279&lt;=$D$1*-1,Y279&gt;0,X279&gt;$D$2*-1,V279/U279&gt;=3),"Very serious", AND(W279&lt;=$D$1*-1,Y279&gt;0,X279&lt;$D$2*-1,V279/U279&gt;=3),"Very serious", AND(W279&gt;=$D$1,X279&lt;0,Y279&lt;$D$2,V279/U279&gt;=3),"Very serious", AND(W279&gt;=$D$1,X279&lt;0,Y279&gt;$D$2,V279/U279&gt;=3),"Very serious", AND(W279&gt;$D$1*-1,W279&lt;$D$1,X279&gt;$D$1*-1,Y279&lt;$D$1,V279/U279&lt;3),"Not Serious", AND(W279&gt;$D$1*-1,W279&lt;$D$1,OR(X279&lt;=$D$1*-1,Y279&gt;=$D$1),X279&gt;$D$2*-1,Y279&lt;$D$2,V279/U279&lt;3),"Serious", AND(W279&gt;$D$1*-1,W279&lt;$D$1,OR(X279&lt;=$D$2*-1,Y279&gt;=$D$2),V279/U279&lt;3),"Very serious", AND(W279&gt;$D$1*-1,W279&lt;$D$1,X279&gt;$D$1*-1,Y279&lt;$D$1,V279/U279&gt;=3),"Very serious", AND(W279&gt;$D$1*-1,W279&lt;$D$1,OR(X279&lt;=$D$1*-1,Y279&gt;=$D$1),X279&gt;$D$2*-1,Y279&lt;$D$2,V279/U279&gt;=3),"Very serious", AND(W279&gt;$D$1*-1,W279&lt;$D$1,OR(X279&lt;=$D$2*-1,Y279&gt;=$D$2),V279/U279&gt;=3),"Very serious"),"")),"")</f>
        <v/>
      </c>
      <c r="AT279" s="109" t="str">
        <f t="shared" si="9"/>
        <v/>
      </c>
      <c r="AU279" s="64"/>
      <c r="AV279" s="83"/>
      <c r="AW279" s="83"/>
      <c r="AX279" s="83"/>
      <c r="AY279" s="83"/>
      <c r="AZ279" s="83"/>
      <c r="BA279" s="85"/>
      <c r="BB279" s="86" t="str">
        <f>IF(Preferences!B$9="Manual","",IFS(ISBLANK(B279),"",AND(ISNUMBER(E279)=TRUE,ISNUMBER(T279)=FALSE),"Direct", AND(ISNUMBER(E279)=FALSE,ISNUMBER(T279)=TRUE),"Indirect", CN279=4,"Direct",AND(CL279=FALSE, CM279=TRUE,CN279-CO279&gt;-1),"Direct", AND(CL279=FALSE,CM279=TRUE, CN279-CO279&lt;0),"Check algorithm in appendix 2", AND(CL279=TRUE, CM279=FALSE,CN279-CO279&gt;0),"Check algorithm in appendix 2", AND(CL279=TRUE, CM279=FALSE,CN279-CO279=0),"Indirect", AND(CL279=TRUE, CM279=FALSE,CN279-CO279&lt;0),"Indirect", AND(CL279=FALSE,CM279=FALSE,CN279-CO279&gt;-1),"Direct", AND(CL279=FALSE,CM279=FALSE,CN279-CO279&lt;0),"Check algorithm in appendix 2", AND(CL279=TRUE,CM279=TRUE,CN279-CO279&gt;-1),"Direct", AND(CL279=TRUE,CM279=TRUE,CN279-CO279&lt;0),"Check algorithm in appendix 2"))</f>
        <v/>
      </c>
      <c r="BC279" s="120" t="str">
        <f t="shared" si="10"/>
        <v/>
      </c>
      <c r="BD279" s="140"/>
      <c r="BE279" s="122" t="str">
        <f>IF(Preferences!B$3="Manual","", IFERROR(IFS(AND(Preferences!B$3="Automatic",AX279/AW279&gt;=30),"Extremely serious",AND(AY279&lt;=$D$1*-1,BA279&lt;0,AX279/AW279&lt;3),"Not Serious",AND(AY279&lt;=$D$1*-1,BA279&lt;0,AX279/AW279&gt;=3),"Very serious",AND(AY279&gt;=$D$1,AZ279&gt;0,AX279/AW279&lt;3),"Not Serious",AND(AY279&gt;=$D$1,AZ279&gt;0,AX279/AW279&gt;=3),"Very serious",AND(AY279&lt;=$D$1*-1,BA279&gt;0,AZ279&gt;$D$2*-1,AX279/AW279&lt;3),"Serious", AND(AY279&lt;=$D$1*-1,BA279&gt;0,AZ279&lt;$D$2*-1,AX279/AW279&lt;3),"Very serious", AND(AY279&gt;=$D$1,AZ279&lt;0,BA279&lt;$D$2,AX279/AW279&lt;3),"Serious",AND(AY279&gt;=$D$1,AZ279&lt;0,BA279&gt;$D$2,AX279/AW279&lt;3),"Very serious", AND(AY279&lt;=$D$1*-1,BA279&gt;0,AZ279&gt;$D$2*-1,AX279/AW279&gt;=3),"Very serious", AND(AY279&lt;=$D$1*-1,BA279&gt;0,AZ279&lt;$D$2*-1,AX279/AW279&gt;=3),"Very serious", AND(AY279&gt;=$D$1,AZ279&lt;0,BA279&lt;$D$2,AX279/AW279&gt;=3),"Very serious", AND(AY279&gt;=$D$1,AZ279&lt;0,BA279&gt;$D$2,AX279/AW279&gt;=3),"Very serious", AND(AY279&gt;$D$1*-1,AY279&lt;$D$1,AZ279&gt;$D$1*-1,BA279&lt;$D$1,AX279/AW279&lt;3),"Not Serious", AND(AY279&gt;$D$1*-1,AY279&lt;$D$1,OR(AZ279&lt;=$D$1*-1,BA279&gt;=$D$1),AZ279&gt;$D$2*-1,BA279&lt;$D$2,AX279/AW279&lt;3),"Serious", AND(AY279&gt;$D$1*-1,AY279&lt;$D$1,OR(AZ279&lt;=$D$2*-1,BA279&gt;=$D$2),AX279/AW279&lt;3),"Very serious", AND(AY279&gt;$D$1*-1,AY279&lt;$D$1,AZ279&gt;$D$1*-1,BA279&lt;$D$1,AX279/AW279&gt;=3),"Very serious", AND(AY279&gt;$D$1*-1,AY279&lt;$D$1,OR(AZ279&lt;=$D$1*-1,BA279&gt;=$D$1),AZ279&gt;$D$2*-1,BA279&lt;$D$2,AX279/AW279&gt;=3),"Very serious", AND(AY279&gt;$D$1*-1,AY279&lt;$D$1,OR(AZ279&lt;=$D$2*-1,BA279&gt;=$D$2),AX279/AW279&gt;=3),"Very serious"),""))</f>
        <v/>
      </c>
      <c r="BF279" s="107" t="str">
        <f t="shared" si="11"/>
        <v/>
      </c>
      <c r="BG279" s="94" t="str">
        <f t="shared" si="46"/>
        <v/>
      </c>
      <c r="BH279" s="64" t="str">
        <f t="shared" si="12"/>
        <v>#N/A</v>
      </c>
      <c r="BI279" s="64" t="str">
        <f t="shared" si="13"/>
        <v/>
      </c>
      <c r="BJ279" s="123" t="str">
        <f t="shared" si="14"/>
        <v>#N/A</v>
      </c>
      <c r="BK279" s="64" t="str">
        <f t="shared" si="50"/>
        <v>YES</v>
      </c>
      <c r="BL279" s="64" t="str">
        <f t="shared" si="16"/>
        <v>YES</v>
      </c>
      <c r="BM279" s="64" t="str">
        <f t="shared" si="17"/>
        <v>YES</v>
      </c>
      <c r="BN279" s="124" t="str">
        <f t="shared" si="18"/>
        <v/>
      </c>
      <c r="BO279" s="91" t="str">
        <f t="shared" si="19"/>
        <v/>
      </c>
      <c r="BP279" s="91" t="str">
        <f t="shared" si="20"/>
        <v>#N/A</v>
      </c>
      <c r="BQ279" s="91" t="str">
        <f t="shared" si="21"/>
        <v/>
      </c>
      <c r="BR279" s="93" t="str">
        <f t="shared" si="22"/>
        <v/>
      </c>
      <c r="BS279" s="90" t="str">
        <f t="shared" si="23"/>
        <v/>
      </c>
      <c r="BT279" s="93" t="str">
        <f t="shared" si="24"/>
        <v>NA</v>
      </c>
      <c r="BU279" s="125" t="str">
        <f t="shared" si="25"/>
        <v>#N/A</v>
      </c>
      <c r="BV279" s="93" t="str">
        <f t="shared" si="26"/>
        <v/>
      </c>
      <c r="BW279" s="93" t="str">
        <f t="shared" si="27"/>
        <v/>
      </c>
      <c r="BX279" s="93" t="str">
        <f t="shared" si="28"/>
        <v>NA</v>
      </c>
      <c r="BY279" s="95" t="str">
        <f t="shared" si="29"/>
        <v>#N/A</v>
      </c>
      <c r="BZ279" s="93" t="str">
        <f t="shared" si="30"/>
        <v/>
      </c>
      <c r="CA279" s="93" t="str">
        <f t="shared" si="31"/>
        <v/>
      </c>
      <c r="CB279" s="93" t="str">
        <f t="shared" si="32"/>
        <v>NA</v>
      </c>
      <c r="CC279" s="96" t="str">
        <f t="shared" si="33"/>
        <v>#N/A</v>
      </c>
      <c r="CD279" s="93" t="str">
        <f t="shared" si="34"/>
        <v/>
      </c>
      <c r="CE279" s="93" t="str">
        <f t="shared" si="35"/>
        <v/>
      </c>
      <c r="CF279" s="93" t="str">
        <f t="shared" si="36"/>
        <v>NA</v>
      </c>
      <c r="CG279" s="97" t="str">
        <f t="shared" si="37"/>
        <v>#N/A</v>
      </c>
      <c r="CH279" s="98" t="str">
        <f t="shared" si="38"/>
        <v>#N/A</v>
      </c>
      <c r="CI279" s="99" t="str">
        <f t="shared" si="39"/>
        <v>#N/A</v>
      </c>
      <c r="CJ279" s="126" t="str">
        <f t="shared" si="40"/>
        <v>ERROR: check cell</v>
      </c>
      <c r="CK279" s="126"/>
      <c r="CL279" s="127" t="str">
        <f t="shared" si="41"/>
        <v>#DIV/0!</v>
      </c>
      <c r="CM279" s="128" t="str">
        <f t="shared" si="42"/>
        <v>#DIV/0!</v>
      </c>
      <c r="CN279" s="128">
        <f t="shared" si="43"/>
        <v>4</v>
      </c>
      <c r="CO279" s="129">
        <f t="shared" si="44"/>
        <v>4</v>
      </c>
      <c r="CP279" s="129" t="str">
        <f>IFS(C279=Preferences!B$13,B279,B279=Preferences!B$13,C279)</f>
        <v>#N/A</v>
      </c>
    </row>
    <row r="280" ht="13.5" customHeight="1">
      <c r="A280" s="63" t="str">
        <f t="shared" si="45"/>
        <v/>
      </c>
      <c r="B280" s="64"/>
      <c r="C280" s="64"/>
      <c r="D280" s="64"/>
      <c r="E280" s="65"/>
      <c r="F280" s="65"/>
      <c r="G280" s="65"/>
      <c r="H280" s="66"/>
      <c r="I280" s="66"/>
      <c r="J280" s="67"/>
      <c r="K280" s="68"/>
      <c r="L280" s="104"/>
      <c r="M280" s="104"/>
      <c r="N280" s="104"/>
      <c r="O280" s="104"/>
      <c r="P280" s="107" t="str">
        <f t="shared" si="1"/>
        <v/>
      </c>
      <c r="Q280" s="108" t="str">
        <f>IFERROR(IF(AND(Preferences!B$3="Manual",OR(AX280/AW280&gt;G280/F280,BD280="Serious",BD280="Very serious")),"Assess imprecision",IFS(ISBLANK(E280),"",AND(Preferences!B$3="Automatic", G280/F280&gt;=30),"Extremely serious",AND(H280&lt;=$D$1*-1,J280&lt;0,G280/F280&lt;3),"Not serious",AND(H280&lt;=$D$1*-1,J280&lt;0,G280/F280&gt;=3),"Very serious",AND(H280&gt;=$D$1,I280&gt;0,G280/F280&lt;3),"Not serious",AND(H280&gt;=$D$1,I280&gt;0,G280/F280&gt;=3),"Very serious",AND(H280&lt;=$D$1*-1,J280&gt;0,I280&gt;$D$2*-1,G280/F280&lt;3),"Serious", AND(H280&lt;=$D$1*-1,J280&gt;0,I280&lt;$D$2*-1,G280/F280&lt;3),"Very serious", AND(H280&gt;=$D$1,I280&lt;0,J280&lt;$D$2,G280/F280&lt;3),"Serious",AND(H280&gt;=$D$1,I280&lt;0,J280&gt;$D$2,G280/F280&lt;3),"Very serious", AND(H280&lt;=$D$1*-1,J280&gt;0,I280&gt;$D$2*-1,G280/F280&gt;=3),"Very serious", AND(H280&lt;=$D$1*-1,J280&gt;0,I280&lt;$D$2*-1,G280/F280&gt;=3),"Very serious", AND(H280&gt;=$D$1,I280&lt;0,J280&lt;$D$2,G280/F280&gt;=3),"Very serious", AND(H280&gt;=$D$1,I280&lt;0,J280&gt;$D$2,G280/F280&gt;=3),"Very serious", AND(H280&gt;$D$1*-1,H280&lt;$D$1,I280&gt;$D$1*-1,J280&lt;$D$1,G280/F280&lt;3),"Not serious", AND(H280&gt;$D$1*-1,H280&lt;$D$1,OR(I280&lt;=$D$1*-1,J280&gt;=$D$1),I280&gt;$D$2*-1,J280&lt;$D$2,G280/F280&lt;3),"Serious", AND(H280&gt;$D$1*-1,H280&lt;$D$1,OR(I280&lt;=$D$2*-1,J280&gt;=$D$2),G280/F280&lt;3),"Very serious", AND(H280&gt;$D$1*-1,H280&lt;$D$1,I280&gt;$D$1*-1,J280&lt;$D$1,G280/F280&gt;=3),"Very serious", AND(H280&gt;$D$1*-1,H280&lt;$D$1,OR(I280&lt;=$D$1*-1,J280&gt;=$D$1),I280&gt;$D$2*-1,J280&lt;$D$2,G280/F280&gt;=3),"Very serious", AND(H280&gt;$D$1*-1,H280&lt;$D$1,OR(I280&lt;=$D$2*-1,J280&gt;=$D$2),G280/F280&gt;=3),"Very serious")),"")</f>
        <v/>
      </c>
      <c r="R280" s="109" t="str">
        <f t="shared" si="47"/>
        <v/>
      </c>
      <c r="S280" s="64"/>
      <c r="T280" s="72"/>
      <c r="U280" s="72"/>
      <c r="V280" s="72"/>
      <c r="W280" s="73"/>
      <c r="X280" s="73"/>
      <c r="Y280" s="74"/>
      <c r="Z280" s="113" t="str">
        <f t="array" ref="Z280">INDEX($A$1:$C$500, MATCH(1,($B:$B=$B280)*($C:$C=$AB280),0),1)</f>
        <v/>
      </c>
      <c r="AA280" s="113" t="str">
        <f t="array" ref="AA280">INDEX($A$1:$C$500, MATCH(1,($B:$B=$AB280)*($C:$C=$B280),0),1)</f>
        <v/>
      </c>
      <c r="AB280" s="111"/>
      <c r="AC280" s="114" t="str">
        <f t="shared" si="2"/>
        <v/>
      </c>
      <c r="AD280" s="115" t="str">
        <f t="shared" si="3"/>
        <v/>
      </c>
      <c r="AE280" s="116" t="str">
        <f t="array" ref="AE280">INDEX($A$1:$C$500, MATCH(1,($B:$B=$AB280)*($C:$C=$AG280),0),1)</f>
        <v/>
      </c>
      <c r="AF280" s="116" t="str">
        <f t="array" ref="AF280">INDEX($A$1:$C$500, MATCH(1,($B:$B=$AG280)*($C:$C=$AB280),0),1)</f>
        <v/>
      </c>
      <c r="AG280" s="72"/>
      <c r="AH280" s="114" t="str">
        <f t="shared" si="4"/>
        <v/>
      </c>
      <c r="AI280" s="115" t="str">
        <f t="shared" si="5"/>
        <v/>
      </c>
      <c r="AJ280" s="116" t="str">
        <f t="array" ref="AJ280">INDEX($A$1:$C$500, MATCH(1,($B:$B=$C280)*($C:$C=$AG280),0),1)</f>
        <v/>
      </c>
      <c r="AK280" s="116" t="str">
        <f t="array" ref="AK280">INDEX($A$1:$C$500, MATCH(1,($B:$B=$AG280)*($C:$C=$C280),0),1)</f>
        <v/>
      </c>
      <c r="AL280" s="116" t="str">
        <f t="array" ref="AL280">INDEX($A$1:$C$500, MATCH(1,($B:$B=$C280)*($C:$C=$AB280),0),1)</f>
        <v/>
      </c>
      <c r="AM280" s="116" t="str">
        <f t="array" ref="AM280">INDEX($A$1:$C$500, MATCH(1,($B:$B=$AB280)*($C:$C=$C280),0),1)</f>
        <v/>
      </c>
      <c r="AN280" s="114" t="str">
        <f t="array" ref="AN280">IFS(ISNUMBER(AJ280),AJ280,ISNUMBER(AK280),AK280,ISNUMBER(AL280),AL280,ISNUMBER(AM280),AM280)</f>
        <v>#N/A</v>
      </c>
      <c r="AO280" s="115" t="str">
        <f t="shared" si="6"/>
        <v/>
      </c>
      <c r="AP280" s="115" t="str">
        <f t="shared" si="7"/>
        <v/>
      </c>
      <c r="AQ280" s="111"/>
      <c r="AR280" s="109" t="str">
        <f t="shared" si="8"/>
        <v/>
      </c>
      <c r="AS280" s="72" t="str">
        <f>IFERROR(IF(AND(Preferences!B$3="Manual",OR(AX280/AW280&gt;V280/U280,BD280="Serious",BD280="Very serious")),"Assess imprecision",IFERROR(IFS(AND(Preferences!B$3="Automatic",V280/U280&gt;=30),"Extremely serious",AND(W280&lt;=$D$1*-1,Y280&lt;0,V280/U280&lt;3),"Not Serious",AND(W280&lt;=$D$1*-1,Y280&lt;0,V280/U280&gt;=3),"Very serious",AND(W280&gt;=$D$1,X280&gt;0,V280/U280&lt;3),"Not Serious",AND(W280&gt;=$D$1,X280&gt;0,V280/U280&gt;=3),"Very serious",AND(W280&lt;=$D$1*-1,Y280&gt;0,X280&gt;$D$2*-1,V280/U280&lt;3),"Serious", AND(W280&lt;=$D$1*-1,Y280&gt;0,X280&lt;$D$2*-1,V280/U280&lt;3),"Very serious", AND(W280&gt;=$D$1,X280&lt;0,Y280&lt;$D$2,V280/U280&lt;3),"Serious",AND(W280&gt;=$D$1,X280&lt;0,Y280&gt;$D$2,V280/U280&lt;3),"Very serious", AND(W280&lt;=$D$1*-1,Y280&gt;0,X280&gt;$D$2*-1,V280/U280&gt;=3),"Very serious", AND(W280&lt;=$D$1*-1,Y280&gt;0,X280&lt;$D$2*-1,V280/U280&gt;=3),"Very serious", AND(W280&gt;=$D$1,X280&lt;0,Y280&lt;$D$2,V280/U280&gt;=3),"Very serious", AND(W280&gt;=$D$1,X280&lt;0,Y280&gt;$D$2,V280/U280&gt;=3),"Very serious", AND(W280&gt;$D$1*-1,W280&lt;$D$1,X280&gt;$D$1*-1,Y280&lt;$D$1,V280/U280&lt;3),"Not Serious", AND(W280&gt;$D$1*-1,W280&lt;$D$1,OR(X280&lt;=$D$1*-1,Y280&gt;=$D$1),X280&gt;$D$2*-1,Y280&lt;$D$2,V280/U280&lt;3),"Serious", AND(W280&gt;$D$1*-1,W280&lt;$D$1,OR(X280&lt;=$D$2*-1,Y280&gt;=$D$2),V280/U280&lt;3),"Very serious", AND(W280&gt;$D$1*-1,W280&lt;$D$1,X280&gt;$D$1*-1,Y280&lt;$D$1,V280/U280&gt;=3),"Very serious", AND(W280&gt;$D$1*-1,W280&lt;$D$1,OR(X280&lt;=$D$1*-1,Y280&gt;=$D$1),X280&gt;$D$2*-1,Y280&lt;$D$2,V280/U280&gt;=3),"Very serious", AND(W280&gt;$D$1*-1,W280&lt;$D$1,OR(X280&lt;=$D$2*-1,Y280&gt;=$D$2),V280/U280&gt;=3),"Very serious"),"")),"")</f>
        <v/>
      </c>
      <c r="AT280" s="109" t="str">
        <f t="shared" si="9"/>
        <v/>
      </c>
      <c r="AU280" s="64"/>
      <c r="AV280" s="83"/>
      <c r="AW280" s="83"/>
      <c r="AX280" s="83"/>
      <c r="AY280" s="83"/>
      <c r="AZ280" s="83"/>
      <c r="BA280" s="85"/>
      <c r="BB280" s="86" t="str">
        <f>IF(Preferences!B$9="Manual","",IFS(ISBLANK(B280),"",AND(ISNUMBER(E280)=TRUE,ISNUMBER(T280)=FALSE),"Direct", AND(ISNUMBER(E280)=FALSE,ISNUMBER(T280)=TRUE),"Indirect", CN280=4,"Direct",AND(CL280=FALSE, CM280=TRUE,CN280-CO280&gt;-1),"Direct", AND(CL280=FALSE,CM280=TRUE, CN280-CO280&lt;0),"Check algorithm in appendix 2", AND(CL280=TRUE, CM280=FALSE,CN280-CO280&gt;0),"Check algorithm in appendix 2", AND(CL280=TRUE, CM280=FALSE,CN280-CO280=0),"Indirect", AND(CL280=TRUE, CM280=FALSE,CN280-CO280&lt;0),"Indirect", AND(CL280=FALSE,CM280=FALSE,CN280-CO280&gt;-1),"Direct", AND(CL280=FALSE,CM280=FALSE,CN280-CO280&lt;0),"Check algorithm in appendix 2", AND(CL280=TRUE,CM280=TRUE,CN280-CO280&gt;-1),"Direct", AND(CL280=TRUE,CM280=TRUE,CN280-CO280&lt;0),"Check algorithm in appendix 2"))</f>
        <v/>
      </c>
      <c r="BC280" s="120" t="str">
        <f t="shared" si="10"/>
        <v/>
      </c>
      <c r="BD280" s="140"/>
      <c r="BE280" s="122" t="str">
        <f>IF(Preferences!B$3="Manual","", IFERROR(IFS(AND(Preferences!B$3="Automatic",AX280/AW280&gt;=30),"Extremely serious",AND(AY280&lt;=$D$1*-1,BA280&lt;0,AX280/AW280&lt;3),"Not Serious",AND(AY280&lt;=$D$1*-1,BA280&lt;0,AX280/AW280&gt;=3),"Very serious",AND(AY280&gt;=$D$1,AZ280&gt;0,AX280/AW280&lt;3),"Not Serious",AND(AY280&gt;=$D$1,AZ280&gt;0,AX280/AW280&gt;=3),"Very serious",AND(AY280&lt;=$D$1*-1,BA280&gt;0,AZ280&gt;$D$2*-1,AX280/AW280&lt;3),"Serious", AND(AY280&lt;=$D$1*-1,BA280&gt;0,AZ280&lt;$D$2*-1,AX280/AW280&lt;3),"Very serious", AND(AY280&gt;=$D$1,AZ280&lt;0,BA280&lt;$D$2,AX280/AW280&lt;3),"Serious",AND(AY280&gt;=$D$1,AZ280&lt;0,BA280&gt;$D$2,AX280/AW280&lt;3),"Very serious", AND(AY280&lt;=$D$1*-1,BA280&gt;0,AZ280&gt;$D$2*-1,AX280/AW280&gt;=3),"Very serious", AND(AY280&lt;=$D$1*-1,BA280&gt;0,AZ280&lt;$D$2*-1,AX280/AW280&gt;=3),"Very serious", AND(AY280&gt;=$D$1,AZ280&lt;0,BA280&lt;$D$2,AX280/AW280&gt;=3),"Very serious", AND(AY280&gt;=$D$1,AZ280&lt;0,BA280&gt;$D$2,AX280/AW280&gt;=3),"Very serious", AND(AY280&gt;$D$1*-1,AY280&lt;$D$1,AZ280&gt;$D$1*-1,BA280&lt;$D$1,AX280/AW280&lt;3),"Not Serious", AND(AY280&gt;$D$1*-1,AY280&lt;$D$1,OR(AZ280&lt;=$D$1*-1,BA280&gt;=$D$1),AZ280&gt;$D$2*-1,BA280&lt;$D$2,AX280/AW280&lt;3),"Serious", AND(AY280&gt;$D$1*-1,AY280&lt;$D$1,OR(AZ280&lt;=$D$2*-1,BA280&gt;=$D$2),AX280/AW280&lt;3),"Very serious", AND(AY280&gt;$D$1*-1,AY280&lt;$D$1,AZ280&gt;$D$1*-1,BA280&lt;$D$1,AX280/AW280&gt;=3),"Very serious", AND(AY280&gt;$D$1*-1,AY280&lt;$D$1,OR(AZ280&lt;=$D$1*-1,BA280&gt;=$D$1),AZ280&gt;$D$2*-1,BA280&lt;$D$2,AX280/AW280&gt;=3),"Very serious", AND(AY280&gt;$D$1*-1,AY280&lt;$D$1,OR(AZ280&lt;=$D$2*-1,BA280&gt;=$D$2),AX280/AW280&gt;=3),"Very serious"),""))</f>
        <v/>
      </c>
      <c r="BF280" s="107" t="str">
        <f t="shared" si="11"/>
        <v/>
      </c>
      <c r="BG280" s="94" t="str">
        <f t="shared" si="46"/>
        <v/>
      </c>
      <c r="BH280" s="64" t="str">
        <f t="shared" si="12"/>
        <v>#N/A</v>
      </c>
      <c r="BI280" s="64" t="str">
        <f t="shared" si="13"/>
        <v/>
      </c>
      <c r="BJ280" s="123" t="str">
        <f t="shared" si="14"/>
        <v>#N/A</v>
      </c>
      <c r="BK280" s="64" t="str">
        <f t="shared" si="50"/>
        <v>YES</v>
      </c>
      <c r="BL280" s="64" t="str">
        <f t="shared" si="16"/>
        <v>YES</v>
      </c>
      <c r="BM280" s="64" t="str">
        <f t="shared" si="17"/>
        <v>YES</v>
      </c>
      <c r="BN280" s="124" t="str">
        <f t="shared" si="18"/>
        <v/>
      </c>
      <c r="BO280" s="91" t="str">
        <f t="shared" si="19"/>
        <v/>
      </c>
      <c r="BP280" s="91" t="str">
        <f t="shared" si="20"/>
        <v>#N/A</v>
      </c>
      <c r="BQ280" s="91" t="str">
        <f t="shared" si="21"/>
        <v/>
      </c>
      <c r="BR280" s="93" t="str">
        <f t="shared" si="22"/>
        <v/>
      </c>
      <c r="BS280" s="90" t="str">
        <f t="shared" si="23"/>
        <v/>
      </c>
      <c r="BT280" s="93" t="str">
        <f t="shared" si="24"/>
        <v>NA</v>
      </c>
      <c r="BU280" s="125" t="str">
        <f t="shared" si="25"/>
        <v>#N/A</v>
      </c>
      <c r="BV280" s="93" t="str">
        <f t="shared" si="26"/>
        <v/>
      </c>
      <c r="BW280" s="93" t="str">
        <f t="shared" si="27"/>
        <v/>
      </c>
      <c r="BX280" s="93" t="str">
        <f t="shared" si="28"/>
        <v>NA</v>
      </c>
      <c r="BY280" s="95" t="str">
        <f t="shared" si="29"/>
        <v>#N/A</v>
      </c>
      <c r="BZ280" s="93" t="str">
        <f t="shared" si="30"/>
        <v/>
      </c>
      <c r="CA280" s="93" t="str">
        <f t="shared" si="31"/>
        <v/>
      </c>
      <c r="CB280" s="93" t="str">
        <f t="shared" si="32"/>
        <v>NA</v>
      </c>
      <c r="CC280" s="96" t="str">
        <f t="shared" si="33"/>
        <v>#N/A</v>
      </c>
      <c r="CD280" s="93" t="str">
        <f t="shared" si="34"/>
        <v/>
      </c>
      <c r="CE280" s="93" t="str">
        <f t="shared" si="35"/>
        <v/>
      </c>
      <c r="CF280" s="93" t="str">
        <f t="shared" si="36"/>
        <v>NA</v>
      </c>
      <c r="CG280" s="97" t="str">
        <f t="shared" si="37"/>
        <v>#N/A</v>
      </c>
      <c r="CH280" s="98" t="str">
        <f t="shared" si="38"/>
        <v>#N/A</v>
      </c>
      <c r="CI280" s="99" t="str">
        <f t="shared" si="39"/>
        <v>#N/A</v>
      </c>
      <c r="CJ280" s="126" t="str">
        <f t="shared" si="40"/>
        <v>ERROR: check cell</v>
      </c>
      <c r="CK280" s="126"/>
      <c r="CL280" s="127" t="str">
        <f t="shared" si="41"/>
        <v>#DIV/0!</v>
      </c>
      <c r="CM280" s="128" t="str">
        <f t="shared" si="42"/>
        <v>#DIV/0!</v>
      </c>
      <c r="CN280" s="128">
        <f t="shared" si="43"/>
        <v>4</v>
      </c>
      <c r="CO280" s="129">
        <f t="shared" si="44"/>
        <v>4</v>
      </c>
      <c r="CP280" s="129" t="str">
        <f>IFS(C280=Preferences!B$13,B280,B280=Preferences!B$13,C280)</f>
        <v>#N/A</v>
      </c>
    </row>
    <row r="281" ht="13.5" customHeight="1">
      <c r="A281" s="63" t="str">
        <f t="shared" si="45"/>
        <v/>
      </c>
      <c r="B281" s="64"/>
      <c r="C281" s="64"/>
      <c r="D281" s="64"/>
      <c r="E281" s="65"/>
      <c r="F281" s="65"/>
      <c r="G281" s="65"/>
      <c r="H281" s="66"/>
      <c r="I281" s="66"/>
      <c r="J281" s="67"/>
      <c r="K281" s="68"/>
      <c r="L281" s="104"/>
      <c r="M281" s="104"/>
      <c r="N281" s="104"/>
      <c r="O281" s="104"/>
      <c r="P281" s="107" t="str">
        <f t="shared" si="1"/>
        <v/>
      </c>
      <c r="Q281" s="108" t="str">
        <f>IFERROR(IF(AND(Preferences!B$3="Manual",OR(AX281/AW281&gt;G281/F281,BD281="Serious",BD281="Very serious")),"Assess imprecision",IFS(ISBLANK(E281),"",AND(Preferences!B$3="Automatic", G281/F281&gt;=30),"Extremely serious",AND(H281&lt;=$D$1*-1,J281&lt;0,G281/F281&lt;3),"Not serious",AND(H281&lt;=$D$1*-1,J281&lt;0,G281/F281&gt;=3),"Very serious",AND(H281&gt;=$D$1,I281&gt;0,G281/F281&lt;3),"Not serious",AND(H281&gt;=$D$1,I281&gt;0,G281/F281&gt;=3),"Very serious",AND(H281&lt;=$D$1*-1,J281&gt;0,I281&gt;$D$2*-1,G281/F281&lt;3),"Serious", AND(H281&lt;=$D$1*-1,J281&gt;0,I281&lt;$D$2*-1,G281/F281&lt;3),"Very serious", AND(H281&gt;=$D$1,I281&lt;0,J281&lt;$D$2,G281/F281&lt;3),"Serious",AND(H281&gt;=$D$1,I281&lt;0,J281&gt;$D$2,G281/F281&lt;3),"Very serious", AND(H281&lt;=$D$1*-1,J281&gt;0,I281&gt;$D$2*-1,G281/F281&gt;=3),"Very serious", AND(H281&lt;=$D$1*-1,J281&gt;0,I281&lt;$D$2*-1,G281/F281&gt;=3),"Very serious", AND(H281&gt;=$D$1,I281&lt;0,J281&lt;$D$2,G281/F281&gt;=3),"Very serious", AND(H281&gt;=$D$1,I281&lt;0,J281&gt;$D$2,G281/F281&gt;=3),"Very serious", AND(H281&gt;$D$1*-1,H281&lt;$D$1,I281&gt;$D$1*-1,J281&lt;$D$1,G281/F281&lt;3),"Not serious", AND(H281&gt;$D$1*-1,H281&lt;$D$1,OR(I281&lt;=$D$1*-1,J281&gt;=$D$1),I281&gt;$D$2*-1,J281&lt;$D$2,G281/F281&lt;3),"Serious", AND(H281&gt;$D$1*-1,H281&lt;$D$1,OR(I281&lt;=$D$2*-1,J281&gt;=$D$2),G281/F281&lt;3),"Very serious", AND(H281&gt;$D$1*-1,H281&lt;$D$1,I281&gt;$D$1*-1,J281&lt;$D$1,G281/F281&gt;=3),"Very serious", AND(H281&gt;$D$1*-1,H281&lt;$D$1,OR(I281&lt;=$D$1*-1,J281&gt;=$D$1),I281&gt;$D$2*-1,J281&lt;$D$2,G281/F281&gt;=3),"Very serious", AND(H281&gt;$D$1*-1,H281&lt;$D$1,OR(I281&lt;=$D$2*-1,J281&gt;=$D$2),G281/F281&gt;=3),"Very serious")),"")</f>
        <v/>
      </c>
      <c r="R281" s="109" t="str">
        <f t="shared" si="47"/>
        <v/>
      </c>
      <c r="S281" s="64"/>
      <c r="T281" s="72"/>
      <c r="U281" s="72"/>
      <c r="V281" s="72"/>
      <c r="W281" s="73"/>
      <c r="X281" s="73"/>
      <c r="Y281" s="74"/>
      <c r="Z281" s="113" t="str">
        <f t="array" ref="Z281">INDEX($A$1:$C$500, MATCH(1,($B:$B=$B281)*($C:$C=$AB281),0),1)</f>
        <v/>
      </c>
      <c r="AA281" s="113" t="str">
        <f t="array" ref="AA281">INDEX($A$1:$C$500, MATCH(1,($B:$B=$AB281)*($C:$C=$B281),0),1)</f>
        <v/>
      </c>
      <c r="AB281" s="111"/>
      <c r="AC281" s="114" t="str">
        <f t="shared" si="2"/>
        <v/>
      </c>
      <c r="AD281" s="115" t="str">
        <f t="shared" si="3"/>
        <v/>
      </c>
      <c r="AE281" s="116" t="str">
        <f t="array" ref="AE281">INDEX($A$1:$C$500, MATCH(1,($B:$B=$AB281)*($C:$C=$AG281),0),1)</f>
        <v/>
      </c>
      <c r="AF281" s="116" t="str">
        <f t="array" ref="AF281">INDEX($A$1:$C$500, MATCH(1,($B:$B=$AG281)*($C:$C=$AB281),0),1)</f>
        <v/>
      </c>
      <c r="AG281" s="72"/>
      <c r="AH281" s="114" t="str">
        <f t="shared" si="4"/>
        <v/>
      </c>
      <c r="AI281" s="115" t="str">
        <f t="shared" si="5"/>
        <v/>
      </c>
      <c r="AJ281" s="116" t="str">
        <f t="array" ref="AJ281">INDEX($A$1:$C$500, MATCH(1,($B:$B=$C281)*($C:$C=$AG281),0),1)</f>
        <v/>
      </c>
      <c r="AK281" s="116" t="str">
        <f t="array" ref="AK281">INDEX($A$1:$C$500, MATCH(1,($B:$B=$AG281)*($C:$C=$C281),0),1)</f>
        <v/>
      </c>
      <c r="AL281" s="116" t="str">
        <f t="array" ref="AL281">INDEX($A$1:$C$500, MATCH(1,($B:$B=$C281)*($C:$C=$AB281),0),1)</f>
        <v/>
      </c>
      <c r="AM281" s="116" t="str">
        <f t="array" ref="AM281">INDEX($A$1:$C$500, MATCH(1,($B:$B=$AB281)*($C:$C=$C281),0),1)</f>
        <v/>
      </c>
      <c r="AN281" s="114" t="str">
        <f t="array" ref="AN281">IFS(ISNUMBER(AJ281),AJ281,ISNUMBER(AK281),AK281,ISNUMBER(AL281),AL281,ISNUMBER(AM281),AM281)</f>
        <v>#N/A</v>
      </c>
      <c r="AO281" s="115" t="str">
        <f t="shared" si="6"/>
        <v/>
      </c>
      <c r="AP281" s="115" t="str">
        <f t="shared" si="7"/>
        <v/>
      </c>
      <c r="AQ281" s="111"/>
      <c r="AR281" s="109" t="str">
        <f t="shared" si="8"/>
        <v/>
      </c>
      <c r="AS281" s="72" t="str">
        <f>IFERROR(IF(AND(Preferences!B$3="Manual",OR(AX281/AW281&gt;V281/U281,BD281="Serious",BD281="Very serious")),"Assess imprecision",IFERROR(IFS(AND(Preferences!B$3="Automatic",V281/U281&gt;=30),"Extremely serious",AND(W281&lt;=$D$1*-1,Y281&lt;0,V281/U281&lt;3),"Not Serious",AND(W281&lt;=$D$1*-1,Y281&lt;0,V281/U281&gt;=3),"Very serious",AND(W281&gt;=$D$1,X281&gt;0,V281/U281&lt;3),"Not Serious",AND(W281&gt;=$D$1,X281&gt;0,V281/U281&gt;=3),"Very serious",AND(W281&lt;=$D$1*-1,Y281&gt;0,X281&gt;$D$2*-1,V281/U281&lt;3),"Serious", AND(W281&lt;=$D$1*-1,Y281&gt;0,X281&lt;$D$2*-1,V281/U281&lt;3),"Very serious", AND(W281&gt;=$D$1,X281&lt;0,Y281&lt;$D$2,V281/U281&lt;3),"Serious",AND(W281&gt;=$D$1,X281&lt;0,Y281&gt;$D$2,V281/U281&lt;3),"Very serious", AND(W281&lt;=$D$1*-1,Y281&gt;0,X281&gt;$D$2*-1,V281/U281&gt;=3),"Very serious", AND(W281&lt;=$D$1*-1,Y281&gt;0,X281&lt;$D$2*-1,V281/U281&gt;=3),"Very serious", AND(W281&gt;=$D$1,X281&lt;0,Y281&lt;$D$2,V281/U281&gt;=3),"Very serious", AND(W281&gt;=$D$1,X281&lt;0,Y281&gt;$D$2,V281/U281&gt;=3),"Very serious", AND(W281&gt;$D$1*-1,W281&lt;$D$1,X281&gt;$D$1*-1,Y281&lt;$D$1,V281/U281&lt;3),"Not Serious", AND(W281&gt;$D$1*-1,W281&lt;$D$1,OR(X281&lt;=$D$1*-1,Y281&gt;=$D$1),X281&gt;$D$2*-1,Y281&lt;$D$2,V281/U281&lt;3),"Serious", AND(W281&gt;$D$1*-1,W281&lt;$D$1,OR(X281&lt;=$D$2*-1,Y281&gt;=$D$2),V281/U281&lt;3),"Very serious", AND(W281&gt;$D$1*-1,W281&lt;$D$1,X281&gt;$D$1*-1,Y281&lt;$D$1,V281/U281&gt;=3),"Very serious", AND(W281&gt;$D$1*-1,W281&lt;$D$1,OR(X281&lt;=$D$1*-1,Y281&gt;=$D$1),X281&gt;$D$2*-1,Y281&lt;$D$2,V281/U281&gt;=3),"Very serious", AND(W281&gt;$D$1*-1,W281&lt;$D$1,OR(X281&lt;=$D$2*-1,Y281&gt;=$D$2),V281/U281&gt;=3),"Very serious"),"")),"")</f>
        <v/>
      </c>
      <c r="AT281" s="109" t="str">
        <f t="shared" si="9"/>
        <v/>
      </c>
      <c r="AU281" s="64"/>
      <c r="AV281" s="83"/>
      <c r="AW281" s="83"/>
      <c r="AX281" s="83"/>
      <c r="AY281" s="83"/>
      <c r="AZ281" s="83"/>
      <c r="BA281" s="85"/>
      <c r="BB281" s="86" t="str">
        <f>IF(Preferences!B$9="Manual","",IFS(ISBLANK(B281),"",AND(ISNUMBER(E281)=TRUE,ISNUMBER(T281)=FALSE),"Direct", AND(ISNUMBER(E281)=FALSE,ISNUMBER(T281)=TRUE),"Indirect", CN281=4,"Direct",AND(CL281=FALSE, CM281=TRUE,CN281-CO281&gt;-1),"Direct", AND(CL281=FALSE,CM281=TRUE, CN281-CO281&lt;0),"Check algorithm in appendix 2", AND(CL281=TRUE, CM281=FALSE,CN281-CO281&gt;0),"Check algorithm in appendix 2", AND(CL281=TRUE, CM281=FALSE,CN281-CO281=0),"Indirect", AND(CL281=TRUE, CM281=FALSE,CN281-CO281&lt;0),"Indirect", AND(CL281=FALSE,CM281=FALSE,CN281-CO281&gt;-1),"Direct", AND(CL281=FALSE,CM281=FALSE,CN281-CO281&lt;0),"Check algorithm in appendix 2", AND(CL281=TRUE,CM281=TRUE,CN281-CO281&gt;-1),"Direct", AND(CL281=TRUE,CM281=TRUE,CN281-CO281&lt;0),"Check algorithm in appendix 2"))</f>
        <v/>
      </c>
      <c r="BC281" s="120" t="str">
        <f t="shared" si="10"/>
        <v/>
      </c>
      <c r="BD281" s="140"/>
      <c r="BE281" s="122" t="str">
        <f>IF(Preferences!B$3="Manual","", IFERROR(IFS(AND(Preferences!B$3="Automatic",AX281/AW281&gt;=30),"Extremely serious",AND(AY281&lt;=$D$1*-1,BA281&lt;0,AX281/AW281&lt;3),"Not Serious",AND(AY281&lt;=$D$1*-1,BA281&lt;0,AX281/AW281&gt;=3),"Very serious",AND(AY281&gt;=$D$1,AZ281&gt;0,AX281/AW281&lt;3),"Not Serious",AND(AY281&gt;=$D$1,AZ281&gt;0,AX281/AW281&gt;=3),"Very serious",AND(AY281&lt;=$D$1*-1,BA281&gt;0,AZ281&gt;$D$2*-1,AX281/AW281&lt;3),"Serious", AND(AY281&lt;=$D$1*-1,BA281&gt;0,AZ281&lt;$D$2*-1,AX281/AW281&lt;3),"Very serious", AND(AY281&gt;=$D$1,AZ281&lt;0,BA281&lt;$D$2,AX281/AW281&lt;3),"Serious",AND(AY281&gt;=$D$1,AZ281&lt;0,BA281&gt;$D$2,AX281/AW281&lt;3),"Very serious", AND(AY281&lt;=$D$1*-1,BA281&gt;0,AZ281&gt;$D$2*-1,AX281/AW281&gt;=3),"Very serious", AND(AY281&lt;=$D$1*-1,BA281&gt;0,AZ281&lt;$D$2*-1,AX281/AW281&gt;=3),"Very serious", AND(AY281&gt;=$D$1,AZ281&lt;0,BA281&lt;$D$2,AX281/AW281&gt;=3),"Very serious", AND(AY281&gt;=$D$1,AZ281&lt;0,BA281&gt;$D$2,AX281/AW281&gt;=3),"Very serious", AND(AY281&gt;$D$1*-1,AY281&lt;$D$1,AZ281&gt;$D$1*-1,BA281&lt;$D$1,AX281/AW281&lt;3),"Not Serious", AND(AY281&gt;$D$1*-1,AY281&lt;$D$1,OR(AZ281&lt;=$D$1*-1,BA281&gt;=$D$1),AZ281&gt;$D$2*-1,BA281&lt;$D$2,AX281/AW281&lt;3),"Serious", AND(AY281&gt;$D$1*-1,AY281&lt;$D$1,OR(AZ281&lt;=$D$2*-1,BA281&gt;=$D$2),AX281/AW281&lt;3),"Very serious", AND(AY281&gt;$D$1*-1,AY281&lt;$D$1,AZ281&gt;$D$1*-1,BA281&lt;$D$1,AX281/AW281&gt;=3),"Very serious", AND(AY281&gt;$D$1*-1,AY281&lt;$D$1,OR(AZ281&lt;=$D$1*-1,BA281&gt;=$D$1),AZ281&gt;$D$2*-1,BA281&lt;$D$2,AX281/AW281&gt;=3),"Very serious", AND(AY281&gt;$D$1*-1,AY281&lt;$D$1,OR(AZ281&lt;=$D$2*-1,BA281&gt;=$D$2),AX281/AW281&gt;=3),"Very serious"),""))</f>
        <v/>
      </c>
      <c r="BF281" s="107" t="str">
        <f t="shared" si="11"/>
        <v/>
      </c>
      <c r="BG281" s="94" t="str">
        <f t="shared" si="46"/>
        <v/>
      </c>
      <c r="BH281" s="64" t="str">
        <f t="shared" si="12"/>
        <v>#N/A</v>
      </c>
      <c r="BI281" s="64" t="str">
        <f t="shared" si="13"/>
        <v/>
      </c>
      <c r="BJ281" s="123" t="str">
        <f t="shared" si="14"/>
        <v>#N/A</v>
      </c>
      <c r="BK281" s="64" t="str">
        <f t="shared" si="50"/>
        <v>YES</v>
      </c>
      <c r="BL281" s="64" t="str">
        <f t="shared" si="16"/>
        <v>YES</v>
      </c>
      <c r="BM281" s="64" t="str">
        <f t="shared" si="17"/>
        <v>YES</v>
      </c>
      <c r="BN281" s="124" t="str">
        <f t="shared" si="18"/>
        <v/>
      </c>
      <c r="BO281" s="91" t="str">
        <f t="shared" si="19"/>
        <v/>
      </c>
      <c r="BP281" s="91" t="str">
        <f t="shared" si="20"/>
        <v>#N/A</v>
      </c>
      <c r="BQ281" s="91" t="str">
        <f t="shared" si="21"/>
        <v/>
      </c>
      <c r="BR281" s="93" t="str">
        <f t="shared" si="22"/>
        <v/>
      </c>
      <c r="BS281" s="90" t="str">
        <f t="shared" si="23"/>
        <v/>
      </c>
      <c r="BT281" s="93" t="str">
        <f t="shared" si="24"/>
        <v>NA</v>
      </c>
      <c r="BU281" s="125" t="str">
        <f t="shared" si="25"/>
        <v>#N/A</v>
      </c>
      <c r="BV281" s="93" t="str">
        <f t="shared" si="26"/>
        <v/>
      </c>
      <c r="BW281" s="93" t="str">
        <f t="shared" si="27"/>
        <v/>
      </c>
      <c r="BX281" s="93" t="str">
        <f t="shared" si="28"/>
        <v>NA</v>
      </c>
      <c r="BY281" s="95" t="str">
        <f t="shared" si="29"/>
        <v>#N/A</v>
      </c>
      <c r="BZ281" s="93" t="str">
        <f t="shared" si="30"/>
        <v/>
      </c>
      <c r="CA281" s="93" t="str">
        <f t="shared" si="31"/>
        <v/>
      </c>
      <c r="CB281" s="93" t="str">
        <f t="shared" si="32"/>
        <v>NA</v>
      </c>
      <c r="CC281" s="96" t="str">
        <f t="shared" si="33"/>
        <v>#N/A</v>
      </c>
      <c r="CD281" s="93" t="str">
        <f t="shared" si="34"/>
        <v/>
      </c>
      <c r="CE281" s="93" t="str">
        <f t="shared" si="35"/>
        <v/>
      </c>
      <c r="CF281" s="93" t="str">
        <f t="shared" si="36"/>
        <v>NA</v>
      </c>
      <c r="CG281" s="97" t="str">
        <f t="shared" si="37"/>
        <v>#N/A</v>
      </c>
      <c r="CH281" s="98" t="str">
        <f t="shared" si="38"/>
        <v>#N/A</v>
      </c>
      <c r="CI281" s="99" t="str">
        <f t="shared" si="39"/>
        <v>#N/A</v>
      </c>
      <c r="CJ281" s="126" t="str">
        <f t="shared" si="40"/>
        <v>ERROR: check cell</v>
      </c>
      <c r="CK281" s="126"/>
      <c r="CL281" s="127" t="str">
        <f t="shared" si="41"/>
        <v>#DIV/0!</v>
      </c>
      <c r="CM281" s="128" t="str">
        <f t="shared" si="42"/>
        <v>#DIV/0!</v>
      </c>
      <c r="CN281" s="128">
        <f t="shared" si="43"/>
        <v>4</v>
      </c>
      <c r="CO281" s="129">
        <f t="shared" si="44"/>
        <v>4</v>
      </c>
      <c r="CP281" s="129" t="str">
        <f>IFS(C281=Preferences!B$13,B281,B281=Preferences!B$13,C281)</f>
        <v>#N/A</v>
      </c>
    </row>
    <row r="282" ht="13.5" customHeight="1">
      <c r="A282" s="63" t="str">
        <f t="shared" si="45"/>
        <v/>
      </c>
      <c r="B282" s="64"/>
      <c r="C282" s="64"/>
      <c r="D282" s="64"/>
      <c r="E282" s="65"/>
      <c r="F282" s="65"/>
      <c r="G282" s="65"/>
      <c r="H282" s="66"/>
      <c r="I282" s="66"/>
      <c r="J282" s="67"/>
      <c r="K282" s="68"/>
      <c r="L282" s="104"/>
      <c r="M282" s="104"/>
      <c r="N282" s="104"/>
      <c r="O282" s="104"/>
      <c r="P282" s="107" t="str">
        <f t="shared" si="1"/>
        <v/>
      </c>
      <c r="Q282" s="108" t="str">
        <f>IFERROR(IF(AND(Preferences!B$3="Manual",OR(AX282/AW282&gt;G282/F282,BD282="Serious",BD282="Very serious")),"Assess imprecision",IFS(ISBLANK(E282),"",AND(Preferences!B$3="Automatic", G282/F282&gt;=30),"Extremely serious",AND(H282&lt;=$D$1*-1,J282&lt;0,G282/F282&lt;3),"Not serious",AND(H282&lt;=$D$1*-1,J282&lt;0,G282/F282&gt;=3),"Very serious",AND(H282&gt;=$D$1,I282&gt;0,G282/F282&lt;3),"Not serious",AND(H282&gt;=$D$1,I282&gt;0,G282/F282&gt;=3),"Very serious",AND(H282&lt;=$D$1*-1,J282&gt;0,I282&gt;$D$2*-1,G282/F282&lt;3),"Serious", AND(H282&lt;=$D$1*-1,J282&gt;0,I282&lt;$D$2*-1,G282/F282&lt;3),"Very serious", AND(H282&gt;=$D$1,I282&lt;0,J282&lt;$D$2,G282/F282&lt;3),"Serious",AND(H282&gt;=$D$1,I282&lt;0,J282&gt;$D$2,G282/F282&lt;3),"Very serious", AND(H282&lt;=$D$1*-1,J282&gt;0,I282&gt;$D$2*-1,G282/F282&gt;=3),"Very serious", AND(H282&lt;=$D$1*-1,J282&gt;0,I282&lt;$D$2*-1,G282/F282&gt;=3),"Very serious", AND(H282&gt;=$D$1,I282&lt;0,J282&lt;$D$2,G282/F282&gt;=3),"Very serious", AND(H282&gt;=$D$1,I282&lt;0,J282&gt;$D$2,G282/F282&gt;=3),"Very serious", AND(H282&gt;$D$1*-1,H282&lt;$D$1,I282&gt;$D$1*-1,J282&lt;$D$1,G282/F282&lt;3),"Not serious", AND(H282&gt;$D$1*-1,H282&lt;$D$1,OR(I282&lt;=$D$1*-1,J282&gt;=$D$1),I282&gt;$D$2*-1,J282&lt;$D$2,G282/F282&lt;3),"Serious", AND(H282&gt;$D$1*-1,H282&lt;$D$1,OR(I282&lt;=$D$2*-1,J282&gt;=$D$2),G282/F282&lt;3),"Very serious", AND(H282&gt;$D$1*-1,H282&lt;$D$1,I282&gt;$D$1*-1,J282&lt;$D$1,G282/F282&gt;=3),"Very serious", AND(H282&gt;$D$1*-1,H282&lt;$D$1,OR(I282&lt;=$D$1*-1,J282&gt;=$D$1),I282&gt;$D$2*-1,J282&lt;$D$2,G282/F282&gt;=3),"Very serious", AND(H282&gt;$D$1*-1,H282&lt;$D$1,OR(I282&lt;=$D$2*-1,J282&gt;=$D$2),G282/F282&gt;=3),"Very serious")),"")</f>
        <v/>
      </c>
      <c r="R282" s="109" t="str">
        <f t="shared" si="47"/>
        <v/>
      </c>
      <c r="S282" s="64"/>
      <c r="T282" s="72"/>
      <c r="U282" s="72"/>
      <c r="V282" s="72"/>
      <c r="W282" s="73"/>
      <c r="X282" s="73"/>
      <c r="Y282" s="74"/>
      <c r="Z282" s="113" t="str">
        <f t="array" ref="Z282">INDEX($A$1:$C$500, MATCH(1,($B:$B=$B282)*($C:$C=$AB282),0),1)</f>
        <v/>
      </c>
      <c r="AA282" s="113" t="str">
        <f t="array" ref="AA282">INDEX($A$1:$C$500, MATCH(1,($B:$B=$AB282)*($C:$C=$B282),0),1)</f>
        <v/>
      </c>
      <c r="AB282" s="111"/>
      <c r="AC282" s="114" t="str">
        <f t="shared" si="2"/>
        <v/>
      </c>
      <c r="AD282" s="115" t="str">
        <f t="shared" si="3"/>
        <v/>
      </c>
      <c r="AE282" s="116" t="str">
        <f t="array" ref="AE282">INDEX($A$1:$C$500, MATCH(1,($B:$B=$AB282)*($C:$C=$AG282),0),1)</f>
        <v/>
      </c>
      <c r="AF282" s="116" t="str">
        <f t="array" ref="AF282">INDEX($A$1:$C$500, MATCH(1,($B:$B=$AG282)*($C:$C=$AB282),0),1)</f>
        <v/>
      </c>
      <c r="AG282" s="72"/>
      <c r="AH282" s="114" t="str">
        <f t="shared" si="4"/>
        <v/>
      </c>
      <c r="AI282" s="115" t="str">
        <f t="shared" si="5"/>
        <v/>
      </c>
      <c r="AJ282" s="116" t="str">
        <f t="array" ref="AJ282">INDEX($A$1:$C$500, MATCH(1,($B:$B=$C282)*($C:$C=$AG282),0),1)</f>
        <v/>
      </c>
      <c r="AK282" s="116" t="str">
        <f t="array" ref="AK282">INDEX($A$1:$C$500, MATCH(1,($B:$B=$AG282)*($C:$C=$C282),0),1)</f>
        <v/>
      </c>
      <c r="AL282" s="116" t="str">
        <f t="array" ref="AL282">INDEX($A$1:$C$500, MATCH(1,($B:$B=$C282)*($C:$C=$AB282),0),1)</f>
        <v/>
      </c>
      <c r="AM282" s="116" t="str">
        <f t="array" ref="AM282">INDEX($A$1:$C$500, MATCH(1,($B:$B=$AB282)*($C:$C=$C282),0),1)</f>
        <v/>
      </c>
      <c r="AN282" s="114" t="str">
        <f t="array" ref="AN282">IFS(ISNUMBER(AJ282),AJ282,ISNUMBER(AK282),AK282,ISNUMBER(AL282),AL282,ISNUMBER(AM282),AM282)</f>
        <v>#N/A</v>
      </c>
      <c r="AO282" s="115" t="str">
        <f t="shared" si="6"/>
        <v/>
      </c>
      <c r="AP282" s="115" t="str">
        <f t="shared" si="7"/>
        <v/>
      </c>
      <c r="AQ282" s="111"/>
      <c r="AR282" s="109" t="str">
        <f t="shared" si="8"/>
        <v/>
      </c>
      <c r="AS282" s="72" t="str">
        <f>IFERROR(IF(AND(Preferences!B$3="Manual",OR(AX282/AW282&gt;V282/U282,BD282="Serious",BD282="Very serious")),"Assess imprecision",IFERROR(IFS(AND(Preferences!B$3="Automatic",V282/U282&gt;=30),"Extremely serious",AND(W282&lt;=$D$1*-1,Y282&lt;0,V282/U282&lt;3),"Not Serious",AND(W282&lt;=$D$1*-1,Y282&lt;0,V282/U282&gt;=3),"Very serious",AND(W282&gt;=$D$1,X282&gt;0,V282/U282&lt;3),"Not Serious",AND(W282&gt;=$D$1,X282&gt;0,V282/U282&gt;=3),"Very serious",AND(W282&lt;=$D$1*-1,Y282&gt;0,X282&gt;$D$2*-1,V282/U282&lt;3),"Serious", AND(W282&lt;=$D$1*-1,Y282&gt;0,X282&lt;$D$2*-1,V282/U282&lt;3),"Very serious", AND(W282&gt;=$D$1,X282&lt;0,Y282&lt;$D$2,V282/U282&lt;3),"Serious",AND(W282&gt;=$D$1,X282&lt;0,Y282&gt;$D$2,V282/U282&lt;3),"Very serious", AND(W282&lt;=$D$1*-1,Y282&gt;0,X282&gt;$D$2*-1,V282/U282&gt;=3),"Very serious", AND(W282&lt;=$D$1*-1,Y282&gt;0,X282&lt;$D$2*-1,V282/U282&gt;=3),"Very serious", AND(W282&gt;=$D$1,X282&lt;0,Y282&lt;$D$2,V282/U282&gt;=3),"Very serious", AND(W282&gt;=$D$1,X282&lt;0,Y282&gt;$D$2,V282/U282&gt;=3),"Very serious", AND(W282&gt;$D$1*-1,W282&lt;$D$1,X282&gt;$D$1*-1,Y282&lt;$D$1,V282/U282&lt;3),"Not Serious", AND(W282&gt;$D$1*-1,W282&lt;$D$1,OR(X282&lt;=$D$1*-1,Y282&gt;=$D$1),X282&gt;$D$2*-1,Y282&lt;$D$2,V282/U282&lt;3),"Serious", AND(W282&gt;$D$1*-1,W282&lt;$D$1,OR(X282&lt;=$D$2*-1,Y282&gt;=$D$2),V282/U282&lt;3),"Very serious", AND(W282&gt;$D$1*-1,W282&lt;$D$1,X282&gt;$D$1*-1,Y282&lt;$D$1,V282/U282&gt;=3),"Very serious", AND(W282&gt;$D$1*-1,W282&lt;$D$1,OR(X282&lt;=$D$1*-1,Y282&gt;=$D$1),X282&gt;$D$2*-1,Y282&lt;$D$2,V282/U282&gt;=3),"Very serious", AND(W282&gt;$D$1*-1,W282&lt;$D$1,OR(X282&lt;=$D$2*-1,Y282&gt;=$D$2),V282/U282&gt;=3),"Very serious"),"")),"")</f>
        <v/>
      </c>
      <c r="AT282" s="109" t="str">
        <f t="shared" si="9"/>
        <v/>
      </c>
      <c r="AU282" s="64"/>
      <c r="AV282" s="83"/>
      <c r="AW282" s="83"/>
      <c r="AX282" s="83"/>
      <c r="AY282" s="83"/>
      <c r="AZ282" s="83"/>
      <c r="BA282" s="85"/>
      <c r="BB282" s="86" t="str">
        <f>IF(Preferences!B$9="Manual","",IFS(ISBLANK(B282),"",AND(ISNUMBER(E282)=TRUE,ISNUMBER(T282)=FALSE),"Direct", AND(ISNUMBER(E282)=FALSE,ISNUMBER(T282)=TRUE),"Indirect", CN282=4,"Direct",AND(CL282=FALSE, CM282=TRUE,CN282-CO282&gt;-1),"Direct", AND(CL282=FALSE,CM282=TRUE, CN282-CO282&lt;0),"Check algorithm in appendix 2", AND(CL282=TRUE, CM282=FALSE,CN282-CO282&gt;0),"Check algorithm in appendix 2", AND(CL282=TRUE, CM282=FALSE,CN282-CO282=0),"Indirect", AND(CL282=TRUE, CM282=FALSE,CN282-CO282&lt;0),"Indirect", AND(CL282=FALSE,CM282=FALSE,CN282-CO282&gt;-1),"Direct", AND(CL282=FALSE,CM282=FALSE,CN282-CO282&lt;0),"Check algorithm in appendix 2", AND(CL282=TRUE,CM282=TRUE,CN282-CO282&gt;-1),"Direct", AND(CL282=TRUE,CM282=TRUE,CN282-CO282&lt;0),"Check algorithm in appendix 2"))</f>
        <v/>
      </c>
      <c r="BC282" s="120" t="str">
        <f t="shared" si="10"/>
        <v/>
      </c>
      <c r="BD282" s="140"/>
      <c r="BE282" s="122" t="str">
        <f>IF(Preferences!B$3="Manual","", IFERROR(IFS(AND(Preferences!B$3="Automatic",AX282/AW282&gt;=30),"Extremely serious",AND(AY282&lt;=$D$1*-1,BA282&lt;0,AX282/AW282&lt;3),"Not Serious",AND(AY282&lt;=$D$1*-1,BA282&lt;0,AX282/AW282&gt;=3),"Very serious",AND(AY282&gt;=$D$1,AZ282&gt;0,AX282/AW282&lt;3),"Not Serious",AND(AY282&gt;=$D$1,AZ282&gt;0,AX282/AW282&gt;=3),"Very serious",AND(AY282&lt;=$D$1*-1,BA282&gt;0,AZ282&gt;$D$2*-1,AX282/AW282&lt;3),"Serious", AND(AY282&lt;=$D$1*-1,BA282&gt;0,AZ282&lt;$D$2*-1,AX282/AW282&lt;3),"Very serious", AND(AY282&gt;=$D$1,AZ282&lt;0,BA282&lt;$D$2,AX282/AW282&lt;3),"Serious",AND(AY282&gt;=$D$1,AZ282&lt;0,BA282&gt;$D$2,AX282/AW282&lt;3),"Very serious", AND(AY282&lt;=$D$1*-1,BA282&gt;0,AZ282&gt;$D$2*-1,AX282/AW282&gt;=3),"Very serious", AND(AY282&lt;=$D$1*-1,BA282&gt;0,AZ282&lt;$D$2*-1,AX282/AW282&gt;=3),"Very serious", AND(AY282&gt;=$D$1,AZ282&lt;0,BA282&lt;$D$2,AX282/AW282&gt;=3),"Very serious", AND(AY282&gt;=$D$1,AZ282&lt;0,BA282&gt;$D$2,AX282/AW282&gt;=3),"Very serious", AND(AY282&gt;$D$1*-1,AY282&lt;$D$1,AZ282&gt;$D$1*-1,BA282&lt;$D$1,AX282/AW282&lt;3),"Not Serious", AND(AY282&gt;$D$1*-1,AY282&lt;$D$1,OR(AZ282&lt;=$D$1*-1,BA282&gt;=$D$1),AZ282&gt;$D$2*-1,BA282&lt;$D$2,AX282/AW282&lt;3),"Serious", AND(AY282&gt;$D$1*-1,AY282&lt;$D$1,OR(AZ282&lt;=$D$2*-1,BA282&gt;=$D$2),AX282/AW282&lt;3),"Very serious", AND(AY282&gt;$D$1*-1,AY282&lt;$D$1,AZ282&gt;$D$1*-1,BA282&lt;$D$1,AX282/AW282&gt;=3),"Very serious", AND(AY282&gt;$D$1*-1,AY282&lt;$D$1,OR(AZ282&lt;=$D$1*-1,BA282&gt;=$D$1),AZ282&gt;$D$2*-1,BA282&lt;$D$2,AX282/AW282&gt;=3),"Very serious", AND(AY282&gt;$D$1*-1,AY282&lt;$D$1,OR(AZ282&lt;=$D$2*-1,BA282&gt;=$D$2),AX282/AW282&gt;=3),"Very serious"),""))</f>
        <v/>
      </c>
      <c r="BF282" s="107" t="str">
        <f t="shared" si="11"/>
        <v/>
      </c>
      <c r="BG282" s="94" t="str">
        <f t="shared" si="46"/>
        <v/>
      </c>
      <c r="BH282" s="64" t="str">
        <f t="shared" si="12"/>
        <v>#N/A</v>
      </c>
      <c r="BI282" s="64" t="str">
        <f t="shared" si="13"/>
        <v/>
      </c>
      <c r="BJ282" s="123" t="str">
        <f t="shared" si="14"/>
        <v>#N/A</v>
      </c>
      <c r="BK282" s="64" t="str">
        <f t="shared" si="50"/>
        <v>YES</v>
      </c>
      <c r="BL282" s="64" t="str">
        <f t="shared" si="16"/>
        <v>YES</v>
      </c>
      <c r="BM282" s="64" t="str">
        <f t="shared" si="17"/>
        <v>YES</v>
      </c>
      <c r="BN282" s="124" t="str">
        <f t="shared" si="18"/>
        <v/>
      </c>
      <c r="BO282" s="91" t="str">
        <f t="shared" si="19"/>
        <v/>
      </c>
      <c r="BP282" s="91" t="str">
        <f t="shared" si="20"/>
        <v>#N/A</v>
      </c>
      <c r="BQ282" s="91" t="str">
        <f t="shared" si="21"/>
        <v/>
      </c>
      <c r="BR282" s="93" t="str">
        <f t="shared" si="22"/>
        <v/>
      </c>
      <c r="BS282" s="90" t="str">
        <f t="shared" si="23"/>
        <v/>
      </c>
      <c r="BT282" s="93" t="str">
        <f t="shared" si="24"/>
        <v>NA</v>
      </c>
      <c r="BU282" s="125" t="str">
        <f t="shared" si="25"/>
        <v>#N/A</v>
      </c>
      <c r="BV282" s="93" t="str">
        <f t="shared" si="26"/>
        <v/>
      </c>
      <c r="BW282" s="93" t="str">
        <f t="shared" si="27"/>
        <v/>
      </c>
      <c r="BX282" s="93" t="str">
        <f t="shared" si="28"/>
        <v>NA</v>
      </c>
      <c r="BY282" s="95" t="str">
        <f t="shared" si="29"/>
        <v>#N/A</v>
      </c>
      <c r="BZ282" s="93" t="str">
        <f t="shared" si="30"/>
        <v/>
      </c>
      <c r="CA282" s="93" t="str">
        <f t="shared" si="31"/>
        <v/>
      </c>
      <c r="CB282" s="93" t="str">
        <f t="shared" si="32"/>
        <v>NA</v>
      </c>
      <c r="CC282" s="96" t="str">
        <f t="shared" si="33"/>
        <v>#N/A</v>
      </c>
      <c r="CD282" s="93" t="str">
        <f t="shared" si="34"/>
        <v/>
      </c>
      <c r="CE282" s="93" t="str">
        <f t="shared" si="35"/>
        <v/>
      </c>
      <c r="CF282" s="93" t="str">
        <f t="shared" si="36"/>
        <v>NA</v>
      </c>
      <c r="CG282" s="97" t="str">
        <f t="shared" si="37"/>
        <v>#N/A</v>
      </c>
      <c r="CH282" s="98" t="str">
        <f t="shared" si="38"/>
        <v>#N/A</v>
      </c>
      <c r="CI282" s="99" t="str">
        <f t="shared" si="39"/>
        <v>#N/A</v>
      </c>
      <c r="CJ282" s="126" t="str">
        <f t="shared" si="40"/>
        <v>ERROR: check cell</v>
      </c>
      <c r="CK282" s="126"/>
      <c r="CL282" s="127" t="str">
        <f t="shared" si="41"/>
        <v>#DIV/0!</v>
      </c>
      <c r="CM282" s="128" t="str">
        <f t="shared" si="42"/>
        <v>#DIV/0!</v>
      </c>
      <c r="CN282" s="128">
        <f t="shared" si="43"/>
        <v>4</v>
      </c>
      <c r="CO282" s="129">
        <f t="shared" si="44"/>
        <v>4</v>
      </c>
      <c r="CP282" s="129" t="str">
        <f>IFS(C282=Preferences!B$13,B282,B282=Preferences!B$13,C282)</f>
        <v>#N/A</v>
      </c>
    </row>
    <row r="283" ht="13.5" customHeight="1">
      <c r="A283" s="63" t="str">
        <f t="shared" si="45"/>
        <v/>
      </c>
      <c r="B283" s="64"/>
      <c r="C283" s="64"/>
      <c r="D283" s="64"/>
      <c r="E283" s="65"/>
      <c r="F283" s="65"/>
      <c r="G283" s="65"/>
      <c r="H283" s="66"/>
      <c r="I283" s="66"/>
      <c r="J283" s="67"/>
      <c r="K283" s="68"/>
      <c r="L283" s="104"/>
      <c r="M283" s="104"/>
      <c r="N283" s="104"/>
      <c r="O283" s="104"/>
      <c r="P283" s="107" t="str">
        <f t="shared" si="1"/>
        <v/>
      </c>
      <c r="Q283" s="108" t="str">
        <f>IFERROR(IF(AND(Preferences!B$3="Manual",OR(AX283/AW283&gt;G283/F283,BD283="Serious",BD283="Very serious")),"Assess imprecision",IFS(ISBLANK(E283),"",AND(Preferences!B$3="Automatic", G283/F283&gt;=30),"Extremely serious",AND(H283&lt;=$D$1*-1,J283&lt;0,G283/F283&lt;3),"Not serious",AND(H283&lt;=$D$1*-1,J283&lt;0,G283/F283&gt;=3),"Very serious",AND(H283&gt;=$D$1,I283&gt;0,G283/F283&lt;3),"Not serious",AND(H283&gt;=$D$1,I283&gt;0,G283/F283&gt;=3),"Very serious",AND(H283&lt;=$D$1*-1,J283&gt;0,I283&gt;$D$2*-1,G283/F283&lt;3),"Serious", AND(H283&lt;=$D$1*-1,J283&gt;0,I283&lt;$D$2*-1,G283/F283&lt;3),"Very serious", AND(H283&gt;=$D$1,I283&lt;0,J283&lt;$D$2,G283/F283&lt;3),"Serious",AND(H283&gt;=$D$1,I283&lt;0,J283&gt;$D$2,G283/F283&lt;3),"Very serious", AND(H283&lt;=$D$1*-1,J283&gt;0,I283&gt;$D$2*-1,G283/F283&gt;=3),"Very serious", AND(H283&lt;=$D$1*-1,J283&gt;0,I283&lt;$D$2*-1,G283/F283&gt;=3),"Very serious", AND(H283&gt;=$D$1,I283&lt;0,J283&lt;$D$2,G283/F283&gt;=3),"Very serious", AND(H283&gt;=$D$1,I283&lt;0,J283&gt;$D$2,G283/F283&gt;=3),"Very serious", AND(H283&gt;$D$1*-1,H283&lt;$D$1,I283&gt;$D$1*-1,J283&lt;$D$1,G283/F283&lt;3),"Not serious", AND(H283&gt;$D$1*-1,H283&lt;$D$1,OR(I283&lt;=$D$1*-1,J283&gt;=$D$1),I283&gt;$D$2*-1,J283&lt;$D$2,G283/F283&lt;3),"Serious", AND(H283&gt;$D$1*-1,H283&lt;$D$1,OR(I283&lt;=$D$2*-1,J283&gt;=$D$2),G283/F283&lt;3),"Very serious", AND(H283&gt;$D$1*-1,H283&lt;$D$1,I283&gt;$D$1*-1,J283&lt;$D$1,G283/F283&gt;=3),"Very serious", AND(H283&gt;$D$1*-1,H283&lt;$D$1,OR(I283&lt;=$D$1*-1,J283&gt;=$D$1),I283&gt;$D$2*-1,J283&lt;$D$2,G283/F283&gt;=3),"Very serious", AND(H283&gt;$D$1*-1,H283&lt;$D$1,OR(I283&lt;=$D$2*-1,J283&gt;=$D$2),G283/F283&gt;=3),"Very serious")),"")</f>
        <v/>
      </c>
      <c r="R283" s="109" t="str">
        <f t="shared" si="47"/>
        <v/>
      </c>
      <c r="S283" s="64"/>
      <c r="T283" s="72"/>
      <c r="U283" s="72"/>
      <c r="V283" s="72"/>
      <c r="W283" s="73"/>
      <c r="X283" s="73"/>
      <c r="Y283" s="74"/>
      <c r="Z283" s="113" t="str">
        <f t="array" ref="Z283">INDEX($A$1:$C$500, MATCH(1,($B:$B=$B283)*($C:$C=$AB283),0),1)</f>
        <v/>
      </c>
      <c r="AA283" s="113" t="str">
        <f t="array" ref="AA283">INDEX($A$1:$C$500, MATCH(1,($B:$B=$AB283)*($C:$C=$B283),0),1)</f>
        <v/>
      </c>
      <c r="AB283" s="111"/>
      <c r="AC283" s="114" t="str">
        <f t="shared" si="2"/>
        <v/>
      </c>
      <c r="AD283" s="115" t="str">
        <f t="shared" si="3"/>
        <v/>
      </c>
      <c r="AE283" s="116" t="str">
        <f t="array" ref="AE283">INDEX($A$1:$C$500, MATCH(1,($B:$B=$AB283)*($C:$C=$AG283),0),1)</f>
        <v/>
      </c>
      <c r="AF283" s="116" t="str">
        <f t="array" ref="AF283">INDEX($A$1:$C$500, MATCH(1,($B:$B=$AG283)*($C:$C=$AB283),0),1)</f>
        <v/>
      </c>
      <c r="AG283" s="72"/>
      <c r="AH283" s="114" t="str">
        <f t="shared" si="4"/>
        <v/>
      </c>
      <c r="AI283" s="115" t="str">
        <f t="shared" si="5"/>
        <v/>
      </c>
      <c r="AJ283" s="116" t="str">
        <f t="array" ref="AJ283">INDEX($A$1:$C$500, MATCH(1,($B:$B=$C283)*($C:$C=$AG283),0),1)</f>
        <v/>
      </c>
      <c r="AK283" s="116" t="str">
        <f t="array" ref="AK283">INDEX($A$1:$C$500, MATCH(1,($B:$B=$AG283)*($C:$C=$C283),0),1)</f>
        <v/>
      </c>
      <c r="AL283" s="116" t="str">
        <f t="array" ref="AL283">INDEX($A$1:$C$500, MATCH(1,($B:$B=$C283)*($C:$C=$AB283),0),1)</f>
        <v/>
      </c>
      <c r="AM283" s="116" t="str">
        <f t="array" ref="AM283">INDEX($A$1:$C$500, MATCH(1,($B:$B=$AB283)*($C:$C=$C283),0),1)</f>
        <v/>
      </c>
      <c r="AN283" s="114" t="str">
        <f t="array" ref="AN283">IFS(ISNUMBER(AJ283),AJ283,ISNUMBER(AK283),AK283,ISNUMBER(AL283),AL283,ISNUMBER(AM283),AM283)</f>
        <v>#N/A</v>
      </c>
      <c r="AO283" s="115" t="str">
        <f t="shared" si="6"/>
        <v/>
      </c>
      <c r="AP283" s="115" t="str">
        <f t="shared" si="7"/>
        <v/>
      </c>
      <c r="AQ283" s="111"/>
      <c r="AR283" s="109" t="str">
        <f t="shared" si="8"/>
        <v/>
      </c>
      <c r="AS283" s="72" t="str">
        <f>IFERROR(IF(AND(Preferences!B$3="Manual",OR(AX283/AW283&gt;V283/U283,BD283="Serious",BD283="Very serious")),"Assess imprecision",IFERROR(IFS(AND(Preferences!B$3="Automatic",V283/U283&gt;=30),"Extremely serious",AND(W283&lt;=$D$1*-1,Y283&lt;0,V283/U283&lt;3),"Not Serious",AND(W283&lt;=$D$1*-1,Y283&lt;0,V283/U283&gt;=3),"Very serious",AND(W283&gt;=$D$1,X283&gt;0,V283/U283&lt;3),"Not Serious",AND(W283&gt;=$D$1,X283&gt;0,V283/U283&gt;=3),"Very serious",AND(W283&lt;=$D$1*-1,Y283&gt;0,X283&gt;$D$2*-1,V283/U283&lt;3),"Serious", AND(W283&lt;=$D$1*-1,Y283&gt;0,X283&lt;$D$2*-1,V283/U283&lt;3),"Very serious", AND(W283&gt;=$D$1,X283&lt;0,Y283&lt;$D$2,V283/U283&lt;3),"Serious",AND(W283&gt;=$D$1,X283&lt;0,Y283&gt;$D$2,V283/U283&lt;3),"Very serious", AND(W283&lt;=$D$1*-1,Y283&gt;0,X283&gt;$D$2*-1,V283/U283&gt;=3),"Very serious", AND(W283&lt;=$D$1*-1,Y283&gt;0,X283&lt;$D$2*-1,V283/U283&gt;=3),"Very serious", AND(W283&gt;=$D$1,X283&lt;0,Y283&lt;$D$2,V283/U283&gt;=3),"Very serious", AND(W283&gt;=$D$1,X283&lt;0,Y283&gt;$D$2,V283/U283&gt;=3),"Very serious", AND(W283&gt;$D$1*-1,W283&lt;$D$1,X283&gt;$D$1*-1,Y283&lt;$D$1,V283/U283&lt;3),"Not Serious", AND(W283&gt;$D$1*-1,W283&lt;$D$1,OR(X283&lt;=$D$1*-1,Y283&gt;=$D$1),X283&gt;$D$2*-1,Y283&lt;$D$2,V283/U283&lt;3),"Serious", AND(W283&gt;$D$1*-1,W283&lt;$D$1,OR(X283&lt;=$D$2*-1,Y283&gt;=$D$2),V283/U283&lt;3),"Very serious", AND(W283&gt;$D$1*-1,W283&lt;$D$1,X283&gt;$D$1*-1,Y283&lt;$D$1,V283/U283&gt;=3),"Very serious", AND(W283&gt;$D$1*-1,W283&lt;$D$1,OR(X283&lt;=$D$1*-1,Y283&gt;=$D$1),X283&gt;$D$2*-1,Y283&lt;$D$2,V283/U283&gt;=3),"Very serious", AND(W283&gt;$D$1*-1,W283&lt;$D$1,OR(X283&lt;=$D$2*-1,Y283&gt;=$D$2),V283/U283&gt;=3),"Very serious"),"")),"")</f>
        <v/>
      </c>
      <c r="AT283" s="109" t="str">
        <f t="shared" si="9"/>
        <v/>
      </c>
      <c r="AU283" s="64"/>
      <c r="AV283" s="83"/>
      <c r="AW283" s="83"/>
      <c r="AX283" s="83"/>
      <c r="AY283" s="83"/>
      <c r="AZ283" s="83"/>
      <c r="BA283" s="85"/>
      <c r="BB283" s="86" t="str">
        <f>IF(Preferences!B$9="Manual","",IFS(ISBLANK(B283),"",AND(ISNUMBER(E283)=TRUE,ISNUMBER(T283)=FALSE),"Direct", AND(ISNUMBER(E283)=FALSE,ISNUMBER(T283)=TRUE),"Indirect", CN283=4,"Direct",AND(CL283=FALSE, CM283=TRUE,CN283-CO283&gt;-1),"Direct", AND(CL283=FALSE,CM283=TRUE, CN283-CO283&lt;0),"Check algorithm in appendix 2", AND(CL283=TRUE, CM283=FALSE,CN283-CO283&gt;0),"Check algorithm in appendix 2", AND(CL283=TRUE, CM283=FALSE,CN283-CO283=0),"Indirect", AND(CL283=TRUE, CM283=FALSE,CN283-CO283&lt;0),"Indirect", AND(CL283=FALSE,CM283=FALSE,CN283-CO283&gt;-1),"Direct", AND(CL283=FALSE,CM283=FALSE,CN283-CO283&lt;0),"Check algorithm in appendix 2", AND(CL283=TRUE,CM283=TRUE,CN283-CO283&gt;-1),"Direct", AND(CL283=TRUE,CM283=TRUE,CN283-CO283&lt;0),"Check algorithm in appendix 2"))</f>
        <v/>
      </c>
      <c r="BC283" s="120" t="str">
        <f t="shared" si="10"/>
        <v/>
      </c>
      <c r="BD283" s="140"/>
      <c r="BE283" s="122" t="str">
        <f>IF(Preferences!B$3="Manual","", IFERROR(IFS(AND(Preferences!B$3="Automatic",AX283/AW283&gt;=30),"Extremely serious",AND(AY283&lt;=$D$1*-1,BA283&lt;0,AX283/AW283&lt;3),"Not Serious",AND(AY283&lt;=$D$1*-1,BA283&lt;0,AX283/AW283&gt;=3),"Very serious",AND(AY283&gt;=$D$1,AZ283&gt;0,AX283/AW283&lt;3),"Not Serious",AND(AY283&gt;=$D$1,AZ283&gt;0,AX283/AW283&gt;=3),"Very serious",AND(AY283&lt;=$D$1*-1,BA283&gt;0,AZ283&gt;$D$2*-1,AX283/AW283&lt;3),"Serious", AND(AY283&lt;=$D$1*-1,BA283&gt;0,AZ283&lt;$D$2*-1,AX283/AW283&lt;3),"Very serious", AND(AY283&gt;=$D$1,AZ283&lt;0,BA283&lt;$D$2,AX283/AW283&lt;3),"Serious",AND(AY283&gt;=$D$1,AZ283&lt;0,BA283&gt;$D$2,AX283/AW283&lt;3),"Very serious", AND(AY283&lt;=$D$1*-1,BA283&gt;0,AZ283&gt;$D$2*-1,AX283/AW283&gt;=3),"Very serious", AND(AY283&lt;=$D$1*-1,BA283&gt;0,AZ283&lt;$D$2*-1,AX283/AW283&gt;=3),"Very serious", AND(AY283&gt;=$D$1,AZ283&lt;0,BA283&lt;$D$2,AX283/AW283&gt;=3),"Very serious", AND(AY283&gt;=$D$1,AZ283&lt;0,BA283&gt;$D$2,AX283/AW283&gt;=3),"Very serious", AND(AY283&gt;$D$1*-1,AY283&lt;$D$1,AZ283&gt;$D$1*-1,BA283&lt;$D$1,AX283/AW283&lt;3),"Not Serious", AND(AY283&gt;$D$1*-1,AY283&lt;$D$1,OR(AZ283&lt;=$D$1*-1,BA283&gt;=$D$1),AZ283&gt;$D$2*-1,BA283&lt;$D$2,AX283/AW283&lt;3),"Serious", AND(AY283&gt;$D$1*-1,AY283&lt;$D$1,OR(AZ283&lt;=$D$2*-1,BA283&gt;=$D$2),AX283/AW283&lt;3),"Very serious", AND(AY283&gt;$D$1*-1,AY283&lt;$D$1,AZ283&gt;$D$1*-1,BA283&lt;$D$1,AX283/AW283&gt;=3),"Very serious", AND(AY283&gt;$D$1*-1,AY283&lt;$D$1,OR(AZ283&lt;=$D$1*-1,BA283&gt;=$D$1),AZ283&gt;$D$2*-1,BA283&lt;$D$2,AX283/AW283&gt;=3),"Very serious", AND(AY283&gt;$D$1*-1,AY283&lt;$D$1,OR(AZ283&lt;=$D$2*-1,BA283&gt;=$D$2),AX283/AW283&gt;=3),"Very serious"),""))</f>
        <v/>
      </c>
      <c r="BF283" s="107" t="str">
        <f t="shared" si="11"/>
        <v/>
      </c>
      <c r="BG283" s="94" t="str">
        <f t="shared" si="46"/>
        <v/>
      </c>
      <c r="BH283" s="64" t="str">
        <f t="shared" si="12"/>
        <v>#N/A</v>
      </c>
      <c r="BI283" s="64" t="str">
        <f t="shared" si="13"/>
        <v/>
      </c>
      <c r="BJ283" s="123" t="str">
        <f t="shared" si="14"/>
        <v>#N/A</v>
      </c>
      <c r="BK283" s="64" t="str">
        <f t="shared" si="50"/>
        <v>YES</v>
      </c>
      <c r="BL283" s="64" t="str">
        <f t="shared" si="16"/>
        <v>YES</v>
      </c>
      <c r="BM283" s="64" t="str">
        <f t="shared" si="17"/>
        <v>YES</v>
      </c>
      <c r="BN283" s="124" t="str">
        <f t="shared" si="18"/>
        <v/>
      </c>
      <c r="BO283" s="91" t="str">
        <f t="shared" si="19"/>
        <v/>
      </c>
      <c r="BP283" s="91" t="str">
        <f t="shared" si="20"/>
        <v>#N/A</v>
      </c>
      <c r="BQ283" s="91" t="str">
        <f t="shared" si="21"/>
        <v/>
      </c>
      <c r="BR283" s="93" t="str">
        <f t="shared" si="22"/>
        <v/>
      </c>
      <c r="BS283" s="90" t="str">
        <f t="shared" si="23"/>
        <v/>
      </c>
      <c r="BT283" s="93" t="str">
        <f t="shared" si="24"/>
        <v>NA</v>
      </c>
      <c r="BU283" s="125" t="str">
        <f t="shared" si="25"/>
        <v>#N/A</v>
      </c>
      <c r="BV283" s="93" t="str">
        <f t="shared" si="26"/>
        <v/>
      </c>
      <c r="BW283" s="93" t="str">
        <f t="shared" si="27"/>
        <v/>
      </c>
      <c r="BX283" s="93" t="str">
        <f t="shared" si="28"/>
        <v>NA</v>
      </c>
      <c r="BY283" s="95" t="str">
        <f t="shared" si="29"/>
        <v>#N/A</v>
      </c>
      <c r="BZ283" s="93" t="str">
        <f t="shared" si="30"/>
        <v/>
      </c>
      <c r="CA283" s="93" t="str">
        <f t="shared" si="31"/>
        <v/>
      </c>
      <c r="CB283" s="93" t="str">
        <f t="shared" si="32"/>
        <v>NA</v>
      </c>
      <c r="CC283" s="96" t="str">
        <f t="shared" si="33"/>
        <v>#N/A</v>
      </c>
      <c r="CD283" s="93" t="str">
        <f t="shared" si="34"/>
        <v/>
      </c>
      <c r="CE283" s="93" t="str">
        <f t="shared" si="35"/>
        <v/>
      </c>
      <c r="CF283" s="93" t="str">
        <f t="shared" si="36"/>
        <v>NA</v>
      </c>
      <c r="CG283" s="97" t="str">
        <f t="shared" si="37"/>
        <v>#N/A</v>
      </c>
      <c r="CH283" s="98" t="str">
        <f t="shared" si="38"/>
        <v>#N/A</v>
      </c>
      <c r="CI283" s="99" t="str">
        <f t="shared" si="39"/>
        <v>#N/A</v>
      </c>
      <c r="CJ283" s="126" t="str">
        <f t="shared" si="40"/>
        <v>ERROR: check cell</v>
      </c>
      <c r="CK283" s="126"/>
      <c r="CL283" s="127" t="str">
        <f t="shared" si="41"/>
        <v>#DIV/0!</v>
      </c>
      <c r="CM283" s="128" t="str">
        <f t="shared" si="42"/>
        <v>#DIV/0!</v>
      </c>
      <c r="CN283" s="128">
        <f t="shared" si="43"/>
        <v>4</v>
      </c>
      <c r="CO283" s="129">
        <f t="shared" si="44"/>
        <v>4</v>
      </c>
      <c r="CP283" s="129" t="str">
        <f>IFS(C283=Preferences!B$13,B283,B283=Preferences!B$13,C283)</f>
        <v>#N/A</v>
      </c>
    </row>
    <row r="284" ht="13.5" customHeight="1">
      <c r="A284" s="63" t="str">
        <f t="shared" si="45"/>
        <v/>
      </c>
      <c r="B284" s="64"/>
      <c r="C284" s="64"/>
      <c r="D284" s="64"/>
      <c r="E284" s="65"/>
      <c r="F284" s="65"/>
      <c r="G284" s="65"/>
      <c r="H284" s="66"/>
      <c r="I284" s="66"/>
      <c r="J284" s="67"/>
      <c r="K284" s="68"/>
      <c r="L284" s="104"/>
      <c r="M284" s="104"/>
      <c r="N284" s="104"/>
      <c r="O284" s="104"/>
      <c r="P284" s="107" t="str">
        <f t="shared" si="1"/>
        <v/>
      </c>
      <c r="Q284" s="108" t="str">
        <f>IFERROR(IF(AND(Preferences!B$3="Manual",OR(AX284/AW284&gt;G284/F284,BD284="Serious",BD284="Very serious")),"Assess imprecision",IFS(ISBLANK(E284),"",AND(Preferences!B$3="Automatic", G284/F284&gt;=30),"Extremely serious",AND(H284&lt;=$D$1*-1,J284&lt;0,G284/F284&lt;3),"Not serious",AND(H284&lt;=$D$1*-1,J284&lt;0,G284/F284&gt;=3),"Very serious",AND(H284&gt;=$D$1,I284&gt;0,G284/F284&lt;3),"Not serious",AND(H284&gt;=$D$1,I284&gt;0,G284/F284&gt;=3),"Very serious",AND(H284&lt;=$D$1*-1,J284&gt;0,I284&gt;$D$2*-1,G284/F284&lt;3),"Serious", AND(H284&lt;=$D$1*-1,J284&gt;0,I284&lt;$D$2*-1,G284/F284&lt;3),"Very serious", AND(H284&gt;=$D$1,I284&lt;0,J284&lt;$D$2,G284/F284&lt;3),"Serious",AND(H284&gt;=$D$1,I284&lt;0,J284&gt;$D$2,G284/F284&lt;3),"Very serious", AND(H284&lt;=$D$1*-1,J284&gt;0,I284&gt;$D$2*-1,G284/F284&gt;=3),"Very serious", AND(H284&lt;=$D$1*-1,J284&gt;0,I284&lt;$D$2*-1,G284/F284&gt;=3),"Very serious", AND(H284&gt;=$D$1,I284&lt;0,J284&lt;$D$2,G284/F284&gt;=3),"Very serious", AND(H284&gt;=$D$1,I284&lt;0,J284&gt;$D$2,G284/F284&gt;=3),"Very serious", AND(H284&gt;$D$1*-1,H284&lt;$D$1,I284&gt;$D$1*-1,J284&lt;$D$1,G284/F284&lt;3),"Not serious", AND(H284&gt;$D$1*-1,H284&lt;$D$1,OR(I284&lt;=$D$1*-1,J284&gt;=$D$1),I284&gt;$D$2*-1,J284&lt;$D$2,G284/F284&lt;3),"Serious", AND(H284&gt;$D$1*-1,H284&lt;$D$1,OR(I284&lt;=$D$2*-1,J284&gt;=$D$2),G284/F284&lt;3),"Very serious", AND(H284&gt;$D$1*-1,H284&lt;$D$1,I284&gt;$D$1*-1,J284&lt;$D$1,G284/F284&gt;=3),"Very serious", AND(H284&gt;$D$1*-1,H284&lt;$D$1,OR(I284&lt;=$D$1*-1,J284&gt;=$D$1),I284&gt;$D$2*-1,J284&lt;$D$2,G284/F284&gt;=3),"Very serious", AND(H284&gt;$D$1*-1,H284&lt;$D$1,OR(I284&lt;=$D$2*-1,J284&gt;=$D$2),G284/F284&gt;=3),"Very serious")),"")</f>
        <v/>
      </c>
      <c r="R284" s="109" t="str">
        <f t="shared" si="47"/>
        <v/>
      </c>
      <c r="S284" s="64"/>
      <c r="T284" s="72"/>
      <c r="U284" s="72"/>
      <c r="V284" s="72"/>
      <c r="W284" s="73"/>
      <c r="X284" s="73"/>
      <c r="Y284" s="74"/>
      <c r="Z284" s="113" t="str">
        <f t="array" ref="Z284">INDEX($A$1:$C$500, MATCH(1,($B:$B=$B284)*($C:$C=$AB284),0),1)</f>
        <v/>
      </c>
      <c r="AA284" s="113" t="str">
        <f t="array" ref="AA284">INDEX($A$1:$C$500, MATCH(1,($B:$B=$AB284)*($C:$C=$B284),0),1)</f>
        <v/>
      </c>
      <c r="AB284" s="111"/>
      <c r="AC284" s="114" t="str">
        <f t="shared" si="2"/>
        <v/>
      </c>
      <c r="AD284" s="115" t="str">
        <f t="shared" si="3"/>
        <v/>
      </c>
      <c r="AE284" s="116" t="str">
        <f t="array" ref="AE284">INDEX($A$1:$C$500, MATCH(1,($B:$B=$AB284)*($C:$C=$AG284),0),1)</f>
        <v/>
      </c>
      <c r="AF284" s="116" t="str">
        <f t="array" ref="AF284">INDEX($A$1:$C$500, MATCH(1,($B:$B=$AG284)*($C:$C=$AB284),0),1)</f>
        <v/>
      </c>
      <c r="AG284" s="72"/>
      <c r="AH284" s="114" t="str">
        <f t="shared" si="4"/>
        <v/>
      </c>
      <c r="AI284" s="115" t="str">
        <f t="shared" si="5"/>
        <v/>
      </c>
      <c r="AJ284" s="116" t="str">
        <f t="array" ref="AJ284">INDEX($A$1:$C$500, MATCH(1,($B:$B=$C284)*($C:$C=$AG284),0),1)</f>
        <v/>
      </c>
      <c r="AK284" s="116" t="str">
        <f t="array" ref="AK284">INDEX($A$1:$C$500, MATCH(1,($B:$B=$AG284)*($C:$C=$C284),0),1)</f>
        <v/>
      </c>
      <c r="AL284" s="116" t="str">
        <f t="array" ref="AL284">INDEX($A$1:$C$500, MATCH(1,($B:$B=$C284)*($C:$C=$AB284),0),1)</f>
        <v/>
      </c>
      <c r="AM284" s="116" t="str">
        <f t="array" ref="AM284">INDEX($A$1:$C$500, MATCH(1,($B:$B=$AB284)*($C:$C=$C284),0),1)</f>
        <v/>
      </c>
      <c r="AN284" s="114" t="str">
        <f t="array" ref="AN284">IFS(ISNUMBER(AJ284),AJ284,ISNUMBER(AK284),AK284,ISNUMBER(AL284),AL284,ISNUMBER(AM284),AM284)</f>
        <v>#N/A</v>
      </c>
      <c r="AO284" s="115" t="str">
        <f t="shared" si="6"/>
        <v/>
      </c>
      <c r="AP284" s="115" t="str">
        <f t="shared" si="7"/>
        <v/>
      </c>
      <c r="AQ284" s="111"/>
      <c r="AR284" s="109" t="str">
        <f t="shared" si="8"/>
        <v/>
      </c>
      <c r="AS284" s="72" t="str">
        <f>IFERROR(IF(AND(Preferences!B$3="Manual",OR(AX284/AW284&gt;V284/U284,BD284="Serious",BD284="Very serious")),"Assess imprecision",IFERROR(IFS(AND(Preferences!B$3="Automatic",V284/U284&gt;=30),"Extremely serious",AND(W284&lt;=$D$1*-1,Y284&lt;0,V284/U284&lt;3),"Not Serious",AND(W284&lt;=$D$1*-1,Y284&lt;0,V284/U284&gt;=3),"Very serious",AND(W284&gt;=$D$1,X284&gt;0,V284/U284&lt;3),"Not Serious",AND(W284&gt;=$D$1,X284&gt;0,V284/U284&gt;=3),"Very serious",AND(W284&lt;=$D$1*-1,Y284&gt;0,X284&gt;$D$2*-1,V284/U284&lt;3),"Serious", AND(W284&lt;=$D$1*-1,Y284&gt;0,X284&lt;$D$2*-1,V284/U284&lt;3),"Very serious", AND(W284&gt;=$D$1,X284&lt;0,Y284&lt;$D$2,V284/U284&lt;3),"Serious",AND(W284&gt;=$D$1,X284&lt;0,Y284&gt;$D$2,V284/U284&lt;3),"Very serious", AND(W284&lt;=$D$1*-1,Y284&gt;0,X284&gt;$D$2*-1,V284/U284&gt;=3),"Very serious", AND(W284&lt;=$D$1*-1,Y284&gt;0,X284&lt;$D$2*-1,V284/U284&gt;=3),"Very serious", AND(W284&gt;=$D$1,X284&lt;0,Y284&lt;$D$2,V284/U284&gt;=3),"Very serious", AND(W284&gt;=$D$1,X284&lt;0,Y284&gt;$D$2,V284/U284&gt;=3),"Very serious", AND(W284&gt;$D$1*-1,W284&lt;$D$1,X284&gt;$D$1*-1,Y284&lt;$D$1,V284/U284&lt;3),"Not Serious", AND(W284&gt;$D$1*-1,W284&lt;$D$1,OR(X284&lt;=$D$1*-1,Y284&gt;=$D$1),X284&gt;$D$2*-1,Y284&lt;$D$2,V284/U284&lt;3),"Serious", AND(W284&gt;$D$1*-1,W284&lt;$D$1,OR(X284&lt;=$D$2*-1,Y284&gt;=$D$2),V284/U284&lt;3),"Very serious", AND(W284&gt;$D$1*-1,W284&lt;$D$1,X284&gt;$D$1*-1,Y284&lt;$D$1,V284/U284&gt;=3),"Very serious", AND(W284&gt;$D$1*-1,W284&lt;$D$1,OR(X284&lt;=$D$1*-1,Y284&gt;=$D$1),X284&gt;$D$2*-1,Y284&lt;$D$2,V284/U284&gt;=3),"Very serious", AND(W284&gt;$D$1*-1,W284&lt;$D$1,OR(X284&lt;=$D$2*-1,Y284&gt;=$D$2),V284/U284&gt;=3),"Very serious"),"")),"")</f>
        <v/>
      </c>
      <c r="AT284" s="109" t="str">
        <f t="shared" si="9"/>
        <v/>
      </c>
      <c r="AU284" s="64"/>
      <c r="AV284" s="83"/>
      <c r="AW284" s="83"/>
      <c r="AX284" s="83"/>
      <c r="AY284" s="83"/>
      <c r="AZ284" s="83"/>
      <c r="BA284" s="85"/>
      <c r="BB284" s="86" t="str">
        <f>IF(Preferences!B$9="Manual","",IFS(ISBLANK(B284),"",AND(ISNUMBER(E284)=TRUE,ISNUMBER(T284)=FALSE),"Direct", AND(ISNUMBER(E284)=FALSE,ISNUMBER(T284)=TRUE),"Indirect", CN284=4,"Direct",AND(CL284=FALSE, CM284=TRUE,CN284-CO284&gt;-1),"Direct", AND(CL284=FALSE,CM284=TRUE, CN284-CO284&lt;0),"Check algorithm in appendix 2", AND(CL284=TRUE, CM284=FALSE,CN284-CO284&gt;0),"Check algorithm in appendix 2", AND(CL284=TRUE, CM284=FALSE,CN284-CO284=0),"Indirect", AND(CL284=TRUE, CM284=FALSE,CN284-CO284&lt;0),"Indirect", AND(CL284=FALSE,CM284=FALSE,CN284-CO284&gt;-1),"Direct", AND(CL284=FALSE,CM284=FALSE,CN284-CO284&lt;0),"Check algorithm in appendix 2", AND(CL284=TRUE,CM284=TRUE,CN284-CO284&gt;-1),"Direct", AND(CL284=TRUE,CM284=TRUE,CN284-CO284&lt;0),"Check algorithm in appendix 2"))</f>
        <v/>
      </c>
      <c r="BC284" s="120" t="str">
        <f t="shared" si="10"/>
        <v/>
      </c>
      <c r="BD284" s="140"/>
      <c r="BE284" s="122" t="str">
        <f>IF(Preferences!B$3="Manual","", IFERROR(IFS(AND(Preferences!B$3="Automatic",AX284/AW284&gt;=30),"Extremely serious",AND(AY284&lt;=$D$1*-1,BA284&lt;0,AX284/AW284&lt;3),"Not Serious",AND(AY284&lt;=$D$1*-1,BA284&lt;0,AX284/AW284&gt;=3),"Very serious",AND(AY284&gt;=$D$1,AZ284&gt;0,AX284/AW284&lt;3),"Not Serious",AND(AY284&gt;=$D$1,AZ284&gt;0,AX284/AW284&gt;=3),"Very serious",AND(AY284&lt;=$D$1*-1,BA284&gt;0,AZ284&gt;$D$2*-1,AX284/AW284&lt;3),"Serious", AND(AY284&lt;=$D$1*-1,BA284&gt;0,AZ284&lt;$D$2*-1,AX284/AW284&lt;3),"Very serious", AND(AY284&gt;=$D$1,AZ284&lt;0,BA284&lt;$D$2,AX284/AW284&lt;3),"Serious",AND(AY284&gt;=$D$1,AZ284&lt;0,BA284&gt;$D$2,AX284/AW284&lt;3),"Very serious", AND(AY284&lt;=$D$1*-1,BA284&gt;0,AZ284&gt;$D$2*-1,AX284/AW284&gt;=3),"Very serious", AND(AY284&lt;=$D$1*-1,BA284&gt;0,AZ284&lt;$D$2*-1,AX284/AW284&gt;=3),"Very serious", AND(AY284&gt;=$D$1,AZ284&lt;0,BA284&lt;$D$2,AX284/AW284&gt;=3),"Very serious", AND(AY284&gt;=$D$1,AZ284&lt;0,BA284&gt;$D$2,AX284/AW284&gt;=3),"Very serious", AND(AY284&gt;$D$1*-1,AY284&lt;$D$1,AZ284&gt;$D$1*-1,BA284&lt;$D$1,AX284/AW284&lt;3),"Not Serious", AND(AY284&gt;$D$1*-1,AY284&lt;$D$1,OR(AZ284&lt;=$D$1*-1,BA284&gt;=$D$1),AZ284&gt;$D$2*-1,BA284&lt;$D$2,AX284/AW284&lt;3),"Serious", AND(AY284&gt;$D$1*-1,AY284&lt;$D$1,OR(AZ284&lt;=$D$2*-1,BA284&gt;=$D$2),AX284/AW284&lt;3),"Very serious", AND(AY284&gt;$D$1*-1,AY284&lt;$D$1,AZ284&gt;$D$1*-1,BA284&lt;$D$1,AX284/AW284&gt;=3),"Very serious", AND(AY284&gt;$D$1*-1,AY284&lt;$D$1,OR(AZ284&lt;=$D$1*-1,BA284&gt;=$D$1),AZ284&gt;$D$2*-1,BA284&lt;$D$2,AX284/AW284&gt;=3),"Very serious", AND(AY284&gt;$D$1*-1,AY284&lt;$D$1,OR(AZ284&lt;=$D$2*-1,BA284&gt;=$D$2),AX284/AW284&gt;=3),"Very serious"),""))</f>
        <v/>
      </c>
      <c r="BF284" s="107" t="str">
        <f t="shared" si="11"/>
        <v/>
      </c>
      <c r="BG284" s="94" t="str">
        <f t="shared" si="46"/>
        <v/>
      </c>
      <c r="BH284" s="64" t="str">
        <f t="shared" si="12"/>
        <v>#N/A</v>
      </c>
      <c r="BI284" s="64" t="str">
        <f t="shared" si="13"/>
        <v/>
      </c>
      <c r="BJ284" s="123" t="str">
        <f t="shared" si="14"/>
        <v>#N/A</v>
      </c>
      <c r="BK284" s="64" t="str">
        <f t="shared" si="50"/>
        <v>YES</v>
      </c>
      <c r="BL284" s="64" t="str">
        <f t="shared" si="16"/>
        <v>YES</v>
      </c>
      <c r="BM284" s="64" t="str">
        <f t="shared" si="17"/>
        <v>YES</v>
      </c>
      <c r="BN284" s="124" t="str">
        <f t="shared" si="18"/>
        <v/>
      </c>
      <c r="BO284" s="91" t="str">
        <f t="shared" si="19"/>
        <v/>
      </c>
      <c r="BP284" s="91" t="str">
        <f t="shared" si="20"/>
        <v>#N/A</v>
      </c>
      <c r="BQ284" s="91" t="str">
        <f t="shared" si="21"/>
        <v/>
      </c>
      <c r="BR284" s="93" t="str">
        <f t="shared" si="22"/>
        <v/>
      </c>
      <c r="BS284" s="90" t="str">
        <f t="shared" si="23"/>
        <v/>
      </c>
      <c r="BT284" s="93" t="str">
        <f t="shared" si="24"/>
        <v>NA</v>
      </c>
      <c r="BU284" s="125" t="str">
        <f t="shared" si="25"/>
        <v>#N/A</v>
      </c>
      <c r="BV284" s="93" t="str">
        <f t="shared" si="26"/>
        <v/>
      </c>
      <c r="BW284" s="93" t="str">
        <f t="shared" si="27"/>
        <v/>
      </c>
      <c r="BX284" s="93" t="str">
        <f t="shared" si="28"/>
        <v>NA</v>
      </c>
      <c r="BY284" s="95" t="str">
        <f t="shared" si="29"/>
        <v>#N/A</v>
      </c>
      <c r="BZ284" s="93" t="str">
        <f t="shared" si="30"/>
        <v/>
      </c>
      <c r="CA284" s="93" t="str">
        <f t="shared" si="31"/>
        <v/>
      </c>
      <c r="CB284" s="93" t="str">
        <f t="shared" si="32"/>
        <v>NA</v>
      </c>
      <c r="CC284" s="96" t="str">
        <f t="shared" si="33"/>
        <v>#N/A</v>
      </c>
      <c r="CD284" s="93" t="str">
        <f t="shared" si="34"/>
        <v/>
      </c>
      <c r="CE284" s="93" t="str">
        <f t="shared" si="35"/>
        <v/>
      </c>
      <c r="CF284" s="93" t="str">
        <f t="shared" si="36"/>
        <v>NA</v>
      </c>
      <c r="CG284" s="97" t="str">
        <f t="shared" si="37"/>
        <v>#N/A</v>
      </c>
      <c r="CH284" s="98" t="str">
        <f t="shared" si="38"/>
        <v>#N/A</v>
      </c>
      <c r="CI284" s="99" t="str">
        <f t="shared" si="39"/>
        <v>#N/A</v>
      </c>
      <c r="CJ284" s="126" t="str">
        <f t="shared" si="40"/>
        <v>ERROR: check cell</v>
      </c>
      <c r="CK284" s="126"/>
      <c r="CL284" s="127" t="str">
        <f t="shared" si="41"/>
        <v>#DIV/0!</v>
      </c>
      <c r="CM284" s="128" t="str">
        <f t="shared" si="42"/>
        <v>#DIV/0!</v>
      </c>
      <c r="CN284" s="128">
        <f t="shared" si="43"/>
        <v>4</v>
      </c>
      <c r="CO284" s="129">
        <f t="shared" si="44"/>
        <v>4</v>
      </c>
      <c r="CP284" s="129" t="str">
        <f>IFS(C284=Preferences!B$13,B284,B284=Preferences!B$13,C284)</f>
        <v>#N/A</v>
      </c>
    </row>
    <row r="285" ht="13.5" customHeight="1">
      <c r="A285" s="63" t="str">
        <f t="shared" si="45"/>
        <v/>
      </c>
      <c r="B285" s="64"/>
      <c r="C285" s="64"/>
      <c r="D285" s="64"/>
      <c r="E285" s="65"/>
      <c r="F285" s="65"/>
      <c r="G285" s="65"/>
      <c r="H285" s="66"/>
      <c r="I285" s="66"/>
      <c r="J285" s="67"/>
      <c r="K285" s="68"/>
      <c r="L285" s="104"/>
      <c r="M285" s="104"/>
      <c r="N285" s="104"/>
      <c r="O285" s="104"/>
      <c r="P285" s="107" t="str">
        <f t="shared" si="1"/>
        <v/>
      </c>
      <c r="Q285" s="108" t="str">
        <f>IFERROR(IF(AND(Preferences!B$3="Manual",OR(AX285/AW285&gt;G285/F285,BD285="Serious",BD285="Very serious")),"Assess imprecision",IFS(ISBLANK(E285),"",AND(Preferences!B$3="Automatic", G285/F285&gt;=30),"Extremely serious",AND(H285&lt;=$D$1*-1,J285&lt;0,G285/F285&lt;3),"Not serious",AND(H285&lt;=$D$1*-1,J285&lt;0,G285/F285&gt;=3),"Very serious",AND(H285&gt;=$D$1,I285&gt;0,G285/F285&lt;3),"Not serious",AND(H285&gt;=$D$1,I285&gt;0,G285/F285&gt;=3),"Very serious",AND(H285&lt;=$D$1*-1,J285&gt;0,I285&gt;$D$2*-1,G285/F285&lt;3),"Serious", AND(H285&lt;=$D$1*-1,J285&gt;0,I285&lt;$D$2*-1,G285/F285&lt;3),"Very serious", AND(H285&gt;=$D$1,I285&lt;0,J285&lt;$D$2,G285/F285&lt;3),"Serious",AND(H285&gt;=$D$1,I285&lt;0,J285&gt;$D$2,G285/F285&lt;3),"Very serious", AND(H285&lt;=$D$1*-1,J285&gt;0,I285&gt;$D$2*-1,G285/F285&gt;=3),"Very serious", AND(H285&lt;=$D$1*-1,J285&gt;0,I285&lt;$D$2*-1,G285/F285&gt;=3),"Very serious", AND(H285&gt;=$D$1,I285&lt;0,J285&lt;$D$2,G285/F285&gt;=3),"Very serious", AND(H285&gt;=$D$1,I285&lt;0,J285&gt;$D$2,G285/F285&gt;=3),"Very serious", AND(H285&gt;$D$1*-1,H285&lt;$D$1,I285&gt;$D$1*-1,J285&lt;$D$1,G285/F285&lt;3),"Not serious", AND(H285&gt;$D$1*-1,H285&lt;$D$1,OR(I285&lt;=$D$1*-1,J285&gt;=$D$1),I285&gt;$D$2*-1,J285&lt;$D$2,G285/F285&lt;3),"Serious", AND(H285&gt;$D$1*-1,H285&lt;$D$1,OR(I285&lt;=$D$2*-1,J285&gt;=$D$2),G285/F285&lt;3),"Very serious", AND(H285&gt;$D$1*-1,H285&lt;$D$1,I285&gt;$D$1*-1,J285&lt;$D$1,G285/F285&gt;=3),"Very serious", AND(H285&gt;$D$1*-1,H285&lt;$D$1,OR(I285&lt;=$D$1*-1,J285&gt;=$D$1),I285&gt;$D$2*-1,J285&lt;$D$2,G285/F285&gt;=3),"Very serious", AND(H285&gt;$D$1*-1,H285&lt;$D$1,OR(I285&lt;=$D$2*-1,J285&gt;=$D$2),G285/F285&gt;=3),"Very serious")),"")</f>
        <v/>
      </c>
      <c r="R285" s="109" t="str">
        <f t="shared" si="47"/>
        <v/>
      </c>
      <c r="S285" s="64"/>
      <c r="T285" s="72"/>
      <c r="U285" s="72"/>
      <c r="V285" s="72"/>
      <c r="W285" s="73"/>
      <c r="X285" s="73"/>
      <c r="Y285" s="74"/>
      <c r="Z285" s="113" t="str">
        <f t="array" ref="Z285">INDEX($A$1:$C$500, MATCH(1,($B:$B=$B285)*($C:$C=$AB285),0),1)</f>
        <v/>
      </c>
      <c r="AA285" s="113" t="str">
        <f t="array" ref="AA285">INDEX($A$1:$C$500, MATCH(1,($B:$B=$AB285)*($C:$C=$B285),0),1)</f>
        <v/>
      </c>
      <c r="AB285" s="111"/>
      <c r="AC285" s="114" t="str">
        <f t="shared" si="2"/>
        <v/>
      </c>
      <c r="AD285" s="115" t="str">
        <f t="shared" si="3"/>
        <v/>
      </c>
      <c r="AE285" s="116" t="str">
        <f t="array" ref="AE285">INDEX($A$1:$C$500, MATCH(1,($B:$B=$AB285)*($C:$C=$AG285),0),1)</f>
        <v/>
      </c>
      <c r="AF285" s="116" t="str">
        <f t="array" ref="AF285">INDEX($A$1:$C$500, MATCH(1,($B:$B=$AG285)*($C:$C=$AB285),0),1)</f>
        <v/>
      </c>
      <c r="AG285" s="72"/>
      <c r="AH285" s="114" t="str">
        <f t="shared" si="4"/>
        <v/>
      </c>
      <c r="AI285" s="115" t="str">
        <f t="shared" si="5"/>
        <v/>
      </c>
      <c r="AJ285" s="116" t="str">
        <f t="array" ref="AJ285">INDEX($A$1:$C$500, MATCH(1,($B:$B=$C285)*($C:$C=$AG285),0),1)</f>
        <v/>
      </c>
      <c r="AK285" s="116" t="str">
        <f t="array" ref="AK285">INDEX($A$1:$C$500, MATCH(1,($B:$B=$AG285)*($C:$C=$C285),0),1)</f>
        <v/>
      </c>
      <c r="AL285" s="116" t="str">
        <f t="array" ref="AL285">INDEX($A$1:$C$500, MATCH(1,($B:$B=$C285)*($C:$C=$AB285),0),1)</f>
        <v/>
      </c>
      <c r="AM285" s="116" t="str">
        <f t="array" ref="AM285">INDEX($A$1:$C$500, MATCH(1,($B:$B=$AB285)*($C:$C=$C285),0),1)</f>
        <v/>
      </c>
      <c r="AN285" s="114" t="str">
        <f t="array" ref="AN285">IFS(ISNUMBER(AJ285),AJ285,ISNUMBER(AK285),AK285,ISNUMBER(AL285),AL285,ISNUMBER(AM285),AM285)</f>
        <v>#N/A</v>
      </c>
      <c r="AO285" s="115" t="str">
        <f t="shared" si="6"/>
        <v/>
      </c>
      <c r="AP285" s="115" t="str">
        <f t="shared" si="7"/>
        <v/>
      </c>
      <c r="AQ285" s="111"/>
      <c r="AR285" s="109" t="str">
        <f t="shared" si="8"/>
        <v/>
      </c>
      <c r="AS285" s="72" t="str">
        <f>IFERROR(IF(AND(Preferences!B$3="Manual",OR(AX285/AW285&gt;V285/U285,BD285="Serious",BD285="Very serious")),"Assess imprecision",IFERROR(IFS(AND(Preferences!B$3="Automatic",V285/U285&gt;=30),"Extremely serious",AND(W285&lt;=$D$1*-1,Y285&lt;0,V285/U285&lt;3),"Not Serious",AND(W285&lt;=$D$1*-1,Y285&lt;0,V285/U285&gt;=3),"Very serious",AND(W285&gt;=$D$1,X285&gt;0,V285/U285&lt;3),"Not Serious",AND(W285&gt;=$D$1,X285&gt;0,V285/U285&gt;=3),"Very serious",AND(W285&lt;=$D$1*-1,Y285&gt;0,X285&gt;$D$2*-1,V285/U285&lt;3),"Serious", AND(W285&lt;=$D$1*-1,Y285&gt;0,X285&lt;$D$2*-1,V285/U285&lt;3),"Very serious", AND(W285&gt;=$D$1,X285&lt;0,Y285&lt;$D$2,V285/U285&lt;3),"Serious",AND(W285&gt;=$D$1,X285&lt;0,Y285&gt;$D$2,V285/U285&lt;3),"Very serious", AND(W285&lt;=$D$1*-1,Y285&gt;0,X285&gt;$D$2*-1,V285/U285&gt;=3),"Very serious", AND(W285&lt;=$D$1*-1,Y285&gt;0,X285&lt;$D$2*-1,V285/U285&gt;=3),"Very serious", AND(W285&gt;=$D$1,X285&lt;0,Y285&lt;$D$2,V285/U285&gt;=3),"Very serious", AND(W285&gt;=$D$1,X285&lt;0,Y285&gt;$D$2,V285/U285&gt;=3),"Very serious", AND(W285&gt;$D$1*-1,W285&lt;$D$1,X285&gt;$D$1*-1,Y285&lt;$D$1,V285/U285&lt;3),"Not Serious", AND(W285&gt;$D$1*-1,W285&lt;$D$1,OR(X285&lt;=$D$1*-1,Y285&gt;=$D$1),X285&gt;$D$2*-1,Y285&lt;$D$2,V285/U285&lt;3),"Serious", AND(W285&gt;$D$1*-1,W285&lt;$D$1,OR(X285&lt;=$D$2*-1,Y285&gt;=$D$2),V285/U285&lt;3),"Very serious", AND(W285&gt;$D$1*-1,W285&lt;$D$1,X285&gt;$D$1*-1,Y285&lt;$D$1,V285/U285&gt;=3),"Very serious", AND(W285&gt;$D$1*-1,W285&lt;$D$1,OR(X285&lt;=$D$1*-1,Y285&gt;=$D$1),X285&gt;$D$2*-1,Y285&lt;$D$2,V285/U285&gt;=3),"Very serious", AND(W285&gt;$D$1*-1,W285&lt;$D$1,OR(X285&lt;=$D$2*-1,Y285&gt;=$D$2),V285/U285&gt;=3),"Very serious"),"")),"")</f>
        <v/>
      </c>
      <c r="AT285" s="109" t="str">
        <f t="shared" si="9"/>
        <v/>
      </c>
      <c r="AU285" s="64"/>
      <c r="AV285" s="83"/>
      <c r="AW285" s="83"/>
      <c r="AX285" s="83"/>
      <c r="AY285" s="83"/>
      <c r="AZ285" s="83"/>
      <c r="BA285" s="85"/>
      <c r="BB285" s="86" t="str">
        <f>IF(Preferences!B$9="Manual","",IFS(ISBLANK(B285),"",AND(ISNUMBER(E285)=TRUE,ISNUMBER(T285)=FALSE),"Direct", AND(ISNUMBER(E285)=FALSE,ISNUMBER(T285)=TRUE),"Indirect", CN285=4,"Direct",AND(CL285=FALSE, CM285=TRUE,CN285-CO285&gt;-1),"Direct", AND(CL285=FALSE,CM285=TRUE, CN285-CO285&lt;0),"Check algorithm in appendix 2", AND(CL285=TRUE, CM285=FALSE,CN285-CO285&gt;0),"Check algorithm in appendix 2", AND(CL285=TRUE, CM285=FALSE,CN285-CO285=0),"Indirect", AND(CL285=TRUE, CM285=FALSE,CN285-CO285&lt;0),"Indirect", AND(CL285=FALSE,CM285=FALSE,CN285-CO285&gt;-1),"Direct", AND(CL285=FALSE,CM285=FALSE,CN285-CO285&lt;0),"Check algorithm in appendix 2", AND(CL285=TRUE,CM285=TRUE,CN285-CO285&gt;-1),"Direct", AND(CL285=TRUE,CM285=TRUE,CN285-CO285&lt;0),"Check algorithm in appendix 2"))</f>
        <v/>
      </c>
      <c r="BC285" s="120" t="str">
        <f t="shared" si="10"/>
        <v/>
      </c>
      <c r="BD285" s="140"/>
      <c r="BE285" s="122" t="str">
        <f>IF(Preferences!B$3="Manual","", IFERROR(IFS(AND(Preferences!B$3="Automatic",AX285/AW285&gt;=30),"Extremely serious",AND(AY285&lt;=$D$1*-1,BA285&lt;0,AX285/AW285&lt;3),"Not Serious",AND(AY285&lt;=$D$1*-1,BA285&lt;0,AX285/AW285&gt;=3),"Very serious",AND(AY285&gt;=$D$1,AZ285&gt;0,AX285/AW285&lt;3),"Not Serious",AND(AY285&gt;=$D$1,AZ285&gt;0,AX285/AW285&gt;=3),"Very serious",AND(AY285&lt;=$D$1*-1,BA285&gt;0,AZ285&gt;$D$2*-1,AX285/AW285&lt;3),"Serious", AND(AY285&lt;=$D$1*-1,BA285&gt;0,AZ285&lt;$D$2*-1,AX285/AW285&lt;3),"Very serious", AND(AY285&gt;=$D$1,AZ285&lt;0,BA285&lt;$D$2,AX285/AW285&lt;3),"Serious",AND(AY285&gt;=$D$1,AZ285&lt;0,BA285&gt;$D$2,AX285/AW285&lt;3),"Very serious", AND(AY285&lt;=$D$1*-1,BA285&gt;0,AZ285&gt;$D$2*-1,AX285/AW285&gt;=3),"Very serious", AND(AY285&lt;=$D$1*-1,BA285&gt;0,AZ285&lt;$D$2*-1,AX285/AW285&gt;=3),"Very serious", AND(AY285&gt;=$D$1,AZ285&lt;0,BA285&lt;$D$2,AX285/AW285&gt;=3),"Very serious", AND(AY285&gt;=$D$1,AZ285&lt;0,BA285&gt;$D$2,AX285/AW285&gt;=3),"Very serious", AND(AY285&gt;$D$1*-1,AY285&lt;$D$1,AZ285&gt;$D$1*-1,BA285&lt;$D$1,AX285/AW285&lt;3),"Not Serious", AND(AY285&gt;$D$1*-1,AY285&lt;$D$1,OR(AZ285&lt;=$D$1*-1,BA285&gt;=$D$1),AZ285&gt;$D$2*-1,BA285&lt;$D$2,AX285/AW285&lt;3),"Serious", AND(AY285&gt;$D$1*-1,AY285&lt;$D$1,OR(AZ285&lt;=$D$2*-1,BA285&gt;=$D$2),AX285/AW285&lt;3),"Very serious", AND(AY285&gt;$D$1*-1,AY285&lt;$D$1,AZ285&gt;$D$1*-1,BA285&lt;$D$1,AX285/AW285&gt;=3),"Very serious", AND(AY285&gt;$D$1*-1,AY285&lt;$D$1,OR(AZ285&lt;=$D$1*-1,BA285&gt;=$D$1),AZ285&gt;$D$2*-1,BA285&lt;$D$2,AX285/AW285&gt;=3),"Very serious", AND(AY285&gt;$D$1*-1,AY285&lt;$D$1,OR(AZ285&lt;=$D$2*-1,BA285&gt;=$D$2),AX285/AW285&gt;=3),"Very serious"),""))</f>
        <v/>
      </c>
      <c r="BF285" s="107" t="str">
        <f t="shared" si="11"/>
        <v/>
      </c>
      <c r="BG285" s="94" t="str">
        <f t="shared" si="46"/>
        <v/>
      </c>
      <c r="BH285" s="64" t="str">
        <f t="shared" si="12"/>
        <v>#N/A</v>
      </c>
      <c r="BI285" s="64" t="str">
        <f t="shared" si="13"/>
        <v/>
      </c>
      <c r="BJ285" s="123" t="str">
        <f t="shared" si="14"/>
        <v>#N/A</v>
      </c>
      <c r="BK285" s="64" t="str">
        <f t="shared" si="50"/>
        <v>YES</v>
      </c>
      <c r="BL285" s="64" t="str">
        <f t="shared" si="16"/>
        <v>YES</v>
      </c>
      <c r="BM285" s="64" t="str">
        <f t="shared" si="17"/>
        <v>YES</v>
      </c>
      <c r="BN285" s="124" t="str">
        <f t="shared" si="18"/>
        <v/>
      </c>
      <c r="BO285" s="91" t="str">
        <f t="shared" si="19"/>
        <v/>
      </c>
      <c r="BP285" s="91" t="str">
        <f t="shared" si="20"/>
        <v>#N/A</v>
      </c>
      <c r="BQ285" s="91" t="str">
        <f t="shared" si="21"/>
        <v/>
      </c>
      <c r="BR285" s="93" t="str">
        <f t="shared" si="22"/>
        <v/>
      </c>
      <c r="BS285" s="90" t="str">
        <f t="shared" si="23"/>
        <v/>
      </c>
      <c r="BT285" s="93" t="str">
        <f t="shared" si="24"/>
        <v>NA</v>
      </c>
      <c r="BU285" s="125" t="str">
        <f t="shared" si="25"/>
        <v>#N/A</v>
      </c>
      <c r="BV285" s="93" t="str">
        <f t="shared" si="26"/>
        <v/>
      </c>
      <c r="BW285" s="93" t="str">
        <f t="shared" si="27"/>
        <v/>
      </c>
      <c r="BX285" s="93" t="str">
        <f t="shared" si="28"/>
        <v>NA</v>
      </c>
      <c r="BY285" s="95" t="str">
        <f t="shared" si="29"/>
        <v>#N/A</v>
      </c>
      <c r="BZ285" s="93" t="str">
        <f t="shared" si="30"/>
        <v/>
      </c>
      <c r="CA285" s="93" t="str">
        <f t="shared" si="31"/>
        <v/>
      </c>
      <c r="CB285" s="93" t="str">
        <f t="shared" si="32"/>
        <v>NA</v>
      </c>
      <c r="CC285" s="96" t="str">
        <f t="shared" si="33"/>
        <v>#N/A</v>
      </c>
      <c r="CD285" s="93" t="str">
        <f t="shared" si="34"/>
        <v/>
      </c>
      <c r="CE285" s="93" t="str">
        <f t="shared" si="35"/>
        <v/>
      </c>
      <c r="CF285" s="93" t="str">
        <f t="shared" si="36"/>
        <v>NA</v>
      </c>
      <c r="CG285" s="97" t="str">
        <f t="shared" si="37"/>
        <v>#N/A</v>
      </c>
      <c r="CH285" s="98" t="str">
        <f t="shared" si="38"/>
        <v>#N/A</v>
      </c>
      <c r="CI285" s="99" t="str">
        <f t="shared" si="39"/>
        <v>#N/A</v>
      </c>
      <c r="CJ285" s="126" t="str">
        <f t="shared" si="40"/>
        <v>ERROR: check cell</v>
      </c>
      <c r="CK285" s="126"/>
      <c r="CL285" s="127" t="str">
        <f t="shared" si="41"/>
        <v>#DIV/0!</v>
      </c>
      <c r="CM285" s="128" t="str">
        <f t="shared" si="42"/>
        <v>#DIV/0!</v>
      </c>
      <c r="CN285" s="128">
        <f t="shared" si="43"/>
        <v>4</v>
      </c>
      <c r="CO285" s="129">
        <f t="shared" si="44"/>
        <v>4</v>
      </c>
      <c r="CP285" s="129" t="str">
        <f>IFS(C285=Preferences!B$13,B285,B285=Preferences!B$13,C285)</f>
        <v>#N/A</v>
      </c>
    </row>
    <row r="286" ht="13.5" customHeight="1">
      <c r="A286" s="63" t="str">
        <f t="shared" si="45"/>
        <v/>
      </c>
      <c r="B286" s="64"/>
      <c r="C286" s="64"/>
      <c r="D286" s="64"/>
      <c r="E286" s="65"/>
      <c r="F286" s="65"/>
      <c r="G286" s="65"/>
      <c r="H286" s="66"/>
      <c r="I286" s="66"/>
      <c r="J286" s="67"/>
      <c r="K286" s="68"/>
      <c r="L286" s="104"/>
      <c r="M286" s="104"/>
      <c r="N286" s="104"/>
      <c r="O286" s="104"/>
      <c r="P286" s="107" t="str">
        <f t="shared" si="1"/>
        <v/>
      </c>
      <c r="Q286" s="108" t="str">
        <f>IFERROR(IF(AND(Preferences!B$3="Manual",OR(AX286/AW286&gt;G286/F286,BD286="Serious",BD286="Very serious")),"Assess imprecision",IFS(ISBLANK(E286),"",AND(Preferences!B$3="Automatic", G286/F286&gt;=30),"Extremely serious",AND(H286&lt;=$D$1*-1,J286&lt;0,G286/F286&lt;3),"Not serious",AND(H286&lt;=$D$1*-1,J286&lt;0,G286/F286&gt;=3),"Very serious",AND(H286&gt;=$D$1,I286&gt;0,G286/F286&lt;3),"Not serious",AND(H286&gt;=$D$1,I286&gt;0,G286/F286&gt;=3),"Very serious",AND(H286&lt;=$D$1*-1,J286&gt;0,I286&gt;$D$2*-1,G286/F286&lt;3),"Serious", AND(H286&lt;=$D$1*-1,J286&gt;0,I286&lt;$D$2*-1,G286/F286&lt;3),"Very serious", AND(H286&gt;=$D$1,I286&lt;0,J286&lt;$D$2,G286/F286&lt;3),"Serious",AND(H286&gt;=$D$1,I286&lt;0,J286&gt;$D$2,G286/F286&lt;3),"Very serious", AND(H286&lt;=$D$1*-1,J286&gt;0,I286&gt;$D$2*-1,G286/F286&gt;=3),"Very serious", AND(H286&lt;=$D$1*-1,J286&gt;0,I286&lt;$D$2*-1,G286/F286&gt;=3),"Very serious", AND(H286&gt;=$D$1,I286&lt;0,J286&lt;$D$2,G286/F286&gt;=3),"Very serious", AND(H286&gt;=$D$1,I286&lt;0,J286&gt;$D$2,G286/F286&gt;=3),"Very serious", AND(H286&gt;$D$1*-1,H286&lt;$D$1,I286&gt;$D$1*-1,J286&lt;$D$1,G286/F286&lt;3),"Not serious", AND(H286&gt;$D$1*-1,H286&lt;$D$1,OR(I286&lt;=$D$1*-1,J286&gt;=$D$1),I286&gt;$D$2*-1,J286&lt;$D$2,G286/F286&lt;3),"Serious", AND(H286&gt;$D$1*-1,H286&lt;$D$1,OR(I286&lt;=$D$2*-1,J286&gt;=$D$2),G286/F286&lt;3),"Very serious", AND(H286&gt;$D$1*-1,H286&lt;$D$1,I286&gt;$D$1*-1,J286&lt;$D$1,G286/F286&gt;=3),"Very serious", AND(H286&gt;$D$1*-1,H286&lt;$D$1,OR(I286&lt;=$D$1*-1,J286&gt;=$D$1),I286&gt;$D$2*-1,J286&lt;$D$2,G286/F286&gt;=3),"Very serious", AND(H286&gt;$D$1*-1,H286&lt;$D$1,OR(I286&lt;=$D$2*-1,J286&gt;=$D$2),G286/F286&gt;=3),"Very serious")),"")</f>
        <v/>
      </c>
      <c r="R286" s="109" t="str">
        <f t="shared" si="47"/>
        <v/>
      </c>
      <c r="S286" s="64"/>
      <c r="T286" s="72"/>
      <c r="U286" s="72"/>
      <c r="V286" s="72"/>
      <c r="W286" s="73"/>
      <c r="X286" s="73"/>
      <c r="Y286" s="74"/>
      <c r="Z286" s="113" t="str">
        <f t="array" ref="Z286">INDEX($A$1:$C$500, MATCH(1,($B:$B=$B286)*($C:$C=$AB286),0),1)</f>
        <v/>
      </c>
      <c r="AA286" s="113" t="str">
        <f t="array" ref="AA286">INDEX($A$1:$C$500, MATCH(1,($B:$B=$AB286)*($C:$C=$B286),0),1)</f>
        <v/>
      </c>
      <c r="AB286" s="111"/>
      <c r="AC286" s="114" t="str">
        <f t="shared" si="2"/>
        <v/>
      </c>
      <c r="AD286" s="115" t="str">
        <f t="shared" si="3"/>
        <v/>
      </c>
      <c r="AE286" s="116" t="str">
        <f t="array" ref="AE286">INDEX($A$1:$C$500, MATCH(1,($B:$B=$AB286)*($C:$C=$AG286),0),1)</f>
        <v/>
      </c>
      <c r="AF286" s="116" t="str">
        <f t="array" ref="AF286">INDEX($A$1:$C$500, MATCH(1,($B:$B=$AG286)*($C:$C=$AB286),0),1)</f>
        <v/>
      </c>
      <c r="AG286" s="72"/>
      <c r="AH286" s="114" t="str">
        <f t="shared" si="4"/>
        <v/>
      </c>
      <c r="AI286" s="115" t="str">
        <f t="shared" si="5"/>
        <v/>
      </c>
      <c r="AJ286" s="116" t="str">
        <f t="array" ref="AJ286">INDEX($A$1:$C$500, MATCH(1,($B:$B=$C286)*($C:$C=$AG286),0),1)</f>
        <v/>
      </c>
      <c r="AK286" s="116" t="str">
        <f t="array" ref="AK286">INDEX($A$1:$C$500, MATCH(1,($B:$B=$AG286)*($C:$C=$C286),0),1)</f>
        <v/>
      </c>
      <c r="AL286" s="116" t="str">
        <f t="array" ref="AL286">INDEX($A$1:$C$500, MATCH(1,($B:$B=$C286)*($C:$C=$AB286),0),1)</f>
        <v/>
      </c>
      <c r="AM286" s="116" t="str">
        <f t="array" ref="AM286">INDEX($A$1:$C$500, MATCH(1,($B:$B=$AB286)*($C:$C=$C286),0),1)</f>
        <v/>
      </c>
      <c r="AN286" s="114" t="str">
        <f t="array" ref="AN286">IFS(ISNUMBER(AJ286),AJ286,ISNUMBER(AK286),AK286,ISNUMBER(AL286),AL286,ISNUMBER(AM286),AM286)</f>
        <v>#N/A</v>
      </c>
      <c r="AO286" s="115" t="str">
        <f t="shared" si="6"/>
        <v/>
      </c>
      <c r="AP286" s="115" t="str">
        <f t="shared" si="7"/>
        <v/>
      </c>
      <c r="AQ286" s="111"/>
      <c r="AR286" s="109" t="str">
        <f t="shared" si="8"/>
        <v/>
      </c>
      <c r="AS286" s="72" t="str">
        <f>IFERROR(IF(AND(Preferences!B$3="Manual",OR(AX286/AW286&gt;V286/U286,BD286="Serious",BD286="Very serious")),"Assess imprecision",IFERROR(IFS(AND(Preferences!B$3="Automatic",V286/U286&gt;=30),"Extremely serious",AND(W286&lt;=$D$1*-1,Y286&lt;0,V286/U286&lt;3),"Not Serious",AND(W286&lt;=$D$1*-1,Y286&lt;0,V286/U286&gt;=3),"Very serious",AND(W286&gt;=$D$1,X286&gt;0,V286/U286&lt;3),"Not Serious",AND(W286&gt;=$D$1,X286&gt;0,V286/U286&gt;=3),"Very serious",AND(W286&lt;=$D$1*-1,Y286&gt;0,X286&gt;$D$2*-1,V286/U286&lt;3),"Serious", AND(W286&lt;=$D$1*-1,Y286&gt;0,X286&lt;$D$2*-1,V286/U286&lt;3),"Very serious", AND(W286&gt;=$D$1,X286&lt;0,Y286&lt;$D$2,V286/U286&lt;3),"Serious",AND(W286&gt;=$D$1,X286&lt;0,Y286&gt;$D$2,V286/U286&lt;3),"Very serious", AND(W286&lt;=$D$1*-1,Y286&gt;0,X286&gt;$D$2*-1,V286/U286&gt;=3),"Very serious", AND(W286&lt;=$D$1*-1,Y286&gt;0,X286&lt;$D$2*-1,V286/U286&gt;=3),"Very serious", AND(W286&gt;=$D$1,X286&lt;0,Y286&lt;$D$2,V286/U286&gt;=3),"Very serious", AND(W286&gt;=$D$1,X286&lt;0,Y286&gt;$D$2,V286/U286&gt;=3),"Very serious", AND(W286&gt;$D$1*-1,W286&lt;$D$1,X286&gt;$D$1*-1,Y286&lt;$D$1,V286/U286&lt;3),"Not Serious", AND(W286&gt;$D$1*-1,W286&lt;$D$1,OR(X286&lt;=$D$1*-1,Y286&gt;=$D$1),X286&gt;$D$2*-1,Y286&lt;$D$2,V286/U286&lt;3),"Serious", AND(W286&gt;$D$1*-1,W286&lt;$D$1,OR(X286&lt;=$D$2*-1,Y286&gt;=$D$2),V286/U286&lt;3),"Very serious", AND(W286&gt;$D$1*-1,W286&lt;$D$1,X286&gt;$D$1*-1,Y286&lt;$D$1,V286/U286&gt;=3),"Very serious", AND(W286&gt;$D$1*-1,W286&lt;$D$1,OR(X286&lt;=$D$1*-1,Y286&gt;=$D$1),X286&gt;$D$2*-1,Y286&lt;$D$2,V286/U286&gt;=3),"Very serious", AND(W286&gt;$D$1*-1,W286&lt;$D$1,OR(X286&lt;=$D$2*-1,Y286&gt;=$D$2),V286/U286&gt;=3),"Very serious"),"")),"")</f>
        <v/>
      </c>
      <c r="AT286" s="109" t="str">
        <f t="shared" si="9"/>
        <v/>
      </c>
      <c r="AU286" s="64"/>
      <c r="AV286" s="83"/>
      <c r="AW286" s="83"/>
      <c r="AX286" s="83"/>
      <c r="AY286" s="83"/>
      <c r="AZ286" s="83"/>
      <c r="BA286" s="85"/>
      <c r="BB286" s="86" t="str">
        <f>IF(Preferences!B$9="Manual","",IFS(ISBLANK(B286),"",AND(ISNUMBER(E286)=TRUE,ISNUMBER(T286)=FALSE),"Direct", AND(ISNUMBER(E286)=FALSE,ISNUMBER(T286)=TRUE),"Indirect", CN286=4,"Direct",AND(CL286=FALSE, CM286=TRUE,CN286-CO286&gt;-1),"Direct", AND(CL286=FALSE,CM286=TRUE, CN286-CO286&lt;0),"Check algorithm in appendix 2", AND(CL286=TRUE, CM286=FALSE,CN286-CO286&gt;0),"Check algorithm in appendix 2", AND(CL286=TRUE, CM286=FALSE,CN286-CO286=0),"Indirect", AND(CL286=TRUE, CM286=FALSE,CN286-CO286&lt;0),"Indirect", AND(CL286=FALSE,CM286=FALSE,CN286-CO286&gt;-1),"Direct", AND(CL286=FALSE,CM286=FALSE,CN286-CO286&lt;0),"Check algorithm in appendix 2", AND(CL286=TRUE,CM286=TRUE,CN286-CO286&gt;-1),"Direct", AND(CL286=TRUE,CM286=TRUE,CN286-CO286&lt;0),"Check algorithm in appendix 2"))</f>
        <v/>
      </c>
      <c r="BC286" s="120" t="str">
        <f t="shared" si="10"/>
        <v/>
      </c>
      <c r="BD286" s="140"/>
      <c r="BE286" s="122" t="str">
        <f>IF(Preferences!B$3="Manual","", IFERROR(IFS(AND(Preferences!B$3="Automatic",AX286/AW286&gt;=30),"Extremely serious",AND(AY286&lt;=$D$1*-1,BA286&lt;0,AX286/AW286&lt;3),"Not Serious",AND(AY286&lt;=$D$1*-1,BA286&lt;0,AX286/AW286&gt;=3),"Very serious",AND(AY286&gt;=$D$1,AZ286&gt;0,AX286/AW286&lt;3),"Not Serious",AND(AY286&gt;=$D$1,AZ286&gt;0,AX286/AW286&gt;=3),"Very serious",AND(AY286&lt;=$D$1*-1,BA286&gt;0,AZ286&gt;$D$2*-1,AX286/AW286&lt;3),"Serious", AND(AY286&lt;=$D$1*-1,BA286&gt;0,AZ286&lt;$D$2*-1,AX286/AW286&lt;3),"Very serious", AND(AY286&gt;=$D$1,AZ286&lt;0,BA286&lt;$D$2,AX286/AW286&lt;3),"Serious",AND(AY286&gt;=$D$1,AZ286&lt;0,BA286&gt;$D$2,AX286/AW286&lt;3),"Very serious", AND(AY286&lt;=$D$1*-1,BA286&gt;0,AZ286&gt;$D$2*-1,AX286/AW286&gt;=3),"Very serious", AND(AY286&lt;=$D$1*-1,BA286&gt;0,AZ286&lt;$D$2*-1,AX286/AW286&gt;=3),"Very serious", AND(AY286&gt;=$D$1,AZ286&lt;0,BA286&lt;$D$2,AX286/AW286&gt;=3),"Very serious", AND(AY286&gt;=$D$1,AZ286&lt;0,BA286&gt;$D$2,AX286/AW286&gt;=3),"Very serious", AND(AY286&gt;$D$1*-1,AY286&lt;$D$1,AZ286&gt;$D$1*-1,BA286&lt;$D$1,AX286/AW286&lt;3),"Not Serious", AND(AY286&gt;$D$1*-1,AY286&lt;$D$1,OR(AZ286&lt;=$D$1*-1,BA286&gt;=$D$1),AZ286&gt;$D$2*-1,BA286&lt;$D$2,AX286/AW286&lt;3),"Serious", AND(AY286&gt;$D$1*-1,AY286&lt;$D$1,OR(AZ286&lt;=$D$2*-1,BA286&gt;=$D$2),AX286/AW286&lt;3),"Very serious", AND(AY286&gt;$D$1*-1,AY286&lt;$D$1,AZ286&gt;$D$1*-1,BA286&lt;$D$1,AX286/AW286&gt;=3),"Very serious", AND(AY286&gt;$D$1*-1,AY286&lt;$D$1,OR(AZ286&lt;=$D$1*-1,BA286&gt;=$D$1),AZ286&gt;$D$2*-1,BA286&lt;$D$2,AX286/AW286&gt;=3),"Very serious", AND(AY286&gt;$D$1*-1,AY286&lt;$D$1,OR(AZ286&lt;=$D$2*-1,BA286&gt;=$D$2),AX286/AW286&gt;=3),"Very serious"),""))</f>
        <v/>
      </c>
      <c r="BF286" s="107" t="str">
        <f t="shared" si="11"/>
        <v/>
      </c>
      <c r="BG286" s="94" t="str">
        <f t="shared" si="46"/>
        <v/>
      </c>
      <c r="BH286" s="64" t="str">
        <f t="shared" si="12"/>
        <v>#N/A</v>
      </c>
      <c r="BI286" s="64" t="str">
        <f t="shared" si="13"/>
        <v/>
      </c>
      <c r="BJ286" s="123" t="str">
        <f t="shared" si="14"/>
        <v>#N/A</v>
      </c>
      <c r="BK286" s="64" t="str">
        <f t="shared" si="50"/>
        <v>YES</v>
      </c>
      <c r="BL286" s="64" t="str">
        <f t="shared" si="16"/>
        <v>YES</v>
      </c>
      <c r="BM286" s="64" t="str">
        <f t="shared" si="17"/>
        <v>YES</v>
      </c>
      <c r="BN286" s="124" t="str">
        <f t="shared" si="18"/>
        <v/>
      </c>
      <c r="BO286" s="91" t="str">
        <f t="shared" si="19"/>
        <v/>
      </c>
      <c r="BP286" s="91" t="str">
        <f t="shared" si="20"/>
        <v>#N/A</v>
      </c>
      <c r="BQ286" s="91" t="str">
        <f t="shared" si="21"/>
        <v/>
      </c>
      <c r="BR286" s="93" t="str">
        <f t="shared" si="22"/>
        <v/>
      </c>
      <c r="BS286" s="90" t="str">
        <f t="shared" si="23"/>
        <v/>
      </c>
      <c r="BT286" s="93" t="str">
        <f t="shared" si="24"/>
        <v>NA</v>
      </c>
      <c r="BU286" s="125" t="str">
        <f t="shared" si="25"/>
        <v>#N/A</v>
      </c>
      <c r="BV286" s="93" t="str">
        <f t="shared" si="26"/>
        <v/>
      </c>
      <c r="BW286" s="93" t="str">
        <f t="shared" si="27"/>
        <v/>
      </c>
      <c r="BX286" s="93" t="str">
        <f t="shared" si="28"/>
        <v>NA</v>
      </c>
      <c r="BY286" s="95" t="str">
        <f t="shared" si="29"/>
        <v>#N/A</v>
      </c>
      <c r="BZ286" s="93" t="str">
        <f t="shared" si="30"/>
        <v/>
      </c>
      <c r="CA286" s="93" t="str">
        <f t="shared" si="31"/>
        <v/>
      </c>
      <c r="CB286" s="93" t="str">
        <f t="shared" si="32"/>
        <v>NA</v>
      </c>
      <c r="CC286" s="96" t="str">
        <f t="shared" si="33"/>
        <v>#N/A</v>
      </c>
      <c r="CD286" s="93" t="str">
        <f t="shared" si="34"/>
        <v/>
      </c>
      <c r="CE286" s="93" t="str">
        <f t="shared" si="35"/>
        <v/>
      </c>
      <c r="CF286" s="93" t="str">
        <f t="shared" si="36"/>
        <v>NA</v>
      </c>
      <c r="CG286" s="97" t="str">
        <f t="shared" si="37"/>
        <v>#N/A</v>
      </c>
      <c r="CH286" s="98" t="str">
        <f t="shared" si="38"/>
        <v>#N/A</v>
      </c>
      <c r="CI286" s="99" t="str">
        <f t="shared" si="39"/>
        <v>#N/A</v>
      </c>
      <c r="CJ286" s="126" t="str">
        <f t="shared" si="40"/>
        <v>ERROR: check cell</v>
      </c>
      <c r="CK286" s="126"/>
      <c r="CL286" s="127" t="str">
        <f t="shared" si="41"/>
        <v>#DIV/0!</v>
      </c>
      <c r="CM286" s="128" t="str">
        <f t="shared" si="42"/>
        <v>#DIV/0!</v>
      </c>
      <c r="CN286" s="128">
        <f t="shared" si="43"/>
        <v>4</v>
      </c>
      <c r="CO286" s="129">
        <f t="shared" si="44"/>
        <v>4</v>
      </c>
      <c r="CP286" s="129" t="str">
        <f>IFS(C286=Preferences!B$13,B286,B286=Preferences!B$13,C286)</f>
        <v>#N/A</v>
      </c>
    </row>
    <row r="287" ht="13.5" customHeight="1">
      <c r="A287" s="63" t="str">
        <f t="shared" si="45"/>
        <v/>
      </c>
      <c r="B287" s="64"/>
      <c r="C287" s="64"/>
      <c r="D287" s="64"/>
      <c r="E287" s="65"/>
      <c r="F287" s="65"/>
      <c r="G287" s="65"/>
      <c r="H287" s="66"/>
      <c r="I287" s="66"/>
      <c r="J287" s="67"/>
      <c r="K287" s="68"/>
      <c r="L287" s="104"/>
      <c r="M287" s="104"/>
      <c r="N287" s="104"/>
      <c r="O287" s="104"/>
      <c r="P287" s="107" t="str">
        <f t="shared" si="1"/>
        <v/>
      </c>
      <c r="Q287" s="108" t="str">
        <f>IFERROR(IF(AND(Preferences!B$3="Manual",OR(AX287/AW287&gt;G287/F287,BD287="Serious",BD287="Very serious")),"Assess imprecision",IFS(ISBLANK(E287),"",AND(Preferences!B$3="Automatic", G287/F287&gt;=30),"Extremely serious",AND(H287&lt;=$D$1*-1,J287&lt;0,G287/F287&lt;3),"Not serious",AND(H287&lt;=$D$1*-1,J287&lt;0,G287/F287&gt;=3),"Very serious",AND(H287&gt;=$D$1,I287&gt;0,G287/F287&lt;3),"Not serious",AND(H287&gt;=$D$1,I287&gt;0,G287/F287&gt;=3),"Very serious",AND(H287&lt;=$D$1*-1,J287&gt;0,I287&gt;$D$2*-1,G287/F287&lt;3),"Serious", AND(H287&lt;=$D$1*-1,J287&gt;0,I287&lt;$D$2*-1,G287/F287&lt;3),"Very serious", AND(H287&gt;=$D$1,I287&lt;0,J287&lt;$D$2,G287/F287&lt;3),"Serious",AND(H287&gt;=$D$1,I287&lt;0,J287&gt;$D$2,G287/F287&lt;3),"Very serious", AND(H287&lt;=$D$1*-1,J287&gt;0,I287&gt;$D$2*-1,G287/F287&gt;=3),"Very serious", AND(H287&lt;=$D$1*-1,J287&gt;0,I287&lt;$D$2*-1,G287/F287&gt;=3),"Very serious", AND(H287&gt;=$D$1,I287&lt;0,J287&lt;$D$2,G287/F287&gt;=3),"Very serious", AND(H287&gt;=$D$1,I287&lt;0,J287&gt;$D$2,G287/F287&gt;=3),"Very serious", AND(H287&gt;$D$1*-1,H287&lt;$D$1,I287&gt;$D$1*-1,J287&lt;$D$1,G287/F287&lt;3),"Not serious", AND(H287&gt;$D$1*-1,H287&lt;$D$1,OR(I287&lt;=$D$1*-1,J287&gt;=$D$1),I287&gt;$D$2*-1,J287&lt;$D$2,G287/F287&lt;3),"Serious", AND(H287&gt;$D$1*-1,H287&lt;$D$1,OR(I287&lt;=$D$2*-1,J287&gt;=$D$2),G287/F287&lt;3),"Very serious", AND(H287&gt;$D$1*-1,H287&lt;$D$1,I287&gt;$D$1*-1,J287&lt;$D$1,G287/F287&gt;=3),"Very serious", AND(H287&gt;$D$1*-1,H287&lt;$D$1,OR(I287&lt;=$D$1*-1,J287&gt;=$D$1),I287&gt;$D$2*-1,J287&lt;$D$2,G287/F287&gt;=3),"Very serious", AND(H287&gt;$D$1*-1,H287&lt;$D$1,OR(I287&lt;=$D$2*-1,J287&gt;=$D$2),G287/F287&gt;=3),"Very serious")),"")</f>
        <v/>
      </c>
      <c r="R287" s="109" t="str">
        <f t="shared" si="47"/>
        <v/>
      </c>
      <c r="S287" s="64"/>
      <c r="T287" s="72"/>
      <c r="U287" s="72"/>
      <c r="V287" s="72"/>
      <c r="W287" s="73"/>
      <c r="X287" s="73"/>
      <c r="Y287" s="74"/>
      <c r="Z287" s="113" t="str">
        <f t="array" ref="Z287">INDEX($A$1:$C$500, MATCH(1,($B:$B=$B287)*($C:$C=$AB287),0),1)</f>
        <v/>
      </c>
      <c r="AA287" s="113" t="str">
        <f t="array" ref="AA287">INDEX($A$1:$C$500, MATCH(1,($B:$B=$AB287)*($C:$C=$B287),0),1)</f>
        <v/>
      </c>
      <c r="AB287" s="111"/>
      <c r="AC287" s="114" t="str">
        <f t="shared" si="2"/>
        <v/>
      </c>
      <c r="AD287" s="115" t="str">
        <f t="shared" si="3"/>
        <v/>
      </c>
      <c r="AE287" s="116" t="str">
        <f t="array" ref="AE287">INDEX($A$1:$C$500, MATCH(1,($B:$B=$AB287)*($C:$C=$AG287),0),1)</f>
        <v/>
      </c>
      <c r="AF287" s="116" t="str">
        <f t="array" ref="AF287">INDEX($A$1:$C$500, MATCH(1,($B:$B=$AG287)*($C:$C=$AB287),0),1)</f>
        <v/>
      </c>
      <c r="AG287" s="72"/>
      <c r="AH287" s="114" t="str">
        <f t="shared" si="4"/>
        <v/>
      </c>
      <c r="AI287" s="115" t="str">
        <f t="shared" si="5"/>
        <v/>
      </c>
      <c r="AJ287" s="116" t="str">
        <f t="array" ref="AJ287">INDEX($A$1:$C$500, MATCH(1,($B:$B=$C287)*($C:$C=$AG287),0),1)</f>
        <v/>
      </c>
      <c r="AK287" s="116" t="str">
        <f t="array" ref="AK287">INDEX($A$1:$C$500, MATCH(1,($B:$B=$AG287)*($C:$C=$C287),0),1)</f>
        <v/>
      </c>
      <c r="AL287" s="116" t="str">
        <f t="array" ref="AL287">INDEX($A$1:$C$500, MATCH(1,($B:$B=$C287)*($C:$C=$AB287),0),1)</f>
        <v/>
      </c>
      <c r="AM287" s="116" t="str">
        <f t="array" ref="AM287">INDEX($A$1:$C$500, MATCH(1,($B:$B=$AB287)*($C:$C=$C287),0),1)</f>
        <v/>
      </c>
      <c r="AN287" s="114" t="str">
        <f t="array" ref="AN287">IFS(ISNUMBER(AJ287),AJ287,ISNUMBER(AK287),AK287,ISNUMBER(AL287),AL287,ISNUMBER(AM287),AM287)</f>
        <v>#N/A</v>
      </c>
      <c r="AO287" s="115" t="str">
        <f t="shared" si="6"/>
        <v/>
      </c>
      <c r="AP287" s="115" t="str">
        <f t="shared" si="7"/>
        <v/>
      </c>
      <c r="AQ287" s="111"/>
      <c r="AR287" s="109" t="str">
        <f t="shared" si="8"/>
        <v/>
      </c>
      <c r="AS287" s="72" t="str">
        <f>IFERROR(IF(AND(Preferences!B$3="Manual",OR(AX287/AW287&gt;V287/U287,BD287="Serious",BD287="Very serious")),"Assess imprecision",IFERROR(IFS(AND(Preferences!B$3="Automatic",V287/U287&gt;=30),"Extremely serious",AND(W287&lt;=$D$1*-1,Y287&lt;0,V287/U287&lt;3),"Not Serious",AND(W287&lt;=$D$1*-1,Y287&lt;0,V287/U287&gt;=3),"Very serious",AND(W287&gt;=$D$1,X287&gt;0,V287/U287&lt;3),"Not Serious",AND(W287&gt;=$D$1,X287&gt;0,V287/U287&gt;=3),"Very serious",AND(W287&lt;=$D$1*-1,Y287&gt;0,X287&gt;$D$2*-1,V287/U287&lt;3),"Serious", AND(W287&lt;=$D$1*-1,Y287&gt;0,X287&lt;$D$2*-1,V287/U287&lt;3),"Very serious", AND(W287&gt;=$D$1,X287&lt;0,Y287&lt;$D$2,V287/U287&lt;3),"Serious",AND(W287&gt;=$D$1,X287&lt;0,Y287&gt;$D$2,V287/U287&lt;3),"Very serious", AND(W287&lt;=$D$1*-1,Y287&gt;0,X287&gt;$D$2*-1,V287/U287&gt;=3),"Very serious", AND(W287&lt;=$D$1*-1,Y287&gt;0,X287&lt;$D$2*-1,V287/U287&gt;=3),"Very serious", AND(W287&gt;=$D$1,X287&lt;0,Y287&lt;$D$2,V287/U287&gt;=3),"Very serious", AND(W287&gt;=$D$1,X287&lt;0,Y287&gt;$D$2,V287/U287&gt;=3),"Very serious", AND(W287&gt;$D$1*-1,W287&lt;$D$1,X287&gt;$D$1*-1,Y287&lt;$D$1,V287/U287&lt;3),"Not Serious", AND(W287&gt;$D$1*-1,W287&lt;$D$1,OR(X287&lt;=$D$1*-1,Y287&gt;=$D$1),X287&gt;$D$2*-1,Y287&lt;$D$2,V287/U287&lt;3),"Serious", AND(W287&gt;$D$1*-1,W287&lt;$D$1,OR(X287&lt;=$D$2*-1,Y287&gt;=$D$2),V287/U287&lt;3),"Very serious", AND(W287&gt;$D$1*-1,W287&lt;$D$1,X287&gt;$D$1*-1,Y287&lt;$D$1,V287/U287&gt;=3),"Very serious", AND(W287&gt;$D$1*-1,W287&lt;$D$1,OR(X287&lt;=$D$1*-1,Y287&gt;=$D$1),X287&gt;$D$2*-1,Y287&lt;$D$2,V287/U287&gt;=3),"Very serious", AND(W287&gt;$D$1*-1,W287&lt;$D$1,OR(X287&lt;=$D$2*-1,Y287&gt;=$D$2),V287/U287&gt;=3),"Very serious"),"")),"")</f>
        <v/>
      </c>
      <c r="AT287" s="109" t="str">
        <f t="shared" si="9"/>
        <v/>
      </c>
      <c r="AU287" s="64"/>
      <c r="AV287" s="83"/>
      <c r="AW287" s="83"/>
      <c r="AX287" s="83"/>
      <c r="AY287" s="83"/>
      <c r="AZ287" s="83"/>
      <c r="BA287" s="85"/>
      <c r="BB287" s="86" t="str">
        <f>IF(Preferences!B$9="Manual","",IFS(ISBLANK(B287),"",AND(ISNUMBER(E287)=TRUE,ISNUMBER(T287)=FALSE),"Direct", AND(ISNUMBER(E287)=FALSE,ISNUMBER(T287)=TRUE),"Indirect", CN287=4,"Direct",AND(CL287=FALSE, CM287=TRUE,CN287-CO287&gt;-1),"Direct", AND(CL287=FALSE,CM287=TRUE, CN287-CO287&lt;0),"Check algorithm in appendix 2", AND(CL287=TRUE, CM287=FALSE,CN287-CO287&gt;0),"Check algorithm in appendix 2", AND(CL287=TRUE, CM287=FALSE,CN287-CO287=0),"Indirect", AND(CL287=TRUE, CM287=FALSE,CN287-CO287&lt;0),"Indirect", AND(CL287=FALSE,CM287=FALSE,CN287-CO287&gt;-1),"Direct", AND(CL287=FALSE,CM287=FALSE,CN287-CO287&lt;0),"Check algorithm in appendix 2", AND(CL287=TRUE,CM287=TRUE,CN287-CO287&gt;-1),"Direct", AND(CL287=TRUE,CM287=TRUE,CN287-CO287&lt;0),"Check algorithm in appendix 2"))</f>
        <v/>
      </c>
      <c r="BC287" s="120" t="str">
        <f t="shared" si="10"/>
        <v/>
      </c>
      <c r="BD287" s="140"/>
      <c r="BE287" s="122" t="str">
        <f>IF(Preferences!B$3="Manual","", IFERROR(IFS(AND(Preferences!B$3="Automatic",AX287/AW287&gt;=30),"Extremely serious",AND(AY287&lt;=$D$1*-1,BA287&lt;0,AX287/AW287&lt;3),"Not Serious",AND(AY287&lt;=$D$1*-1,BA287&lt;0,AX287/AW287&gt;=3),"Very serious",AND(AY287&gt;=$D$1,AZ287&gt;0,AX287/AW287&lt;3),"Not Serious",AND(AY287&gt;=$D$1,AZ287&gt;0,AX287/AW287&gt;=3),"Very serious",AND(AY287&lt;=$D$1*-1,BA287&gt;0,AZ287&gt;$D$2*-1,AX287/AW287&lt;3),"Serious", AND(AY287&lt;=$D$1*-1,BA287&gt;0,AZ287&lt;$D$2*-1,AX287/AW287&lt;3),"Very serious", AND(AY287&gt;=$D$1,AZ287&lt;0,BA287&lt;$D$2,AX287/AW287&lt;3),"Serious",AND(AY287&gt;=$D$1,AZ287&lt;0,BA287&gt;$D$2,AX287/AW287&lt;3),"Very serious", AND(AY287&lt;=$D$1*-1,BA287&gt;0,AZ287&gt;$D$2*-1,AX287/AW287&gt;=3),"Very serious", AND(AY287&lt;=$D$1*-1,BA287&gt;0,AZ287&lt;$D$2*-1,AX287/AW287&gt;=3),"Very serious", AND(AY287&gt;=$D$1,AZ287&lt;0,BA287&lt;$D$2,AX287/AW287&gt;=3),"Very serious", AND(AY287&gt;=$D$1,AZ287&lt;0,BA287&gt;$D$2,AX287/AW287&gt;=3),"Very serious", AND(AY287&gt;$D$1*-1,AY287&lt;$D$1,AZ287&gt;$D$1*-1,BA287&lt;$D$1,AX287/AW287&lt;3),"Not Serious", AND(AY287&gt;$D$1*-1,AY287&lt;$D$1,OR(AZ287&lt;=$D$1*-1,BA287&gt;=$D$1),AZ287&gt;$D$2*-1,BA287&lt;$D$2,AX287/AW287&lt;3),"Serious", AND(AY287&gt;$D$1*-1,AY287&lt;$D$1,OR(AZ287&lt;=$D$2*-1,BA287&gt;=$D$2),AX287/AW287&lt;3),"Very serious", AND(AY287&gt;$D$1*-1,AY287&lt;$D$1,AZ287&gt;$D$1*-1,BA287&lt;$D$1,AX287/AW287&gt;=3),"Very serious", AND(AY287&gt;$D$1*-1,AY287&lt;$D$1,OR(AZ287&lt;=$D$1*-1,BA287&gt;=$D$1),AZ287&gt;$D$2*-1,BA287&lt;$D$2,AX287/AW287&gt;=3),"Very serious", AND(AY287&gt;$D$1*-1,AY287&lt;$D$1,OR(AZ287&lt;=$D$2*-1,BA287&gt;=$D$2),AX287/AW287&gt;=3),"Very serious"),""))</f>
        <v/>
      </c>
      <c r="BF287" s="107" t="str">
        <f t="shared" si="11"/>
        <v/>
      </c>
      <c r="BG287" s="94" t="str">
        <f t="shared" si="46"/>
        <v/>
      </c>
      <c r="BH287" s="64" t="str">
        <f t="shared" si="12"/>
        <v>#N/A</v>
      </c>
      <c r="BI287" s="64" t="str">
        <f t="shared" si="13"/>
        <v/>
      </c>
      <c r="BJ287" s="123" t="str">
        <f t="shared" si="14"/>
        <v>#N/A</v>
      </c>
      <c r="BK287" s="64" t="str">
        <f t="shared" si="50"/>
        <v>YES</v>
      </c>
      <c r="BL287" s="64" t="str">
        <f t="shared" si="16"/>
        <v>YES</v>
      </c>
      <c r="BM287" s="64" t="str">
        <f t="shared" si="17"/>
        <v>YES</v>
      </c>
      <c r="BN287" s="124" t="str">
        <f t="shared" si="18"/>
        <v/>
      </c>
      <c r="BO287" s="91" t="str">
        <f t="shared" si="19"/>
        <v/>
      </c>
      <c r="BP287" s="91" t="str">
        <f t="shared" si="20"/>
        <v>#N/A</v>
      </c>
      <c r="BQ287" s="91" t="str">
        <f t="shared" si="21"/>
        <v/>
      </c>
      <c r="BR287" s="93" t="str">
        <f t="shared" si="22"/>
        <v/>
      </c>
      <c r="BS287" s="90" t="str">
        <f t="shared" si="23"/>
        <v/>
      </c>
      <c r="BT287" s="93" t="str">
        <f t="shared" si="24"/>
        <v>NA</v>
      </c>
      <c r="BU287" s="125" t="str">
        <f t="shared" si="25"/>
        <v>#N/A</v>
      </c>
      <c r="BV287" s="93" t="str">
        <f t="shared" si="26"/>
        <v/>
      </c>
      <c r="BW287" s="93" t="str">
        <f t="shared" si="27"/>
        <v/>
      </c>
      <c r="BX287" s="93" t="str">
        <f t="shared" si="28"/>
        <v>NA</v>
      </c>
      <c r="BY287" s="95" t="str">
        <f t="shared" si="29"/>
        <v>#N/A</v>
      </c>
      <c r="BZ287" s="93" t="str">
        <f t="shared" si="30"/>
        <v/>
      </c>
      <c r="CA287" s="93" t="str">
        <f t="shared" si="31"/>
        <v/>
      </c>
      <c r="CB287" s="93" t="str">
        <f t="shared" si="32"/>
        <v>NA</v>
      </c>
      <c r="CC287" s="96" t="str">
        <f t="shared" si="33"/>
        <v>#N/A</v>
      </c>
      <c r="CD287" s="93" t="str">
        <f t="shared" si="34"/>
        <v/>
      </c>
      <c r="CE287" s="93" t="str">
        <f t="shared" si="35"/>
        <v/>
      </c>
      <c r="CF287" s="93" t="str">
        <f t="shared" si="36"/>
        <v>NA</v>
      </c>
      <c r="CG287" s="97" t="str">
        <f t="shared" si="37"/>
        <v>#N/A</v>
      </c>
      <c r="CH287" s="98" t="str">
        <f t="shared" si="38"/>
        <v>#N/A</v>
      </c>
      <c r="CI287" s="99" t="str">
        <f t="shared" si="39"/>
        <v>#N/A</v>
      </c>
      <c r="CJ287" s="126" t="str">
        <f t="shared" si="40"/>
        <v>ERROR: check cell</v>
      </c>
      <c r="CK287" s="126"/>
      <c r="CL287" s="127" t="str">
        <f t="shared" si="41"/>
        <v>#DIV/0!</v>
      </c>
      <c r="CM287" s="128" t="str">
        <f t="shared" si="42"/>
        <v>#DIV/0!</v>
      </c>
      <c r="CN287" s="128">
        <f t="shared" si="43"/>
        <v>4</v>
      </c>
      <c r="CO287" s="129">
        <f t="shared" si="44"/>
        <v>4</v>
      </c>
      <c r="CP287" s="129" t="str">
        <f>IFS(C287=Preferences!B$13,B287,B287=Preferences!B$13,C287)</f>
        <v>#N/A</v>
      </c>
    </row>
    <row r="288" ht="13.5" customHeight="1">
      <c r="A288" s="63" t="str">
        <f t="shared" si="45"/>
        <v/>
      </c>
      <c r="B288" s="64"/>
      <c r="C288" s="64"/>
      <c r="D288" s="64"/>
      <c r="E288" s="65"/>
      <c r="F288" s="65"/>
      <c r="G288" s="65"/>
      <c r="H288" s="66"/>
      <c r="I288" s="66"/>
      <c r="J288" s="67"/>
      <c r="K288" s="68"/>
      <c r="L288" s="104"/>
      <c r="M288" s="104"/>
      <c r="N288" s="104"/>
      <c r="O288" s="104"/>
      <c r="P288" s="107" t="str">
        <f t="shared" si="1"/>
        <v/>
      </c>
      <c r="Q288" s="108" t="str">
        <f>IFERROR(IF(AND(Preferences!B$3="Manual",OR(AX288/AW288&gt;G288/F288,BD288="Serious",BD288="Very serious")),"Assess imprecision",IFS(ISBLANK(E288),"",AND(Preferences!B$3="Automatic", G288/F288&gt;=30),"Extremely serious",AND(H288&lt;=$D$1*-1,J288&lt;0,G288/F288&lt;3),"Not serious",AND(H288&lt;=$D$1*-1,J288&lt;0,G288/F288&gt;=3),"Very serious",AND(H288&gt;=$D$1,I288&gt;0,G288/F288&lt;3),"Not serious",AND(H288&gt;=$D$1,I288&gt;0,G288/F288&gt;=3),"Very serious",AND(H288&lt;=$D$1*-1,J288&gt;0,I288&gt;$D$2*-1,G288/F288&lt;3),"Serious", AND(H288&lt;=$D$1*-1,J288&gt;0,I288&lt;$D$2*-1,G288/F288&lt;3),"Very serious", AND(H288&gt;=$D$1,I288&lt;0,J288&lt;$D$2,G288/F288&lt;3),"Serious",AND(H288&gt;=$D$1,I288&lt;0,J288&gt;$D$2,G288/F288&lt;3),"Very serious", AND(H288&lt;=$D$1*-1,J288&gt;0,I288&gt;$D$2*-1,G288/F288&gt;=3),"Very serious", AND(H288&lt;=$D$1*-1,J288&gt;0,I288&lt;$D$2*-1,G288/F288&gt;=3),"Very serious", AND(H288&gt;=$D$1,I288&lt;0,J288&lt;$D$2,G288/F288&gt;=3),"Very serious", AND(H288&gt;=$D$1,I288&lt;0,J288&gt;$D$2,G288/F288&gt;=3),"Very serious", AND(H288&gt;$D$1*-1,H288&lt;$D$1,I288&gt;$D$1*-1,J288&lt;$D$1,G288/F288&lt;3),"Not serious", AND(H288&gt;$D$1*-1,H288&lt;$D$1,OR(I288&lt;=$D$1*-1,J288&gt;=$D$1),I288&gt;$D$2*-1,J288&lt;$D$2,G288/F288&lt;3),"Serious", AND(H288&gt;$D$1*-1,H288&lt;$D$1,OR(I288&lt;=$D$2*-1,J288&gt;=$D$2),G288/F288&lt;3),"Very serious", AND(H288&gt;$D$1*-1,H288&lt;$D$1,I288&gt;$D$1*-1,J288&lt;$D$1,G288/F288&gt;=3),"Very serious", AND(H288&gt;$D$1*-1,H288&lt;$D$1,OR(I288&lt;=$D$1*-1,J288&gt;=$D$1),I288&gt;$D$2*-1,J288&lt;$D$2,G288/F288&gt;=3),"Very serious", AND(H288&gt;$D$1*-1,H288&lt;$D$1,OR(I288&lt;=$D$2*-1,J288&gt;=$D$2),G288/F288&gt;=3),"Very serious")),"")</f>
        <v/>
      </c>
      <c r="R288" s="109" t="str">
        <f t="shared" si="47"/>
        <v/>
      </c>
      <c r="S288" s="64"/>
      <c r="T288" s="72"/>
      <c r="U288" s="72"/>
      <c r="V288" s="72"/>
      <c r="W288" s="73"/>
      <c r="X288" s="73"/>
      <c r="Y288" s="74"/>
      <c r="Z288" s="113" t="str">
        <f t="array" ref="Z288">INDEX($A$1:$C$500, MATCH(1,($B:$B=$B288)*($C:$C=$AB288),0),1)</f>
        <v/>
      </c>
      <c r="AA288" s="113" t="str">
        <f t="array" ref="AA288">INDEX($A$1:$C$500, MATCH(1,($B:$B=$AB288)*($C:$C=$B288),0),1)</f>
        <v/>
      </c>
      <c r="AB288" s="111"/>
      <c r="AC288" s="114" t="str">
        <f t="shared" si="2"/>
        <v/>
      </c>
      <c r="AD288" s="115" t="str">
        <f t="shared" si="3"/>
        <v/>
      </c>
      <c r="AE288" s="116" t="str">
        <f t="array" ref="AE288">INDEX($A$1:$C$500, MATCH(1,($B:$B=$AB288)*($C:$C=$AG288),0),1)</f>
        <v/>
      </c>
      <c r="AF288" s="116" t="str">
        <f t="array" ref="AF288">INDEX($A$1:$C$500, MATCH(1,($B:$B=$AG288)*($C:$C=$AB288),0),1)</f>
        <v/>
      </c>
      <c r="AG288" s="72"/>
      <c r="AH288" s="114" t="str">
        <f t="shared" si="4"/>
        <v/>
      </c>
      <c r="AI288" s="115" t="str">
        <f t="shared" si="5"/>
        <v/>
      </c>
      <c r="AJ288" s="116" t="str">
        <f t="array" ref="AJ288">INDEX($A$1:$C$500, MATCH(1,($B:$B=$C288)*($C:$C=$AG288),0),1)</f>
        <v/>
      </c>
      <c r="AK288" s="116" t="str">
        <f t="array" ref="AK288">INDEX($A$1:$C$500, MATCH(1,($B:$B=$AG288)*($C:$C=$C288),0),1)</f>
        <v/>
      </c>
      <c r="AL288" s="116" t="str">
        <f t="array" ref="AL288">INDEX($A$1:$C$500, MATCH(1,($B:$B=$C288)*($C:$C=$AB288),0),1)</f>
        <v/>
      </c>
      <c r="AM288" s="116" t="str">
        <f t="array" ref="AM288">INDEX($A$1:$C$500, MATCH(1,($B:$B=$AB288)*($C:$C=$C288),0),1)</f>
        <v/>
      </c>
      <c r="AN288" s="114" t="str">
        <f t="array" ref="AN288">IFS(ISNUMBER(AJ288),AJ288,ISNUMBER(AK288),AK288,ISNUMBER(AL288),AL288,ISNUMBER(AM288),AM288)</f>
        <v>#N/A</v>
      </c>
      <c r="AO288" s="115" t="str">
        <f t="shared" si="6"/>
        <v/>
      </c>
      <c r="AP288" s="115" t="str">
        <f t="shared" si="7"/>
        <v/>
      </c>
      <c r="AQ288" s="111"/>
      <c r="AR288" s="109" t="str">
        <f t="shared" si="8"/>
        <v/>
      </c>
      <c r="AS288" s="72" t="str">
        <f>IFERROR(IF(AND(Preferences!B$3="Manual",OR(AX288/AW288&gt;V288/U288,BD288="Serious",BD288="Very serious")),"Assess imprecision",IFERROR(IFS(AND(Preferences!B$3="Automatic",V288/U288&gt;=30),"Extremely serious",AND(W288&lt;=$D$1*-1,Y288&lt;0,V288/U288&lt;3),"Not Serious",AND(W288&lt;=$D$1*-1,Y288&lt;0,V288/U288&gt;=3),"Very serious",AND(W288&gt;=$D$1,X288&gt;0,V288/U288&lt;3),"Not Serious",AND(W288&gt;=$D$1,X288&gt;0,V288/U288&gt;=3),"Very serious",AND(W288&lt;=$D$1*-1,Y288&gt;0,X288&gt;$D$2*-1,V288/U288&lt;3),"Serious", AND(W288&lt;=$D$1*-1,Y288&gt;0,X288&lt;$D$2*-1,V288/U288&lt;3),"Very serious", AND(W288&gt;=$D$1,X288&lt;0,Y288&lt;$D$2,V288/U288&lt;3),"Serious",AND(W288&gt;=$D$1,X288&lt;0,Y288&gt;$D$2,V288/U288&lt;3),"Very serious", AND(W288&lt;=$D$1*-1,Y288&gt;0,X288&gt;$D$2*-1,V288/U288&gt;=3),"Very serious", AND(W288&lt;=$D$1*-1,Y288&gt;0,X288&lt;$D$2*-1,V288/U288&gt;=3),"Very serious", AND(W288&gt;=$D$1,X288&lt;0,Y288&lt;$D$2,V288/U288&gt;=3),"Very serious", AND(W288&gt;=$D$1,X288&lt;0,Y288&gt;$D$2,V288/U288&gt;=3),"Very serious", AND(W288&gt;$D$1*-1,W288&lt;$D$1,X288&gt;$D$1*-1,Y288&lt;$D$1,V288/U288&lt;3),"Not Serious", AND(W288&gt;$D$1*-1,W288&lt;$D$1,OR(X288&lt;=$D$1*-1,Y288&gt;=$D$1),X288&gt;$D$2*-1,Y288&lt;$D$2,V288/U288&lt;3),"Serious", AND(W288&gt;$D$1*-1,W288&lt;$D$1,OR(X288&lt;=$D$2*-1,Y288&gt;=$D$2),V288/U288&lt;3),"Very serious", AND(W288&gt;$D$1*-1,W288&lt;$D$1,X288&gt;$D$1*-1,Y288&lt;$D$1,V288/U288&gt;=3),"Very serious", AND(W288&gt;$D$1*-1,W288&lt;$D$1,OR(X288&lt;=$D$1*-1,Y288&gt;=$D$1),X288&gt;$D$2*-1,Y288&lt;$D$2,V288/U288&gt;=3),"Very serious", AND(W288&gt;$D$1*-1,W288&lt;$D$1,OR(X288&lt;=$D$2*-1,Y288&gt;=$D$2),V288/U288&gt;=3),"Very serious"),"")),"")</f>
        <v/>
      </c>
      <c r="AT288" s="109" t="str">
        <f t="shared" si="9"/>
        <v/>
      </c>
      <c r="AU288" s="64"/>
      <c r="AV288" s="83"/>
      <c r="AW288" s="83"/>
      <c r="AX288" s="83"/>
      <c r="AY288" s="83"/>
      <c r="AZ288" s="83"/>
      <c r="BA288" s="85"/>
      <c r="BB288" s="86" t="str">
        <f>IF(Preferences!B$9="Manual","",IFS(ISBLANK(B288),"",AND(ISNUMBER(E288)=TRUE,ISNUMBER(T288)=FALSE),"Direct", AND(ISNUMBER(E288)=FALSE,ISNUMBER(T288)=TRUE),"Indirect", CN288=4,"Direct",AND(CL288=FALSE, CM288=TRUE,CN288-CO288&gt;-1),"Direct", AND(CL288=FALSE,CM288=TRUE, CN288-CO288&lt;0),"Check algorithm in appendix 2", AND(CL288=TRUE, CM288=FALSE,CN288-CO288&gt;0),"Check algorithm in appendix 2", AND(CL288=TRUE, CM288=FALSE,CN288-CO288=0),"Indirect", AND(CL288=TRUE, CM288=FALSE,CN288-CO288&lt;0),"Indirect", AND(CL288=FALSE,CM288=FALSE,CN288-CO288&gt;-1),"Direct", AND(CL288=FALSE,CM288=FALSE,CN288-CO288&lt;0),"Check algorithm in appendix 2", AND(CL288=TRUE,CM288=TRUE,CN288-CO288&gt;-1),"Direct", AND(CL288=TRUE,CM288=TRUE,CN288-CO288&lt;0),"Check algorithm in appendix 2"))</f>
        <v/>
      </c>
      <c r="BC288" s="120" t="str">
        <f t="shared" si="10"/>
        <v/>
      </c>
      <c r="BD288" s="140"/>
      <c r="BE288" s="122" t="str">
        <f>IF(Preferences!B$3="Manual","", IFERROR(IFS(AND(Preferences!B$3="Automatic",AX288/AW288&gt;=30),"Extremely serious",AND(AY288&lt;=$D$1*-1,BA288&lt;0,AX288/AW288&lt;3),"Not Serious",AND(AY288&lt;=$D$1*-1,BA288&lt;0,AX288/AW288&gt;=3),"Very serious",AND(AY288&gt;=$D$1,AZ288&gt;0,AX288/AW288&lt;3),"Not Serious",AND(AY288&gt;=$D$1,AZ288&gt;0,AX288/AW288&gt;=3),"Very serious",AND(AY288&lt;=$D$1*-1,BA288&gt;0,AZ288&gt;$D$2*-1,AX288/AW288&lt;3),"Serious", AND(AY288&lt;=$D$1*-1,BA288&gt;0,AZ288&lt;$D$2*-1,AX288/AW288&lt;3),"Very serious", AND(AY288&gt;=$D$1,AZ288&lt;0,BA288&lt;$D$2,AX288/AW288&lt;3),"Serious",AND(AY288&gt;=$D$1,AZ288&lt;0,BA288&gt;$D$2,AX288/AW288&lt;3),"Very serious", AND(AY288&lt;=$D$1*-1,BA288&gt;0,AZ288&gt;$D$2*-1,AX288/AW288&gt;=3),"Very serious", AND(AY288&lt;=$D$1*-1,BA288&gt;0,AZ288&lt;$D$2*-1,AX288/AW288&gt;=3),"Very serious", AND(AY288&gt;=$D$1,AZ288&lt;0,BA288&lt;$D$2,AX288/AW288&gt;=3),"Very serious", AND(AY288&gt;=$D$1,AZ288&lt;0,BA288&gt;$D$2,AX288/AW288&gt;=3),"Very serious", AND(AY288&gt;$D$1*-1,AY288&lt;$D$1,AZ288&gt;$D$1*-1,BA288&lt;$D$1,AX288/AW288&lt;3),"Not Serious", AND(AY288&gt;$D$1*-1,AY288&lt;$D$1,OR(AZ288&lt;=$D$1*-1,BA288&gt;=$D$1),AZ288&gt;$D$2*-1,BA288&lt;$D$2,AX288/AW288&lt;3),"Serious", AND(AY288&gt;$D$1*-1,AY288&lt;$D$1,OR(AZ288&lt;=$D$2*-1,BA288&gt;=$D$2),AX288/AW288&lt;3),"Very serious", AND(AY288&gt;$D$1*-1,AY288&lt;$D$1,AZ288&gt;$D$1*-1,BA288&lt;$D$1,AX288/AW288&gt;=3),"Very serious", AND(AY288&gt;$D$1*-1,AY288&lt;$D$1,OR(AZ288&lt;=$D$1*-1,BA288&gt;=$D$1),AZ288&gt;$D$2*-1,BA288&lt;$D$2,AX288/AW288&gt;=3),"Very serious", AND(AY288&gt;$D$1*-1,AY288&lt;$D$1,OR(AZ288&lt;=$D$2*-1,BA288&gt;=$D$2),AX288/AW288&gt;=3),"Very serious"),""))</f>
        <v/>
      </c>
      <c r="BF288" s="107" t="str">
        <f t="shared" si="11"/>
        <v/>
      </c>
      <c r="BG288" s="94" t="str">
        <f t="shared" si="46"/>
        <v/>
      </c>
      <c r="BH288" s="64" t="str">
        <f t="shared" si="12"/>
        <v>#N/A</v>
      </c>
      <c r="BI288" s="64" t="str">
        <f t="shared" si="13"/>
        <v/>
      </c>
      <c r="BJ288" s="123" t="str">
        <f t="shared" si="14"/>
        <v>#N/A</v>
      </c>
      <c r="BK288" s="64" t="str">
        <f t="shared" si="50"/>
        <v>YES</v>
      </c>
      <c r="BL288" s="64" t="str">
        <f t="shared" si="16"/>
        <v>YES</v>
      </c>
      <c r="BM288" s="64" t="str">
        <f t="shared" si="17"/>
        <v>YES</v>
      </c>
      <c r="BN288" s="124" t="str">
        <f t="shared" si="18"/>
        <v/>
      </c>
      <c r="BO288" s="91" t="str">
        <f t="shared" si="19"/>
        <v/>
      </c>
      <c r="BP288" s="91" t="str">
        <f t="shared" si="20"/>
        <v>#N/A</v>
      </c>
      <c r="BQ288" s="91" t="str">
        <f t="shared" si="21"/>
        <v/>
      </c>
      <c r="BR288" s="93" t="str">
        <f t="shared" si="22"/>
        <v/>
      </c>
      <c r="BS288" s="90" t="str">
        <f t="shared" si="23"/>
        <v/>
      </c>
      <c r="BT288" s="93" t="str">
        <f t="shared" si="24"/>
        <v>NA</v>
      </c>
      <c r="BU288" s="125" t="str">
        <f t="shared" si="25"/>
        <v>#N/A</v>
      </c>
      <c r="BV288" s="93" t="str">
        <f t="shared" si="26"/>
        <v/>
      </c>
      <c r="BW288" s="93" t="str">
        <f t="shared" si="27"/>
        <v/>
      </c>
      <c r="BX288" s="93" t="str">
        <f t="shared" si="28"/>
        <v>NA</v>
      </c>
      <c r="BY288" s="95" t="str">
        <f t="shared" si="29"/>
        <v>#N/A</v>
      </c>
      <c r="BZ288" s="93" t="str">
        <f t="shared" si="30"/>
        <v/>
      </c>
      <c r="CA288" s="93" t="str">
        <f t="shared" si="31"/>
        <v/>
      </c>
      <c r="CB288" s="93" t="str">
        <f t="shared" si="32"/>
        <v>NA</v>
      </c>
      <c r="CC288" s="96" t="str">
        <f t="shared" si="33"/>
        <v>#N/A</v>
      </c>
      <c r="CD288" s="93" t="str">
        <f t="shared" si="34"/>
        <v/>
      </c>
      <c r="CE288" s="93" t="str">
        <f t="shared" si="35"/>
        <v/>
      </c>
      <c r="CF288" s="93" t="str">
        <f t="shared" si="36"/>
        <v>NA</v>
      </c>
      <c r="CG288" s="97" t="str">
        <f t="shared" si="37"/>
        <v>#N/A</v>
      </c>
      <c r="CH288" s="98" t="str">
        <f t="shared" si="38"/>
        <v>#N/A</v>
      </c>
      <c r="CI288" s="99" t="str">
        <f t="shared" si="39"/>
        <v>#N/A</v>
      </c>
      <c r="CJ288" s="126" t="str">
        <f t="shared" si="40"/>
        <v>ERROR: check cell</v>
      </c>
      <c r="CK288" s="126"/>
      <c r="CL288" s="127" t="str">
        <f t="shared" si="41"/>
        <v>#DIV/0!</v>
      </c>
      <c r="CM288" s="128" t="str">
        <f t="shared" si="42"/>
        <v>#DIV/0!</v>
      </c>
      <c r="CN288" s="128">
        <f t="shared" si="43"/>
        <v>4</v>
      </c>
      <c r="CO288" s="129">
        <f t="shared" si="44"/>
        <v>4</v>
      </c>
      <c r="CP288" s="129" t="str">
        <f>IFS(C288=Preferences!B$13,B288,B288=Preferences!B$13,C288)</f>
        <v>#N/A</v>
      </c>
    </row>
    <row r="289" ht="13.5" customHeight="1">
      <c r="A289" s="63" t="str">
        <f t="shared" si="45"/>
        <v/>
      </c>
      <c r="B289" s="64"/>
      <c r="C289" s="64"/>
      <c r="D289" s="64"/>
      <c r="E289" s="65"/>
      <c r="F289" s="65"/>
      <c r="G289" s="65"/>
      <c r="H289" s="66"/>
      <c r="I289" s="66"/>
      <c r="J289" s="67"/>
      <c r="K289" s="68"/>
      <c r="L289" s="104"/>
      <c r="M289" s="104"/>
      <c r="N289" s="104"/>
      <c r="O289" s="104"/>
      <c r="P289" s="107" t="str">
        <f t="shared" si="1"/>
        <v/>
      </c>
      <c r="Q289" s="108" t="str">
        <f>IFERROR(IF(AND(Preferences!B$3="Manual",OR(AX289/AW289&gt;G289/F289,BD289="Serious",BD289="Very serious")),"Assess imprecision",IFS(ISBLANK(E289),"",AND(Preferences!B$3="Automatic", G289/F289&gt;=30),"Extremely serious",AND(H289&lt;=$D$1*-1,J289&lt;0,G289/F289&lt;3),"Not serious",AND(H289&lt;=$D$1*-1,J289&lt;0,G289/F289&gt;=3),"Very serious",AND(H289&gt;=$D$1,I289&gt;0,G289/F289&lt;3),"Not serious",AND(H289&gt;=$D$1,I289&gt;0,G289/F289&gt;=3),"Very serious",AND(H289&lt;=$D$1*-1,J289&gt;0,I289&gt;$D$2*-1,G289/F289&lt;3),"Serious", AND(H289&lt;=$D$1*-1,J289&gt;0,I289&lt;$D$2*-1,G289/F289&lt;3),"Very serious", AND(H289&gt;=$D$1,I289&lt;0,J289&lt;$D$2,G289/F289&lt;3),"Serious",AND(H289&gt;=$D$1,I289&lt;0,J289&gt;$D$2,G289/F289&lt;3),"Very serious", AND(H289&lt;=$D$1*-1,J289&gt;0,I289&gt;$D$2*-1,G289/F289&gt;=3),"Very serious", AND(H289&lt;=$D$1*-1,J289&gt;0,I289&lt;$D$2*-1,G289/F289&gt;=3),"Very serious", AND(H289&gt;=$D$1,I289&lt;0,J289&lt;$D$2,G289/F289&gt;=3),"Very serious", AND(H289&gt;=$D$1,I289&lt;0,J289&gt;$D$2,G289/F289&gt;=3),"Very serious", AND(H289&gt;$D$1*-1,H289&lt;$D$1,I289&gt;$D$1*-1,J289&lt;$D$1,G289/F289&lt;3),"Not serious", AND(H289&gt;$D$1*-1,H289&lt;$D$1,OR(I289&lt;=$D$1*-1,J289&gt;=$D$1),I289&gt;$D$2*-1,J289&lt;$D$2,G289/F289&lt;3),"Serious", AND(H289&gt;$D$1*-1,H289&lt;$D$1,OR(I289&lt;=$D$2*-1,J289&gt;=$D$2),G289/F289&lt;3),"Very serious", AND(H289&gt;$D$1*-1,H289&lt;$D$1,I289&gt;$D$1*-1,J289&lt;$D$1,G289/F289&gt;=3),"Very serious", AND(H289&gt;$D$1*-1,H289&lt;$D$1,OR(I289&lt;=$D$1*-1,J289&gt;=$D$1),I289&gt;$D$2*-1,J289&lt;$D$2,G289/F289&gt;=3),"Very serious", AND(H289&gt;$D$1*-1,H289&lt;$D$1,OR(I289&lt;=$D$2*-1,J289&gt;=$D$2),G289/F289&gt;=3),"Very serious")),"")</f>
        <v/>
      </c>
      <c r="R289" s="109" t="str">
        <f t="shared" si="47"/>
        <v/>
      </c>
      <c r="S289" s="64"/>
      <c r="T289" s="72"/>
      <c r="U289" s="72"/>
      <c r="V289" s="72"/>
      <c r="W289" s="73"/>
      <c r="X289" s="73"/>
      <c r="Y289" s="74"/>
      <c r="Z289" s="113" t="str">
        <f t="array" ref="Z289">INDEX($A$1:$C$500, MATCH(1,($B:$B=$B289)*($C:$C=$AB289),0),1)</f>
        <v/>
      </c>
      <c r="AA289" s="113" t="str">
        <f t="array" ref="AA289">INDEX($A$1:$C$500, MATCH(1,($B:$B=$AB289)*($C:$C=$B289),0),1)</f>
        <v/>
      </c>
      <c r="AB289" s="111"/>
      <c r="AC289" s="114" t="str">
        <f t="shared" si="2"/>
        <v/>
      </c>
      <c r="AD289" s="115" t="str">
        <f t="shared" si="3"/>
        <v/>
      </c>
      <c r="AE289" s="116" t="str">
        <f t="array" ref="AE289">INDEX($A$1:$C$500, MATCH(1,($B:$B=$AB289)*($C:$C=$AG289),0),1)</f>
        <v/>
      </c>
      <c r="AF289" s="116" t="str">
        <f t="array" ref="AF289">INDEX($A$1:$C$500, MATCH(1,($B:$B=$AG289)*($C:$C=$AB289),0),1)</f>
        <v/>
      </c>
      <c r="AG289" s="72"/>
      <c r="AH289" s="114" t="str">
        <f t="shared" si="4"/>
        <v/>
      </c>
      <c r="AI289" s="115" t="str">
        <f t="shared" si="5"/>
        <v/>
      </c>
      <c r="AJ289" s="116" t="str">
        <f t="array" ref="AJ289">INDEX($A$1:$C$500, MATCH(1,($B:$B=$C289)*($C:$C=$AG289),0),1)</f>
        <v/>
      </c>
      <c r="AK289" s="116" t="str">
        <f t="array" ref="AK289">INDEX($A$1:$C$500, MATCH(1,($B:$B=$AG289)*($C:$C=$C289),0),1)</f>
        <v/>
      </c>
      <c r="AL289" s="116" t="str">
        <f t="array" ref="AL289">INDEX($A$1:$C$500, MATCH(1,($B:$B=$C289)*($C:$C=$AB289),0),1)</f>
        <v/>
      </c>
      <c r="AM289" s="116" t="str">
        <f t="array" ref="AM289">INDEX($A$1:$C$500, MATCH(1,($B:$B=$AB289)*($C:$C=$C289),0),1)</f>
        <v/>
      </c>
      <c r="AN289" s="114" t="str">
        <f t="array" ref="AN289">IFS(ISNUMBER(AJ289),AJ289,ISNUMBER(AK289),AK289,ISNUMBER(AL289),AL289,ISNUMBER(AM289),AM289)</f>
        <v>#N/A</v>
      </c>
      <c r="AO289" s="115" t="str">
        <f t="shared" si="6"/>
        <v/>
      </c>
      <c r="AP289" s="115" t="str">
        <f t="shared" si="7"/>
        <v/>
      </c>
      <c r="AQ289" s="111"/>
      <c r="AR289" s="109" t="str">
        <f t="shared" si="8"/>
        <v/>
      </c>
      <c r="AS289" s="72" t="str">
        <f>IFERROR(IF(AND(Preferences!B$3="Manual",OR(AX289/AW289&gt;V289/U289,BD289="Serious",BD289="Very serious")),"Assess imprecision",IFERROR(IFS(AND(Preferences!B$3="Automatic",V289/U289&gt;=30),"Extremely serious",AND(W289&lt;=$D$1*-1,Y289&lt;0,V289/U289&lt;3),"Not Serious",AND(W289&lt;=$D$1*-1,Y289&lt;0,V289/U289&gt;=3),"Very serious",AND(W289&gt;=$D$1,X289&gt;0,V289/U289&lt;3),"Not Serious",AND(W289&gt;=$D$1,X289&gt;0,V289/U289&gt;=3),"Very serious",AND(W289&lt;=$D$1*-1,Y289&gt;0,X289&gt;$D$2*-1,V289/U289&lt;3),"Serious", AND(W289&lt;=$D$1*-1,Y289&gt;0,X289&lt;$D$2*-1,V289/U289&lt;3),"Very serious", AND(W289&gt;=$D$1,X289&lt;0,Y289&lt;$D$2,V289/U289&lt;3),"Serious",AND(W289&gt;=$D$1,X289&lt;0,Y289&gt;$D$2,V289/U289&lt;3),"Very serious", AND(W289&lt;=$D$1*-1,Y289&gt;0,X289&gt;$D$2*-1,V289/U289&gt;=3),"Very serious", AND(W289&lt;=$D$1*-1,Y289&gt;0,X289&lt;$D$2*-1,V289/U289&gt;=3),"Very serious", AND(W289&gt;=$D$1,X289&lt;0,Y289&lt;$D$2,V289/U289&gt;=3),"Very serious", AND(W289&gt;=$D$1,X289&lt;0,Y289&gt;$D$2,V289/U289&gt;=3),"Very serious", AND(W289&gt;$D$1*-1,W289&lt;$D$1,X289&gt;$D$1*-1,Y289&lt;$D$1,V289/U289&lt;3),"Not Serious", AND(W289&gt;$D$1*-1,W289&lt;$D$1,OR(X289&lt;=$D$1*-1,Y289&gt;=$D$1),X289&gt;$D$2*-1,Y289&lt;$D$2,V289/U289&lt;3),"Serious", AND(W289&gt;$D$1*-1,W289&lt;$D$1,OR(X289&lt;=$D$2*-1,Y289&gt;=$D$2),V289/U289&lt;3),"Very serious", AND(W289&gt;$D$1*-1,W289&lt;$D$1,X289&gt;$D$1*-1,Y289&lt;$D$1,V289/U289&gt;=3),"Very serious", AND(W289&gt;$D$1*-1,W289&lt;$D$1,OR(X289&lt;=$D$1*-1,Y289&gt;=$D$1),X289&gt;$D$2*-1,Y289&lt;$D$2,V289/U289&gt;=3),"Very serious", AND(W289&gt;$D$1*-1,W289&lt;$D$1,OR(X289&lt;=$D$2*-1,Y289&gt;=$D$2),V289/U289&gt;=3),"Very serious"),"")),"")</f>
        <v/>
      </c>
      <c r="AT289" s="109" t="str">
        <f t="shared" si="9"/>
        <v/>
      </c>
      <c r="AU289" s="64"/>
      <c r="AV289" s="83"/>
      <c r="AW289" s="83"/>
      <c r="AX289" s="83"/>
      <c r="AY289" s="83"/>
      <c r="AZ289" s="83"/>
      <c r="BA289" s="85"/>
      <c r="BB289" s="86" t="str">
        <f>IF(Preferences!B$9="Manual","",IFS(ISBLANK(B289),"",AND(ISNUMBER(E289)=TRUE,ISNUMBER(T289)=FALSE),"Direct", AND(ISNUMBER(E289)=FALSE,ISNUMBER(T289)=TRUE),"Indirect", CN289=4,"Direct",AND(CL289=FALSE, CM289=TRUE,CN289-CO289&gt;-1),"Direct", AND(CL289=FALSE,CM289=TRUE, CN289-CO289&lt;0),"Check algorithm in appendix 2", AND(CL289=TRUE, CM289=FALSE,CN289-CO289&gt;0),"Check algorithm in appendix 2", AND(CL289=TRUE, CM289=FALSE,CN289-CO289=0),"Indirect", AND(CL289=TRUE, CM289=FALSE,CN289-CO289&lt;0),"Indirect", AND(CL289=FALSE,CM289=FALSE,CN289-CO289&gt;-1),"Direct", AND(CL289=FALSE,CM289=FALSE,CN289-CO289&lt;0),"Check algorithm in appendix 2", AND(CL289=TRUE,CM289=TRUE,CN289-CO289&gt;-1),"Direct", AND(CL289=TRUE,CM289=TRUE,CN289-CO289&lt;0),"Check algorithm in appendix 2"))</f>
        <v/>
      </c>
      <c r="BC289" s="120" t="str">
        <f t="shared" si="10"/>
        <v/>
      </c>
      <c r="BD289" s="140"/>
      <c r="BE289" s="122" t="str">
        <f>IF(Preferences!B$3="Manual","", IFERROR(IFS(AND(Preferences!B$3="Automatic",AX289/AW289&gt;=30),"Extremely serious",AND(AY289&lt;=$D$1*-1,BA289&lt;0,AX289/AW289&lt;3),"Not Serious",AND(AY289&lt;=$D$1*-1,BA289&lt;0,AX289/AW289&gt;=3),"Very serious",AND(AY289&gt;=$D$1,AZ289&gt;0,AX289/AW289&lt;3),"Not Serious",AND(AY289&gt;=$D$1,AZ289&gt;0,AX289/AW289&gt;=3),"Very serious",AND(AY289&lt;=$D$1*-1,BA289&gt;0,AZ289&gt;$D$2*-1,AX289/AW289&lt;3),"Serious", AND(AY289&lt;=$D$1*-1,BA289&gt;0,AZ289&lt;$D$2*-1,AX289/AW289&lt;3),"Very serious", AND(AY289&gt;=$D$1,AZ289&lt;0,BA289&lt;$D$2,AX289/AW289&lt;3),"Serious",AND(AY289&gt;=$D$1,AZ289&lt;0,BA289&gt;$D$2,AX289/AW289&lt;3),"Very serious", AND(AY289&lt;=$D$1*-1,BA289&gt;0,AZ289&gt;$D$2*-1,AX289/AW289&gt;=3),"Very serious", AND(AY289&lt;=$D$1*-1,BA289&gt;0,AZ289&lt;$D$2*-1,AX289/AW289&gt;=3),"Very serious", AND(AY289&gt;=$D$1,AZ289&lt;0,BA289&lt;$D$2,AX289/AW289&gt;=3),"Very serious", AND(AY289&gt;=$D$1,AZ289&lt;0,BA289&gt;$D$2,AX289/AW289&gt;=3),"Very serious", AND(AY289&gt;$D$1*-1,AY289&lt;$D$1,AZ289&gt;$D$1*-1,BA289&lt;$D$1,AX289/AW289&lt;3),"Not Serious", AND(AY289&gt;$D$1*-1,AY289&lt;$D$1,OR(AZ289&lt;=$D$1*-1,BA289&gt;=$D$1),AZ289&gt;$D$2*-1,BA289&lt;$D$2,AX289/AW289&lt;3),"Serious", AND(AY289&gt;$D$1*-1,AY289&lt;$D$1,OR(AZ289&lt;=$D$2*-1,BA289&gt;=$D$2),AX289/AW289&lt;3),"Very serious", AND(AY289&gt;$D$1*-1,AY289&lt;$D$1,AZ289&gt;$D$1*-1,BA289&lt;$D$1,AX289/AW289&gt;=3),"Very serious", AND(AY289&gt;$D$1*-1,AY289&lt;$D$1,OR(AZ289&lt;=$D$1*-1,BA289&gt;=$D$1),AZ289&gt;$D$2*-1,BA289&lt;$D$2,AX289/AW289&gt;=3),"Very serious", AND(AY289&gt;$D$1*-1,AY289&lt;$D$1,OR(AZ289&lt;=$D$2*-1,BA289&gt;=$D$2),AX289/AW289&gt;=3),"Very serious"),""))</f>
        <v/>
      </c>
      <c r="BF289" s="107" t="str">
        <f t="shared" si="11"/>
        <v/>
      </c>
      <c r="BG289" s="94" t="str">
        <f t="shared" si="46"/>
        <v/>
      </c>
      <c r="BH289" s="64" t="str">
        <f t="shared" si="12"/>
        <v>#N/A</v>
      </c>
      <c r="BI289" s="64" t="str">
        <f t="shared" si="13"/>
        <v/>
      </c>
      <c r="BJ289" s="123" t="str">
        <f t="shared" si="14"/>
        <v>#N/A</v>
      </c>
      <c r="BK289" s="64" t="str">
        <f t="shared" si="50"/>
        <v>YES</v>
      </c>
      <c r="BL289" s="64" t="str">
        <f t="shared" si="16"/>
        <v>YES</v>
      </c>
      <c r="BM289" s="64" t="str">
        <f t="shared" si="17"/>
        <v>YES</v>
      </c>
      <c r="BN289" s="124" t="str">
        <f t="shared" si="18"/>
        <v/>
      </c>
      <c r="BO289" s="91" t="str">
        <f t="shared" si="19"/>
        <v/>
      </c>
      <c r="BP289" s="91" t="str">
        <f t="shared" si="20"/>
        <v>#N/A</v>
      </c>
      <c r="BQ289" s="91" t="str">
        <f t="shared" si="21"/>
        <v/>
      </c>
      <c r="BR289" s="93" t="str">
        <f t="shared" si="22"/>
        <v/>
      </c>
      <c r="BS289" s="90" t="str">
        <f t="shared" si="23"/>
        <v/>
      </c>
      <c r="BT289" s="93" t="str">
        <f t="shared" si="24"/>
        <v>NA</v>
      </c>
      <c r="BU289" s="125" t="str">
        <f t="shared" si="25"/>
        <v>#N/A</v>
      </c>
      <c r="BV289" s="93" t="str">
        <f t="shared" si="26"/>
        <v/>
      </c>
      <c r="BW289" s="93" t="str">
        <f t="shared" si="27"/>
        <v/>
      </c>
      <c r="BX289" s="93" t="str">
        <f t="shared" si="28"/>
        <v>NA</v>
      </c>
      <c r="BY289" s="95" t="str">
        <f t="shared" si="29"/>
        <v>#N/A</v>
      </c>
      <c r="BZ289" s="93" t="str">
        <f t="shared" si="30"/>
        <v/>
      </c>
      <c r="CA289" s="93" t="str">
        <f t="shared" si="31"/>
        <v/>
      </c>
      <c r="CB289" s="93" t="str">
        <f t="shared" si="32"/>
        <v>NA</v>
      </c>
      <c r="CC289" s="96" t="str">
        <f t="shared" si="33"/>
        <v>#N/A</v>
      </c>
      <c r="CD289" s="93" t="str">
        <f t="shared" si="34"/>
        <v/>
      </c>
      <c r="CE289" s="93" t="str">
        <f t="shared" si="35"/>
        <v/>
      </c>
      <c r="CF289" s="93" t="str">
        <f t="shared" si="36"/>
        <v>NA</v>
      </c>
      <c r="CG289" s="97" t="str">
        <f t="shared" si="37"/>
        <v>#N/A</v>
      </c>
      <c r="CH289" s="98" t="str">
        <f t="shared" si="38"/>
        <v>#N/A</v>
      </c>
      <c r="CI289" s="99" t="str">
        <f t="shared" si="39"/>
        <v>#N/A</v>
      </c>
      <c r="CJ289" s="126" t="str">
        <f t="shared" si="40"/>
        <v>ERROR: check cell</v>
      </c>
      <c r="CK289" s="126"/>
      <c r="CL289" s="127" t="str">
        <f t="shared" si="41"/>
        <v>#DIV/0!</v>
      </c>
      <c r="CM289" s="128" t="str">
        <f t="shared" si="42"/>
        <v>#DIV/0!</v>
      </c>
      <c r="CN289" s="128">
        <f t="shared" si="43"/>
        <v>4</v>
      </c>
      <c r="CO289" s="129">
        <f t="shared" si="44"/>
        <v>4</v>
      </c>
      <c r="CP289" s="129" t="str">
        <f>IFS(C289=Preferences!B$13,B289,B289=Preferences!B$13,C289)</f>
        <v>#N/A</v>
      </c>
    </row>
    <row r="290" ht="13.5" customHeight="1">
      <c r="A290" s="63" t="str">
        <f t="shared" si="45"/>
        <v/>
      </c>
      <c r="B290" s="64"/>
      <c r="C290" s="64"/>
      <c r="D290" s="64"/>
      <c r="E290" s="65"/>
      <c r="F290" s="65"/>
      <c r="G290" s="65"/>
      <c r="H290" s="66"/>
      <c r="I290" s="66"/>
      <c r="J290" s="67"/>
      <c r="K290" s="68"/>
      <c r="L290" s="104"/>
      <c r="M290" s="104"/>
      <c r="N290" s="104"/>
      <c r="O290" s="104"/>
      <c r="P290" s="107" t="str">
        <f t="shared" si="1"/>
        <v/>
      </c>
      <c r="Q290" s="108" t="str">
        <f>IFERROR(IF(AND(Preferences!B$3="Manual",OR(AX290/AW290&gt;G290/F290,BD290="Serious",BD290="Very serious")),"Assess imprecision",IFS(ISBLANK(E290),"",AND(Preferences!B$3="Automatic", G290/F290&gt;=30),"Extremely serious",AND(H290&lt;=$D$1*-1,J290&lt;0,G290/F290&lt;3),"Not serious",AND(H290&lt;=$D$1*-1,J290&lt;0,G290/F290&gt;=3),"Very serious",AND(H290&gt;=$D$1,I290&gt;0,G290/F290&lt;3),"Not serious",AND(H290&gt;=$D$1,I290&gt;0,G290/F290&gt;=3),"Very serious",AND(H290&lt;=$D$1*-1,J290&gt;0,I290&gt;$D$2*-1,G290/F290&lt;3),"Serious", AND(H290&lt;=$D$1*-1,J290&gt;0,I290&lt;$D$2*-1,G290/F290&lt;3),"Very serious", AND(H290&gt;=$D$1,I290&lt;0,J290&lt;$D$2,G290/F290&lt;3),"Serious",AND(H290&gt;=$D$1,I290&lt;0,J290&gt;$D$2,G290/F290&lt;3),"Very serious", AND(H290&lt;=$D$1*-1,J290&gt;0,I290&gt;$D$2*-1,G290/F290&gt;=3),"Very serious", AND(H290&lt;=$D$1*-1,J290&gt;0,I290&lt;$D$2*-1,G290/F290&gt;=3),"Very serious", AND(H290&gt;=$D$1,I290&lt;0,J290&lt;$D$2,G290/F290&gt;=3),"Very serious", AND(H290&gt;=$D$1,I290&lt;0,J290&gt;$D$2,G290/F290&gt;=3),"Very serious", AND(H290&gt;$D$1*-1,H290&lt;$D$1,I290&gt;$D$1*-1,J290&lt;$D$1,G290/F290&lt;3),"Not serious", AND(H290&gt;$D$1*-1,H290&lt;$D$1,OR(I290&lt;=$D$1*-1,J290&gt;=$D$1),I290&gt;$D$2*-1,J290&lt;$D$2,G290/F290&lt;3),"Serious", AND(H290&gt;$D$1*-1,H290&lt;$D$1,OR(I290&lt;=$D$2*-1,J290&gt;=$D$2),G290/F290&lt;3),"Very serious", AND(H290&gt;$D$1*-1,H290&lt;$D$1,I290&gt;$D$1*-1,J290&lt;$D$1,G290/F290&gt;=3),"Very serious", AND(H290&gt;$D$1*-1,H290&lt;$D$1,OR(I290&lt;=$D$1*-1,J290&gt;=$D$1),I290&gt;$D$2*-1,J290&lt;$D$2,G290/F290&gt;=3),"Very serious", AND(H290&gt;$D$1*-1,H290&lt;$D$1,OR(I290&lt;=$D$2*-1,J290&gt;=$D$2),G290/F290&gt;=3),"Very serious")),"")</f>
        <v/>
      </c>
      <c r="R290" s="109" t="str">
        <f t="shared" si="47"/>
        <v/>
      </c>
      <c r="S290" s="64"/>
      <c r="T290" s="72"/>
      <c r="U290" s="72"/>
      <c r="V290" s="72"/>
      <c r="W290" s="73"/>
      <c r="X290" s="73"/>
      <c r="Y290" s="74"/>
      <c r="Z290" s="113" t="str">
        <f t="array" ref="Z290">INDEX($A$1:$C$500, MATCH(1,($B:$B=$B290)*($C:$C=$AB290),0),1)</f>
        <v/>
      </c>
      <c r="AA290" s="113" t="str">
        <f t="array" ref="AA290">INDEX($A$1:$C$500, MATCH(1,($B:$B=$AB290)*($C:$C=$B290),0),1)</f>
        <v/>
      </c>
      <c r="AB290" s="111"/>
      <c r="AC290" s="114" t="str">
        <f t="shared" si="2"/>
        <v/>
      </c>
      <c r="AD290" s="115" t="str">
        <f t="shared" si="3"/>
        <v/>
      </c>
      <c r="AE290" s="116" t="str">
        <f t="array" ref="AE290">INDEX($A$1:$C$500, MATCH(1,($B:$B=$AB290)*($C:$C=$AG290),0),1)</f>
        <v/>
      </c>
      <c r="AF290" s="116" t="str">
        <f t="array" ref="AF290">INDEX($A$1:$C$500, MATCH(1,($B:$B=$AG290)*($C:$C=$AB290),0),1)</f>
        <v/>
      </c>
      <c r="AG290" s="72"/>
      <c r="AH290" s="114" t="str">
        <f t="shared" si="4"/>
        <v/>
      </c>
      <c r="AI290" s="115" t="str">
        <f t="shared" si="5"/>
        <v/>
      </c>
      <c r="AJ290" s="116" t="str">
        <f t="array" ref="AJ290">INDEX($A$1:$C$500, MATCH(1,($B:$B=$C290)*($C:$C=$AG290),0),1)</f>
        <v/>
      </c>
      <c r="AK290" s="116" t="str">
        <f t="array" ref="AK290">INDEX($A$1:$C$500, MATCH(1,($B:$B=$AG290)*($C:$C=$C290),0),1)</f>
        <v/>
      </c>
      <c r="AL290" s="116" t="str">
        <f t="array" ref="AL290">INDEX($A$1:$C$500, MATCH(1,($B:$B=$C290)*($C:$C=$AB290),0),1)</f>
        <v/>
      </c>
      <c r="AM290" s="116" t="str">
        <f t="array" ref="AM290">INDEX($A$1:$C$500, MATCH(1,($B:$B=$AB290)*($C:$C=$C290),0),1)</f>
        <v/>
      </c>
      <c r="AN290" s="114" t="str">
        <f t="array" ref="AN290">IFS(ISNUMBER(AJ290),AJ290,ISNUMBER(AK290),AK290,ISNUMBER(AL290),AL290,ISNUMBER(AM290),AM290)</f>
        <v>#N/A</v>
      </c>
      <c r="AO290" s="115" t="str">
        <f t="shared" si="6"/>
        <v/>
      </c>
      <c r="AP290" s="115" t="str">
        <f t="shared" si="7"/>
        <v/>
      </c>
      <c r="AQ290" s="111"/>
      <c r="AR290" s="109" t="str">
        <f t="shared" si="8"/>
        <v/>
      </c>
      <c r="AS290" s="72" t="str">
        <f>IFERROR(IF(AND(Preferences!B$3="Manual",OR(AX290/AW290&gt;V290/U290,BD290="Serious",BD290="Very serious")),"Assess imprecision",IFERROR(IFS(AND(Preferences!B$3="Automatic",V290/U290&gt;=30),"Extremely serious",AND(W290&lt;=$D$1*-1,Y290&lt;0,V290/U290&lt;3),"Not Serious",AND(W290&lt;=$D$1*-1,Y290&lt;0,V290/U290&gt;=3),"Very serious",AND(W290&gt;=$D$1,X290&gt;0,V290/U290&lt;3),"Not Serious",AND(W290&gt;=$D$1,X290&gt;0,V290/U290&gt;=3),"Very serious",AND(W290&lt;=$D$1*-1,Y290&gt;0,X290&gt;$D$2*-1,V290/U290&lt;3),"Serious", AND(W290&lt;=$D$1*-1,Y290&gt;0,X290&lt;$D$2*-1,V290/U290&lt;3),"Very serious", AND(W290&gt;=$D$1,X290&lt;0,Y290&lt;$D$2,V290/U290&lt;3),"Serious",AND(W290&gt;=$D$1,X290&lt;0,Y290&gt;$D$2,V290/U290&lt;3),"Very serious", AND(W290&lt;=$D$1*-1,Y290&gt;0,X290&gt;$D$2*-1,V290/U290&gt;=3),"Very serious", AND(W290&lt;=$D$1*-1,Y290&gt;0,X290&lt;$D$2*-1,V290/U290&gt;=3),"Very serious", AND(W290&gt;=$D$1,X290&lt;0,Y290&lt;$D$2,V290/U290&gt;=3),"Very serious", AND(W290&gt;=$D$1,X290&lt;0,Y290&gt;$D$2,V290/U290&gt;=3),"Very serious", AND(W290&gt;$D$1*-1,W290&lt;$D$1,X290&gt;$D$1*-1,Y290&lt;$D$1,V290/U290&lt;3),"Not Serious", AND(W290&gt;$D$1*-1,W290&lt;$D$1,OR(X290&lt;=$D$1*-1,Y290&gt;=$D$1),X290&gt;$D$2*-1,Y290&lt;$D$2,V290/U290&lt;3),"Serious", AND(W290&gt;$D$1*-1,W290&lt;$D$1,OR(X290&lt;=$D$2*-1,Y290&gt;=$D$2),V290/U290&lt;3),"Very serious", AND(W290&gt;$D$1*-1,W290&lt;$D$1,X290&gt;$D$1*-1,Y290&lt;$D$1,V290/U290&gt;=3),"Very serious", AND(W290&gt;$D$1*-1,W290&lt;$D$1,OR(X290&lt;=$D$1*-1,Y290&gt;=$D$1),X290&gt;$D$2*-1,Y290&lt;$D$2,V290/U290&gt;=3),"Very serious", AND(W290&gt;$D$1*-1,W290&lt;$D$1,OR(X290&lt;=$D$2*-1,Y290&gt;=$D$2),V290/U290&gt;=3),"Very serious"),"")),"")</f>
        <v/>
      </c>
      <c r="AT290" s="109" t="str">
        <f t="shared" si="9"/>
        <v/>
      </c>
      <c r="AU290" s="64"/>
      <c r="AV290" s="83"/>
      <c r="AW290" s="83"/>
      <c r="AX290" s="83"/>
      <c r="AY290" s="83"/>
      <c r="AZ290" s="83"/>
      <c r="BA290" s="85"/>
      <c r="BB290" s="86" t="str">
        <f>IF(Preferences!B$9="Manual","",IFS(ISBLANK(B290),"",AND(ISNUMBER(E290)=TRUE,ISNUMBER(T290)=FALSE),"Direct", AND(ISNUMBER(E290)=FALSE,ISNUMBER(T290)=TRUE),"Indirect", CN290=4,"Direct",AND(CL290=FALSE, CM290=TRUE,CN290-CO290&gt;-1),"Direct", AND(CL290=FALSE,CM290=TRUE, CN290-CO290&lt;0),"Check algorithm in appendix 2", AND(CL290=TRUE, CM290=FALSE,CN290-CO290&gt;0),"Check algorithm in appendix 2", AND(CL290=TRUE, CM290=FALSE,CN290-CO290=0),"Indirect", AND(CL290=TRUE, CM290=FALSE,CN290-CO290&lt;0),"Indirect", AND(CL290=FALSE,CM290=FALSE,CN290-CO290&gt;-1),"Direct", AND(CL290=FALSE,CM290=FALSE,CN290-CO290&lt;0),"Check algorithm in appendix 2", AND(CL290=TRUE,CM290=TRUE,CN290-CO290&gt;-1),"Direct", AND(CL290=TRUE,CM290=TRUE,CN290-CO290&lt;0),"Check algorithm in appendix 2"))</f>
        <v/>
      </c>
      <c r="BC290" s="120" t="str">
        <f t="shared" si="10"/>
        <v/>
      </c>
      <c r="BD290" s="140"/>
      <c r="BE290" s="122" t="str">
        <f>IF(Preferences!B$3="Manual","", IFERROR(IFS(AND(Preferences!B$3="Automatic",AX290/AW290&gt;=30),"Extremely serious",AND(AY290&lt;=$D$1*-1,BA290&lt;0,AX290/AW290&lt;3),"Not Serious",AND(AY290&lt;=$D$1*-1,BA290&lt;0,AX290/AW290&gt;=3),"Very serious",AND(AY290&gt;=$D$1,AZ290&gt;0,AX290/AW290&lt;3),"Not Serious",AND(AY290&gt;=$D$1,AZ290&gt;0,AX290/AW290&gt;=3),"Very serious",AND(AY290&lt;=$D$1*-1,BA290&gt;0,AZ290&gt;$D$2*-1,AX290/AW290&lt;3),"Serious", AND(AY290&lt;=$D$1*-1,BA290&gt;0,AZ290&lt;$D$2*-1,AX290/AW290&lt;3),"Very serious", AND(AY290&gt;=$D$1,AZ290&lt;0,BA290&lt;$D$2,AX290/AW290&lt;3),"Serious",AND(AY290&gt;=$D$1,AZ290&lt;0,BA290&gt;$D$2,AX290/AW290&lt;3),"Very serious", AND(AY290&lt;=$D$1*-1,BA290&gt;0,AZ290&gt;$D$2*-1,AX290/AW290&gt;=3),"Very serious", AND(AY290&lt;=$D$1*-1,BA290&gt;0,AZ290&lt;$D$2*-1,AX290/AW290&gt;=3),"Very serious", AND(AY290&gt;=$D$1,AZ290&lt;0,BA290&lt;$D$2,AX290/AW290&gt;=3),"Very serious", AND(AY290&gt;=$D$1,AZ290&lt;0,BA290&gt;$D$2,AX290/AW290&gt;=3),"Very serious", AND(AY290&gt;$D$1*-1,AY290&lt;$D$1,AZ290&gt;$D$1*-1,BA290&lt;$D$1,AX290/AW290&lt;3),"Not Serious", AND(AY290&gt;$D$1*-1,AY290&lt;$D$1,OR(AZ290&lt;=$D$1*-1,BA290&gt;=$D$1),AZ290&gt;$D$2*-1,BA290&lt;$D$2,AX290/AW290&lt;3),"Serious", AND(AY290&gt;$D$1*-1,AY290&lt;$D$1,OR(AZ290&lt;=$D$2*-1,BA290&gt;=$D$2),AX290/AW290&lt;3),"Very serious", AND(AY290&gt;$D$1*-1,AY290&lt;$D$1,AZ290&gt;$D$1*-1,BA290&lt;$D$1,AX290/AW290&gt;=3),"Very serious", AND(AY290&gt;$D$1*-1,AY290&lt;$D$1,OR(AZ290&lt;=$D$1*-1,BA290&gt;=$D$1),AZ290&gt;$D$2*-1,BA290&lt;$D$2,AX290/AW290&gt;=3),"Very serious", AND(AY290&gt;$D$1*-1,AY290&lt;$D$1,OR(AZ290&lt;=$D$2*-1,BA290&gt;=$D$2),AX290/AW290&gt;=3),"Very serious"),""))</f>
        <v/>
      </c>
      <c r="BF290" s="107" t="str">
        <f t="shared" si="11"/>
        <v/>
      </c>
      <c r="BG290" s="94" t="str">
        <f t="shared" si="46"/>
        <v/>
      </c>
      <c r="BH290" s="64" t="str">
        <f t="shared" si="12"/>
        <v>#N/A</v>
      </c>
      <c r="BI290" s="64" t="str">
        <f t="shared" si="13"/>
        <v/>
      </c>
      <c r="BJ290" s="123" t="str">
        <f t="shared" si="14"/>
        <v>#N/A</v>
      </c>
      <c r="BK290" s="64" t="str">
        <f t="shared" si="50"/>
        <v>YES</v>
      </c>
      <c r="BL290" s="64" t="str">
        <f t="shared" si="16"/>
        <v>YES</v>
      </c>
      <c r="BM290" s="64" t="str">
        <f t="shared" si="17"/>
        <v>YES</v>
      </c>
      <c r="BN290" s="124" t="str">
        <f t="shared" si="18"/>
        <v/>
      </c>
      <c r="BO290" s="91" t="str">
        <f t="shared" si="19"/>
        <v/>
      </c>
      <c r="BP290" s="91" t="str">
        <f t="shared" si="20"/>
        <v>#N/A</v>
      </c>
      <c r="BQ290" s="91" t="str">
        <f t="shared" si="21"/>
        <v/>
      </c>
      <c r="BR290" s="93" t="str">
        <f t="shared" si="22"/>
        <v/>
      </c>
      <c r="BS290" s="90" t="str">
        <f t="shared" si="23"/>
        <v/>
      </c>
      <c r="BT290" s="93" t="str">
        <f t="shared" si="24"/>
        <v>NA</v>
      </c>
      <c r="BU290" s="125" t="str">
        <f t="shared" si="25"/>
        <v>#N/A</v>
      </c>
      <c r="BV290" s="93" t="str">
        <f t="shared" si="26"/>
        <v/>
      </c>
      <c r="BW290" s="93" t="str">
        <f t="shared" si="27"/>
        <v/>
      </c>
      <c r="BX290" s="93" t="str">
        <f t="shared" si="28"/>
        <v>NA</v>
      </c>
      <c r="BY290" s="95" t="str">
        <f t="shared" si="29"/>
        <v>#N/A</v>
      </c>
      <c r="BZ290" s="93" t="str">
        <f t="shared" si="30"/>
        <v/>
      </c>
      <c r="CA290" s="93" t="str">
        <f t="shared" si="31"/>
        <v/>
      </c>
      <c r="CB290" s="93" t="str">
        <f t="shared" si="32"/>
        <v>NA</v>
      </c>
      <c r="CC290" s="96" t="str">
        <f t="shared" si="33"/>
        <v>#N/A</v>
      </c>
      <c r="CD290" s="93" t="str">
        <f t="shared" si="34"/>
        <v/>
      </c>
      <c r="CE290" s="93" t="str">
        <f t="shared" si="35"/>
        <v/>
      </c>
      <c r="CF290" s="93" t="str">
        <f t="shared" si="36"/>
        <v>NA</v>
      </c>
      <c r="CG290" s="97" t="str">
        <f t="shared" si="37"/>
        <v>#N/A</v>
      </c>
      <c r="CH290" s="98" t="str">
        <f t="shared" si="38"/>
        <v>#N/A</v>
      </c>
      <c r="CI290" s="99" t="str">
        <f t="shared" si="39"/>
        <v>#N/A</v>
      </c>
      <c r="CJ290" s="126" t="str">
        <f t="shared" si="40"/>
        <v>ERROR: check cell</v>
      </c>
      <c r="CK290" s="126"/>
      <c r="CL290" s="127" t="str">
        <f t="shared" si="41"/>
        <v>#DIV/0!</v>
      </c>
      <c r="CM290" s="128" t="str">
        <f t="shared" si="42"/>
        <v>#DIV/0!</v>
      </c>
      <c r="CN290" s="128">
        <f t="shared" si="43"/>
        <v>4</v>
      </c>
      <c r="CO290" s="129">
        <f t="shared" si="44"/>
        <v>4</v>
      </c>
      <c r="CP290" s="129" t="str">
        <f>IFS(C290=Preferences!B$13,B290,B290=Preferences!B$13,C290)</f>
        <v>#N/A</v>
      </c>
    </row>
    <row r="291" ht="13.5" customHeight="1">
      <c r="A291" s="63" t="str">
        <f t="shared" si="45"/>
        <v/>
      </c>
      <c r="B291" s="64"/>
      <c r="C291" s="64"/>
      <c r="D291" s="64"/>
      <c r="E291" s="65"/>
      <c r="F291" s="65"/>
      <c r="G291" s="65"/>
      <c r="H291" s="66"/>
      <c r="I291" s="66"/>
      <c r="J291" s="67"/>
      <c r="K291" s="68"/>
      <c r="L291" s="104"/>
      <c r="M291" s="104"/>
      <c r="N291" s="104"/>
      <c r="O291" s="104"/>
      <c r="P291" s="107" t="str">
        <f t="shared" si="1"/>
        <v/>
      </c>
      <c r="Q291" s="108" t="str">
        <f>IFERROR(IF(AND(Preferences!B$3="Manual",OR(AX291/AW291&gt;G291/F291,BD291="Serious",BD291="Very serious")),"Assess imprecision",IFS(ISBLANK(E291),"",AND(Preferences!B$3="Automatic", G291/F291&gt;=30),"Extremely serious",AND(H291&lt;=$D$1*-1,J291&lt;0,G291/F291&lt;3),"Not serious",AND(H291&lt;=$D$1*-1,J291&lt;0,G291/F291&gt;=3),"Very serious",AND(H291&gt;=$D$1,I291&gt;0,G291/F291&lt;3),"Not serious",AND(H291&gt;=$D$1,I291&gt;0,G291/F291&gt;=3),"Very serious",AND(H291&lt;=$D$1*-1,J291&gt;0,I291&gt;$D$2*-1,G291/F291&lt;3),"Serious", AND(H291&lt;=$D$1*-1,J291&gt;0,I291&lt;$D$2*-1,G291/F291&lt;3),"Very serious", AND(H291&gt;=$D$1,I291&lt;0,J291&lt;$D$2,G291/F291&lt;3),"Serious",AND(H291&gt;=$D$1,I291&lt;0,J291&gt;$D$2,G291/F291&lt;3),"Very serious", AND(H291&lt;=$D$1*-1,J291&gt;0,I291&gt;$D$2*-1,G291/F291&gt;=3),"Very serious", AND(H291&lt;=$D$1*-1,J291&gt;0,I291&lt;$D$2*-1,G291/F291&gt;=3),"Very serious", AND(H291&gt;=$D$1,I291&lt;0,J291&lt;$D$2,G291/F291&gt;=3),"Very serious", AND(H291&gt;=$D$1,I291&lt;0,J291&gt;$D$2,G291/F291&gt;=3),"Very serious", AND(H291&gt;$D$1*-1,H291&lt;$D$1,I291&gt;$D$1*-1,J291&lt;$D$1,G291/F291&lt;3),"Not serious", AND(H291&gt;$D$1*-1,H291&lt;$D$1,OR(I291&lt;=$D$1*-1,J291&gt;=$D$1),I291&gt;$D$2*-1,J291&lt;$D$2,G291/F291&lt;3),"Serious", AND(H291&gt;$D$1*-1,H291&lt;$D$1,OR(I291&lt;=$D$2*-1,J291&gt;=$D$2),G291/F291&lt;3),"Very serious", AND(H291&gt;$D$1*-1,H291&lt;$D$1,I291&gt;$D$1*-1,J291&lt;$D$1,G291/F291&gt;=3),"Very serious", AND(H291&gt;$D$1*-1,H291&lt;$D$1,OR(I291&lt;=$D$1*-1,J291&gt;=$D$1),I291&gt;$D$2*-1,J291&lt;$D$2,G291/F291&gt;=3),"Very serious", AND(H291&gt;$D$1*-1,H291&lt;$D$1,OR(I291&lt;=$D$2*-1,J291&gt;=$D$2),G291/F291&gt;=3),"Very serious")),"")</f>
        <v/>
      </c>
      <c r="R291" s="109" t="str">
        <f t="shared" si="47"/>
        <v/>
      </c>
      <c r="S291" s="64"/>
      <c r="T291" s="72"/>
      <c r="U291" s="72"/>
      <c r="V291" s="72"/>
      <c r="W291" s="73"/>
      <c r="X291" s="73"/>
      <c r="Y291" s="74"/>
      <c r="Z291" s="113" t="str">
        <f t="array" ref="Z291">INDEX($A$1:$C$500, MATCH(1,($B:$B=$B291)*($C:$C=$AB291),0),1)</f>
        <v/>
      </c>
      <c r="AA291" s="113" t="str">
        <f t="array" ref="AA291">INDEX($A$1:$C$500, MATCH(1,($B:$B=$AB291)*($C:$C=$B291),0),1)</f>
        <v/>
      </c>
      <c r="AB291" s="111"/>
      <c r="AC291" s="114" t="str">
        <f t="shared" si="2"/>
        <v/>
      </c>
      <c r="AD291" s="115" t="str">
        <f t="shared" si="3"/>
        <v/>
      </c>
      <c r="AE291" s="116" t="str">
        <f t="array" ref="AE291">INDEX($A$1:$C$500, MATCH(1,($B:$B=$AB291)*($C:$C=$AG291),0),1)</f>
        <v/>
      </c>
      <c r="AF291" s="116" t="str">
        <f t="array" ref="AF291">INDEX($A$1:$C$500, MATCH(1,($B:$B=$AG291)*($C:$C=$AB291),0),1)</f>
        <v/>
      </c>
      <c r="AG291" s="72"/>
      <c r="AH291" s="114" t="str">
        <f t="shared" si="4"/>
        <v/>
      </c>
      <c r="AI291" s="115" t="str">
        <f t="shared" si="5"/>
        <v/>
      </c>
      <c r="AJ291" s="116" t="str">
        <f t="array" ref="AJ291">INDEX($A$1:$C$500, MATCH(1,($B:$B=$C291)*($C:$C=$AG291),0),1)</f>
        <v/>
      </c>
      <c r="AK291" s="116" t="str">
        <f t="array" ref="AK291">INDEX($A$1:$C$500, MATCH(1,($B:$B=$AG291)*($C:$C=$C291),0),1)</f>
        <v/>
      </c>
      <c r="AL291" s="116" t="str">
        <f t="array" ref="AL291">INDEX($A$1:$C$500, MATCH(1,($B:$B=$C291)*($C:$C=$AB291),0),1)</f>
        <v/>
      </c>
      <c r="AM291" s="116" t="str">
        <f t="array" ref="AM291">INDEX($A$1:$C$500, MATCH(1,($B:$B=$AB291)*($C:$C=$C291),0),1)</f>
        <v/>
      </c>
      <c r="AN291" s="114" t="str">
        <f t="array" ref="AN291">IFS(ISNUMBER(AJ291),AJ291,ISNUMBER(AK291),AK291,ISNUMBER(AL291),AL291,ISNUMBER(AM291),AM291)</f>
        <v>#N/A</v>
      </c>
      <c r="AO291" s="115" t="str">
        <f t="shared" si="6"/>
        <v/>
      </c>
      <c r="AP291" s="115" t="str">
        <f t="shared" si="7"/>
        <v/>
      </c>
      <c r="AQ291" s="111"/>
      <c r="AR291" s="109" t="str">
        <f t="shared" si="8"/>
        <v/>
      </c>
      <c r="AS291" s="72" t="str">
        <f>IFERROR(IF(AND(Preferences!B$3="Manual",OR(AX291/AW291&gt;V291/U291,BD291="Serious",BD291="Very serious")),"Assess imprecision",IFERROR(IFS(AND(Preferences!B$3="Automatic",V291/U291&gt;=30),"Extremely serious",AND(W291&lt;=$D$1*-1,Y291&lt;0,V291/U291&lt;3),"Not Serious",AND(W291&lt;=$D$1*-1,Y291&lt;0,V291/U291&gt;=3),"Very serious",AND(W291&gt;=$D$1,X291&gt;0,V291/U291&lt;3),"Not Serious",AND(W291&gt;=$D$1,X291&gt;0,V291/U291&gt;=3),"Very serious",AND(W291&lt;=$D$1*-1,Y291&gt;0,X291&gt;$D$2*-1,V291/U291&lt;3),"Serious", AND(W291&lt;=$D$1*-1,Y291&gt;0,X291&lt;$D$2*-1,V291/U291&lt;3),"Very serious", AND(W291&gt;=$D$1,X291&lt;0,Y291&lt;$D$2,V291/U291&lt;3),"Serious",AND(W291&gt;=$D$1,X291&lt;0,Y291&gt;$D$2,V291/U291&lt;3),"Very serious", AND(W291&lt;=$D$1*-1,Y291&gt;0,X291&gt;$D$2*-1,V291/U291&gt;=3),"Very serious", AND(W291&lt;=$D$1*-1,Y291&gt;0,X291&lt;$D$2*-1,V291/U291&gt;=3),"Very serious", AND(W291&gt;=$D$1,X291&lt;0,Y291&lt;$D$2,V291/U291&gt;=3),"Very serious", AND(W291&gt;=$D$1,X291&lt;0,Y291&gt;$D$2,V291/U291&gt;=3),"Very serious", AND(W291&gt;$D$1*-1,W291&lt;$D$1,X291&gt;$D$1*-1,Y291&lt;$D$1,V291/U291&lt;3),"Not Serious", AND(W291&gt;$D$1*-1,W291&lt;$D$1,OR(X291&lt;=$D$1*-1,Y291&gt;=$D$1),X291&gt;$D$2*-1,Y291&lt;$D$2,V291/U291&lt;3),"Serious", AND(W291&gt;$D$1*-1,W291&lt;$D$1,OR(X291&lt;=$D$2*-1,Y291&gt;=$D$2),V291/U291&lt;3),"Very serious", AND(W291&gt;$D$1*-1,W291&lt;$D$1,X291&gt;$D$1*-1,Y291&lt;$D$1,V291/U291&gt;=3),"Very serious", AND(W291&gt;$D$1*-1,W291&lt;$D$1,OR(X291&lt;=$D$1*-1,Y291&gt;=$D$1),X291&gt;$D$2*-1,Y291&lt;$D$2,V291/U291&gt;=3),"Very serious", AND(W291&gt;$D$1*-1,W291&lt;$D$1,OR(X291&lt;=$D$2*-1,Y291&gt;=$D$2),V291/U291&gt;=3),"Very serious"),"")),"")</f>
        <v/>
      </c>
      <c r="AT291" s="109" t="str">
        <f t="shared" si="9"/>
        <v/>
      </c>
      <c r="AU291" s="64"/>
      <c r="AV291" s="83"/>
      <c r="AW291" s="83"/>
      <c r="AX291" s="83"/>
      <c r="AY291" s="83"/>
      <c r="AZ291" s="83"/>
      <c r="BA291" s="85"/>
      <c r="BB291" s="86" t="str">
        <f>IF(Preferences!B$9="Manual","",IFS(ISBLANK(B291),"",AND(ISNUMBER(E291)=TRUE,ISNUMBER(T291)=FALSE),"Direct", AND(ISNUMBER(E291)=FALSE,ISNUMBER(T291)=TRUE),"Indirect", CN291=4,"Direct",AND(CL291=FALSE, CM291=TRUE,CN291-CO291&gt;-1),"Direct", AND(CL291=FALSE,CM291=TRUE, CN291-CO291&lt;0),"Check algorithm in appendix 2", AND(CL291=TRUE, CM291=FALSE,CN291-CO291&gt;0),"Check algorithm in appendix 2", AND(CL291=TRUE, CM291=FALSE,CN291-CO291=0),"Indirect", AND(CL291=TRUE, CM291=FALSE,CN291-CO291&lt;0),"Indirect", AND(CL291=FALSE,CM291=FALSE,CN291-CO291&gt;-1),"Direct", AND(CL291=FALSE,CM291=FALSE,CN291-CO291&lt;0),"Check algorithm in appendix 2", AND(CL291=TRUE,CM291=TRUE,CN291-CO291&gt;-1),"Direct", AND(CL291=TRUE,CM291=TRUE,CN291-CO291&lt;0),"Check algorithm in appendix 2"))</f>
        <v/>
      </c>
      <c r="BC291" s="120" t="str">
        <f t="shared" si="10"/>
        <v/>
      </c>
      <c r="BD291" s="140"/>
      <c r="BE291" s="122" t="str">
        <f>IF(Preferences!B$3="Manual","", IFERROR(IFS(AND(Preferences!B$3="Automatic",AX291/AW291&gt;=30),"Extremely serious",AND(AY291&lt;=$D$1*-1,BA291&lt;0,AX291/AW291&lt;3),"Not Serious",AND(AY291&lt;=$D$1*-1,BA291&lt;0,AX291/AW291&gt;=3),"Very serious",AND(AY291&gt;=$D$1,AZ291&gt;0,AX291/AW291&lt;3),"Not Serious",AND(AY291&gt;=$D$1,AZ291&gt;0,AX291/AW291&gt;=3),"Very serious",AND(AY291&lt;=$D$1*-1,BA291&gt;0,AZ291&gt;$D$2*-1,AX291/AW291&lt;3),"Serious", AND(AY291&lt;=$D$1*-1,BA291&gt;0,AZ291&lt;$D$2*-1,AX291/AW291&lt;3),"Very serious", AND(AY291&gt;=$D$1,AZ291&lt;0,BA291&lt;$D$2,AX291/AW291&lt;3),"Serious",AND(AY291&gt;=$D$1,AZ291&lt;0,BA291&gt;$D$2,AX291/AW291&lt;3),"Very serious", AND(AY291&lt;=$D$1*-1,BA291&gt;0,AZ291&gt;$D$2*-1,AX291/AW291&gt;=3),"Very serious", AND(AY291&lt;=$D$1*-1,BA291&gt;0,AZ291&lt;$D$2*-1,AX291/AW291&gt;=3),"Very serious", AND(AY291&gt;=$D$1,AZ291&lt;0,BA291&lt;$D$2,AX291/AW291&gt;=3),"Very serious", AND(AY291&gt;=$D$1,AZ291&lt;0,BA291&gt;$D$2,AX291/AW291&gt;=3),"Very serious", AND(AY291&gt;$D$1*-1,AY291&lt;$D$1,AZ291&gt;$D$1*-1,BA291&lt;$D$1,AX291/AW291&lt;3),"Not Serious", AND(AY291&gt;$D$1*-1,AY291&lt;$D$1,OR(AZ291&lt;=$D$1*-1,BA291&gt;=$D$1),AZ291&gt;$D$2*-1,BA291&lt;$D$2,AX291/AW291&lt;3),"Serious", AND(AY291&gt;$D$1*-1,AY291&lt;$D$1,OR(AZ291&lt;=$D$2*-1,BA291&gt;=$D$2),AX291/AW291&lt;3),"Very serious", AND(AY291&gt;$D$1*-1,AY291&lt;$D$1,AZ291&gt;$D$1*-1,BA291&lt;$D$1,AX291/AW291&gt;=3),"Very serious", AND(AY291&gt;$D$1*-1,AY291&lt;$D$1,OR(AZ291&lt;=$D$1*-1,BA291&gt;=$D$1),AZ291&gt;$D$2*-1,BA291&lt;$D$2,AX291/AW291&gt;=3),"Very serious", AND(AY291&gt;$D$1*-1,AY291&lt;$D$1,OR(AZ291&lt;=$D$2*-1,BA291&gt;=$D$2),AX291/AW291&gt;=3),"Very serious"),""))</f>
        <v/>
      </c>
      <c r="BF291" s="107" t="str">
        <f t="shared" si="11"/>
        <v/>
      </c>
      <c r="BG291" s="94" t="str">
        <f t="shared" si="46"/>
        <v/>
      </c>
      <c r="BH291" s="64" t="str">
        <f t="shared" si="12"/>
        <v>#N/A</v>
      </c>
      <c r="BI291" s="64" t="str">
        <f t="shared" si="13"/>
        <v/>
      </c>
      <c r="BJ291" s="123" t="str">
        <f t="shared" si="14"/>
        <v>#N/A</v>
      </c>
      <c r="BK291" s="64" t="str">
        <f t="shared" si="50"/>
        <v>YES</v>
      </c>
      <c r="BL291" s="64" t="str">
        <f t="shared" si="16"/>
        <v>YES</v>
      </c>
      <c r="BM291" s="64" t="str">
        <f t="shared" si="17"/>
        <v>YES</v>
      </c>
      <c r="BN291" s="124" t="str">
        <f t="shared" si="18"/>
        <v/>
      </c>
      <c r="BO291" s="91" t="str">
        <f t="shared" si="19"/>
        <v/>
      </c>
      <c r="BP291" s="91" t="str">
        <f t="shared" si="20"/>
        <v>#N/A</v>
      </c>
      <c r="BQ291" s="91" t="str">
        <f t="shared" si="21"/>
        <v/>
      </c>
      <c r="BR291" s="93" t="str">
        <f t="shared" si="22"/>
        <v/>
      </c>
      <c r="BS291" s="90" t="str">
        <f t="shared" si="23"/>
        <v/>
      </c>
      <c r="BT291" s="93" t="str">
        <f t="shared" si="24"/>
        <v>NA</v>
      </c>
      <c r="BU291" s="125" t="str">
        <f t="shared" si="25"/>
        <v>#N/A</v>
      </c>
      <c r="BV291" s="93" t="str">
        <f t="shared" si="26"/>
        <v/>
      </c>
      <c r="BW291" s="93" t="str">
        <f t="shared" si="27"/>
        <v/>
      </c>
      <c r="BX291" s="93" t="str">
        <f t="shared" si="28"/>
        <v>NA</v>
      </c>
      <c r="BY291" s="95" t="str">
        <f t="shared" si="29"/>
        <v>#N/A</v>
      </c>
      <c r="BZ291" s="93" t="str">
        <f t="shared" si="30"/>
        <v/>
      </c>
      <c r="CA291" s="93" t="str">
        <f t="shared" si="31"/>
        <v/>
      </c>
      <c r="CB291" s="93" t="str">
        <f t="shared" si="32"/>
        <v>NA</v>
      </c>
      <c r="CC291" s="96" t="str">
        <f t="shared" si="33"/>
        <v>#N/A</v>
      </c>
      <c r="CD291" s="93" t="str">
        <f t="shared" si="34"/>
        <v/>
      </c>
      <c r="CE291" s="93" t="str">
        <f t="shared" si="35"/>
        <v/>
      </c>
      <c r="CF291" s="93" t="str">
        <f t="shared" si="36"/>
        <v>NA</v>
      </c>
      <c r="CG291" s="97" t="str">
        <f t="shared" si="37"/>
        <v>#N/A</v>
      </c>
      <c r="CH291" s="98" t="str">
        <f t="shared" si="38"/>
        <v>#N/A</v>
      </c>
      <c r="CI291" s="99" t="str">
        <f t="shared" si="39"/>
        <v>#N/A</v>
      </c>
      <c r="CJ291" s="126" t="str">
        <f t="shared" si="40"/>
        <v>ERROR: check cell</v>
      </c>
      <c r="CK291" s="126"/>
      <c r="CL291" s="127" t="str">
        <f t="shared" si="41"/>
        <v>#DIV/0!</v>
      </c>
      <c r="CM291" s="128" t="str">
        <f t="shared" si="42"/>
        <v>#DIV/0!</v>
      </c>
      <c r="CN291" s="128">
        <f t="shared" si="43"/>
        <v>4</v>
      </c>
      <c r="CO291" s="129">
        <f t="shared" si="44"/>
        <v>4</v>
      </c>
      <c r="CP291" s="129" t="str">
        <f>IFS(C291=Preferences!B$13,B291,B291=Preferences!B$13,C291)</f>
        <v>#N/A</v>
      </c>
    </row>
    <row r="292" ht="13.5" customHeight="1">
      <c r="A292" s="63" t="str">
        <f t="shared" si="45"/>
        <v/>
      </c>
      <c r="B292" s="64"/>
      <c r="C292" s="64"/>
      <c r="D292" s="64"/>
      <c r="E292" s="65"/>
      <c r="F292" s="65"/>
      <c r="G292" s="65"/>
      <c r="H292" s="66"/>
      <c r="I292" s="66"/>
      <c r="J292" s="67"/>
      <c r="K292" s="68"/>
      <c r="L292" s="104"/>
      <c r="M292" s="104"/>
      <c r="N292" s="104"/>
      <c r="O292" s="104"/>
      <c r="P292" s="107" t="str">
        <f t="shared" si="1"/>
        <v/>
      </c>
      <c r="Q292" s="108" t="str">
        <f>IFERROR(IF(AND(Preferences!B$3="Manual",OR(AX292/AW292&gt;G292/F292,BD292="Serious",BD292="Very serious")),"Assess imprecision",IFS(ISBLANK(E292),"",AND(Preferences!B$3="Automatic", G292/F292&gt;=30),"Extremely serious",AND(H292&lt;=$D$1*-1,J292&lt;0,G292/F292&lt;3),"Not serious",AND(H292&lt;=$D$1*-1,J292&lt;0,G292/F292&gt;=3),"Very serious",AND(H292&gt;=$D$1,I292&gt;0,G292/F292&lt;3),"Not serious",AND(H292&gt;=$D$1,I292&gt;0,G292/F292&gt;=3),"Very serious",AND(H292&lt;=$D$1*-1,J292&gt;0,I292&gt;$D$2*-1,G292/F292&lt;3),"Serious", AND(H292&lt;=$D$1*-1,J292&gt;0,I292&lt;$D$2*-1,G292/F292&lt;3),"Very serious", AND(H292&gt;=$D$1,I292&lt;0,J292&lt;$D$2,G292/F292&lt;3),"Serious",AND(H292&gt;=$D$1,I292&lt;0,J292&gt;$D$2,G292/F292&lt;3),"Very serious", AND(H292&lt;=$D$1*-1,J292&gt;0,I292&gt;$D$2*-1,G292/F292&gt;=3),"Very serious", AND(H292&lt;=$D$1*-1,J292&gt;0,I292&lt;$D$2*-1,G292/F292&gt;=3),"Very serious", AND(H292&gt;=$D$1,I292&lt;0,J292&lt;$D$2,G292/F292&gt;=3),"Very serious", AND(H292&gt;=$D$1,I292&lt;0,J292&gt;$D$2,G292/F292&gt;=3),"Very serious", AND(H292&gt;$D$1*-1,H292&lt;$D$1,I292&gt;$D$1*-1,J292&lt;$D$1,G292/F292&lt;3),"Not serious", AND(H292&gt;$D$1*-1,H292&lt;$D$1,OR(I292&lt;=$D$1*-1,J292&gt;=$D$1),I292&gt;$D$2*-1,J292&lt;$D$2,G292/F292&lt;3),"Serious", AND(H292&gt;$D$1*-1,H292&lt;$D$1,OR(I292&lt;=$D$2*-1,J292&gt;=$D$2),G292/F292&lt;3),"Very serious", AND(H292&gt;$D$1*-1,H292&lt;$D$1,I292&gt;$D$1*-1,J292&lt;$D$1,G292/F292&gt;=3),"Very serious", AND(H292&gt;$D$1*-1,H292&lt;$D$1,OR(I292&lt;=$D$1*-1,J292&gt;=$D$1),I292&gt;$D$2*-1,J292&lt;$D$2,G292/F292&gt;=3),"Very serious", AND(H292&gt;$D$1*-1,H292&lt;$D$1,OR(I292&lt;=$D$2*-1,J292&gt;=$D$2),G292/F292&gt;=3),"Very serious")),"")</f>
        <v/>
      </c>
      <c r="R292" s="109" t="str">
        <f t="shared" si="47"/>
        <v/>
      </c>
      <c r="S292" s="64"/>
      <c r="T292" s="72"/>
      <c r="U292" s="72"/>
      <c r="V292" s="72"/>
      <c r="W292" s="73"/>
      <c r="X292" s="73"/>
      <c r="Y292" s="74"/>
      <c r="Z292" s="113" t="str">
        <f t="array" ref="Z292">INDEX($A$1:$C$500, MATCH(1,($B:$B=$B292)*($C:$C=$AB292),0),1)</f>
        <v/>
      </c>
      <c r="AA292" s="113" t="str">
        <f t="array" ref="AA292">INDEX($A$1:$C$500, MATCH(1,($B:$B=$AB292)*($C:$C=$B292),0),1)</f>
        <v/>
      </c>
      <c r="AB292" s="111"/>
      <c r="AC292" s="114" t="str">
        <f t="shared" si="2"/>
        <v/>
      </c>
      <c r="AD292" s="115" t="str">
        <f t="shared" si="3"/>
        <v/>
      </c>
      <c r="AE292" s="116" t="str">
        <f t="array" ref="AE292">INDEX($A$1:$C$500, MATCH(1,($B:$B=$AB292)*($C:$C=$AG292),0),1)</f>
        <v/>
      </c>
      <c r="AF292" s="116" t="str">
        <f t="array" ref="AF292">INDEX($A$1:$C$500, MATCH(1,($B:$B=$AG292)*($C:$C=$AB292),0),1)</f>
        <v/>
      </c>
      <c r="AG292" s="72"/>
      <c r="AH292" s="114" t="str">
        <f t="shared" si="4"/>
        <v/>
      </c>
      <c r="AI292" s="115" t="str">
        <f t="shared" si="5"/>
        <v/>
      </c>
      <c r="AJ292" s="116" t="str">
        <f t="array" ref="AJ292">INDEX($A$1:$C$500, MATCH(1,($B:$B=$C292)*($C:$C=$AG292),0),1)</f>
        <v/>
      </c>
      <c r="AK292" s="116" t="str">
        <f t="array" ref="AK292">INDEX($A$1:$C$500, MATCH(1,($B:$B=$AG292)*($C:$C=$C292),0),1)</f>
        <v/>
      </c>
      <c r="AL292" s="116" t="str">
        <f t="array" ref="AL292">INDEX($A$1:$C$500, MATCH(1,($B:$B=$C292)*($C:$C=$AB292),0),1)</f>
        <v/>
      </c>
      <c r="AM292" s="116" t="str">
        <f t="array" ref="AM292">INDEX($A$1:$C$500, MATCH(1,($B:$B=$AB292)*($C:$C=$C292),0),1)</f>
        <v/>
      </c>
      <c r="AN292" s="114" t="str">
        <f t="array" ref="AN292">IFS(ISNUMBER(AJ292),AJ292,ISNUMBER(AK292),AK292,ISNUMBER(AL292),AL292,ISNUMBER(AM292),AM292)</f>
        <v>#N/A</v>
      </c>
      <c r="AO292" s="115" t="str">
        <f t="shared" si="6"/>
        <v/>
      </c>
      <c r="AP292" s="115" t="str">
        <f t="shared" si="7"/>
        <v/>
      </c>
      <c r="AQ292" s="111"/>
      <c r="AR292" s="109" t="str">
        <f t="shared" si="8"/>
        <v/>
      </c>
      <c r="AS292" s="72" t="str">
        <f>IFERROR(IF(AND(Preferences!B$3="Manual",OR(AX292/AW292&gt;V292/U292,BD292="Serious",BD292="Very serious")),"Assess imprecision",IFERROR(IFS(AND(Preferences!B$3="Automatic",V292/U292&gt;=30),"Extremely serious",AND(W292&lt;=$D$1*-1,Y292&lt;0,V292/U292&lt;3),"Not Serious",AND(W292&lt;=$D$1*-1,Y292&lt;0,V292/U292&gt;=3),"Very serious",AND(W292&gt;=$D$1,X292&gt;0,V292/U292&lt;3),"Not Serious",AND(W292&gt;=$D$1,X292&gt;0,V292/U292&gt;=3),"Very serious",AND(W292&lt;=$D$1*-1,Y292&gt;0,X292&gt;$D$2*-1,V292/U292&lt;3),"Serious", AND(W292&lt;=$D$1*-1,Y292&gt;0,X292&lt;$D$2*-1,V292/U292&lt;3),"Very serious", AND(W292&gt;=$D$1,X292&lt;0,Y292&lt;$D$2,V292/U292&lt;3),"Serious",AND(W292&gt;=$D$1,X292&lt;0,Y292&gt;$D$2,V292/U292&lt;3),"Very serious", AND(W292&lt;=$D$1*-1,Y292&gt;0,X292&gt;$D$2*-1,V292/U292&gt;=3),"Very serious", AND(W292&lt;=$D$1*-1,Y292&gt;0,X292&lt;$D$2*-1,V292/U292&gt;=3),"Very serious", AND(W292&gt;=$D$1,X292&lt;0,Y292&lt;$D$2,V292/U292&gt;=3),"Very serious", AND(W292&gt;=$D$1,X292&lt;0,Y292&gt;$D$2,V292/U292&gt;=3),"Very serious", AND(W292&gt;$D$1*-1,W292&lt;$D$1,X292&gt;$D$1*-1,Y292&lt;$D$1,V292/U292&lt;3),"Not Serious", AND(W292&gt;$D$1*-1,W292&lt;$D$1,OR(X292&lt;=$D$1*-1,Y292&gt;=$D$1),X292&gt;$D$2*-1,Y292&lt;$D$2,V292/U292&lt;3),"Serious", AND(W292&gt;$D$1*-1,W292&lt;$D$1,OR(X292&lt;=$D$2*-1,Y292&gt;=$D$2),V292/U292&lt;3),"Very serious", AND(W292&gt;$D$1*-1,W292&lt;$D$1,X292&gt;$D$1*-1,Y292&lt;$D$1,V292/U292&gt;=3),"Very serious", AND(W292&gt;$D$1*-1,W292&lt;$D$1,OR(X292&lt;=$D$1*-1,Y292&gt;=$D$1),X292&gt;$D$2*-1,Y292&lt;$D$2,V292/U292&gt;=3),"Very serious", AND(W292&gt;$D$1*-1,W292&lt;$D$1,OR(X292&lt;=$D$2*-1,Y292&gt;=$D$2),V292/U292&gt;=3),"Very serious"),"")),"")</f>
        <v/>
      </c>
      <c r="AT292" s="109" t="str">
        <f t="shared" si="9"/>
        <v/>
      </c>
      <c r="AU292" s="64"/>
      <c r="AV292" s="83"/>
      <c r="AW292" s="83"/>
      <c r="AX292" s="83"/>
      <c r="AY292" s="83"/>
      <c r="AZ292" s="83"/>
      <c r="BA292" s="85"/>
      <c r="BB292" s="86" t="str">
        <f>IF(Preferences!B$9="Manual","",IFS(ISBLANK(B292),"",AND(ISNUMBER(E292)=TRUE,ISNUMBER(T292)=FALSE),"Direct", AND(ISNUMBER(E292)=FALSE,ISNUMBER(T292)=TRUE),"Indirect", CN292=4,"Direct",AND(CL292=FALSE, CM292=TRUE,CN292-CO292&gt;-1),"Direct", AND(CL292=FALSE,CM292=TRUE, CN292-CO292&lt;0),"Check algorithm in appendix 2", AND(CL292=TRUE, CM292=FALSE,CN292-CO292&gt;0),"Check algorithm in appendix 2", AND(CL292=TRUE, CM292=FALSE,CN292-CO292=0),"Indirect", AND(CL292=TRUE, CM292=FALSE,CN292-CO292&lt;0),"Indirect", AND(CL292=FALSE,CM292=FALSE,CN292-CO292&gt;-1),"Direct", AND(CL292=FALSE,CM292=FALSE,CN292-CO292&lt;0),"Check algorithm in appendix 2", AND(CL292=TRUE,CM292=TRUE,CN292-CO292&gt;-1),"Direct", AND(CL292=TRUE,CM292=TRUE,CN292-CO292&lt;0),"Check algorithm in appendix 2"))</f>
        <v/>
      </c>
      <c r="BC292" s="120" t="str">
        <f t="shared" si="10"/>
        <v/>
      </c>
      <c r="BD292" s="140"/>
      <c r="BE292" s="122" t="str">
        <f>IF(Preferences!B$3="Manual","", IFERROR(IFS(AND(Preferences!B$3="Automatic",AX292/AW292&gt;=30),"Extremely serious",AND(AY292&lt;=$D$1*-1,BA292&lt;0,AX292/AW292&lt;3),"Not Serious",AND(AY292&lt;=$D$1*-1,BA292&lt;0,AX292/AW292&gt;=3),"Very serious",AND(AY292&gt;=$D$1,AZ292&gt;0,AX292/AW292&lt;3),"Not Serious",AND(AY292&gt;=$D$1,AZ292&gt;0,AX292/AW292&gt;=3),"Very serious",AND(AY292&lt;=$D$1*-1,BA292&gt;0,AZ292&gt;$D$2*-1,AX292/AW292&lt;3),"Serious", AND(AY292&lt;=$D$1*-1,BA292&gt;0,AZ292&lt;$D$2*-1,AX292/AW292&lt;3),"Very serious", AND(AY292&gt;=$D$1,AZ292&lt;0,BA292&lt;$D$2,AX292/AW292&lt;3),"Serious",AND(AY292&gt;=$D$1,AZ292&lt;0,BA292&gt;$D$2,AX292/AW292&lt;3),"Very serious", AND(AY292&lt;=$D$1*-1,BA292&gt;0,AZ292&gt;$D$2*-1,AX292/AW292&gt;=3),"Very serious", AND(AY292&lt;=$D$1*-1,BA292&gt;0,AZ292&lt;$D$2*-1,AX292/AW292&gt;=3),"Very serious", AND(AY292&gt;=$D$1,AZ292&lt;0,BA292&lt;$D$2,AX292/AW292&gt;=3),"Very serious", AND(AY292&gt;=$D$1,AZ292&lt;0,BA292&gt;$D$2,AX292/AW292&gt;=3),"Very serious", AND(AY292&gt;$D$1*-1,AY292&lt;$D$1,AZ292&gt;$D$1*-1,BA292&lt;$D$1,AX292/AW292&lt;3),"Not Serious", AND(AY292&gt;$D$1*-1,AY292&lt;$D$1,OR(AZ292&lt;=$D$1*-1,BA292&gt;=$D$1),AZ292&gt;$D$2*-1,BA292&lt;$D$2,AX292/AW292&lt;3),"Serious", AND(AY292&gt;$D$1*-1,AY292&lt;$D$1,OR(AZ292&lt;=$D$2*-1,BA292&gt;=$D$2),AX292/AW292&lt;3),"Very serious", AND(AY292&gt;$D$1*-1,AY292&lt;$D$1,AZ292&gt;$D$1*-1,BA292&lt;$D$1,AX292/AW292&gt;=3),"Very serious", AND(AY292&gt;$D$1*-1,AY292&lt;$D$1,OR(AZ292&lt;=$D$1*-1,BA292&gt;=$D$1),AZ292&gt;$D$2*-1,BA292&lt;$D$2,AX292/AW292&gt;=3),"Very serious", AND(AY292&gt;$D$1*-1,AY292&lt;$D$1,OR(AZ292&lt;=$D$2*-1,BA292&gt;=$D$2),AX292/AW292&gt;=3),"Very serious"),""))</f>
        <v/>
      </c>
      <c r="BF292" s="107" t="str">
        <f t="shared" si="11"/>
        <v/>
      </c>
      <c r="BG292" s="94" t="str">
        <f t="shared" si="46"/>
        <v/>
      </c>
      <c r="BH292" s="64" t="str">
        <f t="shared" si="12"/>
        <v>#N/A</v>
      </c>
      <c r="BI292" s="64" t="str">
        <f t="shared" si="13"/>
        <v/>
      </c>
      <c r="BJ292" s="123" t="str">
        <f t="shared" si="14"/>
        <v>#N/A</v>
      </c>
      <c r="BK292" s="64" t="str">
        <f t="shared" si="50"/>
        <v>YES</v>
      </c>
      <c r="BL292" s="64" t="str">
        <f t="shared" si="16"/>
        <v>YES</v>
      </c>
      <c r="BM292" s="64" t="str">
        <f t="shared" si="17"/>
        <v>YES</v>
      </c>
      <c r="BN292" s="124" t="str">
        <f t="shared" si="18"/>
        <v/>
      </c>
      <c r="BO292" s="91" t="str">
        <f t="shared" si="19"/>
        <v/>
      </c>
      <c r="BP292" s="91" t="str">
        <f t="shared" si="20"/>
        <v>#N/A</v>
      </c>
      <c r="BQ292" s="91" t="str">
        <f t="shared" si="21"/>
        <v/>
      </c>
      <c r="BR292" s="93" t="str">
        <f t="shared" si="22"/>
        <v/>
      </c>
      <c r="BS292" s="90" t="str">
        <f t="shared" si="23"/>
        <v/>
      </c>
      <c r="BT292" s="93" t="str">
        <f t="shared" si="24"/>
        <v>NA</v>
      </c>
      <c r="BU292" s="125" t="str">
        <f t="shared" si="25"/>
        <v>#N/A</v>
      </c>
      <c r="BV292" s="93" t="str">
        <f t="shared" si="26"/>
        <v/>
      </c>
      <c r="BW292" s="93" t="str">
        <f t="shared" si="27"/>
        <v/>
      </c>
      <c r="BX292" s="93" t="str">
        <f t="shared" si="28"/>
        <v>NA</v>
      </c>
      <c r="BY292" s="95" t="str">
        <f t="shared" si="29"/>
        <v>#N/A</v>
      </c>
      <c r="BZ292" s="93" t="str">
        <f t="shared" si="30"/>
        <v/>
      </c>
      <c r="CA292" s="93" t="str">
        <f t="shared" si="31"/>
        <v/>
      </c>
      <c r="CB292" s="93" t="str">
        <f t="shared" si="32"/>
        <v>NA</v>
      </c>
      <c r="CC292" s="96" t="str">
        <f t="shared" si="33"/>
        <v>#N/A</v>
      </c>
      <c r="CD292" s="93" t="str">
        <f t="shared" si="34"/>
        <v/>
      </c>
      <c r="CE292" s="93" t="str">
        <f t="shared" si="35"/>
        <v/>
      </c>
      <c r="CF292" s="93" t="str">
        <f t="shared" si="36"/>
        <v>NA</v>
      </c>
      <c r="CG292" s="97" t="str">
        <f t="shared" si="37"/>
        <v>#N/A</v>
      </c>
      <c r="CH292" s="98" t="str">
        <f t="shared" si="38"/>
        <v>#N/A</v>
      </c>
      <c r="CI292" s="99" t="str">
        <f t="shared" si="39"/>
        <v>#N/A</v>
      </c>
      <c r="CJ292" s="126" t="str">
        <f t="shared" si="40"/>
        <v>ERROR: check cell</v>
      </c>
      <c r="CK292" s="126"/>
      <c r="CL292" s="127" t="str">
        <f t="shared" si="41"/>
        <v>#DIV/0!</v>
      </c>
      <c r="CM292" s="128" t="str">
        <f t="shared" si="42"/>
        <v>#DIV/0!</v>
      </c>
      <c r="CN292" s="128">
        <f t="shared" si="43"/>
        <v>4</v>
      </c>
      <c r="CO292" s="129">
        <f t="shared" si="44"/>
        <v>4</v>
      </c>
      <c r="CP292" s="129" t="str">
        <f>IFS(C292=Preferences!B$13,B292,B292=Preferences!B$13,C292)</f>
        <v>#N/A</v>
      </c>
    </row>
    <row r="293" ht="13.5" customHeight="1">
      <c r="A293" s="63" t="str">
        <f t="shared" si="45"/>
        <v/>
      </c>
      <c r="B293" s="64"/>
      <c r="C293" s="64"/>
      <c r="D293" s="64"/>
      <c r="E293" s="65"/>
      <c r="F293" s="65"/>
      <c r="G293" s="65"/>
      <c r="H293" s="66"/>
      <c r="I293" s="66"/>
      <c r="J293" s="67"/>
      <c r="K293" s="68"/>
      <c r="L293" s="104"/>
      <c r="M293" s="104"/>
      <c r="N293" s="104"/>
      <c r="O293" s="104"/>
      <c r="P293" s="107" t="str">
        <f t="shared" si="1"/>
        <v/>
      </c>
      <c r="Q293" s="108" t="str">
        <f>IFERROR(IF(AND(Preferences!B$3="Manual",OR(AX293/AW293&gt;G293/F293,BD293="Serious",BD293="Very serious")),"Assess imprecision",IFS(ISBLANK(E293),"",AND(Preferences!B$3="Automatic", G293/F293&gt;=30),"Extremely serious",AND(H293&lt;=$D$1*-1,J293&lt;0,G293/F293&lt;3),"Not serious",AND(H293&lt;=$D$1*-1,J293&lt;0,G293/F293&gt;=3),"Very serious",AND(H293&gt;=$D$1,I293&gt;0,G293/F293&lt;3),"Not serious",AND(H293&gt;=$D$1,I293&gt;0,G293/F293&gt;=3),"Very serious",AND(H293&lt;=$D$1*-1,J293&gt;0,I293&gt;$D$2*-1,G293/F293&lt;3),"Serious", AND(H293&lt;=$D$1*-1,J293&gt;0,I293&lt;$D$2*-1,G293/F293&lt;3),"Very serious", AND(H293&gt;=$D$1,I293&lt;0,J293&lt;$D$2,G293/F293&lt;3),"Serious",AND(H293&gt;=$D$1,I293&lt;0,J293&gt;$D$2,G293/F293&lt;3),"Very serious", AND(H293&lt;=$D$1*-1,J293&gt;0,I293&gt;$D$2*-1,G293/F293&gt;=3),"Very serious", AND(H293&lt;=$D$1*-1,J293&gt;0,I293&lt;$D$2*-1,G293/F293&gt;=3),"Very serious", AND(H293&gt;=$D$1,I293&lt;0,J293&lt;$D$2,G293/F293&gt;=3),"Very serious", AND(H293&gt;=$D$1,I293&lt;0,J293&gt;$D$2,G293/F293&gt;=3),"Very serious", AND(H293&gt;$D$1*-1,H293&lt;$D$1,I293&gt;$D$1*-1,J293&lt;$D$1,G293/F293&lt;3),"Not serious", AND(H293&gt;$D$1*-1,H293&lt;$D$1,OR(I293&lt;=$D$1*-1,J293&gt;=$D$1),I293&gt;$D$2*-1,J293&lt;$D$2,G293/F293&lt;3),"Serious", AND(H293&gt;$D$1*-1,H293&lt;$D$1,OR(I293&lt;=$D$2*-1,J293&gt;=$D$2),G293/F293&lt;3),"Very serious", AND(H293&gt;$D$1*-1,H293&lt;$D$1,I293&gt;$D$1*-1,J293&lt;$D$1,G293/F293&gt;=3),"Very serious", AND(H293&gt;$D$1*-1,H293&lt;$D$1,OR(I293&lt;=$D$1*-1,J293&gt;=$D$1),I293&gt;$D$2*-1,J293&lt;$D$2,G293/F293&gt;=3),"Very serious", AND(H293&gt;$D$1*-1,H293&lt;$D$1,OR(I293&lt;=$D$2*-1,J293&gt;=$D$2),G293/F293&gt;=3),"Very serious")),"")</f>
        <v/>
      </c>
      <c r="R293" s="109" t="str">
        <f t="shared" si="47"/>
        <v/>
      </c>
      <c r="S293" s="64"/>
      <c r="T293" s="72"/>
      <c r="U293" s="72"/>
      <c r="V293" s="72"/>
      <c r="W293" s="73"/>
      <c r="X293" s="73"/>
      <c r="Y293" s="74"/>
      <c r="Z293" s="113" t="str">
        <f t="array" ref="Z293">INDEX($A$1:$C$500, MATCH(1,($B:$B=$B293)*($C:$C=$AB293),0),1)</f>
        <v/>
      </c>
      <c r="AA293" s="113" t="str">
        <f t="array" ref="AA293">INDEX($A$1:$C$500, MATCH(1,($B:$B=$AB293)*($C:$C=$B293),0),1)</f>
        <v/>
      </c>
      <c r="AB293" s="111"/>
      <c r="AC293" s="114" t="str">
        <f t="shared" si="2"/>
        <v/>
      </c>
      <c r="AD293" s="115" t="str">
        <f t="shared" si="3"/>
        <v/>
      </c>
      <c r="AE293" s="116" t="str">
        <f t="array" ref="AE293">INDEX($A$1:$C$500, MATCH(1,($B:$B=$AB293)*($C:$C=$AG293),0),1)</f>
        <v/>
      </c>
      <c r="AF293" s="116" t="str">
        <f t="array" ref="AF293">INDEX($A$1:$C$500, MATCH(1,($B:$B=$AG293)*($C:$C=$AB293),0),1)</f>
        <v/>
      </c>
      <c r="AG293" s="72"/>
      <c r="AH293" s="114" t="str">
        <f t="shared" si="4"/>
        <v/>
      </c>
      <c r="AI293" s="115" t="str">
        <f t="shared" si="5"/>
        <v/>
      </c>
      <c r="AJ293" s="116" t="str">
        <f t="array" ref="AJ293">INDEX($A$1:$C$500, MATCH(1,($B:$B=$C293)*($C:$C=$AG293),0),1)</f>
        <v/>
      </c>
      <c r="AK293" s="116" t="str">
        <f t="array" ref="AK293">INDEX($A$1:$C$500, MATCH(1,($B:$B=$AG293)*($C:$C=$C293),0),1)</f>
        <v/>
      </c>
      <c r="AL293" s="116" t="str">
        <f t="array" ref="AL293">INDEX($A$1:$C$500, MATCH(1,($B:$B=$C293)*($C:$C=$AB293),0),1)</f>
        <v/>
      </c>
      <c r="AM293" s="116" t="str">
        <f t="array" ref="AM293">INDEX($A$1:$C$500, MATCH(1,($B:$B=$AB293)*($C:$C=$C293),0),1)</f>
        <v/>
      </c>
      <c r="AN293" s="114" t="str">
        <f t="array" ref="AN293">IFS(ISNUMBER(AJ293),AJ293,ISNUMBER(AK293),AK293,ISNUMBER(AL293),AL293,ISNUMBER(AM293),AM293)</f>
        <v>#N/A</v>
      </c>
      <c r="AO293" s="115" t="str">
        <f t="shared" si="6"/>
        <v/>
      </c>
      <c r="AP293" s="115" t="str">
        <f t="shared" si="7"/>
        <v/>
      </c>
      <c r="AQ293" s="111"/>
      <c r="AR293" s="109" t="str">
        <f t="shared" si="8"/>
        <v/>
      </c>
      <c r="AS293" s="72" t="str">
        <f>IFERROR(IF(AND(Preferences!B$3="Manual",OR(AX293/AW293&gt;V293/U293,BD293="Serious",BD293="Very serious")),"Assess imprecision",IFERROR(IFS(AND(Preferences!B$3="Automatic",V293/U293&gt;=30),"Extremely serious",AND(W293&lt;=$D$1*-1,Y293&lt;0,V293/U293&lt;3),"Not Serious",AND(W293&lt;=$D$1*-1,Y293&lt;0,V293/U293&gt;=3),"Very serious",AND(W293&gt;=$D$1,X293&gt;0,V293/U293&lt;3),"Not Serious",AND(W293&gt;=$D$1,X293&gt;0,V293/U293&gt;=3),"Very serious",AND(W293&lt;=$D$1*-1,Y293&gt;0,X293&gt;$D$2*-1,V293/U293&lt;3),"Serious", AND(W293&lt;=$D$1*-1,Y293&gt;0,X293&lt;$D$2*-1,V293/U293&lt;3),"Very serious", AND(W293&gt;=$D$1,X293&lt;0,Y293&lt;$D$2,V293/U293&lt;3),"Serious",AND(W293&gt;=$D$1,X293&lt;0,Y293&gt;$D$2,V293/U293&lt;3),"Very serious", AND(W293&lt;=$D$1*-1,Y293&gt;0,X293&gt;$D$2*-1,V293/U293&gt;=3),"Very serious", AND(W293&lt;=$D$1*-1,Y293&gt;0,X293&lt;$D$2*-1,V293/U293&gt;=3),"Very serious", AND(W293&gt;=$D$1,X293&lt;0,Y293&lt;$D$2,V293/U293&gt;=3),"Very serious", AND(W293&gt;=$D$1,X293&lt;0,Y293&gt;$D$2,V293/U293&gt;=3),"Very serious", AND(W293&gt;$D$1*-1,W293&lt;$D$1,X293&gt;$D$1*-1,Y293&lt;$D$1,V293/U293&lt;3),"Not Serious", AND(W293&gt;$D$1*-1,W293&lt;$D$1,OR(X293&lt;=$D$1*-1,Y293&gt;=$D$1),X293&gt;$D$2*-1,Y293&lt;$D$2,V293/U293&lt;3),"Serious", AND(W293&gt;$D$1*-1,W293&lt;$D$1,OR(X293&lt;=$D$2*-1,Y293&gt;=$D$2),V293/U293&lt;3),"Very serious", AND(W293&gt;$D$1*-1,W293&lt;$D$1,X293&gt;$D$1*-1,Y293&lt;$D$1,V293/U293&gt;=3),"Very serious", AND(W293&gt;$D$1*-1,W293&lt;$D$1,OR(X293&lt;=$D$1*-1,Y293&gt;=$D$1),X293&gt;$D$2*-1,Y293&lt;$D$2,V293/U293&gt;=3),"Very serious", AND(W293&gt;$D$1*-1,W293&lt;$D$1,OR(X293&lt;=$D$2*-1,Y293&gt;=$D$2),V293/U293&gt;=3),"Very serious"),"")),"")</f>
        <v/>
      </c>
      <c r="AT293" s="109" t="str">
        <f t="shared" si="9"/>
        <v/>
      </c>
      <c r="AU293" s="64"/>
      <c r="AV293" s="83"/>
      <c r="AW293" s="83"/>
      <c r="AX293" s="83"/>
      <c r="AY293" s="83"/>
      <c r="AZ293" s="83"/>
      <c r="BA293" s="85"/>
      <c r="BB293" s="86" t="str">
        <f>IF(Preferences!B$9="Manual","",IFS(ISBLANK(B293),"",AND(ISNUMBER(E293)=TRUE,ISNUMBER(T293)=FALSE),"Direct", AND(ISNUMBER(E293)=FALSE,ISNUMBER(T293)=TRUE),"Indirect", CN293=4,"Direct",AND(CL293=FALSE, CM293=TRUE,CN293-CO293&gt;-1),"Direct", AND(CL293=FALSE,CM293=TRUE, CN293-CO293&lt;0),"Check algorithm in appendix 2", AND(CL293=TRUE, CM293=FALSE,CN293-CO293&gt;0),"Check algorithm in appendix 2", AND(CL293=TRUE, CM293=FALSE,CN293-CO293=0),"Indirect", AND(CL293=TRUE, CM293=FALSE,CN293-CO293&lt;0),"Indirect", AND(CL293=FALSE,CM293=FALSE,CN293-CO293&gt;-1),"Direct", AND(CL293=FALSE,CM293=FALSE,CN293-CO293&lt;0),"Check algorithm in appendix 2", AND(CL293=TRUE,CM293=TRUE,CN293-CO293&gt;-1),"Direct", AND(CL293=TRUE,CM293=TRUE,CN293-CO293&lt;0),"Check algorithm in appendix 2"))</f>
        <v/>
      </c>
      <c r="BC293" s="120" t="str">
        <f t="shared" si="10"/>
        <v/>
      </c>
      <c r="BD293" s="140"/>
      <c r="BE293" s="122" t="str">
        <f>IF(Preferences!B$3="Manual","", IFERROR(IFS(AND(Preferences!B$3="Automatic",AX293/AW293&gt;=30),"Extremely serious",AND(AY293&lt;=$D$1*-1,BA293&lt;0,AX293/AW293&lt;3),"Not Serious",AND(AY293&lt;=$D$1*-1,BA293&lt;0,AX293/AW293&gt;=3),"Very serious",AND(AY293&gt;=$D$1,AZ293&gt;0,AX293/AW293&lt;3),"Not Serious",AND(AY293&gt;=$D$1,AZ293&gt;0,AX293/AW293&gt;=3),"Very serious",AND(AY293&lt;=$D$1*-1,BA293&gt;0,AZ293&gt;$D$2*-1,AX293/AW293&lt;3),"Serious", AND(AY293&lt;=$D$1*-1,BA293&gt;0,AZ293&lt;$D$2*-1,AX293/AW293&lt;3),"Very serious", AND(AY293&gt;=$D$1,AZ293&lt;0,BA293&lt;$D$2,AX293/AW293&lt;3),"Serious",AND(AY293&gt;=$D$1,AZ293&lt;0,BA293&gt;$D$2,AX293/AW293&lt;3),"Very serious", AND(AY293&lt;=$D$1*-1,BA293&gt;0,AZ293&gt;$D$2*-1,AX293/AW293&gt;=3),"Very serious", AND(AY293&lt;=$D$1*-1,BA293&gt;0,AZ293&lt;$D$2*-1,AX293/AW293&gt;=3),"Very serious", AND(AY293&gt;=$D$1,AZ293&lt;0,BA293&lt;$D$2,AX293/AW293&gt;=3),"Very serious", AND(AY293&gt;=$D$1,AZ293&lt;0,BA293&gt;$D$2,AX293/AW293&gt;=3),"Very serious", AND(AY293&gt;$D$1*-1,AY293&lt;$D$1,AZ293&gt;$D$1*-1,BA293&lt;$D$1,AX293/AW293&lt;3),"Not Serious", AND(AY293&gt;$D$1*-1,AY293&lt;$D$1,OR(AZ293&lt;=$D$1*-1,BA293&gt;=$D$1),AZ293&gt;$D$2*-1,BA293&lt;$D$2,AX293/AW293&lt;3),"Serious", AND(AY293&gt;$D$1*-1,AY293&lt;$D$1,OR(AZ293&lt;=$D$2*-1,BA293&gt;=$D$2),AX293/AW293&lt;3),"Very serious", AND(AY293&gt;$D$1*-1,AY293&lt;$D$1,AZ293&gt;$D$1*-1,BA293&lt;$D$1,AX293/AW293&gt;=3),"Very serious", AND(AY293&gt;$D$1*-1,AY293&lt;$D$1,OR(AZ293&lt;=$D$1*-1,BA293&gt;=$D$1),AZ293&gt;$D$2*-1,BA293&lt;$D$2,AX293/AW293&gt;=3),"Very serious", AND(AY293&gt;$D$1*-1,AY293&lt;$D$1,OR(AZ293&lt;=$D$2*-1,BA293&gt;=$D$2),AX293/AW293&gt;=3),"Very serious"),""))</f>
        <v/>
      </c>
      <c r="BF293" s="107" t="str">
        <f t="shared" si="11"/>
        <v/>
      </c>
      <c r="BG293" s="94" t="str">
        <f t="shared" si="46"/>
        <v/>
      </c>
      <c r="BH293" s="64" t="str">
        <f t="shared" si="12"/>
        <v>#N/A</v>
      </c>
      <c r="BI293" s="64" t="str">
        <f t="shared" si="13"/>
        <v/>
      </c>
      <c r="BJ293" s="123" t="str">
        <f t="shared" si="14"/>
        <v>#N/A</v>
      </c>
      <c r="BK293" s="64" t="str">
        <f t="shared" si="50"/>
        <v>YES</v>
      </c>
      <c r="BL293" s="64" t="str">
        <f t="shared" si="16"/>
        <v>YES</v>
      </c>
      <c r="BM293" s="64" t="str">
        <f t="shared" si="17"/>
        <v>YES</v>
      </c>
      <c r="BN293" s="124" t="str">
        <f t="shared" si="18"/>
        <v/>
      </c>
      <c r="BO293" s="91" t="str">
        <f t="shared" si="19"/>
        <v/>
      </c>
      <c r="BP293" s="91" t="str">
        <f t="shared" si="20"/>
        <v>#N/A</v>
      </c>
      <c r="BQ293" s="91" t="str">
        <f t="shared" si="21"/>
        <v/>
      </c>
      <c r="BR293" s="93" t="str">
        <f t="shared" si="22"/>
        <v/>
      </c>
      <c r="BS293" s="90" t="str">
        <f t="shared" si="23"/>
        <v/>
      </c>
      <c r="BT293" s="93" t="str">
        <f t="shared" si="24"/>
        <v>NA</v>
      </c>
      <c r="BU293" s="125" t="str">
        <f t="shared" si="25"/>
        <v>#N/A</v>
      </c>
      <c r="BV293" s="93" t="str">
        <f t="shared" si="26"/>
        <v/>
      </c>
      <c r="BW293" s="93" t="str">
        <f t="shared" si="27"/>
        <v/>
      </c>
      <c r="BX293" s="93" t="str">
        <f t="shared" si="28"/>
        <v>NA</v>
      </c>
      <c r="BY293" s="95" t="str">
        <f t="shared" si="29"/>
        <v>#N/A</v>
      </c>
      <c r="BZ293" s="93" t="str">
        <f t="shared" si="30"/>
        <v/>
      </c>
      <c r="CA293" s="93" t="str">
        <f t="shared" si="31"/>
        <v/>
      </c>
      <c r="CB293" s="93" t="str">
        <f t="shared" si="32"/>
        <v>NA</v>
      </c>
      <c r="CC293" s="96" t="str">
        <f t="shared" si="33"/>
        <v>#N/A</v>
      </c>
      <c r="CD293" s="93" t="str">
        <f t="shared" si="34"/>
        <v/>
      </c>
      <c r="CE293" s="93" t="str">
        <f t="shared" si="35"/>
        <v/>
      </c>
      <c r="CF293" s="93" t="str">
        <f t="shared" si="36"/>
        <v>NA</v>
      </c>
      <c r="CG293" s="97" t="str">
        <f t="shared" si="37"/>
        <v>#N/A</v>
      </c>
      <c r="CH293" s="98" t="str">
        <f t="shared" si="38"/>
        <v>#N/A</v>
      </c>
      <c r="CI293" s="99" t="str">
        <f t="shared" si="39"/>
        <v>#N/A</v>
      </c>
      <c r="CJ293" s="126" t="str">
        <f t="shared" si="40"/>
        <v>ERROR: check cell</v>
      </c>
      <c r="CK293" s="126"/>
      <c r="CL293" s="127" t="str">
        <f t="shared" si="41"/>
        <v>#DIV/0!</v>
      </c>
      <c r="CM293" s="128" t="str">
        <f t="shared" si="42"/>
        <v>#DIV/0!</v>
      </c>
      <c r="CN293" s="128">
        <f t="shared" si="43"/>
        <v>4</v>
      </c>
      <c r="CO293" s="129">
        <f t="shared" si="44"/>
        <v>4</v>
      </c>
      <c r="CP293" s="129" t="str">
        <f>IFS(C293=Preferences!B$13,B293,B293=Preferences!B$13,C293)</f>
        <v>#N/A</v>
      </c>
    </row>
    <row r="294" ht="13.5" customHeight="1">
      <c r="A294" s="63" t="str">
        <f t="shared" si="45"/>
        <v/>
      </c>
      <c r="B294" s="64"/>
      <c r="C294" s="64"/>
      <c r="D294" s="64"/>
      <c r="E294" s="65"/>
      <c r="F294" s="65"/>
      <c r="G294" s="65"/>
      <c r="H294" s="66"/>
      <c r="I294" s="66"/>
      <c r="J294" s="67"/>
      <c r="K294" s="68"/>
      <c r="L294" s="104"/>
      <c r="M294" s="104"/>
      <c r="N294" s="104"/>
      <c r="O294" s="104"/>
      <c r="P294" s="107" t="str">
        <f t="shared" si="1"/>
        <v/>
      </c>
      <c r="Q294" s="108" t="str">
        <f>IFERROR(IF(AND(Preferences!B$3="Manual",OR(AX294/AW294&gt;G294/F294,BD294="Serious",BD294="Very serious")),"Assess imprecision",IFS(ISBLANK(E294),"",AND(Preferences!B$3="Automatic", G294/F294&gt;=30),"Extremely serious",AND(H294&lt;=$D$1*-1,J294&lt;0,G294/F294&lt;3),"Not serious",AND(H294&lt;=$D$1*-1,J294&lt;0,G294/F294&gt;=3),"Very serious",AND(H294&gt;=$D$1,I294&gt;0,G294/F294&lt;3),"Not serious",AND(H294&gt;=$D$1,I294&gt;0,G294/F294&gt;=3),"Very serious",AND(H294&lt;=$D$1*-1,J294&gt;0,I294&gt;$D$2*-1,G294/F294&lt;3),"Serious", AND(H294&lt;=$D$1*-1,J294&gt;0,I294&lt;$D$2*-1,G294/F294&lt;3),"Very serious", AND(H294&gt;=$D$1,I294&lt;0,J294&lt;$D$2,G294/F294&lt;3),"Serious",AND(H294&gt;=$D$1,I294&lt;0,J294&gt;$D$2,G294/F294&lt;3),"Very serious", AND(H294&lt;=$D$1*-1,J294&gt;0,I294&gt;$D$2*-1,G294/F294&gt;=3),"Very serious", AND(H294&lt;=$D$1*-1,J294&gt;0,I294&lt;$D$2*-1,G294/F294&gt;=3),"Very serious", AND(H294&gt;=$D$1,I294&lt;0,J294&lt;$D$2,G294/F294&gt;=3),"Very serious", AND(H294&gt;=$D$1,I294&lt;0,J294&gt;$D$2,G294/F294&gt;=3),"Very serious", AND(H294&gt;$D$1*-1,H294&lt;$D$1,I294&gt;$D$1*-1,J294&lt;$D$1,G294/F294&lt;3),"Not serious", AND(H294&gt;$D$1*-1,H294&lt;$D$1,OR(I294&lt;=$D$1*-1,J294&gt;=$D$1),I294&gt;$D$2*-1,J294&lt;$D$2,G294/F294&lt;3),"Serious", AND(H294&gt;$D$1*-1,H294&lt;$D$1,OR(I294&lt;=$D$2*-1,J294&gt;=$D$2),G294/F294&lt;3),"Very serious", AND(H294&gt;$D$1*-1,H294&lt;$D$1,I294&gt;$D$1*-1,J294&lt;$D$1,G294/F294&gt;=3),"Very serious", AND(H294&gt;$D$1*-1,H294&lt;$D$1,OR(I294&lt;=$D$1*-1,J294&gt;=$D$1),I294&gt;$D$2*-1,J294&lt;$D$2,G294/F294&gt;=3),"Very serious", AND(H294&gt;$D$1*-1,H294&lt;$D$1,OR(I294&lt;=$D$2*-1,J294&gt;=$D$2),G294/F294&gt;=3),"Very serious")),"")</f>
        <v/>
      </c>
      <c r="R294" s="109" t="str">
        <f t="shared" si="47"/>
        <v/>
      </c>
      <c r="S294" s="64"/>
      <c r="T294" s="72"/>
      <c r="U294" s="72"/>
      <c r="V294" s="72"/>
      <c r="W294" s="73"/>
      <c r="X294" s="73"/>
      <c r="Y294" s="74"/>
      <c r="Z294" s="113" t="str">
        <f t="array" ref="Z294">INDEX($A$1:$C$500, MATCH(1,($B:$B=$B294)*($C:$C=$AB294),0),1)</f>
        <v/>
      </c>
      <c r="AA294" s="113" t="str">
        <f t="array" ref="AA294">INDEX($A$1:$C$500, MATCH(1,($B:$B=$AB294)*($C:$C=$B294),0),1)</f>
        <v/>
      </c>
      <c r="AB294" s="111"/>
      <c r="AC294" s="114" t="str">
        <f t="shared" si="2"/>
        <v/>
      </c>
      <c r="AD294" s="115" t="str">
        <f t="shared" si="3"/>
        <v/>
      </c>
      <c r="AE294" s="116" t="str">
        <f t="array" ref="AE294">INDEX($A$1:$C$500, MATCH(1,($B:$B=$AB294)*($C:$C=$AG294),0),1)</f>
        <v/>
      </c>
      <c r="AF294" s="116" t="str">
        <f t="array" ref="AF294">INDEX($A$1:$C$500, MATCH(1,($B:$B=$AG294)*($C:$C=$AB294),0),1)</f>
        <v/>
      </c>
      <c r="AG294" s="72"/>
      <c r="AH294" s="114" t="str">
        <f t="shared" si="4"/>
        <v/>
      </c>
      <c r="AI294" s="115" t="str">
        <f t="shared" si="5"/>
        <v/>
      </c>
      <c r="AJ294" s="116" t="str">
        <f t="array" ref="AJ294">INDEX($A$1:$C$500, MATCH(1,($B:$B=$C294)*($C:$C=$AG294),0),1)</f>
        <v/>
      </c>
      <c r="AK294" s="116" t="str">
        <f t="array" ref="AK294">INDEX($A$1:$C$500, MATCH(1,($B:$B=$AG294)*($C:$C=$C294),0),1)</f>
        <v/>
      </c>
      <c r="AL294" s="116" t="str">
        <f t="array" ref="AL294">INDEX($A$1:$C$500, MATCH(1,($B:$B=$C294)*($C:$C=$AB294),0),1)</f>
        <v/>
      </c>
      <c r="AM294" s="116" t="str">
        <f t="array" ref="AM294">INDEX($A$1:$C$500, MATCH(1,($B:$B=$AB294)*($C:$C=$C294),0),1)</f>
        <v/>
      </c>
      <c r="AN294" s="114" t="str">
        <f t="array" ref="AN294">IFS(ISNUMBER(AJ294),AJ294,ISNUMBER(AK294),AK294,ISNUMBER(AL294),AL294,ISNUMBER(AM294),AM294)</f>
        <v>#N/A</v>
      </c>
      <c r="AO294" s="115" t="str">
        <f t="shared" si="6"/>
        <v/>
      </c>
      <c r="AP294" s="115" t="str">
        <f t="shared" si="7"/>
        <v/>
      </c>
      <c r="AQ294" s="111"/>
      <c r="AR294" s="109" t="str">
        <f t="shared" si="8"/>
        <v/>
      </c>
      <c r="AS294" s="72" t="str">
        <f>IFERROR(IF(AND(Preferences!B$3="Manual",OR(AX294/AW294&gt;V294/U294,BD294="Serious",BD294="Very serious")),"Assess imprecision",IFERROR(IFS(AND(Preferences!B$3="Automatic",V294/U294&gt;=30),"Extremely serious",AND(W294&lt;=$D$1*-1,Y294&lt;0,V294/U294&lt;3),"Not Serious",AND(W294&lt;=$D$1*-1,Y294&lt;0,V294/U294&gt;=3),"Very serious",AND(W294&gt;=$D$1,X294&gt;0,V294/U294&lt;3),"Not Serious",AND(W294&gt;=$D$1,X294&gt;0,V294/U294&gt;=3),"Very serious",AND(W294&lt;=$D$1*-1,Y294&gt;0,X294&gt;$D$2*-1,V294/U294&lt;3),"Serious", AND(W294&lt;=$D$1*-1,Y294&gt;0,X294&lt;$D$2*-1,V294/U294&lt;3),"Very serious", AND(W294&gt;=$D$1,X294&lt;0,Y294&lt;$D$2,V294/U294&lt;3),"Serious",AND(W294&gt;=$D$1,X294&lt;0,Y294&gt;$D$2,V294/U294&lt;3),"Very serious", AND(W294&lt;=$D$1*-1,Y294&gt;0,X294&gt;$D$2*-1,V294/U294&gt;=3),"Very serious", AND(W294&lt;=$D$1*-1,Y294&gt;0,X294&lt;$D$2*-1,V294/U294&gt;=3),"Very serious", AND(W294&gt;=$D$1,X294&lt;0,Y294&lt;$D$2,V294/U294&gt;=3),"Very serious", AND(W294&gt;=$D$1,X294&lt;0,Y294&gt;$D$2,V294/U294&gt;=3),"Very serious", AND(W294&gt;$D$1*-1,W294&lt;$D$1,X294&gt;$D$1*-1,Y294&lt;$D$1,V294/U294&lt;3),"Not Serious", AND(W294&gt;$D$1*-1,W294&lt;$D$1,OR(X294&lt;=$D$1*-1,Y294&gt;=$D$1),X294&gt;$D$2*-1,Y294&lt;$D$2,V294/U294&lt;3),"Serious", AND(W294&gt;$D$1*-1,W294&lt;$D$1,OR(X294&lt;=$D$2*-1,Y294&gt;=$D$2),V294/U294&lt;3),"Very serious", AND(W294&gt;$D$1*-1,W294&lt;$D$1,X294&gt;$D$1*-1,Y294&lt;$D$1,V294/U294&gt;=3),"Very serious", AND(W294&gt;$D$1*-1,W294&lt;$D$1,OR(X294&lt;=$D$1*-1,Y294&gt;=$D$1),X294&gt;$D$2*-1,Y294&lt;$D$2,V294/U294&gt;=3),"Very serious", AND(W294&gt;$D$1*-1,W294&lt;$D$1,OR(X294&lt;=$D$2*-1,Y294&gt;=$D$2),V294/U294&gt;=3),"Very serious"),"")),"")</f>
        <v/>
      </c>
      <c r="AT294" s="109" t="str">
        <f t="shared" si="9"/>
        <v/>
      </c>
      <c r="AU294" s="64"/>
      <c r="AV294" s="83"/>
      <c r="AW294" s="83"/>
      <c r="AX294" s="83"/>
      <c r="AY294" s="83"/>
      <c r="AZ294" s="83"/>
      <c r="BA294" s="85"/>
      <c r="BB294" s="86" t="str">
        <f>IF(Preferences!B$9="Manual","",IFS(ISBLANK(B294),"",AND(ISNUMBER(E294)=TRUE,ISNUMBER(T294)=FALSE),"Direct", AND(ISNUMBER(E294)=FALSE,ISNUMBER(T294)=TRUE),"Indirect", CN294=4,"Direct",AND(CL294=FALSE, CM294=TRUE,CN294-CO294&gt;-1),"Direct", AND(CL294=FALSE,CM294=TRUE, CN294-CO294&lt;0),"Check algorithm in appendix 2", AND(CL294=TRUE, CM294=FALSE,CN294-CO294&gt;0),"Check algorithm in appendix 2", AND(CL294=TRUE, CM294=FALSE,CN294-CO294=0),"Indirect", AND(CL294=TRUE, CM294=FALSE,CN294-CO294&lt;0),"Indirect", AND(CL294=FALSE,CM294=FALSE,CN294-CO294&gt;-1),"Direct", AND(CL294=FALSE,CM294=FALSE,CN294-CO294&lt;0),"Check algorithm in appendix 2", AND(CL294=TRUE,CM294=TRUE,CN294-CO294&gt;-1),"Direct", AND(CL294=TRUE,CM294=TRUE,CN294-CO294&lt;0),"Check algorithm in appendix 2"))</f>
        <v/>
      </c>
      <c r="BC294" s="120" t="str">
        <f t="shared" si="10"/>
        <v/>
      </c>
      <c r="BD294" s="140"/>
      <c r="BE294" s="122" t="str">
        <f>IF(Preferences!B$3="Manual","", IFERROR(IFS(AND(Preferences!B$3="Automatic",AX294/AW294&gt;=30),"Extremely serious",AND(AY294&lt;=$D$1*-1,BA294&lt;0,AX294/AW294&lt;3),"Not Serious",AND(AY294&lt;=$D$1*-1,BA294&lt;0,AX294/AW294&gt;=3),"Very serious",AND(AY294&gt;=$D$1,AZ294&gt;0,AX294/AW294&lt;3),"Not Serious",AND(AY294&gt;=$D$1,AZ294&gt;0,AX294/AW294&gt;=3),"Very serious",AND(AY294&lt;=$D$1*-1,BA294&gt;0,AZ294&gt;$D$2*-1,AX294/AW294&lt;3),"Serious", AND(AY294&lt;=$D$1*-1,BA294&gt;0,AZ294&lt;$D$2*-1,AX294/AW294&lt;3),"Very serious", AND(AY294&gt;=$D$1,AZ294&lt;0,BA294&lt;$D$2,AX294/AW294&lt;3),"Serious",AND(AY294&gt;=$D$1,AZ294&lt;0,BA294&gt;$D$2,AX294/AW294&lt;3),"Very serious", AND(AY294&lt;=$D$1*-1,BA294&gt;0,AZ294&gt;$D$2*-1,AX294/AW294&gt;=3),"Very serious", AND(AY294&lt;=$D$1*-1,BA294&gt;0,AZ294&lt;$D$2*-1,AX294/AW294&gt;=3),"Very serious", AND(AY294&gt;=$D$1,AZ294&lt;0,BA294&lt;$D$2,AX294/AW294&gt;=3),"Very serious", AND(AY294&gt;=$D$1,AZ294&lt;0,BA294&gt;$D$2,AX294/AW294&gt;=3),"Very serious", AND(AY294&gt;$D$1*-1,AY294&lt;$D$1,AZ294&gt;$D$1*-1,BA294&lt;$D$1,AX294/AW294&lt;3),"Not Serious", AND(AY294&gt;$D$1*-1,AY294&lt;$D$1,OR(AZ294&lt;=$D$1*-1,BA294&gt;=$D$1),AZ294&gt;$D$2*-1,BA294&lt;$D$2,AX294/AW294&lt;3),"Serious", AND(AY294&gt;$D$1*-1,AY294&lt;$D$1,OR(AZ294&lt;=$D$2*-1,BA294&gt;=$D$2),AX294/AW294&lt;3),"Very serious", AND(AY294&gt;$D$1*-1,AY294&lt;$D$1,AZ294&gt;$D$1*-1,BA294&lt;$D$1,AX294/AW294&gt;=3),"Very serious", AND(AY294&gt;$D$1*-1,AY294&lt;$D$1,OR(AZ294&lt;=$D$1*-1,BA294&gt;=$D$1),AZ294&gt;$D$2*-1,BA294&lt;$D$2,AX294/AW294&gt;=3),"Very serious", AND(AY294&gt;$D$1*-1,AY294&lt;$D$1,OR(AZ294&lt;=$D$2*-1,BA294&gt;=$D$2),AX294/AW294&gt;=3),"Very serious"),""))</f>
        <v/>
      </c>
      <c r="BF294" s="107" t="str">
        <f t="shared" si="11"/>
        <v/>
      </c>
      <c r="BG294" s="94" t="str">
        <f t="shared" si="46"/>
        <v/>
      </c>
      <c r="BH294" s="64" t="str">
        <f t="shared" si="12"/>
        <v>#N/A</v>
      </c>
      <c r="BI294" s="64" t="str">
        <f t="shared" si="13"/>
        <v/>
      </c>
      <c r="BJ294" s="123" t="str">
        <f t="shared" si="14"/>
        <v>#N/A</v>
      </c>
      <c r="BK294" s="64" t="str">
        <f t="shared" si="50"/>
        <v>YES</v>
      </c>
      <c r="BL294" s="64" t="str">
        <f t="shared" si="16"/>
        <v>YES</v>
      </c>
      <c r="BM294" s="64" t="str">
        <f t="shared" si="17"/>
        <v>YES</v>
      </c>
      <c r="BN294" s="124" t="str">
        <f t="shared" si="18"/>
        <v/>
      </c>
      <c r="BO294" s="91" t="str">
        <f t="shared" si="19"/>
        <v/>
      </c>
      <c r="BP294" s="91" t="str">
        <f t="shared" si="20"/>
        <v>#N/A</v>
      </c>
      <c r="BQ294" s="91" t="str">
        <f t="shared" si="21"/>
        <v/>
      </c>
      <c r="BR294" s="93" t="str">
        <f t="shared" si="22"/>
        <v/>
      </c>
      <c r="BS294" s="90" t="str">
        <f t="shared" si="23"/>
        <v/>
      </c>
      <c r="BT294" s="93" t="str">
        <f t="shared" si="24"/>
        <v>NA</v>
      </c>
      <c r="BU294" s="125" t="str">
        <f t="shared" si="25"/>
        <v>#N/A</v>
      </c>
      <c r="BV294" s="93" t="str">
        <f t="shared" si="26"/>
        <v/>
      </c>
      <c r="BW294" s="93" t="str">
        <f t="shared" si="27"/>
        <v/>
      </c>
      <c r="BX294" s="93" t="str">
        <f t="shared" si="28"/>
        <v>NA</v>
      </c>
      <c r="BY294" s="95" t="str">
        <f t="shared" si="29"/>
        <v>#N/A</v>
      </c>
      <c r="BZ294" s="93" t="str">
        <f t="shared" si="30"/>
        <v/>
      </c>
      <c r="CA294" s="93" t="str">
        <f t="shared" si="31"/>
        <v/>
      </c>
      <c r="CB294" s="93" t="str">
        <f t="shared" si="32"/>
        <v>NA</v>
      </c>
      <c r="CC294" s="96" t="str">
        <f t="shared" si="33"/>
        <v>#N/A</v>
      </c>
      <c r="CD294" s="93" t="str">
        <f t="shared" si="34"/>
        <v/>
      </c>
      <c r="CE294" s="93" t="str">
        <f t="shared" si="35"/>
        <v/>
      </c>
      <c r="CF294" s="93" t="str">
        <f t="shared" si="36"/>
        <v>NA</v>
      </c>
      <c r="CG294" s="97" t="str">
        <f t="shared" si="37"/>
        <v>#N/A</v>
      </c>
      <c r="CH294" s="98" t="str">
        <f t="shared" si="38"/>
        <v>#N/A</v>
      </c>
      <c r="CI294" s="99" t="str">
        <f t="shared" si="39"/>
        <v>#N/A</v>
      </c>
      <c r="CJ294" s="126" t="str">
        <f t="shared" si="40"/>
        <v>ERROR: check cell</v>
      </c>
      <c r="CK294" s="126"/>
      <c r="CL294" s="127" t="str">
        <f t="shared" si="41"/>
        <v>#DIV/0!</v>
      </c>
      <c r="CM294" s="128" t="str">
        <f t="shared" si="42"/>
        <v>#DIV/0!</v>
      </c>
      <c r="CN294" s="128">
        <f t="shared" si="43"/>
        <v>4</v>
      </c>
      <c r="CO294" s="129">
        <f t="shared" si="44"/>
        <v>4</v>
      </c>
      <c r="CP294" s="129" t="str">
        <f>IFS(C294=Preferences!B$13,B294,B294=Preferences!B$13,C294)</f>
        <v>#N/A</v>
      </c>
    </row>
    <row r="295" ht="13.5" customHeight="1">
      <c r="A295" s="63" t="str">
        <f t="shared" si="45"/>
        <v/>
      </c>
      <c r="B295" s="64"/>
      <c r="C295" s="64"/>
      <c r="D295" s="64"/>
      <c r="E295" s="65"/>
      <c r="F295" s="65"/>
      <c r="G295" s="65"/>
      <c r="H295" s="66"/>
      <c r="I295" s="66"/>
      <c r="J295" s="67"/>
      <c r="K295" s="68"/>
      <c r="L295" s="104"/>
      <c r="M295" s="104"/>
      <c r="N295" s="104"/>
      <c r="O295" s="104"/>
      <c r="P295" s="107" t="str">
        <f t="shared" si="1"/>
        <v/>
      </c>
      <c r="Q295" s="108" t="str">
        <f>IFERROR(IF(AND(Preferences!B$3="Manual",OR(AX295/AW295&gt;G295/F295,BD295="Serious",BD295="Very serious")),"Assess imprecision",IFS(ISBLANK(E295),"",AND(Preferences!B$3="Automatic", G295/F295&gt;=30),"Extremely serious",AND(H295&lt;=$D$1*-1,J295&lt;0,G295/F295&lt;3),"Not serious",AND(H295&lt;=$D$1*-1,J295&lt;0,G295/F295&gt;=3),"Very serious",AND(H295&gt;=$D$1,I295&gt;0,G295/F295&lt;3),"Not serious",AND(H295&gt;=$D$1,I295&gt;0,G295/F295&gt;=3),"Very serious",AND(H295&lt;=$D$1*-1,J295&gt;0,I295&gt;$D$2*-1,G295/F295&lt;3),"Serious", AND(H295&lt;=$D$1*-1,J295&gt;0,I295&lt;$D$2*-1,G295/F295&lt;3),"Very serious", AND(H295&gt;=$D$1,I295&lt;0,J295&lt;$D$2,G295/F295&lt;3),"Serious",AND(H295&gt;=$D$1,I295&lt;0,J295&gt;$D$2,G295/F295&lt;3),"Very serious", AND(H295&lt;=$D$1*-1,J295&gt;0,I295&gt;$D$2*-1,G295/F295&gt;=3),"Very serious", AND(H295&lt;=$D$1*-1,J295&gt;0,I295&lt;$D$2*-1,G295/F295&gt;=3),"Very serious", AND(H295&gt;=$D$1,I295&lt;0,J295&lt;$D$2,G295/F295&gt;=3),"Very serious", AND(H295&gt;=$D$1,I295&lt;0,J295&gt;$D$2,G295/F295&gt;=3),"Very serious", AND(H295&gt;$D$1*-1,H295&lt;$D$1,I295&gt;$D$1*-1,J295&lt;$D$1,G295/F295&lt;3),"Not serious", AND(H295&gt;$D$1*-1,H295&lt;$D$1,OR(I295&lt;=$D$1*-1,J295&gt;=$D$1),I295&gt;$D$2*-1,J295&lt;$D$2,G295/F295&lt;3),"Serious", AND(H295&gt;$D$1*-1,H295&lt;$D$1,OR(I295&lt;=$D$2*-1,J295&gt;=$D$2),G295/F295&lt;3),"Very serious", AND(H295&gt;$D$1*-1,H295&lt;$D$1,I295&gt;$D$1*-1,J295&lt;$D$1,G295/F295&gt;=3),"Very serious", AND(H295&gt;$D$1*-1,H295&lt;$D$1,OR(I295&lt;=$D$1*-1,J295&gt;=$D$1),I295&gt;$D$2*-1,J295&lt;$D$2,G295/F295&gt;=3),"Very serious", AND(H295&gt;$D$1*-1,H295&lt;$D$1,OR(I295&lt;=$D$2*-1,J295&gt;=$D$2),G295/F295&gt;=3),"Very serious")),"")</f>
        <v/>
      </c>
      <c r="R295" s="109" t="str">
        <f t="shared" si="47"/>
        <v/>
      </c>
      <c r="S295" s="64"/>
      <c r="T295" s="72"/>
      <c r="U295" s="72"/>
      <c r="V295" s="72"/>
      <c r="W295" s="73"/>
      <c r="X295" s="73"/>
      <c r="Y295" s="74"/>
      <c r="Z295" s="113" t="str">
        <f t="array" ref="Z295">INDEX($A$1:$C$500, MATCH(1,($B:$B=$B295)*($C:$C=$AB295),0),1)</f>
        <v/>
      </c>
      <c r="AA295" s="113" t="str">
        <f t="array" ref="AA295">INDEX($A$1:$C$500, MATCH(1,($B:$B=$AB295)*($C:$C=$B295),0),1)</f>
        <v/>
      </c>
      <c r="AB295" s="111"/>
      <c r="AC295" s="114" t="str">
        <f t="shared" si="2"/>
        <v/>
      </c>
      <c r="AD295" s="115" t="str">
        <f t="shared" si="3"/>
        <v/>
      </c>
      <c r="AE295" s="116" t="str">
        <f t="array" ref="AE295">INDEX($A$1:$C$500, MATCH(1,($B:$B=$AB295)*($C:$C=$AG295),0),1)</f>
        <v/>
      </c>
      <c r="AF295" s="116" t="str">
        <f t="array" ref="AF295">INDEX($A$1:$C$500, MATCH(1,($B:$B=$AG295)*($C:$C=$AB295),0),1)</f>
        <v/>
      </c>
      <c r="AG295" s="72"/>
      <c r="AH295" s="114" t="str">
        <f t="shared" si="4"/>
        <v/>
      </c>
      <c r="AI295" s="115" t="str">
        <f t="shared" si="5"/>
        <v/>
      </c>
      <c r="AJ295" s="116" t="str">
        <f t="array" ref="AJ295">INDEX($A$1:$C$500, MATCH(1,($B:$B=$C295)*($C:$C=$AG295),0),1)</f>
        <v/>
      </c>
      <c r="AK295" s="116" t="str">
        <f t="array" ref="AK295">INDEX($A$1:$C$500, MATCH(1,($B:$B=$AG295)*($C:$C=$C295),0),1)</f>
        <v/>
      </c>
      <c r="AL295" s="116" t="str">
        <f t="array" ref="AL295">INDEX($A$1:$C$500, MATCH(1,($B:$B=$C295)*($C:$C=$AB295),0),1)</f>
        <v/>
      </c>
      <c r="AM295" s="116" t="str">
        <f t="array" ref="AM295">INDEX($A$1:$C$500, MATCH(1,($B:$B=$AB295)*($C:$C=$C295),0),1)</f>
        <v/>
      </c>
      <c r="AN295" s="114" t="str">
        <f t="array" ref="AN295">IFS(ISNUMBER(AJ295),AJ295,ISNUMBER(AK295),AK295,ISNUMBER(AL295),AL295,ISNUMBER(AM295),AM295)</f>
        <v>#N/A</v>
      </c>
      <c r="AO295" s="115" t="str">
        <f t="shared" si="6"/>
        <v/>
      </c>
      <c r="AP295" s="115" t="str">
        <f t="shared" si="7"/>
        <v/>
      </c>
      <c r="AQ295" s="111"/>
      <c r="AR295" s="109" t="str">
        <f t="shared" si="8"/>
        <v/>
      </c>
      <c r="AS295" s="72" t="str">
        <f>IFERROR(IF(AND(Preferences!B$3="Manual",OR(AX295/AW295&gt;V295/U295,BD295="Serious",BD295="Very serious")),"Assess imprecision",IFERROR(IFS(AND(Preferences!B$3="Automatic",V295/U295&gt;=30),"Extremely serious",AND(W295&lt;=$D$1*-1,Y295&lt;0,V295/U295&lt;3),"Not Serious",AND(W295&lt;=$D$1*-1,Y295&lt;0,V295/U295&gt;=3),"Very serious",AND(W295&gt;=$D$1,X295&gt;0,V295/U295&lt;3),"Not Serious",AND(W295&gt;=$D$1,X295&gt;0,V295/U295&gt;=3),"Very serious",AND(W295&lt;=$D$1*-1,Y295&gt;0,X295&gt;$D$2*-1,V295/U295&lt;3),"Serious", AND(W295&lt;=$D$1*-1,Y295&gt;0,X295&lt;$D$2*-1,V295/U295&lt;3),"Very serious", AND(W295&gt;=$D$1,X295&lt;0,Y295&lt;$D$2,V295/U295&lt;3),"Serious",AND(W295&gt;=$D$1,X295&lt;0,Y295&gt;$D$2,V295/U295&lt;3),"Very serious", AND(W295&lt;=$D$1*-1,Y295&gt;0,X295&gt;$D$2*-1,V295/U295&gt;=3),"Very serious", AND(W295&lt;=$D$1*-1,Y295&gt;0,X295&lt;$D$2*-1,V295/U295&gt;=3),"Very serious", AND(W295&gt;=$D$1,X295&lt;0,Y295&lt;$D$2,V295/U295&gt;=3),"Very serious", AND(W295&gt;=$D$1,X295&lt;0,Y295&gt;$D$2,V295/U295&gt;=3),"Very serious", AND(W295&gt;$D$1*-1,W295&lt;$D$1,X295&gt;$D$1*-1,Y295&lt;$D$1,V295/U295&lt;3),"Not Serious", AND(W295&gt;$D$1*-1,W295&lt;$D$1,OR(X295&lt;=$D$1*-1,Y295&gt;=$D$1),X295&gt;$D$2*-1,Y295&lt;$D$2,V295/U295&lt;3),"Serious", AND(W295&gt;$D$1*-1,W295&lt;$D$1,OR(X295&lt;=$D$2*-1,Y295&gt;=$D$2),V295/U295&lt;3),"Very serious", AND(W295&gt;$D$1*-1,W295&lt;$D$1,X295&gt;$D$1*-1,Y295&lt;$D$1,V295/U295&gt;=3),"Very serious", AND(W295&gt;$D$1*-1,W295&lt;$D$1,OR(X295&lt;=$D$1*-1,Y295&gt;=$D$1),X295&gt;$D$2*-1,Y295&lt;$D$2,V295/U295&gt;=3),"Very serious", AND(W295&gt;$D$1*-1,W295&lt;$D$1,OR(X295&lt;=$D$2*-1,Y295&gt;=$D$2),V295/U295&gt;=3),"Very serious"),"")),"")</f>
        <v/>
      </c>
      <c r="AT295" s="109" t="str">
        <f t="shared" si="9"/>
        <v/>
      </c>
      <c r="AU295" s="64"/>
      <c r="AV295" s="83"/>
      <c r="AW295" s="83"/>
      <c r="AX295" s="83"/>
      <c r="AY295" s="83"/>
      <c r="AZ295" s="83"/>
      <c r="BA295" s="85"/>
      <c r="BB295" s="86" t="str">
        <f>IF(Preferences!B$9="Manual","",IFS(ISBLANK(B295),"",AND(ISNUMBER(E295)=TRUE,ISNUMBER(T295)=FALSE),"Direct", AND(ISNUMBER(E295)=FALSE,ISNUMBER(T295)=TRUE),"Indirect", CN295=4,"Direct",AND(CL295=FALSE, CM295=TRUE,CN295-CO295&gt;-1),"Direct", AND(CL295=FALSE,CM295=TRUE, CN295-CO295&lt;0),"Check algorithm in appendix 2", AND(CL295=TRUE, CM295=FALSE,CN295-CO295&gt;0),"Check algorithm in appendix 2", AND(CL295=TRUE, CM295=FALSE,CN295-CO295=0),"Indirect", AND(CL295=TRUE, CM295=FALSE,CN295-CO295&lt;0),"Indirect", AND(CL295=FALSE,CM295=FALSE,CN295-CO295&gt;-1),"Direct", AND(CL295=FALSE,CM295=FALSE,CN295-CO295&lt;0),"Check algorithm in appendix 2", AND(CL295=TRUE,CM295=TRUE,CN295-CO295&gt;-1),"Direct", AND(CL295=TRUE,CM295=TRUE,CN295-CO295&lt;0),"Check algorithm in appendix 2"))</f>
        <v/>
      </c>
      <c r="BC295" s="120" t="str">
        <f t="shared" si="10"/>
        <v/>
      </c>
      <c r="BD295" s="140"/>
      <c r="BE295" s="122" t="str">
        <f>IF(Preferences!B$3="Manual","", IFERROR(IFS(AND(Preferences!B$3="Automatic",AX295/AW295&gt;=30),"Extremely serious",AND(AY295&lt;=$D$1*-1,BA295&lt;0,AX295/AW295&lt;3),"Not Serious",AND(AY295&lt;=$D$1*-1,BA295&lt;0,AX295/AW295&gt;=3),"Very serious",AND(AY295&gt;=$D$1,AZ295&gt;0,AX295/AW295&lt;3),"Not Serious",AND(AY295&gt;=$D$1,AZ295&gt;0,AX295/AW295&gt;=3),"Very serious",AND(AY295&lt;=$D$1*-1,BA295&gt;0,AZ295&gt;$D$2*-1,AX295/AW295&lt;3),"Serious", AND(AY295&lt;=$D$1*-1,BA295&gt;0,AZ295&lt;$D$2*-1,AX295/AW295&lt;3),"Very serious", AND(AY295&gt;=$D$1,AZ295&lt;0,BA295&lt;$D$2,AX295/AW295&lt;3),"Serious",AND(AY295&gt;=$D$1,AZ295&lt;0,BA295&gt;$D$2,AX295/AW295&lt;3),"Very serious", AND(AY295&lt;=$D$1*-1,BA295&gt;0,AZ295&gt;$D$2*-1,AX295/AW295&gt;=3),"Very serious", AND(AY295&lt;=$D$1*-1,BA295&gt;0,AZ295&lt;$D$2*-1,AX295/AW295&gt;=3),"Very serious", AND(AY295&gt;=$D$1,AZ295&lt;0,BA295&lt;$D$2,AX295/AW295&gt;=3),"Very serious", AND(AY295&gt;=$D$1,AZ295&lt;0,BA295&gt;$D$2,AX295/AW295&gt;=3),"Very serious", AND(AY295&gt;$D$1*-1,AY295&lt;$D$1,AZ295&gt;$D$1*-1,BA295&lt;$D$1,AX295/AW295&lt;3),"Not Serious", AND(AY295&gt;$D$1*-1,AY295&lt;$D$1,OR(AZ295&lt;=$D$1*-1,BA295&gt;=$D$1),AZ295&gt;$D$2*-1,BA295&lt;$D$2,AX295/AW295&lt;3),"Serious", AND(AY295&gt;$D$1*-1,AY295&lt;$D$1,OR(AZ295&lt;=$D$2*-1,BA295&gt;=$D$2),AX295/AW295&lt;3),"Very serious", AND(AY295&gt;$D$1*-1,AY295&lt;$D$1,AZ295&gt;$D$1*-1,BA295&lt;$D$1,AX295/AW295&gt;=3),"Very serious", AND(AY295&gt;$D$1*-1,AY295&lt;$D$1,OR(AZ295&lt;=$D$1*-1,BA295&gt;=$D$1),AZ295&gt;$D$2*-1,BA295&lt;$D$2,AX295/AW295&gt;=3),"Very serious", AND(AY295&gt;$D$1*-1,AY295&lt;$D$1,OR(AZ295&lt;=$D$2*-1,BA295&gt;=$D$2),AX295/AW295&gt;=3),"Very serious"),""))</f>
        <v/>
      </c>
      <c r="BF295" s="107" t="str">
        <f t="shared" si="11"/>
        <v/>
      </c>
      <c r="BG295" s="94" t="str">
        <f t="shared" si="46"/>
        <v/>
      </c>
      <c r="BH295" s="64" t="str">
        <f t="shared" si="12"/>
        <v>#N/A</v>
      </c>
      <c r="BI295" s="64" t="str">
        <f t="shared" si="13"/>
        <v/>
      </c>
      <c r="BJ295" s="123" t="str">
        <f t="shared" si="14"/>
        <v>#N/A</v>
      </c>
      <c r="BK295" s="64" t="str">
        <f t="shared" si="50"/>
        <v>YES</v>
      </c>
      <c r="BL295" s="64" t="str">
        <f t="shared" si="16"/>
        <v>YES</v>
      </c>
      <c r="BM295" s="64" t="str">
        <f t="shared" si="17"/>
        <v>YES</v>
      </c>
      <c r="BN295" s="124" t="str">
        <f t="shared" si="18"/>
        <v/>
      </c>
      <c r="BO295" s="91" t="str">
        <f t="shared" si="19"/>
        <v/>
      </c>
      <c r="BP295" s="91" t="str">
        <f t="shared" si="20"/>
        <v>#N/A</v>
      </c>
      <c r="BQ295" s="91" t="str">
        <f t="shared" si="21"/>
        <v/>
      </c>
      <c r="BR295" s="93" t="str">
        <f t="shared" si="22"/>
        <v/>
      </c>
      <c r="BS295" s="90" t="str">
        <f t="shared" si="23"/>
        <v/>
      </c>
      <c r="BT295" s="93" t="str">
        <f t="shared" si="24"/>
        <v>NA</v>
      </c>
      <c r="BU295" s="125" t="str">
        <f t="shared" si="25"/>
        <v>#N/A</v>
      </c>
      <c r="BV295" s="93" t="str">
        <f t="shared" si="26"/>
        <v/>
      </c>
      <c r="BW295" s="93" t="str">
        <f t="shared" si="27"/>
        <v/>
      </c>
      <c r="BX295" s="93" t="str">
        <f t="shared" si="28"/>
        <v>NA</v>
      </c>
      <c r="BY295" s="95" t="str">
        <f t="shared" si="29"/>
        <v>#N/A</v>
      </c>
      <c r="BZ295" s="93" t="str">
        <f t="shared" si="30"/>
        <v/>
      </c>
      <c r="CA295" s="93" t="str">
        <f t="shared" si="31"/>
        <v/>
      </c>
      <c r="CB295" s="93" t="str">
        <f t="shared" si="32"/>
        <v>NA</v>
      </c>
      <c r="CC295" s="96" t="str">
        <f t="shared" si="33"/>
        <v>#N/A</v>
      </c>
      <c r="CD295" s="93" t="str">
        <f t="shared" si="34"/>
        <v/>
      </c>
      <c r="CE295" s="93" t="str">
        <f t="shared" si="35"/>
        <v/>
      </c>
      <c r="CF295" s="93" t="str">
        <f t="shared" si="36"/>
        <v>NA</v>
      </c>
      <c r="CG295" s="97" t="str">
        <f t="shared" si="37"/>
        <v>#N/A</v>
      </c>
      <c r="CH295" s="98" t="str">
        <f t="shared" si="38"/>
        <v>#N/A</v>
      </c>
      <c r="CI295" s="99" t="str">
        <f t="shared" si="39"/>
        <v>#N/A</v>
      </c>
      <c r="CJ295" s="126" t="str">
        <f t="shared" si="40"/>
        <v>ERROR: check cell</v>
      </c>
      <c r="CK295" s="126"/>
      <c r="CL295" s="127" t="str">
        <f t="shared" si="41"/>
        <v>#DIV/0!</v>
      </c>
      <c r="CM295" s="128" t="str">
        <f t="shared" si="42"/>
        <v>#DIV/0!</v>
      </c>
      <c r="CN295" s="128">
        <f t="shared" si="43"/>
        <v>4</v>
      </c>
      <c r="CO295" s="129">
        <f t="shared" si="44"/>
        <v>4</v>
      </c>
      <c r="CP295" s="129" t="str">
        <f>IFS(C295=Preferences!B$13,B295,B295=Preferences!B$13,C295)</f>
        <v>#N/A</v>
      </c>
    </row>
    <row r="296" ht="13.5" customHeight="1">
      <c r="A296" s="63" t="str">
        <f t="shared" si="45"/>
        <v/>
      </c>
      <c r="B296" s="64"/>
      <c r="C296" s="64"/>
      <c r="D296" s="64"/>
      <c r="E296" s="65"/>
      <c r="F296" s="65"/>
      <c r="G296" s="65"/>
      <c r="H296" s="66"/>
      <c r="I296" s="66"/>
      <c r="J296" s="67"/>
      <c r="K296" s="68"/>
      <c r="L296" s="104"/>
      <c r="M296" s="104"/>
      <c r="N296" s="104"/>
      <c r="O296" s="104"/>
      <c r="P296" s="107" t="str">
        <f t="shared" si="1"/>
        <v/>
      </c>
      <c r="Q296" s="108" t="str">
        <f>IFERROR(IF(AND(Preferences!B$3="Manual",OR(AX296/AW296&gt;G296/F296,BD296="Serious",BD296="Very serious")),"Assess imprecision",IFS(ISBLANK(E296),"",AND(Preferences!B$3="Automatic", G296/F296&gt;=30),"Extremely serious",AND(H296&lt;=$D$1*-1,J296&lt;0,G296/F296&lt;3),"Not serious",AND(H296&lt;=$D$1*-1,J296&lt;0,G296/F296&gt;=3),"Very serious",AND(H296&gt;=$D$1,I296&gt;0,G296/F296&lt;3),"Not serious",AND(H296&gt;=$D$1,I296&gt;0,G296/F296&gt;=3),"Very serious",AND(H296&lt;=$D$1*-1,J296&gt;0,I296&gt;$D$2*-1,G296/F296&lt;3),"Serious", AND(H296&lt;=$D$1*-1,J296&gt;0,I296&lt;$D$2*-1,G296/F296&lt;3),"Very serious", AND(H296&gt;=$D$1,I296&lt;0,J296&lt;$D$2,G296/F296&lt;3),"Serious",AND(H296&gt;=$D$1,I296&lt;0,J296&gt;$D$2,G296/F296&lt;3),"Very serious", AND(H296&lt;=$D$1*-1,J296&gt;0,I296&gt;$D$2*-1,G296/F296&gt;=3),"Very serious", AND(H296&lt;=$D$1*-1,J296&gt;0,I296&lt;$D$2*-1,G296/F296&gt;=3),"Very serious", AND(H296&gt;=$D$1,I296&lt;0,J296&lt;$D$2,G296/F296&gt;=3),"Very serious", AND(H296&gt;=$D$1,I296&lt;0,J296&gt;$D$2,G296/F296&gt;=3),"Very serious", AND(H296&gt;$D$1*-1,H296&lt;$D$1,I296&gt;$D$1*-1,J296&lt;$D$1,G296/F296&lt;3),"Not serious", AND(H296&gt;$D$1*-1,H296&lt;$D$1,OR(I296&lt;=$D$1*-1,J296&gt;=$D$1),I296&gt;$D$2*-1,J296&lt;$D$2,G296/F296&lt;3),"Serious", AND(H296&gt;$D$1*-1,H296&lt;$D$1,OR(I296&lt;=$D$2*-1,J296&gt;=$D$2),G296/F296&lt;3),"Very serious", AND(H296&gt;$D$1*-1,H296&lt;$D$1,I296&gt;$D$1*-1,J296&lt;$D$1,G296/F296&gt;=3),"Very serious", AND(H296&gt;$D$1*-1,H296&lt;$D$1,OR(I296&lt;=$D$1*-1,J296&gt;=$D$1),I296&gt;$D$2*-1,J296&lt;$D$2,G296/F296&gt;=3),"Very serious", AND(H296&gt;$D$1*-1,H296&lt;$D$1,OR(I296&lt;=$D$2*-1,J296&gt;=$D$2),G296/F296&gt;=3),"Very serious")),"")</f>
        <v/>
      </c>
      <c r="R296" s="109" t="str">
        <f t="shared" si="47"/>
        <v/>
      </c>
      <c r="S296" s="64"/>
      <c r="T296" s="72"/>
      <c r="U296" s="72"/>
      <c r="V296" s="72"/>
      <c r="W296" s="73"/>
      <c r="X296" s="73"/>
      <c r="Y296" s="74"/>
      <c r="Z296" s="113" t="str">
        <f t="array" ref="Z296">INDEX($A$1:$C$500, MATCH(1,($B:$B=$B296)*($C:$C=$AB296),0),1)</f>
        <v/>
      </c>
      <c r="AA296" s="113" t="str">
        <f t="array" ref="AA296">INDEX($A$1:$C$500, MATCH(1,($B:$B=$AB296)*($C:$C=$B296),0),1)</f>
        <v/>
      </c>
      <c r="AB296" s="111"/>
      <c r="AC296" s="114" t="str">
        <f t="shared" si="2"/>
        <v/>
      </c>
      <c r="AD296" s="115" t="str">
        <f t="shared" si="3"/>
        <v/>
      </c>
      <c r="AE296" s="116" t="str">
        <f t="array" ref="AE296">INDEX($A$1:$C$500, MATCH(1,($B:$B=$AB296)*($C:$C=$AG296),0),1)</f>
        <v/>
      </c>
      <c r="AF296" s="116" t="str">
        <f t="array" ref="AF296">INDEX($A$1:$C$500, MATCH(1,($B:$B=$AG296)*($C:$C=$AB296),0),1)</f>
        <v/>
      </c>
      <c r="AG296" s="72"/>
      <c r="AH296" s="114" t="str">
        <f t="shared" si="4"/>
        <v/>
      </c>
      <c r="AI296" s="115" t="str">
        <f t="shared" si="5"/>
        <v/>
      </c>
      <c r="AJ296" s="116" t="str">
        <f t="array" ref="AJ296">INDEX($A$1:$C$500, MATCH(1,($B:$B=$C296)*($C:$C=$AG296),0),1)</f>
        <v/>
      </c>
      <c r="AK296" s="116" t="str">
        <f t="array" ref="AK296">INDEX($A$1:$C$500, MATCH(1,($B:$B=$AG296)*($C:$C=$C296),0),1)</f>
        <v/>
      </c>
      <c r="AL296" s="116" t="str">
        <f t="array" ref="AL296">INDEX($A$1:$C$500, MATCH(1,($B:$B=$C296)*($C:$C=$AB296),0),1)</f>
        <v/>
      </c>
      <c r="AM296" s="116" t="str">
        <f t="array" ref="AM296">INDEX($A$1:$C$500, MATCH(1,($B:$B=$AB296)*($C:$C=$C296),0),1)</f>
        <v/>
      </c>
      <c r="AN296" s="114" t="str">
        <f t="array" ref="AN296">IFS(ISNUMBER(AJ296),AJ296,ISNUMBER(AK296),AK296,ISNUMBER(AL296),AL296,ISNUMBER(AM296),AM296)</f>
        <v>#N/A</v>
      </c>
      <c r="AO296" s="115" t="str">
        <f t="shared" si="6"/>
        <v/>
      </c>
      <c r="AP296" s="115" t="str">
        <f t="shared" si="7"/>
        <v/>
      </c>
      <c r="AQ296" s="111"/>
      <c r="AR296" s="109" t="str">
        <f t="shared" si="8"/>
        <v/>
      </c>
      <c r="AS296" s="72" t="str">
        <f>IFERROR(IF(AND(Preferences!B$3="Manual",OR(AX296/AW296&gt;V296/U296,BD296="Serious",BD296="Very serious")),"Assess imprecision",IFERROR(IFS(AND(Preferences!B$3="Automatic",V296/U296&gt;=30),"Extremely serious",AND(W296&lt;=$D$1*-1,Y296&lt;0,V296/U296&lt;3),"Not Serious",AND(W296&lt;=$D$1*-1,Y296&lt;0,V296/U296&gt;=3),"Very serious",AND(W296&gt;=$D$1,X296&gt;0,V296/U296&lt;3),"Not Serious",AND(W296&gt;=$D$1,X296&gt;0,V296/U296&gt;=3),"Very serious",AND(W296&lt;=$D$1*-1,Y296&gt;0,X296&gt;$D$2*-1,V296/U296&lt;3),"Serious", AND(W296&lt;=$D$1*-1,Y296&gt;0,X296&lt;$D$2*-1,V296/U296&lt;3),"Very serious", AND(W296&gt;=$D$1,X296&lt;0,Y296&lt;$D$2,V296/U296&lt;3),"Serious",AND(W296&gt;=$D$1,X296&lt;0,Y296&gt;$D$2,V296/U296&lt;3),"Very serious", AND(W296&lt;=$D$1*-1,Y296&gt;0,X296&gt;$D$2*-1,V296/U296&gt;=3),"Very serious", AND(W296&lt;=$D$1*-1,Y296&gt;0,X296&lt;$D$2*-1,V296/U296&gt;=3),"Very serious", AND(W296&gt;=$D$1,X296&lt;0,Y296&lt;$D$2,V296/U296&gt;=3),"Very serious", AND(W296&gt;=$D$1,X296&lt;0,Y296&gt;$D$2,V296/U296&gt;=3),"Very serious", AND(W296&gt;$D$1*-1,W296&lt;$D$1,X296&gt;$D$1*-1,Y296&lt;$D$1,V296/U296&lt;3),"Not Serious", AND(W296&gt;$D$1*-1,W296&lt;$D$1,OR(X296&lt;=$D$1*-1,Y296&gt;=$D$1),X296&gt;$D$2*-1,Y296&lt;$D$2,V296/U296&lt;3),"Serious", AND(W296&gt;$D$1*-1,W296&lt;$D$1,OR(X296&lt;=$D$2*-1,Y296&gt;=$D$2),V296/U296&lt;3),"Very serious", AND(W296&gt;$D$1*-1,W296&lt;$D$1,X296&gt;$D$1*-1,Y296&lt;$D$1,V296/U296&gt;=3),"Very serious", AND(W296&gt;$D$1*-1,W296&lt;$D$1,OR(X296&lt;=$D$1*-1,Y296&gt;=$D$1),X296&gt;$D$2*-1,Y296&lt;$D$2,V296/U296&gt;=3),"Very serious", AND(W296&gt;$D$1*-1,W296&lt;$D$1,OR(X296&lt;=$D$2*-1,Y296&gt;=$D$2),V296/U296&gt;=3),"Very serious"),"")),"")</f>
        <v/>
      </c>
      <c r="AT296" s="109" t="str">
        <f t="shared" si="9"/>
        <v/>
      </c>
      <c r="AU296" s="64"/>
      <c r="AV296" s="83"/>
      <c r="AW296" s="83"/>
      <c r="AX296" s="83"/>
      <c r="AY296" s="83"/>
      <c r="AZ296" s="83"/>
      <c r="BA296" s="85"/>
      <c r="BB296" s="86" t="str">
        <f>IF(Preferences!B$9="Manual","",IFS(ISBLANK(B296),"",AND(ISNUMBER(E296)=TRUE,ISNUMBER(T296)=FALSE),"Direct", AND(ISNUMBER(E296)=FALSE,ISNUMBER(T296)=TRUE),"Indirect", CN296=4,"Direct",AND(CL296=FALSE, CM296=TRUE,CN296-CO296&gt;-1),"Direct", AND(CL296=FALSE,CM296=TRUE, CN296-CO296&lt;0),"Check algorithm in appendix 2", AND(CL296=TRUE, CM296=FALSE,CN296-CO296&gt;0),"Check algorithm in appendix 2", AND(CL296=TRUE, CM296=FALSE,CN296-CO296=0),"Indirect", AND(CL296=TRUE, CM296=FALSE,CN296-CO296&lt;0),"Indirect", AND(CL296=FALSE,CM296=FALSE,CN296-CO296&gt;-1),"Direct", AND(CL296=FALSE,CM296=FALSE,CN296-CO296&lt;0),"Check algorithm in appendix 2", AND(CL296=TRUE,CM296=TRUE,CN296-CO296&gt;-1),"Direct", AND(CL296=TRUE,CM296=TRUE,CN296-CO296&lt;0),"Check algorithm in appendix 2"))</f>
        <v/>
      </c>
      <c r="BC296" s="120" t="str">
        <f t="shared" si="10"/>
        <v/>
      </c>
      <c r="BD296" s="140"/>
      <c r="BE296" s="122" t="str">
        <f>IF(Preferences!B$3="Manual","", IFERROR(IFS(AND(Preferences!B$3="Automatic",AX296/AW296&gt;=30),"Extremely serious",AND(AY296&lt;=$D$1*-1,BA296&lt;0,AX296/AW296&lt;3),"Not Serious",AND(AY296&lt;=$D$1*-1,BA296&lt;0,AX296/AW296&gt;=3),"Very serious",AND(AY296&gt;=$D$1,AZ296&gt;0,AX296/AW296&lt;3),"Not Serious",AND(AY296&gt;=$D$1,AZ296&gt;0,AX296/AW296&gt;=3),"Very serious",AND(AY296&lt;=$D$1*-1,BA296&gt;0,AZ296&gt;$D$2*-1,AX296/AW296&lt;3),"Serious", AND(AY296&lt;=$D$1*-1,BA296&gt;0,AZ296&lt;$D$2*-1,AX296/AW296&lt;3),"Very serious", AND(AY296&gt;=$D$1,AZ296&lt;0,BA296&lt;$D$2,AX296/AW296&lt;3),"Serious",AND(AY296&gt;=$D$1,AZ296&lt;0,BA296&gt;$D$2,AX296/AW296&lt;3),"Very serious", AND(AY296&lt;=$D$1*-1,BA296&gt;0,AZ296&gt;$D$2*-1,AX296/AW296&gt;=3),"Very serious", AND(AY296&lt;=$D$1*-1,BA296&gt;0,AZ296&lt;$D$2*-1,AX296/AW296&gt;=3),"Very serious", AND(AY296&gt;=$D$1,AZ296&lt;0,BA296&lt;$D$2,AX296/AW296&gt;=3),"Very serious", AND(AY296&gt;=$D$1,AZ296&lt;0,BA296&gt;$D$2,AX296/AW296&gt;=3),"Very serious", AND(AY296&gt;$D$1*-1,AY296&lt;$D$1,AZ296&gt;$D$1*-1,BA296&lt;$D$1,AX296/AW296&lt;3),"Not Serious", AND(AY296&gt;$D$1*-1,AY296&lt;$D$1,OR(AZ296&lt;=$D$1*-1,BA296&gt;=$D$1),AZ296&gt;$D$2*-1,BA296&lt;$D$2,AX296/AW296&lt;3),"Serious", AND(AY296&gt;$D$1*-1,AY296&lt;$D$1,OR(AZ296&lt;=$D$2*-1,BA296&gt;=$D$2),AX296/AW296&lt;3),"Very serious", AND(AY296&gt;$D$1*-1,AY296&lt;$D$1,AZ296&gt;$D$1*-1,BA296&lt;$D$1,AX296/AW296&gt;=3),"Very serious", AND(AY296&gt;$D$1*-1,AY296&lt;$D$1,OR(AZ296&lt;=$D$1*-1,BA296&gt;=$D$1),AZ296&gt;$D$2*-1,BA296&lt;$D$2,AX296/AW296&gt;=3),"Very serious", AND(AY296&gt;$D$1*-1,AY296&lt;$D$1,OR(AZ296&lt;=$D$2*-1,BA296&gt;=$D$2),AX296/AW296&gt;=3),"Very serious"),""))</f>
        <v/>
      </c>
      <c r="BF296" s="107" t="str">
        <f t="shared" si="11"/>
        <v/>
      </c>
      <c r="BG296" s="94" t="str">
        <f t="shared" si="46"/>
        <v/>
      </c>
      <c r="BH296" s="64" t="str">
        <f t="shared" si="12"/>
        <v>#N/A</v>
      </c>
      <c r="BI296" s="64" t="str">
        <f t="shared" si="13"/>
        <v/>
      </c>
      <c r="BJ296" s="123" t="str">
        <f t="shared" si="14"/>
        <v>#N/A</v>
      </c>
      <c r="BK296" s="64" t="str">
        <f t="shared" si="50"/>
        <v>YES</v>
      </c>
      <c r="BL296" s="64" t="str">
        <f t="shared" si="16"/>
        <v>YES</v>
      </c>
      <c r="BM296" s="64" t="str">
        <f t="shared" si="17"/>
        <v>YES</v>
      </c>
      <c r="BN296" s="124" t="str">
        <f t="shared" si="18"/>
        <v/>
      </c>
      <c r="BO296" s="91" t="str">
        <f t="shared" si="19"/>
        <v/>
      </c>
      <c r="BP296" s="91" t="str">
        <f t="shared" si="20"/>
        <v>#N/A</v>
      </c>
      <c r="BQ296" s="91" t="str">
        <f t="shared" si="21"/>
        <v/>
      </c>
      <c r="BR296" s="93" t="str">
        <f t="shared" si="22"/>
        <v/>
      </c>
      <c r="BS296" s="90" t="str">
        <f t="shared" si="23"/>
        <v/>
      </c>
      <c r="BT296" s="93" t="str">
        <f t="shared" si="24"/>
        <v>NA</v>
      </c>
      <c r="BU296" s="125" t="str">
        <f t="shared" si="25"/>
        <v>#N/A</v>
      </c>
      <c r="BV296" s="93" t="str">
        <f t="shared" si="26"/>
        <v/>
      </c>
      <c r="BW296" s="93" t="str">
        <f t="shared" si="27"/>
        <v/>
      </c>
      <c r="BX296" s="93" t="str">
        <f t="shared" si="28"/>
        <v>NA</v>
      </c>
      <c r="BY296" s="95" t="str">
        <f t="shared" si="29"/>
        <v>#N/A</v>
      </c>
      <c r="BZ296" s="93" t="str">
        <f t="shared" si="30"/>
        <v/>
      </c>
      <c r="CA296" s="93" t="str">
        <f t="shared" si="31"/>
        <v/>
      </c>
      <c r="CB296" s="93" t="str">
        <f t="shared" si="32"/>
        <v>NA</v>
      </c>
      <c r="CC296" s="96" t="str">
        <f t="shared" si="33"/>
        <v>#N/A</v>
      </c>
      <c r="CD296" s="93" t="str">
        <f t="shared" si="34"/>
        <v/>
      </c>
      <c r="CE296" s="93" t="str">
        <f t="shared" si="35"/>
        <v/>
      </c>
      <c r="CF296" s="93" t="str">
        <f t="shared" si="36"/>
        <v>NA</v>
      </c>
      <c r="CG296" s="97" t="str">
        <f t="shared" si="37"/>
        <v>#N/A</v>
      </c>
      <c r="CH296" s="98" t="str">
        <f t="shared" si="38"/>
        <v>#N/A</v>
      </c>
      <c r="CI296" s="99" t="str">
        <f t="shared" si="39"/>
        <v>#N/A</v>
      </c>
      <c r="CJ296" s="126" t="str">
        <f t="shared" si="40"/>
        <v>ERROR: check cell</v>
      </c>
      <c r="CK296" s="126"/>
      <c r="CL296" s="127" t="str">
        <f t="shared" si="41"/>
        <v>#DIV/0!</v>
      </c>
      <c r="CM296" s="128" t="str">
        <f t="shared" si="42"/>
        <v>#DIV/0!</v>
      </c>
      <c r="CN296" s="128">
        <f t="shared" si="43"/>
        <v>4</v>
      </c>
      <c r="CO296" s="129">
        <f t="shared" si="44"/>
        <v>4</v>
      </c>
      <c r="CP296" s="129" t="str">
        <f>IFS(C296=Preferences!B$13,B296,B296=Preferences!B$13,C296)</f>
        <v>#N/A</v>
      </c>
    </row>
    <row r="297" ht="13.5" customHeight="1">
      <c r="A297" s="63" t="str">
        <f t="shared" si="45"/>
        <v/>
      </c>
      <c r="B297" s="64"/>
      <c r="C297" s="64"/>
      <c r="D297" s="64"/>
      <c r="E297" s="65"/>
      <c r="F297" s="65"/>
      <c r="G297" s="65"/>
      <c r="H297" s="66"/>
      <c r="I297" s="66"/>
      <c r="J297" s="67"/>
      <c r="K297" s="68"/>
      <c r="L297" s="104"/>
      <c r="M297" s="104"/>
      <c r="N297" s="104"/>
      <c r="O297" s="104"/>
      <c r="P297" s="107" t="str">
        <f t="shared" si="1"/>
        <v/>
      </c>
      <c r="Q297" s="108" t="str">
        <f>IFERROR(IF(AND(Preferences!B$3="Manual",OR(AX297/AW297&gt;G297/F297,BD297="Serious",BD297="Very serious")),"Assess imprecision",IFS(ISBLANK(E297),"",AND(Preferences!B$3="Automatic", G297/F297&gt;=30),"Extremely serious",AND(H297&lt;=$D$1*-1,J297&lt;0,G297/F297&lt;3),"Not serious",AND(H297&lt;=$D$1*-1,J297&lt;0,G297/F297&gt;=3),"Very serious",AND(H297&gt;=$D$1,I297&gt;0,G297/F297&lt;3),"Not serious",AND(H297&gt;=$D$1,I297&gt;0,G297/F297&gt;=3),"Very serious",AND(H297&lt;=$D$1*-1,J297&gt;0,I297&gt;$D$2*-1,G297/F297&lt;3),"Serious", AND(H297&lt;=$D$1*-1,J297&gt;0,I297&lt;$D$2*-1,G297/F297&lt;3),"Very serious", AND(H297&gt;=$D$1,I297&lt;0,J297&lt;$D$2,G297/F297&lt;3),"Serious",AND(H297&gt;=$D$1,I297&lt;0,J297&gt;$D$2,G297/F297&lt;3),"Very serious", AND(H297&lt;=$D$1*-1,J297&gt;0,I297&gt;$D$2*-1,G297/F297&gt;=3),"Very serious", AND(H297&lt;=$D$1*-1,J297&gt;0,I297&lt;$D$2*-1,G297/F297&gt;=3),"Very serious", AND(H297&gt;=$D$1,I297&lt;0,J297&lt;$D$2,G297/F297&gt;=3),"Very serious", AND(H297&gt;=$D$1,I297&lt;0,J297&gt;$D$2,G297/F297&gt;=3),"Very serious", AND(H297&gt;$D$1*-1,H297&lt;$D$1,I297&gt;$D$1*-1,J297&lt;$D$1,G297/F297&lt;3),"Not serious", AND(H297&gt;$D$1*-1,H297&lt;$D$1,OR(I297&lt;=$D$1*-1,J297&gt;=$D$1),I297&gt;$D$2*-1,J297&lt;$D$2,G297/F297&lt;3),"Serious", AND(H297&gt;$D$1*-1,H297&lt;$D$1,OR(I297&lt;=$D$2*-1,J297&gt;=$D$2),G297/F297&lt;3),"Very serious", AND(H297&gt;$D$1*-1,H297&lt;$D$1,I297&gt;$D$1*-1,J297&lt;$D$1,G297/F297&gt;=3),"Very serious", AND(H297&gt;$D$1*-1,H297&lt;$D$1,OR(I297&lt;=$D$1*-1,J297&gt;=$D$1),I297&gt;$D$2*-1,J297&lt;$D$2,G297/F297&gt;=3),"Very serious", AND(H297&gt;$D$1*-1,H297&lt;$D$1,OR(I297&lt;=$D$2*-1,J297&gt;=$D$2),G297/F297&gt;=3),"Very serious")),"")</f>
        <v/>
      </c>
      <c r="R297" s="109" t="str">
        <f t="shared" si="47"/>
        <v/>
      </c>
      <c r="S297" s="64"/>
      <c r="T297" s="72"/>
      <c r="U297" s="72"/>
      <c r="V297" s="72"/>
      <c r="W297" s="73"/>
      <c r="X297" s="73"/>
      <c r="Y297" s="74"/>
      <c r="Z297" s="113" t="str">
        <f t="array" ref="Z297">INDEX($A$1:$C$500, MATCH(1,($B:$B=$B297)*($C:$C=$AB297),0),1)</f>
        <v/>
      </c>
      <c r="AA297" s="113" t="str">
        <f t="array" ref="AA297">INDEX($A$1:$C$500, MATCH(1,($B:$B=$AB297)*($C:$C=$B297),0),1)</f>
        <v/>
      </c>
      <c r="AB297" s="111"/>
      <c r="AC297" s="114" t="str">
        <f t="shared" si="2"/>
        <v/>
      </c>
      <c r="AD297" s="115" t="str">
        <f t="shared" si="3"/>
        <v/>
      </c>
      <c r="AE297" s="116" t="str">
        <f t="array" ref="AE297">INDEX($A$1:$C$500, MATCH(1,($B:$B=$AB297)*($C:$C=$AG297),0),1)</f>
        <v/>
      </c>
      <c r="AF297" s="116" t="str">
        <f t="array" ref="AF297">INDEX($A$1:$C$500, MATCH(1,($B:$B=$AG297)*($C:$C=$AB297),0),1)</f>
        <v/>
      </c>
      <c r="AG297" s="72"/>
      <c r="AH297" s="114" t="str">
        <f t="shared" si="4"/>
        <v/>
      </c>
      <c r="AI297" s="115" t="str">
        <f t="shared" si="5"/>
        <v/>
      </c>
      <c r="AJ297" s="116" t="str">
        <f t="array" ref="AJ297">INDEX($A$1:$C$500, MATCH(1,($B:$B=$C297)*($C:$C=$AG297),0),1)</f>
        <v/>
      </c>
      <c r="AK297" s="116" t="str">
        <f t="array" ref="AK297">INDEX($A$1:$C$500, MATCH(1,($B:$B=$AG297)*($C:$C=$C297),0),1)</f>
        <v/>
      </c>
      <c r="AL297" s="116" t="str">
        <f t="array" ref="AL297">INDEX($A$1:$C$500, MATCH(1,($B:$B=$C297)*($C:$C=$AB297),0),1)</f>
        <v/>
      </c>
      <c r="AM297" s="116" t="str">
        <f t="array" ref="AM297">INDEX($A$1:$C$500, MATCH(1,($B:$B=$AB297)*($C:$C=$C297),0),1)</f>
        <v/>
      </c>
      <c r="AN297" s="114" t="str">
        <f t="array" ref="AN297">IFS(ISNUMBER(AJ297),AJ297,ISNUMBER(AK297),AK297,ISNUMBER(AL297),AL297,ISNUMBER(AM297),AM297)</f>
        <v>#N/A</v>
      </c>
      <c r="AO297" s="115" t="str">
        <f t="shared" si="6"/>
        <v/>
      </c>
      <c r="AP297" s="115" t="str">
        <f t="shared" si="7"/>
        <v/>
      </c>
      <c r="AQ297" s="111"/>
      <c r="AR297" s="109" t="str">
        <f t="shared" si="8"/>
        <v/>
      </c>
      <c r="AS297" s="72" t="str">
        <f>IFERROR(IF(AND(Preferences!B$3="Manual",OR(AX297/AW297&gt;V297/U297,BD297="Serious",BD297="Very serious")),"Assess imprecision",IFERROR(IFS(AND(Preferences!B$3="Automatic",V297/U297&gt;=30),"Extremely serious",AND(W297&lt;=$D$1*-1,Y297&lt;0,V297/U297&lt;3),"Not Serious",AND(W297&lt;=$D$1*-1,Y297&lt;0,V297/U297&gt;=3),"Very serious",AND(W297&gt;=$D$1,X297&gt;0,V297/U297&lt;3),"Not Serious",AND(W297&gt;=$D$1,X297&gt;0,V297/U297&gt;=3),"Very serious",AND(W297&lt;=$D$1*-1,Y297&gt;0,X297&gt;$D$2*-1,V297/U297&lt;3),"Serious", AND(W297&lt;=$D$1*-1,Y297&gt;0,X297&lt;$D$2*-1,V297/U297&lt;3),"Very serious", AND(W297&gt;=$D$1,X297&lt;0,Y297&lt;$D$2,V297/U297&lt;3),"Serious",AND(W297&gt;=$D$1,X297&lt;0,Y297&gt;$D$2,V297/U297&lt;3),"Very serious", AND(W297&lt;=$D$1*-1,Y297&gt;0,X297&gt;$D$2*-1,V297/U297&gt;=3),"Very serious", AND(W297&lt;=$D$1*-1,Y297&gt;0,X297&lt;$D$2*-1,V297/U297&gt;=3),"Very serious", AND(W297&gt;=$D$1,X297&lt;0,Y297&lt;$D$2,V297/U297&gt;=3),"Very serious", AND(W297&gt;=$D$1,X297&lt;0,Y297&gt;$D$2,V297/U297&gt;=3),"Very serious", AND(W297&gt;$D$1*-1,W297&lt;$D$1,X297&gt;$D$1*-1,Y297&lt;$D$1,V297/U297&lt;3),"Not Serious", AND(W297&gt;$D$1*-1,W297&lt;$D$1,OR(X297&lt;=$D$1*-1,Y297&gt;=$D$1),X297&gt;$D$2*-1,Y297&lt;$D$2,V297/U297&lt;3),"Serious", AND(W297&gt;$D$1*-1,W297&lt;$D$1,OR(X297&lt;=$D$2*-1,Y297&gt;=$D$2),V297/U297&lt;3),"Very serious", AND(W297&gt;$D$1*-1,W297&lt;$D$1,X297&gt;$D$1*-1,Y297&lt;$D$1,V297/U297&gt;=3),"Very serious", AND(W297&gt;$D$1*-1,W297&lt;$D$1,OR(X297&lt;=$D$1*-1,Y297&gt;=$D$1),X297&gt;$D$2*-1,Y297&lt;$D$2,V297/U297&gt;=3),"Very serious", AND(W297&gt;$D$1*-1,W297&lt;$D$1,OR(X297&lt;=$D$2*-1,Y297&gt;=$D$2),V297/U297&gt;=3),"Very serious"),"")),"")</f>
        <v/>
      </c>
      <c r="AT297" s="109" t="str">
        <f t="shared" si="9"/>
        <v/>
      </c>
      <c r="AU297" s="64"/>
      <c r="AV297" s="83"/>
      <c r="AW297" s="83"/>
      <c r="AX297" s="83"/>
      <c r="AY297" s="83"/>
      <c r="AZ297" s="83"/>
      <c r="BA297" s="85"/>
      <c r="BB297" s="86" t="str">
        <f>IF(Preferences!B$9="Manual","",IFS(ISBLANK(B297),"",AND(ISNUMBER(E297)=TRUE,ISNUMBER(T297)=FALSE),"Direct", AND(ISNUMBER(E297)=FALSE,ISNUMBER(T297)=TRUE),"Indirect", CN297=4,"Direct",AND(CL297=FALSE, CM297=TRUE,CN297-CO297&gt;-1),"Direct", AND(CL297=FALSE,CM297=TRUE, CN297-CO297&lt;0),"Check algorithm in appendix 2", AND(CL297=TRUE, CM297=FALSE,CN297-CO297&gt;0),"Check algorithm in appendix 2", AND(CL297=TRUE, CM297=FALSE,CN297-CO297=0),"Indirect", AND(CL297=TRUE, CM297=FALSE,CN297-CO297&lt;0),"Indirect", AND(CL297=FALSE,CM297=FALSE,CN297-CO297&gt;-1),"Direct", AND(CL297=FALSE,CM297=FALSE,CN297-CO297&lt;0),"Check algorithm in appendix 2", AND(CL297=TRUE,CM297=TRUE,CN297-CO297&gt;-1),"Direct", AND(CL297=TRUE,CM297=TRUE,CN297-CO297&lt;0),"Check algorithm in appendix 2"))</f>
        <v/>
      </c>
      <c r="BC297" s="120" t="str">
        <f t="shared" si="10"/>
        <v/>
      </c>
      <c r="BD297" s="140"/>
      <c r="BE297" s="122" t="str">
        <f>IF(Preferences!B$3="Manual","", IFERROR(IFS(AND(Preferences!B$3="Automatic",AX297/AW297&gt;=30),"Extremely serious",AND(AY297&lt;=$D$1*-1,BA297&lt;0,AX297/AW297&lt;3),"Not Serious",AND(AY297&lt;=$D$1*-1,BA297&lt;0,AX297/AW297&gt;=3),"Very serious",AND(AY297&gt;=$D$1,AZ297&gt;0,AX297/AW297&lt;3),"Not Serious",AND(AY297&gt;=$D$1,AZ297&gt;0,AX297/AW297&gt;=3),"Very serious",AND(AY297&lt;=$D$1*-1,BA297&gt;0,AZ297&gt;$D$2*-1,AX297/AW297&lt;3),"Serious", AND(AY297&lt;=$D$1*-1,BA297&gt;0,AZ297&lt;$D$2*-1,AX297/AW297&lt;3),"Very serious", AND(AY297&gt;=$D$1,AZ297&lt;0,BA297&lt;$D$2,AX297/AW297&lt;3),"Serious",AND(AY297&gt;=$D$1,AZ297&lt;0,BA297&gt;$D$2,AX297/AW297&lt;3),"Very serious", AND(AY297&lt;=$D$1*-1,BA297&gt;0,AZ297&gt;$D$2*-1,AX297/AW297&gt;=3),"Very serious", AND(AY297&lt;=$D$1*-1,BA297&gt;0,AZ297&lt;$D$2*-1,AX297/AW297&gt;=3),"Very serious", AND(AY297&gt;=$D$1,AZ297&lt;0,BA297&lt;$D$2,AX297/AW297&gt;=3),"Very serious", AND(AY297&gt;=$D$1,AZ297&lt;0,BA297&gt;$D$2,AX297/AW297&gt;=3),"Very serious", AND(AY297&gt;$D$1*-1,AY297&lt;$D$1,AZ297&gt;$D$1*-1,BA297&lt;$D$1,AX297/AW297&lt;3),"Not Serious", AND(AY297&gt;$D$1*-1,AY297&lt;$D$1,OR(AZ297&lt;=$D$1*-1,BA297&gt;=$D$1),AZ297&gt;$D$2*-1,BA297&lt;$D$2,AX297/AW297&lt;3),"Serious", AND(AY297&gt;$D$1*-1,AY297&lt;$D$1,OR(AZ297&lt;=$D$2*-1,BA297&gt;=$D$2),AX297/AW297&lt;3),"Very serious", AND(AY297&gt;$D$1*-1,AY297&lt;$D$1,AZ297&gt;$D$1*-1,BA297&lt;$D$1,AX297/AW297&gt;=3),"Very serious", AND(AY297&gt;$D$1*-1,AY297&lt;$D$1,OR(AZ297&lt;=$D$1*-1,BA297&gt;=$D$1),AZ297&gt;$D$2*-1,BA297&lt;$D$2,AX297/AW297&gt;=3),"Very serious", AND(AY297&gt;$D$1*-1,AY297&lt;$D$1,OR(AZ297&lt;=$D$2*-1,BA297&gt;=$D$2),AX297/AW297&gt;=3),"Very serious"),""))</f>
        <v/>
      </c>
      <c r="BF297" s="107" t="str">
        <f t="shared" si="11"/>
        <v/>
      </c>
      <c r="BG297" s="94" t="str">
        <f t="shared" si="46"/>
        <v/>
      </c>
      <c r="BH297" s="64" t="str">
        <f t="shared" si="12"/>
        <v>#N/A</v>
      </c>
      <c r="BI297" s="64" t="str">
        <f t="shared" si="13"/>
        <v/>
      </c>
      <c r="BJ297" s="123" t="str">
        <f t="shared" si="14"/>
        <v>#N/A</v>
      </c>
      <c r="BK297" s="64" t="str">
        <f t="shared" si="50"/>
        <v>YES</v>
      </c>
      <c r="BL297" s="64" t="str">
        <f t="shared" si="16"/>
        <v>YES</v>
      </c>
      <c r="BM297" s="64" t="str">
        <f t="shared" si="17"/>
        <v>YES</v>
      </c>
      <c r="BN297" s="124" t="str">
        <f t="shared" si="18"/>
        <v/>
      </c>
      <c r="BO297" s="91" t="str">
        <f t="shared" si="19"/>
        <v/>
      </c>
      <c r="BP297" s="91" t="str">
        <f t="shared" si="20"/>
        <v>#N/A</v>
      </c>
      <c r="BQ297" s="91" t="str">
        <f t="shared" si="21"/>
        <v/>
      </c>
      <c r="BR297" s="93" t="str">
        <f t="shared" si="22"/>
        <v/>
      </c>
      <c r="BS297" s="90" t="str">
        <f t="shared" si="23"/>
        <v/>
      </c>
      <c r="BT297" s="93" t="str">
        <f t="shared" si="24"/>
        <v>NA</v>
      </c>
      <c r="BU297" s="125" t="str">
        <f t="shared" si="25"/>
        <v>#N/A</v>
      </c>
      <c r="BV297" s="93" t="str">
        <f t="shared" si="26"/>
        <v/>
      </c>
      <c r="BW297" s="93" t="str">
        <f t="shared" si="27"/>
        <v/>
      </c>
      <c r="BX297" s="93" t="str">
        <f t="shared" si="28"/>
        <v>NA</v>
      </c>
      <c r="BY297" s="95" t="str">
        <f t="shared" si="29"/>
        <v>#N/A</v>
      </c>
      <c r="BZ297" s="93" t="str">
        <f t="shared" si="30"/>
        <v/>
      </c>
      <c r="CA297" s="93" t="str">
        <f t="shared" si="31"/>
        <v/>
      </c>
      <c r="CB297" s="93" t="str">
        <f t="shared" si="32"/>
        <v>NA</v>
      </c>
      <c r="CC297" s="96" t="str">
        <f t="shared" si="33"/>
        <v>#N/A</v>
      </c>
      <c r="CD297" s="93" t="str">
        <f t="shared" si="34"/>
        <v/>
      </c>
      <c r="CE297" s="93" t="str">
        <f t="shared" si="35"/>
        <v/>
      </c>
      <c r="CF297" s="93" t="str">
        <f t="shared" si="36"/>
        <v>NA</v>
      </c>
      <c r="CG297" s="97" t="str">
        <f t="shared" si="37"/>
        <v>#N/A</v>
      </c>
      <c r="CH297" s="98" t="str">
        <f t="shared" si="38"/>
        <v>#N/A</v>
      </c>
      <c r="CI297" s="99" t="str">
        <f t="shared" si="39"/>
        <v>#N/A</v>
      </c>
      <c r="CJ297" s="126" t="str">
        <f t="shared" si="40"/>
        <v>ERROR: check cell</v>
      </c>
      <c r="CK297" s="126"/>
      <c r="CL297" s="127" t="str">
        <f t="shared" si="41"/>
        <v>#DIV/0!</v>
      </c>
      <c r="CM297" s="128" t="str">
        <f t="shared" si="42"/>
        <v>#DIV/0!</v>
      </c>
      <c r="CN297" s="128">
        <f t="shared" si="43"/>
        <v>4</v>
      </c>
      <c r="CO297" s="129">
        <f t="shared" si="44"/>
        <v>4</v>
      </c>
      <c r="CP297" s="129" t="str">
        <f>IFS(C297=Preferences!B$13,B297,B297=Preferences!B$13,C297)</f>
        <v>#N/A</v>
      </c>
    </row>
    <row r="298" ht="13.5" customHeight="1">
      <c r="A298" s="63" t="str">
        <f t="shared" si="45"/>
        <v/>
      </c>
      <c r="B298" s="64"/>
      <c r="C298" s="64"/>
      <c r="D298" s="64"/>
      <c r="E298" s="65"/>
      <c r="F298" s="65"/>
      <c r="G298" s="65"/>
      <c r="H298" s="66"/>
      <c r="I298" s="66"/>
      <c r="J298" s="67"/>
      <c r="K298" s="68"/>
      <c r="L298" s="104"/>
      <c r="M298" s="104"/>
      <c r="N298" s="104"/>
      <c r="O298" s="104"/>
      <c r="P298" s="107" t="str">
        <f t="shared" si="1"/>
        <v/>
      </c>
      <c r="Q298" s="108" t="str">
        <f>IFERROR(IF(AND(Preferences!B$3="Manual",OR(AX298/AW298&gt;G298/F298,BD298="Serious",BD298="Very serious")),"Assess imprecision",IFS(ISBLANK(E298),"",AND(Preferences!B$3="Automatic", G298/F298&gt;=30),"Extremely serious",AND(H298&lt;=$D$1*-1,J298&lt;0,G298/F298&lt;3),"Not serious",AND(H298&lt;=$D$1*-1,J298&lt;0,G298/F298&gt;=3),"Very serious",AND(H298&gt;=$D$1,I298&gt;0,G298/F298&lt;3),"Not serious",AND(H298&gt;=$D$1,I298&gt;0,G298/F298&gt;=3),"Very serious",AND(H298&lt;=$D$1*-1,J298&gt;0,I298&gt;$D$2*-1,G298/F298&lt;3),"Serious", AND(H298&lt;=$D$1*-1,J298&gt;0,I298&lt;$D$2*-1,G298/F298&lt;3),"Very serious", AND(H298&gt;=$D$1,I298&lt;0,J298&lt;$D$2,G298/F298&lt;3),"Serious",AND(H298&gt;=$D$1,I298&lt;0,J298&gt;$D$2,G298/F298&lt;3),"Very serious", AND(H298&lt;=$D$1*-1,J298&gt;0,I298&gt;$D$2*-1,G298/F298&gt;=3),"Very serious", AND(H298&lt;=$D$1*-1,J298&gt;0,I298&lt;$D$2*-1,G298/F298&gt;=3),"Very serious", AND(H298&gt;=$D$1,I298&lt;0,J298&lt;$D$2,G298/F298&gt;=3),"Very serious", AND(H298&gt;=$D$1,I298&lt;0,J298&gt;$D$2,G298/F298&gt;=3),"Very serious", AND(H298&gt;$D$1*-1,H298&lt;$D$1,I298&gt;$D$1*-1,J298&lt;$D$1,G298/F298&lt;3),"Not serious", AND(H298&gt;$D$1*-1,H298&lt;$D$1,OR(I298&lt;=$D$1*-1,J298&gt;=$D$1),I298&gt;$D$2*-1,J298&lt;$D$2,G298/F298&lt;3),"Serious", AND(H298&gt;$D$1*-1,H298&lt;$D$1,OR(I298&lt;=$D$2*-1,J298&gt;=$D$2),G298/F298&lt;3),"Very serious", AND(H298&gt;$D$1*-1,H298&lt;$D$1,I298&gt;$D$1*-1,J298&lt;$D$1,G298/F298&gt;=3),"Very serious", AND(H298&gt;$D$1*-1,H298&lt;$D$1,OR(I298&lt;=$D$1*-1,J298&gt;=$D$1),I298&gt;$D$2*-1,J298&lt;$D$2,G298/F298&gt;=3),"Very serious", AND(H298&gt;$D$1*-1,H298&lt;$D$1,OR(I298&lt;=$D$2*-1,J298&gt;=$D$2),G298/F298&gt;=3),"Very serious")),"")</f>
        <v/>
      </c>
      <c r="R298" s="109" t="str">
        <f t="shared" si="47"/>
        <v/>
      </c>
      <c r="S298" s="64"/>
      <c r="T298" s="72"/>
      <c r="U298" s="72"/>
      <c r="V298" s="72"/>
      <c r="W298" s="73"/>
      <c r="X298" s="73"/>
      <c r="Y298" s="74"/>
      <c r="Z298" s="113" t="str">
        <f t="array" ref="Z298">INDEX($A$1:$C$500, MATCH(1,($B:$B=$B298)*($C:$C=$AB298),0),1)</f>
        <v/>
      </c>
      <c r="AA298" s="113" t="str">
        <f t="array" ref="AA298">INDEX($A$1:$C$500, MATCH(1,($B:$B=$AB298)*($C:$C=$B298),0),1)</f>
        <v/>
      </c>
      <c r="AB298" s="111"/>
      <c r="AC298" s="114" t="str">
        <f t="shared" si="2"/>
        <v/>
      </c>
      <c r="AD298" s="115" t="str">
        <f t="shared" si="3"/>
        <v/>
      </c>
      <c r="AE298" s="116" t="str">
        <f t="array" ref="AE298">INDEX($A$1:$C$500, MATCH(1,($B:$B=$AB298)*($C:$C=$AG298),0),1)</f>
        <v/>
      </c>
      <c r="AF298" s="116" t="str">
        <f t="array" ref="AF298">INDEX($A$1:$C$500, MATCH(1,($B:$B=$AG298)*($C:$C=$AB298),0),1)</f>
        <v/>
      </c>
      <c r="AG298" s="72"/>
      <c r="AH298" s="114" t="str">
        <f t="shared" si="4"/>
        <v/>
      </c>
      <c r="AI298" s="115" t="str">
        <f t="shared" si="5"/>
        <v/>
      </c>
      <c r="AJ298" s="116" t="str">
        <f t="array" ref="AJ298">INDEX($A$1:$C$500, MATCH(1,($B:$B=$C298)*($C:$C=$AG298),0),1)</f>
        <v/>
      </c>
      <c r="AK298" s="116" t="str">
        <f t="array" ref="AK298">INDEX($A$1:$C$500, MATCH(1,($B:$B=$AG298)*($C:$C=$C298),0),1)</f>
        <v/>
      </c>
      <c r="AL298" s="116" t="str">
        <f t="array" ref="AL298">INDEX($A$1:$C$500, MATCH(1,($B:$B=$C298)*($C:$C=$AB298),0),1)</f>
        <v/>
      </c>
      <c r="AM298" s="116" t="str">
        <f t="array" ref="AM298">INDEX($A$1:$C$500, MATCH(1,($B:$B=$AB298)*($C:$C=$C298),0),1)</f>
        <v/>
      </c>
      <c r="AN298" s="114" t="str">
        <f t="array" ref="AN298">IFS(ISNUMBER(AJ298),AJ298,ISNUMBER(AK298),AK298,ISNUMBER(AL298),AL298,ISNUMBER(AM298),AM298)</f>
        <v>#N/A</v>
      </c>
      <c r="AO298" s="115" t="str">
        <f t="shared" si="6"/>
        <v/>
      </c>
      <c r="AP298" s="115" t="str">
        <f t="shared" si="7"/>
        <v/>
      </c>
      <c r="AQ298" s="111"/>
      <c r="AR298" s="109" t="str">
        <f t="shared" si="8"/>
        <v/>
      </c>
      <c r="AS298" s="72" t="str">
        <f>IFERROR(IF(AND(Preferences!B$3="Manual",OR(AX298/AW298&gt;V298/U298,BD298="Serious",BD298="Very serious")),"Assess imprecision",IFERROR(IFS(AND(Preferences!B$3="Automatic",V298/U298&gt;=30),"Extremely serious",AND(W298&lt;=$D$1*-1,Y298&lt;0,V298/U298&lt;3),"Not Serious",AND(W298&lt;=$D$1*-1,Y298&lt;0,V298/U298&gt;=3),"Very serious",AND(W298&gt;=$D$1,X298&gt;0,V298/U298&lt;3),"Not Serious",AND(W298&gt;=$D$1,X298&gt;0,V298/U298&gt;=3),"Very serious",AND(W298&lt;=$D$1*-1,Y298&gt;0,X298&gt;$D$2*-1,V298/U298&lt;3),"Serious", AND(W298&lt;=$D$1*-1,Y298&gt;0,X298&lt;$D$2*-1,V298/U298&lt;3),"Very serious", AND(W298&gt;=$D$1,X298&lt;0,Y298&lt;$D$2,V298/U298&lt;3),"Serious",AND(W298&gt;=$D$1,X298&lt;0,Y298&gt;$D$2,V298/U298&lt;3),"Very serious", AND(W298&lt;=$D$1*-1,Y298&gt;0,X298&gt;$D$2*-1,V298/U298&gt;=3),"Very serious", AND(W298&lt;=$D$1*-1,Y298&gt;0,X298&lt;$D$2*-1,V298/U298&gt;=3),"Very serious", AND(W298&gt;=$D$1,X298&lt;0,Y298&lt;$D$2,V298/U298&gt;=3),"Very serious", AND(W298&gt;=$D$1,X298&lt;0,Y298&gt;$D$2,V298/U298&gt;=3),"Very serious", AND(W298&gt;$D$1*-1,W298&lt;$D$1,X298&gt;$D$1*-1,Y298&lt;$D$1,V298/U298&lt;3),"Not Serious", AND(W298&gt;$D$1*-1,W298&lt;$D$1,OR(X298&lt;=$D$1*-1,Y298&gt;=$D$1),X298&gt;$D$2*-1,Y298&lt;$D$2,V298/U298&lt;3),"Serious", AND(W298&gt;$D$1*-1,W298&lt;$D$1,OR(X298&lt;=$D$2*-1,Y298&gt;=$D$2),V298/U298&lt;3),"Very serious", AND(W298&gt;$D$1*-1,W298&lt;$D$1,X298&gt;$D$1*-1,Y298&lt;$D$1,V298/U298&gt;=3),"Very serious", AND(W298&gt;$D$1*-1,W298&lt;$D$1,OR(X298&lt;=$D$1*-1,Y298&gt;=$D$1),X298&gt;$D$2*-1,Y298&lt;$D$2,V298/U298&gt;=3),"Very serious", AND(W298&gt;$D$1*-1,W298&lt;$D$1,OR(X298&lt;=$D$2*-1,Y298&gt;=$D$2),V298/U298&gt;=3),"Very serious"),"")),"")</f>
        <v/>
      </c>
      <c r="AT298" s="109" t="str">
        <f t="shared" si="9"/>
        <v/>
      </c>
      <c r="AU298" s="64"/>
      <c r="AV298" s="83"/>
      <c r="AW298" s="83"/>
      <c r="AX298" s="83"/>
      <c r="AY298" s="83"/>
      <c r="AZ298" s="83"/>
      <c r="BA298" s="85"/>
      <c r="BB298" s="86" t="str">
        <f>IF(Preferences!B$9="Manual","",IFS(ISBLANK(B298),"",AND(ISNUMBER(E298)=TRUE,ISNUMBER(T298)=FALSE),"Direct", AND(ISNUMBER(E298)=FALSE,ISNUMBER(T298)=TRUE),"Indirect", CN298=4,"Direct",AND(CL298=FALSE, CM298=TRUE,CN298-CO298&gt;-1),"Direct", AND(CL298=FALSE,CM298=TRUE, CN298-CO298&lt;0),"Check algorithm in appendix 2", AND(CL298=TRUE, CM298=FALSE,CN298-CO298&gt;0),"Check algorithm in appendix 2", AND(CL298=TRUE, CM298=FALSE,CN298-CO298=0),"Indirect", AND(CL298=TRUE, CM298=FALSE,CN298-CO298&lt;0),"Indirect", AND(CL298=FALSE,CM298=FALSE,CN298-CO298&gt;-1),"Direct", AND(CL298=FALSE,CM298=FALSE,CN298-CO298&lt;0),"Check algorithm in appendix 2", AND(CL298=TRUE,CM298=TRUE,CN298-CO298&gt;-1),"Direct", AND(CL298=TRUE,CM298=TRUE,CN298-CO298&lt;0),"Check algorithm in appendix 2"))</f>
        <v/>
      </c>
      <c r="BC298" s="120" t="str">
        <f t="shared" si="10"/>
        <v/>
      </c>
      <c r="BD298" s="140"/>
      <c r="BE298" s="122" t="str">
        <f>IF(Preferences!B$3="Manual","", IFERROR(IFS(AND(Preferences!B$3="Automatic",AX298/AW298&gt;=30),"Extremely serious",AND(AY298&lt;=$D$1*-1,BA298&lt;0,AX298/AW298&lt;3),"Not Serious",AND(AY298&lt;=$D$1*-1,BA298&lt;0,AX298/AW298&gt;=3),"Very serious",AND(AY298&gt;=$D$1,AZ298&gt;0,AX298/AW298&lt;3),"Not Serious",AND(AY298&gt;=$D$1,AZ298&gt;0,AX298/AW298&gt;=3),"Very serious",AND(AY298&lt;=$D$1*-1,BA298&gt;0,AZ298&gt;$D$2*-1,AX298/AW298&lt;3),"Serious", AND(AY298&lt;=$D$1*-1,BA298&gt;0,AZ298&lt;$D$2*-1,AX298/AW298&lt;3),"Very serious", AND(AY298&gt;=$D$1,AZ298&lt;0,BA298&lt;$D$2,AX298/AW298&lt;3),"Serious",AND(AY298&gt;=$D$1,AZ298&lt;0,BA298&gt;$D$2,AX298/AW298&lt;3),"Very serious", AND(AY298&lt;=$D$1*-1,BA298&gt;0,AZ298&gt;$D$2*-1,AX298/AW298&gt;=3),"Very serious", AND(AY298&lt;=$D$1*-1,BA298&gt;0,AZ298&lt;$D$2*-1,AX298/AW298&gt;=3),"Very serious", AND(AY298&gt;=$D$1,AZ298&lt;0,BA298&lt;$D$2,AX298/AW298&gt;=3),"Very serious", AND(AY298&gt;=$D$1,AZ298&lt;0,BA298&gt;$D$2,AX298/AW298&gt;=3),"Very serious", AND(AY298&gt;$D$1*-1,AY298&lt;$D$1,AZ298&gt;$D$1*-1,BA298&lt;$D$1,AX298/AW298&lt;3),"Not Serious", AND(AY298&gt;$D$1*-1,AY298&lt;$D$1,OR(AZ298&lt;=$D$1*-1,BA298&gt;=$D$1),AZ298&gt;$D$2*-1,BA298&lt;$D$2,AX298/AW298&lt;3),"Serious", AND(AY298&gt;$D$1*-1,AY298&lt;$D$1,OR(AZ298&lt;=$D$2*-1,BA298&gt;=$D$2),AX298/AW298&lt;3),"Very serious", AND(AY298&gt;$D$1*-1,AY298&lt;$D$1,AZ298&gt;$D$1*-1,BA298&lt;$D$1,AX298/AW298&gt;=3),"Very serious", AND(AY298&gt;$D$1*-1,AY298&lt;$D$1,OR(AZ298&lt;=$D$1*-1,BA298&gt;=$D$1),AZ298&gt;$D$2*-1,BA298&lt;$D$2,AX298/AW298&gt;=3),"Very serious", AND(AY298&gt;$D$1*-1,AY298&lt;$D$1,OR(AZ298&lt;=$D$2*-1,BA298&gt;=$D$2),AX298/AW298&gt;=3),"Very serious"),""))</f>
        <v/>
      </c>
      <c r="BF298" s="107" t="str">
        <f t="shared" si="11"/>
        <v/>
      </c>
      <c r="BG298" s="94" t="str">
        <f t="shared" si="46"/>
        <v/>
      </c>
      <c r="BH298" s="64" t="str">
        <f t="shared" si="12"/>
        <v>#N/A</v>
      </c>
      <c r="BI298" s="64" t="str">
        <f t="shared" si="13"/>
        <v/>
      </c>
      <c r="BJ298" s="123" t="str">
        <f t="shared" si="14"/>
        <v>#N/A</v>
      </c>
      <c r="BK298" s="64" t="str">
        <f t="shared" si="50"/>
        <v>YES</v>
      </c>
      <c r="BL298" s="64" t="str">
        <f t="shared" si="16"/>
        <v>YES</v>
      </c>
      <c r="BM298" s="64" t="str">
        <f t="shared" si="17"/>
        <v>YES</v>
      </c>
      <c r="BN298" s="124" t="str">
        <f t="shared" si="18"/>
        <v/>
      </c>
      <c r="BO298" s="91" t="str">
        <f t="shared" si="19"/>
        <v/>
      </c>
      <c r="BP298" s="91" t="str">
        <f t="shared" si="20"/>
        <v>#N/A</v>
      </c>
      <c r="BQ298" s="91" t="str">
        <f t="shared" si="21"/>
        <v/>
      </c>
      <c r="BR298" s="93" t="str">
        <f t="shared" si="22"/>
        <v/>
      </c>
      <c r="BS298" s="90" t="str">
        <f t="shared" si="23"/>
        <v/>
      </c>
      <c r="BT298" s="93" t="str">
        <f t="shared" si="24"/>
        <v>NA</v>
      </c>
      <c r="BU298" s="125" t="str">
        <f t="shared" si="25"/>
        <v>#N/A</v>
      </c>
      <c r="BV298" s="93" t="str">
        <f t="shared" si="26"/>
        <v/>
      </c>
      <c r="BW298" s="93" t="str">
        <f t="shared" si="27"/>
        <v/>
      </c>
      <c r="BX298" s="93" t="str">
        <f t="shared" si="28"/>
        <v>NA</v>
      </c>
      <c r="BY298" s="95" t="str">
        <f t="shared" si="29"/>
        <v>#N/A</v>
      </c>
      <c r="BZ298" s="93" t="str">
        <f t="shared" si="30"/>
        <v/>
      </c>
      <c r="CA298" s="93" t="str">
        <f t="shared" si="31"/>
        <v/>
      </c>
      <c r="CB298" s="93" t="str">
        <f t="shared" si="32"/>
        <v>NA</v>
      </c>
      <c r="CC298" s="96" t="str">
        <f t="shared" si="33"/>
        <v>#N/A</v>
      </c>
      <c r="CD298" s="93" t="str">
        <f t="shared" si="34"/>
        <v/>
      </c>
      <c r="CE298" s="93" t="str">
        <f t="shared" si="35"/>
        <v/>
      </c>
      <c r="CF298" s="93" t="str">
        <f t="shared" si="36"/>
        <v>NA</v>
      </c>
      <c r="CG298" s="97" t="str">
        <f t="shared" si="37"/>
        <v>#N/A</v>
      </c>
      <c r="CH298" s="98" t="str">
        <f t="shared" si="38"/>
        <v>#N/A</v>
      </c>
      <c r="CI298" s="99" t="str">
        <f t="shared" si="39"/>
        <v>#N/A</v>
      </c>
      <c r="CJ298" s="126" t="str">
        <f t="shared" si="40"/>
        <v>ERROR: check cell</v>
      </c>
      <c r="CK298" s="126"/>
      <c r="CL298" s="127" t="str">
        <f t="shared" si="41"/>
        <v>#DIV/0!</v>
      </c>
      <c r="CM298" s="128" t="str">
        <f t="shared" si="42"/>
        <v>#DIV/0!</v>
      </c>
      <c r="CN298" s="128">
        <f t="shared" si="43"/>
        <v>4</v>
      </c>
      <c r="CO298" s="129">
        <f t="shared" si="44"/>
        <v>4</v>
      </c>
      <c r="CP298" s="129" t="str">
        <f>IFS(C298=Preferences!B$13,B298,B298=Preferences!B$13,C298)</f>
        <v>#N/A</v>
      </c>
    </row>
    <row r="299" ht="13.5" customHeight="1">
      <c r="A299" s="63" t="str">
        <f t="shared" si="45"/>
        <v/>
      </c>
      <c r="B299" s="64"/>
      <c r="C299" s="64"/>
      <c r="D299" s="64"/>
      <c r="E299" s="65"/>
      <c r="F299" s="65"/>
      <c r="G299" s="65"/>
      <c r="H299" s="66"/>
      <c r="I299" s="66"/>
      <c r="J299" s="67"/>
      <c r="K299" s="68"/>
      <c r="L299" s="104"/>
      <c r="M299" s="104"/>
      <c r="N299" s="104"/>
      <c r="O299" s="104"/>
      <c r="P299" s="107" t="str">
        <f t="shared" si="1"/>
        <v/>
      </c>
      <c r="Q299" s="108" t="str">
        <f>IFERROR(IF(AND(Preferences!B$3="Manual",OR(AX299/AW299&gt;G299/F299,BD299="Serious",BD299="Very serious")),"Assess imprecision",IFS(ISBLANK(E299),"",AND(Preferences!B$3="Automatic", G299/F299&gt;=30),"Extremely serious",AND(H299&lt;=$D$1*-1,J299&lt;0,G299/F299&lt;3),"Not serious",AND(H299&lt;=$D$1*-1,J299&lt;0,G299/F299&gt;=3),"Very serious",AND(H299&gt;=$D$1,I299&gt;0,G299/F299&lt;3),"Not serious",AND(H299&gt;=$D$1,I299&gt;0,G299/F299&gt;=3),"Very serious",AND(H299&lt;=$D$1*-1,J299&gt;0,I299&gt;$D$2*-1,G299/F299&lt;3),"Serious", AND(H299&lt;=$D$1*-1,J299&gt;0,I299&lt;$D$2*-1,G299/F299&lt;3),"Very serious", AND(H299&gt;=$D$1,I299&lt;0,J299&lt;$D$2,G299/F299&lt;3),"Serious",AND(H299&gt;=$D$1,I299&lt;0,J299&gt;$D$2,G299/F299&lt;3),"Very serious", AND(H299&lt;=$D$1*-1,J299&gt;0,I299&gt;$D$2*-1,G299/F299&gt;=3),"Very serious", AND(H299&lt;=$D$1*-1,J299&gt;0,I299&lt;$D$2*-1,G299/F299&gt;=3),"Very serious", AND(H299&gt;=$D$1,I299&lt;0,J299&lt;$D$2,G299/F299&gt;=3),"Very serious", AND(H299&gt;=$D$1,I299&lt;0,J299&gt;$D$2,G299/F299&gt;=3),"Very serious", AND(H299&gt;$D$1*-1,H299&lt;$D$1,I299&gt;$D$1*-1,J299&lt;$D$1,G299/F299&lt;3),"Not serious", AND(H299&gt;$D$1*-1,H299&lt;$D$1,OR(I299&lt;=$D$1*-1,J299&gt;=$D$1),I299&gt;$D$2*-1,J299&lt;$D$2,G299/F299&lt;3),"Serious", AND(H299&gt;$D$1*-1,H299&lt;$D$1,OR(I299&lt;=$D$2*-1,J299&gt;=$D$2),G299/F299&lt;3),"Very serious", AND(H299&gt;$D$1*-1,H299&lt;$D$1,I299&gt;$D$1*-1,J299&lt;$D$1,G299/F299&gt;=3),"Very serious", AND(H299&gt;$D$1*-1,H299&lt;$D$1,OR(I299&lt;=$D$1*-1,J299&gt;=$D$1),I299&gt;$D$2*-1,J299&lt;$D$2,G299/F299&gt;=3),"Very serious", AND(H299&gt;$D$1*-1,H299&lt;$D$1,OR(I299&lt;=$D$2*-1,J299&gt;=$D$2),G299/F299&gt;=3),"Very serious")),"")</f>
        <v/>
      </c>
      <c r="R299" s="109" t="str">
        <f t="shared" si="47"/>
        <v/>
      </c>
      <c r="S299" s="64"/>
      <c r="T299" s="72"/>
      <c r="U299" s="72"/>
      <c r="V299" s="72"/>
      <c r="W299" s="73"/>
      <c r="X299" s="73"/>
      <c r="Y299" s="74"/>
      <c r="Z299" s="113" t="str">
        <f t="array" ref="Z299">INDEX($A$1:$C$500, MATCH(1,($B:$B=$B299)*($C:$C=$AB299),0),1)</f>
        <v/>
      </c>
      <c r="AA299" s="113" t="str">
        <f t="array" ref="AA299">INDEX($A$1:$C$500, MATCH(1,($B:$B=$AB299)*($C:$C=$B299),0),1)</f>
        <v/>
      </c>
      <c r="AB299" s="111"/>
      <c r="AC299" s="114" t="str">
        <f t="shared" si="2"/>
        <v/>
      </c>
      <c r="AD299" s="115" t="str">
        <f t="shared" si="3"/>
        <v/>
      </c>
      <c r="AE299" s="116" t="str">
        <f t="array" ref="AE299">INDEX($A$1:$C$500, MATCH(1,($B:$B=$AB299)*($C:$C=$AG299),0),1)</f>
        <v/>
      </c>
      <c r="AF299" s="116" t="str">
        <f t="array" ref="AF299">INDEX($A$1:$C$500, MATCH(1,($B:$B=$AG299)*($C:$C=$AB299),0),1)</f>
        <v/>
      </c>
      <c r="AG299" s="72"/>
      <c r="AH299" s="114" t="str">
        <f t="shared" si="4"/>
        <v/>
      </c>
      <c r="AI299" s="115" t="str">
        <f t="shared" si="5"/>
        <v/>
      </c>
      <c r="AJ299" s="116" t="str">
        <f t="array" ref="AJ299">INDEX($A$1:$C$500, MATCH(1,($B:$B=$C299)*($C:$C=$AG299),0),1)</f>
        <v/>
      </c>
      <c r="AK299" s="116" t="str">
        <f t="array" ref="AK299">INDEX($A$1:$C$500, MATCH(1,($B:$B=$AG299)*($C:$C=$C299),0),1)</f>
        <v/>
      </c>
      <c r="AL299" s="116" t="str">
        <f t="array" ref="AL299">INDEX($A$1:$C$500, MATCH(1,($B:$B=$C299)*($C:$C=$AB299),0),1)</f>
        <v/>
      </c>
      <c r="AM299" s="116" t="str">
        <f t="array" ref="AM299">INDEX($A$1:$C$500, MATCH(1,($B:$B=$AB299)*($C:$C=$C299),0),1)</f>
        <v/>
      </c>
      <c r="AN299" s="114" t="str">
        <f t="array" ref="AN299">IFS(ISNUMBER(AJ299),AJ299,ISNUMBER(AK299),AK299,ISNUMBER(AL299),AL299,ISNUMBER(AM299),AM299)</f>
        <v>#N/A</v>
      </c>
      <c r="AO299" s="115" t="str">
        <f t="shared" si="6"/>
        <v/>
      </c>
      <c r="AP299" s="115" t="str">
        <f t="shared" si="7"/>
        <v/>
      </c>
      <c r="AQ299" s="111"/>
      <c r="AR299" s="109" t="str">
        <f t="shared" si="8"/>
        <v/>
      </c>
      <c r="AS299" s="72" t="str">
        <f>IFERROR(IF(AND(Preferences!B$3="Manual",OR(AX299/AW299&gt;V299/U299,BD299="Serious",BD299="Very serious")),"Assess imprecision",IFERROR(IFS(AND(Preferences!B$3="Automatic",V299/U299&gt;=30),"Extremely serious",AND(W299&lt;=$D$1*-1,Y299&lt;0,V299/U299&lt;3),"Not Serious",AND(W299&lt;=$D$1*-1,Y299&lt;0,V299/U299&gt;=3),"Very serious",AND(W299&gt;=$D$1,X299&gt;0,V299/U299&lt;3),"Not Serious",AND(W299&gt;=$D$1,X299&gt;0,V299/U299&gt;=3),"Very serious",AND(W299&lt;=$D$1*-1,Y299&gt;0,X299&gt;$D$2*-1,V299/U299&lt;3),"Serious", AND(W299&lt;=$D$1*-1,Y299&gt;0,X299&lt;$D$2*-1,V299/U299&lt;3),"Very serious", AND(W299&gt;=$D$1,X299&lt;0,Y299&lt;$D$2,V299/U299&lt;3),"Serious",AND(W299&gt;=$D$1,X299&lt;0,Y299&gt;$D$2,V299/U299&lt;3),"Very serious", AND(W299&lt;=$D$1*-1,Y299&gt;0,X299&gt;$D$2*-1,V299/U299&gt;=3),"Very serious", AND(W299&lt;=$D$1*-1,Y299&gt;0,X299&lt;$D$2*-1,V299/U299&gt;=3),"Very serious", AND(W299&gt;=$D$1,X299&lt;0,Y299&lt;$D$2,V299/U299&gt;=3),"Very serious", AND(W299&gt;=$D$1,X299&lt;0,Y299&gt;$D$2,V299/U299&gt;=3),"Very serious", AND(W299&gt;$D$1*-1,W299&lt;$D$1,X299&gt;$D$1*-1,Y299&lt;$D$1,V299/U299&lt;3),"Not Serious", AND(W299&gt;$D$1*-1,W299&lt;$D$1,OR(X299&lt;=$D$1*-1,Y299&gt;=$D$1),X299&gt;$D$2*-1,Y299&lt;$D$2,V299/U299&lt;3),"Serious", AND(W299&gt;$D$1*-1,W299&lt;$D$1,OR(X299&lt;=$D$2*-1,Y299&gt;=$D$2),V299/U299&lt;3),"Very serious", AND(W299&gt;$D$1*-1,W299&lt;$D$1,X299&gt;$D$1*-1,Y299&lt;$D$1,V299/U299&gt;=3),"Very serious", AND(W299&gt;$D$1*-1,W299&lt;$D$1,OR(X299&lt;=$D$1*-1,Y299&gt;=$D$1),X299&gt;$D$2*-1,Y299&lt;$D$2,V299/U299&gt;=3),"Very serious", AND(W299&gt;$D$1*-1,W299&lt;$D$1,OR(X299&lt;=$D$2*-1,Y299&gt;=$D$2),V299/U299&gt;=3),"Very serious"),"")),"")</f>
        <v/>
      </c>
      <c r="AT299" s="109" t="str">
        <f t="shared" si="9"/>
        <v/>
      </c>
      <c r="AU299" s="64"/>
      <c r="AV299" s="83"/>
      <c r="AW299" s="83"/>
      <c r="AX299" s="83"/>
      <c r="AY299" s="83"/>
      <c r="AZ299" s="83"/>
      <c r="BA299" s="85"/>
      <c r="BB299" s="86" t="str">
        <f>IF(Preferences!B$9="Manual","",IFS(ISBLANK(B299),"",AND(ISNUMBER(E299)=TRUE,ISNUMBER(T299)=FALSE),"Direct", AND(ISNUMBER(E299)=FALSE,ISNUMBER(T299)=TRUE),"Indirect", CN299=4,"Direct",AND(CL299=FALSE, CM299=TRUE,CN299-CO299&gt;-1),"Direct", AND(CL299=FALSE,CM299=TRUE, CN299-CO299&lt;0),"Check algorithm in appendix 2", AND(CL299=TRUE, CM299=FALSE,CN299-CO299&gt;0),"Check algorithm in appendix 2", AND(CL299=TRUE, CM299=FALSE,CN299-CO299=0),"Indirect", AND(CL299=TRUE, CM299=FALSE,CN299-CO299&lt;0),"Indirect", AND(CL299=FALSE,CM299=FALSE,CN299-CO299&gt;-1),"Direct", AND(CL299=FALSE,CM299=FALSE,CN299-CO299&lt;0),"Check algorithm in appendix 2", AND(CL299=TRUE,CM299=TRUE,CN299-CO299&gt;-1),"Direct", AND(CL299=TRUE,CM299=TRUE,CN299-CO299&lt;0),"Check algorithm in appendix 2"))</f>
        <v/>
      </c>
      <c r="BC299" s="120" t="str">
        <f t="shared" si="10"/>
        <v/>
      </c>
      <c r="BD299" s="140"/>
      <c r="BE299" s="122" t="str">
        <f>IF(Preferences!B$3="Manual","", IFERROR(IFS(AND(Preferences!B$3="Automatic",AX299/AW299&gt;=30),"Extremely serious",AND(AY299&lt;=$D$1*-1,BA299&lt;0,AX299/AW299&lt;3),"Not Serious",AND(AY299&lt;=$D$1*-1,BA299&lt;0,AX299/AW299&gt;=3),"Very serious",AND(AY299&gt;=$D$1,AZ299&gt;0,AX299/AW299&lt;3),"Not Serious",AND(AY299&gt;=$D$1,AZ299&gt;0,AX299/AW299&gt;=3),"Very serious",AND(AY299&lt;=$D$1*-1,BA299&gt;0,AZ299&gt;$D$2*-1,AX299/AW299&lt;3),"Serious", AND(AY299&lt;=$D$1*-1,BA299&gt;0,AZ299&lt;$D$2*-1,AX299/AW299&lt;3),"Very serious", AND(AY299&gt;=$D$1,AZ299&lt;0,BA299&lt;$D$2,AX299/AW299&lt;3),"Serious",AND(AY299&gt;=$D$1,AZ299&lt;0,BA299&gt;$D$2,AX299/AW299&lt;3),"Very serious", AND(AY299&lt;=$D$1*-1,BA299&gt;0,AZ299&gt;$D$2*-1,AX299/AW299&gt;=3),"Very serious", AND(AY299&lt;=$D$1*-1,BA299&gt;0,AZ299&lt;$D$2*-1,AX299/AW299&gt;=3),"Very serious", AND(AY299&gt;=$D$1,AZ299&lt;0,BA299&lt;$D$2,AX299/AW299&gt;=3),"Very serious", AND(AY299&gt;=$D$1,AZ299&lt;0,BA299&gt;$D$2,AX299/AW299&gt;=3),"Very serious", AND(AY299&gt;$D$1*-1,AY299&lt;$D$1,AZ299&gt;$D$1*-1,BA299&lt;$D$1,AX299/AW299&lt;3),"Not Serious", AND(AY299&gt;$D$1*-1,AY299&lt;$D$1,OR(AZ299&lt;=$D$1*-1,BA299&gt;=$D$1),AZ299&gt;$D$2*-1,BA299&lt;$D$2,AX299/AW299&lt;3),"Serious", AND(AY299&gt;$D$1*-1,AY299&lt;$D$1,OR(AZ299&lt;=$D$2*-1,BA299&gt;=$D$2),AX299/AW299&lt;3),"Very serious", AND(AY299&gt;$D$1*-1,AY299&lt;$D$1,AZ299&gt;$D$1*-1,BA299&lt;$D$1,AX299/AW299&gt;=3),"Very serious", AND(AY299&gt;$D$1*-1,AY299&lt;$D$1,OR(AZ299&lt;=$D$1*-1,BA299&gt;=$D$1),AZ299&gt;$D$2*-1,BA299&lt;$D$2,AX299/AW299&gt;=3),"Very serious", AND(AY299&gt;$D$1*-1,AY299&lt;$D$1,OR(AZ299&lt;=$D$2*-1,BA299&gt;=$D$2),AX299/AW299&gt;=3),"Very serious"),""))</f>
        <v/>
      </c>
      <c r="BF299" s="107" t="str">
        <f t="shared" si="11"/>
        <v/>
      </c>
      <c r="BG299" s="94" t="str">
        <f t="shared" si="46"/>
        <v/>
      </c>
      <c r="BH299" s="64" t="str">
        <f t="shared" si="12"/>
        <v>#N/A</v>
      </c>
      <c r="BI299" s="64" t="str">
        <f t="shared" si="13"/>
        <v/>
      </c>
      <c r="BJ299" s="123" t="str">
        <f t="shared" si="14"/>
        <v>#N/A</v>
      </c>
      <c r="BK299" s="64" t="str">
        <f t="shared" si="50"/>
        <v>YES</v>
      </c>
      <c r="BL299" s="64" t="str">
        <f t="shared" si="16"/>
        <v>YES</v>
      </c>
      <c r="BM299" s="64" t="str">
        <f t="shared" si="17"/>
        <v>YES</v>
      </c>
      <c r="BN299" s="124" t="str">
        <f t="shared" si="18"/>
        <v/>
      </c>
      <c r="BO299" s="91" t="str">
        <f t="shared" si="19"/>
        <v/>
      </c>
      <c r="BP299" s="91" t="str">
        <f t="shared" si="20"/>
        <v>#N/A</v>
      </c>
      <c r="BQ299" s="91" t="str">
        <f t="shared" si="21"/>
        <v/>
      </c>
      <c r="BR299" s="93" t="str">
        <f t="shared" si="22"/>
        <v/>
      </c>
      <c r="BS299" s="90" t="str">
        <f t="shared" si="23"/>
        <v/>
      </c>
      <c r="BT299" s="93" t="str">
        <f t="shared" si="24"/>
        <v>NA</v>
      </c>
      <c r="BU299" s="125" t="str">
        <f t="shared" si="25"/>
        <v>#N/A</v>
      </c>
      <c r="BV299" s="93" t="str">
        <f t="shared" si="26"/>
        <v/>
      </c>
      <c r="BW299" s="93" t="str">
        <f t="shared" si="27"/>
        <v/>
      </c>
      <c r="BX299" s="93" t="str">
        <f t="shared" si="28"/>
        <v>NA</v>
      </c>
      <c r="BY299" s="95" t="str">
        <f t="shared" si="29"/>
        <v>#N/A</v>
      </c>
      <c r="BZ299" s="93" t="str">
        <f t="shared" si="30"/>
        <v/>
      </c>
      <c r="CA299" s="93" t="str">
        <f t="shared" si="31"/>
        <v/>
      </c>
      <c r="CB299" s="93" t="str">
        <f t="shared" si="32"/>
        <v>NA</v>
      </c>
      <c r="CC299" s="96" t="str">
        <f t="shared" si="33"/>
        <v>#N/A</v>
      </c>
      <c r="CD299" s="93" t="str">
        <f t="shared" si="34"/>
        <v/>
      </c>
      <c r="CE299" s="93" t="str">
        <f t="shared" si="35"/>
        <v/>
      </c>
      <c r="CF299" s="93" t="str">
        <f t="shared" si="36"/>
        <v>NA</v>
      </c>
      <c r="CG299" s="97" t="str">
        <f t="shared" si="37"/>
        <v>#N/A</v>
      </c>
      <c r="CH299" s="98" t="str">
        <f t="shared" si="38"/>
        <v>#N/A</v>
      </c>
      <c r="CI299" s="99" t="str">
        <f t="shared" si="39"/>
        <v>#N/A</v>
      </c>
      <c r="CJ299" s="126" t="str">
        <f t="shared" si="40"/>
        <v>ERROR: check cell</v>
      </c>
      <c r="CK299" s="126"/>
      <c r="CL299" s="127" t="str">
        <f t="shared" si="41"/>
        <v>#DIV/0!</v>
      </c>
      <c r="CM299" s="128" t="str">
        <f t="shared" si="42"/>
        <v>#DIV/0!</v>
      </c>
      <c r="CN299" s="128">
        <f t="shared" si="43"/>
        <v>4</v>
      </c>
      <c r="CO299" s="129">
        <f t="shared" si="44"/>
        <v>4</v>
      </c>
      <c r="CP299" s="129" t="str">
        <f>IFS(C299=Preferences!B$13,B299,B299=Preferences!B$13,C299)</f>
        <v>#N/A</v>
      </c>
    </row>
    <row r="300" ht="13.5" customHeight="1">
      <c r="A300" s="63" t="str">
        <f t="shared" si="45"/>
        <v/>
      </c>
      <c r="B300" s="64"/>
      <c r="C300" s="64"/>
      <c r="D300" s="64"/>
      <c r="E300" s="65"/>
      <c r="F300" s="65"/>
      <c r="G300" s="65"/>
      <c r="H300" s="66"/>
      <c r="I300" s="66"/>
      <c r="J300" s="67"/>
      <c r="K300" s="68"/>
      <c r="L300" s="104"/>
      <c r="M300" s="104"/>
      <c r="N300" s="104"/>
      <c r="O300" s="104"/>
      <c r="P300" s="107" t="str">
        <f t="shared" si="1"/>
        <v/>
      </c>
      <c r="Q300" s="108" t="str">
        <f>IFERROR(IF(AND(Preferences!B$3="Manual",OR(AX300/AW300&gt;G300/F300,BD300="Serious",BD300="Very serious")),"Assess imprecision",IFS(ISBLANK(E300),"",AND(Preferences!B$3="Automatic", G300/F300&gt;=30),"Extremely serious",AND(H300&lt;=$D$1*-1,J300&lt;0,G300/F300&lt;3),"Not serious",AND(H300&lt;=$D$1*-1,J300&lt;0,G300/F300&gt;=3),"Very serious",AND(H300&gt;=$D$1,I300&gt;0,G300/F300&lt;3),"Not serious",AND(H300&gt;=$D$1,I300&gt;0,G300/F300&gt;=3),"Very serious",AND(H300&lt;=$D$1*-1,J300&gt;0,I300&gt;$D$2*-1,G300/F300&lt;3),"Serious", AND(H300&lt;=$D$1*-1,J300&gt;0,I300&lt;$D$2*-1,G300/F300&lt;3),"Very serious", AND(H300&gt;=$D$1,I300&lt;0,J300&lt;$D$2,G300/F300&lt;3),"Serious",AND(H300&gt;=$D$1,I300&lt;0,J300&gt;$D$2,G300/F300&lt;3),"Very serious", AND(H300&lt;=$D$1*-1,J300&gt;0,I300&gt;$D$2*-1,G300/F300&gt;=3),"Very serious", AND(H300&lt;=$D$1*-1,J300&gt;0,I300&lt;$D$2*-1,G300/F300&gt;=3),"Very serious", AND(H300&gt;=$D$1,I300&lt;0,J300&lt;$D$2,G300/F300&gt;=3),"Very serious", AND(H300&gt;=$D$1,I300&lt;0,J300&gt;$D$2,G300/F300&gt;=3),"Very serious", AND(H300&gt;$D$1*-1,H300&lt;$D$1,I300&gt;$D$1*-1,J300&lt;$D$1,G300/F300&lt;3),"Not serious", AND(H300&gt;$D$1*-1,H300&lt;$D$1,OR(I300&lt;=$D$1*-1,J300&gt;=$D$1),I300&gt;$D$2*-1,J300&lt;$D$2,G300/F300&lt;3),"Serious", AND(H300&gt;$D$1*-1,H300&lt;$D$1,OR(I300&lt;=$D$2*-1,J300&gt;=$D$2),G300/F300&lt;3),"Very serious", AND(H300&gt;$D$1*-1,H300&lt;$D$1,I300&gt;$D$1*-1,J300&lt;$D$1,G300/F300&gt;=3),"Very serious", AND(H300&gt;$D$1*-1,H300&lt;$D$1,OR(I300&lt;=$D$1*-1,J300&gt;=$D$1),I300&gt;$D$2*-1,J300&lt;$D$2,G300/F300&gt;=3),"Very serious", AND(H300&gt;$D$1*-1,H300&lt;$D$1,OR(I300&lt;=$D$2*-1,J300&gt;=$D$2),G300/F300&gt;=3),"Very serious")),"")</f>
        <v/>
      </c>
      <c r="R300" s="109" t="str">
        <f t="shared" si="47"/>
        <v/>
      </c>
      <c r="S300" s="64"/>
      <c r="T300" s="72"/>
      <c r="U300" s="72"/>
      <c r="V300" s="72"/>
      <c r="W300" s="73"/>
      <c r="X300" s="73"/>
      <c r="Y300" s="74"/>
      <c r="Z300" s="113" t="str">
        <f t="array" ref="Z300">INDEX($A$1:$C$500, MATCH(1,($B:$B=$B300)*($C:$C=$AB300),0),1)</f>
        <v/>
      </c>
      <c r="AA300" s="113" t="str">
        <f t="array" ref="AA300">INDEX($A$1:$C$500, MATCH(1,($B:$B=$AB300)*($C:$C=$B300),0),1)</f>
        <v/>
      </c>
      <c r="AB300" s="111"/>
      <c r="AC300" s="114" t="str">
        <f t="shared" si="2"/>
        <v/>
      </c>
      <c r="AD300" s="115" t="str">
        <f t="shared" si="3"/>
        <v/>
      </c>
      <c r="AE300" s="116" t="str">
        <f t="array" ref="AE300">INDEX($A$1:$C$500, MATCH(1,($B:$B=$AB300)*($C:$C=$AG300),0),1)</f>
        <v/>
      </c>
      <c r="AF300" s="116" t="str">
        <f t="array" ref="AF300">INDEX($A$1:$C$500, MATCH(1,($B:$B=$AG300)*($C:$C=$AB300),0),1)</f>
        <v/>
      </c>
      <c r="AG300" s="72"/>
      <c r="AH300" s="114" t="str">
        <f t="shared" si="4"/>
        <v/>
      </c>
      <c r="AI300" s="115" t="str">
        <f t="shared" si="5"/>
        <v/>
      </c>
      <c r="AJ300" s="116" t="str">
        <f t="array" ref="AJ300">INDEX($A$1:$C$500, MATCH(1,($B:$B=$C300)*($C:$C=$AG300),0),1)</f>
        <v/>
      </c>
      <c r="AK300" s="116" t="str">
        <f t="array" ref="AK300">INDEX($A$1:$C$500, MATCH(1,($B:$B=$AG300)*($C:$C=$C300),0),1)</f>
        <v/>
      </c>
      <c r="AL300" s="116" t="str">
        <f t="array" ref="AL300">INDEX($A$1:$C$500, MATCH(1,($B:$B=$C300)*($C:$C=$AB300),0),1)</f>
        <v/>
      </c>
      <c r="AM300" s="116" t="str">
        <f t="array" ref="AM300">INDEX($A$1:$C$500, MATCH(1,($B:$B=$AB300)*($C:$C=$C300),0),1)</f>
        <v/>
      </c>
      <c r="AN300" s="114" t="str">
        <f t="array" ref="AN300">IFS(ISNUMBER(AJ300),AJ300,ISNUMBER(AK300),AK300,ISNUMBER(AL300),AL300,ISNUMBER(AM300),AM300)</f>
        <v>#N/A</v>
      </c>
      <c r="AO300" s="115" t="str">
        <f t="shared" si="6"/>
        <v/>
      </c>
      <c r="AP300" s="115" t="str">
        <f t="shared" si="7"/>
        <v/>
      </c>
      <c r="AQ300" s="111"/>
      <c r="AR300" s="109" t="str">
        <f t="shared" si="8"/>
        <v/>
      </c>
      <c r="AS300" s="72" t="str">
        <f>IFERROR(IF(AND(Preferences!B$3="Manual",OR(AX300/AW300&gt;V300/U300,BD300="Serious",BD300="Very serious")),"Assess imprecision",IFERROR(IFS(AND(Preferences!B$3="Automatic",V300/U300&gt;=30),"Extremely serious",AND(W300&lt;=$D$1*-1,Y300&lt;0,V300/U300&lt;3),"Not Serious",AND(W300&lt;=$D$1*-1,Y300&lt;0,V300/U300&gt;=3),"Very serious",AND(W300&gt;=$D$1,X300&gt;0,V300/U300&lt;3),"Not Serious",AND(W300&gt;=$D$1,X300&gt;0,V300/U300&gt;=3),"Very serious",AND(W300&lt;=$D$1*-1,Y300&gt;0,X300&gt;$D$2*-1,V300/U300&lt;3),"Serious", AND(W300&lt;=$D$1*-1,Y300&gt;0,X300&lt;$D$2*-1,V300/U300&lt;3),"Very serious", AND(W300&gt;=$D$1,X300&lt;0,Y300&lt;$D$2,V300/U300&lt;3),"Serious",AND(W300&gt;=$D$1,X300&lt;0,Y300&gt;$D$2,V300/U300&lt;3),"Very serious", AND(W300&lt;=$D$1*-1,Y300&gt;0,X300&gt;$D$2*-1,V300/U300&gt;=3),"Very serious", AND(W300&lt;=$D$1*-1,Y300&gt;0,X300&lt;$D$2*-1,V300/U300&gt;=3),"Very serious", AND(W300&gt;=$D$1,X300&lt;0,Y300&lt;$D$2,V300/U300&gt;=3),"Very serious", AND(W300&gt;=$D$1,X300&lt;0,Y300&gt;$D$2,V300/U300&gt;=3),"Very serious", AND(W300&gt;$D$1*-1,W300&lt;$D$1,X300&gt;$D$1*-1,Y300&lt;$D$1,V300/U300&lt;3),"Not Serious", AND(W300&gt;$D$1*-1,W300&lt;$D$1,OR(X300&lt;=$D$1*-1,Y300&gt;=$D$1),X300&gt;$D$2*-1,Y300&lt;$D$2,V300/U300&lt;3),"Serious", AND(W300&gt;$D$1*-1,W300&lt;$D$1,OR(X300&lt;=$D$2*-1,Y300&gt;=$D$2),V300/U300&lt;3),"Very serious", AND(W300&gt;$D$1*-1,W300&lt;$D$1,X300&gt;$D$1*-1,Y300&lt;$D$1,V300/U300&gt;=3),"Very serious", AND(W300&gt;$D$1*-1,W300&lt;$D$1,OR(X300&lt;=$D$1*-1,Y300&gt;=$D$1),X300&gt;$D$2*-1,Y300&lt;$D$2,V300/U300&gt;=3),"Very serious", AND(W300&gt;$D$1*-1,W300&lt;$D$1,OR(X300&lt;=$D$2*-1,Y300&gt;=$D$2),V300/U300&gt;=3),"Very serious"),"")),"")</f>
        <v/>
      </c>
      <c r="AT300" s="109" t="str">
        <f t="shared" si="9"/>
        <v/>
      </c>
      <c r="AU300" s="64"/>
      <c r="AV300" s="83"/>
      <c r="AW300" s="83"/>
      <c r="AX300" s="83"/>
      <c r="AY300" s="83"/>
      <c r="AZ300" s="83"/>
      <c r="BA300" s="85"/>
      <c r="BB300" s="86" t="str">
        <f>IF(Preferences!B$9="Manual","",IFS(ISBLANK(B300),"",AND(ISNUMBER(E300)=TRUE,ISNUMBER(T300)=FALSE),"Direct", AND(ISNUMBER(E300)=FALSE,ISNUMBER(T300)=TRUE),"Indirect", CN300=4,"Direct",AND(CL300=FALSE, CM300=TRUE,CN300-CO300&gt;-1),"Direct", AND(CL300=FALSE,CM300=TRUE, CN300-CO300&lt;0),"Check algorithm in appendix 2", AND(CL300=TRUE, CM300=FALSE,CN300-CO300&gt;0),"Check algorithm in appendix 2", AND(CL300=TRUE, CM300=FALSE,CN300-CO300=0),"Indirect", AND(CL300=TRUE, CM300=FALSE,CN300-CO300&lt;0),"Indirect", AND(CL300=FALSE,CM300=FALSE,CN300-CO300&gt;-1),"Direct", AND(CL300=FALSE,CM300=FALSE,CN300-CO300&lt;0),"Check algorithm in appendix 2", AND(CL300=TRUE,CM300=TRUE,CN300-CO300&gt;-1),"Direct", AND(CL300=TRUE,CM300=TRUE,CN300-CO300&lt;0),"Check algorithm in appendix 2"))</f>
        <v/>
      </c>
      <c r="BC300" s="120" t="str">
        <f t="shared" si="10"/>
        <v/>
      </c>
      <c r="BD300" s="140"/>
      <c r="BE300" s="122" t="str">
        <f>IF(Preferences!B$3="Manual","", IFERROR(IFS(AND(Preferences!B$3="Automatic",AX300/AW300&gt;=30),"Extremely serious",AND(AY300&lt;=$D$1*-1,BA300&lt;0,AX300/AW300&lt;3),"Not Serious",AND(AY300&lt;=$D$1*-1,BA300&lt;0,AX300/AW300&gt;=3),"Very serious",AND(AY300&gt;=$D$1,AZ300&gt;0,AX300/AW300&lt;3),"Not Serious",AND(AY300&gt;=$D$1,AZ300&gt;0,AX300/AW300&gt;=3),"Very serious",AND(AY300&lt;=$D$1*-1,BA300&gt;0,AZ300&gt;$D$2*-1,AX300/AW300&lt;3),"Serious", AND(AY300&lt;=$D$1*-1,BA300&gt;0,AZ300&lt;$D$2*-1,AX300/AW300&lt;3),"Very serious", AND(AY300&gt;=$D$1,AZ300&lt;0,BA300&lt;$D$2,AX300/AW300&lt;3),"Serious",AND(AY300&gt;=$D$1,AZ300&lt;0,BA300&gt;$D$2,AX300/AW300&lt;3),"Very serious", AND(AY300&lt;=$D$1*-1,BA300&gt;0,AZ300&gt;$D$2*-1,AX300/AW300&gt;=3),"Very serious", AND(AY300&lt;=$D$1*-1,BA300&gt;0,AZ300&lt;$D$2*-1,AX300/AW300&gt;=3),"Very serious", AND(AY300&gt;=$D$1,AZ300&lt;0,BA300&lt;$D$2,AX300/AW300&gt;=3),"Very serious", AND(AY300&gt;=$D$1,AZ300&lt;0,BA300&gt;$D$2,AX300/AW300&gt;=3),"Very serious", AND(AY300&gt;$D$1*-1,AY300&lt;$D$1,AZ300&gt;$D$1*-1,BA300&lt;$D$1,AX300/AW300&lt;3),"Not Serious", AND(AY300&gt;$D$1*-1,AY300&lt;$D$1,OR(AZ300&lt;=$D$1*-1,BA300&gt;=$D$1),AZ300&gt;$D$2*-1,BA300&lt;$D$2,AX300/AW300&lt;3),"Serious", AND(AY300&gt;$D$1*-1,AY300&lt;$D$1,OR(AZ300&lt;=$D$2*-1,BA300&gt;=$D$2),AX300/AW300&lt;3),"Very serious", AND(AY300&gt;$D$1*-1,AY300&lt;$D$1,AZ300&gt;$D$1*-1,BA300&lt;$D$1,AX300/AW300&gt;=3),"Very serious", AND(AY300&gt;$D$1*-1,AY300&lt;$D$1,OR(AZ300&lt;=$D$1*-1,BA300&gt;=$D$1),AZ300&gt;$D$2*-1,BA300&lt;$D$2,AX300/AW300&gt;=3),"Very serious", AND(AY300&gt;$D$1*-1,AY300&lt;$D$1,OR(AZ300&lt;=$D$2*-1,BA300&gt;=$D$2),AX300/AW300&gt;=3),"Very serious"),""))</f>
        <v/>
      </c>
      <c r="BF300" s="107" t="str">
        <f t="shared" si="11"/>
        <v/>
      </c>
      <c r="BG300" s="94" t="str">
        <f t="shared" si="46"/>
        <v/>
      </c>
      <c r="BH300" s="64" t="str">
        <f t="shared" si="12"/>
        <v>#N/A</v>
      </c>
      <c r="BI300" s="64" t="str">
        <f t="shared" si="13"/>
        <v/>
      </c>
      <c r="BJ300" s="123" t="str">
        <f t="shared" si="14"/>
        <v>#N/A</v>
      </c>
      <c r="BK300" s="64" t="str">
        <f t="shared" si="50"/>
        <v>YES</v>
      </c>
      <c r="BL300" s="64" t="str">
        <f t="shared" si="16"/>
        <v>YES</v>
      </c>
      <c r="BM300" s="64" t="str">
        <f t="shared" si="17"/>
        <v>YES</v>
      </c>
      <c r="BN300" s="124" t="str">
        <f t="shared" si="18"/>
        <v/>
      </c>
      <c r="BO300" s="91" t="str">
        <f t="shared" si="19"/>
        <v/>
      </c>
      <c r="BP300" s="91" t="str">
        <f t="shared" si="20"/>
        <v>#N/A</v>
      </c>
      <c r="BQ300" s="91" t="str">
        <f t="shared" si="21"/>
        <v/>
      </c>
      <c r="BR300" s="93" t="str">
        <f t="shared" si="22"/>
        <v/>
      </c>
      <c r="BS300" s="90" t="str">
        <f t="shared" si="23"/>
        <v/>
      </c>
      <c r="BT300" s="93" t="str">
        <f t="shared" si="24"/>
        <v>NA</v>
      </c>
      <c r="BU300" s="125" t="str">
        <f t="shared" si="25"/>
        <v>#N/A</v>
      </c>
      <c r="BV300" s="93" t="str">
        <f t="shared" si="26"/>
        <v/>
      </c>
      <c r="BW300" s="93" t="str">
        <f t="shared" si="27"/>
        <v/>
      </c>
      <c r="BX300" s="93" t="str">
        <f t="shared" si="28"/>
        <v>NA</v>
      </c>
      <c r="BY300" s="95" t="str">
        <f t="shared" si="29"/>
        <v>#N/A</v>
      </c>
      <c r="BZ300" s="93" t="str">
        <f t="shared" si="30"/>
        <v/>
      </c>
      <c r="CA300" s="93" t="str">
        <f t="shared" si="31"/>
        <v/>
      </c>
      <c r="CB300" s="93" t="str">
        <f t="shared" si="32"/>
        <v>NA</v>
      </c>
      <c r="CC300" s="96" t="str">
        <f t="shared" si="33"/>
        <v>#N/A</v>
      </c>
      <c r="CD300" s="93" t="str">
        <f t="shared" si="34"/>
        <v/>
      </c>
      <c r="CE300" s="93" t="str">
        <f t="shared" si="35"/>
        <v/>
      </c>
      <c r="CF300" s="93" t="str">
        <f t="shared" si="36"/>
        <v>NA</v>
      </c>
      <c r="CG300" s="97" t="str">
        <f t="shared" si="37"/>
        <v>#N/A</v>
      </c>
      <c r="CH300" s="98" t="str">
        <f t="shared" si="38"/>
        <v>#N/A</v>
      </c>
      <c r="CI300" s="99" t="str">
        <f t="shared" si="39"/>
        <v>#N/A</v>
      </c>
      <c r="CJ300" s="126" t="str">
        <f t="shared" si="40"/>
        <v>ERROR: check cell</v>
      </c>
      <c r="CK300" s="126"/>
      <c r="CL300" s="127" t="str">
        <f t="shared" si="41"/>
        <v>#DIV/0!</v>
      </c>
      <c r="CM300" s="128" t="str">
        <f t="shared" si="42"/>
        <v>#DIV/0!</v>
      </c>
      <c r="CN300" s="128">
        <f t="shared" si="43"/>
        <v>4</v>
      </c>
      <c r="CO300" s="129">
        <f t="shared" si="44"/>
        <v>4</v>
      </c>
      <c r="CP300" s="129" t="str">
        <f>IFS(C300=Preferences!B$13,B300,B300=Preferences!B$13,C300)</f>
        <v>#N/A</v>
      </c>
    </row>
    <row r="301" ht="13.5" customHeight="1">
      <c r="A301" s="63" t="str">
        <f t="shared" si="45"/>
        <v/>
      </c>
      <c r="B301" s="64"/>
      <c r="C301" s="64"/>
      <c r="D301" s="64"/>
      <c r="E301" s="65"/>
      <c r="F301" s="65"/>
      <c r="G301" s="65"/>
      <c r="H301" s="66"/>
      <c r="I301" s="66"/>
      <c r="J301" s="67"/>
      <c r="K301" s="68"/>
      <c r="L301" s="104"/>
      <c r="M301" s="104"/>
      <c r="N301" s="104"/>
      <c r="O301" s="104"/>
      <c r="P301" s="107" t="str">
        <f t="shared" si="1"/>
        <v/>
      </c>
      <c r="Q301" s="108" t="str">
        <f>IFERROR(IF(AND(Preferences!B$3="Manual",OR(AX301/AW301&gt;G301/F301,BD301="Serious",BD301="Very serious")),"Assess imprecision",IFS(ISBLANK(E301),"",AND(Preferences!B$3="Automatic", G301/F301&gt;=30),"Extremely serious",AND(H301&lt;=$D$1*-1,J301&lt;0,G301/F301&lt;3),"Not serious",AND(H301&lt;=$D$1*-1,J301&lt;0,G301/F301&gt;=3),"Very serious",AND(H301&gt;=$D$1,I301&gt;0,G301/F301&lt;3),"Not serious",AND(H301&gt;=$D$1,I301&gt;0,G301/F301&gt;=3),"Very serious",AND(H301&lt;=$D$1*-1,J301&gt;0,I301&gt;$D$2*-1,G301/F301&lt;3),"Serious", AND(H301&lt;=$D$1*-1,J301&gt;0,I301&lt;$D$2*-1,G301/F301&lt;3),"Very serious", AND(H301&gt;=$D$1,I301&lt;0,J301&lt;$D$2,G301/F301&lt;3),"Serious",AND(H301&gt;=$D$1,I301&lt;0,J301&gt;$D$2,G301/F301&lt;3),"Very serious", AND(H301&lt;=$D$1*-1,J301&gt;0,I301&gt;$D$2*-1,G301/F301&gt;=3),"Very serious", AND(H301&lt;=$D$1*-1,J301&gt;0,I301&lt;$D$2*-1,G301/F301&gt;=3),"Very serious", AND(H301&gt;=$D$1,I301&lt;0,J301&lt;$D$2,G301/F301&gt;=3),"Very serious", AND(H301&gt;=$D$1,I301&lt;0,J301&gt;$D$2,G301/F301&gt;=3),"Very serious", AND(H301&gt;$D$1*-1,H301&lt;$D$1,I301&gt;$D$1*-1,J301&lt;$D$1,G301/F301&lt;3),"Not serious", AND(H301&gt;$D$1*-1,H301&lt;$D$1,OR(I301&lt;=$D$1*-1,J301&gt;=$D$1),I301&gt;$D$2*-1,J301&lt;$D$2,G301/F301&lt;3),"Serious", AND(H301&gt;$D$1*-1,H301&lt;$D$1,OR(I301&lt;=$D$2*-1,J301&gt;=$D$2),G301/F301&lt;3),"Very serious", AND(H301&gt;$D$1*-1,H301&lt;$D$1,I301&gt;$D$1*-1,J301&lt;$D$1,G301/F301&gt;=3),"Very serious", AND(H301&gt;$D$1*-1,H301&lt;$D$1,OR(I301&lt;=$D$1*-1,J301&gt;=$D$1),I301&gt;$D$2*-1,J301&lt;$D$2,G301/F301&gt;=3),"Very serious", AND(H301&gt;$D$1*-1,H301&lt;$D$1,OR(I301&lt;=$D$2*-1,J301&gt;=$D$2),G301/F301&gt;=3),"Very serious")),"")</f>
        <v/>
      </c>
      <c r="R301" s="109" t="str">
        <f t="shared" si="47"/>
        <v/>
      </c>
      <c r="S301" s="64"/>
      <c r="T301" s="72"/>
      <c r="U301" s="72"/>
      <c r="V301" s="72"/>
      <c r="W301" s="73"/>
      <c r="X301" s="73"/>
      <c r="Y301" s="74"/>
      <c r="Z301" s="113" t="str">
        <f t="array" ref="Z301">INDEX($A$1:$C$500, MATCH(1,($B:$B=$B301)*($C:$C=$AB301),0),1)</f>
        <v/>
      </c>
      <c r="AA301" s="113" t="str">
        <f t="array" ref="AA301">INDEX($A$1:$C$500, MATCH(1,($B:$B=$AB301)*($C:$C=$B301),0),1)</f>
        <v/>
      </c>
      <c r="AB301" s="111"/>
      <c r="AC301" s="114" t="str">
        <f t="shared" si="2"/>
        <v/>
      </c>
      <c r="AD301" s="115" t="str">
        <f t="shared" si="3"/>
        <v/>
      </c>
      <c r="AE301" s="116" t="str">
        <f t="array" ref="AE301">INDEX($A$1:$C$500, MATCH(1,($B:$B=$AB301)*($C:$C=$AG301),0),1)</f>
        <v/>
      </c>
      <c r="AF301" s="116" t="str">
        <f t="array" ref="AF301">INDEX($A$1:$C$500, MATCH(1,($B:$B=$AG301)*($C:$C=$AB301),0),1)</f>
        <v/>
      </c>
      <c r="AG301" s="72"/>
      <c r="AH301" s="114" t="str">
        <f t="shared" si="4"/>
        <v/>
      </c>
      <c r="AI301" s="115" t="str">
        <f t="shared" si="5"/>
        <v/>
      </c>
      <c r="AJ301" s="116" t="str">
        <f t="array" ref="AJ301">INDEX($A$1:$C$500, MATCH(1,($B:$B=$C301)*($C:$C=$AG301),0),1)</f>
        <v/>
      </c>
      <c r="AK301" s="116" t="str">
        <f t="array" ref="AK301">INDEX($A$1:$C$500, MATCH(1,($B:$B=$AG301)*($C:$C=$C301),0),1)</f>
        <v/>
      </c>
      <c r="AL301" s="116" t="str">
        <f t="array" ref="AL301">INDEX($A$1:$C$500, MATCH(1,($B:$B=$C301)*($C:$C=$AB301),0),1)</f>
        <v/>
      </c>
      <c r="AM301" s="116" t="str">
        <f t="array" ref="AM301">INDEX($A$1:$C$500, MATCH(1,($B:$B=$AB301)*($C:$C=$C301),0),1)</f>
        <v/>
      </c>
      <c r="AN301" s="114" t="str">
        <f t="array" ref="AN301">IFS(ISNUMBER(AJ301),AJ301,ISNUMBER(AK301),AK301,ISNUMBER(AL301),AL301,ISNUMBER(AM301),AM301)</f>
        <v>#N/A</v>
      </c>
      <c r="AO301" s="115" t="str">
        <f t="shared" si="6"/>
        <v/>
      </c>
      <c r="AP301" s="115" t="str">
        <f t="shared" si="7"/>
        <v/>
      </c>
      <c r="AQ301" s="111"/>
      <c r="AR301" s="109" t="str">
        <f t="shared" si="8"/>
        <v/>
      </c>
      <c r="AS301" s="72" t="str">
        <f>IFERROR(IF(AND(Preferences!B$3="Manual",OR(AX301/AW301&gt;V301/U301,BD301="Serious",BD301="Very serious")),"Assess imprecision",IFERROR(IFS(AND(Preferences!B$3="Automatic",V301/U301&gt;=30),"Extremely serious",AND(W301&lt;=$D$1*-1,Y301&lt;0,V301/U301&lt;3),"Not Serious",AND(W301&lt;=$D$1*-1,Y301&lt;0,V301/U301&gt;=3),"Very serious",AND(W301&gt;=$D$1,X301&gt;0,V301/U301&lt;3),"Not Serious",AND(W301&gt;=$D$1,X301&gt;0,V301/U301&gt;=3),"Very serious",AND(W301&lt;=$D$1*-1,Y301&gt;0,X301&gt;$D$2*-1,V301/U301&lt;3),"Serious", AND(W301&lt;=$D$1*-1,Y301&gt;0,X301&lt;$D$2*-1,V301/U301&lt;3),"Very serious", AND(W301&gt;=$D$1,X301&lt;0,Y301&lt;$D$2,V301/U301&lt;3),"Serious",AND(W301&gt;=$D$1,X301&lt;0,Y301&gt;$D$2,V301/U301&lt;3),"Very serious", AND(W301&lt;=$D$1*-1,Y301&gt;0,X301&gt;$D$2*-1,V301/U301&gt;=3),"Very serious", AND(W301&lt;=$D$1*-1,Y301&gt;0,X301&lt;$D$2*-1,V301/U301&gt;=3),"Very serious", AND(W301&gt;=$D$1,X301&lt;0,Y301&lt;$D$2,V301/U301&gt;=3),"Very serious", AND(W301&gt;=$D$1,X301&lt;0,Y301&gt;$D$2,V301/U301&gt;=3),"Very serious", AND(W301&gt;$D$1*-1,W301&lt;$D$1,X301&gt;$D$1*-1,Y301&lt;$D$1,V301/U301&lt;3),"Not Serious", AND(W301&gt;$D$1*-1,W301&lt;$D$1,OR(X301&lt;=$D$1*-1,Y301&gt;=$D$1),X301&gt;$D$2*-1,Y301&lt;$D$2,V301/U301&lt;3),"Serious", AND(W301&gt;$D$1*-1,W301&lt;$D$1,OR(X301&lt;=$D$2*-1,Y301&gt;=$D$2),V301/U301&lt;3),"Very serious", AND(W301&gt;$D$1*-1,W301&lt;$D$1,X301&gt;$D$1*-1,Y301&lt;$D$1,V301/U301&gt;=3),"Very serious", AND(W301&gt;$D$1*-1,W301&lt;$D$1,OR(X301&lt;=$D$1*-1,Y301&gt;=$D$1),X301&gt;$D$2*-1,Y301&lt;$D$2,V301/U301&gt;=3),"Very serious", AND(W301&gt;$D$1*-1,W301&lt;$D$1,OR(X301&lt;=$D$2*-1,Y301&gt;=$D$2),V301/U301&gt;=3),"Very serious"),"")),"")</f>
        <v/>
      </c>
      <c r="AT301" s="109" t="str">
        <f t="shared" si="9"/>
        <v/>
      </c>
      <c r="AU301" s="64"/>
      <c r="AV301" s="83"/>
      <c r="AW301" s="83"/>
      <c r="AX301" s="83"/>
      <c r="AY301" s="83"/>
      <c r="AZ301" s="83"/>
      <c r="BA301" s="85"/>
      <c r="BB301" s="86" t="str">
        <f>IF(Preferences!B$9="Manual","",IFS(ISBLANK(B301),"",AND(ISNUMBER(E301)=TRUE,ISNUMBER(T301)=FALSE),"Direct", AND(ISNUMBER(E301)=FALSE,ISNUMBER(T301)=TRUE),"Indirect", CN301=4,"Direct",AND(CL301=FALSE, CM301=TRUE,CN301-CO301&gt;-1),"Direct", AND(CL301=FALSE,CM301=TRUE, CN301-CO301&lt;0),"Check algorithm in appendix 2", AND(CL301=TRUE, CM301=FALSE,CN301-CO301&gt;0),"Check algorithm in appendix 2", AND(CL301=TRUE, CM301=FALSE,CN301-CO301=0),"Indirect", AND(CL301=TRUE, CM301=FALSE,CN301-CO301&lt;0),"Indirect", AND(CL301=FALSE,CM301=FALSE,CN301-CO301&gt;-1),"Direct", AND(CL301=FALSE,CM301=FALSE,CN301-CO301&lt;0),"Check algorithm in appendix 2", AND(CL301=TRUE,CM301=TRUE,CN301-CO301&gt;-1),"Direct", AND(CL301=TRUE,CM301=TRUE,CN301-CO301&lt;0),"Check algorithm in appendix 2"))</f>
        <v/>
      </c>
      <c r="BC301" s="120" t="str">
        <f t="shared" si="10"/>
        <v/>
      </c>
      <c r="BD301" s="140"/>
      <c r="BE301" s="122" t="str">
        <f>IF(Preferences!B$3="Manual","", IFERROR(IFS(AND(Preferences!B$3="Automatic",AX301/AW301&gt;=30),"Extremely serious",AND(AY301&lt;=$D$1*-1,BA301&lt;0,AX301/AW301&lt;3),"Not Serious",AND(AY301&lt;=$D$1*-1,BA301&lt;0,AX301/AW301&gt;=3),"Very serious",AND(AY301&gt;=$D$1,AZ301&gt;0,AX301/AW301&lt;3),"Not Serious",AND(AY301&gt;=$D$1,AZ301&gt;0,AX301/AW301&gt;=3),"Very serious",AND(AY301&lt;=$D$1*-1,BA301&gt;0,AZ301&gt;$D$2*-1,AX301/AW301&lt;3),"Serious", AND(AY301&lt;=$D$1*-1,BA301&gt;0,AZ301&lt;$D$2*-1,AX301/AW301&lt;3),"Very serious", AND(AY301&gt;=$D$1,AZ301&lt;0,BA301&lt;$D$2,AX301/AW301&lt;3),"Serious",AND(AY301&gt;=$D$1,AZ301&lt;0,BA301&gt;$D$2,AX301/AW301&lt;3),"Very serious", AND(AY301&lt;=$D$1*-1,BA301&gt;0,AZ301&gt;$D$2*-1,AX301/AW301&gt;=3),"Very serious", AND(AY301&lt;=$D$1*-1,BA301&gt;0,AZ301&lt;$D$2*-1,AX301/AW301&gt;=3),"Very serious", AND(AY301&gt;=$D$1,AZ301&lt;0,BA301&lt;$D$2,AX301/AW301&gt;=3),"Very serious", AND(AY301&gt;=$D$1,AZ301&lt;0,BA301&gt;$D$2,AX301/AW301&gt;=3),"Very serious", AND(AY301&gt;$D$1*-1,AY301&lt;$D$1,AZ301&gt;$D$1*-1,BA301&lt;$D$1,AX301/AW301&lt;3),"Not Serious", AND(AY301&gt;$D$1*-1,AY301&lt;$D$1,OR(AZ301&lt;=$D$1*-1,BA301&gt;=$D$1),AZ301&gt;$D$2*-1,BA301&lt;$D$2,AX301/AW301&lt;3),"Serious", AND(AY301&gt;$D$1*-1,AY301&lt;$D$1,OR(AZ301&lt;=$D$2*-1,BA301&gt;=$D$2),AX301/AW301&lt;3),"Very serious", AND(AY301&gt;$D$1*-1,AY301&lt;$D$1,AZ301&gt;$D$1*-1,BA301&lt;$D$1,AX301/AW301&gt;=3),"Very serious", AND(AY301&gt;$D$1*-1,AY301&lt;$D$1,OR(AZ301&lt;=$D$1*-1,BA301&gt;=$D$1),AZ301&gt;$D$2*-1,BA301&lt;$D$2,AX301/AW301&gt;=3),"Very serious", AND(AY301&gt;$D$1*-1,AY301&lt;$D$1,OR(AZ301&lt;=$D$2*-1,BA301&gt;=$D$2),AX301/AW301&gt;=3),"Very serious"),""))</f>
        <v/>
      </c>
      <c r="BF301" s="107" t="str">
        <f t="shared" si="11"/>
        <v/>
      </c>
      <c r="BG301" s="94" t="str">
        <f t="shared" si="46"/>
        <v/>
      </c>
      <c r="BH301" s="64" t="str">
        <f t="shared" si="12"/>
        <v>#N/A</v>
      </c>
      <c r="BI301" s="64" t="str">
        <f t="shared" si="13"/>
        <v/>
      </c>
      <c r="BJ301" s="123" t="str">
        <f t="shared" si="14"/>
        <v>#N/A</v>
      </c>
      <c r="BK301" s="64" t="str">
        <f t="shared" si="50"/>
        <v>YES</v>
      </c>
      <c r="BL301" s="64" t="str">
        <f t="shared" si="16"/>
        <v>YES</v>
      </c>
      <c r="BM301" s="64" t="str">
        <f t="shared" si="17"/>
        <v>YES</v>
      </c>
      <c r="BN301" s="124" t="str">
        <f t="shared" si="18"/>
        <v/>
      </c>
      <c r="BO301" s="91" t="str">
        <f t="shared" si="19"/>
        <v/>
      </c>
      <c r="BP301" s="91" t="str">
        <f t="shared" si="20"/>
        <v>#N/A</v>
      </c>
      <c r="BQ301" s="91" t="str">
        <f t="shared" si="21"/>
        <v/>
      </c>
      <c r="BR301" s="93" t="str">
        <f t="shared" si="22"/>
        <v/>
      </c>
      <c r="BS301" s="90" t="str">
        <f t="shared" si="23"/>
        <v/>
      </c>
      <c r="BT301" s="93" t="str">
        <f t="shared" si="24"/>
        <v>NA</v>
      </c>
      <c r="BU301" s="125" t="str">
        <f t="shared" si="25"/>
        <v>#N/A</v>
      </c>
      <c r="BV301" s="93" t="str">
        <f t="shared" si="26"/>
        <v/>
      </c>
      <c r="BW301" s="93" t="str">
        <f t="shared" si="27"/>
        <v/>
      </c>
      <c r="BX301" s="93" t="str">
        <f t="shared" si="28"/>
        <v>NA</v>
      </c>
      <c r="BY301" s="95" t="str">
        <f t="shared" si="29"/>
        <v>#N/A</v>
      </c>
      <c r="BZ301" s="93" t="str">
        <f t="shared" si="30"/>
        <v/>
      </c>
      <c r="CA301" s="93" t="str">
        <f t="shared" si="31"/>
        <v/>
      </c>
      <c r="CB301" s="93" t="str">
        <f t="shared" si="32"/>
        <v>NA</v>
      </c>
      <c r="CC301" s="96" t="str">
        <f t="shared" si="33"/>
        <v>#N/A</v>
      </c>
      <c r="CD301" s="93" t="str">
        <f t="shared" si="34"/>
        <v/>
      </c>
      <c r="CE301" s="93" t="str">
        <f t="shared" si="35"/>
        <v/>
      </c>
      <c r="CF301" s="93" t="str">
        <f t="shared" si="36"/>
        <v>NA</v>
      </c>
      <c r="CG301" s="97" t="str">
        <f t="shared" si="37"/>
        <v>#N/A</v>
      </c>
      <c r="CH301" s="98" t="str">
        <f t="shared" si="38"/>
        <v>#N/A</v>
      </c>
      <c r="CI301" s="99" t="str">
        <f t="shared" si="39"/>
        <v>#N/A</v>
      </c>
      <c r="CJ301" s="126" t="str">
        <f t="shared" si="40"/>
        <v>ERROR: check cell</v>
      </c>
      <c r="CK301" s="126"/>
      <c r="CL301" s="127" t="str">
        <f t="shared" si="41"/>
        <v>#DIV/0!</v>
      </c>
      <c r="CM301" s="128" t="str">
        <f t="shared" si="42"/>
        <v>#DIV/0!</v>
      </c>
      <c r="CN301" s="128">
        <f t="shared" si="43"/>
        <v>4</v>
      </c>
      <c r="CO301" s="129">
        <f t="shared" si="44"/>
        <v>4</v>
      </c>
      <c r="CP301" s="129" t="str">
        <f>IFS(C301=Preferences!B$13,B301,B301=Preferences!B$13,C301)</f>
        <v>#N/A</v>
      </c>
    </row>
    <row r="302" ht="13.5" customHeight="1">
      <c r="A302" s="63" t="str">
        <f t="shared" si="45"/>
        <v/>
      </c>
      <c r="B302" s="64"/>
      <c r="C302" s="64"/>
      <c r="D302" s="64"/>
      <c r="E302" s="65"/>
      <c r="F302" s="65"/>
      <c r="G302" s="65"/>
      <c r="H302" s="66"/>
      <c r="I302" s="66"/>
      <c r="J302" s="67"/>
      <c r="K302" s="68"/>
      <c r="L302" s="104"/>
      <c r="M302" s="104"/>
      <c r="N302" s="104"/>
      <c r="O302" s="104"/>
      <c r="P302" s="107" t="str">
        <f t="shared" si="1"/>
        <v/>
      </c>
      <c r="Q302" s="108" t="str">
        <f>IFERROR(IF(AND(Preferences!B$3="Manual",OR(AX302/AW302&gt;G302/F302,BD302="Serious",BD302="Very serious")),"Assess imprecision",IFS(ISBLANK(E302),"",AND(Preferences!B$3="Automatic", G302/F302&gt;=30),"Extremely serious",AND(H302&lt;=$D$1*-1,J302&lt;0,G302/F302&lt;3),"Not serious",AND(H302&lt;=$D$1*-1,J302&lt;0,G302/F302&gt;=3),"Very serious",AND(H302&gt;=$D$1,I302&gt;0,G302/F302&lt;3),"Not serious",AND(H302&gt;=$D$1,I302&gt;0,G302/F302&gt;=3),"Very serious",AND(H302&lt;=$D$1*-1,J302&gt;0,I302&gt;$D$2*-1,G302/F302&lt;3),"Serious", AND(H302&lt;=$D$1*-1,J302&gt;0,I302&lt;$D$2*-1,G302/F302&lt;3),"Very serious", AND(H302&gt;=$D$1,I302&lt;0,J302&lt;$D$2,G302/F302&lt;3),"Serious",AND(H302&gt;=$D$1,I302&lt;0,J302&gt;$D$2,G302/F302&lt;3),"Very serious", AND(H302&lt;=$D$1*-1,J302&gt;0,I302&gt;$D$2*-1,G302/F302&gt;=3),"Very serious", AND(H302&lt;=$D$1*-1,J302&gt;0,I302&lt;$D$2*-1,G302/F302&gt;=3),"Very serious", AND(H302&gt;=$D$1,I302&lt;0,J302&lt;$D$2,G302/F302&gt;=3),"Very serious", AND(H302&gt;=$D$1,I302&lt;0,J302&gt;$D$2,G302/F302&gt;=3),"Very serious", AND(H302&gt;$D$1*-1,H302&lt;$D$1,I302&gt;$D$1*-1,J302&lt;$D$1,G302/F302&lt;3),"Not serious", AND(H302&gt;$D$1*-1,H302&lt;$D$1,OR(I302&lt;=$D$1*-1,J302&gt;=$D$1),I302&gt;$D$2*-1,J302&lt;$D$2,G302/F302&lt;3),"Serious", AND(H302&gt;$D$1*-1,H302&lt;$D$1,OR(I302&lt;=$D$2*-1,J302&gt;=$D$2),G302/F302&lt;3),"Very serious", AND(H302&gt;$D$1*-1,H302&lt;$D$1,I302&gt;$D$1*-1,J302&lt;$D$1,G302/F302&gt;=3),"Very serious", AND(H302&gt;$D$1*-1,H302&lt;$D$1,OR(I302&lt;=$D$1*-1,J302&gt;=$D$1),I302&gt;$D$2*-1,J302&lt;$D$2,G302/F302&gt;=3),"Very serious", AND(H302&gt;$D$1*-1,H302&lt;$D$1,OR(I302&lt;=$D$2*-1,J302&gt;=$D$2),G302/F302&gt;=3),"Very serious")),"")</f>
        <v/>
      </c>
      <c r="R302" s="109" t="str">
        <f t="shared" si="47"/>
        <v/>
      </c>
      <c r="S302" s="64"/>
      <c r="T302" s="72"/>
      <c r="U302" s="72"/>
      <c r="V302" s="72"/>
      <c r="W302" s="73"/>
      <c r="X302" s="73"/>
      <c r="Y302" s="74"/>
      <c r="Z302" s="113" t="str">
        <f t="array" ref="Z302">INDEX($A$1:$C$500, MATCH(1,($B:$B=$B302)*($C:$C=$AB302),0),1)</f>
        <v/>
      </c>
      <c r="AA302" s="113" t="str">
        <f t="array" ref="AA302">INDEX($A$1:$C$500, MATCH(1,($B:$B=$AB302)*($C:$C=$B302),0),1)</f>
        <v/>
      </c>
      <c r="AB302" s="111"/>
      <c r="AC302" s="114" t="str">
        <f t="shared" si="2"/>
        <v/>
      </c>
      <c r="AD302" s="115" t="str">
        <f t="shared" si="3"/>
        <v/>
      </c>
      <c r="AE302" s="116" t="str">
        <f t="array" ref="AE302">INDEX($A$1:$C$500, MATCH(1,($B:$B=$AB302)*($C:$C=$AG302),0),1)</f>
        <v/>
      </c>
      <c r="AF302" s="116" t="str">
        <f t="array" ref="AF302">INDEX($A$1:$C$500, MATCH(1,($B:$B=$AG302)*($C:$C=$AB302),0),1)</f>
        <v/>
      </c>
      <c r="AG302" s="72"/>
      <c r="AH302" s="114" t="str">
        <f t="shared" si="4"/>
        <v/>
      </c>
      <c r="AI302" s="115" t="str">
        <f t="shared" si="5"/>
        <v/>
      </c>
      <c r="AJ302" s="116" t="str">
        <f t="array" ref="AJ302">INDEX($A$1:$C$500, MATCH(1,($B:$B=$C302)*($C:$C=$AG302),0),1)</f>
        <v/>
      </c>
      <c r="AK302" s="116" t="str">
        <f t="array" ref="AK302">INDEX($A$1:$C$500, MATCH(1,($B:$B=$AG302)*($C:$C=$C302),0),1)</f>
        <v/>
      </c>
      <c r="AL302" s="116" t="str">
        <f t="array" ref="AL302">INDEX($A$1:$C$500, MATCH(1,($B:$B=$C302)*($C:$C=$AB302),0),1)</f>
        <v/>
      </c>
      <c r="AM302" s="116" t="str">
        <f t="array" ref="AM302">INDEX($A$1:$C$500, MATCH(1,($B:$B=$AB302)*($C:$C=$C302),0),1)</f>
        <v/>
      </c>
      <c r="AN302" s="114" t="str">
        <f t="array" ref="AN302">IFS(ISNUMBER(AJ302),AJ302,ISNUMBER(AK302),AK302,ISNUMBER(AL302),AL302,ISNUMBER(AM302),AM302)</f>
        <v>#N/A</v>
      </c>
      <c r="AO302" s="115" t="str">
        <f t="shared" si="6"/>
        <v/>
      </c>
      <c r="AP302" s="115" t="str">
        <f t="shared" si="7"/>
        <v/>
      </c>
      <c r="AQ302" s="111"/>
      <c r="AR302" s="109" t="str">
        <f t="shared" si="8"/>
        <v/>
      </c>
      <c r="AS302" s="72" t="str">
        <f>IFERROR(IF(AND(Preferences!B$3="Manual",OR(AX302/AW302&gt;V302/U302,BD302="Serious",BD302="Very serious")),"Assess imprecision",IFERROR(IFS(AND(Preferences!B$3="Automatic",V302/U302&gt;=30),"Extremely serious",AND(W302&lt;=$D$1*-1,Y302&lt;0,V302/U302&lt;3),"Not Serious",AND(W302&lt;=$D$1*-1,Y302&lt;0,V302/U302&gt;=3),"Very serious",AND(W302&gt;=$D$1,X302&gt;0,V302/U302&lt;3),"Not Serious",AND(W302&gt;=$D$1,X302&gt;0,V302/U302&gt;=3),"Very serious",AND(W302&lt;=$D$1*-1,Y302&gt;0,X302&gt;$D$2*-1,V302/U302&lt;3),"Serious", AND(W302&lt;=$D$1*-1,Y302&gt;0,X302&lt;$D$2*-1,V302/U302&lt;3),"Very serious", AND(W302&gt;=$D$1,X302&lt;0,Y302&lt;$D$2,V302/U302&lt;3),"Serious",AND(W302&gt;=$D$1,X302&lt;0,Y302&gt;$D$2,V302/U302&lt;3),"Very serious", AND(W302&lt;=$D$1*-1,Y302&gt;0,X302&gt;$D$2*-1,V302/U302&gt;=3),"Very serious", AND(W302&lt;=$D$1*-1,Y302&gt;0,X302&lt;$D$2*-1,V302/U302&gt;=3),"Very serious", AND(W302&gt;=$D$1,X302&lt;0,Y302&lt;$D$2,V302/U302&gt;=3),"Very serious", AND(W302&gt;=$D$1,X302&lt;0,Y302&gt;$D$2,V302/U302&gt;=3),"Very serious", AND(W302&gt;$D$1*-1,W302&lt;$D$1,X302&gt;$D$1*-1,Y302&lt;$D$1,V302/U302&lt;3),"Not Serious", AND(W302&gt;$D$1*-1,W302&lt;$D$1,OR(X302&lt;=$D$1*-1,Y302&gt;=$D$1),X302&gt;$D$2*-1,Y302&lt;$D$2,V302/U302&lt;3),"Serious", AND(W302&gt;$D$1*-1,W302&lt;$D$1,OR(X302&lt;=$D$2*-1,Y302&gt;=$D$2),V302/U302&lt;3),"Very serious", AND(W302&gt;$D$1*-1,W302&lt;$D$1,X302&gt;$D$1*-1,Y302&lt;$D$1,V302/U302&gt;=3),"Very serious", AND(W302&gt;$D$1*-1,W302&lt;$D$1,OR(X302&lt;=$D$1*-1,Y302&gt;=$D$1),X302&gt;$D$2*-1,Y302&lt;$D$2,V302/U302&gt;=3),"Very serious", AND(W302&gt;$D$1*-1,W302&lt;$D$1,OR(X302&lt;=$D$2*-1,Y302&gt;=$D$2),V302/U302&gt;=3),"Very serious"),"")),"")</f>
        <v/>
      </c>
      <c r="AT302" s="109" t="str">
        <f t="shared" si="9"/>
        <v/>
      </c>
      <c r="AU302" s="64"/>
      <c r="AV302" s="83"/>
      <c r="AW302" s="83"/>
      <c r="AX302" s="83"/>
      <c r="AY302" s="83"/>
      <c r="AZ302" s="83"/>
      <c r="BA302" s="85"/>
      <c r="BB302" s="86" t="str">
        <f>IF(Preferences!B$9="Manual","",IFS(ISBLANK(B302),"",AND(ISNUMBER(E302)=TRUE,ISNUMBER(T302)=FALSE),"Direct", AND(ISNUMBER(E302)=FALSE,ISNUMBER(T302)=TRUE),"Indirect", CN302=4,"Direct",AND(CL302=FALSE, CM302=TRUE,CN302-CO302&gt;-1),"Direct", AND(CL302=FALSE,CM302=TRUE, CN302-CO302&lt;0),"Check algorithm in appendix 2", AND(CL302=TRUE, CM302=FALSE,CN302-CO302&gt;0),"Check algorithm in appendix 2", AND(CL302=TRUE, CM302=FALSE,CN302-CO302=0),"Indirect", AND(CL302=TRUE, CM302=FALSE,CN302-CO302&lt;0),"Indirect", AND(CL302=FALSE,CM302=FALSE,CN302-CO302&gt;-1),"Direct", AND(CL302=FALSE,CM302=FALSE,CN302-CO302&lt;0),"Check algorithm in appendix 2", AND(CL302=TRUE,CM302=TRUE,CN302-CO302&gt;-1),"Direct", AND(CL302=TRUE,CM302=TRUE,CN302-CO302&lt;0),"Check algorithm in appendix 2"))</f>
        <v/>
      </c>
      <c r="BC302" s="120" t="str">
        <f t="shared" si="10"/>
        <v/>
      </c>
      <c r="BD302" s="140"/>
      <c r="BE302" s="122" t="str">
        <f>IF(Preferences!B$3="Manual","", IFERROR(IFS(AND(Preferences!B$3="Automatic",AX302/AW302&gt;=30),"Extremely serious",AND(AY302&lt;=$D$1*-1,BA302&lt;0,AX302/AW302&lt;3),"Not Serious",AND(AY302&lt;=$D$1*-1,BA302&lt;0,AX302/AW302&gt;=3),"Very serious",AND(AY302&gt;=$D$1,AZ302&gt;0,AX302/AW302&lt;3),"Not Serious",AND(AY302&gt;=$D$1,AZ302&gt;0,AX302/AW302&gt;=3),"Very serious",AND(AY302&lt;=$D$1*-1,BA302&gt;0,AZ302&gt;$D$2*-1,AX302/AW302&lt;3),"Serious", AND(AY302&lt;=$D$1*-1,BA302&gt;0,AZ302&lt;$D$2*-1,AX302/AW302&lt;3),"Very serious", AND(AY302&gt;=$D$1,AZ302&lt;0,BA302&lt;$D$2,AX302/AW302&lt;3),"Serious",AND(AY302&gt;=$D$1,AZ302&lt;0,BA302&gt;$D$2,AX302/AW302&lt;3),"Very serious", AND(AY302&lt;=$D$1*-1,BA302&gt;0,AZ302&gt;$D$2*-1,AX302/AW302&gt;=3),"Very serious", AND(AY302&lt;=$D$1*-1,BA302&gt;0,AZ302&lt;$D$2*-1,AX302/AW302&gt;=3),"Very serious", AND(AY302&gt;=$D$1,AZ302&lt;0,BA302&lt;$D$2,AX302/AW302&gt;=3),"Very serious", AND(AY302&gt;=$D$1,AZ302&lt;0,BA302&gt;$D$2,AX302/AW302&gt;=3),"Very serious", AND(AY302&gt;$D$1*-1,AY302&lt;$D$1,AZ302&gt;$D$1*-1,BA302&lt;$D$1,AX302/AW302&lt;3),"Not Serious", AND(AY302&gt;$D$1*-1,AY302&lt;$D$1,OR(AZ302&lt;=$D$1*-1,BA302&gt;=$D$1),AZ302&gt;$D$2*-1,BA302&lt;$D$2,AX302/AW302&lt;3),"Serious", AND(AY302&gt;$D$1*-1,AY302&lt;$D$1,OR(AZ302&lt;=$D$2*-1,BA302&gt;=$D$2),AX302/AW302&lt;3),"Very serious", AND(AY302&gt;$D$1*-1,AY302&lt;$D$1,AZ302&gt;$D$1*-1,BA302&lt;$D$1,AX302/AW302&gt;=3),"Very serious", AND(AY302&gt;$D$1*-1,AY302&lt;$D$1,OR(AZ302&lt;=$D$1*-1,BA302&gt;=$D$1),AZ302&gt;$D$2*-1,BA302&lt;$D$2,AX302/AW302&gt;=3),"Very serious", AND(AY302&gt;$D$1*-1,AY302&lt;$D$1,OR(AZ302&lt;=$D$2*-1,BA302&gt;=$D$2),AX302/AW302&gt;=3),"Very serious"),""))</f>
        <v/>
      </c>
      <c r="BF302" s="107" t="str">
        <f t="shared" si="11"/>
        <v/>
      </c>
      <c r="BG302" s="94" t="str">
        <f t="shared" si="46"/>
        <v/>
      </c>
      <c r="BH302" s="64" t="str">
        <f t="shared" si="12"/>
        <v>#N/A</v>
      </c>
      <c r="BI302" s="64" t="str">
        <f t="shared" si="13"/>
        <v/>
      </c>
      <c r="BJ302" s="123" t="str">
        <f t="shared" si="14"/>
        <v>#N/A</v>
      </c>
      <c r="BK302" s="64" t="str">
        <f t="shared" si="50"/>
        <v>YES</v>
      </c>
      <c r="BL302" s="64" t="str">
        <f t="shared" si="16"/>
        <v>YES</v>
      </c>
      <c r="BM302" s="64" t="str">
        <f t="shared" si="17"/>
        <v>YES</v>
      </c>
      <c r="BN302" s="124" t="str">
        <f t="shared" si="18"/>
        <v/>
      </c>
      <c r="BO302" s="91" t="str">
        <f t="shared" si="19"/>
        <v/>
      </c>
      <c r="BP302" s="91" t="str">
        <f t="shared" si="20"/>
        <v>#N/A</v>
      </c>
      <c r="BQ302" s="91" t="str">
        <f t="shared" si="21"/>
        <v/>
      </c>
      <c r="BR302" s="93" t="str">
        <f t="shared" si="22"/>
        <v/>
      </c>
      <c r="BS302" s="90" t="str">
        <f t="shared" si="23"/>
        <v/>
      </c>
      <c r="BT302" s="93" t="str">
        <f t="shared" si="24"/>
        <v>NA</v>
      </c>
      <c r="BU302" s="125" t="str">
        <f t="shared" si="25"/>
        <v>#N/A</v>
      </c>
      <c r="BV302" s="93" t="str">
        <f t="shared" si="26"/>
        <v/>
      </c>
      <c r="BW302" s="93" t="str">
        <f t="shared" si="27"/>
        <v/>
      </c>
      <c r="BX302" s="93" t="str">
        <f t="shared" si="28"/>
        <v>NA</v>
      </c>
      <c r="BY302" s="95" t="str">
        <f t="shared" si="29"/>
        <v>#N/A</v>
      </c>
      <c r="BZ302" s="93" t="str">
        <f t="shared" si="30"/>
        <v/>
      </c>
      <c r="CA302" s="93" t="str">
        <f t="shared" si="31"/>
        <v/>
      </c>
      <c r="CB302" s="93" t="str">
        <f t="shared" si="32"/>
        <v>NA</v>
      </c>
      <c r="CC302" s="96" t="str">
        <f t="shared" si="33"/>
        <v>#N/A</v>
      </c>
      <c r="CD302" s="93" t="str">
        <f t="shared" si="34"/>
        <v/>
      </c>
      <c r="CE302" s="93" t="str">
        <f t="shared" si="35"/>
        <v/>
      </c>
      <c r="CF302" s="93" t="str">
        <f t="shared" si="36"/>
        <v>NA</v>
      </c>
      <c r="CG302" s="97" t="str">
        <f t="shared" si="37"/>
        <v>#N/A</v>
      </c>
      <c r="CH302" s="98" t="str">
        <f t="shared" si="38"/>
        <v>#N/A</v>
      </c>
      <c r="CI302" s="99" t="str">
        <f t="shared" si="39"/>
        <v>#N/A</v>
      </c>
      <c r="CJ302" s="126" t="str">
        <f t="shared" si="40"/>
        <v>ERROR: check cell</v>
      </c>
      <c r="CK302" s="126"/>
      <c r="CL302" s="127" t="str">
        <f t="shared" si="41"/>
        <v>#DIV/0!</v>
      </c>
      <c r="CM302" s="128" t="str">
        <f t="shared" si="42"/>
        <v>#DIV/0!</v>
      </c>
      <c r="CN302" s="128">
        <f t="shared" si="43"/>
        <v>4</v>
      </c>
      <c r="CO302" s="129">
        <f t="shared" si="44"/>
        <v>4</v>
      </c>
      <c r="CP302" s="129" t="str">
        <f>IFS(C302=Preferences!B$13,B302,B302=Preferences!B$13,C302)</f>
        <v>#N/A</v>
      </c>
    </row>
    <row r="303" ht="13.5" customHeight="1">
      <c r="A303" s="63" t="str">
        <f t="shared" si="45"/>
        <v/>
      </c>
      <c r="B303" s="64"/>
      <c r="C303" s="64"/>
      <c r="D303" s="64"/>
      <c r="E303" s="65"/>
      <c r="F303" s="65"/>
      <c r="G303" s="65"/>
      <c r="H303" s="66"/>
      <c r="I303" s="66"/>
      <c r="J303" s="67"/>
      <c r="K303" s="68"/>
      <c r="L303" s="104"/>
      <c r="M303" s="104"/>
      <c r="N303" s="104"/>
      <c r="O303" s="104"/>
      <c r="P303" s="107" t="str">
        <f t="shared" si="1"/>
        <v/>
      </c>
      <c r="Q303" s="108" t="str">
        <f>IFERROR(IF(AND(Preferences!B$3="Manual",OR(AX303/AW303&gt;G303/F303,BD303="Serious",BD303="Very serious")),"Assess imprecision",IFS(ISBLANK(E303),"",AND(Preferences!B$3="Automatic", G303/F303&gt;=30),"Extremely serious",AND(H303&lt;=$D$1*-1,J303&lt;0,G303/F303&lt;3),"Not serious",AND(H303&lt;=$D$1*-1,J303&lt;0,G303/F303&gt;=3),"Very serious",AND(H303&gt;=$D$1,I303&gt;0,G303/F303&lt;3),"Not serious",AND(H303&gt;=$D$1,I303&gt;0,G303/F303&gt;=3),"Very serious",AND(H303&lt;=$D$1*-1,J303&gt;0,I303&gt;$D$2*-1,G303/F303&lt;3),"Serious", AND(H303&lt;=$D$1*-1,J303&gt;0,I303&lt;$D$2*-1,G303/F303&lt;3),"Very serious", AND(H303&gt;=$D$1,I303&lt;0,J303&lt;$D$2,G303/F303&lt;3),"Serious",AND(H303&gt;=$D$1,I303&lt;0,J303&gt;$D$2,G303/F303&lt;3),"Very serious", AND(H303&lt;=$D$1*-1,J303&gt;0,I303&gt;$D$2*-1,G303/F303&gt;=3),"Very serious", AND(H303&lt;=$D$1*-1,J303&gt;0,I303&lt;$D$2*-1,G303/F303&gt;=3),"Very serious", AND(H303&gt;=$D$1,I303&lt;0,J303&lt;$D$2,G303/F303&gt;=3),"Very serious", AND(H303&gt;=$D$1,I303&lt;0,J303&gt;$D$2,G303/F303&gt;=3),"Very serious", AND(H303&gt;$D$1*-1,H303&lt;$D$1,I303&gt;$D$1*-1,J303&lt;$D$1,G303/F303&lt;3),"Not serious", AND(H303&gt;$D$1*-1,H303&lt;$D$1,OR(I303&lt;=$D$1*-1,J303&gt;=$D$1),I303&gt;$D$2*-1,J303&lt;$D$2,G303/F303&lt;3),"Serious", AND(H303&gt;$D$1*-1,H303&lt;$D$1,OR(I303&lt;=$D$2*-1,J303&gt;=$D$2),G303/F303&lt;3),"Very serious", AND(H303&gt;$D$1*-1,H303&lt;$D$1,I303&gt;$D$1*-1,J303&lt;$D$1,G303/F303&gt;=3),"Very serious", AND(H303&gt;$D$1*-1,H303&lt;$D$1,OR(I303&lt;=$D$1*-1,J303&gt;=$D$1),I303&gt;$D$2*-1,J303&lt;$D$2,G303/F303&gt;=3),"Very serious", AND(H303&gt;$D$1*-1,H303&lt;$D$1,OR(I303&lt;=$D$2*-1,J303&gt;=$D$2),G303/F303&gt;=3),"Very serious")),"")</f>
        <v/>
      </c>
      <c r="R303" s="109" t="str">
        <f t="shared" si="47"/>
        <v/>
      </c>
      <c r="S303" s="64"/>
      <c r="T303" s="72"/>
      <c r="U303" s="72"/>
      <c r="V303" s="72"/>
      <c r="W303" s="73"/>
      <c r="X303" s="73"/>
      <c r="Y303" s="74"/>
      <c r="Z303" s="113" t="str">
        <f t="array" ref="Z303">INDEX($A$1:$C$500, MATCH(1,($B:$B=$B303)*($C:$C=$AB303),0),1)</f>
        <v/>
      </c>
      <c r="AA303" s="113" t="str">
        <f t="array" ref="AA303">INDEX($A$1:$C$500, MATCH(1,($B:$B=$AB303)*($C:$C=$B303),0),1)</f>
        <v/>
      </c>
      <c r="AB303" s="111"/>
      <c r="AC303" s="114" t="str">
        <f t="shared" si="2"/>
        <v/>
      </c>
      <c r="AD303" s="115" t="str">
        <f t="shared" si="3"/>
        <v/>
      </c>
      <c r="AE303" s="116" t="str">
        <f t="array" ref="AE303">INDEX($A$1:$C$500, MATCH(1,($B:$B=$AB303)*($C:$C=$AG303),0),1)</f>
        <v/>
      </c>
      <c r="AF303" s="116" t="str">
        <f t="array" ref="AF303">INDEX($A$1:$C$500, MATCH(1,($B:$B=$AG303)*($C:$C=$AB303),0),1)</f>
        <v/>
      </c>
      <c r="AG303" s="72"/>
      <c r="AH303" s="114" t="str">
        <f t="shared" si="4"/>
        <v/>
      </c>
      <c r="AI303" s="115" t="str">
        <f t="shared" si="5"/>
        <v/>
      </c>
      <c r="AJ303" s="116" t="str">
        <f t="array" ref="AJ303">INDEX($A$1:$C$500, MATCH(1,($B:$B=$C303)*($C:$C=$AG303),0),1)</f>
        <v/>
      </c>
      <c r="AK303" s="116" t="str">
        <f t="array" ref="AK303">INDEX($A$1:$C$500, MATCH(1,($B:$B=$AG303)*($C:$C=$C303),0),1)</f>
        <v/>
      </c>
      <c r="AL303" s="116" t="str">
        <f t="array" ref="AL303">INDEX($A$1:$C$500, MATCH(1,($B:$B=$C303)*($C:$C=$AB303),0),1)</f>
        <v/>
      </c>
      <c r="AM303" s="116" t="str">
        <f t="array" ref="AM303">INDEX($A$1:$C$500, MATCH(1,($B:$B=$AB303)*($C:$C=$C303),0),1)</f>
        <v/>
      </c>
      <c r="AN303" s="114" t="str">
        <f t="array" ref="AN303">IFS(ISNUMBER(AJ303),AJ303,ISNUMBER(AK303),AK303,ISNUMBER(AL303),AL303,ISNUMBER(AM303),AM303)</f>
        <v>#N/A</v>
      </c>
      <c r="AO303" s="115" t="str">
        <f t="shared" si="6"/>
        <v/>
      </c>
      <c r="AP303" s="115" t="str">
        <f t="shared" si="7"/>
        <v/>
      </c>
      <c r="AQ303" s="111"/>
      <c r="AR303" s="109" t="str">
        <f t="shared" si="8"/>
        <v/>
      </c>
      <c r="AS303" s="72" t="str">
        <f>IFERROR(IF(AND(Preferences!B$3="Manual",OR(AX303/AW303&gt;V303/U303,BD303="Serious",BD303="Very serious")),"Assess imprecision",IFERROR(IFS(AND(Preferences!B$3="Automatic",V303/U303&gt;=30),"Extremely serious",AND(W303&lt;=$D$1*-1,Y303&lt;0,V303/U303&lt;3),"Not Serious",AND(W303&lt;=$D$1*-1,Y303&lt;0,V303/U303&gt;=3),"Very serious",AND(W303&gt;=$D$1,X303&gt;0,V303/U303&lt;3),"Not Serious",AND(W303&gt;=$D$1,X303&gt;0,V303/U303&gt;=3),"Very serious",AND(W303&lt;=$D$1*-1,Y303&gt;0,X303&gt;$D$2*-1,V303/U303&lt;3),"Serious", AND(W303&lt;=$D$1*-1,Y303&gt;0,X303&lt;$D$2*-1,V303/U303&lt;3),"Very serious", AND(W303&gt;=$D$1,X303&lt;0,Y303&lt;$D$2,V303/U303&lt;3),"Serious",AND(W303&gt;=$D$1,X303&lt;0,Y303&gt;$D$2,V303/U303&lt;3),"Very serious", AND(W303&lt;=$D$1*-1,Y303&gt;0,X303&gt;$D$2*-1,V303/U303&gt;=3),"Very serious", AND(W303&lt;=$D$1*-1,Y303&gt;0,X303&lt;$D$2*-1,V303/U303&gt;=3),"Very serious", AND(W303&gt;=$D$1,X303&lt;0,Y303&lt;$D$2,V303/U303&gt;=3),"Very serious", AND(W303&gt;=$D$1,X303&lt;0,Y303&gt;$D$2,V303/U303&gt;=3),"Very serious", AND(W303&gt;$D$1*-1,W303&lt;$D$1,X303&gt;$D$1*-1,Y303&lt;$D$1,V303/U303&lt;3),"Not Serious", AND(W303&gt;$D$1*-1,W303&lt;$D$1,OR(X303&lt;=$D$1*-1,Y303&gt;=$D$1),X303&gt;$D$2*-1,Y303&lt;$D$2,V303/U303&lt;3),"Serious", AND(W303&gt;$D$1*-1,W303&lt;$D$1,OR(X303&lt;=$D$2*-1,Y303&gt;=$D$2),V303/U303&lt;3),"Very serious", AND(W303&gt;$D$1*-1,W303&lt;$D$1,X303&gt;$D$1*-1,Y303&lt;$D$1,V303/U303&gt;=3),"Very serious", AND(W303&gt;$D$1*-1,W303&lt;$D$1,OR(X303&lt;=$D$1*-1,Y303&gt;=$D$1),X303&gt;$D$2*-1,Y303&lt;$D$2,V303/U303&gt;=3),"Very serious", AND(W303&gt;$D$1*-1,W303&lt;$D$1,OR(X303&lt;=$D$2*-1,Y303&gt;=$D$2),V303/U303&gt;=3),"Very serious"),"")),"")</f>
        <v/>
      </c>
      <c r="AT303" s="109" t="str">
        <f t="shared" si="9"/>
        <v/>
      </c>
      <c r="AU303" s="64"/>
      <c r="AV303" s="83"/>
      <c r="AW303" s="83"/>
      <c r="AX303" s="83"/>
      <c r="AY303" s="83"/>
      <c r="AZ303" s="83"/>
      <c r="BA303" s="85"/>
      <c r="BB303" s="86" t="str">
        <f>IF(Preferences!B$9="Manual","",IFS(ISBLANK(B303),"",AND(ISNUMBER(E303)=TRUE,ISNUMBER(T303)=FALSE),"Direct", AND(ISNUMBER(E303)=FALSE,ISNUMBER(T303)=TRUE),"Indirect", CN303=4,"Direct",AND(CL303=FALSE, CM303=TRUE,CN303-CO303&gt;-1),"Direct", AND(CL303=FALSE,CM303=TRUE, CN303-CO303&lt;0),"Check algorithm in appendix 2", AND(CL303=TRUE, CM303=FALSE,CN303-CO303&gt;0),"Check algorithm in appendix 2", AND(CL303=TRUE, CM303=FALSE,CN303-CO303=0),"Indirect", AND(CL303=TRUE, CM303=FALSE,CN303-CO303&lt;0),"Indirect", AND(CL303=FALSE,CM303=FALSE,CN303-CO303&gt;-1),"Direct", AND(CL303=FALSE,CM303=FALSE,CN303-CO303&lt;0),"Check algorithm in appendix 2", AND(CL303=TRUE,CM303=TRUE,CN303-CO303&gt;-1),"Direct", AND(CL303=TRUE,CM303=TRUE,CN303-CO303&lt;0),"Check algorithm in appendix 2"))</f>
        <v/>
      </c>
      <c r="BC303" s="120" t="str">
        <f t="shared" si="10"/>
        <v/>
      </c>
      <c r="BD303" s="140"/>
      <c r="BE303" s="122" t="str">
        <f>IF(Preferences!B$3="Manual","", IFERROR(IFS(AND(Preferences!B$3="Automatic",AX303/AW303&gt;=30),"Extremely serious",AND(AY303&lt;=$D$1*-1,BA303&lt;0,AX303/AW303&lt;3),"Not Serious",AND(AY303&lt;=$D$1*-1,BA303&lt;0,AX303/AW303&gt;=3),"Very serious",AND(AY303&gt;=$D$1,AZ303&gt;0,AX303/AW303&lt;3),"Not Serious",AND(AY303&gt;=$D$1,AZ303&gt;0,AX303/AW303&gt;=3),"Very serious",AND(AY303&lt;=$D$1*-1,BA303&gt;0,AZ303&gt;$D$2*-1,AX303/AW303&lt;3),"Serious", AND(AY303&lt;=$D$1*-1,BA303&gt;0,AZ303&lt;$D$2*-1,AX303/AW303&lt;3),"Very serious", AND(AY303&gt;=$D$1,AZ303&lt;0,BA303&lt;$D$2,AX303/AW303&lt;3),"Serious",AND(AY303&gt;=$D$1,AZ303&lt;0,BA303&gt;$D$2,AX303/AW303&lt;3),"Very serious", AND(AY303&lt;=$D$1*-1,BA303&gt;0,AZ303&gt;$D$2*-1,AX303/AW303&gt;=3),"Very serious", AND(AY303&lt;=$D$1*-1,BA303&gt;0,AZ303&lt;$D$2*-1,AX303/AW303&gt;=3),"Very serious", AND(AY303&gt;=$D$1,AZ303&lt;0,BA303&lt;$D$2,AX303/AW303&gt;=3),"Very serious", AND(AY303&gt;=$D$1,AZ303&lt;0,BA303&gt;$D$2,AX303/AW303&gt;=3),"Very serious", AND(AY303&gt;$D$1*-1,AY303&lt;$D$1,AZ303&gt;$D$1*-1,BA303&lt;$D$1,AX303/AW303&lt;3),"Not Serious", AND(AY303&gt;$D$1*-1,AY303&lt;$D$1,OR(AZ303&lt;=$D$1*-1,BA303&gt;=$D$1),AZ303&gt;$D$2*-1,BA303&lt;$D$2,AX303/AW303&lt;3),"Serious", AND(AY303&gt;$D$1*-1,AY303&lt;$D$1,OR(AZ303&lt;=$D$2*-1,BA303&gt;=$D$2),AX303/AW303&lt;3),"Very serious", AND(AY303&gt;$D$1*-1,AY303&lt;$D$1,AZ303&gt;$D$1*-1,BA303&lt;$D$1,AX303/AW303&gt;=3),"Very serious", AND(AY303&gt;$D$1*-1,AY303&lt;$D$1,OR(AZ303&lt;=$D$1*-1,BA303&gt;=$D$1),AZ303&gt;$D$2*-1,BA303&lt;$D$2,AX303/AW303&gt;=3),"Very serious", AND(AY303&gt;$D$1*-1,AY303&lt;$D$1,OR(AZ303&lt;=$D$2*-1,BA303&gt;=$D$2),AX303/AW303&gt;=3),"Very serious"),""))</f>
        <v/>
      </c>
      <c r="BF303" s="107" t="str">
        <f t="shared" si="11"/>
        <v/>
      </c>
      <c r="BG303" s="94" t="str">
        <f t="shared" si="46"/>
        <v/>
      </c>
      <c r="BH303" s="64" t="str">
        <f t="shared" si="12"/>
        <v>#N/A</v>
      </c>
      <c r="BI303" s="64" t="str">
        <f t="shared" si="13"/>
        <v/>
      </c>
      <c r="BJ303" s="123" t="str">
        <f t="shared" si="14"/>
        <v>#N/A</v>
      </c>
      <c r="BK303" s="64" t="str">
        <f t="shared" si="50"/>
        <v>YES</v>
      </c>
      <c r="BL303" s="64" t="str">
        <f t="shared" si="16"/>
        <v>YES</v>
      </c>
      <c r="BM303" s="64" t="str">
        <f t="shared" si="17"/>
        <v>YES</v>
      </c>
      <c r="BN303" s="124" t="str">
        <f t="shared" si="18"/>
        <v/>
      </c>
      <c r="BO303" s="91" t="str">
        <f t="shared" si="19"/>
        <v/>
      </c>
      <c r="BP303" s="91" t="str">
        <f t="shared" si="20"/>
        <v>#N/A</v>
      </c>
      <c r="BQ303" s="91" t="str">
        <f t="shared" si="21"/>
        <v/>
      </c>
      <c r="BR303" s="93" t="str">
        <f t="shared" si="22"/>
        <v/>
      </c>
      <c r="BS303" s="90" t="str">
        <f t="shared" si="23"/>
        <v/>
      </c>
      <c r="BT303" s="93" t="str">
        <f t="shared" si="24"/>
        <v>NA</v>
      </c>
      <c r="BU303" s="125" t="str">
        <f t="shared" si="25"/>
        <v>#N/A</v>
      </c>
      <c r="BV303" s="93" t="str">
        <f t="shared" si="26"/>
        <v/>
      </c>
      <c r="BW303" s="93" t="str">
        <f t="shared" si="27"/>
        <v/>
      </c>
      <c r="BX303" s="93" t="str">
        <f t="shared" si="28"/>
        <v>NA</v>
      </c>
      <c r="BY303" s="95" t="str">
        <f t="shared" si="29"/>
        <v>#N/A</v>
      </c>
      <c r="BZ303" s="93" t="str">
        <f t="shared" si="30"/>
        <v/>
      </c>
      <c r="CA303" s="93" t="str">
        <f t="shared" si="31"/>
        <v/>
      </c>
      <c r="CB303" s="93" t="str">
        <f t="shared" si="32"/>
        <v>NA</v>
      </c>
      <c r="CC303" s="96" t="str">
        <f t="shared" si="33"/>
        <v>#N/A</v>
      </c>
      <c r="CD303" s="93" t="str">
        <f t="shared" si="34"/>
        <v/>
      </c>
      <c r="CE303" s="93" t="str">
        <f t="shared" si="35"/>
        <v/>
      </c>
      <c r="CF303" s="93" t="str">
        <f t="shared" si="36"/>
        <v>NA</v>
      </c>
      <c r="CG303" s="97" t="str">
        <f t="shared" si="37"/>
        <v>#N/A</v>
      </c>
      <c r="CH303" s="98" t="str">
        <f t="shared" si="38"/>
        <v>#N/A</v>
      </c>
      <c r="CI303" s="99" t="str">
        <f t="shared" si="39"/>
        <v>#N/A</v>
      </c>
      <c r="CJ303" s="126" t="str">
        <f t="shared" si="40"/>
        <v>ERROR: check cell</v>
      </c>
      <c r="CK303" s="126"/>
      <c r="CL303" s="127" t="str">
        <f t="shared" si="41"/>
        <v>#DIV/0!</v>
      </c>
      <c r="CM303" s="128" t="str">
        <f t="shared" si="42"/>
        <v>#DIV/0!</v>
      </c>
      <c r="CN303" s="128">
        <f t="shared" si="43"/>
        <v>4</v>
      </c>
      <c r="CO303" s="129">
        <f t="shared" si="44"/>
        <v>4</v>
      </c>
      <c r="CP303" s="129" t="str">
        <f>IFS(C303=Preferences!B$13,B303,B303=Preferences!B$13,C303)</f>
        <v>#N/A</v>
      </c>
    </row>
    <row r="304" ht="13.5" customHeight="1">
      <c r="A304" s="63" t="str">
        <f t="shared" si="45"/>
        <v/>
      </c>
      <c r="B304" s="64"/>
      <c r="C304" s="64"/>
      <c r="D304" s="64"/>
      <c r="E304" s="65"/>
      <c r="F304" s="65"/>
      <c r="G304" s="65"/>
      <c r="H304" s="66"/>
      <c r="I304" s="66"/>
      <c r="J304" s="67"/>
      <c r="K304" s="68"/>
      <c r="L304" s="104"/>
      <c r="M304" s="104"/>
      <c r="N304" s="104"/>
      <c r="O304" s="104"/>
      <c r="P304" s="107" t="str">
        <f t="shared" si="1"/>
        <v/>
      </c>
      <c r="Q304" s="108" t="str">
        <f>IFERROR(IF(AND(Preferences!B$3="Manual",OR(AX304/AW304&gt;G304/F304,BD304="Serious",BD304="Very serious")),"Assess imprecision",IFS(ISBLANK(E304),"",AND(Preferences!B$3="Automatic", G304/F304&gt;=30),"Extremely serious",AND(H304&lt;=$D$1*-1,J304&lt;0,G304/F304&lt;3),"Not serious",AND(H304&lt;=$D$1*-1,J304&lt;0,G304/F304&gt;=3),"Very serious",AND(H304&gt;=$D$1,I304&gt;0,G304/F304&lt;3),"Not serious",AND(H304&gt;=$D$1,I304&gt;0,G304/F304&gt;=3),"Very serious",AND(H304&lt;=$D$1*-1,J304&gt;0,I304&gt;$D$2*-1,G304/F304&lt;3),"Serious", AND(H304&lt;=$D$1*-1,J304&gt;0,I304&lt;$D$2*-1,G304/F304&lt;3),"Very serious", AND(H304&gt;=$D$1,I304&lt;0,J304&lt;$D$2,G304/F304&lt;3),"Serious",AND(H304&gt;=$D$1,I304&lt;0,J304&gt;$D$2,G304/F304&lt;3),"Very serious", AND(H304&lt;=$D$1*-1,J304&gt;0,I304&gt;$D$2*-1,G304/F304&gt;=3),"Very serious", AND(H304&lt;=$D$1*-1,J304&gt;0,I304&lt;$D$2*-1,G304/F304&gt;=3),"Very serious", AND(H304&gt;=$D$1,I304&lt;0,J304&lt;$D$2,G304/F304&gt;=3),"Very serious", AND(H304&gt;=$D$1,I304&lt;0,J304&gt;$D$2,G304/F304&gt;=3),"Very serious", AND(H304&gt;$D$1*-1,H304&lt;$D$1,I304&gt;$D$1*-1,J304&lt;$D$1,G304/F304&lt;3),"Not serious", AND(H304&gt;$D$1*-1,H304&lt;$D$1,OR(I304&lt;=$D$1*-1,J304&gt;=$D$1),I304&gt;$D$2*-1,J304&lt;$D$2,G304/F304&lt;3),"Serious", AND(H304&gt;$D$1*-1,H304&lt;$D$1,OR(I304&lt;=$D$2*-1,J304&gt;=$D$2),G304/F304&lt;3),"Very serious", AND(H304&gt;$D$1*-1,H304&lt;$D$1,I304&gt;$D$1*-1,J304&lt;$D$1,G304/F304&gt;=3),"Very serious", AND(H304&gt;$D$1*-1,H304&lt;$D$1,OR(I304&lt;=$D$1*-1,J304&gt;=$D$1),I304&gt;$D$2*-1,J304&lt;$D$2,G304/F304&gt;=3),"Very serious", AND(H304&gt;$D$1*-1,H304&lt;$D$1,OR(I304&lt;=$D$2*-1,J304&gt;=$D$2),G304/F304&gt;=3),"Very serious")),"")</f>
        <v/>
      </c>
      <c r="R304" s="109" t="str">
        <f t="shared" si="47"/>
        <v/>
      </c>
      <c r="S304" s="64"/>
      <c r="T304" s="72"/>
      <c r="U304" s="72"/>
      <c r="V304" s="72"/>
      <c r="W304" s="73"/>
      <c r="X304" s="73"/>
      <c r="Y304" s="74"/>
      <c r="Z304" s="113" t="str">
        <f t="array" ref="Z304">INDEX($A$1:$C$500, MATCH(1,($B:$B=$B304)*($C:$C=$AB304),0),1)</f>
        <v/>
      </c>
      <c r="AA304" s="113" t="str">
        <f t="array" ref="AA304">INDEX($A$1:$C$500, MATCH(1,($B:$B=$AB304)*($C:$C=$B304),0),1)</f>
        <v/>
      </c>
      <c r="AB304" s="111"/>
      <c r="AC304" s="114" t="str">
        <f t="shared" si="2"/>
        <v/>
      </c>
      <c r="AD304" s="115" t="str">
        <f t="shared" si="3"/>
        <v/>
      </c>
      <c r="AE304" s="116" t="str">
        <f t="array" ref="AE304">INDEX($A$1:$C$500, MATCH(1,($B:$B=$AB304)*($C:$C=$AG304),0),1)</f>
        <v/>
      </c>
      <c r="AF304" s="116" t="str">
        <f t="array" ref="AF304">INDEX($A$1:$C$500, MATCH(1,($B:$B=$AG304)*($C:$C=$AB304),0),1)</f>
        <v/>
      </c>
      <c r="AG304" s="72"/>
      <c r="AH304" s="114" t="str">
        <f t="shared" si="4"/>
        <v/>
      </c>
      <c r="AI304" s="115" t="str">
        <f t="shared" si="5"/>
        <v/>
      </c>
      <c r="AJ304" s="116" t="str">
        <f t="array" ref="AJ304">INDEX($A$1:$C$500, MATCH(1,($B:$B=$C304)*($C:$C=$AG304),0),1)</f>
        <v/>
      </c>
      <c r="AK304" s="116" t="str">
        <f t="array" ref="AK304">INDEX($A$1:$C$500, MATCH(1,($B:$B=$AG304)*($C:$C=$C304),0),1)</f>
        <v/>
      </c>
      <c r="AL304" s="116" t="str">
        <f t="array" ref="AL304">INDEX($A$1:$C$500, MATCH(1,($B:$B=$C304)*($C:$C=$AB304),0),1)</f>
        <v/>
      </c>
      <c r="AM304" s="116" t="str">
        <f t="array" ref="AM304">INDEX($A$1:$C$500, MATCH(1,($B:$B=$AB304)*($C:$C=$C304),0),1)</f>
        <v/>
      </c>
      <c r="AN304" s="114" t="str">
        <f t="array" ref="AN304">IFS(ISNUMBER(AJ304),AJ304,ISNUMBER(AK304),AK304,ISNUMBER(AL304),AL304,ISNUMBER(AM304),AM304)</f>
        <v>#N/A</v>
      </c>
      <c r="AO304" s="115" t="str">
        <f t="shared" si="6"/>
        <v/>
      </c>
      <c r="AP304" s="115" t="str">
        <f t="shared" si="7"/>
        <v/>
      </c>
      <c r="AQ304" s="111"/>
      <c r="AR304" s="109" t="str">
        <f t="shared" si="8"/>
        <v/>
      </c>
      <c r="AS304" s="72" t="str">
        <f>IFERROR(IF(AND(Preferences!B$3="Manual",OR(AX304/AW304&gt;V304/U304,BD304="Serious",BD304="Very serious")),"Assess imprecision",IFERROR(IFS(AND(Preferences!B$3="Automatic",V304/U304&gt;=30),"Extremely serious",AND(W304&lt;=$D$1*-1,Y304&lt;0,V304/U304&lt;3),"Not Serious",AND(W304&lt;=$D$1*-1,Y304&lt;0,V304/U304&gt;=3),"Very serious",AND(W304&gt;=$D$1,X304&gt;0,V304/U304&lt;3),"Not Serious",AND(W304&gt;=$D$1,X304&gt;0,V304/U304&gt;=3),"Very serious",AND(W304&lt;=$D$1*-1,Y304&gt;0,X304&gt;$D$2*-1,V304/U304&lt;3),"Serious", AND(W304&lt;=$D$1*-1,Y304&gt;0,X304&lt;$D$2*-1,V304/U304&lt;3),"Very serious", AND(W304&gt;=$D$1,X304&lt;0,Y304&lt;$D$2,V304/U304&lt;3),"Serious",AND(W304&gt;=$D$1,X304&lt;0,Y304&gt;$D$2,V304/U304&lt;3),"Very serious", AND(W304&lt;=$D$1*-1,Y304&gt;0,X304&gt;$D$2*-1,V304/U304&gt;=3),"Very serious", AND(W304&lt;=$D$1*-1,Y304&gt;0,X304&lt;$D$2*-1,V304/U304&gt;=3),"Very serious", AND(W304&gt;=$D$1,X304&lt;0,Y304&lt;$D$2,V304/U304&gt;=3),"Very serious", AND(W304&gt;=$D$1,X304&lt;0,Y304&gt;$D$2,V304/U304&gt;=3),"Very serious", AND(W304&gt;$D$1*-1,W304&lt;$D$1,X304&gt;$D$1*-1,Y304&lt;$D$1,V304/U304&lt;3),"Not Serious", AND(W304&gt;$D$1*-1,W304&lt;$D$1,OR(X304&lt;=$D$1*-1,Y304&gt;=$D$1),X304&gt;$D$2*-1,Y304&lt;$D$2,V304/U304&lt;3),"Serious", AND(W304&gt;$D$1*-1,W304&lt;$D$1,OR(X304&lt;=$D$2*-1,Y304&gt;=$D$2),V304/U304&lt;3),"Very serious", AND(W304&gt;$D$1*-1,W304&lt;$D$1,X304&gt;$D$1*-1,Y304&lt;$D$1,V304/U304&gt;=3),"Very serious", AND(W304&gt;$D$1*-1,W304&lt;$D$1,OR(X304&lt;=$D$1*-1,Y304&gt;=$D$1),X304&gt;$D$2*-1,Y304&lt;$D$2,V304/U304&gt;=3),"Very serious", AND(W304&gt;$D$1*-1,W304&lt;$D$1,OR(X304&lt;=$D$2*-1,Y304&gt;=$D$2),V304/U304&gt;=3),"Very serious"),"")),"")</f>
        <v/>
      </c>
      <c r="AT304" s="109" t="str">
        <f t="shared" si="9"/>
        <v/>
      </c>
      <c r="AU304" s="64"/>
      <c r="AV304" s="83"/>
      <c r="AW304" s="83"/>
      <c r="AX304" s="83"/>
      <c r="AY304" s="83"/>
      <c r="AZ304" s="83"/>
      <c r="BA304" s="85"/>
      <c r="BB304" s="86" t="str">
        <f>IF(Preferences!B$9="Manual","",IFS(ISBLANK(B304),"",AND(ISNUMBER(E304)=TRUE,ISNUMBER(T304)=FALSE),"Direct", AND(ISNUMBER(E304)=FALSE,ISNUMBER(T304)=TRUE),"Indirect", CN304=4,"Direct",AND(CL304=FALSE, CM304=TRUE,CN304-CO304&gt;-1),"Direct", AND(CL304=FALSE,CM304=TRUE, CN304-CO304&lt;0),"Check algorithm in appendix 2", AND(CL304=TRUE, CM304=FALSE,CN304-CO304&gt;0),"Check algorithm in appendix 2", AND(CL304=TRUE, CM304=FALSE,CN304-CO304=0),"Indirect", AND(CL304=TRUE, CM304=FALSE,CN304-CO304&lt;0),"Indirect", AND(CL304=FALSE,CM304=FALSE,CN304-CO304&gt;-1),"Direct", AND(CL304=FALSE,CM304=FALSE,CN304-CO304&lt;0),"Check algorithm in appendix 2", AND(CL304=TRUE,CM304=TRUE,CN304-CO304&gt;-1),"Direct", AND(CL304=TRUE,CM304=TRUE,CN304-CO304&lt;0),"Check algorithm in appendix 2"))</f>
        <v/>
      </c>
      <c r="BC304" s="120" t="str">
        <f t="shared" si="10"/>
        <v/>
      </c>
      <c r="BD304" s="140"/>
      <c r="BE304" s="122" t="str">
        <f>IF(Preferences!B$3="Manual","", IFERROR(IFS(AND(Preferences!B$3="Automatic",AX304/AW304&gt;=30),"Extremely serious",AND(AY304&lt;=$D$1*-1,BA304&lt;0,AX304/AW304&lt;3),"Not Serious",AND(AY304&lt;=$D$1*-1,BA304&lt;0,AX304/AW304&gt;=3),"Very serious",AND(AY304&gt;=$D$1,AZ304&gt;0,AX304/AW304&lt;3),"Not Serious",AND(AY304&gt;=$D$1,AZ304&gt;0,AX304/AW304&gt;=3),"Very serious",AND(AY304&lt;=$D$1*-1,BA304&gt;0,AZ304&gt;$D$2*-1,AX304/AW304&lt;3),"Serious", AND(AY304&lt;=$D$1*-1,BA304&gt;0,AZ304&lt;$D$2*-1,AX304/AW304&lt;3),"Very serious", AND(AY304&gt;=$D$1,AZ304&lt;0,BA304&lt;$D$2,AX304/AW304&lt;3),"Serious",AND(AY304&gt;=$D$1,AZ304&lt;0,BA304&gt;$D$2,AX304/AW304&lt;3),"Very serious", AND(AY304&lt;=$D$1*-1,BA304&gt;0,AZ304&gt;$D$2*-1,AX304/AW304&gt;=3),"Very serious", AND(AY304&lt;=$D$1*-1,BA304&gt;0,AZ304&lt;$D$2*-1,AX304/AW304&gt;=3),"Very serious", AND(AY304&gt;=$D$1,AZ304&lt;0,BA304&lt;$D$2,AX304/AW304&gt;=3),"Very serious", AND(AY304&gt;=$D$1,AZ304&lt;0,BA304&gt;$D$2,AX304/AW304&gt;=3),"Very serious", AND(AY304&gt;$D$1*-1,AY304&lt;$D$1,AZ304&gt;$D$1*-1,BA304&lt;$D$1,AX304/AW304&lt;3),"Not Serious", AND(AY304&gt;$D$1*-1,AY304&lt;$D$1,OR(AZ304&lt;=$D$1*-1,BA304&gt;=$D$1),AZ304&gt;$D$2*-1,BA304&lt;$D$2,AX304/AW304&lt;3),"Serious", AND(AY304&gt;$D$1*-1,AY304&lt;$D$1,OR(AZ304&lt;=$D$2*-1,BA304&gt;=$D$2),AX304/AW304&lt;3),"Very serious", AND(AY304&gt;$D$1*-1,AY304&lt;$D$1,AZ304&gt;$D$1*-1,BA304&lt;$D$1,AX304/AW304&gt;=3),"Very serious", AND(AY304&gt;$D$1*-1,AY304&lt;$D$1,OR(AZ304&lt;=$D$1*-1,BA304&gt;=$D$1),AZ304&gt;$D$2*-1,BA304&lt;$D$2,AX304/AW304&gt;=3),"Very serious", AND(AY304&gt;$D$1*-1,AY304&lt;$D$1,OR(AZ304&lt;=$D$2*-1,BA304&gt;=$D$2),AX304/AW304&gt;=3),"Very serious"),""))</f>
        <v/>
      </c>
      <c r="BF304" s="107" t="str">
        <f t="shared" si="11"/>
        <v/>
      </c>
      <c r="BG304" s="94" t="str">
        <f t="shared" si="46"/>
        <v/>
      </c>
      <c r="BH304" s="64" t="str">
        <f t="shared" si="12"/>
        <v>#N/A</v>
      </c>
      <c r="BI304" s="64" t="str">
        <f t="shared" si="13"/>
        <v/>
      </c>
      <c r="BJ304" s="123" t="str">
        <f t="shared" si="14"/>
        <v>#N/A</v>
      </c>
      <c r="BK304" s="64" t="str">
        <f t="shared" si="50"/>
        <v>YES</v>
      </c>
      <c r="BL304" s="64" t="str">
        <f t="shared" si="16"/>
        <v>YES</v>
      </c>
      <c r="BM304" s="64" t="str">
        <f t="shared" si="17"/>
        <v>YES</v>
      </c>
      <c r="BN304" s="124" t="str">
        <f t="shared" si="18"/>
        <v/>
      </c>
      <c r="BO304" s="91" t="str">
        <f t="shared" si="19"/>
        <v/>
      </c>
      <c r="BP304" s="91" t="str">
        <f t="shared" si="20"/>
        <v>#N/A</v>
      </c>
      <c r="BQ304" s="91" t="str">
        <f t="shared" si="21"/>
        <v/>
      </c>
      <c r="BR304" s="93" t="str">
        <f t="shared" si="22"/>
        <v/>
      </c>
      <c r="BS304" s="90" t="str">
        <f t="shared" si="23"/>
        <v/>
      </c>
      <c r="BT304" s="93" t="str">
        <f t="shared" si="24"/>
        <v>NA</v>
      </c>
      <c r="BU304" s="125" t="str">
        <f t="shared" si="25"/>
        <v>#N/A</v>
      </c>
      <c r="BV304" s="93" t="str">
        <f t="shared" si="26"/>
        <v/>
      </c>
      <c r="BW304" s="93" t="str">
        <f t="shared" si="27"/>
        <v/>
      </c>
      <c r="BX304" s="93" t="str">
        <f t="shared" si="28"/>
        <v>NA</v>
      </c>
      <c r="BY304" s="95" t="str">
        <f t="shared" si="29"/>
        <v>#N/A</v>
      </c>
      <c r="BZ304" s="93" t="str">
        <f t="shared" si="30"/>
        <v/>
      </c>
      <c r="CA304" s="93" t="str">
        <f t="shared" si="31"/>
        <v/>
      </c>
      <c r="CB304" s="93" t="str">
        <f t="shared" si="32"/>
        <v>NA</v>
      </c>
      <c r="CC304" s="96" t="str">
        <f t="shared" si="33"/>
        <v>#N/A</v>
      </c>
      <c r="CD304" s="93" t="str">
        <f t="shared" si="34"/>
        <v/>
      </c>
      <c r="CE304" s="93" t="str">
        <f t="shared" si="35"/>
        <v/>
      </c>
      <c r="CF304" s="93" t="str">
        <f t="shared" si="36"/>
        <v>NA</v>
      </c>
      <c r="CG304" s="97" t="str">
        <f t="shared" si="37"/>
        <v>#N/A</v>
      </c>
      <c r="CH304" s="98" t="str">
        <f t="shared" si="38"/>
        <v>#N/A</v>
      </c>
      <c r="CI304" s="99" t="str">
        <f t="shared" si="39"/>
        <v>#N/A</v>
      </c>
      <c r="CJ304" s="126" t="str">
        <f t="shared" si="40"/>
        <v>ERROR: check cell</v>
      </c>
      <c r="CK304" s="126"/>
      <c r="CL304" s="127" t="str">
        <f t="shared" si="41"/>
        <v>#DIV/0!</v>
      </c>
      <c r="CM304" s="128" t="str">
        <f t="shared" si="42"/>
        <v>#DIV/0!</v>
      </c>
      <c r="CN304" s="128">
        <f t="shared" si="43"/>
        <v>4</v>
      </c>
      <c r="CO304" s="129">
        <f t="shared" si="44"/>
        <v>4</v>
      </c>
      <c r="CP304" s="129" t="str">
        <f>IFS(C304=Preferences!B$13,B304,B304=Preferences!B$13,C304)</f>
        <v>#N/A</v>
      </c>
    </row>
    <row r="305" ht="13.5" customHeight="1">
      <c r="A305" s="63" t="str">
        <f t="shared" si="45"/>
        <v/>
      </c>
      <c r="B305" s="64"/>
      <c r="C305" s="64"/>
      <c r="D305" s="64"/>
      <c r="E305" s="65"/>
      <c r="F305" s="65"/>
      <c r="G305" s="65"/>
      <c r="H305" s="66"/>
      <c r="I305" s="66"/>
      <c r="J305" s="67"/>
      <c r="K305" s="68"/>
      <c r="L305" s="104"/>
      <c r="M305" s="104"/>
      <c r="N305" s="104"/>
      <c r="O305" s="104"/>
      <c r="P305" s="107" t="str">
        <f t="shared" si="1"/>
        <v/>
      </c>
      <c r="Q305" s="108" t="str">
        <f>IFERROR(IF(AND(Preferences!B$3="Manual",OR(AX305/AW305&gt;G305/F305,BD305="Serious",BD305="Very serious")),"Assess imprecision",IFS(ISBLANK(E305),"",AND(Preferences!B$3="Automatic", G305/F305&gt;=30),"Extremely serious",AND(H305&lt;=$D$1*-1,J305&lt;0,G305/F305&lt;3),"Not serious",AND(H305&lt;=$D$1*-1,J305&lt;0,G305/F305&gt;=3),"Very serious",AND(H305&gt;=$D$1,I305&gt;0,G305/F305&lt;3),"Not serious",AND(H305&gt;=$D$1,I305&gt;0,G305/F305&gt;=3),"Very serious",AND(H305&lt;=$D$1*-1,J305&gt;0,I305&gt;$D$2*-1,G305/F305&lt;3),"Serious", AND(H305&lt;=$D$1*-1,J305&gt;0,I305&lt;$D$2*-1,G305/F305&lt;3),"Very serious", AND(H305&gt;=$D$1,I305&lt;0,J305&lt;$D$2,G305/F305&lt;3),"Serious",AND(H305&gt;=$D$1,I305&lt;0,J305&gt;$D$2,G305/F305&lt;3),"Very serious", AND(H305&lt;=$D$1*-1,J305&gt;0,I305&gt;$D$2*-1,G305/F305&gt;=3),"Very serious", AND(H305&lt;=$D$1*-1,J305&gt;0,I305&lt;$D$2*-1,G305/F305&gt;=3),"Very serious", AND(H305&gt;=$D$1,I305&lt;0,J305&lt;$D$2,G305/F305&gt;=3),"Very serious", AND(H305&gt;=$D$1,I305&lt;0,J305&gt;$D$2,G305/F305&gt;=3),"Very serious", AND(H305&gt;$D$1*-1,H305&lt;$D$1,I305&gt;$D$1*-1,J305&lt;$D$1,G305/F305&lt;3),"Not serious", AND(H305&gt;$D$1*-1,H305&lt;$D$1,OR(I305&lt;=$D$1*-1,J305&gt;=$D$1),I305&gt;$D$2*-1,J305&lt;$D$2,G305/F305&lt;3),"Serious", AND(H305&gt;$D$1*-1,H305&lt;$D$1,OR(I305&lt;=$D$2*-1,J305&gt;=$D$2),G305/F305&lt;3),"Very serious", AND(H305&gt;$D$1*-1,H305&lt;$D$1,I305&gt;$D$1*-1,J305&lt;$D$1,G305/F305&gt;=3),"Very serious", AND(H305&gt;$D$1*-1,H305&lt;$D$1,OR(I305&lt;=$D$1*-1,J305&gt;=$D$1),I305&gt;$D$2*-1,J305&lt;$D$2,G305/F305&gt;=3),"Very serious", AND(H305&gt;$D$1*-1,H305&lt;$D$1,OR(I305&lt;=$D$2*-1,J305&gt;=$D$2),G305/F305&gt;=3),"Very serious")),"")</f>
        <v/>
      </c>
      <c r="R305" s="109" t="str">
        <f t="shared" si="47"/>
        <v/>
      </c>
      <c r="S305" s="64"/>
      <c r="T305" s="72"/>
      <c r="U305" s="72"/>
      <c r="V305" s="72"/>
      <c r="W305" s="73"/>
      <c r="X305" s="73"/>
      <c r="Y305" s="74"/>
      <c r="Z305" s="113" t="str">
        <f t="array" ref="Z305">INDEX($A$1:$C$500, MATCH(1,($B:$B=$B305)*($C:$C=$AB305),0),1)</f>
        <v/>
      </c>
      <c r="AA305" s="113" t="str">
        <f t="array" ref="AA305">INDEX($A$1:$C$500, MATCH(1,($B:$B=$AB305)*($C:$C=$B305),0),1)</f>
        <v/>
      </c>
      <c r="AB305" s="111"/>
      <c r="AC305" s="114" t="str">
        <f t="shared" si="2"/>
        <v/>
      </c>
      <c r="AD305" s="115" t="str">
        <f t="shared" si="3"/>
        <v/>
      </c>
      <c r="AE305" s="116" t="str">
        <f t="array" ref="AE305">INDEX($A$1:$C$500, MATCH(1,($B:$B=$AB305)*($C:$C=$AG305),0),1)</f>
        <v/>
      </c>
      <c r="AF305" s="116" t="str">
        <f t="array" ref="AF305">INDEX($A$1:$C$500, MATCH(1,($B:$B=$AG305)*($C:$C=$AB305),0),1)</f>
        <v/>
      </c>
      <c r="AG305" s="72"/>
      <c r="AH305" s="114" t="str">
        <f t="shared" si="4"/>
        <v/>
      </c>
      <c r="AI305" s="115" t="str">
        <f t="shared" si="5"/>
        <v/>
      </c>
      <c r="AJ305" s="116" t="str">
        <f t="array" ref="AJ305">INDEX($A$1:$C$500, MATCH(1,($B:$B=$C305)*($C:$C=$AG305),0),1)</f>
        <v/>
      </c>
      <c r="AK305" s="116" t="str">
        <f t="array" ref="AK305">INDEX($A$1:$C$500, MATCH(1,($B:$B=$AG305)*($C:$C=$C305),0),1)</f>
        <v/>
      </c>
      <c r="AL305" s="116" t="str">
        <f t="array" ref="AL305">INDEX($A$1:$C$500, MATCH(1,($B:$B=$C305)*($C:$C=$AB305),0),1)</f>
        <v/>
      </c>
      <c r="AM305" s="116" t="str">
        <f t="array" ref="AM305">INDEX($A$1:$C$500, MATCH(1,($B:$B=$AB305)*($C:$C=$C305),0),1)</f>
        <v/>
      </c>
      <c r="AN305" s="114" t="str">
        <f t="array" ref="AN305">IFS(ISNUMBER(AJ305),AJ305,ISNUMBER(AK305),AK305,ISNUMBER(AL305),AL305,ISNUMBER(AM305),AM305)</f>
        <v>#N/A</v>
      </c>
      <c r="AO305" s="115" t="str">
        <f t="shared" si="6"/>
        <v/>
      </c>
      <c r="AP305" s="115" t="str">
        <f t="shared" si="7"/>
        <v/>
      </c>
      <c r="AQ305" s="111"/>
      <c r="AR305" s="109" t="str">
        <f t="shared" si="8"/>
        <v/>
      </c>
      <c r="AS305" s="72" t="str">
        <f>IFERROR(IF(AND(Preferences!B$3="Manual",OR(AX305/AW305&gt;V305/U305,BD305="Serious",BD305="Very serious")),"Assess imprecision",IFERROR(IFS(AND(Preferences!B$3="Automatic",V305/U305&gt;=30),"Extremely serious",AND(W305&lt;=$D$1*-1,Y305&lt;0,V305/U305&lt;3),"Not Serious",AND(W305&lt;=$D$1*-1,Y305&lt;0,V305/U305&gt;=3),"Very serious",AND(W305&gt;=$D$1,X305&gt;0,V305/U305&lt;3),"Not Serious",AND(W305&gt;=$D$1,X305&gt;0,V305/U305&gt;=3),"Very serious",AND(W305&lt;=$D$1*-1,Y305&gt;0,X305&gt;$D$2*-1,V305/U305&lt;3),"Serious", AND(W305&lt;=$D$1*-1,Y305&gt;0,X305&lt;$D$2*-1,V305/U305&lt;3),"Very serious", AND(W305&gt;=$D$1,X305&lt;0,Y305&lt;$D$2,V305/U305&lt;3),"Serious",AND(W305&gt;=$D$1,X305&lt;0,Y305&gt;$D$2,V305/U305&lt;3),"Very serious", AND(W305&lt;=$D$1*-1,Y305&gt;0,X305&gt;$D$2*-1,V305/U305&gt;=3),"Very serious", AND(W305&lt;=$D$1*-1,Y305&gt;0,X305&lt;$D$2*-1,V305/U305&gt;=3),"Very serious", AND(W305&gt;=$D$1,X305&lt;0,Y305&lt;$D$2,V305/U305&gt;=3),"Very serious", AND(W305&gt;=$D$1,X305&lt;0,Y305&gt;$D$2,V305/U305&gt;=3),"Very serious", AND(W305&gt;$D$1*-1,W305&lt;$D$1,X305&gt;$D$1*-1,Y305&lt;$D$1,V305/U305&lt;3),"Not Serious", AND(W305&gt;$D$1*-1,W305&lt;$D$1,OR(X305&lt;=$D$1*-1,Y305&gt;=$D$1),X305&gt;$D$2*-1,Y305&lt;$D$2,V305/U305&lt;3),"Serious", AND(W305&gt;$D$1*-1,W305&lt;$D$1,OR(X305&lt;=$D$2*-1,Y305&gt;=$D$2),V305/U305&lt;3),"Very serious", AND(W305&gt;$D$1*-1,W305&lt;$D$1,X305&gt;$D$1*-1,Y305&lt;$D$1,V305/U305&gt;=3),"Very serious", AND(W305&gt;$D$1*-1,W305&lt;$D$1,OR(X305&lt;=$D$1*-1,Y305&gt;=$D$1),X305&gt;$D$2*-1,Y305&lt;$D$2,V305/U305&gt;=3),"Very serious", AND(W305&gt;$D$1*-1,W305&lt;$D$1,OR(X305&lt;=$D$2*-1,Y305&gt;=$D$2),V305/U305&gt;=3),"Very serious"),"")),"")</f>
        <v/>
      </c>
      <c r="AT305" s="109" t="str">
        <f t="shared" si="9"/>
        <v/>
      </c>
      <c r="AU305" s="64"/>
      <c r="AV305" s="83"/>
      <c r="AW305" s="83"/>
      <c r="AX305" s="83"/>
      <c r="AY305" s="83"/>
      <c r="AZ305" s="83"/>
      <c r="BA305" s="85"/>
      <c r="BB305" s="86" t="str">
        <f>IF(Preferences!B$9="Manual","",IFS(ISBLANK(B305),"",AND(ISNUMBER(E305)=TRUE,ISNUMBER(T305)=FALSE),"Direct", AND(ISNUMBER(E305)=FALSE,ISNUMBER(T305)=TRUE),"Indirect", CN305=4,"Direct",AND(CL305=FALSE, CM305=TRUE,CN305-CO305&gt;-1),"Direct", AND(CL305=FALSE,CM305=TRUE, CN305-CO305&lt;0),"Check algorithm in appendix 2", AND(CL305=TRUE, CM305=FALSE,CN305-CO305&gt;0),"Check algorithm in appendix 2", AND(CL305=TRUE, CM305=FALSE,CN305-CO305=0),"Indirect", AND(CL305=TRUE, CM305=FALSE,CN305-CO305&lt;0),"Indirect", AND(CL305=FALSE,CM305=FALSE,CN305-CO305&gt;-1),"Direct", AND(CL305=FALSE,CM305=FALSE,CN305-CO305&lt;0),"Check algorithm in appendix 2", AND(CL305=TRUE,CM305=TRUE,CN305-CO305&gt;-1),"Direct", AND(CL305=TRUE,CM305=TRUE,CN305-CO305&lt;0),"Check algorithm in appendix 2"))</f>
        <v/>
      </c>
      <c r="BC305" s="120" t="str">
        <f t="shared" si="10"/>
        <v/>
      </c>
      <c r="BD305" s="140"/>
      <c r="BE305" s="122" t="str">
        <f>IF(Preferences!B$3="Manual","", IFERROR(IFS(AND(Preferences!B$3="Automatic",AX305/AW305&gt;=30),"Extremely serious",AND(AY305&lt;=$D$1*-1,BA305&lt;0,AX305/AW305&lt;3),"Not Serious",AND(AY305&lt;=$D$1*-1,BA305&lt;0,AX305/AW305&gt;=3),"Very serious",AND(AY305&gt;=$D$1,AZ305&gt;0,AX305/AW305&lt;3),"Not Serious",AND(AY305&gt;=$D$1,AZ305&gt;0,AX305/AW305&gt;=3),"Very serious",AND(AY305&lt;=$D$1*-1,BA305&gt;0,AZ305&gt;$D$2*-1,AX305/AW305&lt;3),"Serious", AND(AY305&lt;=$D$1*-1,BA305&gt;0,AZ305&lt;$D$2*-1,AX305/AW305&lt;3),"Very serious", AND(AY305&gt;=$D$1,AZ305&lt;0,BA305&lt;$D$2,AX305/AW305&lt;3),"Serious",AND(AY305&gt;=$D$1,AZ305&lt;0,BA305&gt;$D$2,AX305/AW305&lt;3),"Very serious", AND(AY305&lt;=$D$1*-1,BA305&gt;0,AZ305&gt;$D$2*-1,AX305/AW305&gt;=3),"Very serious", AND(AY305&lt;=$D$1*-1,BA305&gt;0,AZ305&lt;$D$2*-1,AX305/AW305&gt;=3),"Very serious", AND(AY305&gt;=$D$1,AZ305&lt;0,BA305&lt;$D$2,AX305/AW305&gt;=3),"Very serious", AND(AY305&gt;=$D$1,AZ305&lt;0,BA305&gt;$D$2,AX305/AW305&gt;=3),"Very serious", AND(AY305&gt;$D$1*-1,AY305&lt;$D$1,AZ305&gt;$D$1*-1,BA305&lt;$D$1,AX305/AW305&lt;3),"Not Serious", AND(AY305&gt;$D$1*-1,AY305&lt;$D$1,OR(AZ305&lt;=$D$1*-1,BA305&gt;=$D$1),AZ305&gt;$D$2*-1,BA305&lt;$D$2,AX305/AW305&lt;3),"Serious", AND(AY305&gt;$D$1*-1,AY305&lt;$D$1,OR(AZ305&lt;=$D$2*-1,BA305&gt;=$D$2),AX305/AW305&lt;3),"Very serious", AND(AY305&gt;$D$1*-1,AY305&lt;$D$1,AZ305&gt;$D$1*-1,BA305&lt;$D$1,AX305/AW305&gt;=3),"Very serious", AND(AY305&gt;$D$1*-1,AY305&lt;$D$1,OR(AZ305&lt;=$D$1*-1,BA305&gt;=$D$1),AZ305&gt;$D$2*-1,BA305&lt;$D$2,AX305/AW305&gt;=3),"Very serious", AND(AY305&gt;$D$1*-1,AY305&lt;$D$1,OR(AZ305&lt;=$D$2*-1,BA305&gt;=$D$2),AX305/AW305&gt;=3),"Very serious"),""))</f>
        <v/>
      </c>
      <c r="BF305" s="107" t="str">
        <f t="shared" si="11"/>
        <v/>
      </c>
      <c r="BG305" s="94" t="str">
        <f t="shared" si="46"/>
        <v/>
      </c>
      <c r="BH305" s="64" t="str">
        <f t="shared" si="12"/>
        <v>#N/A</v>
      </c>
      <c r="BI305" s="64" t="str">
        <f t="shared" si="13"/>
        <v/>
      </c>
      <c r="BJ305" s="123" t="str">
        <f t="shared" si="14"/>
        <v>#N/A</v>
      </c>
      <c r="BK305" s="64" t="str">
        <f t="shared" si="50"/>
        <v>YES</v>
      </c>
      <c r="BL305" s="64" t="str">
        <f t="shared" si="16"/>
        <v>YES</v>
      </c>
      <c r="BM305" s="64" t="str">
        <f t="shared" si="17"/>
        <v>YES</v>
      </c>
      <c r="BN305" s="124" t="str">
        <f t="shared" si="18"/>
        <v/>
      </c>
      <c r="BO305" s="91" t="str">
        <f t="shared" si="19"/>
        <v/>
      </c>
      <c r="BP305" s="91" t="str">
        <f t="shared" si="20"/>
        <v>#N/A</v>
      </c>
      <c r="BQ305" s="91" t="str">
        <f t="shared" si="21"/>
        <v/>
      </c>
      <c r="BR305" s="93" t="str">
        <f t="shared" si="22"/>
        <v/>
      </c>
      <c r="BS305" s="90" t="str">
        <f t="shared" si="23"/>
        <v/>
      </c>
      <c r="BT305" s="93" t="str">
        <f t="shared" si="24"/>
        <v>NA</v>
      </c>
      <c r="BU305" s="125" t="str">
        <f t="shared" si="25"/>
        <v>#N/A</v>
      </c>
      <c r="BV305" s="93" t="str">
        <f t="shared" si="26"/>
        <v/>
      </c>
      <c r="BW305" s="93" t="str">
        <f t="shared" si="27"/>
        <v/>
      </c>
      <c r="BX305" s="93" t="str">
        <f t="shared" si="28"/>
        <v>NA</v>
      </c>
      <c r="BY305" s="95" t="str">
        <f t="shared" si="29"/>
        <v>#N/A</v>
      </c>
      <c r="BZ305" s="93" t="str">
        <f t="shared" si="30"/>
        <v/>
      </c>
      <c r="CA305" s="93" t="str">
        <f t="shared" si="31"/>
        <v/>
      </c>
      <c r="CB305" s="93" t="str">
        <f t="shared" si="32"/>
        <v>NA</v>
      </c>
      <c r="CC305" s="96" t="str">
        <f t="shared" si="33"/>
        <v>#N/A</v>
      </c>
      <c r="CD305" s="93" t="str">
        <f t="shared" si="34"/>
        <v/>
      </c>
      <c r="CE305" s="93" t="str">
        <f t="shared" si="35"/>
        <v/>
      </c>
      <c r="CF305" s="93" t="str">
        <f t="shared" si="36"/>
        <v>NA</v>
      </c>
      <c r="CG305" s="97" t="str">
        <f t="shared" si="37"/>
        <v>#N/A</v>
      </c>
      <c r="CH305" s="98" t="str">
        <f t="shared" si="38"/>
        <v>#N/A</v>
      </c>
      <c r="CI305" s="99" t="str">
        <f t="shared" si="39"/>
        <v>#N/A</v>
      </c>
      <c r="CJ305" s="126" t="str">
        <f t="shared" si="40"/>
        <v>ERROR: check cell</v>
      </c>
      <c r="CK305" s="126"/>
      <c r="CL305" s="127" t="str">
        <f t="shared" si="41"/>
        <v>#DIV/0!</v>
      </c>
      <c r="CM305" s="128" t="str">
        <f t="shared" si="42"/>
        <v>#DIV/0!</v>
      </c>
      <c r="CN305" s="128">
        <f t="shared" si="43"/>
        <v>4</v>
      </c>
      <c r="CO305" s="129">
        <f t="shared" si="44"/>
        <v>4</v>
      </c>
      <c r="CP305" s="129" t="str">
        <f>IFS(C305=Preferences!B$13,B305,B305=Preferences!B$13,C305)</f>
        <v>#N/A</v>
      </c>
    </row>
    <row r="306" ht="13.5" customHeight="1">
      <c r="A306" s="63" t="str">
        <f t="shared" si="45"/>
        <v/>
      </c>
      <c r="B306" s="64"/>
      <c r="C306" s="64"/>
      <c r="D306" s="64"/>
      <c r="E306" s="65"/>
      <c r="F306" s="65"/>
      <c r="G306" s="65"/>
      <c r="H306" s="66"/>
      <c r="I306" s="66"/>
      <c r="J306" s="67"/>
      <c r="K306" s="68"/>
      <c r="L306" s="104"/>
      <c r="M306" s="104"/>
      <c r="N306" s="104"/>
      <c r="O306" s="104"/>
      <c r="P306" s="107" t="str">
        <f t="shared" si="1"/>
        <v/>
      </c>
      <c r="Q306" s="108" t="str">
        <f>IFERROR(IF(AND(Preferences!B$3="Manual",OR(AX306/AW306&gt;G306/F306,BD306="Serious",BD306="Very serious")),"Assess imprecision",IFS(ISBLANK(E306),"",AND(Preferences!B$3="Automatic", G306/F306&gt;=30),"Extremely serious",AND(H306&lt;=$D$1*-1,J306&lt;0,G306/F306&lt;3),"Not serious",AND(H306&lt;=$D$1*-1,J306&lt;0,G306/F306&gt;=3),"Very serious",AND(H306&gt;=$D$1,I306&gt;0,G306/F306&lt;3),"Not serious",AND(H306&gt;=$D$1,I306&gt;0,G306/F306&gt;=3),"Very serious",AND(H306&lt;=$D$1*-1,J306&gt;0,I306&gt;$D$2*-1,G306/F306&lt;3),"Serious", AND(H306&lt;=$D$1*-1,J306&gt;0,I306&lt;$D$2*-1,G306/F306&lt;3),"Very serious", AND(H306&gt;=$D$1,I306&lt;0,J306&lt;$D$2,G306/F306&lt;3),"Serious",AND(H306&gt;=$D$1,I306&lt;0,J306&gt;$D$2,G306/F306&lt;3),"Very serious", AND(H306&lt;=$D$1*-1,J306&gt;0,I306&gt;$D$2*-1,G306/F306&gt;=3),"Very serious", AND(H306&lt;=$D$1*-1,J306&gt;0,I306&lt;$D$2*-1,G306/F306&gt;=3),"Very serious", AND(H306&gt;=$D$1,I306&lt;0,J306&lt;$D$2,G306/F306&gt;=3),"Very serious", AND(H306&gt;=$D$1,I306&lt;0,J306&gt;$D$2,G306/F306&gt;=3),"Very serious", AND(H306&gt;$D$1*-1,H306&lt;$D$1,I306&gt;$D$1*-1,J306&lt;$D$1,G306/F306&lt;3),"Not serious", AND(H306&gt;$D$1*-1,H306&lt;$D$1,OR(I306&lt;=$D$1*-1,J306&gt;=$D$1),I306&gt;$D$2*-1,J306&lt;$D$2,G306/F306&lt;3),"Serious", AND(H306&gt;$D$1*-1,H306&lt;$D$1,OR(I306&lt;=$D$2*-1,J306&gt;=$D$2),G306/F306&lt;3),"Very serious", AND(H306&gt;$D$1*-1,H306&lt;$D$1,I306&gt;$D$1*-1,J306&lt;$D$1,G306/F306&gt;=3),"Very serious", AND(H306&gt;$D$1*-1,H306&lt;$D$1,OR(I306&lt;=$D$1*-1,J306&gt;=$D$1),I306&gt;$D$2*-1,J306&lt;$D$2,G306/F306&gt;=3),"Very serious", AND(H306&gt;$D$1*-1,H306&lt;$D$1,OR(I306&lt;=$D$2*-1,J306&gt;=$D$2),G306/F306&gt;=3),"Very serious")),"")</f>
        <v/>
      </c>
      <c r="R306" s="109" t="str">
        <f t="shared" si="47"/>
        <v/>
      </c>
      <c r="S306" s="64"/>
      <c r="T306" s="72"/>
      <c r="U306" s="72"/>
      <c r="V306" s="72"/>
      <c r="W306" s="73"/>
      <c r="X306" s="73"/>
      <c r="Y306" s="74"/>
      <c r="Z306" s="113" t="str">
        <f t="array" ref="Z306">INDEX($A$1:$C$500, MATCH(1,($B:$B=$B306)*($C:$C=$AB306),0),1)</f>
        <v/>
      </c>
      <c r="AA306" s="113" t="str">
        <f t="array" ref="AA306">INDEX($A$1:$C$500, MATCH(1,($B:$B=$AB306)*($C:$C=$B306),0),1)</f>
        <v/>
      </c>
      <c r="AB306" s="111"/>
      <c r="AC306" s="114" t="str">
        <f t="shared" si="2"/>
        <v/>
      </c>
      <c r="AD306" s="115" t="str">
        <f t="shared" si="3"/>
        <v/>
      </c>
      <c r="AE306" s="116" t="str">
        <f t="array" ref="AE306">INDEX($A$1:$C$500, MATCH(1,($B:$B=$AB306)*($C:$C=$AG306),0),1)</f>
        <v/>
      </c>
      <c r="AF306" s="116" t="str">
        <f t="array" ref="AF306">INDEX($A$1:$C$500, MATCH(1,($B:$B=$AG306)*($C:$C=$AB306),0),1)</f>
        <v/>
      </c>
      <c r="AG306" s="72"/>
      <c r="AH306" s="114" t="str">
        <f t="shared" si="4"/>
        <v/>
      </c>
      <c r="AI306" s="115" t="str">
        <f t="shared" si="5"/>
        <v/>
      </c>
      <c r="AJ306" s="116" t="str">
        <f t="array" ref="AJ306">INDEX($A$1:$C$500, MATCH(1,($B:$B=$C306)*($C:$C=$AG306),0),1)</f>
        <v/>
      </c>
      <c r="AK306" s="116" t="str">
        <f t="array" ref="AK306">INDEX($A$1:$C$500, MATCH(1,($B:$B=$AG306)*($C:$C=$C306),0),1)</f>
        <v/>
      </c>
      <c r="AL306" s="116" t="str">
        <f t="array" ref="AL306">INDEX($A$1:$C$500, MATCH(1,($B:$B=$C306)*($C:$C=$AB306),0),1)</f>
        <v/>
      </c>
      <c r="AM306" s="116" t="str">
        <f t="array" ref="AM306">INDEX($A$1:$C$500, MATCH(1,($B:$B=$AB306)*($C:$C=$C306),0),1)</f>
        <v/>
      </c>
      <c r="AN306" s="114" t="str">
        <f t="array" ref="AN306">IFS(ISNUMBER(AJ306),AJ306,ISNUMBER(AK306),AK306,ISNUMBER(AL306),AL306,ISNUMBER(AM306),AM306)</f>
        <v>#N/A</v>
      </c>
      <c r="AO306" s="115" t="str">
        <f t="shared" si="6"/>
        <v/>
      </c>
      <c r="AP306" s="115" t="str">
        <f t="shared" si="7"/>
        <v/>
      </c>
      <c r="AQ306" s="111"/>
      <c r="AR306" s="109" t="str">
        <f t="shared" si="8"/>
        <v/>
      </c>
      <c r="AS306" s="72" t="str">
        <f>IFERROR(IF(AND(Preferences!B$3="Manual",OR(AX306/AW306&gt;V306/U306,BD306="Serious",BD306="Very serious")),"Assess imprecision",IFERROR(IFS(AND(Preferences!B$3="Automatic",V306/U306&gt;=30),"Extremely serious",AND(W306&lt;=$D$1*-1,Y306&lt;0,V306/U306&lt;3),"Not Serious",AND(W306&lt;=$D$1*-1,Y306&lt;0,V306/U306&gt;=3),"Very serious",AND(W306&gt;=$D$1,X306&gt;0,V306/U306&lt;3),"Not Serious",AND(W306&gt;=$D$1,X306&gt;0,V306/U306&gt;=3),"Very serious",AND(W306&lt;=$D$1*-1,Y306&gt;0,X306&gt;$D$2*-1,V306/U306&lt;3),"Serious", AND(W306&lt;=$D$1*-1,Y306&gt;0,X306&lt;$D$2*-1,V306/U306&lt;3),"Very serious", AND(W306&gt;=$D$1,X306&lt;0,Y306&lt;$D$2,V306/U306&lt;3),"Serious",AND(W306&gt;=$D$1,X306&lt;0,Y306&gt;$D$2,V306/U306&lt;3),"Very serious", AND(W306&lt;=$D$1*-1,Y306&gt;0,X306&gt;$D$2*-1,V306/U306&gt;=3),"Very serious", AND(W306&lt;=$D$1*-1,Y306&gt;0,X306&lt;$D$2*-1,V306/U306&gt;=3),"Very serious", AND(W306&gt;=$D$1,X306&lt;0,Y306&lt;$D$2,V306/U306&gt;=3),"Very serious", AND(W306&gt;=$D$1,X306&lt;0,Y306&gt;$D$2,V306/U306&gt;=3),"Very serious", AND(W306&gt;$D$1*-1,W306&lt;$D$1,X306&gt;$D$1*-1,Y306&lt;$D$1,V306/U306&lt;3),"Not Serious", AND(W306&gt;$D$1*-1,W306&lt;$D$1,OR(X306&lt;=$D$1*-1,Y306&gt;=$D$1),X306&gt;$D$2*-1,Y306&lt;$D$2,V306/U306&lt;3),"Serious", AND(W306&gt;$D$1*-1,W306&lt;$D$1,OR(X306&lt;=$D$2*-1,Y306&gt;=$D$2),V306/U306&lt;3),"Very serious", AND(W306&gt;$D$1*-1,W306&lt;$D$1,X306&gt;$D$1*-1,Y306&lt;$D$1,V306/U306&gt;=3),"Very serious", AND(W306&gt;$D$1*-1,W306&lt;$D$1,OR(X306&lt;=$D$1*-1,Y306&gt;=$D$1),X306&gt;$D$2*-1,Y306&lt;$D$2,V306/U306&gt;=3),"Very serious", AND(W306&gt;$D$1*-1,W306&lt;$D$1,OR(X306&lt;=$D$2*-1,Y306&gt;=$D$2),V306/U306&gt;=3),"Very serious"),"")),"")</f>
        <v/>
      </c>
      <c r="AT306" s="109" t="str">
        <f t="shared" si="9"/>
        <v/>
      </c>
      <c r="AU306" s="64"/>
      <c r="AV306" s="83"/>
      <c r="AW306" s="83"/>
      <c r="AX306" s="83"/>
      <c r="AY306" s="83"/>
      <c r="AZ306" s="83"/>
      <c r="BA306" s="85"/>
      <c r="BB306" s="86" t="str">
        <f>IF(Preferences!B$9="Manual","",IFS(ISBLANK(B306),"",AND(ISNUMBER(E306)=TRUE,ISNUMBER(T306)=FALSE),"Direct", AND(ISNUMBER(E306)=FALSE,ISNUMBER(T306)=TRUE),"Indirect", CN306=4,"Direct",AND(CL306=FALSE, CM306=TRUE,CN306-CO306&gt;-1),"Direct", AND(CL306=FALSE,CM306=TRUE, CN306-CO306&lt;0),"Check algorithm in appendix 2", AND(CL306=TRUE, CM306=FALSE,CN306-CO306&gt;0),"Check algorithm in appendix 2", AND(CL306=TRUE, CM306=FALSE,CN306-CO306=0),"Indirect", AND(CL306=TRUE, CM306=FALSE,CN306-CO306&lt;0),"Indirect", AND(CL306=FALSE,CM306=FALSE,CN306-CO306&gt;-1),"Direct", AND(CL306=FALSE,CM306=FALSE,CN306-CO306&lt;0),"Check algorithm in appendix 2", AND(CL306=TRUE,CM306=TRUE,CN306-CO306&gt;-1),"Direct", AND(CL306=TRUE,CM306=TRUE,CN306-CO306&lt;0),"Check algorithm in appendix 2"))</f>
        <v/>
      </c>
      <c r="BC306" s="120" t="str">
        <f t="shared" si="10"/>
        <v/>
      </c>
      <c r="BD306" s="140"/>
      <c r="BE306" s="122" t="str">
        <f>IF(Preferences!B$3="Manual","", IFERROR(IFS(AND(Preferences!B$3="Automatic",AX306/AW306&gt;=30),"Extremely serious",AND(AY306&lt;=$D$1*-1,BA306&lt;0,AX306/AW306&lt;3),"Not Serious",AND(AY306&lt;=$D$1*-1,BA306&lt;0,AX306/AW306&gt;=3),"Very serious",AND(AY306&gt;=$D$1,AZ306&gt;0,AX306/AW306&lt;3),"Not Serious",AND(AY306&gt;=$D$1,AZ306&gt;0,AX306/AW306&gt;=3),"Very serious",AND(AY306&lt;=$D$1*-1,BA306&gt;0,AZ306&gt;$D$2*-1,AX306/AW306&lt;3),"Serious", AND(AY306&lt;=$D$1*-1,BA306&gt;0,AZ306&lt;$D$2*-1,AX306/AW306&lt;3),"Very serious", AND(AY306&gt;=$D$1,AZ306&lt;0,BA306&lt;$D$2,AX306/AW306&lt;3),"Serious",AND(AY306&gt;=$D$1,AZ306&lt;0,BA306&gt;$D$2,AX306/AW306&lt;3),"Very serious", AND(AY306&lt;=$D$1*-1,BA306&gt;0,AZ306&gt;$D$2*-1,AX306/AW306&gt;=3),"Very serious", AND(AY306&lt;=$D$1*-1,BA306&gt;0,AZ306&lt;$D$2*-1,AX306/AW306&gt;=3),"Very serious", AND(AY306&gt;=$D$1,AZ306&lt;0,BA306&lt;$D$2,AX306/AW306&gt;=3),"Very serious", AND(AY306&gt;=$D$1,AZ306&lt;0,BA306&gt;$D$2,AX306/AW306&gt;=3),"Very serious", AND(AY306&gt;$D$1*-1,AY306&lt;$D$1,AZ306&gt;$D$1*-1,BA306&lt;$D$1,AX306/AW306&lt;3),"Not Serious", AND(AY306&gt;$D$1*-1,AY306&lt;$D$1,OR(AZ306&lt;=$D$1*-1,BA306&gt;=$D$1),AZ306&gt;$D$2*-1,BA306&lt;$D$2,AX306/AW306&lt;3),"Serious", AND(AY306&gt;$D$1*-1,AY306&lt;$D$1,OR(AZ306&lt;=$D$2*-1,BA306&gt;=$D$2),AX306/AW306&lt;3),"Very serious", AND(AY306&gt;$D$1*-1,AY306&lt;$D$1,AZ306&gt;$D$1*-1,BA306&lt;$D$1,AX306/AW306&gt;=3),"Very serious", AND(AY306&gt;$D$1*-1,AY306&lt;$D$1,OR(AZ306&lt;=$D$1*-1,BA306&gt;=$D$1),AZ306&gt;$D$2*-1,BA306&lt;$D$2,AX306/AW306&gt;=3),"Very serious", AND(AY306&gt;$D$1*-1,AY306&lt;$D$1,OR(AZ306&lt;=$D$2*-1,BA306&gt;=$D$2),AX306/AW306&gt;=3),"Very serious"),""))</f>
        <v/>
      </c>
      <c r="BF306" s="107" t="str">
        <f t="shared" si="11"/>
        <v/>
      </c>
      <c r="BG306" s="94" t="str">
        <f t="shared" si="46"/>
        <v/>
      </c>
      <c r="BH306" s="64" t="str">
        <f t="shared" si="12"/>
        <v>#N/A</v>
      </c>
      <c r="BI306" s="64" t="str">
        <f t="shared" si="13"/>
        <v/>
      </c>
      <c r="BJ306" s="123" t="str">
        <f t="shared" si="14"/>
        <v>#N/A</v>
      </c>
      <c r="BK306" s="64" t="str">
        <f t="shared" si="50"/>
        <v>YES</v>
      </c>
      <c r="BL306" s="64" t="str">
        <f t="shared" si="16"/>
        <v>YES</v>
      </c>
      <c r="BM306" s="64" t="str">
        <f t="shared" si="17"/>
        <v>YES</v>
      </c>
      <c r="BN306" s="124" t="str">
        <f t="shared" si="18"/>
        <v/>
      </c>
      <c r="BO306" s="91" t="str">
        <f t="shared" si="19"/>
        <v/>
      </c>
      <c r="BP306" s="91" t="str">
        <f t="shared" si="20"/>
        <v>#N/A</v>
      </c>
      <c r="BQ306" s="91" t="str">
        <f t="shared" si="21"/>
        <v/>
      </c>
      <c r="BR306" s="93" t="str">
        <f t="shared" si="22"/>
        <v/>
      </c>
      <c r="BS306" s="90" t="str">
        <f t="shared" si="23"/>
        <v/>
      </c>
      <c r="BT306" s="93" t="str">
        <f t="shared" si="24"/>
        <v>NA</v>
      </c>
      <c r="BU306" s="125" t="str">
        <f t="shared" si="25"/>
        <v>#N/A</v>
      </c>
      <c r="BV306" s="93" t="str">
        <f t="shared" si="26"/>
        <v/>
      </c>
      <c r="BW306" s="93" t="str">
        <f t="shared" si="27"/>
        <v/>
      </c>
      <c r="BX306" s="93" t="str">
        <f t="shared" si="28"/>
        <v>NA</v>
      </c>
      <c r="BY306" s="95" t="str">
        <f t="shared" si="29"/>
        <v>#N/A</v>
      </c>
      <c r="BZ306" s="93" t="str">
        <f t="shared" si="30"/>
        <v/>
      </c>
      <c r="CA306" s="93" t="str">
        <f t="shared" si="31"/>
        <v/>
      </c>
      <c r="CB306" s="93" t="str">
        <f t="shared" si="32"/>
        <v>NA</v>
      </c>
      <c r="CC306" s="96" t="str">
        <f t="shared" si="33"/>
        <v>#N/A</v>
      </c>
      <c r="CD306" s="93" t="str">
        <f t="shared" si="34"/>
        <v/>
      </c>
      <c r="CE306" s="93" t="str">
        <f t="shared" si="35"/>
        <v/>
      </c>
      <c r="CF306" s="93" t="str">
        <f t="shared" si="36"/>
        <v>NA</v>
      </c>
      <c r="CG306" s="97" t="str">
        <f t="shared" si="37"/>
        <v>#N/A</v>
      </c>
      <c r="CH306" s="98" t="str">
        <f t="shared" si="38"/>
        <v>#N/A</v>
      </c>
      <c r="CI306" s="99" t="str">
        <f t="shared" si="39"/>
        <v>#N/A</v>
      </c>
      <c r="CJ306" s="126" t="str">
        <f t="shared" si="40"/>
        <v>ERROR: check cell</v>
      </c>
      <c r="CK306" s="126"/>
      <c r="CL306" s="127" t="str">
        <f t="shared" si="41"/>
        <v>#DIV/0!</v>
      </c>
      <c r="CM306" s="128" t="str">
        <f t="shared" si="42"/>
        <v>#DIV/0!</v>
      </c>
      <c r="CN306" s="128">
        <f t="shared" si="43"/>
        <v>4</v>
      </c>
      <c r="CO306" s="129">
        <f t="shared" si="44"/>
        <v>4</v>
      </c>
      <c r="CP306" s="129" t="str">
        <f>IFS(C306=Preferences!B$13,B306,B306=Preferences!B$13,C306)</f>
        <v>#N/A</v>
      </c>
    </row>
    <row r="307" ht="13.5" customHeight="1">
      <c r="A307" s="63" t="str">
        <f t="shared" si="45"/>
        <v/>
      </c>
      <c r="B307" s="64"/>
      <c r="C307" s="64"/>
      <c r="D307" s="64"/>
      <c r="E307" s="65"/>
      <c r="F307" s="65"/>
      <c r="G307" s="65"/>
      <c r="H307" s="66"/>
      <c r="I307" s="66"/>
      <c r="J307" s="67"/>
      <c r="K307" s="68"/>
      <c r="L307" s="104"/>
      <c r="M307" s="104"/>
      <c r="N307" s="104"/>
      <c r="O307" s="104"/>
      <c r="P307" s="107" t="str">
        <f t="shared" si="1"/>
        <v/>
      </c>
      <c r="Q307" s="108" t="str">
        <f>IFERROR(IF(AND(Preferences!B$3="Manual",OR(AX307/AW307&gt;G307/F307,BD307="Serious",BD307="Very serious")),"Assess imprecision",IFS(ISBLANK(E307),"",AND(Preferences!B$3="Automatic", G307/F307&gt;=30),"Extremely serious",AND(H307&lt;=$D$1*-1,J307&lt;0,G307/F307&lt;3),"Not serious",AND(H307&lt;=$D$1*-1,J307&lt;0,G307/F307&gt;=3),"Very serious",AND(H307&gt;=$D$1,I307&gt;0,G307/F307&lt;3),"Not serious",AND(H307&gt;=$D$1,I307&gt;0,G307/F307&gt;=3),"Very serious",AND(H307&lt;=$D$1*-1,J307&gt;0,I307&gt;$D$2*-1,G307/F307&lt;3),"Serious", AND(H307&lt;=$D$1*-1,J307&gt;0,I307&lt;$D$2*-1,G307/F307&lt;3),"Very serious", AND(H307&gt;=$D$1,I307&lt;0,J307&lt;$D$2,G307/F307&lt;3),"Serious",AND(H307&gt;=$D$1,I307&lt;0,J307&gt;$D$2,G307/F307&lt;3),"Very serious", AND(H307&lt;=$D$1*-1,J307&gt;0,I307&gt;$D$2*-1,G307/F307&gt;=3),"Very serious", AND(H307&lt;=$D$1*-1,J307&gt;0,I307&lt;$D$2*-1,G307/F307&gt;=3),"Very serious", AND(H307&gt;=$D$1,I307&lt;0,J307&lt;$D$2,G307/F307&gt;=3),"Very serious", AND(H307&gt;=$D$1,I307&lt;0,J307&gt;$D$2,G307/F307&gt;=3),"Very serious", AND(H307&gt;$D$1*-1,H307&lt;$D$1,I307&gt;$D$1*-1,J307&lt;$D$1,G307/F307&lt;3),"Not serious", AND(H307&gt;$D$1*-1,H307&lt;$D$1,OR(I307&lt;=$D$1*-1,J307&gt;=$D$1),I307&gt;$D$2*-1,J307&lt;$D$2,G307/F307&lt;3),"Serious", AND(H307&gt;$D$1*-1,H307&lt;$D$1,OR(I307&lt;=$D$2*-1,J307&gt;=$D$2),G307/F307&lt;3),"Very serious", AND(H307&gt;$D$1*-1,H307&lt;$D$1,I307&gt;$D$1*-1,J307&lt;$D$1,G307/F307&gt;=3),"Very serious", AND(H307&gt;$D$1*-1,H307&lt;$D$1,OR(I307&lt;=$D$1*-1,J307&gt;=$D$1),I307&gt;$D$2*-1,J307&lt;$D$2,G307/F307&gt;=3),"Very serious", AND(H307&gt;$D$1*-1,H307&lt;$D$1,OR(I307&lt;=$D$2*-1,J307&gt;=$D$2),G307/F307&gt;=3),"Very serious")),"")</f>
        <v/>
      </c>
      <c r="R307" s="109" t="str">
        <f t="shared" si="47"/>
        <v/>
      </c>
      <c r="S307" s="64"/>
      <c r="T307" s="72"/>
      <c r="U307" s="72"/>
      <c r="V307" s="72"/>
      <c r="W307" s="73"/>
      <c r="X307" s="73"/>
      <c r="Y307" s="74"/>
      <c r="Z307" s="113" t="str">
        <f t="array" ref="Z307">INDEX($A$1:$C$500, MATCH(1,($B:$B=$B307)*($C:$C=$AB307),0),1)</f>
        <v/>
      </c>
      <c r="AA307" s="113" t="str">
        <f t="array" ref="AA307">INDEX($A$1:$C$500, MATCH(1,($B:$B=$AB307)*($C:$C=$B307),0),1)</f>
        <v/>
      </c>
      <c r="AB307" s="111"/>
      <c r="AC307" s="114" t="str">
        <f t="shared" si="2"/>
        <v/>
      </c>
      <c r="AD307" s="115" t="str">
        <f t="shared" si="3"/>
        <v/>
      </c>
      <c r="AE307" s="116" t="str">
        <f t="array" ref="AE307">INDEX($A$1:$C$500, MATCH(1,($B:$B=$AB307)*($C:$C=$AG307),0),1)</f>
        <v/>
      </c>
      <c r="AF307" s="116" t="str">
        <f t="array" ref="AF307">INDEX($A$1:$C$500, MATCH(1,($B:$B=$AG307)*($C:$C=$AB307),0),1)</f>
        <v/>
      </c>
      <c r="AG307" s="72"/>
      <c r="AH307" s="114" t="str">
        <f t="shared" si="4"/>
        <v/>
      </c>
      <c r="AI307" s="115" t="str">
        <f t="shared" si="5"/>
        <v/>
      </c>
      <c r="AJ307" s="116" t="str">
        <f t="array" ref="AJ307">INDEX($A$1:$C$500, MATCH(1,($B:$B=$C307)*($C:$C=$AG307),0),1)</f>
        <v/>
      </c>
      <c r="AK307" s="116" t="str">
        <f t="array" ref="AK307">INDEX($A$1:$C$500, MATCH(1,($B:$B=$AG307)*($C:$C=$C307),0),1)</f>
        <v/>
      </c>
      <c r="AL307" s="116" t="str">
        <f t="array" ref="AL307">INDEX($A$1:$C$500, MATCH(1,($B:$B=$C307)*($C:$C=$AB307),0),1)</f>
        <v/>
      </c>
      <c r="AM307" s="116" t="str">
        <f t="array" ref="AM307">INDEX($A$1:$C$500, MATCH(1,($B:$B=$AB307)*($C:$C=$C307),0),1)</f>
        <v/>
      </c>
      <c r="AN307" s="114" t="str">
        <f t="array" ref="AN307">IFS(ISNUMBER(AJ307),AJ307,ISNUMBER(AK307),AK307,ISNUMBER(AL307),AL307,ISNUMBER(AM307),AM307)</f>
        <v>#N/A</v>
      </c>
      <c r="AO307" s="115" t="str">
        <f t="shared" si="6"/>
        <v/>
      </c>
      <c r="AP307" s="115" t="str">
        <f t="shared" si="7"/>
        <v/>
      </c>
      <c r="AQ307" s="111"/>
      <c r="AR307" s="109" t="str">
        <f t="shared" si="8"/>
        <v/>
      </c>
      <c r="AS307" s="72" t="str">
        <f>IFERROR(IF(AND(Preferences!B$3="Manual",OR(AX307/AW307&gt;V307/U307,BD307="Serious",BD307="Very serious")),"Assess imprecision",IFERROR(IFS(AND(Preferences!B$3="Automatic",V307/U307&gt;=30),"Extremely serious",AND(W307&lt;=$D$1*-1,Y307&lt;0,V307/U307&lt;3),"Not Serious",AND(W307&lt;=$D$1*-1,Y307&lt;0,V307/U307&gt;=3),"Very serious",AND(W307&gt;=$D$1,X307&gt;0,V307/U307&lt;3),"Not Serious",AND(W307&gt;=$D$1,X307&gt;0,V307/U307&gt;=3),"Very serious",AND(W307&lt;=$D$1*-1,Y307&gt;0,X307&gt;$D$2*-1,V307/U307&lt;3),"Serious", AND(W307&lt;=$D$1*-1,Y307&gt;0,X307&lt;$D$2*-1,V307/U307&lt;3),"Very serious", AND(W307&gt;=$D$1,X307&lt;0,Y307&lt;$D$2,V307/U307&lt;3),"Serious",AND(W307&gt;=$D$1,X307&lt;0,Y307&gt;$D$2,V307/U307&lt;3),"Very serious", AND(W307&lt;=$D$1*-1,Y307&gt;0,X307&gt;$D$2*-1,V307/U307&gt;=3),"Very serious", AND(W307&lt;=$D$1*-1,Y307&gt;0,X307&lt;$D$2*-1,V307/U307&gt;=3),"Very serious", AND(W307&gt;=$D$1,X307&lt;0,Y307&lt;$D$2,V307/U307&gt;=3),"Very serious", AND(W307&gt;=$D$1,X307&lt;0,Y307&gt;$D$2,V307/U307&gt;=3),"Very serious", AND(W307&gt;$D$1*-1,W307&lt;$D$1,X307&gt;$D$1*-1,Y307&lt;$D$1,V307/U307&lt;3),"Not Serious", AND(W307&gt;$D$1*-1,W307&lt;$D$1,OR(X307&lt;=$D$1*-1,Y307&gt;=$D$1),X307&gt;$D$2*-1,Y307&lt;$D$2,V307/U307&lt;3),"Serious", AND(W307&gt;$D$1*-1,W307&lt;$D$1,OR(X307&lt;=$D$2*-1,Y307&gt;=$D$2),V307/U307&lt;3),"Very serious", AND(W307&gt;$D$1*-1,W307&lt;$D$1,X307&gt;$D$1*-1,Y307&lt;$D$1,V307/U307&gt;=3),"Very serious", AND(W307&gt;$D$1*-1,W307&lt;$D$1,OR(X307&lt;=$D$1*-1,Y307&gt;=$D$1),X307&gt;$D$2*-1,Y307&lt;$D$2,V307/U307&gt;=3),"Very serious", AND(W307&gt;$D$1*-1,W307&lt;$D$1,OR(X307&lt;=$D$2*-1,Y307&gt;=$D$2),V307/U307&gt;=3),"Very serious"),"")),"")</f>
        <v/>
      </c>
      <c r="AT307" s="109" t="str">
        <f t="shared" si="9"/>
        <v/>
      </c>
      <c r="AU307" s="64"/>
      <c r="AV307" s="83"/>
      <c r="AW307" s="83"/>
      <c r="AX307" s="83"/>
      <c r="AY307" s="83"/>
      <c r="AZ307" s="83"/>
      <c r="BA307" s="85"/>
      <c r="BB307" s="86" t="str">
        <f>IF(Preferences!B$9="Manual","",IFS(ISBLANK(B307),"",AND(ISNUMBER(E307)=TRUE,ISNUMBER(T307)=FALSE),"Direct", AND(ISNUMBER(E307)=FALSE,ISNUMBER(T307)=TRUE),"Indirect", CN307=4,"Direct",AND(CL307=FALSE, CM307=TRUE,CN307-CO307&gt;-1),"Direct", AND(CL307=FALSE,CM307=TRUE, CN307-CO307&lt;0),"Check algorithm in appendix 2", AND(CL307=TRUE, CM307=FALSE,CN307-CO307&gt;0),"Check algorithm in appendix 2", AND(CL307=TRUE, CM307=FALSE,CN307-CO307=0),"Indirect", AND(CL307=TRUE, CM307=FALSE,CN307-CO307&lt;0),"Indirect", AND(CL307=FALSE,CM307=FALSE,CN307-CO307&gt;-1),"Direct", AND(CL307=FALSE,CM307=FALSE,CN307-CO307&lt;0),"Check algorithm in appendix 2", AND(CL307=TRUE,CM307=TRUE,CN307-CO307&gt;-1),"Direct", AND(CL307=TRUE,CM307=TRUE,CN307-CO307&lt;0),"Check algorithm in appendix 2"))</f>
        <v/>
      </c>
      <c r="BC307" s="120" t="str">
        <f t="shared" si="10"/>
        <v/>
      </c>
      <c r="BD307" s="140"/>
      <c r="BE307" s="122" t="str">
        <f>IF(Preferences!B$3="Manual","", IFERROR(IFS(AND(Preferences!B$3="Automatic",AX307/AW307&gt;=30),"Extremely serious",AND(AY307&lt;=$D$1*-1,BA307&lt;0,AX307/AW307&lt;3),"Not Serious",AND(AY307&lt;=$D$1*-1,BA307&lt;0,AX307/AW307&gt;=3),"Very serious",AND(AY307&gt;=$D$1,AZ307&gt;0,AX307/AW307&lt;3),"Not Serious",AND(AY307&gt;=$D$1,AZ307&gt;0,AX307/AW307&gt;=3),"Very serious",AND(AY307&lt;=$D$1*-1,BA307&gt;0,AZ307&gt;$D$2*-1,AX307/AW307&lt;3),"Serious", AND(AY307&lt;=$D$1*-1,BA307&gt;0,AZ307&lt;$D$2*-1,AX307/AW307&lt;3),"Very serious", AND(AY307&gt;=$D$1,AZ307&lt;0,BA307&lt;$D$2,AX307/AW307&lt;3),"Serious",AND(AY307&gt;=$D$1,AZ307&lt;0,BA307&gt;$D$2,AX307/AW307&lt;3),"Very serious", AND(AY307&lt;=$D$1*-1,BA307&gt;0,AZ307&gt;$D$2*-1,AX307/AW307&gt;=3),"Very serious", AND(AY307&lt;=$D$1*-1,BA307&gt;0,AZ307&lt;$D$2*-1,AX307/AW307&gt;=3),"Very serious", AND(AY307&gt;=$D$1,AZ307&lt;0,BA307&lt;$D$2,AX307/AW307&gt;=3),"Very serious", AND(AY307&gt;=$D$1,AZ307&lt;0,BA307&gt;$D$2,AX307/AW307&gt;=3),"Very serious", AND(AY307&gt;$D$1*-1,AY307&lt;$D$1,AZ307&gt;$D$1*-1,BA307&lt;$D$1,AX307/AW307&lt;3),"Not Serious", AND(AY307&gt;$D$1*-1,AY307&lt;$D$1,OR(AZ307&lt;=$D$1*-1,BA307&gt;=$D$1),AZ307&gt;$D$2*-1,BA307&lt;$D$2,AX307/AW307&lt;3),"Serious", AND(AY307&gt;$D$1*-1,AY307&lt;$D$1,OR(AZ307&lt;=$D$2*-1,BA307&gt;=$D$2),AX307/AW307&lt;3),"Very serious", AND(AY307&gt;$D$1*-1,AY307&lt;$D$1,AZ307&gt;$D$1*-1,BA307&lt;$D$1,AX307/AW307&gt;=3),"Very serious", AND(AY307&gt;$D$1*-1,AY307&lt;$D$1,OR(AZ307&lt;=$D$1*-1,BA307&gt;=$D$1),AZ307&gt;$D$2*-1,BA307&lt;$D$2,AX307/AW307&gt;=3),"Very serious", AND(AY307&gt;$D$1*-1,AY307&lt;$D$1,OR(AZ307&lt;=$D$2*-1,BA307&gt;=$D$2),AX307/AW307&gt;=3),"Very serious"),""))</f>
        <v/>
      </c>
      <c r="BF307" s="107" t="str">
        <f t="shared" si="11"/>
        <v/>
      </c>
      <c r="BG307" s="94" t="str">
        <f t="shared" si="46"/>
        <v/>
      </c>
      <c r="BH307" s="64" t="str">
        <f t="shared" si="12"/>
        <v>#N/A</v>
      </c>
      <c r="BI307" s="64" t="str">
        <f t="shared" si="13"/>
        <v/>
      </c>
      <c r="BJ307" s="123" t="str">
        <f t="shared" si="14"/>
        <v>#N/A</v>
      </c>
      <c r="BK307" s="64" t="str">
        <f t="shared" si="50"/>
        <v>YES</v>
      </c>
      <c r="BL307" s="64" t="str">
        <f t="shared" si="16"/>
        <v>YES</v>
      </c>
      <c r="BM307" s="64" t="str">
        <f t="shared" si="17"/>
        <v>YES</v>
      </c>
      <c r="BN307" s="124" t="str">
        <f t="shared" si="18"/>
        <v/>
      </c>
      <c r="BO307" s="91" t="str">
        <f t="shared" si="19"/>
        <v/>
      </c>
      <c r="BP307" s="91" t="str">
        <f t="shared" si="20"/>
        <v>#N/A</v>
      </c>
      <c r="BQ307" s="91" t="str">
        <f t="shared" si="21"/>
        <v/>
      </c>
      <c r="BR307" s="93" t="str">
        <f t="shared" si="22"/>
        <v/>
      </c>
      <c r="BS307" s="90" t="str">
        <f t="shared" si="23"/>
        <v/>
      </c>
      <c r="BT307" s="93" t="str">
        <f t="shared" si="24"/>
        <v>NA</v>
      </c>
      <c r="BU307" s="125" t="str">
        <f t="shared" si="25"/>
        <v>#N/A</v>
      </c>
      <c r="BV307" s="93" t="str">
        <f t="shared" si="26"/>
        <v/>
      </c>
      <c r="BW307" s="93" t="str">
        <f t="shared" si="27"/>
        <v/>
      </c>
      <c r="BX307" s="93" t="str">
        <f t="shared" si="28"/>
        <v>NA</v>
      </c>
      <c r="BY307" s="95" t="str">
        <f t="shared" si="29"/>
        <v>#N/A</v>
      </c>
      <c r="BZ307" s="93" t="str">
        <f t="shared" si="30"/>
        <v/>
      </c>
      <c r="CA307" s="93" t="str">
        <f t="shared" si="31"/>
        <v/>
      </c>
      <c r="CB307" s="93" t="str">
        <f t="shared" si="32"/>
        <v>NA</v>
      </c>
      <c r="CC307" s="96" t="str">
        <f t="shared" si="33"/>
        <v>#N/A</v>
      </c>
      <c r="CD307" s="93" t="str">
        <f t="shared" si="34"/>
        <v/>
      </c>
      <c r="CE307" s="93" t="str">
        <f t="shared" si="35"/>
        <v/>
      </c>
      <c r="CF307" s="93" t="str">
        <f t="shared" si="36"/>
        <v>NA</v>
      </c>
      <c r="CG307" s="97" t="str">
        <f t="shared" si="37"/>
        <v>#N/A</v>
      </c>
      <c r="CH307" s="98" t="str">
        <f t="shared" si="38"/>
        <v>#N/A</v>
      </c>
      <c r="CI307" s="99" t="str">
        <f t="shared" si="39"/>
        <v>#N/A</v>
      </c>
      <c r="CJ307" s="126" t="str">
        <f t="shared" si="40"/>
        <v>ERROR: check cell</v>
      </c>
      <c r="CK307" s="126"/>
      <c r="CL307" s="127" t="str">
        <f t="shared" si="41"/>
        <v>#DIV/0!</v>
      </c>
      <c r="CM307" s="128" t="str">
        <f t="shared" si="42"/>
        <v>#DIV/0!</v>
      </c>
      <c r="CN307" s="128">
        <f t="shared" si="43"/>
        <v>4</v>
      </c>
      <c r="CO307" s="129">
        <f t="shared" si="44"/>
        <v>4</v>
      </c>
      <c r="CP307" s="129" t="str">
        <f>IFS(C307=Preferences!B$13,B307,B307=Preferences!B$13,C307)</f>
        <v>#N/A</v>
      </c>
    </row>
    <row r="308" ht="13.5" customHeight="1">
      <c r="A308" s="63" t="str">
        <f t="shared" si="45"/>
        <v/>
      </c>
      <c r="B308" s="64"/>
      <c r="C308" s="64"/>
      <c r="D308" s="64"/>
      <c r="E308" s="65"/>
      <c r="F308" s="65"/>
      <c r="G308" s="65"/>
      <c r="H308" s="66"/>
      <c r="I308" s="66"/>
      <c r="J308" s="67"/>
      <c r="K308" s="68"/>
      <c r="L308" s="104"/>
      <c r="M308" s="104"/>
      <c r="N308" s="104"/>
      <c r="O308" s="104"/>
      <c r="P308" s="107" t="str">
        <f t="shared" si="1"/>
        <v/>
      </c>
      <c r="Q308" s="108" t="str">
        <f>IFERROR(IF(AND(Preferences!B$3="Manual",OR(AX308/AW308&gt;G308/F308,BD308="Serious",BD308="Very serious")),"Assess imprecision",IFS(ISBLANK(E308),"",AND(Preferences!B$3="Automatic", G308/F308&gt;=30),"Extremely serious",AND(H308&lt;=$D$1*-1,J308&lt;0,G308/F308&lt;3),"Not serious",AND(H308&lt;=$D$1*-1,J308&lt;0,G308/F308&gt;=3),"Very serious",AND(H308&gt;=$D$1,I308&gt;0,G308/F308&lt;3),"Not serious",AND(H308&gt;=$D$1,I308&gt;0,G308/F308&gt;=3),"Very serious",AND(H308&lt;=$D$1*-1,J308&gt;0,I308&gt;$D$2*-1,G308/F308&lt;3),"Serious", AND(H308&lt;=$D$1*-1,J308&gt;0,I308&lt;$D$2*-1,G308/F308&lt;3),"Very serious", AND(H308&gt;=$D$1,I308&lt;0,J308&lt;$D$2,G308/F308&lt;3),"Serious",AND(H308&gt;=$D$1,I308&lt;0,J308&gt;$D$2,G308/F308&lt;3),"Very serious", AND(H308&lt;=$D$1*-1,J308&gt;0,I308&gt;$D$2*-1,G308/F308&gt;=3),"Very serious", AND(H308&lt;=$D$1*-1,J308&gt;0,I308&lt;$D$2*-1,G308/F308&gt;=3),"Very serious", AND(H308&gt;=$D$1,I308&lt;0,J308&lt;$D$2,G308/F308&gt;=3),"Very serious", AND(H308&gt;=$D$1,I308&lt;0,J308&gt;$D$2,G308/F308&gt;=3),"Very serious", AND(H308&gt;$D$1*-1,H308&lt;$D$1,I308&gt;$D$1*-1,J308&lt;$D$1,G308/F308&lt;3),"Not serious", AND(H308&gt;$D$1*-1,H308&lt;$D$1,OR(I308&lt;=$D$1*-1,J308&gt;=$D$1),I308&gt;$D$2*-1,J308&lt;$D$2,G308/F308&lt;3),"Serious", AND(H308&gt;$D$1*-1,H308&lt;$D$1,OR(I308&lt;=$D$2*-1,J308&gt;=$D$2),G308/F308&lt;3),"Very serious", AND(H308&gt;$D$1*-1,H308&lt;$D$1,I308&gt;$D$1*-1,J308&lt;$D$1,G308/F308&gt;=3),"Very serious", AND(H308&gt;$D$1*-1,H308&lt;$D$1,OR(I308&lt;=$D$1*-1,J308&gt;=$D$1),I308&gt;$D$2*-1,J308&lt;$D$2,G308/F308&gt;=3),"Very serious", AND(H308&gt;$D$1*-1,H308&lt;$D$1,OR(I308&lt;=$D$2*-1,J308&gt;=$D$2),G308/F308&gt;=3),"Very serious")),"")</f>
        <v/>
      </c>
      <c r="R308" s="109" t="str">
        <f t="shared" si="47"/>
        <v/>
      </c>
      <c r="S308" s="64"/>
      <c r="T308" s="72"/>
      <c r="U308" s="72"/>
      <c r="V308" s="72"/>
      <c r="W308" s="73"/>
      <c r="X308" s="73"/>
      <c r="Y308" s="74"/>
      <c r="Z308" s="113" t="str">
        <f t="array" ref="Z308">INDEX($A$1:$C$500, MATCH(1,($B:$B=$B308)*($C:$C=$AB308),0),1)</f>
        <v/>
      </c>
      <c r="AA308" s="113" t="str">
        <f t="array" ref="AA308">INDEX($A$1:$C$500, MATCH(1,($B:$B=$AB308)*($C:$C=$B308),0),1)</f>
        <v/>
      </c>
      <c r="AB308" s="111"/>
      <c r="AC308" s="114" t="str">
        <f t="shared" si="2"/>
        <v/>
      </c>
      <c r="AD308" s="115" t="str">
        <f t="shared" si="3"/>
        <v/>
      </c>
      <c r="AE308" s="116" t="str">
        <f t="array" ref="AE308">INDEX($A$1:$C$500, MATCH(1,($B:$B=$AB308)*($C:$C=$AG308),0),1)</f>
        <v/>
      </c>
      <c r="AF308" s="116" t="str">
        <f t="array" ref="AF308">INDEX($A$1:$C$500, MATCH(1,($B:$B=$AG308)*($C:$C=$AB308),0),1)</f>
        <v/>
      </c>
      <c r="AG308" s="72"/>
      <c r="AH308" s="114" t="str">
        <f t="shared" si="4"/>
        <v/>
      </c>
      <c r="AI308" s="115" t="str">
        <f t="shared" si="5"/>
        <v/>
      </c>
      <c r="AJ308" s="116" t="str">
        <f t="array" ref="AJ308">INDEX($A$1:$C$500, MATCH(1,($B:$B=$C308)*($C:$C=$AG308),0),1)</f>
        <v/>
      </c>
      <c r="AK308" s="116" t="str">
        <f t="array" ref="AK308">INDEX($A$1:$C$500, MATCH(1,($B:$B=$AG308)*($C:$C=$C308),0),1)</f>
        <v/>
      </c>
      <c r="AL308" s="116" t="str">
        <f t="array" ref="AL308">INDEX($A$1:$C$500, MATCH(1,($B:$B=$C308)*($C:$C=$AB308),0),1)</f>
        <v/>
      </c>
      <c r="AM308" s="116" t="str">
        <f t="array" ref="AM308">INDEX($A$1:$C$500, MATCH(1,($B:$B=$AB308)*($C:$C=$C308),0),1)</f>
        <v/>
      </c>
      <c r="AN308" s="114" t="str">
        <f t="array" ref="AN308">IFS(ISNUMBER(AJ308),AJ308,ISNUMBER(AK308),AK308,ISNUMBER(AL308),AL308,ISNUMBER(AM308),AM308)</f>
        <v>#N/A</v>
      </c>
      <c r="AO308" s="115" t="str">
        <f t="shared" si="6"/>
        <v/>
      </c>
      <c r="AP308" s="115" t="str">
        <f t="shared" si="7"/>
        <v/>
      </c>
      <c r="AQ308" s="111"/>
      <c r="AR308" s="109" t="str">
        <f t="shared" si="8"/>
        <v/>
      </c>
      <c r="AS308" s="72" t="str">
        <f>IFERROR(IF(AND(Preferences!B$3="Manual",OR(AX308/AW308&gt;V308/U308,BD308="Serious",BD308="Very serious")),"Assess imprecision",IFERROR(IFS(AND(Preferences!B$3="Automatic",V308/U308&gt;=30),"Extremely serious",AND(W308&lt;=$D$1*-1,Y308&lt;0,V308/U308&lt;3),"Not Serious",AND(W308&lt;=$D$1*-1,Y308&lt;0,V308/U308&gt;=3),"Very serious",AND(W308&gt;=$D$1,X308&gt;0,V308/U308&lt;3),"Not Serious",AND(W308&gt;=$D$1,X308&gt;0,V308/U308&gt;=3),"Very serious",AND(W308&lt;=$D$1*-1,Y308&gt;0,X308&gt;$D$2*-1,V308/U308&lt;3),"Serious", AND(W308&lt;=$D$1*-1,Y308&gt;0,X308&lt;$D$2*-1,V308/U308&lt;3),"Very serious", AND(W308&gt;=$D$1,X308&lt;0,Y308&lt;$D$2,V308/U308&lt;3),"Serious",AND(W308&gt;=$D$1,X308&lt;0,Y308&gt;$D$2,V308/U308&lt;3),"Very serious", AND(W308&lt;=$D$1*-1,Y308&gt;0,X308&gt;$D$2*-1,V308/U308&gt;=3),"Very serious", AND(W308&lt;=$D$1*-1,Y308&gt;0,X308&lt;$D$2*-1,V308/U308&gt;=3),"Very serious", AND(W308&gt;=$D$1,X308&lt;0,Y308&lt;$D$2,V308/U308&gt;=3),"Very serious", AND(W308&gt;=$D$1,X308&lt;0,Y308&gt;$D$2,V308/U308&gt;=3),"Very serious", AND(W308&gt;$D$1*-1,W308&lt;$D$1,X308&gt;$D$1*-1,Y308&lt;$D$1,V308/U308&lt;3),"Not Serious", AND(W308&gt;$D$1*-1,W308&lt;$D$1,OR(X308&lt;=$D$1*-1,Y308&gt;=$D$1),X308&gt;$D$2*-1,Y308&lt;$D$2,V308/U308&lt;3),"Serious", AND(W308&gt;$D$1*-1,W308&lt;$D$1,OR(X308&lt;=$D$2*-1,Y308&gt;=$D$2),V308/U308&lt;3),"Very serious", AND(W308&gt;$D$1*-1,W308&lt;$D$1,X308&gt;$D$1*-1,Y308&lt;$D$1,V308/U308&gt;=3),"Very serious", AND(W308&gt;$D$1*-1,W308&lt;$D$1,OR(X308&lt;=$D$1*-1,Y308&gt;=$D$1),X308&gt;$D$2*-1,Y308&lt;$D$2,V308/U308&gt;=3),"Very serious", AND(W308&gt;$D$1*-1,W308&lt;$D$1,OR(X308&lt;=$D$2*-1,Y308&gt;=$D$2),V308/U308&gt;=3),"Very serious"),"")),"")</f>
        <v/>
      </c>
      <c r="AT308" s="109" t="str">
        <f t="shared" si="9"/>
        <v/>
      </c>
      <c r="AU308" s="64"/>
      <c r="AV308" s="83"/>
      <c r="AW308" s="83"/>
      <c r="AX308" s="83"/>
      <c r="AY308" s="83"/>
      <c r="AZ308" s="83"/>
      <c r="BA308" s="85"/>
      <c r="BB308" s="86" t="str">
        <f>IF(Preferences!B$9="Manual","",IFS(ISBLANK(B308),"",AND(ISNUMBER(E308)=TRUE,ISNUMBER(T308)=FALSE),"Direct", AND(ISNUMBER(E308)=FALSE,ISNUMBER(T308)=TRUE),"Indirect", CN308=4,"Direct",AND(CL308=FALSE, CM308=TRUE,CN308-CO308&gt;-1),"Direct", AND(CL308=FALSE,CM308=TRUE, CN308-CO308&lt;0),"Check algorithm in appendix 2", AND(CL308=TRUE, CM308=FALSE,CN308-CO308&gt;0),"Check algorithm in appendix 2", AND(CL308=TRUE, CM308=FALSE,CN308-CO308=0),"Indirect", AND(CL308=TRUE, CM308=FALSE,CN308-CO308&lt;0),"Indirect", AND(CL308=FALSE,CM308=FALSE,CN308-CO308&gt;-1),"Direct", AND(CL308=FALSE,CM308=FALSE,CN308-CO308&lt;0),"Check algorithm in appendix 2", AND(CL308=TRUE,CM308=TRUE,CN308-CO308&gt;-1),"Direct", AND(CL308=TRUE,CM308=TRUE,CN308-CO308&lt;0),"Check algorithm in appendix 2"))</f>
        <v/>
      </c>
      <c r="BC308" s="120" t="str">
        <f t="shared" si="10"/>
        <v/>
      </c>
      <c r="BD308" s="140"/>
      <c r="BE308" s="122" t="str">
        <f>IF(Preferences!B$3="Manual","", IFERROR(IFS(AND(Preferences!B$3="Automatic",AX308/AW308&gt;=30),"Extremely serious",AND(AY308&lt;=$D$1*-1,BA308&lt;0,AX308/AW308&lt;3),"Not Serious",AND(AY308&lt;=$D$1*-1,BA308&lt;0,AX308/AW308&gt;=3),"Very serious",AND(AY308&gt;=$D$1,AZ308&gt;0,AX308/AW308&lt;3),"Not Serious",AND(AY308&gt;=$D$1,AZ308&gt;0,AX308/AW308&gt;=3),"Very serious",AND(AY308&lt;=$D$1*-1,BA308&gt;0,AZ308&gt;$D$2*-1,AX308/AW308&lt;3),"Serious", AND(AY308&lt;=$D$1*-1,BA308&gt;0,AZ308&lt;$D$2*-1,AX308/AW308&lt;3),"Very serious", AND(AY308&gt;=$D$1,AZ308&lt;0,BA308&lt;$D$2,AX308/AW308&lt;3),"Serious",AND(AY308&gt;=$D$1,AZ308&lt;0,BA308&gt;$D$2,AX308/AW308&lt;3),"Very serious", AND(AY308&lt;=$D$1*-1,BA308&gt;0,AZ308&gt;$D$2*-1,AX308/AW308&gt;=3),"Very serious", AND(AY308&lt;=$D$1*-1,BA308&gt;0,AZ308&lt;$D$2*-1,AX308/AW308&gt;=3),"Very serious", AND(AY308&gt;=$D$1,AZ308&lt;0,BA308&lt;$D$2,AX308/AW308&gt;=3),"Very serious", AND(AY308&gt;=$D$1,AZ308&lt;0,BA308&gt;$D$2,AX308/AW308&gt;=3),"Very serious", AND(AY308&gt;$D$1*-1,AY308&lt;$D$1,AZ308&gt;$D$1*-1,BA308&lt;$D$1,AX308/AW308&lt;3),"Not Serious", AND(AY308&gt;$D$1*-1,AY308&lt;$D$1,OR(AZ308&lt;=$D$1*-1,BA308&gt;=$D$1),AZ308&gt;$D$2*-1,BA308&lt;$D$2,AX308/AW308&lt;3),"Serious", AND(AY308&gt;$D$1*-1,AY308&lt;$D$1,OR(AZ308&lt;=$D$2*-1,BA308&gt;=$D$2),AX308/AW308&lt;3),"Very serious", AND(AY308&gt;$D$1*-1,AY308&lt;$D$1,AZ308&gt;$D$1*-1,BA308&lt;$D$1,AX308/AW308&gt;=3),"Very serious", AND(AY308&gt;$D$1*-1,AY308&lt;$D$1,OR(AZ308&lt;=$D$1*-1,BA308&gt;=$D$1),AZ308&gt;$D$2*-1,BA308&lt;$D$2,AX308/AW308&gt;=3),"Very serious", AND(AY308&gt;$D$1*-1,AY308&lt;$D$1,OR(AZ308&lt;=$D$2*-1,BA308&gt;=$D$2),AX308/AW308&gt;=3),"Very serious"),""))</f>
        <v/>
      </c>
      <c r="BF308" s="107" t="str">
        <f t="shared" si="11"/>
        <v/>
      </c>
      <c r="BG308" s="94" t="str">
        <f t="shared" si="46"/>
        <v/>
      </c>
      <c r="BH308" s="64" t="str">
        <f t="shared" si="12"/>
        <v>#N/A</v>
      </c>
      <c r="BI308" s="64" t="str">
        <f t="shared" si="13"/>
        <v/>
      </c>
      <c r="BJ308" s="123" t="str">
        <f t="shared" si="14"/>
        <v>#N/A</v>
      </c>
      <c r="BK308" s="64" t="str">
        <f t="shared" si="50"/>
        <v>YES</v>
      </c>
      <c r="BL308" s="64" t="str">
        <f t="shared" si="16"/>
        <v>YES</v>
      </c>
      <c r="BM308" s="64" t="str">
        <f t="shared" si="17"/>
        <v>YES</v>
      </c>
      <c r="BN308" s="124" t="str">
        <f t="shared" si="18"/>
        <v/>
      </c>
      <c r="BO308" s="91" t="str">
        <f t="shared" si="19"/>
        <v/>
      </c>
      <c r="BP308" s="91" t="str">
        <f t="shared" si="20"/>
        <v>#N/A</v>
      </c>
      <c r="BQ308" s="91" t="str">
        <f t="shared" si="21"/>
        <v/>
      </c>
      <c r="BR308" s="93" t="str">
        <f t="shared" si="22"/>
        <v/>
      </c>
      <c r="BS308" s="90" t="str">
        <f t="shared" si="23"/>
        <v/>
      </c>
      <c r="BT308" s="93" t="str">
        <f t="shared" si="24"/>
        <v>NA</v>
      </c>
      <c r="BU308" s="125" t="str">
        <f t="shared" si="25"/>
        <v>#N/A</v>
      </c>
      <c r="BV308" s="93" t="str">
        <f t="shared" si="26"/>
        <v/>
      </c>
      <c r="BW308" s="93" t="str">
        <f t="shared" si="27"/>
        <v/>
      </c>
      <c r="BX308" s="93" t="str">
        <f t="shared" si="28"/>
        <v>NA</v>
      </c>
      <c r="BY308" s="95" t="str">
        <f t="shared" si="29"/>
        <v>#N/A</v>
      </c>
      <c r="BZ308" s="93" t="str">
        <f t="shared" si="30"/>
        <v/>
      </c>
      <c r="CA308" s="93" t="str">
        <f t="shared" si="31"/>
        <v/>
      </c>
      <c r="CB308" s="93" t="str">
        <f t="shared" si="32"/>
        <v>NA</v>
      </c>
      <c r="CC308" s="96" t="str">
        <f t="shared" si="33"/>
        <v>#N/A</v>
      </c>
      <c r="CD308" s="93" t="str">
        <f t="shared" si="34"/>
        <v/>
      </c>
      <c r="CE308" s="93" t="str">
        <f t="shared" si="35"/>
        <v/>
      </c>
      <c r="CF308" s="93" t="str">
        <f t="shared" si="36"/>
        <v>NA</v>
      </c>
      <c r="CG308" s="97" t="str">
        <f t="shared" si="37"/>
        <v>#N/A</v>
      </c>
      <c r="CH308" s="98" t="str">
        <f t="shared" si="38"/>
        <v>#N/A</v>
      </c>
      <c r="CI308" s="99" t="str">
        <f t="shared" si="39"/>
        <v>#N/A</v>
      </c>
      <c r="CJ308" s="126" t="str">
        <f t="shared" si="40"/>
        <v>ERROR: check cell</v>
      </c>
      <c r="CK308" s="126"/>
      <c r="CL308" s="127" t="str">
        <f t="shared" si="41"/>
        <v>#DIV/0!</v>
      </c>
      <c r="CM308" s="128" t="str">
        <f t="shared" si="42"/>
        <v>#DIV/0!</v>
      </c>
      <c r="CN308" s="128">
        <f t="shared" si="43"/>
        <v>4</v>
      </c>
      <c r="CO308" s="129">
        <f t="shared" si="44"/>
        <v>4</v>
      </c>
      <c r="CP308" s="129" t="str">
        <f>IFS(C308=Preferences!B$13,B308,B308=Preferences!B$13,C308)</f>
        <v>#N/A</v>
      </c>
    </row>
    <row r="309" ht="13.5" customHeight="1">
      <c r="A309" s="63" t="str">
        <f t="shared" si="45"/>
        <v/>
      </c>
      <c r="B309" s="64"/>
      <c r="C309" s="64"/>
      <c r="D309" s="64"/>
      <c r="E309" s="65"/>
      <c r="F309" s="65"/>
      <c r="G309" s="65"/>
      <c r="H309" s="66"/>
      <c r="I309" s="66"/>
      <c r="J309" s="67"/>
      <c r="K309" s="68"/>
      <c r="L309" s="104"/>
      <c r="M309" s="104"/>
      <c r="N309" s="104"/>
      <c r="O309" s="104"/>
      <c r="P309" s="107" t="str">
        <f t="shared" si="1"/>
        <v/>
      </c>
      <c r="Q309" s="108" t="str">
        <f>IFERROR(IF(AND(Preferences!B$3="Manual",OR(AX309/AW309&gt;G309/F309,BD309="Serious",BD309="Very serious")),"Assess imprecision",IFS(ISBLANK(E309),"",AND(Preferences!B$3="Automatic", G309/F309&gt;=30),"Extremely serious",AND(H309&lt;=$D$1*-1,J309&lt;0,G309/F309&lt;3),"Not serious",AND(H309&lt;=$D$1*-1,J309&lt;0,G309/F309&gt;=3),"Very serious",AND(H309&gt;=$D$1,I309&gt;0,G309/F309&lt;3),"Not serious",AND(H309&gt;=$D$1,I309&gt;0,G309/F309&gt;=3),"Very serious",AND(H309&lt;=$D$1*-1,J309&gt;0,I309&gt;$D$2*-1,G309/F309&lt;3),"Serious", AND(H309&lt;=$D$1*-1,J309&gt;0,I309&lt;$D$2*-1,G309/F309&lt;3),"Very serious", AND(H309&gt;=$D$1,I309&lt;0,J309&lt;$D$2,G309/F309&lt;3),"Serious",AND(H309&gt;=$D$1,I309&lt;0,J309&gt;$D$2,G309/F309&lt;3),"Very serious", AND(H309&lt;=$D$1*-1,J309&gt;0,I309&gt;$D$2*-1,G309/F309&gt;=3),"Very serious", AND(H309&lt;=$D$1*-1,J309&gt;0,I309&lt;$D$2*-1,G309/F309&gt;=3),"Very serious", AND(H309&gt;=$D$1,I309&lt;0,J309&lt;$D$2,G309/F309&gt;=3),"Very serious", AND(H309&gt;=$D$1,I309&lt;0,J309&gt;$D$2,G309/F309&gt;=3),"Very serious", AND(H309&gt;$D$1*-1,H309&lt;$D$1,I309&gt;$D$1*-1,J309&lt;$D$1,G309/F309&lt;3),"Not serious", AND(H309&gt;$D$1*-1,H309&lt;$D$1,OR(I309&lt;=$D$1*-1,J309&gt;=$D$1),I309&gt;$D$2*-1,J309&lt;$D$2,G309/F309&lt;3),"Serious", AND(H309&gt;$D$1*-1,H309&lt;$D$1,OR(I309&lt;=$D$2*-1,J309&gt;=$D$2),G309/F309&lt;3),"Very serious", AND(H309&gt;$D$1*-1,H309&lt;$D$1,I309&gt;$D$1*-1,J309&lt;$D$1,G309/F309&gt;=3),"Very serious", AND(H309&gt;$D$1*-1,H309&lt;$D$1,OR(I309&lt;=$D$1*-1,J309&gt;=$D$1),I309&gt;$D$2*-1,J309&lt;$D$2,G309/F309&gt;=3),"Very serious", AND(H309&gt;$D$1*-1,H309&lt;$D$1,OR(I309&lt;=$D$2*-1,J309&gt;=$D$2),G309/F309&gt;=3),"Very serious")),"")</f>
        <v/>
      </c>
      <c r="R309" s="109" t="str">
        <f t="shared" si="47"/>
        <v/>
      </c>
      <c r="S309" s="64"/>
      <c r="T309" s="72"/>
      <c r="U309" s="72"/>
      <c r="V309" s="72"/>
      <c r="W309" s="73"/>
      <c r="X309" s="73"/>
      <c r="Y309" s="74"/>
      <c r="Z309" s="113" t="str">
        <f t="array" ref="Z309">INDEX($A$1:$C$500, MATCH(1,($B:$B=$B309)*($C:$C=$AB309),0),1)</f>
        <v/>
      </c>
      <c r="AA309" s="113" t="str">
        <f t="array" ref="AA309">INDEX($A$1:$C$500, MATCH(1,($B:$B=$AB309)*($C:$C=$B309),0),1)</f>
        <v/>
      </c>
      <c r="AB309" s="111"/>
      <c r="AC309" s="114" t="str">
        <f t="shared" si="2"/>
        <v/>
      </c>
      <c r="AD309" s="115" t="str">
        <f t="shared" si="3"/>
        <v/>
      </c>
      <c r="AE309" s="116" t="str">
        <f t="array" ref="AE309">INDEX($A$1:$C$500, MATCH(1,($B:$B=$AB309)*($C:$C=$AG309),0),1)</f>
        <v/>
      </c>
      <c r="AF309" s="116" t="str">
        <f t="array" ref="AF309">INDEX($A$1:$C$500, MATCH(1,($B:$B=$AG309)*($C:$C=$AB309),0),1)</f>
        <v/>
      </c>
      <c r="AG309" s="72"/>
      <c r="AH309" s="114" t="str">
        <f t="shared" si="4"/>
        <v/>
      </c>
      <c r="AI309" s="115" t="str">
        <f t="shared" si="5"/>
        <v/>
      </c>
      <c r="AJ309" s="116" t="str">
        <f t="array" ref="AJ309">INDEX($A$1:$C$500, MATCH(1,($B:$B=$C309)*($C:$C=$AG309),0),1)</f>
        <v/>
      </c>
      <c r="AK309" s="116" t="str">
        <f t="array" ref="AK309">INDEX($A$1:$C$500, MATCH(1,($B:$B=$AG309)*($C:$C=$C309),0),1)</f>
        <v/>
      </c>
      <c r="AL309" s="116" t="str">
        <f t="array" ref="AL309">INDEX($A$1:$C$500, MATCH(1,($B:$B=$C309)*($C:$C=$AB309),0),1)</f>
        <v/>
      </c>
      <c r="AM309" s="116" t="str">
        <f t="array" ref="AM309">INDEX($A$1:$C$500, MATCH(1,($B:$B=$AB309)*($C:$C=$C309),0),1)</f>
        <v/>
      </c>
      <c r="AN309" s="114" t="str">
        <f t="array" ref="AN309">IFS(ISNUMBER(AJ309),AJ309,ISNUMBER(AK309),AK309,ISNUMBER(AL309),AL309,ISNUMBER(AM309),AM309)</f>
        <v>#N/A</v>
      </c>
      <c r="AO309" s="115" t="str">
        <f t="shared" si="6"/>
        <v/>
      </c>
      <c r="AP309" s="115" t="str">
        <f t="shared" si="7"/>
        <v/>
      </c>
      <c r="AQ309" s="111"/>
      <c r="AR309" s="109" t="str">
        <f t="shared" si="8"/>
        <v/>
      </c>
      <c r="AS309" s="72" t="str">
        <f>IFERROR(IF(AND(Preferences!B$3="Manual",OR(AX309/AW309&gt;V309/U309,BD309="Serious",BD309="Very serious")),"Assess imprecision",IFERROR(IFS(AND(Preferences!B$3="Automatic",V309/U309&gt;=30),"Extremely serious",AND(W309&lt;=$D$1*-1,Y309&lt;0,V309/U309&lt;3),"Not Serious",AND(W309&lt;=$D$1*-1,Y309&lt;0,V309/U309&gt;=3),"Very serious",AND(W309&gt;=$D$1,X309&gt;0,V309/U309&lt;3),"Not Serious",AND(W309&gt;=$D$1,X309&gt;0,V309/U309&gt;=3),"Very serious",AND(W309&lt;=$D$1*-1,Y309&gt;0,X309&gt;$D$2*-1,V309/U309&lt;3),"Serious", AND(W309&lt;=$D$1*-1,Y309&gt;0,X309&lt;$D$2*-1,V309/U309&lt;3),"Very serious", AND(W309&gt;=$D$1,X309&lt;0,Y309&lt;$D$2,V309/U309&lt;3),"Serious",AND(W309&gt;=$D$1,X309&lt;0,Y309&gt;$D$2,V309/U309&lt;3),"Very serious", AND(W309&lt;=$D$1*-1,Y309&gt;0,X309&gt;$D$2*-1,V309/U309&gt;=3),"Very serious", AND(W309&lt;=$D$1*-1,Y309&gt;0,X309&lt;$D$2*-1,V309/U309&gt;=3),"Very serious", AND(W309&gt;=$D$1,X309&lt;0,Y309&lt;$D$2,V309/U309&gt;=3),"Very serious", AND(W309&gt;=$D$1,X309&lt;0,Y309&gt;$D$2,V309/U309&gt;=3),"Very serious", AND(W309&gt;$D$1*-1,W309&lt;$D$1,X309&gt;$D$1*-1,Y309&lt;$D$1,V309/U309&lt;3),"Not Serious", AND(W309&gt;$D$1*-1,W309&lt;$D$1,OR(X309&lt;=$D$1*-1,Y309&gt;=$D$1),X309&gt;$D$2*-1,Y309&lt;$D$2,V309/U309&lt;3),"Serious", AND(W309&gt;$D$1*-1,W309&lt;$D$1,OR(X309&lt;=$D$2*-1,Y309&gt;=$D$2),V309/U309&lt;3),"Very serious", AND(W309&gt;$D$1*-1,W309&lt;$D$1,X309&gt;$D$1*-1,Y309&lt;$D$1,V309/U309&gt;=3),"Very serious", AND(W309&gt;$D$1*-1,W309&lt;$D$1,OR(X309&lt;=$D$1*-1,Y309&gt;=$D$1),X309&gt;$D$2*-1,Y309&lt;$D$2,V309/U309&gt;=3),"Very serious", AND(W309&gt;$D$1*-1,W309&lt;$D$1,OR(X309&lt;=$D$2*-1,Y309&gt;=$D$2),V309/U309&gt;=3),"Very serious"),"")),"")</f>
        <v/>
      </c>
      <c r="AT309" s="109" t="str">
        <f t="shared" si="9"/>
        <v/>
      </c>
      <c r="AU309" s="64"/>
      <c r="AV309" s="83"/>
      <c r="AW309" s="83"/>
      <c r="AX309" s="83"/>
      <c r="AY309" s="83"/>
      <c r="AZ309" s="83"/>
      <c r="BA309" s="85"/>
      <c r="BB309" s="86" t="str">
        <f>IF(Preferences!B$9="Manual","",IFS(ISBLANK(B309),"",AND(ISNUMBER(E309)=TRUE,ISNUMBER(T309)=FALSE),"Direct", AND(ISNUMBER(E309)=FALSE,ISNUMBER(T309)=TRUE),"Indirect", CN309=4,"Direct",AND(CL309=FALSE, CM309=TRUE,CN309-CO309&gt;-1),"Direct", AND(CL309=FALSE,CM309=TRUE, CN309-CO309&lt;0),"Check algorithm in appendix 2", AND(CL309=TRUE, CM309=FALSE,CN309-CO309&gt;0),"Check algorithm in appendix 2", AND(CL309=TRUE, CM309=FALSE,CN309-CO309=0),"Indirect", AND(CL309=TRUE, CM309=FALSE,CN309-CO309&lt;0),"Indirect", AND(CL309=FALSE,CM309=FALSE,CN309-CO309&gt;-1),"Direct", AND(CL309=FALSE,CM309=FALSE,CN309-CO309&lt;0),"Check algorithm in appendix 2", AND(CL309=TRUE,CM309=TRUE,CN309-CO309&gt;-1),"Direct", AND(CL309=TRUE,CM309=TRUE,CN309-CO309&lt;0),"Check algorithm in appendix 2"))</f>
        <v/>
      </c>
      <c r="BC309" s="120" t="str">
        <f t="shared" si="10"/>
        <v/>
      </c>
      <c r="BD309" s="140"/>
      <c r="BE309" s="122" t="str">
        <f>IF(Preferences!B$3="Manual","", IFERROR(IFS(AND(Preferences!B$3="Automatic",AX309/AW309&gt;=30),"Extremely serious",AND(AY309&lt;=$D$1*-1,BA309&lt;0,AX309/AW309&lt;3),"Not Serious",AND(AY309&lt;=$D$1*-1,BA309&lt;0,AX309/AW309&gt;=3),"Very serious",AND(AY309&gt;=$D$1,AZ309&gt;0,AX309/AW309&lt;3),"Not Serious",AND(AY309&gt;=$D$1,AZ309&gt;0,AX309/AW309&gt;=3),"Very serious",AND(AY309&lt;=$D$1*-1,BA309&gt;0,AZ309&gt;$D$2*-1,AX309/AW309&lt;3),"Serious", AND(AY309&lt;=$D$1*-1,BA309&gt;0,AZ309&lt;$D$2*-1,AX309/AW309&lt;3),"Very serious", AND(AY309&gt;=$D$1,AZ309&lt;0,BA309&lt;$D$2,AX309/AW309&lt;3),"Serious",AND(AY309&gt;=$D$1,AZ309&lt;0,BA309&gt;$D$2,AX309/AW309&lt;3),"Very serious", AND(AY309&lt;=$D$1*-1,BA309&gt;0,AZ309&gt;$D$2*-1,AX309/AW309&gt;=3),"Very serious", AND(AY309&lt;=$D$1*-1,BA309&gt;0,AZ309&lt;$D$2*-1,AX309/AW309&gt;=3),"Very serious", AND(AY309&gt;=$D$1,AZ309&lt;0,BA309&lt;$D$2,AX309/AW309&gt;=3),"Very serious", AND(AY309&gt;=$D$1,AZ309&lt;0,BA309&gt;$D$2,AX309/AW309&gt;=3),"Very serious", AND(AY309&gt;$D$1*-1,AY309&lt;$D$1,AZ309&gt;$D$1*-1,BA309&lt;$D$1,AX309/AW309&lt;3),"Not Serious", AND(AY309&gt;$D$1*-1,AY309&lt;$D$1,OR(AZ309&lt;=$D$1*-1,BA309&gt;=$D$1),AZ309&gt;$D$2*-1,BA309&lt;$D$2,AX309/AW309&lt;3),"Serious", AND(AY309&gt;$D$1*-1,AY309&lt;$D$1,OR(AZ309&lt;=$D$2*-1,BA309&gt;=$D$2),AX309/AW309&lt;3),"Very serious", AND(AY309&gt;$D$1*-1,AY309&lt;$D$1,AZ309&gt;$D$1*-1,BA309&lt;$D$1,AX309/AW309&gt;=3),"Very serious", AND(AY309&gt;$D$1*-1,AY309&lt;$D$1,OR(AZ309&lt;=$D$1*-1,BA309&gt;=$D$1),AZ309&gt;$D$2*-1,BA309&lt;$D$2,AX309/AW309&gt;=3),"Very serious", AND(AY309&gt;$D$1*-1,AY309&lt;$D$1,OR(AZ309&lt;=$D$2*-1,BA309&gt;=$D$2),AX309/AW309&gt;=3),"Very serious"),""))</f>
        <v/>
      </c>
      <c r="BF309" s="107" t="str">
        <f t="shared" si="11"/>
        <v/>
      </c>
      <c r="BG309" s="94" t="str">
        <f t="shared" si="46"/>
        <v/>
      </c>
      <c r="BH309" s="64" t="str">
        <f t="shared" si="12"/>
        <v>#N/A</v>
      </c>
      <c r="BI309" s="64" t="str">
        <f t="shared" si="13"/>
        <v/>
      </c>
      <c r="BJ309" s="123" t="str">
        <f t="shared" si="14"/>
        <v>#N/A</v>
      </c>
      <c r="BK309" s="64" t="str">
        <f t="shared" si="50"/>
        <v>YES</v>
      </c>
      <c r="BL309" s="64" t="str">
        <f t="shared" si="16"/>
        <v>YES</v>
      </c>
      <c r="BM309" s="64" t="str">
        <f t="shared" si="17"/>
        <v>YES</v>
      </c>
      <c r="BN309" s="124" t="str">
        <f t="shared" si="18"/>
        <v/>
      </c>
      <c r="BO309" s="91" t="str">
        <f t="shared" si="19"/>
        <v/>
      </c>
      <c r="BP309" s="91" t="str">
        <f t="shared" si="20"/>
        <v>#N/A</v>
      </c>
      <c r="BQ309" s="91" t="str">
        <f t="shared" si="21"/>
        <v/>
      </c>
      <c r="BR309" s="93" t="str">
        <f t="shared" si="22"/>
        <v/>
      </c>
      <c r="BS309" s="90" t="str">
        <f t="shared" si="23"/>
        <v/>
      </c>
      <c r="BT309" s="93" t="str">
        <f t="shared" si="24"/>
        <v>NA</v>
      </c>
      <c r="BU309" s="125" t="str">
        <f t="shared" si="25"/>
        <v>#N/A</v>
      </c>
      <c r="BV309" s="93" t="str">
        <f t="shared" si="26"/>
        <v/>
      </c>
      <c r="BW309" s="93" t="str">
        <f t="shared" si="27"/>
        <v/>
      </c>
      <c r="BX309" s="93" t="str">
        <f t="shared" si="28"/>
        <v>NA</v>
      </c>
      <c r="BY309" s="95" t="str">
        <f t="shared" si="29"/>
        <v>#N/A</v>
      </c>
      <c r="BZ309" s="93" t="str">
        <f t="shared" si="30"/>
        <v/>
      </c>
      <c r="CA309" s="93" t="str">
        <f t="shared" si="31"/>
        <v/>
      </c>
      <c r="CB309" s="93" t="str">
        <f t="shared" si="32"/>
        <v>NA</v>
      </c>
      <c r="CC309" s="96" t="str">
        <f t="shared" si="33"/>
        <v>#N/A</v>
      </c>
      <c r="CD309" s="93" t="str">
        <f t="shared" si="34"/>
        <v/>
      </c>
      <c r="CE309" s="93" t="str">
        <f t="shared" si="35"/>
        <v/>
      </c>
      <c r="CF309" s="93" t="str">
        <f t="shared" si="36"/>
        <v>NA</v>
      </c>
      <c r="CG309" s="97" t="str">
        <f t="shared" si="37"/>
        <v>#N/A</v>
      </c>
      <c r="CH309" s="98" t="str">
        <f t="shared" si="38"/>
        <v>#N/A</v>
      </c>
      <c r="CI309" s="99" t="str">
        <f t="shared" si="39"/>
        <v>#N/A</v>
      </c>
      <c r="CJ309" s="126" t="str">
        <f t="shared" si="40"/>
        <v>ERROR: check cell</v>
      </c>
      <c r="CK309" s="126"/>
      <c r="CL309" s="127" t="str">
        <f t="shared" si="41"/>
        <v>#DIV/0!</v>
      </c>
      <c r="CM309" s="128" t="str">
        <f t="shared" si="42"/>
        <v>#DIV/0!</v>
      </c>
      <c r="CN309" s="128">
        <f t="shared" si="43"/>
        <v>4</v>
      </c>
      <c r="CO309" s="129">
        <f t="shared" si="44"/>
        <v>4</v>
      </c>
      <c r="CP309" s="129" t="str">
        <f>IFS(C309=Preferences!B$13,B309,B309=Preferences!B$13,C309)</f>
        <v>#N/A</v>
      </c>
    </row>
    <row r="310" ht="13.5" customHeight="1">
      <c r="A310" s="63" t="str">
        <f t="shared" si="45"/>
        <v/>
      </c>
      <c r="B310" s="64"/>
      <c r="C310" s="64"/>
      <c r="D310" s="64"/>
      <c r="E310" s="65"/>
      <c r="F310" s="65"/>
      <c r="G310" s="65"/>
      <c r="H310" s="66"/>
      <c r="I310" s="66"/>
      <c r="J310" s="67"/>
      <c r="K310" s="68"/>
      <c r="L310" s="104"/>
      <c r="M310" s="104"/>
      <c r="N310" s="104"/>
      <c r="O310" s="104"/>
      <c r="P310" s="107" t="str">
        <f t="shared" si="1"/>
        <v/>
      </c>
      <c r="Q310" s="108" t="str">
        <f>IFERROR(IF(AND(Preferences!B$3="Manual",OR(AX310/AW310&gt;G310/F310,BD310="Serious",BD310="Very serious")),"Assess imprecision",IFS(ISBLANK(E310),"",AND(Preferences!B$3="Automatic", G310/F310&gt;=30),"Extremely serious",AND(H310&lt;=$D$1*-1,J310&lt;0,G310/F310&lt;3),"Not serious",AND(H310&lt;=$D$1*-1,J310&lt;0,G310/F310&gt;=3),"Very serious",AND(H310&gt;=$D$1,I310&gt;0,G310/F310&lt;3),"Not serious",AND(H310&gt;=$D$1,I310&gt;0,G310/F310&gt;=3),"Very serious",AND(H310&lt;=$D$1*-1,J310&gt;0,I310&gt;$D$2*-1,G310/F310&lt;3),"Serious", AND(H310&lt;=$D$1*-1,J310&gt;0,I310&lt;$D$2*-1,G310/F310&lt;3),"Very serious", AND(H310&gt;=$D$1,I310&lt;0,J310&lt;$D$2,G310/F310&lt;3),"Serious",AND(H310&gt;=$D$1,I310&lt;0,J310&gt;$D$2,G310/F310&lt;3),"Very serious", AND(H310&lt;=$D$1*-1,J310&gt;0,I310&gt;$D$2*-1,G310/F310&gt;=3),"Very serious", AND(H310&lt;=$D$1*-1,J310&gt;0,I310&lt;$D$2*-1,G310/F310&gt;=3),"Very serious", AND(H310&gt;=$D$1,I310&lt;0,J310&lt;$D$2,G310/F310&gt;=3),"Very serious", AND(H310&gt;=$D$1,I310&lt;0,J310&gt;$D$2,G310/F310&gt;=3),"Very serious", AND(H310&gt;$D$1*-1,H310&lt;$D$1,I310&gt;$D$1*-1,J310&lt;$D$1,G310/F310&lt;3),"Not serious", AND(H310&gt;$D$1*-1,H310&lt;$D$1,OR(I310&lt;=$D$1*-1,J310&gt;=$D$1),I310&gt;$D$2*-1,J310&lt;$D$2,G310/F310&lt;3),"Serious", AND(H310&gt;$D$1*-1,H310&lt;$D$1,OR(I310&lt;=$D$2*-1,J310&gt;=$D$2),G310/F310&lt;3),"Very serious", AND(H310&gt;$D$1*-1,H310&lt;$D$1,I310&gt;$D$1*-1,J310&lt;$D$1,G310/F310&gt;=3),"Very serious", AND(H310&gt;$D$1*-1,H310&lt;$D$1,OR(I310&lt;=$D$1*-1,J310&gt;=$D$1),I310&gt;$D$2*-1,J310&lt;$D$2,G310/F310&gt;=3),"Very serious", AND(H310&gt;$D$1*-1,H310&lt;$D$1,OR(I310&lt;=$D$2*-1,J310&gt;=$D$2),G310/F310&gt;=3),"Very serious")),"")</f>
        <v/>
      </c>
      <c r="R310" s="109" t="str">
        <f t="shared" si="47"/>
        <v/>
      </c>
      <c r="S310" s="64"/>
      <c r="T310" s="72"/>
      <c r="U310" s="72"/>
      <c r="V310" s="72"/>
      <c r="W310" s="73"/>
      <c r="X310" s="73"/>
      <c r="Y310" s="74"/>
      <c r="Z310" s="113" t="str">
        <f t="array" ref="Z310">INDEX($A$1:$C$500, MATCH(1,($B:$B=$B310)*($C:$C=$AB310),0),1)</f>
        <v/>
      </c>
      <c r="AA310" s="113" t="str">
        <f t="array" ref="AA310">INDEX($A$1:$C$500, MATCH(1,($B:$B=$AB310)*($C:$C=$B310),0),1)</f>
        <v/>
      </c>
      <c r="AB310" s="111"/>
      <c r="AC310" s="114" t="str">
        <f t="shared" si="2"/>
        <v/>
      </c>
      <c r="AD310" s="115" t="str">
        <f t="shared" si="3"/>
        <v/>
      </c>
      <c r="AE310" s="116" t="str">
        <f t="array" ref="AE310">INDEX($A$1:$C$500, MATCH(1,($B:$B=$AB310)*($C:$C=$AG310),0),1)</f>
        <v/>
      </c>
      <c r="AF310" s="116" t="str">
        <f t="array" ref="AF310">INDEX($A$1:$C$500, MATCH(1,($B:$B=$AG310)*($C:$C=$AB310),0),1)</f>
        <v/>
      </c>
      <c r="AG310" s="72"/>
      <c r="AH310" s="114" t="str">
        <f t="shared" si="4"/>
        <v/>
      </c>
      <c r="AI310" s="115" t="str">
        <f t="shared" si="5"/>
        <v/>
      </c>
      <c r="AJ310" s="116" t="str">
        <f t="array" ref="AJ310">INDEX($A$1:$C$500, MATCH(1,($B:$B=$C310)*($C:$C=$AG310),0),1)</f>
        <v/>
      </c>
      <c r="AK310" s="116" t="str">
        <f t="array" ref="AK310">INDEX($A$1:$C$500, MATCH(1,($B:$B=$AG310)*($C:$C=$C310),0),1)</f>
        <v/>
      </c>
      <c r="AL310" s="116" t="str">
        <f t="array" ref="AL310">INDEX($A$1:$C$500, MATCH(1,($B:$B=$C310)*($C:$C=$AB310),0),1)</f>
        <v/>
      </c>
      <c r="AM310" s="116" t="str">
        <f t="array" ref="AM310">INDEX($A$1:$C$500, MATCH(1,($B:$B=$AB310)*($C:$C=$C310),0),1)</f>
        <v/>
      </c>
      <c r="AN310" s="114" t="str">
        <f t="array" ref="AN310">IFS(ISNUMBER(AJ310),AJ310,ISNUMBER(AK310),AK310,ISNUMBER(AL310),AL310,ISNUMBER(AM310),AM310)</f>
        <v>#N/A</v>
      </c>
      <c r="AO310" s="115" t="str">
        <f t="shared" si="6"/>
        <v/>
      </c>
      <c r="AP310" s="115" t="str">
        <f t="shared" si="7"/>
        <v/>
      </c>
      <c r="AQ310" s="111"/>
      <c r="AR310" s="109" t="str">
        <f t="shared" si="8"/>
        <v/>
      </c>
      <c r="AS310" s="72" t="str">
        <f>IFERROR(IF(AND(Preferences!B$3="Manual",OR(AX310/AW310&gt;V310/U310,BD310="Serious",BD310="Very serious")),"Assess imprecision",IFERROR(IFS(AND(Preferences!B$3="Automatic",V310/U310&gt;=30),"Extremely serious",AND(W310&lt;=$D$1*-1,Y310&lt;0,V310/U310&lt;3),"Not Serious",AND(W310&lt;=$D$1*-1,Y310&lt;0,V310/U310&gt;=3),"Very serious",AND(W310&gt;=$D$1,X310&gt;0,V310/U310&lt;3),"Not Serious",AND(W310&gt;=$D$1,X310&gt;0,V310/U310&gt;=3),"Very serious",AND(W310&lt;=$D$1*-1,Y310&gt;0,X310&gt;$D$2*-1,V310/U310&lt;3),"Serious", AND(W310&lt;=$D$1*-1,Y310&gt;0,X310&lt;$D$2*-1,V310/U310&lt;3),"Very serious", AND(W310&gt;=$D$1,X310&lt;0,Y310&lt;$D$2,V310/U310&lt;3),"Serious",AND(W310&gt;=$D$1,X310&lt;0,Y310&gt;$D$2,V310/U310&lt;3),"Very serious", AND(W310&lt;=$D$1*-1,Y310&gt;0,X310&gt;$D$2*-1,V310/U310&gt;=3),"Very serious", AND(W310&lt;=$D$1*-1,Y310&gt;0,X310&lt;$D$2*-1,V310/U310&gt;=3),"Very serious", AND(W310&gt;=$D$1,X310&lt;0,Y310&lt;$D$2,V310/U310&gt;=3),"Very serious", AND(W310&gt;=$D$1,X310&lt;0,Y310&gt;$D$2,V310/U310&gt;=3),"Very serious", AND(W310&gt;$D$1*-1,W310&lt;$D$1,X310&gt;$D$1*-1,Y310&lt;$D$1,V310/U310&lt;3),"Not Serious", AND(W310&gt;$D$1*-1,W310&lt;$D$1,OR(X310&lt;=$D$1*-1,Y310&gt;=$D$1),X310&gt;$D$2*-1,Y310&lt;$D$2,V310/U310&lt;3),"Serious", AND(W310&gt;$D$1*-1,W310&lt;$D$1,OR(X310&lt;=$D$2*-1,Y310&gt;=$D$2),V310/U310&lt;3),"Very serious", AND(W310&gt;$D$1*-1,W310&lt;$D$1,X310&gt;$D$1*-1,Y310&lt;$D$1,V310/U310&gt;=3),"Very serious", AND(W310&gt;$D$1*-1,W310&lt;$D$1,OR(X310&lt;=$D$1*-1,Y310&gt;=$D$1),X310&gt;$D$2*-1,Y310&lt;$D$2,V310/U310&gt;=3),"Very serious", AND(W310&gt;$D$1*-1,W310&lt;$D$1,OR(X310&lt;=$D$2*-1,Y310&gt;=$D$2),V310/U310&gt;=3),"Very serious"),"")),"")</f>
        <v/>
      </c>
      <c r="AT310" s="109" t="str">
        <f t="shared" si="9"/>
        <v/>
      </c>
      <c r="AU310" s="64"/>
      <c r="AV310" s="83"/>
      <c r="AW310" s="83"/>
      <c r="AX310" s="83"/>
      <c r="AY310" s="83"/>
      <c r="AZ310" s="83"/>
      <c r="BA310" s="85"/>
      <c r="BB310" s="86" t="str">
        <f>IF(Preferences!B$9="Manual","",IFS(ISBLANK(B310),"",AND(ISNUMBER(E310)=TRUE,ISNUMBER(T310)=FALSE),"Direct", AND(ISNUMBER(E310)=FALSE,ISNUMBER(T310)=TRUE),"Indirect", CN310=4,"Direct",AND(CL310=FALSE, CM310=TRUE,CN310-CO310&gt;-1),"Direct", AND(CL310=FALSE,CM310=TRUE, CN310-CO310&lt;0),"Check algorithm in appendix 2", AND(CL310=TRUE, CM310=FALSE,CN310-CO310&gt;0),"Check algorithm in appendix 2", AND(CL310=TRUE, CM310=FALSE,CN310-CO310=0),"Indirect", AND(CL310=TRUE, CM310=FALSE,CN310-CO310&lt;0),"Indirect", AND(CL310=FALSE,CM310=FALSE,CN310-CO310&gt;-1),"Direct", AND(CL310=FALSE,CM310=FALSE,CN310-CO310&lt;0),"Check algorithm in appendix 2", AND(CL310=TRUE,CM310=TRUE,CN310-CO310&gt;-1),"Direct", AND(CL310=TRUE,CM310=TRUE,CN310-CO310&lt;0),"Check algorithm in appendix 2"))</f>
        <v/>
      </c>
      <c r="BC310" s="120" t="str">
        <f t="shared" si="10"/>
        <v/>
      </c>
      <c r="BD310" s="140"/>
      <c r="BE310" s="122" t="str">
        <f>IF(Preferences!B$3="Manual","", IFERROR(IFS(AND(Preferences!B$3="Automatic",AX310/AW310&gt;=30),"Extremely serious",AND(AY310&lt;=$D$1*-1,BA310&lt;0,AX310/AW310&lt;3),"Not Serious",AND(AY310&lt;=$D$1*-1,BA310&lt;0,AX310/AW310&gt;=3),"Very serious",AND(AY310&gt;=$D$1,AZ310&gt;0,AX310/AW310&lt;3),"Not Serious",AND(AY310&gt;=$D$1,AZ310&gt;0,AX310/AW310&gt;=3),"Very serious",AND(AY310&lt;=$D$1*-1,BA310&gt;0,AZ310&gt;$D$2*-1,AX310/AW310&lt;3),"Serious", AND(AY310&lt;=$D$1*-1,BA310&gt;0,AZ310&lt;$D$2*-1,AX310/AW310&lt;3),"Very serious", AND(AY310&gt;=$D$1,AZ310&lt;0,BA310&lt;$D$2,AX310/AW310&lt;3),"Serious",AND(AY310&gt;=$D$1,AZ310&lt;0,BA310&gt;$D$2,AX310/AW310&lt;3),"Very serious", AND(AY310&lt;=$D$1*-1,BA310&gt;0,AZ310&gt;$D$2*-1,AX310/AW310&gt;=3),"Very serious", AND(AY310&lt;=$D$1*-1,BA310&gt;0,AZ310&lt;$D$2*-1,AX310/AW310&gt;=3),"Very serious", AND(AY310&gt;=$D$1,AZ310&lt;0,BA310&lt;$D$2,AX310/AW310&gt;=3),"Very serious", AND(AY310&gt;=$D$1,AZ310&lt;0,BA310&gt;$D$2,AX310/AW310&gt;=3),"Very serious", AND(AY310&gt;$D$1*-1,AY310&lt;$D$1,AZ310&gt;$D$1*-1,BA310&lt;$D$1,AX310/AW310&lt;3),"Not Serious", AND(AY310&gt;$D$1*-1,AY310&lt;$D$1,OR(AZ310&lt;=$D$1*-1,BA310&gt;=$D$1),AZ310&gt;$D$2*-1,BA310&lt;$D$2,AX310/AW310&lt;3),"Serious", AND(AY310&gt;$D$1*-1,AY310&lt;$D$1,OR(AZ310&lt;=$D$2*-1,BA310&gt;=$D$2),AX310/AW310&lt;3),"Very serious", AND(AY310&gt;$D$1*-1,AY310&lt;$D$1,AZ310&gt;$D$1*-1,BA310&lt;$D$1,AX310/AW310&gt;=3),"Very serious", AND(AY310&gt;$D$1*-1,AY310&lt;$D$1,OR(AZ310&lt;=$D$1*-1,BA310&gt;=$D$1),AZ310&gt;$D$2*-1,BA310&lt;$D$2,AX310/AW310&gt;=3),"Very serious", AND(AY310&gt;$D$1*-1,AY310&lt;$D$1,OR(AZ310&lt;=$D$2*-1,BA310&gt;=$D$2),AX310/AW310&gt;=3),"Very serious"),""))</f>
        <v/>
      </c>
      <c r="BF310" s="107" t="str">
        <f t="shared" si="11"/>
        <v/>
      </c>
      <c r="BG310" s="94" t="str">
        <f t="shared" si="46"/>
        <v/>
      </c>
      <c r="BH310" s="64" t="str">
        <f t="shared" si="12"/>
        <v>#N/A</v>
      </c>
      <c r="BI310" s="64" t="str">
        <f t="shared" si="13"/>
        <v/>
      </c>
      <c r="BJ310" s="123" t="str">
        <f t="shared" si="14"/>
        <v>#N/A</v>
      </c>
      <c r="BK310" s="64" t="str">
        <f t="shared" si="50"/>
        <v>YES</v>
      </c>
      <c r="BL310" s="64" t="str">
        <f t="shared" si="16"/>
        <v>YES</v>
      </c>
      <c r="BM310" s="64" t="str">
        <f t="shared" si="17"/>
        <v>YES</v>
      </c>
      <c r="BN310" s="124" t="str">
        <f t="shared" si="18"/>
        <v/>
      </c>
      <c r="BO310" s="91" t="str">
        <f t="shared" si="19"/>
        <v/>
      </c>
      <c r="BP310" s="91" t="str">
        <f t="shared" si="20"/>
        <v>#N/A</v>
      </c>
      <c r="BQ310" s="91" t="str">
        <f t="shared" si="21"/>
        <v/>
      </c>
      <c r="BR310" s="93" t="str">
        <f t="shared" si="22"/>
        <v/>
      </c>
      <c r="BS310" s="90" t="str">
        <f t="shared" si="23"/>
        <v/>
      </c>
      <c r="BT310" s="93" t="str">
        <f t="shared" si="24"/>
        <v>NA</v>
      </c>
      <c r="BU310" s="125" t="str">
        <f t="shared" si="25"/>
        <v>#N/A</v>
      </c>
      <c r="BV310" s="93" t="str">
        <f t="shared" si="26"/>
        <v/>
      </c>
      <c r="BW310" s="93" t="str">
        <f t="shared" si="27"/>
        <v/>
      </c>
      <c r="BX310" s="93" t="str">
        <f t="shared" si="28"/>
        <v>NA</v>
      </c>
      <c r="BY310" s="95" t="str">
        <f t="shared" si="29"/>
        <v>#N/A</v>
      </c>
      <c r="BZ310" s="93" t="str">
        <f t="shared" si="30"/>
        <v/>
      </c>
      <c r="CA310" s="93" t="str">
        <f t="shared" si="31"/>
        <v/>
      </c>
      <c r="CB310" s="93" t="str">
        <f t="shared" si="32"/>
        <v>NA</v>
      </c>
      <c r="CC310" s="96" t="str">
        <f t="shared" si="33"/>
        <v>#N/A</v>
      </c>
      <c r="CD310" s="93" t="str">
        <f t="shared" si="34"/>
        <v/>
      </c>
      <c r="CE310" s="93" t="str">
        <f t="shared" si="35"/>
        <v/>
      </c>
      <c r="CF310" s="93" t="str">
        <f t="shared" si="36"/>
        <v>NA</v>
      </c>
      <c r="CG310" s="97" t="str">
        <f t="shared" si="37"/>
        <v>#N/A</v>
      </c>
      <c r="CH310" s="98" t="str">
        <f t="shared" si="38"/>
        <v>#N/A</v>
      </c>
      <c r="CI310" s="99" t="str">
        <f t="shared" si="39"/>
        <v>#N/A</v>
      </c>
      <c r="CJ310" s="126" t="str">
        <f t="shared" si="40"/>
        <v>ERROR: check cell</v>
      </c>
      <c r="CK310" s="126"/>
      <c r="CL310" s="127" t="str">
        <f t="shared" si="41"/>
        <v>#DIV/0!</v>
      </c>
      <c r="CM310" s="128" t="str">
        <f t="shared" si="42"/>
        <v>#DIV/0!</v>
      </c>
      <c r="CN310" s="128">
        <f t="shared" si="43"/>
        <v>4</v>
      </c>
      <c r="CO310" s="129">
        <f t="shared" si="44"/>
        <v>4</v>
      </c>
      <c r="CP310" s="129" t="str">
        <f>IFS(C310=Preferences!B$13,B310,B310=Preferences!B$13,C310)</f>
        <v>#N/A</v>
      </c>
    </row>
    <row r="311" ht="13.5" customHeight="1">
      <c r="A311" s="63" t="str">
        <f t="shared" si="45"/>
        <v/>
      </c>
      <c r="B311" s="64"/>
      <c r="C311" s="64"/>
      <c r="D311" s="64"/>
      <c r="E311" s="65"/>
      <c r="F311" s="65"/>
      <c r="G311" s="65"/>
      <c r="H311" s="66"/>
      <c r="I311" s="66"/>
      <c r="J311" s="67"/>
      <c r="K311" s="68"/>
      <c r="L311" s="104"/>
      <c r="M311" s="104"/>
      <c r="N311" s="104"/>
      <c r="O311" s="104"/>
      <c r="P311" s="107" t="str">
        <f t="shared" si="1"/>
        <v/>
      </c>
      <c r="Q311" s="108" t="str">
        <f>IFERROR(IF(AND(Preferences!B$3="Manual",OR(AX311/AW311&gt;G311/F311,BD311="Serious",BD311="Very serious")),"Assess imprecision",IFS(ISBLANK(E311),"",AND(Preferences!B$3="Automatic", G311/F311&gt;=30),"Extremely serious",AND(H311&lt;=$D$1*-1,J311&lt;0,G311/F311&lt;3),"Not serious",AND(H311&lt;=$D$1*-1,J311&lt;0,G311/F311&gt;=3),"Very serious",AND(H311&gt;=$D$1,I311&gt;0,G311/F311&lt;3),"Not serious",AND(H311&gt;=$D$1,I311&gt;0,G311/F311&gt;=3),"Very serious",AND(H311&lt;=$D$1*-1,J311&gt;0,I311&gt;$D$2*-1,G311/F311&lt;3),"Serious", AND(H311&lt;=$D$1*-1,J311&gt;0,I311&lt;$D$2*-1,G311/F311&lt;3),"Very serious", AND(H311&gt;=$D$1,I311&lt;0,J311&lt;$D$2,G311/F311&lt;3),"Serious",AND(H311&gt;=$D$1,I311&lt;0,J311&gt;$D$2,G311/F311&lt;3),"Very serious", AND(H311&lt;=$D$1*-1,J311&gt;0,I311&gt;$D$2*-1,G311/F311&gt;=3),"Very serious", AND(H311&lt;=$D$1*-1,J311&gt;0,I311&lt;$D$2*-1,G311/F311&gt;=3),"Very serious", AND(H311&gt;=$D$1,I311&lt;0,J311&lt;$D$2,G311/F311&gt;=3),"Very serious", AND(H311&gt;=$D$1,I311&lt;0,J311&gt;$D$2,G311/F311&gt;=3),"Very serious", AND(H311&gt;$D$1*-1,H311&lt;$D$1,I311&gt;$D$1*-1,J311&lt;$D$1,G311/F311&lt;3),"Not serious", AND(H311&gt;$D$1*-1,H311&lt;$D$1,OR(I311&lt;=$D$1*-1,J311&gt;=$D$1),I311&gt;$D$2*-1,J311&lt;$D$2,G311/F311&lt;3),"Serious", AND(H311&gt;$D$1*-1,H311&lt;$D$1,OR(I311&lt;=$D$2*-1,J311&gt;=$D$2),G311/F311&lt;3),"Very serious", AND(H311&gt;$D$1*-1,H311&lt;$D$1,I311&gt;$D$1*-1,J311&lt;$D$1,G311/F311&gt;=3),"Very serious", AND(H311&gt;$D$1*-1,H311&lt;$D$1,OR(I311&lt;=$D$1*-1,J311&gt;=$D$1),I311&gt;$D$2*-1,J311&lt;$D$2,G311/F311&gt;=3),"Very serious", AND(H311&gt;$D$1*-1,H311&lt;$D$1,OR(I311&lt;=$D$2*-1,J311&gt;=$D$2),G311/F311&gt;=3),"Very serious")),"")</f>
        <v/>
      </c>
      <c r="R311" s="109" t="str">
        <f t="shared" si="47"/>
        <v/>
      </c>
      <c r="S311" s="64"/>
      <c r="T311" s="72"/>
      <c r="U311" s="72"/>
      <c r="V311" s="72"/>
      <c r="W311" s="73"/>
      <c r="X311" s="73"/>
      <c r="Y311" s="74"/>
      <c r="Z311" s="113" t="str">
        <f t="array" ref="Z311">INDEX($A$1:$C$500, MATCH(1,($B:$B=$B311)*($C:$C=$AB311),0),1)</f>
        <v/>
      </c>
      <c r="AA311" s="113" t="str">
        <f t="array" ref="AA311">INDEX($A$1:$C$500, MATCH(1,($B:$B=$AB311)*($C:$C=$B311),0),1)</f>
        <v/>
      </c>
      <c r="AB311" s="111"/>
      <c r="AC311" s="114" t="str">
        <f t="shared" si="2"/>
        <v/>
      </c>
      <c r="AD311" s="115" t="str">
        <f t="shared" si="3"/>
        <v/>
      </c>
      <c r="AE311" s="116" t="str">
        <f t="array" ref="AE311">INDEX($A$1:$C$500, MATCH(1,($B:$B=$AB311)*($C:$C=$AG311),0),1)</f>
        <v/>
      </c>
      <c r="AF311" s="116" t="str">
        <f t="array" ref="AF311">INDEX($A$1:$C$500, MATCH(1,($B:$B=$AG311)*($C:$C=$AB311),0),1)</f>
        <v/>
      </c>
      <c r="AG311" s="72"/>
      <c r="AH311" s="114" t="str">
        <f t="shared" si="4"/>
        <v/>
      </c>
      <c r="AI311" s="115" t="str">
        <f t="shared" si="5"/>
        <v/>
      </c>
      <c r="AJ311" s="116" t="str">
        <f t="array" ref="AJ311">INDEX($A$1:$C$500, MATCH(1,($B:$B=$C311)*($C:$C=$AG311),0),1)</f>
        <v/>
      </c>
      <c r="AK311" s="116" t="str">
        <f t="array" ref="AK311">INDEX($A$1:$C$500, MATCH(1,($B:$B=$AG311)*($C:$C=$C311),0),1)</f>
        <v/>
      </c>
      <c r="AL311" s="116" t="str">
        <f t="array" ref="AL311">INDEX($A$1:$C$500, MATCH(1,($B:$B=$C311)*($C:$C=$AB311),0),1)</f>
        <v/>
      </c>
      <c r="AM311" s="116" t="str">
        <f t="array" ref="AM311">INDEX($A$1:$C$500, MATCH(1,($B:$B=$AB311)*($C:$C=$C311),0),1)</f>
        <v/>
      </c>
      <c r="AN311" s="114" t="str">
        <f t="array" ref="AN311">IFS(ISNUMBER(AJ311),AJ311,ISNUMBER(AK311),AK311,ISNUMBER(AL311),AL311,ISNUMBER(AM311),AM311)</f>
        <v>#N/A</v>
      </c>
      <c r="AO311" s="115" t="str">
        <f t="shared" si="6"/>
        <v/>
      </c>
      <c r="AP311" s="115" t="str">
        <f t="shared" si="7"/>
        <v/>
      </c>
      <c r="AQ311" s="111"/>
      <c r="AR311" s="109" t="str">
        <f t="shared" si="8"/>
        <v/>
      </c>
      <c r="AS311" s="72" t="str">
        <f>IFERROR(IF(AND(Preferences!B$3="Manual",OR(AX311/AW311&gt;V311/U311,BD311="Serious",BD311="Very serious")),"Assess imprecision",IFERROR(IFS(AND(Preferences!B$3="Automatic",V311/U311&gt;=30),"Extremely serious",AND(W311&lt;=$D$1*-1,Y311&lt;0,V311/U311&lt;3),"Not Serious",AND(W311&lt;=$D$1*-1,Y311&lt;0,V311/U311&gt;=3),"Very serious",AND(W311&gt;=$D$1,X311&gt;0,V311/U311&lt;3),"Not Serious",AND(W311&gt;=$D$1,X311&gt;0,V311/U311&gt;=3),"Very serious",AND(W311&lt;=$D$1*-1,Y311&gt;0,X311&gt;$D$2*-1,V311/U311&lt;3),"Serious", AND(W311&lt;=$D$1*-1,Y311&gt;0,X311&lt;$D$2*-1,V311/U311&lt;3),"Very serious", AND(W311&gt;=$D$1,X311&lt;0,Y311&lt;$D$2,V311/U311&lt;3),"Serious",AND(W311&gt;=$D$1,X311&lt;0,Y311&gt;$D$2,V311/U311&lt;3),"Very serious", AND(W311&lt;=$D$1*-1,Y311&gt;0,X311&gt;$D$2*-1,V311/U311&gt;=3),"Very serious", AND(W311&lt;=$D$1*-1,Y311&gt;0,X311&lt;$D$2*-1,V311/U311&gt;=3),"Very serious", AND(W311&gt;=$D$1,X311&lt;0,Y311&lt;$D$2,V311/U311&gt;=3),"Very serious", AND(W311&gt;=$D$1,X311&lt;0,Y311&gt;$D$2,V311/U311&gt;=3),"Very serious", AND(W311&gt;$D$1*-1,W311&lt;$D$1,X311&gt;$D$1*-1,Y311&lt;$D$1,V311/U311&lt;3),"Not Serious", AND(W311&gt;$D$1*-1,W311&lt;$D$1,OR(X311&lt;=$D$1*-1,Y311&gt;=$D$1),X311&gt;$D$2*-1,Y311&lt;$D$2,V311/U311&lt;3),"Serious", AND(W311&gt;$D$1*-1,W311&lt;$D$1,OR(X311&lt;=$D$2*-1,Y311&gt;=$D$2),V311/U311&lt;3),"Very serious", AND(W311&gt;$D$1*-1,W311&lt;$D$1,X311&gt;$D$1*-1,Y311&lt;$D$1,V311/U311&gt;=3),"Very serious", AND(W311&gt;$D$1*-1,W311&lt;$D$1,OR(X311&lt;=$D$1*-1,Y311&gt;=$D$1),X311&gt;$D$2*-1,Y311&lt;$D$2,V311/U311&gt;=3),"Very serious", AND(W311&gt;$D$1*-1,W311&lt;$D$1,OR(X311&lt;=$D$2*-1,Y311&gt;=$D$2),V311/U311&gt;=3),"Very serious"),"")),"")</f>
        <v/>
      </c>
      <c r="AT311" s="109" t="str">
        <f t="shared" si="9"/>
        <v/>
      </c>
      <c r="AU311" s="64"/>
      <c r="AV311" s="83"/>
      <c r="AW311" s="83"/>
      <c r="AX311" s="83"/>
      <c r="AY311" s="83"/>
      <c r="AZ311" s="83"/>
      <c r="BA311" s="85"/>
      <c r="BB311" s="86" t="str">
        <f>IF(Preferences!B$9="Manual","",IFS(ISBLANK(B311),"",AND(ISNUMBER(E311)=TRUE,ISNUMBER(T311)=FALSE),"Direct", AND(ISNUMBER(E311)=FALSE,ISNUMBER(T311)=TRUE),"Indirect", CN311=4,"Direct",AND(CL311=FALSE, CM311=TRUE,CN311-CO311&gt;-1),"Direct", AND(CL311=FALSE,CM311=TRUE, CN311-CO311&lt;0),"Check algorithm in appendix 2", AND(CL311=TRUE, CM311=FALSE,CN311-CO311&gt;0),"Check algorithm in appendix 2", AND(CL311=TRUE, CM311=FALSE,CN311-CO311=0),"Indirect", AND(CL311=TRUE, CM311=FALSE,CN311-CO311&lt;0),"Indirect", AND(CL311=FALSE,CM311=FALSE,CN311-CO311&gt;-1),"Direct", AND(CL311=FALSE,CM311=FALSE,CN311-CO311&lt;0),"Check algorithm in appendix 2", AND(CL311=TRUE,CM311=TRUE,CN311-CO311&gt;-1),"Direct", AND(CL311=TRUE,CM311=TRUE,CN311-CO311&lt;0),"Check algorithm in appendix 2"))</f>
        <v/>
      </c>
      <c r="BC311" s="120" t="str">
        <f t="shared" si="10"/>
        <v/>
      </c>
      <c r="BD311" s="140"/>
      <c r="BE311" s="122" t="str">
        <f>IF(Preferences!B$3="Manual","", IFERROR(IFS(AND(Preferences!B$3="Automatic",AX311/AW311&gt;=30),"Extremely serious",AND(AY311&lt;=$D$1*-1,BA311&lt;0,AX311/AW311&lt;3),"Not Serious",AND(AY311&lt;=$D$1*-1,BA311&lt;0,AX311/AW311&gt;=3),"Very serious",AND(AY311&gt;=$D$1,AZ311&gt;0,AX311/AW311&lt;3),"Not Serious",AND(AY311&gt;=$D$1,AZ311&gt;0,AX311/AW311&gt;=3),"Very serious",AND(AY311&lt;=$D$1*-1,BA311&gt;0,AZ311&gt;$D$2*-1,AX311/AW311&lt;3),"Serious", AND(AY311&lt;=$D$1*-1,BA311&gt;0,AZ311&lt;$D$2*-1,AX311/AW311&lt;3),"Very serious", AND(AY311&gt;=$D$1,AZ311&lt;0,BA311&lt;$D$2,AX311/AW311&lt;3),"Serious",AND(AY311&gt;=$D$1,AZ311&lt;0,BA311&gt;$D$2,AX311/AW311&lt;3),"Very serious", AND(AY311&lt;=$D$1*-1,BA311&gt;0,AZ311&gt;$D$2*-1,AX311/AW311&gt;=3),"Very serious", AND(AY311&lt;=$D$1*-1,BA311&gt;0,AZ311&lt;$D$2*-1,AX311/AW311&gt;=3),"Very serious", AND(AY311&gt;=$D$1,AZ311&lt;0,BA311&lt;$D$2,AX311/AW311&gt;=3),"Very serious", AND(AY311&gt;=$D$1,AZ311&lt;0,BA311&gt;$D$2,AX311/AW311&gt;=3),"Very serious", AND(AY311&gt;$D$1*-1,AY311&lt;$D$1,AZ311&gt;$D$1*-1,BA311&lt;$D$1,AX311/AW311&lt;3),"Not Serious", AND(AY311&gt;$D$1*-1,AY311&lt;$D$1,OR(AZ311&lt;=$D$1*-1,BA311&gt;=$D$1),AZ311&gt;$D$2*-1,BA311&lt;$D$2,AX311/AW311&lt;3),"Serious", AND(AY311&gt;$D$1*-1,AY311&lt;$D$1,OR(AZ311&lt;=$D$2*-1,BA311&gt;=$D$2),AX311/AW311&lt;3),"Very serious", AND(AY311&gt;$D$1*-1,AY311&lt;$D$1,AZ311&gt;$D$1*-1,BA311&lt;$D$1,AX311/AW311&gt;=3),"Very serious", AND(AY311&gt;$D$1*-1,AY311&lt;$D$1,OR(AZ311&lt;=$D$1*-1,BA311&gt;=$D$1),AZ311&gt;$D$2*-1,BA311&lt;$D$2,AX311/AW311&gt;=3),"Very serious", AND(AY311&gt;$D$1*-1,AY311&lt;$D$1,OR(AZ311&lt;=$D$2*-1,BA311&gt;=$D$2),AX311/AW311&gt;=3),"Very serious"),""))</f>
        <v/>
      </c>
      <c r="BF311" s="107" t="str">
        <f t="shared" si="11"/>
        <v/>
      </c>
      <c r="BG311" s="94" t="str">
        <f t="shared" si="46"/>
        <v/>
      </c>
      <c r="BH311" s="64" t="str">
        <f t="shared" si="12"/>
        <v>#N/A</v>
      </c>
      <c r="BI311" s="64" t="str">
        <f t="shared" si="13"/>
        <v/>
      </c>
      <c r="BJ311" s="123" t="str">
        <f t="shared" si="14"/>
        <v>#N/A</v>
      </c>
      <c r="BK311" s="64" t="str">
        <f t="shared" si="50"/>
        <v>YES</v>
      </c>
      <c r="BL311" s="64" t="str">
        <f t="shared" si="16"/>
        <v>YES</v>
      </c>
      <c r="BM311" s="64" t="str">
        <f t="shared" si="17"/>
        <v>YES</v>
      </c>
      <c r="BN311" s="124" t="str">
        <f t="shared" si="18"/>
        <v/>
      </c>
      <c r="BO311" s="91" t="str">
        <f t="shared" si="19"/>
        <v/>
      </c>
      <c r="BP311" s="91" t="str">
        <f t="shared" si="20"/>
        <v>#N/A</v>
      </c>
      <c r="BQ311" s="91" t="str">
        <f t="shared" si="21"/>
        <v/>
      </c>
      <c r="BR311" s="93" t="str">
        <f t="shared" si="22"/>
        <v/>
      </c>
      <c r="BS311" s="90" t="str">
        <f t="shared" si="23"/>
        <v/>
      </c>
      <c r="BT311" s="93" t="str">
        <f t="shared" si="24"/>
        <v>NA</v>
      </c>
      <c r="BU311" s="125" t="str">
        <f t="shared" si="25"/>
        <v>#N/A</v>
      </c>
      <c r="BV311" s="93" t="str">
        <f t="shared" si="26"/>
        <v/>
      </c>
      <c r="BW311" s="93" t="str">
        <f t="shared" si="27"/>
        <v/>
      </c>
      <c r="BX311" s="93" t="str">
        <f t="shared" si="28"/>
        <v>NA</v>
      </c>
      <c r="BY311" s="95" t="str">
        <f t="shared" si="29"/>
        <v>#N/A</v>
      </c>
      <c r="BZ311" s="93" t="str">
        <f t="shared" si="30"/>
        <v/>
      </c>
      <c r="CA311" s="93" t="str">
        <f t="shared" si="31"/>
        <v/>
      </c>
      <c r="CB311" s="93" t="str">
        <f t="shared" si="32"/>
        <v>NA</v>
      </c>
      <c r="CC311" s="96" t="str">
        <f t="shared" si="33"/>
        <v>#N/A</v>
      </c>
      <c r="CD311" s="93" t="str">
        <f t="shared" si="34"/>
        <v/>
      </c>
      <c r="CE311" s="93" t="str">
        <f t="shared" si="35"/>
        <v/>
      </c>
      <c r="CF311" s="93" t="str">
        <f t="shared" si="36"/>
        <v>NA</v>
      </c>
      <c r="CG311" s="97" t="str">
        <f t="shared" si="37"/>
        <v>#N/A</v>
      </c>
      <c r="CH311" s="98" t="str">
        <f t="shared" si="38"/>
        <v>#N/A</v>
      </c>
      <c r="CI311" s="99" t="str">
        <f t="shared" si="39"/>
        <v>#N/A</v>
      </c>
      <c r="CJ311" s="126" t="str">
        <f t="shared" si="40"/>
        <v>ERROR: check cell</v>
      </c>
      <c r="CK311" s="126"/>
      <c r="CL311" s="127" t="str">
        <f t="shared" si="41"/>
        <v>#DIV/0!</v>
      </c>
      <c r="CM311" s="128" t="str">
        <f t="shared" si="42"/>
        <v>#DIV/0!</v>
      </c>
      <c r="CN311" s="128">
        <f t="shared" si="43"/>
        <v>4</v>
      </c>
      <c r="CO311" s="129">
        <f t="shared" si="44"/>
        <v>4</v>
      </c>
      <c r="CP311" s="129" t="str">
        <f>IFS(C311=Preferences!B$13,B311,B311=Preferences!B$13,C311)</f>
        <v>#N/A</v>
      </c>
    </row>
    <row r="312" ht="13.5" customHeight="1">
      <c r="A312" s="63" t="str">
        <f t="shared" si="45"/>
        <v/>
      </c>
      <c r="B312" s="64"/>
      <c r="C312" s="64"/>
      <c r="D312" s="64"/>
      <c r="E312" s="65"/>
      <c r="F312" s="65"/>
      <c r="G312" s="65"/>
      <c r="H312" s="66"/>
      <c r="I312" s="66"/>
      <c r="J312" s="67"/>
      <c r="K312" s="68"/>
      <c r="L312" s="104"/>
      <c r="M312" s="104"/>
      <c r="N312" s="104"/>
      <c r="O312" s="104"/>
      <c r="P312" s="107" t="str">
        <f t="shared" si="1"/>
        <v/>
      </c>
      <c r="Q312" s="108" t="str">
        <f>IFERROR(IF(AND(Preferences!B$3="Manual",OR(AX312/AW312&gt;G312/F312,BD312="Serious",BD312="Very serious")),"Assess imprecision",IFS(ISBLANK(E312),"",AND(Preferences!B$3="Automatic", G312/F312&gt;=30),"Extremely serious",AND(H312&lt;=$D$1*-1,J312&lt;0,G312/F312&lt;3),"Not serious",AND(H312&lt;=$D$1*-1,J312&lt;0,G312/F312&gt;=3),"Very serious",AND(H312&gt;=$D$1,I312&gt;0,G312/F312&lt;3),"Not serious",AND(H312&gt;=$D$1,I312&gt;0,G312/F312&gt;=3),"Very serious",AND(H312&lt;=$D$1*-1,J312&gt;0,I312&gt;$D$2*-1,G312/F312&lt;3),"Serious", AND(H312&lt;=$D$1*-1,J312&gt;0,I312&lt;$D$2*-1,G312/F312&lt;3),"Very serious", AND(H312&gt;=$D$1,I312&lt;0,J312&lt;$D$2,G312/F312&lt;3),"Serious",AND(H312&gt;=$D$1,I312&lt;0,J312&gt;$D$2,G312/F312&lt;3),"Very serious", AND(H312&lt;=$D$1*-1,J312&gt;0,I312&gt;$D$2*-1,G312/F312&gt;=3),"Very serious", AND(H312&lt;=$D$1*-1,J312&gt;0,I312&lt;$D$2*-1,G312/F312&gt;=3),"Very serious", AND(H312&gt;=$D$1,I312&lt;0,J312&lt;$D$2,G312/F312&gt;=3),"Very serious", AND(H312&gt;=$D$1,I312&lt;0,J312&gt;$D$2,G312/F312&gt;=3),"Very serious", AND(H312&gt;$D$1*-1,H312&lt;$D$1,I312&gt;$D$1*-1,J312&lt;$D$1,G312/F312&lt;3),"Not serious", AND(H312&gt;$D$1*-1,H312&lt;$D$1,OR(I312&lt;=$D$1*-1,J312&gt;=$D$1),I312&gt;$D$2*-1,J312&lt;$D$2,G312/F312&lt;3),"Serious", AND(H312&gt;$D$1*-1,H312&lt;$D$1,OR(I312&lt;=$D$2*-1,J312&gt;=$D$2),G312/F312&lt;3),"Very serious", AND(H312&gt;$D$1*-1,H312&lt;$D$1,I312&gt;$D$1*-1,J312&lt;$D$1,G312/F312&gt;=3),"Very serious", AND(H312&gt;$D$1*-1,H312&lt;$D$1,OR(I312&lt;=$D$1*-1,J312&gt;=$D$1),I312&gt;$D$2*-1,J312&lt;$D$2,G312/F312&gt;=3),"Very serious", AND(H312&gt;$D$1*-1,H312&lt;$D$1,OR(I312&lt;=$D$2*-1,J312&gt;=$D$2),G312/F312&gt;=3),"Very serious")),"")</f>
        <v/>
      </c>
      <c r="R312" s="109" t="str">
        <f t="shared" si="47"/>
        <v/>
      </c>
      <c r="S312" s="64"/>
      <c r="T312" s="72"/>
      <c r="U312" s="72"/>
      <c r="V312" s="72"/>
      <c r="W312" s="73"/>
      <c r="X312" s="73"/>
      <c r="Y312" s="74"/>
      <c r="Z312" s="113" t="str">
        <f t="array" ref="Z312">INDEX($A$1:$C$500, MATCH(1,($B:$B=$B312)*($C:$C=$AB312),0),1)</f>
        <v/>
      </c>
      <c r="AA312" s="113" t="str">
        <f t="array" ref="AA312">INDEX($A$1:$C$500, MATCH(1,($B:$B=$AB312)*($C:$C=$B312),0),1)</f>
        <v/>
      </c>
      <c r="AB312" s="111"/>
      <c r="AC312" s="114" t="str">
        <f t="shared" si="2"/>
        <v/>
      </c>
      <c r="AD312" s="115" t="str">
        <f t="shared" si="3"/>
        <v/>
      </c>
      <c r="AE312" s="116" t="str">
        <f t="array" ref="AE312">INDEX($A$1:$C$500, MATCH(1,($B:$B=$AB312)*($C:$C=$AG312),0),1)</f>
        <v/>
      </c>
      <c r="AF312" s="116" t="str">
        <f t="array" ref="AF312">INDEX($A$1:$C$500, MATCH(1,($B:$B=$AG312)*($C:$C=$AB312),0),1)</f>
        <v/>
      </c>
      <c r="AG312" s="72"/>
      <c r="AH312" s="114" t="str">
        <f t="shared" si="4"/>
        <v/>
      </c>
      <c r="AI312" s="115" t="str">
        <f t="shared" si="5"/>
        <v/>
      </c>
      <c r="AJ312" s="116" t="str">
        <f t="array" ref="AJ312">INDEX($A$1:$C$500, MATCH(1,($B:$B=$C312)*($C:$C=$AG312),0),1)</f>
        <v/>
      </c>
      <c r="AK312" s="116" t="str">
        <f t="array" ref="AK312">INDEX($A$1:$C$500, MATCH(1,($B:$B=$AG312)*($C:$C=$C312),0),1)</f>
        <v/>
      </c>
      <c r="AL312" s="116" t="str">
        <f t="array" ref="AL312">INDEX($A$1:$C$500, MATCH(1,($B:$B=$C312)*($C:$C=$AB312),0),1)</f>
        <v/>
      </c>
      <c r="AM312" s="116" t="str">
        <f t="array" ref="AM312">INDEX($A$1:$C$500, MATCH(1,($B:$B=$AB312)*($C:$C=$C312),0),1)</f>
        <v/>
      </c>
      <c r="AN312" s="114" t="str">
        <f t="array" ref="AN312">IFS(ISNUMBER(AJ312),AJ312,ISNUMBER(AK312),AK312,ISNUMBER(AL312),AL312,ISNUMBER(AM312),AM312)</f>
        <v>#N/A</v>
      </c>
      <c r="AO312" s="115" t="str">
        <f t="shared" si="6"/>
        <v/>
      </c>
      <c r="AP312" s="115" t="str">
        <f t="shared" si="7"/>
        <v/>
      </c>
      <c r="AQ312" s="111"/>
      <c r="AR312" s="109" t="str">
        <f t="shared" si="8"/>
        <v/>
      </c>
      <c r="AS312" s="72" t="str">
        <f>IFERROR(IF(AND(Preferences!B$3="Manual",OR(AX312/AW312&gt;V312/U312,BD312="Serious",BD312="Very serious")),"Assess imprecision",IFERROR(IFS(AND(Preferences!B$3="Automatic",V312/U312&gt;=30),"Extremely serious",AND(W312&lt;=$D$1*-1,Y312&lt;0,V312/U312&lt;3),"Not Serious",AND(W312&lt;=$D$1*-1,Y312&lt;0,V312/U312&gt;=3),"Very serious",AND(W312&gt;=$D$1,X312&gt;0,V312/U312&lt;3),"Not Serious",AND(W312&gt;=$D$1,X312&gt;0,V312/U312&gt;=3),"Very serious",AND(W312&lt;=$D$1*-1,Y312&gt;0,X312&gt;$D$2*-1,V312/U312&lt;3),"Serious", AND(W312&lt;=$D$1*-1,Y312&gt;0,X312&lt;$D$2*-1,V312/U312&lt;3),"Very serious", AND(W312&gt;=$D$1,X312&lt;0,Y312&lt;$D$2,V312/U312&lt;3),"Serious",AND(W312&gt;=$D$1,X312&lt;0,Y312&gt;$D$2,V312/U312&lt;3),"Very serious", AND(W312&lt;=$D$1*-1,Y312&gt;0,X312&gt;$D$2*-1,V312/U312&gt;=3),"Very serious", AND(W312&lt;=$D$1*-1,Y312&gt;0,X312&lt;$D$2*-1,V312/U312&gt;=3),"Very serious", AND(W312&gt;=$D$1,X312&lt;0,Y312&lt;$D$2,V312/U312&gt;=3),"Very serious", AND(W312&gt;=$D$1,X312&lt;0,Y312&gt;$D$2,V312/U312&gt;=3),"Very serious", AND(W312&gt;$D$1*-1,W312&lt;$D$1,X312&gt;$D$1*-1,Y312&lt;$D$1,V312/U312&lt;3),"Not Serious", AND(W312&gt;$D$1*-1,W312&lt;$D$1,OR(X312&lt;=$D$1*-1,Y312&gt;=$D$1),X312&gt;$D$2*-1,Y312&lt;$D$2,V312/U312&lt;3),"Serious", AND(W312&gt;$D$1*-1,W312&lt;$D$1,OR(X312&lt;=$D$2*-1,Y312&gt;=$D$2),V312/U312&lt;3),"Very serious", AND(W312&gt;$D$1*-1,W312&lt;$D$1,X312&gt;$D$1*-1,Y312&lt;$D$1,V312/U312&gt;=3),"Very serious", AND(W312&gt;$D$1*-1,W312&lt;$D$1,OR(X312&lt;=$D$1*-1,Y312&gt;=$D$1),X312&gt;$D$2*-1,Y312&lt;$D$2,V312/U312&gt;=3),"Very serious", AND(W312&gt;$D$1*-1,W312&lt;$D$1,OR(X312&lt;=$D$2*-1,Y312&gt;=$D$2),V312/U312&gt;=3),"Very serious"),"")),"")</f>
        <v/>
      </c>
      <c r="AT312" s="109" t="str">
        <f t="shared" si="9"/>
        <v/>
      </c>
      <c r="AU312" s="64"/>
      <c r="AV312" s="83"/>
      <c r="AW312" s="83"/>
      <c r="AX312" s="83"/>
      <c r="AY312" s="83"/>
      <c r="AZ312" s="83"/>
      <c r="BA312" s="85"/>
      <c r="BB312" s="86" t="str">
        <f>IF(Preferences!B$9="Manual","",IFS(ISBLANK(B312),"",AND(ISNUMBER(E312)=TRUE,ISNUMBER(T312)=FALSE),"Direct", AND(ISNUMBER(E312)=FALSE,ISNUMBER(T312)=TRUE),"Indirect", CN312=4,"Direct",AND(CL312=FALSE, CM312=TRUE,CN312-CO312&gt;-1),"Direct", AND(CL312=FALSE,CM312=TRUE, CN312-CO312&lt;0),"Check algorithm in appendix 2", AND(CL312=TRUE, CM312=FALSE,CN312-CO312&gt;0),"Check algorithm in appendix 2", AND(CL312=TRUE, CM312=FALSE,CN312-CO312=0),"Indirect", AND(CL312=TRUE, CM312=FALSE,CN312-CO312&lt;0),"Indirect", AND(CL312=FALSE,CM312=FALSE,CN312-CO312&gt;-1),"Direct", AND(CL312=FALSE,CM312=FALSE,CN312-CO312&lt;0),"Check algorithm in appendix 2", AND(CL312=TRUE,CM312=TRUE,CN312-CO312&gt;-1),"Direct", AND(CL312=TRUE,CM312=TRUE,CN312-CO312&lt;0),"Check algorithm in appendix 2"))</f>
        <v/>
      </c>
      <c r="BC312" s="120" t="str">
        <f t="shared" si="10"/>
        <v/>
      </c>
      <c r="BD312" s="140"/>
      <c r="BE312" s="122" t="str">
        <f>IF(Preferences!B$3="Manual","", IFERROR(IFS(AND(Preferences!B$3="Automatic",AX312/AW312&gt;=30),"Extremely serious",AND(AY312&lt;=$D$1*-1,BA312&lt;0,AX312/AW312&lt;3),"Not Serious",AND(AY312&lt;=$D$1*-1,BA312&lt;0,AX312/AW312&gt;=3),"Very serious",AND(AY312&gt;=$D$1,AZ312&gt;0,AX312/AW312&lt;3),"Not Serious",AND(AY312&gt;=$D$1,AZ312&gt;0,AX312/AW312&gt;=3),"Very serious",AND(AY312&lt;=$D$1*-1,BA312&gt;0,AZ312&gt;$D$2*-1,AX312/AW312&lt;3),"Serious", AND(AY312&lt;=$D$1*-1,BA312&gt;0,AZ312&lt;$D$2*-1,AX312/AW312&lt;3),"Very serious", AND(AY312&gt;=$D$1,AZ312&lt;0,BA312&lt;$D$2,AX312/AW312&lt;3),"Serious",AND(AY312&gt;=$D$1,AZ312&lt;0,BA312&gt;$D$2,AX312/AW312&lt;3),"Very serious", AND(AY312&lt;=$D$1*-1,BA312&gt;0,AZ312&gt;$D$2*-1,AX312/AW312&gt;=3),"Very serious", AND(AY312&lt;=$D$1*-1,BA312&gt;0,AZ312&lt;$D$2*-1,AX312/AW312&gt;=3),"Very serious", AND(AY312&gt;=$D$1,AZ312&lt;0,BA312&lt;$D$2,AX312/AW312&gt;=3),"Very serious", AND(AY312&gt;=$D$1,AZ312&lt;0,BA312&gt;$D$2,AX312/AW312&gt;=3),"Very serious", AND(AY312&gt;$D$1*-1,AY312&lt;$D$1,AZ312&gt;$D$1*-1,BA312&lt;$D$1,AX312/AW312&lt;3),"Not Serious", AND(AY312&gt;$D$1*-1,AY312&lt;$D$1,OR(AZ312&lt;=$D$1*-1,BA312&gt;=$D$1),AZ312&gt;$D$2*-1,BA312&lt;$D$2,AX312/AW312&lt;3),"Serious", AND(AY312&gt;$D$1*-1,AY312&lt;$D$1,OR(AZ312&lt;=$D$2*-1,BA312&gt;=$D$2),AX312/AW312&lt;3),"Very serious", AND(AY312&gt;$D$1*-1,AY312&lt;$D$1,AZ312&gt;$D$1*-1,BA312&lt;$D$1,AX312/AW312&gt;=3),"Very serious", AND(AY312&gt;$D$1*-1,AY312&lt;$D$1,OR(AZ312&lt;=$D$1*-1,BA312&gt;=$D$1),AZ312&gt;$D$2*-1,BA312&lt;$D$2,AX312/AW312&gt;=3),"Very serious", AND(AY312&gt;$D$1*-1,AY312&lt;$D$1,OR(AZ312&lt;=$D$2*-1,BA312&gt;=$D$2),AX312/AW312&gt;=3),"Very serious"),""))</f>
        <v/>
      </c>
      <c r="BF312" s="107" t="str">
        <f t="shared" si="11"/>
        <v/>
      </c>
      <c r="BG312" s="94" t="str">
        <f t="shared" si="46"/>
        <v/>
      </c>
      <c r="BH312" s="64" t="str">
        <f t="shared" si="12"/>
        <v>#N/A</v>
      </c>
      <c r="BI312" s="64" t="str">
        <f t="shared" si="13"/>
        <v/>
      </c>
      <c r="BJ312" s="123" t="str">
        <f t="shared" si="14"/>
        <v>#N/A</v>
      </c>
      <c r="BK312" s="64" t="str">
        <f t="shared" si="50"/>
        <v>YES</v>
      </c>
      <c r="BL312" s="64" t="str">
        <f t="shared" si="16"/>
        <v>YES</v>
      </c>
      <c r="BM312" s="64" t="str">
        <f t="shared" si="17"/>
        <v>YES</v>
      </c>
      <c r="BN312" s="124" t="str">
        <f t="shared" si="18"/>
        <v/>
      </c>
      <c r="BO312" s="91" t="str">
        <f t="shared" si="19"/>
        <v/>
      </c>
      <c r="BP312" s="91" t="str">
        <f t="shared" si="20"/>
        <v>#N/A</v>
      </c>
      <c r="BQ312" s="91" t="str">
        <f t="shared" si="21"/>
        <v/>
      </c>
      <c r="BR312" s="93" t="str">
        <f t="shared" si="22"/>
        <v/>
      </c>
      <c r="BS312" s="90" t="str">
        <f t="shared" si="23"/>
        <v/>
      </c>
      <c r="BT312" s="93" t="str">
        <f t="shared" si="24"/>
        <v>NA</v>
      </c>
      <c r="BU312" s="125" t="str">
        <f t="shared" si="25"/>
        <v>#N/A</v>
      </c>
      <c r="BV312" s="93" t="str">
        <f t="shared" si="26"/>
        <v/>
      </c>
      <c r="BW312" s="93" t="str">
        <f t="shared" si="27"/>
        <v/>
      </c>
      <c r="BX312" s="93" t="str">
        <f t="shared" si="28"/>
        <v>NA</v>
      </c>
      <c r="BY312" s="95" t="str">
        <f t="shared" si="29"/>
        <v>#N/A</v>
      </c>
      <c r="BZ312" s="93" t="str">
        <f t="shared" si="30"/>
        <v/>
      </c>
      <c r="CA312" s="93" t="str">
        <f t="shared" si="31"/>
        <v/>
      </c>
      <c r="CB312" s="93" t="str">
        <f t="shared" si="32"/>
        <v>NA</v>
      </c>
      <c r="CC312" s="96" t="str">
        <f t="shared" si="33"/>
        <v>#N/A</v>
      </c>
      <c r="CD312" s="93" t="str">
        <f t="shared" si="34"/>
        <v/>
      </c>
      <c r="CE312" s="93" t="str">
        <f t="shared" si="35"/>
        <v/>
      </c>
      <c r="CF312" s="93" t="str">
        <f t="shared" si="36"/>
        <v>NA</v>
      </c>
      <c r="CG312" s="97" t="str">
        <f t="shared" si="37"/>
        <v>#N/A</v>
      </c>
      <c r="CH312" s="98" t="str">
        <f t="shared" si="38"/>
        <v>#N/A</v>
      </c>
      <c r="CI312" s="99" t="str">
        <f t="shared" si="39"/>
        <v>#N/A</v>
      </c>
      <c r="CJ312" s="126" t="str">
        <f t="shared" si="40"/>
        <v>ERROR: check cell</v>
      </c>
      <c r="CK312" s="126"/>
      <c r="CL312" s="127" t="str">
        <f t="shared" si="41"/>
        <v>#DIV/0!</v>
      </c>
      <c r="CM312" s="128" t="str">
        <f t="shared" si="42"/>
        <v>#DIV/0!</v>
      </c>
      <c r="CN312" s="128">
        <f t="shared" si="43"/>
        <v>4</v>
      </c>
      <c r="CO312" s="129">
        <f t="shared" si="44"/>
        <v>4</v>
      </c>
      <c r="CP312" s="129" t="str">
        <f>IFS(C312=Preferences!B$13,B312,B312=Preferences!B$13,C312)</f>
        <v>#N/A</v>
      </c>
    </row>
    <row r="313" ht="13.5" customHeight="1">
      <c r="A313" s="63" t="str">
        <f t="shared" si="45"/>
        <v/>
      </c>
      <c r="B313" s="64"/>
      <c r="C313" s="64"/>
      <c r="D313" s="64"/>
      <c r="E313" s="65"/>
      <c r="F313" s="65"/>
      <c r="G313" s="65"/>
      <c r="H313" s="66"/>
      <c r="I313" s="66"/>
      <c r="J313" s="67"/>
      <c r="K313" s="68"/>
      <c r="L313" s="104"/>
      <c r="M313" s="104"/>
      <c r="N313" s="104"/>
      <c r="O313" s="104"/>
      <c r="P313" s="107" t="str">
        <f t="shared" si="1"/>
        <v/>
      </c>
      <c r="Q313" s="108" t="str">
        <f>IFERROR(IF(AND(Preferences!B$3="Manual",OR(AX313/AW313&gt;G313/F313,BD313="Serious",BD313="Very serious")),"Assess imprecision",IFS(ISBLANK(E313),"",AND(Preferences!B$3="Automatic", G313/F313&gt;=30),"Extremely serious",AND(H313&lt;=$D$1*-1,J313&lt;0,G313/F313&lt;3),"Not serious",AND(H313&lt;=$D$1*-1,J313&lt;0,G313/F313&gt;=3),"Very serious",AND(H313&gt;=$D$1,I313&gt;0,G313/F313&lt;3),"Not serious",AND(H313&gt;=$D$1,I313&gt;0,G313/F313&gt;=3),"Very serious",AND(H313&lt;=$D$1*-1,J313&gt;0,I313&gt;$D$2*-1,G313/F313&lt;3),"Serious", AND(H313&lt;=$D$1*-1,J313&gt;0,I313&lt;$D$2*-1,G313/F313&lt;3),"Very serious", AND(H313&gt;=$D$1,I313&lt;0,J313&lt;$D$2,G313/F313&lt;3),"Serious",AND(H313&gt;=$D$1,I313&lt;0,J313&gt;$D$2,G313/F313&lt;3),"Very serious", AND(H313&lt;=$D$1*-1,J313&gt;0,I313&gt;$D$2*-1,G313/F313&gt;=3),"Very serious", AND(H313&lt;=$D$1*-1,J313&gt;0,I313&lt;$D$2*-1,G313/F313&gt;=3),"Very serious", AND(H313&gt;=$D$1,I313&lt;0,J313&lt;$D$2,G313/F313&gt;=3),"Very serious", AND(H313&gt;=$D$1,I313&lt;0,J313&gt;$D$2,G313/F313&gt;=3),"Very serious", AND(H313&gt;$D$1*-1,H313&lt;$D$1,I313&gt;$D$1*-1,J313&lt;$D$1,G313/F313&lt;3),"Not serious", AND(H313&gt;$D$1*-1,H313&lt;$D$1,OR(I313&lt;=$D$1*-1,J313&gt;=$D$1),I313&gt;$D$2*-1,J313&lt;$D$2,G313/F313&lt;3),"Serious", AND(H313&gt;$D$1*-1,H313&lt;$D$1,OR(I313&lt;=$D$2*-1,J313&gt;=$D$2),G313/F313&lt;3),"Very serious", AND(H313&gt;$D$1*-1,H313&lt;$D$1,I313&gt;$D$1*-1,J313&lt;$D$1,G313/F313&gt;=3),"Very serious", AND(H313&gt;$D$1*-1,H313&lt;$D$1,OR(I313&lt;=$D$1*-1,J313&gt;=$D$1),I313&gt;$D$2*-1,J313&lt;$D$2,G313/F313&gt;=3),"Very serious", AND(H313&gt;$D$1*-1,H313&lt;$D$1,OR(I313&lt;=$D$2*-1,J313&gt;=$D$2),G313/F313&gt;=3),"Very serious")),"")</f>
        <v/>
      </c>
      <c r="R313" s="109" t="str">
        <f t="shared" si="47"/>
        <v/>
      </c>
      <c r="S313" s="64"/>
      <c r="T313" s="72"/>
      <c r="U313" s="72"/>
      <c r="V313" s="72"/>
      <c r="W313" s="73"/>
      <c r="X313" s="73"/>
      <c r="Y313" s="74"/>
      <c r="Z313" s="113" t="str">
        <f t="array" ref="Z313">INDEX($A$1:$C$500, MATCH(1,($B:$B=$B313)*($C:$C=$AB313),0),1)</f>
        <v/>
      </c>
      <c r="AA313" s="113" t="str">
        <f t="array" ref="AA313">INDEX($A$1:$C$500, MATCH(1,($B:$B=$AB313)*($C:$C=$B313),0),1)</f>
        <v/>
      </c>
      <c r="AB313" s="111"/>
      <c r="AC313" s="114" t="str">
        <f t="shared" si="2"/>
        <v/>
      </c>
      <c r="AD313" s="115" t="str">
        <f t="shared" si="3"/>
        <v/>
      </c>
      <c r="AE313" s="116" t="str">
        <f t="array" ref="AE313">INDEX($A$1:$C$500, MATCH(1,($B:$B=$AB313)*($C:$C=$AG313),0),1)</f>
        <v/>
      </c>
      <c r="AF313" s="116" t="str">
        <f t="array" ref="AF313">INDEX($A$1:$C$500, MATCH(1,($B:$B=$AG313)*($C:$C=$AB313),0),1)</f>
        <v/>
      </c>
      <c r="AG313" s="72"/>
      <c r="AH313" s="114" t="str">
        <f t="shared" si="4"/>
        <v/>
      </c>
      <c r="AI313" s="115" t="str">
        <f t="shared" si="5"/>
        <v/>
      </c>
      <c r="AJ313" s="116" t="str">
        <f t="array" ref="AJ313">INDEX($A$1:$C$500, MATCH(1,($B:$B=$C313)*($C:$C=$AG313),0),1)</f>
        <v/>
      </c>
      <c r="AK313" s="116" t="str">
        <f t="array" ref="AK313">INDEX($A$1:$C$500, MATCH(1,($B:$B=$AG313)*($C:$C=$C313),0),1)</f>
        <v/>
      </c>
      <c r="AL313" s="116" t="str">
        <f t="array" ref="AL313">INDEX($A$1:$C$500, MATCH(1,($B:$B=$C313)*($C:$C=$AB313),0),1)</f>
        <v/>
      </c>
      <c r="AM313" s="116" t="str">
        <f t="array" ref="AM313">INDEX($A$1:$C$500, MATCH(1,($B:$B=$AB313)*($C:$C=$C313),0),1)</f>
        <v/>
      </c>
      <c r="AN313" s="114" t="str">
        <f t="array" ref="AN313">IFS(ISNUMBER(AJ313),AJ313,ISNUMBER(AK313),AK313,ISNUMBER(AL313),AL313,ISNUMBER(AM313),AM313)</f>
        <v>#N/A</v>
      </c>
      <c r="AO313" s="115" t="str">
        <f t="shared" si="6"/>
        <v/>
      </c>
      <c r="AP313" s="115" t="str">
        <f t="shared" si="7"/>
        <v/>
      </c>
      <c r="AQ313" s="111"/>
      <c r="AR313" s="109" t="str">
        <f t="shared" si="8"/>
        <v/>
      </c>
      <c r="AS313" s="72" t="str">
        <f>IFERROR(IF(AND(Preferences!B$3="Manual",OR(AX313/AW313&gt;V313/U313,BD313="Serious",BD313="Very serious")),"Assess imprecision",IFERROR(IFS(AND(Preferences!B$3="Automatic",V313/U313&gt;=30),"Extremely serious",AND(W313&lt;=$D$1*-1,Y313&lt;0,V313/U313&lt;3),"Not Serious",AND(W313&lt;=$D$1*-1,Y313&lt;0,V313/U313&gt;=3),"Very serious",AND(W313&gt;=$D$1,X313&gt;0,V313/U313&lt;3),"Not Serious",AND(W313&gt;=$D$1,X313&gt;0,V313/U313&gt;=3),"Very serious",AND(W313&lt;=$D$1*-1,Y313&gt;0,X313&gt;$D$2*-1,V313/U313&lt;3),"Serious", AND(W313&lt;=$D$1*-1,Y313&gt;0,X313&lt;$D$2*-1,V313/U313&lt;3),"Very serious", AND(W313&gt;=$D$1,X313&lt;0,Y313&lt;$D$2,V313/U313&lt;3),"Serious",AND(W313&gt;=$D$1,X313&lt;0,Y313&gt;$D$2,V313/U313&lt;3),"Very serious", AND(W313&lt;=$D$1*-1,Y313&gt;0,X313&gt;$D$2*-1,V313/U313&gt;=3),"Very serious", AND(W313&lt;=$D$1*-1,Y313&gt;0,X313&lt;$D$2*-1,V313/U313&gt;=3),"Very serious", AND(W313&gt;=$D$1,X313&lt;0,Y313&lt;$D$2,V313/U313&gt;=3),"Very serious", AND(W313&gt;=$D$1,X313&lt;0,Y313&gt;$D$2,V313/U313&gt;=3),"Very serious", AND(W313&gt;$D$1*-1,W313&lt;$D$1,X313&gt;$D$1*-1,Y313&lt;$D$1,V313/U313&lt;3),"Not Serious", AND(W313&gt;$D$1*-1,W313&lt;$D$1,OR(X313&lt;=$D$1*-1,Y313&gt;=$D$1),X313&gt;$D$2*-1,Y313&lt;$D$2,V313/U313&lt;3),"Serious", AND(W313&gt;$D$1*-1,W313&lt;$D$1,OR(X313&lt;=$D$2*-1,Y313&gt;=$D$2),V313/U313&lt;3),"Very serious", AND(W313&gt;$D$1*-1,W313&lt;$D$1,X313&gt;$D$1*-1,Y313&lt;$D$1,V313/U313&gt;=3),"Very serious", AND(W313&gt;$D$1*-1,W313&lt;$D$1,OR(X313&lt;=$D$1*-1,Y313&gt;=$D$1),X313&gt;$D$2*-1,Y313&lt;$D$2,V313/U313&gt;=3),"Very serious", AND(W313&gt;$D$1*-1,W313&lt;$D$1,OR(X313&lt;=$D$2*-1,Y313&gt;=$D$2),V313/U313&gt;=3),"Very serious"),"")),"")</f>
        <v/>
      </c>
      <c r="AT313" s="109" t="str">
        <f t="shared" si="9"/>
        <v/>
      </c>
      <c r="AU313" s="64"/>
      <c r="AV313" s="83"/>
      <c r="AW313" s="83"/>
      <c r="AX313" s="83"/>
      <c r="AY313" s="83"/>
      <c r="AZ313" s="83"/>
      <c r="BA313" s="85"/>
      <c r="BB313" s="86" t="str">
        <f>IF(Preferences!B$9="Manual","",IFS(ISBLANK(B313),"",AND(ISNUMBER(E313)=TRUE,ISNUMBER(T313)=FALSE),"Direct", AND(ISNUMBER(E313)=FALSE,ISNUMBER(T313)=TRUE),"Indirect", CN313=4,"Direct",AND(CL313=FALSE, CM313=TRUE,CN313-CO313&gt;-1),"Direct", AND(CL313=FALSE,CM313=TRUE, CN313-CO313&lt;0),"Check algorithm in appendix 2", AND(CL313=TRUE, CM313=FALSE,CN313-CO313&gt;0),"Check algorithm in appendix 2", AND(CL313=TRUE, CM313=FALSE,CN313-CO313=0),"Indirect", AND(CL313=TRUE, CM313=FALSE,CN313-CO313&lt;0),"Indirect", AND(CL313=FALSE,CM313=FALSE,CN313-CO313&gt;-1),"Direct", AND(CL313=FALSE,CM313=FALSE,CN313-CO313&lt;0),"Check algorithm in appendix 2", AND(CL313=TRUE,CM313=TRUE,CN313-CO313&gt;-1),"Direct", AND(CL313=TRUE,CM313=TRUE,CN313-CO313&lt;0),"Check algorithm in appendix 2"))</f>
        <v/>
      </c>
      <c r="BC313" s="120" t="str">
        <f t="shared" si="10"/>
        <v/>
      </c>
      <c r="BD313" s="140"/>
      <c r="BE313" s="122" t="str">
        <f>IF(Preferences!B$3="Manual","", IFERROR(IFS(AND(Preferences!B$3="Automatic",AX313/AW313&gt;=30),"Extremely serious",AND(AY313&lt;=$D$1*-1,BA313&lt;0,AX313/AW313&lt;3),"Not Serious",AND(AY313&lt;=$D$1*-1,BA313&lt;0,AX313/AW313&gt;=3),"Very serious",AND(AY313&gt;=$D$1,AZ313&gt;0,AX313/AW313&lt;3),"Not Serious",AND(AY313&gt;=$D$1,AZ313&gt;0,AX313/AW313&gt;=3),"Very serious",AND(AY313&lt;=$D$1*-1,BA313&gt;0,AZ313&gt;$D$2*-1,AX313/AW313&lt;3),"Serious", AND(AY313&lt;=$D$1*-1,BA313&gt;0,AZ313&lt;$D$2*-1,AX313/AW313&lt;3),"Very serious", AND(AY313&gt;=$D$1,AZ313&lt;0,BA313&lt;$D$2,AX313/AW313&lt;3),"Serious",AND(AY313&gt;=$D$1,AZ313&lt;0,BA313&gt;$D$2,AX313/AW313&lt;3),"Very serious", AND(AY313&lt;=$D$1*-1,BA313&gt;0,AZ313&gt;$D$2*-1,AX313/AW313&gt;=3),"Very serious", AND(AY313&lt;=$D$1*-1,BA313&gt;0,AZ313&lt;$D$2*-1,AX313/AW313&gt;=3),"Very serious", AND(AY313&gt;=$D$1,AZ313&lt;0,BA313&lt;$D$2,AX313/AW313&gt;=3),"Very serious", AND(AY313&gt;=$D$1,AZ313&lt;0,BA313&gt;$D$2,AX313/AW313&gt;=3),"Very serious", AND(AY313&gt;$D$1*-1,AY313&lt;$D$1,AZ313&gt;$D$1*-1,BA313&lt;$D$1,AX313/AW313&lt;3),"Not Serious", AND(AY313&gt;$D$1*-1,AY313&lt;$D$1,OR(AZ313&lt;=$D$1*-1,BA313&gt;=$D$1),AZ313&gt;$D$2*-1,BA313&lt;$D$2,AX313/AW313&lt;3),"Serious", AND(AY313&gt;$D$1*-1,AY313&lt;$D$1,OR(AZ313&lt;=$D$2*-1,BA313&gt;=$D$2),AX313/AW313&lt;3),"Very serious", AND(AY313&gt;$D$1*-1,AY313&lt;$D$1,AZ313&gt;$D$1*-1,BA313&lt;$D$1,AX313/AW313&gt;=3),"Very serious", AND(AY313&gt;$D$1*-1,AY313&lt;$D$1,OR(AZ313&lt;=$D$1*-1,BA313&gt;=$D$1),AZ313&gt;$D$2*-1,BA313&lt;$D$2,AX313/AW313&gt;=3),"Very serious", AND(AY313&gt;$D$1*-1,AY313&lt;$D$1,OR(AZ313&lt;=$D$2*-1,BA313&gt;=$D$2),AX313/AW313&gt;=3),"Very serious"),""))</f>
        <v/>
      </c>
      <c r="BF313" s="107" t="str">
        <f t="shared" si="11"/>
        <v/>
      </c>
      <c r="BG313" s="94" t="str">
        <f t="shared" si="46"/>
        <v/>
      </c>
      <c r="BH313" s="64" t="str">
        <f t="shared" si="12"/>
        <v>#N/A</v>
      </c>
      <c r="BI313" s="64" t="str">
        <f t="shared" si="13"/>
        <v/>
      </c>
      <c r="BJ313" s="123" t="str">
        <f t="shared" si="14"/>
        <v>#N/A</v>
      </c>
      <c r="BK313" s="64" t="str">
        <f t="shared" si="50"/>
        <v>YES</v>
      </c>
      <c r="BL313" s="64" t="str">
        <f t="shared" si="16"/>
        <v>YES</v>
      </c>
      <c r="BM313" s="64" t="str">
        <f t="shared" si="17"/>
        <v>YES</v>
      </c>
      <c r="BN313" s="124" t="str">
        <f t="shared" si="18"/>
        <v/>
      </c>
      <c r="BO313" s="91" t="str">
        <f t="shared" si="19"/>
        <v/>
      </c>
      <c r="BP313" s="91" t="str">
        <f t="shared" si="20"/>
        <v>#N/A</v>
      </c>
      <c r="BQ313" s="91" t="str">
        <f t="shared" si="21"/>
        <v/>
      </c>
      <c r="BR313" s="93" t="str">
        <f t="shared" si="22"/>
        <v/>
      </c>
      <c r="BS313" s="90" t="str">
        <f t="shared" si="23"/>
        <v/>
      </c>
      <c r="BT313" s="93" t="str">
        <f t="shared" si="24"/>
        <v>NA</v>
      </c>
      <c r="BU313" s="125" t="str">
        <f t="shared" si="25"/>
        <v>#N/A</v>
      </c>
      <c r="BV313" s="93" t="str">
        <f t="shared" si="26"/>
        <v/>
      </c>
      <c r="BW313" s="93" t="str">
        <f t="shared" si="27"/>
        <v/>
      </c>
      <c r="BX313" s="93" t="str">
        <f t="shared" si="28"/>
        <v>NA</v>
      </c>
      <c r="BY313" s="95" t="str">
        <f t="shared" si="29"/>
        <v>#N/A</v>
      </c>
      <c r="BZ313" s="93" t="str">
        <f t="shared" si="30"/>
        <v/>
      </c>
      <c r="CA313" s="93" t="str">
        <f t="shared" si="31"/>
        <v/>
      </c>
      <c r="CB313" s="93" t="str">
        <f t="shared" si="32"/>
        <v>NA</v>
      </c>
      <c r="CC313" s="96" t="str">
        <f t="shared" si="33"/>
        <v>#N/A</v>
      </c>
      <c r="CD313" s="93" t="str">
        <f t="shared" si="34"/>
        <v/>
      </c>
      <c r="CE313" s="93" t="str">
        <f t="shared" si="35"/>
        <v/>
      </c>
      <c r="CF313" s="93" t="str">
        <f t="shared" si="36"/>
        <v>NA</v>
      </c>
      <c r="CG313" s="97" t="str">
        <f t="shared" si="37"/>
        <v>#N/A</v>
      </c>
      <c r="CH313" s="98" t="str">
        <f t="shared" si="38"/>
        <v>#N/A</v>
      </c>
      <c r="CI313" s="99" t="str">
        <f t="shared" si="39"/>
        <v>#N/A</v>
      </c>
      <c r="CJ313" s="126" t="str">
        <f t="shared" si="40"/>
        <v>ERROR: check cell</v>
      </c>
      <c r="CK313" s="126"/>
      <c r="CL313" s="127" t="str">
        <f t="shared" si="41"/>
        <v>#DIV/0!</v>
      </c>
      <c r="CM313" s="128" t="str">
        <f t="shared" si="42"/>
        <v>#DIV/0!</v>
      </c>
      <c r="CN313" s="128">
        <f t="shared" si="43"/>
        <v>4</v>
      </c>
      <c r="CO313" s="129">
        <f t="shared" si="44"/>
        <v>4</v>
      </c>
      <c r="CP313" s="129" t="str">
        <f>IFS(C313=Preferences!B$13,B313,B313=Preferences!B$13,C313)</f>
        <v>#N/A</v>
      </c>
    </row>
    <row r="314" ht="13.5" customHeight="1">
      <c r="A314" s="63" t="str">
        <f t="shared" si="45"/>
        <v/>
      </c>
      <c r="B314" s="64"/>
      <c r="C314" s="64"/>
      <c r="D314" s="64"/>
      <c r="E314" s="65"/>
      <c r="F314" s="65"/>
      <c r="G314" s="65"/>
      <c r="H314" s="66"/>
      <c r="I314" s="66"/>
      <c r="J314" s="67"/>
      <c r="K314" s="68"/>
      <c r="L314" s="104"/>
      <c r="M314" s="104"/>
      <c r="N314" s="104"/>
      <c r="O314" s="104"/>
      <c r="P314" s="107" t="str">
        <f t="shared" si="1"/>
        <v/>
      </c>
      <c r="Q314" s="108" t="str">
        <f>IFERROR(IF(AND(Preferences!B$3="Manual",OR(AX314/AW314&gt;G314/F314,BD314="Serious",BD314="Very serious")),"Assess imprecision",IFS(ISBLANK(E314),"",AND(Preferences!B$3="Automatic", G314/F314&gt;=30),"Extremely serious",AND(H314&lt;=$D$1*-1,J314&lt;0,G314/F314&lt;3),"Not serious",AND(H314&lt;=$D$1*-1,J314&lt;0,G314/F314&gt;=3),"Very serious",AND(H314&gt;=$D$1,I314&gt;0,G314/F314&lt;3),"Not serious",AND(H314&gt;=$D$1,I314&gt;0,G314/F314&gt;=3),"Very serious",AND(H314&lt;=$D$1*-1,J314&gt;0,I314&gt;$D$2*-1,G314/F314&lt;3),"Serious", AND(H314&lt;=$D$1*-1,J314&gt;0,I314&lt;$D$2*-1,G314/F314&lt;3),"Very serious", AND(H314&gt;=$D$1,I314&lt;0,J314&lt;$D$2,G314/F314&lt;3),"Serious",AND(H314&gt;=$D$1,I314&lt;0,J314&gt;$D$2,G314/F314&lt;3),"Very serious", AND(H314&lt;=$D$1*-1,J314&gt;0,I314&gt;$D$2*-1,G314/F314&gt;=3),"Very serious", AND(H314&lt;=$D$1*-1,J314&gt;0,I314&lt;$D$2*-1,G314/F314&gt;=3),"Very serious", AND(H314&gt;=$D$1,I314&lt;0,J314&lt;$D$2,G314/F314&gt;=3),"Very serious", AND(H314&gt;=$D$1,I314&lt;0,J314&gt;$D$2,G314/F314&gt;=3),"Very serious", AND(H314&gt;$D$1*-1,H314&lt;$D$1,I314&gt;$D$1*-1,J314&lt;$D$1,G314/F314&lt;3),"Not serious", AND(H314&gt;$D$1*-1,H314&lt;$D$1,OR(I314&lt;=$D$1*-1,J314&gt;=$D$1),I314&gt;$D$2*-1,J314&lt;$D$2,G314/F314&lt;3),"Serious", AND(H314&gt;$D$1*-1,H314&lt;$D$1,OR(I314&lt;=$D$2*-1,J314&gt;=$D$2),G314/F314&lt;3),"Very serious", AND(H314&gt;$D$1*-1,H314&lt;$D$1,I314&gt;$D$1*-1,J314&lt;$D$1,G314/F314&gt;=3),"Very serious", AND(H314&gt;$D$1*-1,H314&lt;$D$1,OR(I314&lt;=$D$1*-1,J314&gt;=$D$1),I314&gt;$D$2*-1,J314&lt;$D$2,G314/F314&gt;=3),"Very serious", AND(H314&gt;$D$1*-1,H314&lt;$D$1,OR(I314&lt;=$D$2*-1,J314&gt;=$D$2),G314/F314&gt;=3),"Very serious")),"")</f>
        <v/>
      </c>
      <c r="R314" s="109" t="str">
        <f t="shared" si="47"/>
        <v/>
      </c>
      <c r="S314" s="64"/>
      <c r="T314" s="72"/>
      <c r="U314" s="72"/>
      <c r="V314" s="72"/>
      <c r="W314" s="73"/>
      <c r="X314" s="73"/>
      <c r="Y314" s="74"/>
      <c r="Z314" s="113" t="str">
        <f t="array" ref="Z314">INDEX($A$1:$C$500, MATCH(1,($B:$B=$B314)*($C:$C=$AB314),0),1)</f>
        <v/>
      </c>
      <c r="AA314" s="113" t="str">
        <f t="array" ref="AA314">INDEX($A$1:$C$500, MATCH(1,($B:$B=$AB314)*($C:$C=$B314),0),1)</f>
        <v/>
      </c>
      <c r="AB314" s="111"/>
      <c r="AC314" s="114" t="str">
        <f t="shared" si="2"/>
        <v/>
      </c>
      <c r="AD314" s="115" t="str">
        <f t="shared" si="3"/>
        <v/>
      </c>
      <c r="AE314" s="116" t="str">
        <f t="array" ref="AE314">INDEX($A$1:$C$500, MATCH(1,($B:$B=$AB314)*($C:$C=$AG314),0),1)</f>
        <v/>
      </c>
      <c r="AF314" s="116" t="str">
        <f t="array" ref="AF314">INDEX($A$1:$C$500, MATCH(1,($B:$B=$AG314)*($C:$C=$AB314),0),1)</f>
        <v/>
      </c>
      <c r="AG314" s="72"/>
      <c r="AH314" s="114" t="str">
        <f t="shared" si="4"/>
        <v/>
      </c>
      <c r="AI314" s="115" t="str">
        <f t="shared" si="5"/>
        <v/>
      </c>
      <c r="AJ314" s="116" t="str">
        <f t="array" ref="AJ314">INDEX($A$1:$C$500, MATCH(1,($B:$B=$C314)*($C:$C=$AG314),0),1)</f>
        <v/>
      </c>
      <c r="AK314" s="116" t="str">
        <f t="array" ref="AK314">INDEX($A$1:$C$500, MATCH(1,($B:$B=$AG314)*($C:$C=$C314),0),1)</f>
        <v/>
      </c>
      <c r="AL314" s="116" t="str">
        <f t="array" ref="AL314">INDEX($A$1:$C$500, MATCH(1,($B:$B=$C314)*($C:$C=$AB314),0),1)</f>
        <v/>
      </c>
      <c r="AM314" s="116" t="str">
        <f t="array" ref="AM314">INDEX($A$1:$C$500, MATCH(1,($B:$B=$AB314)*($C:$C=$C314),0),1)</f>
        <v/>
      </c>
      <c r="AN314" s="114" t="str">
        <f t="array" ref="AN314">IFS(ISNUMBER(AJ314),AJ314,ISNUMBER(AK314),AK314,ISNUMBER(AL314),AL314,ISNUMBER(AM314),AM314)</f>
        <v>#N/A</v>
      </c>
      <c r="AO314" s="115" t="str">
        <f t="shared" si="6"/>
        <v/>
      </c>
      <c r="AP314" s="115" t="str">
        <f t="shared" si="7"/>
        <v/>
      </c>
      <c r="AQ314" s="111"/>
      <c r="AR314" s="109" t="str">
        <f t="shared" si="8"/>
        <v/>
      </c>
      <c r="AS314" s="72" t="str">
        <f>IFERROR(IF(AND(Preferences!B$3="Manual",OR(AX314/AW314&gt;V314/U314,BD314="Serious",BD314="Very serious")),"Assess imprecision",IFERROR(IFS(AND(Preferences!B$3="Automatic",V314/U314&gt;=30),"Extremely serious",AND(W314&lt;=$D$1*-1,Y314&lt;0,V314/U314&lt;3),"Not Serious",AND(W314&lt;=$D$1*-1,Y314&lt;0,V314/U314&gt;=3),"Very serious",AND(W314&gt;=$D$1,X314&gt;0,V314/U314&lt;3),"Not Serious",AND(W314&gt;=$D$1,X314&gt;0,V314/U314&gt;=3),"Very serious",AND(W314&lt;=$D$1*-1,Y314&gt;0,X314&gt;$D$2*-1,V314/U314&lt;3),"Serious", AND(W314&lt;=$D$1*-1,Y314&gt;0,X314&lt;$D$2*-1,V314/U314&lt;3),"Very serious", AND(W314&gt;=$D$1,X314&lt;0,Y314&lt;$D$2,V314/U314&lt;3),"Serious",AND(W314&gt;=$D$1,X314&lt;0,Y314&gt;$D$2,V314/U314&lt;3),"Very serious", AND(W314&lt;=$D$1*-1,Y314&gt;0,X314&gt;$D$2*-1,V314/U314&gt;=3),"Very serious", AND(W314&lt;=$D$1*-1,Y314&gt;0,X314&lt;$D$2*-1,V314/U314&gt;=3),"Very serious", AND(W314&gt;=$D$1,X314&lt;0,Y314&lt;$D$2,V314/U314&gt;=3),"Very serious", AND(W314&gt;=$D$1,X314&lt;0,Y314&gt;$D$2,V314/U314&gt;=3),"Very serious", AND(W314&gt;$D$1*-1,W314&lt;$D$1,X314&gt;$D$1*-1,Y314&lt;$D$1,V314/U314&lt;3),"Not Serious", AND(W314&gt;$D$1*-1,W314&lt;$D$1,OR(X314&lt;=$D$1*-1,Y314&gt;=$D$1),X314&gt;$D$2*-1,Y314&lt;$D$2,V314/U314&lt;3),"Serious", AND(W314&gt;$D$1*-1,W314&lt;$D$1,OR(X314&lt;=$D$2*-1,Y314&gt;=$D$2),V314/U314&lt;3),"Very serious", AND(W314&gt;$D$1*-1,W314&lt;$D$1,X314&gt;$D$1*-1,Y314&lt;$D$1,V314/U314&gt;=3),"Very serious", AND(W314&gt;$D$1*-1,W314&lt;$D$1,OR(X314&lt;=$D$1*-1,Y314&gt;=$D$1),X314&gt;$D$2*-1,Y314&lt;$D$2,V314/U314&gt;=3),"Very serious", AND(W314&gt;$D$1*-1,W314&lt;$D$1,OR(X314&lt;=$D$2*-1,Y314&gt;=$D$2),V314/U314&gt;=3),"Very serious"),"")),"")</f>
        <v/>
      </c>
      <c r="AT314" s="109" t="str">
        <f t="shared" si="9"/>
        <v/>
      </c>
      <c r="AU314" s="64"/>
      <c r="AV314" s="83"/>
      <c r="AW314" s="83"/>
      <c r="AX314" s="83"/>
      <c r="AY314" s="83"/>
      <c r="AZ314" s="83"/>
      <c r="BA314" s="85"/>
      <c r="BB314" s="86" t="str">
        <f>IF(Preferences!B$9="Manual","",IFS(ISBLANK(B314),"",AND(ISNUMBER(E314)=TRUE,ISNUMBER(T314)=FALSE),"Direct", AND(ISNUMBER(E314)=FALSE,ISNUMBER(T314)=TRUE),"Indirect", CN314=4,"Direct",AND(CL314=FALSE, CM314=TRUE,CN314-CO314&gt;-1),"Direct", AND(CL314=FALSE,CM314=TRUE, CN314-CO314&lt;0),"Check algorithm in appendix 2", AND(CL314=TRUE, CM314=FALSE,CN314-CO314&gt;0),"Check algorithm in appendix 2", AND(CL314=TRUE, CM314=FALSE,CN314-CO314=0),"Indirect", AND(CL314=TRUE, CM314=FALSE,CN314-CO314&lt;0),"Indirect", AND(CL314=FALSE,CM314=FALSE,CN314-CO314&gt;-1),"Direct", AND(CL314=FALSE,CM314=FALSE,CN314-CO314&lt;0),"Check algorithm in appendix 2", AND(CL314=TRUE,CM314=TRUE,CN314-CO314&gt;-1),"Direct", AND(CL314=TRUE,CM314=TRUE,CN314-CO314&lt;0),"Check algorithm in appendix 2"))</f>
        <v/>
      </c>
      <c r="BC314" s="120" t="str">
        <f t="shared" si="10"/>
        <v/>
      </c>
      <c r="BD314" s="140"/>
      <c r="BE314" s="122" t="str">
        <f>IF(Preferences!B$3="Manual","", IFERROR(IFS(AND(Preferences!B$3="Automatic",AX314/AW314&gt;=30),"Extremely serious",AND(AY314&lt;=$D$1*-1,BA314&lt;0,AX314/AW314&lt;3),"Not Serious",AND(AY314&lt;=$D$1*-1,BA314&lt;0,AX314/AW314&gt;=3),"Very serious",AND(AY314&gt;=$D$1,AZ314&gt;0,AX314/AW314&lt;3),"Not Serious",AND(AY314&gt;=$D$1,AZ314&gt;0,AX314/AW314&gt;=3),"Very serious",AND(AY314&lt;=$D$1*-1,BA314&gt;0,AZ314&gt;$D$2*-1,AX314/AW314&lt;3),"Serious", AND(AY314&lt;=$D$1*-1,BA314&gt;0,AZ314&lt;$D$2*-1,AX314/AW314&lt;3),"Very serious", AND(AY314&gt;=$D$1,AZ314&lt;0,BA314&lt;$D$2,AX314/AW314&lt;3),"Serious",AND(AY314&gt;=$D$1,AZ314&lt;0,BA314&gt;$D$2,AX314/AW314&lt;3),"Very serious", AND(AY314&lt;=$D$1*-1,BA314&gt;0,AZ314&gt;$D$2*-1,AX314/AW314&gt;=3),"Very serious", AND(AY314&lt;=$D$1*-1,BA314&gt;0,AZ314&lt;$D$2*-1,AX314/AW314&gt;=3),"Very serious", AND(AY314&gt;=$D$1,AZ314&lt;0,BA314&lt;$D$2,AX314/AW314&gt;=3),"Very serious", AND(AY314&gt;=$D$1,AZ314&lt;0,BA314&gt;$D$2,AX314/AW314&gt;=3),"Very serious", AND(AY314&gt;$D$1*-1,AY314&lt;$D$1,AZ314&gt;$D$1*-1,BA314&lt;$D$1,AX314/AW314&lt;3),"Not Serious", AND(AY314&gt;$D$1*-1,AY314&lt;$D$1,OR(AZ314&lt;=$D$1*-1,BA314&gt;=$D$1),AZ314&gt;$D$2*-1,BA314&lt;$D$2,AX314/AW314&lt;3),"Serious", AND(AY314&gt;$D$1*-1,AY314&lt;$D$1,OR(AZ314&lt;=$D$2*-1,BA314&gt;=$D$2),AX314/AW314&lt;3),"Very serious", AND(AY314&gt;$D$1*-1,AY314&lt;$D$1,AZ314&gt;$D$1*-1,BA314&lt;$D$1,AX314/AW314&gt;=3),"Very serious", AND(AY314&gt;$D$1*-1,AY314&lt;$D$1,OR(AZ314&lt;=$D$1*-1,BA314&gt;=$D$1),AZ314&gt;$D$2*-1,BA314&lt;$D$2,AX314/AW314&gt;=3),"Very serious", AND(AY314&gt;$D$1*-1,AY314&lt;$D$1,OR(AZ314&lt;=$D$2*-1,BA314&gt;=$D$2),AX314/AW314&gt;=3),"Very serious"),""))</f>
        <v/>
      </c>
      <c r="BF314" s="107" t="str">
        <f t="shared" si="11"/>
        <v/>
      </c>
      <c r="BG314" s="94" t="str">
        <f t="shared" si="46"/>
        <v/>
      </c>
      <c r="BH314" s="64" t="str">
        <f t="shared" si="12"/>
        <v>#N/A</v>
      </c>
      <c r="BI314" s="64" t="str">
        <f t="shared" si="13"/>
        <v/>
      </c>
      <c r="BJ314" s="123" t="str">
        <f t="shared" si="14"/>
        <v>#N/A</v>
      </c>
      <c r="BK314" s="64" t="str">
        <f t="shared" si="50"/>
        <v>YES</v>
      </c>
      <c r="BL314" s="64" t="str">
        <f t="shared" si="16"/>
        <v>YES</v>
      </c>
      <c r="BM314" s="64" t="str">
        <f t="shared" si="17"/>
        <v>YES</v>
      </c>
      <c r="BN314" s="124" t="str">
        <f t="shared" si="18"/>
        <v/>
      </c>
      <c r="BO314" s="91" t="str">
        <f t="shared" si="19"/>
        <v/>
      </c>
      <c r="BP314" s="91" t="str">
        <f t="shared" si="20"/>
        <v>#N/A</v>
      </c>
      <c r="BQ314" s="91" t="str">
        <f t="shared" si="21"/>
        <v/>
      </c>
      <c r="BR314" s="93" t="str">
        <f t="shared" si="22"/>
        <v/>
      </c>
      <c r="BS314" s="90" t="str">
        <f t="shared" si="23"/>
        <v/>
      </c>
      <c r="BT314" s="93" t="str">
        <f t="shared" si="24"/>
        <v>NA</v>
      </c>
      <c r="BU314" s="125" t="str">
        <f t="shared" si="25"/>
        <v>#N/A</v>
      </c>
      <c r="BV314" s="93" t="str">
        <f t="shared" si="26"/>
        <v/>
      </c>
      <c r="BW314" s="93" t="str">
        <f t="shared" si="27"/>
        <v/>
      </c>
      <c r="BX314" s="93" t="str">
        <f t="shared" si="28"/>
        <v>NA</v>
      </c>
      <c r="BY314" s="95" t="str">
        <f t="shared" si="29"/>
        <v>#N/A</v>
      </c>
      <c r="BZ314" s="93" t="str">
        <f t="shared" si="30"/>
        <v/>
      </c>
      <c r="CA314" s="93" t="str">
        <f t="shared" si="31"/>
        <v/>
      </c>
      <c r="CB314" s="93" t="str">
        <f t="shared" si="32"/>
        <v>NA</v>
      </c>
      <c r="CC314" s="96" t="str">
        <f t="shared" si="33"/>
        <v>#N/A</v>
      </c>
      <c r="CD314" s="93" t="str">
        <f t="shared" si="34"/>
        <v/>
      </c>
      <c r="CE314" s="93" t="str">
        <f t="shared" si="35"/>
        <v/>
      </c>
      <c r="CF314" s="93" t="str">
        <f t="shared" si="36"/>
        <v>NA</v>
      </c>
      <c r="CG314" s="97" t="str">
        <f t="shared" si="37"/>
        <v>#N/A</v>
      </c>
      <c r="CH314" s="98" t="str">
        <f t="shared" si="38"/>
        <v>#N/A</v>
      </c>
      <c r="CI314" s="99" t="str">
        <f t="shared" si="39"/>
        <v>#N/A</v>
      </c>
      <c r="CJ314" s="126" t="str">
        <f t="shared" si="40"/>
        <v>ERROR: check cell</v>
      </c>
      <c r="CK314" s="126"/>
      <c r="CL314" s="127" t="str">
        <f t="shared" si="41"/>
        <v>#DIV/0!</v>
      </c>
      <c r="CM314" s="128" t="str">
        <f t="shared" si="42"/>
        <v>#DIV/0!</v>
      </c>
      <c r="CN314" s="128">
        <f t="shared" si="43"/>
        <v>4</v>
      </c>
      <c r="CO314" s="129">
        <f t="shared" si="44"/>
        <v>4</v>
      </c>
      <c r="CP314" s="129" t="str">
        <f>IFS(C314=Preferences!B$13,B314,B314=Preferences!B$13,C314)</f>
        <v>#N/A</v>
      </c>
    </row>
    <row r="315" ht="13.5" customHeight="1">
      <c r="A315" s="63" t="str">
        <f t="shared" si="45"/>
        <v/>
      </c>
      <c r="B315" s="64"/>
      <c r="C315" s="64"/>
      <c r="D315" s="64"/>
      <c r="E315" s="65"/>
      <c r="F315" s="65"/>
      <c r="G315" s="65"/>
      <c r="H315" s="66"/>
      <c r="I315" s="66"/>
      <c r="J315" s="67"/>
      <c r="K315" s="68"/>
      <c r="L315" s="104"/>
      <c r="M315" s="104"/>
      <c r="N315" s="104"/>
      <c r="O315" s="104"/>
      <c r="P315" s="107" t="str">
        <f t="shared" si="1"/>
        <v/>
      </c>
      <c r="Q315" s="108" t="str">
        <f>IFERROR(IF(AND(Preferences!B$3="Manual",OR(AX315/AW315&gt;G315/F315,BD315="Serious",BD315="Very serious")),"Assess imprecision",IFS(ISBLANK(E315),"",AND(Preferences!B$3="Automatic", G315/F315&gt;=30),"Extremely serious",AND(H315&lt;=$D$1*-1,J315&lt;0,G315/F315&lt;3),"Not serious",AND(H315&lt;=$D$1*-1,J315&lt;0,G315/F315&gt;=3),"Very serious",AND(H315&gt;=$D$1,I315&gt;0,G315/F315&lt;3),"Not serious",AND(H315&gt;=$D$1,I315&gt;0,G315/F315&gt;=3),"Very serious",AND(H315&lt;=$D$1*-1,J315&gt;0,I315&gt;$D$2*-1,G315/F315&lt;3),"Serious", AND(H315&lt;=$D$1*-1,J315&gt;0,I315&lt;$D$2*-1,G315/F315&lt;3),"Very serious", AND(H315&gt;=$D$1,I315&lt;0,J315&lt;$D$2,G315/F315&lt;3),"Serious",AND(H315&gt;=$D$1,I315&lt;0,J315&gt;$D$2,G315/F315&lt;3),"Very serious", AND(H315&lt;=$D$1*-1,J315&gt;0,I315&gt;$D$2*-1,G315/F315&gt;=3),"Very serious", AND(H315&lt;=$D$1*-1,J315&gt;0,I315&lt;$D$2*-1,G315/F315&gt;=3),"Very serious", AND(H315&gt;=$D$1,I315&lt;0,J315&lt;$D$2,G315/F315&gt;=3),"Very serious", AND(H315&gt;=$D$1,I315&lt;0,J315&gt;$D$2,G315/F315&gt;=3),"Very serious", AND(H315&gt;$D$1*-1,H315&lt;$D$1,I315&gt;$D$1*-1,J315&lt;$D$1,G315/F315&lt;3),"Not serious", AND(H315&gt;$D$1*-1,H315&lt;$D$1,OR(I315&lt;=$D$1*-1,J315&gt;=$D$1),I315&gt;$D$2*-1,J315&lt;$D$2,G315/F315&lt;3),"Serious", AND(H315&gt;$D$1*-1,H315&lt;$D$1,OR(I315&lt;=$D$2*-1,J315&gt;=$D$2),G315/F315&lt;3),"Very serious", AND(H315&gt;$D$1*-1,H315&lt;$D$1,I315&gt;$D$1*-1,J315&lt;$D$1,G315/F315&gt;=3),"Very serious", AND(H315&gt;$D$1*-1,H315&lt;$D$1,OR(I315&lt;=$D$1*-1,J315&gt;=$D$1),I315&gt;$D$2*-1,J315&lt;$D$2,G315/F315&gt;=3),"Very serious", AND(H315&gt;$D$1*-1,H315&lt;$D$1,OR(I315&lt;=$D$2*-1,J315&gt;=$D$2),G315/F315&gt;=3),"Very serious")),"")</f>
        <v/>
      </c>
      <c r="R315" s="109" t="str">
        <f t="shared" si="47"/>
        <v/>
      </c>
      <c r="S315" s="64"/>
      <c r="T315" s="72"/>
      <c r="U315" s="72"/>
      <c r="V315" s="72"/>
      <c r="W315" s="73"/>
      <c r="X315" s="73"/>
      <c r="Y315" s="74"/>
      <c r="Z315" s="113" t="str">
        <f t="array" ref="Z315">INDEX($A$1:$C$500, MATCH(1,($B:$B=$B315)*($C:$C=$AB315),0),1)</f>
        <v/>
      </c>
      <c r="AA315" s="113" t="str">
        <f t="array" ref="AA315">INDEX($A$1:$C$500, MATCH(1,($B:$B=$AB315)*($C:$C=$B315),0),1)</f>
        <v/>
      </c>
      <c r="AB315" s="111"/>
      <c r="AC315" s="114" t="str">
        <f t="shared" si="2"/>
        <v/>
      </c>
      <c r="AD315" s="115" t="str">
        <f t="shared" si="3"/>
        <v/>
      </c>
      <c r="AE315" s="116" t="str">
        <f t="array" ref="AE315">INDEX($A$1:$C$500, MATCH(1,($B:$B=$AB315)*($C:$C=$AG315),0),1)</f>
        <v/>
      </c>
      <c r="AF315" s="116" t="str">
        <f t="array" ref="AF315">INDEX($A$1:$C$500, MATCH(1,($B:$B=$AG315)*($C:$C=$AB315),0),1)</f>
        <v/>
      </c>
      <c r="AG315" s="72"/>
      <c r="AH315" s="114" t="str">
        <f t="shared" si="4"/>
        <v/>
      </c>
      <c r="AI315" s="115" t="str">
        <f t="shared" si="5"/>
        <v/>
      </c>
      <c r="AJ315" s="116" t="str">
        <f t="array" ref="AJ315">INDEX($A$1:$C$500, MATCH(1,($B:$B=$C315)*($C:$C=$AG315),0),1)</f>
        <v/>
      </c>
      <c r="AK315" s="116" t="str">
        <f t="array" ref="AK315">INDEX($A$1:$C$500, MATCH(1,($B:$B=$AG315)*($C:$C=$C315),0),1)</f>
        <v/>
      </c>
      <c r="AL315" s="116" t="str">
        <f t="array" ref="AL315">INDEX($A$1:$C$500, MATCH(1,($B:$B=$C315)*($C:$C=$AB315),0),1)</f>
        <v/>
      </c>
      <c r="AM315" s="116" t="str">
        <f t="array" ref="AM315">INDEX($A$1:$C$500, MATCH(1,($B:$B=$AB315)*($C:$C=$C315),0),1)</f>
        <v/>
      </c>
      <c r="AN315" s="114" t="str">
        <f t="array" ref="AN315">IFS(ISNUMBER(AJ315),AJ315,ISNUMBER(AK315),AK315,ISNUMBER(AL315),AL315,ISNUMBER(AM315),AM315)</f>
        <v>#N/A</v>
      </c>
      <c r="AO315" s="115" t="str">
        <f t="shared" si="6"/>
        <v/>
      </c>
      <c r="AP315" s="115" t="str">
        <f t="shared" si="7"/>
        <v/>
      </c>
      <c r="AQ315" s="111"/>
      <c r="AR315" s="109" t="str">
        <f t="shared" si="8"/>
        <v/>
      </c>
      <c r="AS315" s="72" t="str">
        <f>IFERROR(IF(AND(Preferences!B$3="Manual",OR(AX315/AW315&gt;V315/U315,BD315="Serious",BD315="Very serious")),"Assess imprecision",IFERROR(IFS(AND(Preferences!B$3="Automatic",V315/U315&gt;=30),"Extremely serious",AND(W315&lt;=$D$1*-1,Y315&lt;0,V315/U315&lt;3),"Not Serious",AND(W315&lt;=$D$1*-1,Y315&lt;0,V315/U315&gt;=3),"Very serious",AND(W315&gt;=$D$1,X315&gt;0,V315/U315&lt;3),"Not Serious",AND(W315&gt;=$D$1,X315&gt;0,V315/U315&gt;=3),"Very serious",AND(W315&lt;=$D$1*-1,Y315&gt;0,X315&gt;$D$2*-1,V315/U315&lt;3),"Serious", AND(W315&lt;=$D$1*-1,Y315&gt;0,X315&lt;$D$2*-1,V315/U315&lt;3),"Very serious", AND(W315&gt;=$D$1,X315&lt;0,Y315&lt;$D$2,V315/U315&lt;3),"Serious",AND(W315&gt;=$D$1,X315&lt;0,Y315&gt;$D$2,V315/U315&lt;3),"Very serious", AND(W315&lt;=$D$1*-1,Y315&gt;0,X315&gt;$D$2*-1,V315/U315&gt;=3),"Very serious", AND(W315&lt;=$D$1*-1,Y315&gt;0,X315&lt;$D$2*-1,V315/U315&gt;=3),"Very serious", AND(W315&gt;=$D$1,X315&lt;0,Y315&lt;$D$2,V315/U315&gt;=3),"Very serious", AND(W315&gt;=$D$1,X315&lt;0,Y315&gt;$D$2,V315/U315&gt;=3),"Very serious", AND(W315&gt;$D$1*-1,W315&lt;$D$1,X315&gt;$D$1*-1,Y315&lt;$D$1,V315/U315&lt;3),"Not Serious", AND(W315&gt;$D$1*-1,W315&lt;$D$1,OR(X315&lt;=$D$1*-1,Y315&gt;=$D$1),X315&gt;$D$2*-1,Y315&lt;$D$2,V315/U315&lt;3),"Serious", AND(W315&gt;$D$1*-1,W315&lt;$D$1,OR(X315&lt;=$D$2*-1,Y315&gt;=$D$2),V315/U315&lt;3),"Very serious", AND(W315&gt;$D$1*-1,W315&lt;$D$1,X315&gt;$D$1*-1,Y315&lt;$D$1,V315/U315&gt;=3),"Very serious", AND(W315&gt;$D$1*-1,W315&lt;$D$1,OR(X315&lt;=$D$1*-1,Y315&gt;=$D$1),X315&gt;$D$2*-1,Y315&lt;$D$2,V315/U315&gt;=3),"Very serious", AND(W315&gt;$D$1*-1,W315&lt;$D$1,OR(X315&lt;=$D$2*-1,Y315&gt;=$D$2),V315/U315&gt;=3),"Very serious"),"")),"")</f>
        <v/>
      </c>
      <c r="AT315" s="109" t="str">
        <f t="shared" si="9"/>
        <v/>
      </c>
      <c r="AU315" s="64"/>
      <c r="AV315" s="83"/>
      <c r="AW315" s="83"/>
      <c r="AX315" s="83"/>
      <c r="AY315" s="83"/>
      <c r="AZ315" s="83"/>
      <c r="BA315" s="85"/>
      <c r="BB315" s="86" t="str">
        <f>IF(Preferences!B$9="Manual","",IFS(ISBLANK(B315),"",AND(ISNUMBER(E315)=TRUE,ISNUMBER(T315)=FALSE),"Direct", AND(ISNUMBER(E315)=FALSE,ISNUMBER(T315)=TRUE),"Indirect", CN315=4,"Direct",AND(CL315=FALSE, CM315=TRUE,CN315-CO315&gt;-1),"Direct", AND(CL315=FALSE,CM315=TRUE, CN315-CO315&lt;0),"Check algorithm in appendix 2", AND(CL315=TRUE, CM315=FALSE,CN315-CO315&gt;0),"Check algorithm in appendix 2", AND(CL315=TRUE, CM315=FALSE,CN315-CO315=0),"Indirect", AND(CL315=TRUE, CM315=FALSE,CN315-CO315&lt;0),"Indirect", AND(CL315=FALSE,CM315=FALSE,CN315-CO315&gt;-1),"Direct", AND(CL315=FALSE,CM315=FALSE,CN315-CO315&lt;0),"Check algorithm in appendix 2", AND(CL315=TRUE,CM315=TRUE,CN315-CO315&gt;-1),"Direct", AND(CL315=TRUE,CM315=TRUE,CN315-CO315&lt;0),"Check algorithm in appendix 2"))</f>
        <v/>
      </c>
      <c r="BC315" s="120" t="str">
        <f t="shared" si="10"/>
        <v/>
      </c>
      <c r="BD315" s="140"/>
      <c r="BE315" s="122" t="str">
        <f>IF(Preferences!B$3="Manual","", IFERROR(IFS(AND(Preferences!B$3="Automatic",AX315/AW315&gt;=30),"Extremely serious",AND(AY315&lt;=$D$1*-1,BA315&lt;0,AX315/AW315&lt;3),"Not Serious",AND(AY315&lt;=$D$1*-1,BA315&lt;0,AX315/AW315&gt;=3),"Very serious",AND(AY315&gt;=$D$1,AZ315&gt;0,AX315/AW315&lt;3),"Not Serious",AND(AY315&gt;=$D$1,AZ315&gt;0,AX315/AW315&gt;=3),"Very serious",AND(AY315&lt;=$D$1*-1,BA315&gt;0,AZ315&gt;$D$2*-1,AX315/AW315&lt;3),"Serious", AND(AY315&lt;=$D$1*-1,BA315&gt;0,AZ315&lt;$D$2*-1,AX315/AW315&lt;3),"Very serious", AND(AY315&gt;=$D$1,AZ315&lt;0,BA315&lt;$D$2,AX315/AW315&lt;3),"Serious",AND(AY315&gt;=$D$1,AZ315&lt;0,BA315&gt;$D$2,AX315/AW315&lt;3),"Very serious", AND(AY315&lt;=$D$1*-1,BA315&gt;0,AZ315&gt;$D$2*-1,AX315/AW315&gt;=3),"Very serious", AND(AY315&lt;=$D$1*-1,BA315&gt;0,AZ315&lt;$D$2*-1,AX315/AW315&gt;=3),"Very serious", AND(AY315&gt;=$D$1,AZ315&lt;0,BA315&lt;$D$2,AX315/AW315&gt;=3),"Very serious", AND(AY315&gt;=$D$1,AZ315&lt;0,BA315&gt;$D$2,AX315/AW315&gt;=3),"Very serious", AND(AY315&gt;$D$1*-1,AY315&lt;$D$1,AZ315&gt;$D$1*-1,BA315&lt;$D$1,AX315/AW315&lt;3),"Not Serious", AND(AY315&gt;$D$1*-1,AY315&lt;$D$1,OR(AZ315&lt;=$D$1*-1,BA315&gt;=$D$1),AZ315&gt;$D$2*-1,BA315&lt;$D$2,AX315/AW315&lt;3),"Serious", AND(AY315&gt;$D$1*-1,AY315&lt;$D$1,OR(AZ315&lt;=$D$2*-1,BA315&gt;=$D$2),AX315/AW315&lt;3),"Very serious", AND(AY315&gt;$D$1*-1,AY315&lt;$D$1,AZ315&gt;$D$1*-1,BA315&lt;$D$1,AX315/AW315&gt;=3),"Very serious", AND(AY315&gt;$D$1*-1,AY315&lt;$D$1,OR(AZ315&lt;=$D$1*-1,BA315&gt;=$D$1),AZ315&gt;$D$2*-1,BA315&lt;$D$2,AX315/AW315&gt;=3),"Very serious", AND(AY315&gt;$D$1*-1,AY315&lt;$D$1,OR(AZ315&lt;=$D$2*-1,BA315&gt;=$D$2),AX315/AW315&gt;=3),"Very serious"),""))</f>
        <v/>
      </c>
      <c r="BF315" s="107" t="str">
        <f t="shared" si="11"/>
        <v/>
      </c>
      <c r="BG315" s="94" t="str">
        <f t="shared" si="46"/>
        <v/>
      </c>
      <c r="BH315" s="64" t="str">
        <f t="shared" si="12"/>
        <v>#N/A</v>
      </c>
      <c r="BI315" s="64" t="str">
        <f t="shared" si="13"/>
        <v/>
      </c>
      <c r="BJ315" s="123" t="str">
        <f t="shared" si="14"/>
        <v>#N/A</v>
      </c>
      <c r="BK315" s="64" t="str">
        <f t="shared" si="50"/>
        <v>YES</v>
      </c>
      <c r="BL315" s="64" t="str">
        <f t="shared" si="16"/>
        <v>YES</v>
      </c>
      <c r="BM315" s="64" t="str">
        <f t="shared" si="17"/>
        <v>YES</v>
      </c>
      <c r="BN315" s="124" t="str">
        <f t="shared" si="18"/>
        <v/>
      </c>
      <c r="BO315" s="91" t="str">
        <f t="shared" si="19"/>
        <v/>
      </c>
      <c r="BP315" s="91" t="str">
        <f t="shared" si="20"/>
        <v>#N/A</v>
      </c>
      <c r="BQ315" s="91" t="str">
        <f t="shared" si="21"/>
        <v/>
      </c>
      <c r="BR315" s="93" t="str">
        <f t="shared" si="22"/>
        <v/>
      </c>
      <c r="BS315" s="90" t="str">
        <f t="shared" si="23"/>
        <v/>
      </c>
      <c r="BT315" s="93" t="str">
        <f t="shared" si="24"/>
        <v>NA</v>
      </c>
      <c r="BU315" s="125" t="str">
        <f t="shared" si="25"/>
        <v>#N/A</v>
      </c>
      <c r="BV315" s="93" t="str">
        <f t="shared" si="26"/>
        <v/>
      </c>
      <c r="BW315" s="93" t="str">
        <f t="shared" si="27"/>
        <v/>
      </c>
      <c r="BX315" s="93" t="str">
        <f t="shared" si="28"/>
        <v>NA</v>
      </c>
      <c r="BY315" s="95" t="str">
        <f t="shared" si="29"/>
        <v>#N/A</v>
      </c>
      <c r="BZ315" s="93" t="str">
        <f t="shared" si="30"/>
        <v/>
      </c>
      <c r="CA315" s="93" t="str">
        <f t="shared" si="31"/>
        <v/>
      </c>
      <c r="CB315" s="93" t="str">
        <f t="shared" si="32"/>
        <v>NA</v>
      </c>
      <c r="CC315" s="96" t="str">
        <f t="shared" si="33"/>
        <v>#N/A</v>
      </c>
      <c r="CD315" s="93" t="str">
        <f t="shared" si="34"/>
        <v/>
      </c>
      <c r="CE315" s="93" t="str">
        <f t="shared" si="35"/>
        <v/>
      </c>
      <c r="CF315" s="93" t="str">
        <f t="shared" si="36"/>
        <v>NA</v>
      </c>
      <c r="CG315" s="97" t="str">
        <f t="shared" si="37"/>
        <v>#N/A</v>
      </c>
      <c r="CH315" s="98" t="str">
        <f t="shared" si="38"/>
        <v>#N/A</v>
      </c>
      <c r="CI315" s="99" t="str">
        <f t="shared" si="39"/>
        <v>#N/A</v>
      </c>
      <c r="CJ315" s="126" t="str">
        <f t="shared" si="40"/>
        <v>ERROR: check cell</v>
      </c>
      <c r="CK315" s="126"/>
      <c r="CL315" s="127" t="str">
        <f t="shared" si="41"/>
        <v>#DIV/0!</v>
      </c>
      <c r="CM315" s="128" t="str">
        <f t="shared" si="42"/>
        <v>#DIV/0!</v>
      </c>
      <c r="CN315" s="128">
        <f t="shared" si="43"/>
        <v>4</v>
      </c>
      <c r="CO315" s="129">
        <f t="shared" si="44"/>
        <v>4</v>
      </c>
      <c r="CP315" s="129" t="str">
        <f>IFS(C315=Preferences!B$13,B315,B315=Preferences!B$13,C315)</f>
        <v>#N/A</v>
      </c>
    </row>
    <row r="316" ht="13.5" customHeight="1">
      <c r="A316" s="63" t="str">
        <f t="shared" si="45"/>
        <v/>
      </c>
      <c r="B316" s="64"/>
      <c r="C316" s="64"/>
      <c r="D316" s="64"/>
      <c r="E316" s="65"/>
      <c r="F316" s="65"/>
      <c r="G316" s="65"/>
      <c r="H316" s="66"/>
      <c r="I316" s="66"/>
      <c r="J316" s="67"/>
      <c r="K316" s="68"/>
      <c r="L316" s="104"/>
      <c r="M316" s="104"/>
      <c r="N316" s="104"/>
      <c r="O316" s="104"/>
      <c r="P316" s="107" t="str">
        <f t="shared" si="1"/>
        <v/>
      </c>
      <c r="Q316" s="108" t="str">
        <f>IFERROR(IF(AND(Preferences!B$3="Manual",OR(AX316/AW316&gt;G316/F316,BD316="Serious",BD316="Very serious")),"Assess imprecision",IFS(ISBLANK(E316),"",AND(Preferences!B$3="Automatic", G316/F316&gt;=30),"Extremely serious",AND(H316&lt;=$D$1*-1,J316&lt;0,G316/F316&lt;3),"Not serious",AND(H316&lt;=$D$1*-1,J316&lt;0,G316/F316&gt;=3),"Very serious",AND(H316&gt;=$D$1,I316&gt;0,G316/F316&lt;3),"Not serious",AND(H316&gt;=$D$1,I316&gt;0,G316/F316&gt;=3),"Very serious",AND(H316&lt;=$D$1*-1,J316&gt;0,I316&gt;$D$2*-1,G316/F316&lt;3),"Serious", AND(H316&lt;=$D$1*-1,J316&gt;0,I316&lt;$D$2*-1,G316/F316&lt;3),"Very serious", AND(H316&gt;=$D$1,I316&lt;0,J316&lt;$D$2,G316/F316&lt;3),"Serious",AND(H316&gt;=$D$1,I316&lt;0,J316&gt;$D$2,G316/F316&lt;3),"Very serious", AND(H316&lt;=$D$1*-1,J316&gt;0,I316&gt;$D$2*-1,G316/F316&gt;=3),"Very serious", AND(H316&lt;=$D$1*-1,J316&gt;0,I316&lt;$D$2*-1,G316/F316&gt;=3),"Very serious", AND(H316&gt;=$D$1,I316&lt;0,J316&lt;$D$2,G316/F316&gt;=3),"Very serious", AND(H316&gt;=$D$1,I316&lt;0,J316&gt;$D$2,G316/F316&gt;=3),"Very serious", AND(H316&gt;$D$1*-1,H316&lt;$D$1,I316&gt;$D$1*-1,J316&lt;$D$1,G316/F316&lt;3),"Not serious", AND(H316&gt;$D$1*-1,H316&lt;$D$1,OR(I316&lt;=$D$1*-1,J316&gt;=$D$1),I316&gt;$D$2*-1,J316&lt;$D$2,G316/F316&lt;3),"Serious", AND(H316&gt;$D$1*-1,H316&lt;$D$1,OR(I316&lt;=$D$2*-1,J316&gt;=$D$2),G316/F316&lt;3),"Very serious", AND(H316&gt;$D$1*-1,H316&lt;$D$1,I316&gt;$D$1*-1,J316&lt;$D$1,G316/F316&gt;=3),"Very serious", AND(H316&gt;$D$1*-1,H316&lt;$D$1,OR(I316&lt;=$D$1*-1,J316&gt;=$D$1),I316&gt;$D$2*-1,J316&lt;$D$2,G316/F316&gt;=3),"Very serious", AND(H316&gt;$D$1*-1,H316&lt;$D$1,OR(I316&lt;=$D$2*-1,J316&gt;=$D$2),G316/F316&gt;=3),"Very serious")),"")</f>
        <v/>
      </c>
      <c r="R316" s="109" t="str">
        <f t="shared" si="47"/>
        <v/>
      </c>
      <c r="S316" s="64"/>
      <c r="T316" s="72"/>
      <c r="U316" s="72"/>
      <c r="V316" s="72"/>
      <c r="W316" s="73"/>
      <c r="X316" s="73"/>
      <c r="Y316" s="74"/>
      <c r="Z316" s="113" t="str">
        <f t="array" ref="Z316">INDEX($A$1:$C$500, MATCH(1,($B:$B=$B316)*($C:$C=$AB316),0),1)</f>
        <v/>
      </c>
      <c r="AA316" s="113" t="str">
        <f t="array" ref="AA316">INDEX($A$1:$C$500, MATCH(1,($B:$B=$AB316)*($C:$C=$B316),0),1)</f>
        <v/>
      </c>
      <c r="AB316" s="111"/>
      <c r="AC316" s="114" t="str">
        <f t="shared" si="2"/>
        <v/>
      </c>
      <c r="AD316" s="115" t="str">
        <f t="shared" si="3"/>
        <v/>
      </c>
      <c r="AE316" s="116" t="str">
        <f t="array" ref="AE316">INDEX($A$1:$C$500, MATCH(1,($B:$B=$AB316)*($C:$C=$AG316),0),1)</f>
        <v/>
      </c>
      <c r="AF316" s="116" t="str">
        <f t="array" ref="AF316">INDEX($A$1:$C$500, MATCH(1,($B:$B=$AG316)*($C:$C=$AB316),0),1)</f>
        <v/>
      </c>
      <c r="AG316" s="72"/>
      <c r="AH316" s="114" t="str">
        <f t="shared" si="4"/>
        <v/>
      </c>
      <c r="AI316" s="115" t="str">
        <f t="shared" si="5"/>
        <v/>
      </c>
      <c r="AJ316" s="116" t="str">
        <f t="array" ref="AJ316">INDEX($A$1:$C$500, MATCH(1,($B:$B=$C316)*($C:$C=$AG316),0),1)</f>
        <v/>
      </c>
      <c r="AK316" s="116" t="str">
        <f t="array" ref="AK316">INDEX($A$1:$C$500, MATCH(1,($B:$B=$AG316)*($C:$C=$C316),0),1)</f>
        <v/>
      </c>
      <c r="AL316" s="116" t="str">
        <f t="array" ref="AL316">INDEX($A$1:$C$500, MATCH(1,($B:$B=$C316)*($C:$C=$AB316),0),1)</f>
        <v/>
      </c>
      <c r="AM316" s="116" t="str">
        <f t="array" ref="AM316">INDEX($A$1:$C$500, MATCH(1,($B:$B=$AB316)*($C:$C=$C316),0),1)</f>
        <v/>
      </c>
      <c r="AN316" s="114" t="str">
        <f t="array" ref="AN316">IFS(ISNUMBER(AJ316),AJ316,ISNUMBER(AK316),AK316,ISNUMBER(AL316),AL316,ISNUMBER(AM316),AM316)</f>
        <v>#N/A</v>
      </c>
      <c r="AO316" s="115" t="str">
        <f t="shared" si="6"/>
        <v/>
      </c>
      <c r="AP316" s="115" t="str">
        <f t="shared" si="7"/>
        <v/>
      </c>
      <c r="AQ316" s="111"/>
      <c r="AR316" s="109" t="str">
        <f t="shared" si="8"/>
        <v/>
      </c>
      <c r="AS316" s="72" t="str">
        <f>IFERROR(IF(AND(Preferences!B$3="Manual",OR(AX316/AW316&gt;V316/U316,BD316="Serious",BD316="Very serious")),"Assess imprecision",IFERROR(IFS(AND(Preferences!B$3="Automatic",V316/U316&gt;=30),"Extremely serious",AND(W316&lt;=$D$1*-1,Y316&lt;0,V316/U316&lt;3),"Not Serious",AND(W316&lt;=$D$1*-1,Y316&lt;0,V316/U316&gt;=3),"Very serious",AND(W316&gt;=$D$1,X316&gt;0,V316/U316&lt;3),"Not Serious",AND(W316&gt;=$D$1,X316&gt;0,V316/U316&gt;=3),"Very serious",AND(W316&lt;=$D$1*-1,Y316&gt;0,X316&gt;$D$2*-1,V316/U316&lt;3),"Serious", AND(W316&lt;=$D$1*-1,Y316&gt;0,X316&lt;$D$2*-1,V316/U316&lt;3),"Very serious", AND(W316&gt;=$D$1,X316&lt;0,Y316&lt;$D$2,V316/U316&lt;3),"Serious",AND(W316&gt;=$D$1,X316&lt;0,Y316&gt;$D$2,V316/U316&lt;3),"Very serious", AND(W316&lt;=$D$1*-1,Y316&gt;0,X316&gt;$D$2*-1,V316/U316&gt;=3),"Very serious", AND(W316&lt;=$D$1*-1,Y316&gt;0,X316&lt;$D$2*-1,V316/U316&gt;=3),"Very serious", AND(W316&gt;=$D$1,X316&lt;0,Y316&lt;$D$2,V316/U316&gt;=3),"Very serious", AND(W316&gt;=$D$1,X316&lt;0,Y316&gt;$D$2,V316/U316&gt;=3),"Very serious", AND(W316&gt;$D$1*-1,W316&lt;$D$1,X316&gt;$D$1*-1,Y316&lt;$D$1,V316/U316&lt;3),"Not Serious", AND(W316&gt;$D$1*-1,W316&lt;$D$1,OR(X316&lt;=$D$1*-1,Y316&gt;=$D$1),X316&gt;$D$2*-1,Y316&lt;$D$2,V316/U316&lt;3),"Serious", AND(W316&gt;$D$1*-1,W316&lt;$D$1,OR(X316&lt;=$D$2*-1,Y316&gt;=$D$2),V316/U316&lt;3),"Very serious", AND(W316&gt;$D$1*-1,W316&lt;$D$1,X316&gt;$D$1*-1,Y316&lt;$D$1,V316/U316&gt;=3),"Very serious", AND(W316&gt;$D$1*-1,W316&lt;$D$1,OR(X316&lt;=$D$1*-1,Y316&gt;=$D$1),X316&gt;$D$2*-1,Y316&lt;$D$2,V316/U316&gt;=3),"Very serious", AND(W316&gt;$D$1*-1,W316&lt;$D$1,OR(X316&lt;=$D$2*-1,Y316&gt;=$D$2),V316/U316&gt;=3),"Very serious"),"")),"")</f>
        <v/>
      </c>
      <c r="AT316" s="109" t="str">
        <f t="shared" si="9"/>
        <v/>
      </c>
      <c r="AU316" s="64"/>
      <c r="AV316" s="83"/>
      <c r="AW316" s="83"/>
      <c r="AX316" s="83"/>
      <c r="AY316" s="83"/>
      <c r="AZ316" s="83"/>
      <c r="BA316" s="85"/>
      <c r="BB316" s="86" t="str">
        <f>IF(Preferences!B$9="Manual","",IFS(ISBLANK(B316),"",AND(ISNUMBER(E316)=TRUE,ISNUMBER(T316)=FALSE),"Direct", AND(ISNUMBER(E316)=FALSE,ISNUMBER(T316)=TRUE),"Indirect", CN316=4,"Direct",AND(CL316=FALSE, CM316=TRUE,CN316-CO316&gt;-1),"Direct", AND(CL316=FALSE,CM316=TRUE, CN316-CO316&lt;0),"Check algorithm in appendix 2", AND(CL316=TRUE, CM316=FALSE,CN316-CO316&gt;0),"Check algorithm in appendix 2", AND(CL316=TRUE, CM316=FALSE,CN316-CO316=0),"Indirect", AND(CL316=TRUE, CM316=FALSE,CN316-CO316&lt;0),"Indirect", AND(CL316=FALSE,CM316=FALSE,CN316-CO316&gt;-1),"Direct", AND(CL316=FALSE,CM316=FALSE,CN316-CO316&lt;0),"Check algorithm in appendix 2", AND(CL316=TRUE,CM316=TRUE,CN316-CO316&gt;-1),"Direct", AND(CL316=TRUE,CM316=TRUE,CN316-CO316&lt;0),"Check algorithm in appendix 2"))</f>
        <v/>
      </c>
      <c r="BC316" s="120" t="str">
        <f t="shared" si="10"/>
        <v/>
      </c>
      <c r="BD316" s="140"/>
      <c r="BE316" s="122" t="str">
        <f>IF(Preferences!B$3="Manual","", IFERROR(IFS(AND(Preferences!B$3="Automatic",AX316/AW316&gt;=30),"Extremely serious",AND(AY316&lt;=$D$1*-1,BA316&lt;0,AX316/AW316&lt;3),"Not Serious",AND(AY316&lt;=$D$1*-1,BA316&lt;0,AX316/AW316&gt;=3),"Very serious",AND(AY316&gt;=$D$1,AZ316&gt;0,AX316/AW316&lt;3),"Not Serious",AND(AY316&gt;=$D$1,AZ316&gt;0,AX316/AW316&gt;=3),"Very serious",AND(AY316&lt;=$D$1*-1,BA316&gt;0,AZ316&gt;$D$2*-1,AX316/AW316&lt;3),"Serious", AND(AY316&lt;=$D$1*-1,BA316&gt;0,AZ316&lt;$D$2*-1,AX316/AW316&lt;3),"Very serious", AND(AY316&gt;=$D$1,AZ316&lt;0,BA316&lt;$D$2,AX316/AW316&lt;3),"Serious",AND(AY316&gt;=$D$1,AZ316&lt;0,BA316&gt;$D$2,AX316/AW316&lt;3),"Very serious", AND(AY316&lt;=$D$1*-1,BA316&gt;0,AZ316&gt;$D$2*-1,AX316/AW316&gt;=3),"Very serious", AND(AY316&lt;=$D$1*-1,BA316&gt;0,AZ316&lt;$D$2*-1,AX316/AW316&gt;=3),"Very serious", AND(AY316&gt;=$D$1,AZ316&lt;0,BA316&lt;$D$2,AX316/AW316&gt;=3),"Very serious", AND(AY316&gt;=$D$1,AZ316&lt;0,BA316&gt;$D$2,AX316/AW316&gt;=3),"Very serious", AND(AY316&gt;$D$1*-1,AY316&lt;$D$1,AZ316&gt;$D$1*-1,BA316&lt;$D$1,AX316/AW316&lt;3),"Not Serious", AND(AY316&gt;$D$1*-1,AY316&lt;$D$1,OR(AZ316&lt;=$D$1*-1,BA316&gt;=$D$1),AZ316&gt;$D$2*-1,BA316&lt;$D$2,AX316/AW316&lt;3),"Serious", AND(AY316&gt;$D$1*-1,AY316&lt;$D$1,OR(AZ316&lt;=$D$2*-1,BA316&gt;=$D$2),AX316/AW316&lt;3),"Very serious", AND(AY316&gt;$D$1*-1,AY316&lt;$D$1,AZ316&gt;$D$1*-1,BA316&lt;$D$1,AX316/AW316&gt;=3),"Very serious", AND(AY316&gt;$D$1*-1,AY316&lt;$D$1,OR(AZ316&lt;=$D$1*-1,BA316&gt;=$D$1),AZ316&gt;$D$2*-1,BA316&lt;$D$2,AX316/AW316&gt;=3),"Very serious", AND(AY316&gt;$D$1*-1,AY316&lt;$D$1,OR(AZ316&lt;=$D$2*-1,BA316&gt;=$D$2),AX316/AW316&gt;=3),"Very serious"),""))</f>
        <v/>
      </c>
      <c r="BF316" s="107" t="str">
        <f t="shared" si="11"/>
        <v/>
      </c>
      <c r="BG316" s="94" t="str">
        <f t="shared" si="46"/>
        <v/>
      </c>
      <c r="BH316" s="64" t="str">
        <f t="shared" si="12"/>
        <v>#N/A</v>
      </c>
      <c r="BI316" s="64" t="str">
        <f t="shared" si="13"/>
        <v/>
      </c>
      <c r="BJ316" s="123" t="str">
        <f t="shared" si="14"/>
        <v>#N/A</v>
      </c>
      <c r="BK316" s="64" t="str">
        <f t="shared" si="50"/>
        <v>YES</v>
      </c>
      <c r="BL316" s="64" t="str">
        <f t="shared" si="16"/>
        <v>YES</v>
      </c>
      <c r="BM316" s="64" t="str">
        <f t="shared" si="17"/>
        <v>YES</v>
      </c>
      <c r="BN316" s="124" t="str">
        <f t="shared" si="18"/>
        <v/>
      </c>
      <c r="BO316" s="91" t="str">
        <f t="shared" si="19"/>
        <v/>
      </c>
      <c r="BP316" s="91" t="str">
        <f t="shared" si="20"/>
        <v>#N/A</v>
      </c>
      <c r="BQ316" s="91" t="str">
        <f t="shared" si="21"/>
        <v/>
      </c>
      <c r="BR316" s="93" t="str">
        <f t="shared" si="22"/>
        <v/>
      </c>
      <c r="BS316" s="90" t="str">
        <f t="shared" si="23"/>
        <v/>
      </c>
      <c r="BT316" s="93" t="str">
        <f t="shared" si="24"/>
        <v>NA</v>
      </c>
      <c r="BU316" s="125" t="str">
        <f t="shared" si="25"/>
        <v>#N/A</v>
      </c>
      <c r="BV316" s="93" t="str">
        <f t="shared" si="26"/>
        <v/>
      </c>
      <c r="BW316" s="93" t="str">
        <f t="shared" si="27"/>
        <v/>
      </c>
      <c r="BX316" s="93" t="str">
        <f t="shared" si="28"/>
        <v>NA</v>
      </c>
      <c r="BY316" s="95" t="str">
        <f t="shared" si="29"/>
        <v>#N/A</v>
      </c>
      <c r="BZ316" s="93" t="str">
        <f t="shared" si="30"/>
        <v/>
      </c>
      <c r="CA316" s="93" t="str">
        <f t="shared" si="31"/>
        <v/>
      </c>
      <c r="CB316" s="93" t="str">
        <f t="shared" si="32"/>
        <v>NA</v>
      </c>
      <c r="CC316" s="96" t="str">
        <f t="shared" si="33"/>
        <v>#N/A</v>
      </c>
      <c r="CD316" s="93" t="str">
        <f t="shared" si="34"/>
        <v/>
      </c>
      <c r="CE316" s="93" t="str">
        <f t="shared" si="35"/>
        <v/>
      </c>
      <c r="CF316" s="93" t="str">
        <f t="shared" si="36"/>
        <v>NA</v>
      </c>
      <c r="CG316" s="97" t="str">
        <f t="shared" si="37"/>
        <v>#N/A</v>
      </c>
      <c r="CH316" s="98" t="str">
        <f t="shared" si="38"/>
        <v>#N/A</v>
      </c>
      <c r="CI316" s="99" t="str">
        <f t="shared" si="39"/>
        <v>#N/A</v>
      </c>
      <c r="CJ316" s="126" t="str">
        <f t="shared" si="40"/>
        <v>ERROR: check cell</v>
      </c>
      <c r="CK316" s="126"/>
      <c r="CL316" s="127" t="str">
        <f t="shared" si="41"/>
        <v>#DIV/0!</v>
      </c>
      <c r="CM316" s="128" t="str">
        <f t="shared" si="42"/>
        <v>#DIV/0!</v>
      </c>
      <c r="CN316" s="128">
        <f t="shared" si="43"/>
        <v>4</v>
      </c>
      <c r="CO316" s="129">
        <f t="shared" si="44"/>
        <v>4</v>
      </c>
      <c r="CP316" s="129" t="str">
        <f>IFS(C316=Preferences!B$13,B316,B316=Preferences!B$13,C316)</f>
        <v>#N/A</v>
      </c>
    </row>
    <row r="317" ht="13.5" customHeight="1">
      <c r="A317" s="63" t="str">
        <f t="shared" si="45"/>
        <v/>
      </c>
      <c r="B317" s="64"/>
      <c r="C317" s="64"/>
      <c r="D317" s="64"/>
      <c r="E317" s="65"/>
      <c r="F317" s="65"/>
      <c r="G317" s="65"/>
      <c r="H317" s="66"/>
      <c r="I317" s="66"/>
      <c r="J317" s="67"/>
      <c r="K317" s="68"/>
      <c r="L317" s="104"/>
      <c r="M317" s="104"/>
      <c r="N317" s="104"/>
      <c r="O317" s="104"/>
      <c r="P317" s="107" t="str">
        <f t="shared" si="1"/>
        <v/>
      </c>
      <c r="Q317" s="108" t="str">
        <f>IFERROR(IF(AND(Preferences!B$3="Manual",OR(AX317/AW317&gt;G317/F317,BD317="Serious",BD317="Very serious")),"Assess imprecision",IFS(ISBLANK(E317),"",AND(Preferences!B$3="Automatic", G317/F317&gt;=30),"Extremely serious",AND(H317&lt;=$D$1*-1,J317&lt;0,G317/F317&lt;3),"Not serious",AND(H317&lt;=$D$1*-1,J317&lt;0,G317/F317&gt;=3),"Very serious",AND(H317&gt;=$D$1,I317&gt;0,G317/F317&lt;3),"Not serious",AND(H317&gt;=$D$1,I317&gt;0,G317/F317&gt;=3),"Very serious",AND(H317&lt;=$D$1*-1,J317&gt;0,I317&gt;$D$2*-1,G317/F317&lt;3),"Serious", AND(H317&lt;=$D$1*-1,J317&gt;0,I317&lt;$D$2*-1,G317/F317&lt;3),"Very serious", AND(H317&gt;=$D$1,I317&lt;0,J317&lt;$D$2,G317/F317&lt;3),"Serious",AND(H317&gt;=$D$1,I317&lt;0,J317&gt;$D$2,G317/F317&lt;3),"Very serious", AND(H317&lt;=$D$1*-1,J317&gt;0,I317&gt;$D$2*-1,G317/F317&gt;=3),"Very serious", AND(H317&lt;=$D$1*-1,J317&gt;0,I317&lt;$D$2*-1,G317/F317&gt;=3),"Very serious", AND(H317&gt;=$D$1,I317&lt;0,J317&lt;$D$2,G317/F317&gt;=3),"Very serious", AND(H317&gt;=$D$1,I317&lt;0,J317&gt;$D$2,G317/F317&gt;=3),"Very serious", AND(H317&gt;$D$1*-1,H317&lt;$D$1,I317&gt;$D$1*-1,J317&lt;$D$1,G317/F317&lt;3),"Not serious", AND(H317&gt;$D$1*-1,H317&lt;$D$1,OR(I317&lt;=$D$1*-1,J317&gt;=$D$1),I317&gt;$D$2*-1,J317&lt;$D$2,G317/F317&lt;3),"Serious", AND(H317&gt;$D$1*-1,H317&lt;$D$1,OR(I317&lt;=$D$2*-1,J317&gt;=$D$2),G317/F317&lt;3),"Very serious", AND(H317&gt;$D$1*-1,H317&lt;$D$1,I317&gt;$D$1*-1,J317&lt;$D$1,G317/F317&gt;=3),"Very serious", AND(H317&gt;$D$1*-1,H317&lt;$D$1,OR(I317&lt;=$D$1*-1,J317&gt;=$D$1),I317&gt;$D$2*-1,J317&lt;$D$2,G317/F317&gt;=3),"Very serious", AND(H317&gt;$D$1*-1,H317&lt;$D$1,OR(I317&lt;=$D$2*-1,J317&gt;=$D$2),G317/F317&gt;=3),"Very serious")),"")</f>
        <v/>
      </c>
      <c r="R317" s="109" t="str">
        <f t="shared" si="47"/>
        <v/>
      </c>
      <c r="S317" s="64"/>
      <c r="T317" s="72"/>
      <c r="U317" s="72"/>
      <c r="V317" s="72"/>
      <c r="W317" s="73"/>
      <c r="X317" s="73"/>
      <c r="Y317" s="74"/>
      <c r="Z317" s="113" t="str">
        <f t="array" ref="Z317">INDEX($A$1:$C$500, MATCH(1,($B:$B=$B317)*($C:$C=$AB317),0),1)</f>
        <v/>
      </c>
      <c r="AA317" s="113" t="str">
        <f t="array" ref="AA317">INDEX($A$1:$C$500, MATCH(1,($B:$B=$AB317)*($C:$C=$B317),0),1)</f>
        <v/>
      </c>
      <c r="AB317" s="111"/>
      <c r="AC317" s="114" t="str">
        <f t="shared" si="2"/>
        <v/>
      </c>
      <c r="AD317" s="115" t="str">
        <f t="shared" si="3"/>
        <v/>
      </c>
      <c r="AE317" s="116" t="str">
        <f t="array" ref="AE317">INDEX($A$1:$C$500, MATCH(1,($B:$B=$AB317)*($C:$C=$AG317),0),1)</f>
        <v/>
      </c>
      <c r="AF317" s="116" t="str">
        <f t="array" ref="AF317">INDEX($A$1:$C$500, MATCH(1,($B:$B=$AG317)*($C:$C=$AB317),0),1)</f>
        <v/>
      </c>
      <c r="AG317" s="72"/>
      <c r="AH317" s="114" t="str">
        <f t="shared" si="4"/>
        <v/>
      </c>
      <c r="AI317" s="115" t="str">
        <f t="shared" si="5"/>
        <v/>
      </c>
      <c r="AJ317" s="116" t="str">
        <f t="array" ref="AJ317">INDEX($A$1:$C$500, MATCH(1,($B:$B=$C317)*($C:$C=$AG317),0),1)</f>
        <v/>
      </c>
      <c r="AK317" s="116" t="str">
        <f t="array" ref="AK317">INDEX($A$1:$C$500, MATCH(1,($B:$B=$AG317)*($C:$C=$C317),0),1)</f>
        <v/>
      </c>
      <c r="AL317" s="116" t="str">
        <f t="array" ref="AL317">INDEX($A$1:$C$500, MATCH(1,($B:$B=$C317)*($C:$C=$AB317),0),1)</f>
        <v/>
      </c>
      <c r="AM317" s="116" t="str">
        <f t="array" ref="AM317">INDEX($A$1:$C$500, MATCH(1,($B:$B=$AB317)*($C:$C=$C317),0),1)</f>
        <v/>
      </c>
      <c r="AN317" s="114" t="str">
        <f t="array" ref="AN317">IFS(ISNUMBER(AJ317),AJ317,ISNUMBER(AK317),AK317,ISNUMBER(AL317),AL317,ISNUMBER(AM317),AM317)</f>
        <v>#N/A</v>
      </c>
      <c r="AO317" s="115" t="str">
        <f t="shared" si="6"/>
        <v/>
      </c>
      <c r="AP317" s="115" t="str">
        <f t="shared" si="7"/>
        <v/>
      </c>
      <c r="AQ317" s="111"/>
      <c r="AR317" s="109" t="str">
        <f t="shared" si="8"/>
        <v/>
      </c>
      <c r="AS317" s="72" t="str">
        <f>IFERROR(IF(AND(Preferences!B$3="Manual",OR(AX317/AW317&gt;V317/U317,BD317="Serious",BD317="Very serious")),"Assess imprecision",IFERROR(IFS(AND(Preferences!B$3="Automatic",V317/U317&gt;=30),"Extremely serious",AND(W317&lt;=$D$1*-1,Y317&lt;0,V317/U317&lt;3),"Not Serious",AND(W317&lt;=$D$1*-1,Y317&lt;0,V317/U317&gt;=3),"Very serious",AND(W317&gt;=$D$1,X317&gt;0,V317/U317&lt;3),"Not Serious",AND(W317&gt;=$D$1,X317&gt;0,V317/U317&gt;=3),"Very serious",AND(W317&lt;=$D$1*-1,Y317&gt;0,X317&gt;$D$2*-1,V317/U317&lt;3),"Serious", AND(W317&lt;=$D$1*-1,Y317&gt;0,X317&lt;$D$2*-1,V317/U317&lt;3),"Very serious", AND(W317&gt;=$D$1,X317&lt;0,Y317&lt;$D$2,V317/U317&lt;3),"Serious",AND(W317&gt;=$D$1,X317&lt;0,Y317&gt;$D$2,V317/U317&lt;3),"Very serious", AND(W317&lt;=$D$1*-1,Y317&gt;0,X317&gt;$D$2*-1,V317/U317&gt;=3),"Very serious", AND(W317&lt;=$D$1*-1,Y317&gt;0,X317&lt;$D$2*-1,V317/U317&gt;=3),"Very serious", AND(W317&gt;=$D$1,X317&lt;0,Y317&lt;$D$2,V317/U317&gt;=3),"Very serious", AND(W317&gt;=$D$1,X317&lt;0,Y317&gt;$D$2,V317/U317&gt;=3),"Very serious", AND(W317&gt;$D$1*-1,W317&lt;$D$1,X317&gt;$D$1*-1,Y317&lt;$D$1,V317/U317&lt;3),"Not Serious", AND(W317&gt;$D$1*-1,W317&lt;$D$1,OR(X317&lt;=$D$1*-1,Y317&gt;=$D$1),X317&gt;$D$2*-1,Y317&lt;$D$2,V317/U317&lt;3),"Serious", AND(W317&gt;$D$1*-1,W317&lt;$D$1,OR(X317&lt;=$D$2*-1,Y317&gt;=$D$2),V317/U317&lt;3),"Very serious", AND(W317&gt;$D$1*-1,W317&lt;$D$1,X317&gt;$D$1*-1,Y317&lt;$D$1,V317/U317&gt;=3),"Very serious", AND(W317&gt;$D$1*-1,W317&lt;$D$1,OR(X317&lt;=$D$1*-1,Y317&gt;=$D$1),X317&gt;$D$2*-1,Y317&lt;$D$2,V317/U317&gt;=3),"Very serious", AND(W317&gt;$D$1*-1,W317&lt;$D$1,OR(X317&lt;=$D$2*-1,Y317&gt;=$D$2),V317/U317&gt;=3),"Very serious"),"")),"")</f>
        <v/>
      </c>
      <c r="AT317" s="109" t="str">
        <f t="shared" si="9"/>
        <v/>
      </c>
      <c r="AU317" s="64"/>
      <c r="AV317" s="83"/>
      <c r="AW317" s="83"/>
      <c r="AX317" s="83"/>
      <c r="AY317" s="83"/>
      <c r="AZ317" s="83"/>
      <c r="BA317" s="85"/>
      <c r="BB317" s="86" t="str">
        <f>IF(Preferences!B$9="Manual","",IFS(ISBLANK(B317),"",AND(ISNUMBER(E317)=TRUE,ISNUMBER(T317)=FALSE),"Direct", AND(ISNUMBER(E317)=FALSE,ISNUMBER(T317)=TRUE),"Indirect", CN317=4,"Direct",AND(CL317=FALSE, CM317=TRUE,CN317-CO317&gt;-1),"Direct", AND(CL317=FALSE,CM317=TRUE, CN317-CO317&lt;0),"Check algorithm in appendix 2", AND(CL317=TRUE, CM317=FALSE,CN317-CO317&gt;0),"Check algorithm in appendix 2", AND(CL317=TRUE, CM317=FALSE,CN317-CO317=0),"Indirect", AND(CL317=TRUE, CM317=FALSE,CN317-CO317&lt;0),"Indirect", AND(CL317=FALSE,CM317=FALSE,CN317-CO317&gt;-1),"Direct", AND(CL317=FALSE,CM317=FALSE,CN317-CO317&lt;0),"Check algorithm in appendix 2", AND(CL317=TRUE,CM317=TRUE,CN317-CO317&gt;-1),"Direct", AND(CL317=TRUE,CM317=TRUE,CN317-CO317&lt;0),"Check algorithm in appendix 2"))</f>
        <v/>
      </c>
      <c r="BC317" s="120" t="str">
        <f t="shared" si="10"/>
        <v/>
      </c>
      <c r="BD317" s="140"/>
      <c r="BE317" s="122" t="str">
        <f>IF(Preferences!B$3="Manual","", IFERROR(IFS(AND(Preferences!B$3="Automatic",AX317/AW317&gt;=30),"Extremely serious",AND(AY317&lt;=$D$1*-1,BA317&lt;0,AX317/AW317&lt;3),"Not Serious",AND(AY317&lt;=$D$1*-1,BA317&lt;0,AX317/AW317&gt;=3),"Very serious",AND(AY317&gt;=$D$1,AZ317&gt;0,AX317/AW317&lt;3),"Not Serious",AND(AY317&gt;=$D$1,AZ317&gt;0,AX317/AW317&gt;=3),"Very serious",AND(AY317&lt;=$D$1*-1,BA317&gt;0,AZ317&gt;$D$2*-1,AX317/AW317&lt;3),"Serious", AND(AY317&lt;=$D$1*-1,BA317&gt;0,AZ317&lt;$D$2*-1,AX317/AW317&lt;3),"Very serious", AND(AY317&gt;=$D$1,AZ317&lt;0,BA317&lt;$D$2,AX317/AW317&lt;3),"Serious",AND(AY317&gt;=$D$1,AZ317&lt;0,BA317&gt;$D$2,AX317/AW317&lt;3),"Very serious", AND(AY317&lt;=$D$1*-1,BA317&gt;0,AZ317&gt;$D$2*-1,AX317/AW317&gt;=3),"Very serious", AND(AY317&lt;=$D$1*-1,BA317&gt;0,AZ317&lt;$D$2*-1,AX317/AW317&gt;=3),"Very serious", AND(AY317&gt;=$D$1,AZ317&lt;0,BA317&lt;$D$2,AX317/AW317&gt;=3),"Very serious", AND(AY317&gt;=$D$1,AZ317&lt;0,BA317&gt;$D$2,AX317/AW317&gt;=3),"Very serious", AND(AY317&gt;$D$1*-1,AY317&lt;$D$1,AZ317&gt;$D$1*-1,BA317&lt;$D$1,AX317/AW317&lt;3),"Not Serious", AND(AY317&gt;$D$1*-1,AY317&lt;$D$1,OR(AZ317&lt;=$D$1*-1,BA317&gt;=$D$1),AZ317&gt;$D$2*-1,BA317&lt;$D$2,AX317/AW317&lt;3),"Serious", AND(AY317&gt;$D$1*-1,AY317&lt;$D$1,OR(AZ317&lt;=$D$2*-1,BA317&gt;=$D$2),AX317/AW317&lt;3),"Very serious", AND(AY317&gt;$D$1*-1,AY317&lt;$D$1,AZ317&gt;$D$1*-1,BA317&lt;$D$1,AX317/AW317&gt;=3),"Very serious", AND(AY317&gt;$D$1*-1,AY317&lt;$D$1,OR(AZ317&lt;=$D$1*-1,BA317&gt;=$D$1),AZ317&gt;$D$2*-1,BA317&lt;$D$2,AX317/AW317&gt;=3),"Very serious", AND(AY317&gt;$D$1*-1,AY317&lt;$D$1,OR(AZ317&lt;=$D$2*-1,BA317&gt;=$D$2),AX317/AW317&gt;=3),"Very serious"),""))</f>
        <v/>
      </c>
      <c r="BF317" s="107" t="str">
        <f t="shared" si="11"/>
        <v/>
      </c>
      <c r="BG317" s="94" t="str">
        <f t="shared" si="46"/>
        <v/>
      </c>
      <c r="BH317" s="64" t="str">
        <f t="shared" si="12"/>
        <v>#N/A</v>
      </c>
      <c r="BI317" s="64" t="str">
        <f t="shared" si="13"/>
        <v/>
      </c>
      <c r="BJ317" s="123" t="str">
        <f t="shared" si="14"/>
        <v>#N/A</v>
      </c>
      <c r="BK317" s="64" t="str">
        <f t="shared" si="50"/>
        <v>YES</v>
      </c>
      <c r="BL317" s="64" t="str">
        <f t="shared" si="16"/>
        <v>YES</v>
      </c>
      <c r="BM317" s="64" t="str">
        <f t="shared" si="17"/>
        <v>YES</v>
      </c>
      <c r="BN317" s="124" t="str">
        <f t="shared" si="18"/>
        <v/>
      </c>
      <c r="BO317" s="91" t="str">
        <f t="shared" si="19"/>
        <v/>
      </c>
      <c r="BP317" s="91" t="str">
        <f t="shared" si="20"/>
        <v>#N/A</v>
      </c>
      <c r="BQ317" s="91" t="str">
        <f t="shared" si="21"/>
        <v/>
      </c>
      <c r="BR317" s="93" t="str">
        <f t="shared" si="22"/>
        <v/>
      </c>
      <c r="BS317" s="90" t="str">
        <f t="shared" si="23"/>
        <v/>
      </c>
      <c r="BT317" s="93" t="str">
        <f t="shared" si="24"/>
        <v>NA</v>
      </c>
      <c r="BU317" s="125" t="str">
        <f t="shared" si="25"/>
        <v>#N/A</v>
      </c>
      <c r="BV317" s="93" t="str">
        <f t="shared" si="26"/>
        <v/>
      </c>
      <c r="BW317" s="93" t="str">
        <f t="shared" si="27"/>
        <v/>
      </c>
      <c r="BX317" s="93" t="str">
        <f t="shared" si="28"/>
        <v>NA</v>
      </c>
      <c r="BY317" s="95" t="str">
        <f t="shared" si="29"/>
        <v>#N/A</v>
      </c>
      <c r="BZ317" s="93" t="str">
        <f t="shared" si="30"/>
        <v/>
      </c>
      <c r="CA317" s="93" t="str">
        <f t="shared" si="31"/>
        <v/>
      </c>
      <c r="CB317" s="93" t="str">
        <f t="shared" si="32"/>
        <v>NA</v>
      </c>
      <c r="CC317" s="96" t="str">
        <f t="shared" si="33"/>
        <v>#N/A</v>
      </c>
      <c r="CD317" s="93" t="str">
        <f t="shared" si="34"/>
        <v/>
      </c>
      <c r="CE317" s="93" t="str">
        <f t="shared" si="35"/>
        <v/>
      </c>
      <c r="CF317" s="93" t="str">
        <f t="shared" si="36"/>
        <v>NA</v>
      </c>
      <c r="CG317" s="97" t="str">
        <f t="shared" si="37"/>
        <v>#N/A</v>
      </c>
      <c r="CH317" s="98" t="str">
        <f t="shared" si="38"/>
        <v>#N/A</v>
      </c>
      <c r="CI317" s="99" t="str">
        <f t="shared" si="39"/>
        <v>#N/A</v>
      </c>
      <c r="CJ317" s="126" t="str">
        <f t="shared" si="40"/>
        <v>ERROR: check cell</v>
      </c>
      <c r="CK317" s="126"/>
      <c r="CL317" s="127" t="str">
        <f t="shared" si="41"/>
        <v>#DIV/0!</v>
      </c>
      <c r="CM317" s="128" t="str">
        <f t="shared" si="42"/>
        <v>#DIV/0!</v>
      </c>
      <c r="CN317" s="128">
        <f t="shared" si="43"/>
        <v>4</v>
      </c>
      <c r="CO317" s="129">
        <f t="shared" si="44"/>
        <v>4</v>
      </c>
      <c r="CP317" s="129" t="str">
        <f>IFS(C317=Preferences!B$13,B317,B317=Preferences!B$13,C317)</f>
        <v>#N/A</v>
      </c>
    </row>
    <row r="318" ht="13.5" customHeight="1">
      <c r="A318" s="63" t="str">
        <f t="shared" si="45"/>
        <v/>
      </c>
      <c r="B318" s="64"/>
      <c r="C318" s="64"/>
      <c r="D318" s="64"/>
      <c r="E318" s="65"/>
      <c r="F318" s="65"/>
      <c r="G318" s="65"/>
      <c r="H318" s="66"/>
      <c r="I318" s="66"/>
      <c r="J318" s="67"/>
      <c r="K318" s="68"/>
      <c r="L318" s="104"/>
      <c r="M318" s="104"/>
      <c r="N318" s="104"/>
      <c r="O318" s="104"/>
      <c r="P318" s="107" t="str">
        <f t="shared" si="1"/>
        <v/>
      </c>
      <c r="Q318" s="108" t="str">
        <f>IFERROR(IF(AND(Preferences!B$3="Manual",OR(AX318/AW318&gt;G318/F318,BD318="Serious",BD318="Very serious")),"Assess imprecision",IFS(ISBLANK(E318),"",AND(Preferences!B$3="Automatic", G318/F318&gt;=30),"Extremely serious",AND(H318&lt;=$D$1*-1,J318&lt;0,G318/F318&lt;3),"Not serious",AND(H318&lt;=$D$1*-1,J318&lt;0,G318/F318&gt;=3),"Very serious",AND(H318&gt;=$D$1,I318&gt;0,G318/F318&lt;3),"Not serious",AND(H318&gt;=$D$1,I318&gt;0,G318/F318&gt;=3),"Very serious",AND(H318&lt;=$D$1*-1,J318&gt;0,I318&gt;$D$2*-1,G318/F318&lt;3),"Serious", AND(H318&lt;=$D$1*-1,J318&gt;0,I318&lt;$D$2*-1,G318/F318&lt;3),"Very serious", AND(H318&gt;=$D$1,I318&lt;0,J318&lt;$D$2,G318/F318&lt;3),"Serious",AND(H318&gt;=$D$1,I318&lt;0,J318&gt;$D$2,G318/F318&lt;3),"Very serious", AND(H318&lt;=$D$1*-1,J318&gt;0,I318&gt;$D$2*-1,G318/F318&gt;=3),"Very serious", AND(H318&lt;=$D$1*-1,J318&gt;0,I318&lt;$D$2*-1,G318/F318&gt;=3),"Very serious", AND(H318&gt;=$D$1,I318&lt;0,J318&lt;$D$2,G318/F318&gt;=3),"Very serious", AND(H318&gt;=$D$1,I318&lt;0,J318&gt;$D$2,G318/F318&gt;=3),"Very serious", AND(H318&gt;$D$1*-1,H318&lt;$D$1,I318&gt;$D$1*-1,J318&lt;$D$1,G318/F318&lt;3),"Not serious", AND(H318&gt;$D$1*-1,H318&lt;$D$1,OR(I318&lt;=$D$1*-1,J318&gt;=$D$1),I318&gt;$D$2*-1,J318&lt;$D$2,G318/F318&lt;3),"Serious", AND(H318&gt;$D$1*-1,H318&lt;$D$1,OR(I318&lt;=$D$2*-1,J318&gt;=$D$2),G318/F318&lt;3),"Very serious", AND(H318&gt;$D$1*-1,H318&lt;$D$1,I318&gt;$D$1*-1,J318&lt;$D$1,G318/F318&gt;=3),"Very serious", AND(H318&gt;$D$1*-1,H318&lt;$D$1,OR(I318&lt;=$D$1*-1,J318&gt;=$D$1),I318&gt;$D$2*-1,J318&lt;$D$2,G318/F318&gt;=3),"Very serious", AND(H318&gt;$D$1*-1,H318&lt;$D$1,OR(I318&lt;=$D$2*-1,J318&gt;=$D$2),G318/F318&gt;=3),"Very serious")),"")</f>
        <v/>
      </c>
      <c r="R318" s="109" t="str">
        <f t="shared" si="47"/>
        <v/>
      </c>
      <c r="S318" s="64"/>
      <c r="T318" s="72"/>
      <c r="U318" s="72"/>
      <c r="V318" s="72"/>
      <c r="W318" s="73"/>
      <c r="X318" s="73"/>
      <c r="Y318" s="74"/>
      <c r="Z318" s="113" t="str">
        <f t="array" ref="Z318">INDEX($A$1:$C$500, MATCH(1,($B:$B=$B318)*($C:$C=$AB318),0),1)</f>
        <v/>
      </c>
      <c r="AA318" s="113" t="str">
        <f t="array" ref="AA318">INDEX($A$1:$C$500, MATCH(1,($B:$B=$AB318)*($C:$C=$B318),0),1)</f>
        <v/>
      </c>
      <c r="AB318" s="111"/>
      <c r="AC318" s="114" t="str">
        <f t="shared" si="2"/>
        <v/>
      </c>
      <c r="AD318" s="115" t="str">
        <f t="shared" si="3"/>
        <v/>
      </c>
      <c r="AE318" s="116" t="str">
        <f t="array" ref="AE318">INDEX($A$1:$C$500, MATCH(1,($B:$B=$AB318)*($C:$C=$AG318),0),1)</f>
        <v/>
      </c>
      <c r="AF318" s="116" t="str">
        <f t="array" ref="AF318">INDEX($A$1:$C$500, MATCH(1,($B:$B=$AG318)*($C:$C=$AB318),0),1)</f>
        <v/>
      </c>
      <c r="AG318" s="72"/>
      <c r="AH318" s="114" t="str">
        <f t="shared" si="4"/>
        <v/>
      </c>
      <c r="AI318" s="115" t="str">
        <f t="shared" si="5"/>
        <v/>
      </c>
      <c r="AJ318" s="116" t="str">
        <f t="array" ref="AJ318">INDEX($A$1:$C$500, MATCH(1,($B:$B=$C318)*($C:$C=$AG318),0),1)</f>
        <v/>
      </c>
      <c r="AK318" s="116" t="str">
        <f t="array" ref="AK318">INDEX($A$1:$C$500, MATCH(1,($B:$B=$AG318)*($C:$C=$C318),0),1)</f>
        <v/>
      </c>
      <c r="AL318" s="116" t="str">
        <f t="array" ref="AL318">INDEX($A$1:$C$500, MATCH(1,($B:$B=$C318)*($C:$C=$AB318),0),1)</f>
        <v/>
      </c>
      <c r="AM318" s="116" t="str">
        <f t="array" ref="AM318">INDEX($A$1:$C$500, MATCH(1,($B:$B=$AB318)*($C:$C=$C318),0),1)</f>
        <v/>
      </c>
      <c r="AN318" s="114" t="str">
        <f t="array" ref="AN318">IFS(ISNUMBER(AJ318),AJ318,ISNUMBER(AK318),AK318,ISNUMBER(AL318),AL318,ISNUMBER(AM318),AM318)</f>
        <v>#N/A</v>
      </c>
      <c r="AO318" s="115" t="str">
        <f t="shared" si="6"/>
        <v/>
      </c>
      <c r="AP318" s="115" t="str">
        <f t="shared" si="7"/>
        <v/>
      </c>
      <c r="AQ318" s="111"/>
      <c r="AR318" s="109" t="str">
        <f t="shared" si="8"/>
        <v/>
      </c>
      <c r="AS318" s="72" t="str">
        <f>IFERROR(IF(AND(Preferences!B$3="Manual",OR(AX318/AW318&gt;V318/U318,BD318="Serious",BD318="Very serious")),"Assess imprecision",IFERROR(IFS(AND(Preferences!B$3="Automatic",V318/U318&gt;=30),"Extremely serious",AND(W318&lt;=$D$1*-1,Y318&lt;0,V318/U318&lt;3),"Not Serious",AND(W318&lt;=$D$1*-1,Y318&lt;0,V318/U318&gt;=3),"Very serious",AND(W318&gt;=$D$1,X318&gt;0,V318/U318&lt;3),"Not Serious",AND(W318&gt;=$D$1,X318&gt;0,V318/U318&gt;=3),"Very serious",AND(W318&lt;=$D$1*-1,Y318&gt;0,X318&gt;$D$2*-1,V318/U318&lt;3),"Serious", AND(W318&lt;=$D$1*-1,Y318&gt;0,X318&lt;$D$2*-1,V318/U318&lt;3),"Very serious", AND(W318&gt;=$D$1,X318&lt;0,Y318&lt;$D$2,V318/U318&lt;3),"Serious",AND(W318&gt;=$D$1,X318&lt;0,Y318&gt;$D$2,V318/U318&lt;3),"Very serious", AND(W318&lt;=$D$1*-1,Y318&gt;0,X318&gt;$D$2*-1,V318/U318&gt;=3),"Very serious", AND(W318&lt;=$D$1*-1,Y318&gt;0,X318&lt;$D$2*-1,V318/U318&gt;=3),"Very serious", AND(W318&gt;=$D$1,X318&lt;0,Y318&lt;$D$2,V318/U318&gt;=3),"Very serious", AND(W318&gt;=$D$1,X318&lt;0,Y318&gt;$D$2,V318/U318&gt;=3),"Very serious", AND(W318&gt;$D$1*-1,W318&lt;$D$1,X318&gt;$D$1*-1,Y318&lt;$D$1,V318/U318&lt;3),"Not Serious", AND(W318&gt;$D$1*-1,W318&lt;$D$1,OR(X318&lt;=$D$1*-1,Y318&gt;=$D$1),X318&gt;$D$2*-1,Y318&lt;$D$2,V318/U318&lt;3),"Serious", AND(W318&gt;$D$1*-1,W318&lt;$D$1,OR(X318&lt;=$D$2*-1,Y318&gt;=$D$2),V318/U318&lt;3),"Very serious", AND(W318&gt;$D$1*-1,W318&lt;$D$1,X318&gt;$D$1*-1,Y318&lt;$D$1,V318/U318&gt;=3),"Very serious", AND(W318&gt;$D$1*-1,W318&lt;$D$1,OR(X318&lt;=$D$1*-1,Y318&gt;=$D$1),X318&gt;$D$2*-1,Y318&lt;$D$2,V318/U318&gt;=3),"Very serious", AND(W318&gt;$D$1*-1,W318&lt;$D$1,OR(X318&lt;=$D$2*-1,Y318&gt;=$D$2),V318/U318&gt;=3),"Very serious"),"")),"")</f>
        <v/>
      </c>
      <c r="AT318" s="109" t="str">
        <f t="shared" si="9"/>
        <v/>
      </c>
      <c r="AU318" s="64"/>
      <c r="AV318" s="83"/>
      <c r="AW318" s="83"/>
      <c r="AX318" s="83"/>
      <c r="AY318" s="83"/>
      <c r="AZ318" s="83"/>
      <c r="BA318" s="85"/>
      <c r="BB318" s="86" t="str">
        <f>IF(Preferences!B$9="Manual","",IFS(ISBLANK(B318),"",AND(ISNUMBER(E318)=TRUE,ISNUMBER(T318)=FALSE),"Direct", AND(ISNUMBER(E318)=FALSE,ISNUMBER(T318)=TRUE),"Indirect", CN318=4,"Direct",AND(CL318=FALSE, CM318=TRUE,CN318-CO318&gt;-1),"Direct", AND(CL318=FALSE,CM318=TRUE, CN318-CO318&lt;0),"Check algorithm in appendix 2", AND(CL318=TRUE, CM318=FALSE,CN318-CO318&gt;0),"Check algorithm in appendix 2", AND(CL318=TRUE, CM318=FALSE,CN318-CO318=0),"Indirect", AND(CL318=TRUE, CM318=FALSE,CN318-CO318&lt;0),"Indirect", AND(CL318=FALSE,CM318=FALSE,CN318-CO318&gt;-1),"Direct", AND(CL318=FALSE,CM318=FALSE,CN318-CO318&lt;0),"Check algorithm in appendix 2", AND(CL318=TRUE,CM318=TRUE,CN318-CO318&gt;-1),"Direct", AND(CL318=TRUE,CM318=TRUE,CN318-CO318&lt;0),"Check algorithm in appendix 2"))</f>
        <v/>
      </c>
      <c r="BC318" s="120" t="str">
        <f t="shared" si="10"/>
        <v/>
      </c>
      <c r="BD318" s="140"/>
      <c r="BE318" s="122" t="str">
        <f>IF(Preferences!B$3="Manual","", IFERROR(IFS(AND(Preferences!B$3="Automatic",AX318/AW318&gt;=30),"Extremely serious",AND(AY318&lt;=$D$1*-1,BA318&lt;0,AX318/AW318&lt;3),"Not Serious",AND(AY318&lt;=$D$1*-1,BA318&lt;0,AX318/AW318&gt;=3),"Very serious",AND(AY318&gt;=$D$1,AZ318&gt;0,AX318/AW318&lt;3),"Not Serious",AND(AY318&gt;=$D$1,AZ318&gt;0,AX318/AW318&gt;=3),"Very serious",AND(AY318&lt;=$D$1*-1,BA318&gt;0,AZ318&gt;$D$2*-1,AX318/AW318&lt;3),"Serious", AND(AY318&lt;=$D$1*-1,BA318&gt;0,AZ318&lt;$D$2*-1,AX318/AW318&lt;3),"Very serious", AND(AY318&gt;=$D$1,AZ318&lt;0,BA318&lt;$D$2,AX318/AW318&lt;3),"Serious",AND(AY318&gt;=$D$1,AZ318&lt;0,BA318&gt;$D$2,AX318/AW318&lt;3),"Very serious", AND(AY318&lt;=$D$1*-1,BA318&gt;0,AZ318&gt;$D$2*-1,AX318/AW318&gt;=3),"Very serious", AND(AY318&lt;=$D$1*-1,BA318&gt;0,AZ318&lt;$D$2*-1,AX318/AW318&gt;=3),"Very serious", AND(AY318&gt;=$D$1,AZ318&lt;0,BA318&lt;$D$2,AX318/AW318&gt;=3),"Very serious", AND(AY318&gt;=$D$1,AZ318&lt;0,BA318&gt;$D$2,AX318/AW318&gt;=3),"Very serious", AND(AY318&gt;$D$1*-1,AY318&lt;$D$1,AZ318&gt;$D$1*-1,BA318&lt;$D$1,AX318/AW318&lt;3),"Not Serious", AND(AY318&gt;$D$1*-1,AY318&lt;$D$1,OR(AZ318&lt;=$D$1*-1,BA318&gt;=$D$1),AZ318&gt;$D$2*-1,BA318&lt;$D$2,AX318/AW318&lt;3),"Serious", AND(AY318&gt;$D$1*-1,AY318&lt;$D$1,OR(AZ318&lt;=$D$2*-1,BA318&gt;=$D$2),AX318/AW318&lt;3),"Very serious", AND(AY318&gt;$D$1*-1,AY318&lt;$D$1,AZ318&gt;$D$1*-1,BA318&lt;$D$1,AX318/AW318&gt;=3),"Very serious", AND(AY318&gt;$D$1*-1,AY318&lt;$D$1,OR(AZ318&lt;=$D$1*-1,BA318&gt;=$D$1),AZ318&gt;$D$2*-1,BA318&lt;$D$2,AX318/AW318&gt;=3),"Very serious", AND(AY318&gt;$D$1*-1,AY318&lt;$D$1,OR(AZ318&lt;=$D$2*-1,BA318&gt;=$D$2),AX318/AW318&gt;=3),"Very serious"),""))</f>
        <v/>
      </c>
      <c r="BF318" s="107" t="str">
        <f t="shared" si="11"/>
        <v/>
      </c>
      <c r="BG318" s="94" t="str">
        <f t="shared" si="46"/>
        <v/>
      </c>
      <c r="BH318" s="64" t="str">
        <f t="shared" si="12"/>
        <v>#N/A</v>
      </c>
      <c r="BI318" s="64" t="str">
        <f t="shared" si="13"/>
        <v/>
      </c>
      <c r="BJ318" s="123" t="str">
        <f t="shared" si="14"/>
        <v>#N/A</v>
      </c>
      <c r="BK318" s="64" t="str">
        <f t="shared" si="50"/>
        <v>YES</v>
      </c>
      <c r="BL318" s="64" t="str">
        <f t="shared" si="16"/>
        <v>YES</v>
      </c>
      <c r="BM318" s="64" t="str">
        <f t="shared" si="17"/>
        <v>YES</v>
      </c>
      <c r="BN318" s="124" t="str">
        <f t="shared" si="18"/>
        <v/>
      </c>
      <c r="BO318" s="91" t="str">
        <f t="shared" si="19"/>
        <v/>
      </c>
      <c r="BP318" s="91" t="str">
        <f t="shared" si="20"/>
        <v>#N/A</v>
      </c>
      <c r="BQ318" s="91" t="str">
        <f t="shared" si="21"/>
        <v/>
      </c>
      <c r="BR318" s="93" t="str">
        <f t="shared" si="22"/>
        <v/>
      </c>
      <c r="BS318" s="90" t="str">
        <f t="shared" si="23"/>
        <v/>
      </c>
      <c r="BT318" s="93" t="str">
        <f t="shared" si="24"/>
        <v>NA</v>
      </c>
      <c r="BU318" s="125" t="str">
        <f t="shared" si="25"/>
        <v>#N/A</v>
      </c>
      <c r="BV318" s="93" t="str">
        <f t="shared" si="26"/>
        <v/>
      </c>
      <c r="BW318" s="93" t="str">
        <f t="shared" si="27"/>
        <v/>
      </c>
      <c r="BX318" s="93" t="str">
        <f t="shared" si="28"/>
        <v>NA</v>
      </c>
      <c r="BY318" s="95" t="str">
        <f t="shared" si="29"/>
        <v>#N/A</v>
      </c>
      <c r="BZ318" s="93" t="str">
        <f t="shared" si="30"/>
        <v/>
      </c>
      <c r="CA318" s="93" t="str">
        <f t="shared" si="31"/>
        <v/>
      </c>
      <c r="CB318" s="93" t="str">
        <f t="shared" si="32"/>
        <v>NA</v>
      </c>
      <c r="CC318" s="96" t="str">
        <f t="shared" si="33"/>
        <v>#N/A</v>
      </c>
      <c r="CD318" s="93" t="str">
        <f t="shared" si="34"/>
        <v/>
      </c>
      <c r="CE318" s="93" t="str">
        <f t="shared" si="35"/>
        <v/>
      </c>
      <c r="CF318" s="93" t="str">
        <f t="shared" si="36"/>
        <v>NA</v>
      </c>
      <c r="CG318" s="97" t="str">
        <f t="shared" si="37"/>
        <v>#N/A</v>
      </c>
      <c r="CH318" s="98" t="str">
        <f t="shared" si="38"/>
        <v>#N/A</v>
      </c>
      <c r="CI318" s="99" t="str">
        <f t="shared" si="39"/>
        <v>#N/A</v>
      </c>
      <c r="CJ318" s="126" t="str">
        <f t="shared" si="40"/>
        <v>ERROR: check cell</v>
      </c>
      <c r="CK318" s="126"/>
      <c r="CL318" s="127" t="str">
        <f t="shared" si="41"/>
        <v>#DIV/0!</v>
      </c>
      <c r="CM318" s="128" t="str">
        <f t="shared" si="42"/>
        <v>#DIV/0!</v>
      </c>
      <c r="CN318" s="128">
        <f t="shared" si="43"/>
        <v>4</v>
      </c>
      <c r="CO318" s="129">
        <f t="shared" si="44"/>
        <v>4</v>
      </c>
      <c r="CP318" s="129" t="str">
        <f>IFS(C318=Preferences!B$13,B318,B318=Preferences!B$13,C318)</f>
        <v>#N/A</v>
      </c>
    </row>
    <row r="319" ht="13.5" customHeight="1">
      <c r="A319" s="63" t="str">
        <f t="shared" si="45"/>
        <v/>
      </c>
      <c r="B319" s="64"/>
      <c r="C319" s="64"/>
      <c r="D319" s="64"/>
      <c r="E319" s="65"/>
      <c r="F319" s="65"/>
      <c r="G319" s="65"/>
      <c r="H319" s="66"/>
      <c r="I319" s="66"/>
      <c r="J319" s="67"/>
      <c r="K319" s="68"/>
      <c r="L319" s="104"/>
      <c r="M319" s="104"/>
      <c r="N319" s="104"/>
      <c r="O319" s="104"/>
      <c r="P319" s="107" t="str">
        <f t="shared" si="1"/>
        <v/>
      </c>
      <c r="Q319" s="108" t="str">
        <f>IFERROR(IF(AND(Preferences!B$3="Manual",OR(AX319/AW319&gt;G319/F319,BD319="Serious",BD319="Very serious")),"Assess imprecision",IFS(ISBLANK(E319),"",AND(Preferences!B$3="Automatic", G319/F319&gt;=30),"Extremely serious",AND(H319&lt;=$D$1*-1,J319&lt;0,G319/F319&lt;3),"Not serious",AND(H319&lt;=$D$1*-1,J319&lt;0,G319/F319&gt;=3),"Very serious",AND(H319&gt;=$D$1,I319&gt;0,G319/F319&lt;3),"Not serious",AND(H319&gt;=$D$1,I319&gt;0,G319/F319&gt;=3),"Very serious",AND(H319&lt;=$D$1*-1,J319&gt;0,I319&gt;$D$2*-1,G319/F319&lt;3),"Serious", AND(H319&lt;=$D$1*-1,J319&gt;0,I319&lt;$D$2*-1,G319/F319&lt;3),"Very serious", AND(H319&gt;=$D$1,I319&lt;0,J319&lt;$D$2,G319/F319&lt;3),"Serious",AND(H319&gt;=$D$1,I319&lt;0,J319&gt;$D$2,G319/F319&lt;3),"Very serious", AND(H319&lt;=$D$1*-1,J319&gt;0,I319&gt;$D$2*-1,G319/F319&gt;=3),"Very serious", AND(H319&lt;=$D$1*-1,J319&gt;0,I319&lt;$D$2*-1,G319/F319&gt;=3),"Very serious", AND(H319&gt;=$D$1,I319&lt;0,J319&lt;$D$2,G319/F319&gt;=3),"Very serious", AND(H319&gt;=$D$1,I319&lt;0,J319&gt;$D$2,G319/F319&gt;=3),"Very serious", AND(H319&gt;$D$1*-1,H319&lt;$D$1,I319&gt;$D$1*-1,J319&lt;$D$1,G319/F319&lt;3),"Not serious", AND(H319&gt;$D$1*-1,H319&lt;$D$1,OR(I319&lt;=$D$1*-1,J319&gt;=$D$1),I319&gt;$D$2*-1,J319&lt;$D$2,G319/F319&lt;3),"Serious", AND(H319&gt;$D$1*-1,H319&lt;$D$1,OR(I319&lt;=$D$2*-1,J319&gt;=$D$2),G319/F319&lt;3),"Very serious", AND(H319&gt;$D$1*-1,H319&lt;$D$1,I319&gt;$D$1*-1,J319&lt;$D$1,G319/F319&gt;=3),"Very serious", AND(H319&gt;$D$1*-1,H319&lt;$D$1,OR(I319&lt;=$D$1*-1,J319&gt;=$D$1),I319&gt;$D$2*-1,J319&lt;$D$2,G319/F319&gt;=3),"Very serious", AND(H319&gt;$D$1*-1,H319&lt;$D$1,OR(I319&lt;=$D$2*-1,J319&gt;=$D$2),G319/F319&gt;=3),"Very serious")),"")</f>
        <v/>
      </c>
      <c r="R319" s="109" t="str">
        <f t="shared" si="47"/>
        <v/>
      </c>
      <c r="S319" s="64"/>
      <c r="T319" s="72"/>
      <c r="U319" s="72"/>
      <c r="V319" s="72"/>
      <c r="W319" s="73"/>
      <c r="X319" s="73"/>
      <c r="Y319" s="74"/>
      <c r="Z319" s="113" t="str">
        <f t="array" ref="Z319">INDEX($A$1:$C$500, MATCH(1,($B:$B=$B319)*($C:$C=$AB319),0),1)</f>
        <v/>
      </c>
      <c r="AA319" s="113" t="str">
        <f t="array" ref="AA319">INDEX($A$1:$C$500, MATCH(1,($B:$B=$AB319)*($C:$C=$B319),0),1)</f>
        <v/>
      </c>
      <c r="AB319" s="111"/>
      <c r="AC319" s="114" t="str">
        <f t="shared" si="2"/>
        <v/>
      </c>
      <c r="AD319" s="115" t="str">
        <f t="shared" si="3"/>
        <v/>
      </c>
      <c r="AE319" s="116" t="str">
        <f t="array" ref="AE319">INDEX($A$1:$C$500, MATCH(1,($B:$B=$AB319)*($C:$C=$AG319),0),1)</f>
        <v/>
      </c>
      <c r="AF319" s="116" t="str">
        <f t="array" ref="AF319">INDEX($A$1:$C$500, MATCH(1,($B:$B=$AG319)*($C:$C=$AB319),0),1)</f>
        <v/>
      </c>
      <c r="AG319" s="72"/>
      <c r="AH319" s="114" t="str">
        <f t="shared" si="4"/>
        <v/>
      </c>
      <c r="AI319" s="115" t="str">
        <f t="shared" si="5"/>
        <v/>
      </c>
      <c r="AJ319" s="116" t="str">
        <f t="array" ref="AJ319">INDEX($A$1:$C$500, MATCH(1,($B:$B=$C319)*($C:$C=$AG319),0),1)</f>
        <v/>
      </c>
      <c r="AK319" s="116" t="str">
        <f t="array" ref="AK319">INDEX($A$1:$C$500, MATCH(1,($B:$B=$AG319)*($C:$C=$C319),0),1)</f>
        <v/>
      </c>
      <c r="AL319" s="116" t="str">
        <f t="array" ref="AL319">INDEX($A$1:$C$500, MATCH(1,($B:$B=$C319)*($C:$C=$AB319),0),1)</f>
        <v/>
      </c>
      <c r="AM319" s="116" t="str">
        <f t="array" ref="AM319">INDEX($A$1:$C$500, MATCH(1,($B:$B=$AB319)*($C:$C=$C319),0),1)</f>
        <v/>
      </c>
      <c r="AN319" s="114" t="str">
        <f t="array" ref="AN319">IFS(ISNUMBER(AJ319),AJ319,ISNUMBER(AK319),AK319,ISNUMBER(AL319),AL319,ISNUMBER(AM319),AM319)</f>
        <v>#N/A</v>
      </c>
      <c r="AO319" s="115" t="str">
        <f t="shared" si="6"/>
        <v/>
      </c>
      <c r="AP319" s="115" t="str">
        <f t="shared" si="7"/>
        <v/>
      </c>
      <c r="AQ319" s="111"/>
      <c r="AR319" s="109" t="str">
        <f t="shared" si="8"/>
        <v/>
      </c>
      <c r="AS319" s="72" t="str">
        <f>IFERROR(IF(AND(Preferences!B$3="Manual",OR(AX319/AW319&gt;V319/U319,BD319="Serious",BD319="Very serious")),"Assess imprecision",IFERROR(IFS(AND(Preferences!B$3="Automatic",V319/U319&gt;=30),"Extremely serious",AND(W319&lt;=$D$1*-1,Y319&lt;0,V319/U319&lt;3),"Not Serious",AND(W319&lt;=$D$1*-1,Y319&lt;0,V319/U319&gt;=3),"Very serious",AND(W319&gt;=$D$1,X319&gt;0,V319/U319&lt;3),"Not Serious",AND(W319&gt;=$D$1,X319&gt;0,V319/U319&gt;=3),"Very serious",AND(W319&lt;=$D$1*-1,Y319&gt;0,X319&gt;$D$2*-1,V319/U319&lt;3),"Serious", AND(W319&lt;=$D$1*-1,Y319&gt;0,X319&lt;$D$2*-1,V319/U319&lt;3),"Very serious", AND(W319&gt;=$D$1,X319&lt;0,Y319&lt;$D$2,V319/U319&lt;3),"Serious",AND(W319&gt;=$D$1,X319&lt;0,Y319&gt;$D$2,V319/U319&lt;3),"Very serious", AND(W319&lt;=$D$1*-1,Y319&gt;0,X319&gt;$D$2*-1,V319/U319&gt;=3),"Very serious", AND(W319&lt;=$D$1*-1,Y319&gt;0,X319&lt;$D$2*-1,V319/U319&gt;=3),"Very serious", AND(W319&gt;=$D$1,X319&lt;0,Y319&lt;$D$2,V319/U319&gt;=3),"Very serious", AND(W319&gt;=$D$1,X319&lt;0,Y319&gt;$D$2,V319/U319&gt;=3),"Very serious", AND(W319&gt;$D$1*-1,W319&lt;$D$1,X319&gt;$D$1*-1,Y319&lt;$D$1,V319/U319&lt;3),"Not Serious", AND(W319&gt;$D$1*-1,W319&lt;$D$1,OR(X319&lt;=$D$1*-1,Y319&gt;=$D$1),X319&gt;$D$2*-1,Y319&lt;$D$2,V319/U319&lt;3),"Serious", AND(W319&gt;$D$1*-1,W319&lt;$D$1,OR(X319&lt;=$D$2*-1,Y319&gt;=$D$2),V319/U319&lt;3),"Very serious", AND(W319&gt;$D$1*-1,W319&lt;$D$1,X319&gt;$D$1*-1,Y319&lt;$D$1,V319/U319&gt;=3),"Very serious", AND(W319&gt;$D$1*-1,W319&lt;$D$1,OR(X319&lt;=$D$1*-1,Y319&gt;=$D$1),X319&gt;$D$2*-1,Y319&lt;$D$2,V319/U319&gt;=3),"Very serious", AND(W319&gt;$D$1*-1,W319&lt;$D$1,OR(X319&lt;=$D$2*-1,Y319&gt;=$D$2),V319/U319&gt;=3),"Very serious"),"")),"")</f>
        <v/>
      </c>
      <c r="AT319" s="109" t="str">
        <f t="shared" si="9"/>
        <v/>
      </c>
      <c r="AU319" s="64"/>
      <c r="AV319" s="83"/>
      <c r="AW319" s="83"/>
      <c r="AX319" s="83"/>
      <c r="AY319" s="83"/>
      <c r="AZ319" s="83"/>
      <c r="BA319" s="85"/>
      <c r="BB319" s="86" t="str">
        <f>IF(Preferences!B$9="Manual","",IFS(ISBLANK(B319),"",AND(ISNUMBER(E319)=TRUE,ISNUMBER(T319)=FALSE),"Direct", AND(ISNUMBER(E319)=FALSE,ISNUMBER(T319)=TRUE),"Indirect", CN319=4,"Direct",AND(CL319=FALSE, CM319=TRUE,CN319-CO319&gt;-1),"Direct", AND(CL319=FALSE,CM319=TRUE, CN319-CO319&lt;0),"Check algorithm in appendix 2", AND(CL319=TRUE, CM319=FALSE,CN319-CO319&gt;0),"Check algorithm in appendix 2", AND(CL319=TRUE, CM319=FALSE,CN319-CO319=0),"Indirect", AND(CL319=TRUE, CM319=FALSE,CN319-CO319&lt;0),"Indirect", AND(CL319=FALSE,CM319=FALSE,CN319-CO319&gt;-1),"Direct", AND(CL319=FALSE,CM319=FALSE,CN319-CO319&lt;0),"Check algorithm in appendix 2", AND(CL319=TRUE,CM319=TRUE,CN319-CO319&gt;-1),"Direct", AND(CL319=TRUE,CM319=TRUE,CN319-CO319&lt;0),"Check algorithm in appendix 2"))</f>
        <v/>
      </c>
      <c r="BC319" s="120" t="str">
        <f t="shared" si="10"/>
        <v/>
      </c>
      <c r="BD319" s="140"/>
      <c r="BE319" s="122" t="str">
        <f>IF(Preferences!B$3="Manual","", IFERROR(IFS(AND(Preferences!B$3="Automatic",AX319/AW319&gt;=30),"Extremely serious",AND(AY319&lt;=$D$1*-1,BA319&lt;0,AX319/AW319&lt;3),"Not Serious",AND(AY319&lt;=$D$1*-1,BA319&lt;0,AX319/AW319&gt;=3),"Very serious",AND(AY319&gt;=$D$1,AZ319&gt;0,AX319/AW319&lt;3),"Not Serious",AND(AY319&gt;=$D$1,AZ319&gt;0,AX319/AW319&gt;=3),"Very serious",AND(AY319&lt;=$D$1*-1,BA319&gt;0,AZ319&gt;$D$2*-1,AX319/AW319&lt;3),"Serious", AND(AY319&lt;=$D$1*-1,BA319&gt;0,AZ319&lt;$D$2*-1,AX319/AW319&lt;3),"Very serious", AND(AY319&gt;=$D$1,AZ319&lt;0,BA319&lt;$D$2,AX319/AW319&lt;3),"Serious",AND(AY319&gt;=$D$1,AZ319&lt;0,BA319&gt;$D$2,AX319/AW319&lt;3),"Very serious", AND(AY319&lt;=$D$1*-1,BA319&gt;0,AZ319&gt;$D$2*-1,AX319/AW319&gt;=3),"Very serious", AND(AY319&lt;=$D$1*-1,BA319&gt;0,AZ319&lt;$D$2*-1,AX319/AW319&gt;=3),"Very serious", AND(AY319&gt;=$D$1,AZ319&lt;0,BA319&lt;$D$2,AX319/AW319&gt;=3),"Very serious", AND(AY319&gt;=$D$1,AZ319&lt;0,BA319&gt;$D$2,AX319/AW319&gt;=3),"Very serious", AND(AY319&gt;$D$1*-1,AY319&lt;$D$1,AZ319&gt;$D$1*-1,BA319&lt;$D$1,AX319/AW319&lt;3),"Not Serious", AND(AY319&gt;$D$1*-1,AY319&lt;$D$1,OR(AZ319&lt;=$D$1*-1,BA319&gt;=$D$1),AZ319&gt;$D$2*-1,BA319&lt;$D$2,AX319/AW319&lt;3),"Serious", AND(AY319&gt;$D$1*-1,AY319&lt;$D$1,OR(AZ319&lt;=$D$2*-1,BA319&gt;=$D$2),AX319/AW319&lt;3),"Very serious", AND(AY319&gt;$D$1*-1,AY319&lt;$D$1,AZ319&gt;$D$1*-1,BA319&lt;$D$1,AX319/AW319&gt;=3),"Very serious", AND(AY319&gt;$D$1*-1,AY319&lt;$D$1,OR(AZ319&lt;=$D$1*-1,BA319&gt;=$D$1),AZ319&gt;$D$2*-1,BA319&lt;$D$2,AX319/AW319&gt;=3),"Very serious", AND(AY319&gt;$D$1*-1,AY319&lt;$D$1,OR(AZ319&lt;=$D$2*-1,BA319&gt;=$D$2),AX319/AW319&gt;=3),"Very serious"),""))</f>
        <v/>
      </c>
      <c r="BF319" s="107" t="str">
        <f t="shared" si="11"/>
        <v/>
      </c>
      <c r="BG319" s="94" t="str">
        <f t="shared" si="46"/>
        <v/>
      </c>
      <c r="BH319" s="64" t="str">
        <f t="shared" si="12"/>
        <v>#N/A</v>
      </c>
      <c r="BI319" s="64" t="str">
        <f t="shared" si="13"/>
        <v/>
      </c>
      <c r="BJ319" s="123" t="str">
        <f t="shared" si="14"/>
        <v>#N/A</v>
      </c>
      <c r="BK319" s="64" t="str">
        <f t="shared" si="50"/>
        <v>YES</v>
      </c>
      <c r="BL319" s="64" t="str">
        <f t="shared" si="16"/>
        <v>YES</v>
      </c>
      <c r="BM319" s="64" t="str">
        <f t="shared" si="17"/>
        <v>YES</v>
      </c>
      <c r="BN319" s="124" t="str">
        <f t="shared" si="18"/>
        <v/>
      </c>
      <c r="BO319" s="91" t="str">
        <f t="shared" si="19"/>
        <v/>
      </c>
      <c r="BP319" s="91" t="str">
        <f t="shared" si="20"/>
        <v>#N/A</v>
      </c>
      <c r="BQ319" s="91" t="str">
        <f t="shared" si="21"/>
        <v/>
      </c>
      <c r="BR319" s="93" t="str">
        <f t="shared" si="22"/>
        <v/>
      </c>
      <c r="BS319" s="90" t="str">
        <f t="shared" si="23"/>
        <v/>
      </c>
      <c r="BT319" s="93" t="str">
        <f t="shared" si="24"/>
        <v>NA</v>
      </c>
      <c r="BU319" s="125" t="str">
        <f t="shared" si="25"/>
        <v>#N/A</v>
      </c>
      <c r="BV319" s="93" t="str">
        <f t="shared" si="26"/>
        <v/>
      </c>
      <c r="BW319" s="93" t="str">
        <f t="shared" si="27"/>
        <v/>
      </c>
      <c r="BX319" s="93" t="str">
        <f t="shared" si="28"/>
        <v>NA</v>
      </c>
      <c r="BY319" s="95" t="str">
        <f t="shared" si="29"/>
        <v>#N/A</v>
      </c>
      <c r="BZ319" s="93" t="str">
        <f t="shared" si="30"/>
        <v/>
      </c>
      <c r="CA319" s="93" t="str">
        <f t="shared" si="31"/>
        <v/>
      </c>
      <c r="CB319" s="93" t="str">
        <f t="shared" si="32"/>
        <v>NA</v>
      </c>
      <c r="CC319" s="96" t="str">
        <f t="shared" si="33"/>
        <v>#N/A</v>
      </c>
      <c r="CD319" s="93" t="str">
        <f t="shared" si="34"/>
        <v/>
      </c>
      <c r="CE319" s="93" t="str">
        <f t="shared" si="35"/>
        <v/>
      </c>
      <c r="CF319" s="93" t="str">
        <f t="shared" si="36"/>
        <v>NA</v>
      </c>
      <c r="CG319" s="97" t="str">
        <f t="shared" si="37"/>
        <v>#N/A</v>
      </c>
      <c r="CH319" s="98" t="str">
        <f t="shared" si="38"/>
        <v>#N/A</v>
      </c>
      <c r="CI319" s="99" t="str">
        <f t="shared" si="39"/>
        <v>#N/A</v>
      </c>
      <c r="CJ319" s="126" t="str">
        <f t="shared" si="40"/>
        <v>ERROR: check cell</v>
      </c>
      <c r="CK319" s="126"/>
      <c r="CL319" s="127" t="str">
        <f t="shared" si="41"/>
        <v>#DIV/0!</v>
      </c>
      <c r="CM319" s="128" t="str">
        <f t="shared" si="42"/>
        <v>#DIV/0!</v>
      </c>
      <c r="CN319" s="128">
        <f t="shared" si="43"/>
        <v>4</v>
      </c>
      <c r="CO319" s="129">
        <f t="shared" si="44"/>
        <v>4</v>
      </c>
      <c r="CP319" s="129" t="str">
        <f>IFS(C319=Preferences!B$13,B319,B319=Preferences!B$13,C319)</f>
        <v>#N/A</v>
      </c>
    </row>
    <row r="320" ht="13.5" customHeight="1">
      <c r="A320" s="63" t="str">
        <f t="shared" si="45"/>
        <v/>
      </c>
      <c r="B320" s="64"/>
      <c r="C320" s="64"/>
      <c r="D320" s="64"/>
      <c r="E320" s="65"/>
      <c r="F320" s="65"/>
      <c r="G320" s="65"/>
      <c r="H320" s="66"/>
      <c r="I320" s="66"/>
      <c r="J320" s="67"/>
      <c r="K320" s="68"/>
      <c r="L320" s="104"/>
      <c r="M320" s="104"/>
      <c r="N320" s="104"/>
      <c r="O320" s="104"/>
      <c r="P320" s="107" t="str">
        <f t="shared" si="1"/>
        <v/>
      </c>
      <c r="Q320" s="108" t="str">
        <f>IFERROR(IF(AND(Preferences!B$3="Manual",OR(AX320/AW320&gt;G320/F320,BD320="Serious",BD320="Very serious")),"Assess imprecision",IFS(ISBLANK(E320),"",AND(Preferences!B$3="Automatic", G320/F320&gt;=30),"Extremely serious",AND(H320&lt;=$D$1*-1,J320&lt;0,G320/F320&lt;3),"Not serious",AND(H320&lt;=$D$1*-1,J320&lt;0,G320/F320&gt;=3),"Very serious",AND(H320&gt;=$D$1,I320&gt;0,G320/F320&lt;3),"Not serious",AND(H320&gt;=$D$1,I320&gt;0,G320/F320&gt;=3),"Very serious",AND(H320&lt;=$D$1*-1,J320&gt;0,I320&gt;$D$2*-1,G320/F320&lt;3),"Serious", AND(H320&lt;=$D$1*-1,J320&gt;0,I320&lt;$D$2*-1,G320/F320&lt;3),"Very serious", AND(H320&gt;=$D$1,I320&lt;0,J320&lt;$D$2,G320/F320&lt;3),"Serious",AND(H320&gt;=$D$1,I320&lt;0,J320&gt;$D$2,G320/F320&lt;3),"Very serious", AND(H320&lt;=$D$1*-1,J320&gt;0,I320&gt;$D$2*-1,G320/F320&gt;=3),"Very serious", AND(H320&lt;=$D$1*-1,J320&gt;0,I320&lt;$D$2*-1,G320/F320&gt;=3),"Very serious", AND(H320&gt;=$D$1,I320&lt;0,J320&lt;$D$2,G320/F320&gt;=3),"Very serious", AND(H320&gt;=$D$1,I320&lt;0,J320&gt;$D$2,G320/F320&gt;=3),"Very serious", AND(H320&gt;$D$1*-1,H320&lt;$D$1,I320&gt;$D$1*-1,J320&lt;$D$1,G320/F320&lt;3),"Not serious", AND(H320&gt;$D$1*-1,H320&lt;$D$1,OR(I320&lt;=$D$1*-1,J320&gt;=$D$1),I320&gt;$D$2*-1,J320&lt;$D$2,G320/F320&lt;3),"Serious", AND(H320&gt;$D$1*-1,H320&lt;$D$1,OR(I320&lt;=$D$2*-1,J320&gt;=$D$2),G320/F320&lt;3),"Very serious", AND(H320&gt;$D$1*-1,H320&lt;$D$1,I320&gt;$D$1*-1,J320&lt;$D$1,G320/F320&gt;=3),"Very serious", AND(H320&gt;$D$1*-1,H320&lt;$D$1,OR(I320&lt;=$D$1*-1,J320&gt;=$D$1),I320&gt;$D$2*-1,J320&lt;$D$2,G320/F320&gt;=3),"Very serious", AND(H320&gt;$D$1*-1,H320&lt;$D$1,OR(I320&lt;=$D$2*-1,J320&gt;=$D$2),G320/F320&gt;=3),"Very serious")),"")</f>
        <v/>
      </c>
      <c r="R320" s="109" t="str">
        <f t="shared" si="47"/>
        <v/>
      </c>
      <c r="S320" s="64"/>
      <c r="T320" s="72"/>
      <c r="U320" s="72"/>
      <c r="V320" s="72"/>
      <c r="W320" s="73"/>
      <c r="X320" s="73"/>
      <c r="Y320" s="74"/>
      <c r="Z320" s="113" t="str">
        <f t="array" ref="Z320">INDEX($A$1:$C$500, MATCH(1,($B:$B=$B320)*($C:$C=$AB320),0),1)</f>
        <v/>
      </c>
      <c r="AA320" s="113" t="str">
        <f t="array" ref="AA320">INDEX($A$1:$C$500, MATCH(1,($B:$B=$AB320)*($C:$C=$B320),0),1)</f>
        <v/>
      </c>
      <c r="AB320" s="111"/>
      <c r="AC320" s="114" t="str">
        <f t="shared" si="2"/>
        <v/>
      </c>
      <c r="AD320" s="115" t="str">
        <f t="shared" si="3"/>
        <v/>
      </c>
      <c r="AE320" s="116" t="str">
        <f t="array" ref="AE320">INDEX($A$1:$C$500, MATCH(1,($B:$B=$AB320)*($C:$C=$AG320),0),1)</f>
        <v/>
      </c>
      <c r="AF320" s="116" t="str">
        <f t="array" ref="AF320">INDEX($A$1:$C$500, MATCH(1,($B:$B=$AG320)*($C:$C=$AB320),0),1)</f>
        <v/>
      </c>
      <c r="AG320" s="72"/>
      <c r="AH320" s="114" t="str">
        <f t="shared" si="4"/>
        <v/>
      </c>
      <c r="AI320" s="115" t="str">
        <f t="shared" si="5"/>
        <v/>
      </c>
      <c r="AJ320" s="116" t="str">
        <f t="array" ref="AJ320">INDEX($A$1:$C$500, MATCH(1,($B:$B=$C320)*($C:$C=$AG320),0),1)</f>
        <v/>
      </c>
      <c r="AK320" s="116" t="str">
        <f t="array" ref="AK320">INDEX($A$1:$C$500, MATCH(1,($B:$B=$AG320)*($C:$C=$C320),0),1)</f>
        <v/>
      </c>
      <c r="AL320" s="116" t="str">
        <f t="array" ref="AL320">INDEX($A$1:$C$500, MATCH(1,($B:$B=$C320)*($C:$C=$AB320),0),1)</f>
        <v/>
      </c>
      <c r="AM320" s="116" t="str">
        <f t="array" ref="AM320">INDEX($A$1:$C$500, MATCH(1,($B:$B=$AB320)*($C:$C=$C320),0),1)</f>
        <v/>
      </c>
      <c r="AN320" s="114" t="str">
        <f t="array" ref="AN320">IFS(ISNUMBER(AJ320),AJ320,ISNUMBER(AK320),AK320,ISNUMBER(AL320),AL320,ISNUMBER(AM320),AM320)</f>
        <v>#N/A</v>
      </c>
      <c r="AO320" s="115" t="str">
        <f t="shared" si="6"/>
        <v/>
      </c>
      <c r="AP320" s="115" t="str">
        <f t="shared" si="7"/>
        <v/>
      </c>
      <c r="AQ320" s="111"/>
      <c r="AR320" s="109" t="str">
        <f t="shared" si="8"/>
        <v/>
      </c>
      <c r="AS320" s="72" t="str">
        <f>IFERROR(IF(AND(Preferences!B$3="Manual",OR(AX320/AW320&gt;V320/U320,BD320="Serious",BD320="Very serious")),"Assess imprecision",IFERROR(IFS(AND(Preferences!B$3="Automatic",V320/U320&gt;=30),"Extremely serious",AND(W320&lt;=$D$1*-1,Y320&lt;0,V320/U320&lt;3),"Not Serious",AND(W320&lt;=$D$1*-1,Y320&lt;0,V320/U320&gt;=3),"Very serious",AND(W320&gt;=$D$1,X320&gt;0,V320/U320&lt;3),"Not Serious",AND(W320&gt;=$D$1,X320&gt;0,V320/U320&gt;=3),"Very serious",AND(W320&lt;=$D$1*-1,Y320&gt;0,X320&gt;$D$2*-1,V320/U320&lt;3),"Serious", AND(W320&lt;=$D$1*-1,Y320&gt;0,X320&lt;$D$2*-1,V320/U320&lt;3),"Very serious", AND(W320&gt;=$D$1,X320&lt;0,Y320&lt;$D$2,V320/U320&lt;3),"Serious",AND(W320&gt;=$D$1,X320&lt;0,Y320&gt;$D$2,V320/U320&lt;3),"Very serious", AND(W320&lt;=$D$1*-1,Y320&gt;0,X320&gt;$D$2*-1,V320/U320&gt;=3),"Very serious", AND(W320&lt;=$D$1*-1,Y320&gt;0,X320&lt;$D$2*-1,V320/U320&gt;=3),"Very serious", AND(W320&gt;=$D$1,X320&lt;0,Y320&lt;$D$2,V320/U320&gt;=3),"Very serious", AND(W320&gt;=$D$1,X320&lt;0,Y320&gt;$D$2,V320/U320&gt;=3),"Very serious", AND(W320&gt;$D$1*-1,W320&lt;$D$1,X320&gt;$D$1*-1,Y320&lt;$D$1,V320/U320&lt;3),"Not Serious", AND(W320&gt;$D$1*-1,W320&lt;$D$1,OR(X320&lt;=$D$1*-1,Y320&gt;=$D$1),X320&gt;$D$2*-1,Y320&lt;$D$2,V320/U320&lt;3),"Serious", AND(W320&gt;$D$1*-1,W320&lt;$D$1,OR(X320&lt;=$D$2*-1,Y320&gt;=$D$2),V320/U320&lt;3),"Very serious", AND(W320&gt;$D$1*-1,W320&lt;$D$1,X320&gt;$D$1*-1,Y320&lt;$D$1,V320/U320&gt;=3),"Very serious", AND(W320&gt;$D$1*-1,W320&lt;$D$1,OR(X320&lt;=$D$1*-1,Y320&gt;=$D$1),X320&gt;$D$2*-1,Y320&lt;$D$2,V320/U320&gt;=3),"Very serious", AND(W320&gt;$D$1*-1,W320&lt;$D$1,OR(X320&lt;=$D$2*-1,Y320&gt;=$D$2),V320/U320&gt;=3),"Very serious"),"")),"")</f>
        <v/>
      </c>
      <c r="AT320" s="109" t="str">
        <f t="shared" si="9"/>
        <v/>
      </c>
      <c r="AU320" s="64"/>
      <c r="AV320" s="83"/>
      <c r="AW320" s="83"/>
      <c r="AX320" s="83"/>
      <c r="AY320" s="83"/>
      <c r="AZ320" s="83"/>
      <c r="BA320" s="85"/>
      <c r="BB320" s="86" t="str">
        <f>IF(Preferences!B$9="Manual","",IFS(ISBLANK(B320),"",AND(ISNUMBER(E320)=TRUE,ISNUMBER(T320)=FALSE),"Direct", AND(ISNUMBER(E320)=FALSE,ISNUMBER(T320)=TRUE),"Indirect", CN320=4,"Direct",AND(CL320=FALSE, CM320=TRUE,CN320-CO320&gt;-1),"Direct", AND(CL320=FALSE,CM320=TRUE, CN320-CO320&lt;0),"Check algorithm in appendix 2", AND(CL320=TRUE, CM320=FALSE,CN320-CO320&gt;0),"Check algorithm in appendix 2", AND(CL320=TRUE, CM320=FALSE,CN320-CO320=0),"Indirect", AND(CL320=TRUE, CM320=FALSE,CN320-CO320&lt;0),"Indirect", AND(CL320=FALSE,CM320=FALSE,CN320-CO320&gt;-1),"Direct", AND(CL320=FALSE,CM320=FALSE,CN320-CO320&lt;0),"Check algorithm in appendix 2", AND(CL320=TRUE,CM320=TRUE,CN320-CO320&gt;-1),"Direct", AND(CL320=TRUE,CM320=TRUE,CN320-CO320&lt;0),"Check algorithm in appendix 2"))</f>
        <v/>
      </c>
      <c r="BC320" s="120" t="str">
        <f t="shared" si="10"/>
        <v/>
      </c>
      <c r="BD320" s="140"/>
      <c r="BE320" s="122" t="str">
        <f>IF(Preferences!B$3="Manual","", IFERROR(IFS(AND(Preferences!B$3="Automatic",AX320/AW320&gt;=30),"Extremely serious",AND(AY320&lt;=$D$1*-1,BA320&lt;0,AX320/AW320&lt;3),"Not Serious",AND(AY320&lt;=$D$1*-1,BA320&lt;0,AX320/AW320&gt;=3),"Very serious",AND(AY320&gt;=$D$1,AZ320&gt;0,AX320/AW320&lt;3),"Not Serious",AND(AY320&gt;=$D$1,AZ320&gt;0,AX320/AW320&gt;=3),"Very serious",AND(AY320&lt;=$D$1*-1,BA320&gt;0,AZ320&gt;$D$2*-1,AX320/AW320&lt;3),"Serious", AND(AY320&lt;=$D$1*-1,BA320&gt;0,AZ320&lt;$D$2*-1,AX320/AW320&lt;3),"Very serious", AND(AY320&gt;=$D$1,AZ320&lt;0,BA320&lt;$D$2,AX320/AW320&lt;3),"Serious",AND(AY320&gt;=$D$1,AZ320&lt;0,BA320&gt;$D$2,AX320/AW320&lt;3),"Very serious", AND(AY320&lt;=$D$1*-1,BA320&gt;0,AZ320&gt;$D$2*-1,AX320/AW320&gt;=3),"Very serious", AND(AY320&lt;=$D$1*-1,BA320&gt;0,AZ320&lt;$D$2*-1,AX320/AW320&gt;=3),"Very serious", AND(AY320&gt;=$D$1,AZ320&lt;0,BA320&lt;$D$2,AX320/AW320&gt;=3),"Very serious", AND(AY320&gt;=$D$1,AZ320&lt;0,BA320&gt;$D$2,AX320/AW320&gt;=3),"Very serious", AND(AY320&gt;$D$1*-1,AY320&lt;$D$1,AZ320&gt;$D$1*-1,BA320&lt;$D$1,AX320/AW320&lt;3),"Not Serious", AND(AY320&gt;$D$1*-1,AY320&lt;$D$1,OR(AZ320&lt;=$D$1*-1,BA320&gt;=$D$1),AZ320&gt;$D$2*-1,BA320&lt;$D$2,AX320/AW320&lt;3),"Serious", AND(AY320&gt;$D$1*-1,AY320&lt;$D$1,OR(AZ320&lt;=$D$2*-1,BA320&gt;=$D$2),AX320/AW320&lt;3),"Very serious", AND(AY320&gt;$D$1*-1,AY320&lt;$D$1,AZ320&gt;$D$1*-1,BA320&lt;$D$1,AX320/AW320&gt;=3),"Very serious", AND(AY320&gt;$D$1*-1,AY320&lt;$D$1,OR(AZ320&lt;=$D$1*-1,BA320&gt;=$D$1),AZ320&gt;$D$2*-1,BA320&lt;$D$2,AX320/AW320&gt;=3),"Very serious", AND(AY320&gt;$D$1*-1,AY320&lt;$D$1,OR(AZ320&lt;=$D$2*-1,BA320&gt;=$D$2),AX320/AW320&gt;=3),"Very serious"),""))</f>
        <v/>
      </c>
      <c r="BF320" s="107" t="str">
        <f t="shared" si="11"/>
        <v/>
      </c>
      <c r="BG320" s="94" t="str">
        <f t="shared" si="46"/>
        <v/>
      </c>
      <c r="BH320" s="64" t="str">
        <f t="shared" si="12"/>
        <v>#N/A</v>
      </c>
      <c r="BI320" s="64" t="str">
        <f t="shared" si="13"/>
        <v/>
      </c>
      <c r="BJ320" s="123" t="str">
        <f t="shared" si="14"/>
        <v>#N/A</v>
      </c>
      <c r="BK320" s="64" t="str">
        <f t="shared" si="50"/>
        <v>YES</v>
      </c>
      <c r="BL320" s="64" t="str">
        <f t="shared" si="16"/>
        <v>YES</v>
      </c>
      <c r="BM320" s="64" t="str">
        <f t="shared" si="17"/>
        <v>YES</v>
      </c>
      <c r="BN320" s="124" t="str">
        <f t="shared" si="18"/>
        <v/>
      </c>
      <c r="BO320" s="91" t="str">
        <f t="shared" si="19"/>
        <v/>
      </c>
      <c r="BP320" s="91" t="str">
        <f t="shared" si="20"/>
        <v>#N/A</v>
      </c>
      <c r="BQ320" s="91" t="str">
        <f t="shared" si="21"/>
        <v/>
      </c>
      <c r="BR320" s="93" t="str">
        <f t="shared" si="22"/>
        <v/>
      </c>
      <c r="BS320" s="90" t="str">
        <f t="shared" si="23"/>
        <v/>
      </c>
      <c r="BT320" s="93" t="str">
        <f t="shared" si="24"/>
        <v>NA</v>
      </c>
      <c r="BU320" s="125" t="str">
        <f t="shared" si="25"/>
        <v>#N/A</v>
      </c>
      <c r="BV320" s="93" t="str">
        <f t="shared" si="26"/>
        <v/>
      </c>
      <c r="BW320" s="93" t="str">
        <f t="shared" si="27"/>
        <v/>
      </c>
      <c r="BX320" s="93" t="str">
        <f t="shared" si="28"/>
        <v>NA</v>
      </c>
      <c r="BY320" s="95" t="str">
        <f t="shared" si="29"/>
        <v>#N/A</v>
      </c>
      <c r="BZ320" s="93" t="str">
        <f t="shared" si="30"/>
        <v/>
      </c>
      <c r="CA320" s="93" t="str">
        <f t="shared" si="31"/>
        <v/>
      </c>
      <c r="CB320" s="93" t="str">
        <f t="shared" si="32"/>
        <v>NA</v>
      </c>
      <c r="CC320" s="96" t="str">
        <f t="shared" si="33"/>
        <v>#N/A</v>
      </c>
      <c r="CD320" s="93" t="str">
        <f t="shared" si="34"/>
        <v/>
      </c>
      <c r="CE320" s="93" t="str">
        <f t="shared" si="35"/>
        <v/>
      </c>
      <c r="CF320" s="93" t="str">
        <f t="shared" si="36"/>
        <v>NA</v>
      </c>
      <c r="CG320" s="97" t="str">
        <f t="shared" si="37"/>
        <v>#N/A</v>
      </c>
      <c r="CH320" s="98" t="str">
        <f t="shared" si="38"/>
        <v>#N/A</v>
      </c>
      <c r="CI320" s="99" t="str">
        <f t="shared" si="39"/>
        <v>#N/A</v>
      </c>
      <c r="CJ320" s="126" t="str">
        <f t="shared" si="40"/>
        <v>ERROR: check cell</v>
      </c>
      <c r="CK320" s="126"/>
      <c r="CL320" s="127" t="str">
        <f t="shared" si="41"/>
        <v>#DIV/0!</v>
      </c>
      <c r="CM320" s="128" t="str">
        <f t="shared" si="42"/>
        <v>#DIV/0!</v>
      </c>
      <c r="CN320" s="128">
        <f t="shared" si="43"/>
        <v>4</v>
      </c>
      <c r="CO320" s="129">
        <f t="shared" si="44"/>
        <v>4</v>
      </c>
      <c r="CP320" s="129" t="str">
        <f>IFS(C320=Preferences!B$13,B320,B320=Preferences!B$13,C320)</f>
        <v>#N/A</v>
      </c>
    </row>
    <row r="321" ht="13.5" customHeight="1">
      <c r="A321" s="63" t="str">
        <f t="shared" si="45"/>
        <v/>
      </c>
      <c r="B321" s="64"/>
      <c r="C321" s="64"/>
      <c r="D321" s="64"/>
      <c r="E321" s="65"/>
      <c r="F321" s="65"/>
      <c r="G321" s="65"/>
      <c r="H321" s="66"/>
      <c r="I321" s="66"/>
      <c r="J321" s="67"/>
      <c r="K321" s="68"/>
      <c r="L321" s="104"/>
      <c r="M321" s="104"/>
      <c r="N321" s="104"/>
      <c r="O321" s="104"/>
      <c r="P321" s="107" t="str">
        <f t="shared" si="1"/>
        <v/>
      </c>
      <c r="Q321" s="108" t="str">
        <f>IFERROR(IF(AND(Preferences!B$3="Manual",OR(AX321/AW321&gt;G321/F321,BD321="Serious",BD321="Very serious")),"Assess imprecision",IFS(ISBLANK(E321),"",AND(Preferences!B$3="Automatic", G321/F321&gt;=30),"Extremely serious",AND(H321&lt;=$D$1*-1,J321&lt;0,G321/F321&lt;3),"Not serious",AND(H321&lt;=$D$1*-1,J321&lt;0,G321/F321&gt;=3),"Very serious",AND(H321&gt;=$D$1,I321&gt;0,G321/F321&lt;3),"Not serious",AND(H321&gt;=$D$1,I321&gt;0,G321/F321&gt;=3),"Very serious",AND(H321&lt;=$D$1*-1,J321&gt;0,I321&gt;$D$2*-1,G321/F321&lt;3),"Serious", AND(H321&lt;=$D$1*-1,J321&gt;0,I321&lt;$D$2*-1,G321/F321&lt;3),"Very serious", AND(H321&gt;=$D$1,I321&lt;0,J321&lt;$D$2,G321/F321&lt;3),"Serious",AND(H321&gt;=$D$1,I321&lt;0,J321&gt;$D$2,G321/F321&lt;3),"Very serious", AND(H321&lt;=$D$1*-1,J321&gt;0,I321&gt;$D$2*-1,G321/F321&gt;=3),"Very serious", AND(H321&lt;=$D$1*-1,J321&gt;0,I321&lt;$D$2*-1,G321/F321&gt;=3),"Very serious", AND(H321&gt;=$D$1,I321&lt;0,J321&lt;$D$2,G321/F321&gt;=3),"Very serious", AND(H321&gt;=$D$1,I321&lt;0,J321&gt;$D$2,G321/F321&gt;=3),"Very serious", AND(H321&gt;$D$1*-1,H321&lt;$D$1,I321&gt;$D$1*-1,J321&lt;$D$1,G321/F321&lt;3),"Not serious", AND(H321&gt;$D$1*-1,H321&lt;$D$1,OR(I321&lt;=$D$1*-1,J321&gt;=$D$1),I321&gt;$D$2*-1,J321&lt;$D$2,G321/F321&lt;3),"Serious", AND(H321&gt;$D$1*-1,H321&lt;$D$1,OR(I321&lt;=$D$2*-1,J321&gt;=$D$2),G321/F321&lt;3),"Very serious", AND(H321&gt;$D$1*-1,H321&lt;$D$1,I321&gt;$D$1*-1,J321&lt;$D$1,G321/F321&gt;=3),"Very serious", AND(H321&gt;$D$1*-1,H321&lt;$D$1,OR(I321&lt;=$D$1*-1,J321&gt;=$D$1),I321&gt;$D$2*-1,J321&lt;$D$2,G321/F321&gt;=3),"Very serious", AND(H321&gt;$D$1*-1,H321&lt;$D$1,OR(I321&lt;=$D$2*-1,J321&gt;=$D$2),G321/F321&gt;=3),"Very serious")),"")</f>
        <v/>
      </c>
      <c r="R321" s="109" t="str">
        <f t="shared" si="47"/>
        <v/>
      </c>
      <c r="S321" s="64"/>
      <c r="T321" s="72"/>
      <c r="U321" s="72"/>
      <c r="V321" s="72"/>
      <c r="W321" s="73"/>
      <c r="X321" s="73"/>
      <c r="Y321" s="74"/>
      <c r="Z321" s="113" t="str">
        <f t="array" ref="Z321">INDEX($A$1:$C$500, MATCH(1,($B:$B=$B321)*($C:$C=$AB321),0),1)</f>
        <v/>
      </c>
      <c r="AA321" s="113" t="str">
        <f t="array" ref="AA321">INDEX($A$1:$C$500, MATCH(1,($B:$B=$AB321)*($C:$C=$B321),0),1)</f>
        <v/>
      </c>
      <c r="AB321" s="111"/>
      <c r="AC321" s="114" t="str">
        <f t="shared" si="2"/>
        <v/>
      </c>
      <c r="AD321" s="115" t="str">
        <f t="shared" si="3"/>
        <v/>
      </c>
      <c r="AE321" s="116" t="str">
        <f t="array" ref="AE321">INDEX($A$1:$C$500, MATCH(1,($B:$B=$AB321)*($C:$C=$AG321),0),1)</f>
        <v/>
      </c>
      <c r="AF321" s="116" t="str">
        <f t="array" ref="AF321">INDEX($A$1:$C$500, MATCH(1,($B:$B=$AG321)*($C:$C=$AB321),0),1)</f>
        <v/>
      </c>
      <c r="AG321" s="72"/>
      <c r="AH321" s="114" t="str">
        <f t="shared" si="4"/>
        <v/>
      </c>
      <c r="AI321" s="115" t="str">
        <f t="shared" si="5"/>
        <v/>
      </c>
      <c r="AJ321" s="116" t="str">
        <f t="array" ref="AJ321">INDEX($A$1:$C$500, MATCH(1,($B:$B=$C321)*($C:$C=$AG321),0),1)</f>
        <v/>
      </c>
      <c r="AK321" s="116" t="str">
        <f t="array" ref="AK321">INDEX($A$1:$C$500, MATCH(1,($B:$B=$AG321)*($C:$C=$C321),0),1)</f>
        <v/>
      </c>
      <c r="AL321" s="116" t="str">
        <f t="array" ref="AL321">INDEX($A$1:$C$500, MATCH(1,($B:$B=$C321)*($C:$C=$AB321),0),1)</f>
        <v/>
      </c>
      <c r="AM321" s="116" t="str">
        <f t="array" ref="AM321">INDEX($A$1:$C$500, MATCH(1,($B:$B=$AB321)*($C:$C=$C321),0),1)</f>
        <v/>
      </c>
      <c r="AN321" s="114" t="str">
        <f t="array" ref="AN321">IFS(ISNUMBER(AJ321),AJ321,ISNUMBER(AK321),AK321,ISNUMBER(AL321),AL321,ISNUMBER(AM321),AM321)</f>
        <v>#N/A</v>
      </c>
      <c r="AO321" s="115" t="str">
        <f t="shared" si="6"/>
        <v/>
      </c>
      <c r="AP321" s="115" t="str">
        <f t="shared" si="7"/>
        <v/>
      </c>
      <c r="AQ321" s="111"/>
      <c r="AR321" s="109" t="str">
        <f t="shared" si="8"/>
        <v/>
      </c>
      <c r="AS321" s="72" t="str">
        <f>IFERROR(IF(AND(Preferences!B$3="Manual",OR(AX321/AW321&gt;V321/U321,BD321="Serious",BD321="Very serious")),"Assess imprecision",IFERROR(IFS(AND(Preferences!B$3="Automatic",V321/U321&gt;=30),"Extremely serious",AND(W321&lt;=$D$1*-1,Y321&lt;0,V321/U321&lt;3),"Not Serious",AND(W321&lt;=$D$1*-1,Y321&lt;0,V321/U321&gt;=3),"Very serious",AND(W321&gt;=$D$1,X321&gt;0,V321/U321&lt;3),"Not Serious",AND(W321&gt;=$D$1,X321&gt;0,V321/U321&gt;=3),"Very serious",AND(W321&lt;=$D$1*-1,Y321&gt;0,X321&gt;$D$2*-1,V321/U321&lt;3),"Serious", AND(W321&lt;=$D$1*-1,Y321&gt;0,X321&lt;$D$2*-1,V321/U321&lt;3),"Very serious", AND(W321&gt;=$D$1,X321&lt;0,Y321&lt;$D$2,V321/U321&lt;3),"Serious",AND(W321&gt;=$D$1,X321&lt;0,Y321&gt;$D$2,V321/U321&lt;3),"Very serious", AND(W321&lt;=$D$1*-1,Y321&gt;0,X321&gt;$D$2*-1,V321/U321&gt;=3),"Very serious", AND(W321&lt;=$D$1*-1,Y321&gt;0,X321&lt;$D$2*-1,V321/U321&gt;=3),"Very serious", AND(W321&gt;=$D$1,X321&lt;0,Y321&lt;$D$2,V321/U321&gt;=3),"Very serious", AND(W321&gt;=$D$1,X321&lt;0,Y321&gt;$D$2,V321/U321&gt;=3),"Very serious", AND(W321&gt;$D$1*-1,W321&lt;$D$1,X321&gt;$D$1*-1,Y321&lt;$D$1,V321/U321&lt;3),"Not Serious", AND(W321&gt;$D$1*-1,W321&lt;$D$1,OR(X321&lt;=$D$1*-1,Y321&gt;=$D$1),X321&gt;$D$2*-1,Y321&lt;$D$2,V321/U321&lt;3),"Serious", AND(W321&gt;$D$1*-1,W321&lt;$D$1,OR(X321&lt;=$D$2*-1,Y321&gt;=$D$2),V321/U321&lt;3),"Very serious", AND(W321&gt;$D$1*-1,W321&lt;$D$1,X321&gt;$D$1*-1,Y321&lt;$D$1,V321/U321&gt;=3),"Very serious", AND(W321&gt;$D$1*-1,W321&lt;$D$1,OR(X321&lt;=$D$1*-1,Y321&gt;=$D$1),X321&gt;$D$2*-1,Y321&lt;$D$2,V321/U321&gt;=3),"Very serious", AND(W321&gt;$D$1*-1,W321&lt;$D$1,OR(X321&lt;=$D$2*-1,Y321&gt;=$D$2),V321/U321&gt;=3),"Very serious"),"")),"")</f>
        <v/>
      </c>
      <c r="AT321" s="109" t="str">
        <f t="shared" si="9"/>
        <v/>
      </c>
      <c r="AU321" s="64"/>
      <c r="AV321" s="83"/>
      <c r="AW321" s="83"/>
      <c r="AX321" s="83"/>
      <c r="AY321" s="83"/>
      <c r="AZ321" s="83"/>
      <c r="BA321" s="85"/>
      <c r="BB321" s="86" t="str">
        <f>IF(Preferences!B$9="Manual","",IFS(ISBLANK(B321),"",AND(ISNUMBER(E321)=TRUE,ISNUMBER(T321)=FALSE),"Direct", AND(ISNUMBER(E321)=FALSE,ISNUMBER(T321)=TRUE),"Indirect", CN321=4,"Direct",AND(CL321=FALSE, CM321=TRUE,CN321-CO321&gt;-1),"Direct", AND(CL321=FALSE,CM321=TRUE, CN321-CO321&lt;0),"Check algorithm in appendix 2", AND(CL321=TRUE, CM321=FALSE,CN321-CO321&gt;0),"Check algorithm in appendix 2", AND(CL321=TRUE, CM321=FALSE,CN321-CO321=0),"Indirect", AND(CL321=TRUE, CM321=FALSE,CN321-CO321&lt;0),"Indirect", AND(CL321=FALSE,CM321=FALSE,CN321-CO321&gt;-1),"Direct", AND(CL321=FALSE,CM321=FALSE,CN321-CO321&lt;0),"Check algorithm in appendix 2", AND(CL321=TRUE,CM321=TRUE,CN321-CO321&gt;-1),"Direct", AND(CL321=TRUE,CM321=TRUE,CN321-CO321&lt;0),"Check algorithm in appendix 2"))</f>
        <v/>
      </c>
      <c r="BC321" s="120" t="str">
        <f t="shared" si="10"/>
        <v/>
      </c>
      <c r="BD321" s="140"/>
      <c r="BE321" s="122" t="str">
        <f>IF(Preferences!B$3="Manual","", IFERROR(IFS(AND(Preferences!B$3="Automatic",AX321/AW321&gt;=30),"Extremely serious",AND(AY321&lt;=$D$1*-1,BA321&lt;0,AX321/AW321&lt;3),"Not Serious",AND(AY321&lt;=$D$1*-1,BA321&lt;0,AX321/AW321&gt;=3),"Very serious",AND(AY321&gt;=$D$1,AZ321&gt;0,AX321/AW321&lt;3),"Not Serious",AND(AY321&gt;=$D$1,AZ321&gt;0,AX321/AW321&gt;=3),"Very serious",AND(AY321&lt;=$D$1*-1,BA321&gt;0,AZ321&gt;$D$2*-1,AX321/AW321&lt;3),"Serious", AND(AY321&lt;=$D$1*-1,BA321&gt;0,AZ321&lt;$D$2*-1,AX321/AW321&lt;3),"Very serious", AND(AY321&gt;=$D$1,AZ321&lt;0,BA321&lt;$D$2,AX321/AW321&lt;3),"Serious",AND(AY321&gt;=$D$1,AZ321&lt;0,BA321&gt;$D$2,AX321/AW321&lt;3),"Very serious", AND(AY321&lt;=$D$1*-1,BA321&gt;0,AZ321&gt;$D$2*-1,AX321/AW321&gt;=3),"Very serious", AND(AY321&lt;=$D$1*-1,BA321&gt;0,AZ321&lt;$D$2*-1,AX321/AW321&gt;=3),"Very serious", AND(AY321&gt;=$D$1,AZ321&lt;0,BA321&lt;$D$2,AX321/AW321&gt;=3),"Very serious", AND(AY321&gt;=$D$1,AZ321&lt;0,BA321&gt;$D$2,AX321/AW321&gt;=3),"Very serious", AND(AY321&gt;$D$1*-1,AY321&lt;$D$1,AZ321&gt;$D$1*-1,BA321&lt;$D$1,AX321/AW321&lt;3),"Not Serious", AND(AY321&gt;$D$1*-1,AY321&lt;$D$1,OR(AZ321&lt;=$D$1*-1,BA321&gt;=$D$1),AZ321&gt;$D$2*-1,BA321&lt;$D$2,AX321/AW321&lt;3),"Serious", AND(AY321&gt;$D$1*-1,AY321&lt;$D$1,OR(AZ321&lt;=$D$2*-1,BA321&gt;=$D$2),AX321/AW321&lt;3),"Very serious", AND(AY321&gt;$D$1*-1,AY321&lt;$D$1,AZ321&gt;$D$1*-1,BA321&lt;$D$1,AX321/AW321&gt;=3),"Very serious", AND(AY321&gt;$D$1*-1,AY321&lt;$D$1,OR(AZ321&lt;=$D$1*-1,BA321&gt;=$D$1),AZ321&gt;$D$2*-1,BA321&lt;$D$2,AX321/AW321&gt;=3),"Very serious", AND(AY321&gt;$D$1*-1,AY321&lt;$D$1,OR(AZ321&lt;=$D$2*-1,BA321&gt;=$D$2),AX321/AW321&gt;=3),"Very serious"),""))</f>
        <v/>
      </c>
      <c r="BF321" s="107" t="str">
        <f t="shared" si="11"/>
        <v/>
      </c>
      <c r="BG321" s="94" t="str">
        <f t="shared" si="46"/>
        <v/>
      </c>
      <c r="BH321" s="64" t="str">
        <f t="shared" si="12"/>
        <v>#N/A</v>
      </c>
      <c r="BI321" s="64" t="str">
        <f t="shared" si="13"/>
        <v/>
      </c>
      <c r="BJ321" s="123" t="str">
        <f t="shared" si="14"/>
        <v>#N/A</v>
      </c>
      <c r="BK321" s="64" t="str">
        <f t="shared" si="50"/>
        <v>YES</v>
      </c>
      <c r="BL321" s="64" t="str">
        <f t="shared" si="16"/>
        <v>YES</v>
      </c>
      <c r="BM321" s="64" t="str">
        <f t="shared" si="17"/>
        <v>YES</v>
      </c>
      <c r="BN321" s="124" t="str">
        <f t="shared" si="18"/>
        <v/>
      </c>
      <c r="BO321" s="91" t="str">
        <f t="shared" si="19"/>
        <v/>
      </c>
      <c r="BP321" s="91" t="str">
        <f t="shared" si="20"/>
        <v>#N/A</v>
      </c>
      <c r="BQ321" s="91" t="str">
        <f t="shared" si="21"/>
        <v/>
      </c>
      <c r="BR321" s="93" t="str">
        <f t="shared" si="22"/>
        <v/>
      </c>
      <c r="BS321" s="90" t="str">
        <f t="shared" si="23"/>
        <v/>
      </c>
      <c r="BT321" s="93" t="str">
        <f t="shared" si="24"/>
        <v>NA</v>
      </c>
      <c r="BU321" s="125" t="str">
        <f t="shared" si="25"/>
        <v>#N/A</v>
      </c>
      <c r="BV321" s="93" t="str">
        <f t="shared" si="26"/>
        <v/>
      </c>
      <c r="BW321" s="93" t="str">
        <f t="shared" si="27"/>
        <v/>
      </c>
      <c r="BX321" s="93" t="str">
        <f t="shared" si="28"/>
        <v>NA</v>
      </c>
      <c r="BY321" s="95" t="str">
        <f t="shared" si="29"/>
        <v>#N/A</v>
      </c>
      <c r="BZ321" s="93" t="str">
        <f t="shared" si="30"/>
        <v/>
      </c>
      <c r="CA321" s="93" t="str">
        <f t="shared" si="31"/>
        <v/>
      </c>
      <c r="CB321" s="93" t="str">
        <f t="shared" si="32"/>
        <v>NA</v>
      </c>
      <c r="CC321" s="96" t="str">
        <f t="shared" si="33"/>
        <v>#N/A</v>
      </c>
      <c r="CD321" s="93" t="str">
        <f t="shared" si="34"/>
        <v/>
      </c>
      <c r="CE321" s="93" t="str">
        <f t="shared" si="35"/>
        <v/>
      </c>
      <c r="CF321" s="93" t="str">
        <f t="shared" si="36"/>
        <v>NA</v>
      </c>
      <c r="CG321" s="97" t="str">
        <f t="shared" si="37"/>
        <v>#N/A</v>
      </c>
      <c r="CH321" s="98" t="str">
        <f t="shared" si="38"/>
        <v>#N/A</v>
      </c>
      <c r="CI321" s="99" t="str">
        <f t="shared" si="39"/>
        <v>#N/A</v>
      </c>
      <c r="CJ321" s="126" t="str">
        <f t="shared" si="40"/>
        <v>ERROR: check cell</v>
      </c>
      <c r="CK321" s="126"/>
      <c r="CL321" s="127" t="str">
        <f t="shared" si="41"/>
        <v>#DIV/0!</v>
      </c>
      <c r="CM321" s="128" t="str">
        <f t="shared" si="42"/>
        <v>#DIV/0!</v>
      </c>
      <c r="CN321" s="128">
        <f t="shared" si="43"/>
        <v>4</v>
      </c>
      <c r="CO321" s="129">
        <f t="shared" si="44"/>
        <v>4</v>
      </c>
      <c r="CP321" s="129" t="str">
        <f>IFS(C321=Preferences!B$13,B321,B321=Preferences!B$13,C321)</f>
        <v>#N/A</v>
      </c>
    </row>
    <row r="322" ht="13.5" customHeight="1">
      <c r="A322" s="63" t="str">
        <f t="shared" si="45"/>
        <v/>
      </c>
      <c r="B322" s="64"/>
      <c r="C322" s="64"/>
      <c r="D322" s="64"/>
      <c r="E322" s="65"/>
      <c r="F322" s="65"/>
      <c r="G322" s="65"/>
      <c r="H322" s="66"/>
      <c r="I322" s="66"/>
      <c r="J322" s="67"/>
      <c r="K322" s="68"/>
      <c r="L322" s="104"/>
      <c r="M322" s="104"/>
      <c r="N322" s="104"/>
      <c r="O322" s="104"/>
      <c r="P322" s="107" t="str">
        <f t="shared" si="1"/>
        <v/>
      </c>
      <c r="Q322" s="108" t="str">
        <f>IFERROR(IF(AND(Preferences!B$3="Manual",OR(AX322/AW322&gt;G322/F322,BD322="Serious",BD322="Very serious")),"Assess imprecision",IFS(ISBLANK(E322),"",AND(Preferences!B$3="Automatic", G322/F322&gt;=30),"Extremely serious",AND(H322&lt;=$D$1*-1,J322&lt;0,G322/F322&lt;3),"Not serious",AND(H322&lt;=$D$1*-1,J322&lt;0,G322/F322&gt;=3),"Very serious",AND(H322&gt;=$D$1,I322&gt;0,G322/F322&lt;3),"Not serious",AND(H322&gt;=$D$1,I322&gt;0,G322/F322&gt;=3),"Very serious",AND(H322&lt;=$D$1*-1,J322&gt;0,I322&gt;$D$2*-1,G322/F322&lt;3),"Serious", AND(H322&lt;=$D$1*-1,J322&gt;0,I322&lt;$D$2*-1,G322/F322&lt;3),"Very serious", AND(H322&gt;=$D$1,I322&lt;0,J322&lt;$D$2,G322/F322&lt;3),"Serious",AND(H322&gt;=$D$1,I322&lt;0,J322&gt;$D$2,G322/F322&lt;3),"Very serious", AND(H322&lt;=$D$1*-1,J322&gt;0,I322&gt;$D$2*-1,G322/F322&gt;=3),"Very serious", AND(H322&lt;=$D$1*-1,J322&gt;0,I322&lt;$D$2*-1,G322/F322&gt;=3),"Very serious", AND(H322&gt;=$D$1,I322&lt;0,J322&lt;$D$2,G322/F322&gt;=3),"Very serious", AND(H322&gt;=$D$1,I322&lt;0,J322&gt;$D$2,G322/F322&gt;=3),"Very serious", AND(H322&gt;$D$1*-1,H322&lt;$D$1,I322&gt;$D$1*-1,J322&lt;$D$1,G322/F322&lt;3),"Not serious", AND(H322&gt;$D$1*-1,H322&lt;$D$1,OR(I322&lt;=$D$1*-1,J322&gt;=$D$1),I322&gt;$D$2*-1,J322&lt;$D$2,G322/F322&lt;3),"Serious", AND(H322&gt;$D$1*-1,H322&lt;$D$1,OR(I322&lt;=$D$2*-1,J322&gt;=$D$2),G322/F322&lt;3),"Very serious", AND(H322&gt;$D$1*-1,H322&lt;$D$1,I322&gt;$D$1*-1,J322&lt;$D$1,G322/F322&gt;=3),"Very serious", AND(H322&gt;$D$1*-1,H322&lt;$D$1,OR(I322&lt;=$D$1*-1,J322&gt;=$D$1),I322&gt;$D$2*-1,J322&lt;$D$2,G322/F322&gt;=3),"Very serious", AND(H322&gt;$D$1*-1,H322&lt;$D$1,OR(I322&lt;=$D$2*-1,J322&gt;=$D$2),G322/F322&gt;=3),"Very serious")),"")</f>
        <v/>
      </c>
      <c r="R322" s="109" t="str">
        <f t="shared" si="47"/>
        <v/>
      </c>
      <c r="S322" s="64"/>
      <c r="T322" s="72"/>
      <c r="U322" s="72"/>
      <c r="V322" s="72"/>
      <c r="W322" s="73"/>
      <c r="X322" s="73"/>
      <c r="Y322" s="74"/>
      <c r="Z322" s="113" t="str">
        <f t="array" ref="Z322">INDEX($A$1:$C$500, MATCH(1,($B:$B=$B322)*($C:$C=$AB322),0),1)</f>
        <v/>
      </c>
      <c r="AA322" s="113" t="str">
        <f t="array" ref="AA322">INDEX($A$1:$C$500, MATCH(1,($B:$B=$AB322)*($C:$C=$B322),0),1)</f>
        <v/>
      </c>
      <c r="AB322" s="111"/>
      <c r="AC322" s="114" t="str">
        <f t="shared" si="2"/>
        <v/>
      </c>
      <c r="AD322" s="115" t="str">
        <f t="shared" si="3"/>
        <v/>
      </c>
      <c r="AE322" s="116" t="str">
        <f t="array" ref="AE322">INDEX($A$1:$C$500, MATCH(1,($B:$B=$AB322)*($C:$C=$AG322),0),1)</f>
        <v/>
      </c>
      <c r="AF322" s="116" t="str">
        <f t="array" ref="AF322">INDEX($A$1:$C$500, MATCH(1,($B:$B=$AG322)*($C:$C=$AB322),0),1)</f>
        <v/>
      </c>
      <c r="AG322" s="72"/>
      <c r="AH322" s="114" t="str">
        <f t="shared" si="4"/>
        <v/>
      </c>
      <c r="AI322" s="115" t="str">
        <f t="shared" si="5"/>
        <v/>
      </c>
      <c r="AJ322" s="116" t="str">
        <f t="array" ref="AJ322">INDEX($A$1:$C$500, MATCH(1,($B:$B=$C322)*($C:$C=$AG322),0),1)</f>
        <v/>
      </c>
      <c r="AK322" s="116" t="str">
        <f t="array" ref="AK322">INDEX($A$1:$C$500, MATCH(1,($B:$B=$AG322)*($C:$C=$C322),0),1)</f>
        <v/>
      </c>
      <c r="AL322" s="116" t="str">
        <f t="array" ref="AL322">INDEX($A$1:$C$500, MATCH(1,($B:$B=$C322)*($C:$C=$AB322),0),1)</f>
        <v/>
      </c>
      <c r="AM322" s="116" t="str">
        <f t="array" ref="AM322">INDEX($A$1:$C$500, MATCH(1,($B:$B=$AB322)*($C:$C=$C322),0),1)</f>
        <v/>
      </c>
      <c r="AN322" s="114" t="str">
        <f t="array" ref="AN322">IFS(ISNUMBER(AJ322),AJ322,ISNUMBER(AK322),AK322,ISNUMBER(AL322),AL322,ISNUMBER(AM322),AM322)</f>
        <v>#N/A</v>
      </c>
      <c r="AO322" s="115" t="str">
        <f t="shared" si="6"/>
        <v/>
      </c>
      <c r="AP322" s="115" t="str">
        <f t="shared" si="7"/>
        <v/>
      </c>
      <c r="AQ322" s="111"/>
      <c r="AR322" s="109" t="str">
        <f t="shared" si="8"/>
        <v/>
      </c>
      <c r="AS322" s="72" t="str">
        <f>IFERROR(IF(AND(Preferences!B$3="Manual",OR(AX322/AW322&gt;V322/U322,BD322="Serious",BD322="Very serious")),"Assess imprecision",IFERROR(IFS(AND(Preferences!B$3="Automatic",V322/U322&gt;=30),"Extremely serious",AND(W322&lt;=$D$1*-1,Y322&lt;0,V322/U322&lt;3),"Not Serious",AND(W322&lt;=$D$1*-1,Y322&lt;0,V322/U322&gt;=3),"Very serious",AND(W322&gt;=$D$1,X322&gt;0,V322/U322&lt;3),"Not Serious",AND(W322&gt;=$D$1,X322&gt;0,V322/U322&gt;=3),"Very serious",AND(W322&lt;=$D$1*-1,Y322&gt;0,X322&gt;$D$2*-1,V322/U322&lt;3),"Serious", AND(W322&lt;=$D$1*-1,Y322&gt;0,X322&lt;$D$2*-1,V322/U322&lt;3),"Very serious", AND(W322&gt;=$D$1,X322&lt;0,Y322&lt;$D$2,V322/U322&lt;3),"Serious",AND(W322&gt;=$D$1,X322&lt;0,Y322&gt;$D$2,V322/U322&lt;3),"Very serious", AND(W322&lt;=$D$1*-1,Y322&gt;0,X322&gt;$D$2*-1,V322/U322&gt;=3),"Very serious", AND(W322&lt;=$D$1*-1,Y322&gt;0,X322&lt;$D$2*-1,V322/U322&gt;=3),"Very serious", AND(W322&gt;=$D$1,X322&lt;0,Y322&lt;$D$2,V322/U322&gt;=3),"Very serious", AND(W322&gt;=$D$1,X322&lt;0,Y322&gt;$D$2,V322/U322&gt;=3),"Very serious", AND(W322&gt;$D$1*-1,W322&lt;$D$1,X322&gt;$D$1*-1,Y322&lt;$D$1,V322/U322&lt;3),"Not Serious", AND(W322&gt;$D$1*-1,W322&lt;$D$1,OR(X322&lt;=$D$1*-1,Y322&gt;=$D$1),X322&gt;$D$2*-1,Y322&lt;$D$2,V322/U322&lt;3),"Serious", AND(W322&gt;$D$1*-1,W322&lt;$D$1,OR(X322&lt;=$D$2*-1,Y322&gt;=$D$2),V322/U322&lt;3),"Very serious", AND(W322&gt;$D$1*-1,W322&lt;$D$1,X322&gt;$D$1*-1,Y322&lt;$D$1,V322/U322&gt;=3),"Very serious", AND(W322&gt;$D$1*-1,W322&lt;$D$1,OR(X322&lt;=$D$1*-1,Y322&gt;=$D$1),X322&gt;$D$2*-1,Y322&lt;$D$2,V322/U322&gt;=3),"Very serious", AND(W322&gt;$D$1*-1,W322&lt;$D$1,OR(X322&lt;=$D$2*-1,Y322&gt;=$D$2),V322/U322&gt;=3),"Very serious"),"")),"")</f>
        <v/>
      </c>
      <c r="AT322" s="109" t="str">
        <f t="shared" si="9"/>
        <v/>
      </c>
      <c r="AU322" s="64"/>
      <c r="AV322" s="83"/>
      <c r="AW322" s="83"/>
      <c r="AX322" s="83"/>
      <c r="AY322" s="83"/>
      <c r="AZ322" s="83"/>
      <c r="BA322" s="85"/>
      <c r="BB322" s="86" t="str">
        <f>IF(Preferences!B$9="Manual","",IFS(ISBLANK(B322),"",AND(ISNUMBER(E322)=TRUE,ISNUMBER(T322)=FALSE),"Direct", AND(ISNUMBER(E322)=FALSE,ISNUMBER(T322)=TRUE),"Indirect", CN322=4,"Direct",AND(CL322=FALSE, CM322=TRUE,CN322-CO322&gt;-1),"Direct", AND(CL322=FALSE,CM322=TRUE, CN322-CO322&lt;0),"Check algorithm in appendix 2", AND(CL322=TRUE, CM322=FALSE,CN322-CO322&gt;0),"Check algorithm in appendix 2", AND(CL322=TRUE, CM322=FALSE,CN322-CO322=0),"Indirect", AND(CL322=TRUE, CM322=FALSE,CN322-CO322&lt;0),"Indirect", AND(CL322=FALSE,CM322=FALSE,CN322-CO322&gt;-1),"Direct", AND(CL322=FALSE,CM322=FALSE,CN322-CO322&lt;0),"Check algorithm in appendix 2", AND(CL322=TRUE,CM322=TRUE,CN322-CO322&gt;-1),"Direct", AND(CL322=TRUE,CM322=TRUE,CN322-CO322&lt;0),"Check algorithm in appendix 2"))</f>
        <v/>
      </c>
      <c r="BC322" s="120" t="str">
        <f t="shared" si="10"/>
        <v/>
      </c>
      <c r="BD322" s="140"/>
      <c r="BE322" s="122" t="str">
        <f>IF(Preferences!B$3="Manual","", IFERROR(IFS(AND(Preferences!B$3="Automatic",AX322/AW322&gt;=30),"Extremely serious",AND(AY322&lt;=$D$1*-1,BA322&lt;0,AX322/AW322&lt;3),"Not Serious",AND(AY322&lt;=$D$1*-1,BA322&lt;0,AX322/AW322&gt;=3),"Very serious",AND(AY322&gt;=$D$1,AZ322&gt;0,AX322/AW322&lt;3),"Not Serious",AND(AY322&gt;=$D$1,AZ322&gt;0,AX322/AW322&gt;=3),"Very serious",AND(AY322&lt;=$D$1*-1,BA322&gt;0,AZ322&gt;$D$2*-1,AX322/AW322&lt;3),"Serious", AND(AY322&lt;=$D$1*-1,BA322&gt;0,AZ322&lt;$D$2*-1,AX322/AW322&lt;3),"Very serious", AND(AY322&gt;=$D$1,AZ322&lt;0,BA322&lt;$D$2,AX322/AW322&lt;3),"Serious",AND(AY322&gt;=$D$1,AZ322&lt;0,BA322&gt;$D$2,AX322/AW322&lt;3),"Very serious", AND(AY322&lt;=$D$1*-1,BA322&gt;0,AZ322&gt;$D$2*-1,AX322/AW322&gt;=3),"Very serious", AND(AY322&lt;=$D$1*-1,BA322&gt;0,AZ322&lt;$D$2*-1,AX322/AW322&gt;=3),"Very serious", AND(AY322&gt;=$D$1,AZ322&lt;0,BA322&lt;$D$2,AX322/AW322&gt;=3),"Very serious", AND(AY322&gt;=$D$1,AZ322&lt;0,BA322&gt;$D$2,AX322/AW322&gt;=3),"Very serious", AND(AY322&gt;$D$1*-1,AY322&lt;$D$1,AZ322&gt;$D$1*-1,BA322&lt;$D$1,AX322/AW322&lt;3),"Not Serious", AND(AY322&gt;$D$1*-1,AY322&lt;$D$1,OR(AZ322&lt;=$D$1*-1,BA322&gt;=$D$1),AZ322&gt;$D$2*-1,BA322&lt;$D$2,AX322/AW322&lt;3),"Serious", AND(AY322&gt;$D$1*-1,AY322&lt;$D$1,OR(AZ322&lt;=$D$2*-1,BA322&gt;=$D$2),AX322/AW322&lt;3),"Very serious", AND(AY322&gt;$D$1*-1,AY322&lt;$D$1,AZ322&gt;$D$1*-1,BA322&lt;$D$1,AX322/AW322&gt;=3),"Very serious", AND(AY322&gt;$D$1*-1,AY322&lt;$D$1,OR(AZ322&lt;=$D$1*-1,BA322&gt;=$D$1),AZ322&gt;$D$2*-1,BA322&lt;$D$2,AX322/AW322&gt;=3),"Very serious", AND(AY322&gt;$D$1*-1,AY322&lt;$D$1,OR(AZ322&lt;=$D$2*-1,BA322&gt;=$D$2),AX322/AW322&gt;=3),"Very serious"),""))</f>
        <v/>
      </c>
      <c r="BF322" s="107" t="str">
        <f t="shared" si="11"/>
        <v/>
      </c>
      <c r="BG322" s="94" t="str">
        <f t="shared" si="46"/>
        <v/>
      </c>
      <c r="BH322" s="64" t="str">
        <f t="shared" si="12"/>
        <v>#N/A</v>
      </c>
      <c r="BI322" s="64" t="str">
        <f t="shared" si="13"/>
        <v/>
      </c>
      <c r="BJ322" s="123" t="str">
        <f t="shared" si="14"/>
        <v>#N/A</v>
      </c>
      <c r="BK322" s="64" t="str">
        <f t="shared" si="50"/>
        <v>YES</v>
      </c>
      <c r="BL322" s="64" t="str">
        <f t="shared" si="16"/>
        <v>YES</v>
      </c>
      <c r="BM322" s="64" t="str">
        <f t="shared" si="17"/>
        <v>YES</v>
      </c>
      <c r="BN322" s="124" t="str">
        <f t="shared" si="18"/>
        <v/>
      </c>
      <c r="BO322" s="91" t="str">
        <f t="shared" si="19"/>
        <v/>
      </c>
      <c r="BP322" s="91" t="str">
        <f t="shared" si="20"/>
        <v>#N/A</v>
      </c>
      <c r="BQ322" s="91" t="str">
        <f t="shared" si="21"/>
        <v/>
      </c>
      <c r="BR322" s="93" t="str">
        <f t="shared" si="22"/>
        <v/>
      </c>
      <c r="BS322" s="90" t="str">
        <f t="shared" si="23"/>
        <v/>
      </c>
      <c r="BT322" s="93" t="str">
        <f t="shared" si="24"/>
        <v>NA</v>
      </c>
      <c r="BU322" s="125" t="str">
        <f t="shared" si="25"/>
        <v>#N/A</v>
      </c>
      <c r="BV322" s="93" t="str">
        <f t="shared" si="26"/>
        <v/>
      </c>
      <c r="BW322" s="93" t="str">
        <f t="shared" si="27"/>
        <v/>
      </c>
      <c r="BX322" s="93" t="str">
        <f t="shared" si="28"/>
        <v>NA</v>
      </c>
      <c r="BY322" s="95" t="str">
        <f t="shared" si="29"/>
        <v>#N/A</v>
      </c>
      <c r="BZ322" s="93" t="str">
        <f t="shared" si="30"/>
        <v/>
      </c>
      <c r="CA322" s="93" t="str">
        <f t="shared" si="31"/>
        <v/>
      </c>
      <c r="CB322" s="93" t="str">
        <f t="shared" si="32"/>
        <v>NA</v>
      </c>
      <c r="CC322" s="96" t="str">
        <f t="shared" si="33"/>
        <v>#N/A</v>
      </c>
      <c r="CD322" s="93" t="str">
        <f t="shared" si="34"/>
        <v/>
      </c>
      <c r="CE322" s="93" t="str">
        <f t="shared" si="35"/>
        <v/>
      </c>
      <c r="CF322" s="93" t="str">
        <f t="shared" si="36"/>
        <v>NA</v>
      </c>
      <c r="CG322" s="97" t="str">
        <f t="shared" si="37"/>
        <v>#N/A</v>
      </c>
      <c r="CH322" s="98" t="str">
        <f t="shared" si="38"/>
        <v>#N/A</v>
      </c>
      <c r="CI322" s="99" t="str">
        <f t="shared" si="39"/>
        <v>#N/A</v>
      </c>
      <c r="CJ322" s="126" t="str">
        <f t="shared" si="40"/>
        <v>ERROR: check cell</v>
      </c>
      <c r="CK322" s="126"/>
      <c r="CL322" s="127" t="str">
        <f t="shared" si="41"/>
        <v>#DIV/0!</v>
      </c>
      <c r="CM322" s="128" t="str">
        <f t="shared" si="42"/>
        <v>#DIV/0!</v>
      </c>
      <c r="CN322" s="128">
        <f t="shared" si="43"/>
        <v>4</v>
      </c>
      <c r="CO322" s="129">
        <f t="shared" si="44"/>
        <v>4</v>
      </c>
      <c r="CP322" s="129" t="str">
        <f>IFS(C322=Preferences!B$13,B322,B322=Preferences!B$13,C322)</f>
        <v>#N/A</v>
      </c>
    </row>
    <row r="323" ht="13.5" customHeight="1">
      <c r="A323" s="63" t="str">
        <f t="shared" si="45"/>
        <v/>
      </c>
      <c r="B323" s="64"/>
      <c r="C323" s="64"/>
      <c r="D323" s="64"/>
      <c r="E323" s="65"/>
      <c r="F323" s="65"/>
      <c r="G323" s="65"/>
      <c r="H323" s="66"/>
      <c r="I323" s="66"/>
      <c r="J323" s="67"/>
      <c r="K323" s="68"/>
      <c r="L323" s="104"/>
      <c r="M323" s="104"/>
      <c r="N323" s="104"/>
      <c r="O323" s="104"/>
      <c r="P323" s="107" t="str">
        <f t="shared" si="1"/>
        <v/>
      </c>
      <c r="Q323" s="108" t="str">
        <f>IFERROR(IF(AND(Preferences!B$3="Manual",OR(AX323/AW323&gt;G323/F323,BD323="Serious",BD323="Very serious")),"Assess imprecision",IFS(ISBLANK(E323),"",AND(Preferences!B$3="Automatic", G323/F323&gt;=30),"Extremely serious",AND(H323&lt;=$D$1*-1,J323&lt;0,G323/F323&lt;3),"Not serious",AND(H323&lt;=$D$1*-1,J323&lt;0,G323/F323&gt;=3),"Very serious",AND(H323&gt;=$D$1,I323&gt;0,G323/F323&lt;3),"Not serious",AND(H323&gt;=$D$1,I323&gt;0,G323/F323&gt;=3),"Very serious",AND(H323&lt;=$D$1*-1,J323&gt;0,I323&gt;$D$2*-1,G323/F323&lt;3),"Serious", AND(H323&lt;=$D$1*-1,J323&gt;0,I323&lt;$D$2*-1,G323/F323&lt;3),"Very serious", AND(H323&gt;=$D$1,I323&lt;0,J323&lt;$D$2,G323/F323&lt;3),"Serious",AND(H323&gt;=$D$1,I323&lt;0,J323&gt;$D$2,G323/F323&lt;3),"Very serious", AND(H323&lt;=$D$1*-1,J323&gt;0,I323&gt;$D$2*-1,G323/F323&gt;=3),"Very serious", AND(H323&lt;=$D$1*-1,J323&gt;0,I323&lt;$D$2*-1,G323/F323&gt;=3),"Very serious", AND(H323&gt;=$D$1,I323&lt;0,J323&lt;$D$2,G323/F323&gt;=3),"Very serious", AND(H323&gt;=$D$1,I323&lt;0,J323&gt;$D$2,G323/F323&gt;=3),"Very serious", AND(H323&gt;$D$1*-1,H323&lt;$D$1,I323&gt;$D$1*-1,J323&lt;$D$1,G323/F323&lt;3),"Not serious", AND(H323&gt;$D$1*-1,H323&lt;$D$1,OR(I323&lt;=$D$1*-1,J323&gt;=$D$1),I323&gt;$D$2*-1,J323&lt;$D$2,G323/F323&lt;3),"Serious", AND(H323&gt;$D$1*-1,H323&lt;$D$1,OR(I323&lt;=$D$2*-1,J323&gt;=$D$2),G323/F323&lt;3),"Very serious", AND(H323&gt;$D$1*-1,H323&lt;$D$1,I323&gt;$D$1*-1,J323&lt;$D$1,G323/F323&gt;=3),"Very serious", AND(H323&gt;$D$1*-1,H323&lt;$D$1,OR(I323&lt;=$D$1*-1,J323&gt;=$D$1),I323&gt;$D$2*-1,J323&lt;$D$2,G323/F323&gt;=3),"Very serious", AND(H323&gt;$D$1*-1,H323&lt;$D$1,OR(I323&lt;=$D$2*-1,J323&gt;=$D$2),G323/F323&gt;=3),"Very serious")),"")</f>
        <v/>
      </c>
      <c r="R323" s="109" t="str">
        <f t="shared" si="47"/>
        <v/>
      </c>
      <c r="S323" s="64"/>
      <c r="T323" s="72"/>
      <c r="U323" s="72"/>
      <c r="V323" s="72"/>
      <c r="W323" s="73"/>
      <c r="X323" s="73"/>
      <c r="Y323" s="74"/>
      <c r="Z323" s="113" t="str">
        <f t="array" ref="Z323">INDEX($A$1:$C$500, MATCH(1,($B:$B=$B323)*($C:$C=$AB323),0),1)</f>
        <v/>
      </c>
      <c r="AA323" s="113" t="str">
        <f t="array" ref="AA323">INDEX($A$1:$C$500, MATCH(1,($B:$B=$AB323)*($C:$C=$B323),0),1)</f>
        <v/>
      </c>
      <c r="AB323" s="111"/>
      <c r="AC323" s="114" t="str">
        <f t="shared" si="2"/>
        <v/>
      </c>
      <c r="AD323" s="115" t="str">
        <f t="shared" si="3"/>
        <v/>
      </c>
      <c r="AE323" s="116" t="str">
        <f t="array" ref="AE323">INDEX($A$1:$C$500, MATCH(1,($B:$B=$AB323)*($C:$C=$AG323),0),1)</f>
        <v/>
      </c>
      <c r="AF323" s="116" t="str">
        <f t="array" ref="AF323">INDEX($A$1:$C$500, MATCH(1,($B:$B=$AG323)*($C:$C=$AB323),0),1)</f>
        <v/>
      </c>
      <c r="AG323" s="72"/>
      <c r="AH323" s="114" t="str">
        <f t="shared" si="4"/>
        <v/>
      </c>
      <c r="AI323" s="115" t="str">
        <f t="shared" si="5"/>
        <v/>
      </c>
      <c r="AJ323" s="116" t="str">
        <f t="array" ref="AJ323">INDEX($A$1:$C$500, MATCH(1,($B:$B=$C323)*($C:$C=$AG323),0),1)</f>
        <v/>
      </c>
      <c r="AK323" s="116" t="str">
        <f t="array" ref="AK323">INDEX($A$1:$C$500, MATCH(1,($B:$B=$AG323)*($C:$C=$C323),0),1)</f>
        <v/>
      </c>
      <c r="AL323" s="116" t="str">
        <f t="array" ref="AL323">INDEX($A$1:$C$500, MATCH(1,($B:$B=$C323)*($C:$C=$AB323),0),1)</f>
        <v/>
      </c>
      <c r="AM323" s="116" t="str">
        <f t="array" ref="AM323">INDEX($A$1:$C$500, MATCH(1,($B:$B=$AB323)*($C:$C=$C323),0),1)</f>
        <v/>
      </c>
      <c r="AN323" s="114" t="str">
        <f t="array" ref="AN323">IFS(ISNUMBER(AJ323),AJ323,ISNUMBER(AK323),AK323,ISNUMBER(AL323),AL323,ISNUMBER(AM323),AM323)</f>
        <v>#N/A</v>
      </c>
      <c r="AO323" s="115" t="str">
        <f t="shared" si="6"/>
        <v/>
      </c>
      <c r="AP323" s="115" t="str">
        <f t="shared" si="7"/>
        <v/>
      </c>
      <c r="AQ323" s="111"/>
      <c r="AR323" s="109" t="str">
        <f t="shared" si="8"/>
        <v/>
      </c>
      <c r="AS323" s="72" t="str">
        <f>IFERROR(IF(AND(Preferences!B$3="Manual",OR(AX323/AW323&gt;V323/U323,BD323="Serious",BD323="Very serious")),"Assess imprecision",IFERROR(IFS(AND(Preferences!B$3="Automatic",V323/U323&gt;=30),"Extremely serious",AND(W323&lt;=$D$1*-1,Y323&lt;0,V323/U323&lt;3),"Not Serious",AND(W323&lt;=$D$1*-1,Y323&lt;0,V323/U323&gt;=3),"Very serious",AND(W323&gt;=$D$1,X323&gt;0,V323/U323&lt;3),"Not Serious",AND(W323&gt;=$D$1,X323&gt;0,V323/U323&gt;=3),"Very serious",AND(W323&lt;=$D$1*-1,Y323&gt;0,X323&gt;$D$2*-1,V323/U323&lt;3),"Serious", AND(W323&lt;=$D$1*-1,Y323&gt;0,X323&lt;$D$2*-1,V323/U323&lt;3),"Very serious", AND(W323&gt;=$D$1,X323&lt;0,Y323&lt;$D$2,V323/U323&lt;3),"Serious",AND(W323&gt;=$D$1,X323&lt;0,Y323&gt;$D$2,V323/U323&lt;3),"Very serious", AND(W323&lt;=$D$1*-1,Y323&gt;0,X323&gt;$D$2*-1,V323/U323&gt;=3),"Very serious", AND(W323&lt;=$D$1*-1,Y323&gt;0,X323&lt;$D$2*-1,V323/U323&gt;=3),"Very serious", AND(W323&gt;=$D$1,X323&lt;0,Y323&lt;$D$2,V323/U323&gt;=3),"Very serious", AND(W323&gt;=$D$1,X323&lt;0,Y323&gt;$D$2,V323/U323&gt;=3),"Very serious", AND(W323&gt;$D$1*-1,W323&lt;$D$1,X323&gt;$D$1*-1,Y323&lt;$D$1,V323/U323&lt;3),"Not Serious", AND(W323&gt;$D$1*-1,W323&lt;$D$1,OR(X323&lt;=$D$1*-1,Y323&gt;=$D$1),X323&gt;$D$2*-1,Y323&lt;$D$2,V323/U323&lt;3),"Serious", AND(W323&gt;$D$1*-1,W323&lt;$D$1,OR(X323&lt;=$D$2*-1,Y323&gt;=$D$2),V323/U323&lt;3),"Very serious", AND(W323&gt;$D$1*-1,W323&lt;$D$1,X323&gt;$D$1*-1,Y323&lt;$D$1,V323/U323&gt;=3),"Very serious", AND(W323&gt;$D$1*-1,W323&lt;$D$1,OR(X323&lt;=$D$1*-1,Y323&gt;=$D$1),X323&gt;$D$2*-1,Y323&lt;$D$2,V323/U323&gt;=3),"Very serious", AND(W323&gt;$D$1*-1,W323&lt;$D$1,OR(X323&lt;=$D$2*-1,Y323&gt;=$D$2),V323/U323&gt;=3),"Very serious"),"")),"")</f>
        <v/>
      </c>
      <c r="AT323" s="109" t="str">
        <f t="shared" si="9"/>
        <v/>
      </c>
      <c r="AU323" s="64"/>
      <c r="AV323" s="83"/>
      <c r="AW323" s="83"/>
      <c r="AX323" s="83"/>
      <c r="AY323" s="83"/>
      <c r="AZ323" s="83"/>
      <c r="BA323" s="85"/>
      <c r="BB323" s="86" t="str">
        <f>IF(Preferences!B$9="Manual","",IFS(ISBLANK(B323),"",AND(ISNUMBER(E323)=TRUE,ISNUMBER(T323)=FALSE),"Direct", AND(ISNUMBER(E323)=FALSE,ISNUMBER(T323)=TRUE),"Indirect", CN323=4,"Direct",AND(CL323=FALSE, CM323=TRUE,CN323-CO323&gt;-1),"Direct", AND(CL323=FALSE,CM323=TRUE, CN323-CO323&lt;0),"Check algorithm in appendix 2", AND(CL323=TRUE, CM323=FALSE,CN323-CO323&gt;0),"Check algorithm in appendix 2", AND(CL323=TRUE, CM323=FALSE,CN323-CO323=0),"Indirect", AND(CL323=TRUE, CM323=FALSE,CN323-CO323&lt;0),"Indirect", AND(CL323=FALSE,CM323=FALSE,CN323-CO323&gt;-1),"Direct", AND(CL323=FALSE,CM323=FALSE,CN323-CO323&lt;0),"Check algorithm in appendix 2", AND(CL323=TRUE,CM323=TRUE,CN323-CO323&gt;-1),"Direct", AND(CL323=TRUE,CM323=TRUE,CN323-CO323&lt;0),"Check algorithm in appendix 2"))</f>
        <v/>
      </c>
      <c r="BC323" s="120" t="str">
        <f t="shared" si="10"/>
        <v/>
      </c>
      <c r="BD323" s="140"/>
      <c r="BE323" s="122" t="str">
        <f>IF(Preferences!B$3="Manual","", IFERROR(IFS(AND(Preferences!B$3="Automatic",AX323/AW323&gt;=30),"Extremely serious",AND(AY323&lt;=$D$1*-1,BA323&lt;0,AX323/AW323&lt;3),"Not Serious",AND(AY323&lt;=$D$1*-1,BA323&lt;0,AX323/AW323&gt;=3),"Very serious",AND(AY323&gt;=$D$1,AZ323&gt;0,AX323/AW323&lt;3),"Not Serious",AND(AY323&gt;=$D$1,AZ323&gt;0,AX323/AW323&gt;=3),"Very serious",AND(AY323&lt;=$D$1*-1,BA323&gt;0,AZ323&gt;$D$2*-1,AX323/AW323&lt;3),"Serious", AND(AY323&lt;=$D$1*-1,BA323&gt;0,AZ323&lt;$D$2*-1,AX323/AW323&lt;3),"Very serious", AND(AY323&gt;=$D$1,AZ323&lt;0,BA323&lt;$D$2,AX323/AW323&lt;3),"Serious",AND(AY323&gt;=$D$1,AZ323&lt;0,BA323&gt;$D$2,AX323/AW323&lt;3),"Very serious", AND(AY323&lt;=$D$1*-1,BA323&gt;0,AZ323&gt;$D$2*-1,AX323/AW323&gt;=3),"Very serious", AND(AY323&lt;=$D$1*-1,BA323&gt;0,AZ323&lt;$D$2*-1,AX323/AW323&gt;=3),"Very serious", AND(AY323&gt;=$D$1,AZ323&lt;0,BA323&lt;$D$2,AX323/AW323&gt;=3),"Very serious", AND(AY323&gt;=$D$1,AZ323&lt;0,BA323&gt;$D$2,AX323/AW323&gt;=3),"Very serious", AND(AY323&gt;$D$1*-1,AY323&lt;$D$1,AZ323&gt;$D$1*-1,BA323&lt;$D$1,AX323/AW323&lt;3),"Not Serious", AND(AY323&gt;$D$1*-1,AY323&lt;$D$1,OR(AZ323&lt;=$D$1*-1,BA323&gt;=$D$1),AZ323&gt;$D$2*-1,BA323&lt;$D$2,AX323/AW323&lt;3),"Serious", AND(AY323&gt;$D$1*-1,AY323&lt;$D$1,OR(AZ323&lt;=$D$2*-1,BA323&gt;=$D$2),AX323/AW323&lt;3),"Very serious", AND(AY323&gt;$D$1*-1,AY323&lt;$D$1,AZ323&gt;$D$1*-1,BA323&lt;$D$1,AX323/AW323&gt;=3),"Very serious", AND(AY323&gt;$D$1*-1,AY323&lt;$D$1,OR(AZ323&lt;=$D$1*-1,BA323&gt;=$D$1),AZ323&gt;$D$2*-1,BA323&lt;$D$2,AX323/AW323&gt;=3),"Very serious", AND(AY323&gt;$D$1*-1,AY323&lt;$D$1,OR(AZ323&lt;=$D$2*-1,BA323&gt;=$D$2),AX323/AW323&gt;=3),"Very serious"),""))</f>
        <v/>
      </c>
      <c r="BF323" s="107" t="str">
        <f t="shared" si="11"/>
        <v/>
      </c>
      <c r="BG323" s="94" t="str">
        <f t="shared" si="46"/>
        <v/>
      </c>
      <c r="BH323" s="64" t="str">
        <f t="shared" si="12"/>
        <v>#N/A</v>
      </c>
      <c r="BI323" s="64" t="str">
        <f t="shared" si="13"/>
        <v/>
      </c>
      <c r="BJ323" s="123" t="str">
        <f t="shared" si="14"/>
        <v>#N/A</v>
      </c>
      <c r="BK323" s="64" t="str">
        <f t="shared" si="50"/>
        <v>YES</v>
      </c>
      <c r="BL323" s="64" t="str">
        <f t="shared" si="16"/>
        <v>YES</v>
      </c>
      <c r="BM323" s="64" t="str">
        <f t="shared" si="17"/>
        <v>YES</v>
      </c>
      <c r="BN323" s="124" t="str">
        <f t="shared" si="18"/>
        <v/>
      </c>
      <c r="BO323" s="91" t="str">
        <f t="shared" si="19"/>
        <v/>
      </c>
      <c r="BP323" s="91" t="str">
        <f t="shared" si="20"/>
        <v>#N/A</v>
      </c>
      <c r="BQ323" s="91" t="str">
        <f t="shared" si="21"/>
        <v/>
      </c>
      <c r="BR323" s="93" t="str">
        <f t="shared" si="22"/>
        <v/>
      </c>
      <c r="BS323" s="90" t="str">
        <f t="shared" si="23"/>
        <v/>
      </c>
      <c r="BT323" s="93" t="str">
        <f t="shared" si="24"/>
        <v>NA</v>
      </c>
      <c r="BU323" s="125" t="str">
        <f t="shared" si="25"/>
        <v>#N/A</v>
      </c>
      <c r="BV323" s="93" t="str">
        <f t="shared" si="26"/>
        <v/>
      </c>
      <c r="BW323" s="93" t="str">
        <f t="shared" si="27"/>
        <v/>
      </c>
      <c r="BX323" s="93" t="str">
        <f t="shared" si="28"/>
        <v>NA</v>
      </c>
      <c r="BY323" s="95" t="str">
        <f t="shared" si="29"/>
        <v>#N/A</v>
      </c>
      <c r="BZ323" s="93" t="str">
        <f t="shared" si="30"/>
        <v/>
      </c>
      <c r="CA323" s="93" t="str">
        <f t="shared" si="31"/>
        <v/>
      </c>
      <c r="CB323" s="93" t="str">
        <f t="shared" si="32"/>
        <v>NA</v>
      </c>
      <c r="CC323" s="96" t="str">
        <f t="shared" si="33"/>
        <v>#N/A</v>
      </c>
      <c r="CD323" s="93" t="str">
        <f t="shared" si="34"/>
        <v/>
      </c>
      <c r="CE323" s="93" t="str">
        <f t="shared" si="35"/>
        <v/>
      </c>
      <c r="CF323" s="93" t="str">
        <f t="shared" si="36"/>
        <v>NA</v>
      </c>
      <c r="CG323" s="97" t="str">
        <f t="shared" si="37"/>
        <v>#N/A</v>
      </c>
      <c r="CH323" s="98" t="str">
        <f t="shared" si="38"/>
        <v>#N/A</v>
      </c>
      <c r="CI323" s="99" t="str">
        <f t="shared" si="39"/>
        <v>#N/A</v>
      </c>
      <c r="CJ323" s="126" t="str">
        <f t="shared" si="40"/>
        <v>ERROR: check cell</v>
      </c>
      <c r="CK323" s="126"/>
      <c r="CL323" s="127" t="str">
        <f t="shared" si="41"/>
        <v>#DIV/0!</v>
      </c>
      <c r="CM323" s="128" t="str">
        <f t="shared" si="42"/>
        <v>#DIV/0!</v>
      </c>
      <c r="CN323" s="128">
        <f t="shared" si="43"/>
        <v>4</v>
      </c>
      <c r="CO323" s="129">
        <f t="shared" si="44"/>
        <v>4</v>
      </c>
      <c r="CP323" s="129" t="str">
        <f>IFS(C323=Preferences!B$13,B323,B323=Preferences!B$13,C323)</f>
        <v>#N/A</v>
      </c>
    </row>
    <row r="324" ht="13.5" customHeight="1">
      <c r="A324" s="63" t="str">
        <f t="shared" si="45"/>
        <v/>
      </c>
      <c r="B324" s="64"/>
      <c r="C324" s="64"/>
      <c r="D324" s="64"/>
      <c r="E324" s="65"/>
      <c r="F324" s="65"/>
      <c r="G324" s="65"/>
      <c r="H324" s="66"/>
      <c r="I324" s="66"/>
      <c r="J324" s="67"/>
      <c r="K324" s="68"/>
      <c r="L324" s="104"/>
      <c r="M324" s="104"/>
      <c r="N324" s="104"/>
      <c r="O324" s="104"/>
      <c r="P324" s="107" t="str">
        <f t="shared" si="1"/>
        <v/>
      </c>
      <c r="Q324" s="108" t="str">
        <f>IFERROR(IF(AND(Preferences!B$3="Manual",OR(AX324/AW324&gt;G324/F324,BD324="Serious",BD324="Very serious")),"Assess imprecision",IFS(ISBLANK(E324),"",AND(Preferences!B$3="Automatic", G324/F324&gt;=30),"Extremely serious",AND(H324&lt;=$D$1*-1,J324&lt;0,G324/F324&lt;3),"Not serious",AND(H324&lt;=$D$1*-1,J324&lt;0,G324/F324&gt;=3),"Very serious",AND(H324&gt;=$D$1,I324&gt;0,G324/F324&lt;3),"Not serious",AND(H324&gt;=$D$1,I324&gt;0,G324/F324&gt;=3),"Very serious",AND(H324&lt;=$D$1*-1,J324&gt;0,I324&gt;$D$2*-1,G324/F324&lt;3),"Serious", AND(H324&lt;=$D$1*-1,J324&gt;0,I324&lt;$D$2*-1,G324/F324&lt;3),"Very serious", AND(H324&gt;=$D$1,I324&lt;0,J324&lt;$D$2,G324/F324&lt;3),"Serious",AND(H324&gt;=$D$1,I324&lt;0,J324&gt;$D$2,G324/F324&lt;3),"Very serious", AND(H324&lt;=$D$1*-1,J324&gt;0,I324&gt;$D$2*-1,G324/F324&gt;=3),"Very serious", AND(H324&lt;=$D$1*-1,J324&gt;0,I324&lt;$D$2*-1,G324/F324&gt;=3),"Very serious", AND(H324&gt;=$D$1,I324&lt;0,J324&lt;$D$2,G324/F324&gt;=3),"Very serious", AND(H324&gt;=$D$1,I324&lt;0,J324&gt;$D$2,G324/F324&gt;=3),"Very serious", AND(H324&gt;$D$1*-1,H324&lt;$D$1,I324&gt;$D$1*-1,J324&lt;$D$1,G324/F324&lt;3),"Not serious", AND(H324&gt;$D$1*-1,H324&lt;$D$1,OR(I324&lt;=$D$1*-1,J324&gt;=$D$1),I324&gt;$D$2*-1,J324&lt;$D$2,G324/F324&lt;3),"Serious", AND(H324&gt;$D$1*-1,H324&lt;$D$1,OR(I324&lt;=$D$2*-1,J324&gt;=$D$2),G324/F324&lt;3),"Very serious", AND(H324&gt;$D$1*-1,H324&lt;$D$1,I324&gt;$D$1*-1,J324&lt;$D$1,G324/F324&gt;=3),"Very serious", AND(H324&gt;$D$1*-1,H324&lt;$D$1,OR(I324&lt;=$D$1*-1,J324&gt;=$D$1),I324&gt;$D$2*-1,J324&lt;$D$2,G324/F324&gt;=3),"Very serious", AND(H324&gt;$D$1*-1,H324&lt;$D$1,OR(I324&lt;=$D$2*-1,J324&gt;=$D$2),G324/F324&gt;=3),"Very serious")),"")</f>
        <v/>
      </c>
      <c r="R324" s="109" t="str">
        <f t="shared" si="47"/>
        <v/>
      </c>
      <c r="S324" s="64"/>
      <c r="T324" s="72"/>
      <c r="U324" s="72"/>
      <c r="V324" s="72"/>
      <c r="W324" s="73"/>
      <c r="X324" s="73"/>
      <c r="Y324" s="74"/>
      <c r="Z324" s="113" t="str">
        <f t="array" ref="Z324">INDEX($A$1:$C$500, MATCH(1,($B:$B=$B324)*($C:$C=$AB324),0),1)</f>
        <v/>
      </c>
      <c r="AA324" s="113" t="str">
        <f t="array" ref="AA324">INDEX($A$1:$C$500, MATCH(1,($B:$B=$AB324)*($C:$C=$B324),0),1)</f>
        <v/>
      </c>
      <c r="AB324" s="111"/>
      <c r="AC324" s="114" t="str">
        <f t="shared" si="2"/>
        <v/>
      </c>
      <c r="AD324" s="115" t="str">
        <f t="shared" si="3"/>
        <v/>
      </c>
      <c r="AE324" s="116" t="str">
        <f t="array" ref="AE324">INDEX($A$1:$C$500, MATCH(1,($B:$B=$AB324)*($C:$C=$AG324),0),1)</f>
        <v/>
      </c>
      <c r="AF324" s="116" t="str">
        <f t="array" ref="AF324">INDEX($A$1:$C$500, MATCH(1,($B:$B=$AG324)*($C:$C=$AB324),0),1)</f>
        <v/>
      </c>
      <c r="AG324" s="72"/>
      <c r="AH324" s="114" t="str">
        <f t="shared" si="4"/>
        <v/>
      </c>
      <c r="AI324" s="115" t="str">
        <f t="shared" si="5"/>
        <v/>
      </c>
      <c r="AJ324" s="116" t="str">
        <f t="array" ref="AJ324">INDEX($A$1:$C$500, MATCH(1,($B:$B=$C324)*($C:$C=$AG324),0),1)</f>
        <v/>
      </c>
      <c r="AK324" s="116" t="str">
        <f t="array" ref="AK324">INDEX($A$1:$C$500, MATCH(1,($B:$B=$AG324)*($C:$C=$C324),0),1)</f>
        <v/>
      </c>
      <c r="AL324" s="116" t="str">
        <f t="array" ref="AL324">INDEX($A$1:$C$500, MATCH(1,($B:$B=$C324)*($C:$C=$AB324),0),1)</f>
        <v/>
      </c>
      <c r="AM324" s="116" t="str">
        <f t="array" ref="AM324">INDEX($A$1:$C$500, MATCH(1,($B:$B=$AB324)*($C:$C=$C324),0),1)</f>
        <v/>
      </c>
      <c r="AN324" s="114" t="str">
        <f t="array" ref="AN324">IFS(ISNUMBER(AJ324),AJ324,ISNUMBER(AK324),AK324,ISNUMBER(AL324),AL324,ISNUMBER(AM324),AM324)</f>
        <v>#N/A</v>
      </c>
      <c r="AO324" s="115" t="str">
        <f t="shared" si="6"/>
        <v/>
      </c>
      <c r="AP324" s="115" t="str">
        <f t="shared" si="7"/>
        <v/>
      </c>
      <c r="AQ324" s="111"/>
      <c r="AR324" s="109" t="str">
        <f t="shared" si="8"/>
        <v/>
      </c>
      <c r="AS324" s="72" t="str">
        <f>IFERROR(IF(AND(Preferences!B$3="Manual",OR(AX324/AW324&gt;V324/U324,BD324="Serious",BD324="Very serious")),"Assess imprecision",IFERROR(IFS(AND(Preferences!B$3="Automatic",V324/U324&gt;=30),"Extremely serious",AND(W324&lt;=$D$1*-1,Y324&lt;0,V324/U324&lt;3),"Not Serious",AND(W324&lt;=$D$1*-1,Y324&lt;0,V324/U324&gt;=3),"Very serious",AND(W324&gt;=$D$1,X324&gt;0,V324/U324&lt;3),"Not Serious",AND(W324&gt;=$D$1,X324&gt;0,V324/U324&gt;=3),"Very serious",AND(W324&lt;=$D$1*-1,Y324&gt;0,X324&gt;$D$2*-1,V324/U324&lt;3),"Serious", AND(W324&lt;=$D$1*-1,Y324&gt;0,X324&lt;$D$2*-1,V324/U324&lt;3),"Very serious", AND(W324&gt;=$D$1,X324&lt;0,Y324&lt;$D$2,V324/U324&lt;3),"Serious",AND(W324&gt;=$D$1,X324&lt;0,Y324&gt;$D$2,V324/U324&lt;3),"Very serious", AND(W324&lt;=$D$1*-1,Y324&gt;0,X324&gt;$D$2*-1,V324/U324&gt;=3),"Very serious", AND(W324&lt;=$D$1*-1,Y324&gt;0,X324&lt;$D$2*-1,V324/U324&gt;=3),"Very serious", AND(W324&gt;=$D$1,X324&lt;0,Y324&lt;$D$2,V324/U324&gt;=3),"Very serious", AND(W324&gt;=$D$1,X324&lt;0,Y324&gt;$D$2,V324/U324&gt;=3),"Very serious", AND(W324&gt;$D$1*-1,W324&lt;$D$1,X324&gt;$D$1*-1,Y324&lt;$D$1,V324/U324&lt;3),"Not Serious", AND(W324&gt;$D$1*-1,W324&lt;$D$1,OR(X324&lt;=$D$1*-1,Y324&gt;=$D$1),X324&gt;$D$2*-1,Y324&lt;$D$2,V324/U324&lt;3),"Serious", AND(W324&gt;$D$1*-1,W324&lt;$D$1,OR(X324&lt;=$D$2*-1,Y324&gt;=$D$2),V324/U324&lt;3),"Very serious", AND(W324&gt;$D$1*-1,W324&lt;$D$1,X324&gt;$D$1*-1,Y324&lt;$D$1,V324/U324&gt;=3),"Very serious", AND(W324&gt;$D$1*-1,W324&lt;$D$1,OR(X324&lt;=$D$1*-1,Y324&gt;=$D$1),X324&gt;$D$2*-1,Y324&lt;$D$2,V324/U324&gt;=3),"Very serious", AND(W324&gt;$D$1*-1,W324&lt;$D$1,OR(X324&lt;=$D$2*-1,Y324&gt;=$D$2),V324/U324&gt;=3),"Very serious"),"")),"")</f>
        <v/>
      </c>
      <c r="AT324" s="109" t="str">
        <f t="shared" si="9"/>
        <v/>
      </c>
      <c r="AU324" s="64"/>
      <c r="AV324" s="83"/>
      <c r="AW324" s="83"/>
      <c r="AX324" s="83"/>
      <c r="AY324" s="83"/>
      <c r="AZ324" s="83"/>
      <c r="BA324" s="85"/>
      <c r="BB324" s="86" t="str">
        <f>IF(Preferences!B$9="Manual","",IFS(ISBLANK(B324),"",AND(ISNUMBER(E324)=TRUE,ISNUMBER(T324)=FALSE),"Direct", AND(ISNUMBER(E324)=FALSE,ISNUMBER(T324)=TRUE),"Indirect", CN324=4,"Direct",AND(CL324=FALSE, CM324=TRUE,CN324-CO324&gt;-1),"Direct", AND(CL324=FALSE,CM324=TRUE, CN324-CO324&lt;0),"Check algorithm in appendix 2", AND(CL324=TRUE, CM324=FALSE,CN324-CO324&gt;0),"Check algorithm in appendix 2", AND(CL324=TRUE, CM324=FALSE,CN324-CO324=0),"Indirect", AND(CL324=TRUE, CM324=FALSE,CN324-CO324&lt;0),"Indirect", AND(CL324=FALSE,CM324=FALSE,CN324-CO324&gt;-1),"Direct", AND(CL324=FALSE,CM324=FALSE,CN324-CO324&lt;0),"Check algorithm in appendix 2", AND(CL324=TRUE,CM324=TRUE,CN324-CO324&gt;-1),"Direct", AND(CL324=TRUE,CM324=TRUE,CN324-CO324&lt;0),"Check algorithm in appendix 2"))</f>
        <v/>
      </c>
      <c r="BC324" s="120" t="str">
        <f t="shared" si="10"/>
        <v/>
      </c>
      <c r="BD324" s="140"/>
      <c r="BE324" s="122" t="str">
        <f>IF(Preferences!B$3="Manual","", IFERROR(IFS(AND(Preferences!B$3="Automatic",AX324/AW324&gt;=30),"Extremely serious",AND(AY324&lt;=$D$1*-1,BA324&lt;0,AX324/AW324&lt;3),"Not Serious",AND(AY324&lt;=$D$1*-1,BA324&lt;0,AX324/AW324&gt;=3),"Very serious",AND(AY324&gt;=$D$1,AZ324&gt;0,AX324/AW324&lt;3),"Not Serious",AND(AY324&gt;=$D$1,AZ324&gt;0,AX324/AW324&gt;=3),"Very serious",AND(AY324&lt;=$D$1*-1,BA324&gt;0,AZ324&gt;$D$2*-1,AX324/AW324&lt;3),"Serious", AND(AY324&lt;=$D$1*-1,BA324&gt;0,AZ324&lt;$D$2*-1,AX324/AW324&lt;3),"Very serious", AND(AY324&gt;=$D$1,AZ324&lt;0,BA324&lt;$D$2,AX324/AW324&lt;3),"Serious",AND(AY324&gt;=$D$1,AZ324&lt;0,BA324&gt;$D$2,AX324/AW324&lt;3),"Very serious", AND(AY324&lt;=$D$1*-1,BA324&gt;0,AZ324&gt;$D$2*-1,AX324/AW324&gt;=3),"Very serious", AND(AY324&lt;=$D$1*-1,BA324&gt;0,AZ324&lt;$D$2*-1,AX324/AW324&gt;=3),"Very serious", AND(AY324&gt;=$D$1,AZ324&lt;0,BA324&lt;$D$2,AX324/AW324&gt;=3),"Very serious", AND(AY324&gt;=$D$1,AZ324&lt;0,BA324&gt;$D$2,AX324/AW324&gt;=3),"Very serious", AND(AY324&gt;$D$1*-1,AY324&lt;$D$1,AZ324&gt;$D$1*-1,BA324&lt;$D$1,AX324/AW324&lt;3),"Not Serious", AND(AY324&gt;$D$1*-1,AY324&lt;$D$1,OR(AZ324&lt;=$D$1*-1,BA324&gt;=$D$1),AZ324&gt;$D$2*-1,BA324&lt;$D$2,AX324/AW324&lt;3),"Serious", AND(AY324&gt;$D$1*-1,AY324&lt;$D$1,OR(AZ324&lt;=$D$2*-1,BA324&gt;=$D$2),AX324/AW324&lt;3),"Very serious", AND(AY324&gt;$D$1*-1,AY324&lt;$D$1,AZ324&gt;$D$1*-1,BA324&lt;$D$1,AX324/AW324&gt;=3),"Very serious", AND(AY324&gt;$D$1*-1,AY324&lt;$D$1,OR(AZ324&lt;=$D$1*-1,BA324&gt;=$D$1),AZ324&gt;$D$2*-1,BA324&lt;$D$2,AX324/AW324&gt;=3),"Very serious", AND(AY324&gt;$D$1*-1,AY324&lt;$D$1,OR(AZ324&lt;=$D$2*-1,BA324&gt;=$D$2),AX324/AW324&gt;=3),"Very serious"),""))</f>
        <v/>
      </c>
      <c r="BF324" s="107" t="str">
        <f t="shared" si="11"/>
        <v/>
      </c>
      <c r="BG324" s="94" t="str">
        <f t="shared" si="46"/>
        <v/>
      </c>
      <c r="BH324" s="64" t="str">
        <f t="shared" si="12"/>
        <v>#N/A</v>
      </c>
      <c r="BI324" s="64" t="str">
        <f t="shared" si="13"/>
        <v/>
      </c>
      <c r="BJ324" s="123" t="str">
        <f t="shared" si="14"/>
        <v>#N/A</v>
      </c>
      <c r="BK324" s="64" t="str">
        <f t="shared" si="50"/>
        <v>YES</v>
      </c>
      <c r="BL324" s="64" t="str">
        <f t="shared" si="16"/>
        <v>YES</v>
      </c>
      <c r="BM324" s="64" t="str">
        <f t="shared" si="17"/>
        <v>YES</v>
      </c>
      <c r="BN324" s="124" t="str">
        <f t="shared" si="18"/>
        <v/>
      </c>
      <c r="BO324" s="91" t="str">
        <f t="shared" si="19"/>
        <v/>
      </c>
      <c r="BP324" s="91" t="str">
        <f t="shared" si="20"/>
        <v>#N/A</v>
      </c>
      <c r="BQ324" s="91" t="str">
        <f t="shared" si="21"/>
        <v/>
      </c>
      <c r="BR324" s="93" t="str">
        <f t="shared" si="22"/>
        <v/>
      </c>
      <c r="BS324" s="90" t="str">
        <f t="shared" si="23"/>
        <v/>
      </c>
      <c r="BT324" s="93" t="str">
        <f t="shared" si="24"/>
        <v>NA</v>
      </c>
      <c r="BU324" s="125" t="str">
        <f t="shared" si="25"/>
        <v>#N/A</v>
      </c>
      <c r="BV324" s="93" t="str">
        <f t="shared" si="26"/>
        <v/>
      </c>
      <c r="BW324" s="93" t="str">
        <f t="shared" si="27"/>
        <v/>
      </c>
      <c r="BX324" s="93" t="str">
        <f t="shared" si="28"/>
        <v>NA</v>
      </c>
      <c r="BY324" s="95" t="str">
        <f t="shared" si="29"/>
        <v>#N/A</v>
      </c>
      <c r="BZ324" s="93" t="str">
        <f t="shared" si="30"/>
        <v/>
      </c>
      <c r="CA324" s="93" t="str">
        <f t="shared" si="31"/>
        <v/>
      </c>
      <c r="CB324" s="93" t="str">
        <f t="shared" si="32"/>
        <v>NA</v>
      </c>
      <c r="CC324" s="96" t="str">
        <f t="shared" si="33"/>
        <v>#N/A</v>
      </c>
      <c r="CD324" s="93" t="str">
        <f t="shared" si="34"/>
        <v/>
      </c>
      <c r="CE324" s="93" t="str">
        <f t="shared" si="35"/>
        <v/>
      </c>
      <c r="CF324" s="93" t="str">
        <f t="shared" si="36"/>
        <v>NA</v>
      </c>
      <c r="CG324" s="97" t="str">
        <f t="shared" si="37"/>
        <v>#N/A</v>
      </c>
      <c r="CH324" s="98" t="str">
        <f t="shared" si="38"/>
        <v>#N/A</v>
      </c>
      <c r="CI324" s="99" t="str">
        <f t="shared" si="39"/>
        <v>#N/A</v>
      </c>
      <c r="CJ324" s="126" t="str">
        <f t="shared" si="40"/>
        <v>ERROR: check cell</v>
      </c>
      <c r="CK324" s="126"/>
      <c r="CL324" s="127" t="str">
        <f t="shared" si="41"/>
        <v>#DIV/0!</v>
      </c>
      <c r="CM324" s="128" t="str">
        <f t="shared" si="42"/>
        <v>#DIV/0!</v>
      </c>
      <c r="CN324" s="128">
        <f t="shared" si="43"/>
        <v>4</v>
      </c>
      <c r="CO324" s="129">
        <f t="shared" si="44"/>
        <v>4</v>
      </c>
      <c r="CP324" s="129" t="str">
        <f>IFS(C324=Preferences!B$13,B324,B324=Preferences!B$13,C324)</f>
        <v>#N/A</v>
      </c>
    </row>
    <row r="325" ht="13.5" customHeight="1">
      <c r="A325" s="63" t="str">
        <f t="shared" si="45"/>
        <v/>
      </c>
      <c r="B325" s="64"/>
      <c r="C325" s="64"/>
      <c r="D325" s="64"/>
      <c r="E325" s="65"/>
      <c r="F325" s="65"/>
      <c r="G325" s="65"/>
      <c r="H325" s="66"/>
      <c r="I325" s="66"/>
      <c r="J325" s="67"/>
      <c r="K325" s="68"/>
      <c r="L325" s="104"/>
      <c r="M325" s="104"/>
      <c r="N325" s="104"/>
      <c r="O325" s="104"/>
      <c r="P325" s="107" t="str">
        <f t="shared" si="1"/>
        <v/>
      </c>
      <c r="Q325" s="108" t="str">
        <f>IFERROR(IF(AND(Preferences!B$3="Manual",OR(AX325/AW325&gt;G325/F325,BD325="Serious",BD325="Very serious")),"Assess imprecision",IFS(ISBLANK(E325),"",AND(Preferences!B$3="Automatic", G325/F325&gt;=30),"Extremely serious",AND(H325&lt;=$D$1*-1,J325&lt;0,G325/F325&lt;3),"Not serious",AND(H325&lt;=$D$1*-1,J325&lt;0,G325/F325&gt;=3),"Very serious",AND(H325&gt;=$D$1,I325&gt;0,G325/F325&lt;3),"Not serious",AND(H325&gt;=$D$1,I325&gt;0,G325/F325&gt;=3),"Very serious",AND(H325&lt;=$D$1*-1,J325&gt;0,I325&gt;$D$2*-1,G325/F325&lt;3),"Serious", AND(H325&lt;=$D$1*-1,J325&gt;0,I325&lt;$D$2*-1,G325/F325&lt;3),"Very serious", AND(H325&gt;=$D$1,I325&lt;0,J325&lt;$D$2,G325/F325&lt;3),"Serious",AND(H325&gt;=$D$1,I325&lt;0,J325&gt;$D$2,G325/F325&lt;3),"Very serious", AND(H325&lt;=$D$1*-1,J325&gt;0,I325&gt;$D$2*-1,G325/F325&gt;=3),"Very serious", AND(H325&lt;=$D$1*-1,J325&gt;0,I325&lt;$D$2*-1,G325/F325&gt;=3),"Very serious", AND(H325&gt;=$D$1,I325&lt;0,J325&lt;$D$2,G325/F325&gt;=3),"Very serious", AND(H325&gt;=$D$1,I325&lt;0,J325&gt;$D$2,G325/F325&gt;=3),"Very serious", AND(H325&gt;$D$1*-1,H325&lt;$D$1,I325&gt;$D$1*-1,J325&lt;$D$1,G325/F325&lt;3),"Not serious", AND(H325&gt;$D$1*-1,H325&lt;$D$1,OR(I325&lt;=$D$1*-1,J325&gt;=$D$1),I325&gt;$D$2*-1,J325&lt;$D$2,G325/F325&lt;3),"Serious", AND(H325&gt;$D$1*-1,H325&lt;$D$1,OR(I325&lt;=$D$2*-1,J325&gt;=$D$2),G325/F325&lt;3),"Very serious", AND(H325&gt;$D$1*-1,H325&lt;$D$1,I325&gt;$D$1*-1,J325&lt;$D$1,G325/F325&gt;=3),"Very serious", AND(H325&gt;$D$1*-1,H325&lt;$D$1,OR(I325&lt;=$D$1*-1,J325&gt;=$D$1),I325&gt;$D$2*-1,J325&lt;$D$2,G325/F325&gt;=3),"Very serious", AND(H325&gt;$D$1*-1,H325&lt;$D$1,OR(I325&lt;=$D$2*-1,J325&gt;=$D$2),G325/F325&gt;=3),"Very serious")),"")</f>
        <v/>
      </c>
      <c r="R325" s="109" t="str">
        <f t="shared" si="47"/>
        <v/>
      </c>
      <c r="S325" s="64"/>
      <c r="T325" s="72"/>
      <c r="U325" s="72"/>
      <c r="V325" s="72"/>
      <c r="W325" s="73"/>
      <c r="X325" s="73"/>
      <c r="Y325" s="74"/>
      <c r="Z325" s="113" t="str">
        <f t="array" ref="Z325">INDEX($A$1:$C$500, MATCH(1,($B:$B=$B325)*($C:$C=$AB325),0),1)</f>
        <v/>
      </c>
      <c r="AA325" s="113" t="str">
        <f t="array" ref="AA325">INDEX($A$1:$C$500, MATCH(1,($B:$B=$AB325)*($C:$C=$B325),0),1)</f>
        <v/>
      </c>
      <c r="AB325" s="111"/>
      <c r="AC325" s="114" t="str">
        <f t="shared" si="2"/>
        <v/>
      </c>
      <c r="AD325" s="115" t="str">
        <f t="shared" si="3"/>
        <v/>
      </c>
      <c r="AE325" s="116" t="str">
        <f t="array" ref="AE325">INDEX($A$1:$C$500, MATCH(1,($B:$B=$AB325)*($C:$C=$AG325),0),1)</f>
        <v/>
      </c>
      <c r="AF325" s="116" t="str">
        <f t="array" ref="AF325">INDEX($A$1:$C$500, MATCH(1,($B:$B=$AG325)*($C:$C=$AB325),0),1)</f>
        <v/>
      </c>
      <c r="AG325" s="72"/>
      <c r="AH325" s="114" t="str">
        <f t="shared" si="4"/>
        <v/>
      </c>
      <c r="AI325" s="115" t="str">
        <f t="shared" si="5"/>
        <v/>
      </c>
      <c r="AJ325" s="116" t="str">
        <f t="array" ref="AJ325">INDEX($A$1:$C$500, MATCH(1,($B:$B=$C325)*($C:$C=$AG325),0),1)</f>
        <v/>
      </c>
      <c r="AK325" s="116" t="str">
        <f t="array" ref="AK325">INDEX($A$1:$C$500, MATCH(1,($B:$B=$AG325)*($C:$C=$C325),0),1)</f>
        <v/>
      </c>
      <c r="AL325" s="116" t="str">
        <f t="array" ref="AL325">INDEX($A$1:$C$500, MATCH(1,($B:$B=$C325)*($C:$C=$AB325),0),1)</f>
        <v/>
      </c>
      <c r="AM325" s="116" t="str">
        <f t="array" ref="AM325">INDEX($A$1:$C$500, MATCH(1,($B:$B=$AB325)*($C:$C=$C325),0),1)</f>
        <v/>
      </c>
      <c r="AN325" s="114" t="str">
        <f t="array" ref="AN325">IFS(ISNUMBER(AJ325),AJ325,ISNUMBER(AK325),AK325,ISNUMBER(AL325),AL325,ISNUMBER(AM325),AM325)</f>
        <v>#N/A</v>
      </c>
      <c r="AO325" s="115" t="str">
        <f t="shared" si="6"/>
        <v/>
      </c>
      <c r="AP325" s="115" t="str">
        <f t="shared" si="7"/>
        <v/>
      </c>
      <c r="AQ325" s="111"/>
      <c r="AR325" s="109" t="str">
        <f t="shared" si="8"/>
        <v/>
      </c>
      <c r="AS325" s="72" t="str">
        <f>IFERROR(IF(AND(Preferences!B$3="Manual",OR(AX325/AW325&gt;V325/U325,BD325="Serious",BD325="Very serious")),"Assess imprecision",IFERROR(IFS(AND(Preferences!B$3="Automatic",V325/U325&gt;=30),"Extremely serious",AND(W325&lt;=$D$1*-1,Y325&lt;0,V325/U325&lt;3),"Not Serious",AND(W325&lt;=$D$1*-1,Y325&lt;0,V325/U325&gt;=3),"Very serious",AND(W325&gt;=$D$1,X325&gt;0,V325/U325&lt;3),"Not Serious",AND(W325&gt;=$D$1,X325&gt;0,V325/U325&gt;=3),"Very serious",AND(W325&lt;=$D$1*-1,Y325&gt;0,X325&gt;$D$2*-1,V325/U325&lt;3),"Serious", AND(W325&lt;=$D$1*-1,Y325&gt;0,X325&lt;$D$2*-1,V325/U325&lt;3),"Very serious", AND(W325&gt;=$D$1,X325&lt;0,Y325&lt;$D$2,V325/U325&lt;3),"Serious",AND(W325&gt;=$D$1,X325&lt;0,Y325&gt;$D$2,V325/U325&lt;3),"Very serious", AND(W325&lt;=$D$1*-1,Y325&gt;0,X325&gt;$D$2*-1,V325/U325&gt;=3),"Very serious", AND(W325&lt;=$D$1*-1,Y325&gt;0,X325&lt;$D$2*-1,V325/U325&gt;=3),"Very serious", AND(W325&gt;=$D$1,X325&lt;0,Y325&lt;$D$2,V325/U325&gt;=3),"Very serious", AND(W325&gt;=$D$1,X325&lt;0,Y325&gt;$D$2,V325/U325&gt;=3),"Very serious", AND(W325&gt;$D$1*-1,W325&lt;$D$1,X325&gt;$D$1*-1,Y325&lt;$D$1,V325/U325&lt;3),"Not Serious", AND(W325&gt;$D$1*-1,W325&lt;$D$1,OR(X325&lt;=$D$1*-1,Y325&gt;=$D$1),X325&gt;$D$2*-1,Y325&lt;$D$2,V325/U325&lt;3),"Serious", AND(W325&gt;$D$1*-1,W325&lt;$D$1,OR(X325&lt;=$D$2*-1,Y325&gt;=$D$2),V325/U325&lt;3),"Very serious", AND(W325&gt;$D$1*-1,W325&lt;$D$1,X325&gt;$D$1*-1,Y325&lt;$D$1,V325/U325&gt;=3),"Very serious", AND(W325&gt;$D$1*-1,W325&lt;$D$1,OR(X325&lt;=$D$1*-1,Y325&gt;=$D$1),X325&gt;$D$2*-1,Y325&lt;$D$2,V325/U325&gt;=3),"Very serious", AND(W325&gt;$D$1*-1,W325&lt;$D$1,OR(X325&lt;=$D$2*-1,Y325&gt;=$D$2),V325/U325&gt;=3),"Very serious"),"")),"")</f>
        <v/>
      </c>
      <c r="AT325" s="109" t="str">
        <f t="shared" si="9"/>
        <v/>
      </c>
      <c r="AU325" s="64"/>
      <c r="AV325" s="83"/>
      <c r="AW325" s="83"/>
      <c r="AX325" s="83"/>
      <c r="AY325" s="83"/>
      <c r="AZ325" s="83"/>
      <c r="BA325" s="85"/>
      <c r="BB325" s="86" t="str">
        <f>IF(Preferences!B$9="Manual","",IFS(ISBLANK(B325),"",AND(ISNUMBER(E325)=TRUE,ISNUMBER(T325)=FALSE),"Direct", AND(ISNUMBER(E325)=FALSE,ISNUMBER(T325)=TRUE),"Indirect", CN325=4,"Direct",AND(CL325=FALSE, CM325=TRUE,CN325-CO325&gt;-1),"Direct", AND(CL325=FALSE,CM325=TRUE, CN325-CO325&lt;0),"Check algorithm in appendix 2", AND(CL325=TRUE, CM325=FALSE,CN325-CO325&gt;0),"Check algorithm in appendix 2", AND(CL325=TRUE, CM325=FALSE,CN325-CO325=0),"Indirect", AND(CL325=TRUE, CM325=FALSE,CN325-CO325&lt;0),"Indirect", AND(CL325=FALSE,CM325=FALSE,CN325-CO325&gt;-1),"Direct", AND(CL325=FALSE,CM325=FALSE,CN325-CO325&lt;0),"Check algorithm in appendix 2", AND(CL325=TRUE,CM325=TRUE,CN325-CO325&gt;-1),"Direct", AND(CL325=TRUE,CM325=TRUE,CN325-CO325&lt;0),"Check algorithm in appendix 2"))</f>
        <v/>
      </c>
      <c r="BC325" s="120" t="str">
        <f t="shared" si="10"/>
        <v/>
      </c>
      <c r="BD325" s="140"/>
      <c r="BE325" s="122" t="str">
        <f>IF(Preferences!B$3="Manual","", IFERROR(IFS(AND(Preferences!B$3="Automatic",AX325/AW325&gt;=30),"Extremely serious",AND(AY325&lt;=$D$1*-1,BA325&lt;0,AX325/AW325&lt;3),"Not Serious",AND(AY325&lt;=$D$1*-1,BA325&lt;0,AX325/AW325&gt;=3),"Very serious",AND(AY325&gt;=$D$1,AZ325&gt;0,AX325/AW325&lt;3),"Not Serious",AND(AY325&gt;=$D$1,AZ325&gt;0,AX325/AW325&gt;=3),"Very serious",AND(AY325&lt;=$D$1*-1,BA325&gt;0,AZ325&gt;$D$2*-1,AX325/AW325&lt;3),"Serious", AND(AY325&lt;=$D$1*-1,BA325&gt;0,AZ325&lt;$D$2*-1,AX325/AW325&lt;3),"Very serious", AND(AY325&gt;=$D$1,AZ325&lt;0,BA325&lt;$D$2,AX325/AW325&lt;3),"Serious",AND(AY325&gt;=$D$1,AZ325&lt;0,BA325&gt;$D$2,AX325/AW325&lt;3),"Very serious", AND(AY325&lt;=$D$1*-1,BA325&gt;0,AZ325&gt;$D$2*-1,AX325/AW325&gt;=3),"Very serious", AND(AY325&lt;=$D$1*-1,BA325&gt;0,AZ325&lt;$D$2*-1,AX325/AW325&gt;=3),"Very serious", AND(AY325&gt;=$D$1,AZ325&lt;0,BA325&lt;$D$2,AX325/AW325&gt;=3),"Very serious", AND(AY325&gt;=$D$1,AZ325&lt;0,BA325&gt;$D$2,AX325/AW325&gt;=3),"Very serious", AND(AY325&gt;$D$1*-1,AY325&lt;$D$1,AZ325&gt;$D$1*-1,BA325&lt;$D$1,AX325/AW325&lt;3),"Not Serious", AND(AY325&gt;$D$1*-1,AY325&lt;$D$1,OR(AZ325&lt;=$D$1*-1,BA325&gt;=$D$1),AZ325&gt;$D$2*-1,BA325&lt;$D$2,AX325/AW325&lt;3),"Serious", AND(AY325&gt;$D$1*-1,AY325&lt;$D$1,OR(AZ325&lt;=$D$2*-1,BA325&gt;=$D$2),AX325/AW325&lt;3),"Very serious", AND(AY325&gt;$D$1*-1,AY325&lt;$D$1,AZ325&gt;$D$1*-1,BA325&lt;$D$1,AX325/AW325&gt;=3),"Very serious", AND(AY325&gt;$D$1*-1,AY325&lt;$D$1,OR(AZ325&lt;=$D$1*-1,BA325&gt;=$D$1),AZ325&gt;$D$2*-1,BA325&lt;$D$2,AX325/AW325&gt;=3),"Very serious", AND(AY325&gt;$D$1*-1,AY325&lt;$D$1,OR(AZ325&lt;=$D$2*-1,BA325&gt;=$D$2),AX325/AW325&gt;=3),"Very serious"),""))</f>
        <v/>
      </c>
      <c r="BF325" s="107" t="str">
        <f t="shared" si="11"/>
        <v/>
      </c>
      <c r="BG325" s="94" t="str">
        <f t="shared" si="46"/>
        <v/>
      </c>
      <c r="BH325" s="64" t="str">
        <f t="shared" si="12"/>
        <v>#N/A</v>
      </c>
      <c r="BI325" s="64" t="str">
        <f t="shared" si="13"/>
        <v/>
      </c>
      <c r="BJ325" s="123" t="str">
        <f t="shared" si="14"/>
        <v>#N/A</v>
      </c>
      <c r="BK325" s="64" t="str">
        <f t="shared" si="50"/>
        <v>YES</v>
      </c>
      <c r="BL325" s="64" t="str">
        <f t="shared" si="16"/>
        <v>YES</v>
      </c>
      <c r="BM325" s="64" t="str">
        <f t="shared" si="17"/>
        <v>YES</v>
      </c>
      <c r="BN325" s="124" t="str">
        <f t="shared" si="18"/>
        <v/>
      </c>
      <c r="BO325" s="91" t="str">
        <f t="shared" si="19"/>
        <v/>
      </c>
      <c r="BP325" s="91" t="str">
        <f t="shared" si="20"/>
        <v>#N/A</v>
      </c>
      <c r="BQ325" s="91" t="str">
        <f t="shared" si="21"/>
        <v/>
      </c>
      <c r="BR325" s="93" t="str">
        <f t="shared" si="22"/>
        <v/>
      </c>
      <c r="BS325" s="90" t="str">
        <f t="shared" si="23"/>
        <v/>
      </c>
      <c r="BT325" s="93" t="str">
        <f t="shared" si="24"/>
        <v>NA</v>
      </c>
      <c r="BU325" s="125" t="str">
        <f t="shared" si="25"/>
        <v>#N/A</v>
      </c>
      <c r="BV325" s="93" t="str">
        <f t="shared" si="26"/>
        <v/>
      </c>
      <c r="BW325" s="93" t="str">
        <f t="shared" si="27"/>
        <v/>
      </c>
      <c r="BX325" s="93" t="str">
        <f t="shared" si="28"/>
        <v>NA</v>
      </c>
      <c r="BY325" s="95" t="str">
        <f t="shared" si="29"/>
        <v>#N/A</v>
      </c>
      <c r="BZ325" s="93" t="str">
        <f t="shared" si="30"/>
        <v/>
      </c>
      <c r="CA325" s="93" t="str">
        <f t="shared" si="31"/>
        <v/>
      </c>
      <c r="CB325" s="93" t="str">
        <f t="shared" si="32"/>
        <v>NA</v>
      </c>
      <c r="CC325" s="96" t="str">
        <f t="shared" si="33"/>
        <v>#N/A</v>
      </c>
      <c r="CD325" s="93" t="str">
        <f t="shared" si="34"/>
        <v/>
      </c>
      <c r="CE325" s="93" t="str">
        <f t="shared" si="35"/>
        <v/>
      </c>
      <c r="CF325" s="93" t="str">
        <f t="shared" si="36"/>
        <v>NA</v>
      </c>
      <c r="CG325" s="97" t="str">
        <f t="shared" si="37"/>
        <v>#N/A</v>
      </c>
      <c r="CH325" s="98" t="str">
        <f t="shared" si="38"/>
        <v>#N/A</v>
      </c>
      <c r="CI325" s="99" t="str">
        <f t="shared" si="39"/>
        <v>#N/A</v>
      </c>
      <c r="CJ325" s="126" t="str">
        <f t="shared" si="40"/>
        <v>ERROR: check cell</v>
      </c>
      <c r="CK325" s="126" t="str">
        <f t="shared" ref="CK325:CK326" si="51">if(AND(T325&lt;1=TRUE,E325&lt;1=TRUE)=TRUE,if(OR(AND(V325&gt;G325=TRUE,G325&gt;U325=TRUE),AND(G325&gt;V325=TRUE,V325&gt;F325=TRUE)=TRUE)=TRUE,"No serious incoherence","Quantitative incoherence (same direction of effect)"),if(AND(T325&gt;1=TRUE,E325&gt;1=TRUE)=TRUE,if(OR(AND(V325&gt;G325=TRUE,G325&gt;U325=TRUE),AND(G325&gt;V325=TRUE,V325&gt;F325=TRUE)=TRUE)=TRUE,"No serious incoherence","Quantitative incoherence (same direction of effect)"),if(OR(AND(T325&lt;1=TRUE,E325&gt;1=TRUE)=TRUE,AND(T325&gt;1=TRUE,E325&lt;1=TRUE)=TRUE)=TRUE,if(OR(AND(V325&gt;G325=TRUE,G325&gt;U325=TRUE),AND(G325&gt;V325=TRUE,V325&gt;F325=TRUE)=TRUE)=TRUE,"No serious incoherence","Qualitative incoherence (different direction of effect)"))))</f>
        <v>Quantitative incoherence (same direction of effect)</v>
      </c>
      <c r="CL325" s="127" t="str">
        <f t="shared" si="41"/>
        <v>#DIV/0!</v>
      </c>
      <c r="CM325" s="128" t="str">
        <f t="shared" si="42"/>
        <v>#DIV/0!</v>
      </c>
      <c r="CN325" s="128">
        <f t="shared" si="43"/>
        <v>4</v>
      </c>
      <c r="CO325" s="129">
        <f t="shared" si="44"/>
        <v>4</v>
      </c>
      <c r="CP325" s="129" t="str">
        <f>IFS(C325=Preferences!B$13,B325,B325=Preferences!B$13,C325)</f>
        <v>#N/A</v>
      </c>
    </row>
    <row r="326" ht="13.5" customHeight="1">
      <c r="A326" s="63" t="str">
        <f t="shared" si="45"/>
        <v/>
      </c>
      <c r="B326" s="64"/>
      <c r="C326" s="64"/>
      <c r="D326" s="64"/>
      <c r="E326" s="65"/>
      <c r="F326" s="65"/>
      <c r="G326" s="65"/>
      <c r="H326" s="66"/>
      <c r="I326" s="66"/>
      <c r="J326" s="67"/>
      <c r="K326" s="68"/>
      <c r="L326" s="104"/>
      <c r="M326" s="104"/>
      <c r="N326" s="104"/>
      <c r="O326" s="104"/>
      <c r="P326" s="107" t="str">
        <f t="shared" si="1"/>
        <v/>
      </c>
      <c r="Q326" s="108" t="str">
        <f>IFERROR(IF(AND(Preferences!B$3="Manual",OR(AX326/AW326&gt;G326/F326,BD326="Serious",BD326="Very serious")),"Assess imprecision",IFS(ISBLANK(E326),"",AND(Preferences!B$3="Automatic", G326/F326&gt;=30),"Extremely serious",AND(H326&lt;=$D$1*-1,J326&lt;0,G326/F326&lt;3),"Not serious",AND(H326&lt;=$D$1*-1,J326&lt;0,G326/F326&gt;=3),"Very serious",AND(H326&gt;=$D$1,I326&gt;0,G326/F326&lt;3),"Not serious",AND(H326&gt;=$D$1,I326&gt;0,G326/F326&gt;=3),"Very serious",AND(H326&lt;=$D$1*-1,J326&gt;0,I326&gt;$D$2*-1,G326/F326&lt;3),"Serious", AND(H326&lt;=$D$1*-1,J326&gt;0,I326&lt;$D$2*-1,G326/F326&lt;3),"Very serious", AND(H326&gt;=$D$1,I326&lt;0,J326&lt;$D$2,G326/F326&lt;3),"Serious",AND(H326&gt;=$D$1,I326&lt;0,J326&gt;$D$2,G326/F326&lt;3),"Very serious", AND(H326&lt;=$D$1*-1,J326&gt;0,I326&gt;$D$2*-1,G326/F326&gt;=3),"Very serious", AND(H326&lt;=$D$1*-1,J326&gt;0,I326&lt;$D$2*-1,G326/F326&gt;=3),"Very serious", AND(H326&gt;=$D$1,I326&lt;0,J326&lt;$D$2,G326/F326&gt;=3),"Very serious", AND(H326&gt;=$D$1,I326&lt;0,J326&gt;$D$2,G326/F326&gt;=3),"Very serious", AND(H326&gt;$D$1*-1,H326&lt;$D$1,I326&gt;$D$1*-1,J326&lt;$D$1,G326/F326&lt;3),"Not serious", AND(H326&gt;$D$1*-1,H326&lt;$D$1,OR(I326&lt;=$D$1*-1,J326&gt;=$D$1),I326&gt;$D$2*-1,J326&lt;$D$2,G326/F326&lt;3),"Serious", AND(H326&gt;$D$1*-1,H326&lt;$D$1,OR(I326&lt;=$D$2*-1,J326&gt;=$D$2),G326/F326&lt;3),"Very serious", AND(H326&gt;$D$1*-1,H326&lt;$D$1,I326&gt;$D$1*-1,J326&lt;$D$1,G326/F326&gt;=3),"Very serious", AND(H326&gt;$D$1*-1,H326&lt;$D$1,OR(I326&lt;=$D$1*-1,J326&gt;=$D$1),I326&gt;$D$2*-1,J326&lt;$D$2,G326/F326&gt;=3),"Very serious", AND(H326&gt;$D$1*-1,H326&lt;$D$1,OR(I326&lt;=$D$2*-1,J326&gt;=$D$2),G326/F326&gt;=3),"Very serious")),"")</f>
        <v/>
      </c>
      <c r="R326" s="109" t="str">
        <f t="shared" si="47"/>
        <v/>
      </c>
      <c r="S326" s="64"/>
      <c r="T326" s="72"/>
      <c r="U326" s="72"/>
      <c r="V326" s="72"/>
      <c r="W326" s="73"/>
      <c r="X326" s="73"/>
      <c r="Y326" s="74"/>
      <c r="Z326" s="113" t="str">
        <f t="array" ref="Z326">INDEX($A$1:$C$500, MATCH(1,($B:$B=$B326)*($C:$C=$AB326),0),1)</f>
        <v/>
      </c>
      <c r="AA326" s="113" t="str">
        <f t="array" ref="AA326">INDEX($A$1:$C$500, MATCH(1,($B:$B=$AB326)*($C:$C=$B326),0),1)</f>
        <v/>
      </c>
      <c r="AB326" s="111"/>
      <c r="AC326" s="114" t="str">
        <f t="shared" si="2"/>
        <v/>
      </c>
      <c r="AD326" s="115" t="str">
        <f t="shared" si="3"/>
        <v/>
      </c>
      <c r="AE326" s="116" t="str">
        <f t="array" ref="AE326">INDEX($A$1:$C$500, MATCH(1,($B:$B=$AB326)*($C:$C=$AG326),0),1)</f>
        <v/>
      </c>
      <c r="AF326" s="116" t="str">
        <f t="array" ref="AF326">INDEX($A$1:$C$500, MATCH(1,($B:$B=$AG326)*($C:$C=$AB326),0),1)</f>
        <v/>
      </c>
      <c r="AG326" s="72"/>
      <c r="AH326" s="114" t="str">
        <f t="shared" si="4"/>
        <v/>
      </c>
      <c r="AI326" s="115" t="str">
        <f t="shared" si="5"/>
        <v/>
      </c>
      <c r="AJ326" s="116" t="str">
        <f t="array" ref="AJ326">INDEX($A$1:$C$500, MATCH(1,($B:$B=$C326)*($C:$C=$AG326),0),1)</f>
        <v/>
      </c>
      <c r="AK326" s="116" t="str">
        <f t="array" ref="AK326">INDEX($A$1:$C$500, MATCH(1,($B:$B=$AG326)*($C:$C=$C326),0),1)</f>
        <v/>
      </c>
      <c r="AL326" s="116" t="str">
        <f t="array" ref="AL326">INDEX($A$1:$C$500, MATCH(1,($B:$B=$C326)*($C:$C=$AB326),0),1)</f>
        <v/>
      </c>
      <c r="AM326" s="116" t="str">
        <f t="array" ref="AM326">INDEX($A$1:$C$500, MATCH(1,($B:$B=$AB326)*($C:$C=$C326),0),1)</f>
        <v/>
      </c>
      <c r="AN326" s="114" t="str">
        <f t="array" ref="AN326">IFS(ISNUMBER(AJ326),AJ326,ISNUMBER(AK326),AK326,ISNUMBER(AL326),AL326,ISNUMBER(AM326),AM326)</f>
        <v>#N/A</v>
      </c>
      <c r="AO326" s="115" t="str">
        <f t="shared" si="6"/>
        <v/>
      </c>
      <c r="AP326" s="115" t="str">
        <f t="shared" si="7"/>
        <v/>
      </c>
      <c r="AQ326" s="111"/>
      <c r="AR326" s="109" t="str">
        <f t="shared" si="8"/>
        <v/>
      </c>
      <c r="AS326" s="72" t="str">
        <f>IFERROR(IF(AND(Preferences!B$3="Manual",OR(AX326/AW326&gt;V326/U326,BD326="Serious",BD326="Very serious")),"Assess imprecision",IFERROR(IFS(AND(Preferences!B$3="Automatic",V326/U326&gt;=30),"Extremely serious",AND(W326&lt;=$D$1*-1,Y326&lt;0,V326/U326&lt;3),"Not Serious",AND(W326&lt;=$D$1*-1,Y326&lt;0,V326/U326&gt;=3),"Very serious",AND(W326&gt;=$D$1,X326&gt;0,V326/U326&lt;3),"Not Serious",AND(W326&gt;=$D$1,X326&gt;0,V326/U326&gt;=3),"Very serious",AND(W326&lt;=$D$1*-1,Y326&gt;0,X326&gt;$D$2*-1,V326/U326&lt;3),"Serious", AND(W326&lt;=$D$1*-1,Y326&gt;0,X326&lt;$D$2*-1,V326/U326&lt;3),"Very serious", AND(W326&gt;=$D$1,X326&lt;0,Y326&lt;$D$2,V326/U326&lt;3),"Serious",AND(W326&gt;=$D$1,X326&lt;0,Y326&gt;$D$2,V326/U326&lt;3),"Very serious", AND(W326&lt;=$D$1*-1,Y326&gt;0,X326&gt;$D$2*-1,V326/U326&gt;=3),"Very serious", AND(W326&lt;=$D$1*-1,Y326&gt;0,X326&lt;$D$2*-1,V326/U326&gt;=3),"Very serious", AND(W326&gt;=$D$1,X326&lt;0,Y326&lt;$D$2,V326/U326&gt;=3),"Very serious", AND(W326&gt;=$D$1,X326&lt;0,Y326&gt;$D$2,V326/U326&gt;=3),"Very serious", AND(W326&gt;$D$1*-1,W326&lt;$D$1,X326&gt;$D$1*-1,Y326&lt;$D$1,V326/U326&lt;3),"Not Serious", AND(W326&gt;$D$1*-1,W326&lt;$D$1,OR(X326&lt;=$D$1*-1,Y326&gt;=$D$1),X326&gt;$D$2*-1,Y326&lt;$D$2,V326/U326&lt;3),"Serious", AND(W326&gt;$D$1*-1,W326&lt;$D$1,OR(X326&lt;=$D$2*-1,Y326&gt;=$D$2),V326/U326&lt;3),"Very serious", AND(W326&gt;$D$1*-1,W326&lt;$D$1,X326&gt;$D$1*-1,Y326&lt;$D$1,V326/U326&gt;=3),"Very serious", AND(W326&gt;$D$1*-1,W326&lt;$D$1,OR(X326&lt;=$D$1*-1,Y326&gt;=$D$1),X326&gt;$D$2*-1,Y326&lt;$D$2,V326/U326&gt;=3),"Very serious", AND(W326&gt;$D$1*-1,W326&lt;$D$1,OR(X326&lt;=$D$2*-1,Y326&gt;=$D$2),V326/U326&gt;=3),"Very serious"),"")),"")</f>
        <v/>
      </c>
      <c r="AT326" s="109" t="str">
        <f t="shared" si="9"/>
        <v/>
      </c>
      <c r="AU326" s="64"/>
      <c r="AV326" s="83"/>
      <c r="AW326" s="83"/>
      <c r="AX326" s="83"/>
      <c r="AY326" s="83"/>
      <c r="AZ326" s="83"/>
      <c r="BA326" s="85"/>
      <c r="BB326" s="86" t="str">
        <f>IF(Preferences!B$9="Manual","",IFS(ISBLANK(B326),"",AND(ISNUMBER(E326)=TRUE,ISNUMBER(T326)=FALSE),"Direct", AND(ISNUMBER(E326)=FALSE,ISNUMBER(T326)=TRUE),"Indirect", CN326=4,"Direct",AND(CL326=FALSE, CM326=TRUE,CN326-CO326&gt;-1),"Direct", AND(CL326=FALSE,CM326=TRUE, CN326-CO326&lt;0),"Check algorithm in appendix 2", AND(CL326=TRUE, CM326=FALSE,CN326-CO326&gt;0),"Check algorithm in appendix 2", AND(CL326=TRUE, CM326=FALSE,CN326-CO326=0),"Indirect", AND(CL326=TRUE, CM326=FALSE,CN326-CO326&lt;0),"Indirect", AND(CL326=FALSE,CM326=FALSE,CN326-CO326&gt;-1),"Direct", AND(CL326=FALSE,CM326=FALSE,CN326-CO326&lt;0),"Check algorithm in appendix 2", AND(CL326=TRUE,CM326=TRUE,CN326-CO326&gt;-1),"Direct", AND(CL326=TRUE,CM326=TRUE,CN326-CO326&lt;0),"Check algorithm in appendix 2"))</f>
        <v/>
      </c>
      <c r="BC326" s="120" t="str">
        <f t="shared" si="10"/>
        <v/>
      </c>
      <c r="BD326" s="148"/>
      <c r="BE326" s="122" t="str">
        <f>IF(Preferences!B$3="Manual","", IFERROR(IFS(AND(Preferences!B$3="Automatic",AX326/AW326&gt;=30),"Extremely serious",AND(AY326&lt;=$D$1*-1,BA326&lt;0,AX326/AW326&lt;3),"Not Serious",AND(AY326&lt;=$D$1*-1,BA326&lt;0,AX326/AW326&gt;=3),"Very serious",AND(AY326&gt;=$D$1,AZ326&gt;0,AX326/AW326&lt;3),"Not Serious",AND(AY326&gt;=$D$1,AZ326&gt;0,AX326/AW326&gt;=3),"Very serious",AND(AY326&lt;=$D$1*-1,BA326&gt;0,AZ326&gt;$D$2*-1,AX326/AW326&lt;3),"Serious", AND(AY326&lt;=$D$1*-1,BA326&gt;0,AZ326&lt;$D$2*-1,AX326/AW326&lt;3),"Very serious", AND(AY326&gt;=$D$1,AZ326&lt;0,BA326&lt;$D$2,AX326/AW326&lt;3),"Serious",AND(AY326&gt;=$D$1,AZ326&lt;0,BA326&gt;$D$2,AX326/AW326&lt;3),"Very serious", AND(AY326&lt;=$D$1*-1,BA326&gt;0,AZ326&gt;$D$2*-1,AX326/AW326&gt;=3),"Very serious", AND(AY326&lt;=$D$1*-1,BA326&gt;0,AZ326&lt;$D$2*-1,AX326/AW326&gt;=3),"Very serious", AND(AY326&gt;=$D$1,AZ326&lt;0,BA326&lt;$D$2,AX326/AW326&gt;=3),"Very serious", AND(AY326&gt;=$D$1,AZ326&lt;0,BA326&gt;$D$2,AX326/AW326&gt;=3),"Very serious", AND(AY326&gt;$D$1*-1,AY326&lt;$D$1,AZ326&gt;$D$1*-1,BA326&lt;$D$1,AX326/AW326&lt;3),"Not Serious", AND(AY326&gt;$D$1*-1,AY326&lt;$D$1,OR(AZ326&lt;=$D$1*-1,BA326&gt;=$D$1),AZ326&gt;$D$2*-1,BA326&lt;$D$2,AX326/AW326&lt;3),"Serious", AND(AY326&gt;$D$1*-1,AY326&lt;$D$1,OR(AZ326&lt;=$D$2*-1,BA326&gt;=$D$2),AX326/AW326&lt;3),"Very serious", AND(AY326&gt;$D$1*-1,AY326&lt;$D$1,AZ326&gt;$D$1*-1,BA326&lt;$D$1,AX326/AW326&gt;=3),"Very serious", AND(AY326&gt;$D$1*-1,AY326&lt;$D$1,OR(AZ326&lt;=$D$1*-1,BA326&gt;=$D$1),AZ326&gt;$D$2*-1,BA326&lt;$D$2,AX326/AW326&gt;=3),"Very serious", AND(AY326&gt;$D$1*-1,AY326&lt;$D$1,OR(AZ326&lt;=$D$2*-1,BA326&gt;=$D$2),AX326/AW326&gt;=3),"Very serious"),""))</f>
        <v/>
      </c>
      <c r="BF326" s="107" t="str">
        <f t="shared" si="11"/>
        <v/>
      </c>
      <c r="BG326" s="94" t="str">
        <f t="shared" si="46"/>
        <v/>
      </c>
      <c r="BH326" s="64" t="str">
        <f t="shared" si="12"/>
        <v>#N/A</v>
      </c>
      <c r="BI326" s="64" t="str">
        <f t="shared" si="13"/>
        <v/>
      </c>
      <c r="BJ326" s="123" t="str">
        <f t="shared" si="14"/>
        <v>#N/A</v>
      </c>
      <c r="BK326" s="64" t="str">
        <f t="shared" si="50"/>
        <v>YES</v>
      </c>
      <c r="BL326" s="64" t="str">
        <f t="shared" si="16"/>
        <v>YES</v>
      </c>
      <c r="BM326" s="64" t="str">
        <f t="shared" si="17"/>
        <v>YES</v>
      </c>
      <c r="BN326" s="124" t="str">
        <f t="shared" si="18"/>
        <v/>
      </c>
      <c r="BO326" s="91" t="str">
        <f t="shared" si="19"/>
        <v/>
      </c>
      <c r="BP326" s="91" t="str">
        <f t="shared" si="20"/>
        <v>#N/A</v>
      </c>
      <c r="BQ326" s="91" t="str">
        <f t="shared" si="21"/>
        <v/>
      </c>
      <c r="BR326" s="93" t="str">
        <f t="shared" si="22"/>
        <v/>
      </c>
      <c r="BS326" s="90" t="str">
        <f t="shared" si="23"/>
        <v/>
      </c>
      <c r="BT326" s="93" t="str">
        <f t="shared" si="24"/>
        <v>NA</v>
      </c>
      <c r="BU326" s="125" t="str">
        <f t="shared" si="25"/>
        <v>#N/A</v>
      </c>
      <c r="BV326" s="93" t="str">
        <f t="shared" si="26"/>
        <v/>
      </c>
      <c r="BW326" s="93" t="str">
        <f t="shared" si="27"/>
        <v/>
      </c>
      <c r="BX326" s="93" t="str">
        <f t="shared" si="28"/>
        <v>NA</v>
      </c>
      <c r="BY326" s="95" t="str">
        <f t="shared" si="29"/>
        <v>#N/A</v>
      </c>
      <c r="BZ326" s="93" t="str">
        <f t="shared" si="30"/>
        <v/>
      </c>
      <c r="CA326" s="93" t="str">
        <f t="shared" si="31"/>
        <v/>
      </c>
      <c r="CB326" s="93" t="str">
        <f t="shared" si="32"/>
        <v>NA</v>
      </c>
      <c r="CC326" s="96" t="str">
        <f t="shared" si="33"/>
        <v>#N/A</v>
      </c>
      <c r="CD326" s="93" t="str">
        <f t="shared" si="34"/>
        <v/>
      </c>
      <c r="CE326" s="93" t="str">
        <f t="shared" si="35"/>
        <v/>
      </c>
      <c r="CF326" s="93" t="str">
        <f t="shared" si="36"/>
        <v>NA</v>
      </c>
      <c r="CG326" s="97" t="str">
        <f t="shared" si="37"/>
        <v>#N/A</v>
      </c>
      <c r="CH326" s="98" t="str">
        <f t="shared" si="38"/>
        <v>#N/A</v>
      </c>
      <c r="CI326" s="99" t="str">
        <f t="shared" si="39"/>
        <v>#N/A</v>
      </c>
      <c r="CJ326" s="126" t="str">
        <f t="shared" si="40"/>
        <v>ERROR: check cell</v>
      </c>
      <c r="CK326" s="126" t="str">
        <f t="shared" si="51"/>
        <v>Quantitative incoherence (same direction of effect)</v>
      </c>
      <c r="CL326" s="127" t="str">
        <f t="shared" si="41"/>
        <v>#DIV/0!</v>
      </c>
      <c r="CM326" s="128" t="str">
        <f t="shared" si="42"/>
        <v>#DIV/0!</v>
      </c>
      <c r="CN326" s="128">
        <f t="shared" si="43"/>
        <v>4</v>
      </c>
      <c r="CO326" s="129">
        <f t="shared" si="44"/>
        <v>4</v>
      </c>
      <c r="CP326" s="129" t="str">
        <f>IFS(C326=Preferences!B$13,B326,B326=Preferences!B$13,C326)</f>
        <v>#N/A</v>
      </c>
    </row>
    <row r="327" ht="13.5" customHeight="1">
      <c r="A327" s="63" t="str">
        <f t="shared" si="45"/>
        <v/>
      </c>
      <c r="B327" s="64"/>
      <c r="C327" s="64"/>
      <c r="D327" s="64"/>
      <c r="E327" s="65"/>
      <c r="F327" s="65"/>
      <c r="G327" s="65"/>
      <c r="H327" s="66"/>
      <c r="I327" s="66"/>
      <c r="J327" s="67"/>
      <c r="K327" s="68"/>
      <c r="L327" s="104"/>
      <c r="M327" s="104"/>
      <c r="N327" s="104"/>
      <c r="O327" s="104"/>
      <c r="P327" s="107" t="str">
        <f t="shared" si="1"/>
        <v/>
      </c>
      <c r="Q327" s="108" t="str">
        <f>IFERROR(IF(AND(Preferences!B$3="Manual",OR(AX327/AW327&gt;G327/F327,BD327="Serious",BD327="Very serious")),"Assess imprecision",IFS(ISBLANK(E327),"",AND(Preferences!B$3="Automatic", G327/F327&gt;=30),"Extremely serious",AND(H327&lt;=$D$1*-1,J327&lt;0,G327/F327&lt;3),"Not serious",AND(H327&lt;=$D$1*-1,J327&lt;0,G327/F327&gt;=3),"Very serious",AND(H327&gt;=$D$1,I327&gt;0,G327/F327&lt;3),"Not serious",AND(H327&gt;=$D$1,I327&gt;0,G327/F327&gt;=3),"Very serious",AND(H327&lt;=$D$1*-1,J327&gt;0,I327&gt;$D$2*-1,G327/F327&lt;3),"Serious", AND(H327&lt;=$D$1*-1,J327&gt;0,I327&lt;$D$2*-1,G327/F327&lt;3),"Very serious", AND(H327&gt;=$D$1,I327&lt;0,J327&lt;$D$2,G327/F327&lt;3),"Serious",AND(H327&gt;=$D$1,I327&lt;0,J327&gt;$D$2,G327/F327&lt;3),"Very serious", AND(H327&lt;=$D$1*-1,J327&gt;0,I327&gt;$D$2*-1,G327/F327&gt;=3),"Very serious", AND(H327&lt;=$D$1*-1,J327&gt;0,I327&lt;$D$2*-1,G327/F327&gt;=3),"Very serious", AND(H327&gt;=$D$1,I327&lt;0,J327&lt;$D$2,G327/F327&gt;=3),"Very serious", AND(H327&gt;=$D$1,I327&lt;0,J327&gt;$D$2,G327/F327&gt;=3),"Very serious", AND(H327&gt;$D$1*-1,H327&lt;$D$1,I327&gt;$D$1*-1,J327&lt;$D$1,G327/F327&lt;3),"Not serious", AND(H327&gt;$D$1*-1,H327&lt;$D$1,OR(I327&lt;=$D$1*-1,J327&gt;=$D$1),I327&gt;$D$2*-1,J327&lt;$D$2,G327/F327&lt;3),"Serious", AND(H327&gt;$D$1*-1,H327&lt;$D$1,OR(I327&lt;=$D$2*-1,J327&gt;=$D$2),G327/F327&lt;3),"Very serious", AND(H327&gt;$D$1*-1,H327&lt;$D$1,I327&gt;$D$1*-1,J327&lt;$D$1,G327/F327&gt;=3),"Very serious", AND(H327&gt;$D$1*-1,H327&lt;$D$1,OR(I327&lt;=$D$1*-1,J327&gt;=$D$1),I327&gt;$D$2*-1,J327&lt;$D$2,G327/F327&gt;=3),"Very serious", AND(H327&gt;$D$1*-1,H327&lt;$D$1,OR(I327&lt;=$D$2*-1,J327&gt;=$D$2),G327/F327&gt;=3),"Very serious")),"")</f>
        <v/>
      </c>
      <c r="R327" s="109" t="str">
        <f t="shared" si="47"/>
        <v/>
      </c>
      <c r="S327" s="64"/>
      <c r="T327" s="72"/>
      <c r="U327" s="72"/>
      <c r="V327" s="72"/>
      <c r="W327" s="73"/>
      <c r="X327" s="73"/>
      <c r="Y327" s="74"/>
      <c r="Z327" s="113" t="str">
        <f t="array" ref="Z327">INDEX($A$1:$C$500, MATCH(1,($B:$B=$B327)*($C:$C=$AB327),0),1)</f>
        <v/>
      </c>
      <c r="AA327" s="113" t="str">
        <f t="array" ref="AA327">INDEX($A$1:$C$500, MATCH(1,($B:$B=$AB327)*($C:$C=$B327),0),1)</f>
        <v/>
      </c>
      <c r="AB327" s="111"/>
      <c r="AC327" s="114" t="str">
        <f t="shared" si="2"/>
        <v/>
      </c>
      <c r="AD327" s="115" t="str">
        <f t="shared" si="3"/>
        <v/>
      </c>
      <c r="AE327" s="116" t="str">
        <f t="array" ref="AE327">INDEX($A$1:$C$500, MATCH(1,($B:$B=$AB327)*($C:$C=$AG327),0),1)</f>
        <v/>
      </c>
      <c r="AF327" s="116" t="str">
        <f t="array" ref="AF327">INDEX($A$1:$C$500, MATCH(1,($B:$B=$AG327)*($C:$C=$AB327),0),1)</f>
        <v/>
      </c>
      <c r="AG327" s="72"/>
      <c r="AH327" s="114" t="str">
        <f t="shared" si="4"/>
        <v/>
      </c>
      <c r="AI327" s="115" t="str">
        <f t="shared" si="5"/>
        <v/>
      </c>
      <c r="AJ327" s="116" t="str">
        <f t="array" ref="AJ327">INDEX($A$1:$C$500, MATCH(1,($B:$B=$C327)*($C:$C=$AG327),0),1)</f>
        <v/>
      </c>
      <c r="AK327" s="116" t="str">
        <f t="array" ref="AK327">INDEX($A$1:$C$500, MATCH(1,($B:$B=$AG327)*($C:$C=$C327),0),1)</f>
        <v/>
      </c>
      <c r="AL327" s="116" t="str">
        <f t="array" ref="AL327">INDEX($A$1:$C$500, MATCH(1,($B:$B=$C327)*($C:$C=$AB327),0),1)</f>
        <v/>
      </c>
      <c r="AM327" s="116" t="str">
        <f t="array" ref="AM327">INDEX($A$1:$C$500, MATCH(1,($B:$B=$AB327)*($C:$C=$C327),0),1)</f>
        <v/>
      </c>
      <c r="AN327" s="114" t="str">
        <f t="array" ref="AN327">IFS(ISNUMBER(AJ327),AJ327,ISNUMBER(AK327),AK327,ISNUMBER(AL327),AL327,ISNUMBER(AM327),AM327)</f>
        <v>#N/A</v>
      </c>
      <c r="AO327" s="115" t="str">
        <f t="shared" si="6"/>
        <v/>
      </c>
      <c r="AP327" s="115" t="str">
        <f t="shared" si="7"/>
        <v/>
      </c>
      <c r="AQ327" s="111"/>
      <c r="AR327" s="109" t="str">
        <f t="shared" si="8"/>
        <v/>
      </c>
      <c r="AS327" s="72" t="str">
        <f>IFERROR(IF(AND(Preferences!B$3="Manual",OR(AX327/AW327&gt;V327/U327,BD327="Serious",BD327="Very serious")),"Assess imprecision",IFERROR(IFS(AND(Preferences!B$3="Automatic",V327/U327&gt;=30),"Extremely serious",AND(W327&lt;=$D$1*-1,Y327&lt;0,V327/U327&lt;3),"Not Serious",AND(W327&lt;=$D$1*-1,Y327&lt;0,V327/U327&gt;=3),"Very serious",AND(W327&gt;=$D$1,X327&gt;0,V327/U327&lt;3),"Not Serious",AND(W327&gt;=$D$1,X327&gt;0,V327/U327&gt;=3),"Very serious",AND(W327&lt;=$D$1*-1,Y327&gt;0,X327&gt;$D$2*-1,V327/U327&lt;3),"Serious", AND(W327&lt;=$D$1*-1,Y327&gt;0,X327&lt;$D$2*-1,V327/U327&lt;3),"Very serious", AND(W327&gt;=$D$1,X327&lt;0,Y327&lt;$D$2,V327/U327&lt;3),"Serious",AND(W327&gt;=$D$1,X327&lt;0,Y327&gt;$D$2,V327/U327&lt;3),"Very serious", AND(W327&lt;=$D$1*-1,Y327&gt;0,X327&gt;$D$2*-1,V327/U327&gt;=3),"Very serious", AND(W327&lt;=$D$1*-1,Y327&gt;0,X327&lt;$D$2*-1,V327/U327&gt;=3),"Very serious", AND(W327&gt;=$D$1,X327&lt;0,Y327&lt;$D$2,V327/U327&gt;=3),"Very serious", AND(W327&gt;=$D$1,X327&lt;0,Y327&gt;$D$2,V327/U327&gt;=3),"Very serious", AND(W327&gt;$D$1*-1,W327&lt;$D$1,X327&gt;$D$1*-1,Y327&lt;$D$1,V327/U327&lt;3),"Not Serious", AND(W327&gt;$D$1*-1,W327&lt;$D$1,OR(X327&lt;=$D$1*-1,Y327&gt;=$D$1),X327&gt;$D$2*-1,Y327&lt;$D$2,V327/U327&lt;3),"Serious", AND(W327&gt;$D$1*-1,W327&lt;$D$1,OR(X327&lt;=$D$2*-1,Y327&gt;=$D$2),V327/U327&lt;3),"Very serious", AND(W327&gt;$D$1*-1,W327&lt;$D$1,X327&gt;$D$1*-1,Y327&lt;$D$1,V327/U327&gt;=3),"Very serious", AND(W327&gt;$D$1*-1,W327&lt;$D$1,OR(X327&lt;=$D$1*-1,Y327&gt;=$D$1),X327&gt;$D$2*-1,Y327&lt;$D$2,V327/U327&gt;=3),"Very serious", AND(W327&gt;$D$1*-1,W327&lt;$D$1,OR(X327&lt;=$D$2*-1,Y327&gt;=$D$2),V327/U327&gt;=3),"Very serious"),"")),"")</f>
        <v/>
      </c>
      <c r="AT327" s="109" t="str">
        <f t="shared" si="9"/>
        <v/>
      </c>
      <c r="AU327" s="64"/>
      <c r="AV327" s="83"/>
      <c r="AW327" s="83"/>
      <c r="AX327" s="83"/>
      <c r="AY327" s="83"/>
      <c r="AZ327" s="83"/>
      <c r="BA327" s="85"/>
      <c r="BB327" s="86" t="str">
        <f>IF(Preferences!B$9="Manual","",IFS(ISBLANK(B327),"",AND(ISNUMBER(E327)=TRUE,ISNUMBER(T327)=FALSE),"Direct", AND(ISNUMBER(E327)=FALSE,ISNUMBER(T327)=TRUE),"Indirect", CN327=4,"Direct",AND(CL327=FALSE, CM327=TRUE,CN327-CO327&gt;-1),"Direct", AND(CL327=FALSE,CM327=TRUE, CN327-CO327&lt;0),"Check algorithm in appendix 2", AND(CL327=TRUE, CM327=FALSE,CN327-CO327&gt;0),"Check algorithm in appendix 2", AND(CL327=TRUE, CM327=FALSE,CN327-CO327=0),"Indirect", AND(CL327=TRUE, CM327=FALSE,CN327-CO327&lt;0),"Indirect", AND(CL327=FALSE,CM327=FALSE,CN327-CO327&gt;-1),"Direct", AND(CL327=FALSE,CM327=FALSE,CN327-CO327&lt;0),"Check algorithm in appendix 2", AND(CL327=TRUE,CM327=TRUE,CN327-CO327&gt;-1),"Direct", AND(CL327=TRUE,CM327=TRUE,CN327-CO327&lt;0),"Check algorithm in appendix 2"))</f>
        <v/>
      </c>
      <c r="BC327" s="120" t="str">
        <f t="shared" si="10"/>
        <v/>
      </c>
      <c r="BD327" s="140"/>
      <c r="BE327" s="122" t="str">
        <f>IF(Preferences!B$3="Manual","", IFERROR(IFS(AND(Preferences!B$3="Automatic",AX327/AW327&gt;=30),"Extremely serious",AND(AY327&lt;=$D$1*-1,BA327&lt;0,AX327/AW327&lt;3),"Not Serious",AND(AY327&lt;=$D$1*-1,BA327&lt;0,AX327/AW327&gt;=3),"Very serious",AND(AY327&gt;=$D$1,AZ327&gt;0,AX327/AW327&lt;3),"Not Serious",AND(AY327&gt;=$D$1,AZ327&gt;0,AX327/AW327&gt;=3),"Very serious",AND(AY327&lt;=$D$1*-1,BA327&gt;0,AZ327&gt;$D$2*-1,AX327/AW327&lt;3),"Serious", AND(AY327&lt;=$D$1*-1,BA327&gt;0,AZ327&lt;$D$2*-1,AX327/AW327&lt;3),"Very serious", AND(AY327&gt;=$D$1,AZ327&lt;0,BA327&lt;$D$2,AX327/AW327&lt;3),"Serious",AND(AY327&gt;=$D$1,AZ327&lt;0,BA327&gt;$D$2,AX327/AW327&lt;3),"Very serious", AND(AY327&lt;=$D$1*-1,BA327&gt;0,AZ327&gt;$D$2*-1,AX327/AW327&gt;=3),"Very serious", AND(AY327&lt;=$D$1*-1,BA327&gt;0,AZ327&lt;$D$2*-1,AX327/AW327&gt;=3),"Very serious", AND(AY327&gt;=$D$1,AZ327&lt;0,BA327&lt;$D$2,AX327/AW327&gt;=3),"Very serious", AND(AY327&gt;=$D$1,AZ327&lt;0,BA327&gt;$D$2,AX327/AW327&gt;=3),"Very serious", AND(AY327&gt;$D$1*-1,AY327&lt;$D$1,AZ327&gt;$D$1*-1,BA327&lt;$D$1,AX327/AW327&lt;3),"Not Serious", AND(AY327&gt;$D$1*-1,AY327&lt;$D$1,OR(AZ327&lt;=$D$1*-1,BA327&gt;=$D$1),AZ327&gt;$D$2*-1,BA327&lt;$D$2,AX327/AW327&lt;3),"Serious", AND(AY327&gt;$D$1*-1,AY327&lt;$D$1,OR(AZ327&lt;=$D$2*-1,BA327&gt;=$D$2),AX327/AW327&lt;3),"Very serious", AND(AY327&gt;$D$1*-1,AY327&lt;$D$1,AZ327&gt;$D$1*-1,BA327&lt;$D$1,AX327/AW327&gt;=3),"Very serious", AND(AY327&gt;$D$1*-1,AY327&lt;$D$1,OR(AZ327&lt;=$D$1*-1,BA327&gt;=$D$1),AZ327&gt;$D$2*-1,BA327&lt;$D$2,AX327/AW327&gt;=3),"Very serious", AND(AY327&gt;$D$1*-1,AY327&lt;$D$1,OR(AZ327&lt;=$D$2*-1,BA327&gt;=$D$2),AX327/AW327&gt;=3),"Very serious"),""))</f>
        <v/>
      </c>
      <c r="BF327" s="107" t="str">
        <f t="shared" si="11"/>
        <v/>
      </c>
      <c r="BG327" s="94" t="str">
        <f t="shared" si="46"/>
        <v/>
      </c>
      <c r="BH327" s="64" t="str">
        <f t="shared" si="12"/>
        <v>#N/A</v>
      </c>
      <c r="BI327" s="64" t="str">
        <f t="shared" si="13"/>
        <v/>
      </c>
      <c r="BJ327" s="123" t="str">
        <f t="shared" si="14"/>
        <v>#N/A</v>
      </c>
      <c r="BK327" s="64" t="str">
        <f t="shared" si="50"/>
        <v>YES</v>
      </c>
      <c r="BL327" s="64" t="str">
        <f t="shared" si="16"/>
        <v>YES</v>
      </c>
      <c r="BM327" s="64" t="str">
        <f t="shared" si="17"/>
        <v>YES</v>
      </c>
      <c r="BN327" s="124" t="str">
        <f t="shared" si="18"/>
        <v/>
      </c>
      <c r="BO327" s="91" t="str">
        <f t="shared" si="19"/>
        <v/>
      </c>
      <c r="BP327" s="91" t="str">
        <f t="shared" si="20"/>
        <v>#N/A</v>
      </c>
      <c r="BQ327" s="91" t="str">
        <f t="shared" si="21"/>
        <v/>
      </c>
      <c r="BR327" s="93" t="str">
        <f t="shared" si="22"/>
        <v/>
      </c>
      <c r="BS327" s="90" t="str">
        <f t="shared" si="23"/>
        <v/>
      </c>
      <c r="BT327" s="93" t="str">
        <f t="shared" si="24"/>
        <v>NA</v>
      </c>
      <c r="BU327" s="125" t="str">
        <f t="shared" si="25"/>
        <v>#N/A</v>
      </c>
      <c r="BV327" s="93" t="str">
        <f t="shared" si="26"/>
        <v/>
      </c>
      <c r="BW327" s="93" t="str">
        <f t="shared" si="27"/>
        <v/>
      </c>
      <c r="BX327" s="93" t="str">
        <f t="shared" si="28"/>
        <v>NA</v>
      </c>
      <c r="BY327" s="95" t="str">
        <f t="shared" si="29"/>
        <v>#N/A</v>
      </c>
      <c r="BZ327" s="93" t="str">
        <f t="shared" si="30"/>
        <v/>
      </c>
      <c r="CA327" s="93" t="str">
        <f t="shared" si="31"/>
        <v/>
      </c>
      <c r="CB327" s="93" t="str">
        <f t="shared" si="32"/>
        <v>NA</v>
      </c>
      <c r="CC327" s="96" t="str">
        <f t="shared" si="33"/>
        <v>#N/A</v>
      </c>
      <c r="CD327" s="93" t="str">
        <f t="shared" si="34"/>
        <v/>
      </c>
      <c r="CE327" s="93" t="str">
        <f t="shared" si="35"/>
        <v/>
      </c>
      <c r="CF327" s="93" t="str">
        <f t="shared" si="36"/>
        <v>NA</v>
      </c>
      <c r="CG327" s="97" t="str">
        <f t="shared" si="37"/>
        <v>#N/A</v>
      </c>
      <c r="CH327" s="98" t="str">
        <f t="shared" si="38"/>
        <v>#N/A</v>
      </c>
      <c r="CI327" s="99" t="str">
        <f t="shared" si="39"/>
        <v>#N/A</v>
      </c>
      <c r="CJ327" s="126" t="str">
        <f t="shared" si="40"/>
        <v>ERROR: check cell</v>
      </c>
      <c r="CK327" s="126"/>
      <c r="CL327" s="127" t="str">
        <f t="shared" si="41"/>
        <v>#DIV/0!</v>
      </c>
      <c r="CM327" s="128" t="str">
        <f t="shared" si="42"/>
        <v>#DIV/0!</v>
      </c>
      <c r="CN327" s="128">
        <f t="shared" si="43"/>
        <v>4</v>
      </c>
      <c r="CO327" s="129">
        <f t="shared" si="44"/>
        <v>4</v>
      </c>
      <c r="CP327" s="129" t="str">
        <f>IFS(C327=Preferences!B$13,B327,B327=Preferences!B$13,C327)</f>
        <v>#N/A</v>
      </c>
    </row>
    <row r="328" ht="13.5" customHeight="1">
      <c r="A328" s="63" t="str">
        <f t="shared" si="45"/>
        <v/>
      </c>
      <c r="B328" s="64"/>
      <c r="C328" s="64"/>
      <c r="D328" s="64"/>
      <c r="E328" s="65"/>
      <c r="F328" s="65"/>
      <c r="G328" s="65"/>
      <c r="H328" s="66"/>
      <c r="I328" s="66"/>
      <c r="J328" s="67"/>
      <c r="K328" s="68"/>
      <c r="L328" s="104"/>
      <c r="M328" s="104"/>
      <c r="N328" s="104"/>
      <c r="O328" s="104"/>
      <c r="P328" s="107" t="str">
        <f t="shared" si="1"/>
        <v/>
      </c>
      <c r="Q328" s="108" t="str">
        <f>IFERROR(IF(AND(Preferences!B$3="Manual",OR(AX328/AW328&gt;G328/F328,BD328="Serious",BD328="Very serious")),"Assess imprecision",IFS(ISBLANK(E328),"",AND(Preferences!B$3="Automatic", G328/F328&gt;=30),"Extremely serious",AND(H328&lt;=$D$1*-1,J328&lt;0,G328/F328&lt;3),"Not serious",AND(H328&lt;=$D$1*-1,J328&lt;0,G328/F328&gt;=3),"Very serious",AND(H328&gt;=$D$1,I328&gt;0,G328/F328&lt;3),"Not serious",AND(H328&gt;=$D$1,I328&gt;0,G328/F328&gt;=3),"Very serious",AND(H328&lt;=$D$1*-1,J328&gt;0,I328&gt;$D$2*-1,G328/F328&lt;3),"Serious", AND(H328&lt;=$D$1*-1,J328&gt;0,I328&lt;$D$2*-1,G328/F328&lt;3),"Very serious", AND(H328&gt;=$D$1,I328&lt;0,J328&lt;$D$2,G328/F328&lt;3),"Serious",AND(H328&gt;=$D$1,I328&lt;0,J328&gt;$D$2,G328/F328&lt;3),"Very serious", AND(H328&lt;=$D$1*-1,J328&gt;0,I328&gt;$D$2*-1,G328/F328&gt;=3),"Very serious", AND(H328&lt;=$D$1*-1,J328&gt;0,I328&lt;$D$2*-1,G328/F328&gt;=3),"Very serious", AND(H328&gt;=$D$1,I328&lt;0,J328&lt;$D$2,G328/F328&gt;=3),"Very serious", AND(H328&gt;=$D$1,I328&lt;0,J328&gt;$D$2,G328/F328&gt;=3),"Very serious", AND(H328&gt;$D$1*-1,H328&lt;$D$1,I328&gt;$D$1*-1,J328&lt;$D$1,G328/F328&lt;3),"Not serious", AND(H328&gt;$D$1*-1,H328&lt;$D$1,OR(I328&lt;=$D$1*-1,J328&gt;=$D$1),I328&gt;$D$2*-1,J328&lt;$D$2,G328/F328&lt;3),"Serious", AND(H328&gt;$D$1*-1,H328&lt;$D$1,OR(I328&lt;=$D$2*-1,J328&gt;=$D$2),G328/F328&lt;3),"Very serious", AND(H328&gt;$D$1*-1,H328&lt;$D$1,I328&gt;$D$1*-1,J328&lt;$D$1,G328/F328&gt;=3),"Very serious", AND(H328&gt;$D$1*-1,H328&lt;$D$1,OR(I328&lt;=$D$1*-1,J328&gt;=$D$1),I328&gt;$D$2*-1,J328&lt;$D$2,G328/F328&gt;=3),"Very serious", AND(H328&gt;$D$1*-1,H328&lt;$D$1,OR(I328&lt;=$D$2*-1,J328&gt;=$D$2),G328/F328&gt;=3),"Very serious")),"")</f>
        <v/>
      </c>
      <c r="R328" s="109" t="str">
        <f t="shared" si="47"/>
        <v/>
      </c>
      <c r="S328" s="64"/>
      <c r="T328" s="72"/>
      <c r="U328" s="72"/>
      <c r="V328" s="72"/>
      <c r="W328" s="73"/>
      <c r="X328" s="73"/>
      <c r="Y328" s="74"/>
      <c r="Z328" s="113" t="str">
        <f t="array" ref="Z328">INDEX($A$1:$C$500, MATCH(1,($B:$B=$B328)*($C:$C=$AB328),0),1)</f>
        <v/>
      </c>
      <c r="AA328" s="113" t="str">
        <f t="array" ref="AA328">INDEX($A$1:$C$500, MATCH(1,($B:$B=$AB328)*($C:$C=$B328),0),1)</f>
        <v/>
      </c>
      <c r="AB328" s="111"/>
      <c r="AC328" s="114" t="str">
        <f t="shared" si="2"/>
        <v/>
      </c>
      <c r="AD328" s="115" t="str">
        <f t="shared" si="3"/>
        <v/>
      </c>
      <c r="AE328" s="116" t="str">
        <f t="array" ref="AE328">INDEX($A$1:$C$500, MATCH(1,($B:$B=$AB328)*($C:$C=$AG328),0),1)</f>
        <v/>
      </c>
      <c r="AF328" s="116" t="str">
        <f t="array" ref="AF328">INDEX($A$1:$C$500, MATCH(1,($B:$B=$AG328)*($C:$C=$AB328),0),1)</f>
        <v/>
      </c>
      <c r="AG328" s="72"/>
      <c r="AH328" s="114" t="str">
        <f t="shared" si="4"/>
        <v/>
      </c>
      <c r="AI328" s="115" t="str">
        <f t="shared" si="5"/>
        <v/>
      </c>
      <c r="AJ328" s="116" t="str">
        <f t="array" ref="AJ328">INDEX($A$1:$C$500, MATCH(1,($B:$B=$C328)*($C:$C=$AG328),0),1)</f>
        <v/>
      </c>
      <c r="AK328" s="116" t="str">
        <f t="array" ref="AK328">INDEX($A$1:$C$500, MATCH(1,($B:$B=$AG328)*($C:$C=$C328),0),1)</f>
        <v/>
      </c>
      <c r="AL328" s="116" t="str">
        <f t="array" ref="AL328">INDEX($A$1:$C$500, MATCH(1,($B:$B=$C328)*($C:$C=$AB328),0),1)</f>
        <v/>
      </c>
      <c r="AM328" s="116" t="str">
        <f t="array" ref="AM328">INDEX($A$1:$C$500, MATCH(1,($B:$B=$AB328)*($C:$C=$C328),0),1)</f>
        <v/>
      </c>
      <c r="AN328" s="114" t="str">
        <f t="array" ref="AN328">IFS(ISNUMBER(AJ328),AJ328,ISNUMBER(AK328),AK328,ISNUMBER(AL328),AL328,ISNUMBER(AM328),AM328)</f>
        <v>#N/A</v>
      </c>
      <c r="AO328" s="115" t="str">
        <f t="shared" si="6"/>
        <v/>
      </c>
      <c r="AP328" s="115" t="str">
        <f t="shared" si="7"/>
        <v/>
      </c>
      <c r="AQ328" s="111"/>
      <c r="AR328" s="109" t="str">
        <f t="shared" si="8"/>
        <v/>
      </c>
      <c r="AS328" s="72" t="str">
        <f>IFERROR(IF(AND(Preferences!B$3="Manual",OR(AX328/AW328&gt;V328/U328,BD328="Serious",BD328="Very serious")),"Assess imprecision",IFERROR(IFS(AND(Preferences!B$3="Automatic",V328/U328&gt;=30),"Extremely serious",AND(W328&lt;=$D$1*-1,Y328&lt;0,V328/U328&lt;3),"Not Serious",AND(W328&lt;=$D$1*-1,Y328&lt;0,V328/U328&gt;=3),"Very serious",AND(W328&gt;=$D$1,X328&gt;0,V328/U328&lt;3),"Not Serious",AND(W328&gt;=$D$1,X328&gt;0,V328/U328&gt;=3),"Very serious",AND(W328&lt;=$D$1*-1,Y328&gt;0,X328&gt;$D$2*-1,V328/U328&lt;3),"Serious", AND(W328&lt;=$D$1*-1,Y328&gt;0,X328&lt;$D$2*-1,V328/U328&lt;3),"Very serious", AND(W328&gt;=$D$1,X328&lt;0,Y328&lt;$D$2,V328/U328&lt;3),"Serious",AND(W328&gt;=$D$1,X328&lt;0,Y328&gt;$D$2,V328/U328&lt;3),"Very serious", AND(W328&lt;=$D$1*-1,Y328&gt;0,X328&gt;$D$2*-1,V328/U328&gt;=3),"Very serious", AND(W328&lt;=$D$1*-1,Y328&gt;0,X328&lt;$D$2*-1,V328/U328&gt;=3),"Very serious", AND(W328&gt;=$D$1,X328&lt;0,Y328&lt;$D$2,V328/U328&gt;=3),"Very serious", AND(W328&gt;=$D$1,X328&lt;0,Y328&gt;$D$2,V328/U328&gt;=3),"Very serious", AND(W328&gt;$D$1*-1,W328&lt;$D$1,X328&gt;$D$1*-1,Y328&lt;$D$1,V328/U328&lt;3),"Not Serious", AND(W328&gt;$D$1*-1,W328&lt;$D$1,OR(X328&lt;=$D$1*-1,Y328&gt;=$D$1),X328&gt;$D$2*-1,Y328&lt;$D$2,V328/U328&lt;3),"Serious", AND(W328&gt;$D$1*-1,W328&lt;$D$1,OR(X328&lt;=$D$2*-1,Y328&gt;=$D$2),V328/U328&lt;3),"Very serious", AND(W328&gt;$D$1*-1,W328&lt;$D$1,X328&gt;$D$1*-1,Y328&lt;$D$1,V328/U328&gt;=3),"Very serious", AND(W328&gt;$D$1*-1,W328&lt;$D$1,OR(X328&lt;=$D$1*-1,Y328&gt;=$D$1),X328&gt;$D$2*-1,Y328&lt;$D$2,V328/U328&gt;=3),"Very serious", AND(W328&gt;$D$1*-1,W328&lt;$D$1,OR(X328&lt;=$D$2*-1,Y328&gt;=$D$2),V328/U328&gt;=3),"Very serious"),"")),"")</f>
        <v/>
      </c>
      <c r="AT328" s="109" t="str">
        <f t="shared" si="9"/>
        <v/>
      </c>
      <c r="AU328" s="64"/>
      <c r="AV328" s="83"/>
      <c r="AW328" s="83"/>
      <c r="AX328" s="83"/>
      <c r="AY328" s="83"/>
      <c r="AZ328" s="83"/>
      <c r="BA328" s="85"/>
      <c r="BB328" s="86" t="str">
        <f>IF(Preferences!B$9="Manual","",IFS(ISBLANK(B328),"",AND(ISNUMBER(E328)=TRUE,ISNUMBER(T328)=FALSE),"Direct", AND(ISNUMBER(E328)=FALSE,ISNUMBER(T328)=TRUE),"Indirect", CN328=4,"Direct",AND(CL328=FALSE, CM328=TRUE,CN328-CO328&gt;-1),"Direct", AND(CL328=FALSE,CM328=TRUE, CN328-CO328&lt;0),"Check algorithm in appendix 2", AND(CL328=TRUE, CM328=FALSE,CN328-CO328&gt;0),"Check algorithm in appendix 2", AND(CL328=TRUE, CM328=FALSE,CN328-CO328=0),"Indirect", AND(CL328=TRUE, CM328=FALSE,CN328-CO328&lt;0),"Indirect", AND(CL328=FALSE,CM328=FALSE,CN328-CO328&gt;-1),"Direct", AND(CL328=FALSE,CM328=FALSE,CN328-CO328&lt;0),"Check algorithm in appendix 2", AND(CL328=TRUE,CM328=TRUE,CN328-CO328&gt;-1),"Direct", AND(CL328=TRUE,CM328=TRUE,CN328-CO328&lt;0),"Check algorithm in appendix 2"))</f>
        <v/>
      </c>
      <c r="BC328" s="120" t="str">
        <f t="shared" si="10"/>
        <v/>
      </c>
      <c r="BD328" s="140"/>
      <c r="BE328" s="122" t="str">
        <f>IF(Preferences!B$3="Manual","", IFERROR(IFS(AND(Preferences!B$3="Automatic",AX328/AW328&gt;=30),"Extremely serious",AND(AY328&lt;=$D$1*-1,BA328&lt;0,AX328/AW328&lt;3),"Not Serious",AND(AY328&lt;=$D$1*-1,BA328&lt;0,AX328/AW328&gt;=3),"Very serious",AND(AY328&gt;=$D$1,AZ328&gt;0,AX328/AW328&lt;3),"Not Serious",AND(AY328&gt;=$D$1,AZ328&gt;0,AX328/AW328&gt;=3),"Very serious",AND(AY328&lt;=$D$1*-1,BA328&gt;0,AZ328&gt;$D$2*-1,AX328/AW328&lt;3),"Serious", AND(AY328&lt;=$D$1*-1,BA328&gt;0,AZ328&lt;$D$2*-1,AX328/AW328&lt;3),"Very serious", AND(AY328&gt;=$D$1,AZ328&lt;0,BA328&lt;$D$2,AX328/AW328&lt;3),"Serious",AND(AY328&gt;=$D$1,AZ328&lt;0,BA328&gt;$D$2,AX328/AW328&lt;3),"Very serious", AND(AY328&lt;=$D$1*-1,BA328&gt;0,AZ328&gt;$D$2*-1,AX328/AW328&gt;=3),"Very serious", AND(AY328&lt;=$D$1*-1,BA328&gt;0,AZ328&lt;$D$2*-1,AX328/AW328&gt;=3),"Very serious", AND(AY328&gt;=$D$1,AZ328&lt;0,BA328&lt;$D$2,AX328/AW328&gt;=3),"Very serious", AND(AY328&gt;=$D$1,AZ328&lt;0,BA328&gt;$D$2,AX328/AW328&gt;=3),"Very serious", AND(AY328&gt;$D$1*-1,AY328&lt;$D$1,AZ328&gt;$D$1*-1,BA328&lt;$D$1,AX328/AW328&lt;3),"Not Serious", AND(AY328&gt;$D$1*-1,AY328&lt;$D$1,OR(AZ328&lt;=$D$1*-1,BA328&gt;=$D$1),AZ328&gt;$D$2*-1,BA328&lt;$D$2,AX328/AW328&lt;3),"Serious", AND(AY328&gt;$D$1*-1,AY328&lt;$D$1,OR(AZ328&lt;=$D$2*-1,BA328&gt;=$D$2),AX328/AW328&lt;3),"Very serious", AND(AY328&gt;$D$1*-1,AY328&lt;$D$1,AZ328&gt;$D$1*-1,BA328&lt;$D$1,AX328/AW328&gt;=3),"Very serious", AND(AY328&gt;$D$1*-1,AY328&lt;$D$1,OR(AZ328&lt;=$D$1*-1,BA328&gt;=$D$1),AZ328&gt;$D$2*-1,BA328&lt;$D$2,AX328/AW328&gt;=3),"Very serious", AND(AY328&gt;$D$1*-1,AY328&lt;$D$1,OR(AZ328&lt;=$D$2*-1,BA328&gt;=$D$2),AX328/AW328&gt;=3),"Very serious"),""))</f>
        <v/>
      </c>
      <c r="BF328" s="107" t="str">
        <f t="shared" si="11"/>
        <v/>
      </c>
      <c r="BG328" s="94" t="str">
        <f t="shared" si="46"/>
        <v/>
      </c>
      <c r="BH328" s="64" t="str">
        <f t="shared" si="12"/>
        <v>#N/A</v>
      </c>
      <c r="BI328" s="64" t="str">
        <f t="shared" si="13"/>
        <v/>
      </c>
      <c r="BJ328" s="123" t="str">
        <f t="shared" si="14"/>
        <v>#N/A</v>
      </c>
      <c r="BK328" s="64" t="str">
        <f t="shared" si="50"/>
        <v>YES</v>
      </c>
      <c r="BL328" s="64" t="str">
        <f t="shared" si="16"/>
        <v>YES</v>
      </c>
      <c r="BM328" s="64" t="str">
        <f t="shared" si="17"/>
        <v>YES</v>
      </c>
      <c r="BN328" s="124" t="str">
        <f t="shared" si="18"/>
        <v/>
      </c>
      <c r="BO328" s="91" t="str">
        <f t="shared" si="19"/>
        <v/>
      </c>
      <c r="BP328" s="91" t="str">
        <f t="shared" si="20"/>
        <v>#N/A</v>
      </c>
      <c r="BQ328" s="91" t="str">
        <f t="shared" si="21"/>
        <v/>
      </c>
      <c r="BR328" s="93" t="str">
        <f t="shared" si="22"/>
        <v/>
      </c>
      <c r="BS328" s="90" t="str">
        <f t="shared" si="23"/>
        <v/>
      </c>
      <c r="BT328" s="93" t="str">
        <f t="shared" si="24"/>
        <v>NA</v>
      </c>
      <c r="BU328" s="125" t="str">
        <f t="shared" si="25"/>
        <v>#N/A</v>
      </c>
      <c r="BV328" s="93" t="str">
        <f t="shared" si="26"/>
        <v/>
      </c>
      <c r="BW328" s="93" t="str">
        <f t="shared" si="27"/>
        <v/>
      </c>
      <c r="BX328" s="93" t="str">
        <f t="shared" si="28"/>
        <v>NA</v>
      </c>
      <c r="BY328" s="95" t="str">
        <f t="shared" si="29"/>
        <v>#N/A</v>
      </c>
      <c r="BZ328" s="93" t="str">
        <f t="shared" si="30"/>
        <v/>
      </c>
      <c r="CA328" s="93" t="str">
        <f t="shared" si="31"/>
        <v/>
      </c>
      <c r="CB328" s="93" t="str">
        <f t="shared" si="32"/>
        <v>NA</v>
      </c>
      <c r="CC328" s="96" t="str">
        <f t="shared" si="33"/>
        <v>#N/A</v>
      </c>
      <c r="CD328" s="93" t="str">
        <f t="shared" si="34"/>
        <v/>
      </c>
      <c r="CE328" s="93" t="str">
        <f t="shared" si="35"/>
        <v/>
      </c>
      <c r="CF328" s="93" t="str">
        <f t="shared" si="36"/>
        <v>NA</v>
      </c>
      <c r="CG328" s="97" t="str">
        <f t="shared" si="37"/>
        <v>#N/A</v>
      </c>
      <c r="CH328" s="98" t="str">
        <f t="shared" si="38"/>
        <v>#N/A</v>
      </c>
      <c r="CI328" s="99" t="str">
        <f t="shared" si="39"/>
        <v>#N/A</v>
      </c>
      <c r="CJ328" s="126" t="str">
        <f t="shared" si="40"/>
        <v>ERROR: check cell</v>
      </c>
      <c r="CK328" s="126"/>
      <c r="CL328" s="127" t="str">
        <f t="shared" si="41"/>
        <v>#DIV/0!</v>
      </c>
      <c r="CM328" s="128" t="str">
        <f t="shared" si="42"/>
        <v>#DIV/0!</v>
      </c>
      <c r="CN328" s="128">
        <f t="shared" si="43"/>
        <v>4</v>
      </c>
      <c r="CO328" s="129">
        <f t="shared" si="44"/>
        <v>4</v>
      </c>
      <c r="CP328" s="129" t="str">
        <f>IFS(C328=Preferences!B$13,B328,B328=Preferences!B$13,C328)</f>
        <v>#N/A</v>
      </c>
    </row>
    <row r="329" ht="13.5" customHeight="1">
      <c r="A329" s="63" t="str">
        <f t="shared" si="45"/>
        <v/>
      </c>
      <c r="B329" s="64"/>
      <c r="C329" s="64"/>
      <c r="D329" s="64"/>
      <c r="E329" s="65"/>
      <c r="F329" s="65"/>
      <c r="G329" s="65"/>
      <c r="H329" s="66"/>
      <c r="I329" s="66"/>
      <c r="J329" s="67"/>
      <c r="K329" s="68"/>
      <c r="L329" s="104"/>
      <c r="M329" s="104"/>
      <c r="N329" s="104"/>
      <c r="O329" s="104"/>
      <c r="P329" s="107" t="str">
        <f t="shared" si="1"/>
        <v/>
      </c>
      <c r="Q329" s="108" t="str">
        <f>IFERROR(IF(AND(Preferences!B$3="Manual",OR(AX329/AW329&gt;G329/F329,BD329="Serious",BD329="Very serious")),"Assess imprecision",IFS(ISBLANK(E329),"",AND(Preferences!B$3="Automatic", G329/F329&gt;=30),"Extremely serious",AND(H329&lt;=$D$1*-1,J329&lt;0,G329/F329&lt;3),"Not serious",AND(H329&lt;=$D$1*-1,J329&lt;0,G329/F329&gt;=3),"Very serious",AND(H329&gt;=$D$1,I329&gt;0,G329/F329&lt;3),"Not serious",AND(H329&gt;=$D$1,I329&gt;0,G329/F329&gt;=3),"Very serious",AND(H329&lt;=$D$1*-1,J329&gt;0,I329&gt;$D$2*-1,G329/F329&lt;3),"Serious", AND(H329&lt;=$D$1*-1,J329&gt;0,I329&lt;$D$2*-1,G329/F329&lt;3),"Very serious", AND(H329&gt;=$D$1,I329&lt;0,J329&lt;$D$2,G329/F329&lt;3),"Serious",AND(H329&gt;=$D$1,I329&lt;0,J329&gt;$D$2,G329/F329&lt;3),"Very serious", AND(H329&lt;=$D$1*-1,J329&gt;0,I329&gt;$D$2*-1,G329/F329&gt;=3),"Very serious", AND(H329&lt;=$D$1*-1,J329&gt;0,I329&lt;$D$2*-1,G329/F329&gt;=3),"Very serious", AND(H329&gt;=$D$1,I329&lt;0,J329&lt;$D$2,G329/F329&gt;=3),"Very serious", AND(H329&gt;=$D$1,I329&lt;0,J329&gt;$D$2,G329/F329&gt;=3),"Very serious", AND(H329&gt;$D$1*-1,H329&lt;$D$1,I329&gt;$D$1*-1,J329&lt;$D$1,G329/F329&lt;3),"Not serious", AND(H329&gt;$D$1*-1,H329&lt;$D$1,OR(I329&lt;=$D$1*-1,J329&gt;=$D$1),I329&gt;$D$2*-1,J329&lt;$D$2,G329/F329&lt;3),"Serious", AND(H329&gt;$D$1*-1,H329&lt;$D$1,OR(I329&lt;=$D$2*-1,J329&gt;=$D$2),G329/F329&lt;3),"Very serious", AND(H329&gt;$D$1*-1,H329&lt;$D$1,I329&gt;$D$1*-1,J329&lt;$D$1,G329/F329&gt;=3),"Very serious", AND(H329&gt;$D$1*-1,H329&lt;$D$1,OR(I329&lt;=$D$1*-1,J329&gt;=$D$1),I329&gt;$D$2*-1,J329&lt;$D$2,G329/F329&gt;=3),"Very serious", AND(H329&gt;$D$1*-1,H329&lt;$D$1,OR(I329&lt;=$D$2*-1,J329&gt;=$D$2),G329/F329&gt;=3),"Very serious")),"")</f>
        <v/>
      </c>
      <c r="R329" s="109" t="str">
        <f t="shared" si="47"/>
        <v/>
      </c>
      <c r="S329" s="64"/>
      <c r="T329" s="72"/>
      <c r="U329" s="72"/>
      <c r="V329" s="72"/>
      <c r="W329" s="73"/>
      <c r="X329" s="73"/>
      <c r="Y329" s="74"/>
      <c r="Z329" s="113" t="str">
        <f t="array" ref="Z329">INDEX($A$1:$C$500, MATCH(1,($B:$B=$B329)*($C:$C=$AB329),0),1)</f>
        <v/>
      </c>
      <c r="AA329" s="113" t="str">
        <f t="array" ref="AA329">INDEX($A$1:$C$500, MATCH(1,($B:$B=$AB329)*($C:$C=$B329),0),1)</f>
        <v/>
      </c>
      <c r="AB329" s="111"/>
      <c r="AC329" s="114" t="str">
        <f t="shared" si="2"/>
        <v/>
      </c>
      <c r="AD329" s="115" t="str">
        <f t="shared" si="3"/>
        <v/>
      </c>
      <c r="AE329" s="116" t="str">
        <f t="array" ref="AE329">INDEX($A$1:$C$500, MATCH(1,($B:$B=$AB329)*($C:$C=$AG329),0),1)</f>
        <v/>
      </c>
      <c r="AF329" s="116" t="str">
        <f t="array" ref="AF329">INDEX($A$1:$C$500, MATCH(1,($B:$B=$AG329)*($C:$C=$AB329),0),1)</f>
        <v/>
      </c>
      <c r="AG329" s="72"/>
      <c r="AH329" s="114" t="str">
        <f t="shared" si="4"/>
        <v/>
      </c>
      <c r="AI329" s="115" t="str">
        <f t="shared" si="5"/>
        <v/>
      </c>
      <c r="AJ329" s="116" t="str">
        <f t="array" ref="AJ329">INDEX($A$1:$C$500, MATCH(1,($B:$B=$C329)*($C:$C=$AG329),0),1)</f>
        <v/>
      </c>
      <c r="AK329" s="116" t="str">
        <f t="array" ref="AK329">INDEX($A$1:$C$500, MATCH(1,($B:$B=$AG329)*($C:$C=$C329),0),1)</f>
        <v/>
      </c>
      <c r="AL329" s="116" t="str">
        <f t="array" ref="AL329">INDEX($A$1:$C$500, MATCH(1,($B:$B=$C329)*($C:$C=$AB329),0),1)</f>
        <v/>
      </c>
      <c r="AM329" s="116" t="str">
        <f t="array" ref="AM329">INDEX($A$1:$C$500, MATCH(1,($B:$B=$AB329)*($C:$C=$C329),0),1)</f>
        <v/>
      </c>
      <c r="AN329" s="114" t="str">
        <f t="array" ref="AN329">IFS(ISNUMBER(AJ329),AJ329,ISNUMBER(AK329),AK329,ISNUMBER(AL329),AL329,ISNUMBER(AM329),AM329)</f>
        <v>#N/A</v>
      </c>
      <c r="AO329" s="115" t="str">
        <f t="shared" si="6"/>
        <v/>
      </c>
      <c r="AP329" s="115" t="str">
        <f t="shared" si="7"/>
        <v/>
      </c>
      <c r="AQ329" s="111"/>
      <c r="AR329" s="109" t="str">
        <f t="shared" si="8"/>
        <v/>
      </c>
      <c r="AS329" s="72" t="str">
        <f>IFERROR(IF(AND(Preferences!B$3="Manual",OR(AX329/AW329&gt;V329/U329,BD329="Serious",BD329="Very serious")),"Assess imprecision",IFERROR(IFS(AND(Preferences!B$3="Automatic",V329/U329&gt;=30),"Extremely serious",AND(W329&lt;=$D$1*-1,Y329&lt;0,V329/U329&lt;3),"Not Serious",AND(W329&lt;=$D$1*-1,Y329&lt;0,V329/U329&gt;=3),"Very serious",AND(W329&gt;=$D$1,X329&gt;0,V329/U329&lt;3),"Not Serious",AND(W329&gt;=$D$1,X329&gt;0,V329/U329&gt;=3),"Very serious",AND(W329&lt;=$D$1*-1,Y329&gt;0,X329&gt;$D$2*-1,V329/U329&lt;3),"Serious", AND(W329&lt;=$D$1*-1,Y329&gt;0,X329&lt;$D$2*-1,V329/U329&lt;3),"Very serious", AND(W329&gt;=$D$1,X329&lt;0,Y329&lt;$D$2,V329/U329&lt;3),"Serious",AND(W329&gt;=$D$1,X329&lt;0,Y329&gt;$D$2,V329/U329&lt;3),"Very serious", AND(W329&lt;=$D$1*-1,Y329&gt;0,X329&gt;$D$2*-1,V329/U329&gt;=3),"Very serious", AND(W329&lt;=$D$1*-1,Y329&gt;0,X329&lt;$D$2*-1,V329/U329&gt;=3),"Very serious", AND(W329&gt;=$D$1,X329&lt;0,Y329&lt;$D$2,V329/U329&gt;=3),"Very serious", AND(W329&gt;=$D$1,X329&lt;0,Y329&gt;$D$2,V329/U329&gt;=3),"Very serious", AND(W329&gt;$D$1*-1,W329&lt;$D$1,X329&gt;$D$1*-1,Y329&lt;$D$1,V329/U329&lt;3),"Not Serious", AND(W329&gt;$D$1*-1,W329&lt;$D$1,OR(X329&lt;=$D$1*-1,Y329&gt;=$D$1),X329&gt;$D$2*-1,Y329&lt;$D$2,V329/U329&lt;3),"Serious", AND(W329&gt;$D$1*-1,W329&lt;$D$1,OR(X329&lt;=$D$2*-1,Y329&gt;=$D$2),V329/U329&lt;3),"Very serious", AND(W329&gt;$D$1*-1,W329&lt;$D$1,X329&gt;$D$1*-1,Y329&lt;$D$1,V329/U329&gt;=3),"Very serious", AND(W329&gt;$D$1*-1,W329&lt;$D$1,OR(X329&lt;=$D$1*-1,Y329&gt;=$D$1),X329&gt;$D$2*-1,Y329&lt;$D$2,V329/U329&gt;=3),"Very serious", AND(W329&gt;$D$1*-1,W329&lt;$D$1,OR(X329&lt;=$D$2*-1,Y329&gt;=$D$2),V329/U329&gt;=3),"Very serious"),"")),"")</f>
        <v/>
      </c>
      <c r="AT329" s="109" t="str">
        <f t="shared" si="9"/>
        <v/>
      </c>
      <c r="AU329" s="64"/>
      <c r="AV329" s="83"/>
      <c r="AW329" s="83"/>
      <c r="AX329" s="83"/>
      <c r="AY329" s="83"/>
      <c r="AZ329" s="83"/>
      <c r="BA329" s="85"/>
      <c r="BB329" s="86" t="str">
        <f>IF(Preferences!B$9="Manual","",IFS(ISBLANK(B329),"",AND(ISNUMBER(E329)=TRUE,ISNUMBER(T329)=FALSE),"Direct", AND(ISNUMBER(E329)=FALSE,ISNUMBER(T329)=TRUE),"Indirect", CN329=4,"Direct",AND(CL329=FALSE, CM329=TRUE,CN329-CO329&gt;-1),"Direct", AND(CL329=FALSE,CM329=TRUE, CN329-CO329&lt;0),"Check algorithm in appendix 2", AND(CL329=TRUE, CM329=FALSE,CN329-CO329&gt;0),"Check algorithm in appendix 2", AND(CL329=TRUE, CM329=FALSE,CN329-CO329=0),"Indirect", AND(CL329=TRUE, CM329=FALSE,CN329-CO329&lt;0),"Indirect", AND(CL329=FALSE,CM329=FALSE,CN329-CO329&gt;-1),"Direct", AND(CL329=FALSE,CM329=FALSE,CN329-CO329&lt;0),"Check algorithm in appendix 2", AND(CL329=TRUE,CM329=TRUE,CN329-CO329&gt;-1),"Direct", AND(CL329=TRUE,CM329=TRUE,CN329-CO329&lt;0),"Check algorithm in appendix 2"))</f>
        <v/>
      </c>
      <c r="BC329" s="120" t="str">
        <f t="shared" si="10"/>
        <v/>
      </c>
      <c r="BD329" s="140"/>
      <c r="BE329" s="122" t="str">
        <f>IF(Preferences!B$3="Manual","", IFERROR(IFS(AND(Preferences!B$3="Automatic",AX329/AW329&gt;=30),"Extremely serious",AND(AY329&lt;=$D$1*-1,BA329&lt;0,AX329/AW329&lt;3),"Not Serious",AND(AY329&lt;=$D$1*-1,BA329&lt;0,AX329/AW329&gt;=3),"Very serious",AND(AY329&gt;=$D$1,AZ329&gt;0,AX329/AW329&lt;3),"Not Serious",AND(AY329&gt;=$D$1,AZ329&gt;0,AX329/AW329&gt;=3),"Very serious",AND(AY329&lt;=$D$1*-1,BA329&gt;0,AZ329&gt;$D$2*-1,AX329/AW329&lt;3),"Serious", AND(AY329&lt;=$D$1*-1,BA329&gt;0,AZ329&lt;$D$2*-1,AX329/AW329&lt;3),"Very serious", AND(AY329&gt;=$D$1,AZ329&lt;0,BA329&lt;$D$2,AX329/AW329&lt;3),"Serious",AND(AY329&gt;=$D$1,AZ329&lt;0,BA329&gt;$D$2,AX329/AW329&lt;3),"Very serious", AND(AY329&lt;=$D$1*-1,BA329&gt;0,AZ329&gt;$D$2*-1,AX329/AW329&gt;=3),"Very serious", AND(AY329&lt;=$D$1*-1,BA329&gt;0,AZ329&lt;$D$2*-1,AX329/AW329&gt;=3),"Very serious", AND(AY329&gt;=$D$1,AZ329&lt;0,BA329&lt;$D$2,AX329/AW329&gt;=3),"Very serious", AND(AY329&gt;=$D$1,AZ329&lt;0,BA329&gt;$D$2,AX329/AW329&gt;=3),"Very serious", AND(AY329&gt;$D$1*-1,AY329&lt;$D$1,AZ329&gt;$D$1*-1,BA329&lt;$D$1,AX329/AW329&lt;3),"Not Serious", AND(AY329&gt;$D$1*-1,AY329&lt;$D$1,OR(AZ329&lt;=$D$1*-1,BA329&gt;=$D$1),AZ329&gt;$D$2*-1,BA329&lt;$D$2,AX329/AW329&lt;3),"Serious", AND(AY329&gt;$D$1*-1,AY329&lt;$D$1,OR(AZ329&lt;=$D$2*-1,BA329&gt;=$D$2),AX329/AW329&lt;3),"Very serious", AND(AY329&gt;$D$1*-1,AY329&lt;$D$1,AZ329&gt;$D$1*-1,BA329&lt;$D$1,AX329/AW329&gt;=3),"Very serious", AND(AY329&gt;$D$1*-1,AY329&lt;$D$1,OR(AZ329&lt;=$D$1*-1,BA329&gt;=$D$1),AZ329&gt;$D$2*-1,BA329&lt;$D$2,AX329/AW329&gt;=3),"Very serious", AND(AY329&gt;$D$1*-1,AY329&lt;$D$1,OR(AZ329&lt;=$D$2*-1,BA329&gt;=$D$2),AX329/AW329&gt;=3),"Very serious"),""))</f>
        <v/>
      </c>
      <c r="BF329" s="107" t="str">
        <f t="shared" si="11"/>
        <v/>
      </c>
      <c r="BG329" s="94" t="str">
        <f t="shared" si="46"/>
        <v/>
      </c>
      <c r="BH329" s="64" t="str">
        <f t="shared" si="12"/>
        <v>#N/A</v>
      </c>
      <c r="BI329" s="64" t="str">
        <f t="shared" si="13"/>
        <v/>
      </c>
      <c r="BJ329" s="123" t="str">
        <f t="shared" si="14"/>
        <v>#N/A</v>
      </c>
      <c r="BK329" s="64" t="str">
        <f t="shared" si="50"/>
        <v>YES</v>
      </c>
      <c r="BL329" s="64" t="str">
        <f t="shared" si="16"/>
        <v>YES</v>
      </c>
      <c r="BM329" s="64" t="str">
        <f t="shared" si="17"/>
        <v>YES</v>
      </c>
      <c r="BN329" s="124" t="str">
        <f t="shared" si="18"/>
        <v/>
      </c>
      <c r="BO329" s="91" t="str">
        <f t="shared" si="19"/>
        <v/>
      </c>
      <c r="BP329" s="91" t="str">
        <f t="shared" si="20"/>
        <v>#N/A</v>
      </c>
      <c r="BQ329" s="91" t="str">
        <f t="shared" si="21"/>
        <v/>
      </c>
      <c r="BR329" s="93" t="str">
        <f t="shared" si="22"/>
        <v/>
      </c>
      <c r="BS329" s="90" t="str">
        <f t="shared" si="23"/>
        <v/>
      </c>
      <c r="BT329" s="93" t="str">
        <f t="shared" si="24"/>
        <v>NA</v>
      </c>
      <c r="BU329" s="125" t="str">
        <f t="shared" si="25"/>
        <v>#N/A</v>
      </c>
      <c r="BV329" s="93" t="str">
        <f t="shared" si="26"/>
        <v/>
      </c>
      <c r="BW329" s="93" t="str">
        <f t="shared" si="27"/>
        <v/>
      </c>
      <c r="BX329" s="93" t="str">
        <f t="shared" si="28"/>
        <v>NA</v>
      </c>
      <c r="BY329" s="95" t="str">
        <f t="shared" si="29"/>
        <v>#N/A</v>
      </c>
      <c r="BZ329" s="93" t="str">
        <f t="shared" si="30"/>
        <v/>
      </c>
      <c r="CA329" s="93" t="str">
        <f t="shared" si="31"/>
        <v/>
      </c>
      <c r="CB329" s="93" t="str">
        <f t="shared" si="32"/>
        <v>NA</v>
      </c>
      <c r="CC329" s="96" t="str">
        <f t="shared" si="33"/>
        <v>#N/A</v>
      </c>
      <c r="CD329" s="93" t="str">
        <f t="shared" si="34"/>
        <v/>
      </c>
      <c r="CE329" s="93" t="str">
        <f t="shared" si="35"/>
        <v/>
      </c>
      <c r="CF329" s="93" t="str">
        <f t="shared" si="36"/>
        <v>NA</v>
      </c>
      <c r="CG329" s="97" t="str">
        <f t="shared" si="37"/>
        <v>#N/A</v>
      </c>
      <c r="CH329" s="98" t="str">
        <f t="shared" si="38"/>
        <v>#N/A</v>
      </c>
      <c r="CI329" s="99" t="str">
        <f t="shared" si="39"/>
        <v>#N/A</v>
      </c>
      <c r="CJ329" s="126" t="str">
        <f t="shared" si="40"/>
        <v>ERROR: check cell</v>
      </c>
      <c r="CK329" s="126"/>
      <c r="CL329" s="127" t="str">
        <f t="shared" si="41"/>
        <v>#DIV/0!</v>
      </c>
      <c r="CM329" s="128" t="str">
        <f t="shared" si="42"/>
        <v>#DIV/0!</v>
      </c>
      <c r="CN329" s="128">
        <f t="shared" si="43"/>
        <v>4</v>
      </c>
      <c r="CO329" s="129">
        <f t="shared" si="44"/>
        <v>4</v>
      </c>
      <c r="CP329" s="129" t="str">
        <f>IFS(C329=Preferences!B$13,B329,B329=Preferences!B$13,C329)</f>
        <v>#N/A</v>
      </c>
    </row>
    <row r="330" ht="13.5" customHeight="1">
      <c r="A330" s="63" t="str">
        <f t="shared" si="45"/>
        <v/>
      </c>
      <c r="B330" s="64"/>
      <c r="C330" s="64"/>
      <c r="D330" s="64"/>
      <c r="E330" s="65"/>
      <c r="F330" s="65"/>
      <c r="G330" s="65"/>
      <c r="H330" s="66"/>
      <c r="I330" s="66"/>
      <c r="J330" s="67"/>
      <c r="K330" s="68"/>
      <c r="L330" s="104"/>
      <c r="M330" s="104"/>
      <c r="N330" s="104"/>
      <c r="O330" s="104"/>
      <c r="P330" s="107" t="str">
        <f t="shared" si="1"/>
        <v/>
      </c>
      <c r="Q330" s="108" t="str">
        <f>IFERROR(IF(AND(Preferences!B$3="Manual",OR(AX330/AW330&gt;G330/F330,BD330="Serious",BD330="Very serious")),"Assess imprecision",IFS(ISBLANK(E330),"",AND(Preferences!B$3="Automatic", G330/F330&gt;=30),"Extremely serious",AND(H330&lt;=$D$1*-1,J330&lt;0,G330/F330&lt;3),"Not serious",AND(H330&lt;=$D$1*-1,J330&lt;0,G330/F330&gt;=3),"Very serious",AND(H330&gt;=$D$1,I330&gt;0,G330/F330&lt;3),"Not serious",AND(H330&gt;=$D$1,I330&gt;0,G330/F330&gt;=3),"Very serious",AND(H330&lt;=$D$1*-1,J330&gt;0,I330&gt;$D$2*-1,G330/F330&lt;3),"Serious", AND(H330&lt;=$D$1*-1,J330&gt;0,I330&lt;$D$2*-1,G330/F330&lt;3),"Very serious", AND(H330&gt;=$D$1,I330&lt;0,J330&lt;$D$2,G330/F330&lt;3),"Serious",AND(H330&gt;=$D$1,I330&lt;0,J330&gt;$D$2,G330/F330&lt;3),"Very serious", AND(H330&lt;=$D$1*-1,J330&gt;0,I330&gt;$D$2*-1,G330/F330&gt;=3),"Very serious", AND(H330&lt;=$D$1*-1,J330&gt;0,I330&lt;$D$2*-1,G330/F330&gt;=3),"Very serious", AND(H330&gt;=$D$1,I330&lt;0,J330&lt;$D$2,G330/F330&gt;=3),"Very serious", AND(H330&gt;=$D$1,I330&lt;0,J330&gt;$D$2,G330/F330&gt;=3),"Very serious", AND(H330&gt;$D$1*-1,H330&lt;$D$1,I330&gt;$D$1*-1,J330&lt;$D$1,G330/F330&lt;3),"Not serious", AND(H330&gt;$D$1*-1,H330&lt;$D$1,OR(I330&lt;=$D$1*-1,J330&gt;=$D$1),I330&gt;$D$2*-1,J330&lt;$D$2,G330/F330&lt;3),"Serious", AND(H330&gt;$D$1*-1,H330&lt;$D$1,OR(I330&lt;=$D$2*-1,J330&gt;=$D$2),G330/F330&lt;3),"Very serious", AND(H330&gt;$D$1*-1,H330&lt;$D$1,I330&gt;$D$1*-1,J330&lt;$D$1,G330/F330&gt;=3),"Very serious", AND(H330&gt;$D$1*-1,H330&lt;$D$1,OR(I330&lt;=$D$1*-1,J330&gt;=$D$1),I330&gt;$D$2*-1,J330&lt;$D$2,G330/F330&gt;=3),"Very serious", AND(H330&gt;$D$1*-1,H330&lt;$D$1,OR(I330&lt;=$D$2*-1,J330&gt;=$D$2),G330/F330&gt;=3),"Very serious")),"")</f>
        <v/>
      </c>
      <c r="R330" s="109" t="str">
        <f t="shared" si="47"/>
        <v/>
      </c>
      <c r="S330" s="64"/>
      <c r="T330" s="72"/>
      <c r="U330" s="72"/>
      <c r="V330" s="72"/>
      <c r="W330" s="73"/>
      <c r="X330" s="73"/>
      <c r="Y330" s="74"/>
      <c r="Z330" s="113" t="str">
        <f t="array" ref="Z330">INDEX($A$1:$C$500, MATCH(1,($B:$B=$B330)*($C:$C=$AB330),0),1)</f>
        <v/>
      </c>
      <c r="AA330" s="113" t="str">
        <f t="array" ref="AA330">INDEX($A$1:$C$500, MATCH(1,($B:$B=$AB330)*($C:$C=$B330),0),1)</f>
        <v/>
      </c>
      <c r="AB330" s="111"/>
      <c r="AC330" s="114" t="str">
        <f t="shared" si="2"/>
        <v/>
      </c>
      <c r="AD330" s="115" t="str">
        <f t="shared" si="3"/>
        <v/>
      </c>
      <c r="AE330" s="116" t="str">
        <f t="array" ref="AE330">INDEX($A$1:$C$500, MATCH(1,($B:$B=$AB330)*($C:$C=$AG330),0),1)</f>
        <v/>
      </c>
      <c r="AF330" s="116" t="str">
        <f t="array" ref="AF330">INDEX($A$1:$C$500, MATCH(1,($B:$B=$AG330)*($C:$C=$AB330),0),1)</f>
        <v/>
      </c>
      <c r="AG330" s="72"/>
      <c r="AH330" s="114" t="str">
        <f t="shared" si="4"/>
        <v/>
      </c>
      <c r="AI330" s="115" t="str">
        <f t="shared" si="5"/>
        <v/>
      </c>
      <c r="AJ330" s="116" t="str">
        <f t="array" ref="AJ330">INDEX($A$1:$C$500, MATCH(1,($B:$B=$C330)*($C:$C=$AG330),0),1)</f>
        <v/>
      </c>
      <c r="AK330" s="116" t="str">
        <f t="array" ref="AK330">INDEX($A$1:$C$500, MATCH(1,($B:$B=$AG330)*($C:$C=$C330),0),1)</f>
        <v/>
      </c>
      <c r="AL330" s="116" t="str">
        <f t="array" ref="AL330">INDEX($A$1:$C$500, MATCH(1,($B:$B=$C330)*($C:$C=$AB330),0),1)</f>
        <v/>
      </c>
      <c r="AM330" s="116" t="str">
        <f t="array" ref="AM330">INDEX($A$1:$C$500, MATCH(1,($B:$B=$AB330)*($C:$C=$C330),0),1)</f>
        <v/>
      </c>
      <c r="AN330" s="114" t="str">
        <f t="array" ref="AN330">IFS(ISNUMBER(AJ330),AJ330,ISNUMBER(AK330),AK330,ISNUMBER(AL330),AL330,ISNUMBER(AM330),AM330)</f>
        <v>#N/A</v>
      </c>
      <c r="AO330" s="115" t="str">
        <f t="shared" si="6"/>
        <v/>
      </c>
      <c r="AP330" s="115" t="str">
        <f t="shared" si="7"/>
        <v/>
      </c>
      <c r="AQ330" s="111"/>
      <c r="AR330" s="109" t="str">
        <f t="shared" si="8"/>
        <v/>
      </c>
      <c r="AS330" s="72" t="str">
        <f>IFERROR(IF(AND(Preferences!B$3="Manual",OR(AX330/AW330&gt;V330/U330,BD330="Serious",BD330="Very serious")),"Assess imprecision",IFERROR(IFS(AND(Preferences!B$3="Automatic",V330/U330&gt;=30),"Extremely serious",AND(W330&lt;=$D$1*-1,Y330&lt;0,V330/U330&lt;3),"Not Serious",AND(W330&lt;=$D$1*-1,Y330&lt;0,V330/U330&gt;=3),"Very serious",AND(W330&gt;=$D$1,X330&gt;0,V330/U330&lt;3),"Not Serious",AND(W330&gt;=$D$1,X330&gt;0,V330/U330&gt;=3),"Very serious",AND(W330&lt;=$D$1*-1,Y330&gt;0,X330&gt;$D$2*-1,V330/U330&lt;3),"Serious", AND(W330&lt;=$D$1*-1,Y330&gt;0,X330&lt;$D$2*-1,V330/U330&lt;3),"Very serious", AND(W330&gt;=$D$1,X330&lt;0,Y330&lt;$D$2,V330/U330&lt;3),"Serious",AND(W330&gt;=$D$1,X330&lt;0,Y330&gt;$D$2,V330/U330&lt;3),"Very serious", AND(W330&lt;=$D$1*-1,Y330&gt;0,X330&gt;$D$2*-1,V330/U330&gt;=3),"Very serious", AND(W330&lt;=$D$1*-1,Y330&gt;0,X330&lt;$D$2*-1,V330/U330&gt;=3),"Very serious", AND(W330&gt;=$D$1,X330&lt;0,Y330&lt;$D$2,V330/U330&gt;=3),"Very serious", AND(W330&gt;=$D$1,X330&lt;0,Y330&gt;$D$2,V330/U330&gt;=3),"Very serious", AND(W330&gt;$D$1*-1,W330&lt;$D$1,X330&gt;$D$1*-1,Y330&lt;$D$1,V330/U330&lt;3),"Not Serious", AND(W330&gt;$D$1*-1,W330&lt;$D$1,OR(X330&lt;=$D$1*-1,Y330&gt;=$D$1),X330&gt;$D$2*-1,Y330&lt;$D$2,V330/U330&lt;3),"Serious", AND(W330&gt;$D$1*-1,W330&lt;$D$1,OR(X330&lt;=$D$2*-1,Y330&gt;=$D$2),V330/U330&lt;3),"Very serious", AND(W330&gt;$D$1*-1,W330&lt;$D$1,X330&gt;$D$1*-1,Y330&lt;$D$1,V330/U330&gt;=3),"Very serious", AND(W330&gt;$D$1*-1,W330&lt;$D$1,OR(X330&lt;=$D$1*-1,Y330&gt;=$D$1),X330&gt;$D$2*-1,Y330&lt;$D$2,V330/U330&gt;=3),"Very serious", AND(W330&gt;$D$1*-1,W330&lt;$D$1,OR(X330&lt;=$D$2*-1,Y330&gt;=$D$2),V330/U330&gt;=3),"Very serious"),"")),"")</f>
        <v/>
      </c>
      <c r="AT330" s="109" t="str">
        <f t="shared" si="9"/>
        <v/>
      </c>
      <c r="AU330" s="64"/>
      <c r="AV330" s="83"/>
      <c r="AW330" s="83"/>
      <c r="AX330" s="83"/>
      <c r="AY330" s="83"/>
      <c r="AZ330" s="83"/>
      <c r="BA330" s="85"/>
      <c r="BB330" s="86" t="str">
        <f>IF(Preferences!B$9="Manual","",IFS(ISBLANK(B330),"",AND(ISNUMBER(E330)=TRUE,ISNUMBER(T330)=FALSE),"Direct", AND(ISNUMBER(E330)=FALSE,ISNUMBER(T330)=TRUE),"Indirect", CN330=4,"Direct",AND(CL330=FALSE, CM330=TRUE,CN330-CO330&gt;-1),"Direct", AND(CL330=FALSE,CM330=TRUE, CN330-CO330&lt;0),"Check algorithm in appendix 2", AND(CL330=TRUE, CM330=FALSE,CN330-CO330&gt;0),"Check algorithm in appendix 2", AND(CL330=TRUE, CM330=FALSE,CN330-CO330=0),"Indirect", AND(CL330=TRUE, CM330=FALSE,CN330-CO330&lt;0),"Indirect", AND(CL330=FALSE,CM330=FALSE,CN330-CO330&gt;-1),"Direct", AND(CL330=FALSE,CM330=FALSE,CN330-CO330&lt;0),"Check algorithm in appendix 2", AND(CL330=TRUE,CM330=TRUE,CN330-CO330&gt;-1),"Direct", AND(CL330=TRUE,CM330=TRUE,CN330-CO330&lt;0),"Check algorithm in appendix 2"))</f>
        <v/>
      </c>
      <c r="BC330" s="120" t="str">
        <f t="shared" si="10"/>
        <v/>
      </c>
      <c r="BD330" s="140"/>
      <c r="BE330" s="122" t="str">
        <f>IF(Preferences!B$3="Manual","", IFERROR(IFS(AND(Preferences!B$3="Automatic",AX330/AW330&gt;=30),"Extremely serious",AND(AY330&lt;=$D$1*-1,BA330&lt;0,AX330/AW330&lt;3),"Not Serious",AND(AY330&lt;=$D$1*-1,BA330&lt;0,AX330/AW330&gt;=3),"Very serious",AND(AY330&gt;=$D$1,AZ330&gt;0,AX330/AW330&lt;3),"Not Serious",AND(AY330&gt;=$D$1,AZ330&gt;0,AX330/AW330&gt;=3),"Very serious",AND(AY330&lt;=$D$1*-1,BA330&gt;0,AZ330&gt;$D$2*-1,AX330/AW330&lt;3),"Serious", AND(AY330&lt;=$D$1*-1,BA330&gt;0,AZ330&lt;$D$2*-1,AX330/AW330&lt;3),"Very serious", AND(AY330&gt;=$D$1,AZ330&lt;0,BA330&lt;$D$2,AX330/AW330&lt;3),"Serious",AND(AY330&gt;=$D$1,AZ330&lt;0,BA330&gt;$D$2,AX330/AW330&lt;3),"Very serious", AND(AY330&lt;=$D$1*-1,BA330&gt;0,AZ330&gt;$D$2*-1,AX330/AW330&gt;=3),"Very serious", AND(AY330&lt;=$D$1*-1,BA330&gt;0,AZ330&lt;$D$2*-1,AX330/AW330&gt;=3),"Very serious", AND(AY330&gt;=$D$1,AZ330&lt;0,BA330&lt;$D$2,AX330/AW330&gt;=3),"Very serious", AND(AY330&gt;=$D$1,AZ330&lt;0,BA330&gt;$D$2,AX330/AW330&gt;=3),"Very serious", AND(AY330&gt;$D$1*-1,AY330&lt;$D$1,AZ330&gt;$D$1*-1,BA330&lt;$D$1,AX330/AW330&lt;3),"Not Serious", AND(AY330&gt;$D$1*-1,AY330&lt;$D$1,OR(AZ330&lt;=$D$1*-1,BA330&gt;=$D$1),AZ330&gt;$D$2*-1,BA330&lt;$D$2,AX330/AW330&lt;3),"Serious", AND(AY330&gt;$D$1*-1,AY330&lt;$D$1,OR(AZ330&lt;=$D$2*-1,BA330&gt;=$D$2),AX330/AW330&lt;3),"Very serious", AND(AY330&gt;$D$1*-1,AY330&lt;$D$1,AZ330&gt;$D$1*-1,BA330&lt;$D$1,AX330/AW330&gt;=3),"Very serious", AND(AY330&gt;$D$1*-1,AY330&lt;$D$1,OR(AZ330&lt;=$D$1*-1,BA330&gt;=$D$1),AZ330&gt;$D$2*-1,BA330&lt;$D$2,AX330/AW330&gt;=3),"Very serious", AND(AY330&gt;$D$1*-1,AY330&lt;$D$1,OR(AZ330&lt;=$D$2*-1,BA330&gt;=$D$2),AX330/AW330&gt;=3),"Very serious"),""))</f>
        <v/>
      </c>
      <c r="BF330" s="107" t="str">
        <f t="shared" si="11"/>
        <v/>
      </c>
      <c r="BG330" s="94" t="str">
        <f t="shared" si="46"/>
        <v/>
      </c>
      <c r="BH330" s="64" t="str">
        <f t="shared" si="12"/>
        <v>#N/A</v>
      </c>
      <c r="BI330" s="64" t="str">
        <f t="shared" si="13"/>
        <v/>
      </c>
      <c r="BJ330" s="123" t="str">
        <f t="shared" si="14"/>
        <v>#N/A</v>
      </c>
      <c r="BK330" s="64" t="str">
        <f t="shared" si="50"/>
        <v>YES</v>
      </c>
      <c r="BL330" s="64" t="str">
        <f t="shared" si="16"/>
        <v>YES</v>
      </c>
      <c r="BM330" s="64" t="str">
        <f t="shared" si="17"/>
        <v>YES</v>
      </c>
      <c r="BN330" s="124" t="str">
        <f t="shared" si="18"/>
        <v/>
      </c>
      <c r="BO330" s="91" t="str">
        <f t="shared" si="19"/>
        <v/>
      </c>
      <c r="BP330" s="91" t="str">
        <f t="shared" si="20"/>
        <v>#N/A</v>
      </c>
      <c r="BQ330" s="91" t="str">
        <f t="shared" si="21"/>
        <v/>
      </c>
      <c r="BR330" s="93" t="str">
        <f t="shared" si="22"/>
        <v/>
      </c>
      <c r="BS330" s="90" t="str">
        <f t="shared" si="23"/>
        <v/>
      </c>
      <c r="BT330" s="93" t="str">
        <f t="shared" si="24"/>
        <v>NA</v>
      </c>
      <c r="BU330" s="125" t="str">
        <f t="shared" si="25"/>
        <v>#N/A</v>
      </c>
      <c r="BV330" s="93" t="str">
        <f t="shared" si="26"/>
        <v/>
      </c>
      <c r="BW330" s="93" t="str">
        <f t="shared" si="27"/>
        <v/>
      </c>
      <c r="BX330" s="93" t="str">
        <f t="shared" si="28"/>
        <v>NA</v>
      </c>
      <c r="BY330" s="95" t="str">
        <f t="shared" si="29"/>
        <v>#N/A</v>
      </c>
      <c r="BZ330" s="93" t="str">
        <f t="shared" si="30"/>
        <v/>
      </c>
      <c r="CA330" s="93" t="str">
        <f t="shared" si="31"/>
        <v/>
      </c>
      <c r="CB330" s="93" t="str">
        <f t="shared" si="32"/>
        <v>NA</v>
      </c>
      <c r="CC330" s="96" t="str">
        <f t="shared" si="33"/>
        <v>#N/A</v>
      </c>
      <c r="CD330" s="93" t="str">
        <f t="shared" si="34"/>
        <v/>
      </c>
      <c r="CE330" s="93" t="str">
        <f t="shared" si="35"/>
        <v/>
      </c>
      <c r="CF330" s="93" t="str">
        <f t="shared" si="36"/>
        <v>NA</v>
      </c>
      <c r="CG330" s="97" t="str">
        <f t="shared" si="37"/>
        <v>#N/A</v>
      </c>
      <c r="CH330" s="98" t="str">
        <f t="shared" si="38"/>
        <v>#N/A</v>
      </c>
      <c r="CI330" s="99" t="str">
        <f t="shared" si="39"/>
        <v>#N/A</v>
      </c>
      <c r="CJ330" s="126" t="str">
        <f t="shared" si="40"/>
        <v>ERROR: check cell</v>
      </c>
      <c r="CK330" s="126"/>
      <c r="CL330" s="127" t="str">
        <f t="shared" si="41"/>
        <v>#DIV/0!</v>
      </c>
      <c r="CM330" s="128" t="str">
        <f t="shared" si="42"/>
        <v>#DIV/0!</v>
      </c>
      <c r="CN330" s="128">
        <f t="shared" si="43"/>
        <v>4</v>
      </c>
      <c r="CO330" s="129">
        <f t="shared" si="44"/>
        <v>4</v>
      </c>
      <c r="CP330" s="129" t="str">
        <f>IFS(C330=Preferences!B$13,B330,B330=Preferences!B$13,C330)</f>
        <v>#N/A</v>
      </c>
    </row>
    <row r="331" ht="13.5" customHeight="1">
      <c r="A331" s="63" t="str">
        <f t="shared" si="45"/>
        <v/>
      </c>
      <c r="B331" s="64"/>
      <c r="C331" s="64"/>
      <c r="D331" s="64"/>
      <c r="E331" s="65"/>
      <c r="F331" s="65"/>
      <c r="G331" s="65"/>
      <c r="H331" s="66"/>
      <c r="I331" s="66"/>
      <c r="J331" s="67"/>
      <c r="K331" s="68"/>
      <c r="L331" s="104"/>
      <c r="M331" s="104"/>
      <c r="N331" s="104"/>
      <c r="O331" s="104"/>
      <c r="P331" s="107" t="str">
        <f t="shared" si="1"/>
        <v/>
      </c>
      <c r="Q331" s="108" t="str">
        <f>IFERROR(IF(AND(Preferences!B$3="Manual",OR(AX331/AW331&gt;G331/F331,BD331="Serious",BD331="Very serious")),"Assess imprecision",IFS(ISBLANK(E331),"",AND(Preferences!B$3="Automatic", G331/F331&gt;=30),"Extremely serious",AND(H331&lt;=$D$1*-1,J331&lt;0,G331/F331&lt;3),"Not serious",AND(H331&lt;=$D$1*-1,J331&lt;0,G331/F331&gt;=3),"Very serious",AND(H331&gt;=$D$1,I331&gt;0,G331/F331&lt;3),"Not serious",AND(H331&gt;=$D$1,I331&gt;0,G331/F331&gt;=3),"Very serious",AND(H331&lt;=$D$1*-1,J331&gt;0,I331&gt;$D$2*-1,G331/F331&lt;3),"Serious", AND(H331&lt;=$D$1*-1,J331&gt;0,I331&lt;$D$2*-1,G331/F331&lt;3),"Very serious", AND(H331&gt;=$D$1,I331&lt;0,J331&lt;$D$2,G331/F331&lt;3),"Serious",AND(H331&gt;=$D$1,I331&lt;0,J331&gt;$D$2,G331/F331&lt;3),"Very serious", AND(H331&lt;=$D$1*-1,J331&gt;0,I331&gt;$D$2*-1,G331/F331&gt;=3),"Very serious", AND(H331&lt;=$D$1*-1,J331&gt;0,I331&lt;$D$2*-1,G331/F331&gt;=3),"Very serious", AND(H331&gt;=$D$1,I331&lt;0,J331&lt;$D$2,G331/F331&gt;=3),"Very serious", AND(H331&gt;=$D$1,I331&lt;0,J331&gt;$D$2,G331/F331&gt;=3),"Very serious", AND(H331&gt;$D$1*-1,H331&lt;$D$1,I331&gt;$D$1*-1,J331&lt;$D$1,G331/F331&lt;3),"Not serious", AND(H331&gt;$D$1*-1,H331&lt;$D$1,OR(I331&lt;=$D$1*-1,J331&gt;=$D$1),I331&gt;$D$2*-1,J331&lt;$D$2,G331/F331&lt;3),"Serious", AND(H331&gt;$D$1*-1,H331&lt;$D$1,OR(I331&lt;=$D$2*-1,J331&gt;=$D$2),G331/F331&lt;3),"Very serious", AND(H331&gt;$D$1*-1,H331&lt;$D$1,I331&gt;$D$1*-1,J331&lt;$D$1,G331/F331&gt;=3),"Very serious", AND(H331&gt;$D$1*-1,H331&lt;$D$1,OR(I331&lt;=$D$1*-1,J331&gt;=$D$1),I331&gt;$D$2*-1,J331&lt;$D$2,G331/F331&gt;=3),"Very serious", AND(H331&gt;$D$1*-1,H331&lt;$D$1,OR(I331&lt;=$D$2*-1,J331&gt;=$D$2),G331/F331&gt;=3),"Very serious")),"")</f>
        <v/>
      </c>
      <c r="R331" s="109" t="str">
        <f t="shared" si="47"/>
        <v/>
      </c>
      <c r="S331" s="64"/>
      <c r="T331" s="72"/>
      <c r="U331" s="72"/>
      <c r="V331" s="72"/>
      <c r="W331" s="73"/>
      <c r="X331" s="73"/>
      <c r="Y331" s="74"/>
      <c r="Z331" s="113" t="str">
        <f t="array" ref="Z331">INDEX($A$1:$C$500, MATCH(1,($B:$B=$B331)*($C:$C=$AB331),0),1)</f>
        <v/>
      </c>
      <c r="AA331" s="113" t="str">
        <f t="array" ref="AA331">INDEX($A$1:$C$500, MATCH(1,($B:$B=$AB331)*($C:$C=$B331),0),1)</f>
        <v/>
      </c>
      <c r="AB331" s="111"/>
      <c r="AC331" s="114" t="str">
        <f t="shared" si="2"/>
        <v/>
      </c>
      <c r="AD331" s="115" t="str">
        <f t="shared" si="3"/>
        <v/>
      </c>
      <c r="AE331" s="116" t="str">
        <f t="array" ref="AE331">INDEX($A$1:$C$500, MATCH(1,($B:$B=$AB331)*($C:$C=$AG331),0),1)</f>
        <v/>
      </c>
      <c r="AF331" s="116" t="str">
        <f t="array" ref="AF331">INDEX($A$1:$C$500, MATCH(1,($B:$B=$AG331)*($C:$C=$AB331),0),1)</f>
        <v/>
      </c>
      <c r="AG331" s="72"/>
      <c r="AH331" s="114" t="str">
        <f t="shared" si="4"/>
        <v/>
      </c>
      <c r="AI331" s="115" t="str">
        <f t="shared" si="5"/>
        <v/>
      </c>
      <c r="AJ331" s="116" t="str">
        <f t="array" ref="AJ331">INDEX($A$1:$C$500, MATCH(1,($B:$B=$C331)*($C:$C=$AG331),0),1)</f>
        <v/>
      </c>
      <c r="AK331" s="116" t="str">
        <f t="array" ref="AK331">INDEX($A$1:$C$500, MATCH(1,($B:$B=$AG331)*($C:$C=$C331),0),1)</f>
        <v/>
      </c>
      <c r="AL331" s="116" t="str">
        <f t="array" ref="AL331">INDEX($A$1:$C$500, MATCH(1,($B:$B=$C331)*($C:$C=$AB331),0),1)</f>
        <v/>
      </c>
      <c r="AM331" s="116" t="str">
        <f t="array" ref="AM331">INDEX($A$1:$C$500, MATCH(1,($B:$B=$AB331)*($C:$C=$C331),0),1)</f>
        <v/>
      </c>
      <c r="AN331" s="114" t="str">
        <f t="array" ref="AN331">IFS(ISNUMBER(AJ331),AJ331,ISNUMBER(AK331),AK331,ISNUMBER(AL331),AL331,ISNUMBER(AM331),AM331)</f>
        <v>#N/A</v>
      </c>
      <c r="AO331" s="115" t="str">
        <f t="shared" si="6"/>
        <v/>
      </c>
      <c r="AP331" s="115" t="str">
        <f t="shared" si="7"/>
        <v/>
      </c>
      <c r="AQ331" s="111"/>
      <c r="AR331" s="109" t="str">
        <f t="shared" si="8"/>
        <v/>
      </c>
      <c r="AS331" s="72" t="str">
        <f>IFERROR(IF(AND(Preferences!B$3="Manual",OR(AX331/AW331&gt;V331/U331,BD331="Serious",BD331="Very serious")),"Assess imprecision",IFERROR(IFS(AND(Preferences!B$3="Automatic",V331/U331&gt;=30),"Extremely serious",AND(W331&lt;=$D$1*-1,Y331&lt;0,V331/U331&lt;3),"Not Serious",AND(W331&lt;=$D$1*-1,Y331&lt;0,V331/U331&gt;=3),"Very serious",AND(W331&gt;=$D$1,X331&gt;0,V331/U331&lt;3),"Not Serious",AND(W331&gt;=$D$1,X331&gt;0,V331/U331&gt;=3),"Very serious",AND(W331&lt;=$D$1*-1,Y331&gt;0,X331&gt;$D$2*-1,V331/U331&lt;3),"Serious", AND(W331&lt;=$D$1*-1,Y331&gt;0,X331&lt;$D$2*-1,V331/U331&lt;3),"Very serious", AND(W331&gt;=$D$1,X331&lt;0,Y331&lt;$D$2,V331/U331&lt;3),"Serious",AND(W331&gt;=$D$1,X331&lt;0,Y331&gt;$D$2,V331/U331&lt;3),"Very serious", AND(W331&lt;=$D$1*-1,Y331&gt;0,X331&gt;$D$2*-1,V331/U331&gt;=3),"Very serious", AND(W331&lt;=$D$1*-1,Y331&gt;0,X331&lt;$D$2*-1,V331/U331&gt;=3),"Very serious", AND(W331&gt;=$D$1,X331&lt;0,Y331&lt;$D$2,V331/U331&gt;=3),"Very serious", AND(W331&gt;=$D$1,X331&lt;0,Y331&gt;$D$2,V331/U331&gt;=3),"Very serious", AND(W331&gt;$D$1*-1,W331&lt;$D$1,X331&gt;$D$1*-1,Y331&lt;$D$1,V331/U331&lt;3),"Not Serious", AND(W331&gt;$D$1*-1,W331&lt;$D$1,OR(X331&lt;=$D$1*-1,Y331&gt;=$D$1),X331&gt;$D$2*-1,Y331&lt;$D$2,V331/U331&lt;3),"Serious", AND(W331&gt;$D$1*-1,W331&lt;$D$1,OR(X331&lt;=$D$2*-1,Y331&gt;=$D$2),V331/U331&lt;3),"Very serious", AND(W331&gt;$D$1*-1,W331&lt;$D$1,X331&gt;$D$1*-1,Y331&lt;$D$1,V331/U331&gt;=3),"Very serious", AND(W331&gt;$D$1*-1,W331&lt;$D$1,OR(X331&lt;=$D$1*-1,Y331&gt;=$D$1),X331&gt;$D$2*-1,Y331&lt;$D$2,V331/U331&gt;=3),"Very serious", AND(W331&gt;$D$1*-1,W331&lt;$D$1,OR(X331&lt;=$D$2*-1,Y331&gt;=$D$2),V331/U331&gt;=3),"Very serious"),"")),"")</f>
        <v/>
      </c>
      <c r="AT331" s="109" t="str">
        <f t="shared" si="9"/>
        <v/>
      </c>
      <c r="AU331" s="64"/>
      <c r="AV331" s="83"/>
      <c r="AW331" s="83"/>
      <c r="AX331" s="83"/>
      <c r="AY331" s="83"/>
      <c r="AZ331" s="83"/>
      <c r="BA331" s="85"/>
      <c r="BB331" s="86" t="str">
        <f>IF(Preferences!B$9="Manual","",IFS(ISBLANK(B331),"",AND(ISNUMBER(E331)=TRUE,ISNUMBER(T331)=FALSE),"Direct", AND(ISNUMBER(E331)=FALSE,ISNUMBER(T331)=TRUE),"Indirect", CN331=4,"Direct",AND(CL331=FALSE, CM331=TRUE,CN331-CO331&gt;-1),"Direct", AND(CL331=FALSE,CM331=TRUE, CN331-CO331&lt;0),"Check algorithm in appendix 2", AND(CL331=TRUE, CM331=FALSE,CN331-CO331&gt;0),"Check algorithm in appendix 2", AND(CL331=TRUE, CM331=FALSE,CN331-CO331=0),"Indirect", AND(CL331=TRUE, CM331=FALSE,CN331-CO331&lt;0),"Indirect", AND(CL331=FALSE,CM331=FALSE,CN331-CO331&gt;-1),"Direct", AND(CL331=FALSE,CM331=FALSE,CN331-CO331&lt;0),"Check algorithm in appendix 2", AND(CL331=TRUE,CM331=TRUE,CN331-CO331&gt;-1),"Direct", AND(CL331=TRUE,CM331=TRUE,CN331-CO331&lt;0),"Check algorithm in appendix 2"))</f>
        <v/>
      </c>
      <c r="BC331" s="120" t="str">
        <f t="shared" si="10"/>
        <v/>
      </c>
      <c r="BD331" s="140"/>
      <c r="BE331" s="122" t="str">
        <f>IF(Preferences!B$3="Manual","", IFERROR(IFS(AND(Preferences!B$3="Automatic",AX331/AW331&gt;=30),"Extremely serious",AND(AY331&lt;=$D$1*-1,BA331&lt;0,AX331/AW331&lt;3),"Not Serious",AND(AY331&lt;=$D$1*-1,BA331&lt;0,AX331/AW331&gt;=3),"Very serious",AND(AY331&gt;=$D$1,AZ331&gt;0,AX331/AW331&lt;3),"Not Serious",AND(AY331&gt;=$D$1,AZ331&gt;0,AX331/AW331&gt;=3),"Very serious",AND(AY331&lt;=$D$1*-1,BA331&gt;0,AZ331&gt;$D$2*-1,AX331/AW331&lt;3),"Serious", AND(AY331&lt;=$D$1*-1,BA331&gt;0,AZ331&lt;$D$2*-1,AX331/AW331&lt;3),"Very serious", AND(AY331&gt;=$D$1,AZ331&lt;0,BA331&lt;$D$2,AX331/AW331&lt;3),"Serious",AND(AY331&gt;=$D$1,AZ331&lt;0,BA331&gt;$D$2,AX331/AW331&lt;3),"Very serious", AND(AY331&lt;=$D$1*-1,BA331&gt;0,AZ331&gt;$D$2*-1,AX331/AW331&gt;=3),"Very serious", AND(AY331&lt;=$D$1*-1,BA331&gt;0,AZ331&lt;$D$2*-1,AX331/AW331&gt;=3),"Very serious", AND(AY331&gt;=$D$1,AZ331&lt;0,BA331&lt;$D$2,AX331/AW331&gt;=3),"Very serious", AND(AY331&gt;=$D$1,AZ331&lt;0,BA331&gt;$D$2,AX331/AW331&gt;=3),"Very serious", AND(AY331&gt;$D$1*-1,AY331&lt;$D$1,AZ331&gt;$D$1*-1,BA331&lt;$D$1,AX331/AW331&lt;3),"Not Serious", AND(AY331&gt;$D$1*-1,AY331&lt;$D$1,OR(AZ331&lt;=$D$1*-1,BA331&gt;=$D$1),AZ331&gt;$D$2*-1,BA331&lt;$D$2,AX331/AW331&lt;3),"Serious", AND(AY331&gt;$D$1*-1,AY331&lt;$D$1,OR(AZ331&lt;=$D$2*-1,BA331&gt;=$D$2),AX331/AW331&lt;3),"Very serious", AND(AY331&gt;$D$1*-1,AY331&lt;$D$1,AZ331&gt;$D$1*-1,BA331&lt;$D$1,AX331/AW331&gt;=3),"Very serious", AND(AY331&gt;$D$1*-1,AY331&lt;$D$1,OR(AZ331&lt;=$D$1*-1,BA331&gt;=$D$1),AZ331&gt;$D$2*-1,BA331&lt;$D$2,AX331/AW331&gt;=3),"Very serious", AND(AY331&gt;$D$1*-1,AY331&lt;$D$1,OR(AZ331&lt;=$D$2*-1,BA331&gt;=$D$2),AX331/AW331&gt;=3),"Very serious"),""))</f>
        <v/>
      </c>
      <c r="BF331" s="107" t="str">
        <f t="shared" si="11"/>
        <v/>
      </c>
      <c r="BG331" s="94" t="str">
        <f t="shared" si="46"/>
        <v/>
      </c>
      <c r="BH331" s="64" t="str">
        <f t="shared" si="12"/>
        <v>#N/A</v>
      </c>
      <c r="BI331" s="64" t="str">
        <f t="shared" si="13"/>
        <v/>
      </c>
      <c r="BJ331" s="123" t="str">
        <f t="shared" si="14"/>
        <v>#N/A</v>
      </c>
      <c r="BK331" s="64" t="str">
        <f t="shared" si="50"/>
        <v>YES</v>
      </c>
      <c r="BL331" s="64" t="str">
        <f t="shared" si="16"/>
        <v>YES</v>
      </c>
      <c r="BM331" s="64" t="str">
        <f t="shared" si="17"/>
        <v>YES</v>
      </c>
      <c r="BN331" s="124" t="str">
        <f t="shared" si="18"/>
        <v/>
      </c>
      <c r="BO331" s="91" t="str">
        <f t="shared" si="19"/>
        <v/>
      </c>
      <c r="BP331" s="91" t="str">
        <f t="shared" si="20"/>
        <v>#N/A</v>
      </c>
      <c r="BQ331" s="91" t="str">
        <f t="shared" si="21"/>
        <v/>
      </c>
      <c r="BR331" s="93" t="str">
        <f t="shared" si="22"/>
        <v/>
      </c>
      <c r="BS331" s="90" t="str">
        <f t="shared" si="23"/>
        <v/>
      </c>
      <c r="BT331" s="93" t="str">
        <f t="shared" si="24"/>
        <v>NA</v>
      </c>
      <c r="BU331" s="125" t="str">
        <f t="shared" si="25"/>
        <v>#N/A</v>
      </c>
      <c r="BV331" s="93" t="str">
        <f t="shared" si="26"/>
        <v/>
      </c>
      <c r="BW331" s="93" t="str">
        <f t="shared" si="27"/>
        <v/>
      </c>
      <c r="BX331" s="93" t="str">
        <f t="shared" si="28"/>
        <v>NA</v>
      </c>
      <c r="BY331" s="95" t="str">
        <f t="shared" si="29"/>
        <v>#N/A</v>
      </c>
      <c r="BZ331" s="93" t="str">
        <f t="shared" si="30"/>
        <v/>
      </c>
      <c r="CA331" s="93" t="str">
        <f t="shared" si="31"/>
        <v/>
      </c>
      <c r="CB331" s="93" t="str">
        <f t="shared" si="32"/>
        <v>NA</v>
      </c>
      <c r="CC331" s="96" t="str">
        <f t="shared" si="33"/>
        <v>#N/A</v>
      </c>
      <c r="CD331" s="93" t="str">
        <f t="shared" si="34"/>
        <v/>
      </c>
      <c r="CE331" s="93" t="str">
        <f t="shared" si="35"/>
        <v/>
      </c>
      <c r="CF331" s="93" t="str">
        <f t="shared" si="36"/>
        <v>NA</v>
      </c>
      <c r="CG331" s="97" t="str">
        <f t="shared" si="37"/>
        <v>#N/A</v>
      </c>
      <c r="CH331" s="98" t="str">
        <f t="shared" si="38"/>
        <v>#N/A</v>
      </c>
      <c r="CI331" s="99" t="str">
        <f t="shared" si="39"/>
        <v>#N/A</v>
      </c>
      <c r="CJ331" s="126" t="str">
        <f t="shared" si="40"/>
        <v>ERROR: check cell</v>
      </c>
      <c r="CK331" s="126"/>
      <c r="CL331" s="127" t="str">
        <f t="shared" si="41"/>
        <v>#DIV/0!</v>
      </c>
      <c r="CM331" s="128" t="str">
        <f t="shared" si="42"/>
        <v>#DIV/0!</v>
      </c>
      <c r="CN331" s="128">
        <f t="shared" si="43"/>
        <v>4</v>
      </c>
      <c r="CO331" s="129">
        <f t="shared" si="44"/>
        <v>4</v>
      </c>
      <c r="CP331" s="129" t="str">
        <f>IFS(C331=Preferences!B$13,B331,B331=Preferences!B$13,C331)</f>
        <v>#N/A</v>
      </c>
    </row>
    <row r="332" ht="13.5" customHeight="1">
      <c r="A332" s="63" t="str">
        <f t="shared" si="45"/>
        <v/>
      </c>
      <c r="B332" s="64"/>
      <c r="C332" s="64"/>
      <c r="D332" s="64"/>
      <c r="E332" s="65"/>
      <c r="F332" s="65"/>
      <c r="G332" s="65"/>
      <c r="H332" s="66"/>
      <c r="I332" s="66"/>
      <c r="J332" s="67"/>
      <c r="K332" s="68"/>
      <c r="L332" s="104"/>
      <c r="M332" s="104"/>
      <c r="N332" s="104"/>
      <c r="O332" s="104"/>
      <c r="P332" s="107" t="str">
        <f t="shared" si="1"/>
        <v/>
      </c>
      <c r="Q332" s="108" t="str">
        <f>IFERROR(IF(AND(Preferences!B$3="Manual",OR(AX332/AW332&gt;G332/F332,BD332="Serious",BD332="Very serious")),"Assess imprecision",IFS(ISBLANK(E332),"",AND(Preferences!B$3="Automatic", G332/F332&gt;=30),"Extremely serious",AND(H332&lt;=$D$1*-1,J332&lt;0,G332/F332&lt;3),"Not serious",AND(H332&lt;=$D$1*-1,J332&lt;0,G332/F332&gt;=3),"Very serious",AND(H332&gt;=$D$1,I332&gt;0,G332/F332&lt;3),"Not serious",AND(H332&gt;=$D$1,I332&gt;0,G332/F332&gt;=3),"Very serious",AND(H332&lt;=$D$1*-1,J332&gt;0,I332&gt;$D$2*-1,G332/F332&lt;3),"Serious", AND(H332&lt;=$D$1*-1,J332&gt;0,I332&lt;$D$2*-1,G332/F332&lt;3),"Very serious", AND(H332&gt;=$D$1,I332&lt;0,J332&lt;$D$2,G332/F332&lt;3),"Serious",AND(H332&gt;=$D$1,I332&lt;0,J332&gt;$D$2,G332/F332&lt;3),"Very serious", AND(H332&lt;=$D$1*-1,J332&gt;0,I332&gt;$D$2*-1,G332/F332&gt;=3),"Very serious", AND(H332&lt;=$D$1*-1,J332&gt;0,I332&lt;$D$2*-1,G332/F332&gt;=3),"Very serious", AND(H332&gt;=$D$1,I332&lt;0,J332&lt;$D$2,G332/F332&gt;=3),"Very serious", AND(H332&gt;=$D$1,I332&lt;0,J332&gt;$D$2,G332/F332&gt;=3),"Very serious", AND(H332&gt;$D$1*-1,H332&lt;$D$1,I332&gt;$D$1*-1,J332&lt;$D$1,G332/F332&lt;3),"Not serious", AND(H332&gt;$D$1*-1,H332&lt;$D$1,OR(I332&lt;=$D$1*-1,J332&gt;=$D$1),I332&gt;$D$2*-1,J332&lt;$D$2,G332/F332&lt;3),"Serious", AND(H332&gt;$D$1*-1,H332&lt;$D$1,OR(I332&lt;=$D$2*-1,J332&gt;=$D$2),G332/F332&lt;3),"Very serious", AND(H332&gt;$D$1*-1,H332&lt;$D$1,I332&gt;$D$1*-1,J332&lt;$D$1,G332/F332&gt;=3),"Very serious", AND(H332&gt;$D$1*-1,H332&lt;$D$1,OR(I332&lt;=$D$1*-1,J332&gt;=$D$1),I332&gt;$D$2*-1,J332&lt;$D$2,G332/F332&gt;=3),"Very serious", AND(H332&gt;$D$1*-1,H332&lt;$D$1,OR(I332&lt;=$D$2*-1,J332&gt;=$D$2),G332/F332&gt;=3),"Very serious")),"")</f>
        <v/>
      </c>
      <c r="R332" s="109" t="str">
        <f t="shared" si="47"/>
        <v/>
      </c>
      <c r="S332" s="64"/>
      <c r="T332" s="72"/>
      <c r="U332" s="72"/>
      <c r="V332" s="72"/>
      <c r="W332" s="73"/>
      <c r="X332" s="73"/>
      <c r="Y332" s="74"/>
      <c r="Z332" s="113" t="str">
        <f t="array" ref="Z332">INDEX($A$1:$C$500, MATCH(1,($B:$B=$B332)*($C:$C=$AB332),0),1)</f>
        <v/>
      </c>
      <c r="AA332" s="113" t="str">
        <f t="array" ref="AA332">INDEX($A$1:$C$500, MATCH(1,($B:$B=$AB332)*($C:$C=$B332),0),1)</f>
        <v/>
      </c>
      <c r="AB332" s="111"/>
      <c r="AC332" s="114" t="str">
        <f t="shared" si="2"/>
        <v/>
      </c>
      <c r="AD332" s="115" t="str">
        <f t="shared" si="3"/>
        <v/>
      </c>
      <c r="AE332" s="116" t="str">
        <f t="array" ref="AE332">INDEX($A$1:$C$500, MATCH(1,($B:$B=$AB332)*($C:$C=$AG332),0),1)</f>
        <v/>
      </c>
      <c r="AF332" s="116" t="str">
        <f t="array" ref="AF332">INDEX($A$1:$C$500, MATCH(1,($B:$B=$AG332)*($C:$C=$AB332),0),1)</f>
        <v/>
      </c>
      <c r="AG332" s="72"/>
      <c r="AH332" s="114" t="str">
        <f t="shared" si="4"/>
        <v/>
      </c>
      <c r="AI332" s="115" t="str">
        <f t="shared" si="5"/>
        <v/>
      </c>
      <c r="AJ332" s="116" t="str">
        <f t="array" ref="AJ332">INDEX($A$1:$C$500, MATCH(1,($B:$B=$C332)*($C:$C=$AG332),0),1)</f>
        <v/>
      </c>
      <c r="AK332" s="116" t="str">
        <f t="array" ref="AK332">INDEX($A$1:$C$500, MATCH(1,($B:$B=$AG332)*($C:$C=$C332),0),1)</f>
        <v/>
      </c>
      <c r="AL332" s="116" t="str">
        <f t="array" ref="AL332">INDEX($A$1:$C$500, MATCH(1,($B:$B=$C332)*($C:$C=$AB332),0),1)</f>
        <v/>
      </c>
      <c r="AM332" s="116" t="str">
        <f t="array" ref="AM332">INDEX($A$1:$C$500, MATCH(1,($B:$B=$AB332)*($C:$C=$C332),0),1)</f>
        <v/>
      </c>
      <c r="AN332" s="114" t="str">
        <f t="array" ref="AN332">IFS(ISNUMBER(AJ332),AJ332,ISNUMBER(AK332),AK332,ISNUMBER(AL332),AL332,ISNUMBER(AM332),AM332)</f>
        <v>#N/A</v>
      </c>
      <c r="AO332" s="115" t="str">
        <f t="shared" si="6"/>
        <v/>
      </c>
      <c r="AP332" s="115" t="str">
        <f t="shared" si="7"/>
        <v/>
      </c>
      <c r="AQ332" s="111"/>
      <c r="AR332" s="109" t="str">
        <f t="shared" si="8"/>
        <v/>
      </c>
      <c r="AS332" s="72" t="str">
        <f>IFERROR(IF(AND(Preferences!B$3="Manual",OR(AX332/AW332&gt;V332/U332,BD332="Serious",BD332="Very serious")),"Assess imprecision",IFERROR(IFS(AND(Preferences!B$3="Automatic",V332/U332&gt;=30),"Extremely serious",AND(W332&lt;=$D$1*-1,Y332&lt;0,V332/U332&lt;3),"Not Serious",AND(W332&lt;=$D$1*-1,Y332&lt;0,V332/U332&gt;=3),"Very serious",AND(W332&gt;=$D$1,X332&gt;0,V332/U332&lt;3),"Not Serious",AND(W332&gt;=$D$1,X332&gt;0,V332/U332&gt;=3),"Very serious",AND(W332&lt;=$D$1*-1,Y332&gt;0,X332&gt;$D$2*-1,V332/U332&lt;3),"Serious", AND(W332&lt;=$D$1*-1,Y332&gt;0,X332&lt;$D$2*-1,V332/U332&lt;3),"Very serious", AND(W332&gt;=$D$1,X332&lt;0,Y332&lt;$D$2,V332/U332&lt;3),"Serious",AND(W332&gt;=$D$1,X332&lt;0,Y332&gt;$D$2,V332/U332&lt;3),"Very serious", AND(W332&lt;=$D$1*-1,Y332&gt;0,X332&gt;$D$2*-1,V332/U332&gt;=3),"Very serious", AND(W332&lt;=$D$1*-1,Y332&gt;0,X332&lt;$D$2*-1,V332/U332&gt;=3),"Very serious", AND(W332&gt;=$D$1,X332&lt;0,Y332&lt;$D$2,V332/U332&gt;=3),"Very serious", AND(W332&gt;=$D$1,X332&lt;0,Y332&gt;$D$2,V332/U332&gt;=3),"Very serious", AND(W332&gt;$D$1*-1,W332&lt;$D$1,X332&gt;$D$1*-1,Y332&lt;$D$1,V332/U332&lt;3),"Not Serious", AND(W332&gt;$D$1*-1,W332&lt;$D$1,OR(X332&lt;=$D$1*-1,Y332&gt;=$D$1),X332&gt;$D$2*-1,Y332&lt;$D$2,V332/U332&lt;3),"Serious", AND(W332&gt;$D$1*-1,W332&lt;$D$1,OR(X332&lt;=$D$2*-1,Y332&gt;=$D$2),V332/U332&lt;3),"Very serious", AND(W332&gt;$D$1*-1,W332&lt;$D$1,X332&gt;$D$1*-1,Y332&lt;$D$1,V332/U332&gt;=3),"Very serious", AND(W332&gt;$D$1*-1,W332&lt;$D$1,OR(X332&lt;=$D$1*-1,Y332&gt;=$D$1),X332&gt;$D$2*-1,Y332&lt;$D$2,V332/U332&gt;=3),"Very serious", AND(W332&gt;$D$1*-1,W332&lt;$D$1,OR(X332&lt;=$D$2*-1,Y332&gt;=$D$2),V332/U332&gt;=3),"Very serious"),"")),"")</f>
        <v/>
      </c>
      <c r="AT332" s="109" t="str">
        <f t="shared" si="9"/>
        <v/>
      </c>
      <c r="AU332" s="64"/>
      <c r="AV332" s="83"/>
      <c r="AW332" s="83"/>
      <c r="AX332" s="83"/>
      <c r="AY332" s="83"/>
      <c r="AZ332" s="83"/>
      <c r="BA332" s="85"/>
      <c r="BB332" s="86" t="str">
        <f>IF(Preferences!B$9="Manual","",IFS(ISBLANK(B332),"",AND(ISNUMBER(E332)=TRUE,ISNUMBER(T332)=FALSE),"Direct", AND(ISNUMBER(E332)=FALSE,ISNUMBER(T332)=TRUE),"Indirect", CN332=4,"Direct",AND(CL332=FALSE, CM332=TRUE,CN332-CO332&gt;-1),"Direct", AND(CL332=FALSE,CM332=TRUE, CN332-CO332&lt;0),"Check algorithm in appendix 2", AND(CL332=TRUE, CM332=FALSE,CN332-CO332&gt;0),"Check algorithm in appendix 2", AND(CL332=TRUE, CM332=FALSE,CN332-CO332=0),"Indirect", AND(CL332=TRUE, CM332=FALSE,CN332-CO332&lt;0),"Indirect", AND(CL332=FALSE,CM332=FALSE,CN332-CO332&gt;-1),"Direct", AND(CL332=FALSE,CM332=FALSE,CN332-CO332&lt;0),"Check algorithm in appendix 2", AND(CL332=TRUE,CM332=TRUE,CN332-CO332&gt;-1),"Direct", AND(CL332=TRUE,CM332=TRUE,CN332-CO332&lt;0),"Check algorithm in appendix 2"))</f>
        <v/>
      </c>
      <c r="BC332" s="120" t="str">
        <f t="shared" si="10"/>
        <v/>
      </c>
      <c r="BD332" s="140"/>
      <c r="BE332" s="122" t="str">
        <f>IF(Preferences!B$3="Manual","", IFERROR(IFS(AND(Preferences!B$3="Automatic",AX332/AW332&gt;=30),"Extremely serious",AND(AY332&lt;=$D$1*-1,BA332&lt;0,AX332/AW332&lt;3),"Not Serious",AND(AY332&lt;=$D$1*-1,BA332&lt;0,AX332/AW332&gt;=3),"Very serious",AND(AY332&gt;=$D$1,AZ332&gt;0,AX332/AW332&lt;3),"Not Serious",AND(AY332&gt;=$D$1,AZ332&gt;0,AX332/AW332&gt;=3),"Very serious",AND(AY332&lt;=$D$1*-1,BA332&gt;0,AZ332&gt;$D$2*-1,AX332/AW332&lt;3),"Serious", AND(AY332&lt;=$D$1*-1,BA332&gt;0,AZ332&lt;$D$2*-1,AX332/AW332&lt;3),"Very serious", AND(AY332&gt;=$D$1,AZ332&lt;0,BA332&lt;$D$2,AX332/AW332&lt;3),"Serious",AND(AY332&gt;=$D$1,AZ332&lt;0,BA332&gt;$D$2,AX332/AW332&lt;3),"Very serious", AND(AY332&lt;=$D$1*-1,BA332&gt;0,AZ332&gt;$D$2*-1,AX332/AW332&gt;=3),"Very serious", AND(AY332&lt;=$D$1*-1,BA332&gt;0,AZ332&lt;$D$2*-1,AX332/AW332&gt;=3),"Very serious", AND(AY332&gt;=$D$1,AZ332&lt;0,BA332&lt;$D$2,AX332/AW332&gt;=3),"Very serious", AND(AY332&gt;=$D$1,AZ332&lt;0,BA332&gt;$D$2,AX332/AW332&gt;=3),"Very serious", AND(AY332&gt;$D$1*-1,AY332&lt;$D$1,AZ332&gt;$D$1*-1,BA332&lt;$D$1,AX332/AW332&lt;3),"Not Serious", AND(AY332&gt;$D$1*-1,AY332&lt;$D$1,OR(AZ332&lt;=$D$1*-1,BA332&gt;=$D$1),AZ332&gt;$D$2*-1,BA332&lt;$D$2,AX332/AW332&lt;3),"Serious", AND(AY332&gt;$D$1*-1,AY332&lt;$D$1,OR(AZ332&lt;=$D$2*-1,BA332&gt;=$D$2),AX332/AW332&lt;3),"Very serious", AND(AY332&gt;$D$1*-1,AY332&lt;$D$1,AZ332&gt;$D$1*-1,BA332&lt;$D$1,AX332/AW332&gt;=3),"Very serious", AND(AY332&gt;$D$1*-1,AY332&lt;$D$1,OR(AZ332&lt;=$D$1*-1,BA332&gt;=$D$1),AZ332&gt;$D$2*-1,BA332&lt;$D$2,AX332/AW332&gt;=3),"Very serious", AND(AY332&gt;$D$1*-1,AY332&lt;$D$1,OR(AZ332&lt;=$D$2*-1,BA332&gt;=$D$2),AX332/AW332&gt;=3),"Very serious"),""))</f>
        <v/>
      </c>
      <c r="BF332" s="107" t="str">
        <f t="shared" si="11"/>
        <v/>
      </c>
      <c r="BG332" s="94" t="str">
        <f t="shared" si="46"/>
        <v/>
      </c>
      <c r="BH332" s="64" t="str">
        <f t="shared" si="12"/>
        <v>#N/A</v>
      </c>
      <c r="BI332" s="64" t="str">
        <f t="shared" si="13"/>
        <v/>
      </c>
      <c r="BJ332" s="123" t="str">
        <f t="shared" si="14"/>
        <v>#N/A</v>
      </c>
      <c r="BK332" s="64" t="str">
        <f t="shared" si="50"/>
        <v>YES</v>
      </c>
      <c r="BL332" s="64" t="str">
        <f t="shared" si="16"/>
        <v>YES</v>
      </c>
      <c r="BM332" s="64" t="str">
        <f t="shared" si="17"/>
        <v>YES</v>
      </c>
      <c r="BN332" s="124" t="str">
        <f t="shared" si="18"/>
        <v/>
      </c>
      <c r="BO332" s="91" t="str">
        <f t="shared" si="19"/>
        <v/>
      </c>
      <c r="BP332" s="91" t="str">
        <f t="shared" si="20"/>
        <v>#N/A</v>
      </c>
      <c r="BQ332" s="91" t="str">
        <f t="shared" si="21"/>
        <v/>
      </c>
      <c r="BR332" s="93" t="str">
        <f t="shared" si="22"/>
        <v/>
      </c>
      <c r="BS332" s="90" t="str">
        <f t="shared" si="23"/>
        <v/>
      </c>
      <c r="BT332" s="93" t="str">
        <f t="shared" si="24"/>
        <v>NA</v>
      </c>
      <c r="BU332" s="125" t="str">
        <f t="shared" si="25"/>
        <v>#N/A</v>
      </c>
      <c r="BV332" s="93" t="str">
        <f t="shared" si="26"/>
        <v/>
      </c>
      <c r="BW332" s="93" t="str">
        <f t="shared" si="27"/>
        <v/>
      </c>
      <c r="BX332" s="93" t="str">
        <f t="shared" si="28"/>
        <v>NA</v>
      </c>
      <c r="BY332" s="95" t="str">
        <f t="shared" si="29"/>
        <v>#N/A</v>
      </c>
      <c r="BZ332" s="93" t="str">
        <f t="shared" si="30"/>
        <v/>
      </c>
      <c r="CA332" s="93" t="str">
        <f t="shared" si="31"/>
        <v/>
      </c>
      <c r="CB332" s="93" t="str">
        <f t="shared" si="32"/>
        <v>NA</v>
      </c>
      <c r="CC332" s="96" t="str">
        <f t="shared" si="33"/>
        <v>#N/A</v>
      </c>
      <c r="CD332" s="93" t="str">
        <f t="shared" si="34"/>
        <v/>
      </c>
      <c r="CE332" s="93" t="str">
        <f t="shared" si="35"/>
        <v/>
      </c>
      <c r="CF332" s="93" t="str">
        <f t="shared" si="36"/>
        <v>NA</v>
      </c>
      <c r="CG332" s="97" t="str">
        <f t="shared" si="37"/>
        <v>#N/A</v>
      </c>
      <c r="CH332" s="98" t="str">
        <f t="shared" si="38"/>
        <v>#N/A</v>
      </c>
      <c r="CI332" s="99" t="str">
        <f t="shared" si="39"/>
        <v>#N/A</v>
      </c>
      <c r="CJ332" s="126" t="str">
        <f t="shared" si="40"/>
        <v>ERROR: check cell</v>
      </c>
      <c r="CK332" s="126"/>
      <c r="CL332" s="127" t="str">
        <f t="shared" si="41"/>
        <v>#DIV/0!</v>
      </c>
      <c r="CM332" s="128" t="str">
        <f t="shared" si="42"/>
        <v>#DIV/0!</v>
      </c>
      <c r="CN332" s="128">
        <f t="shared" si="43"/>
        <v>4</v>
      </c>
      <c r="CO332" s="129">
        <f t="shared" si="44"/>
        <v>4</v>
      </c>
      <c r="CP332" s="129" t="str">
        <f>IFS(C332=Preferences!B$13,B332,B332=Preferences!B$13,C332)</f>
        <v>#N/A</v>
      </c>
    </row>
    <row r="333" ht="13.5" customHeight="1">
      <c r="A333" s="63" t="str">
        <f t="shared" si="45"/>
        <v/>
      </c>
      <c r="B333" s="64"/>
      <c r="C333" s="64"/>
      <c r="D333" s="64"/>
      <c r="E333" s="65"/>
      <c r="F333" s="65"/>
      <c r="G333" s="65"/>
      <c r="H333" s="66"/>
      <c r="I333" s="66"/>
      <c r="J333" s="67"/>
      <c r="K333" s="68"/>
      <c r="L333" s="104"/>
      <c r="M333" s="104"/>
      <c r="N333" s="104"/>
      <c r="O333" s="104"/>
      <c r="P333" s="107" t="str">
        <f t="shared" si="1"/>
        <v/>
      </c>
      <c r="Q333" s="108" t="str">
        <f>IFERROR(IF(AND(Preferences!B$3="Manual",OR(AX333/AW333&gt;G333/F333,BD333="Serious",BD333="Very serious")),"Assess imprecision",IFS(ISBLANK(E333),"",AND(Preferences!B$3="Automatic", G333/F333&gt;=30),"Extremely serious",AND(H333&lt;=$D$1*-1,J333&lt;0,G333/F333&lt;3),"Not serious",AND(H333&lt;=$D$1*-1,J333&lt;0,G333/F333&gt;=3),"Very serious",AND(H333&gt;=$D$1,I333&gt;0,G333/F333&lt;3),"Not serious",AND(H333&gt;=$D$1,I333&gt;0,G333/F333&gt;=3),"Very serious",AND(H333&lt;=$D$1*-1,J333&gt;0,I333&gt;$D$2*-1,G333/F333&lt;3),"Serious", AND(H333&lt;=$D$1*-1,J333&gt;0,I333&lt;$D$2*-1,G333/F333&lt;3),"Very serious", AND(H333&gt;=$D$1,I333&lt;0,J333&lt;$D$2,G333/F333&lt;3),"Serious",AND(H333&gt;=$D$1,I333&lt;0,J333&gt;$D$2,G333/F333&lt;3),"Very serious", AND(H333&lt;=$D$1*-1,J333&gt;0,I333&gt;$D$2*-1,G333/F333&gt;=3),"Very serious", AND(H333&lt;=$D$1*-1,J333&gt;0,I333&lt;$D$2*-1,G333/F333&gt;=3),"Very serious", AND(H333&gt;=$D$1,I333&lt;0,J333&lt;$D$2,G333/F333&gt;=3),"Very serious", AND(H333&gt;=$D$1,I333&lt;0,J333&gt;$D$2,G333/F333&gt;=3),"Very serious", AND(H333&gt;$D$1*-1,H333&lt;$D$1,I333&gt;$D$1*-1,J333&lt;$D$1,G333/F333&lt;3),"Not serious", AND(H333&gt;$D$1*-1,H333&lt;$D$1,OR(I333&lt;=$D$1*-1,J333&gt;=$D$1),I333&gt;$D$2*-1,J333&lt;$D$2,G333/F333&lt;3),"Serious", AND(H333&gt;$D$1*-1,H333&lt;$D$1,OR(I333&lt;=$D$2*-1,J333&gt;=$D$2),G333/F333&lt;3),"Very serious", AND(H333&gt;$D$1*-1,H333&lt;$D$1,I333&gt;$D$1*-1,J333&lt;$D$1,G333/F333&gt;=3),"Very serious", AND(H333&gt;$D$1*-1,H333&lt;$D$1,OR(I333&lt;=$D$1*-1,J333&gt;=$D$1),I333&gt;$D$2*-1,J333&lt;$D$2,G333/F333&gt;=3),"Very serious", AND(H333&gt;$D$1*-1,H333&lt;$D$1,OR(I333&lt;=$D$2*-1,J333&gt;=$D$2),G333/F333&gt;=3),"Very serious")),"")</f>
        <v/>
      </c>
      <c r="R333" s="109" t="str">
        <f t="shared" si="47"/>
        <v/>
      </c>
      <c r="S333" s="64"/>
      <c r="T333" s="72"/>
      <c r="U333" s="72"/>
      <c r="V333" s="72"/>
      <c r="W333" s="73"/>
      <c r="X333" s="73"/>
      <c r="Y333" s="74"/>
      <c r="Z333" s="113" t="str">
        <f t="array" ref="Z333">INDEX($A$1:$C$500, MATCH(1,($B:$B=$B333)*($C:$C=$AB333),0),1)</f>
        <v/>
      </c>
      <c r="AA333" s="113" t="str">
        <f t="array" ref="AA333">INDEX($A$1:$C$500, MATCH(1,($B:$B=$AB333)*($C:$C=$B333),0),1)</f>
        <v/>
      </c>
      <c r="AB333" s="111"/>
      <c r="AC333" s="114" t="str">
        <f t="shared" si="2"/>
        <v/>
      </c>
      <c r="AD333" s="115" t="str">
        <f t="shared" si="3"/>
        <v/>
      </c>
      <c r="AE333" s="116" t="str">
        <f t="array" ref="AE333">INDEX($A$1:$C$500, MATCH(1,($B:$B=$AB333)*($C:$C=$AG333),0),1)</f>
        <v/>
      </c>
      <c r="AF333" s="116" t="str">
        <f t="array" ref="AF333">INDEX($A$1:$C$500, MATCH(1,($B:$B=$AG333)*($C:$C=$AB333),0),1)</f>
        <v/>
      </c>
      <c r="AG333" s="72"/>
      <c r="AH333" s="114" t="str">
        <f t="shared" si="4"/>
        <v/>
      </c>
      <c r="AI333" s="115" t="str">
        <f t="shared" si="5"/>
        <v/>
      </c>
      <c r="AJ333" s="116" t="str">
        <f t="array" ref="AJ333">INDEX($A$1:$C$500, MATCH(1,($B:$B=$C333)*($C:$C=$AG333),0),1)</f>
        <v/>
      </c>
      <c r="AK333" s="116" t="str">
        <f t="array" ref="AK333">INDEX($A$1:$C$500, MATCH(1,($B:$B=$AG333)*($C:$C=$C333),0),1)</f>
        <v/>
      </c>
      <c r="AL333" s="116" t="str">
        <f t="array" ref="AL333">INDEX($A$1:$C$500, MATCH(1,($B:$B=$C333)*($C:$C=$AB333),0),1)</f>
        <v/>
      </c>
      <c r="AM333" s="116" t="str">
        <f t="array" ref="AM333">INDEX($A$1:$C$500, MATCH(1,($B:$B=$AB333)*($C:$C=$C333),0),1)</f>
        <v/>
      </c>
      <c r="AN333" s="114" t="str">
        <f t="array" ref="AN333">IFS(ISNUMBER(AJ333),AJ333,ISNUMBER(AK333),AK333,ISNUMBER(AL333),AL333,ISNUMBER(AM333),AM333)</f>
        <v>#N/A</v>
      </c>
      <c r="AO333" s="115" t="str">
        <f t="shared" si="6"/>
        <v/>
      </c>
      <c r="AP333" s="115" t="str">
        <f t="shared" si="7"/>
        <v/>
      </c>
      <c r="AQ333" s="111"/>
      <c r="AR333" s="109" t="str">
        <f t="shared" si="8"/>
        <v/>
      </c>
      <c r="AS333" s="72" t="str">
        <f>IFERROR(IF(AND(Preferences!B$3="Manual",OR(AX333/AW333&gt;V333/U333,BD333="Serious",BD333="Very serious")),"Assess imprecision",IFERROR(IFS(AND(Preferences!B$3="Automatic",V333/U333&gt;=30),"Extremely serious",AND(W333&lt;=$D$1*-1,Y333&lt;0,V333/U333&lt;3),"Not Serious",AND(W333&lt;=$D$1*-1,Y333&lt;0,V333/U333&gt;=3),"Very serious",AND(W333&gt;=$D$1,X333&gt;0,V333/U333&lt;3),"Not Serious",AND(W333&gt;=$D$1,X333&gt;0,V333/U333&gt;=3),"Very serious",AND(W333&lt;=$D$1*-1,Y333&gt;0,X333&gt;$D$2*-1,V333/U333&lt;3),"Serious", AND(W333&lt;=$D$1*-1,Y333&gt;0,X333&lt;$D$2*-1,V333/U333&lt;3),"Very serious", AND(W333&gt;=$D$1,X333&lt;0,Y333&lt;$D$2,V333/U333&lt;3),"Serious",AND(W333&gt;=$D$1,X333&lt;0,Y333&gt;$D$2,V333/U333&lt;3),"Very serious", AND(W333&lt;=$D$1*-1,Y333&gt;0,X333&gt;$D$2*-1,V333/U333&gt;=3),"Very serious", AND(W333&lt;=$D$1*-1,Y333&gt;0,X333&lt;$D$2*-1,V333/U333&gt;=3),"Very serious", AND(W333&gt;=$D$1,X333&lt;0,Y333&lt;$D$2,V333/U333&gt;=3),"Very serious", AND(W333&gt;=$D$1,X333&lt;0,Y333&gt;$D$2,V333/U333&gt;=3),"Very serious", AND(W333&gt;$D$1*-1,W333&lt;$D$1,X333&gt;$D$1*-1,Y333&lt;$D$1,V333/U333&lt;3),"Not Serious", AND(W333&gt;$D$1*-1,W333&lt;$D$1,OR(X333&lt;=$D$1*-1,Y333&gt;=$D$1),X333&gt;$D$2*-1,Y333&lt;$D$2,V333/U333&lt;3),"Serious", AND(W333&gt;$D$1*-1,W333&lt;$D$1,OR(X333&lt;=$D$2*-1,Y333&gt;=$D$2),V333/U333&lt;3),"Very serious", AND(W333&gt;$D$1*-1,W333&lt;$D$1,X333&gt;$D$1*-1,Y333&lt;$D$1,V333/U333&gt;=3),"Very serious", AND(W333&gt;$D$1*-1,W333&lt;$D$1,OR(X333&lt;=$D$1*-1,Y333&gt;=$D$1),X333&gt;$D$2*-1,Y333&lt;$D$2,V333/U333&gt;=3),"Very serious", AND(W333&gt;$D$1*-1,W333&lt;$D$1,OR(X333&lt;=$D$2*-1,Y333&gt;=$D$2),V333/U333&gt;=3),"Very serious"),"")),"")</f>
        <v/>
      </c>
      <c r="AT333" s="109" t="str">
        <f t="shared" si="9"/>
        <v/>
      </c>
      <c r="AU333" s="64"/>
      <c r="AV333" s="83"/>
      <c r="AW333" s="83"/>
      <c r="AX333" s="83"/>
      <c r="AY333" s="83"/>
      <c r="AZ333" s="83"/>
      <c r="BA333" s="85"/>
      <c r="BB333" s="86" t="str">
        <f>IF(Preferences!B$9="Manual","",IFS(ISBLANK(B333),"",AND(ISNUMBER(E333)=TRUE,ISNUMBER(T333)=FALSE),"Direct", AND(ISNUMBER(E333)=FALSE,ISNUMBER(T333)=TRUE),"Indirect", CN333=4,"Direct",AND(CL333=FALSE, CM333=TRUE,CN333-CO333&gt;-1),"Direct", AND(CL333=FALSE,CM333=TRUE, CN333-CO333&lt;0),"Check algorithm in appendix 2", AND(CL333=TRUE, CM333=FALSE,CN333-CO333&gt;0),"Check algorithm in appendix 2", AND(CL333=TRUE, CM333=FALSE,CN333-CO333=0),"Indirect", AND(CL333=TRUE, CM333=FALSE,CN333-CO333&lt;0),"Indirect", AND(CL333=FALSE,CM333=FALSE,CN333-CO333&gt;-1),"Direct", AND(CL333=FALSE,CM333=FALSE,CN333-CO333&lt;0),"Check algorithm in appendix 2", AND(CL333=TRUE,CM333=TRUE,CN333-CO333&gt;-1),"Direct", AND(CL333=TRUE,CM333=TRUE,CN333-CO333&lt;0),"Check algorithm in appendix 2"))</f>
        <v/>
      </c>
      <c r="BC333" s="120" t="str">
        <f t="shared" si="10"/>
        <v/>
      </c>
      <c r="BD333" s="140"/>
      <c r="BE333" s="122" t="str">
        <f>IF(Preferences!B$3="Manual","", IFERROR(IFS(AND(Preferences!B$3="Automatic",AX333/AW333&gt;=30),"Extremely serious",AND(AY333&lt;=$D$1*-1,BA333&lt;0,AX333/AW333&lt;3),"Not Serious",AND(AY333&lt;=$D$1*-1,BA333&lt;0,AX333/AW333&gt;=3),"Very serious",AND(AY333&gt;=$D$1,AZ333&gt;0,AX333/AW333&lt;3),"Not Serious",AND(AY333&gt;=$D$1,AZ333&gt;0,AX333/AW333&gt;=3),"Very serious",AND(AY333&lt;=$D$1*-1,BA333&gt;0,AZ333&gt;$D$2*-1,AX333/AW333&lt;3),"Serious", AND(AY333&lt;=$D$1*-1,BA333&gt;0,AZ333&lt;$D$2*-1,AX333/AW333&lt;3),"Very serious", AND(AY333&gt;=$D$1,AZ333&lt;0,BA333&lt;$D$2,AX333/AW333&lt;3),"Serious",AND(AY333&gt;=$D$1,AZ333&lt;0,BA333&gt;$D$2,AX333/AW333&lt;3),"Very serious", AND(AY333&lt;=$D$1*-1,BA333&gt;0,AZ333&gt;$D$2*-1,AX333/AW333&gt;=3),"Very serious", AND(AY333&lt;=$D$1*-1,BA333&gt;0,AZ333&lt;$D$2*-1,AX333/AW333&gt;=3),"Very serious", AND(AY333&gt;=$D$1,AZ333&lt;0,BA333&lt;$D$2,AX333/AW333&gt;=3),"Very serious", AND(AY333&gt;=$D$1,AZ333&lt;0,BA333&gt;$D$2,AX333/AW333&gt;=3),"Very serious", AND(AY333&gt;$D$1*-1,AY333&lt;$D$1,AZ333&gt;$D$1*-1,BA333&lt;$D$1,AX333/AW333&lt;3),"Not Serious", AND(AY333&gt;$D$1*-1,AY333&lt;$D$1,OR(AZ333&lt;=$D$1*-1,BA333&gt;=$D$1),AZ333&gt;$D$2*-1,BA333&lt;$D$2,AX333/AW333&lt;3),"Serious", AND(AY333&gt;$D$1*-1,AY333&lt;$D$1,OR(AZ333&lt;=$D$2*-1,BA333&gt;=$D$2),AX333/AW333&lt;3),"Very serious", AND(AY333&gt;$D$1*-1,AY333&lt;$D$1,AZ333&gt;$D$1*-1,BA333&lt;$D$1,AX333/AW333&gt;=3),"Very serious", AND(AY333&gt;$D$1*-1,AY333&lt;$D$1,OR(AZ333&lt;=$D$1*-1,BA333&gt;=$D$1),AZ333&gt;$D$2*-1,BA333&lt;$D$2,AX333/AW333&gt;=3),"Very serious", AND(AY333&gt;$D$1*-1,AY333&lt;$D$1,OR(AZ333&lt;=$D$2*-1,BA333&gt;=$D$2),AX333/AW333&gt;=3),"Very serious"),""))</f>
        <v/>
      </c>
      <c r="BF333" s="107" t="str">
        <f t="shared" si="11"/>
        <v/>
      </c>
      <c r="BG333" s="94" t="str">
        <f t="shared" si="46"/>
        <v/>
      </c>
      <c r="BH333" s="64" t="str">
        <f t="shared" si="12"/>
        <v>#N/A</v>
      </c>
      <c r="BI333" s="64" t="str">
        <f t="shared" si="13"/>
        <v/>
      </c>
      <c r="BJ333" s="123" t="str">
        <f t="shared" si="14"/>
        <v>#N/A</v>
      </c>
      <c r="BK333" s="64" t="str">
        <f t="shared" si="50"/>
        <v>YES</v>
      </c>
      <c r="BL333" s="64" t="str">
        <f t="shared" si="16"/>
        <v>YES</v>
      </c>
      <c r="BM333" s="64" t="str">
        <f t="shared" si="17"/>
        <v>YES</v>
      </c>
      <c r="BN333" s="124" t="str">
        <f t="shared" si="18"/>
        <v/>
      </c>
      <c r="BO333" s="91" t="str">
        <f t="shared" si="19"/>
        <v/>
      </c>
      <c r="BP333" s="91" t="str">
        <f t="shared" si="20"/>
        <v>#N/A</v>
      </c>
      <c r="BQ333" s="91" t="str">
        <f t="shared" si="21"/>
        <v/>
      </c>
      <c r="BR333" s="93" t="str">
        <f t="shared" si="22"/>
        <v/>
      </c>
      <c r="BS333" s="90" t="str">
        <f t="shared" si="23"/>
        <v/>
      </c>
      <c r="BT333" s="93" t="str">
        <f t="shared" si="24"/>
        <v>NA</v>
      </c>
      <c r="BU333" s="125" t="str">
        <f t="shared" si="25"/>
        <v>#N/A</v>
      </c>
      <c r="BV333" s="93" t="str">
        <f t="shared" si="26"/>
        <v/>
      </c>
      <c r="BW333" s="93" t="str">
        <f t="shared" si="27"/>
        <v/>
      </c>
      <c r="BX333" s="93" t="str">
        <f t="shared" si="28"/>
        <v>NA</v>
      </c>
      <c r="BY333" s="95" t="str">
        <f t="shared" si="29"/>
        <v>#N/A</v>
      </c>
      <c r="BZ333" s="93" t="str">
        <f t="shared" si="30"/>
        <v/>
      </c>
      <c r="CA333" s="93" t="str">
        <f t="shared" si="31"/>
        <v/>
      </c>
      <c r="CB333" s="93" t="str">
        <f t="shared" si="32"/>
        <v>NA</v>
      </c>
      <c r="CC333" s="96" t="str">
        <f t="shared" si="33"/>
        <v>#N/A</v>
      </c>
      <c r="CD333" s="93" t="str">
        <f t="shared" si="34"/>
        <v/>
      </c>
      <c r="CE333" s="93" t="str">
        <f t="shared" si="35"/>
        <v/>
      </c>
      <c r="CF333" s="93" t="str">
        <f t="shared" si="36"/>
        <v>NA</v>
      </c>
      <c r="CG333" s="97" t="str">
        <f t="shared" si="37"/>
        <v>#N/A</v>
      </c>
      <c r="CH333" s="98" t="str">
        <f t="shared" si="38"/>
        <v>#N/A</v>
      </c>
      <c r="CI333" s="99" t="str">
        <f t="shared" si="39"/>
        <v>#N/A</v>
      </c>
      <c r="CJ333" s="126" t="str">
        <f t="shared" si="40"/>
        <v>ERROR: check cell</v>
      </c>
      <c r="CK333" s="126"/>
      <c r="CL333" s="127" t="str">
        <f t="shared" si="41"/>
        <v>#DIV/0!</v>
      </c>
      <c r="CM333" s="128" t="str">
        <f t="shared" si="42"/>
        <v>#DIV/0!</v>
      </c>
      <c r="CN333" s="128">
        <f t="shared" si="43"/>
        <v>4</v>
      </c>
      <c r="CO333" s="129">
        <f t="shared" si="44"/>
        <v>4</v>
      </c>
      <c r="CP333" s="129" t="str">
        <f>IFS(C333=Preferences!B$13,B333,B333=Preferences!B$13,C333)</f>
        <v>#N/A</v>
      </c>
    </row>
    <row r="334" ht="13.5" customHeight="1">
      <c r="A334" s="63" t="str">
        <f t="shared" si="45"/>
        <v/>
      </c>
      <c r="B334" s="64"/>
      <c r="C334" s="64"/>
      <c r="D334" s="64"/>
      <c r="E334" s="65"/>
      <c r="F334" s="65"/>
      <c r="G334" s="65"/>
      <c r="H334" s="66"/>
      <c r="I334" s="66"/>
      <c r="J334" s="67"/>
      <c r="K334" s="68"/>
      <c r="L334" s="104"/>
      <c r="M334" s="104"/>
      <c r="N334" s="104"/>
      <c r="O334" s="104"/>
      <c r="P334" s="107" t="str">
        <f t="shared" si="1"/>
        <v/>
      </c>
      <c r="Q334" s="108" t="str">
        <f>IFERROR(IF(AND(Preferences!B$3="Manual",OR(AX334/AW334&gt;G334/F334,BD334="Serious",BD334="Very serious")),"Assess imprecision",IFS(ISBLANK(E334),"",AND(Preferences!B$3="Automatic", G334/F334&gt;=30),"Extremely serious",AND(H334&lt;=$D$1*-1,J334&lt;0,G334/F334&lt;3),"Not serious",AND(H334&lt;=$D$1*-1,J334&lt;0,G334/F334&gt;=3),"Very serious",AND(H334&gt;=$D$1,I334&gt;0,G334/F334&lt;3),"Not serious",AND(H334&gt;=$D$1,I334&gt;0,G334/F334&gt;=3),"Very serious",AND(H334&lt;=$D$1*-1,J334&gt;0,I334&gt;$D$2*-1,G334/F334&lt;3),"Serious", AND(H334&lt;=$D$1*-1,J334&gt;0,I334&lt;$D$2*-1,G334/F334&lt;3),"Very serious", AND(H334&gt;=$D$1,I334&lt;0,J334&lt;$D$2,G334/F334&lt;3),"Serious",AND(H334&gt;=$D$1,I334&lt;0,J334&gt;$D$2,G334/F334&lt;3),"Very serious", AND(H334&lt;=$D$1*-1,J334&gt;0,I334&gt;$D$2*-1,G334/F334&gt;=3),"Very serious", AND(H334&lt;=$D$1*-1,J334&gt;0,I334&lt;$D$2*-1,G334/F334&gt;=3),"Very serious", AND(H334&gt;=$D$1,I334&lt;0,J334&lt;$D$2,G334/F334&gt;=3),"Very serious", AND(H334&gt;=$D$1,I334&lt;0,J334&gt;$D$2,G334/F334&gt;=3),"Very serious", AND(H334&gt;$D$1*-1,H334&lt;$D$1,I334&gt;$D$1*-1,J334&lt;$D$1,G334/F334&lt;3),"Not serious", AND(H334&gt;$D$1*-1,H334&lt;$D$1,OR(I334&lt;=$D$1*-1,J334&gt;=$D$1),I334&gt;$D$2*-1,J334&lt;$D$2,G334/F334&lt;3),"Serious", AND(H334&gt;$D$1*-1,H334&lt;$D$1,OR(I334&lt;=$D$2*-1,J334&gt;=$D$2),G334/F334&lt;3),"Very serious", AND(H334&gt;$D$1*-1,H334&lt;$D$1,I334&gt;$D$1*-1,J334&lt;$D$1,G334/F334&gt;=3),"Very serious", AND(H334&gt;$D$1*-1,H334&lt;$D$1,OR(I334&lt;=$D$1*-1,J334&gt;=$D$1),I334&gt;$D$2*-1,J334&lt;$D$2,G334/F334&gt;=3),"Very serious", AND(H334&gt;$D$1*-1,H334&lt;$D$1,OR(I334&lt;=$D$2*-1,J334&gt;=$D$2),G334/F334&gt;=3),"Very serious")),"")</f>
        <v/>
      </c>
      <c r="R334" s="109" t="str">
        <f t="shared" si="47"/>
        <v/>
      </c>
      <c r="S334" s="64"/>
      <c r="T334" s="72"/>
      <c r="U334" s="72"/>
      <c r="V334" s="72"/>
      <c r="W334" s="73"/>
      <c r="X334" s="73"/>
      <c r="Y334" s="74"/>
      <c r="Z334" s="113" t="str">
        <f t="array" ref="Z334">INDEX($A$1:$C$500, MATCH(1,($B:$B=$B334)*($C:$C=$AB334),0),1)</f>
        <v/>
      </c>
      <c r="AA334" s="113" t="str">
        <f t="array" ref="AA334">INDEX($A$1:$C$500, MATCH(1,($B:$B=$AB334)*($C:$C=$B334),0),1)</f>
        <v/>
      </c>
      <c r="AB334" s="111"/>
      <c r="AC334" s="114" t="str">
        <f t="shared" si="2"/>
        <v/>
      </c>
      <c r="AD334" s="115" t="str">
        <f t="shared" si="3"/>
        <v/>
      </c>
      <c r="AE334" s="116" t="str">
        <f t="array" ref="AE334">INDEX($A$1:$C$500, MATCH(1,($B:$B=$AB334)*($C:$C=$AG334),0),1)</f>
        <v/>
      </c>
      <c r="AF334" s="116" t="str">
        <f t="array" ref="AF334">INDEX($A$1:$C$500, MATCH(1,($B:$B=$AG334)*($C:$C=$AB334),0),1)</f>
        <v/>
      </c>
      <c r="AG334" s="72"/>
      <c r="AH334" s="114" t="str">
        <f t="shared" si="4"/>
        <v/>
      </c>
      <c r="AI334" s="115" t="str">
        <f t="shared" si="5"/>
        <v/>
      </c>
      <c r="AJ334" s="116" t="str">
        <f t="array" ref="AJ334">INDEX($A$1:$C$500, MATCH(1,($B:$B=$C334)*($C:$C=$AG334),0),1)</f>
        <v/>
      </c>
      <c r="AK334" s="116" t="str">
        <f t="array" ref="AK334">INDEX($A$1:$C$500, MATCH(1,($B:$B=$AG334)*($C:$C=$C334),0),1)</f>
        <v/>
      </c>
      <c r="AL334" s="116" t="str">
        <f t="array" ref="AL334">INDEX($A$1:$C$500, MATCH(1,($B:$B=$C334)*($C:$C=$AB334),0),1)</f>
        <v/>
      </c>
      <c r="AM334" s="116" t="str">
        <f t="array" ref="AM334">INDEX($A$1:$C$500, MATCH(1,($B:$B=$AB334)*($C:$C=$C334),0),1)</f>
        <v/>
      </c>
      <c r="AN334" s="114" t="str">
        <f t="array" ref="AN334">IFS(ISNUMBER(AJ334),AJ334,ISNUMBER(AK334),AK334,ISNUMBER(AL334),AL334,ISNUMBER(AM334),AM334)</f>
        <v>#N/A</v>
      </c>
      <c r="AO334" s="115" t="str">
        <f t="shared" si="6"/>
        <v/>
      </c>
      <c r="AP334" s="115" t="str">
        <f t="shared" si="7"/>
        <v/>
      </c>
      <c r="AQ334" s="111"/>
      <c r="AR334" s="109" t="str">
        <f t="shared" si="8"/>
        <v/>
      </c>
      <c r="AS334" s="72" t="str">
        <f>IFERROR(IF(AND(Preferences!B$3="Manual",OR(AX334/AW334&gt;V334/U334,BD334="Serious",BD334="Very serious")),"Assess imprecision",IFERROR(IFS(AND(Preferences!B$3="Automatic",V334/U334&gt;=30),"Extremely serious",AND(W334&lt;=$D$1*-1,Y334&lt;0,V334/U334&lt;3),"Not Serious",AND(W334&lt;=$D$1*-1,Y334&lt;0,V334/U334&gt;=3),"Very serious",AND(W334&gt;=$D$1,X334&gt;0,V334/U334&lt;3),"Not Serious",AND(W334&gt;=$D$1,X334&gt;0,V334/U334&gt;=3),"Very serious",AND(W334&lt;=$D$1*-1,Y334&gt;0,X334&gt;$D$2*-1,V334/U334&lt;3),"Serious", AND(W334&lt;=$D$1*-1,Y334&gt;0,X334&lt;$D$2*-1,V334/U334&lt;3),"Very serious", AND(W334&gt;=$D$1,X334&lt;0,Y334&lt;$D$2,V334/U334&lt;3),"Serious",AND(W334&gt;=$D$1,X334&lt;0,Y334&gt;$D$2,V334/U334&lt;3),"Very serious", AND(W334&lt;=$D$1*-1,Y334&gt;0,X334&gt;$D$2*-1,V334/U334&gt;=3),"Very serious", AND(W334&lt;=$D$1*-1,Y334&gt;0,X334&lt;$D$2*-1,V334/U334&gt;=3),"Very serious", AND(W334&gt;=$D$1,X334&lt;0,Y334&lt;$D$2,V334/U334&gt;=3),"Very serious", AND(W334&gt;=$D$1,X334&lt;0,Y334&gt;$D$2,V334/U334&gt;=3),"Very serious", AND(W334&gt;$D$1*-1,W334&lt;$D$1,X334&gt;$D$1*-1,Y334&lt;$D$1,V334/U334&lt;3),"Not Serious", AND(W334&gt;$D$1*-1,W334&lt;$D$1,OR(X334&lt;=$D$1*-1,Y334&gt;=$D$1),X334&gt;$D$2*-1,Y334&lt;$D$2,V334/U334&lt;3),"Serious", AND(W334&gt;$D$1*-1,W334&lt;$D$1,OR(X334&lt;=$D$2*-1,Y334&gt;=$D$2),V334/U334&lt;3),"Very serious", AND(W334&gt;$D$1*-1,W334&lt;$D$1,X334&gt;$D$1*-1,Y334&lt;$D$1,V334/U334&gt;=3),"Very serious", AND(W334&gt;$D$1*-1,W334&lt;$D$1,OR(X334&lt;=$D$1*-1,Y334&gt;=$D$1),X334&gt;$D$2*-1,Y334&lt;$D$2,V334/U334&gt;=3),"Very serious", AND(W334&gt;$D$1*-1,W334&lt;$D$1,OR(X334&lt;=$D$2*-1,Y334&gt;=$D$2),V334/U334&gt;=3),"Very serious"),"")),"")</f>
        <v/>
      </c>
      <c r="AT334" s="109" t="str">
        <f t="shared" si="9"/>
        <v/>
      </c>
      <c r="AU334" s="64"/>
      <c r="AV334" s="83"/>
      <c r="AW334" s="83"/>
      <c r="AX334" s="83"/>
      <c r="AY334" s="83"/>
      <c r="AZ334" s="83"/>
      <c r="BA334" s="85"/>
      <c r="BB334" s="86" t="str">
        <f>IF(Preferences!B$9="Manual","",IFS(ISBLANK(B334),"",AND(ISNUMBER(E334)=TRUE,ISNUMBER(T334)=FALSE),"Direct", AND(ISNUMBER(E334)=FALSE,ISNUMBER(T334)=TRUE),"Indirect", CN334=4,"Direct",AND(CL334=FALSE, CM334=TRUE,CN334-CO334&gt;-1),"Direct", AND(CL334=FALSE,CM334=TRUE, CN334-CO334&lt;0),"Check algorithm in appendix 2", AND(CL334=TRUE, CM334=FALSE,CN334-CO334&gt;0),"Check algorithm in appendix 2", AND(CL334=TRUE, CM334=FALSE,CN334-CO334=0),"Indirect", AND(CL334=TRUE, CM334=FALSE,CN334-CO334&lt;0),"Indirect", AND(CL334=FALSE,CM334=FALSE,CN334-CO334&gt;-1),"Direct", AND(CL334=FALSE,CM334=FALSE,CN334-CO334&lt;0),"Check algorithm in appendix 2", AND(CL334=TRUE,CM334=TRUE,CN334-CO334&gt;-1),"Direct", AND(CL334=TRUE,CM334=TRUE,CN334-CO334&lt;0),"Check algorithm in appendix 2"))</f>
        <v/>
      </c>
      <c r="BC334" s="120" t="str">
        <f t="shared" si="10"/>
        <v/>
      </c>
      <c r="BD334" s="140"/>
      <c r="BE334" s="122" t="str">
        <f>IF(Preferences!B$3="Manual","", IFERROR(IFS(AND(Preferences!B$3="Automatic",AX334/AW334&gt;=30),"Extremely serious",AND(AY334&lt;=$D$1*-1,BA334&lt;0,AX334/AW334&lt;3),"Not Serious",AND(AY334&lt;=$D$1*-1,BA334&lt;0,AX334/AW334&gt;=3),"Very serious",AND(AY334&gt;=$D$1,AZ334&gt;0,AX334/AW334&lt;3),"Not Serious",AND(AY334&gt;=$D$1,AZ334&gt;0,AX334/AW334&gt;=3),"Very serious",AND(AY334&lt;=$D$1*-1,BA334&gt;0,AZ334&gt;$D$2*-1,AX334/AW334&lt;3),"Serious", AND(AY334&lt;=$D$1*-1,BA334&gt;0,AZ334&lt;$D$2*-1,AX334/AW334&lt;3),"Very serious", AND(AY334&gt;=$D$1,AZ334&lt;0,BA334&lt;$D$2,AX334/AW334&lt;3),"Serious",AND(AY334&gt;=$D$1,AZ334&lt;0,BA334&gt;$D$2,AX334/AW334&lt;3),"Very serious", AND(AY334&lt;=$D$1*-1,BA334&gt;0,AZ334&gt;$D$2*-1,AX334/AW334&gt;=3),"Very serious", AND(AY334&lt;=$D$1*-1,BA334&gt;0,AZ334&lt;$D$2*-1,AX334/AW334&gt;=3),"Very serious", AND(AY334&gt;=$D$1,AZ334&lt;0,BA334&lt;$D$2,AX334/AW334&gt;=3),"Very serious", AND(AY334&gt;=$D$1,AZ334&lt;0,BA334&gt;$D$2,AX334/AW334&gt;=3),"Very serious", AND(AY334&gt;$D$1*-1,AY334&lt;$D$1,AZ334&gt;$D$1*-1,BA334&lt;$D$1,AX334/AW334&lt;3),"Not Serious", AND(AY334&gt;$D$1*-1,AY334&lt;$D$1,OR(AZ334&lt;=$D$1*-1,BA334&gt;=$D$1),AZ334&gt;$D$2*-1,BA334&lt;$D$2,AX334/AW334&lt;3),"Serious", AND(AY334&gt;$D$1*-1,AY334&lt;$D$1,OR(AZ334&lt;=$D$2*-1,BA334&gt;=$D$2),AX334/AW334&lt;3),"Very serious", AND(AY334&gt;$D$1*-1,AY334&lt;$D$1,AZ334&gt;$D$1*-1,BA334&lt;$D$1,AX334/AW334&gt;=3),"Very serious", AND(AY334&gt;$D$1*-1,AY334&lt;$D$1,OR(AZ334&lt;=$D$1*-1,BA334&gt;=$D$1),AZ334&gt;$D$2*-1,BA334&lt;$D$2,AX334/AW334&gt;=3),"Very serious", AND(AY334&gt;$D$1*-1,AY334&lt;$D$1,OR(AZ334&lt;=$D$2*-1,BA334&gt;=$D$2),AX334/AW334&gt;=3),"Very serious"),""))</f>
        <v/>
      </c>
      <c r="BF334" s="107" t="str">
        <f t="shared" si="11"/>
        <v/>
      </c>
      <c r="BG334" s="94" t="str">
        <f t="shared" si="46"/>
        <v/>
      </c>
      <c r="BH334" s="64" t="str">
        <f t="shared" si="12"/>
        <v>#N/A</v>
      </c>
      <c r="BI334" s="64" t="str">
        <f t="shared" si="13"/>
        <v/>
      </c>
      <c r="BJ334" s="123" t="str">
        <f t="shared" si="14"/>
        <v>#N/A</v>
      </c>
      <c r="BK334" s="64" t="str">
        <f t="shared" si="50"/>
        <v>YES</v>
      </c>
      <c r="BL334" s="64" t="str">
        <f t="shared" si="16"/>
        <v>YES</v>
      </c>
      <c r="BM334" s="64" t="str">
        <f t="shared" si="17"/>
        <v>YES</v>
      </c>
      <c r="BN334" s="124" t="str">
        <f t="shared" si="18"/>
        <v/>
      </c>
      <c r="BO334" s="91" t="str">
        <f t="shared" si="19"/>
        <v/>
      </c>
      <c r="BP334" s="91" t="str">
        <f t="shared" si="20"/>
        <v>#N/A</v>
      </c>
      <c r="BQ334" s="91" t="str">
        <f t="shared" si="21"/>
        <v/>
      </c>
      <c r="BR334" s="93" t="str">
        <f t="shared" si="22"/>
        <v/>
      </c>
      <c r="BS334" s="90" t="str">
        <f t="shared" si="23"/>
        <v/>
      </c>
      <c r="BT334" s="93" t="str">
        <f t="shared" si="24"/>
        <v>NA</v>
      </c>
      <c r="BU334" s="125" t="str">
        <f t="shared" si="25"/>
        <v>#N/A</v>
      </c>
      <c r="BV334" s="93" t="str">
        <f t="shared" si="26"/>
        <v/>
      </c>
      <c r="BW334" s="93" t="str">
        <f t="shared" si="27"/>
        <v/>
      </c>
      <c r="BX334" s="93" t="str">
        <f t="shared" si="28"/>
        <v>NA</v>
      </c>
      <c r="BY334" s="95" t="str">
        <f t="shared" si="29"/>
        <v>#N/A</v>
      </c>
      <c r="BZ334" s="93" t="str">
        <f t="shared" si="30"/>
        <v/>
      </c>
      <c r="CA334" s="93" t="str">
        <f t="shared" si="31"/>
        <v/>
      </c>
      <c r="CB334" s="93" t="str">
        <f t="shared" si="32"/>
        <v>NA</v>
      </c>
      <c r="CC334" s="96" t="str">
        <f t="shared" si="33"/>
        <v>#N/A</v>
      </c>
      <c r="CD334" s="93" t="str">
        <f t="shared" si="34"/>
        <v/>
      </c>
      <c r="CE334" s="93" t="str">
        <f t="shared" si="35"/>
        <v/>
      </c>
      <c r="CF334" s="93" t="str">
        <f t="shared" si="36"/>
        <v>NA</v>
      </c>
      <c r="CG334" s="97" t="str">
        <f t="shared" si="37"/>
        <v>#N/A</v>
      </c>
      <c r="CH334" s="98" t="str">
        <f t="shared" si="38"/>
        <v>#N/A</v>
      </c>
      <c r="CI334" s="99" t="str">
        <f t="shared" si="39"/>
        <v>#N/A</v>
      </c>
      <c r="CJ334" s="126" t="str">
        <f t="shared" si="40"/>
        <v>ERROR: check cell</v>
      </c>
      <c r="CK334" s="126"/>
      <c r="CL334" s="127" t="str">
        <f t="shared" si="41"/>
        <v>#DIV/0!</v>
      </c>
      <c r="CM334" s="128" t="str">
        <f t="shared" si="42"/>
        <v>#DIV/0!</v>
      </c>
      <c r="CN334" s="128">
        <f t="shared" si="43"/>
        <v>4</v>
      </c>
      <c r="CO334" s="129">
        <f t="shared" si="44"/>
        <v>4</v>
      </c>
      <c r="CP334" s="129" t="str">
        <f>IFS(C334=Preferences!B$13,B334,B334=Preferences!B$13,C334)</f>
        <v>#N/A</v>
      </c>
    </row>
    <row r="335" ht="13.5" customHeight="1">
      <c r="A335" s="63" t="str">
        <f t="shared" si="45"/>
        <v/>
      </c>
      <c r="B335" s="64"/>
      <c r="C335" s="64"/>
      <c r="D335" s="64"/>
      <c r="E335" s="65"/>
      <c r="F335" s="65"/>
      <c r="G335" s="65"/>
      <c r="H335" s="66"/>
      <c r="I335" s="66"/>
      <c r="J335" s="67"/>
      <c r="K335" s="68"/>
      <c r="L335" s="104"/>
      <c r="M335" s="104"/>
      <c r="N335" s="104"/>
      <c r="O335" s="104"/>
      <c r="P335" s="107" t="str">
        <f t="shared" si="1"/>
        <v/>
      </c>
      <c r="Q335" s="108" t="str">
        <f>IFERROR(IF(AND(Preferences!B$3="Manual",OR(AX335/AW335&gt;G335/F335,BD335="Serious",BD335="Very serious")),"Assess imprecision",IFS(ISBLANK(E335),"",AND(Preferences!B$3="Automatic", G335/F335&gt;=30),"Extremely serious",AND(H335&lt;=$D$1*-1,J335&lt;0,G335/F335&lt;3),"Not serious",AND(H335&lt;=$D$1*-1,J335&lt;0,G335/F335&gt;=3),"Very serious",AND(H335&gt;=$D$1,I335&gt;0,G335/F335&lt;3),"Not serious",AND(H335&gt;=$D$1,I335&gt;0,G335/F335&gt;=3),"Very serious",AND(H335&lt;=$D$1*-1,J335&gt;0,I335&gt;$D$2*-1,G335/F335&lt;3),"Serious", AND(H335&lt;=$D$1*-1,J335&gt;0,I335&lt;$D$2*-1,G335/F335&lt;3),"Very serious", AND(H335&gt;=$D$1,I335&lt;0,J335&lt;$D$2,G335/F335&lt;3),"Serious",AND(H335&gt;=$D$1,I335&lt;0,J335&gt;$D$2,G335/F335&lt;3),"Very serious", AND(H335&lt;=$D$1*-1,J335&gt;0,I335&gt;$D$2*-1,G335/F335&gt;=3),"Very serious", AND(H335&lt;=$D$1*-1,J335&gt;0,I335&lt;$D$2*-1,G335/F335&gt;=3),"Very serious", AND(H335&gt;=$D$1,I335&lt;0,J335&lt;$D$2,G335/F335&gt;=3),"Very serious", AND(H335&gt;=$D$1,I335&lt;0,J335&gt;$D$2,G335/F335&gt;=3),"Very serious", AND(H335&gt;$D$1*-1,H335&lt;$D$1,I335&gt;$D$1*-1,J335&lt;$D$1,G335/F335&lt;3),"Not serious", AND(H335&gt;$D$1*-1,H335&lt;$D$1,OR(I335&lt;=$D$1*-1,J335&gt;=$D$1),I335&gt;$D$2*-1,J335&lt;$D$2,G335/F335&lt;3),"Serious", AND(H335&gt;$D$1*-1,H335&lt;$D$1,OR(I335&lt;=$D$2*-1,J335&gt;=$D$2),G335/F335&lt;3),"Very serious", AND(H335&gt;$D$1*-1,H335&lt;$D$1,I335&gt;$D$1*-1,J335&lt;$D$1,G335/F335&gt;=3),"Very serious", AND(H335&gt;$D$1*-1,H335&lt;$D$1,OR(I335&lt;=$D$1*-1,J335&gt;=$D$1),I335&gt;$D$2*-1,J335&lt;$D$2,G335/F335&gt;=3),"Very serious", AND(H335&gt;$D$1*-1,H335&lt;$D$1,OR(I335&lt;=$D$2*-1,J335&gt;=$D$2),G335/F335&gt;=3),"Very serious")),"")</f>
        <v/>
      </c>
      <c r="R335" s="109" t="str">
        <f t="shared" si="47"/>
        <v/>
      </c>
      <c r="S335" s="64"/>
      <c r="T335" s="72"/>
      <c r="U335" s="72"/>
      <c r="V335" s="72"/>
      <c r="W335" s="73"/>
      <c r="X335" s="73"/>
      <c r="Y335" s="74"/>
      <c r="Z335" s="113" t="str">
        <f t="array" ref="Z335">INDEX($A$1:$C$500, MATCH(1,($B:$B=$B335)*($C:$C=$AB335),0),1)</f>
        <v/>
      </c>
      <c r="AA335" s="113" t="str">
        <f t="array" ref="AA335">INDEX($A$1:$C$500, MATCH(1,($B:$B=$AB335)*($C:$C=$B335),0),1)</f>
        <v/>
      </c>
      <c r="AB335" s="111"/>
      <c r="AC335" s="114" t="str">
        <f t="shared" si="2"/>
        <v/>
      </c>
      <c r="AD335" s="115" t="str">
        <f t="shared" si="3"/>
        <v/>
      </c>
      <c r="AE335" s="116" t="str">
        <f t="array" ref="AE335">INDEX($A$1:$C$500, MATCH(1,($B:$B=$AB335)*($C:$C=$AG335),0),1)</f>
        <v/>
      </c>
      <c r="AF335" s="116" t="str">
        <f t="array" ref="AF335">INDEX($A$1:$C$500, MATCH(1,($B:$B=$AG335)*($C:$C=$AB335),0),1)</f>
        <v/>
      </c>
      <c r="AG335" s="72"/>
      <c r="AH335" s="114" t="str">
        <f t="shared" si="4"/>
        <v/>
      </c>
      <c r="AI335" s="115" t="str">
        <f t="shared" si="5"/>
        <v/>
      </c>
      <c r="AJ335" s="116" t="str">
        <f t="array" ref="AJ335">INDEX($A$1:$C$500, MATCH(1,($B:$B=$C335)*($C:$C=$AG335),0),1)</f>
        <v/>
      </c>
      <c r="AK335" s="116" t="str">
        <f t="array" ref="AK335">INDEX($A$1:$C$500, MATCH(1,($B:$B=$AG335)*($C:$C=$C335),0),1)</f>
        <v/>
      </c>
      <c r="AL335" s="116" t="str">
        <f t="array" ref="AL335">INDEX($A$1:$C$500, MATCH(1,($B:$B=$C335)*($C:$C=$AB335),0),1)</f>
        <v/>
      </c>
      <c r="AM335" s="116" t="str">
        <f t="array" ref="AM335">INDEX($A$1:$C$500, MATCH(1,($B:$B=$AB335)*($C:$C=$C335),0),1)</f>
        <v/>
      </c>
      <c r="AN335" s="114" t="str">
        <f t="array" ref="AN335">IFS(ISNUMBER(AJ335),AJ335,ISNUMBER(AK335),AK335,ISNUMBER(AL335),AL335,ISNUMBER(AM335),AM335)</f>
        <v>#N/A</v>
      </c>
      <c r="AO335" s="115" t="str">
        <f t="shared" si="6"/>
        <v/>
      </c>
      <c r="AP335" s="115" t="str">
        <f t="shared" si="7"/>
        <v/>
      </c>
      <c r="AQ335" s="111"/>
      <c r="AR335" s="109" t="str">
        <f t="shared" si="8"/>
        <v/>
      </c>
      <c r="AS335" s="72" t="str">
        <f>IFERROR(IF(AND(Preferences!B$3="Manual",OR(AX335/AW335&gt;V335/U335,BD335="Serious",BD335="Very serious")),"Assess imprecision",IFERROR(IFS(AND(Preferences!B$3="Automatic",V335/U335&gt;=30),"Extremely serious",AND(W335&lt;=$D$1*-1,Y335&lt;0,V335/U335&lt;3),"Not Serious",AND(W335&lt;=$D$1*-1,Y335&lt;0,V335/U335&gt;=3),"Very serious",AND(W335&gt;=$D$1,X335&gt;0,V335/U335&lt;3),"Not Serious",AND(W335&gt;=$D$1,X335&gt;0,V335/U335&gt;=3),"Very serious",AND(W335&lt;=$D$1*-1,Y335&gt;0,X335&gt;$D$2*-1,V335/U335&lt;3),"Serious", AND(W335&lt;=$D$1*-1,Y335&gt;0,X335&lt;$D$2*-1,V335/U335&lt;3),"Very serious", AND(W335&gt;=$D$1,X335&lt;0,Y335&lt;$D$2,V335/U335&lt;3),"Serious",AND(W335&gt;=$D$1,X335&lt;0,Y335&gt;$D$2,V335/U335&lt;3),"Very serious", AND(W335&lt;=$D$1*-1,Y335&gt;0,X335&gt;$D$2*-1,V335/U335&gt;=3),"Very serious", AND(W335&lt;=$D$1*-1,Y335&gt;0,X335&lt;$D$2*-1,V335/U335&gt;=3),"Very serious", AND(W335&gt;=$D$1,X335&lt;0,Y335&lt;$D$2,V335/U335&gt;=3),"Very serious", AND(W335&gt;=$D$1,X335&lt;0,Y335&gt;$D$2,V335/U335&gt;=3),"Very serious", AND(W335&gt;$D$1*-1,W335&lt;$D$1,X335&gt;$D$1*-1,Y335&lt;$D$1,V335/U335&lt;3),"Not Serious", AND(W335&gt;$D$1*-1,W335&lt;$D$1,OR(X335&lt;=$D$1*-1,Y335&gt;=$D$1),X335&gt;$D$2*-1,Y335&lt;$D$2,V335/U335&lt;3),"Serious", AND(W335&gt;$D$1*-1,W335&lt;$D$1,OR(X335&lt;=$D$2*-1,Y335&gt;=$D$2),V335/U335&lt;3),"Very serious", AND(W335&gt;$D$1*-1,W335&lt;$D$1,X335&gt;$D$1*-1,Y335&lt;$D$1,V335/U335&gt;=3),"Very serious", AND(W335&gt;$D$1*-1,W335&lt;$D$1,OR(X335&lt;=$D$1*-1,Y335&gt;=$D$1),X335&gt;$D$2*-1,Y335&lt;$D$2,V335/U335&gt;=3),"Very serious", AND(W335&gt;$D$1*-1,W335&lt;$D$1,OR(X335&lt;=$D$2*-1,Y335&gt;=$D$2),V335/U335&gt;=3),"Very serious"),"")),"")</f>
        <v/>
      </c>
      <c r="AT335" s="109" t="str">
        <f t="shared" si="9"/>
        <v/>
      </c>
      <c r="AU335" s="64"/>
      <c r="AV335" s="83"/>
      <c r="AW335" s="83"/>
      <c r="AX335" s="83"/>
      <c r="AY335" s="83"/>
      <c r="AZ335" s="83"/>
      <c r="BA335" s="85"/>
      <c r="BB335" s="86" t="str">
        <f>IF(Preferences!B$9="Manual","",IFS(ISBLANK(B335),"",AND(ISNUMBER(E335)=TRUE,ISNUMBER(T335)=FALSE),"Direct", AND(ISNUMBER(E335)=FALSE,ISNUMBER(T335)=TRUE),"Indirect", CN335=4,"Direct",AND(CL335=FALSE, CM335=TRUE,CN335-CO335&gt;-1),"Direct", AND(CL335=FALSE,CM335=TRUE, CN335-CO335&lt;0),"Check algorithm in appendix 2", AND(CL335=TRUE, CM335=FALSE,CN335-CO335&gt;0),"Check algorithm in appendix 2", AND(CL335=TRUE, CM335=FALSE,CN335-CO335=0),"Indirect", AND(CL335=TRUE, CM335=FALSE,CN335-CO335&lt;0),"Indirect", AND(CL335=FALSE,CM335=FALSE,CN335-CO335&gt;-1),"Direct", AND(CL335=FALSE,CM335=FALSE,CN335-CO335&lt;0),"Check algorithm in appendix 2", AND(CL335=TRUE,CM335=TRUE,CN335-CO335&gt;-1),"Direct", AND(CL335=TRUE,CM335=TRUE,CN335-CO335&lt;0),"Check algorithm in appendix 2"))</f>
        <v/>
      </c>
      <c r="BC335" s="120" t="str">
        <f t="shared" si="10"/>
        <v/>
      </c>
      <c r="BD335" s="140"/>
      <c r="BE335" s="122" t="str">
        <f>IF(Preferences!B$3="Manual","", IFERROR(IFS(AND(Preferences!B$3="Automatic",AX335/AW335&gt;=30),"Extremely serious",AND(AY335&lt;=$D$1*-1,BA335&lt;0,AX335/AW335&lt;3),"Not Serious",AND(AY335&lt;=$D$1*-1,BA335&lt;0,AX335/AW335&gt;=3),"Very serious",AND(AY335&gt;=$D$1,AZ335&gt;0,AX335/AW335&lt;3),"Not Serious",AND(AY335&gt;=$D$1,AZ335&gt;0,AX335/AW335&gt;=3),"Very serious",AND(AY335&lt;=$D$1*-1,BA335&gt;0,AZ335&gt;$D$2*-1,AX335/AW335&lt;3),"Serious", AND(AY335&lt;=$D$1*-1,BA335&gt;0,AZ335&lt;$D$2*-1,AX335/AW335&lt;3),"Very serious", AND(AY335&gt;=$D$1,AZ335&lt;0,BA335&lt;$D$2,AX335/AW335&lt;3),"Serious",AND(AY335&gt;=$D$1,AZ335&lt;0,BA335&gt;$D$2,AX335/AW335&lt;3),"Very serious", AND(AY335&lt;=$D$1*-1,BA335&gt;0,AZ335&gt;$D$2*-1,AX335/AW335&gt;=3),"Very serious", AND(AY335&lt;=$D$1*-1,BA335&gt;0,AZ335&lt;$D$2*-1,AX335/AW335&gt;=3),"Very serious", AND(AY335&gt;=$D$1,AZ335&lt;0,BA335&lt;$D$2,AX335/AW335&gt;=3),"Very serious", AND(AY335&gt;=$D$1,AZ335&lt;0,BA335&gt;$D$2,AX335/AW335&gt;=3),"Very serious", AND(AY335&gt;$D$1*-1,AY335&lt;$D$1,AZ335&gt;$D$1*-1,BA335&lt;$D$1,AX335/AW335&lt;3),"Not Serious", AND(AY335&gt;$D$1*-1,AY335&lt;$D$1,OR(AZ335&lt;=$D$1*-1,BA335&gt;=$D$1),AZ335&gt;$D$2*-1,BA335&lt;$D$2,AX335/AW335&lt;3),"Serious", AND(AY335&gt;$D$1*-1,AY335&lt;$D$1,OR(AZ335&lt;=$D$2*-1,BA335&gt;=$D$2),AX335/AW335&lt;3),"Very serious", AND(AY335&gt;$D$1*-1,AY335&lt;$D$1,AZ335&gt;$D$1*-1,BA335&lt;$D$1,AX335/AW335&gt;=3),"Very serious", AND(AY335&gt;$D$1*-1,AY335&lt;$D$1,OR(AZ335&lt;=$D$1*-1,BA335&gt;=$D$1),AZ335&gt;$D$2*-1,BA335&lt;$D$2,AX335/AW335&gt;=3),"Very serious", AND(AY335&gt;$D$1*-1,AY335&lt;$D$1,OR(AZ335&lt;=$D$2*-1,BA335&gt;=$D$2),AX335/AW335&gt;=3),"Very serious"),""))</f>
        <v/>
      </c>
      <c r="BF335" s="107" t="str">
        <f t="shared" si="11"/>
        <v/>
      </c>
      <c r="BG335" s="94" t="str">
        <f t="shared" si="46"/>
        <v/>
      </c>
      <c r="BH335" s="64" t="str">
        <f t="shared" si="12"/>
        <v>#N/A</v>
      </c>
      <c r="BI335" s="64" t="str">
        <f t="shared" si="13"/>
        <v/>
      </c>
      <c r="BJ335" s="123" t="str">
        <f t="shared" si="14"/>
        <v>#N/A</v>
      </c>
      <c r="BK335" s="64" t="str">
        <f t="shared" si="50"/>
        <v>YES</v>
      </c>
      <c r="BL335" s="64" t="str">
        <f t="shared" si="16"/>
        <v>YES</v>
      </c>
      <c r="BM335" s="64" t="str">
        <f t="shared" si="17"/>
        <v>YES</v>
      </c>
      <c r="BN335" s="124" t="str">
        <f t="shared" si="18"/>
        <v/>
      </c>
      <c r="BO335" s="91" t="str">
        <f t="shared" si="19"/>
        <v/>
      </c>
      <c r="BP335" s="91" t="str">
        <f t="shared" si="20"/>
        <v>#N/A</v>
      </c>
      <c r="BQ335" s="91" t="str">
        <f t="shared" si="21"/>
        <v/>
      </c>
      <c r="BR335" s="93" t="str">
        <f t="shared" si="22"/>
        <v/>
      </c>
      <c r="BS335" s="90" t="str">
        <f t="shared" si="23"/>
        <v/>
      </c>
      <c r="BT335" s="93" t="str">
        <f t="shared" si="24"/>
        <v>NA</v>
      </c>
      <c r="BU335" s="125" t="str">
        <f t="shared" si="25"/>
        <v>#N/A</v>
      </c>
      <c r="BV335" s="93" t="str">
        <f t="shared" si="26"/>
        <v/>
      </c>
      <c r="BW335" s="93" t="str">
        <f t="shared" si="27"/>
        <v/>
      </c>
      <c r="BX335" s="93" t="str">
        <f t="shared" si="28"/>
        <v>NA</v>
      </c>
      <c r="BY335" s="95" t="str">
        <f t="shared" si="29"/>
        <v>#N/A</v>
      </c>
      <c r="BZ335" s="93" t="str">
        <f t="shared" si="30"/>
        <v/>
      </c>
      <c r="CA335" s="93" t="str">
        <f t="shared" si="31"/>
        <v/>
      </c>
      <c r="CB335" s="93" t="str">
        <f t="shared" si="32"/>
        <v>NA</v>
      </c>
      <c r="CC335" s="96" t="str">
        <f t="shared" si="33"/>
        <v>#N/A</v>
      </c>
      <c r="CD335" s="93" t="str">
        <f t="shared" si="34"/>
        <v/>
      </c>
      <c r="CE335" s="93" t="str">
        <f t="shared" si="35"/>
        <v/>
      </c>
      <c r="CF335" s="93" t="str">
        <f t="shared" si="36"/>
        <v>NA</v>
      </c>
      <c r="CG335" s="97" t="str">
        <f t="shared" si="37"/>
        <v>#N/A</v>
      </c>
      <c r="CH335" s="98" t="str">
        <f t="shared" si="38"/>
        <v>#N/A</v>
      </c>
      <c r="CI335" s="99" t="str">
        <f t="shared" si="39"/>
        <v>#N/A</v>
      </c>
      <c r="CJ335" s="126" t="str">
        <f t="shared" si="40"/>
        <v>ERROR: check cell</v>
      </c>
      <c r="CK335" s="126"/>
      <c r="CL335" s="127" t="str">
        <f t="shared" si="41"/>
        <v>#DIV/0!</v>
      </c>
      <c r="CM335" s="128" t="str">
        <f t="shared" si="42"/>
        <v>#DIV/0!</v>
      </c>
      <c r="CN335" s="128">
        <f t="shared" si="43"/>
        <v>4</v>
      </c>
      <c r="CO335" s="129">
        <f t="shared" si="44"/>
        <v>4</v>
      </c>
      <c r="CP335" s="129" t="str">
        <f>IFS(C335=Preferences!B$13,B335,B335=Preferences!B$13,C335)</f>
        <v>#N/A</v>
      </c>
    </row>
    <row r="336" ht="13.5" customHeight="1">
      <c r="A336" s="63" t="str">
        <f t="shared" si="45"/>
        <v/>
      </c>
      <c r="B336" s="64"/>
      <c r="C336" s="64"/>
      <c r="D336" s="64"/>
      <c r="E336" s="65"/>
      <c r="F336" s="65"/>
      <c r="G336" s="65"/>
      <c r="H336" s="66"/>
      <c r="I336" s="66"/>
      <c r="J336" s="67"/>
      <c r="K336" s="68"/>
      <c r="L336" s="104"/>
      <c r="M336" s="104"/>
      <c r="N336" s="104"/>
      <c r="O336" s="104"/>
      <c r="P336" s="107" t="str">
        <f t="shared" si="1"/>
        <v/>
      </c>
      <c r="Q336" s="108" t="str">
        <f>IFERROR(IF(AND(Preferences!B$3="Manual",OR(AX336/AW336&gt;G336/F336,BD336="Serious",BD336="Very serious")),"Assess imprecision",IFS(ISBLANK(E336),"",AND(Preferences!B$3="Automatic", G336/F336&gt;=30),"Extremely serious",AND(H336&lt;=$D$1*-1,J336&lt;0,G336/F336&lt;3),"Not serious",AND(H336&lt;=$D$1*-1,J336&lt;0,G336/F336&gt;=3),"Very serious",AND(H336&gt;=$D$1,I336&gt;0,G336/F336&lt;3),"Not serious",AND(H336&gt;=$D$1,I336&gt;0,G336/F336&gt;=3),"Very serious",AND(H336&lt;=$D$1*-1,J336&gt;0,I336&gt;$D$2*-1,G336/F336&lt;3),"Serious", AND(H336&lt;=$D$1*-1,J336&gt;0,I336&lt;$D$2*-1,G336/F336&lt;3),"Very serious", AND(H336&gt;=$D$1,I336&lt;0,J336&lt;$D$2,G336/F336&lt;3),"Serious",AND(H336&gt;=$D$1,I336&lt;0,J336&gt;$D$2,G336/F336&lt;3),"Very serious", AND(H336&lt;=$D$1*-1,J336&gt;0,I336&gt;$D$2*-1,G336/F336&gt;=3),"Very serious", AND(H336&lt;=$D$1*-1,J336&gt;0,I336&lt;$D$2*-1,G336/F336&gt;=3),"Very serious", AND(H336&gt;=$D$1,I336&lt;0,J336&lt;$D$2,G336/F336&gt;=3),"Very serious", AND(H336&gt;=$D$1,I336&lt;0,J336&gt;$D$2,G336/F336&gt;=3),"Very serious", AND(H336&gt;$D$1*-1,H336&lt;$D$1,I336&gt;$D$1*-1,J336&lt;$D$1,G336/F336&lt;3),"Not serious", AND(H336&gt;$D$1*-1,H336&lt;$D$1,OR(I336&lt;=$D$1*-1,J336&gt;=$D$1),I336&gt;$D$2*-1,J336&lt;$D$2,G336/F336&lt;3),"Serious", AND(H336&gt;$D$1*-1,H336&lt;$D$1,OR(I336&lt;=$D$2*-1,J336&gt;=$D$2),G336/F336&lt;3),"Very serious", AND(H336&gt;$D$1*-1,H336&lt;$D$1,I336&gt;$D$1*-1,J336&lt;$D$1,G336/F336&gt;=3),"Very serious", AND(H336&gt;$D$1*-1,H336&lt;$D$1,OR(I336&lt;=$D$1*-1,J336&gt;=$D$1),I336&gt;$D$2*-1,J336&lt;$D$2,G336/F336&gt;=3),"Very serious", AND(H336&gt;$D$1*-1,H336&lt;$D$1,OR(I336&lt;=$D$2*-1,J336&gt;=$D$2),G336/F336&gt;=3),"Very serious")),"")</f>
        <v/>
      </c>
      <c r="R336" s="109" t="str">
        <f t="shared" si="47"/>
        <v/>
      </c>
      <c r="S336" s="64"/>
      <c r="T336" s="72"/>
      <c r="U336" s="72"/>
      <c r="V336" s="72"/>
      <c r="W336" s="73"/>
      <c r="X336" s="73"/>
      <c r="Y336" s="74"/>
      <c r="Z336" s="113" t="str">
        <f t="array" ref="Z336">INDEX($A$1:$C$500, MATCH(1,($B:$B=$B336)*($C:$C=$AB336),0),1)</f>
        <v/>
      </c>
      <c r="AA336" s="113" t="str">
        <f t="array" ref="AA336">INDEX($A$1:$C$500, MATCH(1,($B:$B=$AB336)*($C:$C=$B336),0),1)</f>
        <v/>
      </c>
      <c r="AB336" s="111"/>
      <c r="AC336" s="114" t="str">
        <f t="shared" si="2"/>
        <v/>
      </c>
      <c r="AD336" s="115" t="str">
        <f t="shared" si="3"/>
        <v/>
      </c>
      <c r="AE336" s="116" t="str">
        <f t="array" ref="AE336">INDEX($A$1:$C$500, MATCH(1,($B:$B=$AB336)*($C:$C=$AG336),0),1)</f>
        <v/>
      </c>
      <c r="AF336" s="116" t="str">
        <f t="array" ref="AF336">INDEX($A$1:$C$500, MATCH(1,($B:$B=$AG336)*($C:$C=$AB336),0),1)</f>
        <v/>
      </c>
      <c r="AG336" s="72"/>
      <c r="AH336" s="114" t="str">
        <f t="shared" si="4"/>
        <v/>
      </c>
      <c r="AI336" s="115" t="str">
        <f t="shared" si="5"/>
        <v/>
      </c>
      <c r="AJ336" s="116" t="str">
        <f t="array" ref="AJ336">INDEX($A$1:$C$500, MATCH(1,($B:$B=$C336)*($C:$C=$AG336),0),1)</f>
        <v/>
      </c>
      <c r="AK336" s="116" t="str">
        <f t="array" ref="AK336">INDEX($A$1:$C$500, MATCH(1,($B:$B=$AG336)*($C:$C=$C336),0),1)</f>
        <v/>
      </c>
      <c r="AL336" s="116" t="str">
        <f t="array" ref="AL336">INDEX($A$1:$C$500, MATCH(1,($B:$B=$C336)*($C:$C=$AB336),0),1)</f>
        <v/>
      </c>
      <c r="AM336" s="116" t="str">
        <f t="array" ref="AM336">INDEX($A$1:$C$500, MATCH(1,($B:$B=$AB336)*($C:$C=$C336),0),1)</f>
        <v/>
      </c>
      <c r="AN336" s="114" t="str">
        <f t="array" ref="AN336">IFS(ISNUMBER(AJ336),AJ336,ISNUMBER(AK336),AK336,ISNUMBER(AL336),AL336,ISNUMBER(AM336),AM336)</f>
        <v>#N/A</v>
      </c>
      <c r="AO336" s="115" t="str">
        <f t="shared" si="6"/>
        <v/>
      </c>
      <c r="AP336" s="115" t="str">
        <f t="shared" si="7"/>
        <v/>
      </c>
      <c r="AQ336" s="111"/>
      <c r="AR336" s="109" t="str">
        <f t="shared" si="8"/>
        <v/>
      </c>
      <c r="AS336" s="72" t="str">
        <f>IFERROR(IF(AND(Preferences!B$3="Manual",OR(AX336/AW336&gt;V336/U336,BD336="Serious",BD336="Very serious")),"Assess imprecision",IFERROR(IFS(AND(Preferences!B$3="Automatic",V336/U336&gt;=30),"Extremely serious",AND(W336&lt;=$D$1*-1,Y336&lt;0,V336/U336&lt;3),"Not Serious",AND(W336&lt;=$D$1*-1,Y336&lt;0,V336/U336&gt;=3),"Very serious",AND(W336&gt;=$D$1,X336&gt;0,V336/U336&lt;3),"Not Serious",AND(W336&gt;=$D$1,X336&gt;0,V336/U336&gt;=3),"Very serious",AND(W336&lt;=$D$1*-1,Y336&gt;0,X336&gt;$D$2*-1,V336/U336&lt;3),"Serious", AND(W336&lt;=$D$1*-1,Y336&gt;0,X336&lt;$D$2*-1,V336/U336&lt;3),"Very serious", AND(W336&gt;=$D$1,X336&lt;0,Y336&lt;$D$2,V336/U336&lt;3),"Serious",AND(W336&gt;=$D$1,X336&lt;0,Y336&gt;$D$2,V336/U336&lt;3),"Very serious", AND(W336&lt;=$D$1*-1,Y336&gt;0,X336&gt;$D$2*-1,V336/U336&gt;=3),"Very serious", AND(W336&lt;=$D$1*-1,Y336&gt;0,X336&lt;$D$2*-1,V336/U336&gt;=3),"Very serious", AND(W336&gt;=$D$1,X336&lt;0,Y336&lt;$D$2,V336/U336&gt;=3),"Very serious", AND(W336&gt;=$D$1,X336&lt;0,Y336&gt;$D$2,V336/U336&gt;=3),"Very serious", AND(W336&gt;$D$1*-1,W336&lt;$D$1,X336&gt;$D$1*-1,Y336&lt;$D$1,V336/U336&lt;3),"Not Serious", AND(W336&gt;$D$1*-1,W336&lt;$D$1,OR(X336&lt;=$D$1*-1,Y336&gt;=$D$1),X336&gt;$D$2*-1,Y336&lt;$D$2,V336/U336&lt;3),"Serious", AND(W336&gt;$D$1*-1,W336&lt;$D$1,OR(X336&lt;=$D$2*-1,Y336&gt;=$D$2),V336/U336&lt;3),"Very serious", AND(W336&gt;$D$1*-1,W336&lt;$D$1,X336&gt;$D$1*-1,Y336&lt;$D$1,V336/U336&gt;=3),"Very serious", AND(W336&gt;$D$1*-1,W336&lt;$D$1,OR(X336&lt;=$D$1*-1,Y336&gt;=$D$1),X336&gt;$D$2*-1,Y336&lt;$D$2,V336/U336&gt;=3),"Very serious", AND(W336&gt;$D$1*-1,W336&lt;$D$1,OR(X336&lt;=$D$2*-1,Y336&gt;=$D$2),V336/U336&gt;=3),"Very serious"),"")),"")</f>
        <v/>
      </c>
      <c r="AT336" s="109" t="str">
        <f t="shared" si="9"/>
        <v/>
      </c>
      <c r="AU336" s="64"/>
      <c r="AV336" s="83"/>
      <c r="AW336" s="83"/>
      <c r="AX336" s="83"/>
      <c r="AY336" s="83"/>
      <c r="AZ336" s="83"/>
      <c r="BA336" s="85"/>
      <c r="BB336" s="86" t="str">
        <f>IF(Preferences!B$9="Manual","",IFS(ISBLANK(B336),"",AND(ISNUMBER(E336)=TRUE,ISNUMBER(T336)=FALSE),"Direct", AND(ISNUMBER(E336)=FALSE,ISNUMBER(T336)=TRUE),"Indirect", CN336=4,"Direct",AND(CL336=FALSE, CM336=TRUE,CN336-CO336&gt;-1),"Direct", AND(CL336=FALSE,CM336=TRUE, CN336-CO336&lt;0),"Check algorithm in appendix 2", AND(CL336=TRUE, CM336=FALSE,CN336-CO336&gt;0),"Check algorithm in appendix 2", AND(CL336=TRUE, CM336=FALSE,CN336-CO336=0),"Indirect", AND(CL336=TRUE, CM336=FALSE,CN336-CO336&lt;0),"Indirect", AND(CL336=FALSE,CM336=FALSE,CN336-CO336&gt;-1),"Direct", AND(CL336=FALSE,CM336=FALSE,CN336-CO336&lt;0),"Check algorithm in appendix 2", AND(CL336=TRUE,CM336=TRUE,CN336-CO336&gt;-1),"Direct", AND(CL336=TRUE,CM336=TRUE,CN336-CO336&lt;0),"Check algorithm in appendix 2"))</f>
        <v/>
      </c>
      <c r="BC336" s="120" t="str">
        <f t="shared" si="10"/>
        <v/>
      </c>
      <c r="BD336" s="140"/>
      <c r="BE336" s="122" t="str">
        <f>IF(Preferences!B$3="Manual","", IFERROR(IFS(AND(Preferences!B$3="Automatic",AX336/AW336&gt;=30),"Extremely serious",AND(AY336&lt;=$D$1*-1,BA336&lt;0,AX336/AW336&lt;3),"Not Serious",AND(AY336&lt;=$D$1*-1,BA336&lt;0,AX336/AW336&gt;=3),"Very serious",AND(AY336&gt;=$D$1,AZ336&gt;0,AX336/AW336&lt;3),"Not Serious",AND(AY336&gt;=$D$1,AZ336&gt;0,AX336/AW336&gt;=3),"Very serious",AND(AY336&lt;=$D$1*-1,BA336&gt;0,AZ336&gt;$D$2*-1,AX336/AW336&lt;3),"Serious", AND(AY336&lt;=$D$1*-1,BA336&gt;0,AZ336&lt;$D$2*-1,AX336/AW336&lt;3),"Very serious", AND(AY336&gt;=$D$1,AZ336&lt;0,BA336&lt;$D$2,AX336/AW336&lt;3),"Serious",AND(AY336&gt;=$D$1,AZ336&lt;0,BA336&gt;$D$2,AX336/AW336&lt;3),"Very serious", AND(AY336&lt;=$D$1*-1,BA336&gt;0,AZ336&gt;$D$2*-1,AX336/AW336&gt;=3),"Very serious", AND(AY336&lt;=$D$1*-1,BA336&gt;0,AZ336&lt;$D$2*-1,AX336/AW336&gt;=3),"Very serious", AND(AY336&gt;=$D$1,AZ336&lt;0,BA336&lt;$D$2,AX336/AW336&gt;=3),"Very serious", AND(AY336&gt;=$D$1,AZ336&lt;0,BA336&gt;$D$2,AX336/AW336&gt;=3),"Very serious", AND(AY336&gt;$D$1*-1,AY336&lt;$D$1,AZ336&gt;$D$1*-1,BA336&lt;$D$1,AX336/AW336&lt;3),"Not Serious", AND(AY336&gt;$D$1*-1,AY336&lt;$D$1,OR(AZ336&lt;=$D$1*-1,BA336&gt;=$D$1),AZ336&gt;$D$2*-1,BA336&lt;$D$2,AX336/AW336&lt;3),"Serious", AND(AY336&gt;$D$1*-1,AY336&lt;$D$1,OR(AZ336&lt;=$D$2*-1,BA336&gt;=$D$2),AX336/AW336&lt;3),"Very serious", AND(AY336&gt;$D$1*-1,AY336&lt;$D$1,AZ336&gt;$D$1*-1,BA336&lt;$D$1,AX336/AW336&gt;=3),"Very serious", AND(AY336&gt;$D$1*-1,AY336&lt;$D$1,OR(AZ336&lt;=$D$1*-1,BA336&gt;=$D$1),AZ336&gt;$D$2*-1,BA336&lt;$D$2,AX336/AW336&gt;=3),"Very serious", AND(AY336&gt;$D$1*-1,AY336&lt;$D$1,OR(AZ336&lt;=$D$2*-1,BA336&gt;=$D$2),AX336/AW336&gt;=3),"Very serious"),""))</f>
        <v/>
      </c>
      <c r="BF336" s="107" t="str">
        <f t="shared" si="11"/>
        <v/>
      </c>
      <c r="BG336" s="94" t="str">
        <f t="shared" si="46"/>
        <v/>
      </c>
      <c r="BH336" s="64" t="str">
        <f t="shared" si="12"/>
        <v>#N/A</v>
      </c>
      <c r="BI336" s="64" t="str">
        <f t="shared" si="13"/>
        <v/>
      </c>
      <c r="BJ336" s="123" t="str">
        <f t="shared" si="14"/>
        <v>#N/A</v>
      </c>
      <c r="BK336" s="64" t="str">
        <f t="shared" si="50"/>
        <v>YES</v>
      </c>
      <c r="BL336" s="64" t="str">
        <f t="shared" si="16"/>
        <v>YES</v>
      </c>
      <c r="BM336" s="64" t="str">
        <f t="shared" si="17"/>
        <v>YES</v>
      </c>
      <c r="BN336" s="124" t="str">
        <f t="shared" si="18"/>
        <v/>
      </c>
      <c r="BO336" s="91" t="str">
        <f t="shared" si="19"/>
        <v/>
      </c>
      <c r="BP336" s="91" t="str">
        <f t="shared" si="20"/>
        <v>#N/A</v>
      </c>
      <c r="BQ336" s="91" t="str">
        <f t="shared" si="21"/>
        <v/>
      </c>
      <c r="BR336" s="93" t="str">
        <f t="shared" si="22"/>
        <v/>
      </c>
      <c r="BS336" s="90" t="str">
        <f t="shared" si="23"/>
        <v/>
      </c>
      <c r="BT336" s="93" t="str">
        <f t="shared" si="24"/>
        <v>NA</v>
      </c>
      <c r="BU336" s="125" t="str">
        <f t="shared" si="25"/>
        <v>#N/A</v>
      </c>
      <c r="BV336" s="93" t="str">
        <f t="shared" si="26"/>
        <v/>
      </c>
      <c r="BW336" s="93" t="str">
        <f t="shared" si="27"/>
        <v/>
      </c>
      <c r="BX336" s="93" t="str">
        <f t="shared" si="28"/>
        <v>NA</v>
      </c>
      <c r="BY336" s="95" t="str">
        <f t="shared" si="29"/>
        <v>#N/A</v>
      </c>
      <c r="BZ336" s="93" t="str">
        <f t="shared" si="30"/>
        <v/>
      </c>
      <c r="CA336" s="93" t="str">
        <f t="shared" si="31"/>
        <v/>
      </c>
      <c r="CB336" s="93" t="str">
        <f t="shared" si="32"/>
        <v>NA</v>
      </c>
      <c r="CC336" s="96" t="str">
        <f t="shared" si="33"/>
        <v>#N/A</v>
      </c>
      <c r="CD336" s="93" t="str">
        <f t="shared" si="34"/>
        <v/>
      </c>
      <c r="CE336" s="93" t="str">
        <f t="shared" si="35"/>
        <v/>
      </c>
      <c r="CF336" s="93" t="str">
        <f t="shared" si="36"/>
        <v>NA</v>
      </c>
      <c r="CG336" s="97" t="str">
        <f t="shared" si="37"/>
        <v>#N/A</v>
      </c>
      <c r="CH336" s="98" t="str">
        <f t="shared" si="38"/>
        <v>#N/A</v>
      </c>
      <c r="CI336" s="99" t="str">
        <f t="shared" si="39"/>
        <v>#N/A</v>
      </c>
      <c r="CJ336" s="126" t="str">
        <f t="shared" si="40"/>
        <v>ERROR: check cell</v>
      </c>
      <c r="CK336" s="126"/>
      <c r="CL336" s="127" t="str">
        <f t="shared" si="41"/>
        <v>#DIV/0!</v>
      </c>
      <c r="CM336" s="128" t="str">
        <f t="shared" si="42"/>
        <v>#DIV/0!</v>
      </c>
      <c r="CN336" s="128">
        <f t="shared" si="43"/>
        <v>4</v>
      </c>
      <c r="CO336" s="129">
        <f t="shared" si="44"/>
        <v>4</v>
      </c>
      <c r="CP336" s="129" t="str">
        <f>IFS(C336=Preferences!B$13,B336,B336=Preferences!B$13,C336)</f>
        <v>#N/A</v>
      </c>
    </row>
    <row r="337" ht="13.5" customHeight="1">
      <c r="A337" s="63" t="str">
        <f t="shared" si="45"/>
        <v/>
      </c>
      <c r="B337" s="64"/>
      <c r="C337" s="64"/>
      <c r="D337" s="64"/>
      <c r="E337" s="65"/>
      <c r="F337" s="65"/>
      <c r="G337" s="65"/>
      <c r="H337" s="66"/>
      <c r="I337" s="66"/>
      <c r="J337" s="67"/>
      <c r="K337" s="68"/>
      <c r="L337" s="104"/>
      <c r="M337" s="104"/>
      <c r="N337" s="104"/>
      <c r="O337" s="104"/>
      <c r="P337" s="107" t="str">
        <f t="shared" si="1"/>
        <v/>
      </c>
      <c r="Q337" s="108" t="str">
        <f>IFERROR(IF(AND(Preferences!B$3="Manual",OR(AX337/AW337&gt;G337/F337,BD337="Serious",BD337="Very serious")),"Assess imprecision",IFS(ISBLANK(E337),"",AND(Preferences!B$3="Automatic", G337/F337&gt;=30),"Extremely serious",AND(H337&lt;=$D$1*-1,J337&lt;0,G337/F337&lt;3),"Not serious",AND(H337&lt;=$D$1*-1,J337&lt;0,G337/F337&gt;=3),"Very serious",AND(H337&gt;=$D$1,I337&gt;0,G337/F337&lt;3),"Not serious",AND(H337&gt;=$D$1,I337&gt;0,G337/F337&gt;=3),"Very serious",AND(H337&lt;=$D$1*-1,J337&gt;0,I337&gt;$D$2*-1,G337/F337&lt;3),"Serious", AND(H337&lt;=$D$1*-1,J337&gt;0,I337&lt;$D$2*-1,G337/F337&lt;3),"Very serious", AND(H337&gt;=$D$1,I337&lt;0,J337&lt;$D$2,G337/F337&lt;3),"Serious",AND(H337&gt;=$D$1,I337&lt;0,J337&gt;$D$2,G337/F337&lt;3),"Very serious", AND(H337&lt;=$D$1*-1,J337&gt;0,I337&gt;$D$2*-1,G337/F337&gt;=3),"Very serious", AND(H337&lt;=$D$1*-1,J337&gt;0,I337&lt;$D$2*-1,G337/F337&gt;=3),"Very serious", AND(H337&gt;=$D$1,I337&lt;0,J337&lt;$D$2,G337/F337&gt;=3),"Very serious", AND(H337&gt;=$D$1,I337&lt;0,J337&gt;$D$2,G337/F337&gt;=3),"Very serious", AND(H337&gt;$D$1*-1,H337&lt;$D$1,I337&gt;$D$1*-1,J337&lt;$D$1,G337/F337&lt;3),"Not serious", AND(H337&gt;$D$1*-1,H337&lt;$D$1,OR(I337&lt;=$D$1*-1,J337&gt;=$D$1),I337&gt;$D$2*-1,J337&lt;$D$2,G337/F337&lt;3),"Serious", AND(H337&gt;$D$1*-1,H337&lt;$D$1,OR(I337&lt;=$D$2*-1,J337&gt;=$D$2),G337/F337&lt;3),"Very serious", AND(H337&gt;$D$1*-1,H337&lt;$D$1,I337&gt;$D$1*-1,J337&lt;$D$1,G337/F337&gt;=3),"Very serious", AND(H337&gt;$D$1*-1,H337&lt;$D$1,OR(I337&lt;=$D$1*-1,J337&gt;=$D$1),I337&gt;$D$2*-1,J337&lt;$D$2,G337/F337&gt;=3),"Very serious", AND(H337&gt;$D$1*-1,H337&lt;$D$1,OR(I337&lt;=$D$2*-1,J337&gt;=$D$2),G337/F337&gt;=3),"Very serious")),"")</f>
        <v/>
      </c>
      <c r="R337" s="109" t="str">
        <f t="shared" si="47"/>
        <v/>
      </c>
      <c r="S337" s="64"/>
      <c r="T337" s="72"/>
      <c r="U337" s="72"/>
      <c r="V337" s="72"/>
      <c r="W337" s="73"/>
      <c r="X337" s="73"/>
      <c r="Y337" s="74"/>
      <c r="Z337" s="113" t="str">
        <f t="array" ref="Z337">INDEX($A$1:$C$500, MATCH(1,($B:$B=$B337)*($C:$C=$AB337),0),1)</f>
        <v/>
      </c>
      <c r="AA337" s="113" t="str">
        <f t="array" ref="AA337">INDEX($A$1:$C$500, MATCH(1,($B:$B=$AB337)*($C:$C=$B337),0),1)</f>
        <v/>
      </c>
      <c r="AB337" s="111"/>
      <c r="AC337" s="114" t="str">
        <f t="shared" si="2"/>
        <v/>
      </c>
      <c r="AD337" s="115" t="str">
        <f t="shared" si="3"/>
        <v/>
      </c>
      <c r="AE337" s="116" t="str">
        <f t="array" ref="AE337">INDEX($A$1:$C$500, MATCH(1,($B:$B=$AB337)*($C:$C=$AG337),0),1)</f>
        <v/>
      </c>
      <c r="AF337" s="116" t="str">
        <f t="array" ref="AF337">INDEX($A$1:$C$500, MATCH(1,($B:$B=$AG337)*($C:$C=$AB337),0),1)</f>
        <v/>
      </c>
      <c r="AG337" s="72"/>
      <c r="AH337" s="114" t="str">
        <f t="shared" si="4"/>
        <v/>
      </c>
      <c r="AI337" s="115" t="str">
        <f t="shared" si="5"/>
        <v/>
      </c>
      <c r="AJ337" s="116" t="str">
        <f t="array" ref="AJ337">INDEX($A$1:$C$500, MATCH(1,($B:$B=$C337)*($C:$C=$AG337),0),1)</f>
        <v/>
      </c>
      <c r="AK337" s="116" t="str">
        <f t="array" ref="AK337">INDEX($A$1:$C$500, MATCH(1,($B:$B=$AG337)*($C:$C=$C337),0),1)</f>
        <v/>
      </c>
      <c r="AL337" s="116" t="str">
        <f t="array" ref="AL337">INDEX($A$1:$C$500, MATCH(1,($B:$B=$C337)*($C:$C=$AB337),0),1)</f>
        <v/>
      </c>
      <c r="AM337" s="116" t="str">
        <f t="array" ref="AM337">INDEX($A$1:$C$500, MATCH(1,($B:$B=$AB337)*($C:$C=$C337),0),1)</f>
        <v/>
      </c>
      <c r="AN337" s="114" t="str">
        <f t="array" ref="AN337">IFS(ISNUMBER(AJ337),AJ337,ISNUMBER(AK337),AK337,ISNUMBER(AL337),AL337,ISNUMBER(AM337),AM337)</f>
        <v>#N/A</v>
      </c>
      <c r="AO337" s="115" t="str">
        <f t="shared" si="6"/>
        <v/>
      </c>
      <c r="AP337" s="115" t="str">
        <f t="shared" si="7"/>
        <v/>
      </c>
      <c r="AQ337" s="111"/>
      <c r="AR337" s="109" t="str">
        <f t="shared" si="8"/>
        <v/>
      </c>
      <c r="AS337" s="72" t="str">
        <f>IFERROR(IF(AND(Preferences!B$3="Manual",OR(AX337/AW337&gt;V337/U337,BD337="Serious",BD337="Very serious")),"Assess imprecision",IFERROR(IFS(AND(Preferences!B$3="Automatic",V337/U337&gt;=30),"Extremely serious",AND(W337&lt;=$D$1*-1,Y337&lt;0,V337/U337&lt;3),"Not Serious",AND(W337&lt;=$D$1*-1,Y337&lt;0,V337/U337&gt;=3),"Very serious",AND(W337&gt;=$D$1,X337&gt;0,V337/U337&lt;3),"Not Serious",AND(W337&gt;=$D$1,X337&gt;0,V337/U337&gt;=3),"Very serious",AND(W337&lt;=$D$1*-1,Y337&gt;0,X337&gt;$D$2*-1,V337/U337&lt;3),"Serious", AND(W337&lt;=$D$1*-1,Y337&gt;0,X337&lt;$D$2*-1,V337/U337&lt;3),"Very serious", AND(W337&gt;=$D$1,X337&lt;0,Y337&lt;$D$2,V337/U337&lt;3),"Serious",AND(W337&gt;=$D$1,X337&lt;0,Y337&gt;$D$2,V337/U337&lt;3),"Very serious", AND(W337&lt;=$D$1*-1,Y337&gt;0,X337&gt;$D$2*-1,V337/U337&gt;=3),"Very serious", AND(W337&lt;=$D$1*-1,Y337&gt;0,X337&lt;$D$2*-1,V337/U337&gt;=3),"Very serious", AND(W337&gt;=$D$1,X337&lt;0,Y337&lt;$D$2,V337/U337&gt;=3),"Very serious", AND(W337&gt;=$D$1,X337&lt;0,Y337&gt;$D$2,V337/U337&gt;=3),"Very serious", AND(W337&gt;$D$1*-1,W337&lt;$D$1,X337&gt;$D$1*-1,Y337&lt;$D$1,V337/U337&lt;3),"Not Serious", AND(W337&gt;$D$1*-1,W337&lt;$D$1,OR(X337&lt;=$D$1*-1,Y337&gt;=$D$1),X337&gt;$D$2*-1,Y337&lt;$D$2,V337/U337&lt;3),"Serious", AND(W337&gt;$D$1*-1,W337&lt;$D$1,OR(X337&lt;=$D$2*-1,Y337&gt;=$D$2),V337/U337&lt;3),"Very serious", AND(W337&gt;$D$1*-1,W337&lt;$D$1,X337&gt;$D$1*-1,Y337&lt;$D$1,V337/U337&gt;=3),"Very serious", AND(W337&gt;$D$1*-1,W337&lt;$D$1,OR(X337&lt;=$D$1*-1,Y337&gt;=$D$1),X337&gt;$D$2*-1,Y337&lt;$D$2,V337/U337&gt;=3),"Very serious", AND(W337&gt;$D$1*-1,W337&lt;$D$1,OR(X337&lt;=$D$2*-1,Y337&gt;=$D$2),V337/U337&gt;=3),"Very serious"),"")),"")</f>
        <v/>
      </c>
      <c r="AT337" s="109" t="str">
        <f t="shared" si="9"/>
        <v/>
      </c>
      <c r="AU337" s="64"/>
      <c r="AV337" s="83"/>
      <c r="AW337" s="83"/>
      <c r="AX337" s="83"/>
      <c r="AY337" s="83"/>
      <c r="AZ337" s="83"/>
      <c r="BA337" s="85"/>
      <c r="BB337" s="86" t="str">
        <f>IF(Preferences!B$9="Manual","",IFS(ISBLANK(B337),"",AND(ISNUMBER(E337)=TRUE,ISNUMBER(T337)=FALSE),"Direct", AND(ISNUMBER(E337)=FALSE,ISNUMBER(T337)=TRUE),"Indirect", CN337=4,"Direct",AND(CL337=FALSE, CM337=TRUE,CN337-CO337&gt;-1),"Direct", AND(CL337=FALSE,CM337=TRUE, CN337-CO337&lt;0),"Check algorithm in appendix 2", AND(CL337=TRUE, CM337=FALSE,CN337-CO337&gt;0),"Check algorithm in appendix 2", AND(CL337=TRUE, CM337=FALSE,CN337-CO337=0),"Indirect", AND(CL337=TRUE, CM337=FALSE,CN337-CO337&lt;0),"Indirect", AND(CL337=FALSE,CM337=FALSE,CN337-CO337&gt;-1),"Direct", AND(CL337=FALSE,CM337=FALSE,CN337-CO337&lt;0),"Check algorithm in appendix 2", AND(CL337=TRUE,CM337=TRUE,CN337-CO337&gt;-1),"Direct", AND(CL337=TRUE,CM337=TRUE,CN337-CO337&lt;0),"Check algorithm in appendix 2"))</f>
        <v/>
      </c>
      <c r="BC337" s="120" t="str">
        <f t="shared" si="10"/>
        <v/>
      </c>
      <c r="BD337" s="140"/>
      <c r="BE337" s="122" t="str">
        <f>IF(Preferences!B$3="Manual","", IFERROR(IFS(AND(Preferences!B$3="Automatic",AX337/AW337&gt;=30),"Extremely serious",AND(AY337&lt;=$D$1*-1,BA337&lt;0,AX337/AW337&lt;3),"Not Serious",AND(AY337&lt;=$D$1*-1,BA337&lt;0,AX337/AW337&gt;=3),"Very serious",AND(AY337&gt;=$D$1,AZ337&gt;0,AX337/AW337&lt;3),"Not Serious",AND(AY337&gt;=$D$1,AZ337&gt;0,AX337/AW337&gt;=3),"Very serious",AND(AY337&lt;=$D$1*-1,BA337&gt;0,AZ337&gt;$D$2*-1,AX337/AW337&lt;3),"Serious", AND(AY337&lt;=$D$1*-1,BA337&gt;0,AZ337&lt;$D$2*-1,AX337/AW337&lt;3),"Very serious", AND(AY337&gt;=$D$1,AZ337&lt;0,BA337&lt;$D$2,AX337/AW337&lt;3),"Serious",AND(AY337&gt;=$D$1,AZ337&lt;0,BA337&gt;$D$2,AX337/AW337&lt;3),"Very serious", AND(AY337&lt;=$D$1*-1,BA337&gt;0,AZ337&gt;$D$2*-1,AX337/AW337&gt;=3),"Very serious", AND(AY337&lt;=$D$1*-1,BA337&gt;0,AZ337&lt;$D$2*-1,AX337/AW337&gt;=3),"Very serious", AND(AY337&gt;=$D$1,AZ337&lt;0,BA337&lt;$D$2,AX337/AW337&gt;=3),"Very serious", AND(AY337&gt;=$D$1,AZ337&lt;0,BA337&gt;$D$2,AX337/AW337&gt;=3),"Very serious", AND(AY337&gt;$D$1*-1,AY337&lt;$D$1,AZ337&gt;$D$1*-1,BA337&lt;$D$1,AX337/AW337&lt;3),"Not Serious", AND(AY337&gt;$D$1*-1,AY337&lt;$D$1,OR(AZ337&lt;=$D$1*-1,BA337&gt;=$D$1),AZ337&gt;$D$2*-1,BA337&lt;$D$2,AX337/AW337&lt;3),"Serious", AND(AY337&gt;$D$1*-1,AY337&lt;$D$1,OR(AZ337&lt;=$D$2*-1,BA337&gt;=$D$2),AX337/AW337&lt;3),"Very serious", AND(AY337&gt;$D$1*-1,AY337&lt;$D$1,AZ337&gt;$D$1*-1,BA337&lt;$D$1,AX337/AW337&gt;=3),"Very serious", AND(AY337&gt;$D$1*-1,AY337&lt;$D$1,OR(AZ337&lt;=$D$1*-1,BA337&gt;=$D$1),AZ337&gt;$D$2*-1,BA337&lt;$D$2,AX337/AW337&gt;=3),"Very serious", AND(AY337&gt;$D$1*-1,AY337&lt;$D$1,OR(AZ337&lt;=$D$2*-1,BA337&gt;=$D$2),AX337/AW337&gt;=3),"Very serious"),""))</f>
        <v/>
      </c>
      <c r="BF337" s="107" t="str">
        <f t="shared" si="11"/>
        <v/>
      </c>
      <c r="BG337" s="94" t="str">
        <f t="shared" si="46"/>
        <v/>
      </c>
      <c r="BH337" s="64" t="str">
        <f t="shared" si="12"/>
        <v>#N/A</v>
      </c>
      <c r="BI337" s="64" t="str">
        <f t="shared" si="13"/>
        <v/>
      </c>
      <c r="BJ337" s="123" t="str">
        <f t="shared" si="14"/>
        <v>#N/A</v>
      </c>
      <c r="BK337" s="64" t="str">
        <f t="shared" si="50"/>
        <v>YES</v>
      </c>
      <c r="BL337" s="64" t="str">
        <f t="shared" si="16"/>
        <v>YES</v>
      </c>
      <c r="BM337" s="64" t="str">
        <f t="shared" si="17"/>
        <v>YES</v>
      </c>
      <c r="BN337" s="124" t="str">
        <f t="shared" si="18"/>
        <v/>
      </c>
      <c r="BO337" s="91" t="str">
        <f t="shared" si="19"/>
        <v/>
      </c>
      <c r="BP337" s="91" t="str">
        <f t="shared" si="20"/>
        <v>#N/A</v>
      </c>
      <c r="BQ337" s="91" t="str">
        <f t="shared" si="21"/>
        <v/>
      </c>
      <c r="BR337" s="93" t="str">
        <f t="shared" si="22"/>
        <v/>
      </c>
      <c r="BS337" s="90" t="str">
        <f t="shared" si="23"/>
        <v/>
      </c>
      <c r="BT337" s="93" t="str">
        <f t="shared" si="24"/>
        <v>NA</v>
      </c>
      <c r="BU337" s="125" t="str">
        <f t="shared" si="25"/>
        <v>#N/A</v>
      </c>
      <c r="BV337" s="93" t="str">
        <f t="shared" si="26"/>
        <v/>
      </c>
      <c r="BW337" s="93" t="str">
        <f t="shared" si="27"/>
        <v/>
      </c>
      <c r="BX337" s="93" t="str">
        <f t="shared" si="28"/>
        <v>NA</v>
      </c>
      <c r="BY337" s="95" t="str">
        <f t="shared" si="29"/>
        <v>#N/A</v>
      </c>
      <c r="BZ337" s="93" t="str">
        <f t="shared" si="30"/>
        <v/>
      </c>
      <c r="CA337" s="93" t="str">
        <f t="shared" si="31"/>
        <v/>
      </c>
      <c r="CB337" s="93" t="str">
        <f t="shared" si="32"/>
        <v>NA</v>
      </c>
      <c r="CC337" s="96" t="str">
        <f t="shared" si="33"/>
        <v>#N/A</v>
      </c>
      <c r="CD337" s="93" t="str">
        <f t="shared" si="34"/>
        <v/>
      </c>
      <c r="CE337" s="93" t="str">
        <f t="shared" si="35"/>
        <v/>
      </c>
      <c r="CF337" s="93" t="str">
        <f t="shared" si="36"/>
        <v>NA</v>
      </c>
      <c r="CG337" s="97" t="str">
        <f t="shared" si="37"/>
        <v>#N/A</v>
      </c>
      <c r="CH337" s="98" t="str">
        <f t="shared" si="38"/>
        <v>#N/A</v>
      </c>
      <c r="CI337" s="99" t="str">
        <f t="shared" si="39"/>
        <v>#N/A</v>
      </c>
      <c r="CJ337" s="126" t="str">
        <f t="shared" si="40"/>
        <v>ERROR: check cell</v>
      </c>
      <c r="CK337" s="126"/>
      <c r="CL337" s="127" t="str">
        <f t="shared" si="41"/>
        <v>#DIV/0!</v>
      </c>
      <c r="CM337" s="128" t="str">
        <f t="shared" si="42"/>
        <v>#DIV/0!</v>
      </c>
      <c r="CN337" s="128">
        <f t="shared" si="43"/>
        <v>4</v>
      </c>
      <c r="CO337" s="129">
        <f t="shared" si="44"/>
        <v>4</v>
      </c>
      <c r="CP337" s="129" t="str">
        <f>IFS(C337=Preferences!B$13,B337,B337=Preferences!B$13,C337)</f>
        <v>#N/A</v>
      </c>
    </row>
    <row r="338" ht="13.5" customHeight="1">
      <c r="A338" s="63" t="str">
        <f t="shared" si="45"/>
        <v/>
      </c>
      <c r="B338" s="64"/>
      <c r="C338" s="64"/>
      <c r="D338" s="64"/>
      <c r="E338" s="65"/>
      <c r="F338" s="65"/>
      <c r="G338" s="65"/>
      <c r="H338" s="66"/>
      <c r="I338" s="66"/>
      <c r="J338" s="67"/>
      <c r="K338" s="68"/>
      <c r="L338" s="104"/>
      <c r="M338" s="104"/>
      <c r="N338" s="104"/>
      <c r="O338" s="104"/>
      <c r="P338" s="107" t="str">
        <f t="shared" si="1"/>
        <v/>
      </c>
      <c r="Q338" s="108" t="str">
        <f>IFERROR(IF(AND(Preferences!B$3="Manual",OR(AX338/AW338&gt;G338/F338,BD338="Serious",BD338="Very serious")),"Assess imprecision",IFS(ISBLANK(E338),"",AND(Preferences!B$3="Automatic", G338/F338&gt;=30),"Extremely serious",AND(H338&lt;=$D$1*-1,J338&lt;0,G338/F338&lt;3),"Not serious",AND(H338&lt;=$D$1*-1,J338&lt;0,G338/F338&gt;=3),"Very serious",AND(H338&gt;=$D$1,I338&gt;0,G338/F338&lt;3),"Not serious",AND(H338&gt;=$D$1,I338&gt;0,G338/F338&gt;=3),"Very serious",AND(H338&lt;=$D$1*-1,J338&gt;0,I338&gt;$D$2*-1,G338/F338&lt;3),"Serious", AND(H338&lt;=$D$1*-1,J338&gt;0,I338&lt;$D$2*-1,G338/F338&lt;3),"Very serious", AND(H338&gt;=$D$1,I338&lt;0,J338&lt;$D$2,G338/F338&lt;3),"Serious",AND(H338&gt;=$D$1,I338&lt;0,J338&gt;$D$2,G338/F338&lt;3),"Very serious", AND(H338&lt;=$D$1*-1,J338&gt;0,I338&gt;$D$2*-1,G338/F338&gt;=3),"Very serious", AND(H338&lt;=$D$1*-1,J338&gt;0,I338&lt;$D$2*-1,G338/F338&gt;=3),"Very serious", AND(H338&gt;=$D$1,I338&lt;0,J338&lt;$D$2,G338/F338&gt;=3),"Very serious", AND(H338&gt;=$D$1,I338&lt;0,J338&gt;$D$2,G338/F338&gt;=3),"Very serious", AND(H338&gt;$D$1*-1,H338&lt;$D$1,I338&gt;$D$1*-1,J338&lt;$D$1,G338/F338&lt;3),"Not serious", AND(H338&gt;$D$1*-1,H338&lt;$D$1,OR(I338&lt;=$D$1*-1,J338&gt;=$D$1),I338&gt;$D$2*-1,J338&lt;$D$2,G338/F338&lt;3),"Serious", AND(H338&gt;$D$1*-1,H338&lt;$D$1,OR(I338&lt;=$D$2*-1,J338&gt;=$D$2),G338/F338&lt;3),"Very serious", AND(H338&gt;$D$1*-1,H338&lt;$D$1,I338&gt;$D$1*-1,J338&lt;$D$1,G338/F338&gt;=3),"Very serious", AND(H338&gt;$D$1*-1,H338&lt;$D$1,OR(I338&lt;=$D$1*-1,J338&gt;=$D$1),I338&gt;$D$2*-1,J338&lt;$D$2,G338/F338&gt;=3),"Very serious", AND(H338&gt;$D$1*-1,H338&lt;$D$1,OR(I338&lt;=$D$2*-1,J338&gt;=$D$2),G338/F338&gt;=3),"Very serious")),"")</f>
        <v/>
      </c>
      <c r="R338" s="109" t="str">
        <f t="shared" si="47"/>
        <v/>
      </c>
      <c r="S338" s="64"/>
      <c r="T338" s="72"/>
      <c r="U338" s="72"/>
      <c r="V338" s="72"/>
      <c r="W338" s="73"/>
      <c r="X338" s="73"/>
      <c r="Y338" s="74"/>
      <c r="Z338" s="113" t="str">
        <f t="array" ref="Z338">INDEX($A$1:$C$500, MATCH(1,($B:$B=$B338)*($C:$C=$AB338),0),1)</f>
        <v/>
      </c>
      <c r="AA338" s="113" t="str">
        <f t="array" ref="AA338">INDEX($A$1:$C$500, MATCH(1,($B:$B=$AB338)*($C:$C=$B338),0),1)</f>
        <v/>
      </c>
      <c r="AB338" s="111"/>
      <c r="AC338" s="114" t="str">
        <f t="shared" si="2"/>
        <v/>
      </c>
      <c r="AD338" s="115" t="str">
        <f t="shared" si="3"/>
        <v/>
      </c>
      <c r="AE338" s="116" t="str">
        <f t="array" ref="AE338">INDEX($A$1:$C$500, MATCH(1,($B:$B=$AB338)*($C:$C=$AG338),0),1)</f>
        <v/>
      </c>
      <c r="AF338" s="116" t="str">
        <f t="array" ref="AF338">INDEX($A$1:$C$500, MATCH(1,($B:$B=$AG338)*($C:$C=$AB338),0),1)</f>
        <v/>
      </c>
      <c r="AG338" s="72"/>
      <c r="AH338" s="114" t="str">
        <f t="shared" si="4"/>
        <v/>
      </c>
      <c r="AI338" s="115" t="str">
        <f t="shared" si="5"/>
        <v/>
      </c>
      <c r="AJ338" s="116" t="str">
        <f t="array" ref="AJ338">INDEX($A$1:$C$500, MATCH(1,($B:$B=$C338)*($C:$C=$AG338),0),1)</f>
        <v/>
      </c>
      <c r="AK338" s="116" t="str">
        <f t="array" ref="AK338">INDEX($A$1:$C$500, MATCH(1,($B:$B=$AG338)*($C:$C=$C338),0),1)</f>
        <v/>
      </c>
      <c r="AL338" s="116" t="str">
        <f t="array" ref="AL338">INDEX($A$1:$C$500, MATCH(1,($B:$B=$C338)*($C:$C=$AB338),0),1)</f>
        <v/>
      </c>
      <c r="AM338" s="116" t="str">
        <f t="array" ref="AM338">INDEX($A$1:$C$500, MATCH(1,($B:$B=$AB338)*($C:$C=$C338),0),1)</f>
        <v/>
      </c>
      <c r="AN338" s="114" t="str">
        <f t="array" ref="AN338">IFS(ISNUMBER(AJ338),AJ338,ISNUMBER(AK338),AK338,ISNUMBER(AL338),AL338,ISNUMBER(AM338),AM338)</f>
        <v>#N/A</v>
      </c>
      <c r="AO338" s="115" t="str">
        <f t="shared" si="6"/>
        <v/>
      </c>
      <c r="AP338" s="115" t="str">
        <f t="shared" si="7"/>
        <v/>
      </c>
      <c r="AQ338" s="111"/>
      <c r="AR338" s="109" t="str">
        <f t="shared" si="8"/>
        <v/>
      </c>
      <c r="AS338" s="72" t="str">
        <f>IFERROR(IF(AND(Preferences!B$3="Manual",OR(AX338/AW338&gt;V338/U338,BD338="Serious",BD338="Very serious")),"Assess imprecision",IFERROR(IFS(AND(Preferences!B$3="Automatic",V338/U338&gt;=30),"Extremely serious",AND(W338&lt;=$D$1*-1,Y338&lt;0,V338/U338&lt;3),"Not Serious",AND(W338&lt;=$D$1*-1,Y338&lt;0,V338/U338&gt;=3),"Very serious",AND(W338&gt;=$D$1,X338&gt;0,V338/U338&lt;3),"Not Serious",AND(W338&gt;=$D$1,X338&gt;0,V338/U338&gt;=3),"Very serious",AND(W338&lt;=$D$1*-1,Y338&gt;0,X338&gt;$D$2*-1,V338/U338&lt;3),"Serious", AND(W338&lt;=$D$1*-1,Y338&gt;0,X338&lt;$D$2*-1,V338/U338&lt;3),"Very serious", AND(W338&gt;=$D$1,X338&lt;0,Y338&lt;$D$2,V338/U338&lt;3),"Serious",AND(W338&gt;=$D$1,X338&lt;0,Y338&gt;$D$2,V338/U338&lt;3),"Very serious", AND(W338&lt;=$D$1*-1,Y338&gt;0,X338&gt;$D$2*-1,V338/U338&gt;=3),"Very serious", AND(W338&lt;=$D$1*-1,Y338&gt;0,X338&lt;$D$2*-1,V338/U338&gt;=3),"Very serious", AND(W338&gt;=$D$1,X338&lt;0,Y338&lt;$D$2,V338/U338&gt;=3),"Very serious", AND(W338&gt;=$D$1,X338&lt;0,Y338&gt;$D$2,V338/U338&gt;=3),"Very serious", AND(W338&gt;$D$1*-1,W338&lt;$D$1,X338&gt;$D$1*-1,Y338&lt;$D$1,V338/U338&lt;3),"Not Serious", AND(W338&gt;$D$1*-1,W338&lt;$D$1,OR(X338&lt;=$D$1*-1,Y338&gt;=$D$1),X338&gt;$D$2*-1,Y338&lt;$D$2,V338/U338&lt;3),"Serious", AND(W338&gt;$D$1*-1,W338&lt;$D$1,OR(X338&lt;=$D$2*-1,Y338&gt;=$D$2),V338/U338&lt;3),"Very serious", AND(W338&gt;$D$1*-1,W338&lt;$D$1,X338&gt;$D$1*-1,Y338&lt;$D$1,V338/U338&gt;=3),"Very serious", AND(W338&gt;$D$1*-1,W338&lt;$D$1,OR(X338&lt;=$D$1*-1,Y338&gt;=$D$1),X338&gt;$D$2*-1,Y338&lt;$D$2,V338/U338&gt;=3),"Very serious", AND(W338&gt;$D$1*-1,W338&lt;$D$1,OR(X338&lt;=$D$2*-1,Y338&gt;=$D$2),V338/U338&gt;=3),"Very serious"),"")),"")</f>
        <v/>
      </c>
      <c r="AT338" s="109" t="str">
        <f t="shared" si="9"/>
        <v/>
      </c>
      <c r="AU338" s="64"/>
      <c r="AV338" s="83"/>
      <c r="AW338" s="83"/>
      <c r="AX338" s="83"/>
      <c r="AY338" s="83"/>
      <c r="AZ338" s="83"/>
      <c r="BA338" s="85"/>
      <c r="BB338" s="86" t="str">
        <f>IF(Preferences!B$9="Manual","",IFS(ISBLANK(B338),"",AND(ISNUMBER(E338)=TRUE,ISNUMBER(T338)=FALSE),"Direct", AND(ISNUMBER(E338)=FALSE,ISNUMBER(T338)=TRUE),"Indirect", CN338=4,"Direct",AND(CL338=FALSE, CM338=TRUE,CN338-CO338&gt;-1),"Direct", AND(CL338=FALSE,CM338=TRUE, CN338-CO338&lt;0),"Check algorithm in appendix 2", AND(CL338=TRUE, CM338=FALSE,CN338-CO338&gt;0),"Check algorithm in appendix 2", AND(CL338=TRUE, CM338=FALSE,CN338-CO338=0),"Indirect", AND(CL338=TRUE, CM338=FALSE,CN338-CO338&lt;0),"Indirect", AND(CL338=FALSE,CM338=FALSE,CN338-CO338&gt;-1),"Direct", AND(CL338=FALSE,CM338=FALSE,CN338-CO338&lt;0),"Check algorithm in appendix 2", AND(CL338=TRUE,CM338=TRUE,CN338-CO338&gt;-1),"Direct", AND(CL338=TRUE,CM338=TRUE,CN338-CO338&lt;0),"Check algorithm in appendix 2"))</f>
        <v/>
      </c>
      <c r="BC338" s="120" t="str">
        <f t="shared" si="10"/>
        <v/>
      </c>
      <c r="BD338" s="140"/>
      <c r="BE338" s="122" t="str">
        <f>IF(Preferences!B$3="Manual","", IFERROR(IFS(AND(Preferences!B$3="Automatic",AX338/AW338&gt;=30),"Extremely serious",AND(AY338&lt;=$D$1*-1,BA338&lt;0,AX338/AW338&lt;3),"Not Serious",AND(AY338&lt;=$D$1*-1,BA338&lt;0,AX338/AW338&gt;=3),"Very serious",AND(AY338&gt;=$D$1,AZ338&gt;0,AX338/AW338&lt;3),"Not Serious",AND(AY338&gt;=$D$1,AZ338&gt;0,AX338/AW338&gt;=3),"Very serious",AND(AY338&lt;=$D$1*-1,BA338&gt;0,AZ338&gt;$D$2*-1,AX338/AW338&lt;3),"Serious", AND(AY338&lt;=$D$1*-1,BA338&gt;0,AZ338&lt;$D$2*-1,AX338/AW338&lt;3),"Very serious", AND(AY338&gt;=$D$1,AZ338&lt;0,BA338&lt;$D$2,AX338/AW338&lt;3),"Serious",AND(AY338&gt;=$D$1,AZ338&lt;0,BA338&gt;$D$2,AX338/AW338&lt;3),"Very serious", AND(AY338&lt;=$D$1*-1,BA338&gt;0,AZ338&gt;$D$2*-1,AX338/AW338&gt;=3),"Very serious", AND(AY338&lt;=$D$1*-1,BA338&gt;0,AZ338&lt;$D$2*-1,AX338/AW338&gt;=3),"Very serious", AND(AY338&gt;=$D$1,AZ338&lt;0,BA338&lt;$D$2,AX338/AW338&gt;=3),"Very serious", AND(AY338&gt;=$D$1,AZ338&lt;0,BA338&gt;$D$2,AX338/AW338&gt;=3),"Very serious", AND(AY338&gt;$D$1*-1,AY338&lt;$D$1,AZ338&gt;$D$1*-1,BA338&lt;$D$1,AX338/AW338&lt;3),"Not Serious", AND(AY338&gt;$D$1*-1,AY338&lt;$D$1,OR(AZ338&lt;=$D$1*-1,BA338&gt;=$D$1),AZ338&gt;$D$2*-1,BA338&lt;$D$2,AX338/AW338&lt;3),"Serious", AND(AY338&gt;$D$1*-1,AY338&lt;$D$1,OR(AZ338&lt;=$D$2*-1,BA338&gt;=$D$2),AX338/AW338&lt;3),"Very serious", AND(AY338&gt;$D$1*-1,AY338&lt;$D$1,AZ338&gt;$D$1*-1,BA338&lt;$D$1,AX338/AW338&gt;=3),"Very serious", AND(AY338&gt;$D$1*-1,AY338&lt;$D$1,OR(AZ338&lt;=$D$1*-1,BA338&gt;=$D$1),AZ338&gt;$D$2*-1,BA338&lt;$D$2,AX338/AW338&gt;=3),"Very serious", AND(AY338&gt;$D$1*-1,AY338&lt;$D$1,OR(AZ338&lt;=$D$2*-1,BA338&gt;=$D$2),AX338/AW338&gt;=3),"Very serious"),""))</f>
        <v/>
      </c>
      <c r="BF338" s="107" t="str">
        <f t="shared" si="11"/>
        <v/>
      </c>
      <c r="BG338" s="94" t="str">
        <f t="shared" si="46"/>
        <v/>
      </c>
      <c r="BH338" s="64" t="str">
        <f t="shared" si="12"/>
        <v>#N/A</v>
      </c>
      <c r="BI338" s="64" t="str">
        <f t="shared" si="13"/>
        <v/>
      </c>
      <c r="BJ338" s="123" t="str">
        <f t="shared" si="14"/>
        <v>#N/A</v>
      </c>
      <c r="BK338" s="64" t="str">
        <f t="shared" si="50"/>
        <v>YES</v>
      </c>
      <c r="BL338" s="64" t="str">
        <f t="shared" si="16"/>
        <v>YES</v>
      </c>
      <c r="BM338" s="64" t="str">
        <f t="shared" si="17"/>
        <v>YES</v>
      </c>
      <c r="BN338" s="124" t="str">
        <f t="shared" si="18"/>
        <v/>
      </c>
      <c r="BO338" s="91" t="str">
        <f t="shared" si="19"/>
        <v/>
      </c>
      <c r="BP338" s="91" t="str">
        <f t="shared" si="20"/>
        <v>#N/A</v>
      </c>
      <c r="BQ338" s="91" t="str">
        <f t="shared" si="21"/>
        <v/>
      </c>
      <c r="BR338" s="93" t="str">
        <f t="shared" si="22"/>
        <v/>
      </c>
      <c r="BS338" s="90" t="str">
        <f t="shared" si="23"/>
        <v/>
      </c>
      <c r="BT338" s="93" t="str">
        <f t="shared" si="24"/>
        <v>NA</v>
      </c>
      <c r="BU338" s="125" t="str">
        <f t="shared" si="25"/>
        <v>#N/A</v>
      </c>
      <c r="BV338" s="93" t="str">
        <f t="shared" si="26"/>
        <v/>
      </c>
      <c r="BW338" s="93" t="str">
        <f t="shared" si="27"/>
        <v/>
      </c>
      <c r="BX338" s="93" t="str">
        <f t="shared" si="28"/>
        <v>NA</v>
      </c>
      <c r="BY338" s="95" t="str">
        <f t="shared" si="29"/>
        <v>#N/A</v>
      </c>
      <c r="BZ338" s="93" t="str">
        <f t="shared" si="30"/>
        <v/>
      </c>
      <c r="CA338" s="93" t="str">
        <f t="shared" si="31"/>
        <v/>
      </c>
      <c r="CB338" s="93" t="str">
        <f t="shared" si="32"/>
        <v>NA</v>
      </c>
      <c r="CC338" s="96" t="str">
        <f t="shared" si="33"/>
        <v>#N/A</v>
      </c>
      <c r="CD338" s="93" t="str">
        <f t="shared" si="34"/>
        <v/>
      </c>
      <c r="CE338" s="93" t="str">
        <f t="shared" si="35"/>
        <v/>
      </c>
      <c r="CF338" s="93" t="str">
        <f t="shared" si="36"/>
        <v>NA</v>
      </c>
      <c r="CG338" s="97" t="str">
        <f t="shared" si="37"/>
        <v>#N/A</v>
      </c>
      <c r="CH338" s="98" t="str">
        <f t="shared" si="38"/>
        <v>#N/A</v>
      </c>
      <c r="CI338" s="99" t="str">
        <f t="shared" si="39"/>
        <v>#N/A</v>
      </c>
      <c r="CJ338" s="126" t="str">
        <f t="shared" si="40"/>
        <v>ERROR: check cell</v>
      </c>
      <c r="CK338" s="126"/>
      <c r="CL338" s="127" t="str">
        <f t="shared" si="41"/>
        <v>#DIV/0!</v>
      </c>
      <c r="CM338" s="128" t="str">
        <f t="shared" si="42"/>
        <v>#DIV/0!</v>
      </c>
      <c r="CN338" s="128">
        <f t="shared" si="43"/>
        <v>4</v>
      </c>
      <c r="CO338" s="129">
        <f t="shared" si="44"/>
        <v>4</v>
      </c>
      <c r="CP338" s="129" t="str">
        <f>IFS(C338=Preferences!B$13,B338,B338=Preferences!B$13,C338)</f>
        <v>#N/A</v>
      </c>
    </row>
    <row r="339" ht="13.5" customHeight="1">
      <c r="A339" s="63" t="str">
        <f t="shared" si="45"/>
        <v/>
      </c>
      <c r="B339" s="64"/>
      <c r="C339" s="64"/>
      <c r="D339" s="64"/>
      <c r="E339" s="65"/>
      <c r="F339" s="65"/>
      <c r="G339" s="65"/>
      <c r="H339" s="66"/>
      <c r="I339" s="66"/>
      <c r="J339" s="67"/>
      <c r="K339" s="68"/>
      <c r="L339" s="104"/>
      <c r="M339" s="104"/>
      <c r="N339" s="104"/>
      <c r="O339" s="104"/>
      <c r="P339" s="107" t="str">
        <f t="shared" si="1"/>
        <v/>
      </c>
      <c r="Q339" s="108" t="str">
        <f>IFERROR(IF(AND(Preferences!B$3="Manual",OR(AX339/AW339&gt;G339/F339,BD339="Serious",BD339="Very serious")),"Assess imprecision",IFS(ISBLANK(E339),"",AND(Preferences!B$3="Automatic", G339/F339&gt;=30),"Extremely serious",AND(H339&lt;=$D$1*-1,J339&lt;0,G339/F339&lt;3),"Not serious",AND(H339&lt;=$D$1*-1,J339&lt;0,G339/F339&gt;=3),"Very serious",AND(H339&gt;=$D$1,I339&gt;0,G339/F339&lt;3),"Not serious",AND(H339&gt;=$D$1,I339&gt;0,G339/F339&gt;=3),"Very serious",AND(H339&lt;=$D$1*-1,J339&gt;0,I339&gt;$D$2*-1,G339/F339&lt;3),"Serious", AND(H339&lt;=$D$1*-1,J339&gt;0,I339&lt;$D$2*-1,G339/F339&lt;3),"Very serious", AND(H339&gt;=$D$1,I339&lt;0,J339&lt;$D$2,G339/F339&lt;3),"Serious",AND(H339&gt;=$D$1,I339&lt;0,J339&gt;$D$2,G339/F339&lt;3),"Very serious", AND(H339&lt;=$D$1*-1,J339&gt;0,I339&gt;$D$2*-1,G339/F339&gt;=3),"Very serious", AND(H339&lt;=$D$1*-1,J339&gt;0,I339&lt;$D$2*-1,G339/F339&gt;=3),"Very serious", AND(H339&gt;=$D$1,I339&lt;0,J339&lt;$D$2,G339/F339&gt;=3),"Very serious", AND(H339&gt;=$D$1,I339&lt;0,J339&gt;$D$2,G339/F339&gt;=3),"Very serious", AND(H339&gt;$D$1*-1,H339&lt;$D$1,I339&gt;$D$1*-1,J339&lt;$D$1,G339/F339&lt;3),"Not serious", AND(H339&gt;$D$1*-1,H339&lt;$D$1,OR(I339&lt;=$D$1*-1,J339&gt;=$D$1),I339&gt;$D$2*-1,J339&lt;$D$2,G339/F339&lt;3),"Serious", AND(H339&gt;$D$1*-1,H339&lt;$D$1,OR(I339&lt;=$D$2*-1,J339&gt;=$D$2),G339/F339&lt;3),"Very serious", AND(H339&gt;$D$1*-1,H339&lt;$D$1,I339&gt;$D$1*-1,J339&lt;$D$1,G339/F339&gt;=3),"Very serious", AND(H339&gt;$D$1*-1,H339&lt;$D$1,OR(I339&lt;=$D$1*-1,J339&gt;=$D$1),I339&gt;$D$2*-1,J339&lt;$D$2,G339/F339&gt;=3),"Very serious", AND(H339&gt;$D$1*-1,H339&lt;$D$1,OR(I339&lt;=$D$2*-1,J339&gt;=$D$2),G339/F339&gt;=3),"Very serious")),"")</f>
        <v/>
      </c>
      <c r="R339" s="109" t="str">
        <f t="shared" si="47"/>
        <v/>
      </c>
      <c r="S339" s="64"/>
      <c r="T339" s="72"/>
      <c r="U339" s="72"/>
      <c r="V339" s="72"/>
      <c r="W339" s="73"/>
      <c r="X339" s="73"/>
      <c r="Y339" s="74"/>
      <c r="Z339" s="113" t="str">
        <f t="array" ref="Z339">INDEX($A$1:$C$500, MATCH(1,($B:$B=$B339)*($C:$C=$AB339),0),1)</f>
        <v/>
      </c>
      <c r="AA339" s="113" t="str">
        <f t="array" ref="AA339">INDEX($A$1:$C$500, MATCH(1,($B:$B=$AB339)*($C:$C=$B339),0),1)</f>
        <v/>
      </c>
      <c r="AB339" s="111"/>
      <c r="AC339" s="114" t="str">
        <f t="shared" si="2"/>
        <v/>
      </c>
      <c r="AD339" s="115" t="str">
        <f t="shared" si="3"/>
        <v/>
      </c>
      <c r="AE339" s="116" t="str">
        <f t="array" ref="AE339">INDEX($A$1:$C$500, MATCH(1,($B:$B=$AB339)*($C:$C=$AG339),0),1)</f>
        <v/>
      </c>
      <c r="AF339" s="116" t="str">
        <f t="array" ref="AF339">INDEX($A$1:$C$500, MATCH(1,($B:$B=$AG339)*($C:$C=$AB339),0),1)</f>
        <v/>
      </c>
      <c r="AG339" s="72"/>
      <c r="AH339" s="114" t="str">
        <f t="shared" si="4"/>
        <v/>
      </c>
      <c r="AI339" s="115" t="str">
        <f t="shared" si="5"/>
        <v/>
      </c>
      <c r="AJ339" s="116" t="str">
        <f t="array" ref="AJ339">INDEX($A$1:$C$500, MATCH(1,($B:$B=$C339)*($C:$C=$AG339),0),1)</f>
        <v/>
      </c>
      <c r="AK339" s="116" t="str">
        <f t="array" ref="AK339">INDEX($A$1:$C$500, MATCH(1,($B:$B=$AG339)*($C:$C=$C339),0),1)</f>
        <v/>
      </c>
      <c r="AL339" s="116" t="str">
        <f t="array" ref="AL339">INDEX($A$1:$C$500, MATCH(1,($B:$B=$C339)*($C:$C=$AB339),0),1)</f>
        <v/>
      </c>
      <c r="AM339" s="116" t="str">
        <f t="array" ref="AM339">INDEX($A$1:$C$500, MATCH(1,($B:$B=$AB339)*($C:$C=$C339),0),1)</f>
        <v/>
      </c>
      <c r="AN339" s="114" t="str">
        <f t="array" ref="AN339">IFS(ISNUMBER(AJ339),AJ339,ISNUMBER(AK339),AK339,ISNUMBER(AL339),AL339,ISNUMBER(AM339),AM339)</f>
        <v>#N/A</v>
      </c>
      <c r="AO339" s="115" t="str">
        <f t="shared" si="6"/>
        <v/>
      </c>
      <c r="AP339" s="115" t="str">
        <f t="shared" si="7"/>
        <v/>
      </c>
      <c r="AQ339" s="111"/>
      <c r="AR339" s="109" t="str">
        <f t="shared" si="8"/>
        <v/>
      </c>
      <c r="AS339" s="72" t="str">
        <f>IFERROR(IF(AND(Preferences!B$3="Manual",OR(AX339/AW339&gt;V339/U339,BD339="Serious",BD339="Very serious")),"Assess imprecision",IFERROR(IFS(AND(Preferences!B$3="Automatic",V339/U339&gt;=30),"Extremely serious",AND(W339&lt;=$D$1*-1,Y339&lt;0,V339/U339&lt;3),"Not Serious",AND(W339&lt;=$D$1*-1,Y339&lt;0,V339/U339&gt;=3),"Very serious",AND(W339&gt;=$D$1,X339&gt;0,V339/U339&lt;3),"Not Serious",AND(W339&gt;=$D$1,X339&gt;0,V339/U339&gt;=3),"Very serious",AND(W339&lt;=$D$1*-1,Y339&gt;0,X339&gt;$D$2*-1,V339/U339&lt;3),"Serious", AND(W339&lt;=$D$1*-1,Y339&gt;0,X339&lt;$D$2*-1,V339/U339&lt;3),"Very serious", AND(W339&gt;=$D$1,X339&lt;0,Y339&lt;$D$2,V339/U339&lt;3),"Serious",AND(W339&gt;=$D$1,X339&lt;0,Y339&gt;$D$2,V339/U339&lt;3),"Very serious", AND(W339&lt;=$D$1*-1,Y339&gt;0,X339&gt;$D$2*-1,V339/U339&gt;=3),"Very serious", AND(W339&lt;=$D$1*-1,Y339&gt;0,X339&lt;$D$2*-1,V339/U339&gt;=3),"Very serious", AND(W339&gt;=$D$1,X339&lt;0,Y339&lt;$D$2,V339/U339&gt;=3),"Very serious", AND(W339&gt;=$D$1,X339&lt;0,Y339&gt;$D$2,V339/U339&gt;=3),"Very serious", AND(W339&gt;$D$1*-1,W339&lt;$D$1,X339&gt;$D$1*-1,Y339&lt;$D$1,V339/U339&lt;3),"Not Serious", AND(W339&gt;$D$1*-1,W339&lt;$D$1,OR(X339&lt;=$D$1*-1,Y339&gt;=$D$1),X339&gt;$D$2*-1,Y339&lt;$D$2,V339/U339&lt;3),"Serious", AND(W339&gt;$D$1*-1,W339&lt;$D$1,OR(X339&lt;=$D$2*-1,Y339&gt;=$D$2),V339/U339&lt;3),"Very serious", AND(W339&gt;$D$1*-1,W339&lt;$D$1,X339&gt;$D$1*-1,Y339&lt;$D$1,V339/U339&gt;=3),"Very serious", AND(W339&gt;$D$1*-1,W339&lt;$D$1,OR(X339&lt;=$D$1*-1,Y339&gt;=$D$1),X339&gt;$D$2*-1,Y339&lt;$D$2,V339/U339&gt;=3),"Very serious", AND(W339&gt;$D$1*-1,W339&lt;$D$1,OR(X339&lt;=$D$2*-1,Y339&gt;=$D$2),V339/U339&gt;=3),"Very serious"),"")),"")</f>
        <v/>
      </c>
      <c r="AT339" s="109" t="str">
        <f t="shared" si="9"/>
        <v/>
      </c>
      <c r="AU339" s="64"/>
      <c r="AV339" s="83"/>
      <c r="AW339" s="83"/>
      <c r="AX339" s="83"/>
      <c r="AY339" s="83"/>
      <c r="AZ339" s="83"/>
      <c r="BA339" s="85"/>
      <c r="BB339" s="86" t="str">
        <f>IF(Preferences!B$9="Manual","",IFS(ISBLANK(B339),"",AND(ISNUMBER(E339)=TRUE,ISNUMBER(T339)=FALSE),"Direct", AND(ISNUMBER(E339)=FALSE,ISNUMBER(T339)=TRUE),"Indirect", CN339=4,"Direct",AND(CL339=FALSE, CM339=TRUE,CN339-CO339&gt;-1),"Direct", AND(CL339=FALSE,CM339=TRUE, CN339-CO339&lt;0),"Check algorithm in appendix 2", AND(CL339=TRUE, CM339=FALSE,CN339-CO339&gt;0),"Check algorithm in appendix 2", AND(CL339=TRUE, CM339=FALSE,CN339-CO339=0),"Indirect", AND(CL339=TRUE, CM339=FALSE,CN339-CO339&lt;0),"Indirect", AND(CL339=FALSE,CM339=FALSE,CN339-CO339&gt;-1),"Direct", AND(CL339=FALSE,CM339=FALSE,CN339-CO339&lt;0),"Check algorithm in appendix 2", AND(CL339=TRUE,CM339=TRUE,CN339-CO339&gt;-1),"Direct", AND(CL339=TRUE,CM339=TRUE,CN339-CO339&lt;0),"Check algorithm in appendix 2"))</f>
        <v/>
      </c>
      <c r="BC339" s="120" t="str">
        <f t="shared" si="10"/>
        <v/>
      </c>
      <c r="BD339" s="140"/>
      <c r="BE339" s="122" t="str">
        <f>IF(Preferences!B$3="Manual","", IFERROR(IFS(AND(Preferences!B$3="Automatic",AX339/AW339&gt;=30),"Extremely serious",AND(AY339&lt;=$D$1*-1,BA339&lt;0,AX339/AW339&lt;3),"Not Serious",AND(AY339&lt;=$D$1*-1,BA339&lt;0,AX339/AW339&gt;=3),"Very serious",AND(AY339&gt;=$D$1,AZ339&gt;0,AX339/AW339&lt;3),"Not Serious",AND(AY339&gt;=$D$1,AZ339&gt;0,AX339/AW339&gt;=3),"Very serious",AND(AY339&lt;=$D$1*-1,BA339&gt;0,AZ339&gt;$D$2*-1,AX339/AW339&lt;3),"Serious", AND(AY339&lt;=$D$1*-1,BA339&gt;0,AZ339&lt;$D$2*-1,AX339/AW339&lt;3),"Very serious", AND(AY339&gt;=$D$1,AZ339&lt;0,BA339&lt;$D$2,AX339/AW339&lt;3),"Serious",AND(AY339&gt;=$D$1,AZ339&lt;0,BA339&gt;$D$2,AX339/AW339&lt;3),"Very serious", AND(AY339&lt;=$D$1*-1,BA339&gt;0,AZ339&gt;$D$2*-1,AX339/AW339&gt;=3),"Very serious", AND(AY339&lt;=$D$1*-1,BA339&gt;0,AZ339&lt;$D$2*-1,AX339/AW339&gt;=3),"Very serious", AND(AY339&gt;=$D$1,AZ339&lt;0,BA339&lt;$D$2,AX339/AW339&gt;=3),"Very serious", AND(AY339&gt;=$D$1,AZ339&lt;0,BA339&gt;$D$2,AX339/AW339&gt;=3),"Very serious", AND(AY339&gt;$D$1*-1,AY339&lt;$D$1,AZ339&gt;$D$1*-1,BA339&lt;$D$1,AX339/AW339&lt;3),"Not Serious", AND(AY339&gt;$D$1*-1,AY339&lt;$D$1,OR(AZ339&lt;=$D$1*-1,BA339&gt;=$D$1),AZ339&gt;$D$2*-1,BA339&lt;$D$2,AX339/AW339&lt;3),"Serious", AND(AY339&gt;$D$1*-1,AY339&lt;$D$1,OR(AZ339&lt;=$D$2*-1,BA339&gt;=$D$2),AX339/AW339&lt;3),"Very serious", AND(AY339&gt;$D$1*-1,AY339&lt;$D$1,AZ339&gt;$D$1*-1,BA339&lt;$D$1,AX339/AW339&gt;=3),"Very serious", AND(AY339&gt;$D$1*-1,AY339&lt;$D$1,OR(AZ339&lt;=$D$1*-1,BA339&gt;=$D$1),AZ339&gt;$D$2*-1,BA339&lt;$D$2,AX339/AW339&gt;=3),"Very serious", AND(AY339&gt;$D$1*-1,AY339&lt;$D$1,OR(AZ339&lt;=$D$2*-1,BA339&gt;=$D$2),AX339/AW339&gt;=3),"Very serious"),""))</f>
        <v/>
      </c>
      <c r="BF339" s="107" t="str">
        <f t="shared" si="11"/>
        <v/>
      </c>
      <c r="BG339" s="94" t="str">
        <f t="shared" si="46"/>
        <v/>
      </c>
      <c r="BH339" s="64" t="str">
        <f t="shared" si="12"/>
        <v>#N/A</v>
      </c>
      <c r="BI339" s="64" t="str">
        <f t="shared" si="13"/>
        <v/>
      </c>
      <c r="BJ339" s="123" t="str">
        <f t="shared" si="14"/>
        <v>#N/A</v>
      </c>
      <c r="BK339" s="64" t="str">
        <f t="shared" si="50"/>
        <v>YES</v>
      </c>
      <c r="BL339" s="64" t="str">
        <f t="shared" si="16"/>
        <v>YES</v>
      </c>
      <c r="BM339" s="64" t="str">
        <f t="shared" si="17"/>
        <v>YES</v>
      </c>
      <c r="BN339" s="124" t="str">
        <f t="shared" si="18"/>
        <v/>
      </c>
      <c r="BO339" s="91" t="str">
        <f t="shared" si="19"/>
        <v/>
      </c>
      <c r="BP339" s="91" t="str">
        <f t="shared" si="20"/>
        <v>#N/A</v>
      </c>
      <c r="BQ339" s="91" t="str">
        <f t="shared" si="21"/>
        <v/>
      </c>
      <c r="BR339" s="93" t="str">
        <f t="shared" si="22"/>
        <v/>
      </c>
      <c r="BS339" s="90" t="str">
        <f t="shared" si="23"/>
        <v/>
      </c>
      <c r="BT339" s="93" t="str">
        <f t="shared" si="24"/>
        <v>NA</v>
      </c>
      <c r="BU339" s="125" t="str">
        <f t="shared" si="25"/>
        <v>#N/A</v>
      </c>
      <c r="BV339" s="93" t="str">
        <f t="shared" si="26"/>
        <v/>
      </c>
      <c r="BW339" s="93" t="str">
        <f t="shared" si="27"/>
        <v/>
      </c>
      <c r="BX339" s="93" t="str">
        <f t="shared" si="28"/>
        <v>NA</v>
      </c>
      <c r="BY339" s="95" t="str">
        <f t="shared" si="29"/>
        <v>#N/A</v>
      </c>
      <c r="BZ339" s="93" t="str">
        <f t="shared" si="30"/>
        <v/>
      </c>
      <c r="CA339" s="93" t="str">
        <f t="shared" si="31"/>
        <v/>
      </c>
      <c r="CB339" s="93" t="str">
        <f t="shared" si="32"/>
        <v>NA</v>
      </c>
      <c r="CC339" s="96" t="str">
        <f t="shared" si="33"/>
        <v>#N/A</v>
      </c>
      <c r="CD339" s="93" t="str">
        <f t="shared" si="34"/>
        <v/>
      </c>
      <c r="CE339" s="93" t="str">
        <f t="shared" si="35"/>
        <v/>
      </c>
      <c r="CF339" s="93" t="str">
        <f t="shared" si="36"/>
        <v>NA</v>
      </c>
      <c r="CG339" s="97" t="str">
        <f t="shared" si="37"/>
        <v>#N/A</v>
      </c>
      <c r="CH339" s="98" t="str">
        <f t="shared" si="38"/>
        <v>#N/A</v>
      </c>
      <c r="CI339" s="99" t="str">
        <f t="shared" si="39"/>
        <v>#N/A</v>
      </c>
      <c r="CJ339" s="126" t="str">
        <f t="shared" si="40"/>
        <v>ERROR: check cell</v>
      </c>
      <c r="CK339" s="126"/>
      <c r="CL339" s="127" t="str">
        <f t="shared" si="41"/>
        <v>#DIV/0!</v>
      </c>
      <c r="CM339" s="128" t="str">
        <f t="shared" si="42"/>
        <v>#DIV/0!</v>
      </c>
      <c r="CN339" s="128">
        <f t="shared" si="43"/>
        <v>4</v>
      </c>
      <c r="CO339" s="129">
        <f t="shared" si="44"/>
        <v>4</v>
      </c>
      <c r="CP339" s="129" t="str">
        <f>IFS(C339=Preferences!B$13,B339,B339=Preferences!B$13,C339)</f>
        <v>#N/A</v>
      </c>
    </row>
    <row r="340" ht="13.5" customHeight="1">
      <c r="A340" s="63" t="str">
        <f t="shared" si="45"/>
        <v/>
      </c>
      <c r="B340" s="64"/>
      <c r="C340" s="64"/>
      <c r="D340" s="64"/>
      <c r="E340" s="65"/>
      <c r="F340" s="65"/>
      <c r="G340" s="65"/>
      <c r="H340" s="66"/>
      <c r="I340" s="66"/>
      <c r="J340" s="67"/>
      <c r="K340" s="68"/>
      <c r="L340" s="104"/>
      <c r="M340" s="104"/>
      <c r="N340" s="104"/>
      <c r="O340" s="104"/>
      <c r="P340" s="107" t="str">
        <f t="shared" si="1"/>
        <v/>
      </c>
      <c r="Q340" s="108" t="str">
        <f>IFERROR(IF(AND(Preferences!B$3="Manual",OR(AX340/AW340&gt;G340/F340,BD340="Serious",BD340="Very serious")),"Assess imprecision",IFS(ISBLANK(E340),"",AND(Preferences!B$3="Automatic", G340/F340&gt;=30),"Extremely serious",AND(H340&lt;=$D$1*-1,J340&lt;0,G340/F340&lt;3),"Not serious",AND(H340&lt;=$D$1*-1,J340&lt;0,G340/F340&gt;=3),"Very serious",AND(H340&gt;=$D$1,I340&gt;0,G340/F340&lt;3),"Not serious",AND(H340&gt;=$D$1,I340&gt;0,G340/F340&gt;=3),"Very serious",AND(H340&lt;=$D$1*-1,J340&gt;0,I340&gt;$D$2*-1,G340/F340&lt;3),"Serious", AND(H340&lt;=$D$1*-1,J340&gt;0,I340&lt;$D$2*-1,G340/F340&lt;3),"Very serious", AND(H340&gt;=$D$1,I340&lt;0,J340&lt;$D$2,G340/F340&lt;3),"Serious",AND(H340&gt;=$D$1,I340&lt;0,J340&gt;$D$2,G340/F340&lt;3),"Very serious", AND(H340&lt;=$D$1*-1,J340&gt;0,I340&gt;$D$2*-1,G340/F340&gt;=3),"Very serious", AND(H340&lt;=$D$1*-1,J340&gt;0,I340&lt;$D$2*-1,G340/F340&gt;=3),"Very serious", AND(H340&gt;=$D$1,I340&lt;0,J340&lt;$D$2,G340/F340&gt;=3),"Very serious", AND(H340&gt;=$D$1,I340&lt;0,J340&gt;$D$2,G340/F340&gt;=3),"Very serious", AND(H340&gt;$D$1*-1,H340&lt;$D$1,I340&gt;$D$1*-1,J340&lt;$D$1,G340/F340&lt;3),"Not serious", AND(H340&gt;$D$1*-1,H340&lt;$D$1,OR(I340&lt;=$D$1*-1,J340&gt;=$D$1),I340&gt;$D$2*-1,J340&lt;$D$2,G340/F340&lt;3),"Serious", AND(H340&gt;$D$1*-1,H340&lt;$D$1,OR(I340&lt;=$D$2*-1,J340&gt;=$D$2),G340/F340&lt;3),"Very serious", AND(H340&gt;$D$1*-1,H340&lt;$D$1,I340&gt;$D$1*-1,J340&lt;$D$1,G340/F340&gt;=3),"Very serious", AND(H340&gt;$D$1*-1,H340&lt;$D$1,OR(I340&lt;=$D$1*-1,J340&gt;=$D$1),I340&gt;$D$2*-1,J340&lt;$D$2,G340/F340&gt;=3),"Very serious", AND(H340&gt;$D$1*-1,H340&lt;$D$1,OR(I340&lt;=$D$2*-1,J340&gt;=$D$2),G340/F340&gt;=3),"Very serious")),"")</f>
        <v/>
      </c>
      <c r="R340" s="109" t="str">
        <f t="shared" si="47"/>
        <v/>
      </c>
      <c r="S340" s="64"/>
      <c r="T340" s="72"/>
      <c r="U340" s="72"/>
      <c r="V340" s="72"/>
      <c r="W340" s="73"/>
      <c r="X340" s="73"/>
      <c r="Y340" s="74"/>
      <c r="Z340" s="113" t="str">
        <f t="array" ref="Z340">INDEX($A$1:$C$500, MATCH(1,($B:$B=$B340)*($C:$C=$AB340),0),1)</f>
        <v/>
      </c>
      <c r="AA340" s="113" t="str">
        <f t="array" ref="AA340">INDEX($A$1:$C$500, MATCH(1,($B:$B=$AB340)*($C:$C=$B340),0),1)</f>
        <v/>
      </c>
      <c r="AB340" s="111"/>
      <c r="AC340" s="114" t="str">
        <f t="shared" si="2"/>
        <v/>
      </c>
      <c r="AD340" s="115" t="str">
        <f t="shared" si="3"/>
        <v/>
      </c>
      <c r="AE340" s="116" t="str">
        <f t="array" ref="AE340">INDEX($A$1:$C$500, MATCH(1,($B:$B=$AB340)*($C:$C=$AG340),0),1)</f>
        <v/>
      </c>
      <c r="AF340" s="116" t="str">
        <f t="array" ref="AF340">INDEX($A$1:$C$500, MATCH(1,($B:$B=$AG340)*($C:$C=$AB340),0),1)</f>
        <v/>
      </c>
      <c r="AG340" s="72"/>
      <c r="AH340" s="114" t="str">
        <f t="shared" si="4"/>
        <v/>
      </c>
      <c r="AI340" s="115" t="str">
        <f t="shared" si="5"/>
        <v/>
      </c>
      <c r="AJ340" s="116" t="str">
        <f t="array" ref="AJ340">INDEX($A$1:$C$500, MATCH(1,($B:$B=$C340)*($C:$C=$AG340),0),1)</f>
        <v/>
      </c>
      <c r="AK340" s="116" t="str">
        <f t="array" ref="AK340">INDEX($A$1:$C$500, MATCH(1,($B:$B=$AG340)*($C:$C=$C340),0),1)</f>
        <v/>
      </c>
      <c r="AL340" s="116" t="str">
        <f t="array" ref="AL340">INDEX($A$1:$C$500, MATCH(1,($B:$B=$C340)*($C:$C=$AB340),0),1)</f>
        <v/>
      </c>
      <c r="AM340" s="116" t="str">
        <f t="array" ref="AM340">INDEX($A$1:$C$500, MATCH(1,($B:$B=$AB340)*($C:$C=$C340),0),1)</f>
        <v/>
      </c>
      <c r="AN340" s="114" t="str">
        <f t="array" ref="AN340">IFS(ISNUMBER(AJ340),AJ340,ISNUMBER(AK340),AK340,ISNUMBER(AL340),AL340,ISNUMBER(AM340),AM340)</f>
        <v>#N/A</v>
      </c>
      <c r="AO340" s="115" t="str">
        <f t="shared" si="6"/>
        <v/>
      </c>
      <c r="AP340" s="115" t="str">
        <f t="shared" si="7"/>
        <v/>
      </c>
      <c r="AQ340" s="111"/>
      <c r="AR340" s="109" t="str">
        <f t="shared" si="8"/>
        <v/>
      </c>
      <c r="AS340" s="72" t="str">
        <f>IFERROR(IF(AND(Preferences!B$3="Manual",OR(AX340/AW340&gt;V340/U340,BD340="Serious",BD340="Very serious")),"Assess imprecision",IFERROR(IFS(AND(Preferences!B$3="Automatic",V340/U340&gt;=30),"Extremely serious",AND(W340&lt;=$D$1*-1,Y340&lt;0,V340/U340&lt;3),"Not Serious",AND(W340&lt;=$D$1*-1,Y340&lt;0,V340/U340&gt;=3),"Very serious",AND(W340&gt;=$D$1,X340&gt;0,V340/U340&lt;3),"Not Serious",AND(W340&gt;=$D$1,X340&gt;0,V340/U340&gt;=3),"Very serious",AND(W340&lt;=$D$1*-1,Y340&gt;0,X340&gt;$D$2*-1,V340/U340&lt;3),"Serious", AND(W340&lt;=$D$1*-1,Y340&gt;0,X340&lt;$D$2*-1,V340/U340&lt;3),"Very serious", AND(W340&gt;=$D$1,X340&lt;0,Y340&lt;$D$2,V340/U340&lt;3),"Serious",AND(W340&gt;=$D$1,X340&lt;0,Y340&gt;$D$2,V340/U340&lt;3),"Very serious", AND(W340&lt;=$D$1*-1,Y340&gt;0,X340&gt;$D$2*-1,V340/U340&gt;=3),"Very serious", AND(W340&lt;=$D$1*-1,Y340&gt;0,X340&lt;$D$2*-1,V340/U340&gt;=3),"Very serious", AND(W340&gt;=$D$1,X340&lt;0,Y340&lt;$D$2,V340/U340&gt;=3),"Very serious", AND(W340&gt;=$D$1,X340&lt;0,Y340&gt;$D$2,V340/U340&gt;=3),"Very serious", AND(W340&gt;$D$1*-1,W340&lt;$D$1,X340&gt;$D$1*-1,Y340&lt;$D$1,V340/U340&lt;3),"Not Serious", AND(W340&gt;$D$1*-1,W340&lt;$D$1,OR(X340&lt;=$D$1*-1,Y340&gt;=$D$1),X340&gt;$D$2*-1,Y340&lt;$D$2,V340/U340&lt;3),"Serious", AND(W340&gt;$D$1*-1,W340&lt;$D$1,OR(X340&lt;=$D$2*-1,Y340&gt;=$D$2),V340/U340&lt;3),"Very serious", AND(W340&gt;$D$1*-1,W340&lt;$D$1,X340&gt;$D$1*-1,Y340&lt;$D$1,V340/U340&gt;=3),"Very serious", AND(W340&gt;$D$1*-1,W340&lt;$D$1,OR(X340&lt;=$D$1*-1,Y340&gt;=$D$1),X340&gt;$D$2*-1,Y340&lt;$D$2,V340/U340&gt;=3),"Very serious", AND(W340&gt;$D$1*-1,W340&lt;$D$1,OR(X340&lt;=$D$2*-1,Y340&gt;=$D$2),V340/U340&gt;=3),"Very serious"),"")),"")</f>
        <v/>
      </c>
      <c r="AT340" s="109" t="str">
        <f t="shared" si="9"/>
        <v/>
      </c>
      <c r="AU340" s="64"/>
      <c r="AV340" s="83"/>
      <c r="AW340" s="83"/>
      <c r="AX340" s="83"/>
      <c r="AY340" s="83"/>
      <c r="AZ340" s="83"/>
      <c r="BA340" s="85"/>
      <c r="BB340" s="86" t="str">
        <f>IF(Preferences!B$9="Manual","",IFS(ISBLANK(B340),"",AND(ISNUMBER(E340)=TRUE,ISNUMBER(T340)=FALSE),"Direct", AND(ISNUMBER(E340)=FALSE,ISNUMBER(T340)=TRUE),"Indirect", CN340=4,"Direct",AND(CL340=FALSE, CM340=TRUE,CN340-CO340&gt;-1),"Direct", AND(CL340=FALSE,CM340=TRUE, CN340-CO340&lt;0),"Check algorithm in appendix 2", AND(CL340=TRUE, CM340=FALSE,CN340-CO340&gt;0),"Check algorithm in appendix 2", AND(CL340=TRUE, CM340=FALSE,CN340-CO340=0),"Indirect", AND(CL340=TRUE, CM340=FALSE,CN340-CO340&lt;0),"Indirect", AND(CL340=FALSE,CM340=FALSE,CN340-CO340&gt;-1),"Direct", AND(CL340=FALSE,CM340=FALSE,CN340-CO340&lt;0),"Check algorithm in appendix 2", AND(CL340=TRUE,CM340=TRUE,CN340-CO340&gt;-1),"Direct", AND(CL340=TRUE,CM340=TRUE,CN340-CO340&lt;0),"Check algorithm in appendix 2"))</f>
        <v/>
      </c>
      <c r="BC340" s="120" t="str">
        <f t="shared" si="10"/>
        <v/>
      </c>
      <c r="BD340" s="140"/>
      <c r="BE340" s="122" t="str">
        <f>IF(Preferences!B$3="Manual","", IFERROR(IFS(AND(Preferences!B$3="Automatic",AX340/AW340&gt;=30),"Extremely serious",AND(AY340&lt;=$D$1*-1,BA340&lt;0,AX340/AW340&lt;3),"Not Serious",AND(AY340&lt;=$D$1*-1,BA340&lt;0,AX340/AW340&gt;=3),"Very serious",AND(AY340&gt;=$D$1,AZ340&gt;0,AX340/AW340&lt;3),"Not Serious",AND(AY340&gt;=$D$1,AZ340&gt;0,AX340/AW340&gt;=3),"Very serious",AND(AY340&lt;=$D$1*-1,BA340&gt;0,AZ340&gt;$D$2*-1,AX340/AW340&lt;3),"Serious", AND(AY340&lt;=$D$1*-1,BA340&gt;0,AZ340&lt;$D$2*-1,AX340/AW340&lt;3),"Very serious", AND(AY340&gt;=$D$1,AZ340&lt;0,BA340&lt;$D$2,AX340/AW340&lt;3),"Serious",AND(AY340&gt;=$D$1,AZ340&lt;0,BA340&gt;$D$2,AX340/AW340&lt;3),"Very serious", AND(AY340&lt;=$D$1*-1,BA340&gt;0,AZ340&gt;$D$2*-1,AX340/AW340&gt;=3),"Very serious", AND(AY340&lt;=$D$1*-1,BA340&gt;0,AZ340&lt;$D$2*-1,AX340/AW340&gt;=3),"Very serious", AND(AY340&gt;=$D$1,AZ340&lt;0,BA340&lt;$D$2,AX340/AW340&gt;=3),"Very serious", AND(AY340&gt;=$D$1,AZ340&lt;0,BA340&gt;$D$2,AX340/AW340&gt;=3),"Very serious", AND(AY340&gt;$D$1*-1,AY340&lt;$D$1,AZ340&gt;$D$1*-1,BA340&lt;$D$1,AX340/AW340&lt;3),"Not Serious", AND(AY340&gt;$D$1*-1,AY340&lt;$D$1,OR(AZ340&lt;=$D$1*-1,BA340&gt;=$D$1),AZ340&gt;$D$2*-1,BA340&lt;$D$2,AX340/AW340&lt;3),"Serious", AND(AY340&gt;$D$1*-1,AY340&lt;$D$1,OR(AZ340&lt;=$D$2*-1,BA340&gt;=$D$2),AX340/AW340&lt;3),"Very serious", AND(AY340&gt;$D$1*-1,AY340&lt;$D$1,AZ340&gt;$D$1*-1,BA340&lt;$D$1,AX340/AW340&gt;=3),"Very serious", AND(AY340&gt;$D$1*-1,AY340&lt;$D$1,OR(AZ340&lt;=$D$1*-1,BA340&gt;=$D$1),AZ340&gt;$D$2*-1,BA340&lt;$D$2,AX340/AW340&gt;=3),"Very serious", AND(AY340&gt;$D$1*-1,AY340&lt;$D$1,OR(AZ340&lt;=$D$2*-1,BA340&gt;=$D$2),AX340/AW340&gt;=3),"Very serious"),""))</f>
        <v/>
      </c>
      <c r="BF340" s="107" t="str">
        <f t="shared" si="11"/>
        <v/>
      </c>
      <c r="BG340" s="94" t="str">
        <f t="shared" si="46"/>
        <v/>
      </c>
      <c r="BH340" s="64" t="str">
        <f t="shared" si="12"/>
        <v>#N/A</v>
      </c>
      <c r="BI340" s="64" t="str">
        <f t="shared" si="13"/>
        <v/>
      </c>
      <c r="BJ340" s="123" t="str">
        <f t="shared" si="14"/>
        <v>#N/A</v>
      </c>
      <c r="BK340" s="64" t="str">
        <f t="shared" si="50"/>
        <v>YES</v>
      </c>
      <c r="BL340" s="64" t="str">
        <f t="shared" si="16"/>
        <v>YES</v>
      </c>
      <c r="BM340" s="64" t="str">
        <f t="shared" si="17"/>
        <v>YES</v>
      </c>
      <c r="BN340" s="124" t="str">
        <f t="shared" si="18"/>
        <v/>
      </c>
      <c r="BO340" s="91" t="str">
        <f t="shared" si="19"/>
        <v/>
      </c>
      <c r="BP340" s="91" t="str">
        <f t="shared" si="20"/>
        <v>#N/A</v>
      </c>
      <c r="BQ340" s="91" t="str">
        <f t="shared" si="21"/>
        <v/>
      </c>
      <c r="BR340" s="93" t="str">
        <f t="shared" si="22"/>
        <v/>
      </c>
      <c r="BS340" s="90" t="str">
        <f t="shared" si="23"/>
        <v/>
      </c>
      <c r="BT340" s="93" t="str">
        <f t="shared" si="24"/>
        <v>NA</v>
      </c>
      <c r="BU340" s="125" t="str">
        <f t="shared" si="25"/>
        <v>#N/A</v>
      </c>
      <c r="BV340" s="93" t="str">
        <f t="shared" si="26"/>
        <v/>
      </c>
      <c r="BW340" s="93" t="str">
        <f t="shared" si="27"/>
        <v/>
      </c>
      <c r="BX340" s="93" t="str">
        <f t="shared" si="28"/>
        <v>NA</v>
      </c>
      <c r="BY340" s="95" t="str">
        <f t="shared" si="29"/>
        <v>#N/A</v>
      </c>
      <c r="BZ340" s="93" t="str">
        <f t="shared" si="30"/>
        <v/>
      </c>
      <c r="CA340" s="93" t="str">
        <f t="shared" si="31"/>
        <v/>
      </c>
      <c r="CB340" s="93" t="str">
        <f t="shared" si="32"/>
        <v>NA</v>
      </c>
      <c r="CC340" s="96" t="str">
        <f t="shared" si="33"/>
        <v>#N/A</v>
      </c>
      <c r="CD340" s="93" t="str">
        <f t="shared" si="34"/>
        <v/>
      </c>
      <c r="CE340" s="93" t="str">
        <f t="shared" si="35"/>
        <v/>
      </c>
      <c r="CF340" s="93" t="str">
        <f t="shared" si="36"/>
        <v>NA</v>
      </c>
      <c r="CG340" s="97" t="str">
        <f t="shared" si="37"/>
        <v>#N/A</v>
      </c>
      <c r="CH340" s="98" t="str">
        <f t="shared" si="38"/>
        <v>#N/A</v>
      </c>
      <c r="CI340" s="99" t="str">
        <f t="shared" si="39"/>
        <v>#N/A</v>
      </c>
      <c r="CJ340" s="126" t="str">
        <f t="shared" si="40"/>
        <v>ERROR: check cell</v>
      </c>
      <c r="CK340" s="126"/>
      <c r="CL340" s="127" t="str">
        <f t="shared" si="41"/>
        <v>#DIV/0!</v>
      </c>
      <c r="CM340" s="128" t="str">
        <f t="shared" si="42"/>
        <v>#DIV/0!</v>
      </c>
      <c r="CN340" s="128">
        <f t="shared" si="43"/>
        <v>4</v>
      </c>
      <c r="CO340" s="129">
        <f t="shared" si="44"/>
        <v>4</v>
      </c>
      <c r="CP340" s="129" t="str">
        <f>IFS(C340=Preferences!B$13,B340,B340=Preferences!B$13,C340)</f>
        <v>#N/A</v>
      </c>
    </row>
    <row r="341" ht="13.5" customHeight="1">
      <c r="A341" s="63" t="str">
        <f t="shared" si="45"/>
        <v/>
      </c>
      <c r="B341" s="64"/>
      <c r="C341" s="64"/>
      <c r="D341" s="64"/>
      <c r="E341" s="65"/>
      <c r="F341" s="65"/>
      <c r="G341" s="65"/>
      <c r="H341" s="66"/>
      <c r="I341" s="66"/>
      <c r="J341" s="67"/>
      <c r="K341" s="68"/>
      <c r="L341" s="104"/>
      <c r="M341" s="104"/>
      <c r="N341" s="104"/>
      <c r="O341" s="104"/>
      <c r="P341" s="107" t="str">
        <f t="shared" si="1"/>
        <v/>
      </c>
      <c r="Q341" s="108" t="str">
        <f>IFERROR(IF(AND(Preferences!B$3="Manual",OR(AX341/AW341&gt;G341/F341,BD341="Serious",BD341="Very serious")),"Assess imprecision",IFS(ISBLANK(E341),"",AND(Preferences!B$3="Automatic", G341/F341&gt;=30),"Extremely serious",AND(H341&lt;=$D$1*-1,J341&lt;0,G341/F341&lt;3),"Not serious",AND(H341&lt;=$D$1*-1,J341&lt;0,G341/F341&gt;=3),"Very serious",AND(H341&gt;=$D$1,I341&gt;0,G341/F341&lt;3),"Not serious",AND(H341&gt;=$D$1,I341&gt;0,G341/F341&gt;=3),"Very serious",AND(H341&lt;=$D$1*-1,J341&gt;0,I341&gt;$D$2*-1,G341/F341&lt;3),"Serious", AND(H341&lt;=$D$1*-1,J341&gt;0,I341&lt;$D$2*-1,G341/F341&lt;3),"Very serious", AND(H341&gt;=$D$1,I341&lt;0,J341&lt;$D$2,G341/F341&lt;3),"Serious",AND(H341&gt;=$D$1,I341&lt;0,J341&gt;$D$2,G341/F341&lt;3),"Very serious", AND(H341&lt;=$D$1*-1,J341&gt;0,I341&gt;$D$2*-1,G341/F341&gt;=3),"Very serious", AND(H341&lt;=$D$1*-1,J341&gt;0,I341&lt;$D$2*-1,G341/F341&gt;=3),"Very serious", AND(H341&gt;=$D$1,I341&lt;0,J341&lt;$D$2,G341/F341&gt;=3),"Very serious", AND(H341&gt;=$D$1,I341&lt;0,J341&gt;$D$2,G341/F341&gt;=3),"Very serious", AND(H341&gt;$D$1*-1,H341&lt;$D$1,I341&gt;$D$1*-1,J341&lt;$D$1,G341/F341&lt;3),"Not serious", AND(H341&gt;$D$1*-1,H341&lt;$D$1,OR(I341&lt;=$D$1*-1,J341&gt;=$D$1),I341&gt;$D$2*-1,J341&lt;$D$2,G341/F341&lt;3),"Serious", AND(H341&gt;$D$1*-1,H341&lt;$D$1,OR(I341&lt;=$D$2*-1,J341&gt;=$D$2),G341/F341&lt;3),"Very serious", AND(H341&gt;$D$1*-1,H341&lt;$D$1,I341&gt;$D$1*-1,J341&lt;$D$1,G341/F341&gt;=3),"Very serious", AND(H341&gt;$D$1*-1,H341&lt;$D$1,OR(I341&lt;=$D$1*-1,J341&gt;=$D$1),I341&gt;$D$2*-1,J341&lt;$D$2,G341/F341&gt;=3),"Very serious", AND(H341&gt;$D$1*-1,H341&lt;$D$1,OR(I341&lt;=$D$2*-1,J341&gt;=$D$2),G341/F341&gt;=3),"Very serious")),"")</f>
        <v/>
      </c>
      <c r="R341" s="109" t="str">
        <f t="shared" si="47"/>
        <v/>
      </c>
      <c r="S341" s="64"/>
      <c r="T341" s="72"/>
      <c r="U341" s="72"/>
      <c r="V341" s="72"/>
      <c r="W341" s="73"/>
      <c r="X341" s="73"/>
      <c r="Y341" s="74"/>
      <c r="Z341" s="113" t="str">
        <f t="array" ref="Z341">INDEX($A$1:$C$500, MATCH(1,($B:$B=$B341)*($C:$C=$AB341),0),1)</f>
        <v/>
      </c>
      <c r="AA341" s="113" t="str">
        <f t="array" ref="AA341">INDEX($A$1:$C$500, MATCH(1,($B:$B=$AB341)*($C:$C=$B341),0),1)</f>
        <v/>
      </c>
      <c r="AB341" s="111"/>
      <c r="AC341" s="114" t="str">
        <f t="shared" si="2"/>
        <v/>
      </c>
      <c r="AD341" s="115" t="str">
        <f t="shared" si="3"/>
        <v/>
      </c>
      <c r="AE341" s="116" t="str">
        <f t="array" ref="AE341">INDEX($A$1:$C$500, MATCH(1,($B:$B=$AB341)*($C:$C=$AG341),0),1)</f>
        <v/>
      </c>
      <c r="AF341" s="116" t="str">
        <f t="array" ref="AF341">INDEX($A$1:$C$500, MATCH(1,($B:$B=$AG341)*($C:$C=$AB341),0),1)</f>
        <v/>
      </c>
      <c r="AG341" s="72"/>
      <c r="AH341" s="114" t="str">
        <f t="shared" si="4"/>
        <v/>
      </c>
      <c r="AI341" s="115" t="str">
        <f t="shared" si="5"/>
        <v/>
      </c>
      <c r="AJ341" s="116" t="str">
        <f t="array" ref="AJ341">INDEX($A$1:$C$500, MATCH(1,($B:$B=$C341)*($C:$C=$AG341),0),1)</f>
        <v/>
      </c>
      <c r="AK341" s="116" t="str">
        <f t="array" ref="AK341">INDEX($A$1:$C$500, MATCH(1,($B:$B=$AG341)*($C:$C=$C341),0),1)</f>
        <v/>
      </c>
      <c r="AL341" s="116" t="str">
        <f t="array" ref="AL341">INDEX($A$1:$C$500, MATCH(1,($B:$B=$C341)*($C:$C=$AB341),0),1)</f>
        <v/>
      </c>
      <c r="AM341" s="116" t="str">
        <f t="array" ref="AM341">INDEX($A$1:$C$500, MATCH(1,($B:$B=$AB341)*($C:$C=$C341),0),1)</f>
        <v/>
      </c>
      <c r="AN341" s="114" t="str">
        <f t="array" ref="AN341">IFS(ISNUMBER(AJ341),AJ341,ISNUMBER(AK341),AK341,ISNUMBER(AL341),AL341,ISNUMBER(AM341),AM341)</f>
        <v>#N/A</v>
      </c>
      <c r="AO341" s="115" t="str">
        <f t="shared" si="6"/>
        <v/>
      </c>
      <c r="AP341" s="115" t="str">
        <f t="shared" si="7"/>
        <v/>
      </c>
      <c r="AQ341" s="111"/>
      <c r="AR341" s="109" t="str">
        <f t="shared" si="8"/>
        <v/>
      </c>
      <c r="AS341" s="72" t="str">
        <f>IFERROR(IF(AND(Preferences!B$3="Manual",OR(AX341/AW341&gt;V341/U341,BD341="Serious",BD341="Very serious")),"Assess imprecision",IFERROR(IFS(AND(Preferences!B$3="Automatic",V341/U341&gt;=30),"Extremely serious",AND(W341&lt;=$D$1*-1,Y341&lt;0,V341/U341&lt;3),"Not Serious",AND(W341&lt;=$D$1*-1,Y341&lt;0,V341/U341&gt;=3),"Very serious",AND(W341&gt;=$D$1,X341&gt;0,V341/U341&lt;3),"Not Serious",AND(W341&gt;=$D$1,X341&gt;0,V341/U341&gt;=3),"Very serious",AND(W341&lt;=$D$1*-1,Y341&gt;0,X341&gt;$D$2*-1,V341/U341&lt;3),"Serious", AND(W341&lt;=$D$1*-1,Y341&gt;0,X341&lt;$D$2*-1,V341/U341&lt;3),"Very serious", AND(W341&gt;=$D$1,X341&lt;0,Y341&lt;$D$2,V341/U341&lt;3),"Serious",AND(W341&gt;=$D$1,X341&lt;0,Y341&gt;$D$2,V341/U341&lt;3),"Very serious", AND(W341&lt;=$D$1*-1,Y341&gt;0,X341&gt;$D$2*-1,V341/U341&gt;=3),"Very serious", AND(W341&lt;=$D$1*-1,Y341&gt;0,X341&lt;$D$2*-1,V341/U341&gt;=3),"Very serious", AND(W341&gt;=$D$1,X341&lt;0,Y341&lt;$D$2,V341/U341&gt;=3),"Very serious", AND(W341&gt;=$D$1,X341&lt;0,Y341&gt;$D$2,V341/U341&gt;=3),"Very serious", AND(W341&gt;$D$1*-1,W341&lt;$D$1,X341&gt;$D$1*-1,Y341&lt;$D$1,V341/U341&lt;3),"Not Serious", AND(W341&gt;$D$1*-1,W341&lt;$D$1,OR(X341&lt;=$D$1*-1,Y341&gt;=$D$1),X341&gt;$D$2*-1,Y341&lt;$D$2,V341/U341&lt;3),"Serious", AND(W341&gt;$D$1*-1,W341&lt;$D$1,OR(X341&lt;=$D$2*-1,Y341&gt;=$D$2),V341/U341&lt;3),"Very serious", AND(W341&gt;$D$1*-1,W341&lt;$D$1,X341&gt;$D$1*-1,Y341&lt;$D$1,V341/U341&gt;=3),"Very serious", AND(W341&gt;$D$1*-1,W341&lt;$D$1,OR(X341&lt;=$D$1*-1,Y341&gt;=$D$1),X341&gt;$D$2*-1,Y341&lt;$D$2,V341/U341&gt;=3),"Very serious", AND(W341&gt;$D$1*-1,W341&lt;$D$1,OR(X341&lt;=$D$2*-1,Y341&gt;=$D$2),V341/U341&gt;=3),"Very serious"),"")),"")</f>
        <v/>
      </c>
      <c r="AT341" s="109" t="str">
        <f t="shared" si="9"/>
        <v/>
      </c>
      <c r="AU341" s="64"/>
      <c r="AV341" s="83"/>
      <c r="AW341" s="83"/>
      <c r="AX341" s="83"/>
      <c r="AY341" s="83"/>
      <c r="AZ341" s="83"/>
      <c r="BA341" s="85"/>
      <c r="BB341" s="86" t="str">
        <f>IF(Preferences!B$9="Manual","",IFS(ISBLANK(B341),"",AND(ISNUMBER(E341)=TRUE,ISNUMBER(T341)=FALSE),"Direct", AND(ISNUMBER(E341)=FALSE,ISNUMBER(T341)=TRUE),"Indirect", CN341=4,"Direct",AND(CL341=FALSE, CM341=TRUE,CN341-CO341&gt;-1),"Direct", AND(CL341=FALSE,CM341=TRUE, CN341-CO341&lt;0),"Check algorithm in appendix 2", AND(CL341=TRUE, CM341=FALSE,CN341-CO341&gt;0),"Check algorithm in appendix 2", AND(CL341=TRUE, CM341=FALSE,CN341-CO341=0),"Indirect", AND(CL341=TRUE, CM341=FALSE,CN341-CO341&lt;0),"Indirect", AND(CL341=FALSE,CM341=FALSE,CN341-CO341&gt;-1),"Direct", AND(CL341=FALSE,CM341=FALSE,CN341-CO341&lt;0),"Check algorithm in appendix 2", AND(CL341=TRUE,CM341=TRUE,CN341-CO341&gt;-1),"Direct", AND(CL341=TRUE,CM341=TRUE,CN341-CO341&lt;0),"Check algorithm in appendix 2"))</f>
        <v/>
      </c>
      <c r="BC341" s="120" t="str">
        <f t="shared" si="10"/>
        <v/>
      </c>
      <c r="BD341" s="140"/>
      <c r="BE341" s="122" t="str">
        <f>IF(Preferences!B$3="Manual","", IFERROR(IFS(AND(Preferences!B$3="Automatic",AX341/AW341&gt;=30),"Extremely serious",AND(AY341&lt;=$D$1*-1,BA341&lt;0,AX341/AW341&lt;3),"Not Serious",AND(AY341&lt;=$D$1*-1,BA341&lt;0,AX341/AW341&gt;=3),"Very serious",AND(AY341&gt;=$D$1,AZ341&gt;0,AX341/AW341&lt;3),"Not Serious",AND(AY341&gt;=$D$1,AZ341&gt;0,AX341/AW341&gt;=3),"Very serious",AND(AY341&lt;=$D$1*-1,BA341&gt;0,AZ341&gt;$D$2*-1,AX341/AW341&lt;3),"Serious", AND(AY341&lt;=$D$1*-1,BA341&gt;0,AZ341&lt;$D$2*-1,AX341/AW341&lt;3),"Very serious", AND(AY341&gt;=$D$1,AZ341&lt;0,BA341&lt;$D$2,AX341/AW341&lt;3),"Serious",AND(AY341&gt;=$D$1,AZ341&lt;0,BA341&gt;$D$2,AX341/AW341&lt;3),"Very serious", AND(AY341&lt;=$D$1*-1,BA341&gt;0,AZ341&gt;$D$2*-1,AX341/AW341&gt;=3),"Very serious", AND(AY341&lt;=$D$1*-1,BA341&gt;0,AZ341&lt;$D$2*-1,AX341/AW341&gt;=3),"Very serious", AND(AY341&gt;=$D$1,AZ341&lt;0,BA341&lt;$D$2,AX341/AW341&gt;=3),"Very serious", AND(AY341&gt;=$D$1,AZ341&lt;0,BA341&gt;$D$2,AX341/AW341&gt;=3),"Very serious", AND(AY341&gt;$D$1*-1,AY341&lt;$D$1,AZ341&gt;$D$1*-1,BA341&lt;$D$1,AX341/AW341&lt;3),"Not Serious", AND(AY341&gt;$D$1*-1,AY341&lt;$D$1,OR(AZ341&lt;=$D$1*-1,BA341&gt;=$D$1),AZ341&gt;$D$2*-1,BA341&lt;$D$2,AX341/AW341&lt;3),"Serious", AND(AY341&gt;$D$1*-1,AY341&lt;$D$1,OR(AZ341&lt;=$D$2*-1,BA341&gt;=$D$2),AX341/AW341&lt;3),"Very serious", AND(AY341&gt;$D$1*-1,AY341&lt;$D$1,AZ341&gt;$D$1*-1,BA341&lt;$D$1,AX341/AW341&gt;=3),"Very serious", AND(AY341&gt;$D$1*-1,AY341&lt;$D$1,OR(AZ341&lt;=$D$1*-1,BA341&gt;=$D$1),AZ341&gt;$D$2*-1,BA341&lt;$D$2,AX341/AW341&gt;=3),"Very serious", AND(AY341&gt;$D$1*-1,AY341&lt;$D$1,OR(AZ341&lt;=$D$2*-1,BA341&gt;=$D$2),AX341/AW341&gt;=3),"Very serious"),""))</f>
        <v/>
      </c>
      <c r="BF341" s="107" t="str">
        <f t="shared" si="11"/>
        <v/>
      </c>
      <c r="BG341" s="94" t="str">
        <f t="shared" si="46"/>
        <v/>
      </c>
      <c r="BH341" s="64" t="str">
        <f t="shared" si="12"/>
        <v>#N/A</v>
      </c>
      <c r="BI341" s="64" t="str">
        <f t="shared" si="13"/>
        <v/>
      </c>
      <c r="BJ341" s="123" t="str">
        <f t="shared" si="14"/>
        <v>#N/A</v>
      </c>
      <c r="BK341" s="64" t="str">
        <f t="shared" si="50"/>
        <v>YES</v>
      </c>
      <c r="BL341" s="64" t="str">
        <f t="shared" si="16"/>
        <v>YES</v>
      </c>
      <c r="BM341" s="64" t="str">
        <f t="shared" si="17"/>
        <v>YES</v>
      </c>
      <c r="BN341" s="124" t="str">
        <f t="shared" si="18"/>
        <v/>
      </c>
      <c r="BO341" s="91" t="str">
        <f t="shared" si="19"/>
        <v/>
      </c>
      <c r="BP341" s="91" t="str">
        <f t="shared" si="20"/>
        <v>#N/A</v>
      </c>
      <c r="BQ341" s="91" t="str">
        <f t="shared" si="21"/>
        <v/>
      </c>
      <c r="BR341" s="93" t="str">
        <f t="shared" si="22"/>
        <v/>
      </c>
      <c r="BS341" s="90" t="str">
        <f t="shared" si="23"/>
        <v/>
      </c>
      <c r="BT341" s="93" t="str">
        <f t="shared" si="24"/>
        <v>NA</v>
      </c>
      <c r="BU341" s="125" t="str">
        <f t="shared" si="25"/>
        <v>#N/A</v>
      </c>
      <c r="BV341" s="93" t="str">
        <f t="shared" si="26"/>
        <v/>
      </c>
      <c r="BW341" s="93" t="str">
        <f t="shared" si="27"/>
        <v/>
      </c>
      <c r="BX341" s="93" t="str">
        <f t="shared" si="28"/>
        <v>NA</v>
      </c>
      <c r="BY341" s="95" t="str">
        <f t="shared" si="29"/>
        <v>#N/A</v>
      </c>
      <c r="BZ341" s="93" t="str">
        <f t="shared" si="30"/>
        <v/>
      </c>
      <c r="CA341" s="93" t="str">
        <f t="shared" si="31"/>
        <v/>
      </c>
      <c r="CB341" s="93" t="str">
        <f t="shared" si="32"/>
        <v>NA</v>
      </c>
      <c r="CC341" s="96" t="str">
        <f t="shared" si="33"/>
        <v>#N/A</v>
      </c>
      <c r="CD341" s="93" t="str">
        <f t="shared" si="34"/>
        <v/>
      </c>
      <c r="CE341" s="93" t="str">
        <f t="shared" si="35"/>
        <v/>
      </c>
      <c r="CF341" s="93" t="str">
        <f t="shared" si="36"/>
        <v>NA</v>
      </c>
      <c r="CG341" s="97" t="str">
        <f t="shared" si="37"/>
        <v>#N/A</v>
      </c>
      <c r="CH341" s="98" t="str">
        <f t="shared" si="38"/>
        <v>#N/A</v>
      </c>
      <c r="CI341" s="99" t="str">
        <f t="shared" si="39"/>
        <v>#N/A</v>
      </c>
      <c r="CJ341" s="126" t="str">
        <f t="shared" si="40"/>
        <v>ERROR: check cell</v>
      </c>
      <c r="CK341" s="126"/>
      <c r="CL341" s="127" t="str">
        <f t="shared" si="41"/>
        <v>#DIV/0!</v>
      </c>
      <c r="CM341" s="128" t="str">
        <f t="shared" si="42"/>
        <v>#DIV/0!</v>
      </c>
      <c r="CN341" s="128">
        <f t="shared" si="43"/>
        <v>4</v>
      </c>
      <c r="CO341" s="129">
        <f t="shared" si="44"/>
        <v>4</v>
      </c>
      <c r="CP341" s="129" t="str">
        <f>IFS(C341=Preferences!B$13,B341,B341=Preferences!B$13,C341)</f>
        <v>#N/A</v>
      </c>
    </row>
    <row r="342" ht="13.5" customHeight="1">
      <c r="A342" s="63" t="str">
        <f t="shared" si="45"/>
        <v/>
      </c>
      <c r="B342" s="64"/>
      <c r="C342" s="64"/>
      <c r="D342" s="64"/>
      <c r="E342" s="65"/>
      <c r="F342" s="65"/>
      <c r="G342" s="65"/>
      <c r="H342" s="66"/>
      <c r="I342" s="66"/>
      <c r="J342" s="67"/>
      <c r="K342" s="68"/>
      <c r="L342" s="104"/>
      <c r="M342" s="104"/>
      <c r="N342" s="104"/>
      <c r="O342" s="104"/>
      <c r="P342" s="107" t="str">
        <f t="shared" si="1"/>
        <v/>
      </c>
      <c r="Q342" s="108" t="str">
        <f>IFERROR(IF(AND(Preferences!B$3="Manual",OR(AX342/AW342&gt;G342/F342,BD342="Serious",BD342="Very serious")),"Assess imprecision",IFS(ISBLANK(E342),"",AND(Preferences!B$3="Automatic", G342/F342&gt;=30),"Extremely serious",AND(H342&lt;=$D$1*-1,J342&lt;0,G342/F342&lt;3),"Not serious",AND(H342&lt;=$D$1*-1,J342&lt;0,G342/F342&gt;=3),"Very serious",AND(H342&gt;=$D$1,I342&gt;0,G342/F342&lt;3),"Not serious",AND(H342&gt;=$D$1,I342&gt;0,G342/F342&gt;=3),"Very serious",AND(H342&lt;=$D$1*-1,J342&gt;0,I342&gt;$D$2*-1,G342/F342&lt;3),"Serious", AND(H342&lt;=$D$1*-1,J342&gt;0,I342&lt;$D$2*-1,G342/F342&lt;3),"Very serious", AND(H342&gt;=$D$1,I342&lt;0,J342&lt;$D$2,G342/F342&lt;3),"Serious",AND(H342&gt;=$D$1,I342&lt;0,J342&gt;$D$2,G342/F342&lt;3),"Very serious", AND(H342&lt;=$D$1*-1,J342&gt;0,I342&gt;$D$2*-1,G342/F342&gt;=3),"Very serious", AND(H342&lt;=$D$1*-1,J342&gt;0,I342&lt;$D$2*-1,G342/F342&gt;=3),"Very serious", AND(H342&gt;=$D$1,I342&lt;0,J342&lt;$D$2,G342/F342&gt;=3),"Very serious", AND(H342&gt;=$D$1,I342&lt;0,J342&gt;$D$2,G342/F342&gt;=3),"Very serious", AND(H342&gt;$D$1*-1,H342&lt;$D$1,I342&gt;$D$1*-1,J342&lt;$D$1,G342/F342&lt;3),"Not serious", AND(H342&gt;$D$1*-1,H342&lt;$D$1,OR(I342&lt;=$D$1*-1,J342&gt;=$D$1),I342&gt;$D$2*-1,J342&lt;$D$2,G342/F342&lt;3),"Serious", AND(H342&gt;$D$1*-1,H342&lt;$D$1,OR(I342&lt;=$D$2*-1,J342&gt;=$D$2),G342/F342&lt;3),"Very serious", AND(H342&gt;$D$1*-1,H342&lt;$D$1,I342&gt;$D$1*-1,J342&lt;$D$1,G342/F342&gt;=3),"Very serious", AND(H342&gt;$D$1*-1,H342&lt;$D$1,OR(I342&lt;=$D$1*-1,J342&gt;=$D$1),I342&gt;$D$2*-1,J342&lt;$D$2,G342/F342&gt;=3),"Very serious", AND(H342&gt;$D$1*-1,H342&lt;$D$1,OR(I342&lt;=$D$2*-1,J342&gt;=$D$2),G342/F342&gt;=3),"Very serious")),"")</f>
        <v/>
      </c>
      <c r="R342" s="109" t="str">
        <f t="shared" si="47"/>
        <v/>
      </c>
      <c r="S342" s="64"/>
      <c r="T342" s="72"/>
      <c r="U342" s="72"/>
      <c r="V342" s="72"/>
      <c r="W342" s="73"/>
      <c r="X342" s="73"/>
      <c r="Y342" s="74"/>
      <c r="Z342" s="113" t="str">
        <f t="array" ref="Z342">INDEX($A$1:$C$500, MATCH(1,($B:$B=$B342)*($C:$C=$AB342),0),1)</f>
        <v/>
      </c>
      <c r="AA342" s="113" t="str">
        <f t="array" ref="AA342">INDEX($A$1:$C$500, MATCH(1,($B:$B=$AB342)*($C:$C=$B342),0),1)</f>
        <v/>
      </c>
      <c r="AB342" s="111"/>
      <c r="AC342" s="114" t="str">
        <f t="shared" si="2"/>
        <v/>
      </c>
      <c r="AD342" s="115" t="str">
        <f t="shared" si="3"/>
        <v/>
      </c>
      <c r="AE342" s="116" t="str">
        <f t="array" ref="AE342">INDEX($A$1:$C$500, MATCH(1,($B:$B=$AB342)*($C:$C=$AG342),0),1)</f>
        <v/>
      </c>
      <c r="AF342" s="116" t="str">
        <f t="array" ref="AF342">INDEX($A$1:$C$500, MATCH(1,($B:$B=$AG342)*($C:$C=$AB342),0),1)</f>
        <v/>
      </c>
      <c r="AG342" s="72"/>
      <c r="AH342" s="114" t="str">
        <f t="shared" si="4"/>
        <v/>
      </c>
      <c r="AI342" s="115" t="str">
        <f t="shared" si="5"/>
        <v/>
      </c>
      <c r="AJ342" s="116" t="str">
        <f t="array" ref="AJ342">INDEX($A$1:$C$500, MATCH(1,($B:$B=$C342)*($C:$C=$AG342),0),1)</f>
        <v/>
      </c>
      <c r="AK342" s="116" t="str">
        <f t="array" ref="AK342">INDEX($A$1:$C$500, MATCH(1,($B:$B=$AG342)*($C:$C=$C342),0),1)</f>
        <v/>
      </c>
      <c r="AL342" s="116" t="str">
        <f t="array" ref="AL342">INDEX($A$1:$C$500, MATCH(1,($B:$B=$C342)*($C:$C=$AB342),0),1)</f>
        <v/>
      </c>
      <c r="AM342" s="116" t="str">
        <f t="array" ref="AM342">INDEX($A$1:$C$500, MATCH(1,($B:$B=$AB342)*($C:$C=$C342),0),1)</f>
        <v/>
      </c>
      <c r="AN342" s="114" t="str">
        <f t="array" ref="AN342">IFS(ISNUMBER(AJ342),AJ342,ISNUMBER(AK342),AK342,ISNUMBER(AL342),AL342,ISNUMBER(AM342),AM342)</f>
        <v>#N/A</v>
      </c>
      <c r="AO342" s="115" t="str">
        <f t="shared" si="6"/>
        <v/>
      </c>
      <c r="AP342" s="115" t="str">
        <f t="shared" si="7"/>
        <v/>
      </c>
      <c r="AQ342" s="111"/>
      <c r="AR342" s="109" t="str">
        <f t="shared" si="8"/>
        <v/>
      </c>
      <c r="AS342" s="72" t="str">
        <f>IFERROR(IF(AND(Preferences!B$3="Manual",OR(AX342/AW342&gt;V342/U342,BD342="Serious",BD342="Very serious")),"Assess imprecision",IFERROR(IFS(AND(Preferences!B$3="Automatic",V342/U342&gt;=30),"Extremely serious",AND(W342&lt;=$D$1*-1,Y342&lt;0,V342/U342&lt;3),"Not Serious",AND(W342&lt;=$D$1*-1,Y342&lt;0,V342/U342&gt;=3),"Very serious",AND(W342&gt;=$D$1,X342&gt;0,V342/U342&lt;3),"Not Serious",AND(W342&gt;=$D$1,X342&gt;0,V342/U342&gt;=3),"Very serious",AND(W342&lt;=$D$1*-1,Y342&gt;0,X342&gt;$D$2*-1,V342/U342&lt;3),"Serious", AND(W342&lt;=$D$1*-1,Y342&gt;0,X342&lt;$D$2*-1,V342/U342&lt;3),"Very serious", AND(W342&gt;=$D$1,X342&lt;0,Y342&lt;$D$2,V342/U342&lt;3),"Serious",AND(W342&gt;=$D$1,X342&lt;0,Y342&gt;$D$2,V342/U342&lt;3),"Very serious", AND(W342&lt;=$D$1*-1,Y342&gt;0,X342&gt;$D$2*-1,V342/U342&gt;=3),"Very serious", AND(W342&lt;=$D$1*-1,Y342&gt;0,X342&lt;$D$2*-1,V342/U342&gt;=3),"Very serious", AND(W342&gt;=$D$1,X342&lt;0,Y342&lt;$D$2,V342/U342&gt;=3),"Very serious", AND(W342&gt;=$D$1,X342&lt;0,Y342&gt;$D$2,V342/U342&gt;=3),"Very serious", AND(W342&gt;$D$1*-1,W342&lt;$D$1,X342&gt;$D$1*-1,Y342&lt;$D$1,V342/U342&lt;3),"Not Serious", AND(W342&gt;$D$1*-1,W342&lt;$D$1,OR(X342&lt;=$D$1*-1,Y342&gt;=$D$1),X342&gt;$D$2*-1,Y342&lt;$D$2,V342/U342&lt;3),"Serious", AND(W342&gt;$D$1*-1,W342&lt;$D$1,OR(X342&lt;=$D$2*-1,Y342&gt;=$D$2),V342/U342&lt;3),"Very serious", AND(W342&gt;$D$1*-1,W342&lt;$D$1,X342&gt;$D$1*-1,Y342&lt;$D$1,V342/U342&gt;=3),"Very serious", AND(W342&gt;$D$1*-1,W342&lt;$D$1,OR(X342&lt;=$D$1*-1,Y342&gt;=$D$1),X342&gt;$D$2*-1,Y342&lt;$D$2,V342/U342&gt;=3),"Very serious", AND(W342&gt;$D$1*-1,W342&lt;$D$1,OR(X342&lt;=$D$2*-1,Y342&gt;=$D$2),V342/U342&gt;=3),"Very serious"),"")),"")</f>
        <v/>
      </c>
      <c r="AT342" s="109" t="str">
        <f t="shared" si="9"/>
        <v/>
      </c>
      <c r="AU342" s="64"/>
      <c r="AV342" s="83"/>
      <c r="AW342" s="83"/>
      <c r="AX342" s="83"/>
      <c r="AY342" s="83"/>
      <c r="AZ342" s="83"/>
      <c r="BA342" s="85"/>
      <c r="BB342" s="86" t="str">
        <f>IF(Preferences!B$9="Manual","",IFS(ISBLANK(B342),"",AND(ISNUMBER(E342)=TRUE,ISNUMBER(T342)=FALSE),"Direct", AND(ISNUMBER(E342)=FALSE,ISNUMBER(T342)=TRUE),"Indirect", CN342=4,"Direct",AND(CL342=FALSE, CM342=TRUE,CN342-CO342&gt;-1),"Direct", AND(CL342=FALSE,CM342=TRUE, CN342-CO342&lt;0),"Check algorithm in appendix 2", AND(CL342=TRUE, CM342=FALSE,CN342-CO342&gt;0),"Check algorithm in appendix 2", AND(CL342=TRUE, CM342=FALSE,CN342-CO342=0),"Indirect", AND(CL342=TRUE, CM342=FALSE,CN342-CO342&lt;0),"Indirect", AND(CL342=FALSE,CM342=FALSE,CN342-CO342&gt;-1),"Direct", AND(CL342=FALSE,CM342=FALSE,CN342-CO342&lt;0),"Check algorithm in appendix 2", AND(CL342=TRUE,CM342=TRUE,CN342-CO342&gt;-1),"Direct", AND(CL342=TRUE,CM342=TRUE,CN342-CO342&lt;0),"Check algorithm in appendix 2"))</f>
        <v/>
      </c>
      <c r="BC342" s="120" t="str">
        <f t="shared" si="10"/>
        <v/>
      </c>
      <c r="BD342" s="140"/>
      <c r="BE342" s="122" t="str">
        <f>IF(Preferences!B$3="Manual","", IFERROR(IFS(AND(Preferences!B$3="Automatic",AX342/AW342&gt;=30),"Extremely serious",AND(AY342&lt;=$D$1*-1,BA342&lt;0,AX342/AW342&lt;3),"Not Serious",AND(AY342&lt;=$D$1*-1,BA342&lt;0,AX342/AW342&gt;=3),"Very serious",AND(AY342&gt;=$D$1,AZ342&gt;0,AX342/AW342&lt;3),"Not Serious",AND(AY342&gt;=$D$1,AZ342&gt;0,AX342/AW342&gt;=3),"Very serious",AND(AY342&lt;=$D$1*-1,BA342&gt;0,AZ342&gt;$D$2*-1,AX342/AW342&lt;3),"Serious", AND(AY342&lt;=$D$1*-1,BA342&gt;0,AZ342&lt;$D$2*-1,AX342/AW342&lt;3),"Very serious", AND(AY342&gt;=$D$1,AZ342&lt;0,BA342&lt;$D$2,AX342/AW342&lt;3),"Serious",AND(AY342&gt;=$D$1,AZ342&lt;0,BA342&gt;$D$2,AX342/AW342&lt;3),"Very serious", AND(AY342&lt;=$D$1*-1,BA342&gt;0,AZ342&gt;$D$2*-1,AX342/AW342&gt;=3),"Very serious", AND(AY342&lt;=$D$1*-1,BA342&gt;0,AZ342&lt;$D$2*-1,AX342/AW342&gt;=3),"Very serious", AND(AY342&gt;=$D$1,AZ342&lt;0,BA342&lt;$D$2,AX342/AW342&gt;=3),"Very serious", AND(AY342&gt;=$D$1,AZ342&lt;0,BA342&gt;$D$2,AX342/AW342&gt;=3),"Very serious", AND(AY342&gt;$D$1*-1,AY342&lt;$D$1,AZ342&gt;$D$1*-1,BA342&lt;$D$1,AX342/AW342&lt;3),"Not Serious", AND(AY342&gt;$D$1*-1,AY342&lt;$D$1,OR(AZ342&lt;=$D$1*-1,BA342&gt;=$D$1),AZ342&gt;$D$2*-1,BA342&lt;$D$2,AX342/AW342&lt;3),"Serious", AND(AY342&gt;$D$1*-1,AY342&lt;$D$1,OR(AZ342&lt;=$D$2*-1,BA342&gt;=$D$2),AX342/AW342&lt;3),"Very serious", AND(AY342&gt;$D$1*-1,AY342&lt;$D$1,AZ342&gt;$D$1*-1,BA342&lt;$D$1,AX342/AW342&gt;=3),"Very serious", AND(AY342&gt;$D$1*-1,AY342&lt;$D$1,OR(AZ342&lt;=$D$1*-1,BA342&gt;=$D$1),AZ342&gt;$D$2*-1,BA342&lt;$D$2,AX342/AW342&gt;=3),"Very serious", AND(AY342&gt;$D$1*-1,AY342&lt;$D$1,OR(AZ342&lt;=$D$2*-1,BA342&gt;=$D$2),AX342/AW342&gt;=3),"Very serious"),""))</f>
        <v/>
      </c>
      <c r="BF342" s="107" t="str">
        <f t="shared" si="11"/>
        <v/>
      </c>
      <c r="BG342" s="94" t="str">
        <f t="shared" si="46"/>
        <v/>
      </c>
      <c r="BH342" s="64" t="str">
        <f t="shared" si="12"/>
        <v>#N/A</v>
      </c>
      <c r="BI342" s="64" t="str">
        <f t="shared" si="13"/>
        <v/>
      </c>
      <c r="BJ342" s="123" t="str">
        <f t="shared" si="14"/>
        <v>#N/A</v>
      </c>
      <c r="BK342" s="64" t="str">
        <f t="shared" si="50"/>
        <v>YES</v>
      </c>
      <c r="BL342" s="64" t="str">
        <f t="shared" si="16"/>
        <v>YES</v>
      </c>
      <c r="BM342" s="64" t="str">
        <f t="shared" si="17"/>
        <v>YES</v>
      </c>
      <c r="BN342" s="124" t="str">
        <f t="shared" si="18"/>
        <v/>
      </c>
      <c r="BO342" s="91" t="str">
        <f t="shared" si="19"/>
        <v/>
      </c>
      <c r="BP342" s="91" t="str">
        <f t="shared" si="20"/>
        <v>#N/A</v>
      </c>
      <c r="BQ342" s="91" t="str">
        <f t="shared" si="21"/>
        <v/>
      </c>
      <c r="BR342" s="93" t="str">
        <f t="shared" si="22"/>
        <v/>
      </c>
      <c r="BS342" s="90" t="str">
        <f t="shared" si="23"/>
        <v/>
      </c>
      <c r="BT342" s="93" t="str">
        <f t="shared" si="24"/>
        <v>NA</v>
      </c>
      <c r="BU342" s="125" t="str">
        <f t="shared" si="25"/>
        <v>#N/A</v>
      </c>
      <c r="BV342" s="93" t="str">
        <f t="shared" si="26"/>
        <v/>
      </c>
      <c r="BW342" s="93" t="str">
        <f t="shared" si="27"/>
        <v/>
      </c>
      <c r="BX342" s="93" t="str">
        <f t="shared" si="28"/>
        <v>NA</v>
      </c>
      <c r="BY342" s="95" t="str">
        <f t="shared" si="29"/>
        <v>#N/A</v>
      </c>
      <c r="BZ342" s="93" t="str">
        <f t="shared" si="30"/>
        <v/>
      </c>
      <c r="CA342" s="93" t="str">
        <f t="shared" si="31"/>
        <v/>
      </c>
      <c r="CB342" s="93" t="str">
        <f t="shared" si="32"/>
        <v>NA</v>
      </c>
      <c r="CC342" s="96" t="str">
        <f t="shared" si="33"/>
        <v>#N/A</v>
      </c>
      <c r="CD342" s="93" t="str">
        <f t="shared" si="34"/>
        <v/>
      </c>
      <c r="CE342" s="93" t="str">
        <f t="shared" si="35"/>
        <v/>
      </c>
      <c r="CF342" s="93" t="str">
        <f t="shared" si="36"/>
        <v>NA</v>
      </c>
      <c r="CG342" s="97" t="str">
        <f t="shared" si="37"/>
        <v>#N/A</v>
      </c>
      <c r="CH342" s="98" t="str">
        <f t="shared" si="38"/>
        <v>#N/A</v>
      </c>
      <c r="CI342" s="99" t="str">
        <f t="shared" si="39"/>
        <v>#N/A</v>
      </c>
      <c r="CJ342" s="126" t="str">
        <f t="shared" si="40"/>
        <v>ERROR: check cell</v>
      </c>
      <c r="CK342" s="126"/>
      <c r="CL342" s="127" t="str">
        <f t="shared" si="41"/>
        <v>#DIV/0!</v>
      </c>
      <c r="CM342" s="128" t="str">
        <f t="shared" si="42"/>
        <v>#DIV/0!</v>
      </c>
      <c r="CN342" s="128">
        <f t="shared" si="43"/>
        <v>4</v>
      </c>
      <c r="CO342" s="129">
        <f t="shared" si="44"/>
        <v>4</v>
      </c>
      <c r="CP342" s="129" t="str">
        <f>IFS(C342=Preferences!B$13,B342,B342=Preferences!B$13,C342)</f>
        <v>#N/A</v>
      </c>
    </row>
    <row r="343" ht="13.5" customHeight="1">
      <c r="A343" s="63" t="str">
        <f t="shared" si="45"/>
        <v/>
      </c>
      <c r="B343" s="64"/>
      <c r="C343" s="64"/>
      <c r="D343" s="64"/>
      <c r="E343" s="65"/>
      <c r="F343" s="65"/>
      <c r="G343" s="65"/>
      <c r="H343" s="66"/>
      <c r="I343" s="66"/>
      <c r="J343" s="67"/>
      <c r="K343" s="68"/>
      <c r="L343" s="104"/>
      <c r="M343" s="104"/>
      <c r="N343" s="104"/>
      <c r="O343" s="104"/>
      <c r="P343" s="107" t="str">
        <f t="shared" si="1"/>
        <v/>
      </c>
      <c r="Q343" s="108" t="str">
        <f>IFERROR(IF(AND(Preferences!B$3="Manual",OR(AX343/AW343&gt;G343/F343,BD343="Serious",BD343="Very serious")),"Assess imprecision",IFS(ISBLANK(E343),"",AND(Preferences!B$3="Automatic", G343/F343&gt;=30),"Extremely serious",AND(H343&lt;=$D$1*-1,J343&lt;0,G343/F343&lt;3),"Not serious",AND(H343&lt;=$D$1*-1,J343&lt;0,G343/F343&gt;=3),"Very serious",AND(H343&gt;=$D$1,I343&gt;0,G343/F343&lt;3),"Not serious",AND(H343&gt;=$D$1,I343&gt;0,G343/F343&gt;=3),"Very serious",AND(H343&lt;=$D$1*-1,J343&gt;0,I343&gt;$D$2*-1,G343/F343&lt;3),"Serious", AND(H343&lt;=$D$1*-1,J343&gt;0,I343&lt;$D$2*-1,G343/F343&lt;3),"Very serious", AND(H343&gt;=$D$1,I343&lt;0,J343&lt;$D$2,G343/F343&lt;3),"Serious",AND(H343&gt;=$D$1,I343&lt;0,J343&gt;$D$2,G343/F343&lt;3),"Very serious", AND(H343&lt;=$D$1*-1,J343&gt;0,I343&gt;$D$2*-1,G343/F343&gt;=3),"Very serious", AND(H343&lt;=$D$1*-1,J343&gt;0,I343&lt;$D$2*-1,G343/F343&gt;=3),"Very serious", AND(H343&gt;=$D$1,I343&lt;0,J343&lt;$D$2,G343/F343&gt;=3),"Very serious", AND(H343&gt;=$D$1,I343&lt;0,J343&gt;$D$2,G343/F343&gt;=3),"Very serious", AND(H343&gt;$D$1*-1,H343&lt;$D$1,I343&gt;$D$1*-1,J343&lt;$D$1,G343/F343&lt;3),"Not serious", AND(H343&gt;$D$1*-1,H343&lt;$D$1,OR(I343&lt;=$D$1*-1,J343&gt;=$D$1),I343&gt;$D$2*-1,J343&lt;$D$2,G343/F343&lt;3),"Serious", AND(H343&gt;$D$1*-1,H343&lt;$D$1,OR(I343&lt;=$D$2*-1,J343&gt;=$D$2),G343/F343&lt;3),"Very serious", AND(H343&gt;$D$1*-1,H343&lt;$D$1,I343&gt;$D$1*-1,J343&lt;$D$1,G343/F343&gt;=3),"Very serious", AND(H343&gt;$D$1*-1,H343&lt;$D$1,OR(I343&lt;=$D$1*-1,J343&gt;=$D$1),I343&gt;$D$2*-1,J343&lt;$D$2,G343/F343&gt;=3),"Very serious", AND(H343&gt;$D$1*-1,H343&lt;$D$1,OR(I343&lt;=$D$2*-1,J343&gt;=$D$2),G343/F343&gt;=3),"Very serious")),"")</f>
        <v/>
      </c>
      <c r="R343" s="109" t="str">
        <f t="shared" si="47"/>
        <v/>
      </c>
      <c r="S343" s="64"/>
      <c r="T343" s="72"/>
      <c r="U343" s="72"/>
      <c r="V343" s="72"/>
      <c r="W343" s="73"/>
      <c r="X343" s="73"/>
      <c r="Y343" s="74"/>
      <c r="Z343" s="113" t="str">
        <f t="array" ref="Z343">INDEX($A$1:$C$500, MATCH(1,($B:$B=$B343)*($C:$C=$AB343),0),1)</f>
        <v/>
      </c>
      <c r="AA343" s="113" t="str">
        <f t="array" ref="AA343">INDEX($A$1:$C$500, MATCH(1,($B:$B=$AB343)*($C:$C=$B343),0),1)</f>
        <v/>
      </c>
      <c r="AB343" s="111"/>
      <c r="AC343" s="114" t="str">
        <f t="shared" si="2"/>
        <v/>
      </c>
      <c r="AD343" s="115" t="str">
        <f t="shared" si="3"/>
        <v/>
      </c>
      <c r="AE343" s="116" t="str">
        <f t="array" ref="AE343">INDEX($A$1:$C$500, MATCH(1,($B:$B=$AB343)*($C:$C=$AG343),0),1)</f>
        <v/>
      </c>
      <c r="AF343" s="116" t="str">
        <f t="array" ref="AF343">INDEX($A$1:$C$500, MATCH(1,($B:$B=$AG343)*($C:$C=$AB343),0),1)</f>
        <v/>
      </c>
      <c r="AG343" s="72"/>
      <c r="AH343" s="114" t="str">
        <f t="shared" si="4"/>
        <v/>
      </c>
      <c r="AI343" s="115" t="str">
        <f t="shared" si="5"/>
        <v/>
      </c>
      <c r="AJ343" s="116" t="str">
        <f t="array" ref="AJ343">INDEX($A$1:$C$500, MATCH(1,($B:$B=$C343)*($C:$C=$AG343),0),1)</f>
        <v/>
      </c>
      <c r="AK343" s="116" t="str">
        <f t="array" ref="AK343">INDEX($A$1:$C$500, MATCH(1,($B:$B=$AG343)*($C:$C=$C343),0),1)</f>
        <v/>
      </c>
      <c r="AL343" s="116" t="str">
        <f t="array" ref="AL343">INDEX($A$1:$C$500, MATCH(1,($B:$B=$C343)*($C:$C=$AB343),0),1)</f>
        <v/>
      </c>
      <c r="AM343" s="116" t="str">
        <f t="array" ref="AM343">INDEX($A$1:$C$500, MATCH(1,($B:$B=$AB343)*($C:$C=$C343),0),1)</f>
        <v/>
      </c>
      <c r="AN343" s="114" t="str">
        <f t="array" ref="AN343">IFS(ISNUMBER(AJ343),AJ343,ISNUMBER(AK343),AK343,ISNUMBER(AL343),AL343,ISNUMBER(AM343),AM343)</f>
        <v>#N/A</v>
      </c>
      <c r="AO343" s="115" t="str">
        <f t="shared" si="6"/>
        <v/>
      </c>
      <c r="AP343" s="115" t="str">
        <f t="shared" si="7"/>
        <v/>
      </c>
      <c r="AQ343" s="111"/>
      <c r="AR343" s="109" t="str">
        <f t="shared" si="8"/>
        <v/>
      </c>
      <c r="AS343" s="72" t="str">
        <f>IFERROR(IF(AND(Preferences!B$3="Manual",OR(AX343/AW343&gt;V343/U343,BD343="Serious",BD343="Very serious")),"Assess imprecision",IFERROR(IFS(AND(Preferences!B$3="Automatic",V343/U343&gt;=30),"Extremely serious",AND(W343&lt;=$D$1*-1,Y343&lt;0,V343/U343&lt;3),"Not Serious",AND(W343&lt;=$D$1*-1,Y343&lt;0,V343/U343&gt;=3),"Very serious",AND(W343&gt;=$D$1,X343&gt;0,V343/U343&lt;3),"Not Serious",AND(W343&gt;=$D$1,X343&gt;0,V343/U343&gt;=3),"Very serious",AND(W343&lt;=$D$1*-1,Y343&gt;0,X343&gt;$D$2*-1,V343/U343&lt;3),"Serious", AND(W343&lt;=$D$1*-1,Y343&gt;0,X343&lt;$D$2*-1,V343/U343&lt;3),"Very serious", AND(W343&gt;=$D$1,X343&lt;0,Y343&lt;$D$2,V343/U343&lt;3),"Serious",AND(W343&gt;=$D$1,X343&lt;0,Y343&gt;$D$2,V343/U343&lt;3),"Very serious", AND(W343&lt;=$D$1*-1,Y343&gt;0,X343&gt;$D$2*-1,V343/U343&gt;=3),"Very serious", AND(W343&lt;=$D$1*-1,Y343&gt;0,X343&lt;$D$2*-1,V343/U343&gt;=3),"Very serious", AND(W343&gt;=$D$1,X343&lt;0,Y343&lt;$D$2,V343/U343&gt;=3),"Very serious", AND(W343&gt;=$D$1,X343&lt;0,Y343&gt;$D$2,V343/U343&gt;=3),"Very serious", AND(W343&gt;$D$1*-1,W343&lt;$D$1,X343&gt;$D$1*-1,Y343&lt;$D$1,V343/U343&lt;3),"Not Serious", AND(W343&gt;$D$1*-1,W343&lt;$D$1,OR(X343&lt;=$D$1*-1,Y343&gt;=$D$1),X343&gt;$D$2*-1,Y343&lt;$D$2,V343/U343&lt;3),"Serious", AND(W343&gt;$D$1*-1,W343&lt;$D$1,OR(X343&lt;=$D$2*-1,Y343&gt;=$D$2),V343/U343&lt;3),"Very serious", AND(W343&gt;$D$1*-1,W343&lt;$D$1,X343&gt;$D$1*-1,Y343&lt;$D$1,V343/U343&gt;=3),"Very serious", AND(W343&gt;$D$1*-1,W343&lt;$D$1,OR(X343&lt;=$D$1*-1,Y343&gt;=$D$1),X343&gt;$D$2*-1,Y343&lt;$D$2,V343/U343&gt;=3),"Very serious", AND(W343&gt;$D$1*-1,W343&lt;$D$1,OR(X343&lt;=$D$2*-1,Y343&gt;=$D$2),V343/U343&gt;=3),"Very serious"),"")),"")</f>
        <v/>
      </c>
      <c r="AT343" s="109" t="str">
        <f t="shared" si="9"/>
        <v/>
      </c>
      <c r="AU343" s="64"/>
      <c r="AV343" s="83"/>
      <c r="AW343" s="83"/>
      <c r="AX343" s="83"/>
      <c r="AY343" s="83"/>
      <c r="AZ343" s="83"/>
      <c r="BA343" s="85"/>
      <c r="BB343" s="86" t="str">
        <f>IF(Preferences!B$9="Manual","",IFS(ISBLANK(B343),"",AND(ISNUMBER(E343)=TRUE,ISNUMBER(T343)=FALSE),"Direct", AND(ISNUMBER(E343)=FALSE,ISNUMBER(T343)=TRUE),"Indirect", CN343=4,"Direct",AND(CL343=FALSE, CM343=TRUE,CN343-CO343&gt;-1),"Direct", AND(CL343=FALSE,CM343=TRUE, CN343-CO343&lt;0),"Check algorithm in appendix 2", AND(CL343=TRUE, CM343=FALSE,CN343-CO343&gt;0),"Check algorithm in appendix 2", AND(CL343=TRUE, CM343=FALSE,CN343-CO343=0),"Indirect", AND(CL343=TRUE, CM343=FALSE,CN343-CO343&lt;0),"Indirect", AND(CL343=FALSE,CM343=FALSE,CN343-CO343&gt;-1),"Direct", AND(CL343=FALSE,CM343=FALSE,CN343-CO343&lt;0),"Check algorithm in appendix 2", AND(CL343=TRUE,CM343=TRUE,CN343-CO343&gt;-1),"Direct", AND(CL343=TRUE,CM343=TRUE,CN343-CO343&lt;0),"Check algorithm in appendix 2"))</f>
        <v/>
      </c>
      <c r="BC343" s="120" t="str">
        <f t="shared" si="10"/>
        <v/>
      </c>
      <c r="BD343" s="140"/>
      <c r="BE343" s="122" t="str">
        <f>IF(Preferences!B$3="Manual","", IFERROR(IFS(AND(Preferences!B$3="Automatic",AX343/AW343&gt;=30),"Extremely serious",AND(AY343&lt;=$D$1*-1,BA343&lt;0,AX343/AW343&lt;3),"Not Serious",AND(AY343&lt;=$D$1*-1,BA343&lt;0,AX343/AW343&gt;=3),"Very serious",AND(AY343&gt;=$D$1,AZ343&gt;0,AX343/AW343&lt;3),"Not Serious",AND(AY343&gt;=$D$1,AZ343&gt;0,AX343/AW343&gt;=3),"Very serious",AND(AY343&lt;=$D$1*-1,BA343&gt;0,AZ343&gt;$D$2*-1,AX343/AW343&lt;3),"Serious", AND(AY343&lt;=$D$1*-1,BA343&gt;0,AZ343&lt;$D$2*-1,AX343/AW343&lt;3),"Very serious", AND(AY343&gt;=$D$1,AZ343&lt;0,BA343&lt;$D$2,AX343/AW343&lt;3),"Serious",AND(AY343&gt;=$D$1,AZ343&lt;0,BA343&gt;$D$2,AX343/AW343&lt;3),"Very serious", AND(AY343&lt;=$D$1*-1,BA343&gt;0,AZ343&gt;$D$2*-1,AX343/AW343&gt;=3),"Very serious", AND(AY343&lt;=$D$1*-1,BA343&gt;0,AZ343&lt;$D$2*-1,AX343/AW343&gt;=3),"Very serious", AND(AY343&gt;=$D$1,AZ343&lt;0,BA343&lt;$D$2,AX343/AW343&gt;=3),"Very serious", AND(AY343&gt;=$D$1,AZ343&lt;0,BA343&gt;$D$2,AX343/AW343&gt;=3),"Very serious", AND(AY343&gt;$D$1*-1,AY343&lt;$D$1,AZ343&gt;$D$1*-1,BA343&lt;$D$1,AX343/AW343&lt;3),"Not Serious", AND(AY343&gt;$D$1*-1,AY343&lt;$D$1,OR(AZ343&lt;=$D$1*-1,BA343&gt;=$D$1),AZ343&gt;$D$2*-1,BA343&lt;$D$2,AX343/AW343&lt;3),"Serious", AND(AY343&gt;$D$1*-1,AY343&lt;$D$1,OR(AZ343&lt;=$D$2*-1,BA343&gt;=$D$2),AX343/AW343&lt;3),"Very serious", AND(AY343&gt;$D$1*-1,AY343&lt;$D$1,AZ343&gt;$D$1*-1,BA343&lt;$D$1,AX343/AW343&gt;=3),"Very serious", AND(AY343&gt;$D$1*-1,AY343&lt;$D$1,OR(AZ343&lt;=$D$1*-1,BA343&gt;=$D$1),AZ343&gt;$D$2*-1,BA343&lt;$D$2,AX343/AW343&gt;=3),"Very serious", AND(AY343&gt;$D$1*-1,AY343&lt;$D$1,OR(AZ343&lt;=$D$2*-1,BA343&gt;=$D$2),AX343/AW343&gt;=3),"Very serious"),""))</f>
        <v/>
      </c>
      <c r="BF343" s="107" t="str">
        <f t="shared" si="11"/>
        <v/>
      </c>
      <c r="BG343" s="94" t="str">
        <f t="shared" si="46"/>
        <v/>
      </c>
      <c r="BH343" s="64" t="str">
        <f t="shared" si="12"/>
        <v>#N/A</v>
      </c>
      <c r="BI343" s="64" t="str">
        <f t="shared" si="13"/>
        <v/>
      </c>
      <c r="BJ343" s="123" t="str">
        <f t="shared" si="14"/>
        <v>#N/A</v>
      </c>
      <c r="BK343" s="64" t="str">
        <f t="shared" si="50"/>
        <v>YES</v>
      </c>
      <c r="BL343" s="64" t="str">
        <f t="shared" si="16"/>
        <v>YES</v>
      </c>
      <c r="BM343" s="64" t="str">
        <f t="shared" si="17"/>
        <v>YES</v>
      </c>
      <c r="BN343" s="124" t="str">
        <f t="shared" si="18"/>
        <v/>
      </c>
      <c r="BO343" s="91" t="str">
        <f t="shared" si="19"/>
        <v/>
      </c>
      <c r="BP343" s="91" t="str">
        <f t="shared" si="20"/>
        <v>#N/A</v>
      </c>
      <c r="BQ343" s="91" t="str">
        <f t="shared" si="21"/>
        <v/>
      </c>
      <c r="BR343" s="93" t="str">
        <f t="shared" si="22"/>
        <v/>
      </c>
      <c r="BS343" s="90" t="str">
        <f t="shared" si="23"/>
        <v/>
      </c>
      <c r="BT343" s="93" t="str">
        <f t="shared" si="24"/>
        <v>NA</v>
      </c>
      <c r="BU343" s="125" t="str">
        <f t="shared" si="25"/>
        <v>#N/A</v>
      </c>
      <c r="BV343" s="93" t="str">
        <f t="shared" si="26"/>
        <v/>
      </c>
      <c r="BW343" s="93" t="str">
        <f t="shared" si="27"/>
        <v/>
      </c>
      <c r="BX343" s="93" t="str">
        <f t="shared" si="28"/>
        <v>NA</v>
      </c>
      <c r="BY343" s="95" t="str">
        <f t="shared" si="29"/>
        <v>#N/A</v>
      </c>
      <c r="BZ343" s="93" t="str">
        <f t="shared" si="30"/>
        <v/>
      </c>
      <c r="CA343" s="93" t="str">
        <f t="shared" si="31"/>
        <v/>
      </c>
      <c r="CB343" s="93" t="str">
        <f t="shared" si="32"/>
        <v>NA</v>
      </c>
      <c r="CC343" s="96" t="str">
        <f t="shared" si="33"/>
        <v>#N/A</v>
      </c>
      <c r="CD343" s="93" t="str">
        <f t="shared" si="34"/>
        <v/>
      </c>
      <c r="CE343" s="93" t="str">
        <f t="shared" si="35"/>
        <v/>
      </c>
      <c r="CF343" s="93" t="str">
        <f t="shared" si="36"/>
        <v>NA</v>
      </c>
      <c r="CG343" s="97" t="str">
        <f t="shared" si="37"/>
        <v>#N/A</v>
      </c>
      <c r="CH343" s="98" t="str">
        <f t="shared" si="38"/>
        <v>#N/A</v>
      </c>
      <c r="CI343" s="99" t="str">
        <f t="shared" si="39"/>
        <v>#N/A</v>
      </c>
      <c r="CJ343" s="126" t="str">
        <f t="shared" si="40"/>
        <v>ERROR: check cell</v>
      </c>
      <c r="CK343" s="126"/>
      <c r="CL343" s="127" t="str">
        <f t="shared" si="41"/>
        <v>#DIV/0!</v>
      </c>
      <c r="CM343" s="128" t="str">
        <f t="shared" si="42"/>
        <v>#DIV/0!</v>
      </c>
      <c r="CN343" s="128">
        <f t="shared" si="43"/>
        <v>4</v>
      </c>
      <c r="CO343" s="129">
        <f t="shared" si="44"/>
        <v>4</v>
      </c>
      <c r="CP343" s="129" t="str">
        <f>IFS(C343=Preferences!B$13,B343,B343=Preferences!B$13,C343)</f>
        <v>#N/A</v>
      </c>
    </row>
    <row r="344" ht="13.5" customHeight="1">
      <c r="A344" s="63" t="str">
        <f t="shared" si="45"/>
        <v/>
      </c>
      <c r="B344" s="64"/>
      <c r="C344" s="64"/>
      <c r="D344" s="64"/>
      <c r="E344" s="65"/>
      <c r="F344" s="65"/>
      <c r="G344" s="65"/>
      <c r="H344" s="66"/>
      <c r="I344" s="66"/>
      <c r="J344" s="67"/>
      <c r="K344" s="68"/>
      <c r="L344" s="104"/>
      <c r="M344" s="104"/>
      <c r="N344" s="104"/>
      <c r="O344" s="104"/>
      <c r="P344" s="107" t="str">
        <f t="shared" si="1"/>
        <v/>
      </c>
      <c r="Q344" s="108" t="str">
        <f>IFERROR(IF(AND(Preferences!B$3="Manual",OR(AX344/AW344&gt;G344/F344,BD344="Serious",BD344="Very serious")),"Assess imprecision",IFS(ISBLANK(E344),"",AND(Preferences!B$3="Automatic", G344/F344&gt;=30),"Extremely serious",AND(H344&lt;=$D$1*-1,J344&lt;0,G344/F344&lt;3),"Not serious",AND(H344&lt;=$D$1*-1,J344&lt;0,G344/F344&gt;=3),"Very serious",AND(H344&gt;=$D$1,I344&gt;0,G344/F344&lt;3),"Not serious",AND(H344&gt;=$D$1,I344&gt;0,G344/F344&gt;=3),"Very serious",AND(H344&lt;=$D$1*-1,J344&gt;0,I344&gt;$D$2*-1,G344/F344&lt;3),"Serious", AND(H344&lt;=$D$1*-1,J344&gt;0,I344&lt;$D$2*-1,G344/F344&lt;3),"Very serious", AND(H344&gt;=$D$1,I344&lt;0,J344&lt;$D$2,G344/F344&lt;3),"Serious",AND(H344&gt;=$D$1,I344&lt;0,J344&gt;$D$2,G344/F344&lt;3),"Very serious", AND(H344&lt;=$D$1*-1,J344&gt;0,I344&gt;$D$2*-1,G344/F344&gt;=3),"Very serious", AND(H344&lt;=$D$1*-1,J344&gt;0,I344&lt;$D$2*-1,G344/F344&gt;=3),"Very serious", AND(H344&gt;=$D$1,I344&lt;0,J344&lt;$D$2,G344/F344&gt;=3),"Very serious", AND(H344&gt;=$D$1,I344&lt;0,J344&gt;$D$2,G344/F344&gt;=3),"Very serious", AND(H344&gt;$D$1*-1,H344&lt;$D$1,I344&gt;$D$1*-1,J344&lt;$D$1,G344/F344&lt;3),"Not serious", AND(H344&gt;$D$1*-1,H344&lt;$D$1,OR(I344&lt;=$D$1*-1,J344&gt;=$D$1),I344&gt;$D$2*-1,J344&lt;$D$2,G344/F344&lt;3),"Serious", AND(H344&gt;$D$1*-1,H344&lt;$D$1,OR(I344&lt;=$D$2*-1,J344&gt;=$D$2),G344/F344&lt;3),"Very serious", AND(H344&gt;$D$1*-1,H344&lt;$D$1,I344&gt;$D$1*-1,J344&lt;$D$1,G344/F344&gt;=3),"Very serious", AND(H344&gt;$D$1*-1,H344&lt;$D$1,OR(I344&lt;=$D$1*-1,J344&gt;=$D$1),I344&gt;$D$2*-1,J344&lt;$D$2,G344/F344&gt;=3),"Very serious", AND(H344&gt;$D$1*-1,H344&lt;$D$1,OR(I344&lt;=$D$2*-1,J344&gt;=$D$2),G344/F344&gt;=3),"Very serious")),"")</f>
        <v/>
      </c>
      <c r="R344" s="109" t="str">
        <f t="shared" si="47"/>
        <v/>
      </c>
      <c r="S344" s="64"/>
      <c r="T344" s="72"/>
      <c r="U344" s="72"/>
      <c r="V344" s="72"/>
      <c r="W344" s="73"/>
      <c r="X344" s="73"/>
      <c r="Y344" s="74"/>
      <c r="Z344" s="113" t="str">
        <f t="array" ref="Z344">INDEX($A$1:$C$500, MATCH(1,($B:$B=$B344)*($C:$C=$AB344),0),1)</f>
        <v/>
      </c>
      <c r="AA344" s="113" t="str">
        <f t="array" ref="AA344">INDEX($A$1:$C$500, MATCH(1,($B:$B=$AB344)*($C:$C=$B344),0),1)</f>
        <v/>
      </c>
      <c r="AB344" s="111"/>
      <c r="AC344" s="114" t="str">
        <f t="shared" si="2"/>
        <v/>
      </c>
      <c r="AD344" s="115" t="str">
        <f t="shared" si="3"/>
        <v/>
      </c>
      <c r="AE344" s="116" t="str">
        <f t="array" ref="AE344">INDEX($A$1:$C$500, MATCH(1,($B:$B=$AB344)*($C:$C=$AG344),0),1)</f>
        <v/>
      </c>
      <c r="AF344" s="116" t="str">
        <f t="array" ref="AF344">INDEX($A$1:$C$500, MATCH(1,($B:$B=$AG344)*($C:$C=$AB344),0),1)</f>
        <v/>
      </c>
      <c r="AG344" s="72"/>
      <c r="AH344" s="114" t="str">
        <f t="shared" si="4"/>
        <v/>
      </c>
      <c r="AI344" s="115" t="str">
        <f t="shared" si="5"/>
        <v/>
      </c>
      <c r="AJ344" s="116" t="str">
        <f t="array" ref="AJ344">INDEX($A$1:$C$500, MATCH(1,($B:$B=$C344)*($C:$C=$AG344),0),1)</f>
        <v/>
      </c>
      <c r="AK344" s="116" t="str">
        <f t="array" ref="AK344">INDEX($A$1:$C$500, MATCH(1,($B:$B=$AG344)*($C:$C=$C344),0),1)</f>
        <v/>
      </c>
      <c r="AL344" s="116" t="str">
        <f t="array" ref="AL344">INDEX($A$1:$C$500, MATCH(1,($B:$B=$C344)*($C:$C=$AB344),0),1)</f>
        <v/>
      </c>
      <c r="AM344" s="116" t="str">
        <f t="array" ref="AM344">INDEX($A$1:$C$500, MATCH(1,($B:$B=$AB344)*($C:$C=$C344),0),1)</f>
        <v/>
      </c>
      <c r="AN344" s="114" t="str">
        <f t="array" ref="AN344">IFS(ISNUMBER(AJ344),AJ344,ISNUMBER(AK344),AK344,ISNUMBER(AL344),AL344,ISNUMBER(AM344),AM344)</f>
        <v>#N/A</v>
      </c>
      <c r="AO344" s="115" t="str">
        <f t="shared" si="6"/>
        <v/>
      </c>
      <c r="AP344" s="115" t="str">
        <f t="shared" si="7"/>
        <v/>
      </c>
      <c r="AQ344" s="111"/>
      <c r="AR344" s="109" t="str">
        <f t="shared" si="8"/>
        <v/>
      </c>
      <c r="AS344" s="72" t="str">
        <f>IFERROR(IF(AND(Preferences!B$3="Manual",OR(AX344/AW344&gt;V344/U344,BD344="Serious",BD344="Very serious")),"Assess imprecision",IFERROR(IFS(AND(Preferences!B$3="Automatic",V344/U344&gt;=30),"Extremely serious",AND(W344&lt;=$D$1*-1,Y344&lt;0,V344/U344&lt;3),"Not Serious",AND(W344&lt;=$D$1*-1,Y344&lt;0,V344/U344&gt;=3),"Very serious",AND(W344&gt;=$D$1,X344&gt;0,V344/U344&lt;3),"Not Serious",AND(W344&gt;=$D$1,X344&gt;0,V344/U344&gt;=3),"Very serious",AND(W344&lt;=$D$1*-1,Y344&gt;0,X344&gt;$D$2*-1,V344/U344&lt;3),"Serious", AND(W344&lt;=$D$1*-1,Y344&gt;0,X344&lt;$D$2*-1,V344/U344&lt;3),"Very serious", AND(W344&gt;=$D$1,X344&lt;0,Y344&lt;$D$2,V344/U344&lt;3),"Serious",AND(W344&gt;=$D$1,X344&lt;0,Y344&gt;$D$2,V344/U344&lt;3),"Very serious", AND(W344&lt;=$D$1*-1,Y344&gt;0,X344&gt;$D$2*-1,V344/U344&gt;=3),"Very serious", AND(W344&lt;=$D$1*-1,Y344&gt;0,X344&lt;$D$2*-1,V344/U344&gt;=3),"Very serious", AND(W344&gt;=$D$1,X344&lt;0,Y344&lt;$D$2,V344/U344&gt;=3),"Very serious", AND(W344&gt;=$D$1,X344&lt;0,Y344&gt;$D$2,V344/U344&gt;=3),"Very serious", AND(W344&gt;$D$1*-1,W344&lt;$D$1,X344&gt;$D$1*-1,Y344&lt;$D$1,V344/U344&lt;3),"Not Serious", AND(W344&gt;$D$1*-1,W344&lt;$D$1,OR(X344&lt;=$D$1*-1,Y344&gt;=$D$1),X344&gt;$D$2*-1,Y344&lt;$D$2,V344/U344&lt;3),"Serious", AND(W344&gt;$D$1*-1,W344&lt;$D$1,OR(X344&lt;=$D$2*-1,Y344&gt;=$D$2),V344/U344&lt;3),"Very serious", AND(W344&gt;$D$1*-1,W344&lt;$D$1,X344&gt;$D$1*-1,Y344&lt;$D$1,V344/U344&gt;=3),"Very serious", AND(W344&gt;$D$1*-1,W344&lt;$D$1,OR(X344&lt;=$D$1*-1,Y344&gt;=$D$1),X344&gt;$D$2*-1,Y344&lt;$D$2,V344/U344&gt;=3),"Very serious", AND(W344&gt;$D$1*-1,W344&lt;$D$1,OR(X344&lt;=$D$2*-1,Y344&gt;=$D$2),V344/U344&gt;=3),"Very serious"),"")),"")</f>
        <v/>
      </c>
      <c r="AT344" s="109" t="str">
        <f t="shared" si="9"/>
        <v/>
      </c>
      <c r="AU344" s="64"/>
      <c r="AV344" s="83"/>
      <c r="AW344" s="83"/>
      <c r="AX344" s="83"/>
      <c r="AY344" s="83"/>
      <c r="AZ344" s="83"/>
      <c r="BA344" s="85"/>
      <c r="BB344" s="86" t="str">
        <f>IF(Preferences!B$9="Manual","",IFS(ISBLANK(B344),"",AND(ISNUMBER(E344)=TRUE,ISNUMBER(T344)=FALSE),"Direct", AND(ISNUMBER(E344)=FALSE,ISNUMBER(T344)=TRUE),"Indirect", CN344=4,"Direct",AND(CL344=FALSE, CM344=TRUE,CN344-CO344&gt;-1),"Direct", AND(CL344=FALSE,CM344=TRUE, CN344-CO344&lt;0),"Check algorithm in appendix 2", AND(CL344=TRUE, CM344=FALSE,CN344-CO344&gt;0),"Check algorithm in appendix 2", AND(CL344=TRUE, CM344=FALSE,CN344-CO344=0),"Indirect", AND(CL344=TRUE, CM344=FALSE,CN344-CO344&lt;0),"Indirect", AND(CL344=FALSE,CM344=FALSE,CN344-CO344&gt;-1),"Direct", AND(CL344=FALSE,CM344=FALSE,CN344-CO344&lt;0),"Check algorithm in appendix 2", AND(CL344=TRUE,CM344=TRUE,CN344-CO344&gt;-1),"Direct", AND(CL344=TRUE,CM344=TRUE,CN344-CO344&lt;0),"Check algorithm in appendix 2"))</f>
        <v/>
      </c>
      <c r="BC344" s="120" t="str">
        <f t="shared" si="10"/>
        <v/>
      </c>
      <c r="BD344" s="140"/>
      <c r="BE344" s="122" t="str">
        <f>IF(Preferences!B$3="Manual","", IFERROR(IFS(AND(Preferences!B$3="Automatic",AX344/AW344&gt;=30),"Extremely serious",AND(AY344&lt;=$D$1*-1,BA344&lt;0,AX344/AW344&lt;3),"Not Serious",AND(AY344&lt;=$D$1*-1,BA344&lt;0,AX344/AW344&gt;=3),"Very serious",AND(AY344&gt;=$D$1,AZ344&gt;0,AX344/AW344&lt;3),"Not Serious",AND(AY344&gt;=$D$1,AZ344&gt;0,AX344/AW344&gt;=3),"Very serious",AND(AY344&lt;=$D$1*-1,BA344&gt;0,AZ344&gt;$D$2*-1,AX344/AW344&lt;3),"Serious", AND(AY344&lt;=$D$1*-1,BA344&gt;0,AZ344&lt;$D$2*-1,AX344/AW344&lt;3),"Very serious", AND(AY344&gt;=$D$1,AZ344&lt;0,BA344&lt;$D$2,AX344/AW344&lt;3),"Serious",AND(AY344&gt;=$D$1,AZ344&lt;0,BA344&gt;$D$2,AX344/AW344&lt;3),"Very serious", AND(AY344&lt;=$D$1*-1,BA344&gt;0,AZ344&gt;$D$2*-1,AX344/AW344&gt;=3),"Very serious", AND(AY344&lt;=$D$1*-1,BA344&gt;0,AZ344&lt;$D$2*-1,AX344/AW344&gt;=3),"Very serious", AND(AY344&gt;=$D$1,AZ344&lt;0,BA344&lt;$D$2,AX344/AW344&gt;=3),"Very serious", AND(AY344&gt;=$D$1,AZ344&lt;0,BA344&gt;$D$2,AX344/AW344&gt;=3),"Very serious", AND(AY344&gt;$D$1*-1,AY344&lt;$D$1,AZ344&gt;$D$1*-1,BA344&lt;$D$1,AX344/AW344&lt;3),"Not Serious", AND(AY344&gt;$D$1*-1,AY344&lt;$D$1,OR(AZ344&lt;=$D$1*-1,BA344&gt;=$D$1),AZ344&gt;$D$2*-1,BA344&lt;$D$2,AX344/AW344&lt;3),"Serious", AND(AY344&gt;$D$1*-1,AY344&lt;$D$1,OR(AZ344&lt;=$D$2*-1,BA344&gt;=$D$2),AX344/AW344&lt;3),"Very serious", AND(AY344&gt;$D$1*-1,AY344&lt;$D$1,AZ344&gt;$D$1*-1,BA344&lt;$D$1,AX344/AW344&gt;=3),"Very serious", AND(AY344&gt;$D$1*-1,AY344&lt;$D$1,OR(AZ344&lt;=$D$1*-1,BA344&gt;=$D$1),AZ344&gt;$D$2*-1,BA344&lt;$D$2,AX344/AW344&gt;=3),"Very serious", AND(AY344&gt;$D$1*-1,AY344&lt;$D$1,OR(AZ344&lt;=$D$2*-1,BA344&gt;=$D$2),AX344/AW344&gt;=3),"Very serious"),""))</f>
        <v/>
      </c>
      <c r="BF344" s="107" t="str">
        <f t="shared" si="11"/>
        <v/>
      </c>
      <c r="BG344" s="94" t="str">
        <f t="shared" si="46"/>
        <v/>
      </c>
      <c r="BH344" s="64" t="str">
        <f t="shared" si="12"/>
        <v>#N/A</v>
      </c>
      <c r="BI344" s="64" t="str">
        <f t="shared" si="13"/>
        <v/>
      </c>
      <c r="BJ344" s="123" t="str">
        <f t="shared" si="14"/>
        <v>#N/A</v>
      </c>
      <c r="BK344" s="64" t="str">
        <f t="shared" si="50"/>
        <v>YES</v>
      </c>
      <c r="BL344" s="64" t="str">
        <f t="shared" si="16"/>
        <v>YES</v>
      </c>
      <c r="BM344" s="64" t="str">
        <f t="shared" si="17"/>
        <v>YES</v>
      </c>
      <c r="BN344" s="124" t="str">
        <f t="shared" si="18"/>
        <v/>
      </c>
      <c r="BO344" s="91" t="str">
        <f t="shared" si="19"/>
        <v/>
      </c>
      <c r="BP344" s="91" t="str">
        <f t="shared" si="20"/>
        <v>#N/A</v>
      </c>
      <c r="BQ344" s="91" t="str">
        <f t="shared" si="21"/>
        <v/>
      </c>
      <c r="BR344" s="93" t="str">
        <f t="shared" si="22"/>
        <v/>
      </c>
      <c r="BS344" s="90" t="str">
        <f t="shared" si="23"/>
        <v/>
      </c>
      <c r="BT344" s="93" t="str">
        <f t="shared" si="24"/>
        <v>NA</v>
      </c>
      <c r="BU344" s="125" t="str">
        <f t="shared" si="25"/>
        <v>#N/A</v>
      </c>
      <c r="BV344" s="93" t="str">
        <f t="shared" si="26"/>
        <v/>
      </c>
      <c r="BW344" s="93" t="str">
        <f t="shared" si="27"/>
        <v/>
      </c>
      <c r="BX344" s="93" t="str">
        <f t="shared" si="28"/>
        <v>NA</v>
      </c>
      <c r="BY344" s="95" t="str">
        <f t="shared" si="29"/>
        <v>#N/A</v>
      </c>
      <c r="BZ344" s="93" t="str">
        <f t="shared" si="30"/>
        <v/>
      </c>
      <c r="CA344" s="93" t="str">
        <f t="shared" si="31"/>
        <v/>
      </c>
      <c r="CB344" s="93" t="str">
        <f t="shared" si="32"/>
        <v>NA</v>
      </c>
      <c r="CC344" s="96" t="str">
        <f t="shared" si="33"/>
        <v>#N/A</v>
      </c>
      <c r="CD344" s="93" t="str">
        <f t="shared" si="34"/>
        <v/>
      </c>
      <c r="CE344" s="93" t="str">
        <f t="shared" si="35"/>
        <v/>
      </c>
      <c r="CF344" s="93" t="str">
        <f t="shared" si="36"/>
        <v>NA</v>
      </c>
      <c r="CG344" s="97" t="str">
        <f t="shared" si="37"/>
        <v>#N/A</v>
      </c>
      <c r="CH344" s="98" t="str">
        <f t="shared" si="38"/>
        <v>#N/A</v>
      </c>
      <c r="CI344" s="99" t="str">
        <f t="shared" si="39"/>
        <v>#N/A</v>
      </c>
      <c r="CJ344" s="126" t="str">
        <f t="shared" si="40"/>
        <v>ERROR: check cell</v>
      </c>
      <c r="CK344" s="126"/>
      <c r="CL344" s="127" t="str">
        <f t="shared" si="41"/>
        <v>#DIV/0!</v>
      </c>
      <c r="CM344" s="128" t="str">
        <f t="shared" si="42"/>
        <v>#DIV/0!</v>
      </c>
      <c r="CN344" s="128">
        <f t="shared" si="43"/>
        <v>4</v>
      </c>
      <c r="CO344" s="129">
        <f t="shared" si="44"/>
        <v>4</v>
      </c>
      <c r="CP344" s="129" t="str">
        <f>IFS(C344=Preferences!B$13,B344,B344=Preferences!B$13,C344)</f>
        <v>#N/A</v>
      </c>
    </row>
    <row r="345" ht="13.5" customHeight="1">
      <c r="A345" s="63" t="str">
        <f t="shared" si="45"/>
        <v/>
      </c>
      <c r="B345" s="64"/>
      <c r="C345" s="64"/>
      <c r="D345" s="64"/>
      <c r="E345" s="65"/>
      <c r="F345" s="65"/>
      <c r="G345" s="65"/>
      <c r="H345" s="66"/>
      <c r="I345" s="66"/>
      <c r="J345" s="67"/>
      <c r="K345" s="68"/>
      <c r="L345" s="104"/>
      <c r="M345" s="104"/>
      <c r="N345" s="104"/>
      <c r="O345" s="104"/>
      <c r="P345" s="107" t="str">
        <f t="shared" si="1"/>
        <v/>
      </c>
      <c r="Q345" s="108" t="str">
        <f>IFERROR(IF(AND(Preferences!B$3="Manual",OR(AX345/AW345&gt;G345/F345,BD345="Serious",BD345="Very serious")),"Assess imprecision",IFS(ISBLANK(E345),"",AND(Preferences!B$3="Automatic", G345/F345&gt;=30),"Extremely serious",AND(H345&lt;=$D$1*-1,J345&lt;0,G345/F345&lt;3),"Not serious",AND(H345&lt;=$D$1*-1,J345&lt;0,G345/F345&gt;=3),"Very serious",AND(H345&gt;=$D$1,I345&gt;0,G345/F345&lt;3),"Not serious",AND(H345&gt;=$D$1,I345&gt;0,G345/F345&gt;=3),"Very serious",AND(H345&lt;=$D$1*-1,J345&gt;0,I345&gt;$D$2*-1,G345/F345&lt;3),"Serious", AND(H345&lt;=$D$1*-1,J345&gt;0,I345&lt;$D$2*-1,G345/F345&lt;3),"Very serious", AND(H345&gt;=$D$1,I345&lt;0,J345&lt;$D$2,G345/F345&lt;3),"Serious",AND(H345&gt;=$D$1,I345&lt;0,J345&gt;$D$2,G345/F345&lt;3),"Very serious", AND(H345&lt;=$D$1*-1,J345&gt;0,I345&gt;$D$2*-1,G345/F345&gt;=3),"Very serious", AND(H345&lt;=$D$1*-1,J345&gt;0,I345&lt;$D$2*-1,G345/F345&gt;=3),"Very serious", AND(H345&gt;=$D$1,I345&lt;0,J345&lt;$D$2,G345/F345&gt;=3),"Very serious", AND(H345&gt;=$D$1,I345&lt;0,J345&gt;$D$2,G345/F345&gt;=3),"Very serious", AND(H345&gt;$D$1*-1,H345&lt;$D$1,I345&gt;$D$1*-1,J345&lt;$D$1,G345/F345&lt;3),"Not serious", AND(H345&gt;$D$1*-1,H345&lt;$D$1,OR(I345&lt;=$D$1*-1,J345&gt;=$D$1),I345&gt;$D$2*-1,J345&lt;$D$2,G345/F345&lt;3),"Serious", AND(H345&gt;$D$1*-1,H345&lt;$D$1,OR(I345&lt;=$D$2*-1,J345&gt;=$D$2),G345/F345&lt;3),"Very serious", AND(H345&gt;$D$1*-1,H345&lt;$D$1,I345&gt;$D$1*-1,J345&lt;$D$1,G345/F345&gt;=3),"Very serious", AND(H345&gt;$D$1*-1,H345&lt;$D$1,OR(I345&lt;=$D$1*-1,J345&gt;=$D$1),I345&gt;$D$2*-1,J345&lt;$D$2,G345/F345&gt;=3),"Very serious", AND(H345&gt;$D$1*-1,H345&lt;$D$1,OR(I345&lt;=$D$2*-1,J345&gt;=$D$2),G345/F345&gt;=3),"Very serious")),"")</f>
        <v/>
      </c>
      <c r="R345" s="109" t="str">
        <f t="shared" si="47"/>
        <v/>
      </c>
      <c r="S345" s="64"/>
      <c r="T345" s="72"/>
      <c r="U345" s="72"/>
      <c r="V345" s="72"/>
      <c r="W345" s="73"/>
      <c r="X345" s="73"/>
      <c r="Y345" s="74"/>
      <c r="Z345" s="113" t="str">
        <f t="array" ref="Z345">INDEX($A$1:$C$500, MATCH(1,($B:$B=$B345)*($C:$C=$AB345),0),1)</f>
        <v/>
      </c>
      <c r="AA345" s="113" t="str">
        <f t="array" ref="AA345">INDEX($A$1:$C$500, MATCH(1,($B:$B=$AB345)*($C:$C=$B345),0),1)</f>
        <v/>
      </c>
      <c r="AB345" s="111"/>
      <c r="AC345" s="114" t="str">
        <f t="shared" si="2"/>
        <v/>
      </c>
      <c r="AD345" s="115" t="str">
        <f t="shared" si="3"/>
        <v/>
      </c>
      <c r="AE345" s="116" t="str">
        <f t="array" ref="AE345">INDEX($A$1:$C$500, MATCH(1,($B:$B=$AB345)*($C:$C=$AG345),0),1)</f>
        <v/>
      </c>
      <c r="AF345" s="116" t="str">
        <f t="array" ref="AF345">INDEX($A$1:$C$500, MATCH(1,($B:$B=$AG345)*($C:$C=$AB345),0),1)</f>
        <v/>
      </c>
      <c r="AG345" s="72"/>
      <c r="AH345" s="114" t="str">
        <f t="shared" si="4"/>
        <v/>
      </c>
      <c r="AI345" s="115" t="str">
        <f t="shared" si="5"/>
        <v/>
      </c>
      <c r="AJ345" s="116" t="str">
        <f t="array" ref="AJ345">INDEX($A$1:$C$500, MATCH(1,($B:$B=$C345)*($C:$C=$AG345),0),1)</f>
        <v/>
      </c>
      <c r="AK345" s="116" t="str">
        <f t="array" ref="AK345">INDEX($A$1:$C$500, MATCH(1,($B:$B=$AG345)*($C:$C=$C345),0),1)</f>
        <v/>
      </c>
      <c r="AL345" s="116" t="str">
        <f t="array" ref="AL345">INDEX($A$1:$C$500, MATCH(1,($B:$B=$C345)*($C:$C=$AB345),0),1)</f>
        <v/>
      </c>
      <c r="AM345" s="116" t="str">
        <f t="array" ref="AM345">INDEX($A$1:$C$500, MATCH(1,($B:$B=$AB345)*($C:$C=$C345),0),1)</f>
        <v/>
      </c>
      <c r="AN345" s="114" t="str">
        <f t="array" ref="AN345">IFS(ISNUMBER(AJ345),AJ345,ISNUMBER(AK345),AK345,ISNUMBER(AL345),AL345,ISNUMBER(AM345),AM345)</f>
        <v>#N/A</v>
      </c>
      <c r="AO345" s="115" t="str">
        <f t="shared" si="6"/>
        <v/>
      </c>
      <c r="AP345" s="115" t="str">
        <f t="shared" si="7"/>
        <v/>
      </c>
      <c r="AQ345" s="111"/>
      <c r="AR345" s="109" t="str">
        <f t="shared" si="8"/>
        <v/>
      </c>
      <c r="AS345" s="72" t="str">
        <f>IFERROR(IF(AND(Preferences!B$3="Manual",OR(AX345/AW345&gt;V345/U345,BD345="Serious",BD345="Very serious")),"Assess imprecision",IFERROR(IFS(AND(Preferences!B$3="Automatic",V345/U345&gt;=30),"Extremely serious",AND(W345&lt;=$D$1*-1,Y345&lt;0,V345/U345&lt;3),"Not Serious",AND(W345&lt;=$D$1*-1,Y345&lt;0,V345/U345&gt;=3),"Very serious",AND(W345&gt;=$D$1,X345&gt;0,V345/U345&lt;3),"Not Serious",AND(W345&gt;=$D$1,X345&gt;0,V345/U345&gt;=3),"Very serious",AND(W345&lt;=$D$1*-1,Y345&gt;0,X345&gt;$D$2*-1,V345/U345&lt;3),"Serious", AND(W345&lt;=$D$1*-1,Y345&gt;0,X345&lt;$D$2*-1,V345/U345&lt;3),"Very serious", AND(W345&gt;=$D$1,X345&lt;0,Y345&lt;$D$2,V345/U345&lt;3),"Serious",AND(W345&gt;=$D$1,X345&lt;0,Y345&gt;$D$2,V345/U345&lt;3),"Very serious", AND(W345&lt;=$D$1*-1,Y345&gt;0,X345&gt;$D$2*-1,V345/U345&gt;=3),"Very serious", AND(W345&lt;=$D$1*-1,Y345&gt;0,X345&lt;$D$2*-1,V345/U345&gt;=3),"Very serious", AND(W345&gt;=$D$1,X345&lt;0,Y345&lt;$D$2,V345/U345&gt;=3),"Very serious", AND(W345&gt;=$D$1,X345&lt;0,Y345&gt;$D$2,V345/U345&gt;=3),"Very serious", AND(W345&gt;$D$1*-1,W345&lt;$D$1,X345&gt;$D$1*-1,Y345&lt;$D$1,V345/U345&lt;3),"Not Serious", AND(W345&gt;$D$1*-1,W345&lt;$D$1,OR(X345&lt;=$D$1*-1,Y345&gt;=$D$1),X345&gt;$D$2*-1,Y345&lt;$D$2,V345/U345&lt;3),"Serious", AND(W345&gt;$D$1*-1,W345&lt;$D$1,OR(X345&lt;=$D$2*-1,Y345&gt;=$D$2),V345/U345&lt;3),"Very serious", AND(W345&gt;$D$1*-1,W345&lt;$D$1,X345&gt;$D$1*-1,Y345&lt;$D$1,V345/U345&gt;=3),"Very serious", AND(W345&gt;$D$1*-1,W345&lt;$D$1,OR(X345&lt;=$D$1*-1,Y345&gt;=$D$1),X345&gt;$D$2*-1,Y345&lt;$D$2,V345/U345&gt;=3),"Very serious", AND(W345&gt;$D$1*-1,W345&lt;$D$1,OR(X345&lt;=$D$2*-1,Y345&gt;=$D$2),V345/U345&gt;=3),"Very serious"),"")),"")</f>
        <v/>
      </c>
      <c r="AT345" s="109" t="str">
        <f t="shared" si="9"/>
        <v/>
      </c>
      <c r="AU345" s="64"/>
      <c r="AV345" s="83"/>
      <c r="AW345" s="83"/>
      <c r="AX345" s="83"/>
      <c r="AY345" s="83"/>
      <c r="AZ345" s="83"/>
      <c r="BA345" s="85"/>
      <c r="BB345" s="86" t="str">
        <f>IF(Preferences!B$9="Manual","",IFS(ISBLANK(B345),"",AND(ISNUMBER(E345)=TRUE,ISNUMBER(T345)=FALSE),"Direct", AND(ISNUMBER(E345)=FALSE,ISNUMBER(T345)=TRUE),"Indirect", CN345=4,"Direct",AND(CL345=FALSE, CM345=TRUE,CN345-CO345&gt;-1),"Direct", AND(CL345=FALSE,CM345=TRUE, CN345-CO345&lt;0),"Check algorithm in appendix 2", AND(CL345=TRUE, CM345=FALSE,CN345-CO345&gt;0),"Check algorithm in appendix 2", AND(CL345=TRUE, CM345=FALSE,CN345-CO345=0),"Indirect", AND(CL345=TRUE, CM345=FALSE,CN345-CO345&lt;0),"Indirect", AND(CL345=FALSE,CM345=FALSE,CN345-CO345&gt;-1),"Direct", AND(CL345=FALSE,CM345=FALSE,CN345-CO345&lt;0),"Check algorithm in appendix 2", AND(CL345=TRUE,CM345=TRUE,CN345-CO345&gt;-1),"Direct", AND(CL345=TRUE,CM345=TRUE,CN345-CO345&lt;0),"Check algorithm in appendix 2"))</f>
        <v/>
      </c>
      <c r="BC345" s="120" t="str">
        <f t="shared" si="10"/>
        <v/>
      </c>
      <c r="BD345" s="140"/>
      <c r="BE345" s="122" t="str">
        <f>IF(Preferences!B$3="Manual","", IFERROR(IFS(AND(Preferences!B$3="Automatic",AX345/AW345&gt;=30),"Extremely serious",AND(AY345&lt;=$D$1*-1,BA345&lt;0,AX345/AW345&lt;3),"Not Serious",AND(AY345&lt;=$D$1*-1,BA345&lt;0,AX345/AW345&gt;=3),"Very serious",AND(AY345&gt;=$D$1,AZ345&gt;0,AX345/AW345&lt;3),"Not Serious",AND(AY345&gt;=$D$1,AZ345&gt;0,AX345/AW345&gt;=3),"Very serious",AND(AY345&lt;=$D$1*-1,BA345&gt;0,AZ345&gt;$D$2*-1,AX345/AW345&lt;3),"Serious", AND(AY345&lt;=$D$1*-1,BA345&gt;0,AZ345&lt;$D$2*-1,AX345/AW345&lt;3),"Very serious", AND(AY345&gt;=$D$1,AZ345&lt;0,BA345&lt;$D$2,AX345/AW345&lt;3),"Serious",AND(AY345&gt;=$D$1,AZ345&lt;0,BA345&gt;$D$2,AX345/AW345&lt;3),"Very serious", AND(AY345&lt;=$D$1*-1,BA345&gt;0,AZ345&gt;$D$2*-1,AX345/AW345&gt;=3),"Very serious", AND(AY345&lt;=$D$1*-1,BA345&gt;0,AZ345&lt;$D$2*-1,AX345/AW345&gt;=3),"Very serious", AND(AY345&gt;=$D$1,AZ345&lt;0,BA345&lt;$D$2,AX345/AW345&gt;=3),"Very serious", AND(AY345&gt;=$D$1,AZ345&lt;0,BA345&gt;$D$2,AX345/AW345&gt;=3),"Very serious", AND(AY345&gt;$D$1*-1,AY345&lt;$D$1,AZ345&gt;$D$1*-1,BA345&lt;$D$1,AX345/AW345&lt;3),"Not Serious", AND(AY345&gt;$D$1*-1,AY345&lt;$D$1,OR(AZ345&lt;=$D$1*-1,BA345&gt;=$D$1),AZ345&gt;$D$2*-1,BA345&lt;$D$2,AX345/AW345&lt;3),"Serious", AND(AY345&gt;$D$1*-1,AY345&lt;$D$1,OR(AZ345&lt;=$D$2*-1,BA345&gt;=$D$2),AX345/AW345&lt;3),"Very serious", AND(AY345&gt;$D$1*-1,AY345&lt;$D$1,AZ345&gt;$D$1*-1,BA345&lt;$D$1,AX345/AW345&gt;=3),"Very serious", AND(AY345&gt;$D$1*-1,AY345&lt;$D$1,OR(AZ345&lt;=$D$1*-1,BA345&gt;=$D$1),AZ345&gt;$D$2*-1,BA345&lt;$D$2,AX345/AW345&gt;=3),"Very serious", AND(AY345&gt;$D$1*-1,AY345&lt;$D$1,OR(AZ345&lt;=$D$2*-1,BA345&gt;=$D$2),AX345/AW345&gt;=3),"Very serious"),""))</f>
        <v/>
      </c>
      <c r="BF345" s="107" t="str">
        <f t="shared" si="11"/>
        <v/>
      </c>
      <c r="BG345" s="94" t="str">
        <f t="shared" si="46"/>
        <v/>
      </c>
      <c r="BH345" s="64" t="str">
        <f t="shared" si="12"/>
        <v>#N/A</v>
      </c>
      <c r="BI345" s="64" t="str">
        <f t="shared" si="13"/>
        <v/>
      </c>
      <c r="BJ345" s="123" t="str">
        <f t="shared" si="14"/>
        <v>#N/A</v>
      </c>
      <c r="BK345" s="64" t="str">
        <f t="shared" si="50"/>
        <v>YES</v>
      </c>
      <c r="BL345" s="64" t="str">
        <f t="shared" si="16"/>
        <v>YES</v>
      </c>
      <c r="BM345" s="64" t="str">
        <f t="shared" si="17"/>
        <v>YES</v>
      </c>
      <c r="BN345" s="124" t="str">
        <f t="shared" si="18"/>
        <v/>
      </c>
      <c r="BO345" s="91" t="str">
        <f t="shared" si="19"/>
        <v/>
      </c>
      <c r="BP345" s="91" t="str">
        <f t="shared" si="20"/>
        <v>#N/A</v>
      </c>
      <c r="BQ345" s="91" t="str">
        <f t="shared" si="21"/>
        <v/>
      </c>
      <c r="BR345" s="93" t="str">
        <f t="shared" si="22"/>
        <v/>
      </c>
      <c r="BS345" s="90" t="str">
        <f t="shared" si="23"/>
        <v/>
      </c>
      <c r="BT345" s="93" t="str">
        <f t="shared" si="24"/>
        <v>NA</v>
      </c>
      <c r="BU345" s="125" t="str">
        <f t="shared" si="25"/>
        <v>#N/A</v>
      </c>
      <c r="BV345" s="93" t="str">
        <f t="shared" si="26"/>
        <v/>
      </c>
      <c r="BW345" s="93" t="str">
        <f t="shared" si="27"/>
        <v/>
      </c>
      <c r="BX345" s="93" t="str">
        <f t="shared" si="28"/>
        <v>NA</v>
      </c>
      <c r="BY345" s="95" t="str">
        <f t="shared" si="29"/>
        <v>#N/A</v>
      </c>
      <c r="BZ345" s="93" t="str">
        <f t="shared" si="30"/>
        <v/>
      </c>
      <c r="CA345" s="93" t="str">
        <f t="shared" si="31"/>
        <v/>
      </c>
      <c r="CB345" s="93" t="str">
        <f t="shared" si="32"/>
        <v>NA</v>
      </c>
      <c r="CC345" s="96" t="str">
        <f t="shared" si="33"/>
        <v>#N/A</v>
      </c>
      <c r="CD345" s="93" t="str">
        <f t="shared" si="34"/>
        <v/>
      </c>
      <c r="CE345" s="93" t="str">
        <f t="shared" si="35"/>
        <v/>
      </c>
      <c r="CF345" s="93" t="str">
        <f t="shared" si="36"/>
        <v>NA</v>
      </c>
      <c r="CG345" s="97" t="str">
        <f t="shared" si="37"/>
        <v>#N/A</v>
      </c>
      <c r="CH345" s="98" t="str">
        <f t="shared" si="38"/>
        <v>#N/A</v>
      </c>
      <c r="CI345" s="99" t="str">
        <f t="shared" si="39"/>
        <v>#N/A</v>
      </c>
      <c r="CJ345" s="126" t="str">
        <f t="shared" si="40"/>
        <v>ERROR: check cell</v>
      </c>
      <c r="CK345" s="126" t="str">
        <f>if(AND(T345&lt;1=TRUE,E345&lt;1=TRUE)=TRUE,if(OR(AND(V345&gt;G345=TRUE,G345&gt;U345=TRUE),AND(G345&gt;V345=TRUE,V345&gt;F345=TRUE)=TRUE)=TRUE,"No serious incoherence","Quantitative incoherence (same direction of effect)"),if(AND(T345&gt;1=TRUE,E345&gt;1=TRUE)=TRUE,if(OR(AND(V345&gt;G345=TRUE,G345&gt;U345=TRUE),AND(G345&gt;V345=TRUE,V345&gt;F345=TRUE)=TRUE)=TRUE,"No serious incoherence","Quantitative incoherence (same direction of effect)"),if(OR(AND(T345&lt;1=TRUE,E345&gt;1=TRUE)=TRUE,AND(T345&gt;1=TRUE,E345&lt;1=TRUE)=TRUE)=TRUE,if(OR(AND(V345&gt;G345=TRUE,G345&gt;U345=TRUE),AND(G345&gt;V345=TRUE,V345&gt;F345=TRUE)=TRUE)=TRUE,"No serious incoherence","Qualitative incoherence (different direction of effect)"))))</f>
        <v>Quantitative incoherence (same direction of effect)</v>
      </c>
      <c r="CL345" s="127" t="str">
        <f t="shared" si="41"/>
        <v>#DIV/0!</v>
      </c>
      <c r="CM345" s="128" t="str">
        <f t="shared" si="42"/>
        <v>#DIV/0!</v>
      </c>
      <c r="CN345" s="128">
        <f t="shared" si="43"/>
        <v>4</v>
      </c>
      <c r="CO345" s="129">
        <f t="shared" si="44"/>
        <v>4</v>
      </c>
      <c r="CP345" s="129" t="str">
        <f>IFS(C345=Preferences!B$13,B345,B345=Preferences!B$13,C345)</f>
        <v>#N/A</v>
      </c>
    </row>
    <row r="346" ht="13.5" customHeight="1">
      <c r="A346" s="63" t="str">
        <f t="shared" si="45"/>
        <v/>
      </c>
      <c r="B346" s="64"/>
      <c r="C346" s="64"/>
      <c r="D346" s="64"/>
      <c r="E346" s="65"/>
      <c r="F346" s="65"/>
      <c r="G346" s="65"/>
      <c r="H346" s="66"/>
      <c r="I346" s="66"/>
      <c r="J346" s="67"/>
      <c r="K346" s="68"/>
      <c r="L346" s="104"/>
      <c r="M346" s="104"/>
      <c r="N346" s="104"/>
      <c r="O346" s="104"/>
      <c r="P346" s="107" t="str">
        <f t="shared" si="1"/>
        <v/>
      </c>
      <c r="Q346" s="108" t="str">
        <f>IFERROR(IF(AND(Preferences!B$3="Manual",OR(AX346/AW346&gt;G346/F346,BD346="Serious",BD346="Very serious")),"Assess imprecision",IFS(ISBLANK(E346),"",AND(Preferences!B$3="Automatic", G346/F346&gt;=30),"Extremely serious",AND(H346&lt;=$D$1*-1,J346&lt;0,G346/F346&lt;3),"Not serious",AND(H346&lt;=$D$1*-1,J346&lt;0,G346/F346&gt;=3),"Very serious",AND(H346&gt;=$D$1,I346&gt;0,G346/F346&lt;3),"Not serious",AND(H346&gt;=$D$1,I346&gt;0,G346/F346&gt;=3),"Very serious",AND(H346&lt;=$D$1*-1,J346&gt;0,I346&gt;$D$2*-1,G346/F346&lt;3),"Serious", AND(H346&lt;=$D$1*-1,J346&gt;0,I346&lt;$D$2*-1,G346/F346&lt;3),"Very serious", AND(H346&gt;=$D$1,I346&lt;0,J346&lt;$D$2,G346/F346&lt;3),"Serious",AND(H346&gt;=$D$1,I346&lt;0,J346&gt;$D$2,G346/F346&lt;3),"Very serious", AND(H346&lt;=$D$1*-1,J346&gt;0,I346&gt;$D$2*-1,G346/F346&gt;=3),"Very serious", AND(H346&lt;=$D$1*-1,J346&gt;0,I346&lt;$D$2*-1,G346/F346&gt;=3),"Very serious", AND(H346&gt;=$D$1,I346&lt;0,J346&lt;$D$2,G346/F346&gt;=3),"Very serious", AND(H346&gt;=$D$1,I346&lt;0,J346&gt;$D$2,G346/F346&gt;=3),"Very serious", AND(H346&gt;$D$1*-1,H346&lt;$D$1,I346&gt;$D$1*-1,J346&lt;$D$1,G346/F346&lt;3),"Not serious", AND(H346&gt;$D$1*-1,H346&lt;$D$1,OR(I346&lt;=$D$1*-1,J346&gt;=$D$1),I346&gt;$D$2*-1,J346&lt;$D$2,G346/F346&lt;3),"Serious", AND(H346&gt;$D$1*-1,H346&lt;$D$1,OR(I346&lt;=$D$2*-1,J346&gt;=$D$2),G346/F346&lt;3),"Very serious", AND(H346&gt;$D$1*-1,H346&lt;$D$1,I346&gt;$D$1*-1,J346&lt;$D$1,G346/F346&gt;=3),"Very serious", AND(H346&gt;$D$1*-1,H346&lt;$D$1,OR(I346&lt;=$D$1*-1,J346&gt;=$D$1),I346&gt;$D$2*-1,J346&lt;$D$2,G346/F346&gt;=3),"Very serious", AND(H346&gt;$D$1*-1,H346&lt;$D$1,OR(I346&lt;=$D$2*-1,J346&gt;=$D$2),G346/F346&gt;=3),"Very serious")),"")</f>
        <v/>
      </c>
      <c r="R346" s="109" t="str">
        <f t="shared" si="47"/>
        <v/>
      </c>
      <c r="S346" s="64"/>
      <c r="T346" s="72"/>
      <c r="U346" s="72"/>
      <c r="V346" s="72"/>
      <c r="W346" s="73"/>
      <c r="X346" s="73"/>
      <c r="Y346" s="74"/>
      <c r="Z346" s="113" t="str">
        <f t="array" ref="Z346">INDEX($A$1:$C$500, MATCH(1,($B:$B=$B346)*($C:$C=$AB346),0),1)</f>
        <v/>
      </c>
      <c r="AA346" s="113" t="str">
        <f t="array" ref="AA346">INDEX($A$1:$C$500, MATCH(1,($B:$B=$AB346)*($C:$C=$B346),0),1)</f>
        <v/>
      </c>
      <c r="AB346" s="111"/>
      <c r="AC346" s="114" t="str">
        <f t="shared" si="2"/>
        <v/>
      </c>
      <c r="AD346" s="115" t="str">
        <f t="shared" si="3"/>
        <v/>
      </c>
      <c r="AE346" s="116" t="str">
        <f t="array" ref="AE346">INDEX($A$1:$C$500, MATCH(1,($B:$B=$AB346)*($C:$C=$AG346),0),1)</f>
        <v/>
      </c>
      <c r="AF346" s="116" t="str">
        <f t="array" ref="AF346">INDEX($A$1:$C$500, MATCH(1,($B:$B=$AG346)*($C:$C=$AB346),0),1)</f>
        <v/>
      </c>
      <c r="AG346" s="72"/>
      <c r="AH346" s="114" t="str">
        <f t="shared" si="4"/>
        <v/>
      </c>
      <c r="AI346" s="115" t="str">
        <f t="shared" si="5"/>
        <v/>
      </c>
      <c r="AJ346" s="116" t="str">
        <f t="array" ref="AJ346">INDEX($A$1:$C$500, MATCH(1,($B:$B=$C346)*($C:$C=$AG346),0),1)</f>
        <v/>
      </c>
      <c r="AK346" s="116" t="str">
        <f t="array" ref="AK346">INDEX($A$1:$C$500, MATCH(1,($B:$B=$AG346)*($C:$C=$C346),0),1)</f>
        <v/>
      </c>
      <c r="AL346" s="116" t="str">
        <f t="array" ref="AL346">INDEX($A$1:$C$500, MATCH(1,($B:$B=$C346)*($C:$C=$AB346),0),1)</f>
        <v/>
      </c>
      <c r="AM346" s="116" t="str">
        <f t="array" ref="AM346">INDEX($A$1:$C$500, MATCH(1,($B:$B=$AB346)*($C:$C=$C346),0),1)</f>
        <v/>
      </c>
      <c r="AN346" s="114" t="str">
        <f t="array" ref="AN346">IFS(ISNUMBER(AJ346),AJ346,ISNUMBER(AK346),AK346,ISNUMBER(AL346),AL346,ISNUMBER(AM346),AM346)</f>
        <v>#N/A</v>
      </c>
      <c r="AO346" s="115" t="str">
        <f t="shared" si="6"/>
        <v/>
      </c>
      <c r="AP346" s="115" t="str">
        <f t="shared" si="7"/>
        <v/>
      </c>
      <c r="AQ346" s="111"/>
      <c r="AR346" s="109" t="str">
        <f t="shared" si="8"/>
        <v/>
      </c>
      <c r="AS346" s="72" t="str">
        <f>IFERROR(IF(AND(Preferences!B$3="Manual",OR(AX346/AW346&gt;V346/U346,BD346="Serious",BD346="Very serious")),"Assess imprecision",IFERROR(IFS(AND(Preferences!B$3="Automatic",V346/U346&gt;=30),"Extremely serious",AND(W346&lt;=$D$1*-1,Y346&lt;0,V346/U346&lt;3),"Not Serious",AND(W346&lt;=$D$1*-1,Y346&lt;0,V346/U346&gt;=3),"Very serious",AND(W346&gt;=$D$1,X346&gt;0,V346/U346&lt;3),"Not Serious",AND(W346&gt;=$D$1,X346&gt;0,V346/U346&gt;=3),"Very serious",AND(W346&lt;=$D$1*-1,Y346&gt;0,X346&gt;$D$2*-1,V346/U346&lt;3),"Serious", AND(W346&lt;=$D$1*-1,Y346&gt;0,X346&lt;$D$2*-1,V346/U346&lt;3),"Very serious", AND(W346&gt;=$D$1,X346&lt;0,Y346&lt;$D$2,V346/U346&lt;3),"Serious",AND(W346&gt;=$D$1,X346&lt;0,Y346&gt;$D$2,V346/U346&lt;3),"Very serious", AND(W346&lt;=$D$1*-1,Y346&gt;0,X346&gt;$D$2*-1,V346/U346&gt;=3),"Very serious", AND(W346&lt;=$D$1*-1,Y346&gt;0,X346&lt;$D$2*-1,V346/U346&gt;=3),"Very serious", AND(W346&gt;=$D$1,X346&lt;0,Y346&lt;$D$2,V346/U346&gt;=3),"Very serious", AND(W346&gt;=$D$1,X346&lt;0,Y346&gt;$D$2,V346/U346&gt;=3),"Very serious", AND(W346&gt;$D$1*-1,W346&lt;$D$1,X346&gt;$D$1*-1,Y346&lt;$D$1,V346/U346&lt;3),"Not Serious", AND(W346&gt;$D$1*-1,W346&lt;$D$1,OR(X346&lt;=$D$1*-1,Y346&gt;=$D$1),X346&gt;$D$2*-1,Y346&lt;$D$2,V346/U346&lt;3),"Serious", AND(W346&gt;$D$1*-1,W346&lt;$D$1,OR(X346&lt;=$D$2*-1,Y346&gt;=$D$2),V346/U346&lt;3),"Very serious", AND(W346&gt;$D$1*-1,W346&lt;$D$1,X346&gt;$D$1*-1,Y346&lt;$D$1,V346/U346&gt;=3),"Very serious", AND(W346&gt;$D$1*-1,W346&lt;$D$1,OR(X346&lt;=$D$1*-1,Y346&gt;=$D$1),X346&gt;$D$2*-1,Y346&lt;$D$2,V346/U346&gt;=3),"Very serious", AND(W346&gt;$D$1*-1,W346&lt;$D$1,OR(X346&lt;=$D$2*-1,Y346&gt;=$D$2),V346/U346&gt;=3),"Very serious"),"")),"")</f>
        <v/>
      </c>
      <c r="AT346" s="109" t="str">
        <f t="shared" si="9"/>
        <v/>
      </c>
      <c r="AU346" s="64"/>
      <c r="AV346" s="83"/>
      <c r="AW346" s="83"/>
      <c r="AX346" s="83"/>
      <c r="AY346" s="83"/>
      <c r="AZ346" s="83"/>
      <c r="BA346" s="85"/>
      <c r="BB346" s="86" t="str">
        <f>IF(Preferences!B$9="Manual","",IFS(ISBLANK(B346),"",AND(ISNUMBER(E346)=TRUE,ISNUMBER(T346)=FALSE),"Direct", AND(ISNUMBER(E346)=FALSE,ISNUMBER(T346)=TRUE),"Indirect", CN346=4,"Direct",AND(CL346=FALSE, CM346=TRUE,CN346-CO346&gt;-1),"Direct", AND(CL346=FALSE,CM346=TRUE, CN346-CO346&lt;0),"Check algorithm in appendix 2", AND(CL346=TRUE, CM346=FALSE,CN346-CO346&gt;0),"Check algorithm in appendix 2", AND(CL346=TRUE, CM346=FALSE,CN346-CO346=0),"Indirect", AND(CL346=TRUE, CM346=FALSE,CN346-CO346&lt;0),"Indirect", AND(CL346=FALSE,CM346=FALSE,CN346-CO346&gt;-1),"Direct", AND(CL346=FALSE,CM346=FALSE,CN346-CO346&lt;0),"Check algorithm in appendix 2", AND(CL346=TRUE,CM346=TRUE,CN346-CO346&gt;-1),"Direct", AND(CL346=TRUE,CM346=TRUE,CN346-CO346&lt;0),"Check algorithm in appendix 2"))</f>
        <v/>
      </c>
      <c r="BC346" s="120" t="str">
        <f t="shared" si="10"/>
        <v/>
      </c>
      <c r="BD346" s="140"/>
      <c r="BE346" s="122" t="str">
        <f>IF(Preferences!B$3="Manual","", IFERROR(IFS(AND(Preferences!B$3="Automatic",AX346/AW346&gt;=30),"Extremely serious",AND(AY346&lt;=$D$1*-1,BA346&lt;0,AX346/AW346&lt;3),"Not Serious",AND(AY346&lt;=$D$1*-1,BA346&lt;0,AX346/AW346&gt;=3),"Very serious",AND(AY346&gt;=$D$1,AZ346&gt;0,AX346/AW346&lt;3),"Not Serious",AND(AY346&gt;=$D$1,AZ346&gt;0,AX346/AW346&gt;=3),"Very serious",AND(AY346&lt;=$D$1*-1,BA346&gt;0,AZ346&gt;$D$2*-1,AX346/AW346&lt;3),"Serious", AND(AY346&lt;=$D$1*-1,BA346&gt;0,AZ346&lt;$D$2*-1,AX346/AW346&lt;3),"Very serious", AND(AY346&gt;=$D$1,AZ346&lt;0,BA346&lt;$D$2,AX346/AW346&lt;3),"Serious",AND(AY346&gt;=$D$1,AZ346&lt;0,BA346&gt;$D$2,AX346/AW346&lt;3),"Very serious", AND(AY346&lt;=$D$1*-1,BA346&gt;0,AZ346&gt;$D$2*-1,AX346/AW346&gt;=3),"Very serious", AND(AY346&lt;=$D$1*-1,BA346&gt;0,AZ346&lt;$D$2*-1,AX346/AW346&gt;=3),"Very serious", AND(AY346&gt;=$D$1,AZ346&lt;0,BA346&lt;$D$2,AX346/AW346&gt;=3),"Very serious", AND(AY346&gt;=$D$1,AZ346&lt;0,BA346&gt;$D$2,AX346/AW346&gt;=3),"Very serious", AND(AY346&gt;$D$1*-1,AY346&lt;$D$1,AZ346&gt;$D$1*-1,BA346&lt;$D$1,AX346/AW346&lt;3),"Not Serious", AND(AY346&gt;$D$1*-1,AY346&lt;$D$1,OR(AZ346&lt;=$D$1*-1,BA346&gt;=$D$1),AZ346&gt;$D$2*-1,BA346&lt;$D$2,AX346/AW346&lt;3),"Serious", AND(AY346&gt;$D$1*-1,AY346&lt;$D$1,OR(AZ346&lt;=$D$2*-1,BA346&gt;=$D$2),AX346/AW346&lt;3),"Very serious", AND(AY346&gt;$D$1*-1,AY346&lt;$D$1,AZ346&gt;$D$1*-1,BA346&lt;$D$1,AX346/AW346&gt;=3),"Very serious", AND(AY346&gt;$D$1*-1,AY346&lt;$D$1,OR(AZ346&lt;=$D$1*-1,BA346&gt;=$D$1),AZ346&gt;$D$2*-1,BA346&lt;$D$2,AX346/AW346&gt;=3),"Very serious", AND(AY346&gt;$D$1*-1,AY346&lt;$D$1,OR(AZ346&lt;=$D$2*-1,BA346&gt;=$D$2),AX346/AW346&gt;=3),"Very serious"),""))</f>
        <v/>
      </c>
      <c r="BF346" s="107" t="str">
        <f t="shared" si="11"/>
        <v/>
      </c>
      <c r="BG346" s="94" t="str">
        <f t="shared" si="46"/>
        <v/>
      </c>
      <c r="BH346" s="64" t="str">
        <f t="shared" si="12"/>
        <v>#N/A</v>
      </c>
      <c r="BI346" s="64" t="str">
        <f t="shared" si="13"/>
        <v/>
      </c>
      <c r="BJ346" s="123" t="str">
        <f t="shared" si="14"/>
        <v>#N/A</v>
      </c>
      <c r="BK346" s="64" t="str">
        <f t="shared" si="50"/>
        <v>YES</v>
      </c>
      <c r="BL346" s="64" t="str">
        <f t="shared" si="16"/>
        <v>YES</v>
      </c>
      <c r="BM346" s="64" t="str">
        <f t="shared" si="17"/>
        <v>YES</v>
      </c>
      <c r="BN346" s="124" t="str">
        <f t="shared" si="18"/>
        <v/>
      </c>
      <c r="BO346" s="91" t="str">
        <f t="shared" si="19"/>
        <v/>
      </c>
      <c r="BP346" s="91" t="str">
        <f t="shared" si="20"/>
        <v>#N/A</v>
      </c>
      <c r="BQ346" s="91" t="str">
        <f t="shared" si="21"/>
        <v/>
      </c>
      <c r="BR346" s="93" t="str">
        <f t="shared" si="22"/>
        <v/>
      </c>
      <c r="BS346" s="90" t="str">
        <f t="shared" si="23"/>
        <v/>
      </c>
      <c r="BT346" s="93" t="str">
        <f t="shared" si="24"/>
        <v>NA</v>
      </c>
      <c r="BU346" s="125" t="str">
        <f t="shared" si="25"/>
        <v>#N/A</v>
      </c>
      <c r="BV346" s="93" t="str">
        <f t="shared" si="26"/>
        <v/>
      </c>
      <c r="BW346" s="93" t="str">
        <f t="shared" si="27"/>
        <v/>
      </c>
      <c r="BX346" s="93" t="str">
        <f t="shared" si="28"/>
        <v>NA</v>
      </c>
      <c r="BY346" s="95" t="str">
        <f t="shared" si="29"/>
        <v>#N/A</v>
      </c>
      <c r="BZ346" s="93" t="str">
        <f t="shared" si="30"/>
        <v/>
      </c>
      <c r="CA346" s="93" t="str">
        <f t="shared" si="31"/>
        <v/>
      </c>
      <c r="CB346" s="93" t="str">
        <f t="shared" si="32"/>
        <v>NA</v>
      </c>
      <c r="CC346" s="96" t="str">
        <f t="shared" si="33"/>
        <v>#N/A</v>
      </c>
      <c r="CD346" s="93" t="str">
        <f t="shared" si="34"/>
        <v/>
      </c>
      <c r="CE346" s="93" t="str">
        <f t="shared" si="35"/>
        <v/>
      </c>
      <c r="CF346" s="93" t="str">
        <f t="shared" si="36"/>
        <v>NA</v>
      </c>
      <c r="CG346" s="97" t="str">
        <f t="shared" si="37"/>
        <v>#N/A</v>
      </c>
      <c r="CH346" s="98" t="str">
        <f t="shared" si="38"/>
        <v>#N/A</v>
      </c>
      <c r="CI346" s="99" t="str">
        <f t="shared" si="39"/>
        <v>#N/A</v>
      </c>
      <c r="CJ346" s="126" t="str">
        <f t="shared" si="40"/>
        <v>ERROR: check cell</v>
      </c>
      <c r="CK346" s="126"/>
      <c r="CL346" s="127" t="str">
        <f t="shared" si="41"/>
        <v>#DIV/0!</v>
      </c>
      <c r="CM346" s="128" t="str">
        <f t="shared" si="42"/>
        <v>#DIV/0!</v>
      </c>
      <c r="CN346" s="128">
        <f t="shared" si="43"/>
        <v>4</v>
      </c>
      <c r="CO346" s="129">
        <f t="shared" si="44"/>
        <v>4</v>
      </c>
      <c r="CP346" s="129" t="str">
        <f>IFS(C346=Preferences!B$13,B346,B346=Preferences!B$13,C346)</f>
        <v>#N/A</v>
      </c>
    </row>
    <row r="347" ht="13.5" customHeight="1">
      <c r="A347" s="63" t="str">
        <f t="shared" si="45"/>
        <v/>
      </c>
      <c r="B347" s="64"/>
      <c r="C347" s="64"/>
      <c r="D347" s="64"/>
      <c r="E347" s="65"/>
      <c r="F347" s="65"/>
      <c r="G347" s="65"/>
      <c r="H347" s="66"/>
      <c r="I347" s="66"/>
      <c r="J347" s="67"/>
      <c r="K347" s="68"/>
      <c r="L347" s="104"/>
      <c r="M347" s="104"/>
      <c r="N347" s="104"/>
      <c r="O347" s="104"/>
      <c r="P347" s="107" t="str">
        <f t="shared" si="1"/>
        <v/>
      </c>
      <c r="Q347" s="108" t="str">
        <f>IFERROR(IF(AND(Preferences!B$3="Manual",OR(AX347/AW347&gt;G347/F347,BD347="Serious",BD347="Very serious")),"Assess imprecision",IFS(ISBLANK(E347),"",AND(Preferences!B$3="Automatic", G347/F347&gt;=30),"Extremely serious",AND(H347&lt;=$D$1*-1,J347&lt;0,G347/F347&lt;3),"Not serious",AND(H347&lt;=$D$1*-1,J347&lt;0,G347/F347&gt;=3),"Very serious",AND(H347&gt;=$D$1,I347&gt;0,G347/F347&lt;3),"Not serious",AND(H347&gt;=$D$1,I347&gt;0,G347/F347&gt;=3),"Very serious",AND(H347&lt;=$D$1*-1,J347&gt;0,I347&gt;$D$2*-1,G347/F347&lt;3),"Serious", AND(H347&lt;=$D$1*-1,J347&gt;0,I347&lt;$D$2*-1,G347/F347&lt;3),"Very serious", AND(H347&gt;=$D$1,I347&lt;0,J347&lt;$D$2,G347/F347&lt;3),"Serious",AND(H347&gt;=$D$1,I347&lt;0,J347&gt;$D$2,G347/F347&lt;3),"Very serious", AND(H347&lt;=$D$1*-1,J347&gt;0,I347&gt;$D$2*-1,G347/F347&gt;=3),"Very serious", AND(H347&lt;=$D$1*-1,J347&gt;0,I347&lt;$D$2*-1,G347/F347&gt;=3),"Very serious", AND(H347&gt;=$D$1,I347&lt;0,J347&lt;$D$2,G347/F347&gt;=3),"Very serious", AND(H347&gt;=$D$1,I347&lt;0,J347&gt;$D$2,G347/F347&gt;=3),"Very serious", AND(H347&gt;$D$1*-1,H347&lt;$D$1,I347&gt;$D$1*-1,J347&lt;$D$1,G347/F347&lt;3),"Not serious", AND(H347&gt;$D$1*-1,H347&lt;$D$1,OR(I347&lt;=$D$1*-1,J347&gt;=$D$1),I347&gt;$D$2*-1,J347&lt;$D$2,G347/F347&lt;3),"Serious", AND(H347&gt;$D$1*-1,H347&lt;$D$1,OR(I347&lt;=$D$2*-1,J347&gt;=$D$2),G347/F347&lt;3),"Very serious", AND(H347&gt;$D$1*-1,H347&lt;$D$1,I347&gt;$D$1*-1,J347&lt;$D$1,G347/F347&gt;=3),"Very serious", AND(H347&gt;$D$1*-1,H347&lt;$D$1,OR(I347&lt;=$D$1*-1,J347&gt;=$D$1),I347&gt;$D$2*-1,J347&lt;$D$2,G347/F347&gt;=3),"Very serious", AND(H347&gt;$D$1*-1,H347&lt;$D$1,OR(I347&lt;=$D$2*-1,J347&gt;=$D$2),G347/F347&gt;=3),"Very serious")),"")</f>
        <v/>
      </c>
      <c r="R347" s="109" t="str">
        <f t="shared" si="47"/>
        <v/>
      </c>
      <c r="S347" s="64"/>
      <c r="T347" s="72"/>
      <c r="U347" s="72"/>
      <c r="V347" s="72"/>
      <c r="W347" s="73"/>
      <c r="X347" s="73"/>
      <c r="Y347" s="74"/>
      <c r="Z347" s="113" t="str">
        <f t="array" ref="Z347">INDEX($A$1:$C$500, MATCH(1,($B:$B=$B347)*($C:$C=$AB347),0),1)</f>
        <v/>
      </c>
      <c r="AA347" s="113" t="str">
        <f t="array" ref="AA347">INDEX($A$1:$C$500, MATCH(1,($B:$B=$AB347)*($C:$C=$B347),0),1)</f>
        <v/>
      </c>
      <c r="AB347" s="111"/>
      <c r="AC347" s="114" t="str">
        <f t="shared" si="2"/>
        <v/>
      </c>
      <c r="AD347" s="115" t="str">
        <f t="shared" si="3"/>
        <v/>
      </c>
      <c r="AE347" s="116" t="str">
        <f t="array" ref="AE347">INDEX($A$1:$C$500, MATCH(1,($B:$B=$AB347)*($C:$C=$AG347),0),1)</f>
        <v/>
      </c>
      <c r="AF347" s="116" t="str">
        <f t="array" ref="AF347">INDEX($A$1:$C$500, MATCH(1,($B:$B=$AG347)*($C:$C=$AB347),0),1)</f>
        <v/>
      </c>
      <c r="AG347" s="72"/>
      <c r="AH347" s="114" t="str">
        <f t="shared" si="4"/>
        <v/>
      </c>
      <c r="AI347" s="115" t="str">
        <f t="shared" si="5"/>
        <v/>
      </c>
      <c r="AJ347" s="116" t="str">
        <f t="array" ref="AJ347">INDEX($A$1:$C$500, MATCH(1,($B:$B=$C347)*($C:$C=$AG347),0),1)</f>
        <v/>
      </c>
      <c r="AK347" s="116" t="str">
        <f t="array" ref="AK347">INDEX($A$1:$C$500, MATCH(1,($B:$B=$AG347)*($C:$C=$C347),0),1)</f>
        <v/>
      </c>
      <c r="AL347" s="116" t="str">
        <f t="array" ref="AL347">INDEX($A$1:$C$500, MATCH(1,($B:$B=$C347)*($C:$C=$AB347),0),1)</f>
        <v/>
      </c>
      <c r="AM347" s="116" t="str">
        <f t="array" ref="AM347">INDEX($A$1:$C$500, MATCH(1,($B:$B=$AB347)*($C:$C=$C347),0),1)</f>
        <v/>
      </c>
      <c r="AN347" s="114" t="str">
        <f t="array" ref="AN347">IFS(ISNUMBER(AJ347),AJ347,ISNUMBER(AK347),AK347,ISNUMBER(AL347),AL347,ISNUMBER(AM347),AM347)</f>
        <v>#N/A</v>
      </c>
      <c r="AO347" s="115" t="str">
        <f t="shared" si="6"/>
        <v/>
      </c>
      <c r="AP347" s="115" t="str">
        <f t="shared" si="7"/>
        <v/>
      </c>
      <c r="AQ347" s="111"/>
      <c r="AR347" s="109" t="str">
        <f t="shared" si="8"/>
        <v/>
      </c>
      <c r="AS347" s="72" t="str">
        <f>IFERROR(IF(AND(Preferences!B$3="Manual",OR(AX347/AW347&gt;V347/U347,BD347="Serious",BD347="Very serious")),"Assess imprecision",IFERROR(IFS(AND(Preferences!B$3="Automatic",V347/U347&gt;=30),"Extremely serious",AND(W347&lt;=$D$1*-1,Y347&lt;0,V347/U347&lt;3),"Not Serious",AND(W347&lt;=$D$1*-1,Y347&lt;0,V347/U347&gt;=3),"Very serious",AND(W347&gt;=$D$1,X347&gt;0,V347/U347&lt;3),"Not Serious",AND(W347&gt;=$D$1,X347&gt;0,V347/U347&gt;=3),"Very serious",AND(W347&lt;=$D$1*-1,Y347&gt;0,X347&gt;$D$2*-1,V347/U347&lt;3),"Serious", AND(W347&lt;=$D$1*-1,Y347&gt;0,X347&lt;$D$2*-1,V347/U347&lt;3),"Very serious", AND(W347&gt;=$D$1,X347&lt;0,Y347&lt;$D$2,V347/U347&lt;3),"Serious",AND(W347&gt;=$D$1,X347&lt;0,Y347&gt;$D$2,V347/U347&lt;3),"Very serious", AND(W347&lt;=$D$1*-1,Y347&gt;0,X347&gt;$D$2*-1,V347/U347&gt;=3),"Very serious", AND(W347&lt;=$D$1*-1,Y347&gt;0,X347&lt;$D$2*-1,V347/U347&gt;=3),"Very serious", AND(W347&gt;=$D$1,X347&lt;0,Y347&lt;$D$2,V347/U347&gt;=3),"Very serious", AND(W347&gt;=$D$1,X347&lt;0,Y347&gt;$D$2,V347/U347&gt;=3),"Very serious", AND(W347&gt;$D$1*-1,W347&lt;$D$1,X347&gt;$D$1*-1,Y347&lt;$D$1,V347/U347&lt;3),"Not Serious", AND(W347&gt;$D$1*-1,W347&lt;$D$1,OR(X347&lt;=$D$1*-1,Y347&gt;=$D$1),X347&gt;$D$2*-1,Y347&lt;$D$2,V347/U347&lt;3),"Serious", AND(W347&gt;$D$1*-1,W347&lt;$D$1,OR(X347&lt;=$D$2*-1,Y347&gt;=$D$2),V347/U347&lt;3),"Very serious", AND(W347&gt;$D$1*-1,W347&lt;$D$1,X347&gt;$D$1*-1,Y347&lt;$D$1,V347/U347&gt;=3),"Very serious", AND(W347&gt;$D$1*-1,W347&lt;$D$1,OR(X347&lt;=$D$1*-1,Y347&gt;=$D$1),X347&gt;$D$2*-1,Y347&lt;$D$2,V347/U347&gt;=3),"Very serious", AND(W347&gt;$D$1*-1,W347&lt;$D$1,OR(X347&lt;=$D$2*-1,Y347&gt;=$D$2),V347/U347&gt;=3),"Very serious"),"")),"")</f>
        <v/>
      </c>
      <c r="AT347" s="109" t="str">
        <f t="shared" si="9"/>
        <v/>
      </c>
      <c r="AU347" s="64"/>
      <c r="AV347" s="83"/>
      <c r="AW347" s="83"/>
      <c r="AX347" s="83"/>
      <c r="AY347" s="83"/>
      <c r="AZ347" s="83"/>
      <c r="BA347" s="85"/>
      <c r="BB347" s="86" t="str">
        <f>IF(Preferences!B$9="Manual","",IFS(ISBLANK(B347),"",AND(ISNUMBER(E347)=TRUE,ISNUMBER(T347)=FALSE),"Direct", AND(ISNUMBER(E347)=FALSE,ISNUMBER(T347)=TRUE),"Indirect", CN347=4,"Direct",AND(CL347=FALSE, CM347=TRUE,CN347-CO347&gt;-1),"Direct", AND(CL347=FALSE,CM347=TRUE, CN347-CO347&lt;0),"Check algorithm in appendix 2", AND(CL347=TRUE, CM347=FALSE,CN347-CO347&gt;0),"Check algorithm in appendix 2", AND(CL347=TRUE, CM347=FALSE,CN347-CO347=0),"Indirect", AND(CL347=TRUE, CM347=FALSE,CN347-CO347&lt;0),"Indirect", AND(CL347=FALSE,CM347=FALSE,CN347-CO347&gt;-1),"Direct", AND(CL347=FALSE,CM347=FALSE,CN347-CO347&lt;0),"Check algorithm in appendix 2", AND(CL347=TRUE,CM347=TRUE,CN347-CO347&gt;-1),"Direct", AND(CL347=TRUE,CM347=TRUE,CN347-CO347&lt;0),"Check algorithm in appendix 2"))</f>
        <v/>
      </c>
      <c r="BC347" s="120" t="str">
        <f t="shared" si="10"/>
        <v/>
      </c>
      <c r="BD347" s="140"/>
      <c r="BE347" s="122" t="str">
        <f>IF(Preferences!B$3="Manual","", IFERROR(IFS(AND(Preferences!B$3="Automatic",AX347/AW347&gt;=30),"Extremely serious",AND(AY347&lt;=$D$1*-1,BA347&lt;0,AX347/AW347&lt;3),"Not Serious",AND(AY347&lt;=$D$1*-1,BA347&lt;0,AX347/AW347&gt;=3),"Very serious",AND(AY347&gt;=$D$1,AZ347&gt;0,AX347/AW347&lt;3),"Not Serious",AND(AY347&gt;=$D$1,AZ347&gt;0,AX347/AW347&gt;=3),"Very serious",AND(AY347&lt;=$D$1*-1,BA347&gt;0,AZ347&gt;$D$2*-1,AX347/AW347&lt;3),"Serious", AND(AY347&lt;=$D$1*-1,BA347&gt;0,AZ347&lt;$D$2*-1,AX347/AW347&lt;3),"Very serious", AND(AY347&gt;=$D$1,AZ347&lt;0,BA347&lt;$D$2,AX347/AW347&lt;3),"Serious",AND(AY347&gt;=$D$1,AZ347&lt;0,BA347&gt;$D$2,AX347/AW347&lt;3),"Very serious", AND(AY347&lt;=$D$1*-1,BA347&gt;0,AZ347&gt;$D$2*-1,AX347/AW347&gt;=3),"Very serious", AND(AY347&lt;=$D$1*-1,BA347&gt;0,AZ347&lt;$D$2*-1,AX347/AW347&gt;=3),"Very serious", AND(AY347&gt;=$D$1,AZ347&lt;0,BA347&lt;$D$2,AX347/AW347&gt;=3),"Very serious", AND(AY347&gt;=$D$1,AZ347&lt;0,BA347&gt;$D$2,AX347/AW347&gt;=3),"Very serious", AND(AY347&gt;$D$1*-1,AY347&lt;$D$1,AZ347&gt;$D$1*-1,BA347&lt;$D$1,AX347/AW347&lt;3),"Not Serious", AND(AY347&gt;$D$1*-1,AY347&lt;$D$1,OR(AZ347&lt;=$D$1*-1,BA347&gt;=$D$1),AZ347&gt;$D$2*-1,BA347&lt;$D$2,AX347/AW347&lt;3),"Serious", AND(AY347&gt;$D$1*-1,AY347&lt;$D$1,OR(AZ347&lt;=$D$2*-1,BA347&gt;=$D$2),AX347/AW347&lt;3),"Very serious", AND(AY347&gt;$D$1*-1,AY347&lt;$D$1,AZ347&gt;$D$1*-1,BA347&lt;$D$1,AX347/AW347&gt;=3),"Very serious", AND(AY347&gt;$D$1*-1,AY347&lt;$D$1,OR(AZ347&lt;=$D$1*-1,BA347&gt;=$D$1),AZ347&gt;$D$2*-1,BA347&lt;$D$2,AX347/AW347&gt;=3),"Very serious", AND(AY347&gt;$D$1*-1,AY347&lt;$D$1,OR(AZ347&lt;=$D$2*-1,BA347&gt;=$D$2),AX347/AW347&gt;=3),"Very serious"),""))</f>
        <v/>
      </c>
      <c r="BF347" s="107" t="str">
        <f t="shared" si="11"/>
        <v/>
      </c>
      <c r="BG347" s="94" t="str">
        <f t="shared" si="46"/>
        <v/>
      </c>
      <c r="BH347" s="64" t="str">
        <f t="shared" si="12"/>
        <v>#N/A</v>
      </c>
      <c r="BI347" s="64" t="str">
        <f t="shared" si="13"/>
        <v/>
      </c>
      <c r="BJ347" s="123" t="str">
        <f t="shared" si="14"/>
        <v>#N/A</v>
      </c>
      <c r="BK347" s="64" t="str">
        <f t="shared" si="50"/>
        <v>YES</v>
      </c>
      <c r="BL347" s="64" t="str">
        <f t="shared" si="16"/>
        <v>YES</v>
      </c>
      <c r="BM347" s="64" t="str">
        <f t="shared" si="17"/>
        <v>YES</v>
      </c>
      <c r="BN347" s="124" t="str">
        <f t="shared" si="18"/>
        <v/>
      </c>
      <c r="BO347" s="91" t="str">
        <f t="shared" si="19"/>
        <v/>
      </c>
      <c r="BP347" s="91" t="str">
        <f t="shared" si="20"/>
        <v>#N/A</v>
      </c>
      <c r="BQ347" s="91" t="str">
        <f t="shared" si="21"/>
        <v/>
      </c>
      <c r="BR347" s="93" t="str">
        <f t="shared" si="22"/>
        <v/>
      </c>
      <c r="BS347" s="90" t="str">
        <f t="shared" si="23"/>
        <v/>
      </c>
      <c r="BT347" s="93" t="str">
        <f t="shared" si="24"/>
        <v>NA</v>
      </c>
      <c r="BU347" s="125" t="str">
        <f t="shared" si="25"/>
        <v>#N/A</v>
      </c>
      <c r="BV347" s="93" t="str">
        <f t="shared" si="26"/>
        <v/>
      </c>
      <c r="BW347" s="93" t="str">
        <f t="shared" si="27"/>
        <v/>
      </c>
      <c r="BX347" s="93" t="str">
        <f t="shared" si="28"/>
        <v>NA</v>
      </c>
      <c r="BY347" s="95" t="str">
        <f t="shared" si="29"/>
        <v>#N/A</v>
      </c>
      <c r="BZ347" s="93" t="str">
        <f t="shared" si="30"/>
        <v/>
      </c>
      <c r="CA347" s="93" t="str">
        <f t="shared" si="31"/>
        <v/>
      </c>
      <c r="CB347" s="93" t="str">
        <f t="shared" si="32"/>
        <v>NA</v>
      </c>
      <c r="CC347" s="96" t="str">
        <f t="shared" si="33"/>
        <v>#N/A</v>
      </c>
      <c r="CD347" s="93" t="str">
        <f t="shared" si="34"/>
        <v/>
      </c>
      <c r="CE347" s="93" t="str">
        <f t="shared" si="35"/>
        <v/>
      </c>
      <c r="CF347" s="93" t="str">
        <f t="shared" si="36"/>
        <v>NA</v>
      </c>
      <c r="CG347" s="97" t="str">
        <f t="shared" si="37"/>
        <v>#N/A</v>
      </c>
      <c r="CH347" s="98" t="str">
        <f t="shared" si="38"/>
        <v>#N/A</v>
      </c>
      <c r="CI347" s="99" t="str">
        <f t="shared" si="39"/>
        <v>#N/A</v>
      </c>
      <c r="CJ347" s="126" t="str">
        <f t="shared" si="40"/>
        <v>ERROR: check cell</v>
      </c>
      <c r="CK347" s="126"/>
      <c r="CL347" s="127" t="str">
        <f t="shared" si="41"/>
        <v>#DIV/0!</v>
      </c>
      <c r="CM347" s="128" t="str">
        <f t="shared" si="42"/>
        <v>#DIV/0!</v>
      </c>
      <c r="CN347" s="128">
        <f t="shared" si="43"/>
        <v>4</v>
      </c>
      <c r="CO347" s="129">
        <f t="shared" si="44"/>
        <v>4</v>
      </c>
      <c r="CP347" s="129" t="str">
        <f>IFS(C347=Preferences!B$13,B347,B347=Preferences!B$13,C347)</f>
        <v>#N/A</v>
      </c>
    </row>
    <row r="348" ht="13.5" customHeight="1">
      <c r="A348" s="63" t="str">
        <f t="shared" si="45"/>
        <v/>
      </c>
      <c r="B348" s="64"/>
      <c r="C348" s="64"/>
      <c r="D348" s="64"/>
      <c r="E348" s="65"/>
      <c r="F348" s="65"/>
      <c r="G348" s="65"/>
      <c r="H348" s="66"/>
      <c r="I348" s="66"/>
      <c r="J348" s="67"/>
      <c r="K348" s="68"/>
      <c r="L348" s="104"/>
      <c r="M348" s="104"/>
      <c r="N348" s="104"/>
      <c r="O348" s="104"/>
      <c r="P348" s="107" t="str">
        <f t="shared" si="1"/>
        <v/>
      </c>
      <c r="Q348" s="108" t="str">
        <f>IFERROR(IF(AND(Preferences!B$3="Manual",OR(AX348/AW348&gt;G348/F348,BD348="Serious",BD348="Very serious")),"Assess imprecision",IFS(ISBLANK(E348),"",AND(Preferences!B$3="Automatic", G348/F348&gt;=30),"Extremely serious",AND(H348&lt;=$D$1*-1,J348&lt;0,G348/F348&lt;3),"Not serious",AND(H348&lt;=$D$1*-1,J348&lt;0,G348/F348&gt;=3),"Very serious",AND(H348&gt;=$D$1,I348&gt;0,G348/F348&lt;3),"Not serious",AND(H348&gt;=$D$1,I348&gt;0,G348/F348&gt;=3),"Very serious",AND(H348&lt;=$D$1*-1,J348&gt;0,I348&gt;$D$2*-1,G348/F348&lt;3),"Serious", AND(H348&lt;=$D$1*-1,J348&gt;0,I348&lt;$D$2*-1,G348/F348&lt;3),"Very serious", AND(H348&gt;=$D$1,I348&lt;0,J348&lt;$D$2,G348/F348&lt;3),"Serious",AND(H348&gt;=$D$1,I348&lt;0,J348&gt;$D$2,G348/F348&lt;3),"Very serious", AND(H348&lt;=$D$1*-1,J348&gt;0,I348&gt;$D$2*-1,G348/F348&gt;=3),"Very serious", AND(H348&lt;=$D$1*-1,J348&gt;0,I348&lt;$D$2*-1,G348/F348&gt;=3),"Very serious", AND(H348&gt;=$D$1,I348&lt;0,J348&lt;$D$2,G348/F348&gt;=3),"Very serious", AND(H348&gt;=$D$1,I348&lt;0,J348&gt;$D$2,G348/F348&gt;=3),"Very serious", AND(H348&gt;$D$1*-1,H348&lt;$D$1,I348&gt;$D$1*-1,J348&lt;$D$1,G348/F348&lt;3),"Not serious", AND(H348&gt;$D$1*-1,H348&lt;$D$1,OR(I348&lt;=$D$1*-1,J348&gt;=$D$1),I348&gt;$D$2*-1,J348&lt;$D$2,G348/F348&lt;3),"Serious", AND(H348&gt;$D$1*-1,H348&lt;$D$1,OR(I348&lt;=$D$2*-1,J348&gt;=$D$2),G348/F348&lt;3),"Very serious", AND(H348&gt;$D$1*-1,H348&lt;$D$1,I348&gt;$D$1*-1,J348&lt;$D$1,G348/F348&gt;=3),"Very serious", AND(H348&gt;$D$1*-1,H348&lt;$D$1,OR(I348&lt;=$D$1*-1,J348&gt;=$D$1),I348&gt;$D$2*-1,J348&lt;$D$2,G348/F348&gt;=3),"Very serious", AND(H348&gt;$D$1*-1,H348&lt;$D$1,OR(I348&lt;=$D$2*-1,J348&gt;=$D$2),G348/F348&gt;=3),"Very serious")),"")</f>
        <v/>
      </c>
      <c r="R348" s="109" t="str">
        <f t="shared" si="47"/>
        <v/>
      </c>
      <c r="S348" s="64"/>
      <c r="T348" s="72"/>
      <c r="U348" s="72"/>
      <c r="V348" s="72"/>
      <c r="W348" s="73"/>
      <c r="X348" s="73"/>
      <c r="Y348" s="74"/>
      <c r="Z348" s="113" t="str">
        <f t="array" ref="Z348">INDEX($A$1:$C$500, MATCH(1,($B:$B=$B348)*($C:$C=$AB348),0),1)</f>
        <v/>
      </c>
      <c r="AA348" s="113" t="str">
        <f t="array" ref="AA348">INDEX($A$1:$C$500, MATCH(1,($B:$B=$AB348)*($C:$C=$B348),0),1)</f>
        <v/>
      </c>
      <c r="AB348" s="111"/>
      <c r="AC348" s="114" t="str">
        <f t="shared" si="2"/>
        <v/>
      </c>
      <c r="AD348" s="115" t="str">
        <f t="shared" si="3"/>
        <v/>
      </c>
      <c r="AE348" s="116" t="str">
        <f t="array" ref="AE348">INDEX($A$1:$C$500, MATCH(1,($B:$B=$AB348)*($C:$C=$AG348),0),1)</f>
        <v/>
      </c>
      <c r="AF348" s="116" t="str">
        <f t="array" ref="AF348">INDEX($A$1:$C$500, MATCH(1,($B:$B=$AG348)*($C:$C=$AB348),0),1)</f>
        <v/>
      </c>
      <c r="AG348" s="72"/>
      <c r="AH348" s="114" t="str">
        <f t="shared" si="4"/>
        <v/>
      </c>
      <c r="AI348" s="115" t="str">
        <f t="shared" si="5"/>
        <v/>
      </c>
      <c r="AJ348" s="116" t="str">
        <f t="array" ref="AJ348">INDEX($A$1:$C$500, MATCH(1,($B:$B=$C348)*($C:$C=$AG348),0),1)</f>
        <v/>
      </c>
      <c r="AK348" s="116" t="str">
        <f t="array" ref="AK348">INDEX($A$1:$C$500, MATCH(1,($B:$B=$AG348)*($C:$C=$C348),0),1)</f>
        <v/>
      </c>
      <c r="AL348" s="116" t="str">
        <f t="array" ref="AL348">INDEX($A$1:$C$500, MATCH(1,($B:$B=$C348)*($C:$C=$AB348),0),1)</f>
        <v/>
      </c>
      <c r="AM348" s="116" t="str">
        <f t="array" ref="AM348">INDEX($A$1:$C$500, MATCH(1,($B:$B=$AB348)*($C:$C=$C348),0),1)</f>
        <v/>
      </c>
      <c r="AN348" s="114" t="str">
        <f t="array" ref="AN348">IFS(ISNUMBER(AJ348),AJ348,ISNUMBER(AK348),AK348,ISNUMBER(AL348),AL348,ISNUMBER(AM348),AM348)</f>
        <v>#N/A</v>
      </c>
      <c r="AO348" s="115" t="str">
        <f t="shared" si="6"/>
        <v/>
      </c>
      <c r="AP348" s="115" t="str">
        <f t="shared" si="7"/>
        <v/>
      </c>
      <c r="AQ348" s="111"/>
      <c r="AR348" s="109" t="str">
        <f t="shared" si="8"/>
        <v/>
      </c>
      <c r="AS348" s="72" t="str">
        <f>IFERROR(IF(AND(Preferences!B$3="Manual",OR(AX348/AW348&gt;V348/U348,BD348="Serious",BD348="Very serious")),"Assess imprecision",IFERROR(IFS(AND(Preferences!B$3="Automatic",V348/U348&gt;=30),"Extremely serious",AND(W348&lt;=$D$1*-1,Y348&lt;0,V348/U348&lt;3),"Not Serious",AND(W348&lt;=$D$1*-1,Y348&lt;0,V348/U348&gt;=3),"Very serious",AND(W348&gt;=$D$1,X348&gt;0,V348/U348&lt;3),"Not Serious",AND(W348&gt;=$D$1,X348&gt;0,V348/U348&gt;=3),"Very serious",AND(W348&lt;=$D$1*-1,Y348&gt;0,X348&gt;$D$2*-1,V348/U348&lt;3),"Serious", AND(W348&lt;=$D$1*-1,Y348&gt;0,X348&lt;$D$2*-1,V348/U348&lt;3),"Very serious", AND(W348&gt;=$D$1,X348&lt;0,Y348&lt;$D$2,V348/U348&lt;3),"Serious",AND(W348&gt;=$D$1,X348&lt;0,Y348&gt;$D$2,V348/U348&lt;3),"Very serious", AND(W348&lt;=$D$1*-1,Y348&gt;0,X348&gt;$D$2*-1,V348/U348&gt;=3),"Very serious", AND(W348&lt;=$D$1*-1,Y348&gt;0,X348&lt;$D$2*-1,V348/U348&gt;=3),"Very serious", AND(W348&gt;=$D$1,X348&lt;0,Y348&lt;$D$2,V348/U348&gt;=3),"Very serious", AND(W348&gt;=$D$1,X348&lt;0,Y348&gt;$D$2,V348/U348&gt;=3),"Very serious", AND(W348&gt;$D$1*-1,W348&lt;$D$1,X348&gt;$D$1*-1,Y348&lt;$D$1,V348/U348&lt;3),"Not Serious", AND(W348&gt;$D$1*-1,W348&lt;$D$1,OR(X348&lt;=$D$1*-1,Y348&gt;=$D$1),X348&gt;$D$2*-1,Y348&lt;$D$2,V348/U348&lt;3),"Serious", AND(W348&gt;$D$1*-1,W348&lt;$D$1,OR(X348&lt;=$D$2*-1,Y348&gt;=$D$2),V348/U348&lt;3),"Very serious", AND(W348&gt;$D$1*-1,W348&lt;$D$1,X348&gt;$D$1*-1,Y348&lt;$D$1,V348/U348&gt;=3),"Very serious", AND(W348&gt;$D$1*-1,W348&lt;$D$1,OR(X348&lt;=$D$1*-1,Y348&gt;=$D$1),X348&gt;$D$2*-1,Y348&lt;$D$2,V348/U348&gt;=3),"Very serious", AND(W348&gt;$D$1*-1,W348&lt;$D$1,OR(X348&lt;=$D$2*-1,Y348&gt;=$D$2),V348/U348&gt;=3),"Very serious"),"")),"")</f>
        <v/>
      </c>
      <c r="AT348" s="109" t="str">
        <f t="shared" si="9"/>
        <v/>
      </c>
      <c r="AU348" s="64"/>
      <c r="AV348" s="83"/>
      <c r="AW348" s="83"/>
      <c r="AX348" s="83"/>
      <c r="AY348" s="83"/>
      <c r="AZ348" s="83"/>
      <c r="BA348" s="85"/>
      <c r="BB348" s="86" t="str">
        <f>IF(Preferences!B$9="Manual","",IFS(ISBLANK(B348),"",AND(ISNUMBER(E348)=TRUE,ISNUMBER(T348)=FALSE),"Direct", AND(ISNUMBER(E348)=FALSE,ISNUMBER(T348)=TRUE),"Indirect", CN348=4,"Direct",AND(CL348=FALSE, CM348=TRUE,CN348-CO348&gt;-1),"Direct", AND(CL348=FALSE,CM348=TRUE, CN348-CO348&lt;0),"Check algorithm in appendix 2", AND(CL348=TRUE, CM348=FALSE,CN348-CO348&gt;0),"Check algorithm in appendix 2", AND(CL348=TRUE, CM348=FALSE,CN348-CO348=0),"Indirect", AND(CL348=TRUE, CM348=FALSE,CN348-CO348&lt;0),"Indirect", AND(CL348=FALSE,CM348=FALSE,CN348-CO348&gt;-1),"Direct", AND(CL348=FALSE,CM348=FALSE,CN348-CO348&lt;0),"Check algorithm in appendix 2", AND(CL348=TRUE,CM348=TRUE,CN348-CO348&gt;-1),"Direct", AND(CL348=TRUE,CM348=TRUE,CN348-CO348&lt;0),"Check algorithm in appendix 2"))</f>
        <v/>
      </c>
      <c r="BC348" s="120" t="str">
        <f t="shared" si="10"/>
        <v/>
      </c>
      <c r="BD348" s="140"/>
      <c r="BE348" s="122" t="str">
        <f>IF(Preferences!B$3="Manual","", IFERROR(IFS(AND(Preferences!B$3="Automatic",AX348/AW348&gt;=30),"Extremely serious",AND(AY348&lt;=$D$1*-1,BA348&lt;0,AX348/AW348&lt;3),"Not Serious",AND(AY348&lt;=$D$1*-1,BA348&lt;0,AX348/AW348&gt;=3),"Very serious",AND(AY348&gt;=$D$1,AZ348&gt;0,AX348/AW348&lt;3),"Not Serious",AND(AY348&gt;=$D$1,AZ348&gt;0,AX348/AW348&gt;=3),"Very serious",AND(AY348&lt;=$D$1*-1,BA348&gt;0,AZ348&gt;$D$2*-1,AX348/AW348&lt;3),"Serious", AND(AY348&lt;=$D$1*-1,BA348&gt;0,AZ348&lt;$D$2*-1,AX348/AW348&lt;3),"Very serious", AND(AY348&gt;=$D$1,AZ348&lt;0,BA348&lt;$D$2,AX348/AW348&lt;3),"Serious",AND(AY348&gt;=$D$1,AZ348&lt;0,BA348&gt;$D$2,AX348/AW348&lt;3),"Very serious", AND(AY348&lt;=$D$1*-1,BA348&gt;0,AZ348&gt;$D$2*-1,AX348/AW348&gt;=3),"Very serious", AND(AY348&lt;=$D$1*-1,BA348&gt;0,AZ348&lt;$D$2*-1,AX348/AW348&gt;=3),"Very serious", AND(AY348&gt;=$D$1,AZ348&lt;0,BA348&lt;$D$2,AX348/AW348&gt;=3),"Very serious", AND(AY348&gt;=$D$1,AZ348&lt;0,BA348&gt;$D$2,AX348/AW348&gt;=3),"Very serious", AND(AY348&gt;$D$1*-1,AY348&lt;$D$1,AZ348&gt;$D$1*-1,BA348&lt;$D$1,AX348/AW348&lt;3),"Not Serious", AND(AY348&gt;$D$1*-1,AY348&lt;$D$1,OR(AZ348&lt;=$D$1*-1,BA348&gt;=$D$1),AZ348&gt;$D$2*-1,BA348&lt;$D$2,AX348/AW348&lt;3),"Serious", AND(AY348&gt;$D$1*-1,AY348&lt;$D$1,OR(AZ348&lt;=$D$2*-1,BA348&gt;=$D$2),AX348/AW348&lt;3),"Very serious", AND(AY348&gt;$D$1*-1,AY348&lt;$D$1,AZ348&gt;$D$1*-1,BA348&lt;$D$1,AX348/AW348&gt;=3),"Very serious", AND(AY348&gt;$D$1*-1,AY348&lt;$D$1,OR(AZ348&lt;=$D$1*-1,BA348&gt;=$D$1),AZ348&gt;$D$2*-1,BA348&lt;$D$2,AX348/AW348&gt;=3),"Very serious", AND(AY348&gt;$D$1*-1,AY348&lt;$D$1,OR(AZ348&lt;=$D$2*-1,BA348&gt;=$D$2),AX348/AW348&gt;=3),"Very serious"),""))</f>
        <v/>
      </c>
      <c r="BF348" s="107" t="str">
        <f t="shared" si="11"/>
        <v/>
      </c>
      <c r="BG348" s="94" t="str">
        <f t="shared" si="46"/>
        <v/>
      </c>
      <c r="BH348" s="64" t="str">
        <f t="shared" si="12"/>
        <v>#N/A</v>
      </c>
      <c r="BI348" s="64" t="str">
        <f t="shared" si="13"/>
        <v/>
      </c>
      <c r="BJ348" s="123" t="str">
        <f t="shared" si="14"/>
        <v>#N/A</v>
      </c>
      <c r="BK348" s="64" t="str">
        <f t="shared" si="50"/>
        <v>YES</v>
      </c>
      <c r="BL348" s="64" t="str">
        <f t="shared" si="16"/>
        <v>YES</v>
      </c>
      <c r="BM348" s="64" t="str">
        <f t="shared" si="17"/>
        <v>YES</v>
      </c>
      <c r="BN348" s="124" t="str">
        <f t="shared" si="18"/>
        <v/>
      </c>
      <c r="BO348" s="91" t="str">
        <f t="shared" si="19"/>
        <v/>
      </c>
      <c r="BP348" s="91" t="str">
        <f t="shared" si="20"/>
        <v>#N/A</v>
      </c>
      <c r="BQ348" s="91" t="str">
        <f t="shared" si="21"/>
        <v/>
      </c>
      <c r="BR348" s="93" t="str">
        <f t="shared" si="22"/>
        <v/>
      </c>
      <c r="BS348" s="90" t="str">
        <f t="shared" si="23"/>
        <v/>
      </c>
      <c r="BT348" s="93" t="str">
        <f t="shared" si="24"/>
        <v>NA</v>
      </c>
      <c r="BU348" s="125" t="str">
        <f t="shared" si="25"/>
        <v>#N/A</v>
      </c>
      <c r="BV348" s="93" t="str">
        <f t="shared" si="26"/>
        <v/>
      </c>
      <c r="BW348" s="93" t="str">
        <f t="shared" si="27"/>
        <v/>
      </c>
      <c r="BX348" s="93" t="str">
        <f t="shared" si="28"/>
        <v>NA</v>
      </c>
      <c r="BY348" s="95" t="str">
        <f t="shared" si="29"/>
        <v>#N/A</v>
      </c>
      <c r="BZ348" s="93" t="str">
        <f t="shared" si="30"/>
        <v/>
      </c>
      <c r="CA348" s="93" t="str">
        <f t="shared" si="31"/>
        <v/>
      </c>
      <c r="CB348" s="93" t="str">
        <f t="shared" si="32"/>
        <v>NA</v>
      </c>
      <c r="CC348" s="96" t="str">
        <f t="shared" si="33"/>
        <v>#N/A</v>
      </c>
      <c r="CD348" s="93" t="str">
        <f t="shared" si="34"/>
        <v/>
      </c>
      <c r="CE348" s="93" t="str">
        <f t="shared" si="35"/>
        <v/>
      </c>
      <c r="CF348" s="93" t="str">
        <f t="shared" si="36"/>
        <v>NA</v>
      </c>
      <c r="CG348" s="97" t="str">
        <f t="shared" si="37"/>
        <v>#N/A</v>
      </c>
      <c r="CH348" s="98" t="str">
        <f t="shared" si="38"/>
        <v>#N/A</v>
      </c>
      <c r="CI348" s="99" t="str">
        <f t="shared" si="39"/>
        <v>#N/A</v>
      </c>
      <c r="CJ348" s="126" t="str">
        <f t="shared" si="40"/>
        <v>ERROR: check cell</v>
      </c>
      <c r="CK348" s="126"/>
      <c r="CL348" s="127" t="str">
        <f t="shared" si="41"/>
        <v>#DIV/0!</v>
      </c>
      <c r="CM348" s="128" t="str">
        <f t="shared" si="42"/>
        <v>#DIV/0!</v>
      </c>
      <c r="CN348" s="128">
        <f t="shared" si="43"/>
        <v>4</v>
      </c>
      <c r="CO348" s="129">
        <f t="shared" si="44"/>
        <v>4</v>
      </c>
      <c r="CP348" s="129" t="str">
        <f>IFS(C348=Preferences!B$13,B348,B348=Preferences!B$13,C348)</f>
        <v>#N/A</v>
      </c>
    </row>
    <row r="349" ht="13.5" customHeight="1">
      <c r="A349" s="63" t="str">
        <f t="shared" si="45"/>
        <v/>
      </c>
      <c r="B349" s="64"/>
      <c r="C349" s="64"/>
      <c r="D349" s="64"/>
      <c r="E349" s="65"/>
      <c r="F349" s="65"/>
      <c r="G349" s="65"/>
      <c r="H349" s="66"/>
      <c r="I349" s="66"/>
      <c r="J349" s="67"/>
      <c r="K349" s="68"/>
      <c r="L349" s="104"/>
      <c r="M349" s="104"/>
      <c r="N349" s="104"/>
      <c r="O349" s="104"/>
      <c r="P349" s="107" t="str">
        <f t="shared" si="1"/>
        <v/>
      </c>
      <c r="Q349" s="108" t="str">
        <f>IFERROR(IF(AND(Preferences!B$3="Manual",OR(AX349/AW349&gt;G349/F349,BD349="Serious",BD349="Very serious")),"Assess imprecision",IFS(ISBLANK(E349),"",AND(Preferences!B$3="Automatic", G349/F349&gt;=30),"Extremely serious",AND(H349&lt;=$D$1*-1,J349&lt;0,G349/F349&lt;3),"Not serious",AND(H349&lt;=$D$1*-1,J349&lt;0,G349/F349&gt;=3),"Very serious",AND(H349&gt;=$D$1,I349&gt;0,G349/F349&lt;3),"Not serious",AND(H349&gt;=$D$1,I349&gt;0,G349/F349&gt;=3),"Very serious",AND(H349&lt;=$D$1*-1,J349&gt;0,I349&gt;$D$2*-1,G349/F349&lt;3),"Serious", AND(H349&lt;=$D$1*-1,J349&gt;0,I349&lt;$D$2*-1,G349/F349&lt;3),"Very serious", AND(H349&gt;=$D$1,I349&lt;0,J349&lt;$D$2,G349/F349&lt;3),"Serious",AND(H349&gt;=$D$1,I349&lt;0,J349&gt;$D$2,G349/F349&lt;3),"Very serious", AND(H349&lt;=$D$1*-1,J349&gt;0,I349&gt;$D$2*-1,G349/F349&gt;=3),"Very serious", AND(H349&lt;=$D$1*-1,J349&gt;0,I349&lt;$D$2*-1,G349/F349&gt;=3),"Very serious", AND(H349&gt;=$D$1,I349&lt;0,J349&lt;$D$2,G349/F349&gt;=3),"Very serious", AND(H349&gt;=$D$1,I349&lt;0,J349&gt;$D$2,G349/F349&gt;=3),"Very serious", AND(H349&gt;$D$1*-1,H349&lt;$D$1,I349&gt;$D$1*-1,J349&lt;$D$1,G349/F349&lt;3),"Not serious", AND(H349&gt;$D$1*-1,H349&lt;$D$1,OR(I349&lt;=$D$1*-1,J349&gt;=$D$1),I349&gt;$D$2*-1,J349&lt;$D$2,G349/F349&lt;3),"Serious", AND(H349&gt;$D$1*-1,H349&lt;$D$1,OR(I349&lt;=$D$2*-1,J349&gt;=$D$2),G349/F349&lt;3),"Very serious", AND(H349&gt;$D$1*-1,H349&lt;$D$1,I349&gt;$D$1*-1,J349&lt;$D$1,G349/F349&gt;=3),"Very serious", AND(H349&gt;$D$1*-1,H349&lt;$D$1,OR(I349&lt;=$D$1*-1,J349&gt;=$D$1),I349&gt;$D$2*-1,J349&lt;$D$2,G349/F349&gt;=3),"Very serious", AND(H349&gt;$D$1*-1,H349&lt;$D$1,OR(I349&lt;=$D$2*-1,J349&gt;=$D$2),G349/F349&gt;=3),"Very serious")),"")</f>
        <v/>
      </c>
      <c r="R349" s="109" t="str">
        <f t="shared" si="47"/>
        <v/>
      </c>
      <c r="S349" s="64"/>
      <c r="T349" s="72"/>
      <c r="U349" s="72"/>
      <c r="V349" s="72"/>
      <c r="W349" s="73"/>
      <c r="X349" s="73"/>
      <c r="Y349" s="74"/>
      <c r="Z349" s="113" t="str">
        <f t="array" ref="Z349">INDEX($A$1:$C$500, MATCH(1,($B:$B=$B349)*($C:$C=$AB349),0),1)</f>
        <v/>
      </c>
      <c r="AA349" s="113" t="str">
        <f t="array" ref="AA349">INDEX($A$1:$C$500, MATCH(1,($B:$B=$AB349)*($C:$C=$B349),0),1)</f>
        <v/>
      </c>
      <c r="AB349" s="111"/>
      <c r="AC349" s="114" t="str">
        <f t="shared" si="2"/>
        <v/>
      </c>
      <c r="AD349" s="115" t="str">
        <f t="shared" si="3"/>
        <v/>
      </c>
      <c r="AE349" s="116" t="str">
        <f t="array" ref="AE349">INDEX($A$1:$C$500, MATCH(1,($B:$B=$AB349)*($C:$C=$AG349),0),1)</f>
        <v/>
      </c>
      <c r="AF349" s="116" t="str">
        <f t="array" ref="AF349">INDEX($A$1:$C$500, MATCH(1,($B:$B=$AG349)*($C:$C=$AB349),0),1)</f>
        <v/>
      </c>
      <c r="AG349" s="72"/>
      <c r="AH349" s="114" t="str">
        <f t="shared" si="4"/>
        <v/>
      </c>
      <c r="AI349" s="115" t="str">
        <f t="shared" si="5"/>
        <v/>
      </c>
      <c r="AJ349" s="116" t="str">
        <f t="array" ref="AJ349">INDEX($A$1:$C$500, MATCH(1,($B:$B=$C349)*($C:$C=$AG349),0),1)</f>
        <v/>
      </c>
      <c r="AK349" s="116" t="str">
        <f t="array" ref="AK349">INDEX($A$1:$C$500, MATCH(1,($B:$B=$AG349)*($C:$C=$C349),0),1)</f>
        <v/>
      </c>
      <c r="AL349" s="116" t="str">
        <f t="array" ref="AL349">INDEX($A$1:$C$500, MATCH(1,($B:$B=$C349)*($C:$C=$AB349),0),1)</f>
        <v/>
      </c>
      <c r="AM349" s="116" t="str">
        <f t="array" ref="AM349">INDEX($A$1:$C$500, MATCH(1,($B:$B=$AB349)*($C:$C=$C349),0),1)</f>
        <v/>
      </c>
      <c r="AN349" s="114" t="str">
        <f t="array" ref="AN349">IFS(ISNUMBER(AJ349),AJ349,ISNUMBER(AK349),AK349,ISNUMBER(AL349),AL349,ISNUMBER(AM349),AM349)</f>
        <v>#N/A</v>
      </c>
      <c r="AO349" s="115" t="str">
        <f t="shared" si="6"/>
        <v/>
      </c>
      <c r="AP349" s="115" t="str">
        <f t="shared" si="7"/>
        <v/>
      </c>
      <c r="AQ349" s="111"/>
      <c r="AR349" s="109" t="str">
        <f t="shared" si="8"/>
        <v/>
      </c>
      <c r="AS349" s="72" t="str">
        <f>IFERROR(IF(AND(Preferences!B$3="Manual",OR(AX349/AW349&gt;V349/U349,BD349="Serious",BD349="Very serious")),"Assess imprecision",IFERROR(IFS(AND(Preferences!B$3="Automatic",V349/U349&gt;=30),"Extremely serious",AND(W349&lt;=$D$1*-1,Y349&lt;0,V349/U349&lt;3),"Not Serious",AND(W349&lt;=$D$1*-1,Y349&lt;0,V349/U349&gt;=3),"Very serious",AND(W349&gt;=$D$1,X349&gt;0,V349/U349&lt;3),"Not Serious",AND(W349&gt;=$D$1,X349&gt;0,V349/U349&gt;=3),"Very serious",AND(W349&lt;=$D$1*-1,Y349&gt;0,X349&gt;$D$2*-1,V349/U349&lt;3),"Serious", AND(W349&lt;=$D$1*-1,Y349&gt;0,X349&lt;$D$2*-1,V349/U349&lt;3),"Very serious", AND(W349&gt;=$D$1,X349&lt;0,Y349&lt;$D$2,V349/U349&lt;3),"Serious",AND(W349&gt;=$D$1,X349&lt;0,Y349&gt;$D$2,V349/U349&lt;3),"Very serious", AND(W349&lt;=$D$1*-1,Y349&gt;0,X349&gt;$D$2*-1,V349/U349&gt;=3),"Very serious", AND(W349&lt;=$D$1*-1,Y349&gt;0,X349&lt;$D$2*-1,V349/U349&gt;=3),"Very serious", AND(W349&gt;=$D$1,X349&lt;0,Y349&lt;$D$2,V349/U349&gt;=3),"Very serious", AND(W349&gt;=$D$1,X349&lt;0,Y349&gt;$D$2,V349/U349&gt;=3),"Very serious", AND(W349&gt;$D$1*-1,W349&lt;$D$1,X349&gt;$D$1*-1,Y349&lt;$D$1,V349/U349&lt;3),"Not Serious", AND(W349&gt;$D$1*-1,W349&lt;$D$1,OR(X349&lt;=$D$1*-1,Y349&gt;=$D$1),X349&gt;$D$2*-1,Y349&lt;$D$2,V349/U349&lt;3),"Serious", AND(W349&gt;$D$1*-1,W349&lt;$D$1,OR(X349&lt;=$D$2*-1,Y349&gt;=$D$2),V349/U349&lt;3),"Very serious", AND(W349&gt;$D$1*-1,W349&lt;$D$1,X349&gt;$D$1*-1,Y349&lt;$D$1,V349/U349&gt;=3),"Very serious", AND(W349&gt;$D$1*-1,W349&lt;$D$1,OR(X349&lt;=$D$1*-1,Y349&gt;=$D$1),X349&gt;$D$2*-1,Y349&lt;$D$2,V349/U349&gt;=3),"Very serious", AND(W349&gt;$D$1*-1,W349&lt;$D$1,OR(X349&lt;=$D$2*-1,Y349&gt;=$D$2),V349/U349&gt;=3),"Very serious"),"")),"")</f>
        <v/>
      </c>
      <c r="AT349" s="109" t="str">
        <f t="shared" si="9"/>
        <v/>
      </c>
      <c r="AU349" s="64"/>
      <c r="AV349" s="83"/>
      <c r="AW349" s="83"/>
      <c r="AX349" s="83"/>
      <c r="AY349" s="83"/>
      <c r="AZ349" s="83"/>
      <c r="BA349" s="85"/>
      <c r="BB349" s="86" t="str">
        <f>IF(Preferences!B$9="Manual","",IFS(ISBLANK(B349),"",AND(ISNUMBER(E349)=TRUE,ISNUMBER(T349)=FALSE),"Direct", AND(ISNUMBER(E349)=FALSE,ISNUMBER(T349)=TRUE),"Indirect", CN349=4,"Direct",AND(CL349=FALSE, CM349=TRUE,CN349-CO349&gt;-1),"Direct", AND(CL349=FALSE,CM349=TRUE, CN349-CO349&lt;0),"Check algorithm in appendix 2", AND(CL349=TRUE, CM349=FALSE,CN349-CO349&gt;0),"Check algorithm in appendix 2", AND(CL349=TRUE, CM349=FALSE,CN349-CO349=0),"Indirect", AND(CL349=TRUE, CM349=FALSE,CN349-CO349&lt;0),"Indirect", AND(CL349=FALSE,CM349=FALSE,CN349-CO349&gt;-1),"Direct", AND(CL349=FALSE,CM349=FALSE,CN349-CO349&lt;0),"Check algorithm in appendix 2", AND(CL349=TRUE,CM349=TRUE,CN349-CO349&gt;-1),"Direct", AND(CL349=TRUE,CM349=TRUE,CN349-CO349&lt;0),"Check algorithm in appendix 2"))</f>
        <v/>
      </c>
      <c r="BC349" s="120" t="str">
        <f t="shared" si="10"/>
        <v/>
      </c>
      <c r="BD349" s="140"/>
      <c r="BE349" s="122" t="str">
        <f>IF(Preferences!B$3="Manual","", IFERROR(IFS(AND(Preferences!B$3="Automatic",AX349/AW349&gt;=30),"Extremely serious",AND(AY349&lt;=$D$1*-1,BA349&lt;0,AX349/AW349&lt;3),"Not Serious",AND(AY349&lt;=$D$1*-1,BA349&lt;0,AX349/AW349&gt;=3),"Very serious",AND(AY349&gt;=$D$1,AZ349&gt;0,AX349/AW349&lt;3),"Not Serious",AND(AY349&gt;=$D$1,AZ349&gt;0,AX349/AW349&gt;=3),"Very serious",AND(AY349&lt;=$D$1*-1,BA349&gt;0,AZ349&gt;$D$2*-1,AX349/AW349&lt;3),"Serious", AND(AY349&lt;=$D$1*-1,BA349&gt;0,AZ349&lt;$D$2*-1,AX349/AW349&lt;3),"Very serious", AND(AY349&gt;=$D$1,AZ349&lt;0,BA349&lt;$D$2,AX349/AW349&lt;3),"Serious",AND(AY349&gt;=$D$1,AZ349&lt;0,BA349&gt;$D$2,AX349/AW349&lt;3),"Very serious", AND(AY349&lt;=$D$1*-1,BA349&gt;0,AZ349&gt;$D$2*-1,AX349/AW349&gt;=3),"Very serious", AND(AY349&lt;=$D$1*-1,BA349&gt;0,AZ349&lt;$D$2*-1,AX349/AW349&gt;=3),"Very serious", AND(AY349&gt;=$D$1,AZ349&lt;0,BA349&lt;$D$2,AX349/AW349&gt;=3),"Very serious", AND(AY349&gt;=$D$1,AZ349&lt;0,BA349&gt;$D$2,AX349/AW349&gt;=3),"Very serious", AND(AY349&gt;$D$1*-1,AY349&lt;$D$1,AZ349&gt;$D$1*-1,BA349&lt;$D$1,AX349/AW349&lt;3),"Not Serious", AND(AY349&gt;$D$1*-1,AY349&lt;$D$1,OR(AZ349&lt;=$D$1*-1,BA349&gt;=$D$1),AZ349&gt;$D$2*-1,BA349&lt;$D$2,AX349/AW349&lt;3),"Serious", AND(AY349&gt;$D$1*-1,AY349&lt;$D$1,OR(AZ349&lt;=$D$2*-1,BA349&gt;=$D$2),AX349/AW349&lt;3),"Very serious", AND(AY349&gt;$D$1*-1,AY349&lt;$D$1,AZ349&gt;$D$1*-1,BA349&lt;$D$1,AX349/AW349&gt;=3),"Very serious", AND(AY349&gt;$D$1*-1,AY349&lt;$D$1,OR(AZ349&lt;=$D$1*-1,BA349&gt;=$D$1),AZ349&gt;$D$2*-1,BA349&lt;$D$2,AX349/AW349&gt;=3),"Very serious", AND(AY349&gt;$D$1*-1,AY349&lt;$D$1,OR(AZ349&lt;=$D$2*-1,BA349&gt;=$D$2),AX349/AW349&gt;=3),"Very serious"),""))</f>
        <v/>
      </c>
      <c r="BF349" s="107" t="str">
        <f t="shared" si="11"/>
        <v/>
      </c>
      <c r="BG349" s="94" t="str">
        <f t="shared" si="46"/>
        <v/>
      </c>
      <c r="BH349" s="64" t="str">
        <f t="shared" si="12"/>
        <v>#N/A</v>
      </c>
      <c r="BI349" s="64" t="str">
        <f t="shared" si="13"/>
        <v/>
      </c>
      <c r="BJ349" s="123" t="str">
        <f t="shared" si="14"/>
        <v>#N/A</v>
      </c>
      <c r="BK349" s="64" t="str">
        <f t="shared" si="50"/>
        <v>YES</v>
      </c>
      <c r="BL349" s="64" t="str">
        <f t="shared" si="16"/>
        <v>YES</v>
      </c>
      <c r="BM349" s="64" t="str">
        <f t="shared" si="17"/>
        <v>YES</v>
      </c>
      <c r="BN349" s="124" t="str">
        <f t="shared" si="18"/>
        <v/>
      </c>
      <c r="BO349" s="91" t="str">
        <f t="shared" si="19"/>
        <v/>
      </c>
      <c r="BP349" s="91" t="str">
        <f t="shared" si="20"/>
        <v>#N/A</v>
      </c>
      <c r="BQ349" s="91" t="str">
        <f t="shared" si="21"/>
        <v/>
      </c>
      <c r="BR349" s="93" t="str">
        <f t="shared" si="22"/>
        <v/>
      </c>
      <c r="BS349" s="90" t="str">
        <f t="shared" si="23"/>
        <v/>
      </c>
      <c r="BT349" s="93" t="str">
        <f t="shared" si="24"/>
        <v>NA</v>
      </c>
      <c r="BU349" s="125" t="str">
        <f t="shared" si="25"/>
        <v>#N/A</v>
      </c>
      <c r="BV349" s="93" t="str">
        <f t="shared" si="26"/>
        <v/>
      </c>
      <c r="BW349" s="93" t="str">
        <f t="shared" si="27"/>
        <v/>
      </c>
      <c r="BX349" s="93" t="str">
        <f t="shared" si="28"/>
        <v>NA</v>
      </c>
      <c r="BY349" s="95" t="str">
        <f t="shared" si="29"/>
        <v>#N/A</v>
      </c>
      <c r="BZ349" s="93" t="str">
        <f t="shared" si="30"/>
        <v/>
      </c>
      <c r="CA349" s="93" t="str">
        <f t="shared" si="31"/>
        <v/>
      </c>
      <c r="CB349" s="93" t="str">
        <f t="shared" si="32"/>
        <v>NA</v>
      </c>
      <c r="CC349" s="96" t="str">
        <f t="shared" si="33"/>
        <v>#N/A</v>
      </c>
      <c r="CD349" s="93" t="str">
        <f t="shared" si="34"/>
        <v/>
      </c>
      <c r="CE349" s="93" t="str">
        <f t="shared" si="35"/>
        <v/>
      </c>
      <c r="CF349" s="93" t="str">
        <f t="shared" si="36"/>
        <v>NA</v>
      </c>
      <c r="CG349" s="97" t="str">
        <f t="shared" si="37"/>
        <v>#N/A</v>
      </c>
      <c r="CH349" s="98" t="str">
        <f t="shared" si="38"/>
        <v>#N/A</v>
      </c>
      <c r="CI349" s="99" t="str">
        <f t="shared" si="39"/>
        <v>#N/A</v>
      </c>
      <c r="CJ349" s="126" t="str">
        <f t="shared" si="40"/>
        <v>ERROR: check cell</v>
      </c>
      <c r="CK349" s="126"/>
      <c r="CL349" s="127" t="str">
        <f t="shared" si="41"/>
        <v>#DIV/0!</v>
      </c>
      <c r="CM349" s="128" t="str">
        <f t="shared" si="42"/>
        <v>#DIV/0!</v>
      </c>
      <c r="CN349" s="128">
        <f t="shared" si="43"/>
        <v>4</v>
      </c>
      <c r="CO349" s="129">
        <f t="shared" si="44"/>
        <v>4</v>
      </c>
      <c r="CP349" s="129" t="str">
        <f>IFS(C349=Preferences!B$13,B349,B349=Preferences!B$13,C349)</f>
        <v>#N/A</v>
      </c>
    </row>
    <row r="350" ht="13.5" customHeight="1">
      <c r="A350" s="63" t="str">
        <f t="shared" si="45"/>
        <v/>
      </c>
      <c r="B350" s="64"/>
      <c r="C350" s="64"/>
      <c r="D350" s="64"/>
      <c r="E350" s="65"/>
      <c r="F350" s="65"/>
      <c r="G350" s="65"/>
      <c r="H350" s="66"/>
      <c r="I350" s="66"/>
      <c r="J350" s="67"/>
      <c r="K350" s="68"/>
      <c r="L350" s="104"/>
      <c r="M350" s="104"/>
      <c r="N350" s="104"/>
      <c r="O350" s="104"/>
      <c r="P350" s="107" t="str">
        <f t="shared" si="1"/>
        <v/>
      </c>
      <c r="Q350" s="108" t="str">
        <f>IFERROR(IF(AND(Preferences!B$3="Manual",OR(AX350/AW350&gt;G350/F350,BD350="Serious",BD350="Very serious")),"Assess imprecision",IFS(ISBLANK(E350),"",AND(Preferences!B$3="Automatic", G350/F350&gt;=30),"Extremely serious",AND(H350&lt;=$D$1*-1,J350&lt;0,G350/F350&lt;3),"Not serious",AND(H350&lt;=$D$1*-1,J350&lt;0,G350/F350&gt;=3),"Very serious",AND(H350&gt;=$D$1,I350&gt;0,G350/F350&lt;3),"Not serious",AND(H350&gt;=$D$1,I350&gt;0,G350/F350&gt;=3),"Very serious",AND(H350&lt;=$D$1*-1,J350&gt;0,I350&gt;$D$2*-1,G350/F350&lt;3),"Serious", AND(H350&lt;=$D$1*-1,J350&gt;0,I350&lt;$D$2*-1,G350/F350&lt;3),"Very serious", AND(H350&gt;=$D$1,I350&lt;0,J350&lt;$D$2,G350/F350&lt;3),"Serious",AND(H350&gt;=$D$1,I350&lt;0,J350&gt;$D$2,G350/F350&lt;3),"Very serious", AND(H350&lt;=$D$1*-1,J350&gt;0,I350&gt;$D$2*-1,G350/F350&gt;=3),"Very serious", AND(H350&lt;=$D$1*-1,J350&gt;0,I350&lt;$D$2*-1,G350/F350&gt;=3),"Very serious", AND(H350&gt;=$D$1,I350&lt;0,J350&lt;$D$2,G350/F350&gt;=3),"Very serious", AND(H350&gt;=$D$1,I350&lt;0,J350&gt;$D$2,G350/F350&gt;=3),"Very serious", AND(H350&gt;$D$1*-1,H350&lt;$D$1,I350&gt;$D$1*-1,J350&lt;$D$1,G350/F350&lt;3),"Not serious", AND(H350&gt;$D$1*-1,H350&lt;$D$1,OR(I350&lt;=$D$1*-1,J350&gt;=$D$1),I350&gt;$D$2*-1,J350&lt;$D$2,G350/F350&lt;3),"Serious", AND(H350&gt;$D$1*-1,H350&lt;$D$1,OR(I350&lt;=$D$2*-1,J350&gt;=$D$2),G350/F350&lt;3),"Very serious", AND(H350&gt;$D$1*-1,H350&lt;$D$1,I350&gt;$D$1*-1,J350&lt;$D$1,G350/F350&gt;=3),"Very serious", AND(H350&gt;$D$1*-1,H350&lt;$D$1,OR(I350&lt;=$D$1*-1,J350&gt;=$D$1),I350&gt;$D$2*-1,J350&lt;$D$2,G350/F350&gt;=3),"Very serious", AND(H350&gt;$D$1*-1,H350&lt;$D$1,OR(I350&lt;=$D$2*-1,J350&gt;=$D$2),G350/F350&gt;=3),"Very serious")),"")</f>
        <v/>
      </c>
      <c r="R350" s="109" t="str">
        <f t="shared" si="47"/>
        <v/>
      </c>
      <c r="S350" s="64"/>
      <c r="T350" s="72"/>
      <c r="U350" s="72"/>
      <c r="V350" s="72"/>
      <c r="W350" s="73"/>
      <c r="X350" s="73"/>
      <c r="Y350" s="74"/>
      <c r="Z350" s="113" t="str">
        <f t="array" ref="Z350">INDEX($A$1:$C$500, MATCH(1,($B:$B=$B350)*($C:$C=$AB350),0),1)</f>
        <v/>
      </c>
      <c r="AA350" s="113" t="str">
        <f t="array" ref="AA350">INDEX($A$1:$C$500, MATCH(1,($B:$B=$AB350)*($C:$C=$B350),0),1)</f>
        <v/>
      </c>
      <c r="AB350" s="111"/>
      <c r="AC350" s="114" t="str">
        <f t="shared" si="2"/>
        <v/>
      </c>
      <c r="AD350" s="115" t="str">
        <f t="shared" si="3"/>
        <v/>
      </c>
      <c r="AE350" s="116" t="str">
        <f t="array" ref="AE350">INDEX($A$1:$C$500, MATCH(1,($B:$B=$AB350)*($C:$C=$AG350),0),1)</f>
        <v/>
      </c>
      <c r="AF350" s="116" t="str">
        <f t="array" ref="AF350">INDEX($A$1:$C$500, MATCH(1,($B:$B=$AG350)*($C:$C=$AB350),0),1)</f>
        <v/>
      </c>
      <c r="AG350" s="72"/>
      <c r="AH350" s="114" t="str">
        <f t="shared" si="4"/>
        <v/>
      </c>
      <c r="AI350" s="115" t="str">
        <f t="shared" si="5"/>
        <v/>
      </c>
      <c r="AJ350" s="116" t="str">
        <f t="array" ref="AJ350">INDEX($A$1:$C$500, MATCH(1,($B:$B=$C350)*($C:$C=$AG350),0),1)</f>
        <v/>
      </c>
      <c r="AK350" s="116" t="str">
        <f t="array" ref="AK350">INDEX($A$1:$C$500, MATCH(1,($B:$B=$AG350)*($C:$C=$C350),0),1)</f>
        <v/>
      </c>
      <c r="AL350" s="116" t="str">
        <f t="array" ref="AL350">INDEX($A$1:$C$500, MATCH(1,($B:$B=$C350)*($C:$C=$AB350),0),1)</f>
        <v/>
      </c>
      <c r="AM350" s="116" t="str">
        <f t="array" ref="AM350">INDEX($A$1:$C$500, MATCH(1,($B:$B=$AB350)*($C:$C=$C350),0),1)</f>
        <v/>
      </c>
      <c r="AN350" s="114" t="str">
        <f t="array" ref="AN350">IFS(ISNUMBER(AJ350),AJ350,ISNUMBER(AK350),AK350,ISNUMBER(AL350),AL350,ISNUMBER(AM350),AM350)</f>
        <v>#N/A</v>
      </c>
      <c r="AO350" s="115" t="str">
        <f t="shared" si="6"/>
        <v/>
      </c>
      <c r="AP350" s="115" t="str">
        <f t="shared" si="7"/>
        <v/>
      </c>
      <c r="AQ350" s="111"/>
      <c r="AR350" s="109" t="str">
        <f t="shared" si="8"/>
        <v/>
      </c>
      <c r="AS350" s="72" t="str">
        <f>IFERROR(IF(AND(Preferences!B$3="Manual",OR(AX350/AW350&gt;V350/U350,BD350="Serious",BD350="Very serious")),"Assess imprecision",IFERROR(IFS(AND(Preferences!B$3="Automatic",V350/U350&gt;=30),"Extremely serious",AND(W350&lt;=$D$1*-1,Y350&lt;0,V350/U350&lt;3),"Not Serious",AND(W350&lt;=$D$1*-1,Y350&lt;0,V350/U350&gt;=3),"Very serious",AND(W350&gt;=$D$1,X350&gt;0,V350/U350&lt;3),"Not Serious",AND(W350&gt;=$D$1,X350&gt;0,V350/U350&gt;=3),"Very serious",AND(W350&lt;=$D$1*-1,Y350&gt;0,X350&gt;$D$2*-1,V350/U350&lt;3),"Serious", AND(W350&lt;=$D$1*-1,Y350&gt;0,X350&lt;$D$2*-1,V350/U350&lt;3),"Very serious", AND(W350&gt;=$D$1,X350&lt;0,Y350&lt;$D$2,V350/U350&lt;3),"Serious",AND(W350&gt;=$D$1,X350&lt;0,Y350&gt;$D$2,V350/U350&lt;3),"Very serious", AND(W350&lt;=$D$1*-1,Y350&gt;0,X350&gt;$D$2*-1,V350/U350&gt;=3),"Very serious", AND(W350&lt;=$D$1*-1,Y350&gt;0,X350&lt;$D$2*-1,V350/U350&gt;=3),"Very serious", AND(W350&gt;=$D$1,X350&lt;0,Y350&lt;$D$2,V350/U350&gt;=3),"Very serious", AND(W350&gt;=$D$1,X350&lt;0,Y350&gt;$D$2,V350/U350&gt;=3),"Very serious", AND(W350&gt;$D$1*-1,W350&lt;$D$1,X350&gt;$D$1*-1,Y350&lt;$D$1,V350/U350&lt;3),"Not Serious", AND(W350&gt;$D$1*-1,W350&lt;$D$1,OR(X350&lt;=$D$1*-1,Y350&gt;=$D$1),X350&gt;$D$2*-1,Y350&lt;$D$2,V350/U350&lt;3),"Serious", AND(W350&gt;$D$1*-1,W350&lt;$D$1,OR(X350&lt;=$D$2*-1,Y350&gt;=$D$2),V350/U350&lt;3),"Very serious", AND(W350&gt;$D$1*-1,W350&lt;$D$1,X350&gt;$D$1*-1,Y350&lt;$D$1,V350/U350&gt;=3),"Very serious", AND(W350&gt;$D$1*-1,W350&lt;$D$1,OR(X350&lt;=$D$1*-1,Y350&gt;=$D$1),X350&gt;$D$2*-1,Y350&lt;$D$2,V350/U350&gt;=3),"Very serious", AND(W350&gt;$D$1*-1,W350&lt;$D$1,OR(X350&lt;=$D$2*-1,Y350&gt;=$D$2),V350/U350&gt;=3),"Very serious"),"")),"")</f>
        <v/>
      </c>
      <c r="AT350" s="109" t="str">
        <f t="shared" si="9"/>
        <v/>
      </c>
      <c r="AU350" s="64"/>
      <c r="AV350" s="83"/>
      <c r="AW350" s="83"/>
      <c r="AX350" s="83"/>
      <c r="AY350" s="83"/>
      <c r="AZ350" s="83"/>
      <c r="BA350" s="85"/>
      <c r="BB350" s="86" t="str">
        <f>IF(Preferences!B$9="Manual","",IFS(ISBLANK(B350),"",AND(ISNUMBER(E350)=TRUE,ISNUMBER(T350)=FALSE),"Direct", AND(ISNUMBER(E350)=FALSE,ISNUMBER(T350)=TRUE),"Indirect", CN350=4,"Direct",AND(CL350=FALSE, CM350=TRUE,CN350-CO350&gt;-1),"Direct", AND(CL350=FALSE,CM350=TRUE, CN350-CO350&lt;0),"Check algorithm in appendix 2", AND(CL350=TRUE, CM350=FALSE,CN350-CO350&gt;0),"Check algorithm in appendix 2", AND(CL350=TRUE, CM350=FALSE,CN350-CO350=0),"Indirect", AND(CL350=TRUE, CM350=FALSE,CN350-CO350&lt;0),"Indirect", AND(CL350=FALSE,CM350=FALSE,CN350-CO350&gt;-1),"Direct", AND(CL350=FALSE,CM350=FALSE,CN350-CO350&lt;0),"Check algorithm in appendix 2", AND(CL350=TRUE,CM350=TRUE,CN350-CO350&gt;-1),"Direct", AND(CL350=TRUE,CM350=TRUE,CN350-CO350&lt;0),"Check algorithm in appendix 2"))</f>
        <v/>
      </c>
      <c r="BC350" s="120" t="str">
        <f t="shared" si="10"/>
        <v/>
      </c>
      <c r="BD350" s="140"/>
      <c r="BE350" s="122" t="str">
        <f>IF(Preferences!B$3="Manual","", IFERROR(IFS(AND(Preferences!B$3="Automatic",AX350/AW350&gt;=30),"Extremely serious",AND(AY350&lt;=$D$1*-1,BA350&lt;0,AX350/AW350&lt;3),"Not Serious",AND(AY350&lt;=$D$1*-1,BA350&lt;0,AX350/AW350&gt;=3),"Very serious",AND(AY350&gt;=$D$1,AZ350&gt;0,AX350/AW350&lt;3),"Not Serious",AND(AY350&gt;=$D$1,AZ350&gt;0,AX350/AW350&gt;=3),"Very serious",AND(AY350&lt;=$D$1*-1,BA350&gt;0,AZ350&gt;$D$2*-1,AX350/AW350&lt;3),"Serious", AND(AY350&lt;=$D$1*-1,BA350&gt;0,AZ350&lt;$D$2*-1,AX350/AW350&lt;3),"Very serious", AND(AY350&gt;=$D$1,AZ350&lt;0,BA350&lt;$D$2,AX350/AW350&lt;3),"Serious",AND(AY350&gt;=$D$1,AZ350&lt;0,BA350&gt;$D$2,AX350/AW350&lt;3),"Very serious", AND(AY350&lt;=$D$1*-1,BA350&gt;0,AZ350&gt;$D$2*-1,AX350/AW350&gt;=3),"Very serious", AND(AY350&lt;=$D$1*-1,BA350&gt;0,AZ350&lt;$D$2*-1,AX350/AW350&gt;=3),"Very serious", AND(AY350&gt;=$D$1,AZ350&lt;0,BA350&lt;$D$2,AX350/AW350&gt;=3),"Very serious", AND(AY350&gt;=$D$1,AZ350&lt;0,BA350&gt;$D$2,AX350/AW350&gt;=3),"Very serious", AND(AY350&gt;$D$1*-1,AY350&lt;$D$1,AZ350&gt;$D$1*-1,BA350&lt;$D$1,AX350/AW350&lt;3),"Not Serious", AND(AY350&gt;$D$1*-1,AY350&lt;$D$1,OR(AZ350&lt;=$D$1*-1,BA350&gt;=$D$1),AZ350&gt;$D$2*-1,BA350&lt;$D$2,AX350/AW350&lt;3),"Serious", AND(AY350&gt;$D$1*-1,AY350&lt;$D$1,OR(AZ350&lt;=$D$2*-1,BA350&gt;=$D$2),AX350/AW350&lt;3),"Very serious", AND(AY350&gt;$D$1*-1,AY350&lt;$D$1,AZ350&gt;$D$1*-1,BA350&lt;$D$1,AX350/AW350&gt;=3),"Very serious", AND(AY350&gt;$D$1*-1,AY350&lt;$D$1,OR(AZ350&lt;=$D$1*-1,BA350&gt;=$D$1),AZ350&gt;$D$2*-1,BA350&lt;$D$2,AX350/AW350&gt;=3),"Very serious", AND(AY350&gt;$D$1*-1,AY350&lt;$D$1,OR(AZ350&lt;=$D$2*-1,BA350&gt;=$D$2),AX350/AW350&gt;=3),"Very serious"),""))</f>
        <v/>
      </c>
      <c r="BF350" s="107" t="str">
        <f t="shared" si="11"/>
        <v/>
      </c>
      <c r="BG350" s="94" t="str">
        <f t="shared" si="46"/>
        <v/>
      </c>
      <c r="BH350" s="64" t="str">
        <f t="shared" si="12"/>
        <v>#N/A</v>
      </c>
      <c r="BI350" s="64" t="str">
        <f t="shared" si="13"/>
        <v/>
      </c>
      <c r="BJ350" s="123" t="str">
        <f t="shared" si="14"/>
        <v>#N/A</v>
      </c>
      <c r="BK350" s="64" t="str">
        <f t="shared" si="50"/>
        <v>YES</v>
      </c>
      <c r="BL350" s="64" t="str">
        <f t="shared" si="16"/>
        <v>YES</v>
      </c>
      <c r="BM350" s="64" t="str">
        <f t="shared" si="17"/>
        <v>YES</v>
      </c>
      <c r="BN350" s="124" t="str">
        <f t="shared" si="18"/>
        <v/>
      </c>
      <c r="BO350" s="91" t="str">
        <f t="shared" si="19"/>
        <v/>
      </c>
      <c r="BP350" s="91" t="str">
        <f t="shared" si="20"/>
        <v>#N/A</v>
      </c>
      <c r="BQ350" s="91" t="str">
        <f t="shared" si="21"/>
        <v/>
      </c>
      <c r="BR350" s="93" t="str">
        <f t="shared" si="22"/>
        <v/>
      </c>
      <c r="BS350" s="90" t="str">
        <f t="shared" si="23"/>
        <v/>
      </c>
      <c r="BT350" s="93" t="str">
        <f t="shared" si="24"/>
        <v>NA</v>
      </c>
      <c r="BU350" s="125" t="str">
        <f t="shared" si="25"/>
        <v>#N/A</v>
      </c>
      <c r="BV350" s="93" t="str">
        <f t="shared" si="26"/>
        <v/>
      </c>
      <c r="BW350" s="93" t="str">
        <f t="shared" si="27"/>
        <v/>
      </c>
      <c r="BX350" s="93" t="str">
        <f t="shared" si="28"/>
        <v>NA</v>
      </c>
      <c r="BY350" s="95" t="str">
        <f t="shared" si="29"/>
        <v>#N/A</v>
      </c>
      <c r="BZ350" s="93" t="str">
        <f t="shared" si="30"/>
        <v/>
      </c>
      <c r="CA350" s="93" t="str">
        <f t="shared" si="31"/>
        <v/>
      </c>
      <c r="CB350" s="93" t="str">
        <f t="shared" si="32"/>
        <v>NA</v>
      </c>
      <c r="CC350" s="96" t="str">
        <f t="shared" si="33"/>
        <v>#N/A</v>
      </c>
      <c r="CD350" s="93" t="str">
        <f t="shared" si="34"/>
        <v/>
      </c>
      <c r="CE350" s="93" t="str">
        <f t="shared" si="35"/>
        <v/>
      </c>
      <c r="CF350" s="93" t="str">
        <f t="shared" si="36"/>
        <v>NA</v>
      </c>
      <c r="CG350" s="97" t="str">
        <f t="shared" si="37"/>
        <v>#N/A</v>
      </c>
      <c r="CH350" s="98" t="str">
        <f t="shared" si="38"/>
        <v>#N/A</v>
      </c>
      <c r="CI350" s="99" t="str">
        <f t="shared" si="39"/>
        <v>#N/A</v>
      </c>
      <c r="CJ350" s="126" t="str">
        <f t="shared" si="40"/>
        <v>ERROR: check cell</v>
      </c>
      <c r="CK350" s="126"/>
      <c r="CL350" s="127" t="str">
        <f t="shared" si="41"/>
        <v>#DIV/0!</v>
      </c>
      <c r="CM350" s="128" t="str">
        <f t="shared" si="42"/>
        <v>#DIV/0!</v>
      </c>
      <c r="CN350" s="128">
        <f t="shared" si="43"/>
        <v>4</v>
      </c>
      <c r="CO350" s="129">
        <f t="shared" si="44"/>
        <v>4</v>
      </c>
      <c r="CP350" s="129" t="str">
        <f>IFS(C350=Preferences!B$13,B350,B350=Preferences!B$13,C350)</f>
        <v>#N/A</v>
      </c>
    </row>
    <row r="351" ht="13.5" customHeight="1">
      <c r="A351" s="63" t="str">
        <f t="shared" si="45"/>
        <v/>
      </c>
      <c r="B351" s="64"/>
      <c r="C351" s="64"/>
      <c r="D351" s="64"/>
      <c r="E351" s="65"/>
      <c r="F351" s="65"/>
      <c r="G351" s="65"/>
      <c r="H351" s="66"/>
      <c r="I351" s="66"/>
      <c r="J351" s="67"/>
      <c r="K351" s="68"/>
      <c r="L351" s="104"/>
      <c r="M351" s="104"/>
      <c r="N351" s="104"/>
      <c r="O351" s="104"/>
      <c r="P351" s="107" t="str">
        <f t="shared" si="1"/>
        <v/>
      </c>
      <c r="Q351" s="108" t="str">
        <f>IFERROR(IF(AND(Preferences!B$3="Manual",OR(AX351/AW351&gt;G351/F351,BD351="Serious",BD351="Very serious")),"Assess imprecision",IFS(ISBLANK(E351),"",AND(Preferences!B$3="Automatic", G351/F351&gt;=30),"Extremely serious",AND(H351&lt;=$D$1*-1,J351&lt;0,G351/F351&lt;3),"Not serious",AND(H351&lt;=$D$1*-1,J351&lt;0,G351/F351&gt;=3),"Very serious",AND(H351&gt;=$D$1,I351&gt;0,G351/F351&lt;3),"Not serious",AND(H351&gt;=$D$1,I351&gt;0,G351/F351&gt;=3),"Very serious",AND(H351&lt;=$D$1*-1,J351&gt;0,I351&gt;$D$2*-1,G351/F351&lt;3),"Serious", AND(H351&lt;=$D$1*-1,J351&gt;0,I351&lt;$D$2*-1,G351/F351&lt;3),"Very serious", AND(H351&gt;=$D$1,I351&lt;0,J351&lt;$D$2,G351/F351&lt;3),"Serious",AND(H351&gt;=$D$1,I351&lt;0,J351&gt;$D$2,G351/F351&lt;3),"Very serious", AND(H351&lt;=$D$1*-1,J351&gt;0,I351&gt;$D$2*-1,G351/F351&gt;=3),"Very serious", AND(H351&lt;=$D$1*-1,J351&gt;0,I351&lt;$D$2*-1,G351/F351&gt;=3),"Very serious", AND(H351&gt;=$D$1,I351&lt;0,J351&lt;$D$2,G351/F351&gt;=3),"Very serious", AND(H351&gt;=$D$1,I351&lt;0,J351&gt;$D$2,G351/F351&gt;=3),"Very serious", AND(H351&gt;$D$1*-1,H351&lt;$D$1,I351&gt;$D$1*-1,J351&lt;$D$1,G351/F351&lt;3),"Not serious", AND(H351&gt;$D$1*-1,H351&lt;$D$1,OR(I351&lt;=$D$1*-1,J351&gt;=$D$1),I351&gt;$D$2*-1,J351&lt;$D$2,G351/F351&lt;3),"Serious", AND(H351&gt;$D$1*-1,H351&lt;$D$1,OR(I351&lt;=$D$2*-1,J351&gt;=$D$2),G351/F351&lt;3),"Very serious", AND(H351&gt;$D$1*-1,H351&lt;$D$1,I351&gt;$D$1*-1,J351&lt;$D$1,G351/F351&gt;=3),"Very serious", AND(H351&gt;$D$1*-1,H351&lt;$D$1,OR(I351&lt;=$D$1*-1,J351&gt;=$D$1),I351&gt;$D$2*-1,J351&lt;$D$2,G351/F351&gt;=3),"Very serious", AND(H351&gt;$D$1*-1,H351&lt;$D$1,OR(I351&lt;=$D$2*-1,J351&gt;=$D$2),G351/F351&gt;=3),"Very serious")),"")</f>
        <v/>
      </c>
      <c r="R351" s="109" t="str">
        <f t="shared" si="47"/>
        <v/>
      </c>
      <c r="S351" s="64"/>
      <c r="T351" s="72"/>
      <c r="U351" s="72"/>
      <c r="V351" s="72"/>
      <c r="W351" s="73"/>
      <c r="X351" s="73"/>
      <c r="Y351" s="74"/>
      <c r="Z351" s="113" t="str">
        <f t="array" ref="Z351">INDEX($A$1:$C$500, MATCH(1,($B:$B=$B351)*($C:$C=$AB351),0),1)</f>
        <v/>
      </c>
      <c r="AA351" s="113" t="str">
        <f t="array" ref="AA351">INDEX($A$1:$C$500, MATCH(1,($B:$B=$AB351)*($C:$C=$B351),0),1)</f>
        <v/>
      </c>
      <c r="AB351" s="111"/>
      <c r="AC351" s="114" t="str">
        <f t="shared" si="2"/>
        <v/>
      </c>
      <c r="AD351" s="115" t="str">
        <f t="shared" si="3"/>
        <v/>
      </c>
      <c r="AE351" s="116" t="str">
        <f t="array" ref="AE351">INDEX($A$1:$C$500, MATCH(1,($B:$B=$AB351)*($C:$C=$AG351),0),1)</f>
        <v/>
      </c>
      <c r="AF351" s="116" t="str">
        <f t="array" ref="AF351">INDEX($A$1:$C$500, MATCH(1,($B:$B=$AG351)*($C:$C=$AB351),0),1)</f>
        <v/>
      </c>
      <c r="AG351" s="72"/>
      <c r="AH351" s="114" t="str">
        <f t="shared" si="4"/>
        <v/>
      </c>
      <c r="AI351" s="115" t="str">
        <f t="shared" si="5"/>
        <v/>
      </c>
      <c r="AJ351" s="116" t="str">
        <f t="array" ref="AJ351">INDEX($A$1:$C$500, MATCH(1,($B:$B=$C351)*($C:$C=$AG351),0),1)</f>
        <v/>
      </c>
      <c r="AK351" s="116" t="str">
        <f t="array" ref="AK351">INDEX($A$1:$C$500, MATCH(1,($B:$B=$AG351)*($C:$C=$C351),0),1)</f>
        <v/>
      </c>
      <c r="AL351" s="116" t="str">
        <f t="array" ref="AL351">INDEX($A$1:$C$500, MATCH(1,($B:$B=$C351)*($C:$C=$AB351),0),1)</f>
        <v/>
      </c>
      <c r="AM351" s="116" t="str">
        <f t="array" ref="AM351">INDEX($A$1:$C$500, MATCH(1,($B:$B=$AB351)*($C:$C=$C351),0),1)</f>
        <v/>
      </c>
      <c r="AN351" s="114" t="str">
        <f t="array" ref="AN351">IFS(ISNUMBER(AJ351),AJ351,ISNUMBER(AK351),AK351,ISNUMBER(AL351),AL351,ISNUMBER(AM351),AM351)</f>
        <v>#N/A</v>
      </c>
      <c r="AO351" s="115" t="str">
        <f t="shared" si="6"/>
        <v/>
      </c>
      <c r="AP351" s="115" t="str">
        <f t="shared" si="7"/>
        <v/>
      </c>
      <c r="AQ351" s="111"/>
      <c r="AR351" s="109" t="str">
        <f t="shared" si="8"/>
        <v/>
      </c>
      <c r="AS351" s="72" t="str">
        <f>IFERROR(IF(AND(Preferences!B$3="Manual",OR(AX351/AW351&gt;V351/U351,BD351="Serious",BD351="Very serious")),"Assess imprecision",IFERROR(IFS(AND(Preferences!B$3="Automatic",V351/U351&gt;=30),"Extremely serious",AND(W351&lt;=$D$1*-1,Y351&lt;0,V351/U351&lt;3),"Not Serious",AND(W351&lt;=$D$1*-1,Y351&lt;0,V351/U351&gt;=3),"Very serious",AND(W351&gt;=$D$1,X351&gt;0,V351/U351&lt;3),"Not Serious",AND(W351&gt;=$D$1,X351&gt;0,V351/U351&gt;=3),"Very serious",AND(W351&lt;=$D$1*-1,Y351&gt;0,X351&gt;$D$2*-1,V351/U351&lt;3),"Serious", AND(W351&lt;=$D$1*-1,Y351&gt;0,X351&lt;$D$2*-1,V351/U351&lt;3),"Very serious", AND(W351&gt;=$D$1,X351&lt;0,Y351&lt;$D$2,V351/U351&lt;3),"Serious",AND(W351&gt;=$D$1,X351&lt;0,Y351&gt;$D$2,V351/U351&lt;3),"Very serious", AND(W351&lt;=$D$1*-1,Y351&gt;0,X351&gt;$D$2*-1,V351/U351&gt;=3),"Very serious", AND(W351&lt;=$D$1*-1,Y351&gt;0,X351&lt;$D$2*-1,V351/U351&gt;=3),"Very serious", AND(W351&gt;=$D$1,X351&lt;0,Y351&lt;$D$2,V351/U351&gt;=3),"Very serious", AND(W351&gt;=$D$1,X351&lt;0,Y351&gt;$D$2,V351/U351&gt;=3),"Very serious", AND(W351&gt;$D$1*-1,W351&lt;$D$1,X351&gt;$D$1*-1,Y351&lt;$D$1,V351/U351&lt;3),"Not Serious", AND(W351&gt;$D$1*-1,W351&lt;$D$1,OR(X351&lt;=$D$1*-1,Y351&gt;=$D$1),X351&gt;$D$2*-1,Y351&lt;$D$2,V351/U351&lt;3),"Serious", AND(W351&gt;$D$1*-1,W351&lt;$D$1,OR(X351&lt;=$D$2*-1,Y351&gt;=$D$2),V351/U351&lt;3),"Very serious", AND(W351&gt;$D$1*-1,W351&lt;$D$1,X351&gt;$D$1*-1,Y351&lt;$D$1,V351/U351&gt;=3),"Very serious", AND(W351&gt;$D$1*-1,W351&lt;$D$1,OR(X351&lt;=$D$1*-1,Y351&gt;=$D$1),X351&gt;$D$2*-1,Y351&lt;$D$2,V351/U351&gt;=3),"Very serious", AND(W351&gt;$D$1*-1,W351&lt;$D$1,OR(X351&lt;=$D$2*-1,Y351&gt;=$D$2),V351/U351&gt;=3),"Very serious"),"")),"")</f>
        <v/>
      </c>
      <c r="AT351" s="109" t="str">
        <f t="shared" si="9"/>
        <v/>
      </c>
      <c r="AU351" s="64"/>
      <c r="AV351" s="83"/>
      <c r="AW351" s="83"/>
      <c r="AX351" s="83"/>
      <c r="AY351" s="83"/>
      <c r="AZ351" s="83"/>
      <c r="BA351" s="85"/>
      <c r="BB351" s="86" t="str">
        <f>IF(Preferences!B$9="Manual","",IFS(ISBLANK(B351),"",AND(ISNUMBER(E351)=TRUE,ISNUMBER(T351)=FALSE),"Direct", AND(ISNUMBER(E351)=FALSE,ISNUMBER(T351)=TRUE),"Indirect", CN351=4,"Direct",AND(CL351=FALSE, CM351=TRUE,CN351-CO351&gt;-1),"Direct", AND(CL351=FALSE,CM351=TRUE, CN351-CO351&lt;0),"Check algorithm in appendix 2", AND(CL351=TRUE, CM351=FALSE,CN351-CO351&gt;0),"Check algorithm in appendix 2", AND(CL351=TRUE, CM351=FALSE,CN351-CO351=0),"Indirect", AND(CL351=TRUE, CM351=FALSE,CN351-CO351&lt;0),"Indirect", AND(CL351=FALSE,CM351=FALSE,CN351-CO351&gt;-1),"Direct", AND(CL351=FALSE,CM351=FALSE,CN351-CO351&lt;0),"Check algorithm in appendix 2", AND(CL351=TRUE,CM351=TRUE,CN351-CO351&gt;-1),"Direct", AND(CL351=TRUE,CM351=TRUE,CN351-CO351&lt;0),"Check algorithm in appendix 2"))</f>
        <v/>
      </c>
      <c r="BC351" s="120" t="str">
        <f t="shared" si="10"/>
        <v/>
      </c>
      <c r="BD351" s="140"/>
      <c r="BE351" s="122" t="str">
        <f>IF(Preferences!B$3="Manual","", IFERROR(IFS(AND(Preferences!B$3="Automatic",AX351/AW351&gt;=30),"Extremely serious",AND(AY351&lt;=$D$1*-1,BA351&lt;0,AX351/AW351&lt;3),"Not Serious",AND(AY351&lt;=$D$1*-1,BA351&lt;0,AX351/AW351&gt;=3),"Very serious",AND(AY351&gt;=$D$1,AZ351&gt;0,AX351/AW351&lt;3),"Not Serious",AND(AY351&gt;=$D$1,AZ351&gt;0,AX351/AW351&gt;=3),"Very serious",AND(AY351&lt;=$D$1*-1,BA351&gt;0,AZ351&gt;$D$2*-1,AX351/AW351&lt;3),"Serious", AND(AY351&lt;=$D$1*-1,BA351&gt;0,AZ351&lt;$D$2*-1,AX351/AW351&lt;3),"Very serious", AND(AY351&gt;=$D$1,AZ351&lt;0,BA351&lt;$D$2,AX351/AW351&lt;3),"Serious",AND(AY351&gt;=$D$1,AZ351&lt;0,BA351&gt;$D$2,AX351/AW351&lt;3),"Very serious", AND(AY351&lt;=$D$1*-1,BA351&gt;0,AZ351&gt;$D$2*-1,AX351/AW351&gt;=3),"Very serious", AND(AY351&lt;=$D$1*-1,BA351&gt;0,AZ351&lt;$D$2*-1,AX351/AW351&gt;=3),"Very serious", AND(AY351&gt;=$D$1,AZ351&lt;0,BA351&lt;$D$2,AX351/AW351&gt;=3),"Very serious", AND(AY351&gt;=$D$1,AZ351&lt;0,BA351&gt;$D$2,AX351/AW351&gt;=3),"Very serious", AND(AY351&gt;$D$1*-1,AY351&lt;$D$1,AZ351&gt;$D$1*-1,BA351&lt;$D$1,AX351/AW351&lt;3),"Not Serious", AND(AY351&gt;$D$1*-1,AY351&lt;$D$1,OR(AZ351&lt;=$D$1*-1,BA351&gt;=$D$1),AZ351&gt;$D$2*-1,BA351&lt;$D$2,AX351/AW351&lt;3),"Serious", AND(AY351&gt;$D$1*-1,AY351&lt;$D$1,OR(AZ351&lt;=$D$2*-1,BA351&gt;=$D$2),AX351/AW351&lt;3),"Very serious", AND(AY351&gt;$D$1*-1,AY351&lt;$D$1,AZ351&gt;$D$1*-1,BA351&lt;$D$1,AX351/AW351&gt;=3),"Very serious", AND(AY351&gt;$D$1*-1,AY351&lt;$D$1,OR(AZ351&lt;=$D$1*-1,BA351&gt;=$D$1),AZ351&gt;$D$2*-1,BA351&lt;$D$2,AX351/AW351&gt;=3),"Very serious", AND(AY351&gt;$D$1*-1,AY351&lt;$D$1,OR(AZ351&lt;=$D$2*-1,BA351&gt;=$D$2),AX351/AW351&gt;=3),"Very serious"),""))</f>
        <v/>
      </c>
      <c r="BF351" s="107" t="str">
        <f t="shared" si="11"/>
        <v/>
      </c>
      <c r="BG351" s="94" t="str">
        <f t="shared" si="46"/>
        <v/>
      </c>
      <c r="BH351" s="64" t="str">
        <f t="shared" si="12"/>
        <v>#N/A</v>
      </c>
      <c r="BI351" s="64" t="str">
        <f t="shared" si="13"/>
        <v/>
      </c>
      <c r="BJ351" s="123" t="str">
        <f t="shared" si="14"/>
        <v>#N/A</v>
      </c>
      <c r="BK351" s="64" t="str">
        <f t="shared" si="50"/>
        <v>YES</v>
      </c>
      <c r="BL351" s="64" t="str">
        <f t="shared" si="16"/>
        <v>YES</v>
      </c>
      <c r="BM351" s="64" t="str">
        <f t="shared" si="17"/>
        <v>YES</v>
      </c>
      <c r="BN351" s="124" t="str">
        <f t="shared" si="18"/>
        <v/>
      </c>
      <c r="BO351" s="91" t="str">
        <f t="shared" si="19"/>
        <v/>
      </c>
      <c r="BP351" s="91" t="str">
        <f t="shared" si="20"/>
        <v>#N/A</v>
      </c>
      <c r="BQ351" s="91" t="str">
        <f t="shared" si="21"/>
        <v/>
      </c>
      <c r="BR351" s="93" t="str">
        <f t="shared" si="22"/>
        <v/>
      </c>
      <c r="BS351" s="90" t="str">
        <f t="shared" si="23"/>
        <v/>
      </c>
      <c r="BT351" s="93" t="str">
        <f t="shared" si="24"/>
        <v>NA</v>
      </c>
      <c r="BU351" s="125" t="str">
        <f t="shared" si="25"/>
        <v>#N/A</v>
      </c>
      <c r="BV351" s="93" t="str">
        <f t="shared" si="26"/>
        <v/>
      </c>
      <c r="BW351" s="93" t="str">
        <f t="shared" si="27"/>
        <v/>
      </c>
      <c r="BX351" s="93" t="str">
        <f t="shared" si="28"/>
        <v>NA</v>
      </c>
      <c r="BY351" s="95" t="str">
        <f t="shared" si="29"/>
        <v>#N/A</v>
      </c>
      <c r="BZ351" s="93" t="str">
        <f t="shared" si="30"/>
        <v/>
      </c>
      <c r="CA351" s="93" t="str">
        <f t="shared" si="31"/>
        <v/>
      </c>
      <c r="CB351" s="93" t="str">
        <f t="shared" si="32"/>
        <v>NA</v>
      </c>
      <c r="CC351" s="96" t="str">
        <f t="shared" si="33"/>
        <v>#N/A</v>
      </c>
      <c r="CD351" s="93" t="str">
        <f t="shared" si="34"/>
        <v/>
      </c>
      <c r="CE351" s="93" t="str">
        <f t="shared" si="35"/>
        <v/>
      </c>
      <c r="CF351" s="93" t="str">
        <f t="shared" si="36"/>
        <v>NA</v>
      </c>
      <c r="CG351" s="97" t="str">
        <f t="shared" si="37"/>
        <v>#N/A</v>
      </c>
      <c r="CH351" s="98" t="str">
        <f t="shared" si="38"/>
        <v>#N/A</v>
      </c>
      <c r="CI351" s="99" t="str">
        <f t="shared" si="39"/>
        <v>#N/A</v>
      </c>
      <c r="CJ351" s="126" t="str">
        <f t="shared" si="40"/>
        <v>ERROR: check cell</v>
      </c>
      <c r="CK351" s="126"/>
      <c r="CL351" s="127" t="str">
        <f t="shared" si="41"/>
        <v>#DIV/0!</v>
      </c>
      <c r="CM351" s="128" t="str">
        <f t="shared" si="42"/>
        <v>#DIV/0!</v>
      </c>
      <c r="CN351" s="128">
        <f t="shared" si="43"/>
        <v>4</v>
      </c>
      <c r="CO351" s="129">
        <f t="shared" si="44"/>
        <v>4</v>
      </c>
      <c r="CP351" s="129" t="str">
        <f>IFS(C351=Preferences!B$13,B351,B351=Preferences!B$13,C351)</f>
        <v>#N/A</v>
      </c>
    </row>
    <row r="352" ht="13.5" customHeight="1">
      <c r="A352" s="63" t="str">
        <f t="shared" si="45"/>
        <v/>
      </c>
      <c r="B352" s="64"/>
      <c r="C352" s="64"/>
      <c r="D352" s="64"/>
      <c r="E352" s="65"/>
      <c r="F352" s="65"/>
      <c r="G352" s="65"/>
      <c r="H352" s="66"/>
      <c r="I352" s="66"/>
      <c r="J352" s="67"/>
      <c r="K352" s="68"/>
      <c r="L352" s="104"/>
      <c r="M352" s="104"/>
      <c r="N352" s="104"/>
      <c r="O352" s="104"/>
      <c r="P352" s="107" t="str">
        <f t="shared" si="1"/>
        <v/>
      </c>
      <c r="Q352" s="108" t="str">
        <f>IFERROR(IF(AND(Preferences!B$3="Manual",OR(AX352/AW352&gt;G352/F352,BD352="Serious",BD352="Very serious")),"Assess imprecision",IFS(ISBLANK(E352),"",AND(Preferences!B$3="Automatic", G352/F352&gt;=30),"Extremely serious",AND(H352&lt;=$D$1*-1,J352&lt;0,G352/F352&lt;3),"Not serious",AND(H352&lt;=$D$1*-1,J352&lt;0,G352/F352&gt;=3),"Very serious",AND(H352&gt;=$D$1,I352&gt;0,G352/F352&lt;3),"Not serious",AND(H352&gt;=$D$1,I352&gt;0,G352/F352&gt;=3),"Very serious",AND(H352&lt;=$D$1*-1,J352&gt;0,I352&gt;$D$2*-1,G352/F352&lt;3),"Serious", AND(H352&lt;=$D$1*-1,J352&gt;0,I352&lt;$D$2*-1,G352/F352&lt;3),"Very serious", AND(H352&gt;=$D$1,I352&lt;0,J352&lt;$D$2,G352/F352&lt;3),"Serious",AND(H352&gt;=$D$1,I352&lt;0,J352&gt;$D$2,G352/F352&lt;3),"Very serious", AND(H352&lt;=$D$1*-1,J352&gt;0,I352&gt;$D$2*-1,G352/F352&gt;=3),"Very serious", AND(H352&lt;=$D$1*-1,J352&gt;0,I352&lt;$D$2*-1,G352/F352&gt;=3),"Very serious", AND(H352&gt;=$D$1,I352&lt;0,J352&lt;$D$2,G352/F352&gt;=3),"Very serious", AND(H352&gt;=$D$1,I352&lt;0,J352&gt;$D$2,G352/F352&gt;=3),"Very serious", AND(H352&gt;$D$1*-1,H352&lt;$D$1,I352&gt;$D$1*-1,J352&lt;$D$1,G352/F352&lt;3),"Not serious", AND(H352&gt;$D$1*-1,H352&lt;$D$1,OR(I352&lt;=$D$1*-1,J352&gt;=$D$1),I352&gt;$D$2*-1,J352&lt;$D$2,G352/F352&lt;3),"Serious", AND(H352&gt;$D$1*-1,H352&lt;$D$1,OR(I352&lt;=$D$2*-1,J352&gt;=$D$2),G352/F352&lt;3),"Very serious", AND(H352&gt;$D$1*-1,H352&lt;$D$1,I352&gt;$D$1*-1,J352&lt;$D$1,G352/F352&gt;=3),"Very serious", AND(H352&gt;$D$1*-1,H352&lt;$D$1,OR(I352&lt;=$D$1*-1,J352&gt;=$D$1),I352&gt;$D$2*-1,J352&lt;$D$2,G352/F352&gt;=3),"Very serious", AND(H352&gt;$D$1*-1,H352&lt;$D$1,OR(I352&lt;=$D$2*-1,J352&gt;=$D$2),G352/F352&gt;=3),"Very serious")),"")</f>
        <v/>
      </c>
      <c r="R352" s="109" t="str">
        <f t="shared" si="47"/>
        <v/>
      </c>
      <c r="S352" s="64"/>
      <c r="T352" s="72"/>
      <c r="U352" s="72"/>
      <c r="V352" s="72"/>
      <c r="W352" s="73"/>
      <c r="X352" s="73"/>
      <c r="Y352" s="74"/>
      <c r="Z352" s="113" t="str">
        <f t="array" ref="Z352">INDEX($A$1:$C$500, MATCH(1,($B:$B=$B352)*($C:$C=$AB352),0),1)</f>
        <v/>
      </c>
      <c r="AA352" s="113" t="str">
        <f t="array" ref="AA352">INDEX($A$1:$C$500, MATCH(1,($B:$B=$AB352)*($C:$C=$B352),0),1)</f>
        <v/>
      </c>
      <c r="AB352" s="111"/>
      <c r="AC352" s="114" t="str">
        <f t="shared" si="2"/>
        <v/>
      </c>
      <c r="AD352" s="115" t="str">
        <f t="shared" si="3"/>
        <v/>
      </c>
      <c r="AE352" s="116" t="str">
        <f t="array" ref="AE352">INDEX($A$1:$C$500, MATCH(1,($B:$B=$AB352)*($C:$C=$AG352),0),1)</f>
        <v/>
      </c>
      <c r="AF352" s="116" t="str">
        <f t="array" ref="AF352">INDEX($A$1:$C$500, MATCH(1,($B:$B=$AG352)*($C:$C=$AB352),0),1)</f>
        <v/>
      </c>
      <c r="AG352" s="72"/>
      <c r="AH352" s="114" t="str">
        <f t="shared" si="4"/>
        <v/>
      </c>
      <c r="AI352" s="115" t="str">
        <f t="shared" si="5"/>
        <v/>
      </c>
      <c r="AJ352" s="116" t="str">
        <f t="array" ref="AJ352">INDEX($A$1:$C$500, MATCH(1,($B:$B=$C352)*($C:$C=$AG352),0),1)</f>
        <v/>
      </c>
      <c r="AK352" s="116" t="str">
        <f t="array" ref="AK352">INDEX($A$1:$C$500, MATCH(1,($B:$B=$AG352)*($C:$C=$C352),0),1)</f>
        <v/>
      </c>
      <c r="AL352" s="116" t="str">
        <f t="array" ref="AL352">INDEX($A$1:$C$500, MATCH(1,($B:$B=$C352)*($C:$C=$AB352),0),1)</f>
        <v/>
      </c>
      <c r="AM352" s="116" t="str">
        <f t="array" ref="AM352">INDEX($A$1:$C$500, MATCH(1,($B:$B=$AB352)*($C:$C=$C352),0),1)</f>
        <v/>
      </c>
      <c r="AN352" s="114" t="str">
        <f t="array" ref="AN352">IFS(ISNUMBER(AJ352),AJ352,ISNUMBER(AK352),AK352,ISNUMBER(AL352),AL352,ISNUMBER(AM352),AM352)</f>
        <v>#N/A</v>
      </c>
      <c r="AO352" s="115" t="str">
        <f t="shared" si="6"/>
        <v/>
      </c>
      <c r="AP352" s="115" t="str">
        <f t="shared" si="7"/>
        <v/>
      </c>
      <c r="AQ352" s="111"/>
      <c r="AR352" s="109" t="str">
        <f t="shared" si="8"/>
        <v/>
      </c>
      <c r="AS352" s="72" t="str">
        <f>IFERROR(IF(AND(Preferences!B$3="Manual",OR(AX352/AW352&gt;V352/U352,BD352="Serious",BD352="Very serious")),"Assess imprecision",IFERROR(IFS(AND(Preferences!B$3="Automatic",V352/U352&gt;=30),"Extremely serious",AND(W352&lt;=$D$1*-1,Y352&lt;0,V352/U352&lt;3),"Not Serious",AND(W352&lt;=$D$1*-1,Y352&lt;0,V352/U352&gt;=3),"Very serious",AND(W352&gt;=$D$1,X352&gt;0,V352/U352&lt;3),"Not Serious",AND(W352&gt;=$D$1,X352&gt;0,V352/U352&gt;=3),"Very serious",AND(W352&lt;=$D$1*-1,Y352&gt;0,X352&gt;$D$2*-1,V352/U352&lt;3),"Serious", AND(W352&lt;=$D$1*-1,Y352&gt;0,X352&lt;$D$2*-1,V352/U352&lt;3),"Very serious", AND(W352&gt;=$D$1,X352&lt;0,Y352&lt;$D$2,V352/U352&lt;3),"Serious",AND(W352&gt;=$D$1,X352&lt;0,Y352&gt;$D$2,V352/U352&lt;3),"Very serious", AND(W352&lt;=$D$1*-1,Y352&gt;0,X352&gt;$D$2*-1,V352/U352&gt;=3),"Very serious", AND(W352&lt;=$D$1*-1,Y352&gt;0,X352&lt;$D$2*-1,V352/U352&gt;=3),"Very serious", AND(W352&gt;=$D$1,X352&lt;0,Y352&lt;$D$2,V352/U352&gt;=3),"Very serious", AND(W352&gt;=$D$1,X352&lt;0,Y352&gt;$D$2,V352/U352&gt;=3),"Very serious", AND(W352&gt;$D$1*-1,W352&lt;$D$1,X352&gt;$D$1*-1,Y352&lt;$D$1,V352/U352&lt;3),"Not Serious", AND(W352&gt;$D$1*-1,W352&lt;$D$1,OR(X352&lt;=$D$1*-1,Y352&gt;=$D$1),X352&gt;$D$2*-1,Y352&lt;$D$2,V352/U352&lt;3),"Serious", AND(W352&gt;$D$1*-1,W352&lt;$D$1,OR(X352&lt;=$D$2*-1,Y352&gt;=$D$2),V352/U352&lt;3),"Very serious", AND(W352&gt;$D$1*-1,W352&lt;$D$1,X352&gt;$D$1*-1,Y352&lt;$D$1,V352/U352&gt;=3),"Very serious", AND(W352&gt;$D$1*-1,W352&lt;$D$1,OR(X352&lt;=$D$1*-1,Y352&gt;=$D$1),X352&gt;$D$2*-1,Y352&lt;$D$2,V352/U352&gt;=3),"Very serious", AND(W352&gt;$D$1*-1,W352&lt;$D$1,OR(X352&lt;=$D$2*-1,Y352&gt;=$D$2),V352/U352&gt;=3),"Very serious"),"")),"")</f>
        <v/>
      </c>
      <c r="AT352" s="109" t="str">
        <f t="shared" si="9"/>
        <v/>
      </c>
      <c r="AU352" s="64"/>
      <c r="AV352" s="83"/>
      <c r="AW352" s="83"/>
      <c r="AX352" s="83"/>
      <c r="AY352" s="83"/>
      <c r="AZ352" s="83"/>
      <c r="BA352" s="85"/>
      <c r="BB352" s="86" t="str">
        <f>IF(Preferences!B$9="Manual","",IFS(ISBLANK(B352),"",AND(ISNUMBER(E352)=TRUE,ISNUMBER(T352)=FALSE),"Direct", AND(ISNUMBER(E352)=FALSE,ISNUMBER(T352)=TRUE),"Indirect", CN352=4,"Direct",AND(CL352=FALSE, CM352=TRUE,CN352-CO352&gt;-1),"Direct", AND(CL352=FALSE,CM352=TRUE, CN352-CO352&lt;0),"Check algorithm in appendix 2", AND(CL352=TRUE, CM352=FALSE,CN352-CO352&gt;0),"Check algorithm in appendix 2", AND(CL352=TRUE, CM352=FALSE,CN352-CO352=0),"Indirect", AND(CL352=TRUE, CM352=FALSE,CN352-CO352&lt;0),"Indirect", AND(CL352=FALSE,CM352=FALSE,CN352-CO352&gt;-1),"Direct", AND(CL352=FALSE,CM352=FALSE,CN352-CO352&lt;0),"Check algorithm in appendix 2", AND(CL352=TRUE,CM352=TRUE,CN352-CO352&gt;-1),"Direct", AND(CL352=TRUE,CM352=TRUE,CN352-CO352&lt;0),"Check algorithm in appendix 2"))</f>
        <v/>
      </c>
      <c r="BC352" s="120" t="str">
        <f t="shared" si="10"/>
        <v/>
      </c>
      <c r="BD352" s="140"/>
      <c r="BE352" s="122" t="str">
        <f>IF(Preferences!B$3="Manual","", IFERROR(IFS(AND(Preferences!B$3="Automatic",AX352/AW352&gt;=30),"Extremely serious",AND(AY352&lt;=$D$1*-1,BA352&lt;0,AX352/AW352&lt;3),"Not Serious",AND(AY352&lt;=$D$1*-1,BA352&lt;0,AX352/AW352&gt;=3),"Very serious",AND(AY352&gt;=$D$1,AZ352&gt;0,AX352/AW352&lt;3),"Not Serious",AND(AY352&gt;=$D$1,AZ352&gt;0,AX352/AW352&gt;=3),"Very serious",AND(AY352&lt;=$D$1*-1,BA352&gt;0,AZ352&gt;$D$2*-1,AX352/AW352&lt;3),"Serious", AND(AY352&lt;=$D$1*-1,BA352&gt;0,AZ352&lt;$D$2*-1,AX352/AW352&lt;3),"Very serious", AND(AY352&gt;=$D$1,AZ352&lt;0,BA352&lt;$D$2,AX352/AW352&lt;3),"Serious",AND(AY352&gt;=$D$1,AZ352&lt;0,BA352&gt;$D$2,AX352/AW352&lt;3),"Very serious", AND(AY352&lt;=$D$1*-1,BA352&gt;0,AZ352&gt;$D$2*-1,AX352/AW352&gt;=3),"Very serious", AND(AY352&lt;=$D$1*-1,BA352&gt;0,AZ352&lt;$D$2*-1,AX352/AW352&gt;=3),"Very serious", AND(AY352&gt;=$D$1,AZ352&lt;0,BA352&lt;$D$2,AX352/AW352&gt;=3),"Very serious", AND(AY352&gt;=$D$1,AZ352&lt;0,BA352&gt;$D$2,AX352/AW352&gt;=3),"Very serious", AND(AY352&gt;$D$1*-1,AY352&lt;$D$1,AZ352&gt;$D$1*-1,BA352&lt;$D$1,AX352/AW352&lt;3),"Not Serious", AND(AY352&gt;$D$1*-1,AY352&lt;$D$1,OR(AZ352&lt;=$D$1*-1,BA352&gt;=$D$1),AZ352&gt;$D$2*-1,BA352&lt;$D$2,AX352/AW352&lt;3),"Serious", AND(AY352&gt;$D$1*-1,AY352&lt;$D$1,OR(AZ352&lt;=$D$2*-1,BA352&gt;=$D$2),AX352/AW352&lt;3),"Very serious", AND(AY352&gt;$D$1*-1,AY352&lt;$D$1,AZ352&gt;$D$1*-1,BA352&lt;$D$1,AX352/AW352&gt;=3),"Very serious", AND(AY352&gt;$D$1*-1,AY352&lt;$D$1,OR(AZ352&lt;=$D$1*-1,BA352&gt;=$D$1),AZ352&gt;$D$2*-1,BA352&lt;$D$2,AX352/AW352&gt;=3),"Very serious", AND(AY352&gt;$D$1*-1,AY352&lt;$D$1,OR(AZ352&lt;=$D$2*-1,BA352&gt;=$D$2),AX352/AW352&gt;=3),"Very serious"),""))</f>
        <v/>
      </c>
      <c r="BF352" s="107" t="str">
        <f t="shared" si="11"/>
        <v/>
      </c>
      <c r="BG352" s="94" t="str">
        <f t="shared" si="46"/>
        <v/>
      </c>
      <c r="BH352" s="64" t="str">
        <f t="shared" si="12"/>
        <v>#N/A</v>
      </c>
      <c r="BI352" s="64" t="str">
        <f t="shared" si="13"/>
        <v/>
      </c>
      <c r="BJ352" s="123" t="str">
        <f t="shared" si="14"/>
        <v>#N/A</v>
      </c>
      <c r="BK352" s="64" t="str">
        <f t="shared" si="50"/>
        <v>YES</v>
      </c>
      <c r="BL352" s="64" t="str">
        <f t="shared" si="16"/>
        <v>YES</v>
      </c>
      <c r="BM352" s="64" t="str">
        <f t="shared" si="17"/>
        <v>YES</v>
      </c>
      <c r="BN352" s="124" t="str">
        <f t="shared" si="18"/>
        <v/>
      </c>
      <c r="BO352" s="91" t="str">
        <f t="shared" si="19"/>
        <v/>
      </c>
      <c r="BP352" s="91" t="str">
        <f t="shared" si="20"/>
        <v>#N/A</v>
      </c>
      <c r="BQ352" s="91" t="str">
        <f t="shared" si="21"/>
        <v/>
      </c>
      <c r="BR352" s="93" t="str">
        <f t="shared" si="22"/>
        <v/>
      </c>
      <c r="BS352" s="90" t="str">
        <f t="shared" si="23"/>
        <v/>
      </c>
      <c r="BT352" s="93" t="str">
        <f t="shared" si="24"/>
        <v>NA</v>
      </c>
      <c r="BU352" s="125" t="str">
        <f t="shared" si="25"/>
        <v>#N/A</v>
      </c>
      <c r="BV352" s="93" t="str">
        <f t="shared" si="26"/>
        <v/>
      </c>
      <c r="BW352" s="93" t="str">
        <f t="shared" si="27"/>
        <v/>
      </c>
      <c r="BX352" s="93" t="str">
        <f t="shared" si="28"/>
        <v>NA</v>
      </c>
      <c r="BY352" s="95" t="str">
        <f t="shared" si="29"/>
        <v>#N/A</v>
      </c>
      <c r="BZ352" s="93" t="str">
        <f t="shared" si="30"/>
        <v/>
      </c>
      <c r="CA352" s="93" t="str">
        <f t="shared" si="31"/>
        <v/>
      </c>
      <c r="CB352" s="93" t="str">
        <f t="shared" si="32"/>
        <v>NA</v>
      </c>
      <c r="CC352" s="96" t="str">
        <f t="shared" si="33"/>
        <v>#N/A</v>
      </c>
      <c r="CD352" s="93" t="str">
        <f t="shared" si="34"/>
        <v/>
      </c>
      <c r="CE352" s="93" t="str">
        <f t="shared" si="35"/>
        <v/>
      </c>
      <c r="CF352" s="93" t="str">
        <f t="shared" si="36"/>
        <v>NA</v>
      </c>
      <c r="CG352" s="97" t="str">
        <f t="shared" si="37"/>
        <v>#N/A</v>
      </c>
      <c r="CH352" s="98" t="str">
        <f t="shared" si="38"/>
        <v>#N/A</v>
      </c>
      <c r="CI352" s="99" t="str">
        <f t="shared" si="39"/>
        <v>#N/A</v>
      </c>
      <c r="CJ352" s="126" t="str">
        <f t="shared" si="40"/>
        <v>ERROR: check cell</v>
      </c>
      <c r="CK352" s="126"/>
      <c r="CL352" s="127" t="str">
        <f t="shared" si="41"/>
        <v>#DIV/0!</v>
      </c>
      <c r="CM352" s="128" t="str">
        <f t="shared" si="42"/>
        <v>#DIV/0!</v>
      </c>
      <c r="CN352" s="128">
        <f t="shared" si="43"/>
        <v>4</v>
      </c>
      <c r="CO352" s="129">
        <f t="shared" si="44"/>
        <v>4</v>
      </c>
      <c r="CP352" s="129" t="str">
        <f>IFS(C352=Preferences!B$13,B352,B352=Preferences!B$13,C352)</f>
        <v>#N/A</v>
      </c>
    </row>
    <row r="353" ht="13.5" customHeight="1">
      <c r="A353" s="63" t="str">
        <f t="shared" si="45"/>
        <v/>
      </c>
      <c r="B353" s="64"/>
      <c r="C353" s="64"/>
      <c r="D353" s="64"/>
      <c r="E353" s="65"/>
      <c r="F353" s="65"/>
      <c r="G353" s="65"/>
      <c r="H353" s="66"/>
      <c r="I353" s="66"/>
      <c r="J353" s="67"/>
      <c r="K353" s="68"/>
      <c r="L353" s="104"/>
      <c r="M353" s="104"/>
      <c r="N353" s="104"/>
      <c r="O353" s="104"/>
      <c r="P353" s="107" t="str">
        <f t="shared" si="1"/>
        <v/>
      </c>
      <c r="Q353" s="108" t="str">
        <f>IFERROR(IF(AND(Preferences!B$3="Manual",OR(AX353/AW353&gt;G353/F353,BD353="Serious",BD353="Very serious")),"Assess imprecision",IFS(ISBLANK(E353),"",AND(Preferences!B$3="Automatic", G353/F353&gt;=30),"Extremely serious",AND(H353&lt;=$D$1*-1,J353&lt;0,G353/F353&lt;3),"Not serious",AND(H353&lt;=$D$1*-1,J353&lt;0,G353/F353&gt;=3),"Very serious",AND(H353&gt;=$D$1,I353&gt;0,G353/F353&lt;3),"Not serious",AND(H353&gt;=$D$1,I353&gt;0,G353/F353&gt;=3),"Very serious",AND(H353&lt;=$D$1*-1,J353&gt;0,I353&gt;$D$2*-1,G353/F353&lt;3),"Serious", AND(H353&lt;=$D$1*-1,J353&gt;0,I353&lt;$D$2*-1,G353/F353&lt;3),"Very serious", AND(H353&gt;=$D$1,I353&lt;0,J353&lt;$D$2,G353/F353&lt;3),"Serious",AND(H353&gt;=$D$1,I353&lt;0,J353&gt;$D$2,G353/F353&lt;3),"Very serious", AND(H353&lt;=$D$1*-1,J353&gt;0,I353&gt;$D$2*-1,G353/F353&gt;=3),"Very serious", AND(H353&lt;=$D$1*-1,J353&gt;0,I353&lt;$D$2*-1,G353/F353&gt;=3),"Very serious", AND(H353&gt;=$D$1,I353&lt;0,J353&lt;$D$2,G353/F353&gt;=3),"Very serious", AND(H353&gt;=$D$1,I353&lt;0,J353&gt;$D$2,G353/F353&gt;=3),"Very serious", AND(H353&gt;$D$1*-1,H353&lt;$D$1,I353&gt;$D$1*-1,J353&lt;$D$1,G353/F353&lt;3),"Not serious", AND(H353&gt;$D$1*-1,H353&lt;$D$1,OR(I353&lt;=$D$1*-1,J353&gt;=$D$1),I353&gt;$D$2*-1,J353&lt;$D$2,G353/F353&lt;3),"Serious", AND(H353&gt;$D$1*-1,H353&lt;$D$1,OR(I353&lt;=$D$2*-1,J353&gt;=$D$2),G353/F353&lt;3),"Very serious", AND(H353&gt;$D$1*-1,H353&lt;$D$1,I353&gt;$D$1*-1,J353&lt;$D$1,G353/F353&gt;=3),"Very serious", AND(H353&gt;$D$1*-1,H353&lt;$D$1,OR(I353&lt;=$D$1*-1,J353&gt;=$D$1),I353&gt;$D$2*-1,J353&lt;$D$2,G353/F353&gt;=3),"Very serious", AND(H353&gt;$D$1*-1,H353&lt;$D$1,OR(I353&lt;=$D$2*-1,J353&gt;=$D$2),G353/F353&gt;=3),"Very serious")),"")</f>
        <v/>
      </c>
      <c r="R353" s="109" t="str">
        <f t="shared" si="47"/>
        <v/>
      </c>
      <c r="S353" s="64"/>
      <c r="T353" s="72"/>
      <c r="U353" s="72"/>
      <c r="V353" s="72"/>
      <c r="W353" s="73"/>
      <c r="X353" s="73"/>
      <c r="Y353" s="74"/>
      <c r="Z353" s="113" t="str">
        <f t="array" ref="Z353">INDEX($A$1:$C$500, MATCH(1,($B:$B=$B353)*($C:$C=$AB353),0),1)</f>
        <v/>
      </c>
      <c r="AA353" s="113" t="str">
        <f t="array" ref="AA353">INDEX($A$1:$C$500, MATCH(1,($B:$B=$AB353)*($C:$C=$B353),0),1)</f>
        <v/>
      </c>
      <c r="AB353" s="111"/>
      <c r="AC353" s="114" t="str">
        <f t="shared" si="2"/>
        <v/>
      </c>
      <c r="AD353" s="115" t="str">
        <f t="shared" si="3"/>
        <v/>
      </c>
      <c r="AE353" s="116" t="str">
        <f t="array" ref="AE353">INDEX($A$1:$C$500, MATCH(1,($B:$B=$AB353)*($C:$C=$AG353),0),1)</f>
        <v/>
      </c>
      <c r="AF353" s="116" t="str">
        <f t="array" ref="AF353">INDEX($A$1:$C$500, MATCH(1,($B:$B=$AG353)*($C:$C=$AB353),0),1)</f>
        <v/>
      </c>
      <c r="AG353" s="72"/>
      <c r="AH353" s="114" t="str">
        <f t="shared" si="4"/>
        <v/>
      </c>
      <c r="AI353" s="115" t="str">
        <f t="shared" si="5"/>
        <v/>
      </c>
      <c r="AJ353" s="116" t="str">
        <f t="array" ref="AJ353">INDEX($A$1:$C$500, MATCH(1,($B:$B=$C353)*($C:$C=$AG353),0),1)</f>
        <v/>
      </c>
      <c r="AK353" s="116" t="str">
        <f t="array" ref="AK353">INDEX($A$1:$C$500, MATCH(1,($B:$B=$AG353)*($C:$C=$C353),0),1)</f>
        <v/>
      </c>
      <c r="AL353" s="116" t="str">
        <f t="array" ref="AL353">INDEX($A$1:$C$500, MATCH(1,($B:$B=$C353)*($C:$C=$AB353),0),1)</f>
        <v/>
      </c>
      <c r="AM353" s="116" t="str">
        <f t="array" ref="AM353">INDEX($A$1:$C$500, MATCH(1,($B:$B=$AB353)*($C:$C=$C353),0),1)</f>
        <v/>
      </c>
      <c r="AN353" s="114" t="str">
        <f t="array" ref="AN353">IFS(ISNUMBER(AJ353),AJ353,ISNUMBER(AK353),AK353,ISNUMBER(AL353),AL353,ISNUMBER(AM353),AM353)</f>
        <v>#N/A</v>
      </c>
      <c r="AO353" s="115" t="str">
        <f t="shared" si="6"/>
        <v/>
      </c>
      <c r="AP353" s="115" t="str">
        <f t="shared" si="7"/>
        <v/>
      </c>
      <c r="AQ353" s="111"/>
      <c r="AR353" s="109" t="str">
        <f t="shared" si="8"/>
        <v/>
      </c>
      <c r="AS353" s="72" t="str">
        <f>IFERROR(IF(AND(Preferences!B$3="Manual",OR(AX353/AW353&gt;V353/U353,BD353="Serious",BD353="Very serious")),"Assess imprecision",IFERROR(IFS(AND(Preferences!B$3="Automatic",V353/U353&gt;=30),"Extremely serious",AND(W353&lt;=$D$1*-1,Y353&lt;0,V353/U353&lt;3),"Not Serious",AND(W353&lt;=$D$1*-1,Y353&lt;0,V353/U353&gt;=3),"Very serious",AND(W353&gt;=$D$1,X353&gt;0,V353/U353&lt;3),"Not Serious",AND(W353&gt;=$D$1,X353&gt;0,V353/U353&gt;=3),"Very serious",AND(W353&lt;=$D$1*-1,Y353&gt;0,X353&gt;$D$2*-1,V353/U353&lt;3),"Serious", AND(W353&lt;=$D$1*-1,Y353&gt;0,X353&lt;$D$2*-1,V353/U353&lt;3),"Very serious", AND(W353&gt;=$D$1,X353&lt;0,Y353&lt;$D$2,V353/U353&lt;3),"Serious",AND(W353&gt;=$D$1,X353&lt;0,Y353&gt;$D$2,V353/U353&lt;3),"Very serious", AND(W353&lt;=$D$1*-1,Y353&gt;0,X353&gt;$D$2*-1,V353/U353&gt;=3),"Very serious", AND(W353&lt;=$D$1*-1,Y353&gt;0,X353&lt;$D$2*-1,V353/U353&gt;=3),"Very serious", AND(W353&gt;=$D$1,X353&lt;0,Y353&lt;$D$2,V353/U353&gt;=3),"Very serious", AND(W353&gt;=$D$1,X353&lt;0,Y353&gt;$D$2,V353/U353&gt;=3),"Very serious", AND(W353&gt;$D$1*-1,W353&lt;$D$1,X353&gt;$D$1*-1,Y353&lt;$D$1,V353/U353&lt;3),"Not Serious", AND(W353&gt;$D$1*-1,W353&lt;$D$1,OR(X353&lt;=$D$1*-1,Y353&gt;=$D$1),X353&gt;$D$2*-1,Y353&lt;$D$2,V353/U353&lt;3),"Serious", AND(W353&gt;$D$1*-1,W353&lt;$D$1,OR(X353&lt;=$D$2*-1,Y353&gt;=$D$2),V353/U353&lt;3),"Very serious", AND(W353&gt;$D$1*-1,W353&lt;$D$1,X353&gt;$D$1*-1,Y353&lt;$D$1,V353/U353&gt;=3),"Very serious", AND(W353&gt;$D$1*-1,W353&lt;$D$1,OR(X353&lt;=$D$1*-1,Y353&gt;=$D$1),X353&gt;$D$2*-1,Y353&lt;$D$2,V353/U353&gt;=3),"Very serious", AND(W353&gt;$D$1*-1,W353&lt;$D$1,OR(X353&lt;=$D$2*-1,Y353&gt;=$D$2),V353/U353&gt;=3),"Very serious"),"")),"")</f>
        <v/>
      </c>
      <c r="AT353" s="109" t="str">
        <f t="shared" si="9"/>
        <v/>
      </c>
      <c r="AU353" s="64"/>
      <c r="AV353" s="83"/>
      <c r="AW353" s="83"/>
      <c r="AX353" s="83"/>
      <c r="AY353" s="83"/>
      <c r="AZ353" s="83"/>
      <c r="BA353" s="85"/>
      <c r="BB353" s="86" t="str">
        <f>IF(Preferences!B$9="Manual","",IFS(ISBLANK(B353),"",AND(ISNUMBER(E353)=TRUE,ISNUMBER(T353)=FALSE),"Direct", AND(ISNUMBER(E353)=FALSE,ISNUMBER(T353)=TRUE),"Indirect", CN353=4,"Direct",AND(CL353=FALSE, CM353=TRUE,CN353-CO353&gt;-1),"Direct", AND(CL353=FALSE,CM353=TRUE, CN353-CO353&lt;0),"Check algorithm in appendix 2", AND(CL353=TRUE, CM353=FALSE,CN353-CO353&gt;0),"Check algorithm in appendix 2", AND(CL353=TRUE, CM353=FALSE,CN353-CO353=0),"Indirect", AND(CL353=TRUE, CM353=FALSE,CN353-CO353&lt;0),"Indirect", AND(CL353=FALSE,CM353=FALSE,CN353-CO353&gt;-1),"Direct", AND(CL353=FALSE,CM353=FALSE,CN353-CO353&lt;0),"Check algorithm in appendix 2", AND(CL353=TRUE,CM353=TRUE,CN353-CO353&gt;-1),"Direct", AND(CL353=TRUE,CM353=TRUE,CN353-CO353&lt;0),"Check algorithm in appendix 2"))</f>
        <v/>
      </c>
      <c r="BC353" s="120" t="str">
        <f t="shared" si="10"/>
        <v/>
      </c>
      <c r="BD353" s="140"/>
      <c r="BE353" s="122" t="str">
        <f>IF(Preferences!B$3="Manual","", IFERROR(IFS(AND(Preferences!B$3="Automatic",AX353/AW353&gt;=30),"Extremely serious",AND(AY353&lt;=$D$1*-1,BA353&lt;0,AX353/AW353&lt;3),"Not Serious",AND(AY353&lt;=$D$1*-1,BA353&lt;0,AX353/AW353&gt;=3),"Very serious",AND(AY353&gt;=$D$1,AZ353&gt;0,AX353/AW353&lt;3),"Not Serious",AND(AY353&gt;=$D$1,AZ353&gt;0,AX353/AW353&gt;=3),"Very serious",AND(AY353&lt;=$D$1*-1,BA353&gt;0,AZ353&gt;$D$2*-1,AX353/AW353&lt;3),"Serious", AND(AY353&lt;=$D$1*-1,BA353&gt;0,AZ353&lt;$D$2*-1,AX353/AW353&lt;3),"Very serious", AND(AY353&gt;=$D$1,AZ353&lt;0,BA353&lt;$D$2,AX353/AW353&lt;3),"Serious",AND(AY353&gt;=$D$1,AZ353&lt;0,BA353&gt;$D$2,AX353/AW353&lt;3),"Very serious", AND(AY353&lt;=$D$1*-1,BA353&gt;0,AZ353&gt;$D$2*-1,AX353/AW353&gt;=3),"Very serious", AND(AY353&lt;=$D$1*-1,BA353&gt;0,AZ353&lt;$D$2*-1,AX353/AW353&gt;=3),"Very serious", AND(AY353&gt;=$D$1,AZ353&lt;0,BA353&lt;$D$2,AX353/AW353&gt;=3),"Very serious", AND(AY353&gt;=$D$1,AZ353&lt;0,BA353&gt;$D$2,AX353/AW353&gt;=3),"Very serious", AND(AY353&gt;$D$1*-1,AY353&lt;$D$1,AZ353&gt;$D$1*-1,BA353&lt;$D$1,AX353/AW353&lt;3),"Not Serious", AND(AY353&gt;$D$1*-1,AY353&lt;$D$1,OR(AZ353&lt;=$D$1*-1,BA353&gt;=$D$1),AZ353&gt;$D$2*-1,BA353&lt;$D$2,AX353/AW353&lt;3),"Serious", AND(AY353&gt;$D$1*-1,AY353&lt;$D$1,OR(AZ353&lt;=$D$2*-1,BA353&gt;=$D$2),AX353/AW353&lt;3),"Very serious", AND(AY353&gt;$D$1*-1,AY353&lt;$D$1,AZ353&gt;$D$1*-1,BA353&lt;$D$1,AX353/AW353&gt;=3),"Very serious", AND(AY353&gt;$D$1*-1,AY353&lt;$D$1,OR(AZ353&lt;=$D$1*-1,BA353&gt;=$D$1),AZ353&gt;$D$2*-1,BA353&lt;$D$2,AX353/AW353&gt;=3),"Very serious", AND(AY353&gt;$D$1*-1,AY353&lt;$D$1,OR(AZ353&lt;=$D$2*-1,BA353&gt;=$D$2),AX353/AW353&gt;=3),"Very serious"),""))</f>
        <v/>
      </c>
      <c r="BF353" s="107" t="str">
        <f t="shared" si="11"/>
        <v/>
      </c>
      <c r="BG353" s="94" t="str">
        <f t="shared" si="46"/>
        <v/>
      </c>
      <c r="BH353" s="64" t="str">
        <f t="shared" si="12"/>
        <v>#N/A</v>
      </c>
      <c r="BI353" s="64" t="str">
        <f t="shared" si="13"/>
        <v/>
      </c>
      <c r="BJ353" s="123" t="str">
        <f t="shared" si="14"/>
        <v>#N/A</v>
      </c>
      <c r="BK353" s="64" t="str">
        <f t="shared" si="50"/>
        <v>YES</v>
      </c>
      <c r="BL353" s="64" t="str">
        <f t="shared" si="16"/>
        <v>YES</v>
      </c>
      <c r="BM353" s="64" t="str">
        <f t="shared" si="17"/>
        <v>YES</v>
      </c>
      <c r="BN353" s="124" t="str">
        <f t="shared" si="18"/>
        <v/>
      </c>
      <c r="BO353" s="91" t="str">
        <f t="shared" si="19"/>
        <v/>
      </c>
      <c r="BP353" s="91" t="str">
        <f t="shared" si="20"/>
        <v>#N/A</v>
      </c>
      <c r="BQ353" s="91" t="str">
        <f t="shared" si="21"/>
        <v/>
      </c>
      <c r="BR353" s="93" t="str">
        <f t="shared" si="22"/>
        <v/>
      </c>
      <c r="BS353" s="90" t="str">
        <f t="shared" si="23"/>
        <v/>
      </c>
      <c r="BT353" s="93" t="str">
        <f t="shared" si="24"/>
        <v>NA</v>
      </c>
      <c r="BU353" s="125" t="str">
        <f t="shared" si="25"/>
        <v>#N/A</v>
      </c>
      <c r="BV353" s="93" t="str">
        <f t="shared" si="26"/>
        <v/>
      </c>
      <c r="BW353" s="93" t="str">
        <f t="shared" si="27"/>
        <v/>
      </c>
      <c r="BX353" s="93" t="str">
        <f t="shared" si="28"/>
        <v>NA</v>
      </c>
      <c r="BY353" s="95" t="str">
        <f t="shared" si="29"/>
        <v>#N/A</v>
      </c>
      <c r="BZ353" s="93" t="str">
        <f t="shared" si="30"/>
        <v/>
      </c>
      <c r="CA353" s="93" t="str">
        <f t="shared" si="31"/>
        <v/>
      </c>
      <c r="CB353" s="93" t="str">
        <f t="shared" si="32"/>
        <v>NA</v>
      </c>
      <c r="CC353" s="96" t="str">
        <f t="shared" si="33"/>
        <v>#N/A</v>
      </c>
      <c r="CD353" s="93" t="str">
        <f t="shared" si="34"/>
        <v/>
      </c>
      <c r="CE353" s="93" t="str">
        <f t="shared" si="35"/>
        <v/>
      </c>
      <c r="CF353" s="93" t="str">
        <f t="shared" si="36"/>
        <v>NA</v>
      </c>
      <c r="CG353" s="97" t="str">
        <f t="shared" si="37"/>
        <v>#N/A</v>
      </c>
      <c r="CH353" s="98" t="str">
        <f t="shared" si="38"/>
        <v>#N/A</v>
      </c>
      <c r="CI353" s="99" t="str">
        <f t="shared" si="39"/>
        <v>#N/A</v>
      </c>
      <c r="CJ353" s="126" t="str">
        <f t="shared" si="40"/>
        <v>ERROR: check cell</v>
      </c>
      <c r="CK353" s="126"/>
      <c r="CL353" s="127" t="str">
        <f t="shared" si="41"/>
        <v>#DIV/0!</v>
      </c>
      <c r="CM353" s="128" t="str">
        <f t="shared" si="42"/>
        <v>#DIV/0!</v>
      </c>
      <c r="CN353" s="128">
        <f t="shared" si="43"/>
        <v>4</v>
      </c>
      <c r="CO353" s="129">
        <f t="shared" si="44"/>
        <v>4</v>
      </c>
      <c r="CP353" s="129" t="str">
        <f>IFS(C353=Preferences!B$13,B353,B353=Preferences!B$13,C353)</f>
        <v>#N/A</v>
      </c>
    </row>
    <row r="354" ht="13.5" customHeight="1">
      <c r="A354" s="63" t="str">
        <f t="shared" si="45"/>
        <v/>
      </c>
      <c r="B354" s="64"/>
      <c r="C354" s="64"/>
      <c r="D354" s="64"/>
      <c r="E354" s="65"/>
      <c r="F354" s="65"/>
      <c r="G354" s="65"/>
      <c r="H354" s="66"/>
      <c r="I354" s="66"/>
      <c r="J354" s="67"/>
      <c r="K354" s="68"/>
      <c r="L354" s="104"/>
      <c r="M354" s="104"/>
      <c r="N354" s="104"/>
      <c r="O354" s="104"/>
      <c r="P354" s="107" t="str">
        <f t="shared" si="1"/>
        <v/>
      </c>
      <c r="Q354" s="108" t="str">
        <f>IFERROR(IF(AND(Preferences!B$3="Manual",OR(AX354/AW354&gt;G354/F354,BD354="Serious",BD354="Very serious")),"Assess imprecision",IFS(ISBLANK(E354),"",AND(Preferences!B$3="Automatic", G354/F354&gt;=30),"Extremely serious",AND(H354&lt;=$D$1*-1,J354&lt;0,G354/F354&lt;3),"Not serious",AND(H354&lt;=$D$1*-1,J354&lt;0,G354/F354&gt;=3),"Very serious",AND(H354&gt;=$D$1,I354&gt;0,G354/F354&lt;3),"Not serious",AND(H354&gt;=$D$1,I354&gt;0,G354/F354&gt;=3),"Very serious",AND(H354&lt;=$D$1*-1,J354&gt;0,I354&gt;$D$2*-1,G354/F354&lt;3),"Serious", AND(H354&lt;=$D$1*-1,J354&gt;0,I354&lt;$D$2*-1,G354/F354&lt;3),"Very serious", AND(H354&gt;=$D$1,I354&lt;0,J354&lt;$D$2,G354/F354&lt;3),"Serious",AND(H354&gt;=$D$1,I354&lt;0,J354&gt;$D$2,G354/F354&lt;3),"Very serious", AND(H354&lt;=$D$1*-1,J354&gt;0,I354&gt;$D$2*-1,G354/F354&gt;=3),"Very serious", AND(H354&lt;=$D$1*-1,J354&gt;0,I354&lt;$D$2*-1,G354/F354&gt;=3),"Very serious", AND(H354&gt;=$D$1,I354&lt;0,J354&lt;$D$2,G354/F354&gt;=3),"Very serious", AND(H354&gt;=$D$1,I354&lt;0,J354&gt;$D$2,G354/F354&gt;=3),"Very serious", AND(H354&gt;$D$1*-1,H354&lt;$D$1,I354&gt;$D$1*-1,J354&lt;$D$1,G354/F354&lt;3),"Not serious", AND(H354&gt;$D$1*-1,H354&lt;$D$1,OR(I354&lt;=$D$1*-1,J354&gt;=$D$1),I354&gt;$D$2*-1,J354&lt;$D$2,G354/F354&lt;3),"Serious", AND(H354&gt;$D$1*-1,H354&lt;$D$1,OR(I354&lt;=$D$2*-1,J354&gt;=$D$2),G354/F354&lt;3),"Very serious", AND(H354&gt;$D$1*-1,H354&lt;$D$1,I354&gt;$D$1*-1,J354&lt;$D$1,G354/F354&gt;=3),"Very serious", AND(H354&gt;$D$1*-1,H354&lt;$D$1,OR(I354&lt;=$D$1*-1,J354&gt;=$D$1),I354&gt;$D$2*-1,J354&lt;$D$2,G354/F354&gt;=3),"Very serious", AND(H354&gt;$D$1*-1,H354&lt;$D$1,OR(I354&lt;=$D$2*-1,J354&gt;=$D$2),G354/F354&gt;=3),"Very serious")),"")</f>
        <v/>
      </c>
      <c r="R354" s="109" t="str">
        <f t="shared" si="47"/>
        <v/>
      </c>
      <c r="S354" s="64"/>
      <c r="T354" s="72"/>
      <c r="U354" s="72"/>
      <c r="V354" s="72"/>
      <c r="W354" s="73"/>
      <c r="X354" s="73"/>
      <c r="Y354" s="74"/>
      <c r="Z354" s="113" t="str">
        <f t="array" ref="Z354">INDEX($A$1:$C$500, MATCH(1,($B:$B=$B354)*($C:$C=$AB354),0),1)</f>
        <v/>
      </c>
      <c r="AA354" s="113" t="str">
        <f t="array" ref="AA354">INDEX($A$1:$C$500, MATCH(1,($B:$B=$AB354)*($C:$C=$B354),0),1)</f>
        <v/>
      </c>
      <c r="AB354" s="111"/>
      <c r="AC354" s="114" t="str">
        <f t="shared" si="2"/>
        <v/>
      </c>
      <c r="AD354" s="115" t="str">
        <f t="shared" si="3"/>
        <v/>
      </c>
      <c r="AE354" s="116" t="str">
        <f t="array" ref="AE354">INDEX($A$1:$C$500, MATCH(1,($B:$B=$AB354)*($C:$C=$AG354),0),1)</f>
        <v/>
      </c>
      <c r="AF354" s="116" t="str">
        <f t="array" ref="AF354">INDEX($A$1:$C$500, MATCH(1,($B:$B=$AG354)*($C:$C=$AB354),0),1)</f>
        <v/>
      </c>
      <c r="AG354" s="72"/>
      <c r="AH354" s="114" t="str">
        <f t="shared" si="4"/>
        <v/>
      </c>
      <c r="AI354" s="115" t="str">
        <f t="shared" si="5"/>
        <v/>
      </c>
      <c r="AJ354" s="116" t="str">
        <f t="array" ref="AJ354">INDEX($A$1:$C$500, MATCH(1,($B:$B=$C354)*($C:$C=$AG354),0),1)</f>
        <v/>
      </c>
      <c r="AK354" s="116" t="str">
        <f t="array" ref="AK354">INDEX($A$1:$C$500, MATCH(1,($B:$B=$AG354)*($C:$C=$C354),0),1)</f>
        <v/>
      </c>
      <c r="AL354" s="116" t="str">
        <f t="array" ref="AL354">INDEX($A$1:$C$500, MATCH(1,($B:$B=$C354)*($C:$C=$AB354),0),1)</f>
        <v/>
      </c>
      <c r="AM354" s="116" t="str">
        <f t="array" ref="AM354">INDEX($A$1:$C$500, MATCH(1,($B:$B=$AB354)*($C:$C=$C354),0),1)</f>
        <v/>
      </c>
      <c r="AN354" s="114" t="str">
        <f t="array" ref="AN354">IFS(ISNUMBER(AJ354),AJ354,ISNUMBER(AK354),AK354,ISNUMBER(AL354),AL354,ISNUMBER(AM354),AM354)</f>
        <v>#N/A</v>
      </c>
      <c r="AO354" s="115" t="str">
        <f t="shared" si="6"/>
        <v/>
      </c>
      <c r="AP354" s="115" t="str">
        <f t="shared" si="7"/>
        <v/>
      </c>
      <c r="AQ354" s="111"/>
      <c r="AR354" s="109" t="str">
        <f t="shared" si="8"/>
        <v/>
      </c>
      <c r="AS354" s="72" t="str">
        <f>IFERROR(IF(AND(Preferences!B$3="Manual",OR(AX354/AW354&gt;V354/U354,BD354="Serious",BD354="Very serious")),"Assess imprecision",IFERROR(IFS(AND(Preferences!B$3="Automatic",V354/U354&gt;=30),"Extremely serious",AND(W354&lt;=$D$1*-1,Y354&lt;0,V354/U354&lt;3),"Not Serious",AND(W354&lt;=$D$1*-1,Y354&lt;0,V354/U354&gt;=3),"Very serious",AND(W354&gt;=$D$1,X354&gt;0,V354/U354&lt;3),"Not Serious",AND(W354&gt;=$D$1,X354&gt;0,V354/U354&gt;=3),"Very serious",AND(W354&lt;=$D$1*-1,Y354&gt;0,X354&gt;$D$2*-1,V354/U354&lt;3),"Serious", AND(W354&lt;=$D$1*-1,Y354&gt;0,X354&lt;$D$2*-1,V354/U354&lt;3),"Very serious", AND(W354&gt;=$D$1,X354&lt;0,Y354&lt;$D$2,V354/U354&lt;3),"Serious",AND(W354&gt;=$D$1,X354&lt;0,Y354&gt;$D$2,V354/U354&lt;3),"Very serious", AND(W354&lt;=$D$1*-1,Y354&gt;0,X354&gt;$D$2*-1,V354/U354&gt;=3),"Very serious", AND(W354&lt;=$D$1*-1,Y354&gt;0,X354&lt;$D$2*-1,V354/U354&gt;=3),"Very serious", AND(W354&gt;=$D$1,X354&lt;0,Y354&lt;$D$2,V354/U354&gt;=3),"Very serious", AND(W354&gt;=$D$1,X354&lt;0,Y354&gt;$D$2,V354/U354&gt;=3),"Very serious", AND(W354&gt;$D$1*-1,W354&lt;$D$1,X354&gt;$D$1*-1,Y354&lt;$D$1,V354/U354&lt;3),"Not Serious", AND(W354&gt;$D$1*-1,W354&lt;$D$1,OR(X354&lt;=$D$1*-1,Y354&gt;=$D$1),X354&gt;$D$2*-1,Y354&lt;$D$2,V354/U354&lt;3),"Serious", AND(W354&gt;$D$1*-1,W354&lt;$D$1,OR(X354&lt;=$D$2*-1,Y354&gt;=$D$2),V354/U354&lt;3),"Very serious", AND(W354&gt;$D$1*-1,W354&lt;$D$1,X354&gt;$D$1*-1,Y354&lt;$D$1,V354/U354&gt;=3),"Very serious", AND(W354&gt;$D$1*-1,W354&lt;$D$1,OR(X354&lt;=$D$1*-1,Y354&gt;=$D$1),X354&gt;$D$2*-1,Y354&lt;$D$2,V354/U354&gt;=3),"Very serious", AND(W354&gt;$D$1*-1,W354&lt;$D$1,OR(X354&lt;=$D$2*-1,Y354&gt;=$D$2),V354/U354&gt;=3),"Very serious"),"")),"")</f>
        <v/>
      </c>
      <c r="AT354" s="109" t="str">
        <f t="shared" si="9"/>
        <v/>
      </c>
      <c r="AU354" s="64"/>
      <c r="AV354" s="83"/>
      <c r="AW354" s="83"/>
      <c r="AX354" s="83"/>
      <c r="AY354" s="83"/>
      <c r="AZ354" s="83"/>
      <c r="BA354" s="85"/>
      <c r="BB354" s="86" t="str">
        <f>IF(Preferences!B$9="Manual","",IFS(ISBLANK(B354),"",AND(ISNUMBER(E354)=TRUE,ISNUMBER(T354)=FALSE),"Direct", AND(ISNUMBER(E354)=FALSE,ISNUMBER(T354)=TRUE),"Indirect", CN354=4,"Direct",AND(CL354=FALSE, CM354=TRUE,CN354-CO354&gt;-1),"Direct", AND(CL354=FALSE,CM354=TRUE, CN354-CO354&lt;0),"Check algorithm in appendix 2", AND(CL354=TRUE, CM354=FALSE,CN354-CO354&gt;0),"Check algorithm in appendix 2", AND(CL354=TRUE, CM354=FALSE,CN354-CO354=0),"Indirect", AND(CL354=TRUE, CM354=FALSE,CN354-CO354&lt;0),"Indirect", AND(CL354=FALSE,CM354=FALSE,CN354-CO354&gt;-1),"Direct", AND(CL354=FALSE,CM354=FALSE,CN354-CO354&lt;0),"Check algorithm in appendix 2", AND(CL354=TRUE,CM354=TRUE,CN354-CO354&gt;-1),"Direct", AND(CL354=TRUE,CM354=TRUE,CN354-CO354&lt;0),"Check algorithm in appendix 2"))</f>
        <v/>
      </c>
      <c r="BC354" s="120" t="str">
        <f t="shared" si="10"/>
        <v/>
      </c>
      <c r="BD354" s="140"/>
      <c r="BE354" s="122" t="str">
        <f>IF(Preferences!B$3="Manual","", IFERROR(IFS(AND(Preferences!B$3="Automatic",AX354/AW354&gt;=30),"Extremely serious",AND(AY354&lt;=$D$1*-1,BA354&lt;0,AX354/AW354&lt;3),"Not Serious",AND(AY354&lt;=$D$1*-1,BA354&lt;0,AX354/AW354&gt;=3),"Very serious",AND(AY354&gt;=$D$1,AZ354&gt;0,AX354/AW354&lt;3),"Not Serious",AND(AY354&gt;=$D$1,AZ354&gt;0,AX354/AW354&gt;=3),"Very serious",AND(AY354&lt;=$D$1*-1,BA354&gt;0,AZ354&gt;$D$2*-1,AX354/AW354&lt;3),"Serious", AND(AY354&lt;=$D$1*-1,BA354&gt;0,AZ354&lt;$D$2*-1,AX354/AW354&lt;3),"Very serious", AND(AY354&gt;=$D$1,AZ354&lt;0,BA354&lt;$D$2,AX354/AW354&lt;3),"Serious",AND(AY354&gt;=$D$1,AZ354&lt;0,BA354&gt;$D$2,AX354/AW354&lt;3),"Very serious", AND(AY354&lt;=$D$1*-1,BA354&gt;0,AZ354&gt;$D$2*-1,AX354/AW354&gt;=3),"Very serious", AND(AY354&lt;=$D$1*-1,BA354&gt;0,AZ354&lt;$D$2*-1,AX354/AW354&gt;=3),"Very serious", AND(AY354&gt;=$D$1,AZ354&lt;0,BA354&lt;$D$2,AX354/AW354&gt;=3),"Very serious", AND(AY354&gt;=$D$1,AZ354&lt;0,BA354&gt;$D$2,AX354/AW354&gt;=3),"Very serious", AND(AY354&gt;$D$1*-1,AY354&lt;$D$1,AZ354&gt;$D$1*-1,BA354&lt;$D$1,AX354/AW354&lt;3),"Not Serious", AND(AY354&gt;$D$1*-1,AY354&lt;$D$1,OR(AZ354&lt;=$D$1*-1,BA354&gt;=$D$1),AZ354&gt;$D$2*-1,BA354&lt;$D$2,AX354/AW354&lt;3),"Serious", AND(AY354&gt;$D$1*-1,AY354&lt;$D$1,OR(AZ354&lt;=$D$2*-1,BA354&gt;=$D$2),AX354/AW354&lt;3),"Very serious", AND(AY354&gt;$D$1*-1,AY354&lt;$D$1,AZ354&gt;$D$1*-1,BA354&lt;$D$1,AX354/AW354&gt;=3),"Very serious", AND(AY354&gt;$D$1*-1,AY354&lt;$D$1,OR(AZ354&lt;=$D$1*-1,BA354&gt;=$D$1),AZ354&gt;$D$2*-1,BA354&lt;$D$2,AX354/AW354&gt;=3),"Very serious", AND(AY354&gt;$D$1*-1,AY354&lt;$D$1,OR(AZ354&lt;=$D$2*-1,BA354&gt;=$D$2),AX354/AW354&gt;=3),"Very serious"),""))</f>
        <v/>
      </c>
      <c r="BF354" s="107" t="str">
        <f t="shared" si="11"/>
        <v/>
      </c>
      <c r="BG354" s="94" t="str">
        <f t="shared" si="46"/>
        <v/>
      </c>
      <c r="BH354" s="64" t="str">
        <f t="shared" si="12"/>
        <v>#N/A</v>
      </c>
      <c r="BI354" s="64" t="str">
        <f t="shared" si="13"/>
        <v/>
      </c>
      <c r="BJ354" s="123" t="str">
        <f t="shared" si="14"/>
        <v>#N/A</v>
      </c>
      <c r="BK354" s="64" t="str">
        <f t="shared" si="50"/>
        <v>YES</v>
      </c>
      <c r="BL354" s="64" t="str">
        <f t="shared" si="16"/>
        <v>YES</v>
      </c>
      <c r="BM354" s="64" t="str">
        <f t="shared" si="17"/>
        <v>YES</v>
      </c>
      <c r="BN354" s="124" t="str">
        <f t="shared" si="18"/>
        <v/>
      </c>
      <c r="BO354" s="91" t="str">
        <f t="shared" si="19"/>
        <v/>
      </c>
      <c r="BP354" s="91" t="str">
        <f t="shared" si="20"/>
        <v>#N/A</v>
      </c>
      <c r="BQ354" s="91" t="str">
        <f t="shared" si="21"/>
        <v/>
      </c>
      <c r="BR354" s="93" t="str">
        <f t="shared" si="22"/>
        <v/>
      </c>
      <c r="BS354" s="90" t="str">
        <f t="shared" si="23"/>
        <v/>
      </c>
      <c r="BT354" s="93" t="str">
        <f t="shared" si="24"/>
        <v>NA</v>
      </c>
      <c r="BU354" s="125" t="str">
        <f t="shared" si="25"/>
        <v>#N/A</v>
      </c>
      <c r="BV354" s="93" t="str">
        <f t="shared" si="26"/>
        <v/>
      </c>
      <c r="BW354" s="93" t="str">
        <f t="shared" si="27"/>
        <v/>
      </c>
      <c r="BX354" s="93" t="str">
        <f t="shared" si="28"/>
        <v>NA</v>
      </c>
      <c r="BY354" s="95" t="str">
        <f t="shared" si="29"/>
        <v>#N/A</v>
      </c>
      <c r="BZ354" s="93" t="str">
        <f t="shared" si="30"/>
        <v/>
      </c>
      <c r="CA354" s="93" t="str">
        <f t="shared" si="31"/>
        <v/>
      </c>
      <c r="CB354" s="93" t="str">
        <f t="shared" si="32"/>
        <v>NA</v>
      </c>
      <c r="CC354" s="96" t="str">
        <f t="shared" si="33"/>
        <v>#N/A</v>
      </c>
      <c r="CD354" s="93" t="str">
        <f t="shared" si="34"/>
        <v/>
      </c>
      <c r="CE354" s="93" t="str">
        <f t="shared" si="35"/>
        <v/>
      </c>
      <c r="CF354" s="93" t="str">
        <f t="shared" si="36"/>
        <v>NA</v>
      </c>
      <c r="CG354" s="97" t="str">
        <f t="shared" si="37"/>
        <v>#N/A</v>
      </c>
      <c r="CH354" s="98" t="str">
        <f t="shared" si="38"/>
        <v>#N/A</v>
      </c>
      <c r="CI354" s="99" t="str">
        <f t="shared" si="39"/>
        <v>#N/A</v>
      </c>
      <c r="CJ354" s="126" t="str">
        <f t="shared" si="40"/>
        <v>ERROR: check cell</v>
      </c>
      <c r="CK354" s="126"/>
      <c r="CL354" s="127" t="str">
        <f t="shared" si="41"/>
        <v>#DIV/0!</v>
      </c>
      <c r="CM354" s="128" t="str">
        <f t="shared" si="42"/>
        <v>#DIV/0!</v>
      </c>
      <c r="CN354" s="128">
        <f t="shared" si="43"/>
        <v>4</v>
      </c>
      <c r="CO354" s="129">
        <f t="shared" si="44"/>
        <v>4</v>
      </c>
      <c r="CP354" s="129" t="str">
        <f>IFS(C354=Preferences!B$13,B354,B354=Preferences!B$13,C354)</f>
        <v>#N/A</v>
      </c>
    </row>
    <row r="355" ht="13.5" customHeight="1">
      <c r="A355" s="63" t="str">
        <f t="shared" si="45"/>
        <v/>
      </c>
      <c r="B355" s="64"/>
      <c r="C355" s="64"/>
      <c r="D355" s="64"/>
      <c r="E355" s="65"/>
      <c r="F355" s="65"/>
      <c r="G355" s="65"/>
      <c r="H355" s="66"/>
      <c r="I355" s="66"/>
      <c r="J355" s="67"/>
      <c r="K355" s="68"/>
      <c r="L355" s="104"/>
      <c r="M355" s="104"/>
      <c r="N355" s="104"/>
      <c r="O355" s="104"/>
      <c r="P355" s="107" t="str">
        <f t="shared" si="1"/>
        <v/>
      </c>
      <c r="Q355" s="108" t="str">
        <f>IFERROR(IF(AND(Preferences!B$3="Manual",OR(AX355/AW355&gt;G355/F355,BD355="Serious",BD355="Very serious")),"Assess imprecision",IFS(ISBLANK(E355),"",AND(Preferences!B$3="Automatic", G355/F355&gt;=30),"Extremely serious",AND(H355&lt;=$D$1*-1,J355&lt;0,G355/F355&lt;3),"Not serious",AND(H355&lt;=$D$1*-1,J355&lt;0,G355/F355&gt;=3),"Very serious",AND(H355&gt;=$D$1,I355&gt;0,G355/F355&lt;3),"Not serious",AND(H355&gt;=$D$1,I355&gt;0,G355/F355&gt;=3),"Very serious",AND(H355&lt;=$D$1*-1,J355&gt;0,I355&gt;$D$2*-1,G355/F355&lt;3),"Serious", AND(H355&lt;=$D$1*-1,J355&gt;0,I355&lt;$D$2*-1,G355/F355&lt;3),"Very serious", AND(H355&gt;=$D$1,I355&lt;0,J355&lt;$D$2,G355/F355&lt;3),"Serious",AND(H355&gt;=$D$1,I355&lt;0,J355&gt;$D$2,G355/F355&lt;3),"Very serious", AND(H355&lt;=$D$1*-1,J355&gt;0,I355&gt;$D$2*-1,G355/F355&gt;=3),"Very serious", AND(H355&lt;=$D$1*-1,J355&gt;0,I355&lt;$D$2*-1,G355/F355&gt;=3),"Very serious", AND(H355&gt;=$D$1,I355&lt;0,J355&lt;$D$2,G355/F355&gt;=3),"Very serious", AND(H355&gt;=$D$1,I355&lt;0,J355&gt;$D$2,G355/F355&gt;=3),"Very serious", AND(H355&gt;$D$1*-1,H355&lt;$D$1,I355&gt;$D$1*-1,J355&lt;$D$1,G355/F355&lt;3),"Not serious", AND(H355&gt;$D$1*-1,H355&lt;$D$1,OR(I355&lt;=$D$1*-1,J355&gt;=$D$1),I355&gt;$D$2*-1,J355&lt;$D$2,G355/F355&lt;3),"Serious", AND(H355&gt;$D$1*-1,H355&lt;$D$1,OR(I355&lt;=$D$2*-1,J355&gt;=$D$2),G355/F355&lt;3),"Very serious", AND(H355&gt;$D$1*-1,H355&lt;$D$1,I355&gt;$D$1*-1,J355&lt;$D$1,G355/F355&gt;=3),"Very serious", AND(H355&gt;$D$1*-1,H355&lt;$D$1,OR(I355&lt;=$D$1*-1,J355&gt;=$D$1),I355&gt;$D$2*-1,J355&lt;$D$2,G355/F355&gt;=3),"Very serious", AND(H355&gt;$D$1*-1,H355&lt;$D$1,OR(I355&lt;=$D$2*-1,J355&gt;=$D$2),G355/F355&gt;=3),"Very serious")),"")</f>
        <v/>
      </c>
      <c r="R355" s="109" t="str">
        <f t="shared" si="47"/>
        <v/>
      </c>
      <c r="S355" s="64"/>
      <c r="T355" s="72"/>
      <c r="U355" s="72"/>
      <c r="V355" s="72"/>
      <c r="W355" s="73"/>
      <c r="X355" s="73"/>
      <c r="Y355" s="74"/>
      <c r="Z355" s="113" t="str">
        <f t="array" ref="Z355">INDEX($A$1:$C$500, MATCH(1,($B:$B=$B355)*($C:$C=$AB355),0),1)</f>
        <v/>
      </c>
      <c r="AA355" s="113" t="str">
        <f t="array" ref="AA355">INDEX($A$1:$C$500, MATCH(1,($B:$B=$AB355)*($C:$C=$B355),0),1)</f>
        <v/>
      </c>
      <c r="AB355" s="111"/>
      <c r="AC355" s="114" t="str">
        <f t="shared" si="2"/>
        <v/>
      </c>
      <c r="AD355" s="115" t="str">
        <f t="shared" si="3"/>
        <v/>
      </c>
      <c r="AE355" s="116" t="str">
        <f t="array" ref="AE355">INDEX($A$1:$C$500, MATCH(1,($B:$B=$AB355)*($C:$C=$AG355),0),1)</f>
        <v/>
      </c>
      <c r="AF355" s="116" t="str">
        <f t="array" ref="AF355">INDEX($A$1:$C$500, MATCH(1,($B:$B=$AG355)*($C:$C=$AB355),0),1)</f>
        <v/>
      </c>
      <c r="AG355" s="72"/>
      <c r="AH355" s="114" t="str">
        <f t="shared" si="4"/>
        <v/>
      </c>
      <c r="AI355" s="115" t="str">
        <f t="shared" si="5"/>
        <v/>
      </c>
      <c r="AJ355" s="116" t="str">
        <f t="array" ref="AJ355">INDEX($A$1:$C$500, MATCH(1,($B:$B=$C355)*($C:$C=$AG355),0),1)</f>
        <v/>
      </c>
      <c r="AK355" s="116" t="str">
        <f t="array" ref="AK355">INDEX($A$1:$C$500, MATCH(1,($B:$B=$AG355)*($C:$C=$C355),0),1)</f>
        <v/>
      </c>
      <c r="AL355" s="116" t="str">
        <f t="array" ref="AL355">INDEX($A$1:$C$500, MATCH(1,($B:$B=$C355)*($C:$C=$AB355),0),1)</f>
        <v/>
      </c>
      <c r="AM355" s="116" t="str">
        <f t="array" ref="AM355">INDEX($A$1:$C$500, MATCH(1,($B:$B=$AB355)*($C:$C=$C355),0),1)</f>
        <v/>
      </c>
      <c r="AN355" s="114" t="str">
        <f t="array" ref="AN355">IFS(ISNUMBER(AJ355),AJ355,ISNUMBER(AK355),AK355,ISNUMBER(AL355),AL355,ISNUMBER(AM355),AM355)</f>
        <v>#N/A</v>
      </c>
      <c r="AO355" s="115" t="str">
        <f t="shared" si="6"/>
        <v/>
      </c>
      <c r="AP355" s="115" t="str">
        <f t="shared" si="7"/>
        <v/>
      </c>
      <c r="AQ355" s="111"/>
      <c r="AR355" s="109" t="str">
        <f t="shared" si="8"/>
        <v/>
      </c>
      <c r="AS355" s="72" t="str">
        <f>IFERROR(IF(AND(Preferences!B$3="Manual",OR(AX355/AW355&gt;V355/U355,BD355="Serious",BD355="Very serious")),"Assess imprecision",IFERROR(IFS(AND(Preferences!B$3="Automatic",V355/U355&gt;=30),"Extremely serious",AND(W355&lt;=$D$1*-1,Y355&lt;0,V355/U355&lt;3),"Not Serious",AND(W355&lt;=$D$1*-1,Y355&lt;0,V355/U355&gt;=3),"Very serious",AND(W355&gt;=$D$1,X355&gt;0,V355/U355&lt;3),"Not Serious",AND(W355&gt;=$D$1,X355&gt;0,V355/U355&gt;=3),"Very serious",AND(W355&lt;=$D$1*-1,Y355&gt;0,X355&gt;$D$2*-1,V355/U355&lt;3),"Serious", AND(W355&lt;=$D$1*-1,Y355&gt;0,X355&lt;$D$2*-1,V355/U355&lt;3),"Very serious", AND(W355&gt;=$D$1,X355&lt;0,Y355&lt;$D$2,V355/U355&lt;3),"Serious",AND(W355&gt;=$D$1,X355&lt;0,Y355&gt;$D$2,V355/U355&lt;3),"Very serious", AND(W355&lt;=$D$1*-1,Y355&gt;0,X355&gt;$D$2*-1,V355/U355&gt;=3),"Very serious", AND(W355&lt;=$D$1*-1,Y355&gt;0,X355&lt;$D$2*-1,V355/U355&gt;=3),"Very serious", AND(W355&gt;=$D$1,X355&lt;0,Y355&lt;$D$2,V355/U355&gt;=3),"Very serious", AND(W355&gt;=$D$1,X355&lt;0,Y355&gt;$D$2,V355/U355&gt;=3),"Very serious", AND(W355&gt;$D$1*-1,W355&lt;$D$1,X355&gt;$D$1*-1,Y355&lt;$D$1,V355/U355&lt;3),"Not Serious", AND(W355&gt;$D$1*-1,W355&lt;$D$1,OR(X355&lt;=$D$1*-1,Y355&gt;=$D$1),X355&gt;$D$2*-1,Y355&lt;$D$2,V355/U355&lt;3),"Serious", AND(W355&gt;$D$1*-1,W355&lt;$D$1,OR(X355&lt;=$D$2*-1,Y355&gt;=$D$2),V355/U355&lt;3),"Very serious", AND(W355&gt;$D$1*-1,W355&lt;$D$1,X355&gt;$D$1*-1,Y355&lt;$D$1,V355/U355&gt;=3),"Very serious", AND(W355&gt;$D$1*-1,W355&lt;$D$1,OR(X355&lt;=$D$1*-1,Y355&gt;=$D$1),X355&gt;$D$2*-1,Y355&lt;$D$2,V355/U355&gt;=3),"Very serious", AND(W355&gt;$D$1*-1,W355&lt;$D$1,OR(X355&lt;=$D$2*-1,Y355&gt;=$D$2),V355/U355&gt;=3),"Very serious"),"")),"")</f>
        <v/>
      </c>
      <c r="AT355" s="109" t="str">
        <f t="shared" si="9"/>
        <v/>
      </c>
      <c r="AU355" s="64"/>
      <c r="AV355" s="83"/>
      <c r="AW355" s="83"/>
      <c r="AX355" s="83"/>
      <c r="AY355" s="83"/>
      <c r="AZ355" s="83"/>
      <c r="BA355" s="85"/>
      <c r="BB355" s="86" t="str">
        <f>IF(Preferences!B$9="Manual","",IFS(ISBLANK(B355),"",AND(ISNUMBER(E355)=TRUE,ISNUMBER(T355)=FALSE),"Direct", AND(ISNUMBER(E355)=FALSE,ISNUMBER(T355)=TRUE),"Indirect", CN355=4,"Direct",AND(CL355=FALSE, CM355=TRUE,CN355-CO355&gt;-1),"Direct", AND(CL355=FALSE,CM355=TRUE, CN355-CO355&lt;0),"Check algorithm in appendix 2", AND(CL355=TRUE, CM355=FALSE,CN355-CO355&gt;0),"Check algorithm in appendix 2", AND(CL355=TRUE, CM355=FALSE,CN355-CO355=0),"Indirect", AND(CL355=TRUE, CM355=FALSE,CN355-CO355&lt;0),"Indirect", AND(CL355=FALSE,CM355=FALSE,CN355-CO355&gt;-1),"Direct", AND(CL355=FALSE,CM355=FALSE,CN355-CO355&lt;0),"Check algorithm in appendix 2", AND(CL355=TRUE,CM355=TRUE,CN355-CO355&gt;-1),"Direct", AND(CL355=TRUE,CM355=TRUE,CN355-CO355&lt;0),"Check algorithm in appendix 2"))</f>
        <v/>
      </c>
      <c r="BC355" s="120" t="str">
        <f t="shared" si="10"/>
        <v/>
      </c>
      <c r="BD355" s="140"/>
      <c r="BE355" s="122" t="str">
        <f>IF(Preferences!B$3="Manual","", IFERROR(IFS(AND(Preferences!B$3="Automatic",AX355/AW355&gt;=30),"Extremely serious",AND(AY355&lt;=$D$1*-1,BA355&lt;0,AX355/AW355&lt;3),"Not Serious",AND(AY355&lt;=$D$1*-1,BA355&lt;0,AX355/AW355&gt;=3),"Very serious",AND(AY355&gt;=$D$1,AZ355&gt;0,AX355/AW355&lt;3),"Not Serious",AND(AY355&gt;=$D$1,AZ355&gt;0,AX355/AW355&gt;=3),"Very serious",AND(AY355&lt;=$D$1*-1,BA355&gt;0,AZ355&gt;$D$2*-1,AX355/AW355&lt;3),"Serious", AND(AY355&lt;=$D$1*-1,BA355&gt;0,AZ355&lt;$D$2*-1,AX355/AW355&lt;3),"Very serious", AND(AY355&gt;=$D$1,AZ355&lt;0,BA355&lt;$D$2,AX355/AW355&lt;3),"Serious",AND(AY355&gt;=$D$1,AZ355&lt;0,BA355&gt;$D$2,AX355/AW355&lt;3),"Very serious", AND(AY355&lt;=$D$1*-1,BA355&gt;0,AZ355&gt;$D$2*-1,AX355/AW355&gt;=3),"Very serious", AND(AY355&lt;=$D$1*-1,BA355&gt;0,AZ355&lt;$D$2*-1,AX355/AW355&gt;=3),"Very serious", AND(AY355&gt;=$D$1,AZ355&lt;0,BA355&lt;$D$2,AX355/AW355&gt;=3),"Very serious", AND(AY355&gt;=$D$1,AZ355&lt;0,BA355&gt;$D$2,AX355/AW355&gt;=3),"Very serious", AND(AY355&gt;$D$1*-1,AY355&lt;$D$1,AZ355&gt;$D$1*-1,BA355&lt;$D$1,AX355/AW355&lt;3),"Not Serious", AND(AY355&gt;$D$1*-1,AY355&lt;$D$1,OR(AZ355&lt;=$D$1*-1,BA355&gt;=$D$1),AZ355&gt;$D$2*-1,BA355&lt;$D$2,AX355/AW355&lt;3),"Serious", AND(AY355&gt;$D$1*-1,AY355&lt;$D$1,OR(AZ355&lt;=$D$2*-1,BA355&gt;=$D$2),AX355/AW355&lt;3),"Very serious", AND(AY355&gt;$D$1*-1,AY355&lt;$D$1,AZ355&gt;$D$1*-1,BA355&lt;$D$1,AX355/AW355&gt;=3),"Very serious", AND(AY355&gt;$D$1*-1,AY355&lt;$D$1,OR(AZ355&lt;=$D$1*-1,BA355&gt;=$D$1),AZ355&gt;$D$2*-1,BA355&lt;$D$2,AX355/AW355&gt;=3),"Very serious", AND(AY355&gt;$D$1*-1,AY355&lt;$D$1,OR(AZ355&lt;=$D$2*-1,BA355&gt;=$D$2),AX355/AW355&gt;=3),"Very serious"),""))</f>
        <v/>
      </c>
      <c r="BF355" s="107" t="str">
        <f t="shared" si="11"/>
        <v/>
      </c>
      <c r="BG355" s="94" t="str">
        <f t="shared" si="46"/>
        <v/>
      </c>
      <c r="BH355" s="64" t="str">
        <f t="shared" si="12"/>
        <v>#N/A</v>
      </c>
      <c r="BI355" s="64" t="str">
        <f t="shared" si="13"/>
        <v/>
      </c>
      <c r="BJ355" s="123" t="str">
        <f t="shared" si="14"/>
        <v>#N/A</v>
      </c>
      <c r="BK355" s="64" t="str">
        <f t="shared" si="50"/>
        <v>YES</v>
      </c>
      <c r="BL355" s="64" t="str">
        <f t="shared" si="16"/>
        <v>YES</v>
      </c>
      <c r="BM355" s="64" t="str">
        <f t="shared" si="17"/>
        <v>YES</v>
      </c>
      <c r="BN355" s="124" t="str">
        <f t="shared" si="18"/>
        <v/>
      </c>
      <c r="BO355" s="91" t="str">
        <f t="shared" si="19"/>
        <v/>
      </c>
      <c r="BP355" s="91" t="str">
        <f t="shared" si="20"/>
        <v>#N/A</v>
      </c>
      <c r="BQ355" s="91" t="str">
        <f t="shared" si="21"/>
        <v/>
      </c>
      <c r="BR355" s="93" t="str">
        <f t="shared" si="22"/>
        <v/>
      </c>
      <c r="BS355" s="90" t="str">
        <f t="shared" si="23"/>
        <v/>
      </c>
      <c r="BT355" s="93" t="str">
        <f t="shared" si="24"/>
        <v>NA</v>
      </c>
      <c r="BU355" s="125" t="str">
        <f t="shared" si="25"/>
        <v>#N/A</v>
      </c>
      <c r="BV355" s="93" t="str">
        <f t="shared" si="26"/>
        <v/>
      </c>
      <c r="BW355" s="93" t="str">
        <f t="shared" si="27"/>
        <v/>
      </c>
      <c r="BX355" s="93" t="str">
        <f t="shared" si="28"/>
        <v>NA</v>
      </c>
      <c r="BY355" s="95" t="str">
        <f t="shared" si="29"/>
        <v>#N/A</v>
      </c>
      <c r="BZ355" s="93" t="str">
        <f t="shared" si="30"/>
        <v/>
      </c>
      <c r="CA355" s="93" t="str">
        <f t="shared" si="31"/>
        <v/>
      </c>
      <c r="CB355" s="93" t="str">
        <f t="shared" si="32"/>
        <v>NA</v>
      </c>
      <c r="CC355" s="96" t="str">
        <f t="shared" si="33"/>
        <v>#N/A</v>
      </c>
      <c r="CD355" s="93" t="str">
        <f t="shared" si="34"/>
        <v/>
      </c>
      <c r="CE355" s="93" t="str">
        <f t="shared" si="35"/>
        <v/>
      </c>
      <c r="CF355" s="93" t="str">
        <f t="shared" si="36"/>
        <v>NA</v>
      </c>
      <c r="CG355" s="97" t="str">
        <f t="shared" si="37"/>
        <v>#N/A</v>
      </c>
      <c r="CH355" s="98" t="str">
        <f t="shared" si="38"/>
        <v>#N/A</v>
      </c>
      <c r="CI355" s="99" t="str">
        <f t="shared" si="39"/>
        <v>#N/A</v>
      </c>
      <c r="CJ355" s="126" t="str">
        <f t="shared" si="40"/>
        <v>ERROR: check cell</v>
      </c>
      <c r="CK355" s="126"/>
      <c r="CL355" s="127" t="str">
        <f t="shared" si="41"/>
        <v>#DIV/0!</v>
      </c>
      <c r="CM355" s="128" t="str">
        <f t="shared" si="42"/>
        <v>#DIV/0!</v>
      </c>
      <c r="CN355" s="128">
        <f t="shared" si="43"/>
        <v>4</v>
      </c>
      <c r="CO355" s="129">
        <f t="shared" si="44"/>
        <v>4</v>
      </c>
      <c r="CP355" s="129" t="str">
        <f>IFS(C355=Preferences!B$13,B355,B355=Preferences!B$13,C355)</f>
        <v>#N/A</v>
      </c>
    </row>
    <row r="356" ht="13.5" customHeight="1">
      <c r="A356" s="63" t="str">
        <f t="shared" si="45"/>
        <v/>
      </c>
      <c r="B356" s="64"/>
      <c r="C356" s="64"/>
      <c r="D356" s="64"/>
      <c r="E356" s="65"/>
      <c r="F356" s="65"/>
      <c r="G356" s="65"/>
      <c r="H356" s="66"/>
      <c r="I356" s="66"/>
      <c r="J356" s="67"/>
      <c r="K356" s="68"/>
      <c r="L356" s="104"/>
      <c r="M356" s="104"/>
      <c r="N356" s="104"/>
      <c r="O356" s="104"/>
      <c r="P356" s="107" t="str">
        <f t="shared" si="1"/>
        <v/>
      </c>
      <c r="Q356" s="108" t="str">
        <f>IFERROR(IF(AND(Preferences!B$3="Manual",OR(AX356/AW356&gt;G356/F356,BD356="Serious",BD356="Very serious")),"Assess imprecision",IFS(ISBLANK(E356),"",AND(Preferences!B$3="Automatic", G356/F356&gt;=30),"Extremely serious",AND(H356&lt;=$D$1*-1,J356&lt;0,G356/F356&lt;3),"Not serious",AND(H356&lt;=$D$1*-1,J356&lt;0,G356/F356&gt;=3),"Very serious",AND(H356&gt;=$D$1,I356&gt;0,G356/F356&lt;3),"Not serious",AND(H356&gt;=$D$1,I356&gt;0,G356/F356&gt;=3),"Very serious",AND(H356&lt;=$D$1*-1,J356&gt;0,I356&gt;$D$2*-1,G356/F356&lt;3),"Serious", AND(H356&lt;=$D$1*-1,J356&gt;0,I356&lt;$D$2*-1,G356/F356&lt;3),"Very serious", AND(H356&gt;=$D$1,I356&lt;0,J356&lt;$D$2,G356/F356&lt;3),"Serious",AND(H356&gt;=$D$1,I356&lt;0,J356&gt;$D$2,G356/F356&lt;3),"Very serious", AND(H356&lt;=$D$1*-1,J356&gt;0,I356&gt;$D$2*-1,G356/F356&gt;=3),"Very serious", AND(H356&lt;=$D$1*-1,J356&gt;0,I356&lt;$D$2*-1,G356/F356&gt;=3),"Very serious", AND(H356&gt;=$D$1,I356&lt;0,J356&lt;$D$2,G356/F356&gt;=3),"Very serious", AND(H356&gt;=$D$1,I356&lt;0,J356&gt;$D$2,G356/F356&gt;=3),"Very serious", AND(H356&gt;$D$1*-1,H356&lt;$D$1,I356&gt;$D$1*-1,J356&lt;$D$1,G356/F356&lt;3),"Not serious", AND(H356&gt;$D$1*-1,H356&lt;$D$1,OR(I356&lt;=$D$1*-1,J356&gt;=$D$1),I356&gt;$D$2*-1,J356&lt;$D$2,G356/F356&lt;3),"Serious", AND(H356&gt;$D$1*-1,H356&lt;$D$1,OR(I356&lt;=$D$2*-1,J356&gt;=$D$2),G356/F356&lt;3),"Very serious", AND(H356&gt;$D$1*-1,H356&lt;$D$1,I356&gt;$D$1*-1,J356&lt;$D$1,G356/F356&gt;=3),"Very serious", AND(H356&gt;$D$1*-1,H356&lt;$D$1,OR(I356&lt;=$D$1*-1,J356&gt;=$D$1),I356&gt;$D$2*-1,J356&lt;$D$2,G356/F356&gt;=3),"Very serious", AND(H356&gt;$D$1*-1,H356&lt;$D$1,OR(I356&lt;=$D$2*-1,J356&gt;=$D$2),G356/F356&gt;=3),"Very serious")),"")</f>
        <v/>
      </c>
      <c r="R356" s="109" t="str">
        <f t="shared" si="47"/>
        <v/>
      </c>
      <c r="S356" s="64"/>
      <c r="T356" s="72"/>
      <c r="U356" s="72"/>
      <c r="V356" s="72"/>
      <c r="W356" s="73"/>
      <c r="X356" s="73"/>
      <c r="Y356" s="74"/>
      <c r="Z356" s="113" t="str">
        <f t="array" ref="Z356">INDEX($A$1:$C$500, MATCH(1,($B:$B=$B356)*($C:$C=$AB356),0),1)</f>
        <v/>
      </c>
      <c r="AA356" s="113" t="str">
        <f t="array" ref="AA356">INDEX($A$1:$C$500, MATCH(1,($B:$B=$AB356)*($C:$C=$B356),0),1)</f>
        <v/>
      </c>
      <c r="AB356" s="111"/>
      <c r="AC356" s="114" t="str">
        <f t="shared" si="2"/>
        <v/>
      </c>
      <c r="AD356" s="115" t="str">
        <f t="shared" si="3"/>
        <v/>
      </c>
      <c r="AE356" s="116" t="str">
        <f t="array" ref="AE356">INDEX($A$1:$C$500, MATCH(1,($B:$B=$AB356)*($C:$C=$AG356),0),1)</f>
        <v/>
      </c>
      <c r="AF356" s="116" t="str">
        <f t="array" ref="AF356">INDEX($A$1:$C$500, MATCH(1,($B:$B=$AG356)*($C:$C=$AB356),0),1)</f>
        <v/>
      </c>
      <c r="AG356" s="72"/>
      <c r="AH356" s="114" t="str">
        <f t="shared" si="4"/>
        <v/>
      </c>
      <c r="AI356" s="115" t="str">
        <f t="shared" si="5"/>
        <v/>
      </c>
      <c r="AJ356" s="116" t="str">
        <f t="array" ref="AJ356">INDEX($A$1:$C$500, MATCH(1,($B:$B=$C356)*($C:$C=$AG356),0),1)</f>
        <v/>
      </c>
      <c r="AK356" s="116" t="str">
        <f t="array" ref="AK356">INDEX($A$1:$C$500, MATCH(1,($B:$B=$AG356)*($C:$C=$C356),0),1)</f>
        <v/>
      </c>
      <c r="AL356" s="116" t="str">
        <f t="array" ref="AL356">INDEX($A$1:$C$500, MATCH(1,($B:$B=$C356)*($C:$C=$AB356),0),1)</f>
        <v/>
      </c>
      <c r="AM356" s="116" t="str">
        <f t="array" ref="AM356">INDEX($A$1:$C$500, MATCH(1,($B:$B=$AB356)*($C:$C=$C356),0),1)</f>
        <v/>
      </c>
      <c r="AN356" s="114" t="str">
        <f t="array" ref="AN356">IFS(ISNUMBER(AJ356),AJ356,ISNUMBER(AK356),AK356,ISNUMBER(AL356),AL356,ISNUMBER(AM356),AM356)</f>
        <v>#N/A</v>
      </c>
      <c r="AO356" s="115" t="str">
        <f t="shared" si="6"/>
        <v/>
      </c>
      <c r="AP356" s="115" t="str">
        <f t="shared" si="7"/>
        <v/>
      </c>
      <c r="AQ356" s="111"/>
      <c r="AR356" s="109" t="str">
        <f t="shared" si="8"/>
        <v/>
      </c>
      <c r="AS356" s="72" t="str">
        <f>IFERROR(IF(AND(Preferences!B$3="Manual",OR(AX356/AW356&gt;V356/U356,BD356="Serious",BD356="Very serious")),"Assess imprecision",IFERROR(IFS(AND(Preferences!B$3="Automatic",V356/U356&gt;=30),"Extremely serious",AND(W356&lt;=$D$1*-1,Y356&lt;0,V356/U356&lt;3),"Not Serious",AND(W356&lt;=$D$1*-1,Y356&lt;0,V356/U356&gt;=3),"Very serious",AND(W356&gt;=$D$1,X356&gt;0,V356/U356&lt;3),"Not Serious",AND(W356&gt;=$D$1,X356&gt;0,V356/U356&gt;=3),"Very serious",AND(W356&lt;=$D$1*-1,Y356&gt;0,X356&gt;$D$2*-1,V356/U356&lt;3),"Serious", AND(W356&lt;=$D$1*-1,Y356&gt;0,X356&lt;$D$2*-1,V356/U356&lt;3),"Very serious", AND(W356&gt;=$D$1,X356&lt;0,Y356&lt;$D$2,V356/U356&lt;3),"Serious",AND(W356&gt;=$D$1,X356&lt;0,Y356&gt;$D$2,V356/U356&lt;3),"Very serious", AND(W356&lt;=$D$1*-1,Y356&gt;0,X356&gt;$D$2*-1,V356/U356&gt;=3),"Very serious", AND(W356&lt;=$D$1*-1,Y356&gt;0,X356&lt;$D$2*-1,V356/U356&gt;=3),"Very serious", AND(W356&gt;=$D$1,X356&lt;0,Y356&lt;$D$2,V356/U356&gt;=3),"Very serious", AND(W356&gt;=$D$1,X356&lt;0,Y356&gt;$D$2,V356/U356&gt;=3),"Very serious", AND(W356&gt;$D$1*-1,W356&lt;$D$1,X356&gt;$D$1*-1,Y356&lt;$D$1,V356/U356&lt;3),"Not Serious", AND(W356&gt;$D$1*-1,W356&lt;$D$1,OR(X356&lt;=$D$1*-1,Y356&gt;=$D$1),X356&gt;$D$2*-1,Y356&lt;$D$2,V356/U356&lt;3),"Serious", AND(W356&gt;$D$1*-1,W356&lt;$D$1,OR(X356&lt;=$D$2*-1,Y356&gt;=$D$2),V356/U356&lt;3),"Very serious", AND(W356&gt;$D$1*-1,W356&lt;$D$1,X356&gt;$D$1*-1,Y356&lt;$D$1,V356/U356&gt;=3),"Very serious", AND(W356&gt;$D$1*-1,W356&lt;$D$1,OR(X356&lt;=$D$1*-1,Y356&gt;=$D$1),X356&gt;$D$2*-1,Y356&lt;$D$2,V356/U356&gt;=3),"Very serious", AND(W356&gt;$D$1*-1,W356&lt;$D$1,OR(X356&lt;=$D$2*-1,Y356&gt;=$D$2),V356/U356&gt;=3),"Very serious"),"")),"")</f>
        <v/>
      </c>
      <c r="AT356" s="109" t="str">
        <f t="shared" si="9"/>
        <v/>
      </c>
      <c r="AU356" s="64"/>
      <c r="AV356" s="83"/>
      <c r="AW356" s="83"/>
      <c r="AX356" s="83"/>
      <c r="AY356" s="83"/>
      <c r="AZ356" s="83"/>
      <c r="BA356" s="85"/>
      <c r="BB356" s="86" t="str">
        <f>IF(Preferences!B$9="Manual","",IFS(ISBLANK(B356),"",AND(ISNUMBER(E356)=TRUE,ISNUMBER(T356)=FALSE),"Direct", AND(ISNUMBER(E356)=FALSE,ISNUMBER(T356)=TRUE),"Indirect", CN356=4,"Direct",AND(CL356=FALSE, CM356=TRUE,CN356-CO356&gt;-1),"Direct", AND(CL356=FALSE,CM356=TRUE, CN356-CO356&lt;0),"Check algorithm in appendix 2", AND(CL356=TRUE, CM356=FALSE,CN356-CO356&gt;0),"Check algorithm in appendix 2", AND(CL356=TRUE, CM356=FALSE,CN356-CO356=0),"Indirect", AND(CL356=TRUE, CM356=FALSE,CN356-CO356&lt;0),"Indirect", AND(CL356=FALSE,CM356=FALSE,CN356-CO356&gt;-1),"Direct", AND(CL356=FALSE,CM356=FALSE,CN356-CO356&lt;0),"Check algorithm in appendix 2", AND(CL356=TRUE,CM356=TRUE,CN356-CO356&gt;-1),"Direct", AND(CL356=TRUE,CM356=TRUE,CN356-CO356&lt;0),"Check algorithm in appendix 2"))</f>
        <v/>
      </c>
      <c r="BC356" s="120" t="str">
        <f t="shared" si="10"/>
        <v/>
      </c>
      <c r="BD356" s="140"/>
      <c r="BE356" s="122" t="str">
        <f>IF(Preferences!B$3="Manual","", IFERROR(IFS(AND(Preferences!B$3="Automatic",AX356/AW356&gt;=30),"Extremely serious",AND(AY356&lt;=$D$1*-1,BA356&lt;0,AX356/AW356&lt;3),"Not Serious",AND(AY356&lt;=$D$1*-1,BA356&lt;0,AX356/AW356&gt;=3),"Very serious",AND(AY356&gt;=$D$1,AZ356&gt;0,AX356/AW356&lt;3),"Not Serious",AND(AY356&gt;=$D$1,AZ356&gt;0,AX356/AW356&gt;=3),"Very serious",AND(AY356&lt;=$D$1*-1,BA356&gt;0,AZ356&gt;$D$2*-1,AX356/AW356&lt;3),"Serious", AND(AY356&lt;=$D$1*-1,BA356&gt;0,AZ356&lt;$D$2*-1,AX356/AW356&lt;3),"Very serious", AND(AY356&gt;=$D$1,AZ356&lt;0,BA356&lt;$D$2,AX356/AW356&lt;3),"Serious",AND(AY356&gt;=$D$1,AZ356&lt;0,BA356&gt;$D$2,AX356/AW356&lt;3),"Very serious", AND(AY356&lt;=$D$1*-1,BA356&gt;0,AZ356&gt;$D$2*-1,AX356/AW356&gt;=3),"Very serious", AND(AY356&lt;=$D$1*-1,BA356&gt;0,AZ356&lt;$D$2*-1,AX356/AW356&gt;=3),"Very serious", AND(AY356&gt;=$D$1,AZ356&lt;0,BA356&lt;$D$2,AX356/AW356&gt;=3),"Very serious", AND(AY356&gt;=$D$1,AZ356&lt;0,BA356&gt;$D$2,AX356/AW356&gt;=3),"Very serious", AND(AY356&gt;$D$1*-1,AY356&lt;$D$1,AZ356&gt;$D$1*-1,BA356&lt;$D$1,AX356/AW356&lt;3),"Not Serious", AND(AY356&gt;$D$1*-1,AY356&lt;$D$1,OR(AZ356&lt;=$D$1*-1,BA356&gt;=$D$1),AZ356&gt;$D$2*-1,BA356&lt;$D$2,AX356/AW356&lt;3),"Serious", AND(AY356&gt;$D$1*-1,AY356&lt;$D$1,OR(AZ356&lt;=$D$2*-1,BA356&gt;=$D$2),AX356/AW356&lt;3),"Very serious", AND(AY356&gt;$D$1*-1,AY356&lt;$D$1,AZ356&gt;$D$1*-1,BA356&lt;$D$1,AX356/AW356&gt;=3),"Very serious", AND(AY356&gt;$D$1*-1,AY356&lt;$D$1,OR(AZ356&lt;=$D$1*-1,BA356&gt;=$D$1),AZ356&gt;$D$2*-1,BA356&lt;$D$2,AX356/AW356&gt;=3),"Very serious", AND(AY356&gt;$D$1*-1,AY356&lt;$D$1,OR(AZ356&lt;=$D$2*-1,BA356&gt;=$D$2),AX356/AW356&gt;=3),"Very serious"),""))</f>
        <v/>
      </c>
      <c r="BF356" s="107" t="str">
        <f t="shared" si="11"/>
        <v/>
      </c>
      <c r="BG356" s="94" t="str">
        <f t="shared" si="46"/>
        <v/>
      </c>
      <c r="BH356" s="64" t="str">
        <f t="shared" si="12"/>
        <v>#N/A</v>
      </c>
      <c r="BI356" s="64" t="str">
        <f t="shared" si="13"/>
        <v/>
      </c>
      <c r="BJ356" s="123" t="str">
        <f t="shared" si="14"/>
        <v>#N/A</v>
      </c>
      <c r="BK356" s="64" t="str">
        <f t="shared" si="50"/>
        <v>YES</v>
      </c>
      <c r="BL356" s="64" t="str">
        <f t="shared" si="16"/>
        <v>YES</v>
      </c>
      <c r="BM356" s="64" t="str">
        <f t="shared" si="17"/>
        <v>YES</v>
      </c>
      <c r="BN356" s="124" t="str">
        <f t="shared" si="18"/>
        <v/>
      </c>
      <c r="BO356" s="91" t="str">
        <f t="shared" si="19"/>
        <v/>
      </c>
      <c r="BP356" s="91" t="str">
        <f t="shared" si="20"/>
        <v>#N/A</v>
      </c>
      <c r="BQ356" s="91" t="str">
        <f t="shared" si="21"/>
        <v/>
      </c>
      <c r="BR356" s="93" t="str">
        <f t="shared" si="22"/>
        <v/>
      </c>
      <c r="BS356" s="90" t="str">
        <f t="shared" si="23"/>
        <v/>
      </c>
      <c r="BT356" s="93" t="str">
        <f t="shared" si="24"/>
        <v>NA</v>
      </c>
      <c r="BU356" s="125" t="str">
        <f t="shared" si="25"/>
        <v>#N/A</v>
      </c>
      <c r="BV356" s="93" t="str">
        <f t="shared" si="26"/>
        <v/>
      </c>
      <c r="BW356" s="93" t="str">
        <f t="shared" si="27"/>
        <v/>
      </c>
      <c r="BX356" s="93" t="str">
        <f t="shared" si="28"/>
        <v>NA</v>
      </c>
      <c r="BY356" s="95" t="str">
        <f t="shared" si="29"/>
        <v>#N/A</v>
      </c>
      <c r="BZ356" s="93" t="str">
        <f t="shared" si="30"/>
        <v/>
      </c>
      <c r="CA356" s="93" t="str">
        <f t="shared" si="31"/>
        <v/>
      </c>
      <c r="CB356" s="93" t="str">
        <f t="shared" si="32"/>
        <v>NA</v>
      </c>
      <c r="CC356" s="96" t="str">
        <f t="shared" si="33"/>
        <v>#N/A</v>
      </c>
      <c r="CD356" s="93" t="str">
        <f t="shared" si="34"/>
        <v/>
      </c>
      <c r="CE356" s="93" t="str">
        <f t="shared" si="35"/>
        <v/>
      </c>
      <c r="CF356" s="93" t="str">
        <f t="shared" si="36"/>
        <v>NA</v>
      </c>
      <c r="CG356" s="97" t="str">
        <f t="shared" si="37"/>
        <v>#N/A</v>
      </c>
      <c r="CH356" s="98" t="str">
        <f t="shared" si="38"/>
        <v>#N/A</v>
      </c>
      <c r="CI356" s="99" t="str">
        <f t="shared" si="39"/>
        <v>#N/A</v>
      </c>
      <c r="CJ356" s="126" t="str">
        <f t="shared" si="40"/>
        <v>ERROR: check cell</v>
      </c>
      <c r="CK356" s="126"/>
      <c r="CL356" s="127" t="str">
        <f t="shared" si="41"/>
        <v>#DIV/0!</v>
      </c>
      <c r="CM356" s="128" t="str">
        <f t="shared" si="42"/>
        <v>#DIV/0!</v>
      </c>
      <c r="CN356" s="128">
        <f t="shared" si="43"/>
        <v>4</v>
      </c>
      <c r="CO356" s="129">
        <f t="shared" si="44"/>
        <v>4</v>
      </c>
      <c r="CP356" s="129" t="str">
        <f>IFS(C356=Preferences!B$13,B356,B356=Preferences!B$13,C356)</f>
        <v>#N/A</v>
      </c>
    </row>
    <row r="357" ht="13.5" customHeight="1">
      <c r="A357" s="63" t="str">
        <f t="shared" si="45"/>
        <v/>
      </c>
      <c r="B357" s="64"/>
      <c r="C357" s="64"/>
      <c r="D357" s="64"/>
      <c r="E357" s="65"/>
      <c r="F357" s="65"/>
      <c r="G357" s="65"/>
      <c r="H357" s="66"/>
      <c r="I357" s="66"/>
      <c r="J357" s="67"/>
      <c r="K357" s="68"/>
      <c r="L357" s="104"/>
      <c r="M357" s="104"/>
      <c r="N357" s="104"/>
      <c r="O357" s="104"/>
      <c r="P357" s="107" t="str">
        <f t="shared" si="1"/>
        <v/>
      </c>
      <c r="Q357" s="108" t="str">
        <f>IFERROR(IF(AND(Preferences!B$3="Manual",OR(AX357/AW357&gt;G357/F357,BD357="Serious",BD357="Very serious")),"Assess imprecision",IFS(ISBLANK(E357),"",AND(Preferences!B$3="Automatic", G357/F357&gt;=30),"Extremely serious",AND(H357&lt;=$D$1*-1,J357&lt;0,G357/F357&lt;3),"Not serious",AND(H357&lt;=$D$1*-1,J357&lt;0,G357/F357&gt;=3),"Very serious",AND(H357&gt;=$D$1,I357&gt;0,G357/F357&lt;3),"Not serious",AND(H357&gt;=$D$1,I357&gt;0,G357/F357&gt;=3),"Very serious",AND(H357&lt;=$D$1*-1,J357&gt;0,I357&gt;$D$2*-1,G357/F357&lt;3),"Serious", AND(H357&lt;=$D$1*-1,J357&gt;0,I357&lt;$D$2*-1,G357/F357&lt;3),"Very serious", AND(H357&gt;=$D$1,I357&lt;0,J357&lt;$D$2,G357/F357&lt;3),"Serious",AND(H357&gt;=$D$1,I357&lt;0,J357&gt;$D$2,G357/F357&lt;3),"Very serious", AND(H357&lt;=$D$1*-1,J357&gt;0,I357&gt;$D$2*-1,G357/F357&gt;=3),"Very serious", AND(H357&lt;=$D$1*-1,J357&gt;0,I357&lt;$D$2*-1,G357/F357&gt;=3),"Very serious", AND(H357&gt;=$D$1,I357&lt;0,J357&lt;$D$2,G357/F357&gt;=3),"Very serious", AND(H357&gt;=$D$1,I357&lt;0,J357&gt;$D$2,G357/F357&gt;=3),"Very serious", AND(H357&gt;$D$1*-1,H357&lt;$D$1,I357&gt;$D$1*-1,J357&lt;$D$1,G357/F357&lt;3),"Not serious", AND(H357&gt;$D$1*-1,H357&lt;$D$1,OR(I357&lt;=$D$1*-1,J357&gt;=$D$1),I357&gt;$D$2*-1,J357&lt;$D$2,G357/F357&lt;3),"Serious", AND(H357&gt;$D$1*-1,H357&lt;$D$1,OR(I357&lt;=$D$2*-1,J357&gt;=$D$2),G357/F357&lt;3),"Very serious", AND(H357&gt;$D$1*-1,H357&lt;$D$1,I357&gt;$D$1*-1,J357&lt;$D$1,G357/F357&gt;=3),"Very serious", AND(H357&gt;$D$1*-1,H357&lt;$D$1,OR(I357&lt;=$D$1*-1,J357&gt;=$D$1),I357&gt;$D$2*-1,J357&lt;$D$2,G357/F357&gt;=3),"Very serious", AND(H357&gt;$D$1*-1,H357&lt;$D$1,OR(I357&lt;=$D$2*-1,J357&gt;=$D$2),G357/F357&gt;=3),"Very serious")),"")</f>
        <v/>
      </c>
      <c r="R357" s="109" t="str">
        <f t="shared" si="47"/>
        <v/>
      </c>
      <c r="S357" s="64"/>
      <c r="T357" s="72"/>
      <c r="U357" s="72"/>
      <c r="V357" s="72"/>
      <c r="W357" s="73"/>
      <c r="X357" s="73"/>
      <c r="Y357" s="74"/>
      <c r="Z357" s="113" t="str">
        <f t="array" ref="Z357">INDEX($A$1:$C$500, MATCH(1,($B:$B=$B357)*($C:$C=$AB357),0),1)</f>
        <v/>
      </c>
      <c r="AA357" s="113" t="str">
        <f t="array" ref="AA357">INDEX($A$1:$C$500, MATCH(1,($B:$B=$AB357)*($C:$C=$B357),0),1)</f>
        <v/>
      </c>
      <c r="AB357" s="111"/>
      <c r="AC357" s="114" t="str">
        <f t="shared" si="2"/>
        <v/>
      </c>
      <c r="AD357" s="115" t="str">
        <f t="shared" si="3"/>
        <v/>
      </c>
      <c r="AE357" s="116" t="str">
        <f t="array" ref="AE357">INDEX($A$1:$C$500, MATCH(1,($B:$B=$AB357)*($C:$C=$AG357),0),1)</f>
        <v/>
      </c>
      <c r="AF357" s="116" t="str">
        <f t="array" ref="AF357">INDEX($A$1:$C$500, MATCH(1,($B:$B=$AG357)*($C:$C=$AB357),0),1)</f>
        <v/>
      </c>
      <c r="AG357" s="72"/>
      <c r="AH357" s="114" t="str">
        <f t="shared" si="4"/>
        <v/>
      </c>
      <c r="AI357" s="115" t="str">
        <f t="shared" si="5"/>
        <v/>
      </c>
      <c r="AJ357" s="116" t="str">
        <f t="array" ref="AJ357">INDEX($A$1:$C$500, MATCH(1,($B:$B=$C357)*($C:$C=$AG357),0),1)</f>
        <v/>
      </c>
      <c r="AK357" s="116" t="str">
        <f t="array" ref="AK357">INDEX($A$1:$C$500, MATCH(1,($B:$B=$AG357)*($C:$C=$C357),0),1)</f>
        <v/>
      </c>
      <c r="AL357" s="116" t="str">
        <f t="array" ref="AL357">INDEX($A$1:$C$500, MATCH(1,($B:$B=$C357)*($C:$C=$AB357),0),1)</f>
        <v/>
      </c>
      <c r="AM357" s="116" t="str">
        <f t="array" ref="AM357">INDEX($A$1:$C$500, MATCH(1,($B:$B=$AB357)*($C:$C=$C357),0),1)</f>
        <v/>
      </c>
      <c r="AN357" s="114" t="str">
        <f t="array" ref="AN357">IFS(ISNUMBER(AJ357),AJ357,ISNUMBER(AK357),AK357,ISNUMBER(AL357),AL357,ISNUMBER(AM357),AM357)</f>
        <v>#N/A</v>
      </c>
      <c r="AO357" s="115" t="str">
        <f t="shared" si="6"/>
        <v/>
      </c>
      <c r="AP357" s="115" t="str">
        <f t="shared" si="7"/>
        <v/>
      </c>
      <c r="AQ357" s="111"/>
      <c r="AR357" s="109" t="str">
        <f t="shared" si="8"/>
        <v/>
      </c>
      <c r="AS357" s="72" t="str">
        <f>IFERROR(IF(AND(Preferences!B$3="Manual",OR(AX357/AW357&gt;V357/U357,BD357="Serious",BD357="Very serious")),"Assess imprecision",IFERROR(IFS(AND(Preferences!B$3="Automatic",V357/U357&gt;=30),"Extremely serious",AND(W357&lt;=$D$1*-1,Y357&lt;0,V357/U357&lt;3),"Not Serious",AND(W357&lt;=$D$1*-1,Y357&lt;0,V357/U357&gt;=3),"Very serious",AND(W357&gt;=$D$1,X357&gt;0,V357/U357&lt;3),"Not Serious",AND(W357&gt;=$D$1,X357&gt;0,V357/U357&gt;=3),"Very serious",AND(W357&lt;=$D$1*-1,Y357&gt;0,X357&gt;$D$2*-1,V357/U357&lt;3),"Serious", AND(W357&lt;=$D$1*-1,Y357&gt;0,X357&lt;$D$2*-1,V357/U357&lt;3),"Very serious", AND(W357&gt;=$D$1,X357&lt;0,Y357&lt;$D$2,V357/U357&lt;3),"Serious",AND(W357&gt;=$D$1,X357&lt;0,Y357&gt;$D$2,V357/U357&lt;3),"Very serious", AND(W357&lt;=$D$1*-1,Y357&gt;0,X357&gt;$D$2*-1,V357/U357&gt;=3),"Very serious", AND(W357&lt;=$D$1*-1,Y357&gt;0,X357&lt;$D$2*-1,V357/U357&gt;=3),"Very serious", AND(W357&gt;=$D$1,X357&lt;0,Y357&lt;$D$2,V357/U357&gt;=3),"Very serious", AND(W357&gt;=$D$1,X357&lt;0,Y357&gt;$D$2,V357/U357&gt;=3),"Very serious", AND(W357&gt;$D$1*-1,W357&lt;$D$1,X357&gt;$D$1*-1,Y357&lt;$D$1,V357/U357&lt;3),"Not Serious", AND(W357&gt;$D$1*-1,W357&lt;$D$1,OR(X357&lt;=$D$1*-1,Y357&gt;=$D$1),X357&gt;$D$2*-1,Y357&lt;$D$2,V357/U357&lt;3),"Serious", AND(W357&gt;$D$1*-1,W357&lt;$D$1,OR(X357&lt;=$D$2*-1,Y357&gt;=$D$2),V357/U357&lt;3),"Very serious", AND(W357&gt;$D$1*-1,W357&lt;$D$1,X357&gt;$D$1*-1,Y357&lt;$D$1,V357/U357&gt;=3),"Very serious", AND(W357&gt;$D$1*-1,W357&lt;$D$1,OR(X357&lt;=$D$1*-1,Y357&gt;=$D$1),X357&gt;$D$2*-1,Y357&lt;$D$2,V357/U357&gt;=3),"Very serious", AND(W357&gt;$D$1*-1,W357&lt;$D$1,OR(X357&lt;=$D$2*-1,Y357&gt;=$D$2),V357/U357&gt;=3),"Very serious"),"")),"")</f>
        <v/>
      </c>
      <c r="AT357" s="109" t="str">
        <f t="shared" si="9"/>
        <v/>
      </c>
      <c r="AU357" s="64"/>
      <c r="AV357" s="83"/>
      <c r="AW357" s="83"/>
      <c r="AX357" s="83"/>
      <c r="AY357" s="83"/>
      <c r="AZ357" s="83"/>
      <c r="BA357" s="85"/>
      <c r="BB357" s="86" t="str">
        <f>IF(Preferences!B$9="Manual","",IFS(ISBLANK(B357),"",AND(ISNUMBER(E357)=TRUE,ISNUMBER(T357)=FALSE),"Direct", AND(ISNUMBER(E357)=FALSE,ISNUMBER(T357)=TRUE),"Indirect", CN357=4,"Direct",AND(CL357=FALSE, CM357=TRUE,CN357-CO357&gt;-1),"Direct", AND(CL357=FALSE,CM357=TRUE, CN357-CO357&lt;0),"Check algorithm in appendix 2", AND(CL357=TRUE, CM357=FALSE,CN357-CO357&gt;0),"Check algorithm in appendix 2", AND(CL357=TRUE, CM357=FALSE,CN357-CO357=0),"Indirect", AND(CL357=TRUE, CM357=FALSE,CN357-CO357&lt;0),"Indirect", AND(CL357=FALSE,CM357=FALSE,CN357-CO357&gt;-1),"Direct", AND(CL357=FALSE,CM357=FALSE,CN357-CO357&lt;0),"Check algorithm in appendix 2", AND(CL357=TRUE,CM357=TRUE,CN357-CO357&gt;-1),"Direct", AND(CL357=TRUE,CM357=TRUE,CN357-CO357&lt;0),"Check algorithm in appendix 2"))</f>
        <v/>
      </c>
      <c r="BC357" s="120" t="str">
        <f t="shared" si="10"/>
        <v/>
      </c>
      <c r="BD357" s="140"/>
      <c r="BE357" s="122" t="str">
        <f>IF(Preferences!B$3="Manual","", IFERROR(IFS(AND(Preferences!B$3="Automatic",AX357/AW357&gt;=30),"Extremely serious",AND(AY357&lt;=$D$1*-1,BA357&lt;0,AX357/AW357&lt;3),"Not Serious",AND(AY357&lt;=$D$1*-1,BA357&lt;0,AX357/AW357&gt;=3),"Very serious",AND(AY357&gt;=$D$1,AZ357&gt;0,AX357/AW357&lt;3),"Not Serious",AND(AY357&gt;=$D$1,AZ357&gt;0,AX357/AW357&gt;=3),"Very serious",AND(AY357&lt;=$D$1*-1,BA357&gt;0,AZ357&gt;$D$2*-1,AX357/AW357&lt;3),"Serious", AND(AY357&lt;=$D$1*-1,BA357&gt;0,AZ357&lt;$D$2*-1,AX357/AW357&lt;3),"Very serious", AND(AY357&gt;=$D$1,AZ357&lt;0,BA357&lt;$D$2,AX357/AW357&lt;3),"Serious",AND(AY357&gt;=$D$1,AZ357&lt;0,BA357&gt;$D$2,AX357/AW357&lt;3),"Very serious", AND(AY357&lt;=$D$1*-1,BA357&gt;0,AZ357&gt;$D$2*-1,AX357/AW357&gt;=3),"Very serious", AND(AY357&lt;=$D$1*-1,BA357&gt;0,AZ357&lt;$D$2*-1,AX357/AW357&gt;=3),"Very serious", AND(AY357&gt;=$D$1,AZ357&lt;0,BA357&lt;$D$2,AX357/AW357&gt;=3),"Very serious", AND(AY357&gt;=$D$1,AZ357&lt;0,BA357&gt;$D$2,AX357/AW357&gt;=3),"Very serious", AND(AY357&gt;$D$1*-1,AY357&lt;$D$1,AZ357&gt;$D$1*-1,BA357&lt;$D$1,AX357/AW357&lt;3),"Not Serious", AND(AY357&gt;$D$1*-1,AY357&lt;$D$1,OR(AZ357&lt;=$D$1*-1,BA357&gt;=$D$1),AZ357&gt;$D$2*-1,BA357&lt;$D$2,AX357/AW357&lt;3),"Serious", AND(AY357&gt;$D$1*-1,AY357&lt;$D$1,OR(AZ357&lt;=$D$2*-1,BA357&gt;=$D$2),AX357/AW357&lt;3),"Very serious", AND(AY357&gt;$D$1*-1,AY357&lt;$D$1,AZ357&gt;$D$1*-1,BA357&lt;$D$1,AX357/AW357&gt;=3),"Very serious", AND(AY357&gt;$D$1*-1,AY357&lt;$D$1,OR(AZ357&lt;=$D$1*-1,BA357&gt;=$D$1),AZ357&gt;$D$2*-1,BA357&lt;$D$2,AX357/AW357&gt;=3),"Very serious", AND(AY357&gt;$D$1*-1,AY357&lt;$D$1,OR(AZ357&lt;=$D$2*-1,BA357&gt;=$D$2),AX357/AW357&gt;=3),"Very serious"),""))</f>
        <v/>
      </c>
      <c r="BF357" s="107" t="str">
        <f t="shared" si="11"/>
        <v/>
      </c>
      <c r="BG357" s="94" t="str">
        <f t="shared" si="46"/>
        <v/>
      </c>
      <c r="BH357" s="64" t="str">
        <f t="shared" si="12"/>
        <v>#N/A</v>
      </c>
      <c r="BI357" s="64" t="str">
        <f t="shared" si="13"/>
        <v/>
      </c>
      <c r="BJ357" s="123" t="str">
        <f t="shared" si="14"/>
        <v>#N/A</v>
      </c>
      <c r="BK357" s="64" t="str">
        <f t="shared" si="50"/>
        <v>YES</v>
      </c>
      <c r="BL357" s="64" t="str">
        <f t="shared" si="16"/>
        <v>YES</v>
      </c>
      <c r="BM357" s="64" t="str">
        <f t="shared" si="17"/>
        <v>YES</v>
      </c>
      <c r="BN357" s="124" t="str">
        <f t="shared" si="18"/>
        <v/>
      </c>
      <c r="BO357" s="91" t="str">
        <f t="shared" si="19"/>
        <v/>
      </c>
      <c r="BP357" s="91" t="str">
        <f t="shared" si="20"/>
        <v>#N/A</v>
      </c>
      <c r="BQ357" s="91" t="str">
        <f t="shared" si="21"/>
        <v/>
      </c>
      <c r="BR357" s="93" t="str">
        <f t="shared" si="22"/>
        <v/>
      </c>
      <c r="BS357" s="90" t="str">
        <f t="shared" si="23"/>
        <v/>
      </c>
      <c r="BT357" s="93" t="str">
        <f t="shared" si="24"/>
        <v>NA</v>
      </c>
      <c r="BU357" s="125" t="str">
        <f t="shared" si="25"/>
        <v>#N/A</v>
      </c>
      <c r="BV357" s="93" t="str">
        <f t="shared" si="26"/>
        <v/>
      </c>
      <c r="BW357" s="93" t="str">
        <f t="shared" si="27"/>
        <v/>
      </c>
      <c r="BX357" s="93" t="str">
        <f t="shared" si="28"/>
        <v>NA</v>
      </c>
      <c r="BY357" s="95" t="str">
        <f t="shared" si="29"/>
        <v>#N/A</v>
      </c>
      <c r="BZ357" s="93" t="str">
        <f t="shared" si="30"/>
        <v/>
      </c>
      <c r="CA357" s="93" t="str">
        <f t="shared" si="31"/>
        <v/>
      </c>
      <c r="CB357" s="93" t="str">
        <f t="shared" si="32"/>
        <v>NA</v>
      </c>
      <c r="CC357" s="96" t="str">
        <f t="shared" si="33"/>
        <v>#N/A</v>
      </c>
      <c r="CD357" s="93" t="str">
        <f t="shared" si="34"/>
        <v/>
      </c>
      <c r="CE357" s="93" t="str">
        <f t="shared" si="35"/>
        <v/>
      </c>
      <c r="CF357" s="93" t="str">
        <f t="shared" si="36"/>
        <v>NA</v>
      </c>
      <c r="CG357" s="97" t="str">
        <f t="shared" si="37"/>
        <v>#N/A</v>
      </c>
      <c r="CH357" s="98" t="str">
        <f t="shared" si="38"/>
        <v>#N/A</v>
      </c>
      <c r="CI357" s="99" t="str">
        <f t="shared" si="39"/>
        <v>#N/A</v>
      </c>
      <c r="CJ357" s="126" t="str">
        <f t="shared" si="40"/>
        <v>ERROR: check cell</v>
      </c>
      <c r="CK357" s="126"/>
      <c r="CL357" s="127" t="str">
        <f t="shared" si="41"/>
        <v>#DIV/0!</v>
      </c>
      <c r="CM357" s="128" t="str">
        <f t="shared" si="42"/>
        <v>#DIV/0!</v>
      </c>
      <c r="CN357" s="128">
        <f t="shared" si="43"/>
        <v>4</v>
      </c>
      <c r="CO357" s="129">
        <f t="shared" si="44"/>
        <v>4</v>
      </c>
      <c r="CP357" s="129" t="str">
        <f>IFS(C357=Preferences!B$13,B357,B357=Preferences!B$13,C357)</f>
        <v>#N/A</v>
      </c>
    </row>
    <row r="358" ht="13.5" customHeight="1">
      <c r="A358" s="63" t="str">
        <f t="shared" si="45"/>
        <v/>
      </c>
      <c r="B358" s="64"/>
      <c r="C358" s="64"/>
      <c r="D358" s="64"/>
      <c r="E358" s="65"/>
      <c r="F358" s="65"/>
      <c r="G358" s="65"/>
      <c r="H358" s="66"/>
      <c r="I358" s="66"/>
      <c r="J358" s="67"/>
      <c r="K358" s="68"/>
      <c r="L358" s="104"/>
      <c r="M358" s="104"/>
      <c r="N358" s="104"/>
      <c r="O358" s="104"/>
      <c r="P358" s="107" t="str">
        <f t="shared" si="1"/>
        <v/>
      </c>
      <c r="Q358" s="108" t="str">
        <f>IFERROR(IF(AND(Preferences!B$3="Manual",OR(AX358/AW358&gt;G358/F358,BD358="Serious",BD358="Very serious")),"Assess imprecision",IFS(ISBLANK(E358),"",AND(Preferences!B$3="Automatic", G358/F358&gt;=30),"Extremely serious",AND(H358&lt;=$D$1*-1,J358&lt;0,G358/F358&lt;3),"Not serious",AND(H358&lt;=$D$1*-1,J358&lt;0,G358/F358&gt;=3),"Very serious",AND(H358&gt;=$D$1,I358&gt;0,G358/F358&lt;3),"Not serious",AND(H358&gt;=$D$1,I358&gt;0,G358/F358&gt;=3),"Very serious",AND(H358&lt;=$D$1*-1,J358&gt;0,I358&gt;$D$2*-1,G358/F358&lt;3),"Serious", AND(H358&lt;=$D$1*-1,J358&gt;0,I358&lt;$D$2*-1,G358/F358&lt;3),"Very serious", AND(H358&gt;=$D$1,I358&lt;0,J358&lt;$D$2,G358/F358&lt;3),"Serious",AND(H358&gt;=$D$1,I358&lt;0,J358&gt;$D$2,G358/F358&lt;3),"Very serious", AND(H358&lt;=$D$1*-1,J358&gt;0,I358&gt;$D$2*-1,G358/F358&gt;=3),"Very serious", AND(H358&lt;=$D$1*-1,J358&gt;0,I358&lt;$D$2*-1,G358/F358&gt;=3),"Very serious", AND(H358&gt;=$D$1,I358&lt;0,J358&lt;$D$2,G358/F358&gt;=3),"Very serious", AND(H358&gt;=$D$1,I358&lt;0,J358&gt;$D$2,G358/F358&gt;=3),"Very serious", AND(H358&gt;$D$1*-1,H358&lt;$D$1,I358&gt;$D$1*-1,J358&lt;$D$1,G358/F358&lt;3),"Not serious", AND(H358&gt;$D$1*-1,H358&lt;$D$1,OR(I358&lt;=$D$1*-1,J358&gt;=$D$1),I358&gt;$D$2*-1,J358&lt;$D$2,G358/F358&lt;3),"Serious", AND(H358&gt;$D$1*-1,H358&lt;$D$1,OR(I358&lt;=$D$2*-1,J358&gt;=$D$2),G358/F358&lt;3),"Very serious", AND(H358&gt;$D$1*-1,H358&lt;$D$1,I358&gt;$D$1*-1,J358&lt;$D$1,G358/F358&gt;=3),"Very serious", AND(H358&gt;$D$1*-1,H358&lt;$D$1,OR(I358&lt;=$D$1*-1,J358&gt;=$D$1),I358&gt;$D$2*-1,J358&lt;$D$2,G358/F358&gt;=3),"Very serious", AND(H358&gt;$D$1*-1,H358&lt;$D$1,OR(I358&lt;=$D$2*-1,J358&gt;=$D$2),G358/F358&gt;=3),"Very serious")),"")</f>
        <v/>
      </c>
      <c r="R358" s="109" t="str">
        <f t="shared" si="47"/>
        <v/>
      </c>
      <c r="S358" s="64"/>
      <c r="T358" s="72"/>
      <c r="U358" s="72"/>
      <c r="V358" s="72"/>
      <c r="W358" s="73"/>
      <c r="X358" s="73"/>
      <c r="Y358" s="74"/>
      <c r="Z358" s="113" t="str">
        <f t="array" ref="Z358">INDEX($A$1:$C$500, MATCH(1,($B:$B=$B358)*($C:$C=$AB358),0),1)</f>
        <v/>
      </c>
      <c r="AA358" s="113" t="str">
        <f t="array" ref="AA358">INDEX($A$1:$C$500, MATCH(1,($B:$B=$AB358)*($C:$C=$B358),0),1)</f>
        <v/>
      </c>
      <c r="AB358" s="111"/>
      <c r="AC358" s="114" t="str">
        <f t="shared" si="2"/>
        <v/>
      </c>
      <c r="AD358" s="115" t="str">
        <f t="shared" si="3"/>
        <v/>
      </c>
      <c r="AE358" s="116" t="str">
        <f t="array" ref="AE358">INDEX($A$1:$C$500, MATCH(1,($B:$B=$AB358)*($C:$C=$AG358),0),1)</f>
        <v/>
      </c>
      <c r="AF358" s="116" t="str">
        <f t="array" ref="AF358">INDEX($A$1:$C$500, MATCH(1,($B:$B=$AG358)*($C:$C=$AB358),0),1)</f>
        <v/>
      </c>
      <c r="AG358" s="72"/>
      <c r="AH358" s="114" t="str">
        <f t="shared" si="4"/>
        <v/>
      </c>
      <c r="AI358" s="115" t="str">
        <f t="shared" si="5"/>
        <v/>
      </c>
      <c r="AJ358" s="116" t="str">
        <f t="array" ref="AJ358">INDEX($A$1:$C$500, MATCH(1,($B:$B=$C358)*($C:$C=$AG358),0),1)</f>
        <v/>
      </c>
      <c r="AK358" s="116" t="str">
        <f t="array" ref="AK358">INDEX($A$1:$C$500, MATCH(1,($B:$B=$AG358)*($C:$C=$C358),0),1)</f>
        <v/>
      </c>
      <c r="AL358" s="116" t="str">
        <f t="array" ref="AL358">INDEX($A$1:$C$500, MATCH(1,($B:$B=$C358)*($C:$C=$AB358),0),1)</f>
        <v/>
      </c>
      <c r="AM358" s="116" t="str">
        <f t="array" ref="AM358">INDEX($A$1:$C$500, MATCH(1,($B:$B=$AB358)*($C:$C=$C358),0),1)</f>
        <v/>
      </c>
      <c r="AN358" s="114" t="str">
        <f t="array" ref="AN358">IFS(ISNUMBER(AJ358),AJ358,ISNUMBER(AK358),AK358,ISNUMBER(AL358),AL358,ISNUMBER(AM358),AM358)</f>
        <v>#N/A</v>
      </c>
      <c r="AO358" s="115" t="str">
        <f t="shared" si="6"/>
        <v/>
      </c>
      <c r="AP358" s="115" t="str">
        <f t="shared" si="7"/>
        <v/>
      </c>
      <c r="AQ358" s="111"/>
      <c r="AR358" s="109" t="str">
        <f t="shared" si="8"/>
        <v/>
      </c>
      <c r="AS358" s="72" t="str">
        <f>IFERROR(IF(AND(Preferences!B$3="Manual",OR(AX358/AW358&gt;V358/U358,BD358="Serious",BD358="Very serious")),"Assess imprecision",IFERROR(IFS(AND(Preferences!B$3="Automatic",V358/U358&gt;=30),"Extremely serious",AND(W358&lt;=$D$1*-1,Y358&lt;0,V358/U358&lt;3),"Not Serious",AND(W358&lt;=$D$1*-1,Y358&lt;0,V358/U358&gt;=3),"Very serious",AND(W358&gt;=$D$1,X358&gt;0,V358/U358&lt;3),"Not Serious",AND(W358&gt;=$D$1,X358&gt;0,V358/U358&gt;=3),"Very serious",AND(W358&lt;=$D$1*-1,Y358&gt;0,X358&gt;$D$2*-1,V358/U358&lt;3),"Serious", AND(W358&lt;=$D$1*-1,Y358&gt;0,X358&lt;$D$2*-1,V358/U358&lt;3),"Very serious", AND(W358&gt;=$D$1,X358&lt;0,Y358&lt;$D$2,V358/U358&lt;3),"Serious",AND(W358&gt;=$D$1,X358&lt;0,Y358&gt;$D$2,V358/U358&lt;3),"Very serious", AND(W358&lt;=$D$1*-1,Y358&gt;0,X358&gt;$D$2*-1,V358/U358&gt;=3),"Very serious", AND(W358&lt;=$D$1*-1,Y358&gt;0,X358&lt;$D$2*-1,V358/U358&gt;=3),"Very serious", AND(W358&gt;=$D$1,X358&lt;0,Y358&lt;$D$2,V358/U358&gt;=3),"Very serious", AND(W358&gt;=$D$1,X358&lt;0,Y358&gt;$D$2,V358/U358&gt;=3),"Very serious", AND(W358&gt;$D$1*-1,W358&lt;$D$1,X358&gt;$D$1*-1,Y358&lt;$D$1,V358/U358&lt;3),"Not Serious", AND(W358&gt;$D$1*-1,W358&lt;$D$1,OR(X358&lt;=$D$1*-1,Y358&gt;=$D$1),X358&gt;$D$2*-1,Y358&lt;$D$2,V358/U358&lt;3),"Serious", AND(W358&gt;$D$1*-1,W358&lt;$D$1,OR(X358&lt;=$D$2*-1,Y358&gt;=$D$2),V358/U358&lt;3),"Very serious", AND(W358&gt;$D$1*-1,W358&lt;$D$1,X358&gt;$D$1*-1,Y358&lt;$D$1,V358/U358&gt;=3),"Very serious", AND(W358&gt;$D$1*-1,W358&lt;$D$1,OR(X358&lt;=$D$1*-1,Y358&gt;=$D$1),X358&gt;$D$2*-1,Y358&lt;$D$2,V358/U358&gt;=3),"Very serious", AND(W358&gt;$D$1*-1,W358&lt;$D$1,OR(X358&lt;=$D$2*-1,Y358&gt;=$D$2),V358/U358&gt;=3),"Very serious"),"")),"")</f>
        <v/>
      </c>
      <c r="AT358" s="109" t="str">
        <f t="shared" si="9"/>
        <v/>
      </c>
      <c r="AU358" s="64"/>
      <c r="AV358" s="83"/>
      <c r="AW358" s="83"/>
      <c r="AX358" s="83"/>
      <c r="AY358" s="83"/>
      <c r="AZ358" s="83"/>
      <c r="BA358" s="85"/>
      <c r="BB358" s="86" t="str">
        <f>IF(Preferences!B$9="Manual","",IFS(ISBLANK(B358),"",AND(ISNUMBER(E358)=TRUE,ISNUMBER(T358)=FALSE),"Direct", AND(ISNUMBER(E358)=FALSE,ISNUMBER(T358)=TRUE),"Indirect", CN358=4,"Direct",AND(CL358=FALSE, CM358=TRUE,CN358-CO358&gt;-1),"Direct", AND(CL358=FALSE,CM358=TRUE, CN358-CO358&lt;0),"Check algorithm in appendix 2", AND(CL358=TRUE, CM358=FALSE,CN358-CO358&gt;0),"Check algorithm in appendix 2", AND(CL358=TRUE, CM358=FALSE,CN358-CO358=0),"Indirect", AND(CL358=TRUE, CM358=FALSE,CN358-CO358&lt;0),"Indirect", AND(CL358=FALSE,CM358=FALSE,CN358-CO358&gt;-1),"Direct", AND(CL358=FALSE,CM358=FALSE,CN358-CO358&lt;0),"Check algorithm in appendix 2", AND(CL358=TRUE,CM358=TRUE,CN358-CO358&gt;-1),"Direct", AND(CL358=TRUE,CM358=TRUE,CN358-CO358&lt;0),"Check algorithm in appendix 2"))</f>
        <v/>
      </c>
      <c r="BC358" s="120" t="str">
        <f t="shared" si="10"/>
        <v/>
      </c>
      <c r="BD358" s="140"/>
      <c r="BE358" s="122" t="str">
        <f>IF(Preferences!B$3="Manual","", IFERROR(IFS(AND(Preferences!B$3="Automatic",AX358/AW358&gt;=30),"Extremely serious",AND(AY358&lt;=$D$1*-1,BA358&lt;0,AX358/AW358&lt;3),"Not Serious",AND(AY358&lt;=$D$1*-1,BA358&lt;0,AX358/AW358&gt;=3),"Very serious",AND(AY358&gt;=$D$1,AZ358&gt;0,AX358/AW358&lt;3),"Not Serious",AND(AY358&gt;=$D$1,AZ358&gt;0,AX358/AW358&gt;=3),"Very serious",AND(AY358&lt;=$D$1*-1,BA358&gt;0,AZ358&gt;$D$2*-1,AX358/AW358&lt;3),"Serious", AND(AY358&lt;=$D$1*-1,BA358&gt;0,AZ358&lt;$D$2*-1,AX358/AW358&lt;3),"Very serious", AND(AY358&gt;=$D$1,AZ358&lt;0,BA358&lt;$D$2,AX358/AW358&lt;3),"Serious",AND(AY358&gt;=$D$1,AZ358&lt;0,BA358&gt;$D$2,AX358/AW358&lt;3),"Very serious", AND(AY358&lt;=$D$1*-1,BA358&gt;0,AZ358&gt;$D$2*-1,AX358/AW358&gt;=3),"Very serious", AND(AY358&lt;=$D$1*-1,BA358&gt;0,AZ358&lt;$D$2*-1,AX358/AW358&gt;=3),"Very serious", AND(AY358&gt;=$D$1,AZ358&lt;0,BA358&lt;$D$2,AX358/AW358&gt;=3),"Very serious", AND(AY358&gt;=$D$1,AZ358&lt;0,BA358&gt;$D$2,AX358/AW358&gt;=3),"Very serious", AND(AY358&gt;$D$1*-1,AY358&lt;$D$1,AZ358&gt;$D$1*-1,BA358&lt;$D$1,AX358/AW358&lt;3),"Not Serious", AND(AY358&gt;$D$1*-1,AY358&lt;$D$1,OR(AZ358&lt;=$D$1*-1,BA358&gt;=$D$1),AZ358&gt;$D$2*-1,BA358&lt;$D$2,AX358/AW358&lt;3),"Serious", AND(AY358&gt;$D$1*-1,AY358&lt;$D$1,OR(AZ358&lt;=$D$2*-1,BA358&gt;=$D$2),AX358/AW358&lt;3),"Very serious", AND(AY358&gt;$D$1*-1,AY358&lt;$D$1,AZ358&gt;$D$1*-1,BA358&lt;$D$1,AX358/AW358&gt;=3),"Very serious", AND(AY358&gt;$D$1*-1,AY358&lt;$D$1,OR(AZ358&lt;=$D$1*-1,BA358&gt;=$D$1),AZ358&gt;$D$2*-1,BA358&lt;$D$2,AX358/AW358&gt;=3),"Very serious", AND(AY358&gt;$D$1*-1,AY358&lt;$D$1,OR(AZ358&lt;=$D$2*-1,BA358&gt;=$D$2),AX358/AW358&gt;=3),"Very serious"),""))</f>
        <v/>
      </c>
      <c r="BF358" s="107" t="str">
        <f t="shared" si="11"/>
        <v/>
      </c>
      <c r="BG358" s="94" t="str">
        <f t="shared" si="46"/>
        <v/>
      </c>
      <c r="BH358" s="64" t="str">
        <f t="shared" si="12"/>
        <v>#N/A</v>
      </c>
      <c r="BI358" s="64" t="str">
        <f t="shared" si="13"/>
        <v/>
      </c>
      <c r="BJ358" s="123" t="str">
        <f t="shared" si="14"/>
        <v>#N/A</v>
      </c>
      <c r="BK358" s="64" t="str">
        <f t="shared" si="50"/>
        <v>YES</v>
      </c>
      <c r="BL358" s="64" t="str">
        <f t="shared" si="16"/>
        <v>YES</v>
      </c>
      <c r="BM358" s="64" t="str">
        <f t="shared" si="17"/>
        <v>YES</v>
      </c>
      <c r="BN358" s="124" t="str">
        <f t="shared" si="18"/>
        <v/>
      </c>
      <c r="BO358" s="91" t="str">
        <f t="shared" si="19"/>
        <v/>
      </c>
      <c r="BP358" s="91" t="str">
        <f t="shared" si="20"/>
        <v>#N/A</v>
      </c>
      <c r="BQ358" s="91" t="str">
        <f t="shared" si="21"/>
        <v/>
      </c>
      <c r="BR358" s="93" t="str">
        <f t="shared" si="22"/>
        <v/>
      </c>
      <c r="BS358" s="90" t="str">
        <f t="shared" si="23"/>
        <v/>
      </c>
      <c r="BT358" s="93" t="str">
        <f t="shared" si="24"/>
        <v>NA</v>
      </c>
      <c r="BU358" s="125" t="str">
        <f t="shared" si="25"/>
        <v>#N/A</v>
      </c>
      <c r="BV358" s="93" t="str">
        <f t="shared" si="26"/>
        <v/>
      </c>
      <c r="BW358" s="93" t="str">
        <f t="shared" si="27"/>
        <v/>
      </c>
      <c r="BX358" s="93" t="str">
        <f t="shared" si="28"/>
        <v>NA</v>
      </c>
      <c r="BY358" s="95" t="str">
        <f t="shared" si="29"/>
        <v>#N/A</v>
      </c>
      <c r="BZ358" s="93" t="str">
        <f t="shared" si="30"/>
        <v/>
      </c>
      <c r="CA358" s="93" t="str">
        <f t="shared" si="31"/>
        <v/>
      </c>
      <c r="CB358" s="93" t="str">
        <f t="shared" si="32"/>
        <v>NA</v>
      </c>
      <c r="CC358" s="96" t="str">
        <f t="shared" si="33"/>
        <v>#N/A</v>
      </c>
      <c r="CD358" s="93" t="str">
        <f t="shared" si="34"/>
        <v/>
      </c>
      <c r="CE358" s="93" t="str">
        <f t="shared" si="35"/>
        <v/>
      </c>
      <c r="CF358" s="93" t="str">
        <f t="shared" si="36"/>
        <v>NA</v>
      </c>
      <c r="CG358" s="97" t="str">
        <f t="shared" si="37"/>
        <v>#N/A</v>
      </c>
      <c r="CH358" s="98" t="str">
        <f t="shared" si="38"/>
        <v>#N/A</v>
      </c>
      <c r="CI358" s="99" t="str">
        <f t="shared" si="39"/>
        <v>#N/A</v>
      </c>
      <c r="CJ358" s="126" t="str">
        <f t="shared" si="40"/>
        <v>ERROR: check cell</v>
      </c>
      <c r="CK358" s="126"/>
      <c r="CL358" s="127" t="str">
        <f t="shared" si="41"/>
        <v>#DIV/0!</v>
      </c>
      <c r="CM358" s="128" t="str">
        <f t="shared" si="42"/>
        <v>#DIV/0!</v>
      </c>
      <c r="CN358" s="128">
        <f t="shared" si="43"/>
        <v>4</v>
      </c>
      <c r="CO358" s="129">
        <f t="shared" si="44"/>
        <v>4</v>
      </c>
      <c r="CP358" s="129" t="str">
        <f>IFS(C358=Preferences!B$13,B358,B358=Preferences!B$13,C358)</f>
        <v>#N/A</v>
      </c>
    </row>
    <row r="359" ht="13.5" customHeight="1">
      <c r="A359" s="63" t="str">
        <f t="shared" si="45"/>
        <v/>
      </c>
      <c r="B359" s="64"/>
      <c r="C359" s="64"/>
      <c r="D359" s="64"/>
      <c r="E359" s="65"/>
      <c r="F359" s="65"/>
      <c r="G359" s="65"/>
      <c r="H359" s="66"/>
      <c r="I359" s="66"/>
      <c r="J359" s="67"/>
      <c r="K359" s="68"/>
      <c r="L359" s="104"/>
      <c r="M359" s="104"/>
      <c r="N359" s="104"/>
      <c r="O359" s="104"/>
      <c r="P359" s="107" t="str">
        <f t="shared" si="1"/>
        <v/>
      </c>
      <c r="Q359" s="108" t="str">
        <f>IFERROR(IF(AND(Preferences!B$3="Manual",OR(AX359/AW359&gt;G359/F359,BD359="Serious",BD359="Very serious")),"Assess imprecision",IFS(ISBLANK(E359),"",AND(Preferences!B$3="Automatic", G359/F359&gt;=30),"Extremely serious",AND(H359&lt;=$D$1*-1,J359&lt;0,G359/F359&lt;3),"Not serious",AND(H359&lt;=$D$1*-1,J359&lt;0,G359/F359&gt;=3),"Very serious",AND(H359&gt;=$D$1,I359&gt;0,G359/F359&lt;3),"Not serious",AND(H359&gt;=$D$1,I359&gt;0,G359/F359&gt;=3),"Very serious",AND(H359&lt;=$D$1*-1,J359&gt;0,I359&gt;$D$2*-1,G359/F359&lt;3),"Serious", AND(H359&lt;=$D$1*-1,J359&gt;0,I359&lt;$D$2*-1,G359/F359&lt;3),"Very serious", AND(H359&gt;=$D$1,I359&lt;0,J359&lt;$D$2,G359/F359&lt;3),"Serious",AND(H359&gt;=$D$1,I359&lt;0,J359&gt;$D$2,G359/F359&lt;3),"Very serious", AND(H359&lt;=$D$1*-1,J359&gt;0,I359&gt;$D$2*-1,G359/F359&gt;=3),"Very serious", AND(H359&lt;=$D$1*-1,J359&gt;0,I359&lt;$D$2*-1,G359/F359&gt;=3),"Very serious", AND(H359&gt;=$D$1,I359&lt;0,J359&lt;$D$2,G359/F359&gt;=3),"Very serious", AND(H359&gt;=$D$1,I359&lt;0,J359&gt;$D$2,G359/F359&gt;=3),"Very serious", AND(H359&gt;$D$1*-1,H359&lt;$D$1,I359&gt;$D$1*-1,J359&lt;$D$1,G359/F359&lt;3),"Not serious", AND(H359&gt;$D$1*-1,H359&lt;$D$1,OR(I359&lt;=$D$1*-1,J359&gt;=$D$1),I359&gt;$D$2*-1,J359&lt;$D$2,G359/F359&lt;3),"Serious", AND(H359&gt;$D$1*-1,H359&lt;$D$1,OR(I359&lt;=$D$2*-1,J359&gt;=$D$2),G359/F359&lt;3),"Very serious", AND(H359&gt;$D$1*-1,H359&lt;$D$1,I359&gt;$D$1*-1,J359&lt;$D$1,G359/F359&gt;=3),"Very serious", AND(H359&gt;$D$1*-1,H359&lt;$D$1,OR(I359&lt;=$D$1*-1,J359&gt;=$D$1),I359&gt;$D$2*-1,J359&lt;$D$2,G359/F359&gt;=3),"Very serious", AND(H359&gt;$D$1*-1,H359&lt;$D$1,OR(I359&lt;=$D$2*-1,J359&gt;=$D$2),G359/F359&gt;=3),"Very serious")),"")</f>
        <v/>
      </c>
      <c r="R359" s="109" t="str">
        <f t="shared" si="47"/>
        <v/>
      </c>
      <c r="S359" s="64"/>
      <c r="T359" s="72"/>
      <c r="U359" s="72"/>
      <c r="V359" s="72"/>
      <c r="W359" s="73"/>
      <c r="X359" s="73"/>
      <c r="Y359" s="74"/>
      <c r="Z359" s="113" t="str">
        <f t="array" ref="Z359">INDEX($A$1:$C$500, MATCH(1,($B:$B=$B359)*($C:$C=$AB359),0),1)</f>
        <v/>
      </c>
      <c r="AA359" s="113" t="str">
        <f t="array" ref="AA359">INDEX($A$1:$C$500, MATCH(1,($B:$B=$AB359)*($C:$C=$B359),0),1)</f>
        <v/>
      </c>
      <c r="AB359" s="111"/>
      <c r="AC359" s="114" t="str">
        <f t="shared" si="2"/>
        <v/>
      </c>
      <c r="AD359" s="115" t="str">
        <f t="shared" si="3"/>
        <v/>
      </c>
      <c r="AE359" s="116" t="str">
        <f t="array" ref="AE359">INDEX($A$1:$C$500, MATCH(1,($B:$B=$AB359)*($C:$C=$AG359),0),1)</f>
        <v/>
      </c>
      <c r="AF359" s="116" t="str">
        <f t="array" ref="AF359">INDEX($A$1:$C$500, MATCH(1,($B:$B=$AG359)*($C:$C=$AB359),0),1)</f>
        <v/>
      </c>
      <c r="AG359" s="72"/>
      <c r="AH359" s="114" t="str">
        <f t="shared" si="4"/>
        <v/>
      </c>
      <c r="AI359" s="115" t="str">
        <f t="shared" si="5"/>
        <v/>
      </c>
      <c r="AJ359" s="116" t="str">
        <f t="array" ref="AJ359">INDEX($A$1:$C$500, MATCH(1,($B:$B=$C359)*($C:$C=$AG359),0),1)</f>
        <v/>
      </c>
      <c r="AK359" s="116" t="str">
        <f t="array" ref="AK359">INDEX($A$1:$C$500, MATCH(1,($B:$B=$AG359)*($C:$C=$C359),0),1)</f>
        <v/>
      </c>
      <c r="AL359" s="116" t="str">
        <f t="array" ref="AL359">INDEX($A$1:$C$500, MATCH(1,($B:$B=$C359)*($C:$C=$AB359),0),1)</f>
        <v/>
      </c>
      <c r="AM359" s="116" t="str">
        <f t="array" ref="AM359">INDEX($A$1:$C$500, MATCH(1,($B:$B=$AB359)*($C:$C=$C359),0),1)</f>
        <v/>
      </c>
      <c r="AN359" s="114" t="str">
        <f t="array" ref="AN359">IFS(ISNUMBER(AJ359),AJ359,ISNUMBER(AK359),AK359,ISNUMBER(AL359),AL359,ISNUMBER(AM359),AM359)</f>
        <v>#N/A</v>
      </c>
      <c r="AO359" s="115" t="str">
        <f t="shared" si="6"/>
        <v/>
      </c>
      <c r="AP359" s="115" t="str">
        <f t="shared" si="7"/>
        <v/>
      </c>
      <c r="AQ359" s="111"/>
      <c r="AR359" s="109" t="str">
        <f t="shared" si="8"/>
        <v/>
      </c>
      <c r="AS359" s="72" t="str">
        <f>IFERROR(IF(AND(Preferences!B$3="Manual",OR(AX359/AW359&gt;V359/U359,BD359="Serious",BD359="Very serious")),"Assess imprecision",IFERROR(IFS(AND(Preferences!B$3="Automatic",V359/U359&gt;=30),"Extremely serious",AND(W359&lt;=$D$1*-1,Y359&lt;0,V359/U359&lt;3),"Not Serious",AND(W359&lt;=$D$1*-1,Y359&lt;0,V359/U359&gt;=3),"Very serious",AND(W359&gt;=$D$1,X359&gt;0,V359/U359&lt;3),"Not Serious",AND(W359&gt;=$D$1,X359&gt;0,V359/U359&gt;=3),"Very serious",AND(W359&lt;=$D$1*-1,Y359&gt;0,X359&gt;$D$2*-1,V359/U359&lt;3),"Serious", AND(W359&lt;=$D$1*-1,Y359&gt;0,X359&lt;$D$2*-1,V359/U359&lt;3),"Very serious", AND(W359&gt;=$D$1,X359&lt;0,Y359&lt;$D$2,V359/U359&lt;3),"Serious",AND(W359&gt;=$D$1,X359&lt;0,Y359&gt;$D$2,V359/U359&lt;3),"Very serious", AND(W359&lt;=$D$1*-1,Y359&gt;0,X359&gt;$D$2*-1,V359/U359&gt;=3),"Very serious", AND(W359&lt;=$D$1*-1,Y359&gt;0,X359&lt;$D$2*-1,V359/U359&gt;=3),"Very serious", AND(W359&gt;=$D$1,X359&lt;0,Y359&lt;$D$2,V359/U359&gt;=3),"Very serious", AND(W359&gt;=$D$1,X359&lt;0,Y359&gt;$D$2,V359/U359&gt;=3),"Very serious", AND(W359&gt;$D$1*-1,W359&lt;$D$1,X359&gt;$D$1*-1,Y359&lt;$D$1,V359/U359&lt;3),"Not Serious", AND(W359&gt;$D$1*-1,W359&lt;$D$1,OR(X359&lt;=$D$1*-1,Y359&gt;=$D$1),X359&gt;$D$2*-1,Y359&lt;$D$2,V359/U359&lt;3),"Serious", AND(W359&gt;$D$1*-1,W359&lt;$D$1,OR(X359&lt;=$D$2*-1,Y359&gt;=$D$2),V359/U359&lt;3),"Very serious", AND(W359&gt;$D$1*-1,W359&lt;$D$1,X359&gt;$D$1*-1,Y359&lt;$D$1,V359/U359&gt;=3),"Very serious", AND(W359&gt;$D$1*-1,W359&lt;$D$1,OR(X359&lt;=$D$1*-1,Y359&gt;=$D$1),X359&gt;$D$2*-1,Y359&lt;$D$2,V359/U359&gt;=3),"Very serious", AND(W359&gt;$D$1*-1,W359&lt;$D$1,OR(X359&lt;=$D$2*-1,Y359&gt;=$D$2),V359/U359&gt;=3),"Very serious"),"")),"")</f>
        <v/>
      </c>
      <c r="AT359" s="109" t="str">
        <f t="shared" si="9"/>
        <v/>
      </c>
      <c r="AU359" s="64"/>
      <c r="AV359" s="83"/>
      <c r="AW359" s="83"/>
      <c r="AX359" s="83"/>
      <c r="AY359" s="83"/>
      <c r="AZ359" s="83"/>
      <c r="BA359" s="85"/>
      <c r="BB359" s="86" t="str">
        <f>IF(Preferences!B$9="Manual","",IFS(ISBLANK(B359),"",AND(ISNUMBER(E359)=TRUE,ISNUMBER(T359)=FALSE),"Direct", AND(ISNUMBER(E359)=FALSE,ISNUMBER(T359)=TRUE),"Indirect", CN359=4,"Direct",AND(CL359=FALSE, CM359=TRUE,CN359-CO359&gt;-1),"Direct", AND(CL359=FALSE,CM359=TRUE, CN359-CO359&lt;0),"Check algorithm in appendix 2", AND(CL359=TRUE, CM359=FALSE,CN359-CO359&gt;0),"Check algorithm in appendix 2", AND(CL359=TRUE, CM359=FALSE,CN359-CO359=0),"Indirect", AND(CL359=TRUE, CM359=FALSE,CN359-CO359&lt;0),"Indirect", AND(CL359=FALSE,CM359=FALSE,CN359-CO359&gt;-1),"Direct", AND(CL359=FALSE,CM359=FALSE,CN359-CO359&lt;0),"Check algorithm in appendix 2", AND(CL359=TRUE,CM359=TRUE,CN359-CO359&gt;-1),"Direct", AND(CL359=TRUE,CM359=TRUE,CN359-CO359&lt;0),"Check algorithm in appendix 2"))</f>
        <v/>
      </c>
      <c r="BC359" s="120" t="str">
        <f t="shared" si="10"/>
        <v/>
      </c>
      <c r="BD359" s="140"/>
      <c r="BE359" s="122" t="str">
        <f>IF(Preferences!B$3="Manual","", IFERROR(IFS(AND(Preferences!B$3="Automatic",AX359/AW359&gt;=30),"Extremely serious",AND(AY359&lt;=$D$1*-1,BA359&lt;0,AX359/AW359&lt;3),"Not Serious",AND(AY359&lt;=$D$1*-1,BA359&lt;0,AX359/AW359&gt;=3),"Very serious",AND(AY359&gt;=$D$1,AZ359&gt;0,AX359/AW359&lt;3),"Not Serious",AND(AY359&gt;=$D$1,AZ359&gt;0,AX359/AW359&gt;=3),"Very serious",AND(AY359&lt;=$D$1*-1,BA359&gt;0,AZ359&gt;$D$2*-1,AX359/AW359&lt;3),"Serious", AND(AY359&lt;=$D$1*-1,BA359&gt;0,AZ359&lt;$D$2*-1,AX359/AW359&lt;3),"Very serious", AND(AY359&gt;=$D$1,AZ359&lt;0,BA359&lt;$D$2,AX359/AW359&lt;3),"Serious",AND(AY359&gt;=$D$1,AZ359&lt;0,BA359&gt;$D$2,AX359/AW359&lt;3),"Very serious", AND(AY359&lt;=$D$1*-1,BA359&gt;0,AZ359&gt;$D$2*-1,AX359/AW359&gt;=3),"Very serious", AND(AY359&lt;=$D$1*-1,BA359&gt;0,AZ359&lt;$D$2*-1,AX359/AW359&gt;=3),"Very serious", AND(AY359&gt;=$D$1,AZ359&lt;0,BA359&lt;$D$2,AX359/AW359&gt;=3),"Very serious", AND(AY359&gt;=$D$1,AZ359&lt;0,BA359&gt;$D$2,AX359/AW359&gt;=3),"Very serious", AND(AY359&gt;$D$1*-1,AY359&lt;$D$1,AZ359&gt;$D$1*-1,BA359&lt;$D$1,AX359/AW359&lt;3),"Not Serious", AND(AY359&gt;$D$1*-1,AY359&lt;$D$1,OR(AZ359&lt;=$D$1*-1,BA359&gt;=$D$1),AZ359&gt;$D$2*-1,BA359&lt;$D$2,AX359/AW359&lt;3),"Serious", AND(AY359&gt;$D$1*-1,AY359&lt;$D$1,OR(AZ359&lt;=$D$2*-1,BA359&gt;=$D$2),AX359/AW359&lt;3),"Very serious", AND(AY359&gt;$D$1*-1,AY359&lt;$D$1,AZ359&gt;$D$1*-1,BA359&lt;$D$1,AX359/AW359&gt;=3),"Very serious", AND(AY359&gt;$D$1*-1,AY359&lt;$D$1,OR(AZ359&lt;=$D$1*-1,BA359&gt;=$D$1),AZ359&gt;$D$2*-1,BA359&lt;$D$2,AX359/AW359&gt;=3),"Very serious", AND(AY359&gt;$D$1*-1,AY359&lt;$D$1,OR(AZ359&lt;=$D$2*-1,BA359&gt;=$D$2),AX359/AW359&gt;=3),"Very serious"),""))</f>
        <v/>
      </c>
      <c r="BF359" s="107" t="str">
        <f t="shared" si="11"/>
        <v/>
      </c>
      <c r="BG359" s="94" t="str">
        <f t="shared" si="46"/>
        <v/>
      </c>
      <c r="BH359" s="64" t="str">
        <f t="shared" si="12"/>
        <v>#N/A</v>
      </c>
      <c r="BI359" s="64" t="str">
        <f t="shared" si="13"/>
        <v/>
      </c>
      <c r="BJ359" s="123" t="str">
        <f t="shared" si="14"/>
        <v>#N/A</v>
      </c>
      <c r="BK359" s="64" t="str">
        <f t="shared" si="50"/>
        <v>YES</v>
      </c>
      <c r="BL359" s="64" t="str">
        <f t="shared" si="16"/>
        <v>YES</v>
      </c>
      <c r="BM359" s="64" t="str">
        <f t="shared" si="17"/>
        <v>YES</v>
      </c>
      <c r="BN359" s="124" t="str">
        <f t="shared" si="18"/>
        <v/>
      </c>
      <c r="BO359" s="91" t="str">
        <f t="shared" si="19"/>
        <v/>
      </c>
      <c r="BP359" s="91" t="str">
        <f t="shared" si="20"/>
        <v>#N/A</v>
      </c>
      <c r="BQ359" s="91" t="str">
        <f t="shared" si="21"/>
        <v/>
      </c>
      <c r="BR359" s="93" t="str">
        <f t="shared" si="22"/>
        <v/>
      </c>
      <c r="BS359" s="90" t="str">
        <f t="shared" si="23"/>
        <v/>
      </c>
      <c r="BT359" s="93" t="str">
        <f t="shared" si="24"/>
        <v>NA</v>
      </c>
      <c r="BU359" s="125" t="str">
        <f t="shared" si="25"/>
        <v>#N/A</v>
      </c>
      <c r="BV359" s="93" t="str">
        <f t="shared" si="26"/>
        <v/>
      </c>
      <c r="BW359" s="93" t="str">
        <f t="shared" si="27"/>
        <v/>
      </c>
      <c r="BX359" s="93" t="str">
        <f t="shared" si="28"/>
        <v>NA</v>
      </c>
      <c r="BY359" s="95" t="str">
        <f t="shared" si="29"/>
        <v>#N/A</v>
      </c>
      <c r="BZ359" s="93" t="str">
        <f t="shared" si="30"/>
        <v/>
      </c>
      <c r="CA359" s="93" t="str">
        <f t="shared" si="31"/>
        <v/>
      </c>
      <c r="CB359" s="93" t="str">
        <f t="shared" si="32"/>
        <v>NA</v>
      </c>
      <c r="CC359" s="96" t="str">
        <f t="shared" si="33"/>
        <v>#N/A</v>
      </c>
      <c r="CD359" s="93" t="str">
        <f t="shared" si="34"/>
        <v/>
      </c>
      <c r="CE359" s="93" t="str">
        <f t="shared" si="35"/>
        <v/>
      </c>
      <c r="CF359" s="93" t="str">
        <f t="shared" si="36"/>
        <v>NA</v>
      </c>
      <c r="CG359" s="97" t="str">
        <f t="shared" si="37"/>
        <v>#N/A</v>
      </c>
      <c r="CH359" s="98" t="str">
        <f t="shared" si="38"/>
        <v>#N/A</v>
      </c>
      <c r="CI359" s="99" t="str">
        <f t="shared" si="39"/>
        <v>#N/A</v>
      </c>
      <c r="CJ359" s="126" t="str">
        <f t="shared" si="40"/>
        <v>ERROR: check cell</v>
      </c>
      <c r="CK359" s="126"/>
      <c r="CL359" s="127" t="str">
        <f t="shared" si="41"/>
        <v>#DIV/0!</v>
      </c>
      <c r="CM359" s="128" t="str">
        <f t="shared" si="42"/>
        <v>#DIV/0!</v>
      </c>
      <c r="CN359" s="128">
        <f t="shared" si="43"/>
        <v>4</v>
      </c>
      <c r="CO359" s="129">
        <f t="shared" si="44"/>
        <v>4</v>
      </c>
      <c r="CP359" s="129" t="str">
        <f>IFS(C359=Preferences!B$13,B359,B359=Preferences!B$13,C359)</f>
        <v>#N/A</v>
      </c>
    </row>
    <row r="360" ht="13.5" customHeight="1">
      <c r="A360" s="63" t="str">
        <f t="shared" si="45"/>
        <v/>
      </c>
      <c r="B360" s="64"/>
      <c r="C360" s="64"/>
      <c r="D360" s="64"/>
      <c r="E360" s="65"/>
      <c r="F360" s="65"/>
      <c r="G360" s="65"/>
      <c r="H360" s="66"/>
      <c r="I360" s="66"/>
      <c r="J360" s="67"/>
      <c r="K360" s="68"/>
      <c r="L360" s="104"/>
      <c r="M360" s="104"/>
      <c r="N360" s="104"/>
      <c r="O360" s="104"/>
      <c r="P360" s="107" t="str">
        <f t="shared" si="1"/>
        <v/>
      </c>
      <c r="Q360" s="108" t="str">
        <f>IFERROR(IF(AND(Preferences!B$3="Manual",OR(AX360/AW360&gt;G360/F360,BD360="Serious",BD360="Very serious")),"Assess imprecision",IFS(ISBLANK(E360),"",AND(Preferences!B$3="Automatic", G360/F360&gt;=30),"Extremely serious",AND(H360&lt;=$D$1*-1,J360&lt;0,G360/F360&lt;3),"Not serious",AND(H360&lt;=$D$1*-1,J360&lt;0,G360/F360&gt;=3),"Very serious",AND(H360&gt;=$D$1,I360&gt;0,G360/F360&lt;3),"Not serious",AND(H360&gt;=$D$1,I360&gt;0,G360/F360&gt;=3),"Very serious",AND(H360&lt;=$D$1*-1,J360&gt;0,I360&gt;$D$2*-1,G360/F360&lt;3),"Serious", AND(H360&lt;=$D$1*-1,J360&gt;0,I360&lt;$D$2*-1,G360/F360&lt;3),"Very serious", AND(H360&gt;=$D$1,I360&lt;0,J360&lt;$D$2,G360/F360&lt;3),"Serious",AND(H360&gt;=$D$1,I360&lt;0,J360&gt;$D$2,G360/F360&lt;3),"Very serious", AND(H360&lt;=$D$1*-1,J360&gt;0,I360&gt;$D$2*-1,G360/F360&gt;=3),"Very serious", AND(H360&lt;=$D$1*-1,J360&gt;0,I360&lt;$D$2*-1,G360/F360&gt;=3),"Very serious", AND(H360&gt;=$D$1,I360&lt;0,J360&lt;$D$2,G360/F360&gt;=3),"Very serious", AND(H360&gt;=$D$1,I360&lt;0,J360&gt;$D$2,G360/F360&gt;=3),"Very serious", AND(H360&gt;$D$1*-1,H360&lt;$D$1,I360&gt;$D$1*-1,J360&lt;$D$1,G360/F360&lt;3),"Not serious", AND(H360&gt;$D$1*-1,H360&lt;$D$1,OR(I360&lt;=$D$1*-1,J360&gt;=$D$1),I360&gt;$D$2*-1,J360&lt;$D$2,G360/F360&lt;3),"Serious", AND(H360&gt;$D$1*-1,H360&lt;$D$1,OR(I360&lt;=$D$2*-1,J360&gt;=$D$2),G360/F360&lt;3),"Very serious", AND(H360&gt;$D$1*-1,H360&lt;$D$1,I360&gt;$D$1*-1,J360&lt;$D$1,G360/F360&gt;=3),"Very serious", AND(H360&gt;$D$1*-1,H360&lt;$D$1,OR(I360&lt;=$D$1*-1,J360&gt;=$D$1),I360&gt;$D$2*-1,J360&lt;$D$2,G360/F360&gt;=3),"Very serious", AND(H360&gt;$D$1*-1,H360&lt;$D$1,OR(I360&lt;=$D$2*-1,J360&gt;=$D$2),G360/F360&gt;=3),"Very serious")),"")</f>
        <v/>
      </c>
      <c r="R360" s="109" t="str">
        <f t="shared" si="47"/>
        <v/>
      </c>
      <c r="S360" s="64"/>
      <c r="T360" s="72"/>
      <c r="U360" s="72"/>
      <c r="V360" s="72"/>
      <c r="W360" s="73"/>
      <c r="X360" s="73"/>
      <c r="Y360" s="74"/>
      <c r="Z360" s="113" t="str">
        <f t="array" ref="Z360">INDEX($A$1:$C$500, MATCH(1,($B:$B=$B360)*($C:$C=$AB360),0),1)</f>
        <v/>
      </c>
      <c r="AA360" s="113" t="str">
        <f t="array" ref="AA360">INDEX($A$1:$C$500, MATCH(1,($B:$B=$AB360)*($C:$C=$B360),0),1)</f>
        <v/>
      </c>
      <c r="AB360" s="111"/>
      <c r="AC360" s="114" t="str">
        <f t="shared" si="2"/>
        <v/>
      </c>
      <c r="AD360" s="115" t="str">
        <f t="shared" si="3"/>
        <v/>
      </c>
      <c r="AE360" s="116" t="str">
        <f t="array" ref="AE360">INDEX($A$1:$C$500, MATCH(1,($B:$B=$AB360)*($C:$C=$AG360),0),1)</f>
        <v/>
      </c>
      <c r="AF360" s="116" t="str">
        <f t="array" ref="AF360">INDEX($A$1:$C$500, MATCH(1,($B:$B=$AG360)*($C:$C=$AB360),0),1)</f>
        <v/>
      </c>
      <c r="AG360" s="72"/>
      <c r="AH360" s="114" t="str">
        <f t="shared" si="4"/>
        <v/>
      </c>
      <c r="AI360" s="115" t="str">
        <f t="shared" si="5"/>
        <v/>
      </c>
      <c r="AJ360" s="116" t="str">
        <f t="array" ref="AJ360">INDEX($A$1:$C$500, MATCH(1,($B:$B=$C360)*($C:$C=$AG360),0),1)</f>
        <v/>
      </c>
      <c r="AK360" s="116" t="str">
        <f t="array" ref="AK360">INDEX($A$1:$C$500, MATCH(1,($B:$B=$AG360)*($C:$C=$C360),0),1)</f>
        <v/>
      </c>
      <c r="AL360" s="116" t="str">
        <f t="array" ref="AL360">INDEX($A$1:$C$500, MATCH(1,($B:$B=$C360)*($C:$C=$AB360),0),1)</f>
        <v/>
      </c>
      <c r="AM360" s="116" t="str">
        <f t="array" ref="AM360">INDEX($A$1:$C$500, MATCH(1,($B:$B=$AB360)*($C:$C=$C360),0),1)</f>
        <v/>
      </c>
      <c r="AN360" s="114" t="str">
        <f t="array" ref="AN360">IFS(ISNUMBER(AJ360),AJ360,ISNUMBER(AK360),AK360,ISNUMBER(AL360),AL360,ISNUMBER(AM360),AM360)</f>
        <v>#N/A</v>
      </c>
      <c r="AO360" s="115" t="str">
        <f t="shared" si="6"/>
        <v/>
      </c>
      <c r="AP360" s="115" t="str">
        <f t="shared" si="7"/>
        <v/>
      </c>
      <c r="AQ360" s="111"/>
      <c r="AR360" s="109" t="str">
        <f t="shared" si="8"/>
        <v/>
      </c>
      <c r="AS360" s="72" t="str">
        <f>IFERROR(IF(AND(Preferences!B$3="Manual",OR(AX360/AW360&gt;V360/U360,BD360="Serious",BD360="Very serious")),"Assess imprecision",IFERROR(IFS(AND(Preferences!B$3="Automatic",V360/U360&gt;=30),"Extremely serious",AND(W360&lt;=$D$1*-1,Y360&lt;0,V360/U360&lt;3),"Not Serious",AND(W360&lt;=$D$1*-1,Y360&lt;0,V360/U360&gt;=3),"Very serious",AND(W360&gt;=$D$1,X360&gt;0,V360/U360&lt;3),"Not Serious",AND(W360&gt;=$D$1,X360&gt;0,V360/U360&gt;=3),"Very serious",AND(W360&lt;=$D$1*-1,Y360&gt;0,X360&gt;$D$2*-1,V360/U360&lt;3),"Serious", AND(W360&lt;=$D$1*-1,Y360&gt;0,X360&lt;$D$2*-1,V360/U360&lt;3),"Very serious", AND(W360&gt;=$D$1,X360&lt;0,Y360&lt;$D$2,V360/U360&lt;3),"Serious",AND(W360&gt;=$D$1,X360&lt;0,Y360&gt;$D$2,V360/U360&lt;3),"Very serious", AND(W360&lt;=$D$1*-1,Y360&gt;0,X360&gt;$D$2*-1,V360/U360&gt;=3),"Very serious", AND(W360&lt;=$D$1*-1,Y360&gt;0,X360&lt;$D$2*-1,V360/U360&gt;=3),"Very serious", AND(W360&gt;=$D$1,X360&lt;0,Y360&lt;$D$2,V360/U360&gt;=3),"Very serious", AND(W360&gt;=$D$1,X360&lt;0,Y360&gt;$D$2,V360/U360&gt;=3),"Very serious", AND(W360&gt;$D$1*-1,W360&lt;$D$1,X360&gt;$D$1*-1,Y360&lt;$D$1,V360/U360&lt;3),"Not Serious", AND(W360&gt;$D$1*-1,W360&lt;$D$1,OR(X360&lt;=$D$1*-1,Y360&gt;=$D$1),X360&gt;$D$2*-1,Y360&lt;$D$2,V360/U360&lt;3),"Serious", AND(W360&gt;$D$1*-1,W360&lt;$D$1,OR(X360&lt;=$D$2*-1,Y360&gt;=$D$2),V360/U360&lt;3),"Very serious", AND(W360&gt;$D$1*-1,W360&lt;$D$1,X360&gt;$D$1*-1,Y360&lt;$D$1,V360/U360&gt;=3),"Very serious", AND(W360&gt;$D$1*-1,W360&lt;$D$1,OR(X360&lt;=$D$1*-1,Y360&gt;=$D$1),X360&gt;$D$2*-1,Y360&lt;$D$2,V360/U360&gt;=3),"Very serious", AND(W360&gt;$D$1*-1,W360&lt;$D$1,OR(X360&lt;=$D$2*-1,Y360&gt;=$D$2),V360/U360&gt;=3),"Very serious"),"")),"")</f>
        <v/>
      </c>
      <c r="AT360" s="109" t="str">
        <f t="shared" si="9"/>
        <v/>
      </c>
      <c r="AU360" s="64"/>
      <c r="AV360" s="83"/>
      <c r="AW360" s="83"/>
      <c r="AX360" s="83"/>
      <c r="AY360" s="83"/>
      <c r="AZ360" s="83"/>
      <c r="BA360" s="85"/>
      <c r="BB360" s="86" t="str">
        <f>IF(Preferences!B$9="Manual","",IFS(ISBLANK(B360),"",AND(ISNUMBER(E360)=TRUE,ISNUMBER(T360)=FALSE),"Direct", AND(ISNUMBER(E360)=FALSE,ISNUMBER(T360)=TRUE),"Indirect", CN360=4,"Direct",AND(CL360=FALSE, CM360=TRUE,CN360-CO360&gt;-1),"Direct", AND(CL360=FALSE,CM360=TRUE, CN360-CO360&lt;0),"Check algorithm in appendix 2", AND(CL360=TRUE, CM360=FALSE,CN360-CO360&gt;0),"Check algorithm in appendix 2", AND(CL360=TRUE, CM360=FALSE,CN360-CO360=0),"Indirect", AND(CL360=TRUE, CM360=FALSE,CN360-CO360&lt;0),"Indirect", AND(CL360=FALSE,CM360=FALSE,CN360-CO360&gt;-1),"Direct", AND(CL360=FALSE,CM360=FALSE,CN360-CO360&lt;0),"Check algorithm in appendix 2", AND(CL360=TRUE,CM360=TRUE,CN360-CO360&gt;-1),"Direct", AND(CL360=TRUE,CM360=TRUE,CN360-CO360&lt;0),"Check algorithm in appendix 2"))</f>
        <v/>
      </c>
      <c r="BC360" s="120" t="str">
        <f t="shared" si="10"/>
        <v/>
      </c>
      <c r="BD360" s="140"/>
      <c r="BE360" s="122" t="str">
        <f>IF(Preferences!B$3="Manual","", IFERROR(IFS(AND(Preferences!B$3="Automatic",AX360/AW360&gt;=30),"Extremely serious",AND(AY360&lt;=$D$1*-1,BA360&lt;0,AX360/AW360&lt;3),"Not Serious",AND(AY360&lt;=$D$1*-1,BA360&lt;0,AX360/AW360&gt;=3),"Very serious",AND(AY360&gt;=$D$1,AZ360&gt;0,AX360/AW360&lt;3),"Not Serious",AND(AY360&gt;=$D$1,AZ360&gt;0,AX360/AW360&gt;=3),"Very serious",AND(AY360&lt;=$D$1*-1,BA360&gt;0,AZ360&gt;$D$2*-1,AX360/AW360&lt;3),"Serious", AND(AY360&lt;=$D$1*-1,BA360&gt;0,AZ360&lt;$D$2*-1,AX360/AW360&lt;3),"Very serious", AND(AY360&gt;=$D$1,AZ360&lt;0,BA360&lt;$D$2,AX360/AW360&lt;3),"Serious",AND(AY360&gt;=$D$1,AZ360&lt;0,BA360&gt;$D$2,AX360/AW360&lt;3),"Very serious", AND(AY360&lt;=$D$1*-1,BA360&gt;0,AZ360&gt;$D$2*-1,AX360/AW360&gt;=3),"Very serious", AND(AY360&lt;=$D$1*-1,BA360&gt;0,AZ360&lt;$D$2*-1,AX360/AW360&gt;=3),"Very serious", AND(AY360&gt;=$D$1,AZ360&lt;0,BA360&lt;$D$2,AX360/AW360&gt;=3),"Very serious", AND(AY360&gt;=$D$1,AZ360&lt;0,BA360&gt;$D$2,AX360/AW360&gt;=3),"Very serious", AND(AY360&gt;$D$1*-1,AY360&lt;$D$1,AZ360&gt;$D$1*-1,BA360&lt;$D$1,AX360/AW360&lt;3),"Not Serious", AND(AY360&gt;$D$1*-1,AY360&lt;$D$1,OR(AZ360&lt;=$D$1*-1,BA360&gt;=$D$1),AZ360&gt;$D$2*-1,BA360&lt;$D$2,AX360/AW360&lt;3),"Serious", AND(AY360&gt;$D$1*-1,AY360&lt;$D$1,OR(AZ360&lt;=$D$2*-1,BA360&gt;=$D$2),AX360/AW360&lt;3),"Very serious", AND(AY360&gt;$D$1*-1,AY360&lt;$D$1,AZ360&gt;$D$1*-1,BA360&lt;$D$1,AX360/AW360&gt;=3),"Very serious", AND(AY360&gt;$D$1*-1,AY360&lt;$D$1,OR(AZ360&lt;=$D$1*-1,BA360&gt;=$D$1),AZ360&gt;$D$2*-1,BA360&lt;$D$2,AX360/AW360&gt;=3),"Very serious", AND(AY360&gt;$D$1*-1,AY360&lt;$D$1,OR(AZ360&lt;=$D$2*-1,BA360&gt;=$D$2),AX360/AW360&gt;=3),"Very serious"),""))</f>
        <v/>
      </c>
      <c r="BF360" s="107" t="str">
        <f t="shared" si="11"/>
        <v/>
      </c>
      <c r="BG360" s="94" t="str">
        <f t="shared" si="46"/>
        <v/>
      </c>
      <c r="BH360" s="64" t="str">
        <f t="shared" si="12"/>
        <v>#N/A</v>
      </c>
      <c r="BI360" s="64" t="str">
        <f t="shared" si="13"/>
        <v/>
      </c>
      <c r="BJ360" s="123" t="str">
        <f t="shared" si="14"/>
        <v>#N/A</v>
      </c>
      <c r="BK360" s="64" t="str">
        <f t="shared" si="50"/>
        <v>YES</v>
      </c>
      <c r="BL360" s="64" t="str">
        <f t="shared" si="16"/>
        <v>YES</v>
      </c>
      <c r="BM360" s="64" t="str">
        <f t="shared" si="17"/>
        <v>YES</v>
      </c>
      <c r="BN360" s="124" t="str">
        <f t="shared" si="18"/>
        <v/>
      </c>
      <c r="BO360" s="91" t="str">
        <f t="shared" si="19"/>
        <v/>
      </c>
      <c r="BP360" s="91" t="str">
        <f t="shared" si="20"/>
        <v>#N/A</v>
      </c>
      <c r="BQ360" s="91" t="str">
        <f t="shared" si="21"/>
        <v/>
      </c>
      <c r="BR360" s="93" t="str">
        <f t="shared" si="22"/>
        <v/>
      </c>
      <c r="BS360" s="90" t="str">
        <f t="shared" si="23"/>
        <v/>
      </c>
      <c r="BT360" s="93" t="str">
        <f t="shared" si="24"/>
        <v>NA</v>
      </c>
      <c r="BU360" s="125" t="str">
        <f t="shared" si="25"/>
        <v>#N/A</v>
      </c>
      <c r="BV360" s="93" t="str">
        <f t="shared" si="26"/>
        <v/>
      </c>
      <c r="BW360" s="93" t="str">
        <f t="shared" si="27"/>
        <v/>
      </c>
      <c r="BX360" s="93" t="str">
        <f t="shared" si="28"/>
        <v>NA</v>
      </c>
      <c r="BY360" s="95" t="str">
        <f t="shared" si="29"/>
        <v>#N/A</v>
      </c>
      <c r="BZ360" s="93" t="str">
        <f t="shared" si="30"/>
        <v/>
      </c>
      <c r="CA360" s="93" t="str">
        <f t="shared" si="31"/>
        <v/>
      </c>
      <c r="CB360" s="93" t="str">
        <f t="shared" si="32"/>
        <v>NA</v>
      </c>
      <c r="CC360" s="96" t="str">
        <f t="shared" si="33"/>
        <v>#N/A</v>
      </c>
      <c r="CD360" s="93" t="str">
        <f t="shared" si="34"/>
        <v/>
      </c>
      <c r="CE360" s="93" t="str">
        <f t="shared" si="35"/>
        <v/>
      </c>
      <c r="CF360" s="93" t="str">
        <f t="shared" si="36"/>
        <v>NA</v>
      </c>
      <c r="CG360" s="97" t="str">
        <f t="shared" si="37"/>
        <v>#N/A</v>
      </c>
      <c r="CH360" s="98" t="str">
        <f t="shared" si="38"/>
        <v>#N/A</v>
      </c>
      <c r="CI360" s="99" t="str">
        <f t="shared" si="39"/>
        <v>#N/A</v>
      </c>
      <c r="CJ360" s="126" t="str">
        <f t="shared" si="40"/>
        <v>ERROR: check cell</v>
      </c>
      <c r="CK360" s="126"/>
      <c r="CL360" s="127" t="str">
        <f t="shared" si="41"/>
        <v>#DIV/0!</v>
      </c>
      <c r="CM360" s="128" t="str">
        <f t="shared" si="42"/>
        <v>#DIV/0!</v>
      </c>
      <c r="CN360" s="128">
        <f t="shared" si="43"/>
        <v>4</v>
      </c>
      <c r="CO360" s="129">
        <f t="shared" si="44"/>
        <v>4</v>
      </c>
      <c r="CP360" s="129" t="str">
        <f>IFS(C360=Preferences!B$13,B360,B360=Preferences!B$13,C360)</f>
        <v>#N/A</v>
      </c>
    </row>
    <row r="361" ht="13.5" customHeight="1">
      <c r="A361" s="63" t="str">
        <f t="shared" si="45"/>
        <v/>
      </c>
      <c r="B361" s="64"/>
      <c r="C361" s="64"/>
      <c r="D361" s="64"/>
      <c r="E361" s="65"/>
      <c r="F361" s="65"/>
      <c r="G361" s="65"/>
      <c r="H361" s="66"/>
      <c r="I361" s="66"/>
      <c r="J361" s="67"/>
      <c r="K361" s="68"/>
      <c r="L361" s="104"/>
      <c r="M361" s="104"/>
      <c r="N361" s="104"/>
      <c r="O361" s="104"/>
      <c r="P361" s="107" t="str">
        <f t="shared" si="1"/>
        <v/>
      </c>
      <c r="Q361" s="108" t="str">
        <f>IFERROR(IF(AND(Preferences!B$3="Manual",OR(AX361/AW361&gt;G361/F361,BD361="Serious",BD361="Very serious")),"Assess imprecision",IFS(ISBLANK(E361),"",AND(Preferences!B$3="Automatic", G361/F361&gt;=30),"Extremely serious",AND(H361&lt;=$D$1*-1,J361&lt;0,G361/F361&lt;3),"Not serious",AND(H361&lt;=$D$1*-1,J361&lt;0,G361/F361&gt;=3),"Very serious",AND(H361&gt;=$D$1,I361&gt;0,G361/F361&lt;3),"Not serious",AND(H361&gt;=$D$1,I361&gt;0,G361/F361&gt;=3),"Very serious",AND(H361&lt;=$D$1*-1,J361&gt;0,I361&gt;$D$2*-1,G361/F361&lt;3),"Serious", AND(H361&lt;=$D$1*-1,J361&gt;0,I361&lt;$D$2*-1,G361/F361&lt;3),"Very serious", AND(H361&gt;=$D$1,I361&lt;0,J361&lt;$D$2,G361/F361&lt;3),"Serious",AND(H361&gt;=$D$1,I361&lt;0,J361&gt;$D$2,G361/F361&lt;3),"Very serious", AND(H361&lt;=$D$1*-1,J361&gt;0,I361&gt;$D$2*-1,G361/F361&gt;=3),"Very serious", AND(H361&lt;=$D$1*-1,J361&gt;0,I361&lt;$D$2*-1,G361/F361&gt;=3),"Very serious", AND(H361&gt;=$D$1,I361&lt;0,J361&lt;$D$2,G361/F361&gt;=3),"Very serious", AND(H361&gt;=$D$1,I361&lt;0,J361&gt;$D$2,G361/F361&gt;=3),"Very serious", AND(H361&gt;$D$1*-1,H361&lt;$D$1,I361&gt;$D$1*-1,J361&lt;$D$1,G361/F361&lt;3),"Not serious", AND(H361&gt;$D$1*-1,H361&lt;$D$1,OR(I361&lt;=$D$1*-1,J361&gt;=$D$1),I361&gt;$D$2*-1,J361&lt;$D$2,G361/F361&lt;3),"Serious", AND(H361&gt;$D$1*-1,H361&lt;$D$1,OR(I361&lt;=$D$2*-1,J361&gt;=$D$2),G361/F361&lt;3),"Very serious", AND(H361&gt;$D$1*-1,H361&lt;$D$1,I361&gt;$D$1*-1,J361&lt;$D$1,G361/F361&gt;=3),"Very serious", AND(H361&gt;$D$1*-1,H361&lt;$D$1,OR(I361&lt;=$D$1*-1,J361&gt;=$D$1),I361&gt;$D$2*-1,J361&lt;$D$2,G361/F361&gt;=3),"Very serious", AND(H361&gt;$D$1*-1,H361&lt;$D$1,OR(I361&lt;=$D$2*-1,J361&gt;=$D$2),G361/F361&gt;=3),"Very serious")),"")</f>
        <v/>
      </c>
      <c r="R361" s="109" t="str">
        <f t="shared" si="47"/>
        <v/>
      </c>
      <c r="S361" s="64"/>
      <c r="T361" s="72"/>
      <c r="U361" s="72"/>
      <c r="V361" s="72"/>
      <c r="W361" s="73"/>
      <c r="X361" s="73"/>
      <c r="Y361" s="74"/>
      <c r="Z361" s="113" t="str">
        <f t="array" ref="Z361">INDEX($A$1:$C$500, MATCH(1,($B:$B=$B361)*($C:$C=$AB361),0),1)</f>
        <v/>
      </c>
      <c r="AA361" s="113" t="str">
        <f t="array" ref="AA361">INDEX($A$1:$C$500, MATCH(1,($B:$B=$AB361)*($C:$C=$B361),0),1)</f>
        <v/>
      </c>
      <c r="AB361" s="111"/>
      <c r="AC361" s="114" t="str">
        <f t="shared" si="2"/>
        <v/>
      </c>
      <c r="AD361" s="115" t="str">
        <f t="shared" si="3"/>
        <v/>
      </c>
      <c r="AE361" s="116" t="str">
        <f t="array" ref="AE361">INDEX($A$1:$C$500, MATCH(1,($B:$B=$AB361)*($C:$C=$AG361),0),1)</f>
        <v/>
      </c>
      <c r="AF361" s="116" t="str">
        <f t="array" ref="AF361">INDEX($A$1:$C$500, MATCH(1,($B:$B=$AG361)*($C:$C=$AB361),0),1)</f>
        <v/>
      </c>
      <c r="AG361" s="72"/>
      <c r="AH361" s="114" t="str">
        <f t="shared" si="4"/>
        <v/>
      </c>
      <c r="AI361" s="115" t="str">
        <f t="shared" si="5"/>
        <v/>
      </c>
      <c r="AJ361" s="116" t="str">
        <f t="array" ref="AJ361">INDEX($A$1:$C$500, MATCH(1,($B:$B=$C361)*($C:$C=$AG361),0),1)</f>
        <v/>
      </c>
      <c r="AK361" s="116" t="str">
        <f t="array" ref="AK361">INDEX($A$1:$C$500, MATCH(1,($B:$B=$AG361)*($C:$C=$C361),0),1)</f>
        <v/>
      </c>
      <c r="AL361" s="116" t="str">
        <f t="array" ref="AL361">INDEX($A$1:$C$500, MATCH(1,($B:$B=$C361)*($C:$C=$AB361),0),1)</f>
        <v/>
      </c>
      <c r="AM361" s="116" t="str">
        <f t="array" ref="AM361">INDEX($A$1:$C$500, MATCH(1,($B:$B=$AB361)*($C:$C=$C361),0),1)</f>
        <v/>
      </c>
      <c r="AN361" s="114" t="str">
        <f t="array" ref="AN361">IFS(ISNUMBER(AJ361),AJ361,ISNUMBER(AK361),AK361,ISNUMBER(AL361),AL361,ISNUMBER(AM361),AM361)</f>
        <v>#N/A</v>
      </c>
      <c r="AO361" s="115" t="str">
        <f t="shared" si="6"/>
        <v/>
      </c>
      <c r="AP361" s="115" t="str">
        <f t="shared" si="7"/>
        <v/>
      </c>
      <c r="AQ361" s="111"/>
      <c r="AR361" s="109" t="str">
        <f t="shared" si="8"/>
        <v/>
      </c>
      <c r="AS361" s="72" t="str">
        <f>IFERROR(IF(AND(Preferences!B$3="Manual",OR(AX361/AW361&gt;V361/U361,BD361="Serious",BD361="Very serious")),"Assess imprecision",IFERROR(IFS(AND(Preferences!B$3="Automatic",V361/U361&gt;=30),"Extremely serious",AND(W361&lt;=$D$1*-1,Y361&lt;0,V361/U361&lt;3),"Not Serious",AND(W361&lt;=$D$1*-1,Y361&lt;0,V361/U361&gt;=3),"Very serious",AND(W361&gt;=$D$1,X361&gt;0,V361/U361&lt;3),"Not Serious",AND(W361&gt;=$D$1,X361&gt;0,V361/U361&gt;=3),"Very serious",AND(W361&lt;=$D$1*-1,Y361&gt;0,X361&gt;$D$2*-1,V361/U361&lt;3),"Serious", AND(W361&lt;=$D$1*-1,Y361&gt;0,X361&lt;$D$2*-1,V361/U361&lt;3),"Very serious", AND(W361&gt;=$D$1,X361&lt;0,Y361&lt;$D$2,V361/U361&lt;3),"Serious",AND(W361&gt;=$D$1,X361&lt;0,Y361&gt;$D$2,V361/U361&lt;3),"Very serious", AND(W361&lt;=$D$1*-1,Y361&gt;0,X361&gt;$D$2*-1,V361/U361&gt;=3),"Very serious", AND(W361&lt;=$D$1*-1,Y361&gt;0,X361&lt;$D$2*-1,V361/U361&gt;=3),"Very serious", AND(W361&gt;=$D$1,X361&lt;0,Y361&lt;$D$2,V361/U361&gt;=3),"Very serious", AND(W361&gt;=$D$1,X361&lt;0,Y361&gt;$D$2,V361/U361&gt;=3),"Very serious", AND(W361&gt;$D$1*-1,W361&lt;$D$1,X361&gt;$D$1*-1,Y361&lt;$D$1,V361/U361&lt;3),"Not Serious", AND(W361&gt;$D$1*-1,W361&lt;$D$1,OR(X361&lt;=$D$1*-1,Y361&gt;=$D$1),X361&gt;$D$2*-1,Y361&lt;$D$2,V361/U361&lt;3),"Serious", AND(W361&gt;$D$1*-1,W361&lt;$D$1,OR(X361&lt;=$D$2*-1,Y361&gt;=$D$2),V361/U361&lt;3),"Very serious", AND(W361&gt;$D$1*-1,W361&lt;$D$1,X361&gt;$D$1*-1,Y361&lt;$D$1,V361/U361&gt;=3),"Very serious", AND(W361&gt;$D$1*-1,W361&lt;$D$1,OR(X361&lt;=$D$1*-1,Y361&gt;=$D$1),X361&gt;$D$2*-1,Y361&lt;$D$2,V361/U361&gt;=3),"Very serious", AND(W361&gt;$D$1*-1,W361&lt;$D$1,OR(X361&lt;=$D$2*-1,Y361&gt;=$D$2),V361/U361&gt;=3),"Very serious"),"")),"")</f>
        <v/>
      </c>
      <c r="AT361" s="109" t="str">
        <f t="shared" si="9"/>
        <v/>
      </c>
      <c r="AU361" s="64"/>
      <c r="AV361" s="83"/>
      <c r="AW361" s="83"/>
      <c r="AX361" s="83"/>
      <c r="AY361" s="83"/>
      <c r="AZ361" s="83"/>
      <c r="BA361" s="85"/>
      <c r="BB361" s="86" t="str">
        <f>IF(Preferences!B$9="Manual","",IFS(ISBLANK(B361),"",AND(ISNUMBER(E361)=TRUE,ISNUMBER(T361)=FALSE),"Direct", AND(ISNUMBER(E361)=FALSE,ISNUMBER(T361)=TRUE),"Indirect", CN361=4,"Direct",AND(CL361=FALSE, CM361=TRUE,CN361-CO361&gt;-1),"Direct", AND(CL361=FALSE,CM361=TRUE, CN361-CO361&lt;0),"Check algorithm in appendix 2", AND(CL361=TRUE, CM361=FALSE,CN361-CO361&gt;0),"Check algorithm in appendix 2", AND(CL361=TRUE, CM361=FALSE,CN361-CO361=0),"Indirect", AND(CL361=TRUE, CM361=FALSE,CN361-CO361&lt;0),"Indirect", AND(CL361=FALSE,CM361=FALSE,CN361-CO361&gt;-1),"Direct", AND(CL361=FALSE,CM361=FALSE,CN361-CO361&lt;0),"Check algorithm in appendix 2", AND(CL361=TRUE,CM361=TRUE,CN361-CO361&gt;-1),"Direct", AND(CL361=TRUE,CM361=TRUE,CN361-CO361&lt;0),"Check algorithm in appendix 2"))</f>
        <v/>
      </c>
      <c r="BC361" s="120" t="str">
        <f t="shared" si="10"/>
        <v/>
      </c>
      <c r="BD361" s="140"/>
      <c r="BE361" s="122" t="str">
        <f>IF(Preferences!B$3="Manual","", IFERROR(IFS(AND(Preferences!B$3="Automatic",AX361/AW361&gt;=30),"Extremely serious",AND(AY361&lt;=$D$1*-1,BA361&lt;0,AX361/AW361&lt;3),"Not Serious",AND(AY361&lt;=$D$1*-1,BA361&lt;0,AX361/AW361&gt;=3),"Very serious",AND(AY361&gt;=$D$1,AZ361&gt;0,AX361/AW361&lt;3),"Not Serious",AND(AY361&gt;=$D$1,AZ361&gt;0,AX361/AW361&gt;=3),"Very serious",AND(AY361&lt;=$D$1*-1,BA361&gt;0,AZ361&gt;$D$2*-1,AX361/AW361&lt;3),"Serious", AND(AY361&lt;=$D$1*-1,BA361&gt;0,AZ361&lt;$D$2*-1,AX361/AW361&lt;3),"Very serious", AND(AY361&gt;=$D$1,AZ361&lt;0,BA361&lt;$D$2,AX361/AW361&lt;3),"Serious",AND(AY361&gt;=$D$1,AZ361&lt;0,BA361&gt;$D$2,AX361/AW361&lt;3),"Very serious", AND(AY361&lt;=$D$1*-1,BA361&gt;0,AZ361&gt;$D$2*-1,AX361/AW361&gt;=3),"Very serious", AND(AY361&lt;=$D$1*-1,BA361&gt;0,AZ361&lt;$D$2*-1,AX361/AW361&gt;=3),"Very serious", AND(AY361&gt;=$D$1,AZ361&lt;0,BA361&lt;$D$2,AX361/AW361&gt;=3),"Very serious", AND(AY361&gt;=$D$1,AZ361&lt;0,BA361&gt;$D$2,AX361/AW361&gt;=3),"Very serious", AND(AY361&gt;$D$1*-1,AY361&lt;$D$1,AZ361&gt;$D$1*-1,BA361&lt;$D$1,AX361/AW361&lt;3),"Not Serious", AND(AY361&gt;$D$1*-1,AY361&lt;$D$1,OR(AZ361&lt;=$D$1*-1,BA361&gt;=$D$1),AZ361&gt;$D$2*-1,BA361&lt;$D$2,AX361/AW361&lt;3),"Serious", AND(AY361&gt;$D$1*-1,AY361&lt;$D$1,OR(AZ361&lt;=$D$2*-1,BA361&gt;=$D$2),AX361/AW361&lt;3),"Very serious", AND(AY361&gt;$D$1*-1,AY361&lt;$D$1,AZ361&gt;$D$1*-1,BA361&lt;$D$1,AX361/AW361&gt;=3),"Very serious", AND(AY361&gt;$D$1*-1,AY361&lt;$D$1,OR(AZ361&lt;=$D$1*-1,BA361&gt;=$D$1),AZ361&gt;$D$2*-1,BA361&lt;$D$2,AX361/AW361&gt;=3),"Very serious", AND(AY361&gt;$D$1*-1,AY361&lt;$D$1,OR(AZ361&lt;=$D$2*-1,BA361&gt;=$D$2),AX361/AW361&gt;=3),"Very serious"),""))</f>
        <v/>
      </c>
      <c r="BF361" s="107" t="str">
        <f t="shared" si="11"/>
        <v/>
      </c>
      <c r="BG361" s="94" t="str">
        <f t="shared" si="46"/>
        <v/>
      </c>
      <c r="BH361" s="64" t="str">
        <f t="shared" si="12"/>
        <v>#N/A</v>
      </c>
      <c r="BI361" s="64" t="str">
        <f t="shared" si="13"/>
        <v/>
      </c>
      <c r="BJ361" s="123" t="str">
        <f t="shared" si="14"/>
        <v>#N/A</v>
      </c>
      <c r="BK361" s="64" t="str">
        <f t="shared" si="50"/>
        <v>YES</v>
      </c>
      <c r="BL361" s="64" t="str">
        <f t="shared" si="16"/>
        <v>YES</v>
      </c>
      <c r="BM361" s="64" t="str">
        <f t="shared" si="17"/>
        <v>YES</v>
      </c>
      <c r="BN361" s="124" t="str">
        <f t="shared" si="18"/>
        <v/>
      </c>
      <c r="BO361" s="91" t="str">
        <f t="shared" si="19"/>
        <v/>
      </c>
      <c r="BP361" s="91" t="str">
        <f t="shared" si="20"/>
        <v>#N/A</v>
      </c>
      <c r="BQ361" s="91" t="str">
        <f t="shared" si="21"/>
        <v/>
      </c>
      <c r="BR361" s="93" t="str">
        <f t="shared" si="22"/>
        <v/>
      </c>
      <c r="BS361" s="90" t="str">
        <f t="shared" si="23"/>
        <v/>
      </c>
      <c r="BT361" s="93" t="str">
        <f t="shared" si="24"/>
        <v>NA</v>
      </c>
      <c r="BU361" s="125" t="str">
        <f t="shared" si="25"/>
        <v>#N/A</v>
      </c>
      <c r="BV361" s="93" t="str">
        <f t="shared" si="26"/>
        <v/>
      </c>
      <c r="BW361" s="93" t="str">
        <f t="shared" si="27"/>
        <v/>
      </c>
      <c r="BX361" s="93" t="str">
        <f t="shared" si="28"/>
        <v>NA</v>
      </c>
      <c r="BY361" s="95" t="str">
        <f t="shared" si="29"/>
        <v>#N/A</v>
      </c>
      <c r="BZ361" s="93" t="str">
        <f t="shared" si="30"/>
        <v/>
      </c>
      <c r="CA361" s="93" t="str">
        <f t="shared" si="31"/>
        <v/>
      </c>
      <c r="CB361" s="93" t="str">
        <f t="shared" si="32"/>
        <v>NA</v>
      </c>
      <c r="CC361" s="96" t="str">
        <f t="shared" si="33"/>
        <v>#N/A</v>
      </c>
      <c r="CD361" s="93" t="str">
        <f t="shared" si="34"/>
        <v/>
      </c>
      <c r="CE361" s="93" t="str">
        <f t="shared" si="35"/>
        <v/>
      </c>
      <c r="CF361" s="93" t="str">
        <f t="shared" si="36"/>
        <v>NA</v>
      </c>
      <c r="CG361" s="97" t="str">
        <f t="shared" si="37"/>
        <v>#N/A</v>
      </c>
      <c r="CH361" s="98" t="str">
        <f t="shared" si="38"/>
        <v>#N/A</v>
      </c>
      <c r="CI361" s="99" t="str">
        <f t="shared" si="39"/>
        <v>#N/A</v>
      </c>
      <c r="CJ361" s="126" t="str">
        <f t="shared" si="40"/>
        <v>ERROR: check cell</v>
      </c>
      <c r="CK361" s="126"/>
      <c r="CL361" s="127" t="str">
        <f t="shared" si="41"/>
        <v>#DIV/0!</v>
      </c>
      <c r="CM361" s="128" t="str">
        <f t="shared" si="42"/>
        <v>#DIV/0!</v>
      </c>
      <c r="CN361" s="128">
        <f t="shared" si="43"/>
        <v>4</v>
      </c>
      <c r="CO361" s="129">
        <f t="shared" si="44"/>
        <v>4</v>
      </c>
      <c r="CP361" s="129" t="str">
        <f>IFS(C361=Preferences!B$13,B361,B361=Preferences!B$13,C361)</f>
        <v>#N/A</v>
      </c>
    </row>
    <row r="362" ht="13.5" customHeight="1">
      <c r="A362" s="63" t="str">
        <f t="shared" si="45"/>
        <v/>
      </c>
      <c r="B362" s="64"/>
      <c r="C362" s="64"/>
      <c r="D362" s="64"/>
      <c r="E362" s="65"/>
      <c r="F362" s="65"/>
      <c r="G362" s="65"/>
      <c r="H362" s="66"/>
      <c r="I362" s="66"/>
      <c r="J362" s="67"/>
      <c r="K362" s="68"/>
      <c r="L362" s="104"/>
      <c r="M362" s="104"/>
      <c r="N362" s="104"/>
      <c r="O362" s="104"/>
      <c r="P362" s="107" t="str">
        <f t="shared" si="1"/>
        <v/>
      </c>
      <c r="Q362" s="108" t="str">
        <f>IFERROR(IF(AND(Preferences!B$3="Manual",OR(AX362/AW362&gt;G362/F362,BD362="Serious",BD362="Very serious")),"Assess imprecision",IFS(ISBLANK(E362),"",AND(Preferences!B$3="Automatic", G362/F362&gt;=30),"Extremely serious",AND(H362&lt;=$D$1*-1,J362&lt;0,G362/F362&lt;3),"Not serious",AND(H362&lt;=$D$1*-1,J362&lt;0,G362/F362&gt;=3),"Very serious",AND(H362&gt;=$D$1,I362&gt;0,G362/F362&lt;3),"Not serious",AND(H362&gt;=$D$1,I362&gt;0,G362/F362&gt;=3),"Very serious",AND(H362&lt;=$D$1*-1,J362&gt;0,I362&gt;$D$2*-1,G362/F362&lt;3),"Serious", AND(H362&lt;=$D$1*-1,J362&gt;0,I362&lt;$D$2*-1,G362/F362&lt;3),"Very serious", AND(H362&gt;=$D$1,I362&lt;0,J362&lt;$D$2,G362/F362&lt;3),"Serious",AND(H362&gt;=$D$1,I362&lt;0,J362&gt;$D$2,G362/F362&lt;3),"Very serious", AND(H362&lt;=$D$1*-1,J362&gt;0,I362&gt;$D$2*-1,G362/F362&gt;=3),"Very serious", AND(H362&lt;=$D$1*-1,J362&gt;0,I362&lt;$D$2*-1,G362/F362&gt;=3),"Very serious", AND(H362&gt;=$D$1,I362&lt;0,J362&lt;$D$2,G362/F362&gt;=3),"Very serious", AND(H362&gt;=$D$1,I362&lt;0,J362&gt;$D$2,G362/F362&gt;=3),"Very serious", AND(H362&gt;$D$1*-1,H362&lt;$D$1,I362&gt;$D$1*-1,J362&lt;$D$1,G362/F362&lt;3),"Not serious", AND(H362&gt;$D$1*-1,H362&lt;$D$1,OR(I362&lt;=$D$1*-1,J362&gt;=$D$1),I362&gt;$D$2*-1,J362&lt;$D$2,G362/F362&lt;3),"Serious", AND(H362&gt;$D$1*-1,H362&lt;$D$1,OR(I362&lt;=$D$2*-1,J362&gt;=$D$2),G362/F362&lt;3),"Very serious", AND(H362&gt;$D$1*-1,H362&lt;$D$1,I362&gt;$D$1*-1,J362&lt;$D$1,G362/F362&gt;=3),"Very serious", AND(H362&gt;$D$1*-1,H362&lt;$D$1,OR(I362&lt;=$D$1*-1,J362&gt;=$D$1),I362&gt;$D$2*-1,J362&lt;$D$2,G362/F362&gt;=3),"Very serious", AND(H362&gt;$D$1*-1,H362&lt;$D$1,OR(I362&lt;=$D$2*-1,J362&gt;=$D$2),G362/F362&gt;=3),"Very serious")),"")</f>
        <v/>
      </c>
      <c r="R362" s="109" t="str">
        <f t="shared" si="47"/>
        <v/>
      </c>
      <c r="S362" s="64"/>
      <c r="T362" s="72"/>
      <c r="U362" s="72"/>
      <c r="V362" s="72"/>
      <c r="W362" s="73"/>
      <c r="X362" s="73"/>
      <c r="Y362" s="74"/>
      <c r="Z362" s="113" t="str">
        <f t="array" ref="Z362">INDEX($A$1:$C$500, MATCH(1,($B:$B=$B362)*($C:$C=$AB362),0),1)</f>
        <v/>
      </c>
      <c r="AA362" s="113" t="str">
        <f t="array" ref="AA362">INDEX($A$1:$C$500, MATCH(1,($B:$B=$AB362)*($C:$C=$B362),0),1)</f>
        <v/>
      </c>
      <c r="AB362" s="111"/>
      <c r="AC362" s="114" t="str">
        <f t="shared" si="2"/>
        <v/>
      </c>
      <c r="AD362" s="115" t="str">
        <f t="shared" si="3"/>
        <v/>
      </c>
      <c r="AE362" s="116" t="str">
        <f t="array" ref="AE362">INDEX($A$1:$C$500, MATCH(1,($B:$B=$AB362)*($C:$C=$AG362),0),1)</f>
        <v/>
      </c>
      <c r="AF362" s="116" t="str">
        <f t="array" ref="AF362">INDEX($A$1:$C$500, MATCH(1,($B:$B=$AG362)*($C:$C=$AB362),0),1)</f>
        <v/>
      </c>
      <c r="AG362" s="72"/>
      <c r="AH362" s="114" t="str">
        <f t="shared" si="4"/>
        <v/>
      </c>
      <c r="AI362" s="115" t="str">
        <f t="shared" si="5"/>
        <v/>
      </c>
      <c r="AJ362" s="116" t="str">
        <f t="array" ref="AJ362">INDEX($A$1:$C$500, MATCH(1,($B:$B=$C362)*($C:$C=$AG362),0),1)</f>
        <v/>
      </c>
      <c r="AK362" s="116" t="str">
        <f t="array" ref="AK362">INDEX($A$1:$C$500, MATCH(1,($B:$B=$AG362)*($C:$C=$C362),0),1)</f>
        <v/>
      </c>
      <c r="AL362" s="116" t="str">
        <f t="array" ref="AL362">INDEX($A$1:$C$500, MATCH(1,($B:$B=$C362)*($C:$C=$AB362),0),1)</f>
        <v/>
      </c>
      <c r="AM362" s="116" t="str">
        <f t="array" ref="AM362">INDEX($A$1:$C$500, MATCH(1,($B:$B=$AB362)*($C:$C=$C362),0),1)</f>
        <v/>
      </c>
      <c r="AN362" s="114" t="str">
        <f t="array" ref="AN362">IFS(ISNUMBER(AJ362),AJ362,ISNUMBER(AK362),AK362,ISNUMBER(AL362),AL362,ISNUMBER(AM362),AM362)</f>
        <v>#N/A</v>
      </c>
      <c r="AO362" s="115" t="str">
        <f t="shared" si="6"/>
        <v/>
      </c>
      <c r="AP362" s="115" t="str">
        <f t="shared" si="7"/>
        <v/>
      </c>
      <c r="AQ362" s="111"/>
      <c r="AR362" s="109" t="str">
        <f t="shared" si="8"/>
        <v/>
      </c>
      <c r="AS362" s="72" t="str">
        <f>IFERROR(IF(AND(Preferences!B$3="Manual",OR(AX362/AW362&gt;V362/U362,BD362="Serious",BD362="Very serious")),"Assess imprecision",IFERROR(IFS(AND(Preferences!B$3="Automatic",V362/U362&gt;=30),"Extremely serious",AND(W362&lt;=$D$1*-1,Y362&lt;0,V362/U362&lt;3),"Not Serious",AND(W362&lt;=$D$1*-1,Y362&lt;0,V362/U362&gt;=3),"Very serious",AND(W362&gt;=$D$1,X362&gt;0,V362/U362&lt;3),"Not Serious",AND(W362&gt;=$D$1,X362&gt;0,V362/U362&gt;=3),"Very serious",AND(W362&lt;=$D$1*-1,Y362&gt;0,X362&gt;$D$2*-1,V362/U362&lt;3),"Serious", AND(W362&lt;=$D$1*-1,Y362&gt;0,X362&lt;$D$2*-1,V362/U362&lt;3),"Very serious", AND(W362&gt;=$D$1,X362&lt;0,Y362&lt;$D$2,V362/U362&lt;3),"Serious",AND(W362&gt;=$D$1,X362&lt;0,Y362&gt;$D$2,V362/U362&lt;3),"Very serious", AND(W362&lt;=$D$1*-1,Y362&gt;0,X362&gt;$D$2*-1,V362/U362&gt;=3),"Very serious", AND(W362&lt;=$D$1*-1,Y362&gt;0,X362&lt;$D$2*-1,V362/U362&gt;=3),"Very serious", AND(W362&gt;=$D$1,X362&lt;0,Y362&lt;$D$2,V362/U362&gt;=3),"Very serious", AND(W362&gt;=$D$1,X362&lt;0,Y362&gt;$D$2,V362/U362&gt;=3),"Very serious", AND(W362&gt;$D$1*-1,W362&lt;$D$1,X362&gt;$D$1*-1,Y362&lt;$D$1,V362/U362&lt;3),"Not Serious", AND(W362&gt;$D$1*-1,W362&lt;$D$1,OR(X362&lt;=$D$1*-1,Y362&gt;=$D$1),X362&gt;$D$2*-1,Y362&lt;$D$2,V362/U362&lt;3),"Serious", AND(W362&gt;$D$1*-1,W362&lt;$D$1,OR(X362&lt;=$D$2*-1,Y362&gt;=$D$2),V362/U362&lt;3),"Very serious", AND(W362&gt;$D$1*-1,W362&lt;$D$1,X362&gt;$D$1*-1,Y362&lt;$D$1,V362/U362&gt;=3),"Very serious", AND(W362&gt;$D$1*-1,W362&lt;$D$1,OR(X362&lt;=$D$1*-1,Y362&gt;=$D$1),X362&gt;$D$2*-1,Y362&lt;$D$2,V362/U362&gt;=3),"Very serious", AND(W362&gt;$D$1*-1,W362&lt;$D$1,OR(X362&lt;=$D$2*-1,Y362&gt;=$D$2),V362/U362&gt;=3),"Very serious"),"")),"")</f>
        <v/>
      </c>
      <c r="AT362" s="109" t="str">
        <f t="shared" si="9"/>
        <v/>
      </c>
      <c r="AU362" s="64"/>
      <c r="AV362" s="83"/>
      <c r="AW362" s="83"/>
      <c r="AX362" s="83"/>
      <c r="AY362" s="83"/>
      <c r="AZ362" s="83"/>
      <c r="BA362" s="85"/>
      <c r="BB362" s="86" t="str">
        <f>IF(Preferences!B$9="Manual","",IFS(ISBLANK(B362),"",AND(ISNUMBER(E362)=TRUE,ISNUMBER(T362)=FALSE),"Direct", AND(ISNUMBER(E362)=FALSE,ISNUMBER(T362)=TRUE),"Indirect", CN362=4,"Direct",AND(CL362=FALSE, CM362=TRUE,CN362-CO362&gt;-1),"Direct", AND(CL362=FALSE,CM362=TRUE, CN362-CO362&lt;0),"Check algorithm in appendix 2", AND(CL362=TRUE, CM362=FALSE,CN362-CO362&gt;0),"Check algorithm in appendix 2", AND(CL362=TRUE, CM362=FALSE,CN362-CO362=0),"Indirect", AND(CL362=TRUE, CM362=FALSE,CN362-CO362&lt;0),"Indirect", AND(CL362=FALSE,CM362=FALSE,CN362-CO362&gt;-1),"Direct", AND(CL362=FALSE,CM362=FALSE,CN362-CO362&lt;0),"Check algorithm in appendix 2", AND(CL362=TRUE,CM362=TRUE,CN362-CO362&gt;-1),"Direct", AND(CL362=TRUE,CM362=TRUE,CN362-CO362&lt;0),"Check algorithm in appendix 2"))</f>
        <v/>
      </c>
      <c r="BC362" s="120" t="str">
        <f t="shared" si="10"/>
        <v/>
      </c>
      <c r="BD362" s="140"/>
      <c r="BE362" s="122" t="str">
        <f>IF(Preferences!B$3="Manual","", IFERROR(IFS(AND(Preferences!B$3="Automatic",AX362/AW362&gt;=30),"Extremely serious",AND(AY362&lt;=$D$1*-1,BA362&lt;0,AX362/AW362&lt;3),"Not Serious",AND(AY362&lt;=$D$1*-1,BA362&lt;0,AX362/AW362&gt;=3),"Very serious",AND(AY362&gt;=$D$1,AZ362&gt;0,AX362/AW362&lt;3),"Not Serious",AND(AY362&gt;=$D$1,AZ362&gt;0,AX362/AW362&gt;=3),"Very serious",AND(AY362&lt;=$D$1*-1,BA362&gt;0,AZ362&gt;$D$2*-1,AX362/AW362&lt;3),"Serious", AND(AY362&lt;=$D$1*-1,BA362&gt;0,AZ362&lt;$D$2*-1,AX362/AW362&lt;3),"Very serious", AND(AY362&gt;=$D$1,AZ362&lt;0,BA362&lt;$D$2,AX362/AW362&lt;3),"Serious",AND(AY362&gt;=$D$1,AZ362&lt;0,BA362&gt;$D$2,AX362/AW362&lt;3),"Very serious", AND(AY362&lt;=$D$1*-1,BA362&gt;0,AZ362&gt;$D$2*-1,AX362/AW362&gt;=3),"Very serious", AND(AY362&lt;=$D$1*-1,BA362&gt;0,AZ362&lt;$D$2*-1,AX362/AW362&gt;=3),"Very serious", AND(AY362&gt;=$D$1,AZ362&lt;0,BA362&lt;$D$2,AX362/AW362&gt;=3),"Very serious", AND(AY362&gt;=$D$1,AZ362&lt;0,BA362&gt;$D$2,AX362/AW362&gt;=3),"Very serious", AND(AY362&gt;$D$1*-1,AY362&lt;$D$1,AZ362&gt;$D$1*-1,BA362&lt;$D$1,AX362/AW362&lt;3),"Not Serious", AND(AY362&gt;$D$1*-1,AY362&lt;$D$1,OR(AZ362&lt;=$D$1*-1,BA362&gt;=$D$1),AZ362&gt;$D$2*-1,BA362&lt;$D$2,AX362/AW362&lt;3),"Serious", AND(AY362&gt;$D$1*-1,AY362&lt;$D$1,OR(AZ362&lt;=$D$2*-1,BA362&gt;=$D$2),AX362/AW362&lt;3),"Very serious", AND(AY362&gt;$D$1*-1,AY362&lt;$D$1,AZ362&gt;$D$1*-1,BA362&lt;$D$1,AX362/AW362&gt;=3),"Very serious", AND(AY362&gt;$D$1*-1,AY362&lt;$D$1,OR(AZ362&lt;=$D$1*-1,BA362&gt;=$D$1),AZ362&gt;$D$2*-1,BA362&lt;$D$2,AX362/AW362&gt;=3),"Very serious", AND(AY362&gt;$D$1*-1,AY362&lt;$D$1,OR(AZ362&lt;=$D$2*-1,BA362&gt;=$D$2),AX362/AW362&gt;=3),"Very serious"),""))</f>
        <v/>
      </c>
      <c r="BF362" s="107" t="str">
        <f t="shared" si="11"/>
        <v/>
      </c>
      <c r="BG362" s="94" t="str">
        <f t="shared" si="46"/>
        <v/>
      </c>
      <c r="BH362" s="64" t="str">
        <f t="shared" si="12"/>
        <v>#N/A</v>
      </c>
      <c r="BI362" s="64" t="str">
        <f t="shared" si="13"/>
        <v/>
      </c>
      <c r="BJ362" s="123" t="str">
        <f t="shared" si="14"/>
        <v>#N/A</v>
      </c>
      <c r="BK362" s="64" t="str">
        <f t="shared" si="50"/>
        <v>YES</v>
      </c>
      <c r="BL362" s="64" t="str">
        <f t="shared" si="16"/>
        <v>YES</v>
      </c>
      <c r="BM362" s="64" t="str">
        <f t="shared" si="17"/>
        <v>YES</v>
      </c>
      <c r="BN362" s="124" t="str">
        <f t="shared" si="18"/>
        <v/>
      </c>
      <c r="BO362" s="91" t="str">
        <f t="shared" si="19"/>
        <v/>
      </c>
      <c r="BP362" s="91" t="str">
        <f t="shared" si="20"/>
        <v>#N/A</v>
      </c>
      <c r="BQ362" s="91" t="str">
        <f t="shared" si="21"/>
        <v/>
      </c>
      <c r="BR362" s="93" t="str">
        <f t="shared" si="22"/>
        <v/>
      </c>
      <c r="BS362" s="90" t="str">
        <f t="shared" si="23"/>
        <v/>
      </c>
      <c r="BT362" s="93" t="str">
        <f t="shared" si="24"/>
        <v>NA</v>
      </c>
      <c r="BU362" s="125" t="str">
        <f t="shared" si="25"/>
        <v>#N/A</v>
      </c>
      <c r="BV362" s="93" t="str">
        <f t="shared" si="26"/>
        <v/>
      </c>
      <c r="BW362" s="93" t="str">
        <f t="shared" si="27"/>
        <v/>
      </c>
      <c r="BX362" s="93" t="str">
        <f t="shared" si="28"/>
        <v>NA</v>
      </c>
      <c r="BY362" s="95" t="str">
        <f t="shared" si="29"/>
        <v>#N/A</v>
      </c>
      <c r="BZ362" s="93" t="str">
        <f t="shared" si="30"/>
        <v/>
      </c>
      <c r="CA362" s="93" t="str">
        <f t="shared" si="31"/>
        <v/>
      </c>
      <c r="CB362" s="93" t="str">
        <f t="shared" si="32"/>
        <v>NA</v>
      </c>
      <c r="CC362" s="96" t="str">
        <f t="shared" si="33"/>
        <v>#N/A</v>
      </c>
      <c r="CD362" s="93" t="str">
        <f t="shared" si="34"/>
        <v/>
      </c>
      <c r="CE362" s="93" t="str">
        <f t="shared" si="35"/>
        <v/>
      </c>
      <c r="CF362" s="93" t="str">
        <f t="shared" si="36"/>
        <v>NA</v>
      </c>
      <c r="CG362" s="97" t="str">
        <f t="shared" si="37"/>
        <v>#N/A</v>
      </c>
      <c r="CH362" s="98" t="str">
        <f t="shared" si="38"/>
        <v>#N/A</v>
      </c>
      <c r="CI362" s="99" t="str">
        <f t="shared" si="39"/>
        <v>#N/A</v>
      </c>
      <c r="CJ362" s="126" t="str">
        <f t="shared" si="40"/>
        <v>ERROR: check cell</v>
      </c>
      <c r="CK362" s="126"/>
      <c r="CL362" s="127" t="str">
        <f t="shared" si="41"/>
        <v>#DIV/0!</v>
      </c>
      <c r="CM362" s="128" t="str">
        <f t="shared" si="42"/>
        <v>#DIV/0!</v>
      </c>
      <c r="CN362" s="128">
        <f t="shared" si="43"/>
        <v>4</v>
      </c>
      <c r="CO362" s="129">
        <f t="shared" si="44"/>
        <v>4</v>
      </c>
      <c r="CP362" s="129" t="str">
        <f>IFS(C362=Preferences!B$13,B362,B362=Preferences!B$13,C362)</f>
        <v>#N/A</v>
      </c>
    </row>
    <row r="363" ht="13.5" customHeight="1">
      <c r="A363" s="63" t="str">
        <f t="shared" si="45"/>
        <v/>
      </c>
      <c r="B363" s="64"/>
      <c r="C363" s="64"/>
      <c r="D363" s="64"/>
      <c r="E363" s="65"/>
      <c r="F363" s="65"/>
      <c r="G363" s="65"/>
      <c r="H363" s="66"/>
      <c r="I363" s="66"/>
      <c r="J363" s="67"/>
      <c r="K363" s="68"/>
      <c r="L363" s="104"/>
      <c r="M363" s="104"/>
      <c r="N363" s="104"/>
      <c r="O363" s="104"/>
      <c r="P363" s="107" t="str">
        <f t="shared" si="1"/>
        <v/>
      </c>
      <c r="Q363" s="108" t="str">
        <f>IFERROR(IF(AND(Preferences!B$3="Manual",OR(AX363/AW363&gt;G363/F363,BD363="Serious",BD363="Very serious")),"Assess imprecision",IFS(ISBLANK(E363),"",AND(Preferences!B$3="Automatic", G363/F363&gt;=30),"Extremely serious",AND(H363&lt;=$D$1*-1,J363&lt;0,G363/F363&lt;3),"Not serious",AND(H363&lt;=$D$1*-1,J363&lt;0,G363/F363&gt;=3),"Very serious",AND(H363&gt;=$D$1,I363&gt;0,G363/F363&lt;3),"Not serious",AND(H363&gt;=$D$1,I363&gt;0,G363/F363&gt;=3),"Very serious",AND(H363&lt;=$D$1*-1,J363&gt;0,I363&gt;$D$2*-1,G363/F363&lt;3),"Serious", AND(H363&lt;=$D$1*-1,J363&gt;0,I363&lt;$D$2*-1,G363/F363&lt;3),"Very serious", AND(H363&gt;=$D$1,I363&lt;0,J363&lt;$D$2,G363/F363&lt;3),"Serious",AND(H363&gt;=$D$1,I363&lt;0,J363&gt;$D$2,G363/F363&lt;3),"Very serious", AND(H363&lt;=$D$1*-1,J363&gt;0,I363&gt;$D$2*-1,G363/F363&gt;=3),"Very serious", AND(H363&lt;=$D$1*-1,J363&gt;0,I363&lt;$D$2*-1,G363/F363&gt;=3),"Very serious", AND(H363&gt;=$D$1,I363&lt;0,J363&lt;$D$2,G363/F363&gt;=3),"Very serious", AND(H363&gt;=$D$1,I363&lt;0,J363&gt;$D$2,G363/F363&gt;=3),"Very serious", AND(H363&gt;$D$1*-1,H363&lt;$D$1,I363&gt;$D$1*-1,J363&lt;$D$1,G363/F363&lt;3),"Not serious", AND(H363&gt;$D$1*-1,H363&lt;$D$1,OR(I363&lt;=$D$1*-1,J363&gt;=$D$1),I363&gt;$D$2*-1,J363&lt;$D$2,G363/F363&lt;3),"Serious", AND(H363&gt;$D$1*-1,H363&lt;$D$1,OR(I363&lt;=$D$2*-1,J363&gt;=$D$2),G363/F363&lt;3),"Very serious", AND(H363&gt;$D$1*-1,H363&lt;$D$1,I363&gt;$D$1*-1,J363&lt;$D$1,G363/F363&gt;=3),"Very serious", AND(H363&gt;$D$1*-1,H363&lt;$D$1,OR(I363&lt;=$D$1*-1,J363&gt;=$D$1),I363&gt;$D$2*-1,J363&lt;$D$2,G363/F363&gt;=3),"Very serious", AND(H363&gt;$D$1*-1,H363&lt;$D$1,OR(I363&lt;=$D$2*-1,J363&gt;=$D$2),G363/F363&gt;=3),"Very serious")),"")</f>
        <v/>
      </c>
      <c r="R363" s="109" t="str">
        <f t="shared" si="47"/>
        <v/>
      </c>
      <c r="S363" s="64"/>
      <c r="T363" s="72"/>
      <c r="U363" s="72"/>
      <c r="V363" s="72"/>
      <c r="W363" s="73"/>
      <c r="X363" s="73"/>
      <c r="Y363" s="74"/>
      <c r="Z363" s="113" t="str">
        <f t="array" ref="Z363">INDEX($A$1:$C$500, MATCH(1,($B:$B=$B363)*($C:$C=$AB363),0),1)</f>
        <v/>
      </c>
      <c r="AA363" s="113" t="str">
        <f t="array" ref="AA363">INDEX($A$1:$C$500, MATCH(1,($B:$B=$AB363)*($C:$C=$B363),0),1)</f>
        <v/>
      </c>
      <c r="AB363" s="111"/>
      <c r="AC363" s="114" t="str">
        <f t="shared" si="2"/>
        <v/>
      </c>
      <c r="AD363" s="115" t="str">
        <f t="shared" si="3"/>
        <v/>
      </c>
      <c r="AE363" s="116" t="str">
        <f t="array" ref="AE363">INDEX($A$1:$C$500, MATCH(1,($B:$B=$AB363)*($C:$C=$AG363),0),1)</f>
        <v/>
      </c>
      <c r="AF363" s="116" t="str">
        <f t="array" ref="AF363">INDEX($A$1:$C$500, MATCH(1,($B:$B=$AG363)*($C:$C=$AB363),0),1)</f>
        <v/>
      </c>
      <c r="AG363" s="72"/>
      <c r="AH363" s="114" t="str">
        <f t="shared" si="4"/>
        <v/>
      </c>
      <c r="AI363" s="115" t="str">
        <f t="shared" si="5"/>
        <v/>
      </c>
      <c r="AJ363" s="116" t="str">
        <f t="array" ref="AJ363">INDEX($A$1:$C$500, MATCH(1,($B:$B=$C363)*($C:$C=$AG363),0),1)</f>
        <v/>
      </c>
      <c r="AK363" s="116" t="str">
        <f t="array" ref="AK363">INDEX($A$1:$C$500, MATCH(1,($B:$B=$AG363)*($C:$C=$C363),0),1)</f>
        <v/>
      </c>
      <c r="AL363" s="116" t="str">
        <f t="array" ref="AL363">INDEX($A$1:$C$500, MATCH(1,($B:$B=$C363)*($C:$C=$AB363),0),1)</f>
        <v/>
      </c>
      <c r="AM363" s="116" t="str">
        <f t="array" ref="AM363">INDEX($A$1:$C$500, MATCH(1,($B:$B=$AB363)*($C:$C=$C363),0),1)</f>
        <v/>
      </c>
      <c r="AN363" s="114" t="str">
        <f t="array" ref="AN363">IFS(ISNUMBER(AJ363),AJ363,ISNUMBER(AK363),AK363,ISNUMBER(AL363),AL363,ISNUMBER(AM363),AM363)</f>
        <v>#N/A</v>
      </c>
      <c r="AO363" s="115" t="str">
        <f t="shared" si="6"/>
        <v/>
      </c>
      <c r="AP363" s="115" t="str">
        <f t="shared" si="7"/>
        <v/>
      </c>
      <c r="AQ363" s="111"/>
      <c r="AR363" s="109" t="str">
        <f t="shared" si="8"/>
        <v/>
      </c>
      <c r="AS363" s="72" t="str">
        <f>IFERROR(IF(AND(Preferences!B$3="Manual",OR(AX363/AW363&gt;V363/U363,BD363="Serious",BD363="Very serious")),"Assess imprecision",IFERROR(IFS(AND(Preferences!B$3="Automatic",V363/U363&gt;=30),"Extremely serious",AND(W363&lt;=$D$1*-1,Y363&lt;0,V363/U363&lt;3),"Not Serious",AND(W363&lt;=$D$1*-1,Y363&lt;0,V363/U363&gt;=3),"Very serious",AND(W363&gt;=$D$1,X363&gt;0,V363/U363&lt;3),"Not Serious",AND(W363&gt;=$D$1,X363&gt;0,V363/U363&gt;=3),"Very serious",AND(W363&lt;=$D$1*-1,Y363&gt;0,X363&gt;$D$2*-1,V363/U363&lt;3),"Serious", AND(W363&lt;=$D$1*-1,Y363&gt;0,X363&lt;$D$2*-1,V363/U363&lt;3),"Very serious", AND(W363&gt;=$D$1,X363&lt;0,Y363&lt;$D$2,V363/U363&lt;3),"Serious",AND(W363&gt;=$D$1,X363&lt;0,Y363&gt;$D$2,V363/U363&lt;3),"Very serious", AND(W363&lt;=$D$1*-1,Y363&gt;0,X363&gt;$D$2*-1,V363/U363&gt;=3),"Very serious", AND(W363&lt;=$D$1*-1,Y363&gt;0,X363&lt;$D$2*-1,V363/U363&gt;=3),"Very serious", AND(W363&gt;=$D$1,X363&lt;0,Y363&lt;$D$2,V363/U363&gt;=3),"Very serious", AND(W363&gt;=$D$1,X363&lt;0,Y363&gt;$D$2,V363/U363&gt;=3),"Very serious", AND(W363&gt;$D$1*-1,W363&lt;$D$1,X363&gt;$D$1*-1,Y363&lt;$D$1,V363/U363&lt;3),"Not Serious", AND(W363&gt;$D$1*-1,W363&lt;$D$1,OR(X363&lt;=$D$1*-1,Y363&gt;=$D$1),X363&gt;$D$2*-1,Y363&lt;$D$2,V363/U363&lt;3),"Serious", AND(W363&gt;$D$1*-1,W363&lt;$D$1,OR(X363&lt;=$D$2*-1,Y363&gt;=$D$2),V363/U363&lt;3),"Very serious", AND(W363&gt;$D$1*-1,W363&lt;$D$1,X363&gt;$D$1*-1,Y363&lt;$D$1,V363/U363&gt;=3),"Very serious", AND(W363&gt;$D$1*-1,W363&lt;$D$1,OR(X363&lt;=$D$1*-1,Y363&gt;=$D$1),X363&gt;$D$2*-1,Y363&lt;$D$2,V363/U363&gt;=3),"Very serious", AND(W363&gt;$D$1*-1,W363&lt;$D$1,OR(X363&lt;=$D$2*-1,Y363&gt;=$D$2),V363/U363&gt;=3),"Very serious"),"")),"")</f>
        <v/>
      </c>
      <c r="AT363" s="109" t="str">
        <f t="shared" si="9"/>
        <v/>
      </c>
      <c r="AU363" s="64"/>
      <c r="AV363" s="83"/>
      <c r="AW363" s="83"/>
      <c r="AX363" s="83"/>
      <c r="AY363" s="83"/>
      <c r="AZ363" s="83"/>
      <c r="BA363" s="85"/>
      <c r="BB363" s="86" t="str">
        <f>IF(Preferences!B$9="Manual","",IFS(ISBLANK(B363),"",AND(ISNUMBER(E363)=TRUE,ISNUMBER(T363)=FALSE),"Direct", AND(ISNUMBER(E363)=FALSE,ISNUMBER(T363)=TRUE),"Indirect", CN363=4,"Direct",AND(CL363=FALSE, CM363=TRUE,CN363-CO363&gt;-1),"Direct", AND(CL363=FALSE,CM363=TRUE, CN363-CO363&lt;0),"Check algorithm in appendix 2", AND(CL363=TRUE, CM363=FALSE,CN363-CO363&gt;0),"Check algorithm in appendix 2", AND(CL363=TRUE, CM363=FALSE,CN363-CO363=0),"Indirect", AND(CL363=TRUE, CM363=FALSE,CN363-CO363&lt;0),"Indirect", AND(CL363=FALSE,CM363=FALSE,CN363-CO363&gt;-1),"Direct", AND(CL363=FALSE,CM363=FALSE,CN363-CO363&lt;0),"Check algorithm in appendix 2", AND(CL363=TRUE,CM363=TRUE,CN363-CO363&gt;-1),"Direct", AND(CL363=TRUE,CM363=TRUE,CN363-CO363&lt;0),"Check algorithm in appendix 2"))</f>
        <v/>
      </c>
      <c r="BC363" s="120" t="str">
        <f t="shared" si="10"/>
        <v/>
      </c>
      <c r="BD363" s="140"/>
      <c r="BE363" s="122" t="str">
        <f>IF(Preferences!B$3="Manual","", IFERROR(IFS(AND(Preferences!B$3="Automatic",AX363/AW363&gt;=30),"Extremely serious",AND(AY363&lt;=$D$1*-1,BA363&lt;0,AX363/AW363&lt;3),"Not Serious",AND(AY363&lt;=$D$1*-1,BA363&lt;0,AX363/AW363&gt;=3),"Very serious",AND(AY363&gt;=$D$1,AZ363&gt;0,AX363/AW363&lt;3),"Not Serious",AND(AY363&gt;=$D$1,AZ363&gt;0,AX363/AW363&gt;=3),"Very serious",AND(AY363&lt;=$D$1*-1,BA363&gt;0,AZ363&gt;$D$2*-1,AX363/AW363&lt;3),"Serious", AND(AY363&lt;=$D$1*-1,BA363&gt;0,AZ363&lt;$D$2*-1,AX363/AW363&lt;3),"Very serious", AND(AY363&gt;=$D$1,AZ363&lt;0,BA363&lt;$D$2,AX363/AW363&lt;3),"Serious",AND(AY363&gt;=$D$1,AZ363&lt;0,BA363&gt;$D$2,AX363/AW363&lt;3),"Very serious", AND(AY363&lt;=$D$1*-1,BA363&gt;0,AZ363&gt;$D$2*-1,AX363/AW363&gt;=3),"Very serious", AND(AY363&lt;=$D$1*-1,BA363&gt;0,AZ363&lt;$D$2*-1,AX363/AW363&gt;=3),"Very serious", AND(AY363&gt;=$D$1,AZ363&lt;0,BA363&lt;$D$2,AX363/AW363&gt;=3),"Very serious", AND(AY363&gt;=$D$1,AZ363&lt;0,BA363&gt;$D$2,AX363/AW363&gt;=3),"Very serious", AND(AY363&gt;$D$1*-1,AY363&lt;$D$1,AZ363&gt;$D$1*-1,BA363&lt;$D$1,AX363/AW363&lt;3),"Not Serious", AND(AY363&gt;$D$1*-1,AY363&lt;$D$1,OR(AZ363&lt;=$D$1*-1,BA363&gt;=$D$1),AZ363&gt;$D$2*-1,BA363&lt;$D$2,AX363/AW363&lt;3),"Serious", AND(AY363&gt;$D$1*-1,AY363&lt;$D$1,OR(AZ363&lt;=$D$2*-1,BA363&gt;=$D$2),AX363/AW363&lt;3),"Very serious", AND(AY363&gt;$D$1*-1,AY363&lt;$D$1,AZ363&gt;$D$1*-1,BA363&lt;$D$1,AX363/AW363&gt;=3),"Very serious", AND(AY363&gt;$D$1*-1,AY363&lt;$D$1,OR(AZ363&lt;=$D$1*-1,BA363&gt;=$D$1),AZ363&gt;$D$2*-1,BA363&lt;$D$2,AX363/AW363&gt;=3),"Very serious", AND(AY363&gt;$D$1*-1,AY363&lt;$D$1,OR(AZ363&lt;=$D$2*-1,BA363&gt;=$D$2),AX363/AW363&gt;=3),"Very serious"),""))</f>
        <v/>
      </c>
      <c r="BF363" s="107" t="str">
        <f t="shared" si="11"/>
        <v/>
      </c>
      <c r="BG363" s="94" t="str">
        <f t="shared" si="46"/>
        <v/>
      </c>
      <c r="BH363" s="64" t="str">
        <f t="shared" si="12"/>
        <v>#N/A</v>
      </c>
      <c r="BI363" s="64" t="str">
        <f t="shared" si="13"/>
        <v/>
      </c>
      <c r="BJ363" s="123" t="str">
        <f t="shared" si="14"/>
        <v>#N/A</v>
      </c>
      <c r="BK363" s="64" t="str">
        <f t="shared" si="50"/>
        <v>YES</v>
      </c>
      <c r="BL363" s="64" t="str">
        <f t="shared" si="16"/>
        <v>YES</v>
      </c>
      <c r="BM363" s="64" t="str">
        <f t="shared" si="17"/>
        <v>YES</v>
      </c>
      <c r="BN363" s="124" t="str">
        <f t="shared" si="18"/>
        <v/>
      </c>
      <c r="BO363" s="91" t="str">
        <f t="shared" si="19"/>
        <v/>
      </c>
      <c r="BP363" s="91" t="str">
        <f t="shared" si="20"/>
        <v>#N/A</v>
      </c>
      <c r="BQ363" s="91" t="str">
        <f t="shared" si="21"/>
        <v/>
      </c>
      <c r="BR363" s="93" t="str">
        <f t="shared" si="22"/>
        <v/>
      </c>
      <c r="BS363" s="90" t="str">
        <f t="shared" si="23"/>
        <v/>
      </c>
      <c r="BT363" s="93" t="str">
        <f t="shared" si="24"/>
        <v>NA</v>
      </c>
      <c r="BU363" s="125" t="str">
        <f t="shared" si="25"/>
        <v>#N/A</v>
      </c>
      <c r="BV363" s="93" t="str">
        <f t="shared" si="26"/>
        <v/>
      </c>
      <c r="BW363" s="93" t="str">
        <f t="shared" si="27"/>
        <v/>
      </c>
      <c r="BX363" s="93" t="str">
        <f t="shared" si="28"/>
        <v>NA</v>
      </c>
      <c r="BY363" s="95" t="str">
        <f t="shared" si="29"/>
        <v>#N/A</v>
      </c>
      <c r="BZ363" s="93" t="str">
        <f t="shared" si="30"/>
        <v/>
      </c>
      <c r="CA363" s="93" t="str">
        <f t="shared" si="31"/>
        <v/>
      </c>
      <c r="CB363" s="93" t="str">
        <f t="shared" si="32"/>
        <v>NA</v>
      </c>
      <c r="CC363" s="96" t="str">
        <f t="shared" si="33"/>
        <v>#N/A</v>
      </c>
      <c r="CD363" s="93" t="str">
        <f t="shared" si="34"/>
        <v/>
      </c>
      <c r="CE363" s="93" t="str">
        <f t="shared" si="35"/>
        <v/>
      </c>
      <c r="CF363" s="93" t="str">
        <f t="shared" si="36"/>
        <v>NA</v>
      </c>
      <c r="CG363" s="97" t="str">
        <f t="shared" si="37"/>
        <v>#N/A</v>
      </c>
      <c r="CH363" s="98" t="str">
        <f t="shared" si="38"/>
        <v>#N/A</v>
      </c>
      <c r="CI363" s="99" t="str">
        <f t="shared" si="39"/>
        <v>#N/A</v>
      </c>
      <c r="CJ363" s="126" t="str">
        <f t="shared" si="40"/>
        <v>ERROR: check cell</v>
      </c>
      <c r="CK363" s="126"/>
      <c r="CL363" s="127" t="str">
        <f t="shared" si="41"/>
        <v>#DIV/0!</v>
      </c>
      <c r="CM363" s="128" t="str">
        <f t="shared" si="42"/>
        <v>#DIV/0!</v>
      </c>
      <c r="CN363" s="128">
        <f t="shared" si="43"/>
        <v>4</v>
      </c>
      <c r="CO363" s="129">
        <f t="shared" si="44"/>
        <v>4</v>
      </c>
      <c r="CP363" s="129" t="str">
        <f>IFS(C363=Preferences!B$13,B363,B363=Preferences!B$13,C363)</f>
        <v>#N/A</v>
      </c>
    </row>
    <row r="364" ht="13.5" customHeight="1">
      <c r="A364" s="63" t="str">
        <f t="shared" si="45"/>
        <v/>
      </c>
      <c r="B364" s="64"/>
      <c r="C364" s="64"/>
      <c r="D364" s="64"/>
      <c r="E364" s="65"/>
      <c r="F364" s="65"/>
      <c r="G364" s="65"/>
      <c r="H364" s="66"/>
      <c r="I364" s="66"/>
      <c r="J364" s="67"/>
      <c r="K364" s="68"/>
      <c r="L364" s="104"/>
      <c r="M364" s="104"/>
      <c r="N364" s="104"/>
      <c r="O364" s="104"/>
      <c r="P364" s="107" t="str">
        <f t="shared" si="1"/>
        <v/>
      </c>
      <c r="Q364" s="108" t="str">
        <f>IFERROR(IF(AND(Preferences!B$3="Manual",OR(AX364/AW364&gt;G364/F364,BD364="Serious",BD364="Very serious")),"Assess imprecision",IFS(ISBLANK(E364),"",AND(Preferences!B$3="Automatic", G364/F364&gt;=30),"Extremely serious",AND(H364&lt;=$D$1*-1,J364&lt;0,G364/F364&lt;3),"Not serious",AND(H364&lt;=$D$1*-1,J364&lt;0,G364/F364&gt;=3),"Very serious",AND(H364&gt;=$D$1,I364&gt;0,G364/F364&lt;3),"Not serious",AND(H364&gt;=$D$1,I364&gt;0,G364/F364&gt;=3),"Very serious",AND(H364&lt;=$D$1*-1,J364&gt;0,I364&gt;$D$2*-1,G364/F364&lt;3),"Serious", AND(H364&lt;=$D$1*-1,J364&gt;0,I364&lt;$D$2*-1,G364/F364&lt;3),"Very serious", AND(H364&gt;=$D$1,I364&lt;0,J364&lt;$D$2,G364/F364&lt;3),"Serious",AND(H364&gt;=$D$1,I364&lt;0,J364&gt;$D$2,G364/F364&lt;3),"Very serious", AND(H364&lt;=$D$1*-1,J364&gt;0,I364&gt;$D$2*-1,G364/F364&gt;=3),"Very serious", AND(H364&lt;=$D$1*-1,J364&gt;0,I364&lt;$D$2*-1,G364/F364&gt;=3),"Very serious", AND(H364&gt;=$D$1,I364&lt;0,J364&lt;$D$2,G364/F364&gt;=3),"Very serious", AND(H364&gt;=$D$1,I364&lt;0,J364&gt;$D$2,G364/F364&gt;=3),"Very serious", AND(H364&gt;$D$1*-1,H364&lt;$D$1,I364&gt;$D$1*-1,J364&lt;$D$1,G364/F364&lt;3),"Not serious", AND(H364&gt;$D$1*-1,H364&lt;$D$1,OR(I364&lt;=$D$1*-1,J364&gt;=$D$1),I364&gt;$D$2*-1,J364&lt;$D$2,G364/F364&lt;3),"Serious", AND(H364&gt;$D$1*-1,H364&lt;$D$1,OR(I364&lt;=$D$2*-1,J364&gt;=$D$2),G364/F364&lt;3),"Very serious", AND(H364&gt;$D$1*-1,H364&lt;$D$1,I364&gt;$D$1*-1,J364&lt;$D$1,G364/F364&gt;=3),"Very serious", AND(H364&gt;$D$1*-1,H364&lt;$D$1,OR(I364&lt;=$D$1*-1,J364&gt;=$D$1),I364&gt;$D$2*-1,J364&lt;$D$2,G364/F364&gt;=3),"Very serious", AND(H364&gt;$D$1*-1,H364&lt;$D$1,OR(I364&lt;=$D$2*-1,J364&gt;=$D$2),G364/F364&gt;=3),"Very serious")),"")</f>
        <v/>
      </c>
      <c r="R364" s="109" t="str">
        <f t="shared" si="47"/>
        <v/>
      </c>
      <c r="S364" s="64"/>
      <c r="T364" s="72"/>
      <c r="U364" s="72"/>
      <c r="V364" s="72"/>
      <c r="W364" s="73"/>
      <c r="X364" s="73"/>
      <c r="Y364" s="74"/>
      <c r="Z364" s="113" t="str">
        <f t="array" ref="Z364">INDEX($A$1:$C$500, MATCH(1,($B:$B=$B364)*($C:$C=$AB364),0),1)</f>
        <v/>
      </c>
      <c r="AA364" s="113" t="str">
        <f t="array" ref="AA364">INDEX($A$1:$C$500, MATCH(1,($B:$B=$AB364)*($C:$C=$B364),0),1)</f>
        <v/>
      </c>
      <c r="AB364" s="111"/>
      <c r="AC364" s="114" t="str">
        <f t="shared" si="2"/>
        <v/>
      </c>
      <c r="AD364" s="115" t="str">
        <f t="shared" si="3"/>
        <v/>
      </c>
      <c r="AE364" s="116" t="str">
        <f t="array" ref="AE364">INDEX($A$1:$C$500, MATCH(1,($B:$B=$AB364)*($C:$C=$AG364),0),1)</f>
        <v/>
      </c>
      <c r="AF364" s="116" t="str">
        <f t="array" ref="AF364">INDEX($A$1:$C$500, MATCH(1,($B:$B=$AG364)*($C:$C=$AB364),0),1)</f>
        <v/>
      </c>
      <c r="AG364" s="72"/>
      <c r="AH364" s="114" t="str">
        <f t="shared" si="4"/>
        <v/>
      </c>
      <c r="AI364" s="115" t="str">
        <f t="shared" si="5"/>
        <v/>
      </c>
      <c r="AJ364" s="116" t="str">
        <f t="array" ref="AJ364">INDEX($A$1:$C$500, MATCH(1,($B:$B=$C364)*($C:$C=$AG364),0),1)</f>
        <v/>
      </c>
      <c r="AK364" s="116" t="str">
        <f t="array" ref="AK364">INDEX($A$1:$C$500, MATCH(1,($B:$B=$AG364)*($C:$C=$C364),0),1)</f>
        <v/>
      </c>
      <c r="AL364" s="116" t="str">
        <f t="array" ref="AL364">INDEX($A$1:$C$500, MATCH(1,($B:$B=$C364)*($C:$C=$AB364),0),1)</f>
        <v/>
      </c>
      <c r="AM364" s="116" t="str">
        <f t="array" ref="AM364">INDEX($A$1:$C$500, MATCH(1,($B:$B=$AB364)*($C:$C=$C364),0),1)</f>
        <v/>
      </c>
      <c r="AN364" s="114" t="str">
        <f t="array" ref="AN364">IFS(ISNUMBER(AJ364),AJ364,ISNUMBER(AK364),AK364,ISNUMBER(AL364),AL364,ISNUMBER(AM364),AM364)</f>
        <v>#N/A</v>
      </c>
      <c r="AO364" s="115" t="str">
        <f t="shared" si="6"/>
        <v/>
      </c>
      <c r="AP364" s="115" t="str">
        <f t="shared" si="7"/>
        <v/>
      </c>
      <c r="AQ364" s="111"/>
      <c r="AR364" s="109" t="str">
        <f t="shared" si="8"/>
        <v/>
      </c>
      <c r="AS364" s="72" t="str">
        <f>IFERROR(IF(AND(Preferences!B$3="Manual",OR(AX364/AW364&gt;V364/U364,BD364="Serious",BD364="Very serious")),"Assess imprecision",IFERROR(IFS(AND(Preferences!B$3="Automatic",V364/U364&gt;=30),"Extremely serious",AND(W364&lt;=$D$1*-1,Y364&lt;0,V364/U364&lt;3),"Not Serious",AND(W364&lt;=$D$1*-1,Y364&lt;0,V364/U364&gt;=3),"Very serious",AND(W364&gt;=$D$1,X364&gt;0,V364/U364&lt;3),"Not Serious",AND(W364&gt;=$D$1,X364&gt;0,V364/U364&gt;=3),"Very serious",AND(W364&lt;=$D$1*-1,Y364&gt;0,X364&gt;$D$2*-1,V364/U364&lt;3),"Serious", AND(W364&lt;=$D$1*-1,Y364&gt;0,X364&lt;$D$2*-1,V364/U364&lt;3),"Very serious", AND(W364&gt;=$D$1,X364&lt;0,Y364&lt;$D$2,V364/U364&lt;3),"Serious",AND(W364&gt;=$D$1,X364&lt;0,Y364&gt;$D$2,V364/U364&lt;3),"Very serious", AND(W364&lt;=$D$1*-1,Y364&gt;0,X364&gt;$D$2*-1,V364/U364&gt;=3),"Very serious", AND(W364&lt;=$D$1*-1,Y364&gt;0,X364&lt;$D$2*-1,V364/U364&gt;=3),"Very serious", AND(W364&gt;=$D$1,X364&lt;0,Y364&lt;$D$2,V364/U364&gt;=3),"Very serious", AND(W364&gt;=$D$1,X364&lt;0,Y364&gt;$D$2,V364/U364&gt;=3),"Very serious", AND(W364&gt;$D$1*-1,W364&lt;$D$1,X364&gt;$D$1*-1,Y364&lt;$D$1,V364/U364&lt;3),"Not Serious", AND(W364&gt;$D$1*-1,W364&lt;$D$1,OR(X364&lt;=$D$1*-1,Y364&gt;=$D$1),X364&gt;$D$2*-1,Y364&lt;$D$2,V364/U364&lt;3),"Serious", AND(W364&gt;$D$1*-1,W364&lt;$D$1,OR(X364&lt;=$D$2*-1,Y364&gt;=$D$2),V364/U364&lt;3),"Very serious", AND(W364&gt;$D$1*-1,W364&lt;$D$1,X364&gt;$D$1*-1,Y364&lt;$D$1,V364/U364&gt;=3),"Very serious", AND(W364&gt;$D$1*-1,W364&lt;$D$1,OR(X364&lt;=$D$1*-1,Y364&gt;=$D$1),X364&gt;$D$2*-1,Y364&lt;$D$2,V364/U364&gt;=3),"Very serious", AND(W364&gt;$D$1*-1,W364&lt;$D$1,OR(X364&lt;=$D$2*-1,Y364&gt;=$D$2),V364/U364&gt;=3),"Very serious"),"")),"")</f>
        <v/>
      </c>
      <c r="AT364" s="109" t="str">
        <f t="shared" si="9"/>
        <v/>
      </c>
      <c r="AU364" s="64"/>
      <c r="AV364" s="83"/>
      <c r="AW364" s="83"/>
      <c r="AX364" s="83"/>
      <c r="AY364" s="83"/>
      <c r="AZ364" s="83"/>
      <c r="BA364" s="85"/>
      <c r="BB364" s="86" t="str">
        <f>IF(Preferences!B$9="Manual","",IFS(ISBLANK(B364),"",AND(ISNUMBER(E364)=TRUE,ISNUMBER(T364)=FALSE),"Direct", AND(ISNUMBER(E364)=FALSE,ISNUMBER(T364)=TRUE),"Indirect", CN364=4,"Direct",AND(CL364=FALSE, CM364=TRUE,CN364-CO364&gt;-1),"Direct", AND(CL364=FALSE,CM364=TRUE, CN364-CO364&lt;0),"Check algorithm in appendix 2", AND(CL364=TRUE, CM364=FALSE,CN364-CO364&gt;0),"Check algorithm in appendix 2", AND(CL364=TRUE, CM364=FALSE,CN364-CO364=0),"Indirect", AND(CL364=TRUE, CM364=FALSE,CN364-CO364&lt;0),"Indirect", AND(CL364=FALSE,CM364=FALSE,CN364-CO364&gt;-1),"Direct", AND(CL364=FALSE,CM364=FALSE,CN364-CO364&lt;0),"Check algorithm in appendix 2", AND(CL364=TRUE,CM364=TRUE,CN364-CO364&gt;-1),"Direct", AND(CL364=TRUE,CM364=TRUE,CN364-CO364&lt;0),"Check algorithm in appendix 2"))</f>
        <v/>
      </c>
      <c r="BC364" s="120" t="str">
        <f t="shared" si="10"/>
        <v/>
      </c>
      <c r="BD364" s="140"/>
      <c r="BE364" s="122" t="str">
        <f>IF(Preferences!B$3="Manual","", IFERROR(IFS(AND(Preferences!B$3="Automatic",AX364/AW364&gt;=30),"Extremely serious",AND(AY364&lt;=$D$1*-1,BA364&lt;0,AX364/AW364&lt;3),"Not Serious",AND(AY364&lt;=$D$1*-1,BA364&lt;0,AX364/AW364&gt;=3),"Very serious",AND(AY364&gt;=$D$1,AZ364&gt;0,AX364/AW364&lt;3),"Not Serious",AND(AY364&gt;=$D$1,AZ364&gt;0,AX364/AW364&gt;=3),"Very serious",AND(AY364&lt;=$D$1*-1,BA364&gt;0,AZ364&gt;$D$2*-1,AX364/AW364&lt;3),"Serious", AND(AY364&lt;=$D$1*-1,BA364&gt;0,AZ364&lt;$D$2*-1,AX364/AW364&lt;3),"Very serious", AND(AY364&gt;=$D$1,AZ364&lt;0,BA364&lt;$D$2,AX364/AW364&lt;3),"Serious",AND(AY364&gt;=$D$1,AZ364&lt;0,BA364&gt;$D$2,AX364/AW364&lt;3),"Very serious", AND(AY364&lt;=$D$1*-1,BA364&gt;0,AZ364&gt;$D$2*-1,AX364/AW364&gt;=3),"Very serious", AND(AY364&lt;=$D$1*-1,BA364&gt;0,AZ364&lt;$D$2*-1,AX364/AW364&gt;=3),"Very serious", AND(AY364&gt;=$D$1,AZ364&lt;0,BA364&lt;$D$2,AX364/AW364&gt;=3),"Very serious", AND(AY364&gt;=$D$1,AZ364&lt;0,BA364&gt;$D$2,AX364/AW364&gt;=3),"Very serious", AND(AY364&gt;$D$1*-1,AY364&lt;$D$1,AZ364&gt;$D$1*-1,BA364&lt;$D$1,AX364/AW364&lt;3),"Not Serious", AND(AY364&gt;$D$1*-1,AY364&lt;$D$1,OR(AZ364&lt;=$D$1*-1,BA364&gt;=$D$1),AZ364&gt;$D$2*-1,BA364&lt;$D$2,AX364/AW364&lt;3),"Serious", AND(AY364&gt;$D$1*-1,AY364&lt;$D$1,OR(AZ364&lt;=$D$2*-1,BA364&gt;=$D$2),AX364/AW364&lt;3),"Very serious", AND(AY364&gt;$D$1*-1,AY364&lt;$D$1,AZ364&gt;$D$1*-1,BA364&lt;$D$1,AX364/AW364&gt;=3),"Very serious", AND(AY364&gt;$D$1*-1,AY364&lt;$D$1,OR(AZ364&lt;=$D$1*-1,BA364&gt;=$D$1),AZ364&gt;$D$2*-1,BA364&lt;$D$2,AX364/AW364&gt;=3),"Very serious", AND(AY364&gt;$D$1*-1,AY364&lt;$D$1,OR(AZ364&lt;=$D$2*-1,BA364&gt;=$D$2),AX364/AW364&gt;=3),"Very serious"),""))</f>
        <v/>
      </c>
      <c r="BF364" s="107" t="str">
        <f t="shared" si="11"/>
        <v/>
      </c>
      <c r="BG364" s="94" t="str">
        <f t="shared" si="46"/>
        <v/>
      </c>
      <c r="BH364" s="64" t="str">
        <f t="shared" si="12"/>
        <v>#N/A</v>
      </c>
      <c r="BI364" s="64" t="str">
        <f t="shared" si="13"/>
        <v/>
      </c>
      <c r="BJ364" s="123" t="str">
        <f t="shared" si="14"/>
        <v>#N/A</v>
      </c>
      <c r="BK364" s="64" t="str">
        <f t="shared" si="50"/>
        <v>YES</v>
      </c>
      <c r="BL364" s="64" t="str">
        <f t="shared" si="16"/>
        <v>YES</v>
      </c>
      <c r="BM364" s="64" t="str">
        <f t="shared" si="17"/>
        <v>YES</v>
      </c>
      <c r="BN364" s="124" t="str">
        <f t="shared" si="18"/>
        <v/>
      </c>
      <c r="BO364" s="91" t="str">
        <f t="shared" si="19"/>
        <v/>
      </c>
      <c r="BP364" s="91" t="str">
        <f t="shared" si="20"/>
        <v>#N/A</v>
      </c>
      <c r="BQ364" s="91" t="str">
        <f t="shared" si="21"/>
        <v/>
      </c>
      <c r="BR364" s="93" t="str">
        <f t="shared" si="22"/>
        <v/>
      </c>
      <c r="BS364" s="90" t="str">
        <f t="shared" si="23"/>
        <v/>
      </c>
      <c r="BT364" s="93" t="str">
        <f t="shared" si="24"/>
        <v>NA</v>
      </c>
      <c r="BU364" s="125" t="str">
        <f t="shared" si="25"/>
        <v>#N/A</v>
      </c>
      <c r="BV364" s="93" t="str">
        <f t="shared" si="26"/>
        <v/>
      </c>
      <c r="BW364" s="93" t="str">
        <f t="shared" si="27"/>
        <v/>
      </c>
      <c r="BX364" s="93" t="str">
        <f t="shared" si="28"/>
        <v>NA</v>
      </c>
      <c r="BY364" s="95" t="str">
        <f t="shared" si="29"/>
        <v>#N/A</v>
      </c>
      <c r="BZ364" s="93" t="str">
        <f t="shared" si="30"/>
        <v/>
      </c>
      <c r="CA364" s="93" t="str">
        <f t="shared" si="31"/>
        <v/>
      </c>
      <c r="CB364" s="93" t="str">
        <f t="shared" si="32"/>
        <v>NA</v>
      </c>
      <c r="CC364" s="96" t="str">
        <f t="shared" si="33"/>
        <v>#N/A</v>
      </c>
      <c r="CD364" s="93" t="str">
        <f t="shared" si="34"/>
        <v/>
      </c>
      <c r="CE364" s="93" t="str">
        <f t="shared" si="35"/>
        <v/>
      </c>
      <c r="CF364" s="93" t="str">
        <f t="shared" si="36"/>
        <v>NA</v>
      </c>
      <c r="CG364" s="97" t="str">
        <f t="shared" si="37"/>
        <v>#N/A</v>
      </c>
      <c r="CH364" s="98" t="str">
        <f t="shared" si="38"/>
        <v>#N/A</v>
      </c>
      <c r="CI364" s="99" t="str">
        <f t="shared" si="39"/>
        <v>#N/A</v>
      </c>
      <c r="CJ364" s="126" t="str">
        <f t="shared" si="40"/>
        <v>ERROR: check cell</v>
      </c>
      <c r="CK364" s="126"/>
      <c r="CL364" s="127" t="str">
        <f t="shared" si="41"/>
        <v>#DIV/0!</v>
      </c>
      <c r="CM364" s="128" t="str">
        <f t="shared" si="42"/>
        <v>#DIV/0!</v>
      </c>
      <c r="CN364" s="128">
        <f t="shared" si="43"/>
        <v>4</v>
      </c>
      <c r="CO364" s="129">
        <f t="shared" si="44"/>
        <v>4</v>
      </c>
      <c r="CP364" s="129" t="str">
        <f>IFS(C364=Preferences!B$13,B364,B364=Preferences!B$13,C364)</f>
        <v>#N/A</v>
      </c>
    </row>
    <row r="365" ht="13.5" customHeight="1">
      <c r="A365" s="63" t="str">
        <f t="shared" si="45"/>
        <v/>
      </c>
      <c r="B365" s="64"/>
      <c r="C365" s="64"/>
      <c r="D365" s="64"/>
      <c r="E365" s="65"/>
      <c r="F365" s="65"/>
      <c r="G365" s="65"/>
      <c r="H365" s="66"/>
      <c r="I365" s="66"/>
      <c r="J365" s="67"/>
      <c r="K365" s="68"/>
      <c r="L365" s="104"/>
      <c r="M365" s="104"/>
      <c r="N365" s="104"/>
      <c r="O365" s="104"/>
      <c r="P365" s="107" t="str">
        <f t="shared" si="1"/>
        <v/>
      </c>
      <c r="Q365" s="108" t="str">
        <f>IFERROR(IF(AND(Preferences!B$3="Manual",OR(AX365/AW365&gt;G365/F365,BD365="Serious",BD365="Very serious")),"Assess imprecision",IFS(ISBLANK(E365),"",AND(Preferences!B$3="Automatic", G365/F365&gt;=30),"Extremely serious",AND(H365&lt;=$D$1*-1,J365&lt;0,G365/F365&lt;3),"Not serious",AND(H365&lt;=$D$1*-1,J365&lt;0,G365/F365&gt;=3),"Very serious",AND(H365&gt;=$D$1,I365&gt;0,G365/F365&lt;3),"Not serious",AND(H365&gt;=$D$1,I365&gt;0,G365/F365&gt;=3),"Very serious",AND(H365&lt;=$D$1*-1,J365&gt;0,I365&gt;$D$2*-1,G365/F365&lt;3),"Serious", AND(H365&lt;=$D$1*-1,J365&gt;0,I365&lt;$D$2*-1,G365/F365&lt;3),"Very serious", AND(H365&gt;=$D$1,I365&lt;0,J365&lt;$D$2,G365/F365&lt;3),"Serious",AND(H365&gt;=$D$1,I365&lt;0,J365&gt;$D$2,G365/F365&lt;3),"Very serious", AND(H365&lt;=$D$1*-1,J365&gt;0,I365&gt;$D$2*-1,G365/F365&gt;=3),"Very serious", AND(H365&lt;=$D$1*-1,J365&gt;0,I365&lt;$D$2*-1,G365/F365&gt;=3),"Very serious", AND(H365&gt;=$D$1,I365&lt;0,J365&lt;$D$2,G365/F365&gt;=3),"Very serious", AND(H365&gt;=$D$1,I365&lt;0,J365&gt;$D$2,G365/F365&gt;=3),"Very serious", AND(H365&gt;$D$1*-1,H365&lt;$D$1,I365&gt;$D$1*-1,J365&lt;$D$1,G365/F365&lt;3),"Not serious", AND(H365&gt;$D$1*-1,H365&lt;$D$1,OR(I365&lt;=$D$1*-1,J365&gt;=$D$1),I365&gt;$D$2*-1,J365&lt;$D$2,G365/F365&lt;3),"Serious", AND(H365&gt;$D$1*-1,H365&lt;$D$1,OR(I365&lt;=$D$2*-1,J365&gt;=$D$2),G365/F365&lt;3),"Very serious", AND(H365&gt;$D$1*-1,H365&lt;$D$1,I365&gt;$D$1*-1,J365&lt;$D$1,G365/F365&gt;=3),"Very serious", AND(H365&gt;$D$1*-1,H365&lt;$D$1,OR(I365&lt;=$D$1*-1,J365&gt;=$D$1),I365&gt;$D$2*-1,J365&lt;$D$2,G365/F365&gt;=3),"Very serious", AND(H365&gt;$D$1*-1,H365&lt;$D$1,OR(I365&lt;=$D$2*-1,J365&gt;=$D$2),G365/F365&gt;=3),"Very serious")),"")</f>
        <v/>
      </c>
      <c r="R365" s="109" t="str">
        <f t="shared" si="47"/>
        <v/>
      </c>
      <c r="S365" s="64"/>
      <c r="T365" s="72"/>
      <c r="U365" s="72"/>
      <c r="V365" s="72"/>
      <c r="W365" s="73"/>
      <c r="X365" s="73"/>
      <c r="Y365" s="74"/>
      <c r="Z365" s="113" t="str">
        <f t="array" ref="Z365">INDEX($A$1:$C$500, MATCH(1,($B:$B=$B365)*($C:$C=$AB365),0),1)</f>
        <v/>
      </c>
      <c r="AA365" s="113" t="str">
        <f t="array" ref="AA365">INDEX($A$1:$C$500, MATCH(1,($B:$B=$AB365)*($C:$C=$B365),0),1)</f>
        <v/>
      </c>
      <c r="AB365" s="111"/>
      <c r="AC365" s="114" t="str">
        <f t="shared" si="2"/>
        <v/>
      </c>
      <c r="AD365" s="115" t="str">
        <f t="shared" si="3"/>
        <v/>
      </c>
      <c r="AE365" s="116" t="str">
        <f t="array" ref="AE365">INDEX($A$1:$C$500, MATCH(1,($B:$B=$AB365)*($C:$C=$AG365),0),1)</f>
        <v/>
      </c>
      <c r="AF365" s="116" t="str">
        <f t="array" ref="AF365">INDEX($A$1:$C$500, MATCH(1,($B:$B=$AG365)*($C:$C=$AB365),0),1)</f>
        <v/>
      </c>
      <c r="AG365" s="72"/>
      <c r="AH365" s="114" t="str">
        <f t="shared" si="4"/>
        <v/>
      </c>
      <c r="AI365" s="115" t="str">
        <f t="shared" si="5"/>
        <v/>
      </c>
      <c r="AJ365" s="116" t="str">
        <f t="array" ref="AJ365">INDEX($A$1:$C$500, MATCH(1,($B:$B=$C365)*($C:$C=$AG365),0),1)</f>
        <v/>
      </c>
      <c r="AK365" s="116" t="str">
        <f t="array" ref="AK365">INDEX($A$1:$C$500, MATCH(1,($B:$B=$AG365)*($C:$C=$C365),0),1)</f>
        <v/>
      </c>
      <c r="AL365" s="116" t="str">
        <f t="array" ref="AL365">INDEX($A$1:$C$500, MATCH(1,($B:$B=$C365)*($C:$C=$AB365),0),1)</f>
        <v/>
      </c>
      <c r="AM365" s="116" t="str">
        <f t="array" ref="AM365">INDEX($A$1:$C$500, MATCH(1,($B:$B=$AB365)*($C:$C=$C365),0),1)</f>
        <v/>
      </c>
      <c r="AN365" s="114" t="str">
        <f t="array" ref="AN365">IFS(ISNUMBER(AJ365),AJ365,ISNUMBER(AK365),AK365,ISNUMBER(AL365),AL365,ISNUMBER(AM365),AM365)</f>
        <v>#N/A</v>
      </c>
      <c r="AO365" s="115" t="str">
        <f t="shared" si="6"/>
        <v/>
      </c>
      <c r="AP365" s="115" t="str">
        <f t="shared" si="7"/>
        <v/>
      </c>
      <c r="AQ365" s="111"/>
      <c r="AR365" s="109" t="str">
        <f t="shared" si="8"/>
        <v/>
      </c>
      <c r="AS365" s="72" t="str">
        <f>IFERROR(IF(AND(Preferences!B$3="Manual",OR(AX365/AW365&gt;V365/U365,BD365="Serious",BD365="Very serious")),"Assess imprecision",IFERROR(IFS(AND(Preferences!B$3="Automatic",V365/U365&gt;=30),"Extremely serious",AND(W365&lt;=$D$1*-1,Y365&lt;0,V365/U365&lt;3),"Not Serious",AND(W365&lt;=$D$1*-1,Y365&lt;0,V365/U365&gt;=3),"Very serious",AND(W365&gt;=$D$1,X365&gt;0,V365/U365&lt;3),"Not Serious",AND(W365&gt;=$D$1,X365&gt;0,V365/U365&gt;=3),"Very serious",AND(W365&lt;=$D$1*-1,Y365&gt;0,X365&gt;$D$2*-1,V365/U365&lt;3),"Serious", AND(W365&lt;=$D$1*-1,Y365&gt;0,X365&lt;$D$2*-1,V365/U365&lt;3),"Very serious", AND(W365&gt;=$D$1,X365&lt;0,Y365&lt;$D$2,V365/U365&lt;3),"Serious",AND(W365&gt;=$D$1,X365&lt;0,Y365&gt;$D$2,V365/U365&lt;3),"Very serious", AND(W365&lt;=$D$1*-1,Y365&gt;0,X365&gt;$D$2*-1,V365/U365&gt;=3),"Very serious", AND(W365&lt;=$D$1*-1,Y365&gt;0,X365&lt;$D$2*-1,V365/U365&gt;=3),"Very serious", AND(W365&gt;=$D$1,X365&lt;0,Y365&lt;$D$2,V365/U365&gt;=3),"Very serious", AND(W365&gt;=$D$1,X365&lt;0,Y365&gt;$D$2,V365/U365&gt;=3),"Very serious", AND(W365&gt;$D$1*-1,W365&lt;$D$1,X365&gt;$D$1*-1,Y365&lt;$D$1,V365/U365&lt;3),"Not Serious", AND(W365&gt;$D$1*-1,W365&lt;$D$1,OR(X365&lt;=$D$1*-1,Y365&gt;=$D$1),X365&gt;$D$2*-1,Y365&lt;$D$2,V365/U365&lt;3),"Serious", AND(W365&gt;$D$1*-1,W365&lt;$D$1,OR(X365&lt;=$D$2*-1,Y365&gt;=$D$2),V365/U365&lt;3),"Very serious", AND(W365&gt;$D$1*-1,W365&lt;$D$1,X365&gt;$D$1*-1,Y365&lt;$D$1,V365/U365&gt;=3),"Very serious", AND(W365&gt;$D$1*-1,W365&lt;$D$1,OR(X365&lt;=$D$1*-1,Y365&gt;=$D$1),X365&gt;$D$2*-1,Y365&lt;$D$2,V365/U365&gt;=3),"Very serious", AND(W365&gt;$D$1*-1,W365&lt;$D$1,OR(X365&lt;=$D$2*-1,Y365&gt;=$D$2),V365/U365&gt;=3),"Very serious"),"")),"")</f>
        <v/>
      </c>
      <c r="AT365" s="109" t="str">
        <f t="shared" si="9"/>
        <v/>
      </c>
      <c r="AU365" s="64"/>
      <c r="AV365" s="83"/>
      <c r="AW365" s="83"/>
      <c r="AX365" s="83"/>
      <c r="AY365" s="83"/>
      <c r="AZ365" s="83"/>
      <c r="BA365" s="85"/>
      <c r="BB365" s="86" t="str">
        <f>IF(Preferences!B$9="Manual","",IFS(ISBLANK(B365),"",AND(ISNUMBER(E365)=TRUE,ISNUMBER(T365)=FALSE),"Direct", AND(ISNUMBER(E365)=FALSE,ISNUMBER(T365)=TRUE),"Indirect", CN365=4,"Direct",AND(CL365=FALSE, CM365=TRUE,CN365-CO365&gt;-1),"Direct", AND(CL365=FALSE,CM365=TRUE, CN365-CO365&lt;0),"Check algorithm in appendix 2", AND(CL365=TRUE, CM365=FALSE,CN365-CO365&gt;0),"Check algorithm in appendix 2", AND(CL365=TRUE, CM365=FALSE,CN365-CO365=0),"Indirect", AND(CL365=TRUE, CM365=FALSE,CN365-CO365&lt;0),"Indirect", AND(CL365=FALSE,CM365=FALSE,CN365-CO365&gt;-1),"Direct", AND(CL365=FALSE,CM365=FALSE,CN365-CO365&lt;0),"Check algorithm in appendix 2", AND(CL365=TRUE,CM365=TRUE,CN365-CO365&gt;-1),"Direct", AND(CL365=TRUE,CM365=TRUE,CN365-CO365&lt;0),"Check algorithm in appendix 2"))</f>
        <v/>
      </c>
      <c r="BC365" s="120" t="str">
        <f t="shared" si="10"/>
        <v/>
      </c>
      <c r="BD365" s="140"/>
      <c r="BE365" s="122" t="str">
        <f>IF(Preferences!B$3="Manual","", IFERROR(IFS(AND(Preferences!B$3="Automatic",AX365/AW365&gt;=30),"Extremely serious",AND(AY365&lt;=$D$1*-1,BA365&lt;0,AX365/AW365&lt;3),"Not Serious",AND(AY365&lt;=$D$1*-1,BA365&lt;0,AX365/AW365&gt;=3),"Very serious",AND(AY365&gt;=$D$1,AZ365&gt;0,AX365/AW365&lt;3),"Not Serious",AND(AY365&gt;=$D$1,AZ365&gt;0,AX365/AW365&gt;=3),"Very serious",AND(AY365&lt;=$D$1*-1,BA365&gt;0,AZ365&gt;$D$2*-1,AX365/AW365&lt;3),"Serious", AND(AY365&lt;=$D$1*-1,BA365&gt;0,AZ365&lt;$D$2*-1,AX365/AW365&lt;3),"Very serious", AND(AY365&gt;=$D$1,AZ365&lt;0,BA365&lt;$D$2,AX365/AW365&lt;3),"Serious",AND(AY365&gt;=$D$1,AZ365&lt;0,BA365&gt;$D$2,AX365/AW365&lt;3),"Very serious", AND(AY365&lt;=$D$1*-1,BA365&gt;0,AZ365&gt;$D$2*-1,AX365/AW365&gt;=3),"Very serious", AND(AY365&lt;=$D$1*-1,BA365&gt;0,AZ365&lt;$D$2*-1,AX365/AW365&gt;=3),"Very serious", AND(AY365&gt;=$D$1,AZ365&lt;0,BA365&lt;$D$2,AX365/AW365&gt;=3),"Very serious", AND(AY365&gt;=$D$1,AZ365&lt;0,BA365&gt;$D$2,AX365/AW365&gt;=3),"Very serious", AND(AY365&gt;$D$1*-1,AY365&lt;$D$1,AZ365&gt;$D$1*-1,BA365&lt;$D$1,AX365/AW365&lt;3),"Not Serious", AND(AY365&gt;$D$1*-1,AY365&lt;$D$1,OR(AZ365&lt;=$D$1*-1,BA365&gt;=$D$1),AZ365&gt;$D$2*-1,BA365&lt;$D$2,AX365/AW365&lt;3),"Serious", AND(AY365&gt;$D$1*-1,AY365&lt;$D$1,OR(AZ365&lt;=$D$2*-1,BA365&gt;=$D$2),AX365/AW365&lt;3),"Very serious", AND(AY365&gt;$D$1*-1,AY365&lt;$D$1,AZ365&gt;$D$1*-1,BA365&lt;$D$1,AX365/AW365&gt;=3),"Very serious", AND(AY365&gt;$D$1*-1,AY365&lt;$D$1,OR(AZ365&lt;=$D$1*-1,BA365&gt;=$D$1),AZ365&gt;$D$2*-1,BA365&lt;$D$2,AX365/AW365&gt;=3),"Very serious", AND(AY365&gt;$D$1*-1,AY365&lt;$D$1,OR(AZ365&lt;=$D$2*-1,BA365&gt;=$D$2),AX365/AW365&gt;=3),"Very serious"),""))</f>
        <v/>
      </c>
      <c r="BF365" s="107" t="str">
        <f t="shared" si="11"/>
        <v/>
      </c>
      <c r="BG365" s="94" t="str">
        <f t="shared" si="46"/>
        <v/>
      </c>
      <c r="BH365" s="64" t="str">
        <f t="shared" si="12"/>
        <v>#N/A</v>
      </c>
      <c r="BI365" s="64" t="str">
        <f t="shared" si="13"/>
        <v/>
      </c>
      <c r="BJ365" s="123" t="str">
        <f t="shared" si="14"/>
        <v>#N/A</v>
      </c>
      <c r="BK365" s="64" t="str">
        <f t="shared" si="50"/>
        <v>YES</v>
      </c>
      <c r="BL365" s="64" t="str">
        <f t="shared" si="16"/>
        <v>YES</v>
      </c>
      <c r="BM365" s="64" t="str">
        <f t="shared" si="17"/>
        <v>YES</v>
      </c>
      <c r="BN365" s="124" t="str">
        <f t="shared" si="18"/>
        <v/>
      </c>
      <c r="BO365" s="91" t="str">
        <f t="shared" si="19"/>
        <v/>
      </c>
      <c r="BP365" s="91" t="str">
        <f t="shared" si="20"/>
        <v>#N/A</v>
      </c>
      <c r="BQ365" s="91" t="str">
        <f t="shared" si="21"/>
        <v/>
      </c>
      <c r="BR365" s="93" t="str">
        <f t="shared" si="22"/>
        <v/>
      </c>
      <c r="BS365" s="90" t="str">
        <f t="shared" si="23"/>
        <v/>
      </c>
      <c r="BT365" s="93" t="str">
        <f t="shared" si="24"/>
        <v>NA</v>
      </c>
      <c r="BU365" s="125" t="str">
        <f t="shared" si="25"/>
        <v>#N/A</v>
      </c>
      <c r="BV365" s="93" t="str">
        <f t="shared" si="26"/>
        <v/>
      </c>
      <c r="BW365" s="93" t="str">
        <f t="shared" si="27"/>
        <v/>
      </c>
      <c r="BX365" s="93" t="str">
        <f t="shared" si="28"/>
        <v>NA</v>
      </c>
      <c r="BY365" s="95" t="str">
        <f t="shared" si="29"/>
        <v>#N/A</v>
      </c>
      <c r="BZ365" s="93" t="str">
        <f t="shared" si="30"/>
        <v/>
      </c>
      <c r="CA365" s="93" t="str">
        <f t="shared" si="31"/>
        <v/>
      </c>
      <c r="CB365" s="93" t="str">
        <f t="shared" si="32"/>
        <v>NA</v>
      </c>
      <c r="CC365" s="96" t="str">
        <f t="shared" si="33"/>
        <v>#N/A</v>
      </c>
      <c r="CD365" s="93" t="str">
        <f t="shared" si="34"/>
        <v/>
      </c>
      <c r="CE365" s="93" t="str">
        <f t="shared" si="35"/>
        <v/>
      </c>
      <c r="CF365" s="93" t="str">
        <f t="shared" si="36"/>
        <v>NA</v>
      </c>
      <c r="CG365" s="97" t="str">
        <f t="shared" si="37"/>
        <v>#N/A</v>
      </c>
      <c r="CH365" s="98" t="str">
        <f t="shared" si="38"/>
        <v>#N/A</v>
      </c>
      <c r="CI365" s="99" t="str">
        <f t="shared" si="39"/>
        <v>#N/A</v>
      </c>
      <c r="CJ365" s="126" t="str">
        <f t="shared" si="40"/>
        <v>ERROR: check cell</v>
      </c>
      <c r="CK365" s="126"/>
      <c r="CL365" s="127" t="str">
        <f t="shared" si="41"/>
        <v>#DIV/0!</v>
      </c>
      <c r="CM365" s="128" t="str">
        <f t="shared" si="42"/>
        <v>#DIV/0!</v>
      </c>
      <c r="CN365" s="128">
        <f t="shared" si="43"/>
        <v>4</v>
      </c>
      <c r="CO365" s="129">
        <f t="shared" si="44"/>
        <v>4</v>
      </c>
      <c r="CP365" s="129" t="str">
        <f>IFS(C365=Preferences!B$13,B365,B365=Preferences!B$13,C365)</f>
        <v>#N/A</v>
      </c>
    </row>
    <row r="366" ht="13.5" customHeight="1">
      <c r="A366" s="63" t="str">
        <f t="shared" si="45"/>
        <v/>
      </c>
      <c r="B366" s="64"/>
      <c r="C366" s="64"/>
      <c r="D366" s="64"/>
      <c r="E366" s="65"/>
      <c r="F366" s="65"/>
      <c r="G366" s="65"/>
      <c r="H366" s="66"/>
      <c r="I366" s="66"/>
      <c r="J366" s="67"/>
      <c r="K366" s="68"/>
      <c r="L366" s="104"/>
      <c r="M366" s="104"/>
      <c r="N366" s="104"/>
      <c r="O366" s="104"/>
      <c r="P366" s="107" t="str">
        <f t="shared" si="1"/>
        <v/>
      </c>
      <c r="Q366" s="108" t="str">
        <f>IFERROR(IF(AND(Preferences!B$3="Manual",OR(AX366/AW366&gt;G366/F366,BD366="Serious",BD366="Very serious")),"Assess imprecision",IFS(ISBLANK(E366),"",AND(Preferences!B$3="Automatic", G366/F366&gt;=30),"Extremely serious",AND(H366&lt;=$D$1*-1,J366&lt;0,G366/F366&lt;3),"Not serious",AND(H366&lt;=$D$1*-1,J366&lt;0,G366/F366&gt;=3),"Very serious",AND(H366&gt;=$D$1,I366&gt;0,G366/F366&lt;3),"Not serious",AND(H366&gt;=$D$1,I366&gt;0,G366/F366&gt;=3),"Very serious",AND(H366&lt;=$D$1*-1,J366&gt;0,I366&gt;$D$2*-1,G366/F366&lt;3),"Serious", AND(H366&lt;=$D$1*-1,J366&gt;0,I366&lt;$D$2*-1,G366/F366&lt;3),"Very serious", AND(H366&gt;=$D$1,I366&lt;0,J366&lt;$D$2,G366/F366&lt;3),"Serious",AND(H366&gt;=$D$1,I366&lt;0,J366&gt;$D$2,G366/F366&lt;3),"Very serious", AND(H366&lt;=$D$1*-1,J366&gt;0,I366&gt;$D$2*-1,G366/F366&gt;=3),"Very serious", AND(H366&lt;=$D$1*-1,J366&gt;0,I366&lt;$D$2*-1,G366/F366&gt;=3),"Very serious", AND(H366&gt;=$D$1,I366&lt;0,J366&lt;$D$2,G366/F366&gt;=3),"Very serious", AND(H366&gt;=$D$1,I366&lt;0,J366&gt;$D$2,G366/F366&gt;=3),"Very serious", AND(H366&gt;$D$1*-1,H366&lt;$D$1,I366&gt;$D$1*-1,J366&lt;$D$1,G366/F366&lt;3),"Not serious", AND(H366&gt;$D$1*-1,H366&lt;$D$1,OR(I366&lt;=$D$1*-1,J366&gt;=$D$1),I366&gt;$D$2*-1,J366&lt;$D$2,G366/F366&lt;3),"Serious", AND(H366&gt;$D$1*-1,H366&lt;$D$1,OR(I366&lt;=$D$2*-1,J366&gt;=$D$2),G366/F366&lt;3),"Very serious", AND(H366&gt;$D$1*-1,H366&lt;$D$1,I366&gt;$D$1*-1,J366&lt;$D$1,G366/F366&gt;=3),"Very serious", AND(H366&gt;$D$1*-1,H366&lt;$D$1,OR(I366&lt;=$D$1*-1,J366&gt;=$D$1),I366&gt;$D$2*-1,J366&lt;$D$2,G366/F366&gt;=3),"Very serious", AND(H366&gt;$D$1*-1,H366&lt;$D$1,OR(I366&lt;=$D$2*-1,J366&gt;=$D$2),G366/F366&gt;=3),"Very serious")),"")</f>
        <v/>
      </c>
      <c r="R366" s="109" t="str">
        <f t="shared" si="47"/>
        <v/>
      </c>
      <c r="S366" s="64"/>
      <c r="T366" s="72"/>
      <c r="U366" s="72"/>
      <c r="V366" s="72"/>
      <c r="W366" s="73"/>
      <c r="X366" s="73"/>
      <c r="Y366" s="74"/>
      <c r="Z366" s="113" t="str">
        <f t="array" ref="Z366">INDEX($A$1:$C$500, MATCH(1,($B:$B=$B366)*($C:$C=$AB366),0),1)</f>
        <v/>
      </c>
      <c r="AA366" s="113" t="str">
        <f t="array" ref="AA366">INDEX($A$1:$C$500, MATCH(1,($B:$B=$AB366)*($C:$C=$B366),0),1)</f>
        <v/>
      </c>
      <c r="AB366" s="111"/>
      <c r="AC366" s="114" t="str">
        <f t="shared" si="2"/>
        <v/>
      </c>
      <c r="AD366" s="115" t="str">
        <f t="shared" si="3"/>
        <v/>
      </c>
      <c r="AE366" s="116" t="str">
        <f t="array" ref="AE366">INDEX($A$1:$C$500, MATCH(1,($B:$B=$AB366)*($C:$C=$AG366),0),1)</f>
        <v/>
      </c>
      <c r="AF366" s="116" t="str">
        <f t="array" ref="AF366">INDEX($A$1:$C$500, MATCH(1,($B:$B=$AG366)*($C:$C=$AB366),0),1)</f>
        <v/>
      </c>
      <c r="AG366" s="72"/>
      <c r="AH366" s="114" t="str">
        <f t="shared" si="4"/>
        <v/>
      </c>
      <c r="AI366" s="115" t="str">
        <f t="shared" si="5"/>
        <v/>
      </c>
      <c r="AJ366" s="116" t="str">
        <f t="array" ref="AJ366">INDEX($A$1:$C$500, MATCH(1,($B:$B=$C366)*($C:$C=$AG366),0),1)</f>
        <v/>
      </c>
      <c r="AK366" s="116" t="str">
        <f t="array" ref="AK366">INDEX($A$1:$C$500, MATCH(1,($B:$B=$AG366)*($C:$C=$C366),0),1)</f>
        <v/>
      </c>
      <c r="AL366" s="116" t="str">
        <f t="array" ref="AL366">INDEX($A$1:$C$500, MATCH(1,($B:$B=$C366)*($C:$C=$AB366),0),1)</f>
        <v/>
      </c>
      <c r="AM366" s="116" t="str">
        <f t="array" ref="AM366">INDEX($A$1:$C$500, MATCH(1,($B:$B=$AB366)*($C:$C=$C366),0),1)</f>
        <v/>
      </c>
      <c r="AN366" s="114" t="str">
        <f t="array" ref="AN366">IFS(ISNUMBER(AJ366),AJ366,ISNUMBER(AK366),AK366,ISNUMBER(AL366),AL366,ISNUMBER(AM366),AM366)</f>
        <v>#N/A</v>
      </c>
      <c r="AO366" s="115" t="str">
        <f t="shared" si="6"/>
        <v/>
      </c>
      <c r="AP366" s="115" t="str">
        <f t="shared" si="7"/>
        <v/>
      </c>
      <c r="AQ366" s="111"/>
      <c r="AR366" s="109" t="str">
        <f t="shared" si="8"/>
        <v/>
      </c>
      <c r="AS366" s="72" t="str">
        <f>IFERROR(IF(AND(Preferences!B$3="Manual",OR(AX366/AW366&gt;V366/U366,BD366="Serious",BD366="Very serious")),"Assess imprecision",IFERROR(IFS(AND(Preferences!B$3="Automatic",V366/U366&gt;=30),"Extremely serious",AND(W366&lt;=$D$1*-1,Y366&lt;0,V366/U366&lt;3),"Not Serious",AND(W366&lt;=$D$1*-1,Y366&lt;0,V366/U366&gt;=3),"Very serious",AND(W366&gt;=$D$1,X366&gt;0,V366/U366&lt;3),"Not Serious",AND(W366&gt;=$D$1,X366&gt;0,V366/U366&gt;=3),"Very serious",AND(W366&lt;=$D$1*-1,Y366&gt;0,X366&gt;$D$2*-1,V366/U366&lt;3),"Serious", AND(W366&lt;=$D$1*-1,Y366&gt;0,X366&lt;$D$2*-1,V366/U366&lt;3),"Very serious", AND(W366&gt;=$D$1,X366&lt;0,Y366&lt;$D$2,V366/U366&lt;3),"Serious",AND(W366&gt;=$D$1,X366&lt;0,Y366&gt;$D$2,V366/U366&lt;3),"Very serious", AND(W366&lt;=$D$1*-1,Y366&gt;0,X366&gt;$D$2*-1,V366/U366&gt;=3),"Very serious", AND(W366&lt;=$D$1*-1,Y366&gt;0,X366&lt;$D$2*-1,V366/U366&gt;=3),"Very serious", AND(W366&gt;=$D$1,X366&lt;0,Y366&lt;$D$2,V366/U366&gt;=3),"Very serious", AND(W366&gt;=$D$1,X366&lt;0,Y366&gt;$D$2,V366/U366&gt;=3),"Very serious", AND(W366&gt;$D$1*-1,W366&lt;$D$1,X366&gt;$D$1*-1,Y366&lt;$D$1,V366/U366&lt;3),"Not Serious", AND(W366&gt;$D$1*-1,W366&lt;$D$1,OR(X366&lt;=$D$1*-1,Y366&gt;=$D$1),X366&gt;$D$2*-1,Y366&lt;$D$2,V366/U366&lt;3),"Serious", AND(W366&gt;$D$1*-1,W366&lt;$D$1,OR(X366&lt;=$D$2*-1,Y366&gt;=$D$2),V366/U366&lt;3),"Very serious", AND(W366&gt;$D$1*-1,W366&lt;$D$1,X366&gt;$D$1*-1,Y366&lt;$D$1,V366/U366&gt;=3),"Very serious", AND(W366&gt;$D$1*-1,W366&lt;$D$1,OR(X366&lt;=$D$1*-1,Y366&gt;=$D$1),X366&gt;$D$2*-1,Y366&lt;$D$2,V366/U366&gt;=3),"Very serious", AND(W366&gt;$D$1*-1,W366&lt;$D$1,OR(X366&lt;=$D$2*-1,Y366&gt;=$D$2),V366/U366&gt;=3),"Very serious"),"")),"")</f>
        <v/>
      </c>
      <c r="AT366" s="109" t="str">
        <f t="shared" si="9"/>
        <v/>
      </c>
      <c r="AU366" s="64"/>
      <c r="AV366" s="83"/>
      <c r="AW366" s="83"/>
      <c r="AX366" s="83"/>
      <c r="AY366" s="83"/>
      <c r="AZ366" s="83"/>
      <c r="BA366" s="85"/>
      <c r="BB366" s="86" t="str">
        <f>IF(Preferences!B$9="Manual","",IFS(ISBLANK(B366),"",AND(ISNUMBER(E366)=TRUE,ISNUMBER(T366)=FALSE),"Direct", AND(ISNUMBER(E366)=FALSE,ISNUMBER(T366)=TRUE),"Indirect", CN366=4,"Direct",AND(CL366=FALSE, CM366=TRUE,CN366-CO366&gt;-1),"Direct", AND(CL366=FALSE,CM366=TRUE, CN366-CO366&lt;0),"Check algorithm in appendix 2", AND(CL366=TRUE, CM366=FALSE,CN366-CO366&gt;0),"Check algorithm in appendix 2", AND(CL366=TRUE, CM366=FALSE,CN366-CO366=0),"Indirect", AND(CL366=TRUE, CM366=FALSE,CN366-CO366&lt;0),"Indirect", AND(CL366=FALSE,CM366=FALSE,CN366-CO366&gt;-1),"Direct", AND(CL366=FALSE,CM366=FALSE,CN366-CO366&lt;0),"Check algorithm in appendix 2", AND(CL366=TRUE,CM366=TRUE,CN366-CO366&gt;-1),"Direct", AND(CL366=TRUE,CM366=TRUE,CN366-CO366&lt;0),"Check algorithm in appendix 2"))</f>
        <v/>
      </c>
      <c r="BC366" s="120" t="str">
        <f t="shared" si="10"/>
        <v/>
      </c>
      <c r="BD366" s="140"/>
      <c r="BE366" s="122" t="str">
        <f>IF(Preferences!B$3="Manual","", IFERROR(IFS(AND(Preferences!B$3="Automatic",AX366/AW366&gt;=30),"Extremely serious",AND(AY366&lt;=$D$1*-1,BA366&lt;0,AX366/AW366&lt;3),"Not Serious",AND(AY366&lt;=$D$1*-1,BA366&lt;0,AX366/AW366&gt;=3),"Very serious",AND(AY366&gt;=$D$1,AZ366&gt;0,AX366/AW366&lt;3),"Not Serious",AND(AY366&gt;=$D$1,AZ366&gt;0,AX366/AW366&gt;=3),"Very serious",AND(AY366&lt;=$D$1*-1,BA366&gt;0,AZ366&gt;$D$2*-1,AX366/AW366&lt;3),"Serious", AND(AY366&lt;=$D$1*-1,BA366&gt;0,AZ366&lt;$D$2*-1,AX366/AW366&lt;3),"Very serious", AND(AY366&gt;=$D$1,AZ366&lt;0,BA366&lt;$D$2,AX366/AW366&lt;3),"Serious",AND(AY366&gt;=$D$1,AZ366&lt;0,BA366&gt;$D$2,AX366/AW366&lt;3),"Very serious", AND(AY366&lt;=$D$1*-1,BA366&gt;0,AZ366&gt;$D$2*-1,AX366/AW366&gt;=3),"Very serious", AND(AY366&lt;=$D$1*-1,BA366&gt;0,AZ366&lt;$D$2*-1,AX366/AW366&gt;=3),"Very serious", AND(AY366&gt;=$D$1,AZ366&lt;0,BA366&lt;$D$2,AX366/AW366&gt;=3),"Very serious", AND(AY366&gt;=$D$1,AZ366&lt;0,BA366&gt;$D$2,AX366/AW366&gt;=3),"Very serious", AND(AY366&gt;$D$1*-1,AY366&lt;$D$1,AZ366&gt;$D$1*-1,BA366&lt;$D$1,AX366/AW366&lt;3),"Not Serious", AND(AY366&gt;$D$1*-1,AY366&lt;$D$1,OR(AZ366&lt;=$D$1*-1,BA366&gt;=$D$1),AZ366&gt;$D$2*-1,BA366&lt;$D$2,AX366/AW366&lt;3),"Serious", AND(AY366&gt;$D$1*-1,AY366&lt;$D$1,OR(AZ366&lt;=$D$2*-1,BA366&gt;=$D$2),AX366/AW366&lt;3),"Very serious", AND(AY366&gt;$D$1*-1,AY366&lt;$D$1,AZ366&gt;$D$1*-1,BA366&lt;$D$1,AX366/AW366&gt;=3),"Very serious", AND(AY366&gt;$D$1*-1,AY366&lt;$D$1,OR(AZ366&lt;=$D$1*-1,BA366&gt;=$D$1),AZ366&gt;$D$2*-1,BA366&lt;$D$2,AX366/AW366&gt;=3),"Very serious", AND(AY366&gt;$D$1*-1,AY366&lt;$D$1,OR(AZ366&lt;=$D$2*-1,BA366&gt;=$D$2),AX366/AW366&gt;=3),"Very serious"),""))</f>
        <v/>
      </c>
      <c r="BF366" s="107" t="str">
        <f t="shared" si="11"/>
        <v/>
      </c>
      <c r="BG366" s="94" t="str">
        <f t="shared" si="46"/>
        <v/>
      </c>
      <c r="BH366" s="64" t="str">
        <f t="shared" si="12"/>
        <v>#N/A</v>
      </c>
      <c r="BI366" s="64" t="str">
        <f t="shared" si="13"/>
        <v/>
      </c>
      <c r="BJ366" s="123" t="str">
        <f t="shared" si="14"/>
        <v>#N/A</v>
      </c>
      <c r="BK366" s="64" t="str">
        <f t="shared" si="50"/>
        <v>YES</v>
      </c>
      <c r="BL366" s="64" t="str">
        <f t="shared" si="16"/>
        <v>YES</v>
      </c>
      <c r="BM366" s="64" t="str">
        <f t="shared" si="17"/>
        <v>YES</v>
      </c>
      <c r="BN366" s="124" t="str">
        <f t="shared" si="18"/>
        <v/>
      </c>
      <c r="BO366" s="91" t="str">
        <f t="shared" si="19"/>
        <v/>
      </c>
      <c r="BP366" s="91" t="str">
        <f t="shared" si="20"/>
        <v>#N/A</v>
      </c>
      <c r="BQ366" s="91" t="str">
        <f t="shared" si="21"/>
        <v/>
      </c>
      <c r="BR366" s="93" t="str">
        <f t="shared" si="22"/>
        <v/>
      </c>
      <c r="BS366" s="90" t="str">
        <f t="shared" si="23"/>
        <v/>
      </c>
      <c r="BT366" s="93" t="str">
        <f t="shared" si="24"/>
        <v>NA</v>
      </c>
      <c r="BU366" s="125" t="str">
        <f t="shared" si="25"/>
        <v>#N/A</v>
      </c>
      <c r="BV366" s="93" t="str">
        <f t="shared" si="26"/>
        <v/>
      </c>
      <c r="BW366" s="93" t="str">
        <f t="shared" si="27"/>
        <v/>
      </c>
      <c r="BX366" s="93" t="str">
        <f t="shared" si="28"/>
        <v>NA</v>
      </c>
      <c r="BY366" s="95" t="str">
        <f t="shared" si="29"/>
        <v>#N/A</v>
      </c>
      <c r="BZ366" s="93" t="str">
        <f t="shared" si="30"/>
        <v/>
      </c>
      <c r="CA366" s="93" t="str">
        <f t="shared" si="31"/>
        <v/>
      </c>
      <c r="CB366" s="93" t="str">
        <f t="shared" si="32"/>
        <v>NA</v>
      </c>
      <c r="CC366" s="96" t="str">
        <f t="shared" si="33"/>
        <v>#N/A</v>
      </c>
      <c r="CD366" s="93" t="str">
        <f t="shared" si="34"/>
        <v/>
      </c>
      <c r="CE366" s="93" t="str">
        <f t="shared" si="35"/>
        <v/>
      </c>
      <c r="CF366" s="93" t="str">
        <f t="shared" si="36"/>
        <v>NA</v>
      </c>
      <c r="CG366" s="97" t="str">
        <f t="shared" si="37"/>
        <v>#N/A</v>
      </c>
      <c r="CH366" s="98" t="str">
        <f t="shared" si="38"/>
        <v>#N/A</v>
      </c>
      <c r="CI366" s="99" t="str">
        <f t="shared" si="39"/>
        <v>#N/A</v>
      </c>
      <c r="CJ366" s="126" t="str">
        <f t="shared" si="40"/>
        <v>ERROR: check cell</v>
      </c>
      <c r="CK366" s="126"/>
      <c r="CL366" s="127" t="str">
        <f t="shared" si="41"/>
        <v>#DIV/0!</v>
      </c>
      <c r="CM366" s="128" t="str">
        <f t="shared" si="42"/>
        <v>#DIV/0!</v>
      </c>
      <c r="CN366" s="128">
        <f t="shared" si="43"/>
        <v>4</v>
      </c>
      <c r="CO366" s="129">
        <f t="shared" si="44"/>
        <v>4</v>
      </c>
      <c r="CP366" s="129" t="str">
        <f>IFS(C366=Preferences!B$13,B366,B366=Preferences!B$13,C366)</f>
        <v>#N/A</v>
      </c>
    </row>
    <row r="367" ht="13.5" customHeight="1">
      <c r="A367" s="63" t="str">
        <f t="shared" si="45"/>
        <v/>
      </c>
      <c r="B367" s="64"/>
      <c r="C367" s="64"/>
      <c r="D367" s="64"/>
      <c r="E367" s="65"/>
      <c r="F367" s="65"/>
      <c r="G367" s="65"/>
      <c r="H367" s="66"/>
      <c r="I367" s="66"/>
      <c r="J367" s="67"/>
      <c r="K367" s="68"/>
      <c r="L367" s="104"/>
      <c r="M367" s="104"/>
      <c r="N367" s="104"/>
      <c r="O367" s="104"/>
      <c r="P367" s="107" t="str">
        <f t="shared" si="1"/>
        <v/>
      </c>
      <c r="Q367" s="108" t="str">
        <f>IFERROR(IF(AND(Preferences!B$3="Manual",OR(AX367/AW367&gt;G367/F367,BD367="Serious",BD367="Very serious")),"Assess imprecision",IFS(ISBLANK(E367),"",AND(Preferences!B$3="Automatic", G367/F367&gt;=30),"Extremely serious",AND(H367&lt;=$D$1*-1,J367&lt;0,G367/F367&lt;3),"Not serious",AND(H367&lt;=$D$1*-1,J367&lt;0,G367/F367&gt;=3),"Very serious",AND(H367&gt;=$D$1,I367&gt;0,G367/F367&lt;3),"Not serious",AND(H367&gt;=$D$1,I367&gt;0,G367/F367&gt;=3),"Very serious",AND(H367&lt;=$D$1*-1,J367&gt;0,I367&gt;$D$2*-1,G367/F367&lt;3),"Serious", AND(H367&lt;=$D$1*-1,J367&gt;0,I367&lt;$D$2*-1,G367/F367&lt;3),"Very serious", AND(H367&gt;=$D$1,I367&lt;0,J367&lt;$D$2,G367/F367&lt;3),"Serious",AND(H367&gt;=$D$1,I367&lt;0,J367&gt;$D$2,G367/F367&lt;3),"Very serious", AND(H367&lt;=$D$1*-1,J367&gt;0,I367&gt;$D$2*-1,G367/F367&gt;=3),"Very serious", AND(H367&lt;=$D$1*-1,J367&gt;0,I367&lt;$D$2*-1,G367/F367&gt;=3),"Very serious", AND(H367&gt;=$D$1,I367&lt;0,J367&lt;$D$2,G367/F367&gt;=3),"Very serious", AND(H367&gt;=$D$1,I367&lt;0,J367&gt;$D$2,G367/F367&gt;=3),"Very serious", AND(H367&gt;$D$1*-1,H367&lt;$D$1,I367&gt;$D$1*-1,J367&lt;$D$1,G367/F367&lt;3),"Not serious", AND(H367&gt;$D$1*-1,H367&lt;$D$1,OR(I367&lt;=$D$1*-1,J367&gt;=$D$1),I367&gt;$D$2*-1,J367&lt;$D$2,G367/F367&lt;3),"Serious", AND(H367&gt;$D$1*-1,H367&lt;$D$1,OR(I367&lt;=$D$2*-1,J367&gt;=$D$2),G367/F367&lt;3),"Very serious", AND(H367&gt;$D$1*-1,H367&lt;$D$1,I367&gt;$D$1*-1,J367&lt;$D$1,G367/F367&gt;=3),"Very serious", AND(H367&gt;$D$1*-1,H367&lt;$D$1,OR(I367&lt;=$D$1*-1,J367&gt;=$D$1),I367&gt;$D$2*-1,J367&lt;$D$2,G367/F367&gt;=3),"Very serious", AND(H367&gt;$D$1*-1,H367&lt;$D$1,OR(I367&lt;=$D$2*-1,J367&gt;=$D$2),G367/F367&gt;=3),"Very serious")),"")</f>
        <v/>
      </c>
      <c r="R367" s="109" t="str">
        <f t="shared" si="47"/>
        <v/>
      </c>
      <c r="S367" s="64"/>
      <c r="T367" s="72"/>
      <c r="U367" s="72"/>
      <c r="V367" s="72"/>
      <c r="W367" s="73"/>
      <c r="X367" s="73"/>
      <c r="Y367" s="74"/>
      <c r="Z367" s="113" t="str">
        <f t="array" ref="Z367">INDEX($A$1:$C$500, MATCH(1,($B:$B=$B367)*($C:$C=$AB367),0),1)</f>
        <v/>
      </c>
      <c r="AA367" s="113" t="str">
        <f t="array" ref="AA367">INDEX($A$1:$C$500, MATCH(1,($B:$B=$AB367)*($C:$C=$B367),0),1)</f>
        <v/>
      </c>
      <c r="AB367" s="111"/>
      <c r="AC367" s="114" t="str">
        <f t="shared" si="2"/>
        <v/>
      </c>
      <c r="AD367" s="115" t="str">
        <f t="shared" si="3"/>
        <v/>
      </c>
      <c r="AE367" s="116" t="str">
        <f t="array" ref="AE367">INDEX($A$1:$C$500, MATCH(1,($B:$B=$AB367)*($C:$C=$AG367),0),1)</f>
        <v/>
      </c>
      <c r="AF367" s="116" t="str">
        <f t="array" ref="AF367">INDEX($A$1:$C$500, MATCH(1,($B:$B=$AG367)*($C:$C=$AB367),0),1)</f>
        <v/>
      </c>
      <c r="AG367" s="72"/>
      <c r="AH367" s="114" t="str">
        <f t="shared" si="4"/>
        <v/>
      </c>
      <c r="AI367" s="115" t="str">
        <f t="shared" si="5"/>
        <v/>
      </c>
      <c r="AJ367" s="116" t="str">
        <f t="array" ref="AJ367">INDEX($A$1:$C$500, MATCH(1,($B:$B=$C367)*($C:$C=$AG367),0),1)</f>
        <v/>
      </c>
      <c r="AK367" s="116" t="str">
        <f t="array" ref="AK367">INDEX($A$1:$C$500, MATCH(1,($B:$B=$AG367)*($C:$C=$C367),0),1)</f>
        <v/>
      </c>
      <c r="AL367" s="116" t="str">
        <f t="array" ref="AL367">INDEX($A$1:$C$500, MATCH(1,($B:$B=$C367)*($C:$C=$AB367),0),1)</f>
        <v/>
      </c>
      <c r="AM367" s="116" t="str">
        <f t="array" ref="AM367">INDEX($A$1:$C$500, MATCH(1,($B:$B=$AB367)*($C:$C=$C367),0),1)</f>
        <v/>
      </c>
      <c r="AN367" s="114" t="str">
        <f t="array" ref="AN367">IFS(ISNUMBER(AJ367),AJ367,ISNUMBER(AK367),AK367,ISNUMBER(AL367),AL367,ISNUMBER(AM367),AM367)</f>
        <v>#N/A</v>
      </c>
      <c r="AO367" s="115" t="str">
        <f t="shared" si="6"/>
        <v/>
      </c>
      <c r="AP367" s="115" t="str">
        <f t="shared" si="7"/>
        <v/>
      </c>
      <c r="AQ367" s="111"/>
      <c r="AR367" s="109" t="str">
        <f t="shared" si="8"/>
        <v/>
      </c>
      <c r="AS367" s="72" t="str">
        <f>IFERROR(IF(AND(Preferences!B$3="Manual",OR(AX367/AW367&gt;V367/U367,BD367="Serious",BD367="Very serious")),"Assess imprecision",IFERROR(IFS(AND(Preferences!B$3="Automatic",V367/U367&gt;=30),"Extremely serious",AND(W367&lt;=$D$1*-1,Y367&lt;0,V367/U367&lt;3),"Not Serious",AND(W367&lt;=$D$1*-1,Y367&lt;0,V367/U367&gt;=3),"Very serious",AND(W367&gt;=$D$1,X367&gt;0,V367/U367&lt;3),"Not Serious",AND(W367&gt;=$D$1,X367&gt;0,V367/U367&gt;=3),"Very serious",AND(W367&lt;=$D$1*-1,Y367&gt;0,X367&gt;$D$2*-1,V367/U367&lt;3),"Serious", AND(W367&lt;=$D$1*-1,Y367&gt;0,X367&lt;$D$2*-1,V367/U367&lt;3),"Very serious", AND(W367&gt;=$D$1,X367&lt;0,Y367&lt;$D$2,V367/U367&lt;3),"Serious",AND(W367&gt;=$D$1,X367&lt;0,Y367&gt;$D$2,V367/U367&lt;3),"Very serious", AND(W367&lt;=$D$1*-1,Y367&gt;0,X367&gt;$D$2*-1,V367/U367&gt;=3),"Very serious", AND(W367&lt;=$D$1*-1,Y367&gt;0,X367&lt;$D$2*-1,V367/U367&gt;=3),"Very serious", AND(W367&gt;=$D$1,X367&lt;0,Y367&lt;$D$2,V367/U367&gt;=3),"Very serious", AND(W367&gt;=$D$1,X367&lt;0,Y367&gt;$D$2,V367/U367&gt;=3),"Very serious", AND(W367&gt;$D$1*-1,W367&lt;$D$1,X367&gt;$D$1*-1,Y367&lt;$D$1,V367/U367&lt;3),"Not Serious", AND(W367&gt;$D$1*-1,W367&lt;$D$1,OR(X367&lt;=$D$1*-1,Y367&gt;=$D$1),X367&gt;$D$2*-1,Y367&lt;$D$2,V367/U367&lt;3),"Serious", AND(W367&gt;$D$1*-1,W367&lt;$D$1,OR(X367&lt;=$D$2*-1,Y367&gt;=$D$2),V367/U367&lt;3),"Very serious", AND(W367&gt;$D$1*-1,W367&lt;$D$1,X367&gt;$D$1*-1,Y367&lt;$D$1,V367/U367&gt;=3),"Very serious", AND(W367&gt;$D$1*-1,W367&lt;$D$1,OR(X367&lt;=$D$1*-1,Y367&gt;=$D$1),X367&gt;$D$2*-1,Y367&lt;$D$2,V367/U367&gt;=3),"Very serious", AND(W367&gt;$D$1*-1,W367&lt;$D$1,OR(X367&lt;=$D$2*-1,Y367&gt;=$D$2),V367/U367&gt;=3),"Very serious"),"")),"")</f>
        <v/>
      </c>
      <c r="AT367" s="109" t="str">
        <f t="shared" si="9"/>
        <v/>
      </c>
      <c r="AU367" s="64"/>
      <c r="AV367" s="83"/>
      <c r="AW367" s="83"/>
      <c r="AX367" s="83"/>
      <c r="AY367" s="83"/>
      <c r="AZ367" s="83"/>
      <c r="BA367" s="85"/>
      <c r="BB367" s="86" t="str">
        <f>IF(Preferences!B$9="Manual","",IFS(ISBLANK(B367),"",AND(ISNUMBER(E367)=TRUE,ISNUMBER(T367)=FALSE),"Direct", AND(ISNUMBER(E367)=FALSE,ISNUMBER(T367)=TRUE),"Indirect", CN367=4,"Direct",AND(CL367=FALSE, CM367=TRUE,CN367-CO367&gt;-1),"Direct", AND(CL367=FALSE,CM367=TRUE, CN367-CO367&lt;0),"Check algorithm in appendix 2", AND(CL367=TRUE, CM367=FALSE,CN367-CO367&gt;0),"Check algorithm in appendix 2", AND(CL367=TRUE, CM367=FALSE,CN367-CO367=0),"Indirect", AND(CL367=TRUE, CM367=FALSE,CN367-CO367&lt;0),"Indirect", AND(CL367=FALSE,CM367=FALSE,CN367-CO367&gt;-1),"Direct", AND(CL367=FALSE,CM367=FALSE,CN367-CO367&lt;0),"Check algorithm in appendix 2", AND(CL367=TRUE,CM367=TRUE,CN367-CO367&gt;-1),"Direct", AND(CL367=TRUE,CM367=TRUE,CN367-CO367&lt;0),"Check algorithm in appendix 2"))</f>
        <v/>
      </c>
      <c r="BC367" s="120" t="str">
        <f t="shared" si="10"/>
        <v/>
      </c>
      <c r="BD367" s="140"/>
      <c r="BE367" s="122" t="str">
        <f>IF(Preferences!B$3="Manual","", IFERROR(IFS(AND(Preferences!B$3="Automatic",AX367/AW367&gt;=30),"Extremely serious",AND(AY367&lt;=$D$1*-1,BA367&lt;0,AX367/AW367&lt;3),"Not Serious",AND(AY367&lt;=$D$1*-1,BA367&lt;0,AX367/AW367&gt;=3),"Very serious",AND(AY367&gt;=$D$1,AZ367&gt;0,AX367/AW367&lt;3),"Not Serious",AND(AY367&gt;=$D$1,AZ367&gt;0,AX367/AW367&gt;=3),"Very serious",AND(AY367&lt;=$D$1*-1,BA367&gt;0,AZ367&gt;$D$2*-1,AX367/AW367&lt;3),"Serious", AND(AY367&lt;=$D$1*-1,BA367&gt;0,AZ367&lt;$D$2*-1,AX367/AW367&lt;3),"Very serious", AND(AY367&gt;=$D$1,AZ367&lt;0,BA367&lt;$D$2,AX367/AW367&lt;3),"Serious",AND(AY367&gt;=$D$1,AZ367&lt;0,BA367&gt;$D$2,AX367/AW367&lt;3),"Very serious", AND(AY367&lt;=$D$1*-1,BA367&gt;0,AZ367&gt;$D$2*-1,AX367/AW367&gt;=3),"Very serious", AND(AY367&lt;=$D$1*-1,BA367&gt;0,AZ367&lt;$D$2*-1,AX367/AW367&gt;=3),"Very serious", AND(AY367&gt;=$D$1,AZ367&lt;0,BA367&lt;$D$2,AX367/AW367&gt;=3),"Very serious", AND(AY367&gt;=$D$1,AZ367&lt;0,BA367&gt;$D$2,AX367/AW367&gt;=3),"Very serious", AND(AY367&gt;$D$1*-1,AY367&lt;$D$1,AZ367&gt;$D$1*-1,BA367&lt;$D$1,AX367/AW367&lt;3),"Not Serious", AND(AY367&gt;$D$1*-1,AY367&lt;$D$1,OR(AZ367&lt;=$D$1*-1,BA367&gt;=$D$1),AZ367&gt;$D$2*-1,BA367&lt;$D$2,AX367/AW367&lt;3),"Serious", AND(AY367&gt;$D$1*-1,AY367&lt;$D$1,OR(AZ367&lt;=$D$2*-1,BA367&gt;=$D$2),AX367/AW367&lt;3),"Very serious", AND(AY367&gt;$D$1*-1,AY367&lt;$D$1,AZ367&gt;$D$1*-1,BA367&lt;$D$1,AX367/AW367&gt;=3),"Very serious", AND(AY367&gt;$D$1*-1,AY367&lt;$D$1,OR(AZ367&lt;=$D$1*-1,BA367&gt;=$D$1),AZ367&gt;$D$2*-1,BA367&lt;$D$2,AX367/AW367&gt;=3),"Very serious", AND(AY367&gt;$D$1*-1,AY367&lt;$D$1,OR(AZ367&lt;=$D$2*-1,BA367&gt;=$D$2),AX367/AW367&gt;=3),"Very serious"),""))</f>
        <v/>
      </c>
      <c r="BF367" s="107" t="str">
        <f t="shared" si="11"/>
        <v/>
      </c>
      <c r="BG367" s="94" t="str">
        <f t="shared" si="46"/>
        <v/>
      </c>
      <c r="BH367" s="64" t="str">
        <f t="shared" si="12"/>
        <v>#N/A</v>
      </c>
      <c r="BI367" s="64" t="str">
        <f t="shared" si="13"/>
        <v/>
      </c>
      <c r="BJ367" s="123" t="str">
        <f t="shared" si="14"/>
        <v>#N/A</v>
      </c>
      <c r="BK367" s="64" t="str">
        <f t="shared" si="50"/>
        <v>YES</v>
      </c>
      <c r="BL367" s="64" t="str">
        <f t="shared" si="16"/>
        <v>YES</v>
      </c>
      <c r="BM367" s="64" t="str">
        <f t="shared" si="17"/>
        <v>YES</v>
      </c>
      <c r="BN367" s="124" t="str">
        <f t="shared" si="18"/>
        <v/>
      </c>
      <c r="BO367" s="91" t="str">
        <f t="shared" si="19"/>
        <v/>
      </c>
      <c r="BP367" s="91" t="str">
        <f t="shared" si="20"/>
        <v>#N/A</v>
      </c>
      <c r="BQ367" s="91" t="str">
        <f t="shared" si="21"/>
        <v/>
      </c>
      <c r="BR367" s="93" t="str">
        <f t="shared" si="22"/>
        <v/>
      </c>
      <c r="BS367" s="90" t="str">
        <f t="shared" si="23"/>
        <v/>
      </c>
      <c r="BT367" s="93" t="str">
        <f t="shared" si="24"/>
        <v>NA</v>
      </c>
      <c r="BU367" s="125" t="str">
        <f t="shared" si="25"/>
        <v>#N/A</v>
      </c>
      <c r="BV367" s="93" t="str">
        <f t="shared" si="26"/>
        <v/>
      </c>
      <c r="BW367" s="93" t="str">
        <f t="shared" si="27"/>
        <v/>
      </c>
      <c r="BX367" s="93" t="str">
        <f t="shared" si="28"/>
        <v>NA</v>
      </c>
      <c r="BY367" s="95" t="str">
        <f t="shared" si="29"/>
        <v>#N/A</v>
      </c>
      <c r="BZ367" s="93" t="str">
        <f t="shared" si="30"/>
        <v/>
      </c>
      <c r="CA367" s="93" t="str">
        <f t="shared" si="31"/>
        <v/>
      </c>
      <c r="CB367" s="93" t="str">
        <f t="shared" si="32"/>
        <v>NA</v>
      </c>
      <c r="CC367" s="96" t="str">
        <f t="shared" si="33"/>
        <v>#N/A</v>
      </c>
      <c r="CD367" s="93" t="str">
        <f t="shared" si="34"/>
        <v/>
      </c>
      <c r="CE367" s="93" t="str">
        <f t="shared" si="35"/>
        <v/>
      </c>
      <c r="CF367" s="93" t="str">
        <f t="shared" si="36"/>
        <v>NA</v>
      </c>
      <c r="CG367" s="97" t="str">
        <f t="shared" si="37"/>
        <v>#N/A</v>
      </c>
      <c r="CH367" s="98" t="str">
        <f t="shared" si="38"/>
        <v>#N/A</v>
      </c>
      <c r="CI367" s="99" t="str">
        <f t="shared" si="39"/>
        <v>#N/A</v>
      </c>
      <c r="CJ367" s="126" t="str">
        <f t="shared" si="40"/>
        <v>ERROR: check cell</v>
      </c>
      <c r="CK367" s="126"/>
      <c r="CL367" s="127" t="str">
        <f t="shared" si="41"/>
        <v>#DIV/0!</v>
      </c>
      <c r="CM367" s="128" t="str">
        <f t="shared" si="42"/>
        <v>#DIV/0!</v>
      </c>
      <c r="CN367" s="128">
        <f t="shared" si="43"/>
        <v>4</v>
      </c>
      <c r="CO367" s="129">
        <f t="shared" si="44"/>
        <v>4</v>
      </c>
      <c r="CP367" s="129" t="str">
        <f>IFS(C367=Preferences!B$13,B367,B367=Preferences!B$13,C367)</f>
        <v>#N/A</v>
      </c>
    </row>
    <row r="368" ht="13.5" customHeight="1">
      <c r="A368" s="63" t="str">
        <f t="shared" si="45"/>
        <v/>
      </c>
      <c r="B368" s="64"/>
      <c r="C368" s="64"/>
      <c r="D368" s="64"/>
      <c r="E368" s="65"/>
      <c r="F368" s="65"/>
      <c r="G368" s="65"/>
      <c r="H368" s="66"/>
      <c r="I368" s="66"/>
      <c r="J368" s="67"/>
      <c r="K368" s="68"/>
      <c r="L368" s="104"/>
      <c r="M368" s="104"/>
      <c r="N368" s="104"/>
      <c r="O368" s="104"/>
      <c r="P368" s="107" t="str">
        <f t="shared" si="1"/>
        <v/>
      </c>
      <c r="Q368" s="108" t="str">
        <f>IFERROR(IF(AND(Preferences!B$3="Manual",OR(AX368/AW368&gt;G368/F368,BD368="Serious",BD368="Very serious")),"Assess imprecision",IFS(ISBLANK(E368),"",AND(Preferences!B$3="Automatic", G368/F368&gt;=30),"Extremely serious",AND(H368&lt;=$D$1*-1,J368&lt;0,G368/F368&lt;3),"Not serious",AND(H368&lt;=$D$1*-1,J368&lt;0,G368/F368&gt;=3),"Very serious",AND(H368&gt;=$D$1,I368&gt;0,G368/F368&lt;3),"Not serious",AND(H368&gt;=$D$1,I368&gt;0,G368/F368&gt;=3),"Very serious",AND(H368&lt;=$D$1*-1,J368&gt;0,I368&gt;$D$2*-1,G368/F368&lt;3),"Serious", AND(H368&lt;=$D$1*-1,J368&gt;0,I368&lt;$D$2*-1,G368/F368&lt;3),"Very serious", AND(H368&gt;=$D$1,I368&lt;0,J368&lt;$D$2,G368/F368&lt;3),"Serious",AND(H368&gt;=$D$1,I368&lt;0,J368&gt;$D$2,G368/F368&lt;3),"Very serious", AND(H368&lt;=$D$1*-1,J368&gt;0,I368&gt;$D$2*-1,G368/F368&gt;=3),"Very serious", AND(H368&lt;=$D$1*-1,J368&gt;0,I368&lt;$D$2*-1,G368/F368&gt;=3),"Very serious", AND(H368&gt;=$D$1,I368&lt;0,J368&lt;$D$2,G368/F368&gt;=3),"Very serious", AND(H368&gt;=$D$1,I368&lt;0,J368&gt;$D$2,G368/F368&gt;=3),"Very serious", AND(H368&gt;$D$1*-1,H368&lt;$D$1,I368&gt;$D$1*-1,J368&lt;$D$1,G368/F368&lt;3),"Not serious", AND(H368&gt;$D$1*-1,H368&lt;$D$1,OR(I368&lt;=$D$1*-1,J368&gt;=$D$1),I368&gt;$D$2*-1,J368&lt;$D$2,G368/F368&lt;3),"Serious", AND(H368&gt;$D$1*-1,H368&lt;$D$1,OR(I368&lt;=$D$2*-1,J368&gt;=$D$2),G368/F368&lt;3),"Very serious", AND(H368&gt;$D$1*-1,H368&lt;$D$1,I368&gt;$D$1*-1,J368&lt;$D$1,G368/F368&gt;=3),"Very serious", AND(H368&gt;$D$1*-1,H368&lt;$D$1,OR(I368&lt;=$D$1*-1,J368&gt;=$D$1),I368&gt;$D$2*-1,J368&lt;$D$2,G368/F368&gt;=3),"Very serious", AND(H368&gt;$D$1*-1,H368&lt;$D$1,OR(I368&lt;=$D$2*-1,J368&gt;=$D$2),G368/F368&gt;=3),"Very serious")),"")</f>
        <v/>
      </c>
      <c r="R368" s="109" t="str">
        <f t="shared" si="47"/>
        <v/>
      </c>
      <c r="S368" s="64"/>
      <c r="T368" s="72"/>
      <c r="U368" s="72"/>
      <c r="V368" s="72"/>
      <c r="W368" s="73"/>
      <c r="X368" s="73"/>
      <c r="Y368" s="74"/>
      <c r="Z368" s="113" t="str">
        <f t="array" ref="Z368">INDEX($A$1:$C$500, MATCH(1,($B:$B=$B368)*($C:$C=$AB368),0),1)</f>
        <v/>
      </c>
      <c r="AA368" s="113" t="str">
        <f t="array" ref="AA368">INDEX($A$1:$C$500, MATCH(1,($B:$B=$AB368)*($C:$C=$B368),0),1)</f>
        <v/>
      </c>
      <c r="AB368" s="111"/>
      <c r="AC368" s="114" t="str">
        <f t="shared" si="2"/>
        <v/>
      </c>
      <c r="AD368" s="115" t="str">
        <f t="shared" si="3"/>
        <v/>
      </c>
      <c r="AE368" s="116" t="str">
        <f t="array" ref="AE368">INDEX($A$1:$C$500, MATCH(1,($B:$B=$AB368)*($C:$C=$AG368),0),1)</f>
        <v/>
      </c>
      <c r="AF368" s="116" t="str">
        <f t="array" ref="AF368">INDEX($A$1:$C$500, MATCH(1,($B:$B=$AG368)*($C:$C=$AB368),0),1)</f>
        <v/>
      </c>
      <c r="AG368" s="72"/>
      <c r="AH368" s="114" t="str">
        <f t="shared" si="4"/>
        <v/>
      </c>
      <c r="AI368" s="115" t="str">
        <f t="shared" si="5"/>
        <v/>
      </c>
      <c r="AJ368" s="116" t="str">
        <f t="array" ref="AJ368">INDEX($A$1:$C$500, MATCH(1,($B:$B=$C368)*($C:$C=$AG368),0),1)</f>
        <v/>
      </c>
      <c r="AK368" s="116" t="str">
        <f t="array" ref="AK368">INDEX($A$1:$C$500, MATCH(1,($B:$B=$AG368)*($C:$C=$C368),0),1)</f>
        <v/>
      </c>
      <c r="AL368" s="116" t="str">
        <f t="array" ref="AL368">INDEX($A$1:$C$500, MATCH(1,($B:$B=$C368)*($C:$C=$AB368),0),1)</f>
        <v/>
      </c>
      <c r="AM368" s="116" t="str">
        <f t="array" ref="AM368">INDEX($A$1:$C$500, MATCH(1,($B:$B=$AB368)*($C:$C=$C368),0),1)</f>
        <v/>
      </c>
      <c r="AN368" s="114" t="str">
        <f t="array" ref="AN368">IFS(ISNUMBER(AJ368),AJ368,ISNUMBER(AK368),AK368,ISNUMBER(AL368),AL368,ISNUMBER(AM368),AM368)</f>
        <v>#N/A</v>
      </c>
      <c r="AO368" s="115" t="str">
        <f t="shared" si="6"/>
        <v/>
      </c>
      <c r="AP368" s="115" t="str">
        <f t="shared" si="7"/>
        <v/>
      </c>
      <c r="AQ368" s="111"/>
      <c r="AR368" s="109" t="str">
        <f t="shared" si="8"/>
        <v/>
      </c>
      <c r="AS368" s="72" t="str">
        <f>IFERROR(IF(AND(Preferences!B$3="Manual",OR(AX368/AW368&gt;V368/U368,BD368="Serious",BD368="Very serious")),"Assess imprecision",IFERROR(IFS(AND(Preferences!B$3="Automatic",V368/U368&gt;=30),"Extremely serious",AND(W368&lt;=$D$1*-1,Y368&lt;0,V368/U368&lt;3),"Not Serious",AND(W368&lt;=$D$1*-1,Y368&lt;0,V368/U368&gt;=3),"Very serious",AND(W368&gt;=$D$1,X368&gt;0,V368/U368&lt;3),"Not Serious",AND(W368&gt;=$D$1,X368&gt;0,V368/U368&gt;=3),"Very serious",AND(W368&lt;=$D$1*-1,Y368&gt;0,X368&gt;$D$2*-1,V368/U368&lt;3),"Serious", AND(W368&lt;=$D$1*-1,Y368&gt;0,X368&lt;$D$2*-1,V368/U368&lt;3),"Very serious", AND(W368&gt;=$D$1,X368&lt;0,Y368&lt;$D$2,V368/U368&lt;3),"Serious",AND(W368&gt;=$D$1,X368&lt;0,Y368&gt;$D$2,V368/U368&lt;3),"Very serious", AND(W368&lt;=$D$1*-1,Y368&gt;0,X368&gt;$D$2*-1,V368/U368&gt;=3),"Very serious", AND(W368&lt;=$D$1*-1,Y368&gt;0,X368&lt;$D$2*-1,V368/U368&gt;=3),"Very serious", AND(W368&gt;=$D$1,X368&lt;0,Y368&lt;$D$2,V368/U368&gt;=3),"Very serious", AND(W368&gt;=$D$1,X368&lt;0,Y368&gt;$D$2,V368/U368&gt;=3),"Very serious", AND(W368&gt;$D$1*-1,W368&lt;$D$1,X368&gt;$D$1*-1,Y368&lt;$D$1,V368/U368&lt;3),"Not Serious", AND(W368&gt;$D$1*-1,W368&lt;$D$1,OR(X368&lt;=$D$1*-1,Y368&gt;=$D$1),X368&gt;$D$2*-1,Y368&lt;$D$2,V368/U368&lt;3),"Serious", AND(W368&gt;$D$1*-1,W368&lt;$D$1,OR(X368&lt;=$D$2*-1,Y368&gt;=$D$2),V368/U368&lt;3),"Very serious", AND(W368&gt;$D$1*-1,W368&lt;$D$1,X368&gt;$D$1*-1,Y368&lt;$D$1,V368/U368&gt;=3),"Very serious", AND(W368&gt;$D$1*-1,W368&lt;$D$1,OR(X368&lt;=$D$1*-1,Y368&gt;=$D$1),X368&gt;$D$2*-1,Y368&lt;$D$2,V368/U368&gt;=3),"Very serious", AND(W368&gt;$D$1*-1,W368&lt;$D$1,OR(X368&lt;=$D$2*-1,Y368&gt;=$D$2),V368/U368&gt;=3),"Very serious"),"")),"")</f>
        <v/>
      </c>
      <c r="AT368" s="109" t="str">
        <f t="shared" si="9"/>
        <v/>
      </c>
      <c r="AU368" s="64"/>
      <c r="AV368" s="83"/>
      <c r="AW368" s="83"/>
      <c r="AX368" s="83"/>
      <c r="AY368" s="83"/>
      <c r="AZ368" s="83"/>
      <c r="BA368" s="85"/>
      <c r="BB368" s="86" t="str">
        <f>IF(Preferences!B$9="Manual","",IFS(ISBLANK(B368),"",AND(ISNUMBER(E368)=TRUE,ISNUMBER(T368)=FALSE),"Direct", AND(ISNUMBER(E368)=FALSE,ISNUMBER(T368)=TRUE),"Indirect", CN368=4,"Direct",AND(CL368=FALSE, CM368=TRUE,CN368-CO368&gt;-1),"Direct", AND(CL368=FALSE,CM368=TRUE, CN368-CO368&lt;0),"Check algorithm in appendix 2", AND(CL368=TRUE, CM368=FALSE,CN368-CO368&gt;0),"Check algorithm in appendix 2", AND(CL368=TRUE, CM368=FALSE,CN368-CO368=0),"Indirect", AND(CL368=TRUE, CM368=FALSE,CN368-CO368&lt;0),"Indirect", AND(CL368=FALSE,CM368=FALSE,CN368-CO368&gt;-1),"Direct", AND(CL368=FALSE,CM368=FALSE,CN368-CO368&lt;0),"Check algorithm in appendix 2", AND(CL368=TRUE,CM368=TRUE,CN368-CO368&gt;-1),"Direct", AND(CL368=TRUE,CM368=TRUE,CN368-CO368&lt;0),"Check algorithm in appendix 2"))</f>
        <v/>
      </c>
      <c r="BC368" s="120" t="str">
        <f t="shared" si="10"/>
        <v/>
      </c>
      <c r="BD368" s="140"/>
      <c r="BE368" s="122" t="str">
        <f>IF(Preferences!B$3="Manual","", IFERROR(IFS(AND(Preferences!B$3="Automatic",AX368/AW368&gt;=30),"Extremely serious",AND(AY368&lt;=$D$1*-1,BA368&lt;0,AX368/AW368&lt;3),"Not Serious",AND(AY368&lt;=$D$1*-1,BA368&lt;0,AX368/AW368&gt;=3),"Very serious",AND(AY368&gt;=$D$1,AZ368&gt;0,AX368/AW368&lt;3),"Not Serious",AND(AY368&gt;=$D$1,AZ368&gt;0,AX368/AW368&gt;=3),"Very serious",AND(AY368&lt;=$D$1*-1,BA368&gt;0,AZ368&gt;$D$2*-1,AX368/AW368&lt;3),"Serious", AND(AY368&lt;=$D$1*-1,BA368&gt;0,AZ368&lt;$D$2*-1,AX368/AW368&lt;3),"Very serious", AND(AY368&gt;=$D$1,AZ368&lt;0,BA368&lt;$D$2,AX368/AW368&lt;3),"Serious",AND(AY368&gt;=$D$1,AZ368&lt;0,BA368&gt;$D$2,AX368/AW368&lt;3),"Very serious", AND(AY368&lt;=$D$1*-1,BA368&gt;0,AZ368&gt;$D$2*-1,AX368/AW368&gt;=3),"Very serious", AND(AY368&lt;=$D$1*-1,BA368&gt;0,AZ368&lt;$D$2*-1,AX368/AW368&gt;=3),"Very serious", AND(AY368&gt;=$D$1,AZ368&lt;0,BA368&lt;$D$2,AX368/AW368&gt;=3),"Very serious", AND(AY368&gt;=$D$1,AZ368&lt;0,BA368&gt;$D$2,AX368/AW368&gt;=3),"Very serious", AND(AY368&gt;$D$1*-1,AY368&lt;$D$1,AZ368&gt;$D$1*-1,BA368&lt;$D$1,AX368/AW368&lt;3),"Not Serious", AND(AY368&gt;$D$1*-1,AY368&lt;$D$1,OR(AZ368&lt;=$D$1*-1,BA368&gt;=$D$1),AZ368&gt;$D$2*-1,BA368&lt;$D$2,AX368/AW368&lt;3),"Serious", AND(AY368&gt;$D$1*-1,AY368&lt;$D$1,OR(AZ368&lt;=$D$2*-1,BA368&gt;=$D$2),AX368/AW368&lt;3),"Very serious", AND(AY368&gt;$D$1*-1,AY368&lt;$D$1,AZ368&gt;$D$1*-1,BA368&lt;$D$1,AX368/AW368&gt;=3),"Very serious", AND(AY368&gt;$D$1*-1,AY368&lt;$D$1,OR(AZ368&lt;=$D$1*-1,BA368&gt;=$D$1),AZ368&gt;$D$2*-1,BA368&lt;$D$2,AX368/AW368&gt;=3),"Very serious", AND(AY368&gt;$D$1*-1,AY368&lt;$D$1,OR(AZ368&lt;=$D$2*-1,BA368&gt;=$D$2),AX368/AW368&gt;=3),"Very serious"),""))</f>
        <v/>
      </c>
      <c r="BF368" s="107" t="str">
        <f t="shared" si="11"/>
        <v/>
      </c>
      <c r="BG368" s="94" t="str">
        <f t="shared" si="46"/>
        <v/>
      </c>
      <c r="BH368" s="64" t="str">
        <f t="shared" si="12"/>
        <v>#N/A</v>
      </c>
      <c r="BI368" s="64" t="str">
        <f t="shared" si="13"/>
        <v/>
      </c>
      <c r="BJ368" s="123" t="str">
        <f t="shared" si="14"/>
        <v>#N/A</v>
      </c>
      <c r="BK368" s="64" t="str">
        <f t="shared" si="50"/>
        <v>YES</v>
      </c>
      <c r="BL368" s="64" t="str">
        <f t="shared" si="16"/>
        <v>YES</v>
      </c>
      <c r="BM368" s="64" t="str">
        <f t="shared" si="17"/>
        <v>YES</v>
      </c>
      <c r="BN368" s="124" t="str">
        <f t="shared" si="18"/>
        <v/>
      </c>
      <c r="BO368" s="91" t="str">
        <f t="shared" si="19"/>
        <v/>
      </c>
      <c r="BP368" s="91" t="str">
        <f t="shared" si="20"/>
        <v>#N/A</v>
      </c>
      <c r="BQ368" s="91" t="str">
        <f t="shared" si="21"/>
        <v/>
      </c>
      <c r="BR368" s="93" t="str">
        <f t="shared" si="22"/>
        <v/>
      </c>
      <c r="BS368" s="90" t="str">
        <f t="shared" si="23"/>
        <v/>
      </c>
      <c r="BT368" s="93" t="str">
        <f t="shared" si="24"/>
        <v>NA</v>
      </c>
      <c r="BU368" s="125" t="str">
        <f t="shared" si="25"/>
        <v>#N/A</v>
      </c>
      <c r="BV368" s="93" t="str">
        <f t="shared" si="26"/>
        <v/>
      </c>
      <c r="BW368" s="93" t="str">
        <f t="shared" si="27"/>
        <v/>
      </c>
      <c r="BX368" s="93" t="str">
        <f t="shared" si="28"/>
        <v>NA</v>
      </c>
      <c r="BY368" s="95" t="str">
        <f t="shared" si="29"/>
        <v>#N/A</v>
      </c>
      <c r="BZ368" s="93" t="str">
        <f t="shared" si="30"/>
        <v/>
      </c>
      <c r="CA368" s="93" t="str">
        <f t="shared" si="31"/>
        <v/>
      </c>
      <c r="CB368" s="93" t="str">
        <f t="shared" si="32"/>
        <v>NA</v>
      </c>
      <c r="CC368" s="96" t="str">
        <f t="shared" si="33"/>
        <v>#N/A</v>
      </c>
      <c r="CD368" s="93" t="str">
        <f t="shared" si="34"/>
        <v/>
      </c>
      <c r="CE368" s="93" t="str">
        <f t="shared" si="35"/>
        <v/>
      </c>
      <c r="CF368" s="93" t="str">
        <f t="shared" si="36"/>
        <v>NA</v>
      </c>
      <c r="CG368" s="97" t="str">
        <f t="shared" si="37"/>
        <v>#N/A</v>
      </c>
      <c r="CH368" s="98" t="str">
        <f t="shared" si="38"/>
        <v>#N/A</v>
      </c>
      <c r="CI368" s="99" t="str">
        <f t="shared" si="39"/>
        <v>#N/A</v>
      </c>
      <c r="CJ368" s="126" t="str">
        <f t="shared" si="40"/>
        <v>ERROR: check cell</v>
      </c>
      <c r="CK368" s="126"/>
      <c r="CL368" s="127" t="str">
        <f t="shared" si="41"/>
        <v>#DIV/0!</v>
      </c>
      <c r="CM368" s="128" t="str">
        <f t="shared" si="42"/>
        <v>#DIV/0!</v>
      </c>
      <c r="CN368" s="128">
        <f t="shared" si="43"/>
        <v>4</v>
      </c>
      <c r="CO368" s="129">
        <f t="shared" si="44"/>
        <v>4</v>
      </c>
      <c r="CP368" s="129" t="str">
        <f>IFS(C368=Preferences!B$13,B368,B368=Preferences!B$13,C368)</f>
        <v>#N/A</v>
      </c>
    </row>
    <row r="369" ht="13.5" customHeight="1">
      <c r="A369" s="63" t="str">
        <f t="shared" si="45"/>
        <v/>
      </c>
      <c r="B369" s="64"/>
      <c r="C369" s="64"/>
      <c r="D369" s="64"/>
      <c r="E369" s="65"/>
      <c r="F369" s="65"/>
      <c r="G369" s="65"/>
      <c r="H369" s="66"/>
      <c r="I369" s="66"/>
      <c r="J369" s="67"/>
      <c r="K369" s="68"/>
      <c r="L369" s="104"/>
      <c r="M369" s="104"/>
      <c r="N369" s="104"/>
      <c r="O369" s="104"/>
      <c r="P369" s="107" t="str">
        <f t="shared" si="1"/>
        <v/>
      </c>
      <c r="Q369" s="108" t="str">
        <f>IFERROR(IF(AND(Preferences!B$3="Manual",OR(AX369/AW369&gt;G369/F369,BD369="Serious",BD369="Very serious")),"Assess imprecision",IFS(ISBLANK(E369),"",AND(Preferences!B$3="Automatic", G369/F369&gt;=30),"Extremely serious",AND(H369&lt;=$D$1*-1,J369&lt;0,G369/F369&lt;3),"Not serious",AND(H369&lt;=$D$1*-1,J369&lt;0,G369/F369&gt;=3),"Very serious",AND(H369&gt;=$D$1,I369&gt;0,G369/F369&lt;3),"Not serious",AND(H369&gt;=$D$1,I369&gt;0,G369/F369&gt;=3),"Very serious",AND(H369&lt;=$D$1*-1,J369&gt;0,I369&gt;$D$2*-1,G369/F369&lt;3),"Serious", AND(H369&lt;=$D$1*-1,J369&gt;0,I369&lt;$D$2*-1,G369/F369&lt;3),"Very serious", AND(H369&gt;=$D$1,I369&lt;0,J369&lt;$D$2,G369/F369&lt;3),"Serious",AND(H369&gt;=$D$1,I369&lt;0,J369&gt;$D$2,G369/F369&lt;3),"Very serious", AND(H369&lt;=$D$1*-1,J369&gt;0,I369&gt;$D$2*-1,G369/F369&gt;=3),"Very serious", AND(H369&lt;=$D$1*-1,J369&gt;0,I369&lt;$D$2*-1,G369/F369&gt;=3),"Very serious", AND(H369&gt;=$D$1,I369&lt;0,J369&lt;$D$2,G369/F369&gt;=3),"Very serious", AND(H369&gt;=$D$1,I369&lt;0,J369&gt;$D$2,G369/F369&gt;=3),"Very serious", AND(H369&gt;$D$1*-1,H369&lt;$D$1,I369&gt;$D$1*-1,J369&lt;$D$1,G369/F369&lt;3),"Not serious", AND(H369&gt;$D$1*-1,H369&lt;$D$1,OR(I369&lt;=$D$1*-1,J369&gt;=$D$1),I369&gt;$D$2*-1,J369&lt;$D$2,G369/F369&lt;3),"Serious", AND(H369&gt;$D$1*-1,H369&lt;$D$1,OR(I369&lt;=$D$2*-1,J369&gt;=$D$2),G369/F369&lt;3),"Very serious", AND(H369&gt;$D$1*-1,H369&lt;$D$1,I369&gt;$D$1*-1,J369&lt;$D$1,G369/F369&gt;=3),"Very serious", AND(H369&gt;$D$1*-1,H369&lt;$D$1,OR(I369&lt;=$D$1*-1,J369&gt;=$D$1),I369&gt;$D$2*-1,J369&lt;$D$2,G369/F369&gt;=3),"Very serious", AND(H369&gt;$D$1*-1,H369&lt;$D$1,OR(I369&lt;=$D$2*-1,J369&gt;=$D$2),G369/F369&gt;=3),"Very serious")),"")</f>
        <v/>
      </c>
      <c r="R369" s="109" t="str">
        <f t="shared" si="47"/>
        <v/>
      </c>
      <c r="S369" s="64"/>
      <c r="T369" s="72"/>
      <c r="U369" s="72"/>
      <c r="V369" s="72"/>
      <c r="W369" s="73"/>
      <c r="X369" s="73"/>
      <c r="Y369" s="74"/>
      <c r="Z369" s="113" t="str">
        <f t="array" ref="Z369">INDEX($A$1:$C$500, MATCH(1,($B:$B=$B369)*($C:$C=$AB369),0),1)</f>
        <v/>
      </c>
      <c r="AA369" s="113" t="str">
        <f t="array" ref="AA369">INDEX($A$1:$C$500, MATCH(1,($B:$B=$AB369)*($C:$C=$B369),0),1)</f>
        <v/>
      </c>
      <c r="AB369" s="111"/>
      <c r="AC369" s="114" t="str">
        <f t="shared" si="2"/>
        <v/>
      </c>
      <c r="AD369" s="115" t="str">
        <f t="shared" si="3"/>
        <v/>
      </c>
      <c r="AE369" s="116" t="str">
        <f t="array" ref="AE369">INDEX($A$1:$C$500, MATCH(1,($B:$B=$AB369)*($C:$C=$AG369),0),1)</f>
        <v/>
      </c>
      <c r="AF369" s="116" t="str">
        <f t="array" ref="AF369">INDEX($A$1:$C$500, MATCH(1,($B:$B=$AG369)*($C:$C=$AB369),0),1)</f>
        <v/>
      </c>
      <c r="AG369" s="72"/>
      <c r="AH369" s="114" t="str">
        <f t="shared" si="4"/>
        <v/>
      </c>
      <c r="AI369" s="115" t="str">
        <f t="shared" si="5"/>
        <v/>
      </c>
      <c r="AJ369" s="116" t="str">
        <f t="array" ref="AJ369">INDEX($A$1:$C$500, MATCH(1,($B:$B=$C369)*($C:$C=$AG369),0),1)</f>
        <v/>
      </c>
      <c r="AK369" s="116" t="str">
        <f t="array" ref="AK369">INDEX($A$1:$C$500, MATCH(1,($B:$B=$AG369)*($C:$C=$C369),0),1)</f>
        <v/>
      </c>
      <c r="AL369" s="116" t="str">
        <f t="array" ref="AL369">INDEX($A$1:$C$500, MATCH(1,($B:$B=$C369)*($C:$C=$AB369),0),1)</f>
        <v/>
      </c>
      <c r="AM369" s="116" t="str">
        <f t="array" ref="AM369">INDEX($A$1:$C$500, MATCH(1,($B:$B=$AB369)*($C:$C=$C369),0),1)</f>
        <v/>
      </c>
      <c r="AN369" s="114" t="str">
        <f t="array" ref="AN369">IFS(ISNUMBER(AJ369),AJ369,ISNUMBER(AK369),AK369,ISNUMBER(AL369),AL369,ISNUMBER(AM369),AM369)</f>
        <v>#N/A</v>
      </c>
      <c r="AO369" s="115" t="str">
        <f t="shared" si="6"/>
        <v/>
      </c>
      <c r="AP369" s="115" t="str">
        <f t="shared" si="7"/>
        <v/>
      </c>
      <c r="AQ369" s="111"/>
      <c r="AR369" s="109" t="str">
        <f t="shared" si="8"/>
        <v/>
      </c>
      <c r="AS369" s="72" t="str">
        <f>IFERROR(IF(AND(Preferences!B$3="Manual",OR(AX369/AW369&gt;V369/U369,BD369="Serious",BD369="Very serious")),"Assess imprecision",IFERROR(IFS(AND(Preferences!B$3="Automatic",V369/U369&gt;=30),"Extremely serious",AND(W369&lt;=$D$1*-1,Y369&lt;0,V369/U369&lt;3),"Not Serious",AND(W369&lt;=$D$1*-1,Y369&lt;0,V369/U369&gt;=3),"Very serious",AND(W369&gt;=$D$1,X369&gt;0,V369/U369&lt;3),"Not Serious",AND(W369&gt;=$D$1,X369&gt;0,V369/U369&gt;=3),"Very serious",AND(W369&lt;=$D$1*-1,Y369&gt;0,X369&gt;$D$2*-1,V369/U369&lt;3),"Serious", AND(W369&lt;=$D$1*-1,Y369&gt;0,X369&lt;$D$2*-1,V369/U369&lt;3),"Very serious", AND(W369&gt;=$D$1,X369&lt;0,Y369&lt;$D$2,V369/U369&lt;3),"Serious",AND(W369&gt;=$D$1,X369&lt;0,Y369&gt;$D$2,V369/U369&lt;3),"Very serious", AND(W369&lt;=$D$1*-1,Y369&gt;0,X369&gt;$D$2*-1,V369/U369&gt;=3),"Very serious", AND(W369&lt;=$D$1*-1,Y369&gt;0,X369&lt;$D$2*-1,V369/U369&gt;=3),"Very serious", AND(W369&gt;=$D$1,X369&lt;0,Y369&lt;$D$2,V369/U369&gt;=3),"Very serious", AND(W369&gt;=$D$1,X369&lt;0,Y369&gt;$D$2,V369/U369&gt;=3),"Very serious", AND(W369&gt;$D$1*-1,W369&lt;$D$1,X369&gt;$D$1*-1,Y369&lt;$D$1,V369/U369&lt;3),"Not Serious", AND(W369&gt;$D$1*-1,W369&lt;$D$1,OR(X369&lt;=$D$1*-1,Y369&gt;=$D$1),X369&gt;$D$2*-1,Y369&lt;$D$2,V369/U369&lt;3),"Serious", AND(W369&gt;$D$1*-1,W369&lt;$D$1,OR(X369&lt;=$D$2*-1,Y369&gt;=$D$2),V369/U369&lt;3),"Very serious", AND(W369&gt;$D$1*-1,W369&lt;$D$1,X369&gt;$D$1*-1,Y369&lt;$D$1,V369/U369&gt;=3),"Very serious", AND(W369&gt;$D$1*-1,W369&lt;$D$1,OR(X369&lt;=$D$1*-1,Y369&gt;=$D$1),X369&gt;$D$2*-1,Y369&lt;$D$2,V369/U369&gt;=3),"Very serious", AND(W369&gt;$D$1*-1,W369&lt;$D$1,OR(X369&lt;=$D$2*-1,Y369&gt;=$D$2),V369/U369&gt;=3),"Very serious"),"")),"")</f>
        <v/>
      </c>
      <c r="AT369" s="109" t="str">
        <f t="shared" si="9"/>
        <v/>
      </c>
      <c r="AU369" s="64"/>
      <c r="AV369" s="83"/>
      <c r="AW369" s="83"/>
      <c r="AX369" s="83"/>
      <c r="AY369" s="83"/>
      <c r="AZ369" s="83"/>
      <c r="BA369" s="85"/>
      <c r="BB369" s="86" t="str">
        <f>IF(Preferences!B$9="Manual","",IFS(ISBLANK(B369),"",AND(ISNUMBER(E369)=TRUE,ISNUMBER(T369)=FALSE),"Direct", AND(ISNUMBER(E369)=FALSE,ISNUMBER(T369)=TRUE),"Indirect", CN369=4,"Direct",AND(CL369=FALSE, CM369=TRUE,CN369-CO369&gt;-1),"Direct", AND(CL369=FALSE,CM369=TRUE, CN369-CO369&lt;0),"Check algorithm in appendix 2", AND(CL369=TRUE, CM369=FALSE,CN369-CO369&gt;0),"Check algorithm in appendix 2", AND(CL369=TRUE, CM369=FALSE,CN369-CO369=0),"Indirect", AND(CL369=TRUE, CM369=FALSE,CN369-CO369&lt;0),"Indirect", AND(CL369=FALSE,CM369=FALSE,CN369-CO369&gt;-1),"Direct", AND(CL369=FALSE,CM369=FALSE,CN369-CO369&lt;0),"Check algorithm in appendix 2", AND(CL369=TRUE,CM369=TRUE,CN369-CO369&gt;-1),"Direct", AND(CL369=TRUE,CM369=TRUE,CN369-CO369&lt;0),"Check algorithm in appendix 2"))</f>
        <v/>
      </c>
      <c r="BC369" s="120" t="str">
        <f t="shared" si="10"/>
        <v/>
      </c>
      <c r="BD369" s="140"/>
      <c r="BE369" s="122" t="str">
        <f>IF(Preferences!B$3="Manual","", IFERROR(IFS(AND(Preferences!B$3="Automatic",AX369/AW369&gt;=30),"Extremely serious",AND(AY369&lt;=$D$1*-1,BA369&lt;0,AX369/AW369&lt;3),"Not Serious",AND(AY369&lt;=$D$1*-1,BA369&lt;0,AX369/AW369&gt;=3),"Very serious",AND(AY369&gt;=$D$1,AZ369&gt;0,AX369/AW369&lt;3),"Not Serious",AND(AY369&gt;=$D$1,AZ369&gt;0,AX369/AW369&gt;=3),"Very serious",AND(AY369&lt;=$D$1*-1,BA369&gt;0,AZ369&gt;$D$2*-1,AX369/AW369&lt;3),"Serious", AND(AY369&lt;=$D$1*-1,BA369&gt;0,AZ369&lt;$D$2*-1,AX369/AW369&lt;3),"Very serious", AND(AY369&gt;=$D$1,AZ369&lt;0,BA369&lt;$D$2,AX369/AW369&lt;3),"Serious",AND(AY369&gt;=$D$1,AZ369&lt;0,BA369&gt;$D$2,AX369/AW369&lt;3),"Very serious", AND(AY369&lt;=$D$1*-1,BA369&gt;0,AZ369&gt;$D$2*-1,AX369/AW369&gt;=3),"Very serious", AND(AY369&lt;=$D$1*-1,BA369&gt;0,AZ369&lt;$D$2*-1,AX369/AW369&gt;=3),"Very serious", AND(AY369&gt;=$D$1,AZ369&lt;0,BA369&lt;$D$2,AX369/AW369&gt;=3),"Very serious", AND(AY369&gt;=$D$1,AZ369&lt;0,BA369&gt;$D$2,AX369/AW369&gt;=3),"Very serious", AND(AY369&gt;$D$1*-1,AY369&lt;$D$1,AZ369&gt;$D$1*-1,BA369&lt;$D$1,AX369/AW369&lt;3),"Not Serious", AND(AY369&gt;$D$1*-1,AY369&lt;$D$1,OR(AZ369&lt;=$D$1*-1,BA369&gt;=$D$1),AZ369&gt;$D$2*-1,BA369&lt;$D$2,AX369/AW369&lt;3),"Serious", AND(AY369&gt;$D$1*-1,AY369&lt;$D$1,OR(AZ369&lt;=$D$2*-1,BA369&gt;=$D$2),AX369/AW369&lt;3),"Very serious", AND(AY369&gt;$D$1*-1,AY369&lt;$D$1,AZ369&gt;$D$1*-1,BA369&lt;$D$1,AX369/AW369&gt;=3),"Very serious", AND(AY369&gt;$D$1*-1,AY369&lt;$D$1,OR(AZ369&lt;=$D$1*-1,BA369&gt;=$D$1),AZ369&gt;$D$2*-1,BA369&lt;$D$2,AX369/AW369&gt;=3),"Very serious", AND(AY369&gt;$D$1*-1,AY369&lt;$D$1,OR(AZ369&lt;=$D$2*-1,BA369&gt;=$D$2),AX369/AW369&gt;=3),"Very serious"),""))</f>
        <v/>
      </c>
      <c r="BF369" s="107" t="str">
        <f t="shared" si="11"/>
        <v/>
      </c>
      <c r="BG369" s="94" t="str">
        <f t="shared" si="46"/>
        <v/>
      </c>
      <c r="BH369" s="64" t="str">
        <f t="shared" si="12"/>
        <v>#N/A</v>
      </c>
      <c r="BI369" s="64" t="str">
        <f t="shared" si="13"/>
        <v/>
      </c>
      <c r="BJ369" s="123" t="str">
        <f t="shared" si="14"/>
        <v>#N/A</v>
      </c>
      <c r="BK369" s="64" t="str">
        <f t="shared" si="50"/>
        <v>YES</v>
      </c>
      <c r="BL369" s="64" t="str">
        <f t="shared" si="16"/>
        <v>YES</v>
      </c>
      <c r="BM369" s="64" t="str">
        <f t="shared" si="17"/>
        <v>YES</v>
      </c>
      <c r="BN369" s="124" t="str">
        <f t="shared" si="18"/>
        <v/>
      </c>
      <c r="BO369" s="91" t="str">
        <f t="shared" si="19"/>
        <v/>
      </c>
      <c r="BP369" s="91" t="str">
        <f t="shared" si="20"/>
        <v>#N/A</v>
      </c>
      <c r="BQ369" s="91" t="str">
        <f t="shared" si="21"/>
        <v/>
      </c>
      <c r="BR369" s="93" t="str">
        <f t="shared" si="22"/>
        <v/>
      </c>
      <c r="BS369" s="90" t="str">
        <f t="shared" si="23"/>
        <v/>
      </c>
      <c r="BT369" s="93" t="str">
        <f t="shared" si="24"/>
        <v>NA</v>
      </c>
      <c r="BU369" s="125" t="str">
        <f t="shared" si="25"/>
        <v>#N/A</v>
      </c>
      <c r="BV369" s="93" t="str">
        <f t="shared" si="26"/>
        <v/>
      </c>
      <c r="BW369" s="93" t="str">
        <f t="shared" si="27"/>
        <v/>
      </c>
      <c r="BX369" s="93" t="str">
        <f t="shared" si="28"/>
        <v>NA</v>
      </c>
      <c r="BY369" s="95" t="str">
        <f t="shared" si="29"/>
        <v>#N/A</v>
      </c>
      <c r="BZ369" s="93" t="str">
        <f t="shared" si="30"/>
        <v/>
      </c>
      <c r="CA369" s="93" t="str">
        <f t="shared" si="31"/>
        <v/>
      </c>
      <c r="CB369" s="93" t="str">
        <f t="shared" si="32"/>
        <v>NA</v>
      </c>
      <c r="CC369" s="96" t="str">
        <f t="shared" si="33"/>
        <v>#N/A</v>
      </c>
      <c r="CD369" s="93" t="str">
        <f t="shared" si="34"/>
        <v/>
      </c>
      <c r="CE369" s="93" t="str">
        <f t="shared" si="35"/>
        <v/>
      </c>
      <c r="CF369" s="93" t="str">
        <f t="shared" si="36"/>
        <v>NA</v>
      </c>
      <c r="CG369" s="97" t="str">
        <f t="shared" si="37"/>
        <v>#N/A</v>
      </c>
      <c r="CH369" s="98" t="str">
        <f t="shared" si="38"/>
        <v>#N/A</v>
      </c>
      <c r="CI369" s="99" t="str">
        <f t="shared" si="39"/>
        <v>#N/A</v>
      </c>
      <c r="CJ369" s="126" t="str">
        <f t="shared" si="40"/>
        <v>ERROR: check cell</v>
      </c>
      <c r="CK369" s="126"/>
      <c r="CL369" s="127" t="str">
        <f t="shared" si="41"/>
        <v>#DIV/0!</v>
      </c>
      <c r="CM369" s="128" t="str">
        <f t="shared" si="42"/>
        <v>#DIV/0!</v>
      </c>
      <c r="CN369" s="128">
        <f t="shared" si="43"/>
        <v>4</v>
      </c>
      <c r="CO369" s="129">
        <f t="shared" si="44"/>
        <v>4</v>
      </c>
      <c r="CP369" s="129" t="str">
        <f>IFS(C369=Preferences!B$13,B369,B369=Preferences!B$13,C369)</f>
        <v>#N/A</v>
      </c>
    </row>
    <row r="370" ht="13.5" customHeight="1">
      <c r="A370" s="63" t="str">
        <f t="shared" si="45"/>
        <v/>
      </c>
      <c r="B370" s="64"/>
      <c r="C370" s="64"/>
      <c r="D370" s="64"/>
      <c r="E370" s="65"/>
      <c r="F370" s="65"/>
      <c r="G370" s="65"/>
      <c r="H370" s="66"/>
      <c r="I370" s="66"/>
      <c r="J370" s="67"/>
      <c r="K370" s="68"/>
      <c r="L370" s="104"/>
      <c r="M370" s="104"/>
      <c r="N370" s="104"/>
      <c r="O370" s="104"/>
      <c r="P370" s="107" t="str">
        <f t="shared" si="1"/>
        <v/>
      </c>
      <c r="Q370" s="108" t="str">
        <f>IFERROR(IF(AND(Preferences!B$3="Manual",OR(AX370/AW370&gt;G370/F370,BD370="Serious",BD370="Very serious")),"Assess imprecision",IFS(ISBLANK(E370),"",AND(Preferences!B$3="Automatic", G370/F370&gt;=30),"Extremely serious",AND(H370&lt;=$D$1*-1,J370&lt;0,G370/F370&lt;3),"Not serious",AND(H370&lt;=$D$1*-1,J370&lt;0,G370/F370&gt;=3),"Very serious",AND(H370&gt;=$D$1,I370&gt;0,G370/F370&lt;3),"Not serious",AND(H370&gt;=$D$1,I370&gt;0,G370/F370&gt;=3),"Very serious",AND(H370&lt;=$D$1*-1,J370&gt;0,I370&gt;$D$2*-1,G370/F370&lt;3),"Serious", AND(H370&lt;=$D$1*-1,J370&gt;0,I370&lt;$D$2*-1,G370/F370&lt;3),"Very serious", AND(H370&gt;=$D$1,I370&lt;0,J370&lt;$D$2,G370/F370&lt;3),"Serious",AND(H370&gt;=$D$1,I370&lt;0,J370&gt;$D$2,G370/F370&lt;3),"Very serious", AND(H370&lt;=$D$1*-1,J370&gt;0,I370&gt;$D$2*-1,G370/F370&gt;=3),"Very serious", AND(H370&lt;=$D$1*-1,J370&gt;0,I370&lt;$D$2*-1,G370/F370&gt;=3),"Very serious", AND(H370&gt;=$D$1,I370&lt;0,J370&lt;$D$2,G370/F370&gt;=3),"Very serious", AND(H370&gt;=$D$1,I370&lt;0,J370&gt;$D$2,G370/F370&gt;=3),"Very serious", AND(H370&gt;$D$1*-1,H370&lt;$D$1,I370&gt;$D$1*-1,J370&lt;$D$1,G370/F370&lt;3),"Not serious", AND(H370&gt;$D$1*-1,H370&lt;$D$1,OR(I370&lt;=$D$1*-1,J370&gt;=$D$1),I370&gt;$D$2*-1,J370&lt;$D$2,G370/F370&lt;3),"Serious", AND(H370&gt;$D$1*-1,H370&lt;$D$1,OR(I370&lt;=$D$2*-1,J370&gt;=$D$2),G370/F370&lt;3),"Very serious", AND(H370&gt;$D$1*-1,H370&lt;$D$1,I370&gt;$D$1*-1,J370&lt;$D$1,G370/F370&gt;=3),"Very serious", AND(H370&gt;$D$1*-1,H370&lt;$D$1,OR(I370&lt;=$D$1*-1,J370&gt;=$D$1),I370&gt;$D$2*-1,J370&lt;$D$2,G370/F370&gt;=3),"Very serious", AND(H370&gt;$D$1*-1,H370&lt;$D$1,OR(I370&lt;=$D$2*-1,J370&gt;=$D$2),G370/F370&gt;=3),"Very serious")),"")</f>
        <v/>
      </c>
      <c r="R370" s="109" t="str">
        <f t="shared" si="47"/>
        <v/>
      </c>
      <c r="S370" s="64"/>
      <c r="T370" s="72"/>
      <c r="U370" s="72"/>
      <c r="V370" s="72"/>
      <c r="W370" s="73"/>
      <c r="X370" s="73"/>
      <c r="Y370" s="74"/>
      <c r="Z370" s="113" t="str">
        <f t="array" ref="Z370">INDEX($A$1:$C$500, MATCH(1,($B:$B=$B370)*($C:$C=$AB370),0),1)</f>
        <v/>
      </c>
      <c r="AA370" s="113" t="str">
        <f t="array" ref="AA370">INDEX($A$1:$C$500, MATCH(1,($B:$B=$AB370)*($C:$C=$B370),0),1)</f>
        <v/>
      </c>
      <c r="AB370" s="111"/>
      <c r="AC370" s="114" t="str">
        <f t="shared" si="2"/>
        <v/>
      </c>
      <c r="AD370" s="115" t="str">
        <f t="shared" si="3"/>
        <v/>
      </c>
      <c r="AE370" s="116" t="str">
        <f t="array" ref="AE370">INDEX($A$1:$C$500, MATCH(1,($B:$B=$AB370)*($C:$C=$AG370),0),1)</f>
        <v/>
      </c>
      <c r="AF370" s="116" t="str">
        <f t="array" ref="AF370">INDEX($A$1:$C$500, MATCH(1,($B:$B=$AG370)*($C:$C=$AB370),0),1)</f>
        <v/>
      </c>
      <c r="AG370" s="72"/>
      <c r="AH370" s="114" t="str">
        <f t="shared" si="4"/>
        <v/>
      </c>
      <c r="AI370" s="115" t="str">
        <f t="shared" si="5"/>
        <v/>
      </c>
      <c r="AJ370" s="116" t="str">
        <f t="array" ref="AJ370">INDEX($A$1:$C$500, MATCH(1,($B:$B=$C370)*($C:$C=$AG370),0),1)</f>
        <v/>
      </c>
      <c r="AK370" s="116" t="str">
        <f t="array" ref="AK370">INDEX($A$1:$C$500, MATCH(1,($B:$B=$AG370)*($C:$C=$C370),0),1)</f>
        <v/>
      </c>
      <c r="AL370" s="116" t="str">
        <f t="array" ref="AL370">INDEX($A$1:$C$500, MATCH(1,($B:$B=$C370)*($C:$C=$AB370),0),1)</f>
        <v/>
      </c>
      <c r="AM370" s="116" t="str">
        <f t="array" ref="AM370">INDEX($A$1:$C$500, MATCH(1,($B:$B=$AB370)*($C:$C=$C370),0),1)</f>
        <v/>
      </c>
      <c r="AN370" s="114" t="str">
        <f t="array" ref="AN370">IFS(ISNUMBER(AJ370),AJ370,ISNUMBER(AK370),AK370,ISNUMBER(AL370),AL370,ISNUMBER(AM370),AM370)</f>
        <v>#N/A</v>
      </c>
      <c r="AO370" s="115" t="str">
        <f t="shared" si="6"/>
        <v/>
      </c>
      <c r="AP370" s="115" t="str">
        <f t="shared" si="7"/>
        <v/>
      </c>
      <c r="AQ370" s="111"/>
      <c r="AR370" s="109" t="str">
        <f t="shared" si="8"/>
        <v/>
      </c>
      <c r="AS370" s="72" t="str">
        <f>IFERROR(IF(AND(Preferences!B$3="Manual",OR(AX370/AW370&gt;V370/U370,BD370="Serious",BD370="Very serious")),"Assess imprecision",IFERROR(IFS(AND(Preferences!B$3="Automatic",V370/U370&gt;=30),"Extremely serious",AND(W370&lt;=$D$1*-1,Y370&lt;0,V370/U370&lt;3),"Not Serious",AND(W370&lt;=$D$1*-1,Y370&lt;0,V370/U370&gt;=3),"Very serious",AND(W370&gt;=$D$1,X370&gt;0,V370/U370&lt;3),"Not Serious",AND(W370&gt;=$D$1,X370&gt;0,V370/U370&gt;=3),"Very serious",AND(W370&lt;=$D$1*-1,Y370&gt;0,X370&gt;$D$2*-1,V370/U370&lt;3),"Serious", AND(W370&lt;=$D$1*-1,Y370&gt;0,X370&lt;$D$2*-1,V370/U370&lt;3),"Very serious", AND(W370&gt;=$D$1,X370&lt;0,Y370&lt;$D$2,V370/U370&lt;3),"Serious",AND(W370&gt;=$D$1,X370&lt;0,Y370&gt;$D$2,V370/U370&lt;3),"Very serious", AND(W370&lt;=$D$1*-1,Y370&gt;0,X370&gt;$D$2*-1,V370/U370&gt;=3),"Very serious", AND(W370&lt;=$D$1*-1,Y370&gt;0,X370&lt;$D$2*-1,V370/U370&gt;=3),"Very serious", AND(W370&gt;=$D$1,X370&lt;0,Y370&lt;$D$2,V370/U370&gt;=3),"Very serious", AND(W370&gt;=$D$1,X370&lt;0,Y370&gt;$D$2,V370/U370&gt;=3),"Very serious", AND(W370&gt;$D$1*-1,W370&lt;$D$1,X370&gt;$D$1*-1,Y370&lt;$D$1,V370/U370&lt;3),"Not Serious", AND(W370&gt;$D$1*-1,W370&lt;$D$1,OR(X370&lt;=$D$1*-1,Y370&gt;=$D$1),X370&gt;$D$2*-1,Y370&lt;$D$2,V370/U370&lt;3),"Serious", AND(W370&gt;$D$1*-1,W370&lt;$D$1,OR(X370&lt;=$D$2*-1,Y370&gt;=$D$2),V370/U370&lt;3),"Very serious", AND(W370&gt;$D$1*-1,W370&lt;$D$1,X370&gt;$D$1*-1,Y370&lt;$D$1,V370/U370&gt;=3),"Very serious", AND(W370&gt;$D$1*-1,W370&lt;$D$1,OR(X370&lt;=$D$1*-1,Y370&gt;=$D$1),X370&gt;$D$2*-1,Y370&lt;$D$2,V370/U370&gt;=3),"Very serious", AND(W370&gt;$D$1*-1,W370&lt;$D$1,OR(X370&lt;=$D$2*-1,Y370&gt;=$D$2),V370/U370&gt;=3),"Very serious"),"")),"")</f>
        <v/>
      </c>
      <c r="AT370" s="109" t="str">
        <f t="shared" si="9"/>
        <v/>
      </c>
      <c r="AU370" s="64"/>
      <c r="AV370" s="83"/>
      <c r="AW370" s="83"/>
      <c r="AX370" s="83"/>
      <c r="AY370" s="83"/>
      <c r="AZ370" s="83"/>
      <c r="BA370" s="85"/>
      <c r="BB370" s="86" t="str">
        <f>IF(Preferences!B$9="Manual","",IFS(ISBLANK(B370),"",AND(ISNUMBER(E370)=TRUE,ISNUMBER(T370)=FALSE),"Direct", AND(ISNUMBER(E370)=FALSE,ISNUMBER(T370)=TRUE),"Indirect", CN370=4,"Direct",AND(CL370=FALSE, CM370=TRUE,CN370-CO370&gt;-1),"Direct", AND(CL370=FALSE,CM370=TRUE, CN370-CO370&lt;0),"Check algorithm in appendix 2", AND(CL370=TRUE, CM370=FALSE,CN370-CO370&gt;0),"Check algorithm in appendix 2", AND(CL370=TRUE, CM370=FALSE,CN370-CO370=0),"Indirect", AND(CL370=TRUE, CM370=FALSE,CN370-CO370&lt;0),"Indirect", AND(CL370=FALSE,CM370=FALSE,CN370-CO370&gt;-1),"Direct", AND(CL370=FALSE,CM370=FALSE,CN370-CO370&lt;0),"Check algorithm in appendix 2", AND(CL370=TRUE,CM370=TRUE,CN370-CO370&gt;-1),"Direct", AND(CL370=TRUE,CM370=TRUE,CN370-CO370&lt;0),"Check algorithm in appendix 2"))</f>
        <v/>
      </c>
      <c r="BC370" s="120" t="str">
        <f t="shared" si="10"/>
        <v/>
      </c>
      <c r="BD370" s="140"/>
      <c r="BE370" s="122" t="str">
        <f>IF(Preferences!B$3="Manual","", IFERROR(IFS(AND(Preferences!B$3="Automatic",AX370/AW370&gt;=30),"Extremely serious",AND(AY370&lt;=$D$1*-1,BA370&lt;0,AX370/AW370&lt;3),"Not Serious",AND(AY370&lt;=$D$1*-1,BA370&lt;0,AX370/AW370&gt;=3),"Very serious",AND(AY370&gt;=$D$1,AZ370&gt;0,AX370/AW370&lt;3),"Not Serious",AND(AY370&gt;=$D$1,AZ370&gt;0,AX370/AW370&gt;=3),"Very serious",AND(AY370&lt;=$D$1*-1,BA370&gt;0,AZ370&gt;$D$2*-1,AX370/AW370&lt;3),"Serious", AND(AY370&lt;=$D$1*-1,BA370&gt;0,AZ370&lt;$D$2*-1,AX370/AW370&lt;3),"Very serious", AND(AY370&gt;=$D$1,AZ370&lt;0,BA370&lt;$D$2,AX370/AW370&lt;3),"Serious",AND(AY370&gt;=$D$1,AZ370&lt;0,BA370&gt;$D$2,AX370/AW370&lt;3),"Very serious", AND(AY370&lt;=$D$1*-1,BA370&gt;0,AZ370&gt;$D$2*-1,AX370/AW370&gt;=3),"Very serious", AND(AY370&lt;=$D$1*-1,BA370&gt;0,AZ370&lt;$D$2*-1,AX370/AW370&gt;=3),"Very serious", AND(AY370&gt;=$D$1,AZ370&lt;0,BA370&lt;$D$2,AX370/AW370&gt;=3),"Very serious", AND(AY370&gt;=$D$1,AZ370&lt;0,BA370&gt;$D$2,AX370/AW370&gt;=3),"Very serious", AND(AY370&gt;$D$1*-1,AY370&lt;$D$1,AZ370&gt;$D$1*-1,BA370&lt;$D$1,AX370/AW370&lt;3),"Not Serious", AND(AY370&gt;$D$1*-1,AY370&lt;$D$1,OR(AZ370&lt;=$D$1*-1,BA370&gt;=$D$1),AZ370&gt;$D$2*-1,BA370&lt;$D$2,AX370/AW370&lt;3),"Serious", AND(AY370&gt;$D$1*-1,AY370&lt;$D$1,OR(AZ370&lt;=$D$2*-1,BA370&gt;=$D$2),AX370/AW370&lt;3),"Very serious", AND(AY370&gt;$D$1*-1,AY370&lt;$D$1,AZ370&gt;$D$1*-1,BA370&lt;$D$1,AX370/AW370&gt;=3),"Very serious", AND(AY370&gt;$D$1*-1,AY370&lt;$D$1,OR(AZ370&lt;=$D$1*-1,BA370&gt;=$D$1),AZ370&gt;$D$2*-1,BA370&lt;$D$2,AX370/AW370&gt;=3),"Very serious", AND(AY370&gt;$D$1*-1,AY370&lt;$D$1,OR(AZ370&lt;=$D$2*-1,BA370&gt;=$D$2),AX370/AW370&gt;=3),"Very serious"),""))</f>
        <v/>
      </c>
      <c r="BF370" s="107" t="str">
        <f t="shared" si="11"/>
        <v/>
      </c>
      <c r="BG370" s="94" t="str">
        <f t="shared" si="46"/>
        <v/>
      </c>
      <c r="BH370" s="64" t="str">
        <f t="shared" si="12"/>
        <v>#N/A</v>
      </c>
      <c r="BI370" s="64" t="str">
        <f t="shared" si="13"/>
        <v/>
      </c>
      <c r="BJ370" s="123" t="str">
        <f t="shared" si="14"/>
        <v>#N/A</v>
      </c>
      <c r="BK370" s="64" t="str">
        <f t="shared" si="50"/>
        <v>YES</v>
      </c>
      <c r="BL370" s="64" t="str">
        <f t="shared" si="16"/>
        <v>YES</v>
      </c>
      <c r="BM370" s="64" t="str">
        <f t="shared" si="17"/>
        <v>YES</v>
      </c>
      <c r="BN370" s="124" t="str">
        <f t="shared" si="18"/>
        <v/>
      </c>
      <c r="BO370" s="91" t="str">
        <f t="shared" si="19"/>
        <v/>
      </c>
      <c r="BP370" s="91" t="str">
        <f t="shared" si="20"/>
        <v>#N/A</v>
      </c>
      <c r="BQ370" s="91" t="str">
        <f t="shared" si="21"/>
        <v/>
      </c>
      <c r="BR370" s="93" t="str">
        <f t="shared" si="22"/>
        <v/>
      </c>
      <c r="BS370" s="90" t="str">
        <f t="shared" si="23"/>
        <v/>
      </c>
      <c r="BT370" s="93" t="str">
        <f t="shared" si="24"/>
        <v>NA</v>
      </c>
      <c r="BU370" s="125" t="str">
        <f t="shared" si="25"/>
        <v>#N/A</v>
      </c>
      <c r="BV370" s="93" t="str">
        <f t="shared" si="26"/>
        <v/>
      </c>
      <c r="BW370" s="93" t="str">
        <f t="shared" si="27"/>
        <v/>
      </c>
      <c r="BX370" s="93" t="str">
        <f t="shared" si="28"/>
        <v>NA</v>
      </c>
      <c r="BY370" s="95" t="str">
        <f t="shared" si="29"/>
        <v>#N/A</v>
      </c>
      <c r="BZ370" s="93" t="str">
        <f t="shared" si="30"/>
        <v/>
      </c>
      <c r="CA370" s="93" t="str">
        <f t="shared" si="31"/>
        <v/>
      </c>
      <c r="CB370" s="93" t="str">
        <f t="shared" si="32"/>
        <v>NA</v>
      </c>
      <c r="CC370" s="96" t="str">
        <f t="shared" si="33"/>
        <v>#N/A</v>
      </c>
      <c r="CD370" s="93" t="str">
        <f t="shared" si="34"/>
        <v/>
      </c>
      <c r="CE370" s="93" t="str">
        <f t="shared" si="35"/>
        <v/>
      </c>
      <c r="CF370" s="93" t="str">
        <f t="shared" si="36"/>
        <v>NA</v>
      </c>
      <c r="CG370" s="97" t="str">
        <f t="shared" si="37"/>
        <v>#N/A</v>
      </c>
      <c r="CH370" s="98" t="str">
        <f t="shared" si="38"/>
        <v>#N/A</v>
      </c>
      <c r="CI370" s="99" t="str">
        <f t="shared" si="39"/>
        <v>#N/A</v>
      </c>
      <c r="CJ370" s="126" t="str">
        <f t="shared" si="40"/>
        <v>ERROR: check cell</v>
      </c>
      <c r="CK370" s="126"/>
      <c r="CL370" s="127" t="str">
        <f t="shared" si="41"/>
        <v>#DIV/0!</v>
      </c>
      <c r="CM370" s="128" t="str">
        <f t="shared" si="42"/>
        <v>#DIV/0!</v>
      </c>
      <c r="CN370" s="128">
        <f t="shared" si="43"/>
        <v>4</v>
      </c>
      <c r="CO370" s="129">
        <f t="shared" si="44"/>
        <v>4</v>
      </c>
      <c r="CP370" s="129" t="str">
        <f>IFS(C370=Preferences!B$13,B370,B370=Preferences!B$13,C370)</f>
        <v>#N/A</v>
      </c>
    </row>
    <row r="371" ht="13.5" customHeight="1">
      <c r="A371" s="63" t="str">
        <f t="shared" si="45"/>
        <v/>
      </c>
      <c r="B371" s="64"/>
      <c r="C371" s="64"/>
      <c r="D371" s="64"/>
      <c r="E371" s="65"/>
      <c r="F371" s="65"/>
      <c r="G371" s="65"/>
      <c r="H371" s="66"/>
      <c r="I371" s="66"/>
      <c r="J371" s="67"/>
      <c r="K371" s="68"/>
      <c r="L371" s="104"/>
      <c r="M371" s="104"/>
      <c r="N371" s="104"/>
      <c r="O371" s="104"/>
      <c r="P371" s="107" t="str">
        <f t="shared" si="1"/>
        <v/>
      </c>
      <c r="Q371" s="108" t="str">
        <f>IFERROR(IF(AND(Preferences!B$3="Manual",OR(AX371/AW371&gt;G371/F371,BD371="Serious",BD371="Very serious")),"Assess imprecision",IFS(ISBLANK(E371),"",AND(Preferences!B$3="Automatic", G371/F371&gt;=30),"Extremely serious",AND(H371&lt;=$D$1*-1,J371&lt;0,G371/F371&lt;3),"Not serious",AND(H371&lt;=$D$1*-1,J371&lt;0,G371/F371&gt;=3),"Very serious",AND(H371&gt;=$D$1,I371&gt;0,G371/F371&lt;3),"Not serious",AND(H371&gt;=$D$1,I371&gt;0,G371/F371&gt;=3),"Very serious",AND(H371&lt;=$D$1*-1,J371&gt;0,I371&gt;$D$2*-1,G371/F371&lt;3),"Serious", AND(H371&lt;=$D$1*-1,J371&gt;0,I371&lt;$D$2*-1,G371/F371&lt;3),"Very serious", AND(H371&gt;=$D$1,I371&lt;0,J371&lt;$D$2,G371/F371&lt;3),"Serious",AND(H371&gt;=$D$1,I371&lt;0,J371&gt;$D$2,G371/F371&lt;3),"Very serious", AND(H371&lt;=$D$1*-1,J371&gt;0,I371&gt;$D$2*-1,G371/F371&gt;=3),"Very serious", AND(H371&lt;=$D$1*-1,J371&gt;0,I371&lt;$D$2*-1,G371/F371&gt;=3),"Very serious", AND(H371&gt;=$D$1,I371&lt;0,J371&lt;$D$2,G371/F371&gt;=3),"Very serious", AND(H371&gt;=$D$1,I371&lt;0,J371&gt;$D$2,G371/F371&gt;=3),"Very serious", AND(H371&gt;$D$1*-1,H371&lt;$D$1,I371&gt;$D$1*-1,J371&lt;$D$1,G371/F371&lt;3),"Not serious", AND(H371&gt;$D$1*-1,H371&lt;$D$1,OR(I371&lt;=$D$1*-1,J371&gt;=$D$1),I371&gt;$D$2*-1,J371&lt;$D$2,G371/F371&lt;3),"Serious", AND(H371&gt;$D$1*-1,H371&lt;$D$1,OR(I371&lt;=$D$2*-1,J371&gt;=$D$2),G371/F371&lt;3),"Very serious", AND(H371&gt;$D$1*-1,H371&lt;$D$1,I371&gt;$D$1*-1,J371&lt;$D$1,G371/F371&gt;=3),"Very serious", AND(H371&gt;$D$1*-1,H371&lt;$D$1,OR(I371&lt;=$D$1*-1,J371&gt;=$D$1),I371&gt;$D$2*-1,J371&lt;$D$2,G371/F371&gt;=3),"Very serious", AND(H371&gt;$D$1*-1,H371&lt;$D$1,OR(I371&lt;=$D$2*-1,J371&gt;=$D$2),G371/F371&gt;=3),"Very serious")),"")</f>
        <v/>
      </c>
      <c r="R371" s="109" t="str">
        <f t="shared" si="47"/>
        <v/>
      </c>
      <c r="S371" s="64"/>
      <c r="T371" s="72"/>
      <c r="U371" s="72"/>
      <c r="V371" s="72"/>
      <c r="W371" s="73"/>
      <c r="X371" s="73"/>
      <c r="Y371" s="74"/>
      <c r="Z371" s="113" t="str">
        <f t="array" ref="Z371">INDEX($A$1:$C$500, MATCH(1,($B:$B=$B371)*($C:$C=$AB371),0),1)</f>
        <v/>
      </c>
      <c r="AA371" s="113" t="str">
        <f t="array" ref="AA371">INDEX($A$1:$C$500, MATCH(1,($B:$B=$AB371)*($C:$C=$B371),0),1)</f>
        <v/>
      </c>
      <c r="AB371" s="111"/>
      <c r="AC371" s="114" t="str">
        <f t="shared" si="2"/>
        <v/>
      </c>
      <c r="AD371" s="115" t="str">
        <f t="shared" si="3"/>
        <v/>
      </c>
      <c r="AE371" s="116" t="str">
        <f t="array" ref="AE371">INDEX($A$1:$C$500, MATCH(1,($B:$B=$AB371)*($C:$C=$AG371),0),1)</f>
        <v/>
      </c>
      <c r="AF371" s="116" t="str">
        <f t="array" ref="AF371">INDEX($A$1:$C$500, MATCH(1,($B:$B=$AG371)*($C:$C=$AB371),0),1)</f>
        <v/>
      </c>
      <c r="AG371" s="72"/>
      <c r="AH371" s="114" t="str">
        <f t="shared" si="4"/>
        <v/>
      </c>
      <c r="AI371" s="115" t="str">
        <f t="shared" si="5"/>
        <v/>
      </c>
      <c r="AJ371" s="116" t="str">
        <f t="array" ref="AJ371">INDEX($A$1:$C$500, MATCH(1,($B:$B=$C371)*($C:$C=$AG371),0),1)</f>
        <v/>
      </c>
      <c r="AK371" s="116" t="str">
        <f t="array" ref="AK371">INDEX($A$1:$C$500, MATCH(1,($B:$B=$AG371)*($C:$C=$C371),0),1)</f>
        <v/>
      </c>
      <c r="AL371" s="116" t="str">
        <f t="array" ref="AL371">INDEX($A$1:$C$500, MATCH(1,($B:$B=$C371)*($C:$C=$AB371),0),1)</f>
        <v/>
      </c>
      <c r="AM371" s="116" t="str">
        <f t="array" ref="AM371">INDEX($A$1:$C$500, MATCH(1,($B:$B=$AB371)*($C:$C=$C371),0),1)</f>
        <v/>
      </c>
      <c r="AN371" s="114" t="str">
        <f t="array" ref="AN371">IFS(ISNUMBER(AJ371),AJ371,ISNUMBER(AK371),AK371,ISNUMBER(AL371),AL371,ISNUMBER(AM371),AM371)</f>
        <v>#N/A</v>
      </c>
      <c r="AO371" s="115" t="str">
        <f t="shared" si="6"/>
        <v/>
      </c>
      <c r="AP371" s="115" t="str">
        <f t="shared" si="7"/>
        <v/>
      </c>
      <c r="AQ371" s="111"/>
      <c r="AR371" s="109" t="str">
        <f t="shared" si="8"/>
        <v/>
      </c>
      <c r="AS371" s="72" t="str">
        <f>IFERROR(IF(AND(Preferences!B$3="Manual",OR(AX371/AW371&gt;V371/U371,BD371="Serious",BD371="Very serious")),"Assess imprecision",IFERROR(IFS(AND(Preferences!B$3="Automatic",V371/U371&gt;=30),"Extremely serious",AND(W371&lt;=$D$1*-1,Y371&lt;0,V371/U371&lt;3),"Not Serious",AND(W371&lt;=$D$1*-1,Y371&lt;0,V371/U371&gt;=3),"Very serious",AND(W371&gt;=$D$1,X371&gt;0,V371/U371&lt;3),"Not Serious",AND(W371&gt;=$D$1,X371&gt;0,V371/U371&gt;=3),"Very serious",AND(W371&lt;=$D$1*-1,Y371&gt;0,X371&gt;$D$2*-1,V371/U371&lt;3),"Serious", AND(W371&lt;=$D$1*-1,Y371&gt;0,X371&lt;$D$2*-1,V371/U371&lt;3),"Very serious", AND(W371&gt;=$D$1,X371&lt;0,Y371&lt;$D$2,V371/U371&lt;3),"Serious",AND(W371&gt;=$D$1,X371&lt;0,Y371&gt;$D$2,V371/U371&lt;3),"Very serious", AND(W371&lt;=$D$1*-1,Y371&gt;0,X371&gt;$D$2*-1,V371/U371&gt;=3),"Very serious", AND(W371&lt;=$D$1*-1,Y371&gt;0,X371&lt;$D$2*-1,V371/U371&gt;=3),"Very serious", AND(W371&gt;=$D$1,X371&lt;0,Y371&lt;$D$2,V371/U371&gt;=3),"Very serious", AND(W371&gt;=$D$1,X371&lt;0,Y371&gt;$D$2,V371/U371&gt;=3),"Very serious", AND(W371&gt;$D$1*-1,W371&lt;$D$1,X371&gt;$D$1*-1,Y371&lt;$D$1,V371/U371&lt;3),"Not Serious", AND(W371&gt;$D$1*-1,W371&lt;$D$1,OR(X371&lt;=$D$1*-1,Y371&gt;=$D$1),X371&gt;$D$2*-1,Y371&lt;$D$2,V371/U371&lt;3),"Serious", AND(W371&gt;$D$1*-1,W371&lt;$D$1,OR(X371&lt;=$D$2*-1,Y371&gt;=$D$2),V371/U371&lt;3),"Very serious", AND(W371&gt;$D$1*-1,W371&lt;$D$1,X371&gt;$D$1*-1,Y371&lt;$D$1,V371/U371&gt;=3),"Very serious", AND(W371&gt;$D$1*-1,W371&lt;$D$1,OR(X371&lt;=$D$1*-1,Y371&gt;=$D$1),X371&gt;$D$2*-1,Y371&lt;$D$2,V371/U371&gt;=3),"Very serious", AND(W371&gt;$D$1*-1,W371&lt;$D$1,OR(X371&lt;=$D$2*-1,Y371&gt;=$D$2),V371/U371&gt;=3),"Very serious"),"")),"")</f>
        <v/>
      </c>
      <c r="AT371" s="109" t="str">
        <f t="shared" si="9"/>
        <v/>
      </c>
      <c r="AU371" s="64"/>
      <c r="AV371" s="83"/>
      <c r="AW371" s="83"/>
      <c r="AX371" s="83"/>
      <c r="AY371" s="83"/>
      <c r="AZ371" s="83"/>
      <c r="BA371" s="85"/>
      <c r="BB371" s="86" t="str">
        <f>IF(Preferences!B$9="Manual","",IFS(ISBLANK(B371),"",AND(ISNUMBER(E371)=TRUE,ISNUMBER(T371)=FALSE),"Direct", AND(ISNUMBER(E371)=FALSE,ISNUMBER(T371)=TRUE),"Indirect", CN371=4,"Direct",AND(CL371=FALSE, CM371=TRUE,CN371-CO371&gt;-1),"Direct", AND(CL371=FALSE,CM371=TRUE, CN371-CO371&lt;0),"Check algorithm in appendix 2", AND(CL371=TRUE, CM371=FALSE,CN371-CO371&gt;0),"Check algorithm in appendix 2", AND(CL371=TRUE, CM371=FALSE,CN371-CO371=0),"Indirect", AND(CL371=TRUE, CM371=FALSE,CN371-CO371&lt;0),"Indirect", AND(CL371=FALSE,CM371=FALSE,CN371-CO371&gt;-1),"Direct", AND(CL371=FALSE,CM371=FALSE,CN371-CO371&lt;0),"Check algorithm in appendix 2", AND(CL371=TRUE,CM371=TRUE,CN371-CO371&gt;-1),"Direct", AND(CL371=TRUE,CM371=TRUE,CN371-CO371&lt;0),"Check algorithm in appendix 2"))</f>
        <v/>
      </c>
      <c r="BC371" s="120" t="str">
        <f t="shared" si="10"/>
        <v/>
      </c>
      <c r="BD371" s="140"/>
      <c r="BE371" s="122" t="str">
        <f>IF(Preferences!B$3="Manual","", IFERROR(IFS(AND(Preferences!B$3="Automatic",AX371/AW371&gt;=30),"Extremely serious",AND(AY371&lt;=$D$1*-1,BA371&lt;0,AX371/AW371&lt;3),"Not Serious",AND(AY371&lt;=$D$1*-1,BA371&lt;0,AX371/AW371&gt;=3),"Very serious",AND(AY371&gt;=$D$1,AZ371&gt;0,AX371/AW371&lt;3),"Not Serious",AND(AY371&gt;=$D$1,AZ371&gt;0,AX371/AW371&gt;=3),"Very serious",AND(AY371&lt;=$D$1*-1,BA371&gt;0,AZ371&gt;$D$2*-1,AX371/AW371&lt;3),"Serious", AND(AY371&lt;=$D$1*-1,BA371&gt;0,AZ371&lt;$D$2*-1,AX371/AW371&lt;3),"Very serious", AND(AY371&gt;=$D$1,AZ371&lt;0,BA371&lt;$D$2,AX371/AW371&lt;3),"Serious",AND(AY371&gt;=$D$1,AZ371&lt;0,BA371&gt;$D$2,AX371/AW371&lt;3),"Very serious", AND(AY371&lt;=$D$1*-1,BA371&gt;0,AZ371&gt;$D$2*-1,AX371/AW371&gt;=3),"Very serious", AND(AY371&lt;=$D$1*-1,BA371&gt;0,AZ371&lt;$D$2*-1,AX371/AW371&gt;=3),"Very serious", AND(AY371&gt;=$D$1,AZ371&lt;0,BA371&lt;$D$2,AX371/AW371&gt;=3),"Very serious", AND(AY371&gt;=$D$1,AZ371&lt;0,BA371&gt;$D$2,AX371/AW371&gt;=3),"Very serious", AND(AY371&gt;$D$1*-1,AY371&lt;$D$1,AZ371&gt;$D$1*-1,BA371&lt;$D$1,AX371/AW371&lt;3),"Not Serious", AND(AY371&gt;$D$1*-1,AY371&lt;$D$1,OR(AZ371&lt;=$D$1*-1,BA371&gt;=$D$1),AZ371&gt;$D$2*-1,BA371&lt;$D$2,AX371/AW371&lt;3),"Serious", AND(AY371&gt;$D$1*-1,AY371&lt;$D$1,OR(AZ371&lt;=$D$2*-1,BA371&gt;=$D$2),AX371/AW371&lt;3),"Very serious", AND(AY371&gt;$D$1*-1,AY371&lt;$D$1,AZ371&gt;$D$1*-1,BA371&lt;$D$1,AX371/AW371&gt;=3),"Very serious", AND(AY371&gt;$D$1*-1,AY371&lt;$D$1,OR(AZ371&lt;=$D$1*-1,BA371&gt;=$D$1),AZ371&gt;$D$2*-1,BA371&lt;$D$2,AX371/AW371&gt;=3),"Very serious", AND(AY371&gt;$D$1*-1,AY371&lt;$D$1,OR(AZ371&lt;=$D$2*-1,BA371&gt;=$D$2),AX371/AW371&gt;=3),"Very serious"),""))</f>
        <v/>
      </c>
      <c r="BF371" s="107" t="str">
        <f t="shared" si="11"/>
        <v/>
      </c>
      <c r="BG371" s="94" t="str">
        <f t="shared" si="46"/>
        <v/>
      </c>
      <c r="BH371" s="64" t="str">
        <f t="shared" si="12"/>
        <v>#N/A</v>
      </c>
      <c r="BI371" s="64" t="str">
        <f t="shared" si="13"/>
        <v/>
      </c>
      <c r="BJ371" s="123" t="str">
        <f t="shared" si="14"/>
        <v>#N/A</v>
      </c>
      <c r="BK371" s="64" t="str">
        <f t="shared" si="50"/>
        <v>YES</v>
      </c>
      <c r="BL371" s="64" t="str">
        <f t="shared" si="16"/>
        <v>YES</v>
      </c>
      <c r="BM371" s="64" t="str">
        <f t="shared" si="17"/>
        <v>YES</v>
      </c>
      <c r="BN371" s="124" t="str">
        <f t="shared" si="18"/>
        <v/>
      </c>
      <c r="BO371" s="91" t="str">
        <f t="shared" si="19"/>
        <v/>
      </c>
      <c r="BP371" s="91" t="str">
        <f t="shared" si="20"/>
        <v>#N/A</v>
      </c>
      <c r="BQ371" s="91" t="str">
        <f t="shared" si="21"/>
        <v/>
      </c>
      <c r="BR371" s="93" t="str">
        <f t="shared" si="22"/>
        <v/>
      </c>
      <c r="BS371" s="90" t="str">
        <f t="shared" si="23"/>
        <v/>
      </c>
      <c r="BT371" s="93" t="str">
        <f t="shared" si="24"/>
        <v>NA</v>
      </c>
      <c r="BU371" s="125" t="str">
        <f t="shared" si="25"/>
        <v>#N/A</v>
      </c>
      <c r="BV371" s="93" t="str">
        <f t="shared" si="26"/>
        <v/>
      </c>
      <c r="BW371" s="93" t="str">
        <f t="shared" si="27"/>
        <v/>
      </c>
      <c r="BX371" s="93" t="str">
        <f t="shared" si="28"/>
        <v>NA</v>
      </c>
      <c r="BY371" s="95" t="str">
        <f t="shared" si="29"/>
        <v>#N/A</v>
      </c>
      <c r="BZ371" s="93" t="str">
        <f t="shared" si="30"/>
        <v/>
      </c>
      <c r="CA371" s="93" t="str">
        <f t="shared" si="31"/>
        <v/>
      </c>
      <c r="CB371" s="93" t="str">
        <f t="shared" si="32"/>
        <v>NA</v>
      </c>
      <c r="CC371" s="96" t="str">
        <f t="shared" si="33"/>
        <v>#N/A</v>
      </c>
      <c r="CD371" s="93" t="str">
        <f t="shared" si="34"/>
        <v/>
      </c>
      <c r="CE371" s="93" t="str">
        <f t="shared" si="35"/>
        <v/>
      </c>
      <c r="CF371" s="93" t="str">
        <f t="shared" si="36"/>
        <v>NA</v>
      </c>
      <c r="CG371" s="97" t="str">
        <f t="shared" si="37"/>
        <v>#N/A</v>
      </c>
      <c r="CH371" s="98" t="str">
        <f t="shared" si="38"/>
        <v>#N/A</v>
      </c>
      <c r="CI371" s="99" t="str">
        <f t="shared" si="39"/>
        <v>#N/A</v>
      </c>
      <c r="CJ371" s="126" t="str">
        <f t="shared" si="40"/>
        <v>ERROR: check cell</v>
      </c>
      <c r="CK371" s="126"/>
      <c r="CL371" s="127" t="str">
        <f t="shared" si="41"/>
        <v>#DIV/0!</v>
      </c>
      <c r="CM371" s="128" t="str">
        <f t="shared" si="42"/>
        <v>#DIV/0!</v>
      </c>
      <c r="CN371" s="128">
        <f t="shared" si="43"/>
        <v>4</v>
      </c>
      <c r="CO371" s="129">
        <f t="shared" si="44"/>
        <v>4</v>
      </c>
      <c r="CP371" s="129" t="str">
        <f>IFS(C371=Preferences!B$13,B371,B371=Preferences!B$13,C371)</f>
        <v>#N/A</v>
      </c>
    </row>
    <row r="372" ht="13.5" customHeight="1">
      <c r="A372" s="63" t="str">
        <f t="shared" si="45"/>
        <v/>
      </c>
      <c r="B372" s="64"/>
      <c r="C372" s="64"/>
      <c r="D372" s="64"/>
      <c r="E372" s="65"/>
      <c r="F372" s="65"/>
      <c r="G372" s="65"/>
      <c r="H372" s="66"/>
      <c r="I372" s="66"/>
      <c r="J372" s="67"/>
      <c r="K372" s="68"/>
      <c r="L372" s="104"/>
      <c r="M372" s="104"/>
      <c r="N372" s="104"/>
      <c r="O372" s="104"/>
      <c r="P372" s="107" t="str">
        <f t="shared" si="1"/>
        <v/>
      </c>
      <c r="Q372" s="108" t="str">
        <f>IFERROR(IF(AND(Preferences!B$3="Manual",OR(AX372/AW372&gt;G372/F372,BD372="Serious",BD372="Very serious")),"Assess imprecision",IFS(ISBLANK(E372),"",AND(Preferences!B$3="Automatic", G372/F372&gt;=30),"Extremely serious",AND(H372&lt;=$D$1*-1,J372&lt;0,G372/F372&lt;3),"Not serious",AND(H372&lt;=$D$1*-1,J372&lt;0,G372/F372&gt;=3),"Very serious",AND(H372&gt;=$D$1,I372&gt;0,G372/F372&lt;3),"Not serious",AND(H372&gt;=$D$1,I372&gt;0,G372/F372&gt;=3),"Very serious",AND(H372&lt;=$D$1*-1,J372&gt;0,I372&gt;$D$2*-1,G372/F372&lt;3),"Serious", AND(H372&lt;=$D$1*-1,J372&gt;0,I372&lt;$D$2*-1,G372/F372&lt;3),"Very serious", AND(H372&gt;=$D$1,I372&lt;0,J372&lt;$D$2,G372/F372&lt;3),"Serious",AND(H372&gt;=$D$1,I372&lt;0,J372&gt;$D$2,G372/F372&lt;3),"Very serious", AND(H372&lt;=$D$1*-1,J372&gt;0,I372&gt;$D$2*-1,G372/F372&gt;=3),"Very serious", AND(H372&lt;=$D$1*-1,J372&gt;0,I372&lt;$D$2*-1,G372/F372&gt;=3),"Very serious", AND(H372&gt;=$D$1,I372&lt;0,J372&lt;$D$2,G372/F372&gt;=3),"Very serious", AND(H372&gt;=$D$1,I372&lt;0,J372&gt;$D$2,G372/F372&gt;=3),"Very serious", AND(H372&gt;$D$1*-1,H372&lt;$D$1,I372&gt;$D$1*-1,J372&lt;$D$1,G372/F372&lt;3),"Not serious", AND(H372&gt;$D$1*-1,H372&lt;$D$1,OR(I372&lt;=$D$1*-1,J372&gt;=$D$1),I372&gt;$D$2*-1,J372&lt;$D$2,G372/F372&lt;3),"Serious", AND(H372&gt;$D$1*-1,H372&lt;$D$1,OR(I372&lt;=$D$2*-1,J372&gt;=$D$2),G372/F372&lt;3),"Very serious", AND(H372&gt;$D$1*-1,H372&lt;$D$1,I372&gt;$D$1*-1,J372&lt;$D$1,G372/F372&gt;=3),"Very serious", AND(H372&gt;$D$1*-1,H372&lt;$D$1,OR(I372&lt;=$D$1*-1,J372&gt;=$D$1),I372&gt;$D$2*-1,J372&lt;$D$2,G372/F372&gt;=3),"Very serious", AND(H372&gt;$D$1*-1,H372&lt;$D$1,OR(I372&lt;=$D$2*-1,J372&gt;=$D$2),G372/F372&gt;=3),"Very serious")),"")</f>
        <v/>
      </c>
      <c r="R372" s="109" t="str">
        <f t="shared" si="47"/>
        <v/>
      </c>
      <c r="S372" s="64"/>
      <c r="T372" s="72"/>
      <c r="U372" s="72"/>
      <c r="V372" s="72"/>
      <c r="W372" s="73"/>
      <c r="X372" s="73"/>
      <c r="Y372" s="74"/>
      <c r="Z372" s="113" t="str">
        <f t="array" ref="Z372">INDEX($A$1:$C$500, MATCH(1,($B:$B=$B372)*($C:$C=$AB372),0),1)</f>
        <v/>
      </c>
      <c r="AA372" s="113" t="str">
        <f t="array" ref="AA372">INDEX($A$1:$C$500, MATCH(1,($B:$B=$AB372)*($C:$C=$B372),0),1)</f>
        <v/>
      </c>
      <c r="AB372" s="111"/>
      <c r="AC372" s="114" t="str">
        <f t="shared" si="2"/>
        <v/>
      </c>
      <c r="AD372" s="115" t="str">
        <f t="shared" si="3"/>
        <v/>
      </c>
      <c r="AE372" s="116" t="str">
        <f t="array" ref="AE372">INDEX($A$1:$C$500, MATCH(1,($B:$B=$AB372)*($C:$C=$AG372),0),1)</f>
        <v/>
      </c>
      <c r="AF372" s="116" t="str">
        <f t="array" ref="AF372">INDEX($A$1:$C$500, MATCH(1,($B:$B=$AG372)*($C:$C=$AB372),0),1)</f>
        <v/>
      </c>
      <c r="AG372" s="72"/>
      <c r="AH372" s="114" t="str">
        <f t="shared" si="4"/>
        <v/>
      </c>
      <c r="AI372" s="115" t="str">
        <f t="shared" si="5"/>
        <v/>
      </c>
      <c r="AJ372" s="116" t="str">
        <f t="array" ref="AJ372">INDEX($A$1:$C$500, MATCH(1,($B:$B=$C372)*($C:$C=$AG372),0),1)</f>
        <v/>
      </c>
      <c r="AK372" s="116" t="str">
        <f t="array" ref="AK372">INDEX($A$1:$C$500, MATCH(1,($B:$B=$AG372)*($C:$C=$C372),0),1)</f>
        <v/>
      </c>
      <c r="AL372" s="116" t="str">
        <f t="array" ref="AL372">INDEX($A$1:$C$500, MATCH(1,($B:$B=$C372)*($C:$C=$AB372),0),1)</f>
        <v/>
      </c>
      <c r="AM372" s="116" t="str">
        <f t="array" ref="AM372">INDEX($A$1:$C$500, MATCH(1,($B:$B=$AB372)*($C:$C=$C372),0),1)</f>
        <v/>
      </c>
      <c r="AN372" s="114" t="str">
        <f t="array" ref="AN372">IFS(ISNUMBER(AJ372),AJ372,ISNUMBER(AK372),AK372,ISNUMBER(AL372),AL372,ISNUMBER(AM372),AM372)</f>
        <v>#N/A</v>
      </c>
      <c r="AO372" s="115" t="str">
        <f t="shared" si="6"/>
        <v/>
      </c>
      <c r="AP372" s="115" t="str">
        <f t="shared" si="7"/>
        <v/>
      </c>
      <c r="AQ372" s="111"/>
      <c r="AR372" s="109" t="str">
        <f t="shared" si="8"/>
        <v/>
      </c>
      <c r="AS372" s="72" t="str">
        <f>IFERROR(IF(AND(Preferences!B$3="Manual",OR(AX372/AW372&gt;V372/U372,BD372="Serious",BD372="Very serious")),"Assess imprecision",IFERROR(IFS(AND(Preferences!B$3="Automatic",V372/U372&gt;=30),"Extremely serious",AND(W372&lt;=$D$1*-1,Y372&lt;0,V372/U372&lt;3),"Not Serious",AND(W372&lt;=$D$1*-1,Y372&lt;0,V372/U372&gt;=3),"Very serious",AND(W372&gt;=$D$1,X372&gt;0,V372/U372&lt;3),"Not Serious",AND(W372&gt;=$D$1,X372&gt;0,V372/U372&gt;=3),"Very serious",AND(W372&lt;=$D$1*-1,Y372&gt;0,X372&gt;$D$2*-1,V372/U372&lt;3),"Serious", AND(W372&lt;=$D$1*-1,Y372&gt;0,X372&lt;$D$2*-1,V372/U372&lt;3),"Very serious", AND(W372&gt;=$D$1,X372&lt;0,Y372&lt;$D$2,V372/U372&lt;3),"Serious",AND(W372&gt;=$D$1,X372&lt;0,Y372&gt;$D$2,V372/U372&lt;3),"Very serious", AND(W372&lt;=$D$1*-1,Y372&gt;0,X372&gt;$D$2*-1,V372/U372&gt;=3),"Very serious", AND(W372&lt;=$D$1*-1,Y372&gt;0,X372&lt;$D$2*-1,V372/U372&gt;=3),"Very serious", AND(W372&gt;=$D$1,X372&lt;0,Y372&lt;$D$2,V372/U372&gt;=3),"Very serious", AND(W372&gt;=$D$1,X372&lt;0,Y372&gt;$D$2,V372/U372&gt;=3),"Very serious", AND(W372&gt;$D$1*-1,W372&lt;$D$1,X372&gt;$D$1*-1,Y372&lt;$D$1,V372/U372&lt;3),"Not Serious", AND(W372&gt;$D$1*-1,W372&lt;$D$1,OR(X372&lt;=$D$1*-1,Y372&gt;=$D$1),X372&gt;$D$2*-1,Y372&lt;$D$2,V372/U372&lt;3),"Serious", AND(W372&gt;$D$1*-1,W372&lt;$D$1,OR(X372&lt;=$D$2*-1,Y372&gt;=$D$2),V372/U372&lt;3),"Very serious", AND(W372&gt;$D$1*-1,W372&lt;$D$1,X372&gt;$D$1*-1,Y372&lt;$D$1,V372/U372&gt;=3),"Very serious", AND(W372&gt;$D$1*-1,W372&lt;$D$1,OR(X372&lt;=$D$1*-1,Y372&gt;=$D$1),X372&gt;$D$2*-1,Y372&lt;$D$2,V372/U372&gt;=3),"Very serious", AND(W372&gt;$D$1*-1,W372&lt;$D$1,OR(X372&lt;=$D$2*-1,Y372&gt;=$D$2),V372/U372&gt;=3),"Very serious"),"")),"")</f>
        <v/>
      </c>
      <c r="AT372" s="109" t="str">
        <f t="shared" si="9"/>
        <v/>
      </c>
      <c r="AU372" s="64"/>
      <c r="AV372" s="83"/>
      <c r="AW372" s="83"/>
      <c r="AX372" s="83"/>
      <c r="AY372" s="83"/>
      <c r="AZ372" s="83"/>
      <c r="BA372" s="85"/>
      <c r="BB372" s="86" t="str">
        <f>IF(Preferences!B$9="Manual","",IFS(ISBLANK(B372),"",AND(ISNUMBER(E372)=TRUE,ISNUMBER(T372)=FALSE),"Direct", AND(ISNUMBER(E372)=FALSE,ISNUMBER(T372)=TRUE),"Indirect", CN372=4,"Direct",AND(CL372=FALSE, CM372=TRUE,CN372-CO372&gt;-1),"Direct", AND(CL372=FALSE,CM372=TRUE, CN372-CO372&lt;0),"Check algorithm in appendix 2", AND(CL372=TRUE, CM372=FALSE,CN372-CO372&gt;0),"Check algorithm in appendix 2", AND(CL372=TRUE, CM372=FALSE,CN372-CO372=0),"Indirect", AND(CL372=TRUE, CM372=FALSE,CN372-CO372&lt;0),"Indirect", AND(CL372=FALSE,CM372=FALSE,CN372-CO372&gt;-1),"Direct", AND(CL372=FALSE,CM372=FALSE,CN372-CO372&lt;0),"Check algorithm in appendix 2", AND(CL372=TRUE,CM372=TRUE,CN372-CO372&gt;-1),"Direct", AND(CL372=TRUE,CM372=TRUE,CN372-CO372&lt;0),"Check algorithm in appendix 2"))</f>
        <v/>
      </c>
      <c r="BC372" s="120" t="str">
        <f t="shared" si="10"/>
        <v/>
      </c>
      <c r="BD372" s="140"/>
      <c r="BE372" s="122" t="str">
        <f>IF(Preferences!B$3="Manual","", IFERROR(IFS(AND(Preferences!B$3="Automatic",AX372/AW372&gt;=30),"Extremely serious",AND(AY372&lt;=$D$1*-1,BA372&lt;0,AX372/AW372&lt;3),"Not Serious",AND(AY372&lt;=$D$1*-1,BA372&lt;0,AX372/AW372&gt;=3),"Very serious",AND(AY372&gt;=$D$1,AZ372&gt;0,AX372/AW372&lt;3),"Not Serious",AND(AY372&gt;=$D$1,AZ372&gt;0,AX372/AW372&gt;=3),"Very serious",AND(AY372&lt;=$D$1*-1,BA372&gt;0,AZ372&gt;$D$2*-1,AX372/AW372&lt;3),"Serious", AND(AY372&lt;=$D$1*-1,BA372&gt;0,AZ372&lt;$D$2*-1,AX372/AW372&lt;3),"Very serious", AND(AY372&gt;=$D$1,AZ372&lt;0,BA372&lt;$D$2,AX372/AW372&lt;3),"Serious",AND(AY372&gt;=$D$1,AZ372&lt;0,BA372&gt;$D$2,AX372/AW372&lt;3),"Very serious", AND(AY372&lt;=$D$1*-1,BA372&gt;0,AZ372&gt;$D$2*-1,AX372/AW372&gt;=3),"Very serious", AND(AY372&lt;=$D$1*-1,BA372&gt;0,AZ372&lt;$D$2*-1,AX372/AW372&gt;=3),"Very serious", AND(AY372&gt;=$D$1,AZ372&lt;0,BA372&lt;$D$2,AX372/AW372&gt;=3),"Very serious", AND(AY372&gt;=$D$1,AZ372&lt;0,BA372&gt;$D$2,AX372/AW372&gt;=3),"Very serious", AND(AY372&gt;$D$1*-1,AY372&lt;$D$1,AZ372&gt;$D$1*-1,BA372&lt;$D$1,AX372/AW372&lt;3),"Not Serious", AND(AY372&gt;$D$1*-1,AY372&lt;$D$1,OR(AZ372&lt;=$D$1*-1,BA372&gt;=$D$1),AZ372&gt;$D$2*-1,BA372&lt;$D$2,AX372/AW372&lt;3),"Serious", AND(AY372&gt;$D$1*-1,AY372&lt;$D$1,OR(AZ372&lt;=$D$2*-1,BA372&gt;=$D$2),AX372/AW372&lt;3),"Very serious", AND(AY372&gt;$D$1*-1,AY372&lt;$D$1,AZ372&gt;$D$1*-1,BA372&lt;$D$1,AX372/AW372&gt;=3),"Very serious", AND(AY372&gt;$D$1*-1,AY372&lt;$D$1,OR(AZ372&lt;=$D$1*-1,BA372&gt;=$D$1),AZ372&gt;$D$2*-1,BA372&lt;$D$2,AX372/AW372&gt;=3),"Very serious", AND(AY372&gt;$D$1*-1,AY372&lt;$D$1,OR(AZ372&lt;=$D$2*-1,BA372&gt;=$D$2),AX372/AW372&gt;=3),"Very serious"),""))</f>
        <v/>
      </c>
      <c r="BF372" s="107" t="str">
        <f t="shared" si="11"/>
        <v/>
      </c>
      <c r="BG372" s="94" t="str">
        <f t="shared" si="46"/>
        <v/>
      </c>
      <c r="BH372" s="64" t="str">
        <f t="shared" si="12"/>
        <v>#N/A</v>
      </c>
      <c r="BI372" s="64" t="str">
        <f t="shared" si="13"/>
        <v/>
      </c>
      <c r="BJ372" s="123" t="str">
        <f t="shared" si="14"/>
        <v>#N/A</v>
      </c>
      <c r="BK372" s="64" t="str">
        <f t="shared" si="50"/>
        <v>YES</v>
      </c>
      <c r="BL372" s="64" t="str">
        <f t="shared" si="16"/>
        <v>YES</v>
      </c>
      <c r="BM372" s="64" t="str">
        <f t="shared" si="17"/>
        <v>YES</v>
      </c>
      <c r="BN372" s="124" t="str">
        <f t="shared" si="18"/>
        <v/>
      </c>
      <c r="BO372" s="91" t="str">
        <f t="shared" si="19"/>
        <v/>
      </c>
      <c r="BP372" s="91" t="str">
        <f t="shared" si="20"/>
        <v>#N/A</v>
      </c>
      <c r="BQ372" s="91" t="str">
        <f t="shared" si="21"/>
        <v/>
      </c>
      <c r="BR372" s="93" t="str">
        <f t="shared" si="22"/>
        <v/>
      </c>
      <c r="BS372" s="90" t="str">
        <f t="shared" si="23"/>
        <v/>
      </c>
      <c r="BT372" s="93" t="str">
        <f t="shared" si="24"/>
        <v>NA</v>
      </c>
      <c r="BU372" s="125" t="str">
        <f t="shared" si="25"/>
        <v>#N/A</v>
      </c>
      <c r="BV372" s="93" t="str">
        <f t="shared" si="26"/>
        <v/>
      </c>
      <c r="BW372" s="93" t="str">
        <f t="shared" si="27"/>
        <v/>
      </c>
      <c r="BX372" s="93" t="str">
        <f t="shared" si="28"/>
        <v>NA</v>
      </c>
      <c r="BY372" s="95" t="str">
        <f t="shared" si="29"/>
        <v>#N/A</v>
      </c>
      <c r="BZ372" s="93" t="str">
        <f t="shared" si="30"/>
        <v/>
      </c>
      <c r="CA372" s="93" t="str">
        <f t="shared" si="31"/>
        <v/>
      </c>
      <c r="CB372" s="93" t="str">
        <f t="shared" si="32"/>
        <v>NA</v>
      </c>
      <c r="CC372" s="96" t="str">
        <f t="shared" si="33"/>
        <v>#N/A</v>
      </c>
      <c r="CD372" s="93" t="str">
        <f t="shared" si="34"/>
        <v/>
      </c>
      <c r="CE372" s="93" t="str">
        <f t="shared" si="35"/>
        <v/>
      </c>
      <c r="CF372" s="93" t="str">
        <f t="shared" si="36"/>
        <v>NA</v>
      </c>
      <c r="CG372" s="97" t="str">
        <f t="shared" si="37"/>
        <v>#N/A</v>
      </c>
      <c r="CH372" s="98" t="str">
        <f t="shared" si="38"/>
        <v>#N/A</v>
      </c>
      <c r="CI372" s="99" t="str">
        <f t="shared" si="39"/>
        <v>#N/A</v>
      </c>
      <c r="CJ372" s="126" t="str">
        <f t="shared" si="40"/>
        <v>ERROR: check cell</v>
      </c>
      <c r="CK372" s="126"/>
      <c r="CL372" s="127" t="str">
        <f t="shared" si="41"/>
        <v>#DIV/0!</v>
      </c>
      <c r="CM372" s="128" t="str">
        <f t="shared" si="42"/>
        <v>#DIV/0!</v>
      </c>
      <c r="CN372" s="128">
        <f t="shared" si="43"/>
        <v>4</v>
      </c>
      <c r="CO372" s="129">
        <f t="shared" si="44"/>
        <v>4</v>
      </c>
      <c r="CP372" s="129" t="str">
        <f>IFS(C372=Preferences!B$13,B372,B372=Preferences!B$13,C372)</f>
        <v>#N/A</v>
      </c>
    </row>
    <row r="373" ht="13.5" customHeight="1">
      <c r="A373" s="63" t="str">
        <f t="shared" si="45"/>
        <v/>
      </c>
      <c r="B373" s="64"/>
      <c r="C373" s="64"/>
      <c r="D373" s="64"/>
      <c r="E373" s="65"/>
      <c r="F373" s="65"/>
      <c r="G373" s="65"/>
      <c r="H373" s="66"/>
      <c r="I373" s="66"/>
      <c r="J373" s="67"/>
      <c r="K373" s="68"/>
      <c r="L373" s="104"/>
      <c r="M373" s="104"/>
      <c r="N373" s="104"/>
      <c r="O373" s="104"/>
      <c r="P373" s="107" t="str">
        <f t="shared" si="1"/>
        <v/>
      </c>
      <c r="Q373" s="108" t="str">
        <f>IFERROR(IF(AND(Preferences!B$3="Manual",OR(AX373/AW373&gt;G373/F373,BD373="Serious",BD373="Very serious")),"Assess imprecision",IFS(ISBLANK(E373),"",AND(Preferences!B$3="Automatic", G373/F373&gt;=30),"Extremely serious",AND(H373&lt;=$D$1*-1,J373&lt;0,G373/F373&lt;3),"Not serious",AND(H373&lt;=$D$1*-1,J373&lt;0,G373/F373&gt;=3),"Very serious",AND(H373&gt;=$D$1,I373&gt;0,G373/F373&lt;3),"Not serious",AND(H373&gt;=$D$1,I373&gt;0,G373/F373&gt;=3),"Very serious",AND(H373&lt;=$D$1*-1,J373&gt;0,I373&gt;$D$2*-1,G373/F373&lt;3),"Serious", AND(H373&lt;=$D$1*-1,J373&gt;0,I373&lt;$D$2*-1,G373/F373&lt;3),"Very serious", AND(H373&gt;=$D$1,I373&lt;0,J373&lt;$D$2,G373/F373&lt;3),"Serious",AND(H373&gt;=$D$1,I373&lt;0,J373&gt;$D$2,G373/F373&lt;3),"Very serious", AND(H373&lt;=$D$1*-1,J373&gt;0,I373&gt;$D$2*-1,G373/F373&gt;=3),"Very serious", AND(H373&lt;=$D$1*-1,J373&gt;0,I373&lt;$D$2*-1,G373/F373&gt;=3),"Very serious", AND(H373&gt;=$D$1,I373&lt;0,J373&lt;$D$2,G373/F373&gt;=3),"Very serious", AND(H373&gt;=$D$1,I373&lt;0,J373&gt;$D$2,G373/F373&gt;=3),"Very serious", AND(H373&gt;$D$1*-1,H373&lt;$D$1,I373&gt;$D$1*-1,J373&lt;$D$1,G373/F373&lt;3),"Not serious", AND(H373&gt;$D$1*-1,H373&lt;$D$1,OR(I373&lt;=$D$1*-1,J373&gt;=$D$1),I373&gt;$D$2*-1,J373&lt;$D$2,G373/F373&lt;3),"Serious", AND(H373&gt;$D$1*-1,H373&lt;$D$1,OR(I373&lt;=$D$2*-1,J373&gt;=$D$2),G373/F373&lt;3),"Very serious", AND(H373&gt;$D$1*-1,H373&lt;$D$1,I373&gt;$D$1*-1,J373&lt;$D$1,G373/F373&gt;=3),"Very serious", AND(H373&gt;$D$1*-1,H373&lt;$D$1,OR(I373&lt;=$D$1*-1,J373&gt;=$D$1),I373&gt;$D$2*-1,J373&lt;$D$2,G373/F373&gt;=3),"Very serious", AND(H373&gt;$D$1*-1,H373&lt;$D$1,OR(I373&lt;=$D$2*-1,J373&gt;=$D$2),G373/F373&gt;=3),"Very serious")),"")</f>
        <v/>
      </c>
      <c r="R373" s="109" t="str">
        <f t="shared" si="47"/>
        <v/>
      </c>
      <c r="S373" s="64"/>
      <c r="T373" s="72"/>
      <c r="U373" s="72"/>
      <c r="V373" s="72"/>
      <c r="W373" s="73"/>
      <c r="X373" s="73"/>
      <c r="Y373" s="74"/>
      <c r="Z373" s="113" t="str">
        <f t="array" ref="Z373">INDEX($A$1:$C$500, MATCH(1,($B:$B=$B373)*($C:$C=$AB373),0),1)</f>
        <v/>
      </c>
      <c r="AA373" s="113" t="str">
        <f t="array" ref="AA373">INDEX($A$1:$C$500, MATCH(1,($B:$B=$AB373)*($C:$C=$B373),0),1)</f>
        <v/>
      </c>
      <c r="AB373" s="111"/>
      <c r="AC373" s="114" t="str">
        <f t="shared" si="2"/>
        <v/>
      </c>
      <c r="AD373" s="115" t="str">
        <f t="shared" si="3"/>
        <v/>
      </c>
      <c r="AE373" s="116" t="str">
        <f t="array" ref="AE373">INDEX($A$1:$C$500, MATCH(1,($B:$B=$AB373)*($C:$C=$AG373),0),1)</f>
        <v/>
      </c>
      <c r="AF373" s="116" t="str">
        <f t="array" ref="AF373">INDEX($A$1:$C$500, MATCH(1,($B:$B=$AG373)*($C:$C=$AB373),0),1)</f>
        <v/>
      </c>
      <c r="AG373" s="72"/>
      <c r="AH373" s="114" t="str">
        <f t="shared" si="4"/>
        <v/>
      </c>
      <c r="AI373" s="115" t="str">
        <f t="shared" si="5"/>
        <v/>
      </c>
      <c r="AJ373" s="116" t="str">
        <f t="array" ref="AJ373">INDEX($A$1:$C$500, MATCH(1,($B:$B=$C373)*($C:$C=$AG373),0),1)</f>
        <v/>
      </c>
      <c r="AK373" s="116" t="str">
        <f t="array" ref="AK373">INDEX($A$1:$C$500, MATCH(1,($B:$B=$AG373)*($C:$C=$C373),0),1)</f>
        <v/>
      </c>
      <c r="AL373" s="116" t="str">
        <f t="array" ref="AL373">INDEX($A$1:$C$500, MATCH(1,($B:$B=$C373)*($C:$C=$AB373),0),1)</f>
        <v/>
      </c>
      <c r="AM373" s="116" t="str">
        <f t="array" ref="AM373">INDEX($A$1:$C$500, MATCH(1,($B:$B=$AB373)*($C:$C=$C373),0),1)</f>
        <v/>
      </c>
      <c r="AN373" s="114" t="str">
        <f t="array" ref="AN373">IFS(ISNUMBER(AJ373),AJ373,ISNUMBER(AK373),AK373,ISNUMBER(AL373),AL373,ISNUMBER(AM373),AM373)</f>
        <v>#N/A</v>
      </c>
      <c r="AO373" s="115" t="str">
        <f t="shared" si="6"/>
        <v/>
      </c>
      <c r="AP373" s="115" t="str">
        <f t="shared" si="7"/>
        <v/>
      </c>
      <c r="AQ373" s="111"/>
      <c r="AR373" s="109" t="str">
        <f t="shared" si="8"/>
        <v/>
      </c>
      <c r="AS373" s="72" t="str">
        <f>IFERROR(IF(AND(Preferences!B$3="Manual",OR(AX373/AW373&gt;V373/U373,BD373="Serious",BD373="Very serious")),"Assess imprecision",IFERROR(IFS(AND(Preferences!B$3="Automatic",V373/U373&gt;=30),"Extremely serious",AND(W373&lt;=$D$1*-1,Y373&lt;0,V373/U373&lt;3),"Not Serious",AND(W373&lt;=$D$1*-1,Y373&lt;0,V373/U373&gt;=3),"Very serious",AND(W373&gt;=$D$1,X373&gt;0,V373/U373&lt;3),"Not Serious",AND(W373&gt;=$D$1,X373&gt;0,V373/U373&gt;=3),"Very serious",AND(W373&lt;=$D$1*-1,Y373&gt;0,X373&gt;$D$2*-1,V373/U373&lt;3),"Serious", AND(W373&lt;=$D$1*-1,Y373&gt;0,X373&lt;$D$2*-1,V373/U373&lt;3),"Very serious", AND(W373&gt;=$D$1,X373&lt;0,Y373&lt;$D$2,V373/U373&lt;3),"Serious",AND(W373&gt;=$D$1,X373&lt;0,Y373&gt;$D$2,V373/U373&lt;3),"Very serious", AND(W373&lt;=$D$1*-1,Y373&gt;0,X373&gt;$D$2*-1,V373/U373&gt;=3),"Very serious", AND(W373&lt;=$D$1*-1,Y373&gt;0,X373&lt;$D$2*-1,V373/U373&gt;=3),"Very serious", AND(W373&gt;=$D$1,X373&lt;0,Y373&lt;$D$2,V373/U373&gt;=3),"Very serious", AND(W373&gt;=$D$1,X373&lt;0,Y373&gt;$D$2,V373/U373&gt;=3),"Very serious", AND(W373&gt;$D$1*-1,W373&lt;$D$1,X373&gt;$D$1*-1,Y373&lt;$D$1,V373/U373&lt;3),"Not Serious", AND(W373&gt;$D$1*-1,W373&lt;$D$1,OR(X373&lt;=$D$1*-1,Y373&gt;=$D$1),X373&gt;$D$2*-1,Y373&lt;$D$2,V373/U373&lt;3),"Serious", AND(W373&gt;$D$1*-1,W373&lt;$D$1,OR(X373&lt;=$D$2*-1,Y373&gt;=$D$2),V373/U373&lt;3),"Very serious", AND(W373&gt;$D$1*-1,W373&lt;$D$1,X373&gt;$D$1*-1,Y373&lt;$D$1,V373/U373&gt;=3),"Very serious", AND(W373&gt;$D$1*-1,W373&lt;$D$1,OR(X373&lt;=$D$1*-1,Y373&gt;=$D$1),X373&gt;$D$2*-1,Y373&lt;$D$2,V373/U373&gt;=3),"Very serious", AND(W373&gt;$D$1*-1,W373&lt;$D$1,OR(X373&lt;=$D$2*-1,Y373&gt;=$D$2),V373/U373&gt;=3),"Very serious"),"")),"")</f>
        <v/>
      </c>
      <c r="AT373" s="109" t="str">
        <f t="shared" si="9"/>
        <v/>
      </c>
      <c r="AU373" s="64"/>
      <c r="AV373" s="83"/>
      <c r="AW373" s="83"/>
      <c r="AX373" s="83"/>
      <c r="AY373" s="83"/>
      <c r="AZ373" s="83"/>
      <c r="BA373" s="85"/>
      <c r="BB373" s="86" t="str">
        <f>IF(Preferences!B$9="Manual","",IFS(ISBLANK(B373),"",AND(ISNUMBER(E373)=TRUE,ISNUMBER(T373)=FALSE),"Direct", AND(ISNUMBER(E373)=FALSE,ISNUMBER(T373)=TRUE),"Indirect", CN373=4,"Direct",AND(CL373=FALSE, CM373=TRUE,CN373-CO373&gt;-1),"Direct", AND(CL373=FALSE,CM373=TRUE, CN373-CO373&lt;0),"Check algorithm in appendix 2", AND(CL373=TRUE, CM373=FALSE,CN373-CO373&gt;0),"Check algorithm in appendix 2", AND(CL373=TRUE, CM373=FALSE,CN373-CO373=0),"Indirect", AND(CL373=TRUE, CM373=FALSE,CN373-CO373&lt;0),"Indirect", AND(CL373=FALSE,CM373=FALSE,CN373-CO373&gt;-1),"Direct", AND(CL373=FALSE,CM373=FALSE,CN373-CO373&lt;0),"Check algorithm in appendix 2", AND(CL373=TRUE,CM373=TRUE,CN373-CO373&gt;-1),"Direct", AND(CL373=TRUE,CM373=TRUE,CN373-CO373&lt;0),"Check algorithm in appendix 2"))</f>
        <v/>
      </c>
      <c r="BC373" s="120" t="str">
        <f t="shared" si="10"/>
        <v/>
      </c>
      <c r="BD373" s="140"/>
      <c r="BE373" s="122" t="str">
        <f>IF(Preferences!B$3="Manual","", IFERROR(IFS(AND(Preferences!B$3="Automatic",AX373/AW373&gt;=30),"Extremely serious",AND(AY373&lt;=$D$1*-1,BA373&lt;0,AX373/AW373&lt;3),"Not Serious",AND(AY373&lt;=$D$1*-1,BA373&lt;0,AX373/AW373&gt;=3),"Very serious",AND(AY373&gt;=$D$1,AZ373&gt;0,AX373/AW373&lt;3),"Not Serious",AND(AY373&gt;=$D$1,AZ373&gt;0,AX373/AW373&gt;=3),"Very serious",AND(AY373&lt;=$D$1*-1,BA373&gt;0,AZ373&gt;$D$2*-1,AX373/AW373&lt;3),"Serious", AND(AY373&lt;=$D$1*-1,BA373&gt;0,AZ373&lt;$D$2*-1,AX373/AW373&lt;3),"Very serious", AND(AY373&gt;=$D$1,AZ373&lt;0,BA373&lt;$D$2,AX373/AW373&lt;3),"Serious",AND(AY373&gt;=$D$1,AZ373&lt;0,BA373&gt;$D$2,AX373/AW373&lt;3),"Very serious", AND(AY373&lt;=$D$1*-1,BA373&gt;0,AZ373&gt;$D$2*-1,AX373/AW373&gt;=3),"Very serious", AND(AY373&lt;=$D$1*-1,BA373&gt;0,AZ373&lt;$D$2*-1,AX373/AW373&gt;=3),"Very serious", AND(AY373&gt;=$D$1,AZ373&lt;0,BA373&lt;$D$2,AX373/AW373&gt;=3),"Very serious", AND(AY373&gt;=$D$1,AZ373&lt;0,BA373&gt;$D$2,AX373/AW373&gt;=3),"Very serious", AND(AY373&gt;$D$1*-1,AY373&lt;$D$1,AZ373&gt;$D$1*-1,BA373&lt;$D$1,AX373/AW373&lt;3),"Not Serious", AND(AY373&gt;$D$1*-1,AY373&lt;$D$1,OR(AZ373&lt;=$D$1*-1,BA373&gt;=$D$1),AZ373&gt;$D$2*-1,BA373&lt;$D$2,AX373/AW373&lt;3),"Serious", AND(AY373&gt;$D$1*-1,AY373&lt;$D$1,OR(AZ373&lt;=$D$2*-1,BA373&gt;=$D$2),AX373/AW373&lt;3),"Very serious", AND(AY373&gt;$D$1*-1,AY373&lt;$D$1,AZ373&gt;$D$1*-1,BA373&lt;$D$1,AX373/AW373&gt;=3),"Very serious", AND(AY373&gt;$D$1*-1,AY373&lt;$D$1,OR(AZ373&lt;=$D$1*-1,BA373&gt;=$D$1),AZ373&gt;$D$2*-1,BA373&lt;$D$2,AX373/AW373&gt;=3),"Very serious", AND(AY373&gt;$D$1*-1,AY373&lt;$D$1,OR(AZ373&lt;=$D$2*-1,BA373&gt;=$D$2),AX373/AW373&gt;=3),"Very serious"),""))</f>
        <v/>
      </c>
      <c r="BF373" s="107" t="str">
        <f t="shared" si="11"/>
        <v/>
      </c>
      <c r="BG373" s="94" t="str">
        <f t="shared" si="46"/>
        <v/>
      </c>
      <c r="BH373" s="64" t="str">
        <f t="shared" si="12"/>
        <v>#N/A</v>
      </c>
      <c r="BI373" s="64" t="str">
        <f t="shared" si="13"/>
        <v/>
      </c>
      <c r="BJ373" s="123" t="str">
        <f t="shared" si="14"/>
        <v>#N/A</v>
      </c>
      <c r="BK373" s="64" t="str">
        <f t="shared" si="50"/>
        <v>YES</v>
      </c>
      <c r="BL373" s="64" t="str">
        <f t="shared" si="16"/>
        <v>YES</v>
      </c>
      <c r="BM373" s="64" t="str">
        <f t="shared" si="17"/>
        <v>YES</v>
      </c>
      <c r="BN373" s="124" t="str">
        <f t="shared" si="18"/>
        <v/>
      </c>
      <c r="BO373" s="91" t="str">
        <f t="shared" si="19"/>
        <v/>
      </c>
      <c r="BP373" s="91" t="str">
        <f t="shared" si="20"/>
        <v>#N/A</v>
      </c>
      <c r="BQ373" s="91" t="str">
        <f t="shared" si="21"/>
        <v/>
      </c>
      <c r="BR373" s="93" t="str">
        <f t="shared" si="22"/>
        <v/>
      </c>
      <c r="BS373" s="90" t="str">
        <f t="shared" si="23"/>
        <v/>
      </c>
      <c r="BT373" s="93" t="str">
        <f t="shared" si="24"/>
        <v>NA</v>
      </c>
      <c r="BU373" s="125" t="str">
        <f t="shared" si="25"/>
        <v>#N/A</v>
      </c>
      <c r="BV373" s="93" t="str">
        <f t="shared" si="26"/>
        <v/>
      </c>
      <c r="BW373" s="93" t="str">
        <f t="shared" si="27"/>
        <v/>
      </c>
      <c r="BX373" s="93" t="str">
        <f t="shared" si="28"/>
        <v>NA</v>
      </c>
      <c r="BY373" s="95" t="str">
        <f t="shared" si="29"/>
        <v>#N/A</v>
      </c>
      <c r="BZ373" s="93" t="str">
        <f t="shared" si="30"/>
        <v/>
      </c>
      <c r="CA373" s="93" t="str">
        <f t="shared" si="31"/>
        <v/>
      </c>
      <c r="CB373" s="93" t="str">
        <f t="shared" si="32"/>
        <v>NA</v>
      </c>
      <c r="CC373" s="96" t="str">
        <f t="shared" si="33"/>
        <v>#N/A</v>
      </c>
      <c r="CD373" s="93" t="str">
        <f t="shared" si="34"/>
        <v/>
      </c>
      <c r="CE373" s="93" t="str">
        <f t="shared" si="35"/>
        <v/>
      </c>
      <c r="CF373" s="93" t="str">
        <f t="shared" si="36"/>
        <v>NA</v>
      </c>
      <c r="CG373" s="97" t="str">
        <f t="shared" si="37"/>
        <v>#N/A</v>
      </c>
      <c r="CH373" s="98" t="str">
        <f t="shared" si="38"/>
        <v>#N/A</v>
      </c>
      <c r="CI373" s="99" t="str">
        <f t="shared" si="39"/>
        <v>#N/A</v>
      </c>
      <c r="CJ373" s="126" t="str">
        <f t="shared" si="40"/>
        <v>ERROR: check cell</v>
      </c>
      <c r="CK373" s="126"/>
      <c r="CL373" s="127" t="str">
        <f t="shared" si="41"/>
        <v>#DIV/0!</v>
      </c>
      <c r="CM373" s="128" t="str">
        <f t="shared" si="42"/>
        <v>#DIV/0!</v>
      </c>
      <c r="CN373" s="128">
        <f t="shared" si="43"/>
        <v>4</v>
      </c>
      <c r="CO373" s="129">
        <f t="shared" si="44"/>
        <v>4</v>
      </c>
      <c r="CP373" s="129" t="str">
        <f>IFS(C373=Preferences!B$13,B373,B373=Preferences!B$13,C373)</f>
        <v>#N/A</v>
      </c>
    </row>
    <row r="374" ht="13.5" customHeight="1">
      <c r="A374" s="63" t="str">
        <f t="shared" si="45"/>
        <v/>
      </c>
      <c r="B374" s="64"/>
      <c r="C374" s="64"/>
      <c r="D374" s="64"/>
      <c r="E374" s="65"/>
      <c r="F374" s="65"/>
      <c r="G374" s="65"/>
      <c r="H374" s="66"/>
      <c r="I374" s="66"/>
      <c r="J374" s="67"/>
      <c r="K374" s="68"/>
      <c r="L374" s="104"/>
      <c r="M374" s="104"/>
      <c r="N374" s="104"/>
      <c r="O374" s="104"/>
      <c r="P374" s="107" t="str">
        <f t="shared" si="1"/>
        <v/>
      </c>
      <c r="Q374" s="108" t="str">
        <f>IFERROR(IF(AND(Preferences!B$3="Manual",OR(AX374/AW374&gt;G374/F374,BD374="Serious",BD374="Very serious")),"Assess imprecision",IFS(ISBLANK(E374),"",AND(Preferences!B$3="Automatic", G374/F374&gt;=30),"Extremely serious",AND(H374&lt;=$D$1*-1,J374&lt;0,G374/F374&lt;3),"Not serious",AND(H374&lt;=$D$1*-1,J374&lt;0,G374/F374&gt;=3),"Very serious",AND(H374&gt;=$D$1,I374&gt;0,G374/F374&lt;3),"Not serious",AND(H374&gt;=$D$1,I374&gt;0,G374/F374&gt;=3),"Very serious",AND(H374&lt;=$D$1*-1,J374&gt;0,I374&gt;$D$2*-1,G374/F374&lt;3),"Serious", AND(H374&lt;=$D$1*-1,J374&gt;0,I374&lt;$D$2*-1,G374/F374&lt;3),"Very serious", AND(H374&gt;=$D$1,I374&lt;0,J374&lt;$D$2,G374/F374&lt;3),"Serious",AND(H374&gt;=$D$1,I374&lt;0,J374&gt;$D$2,G374/F374&lt;3),"Very serious", AND(H374&lt;=$D$1*-1,J374&gt;0,I374&gt;$D$2*-1,G374/F374&gt;=3),"Very serious", AND(H374&lt;=$D$1*-1,J374&gt;0,I374&lt;$D$2*-1,G374/F374&gt;=3),"Very serious", AND(H374&gt;=$D$1,I374&lt;0,J374&lt;$D$2,G374/F374&gt;=3),"Very serious", AND(H374&gt;=$D$1,I374&lt;0,J374&gt;$D$2,G374/F374&gt;=3),"Very serious", AND(H374&gt;$D$1*-1,H374&lt;$D$1,I374&gt;$D$1*-1,J374&lt;$D$1,G374/F374&lt;3),"Not serious", AND(H374&gt;$D$1*-1,H374&lt;$D$1,OR(I374&lt;=$D$1*-1,J374&gt;=$D$1),I374&gt;$D$2*-1,J374&lt;$D$2,G374/F374&lt;3),"Serious", AND(H374&gt;$D$1*-1,H374&lt;$D$1,OR(I374&lt;=$D$2*-1,J374&gt;=$D$2),G374/F374&lt;3),"Very serious", AND(H374&gt;$D$1*-1,H374&lt;$D$1,I374&gt;$D$1*-1,J374&lt;$D$1,G374/F374&gt;=3),"Very serious", AND(H374&gt;$D$1*-1,H374&lt;$D$1,OR(I374&lt;=$D$1*-1,J374&gt;=$D$1),I374&gt;$D$2*-1,J374&lt;$D$2,G374/F374&gt;=3),"Very serious", AND(H374&gt;$D$1*-1,H374&lt;$D$1,OR(I374&lt;=$D$2*-1,J374&gt;=$D$2),G374/F374&gt;=3),"Very serious")),"")</f>
        <v/>
      </c>
      <c r="R374" s="109" t="str">
        <f t="shared" si="47"/>
        <v/>
      </c>
      <c r="S374" s="64"/>
      <c r="T374" s="72"/>
      <c r="U374" s="72"/>
      <c r="V374" s="72"/>
      <c r="W374" s="73"/>
      <c r="X374" s="73"/>
      <c r="Y374" s="74"/>
      <c r="Z374" s="113" t="str">
        <f t="array" ref="Z374">INDEX($A$1:$C$500, MATCH(1,($B:$B=$B374)*($C:$C=$AB374),0),1)</f>
        <v/>
      </c>
      <c r="AA374" s="113" t="str">
        <f t="array" ref="AA374">INDEX($A$1:$C$500, MATCH(1,($B:$B=$AB374)*($C:$C=$B374),0),1)</f>
        <v/>
      </c>
      <c r="AB374" s="111"/>
      <c r="AC374" s="114" t="str">
        <f t="shared" si="2"/>
        <v/>
      </c>
      <c r="AD374" s="115" t="str">
        <f t="shared" si="3"/>
        <v/>
      </c>
      <c r="AE374" s="116" t="str">
        <f t="array" ref="AE374">INDEX($A$1:$C$500, MATCH(1,($B:$B=$AB374)*($C:$C=$AG374),0),1)</f>
        <v/>
      </c>
      <c r="AF374" s="116" t="str">
        <f t="array" ref="AF374">INDEX($A$1:$C$500, MATCH(1,($B:$B=$AG374)*($C:$C=$AB374),0),1)</f>
        <v/>
      </c>
      <c r="AG374" s="72"/>
      <c r="AH374" s="114" t="str">
        <f t="shared" si="4"/>
        <v/>
      </c>
      <c r="AI374" s="115" t="str">
        <f t="shared" si="5"/>
        <v/>
      </c>
      <c r="AJ374" s="116" t="str">
        <f t="array" ref="AJ374">INDEX($A$1:$C$500, MATCH(1,($B:$B=$C374)*($C:$C=$AG374),0),1)</f>
        <v/>
      </c>
      <c r="AK374" s="116" t="str">
        <f t="array" ref="AK374">INDEX($A$1:$C$500, MATCH(1,($B:$B=$AG374)*($C:$C=$C374),0),1)</f>
        <v/>
      </c>
      <c r="AL374" s="116" t="str">
        <f t="array" ref="AL374">INDEX($A$1:$C$500, MATCH(1,($B:$B=$C374)*($C:$C=$AB374),0),1)</f>
        <v/>
      </c>
      <c r="AM374" s="116" t="str">
        <f t="array" ref="AM374">INDEX($A$1:$C$500, MATCH(1,($B:$B=$AB374)*($C:$C=$C374),0),1)</f>
        <v/>
      </c>
      <c r="AN374" s="114" t="str">
        <f t="array" ref="AN374">IFS(ISNUMBER(AJ374),AJ374,ISNUMBER(AK374),AK374,ISNUMBER(AL374),AL374,ISNUMBER(AM374),AM374)</f>
        <v>#N/A</v>
      </c>
      <c r="AO374" s="115" t="str">
        <f t="shared" si="6"/>
        <v/>
      </c>
      <c r="AP374" s="115" t="str">
        <f t="shared" si="7"/>
        <v/>
      </c>
      <c r="AQ374" s="111"/>
      <c r="AR374" s="109" t="str">
        <f t="shared" si="8"/>
        <v/>
      </c>
      <c r="AS374" s="72" t="str">
        <f>IFERROR(IF(AND(Preferences!B$3="Manual",OR(AX374/AW374&gt;V374/U374,BD374="Serious",BD374="Very serious")),"Assess imprecision",IFERROR(IFS(AND(Preferences!B$3="Automatic",V374/U374&gt;=30),"Extremely serious",AND(W374&lt;=$D$1*-1,Y374&lt;0,V374/U374&lt;3),"Not Serious",AND(W374&lt;=$D$1*-1,Y374&lt;0,V374/U374&gt;=3),"Very serious",AND(W374&gt;=$D$1,X374&gt;0,V374/U374&lt;3),"Not Serious",AND(W374&gt;=$D$1,X374&gt;0,V374/U374&gt;=3),"Very serious",AND(W374&lt;=$D$1*-1,Y374&gt;0,X374&gt;$D$2*-1,V374/U374&lt;3),"Serious", AND(W374&lt;=$D$1*-1,Y374&gt;0,X374&lt;$D$2*-1,V374/U374&lt;3),"Very serious", AND(W374&gt;=$D$1,X374&lt;0,Y374&lt;$D$2,V374/U374&lt;3),"Serious",AND(W374&gt;=$D$1,X374&lt;0,Y374&gt;$D$2,V374/U374&lt;3),"Very serious", AND(W374&lt;=$D$1*-1,Y374&gt;0,X374&gt;$D$2*-1,V374/U374&gt;=3),"Very serious", AND(W374&lt;=$D$1*-1,Y374&gt;0,X374&lt;$D$2*-1,V374/U374&gt;=3),"Very serious", AND(W374&gt;=$D$1,X374&lt;0,Y374&lt;$D$2,V374/U374&gt;=3),"Very serious", AND(W374&gt;=$D$1,X374&lt;0,Y374&gt;$D$2,V374/U374&gt;=3),"Very serious", AND(W374&gt;$D$1*-1,W374&lt;$D$1,X374&gt;$D$1*-1,Y374&lt;$D$1,V374/U374&lt;3),"Not Serious", AND(W374&gt;$D$1*-1,W374&lt;$D$1,OR(X374&lt;=$D$1*-1,Y374&gt;=$D$1),X374&gt;$D$2*-1,Y374&lt;$D$2,V374/U374&lt;3),"Serious", AND(W374&gt;$D$1*-1,W374&lt;$D$1,OR(X374&lt;=$D$2*-1,Y374&gt;=$D$2),V374/U374&lt;3),"Very serious", AND(W374&gt;$D$1*-1,W374&lt;$D$1,X374&gt;$D$1*-1,Y374&lt;$D$1,V374/U374&gt;=3),"Very serious", AND(W374&gt;$D$1*-1,W374&lt;$D$1,OR(X374&lt;=$D$1*-1,Y374&gt;=$D$1),X374&gt;$D$2*-1,Y374&lt;$D$2,V374/U374&gt;=3),"Very serious", AND(W374&gt;$D$1*-1,W374&lt;$D$1,OR(X374&lt;=$D$2*-1,Y374&gt;=$D$2),V374/U374&gt;=3),"Very serious"),"")),"")</f>
        <v/>
      </c>
      <c r="AT374" s="109" t="str">
        <f t="shared" si="9"/>
        <v/>
      </c>
      <c r="AU374" s="64"/>
      <c r="AV374" s="83"/>
      <c r="AW374" s="83"/>
      <c r="AX374" s="83"/>
      <c r="AY374" s="83"/>
      <c r="AZ374" s="83"/>
      <c r="BA374" s="85"/>
      <c r="BB374" s="86" t="str">
        <f>IF(Preferences!B$9="Manual","",IFS(ISBLANK(B374),"",AND(ISNUMBER(E374)=TRUE,ISNUMBER(T374)=FALSE),"Direct", AND(ISNUMBER(E374)=FALSE,ISNUMBER(T374)=TRUE),"Indirect", CN374=4,"Direct",AND(CL374=FALSE, CM374=TRUE,CN374-CO374&gt;-1),"Direct", AND(CL374=FALSE,CM374=TRUE, CN374-CO374&lt;0),"Check algorithm in appendix 2", AND(CL374=TRUE, CM374=FALSE,CN374-CO374&gt;0),"Check algorithm in appendix 2", AND(CL374=TRUE, CM374=FALSE,CN374-CO374=0),"Indirect", AND(CL374=TRUE, CM374=FALSE,CN374-CO374&lt;0),"Indirect", AND(CL374=FALSE,CM374=FALSE,CN374-CO374&gt;-1),"Direct", AND(CL374=FALSE,CM374=FALSE,CN374-CO374&lt;0),"Check algorithm in appendix 2", AND(CL374=TRUE,CM374=TRUE,CN374-CO374&gt;-1),"Direct", AND(CL374=TRUE,CM374=TRUE,CN374-CO374&lt;0),"Check algorithm in appendix 2"))</f>
        <v/>
      </c>
      <c r="BC374" s="120" t="str">
        <f t="shared" si="10"/>
        <v/>
      </c>
      <c r="BD374" s="140"/>
      <c r="BE374" s="122" t="str">
        <f>IF(Preferences!B$3="Manual","", IFERROR(IFS(AND(Preferences!B$3="Automatic",AX374/AW374&gt;=30),"Extremely serious",AND(AY374&lt;=$D$1*-1,BA374&lt;0,AX374/AW374&lt;3),"Not Serious",AND(AY374&lt;=$D$1*-1,BA374&lt;0,AX374/AW374&gt;=3),"Very serious",AND(AY374&gt;=$D$1,AZ374&gt;0,AX374/AW374&lt;3),"Not Serious",AND(AY374&gt;=$D$1,AZ374&gt;0,AX374/AW374&gt;=3),"Very serious",AND(AY374&lt;=$D$1*-1,BA374&gt;0,AZ374&gt;$D$2*-1,AX374/AW374&lt;3),"Serious", AND(AY374&lt;=$D$1*-1,BA374&gt;0,AZ374&lt;$D$2*-1,AX374/AW374&lt;3),"Very serious", AND(AY374&gt;=$D$1,AZ374&lt;0,BA374&lt;$D$2,AX374/AW374&lt;3),"Serious",AND(AY374&gt;=$D$1,AZ374&lt;0,BA374&gt;$D$2,AX374/AW374&lt;3),"Very serious", AND(AY374&lt;=$D$1*-1,BA374&gt;0,AZ374&gt;$D$2*-1,AX374/AW374&gt;=3),"Very serious", AND(AY374&lt;=$D$1*-1,BA374&gt;0,AZ374&lt;$D$2*-1,AX374/AW374&gt;=3),"Very serious", AND(AY374&gt;=$D$1,AZ374&lt;0,BA374&lt;$D$2,AX374/AW374&gt;=3),"Very serious", AND(AY374&gt;=$D$1,AZ374&lt;0,BA374&gt;$D$2,AX374/AW374&gt;=3),"Very serious", AND(AY374&gt;$D$1*-1,AY374&lt;$D$1,AZ374&gt;$D$1*-1,BA374&lt;$D$1,AX374/AW374&lt;3),"Not Serious", AND(AY374&gt;$D$1*-1,AY374&lt;$D$1,OR(AZ374&lt;=$D$1*-1,BA374&gt;=$D$1),AZ374&gt;$D$2*-1,BA374&lt;$D$2,AX374/AW374&lt;3),"Serious", AND(AY374&gt;$D$1*-1,AY374&lt;$D$1,OR(AZ374&lt;=$D$2*-1,BA374&gt;=$D$2),AX374/AW374&lt;3),"Very serious", AND(AY374&gt;$D$1*-1,AY374&lt;$D$1,AZ374&gt;$D$1*-1,BA374&lt;$D$1,AX374/AW374&gt;=3),"Very serious", AND(AY374&gt;$D$1*-1,AY374&lt;$D$1,OR(AZ374&lt;=$D$1*-1,BA374&gt;=$D$1),AZ374&gt;$D$2*-1,BA374&lt;$D$2,AX374/AW374&gt;=3),"Very serious", AND(AY374&gt;$D$1*-1,AY374&lt;$D$1,OR(AZ374&lt;=$D$2*-1,BA374&gt;=$D$2),AX374/AW374&gt;=3),"Very serious"),""))</f>
        <v/>
      </c>
      <c r="BF374" s="107" t="str">
        <f t="shared" si="11"/>
        <v/>
      </c>
      <c r="BG374" s="94" t="str">
        <f t="shared" si="46"/>
        <v/>
      </c>
      <c r="BH374" s="64" t="str">
        <f t="shared" si="12"/>
        <v>#N/A</v>
      </c>
      <c r="BI374" s="64" t="str">
        <f t="shared" si="13"/>
        <v/>
      </c>
      <c r="BJ374" s="123" t="str">
        <f t="shared" si="14"/>
        <v>#N/A</v>
      </c>
      <c r="BK374" s="64" t="str">
        <f t="shared" si="50"/>
        <v>YES</v>
      </c>
      <c r="BL374" s="64" t="str">
        <f t="shared" si="16"/>
        <v>YES</v>
      </c>
      <c r="BM374" s="64" t="str">
        <f t="shared" si="17"/>
        <v>YES</v>
      </c>
      <c r="BN374" s="124" t="str">
        <f t="shared" si="18"/>
        <v/>
      </c>
      <c r="BO374" s="91" t="str">
        <f t="shared" si="19"/>
        <v/>
      </c>
      <c r="BP374" s="91" t="str">
        <f t="shared" si="20"/>
        <v>#N/A</v>
      </c>
      <c r="BQ374" s="91" t="str">
        <f t="shared" si="21"/>
        <v/>
      </c>
      <c r="BR374" s="93" t="str">
        <f t="shared" si="22"/>
        <v/>
      </c>
      <c r="BS374" s="90" t="str">
        <f t="shared" si="23"/>
        <v/>
      </c>
      <c r="BT374" s="93" t="str">
        <f t="shared" si="24"/>
        <v>NA</v>
      </c>
      <c r="BU374" s="125" t="str">
        <f t="shared" si="25"/>
        <v>#N/A</v>
      </c>
      <c r="BV374" s="93" t="str">
        <f t="shared" si="26"/>
        <v/>
      </c>
      <c r="BW374" s="93" t="str">
        <f t="shared" si="27"/>
        <v/>
      </c>
      <c r="BX374" s="93" t="str">
        <f t="shared" si="28"/>
        <v>NA</v>
      </c>
      <c r="BY374" s="95" t="str">
        <f t="shared" si="29"/>
        <v>#N/A</v>
      </c>
      <c r="BZ374" s="93" t="str">
        <f t="shared" si="30"/>
        <v/>
      </c>
      <c r="CA374" s="93" t="str">
        <f t="shared" si="31"/>
        <v/>
      </c>
      <c r="CB374" s="93" t="str">
        <f t="shared" si="32"/>
        <v>NA</v>
      </c>
      <c r="CC374" s="96" t="str">
        <f t="shared" si="33"/>
        <v>#N/A</v>
      </c>
      <c r="CD374" s="93" t="str">
        <f t="shared" si="34"/>
        <v/>
      </c>
      <c r="CE374" s="93" t="str">
        <f t="shared" si="35"/>
        <v/>
      </c>
      <c r="CF374" s="93" t="str">
        <f t="shared" si="36"/>
        <v>NA</v>
      </c>
      <c r="CG374" s="97" t="str">
        <f t="shared" si="37"/>
        <v>#N/A</v>
      </c>
      <c r="CH374" s="98" t="str">
        <f t="shared" si="38"/>
        <v>#N/A</v>
      </c>
      <c r="CI374" s="99" t="str">
        <f t="shared" si="39"/>
        <v>#N/A</v>
      </c>
      <c r="CJ374" s="126" t="str">
        <f t="shared" si="40"/>
        <v>ERROR: check cell</v>
      </c>
      <c r="CK374" s="126"/>
      <c r="CL374" s="127" t="str">
        <f t="shared" si="41"/>
        <v>#DIV/0!</v>
      </c>
      <c r="CM374" s="128" t="str">
        <f t="shared" si="42"/>
        <v>#DIV/0!</v>
      </c>
      <c r="CN374" s="128">
        <f t="shared" si="43"/>
        <v>4</v>
      </c>
      <c r="CO374" s="129">
        <f t="shared" si="44"/>
        <v>4</v>
      </c>
      <c r="CP374" s="129" t="str">
        <f>IFS(C374=Preferences!B$13,B374,B374=Preferences!B$13,C374)</f>
        <v>#N/A</v>
      </c>
    </row>
    <row r="375" ht="13.5" customHeight="1">
      <c r="A375" s="63" t="str">
        <f t="shared" si="45"/>
        <v/>
      </c>
      <c r="B375" s="64"/>
      <c r="C375" s="64"/>
      <c r="D375" s="64"/>
      <c r="E375" s="65"/>
      <c r="F375" s="65"/>
      <c r="G375" s="65"/>
      <c r="H375" s="66"/>
      <c r="I375" s="66"/>
      <c r="J375" s="67"/>
      <c r="K375" s="68"/>
      <c r="L375" s="104"/>
      <c r="M375" s="104"/>
      <c r="N375" s="104"/>
      <c r="O375" s="104"/>
      <c r="P375" s="107" t="str">
        <f t="shared" si="1"/>
        <v/>
      </c>
      <c r="Q375" s="108" t="str">
        <f>IFERROR(IF(AND(Preferences!B$3="Manual",OR(AX375/AW375&gt;G375/F375,BD375="Serious",BD375="Very serious")),"Assess imprecision",IFS(ISBLANK(E375),"",AND(Preferences!B$3="Automatic", G375/F375&gt;=30),"Extremely serious",AND(H375&lt;=$D$1*-1,J375&lt;0,G375/F375&lt;3),"Not serious",AND(H375&lt;=$D$1*-1,J375&lt;0,G375/F375&gt;=3),"Very serious",AND(H375&gt;=$D$1,I375&gt;0,G375/F375&lt;3),"Not serious",AND(H375&gt;=$D$1,I375&gt;0,G375/F375&gt;=3),"Very serious",AND(H375&lt;=$D$1*-1,J375&gt;0,I375&gt;$D$2*-1,G375/F375&lt;3),"Serious", AND(H375&lt;=$D$1*-1,J375&gt;0,I375&lt;$D$2*-1,G375/F375&lt;3),"Very serious", AND(H375&gt;=$D$1,I375&lt;0,J375&lt;$D$2,G375/F375&lt;3),"Serious",AND(H375&gt;=$D$1,I375&lt;0,J375&gt;$D$2,G375/F375&lt;3),"Very serious", AND(H375&lt;=$D$1*-1,J375&gt;0,I375&gt;$D$2*-1,G375/F375&gt;=3),"Very serious", AND(H375&lt;=$D$1*-1,J375&gt;0,I375&lt;$D$2*-1,G375/F375&gt;=3),"Very serious", AND(H375&gt;=$D$1,I375&lt;0,J375&lt;$D$2,G375/F375&gt;=3),"Very serious", AND(H375&gt;=$D$1,I375&lt;0,J375&gt;$D$2,G375/F375&gt;=3),"Very serious", AND(H375&gt;$D$1*-1,H375&lt;$D$1,I375&gt;$D$1*-1,J375&lt;$D$1,G375/F375&lt;3),"Not serious", AND(H375&gt;$D$1*-1,H375&lt;$D$1,OR(I375&lt;=$D$1*-1,J375&gt;=$D$1),I375&gt;$D$2*-1,J375&lt;$D$2,G375/F375&lt;3),"Serious", AND(H375&gt;$D$1*-1,H375&lt;$D$1,OR(I375&lt;=$D$2*-1,J375&gt;=$D$2),G375/F375&lt;3),"Very serious", AND(H375&gt;$D$1*-1,H375&lt;$D$1,I375&gt;$D$1*-1,J375&lt;$D$1,G375/F375&gt;=3),"Very serious", AND(H375&gt;$D$1*-1,H375&lt;$D$1,OR(I375&lt;=$D$1*-1,J375&gt;=$D$1),I375&gt;$D$2*-1,J375&lt;$D$2,G375/F375&gt;=3),"Very serious", AND(H375&gt;$D$1*-1,H375&lt;$D$1,OR(I375&lt;=$D$2*-1,J375&gt;=$D$2),G375/F375&gt;=3),"Very serious")),"")</f>
        <v/>
      </c>
      <c r="R375" s="109" t="str">
        <f t="shared" si="47"/>
        <v/>
      </c>
      <c r="S375" s="64"/>
      <c r="T375" s="72"/>
      <c r="U375" s="72"/>
      <c r="V375" s="72"/>
      <c r="W375" s="73"/>
      <c r="X375" s="73"/>
      <c r="Y375" s="74"/>
      <c r="Z375" s="113" t="str">
        <f t="array" ref="Z375">INDEX($A$1:$C$500, MATCH(1,($B:$B=$B375)*($C:$C=$AB375),0),1)</f>
        <v/>
      </c>
      <c r="AA375" s="113" t="str">
        <f t="array" ref="AA375">INDEX($A$1:$C$500, MATCH(1,($B:$B=$AB375)*($C:$C=$B375),0),1)</f>
        <v/>
      </c>
      <c r="AB375" s="111"/>
      <c r="AC375" s="114" t="str">
        <f t="shared" si="2"/>
        <v/>
      </c>
      <c r="AD375" s="115" t="str">
        <f t="shared" si="3"/>
        <v/>
      </c>
      <c r="AE375" s="116" t="str">
        <f t="array" ref="AE375">INDEX($A$1:$C$500, MATCH(1,($B:$B=$AB375)*($C:$C=$AG375),0),1)</f>
        <v/>
      </c>
      <c r="AF375" s="116" t="str">
        <f t="array" ref="AF375">INDEX($A$1:$C$500, MATCH(1,($B:$B=$AG375)*($C:$C=$AB375),0),1)</f>
        <v/>
      </c>
      <c r="AG375" s="72"/>
      <c r="AH375" s="114" t="str">
        <f t="shared" si="4"/>
        <v/>
      </c>
      <c r="AI375" s="115" t="str">
        <f t="shared" si="5"/>
        <v/>
      </c>
      <c r="AJ375" s="116" t="str">
        <f t="array" ref="AJ375">INDEX($A$1:$C$500, MATCH(1,($B:$B=$C375)*($C:$C=$AG375),0),1)</f>
        <v/>
      </c>
      <c r="AK375" s="116" t="str">
        <f t="array" ref="AK375">INDEX($A$1:$C$500, MATCH(1,($B:$B=$AG375)*($C:$C=$C375),0),1)</f>
        <v/>
      </c>
      <c r="AL375" s="116" t="str">
        <f t="array" ref="AL375">INDEX($A$1:$C$500, MATCH(1,($B:$B=$C375)*($C:$C=$AB375),0),1)</f>
        <v/>
      </c>
      <c r="AM375" s="116" t="str">
        <f t="array" ref="AM375">INDEX($A$1:$C$500, MATCH(1,($B:$B=$AB375)*($C:$C=$C375),0),1)</f>
        <v/>
      </c>
      <c r="AN375" s="114" t="str">
        <f t="array" ref="AN375">IFS(ISNUMBER(AJ375),AJ375,ISNUMBER(AK375),AK375,ISNUMBER(AL375),AL375,ISNUMBER(AM375),AM375)</f>
        <v>#N/A</v>
      </c>
      <c r="AO375" s="115" t="str">
        <f t="shared" si="6"/>
        <v/>
      </c>
      <c r="AP375" s="115" t="str">
        <f t="shared" si="7"/>
        <v/>
      </c>
      <c r="AQ375" s="111"/>
      <c r="AR375" s="109" t="str">
        <f t="shared" si="8"/>
        <v/>
      </c>
      <c r="AS375" s="72" t="str">
        <f>IFERROR(IF(AND(Preferences!B$3="Manual",OR(AX375/AW375&gt;V375/U375,BD375="Serious",BD375="Very serious")),"Assess imprecision",IFERROR(IFS(AND(Preferences!B$3="Automatic",V375/U375&gt;=30),"Extremely serious",AND(W375&lt;=$D$1*-1,Y375&lt;0,V375/U375&lt;3),"Not Serious",AND(W375&lt;=$D$1*-1,Y375&lt;0,V375/U375&gt;=3),"Very serious",AND(W375&gt;=$D$1,X375&gt;0,V375/U375&lt;3),"Not Serious",AND(W375&gt;=$D$1,X375&gt;0,V375/U375&gt;=3),"Very serious",AND(W375&lt;=$D$1*-1,Y375&gt;0,X375&gt;$D$2*-1,V375/U375&lt;3),"Serious", AND(W375&lt;=$D$1*-1,Y375&gt;0,X375&lt;$D$2*-1,V375/U375&lt;3),"Very serious", AND(W375&gt;=$D$1,X375&lt;0,Y375&lt;$D$2,V375/U375&lt;3),"Serious",AND(W375&gt;=$D$1,X375&lt;0,Y375&gt;$D$2,V375/U375&lt;3),"Very serious", AND(W375&lt;=$D$1*-1,Y375&gt;0,X375&gt;$D$2*-1,V375/U375&gt;=3),"Very serious", AND(W375&lt;=$D$1*-1,Y375&gt;0,X375&lt;$D$2*-1,V375/U375&gt;=3),"Very serious", AND(W375&gt;=$D$1,X375&lt;0,Y375&lt;$D$2,V375/U375&gt;=3),"Very serious", AND(W375&gt;=$D$1,X375&lt;0,Y375&gt;$D$2,V375/U375&gt;=3),"Very serious", AND(W375&gt;$D$1*-1,W375&lt;$D$1,X375&gt;$D$1*-1,Y375&lt;$D$1,V375/U375&lt;3),"Not Serious", AND(W375&gt;$D$1*-1,W375&lt;$D$1,OR(X375&lt;=$D$1*-1,Y375&gt;=$D$1),X375&gt;$D$2*-1,Y375&lt;$D$2,V375/U375&lt;3),"Serious", AND(W375&gt;$D$1*-1,W375&lt;$D$1,OR(X375&lt;=$D$2*-1,Y375&gt;=$D$2),V375/U375&lt;3),"Very serious", AND(W375&gt;$D$1*-1,W375&lt;$D$1,X375&gt;$D$1*-1,Y375&lt;$D$1,V375/U375&gt;=3),"Very serious", AND(W375&gt;$D$1*-1,W375&lt;$D$1,OR(X375&lt;=$D$1*-1,Y375&gt;=$D$1),X375&gt;$D$2*-1,Y375&lt;$D$2,V375/U375&gt;=3),"Very serious", AND(W375&gt;$D$1*-1,W375&lt;$D$1,OR(X375&lt;=$D$2*-1,Y375&gt;=$D$2),V375/U375&gt;=3),"Very serious"),"")),"")</f>
        <v/>
      </c>
      <c r="AT375" s="109" t="str">
        <f t="shared" si="9"/>
        <v/>
      </c>
      <c r="AU375" s="64"/>
      <c r="AV375" s="83"/>
      <c r="AW375" s="83"/>
      <c r="AX375" s="83"/>
      <c r="AY375" s="83"/>
      <c r="AZ375" s="83"/>
      <c r="BA375" s="85"/>
      <c r="BB375" s="86" t="str">
        <f>IF(Preferences!B$9="Manual","",IFS(ISBLANK(B375),"",AND(ISNUMBER(E375)=TRUE,ISNUMBER(T375)=FALSE),"Direct", AND(ISNUMBER(E375)=FALSE,ISNUMBER(T375)=TRUE),"Indirect", CN375=4,"Direct",AND(CL375=FALSE, CM375=TRUE,CN375-CO375&gt;-1),"Direct", AND(CL375=FALSE,CM375=TRUE, CN375-CO375&lt;0),"Check algorithm in appendix 2", AND(CL375=TRUE, CM375=FALSE,CN375-CO375&gt;0),"Check algorithm in appendix 2", AND(CL375=TRUE, CM375=FALSE,CN375-CO375=0),"Indirect", AND(CL375=TRUE, CM375=FALSE,CN375-CO375&lt;0),"Indirect", AND(CL375=FALSE,CM375=FALSE,CN375-CO375&gt;-1),"Direct", AND(CL375=FALSE,CM375=FALSE,CN375-CO375&lt;0),"Check algorithm in appendix 2", AND(CL375=TRUE,CM375=TRUE,CN375-CO375&gt;-1),"Direct", AND(CL375=TRUE,CM375=TRUE,CN375-CO375&lt;0),"Check algorithm in appendix 2"))</f>
        <v/>
      </c>
      <c r="BC375" s="120" t="str">
        <f t="shared" si="10"/>
        <v/>
      </c>
      <c r="BD375" s="148"/>
      <c r="BE375" s="122" t="str">
        <f>IF(Preferences!B$3="Manual","", IFERROR(IFS(AND(Preferences!B$3="Automatic",AX375/AW375&gt;=30),"Extremely serious",AND(AY375&lt;=$D$1*-1,BA375&lt;0,AX375/AW375&lt;3),"Not Serious",AND(AY375&lt;=$D$1*-1,BA375&lt;0,AX375/AW375&gt;=3),"Very serious",AND(AY375&gt;=$D$1,AZ375&gt;0,AX375/AW375&lt;3),"Not Serious",AND(AY375&gt;=$D$1,AZ375&gt;0,AX375/AW375&gt;=3),"Very serious",AND(AY375&lt;=$D$1*-1,BA375&gt;0,AZ375&gt;$D$2*-1,AX375/AW375&lt;3),"Serious", AND(AY375&lt;=$D$1*-1,BA375&gt;0,AZ375&lt;$D$2*-1,AX375/AW375&lt;3),"Very serious", AND(AY375&gt;=$D$1,AZ375&lt;0,BA375&lt;$D$2,AX375/AW375&lt;3),"Serious",AND(AY375&gt;=$D$1,AZ375&lt;0,BA375&gt;$D$2,AX375/AW375&lt;3),"Very serious", AND(AY375&lt;=$D$1*-1,BA375&gt;0,AZ375&gt;$D$2*-1,AX375/AW375&gt;=3),"Very serious", AND(AY375&lt;=$D$1*-1,BA375&gt;0,AZ375&lt;$D$2*-1,AX375/AW375&gt;=3),"Very serious", AND(AY375&gt;=$D$1,AZ375&lt;0,BA375&lt;$D$2,AX375/AW375&gt;=3),"Very serious", AND(AY375&gt;=$D$1,AZ375&lt;0,BA375&gt;$D$2,AX375/AW375&gt;=3),"Very serious", AND(AY375&gt;$D$1*-1,AY375&lt;$D$1,AZ375&gt;$D$1*-1,BA375&lt;$D$1,AX375/AW375&lt;3),"Not Serious", AND(AY375&gt;$D$1*-1,AY375&lt;$D$1,OR(AZ375&lt;=$D$1*-1,BA375&gt;=$D$1),AZ375&gt;$D$2*-1,BA375&lt;$D$2,AX375/AW375&lt;3),"Serious", AND(AY375&gt;$D$1*-1,AY375&lt;$D$1,OR(AZ375&lt;=$D$2*-1,BA375&gt;=$D$2),AX375/AW375&lt;3),"Very serious", AND(AY375&gt;$D$1*-1,AY375&lt;$D$1,AZ375&gt;$D$1*-1,BA375&lt;$D$1,AX375/AW375&gt;=3),"Very serious", AND(AY375&gt;$D$1*-1,AY375&lt;$D$1,OR(AZ375&lt;=$D$1*-1,BA375&gt;=$D$1),AZ375&gt;$D$2*-1,BA375&lt;$D$2,AX375/AW375&gt;=3),"Very serious", AND(AY375&gt;$D$1*-1,AY375&lt;$D$1,OR(AZ375&lt;=$D$2*-1,BA375&gt;=$D$2),AX375/AW375&gt;=3),"Very serious"),""))</f>
        <v/>
      </c>
      <c r="BF375" s="107" t="str">
        <f t="shared" si="11"/>
        <v/>
      </c>
      <c r="BG375" s="94" t="str">
        <f t="shared" si="46"/>
        <v/>
      </c>
      <c r="BH375" s="64" t="str">
        <f t="shared" si="12"/>
        <v>#N/A</v>
      </c>
      <c r="BI375" s="64" t="str">
        <f t="shared" si="13"/>
        <v/>
      </c>
      <c r="BJ375" s="123" t="str">
        <f t="shared" si="14"/>
        <v>#N/A</v>
      </c>
      <c r="BK375" s="64" t="str">
        <f t="shared" si="50"/>
        <v>YES</v>
      </c>
      <c r="BL375" s="64" t="str">
        <f t="shared" si="16"/>
        <v>YES</v>
      </c>
      <c r="BM375" s="64" t="str">
        <f t="shared" si="17"/>
        <v>YES</v>
      </c>
      <c r="BN375" s="124" t="str">
        <f t="shared" si="18"/>
        <v/>
      </c>
      <c r="BO375" s="91" t="str">
        <f t="shared" si="19"/>
        <v/>
      </c>
      <c r="BP375" s="91" t="str">
        <f t="shared" si="20"/>
        <v>#N/A</v>
      </c>
      <c r="BQ375" s="91" t="str">
        <f t="shared" si="21"/>
        <v/>
      </c>
      <c r="BR375" s="93" t="str">
        <f t="shared" si="22"/>
        <v/>
      </c>
      <c r="BS375" s="90" t="str">
        <f t="shared" si="23"/>
        <v/>
      </c>
      <c r="BT375" s="93" t="str">
        <f t="shared" si="24"/>
        <v>NA</v>
      </c>
      <c r="BU375" s="125" t="str">
        <f t="shared" si="25"/>
        <v>#N/A</v>
      </c>
      <c r="BV375" s="93" t="str">
        <f t="shared" si="26"/>
        <v/>
      </c>
      <c r="BW375" s="93" t="str">
        <f t="shared" si="27"/>
        <v/>
      </c>
      <c r="BX375" s="93" t="str">
        <f t="shared" si="28"/>
        <v>NA</v>
      </c>
      <c r="BY375" s="95" t="str">
        <f t="shared" si="29"/>
        <v>#N/A</v>
      </c>
      <c r="BZ375" s="93" t="str">
        <f t="shared" si="30"/>
        <v/>
      </c>
      <c r="CA375" s="93" t="str">
        <f t="shared" si="31"/>
        <v/>
      </c>
      <c r="CB375" s="93" t="str">
        <f t="shared" si="32"/>
        <v>NA</v>
      </c>
      <c r="CC375" s="96" t="str">
        <f t="shared" si="33"/>
        <v>#N/A</v>
      </c>
      <c r="CD375" s="93" t="str">
        <f t="shared" si="34"/>
        <v/>
      </c>
      <c r="CE375" s="93" t="str">
        <f t="shared" si="35"/>
        <v/>
      </c>
      <c r="CF375" s="93" t="str">
        <f t="shared" si="36"/>
        <v>NA</v>
      </c>
      <c r="CG375" s="97" t="str">
        <f t="shared" si="37"/>
        <v>#N/A</v>
      </c>
      <c r="CH375" s="98" t="str">
        <f t="shared" si="38"/>
        <v>#N/A</v>
      </c>
      <c r="CI375" s="99" t="str">
        <f t="shared" si="39"/>
        <v>#N/A</v>
      </c>
      <c r="CJ375" s="126" t="str">
        <f t="shared" si="40"/>
        <v>ERROR: check cell</v>
      </c>
      <c r="CK375" s="126" t="str">
        <f>if(AND(T375&lt;1=TRUE,E375&lt;1=TRUE)=TRUE,if(OR(AND(V375&gt;G375=TRUE,G375&gt;U375=TRUE),AND(G375&gt;V375=TRUE,V375&gt;F375=TRUE)=TRUE)=TRUE,"No serious incoherence","Quantitative incoherence (same direction of effect)"),if(AND(T375&gt;1=TRUE,E375&gt;1=TRUE)=TRUE,if(OR(AND(V375&gt;G375=TRUE,G375&gt;U375=TRUE),AND(G375&gt;V375=TRUE,V375&gt;F375=TRUE)=TRUE)=TRUE,"No serious incoherence","Quantitative incoherence (same direction of effect)"),if(OR(AND(T375&lt;1=TRUE,E375&gt;1=TRUE)=TRUE,AND(T375&gt;1=TRUE,E375&lt;1=TRUE)=TRUE)=TRUE,if(OR(AND(V375&gt;G375=TRUE,G375&gt;U375=TRUE),AND(G375&gt;V375=TRUE,V375&gt;F375=TRUE)=TRUE)=TRUE,"No serious incoherence","Qualitative incoherence (different direction of effect)"))))</f>
        <v>Quantitative incoherence (same direction of effect)</v>
      </c>
      <c r="CL375" s="127" t="str">
        <f t="shared" si="41"/>
        <v>#DIV/0!</v>
      </c>
      <c r="CM375" s="128" t="str">
        <f t="shared" si="42"/>
        <v>#DIV/0!</v>
      </c>
      <c r="CN375" s="128">
        <f t="shared" si="43"/>
        <v>4</v>
      </c>
      <c r="CO375" s="129">
        <f t="shared" si="44"/>
        <v>4</v>
      </c>
      <c r="CP375" s="129" t="str">
        <f>IFS(C375=Preferences!B$13,B375,B375=Preferences!B$13,C375)</f>
        <v>#N/A</v>
      </c>
    </row>
    <row r="376" ht="13.5" customHeight="1">
      <c r="A376" s="63" t="str">
        <f t="shared" si="45"/>
        <v/>
      </c>
      <c r="B376" s="64"/>
      <c r="C376" s="64"/>
      <c r="D376" s="64"/>
      <c r="E376" s="65"/>
      <c r="F376" s="65"/>
      <c r="G376" s="65"/>
      <c r="H376" s="66"/>
      <c r="I376" s="66"/>
      <c r="J376" s="67"/>
      <c r="K376" s="68"/>
      <c r="L376" s="104"/>
      <c r="M376" s="104"/>
      <c r="N376" s="104"/>
      <c r="O376" s="104"/>
      <c r="P376" s="107" t="str">
        <f t="shared" si="1"/>
        <v/>
      </c>
      <c r="Q376" s="108" t="str">
        <f>IFERROR(IF(AND(Preferences!B$3="Manual",OR(AX376/AW376&gt;G376/F376,BD376="Serious",BD376="Very serious")),"Assess imprecision",IFS(ISBLANK(E376),"",AND(Preferences!B$3="Automatic", G376/F376&gt;=30),"Extremely serious",AND(H376&lt;=$D$1*-1,J376&lt;0,G376/F376&lt;3),"Not serious",AND(H376&lt;=$D$1*-1,J376&lt;0,G376/F376&gt;=3),"Very serious",AND(H376&gt;=$D$1,I376&gt;0,G376/F376&lt;3),"Not serious",AND(H376&gt;=$D$1,I376&gt;0,G376/F376&gt;=3),"Very serious",AND(H376&lt;=$D$1*-1,J376&gt;0,I376&gt;$D$2*-1,G376/F376&lt;3),"Serious", AND(H376&lt;=$D$1*-1,J376&gt;0,I376&lt;$D$2*-1,G376/F376&lt;3),"Very serious", AND(H376&gt;=$D$1,I376&lt;0,J376&lt;$D$2,G376/F376&lt;3),"Serious",AND(H376&gt;=$D$1,I376&lt;0,J376&gt;$D$2,G376/F376&lt;3),"Very serious", AND(H376&lt;=$D$1*-1,J376&gt;0,I376&gt;$D$2*-1,G376/F376&gt;=3),"Very serious", AND(H376&lt;=$D$1*-1,J376&gt;0,I376&lt;$D$2*-1,G376/F376&gt;=3),"Very serious", AND(H376&gt;=$D$1,I376&lt;0,J376&lt;$D$2,G376/F376&gt;=3),"Very serious", AND(H376&gt;=$D$1,I376&lt;0,J376&gt;$D$2,G376/F376&gt;=3),"Very serious", AND(H376&gt;$D$1*-1,H376&lt;$D$1,I376&gt;$D$1*-1,J376&lt;$D$1,G376/F376&lt;3),"Not serious", AND(H376&gt;$D$1*-1,H376&lt;$D$1,OR(I376&lt;=$D$1*-1,J376&gt;=$D$1),I376&gt;$D$2*-1,J376&lt;$D$2,G376/F376&lt;3),"Serious", AND(H376&gt;$D$1*-1,H376&lt;$D$1,OR(I376&lt;=$D$2*-1,J376&gt;=$D$2),G376/F376&lt;3),"Very serious", AND(H376&gt;$D$1*-1,H376&lt;$D$1,I376&gt;$D$1*-1,J376&lt;$D$1,G376/F376&gt;=3),"Very serious", AND(H376&gt;$D$1*-1,H376&lt;$D$1,OR(I376&lt;=$D$1*-1,J376&gt;=$D$1),I376&gt;$D$2*-1,J376&lt;$D$2,G376/F376&gt;=3),"Very serious", AND(H376&gt;$D$1*-1,H376&lt;$D$1,OR(I376&lt;=$D$2*-1,J376&gt;=$D$2),G376/F376&gt;=3),"Very serious")),"")</f>
        <v/>
      </c>
      <c r="R376" s="109" t="str">
        <f t="shared" si="47"/>
        <v/>
      </c>
      <c r="S376" s="64"/>
      <c r="T376" s="72"/>
      <c r="U376" s="72"/>
      <c r="V376" s="72"/>
      <c r="W376" s="73"/>
      <c r="X376" s="73"/>
      <c r="Y376" s="74"/>
      <c r="Z376" s="113" t="str">
        <f t="array" ref="Z376">INDEX($A$1:$C$500, MATCH(1,($B:$B=$B376)*($C:$C=$AB376),0),1)</f>
        <v/>
      </c>
      <c r="AA376" s="113" t="str">
        <f t="array" ref="AA376">INDEX($A$1:$C$500, MATCH(1,($B:$B=$AB376)*($C:$C=$B376),0),1)</f>
        <v/>
      </c>
      <c r="AB376" s="111"/>
      <c r="AC376" s="114" t="str">
        <f t="shared" si="2"/>
        <v/>
      </c>
      <c r="AD376" s="115" t="str">
        <f t="shared" si="3"/>
        <v/>
      </c>
      <c r="AE376" s="116" t="str">
        <f t="array" ref="AE376">INDEX($A$1:$C$500, MATCH(1,($B:$B=$AB376)*($C:$C=$AG376),0),1)</f>
        <v/>
      </c>
      <c r="AF376" s="116" t="str">
        <f t="array" ref="AF376">INDEX($A$1:$C$500, MATCH(1,($B:$B=$AG376)*($C:$C=$AB376),0),1)</f>
        <v/>
      </c>
      <c r="AG376" s="72"/>
      <c r="AH376" s="114" t="str">
        <f t="shared" si="4"/>
        <v/>
      </c>
      <c r="AI376" s="115" t="str">
        <f t="shared" si="5"/>
        <v/>
      </c>
      <c r="AJ376" s="116" t="str">
        <f t="array" ref="AJ376">INDEX($A$1:$C$500, MATCH(1,($B:$B=$C376)*($C:$C=$AG376),0),1)</f>
        <v/>
      </c>
      <c r="AK376" s="116" t="str">
        <f t="array" ref="AK376">INDEX($A$1:$C$500, MATCH(1,($B:$B=$AG376)*($C:$C=$C376),0),1)</f>
        <v/>
      </c>
      <c r="AL376" s="116" t="str">
        <f t="array" ref="AL376">INDEX($A$1:$C$500, MATCH(1,($B:$B=$C376)*($C:$C=$AB376),0),1)</f>
        <v/>
      </c>
      <c r="AM376" s="116" t="str">
        <f t="array" ref="AM376">INDEX($A$1:$C$500, MATCH(1,($B:$B=$AB376)*($C:$C=$C376),0),1)</f>
        <v/>
      </c>
      <c r="AN376" s="114" t="str">
        <f t="array" ref="AN376">IFS(ISNUMBER(AJ376),AJ376,ISNUMBER(AK376),AK376,ISNUMBER(AL376),AL376,ISNUMBER(AM376),AM376)</f>
        <v>#N/A</v>
      </c>
      <c r="AO376" s="115" t="str">
        <f t="shared" si="6"/>
        <v/>
      </c>
      <c r="AP376" s="115" t="str">
        <f t="shared" si="7"/>
        <v/>
      </c>
      <c r="AQ376" s="111"/>
      <c r="AR376" s="109" t="str">
        <f t="shared" si="8"/>
        <v/>
      </c>
      <c r="AS376" s="72" t="str">
        <f>IFERROR(IF(AND(Preferences!B$3="Manual",OR(AX376/AW376&gt;V376/U376,BD376="Serious",BD376="Very serious")),"Assess imprecision",IFERROR(IFS(AND(Preferences!B$3="Automatic",V376/U376&gt;=30),"Extremely serious",AND(W376&lt;=$D$1*-1,Y376&lt;0,V376/U376&lt;3),"Not Serious",AND(W376&lt;=$D$1*-1,Y376&lt;0,V376/U376&gt;=3),"Very serious",AND(W376&gt;=$D$1,X376&gt;0,V376/U376&lt;3),"Not Serious",AND(W376&gt;=$D$1,X376&gt;0,V376/U376&gt;=3),"Very serious",AND(W376&lt;=$D$1*-1,Y376&gt;0,X376&gt;$D$2*-1,V376/U376&lt;3),"Serious", AND(W376&lt;=$D$1*-1,Y376&gt;0,X376&lt;$D$2*-1,V376/U376&lt;3),"Very serious", AND(W376&gt;=$D$1,X376&lt;0,Y376&lt;$D$2,V376/U376&lt;3),"Serious",AND(W376&gt;=$D$1,X376&lt;0,Y376&gt;$D$2,V376/U376&lt;3),"Very serious", AND(W376&lt;=$D$1*-1,Y376&gt;0,X376&gt;$D$2*-1,V376/U376&gt;=3),"Very serious", AND(W376&lt;=$D$1*-1,Y376&gt;0,X376&lt;$D$2*-1,V376/U376&gt;=3),"Very serious", AND(W376&gt;=$D$1,X376&lt;0,Y376&lt;$D$2,V376/U376&gt;=3),"Very serious", AND(W376&gt;=$D$1,X376&lt;0,Y376&gt;$D$2,V376/U376&gt;=3),"Very serious", AND(W376&gt;$D$1*-1,W376&lt;$D$1,X376&gt;$D$1*-1,Y376&lt;$D$1,V376/U376&lt;3),"Not Serious", AND(W376&gt;$D$1*-1,W376&lt;$D$1,OR(X376&lt;=$D$1*-1,Y376&gt;=$D$1),X376&gt;$D$2*-1,Y376&lt;$D$2,V376/U376&lt;3),"Serious", AND(W376&gt;$D$1*-1,W376&lt;$D$1,OR(X376&lt;=$D$2*-1,Y376&gt;=$D$2),V376/U376&lt;3),"Very serious", AND(W376&gt;$D$1*-1,W376&lt;$D$1,X376&gt;$D$1*-1,Y376&lt;$D$1,V376/U376&gt;=3),"Very serious", AND(W376&gt;$D$1*-1,W376&lt;$D$1,OR(X376&lt;=$D$1*-1,Y376&gt;=$D$1),X376&gt;$D$2*-1,Y376&lt;$D$2,V376/U376&gt;=3),"Very serious", AND(W376&gt;$D$1*-1,W376&lt;$D$1,OR(X376&lt;=$D$2*-1,Y376&gt;=$D$2),V376/U376&gt;=3),"Very serious"),"")),"")</f>
        <v/>
      </c>
      <c r="AT376" s="109" t="str">
        <f t="shared" si="9"/>
        <v/>
      </c>
      <c r="AU376" s="64"/>
      <c r="AV376" s="83"/>
      <c r="AW376" s="83"/>
      <c r="AX376" s="83"/>
      <c r="AY376" s="83"/>
      <c r="AZ376" s="83"/>
      <c r="BA376" s="85"/>
      <c r="BB376" s="86" t="str">
        <f>IF(Preferences!B$9="Manual","",IFS(ISBLANK(B376),"",AND(ISNUMBER(E376)=TRUE,ISNUMBER(T376)=FALSE),"Direct", AND(ISNUMBER(E376)=FALSE,ISNUMBER(T376)=TRUE),"Indirect", CN376=4,"Direct",AND(CL376=FALSE, CM376=TRUE,CN376-CO376&gt;-1),"Direct", AND(CL376=FALSE,CM376=TRUE, CN376-CO376&lt;0),"Check algorithm in appendix 2", AND(CL376=TRUE, CM376=FALSE,CN376-CO376&gt;0),"Check algorithm in appendix 2", AND(CL376=TRUE, CM376=FALSE,CN376-CO376=0),"Indirect", AND(CL376=TRUE, CM376=FALSE,CN376-CO376&lt;0),"Indirect", AND(CL376=FALSE,CM376=FALSE,CN376-CO376&gt;-1),"Direct", AND(CL376=FALSE,CM376=FALSE,CN376-CO376&lt;0),"Check algorithm in appendix 2", AND(CL376=TRUE,CM376=TRUE,CN376-CO376&gt;-1),"Direct", AND(CL376=TRUE,CM376=TRUE,CN376-CO376&lt;0),"Check algorithm in appendix 2"))</f>
        <v/>
      </c>
      <c r="BC376" s="120" t="str">
        <f t="shared" si="10"/>
        <v/>
      </c>
      <c r="BD376" s="140"/>
      <c r="BE376" s="122" t="str">
        <f>IF(Preferences!B$3="Manual","", IFERROR(IFS(AND(Preferences!B$3="Automatic",AX376/AW376&gt;=30),"Extremely serious",AND(AY376&lt;=$D$1*-1,BA376&lt;0,AX376/AW376&lt;3),"Not Serious",AND(AY376&lt;=$D$1*-1,BA376&lt;0,AX376/AW376&gt;=3),"Very serious",AND(AY376&gt;=$D$1,AZ376&gt;0,AX376/AW376&lt;3),"Not Serious",AND(AY376&gt;=$D$1,AZ376&gt;0,AX376/AW376&gt;=3),"Very serious",AND(AY376&lt;=$D$1*-1,BA376&gt;0,AZ376&gt;$D$2*-1,AX376/AW376&lt;3),"Serious", AND(AY376&lt;=$D$1*-1,BA376&gt;0,AZ376&lt;$D$2*-1,AX376/AW376&lt;3),"Very serious", AND(AY376&gt;=$D$1,AZ376&lt;0,BA376&lt;$D$2,AX376/AW376&lt;3),"Serious",AND(AY376&gt;=$D$1,AZ376&lt;0,BA376&gt;$D$2,AX376/AW376&lt;3),"Very serious", AND(AY376&lt;=$D$1*-1,BA376&gt;0,AZ376&gt;$D$2*-1,AX376/AW376&gt;=3),"Very serious", AND(AY376&lt;=$D$1*-1,BA376&gt;0,AZ376&lt;$D$2*-1,AX376/AW376&gt;=3),"Very serious", AND(AY376&gt;=$D$1,AZ376&lt;0,BA376&lt;$D$2,AX376/AW376&gt;=3),"Very serious", AND(AY376&gt;=$D$1,AZ376&lt;0,BA376&gt;$D$2,AX376/AW376&gt;=3),"Very serious", AND(AY376&gt;$D$1*-1,AY376&lt;$D$1,AZ376&gt;$D$1*-1,BA376&lt;$D$1,AX376/AW376&lt;3),"Not Serious", AND(AY376&gt;$D$1*-1,AY376&lt;$D$1,OR(AZ376&lt;=$D$1*-1,BA376&gt;=$D$1),AZ376&gt;$D$2*-1,BA376&lt;$D$2,AX376/AW376&lt;3),"Serious", AND(AY376&gt;$D$1*-1,AY376&lt;$D$1,OR(AZ376&lt;=$D$2*-1,BA376&gt;=$D$2),AX376/AW376&lt;3),"Very serious", AND(AY376&gt;$D$1*-1,AY376&lt;$D$1,AZ376&gt;$D$1*-1,BA376&lt;$D$1,AX376/AW376&gt;=3),"Very serious", AND(AY376&gt;$D$1*-1,AY376&lt;$D$1,OR(AZ376&lt;=$D$1*-1,BA376&gt;=$D$1),AZ376&gt;$D$2*-1,BA376&lt;$D$2,AX376/AW376&gt;=3),"Very serious", AND(AY376&gt;$D$1*-1,AY376&lt;$D$1,OR(AZ376&lt;=$D$2*-1,BA376&gt;=$D$2),AX376/AW376&gt;=3),"Very serious"),""))</f>
        <v/>
      </c>
      <c r="BF376" s="107" t="str">
        <f t="shared" si="11"/>
        <v/>
      </c>
      <c r="BG376" s="94" t="str">
        <f t="shared" si="46"/>
        <v/>
      </c>
      <c r="BH376" s="64" t="str">
        <f t="shared" si="12"/>
        <v>#N/A</v>
      </c>
      <c r="BI376" s="64" t="str">
        <f t="shared" si="13"/>
        <v/>
      </c>
      <c r="BJ376" s="123" t="str">
        <f t="shared" si="14"/>
        <v>#N/A</v>
      </c>
      <c r="BK376" s="64" t="str">
        <f t="shared" si="50"/>
        <v>YES</v>
      </c>
      <c r="BL376" s="64" t="str">
        <f t="shared" si="16"/>
        <v>YES</v>
      </c>
      <c r="BM376" s="64" t="str">
        <f t="shared" si="17"/>
        <v>YES</v>
      </c>
      <c r="BN376" s="124" t="str">
        <f t="shared" si="18"/>
        <v/>
      </c>
      <c r="BO376" s="91" t="str">
        <f t="shared" si="19"/>
        <v/>
      </c>
      <c r="BP376" s="91" t="str">
        <f t="shared" si="20"/>
        <v>#N/A</v>
      </c>
      <c r="BQ376" s="91" t="str">
        <f t="shared" si="21"/>
        <v/>
      </c>
      <c r="BR376" s="93" t="str">
        <f t="shared" si="22"/>
        <v/>
      </c>
      <c r="BS376" s="90" t="str">
        <f t="shared" si="23"/>
        <v/>
      </c>
      <c r="BT376" s="93" t="str">
        <f t="shared" si="24"/>
        <v>NA</v>
      </c>
      <c r="BU376" s="125" t="str">
        <f t="shared" si="25"/>
        <v>#N/A</v>
      </c>
      <c r="BV376" s="93" t="str">
        <f t="shared" si="26"/>
        <v/>
      </c>
      <c r="BW376" s="93" t="str">
        <f t="shared" si="27"/>
        <v/>
      </c>
      <c r="BX376" s="93" t="str">
        <f t="shared" si="28"/>
        <v>NA</v>
      </c>
      <c r="BY376" s="95" t="str">
        <f t="shared" si="29"/>
        <v>#N/A</v>
      </c>
      <c r="BZ376" s="93" t="str">
        <f t="shared" si="30"/>
        <v/>
      </c>
      <c r="CA376" s="93" t="str">
        <f t="shared" si="31"/>
        <v/>
      </c>
      <c r="CB376" s="93" t="str">
        <f t="shared" si="32"/>
        <v>NA</v>
      </c>
      <c r="CC376" s="96" t="str">
        <f t="shared" si="33"/>
        <v>#N/A</v>
      </c>
      <c r="CD376" s="93" t="str">
        <f t="shared" si="34"/>
        <v/>
      </c>
      <c r="CE376" s="93" t="str">
        <f t="shared" si="35"/>
        <v/>
      </c>
      <c r="CF376" s="93" t="str">
        <f t="shared" si="36"/>
        <v>NA</v>
      </c>
      <c r="CG376" s="97" t="str">
        <f t="shared" si="37"/>
        <v>#N/A</v>
      </c>
      <c r="CH376" s="98" t="str">
        <f t="shared" si="38"/>
        <v>#N/A</v>
      </c>
      <c r="CI376" s="99" t="str">
        <f t="shared" si="39"/>
        <v>#N/A</v>
      </c>
      <c r="CJ376" s="126" t="str">
        <f t="shared" si="40"/>
        <v>ERROR: check cell</v>
      </c>
      <c r="CK376" s="126"/>
      <c r="CL376" s="127" t="str">
        <f t="shared" si="41"/>
        <v>#DIV/0!</v>
      </c>
      <c r="CM376" s="128" t="str">
        <f t="shared" si="42"/>
        <v>#DIV/0!</v>
      </c>
      <c r="CN376" s="128">
        <f t="shared" si="43"/>
        <v>4</v>
      </c>
      <c r="CO376" s="129">
        <f t="shared" si="44"/>
        <v>4</v>
      </c>
      <c r="CP376" s="129" t="str">
        <f>IFS(C376=Preferences!B$13,B376,B376=Preferences!B$13,C376)</f>
        <v>#N/A</v>
      </c>
    </row>
    <row r="377" ht="13.5" customHeight="1">
      <c r="A377" s="63" t="str">
        <f t="shared" si="45"/>
        <v/>
      </c>
      <c r="B377" s="64"/>
      <c r="C377" s="64"/>
      <c r="D377" s="64"/>
      <c r="E377" s="65"/>
      <c r="F377" s="65"/>
      <c r="G377" s="65"/>
      <c r="H377" s="66"/>
      <c r="I377" s="66"/>
      <c r="J377" s="67"/>
      <c r="K377" s="68"/>
      <c r="L377" s="104"/>
      <c r="M377" s="104"/>
      <c r="N377" s="104"/>
      <c r="O377" s="104"/>
      <c r="P377" s="107" t="str">
        <f t="shared" si="1"/>
        <v/>
      </c>
      <c r="Q377" s="108" t="str">
        <f>IFERROR(IF(AND(Preferences!B$3="Manual",OR(AX377/AW377&gt;G377/F377,BD377="Serious",BD377="Very serious")),"Assess imprecision",IFS(ISBLANK(E377),"",AND(Preferences!B$3="Automatic", G377/F377&gt;=30),"Extremely serious",AND(H377&lt;=$D$1*-1,J377&lt;0,G377/F377&lt;3),"Not serious",AND(H377&lt;=$D$1*-1,J377&lt;0,G377/F377&gt;=3),"Very serious",AND(H377&gt;=$D$1,I377&gt;0,G377/F377&lt;3),"Not serious",AND(H377&gt;=$D$1,I377&gt;0,G377/F377&gt;=3),"Very serious",AND(H377&lt;=$D$1*-1,J377&gt;0,I377&gt;$D$2*-1,G377/F377&lt;3),"Serious", AND(H377&lt;=$D$1*-1,J377&gt;0,I377&lt;$D$2*-1,G377/F377&lt;3),"Very serious", AND(H377&gt;=$D$1,I377&lt;0,J377&lt;$D$2,G377/F377&lt;3),"Serious",AND(H377&gt;=$D$1,I377&lt;0,J377&gt;$D$2,G377/F377&lt;3),"Very serious", AND(H377&lt;=$D$1*-1,J377&gt;0,I377&gt;$D$2*-1,G377/F377&gt;=3),"Very serious", AND(H377&lt;=$D$1*-1,J377&gt;0,I377&lt;$D$2*-1,G377/F377&gt;=3),"Very serious", AND(H377&gt;=$D$1,I377&lt;0,J377&lt;$D$2,G377/F377&gt;=3),"Very serious", AND(H377&gt;=$D$1,I377&lt;0,J377&gt;$D$2,G377/F377&gt;=3),"Very serious", AND(H377&gt;$D$1*-1,H377&lt;$D$1,I377&gt;$D$1*-1,J377&lt;$D$1,G377/F377&lt;3),"Not serious", AND(H377&gt;$D$1*-1,H377&lt;$D$1,OR(I377&lt;=$D$1*-1,J377&gt;=$D$1),I377&gt;$D$2*-1,J377&lt;$D$2,G377/F377&lt;3),"Serious", AND(H377&gt;$D$1*-1,H377&lt;$D$1,OR(I377&lt;=$D$2*-1,J377&gt;=$D$2),G377/F377&lt;3),"Very serious", AND(H377&gt;$D$1*-1,H377&lt;$D$1,I377&gt;$D$1*-1,J377&lt;$D$1,G377/F377&gt;=3),"Very serious", AND(H377&gt;$D$1*-1,H377&lt;$D$1,OR(I377&lt;=$D$1*-1,J377&gt;=$D$1),I377&gt;$D$2*-1,J377&lt;$D$2,G377/F377&gt;=3),"Very serious", AND(H377&gt;$D$1*-1,H377&lt;$D$1,OR(I377&lt;=$D$2*-1,J377&gt;=$D$2),G377/F377&gt;=3),"Very serious")),"")</f>
        <v/>
      </c>
      <c r="R377" s="109" t="str">
        <f t="shared" si="47"/>
        <v/>
      </c>
      <c r="S377" s="64"/>
      <c r="T377" s="72"/>
      <c r="U377" s="72"/>
      <c r="V377" s="72"/>
      <c r="W377" s="73"/>
      <c r="X377" s="73"/>
      <c r="Y377" s="74"/>
      <c r="Z377" s="113" t="str">
        <f t="array" ref="Z377">INDEX($A$1:$C$500, MATCH(1,($B:$B=$B377)*($C:$C=$AB377),0),1)</f>
        <v/>
      </c>
      <c r="AA377" s="113" t="str">
        <f t="array" ref="AA377">INDEX($A$1:$C$500, MATCH(1,($B:$B=$AB377)*($C:$C=$B377),0),1)</f>
        <v/>
      </c>
      <c r="AB377" s="111"/>
      <c r="AC377" s="114" t="str">
        <f t="shared" si="2"/>
        <v/>
      </c>
      <c r="AD377" s="115" t="str">
        <f t="shared" si="3"/>
        <v/>
      </c>
      <c r="AE377" s="116" t="str">
        <f t="array" ref="AE377">INDEX($A$1:$C$500, MATCH(1,($B:$B=$AB377)*($C:$C=$AG377),0),1)</f>
        <v/>
      </c>
      <c r="AF377" s="116" t="str">
        <f t="array" ref="AF377">INDEX($A$1:$C$500, MATCH(1,($B:$B=$AG377)*($C:$C=$AB377),0),1)</f>
        <v/>
      </c>
      <c r="AG377" s="72"/>
      <c r="AH377" s="114" t="str">
        <f t="shared" si="4"/>
        <v/>
      </c>
      <c r="AI377" s="115" t="str">
        <f t="shared" si="5"/>
        <v/>
      </c>
      <c r="AJ377" s="116" t="str">
        <f t="array" ref="AJ377">INDEX($A$1:$C$500, MATCH(1,($B:$B=$C377)*($C:$C=$AG377),0),1)</f>
        <v/>
      </c>
      <c r="AK377" s="116" t="str">
        <f t="array" ref="AK377">INDEX($A$1:$C$500, MATCH(1,($B:$B=$AG377)*($C:$C=$C377),0),1)</f>
        <v/>
      </c>
      <c r="AL377" s="116" t="str">
        <f t="array" ref="AL377">INDEX($A$1:$C$500, MATCH(1,($B:$B=$C377)*($C:$C=$AB377),0),1)</f>
        <v/>
      </c>
      <c r="AM377" s="116" t="str">
        <f t="array" ref="AM377">INDEX($A$1:$C$500, MATCH(1,($B:$B=$AB377)*($C:$C=$C377),0),1)</f>
        <v/>
      </c>
      <c r="AN377" s="114" t="str">
        <f t="array" ref="AN377">IFS(ISNUMBER(AJ377),AJ377,ISNUMBER(AK377),AK377,ISNUMBER(AL377),AL377,ISNUMBER(AM377),AM377)</f>
        <v>#N/A</v>
      </c>
      <c r="AO377" s="115" t="str">
        <f t="shared" si="6"/>
        <v/>
      </c>
      <c r="AP377" s="115" t="str">
        <f t="shared" si="7"/>
        <v/>
      </c>
      <c r="AQ377" s="111"/>
      <c r="AR377" s="109" t="str">
        <f t="shared" si="8"/>
        <v/>
      </c>
      <c r="AS377" s="72" t="str">
        <f>IFERROR(IF(AND(Preferences!B$3="Manual",OR(AX377/AW377&gt;V377/U377,BD377="Serious",BD377="Very serious")),"Assess imprecision",IFERROR(IFS(AND(Preferences!B$3="Automatic",V377/U377&gt;=30),"Extremely serious",AND(W377&lt;=$D$1*-1,Y377&lt;0,V377/U377&lt;3),"Not Serious",AND(W377&lt;=$D$1*-1,Y377&lt;0,V377/U377&gt;=3),"Very serious",AND(W377&gt;=$D$1,X377&gt;0,V377/U377&lt;3),"Not Serious",AND(W377&gt;=$D$1,X377&gt;0,V377/U377&gt;=3),"Very serious",AND(W377&lt;=$D$1*-1,Y377&gt;0,X377&gt;$D$2*-1,V377/U377&lt;3),"Serious", AND(W377&lt;=$D$1*-1,Y377&gt;0,X377&lt;$D$2*-1,V377/U377&lt;3),"Very serious", AND(W377&gt;=$D$1,X377&lt;0,Y377&lt;$D$2,V377/U377&lt;3),"Serious",AND(W377&gt;=$D$1,X377&lt;0,Y377&gt;$D$2,V377/U377&lt;3),"Very serious", AND(W377&lt;=$D$1*-1,Y377&gt;0,X377&gt;$D$2*-1,V377/U377&gt;=3),"Very serious", AND(W377&lt;=$D$1*-1,Y377&gt;0,X377&lt;$D$2*-1,V377/U377&gt;=3),"Very serious", AND(W377&gt;=$D$1,X377&lt;0,Y377&lt;$D$2,V377/U377&gt;=3),"Very serious", AND(W377&gt;=$D$1,X377&lt;0,Y377&gt;$D$2,V377/U377&gt;=3),"Very serious", AND(W377&gt;$D$1*-1,W377&lt;$D$1,X377&gt;$D$1*-1,Y377&lt;$D$1,V377/U377&lt;3),"Not Serious", AND(W377&gt;$D$1*-1,W377&lt;$D$1,OR(X377&lt;=$D$1*-1,Y377&gt;=$D$1),X377&gt;$D$2*-1,Y377&lt;$D$2,V377/U377&lt;3),"Serious", AND(W377&gt;$D$1*-1,W377&lt;$D$1,OR(X377&lt;=$D$2*-1,Y377&gt;=$D$2),V377/U377&lt;3),"Very serious", AND(W377&gt;$D$1*-1,W377&lt;$D$1,X377&gt;$D$1*-1,Y377&lt;$D$1,V377/U377&gt;=3),"Very serious", AND(W377&gt;$D$1*-1,W377&lt;$D$1,OR(X377&lt;=$D$1*-1,Y377&gt;=$D$1),X377&gt;$D$2*-1,Y377&lt;$D$2,V377/U377&gt;=3),"Very serious", AND(W377&gt;$D$1*-1,W377&lt;$D$1,OR(X377&lt;=$D$2*-1,Y377&gt;=$D$2),V377/U377&gt;=3),"Very serious"),"")),"")</f>
        <v/>
      </c>
      <c r="AT377" s="109" t="str">
        <f t="shared" si="9"/>
        <v/>
      </c>
      <c r="AU377" s="64"/>
      <c r="AV377" s="83"/>
      <c r="AW377" s="83"/>
      <c r="AX377" s="83"/>
      <c r="AY377" s="83"/>
      <c r="AZ377" s="83"/>
      <c r="BA377" s="85"/>
      <c r="BB377" s="86" t="str">
        <f>IF(Preferences!B$9="Manual","",IFS(ISBLANK(B377),"",AND(ISNUMBER(E377)=TRUE,ISNUMBER(T377)=FALSE),"Direct", AND(ISNUMBER(E377)=FALSE,ISNUMBER(T377)=TRUE),"Indirect", CN377=4,"Direct",AND(CL377=FALSE, CM377=TRUE,CN377-CO377&gt;-1),"Direct", AND(CL377=FALSE,CM377=TRUE, CN377-CO377&lt;0),"Check algorithm in appendix 2", AND(CL377=TRUE, CM377=FALSE,CN377-CO377&gt;0),"Check algorithm in appendix 2", AND(CL377=TRUE, CM377=FALSE,CN377-CO377=0),"Indirect", AND(CL377=TRUE, CM377=FALSE,CN377-CO377&lt;0),"Indirect", AND(CL377=FALSE,CM377=FALSE,CN377-CO377&gt;-1),"Direct", AND(CL377=FALSE,CM377=FALSE,CN377-CO377&lt;0),"Check algorithm in appendix 2", AND(CL377=TRUE,CM377=TRUE,CN377-CO377&gt;-1),"Direct", AND(CL377=TRUE,CM377=TRUE,CN377-CO377&lt;0),"Check algorithm in appendix 2"))</f>
        <v/>
      </c>
      <c r="BC377" s="120" t="str">
        <f t="shared" si="10"/>
        <v/>
      </c>
      <c r="BD377" s="140"/>
      <c r="BE377" s="122" t="str">
        <f>IF(Preferences!B$3="Manual","", IFERROR(IFS(AND(Preferences!B$3="Automatic",AX377/AW377&gt;=30),"Extremely serious",AND(AY377&lt;=$D$1*-1,BA377&lt;0,AX377/AW377&lt;3),"Not Serious",AND(AY377&lt;=$D$1*-1,BA377&lt;0,AX377/AW377&gt;=3),"Very serious",AND(AY377&gt;=$D$1,AZ377&gt;0,AX377/AW377&lt;3),"Not Serious",AND(AY377&gt;=$D$1,AZ377&gt;0,AX377/AW377&gt;=3),"Very serious",AND(AY377&lt;=$D$1*-1,BA377&gt;0,AZ377&gt;$D$2*-1,AX377/AW377&lt;3),"Serious", AND(AY377&lt;=$D$1*-1,BA377&gt;0,AZ377&lt;$D$2*-1,AX377/AW377&lt;3),"Very serious", AND(AY377&gt;=$D$1,AZ377&lt;0,BA377&lt;$D$2,AX377/AW377&lt;3),"Serious",AND(AY377&gt;=$D$1,AZ377&lt;0,BA377&gt;$D$2,AX377/AW377&lt;3),"Very serious", AND(AY377&lt;=$D$1*-1,BA377&gt;0,AZ377&gt;$D$2*-1,AX377/AW377&gt;=3),"Very serious", AND(AY377&lt;=$D$1*-1,BA377&gt;0,AZ377&lt;$D$2*-1,AX377/AW377&gt;=3),"Very serious", AND(AY377&gt;=$D$1,AZ377&lt;0,BA377&lt;$D$2,AX377/AW377&gt;=3),"Very serious", AND(AY377&gt;=$D$1,AZ377&lt;0,BA377&gt;$D$2,AX377/AW377&gt;=3),"Very serious", AND(AY377&gt;$D$1*-1,AY377&lt;$D$1,AZ377&gt;$D$1*-1,BA377&lt;$D$1,AX377/AW377&lt;3),"Not Serious", AND(AY377&gt;$D$1*-1,AY377&lt;$D$1,OR(AZ377&lt;=$D$1*-1,BA377&gt;=$D$1),AZ377&gt;$D$2*-1,BA377&lt;$D$2,AX377/AW377&lt;3),"Serious", AND(AY377&gt;$D$1*-1,AY377&lt;$D$1,OR(AZ377&lt;=$D$2*-1,BA377&gt;=$D$2),AX377/AW377&lt;3),"Very serious", AND(AY377&gt;$D$1*-1,AY377&lt;$D$1,AZ377&gt;$D$1*-1,BA377&lt;$D$1,AX377/AW377&gt;=3),"Very serious", AND(AY377&gt;$D$1*-1,AY377&lt;$D$1,OR(AZ377&lt;=$D$1*-1,BA377&gt;=$D$1),AZ377&gt;$D$2*-1,BA377&lt;$D$2,AX377/AW377&gt;=3),"Very serious", AND(AY377&gt;$D$1*-1,AY377&lt;$D$1,OR(AZ377&lt;=$D$2*-1,BA377&gt;=$D$2),AX377/AW377&gt;=3),"Very serious"),""))</f>
        <v/>
      </c>
      <c r="BF377" s="107" t="str">
        <f t="shared" si="11"/>
        <v/>
      </c>
      <c r="BG377" s="94" t="str">
        <f t="shared" si="46"/>
        <v/>
      </c>
      <c r="BH377" s="64" t="str">
        <f t="shared" si="12"/>
        <v>#N/A</v>
      </c>
      <c r="BI377" s="64" t="str">
        <f t="shared" si="13"/>
        <v/>
      </c>
      <c r="BJ377" s="123" t="str">
        <f t="shared" si="14"/>
        <v>#N/A</v>
      </c>
      <c r="BK377" s="64" t="str">
        <f t="shared" si="50"/>
        <v>YES</v>
      </c>
      <c r="BL377" s="64" t="str">
        <f t="shared" si="16"/>
        <v>YES</v>
      </c>
      <c r="BM377" s="64" t="str">
        <f t="shared" si="17"/>
        <v>YES</v>
      </c>
      <c r="BN377" s="124" t="str">
        <f t="shared" si="18"/>
        <v/>
      </c>
      <c r="BO377" s="91" t="str">
        <f t="shared" si="19"/>
        <v/>
      </c>
      <c r="BP377" s="91" t="str">
        <f t="shared" si="20"/>
        <v>#N/A</v>
      </c>
      <c r="BQ377" s="91" t="str">
        <f t="shared" si="21"/>
        <v/>
      </c>
      <c r="BR377" s="93" t="str">
        <f t="shared" si="22"/>
        <v/>
      </c>
      <c r="BS377" s="90" t="str">
        <f t="shared" si="23"/>
        <v/>
      </c>
      <c r="BT377" s="93" t="str">
        <f t="shared" si="24"/>
        <v>NA</v>
      </c>
      <c r="BU377" s="125" t="str">
        <f t="shared" si="25"/>
        <v>#N/A</v>
      </c>
      <c r="BV377" s="93" t="str">
        <f t="shared" si="26"/>
        <v/>
      </c>
      <c r="BW377" s="93" t="str">
        <f t="shared" si="27"/>
        <v/>
      </c>
      <c r="BX377" s="93" t="str">
        <f t="shared" si="28"/>
        <v>NA</v>
      </c>
      <c r="BY377" s="95" t="str">
        <f t="shared" si="29"/>
        <v>#N/A</v>
      </c>
      <c r="BZ377" s="93" t="str">
        <f t="shared" si="30"/>
        <v/>
      </c>
      <c r="CA377" s="93" t="str">
        <f t="shared" si="31"/>
        <v/>
      </c>
      <c r="CB377" s="93" t="str">
        <f t="shared" si="32"/>
        <v>NA</v>
      </c>
      <c r="CC377" s="96" t="str">
        <f t="shared" si="33"/>
        <v>#N/A</v>
      </c>
      <c r="CD377" s="93" t="str">
        <f t="shared" si="34"/>
        <v/>
      </c>
      <c r="CE377" s="93" t="str">
        <f t="shared" si="35"/>
        <v/>
      </c>
      <c r="CF377" s="93" t="str">
        <f t="shared" si="36"/>
        <v>NA</v>
      </c>
      <c r="CG377" s="97" t="str">
        <f t="shared" si="37"/>
        <v>#N/A</v>
      </c>
      <c r="CH377" s="98" t="str">
        <f t="shared" si="38"/>
        <v>#N/A</v>
      </c>
      <c r="CI377" s="99" t="str">
        <f t="shared" si="39"/>
        <v>#N/A</v>
      </c>
      <c r="CJ377" s="126" t="str">
        <f t="shared" si="40"/>
        <v>ERROR: check cell</v>
      </c>
      <c r="CK377" s="126"/>
      <c r="CL377" s="127" t="str">
        <f t="shared" si="41"/>
        <v>#DIV/0!</v>
      </c>
      <c r="CM377" s="128" t="str">
        <f t="shared" si="42"/>
        <v>#DIV/0!</v>
      </c>
      <c r="CN377" s="128">
        <f t="shared" si="43"/>
        <v>4</v>
      </c>
      <c r="CO377" s="129">
        <f t="shared" si="44"/>
        <v>4</v>
      </c>
      <c r="CP377" s="129" t="str">
        <f>IFS(C377=Preferences!B$13,B377,B377=Preferences!B$13,C377)</f>
        <v>#N/A</v>
      </c>
    </row>
    <row r="378" ht="13.5" customHeight="1">
      <c r="A378" s="63" t="str">
        <f t="shared" si="45"/>
        <v/>
      </c>
      <c r="B378" s="64"/>
      <c r="C378" s="64"/>
      <c r="D378" s="64"/>
      <c r="E378" s="65"/>
      <c r="F378" s="65"/>
      <c r="G378" s="65"/>
      <c r="H378" s="66"/>
      <c r="I378" s="66"/>
      <c r="J378" s="67"/>
      <c r="K378" s="68"/>
      <c r="L378" s="104"/>
      <c r="M378" s="104"/>
      <c r="N378" s="104"/>
      <c r="O378" s="104"/>
      <c r="P378" s="107" t="str">
        <f t="shared" si="1"/>
        <v/>
      </c>
      <c r="Q378" s="108" t="str">
        <f>IFERROR(IF(AND(Preferences!B$3="Manual",OR(AX378/AW378&gt;G378/F378,BD378="Serious",BD378="Very serious")),"Assess imprecision",IFS(ISBLANK(E378),"",AND(Preferences!B$3="Automatic", G378/F378&gt;=30),"Extremely serious",AND(H378&lt;=$D$1*-1,J378&lt;0,G378/F378&lt;3),"Not serious",AND(H378&lt;=$D$1*-1,J378&lt;0,G378/F378&gt;=3),"Very serious",AND(H378&gt;=$D$1,I378&gt;0,G378/F378&lt;3),"Not serious",AND(H378&gt;=$D$1,I378&gt;0,G378/F378&gt;=3),"Very serious",AND(H378&lt;=$D$1*-1,J378&gt;0,I378&gt;$D$2*-1,G378/F378&lt;3),"Serious", AND(H378&lt;=$D$1*-1,J378&gt;0,I378&lt;$D$2*-1,G378/F378&lt;3),"Very serious", AND(H378&gt;=$D$1,I378&lt;0,J378&lt;$D$2,G378/F378&lt;3),"Serious",AND(H378&gt;=$D$1,I378&lt;0,J378&gt;$D$2,G378/F378&lt;3),"Very serious", AND(H378&lt;=$D$1*-1,J378&gt;0,I378&gt;$D$2*-1,G378/F378&gt;=3),"Very serious", AND(H378&lt;=$D$1*-1,J378&gt;0,I378&lt;$D$2*-1,G378/F378&gt;=3),"Very serious", AND(H378&gt;=$D$1,I378&lt;0,J378&lt;$D$2,G378/F378&gt;=3),"Very serious", AND(H378&gt;=$D$1,I378&lt;0,J378&gt;$D$2,G378/F378&gt;=3),"Very serious", AND(H378&gt;$D$1*-1,H378&lt;$D$1,I378&gt;$D$1*-1,J378&lt;$D$1,G378/F378&lt;3),"Not serious", AND(H378&gt;$D$1*-1,H378&lt;$D$1,OR(I378&lt;=$D$1*-1,J378&gt;=$D$1),I378&gt;$D$2*-1,J378&lt;$D$2,G378/F378&lt;3),"Serious", AND(H378&gt;$D$1*-1,H378&lt;$D$1,OR(I378&lt;=$D$2*-1,J378&gt;=$D$2),G378/F378&lt;3),"Very serious", AND(H378&gt;$D$1*-1,H378&lt;$D$1,I378&gt;$D$1*-1,J378&lt;$D$1,G378/F378&gt;=3),"Very serious", AND(H378&gt;$D$1*-1,H378&lt;$D$1,OR(I378&lt;=$D$1*-1,J378&gt;=$D$1),I378&gt;$D$2*-1,J378&lt;$D$2,G378/F378&gt;=3),"Very serious", AND(H378&gt;$D$1*-1,H378&lt;$D$1,OR(I378&lt;=$D$2*-1,J378&gt;=$D$2),G378/F378&gt;=3),"Very serious")),"")</f>
        <v/>
      </c>
      <c r="R378" s="109" t="str">
        <f t="shared" si="47"/>
        <v/>
      </c>
      <c r="S378" s="64"/>
      <c r="T378" s="72"/>
      <c r="U378" s="72"/>
      <c r="V378" s="72"/>
      <c r="W378" s="73"/>
      <c r="X378" s="73"/>
      <c r="Y378" s="74"/>
      <c r="Z378" s="113" t="str">
        <f t="array" ref="Z378">INDEX($A$1:$C$500, MATCH(1,($B:$B=$B378)*($C:$C=$AB378),0),1)</f>
        <v/>
      </c>
      <c r="AA378" s="113" t="str">
        <f t="array" ref="AA378">INDEX($A$1:$C$500, MATCH(1,($B:$B=$AB378)*($C:$C=$B378),0),1)</f>
        <v/>
      </c>
      <c r="AB378" s="111"/>
      <c r="AC378" s="114" t="str">
        <f t="shared" si="2"/>
        <v/>
      </c>
      <c r="AD378" s="115" t="str">
        <f t="shared" si="3"/>
        <v/>
      </c>
      <c r="AE378" s="116" t="str">
        <f t="array" ref="AE378">INDEX($A$1:$C$500, MATCH(1,($B:$B=$AB378)*($C:$C=$AG378),0),1)</f>
        <v/>
      </c>
      <c r="AF378" s="116" t="str">
        <f t="array" ref="AF378">INDEX($A$1:$C$500, MATCH(1,($B:$B=$AG378)*($C:$C=$AB378),0),1)</f>
        <v/>
      </c>
      <c r="AG378" s="72"/>
      <c r="AH378" s="114" t="str">
        <f t="shared" si="4"/>
        <v/>
      </c>
      <c r="AI378" s="115" t="str">
        <f t="shared" si="5"/>
        <v/>
      </c>
      <c r="AJ378" s="116" t="str">
        <f t="array" ref="AJ378">INDEX($A$1:$C$500, MATCH(1,($B:$B=$C378)*($C:$C=$AG378),0),1)</f>
        <v/>
      </c>
      <c r="AK378" s="116" t="str">
        <f t="array" ref="AK378">INDEX($A$1:$C$500, MATCH(1,($B:$B=$AG378)*($C:$C=$C378),0),1)</f>
        <v/>
      </c>
      <c r="AL378" s="116" t="str">
        <f t="array" ref="AL378">INDEX($A$1:$C$500, MATCH(1,($B:$B=$C378)*($C:$C=$AB378),0),1)</f>
        <v/>
      </c>
      <c r="AM378" s="116" t="str">
        <f t="array" ref="AM378">INDEX($A$1:$C$500, MATCH(1,($B:$B=$AB378)*($C:$C=$C378),0),1)</f>
        <v/>
      </c>
      <c r="AN378" s="114" t="str">
        <f t="array" ref="AN378">IFS(ISNUMBER(AJ378),AJ378,ISNUMBER(AK378),AK378,ISNUMBER(AL378),AL378,ISNUMBER(AM378),AM378)</f>
        <v>#N/A</v>
      </c>
      <c r="AO378" s="115" t="str">
        <f t="shared" si="6"/>
        <v/>
      </c>
      <c r="AP378" s="115" t="str">
        <f t="shared" si="7"/>
        <v/>
      </c>
      <c r="AQ378" s="111"/>
      <c r="AR378" s="109" t="str">
        <f t="shared" si="8"/>
        <v/>
      </c>
      <c r="AS378" s="72" t="str">
        <f>IFERROR(IF(AND(Preferences!B$3="Manual",OR(AX378/AW378&gt;V378/U378,BD378="Serious",BD378="Very serious")),"Assess imprecision",IFERROR(IFS(AND(Preferences!B$3="Automatic",V378/U378&gt;=30),"Extremely serious",AND(W378&lt;=$D$1*-1,Y378&lt;0,V378/U378&lt;3),"Not Serious",AND(W378&lt;=$D$1*-1,Y378&lt;0,V378/U378&gt;=3),"Very serious",AND(W378&gt;=$D$1,X378&gt;0,V378/U378&lt;3),"Not Serious",AND(W378&gt;=$D$1,X378&gt;0,V378/U378&gt;=3),"Very serious",AND(W378&lt;=$D$1*-1,Y378&gt;0,X378&gt;$D$2*-1,V378/U378&lt;3),"Serious", AND(W378&lt;=$D$1*-1,Y378&gt;0,X378&lt;$D$2*-1,V378/U378&lt;3),"Very serious", AND(W378&gt;=$D$1,X378&lt;0,Y378&lt;$D$2,V378/U378&lt;3),"Serious",AND(W378&gt;=$D$1,X378&lt;0,Y378&gt;$D$2,V378/U378&lt;3),"Very serious", AND(W378&lt;=$D$1*-1,Y378&gt;0,X378&gt;$D$2*-1,V378/U378&gt;=3),"Very serious", AND(W378&lt;=$D$1*-1,Y378&gt;0,X378&lt;$D$2*-1,V378/U378&gt;=3),"Very serious", AND(W378&gt;=$D$1,X378&lt;0,Y378&lt;$D$2,V378/U378&gt;=3),"Very serious", AND(W378&gt;=$D$1,X378&lt;0,Y378&gt;$D$2,V378/U378&gt;=3),"Very serious", AND(W378&gt;$D$1*-1,W378&lt;$D$1,X378&gt;$D$1*-1,Y378&lt;$D$1,V378/U378&lt;3),"Not Serious", AND(W378&gt;$D$1*-1,W378&lt;$D$1,OR(X378&lt;=$D$1*-1,Y378&gt;=$D$1),X378&gt;$D$2*-1,Y378&lt;$D$2,V378/U378&lt;3),"Serious", AND(W378&gt;$D$1*-1,W378&lt;$D$1,OR(X378&lt;=$D$2*-1,Y378&gt;=$D$2),V378/U378&lt;3),"Very serious", AND(W378&gt;$D$1*-1,W378&lt;$D$1,X378&gt;$D$1*-1,Y378&lt;$D$1,V378/U378&gt;=3),"Very serious", AND(W378&gt;$D$1*-1,W378&lt;$D$1,OR(X378&lt;=$D$1*-1,Y378&gt;=$D$1),X378&gt;$D$2*-1,Y378&lt;$D$2,V378/U378&gt;=3),"Very serious", AND(W378&gt;$D$1*-1,W378&lt;$D$1,OR(X378&lt;=$D$2*-1,Y378&gt;=$D$2),V378/U378&gt;=3),"Very serious"),"")),"")</f>
        <v/>
      </c>
      <c r="AT378" s="109" t="str">
        <f t="shared" si="9"/>
        <v/>
      </c>
      <c r="AU378" s="64"/>
      <c r="AV378" s="83"/>
      <c r="AW378" s="83"/>
      <c r="AX378" s="83"/>
      <c r="AY378" s="83"/>
      <c r="AZ378" s="83"/>
      <c r="BA378" s="85"/>
      <c r="BB378" s="86" t="str">
        <f>IF(Preferences!B$9="Manual","",IFS(ISBLANK(B378),"",AND(ISNUMBER(E378)=TRUE,ISNUMBER(T378)=FALSE),"Direct", AND(ISNUMBER(E378)=FALSE,ISNUMBER(T378)=TRUE),"Indirect", CN378=4,"Direct",AND(CL378=FALSE, CM378=TRUE,CN378-CO378&gt;-1),"Direct", AND(CL378=FALSE,CM378=TRUE, CN378-CO378&lt;0),"Check algorithm in appendix 2", AND(CL378=TRUE, CM378=FALSE,CN378-CO378&gt;0),"Check algorithm in appendix 2", AND(CL378=TRUE, CM378=FALSE,CN378-CO378=0),"Indirect", AND(CL378=TRUE, CM378=FALSE,CN378-CO378&lt;0),"Indirect", AND(CL378=FALSE,CM378=FALSE,CN378-CO378&gt;-1),"Direct", AND(CL378=FALSE,CM378=FALSE,CN378-CO378&lt;0),"Check algorithm in appendix 2", AND(CL378=TRUE,CM378=TRUE,CN378-CO378&gt;-1),"Direct", AND(CL378=TRUE,CM378=TRUE,CN378-CO378&lt;0),"Check algorithm in appendix 2"))</f>
        <v/>
      </c>
      <c r="BC378" s="120" t="str">
        <f t="shared" si="10"/>
        <v/>
      </c>
      <c r="BD378" s="140"/>
      <c r="BE378" s="122" t="str">
        <f>IF(Preferences!B$3="Manual","", IFERROR(IFS(AND(Preferences!B$3="Automatic",AX378/AW378&gt;=30),"Extremely serious",AND(AY378&lt;=$D$1*-1,BA378&lt;0,AX378/AW378&lt;3),"Not Serious",AND(AY378&lt;=$D$1*-1,BA378&lt;0,AX378/AW378&gt;=3),"Very serious",AND(AY378&gt;=$D$1,AZ378&gt;0,AX378/AW378&lt;3),"Not Serious",AND(AY378&gt;=$D$1,AZ378&gt;0,AX378/AW378&gt;=3),"Very serious",AND(AY378&lt;=$D$1*-1,BA378&gt;0,AZ378&gt;$D$2*-1,AX378/AW378&lt;3),"Serious", AND(AY378&lt;=$D$1*-1,BA378&gt;0,AZ378&lt;$D$2*-1,AX378/AW378&lt;3),"Very serious", AND(AY378&gt;=$D$1,AZ378&lt;0,BA378&lt;$D$2,AX378/AW378&lt;3),"Serious",AND(AY378&gt;=$D$1,AZ378&lt;0,BA378&gt;$D$2,AX378/AW378&lt;3),"Very serious", AND(AY378&lt;=$D$1*-1,BA378&gt;0,AZ378&gt;$D$2*-1,AX378/AW378&gt;=3),"Very serious", AND(AY378&lt;=$D$1*-1,BA378&gt;0,AZ378&lt;$D$2*-1,AX378/AW378&gt;=3),"Very serious", AND(AY378&gt;=$D$1,AZ378&lt;0,BA378&lt;$D$2,AX378/AW378&gt;=3),"Very serious", AND(AY378&gt;=$D$1,AZ378&lt;0,BA378&gt;$D$2,AX378/AW378&gt;=3),"Very serious", AND(AY378&gt;$D$1*-1,AY378&lt;$D$1,AZ378&gt;$D$1*-1,BA378&lt;$D$1,AX378/AW378&lt;3),"Not Serious", AND(AY378&gt;$D$1*-1,AY378&lt;$D$1,OR(AZ378&lt;=$D$1*-1,BA378&gt;=$D$1),AZ378&gt;$D$2*-1,BA378&lt;$D$2,AX378/AW378&lt;3),"Serious", AND(AY378&gt;$D$1*-1,AY378&lt;$D$1,OR(AZ378&lt;=$D$2*-1,BA378&gt;=$D$2),AX378/AW378&lt;3),"Very serious", AND(AY378&gt;$D$1*-1,AY378&lt;$D$1,AZ378&gt;$D$1*-1,BA378&lt;$D$1,AX378/AW378&gt;=3),"Very serious", AND(AY378&gt;$D$1*-1,AY378&lt;$D$1,OR(AZ378&lt;=$D$1*-1,BA378&gt;=$D$1),AZ378&gt;$D$2*-1,BA378&lt;$D$2,AX378/AW378&gt;=3),"Very serious", AND(AY378&gt;$D$1*-1,AY378&lt;$D$1,OR(AZ378&lt;=$D$2*-1,BA378&gt;=$D$2),AX378/AW378&gt;=3),"Very serious"),""))</f>
        <v/>
      </c>
      <c r="BF378" s="107" t="str">
        <f t="shared" si="11"/>
        <v/>
      </c>
      <c r="BG378" s="94" t="str">
        <f t="shared" si="46"/>
        <v/>
      </c>
      <c r="BH378" s="64" t="str">
        <f t="shared" si="12"/>
        <v>#N/A</v>
      </c>
      <c r="BI378" s="64" t="str">
        <f t="shared" si="13"/>
        <v/>
      </c>
      <c r="BJ378" s="123" t="str">
        <f t="shared" si="14"/>
        <v>#N/A</v>
      </c>
      <c r="BK378" s="64" t="str">
        <f t="shared" si="50"/>
        <v>YES</v>
      </c>
      <c r="BL378" s="64" t="str">
        <f t="shared" si="16"/>
        <v>YES</v>
      </c>
      <c r="BM378" s="64" t="str">
        <f t="shared" si="17"/>
        <v>YES</v>
      </c>
      <c r="BN378" s="124" t="str">
        <f t="shared" si="18"/>
        <v/>
      </c>
      <c r="BO378" s="91" t="str">
        <f t="shared" si="19"/>
        <v/>
      </c>
      <c r="BP378" s="91" t="str">
        <f t="shared" si="20"/>
        <v>#N/A</v>
      </c>
      <c r="BQ378" s="91" t="str">
        <f t="shared" si="21"/>
        <v/>
      </c>
      <c r="BR378" s="93" t="str">
        <f t="shared" si="22"/>
        <v/>
      </c>
      <c r="BS378" s="90" t="str">
        <f t="shared" si="23"/>
        <v/>
      </c>
      <c r="BT378" s="93" t="str">
        <f t="shared" si="24"/>
        <v>NA</v>
      </c>
      <c r="BU378" s="125" t="str">
        <f t="shared" si="25"/>
        <v>#N/A</v>
      </c>
      <c r="BV378" s="93" t="str">
        <f t="shared" si="26"/>
        <v/>
      </c>
      <c r="BW378" s="93" t="str">
        <f t="shared" si="27"/>
        <v/>
      </c>
      <c r="BX378" s="93" t="str">
        <f t="shared" si="28"/>
        <v>NA</v>
      </c>
      <c r="BY378" s="95" t="str">
        <f t="shared" si="29"/>
        <v>#N/A</v>
      </c>
      <c r="BZ378" s="93" t="str">
        <f t="shared" si="30"/>
        <v/>
      </c>
      <c r="CA378" s="93" t="str">
        <f t="shared" si="31"/>
        <v/>
      </c>
      <c r="CB378" s="93" t="str">
        <f t="shared" si="32"/>
        <v>NA</v>
      </c>
      <c r="CC378" s="96" t="str">
        <f t="shared" si="33"/>
        <v>#N/A</v>
      </c>
      <c r="CD378" s="93" t="str">
        <f t="shared" si="34"/>
        <v/>
      </c>
      <c r="CE378" s="93" t="str">
        <f t="shared" si="35"/>
        <v/>
      </c>
      <c r="CF378" s="93" t="str">
        <f t="shared" si="36"/>
        <v>NA</v>
      </c>
      <c r="CG378" s="97" t="str">
        <f t="shared" si="37"/>
        <v>#N/A</v>
      </c>
      <c r="CH378" s="98" t="str">
        <f t="shared" si="38"/>
        <v>#N/A</v>
      </c>
      <c r="CI378" s="99" t="str">
        <f t="shared" si="39"/>
        <v>#N/A</v>
      </c>
      <c r="CJ378" s="126" t="str">
        <f t="shared" si="40"/>
        <v>ERROR: check cell</v>
      </c>
      <c r="CK378" s="126"/>
      <c r="CL378" s="127" t="str">
        <f t="shared" si="41"/>
        <v>#DIV/0!</v>
      </c>
      <c r="CM378" s="128" t="str">
        <f t="shared" si="42"/>
        <v>#DIV/0!</v>
      </c>
      <c r="CN378" s="128">
        <f t="shared" si="43"/>
        <v>4</v>
      </c>
      <c r="CO378" s="129">
        <f t="shared" si="44"/>
        <v>4</v>
      </c>
      <c r="CP378" s="129" t="str">
        <f>IFS(C378=Preferences!B$13,B378,B378=Preferences!B$13,C378)</f>
        <v>#N/A</v>
      </c>
    </row>
    <row r="379" ht="13.5" customHeight="1">
      <c r="A379" s="63" t="str">
        <f t="shared" si="45"/>
        <v/>
      </c>
      <c r="B379" s="64"/>
      <c r="C379" s="64"/>
      <c r="D379" s="64"/>
      <c r="E379" s="65"/>
      <c r="F379" s="65"/>
      <c r="G379" s="65"/>
      <c r="H379" s="66"/>
      <c r="I379" s="66"/>
      <c r="J379" s="67"/>
      <c r="K379" s="68"/>
      <c r="L379" s="104"/>
      <c r="M379" s="104"/>
      <c r="N379" s="104"/>
      <c r="O379" s="104"/>
      <c r="P379" s="107" t="str">
        <f t="shared" si="1"/>
        <v/>
      </c>
      <c r="Q379" s="108" t="str">
        <f>IFERROR(IF(AND(Preferences!B$3="Manual",OR(AX379/AW379&gt;G379/F379,BD379="Serious",BD379="Very serious")),"Assess imprecision",IFS(ISBLANK(E379),"",AND(Preferences!B$3="Automatic", G379/F379&gt;=30),"Extremely serious",AND(H379&lt;=$D$1*-1,J379&lt;0,G379/F379&lt;3),"Not serious",AND(H379&lt;=$D$1*-1,J379&lt;0,G379/F379&gt;=3),"Very serious",AND(H379&gt;=$D$1,I379&gt;0,G379/F379&lt;3),"Not serious",AND(H379&gt;=$D$1,I379&gt;0,G379/F379&gt;=3),"Very serious",AND(H379&lt;=$D$1*-1,J379&gt;0,I379&gt;$D$2*-1,G379/F379&lt;3),"Serious", AND(H379&lt;=$D$1*-1,J379&gt;0,I379&lt;$D$2*-1,G379/F379&lt;3),"Very serious", AND(H379&gt;=$D$1,I379&lt;0,J379&lt;$D$2,G379/F379&lt;3),"Serious",AND(H379&gt;=$D$1,I379&lt;0,J379&gt;$D$2,G379/F379&lt;3),"Very serious", AND(H379&lt;=$D$1*-1,J379&gt;0,I379&gt;$D$2*-1,G379/F379&gt;=3),"Very serious", AND(H379&lt;=$D$1*-1,J379&gt;0,I379&lt;$D$2*-1,G379/F379&gt;=3),"Very serious", AND(H379&gt;=$D$1,I379&lt;0,J379&lt;$D$2,G379/F379&gt;=3),"Very serious", AND(H379&gt;=$D$1,I379&lt;0,J379&gt;$D$2,G379/F379&gt;=3),"Very serious", AND(H379&gt;$D$1*-1,H379&lt;$D$1,I379&gt;$D$1*-1,J379&lt;$D$1,G379/F379&lt;3),"Not serious", AND(H379&gt;$D$1*-1,H379&lt;$D$1,OR(I379&lt;=$D$1*-1,J379&gt;=$D$1),I379&gt;$D$2*-1,J379&lt;$D$2,G379/F379&lt;3),"Serious", AND(H379&gt;$D$1*-1,H379&lt;$D$1,OR(I379&lt;=$D$2*-1,J379&gt;=$D$2),G379/F379&lt;3),"Very serious", AND(H379&gt;$D$1*-1,H379&lt;$D$1,I379&gt;$D$1*-1,J379&lt;$D$1,G379/F379&gt;=3),"Very serious", AND(H379&gt;$D$1*-1,H379&lt;$D$1,OR(I379&lt;=$D$1*-1,J379&gt;=$D$1),I379&gt;$D$2*-1,J379&lt;$D$2,G379/F379&gt;=3),"Very serious", AND(H379&gt;$D$1*-1,H379&lt;$D$1,OR(I379&lt;=$D$2*-1,J379&gt;=$D$2),G379/F379&gt;=3),"Very serious")),"")</f>
        <v/>
      </c>
      <c r="R379" s="109" t="str">
        <f t="shared" si="47"/>
        <v/>
      </c>
      <c r="S379" s="64"/>
      <c r="T379" s="72"/>
      <c r="U379" s="72"/>
      <c r="V379" s="72"/>
      <c r="W379" s="73"/>
      <c r="X379" s="73"/>
      <c r="Y379" s="74"/>
      <c r="Z379" s="113" t="str">
        <f t="array" ref="Z379">INDEX($A$1:$C$500, MATCH(1,($B:$B=$B379)*($C:$C=$AB379),0),1)</f>
        <v/>
      </c>
      <c r="AA379" s="113" t="str">
        <f t="array" ref="AA379">INDEX($A$1:$C$500, MATCH(1,($B:$B=$AB379)*($C:$C=$B379),0),1)</f>
        <v/>
      </c>
      <c r="AB379" s="111"/>
      <c r="AC379" s="114" t="str">
        <f t="shared" si="2"/>
        <v/>
      </c>
      <c r="AD379" s="115" t="str">
        <f t="shared" si="3"/>
        <v/>
      </c>
      <c r="AE379" s="116" t="str">
        <f t="array" ref="AE379">INDEX($A$1:$C$500, MATCH(1,($B:$B=$AB379)*($C:$C=$AG379),0),1)</f>
        <v/>
      </c>
      <c r="AF379" s="116" t="str">
        <f t="array" ref="AF379">INDEX($A$1:$C$500, MATCH(1,($B:$B=$AG379)*($C:$C=$AB379),0),1)</f>
        <v/>
      </c>
      <c r="AG379" s="72"/>
      <c r="AH379" s="114" t="str">
        <f t="shared" si="4"/>
        <v/>
      </c>
      <c r="AI379" s="115" t="str">
        <f t="shared" si="5"/>
        <v/>
      </c>
      <c r="AJ379" s="116" t="str">
        <f t="array" ref="AJ379">INDEX($A$1:$C$500, MATCH(1,($B:$B=$C379)*($C:$C=$AG379),0),1)</f>
        <v/>
      </c>
      <c r="AK379" s="116" t="str">
        <f t="array" ref="AK379">INDEX($A$1:$C$500, MATCH(1,($B:$B=$AG379)*($C:$C=$C379),0),1)</f>
        <v/>
      </c>
      <c r="AL379" s="116" t="str">
        <f t="array" ref="AL379">INDEX($A$1:$C$500, MATCH(1,($B:$B=$C379)*($C:$C=$AB379),0),1)</f>
        <v/>
      </c>
      <c r="AM379" s="116" t="str">
        <f t="array" ref="AM379">INDEX($A$1:$C$500, MATCH(1,($B:$B=$AB379)*($C:$C=$C379),0),1)</f>
        <v/>
      </c>
      <c r="AN379" s="114" t="str">
        <f t="array" ref="AN379">IFS(ISNUMBER(AJ379),AJ379,ISNUMBER(AK379),AK379,ISNUMBER(AL379),AL379,ISNUMBER(AM379),AM379)</f>
        <v>#N/A</v>
      </c>
      <c r="AO379" s="115" t="str">
        <f t="shared" si="6"/>
        <v/>
      </c>
      <c r="AP379" s="115" t="str">
        <f t="shared" si="7"/>
        <v/>
      </c>
      <c r="AQ379" s="111"/>
      <c r="AR379" s="109" t="str">
        <f t="shared" si="8"/>
        <v/>
      </c>
      <c r="AS379" s="72" t="str">
        <f>IFERROR(IF(AND(Preferences!B$3="Manual",OR(AX379/AW379&gt;V379/U379,BD379="Serious",BD379="Very serious")),"Assess imprecision",IFERROR(IFS(AND(Preferences!B$3="Automatic",V379/U379&gt;=30),"Extremely serious",AND(W379&lt;=$D$1*-1,Y379&lt;0,V379/U379&lt;3),"Not Serious",AND(W379&lt;=$D$1*-1,Y379&lt;0,V379/U379&gt;=3),"Very serious",AND(W379&gt;=$D$1,X379&gt;0,V379/U379&lt;3),"Not Serious",AND(W379&gt;=$D$1,X379&gt;0,V379/U379&gt;=3),"Very serious",AND(W379&lt;=$D$1*-1,Y379&gt;0,X379&gt;$D$2*-1,V379/U379&lt;3),"Serious", AND(W379&lt;=$D$1*-1,Y379&gt;0,X379&lt;$D$2*-1,V379/U379&lt;3),"Very serious", AND(W379&gt;=$D$1,X379&lt;0,Y379&lt;$D$2,V379/U379&lt;3),"Serious",AND(W379&gt;=$D$1,X379&lt;0,Y379&gt;$D$2,V379/U379&lt;3),"Very serious", AND(W379&lt;=$D$1*-1,Y379&gt;0,X379&gt;$D$2*-1,V379/U379&gt;=3),"Very serious", AND(W379&lt;=$D$1*-1,Y379&gt;0,X379&lt;$D$2*-1,V379/U379&gt;=3),"Very serious", AND(W379&gt;=$D$1,X379&lt;0,Y379&lt;$D$2,V379/U379&gt;=3),"Very serious", AND(W379&gt;=$D$1,X379&lt;0,Y379&gt;$D$2,V379/U379&gt;=3),"Very serious", AND(W379&gt;$D$1*-1,W379&lt;$D$1,X379&gt;$D$1*-1,Y379&lt;$D$1,V379/U379&lt;3),"Not Serious", AND(W379&gt;$D$1*-1,W379&lt;$D$1,OR(X379&lt;=$D$1*-1,Y379&gt;=$D$1),X379&gt;$D$2*-1,Y379&lt;$D$2,V379/U379&lt;3),"Serious", AND(W379&gt;$D$1*-1,W379&lt;$D$1,OR(X379&lt;=$D$2*-1,Y379&gt;=$D$2),V379/U379&lt;3),"Very serious", AND(W379&gt;$D$1*-1,W379&lt;$D$1,X379&gt;$D$1*-1,Y379&lt;$D$1,V379/U379&gt;=3),"Very serious", AND(W379&gt;$D$1*-1,W379&lt;$D$1,OR(X379&lt;=$D$1*-1,Y379&gt;=$D$1),X379&gt;$D$2*-1,Y379&lt;$D$2,V379/U379&gt;=3),"Very serious", AND(W379&gt;$D$1*-1,W379&lt;$D$1,OR(X379&lt;=$D$2*-1,Y379&gt;=$D$2),V379/U379&gt;=3),"Very serious"),"")),"")</f>
        <v/>
      </c>
      <c r="AT379" s="109" t="str">
        <f t="shared" si="9"/>
        <v/>
      </c>
      <c r="AU379" s="64"/>
      <c r="AV379" s="83"/>
      <c r="AW379" s="83"/>
      <c r="AX379" s="83"/>
      <c r="AY379" s="83"/>
      <c r="AZ379" s="83"/>
      <c r="BA379" s="85"/>
      <c r="BB379" s="86" t="str">
        <f>IF(Preferences!B$9="Manual","",IFS(ISBLANK(B379),"",AND(ISNUMBER(E379)=TRUE,ISNUMBER(T379)=FALSE),"Direct", AND(ISNUMBER(E379)=FALSE,ISNUMBER(T379)=TRUE),"Indirect", CN379=4,"Direct",AND(CL379=FALSE, CM379=TRUE,CN379-CO379&gt;-1),"Direct", AND(CL379=FALSE,CM379=TRUE, CN379-CO379&lt;0),"Check algorithm in appendix 2", AND(CL379=TRUE, CM379=FALSE,CN379-CO379&gt;0),"Check algorithm in appendix 2", AND(CL379=TRUE, CM379=FALSE,CN379-CO379=0),"Indirect", AND(CL379=TRUE, CM379=FALSE,CN379-CO379&lt;0),"Indirect", AND(CL379=FALSE,CM379=FALSE,CN379-CO379&gt;-1),"Direct", AND(CL379=FALSE,CM379=FALSE,CN379-CO379&lt;0),"Check algorithm in appendix 2", AND(CL379=TRUE,CM379=TRUE,CN379-CO379&gt;-1),"Direct", AND(CL379=TRUE,CM379=TRUE,CN379-CO379&lt;0),"Check algorithm in appendix 2"))</f>
        <v/>
      </c>
      <c r="BC379" s="120" t="str">
        <f t="shared" si="10"/>
        <v/>
      </c>
      <c r="BD379" s="140"/>
      <c r="BE379" s="122" t="str">
        <f>IF(Preferences!B$3="Manual","", IFERROR(IFS(AND(Preferences!B$3="Automatic",AX379/AW379&gt;=30),"Extremely serious",AND(AY379&lt;=$D$1*-1,BA379&lt;0,AX379/AW379&lt;3),"Not Serious",AND(AY379&lt;=$D$1*-1,BA379&lt;0,AX379/AW379&gt;=3),"Very serious",AND(AY379&gt;=$D$1,AZ379&gt;0,AX379/AW379&lt;3),"Not Serious",AND(AY379&gt;=$D$1,AZ379&gt;0,AX379/AW379&gt;=3),"Very serious",AND(AY379&lt;=$D$1*-1,BA379&gt;0,AZ379&gt;$D$2*-1,AX379/AW379&lt;3),"Serious", AND(AY379&lt;=$D$1*-1,BA379&gt;0,AZ379&lt;$D$2*-1,AX379/AW379&lt;3),"Very serious", AND(AY379&gt;=$D$1,AZ379&lt;0,BA379&lt;$D$2,AX379/AW379&lt;3),"Serious",AND(AY379&gt;=$D$1,AZ379&lt;0,BA379&gt;$D$2,AX379/AW379&lt;3),"Very serious", AND(AY379&lt;=$D$1*-1,BA379&gt;0,AZ379&gt;$D$2*-1,AX379/AW379&gt;=3),"Very serious", AND(AY379&lt;=$D$1*-1,BA379&gt;0,AZ379&lt;$D$2*-1,AX379/AW379&gt;=3),"Very serious", AND(AY379&gt;=$D$1,AZ379&lt;0,BA379&lt;$D$2,AX379/AW379&gt;=3),"Very serious", AND(AY379&gt;=$D$1,AZ379&lt;0,BA379&gt;$D$2,AX379/AW379&gt;=3),"Very serious", AND(AY379&gt;$D$1*-1,AY379&lt;$D$1,AZ379&gt;$D$1*-1,BA379&lt;$D$1,AX379/AW379&lt;3),"Not Serious", AND(AY379&gt;$D$1*-1,AY379&lt;$D$1,OR(AZ379&lt;=$D$1*-1,BA379&gt;=$D$1),AZ379&gt;$D$2*-1,BA379&lt;$D$2,AX379/AW379&lt;3),"Serious", AND(AY379&gt;$D$1*-1,AY379&lt;$D$1,OR(AZ379&lt;=$D$2*-1,BA379&gt;=$D$2),AX379/AW379&lt;3),"Very serious", AND(AY379&gt;$D$1*-1,AY379&lt;$D$1,AZ379&gt;$D$1*-1,BA379&lt;$D$1,AX379/AW379&gt;=3),"Very serious", AND(AY379&gt;$D$1*-1,AY379&lt;$D$1,OR(AZ379&lt;=$D$1*-1,BA379&gt;=$D$1),AZ379&gt;$D$2*-1,BA379&lt;$D$2,AX379/AW379&gt;=3),"Very serious", AND(AY379&gt;$D$1*-1,AY379&lt;$D$1,OR(AZ379&lt;=$D$2*-1,BA379&gt;=$D$2),AX379/AW379&gt;=3),"Very serious"),""))</f>
        <v/>
      </c>
      <c r="BF379" s="107" t="str">
        <f t="shared" si="11"/>
        <v/>
      </c>
      <c r="BG379" s="94" t="str">
        <f t="shared" si="46"/>
        <v/>
      </c>
      <c r="BH379" s="64" t="str">
        <f t="shared" si="12"/>
        <v>#N/A</v>
      </c>
      <c r="BI379" s="64" t="str">
        <f t="shared" si="13"/>
        <v/>
      </c>
      <c r="BJ379" s="123" t="str">
        <f t="shared" si="14"/>
        <v>#N/A</v>
      </c>
      <c r="BK379" s="64" t="str">
        <f t="shared" si="50"/>
        <v>YES</v>
      </c>
      <c r="BL379" s="64" t="str">
        <f t="shared" si="16"/>
        <v>YES</v>
      </c>
      <c r="BM379" s="64" t="str">
        <f t="shared" si="17"/>
        <v>YES</v>
      </c>
      <c r="BN379" s="124" t="str">
        <f t="shared" si="18"/>
        <v/>
      </c>
      <c r="BO379" s="91" t="str">
        <f t="shared" si="19"/>
        <v/>
      </c>
      <c r="BP379" s="91" t="str">
        <f t="shared" si="20"/>
        <v>#N/A</v>
      </c>
      <c r="BQ379" s="91" t="str">
        <f t="shared" si="21"/>
        <v/>
      </c>
      <c r="BR379" s="93" t="str">
        <f t="shared" si="22"/>
        <v/>
      </c>
      <c r="BS379" s="90" t="str">
        <f t="shared" si="23"/>
        <v/>
      </c>
      <c r="BT379" s="93" t="str">
        <f t="shared" si="24"/>
        <v>NA</v>
      </c>
      <c r="BU379" s="125" t="str">
        <f t="shared" si="25"/>
        <v>#N/A</v>
      </c>
      <c r="BV379" s="93" t="str">
        <f t="shared" si="26"/>
        <v/>
      </c>
      <c r="BW379" s="93" t="str">
        <f t="shared" si="27"/>
        <v/>
      </c>
      <c r="BX379" s="93" t="str">
        <f t="shared" si="28"/>
        <v>NA</v>
      </c>
      <c r="BY379" s="95" t="str">
        <f t="shared" si="29"/>
        <v>#N/A</v>
      </c>
      <c r="BZ379" s="93" t="str">
        <f t="shared" si="30"/>
        <v/>
      </c>
      <c r="CA379" s="93" t="str">
        <f t="shared" si="31"/>
        <v/>
      </c>
      <c r="CB379" s="93" t="str">
        <f t="shared" si="32"/>
        <v>NA</v>
      </c>
      <c r="CC379" s="96" t="str">
        <f t="shared" si="33"/>
        <v>#N/A</v>
      </c>
      <c r="CD379" s="93" t="str">
        <f t="shared" si="34"/>
        <v/>
      </c>
      <c r="CE379" s="93" t="str">
        <f t="shared" si="35"/>
        <v/>
      </c>
      <c r="CF379" s="93" t="str">
        <f t="shared" si="36"/>
        <v>NA</v>
      </c>
      <c r="CG379" s="97" t="str">
        <f t="shared" si="37"/>
        <v>#N/A</v>
      </c>
      <c r="CH379" s="98" t="str">
        <f t="shared" si="38"/>
        <v>#N/A</v>
      </c>
      <c r="CI379" s="99" t="str">
        <f t="shared" si="39"/>
        <v>#N/A</v>
      </c>
      <c r="CJ379" s="126" t="str">
        <f t="shared" si="40"/>
        <v>ERROR: check cell</v>
      </c>
      <c r="CK379" s="126"/>
      <c r="CL379" s="127" t="str">
        <f t="shared" si="41"/>
        <v>#DIV/0!</v>
      </c>
      <c r="CM379" s="128" t="str">
        <f t="shared" si="42"/>
        <v>#DIV/0!</v>
      </c>
      <c r="CN379" s="128">
        <f t="shared" si="43"/>
        <v>4</v>
      </c>
      <c r="CO379" s="129">
        <f t="shared" si="44"/>
        <v>4</v>
      </c>
      <c r="CP379" s="129" t="str">
        <f>IFS(C379=Preferences!B$13,B379,B379=Preferences!B$13,C379)</f>
        <v>#N/A</v>
      </c>
    </row>
    <row r="380" ht="13.5" customHeight="1">
      <c r="A380" s="63" t="str">
        <f t="shared" si="45"/>
        <v/>
      </c>
      <c r="B380" s="64"/>
      <c r="C380" s="64"/>
      <c r="D380" s="64"/>
      <c r="E380" s="65"/>
      <c r="F380" s="65"/>
      <c r="G380" s="65"/>
      <c r="H380" s="66"/>
      <c r="I380" s="66"/>
      <c r="J380" s="67"/>
      <c r="K380" s="68"/>
      <c r="L380" s="104"/>
      <c r="M380" s="104"/>
      <c r="N380" s="104"/>
      <c r="O380" s="104"/>
      <c r="P380" s="107" t="str">
        <f t="shared" si="1"/>
        <v/>
      </c>
      <c r="Q380" s="108" t="str">
        <f>IFERROR(IF(AND(Preferences!B$3="Manual",OR(AX380/AW380&gt;G380/F380,BD380="Serious",BD380="Very serious")),"Assess imprecision",IFS(ISBLANK(E380),"",AND(Preferences!B$3="Automatic", G380/F380&gt;=30),"Extremely serious",AND(H380&lt;=$D$1*-1,J380&lt;0,G380/F380&lt;3),"Not serious",AND(H380&lt;=$D$1*-1,J380&lt;0,G380/F380&gt;=3),"Very serious",AND(H380&gt;=$D$1,I380&gt;0,G380/F380&lt;3),"Not serious",AND(H380&gt;=$D$1,I380&gt;0,G380/F380&gt;=3),"Very serious",AND(H380&lt;=$D$1*-1,J380&gt;0,I380&gt;$D$2*-1,G380/F380&lt;3),"Serious", AND(H380&lt;=$D$1*-1,J380&gt;0,I380&lt;$D$2*-1,G380/F380&lt;3),"Very serious", AND(H380&gt;=$D$1,I380&lt;0,J380&lt;$D$2,G380/F380&lt;3),"Serious",AND(H380&gt;=$D$1,I380&lt;0,J380&gt;$D$2,G380/F380&lt;3),"Very serious", AND(H380&lt;=$D$1*-1,J380&gt;0,I380&gt;$D$2*-1,G380/F380&gt;=3),"Very serious", AND(H380&lt;=$D$1*-1,J380&gt;0,I380&lt;$D$2*-1,G380/F380&gt;=3),"Very serious", AND(H380&gt;=$D$1,I380&lt;0,J380&lt;$D$2,G380/F380&gt;=3),"Very serious", AND(H380&gt;=$D$1,I380&lt;0,J380&gt;$D$2,G380/F380&gt;=3),"Very serious", AND(H380&gt;$D$1*-1,H380&lt;$D$1,I380&gt;$D$1*-1,J380&lt;$D$1,G380/F380&lt;3),"Not serious", AND(H380&gt;$D$1*-1,H380&lt;$D$1,OR(I380&lt;=$D$1*-1,J380&gt;=$D$1),I380&gt;$D$2*-1,J380&lt;$D$2,G380/F380&lt;3),"Serious", AND(H380&gt;$D$1*-1,H380&lt;$D$1,OR(I380&lt;=$D$2*-1,J380&gt;=$D$2),G380/F380&lt;3),"Very serious", AND(H380&gt;$D$1*-1,H380&lt;$D$1,I380&gt;$D$1*-1,J380&lt;$D$1,G380/F380&gt;=3),"Very serious", AND(H380&gt;$D$1*-1,H380&lt;$D$1,OR(I380&lt;=$D$1*-1,J380&gt;=$D$1),I380&gt;$D$2*-1,J380&lt;$D$2,G380/F380&gt;=3),"Very serious", AND(H380&gt;$D$1*-1,H380&lt;$D$1,OR(I380&lt;=$D$2*-1,J380&gt;=$D$2),G380/F380&gt;=3),"Very serious")),"")</f>
        <v/>
      </c>
      <c r="R380" s="109" t="str">
        <f t="shared" si="47"/>
        <v/>
      </c>
      <c r="S380" s="64"/>
      <c r="T380" s="72"/>
      <c r="U380" s="72"/>
      <c r="V380" s="72"/>
      <c r="W380" s="73"/>
      <c r="X380" s="73"/>
      <c r="Y380" s="74"/>
      <c r="Z380" s="113" t="str">
        <f t="array" ref="Z380">INDEX($A$1:$C$500, MATCH(1,($B:$B=$B380)*($C:$C=$AB380),0),1)</f>
        <v/>
      </c>
      <c r="AA380" s="113" t="str">
        <f t="array" ref="AA380">INDEX($A$1:$C$500, MATCH(1,($B:$B=$AB380)*($C:$C=$B380),0),1)</f>
        <v/>
      </c>
      <c r="AB380" s="111"/>
      <c r="AC380" s="114" t="str">
        <f t="shared" si="2"/>
        <v/>
      </c>
      <c r="AD380" s="115" t="str">
        <f t="shared" si="3"/>
        <v/>
      </c>
      <c r="AE380" s="116" t="str">
        <f t="array" ref="AE380">INDEX($A$1:$C$500, MATCH(1,($B:$B=$AB380)*($C:$C=$AG380),0),1)</f>
        <v/>
      </c>
      <c r="AF380" s="116" t="str">
        <f t="array" ref="AF380">INDEX($A$1:$C$500, MATCH(1,($B:$B=$AG380)*($C:$C=$AB380),0),1)</f>
        <v/>
      </c>
      <c r="AG380" s="72"/>
      <c r="AH380" s="114" t="str">
        <f t="shared" si="4"/>
        <v/>
      </c>
      <c r="AI380" s="115" t="str">
        <f t="shared" si="5"/>
        <v/>
      </c>
      <c r="AJ380" s="116" t="str">
        <f t="array" ref="AJ380">INDEX($A$1:$C$500, MATCH(1,($B:$B=$C380)*($C:$C=$AG380),0),1)</f>
        <v/>
      </c>
      <c r="AK380" s="116" t="str">
        <f t="array" ref="AK380">INDEX($A$1:$C$500, MATCH(1,($B:$B=$AG380)*($C:$C=$C380),0),1)</f>
        <v/>
      </c>
      <c r="AL380" s="116" t="str">
        <f t="array" ref="AL380">INDEX($A$1:$C$500, MATCH(1,($B:$B=$C380)*($C:$C=$AB380),0),1)</f>
        <v/>
      </c>
      <c r="AM380" s="116" t="str">
        <f t="array" ref="AM380">INDEX($A$1:$C$500, MATCH(1,($B:$B=$AB380)*($C:$C=$C380),0),1)</f>
        <v/>
      </c>
      <c r="AN380" s="114" t="str">
        <f t="array" ref="AN380">IFS(ISNUMBER(AJ380),AJ380,ISNUMBER(AK380),AK380,ISNUMBER(AL380),AL380,ISNUMBER(AM380),AM380)</f>
        <v>#N/A</v>
      </c>
      <c r="AO380" s="115" t="str">
        <f t="shared" si="6"/>
        <v/>
      </c>
      <c r="AP380" s="115" t="str">
        <f t="shared" si="7"/>
        <v/>
      </c>
      <c r="AQ380" s="111"/>
      <c r="AR380" s="109" t="str">
        <f t="shared" si="8"/>
        <v/>
      </c>
      <c r="AS380" s="72" t="str">
        <f>IFERROR(IF(AND(Preferences!B$3="Manual",OR(AX380/AW380&gt;V380/U380,BD380="Serious",BD380="Very serious")),"Assess imprecision",IFERROR(IFS(AND(Preferences!B$3="Automatic",V380/U380&gt;=30),"Extremely serious",AND(W380&lt;=$D$1*-1,Y380&lt;0,V380/U380&lt;3),"Not Serious",AND(W380&lt;=$D$1*-1,Y380&lt;0,V380/U380&gt;=3),"Very serious",AND(W380&gt;=$D$1,X380&gt;0,V380/U380&lt;3),"Not Serious",AND(W380&gt;=$D$1,X380&gt;0,V380/U380&gt;=3),"Very serious",AND(W380&lt;=$D$1*-1,Y380&gt;0,X380&gt;$D$2*-1,V380/U380&lt;3),"Serious", AND(W380&lt;=$D$1*-1,Y380&gt;0,X380&lt;$D$2*-1,V380/U380&lt;3),"Very serious", AND(W380&gt;=$D$1,X380&lt;0,Y380&lt;$D$2,V380/U380&lt;3),"Serious",AND(W380&gt;=$D$1,X380&lt;0,Y380&gt;$D$2,V380/U380&lt;3),"Very serious", AND(W380&lt;=$D$1*-1,Y380&gt;0,X380&gt;$D$2*-1,V380/U380&gt;=3),"Very serious", AND(W380&lt;=$D$1*-1,Y380&gt;0,X380&lt;$D$2*-1,V380/U380&gt;=3),"Very serious", AND(W380&gt;=$D$1,X380&lt;0,Y380&lt;$D$2,V380/U380&gt;=3),"Very serious", AND(W380&gt;=$D$1,X380&lt;0,Y380&gt;$D$2,V380/U380&gt;=3),"Very serious", AND(W380&gt;$D$1*-1,W380&lt;$D$1,X380&gt;$D$1*-1,Y380&lt;$D$1,V380/U380&lt;3),"Not Serious", AND(W380&gt;$D$1*-1,W380&lt;$D$1,OR(X380&lt;=$D$1*-1,Y380&gt;=$D$1),X380&gt;$D$2*-1,Y380&lt;$D$2,V380/U380&lt;3),"Serious", AND(W380&gt;$D$1*-1,W380&lt;$D$1,OR(X380&lt;=$D$2*-1,Y380&gt;=$D$2),V380/U380&lt;3),"Very serious", AND(W380&gt;$D$1*-1,W380&lt;$D$1,X380&gt;$D$1*-1,Y380&lt;$D$1,V380/U380&gt;=3),"Very serious", AND(W380&gt;$D$1*-1,W380&lt;$D$1,OR(X380&lt;=$D$1*-1,Y380&gt;=$D$1),X380&gt;$D$2*-1,Y380&lt;$D$2,V380/U380&gt;=3),"Very serious", AND(W380&gt;$D$1*-1,W380&lt;$D$1,OR(X380&lt;=$D$2*-1,Y380&gt;=$D$2),V380/U380&gt;=3),"Very serious"),"")),"")</f>
        <v/>
      </c>
      <c r="AT380" s="109" t="str">
        <f t="shared" si="9"/>
        <v/>
      </c>
      <c r="AU380" s="64"/>
      <c r="AV380" s="83"/>
      <c r="AW380" s="83"/>
      <c r="AX380" s="83"/>
      <c r="AY380" s="83"/>
      <c r="AZ380" s="83"/>
      <c r="BA380" s="85"/>
      <c r="BB380" s="86" t="str">
        <f>IF(Preferences!B$9="Manual","",IFS(ISBLANK(B380),"",AND(ISNUMBER(E380)=TRUE,ISNUMBER(T380)=FALSE),"Direct", AND(ISNUMBER(E380)=FALSE,ISNUMBER(T380)=TRUE),"Indirect", CN380=4,"Direct",AND(CL380=FALSE, CM380=TRUE,CN380-CO380&gt;-1),"Direct", AND(CL380=FALSE,CM380=TRUE, CN380-CO380&lt;0),"Check algorithm in appendix 2", AND(CL380=TRUE, CM380=FALSE,CN380-CO380&gt;0),"Check algorithm in appendix 2", AND(CL380=TRUE, CM380=FALSE,CN380-CO380=0),"Indirect", AND(CL380=TRUE, CM380=FALSE,CN380-CO380&lt;0),"Indirect", AND(CL380=FALSE,CM380=FALSE,CN380-CO380&gt;-1),"Direct", AND(CL380=FALSE,CM380=FALSE,CN380-CO380&lt;0),"Check algorithm in appendix 2", AND(CL380=TRUE,CM380=TRUE,CN380-CO380&gt;-1),"Direct", AND(CL380=TRUE,CM380=TRUE,CN380-CO380&lt;0),"Check algorithm in appendix 2"))</f>
        <v/>
      </c>
      <c r="BC380" s="120" t="str">
        <f t="shared" si="10"/>
        <v/>
      </c>
      <c r="BD380" s="140"/>
      <c r="BE380" s="122" t="str">
        <f>IF(Preferences!B$3="Manual","", IFERROR(IFS(AND(Preferences!B$3="Automatic",AX380/AW380&gt;=30),"Extremely serious",AND(AY380&lt;=$D$1*-1,BA380&lt;0,AX380/AW380&lt;3),"Not Serious",AND(AY380&lt;=$D$1*-1,BA380&lt;0,AX380/AW380&gt;=3),"Very serious",AND(AY380&gt;=$D$1,AZ380&gt;0,AX380/AW380&lt;3),"Not Serious",AND(AY380&gt;=$D$1,AZ380&gt;0,AX380/AW380&gt;=3),"Very serious",AND(AY380&lt;=$D$1*-1,BA380&gt;0,AZ380&gt;$D$2*-1,AX380/AW380&lt;3),"Serious", AND(AY380&lt;=$D$1*-1,BA380&gt;0,AZ380&lt;$D$2*-1,AX380/AW380&lt;3),"Very serious", AND(AY380&gt;=$D$1,AZ380&lt;0,BA380&lt;$D$2,AX380/AW380&lt;3),"Serious",AND(AY380&gt;=$D$1,AZ380&lt;0,BA380&gt;$D$2,AX380/AW380&lt;3),"Very serious", AND(AY380&lt;=$D$1*-1,BA380&gt;0,AZ380&gt;$D$2*-1,AX380/AW380&gt;=3),"Very serious", AND(AY380&lt;=$D$1*-1,BA380&gt;0,AZ380&lt;$D$2*-1,AX380/AW380&gt;=3),"Very serious", AND(AY380&gt;=$D$1,AZ380&lt;0,BA380&lt;$D$2,AX380/AW380&gt;=3),"Very serious", AND(AY380&gt;=$D$1,AZ380&lt;0,BA380&gt;$D$2,AX380/AW380&gt;=3),"Very serious", AND(AY380&gt;$D$1*-1,AY380&lt;$D$1,AZ380&gt;$D$1*-1,BA380&lt;$D$1,AX380/AW380&lt;3),"Not Serious", AND(AY380&gt;$D$1*-1,AY380&lt;$D$1,OR(AZ380&lt;=$D$1*-1,BA380&gt;=$D$1),AZ380&gt;$D$2*-1,BA380&lt;$D$2,AX380/AW380&lt;3),"Serious", AND(AY380&gt;$D$1*-1,AY380&lt;$D$1,OR(AZ380&lt;=$D$2*-1,BA380&gt;=$D$2),AX380/AW380&lt;3),"Very serious", AND(AY380&gt;$D$1*-1,AY380&lt;$D$1,AZ380&gt;$D$1*-1,BA380&lt;$D$1,AX380/AW380&gt;=3),"Very serious", AND(AY380&gt;$D$1*-1,AY380&lt;$D$1,OR(AZ380&lt;=$D$1*-1,BA380&gt;=$D$1),AZ380&gt;$D$2*-1,BA380&lt;$D$2,AX380/AW380&gt;=3),"Very serious", AND(AY380&gt;$D$1*-1,AY380&lt;$D$1,OR(AZ380&lt;=$D$2*-1,BA380&gt;=$D$2),AX380/AW380&gt;=3),"Very serious"),""))</f>
        <v/>
      </c>
      <c r="BF380" s="107" t="str">
        <f t="shared" si="11"/>
        <v/>
      </c>
      <c r="BG380" s="94" t="str">
        <f t="shared" si="46"/>
        <v/>
      </c>
      <c r="BH380" s="64" t="str">
        <f t="shared" si="12"/>
        <v>#N/A</v>
      </c>
      <c r="BI380" s="64" t="str">
        <f t="shared" si="13"/>
        <v/>
      </c>
      <c r="BJ380" s="123" t="str">
        <f t="shared" si="14"/>
        <v>#N/A</v>
      </c>
      <c r="BK380" s="64" t="str">
        <f t="shared" si="50"/>
        <v>YES</v>
      </c>
      <c r="BL380" s="64" t="str">
        <f t="shared" si="16"/>
        <v>YES</v>
      </c>
      <c r="BM380" s="64" t="str">
        <f t="shared" si="17"/>
        <v>YES</v>
      </c>
      <c r="BN380" s="124" t="str">
        <f t="shared" si="18"/>
        <v/>
      </c>
      <c r="BO380" s="91" t="str">
        <f t="shared" si="19"/>
        <v/>
      </c>
      <c r="BP380" s="91" t="str">
        <f t="shared" si="20"/>
        <v>#N/A</v>
      </c>
      <c r="BQ380" s="91" t="str">
        <f t="shared" si="21"/>
        <v/>
      </c>
      <c r="BR380" s="93" t="str">
        <f t="shared" si="22"/>
        <v/>
      </c>
      <c r="BS380" s="90" t="str">
        <f t="shared" si="23"/>
        <v/>
      </c>
      <c r="BT380" s="93" t="str">
        <f t="shared" si="24"/>
        <v>NA</v>
      </c>
      <c r="BU380" s="125" t="str">
        <f t="shared" si="25"/>
        <v>#N/A</v>
      </c>
      <c r="BV380" s="93" t="str">
        <f t="shared" si="26"/>
        <v/>
      </c>
      <c r="BW380" s="93" t="str">
        <f t="shared" si="27"/>
        <v/>
      </c>
      <c r="BX380" s="93" t="str">
        <f t="shared" si="28"/>
        <v>NA</v>
      </c>
      <c r="BY380" s="95" t="str">
        <f t="shared" si="29"/>
        <v>#N/A</v>
      </c>
      <c r="BZ380" s="93" t="str">
        <f t="shared" si="30"/>
        <v/>
      </c>
      <c r="CA380" s="93" t="str">
        <f t="shared" si="31"/>
        <v/>
      </c>
      <c r="CB380" s="93" t="str">
        <f t="shared" si="32"/>
        <v>NA</v>
      </c>
      <c r="CC380" s="96" t="str">
        <f t="shared" si="33"/>
        <v>#N/A</v>
      </c>
      <c r="CD380" s="93" t="str">
        <f t="shared" si="34"/>
        <v/>
      </c>
      <c r="CE380" s="93" t="str">
        <f t="shared" si="35"/>
        <v/>
      </c>
      <c r="CF380" s="93" t="str">
        <f t="shared" si="36"/>
        <v>NA</v>
      </c>
      <c r="CG380" s="97" t="str">
        <f t="shared" si="37"/>
        <v>#N/A</v>
      </c>
      <c r="CH380" s="98" t="str">
        <f t="shared" si="38"/>
        <v>#N/A</v>
      </c>
      <c r="CI380" s="99" t="str">
        <f t="shared" si="39"/>
        <v>#N/A</v>
      </c>
      <c r="CJ380" s="126" t="str">
        <f t="shared" si="40"/>
        <v>ERROR: check cell</v>
      </c>
      <c r="CK380" s="126"/>
      <c r="CL380" s="127" t="str">
        <f t="shared" si="41"/>
        <v>#DIV/0!</v>
      </c>
      <c r="CM380" s="128" t="str">
        <f t="shared" si="42"/>
        <v>#DIV/0!</v>
      </c>
      <c r="CN380" s="128">
        <f t="shared" si="43"/>
        <v>4</v>
      </c>
      <c r="CO380" s="129">
        <f t="shared" si="44"/>
        <v>4</v>
      </c>
      <c r="CP380" s="129" t="str">
        <f>IFS(C380=Preferences!B$13,B380,B380=Preferences!B$13,C380)</f>
        <v>#N/A</v>
      </c>
    </row>
    <row r="381" ht="13.5" customHeight="1">
      <c r="A381" s="63" t="str">
        <f t="shared" si="45"/>
        <v/>
      </c>
      <c r="B381" s="64"/>
      <c r="C381" s="64"/>
      <c r="D381" s="64"/>
      <c r="E381" s="65"/>
      <c r="F381" s="65"/>
      <c r="G381" s="65"/>
      <c r="H381" s="66"/>
      <c r="I381" s="66"/>
      <c r="J381" s="67"/>
      <c r="K381" s="68"/>
      <c r="L381" s="104"/>
      <c r="M381" s="104"/>
      <c r="N381" s="104"/>
      <c r="O381" s="104"/>
      <c r="P381" s="107" t="str">
        <f t="shared" si="1"/>
        <v/>
      </c>
      <c r="Q381" s="108" t="str">
        <f>IFERROR(IF(AND(Preferences!B$3="Manual",OR(AX381/AW381&gt;G381/F381,BD381="Serious",BD381="Very serious")),"Assess imprecision",IFS(ISBLANK(E381),"",AND(Preferences!B$3="Automatic", G381/F381&gt;=30),"Extremely serious",AND(H381&lt;=$D$1*-1,J381&lt;0,G381/F381&lt;3),"Not serious",AND(H381&lt;=$D$1*-1,J381&lt;0,G381/F381&gt;=3),"Very serious",AND(H381&gt;=$D$1,I381&gt;0,G381/F381&lt;3),"Not serious",AND(H381&gt;=$D$1,I381&gt;0,G381/F381&gt;=3),"Very serious",AND(H381&lt;=$D$1*-1,J381&gt;0,I381&gt;$D$2*-1,G381/F381&lt;3),"Serious", AND(H381&lt;=$D$1*-1,J381&gt;0,I381&lt;$D$2*-1,G381/F381&lt;3),"Very serious", AND(H381&gt;=$D$1,I381&lt;0,J381&lt;$D$2,G381/F381&lt;3),"Serious",AND(H381&gt;=$D$1,I381&lt;0,J381&gt;$D$2,G381/F381&lt;3),"Very serious", AND(H381&lt;=$D$1*-1,J381&gt;0,I381&gt;$D$2*-1,G381/F381&gt;=3),"Very serious", AND(H381&lt;=$D$1*-1,J381&gt;0,I381&lt;$D$2*-1,G381/F381&gt;=3),"Very serious", AND(H381&gt;=$D$1,I381&lt;0,J381&lt;$D$2,G381/F381&gt;=3),"Very serious", AND(H381&gt;=$D$1,I381&lt;0,J381&gt;$D$2,G381/F381&gt;=3),"Very serious", AND(H381&gt;$D$1*-1,H381&lt;$D$1,I381&gt;$D$1*-1,J381&lt;$D$1,G381/F381&lt;3),"Not serious", AND(H381&gt;$D$1*-1,H381&lt;$D$1,OR(I381&lt;=$D$1*-1,J381&gt;=$D$1),I381&gt;$D$2*-1,J381&lt;$D$2,G381/F381&lt;3),"Serious", AND(H381&gt;$D$1*-1,H381&lt;$D$1,OR(I381&lt;=$D$2*-1,J381&gt;=$D$2),G381/F381&lt;3),"Very serious", AND(H381&gt;$D$1*-1,H381&lt;$D$1,I381&gt;$D$1*-1,J381&lt;$D$1,G381/F381&gt;=3),"Very serious", AND(H381&gt;$D$1*-1,H381&lt;$D$1,OR(I381&lt;=$D$1*-1,J381&gt;=$D$1),I381&gt;$D$2*-1,J381&lt;$D$2,G381/F381&gt;=3),"Very serious", AND(H381&gt;$D$1*-1,H381&lt;$D$1,OR(I381&lt;=$D$2*-1,J381&gt;=$D$2),G381/F381&gt;=3),"Very serious")),"")</f>
        <v/>
      </c>
      <c r="R381" s="109" t="str">
        <f t="shared" si="47"/>
        <v/>
      </c>
      <c r="S381" s="64"/>
      <c r="T381" s="72"/>
      <c r="U381" s="72"/>
      <c r="V381" s="72"/>
      <c r="W381" s="73"/>
      <c r="X381" s="73"/>
      <c r="Y381" s="74"/>
      <c r="Z381" s="113" t="str">
        <f t="array" ref="Z381">INDEX($A$1:$C$500, MATCH(1,($B:$B=$B381)*($C:$C=$AB381),0),1)</f>
        <v/>
      </c>
      <c r="AA381" s="113" t="str">
        <f t="array" ref="AA381">INDEX($A$1:$C$500, MATCH(1,($B:$B=$AB381)*($C:$C=$B381),0),1)</f>
        <v/>
      </c>
      <c r="AB381" s="111"/>
      <c r="AC381" s="114" t="str">
        <f t="shared" si="2"/>
        <v/>
      </c>
      <c r="AD381" s="115" t="str">
        <f t="shared" si="3"/>
        <v/>
      </c>
      <c r="AE381" s="116" t="str">
        <f t="array" ref="AE381">INDEX($A$1:$C$500, MATCH(1,($B:$B=$AB381)*($C:$C=$AG381),0),1)</f>
        <v/>
      </c>
      <c r="AF381" s="116" t="str">
        <f t="array" ref="AF381">INDEX($A$1:$C$500, MATCH(1,($B:$B=$AG381)*($C:$C=$AB381),0),1)</f>
        <v/>
      </c>
      <c r="AG381" s="72"/>
      <c r="AH381" s="114" t="str">
        <f t="shared" si="4"/>
        <v/>
      </c>
      <c r="AI381" s="115" t="str">
        <f t="shared" si="5"/>
        <v/>
      </c>
      <c r="AJ381" s="116" t="str">
        <f t="array" ref="AJ381">INDEX($A$1:$C$500, MATCH(1,($B:$B=$C381)*($C:$C=$AG381),0),1)</f>
        <v/>
      </c>
      <c r="AK381" s="116" t="str">
        <f t="array" ref="AK381">INDEX($A$1:$C$500, MATCH(1,($B:$B=$AG381)*($C:$C=$C381),0),1)</f>
        <v/>
      </c>
      <c r="AL381" s="116" t="str">
        <f t="array" ref="AL381">INDEX($A$1:$C$500, MATCH(1,($B:$B=$C381)*($C:$C=$AB381),0),1)</f>
        <v/>
      </c>
      <c r="AM381" s="116" t="str">
        <f t="array" ref="AM381">INDEX($A$1:$C$500, MATCH(1,($B:$B=$AB381)*($C:$C=$C381),0),1)</f>
        <v/>
      </c>
      <c r="AN381" s="114" t="str">
        <f t="array" ref="AN381">IFS(ISNUMBER(AJ381),AJ381,ISNUMBER(AK381),AK381,ISNUMBER(AL381),AL381,ISNUMBER(AM381),AM381)</f>
        <v>#N/A</v>
      </c>
      <c r="AO381" s="115" t="str">
        <f t="shared" si="6"/>
        <v/>
      </c>
      <c r="AP381" s="115" t="str">
        <f t="shared" si="7"/>
        <v/>
      </c>
      <c r="AQ381" s="111"/>
      <c r="AR381" s="109" t="str">
        <f t="shared" si="8"/>
        <v/>
      </c>
      <c r="AS381" s="72" t="str">
        <f>IFERROR(IF(AND(Preferences!B$3="Manual",OR(AX381/AW381&gt;V381/U381,BD381="Serious",BD381="Very serious")),"Assess imprecision",IFERROR(IFS(AND(Preferences!B$3="Automatic",V381/U381&gt;=30),"Extremely serious",AND(W381&lt;=$D$1*-1,Y381&lt;0,V381/U381&lt;3),"Not Serious",AND(W381&lt;=$D$1*-1,Y381&lt;0,V381/U381&gt;=3),"Very serious",AND(W381&gt;=$D$1,X381&gt;0,V381/U381&lt;3),"Not Serious",AND(W381&gt;=$D$1,X381&gt;0,V381/U381&gt;=3),"Very serious",AND(W381&lt;=$D$1*-1,Y381&gt;0,X381&gt;$D$2*-1,V381/U381&lt;3),"Serious", AND(W381&lt;=$D$1*-1,Y381&gt;0,X381&lt;$D$2*-1,V381/U381&lt;3),"Very serious", AND(W381&gt;=$D$1,X381&lt;0,Y381&lt;$D$2,V381/U381&lt;3),"Serious",AND(W381&gt;=$D$1,X381&lt;0,Y381&gt;$D$2,V381/U381&lt;3),"Very serious", AND(W381&lt;=$D$1*-1,Y381&gt;0,X381&gt;$D$2*-1,V381/U381&gt;=3),"Very serious", AND(W381&lt;=$D$1*-1,Y381&gt;0,X381&lt;$D$2*-1,V381/U381&gt;=3),"Very serious", AND(W381&gt;=$D$1,X381&lt;0,Y381&lt;$D$2,V381/U381&gt;=3),"Very serious", AND(W381&gt;=$D$1,X381&lt;0,Y381&gt;$D$2,V381/U381&gt;=3),"Very serious", AND(W381&gt;$D$1*-1,W381&lt;$D$1,X381&gt;$D$1*-1,Y381&lt;$D$1,V381/U381&lt;3),"Not Serious", AND(W381&gt;$D$1*-1,W381&lt;$D$1,OR(X381&lt;=$D$1*-1,Y381&gt;=$D$1),X381&gt;$D$2*-1,Y381&lt;$D$2,V381/U381&lt;3),"Serious", AND(W381&gt;$D$1*-1,W381&lt;$D$1,OR(X381&lt;=$D$2*-1,Y381&gt;=$D$2),V381/U381&lt;3),"Very serious", AND(W381&gt;$D$1*-1,W381&lt;$D$1,X381&gt;$D$1*-1,Y381&lt;$D$1,V381/U381&gt;=3),"Very serious", AND(W381&gt;$D$1*-1,W381&lt;$D$1,OR(X381&lt;=$D$1*-1,Y381&gt;=$D$1),X381&gt;$D$2*-1,Y381&lt;$D$2,V381/U381&gt;=3),"Very serious", AND(W381&gt;$D$1*-1,W381&lt;$D$1,OR(X381&lt;=$D$2*-1,Y381&gt;=$D$2),V381/U381&gt;=3),"Very serious"),"")),"")</f>
        <v/>
      </c>
      <c r="AT381" s="109" t="str">
        <f t="shared" si="9"/>
        <v/>
      </c>
      <c r="AU381" s="64"/>
      <c r="AV381" s="83"/>
      <c r="AW381" s="83"/>
      <c r="AX381" s="83"/>
      <c r="AY381" s="83"/>
      <c r="AZ381" s="83"/>
      <c r="BA381" s="85"/>
      <c r="BB381" s="86" t="str">
        <f>IF(Preferences!B$9="Manual","",IFS(ISBLANK(B381),"",AND(ISNUMBER(E381)=TRUE,ISNUMBER(T381)=FALSE),"Direct", AND(ISNUMBER(E381)=FALSE,ISNUMBER(T381)=TRUE),"Indirect", CN381=4,"Direct",AND(CL381=FALSE, CM381=TRUE,CN381-CO381&gt;-1),"Direct", AND(CL381=FALSE,CM381=TRUE, CN381-CO381&lt;0),"Check algorithm in appendix 2", AND(CL381=TRUE, CM381=FALSE,CN381-CO381&gt;0),"Check algorithm in appendix 2", AND(CL381=TRUE, CM381=FALSE,CN381-CO381=0),"Indirect", AND(CL381=TRUE, CM381=FALSE,CN381-CO381&lt;0),"Indirect", AND(CL381=FALSE,CM381=FALSE,CN381-CO381&gt;-1),"Direct", AND(CL381=FALSE,CM381=FALSE,CN381-CO381&lt;0),"Check algorithm in appendix 2", AND(CL381=TRUE,CM381=TRUE,CN381-CO381&gt;-1),"Direct", AND(CL381=TRUE,CM381=TRUE,CN381-CO381&lt;0),"Check algorithm in appendix 2"))</f>
        <v/>
      </c>
      <c r="BC381" s="120" t="str">
        <f t="shared" si="10"/>
        <v/>
      </c>
      <c r="BD381" s="140"/>
      <c r="BE381" s="122" t="str">
        <f>IF(Preferences!B$3="Manual","", IFERROR(IFS(AND(Preferences!B$3="Automatic",AX381/AW381&gt;=30),"Extremely serious",AND(AY381&lt;=$D$1*-1,BA381&lt;0,AX381/AW381&lt;3),"Not Serious",AND(AY381&lt;=$D$1*-1,BA381&lt;0,AX381/AW381&gt;=3),"Very serious",AND(AY381&gt;=$D$1,AZ381&gt;0,AX381/AW381&lt;3),"Not Serious",AND(AY381&gt;=$D$1,AZ381&gt;0,AX381/AW381&gt;=3),"Very serious",AND(AY381&lt;=$D$1*-1,BA381&gt;0,AZ381&gt;$D$2*-1,AX381/AW381&lt;3),"Serious", AND(AY381&lt;=$D$1*-1,BA381&gt;0,AZ381&lt;$D$2*-1,AX381/AW381&lt;3),"Very serious", AND(AY381&gt;=$D$1,AZ381&lt;0,BA381&lt;$D$2,AX381/AW381&lt;3),"Serious",AND(AY381&gt;=$D$1,AZ381&lt;0,BA381&gt;$D$2,AX381/AW381&lt;3),"Very serious", AND(AY381&lt;=$D$1*-1,BA381&gt;0,AZ381&gt;$D$2*-1,AX381/AW381&gt;=3),"Very serious", AND(AY381&lt;=$D$1*-1,BA381&gt;0,AZ381&lt;$D$2*-1,AX381/AW381&gt;=3),"Very serious", AND(AY381&gt;=$D$1,AZ381&lt;0,BA381&lt;$D$2,AX381/AW381&gt;=3),"Very serious", AND(AY381&gt;=$D$1,AZ381&lt;0,BA381&gt;$D$2,AX381/AW381&gt;=3),"Very serious", AND(AY381&gt;$D$1*-1,AY381&lt;$D$1,AZ381&gt;$D$1*-1,BA381&lt;$D$1,AX381/AW381&lt;3),"Not Serious", AND(AY381&gt;$D$1*-1,AY381&lt;$D$1,OR(AZ381&lt;=$D$1*-1,BA381&gt;=$D$1),AZ381&gt;$D$2*-1,BA381&lt;$D$2,AX381/AW381&lt;3),"Serious", AND(AY381&gt;$D$1*-1,AY381&lt;$D$1,OR(AZ381&lt;=$D$2*-1,BA381&gt;=$D$2),AX381/AW381&lt;3),"Very serious", AND(AY381&gt;$D$1*-1,AY381&lt;$D$1,AZ381&gt;$D$1*-1,BA381&lt;$D$1,AX381/AW381&gt;=3),"Very serious", AND(AY381&gt;$D$1*-1,AY381&lt;$D$1,OR(AZ381&lt;=$D$1*-1,BA381&gt;=$D$1),AZ381&gt;$D$2*-1,BA381&lt;$D$2,AX381/AW381&gt;=3),"Very serious", AND(AY381&gt;$D$1*-1,AY381&lt;$D$1,OR(AZ381&lt;=$D$2*-1,BA381&gt;=$D$2),AX381/AW381&gt;=3),"Very serious"),""))</f>
        <v/>
      </c>
      <c r="BF381" s="107" t="str">
        <f t="shared" si="11"/>
        <v/>
      </c>
      <c r="BG381" s="94" t="str">
        <f t="shared" si="46"/>
        <v/>
      </c>
      <c r="BH381" s="64" t="str">
        <f t="shared" si="12"/>
        <v>#N/A</v>
      </c>
      <c r="BI381" s="64" t="str">
        <f t="shared" si="13"/>
        <v/>
      </c>
      <c r="BJ381" s="123" t="str">
        <f t="shared" si="14"/>
        <v>#N/A</v>
      </c>
      <c r="BK381" s="64" t="str">
        <f t="shared" si="50"/>
        <v>YES</v>
      </c>
      <c r="BL381" s="64" t="str">
        <f t="shared" si="16"/>
        <v>YES</v>
      </c>
      <c r="BM381" s="64" t="str">
        <f t="shared" si="17"/>
        <v>YES</v>
      </c>
      <c r="BN381" s="124" t="str">
        <f t="shared" si="18"/>
        <v/>
      </c>
      <c r="BO381" s="91" t="str">
        <f t="shared" si="19"/>
        <v/>
      </c>
      <c r="BP381" s="91" t="str">
        <f t="shared" si="20"/>
        <v>#N/A</v>
      </c>
      <c r="BQ381" s="91" t="str">
        <f t="shared" si="21"/>
        <v/>
      </c>
      <c r="BR381" s="93" t="str">
        <f t="shared" si="22"/>
        <v/>
      </c>
      <c r="BS381" s="90" t="str">
        <f t="shared" si="23"/>
        <v/>
      </c>
      <c r="BT381" s="93" t="str">
        <f t="shared" si="24"/>
        <v>NA</v>
      </c>
      <c r="BU381" s="125" t="str">
        <f t="shared" si="25"/>
        <v>#N/A</v>
      </c>
      <c r="BV381" s="93" t="str">
        <f t="shared" si="26"/>
        <v/>
      </c>
      <c r="BW381" s="93" t="str">
        <f t="shared" si="27"/>
        <v/>
      </c>
      <c r="BX381" s="93" t="str">
        <f t="shared" si="28"/>
        <v>NA</v>
      </c>
      <c r="BY381" s="95" t="str">
        <f t="shared" si="29"/>
        <v>#N/A</v>
      </c>
      <c r="BZ381" s="93" t="str">
        <f t="shared" si="30"/>
        <v/>
      </c>
      <c r="CA381" s="93" t="str">
        <f t="shared" si="31"/>
        <v/>
      </c>
      <c r="CB381" s="93" t="str">
        <f t="shared" si="32"/>
        <v>NA</v>
      </c>
      <c r="CC381" s="96" t="str">
        <f t="shared" si="33"/>
        <v>#N/A</v>
      </c>
      <c r="CD381" s="93" t="str">
        <f t="shared" si="34"/>
        <v/>
      </c>
      <c r="CE381" s="93" t="str">
        <f t="shared" si="35"/>
        <v/>
      </c>
      <c r="CF381" s="93" t="str">
        <f t="shared" si="36"/>
        <v>NA</v>
      </c>
      <c r="CG381" s="97" t="str">
        <f t="shared" si="37"/>
        <v>#N/A</v>
      </c>
      <c r="CH381" s="98" t="str">
        <f t="shared" si="38"/>
        <v>#N/A</v>
      </c>
      <c r="CI381" s="99" t="str">
        <f t="shared" si="39"/>
        <v>#N/A</v>
      </c>
      <c r="CJ381" s="126" t="str">
        <f t="shared" si="40"/>
        <v>ERROR: check cell</v>
      </c>
      <c r="CK381" s="126"/>
      <c r="CL381" s="127" t="str">
        <f t="shared" si="41"/>
        <v>#DIV/0!</v>
      </c>
      <c r="CM381" s="128" t="str">
        <f t="shared" si="42"/>
        <v>#DIV/0!</v>
      </c>
      <c r="CN381" s="128">
        <f t="shared" si="43"/>
        <v>4</v>
      </c>
      <c r="CO381" s="129">
        <f t="shared" si="44"/>
        <v>4</v>
      </c>
      <c r="CP381" s="129" t="str">
        <f>IFS(C381=Preferences!B$13,B381,B381=Preferences!B$13,C381)</f>
        <v>#N/A</v>
      </c>
    </row>
    <row r="382" ht="13.5" customHeight="1">
      <c r="A382" s="63" t="str">
        <f t="shared" si="45"/>
        <v/>
      </c>
      <c r="B382" s="64"/>
      <c r="C382" s="64"/>
      <c r="D382" s="64"/>
      <c r="E382" s="65"/>
      <c r="F382" s="65"/>
      <c r="G382" s="65"/>
      <c r="H382" s="66"/>
      <c r="I382" s="66"/>
      <c r="J382" s="67"/>
      <c r="K382" s="68"/>
      <c r="L382" s="104"/>
      <c r="M382" s="104"/>
      <c r="N382" s="104"/>
      <c r="O382" s="104"/>
      <c r="P382" s="107" t="str">
        <f t="shared" si="1"/>
        <v/>
      </c>
      <c r="Q382" s="108" t="str">
        <f>IFERROR(IF(AND(Preferences!B$3="Manual",OR(AX382/AW382&gt;G382/F382,BD382="Serious",BD382="Very serious")),"Assess imprecision",IFS(ISBLANK(E382),"",AND(Preferences!B$3="Automatic", G382/F382&gt;=30),"Extremely serious",AND(H382&lt;=$D$1*-1,J382&lt;0,G382/F382&lt;3),"Not serious",AND(H382&lt;=$D$1*-1,J382&lt;0,G382/F382&gt;=3),"Very serious",AND(H382&gt;=$D$1,I382&gt;0,G382/F382&lt;3),"Not serious",AND(H382&gt;=$D$1,I382&gt;0,G382/F382&gt;=3),"Very serious",AND(H382&lt;=$D$1*-1,J382&gt;0,I382&gt;$D$2*-1,G382/F382&lt;3),"Serious", AND(H382&lt;=$D$1*-1,J382&gt;0,I382&lt;$D$2*-1,G382/F382&lt;3),"Very serious", AND(H382&gt;=$D$1,I382&lt;0,J382&lt;$D$2,G382/F382&lt;3),"Serious",AND(H382&gt;=$D$1,I382&lt;0,J382&gt;$D$2,G382/F382&lt;3),"Very serious", AND(H382&lt;=$D$1*-1,J382&gt;0,I382&gt;$D$2*-1,G382/F382&gt;=3),"Very serious", AND(H382&lt;=$D$1*-1,J382&gt;0,I382&lt;$D$2*-1,G382/F382&gt;=3),"Very serious", AND(H382&gt;=$D$1,I382&lt;0,J382&lt;$D$2,G382/F382&gt;=3),"Very serious", AND(H382&gt;=$D$1,I382&lt;0,J382&gt;$D$2,G382/F382&gt;=3),"Very serious", AND(H382&gt;$D$1*-1,H382&lt;$D$1,I382&gt;$D$1*-1,J382&lt;$D$1,G382/F382&lt;3),"Not serious", AND(H382&gt;$D$1*-1,H382&lt;$D$1,OR(I382&lt;=$D$1*-1,J382&gt;=$D$1),I382&gt;$D$2*-1,J382&lt;$D$2,G382/F382&lt;3),"Serious", AND(H382&gt;$D$1*-1,H382&lt;$D$1,OR(I382&lt;=$D$2*-1,J382&gt;=$D$2),G382/F382&lt;3),"Very serious", AND(H382&gt;$D$1*-1,H382&lt;$D$1,I382&gt;$D$1*-1,J382&lt;$D$1,G382/F382&gt;=3),"Very serious", AND(H382&gt;$D$1*-1,H382&lt;$D$1,OR(I382&lt;=$D$1*-1,J382&gt;=$D$1),I382&gt;$D$2*-1,J382&lt;$D$2,G382/F382&gt;=3),"Very serious", AND(H382&gt;$D$1*-1,H382&lt;$D$1,OR(I382&lt;=$D$2*-1,J382&gt;=$D$2),G382/F382&gt;=3),"Very serious")),"")</f>
        <v/>
      </c>
      <c r="R382" s="109" t="str">
        <f t="shared" si="47"/>
        <v/>
      </c>
      <c r="S382" s="64"/>
      <c r="T382" s="72"/>
      <c r="U382" s="72"/>
      <c r="V382" s="72"/>
      <c r="W382" s="73"/>
      <c r="X382" s="73"/>
      <c r="Y382" s="74"/>
      <c r="Z382" s="113" t="str">
        <f t="array" ref="Z382">INDEX($A$1:$C$500, MATCH(1,($B:$B=$B382)*($C:$C=$AB382),0),1)</f>
        <v/>
      </c>
      <c r="AA382" s="113" t="str">
        <f t="array" ref="AA382">INDEX($A$1:$C$500, MATCH(1,($B:$B=$AB382)*($C:$C=$B382),0),1)</f>
        <v/>
      </c>
      <c r="AB382" s="111"/>
      <c r="AC382" s="114" t="str">
        <f t="shared" si="2"/>
        <v/>
      </c>
      <c r="AD382" s="115" t="str">
        <f t="shared" si="3"/>
        <v/>
      </c>
      <c r="AE382" s="116" t="str">
        <f t="array" ref="AE382">INDEX($A$1:$C$500, MATCH(1,($B:$B=$AB382)*($C:$C=$AG382),0),1)</f>
        <v/>
      </c>
      <c r="AF382" s="116" t="str">
        <f t="array" ref="AF382">INDEX($A$1:$C$500, MATCH(1,($B:$B=$AG382)*($C:$C=$AB382),0),1)</f>
        <v/>
      </c>
      <c r="AG382" s="72"/>
      <c r="AH382" s="114" t="str">
        <f t="shared" si="4"/>
        <v/>
      </c>
      <c r="AI382" s="115" t="str">
        <f t="shared" si="5"/>
        <v/>
      </c>
      <c r="AJ382" s="116" t="str">
        <f t="array" ref="AJ382">INDEX($A$1:$C$500, MATCH(1,($B:$B=$C382)*($C:$C=$AG382),0),1)</f>
        <v/>
      </c>
      <c r="AK382" s="116" t="str">
        <f t="array" ref="AK382">INDEX($A$1:$C$500, MATCH(1,($B:$B=$AG382)*($C:$C=$C382),0),1)</f>
        <v/>
      </c>
      <c r="AL382" s="116" t="str">
        <f t="array" ref="AL382">INDEX($A$1:$C$500, MATCH(1,($B:$B=$C382)*($C:$C=$AB382),0),1)</f>
        <v/>
      </c>
      <c r="AM382" s="116" t="str">
        <f t="array" ref="AM382">INDEX($A$1:$C$500, MATCH(1,($B:$B=$AB382)*($C:$C=$C382),0),1)</f>
        <v/>
      </c>
      <c r="AN382" s="114" t="str">
        <f t="array" ref="AN382">IFS(ISNUMBER(AJ382),AJ382,ISNUMBER(AK382),AK382,ISNUMBER(AL382),AL382,ISNUMBER(AM382),AM382)</f>
        <v>#N/A</v>
      </c>
      <c r="AO382" s="115" t="str">
        <f t="shared" si="6"/>
        <v/>
      </c>
      <c r="AP382" s="115" t="str">
        <f t="shared" si="7"/>
        <v/>
      </c>
      <c r="AQ382" s="111"/>
      <c r="AR382" s="109" t="str">
        <f t="shared" si="8"/>
        <v/>
      </c>
      <c r="AS382" s="72" t="str">
        <f>IFERROR(IF(AND(Preferences!B$3="Manual",OR(AX382/AW382&gt;V382/U382,BD382="Serious",BD382="Very serious")),"Assess imprecision",IFERROR(IFS(AND(Preferences!B$3="Automatic",V382/U382&gt;=30),"Extremely serious",AND(W382&lt;=$D$1*-1,Y382&lt;0,V382/U382&lt;3),"Not Serious",AND(W382&lt;=$D$1*-1,Y382&lt;0,V382/U382&gt;=3),"Very serious",AND(W382&gt;=$D$1,X382&gt;0,V382/U382&lt;3),"Not Serious",AND(W382&gt;=$D$1,X382&gt;0,V382/U382&gt;=3),"Very serious",AND(W382&lt;=$D$1*-1,Y382&gt;0,X382&gt;$D$2*-1,V382/U382&lt;3),"Serious", AND(W382&lt;=$D$1*-1,Y382&gt;0,X382&lt;$D$2*-1,V382/U382&lt;3),"Very serious", AND(W382&gt;=$D$1,X382&lt;0,Y382&lt;$D$2,V382/U382&lt;3),"Serious",AND(W382&gt;=$D$1,X382&lt;0,Y382&gt;$D$2,V382/U382&lt;3),"Very serious", AND(W382&lt;=$D$1*-1,Y382&gt;0,X382&gt;$D$2*-1,V382/U382&gt;=3),"Very serious", AND(W382&lt;=$D$1*-1,Y382&gt;0,X382&lt;$D$2*-1,V382/U382&gt;=3),"Very serious", AND(W382&gt;=$D$1,X382&lt;0,Y382&lt;$D$2,V382/U382&gt;=3),"Very serious", AND(W382&gt;=$D$1,X382&lt;0,Y382&gt;$D$2,V382/U382&gt;=3),"Very serious", AND(W382&gt;$D$1*-1,W382&lt;$D$1,X382&gt;$D$1*-1,Y382&lt;$D$1,V382/U382&lt;3),"Not Serious", AND(W382&gt;$D$1*-1,W382&lt;$D$1,OR(X382&lt;=$D$1*-1,Y382&gt;=$D$1),X382&gt;$D$2*-1,Y382&lt;$D$2,V382/U382&lt;3),"Serious", AND(W382&gt;$D$1*-1,W382&lt;$D$1,OR(X382&lt;=$D$2*-1,Y382&gt;=$D$2),V382/U382&lt;3),"Very serious", AND(W382&gt;$D$1*-1,W382&lt;$D$1,X382&gt;$D$1*-1,Y382&lt;$D$1,V382/U382&gt;=3),"Very serious", AND(W382&gt;$D$1*-1,W382&lt;$D$1,OR(X382&lt;=$D$1*-1,Y382&gt;=$D$1),X382&gt;$D$2*-1,Y382&lt;$D$2,V382/U382&gt;=3),"Very serious", AND(W382&gt;$D$1*-1,W382&lt;$D$1,OR(X382&lt;=$D$2*-1,Y382&gt;=$D$2),V382/U382&gt;=3),"Very serious"),"")),"")</f>
        <v/>
      </c>
      <c r="AT382" s="109" t="str">
        <f t="shared" si="9"/>
        <v/>
      </c>
      <c r="AU382" s="64"/>
      <c r="AV382" s="83"/>
      <c r="AW382" s="83"/>
      <c r="AX382" s="83"/>
      <c r="AY382" s="83"/>
      <c r="AZ382" s="83"/>
      <c r="BA382" s="85"/>
      <c r="BB382" s="86" t="str">
        <f>IF(Preferences!B$9="Manual","",IFS(ISBLANK(B382),"",AND(ISNUMBER(E382)=TRUE,ISNUMBER(T382)=FALSE),"Direct", AND(ISNUMBER(E382)=FALSE,ISNUMBER(T382)=TRUE),"Indirect", CN382=4,"Direct",AND(CL382=FALSE, CM382=TRUE,CN382-CO382&gt;-1),"Direct", AND(CL382=FALSE,CM382=TRUE, CN382-CO382&lt;0),"Check algorithm in appendix 2", AND(CL382=TRUE, CM382=FALSE,CN382-CO382&gt;0),"Check algorithm in appendix 2", AND(CL382=TRUE, CM382=FALSE,CN382-CO382=0),"Indirect", AND(CL382=TRUE, CM382=FALSE,CN382-CO382&lt;0),"Indirect", AND(CL382=FALSE,CM382=FALSE,CN382-CO382&gt;-1),"Direct", AND(CL382=FALSE,CM382=FALSE,CN382-CO382&lt;0),"Check algorithm in appendix 2", AND(CL382=TRUE,CM382=TRUE,CN382-CO382&gt;-1),"Direct", AND(CL382=TRUE,CM382=TRUE,CN382-CO382&lt;0),"Check algorithm in appendix 2"))</f>
        <v/>
      </c>
      <c r="BC382" s="120" t="str">
        <f t="shared" si="10"/>
        <v/>
      </c>
      <c r="BD382" s="140"/>
      <c r="BE382" s="122" t="str">
        <f>IF(Preferences!B$3="Manual","", IFERROR(IFS(AND(Preferences!B$3="Automatic",AX382/AW382&gt;=30),"Extremely serious",AND(AY382&lt;=$D$1*-1,BA382&lt;0,AX382/AW382&lt;3),"Not Serious",AND(AY382&lt;=$D$1*-1,BA382&lt;0,AX382/AW382&gt;=3),"Very serious",AND(AY382&gt;=$D$1,AZ382&gt;0,AX382/AW382&lt;3),"Not Serious",AND(AY382&gt;=$D$1,AZ382&gt;0,AX382/AW382&gt;=3),"Very serious",AND(AY382&lt;=$D$1*-1,BA382&gt;0,AZ382&gt;$D$2*-1,AX382/AW382&lt;3),"Serious", AND(AY382&lt;=$D$1*-1,BA382&gt;0,AZ382&lt;$D$2*-1,AX382/AW382&lt;3),"Very serious", AND(AY382&gt;=$D$1,AZ382&lt;0,BA382&lt;$D$2,AX382/AW382&lt;3),"Serious",AND(AY382&gt;=$D$1,AZ382&lt;0,BA382&gt;$D$2,AX382/AW382&lt;3),"Very serious", AND(AY382&lt;=$D$1*-1,BA382&gt;0,AZ382&gt;$D$2*-1,AX382/AW382&gt;=3),"Very serious", AND(AY382&lt;=$D$1*-1,BA382&gt;0,AZ382&lt;$D$2*-1,AX382/AW382&gt;=3),"Very serious", AND(AY382&gt;=$D$1,AZ382&lt;0,BA382&lt;$D$2,AX382/AW382&gt;=3),"Very serious", AND(AY382&gt;=$D$1,AZ382&lt;0,BA382&gt;$D$2,AX382/AW382&gt;=3),"Very serious", AND(AY382&gt;$D$1*-1,AY382&lt;$D$1,AZ382&gt;$D$1*-1,BA382&lt;$D$1,AX382/AW382&lt;3),"Not Serious", AND(AY382&gt;$D$1*-1,AY382&lt;$D$1,OR(AZ382&lt;=$D$1*-1,BA382&gt;=$D$1),AZ382&gt;$D$2*-1,BA382&lt;$D$2,AX382/AW382&lt;3),"Serious", AND(AY382&gt;$D$1*-1,AY382&lt;$D$1,OR(AZ382&lt;=$D$2*-1,BA382&gt;=$D$2),AX382/AW382&lt;3),"Very serious", AND(AY382&gt;$D$1*-1,AY382&lt;$D$1,AZ382&gt;$D$1*-1,BA382&lt;$D$1,AX382/AW382&gt;=3),"Very serious", AND(AY382&gt;$D$1*-1,AY382&lt;$D$1,OR(AZ382&lt;=$D$1*-1,BA382&gt;=$D$1),AZ382&gt;$D$2*-1,BA382&lt;$D$2,AX382/AW382&gt;=3),"Very serious", AND(AY382&gt;$D$1*-1,AY382&lt;$D$1,OR(AZ382&lt;=$D$2*-1,BA382&gt;=$D$2),AX382/AW382&gt;=3),"Very serious"),""))</f>
        <v/>
      </c>
      <c r="BF382" s="107" t="str">
        <f t="shared" si="11"/>
        <v/>
      </c>
      <c r="BG382" s="94" t="str">
        <f t="shared" si="46"/>
        <v/>
      </c>
      <c r="BH382" s="64" t="str">
        <f t="shared" si="12"/>
        <v>#N/A</v>
      </c>
      <c r="BI382" s="64" t="str">
        <f t="shared" si="13"/>
        <v/>
      </c>
      <c r="BJ382" s="123" t="str">
        <f t="shared" si="14"/>
        <v>#N/A</v>
      </c>
      <c r="BK382" s="64" t="str">
        <f t="shared" si="50"/>
        <v>YES</v>
      </c>
      <c r="BL382" s="64" t="str">
        <f t="shared" si="16"/>
        <v>YES</v>
      </c>
      <c r="BM382" s="64" t="str">
        <f t="shared" si="17"/>
        <v>YES</v>
      </c>
      <c r="BN382" s="124" t="str">
        <f t="shared" si="18"/>
        <v/>
      </c>
      <c r="BO382" s="91" t="str">
        <f t="shared" si="19"/>
        <v/>
      </c>
      <c r="BP382" s="91" t="str">
        <f t="shared" si="20"/>
        <v>#N/A</v>
      </c>
      <c r="BQ382" s="91" t="str">
        <f t="shared" si="21"/>
        <v/>
      </c>
      <c r="BR382" s="93" t="str">
        <f t="shared" si="22"/>
        <v/>
      </c>
      <c r="BS382" s="90" t="str">
        <f t="shared" si="23"/>
        <v/>
      </c>
      <c r="BT382" s="93" t="str">
        <f t="shared" si="24"/>
        <v>NA</v>
      </c>
      <c r="BU382" s="125" t="str">
        <f t="shared" si="25"/>
        <v>#N/A</v>
      </c>
      <c r="BV382" s="93" t="str">
        <f t="shared" si="26"/>
        <v/>
      </c>
      <c r="BW382" s="93" t="str">
        <f t="shared" si="27"/>
        <v/>
      </c>
      <c r="BX382" s="93" t="str">
        <f t="shared" si="28"/>
        <v>NA</v>
      </c>
      <c r="BY382" s="95" t="str">
        <f t="shared" si="29"/>
        <v>#N/A</v>
      </c>
      <c r="BZ382" s="93" t="str">
        <f t="shared" si="30"/>
        <v/>
      </c>
      <c r="CA382" s="93" t="str">
        <f t="shared" si="31"/>
        <v/>
      </c>
      <c r="CB382" s="93" t="str">
        <f t="shared" si="32"/>
        <v>NA</v>
      </c>
      <c r="CC382" s="96" t="str">
        <f t="shared" si="33"/>
        <v>#N/A</v>
      </c>
      <c r="CD382" s="93" t="str">
        <f t="shared" si="34"/>
        <v/>
      </c>
      <c r="CE382" s="93" t="str">
        <f t="shared" si="35"/>
        <v/>
      </c>
      <c r="CF382" s="93" t="str">
        <f t="shared" si="36"/>
        <v>NA</v>
      </c>
      <c r="CG382" s="97" t="str">
        <f t="shared" si="37"/>
        <v>#N/A</v>
      </c>
      <c r="CH382" s="98" t="str">
        <f t="shared" si="38"/>
        <v>#N/A</v>
      </c>
      <c r="CI382" s="99" t="str">
        <f t="shared" si="39"/>
        <v>#N/A</v>
      </c>
      <c r="CJ382" s="126" t="str">
        <f t="shared" si="40"/>
        <v>ERROR: check cell</v>
      </c>
      <c r="CK382" s="126"/>
      <c r="CL382" s="127" t="str">
        <f t="shared" si="41"/>
        <v>#DIV/0!</v>
      </c>
      <c r="CM382" s="128" t="str">
        <f t="shared" si="42"/>
        <v>#DIV/0!</v>
      </c>
      <c r="CN382" s="128">
        <f t="shared" si="43"/>
        <v>4</v>
      </c>
      <c r="CO382" s="129">
        <f t="shared" si="44"/>
        <v>4</v>
      </c>
      <c r="CP382" s="129" t="str">
        <f>IFS(C382=Preferences!B$13,B382,B382=Preferences!B$13,C382)</f>
        <v>#N/A</v>
      </c>
    </row>
    <row r="383" ht="13.5" customHeight="1">
      <c r="A383" s="63" t="str">
        <f t="shared" si="45"/>
        <v/>
      </c>
      <c r="B383" s="64"/>
      <c r="C383" s="64"/>
      <c r="D383" s="64"/>
      <c r="E383" s="65"/>
      <c r="F383" s="65"/>
      <c r="G383" s="65"/>
      <c r="H383" s="66"/>
      <c r="I383" s="66"/>
      <c r="J383" s="67"/>
      <c r="K383" s="68"/>
      <c r="L383" s="104"/>
      <c r="M383" s="104"/>
      <c r="N383" s="104"/>
      <c r="O383" s="104"/>
      <c r="P383" s="107" t="str">
        <f t="shared" si="1"/>
        <v/>
      </c>
      <c r="Q383" s="108" t="str">
        <f>IFERROR(IF(AND(Preferences!B$3="Manual",OR(AX383/AW383&gt;G383/F383,BD383="Serious",BD383="Very serious")),"Assess imprecision",IFS(ISBLANK(E383),"",AND(Preferences!B$3="Automatic", G383/F383&gt;=30),"Extremely serious",AND(H383&lt;=$D$1*-1,J383&lt;0,G383/F383&lt;3),"Not serious",AND(H383&lt;=$D$1*-1,J383&lt;0,G383/F383&gt;=3),"Very serious",AND(H383&gt;=$D$1,I383&gt;0,G383/F383&lt;3),"Not serious",AND(H383&gt;=$D$1,I383&gt;0,G383/F383&gt;=3),"Very serious",AND(H383&lt;=$D$1*-1,J383&gt;0,I383&gt;$D$2*-1,G383/F383&lt;3),"Serious", AND(H383&lt;=$D$1*-1,J383&gt;0,I383&lt;$D$2*-1,G383/F383&lt;3),"Very serious", AND(H383&gt;=$D$1,I383&lt;0,J383&lt;$D$2,G383/F383&lt;3),"Serious",AND(H383&gt;=$D$1,I383&lt;0,J383&gt;$D$2,G383/F383&lt;3),"Very serious", AND(H383&lt;=$D$1*-1,J383&gt;0,I383&gt;$D$2*-1,G383/F383&gt;=3),"Very serious", AND(H383&lt;=$D$1*-1,J383&gt;0,I383&lt;$D$2*-1,G383/F383&gt;=3),"Very serious", AND(H383&gt;=$D$1,I383&lt;0,J383&lt;$D$2,G383/F383&gt;=3),"Very serious", AND(H383&gt;=$D$1,I383&lt;0,J383&gt;$D$2,G383/F383&gt;=3),"Very serious", AND(H383&gt;$D$1*-1,H383&lt;$D$1,I383&gt;$D$1*-1,J383&lt;$D$1,G383/F383&lt;3),"Not serious", AND(H383&gt;$D$1*-1,H383&lt;$D$1,OR(I383&lt;=$D$1*-1,J383&gt;=$D$1),I383&gt;$D$2*-1,J383&lt;$D$2,G383/F383&lt;3),"Serious", AND(H383&gt;$D$1*-1,H383&lt;$D$1,OR(I383&lt;=$D$2*-1,J383&gt;=$D$2),G383/F383&lt;3),"Very serious", AND(H383&gt;$D$1*-1,H383&lt;$D$1,I383&gt;$D$1*-1,J383&lt;$D$1,G383/F383&gt;=3),"Very serious", AND(H383&gt;$D$1*-1,H383&lt;$D$1,OR(I383&lt;=$D$1*-1,J383&gt;=$D$1),I383&gt;$D$2*-1,J383&lt;$D$2,G383/F383&gt;=3),"Very serious", AND(H383&gt;$D$1*-1,H383&lt;$D$1,OR(I383&lt;=$D$2*-1,J383&gt;=$D$2),G383/F383&gt;=3),"Very serious")),"")</f>
        <v/>
      </c>
      <c r="R383" s="109" t="str">
        <f t="shared" si="47"/>
        <v/>
      </c>
      <c r="S383" s="64"/>
      <c r="T383" s="72"/>
      <c r="U383" s="72"/>
      <c r="V383" s="72"/>
      <c r="W383" s="73"/>
      <c r="X383" s="73"/>
      <c r="Y383" s="74"/>
      <c r="Z383" s="113" t="str">
        <f t="array" ref="Z383">INDEX($A$1:$C$500, MATCH(1,($B:$B=$B383)*($C:$C=$AB383),0),1)</f>
        <v/>
      </c>
      <c r="AA383" s="113" t="str">
        <f t="array" ref="AA383">INDEX($A$1:$C$500, MATCH(1,($B:$B=$AB383)*($C:$C=$B383),0),1)</f>
        <v/>
      </c>
      <c r="AB383" s="111"/>
      <c r="AC383" s="114" t="str">
        <f t="shared" si="2"/>
        <v/>
      </c>
      <c r="AD383" s="115" t="str">
        <f t="shared" si="3"/>
        <v/>
      </c>
      <c r="AE383" s="116" t="str">
        <f t="array" ref="AE383">INDEX($A$1:$C$500, MATCH(1,($B:$B=$AB383)*($C:$C=$AG383),0),1)</f>
        <v/>
      </c>
      <c r="AF383" s="116" t="str">
        <f t="array" ref="AF383">INDEX($A$1:$C$500, MATCH(1,($B:$B=$AG383)*($C:$C=$AB383),0),1)</f>
        <v/>
      </c>
      <c r="AG383" s="72"/>
      <c r="AH383" s="114" t="str">
        <f t="shared" si="4"/>
        <v/>
      </c>
      <c r="AI383" s="115" t="str">
        <f t="shared" si="5"/>
        <v/>
      </c>
      <c r="AJ383" s="116" t="str">
        <f t="array" ref="AJ383">INDEX($A$1:$C$500, MATCH(1,($B:$B=$C383)*($C:$C=$AG383),0),1)</f>
        <v/>
      </c>
      <c r="AK383" s="116" t="str">
        <f t="array" ref="AK383">INDEX($A$1:$C$500, MATCH(1,($B:$B=$AG383)*($C:$C=$C383),0),1)</f>
        <v/>
      </c>
      <c r="AL383" s="116" t="str">
        <f t="array" ref="AL383">INDEX($A$1:$C$500, MATCH(1,($B:$B=$C383)*($C:$C=$AB383),0),1)</f>
        <v/>
      </c>
      <c r="AM383" s="116" t="str">
        <f t="array" ref="AM383">INDEX($A$1:$C$500, MATCH(1,($B:$B=$AB383)*($C:$C=$C383),0),1)</f>
        <v/>
      </c>
      <c r="AN383" s="114" t="str">
        <f t="array" ref="AN383">IFS(ISNUMBER(AJ383),AJ383,ISNUMBER(AK383),AK383,ISNUMBER(AL383),AL383,ISNUMBER(AM383),AM383)</f>
        <v>#N/A</v>
      </c>
      <c r="AO383" s="115" t="str">
        <f t="shared" si="6"/>
        <v/>
      </c>
      <c r="AP383" s="115" t="str">
        <f t="shared" si="7"/>
        <v/>
      </c>
      <c r="AQ383" s="111"/>
      <c r="AR383" s="109" t="str">
        <f t="shared" si="8"/>
        <v/>
      </c>
      <c r="AS383" s="72" t="str">
        <f>IFERROR(IF(AND(Preferences!B$3="Manual",OR(AX383/AW383&gt;V383/U383,BD383="Serious",BD383="Very serious")),"Assess imprecision",IFERROR(IFS(AND(Preferences!B$3="Automatic",V383/U383&gt;=30),"Extremely serious",AND(W383&lt;=$D$1*-1,Y383&lt;0,V383/U383&lt;3),"Not Serious",AND(W383&lt;=$D$1*-1,Y383&lt;0,V383/U383&gt;=3),"Very serious",AND(W383&gt;=$D$1,X383&gt;0,V383/U383&lt;3),"Not Serious",AND(W383&gt;=$D$1,X383&gt;0,V383/U383&gt;=3),"Very serious",AND(W383&lt;=$D$1*-1,Y383&gt;0,X383&gt;$D$2*-1,V383/U383&lt;3),"Serious", AND(W383&lt;=$D$1*-1,Y383&gt;0,X383&lt;$D$2*-1,V383/U383&lt;3),"Very serious", AND(W383&gt;=$D$1,X383&lt;0,Y383&lt;$D$2,V383/U383&lt;3),"Serious",AND(W383&gt;=$D$1,X383&lt;0,Y383&gt;$D$2,V383/U383&lt;3),"Very serious", AND(W383&lt;=$D$1*-1,Y383&gt;0,X383&gt;$D$2*-1,V383/U383&gt;=3),"Very serious", AND(W383&lt;=$D$1*-1,Y383&gt;0,X383&lt;$D$2*-1,V383/U383&gt;=3),"Very serious", AND(W383&gt;=$D$1,X383&lt;0,Y383&lt;$D$2,V383/U383&gt;=3),"Very serious", AND(W383&gt;=$D$1,X383&lt;0,Y383&gt;$D$2,V383/U383&gt;=3),"Very serious", AND(W383&gt;$D$1*-1,W383&lt;$D$1,X383&gt;$D$1*-1,Y383&lt;$D$1,V383/U383&lt;3),"Not Serious", AND(W383&gt;$D$1*-1,W383&lt;$D$1,OR(X383&lt;=$D$1*-1,Y383&gt;=$D$1),X383&gt;$D$2*-1,Y383&lt;$D$2,V383/U383&lt;3),"Serious", AND(W383&gt;$D$1*-1,W383&lt;$D$1,OR(X383&lt;=$D$2*-1,Y383&gt;=$D$2),V383/U383&lt;3),"Very serious", AND(W383&gt;$D$1*-1,W383&lt;$D$1,X383&gt;$D$1*-1,Y383&lt;$D$1,V383/U383&gt;=3),"Very serious", AND(W383&gt;$D$1*-1,W383&lt;$D$1,OR(X383&lt;=$D$1*-1,Y383&gt;=$D$1),X383&gt;$D$2*-1,Y383&lt;$D$2,V383/U383&gt;=3),"Very serious", AND(W383&gt;$D$1*-1,W383&lt;$D$1,OR(X383&lt;=$D$2*-1,Y383&gt;=$D$2),V383/U383&gt;=3),"Very serious"),"")),"")</f>
        <v/>
      </c>
      <c r="AT383" s="109" t="str">
        <f t="shared" si="9"/>
        <v/>
      </c>
      <c r="AU383" s="64"/>
      <c r="AV383" s="83"/>
      <c r="AW383" s="83"/>
      <c r="AX383" s="83"/>
      <c r="AY383" s="83"/>
      <c r="AZ383" s="83"/>
      <c r="BA383" s="85"/>
      <c r="BB383" s="86" t="str">
        <f>IF(Preferences!B$9="Manual","",IFS(ISBLANK(B383),"",AND(ISNUMBER(E383)=TRUE,ISNUMBER(T383)=FALSE),"Direct", AND(ISNUMBER(E383)=FALSE,ISNUMBER(T383)=TRUE),"Indirect", CN383=4,"Direct",AND(CL383=FALSE, CM383=TRUE,CN383-CO383&gt;-1),"Direct", AND(CL383=FALSE,CM383=TRUE, CN383-CO383&lt;0),"Check algorithm in appendix 2", AND(CL383=TRUE, CM383=FALSE,CN383-CO383&gt;0),"Check algorithm in appendix 2", AND(CL383=TRUE, CM383=FALSE,CN383-CO383=0),"Indirect", AND(CL383=TRUE, CM383=FALSE,CN383-CO383&lt;0),"Indirect", AND(CL383=FALSE,CM383=FALSE,CN383-CO383&gt;-1),"Direct", AND(CL383=FALSE,CM383=FALSE,CN383-CO383&lt;0),"Check algorithm in appendix 2", AND(CL383=TRUE,CM383=TRUE,CN383-CO383&gt;-1),"Direct", AND(CL383=TRUE,CM383=TRUE,CN383-CO383&lt;0),"Check algorithm in appendix 2"))</f>
        <v/>
      </c>
      <c r="BC383" s="120" t="str">
        <f t="shared" si="10"/>
        <v/>
      </c>
      <c r="BD383" s="140"/>
      <c r="BE383" s="122" t="str">
        <f>IF(Preferences!B$3="Manual","", IFERROR(IFS(AND(Preferences!B$3="Automatic",AX383/AW383&gt;=30),"Extremely serious",AND(AY383&lt;=$D$1*-1,BA383&lt;0,AX383/AW383&lt;3),"Not Serious",AND(AY383&lt;=$D$1*-1,BA383&lt;0,AX383/AW383&gt;=3),"Very serious",AND(AY383&gt;=$D$1,AZ383&gt;0,AX383/AW383&lt;3),"Not Serious",AND(AY383&gt;=$D$1,AZ383&gt;0,AX383/AW383&gt;=3),"Very serious",AND(AY383&lt;=$D$1*-1,BA383&gt;0,AZ383&gt;$D$2*-1,AX383/AW383&lt;3),"Serious", AND(AY383&lt;=$D$1*-1,BA383&gt;0,AZ383&lt;$D$2*-1,AX383/AW383&lt;3),"Very serious", AND(AY383&gt;=$D$1,AZ383&lt;0,BA383&lt;$D$2,AX383/AW383&lt;3),"Serious",AND(AY383&gt;=$D$1,AZ383&lt;0,BA383&gt;$D$2,AX383/AW383&lt;3),"Very serious", AND(AY383&lt;=$D$1*-1,BA383&gt;0,AZ383&gt;$D$2*-1,AX383/AW383&gt;=3),"Very serious", AND(AY383&lt;=$D$1*-1,BA383&gt;0,AZ383&lt;$D$2*-1,AX383/AW383&gt;=3),"Very serious", AND(AY383&gt;=$D$1,AZ383&lt;0,BA383&lt;$D$2,AX383/AW383&gt;=3),"Very serious", AND(AY383&gt;=$D$1,AZ383&lt;0,BA383&gt;$D$2,AX383/AW383&gt;=3),"Very serious", AND(AY383&gt;$D$1*-1,AY383&lt;$D$1,AZ383&gt;$D$1*-1,BA383&lt;$D$1,AX383/AW383&lt;3),"Not Serious", AND(AY383&gt;$D$1*-1,AY383&lt;$D$1,OR(AZ383&lt;=$D$1*-1,BA383&gt;=$D$1),AZ383&gt;$D$2*-1,BA383&lt;$D$2,AX383/AW383&lt;3),"Serious", AND(AY383&gt;$D$1*-1,AY383&lt;$D$1,OR(AZ383&lt;=$D$2*-1,BA383&gt;=$D$2),AX383/AW383&lt;3),"Very serious", AND(AY383&gt;$D$1*-1,AY383&lt;$D$1,AZ383&gt;$D$1*-1,BA383&lt;$D$1,AX383/AW383&gt;=3),"Very serious", AND(AY383&gt;$D$1*-1,AY383&lt;$D$1,OR(AZ383&lt;=$D$1*-1,BA383&gt;=$D$1),AZ383&gt;$D$2*-1,BA383&lt;$D$2,AX383/AW383&gt;=3),"Very serious", AND(AY383&gt;$D$1*-1,AY383&lt;$D$1,OR(AZ383&lt;=$D$2*-1,BA383&gt;=$D$2),AX383/AW383&gt;=3),"Very serious"),""))</f>
        <v/>
      </c>
      <c r="BF383" s="107" t="str">
        <f t="shared" si="11"/>
        <v/>
      </c>
      <c r="BG383" s="94" t="str">
        <f t="shared" si="46"/>
        <v/>
      </c>
      <c r="BH383" s="64" t="str">
        <f t="shared" si="12"/>
        <v>#N/A</v>
      </c>
      <c r="BI383" s="64" t="str">
        <f t="shared" si="13"/>
        <v/>
      </c>
      <c r="BJ383" s="123" t="str">
        <f t="shared" si="14"/>
        <v>#N/A</v>
      </c>
      <c r="BK383" s="64" t="str">
        <f t="shared" si="50"/>
        <v>YES</v>
      </c>
      <c r="BL383" s="64" t="str">
        <f t="shared" si="16"/>
        <v>YES</v>
      </c>
      <c r="BM383" s="64" t="str">
        <f t="shared" si="17"/>
        <v>YES</v>
      </c>
      <c r="BN383" s="124" t="str">
        <f t="shared" si="18"/>
        <v/>
      </c>
      <c r="BO383" s="91" t="str">
        <f t="shared" si="19"/>
        <v/>
      </c>
      <c r="BP383" s="91" t="str">
        <f t="shared" si="20"/>
        <v>#N/A</v>
      </c>
      <c r="BQ383" s="91" t="str">
        <f t="shared" si="21"/>
        <v/>
      </c>
      <c r="BR383" s="93" t="str">
        <f t="shared" si="22"/>
        <v/>
      </c>
      <c r="BS383" s="90" t="str">
        <f t="shared" si="23"/>
        <v/>
      </c>
      <c r="BT383" s="93" t="str">
        <f t="shared" si="24"/>
        <v>NA</v>
      </c>
      <c r="BU383" s="125" t="str">
        <f t="shared" si="25"/>
        <v>#N/A</v>
      </c>
      <c r="BV383" s="93" t="str">
        <f t="shared" si="26"/>
        <v/>
      </c>
      <c r="BW383" s="93" t="str">
        <f t="shared" si="27"/>
        <v/>
      </c>
      <c r="BX383" s="93" t="str">
        <f t="shared" si="28"/>
        <v>NA</v>
      </c>
      <c r="BY383" s="95" t="str">
        <f t="shared" si="29"/>
        <v>#N/A</v>
      </c>
      <c r="BZ383" s="93" t="str">
        <f t="shared" si="30"/>
        <v/>
      </c>
      <c r="CA383" s="93" t="str">
        <f t="shared" si="31"/>
        <v/>
      </c>
      <c r="CB383" s="93" t="str">
        <f t="shared" si="32"/>
        <v>NA</v>
      </c>
      <c r="CC383" s="96" t="str">
        <f t="shared" si="33"/>
        <v>#N/A</v>
      </c>
      <c r="CD383" s="93" t="str">
        <f t="shared" si="34"/>
        <v/>
      </c>
      <c r="CE383" s="93" t="str">
        <f t="shared" si="35"/>
        <v/>
      </c>
      <c r="CF383" s="93" t="str">
        <f t="shared" si="36"/>
        <v>NA</v>
      </c>
      <c r="CG383" s="97" t="str">
        <f t="shared" si="37"/>
        <v>#N/A</v>
      </c>
      <c r="CH383" s="98" t="str">
        <f t="shared" si="38"/>
        <v>#N/A</v>
      </c>
      <c r="CI383" s="99" t="str">
        <f t="shared" si="39"/>
        <v>#N/A</v>
      </c>
      <c r="CJ383" s="126" t="str">
        <f t="shared" si="40"/>
        <v>ERROR: check cell</v>
      </c>
      <c r="CK383" s="126"/>
      <c r="CL383" s="127" t="str">
        <f t="shared" si="41"/>
        <v>#DIV/0!</v>
      </c>
      <c r="CM383" s="128" t="str">
        <f t="shared" si="42"/>
        <v>#DIV/0!</v>
      </c>
      <c r="CN383" s="128">
        <f t="shared" si="43"/>
        <v>4</v>
      </c>
      <c r="CO383" s="129">
        <f t="shared" si="44"/>
        <v>4</v>
      </c>
      <c r="CP383" s="129" t="str">
        <f>IFS(C383=Preferences!B$13,B383,B383=Preferences!B$13,C383)</f>
        <v>#N/A</v>
      </c>
    </row>
    <row r="384" ht="13.5" customHeight="1">
      <c r="A384" s="63" t="str">
        <f t="shared" si="45"/>
        <v/>
      </c>
      <c r="B384" s="64"/>
      <c r="C384" s="64"/>
      <c r="D384" s="64"/>
      <c r="E384" s="65"/>
      <c r="F384" s="65"/>
      <c r="G384" s="65"/>
      <c r="H384" s="66"/>
      <c r="I384" s="66"/>
      <c r="J384" s="67"/>
      <c r="K384" s="68"/>
      <c r="L384" s="104"/>
      <c r="M384" s="104"/>
      <c r="N384" s="104"/>
      <c r="O384" s="104"/>
      <c r="P384" s="107" t="str">
        <f t="shared" si="1"/>
        <v/>
      </c>
      <c r="Q384" s="108" t="str">
        <f>IFERROR(IF(AND(Preferences!B$3="Manual",OR(AX384/AW384&gt;G384/F384,BD384="Serious",BD384="Very serious")),"Assess imprecision",IFS(ISBLANK(E384),"",AND(Preferences!B$3="Automatic", G384/F384&gt;=30),"Extremely serious",AND(H384&lt;=$D$1*-1,J384&lt;0,G384/F384&lt;3),"Not serious",AND(H384&lt;=$D$1*-1,J384&lt;0,G384/F384&gt;=3),"Very serious",AND(H384&gt;=$D$1,I384&gt;0,G384/F384&lt;3),"Not serious",AND(H384&gt;=$D$1,I384&gt;0,G384/F384&gt;=3),"Very serious",AND(H384&lt;=$D$1*-1,J384&gt;0,I384&gt;$D$2*-1,G384/F384&lt;3),"Serious", AND(H384&lt;=$D$1*-1,J384&gt;0,I384&lt;$D$2*-1,G384/F384&lt;3),"Very serious", AND(H384&gt;=$D$1,I384&lt;0,J384&lt;$D$2,G384/F384&lt;3),"Serious",AND(H384&gt;=$D$1,I384&lt;0,J384&gt;$D$2,G384/F384&lt;3),"Very serious", AND(H384&lt;=$D$1*-1,J384&gt;0,I384&gt;$D$2*-1,G384/F384&gt;=3),"Very serious", AND(H384&lt;=$D$1*-1,J384&gt;0,I384&lt;$D$2*-1,G384/F384&gt;=3),"Very serious", AND(H384&gt;=$D$1,I384&lt;0,J384&lt;$D$2,G384/F384&gt;=3),"Very serious", AND(H384&gt;=$D$1,I384&lt;0,J384&gt;$D$2,G384/F384&gt;=3),"Very serious", AND(H384&gt;$D$1*-1,H384&lt;$D$1,I384&gt;$D$1*-1,J384&lt;$D$1,G384/F384&lt;3),"Not serious", AND(H384&gt;$D$1*-1,H384&lt;$D$1,OR(I384&lt;=$D$1*-1,J384&gt;=$D$1),I384&gt;$D$2*-1,J384&lt;$D$2,G384/F384&lt;3),"Serious", AND(H384&gt;$D$1*-1,H384&lt;$D$1,OR(I384&lt;=$D$2*-1,J384&gt;=$D$2),G384/F384&lt;3),"Very serious", AND(H384&gt;$D$1*-1,H384&lt;$D$1,I384&gt;$D$1*-1,J384&lt;$D$1,G384/F384&gt;=3),"Very serious", AND(H384&gt;$D$1*-1,H384&lt;$D$1,OR(I384&lt;=$D$1*-1,J384&gt;=$D$1),I384&gt;$D$2*-1,J384&lt;$D$2,G384/F384&gt;=3),"Very serious", AND(H384&gt;$D$1*-1,H384&lt;$D$1,OR(I384&lt;=$D$2*-1,J384&gt;=$D$2),G384/F384&gt;=3),"Very serious")),"")</f>
        <v/>
      </c>
      <c r="R384" s="109" t="str">
        <f t="shared" si="47"/>
        <v/>
      </c>
      <c r="S384" s="64"/>
      <c r="T384" s="72"/>
      <c r="U384" s="72"/>
      <c r="V384" s="72"/>
      <c r="W384" s="73"/>
      <c r="X384" s="73"/>
      <c r="Y384" s="74"/>
      <c r="Z384" s="113" t="str">
        <f t="array" ref="Z384">INDEX($A$1:$C$500, MATCH(1,($B:$B=$B384)*($C:$C=$AB384),0),1)</f>
        <v/>
      </c>
      <c r="AA384" s="113" t="str">
        <f t="array" ref="AA384">INDEX($A$1:$C$500, MATCH(1,($B:$B=$AB384)*($C:$C=$B384),0),1)</f>
        <v/>
      </c>
      <c r="AB384" s="111"/>
      <c r="AC384" s="114" t="str">
        <f t="shared" si="2"/>
        <v/>
      </c>
      <c r="AD384" s="115" t="str">
        <f t="shared" si="3"/>
        <v/>
      </c>
      <c r="AE384" s="116" t="str">
        <f t="array" ref="AE384">INDEX($A$1:$C$500, MATCH(1,($B:$B=$AB384)*($C:$C=$AG384),0),1)</f>
        <v/>
      </c>
      <c r="AF384" s="116" t="str">
        <f t="array" ref="AF384">INDEX($A$1:$C$500, MATCH(1,($B:$B=$AG384)*($C:$C=$AB384),0),1)</f>
        <v/>
      </c>
      <c r="AG384" s="72"/>
      <c r="AH384" s="114" t="str">
        <f t="shared" si="4"/>
        <v/>
      </c>
      <c r="AI384" s="115" t="str">
        <f t="shared" si="5"/>
        <v/>
      </c>
      <c r="AJ384" s="116" t="str">
        <f t="array" ref="AJ384">INDEX($A$1:$C$500, MATCH(1,($B:$B=$C384)*($C:$C=$AG384),0),1)</f>
        <v/>
      </c>
      <c r="AK384" s="116" t="str">
        <f t="array" ref="AK384">INDEX($A$1:$C$500, MATCH(1,($B:$B=$AG384)*($C:$C=$C384),0),1)</f>
        <v/>
      </c>
      <c r="AL384" s="116" t="str">
        <f t="array" ref="AL384">INDEX($A$1:$C$500, MATCH(1,($B:$B=$C384)*($C:$C=$AB384),0),1)</f>
        <v/>
      </c>
      <c r="AM384" s="116" t="str">
        <f t="array" ref="AM384">INDEX($A$1:$C$500, MATCH(1,($B:$B=$AB384)*($C:$C=$C384),0),1)</f>
        <v/>
      </c>
      <c r="AN384" s="114" t="str">
        <f t="array" ref="AN384">IFS(ISNUMBER(AJ384),AJ384,ISNUMBER(AK384),AK384,ISNUMBER(AL384),AL384,ISNUMBER(AM384),AM384)</f>
        <v>#N/A</v>
      </c>
      <c r="AO384" s="115" t="str">
        <f t="shared" si="6"/>
        <v/>
      </c>
      <c r="AP384" s="115" t="str">
        <f t="shared" si="7"/>
        <v/>
      </c>
      <c r="AQ384" s="111"/>
      <c r="AR384" s="109" t="str">
        <f t="shared" si="8"/>
        <v/>
      </c>
      <c r="AS384" s="72" t="str">
        <f>IFERROR(IF(AND(Preferences!B$3="Manual",OR(AX384/AW384&gt;V384/U384,BD384="Serious",BD384="Very serious")),"Assess imprecision",IFERROR(IFS(AND(Preferences!B$3="Automatic",V384/U384&gt;=30),"Extremely serious",AND(W384&lt;=$D$1*-1,Y384&lt;0,V384/U384&lt;3),"Not Serious",AND(W384&lt;=$D$1*-1,Y384&lt;0,V384/U384&gt;=3),"Very serious",AND(W384&gt;=$D$1,X384&gt;0,V384/U384&lt;3),"Not Serious",AND(W384&gt;=$D$1,X384&gt;0,V384/U384&gt;=3),"Very serious",AND(W384&lt;=$D$1*-1,Y384&gt;0,X384&gt;$D$2*-1,V384/U384&lt;3),"Serious", AND(W384&lt;=$D$1*-1,Y384&gt;0,X384&lt;$D$2*-1,V384/U384&lt;3),"Very serious", AND(W384&gt;=$D$1,X384&lt;0,Y384&lt;$D$2,V384/U384&lt;3),"Serious",AND(W384&gt;=$D$1,X384&lt;0,Y384&gt;$D$2,V384/U384&lt;3),"Very serious", AND(W384&lt;=$D$1*-1,Y384&gt;0,X384&gt;$D$2*-1,V384/U384&gt;=3),"Very serious", AND(W384&lt;=$D$1*-1,Y384&gt;0,X384&lt;$D$2*-1,V384/U384&gt;=3),"Very serious", AND(W384&gt;=$D$1,X384&lt;0,Y384&lt;$D$2,V384/U384&gt;=3),"Very serious", AND(W384&gt;=$D$1,X384&lt;0,Y384&gt;$D$2,V384/U384&gt;=3),"Very serious", AND(W384&gt;$D$1*-1,W384&lt;$D$1,X384&gt;$D$1*-1,Y384&lt;$D$1,V384/U384&lt;3),"Not Serious", AND(W384&gt;$D$1*-1,W384&lt;$D$1,OR(X384&lt;=$D$1*-1,Y384&gt;=$D$1),X384&gt;$D$2*-1,Y384&lt;$D$2,V384/U384&lt;3),"Serious", AND(W384&gt;$D$1*-1,W384&lt;$D$1,OR(X384&lt;=$D$2*-1,Y384&gt;=$D$2),V384/U384&lt;3),"Very serious", AND(W384&gt;$D$1*-1,W384&lt;$D$1,X384&gt;$D$1*-1,Y384&lt;$D$1,V384/U384&gt;=3),"Very serious", AND(W384&gt;$D$1*-1,W384&lt;$D$1,OR(X384&lt;=$D$1*-1,Y384&gt;=$D$1),X384&gt;$D$2*-1,Y384&lt;$D$2,V384/U384&gt;=3),"Very serious", AND(W384&gt;$D$1*-1,W384&lt;$D$1,OR(X384&lt;=$D$2*-1,Y384&gt;=$D$2),V384/U384&gt;=3),"Very serious"),"")),"")</f>
        <v/>
      </c>
      <c r="AT384" s="109" t="str">
        <f t="shared" si="9"/>
        <v/>
      </c>
      <c r="AU384" s="64"/>
      <c r="AV384" s="83"/>
      <c r="AW384" s="83"/>
      <c r="AX384" s="83"/>
      <c r="AY384" s="83"/>
      <c r="AZ384" s="83"/>
      <c r="BA384" s="85"/>
      <c r="BB384" s="86" t="str">
        <f>IF(Preferences!B$9="Manual","",IFS(ISBLANK(B384),"",AND(ISNUMBER(E384)=TRUE,ISNUMBER(T384)=FALSE),"Direct", AND(ISNUMBER(E384)=FALSE,ISNUMBER(T384)=TRUE),"Indirect", CN384=4,"Direct",AND(CL384=FALSE, CM384=TRUE,CN384-CO384&gt;-1),"Direct", AND(CL384=FALSE,CM384=TRUE, CN384-CO384&lt;0),"Check algorithm in appendix 2", AND(CL384=TRUE, CM384=FALSE,CN384-CO384&gt;0),"Check algorithm in appendix 2", AND(CL384=TRUE, CM384=FALSE,CN384-CO384=0),"Indirect", AND(CL384=TRUE, CM384=FALSE,CN384-CO384&lt;0),"Indirect", AND(CL384=FALSE,CM384=FALSE,CN384-CO384&gt;-1),"Direct", AND(CL384=FALSE,CM384=FALSE,CN384-CO384&lt;0),"Check algorithm in appendix 2", AND(CL384=TRUE,CM384=TRUE,CN384-CO384&gt;-1),"Direct", AND(CL384=TRUE,CM384=TRUE,CN384-CO384&lt;0),"Check algorithm in appendix 2"))</f>
        <v/>
      </c>
      <c r="BC384" s="120" t="str">
        <f t="shared" si="10"/>
        <v/>
      </c>
      <c r="BD384" s="140"/>
      <c r="BE384" s="122" t="str">
        <f>IF(Preferences!B$3="Manual","", IFERROR(IFS(AND(Preferences!B$3="Automatic",AX384/AW384&gt;=30),"Extremely serious",AND(AY384&lt;=$D$1*-1,BA384&lt;0,AX384/AW384&lt;3),"Not Serious",AND(AY384&lt;=$D$1*-1,BA384&lt;0,AX384/AW384&gt;=3),"Very serious",AND(AY384&gt;=$D$1,AZ384&gt;0,AX384/AW384&lt;3),"Not Serious",AND(AY384&gt;=$D$1,AZ384&gt;0,AX384/AW384&gt;=3),"Very serious",AND(AY384&lt;=$D$1*-1,BA384&gt;0,AZ384&gt;$D$2*-1,AX384/AW384&lt;3),"Serious", AND(AY384&lt;=$D$1*-1,BA384&gt;0,AZ384&lt;$D$2*-1,AX384/AW384&lt;3),"Very serious", AND(AY384&gt;=$D$1,AZ384&lt;0,BA384&lt;$D$2,AX384/AW384&lt;3),"Serious",AND(AY384&gt;=$D$1,AZ384&lt;0,BA384&gt;$D$2,AX384/AW384&lt;3),"Very serious", AND(AY384&lt;=$D$1*-1,BA384&gt;0,AZ384&gt;$D$2*-1,AX384/AW384&gt;=3),"Very serious", AND(AY384&lt;=$D$1*-1,BA384&gt;0,AZ384&lt;$D$2*-1,AX384/AW384&gt;=3),"Very serious", AND(AY384&gt;=$D$1,AZ384&lt;0,BA384&lt;$D$2,AX384/AW384&gt;=3),"Very serious", AND(AY384&gt;=$D$1,AZ384&lt;0,BA384&gt;$D$2,AX384/AW384&gt;=3),"Very serious", AND(AY384&gt;$D$1*-1,AY384&lt;$D$1,AZ384&gt;$D$1*-1,BA384&lt;$D$1,AX384/AW384&lt;3),"Not Serious", AND(AY384&gt;$D$1*-1,AY384&lt;$D$1,OR(AZ384&lt;=$D$1*-1,BA384&gt;=$D$1),AZ384&gt;$D$2*-1,BA384&lt;$D$2,AX384/AW384&lt;3),"Serious", AND(AY384&gt;$D$1*-1,AY384&lt;$D$1,OR(AZ384&lt;=$D$2*-1,BA384&gt;=$D$2),AX384/AW384&lt;3),"Very serious", AND(AY384&gt;$D$1*-1,AY384&lt;$D$1,AZ384&gt;$D$1*-1,BA384&lt;$D$1,AX384/AW384&gt;=3),"Very serious", AND(AY384&gt;$D$1*-1,AY384&lt;$D$1,OR(AZ384&lt;=$D$1*-1,BA384&gt;=$D$1),AZ384&gt;$D$2*-1,BA384&lt;$D$2,AX384/AW384&gt;=3),"Very serious", AND(AY384&gt;$D$1*-1,AY384&lt;$D$1,OR(AZ384&lt;=$D$2*-1,BA384&gt;=$D$2),AX384/AW384&gt;=3),"Very serious"),""))</f>
        <v/>
      </c>
      <c r="BF384" s="107" t="str">
        <f t="shared" si="11"/>
        <v/>
      </c>
      <c r="BG384" s="94" t="str">
        <f t="shared" si="46"/>
        <v/>
      </c>
      <c r="BH384" s="64" t="str">
        <f t="shared" si="12"/>
        <v>#N/A</v>
      </c>
      <c r="BI384" s="64" t="str">
        <f t="shared" si="13"/>
        <v/>
      </c>
      <c r="BJ384" s="123" t="str">
        <f t="shared" si="14"/>
        <v>#N/A</v>
      </c>
      <c r="BK384" s="64" t="str">
        <f t="shared" si="50"/>
        <v>YES</v>
      </c>
      <c r="BL384" s="64" t="str">
        <f t="shared" si="16"/>
        <v>YES</v>
      </c>
      <c r="BM384" s="64" t="str">
        <f t="shared" si="17"/>
        <v>YES</v>
      </c>
      <c r="BN384" s="124" t="str">
        <f t="shared" si="18"/>
        <v/>
      </c>
      <c r="BO384" s="91" t="str">
        <f t="shared" si="19"/>
        <v/>
      </c>
      <c r="BP384" s="91" t="str">
        <f t="shared" si="20"/>
        <v>#N/A</v>
      </c>
      <c r="BQ384" s="91" t="str">
        <f t="shared" si="21"/>
        <v/>
      </c>
      <c r="BR384" s="93" t="str">
        <f t="shared" si="22"/>
        <v/>
      </c>
      <c r="BS384" s="90" t="str">
        <f t="shared" si="23"/>
        <v/>
      </c>
      <c r="BT384" s="93" t="str">
        <f t="shared" si="24"/>
        <v>NA</v>
      </c>
      <c r="BU384" s="125" t="str">
        <f t="shared" si="25"/>
        <v>#N/A</v>
      </c>
      <c r="BV384" s="93" t="str">
        <f t="shared" si="26"/>
        <v/>
      </c>
      <c r="BW384" s="93" t="str">
        <f t="shared" si="27"/>
        <v/>
      </c>
      <c r="BX384" s="93" t="str">
        <f t="shared" si="28"/>
        <v>NA</v>
      </c>
      <c r="BY384" s="95" t="str">
        <f t="shared" si="29"/>
        <v>#N/A</v>
      </c>
      <c r="BZ384" s="93" t="str">
        <f t="shared" si="30"/>
        <v/>
      </c>
      <c r="CA384" s="93" t="str">
        <f t="shared" si="31"/>
        <v/>
      </c>
      <c r="CB384" s="93" t="str">
        <f t="shared" si="32"/>
        <v>NA</v>
      </c>
      <c r="CC384" s="96" t="str">
        <f t="shared" si="33"/>
        <v>#N/A</v>
      </c>
      <c r="CD384" s="93" t="str">
        <f t="shared" si="34"/>
        <v/>
      </c>
      <c r="CE384" s="93" t="str">
        <f t="shared" si="35"/>
        <v/>
      </c>
      <c r="CF384" s="93" t="str">
        <f t="shared" si="36"/>
        <v>NA</v>
      </c>
      <c r="CG384" s="97" t="str">
        <f t="shared" si="37"/>
        <v>#N/A</v>
      </c>
      <c r="CH384" s="98" t="str">
        <f t="shared" si="38"/>
        <v>#N/A</v>
      </c>
      <c r="CI384" s="99" t="str">
        <f t="shared" si="39"/>
        <v>#N/A</v>
      </c>
      <c r="CJ384" s="126" t="str">
        <f t="shared" si="40"/>
        <v>ERROR: check cell</v>
      </c>
      <c r="CK384" s="126"/>
      <c r="CL384" s="127" t="str">
        <f t="shared" si="41"/>
        <v>#DIV/0!</v>
      </c>
      <c r="CM384" s="128" t="str">
        <f t="shared" si="42"/>
        <v>#DIV/0!</v>
      </c>
      <c r="CN384" s="128">
        <f t="shared" si="43"/>
        <v>4</v>
      </c>
      <c r="CO384" s="129">
        <f t="shared" si="44"/>
        <v>4</v>
      </c>
      <c r="CP384" s="129" t="str">
        <f>IFS(C384=Preferences!B$13,B384,B384=Preferences!B$13,C384)</f>
        <v>#N/A</v>
      </c>
    </row>
    <row r="385" ht="13.5" customHeight="1">
      <c r="A385" s="63" t="str">
        <f t="shared" si="45"/>
        <v/>
      </c>
      <c r="B385" s="64"/>
      <c r="C385" s="64"/>
      <c r="D385" s="64"/>
      <c r="E385" s="65"/>
      <c r="F385" s="65"/>
      <c r="G385" s="65"/>
      <c r="H385" s="66"/>
      <c r="I385" s="66"/>
      <c r="J385" s="67"/>
      <c r="K385" s="68"/>
      <c r="L385" s="104"/>
      <c r="M385" s="104"/>
      <c r="N385" s="104"/>
      <c r="O385" s="104"/>
      <c r="P385" s="107" t="str">
        <f t="shared" si="1"/>
        <v/>
      </c>
      <c r="Q385" s="108" t="str">
        <f>IFERROR(IF(AND(Preferences!B$3="Manual",OR(AX385/AW385&gt;G385/F385,BD385="Serious",BD385="Very serious")),"Assess imprecision",IFS(ISBLANK(E385),"",AND(Preferences!B$3="Automatic", G385/F385&gt;=30),"Extremely serious",AND(H385&lt;=$D$1*-1,J385&lt;0,G385/F385&lt;3),"Not serious",AND(H385&lt;=$D$1*-1,J385&lt;0,G385/F385&gt;=3),"Very serious",AND(H385&gt;=$D$1,I385&gt;0,G385/F385&lt;3),"Not serious",AND(H385&gt;=$D$1,I385&gt;0,G385/F385&gt;=3),"Very serious",AND(H385&lt;=$D$1*-1,J385&gt;0,I385&gt;$D$2*-1,G385/F385&lt;3),"Serious", AND(H385&lt;=$D$1*-1,J385&gt;0,I385&lt;$D$2*-1,G385/F385&lt;3),"Very serious", AND(H385&gt;=$D$1,I385&lt;0,J385&lt;$D$2,G385/F385&lt;3),"Serious",AND(H385&gt;=$D$1,I385&lt;0,J385&gt;$D$2,G385/F385&lt;3),"Very serious", AND(H385&lt;=$D$1*-1,J385&gt;0,I385&gt;$D$2*-1,G385/F385&gt;=3),"Very serious", AND(H385&lt;=$D$1*-1,J385&gt;0,I385&lt;$D$2*-1,G385/F385&gt;=3),"Very serious", AND(H385&gt;=$D$1,I385&lt;0,J385&lt;$D$2,G385/F385&gt;=3),"Very serious", AND(H385&gt;=$D$1,I385&lt;0,J385&gt;$D$2,G385/F385&gt;=3),"Very serious", AND(H385&gt;$D$1*-1,H385&lt;$D$1,I385&gt;$D$1*-1,J385&lt;$D$1,G385/F385&lt;3),"Not serious", AND(H385&gt;$D$1*-1,H385&lt;$D$1,OR(I385&lt;=$D$1*-1,J385&gt;=$D$1),I385&gt;$D$2*-1,J385&lt;$D$2,G385/F385&lt;3),"Serious", AND(H385&gt;$D$1*-1,H385&lt;$D$1,OR(I385&lt;=$D$2*-1,J385&gt;=$D$2),G385/F385&lt;3),"Very serious", AND(H385&gt;$D$1*-1,H385&lt;$D$1,I385&gt;$D$1*-1,J385&lt;$D$1,G385/F385&gt;=3),"Very serious", AND(H385&gt;$D$1*-1,H385&lt;$D$1,OR(I385&lt;=$D$1*-1,J385&gt;=$D$1),I385&gt;$D$2*-1,J385&lt;$D$2,G385/F385&gt;=3),"Very serious", AND(H385&gt;$D$1*-1,H385&lt;$D$1,OR(I385&lt;=$D$2*-1,J385&gt;=$D$2),G385/F385&gt;=3),"Very serious")),"")</f>
        <v/>
      </c>
      <c r="R385" s="109" t="str">
        <f t="shared" si="47"/>
        <v/>
      </c>
      <c r="S385" s="64"/>
      <c r="T385" s="72"/>
      <c r="U385" s="72"/>
      <c r="V385" s="72"/>
      <c r="W385" s="73"/>
      <c r="X385" s="73"/>
      <c r="Y385" s="74"/>
      <c r="Z385" s="113" t="str">
        <f t="array" ref="Z385">INDEX($A$1:$C$500, MATCH(1,($B:$B=$B385)*($C:$C=$AB385),0),1)</f>
        <v/>
      </c>
      <c r="AA385" s="113" t="str">
        <f t="array" ref="AA385">INDEX($A$1:$C$500, MATCH(1,($B:$B=$AB385)*($C:$C=$B385),0),1)</f>
        <v/>
      </c>
      <c r="AB385" s="111"/>
      <c r="AC385" s="114" t="str">
        <f t="shared" si="2"/>
        <v/>
      </c>
      <c r="AD385" s="115" t="str">
        <f t="shared" si="3"/>
        <v/>
      </c>
      <c r="AE385" s="116" t="str">
        <f t="array" ref="AE385">INDEX($A$1:$C$500, MATCH(1,($B:$B=$AB385)*($C:$C=$AG385),0),1)</f>
        <v/>
      </c>
      <c r="AF385" s="116" t="str">
        <f t="array" ref="AF385">INDEX($A$1:$C$500, MATCH(1,($B:$B=$AG385)*($C:$C=$AB385),0),1)</f>
        <v/>
      </c>
      <c r="AG385" s="72"/>
      <c r="AH385" s="114" t="str">
        <f t="shared" si="4"/>
        <v/>
      </c>
      <c r="AI385" s="115" t="str">
        <f t="shared" si="5"/>
        <v/>
      </c>
      <c r="AJ385" s="116" t="str">
        <f t="array" ref="AJ385">INDEX($A$1:$C$500, MATCH(1,($B:$B=$C385)*($C:$C=$AG385),0),1)</f>
        <v/>
      </c>
      <c r="AK385" s="116" t="str">
        <f t="array" ref="AK385">INDEX($A$1:$C$500, MATCH(1,($B:$B=$AG385)*($C:$C=$C385),0),1)</f>
        <v/>
      </c>
      <c r="AL385" s="116" t="str">
        <f t="array" ref="AL385">INDEX($A$1:$C$500, MATCH(1,($B:$B=$C385)*($C:$C=$AB385),0),1)</f>
        <v/>
      </c>
      <c r="AM385" s="116" t="str">
        <f t="array" ref="AM385">INDEX($A$1:$C$500, MATCH(1,($B:$B=$AB385)*($C:$C=$C385),0),1)</f>
        <v/>
      </c>
      <c r="AN385" s="114" t="str">
        <f t="array" ref="AN385">IFS(ISNUMBER(AJ385),AJ385,ISNUMBER(AK385),AK385,ISNUMBER(AL385),AL385,ISNUMBER(AM385),AM385)</f>
        <v>#N/A</v>
      </c>
      <c r="AO385" s="115" t="str">
        <f t="shared" si="6"/>
        <v/>
      </c>
      <c r="AP385" s="115" t="str">
        <f t="shared" si="7"/>
        <v/>
      </c>
      <c r="AQ385" s="111"/>
      <c r="AR385" s="109" t="str">
        <f t="shared" si="8"/>
        <v/>
      </c>
      <c r="AS385" s="72" t="str">
        <f>IFERROR(IF(AND(Preferences!B$3="Manual",OR(AX385/AW385&gt;V385/U385,BD385="Serious",BD385="Very serious")),"Assess imprecision",IFERROR(IFS(AND(Preferences!B$3="Automatic",V385/U385&gt;=30),"Extremely serious",AND(W385&lt;=$D$1*-1,Y385&lt;0,V385/U385&lt;3),"Not Serious",AND(W385&lt;=$D$1*-1,Y385&lt;0,V385/U385&gt;=3),"Very serious",AND(W385&gt;=$D$1,X385&gt;0,V385/U385&lt;3),"Not Serious",AND(W385&gt;=$D$1,X385&gt;0,V385/U385&gt;=3),"Very serious",AND(W385&lt;=$D$1*-1,Y385&gt;0,X385&gt;$D$2*-1,V385/U385&lt;3),"Serious", AND(W385&lt;=$D$1*-1,Y385&gt;0,X385&lt;$D$2*-1,V385/U385&lt;3),"Very serious", AND(W385&gt;=$D$1,X385&lt;0,Y385&lt;$D$2,V385/U385&lt;3),"Serious",AND(W385&gt;=$D$1,X385&lt;0,Y385&gt;$D$2,V385/U385&lt;3),"Very serious", AND(W385&lt;=$D$1*-1,Y385&gt;0,X385&gt;$D$2*-1,V385/U385&gt;=3),"Very serious", AND(W385&lt;=$D$1*-1,Y385&gt;0,X385&lt;$D$2*-1,V385/U385&gt;=3),"Very serious", AND(W385&gt;=$D$1,X385&lt;0,Y385&lt;$D$2,V385/U385&gt;=3),"Very serious", AND(W385&gt;=$D$1,X385&lt;0,Y385&gt;$D$2,V385/U385&gt;=3),"Very serious", AND(W385&gt;$D$1*-1,W385&lt;$D$1,X385&gt;$D$1*-1,Y385&lt;$D$1,V385/U385&lt;3),"Not Serious", AND(W385&gt;$D$1*-1,W385&lt;$D$1,OR(X385&lt;=$D$1*-1,Y385&gt;=$D$1),X385&gt;$D$2*-1,Y385&lt;$D$2,V385/U385&lt;3),"Serious", AND(W385&gt;$D$1*-1,W385&lt;$D$1,OR(X385&lt;=$D$2*-1,Y385&gt;=$D$2),V385/U385&lt;3),"Very serious", AND(W385&gt;$D$1*-1,W385&lt;$D$1,X385&gt;$D$1*-1,Y385&lt;$D$1,V385/U385&gt;=3),"Very serious", AND(W385&gt;$D$1*-1,W385&lt;$D$1,OR(X385&lt;=$D$1*-1,Y385&gt;=$D$1),X385&gt;$D$2*-1,Y385&lt;$D$2,V385/U385&gt;=3),"Very serious", AND(W385&gt;$D$1*-1,W385&lt;$D$1,OR(X385&lt;=$D$2*-1,Y385&gt;=$D$2),V385/U385&gt;=3),"Very serious"),"")),"")</f>
        <v/>
      </c>
      <c r="AT385" s="109" t="str">
        <f t="shared" si="9"/>
        <v/>
      </c>
      <c r="AU385" s="64"/>
      <c r="AV385" s="83"/>
      <c r="AW385" s="83"/>
      <c r="AX385" s="83"/>
      <c r="AY385" s="83"/>
      <c r="AZ385" s="83"/>
      <c r="BA385" s="85"/>
      <c r="BB385" s="86" t="str">
        <f>IF(Preferences!B$9="Manual","",IFS(ISBLANK(B385),"",AND(ISNUMBER(E385)=TRUE,ISNUMBER(T385)=FALSE),"Direct", AND(ISNUMBER(E385)=FALSE,ISNUMBER(T385)=TRUE),"Indirect", CN385=4,"Direct",AND(CL385=FALSE, CM385=TRUE,CN385-CO385&gt;-1),"Direct", AND(CL385=FALSE,CM385=TRUE, CN385-CO385&lt;0),"Check algorithm in appendix 2", AND(CL385=TRUE, CM385=FALSE,CN385-CO385&gt;0),"Check algorithm in appendix 2", AND(CL385=TRUE, CM385=FALSE,CN385-CO385=0),"Indirect", AND(CL385=TRUE, CM385=FALSE,CN385-CO385&lt;0),"Indirect", AND(CL385=FALSE,CM385=FALSE,CN385-CO385&gt;-1),"Direct", AND(CL385=FALSE,CM385=FALSE,CN385-CO385&lt;0),"Check algorithm in appendix 2", AND(CL385=TRUE,CM385=TRUE,CN385-CO385&gt;-1),"Direct", AND(CL385=TRUE,CM385=TRUE,CN385-CO385&lt;0),"Check algorithm in appendix 2"))</f>
        <v/>
      </c>
      <c r="BC385" s="120" t="str">
        <f t="shared" si="10"/>
        <v/>
      </c>
      <c r="BD385" s="140"/>
      <c r="BE385" s="122" t="str">
        <f>IF(Preferences!B$3="Manual","", IFERROR(IFS(AND(Preferences!B$3="Automatic",AX385/AW385&gt;=30),"Extremely serious",AND(AY385&lt;=$D$1*-1,BA385&lt;0,AX385/AW385&lt;3),"Not Serious",AND(AY385&lt;=$D$1*-1,BA385&lt;0,AX385/AW385&gt;=3),"Very serious",AND(AY385&gt;=$D$1,AZ385&gt;0,AX385/AW385&lt;3),"Not Serious",AND(AY385&gt;=$D$1,AZ385&gt;0,AX385/AW385&gt;=3),"Very serious",AND(AY385&lt;=$D$1*-1,BA385&gt;0,AZ385&gt;$D$2*-1,AX385/AW385&lt;3),"Serious", AND(AY385&lt;=$D$1*-1,BA385&gt;0,AZ385&lt;$D$2*-1,AX385/AW385&lt;3),"Very serious", AND(AY385&gt;=$D$1,AZ385&lt;0,BA385&lt;$D$2,AX385/AW385&lt;3),"Serious",AND(AY385&gt;=$D$1,AZ385&lt;0,BA385&gt;$D$2,AX385/AW385&lt;3),"Very serious", AND(AY385&lt;=$D$1*-1,BA385&gt;0,AZ385&gt;$D$2*-1,AX385/AW385&gt;=3),"Very serious", AND(AY385&lt;=$D$1*-1,BA385&gt;0,AZ385&lt;$D$2*-1,AX385/AW385&gt;=3),"Very serious", AND(AY385&gt;=$D$1,AZ385&lt;0,BA385&lt;$D$2,AX385/AW385&gt;=3),"Very serious", AND(AY385&gt;=$D$1,AZ385&lt;0,BA385&gt;$D$2,AX385/AW385&gt;=3),"Very serious", AND(AY385&gt;$D$1*-1,AY385&lt;$D$1,AZ385&gt;$D$1*-1,BA385&lt;$D$1,AX385/AW385&lt;3),"Not Serious", AND(AY385&gt;$D$1*-1,AY385&lt;$D$1,OR(AZ385&lt;=$D$1*-1,BA385&gt;=$D$1),AZ385&gt;$D$2*-1,BA385&lt;$D$2,AX385/AW385&lt;3),"Serious", AND(AY385&gt;$D$1*-1,AY385&lt;$D$1,OR(AZ385&lt;=$D$2*-1,BA385&gt;=$D$2),AX385/AW385&lt;3),"Very serious", AND(AY385&gt;$D$1*-1,AY385&lt;$D$1,AZ385&gt;$D$1*-1,BA385&lt;$D$1,AX385/AW385&gt;=3),"Very serious", AND(AY385&gt;$D$1*-1,AY385&lt;$D$1,OR(AZ385&lt;=$D$1*-1,BA385&gt;=$D$1),AZ385&gt;$D$2*-1,BA385&lt;$D$2,AX385/AW385&gt;=3),"Very serious", AND(AY385&gt;$D$1*-1,AY385&lt;$D$1,OR(AZ385&lt;=$D$2*-1,BA385&gt;=$D$2),AX385/AW385&gt;=3),"Very serious"),""))</f>
        <v/>
      </c>
      <c r="BF385" s="107" t="str">
        <f t="shared" si="11"/>
        <v/>
      </c>
      <c r="BG385" s="94" t="str">
        <f t="shared" si="46"/>
        <v/>
      </c>
      <c r="BH385" s="64" t="str">
        <f t="shared" si="12"/>
        <v>#N/A</v>
      </c>
      <c r="BI385" s="64" t="str">
        <f t="shared" si="13"/>
        <v/>
      </c>
      <c r="BJ385" s="123" t="str">
        <f t="shared" si="14"/>
        <v>#N/A</v>
      </c>
      <c r="BK385" s="64" t="str">
        <f t="shared" si="50"/>
        <v>YES</v>
      </c>
      <c r="BL385" s="64" t="str">
        <f t="shared" si="16"/>
        <v>YES</v>
      </c>
      <c r="BM385" s="64" t="str">
        <f t="shared" si="17"/>
        <v>YES</v>
      </c>
      <c r="BN385" s="124" t="str">
        <f t="shared" si="18"/>
        <v/>
      </c>
      <c r="BO385" s="91" t="str">
        <f t="shared" si="19"/>
        <v/>
      </c>
      <c r="BP385" s="91" t="str">
        <f t="shared" si="20"/>
        <v>#N/A</v>
      </c>
      <c r="BQ385" s="91" t="str">
        <f t="shared" si="21"/>
        <v/>
      </c>
      <c r="BR385" s="93" t="str">
        <f t="shared" si="22"/>
        <v/>
      </c>
      <c r="BS385" s="90" t="str">
        <f t="shared" si="23"/>
        <v/>
      </c>
      <c r="BT385" s="93" t="str">
        <f t="shared" si="24"/>
        <v>NA</v>
      </c>
      <c r="BU385" s="125" t="str">
        <f t="shared" si="25"/>
        <v>#N/A</v>
      </c>
      <c r="BV385" s="93" t="str">
        <f t="shared" si="26"/>
        <v/>
      </c>
      <c r="BW385" s="93" t="str">
        <f t="shared" si="27"/>
        <v/>
      </c>
      <c r="BX385" s="93" t="str">
        <f t="shared" si="28"/>
        <v>NA</v>
      </c>
      <c r="BY385" s="95" t="str">
        <f t="shared" si="29"/>
        <v>#N/A</v>
      </c>
      <c r="BZ385" s="93" t="str">
        <f t="shared" si="30"/>
        <v/>
      </c>
      <c r="CA385" s="93" t="str">
        <f t="shared" si="31"/>
        <v/>
      </c>
      <c r="CB385" s="93" t="str">
        <f t="shared" si="32"/>
        <v>NA</v>
      </c>
      <c r="CC385" s="96" t="str">
        <f t="shared" si="33"/>
        <v>#N/A</v>
      </c>
      <c r="CD385" s="93" t="str">
        <f t="shared" si="34"/>
        <v/>
      </c>
      <c r="CE385" s="93" t="str">
        <f t="shared" si="35"/>
        <v/>
      </c>
      <c r="CF385" s="93" t="str">
        <f t="shared" si="36"/>
        <v>NA</v>
      </c>
      <c r="CG385" s="97" t="str">
        <f t="shared" si="37"/>
        <v>#N/A</v>
      </c>
      <c r="CH385" s="98" t="str">
        <f t="shared" si="38"/>
        <v>#N/A</v>
      </c>
      <c r="CI385" s="99" t="str">
        <f t="shared" si="39"/>
        <v>#N/A</v>
      </c>
      <c r="CJ385" s="126" t="str">
        <f t="shared" si="40"/>
        <v>ERROR: check cell</v>
      </c>
      <c r="CK385" s="126"/>
      <c r="CL385" s="127" t="str">
        <f t="shared" si="41"/>
        <v>#DIV/0!</v>
      </c>
      <c r="CM385" s="128" t="str">
        <f t="shared" si="42"/>
        <v>#DIV/0!</v>
      </c>
      <c r="CN385" s="128">
        <f t="shared" si="43"/>
        <v>4</v>
      </c>
      <c r="CO385" s="129">
        <f t="shared" si="44"/>
        <v>4</v>
      </c>
      <c r="CP385" s="129" t="str">
        <f>IFS(C385=Preferences!B$13,B385,B385=Preferences!B$13,C385)</f>
        <v>#N/A</v>
      </c>
    </row>
    <row r="386" ht="13.5" customHeight="1">
      <c r="A386" s="63" t="str">
        <f t="shared" si="45"/>
        <v/>
      </c>
      <c r="B386" s="64"/>
      <c r="C386" s="64"/>
      <c r="D386" s="64"/>
      <c r="E386" s="65"/>
      <c r="F386" s="65"/>
      <c r="G386" s="65"/>
      <c r="H386" s="66"/>
      <c r="I386" s="66"/>
      <c r="J386" s="67"/>
      <c r="K386" s="68"/>
      <c r="L386" s="104"/>
      <c r="M386" s="104"/>
      <c r="N386" s="104"/>
      <c r="O386" s="104"/>
      <c r="P386" s="107" t="str">
        <f t="shared" si="1"/>
        <v/>
      </c>
      <c r="Q386" s="108" t="str">
        <f>IFERROR(IF(AND(Preferences!B$3="Manual",OR(AX386/AW386&gt;G386/F386,BD386="Serious",BD386="Very serious")),"Assess imprecision",IFS(ISBLANK(E386),"",AND(Preferences!B$3="Automatic", G386/F386&gt;=30),"Extremely serious",AND(H386&lt;=$D$1*-1,J386&lt;0,G386/F386&lt;3),"Not serious",AND(H386&lt;=$D$1*-1,J386&lt;0,G386/F386&gt;=3),"Very serious",AND(H386&gt;=$D$1,I386&gt;0,G386/F386&lt;3),"Not serious",AND(H386&gt;=$D$1,I386&gt;0,G386/F386&gt;=3),"Very serious",AND(H386&lt;=$D$1*-1,J386&gt;0,I386&gt;$D$2*-1,G386/F386&lt;3),"Serious", AND(H386&lt;=$D$1*-1,J386&gt;0,I386&lt;$D$2*-1,G386/F386&lt;3),"Very serious", AND(H386&gt;=$D$1,I386&lt;0,J386&lt;$D$2,G386/F386&lt;3),"Serious",AND(H386&gt;=$D$1,I386&lt;0,J386&gt;$D$2,G386/F386&lt;3),"Very serious", AND(H386&lt;=$D$1*-1,J386&gt;0,I386&gt;$D$2*-1,G386/F386&gt;=3),"Very serious", AND(H386&lt;=$D$1*-1,J386&gt;0,I386&lt;$D$2*-1,G386/F386&gt;=3),"Very serious", AND(H386&gt;=$D$1,I386&lt;0,J386&lt;$D$2,G386/F386&gt;=3),"Very serious", AND(H386&gt;=$D$1,I386&lt;0,J386&gt;$D$2,G386/F386&gt;=3),"Very serious", AND(H386&gt;$D$1*-1,H386&lt;$D$1,I386&gt;$D$1*-1,J386&lt;$D$1,G386/F386&lt;3),"Not serious", AND(H386&gt;$D$1*-1,H386&lt;$D$1,OR(I386&lt;=$D$1*-1,J386&gt;=$D$1),I386&gt;$D$2*-1,J386&lt;$D$2,G386/F386&lt;3),"Serious", AND(H386&gt;$D$1*-1,H386&lt;$D$1,OR(I386&lt;=$D$2*-1,J386&gt;=$D$2),G386/F386&lt;3),"Very serious", AND(H386&gt;$D$1*-1,H386&lt;$D$1,I386&gt;$D$1*-1,J386&lt;$D$1,G386/F386&gt;=3),"Very serious", AND(H386&gt;$D$1*-1,H386&lt;$D$1,OR(I386&lt;=$D$1*-1,J386&gt;=$D$1),I386&gt;$D$2*-1,J386&lt;$D$2,G386/F386&gt;=3),"Very serious", AND(H386&gt;$D$1*-1,H386&lt;$D$1,OR(I386&lt;=$D$2*-1,J386&gt;=$D$2),G386/F386&gt;=3),"Very serious")),"")</f>
        <v/>
      </c>
      <c r="R386" s="109" t="str">
        <f t="shared" si="47"/>
        <v/>
      </c>
      <c r="S386" s="64"/>
      <c r="T386" s="72"/>
      <c r="U386" s="72"/>
      <c r="V386" s="72"/>
      <c r="W386" s="73"/>
      <c r="X386" s="73"/>
      <c r="Y386" s="74"/>
      <c r="Z386" s="113" t="str">
        <f t="array" ref="Z386">INDEX($A$1:$C$500, MATCH(1,($B:$B=$B386)*($C:$C=$AB386),0),1)</f>
        <v/>
      </c>
      <c r="AA386" s="113" t="str">
        <f t="array" ref="AA386">INDEX($A$1:$C$500, MATCH(1,($B:$B=$AB386)*($C:$C=$B386),0),1)</f>
        <v/>
      </c>
      <c r="AB386" s="111"/>
      <c r="AC386" s="114" t="str">
        <f t="shared" si="2"/>
        <v/>
      </c>
      <c r="AD386" s="115" t="str">
        <f t="shared" si="3"/>
        <v/>
      </c>
      <c r="AE386" s="116" t="str">
        <f t="array" ref="AE386">INDEX($A$1:$C$500, MATCH(1,($B:$B=$AB386)*($C:$C=$AG386),0),1)</f>
        <v/>
      </c>
      <c r="AF386" s="116" t="str">
        <f t="array" ref="AF386">INDEX($A$1:$C$500, MATCH(1,($B:$B=$AG386)*($C:$C=$AB386),0),1)</f>
        <v/>
      </c>
      <c r="AG386" s="72"/>
      <c r="AH386" s="114" t="str">
        <f t="shared" si="4"/>
        <v/>
      </c>
      <c r="AI386" s="115" t="str">
        <f t="shared" si="5"/>
        <v/>
      </c>
      <c r="AJ386" s="116" t="str">
        <f t="array" ref="AJ386">INDEX($A$1:$C$500, MATCH(1,($B:$B=$C386)*($C:$C=$AG386),0),1)</f>
        <v/>
      </c>
      <c r="AK386" s="116" t="str">
        <f t="array" ref="AK386">INDEX($A$1:$C$500, MATCH(1,($B:$B=$AG386)*($C:$C=$C386),0),1)</f>
        <v/>
      </c>
      <c r="AL386" s="116" t="str">
        <f t="array" ref="AL386">INDEX($A$1:$C$500, MATCH(1,($B:$B=$C386)*($C:$C=$AB386),0),1)</f>
        <v/>
      </c>
      <c r="AM386" s="116" t="str">
        <f t="array" ref="AM386">INDEX($A$1:$C$500, MATCH(1,($B:$B=$AB386)*($C:$C=$C386),0),1)</f>
        <v/>
      </c>
      <c r="AN386" s="114" t="str">
        <f t="array" ref="AN386">IFS(ISNUMBER(AJ386),AJ386,ISNUMBER(AK386),AK386,ISNUMBER(AL386),AL386,ISNUMBER(AM386),AM386)</f>
        <v>#N/A</v>
      </c>
      <c r="AO386" s="115" t="str">
        <f t="shared" si="6"/>
        <v/>
      </c>
      <c r="AP386" s="115" t="str">
        <f t="shared" si="7"/>
        <v/>
      </c>
      <c r="AQ386" s="111"/>
      <c r="AR386" s="109" t="str">
        <f t="shared" si="8"/>
        <v/>
      </c>
      <c r="AS386" s="72" t="str">
        <f>IFERROR(IF(AND(Preferences!B$3="Manual",OR(AX386/AW386&gt;V386/U386,BD386="Serious",BD386="Very serious")),"Assess imprecision",IFERROR(IFS(AND(Preferences!B$3="Automatic",V386/U386&gt;=30),"Extremely serious",AND(W386&lt;=$D$1*-1,Y386&lt;0,V386/U386&lt;3),"Not Serious",AND(W386&lt;=$D$1*-1,Y386&lt;0,V386/U386&gt;=3),"Very serious",AND(W386&gt;=$D$1,X386&gt;0,V386/U386&lt;3),"Not Serious",AND(W386&gt;=$D$1,X386&gt;0,V386/U386&gt;=3),"Very serious",AND(W386&lt;=$D$1*-1,Y386&gt;0,X386&gt;$D$2*-1,V386/U386&lt;3),"Serious", AND(W386&lt;=$D$1*-1,Y386&gt;0,X386&lt;$D$2*-1,V386/U386&lt;3),"Very serious", AND(W386&gt;=$D$1,X386&lt;0,Y386&lt;$D$2,V386/U386&lt;3),"Serious",AND(W386&gt;=$D$1,X386&lt;0,Y386&gt;$D$2,V386/U386&lt;3),"Very serious", AND(W386&lt;=$D$1*-1,Y386&gt;0,X386&gt;$D$2*-1,V386/U386&gt;=3),"Very serious", AND(W386&lt;=$D$1*-1,Y386&gt;0,X386&lt;$D$2*-1,V386/U386&gt;=3),"Very serious", AND(W386&gt;=$D$1,X386&lt;0,Y386&lt;$D$2,V386/U386&gt;=3),"Very serious", AND(W386&gt;=$D$1,X386&lt;0,Y386&gt;$D$2,V386/U386&gt;=3),"Very serious", AND(W386&gt;$D$1*-1,W386&lt;$D$1,X386&gt;$D$1*-1,Y386&lt;$D$1,V386/U386&lt;3),"Not Serious", AND(W386&gt;$D$1*-1,W386&lt;$D$1,OR(X386&lt;=$D$1*-1,Y386&gt;=$D$1),X386&gt;$D$2*-1,Y386&lt;$D$2,V386/U386&lt;3),"Serious", AND(W386&gt;$D$1*-1,W386&lt;$D$1,OR(X386&lt;=$D$2*-1,Y386&gt;=$D$2),V386/U386&lt;3),"Very serious", AND(W386&gt;$D$1*-1,W386&lt;$D$1,X386&gt;$D$1*-1,Y386&lt;$D$1,V386/U386&gt;=3),"Very serious", AND(W386&gt;$D$1*-1,W386&lt;$D$1,OR(X386&lt;=$D$1*-1,Y386&gt;=$D$1),X386&gt;$D$2*-1,Y386&lt;$D$2,V386/U386&gt;=3),"Very serious", AND(W386&gt;$D$1*-1,W386&lt;$D$1,OR(X386&lt;=$D$2*-1,Y386&gt;=$D$2),V386/U386&gt;=3),"Very serious"),"")),"")</f>
        <v/>
      </c>
      <c r="AT386" s="109" t="str">
        <f t="shared" si="9"/>
        <v/>
      </c>
      <c r="AU386" s="64"/>
      <c r="AV386" s="83"/>
      <c r="AW386" s="83"/>
      <c r="AX386" s="83"/>
      <c r="AY386" s="83"/>
      <c r="AZ386" s="83"/>
      <c r="BA386" s="85"/>
      <c r="BB386" s="86" t="str">
        <f>IF(Preferences!B$9="Manual","",IFS(ISBLANK(B386),"",AND(ISNUMBER(E386)=TRUE,ISNUMBER(T386)=FALSE),"Direct", AND(ISNUMBER(E386)=FALSE,ISNUMBER(T386)=TRUE),"Indirect", CN386=4,"Direct",AND(CL386=FALSE, CM386=TRUE,CN386-CO386&gt;-1),"Direct", AND(CL386=FALSE,CM386=TRUE, CN386-CO386&lt;0),"Check algorithm in appendix 2", AND(CL386=TRUE, CM386=FALSE,CN386-CO386&gt;0),"Check algorithm in appendix 2", AND(CL386=TRUE, CM386=FALSE,CN386-CO386=0),"Indirect", AND(CL386=TRUE, CM386=FALSE,CN386-CO386&lt;0),"Indirect", AND(CL386=FALSE,CM386=FALSE,CN386-CO386&gt;-1),"Direct", AND(CL386=FALSE,CM386=FALSE,CN386-CO386&lt;0),"Check algorithm in appendix 2", AND(CL386=TRUE,CM386=TRUE,CN386-CO386&gt;-1),"Direct", AND(CL386=TRUE,CM386=TRUE,CN386-CO386&lt;0),"Check algorithm in appendix 2"))</f>
        <v/>
      </c>
      <c r="BC386" s="120" t="str">
        <f t="shared" si="10"/>
        <v/>
      </c>
      <c r="BD386" s="140"/>
      <c r="BE386" s="122" t="str">
        <f>IF(Preferences!B$3="Manual","", IFERROR(IFS(AND(Preferences!B$3="Automatic",AX386/AW386&gt;=30),"Extremely serious",AND(AY386&lt;=$D$1*-1,BA386&lt;0,AX386/AW386&lt;3),"Not Serious",AND(AY386&lt;=$D$1*-1,BA386&lt;0,AX386/AW386&gt;=3),"Very serious",AND(AY386&gt;=$D$1,AZ386&gt;0,AX386/AW386&lt;3),"Not Serious",AND(AY386&gt;=$D$1,AZ386&gt;0,AX386/AW386&gt;=3),"Very serious",AND(AY386&lt;=$D$1*-1,BA386&gt;0,AZ386&gt;$D$2*-1,AX386/AW386&lt;3),"Serious", AND(AY386&lt;=$D$1*-1,BA386&gt;0,AZ386&lt;$D$2*-1,AX386/AW386&lt;3),"Very serious", AND(AY386&gt;=$D$1,AZ386&lt;0,BA386&lt;$D$2,AX386/AW386&lt;3),"Serious",AND(AY386&gt;=$D$1,AZ386&lt;0,BA386&gt;$D$2,AX386/AW386&lt;3),"Very serious", AND(AY386&lt;=$D$1*-1,BA386&gt;0,AZ386&gt;$D$2*-1,AX386/AW386&gt;=3),"Very serious", AND(AY386&lt;=$D$1*-1,BA386&gt;0,AZ386&lt;$D$2*-1,AX386/AW386&gt;=3),"Very serious", AND(AY386&gt;=$D$1,AZ386&lt;0,BA386&lt;$D$2,AX386/AW386&gt;=3),"Very serious", AND(AY386&gt;=$D$1,AZ386&lt;0,BA386&gt;$D$2,AX386/AW386&gt;=3),"Very serious", AND(AY386&gt;$D$1*-1,AY386&lt;$D$1,AZ386&gt;$D$1*-1,BA386&lt;$D$1,AX386/AW386&lt;3),"Not Serious", AND(AY386&gt;$D$1*-1,AY386&lt;$D$1,OR(AZ386&lt;=$D$1*-1,BA386&gt;=$D$1),AZ386&gt;$D$2*-1,BA386&lt;$D$2,AX386/AW386&lt;3),"Serious", AND(AY386&gt;$D$1*-1,AY386&lt;$D$1,OR(AZ386&lt;=$D$2*-1,BA386&gt;=$D$2),AX386/AW386&lt;3),"Very serious", AND(AY386&gt;$D$1*-1,AY386&lt;$D$1,AZ386&gt;$D$1*-1,BA386&lt;$D$1,AX386/AW386&gt;=3),"Very serious", AND(AY386&gt;$D$1*-1,AY386&lt;$D$1,OR(AZ386&lt;=$D$1*-1,BA386&gt;=$D$1),AZ386&gt;$D$2*-1,BA386&lt;$D$2,AX386/AW386&gt;=3),"Very serious", AND(AY386&gt;$D$1*-1,AY386&lt;$D$1,OR(AZ386&lt;=$D$2*-1,BA386&gt;=$D$2),AX386/AW386&gt;=3),"Very serious"),""))</f>
        <v/>
      </c>
      <c r="BF386" s="107" t="str">
        <f t="shared" si="11"/>
        <v/>
      </c>
      <c r="BG386" s="94" t="str">
        <f t="shared" si="46"/>
        <v/>
      </c>
      <c r="BH386" s="64" t="str">
        <f t="shared" si="12"/>
        <v>#N/A</v>
      </c>
      <c r="BI386" s="64" t="str">
        <f t="shared" si="13"/>
        <v/>
      </c>
      <c r="BJ386" s="123" t="str">
        <f t="shared" si="14"/>
        <v>#N/A</v>
      </c>
      <c r="BK386" s="64" t="str">
        <f t="shared" si="50"/>
        <v>YES</v>
      </c>
      <c r="BL386" s="64" t="str">
        <f t="shared" si="16"/>
        <v>YES</v>
      </c>
      <c r="BM386" s="64" t="str">
        <f t="shared" si="17"/>
        <v>YES</v>
      </c>
      <c r="BN386" s="124" t="str">
        <f t="shared" si="18"/>
        <v/>
      </c>
      <c r="BO386" s="91" t="str">
        <f t="shared" si="19"/>
        <v/>
      </c>
      <c r="BP386" s="91" t="str">
        <f t="shared" si="20"/>
        <v>#N/A</v>
      </c>
      <c r="BQ386" s="91" t="str">
        <f t="shared" si="21"/>
        <v/>
      </c>
      <c r="BR386" s="93" t="str">
        <f t="shared" si="22"/>
        <v/>
      </c>
      <c r="BS386" s="90" t="str">
        <f t="shared" si="23"/>
        <v/>
      </c>
      <c r="BT386" s="93" t="str">
        <f t="shared" si="24"/>
        <v>NA</v>
      </c>
      <c r="BU386" s="125" t="str">
        <f t="shared" si="25"/>
        <v>#N/A</v>
      </c>
      <c r="BV386" s="93" t="str">
        <f t="shared" si="26"/>
        <v/>
      </c>
      <c r="BW386" s="93" t="str">
        <f t="shared" si="27"/>
        <v/>
      </c>
      <c r="BX386" s="93" t="str">
        <f t="shared" si="28"/>
        <v>NA</v>
      </c>
      <c r="BY386" s="95" t="str">
        <f t="shared" si="29"/>
        <v>#N/A</v>
      </c>
      <c r="BZ386" s="93" t="str">
        <f t="shared" si="30"/>
        <v/>
      </c>
      <c r="CA386" s="93" t="str">
        <f t="shared" si="31"/>
        <v/>
      </c>
      <c r="CB386" s="93" t="str">
        <f t="shared" si="32"/>
        <v>NA</v>
      </c>
      <c r="CC386" s="96" t="str">
        <f t="shared" si="33"/>
        <v>#N/A</v>
      </c>
      <c r="CD386" s="93" t="str">
        <f t="shared" si="34"/>
        <v/>
      </c>
      <c r="CE386" s="93" t="str">
        <f t="shared" si="35"/>
        <v/>
      </c>
      <c r="CF386" s="93" t="str">
        <f t="shared" si="36"/>
        <v>NA</v>
      </c>
      <c r="CG386" s="97" t="str">
        <f t="shared" si="37"/>
        <v>#N/A</v>
      </c>
      <c r="CH386" s="98" t="str">
        <f t="shared" si="38"/>
        <v>#N/A</v>
      </c>
      <c r="CI386" s="99" t="str">
        <f t="shared" si="39"/>
        <v>#N/A</v>
      </c>
      <c r="CJ386" s="126" t="str">
        <f t="shared" si="40"/>
        <v>ERROR: check cell</v>
      </c>
      <c r="CK386" s="126"/>
      <c r="CL386" s="127" t="str">
        <f t="shared" si="41"/>
        <v>#DIV/0!</v>
      </c>
      <c r="CM386" s="128" t="str">
        <f t="shared" si="42"/>
        <v>#DIV/0!</v>
      </c>
      <c r="CN386" s="128">
        <f t="shared" si="43"/>
        <v>4</v>
      </c>
      <c r="CO386" s="129">
        <f t="shared" si="44"/>
        <v>4</v>
      </c>
      <c r="CP386" s="129" t="str">
        <f>IFS(C386=Preferences!B$13,B386,B386=Preferences!B$13,C386)</f>
        <v>#N/A</v>
      </c>
    </row>
    <row r="387" ht="13.5" customHeight="1">
      <c r="A387" s="63" t="str">
        <f t="shared" si="45"/>
        <v/>
      </c>
      <c r="B387" s="64"/>
      <c r="C387" s="64"/>
      <c r="D387" s="64"/>
      <c r="E387" s="65"/>
      <c r="F387" s="65"/>
      <c r="G387" s="65"/>
      <c r="H387" s="66"/>
      <c r="I387" s="66"/>
      <c r="J387" s="67"/>
      <c r="K387" s="68"/>
      <c r="L387" s="104"/>
      <c r="M387" s="104"/>
      <c r="N387" s="104"/>
      <c r="O387" s="104"/>
      <c r="P387" s="107" t="str">
        <f t="shared" si="1"/>
        <v/>
      </c>
      <c r="Q387" s="108" t="str">
        <f>IFERROR(IF(AND(Preferences!B$3="Manual",OR(AX387/AW387&gt;G387/F387,BD387="Serious",BD387="Very serious")),"Assess imprecision",IFS(ISBLANK(E387),"",AND(Preferences!B$3="Automatic", G387/F387&gt;=30),"Extremely serious",AND(H387&lt;=$D$1*-1,J387&lt;0,G387/F387&lt;3),"Not serious",AND(H387&lt;=$D$1*-1,J387&lt;0,G387/F387&gt;=3),"Very serious",AND(H387&gt;=$D$1,I387&gt;0,G387/F387&lt;3),"Not serious",AND(H387&gt;=$D$1,I387&gt;0,G387/F387&gt;=3),"Very serious",AND(H387&lt;=$D$1*-1,J387&gt;0,I387&gt;$D$2*-1,G387/F387&lt;3),"Serious", AND(H387&lt;=$D$1*-1,J387&gt;0,I387&lt;$D$2*-1,G387/F387&lt;3),"Very serious", AND(H387&gt;=$D$1,I387&lt;0,J387&lt;$D$2,G387/F387&lt;3),"Serious",AND(H387&gt;=$D$1,I387&lt;0,J387&gt;$D$2,G387/F387&lt;3),"Very serious", AND(H387&lt;=$D$1*-1,J387&gt;0,I387&gt;$D$2*-1,G387/F387&gt;=3),"Very serious", AND(H387&lt;=$D$1*-1,J387&gt;0,I387&lt;$D$2*-1,G387/F387&gt;=3),"Very serious", AND(H387&gt;=$D$1,I387&lt;0,J387&lt;$D$2,G387/F387&gt;=3),"Very serious", AND(H387&gt;=$D$1,I387&lt;0,J387&gt;$D$2,G387/F387&gt;=3),"Very serious", AND(H387&gt;$D$1*-1,H387&lt;$D$1,I387&gt;$D$1*-1,J387&lt;$D$1,G387/F387&lt;3),"Not serious", AND(H387&gt;$D$1*-1,H387&lt;$D$1,OR(I387&lt;=$D$1*-1,J387&gt;=$D$1),I387&gt;$D$2*-1,J387&lt;$D$2,G387/F387&lt;3),"Serious", AND(H387&gt;$D$1*-1,H387&lt;$D$1,OR(I387&lt;=$D$2*-1,J387&gt;=$D$2),G387/F387&lt;3),"Very serious", AND(H387&gt;$D$1*-1,H387&lt;$D$1,I387&gt;$D$1*-1,J387&lt;$D$1,G387/F387&gt;=3),"Very serious", AND(H387&gt;$D$1*-1,H387&lt;$D$1,OR(I387&lt;=$D$1*-1,J387&gt;=$D$1),I387&gt;$D$2*-1,J387&lt;$D$2,G387/F387&gt;=3),"Very serious", AND(H387&gt;$D$1*-1,H387&lt;$D$1,OR(I387&lt;=$D$2*-1,J387&gt;=$D$2),G387/F387&gt;=3),"Very serious")),"")</f>
        <v/>
      </c>
      <c r="R387" s="109" t="str">
        <f t="shared" si="47"/>
        <v/>
      </c>
      <c r="S387" s="64"/>
      <c r="T387" s="72"/>
      <c r="U387" s="72"/>
      <c r="V387" s="72"/>
      <c r="W387" s="73"/>
      <c r="X387" s="73"/>
      <c r="Y387" s="74"/>
      <c r="Z387" s="113" t="str">
        <f t="array" ref="Z387">INDEX($A$1:$C$500, MATCH(1,($B:$B=$B387)*($C:$C=$AB387),0),1)</f>
        <v/>
      </c>
      <c r="AA387" s="113" t="str">
        <f t="array" ref="AA387">INDEX($A$1:$C$500, MATCH(1,($B:$B=$AB387)*($C:$C=$B387),0),1)</f>
        <v/>
      </c>
      <c r="AB387" s="111"/>
      <c r="AC387" s="114" t="str">
        <f t="shared" si="2"/>
        <v/>
      </c>
      <c r="AD387" s="115" t="str">
        <f t="shared" si="3"/>
        <v/>
      </c>
      <c r="AE387" s="116" t="str">
        <f t="array" ref="AE387">INDEX($A$1:$C$500, MATCH(1,($B:$B=$AB387)*($C:$C=$AG387),0),1)</f>
        <v/>
      </c>
      <c r="AF387" s="116" t="str">
        <f t="array" ref="AF387">INDEX($A$1:$C$500, MATCH(1,($B:$B=$AG387)*($C:$C=$AB387),0),1)</f>
        <v/>
      </c>
      <c r="AG387" s="72"/>
      <c r="AH387" s="114" t="str">
        <f t="shared" si="4"/>
        <v/>
      </c>
      <c r="AI387" s="115" t="str">
        <f t="shared" si="5"/>
        <v/>
      </c>
      <c r="AJ387" s="116" t="str">
        <f t="array" ref="AJ387">INDEX($A$1:$C$500, MATCH(1,($B:$B=$C387)*($C:$C=$AG387),0),1)</f>
        <v/>
      </c>
      <c r="AK387" s="116" t="str">
        <f t="array" ref="AK387">INDEX($A$1:$C$500, MATCH(1,($B:$B=$AG387)*($C:$C=$C387),0),1)</f>
        <v/>
      </c>
      <c r="AL387" s="116" t="str">
        <f t="array" ref="AL387">INDEX($A$1:$C$500, MATCH(1,($B:$B=$C387)*($C:$C=$AB387),0),1)</f>
        <v/>
      </c>
      <c r="AM387" s="116" t="str">
        <f t="array" ref="AM387">INDEX($A$1:$C$500, MATCH(1,($B:$B=$AB387)*($C:$C=$C387),0),1)</f>
        <v/>
      </c>
      <c r="AN387" s="114" t="str">
        <f t="array" ref="AN387">IFS(ISNUMBER(AJ387),AJ387,ISNUMBER(AK387),AK387,ISNUMBER(AL387),AL387,ISNUMBER(AM387),AM387)</f>
        <v>#N/A</v>
      </c>
      <c r="AO387" s="115" t="str">
        <f t="shared" si="6"/>
        <v/>
      </c>
      <c r="AP387" s="115" t="str">
        <f t="shared" si="7"/>
        <v/>
      </c>
      <c r="AQ387" s="111"/>
      <c r="AR387" s="109" t="str">
        <f t="shared" si="8"/>
        <v/>
      </c>
      <c r="AS387" s="72" t="str">
        <f>IFERROR(IF(AND(Preferences!B$3="Manual",OR(AX387/AW387&gt;V387/U387,BD387="Serious",BD387="Very serious")),"Assess imprecision",IFERROR(IFS(AND(Preferences!B$3="Automatic",V387/U387&gt;=30),"Extremely serious",AND(W387&lt;=$D$1*-1,Y387&lt;0,V387/U387&lt;3),"Not Serious",AND(W387&lt;=$D$1*-1,Y387&lt;0,V387/U387&gt;=3),"Very serious",AND(W387&gt;=$D$1,X387&gt;0,V387/U387&lt;3),"Not Serious",AND(W387&gt;=$D$1,X387&gt;0,V387/U387&gt;=3),"Very serious",AND(W387&lt;=$D$1*-1,Y387&gt;0,X387&gt;$D$2*-1,V387/U387&lt;3),"Serious", AND(W387&lt;=$D$1*-1,Y387&gt;0,X387&lt;$D$2*-1,V387/U387&lt;3),"Very serious", AND(W387&gt;=$D$1,X387&lt;0,Y387&lt;$D$2,V387/U387&lt;3),"Serious",AND(W387&gt;=$D$1,X387&lt;0,Y387&gt;$D$2,V387/U387&lt;3),"Very serious", AND(W387&lt;=$D$1*-1,Y387&gt;0,X387&gt;$D$2*-1,V387/U387&gt;=3),"Very serious", AND(W387&lt;=$D$1*-1,Y387&gt;0,X387&lt;$D$2*-1,V387/U387&gt;=3),"Very serious", AND(W387&gt;=$D$1,X387&lt;0,Y387&lt;$D$2,V387/U387&gt;=3),"Very serious", AND(W387&gt;=$D$1,X387&lt;0,Y387&gt;$D$2,V387/U387&gt;=3),"Very serious", AND(W387&gt;$D$1*-1,W387&lt;$D$1,X387&gt;$D$1*-1,Y387&lt;$D$1,V387/U387&lt;3),"Not Serious", AND(W387&gt;$D$1*-1,W387&lt;$D$1,OR(X387&lt;=$D$1*-1,Y387&gt;=$D$1),X387&gt;$D$2*-1,Y387&lt;$D$2,V387/U387&lt;3),"Serious", AND(W387&gt;$D$1*-1,W387&lt;$D$1,OR(X387&lt;=$D$2*-1,Y387&gt;=$D$2),V387/U387&lt;3),"Very serious", AND(W387&gt;$D$1*-1,W387&lt;$D$1,X387&gt;$D$1*-1,Y387&lt;$D$1,V387/U387&gt;=3),"Very serious", AND(W387&gt;$D$1*-1,W387&lt;$D$1,OR(X387&lt;=$D$1*-1,Y387&gt;=$D$1),X387&gt;$D$2*-1,Y387&lt;$D$2,V387/U387&gt;=3),"Very serious", AND(W387&gt;$D$1*-1,W387&lt;$D$1,OR(X387&lt;=$D$2*-1,Y387&gt;=$D$2),V387/U387&gt;=3),"Very serious"),"")),"")</f>
        <v/>
      </c>
      <c r="AT387" s="109" t="str">
        <f t="shared" si="9"/>
        <v/>
      </c>
      <c r="AU387" s="64"/>
      <c r="AV387" s="83"/>
      <c r="AW387" s="83"/>
      <c r="AX387" s="83"/>
      <c r="AY387" s="83"/>
      <c r="AZ387" s="83"/>
      <c r="BA387" s="85"/>
      <c r="BB387" s="86" t="str">
        <f>IF(Preferences!B$9="Manual","",IFS(ISBLANK(B387),"",AND(ISNUMBER(E387)=TRUE,ISNUMBER(T387)=FALSE),"Direct", AND(ISNUMBER(E387)=FALSE,ISNUMBER(T387)=TRUE),"Indirect", CN387=4,"Direct",AND(CL387=FALSE, CM387=TRUE,CN387-CO387&gt;-1),"Direct", AND(CL387=FALSE,CM387=TRUE, CN387-CO387&lt;0),"Check algorithm in appendix 2", AND(CL387=TRUE, CM387=FALSE,CN387-CO387&gt;0),"Check algorithm in appendix 2", AND(CL387=TRUE, CM387=FALSE,CN387-CO387=0),"Indirect", AND(CL387=TRUE, CM387=FALSE,CN387-CO387&lt;0),"Indirect", AND(CL387=FALSE,CM387=FALSE,CN387-CO387&gt;-1),"Direct", AND(CL387=FALSE,CM387=FALSE,CN387-CO387&lt;0),"Check algorithm in appendix 2", AND(CL387=TRUE,CM387=TRUE,CN387-CO387&gt;-1),"Direct", AND(CL387=TRUE,CM387=TRUE,CN387-CO387&lt;0),"Check algorithm in appendix 2"))</f>
        <v/>
      </c>
      <c r="BC387" s="120" t="str">
        <f t="shared" si="10"/>
        <v/>
      </c>
      <c r="BD387" s="140"/>
      <c r="BE387" s="122" t="str">
        <f>IF(Preferences!B$3="Manual","", IFERROR(IFS(AND(Preferences!B$3="Automatic",AX387/AW387&gt;=30),"Extremely serious",AND(AY387&lt;=$D$1*-1,BA387&lt;0,AX387/AW387&lt;3),"Not Serious",AND(AY387&lt;=$D$1*-1,BA387&lt;0,AX387/AW387&gt;=3),"Very serious",AND(AY387&gt;=$D$1,AZ387&gt;0,AX387/AW387&lt;3),"Not Serious",AND(AY387&gt;=$D$1,AZ387&gt;0,AX387/AW387&gt;=3),"Very serious",AND(AY387&lt;=$D$1*-1,BA387&gt;0,AZ387&gt;$D$2*-1,AX387/AW387&lt;3),"Serious", AND(AY387&lt;=$D$1*-1,BA387&gt;0,AZ387&lt;$D$2*-1,AX387/AW387&lt;3),"Very serious", AND(AY387&gt;=$D$1,AZ387&lt;0,BA387&lt;$D$2,AX387/AW387&lt;3),"Serious",AND(AY387&gt;=$D$1,AZ387&lt;0,BA387&gt;$D$2,AX387/AW387&lt;3),"Very serious", AND(AY387&lt;=$D$1*-1,BA387&gt;0,AZ387&gt;$D$2*-1,AX387/AW387&gt;=3),"Very serious", AND(AY387&lt;=$D$1*-1,BA387&gt;0,AZ387&lt;$D$2*-1,AX387/AW387&gt;=3),"Very serious", AND(AY387&gt;=$D$1,AZ387&lt;0,BA387&lt;$D$2,AX387/AW387&gt;=3),"Very serious", AND(AY387&gt;=$D$1,AZ387&lt;0,BA387&gt;$D$2,AX387/AW387&gt;=3),"Very serious", AND(AY387&gt;$D$1*-1,AY387&lt;$D$1,AZ387&gt;$D$1*-1,BA387&lt;$D$1,AX387/AW387&lt;3),"Not Serious", AND(AY387&gt;$D$1*-1,AY387&lt;$D$1,OR(AZ387&lt;=$D$1*-1,BA387&gt;=$D$1),AZ387&gt;$D$2*-1,BA387&lt;$D$2,AX387/AW387&lt;3),"Serious", AND(AY387&gt;$D$1*-1,AY387&lt;$D$1,OR(AZ387&lt;=$D$2*-1,BA387&gt;=$D$2),AX387/AW387&lt;3),"Very serious", AND(AY387&gt;$D$1*-1,AY387&lt;$D$1,AZ387&gt;$D$1*-1,BA387&lt;$D$1,AX387/AW387&gt;=3),"Very serious", AND(AY387&gt;$D$1*-1,AY387&lt;$D$1,OR(AZ387&lt;=$D$1*-1,BA387&gt;=$D$1),AZ387&gt;$D$2*-1,BA387&lt;$D$2,AX387/AW387&gt;=3),"Very serious", AND(AY387&gt;$D$1*-1,AY387&lt;$D$1,OR(AZ387&lt;=$D$2*-1,BA387&gt;=$D$2),AX387/AW387&gt;=3),"Very serious"),""))</f>
        <v/>
      </c>
      <c r="BF387" s="107" t="str">
        <f t="shared" si="11"/>
        <v/>
      </c>
      <c r="BG387" s="94" t="str">
        <f t="shared" si="46"/>
        <v/>
      </c>
      <c r="BH387" s="64" t="str">
        <f t="shared" si="12"/>
        <v>#N/A</v>
      </c>
      <c r="BI387" s="64" t="str">
        <f t="shared" si="13"/>
        <v/>
      </c>
      <c r="BJ387" s="123" t="str">
        <f t="shared" si="14"/>
        <v>#N/A</v>
      </c>
      <c r="BK387" s="64" t="str">
        <f t="shared" si="50"/>
        <v>YES</v>
      </c>
      <c r="BL387" s="64" t="str">
        <f t="shared" si="16"/>
        <v>YES</v>
      </c>
      <c r="BM387" s="64" t="str">
        <f t="shared" si="17"/>
        <v>YES</v>
      </c>
      <c r="BN387" s="124" t="str">
        <f t="shared" si="18"/>
        <v/>
      </c>
      <c r="BO387" s="91" t="str">
        <f t="shared" si="19"/>
        <v/>
      </c>
      <c r="BP387" s="91" t="str">
        <f t="shared" si="20"/>
        <v>#N/A</v>
      </c>
      <c r="BQ387" s="91" t="str">
        <f t="shared" si="21"/>
        <v/>
      </c>
      <c r="BR387" s="93" t="str">
        <f t="shared" si="22"/>
        <v/>
      </c>
      <c r="BS387" s="90" t="str">
        <f t="shared" si="23"/>
        <v/>
      </c>
      <c r="BT387" s="93" t="str">
        <f t="shared" si="24"/>
        <v>NA</v>
      </c>
      <c r="BU387" s="125" t="str">
        <f t="shared" si="25"/>
        <v>#N/A</v>
      </c>
      <c r="BV387" s="93" t="str">
        <f t="shared" si="26"/>
        <v/>
      </c>
      <c r="BW387" s="93" t="str">
        <f t="shared" si="27"/>
        <v/>
      </c>
      <c r="BX387" s="93" t="str">
        <f t="shared" si="28"/>
        <v>NA</v>
      </c>
      <c r="BY387" s="95" t="str">
        <f t="shared" si="29"/>
        <v>#N/A</v>
      </c>
      <c r="BZ387" s="93" t="str">
        <f t="shared" si="30"/>
        <v/>
      </c>
      <c r="CA387" s="93" t="str">
        <f t="shared" si="31"/>
        <v/>
      </c>
      <c r="CB387" s="93" t="str">
        <f t="shared" si="32"/>
        <v>NA</v>
      </c>
      <c r="CC387" s="96" t="str">
        <f t="shared" si="33"/>
        <v>#N/A</v>
      </c>
      <c r="CD387" s="93" t="str">
        <f t="shared" si="34"/>
        <v/>
      </c>
      <c r="CE387" s="93" t="str">
        <f t="shared" si="35"/>
        <v/>
      </c>
      <c r="CF387" s="93" t="str">
        <f t="shared" si="36"/>
        <v>NA</v>
      </c>
      <c r="CG387" s="97" t="str">
        <f t="shared" si="37"/>
        <v>#N/A</v>
      </c>
      <c r="CH387" s="98" t="str">
        <f t="shared" si="38"/>
        <v>#N/A</v>
      </c>
      <c r="CI387" s="99" t="str">
        <f t="shared" si="39"/>
        <v>#N/A</v>
      </c>
      <c r="CJ387" s="126" t="str">
        <f t="shared" si="40"/>
        <v>ERROR: check cell</v>
      </c>
      <c r="CK387" s="126"/>
      <c r="CL387" s="127" t="str">
        <f t="shared" si="41"/>
        <v>#DIV/0!</v>
      </c>
      <c r="CM387" s="128" t="str">
        <f t="shared" si="42"/>
        <v>#DIV/0!</v>
      </c>
      <c r="CN387" s="128">
        <f t="shared" si="43"/>
        <v>4</v>
      </c>
      <c r="CO387" s="129">
        <f t="shared" si="44"/>
        <v>4</v>
      </c>
      <c r="CP387" s="129" t="str">
        <f>IFS(C387=Preferences!B$13,B387,B387=Preferences!B$13,C387)</f>
        <v>#N/A</v>
      </c>
    </row>
    <row r="388" ht="13.5" customHeight="1">
      <c r="A388" s="63" t="str">
        <f t="shared" si="45"/>
        <v/>
      </c>
      <c r="B388" s="64"/>
      <c r="C388" s="64"/>
      <c r="D388" s="64"/>
      <c r="E388" s="65"/>
      <c r="F388" s="65"/>
      <c r="G388" s="65"/>
      <c r="H388" s="66"/>
      <c r="I388" s="66"/>
      <c r="J388" s="67"/>
      <c r="K388" s="68"/>
      <c r="L388" s="104"/>
      <c r="M388" s="104"/>
      <c r="N388" s="104"/>
      <c r="O388" s="104"/>
      <c r="P388" s="107" t="str">
        <f t="shared" si="1"/>
        <v/>
      </c>
      <c r="Q388" s="108" t="str">
        <f>IFERROR(IF(AND(Preferences!B$3="Manual",OR(AX388/AW388&gt;G388/F388,BD388="Serious",BD388="Very serious")),"Assess imprecision",IFS(ISBLANK(E388),"",AND(Preferences!B$3="Automatic", G388/F388&gt;=30),"Extremely serious",AND(H388&lt;=$D$1*-1,J388&lt;0,G388/F388&lt;3),"Not serious",AND(H388&lt;=$D$1*-1,J388&lt;0,G388/F388&gt;=3),"Very serious",AND(H388&gt;=$D$1,I388&gt;0,G388/F388&lt;3),"Not serious",AND(H388&gt;=$D$1,I388&gt;0,G388/F388&gt;=3),"Very serious",AND(H388&lt;=$D$1*-1,J388&gt;0,I388&gt;$D$2*-1,G388/F388&lt;3),"Serious", AND(H388&lt;=$D$1*-1,J388&gt;0,I388&lt;$D$2*-1,G388/F388&lt;3),"Very serious", AND(H388&gt;=$D$1,I388&lt;0,J388&lt;$D$2,G388/F388&lt;3),"Serious",AND(H388&gt;=$D$1,I388&lt;0,J388&gt;$D$2,G388/F388&lt;3),"Very serious", AND(H388&lt;=$D$1*-1,J388&gt;0,I388&gt;$D$2*-1,G388/F388&gt;=3),"Very serious", AND(H388&lt;=$D$1*-1,J388&gt;0,I388&lt;$D$2*-1,G388/F388&gt;=3),"Very serious", AND(H388&gt;=$D$1,I388&lt;0,J388&lt;$D$2,G388/F388&gt;=3),"Very serious", AND(H388&gt;=$D$1,I388&lt;0,J388&gt;$D$2,G388/F388&gt;=3),"Very serious", AND(H388&gt;$D$1*-1,H388&lt;$D$1,I388&gt;$D$1*-1,J388&lt;$D$1,G388/F388&lt;3),"Not serious", AND(H388&gt;$D$1*-1,H388&lt;$D$1,OR(I388&lt;=$D$1*-1,J388&gt;=$D$1),I388&gt;$D$2*-1,J388&lt;$D$2,G388/F388&lt;3),"Serious", AND(H388&gt;$D$1*-1,H388&lt;$D$1,OR(I388&lt;=$D$2*-1,J388&gt;=$D$2),G388/F388&lt;3),"Very serious", AND(H388&gt;$D$1*-1,H388&lt;$D$1,I388&gt;$D$1*-1,J388&lt;$D$1,G388/F388&gt;=3),"Very serious", AND(H388&gt;$D$1*-1,H388&lt;$D$1,OR(I388&lt;=$D$1*-1,J388&gt;=$D$1),I388&gt;$D$2*-1,J388&lt;$D$2,G388/F388&gt;=3),"Very serious", AND(H388&gt;$D$1*-1,H388&lt;$D$1,OR(I388&lt;=$D$2*-1,J388&gt;=$D$2),G388/F388&gt;=3),"Very serious")),"")</f>
        <v/>
      </c>
      <c r="R388" s="109" t="str">
        <f t="shared" si="47"/>
        <v/>
      </c>
      <c r="S388" s="64"/>
      <c r="T388" s="72"/>
      <c r="U388" s="72"/>
      <c r="V388" s="72"/>
      <c r="W388" s="73"/>
      <c r="X388" s="73"/>
      <c r="Y388" s="74"/>
      <c r="Z388" s="113" t="str">
        <f t="array" ref="Z388">INDEX($A$1:$C$500, MATCH(1,($B:$B=$B388)*($C:$C=$AB388),0),1)</f>
        <v/>
      </c>
      <c r="AA388" s="113" t="str">
        <f t="array" ref="AA388">INDEX($A$1:$C$500, MATCH(1,($B:$B=$AB388)*($C:$C=$B388),0),1)</f>
        <v/>
      </c>
      <c r="AB388" s="111"/>
      <c r="AC388" s="114" t="str">
        <f t="shared" si="2"/>
        <v/>
      </c>
      <c r="AD388" s="115" t="str">
        <f t="shared" si="3"/>
        <v/>
      </c>
      <c r="AE388" s="116" t="str">
        <f t="array" ref="AE388">INDEX($A$1:$C$500, MATCH(1,($B:$B=$AB388)*($C:$C=$AG388),0),1)</f>
        <v/>
      </c>
      <c r="AF388" s="116" t="str">
        <f t="array" ref="AF388">INDEX($A$1:$C$500, MATCH(1,($B:$B=$AG388)*($C:$C=$AB388),0),1)</f>
        <v/>
      </c>
      <c r="AG388" s="72"/>
      <c r="AH388" s="114" t="str">
        <f t="shared" si="4"/>
        <v/>
      </c>
      <c r="AI388" s="115" t="str">
        <f t="shared" si="5"/>
        <v/>
      </c>
      <c r="AJ388" s="116" t="str">
        <f t="array" ref="AJ388">INDEX($A$1:$C$500, MATCH(1,($B:$B=$C388)*($C:$C=$AG388),0),1)</f>
        <v/>
      </c>
      <c r="AK388" s="116" t="str">
        <f t="array" ref="AK388">INDEX($A$1:$C$500, MATCH(1,($B:$B=$AG388)*($C:$C=$C388),0),1)</f>
        <v/>
      </c>
      <c r="AL388" s="116" t="str">
        <f t="array" ref="AL388">INDEX($A$1:$C$500, MATCH(1,($B:$B=$C388)*($C:$C=$AB388),0),1)</f>
        <v/>
      </c>
      <c r="AM388" s="116" t="str">
        <f t="array" ref="AM388">INDEX($A$1:$C$500, MATCH(1,($B:$B=$AB388)*($C:$C=$C388),0),1)</f>
        <v/>
      </c>
      <c r="AN388" s="114" t="str">
        <f t="array" ref="AN388">IFS(ISNUMBER(AJ388),AJ388,ISNUMBER(AK388),AK388,ISNUMBER(AL388),AL388,ISNUMBER(AM388),AM388)</f>
        <v>#N/A</v>
      </c>
      <c r="AO388" s="115" t="str">
        <f t="shared" si="6"/>
        <v/>
      </c>
      <c r="AP388" s="115" t="str">
        <f t="shared" si="7"/>
        <v/>
      </c>
      <c r="AQ388" s="111"/>
      <c r="AR388" s="109" t="str">
        <f t="shared" si="8"/>
        <v/>
      </c>
      <c r="AS388" s="72" t="str">
        <f>IFERROR(IF(AND(Preferences!B$3="Manual",OR(AX388/AW388&gt;V388/U388,BD388="Serious",BD388="Very serious")),"Assess imprecision",IFERROR(IFS(AND(Preferences!B$3="Automatic",V388/U388&gt;=30),"Extremely serious",AND(W388&lt;=$D$1*-1,Y388&lt;0,V388/U388&lt;3),"Not Serious",AND(W388&lt;=$D$1*-1,Y388&lt;0,V388/U388&gt;=3),"Very serious",AND(W388&gt;=$D$1,X388&gt;0,V388/U388&lt;3),"Not Serious",AND(W388&gt;=$D$1,X388&gt;0,V388/U388&gt;=3),"Very serious",AND(W388&lt;=$D$1*-1,Y388&gt;0,X388&gt;$D$2*-1,V388/U388&lt;3),"Serious", AND(W388&lt;=$D$1*-1,Y388&gt;0,X388&lt;$D$2*-1,V388/U388&lt;3),"Very serious", AND(W388&gt;=$D$1,X388&lt;0,Y388&lt;$D$2,V388/U388&lt;3),"Serious",AND(W388&gt;=$D$1,X388&lt;0,Y388&gt;$D$2,V388/U388&lt;3),"Very serious", AND(W388&lt;=$D$1*-1,Y388&gt;0,X388&gt;$D$2*-1,V388/U388&gt;=3),"Very serious", AND(W388&lt;=$D$1*-1,Y388&gt;0,X388&lt;$D$2*-1,V388/U388&gt;=3),"Very serious", AND(W388&gt;=$D$1,X388&lt;0,Y388&lt;$D$2,V388/U388&gt;=3),"Very serious", AND(W388&gt;=$D$1,X388&lt;0,Y388&gt;$D$2,V388/U388&gt;=3),"Very serious", AND(W388&gt;$D$1*-1,W388&lt;$D$1,X388&gt;$D$1*-1,Y388&lt;$D$1,V388/U388&lt;3),"Not Serious", AND(W388&gt;$D$1*-1,W388&lt;$D$1,OR(X388&lt;=$D$1*-1,Y388&gt;=$D$1),X388&gt;$D$2*-1,Y388&lt;$D$2,V388/U388&lt;3),"Serious", AND(W388&gt;$D$1*-1,W388&lt;$D$1,OR(X388&lt;=$D$2*-1,Y388&gt;=$D$2),V388/U388&lt;3),"Very serious", AND(W388&gt;$D$1*-1,W388&lt;$D$1,X388&gt;$D$1*-1,Y388&lt;$D$1,V388/U388&gt;=3),"Very serious", AND(W388&gt;$D$1*-1,W388&lt;$D$1,OR(X388&lt;=$D$1*-1,Y388&gt;=$D$1),X388&gt;$D$2*-1,Y388&lt;$D$2,V388/U388&gt;=3),"Very serious", AND(W388&gt;$D$1*-1,W388&lt;$D$1,OR(X388&lt;=$D$2*-1,Y388&gt;=$D$2),V388/U388&gt;=3),"Very serious"),"")),"")</f>
        <v/>
      </c>
      <c r="AT388" s="109" t="str">
        <f t="shared" si="9"/>
        <v/>
      </c>
      <c r="AU388" s="64"/>
      <c r="AV388" s="83"/>
      <c r="AW388" s="83"/>
      <c r="AX388" s="83"/>
      <c r="AY388" s="83"/>
      <c r="AZ388" s="83"/>
      <c r="BA388" s="85"/>
      <c r="BB388" s="86" t="str">
        <f>IF(Preferences!B$9="Manual","",IFS(ISBLANK(B388),"",AND(ISNUMBER(E388)=TRUE,ISNUMBER(T388)=FALSE),"Direct", AND(ISNUMBER(E388)=FALSE,ISNUMBER(T388)=TRUE),"Indirect", CN388=4,"Direct",AND(CL388=FALSE, CM388=TRUE,CN388-CO388&gt;-1),"Direct", AND(CL388=FALSE,CM388=TRUE, CN388-CO388&lt;0),"Check algorithm in appendix 2", AND(CL388=TRUE, CM388=FALSE,CN388-CO388&gt;0),"Check algorithm in appendix 2", AND(CL388=TRUE, CM388=FALSE,CN388-CO388=0),"Indirect", AND(CL388=TRUE, CM388=FALSE,CN388-CO388&lt;0),"Indirect", AND(CL388=FALSE,CM388=FALSE,CN388-CO388&gt;-1),"Direct", AND(CL388=FALSE,CM388=FALSE,CN388-CO388&lt;0),"Check algorithm in appendix 2", AND(CL388=TRUE,CM388=TRUE,CN388-CO388&gt;-1),"Direct", AND(CL388=TRUE,CM388=TRUE,CN388-CO388&lt;0),"Check algorithm in appendix 2"))</f>
        <v/>
      </c>
      <c r="BC388" s="120" t="str">
        <f t="shared" si="10"/>
        <v/>
      </c>
      <c r="BD388" s="140"/>
      <c r="BE388" s="122" t="str">
        <f>IF(Preferences!B$3="Manual","", IFERROR(IFS(AND(Preferences!B$3="Automatic",AX388/AW388&gt;=30),"Extremely serious",AND(AY388&lt;=$D$1*-1,BA388&lt;0,AX388/AW388&lt;3),"Not Serious",AND(AY388&lt;=$D$1*-1,BA388&lt;0,AX388/AW388&gt;=3),"Very serious",AND(AY388&gt;=$D$1,AZ388&gt;0,AX388/AW388&lt;3),"Not Serious",AND(AY388&gt;=$D$1,AZ388&gt;0,AX388/AW388&gt;=3),"Very serious",AND(AY388&lt;=$D$1*-1,BA388&gt;0,AZ388&gt;$D$2*-1,AX388/AW388&lt;3),"Serious", AND(AY388&lt;=$D$1*-1,BA388&gt;0,AZ388&lt;$D$2*-1,AX388/AW388&lt;3),"Very serious", AND(AY388&gt;=$D$1,AZ388&lt;0,BA388&lt;$D$2,AX388/AW388&lt;3),"Serious",AND(AY388&gt;=$D$1,AZ388&lt;0,BA388&gt;$D$2,AX388/AW388&lt;3),"Very serious", AND(AY388&lt;=$D$1*-1,BA388&gt;0,AZ388&gt;$D$2*-1,AX388/AW388&gt;=3),"Very serious", AND(AY388&lt;=$D$1*-1,BA388&gt;0,AZ388&lt;$D$2*-1,AX388/AW388&gt;=3),"Very serious", AND(AY388&gt;=$D$1,AZ388&lt;0,BA388&lt;$D$2,AX388/AW388&gt;=3),"Very serious", AND(AY388&gt;=$D$1,AZ388&lt;0,BA388&gt;$D$2,AX388/AW388&gt;=3),"Very serious", AND(AY388&gt;$D$1*-1,AY388&lt;$D$1,AZ388&gt;$D$1*-1,BA388&lt;$D$1,AX388/AW388&lt;3),"Not Serious", AND(AY388&gt;$D$1*-1,AY388&lt;$D$1,OR(AZ388&lt;=$D$1*-1,BA388&gt;=$D$1),AZ388&gt;$D$2*-1,BA388&lt;$D$2,AX388/AW388&lt;3),"Serious", AND(AY388&gt;$D$1*-1,AY388&lt;$D$1,OR(AZ388&lt;=$D$2*-1,BA388&gt;=$D$2),AX388/AW388&lt;3),"Very serious", AND(AY388&gt;$D$1*-1,AY388&lt;$D$1,AZ388&gt;$D$1*-1,BA388&lt;$D$1,AX388/AW388&gt;=3),"Very serious", AND(AY388&gt;$D$1*-1,AY388&lt;$D$1,OR(AZ388&lt;=$D$1*-1,BA388&gt;=$D$1),AZ388&gt;$D$2*-1,BA388&lt;$D$2,AX388/AW388&gt;=3),"Very serious", AND(AY388&gt;$D$1*-1,AY388&lt;$D$1,OR(AZ388&lt;=$D$2*-1,BA388&gt;=$D$2),AX388/AW388&gt;=3),"Very serious"),""))</f>
        <v/>
      </c>
      <c r="BF388" s="107" t="str">
        <f t="shared" si="11"/>
        <v/>
      </c>
      <c r="BG388" s="94" t="str">
        <f t="shared" si="46"/>
        <v/>
      </c>
      <c r="BH388" s="64" t="str">
        <f t="shared" si="12"/>
        <v>#N/A</v>
      </c>
      <c r="BI388" s="64" t="str">
        <f t="shared" si="13"/>
        <v/>
      </c>
      <c r="BJ388" s="123" t="str">
        <f t="shared" si="14"/>
        <v>#N/A</v>
      </c>
      <c r="BK388" s="64" t="str">
        <f t="shared" si="50"/>
        <v>YES</v>
      </c>
      <c r="BL388" s="64" t="str">
        <f t="shared" si="16"/>
        <v>YES</v>
      </c>
      <c r="BM388" s="64" t="str">
        <f t="shared" si="17"/>
        <v>YES</v>
      </c>
      <c r="BN388" s="124" t="str">
        <f t="shared" si="18"/>
        <v/>
      </c>
      <c r="BO388" s="91" t="str">
        <f t="shared" si="19"/>
        <v/>
      </c>
      <c r="BP388" s="91" t="str">
        <f t="shared" si="20"/>
        <v>#N/A</v>
      </c>
      <c r="BQ388" s="91" t="str">
        <f t="shared" si="21"/>
        <v/>
      </c>
      <c r="BR388" s="93" t="str">
        <f t="shared" si="22"/>
        <v/>
      </c>
      <c r="BS388" s="90" t="str">
        <f t="shared" si="23"/>
        <v/>
      </c>
      <c r="BT388" s="93" t="str">
        <f t="shared" si="24"/>
        <v>NA</v>
      </c>
      <c r="BU388" s="125" t="str">
        <f t="shared" si="25"/>
        <v>#N/A</v>
      </c>
      <c r="BV388" s="93" t="str">
        <f t="shared" si="26"/>
        <v/>
      </c>
      <c r="BW388" s="93" t="str">
        <f t="shared" si="27"/>
        <v/>
      </c>
      <c r="BX388" s="93" t="str">
        <f t="shared" si="28"/>
        <v>NA</v>
      </c>
      <c r="BY388" s="95" t="str">
        <f t="shared" si="29"/>
        <v>#N/A</v>
      </c>
      <c r="BZ388" s="93" t="str">
        <f t="shared" si="30"/>
        <v/>
      </c>
      <c r="CA388" s="93" t="str">
        <f t="shared" si="31"/>
        <v/>
      </c>
      <c r="CB388" s="93" t="str">
        <f t="shared" si="32"/>
        <v>NA</v>
      </c>
      <c r="CC388" s="96" t="str">
        <f t="shared" si="33"/>
        <v>#N/A</v>
      </c>
      <c r="CD388" s="93" t="str">
        <f t="shared" si="34"/>
        <v/>
      </c>
      <c r="CE388" s="93" t="str">
        <f t="shared" si="35"/>
        <v/>
      </c>
      <c r="CF388" s="93" t="str">
        <f t="shared" si="36"/>
        <v>NA</v>
      </c>
      <c r="CG388" s="97" t="str">
        <f t="shared" si="37"/>
        <v>#N/A</v>
      </c>
      <c r="CH388" s="98" t="str">
        <f t="shared" si="38"/>
        <v>#N/A</v>
      </c>
      <c r="CI388" s="99" t="str">
        <f t="shared" si="39"/>
        <v>#N/A</v>
      </c>
      <c r="CJ388" s="126" t="str">
        <f t="shared" si="40"/>
        <v>ERROR: check cell</v>
      </c>
      <c r="CK388" s="126"/>
      <c r="CL388" s="127" t="str">
        <f t="shared" si="41"/>
        <v>#DIV/0!</v>
      </c>
      <c r="CM388" s="128" t="str">
        <f t="shared" si="42"/>
        <v>#DIV/0!</v>
      </c>
      <c r="CN388" s="128">
        <f t="shared" si="43"/>
        <v>4</v>
      </c>
      <c r="CO388" s="129">
        <f t="shared" si="44"/>
        <v>4</v>
      </c>
      <c r="CP388" s="129" t="str">
        <f>IFS(C388=Preferences!B$13,B388,B388=Preferences!B$13,C388)</f>
        <v>#N/A</v>
      </c>
    </row>
    <row r="389" ht="13.5" customHeight="1">
      <c r="A389" s="63" t="str">
        <f t="shared" si="45"/>
        <v/>
      </c>
      <c r="B389" s="64"/>
      <c r="C389" s="64"/>
      <c r="D389" s="64"/>
      <c r="E389" s="65"/>
      <c r="F389" s="65"/>
      <c r="G389" s="65"/>
      <c r="H389" s="66"/>
      <c r="I389" s="66"/>
      <c r="J389" s="67"/>
      <c r="K389" s="68"/>
      <c r="L389" s="104"/>
      <c r="M389" s="104"/>
      <c r="N389" s="104"/>
      <c r="O389" s="104"/>
      <c r="P389" s="107" t="str">
        <f t="shared" si="1"/>
        <v/>
      </c>
      <c r="Q389" s="108" t="str">
        <f>IFERROR(IF(AND(Preferences!B$3="Manual",OR(AX389/AW389&gt;G389/F389,BD389="Serious",BD389="Very serious")),"Assess imprecision",IFS(ISBLANK(E389),"",AND(Preferences!B$3="Automatic", G389/F389&gt;=30),"Extremely serious",AND(H389&lt;=$D$1*-1,J389&lt;0,G389/F389&lt;3),"Not serious",AND(H389&lt;=$D$1*-1,J389&lt;0,G389/F389&gt;=3),"Very serious",AND(H389&gt;=$D$1,I389&gt;0,G389/F389&lt;3),"Not serious",AND(H389&gt;=$D$1,I389&gt;0,G389/F389&gt;=3),"Very serious",AND(H389&lt;=$D$1*-1,J389&gt;0,I389&gt;$D$2*-1,G389/F389&lt;3),"Serious", AND(H389&lt;=$D$1*-1,J389&gt;0,I389&lt;$D$2*-1,G389/F389&lt;3),"Very serious", AND(H389&gt;=$D$1,I389&lt;0,J389&lt;$D$2,G389/F389&lt;3),"Serious",AND(H389&gt;=$D$1,I389&lt;0,J389&gt;$D$2,G389/F389&lt;3),"Very serious", AND(H389&lt;=$D$1*-1,J389&gt;0,I389&gt;$D$2*-1,G389/F389&gt;=3),"Very serious", AND(H389&lt;=$D$1*-1,J389&gt;0,I389&lt;$D$2*-1,G389/F389&gt;=3),"Very serious", AND(H389&gt;=$D$1,I389&lt;0,J389&lt;$D$2,G389/F389&gt;=3),"Very serious", AND(H389&gt;=$D$1,I389&lt;0,J389&gt;$D$2,G389/F389&gt;=3),"Very serious", AND(H389&gt;$D$1*-1,H389&lt;$D$1,I389&gt;$D$1*-1,J389&lt;$D$1,G389/F389&lt;3),"Not serious", AND(H389&gt;$D$1*-1,H389&lt;$D$1,OR(I389&lt;=$D$1*-1,J389&gt;=$D$1),I389&gt;$D$2*-1,J389&lt;$D$2,G389/F389&lt;3),"Serious", AND(H389&gt;$D$1*-1,H389&lt;$D$1,OR(I389&lt;=$D$2*-1,J389&gt;=$D$2),G389/F389&lt;3),"Very serious", AND(H389&gt;$D$1*-1,H389&lt;$D$1,I389&gt;$D$1*-1,J389&lt;$D$1,G389/F389&gt;=3),"Very serious", AND(H389&gt;$D$1*-1,H389&lt;$D$1,OR(I389&lt;=$D$1*-1,J389&gt;=$D$1),I389&gt;$D$2*-1,J389&lt;$D$2,G389/F389&gt;=3),"Very serious", AND(H389&gt;$D$1*-1,H389&lt;$D$1,OR(I389&lt;=$D$2*-1,J389&gt;=$D$2),G389/F389&gt;=3),"Very serious")),"")</f>
        <v/>
      </c>
      <c r="R389" s="109" t="str">
        <f t="shared" si="47"/>
        <v/>
      </c>
      <c r="S389" s="64"/>
      <c r="T389" s="72"/>
      <c r="U389" s="72"/>
      <c r="V389" s="72"/>
      <c r="W389" s="73"/>
      <c r="X389" s="73"/>
      <c r="Y389" s="74"/>
      <c r="Z389" s="113" t="str">
        <f t="array" ref="Z389">INDEX($A$1:$C$500, MATCH(1,($B:$B=$B389)*($C:$C=$AB389),0),1)</f>
        <v/>
      </c>
      <c r="AA389" s="113" t="str">
        <f t="array" ref="AA389">INDEX($A$1:$C$500, MATCH(1,($B:$B=$AB389)*($C:$C=$B389),0),1)</f>
        <v/>
      </c>
      <c r="AB389" s="111"/>
      <c r="AC389" s="114" t="str">
        <f t="shared" si="2"/>
        <v/>
      </c>
      <c r="AD389" s="115" t="str">
        <f t="shared" si="3"/>
        <v/>
      </c>
      <c r="AE389" s="116" t="str">
        <f t="array" ref="AE389">INDEX($A$1:$C$500, MATCH(1,($B:$B=$AB389)*($C:$C=$AG389),0),1)</f>
        <v/>
      </c>
      <c r="AF389" s="116" t="str">
        <f t="array" ref="AF389">INDEX($A$1:$C$500, MATCH(1,($B:$B=$AG389)*($C:$C=$AB389),0),1)</f>
        <v/>
      </c>
      <c r="AG389" s="72"/>
      <c r="AH389" s="114" t="str">
        <f t="shared" si="4"/>
        <v/>
      </c>
      <c r="AI389" s="115" t="str">
        <f t="shared" si="5"/>
        <v/>
      </c>
      <c r="AJ389" s="116" t="str">
        <f t="array" ref="AJ389">INDEX($A$1:$C$500, MATCH(1,($B:$B=$C389)*($C:$C=$AG389),0),1)</f>
        <v/>
      </c>
      <c r="AK389" s="116" t="str">
        <f t="array" ref="AK389">INDEX($A$1:$C$500, MATCH(1,($B:$B=$AG389)*($C:$C=$C389),0),1)</f>
        <v/>
      </c>
      <c r="AL389" s="116" t="str">
        <f t="array" ref="AL389">INDEX($A$1:$C$500, MATCH(1,($B:$B=$C389)*($C:$C=$AB389),0),1)</f>
        <v/>
      </c>
      <c r="AM389" s="116" t="str">
        <f t="array" ref="AM389">INDEX($A$1:$C$500, MATCH(1,($B:$B=$AB389)*($C:$C=$C389),0),1)</f>
        <v/>
      </c>
      <c r="AN389" s="114" t="str">
        <f t="array" ref="AN389">IFS(ISNUMBER(AJ389),AJ389,ISNUMBER(AK389),AK389,ISNUMBER(AL389),AL389,ISNUMBER(AM389),AM389)</f>
        <v>#N/A</v>
      </c>
      <c r="AO389" s="115" t="str">
        <f t="shared" si="6"/>
        <v/>
      </c>
      <c r="AP389" s="115" t="str">
        <f t="shared" si="7"/>
        <v/>
      </c>
      <c r="AQ389" s="111"/>
      <c r="AR389" s="109" t="str">
        <f t="shared" si="8"/>
        <v/>
      </c>
      <c r="AS389" s="72" t="str">
        <f>IFERROR(IF(AND(Preferences!B$3="Manual",OR(AX389/AW389&gt;V389/U389,BD389="Serious",BD389="Very serious")),"Assess imprecision",IFERROR(IFS(AND(Preferences!B$3="Automatic",V389/U389&gt;=30),"Extremely serious",AND(W389&lt;=$D$1*-1,Y389&lt;0,V389/U389&lt;3),"Not Serious",AND(W389&lt;=$D$1*-1,Y389&lt;0,V389/U389&gt;=3),"Very serious",AND(W389&gt;=$D$1,X389&gt;0,V389/U389&lt;3),"Not Serious",AND(W389&gt;=$D$1,X389&gt;0,V389/U389&gt;=3),"Very serious",AND(W389&lt;=$D$1*-1,Y389&gt;0,X389&gt;$D$2*-1,V389/U389&lt;3),"Serious", AND(W389&lt;=$D$1*-1,Y389&gt;0,X389&lt;$D$2*-1,V389/U389&lt;3),"Very serious", AND(W389&gt;=$D$1,X389&lt;0,Y389&lt;$D$2,V389/U389&lt;3),"Serious",AND(W389&gt;=$D$1,X389&lt;0,Y389&gt;$D$2,V389/U389&lt;3),"Very serious", AND(W389&lt;=$D$1*-1,Y389&gt;0,X389&gt;$D$2*-1,V389/U389&gt;=3),"Very serious", AND(W389&lt;=$D$1*-1,Y389&gt;0,X389&lt;$D$2*-1,V389/U389&gt;=3),"Very serious", AND(W389&gt;=$D$1,X389&lt;0,Y389&lt;$D$2,V389/U389&gt;=3),"Very serious", AND(W389&gt;=$D$1,X389&lt;0,Y389&gt;$D$2,V389/U389&gt;=3),"Very serious", AND(W389&gt;$D$1*-1,W389&lt;$D$1,X389&gt;$D$1*-1,Y389&lt;$D$1,V389/U389&lt;3),"Not Serious", AND(W389&gt;$D$1*-1,W389&lt;$D$1,OR(X389&lt;=$D$1*-1,Y389&gt;=$D$1),X389&gt;$D$2*-1,Y389&lt;$D$2,V389/U389&lt;3),"Serious", AND(W389&gt;$D$1*-1,W389&lt;$D$1,OR(X389&lt;=$D$2*-1,Y389&gt;=$D$2),V389/U389&lt;3),"Very serious", AND(W389&gt;$D$1*-1,W389&lt;$D$1,X389&gt;$D$1*-1,Y389&lt;$D$1,V389/U389&gt;=3),"Very serious", AND(W389&gt;$D$1*-1,W389&lt;$D$1,OR(X389&lt;=$D$1*-1,Y389&gt;=$D$1),X389&gt;$D$2*-1,Y389&lt;$D$2,V389/U389&gt;=3),"Very serious", AND(W389&gt;$D$1*-1,W389&lt;$D$1,OR(X389&lt;=$D$2*-1,Y389&gt;=$D$2),V389/U389&gt;=3),"Very serious"),"")),"")</f>
        <v/>
      </c>
      <c r="AT389" s="109" t="str">
        <f t="shared" si="9"/>
        <v/>
      </c>
      <c r="AU389" s="64"/>
      <c r="AV389" s="83"/>
      <c r="AW389" s="83"/>
      <c r="AX389" s="83"/>
      <c r="AY389" s="83"/>
      <c r="AZ389" s="83"/>
      <c r="BA389" s="85"/>
      <c r="BB389" s="86" t="str">
        <f>IF(Preferences!B$9="Manual","",IFS(ISBLANK(B389),"",AND(ISNUMBER(E389)=TRUE,ISNUMBER(T389)=FALSE),"Direct", AND(ISNUMBER(E389)=FALSE,ISNUMBER(T389)=TRUE),"Indirect", CN389=4,"Direct",AND(CL389=FALSE, CM389=TRUE,CN389-CO389&gt;-1),"Direct", AND(CL389=FALSE,CM389=TRUE, CN389-CO389&lt;0),"Check algorithm in appendix 2", AND(CL389=TRUE, CM389=FALSE,CN389-CO389&gt;0),"Check algorithm in appendix 2", AND(CL389=TRUE, CM389=FALSE,CN389-CO389=0),"Indirect", AND(CL389=TRUE, CM389=FALSE,CN389-CO389&lt;0),"Indirect", AND(CL389=FALSE,CM389=FALSE,CN389-CO389&gt;-1),"Direct", AND(CL389=FALSE,CM389=FALSE,CN389-CO389&lt;0),"Check algorithm in appendix 2", AND(CL389=TRUE,CM389=TRUE,CN389-CO389&gt;-1),"Direct", AND(CL389=TRUE,CM389=TRUE,CN389-CO389&lt;0),"Check algorithm in appendix 2"))</f>
        <v/>
      </c>
      <c r="BC389" s="120" t="str">
        <f t="shared" si="10"/>
        <v/>
      </c>
      <c r="BD389" s="140"/>
      <c r="BE389" s="122" t="str">
        <f>IF(Preferences!B$3="Manual","", IFERROR(IFS(AND(Preferences!B$3="Automatic",AX389/AW389&gt;=30),"Extremely serious",AND(AY389&lt;=$D$1*-1,BA389&lt;0,AX389/AW389&lt;3),"Not Serious",AND(AY389&lt;=$D$1*-1,BA389&lt;0,AX389/AW389&gt;=3),"Very serious",AND(AY389&gt;=$D$1,AZ389&gt;0,AX389/AW389&lt;3),"Not Serious",AND(AY389&gt;=$D$1,AZ389&gt;0,AX389/AW389&gt;=3),"Very serious",AND(AY389&lt;=$D$1*-1,BA389&gt;0,AZ389&gt;$D$2*-1,AX389/AW389&lt;3),"Serious", AND(AY389&lt;=$D$1*-1,BA389&gt;0,AZ389&lt;$D$2*-1,AX389/AW389&lt;3),"Very serious", AND(AY389&gt;=$D$1,AZ389&lt;0,BA389&lt;$D$2,AX389/AW389&lt;3),"Serious",AND(AY389&gt;=$D$1,AZ389&lt;0,BA389&gt;$D$2,AX389/AW389&lt;3),"Very serious", AND(AY389&lt;=$D$1*-1,BA389&gt;0,AZ389&gt;$D$2*-1,AX389/AW389&gt;=3),"Very serious", AND(AY389&lt;=$D$1*-1,BA389&gt;0,AZ389&lt;$D$2*-1,AX389/AW389&gt;=3),"Very serious", AND(AY389&gt;=$D$1,AZ389&lt;0,BA389&lt;$D$2,AX389/AW389&gt;=3),"Very serious", AND(AY389&gt;=$D$1,AZ389&lt;0,BA389&gt;$D$2,AX389/AW389&gt;=3),"Very serious", AND(AY389&gt;$D$1*-1,AY389&lt;$D$1,AZ389&gt;$D$1*-1,BA389&lt;$D$1,AX389/AW389&lt;3),"Not Serious", AND(AY389&gt;$D$1*-1,AY389&lt;$D$1,OR(AZ389&lt;=$D$1*-1,BA389&gt;=$D$1),AZ389&gt;$D$2*-1,BA389&lt;$D$2,AX389/AW389&lt;3),"Serious", AND(AY389&gt;$D$1*-1,AY389&lt;$D$1,OR(AZ389&lt;=$D$2*-1,BA389&gt;=$D$2),AX389/AW389&lt;3),"Very serious", AND(AY389&gt;$D$1*-1,AY389&lt;$D$1,AZ389&gt;$D$1*-1,BA389&lt;$D$1,AX389/AW389&gt;=3),"Very serious", AND(AY389&gt;$D$1*-1,AY389&lt;$D$1,OR(AZ389&lt;=$D$1*-1,BA389&gt;=$D$1),AZ389&gt;$D$2*-1,BA389&lt;$D$2,AX389/AW389&gt;=3),"Very serious", AND(AY389&gt;$D$1*-1,AY389&lt;$D$1,OR(AZ389&lt;=$D$2*-1,BA389&gt;=$D$2),AX389/AW389&gt;=3),"Very serious"),""))</f>
        <v/>
      </c>
      <c r="BF389" s="107" t="str">
        <f t="shared" si="11"/>
        <v/>
      </c>
      <c r="BG389" s="94" t="str">
        <f t="shared" si="46"/>
        <v/>
      </c>
      <c r="BH389" s="64" t="str">
        <f t="shared" si="12"/>
        <v>#N/A</v>
      </c>
      <c r="BI389" s="64" t="str">
        <f t="shared" si="13"/>
        <v/>
      </c>
      <c r="BJ389" s="123" t="str">
        <f t="shared" si="14"/>
        <v>#N/A</v>
      </c>
      <c r="BK389" s="64" t="str">
        <f t="shared" si="50"/>
        <v>YES</v>
      </c>
      <c r="BL389" s="64" t="str">
        <f t="shared" si="16"/>
        <v>YES</v>
      </c>
      <c r="BM389" s="64" t="str">
        <f t="shared" si="17"/>
        <v>YES</v>
      </c>
      <c r="BN389" s="124" t="str">
        <f t="shared" si="18"/>
        <v/>
      </c>
      <c r="BO389" s="91" t="str">
        <f t="shared" si="19"/>
        <v/>
      </c>
      <c r="BP389" s="91" t="str">
        <f t="shared" si="20"/>
        <v>#N/A</v>
      </c>
      <c r="BQ389" s="91" t="str">
        <f t="shared" si="21"/>
        <v/>
      </c>
      <c r="BR389" s="93" t="str">
        <f t="shared" si="22"/>
        <v/>
      </c>
      <c r="BS389" s="90" t="str">
        <f t="shared" si="23"/>
        <v/>
      </c>
      <c r="BT389" s="93" t="str">
        <f t="shared" si="24"/>
        <v>NA</v>
      </c>
      <c r="BU389" s="125" t="str">
        <f t="shared" si="25"/>
        <v>#N/A</v>
      </c>
      <c r="BV389" s="93" t="str">
        <f t="shared" si="26"/>
        <v/>
      </c>
      <c r="BW389" s="93" t="str">
        <f t="shared" si="27"/>
        <v/>
      </c>
      <c r="BX389" s="93" t="str">
        <f t="shared" si="28"/>
        <v>NA</v>
      </c>
      <c r="BY389" s="95" t="str">
        <f t="shared" si="29"/>
        <v>#N/A</v>
      </c>
      <c r="BZ389" s="93" t="str">
        <f t="shared" si="30"/>
        <v/>
      </c>
      <c r="CA389" s="93" t="str">
        <f t="shared" si="31"/>
        <v/>
      </c>
      <c r="CB389" s="93" t="str">
        <f t="shared" si="32"/>
        <v>NA</v>
      </c>
      <c r="CC389" s="96" t="str">
        <f t="shared" si="33"/>
        <v>#N/A</v>
      </c>
      <c r="CD389" s="93" t="str">
        <f t="shared" si="34"/>
        <v/>
      </c>
      <c r="CE389" s="93" t="str">
        <f t="shared" si="35"/>
        <v/>
      </c>
      <c r="CF389" s="93" t="str">
        <f t="shared" si="36"/>
        <v>NA</v>
      </c>
      <c r="CG389" s="97" t="str">
        <f t="shared" si="37"/>
        <v>#N/A</v>
      </c>
      <c r="CH389" s="98" t="str">
        <f t="shared" si="38"/>
        <v>#N/A</v>
      </c>
      <c r="CI389" s="99" t="str">
        <f t="shared" si="39"/>
        <v>#N/A</v>
      </c>
      <c r="CJ389" s="126" t="str">
        <f t="shared" si="40"/>
        <v>ERROR: check cell</v>
      </c>
      <c r="CK389" s="126"/>
      <c r="CL389" s="127" t="str">
        <f t="shared" si="41"/>
        <v>#DIV/0!</v>
      </c>
      <c r="CM389" s="128" t="str">
        <f t="shared" si="42"/>
        <v>#DIV/0!</v>
      </c>
      <c r="CN389" s="128">
        <f t="shared" si="43"/>
        <v>4</v>
      </c>
      <c r="CO389" s="129">
        <f t="shared" si="44"/>
        <v>4</v>
      </c>
      <c r="CP389" s="129" t="str">
        <f>IFS(C389=Preferences!B$13,B389,B389=Preferences!B$13,C389)</f>
        <v>#N/A</v>
      </c>
    </row>
    <row r="390" ht="13.5" customHeight="1">
      <c r="A390" s="63" t="str">
        <f t="shared" si="45"/>
        <v/>
      </c>
      <c r="B390" s="64"/>
      <c r="C390" s="64"/>
      <c r="D390" s="64"/>
      <c r="E390" s="65"/>
      <c r="F390" s="65"/>
      <c r="G390" s="65"/>
      <c r="H390" s="66"/>
      <c r="I390" s="66"/>
      <c r="J390" s="67"/>
      <c r="K390" s="68"/>
      <c r="L390" s="104"/>
      <c r="M390" s="104"/>
      <c r="N390" s="104"/>
      <c r="O390" s="104"/>
      <c r="P390" s="107" t="str">
        <f t="shared" si="1"/>
        <v/>
      </c>
      <c r="Q390" s="108" t="str">
        <f>IFERROR(IF(AND(Preferences!B$3="Manual",OR(AX390/AW390&gt;G390/F390,BD390="Serious",BD390="Very serious")),"Assess imprecision",IFS(ISBLANK(E390),"",AND(Preferences!B$3="Automatic", G390/F390&gt;=30),"Extremely serious",AND(H390&lt;=$D$1*-1,J390&lt;0,G390/F390&lt;3),"Not serious",AND(H390&lt;=$D$1*-1,J390&lt;0,G390/F390&gt;=3),"Very serious",AND(H390&gt;=$D$1,I390&gt;0,G390/F390&lt;3),"Not serious",AND(H390&gt;=$D$1,I390&gt;0,G390/F390&gt;=3),"Very serious",AND(H390&lt;=$D$1*-1,J390&gt;0,I390&gt;$D$2*-1,G390/F390&lt;3),"Serious", AND(H390&lt;=$D$1*-1,J390&gt;0,I390&lt;$D$2*-1,G390/F390&lt;3),"Very serious", AND(H390&gt;=$D$1,I390&lt;0,J390&lt;$D$2,G390/F390&lt;3),"Serious",AND(H390&gt;=$D$1,I390&lt;0,J390&gt;$D$2,G390/F390&lt;3),"Very serious", AND(H390&lt;=$D$1*-1,J390&gt;0,I390&gt;$D$2*-1,G390/F390&gt;=3),"Very serious", AND(H390&lt;=$D$1*-1,J390&gt;0,I390&lt;$D$2*-1,G390/F390&gt;=3),"Very serious", AND(H390&gt;=$D$1,I390&lt;0,J390&lt;$D$2,G390/F390&gt;=3),"Very serious", AND(H390&gt;=$D$1,I390&lt;0,J390&gt;$D$2,G390/F390&gt;=3),"Very serious", AND(H390&gt;$D$1*-1,H390&lt;$D$1,I390&gt;$D$1*-1,J390&lt;$D$1,G390/F390&lt;3),"Not serious", AND(H390&gt;$D$1*-1,H390&lt;$D$1,OR(I390&lt;=$D$1*-1,J390&gt;=$D$1),I390&gt;$D$2*-1,J390&lt;$D$2,G390/F390&lt;3),"Serious", AND(H390&gt;$D$1*-1,H390&lt;$D$1,OR(I390&lt;=$D$2*-1,J390&gt;=$D$2),G390/F390&lt;3),"Very serious", AND(H390&gt;$D$1*-1,H390&lt;$D$1,I390&gt;$D$1*-1,J390&lt;$D$1,G390/F390&gt;=3),"Very serious", AND(H390&gt;$D$1*-1,H390&lt;$D$1,OR(I390&lt;=$D$1*-1,J390&gt;=$D$1),I390&gt;$D$2*-1,J390&lt;$D$2,G390/F390&gt;=3),"Very serious", AND(H390&gt;$D$1*-1,H390&lt;$D$1,OR(I390&lt;=$D$2*-1,J390&gt;=$D$2),G390/F390&gt;=3),"Very serious")),"")</f>
        <v/>
      </c>
      <c r="R390" s="109" t="str">
        <f t="shared" si="47"/>
        <v/>
      </c>
      <c r="S390" s="64"/>
      <c r="T390" s="72"/>
      <c r="U390" s="72"/>
      <c r="V390" s="72"/>
      <c r="W390" s="73"/>
      <c r="X390" s="73"/>
      <c r="Y390" s="74"/>
      <c r="Z390" s="113" t="str">
        <f t="array" ref="Z390">INDEX($A$1:$C$500, MATCH(1,($B:$B=$B390)*($C:$C=$AB390),0),1)</f>
        <v/>
      </c>
      <c r="AA390" s="113" t="str">
        <f t="array" ref="AA390">INDEX($A$1:$C$500, MATCH(1,($B:$B=$AB390)*($C:$C=$B390),0),1)</f>
        <v/>
      </c>
      <c r="AB390" s="111"/>
      <c r="AC390" s="114" t="str">
        <f t="shared" si="2"/>
        <v/>
      </c>
      <c r="AD390" s="115" t="str">
        <f t="shared" si="3"/>
        <v/>
      </c>
      <c r="AE390" s="116" t="str">
        <f t="array" ref="AE390">INDEX($A$1:$C$500, MATCH(1,($B:$B=$AB390)*($C:$C=$AG390),0),1)</f>
        <v/>
      </c>
      <c r="AF390" s="116" t="str">
        <f t="array" ref="AF390">INDEX($A$1:$C$500, MATCH(1,($B:$B=$AG390)*($C:$C=$AB390),0),1)</f>
        <v/>
      </c>
      <c r="AG390" s="72"/>
      <c r="AH390" s="114" t="str">
        <f t="shared" si="4"/>
        <v/>
      </c>
      <c r="AI390" s="115" t="str">
        <f t="shared" si="5"/>
        <v/>
      </c>
      <c r="AJ390" s="116" t="str">
        <f t="array" ref="AJ390">INDEX($A$1:$C$500, MATCH(1,($B:$B=$C390)*($C:$C=$AG390),0),1)</f>
        <v/>
      </c>
      <c r="AK390" s="116" t="str">
        <f t="array" ref="AK390">INDEX($A$1:$C$500, MATCH(1,($B:$B=$AG390)*($C:$C=$C390),0),1)</f>
        <v/>
      </c>
      <c r="AL390" s="116" t="str">
        <f t="array" ref="AL390">INDEX($A$1:$C$500, MATCH(1,($B:$B=$C390)*($C:$C=$AB390),0),1)</f>
        <v/>
      </c>
      <c r="AM390" s="116" t="str">
        <f t="array" ref="AM390">INDEX($A$1:$C$500, MATCH(1,($B:$B=$AB390)*($C:$C=$C390),0),1)</f>
        <v/>
      </c>
      <c r="AN390" s="114" t="str">
        <f t="array" ref="AN390">IFS(ISNUMBER(AJ390),AJ390,ISNUMBER(AK390),AK390,ISNUMBER(AL390),AL390,ISNUMBER(AM390),AM390)</f>
        <v>#N/A</v>
      </c>
      <c r="AO390" s="115" t="str">
        <f t="shared" si="6"/>
        <v/>
      </c>
      <c r="AP390" s="115" t="str">
        <f t="shared" si="7"/>
        <v/>
      </c>
      <c r="AQ390" s="111"/>
      <c r="AR390" s="109" t="str">
        <f t="shared" si="8"/>
        <v/>
      </c>
      <c r="AS390" s="72" t="str">
        <f>IFERROR(IF(AND(Preferences!B$3="Manual",OR(AX390/AW390&gt;V390/U390,BD390="Serious",BD390="Very serious")),"Assess imprecision",IFERROR(IFS(AND(Preferences!B$3="Automatic",V390/U390&gt;=30),"Extremely serious",AND(W390&lt;=$D$1*-1,Y390&lt;0,V390/U390&lt;3),"Not Serious",AND(W390&lt;=$D$1*-1,Y390&lt;0,V390/U390&gt;=3),"Very serious",AND(W390&gt;=$D$1,X390&gt;0,V390/U390&lt;3),"Not Serious",AND(W390&gt;=$D$1,X390&gt;0,V390/U390&gt;=3),"Very serious",AND(W390&lt;=$D$1*-1,Y390&gt;0,X390&gt;$D$2*-1,V390/U390&lt;3),"Serious", AND(W390&lt;=$D$1*-1,Y390&gt;0,X390&lt;$D$2*-1,V390/U390&lt;3),"Very serious", AND(W390&gt;=$D$1,X390&lt;0,Y390&lt;$D$2,V390/U390&lt;3),"Serious",AND(W390&gt;=$D$1,X390&lt;0,Y390&gt;$D$2,V390/U390&lt;3),"Very serious", AND(W390&lt;=$D$1*-1,Y390&gt;0,X390&gt;$D$2*-1,V390/U390&gt;=3),"Very serious", AND(W390&lt;=$D$1*-1,Y390&gt;0,X390&lt;$D$2*-1,V390/U390&gt;=3),"Very serious", AND(W390&gt;=$D$1,X390&lt;0,Y390&lt;$D$2,V390/U390&gt;=3),"Very serious", AND(W390&gt;=$D$1,X390&lt;0,Y390&gt;$D$2,V390/U390&gt;=3),"Very serious", AND(W390&gt;$D$1*-1,W390&lt;$D$1,X390&gt;$D$1*-1,Y390&lt;$D$1,V390/U390&lt;3),"Not Serious", AND(W390&gt;$D$1*-1,W390&lt;$D$1,OR(X390&lt;=$D$1*-1,Y390&gt;=$D$1),X390&gt;$D$2*-1,Y390&lt;$D$2,V390/U390&lt;3),"Serious", AND(W390&gt;$D$1*-1,W390&lt;$D$1,OR(X390&lt;=$D$2*-1,Y390&gt;=$D$2),V390/U390&lt;3),"Very serious", AND(W390&gt;$D$1*-1,W390&lt;$D$1,X390&gt;$D$1*-1,Y390&lt;$D$1,V390/U390&gt;=3),"Very serious", AND(W390&gt;$D$1*-1,W390&lt;$D$1,OR(X390&lt;=$D$1*-1,Y390&gt;=$D$1),X390&gt;$D$2*-1,Y390&lt;$D$2,V390/U390&gt;=3),"Very serious", AND(W390&gt;$D$1*-1,W390&lt;$D$1,OR(X390&lt;=$D$2*-1,Y390&gt;=$D$2),V390/U390&gt;=3),"Very serious"),"")),"")</f>
        <v/>
      </c>
      <c r="AT390" s="109" t="str">
        <f t="shared" si="9"/>
        <v/>
      </c>
      <c r="AU390" s="64"/>
      <c r="AV390" s="83"/>
      <c r="AW390" s="83"/>
      <c r="AX390" s="83"/>
      <c r="AY390" s="83"/>
      <c r="AZ390" s="83"/>
      <c r="BA390" s="85"/>
      <c r="BB390" s="86" t="str">
        <f>IF(Preferences!B$9="Manual","",IFS(ISBLANK(B390),"",AND(ISNUMBER(E390)=TRUE,ISNUMBER(T390)=FALSE),"Direct", AND(ISNUMBER(E390)=FALSE,ISNUMBER(T390)=TRUE),"Indirect", CN390=4,"Direct",AND(CL390=FALSE, CM390=TRUE,CN390-CO390&gt;-1),"Direct", AND(CL390=FALSE,CM390=TRUE, CN390-CO390&lt;0),"Check algorithm in appendix 2", AND(CL390=TRUE, CM390=FALSE,CN390-CO390&gt;0),"Check algorithm in appendix 2", AND(CL390=TRUE, CM390=FALSE,CN390-CO390=0),"Indirect", AND(CL390=TRUE, CM390=FALSE,CN390-CO390&lt;0),"Indirect", AND(CL390=FALSE,CM390=FALSE,CN390-CO390&gt;-1),"Direct", AND(CL390=FALSE,CM390=FALSE,CN390-CO390&lt;0),"Check algorithm in appendix 2", AND(CL390=TRUE,CM390=TRUE,CN390-CO390&gt;-1),"Direct", AND(CL390=TRUE,CM390=TRUE,CN390-CO390&lt;0),"Check algorithm in appendix 2"))</f>
        <v/>
      </c>
      <c r="BC390" s="120" t="str">
        <f t="shared" si="10"/>
        <v/>
      </c>
      <c r="BD390" s="140"/>
      <c r="BE390" s="122" t="str">
        <f>IF(Preferences!B$3="Manual","", IFERROR(IFS(AND(Preferences!B$3="Automatic",AX390/AW390&gt;=30),"Extremely serious",AND(AY390&lt;=$D$1*-1,BA390&lt;0,AX390/AW390&lt;3),"Not Serious",AND(AY390&lt;=$D$1*-1,BA390&lt;0,AX390/AW390&gt;=3),"Very serious",AND(AY390&gt;=$D$1,AZ390&gt;0,AX390/AW390&lt;3),"Not Serious",AND(AY390&gt;=$D$1,AZ390&gt;0,AX390/AW390&gt;=3),"Very serious",AND(AY390&lt;=$D$1*-1,BA390&gt;0,AZ390&gt;$D$2*-1,AX390/AW390&lt;3),"Serious", AND(AY390&lt;=$D$1*-1,BA390&gt;0,AZ390&lt;$D$2*-1,AX390/AW390&lt;3),"Very serious", AND(AY390&gt;=$D$1,AZ390&lt;0,BA390&lt;$D$2,AX390/AW390&lt;3),"Serious",AND(AY390&gt;=$D$1,AZ390&lt;0,BA390&gt;$D$2,AX390/AW390&lt;3),"Very serious", AND(AY390&lt;=$D$1*-1,BA390&gt;0,AZ390&gt;$D$2*-1,AX390/AW390&gt;=3),"Very serious", AND(AY390&lt;=$D$1*-1,BA390&gt;0,AZ390&lt;$D$2*-1,AX390/AW390&gt;=3),"Very serious", AND(AY390&gt;=$D$1,AZ390&lt;0,BA390&lt;$D$2,AX390/AW390&gt;=3),"Very serious", AND(AY390&gt;=$D$1,AZ390&lt;0,BA390&gt;$D$2,AX390/AW390&gt;=3),"Very serious", AND(AY390&gt;$D$1*-1,AY390&lt;$D$1,AZ390&gt;$D$1*-1,BA390&lt;$D$1,AX390/AW390&lt;3),"Not Serious", AND(AY390&gt;$D$1*-1,AY390&lt;$D$1,OR(AZ390&lt;=$D$1*-1,BA390&gt;=$D$1),AZ390&gt;$D$2*-1,BA390&lt;$D$2,AX390/AW390&lt;3),"Serious", AND(AY390&gt;$D$1*-1,AY390&lt;$D$1,OR(AZ390&lt;=$D$2*-1,BA390&gt;=$D$2),AX390/AW390&lt;3),"Very serious", AND(AY390&gt;$D$1*-1,AY390&lt;$D$1,AZ390&gt;$D$1*-1,BA390&lt;$D$1,AX390/AW390&gt;=3),"Very serious", AND(AY390&gt;$D$1*-1,AY390&lt;$D$1,OR(AZ390&lt;=$D$1*-1,BA390&gt;=$D$1),AZ390&gt;$D$2*-1,BA390&lt;$D$2,AX390/AW390&gt;=3),"Very serious", AND(AY390&gt;$D$1*-1,AY390&lt;$D$1,OR(AZ390&lt;=$D$2*-1,BA390&gt;=$D$2),AX390/AW390&gt;=3),"Very serious"),""))</f>
        <v/>
      </c>
      <c r="BF390" s="107" t="str">
        <f t="shared" si="11"/>
        <v/>
      </c>
      <c r="BG390" s="94" t="str">
        <f t="shared" si="46"/>
        <v/>
      </c>
      <c r="BH390" s="64" t="str">
        <f t="shared" si="12"/>
        <v>#N/A</v>
      </c>
      <c r="BI390" s="64" t="str">
        <f t="shared" si="13"/>
        <v/>
      </c>
      <c r="BJ390" s="123" t="str">
        <f t="shared" si="14"/>
        <v>#N/A</v>
      </c>
      <c r="BK390" s="64" t="str">
        <f t="shared" si="50"/>
        <v>YES</v>
      </c>
      <c r="BL390" s="64" t="str">
        <f t="shared" si="16"/>
        <v>YES</v>
      </c>
      <c r="BM390" s="64" t="str">
        <f t="shared" si="17"/>
        <v>YES</v>
      </c>
      <c r="BN390" s="124" t="str">
        <f t="shared" si="18"/>
        <v/>
      </c>
      <c r="BO390" s="91" t="str">
        <f t="shared" si="19"/>
        <v/>
      </c>
      <c r="BP390" s="91" t="str">
        <f t="shared" si="20"/>
        <v>#N/A</v>
      </c>
      <c r="BQ390" s="91" t="str">
        <f t="shared" si="21"/>
        <v/>
      </c>
      <c r="BR390" s="93" t="str">
        <f t="shared" si="22"/>
        <v/>
      </c>
      <c r="BS390" s="90" t="str">
        <f t="shared" si="23"/>
        <v/>
      </c>
      <c r="BT390" s="93" t="str">
        <f t="shared" si="24"/>
        <v>NA</v>
      </c>
      <c r="BU390" s="125" t="str">
        <f t="shared" si="25"/>
        <v>#N/A</v>
      </c>
      <c r="BV390" s="93" t="str">
        <f t="shared" si="26"/>
        <v/>
      </c>
      <c r="BW390" s="93" t="str">
        <f t="shared" si="27"/>
        <v/>
      </c>
      <c r="BX390" s="93" t="str">
        <f t="shared" si="28"/>
        <v>NA</v>
      </c>
      <c r="BY390" s="95" t="str">
        <f t="shared" si="29"/>
        <v>#N/A</v>
      </c>
      <c r="BZ390" s="93" t="str">
        <f t="shared" si="30"/>
        <v/>
      </c>
      <c r="CA390" s="93" t="str">
        <f t="shared" si="31"/>
        <v/>
      </c>
      <c r="CB390" s="93" t="str">
        <f t="shared" si="32"/>
        <v>NA</v>
      </c>
      <c r="CC390" s="96" t="str">
        <f t="shared" si="33"/>
        <v>#N/A</v>
      </c>
      <c r="CD390" s="93" t="str">
        <f t="shared" si="34"/>
        <v/>
      </c>
      <c r="CE390" s="93" t="str">
        <f t="shared" si="35"/>
        <v/>
      </c>
      <c r="CF390" s="93" t="str">
        <f t="shared" si="36"/>
        <v>NA</v>
      </c>
      <c r="CG390" s="97" t="str">
        <f t="shared" si="37"/>
        <v>#N/A</v>
      </c>
      <c r="CH390" s="98" t="str">
        <f t="shared" si="38"/>
        <v>#N/A</v>
      </c>
      <c r="CI390" s="99" t="str">
        <f t="shared" si="39"/>
        <v>#N/A</v>
      </c>
      <c r="CJ390" s="126" t="str">
        <f t="shared" si="40"/>
        <v>ERROR: check cell</v>
      </c>
      <c r="CK390" s="126"/>
      <c r="CL390" s="127" t="str">
        <f t="shared" si="41"/>
        <v>#DIV/0!</v>
      </c>
      <c r="CM390" s="128" t="str">
        <f t="shared" si="42"/>
        <v>#DIV/0!</v>
      </c>
      <c r="CN390" s="128">
        <f t="shared" si="43"/>
        <v>4</v>
      </c>
      <c r="CO390" s="129">
        <f t="shared" si="44"/>
        <v>4</v>
      </c>
      <c r="CP390" s="129" t="str">
        <f>IFS(C390=Preferences!B$13,B390,B390=Preferences!B$13,C390)</f>
        <v>#N/A</v>
      </c>
    </row>
    <row r="391" ht="13.5" customHeight="1">
      <c r="A391" s="63" t="str">
        <f t="shared" si="45"/>
        <v/>
      </c>
      <c r="B391" s="64"/>
      <c r="C391" s="64"/>
      <c r="D391" s="64"/>
      <c r="E391" s="65"/>
      <c r="F391" s="65"/>
      <c r="G391" s="65"/>
      <c r="H391" s="66"/>
      <c r="I391" s="66"/>
      <c r="J391" s="67"/>
      <c r="K391" s="68"/>
      <c r="L391" s="104"/>
      <c r="M391" s="104"/>
      <c r="N391" s="104"/>
      <c r="O391" s="104"/>
      <c r="P391" s="107" t="str">
        <f t="shared" si="1"/>
        <v/>
      </c>
      <c r="Q391" s="108" t="str">
        <f>IFERROR(IF(AND(Preferences!B$3="Manual",OR(AX391/AW391&gt;G391/F391,BD391="Serious",BD391="Very serious")),"Assess imprecision",IFS(ISBLANK(E391),"",AND(Preferences!B$3="Automatic", G391/F391&gt;=30),"Extremely serious",AND(H391&lt;=$D$1*-1,J391&lt;0,G391/F391&lt;3),"Not serious",AND(H391&lt;=$D$1*-1,J391&lt;0,G391/F391&gt;=3),"Very serious",AND(H391&gt;=$D$1,I391&gt;0,G391/F391&lt;3),"Not serious",AND(H391&gt;=$D$1,I391&gt;0,G391/F391&gt;=3),"Very serious",AND(H391&lt;=$D$1*-1,J391&gt;0,I391&gt;$D$2*-1,G391/F391&lt;3),"Serious", AND(H391&lt;=$D$1*-1,J391&gt;0,I391&lt;$D$2*-1,G391/F391&lt;3),"Very serious", AND(H391&gt;=$D$1,I391&lt;0,J391&lt;$D$2,G391/F391&lt;3),"Serious",AND(H391&gt;=$D$1,I391&lt;0,J391&gt;$D$2,G391/F391&lt;3),"Very serious", AND(H391&lt;=$D$1*-1,J391&gt;0,I391&gt;$D$2*-1,G391/F391&gt;=3),"Very serious", AND(H391&lt;=$D$1*-1,J391&gt;0,I391&lt;$D$2*-1,G391/F391&gt;=3),"Very serious", AND(H391&gt;=$D$1,I391&lt;0,J391&lt;$D$2,G391/F391&gt;=3),"Very serious", AND(H391&gt;=$D$1,I391&lt;0,J391&gt;$D$2,G391/F391&gt;=3),"Very serious", AND(H391&gt;$D$1*-1,H391&lt;$D$1,I391&gt;$D$1*-1,J391&lt;$D$1,G391/F391&lt;3),"Not serious", AND(H391&gt;$D$1*-1,H391&lt;$D$1,OR(I391&lt;=$D$1*-1,J391&gt;=$D$1),I391&gt;$D$2*-1,J391&lt;$D$2,G391/F391&lt;3),"Serious", AND(H391&gt;$D$1*-1,H391&lt;$D$1,OR(I391&lt;=$D$2*-1,J391&gt;=$D$2),G391/F391&lt;3),"Very serious", AND(H391&gt;$D$1*-1,H391&lt;$D$1,I391&gt;$D$1*-1,J391&lt;$D$1,G391/F391&gt;=3),"Very serious", AND(H391&gt;$D$1*-1,H391&lt;$D$1,OR(I391&lt;=$D$1*-1,J391&gt;=$D$1),I391&gt;$D$2*-1,J391&lt;$D$2,G391/F391&gt;=3),"Very serious", AND(H391&gt;$D$1*-1,H391&lt;$D$1,OR(I391&lt;=$D$2*-1,J391&gt;=$D$2),G391/F391&gt;=3),"Very serious")),"")</f>
        <v/>
      </c>
      <c r="R391" s="109" t="str">
        <f t="shared" si="47"/>
        <v/>
      </c>
      <c r="S391" s="64"/>
      <c r="T391" s="72"/>
      <c r="U391" s="72"/>
      <c r="V391" s="72"/>
      <c r="W391" s="73"/>
      <c r="X391" s="73"/>
      <c r="Y391" s="74"/>
      <c r="Z391" s="113" t="str">
        <f t="array" ref="Z391">INDEX($A$1:$C$500, MATCH(1,($B:$B=$B391)*($C:$C=$AB391),0),1)</f>
        <v/>
      </c>
      <c r="AA391" s="113" t="str">
        <f t="array" ref="AA391">INDEX($A$1:$C$500, MATCH(1,($B:$B=$AB391)*($C:$C=$B391),0),1)</f>
        <v/>
      </c>
      <c r="AB391" s="111"/>
      <c r="AC391" s="114" t="str">
        <f t="shared" si="2"/>
        <v/>
      </c>
      <c r="AD391" s="115" t="str">
        <f t="shared" si="3"/>
        <v/>
      </c>
      <c r="AE391" s="116" t="str">
        <f t="array" ref="AE391">INDEX($A$1:$C$500, MATCH(1,($B:$B=$AB391)*($C:$C=$AG391),0),1)</f>
        <v/>
      </c>
      <c r="AF391" s="116" t="str">
        <f t="array" ref="AF391">INDEX($A$1:$C$500, MATCH(1,($B:$B=$AG391)*($C:$C=$AB391),0),1)</f>
        <v/>
      </c>
      <c r="AG391" s="72"/>
      <c r="AH391" s="114" t="str">
        <f t="shared" si="4"/>
        <v/>
      </c>
      <c r="AI391" s="115" t="str">
        <f t="shared" si="5"/>
        <v/>
      </c>
      <c r="AJ391" s="116" t="str">
        <f t="array" ref="AJ391">INDEX($A$1:$C$500, MATCH(1,($B:$B=$C391)*($C:$C=$AG391),0),1)</f>
        <v/>
      </c>
      <c r="AK391" s="116" t="str">
        <f t="array" ref="AK391">INDEX($A$1:$C$500, MATCH(1,($B:$B=$AG391)*($C:$C=$C391),0),1)</f>
        <v/>
      </c>
      <c r="AL391" s="116" t="str">
        <f t="array" ref="AL391">INDEX($A$1:$C$500, MATCH(1,($B:$B=$C391)*($C:$C=$AB391),0),1)</f>
        <v/>
      </c>
      <c r="AM391" s="116" t="str">
        <f t="array" ref="AM391">INDEX($A$1:$C$500, MATCH(1,($B:$B=$AB391)*($C:$C=$C391),0),1)</f>
        <v/>
      </c>
      <c r="AN391" s="114" t="str">
        <f t="array" ref="AN391">IFS(ISNUMBER(AJ391),AJ391,ISNUMBER(AK391),AK391,ISNUMBER(AL391),AL391,ISNUMBER(AM391),AM391)</f>
        <v>#N/A</v>
      </c>
      <c r="AO391" s="115" t="str">
        <f t="shared" si="6"/>
        <v/>
      </c>
      <c r="AP391" s="115" t="str">
        <f t="shared" si="7"/>
        <v/>
      </c>
      <c r="AQ391" s="111"/>
      <c r="AR391" s="109" t="str">
        <f t="shared" si="8"/>
        <v/>
      </c>
      <c r="AS391" s="72" t="str">
        <f>IFERROR(IF(AND(Preferences!B$3="Manual",OR(AX391/AW391&gt;V391/U391,BD391="Serious",BD391="Very serious")),"Assess imprecision",IFERROR(IFS(AND(Preferences!B$3="Automatic",V391/U391&gt;=30),"Extremely serious",AND(W391&lt;=$D$1*-1,Y391&lt;0,V391/U391&lt;3),"Not Serious",AND(W391&lt;=$D$1*-1,Y391&lt;0,V391/U391&gt;=3),"Very serious",AND(W391&gt;=$D$1,X391&gt;0,V391/U391&lt;3),"Not Serious",AND(W391&gt;=$D$1,X391&gt;0,V391/U391&gt;=3),"Very serious",AND(W391&lt;=$D$1*-1,Y391&gt;0,X391&gt;$D$2*-1,V391/U391&lt;3),"Serious", AND(W391&lt;=$D$1*-1,Y391&gt;0,X391&lt;$D$2*-1,V391/U391&lt;3),"Very serious", AND(W391&gt;=$D$1,X391&lt;0,Y391&lt;$D$2,V391/U391&lt;3),"Serious",AND(W391&gt;=$D$1,X391&lt;0,Y391&gt;$D$2,V391/U391&lt;3),"Very serious", AND(W391&lt;=$D$1*-1,Y391&gt;0,X391&gt;$D$2*-1,V391/U391&gt;=3),"Very serious", AND(W391&lt;=$D$1*-1,Y391&gt;0,X391&lt;$D$2*-1,V391/U391&gt;=3),"Very serious", AND(W391&gt;=$D$1,X391&lt;0,Y391&lt;$D$2,V391/U391&gt;=3),"Very serious", AND(W391&gt;=$D$1,X391&lt;0,Y391&gt;$D$2,V391/U391&gt;=3),"Very serious", AND(W391&gt;$D$1*-1,W391&lt;$D$1,X391&gt;$D$1*-1,Y391&lt;$D$1,V391/U391&lt;3),"Not Serious", AND(W391&gt;$D$1*-1,W391&lt;$D$1,OR(X391&lt;=$D$1*-1,Y391&gt;=$D$1),X391&gt;$D$2*-1,Y391&lt;$D$2,V391/U391&lt;3),"Serious", AND(W391&gt;$D$1*-1,W391&lt;$D$1,OR(X391&lt;=$D$2*-1,Y391&gt;=$D$2),V391/U391&lt;3),"Very serious", AND(W391&gt;$D$1*-1,W391&lt;$D$1,X391&gt;$D$1*-1,Y391&lt;$D$1,V391/U391&gt;=3),"Very serious", AND(W391&gt;$D$1*-1,W391&lt;$D$1,OR(X391&lt;=$D$1*-1,Y391&gt;=$D$1),X391&gt;$D$2*-1,Y391&lt;$D$2,V391/U391&gt;=3),"Very serious", AND(W391&gt;$D$1*-1,W391&lt;$D$1,OR(X391&lt;=$D$2*-1,Y391&gt;=$D$2),V391/U391&gt;=3),"Very serious"),"")),"")</f>
        <v/>
      </c>
      <c r="AT391" s="109" t="str">
        <f t="shared" si="9"/>
        <v/>
      </c>
      <c r="AU391" s="64"/>
      <c r="AV391" s="83"/>
      <c r="AW391" s="83"/>
      <c r="AX391" s="83"/>
      <c r="AY391" s="83"/>
      <c r="AZ391" s="83"/>
      <c r="BA391" s="85"/>
      <c r="BB391" s="86" t="str">
        <f>IF(Preferences!B$9="Manual","",IFS(ISBLANK(B391),"",AND(ISNUMBER(E391)=TRUE,ISNUMBER(T391)=FALSE),"Direct", AND(ISNUMBER(E391)=FALSE,ISNUMBER(T391)=TRUE),"Indirect", CN391=4,"Direct",AND(CL391=FALSE, CM391=TRUE,CN391-CO391&gt;-1),"Direct", AND(CL391=FALSE,CM391=TRUE, CN391-CO391&lt;0),"Check algorithm in appendix 2", AND(CL391=TRUE, CM391=FALSE,CN391-CO391&gt;0),"Check algorithm in appendix 2", AND(CL391=TRUE, CM391=FALSE,CN391-CO391=0),"Indirect", AND(CL391=TRUE, CM391=FALSE,CN391-CO391&lt;0),"Indirect", AND(CL391=FALSE,CM391=FALSE,CN391-CO391&gt;-1),"Direct", AND(CL391=FALSE,CM391=FALSE,CN391-CO391&lt;0),"Check algorithm in appendix 2", AND(CL391=TRUE,CM391=TRUE,CN391-CO391&gt;-1),"Direct", AND(CL391=TRUE,CM391=TRUE,CN391-CO391&lt;0),"Check algorithm in appendix 2"))</f>
        <v/>
      </c>
      <c r="BC391" s="120" t="str">
        <f t="shared" si="10"/>
        <v/>
      </c>
      <c r="BD391" s="140"/>
      <c r="BE391" s="122" t="str">
        <f>IF(Preferences!B$3="Manual","", IFERROR(IFS(AND(Preferences!B$3="Automatic",AX391/AW391&gt;=30),"Extremely serious",AND(AY391&lt;=$D$1*-1,BA391&lt;0,AX391/AW391&lt;3),"Not Serious",AND(AY391&lt;=$D$1*-1,BA391&lt;0,AX391/AW391&gt;=3),"Very serious",AND(AY391&gt;=$D$1,AZ391&gt;0,AX391/AW391&lt;3),"Not Serious",AND(AY391&gt;=$D$1,AZ391&gt;0,AX391/AW391&gt;=3),"Very serious",AND(AY391&lt;=$D$1*-1,BA391&gt;0,AZ391&gt;$D$2*-1,AX391/AW391&lt;3),"Serious", AND(AY391&lt;=$D$1*-1,BA391&gt;0,AZ391&lt;$D$2*-1,AX391/AW391&lt;3),"Very serious", AND(AY391&gt;=$D$1,AZ391&lt;0,BA391&lt;$D$2,AX391/AW391&lt;3),"Serious",AND(AY391&gt;=$D$1,AZ391&lt;0,BA391&gt;$D$2,AX391/AW391&lt;3),"Very serious", AND(AY391&lt;=$D$1*-1,BA391&gt;0,AZ391&gt;$D$2*-1,AX391/AW391&gt;=3),"Very serious", AND(AY391&lt;=$D$1*-1,BA391&gt;0,AZ391&lt;$D$2*-1,AX391/AW391&gt;=3),"Very serious", AND(AY391&gt;=$D$1,AZ391&lt;0,BA391&lt;$D$2,AX391/AW391&gt;=3),"Very serious", AND(AY391&gt;=$D$1,AZ391&lt;0,BA391&gt;$D$2,AX391/AW391&gt;=3),"Very serious", AND(AY391&gt;$D$1*-1,AY391&lt;$D$1,AZ391&gt;$D$1*-1,BA391&lt;$D$1,AX391/AW391&lt;3),"Not Serious", AND(AY391&gt;$D$1*-1,AY391&lt;$D$1,OR(AZ391&lt;=$D$1*-1,BA391&gt;=$D$1),AZ391&gt;$D$2*-1,BA391&lt;$D$2,AX391/AW391&lt;3),"Serious", AND(AY391&gt;$D$1*-1,AY391&lt;$D$1,OR(AZ391&lt;=$D$2*-1,BA391&gt;=$D$2),AX391/AW391&lt;3),"Very serious", AND(AY391&gt;$D$1*-1,AY391&lt;$D$1,AZ391&gt;$D$1*-1,BA391&lt;$D$1,AX391/AW391&gt;=3),"Very serious", AND(AY391&gt;$D$1*-1,AY391&lt;$D$1,OR(AZ391&lt;=$D$1*-1,BA391&gt;=$D$1),AZ391&gt;$D$2*-1,BA391&lt;$D$2,AX391/AW391&gt;=3),"Very serious", AND(AY391&gt;$D$1*-1,AY391&lt;$D$1,OR(AZ391&lt;=$D$2*-1,BA391&gt;=$D$2),AX391/AW391&gt;=3),"Very serious"),""))</f>
        <v/>
      </c>
      <c r="BF391" s="107" t="str">
        <f t="shared" si="11"/>
        <v/>
      </c>
      <c r="BG391" s="94" t="str">
        <f t="shared" si="46"/>
        <v/>
      </c>
      <c r="BH391" s="64" t="str">
        <f t="shared" si="12"/>
        <v>#N/A</v>
      </c>
      <c r="BI391" s="64" t="str">
        <f t="shared" si="13"/>
        <v/>
      </c>
      <c r="BJ391" s="123" t="str">
        <f t="shared" si="14"/>
        <v>#N/A</v>
      </c>
      <c r="BK391" s="64" t="str">
        <f t="shared" si="50"/>
        <v>YES</v>
      </c>
      <c r="BL391" s="64" t="str">
        <f t="shared" si="16"/>
        <v>YES</v>
      </c>
      <c r="BM391" s="64" t="str">
        <f t="shared" si="17"/>
        <v>YES</v>
      </c>
      <c r="BN391" s="124" t="str">
        <f t="shared" si="18"/>
        <v/>
      </c>
      <c r="BO391" s="91" t="str">
        <f t="shared" si="19"/>
        <v/>
      </c>
      <c r="BP391" s="91" t="str">
        <f t="shared" si="20"/>
        <v>#N/A</v>
      </c>
      <c r="BQ391" s="91" t="str">
        <f t="shared" si="21"/>
        <v/>
      </c>
      <c r="BR391" s="93" t="str">
        <f t="shared" si="22"/>
        <v/>
      </c>
      <c r="BS391" s="90" t="str">
        <f t="shared" si="23"/>
        <v/>
      </c>
      <c r="BT391" s="93" t="str">
        <f t="shared" si="24"/>
        <v>NA</v>
      </c>
      <c r="BU391" s="125" t="str">
        <f t="shared" si="25"/>
        <v>#N/A</v>
      </c>
      <c r="BV391" s="93" t="str">
        <f t="shared" si="26"/>
        <v/>
      </c>
      <c r="BW391" s="93" t="str">
        <f t="shared" si="27"/>
        <v/>
      </c>
      <c r="BX391" s="93" t="str">
        <f t="shared" si="28"/>
        <v>NA</v>
      </c>
      <c r="BY391" s="95" t="str">
        <f t="shared" si="29"/>
        <v>#N/A</v>
      </c>
      <c r="BZ391" s="93" t="str">
        <f t="shared" si="30"/>
        <v/>
      </c>
      <c r="CA391" s="93" t="str">
        <f t="shared" si="31"/>
        <v/>
      </c>
      <c r="CB391" s="93" t="str">
        <f t="shared" si="32"/>
        <v>NA</v>
      </c>
      <c r="CC391" s="96" t="str">
        <f t="shared" si="33"/>
        <v>#N/A</v>
      </c>
      <c r="CD391" s="93" t="str">
        <f t="shared" si="34"/>
        <v/>
      </c>
      <c r="CE391" s="93" t="str">
        <f t="shared" si="35"/>
        <v/>
      </c>
      <c r="CF391" s="93" t="str">
        <f t="shared" si="36"/>
        <v>NA</v>
      </c>
      <c r="CG391" s="97" t="str">
        <f t="shared" si="37"/>
        <v>#N/A</v>
      </c>
      <c r="CH391" s="98" t="str">
        <f t="shared" si="38"/>
        <v>#N/A</v>
      </c>
      <c r="CI391" s="99" t="str">
        <f t="shared" si="39"/>
        <v>#N/A</v>
      </c>
      <c r="CJ391" s="126" t="str">
        <f t="shared" si="40"/>
        <v>ERROR: check cell</v>
      </c>
      <c r="CK391" s="126"/>
      <c r="CL391" s="127" t="str">
        <f t="shared" si="41"/>
        <v>#DIV/0!</v>
      </c>
      <c r="CM391" s="128" t="str">
        <f t="shared" si="42"/>
        <v>#DIV/0!</v>
      </c>
      <c r="CN391" s="128">
        <f t="shared" si="43"/>
        <v>4</v>
      </c>
      <c r="CO391" s="129">
        <f t="shared" si="44"/>
        <v>4</v>
      </c>
      <c r="CP391" s="129" t="str">
        <f>IFS(C391=Preferences!B$13,B391,B391=Preferences!B$13,C391)</f>
        <v>#N/A</v>
      </c>
    </row>
    <row r="392" ht="13.5" customHeight="1">
      <c r="A392" s="63" t="str">
        <f t="shared" si="45"/>
        <v/>
      </c>
      <c r="B392" s="64"/>
      <c r="C392" s="64"/>
      <c r="D392" s="64"/>
      <c r="E392" s="65"/>
      <c r="F392" s="65"/>
      <c r="G392" s="65"/>
      <c r="H392" s="66"/>
      <c r="I392" s="66"/>
      <c r="J392" s="67"/>
      <c r="K392" s="68"/>
      <c r="L392" s="104"/>
      <c r="M392" s="104"/>
      <c r="N392" s="104"/>
      <c r="O392" s="104"/>
      <c r="P392" s="107" t="str">
        <f t="shared" si="1"/>
        <v/>
      </c>
      <c r="Q392" s="108" t="str">
        <f>IFERROR(IF(AND(Preferences!B$3="Manual",OR(AX392/AW392&gt;G392/F392,BD392="Serious",BD392="Very serious")),"Assess imprecision",IFS(ISBLANK(E392),"",AND(Preferences!B$3="Automatic", G392/F392&gt;=30),"Extremely serious",AND(H392&lt;=$D$1*-1,J392&lt;0,G392/F392&lt;3),"Not serious",AND(H392&lt;=$D$1*-1,J392&lt;0,G392/F392&gt;=3),"Very serious",AND(H392&gt;=$D$1,I392&gt;0,G392/F392&lt;3),"Not serious",AND(H392&gt;=$D$1,I392&gt;0,G392/F392&gt;=3),"Very serious",AND(H392&lt;=$D$1*-1,J392&gt;0,I392&gt;$D$2*-1,G392/F392&lt;3),"Serious", AND(H392&lt;=$D$1*-1,J392&gt;0,I392&lt;$D$2*-1,G392/F392&lt;3),"Very serious", AND(H392&gt;=$D$1,I392&lt;0,J392&lt;$D$2,G392/F392&lt;3),"Serious",AND(H392&gt;=$D$1,I392&lt;0,J392&gt;$D$2,G392/F392&lt;3),"Very serious", AND(H392&lt;=$D$1*-1,J392&gt;0,I392&gt;$D$2*-1,G392/F392&gt;=3),"Very serious", AND(H392&lt;=$D$1*-1,J392&gt;0,I392&lt;$D$2*-1,G392/F392&gt;=3),"Very serious", AND(H392&gt;=$D$1,I392&lt;0,J392&lt;$D$2,G392/F392&gt;=3),"Very serious", AND(H392&gt;=$D$1,I392&lt;0,J392&gt;$D$2,G392/F392&gt;=3),"Very serious", AND(H392&gt;$D$1*-1,H392&lt;$D$1,I392&gt;$D$1*-1,J392&lt;$D$1,G392/F392&lt;3),"Not serious", AND(H392&gt;$D$1*-1,H392&lt;$D$1,OR(I392&lt;=$D$1*-1,J392&gt;=$D$1),I392&gt;$D$2*-1,J392&lt;$D$2,G392/F392&lt;3),"Serious", AND(H392&gt;$D$1*-1,H392&lt;$D$1,OR(I392&lt;=$D$2*-1,J392&gt;=$D$2),G392/F392&lt;3),"Very serious", AND(H392&gt;$D$1*-1,H392&lt;$D$1,I392&gt;$D$1*-1,J392&lt;$D$1,G392/F392&gt;=3),"Very serious", AND(H392&gt;$D$1*-1,H392&lt;$D$1,OR(I392&lt;=$D$1*-1,J392&gt;=$D$1),I392&gt;$D$2*-1,J392&lt;$D$2,G392/F392&gt;=3),"Very serious", AND(H392&gt;$D$1*-1,H392&lt;$D$1,OR(I392&lt;=$D$2*-1,J392&gt;=$D$2),G392/F392&gt;=3),"Very serious")),"")</f>
        <v/>
      </c>
      <c r="R392" s="109" t="str">
        <f t="shared" si="47"/>
        <v/>
      </c>
      <c r="S392" s="64"/>
      <c r="T392" s="72"/>
      <c r="U392" s="72"/>
      <c r="V392" s="72"/>
      <c r="W392" s="73"/>
      <c r="X392" s="73"/>
      <c r="Y392" s="74"/>
      <c r="Z392" s="113" t="str">
        <f t="array" ref="Z392">INDEX($A$1:$C$500, MATCH(1,($B:$B=$B392)*($C:$C=$AB392),0),1)</f>
        <v/>
      </c>
      <c r="AA392" s="113" t="str">
        <f t="array" ref="AA392">INDEX($A$1:$C$500, MATCH(1,($B:$B=$AB392)*($C:$C=$B392),0),1)</f>
        <v/>
      </c>
      <c r="AB392" s="111"/>
      <c r="AC392" s="114" t="str">
        <f t="shared" si="2"/>
        <v/>
      </c>
      <c r="AD392" s="115" t="str">
        <f t="shared" si="3"/>
        <v/>
      </c>
      <c r="AE392" s="116" t="str">
        <f t="array" ref="AE392">INDEX($A$1:$C$500, MATCH(1,($B:$B=$AB392)*($C:$C=$AG392),0),1)</f>
        <v/>
      </c>
      <c r="AF392" s="116" t="str">
        <f t="array" ref="AF392">INDEX($A$1:$C$500, MATCH(1,($B:$B=$AG392)*($C:$C=$AB392),0),1)</f>
        <v/>
      </c>
      <c r="AG392" s="72"/>
      <c r="AH392" s="114" t="str">
        <f t="shared" si="4"/>
        <v/>
      </c>
      <c r="AI392" s="115" t="str">
        <f t="shared" si="5"/>
        <v/>
      </c>
      <c r="AJ392" s="116" t="str">
        <f t="array" ref="AJ392">INDEX($A$1:$C$500, MATCH(1,($B:$B=$C392)*($C:$C=$AG392),0),1)</f>
        <v/>
      </c>
      <c r="AK392" s="116" t="str">
        <f t="array" ref="AK392">INDEX($A$1:$C$500, MATCH(1,($B:$B=$AG392)*($C:$C=$C392),0),1)</f>
        <v/>
      </c>
      <c r="AL392" s="116" t="str">
        <f t="array" ref="AL392">INDEX($A$1:$C$500, MATCH(1,($B:$B=$C392)*($C:$C=$AB392),0),1)</f>
        <v/>
      </c>
      <c r="AM392" s="116" t="str">
        <f t="array" ref="AM392">INDEX($A$1:$C$500, MATCH(1,($B:$B=$AB392)*($C:$C=$C392),0),1)</f>
        <v/>
      </c>
      <c r="AN392" s="114" t="str">
        <f t="array" ref="AN392">IFS(ISNUMBER(AJ392),AJ392,ISNUMBER(AK392),AK392,ISNUMBER(AL392),AL392,ISNUMBER(AM392),AM392)</f>
        <v>#N/A</v>
      </c>
      <c r="AO392" s="115" t="str">
        <f t="shared" si="6"/>
        <v/>
      </c>
      <c r="AP392" s="115" t="str">
        <f t="shared" si="7"/>
        <v/>
      </c>
      <c r="AQ392" s="111"/>
      <c r="AR392" s="109" t="str">
        <f t="shared" si="8"/>
        <v/>
      </c>
      <c r="AS392" s="72" t="str">
        <f>IFERROR(IF(AND(Preferences!B$3="Manual",OR(AX392/AW392&gt;V392/U392,BD392="Serious",BD392="Very serious")),"Assess imprecision",IFERROR(IFS(AND(Preferences!B$3="Automatic",V392/U392&gt;=30),"Extremely serious",AND(W392&lt;=$D$1*-1,Y392&lt;0,V392/U392&lt;3),"Not Serious",AND(W392&lt;=$D$1*-1,Y392&lt;0,V392/U392&gt;=3),"Very serious",AND(W392&gt;=$D$1,X392&gt;0,V392/U392&lt;3),"Not Serious",AND(W392&gt;=$D$1,X392&gt;0,V392/U392&gt;=3),"Very serious",AND(W392&lt;=$D$1*-1,Y392&gt;0,X392&gt;$D$2*-1,V392/U392&lt;3),"Serious", AND(W392&lt;=$D$1*-1,Y392&gt;0,X392&lt;$D$2*-1,V392/U392&lt;3),"Very serious", AND(W392&gt;=$D$1,X392&lt;0,Y392&lt;$D$2,V392/U392&lt;3),"Serious",AND(W392&gt;=$D$1,X392&lt;0,Y392&gt;$D$2,V392/U392&lt;3),"Very serious", AND(W392&lt;=$D$1*-1,Y392&gt;0,X392&gt;$D$2*-1,V392/U392&gt;=3),"Very serious", AND(W392&lt;=$D$1*-1,Y392&gt;0,X392&lt;$D$2*-1,V392/U392&gt;=3),"Very serious", AND(W392&gt;=$D$1,X392&lt;0,Y392&lt;$D$2,V392/U392&gt;=3),"Very serious", AND(W392&gt;=$D$1,X392&lt;0,Y392&gt;$D$2,V392/U392&gt;=3),"Very serious", AND(W392&gt;$D$1*-1,W392&lt;$D$1,X392&gt;$D$1*-1,Y392&lt;$D$1,V392/U392&lt;3),"Not Serious", AND(W392&gt;$D$1*-1,W392&lt;$D$1,OR(X392&lt;=$D$1*-1,Y392&gt;=$D$1),X392&gt;$D$2*-1,Y392&lt;$D$2,V392/U392&lt;3),"Serious", AND(W392&gt;$D$1*-1,W392&lt;$D$1,OR(X392&lt;=$D$2*-1,Y392&gt;=$D$2),V392/U392&lt;3),"Very serious", AND(W392&gt;$D$1*-1,W392&lt;$D$1,X392&gt;$D$1*-1,Y392&lt;$D$1,V392/U392&gt;=3),"Very serious", AND(W392&gt;$D$1*-1,W392&lt;$D$1,OR(X392&lt;=$D$1*-1,Y392&gt;=$D$1),X392&gt;$D$2*-1,Y392&lt;$D$2,V392/U392&gt;=3),"Very serious", AND(W392&gt;$D$1*-1,W392&lt;$D$1,OR(X392&lt;=$D$2*-1,Y392&gt;=$D$2),V392/U392&gt;=3),"Very serious"),"")),"")</f>
        <v/>
      </c>
      <c r="AT392" s="109" t="str">
        <f t="shared" si="9"/>
        <v/>
      </c>
      <c r="AU392" s="64"/>
      <c r="AV392" s="83"/>
      <c r="AW392" s="83"/>
      <c r="AX392" s="83"/>
      <c r="AY392" s="83"/>
      <c r="AZ392" s="83"/>
      <c r="BA392" s="85"/>
      <c r="BB392" s="86" t="str">
        <f>IF(Preferences!B$9="Manual","",IFS(ISBLANK(B392),"",AND(ISNUMBER(E392)=TRUE,ISNUMBER(T392)=FALSE),"Direct", AND(ISNUMBER(E392)=FALSE,ISNUMBER(T392)=TRUE),"Indirect", CN392=4,"Direct",AND(CL392=FALSE, CM392=TRUE,CN392-CO392&gt;-1),"Direct", AND(CL392=FALSE,CM392=TRUE, CN392-CO392&lt;0),"Check algorithm in appendix 2", AND(CL392=TRUE, CM392=FALSE,CN392-CO392&gt;0),"Check algorithm in appendix 2", AND(CL392=TRUE, CM392=FALSE,CN392-CO392=0),"Indirect", AND(CL392=TRUE, CM392=FALSE,CN392-CO392&lt;0),"Indirect", AND(CL392=FALSE,CM392=FALSE,CN392-CO392&gt;-1),"Direct", AND(CL392=FALSE,CM392=FALSE,CN392-CO392&lt;0),"Check algorithm in appendix 2", AND(CL392=TRUE,CM392=TRUE,CN392-CO392&gt;-1),"Direct", AND(CL392=TRUE,CM392=TRUE,CN392-CO392&lt;0),"Check algorithm in appendix 2"))</f>
        <v/>
      </c>
      <c r="BC392" s="120" t="str">
        <f t="shared" si="10"/>
        <v/>
      </c>
      <c r="BD392" s="140"/>
      <c r="BE392" s="122" t="str">
        <f>IF(Preferences!B$3="Manual","", IFERROR(IFS(AND(Preferences!B$3="Automatic",AX392/AW392&gt;=30),"Extremely serious",AND(AY392&lt;=$D$1*-1,BA392&lt;0,AX392/AW392&lt;3),"Not Serious",AND(AY392&lt;=$D$1*-1,BA392&lt;0,AX392/AW392&gt;=3),"Very serious",AND(AY392&gt;=$D$1,AZ392&gt;0,AX392/AW392&lt;3),"Not Serious",AND(AY392&gt;=$D$1,AZ392&gt;0,AX392/AW392&gt;=3),"Very serious",AND(AY392&lt;=$D$1*-1,BA392&gt;0,AZ392&gt;$D$2*-1,AX392/AW392&lt;3),"Serious", AND(AY392&lt;=$D$1*-1,BA392&gt;0,AZ392&lt;$D$2*-1,AX392/AW392&lt;3),"Very serious", AND(AY392&gt;=$D$1,AZ392&lt;0,BA392&lt;$D$2,AX392/AW392&lt;3),"Serious",AND(AY392&gt;=$D$1,AZ392&lt;0,BA392&gt;$D$2,AX392/AW392&lt;3),"Very serious", AND(AY392&lt;=$D$1*-1,BA392&gt;0,AZ392&gt;$D$2*-1,AX392/AW392&gt;=3),"Very serious", AND(AY392&lt;=$D$1*-1,BA392&gt;0,AZ392&lt;$D$2*-1,AX392/AW392&gt;=3),"Very serious", AND(AY392&gt;=$D$1,AZ392&lt;0,BA392&lt;$D$2,AX392/AW392&gt;=3),"Very serious", AND(AY392&gt;=$D$1,AZ392&lt;0,BA392&gt;$D$2,AX392/AW392&gt;=3),"Very serious", AND(AY392&gt;$D$1*-1,AY392&lt;$D$1,AZ392&gt;$D$1*-1,BA392&lt;$D$1,AX392/AW392&lt;3),"Not Serious", AND(AY392&gt;$D$1*-1,AY392&lt;$D$1,OR(AZ392&lt;=$D$1*-1,BA392&gt;=$D$1),AZ392&gt;$D$2*-1,BA392&lt;$D$2,AX392/AW392&lt;3),"Serious", AND(AY392&gt;$D$1*-1,AY392&lt;$D$1,OR(AZ392&lt;=$D$2*-1,BA392&gt;=$D$2),AX392/AW392&lt;3),"Very serious", AND(AY392&gt;$D$1*-1,AY392&lt;$D$1,AZ392&gt;$D$1*-1,BA392&lt;$D$1,AX392/AW392&gt;=3),"Very serious", AND(AY392&gt;$D$1*-1,AY392&lt;$D$1,OR(AZ392&lt;=$D$1*-1,BA392&gt;=$D$1),AZ392&gt;$D$2*-1,BA392&lt;$D$2,AX392/AW392&gt;=3),"Very serious", AND(AY392&gt;$D$1*-1,AY392&lt;$D$1,OR(AZ392&lt;=$D$2*-1,BA392&gt;=$D$2),AX392/AW392&gt;=3),"Very serious"),""))</f>
        <v/>
      </c>
      <c r="BF392" s="107" t="str">
        <f t="shared" si="11"/>
        <v/>
      </c>
      <c r="BG392" s="94" t="str">
        <f t="shared" si="46"/>
        <v/>
      </c>
      <c r="BH392" s="64" t="str">
        <f t="shared" si="12"/>
        <v>#N/A</v>
      </c>
      <c r="BI392" s="64" t="str">
        <f t="shared" si="13"/>
        <v/>
      </c>
      <c r="BJ392" s="123" t="str">
        <f t="shared" si="14"/>
        <v>#N/A</v>
      </c>
      <c r="BK392" s="64" t="str">
        <f t="shared" si="50"/>
        <v>YES</v>
      </c>
      <c r="BL392" s="64" t="str">
        <f t="shared" si="16"/>
        <v>YES</v>
      </c>
      <c r="BM392" s="64" t="str">
        <f t="shared" si="17"/>
        <v>YES</v>
      </c>
      <c r="BN392" s="124" t="str">
        <f t="shared" si="18"/>
        <v/>
      </c>
      <c r="BO392" s="91" t="str">
        <f t="shared" si="19"/>
        <v/>
      </c>
      <c r="BP392" s="91" t="str">
        <f t="shared" si="20"/>
        <v>#N/A</v>
      </c>
      <c r="BQ392" s="91" t="str">
        <f t="shared" si="21"/>
        <v/>
      </c>
      <c r="BR392" s="93" t="str">
        <f t="shared" si="22"/>
        <v/>
      </c>
      <c r="BS392" s="90" t="str">
        <f t="shared" si="23"/>
        <v/>
      </c>
      <c r="BT392" s="93" t="str">
        <f t="shared" si="24"/>
        <v>NA</v>
      </c>
      <c r="BU392" s="125" t="str">
        <f t="shared" si="25"/>
        <v>#N/A</v>
      </c>
      <c r="BV392" s="93" t="str">
        <f t="shared" si="26"/>
        <v/>
      </c>
      <c r="BW392" s="93" t="str">
        <f t="shared" si="27"/>
        <v/>
      </c>
      <c r="BX392" s="93" t="str">
        <f t="shared" si="28"/>
        <v>NA</v>
      </c>
      <c r="BY392" s="95" t="str">
        <f t="shared" si="29"/>
        <v>#N/A</v>
      </c>
      <c r="BZ392" s="93" t="str">
        <f t="shared" si="30"/>
        <v/>
      </c>
      <c r="CA392" s="93" t="str">
        <f t="shared" si="31"/>
        <v/>
      </c>
      <c r="CB392" s="93" t="str">
        <f t="shared" si="32"/>
        <v>NA</v>
      </c>
      <c r="CC392" s="96" t="str">
        <f t="shared" si="33"/>
        <v>#N/A</v>
      </c>
      <c r="CD392" s="93" t="str">
        <f t="shared" si="34"/>
        <v/>
      </c>
      <c r="CE392" s="93" t="str">
        <f t="shared" si="35"/>
        <v/>
      </c>
      <c r="CF392" s="93" t="str">
        <f t="shared" si="36"/>
        <v>NA</v>
      </c>
      <c r="CG392" s="97" t="str">
        <f t="shared" si="37"/>
        <v>#N/A</v>
      </c>
      <c r="CH392" s="98" t="str">
        <f t="shared" si="38"/>
        <v>#N/A</v>
      </c>
      <c r="CI392" s="99" t="str">
        <f t="shared" si="39"/>
        <v>#N/A</v>
      </c>
      <c r="CJ392" s="126" t="str">
        <f t="shared" si="40"/>
        <v>ERROR: check cell</v>
      </c>
      <c r="CK392" s="126"/>
      <c r="CL392" s="127" t="str">
        <f t="shared" si="41"/>
        <v>#DIV/0!</v>
      </c>
      <c r="CM392" s="128" t="str">
        <f t="shared" si="42"/>
        <v>#DIV/0!</v>
      </c>
      <c r="CN392" s="128">
        <f t="shared" si="43"/>
        <v>4</v>
      </c>
      <c r="CO392" s="129">
        <f t="shared" si="44"/>
        <v>4</v>
      </c>
      <c r="CP392" s="129" t="str">
        <f>IFS(C392=Preferences!B$13,B392,B392=Preferences!B$13,C392)</f>
        <v>#N/A</v>
      </c>
    </row>
    <row r="393" ht="13.5" customHeight="1">
      <c r="A393" s="63" t="str">
        <f t="shared" si="45"/>
        <v/>
      </c>
      <c r="B393" s="64"/>
      <c r="C393" s="64"/>
      <c r="D393" s="64"/>
      <c r="E393" s="65"/>
      <c r="F393" s="65"/>
      <c r="G393" s="65"/>
      <c r="H393" s="66"/>
      <c r="I393" s="66"/>
      <c r="J393" s="67"/>
      <c r="K393" s="68"/>
      <c r="L393" s="104"/>
      <c r="M393" s="104"/>
      <c r="N393" s="104"/>
      <c r="O393" s="104"/>
      <c r="P393" s="107" t="str">
        <f t="shared" si="1"/>
        <v/>
      </c>
      <c r="Q393" s="108" t="str">
        <f>IFERROR(IF(AND(Preferences!B$3="Manual",OR(AX393/AW393&gt;G393/F393,BD393="Serious",BD393="Very serious")),"Assess imprecision",IFS(ISBLANK(E393),"",AND(Preferences!B$3="Automatic", G393/F393&gt;=30),"Extremely serious",AND(H393&lt;=$D$1*-1,J393&lt;0,G393/F393&lt;3),"Not serious",AND(H393&lt;=$D$1*-1,J393&lt;0,G393/F393&gt;=3),"Very serious",AND(H393&gt;=$D$1,I393&gt;0,G393/F393&lt;3),"Not serious",AND(H393&gt;=$D$1,I393&gt;0,G393/F393&gt;=3),"Very serious",AND(H393&lt;=$D$1*-1,J393&gt;0,I393&gt;$D$2*-1,G393/F393&lt;3),"Serious", AND(H393&lt;=$D$1*-1,J393&gt;0,I393&lt;$D$2*-1,G393/F393&lt;3),"Very serious", AND(H393&gt;=$D$1,I393&lt;0,J393&lt;$D$2,G393/F393&lt;3),"Serious",AND(H393&gt;=$D$1,I393&lt;0,J393&gt;$D$2,G393/F393&lt;3),"Very serious", AND(H393&lt;=$D$1*-1,J393&gt;0,I393&gt;$D$2*-1,G393/F393&gt;=3),"Very serious", AND(H393&lt;=$D$1*-1,J393&gt;0,I393&lt;$D$2*-1,G393/F393&gt;=3),"Very serious", AND(H393&gt;=$D$1,I393&lt;0,J393&lt;$D$2,G393/F393&gt;=3),"Very serious", AND(H393&gt;=$D$1,I393&lt;0,J393&gt;$D$2,G393/F393&gt;=3),"Very serious", AND(H393&gt;$D$1*-1,H393&lt;$D$1,I393&gt;$D$1*-1,J393&lt;$D$1,G393/F393&lt;3),"Not serious", AND(H393&gt;$D$1*-1,H393&lt;$D$1,OR(I393&lt;=$D$1*-1,J393&gt;=$D$1),I393&gt;$D$2*-1,J393&lt;$D$2,G393/F393&lt;3),"Serious", AND(H393&gt;$D$1*-1,H393&lt;$D$1,OR(I393&lt;=$D$2*-1,J393&gt;=$D$2),G393/F393&lt;3),"Very serious", AND(H393&gt;$D$1*-1,H393&lt;$D$1,I393&gt;$D$1*-1,J393&lt;$D$1,G393/F393&gt;=3),"Very serious", AND(H393&gt;$D$1*-1,H393&lt;$D$1,OR(I393&lt;=$D$1*-1,J393&gt;=$D$1),I393&gt;$D$2*-1,J393&lt;$D$2,G393/F393&gt;=3),"Very serious", AND(H393&gt;$D$1*-1,H393&lt;$D$1,OR(I393&lt;=$D$2*-1,J393&gt;=$D$2),G393/F393&gt;=3),"Very serious")),"")</f>
        <v/>
      </c>
      <c r="R393" s="109" t="str">
        <f t="shared" si="47"/>
        <v/>
      </c>
      <c r="S393" s="64"/>
      <c r="T393" s="72"/>
      <c r="U393" s="72"/>
      <c r="V393" s="72"/>
      <c r="W393" s="73"/>
      <c r="X393" s="73"/>
      <c r="Y393" s="74"/>
      <c r="Z393" s="113" t="str">
        <f t="array" ref="Z393">INDEX($A$1:$C$500, MATCH(1,($B:$B=$B393)*($C:$C=$AB393),0),1)</f>
        <v/>
      </c>
      <c r="AA393" s="113" t="str">
        <f t="array" ref="AA393">INDEX($A$1:$C$500, MATCH(1,($B:$B=$AB393)*($C:$C=$B393),0),1)</f>
        <v/>
      </c>
      <c r="AB393" s="111"/>
      <c r="AC393" s="114" t="str">
        <f t="shared" si="2"/>
        <v/>
      </c>
      <c r="AD393" s="115" t="str">
        <f t="shared" si="3"/>
        <v/>
      </c>
      <c r="AE393" s="116" t="str">
        <f t="array" ref="AE393">INDEX($A$1:$C$500, MATCH(1,($B:$B=$AB393)*($C:$C=$AG393),0),1)</f>
        <v/>
      </c>
      <c r="AF393" s="116" t="str">
        <f t="array" ref="AF393">INDEX($A$1:$C$500, MATCH(1,($B:$B=$AG393)*($C:$C=$AB393),0),1)</f>
        <v/>
      </c>
      <c r="AG393" s="72"/>
      <c r="AH393" s="114" t="str">
        <f t="shared" si="4"/>
        <v/>
      </c>
      <c r="AI393" s="115" t="str">
        <f t="shared" si="5"/>
        <v/>
      </c>
      <c r="AJ393" s="116" t="str">
        <f t="array" ref="AJ393">INDEX($A$1:$C$500, MATCH(1,($B:$B=$C393)*($C:$C=$AG393),0),1)</f>
        <v/>
      </c>
      <c r="AK393" s="116" t="str">
        <f t="array" ref="AK393">INDEX($A$1:$C$500, MATCH(1,($B:$B=$AG393)*($C:$C=$C393),0),1)</f>
        <v/>
      </c>
      <c r="AL393" s="116" t="str">
        <f t="array" ref="AL393">INDEX($A$1:$C$500, MATCH(1,($B:$B=$C393)*($C:$C=$AB393),0),1)</f>
        <v/>
      </c>
      <c r="AM393" s="116" t="str">
        <f t="array" ref="AM393">INDEX($A$1:$C$500, MATCH(1,($B:$B=$AB393)*($C:$C=$C393),0),1)</f>
        <v/>
      </c>
      <c r="AN393" s="114" t="str">
        <f t="array" ref="AN393">IFS(ISNUMBER(AJ393),AJ393,ISNUMBER(AK393),AK393,ISNUMBER(AL393),AL393,ISNUMBER(AM393),AM393)</f>
        <v>#N/A</v>
      </c>
      <c r="AO393" s="115" t="str">
        <f t="shared" si="6"/>
        <v/>
      </c>
      <c r="AP393" s="115" t="str">
        <f t="shared" si="7"/>
        <v/>
      </c>
      <c r="AQ393" s="111"/>
      <c r="AR393" s="109" t="str">
        <f t="shared" si="8"/>
        <v/>
      </c>
      <c r="AS393" s="72" t="str">
        <f>IFERROR(IF(AND(Preferences!B$3="Manual",OR(AX393/AW393&gt;V393/U393,BD393="Serious",BD393="Very serious")),"Assess imprecision",IFERROR(IFS(AND(Preferences!B$3="Automatic",V393/U393&gt;=30),"Extremely serious",AND(W393&lt;=$D$1*-1,Y393&lt;0,V393/U393&lt;3),"Not Serious",AND(W393&lt;=$D$1*-1,Y393&lt;0,V393/U393&gt;=3),"Very serious",AND(W393&gt;=$D$1,X393&gt;0,V393/U393&lt;3),"Not Serious",AND(W393&gt;=$D$1,X393&gt;0,V393/U393&gt;=3),"Very serious",AND(W393&lt;=$D$1*-1,Y393&gt;0,X393&gt;$D$2*-1,V393/U393&lt;3),"Serious", AND(W393&lt;=$D$1*-1,Y393&gt;0,X393&lt;$D$2*-1,V393/U393&lt;3),"Very serious", AND(W393&gt;=$D$1,X393&lt;0,Y393&lt;$D$2,V393/U393&lt;3),"Serious",AND(W393&gt;=$D$1,X393&lt;0,Y393&gt;$D$2,V393/U393&lt;3),"Very serious", AND(W393&lt;=$D$1*-1,Y393&gt;0,X393&gt;$D$2*-1,V393/U393&gt;=3),"Very serious", AND(W393&lt;=$D$1*-1,Y393&gt;0,X393&lt;$D$2*-1,V393/U393&gt;=3),"Very serious", AND(W393&gt;=$D$1,X393&lt;0,Y393&lt;$D$2,V393/U393&gt;=3),"Very serious", AND(W393&gt;=$D$1,X393&lt;0,Y393&gt;$D$2,V393/U393&gt;=3),"Very serious", AND(W393&gt;$D$1*-1,W393&lt;$D$1,X393&gt;$D$1*-1,Y393&lt;$D$1,V393/U393&lt;3),"Not Serious", AND(W393&gt;$D$1*-1,W393&lt;$D$1,OR(X393&lt;=$D$1*-1,Y393&gt;=$D$1),X393&gt;$D$2*-1,Y393&lt;$D$2,V393/U393&lt;3),"Serious", AND(W393&gt;$D$1*-1,W393&lt;$D$1,OR(X393&lt;=$D$2*-1,Y393&gt;=$D$2),V393/U393&lt;3),"Very serious", AND(W393&gt;$D$1*-1,W393&lt;$D$1,X393&gt;$D$1*-1,Y393&lt;$D$1,V393/U393&gt;=3),"Very serious", AND(W393&gt;$D$1*-1,W393&lt;$D$1,OR(X393&lt;=$D$1*-1,Y393&gt;=$D$1),X393&gt;$D$2*-1,Y393&lt;$D$2,V393/U393&gt;=3),"Very serious", AND(W393&gt;$D$1*-1,W393&lt;$D$1,OR(X393&lt;=$D$2*-1,Y393&gt;=$D$2),V393/U393&gt;=3),"Very serious"),"")),"")</f>
        <v/>
      </c>
      <c r="AT393" s="109" t="str">
        <f t="shared" si="9"/>
        <v/>
      </c>
      <c r="AU393" s="64"/>
      <c r="AV393" s="83"/>
      <c r="AW393" s="83"/>
      <c r="AX393" s="83"/>
      <c r="AY393" s="83"/>
      <c r="AZ393" s="83"/>
      <c r="BA393" s="85"/>
      <c r="BB393" s="86" t="str">
        <f>IF(Preferences!B$9="Manual","",IFS(ISBLANK(B393),"",AND(ISNUMBER(E393)=TRUE,ISNUMBER(T393)=FALSE),"Direct", AND(ISNUMBER(E393)=FALSE,ISNUMBER(T393)=TRUE),"Indirect", CN393=4,"Direct",AND(CL393=FALSE, CM393=TRUE,CN393-CO393&gt;-1),"Direct", AND(CL393=FALSE,CM393=TRUE, CN393-CO393&lt;0),"Check algorithm in appendix 2", AND(CL393=TRUE, CM393=FALSE,CN393-CO393&gt;0),"Check algorithm in appendix 2", AND(CL393=TRUE, CM393=FALSE,CN393-CO393=0),"Indirect", AND(CL393=TRUE, CM393=FALSE,CN393-CO393&lt;0),"Indirect", AND(CL393=FALSE,CM393=FALSE,CN393-CO393&gt;-1),"Direct", AND(CL393=FALSE,CM393=FALSE,CN393-CO393&lt;0),"Check algorithm in appendix 2", AND(CL393=TRUE,CM393=TRUE,CN393-CO393&gt;-1),"Direct", AND(CL393=TRUE,CM393=TRUE,CN393-CO393&lt;0),"Check algorithm in appendix 2"))</f>
        <v/>
      </c>
      <c r="BC393" s="120" t="str">
        <f t="shared" si="10"/>
        <v/>
      </c>
      <c r="BD393" s="140"/>
      <c r="BE393" s="122" t="str">
        <f>IF(Preferences!B$3="Manual","", IFERROR(IFS(AND(Preferences!B$3="Automatic",AX393/AW393&gt;=30),"Extremely serious",AND(AY393&lt;=$D$1*-1,BA393&lt;0,AX393/AW393&lt;3),"Not Serious",AND(AY393&lt;=$D$1*-1,BA393&lt;0,AX393/AW393&gt;=3),"Very serious",AND(AY393&gt;=$D$1,AZ393&gt;0,AX393/AW393&lt;3),"Not Serious",AND(AY393&gt;=$D$1,AZ393&gt;0,AX393/AW393&gt;=3),"Very serious",AND(AY393&lt;=$D$1*-1,BA393&gt;0,AZ393&gt;$D$2*-1,AX393/AW393&lt;3),"Serious", AND(AY393&lt;=$D$1*-1,BA393&gt;0,AZ393&lt;$D$2*-1,AX393/AW393&lt;3),"Very serious", AND(AY393&gt;=$D$1,AZ393&lt;0,BA393&lt;$D$2,AX393/AW393&lt;3),"Serious",AND(AY393&gt;=$D$1,AZ393&lt;0,BA393&gt;$D$2,AX393/AW393&lt;3),"Very serious", AND(AY393&lt;=$D$1*-1,BA393&gt;0,AZ393&gt;$D$2*-1,AX393/AW393&gt;=3),"Very serious", AND(AY393&lt;=$D$1*-1,BA393&gt;0,AZ393&lt;$D$2*-1,AX393/AW393&gt;=3),"Very serious", AND(AY393&gt;=$D$1,AZ393&lt;0,BA393&lt;$D$2,AX393/AW393&gt;=3),"Very serious", AND(AY393&gt;=$D$1,AZ393&lt;0,BA393&gt;$D$2,AX393/AW393&gt;=3),"Very serious", AND(AY393&gt;$D$1*-1,AY393&lt;$D$1,AZ393&gt;$D$1*-1,BA393&lt;$D$1,AX393/AW393&lt;3),"Not Serious", AND(AY393&gt;$D$1*-1,AY393&lt;$D$1,OR(AZ393&lt;=$D$1*-1,BA393&gt;=$D$1),AZ393&gt;$D$2*-1,BA393&lt;$D$2,AX393/AW393&lt;3),"Serious", AND(AY393&gt;$D$1*-1,AY393&lt;$D$1,OR(AZ393&lt;=$D$2*-1,BA393&gt;=$D$2),AX393/AW393&lt;3),"Very serious", AND(AY393&gt;$D$1*-1,AY393&lt;$D$1,AZ393&gt;$D$1*-1,BA393&lt;$D$1,AX393/AW393&gt;=3),"Very serious", AND(AY393&gt;$D$1*-1,AY393&lt;$D$1,OR(AZ393&lt;=$D$1*-1,BA393&gt;=$D$1),AZ393&gt;$D$2*-1,BA393&lt;$D$2,AX393/AW393&gt;=3),"Very serious", AND(AY393&gt;$D$1*-1,AY393&lt;$D$1,OR(AZ393&lt;=$D$2*-1,BA393&gt;=$D$2),AX393/AW393&gt;=3),"Very serious"),""))</f>
        <v/>
      </c>
      <c r="BF393" s="107" t="str">
        <f t="shared" si="11"/>
        <v/>
      </c>
      <c r="BG393" s="94" t="str">
        <f t="shared" si="46"/>
        <v/>
      </c>
      <c r="BH393" s="64" t="str">
        <f t="shared" si="12"/>
        <v>#N/A</v>
      </c>
      <c r="BI393" s="64" t="str">
        <f t="shared" si="13"/>
        <v/>
      </c>
      <c r="BJ393" s="123" t="str">
        <f t="shared" si="14"/>
        <v>#N/A</v>
      </c>
      <c r="BK393" s="64" t="str">
        <f t="shared" si="50"/>
        <v>YES</v>
      </c>
      <c r="BL393" s="64" t="str">
        <f t="shared" si="16"/>
        <v>YES</v>
      </c>
      <c r="BM393" s="64" t="str">
        <f t="shared" si="17"/>
        <v>YES</v>
      </c>
      <c r="BN393" s="124" t="str">
        <f t="shared" si="18"/>
        <v/>
      </c>
      <c r="BO393" s="91" t="str">
        <f t="shared" si="19"/>
        <v/>
      </c>
      <c r="BP393" s="91" t="str">
        <f t="shared" si="20"/>
        <v>#N/A</v>
      </c>
      <c r="BQ393" s="91" t="str">
        <f t="shared" si="21"/>
        <v/>
      </c>
      <c r="BR393" s="93" t="str">
        <f t="shared" si="22"/>
        <v/>
      </c>
      <c r="BS393" s="90" t="str">
        <f t="shared" si="23"/>
        <v/>
      </c>
      <c r="BT393" s="93" t="str">
        <f t="shared" si="24"/>
        <v>NA</v>
      </c>
      <c r="BU393" s="125" t="str">
        <f t="shared" si="25"/>
        <v>#N/A</v>
      </c>
      <c r="BV393" s="93" t="str">
        <f t="shared" si="26"/>
        <v/>
      </c>
      <c r="BW393" s="93" t="str">
        <f t="shared" si="27"/>
        <v/>
      </c>
      <c r="BX393" s="93" t="str">
        <f t="shared" si="28"/>
        <v>NA</v>
      </c>
      <c r="BY393" s="95" t="str">
        <f t="shared" si="29"/>
        <v>#N/A</v>
      </c>
      <c r="BZ393" s="93" t="str">
        <f t="shared" si="30"/>
        <v/>
      </c>
      <c r="CA393" s="93" t="str">
        <f t="shared" si="31"/>
        <v/>
      </c>
      <c r="CB393" s="93" t="str">
        <f t="shared" si="32"/>
        <v>NA</v>
      </c>
      <c r="CC393" s="96" t="str">
        <f t="shared" si="33"/>
        <v>#N/A</v>
      </c>
      <c r="CD393" s="93" t="str">
        <f t="shared" si="34"/>
        <v/>
      </c>
      <c r="CE393" s="93" t="str">
        <f t="shared" si="35"/>
        <v/>
      </c>
      <c r="CF393" s="93" t="str">
        <f t="shared" si="36"/>
        <v>NA</v>
      </c>
      <c r="CG393" s="97" t="str">
        <f t="shared" si="37"/>
        <v>#N/A</v>
      </c>
      <c r="CH393" s="98" t="str">
        <f t="shared" si="38"/>
        <v>#N/A</v>
      </c>
      <c r="CI393" s="99" t="str">
        <f t="shared" si="39"/>
        <v>#N/A</v>
      </c>
      <c r="CJ393" s="126" t="str">
        <f t="shared" si="40"/>
        <v>ERROR: check cell</v>
      </c>
      <c r="CK393" s="126"/>
      <c r="CL393" s="127" t="str">
        <f t="shared" si="41"/>
        <v>#DIV/0!</v>
      </c>
      <c r="CM393" s="128" t="str">
        <f t="shared" si="42"/>
        <v>#DIV/0!</v>
      </c>
      <c r="CN393" s="128">
        <f t="shared" si="43"/>
        <v>4</v>
      </c>
      <c r="CO393" s="129">
        <f t="shared" si="44"/>
        <v>4</v>
      </c>
      <c r="CP393" s="129" t="str">
        <f>IFS(C393=Preferences!B$13,B393,B393=Preferences!B$13,C393)</f>
        <v>#N/A</v>
      </c>
    </row>
    <row r="394" ht="13.5" customHeight="1">
      <c r="A394" s="63" t="str">
        <f t="shared" si="45"/>
        <v/>
      </c>
      <c r="B394" s="64"/>
      <c r="C394" s="64"/>
      <c r="D394" s="64"/>
      <c r="E394" s="65"/>
      <c r="F394" s="65"/>
      <c r="G394" s="65"/>
      <c r="H394" s="66"/>
      <c r="I394" s="66"/>
      <c r="J394" s="67"/>
      <c r="K394" s="68"/>
      <c r="L394" s="133"/>
      <c r="M394" s="104"/>
      <c r="N394" s="104"/>
      <c r="O394" s="104"/>
      <c r="P394" s="107" t="str">
        <f t="shared" si="1"/>
        <v/>
      </c>
      <c r="Q394" s="108" t="str">
        <f>IFERROR(IF(AND(Preferences!B$3="Manual",OR(AX394/AW394&gt;G394/F394,BD394="Serious",BD394="Very serious")),"Assess imprecision",IFS(ISBLANK(E394),"",AND(Preferences!B$3="Automatic", G394/F394&gt;=30),"Extremely serious",AND(H394&lt;=$D$1*-1,J394&lt;0,G394/F394&lt;3),"Not serious",AND(H394&lt;=$D$1*-1,J394&lt;0,G394/F394&gt;=3),"Very serious",AND(H394&gt;=$D$1,I394&gt;0,G394/F394&lt;3),"Not serious",AND(H394&gt;=$D$1,I394&gt;0,G394/F394&gt;=3),"Very serious",AND(H394&lt;=$D$1*-1,J394&gt;0,I394&gt;$D$2*-1,G394/F394&lt;3),"Serious", AND(H394&lt;=$D$1*-1,J394&gt;0,I394&lt;$D$2*-1,G394/F394&lt;3),"Very serious", AND(H394&gt;=$D$1,I394&lt;0,J394&lt;$D$2,G394/F394&lt;3),"Serious",AND(H394&gt;=$D$1,I394&lt;0,J394&gt;$D$2,G394/F394&lt;3),"Very serious", AND(H394&lt;=$D$1*-1,J394&gt;0,I394&gt;$D$2*-1,G394/F394&gt;=3),"Very serious", AND(H394&lt;=$D$1*-1,J394&gt;0,I394&lt;$D$2*-1,G394/F394&gt;=3),"Very serious", AND(H394&gt;=$D$1,I394&lt;0,J394&lt;$D$2,G394/F394&gt;=3),"Very serious", AND(H394&gt;=$D$1,I394&lt;0,J394&gt;$D$2,G394/F394&gt;=3),"Very serious", AND(H394&gt;$D$1*-1,H394&lt;$D$1,I394&gt;$D$1*-1,J394&lt;$D$1,G394/F394&lt;3),"Not serious", AND(H394&gt;$D$1*-1,H394&lt;$D$1,OR(I394&lt;=$D$1*-1,J394&gt;=$D$1),I394&gt;$D$2*-1,J394&lt;$D$2,G394/F394&lt;3),"Serious", AND(H394&gt;$D$1*-1,H394&lt;$D$1,OR(I394&lt;=$D$2*-1,J394&gt;=$D$2),G394/F394&lt;3),"Very serious", AND(H394&gt;$D$1*-1,H394&lt;$D$1,I394&gt;$D$1*-1,J394&lt;$D$1,G394/F394&gt;=3),"Very serious", AND(H394&gt;$D$1*-1,H394&lt;$D$1,OR(I394&lt;=$D$1*-1,J394&gt;=$D$1),I394&gt;$D$2*-1,J394&lt;$D$2,G394/F394&gt;=3),"Very serious", AND(H394&gt;$D$1*-1,H394&lt;$D$1,OR(I394&lt;=$D$2*-1,J394&gt;=$D$2),G394/F394&gt;=3),"Very serious")),"")</f>
        <v/>
      </c>
      <c r="R394" s="109" t="str">
        <f t="shared" si="47"/>
        <v/>
      </c>
      <c r="S394" s="64"/>
      <c r="T394" s="72"/>
      <c r="U394" s="72"/>
      <c r="V394" s="72"/>
      <c r="W394" s="73"/>
      <c r="X394" s="73"/>
      <c r="Y394" s="74"/>
      <c r="Z394" s="113" t="str">
        <f t="array" ref="Z394">INDEX($A$1:$C$500, MATCH(1,($B:$B=$B394)*($C:$C=$AB394),0),1)</f>
        <v/>
      </c>
      <c r="AA394" s="113" t="str">
        <f t="array" ref="AA394">INDEX($A$1:$C$500, MATCH(1,($B:$B=$AB394)*($C:$C=$B394),0),1)</f>
        <v/>
      </c>
      <c r="AB394" s="111"/>
      <c r="AC394" s="114" t="str">
        <f t="shared" si="2"/>
        <v/>
      </c>
      <c r="AD394" s="115" t="str">
        <f t="shared" si="3"/>
        <v/>
      </c>
      <c r="AE394" s="116" t="str">
        <f t="array" ref="AE394">INDEX($A$1:$C$500, MATCH(1,($B:$B=$AB394)*($C:$C=$AG394),0),1)</f>
        <v/>
      </c>
      <c r="AF394" s="116" t="str">
        <f t="array" ref="AF394">INDEX($A$1:$C$500, MATCH(1,($B:$B=$AG394)*($C:$C=$AB394),0),1)</f>
        <v/>
      </c>
      <c r="AG394" s="72"/>
      <c r="AH394" s="114" t="str">
        <f t="shared" si="4"/>
        <v/>
      </c>
      <c r="AI394" s="115" t="str">
        <f t="shared" si="5"/>
        <v/>
      </c>
      <c r="AJ394" s="116" t="str">
        <f t="array" ref="AJ394">INDEX($A$1:$C$500, MATCH(1,($B:$B=$C394)*($C:$C=$AG394),0),1)</f>
        <v/>
      </c>
      <c r="AK394" s="116" t="str">
        <f t="array" ref="AK394">INDEX($A$1:$C$500, MATCH(1,($B:$B=$AG394)*($C:$C=$C394),0),1)</f>
        <v/>
      </c>
      <c r="AL394" s="116" t="str">
        <f t="array" ref="AL394">INDEX($A$1:$C$500, MATCH(1,($B:$B=$C394)*($C:$C=$AB394),0),1)</f>
        <v/>
      </c>
      <c r="AM394" s="116" t="str">
        <f t="array" ref="AM394">INDEX($A$1:$C$500, MATCH(1,($B:$B=$AB394)*($C:$C=$C394),0),1)</f>
        <v/>
      </c>
      <c r="AN394" s="114" t="str">
        <f t="array" ref="AN394">IFS(ISNUMBER(AJ394),AJ394,ISNUMBER(AK394),AK394,ISNUMBER(AL394),AL394,ISNUMBER(AM394),AM394)</f>
        <v>#N/A</v>
      </c>
      <c r="AO394" s="115" t="str">
        <f t="shared" si="6"/>
        <v/>
      </c>
      <c r="AP394" s="115" t="str">
        <f t="shared" si="7"/>
        <v/>
      </c>
      <c r="AQ394" s="111"/>
      <c r="AR394" s="109" t="str">
        <f t="shared" si="8"/>
        <v/>
      </c>
      <c r="AS394" s="72" t="str">
        <f>IFERROR(IF(AND(Preferences!B$3="Manual",OR(AX394/AW394&gt;V394/U394,BD394="Serious",BD394="Very serious")),"Assess imprecision",IFERROR(IFS(AND(Preferences!B$3="Automatic",V394/U394&gt;=30),"Extremely serious",AND(W394&lt;=$D$1*-1,Y394&lt;0,V394/U394&lt;3),"Not Serious",AND(W394&lt;=$D$1*-1,Y394&lt;0,V394/U394&gt;=3),"Very serious",AND(W394&gt;=$D$1,X394&gt;0,V394/U394&lt;3),"Not Serious",AND(W394&gt;=$D$1,X394&gt;0,V394/U394&gt;=3),"Very serious",AND(W394&lt;=$D$1*-1,Y394&gt;0,X394&gt;$D$2*-1,V394/U394&lt;3),"Serious", AND(W394&lt;=$D$1*-1,Y394&gt;0,X394&lt;$D$2*-1,V394/U394&lt;3),"Very serious", AND(W394&gt;=$D$1,X394&lt;0,Y394&lt;$D$2,V394/U394&lt;3),"Serious",AND(W394&gt;=$D$1,X394&lt;0,Y394&gt;$D$2,V394/U394&lt;3),"Very serious", AND(W394&lt;=$D$1*-1,Y394&gt;0,X394&gt;$D$2*-1,V394/U394&gt;=3),"Very serious", AND(W394&lt;=$D$1*-1,Y394&gt;0,X394&lt;$D$2*-1,V394/U394&gt;=3),"Very serious", AND(W394&gt;=$D$1,X394&lt;0,Y394&lt;$D$2,V394/U394&gt;=3),"Very serious", AND(W394&gt;=$D$1,X394&lt;0,Y394&gt;$D$2,V394/U394&gt;=3),"Very serious", AND(W394&gt;$D$1*-1,W394&lt;$D$1,X394&gt;$D$1*-1,Y394&lt;$D$1,V394/U394&lt;3),"Not Serious", AND(W394&gt;$D$1*-1,W394&lt;$D$1,OR(X394&lt;=$D$1*-1,Y394&gt;=$D$1),X394&gt;$D$2*-1,Y394&lt;$D$2,V394/U394&lt;3),"Serious", AND(W394&gt;$D$1*-1,W394&lt;$D$1,OR(X394&lt;=$D$2*-1,Y394&gt;=$D$2),V394/U394&lt;3),"Very serious", AND(W394&gt;$D$1*-1,W394&lt;$D$1,X394&gt;$D$1*-1,Y394&lt;$D$1,V394/U394&gt;=3),"Very serious", AND(W394&gt;$D$1*-1,W394&lt;$D$1,OR(X394&lt;=$D$1*-1,Y394&gt;=$D$1),X394&gt;$D$2*-1,Y394&lt;$D$2,V394/U394&gt;=3),"Very serious", AND(W394&gt;$D$1*-1,W394&lt;$D$1,OR(X394&lt;=$D$2*-1,Y394&gt;=$D$2),V394/U394&gt;=3),"Very serious"),"")),"")</f>
        <v/>
      </c>
      <c r="AT394" s="109" t="str">
        <f t="shared" si="9"/>
        <v/>
      </c>
      <c r="AU394" s="64"/>
      <c r="AV394" s="83"/>
      <c r="AW394" s="83"/>
      <c r="AX394" s="83"/>
      <c r="AY394" s="83"/>
      <c r="AZ394" s="83"/>
      <c r="BA394" s="85"/>
      <c r="BB394" s="86" t="str">
        <f>IF(Preferences!B$9="Manual","",IFS(ISBLANK(B394),"",AND(ISNUMBER(E394)=TRUE,ISNUMBER(T394)=FALSE),"Direct", AND(ISNUMBER(E394)=FALSE,ISNUMBER(T394)=TRUE),"Indirect", CN394=4,"Direct",AND(CL394=FALSE, CM394=TRUE,CN394-CO394&gt;-1),"Direct", AND(CL394=FALSE,CM394=TRUE, CN394-CO394&lt;0),"Check algorithm in appendix 2", AND(CL394=TRUE, CM394=FALSE,CN394-CO394&gt;0),"Check algorithm in appendix 2", AND(CL394=TRUE, CM394=FALSE,CN394-CO394=0),"Indirect", AND(CL394=TRUE, CM394=FALSE,CN394-CO394&lt;0),"Indirect", AND(CL394=FALSE,CM394=FALSE,CN394-CO394&gt;-1),"Direct", AND(CL394=FALSE,CM394=FALSE,CN394-CO394&lt;0),"Check algorithm in appendix 2", AND(CL394=TRUE,CM394=TRUE,CN394-CO394&gt;-1),"Direct", AND(CL394=TRUE,CM394=TRUE,CN394-CO394&lt;0),"Check algorithm in appendix 2"))</f>
        <v/>
      </c>
      <c r="BC394" s="120" t="str">
        <f t="shared" si="10"/>
        <v/>
      </c>
      <c r="BD394" s="140"/>
      <c r="BE394" s="122" t="str">
        <f>IF(Preferences!B$3="Manual","", IFERROR(IFS(AND(Preferences!B$3="Automatic",AX394/AW394&gt;=30),"Extremely serious",AND(AY394&lt;=$D$1*-1,BA394&lt;0,AX394/AW394&lt;3),"Not Serious",AND(AY394&lt;=$D$1*-1,BA394&lt;0,AX394/AW394&gt;=3),"Very serious",AND(AY394&gt;=$D$1,AZ394&gt;0,AX394/AW394&lt;3),"Not Serious",AND(AY394&gt;=$D$1,AZ394&gt;0,AX394/AW394&gt;=3),"Very serious",AND(AY394&lt;=$D$1*-1,BA394&gt;0,AZ394&gt;$D$2*-1,AX394/AW394&lt;3),"Serious", AND(AY394&lt;=$D$1*-1,BA394&gt;0,AZ394&lt;$D$2*-1,AX394/AW394&lt;3),"Very serious", AND(AY394&gt;=$D$1,AZ394&lt;0,BA394&lt;$D$2,AX394/AW394&lt;3),"Serious",AND(AY394&gt;=$D$1,AZ394&lt;0,BA394&gt;$D$2,AX394/AW394&lt;3),"Very serious", AND(AY394&lt;=$D$1*-1,BA394&gt;0,AZ394&gt;$D$2*-1,AX394/AW394&gt;=3),"Very serious", AND(AY394&lt;=$D$1*-1,BA394&gt;0,AZ394&lt;$D$2*-1,AX394/AW394&gt;=3),"Very serious", AND(AY394&gt;=$D$1,AZ394&lt;0,BA394&lt;$D$2,AX394/AW394&gt;=3),"Very serious", AND(AY394&gt;=$D$1,AZ394&lt;0,BA394&gt;$D$2,AX394/AW394&gt;=3),"Very serious", AND(AY394&gt;$D$1*-1,AY394&lt;$D$1,AZ394&gt;$D$1*-1,BA394&lt;$D$1,AX394/AW394&lt;3),"Not Serious", AND(AY394&gt;$D$1*-1,AY394&lt;$D$1,OR(AZ394&lt;=$D$1*-1,BA394&gt;=$D$1),AZ394&gt;$D$2*-1,BA394&lt;$D$2,AX394/AW394&lt;3),"Serious", AND(AY394&gt;$D$1*-1,AY394&lt;$D$1,OR(AZ394&lt;=$D$2*-1,BA394&gt;=$D$2),AX394/AW394&lt;3),"Very serious", AND(AY394&gt;$D$1*-1,AY394&lt;$D$1,AZ394&gt;$D$1*-1,BA394&lt;$D$1,AX394/AW394&gt;=3),"Very serious", AND(AY394&gt;$D$1*-1,AY394&lt;$D$1,OR(AZ394&lt;=$D$1*-1,BA394&gt;=$D$1),AZ394&gt;$D$2*-1,BA394&lt;$D$2,AX394/AW394&gt;=3),"Very serious", AND(AY394&gt;$D$1*-1,AY394&lt;$D$1,OR(AZ394&lt;=$D$2*-1,BA394&gt;=$D$2),AX394/AW394&gt;=3),"Very serious"),""))</f>
        <v/>
      </c>
      <c r="BF394" s="107" t="str">
        <f t="shared" si="11"/>
        <v/>
      </c>
      <c r="BG394" s="94" t="str">
        <f t="shared" si="46"/>
        <v/>
      </c>
      <c r="BH394" s="64" t="str">
        <f t="shared" si="12"/>
        <v>#N/A</v>
      </c>
      <c r="BI394" s="64" t="str">
        <f t="shared" si="13"/>
        <v/>
      </c>
      <c r="BJ394" s="123" t="str">
        <f t="shared" si="14"/>
        <v>#N/A</v>
      </c>
      <c r="BK394" s="64" t="str">
        <f t="shared" si="50"/>
        <v>YES</v>
      </c>
      <c r="BL394" s="64" t="str">
        <f t="shared" si="16"/>
        <v>YES</v>
      </c>
      <c r="BM394" s="64" t="str">
        <f t="shared" si="17"/>
        <v>YES</v>
      </c>
      <c r="BN394" s="124" t="str">
        <f t="shared" si="18"/>
        <v/>
      </c>
      <c r="BO394" s="91" t="str">
        <f t="shared" si="19"/>
        <v/>
      </c>
      <c r="BP394" s="91" t="str">
        <f t="shared" si="20"/>
        <v>#N/A</v>
      </c>
      <c r="BQ394" s="91" t="str">
        <f t="shared" si="21"/>
        <v/>
      </c>
      <c r="BR394" s="93" t="str">
        <f t="shared" si="22"/>
        <v/>
      </c>
      <c r="BS394" s="90" t="str">
        <f t="shared" si="23"/>
        <v/>
      </c>
      <c r="BT394" s="93" t="str">
        <f t="shared" si="24"/>
        <v>NA</v>
      </c>
      <c r="BU394" s="125" t="str">
        <f t="shared" si="25"/>
        <v>#N/A</v>
      </c>
      <c r="BV394" s="93" t="str">
        <f t="shared" si="26"/>
        <v/>
      </c>
      <c r="BW394" s="93" t="str">
        <f t="shared" si="27"/>
        <v/>
      </c>
      <c r="BX394" s="93" t="str">
        <f t="shared" si="28"/>
        <v>NA</v>
      </c>
      <c r="BY394" s="95" t="str">
        <f t="shared" si="29"/>
        <v>#N/A</v>
      </c>
      <c r="BZ394" s="93" t="str">
        <f t="shared" si="30"/>
        <v/>
      </c>
      <c r="CA394" s="93" t="str">
        <f t="shared" si="31"/>
        <v/>
      </c>
      <c r="CB394" s="93" t="str">
        <f t="shared" si="32"/>
        <v>NA</v>
      </c>
      <c r="CC394" s="96" t="str">
        <f t="shared" si="33"/>
        <v>#N/A</v>
      </c>
      <c r="CD394" s="93" t="str">
        <f t="shared" si="34"/>
        <v/>
      </c>
      <c r="CE394" s="93" t="str">
        <f t="shared" si="35"/>
        <v/>
      </c>
      <c r="CF394" s="93" t="str">
        <f t="shared" si="36"/>
        <v>NA</v>
      </c>
      <c r="CG394" s="97" t="str">
        <f t="shared" si="37"/>
        <v>#N/A</v>
      </c>
      <c r="CH394" s="98" t="str">
        <f t="shared" si="38"/>
        <v>#N/A</v>
      </c>
      <c r="CI394" s="99" t="str">
        <f t="shared" si="39"/>
        <v>#N/A</v>
      </c>
      <c r="CJ394" s="126" t="str">
        <f t="shared" si="40"/>
        <v>ERROR: check cell</v>
      </c>
      <c r="CK394" s="126" t="str">
        <f>if(AND(T394&lt;1=TRUE,E394&lt;1=TRUE)=TRUE,if(OR(AND(V394&gt;G394=TRUE,G394&gt;U394=TRUE),AND(G394&gt;V394=TRUE,V394&gt;F394=TRUE)=TRUE)=TRUE,"No serious incoherence","Quantitative incoherence (same direction of effect)"),if(AND(T394&gt;1=TRUE,E394&gt;1=TRUE)=TRUE,if(OR(AND(V394&gt;G394=TRUE,G394&gt;U394=TRUE),AND(G394&gt;V394=TRUE,V394&gt;F394=TRUE)=TRUE)=TRUE,"No serious incoherence","Quantitative incoherence (same direction of effect)"),if(OR(AND(T394&lt;1=TRUE,E394&gt;1=TRUE)=TRUE,AND(T394&gt;1=TRUE,E394&lt;1=TRUE)=TRUE)=TRUE,if(OR(AND(V394&gt;G394=TRUE,G394&gt;U394=TRUE),AND(G394&gt;V394=TRUE,V394&gt;F394=TRUE)=TRUE)=TRUE,"No serious incoherence","Qualitative incoherence (different direction of effect)"))))</f>
        <v>Quantitative incoherence (same direction of effect)</v>
      </c>
      <c r="CL394" s="127" t="str">
        <f t="shared" si="41"/>
        <v>#DIV/0!</v>
      </c>
      <c r="CM394" s="128" t="str">
        <f t="shared" si="42"/>
        <v>#DIV/0!</v>
      </c>
      <c r="CN394" s="128">
        <f t="shared" si="43"/>
        <v>4</v>
      </c>
      <c r="CO394" s="129">
        <f t="shared" si="44"/>
        <v>4</v>
      </c>
      <c r="CP394" s="129" t="str">
        <f>IFS(C394=Preferences!B$13,B394,B394=Preferences!B$13,C394)</f>
        <v>#N/A</v>
      </c>
    </row>
    <row r="395" ht="13.5" customHeight="1">
      <c r="A395" s="63" t="str">
        <f t="shared" si="45"/>
        <v/>
      </c>
      <c r="B395" s="64"/>
      <c r="C395" s="64"/>
      <c r="D395" s="64"/>
      <c r="E395" s="65"/>
      <c r="F395" s="65"/>
      <c r="G395" s="65"/>
      <c r="H395" s="66"/>
      <c r="I395" s="66"/>
      <c r="J395" s="67"/>
      <c r="K395" s="68"/>
      <c r="L395" s="104"/>
      <c r="M395" s="104"/>
      <c r="N395" s="104"/>
      <c r="O395" s="104"/>
      <c r="P395" s="107" t="str">
        <f t="shared" si="1"/>
        <v/>
      </c>
      <c r="Q395" s="108" t="str">
        <f>IFERROR(IF(AND(Preferences!B$3="Manual",OR(AX395/AW395&gt;G395/F395,BD395="Serious",BD395="Very serious")),"Assess imprecision",IFS(ISBLANK(E395),"",AND(Preferences!B$3="Automatic", G395/F395&gt;=30),"Extremely serious",AND(H395&lt;=$D$1*-1,J395&lt;0,G395/F395&lt;3),"Not serious",AND(H395&lt;=$D$1*-1,J395&lt;0,G395/F395&gt;=3),"Very serious",AND(H395&gt;=$D$1,I395&gt;0,G395/F395&lt;3),"Not serious",AND(H395&gt;=$D$1,I395&gt;0,G395/F395&gt;=3),"Very serious",AND(H395&lt;=$D$1*-1,J395&gt;0,I395&gt;$D$2*-1,G395/F395&lt;3),"Serious", AND(H395&lt;=$D$1*-1,J395&gt;0,I395&lt;$D$2*-1,G395/F395&lt;3),"Very serious", AND(H395&gt;=$D$1,I395&lt;0,J395&lt;$D$2,G395/F395&lt;3),"Serious",AND(H395&gt;=$D$1,I395&lt;0,J395&gt;$D$2,G395/F395&lt;3),"Very serious", AND(H395&lt;=$D$1*-1,J395&gt;0,I395&gt;$D$2*-1,G395/F395&gt;=3),"Very serious", AND(H395&lt;=$D$1*-1,J395&gt;0,I395&lt;$D$2*-1,G395/F395&gt;=3),"Very serious", AND(H395&gt;=$D$1,I395&lt;0,J395&lt;$D$2,G395/F395&gt;=3),"Very serious", AND(H395&gt;=$D$1,I395&lt;0,J395&gt;$D$2,G395/F395&gt;=3),"Very serious", AND(H395&gt;$D$1*-1,H395&lt;$D$1,I395&gt;$D$1*-1,J395&lt;$D$1,G395/F395&lt;3),"Not serious", AND(H395&gt;$D$1*-1,H395&lt;$D$1,OR(I395&lt;=$D$1*-1,J395&gt;=$D$1),I395&gt;$D$2*-1,J395&lt;$D$2,G395/F395&lt;3),"Serious", AND(H395&gt;$D$1*-1,H395&lt;$D$1,OR(I395&lt;=$D$2*-1,J395&gt;=$D$2),G395/F395&lt;3),"Very serious", AND(H395&gt;$D$1*-1,H395&lt;$D$1,I395&gt;$D$1*-1,J395&lt;$D$1,G395/F395&gt;=3),"Very serious", AND(H395&gt;$D$1*-1,H395&lt;$D$1,OR(I395&lt;=$D$1*-1,J395&gt;=$D$1),I395&gt;$D$2*-1,J395&lt;$D$2,G395/F395&gt;=3),"Very serious", AND(H395&gt;$D$1*-1,H395&lt;$D$1,OR(I395&lt;=$D$2*-1,J395&gt;=$D$2),G395/F395&gt;=3),"Very serious")),"")</f>
        <v/>
      </c>
      <c r="R395" s="109" t="str">
        <f t="shared" si="47"/>
        <v/>
      </c>
      <c r="S395" s="64"/>
      <c r="T395" s="72"/>
      <c r="U395" s="72"/>
      <c r="V395" s="72"/>
      <c r="W395" s="73"/>
      <c r="X395" s="73"/>
      <c r="Y395" s="74"/>
      <c r="Z395" s="113" t="str">
        <f t="array" ref="Z395">INDEX($A$1:$C$500, MATCH(1,($B:$B=$B395)*($C:$C=$AB395),0),1)</f>
        <v/>
      </c>
      <c r="AA395" s="113" t="str">
        <f t="array" ref="AA395">INDEX($A$1:$C$500, MATCH(1,($B:$B=$AB395)*($C:$C=$B395),0),1)</f>
        <v/>
      </c>
      <c r="AB395" s="111"/>
      <c r="AC395" s="114" t="str">
        <f t="shared" si="2"/>
        <v/>
      </c>
      <c r="AD395" s="115" t="str">
        <f t="shared" si="3"/>
        <v/>
      </c>
      <c r="AE395" s="116" t="str">
        <f t="array" ref="AE395">INDEX($A$1:$C$500, MATCH(1,($B:$B=$AB395)*($C:$C=$AG395),0),1)</f>
        <v/>
      </c>
      <c r="AF395" s="116" t="str">
        <f t="array" ref="AF395">INDEX($A$1:$C$500, MATCH(1,($B:$B=$AG395)*($C:$C=$AB395),0),1)</f>
        <v/>
      </c>
      <c r="AG395" s="72"/>
      <c r="AH395" s="114" t="str">
        <f t="shared" si="4"/>
        <v/>
      </c>
      <c r="AI395" s="115" t="str">
        <f t="shared" si="5"/>
        <v/>
      </c>
      <c r="AJ395" s="116" t="str">
        <f t="array" ref="AJ395">INDEX($A$1:$C$500, MATCH(1,($B:$B=$C395)*($C:$C=$AG395),0),1)</f>
        <v/>
      </c>
      <c r="AK395" s="116" t="str">
        <f t="array" ref="AK395">INDEX($A$1:$C$500, MATCH(1,($B:$B=$AG395)*($C:$C=$C395),0),1)</f>
        <v/>
      </c>
      <c r="AL395" s="116" t="str">
        <f t="array" ref="AL395">INDEX($A$1:$C$500, MATCH(1,($B:$B=$C395)*($C:$C=$AB395),0),1)</f>
        <v/>
      </c>
      <c r="AM395" s="116" t="str">
        <f t="array" ref="AM395">INDEX($A$1:$C$500, MATCH(1,($B:$B=$AB395)*($C:$C=$C395),0),1)</f>
        <v/>
      </c>
      <c r="AN395" s="114" t="str">
        <f t="array" ref="AN395">IFS(ISNUMBER(AJ395),AJ395,ISNUMBER(AK395),AK395,ISNUMBER(AL395),AL395,ISNUMBER(AM395),AM395)</f>
        <v>#N/A</v>
      </c>
      <c r="AO395" s="115" t="str">
        <f t="shared" si="6"/>
        <v/>
      </c>
      <c r="AP395" s="115" t="str">
        <f t="shared" si="7"/>
        <v/>
      </c>
      <c r="AQ395" s="111"/>
      <c r="AR395" s="109" t="str">
        <f t="shared" si="8"/>
        <v/>
      </c>
      <c r="AS395" s="72" t="str">
        <f>IFERROR(IF(AND(Preferences!B$3="Manual",OR(AX395/AW395&gt;V395/U395,BD395="Serious",BD395="Very serious")),"Assess imprecision",IFERROR(IFS(AND(Preferences!B$3="Automatic",V395/U395&gt;=30),"Extremely serious",AND(W395&lt;=$D$1*-1,Y395&lt;0,V395/U395&lt;3),"Not Serious",AND(W395&lt;=$D$1*-1,Y395&lt;0,V395/U395&gt;=3),"Very serious",AND(W395&gt;=$D$1,X395&gt;0,V395/U395&lt;3),"Not Serious",AND(W395&gt;=$D$1,X395&gt;0,V395/U395&gt;=3),"Very serious",AND(W395&lt;=$D$1*-1,Y395&gt;0,X395&gt;$D$2*-1,V395/U395&lt;3),"Serious", AND(W395&lt;=$D$1*-1,Y395&gt;0,X395&lt;$D$2*-1,V395/U395&lt;3),"Very serious", AND(W395&gt;=$D$1,X395&lt;0,Y395&lt;$D$2,V395/U395&lt;3),"Serious",AND(W395&gt;=$D$1,X395&lt;0,Y395&gt;$D$2,V395/U395&lt;3),"Very serious", AND(W395&lt;=$D$1*-1,Y395&gt;0,X395&gt;$D$2*-1,V395/U395&gt;=3),"Very serious", AND(W395&lt;=$D$1*-1,Y395&gt;0,X395&lt;$D$2*-1,V395/U395&gt;=3),"Very serious", AND(W395&gt;=$D$1,X395&lt;0,Y395&lt;$D$2,V395/U395&gt;=3),"Very serious", AND(W395&gt;=$D$1,X395&lt;0,Y395&gt;$D$2,V395/U395&gt;=3),"Very serious", AND(W395&gt;$D$1*-1,W395&lt;$D$1,X395&gt;$D$1*-1,Y395&lt;$D$1,V395/U395&lt;3),"Not Serious", AND(W395&gt;$D$1*-1,W395&lt;$D$1,OR(X395&lt;=$D$1*-1,Y395&gt;=$D$1),X395&gt;$D$2*-1,Y395&lt;$D$2,V395/U395&lt;3),"Serious", AND(W395&gt;$D$1*-1,W395&lt;$D$1,OR(X395&lt;=$D$2*-1,Y395&gt;=$D$2),V395/U395&lt;3),"Very serious", AND(W395&gt;$D$1*-1,W395&lt;$D$1,X395&gt;$D$1*-1,Y395&lt;$D$1,V395/U395&gt;=3),"Very serious", AND(W395&gt;$D$1*-1,W395&lt;$D$1,OR(X395&lt;=$D$1*-1,Y395&gt;=$D$1),X395&gt;$D$2*-1,Y395&lt;$D$2,V395/U395&gt;=3),"Very serious", AND(W395&gt;$D$1*-1,W395&lt;$D$1,OR(X395&lt;=$D$2*-1,Y395&gt;=$D$2),V395/U395&gt;=3),"Very serious"),"")),"")</f>
        <v/>
      </c>
      <c r="AT395" s="109" t="str">
        <f t="shared" si="9"/>
        <v/>
      </c>
      <c r="AU395" s="64"/>
      <c r="AV395" s="83"/>
      <c r="AW395" s="83"/>
      <c r="AX395" s="83"/>
      <c r="AY395" s="83"/>
      <c r="AZ395" s="83"/>
      <c r="BA395" s="85"/>
      <c r="BB395" s="86" t="str">
        <f>IF(Preferences!B$9="Manual","",IFS(ISBLANK(B395),"",AND(ISNUMBER(E395)=TRUE,ISNUMBER(T395)=FALSE),"Direct", AND(ISNUMBER(E395)=FALSE,ISNUMBER(T395)=TRUE),"Indirect", CN395=4,"Direct",AND(CL395=FALSE, CM395=TRUE,CN395-CO395&gt;-1),"Direct", AND(CL395=FALSE,CM395=TRUE, CN395-CO395&lt;0),"Check algorithm in appendix 2", AND(CL395=TRUE, CM395=FALSE,CN395-CO395&gt;0),"Check algorithm in appendix 2", AND(CL395=TRUE, CM395=FALSE,CN395-CO395=0),"Indirect", AND(CL395=TRUE, CM395=FALSE,CN395-CO395&lt;0),"Indirect", AND(CL395=FALSE,CM395=FALSE,CN395-CO395&gt;-1),"Direct", AND(CL395=FALSE,CM395=FALSE,CN395-CO395&lt;0),"Check algorithm in appendix 2", AND(CL395=TRUE,CM395=TRUE,CN395-CO395&gt;-1),"Direct", AND(CL395=TRUE,CM395=TRUE,CN395-CO395&lt;0),"Check algorithm in appendix 2"))</f>
        <v/>
      </c>
      <c r="BC395" s="120" t="str">
        <f t="shared" si="10"/>
        <v/>
      </c>
      <c r="BD395" s="140"/>
      <c r="BE395" s="122" t="str">
        <f>IF(Preferences!B$3="Manual","", IFERROR(IFS(AND(Preferences!B$3="Automatic",AX395/AW395&gt;=30),"Extremely serious",AND(AY395&lt;=$D$1*-1,BA395&lt;0,AX395/AW395&lt;3),"Not Serious",AND(AY395&lt;=$D$1*-1,BA395&lt;0,AX395/AW395&gt;=3),"Very serious",AND(AY395&gt;=$D$1,AZ395&gt;0,AX395/AW395&lt;3),"Not Serious",AND(AY395&gt;=$D$1,AZ395&gt;0,AX395/AW395&gt;=3),"Very serious",AND(AY395&lt;=$D$1*-1,BA395&gt;0,AZ395&gt;$D$2*-1,AX395/AW395&lt;3),"Serious", AND(AY395&lt;=$D$1*-1,BA395&gt;0,AZ395&lt;$D$2*-1,AX395/AW395&lt;3),"Very serious", AND(AY395&gt;=$D$1,AZ395&lt;0,BA395&lt;$D$2,AX395/AW395&lt;3),"Serious",AND(AY395&gt;=$D$1,AZ395&lt;0,BA395&gt;$D$2,AX395/AW395&lt;3),"Very serious", AND(AY395&lt;=$D$1*-1,BA395&gt;0,AZ395&gt;$D$2*-1,AX395/AW395&gt;=3),"Very serious", AND(AY395&lt;=$D$1*-1,BA395&gt;0,AZ395&lt;$D$2*-1,AX395/AW395&gt;=3),"Very serious", AND(AY395&gt;=$D$1,AZ395&lt;0,BA395&lt;$D$2,AX395/AW395&gt;=3),"Very serious", AND(AY395&gt;=$D$1,AZ395&lt;0,BA395&gt;$D$2,AX395/AW395&gt;=3),"Very serious", AND(AY395&gt;$D$1*-1,AY395&lt;$D$1,AZ395&gt;$D$1*-1,BA395&lt;$D$1,AX395/AW395&lt;3),"Not Serious", AND(AY395&gt;$D$1*-1,AY395&lt;$D$1,OR(AZ395&lt;=$D$1*-1,BA395&gt;=$D$1),AZ395&gt;$D$2*-1,BA395&lt;$D$2,AX395/AW395&lt;3),"Serious", AND(AY395&gt;$D$1*-1,AY395&lt;$D$1,OR(AZ395&lt;=$D$2*-1,BA395&gt;=$D$2),AX395/AW395&lt;3),"Very serious", AND(AY395&gt;$D$1*-1,AY395&lt;$D$1,AZ395&gt;$D$1*-1,BA395&lt;$D$1,AX395/AW395&gt;=3),"Very serious", AND(AY395&gt;$D$1*-1,AY395&lt;$D$1,OR(AZ395&lt;=$D$1*-1,BA395&gt;=$D$1),AZ395&gt;$D$2*-1,BA395&lt;$D$2,AX395/AW395&gt;=3),"Very serious", AND(AY395&gt;$D$1*-1,AY395&lt;$D$1,OR(AZ395&lt;=$D$2*-1,BA395&gt;=$D$2),AX395/AW395&gt;=3),"Very serious"),""))</f>
        <v/>
      </c>
      <c r="BF395" s="107" t="str">
        <f t="shared" si="11"/>
        <v/>
      </c>
      <c r="BG395" s="94" t="str">
        <f t="shared" si="46"/>
        <v/>
      </c>
      <c r="BH395" s="64" t="str">
        <f t="shared" si="12"/>
        <v>#N/A</v>
      </c>
      <c r="BI395" s="64" t="str">
        <f t="shared" si="13"/>
        <v/>
      </c>
      <c r="BJ395" s="123" t="str">
        <f t="shared" si="14"/>
        <v>#N/A</v>
      </c>
      <c r="BK395" s="64" t="str">
        <f t="shared" si="50"/>
        <v>YES</v>
      </c>
      <c r="BL395" s="64" t="str">
        <f t="shared" si="16"/>
        <v>YES</v>
      </c>
      <c r="BM395" s="64" t="str">
        <f t="shared" si="17"/>
        <v>YES</v>
      </c>
      <c r="BN395" s="124" t="str">
        <f t="shared" si="18"/>
        <v/>
      </c>
      <c r="BO395" s="91" t="str">
        <f t="shared" si="19"/>
        <v/>
      </c>
      <c r="BP395" s="91" t="str">
        <f t="shared" si="20"/>
        <v>#N/A</v>
      </c>
      <c r="BQ395" s="91" t="str">
        <f t="shared" si="21"/>
        <v/>
      </c>
      <c r="BR395" s="93" t="str">
        <f t="shared" si="22"/>
        <v/>
      </c>
      <c r="BS395" s="90" t="str">
        <f t="shared" si="23"/>
        <v/>
      </c>
      <c r="BT395" s="93" t="str">
        <f t="shared" si="24"/>
        <v>NA</v>
      </c>
      <c r="BU395" s="125" t="str">
        <f t="shared" si="25"/>
        <v>#N/A</v>
      </c>
      <c r="BV395" s="93" t="str">
        <f t="shared" si="26"/>
        <v/>
      </c>
      <c r="BW395" s="93" t="str">
        <f t="shared" si="27"/>
        <v/>
      </c>
      <c r="BX395" s="93" t="str">
        <f t="shared" si="28"/>
        <v>NA</v>
      </c>
      <c r="BY395" s="95" t="str">
        <f t="shared" si="29"/>
        <v>#N/A</v>
      </c>
      <c r="BZ395" s="93" t="str">
        <f t="shared" si="30"/>
        <v/>
      </c>
      <c r="CA395" s="93" t="str">
        <f t="shared" si="31"/>
        <v/>
      </c>
      <c r="CB395" s="93" t="str">
        <f t="shared" si="32"/>
        <v>NA</v>
      </c>
      <c r="CC395" s="96" t="str">
        <f t="shared" si="33"/>
        <v>#N/A</v>
      </c>
      <c r="CD395" s="93" t="str">
        <f t="shared" si="34"/>
        <v/>
      </c>
      <c r="CE395" s="93" t="str">
        <f t="shared" si="35"/>
        <v/>
      </c>
      <c r="CF395" s="93" t="str">
        <f t="shared" si="36"/>
        <v>NA</v>
      </c>
      <c r="CG395" s="97" t="str">
        <f t="shared" si="37"/>
        <v>#N/A</v>
      </c>
      <c r="CH395" s="98" t="str">
        <f t="shared" si="38"/>
        <v>#N/A</v>
      </c>
      <c r="CI395" s="99" t="str">
        <f t="shared" si="39"/>
        <v>#N/A</v>
      </c>
      <c r="CJ395" s="126" t="str">
        <f t="shared" si="40"/>
        <v>ERROR: check cell</v>
      </c>
      <c r="CK395" s="126"/>
      <c r="CL395" s="127" t="str">
        <f t="shared" si="41"/>
        <v>#DIV/0!</v>
      </c>
      <c r="CM395" s="128" t="str">
        <f t="shared" si="42"/>
        <v>#DIV/0!</v>
      </c>
      <c r="CN395" s="128">
        <f t="shared" si="43"/>
        <v>4</v>
      </c>
      <c r="CO395" s="129">
        <f t="shared" si="44"/>
        <v>4</v>
      </c>
      <c r="CP395" s="129" t="str">
        <f>IFS(C395=Preferences!B$13,B395,B395=Preferences!B$13,C395)</f>
        <v>#N/A</v>
      </c>
    </row>
    <row r="396" ht="13.5" customHeight="1">
      <c r="A396" s="63" t="str">
        <f t="shared" si="45"/>
        <v/>
      </c>
      <c r="B396" s="64"/>
      <c r="C396" s="64"/>
      <c r="D396" s="64"/>
      <c r="E396" s="65"/>
      <c r="F396" s="65"/>
      <c r="G396" s="65"/>
      <c r="H396" s="66"/>
      <c r="I396" s="66"/>
      <c r="J396" s="67"/>
      <c r="K396" s="68"/>
      <c r="L396" s="104"/>
      <c r="M396" s="104"/>
      <c r="N396" s="104"/>
      <c r="O396" s="104"/>
      <c r="P396" s="107" t="str">
        <f t="shared" si="1"/>
        <v/>
      </c>
      <c r="Q396" s="108" t="str">
        <f>IFERROR(IF(AND(Preferences!B$3="Manual",OR(AX396/AW396&gt;G396/F396,BD396="Serious",BD396="Very serious")),"Assess imprecision",IFS(ISBLANK(E396),"",AND(Preferences!B$3="Automatic", G396/F396&gt;=30),"Extremely serious",AND(H396&lt;=$D$1*-1,J396&lt;0,G396/F396&lt;3),"Not serious",AND(H396&lt;=$D$1*-1,J396&lt;0,G396/F396&gt;=3),"Very serious",AND(H396&gt;=$D$1,I396&gt;0,G396/F396&lt;3),"Not serious",AND(H396&gt;=$D$1,I396&gt;0,G396/F396&gt;=3),"Very serious",AND(H396&lt;=$D$1*-1,J396&gt;0,I396&gt;$D$2*-1,G396/F396&lt;3),"Serious", AND(H396&lt;=$D$1*-1,J396&gt;0,I396&lt;$D$2*-1,G396/F396&lt;3),"Very serious", AND(H396&gt;=$D$1,I396&lt;0,J396&lt;$D$2,G396/F396&lt;3),"Serious",AND(H396&gt;=$D$1,I396&lt;0,J396&gt;$D$2,G396/F396&lt;3),"Very serious", AND(H396&lt;=$D$1*-1,J396&gt;0,I396&gt;$D$2*-1,G396/F396&gt;=3),"Very serious", AND(H396&lt;=$D$1*-1,J396&gt;0,I396&lt;$D$2*-1,G396/F396&gt;=3),"Very serious", AND(H396&gt;=$D$1,I396&lt;0,J396&lt;$D$2,G396/F396&gt;=3),"Very serious", AND(H396&gt;=$D$1,I396&lt;0,J396&gt;$D$2,G396/F396&gt;=3),"Very serious", AND(H396&gt;$D$1*-1,H396&lt;$D$1,I396&gt;$D$1*-1,J396&lt;$D$1,G396/F396&lt;3),"Not serious", AND(H396&gt;$D$1*-1,H396&lt;$D$1,OR(I396&lt;=$D$1*-1,J396&gt;=$D$1),I396&gt;$D$2*-1,J396&lt;$D$2,G396/F396&lt;3),"Serious", AND(H396&gt;$D$1*-1,H396&lt;$D$1,OR(I396&lt;=$D$2*-1,J396&gt;=$D$2),G396/F396&lt;3),"Very serious", AND(H396&gt;$D$1*-1,H396&lt;$D$1,I396&gt;$D$1*-1,J396&lt;$D$1,G396/F396&gt;=3),"Very serious", AND(H396&gt;$D$1*-1,H396&lt;$D$1,OR(I396&lt;=$D$1*-1,J396&gt;=$D$1),I396&gt;$D$2*-1,J396&lt;$D$2,G396/F396&gt;=3),"Very serious", AND(H396&gt;$D$1*-1,H396&lt;$D$1,OR(I396&lt;=$D$2*-1,J396&gt;=$D$2),G396/F396&gt;=3),"Very serious")),"")</f>
        <v/>
      </c>
      <c r="R396" s="109" t="str">
        <f t="shared" si="47"/>
        <v/>
      </c>
      <c r="S396" s="64"/>
      <c r="T396" s="72"/>
      <c r="U396" s="72"/>
      <c r="V396" s="72"/>
      <c r="W396" s="73"/>
      <c r="X396" s="73"/>
      <c r="Y396" s="74"/>
      <c r="Z396" s="113" t="str">
        <f t="array" ref="Z396">INDEX($A$1:$C$500, MATCH(1,($B:$B=$B396)*($C:$C=$AB396),0),1)</f>
        <v/>
      </c>
      <c r="AA396" s="113" t="str">
        <f t="array" ref="AA396">INDEX($A$1:$C$500, MATCH(1,($B:$B=$AB396)*($C:$C=$B396),0),1)</f>
        <v/>
      </c>
      <c r="AB396" s="111"/>
      <c r="AC396" s="114" t="str">
        <f t="shared" si="2"/>
        <v/>
      </c>
      <c r="AD396" s="115" t="str">
        <f t="shared" si="3"/>
        <v/>
      </c>
      <c r="AE396" s="116" t="str">
        <f t="array" ref="AE396">INDEX($A$1:$C$500, MATCH(1,($B:$B=$AB396)*($C:$C=$AG396),0),1)</f>
        <v/>
      </c>
      <c r="AF396" s="116" t="str">
        <f t="array" ref="AF396">INDEX($A$1:$C$500, MATCH(1,($B:$B=$AG396)*($C:$C=$AB396),0),1)</f>
        <v/>
      </c>
      <c r="AG396" s="72"/>
      <c r="AH396" s="114" t="str">
        <f t="shared" si="4"/>
        <v/>
      </c>
      <c r="AI396" s="115" t="str">
        <f t="shared" si="5"/>
        <v/>
      </c>
      <c r="AJ396" s="116" t="str">
        <f t="array" ref="AJ396">INDEX($A$1:$C$500, MATCH(1,($B:$B=$C396)*($C:$C=$AG396),0),1)</f>
        <v/>
      </c>
      <c r="AK396" s="116" t="str">
        <f t="array" ref="AK396">INDEX($A$1:$C$500, MATCH(1,($B:$B=$AG396)*($C:$C=$C396),0),1)</f>
        <v/>
      </c>
      <c r="AL396" s="116" t="str">
        <f t="array" ref="AL396">INDEX($A$1:$C$500, MATCH(1,($B:$B=$C396)*($C:$C=$AB396),0),1)</f>
        <v/>
      </c>
      <c r="AM396" s="116" t="str">
        <f t="array" ref="AM396">INDEX($A$1:$C$500, MATCH(1,($B:$B=$AB396)*($C:$C=$C396),0),1)</f>
        <v/>
      </c>
      <c r="AN396" s="114" t="str">
        <f t="array" ref="AN396">IFS(ISNUMBER(AJ396),AJ396,ISNUMBER(AK396),AK396,ISNUMBER(AL396),AL396,ISNUMBER(AM396),AM396)</f>
        <v>#N/A</v>
      </c>
      <c r="AO396" s="115" t="str">
        <f t="shared" si="6"/>
        <v/>
      </c>
      <c r="AP396" s="115" t="str">
        <f t="shared" si="7"/>
        <v/>
      </c>
      <c r="AQ396" s="111"/>
      <c r="AR396" s="109" t="str">
        <f t="shared" si="8"/>
        <v/>
      </c>
      <c r="AS396" s="72" t="str">
        <f>IFERROR(IF(AND(Preferences!B$3="Manual",OR(AX396/AW396&gt;V396/U396,BD396="Serious",BD396="Very serious")),"Assess imprecision",IFERROR(IFS(AND(Preferences!B$3="Automatic",V396/U396&gt;=30),"Extremely serious",AND(W396&lt;=$D$1*-1,Y396&lt;0,V396/U396&lt;3),"Not Serious",AND(W396&lt;=$D$1*-1,Y396&lt;0,V396/U396&gt;=3),"Very serious",AND(W396&gt;=$D$1,X396&gt;0,V396/U396&lt;3),"Not Serious",AND(W396&gt;=$D$1,X396&gt;0,V396/U396&gt;=3),"Very serious",AND(W396&lt;=$D$1*-1,Y396&gt;0,X396&gt;$D$2*-1,V396/U396&lt;3),"Serious", AND(W396&lt;=$D$1*-1,Y396&gt;0,X396&lt;$D$2*-1,V396/U396&lt;3),"Very serious", AND(W396&gt;=$D$1,X396&lt;0,Y396&lt;$D$2,V396/U396&lt;3),"Serious",AND(W396&gt;=$D$1,X396&lt;0,Y396&gt;$D$2,V396/U396&lt;3),"Very serious", AND(W396&lt;=$D$1*-1,Y396&gt;0,X396&gt;$D$2*-1,V396/U396&gt;=3),"Very serious", AND(W396&lt;=$D$1*-1,Y396&gt;0,X396&lt;$D$2*-1,V396/U396&gt;=3),"Very serious", AND(W396&gt;=$D$1,X396&lt;0,Y396&lt;$D$2,V396/U396&gt;=3),"Very serious", AND(W396&gt;=$D$1,X396&lt;0,Y396&gt;$D$2,V396/U396&gt;=3),"Very serious", AND(W396&gt;$D$1*-1,W396&lt;$D$1,X396&gt;$D$1*-1,Y396&lt;$D$1,V396/U396&lt;3),"Not Serious", AND(W396&gt;$D$1*-1,W396&lt;$D$1,OR(X396&lt;=$D$1*-1,Y396&gt;=$D$1),X396&gt;$D$2*-1,Y396&lt;$D$2,V396/U396&lt;3),"Serious", AND(W396&gt;$D$1*-1,W396&lt;$D$1,OR(X396&lt;=$D$2*-1,Y396&gt;=$D$2),V396/U396&lt;3),"Very serious", AND(W396&gt;$D$1*-1,W396&lt;$D$1,X396&gt;$D$1*-1,Y396&lt;$D$1,V396/U396&gt;=3),"Very serious", AND(W396&gt;$D$1*-1,W396&lt;$D$1,OR(X396&lt;=$D$1*-1,Y396&gt;=$D$1),X396&gt;$D$2*-1,Y396&lt;$D$2,V396/U396&gt;=3),"Very serious", AND(W396&gt;$D$1*-1,W396&lt;$D$1,OR(X396&lt;=$D$2*-1,Y396&gt;=$D$2),V396/U396&gt;=3),"Very serious"),"")),"")</f>
        <v/>
      </c>
      <c r="AT396" s="109" t="str">
        <f t="shared" si="9"/>
        <v/>
      </c>
      <c r="AU396" s="64"/>
      <c r="AV396" s="83"/>
      <c r="AW396" s="83"/>
      <c r="AX396" s="83"/>
      <c r="AY396" s="83"/>
      <c r="AZ396" s="83"/>
      <c r="BA396" s="85"/>
      <c r="BB396" s="86" t="str">
        <f>IF(Preferences!B$9="Manual","",IFS(ISBLANK(B396),"",AND(ISNUMBER(E396)=TRUE,ISNUMBER(T396)=FALSE),"Direct", AND(ISNUMBER(E396)=FALSE,ISNUMBER(T396)=TRUE),"Indirect", CN396=4,"Direct",AND(CL396=FALSE, CM396=TRUE,CN396-CO396&gt;-1),"Direct", AND(CL396=FALSE,CM396=TRUE, CN396-CO396&lt;0),"Check algorithm in appendix 2", AND(CL396=TRUE, CM396=FALSE,CN396-CO396&gt;0),"Check algorithm in appendix 2", AND(CL396=TRUE, CM396=FALSE,CN396-CO396=0),"Indirect", AND(CL396=TRUE, CM396=FALSE,CN396-CO396&lt;0),"Indirect", AND(CL396=FALSE,CM396=FALSE,CN396-CO396&gt;-1),"Direct", AND(CL396=FALSE,CM396=FALSE,CN396-CO396&lt;0),"Check algorithm in appendix 2", AND(CL396=TRUE,CM396=TRUE,CN396-CO396&gt;-1),"Direct", AND(CL396=TRUE,CM396=TRUE,CN396-CO396&lt;0),"Check algorithm in appendix 2"))</f>
        <v/>
      </c>
      <c r="BC396" s="120" t="str">
        <f t="shared" si="10"/>
        <v/>
      </c>
      <c r="BD396" s="140"/>
      <c r="BE396" s="122" t="str">
        <f>IF(Preferences!B$3="Manual","", IFERROR(IFS(AND(Preferences!B$3="Automatic",AX396/AW396&gt;=30),"Extremely serious",AND(AY396&lt;=$D$1*-1,BA396&lt;0,AX396/AW396&lt;3),"Not Serious",AND(AY396&lt;=$D$1*-1,BA396&lt;0,AX396/AW396&gt;=3),"Very serious",AND(AY396&gt;=$D$1,AZ396&gt;0,AX396/AW396&lt;3),"Not Serious",AND(AY396&gt;=$D$1,AZ396&gt;0,AX396/AW396&gt;=3),"Very serious",AND(AY396&lt;=$D$1*-1,BA396&gt;0,AZ396&gt;$D$2*-1,AX396/AW396&lt;3),"Serious", AND(AY396&lt;=$D$1*-1,BA396&gt;0,AZ396&lt;$D$2*-1,AX396/AW396&lt;3),"Very serious", AND(AY396&gt;=$D$1,AZ396&lt;0,BA396&lt;$D$2,AX396/AW396&lt;3),"Serious",AND(AY396&gt;=$D$1,AZ396&lt;0,BA396&gt;$D$2,AX396/AW396&lt;3),"Very serious", AND(AY396&lt;=$D$1*-1,BA396&gt;0,AZ396&gt;$D$2*-1,AX396/AW396&gt;=3),"Very serious", AND(AY396&lt;=$D$1*-1,BA396&gt;0,AZ396&lt;$D$2*-1,AX396/AW396&gt;=3),"Very serious", AND(AY396&gt;=$D$1,AZ396&lt;0,BA396&lt;$D$2,AX396/AW396&gt;=3),"Very serious", AND(AY396&gt;=$D$1,AZ396&lt;0,BA396&gt;$D$2,AX396/AW396&gt;=3),"Very serious", AND(AY396&gt;$D$1*-1,AY396&lt;$D$1,AZ396&gt;$D$1*-1,BA396&lt;$D$1,AX396/AW396&lt;3),"Not Serious", AND(AY396&gt;$D$1*-1,AY396&lt;$D$1,OR(AZ396&lt;=$D$1*-1,BA396&gt;=$D$1),AZ396&gt;$D$2*-1,BA396&lt;$D$2,AX396/AW396&lt;3),"Serious", AND(AY396&gt;$D$1*-1,AY396&lt;$D$1,OR(AZ396&lt;=$D$2*-1,BA396&gt;=$D$2),AX396/AW396&lt;3),"Very serious", AND(AY396&gt;$D$1*-1,AY396&lt;$D$1,AZ396&gt;$D$1*-1,BA396&lt;$D$1,AX396/AW396&gt;=3),"Very serious", AND(AY396&gt;$D$1*-1,AY396&lt;$D$1,OR(AZ396&lt;=$D$1*-1,BA396&gt;=$D$1),AZ396&gt;$D$2*-1,BA396&lt;$D$2,AX396/AW396&gt;=3),"Very serious", AND(AY396&gt;$D$1*-1,AY396&lt;$D$1,OR(AZ396&lt;=$D$2*-1,BA396&gt;=$D$2),AX396/AW396&gt;=3),"Very serious"),""))</f>
        <v/>
      </c>
      <c r="BF396" s="107" t="str">
        <f t="shared" si="11"/>
        <v/>
      </c>
      <c r="BG396" s="94" t="str">
        <f t="shared" si="46"/>
        <v/>
      </c>
      <c r="BH396" s="64" t="str">
        <f t="shared" si="12"/>
        <v>#N/A</v>
      </c>
      <c r="BI396" s="64" t="str">
        <f t="shared" si="13"/>
        <v/>
      </c>
      <c r="BJ396" s="123" t="str">
        <f t="shared" si="14"/>
        <v>#N/A</v>
      </c>
      <c r="BK396" s="64" t="str">
        <f t="shared" si="50"/>
        <v>YES</v>
      </c>
      <c r="BL396" s="64" t="str">
        <f t="shared" si="16"/>
        <v>YES</v>
      </c>
      <c r="BM396" s="64" t="str">
        <f t="shared" si="17"/>
        <v>YES</v>
      </c>
      <c r="BN396" s="124" t="str">
        <f t="shared" si="18"/>
        <v/>
      </c>
      <c r="BO396" s="91" t="str">
        <f t="shared" si="19"/>
        <v/>
      </c>
      <c r="BP396" s="91" t="str">
        <f t="shared" si="20"/>
        <v>#N/A</v>
      </c>
      <c r="BQ396" s="91" t="str">
        <f t="shared" si="21"/>
        <v/>
      </c>
      <c r="BR396" s="93" t="str">
        <f t="shared" si="22"/>
        <v/>
      </c>
      <c r="BS396" s="90" t="str">
        <f t="shared" si="23"/>
        <v/>
      </c>
      <c r="BT396" s="93" t="str">
        <f t="shared" si="24"/>
        <v>NA</v>
      </c>
      <c r="BU396" s="125" t="str">
        <f t="shared" si="25"/>
        <v>#N/A</v>
      </c>
      <c r="BV396" s="93" t="str">
        <f t="shared" si="26"/>
        <v/>
      </c>
      <c r="BW396" s="93" t="str">
        <f t="shared" si="27"/>
        <v/>
      </c>
      <c r="BX396" s="93" t="str">
        <f t="shared" si="28"/>
        <v>NA</v>
      </c>
      <c r="BY396" s="95" t="str">
        <f t="shared" si="29"/>
        <v>#N/A</v>
      </c>
      <c r="BZ396" s="93" t="str">
        <f t="shared" si="30"/>
        <v/>
      </c>
      <c r="CA396" s="93" t="str">
        <f t="shared" si="31"/>
        <v/>
      </c>
      <c r="CB396" s="93" t="str">
        <f t="shared" si="32"/>
        <v>NA</v>
      </c>
      <c r="CC396" s="96" t="str">
        <f t="shared" si="33"/>
        <v>#N/A</v>
      </c>
      <c r="CD396" s="93" t="str">
        <f t="shared" si="34"/>
        <v/>
      </c>
      <c r="CE396" s="93" t="str">
        <f t="shared" si="35"/>
        <v/>
      </c>
      <c r="CF396" s="93" t="str">
        <f t="shared" si="36"/>
        <v>NA</v>
      </c>
      <c r="CG396" s="97" t="str">
        <f t="shared" si="37"/>
        <v>#N/A</v>
      </c>
      <c r="CH396" s="98" t="str">
        <f t="shared" si="38"/>
        <v>#N/A</v>
      </c>
      <c r="CI396" s="99" t="str">
        <f t="shared" si="39"/>
        <v>#N/A</v>
      </c>
      <c r="CJ396" s="126" t="str">
        <f t="shared" si="40"/>
        <v>ERROR: check cell</v>
      </c>
      <c r="CK396" s="126"/>
      <c r="CL396" s="127" t="str">
        <f t="shared" si="41"/>
        <v>#DIV/0!</v>
      </c>
      <c r="CM396" s="128" t="str">
        <f t="shared" si="42"/>
        <v>#DIV/0!</v>
      </c>
      <c r="CN396" s="128">
        <f t="shared" si="43"/>
        <v>4</v>
      </c>
      <c r="CO396" s="129">
        <f t="shared" si="44"/>
        <v>4</v>
      </c>
      <c r="CP396" s="129" t="str">
        <f>IFS(C396=Preferences!B$13,B396,B396=Preferences!B$13,C396)</f>
        <v>#N/A</v>
      </c>
    </row>
    <row r="397" ht="13.5" customHeight="1">
      <c r="A397" s="63" t="str">
        <f t="shared" si="45"/>
        <v/>
      </c>
      <c r="B397" s="64"/>
      <c r="C397" s="64"/>
      <c r="D397" s="64"/>
      <c r="E397" s="65"/>
      <c r="F397" s="65"/>
      <c r="G397" s="65"/>
      <c r="H397" s="66"/>
      <c r="I397" s="66"/>
      <c r="J397" s="67"/>
      <c r="K397" s="68"/>
      <c r="L397" s="104"/>
      <c r="M397" s="104"/>
      <c r="N397" s="104"/>
      <c r="O397" s="104"/>
      <c r="P397" s="107" t="str">
        <f t="shared" si="1"/>
        <v/>
      </c>
      <c r="Q397" s="108" t="str">
        <f>IFERROR(IF(AND(Preferences!B$3="Manual",OR(AX397/AW397&gt;G397/F397,BD397="Serious",BD397="Very serious")),"Assess imprecision",IFS(ISBLANK(E397),"",AND(Preferences!B$3="Automatic", G397/F397&gt;=30),"Extremely serious",AND(H397&lt;=$D$1*-1,J397&lt;0,G397/F397&lt;3),"Not serious",AND(H397&lt;=$D$1*-1,J397&lt;0,G397/F397&gt;=3),"Very serious",AND(H397&gt;=$D$1,I397&gt;0,G397/F397&lt;3),"Not serious",AND(H397&gt;=$D$1,I397&gt;0,G397/F397&gt;=3),"Very serious",AND(H397&lt;=$D$1*-1,J397&gt;0,I397&gt;$D$2*-1,G397/F397&lt;3),"Serious", AND(H397&lt;=$D$1*-1,J397&gt;0,I397&lt;$D$2*-1,G397/F397&lt;3),"Very serious", AND(H397&gt;=$D$1,I397&lt;0,J397&lt;$D$2,G397/F397&lt;3),"Serious",AND(H397&gt;=$D$1,I397&lt;0,J397&gt;$D$2,G397/F397&lt;3),"Very serious", AND(H397&lt;=$D$1*-1,J397&gt;0,I397&gt;$D$2*-1,G397/F397&gt;=3),"Very serious", AND(H397&lt;=$D$1*-1,J397&gt;0,I397&lt;$D$2*-1,G397/F397&gt;=3),"Very serious", AND(H397&gt;=$D$1,I397&lt;0,J397&lt;$D$2,G397/F397&gt;=3),"Very serious", AND(H397&gt;=$D$1,I397&lt;0,J397&gt;$D$2,G397/F397&gt;=3),"Very serious", AND(H397&gt;$D$1*-1,H397&lt;$D$1,I397&gt;$D$1*-1,J397&lt;$D$1,G397/F397&lt;3),"Not serious", AND(H397&gt;$D$1*-1,H397&lt;$D$1,OR(I397&lt;=$D$1*-1,J397&gt;=$D$1),I397&gt;$D$2*-1,J397&lt;$D$2,G397/F397&lt;3),"Serious", AND(H397&gt;$D$1*-1,H397&lt;$D$1,OR(I397&lt;=$D$2*-1,J397&gt;=$D$2),G397/F397&lt;3),"Very serious", AND(H397&gt;$D$1*-1,H397&lt;$D$1,I397&gt;$D$1*-1,J397&lt;$D$1,G397/F397&gt;=3),"Very serious", AND(H397&gt;$D$1*-1,H397&lt;$D$1,OR(I397&lt;=$D$1*-1,J397&gt;=$D$1),I397&gt;$D$2*-1,J397&lt;$D$2,G397/F397&gt;=3),"Very serious", AND(H397&gt;$D$1*-1,H397&lt;$D$1,OR(I397&lt;=$D$2*-1,J397&gt;=$D$2),G397/F397&gt;=3),"Very serious")),"")</f>
        <v/>
      </c>
      <c r="R397" s="109" t="str">
        <f t="shared" si="47"/>
        <v/>
      </c>
      <c r="S397" s="64"/>
      <c r="T397" s="72"/>
      <c r="U397" s="72"/>
      <c r="V397" s="72"/>
      <c r="W397" s="73"/>
      <c r="X397" s="73"/>
      <c r="Y397" s="74"/>
      <c r="Z397" s="113" t="str">
        <f t="array" ref="Z397">INDEX($A$1:$C$500, MATCH(1,($B:$B=$B397)*($C:$C=$AB397),0),1)</f>
        <v/>
      </c>
      <c r="AA397" s="113" t="str">
        <f t="array" ref="AA397">INDEX($A$1:$C$500, MATCH(1,($B:$B=$AB397)*($C:$C=$B397),0),1)</f>
        <v/>
      </c>
      <c r="AB397" s="111"/>
      <c r="AC397" s="114" t="str">
        <f t="shared" si="2"/>
        <v/>
      </c>
      <c r="AD397" s="115" t="str">
        <f t="shared" si="3"/>
        <v/>
      </c>
      <c r="AE397" s="116" t="str">
        <f t="array" ref="AE397">INDEX($A$1:$C$500, MATCH(1,($B:$B=$AB397)*($C:$C=$AG397),0),1)</f>
        <v/>
      </c>
      <c r="AF397" s="116" t="str">
        <f t="array" ref="AF397">INDEX($A$1:$C$500, MATCH(1,($B:$B=$AG397)*($C:$C=$AB397),0),1)</f>
        <v/>
      </c>
      <c r="AG397" s="72"/>
      <c r="AH397" s="114" t="str">
        <f t="shared" si="4"/>
        <v/>
      </c>
      <c r="AI397" s="115" t="str">
        <f t="shared" si="5"/>
        <v/>
      </c>
      <c r="AJ397" s="116" t="str">
        <f t="array" ref="AJ397">INDEX($A$1:$C$500, MATCH(1,($B:$B=$C397)*($C:$C=$AG397),0),1)</f>
        <v/>
      </c>
      <c r="AK397" s="116" t="str">
        <f t="array" ref="AK397">INDEX($A$1:$C$500, MATCH(1,($B:$B=$AG397)*($C:$C=$C397),0),1)</f>
        <v/>
      </c>
      <c r="AL397" s="116" t="str">
        <f t="array" ref="AL397">INDEX($A$1:$C$500, MATCH(1,($B:$B=$C397)*($C:$C=$AB397),0),1)</f>
        <v/>
      </c>
      <c r="AM397" s="116" t="str">
        <f t="array" ref="AM397">INDEX($A$1:$C$500, MATCH(1,($B:$B=$AB397)*($C:$C=$C397),0),1)</f>
        <v/>
      </c>
      <c r="AN397" s="114" t="str">
        <f t="array" ref="AN397">IFS(ISNUMBER(AJ397),AJ397,ISNUMBER(AK397),AK397,ISNUMBER(AL397),AL397,ISNUMBER(AM397),AM397)</f>
        <v>#N/A</v>
      </c>
      <c r="AO397" s="115" t="str">
        <f t="shared" si="6"/>
        <v/>
      </c>
      <c r="AP397" s="115" t="str">
        <f t="shared" si="7"/>
        <v/>
      </c>
      <c r="AQ397" s="111"/>
      <c r="AR397" s="109" t="str">
        <f t="shared" si="8"/>
        <v/>
      </c>
      <c r="AS397" s="72" t="str">
        <f>IFERROR(IF(AND(Preferences!B$3="Manual",OR(AX397/AW397&gt;V397/U397,BD397="Serious",BD397="Very serious")),"Assess imprecision",IFERROR(IFS(AND(Preferences!B$3="Automatic",V397/U397&gt;=30),"Extremely serious",AND(W397&lt;=$D$1*-1,Y397&lt;0,V397/U397&lt;3),"Not Serious",AND(W397&lt;=$D$1*-1,Y397&lt;0,V397/U397&gt;=3),"Very serious",AND(W397&gt;=$D$1,X397&gt;0,V397/U397&lt;3),"Not Serious",AND(W397&gt;=$D$1,X397&gt;0,V397/U397&gt;=3),"Very serious",AND(W397&lt;=$D$1*-1,Y397&gt;0,X397&gt;$D$2*-1,V397/U397&lt;3),"Serious", AND(W397&lt;=$D$1*-1,Y397&gt;0,X397&lt;$D$2*-1,V397/U397&lt;3),"Very serious", AND(W397&gt;=$D$1,X397&lt;0,Y397&lt;$D$2,V397/U397&lt;3),"Serious",AND(W397&gt;=$D$1,X397&lt;0,Y397&gt;$D$2,V397/U397&lt;3),"Very serious", AND(W397&lt;=$D$1*-1,Y397&gt;0,X397&gt;$D$2*-1,V397/U397&gt;=3),"Very serious", AND(W397&lt;=$D$1*-1,Y397&gt;0,X397&lt;$D$2*-1,V397/U397&gt;=3),"Very serious", AND(W397&gt;=$D$1,X397&lt;0,Y397&lt;$D$2,V397/U397&gt;=3),"Very serious", AND(W397&gt;=$D$1,X397&lt;0,Y397&gt;$D$2,V397/U397&gt;=3),"Very serious", AND(W397&gt;$D$1*-1,W397&lt;$D$1,X397&gt;$D$1*-1,Y397&lt;$D$1,V397/U397&lt;3),"Not Serious", AND(W397&gt;$D$1*-1,W397&lt;$D$1,OR(X397&lt;=$D$1*-1,Y397&gt;=$D$1),X397&gt;$D$2*-1,Y397&lt;$D$2,V397/U397&lt;3),"Serious", AND(W397&gt;$D$1*-1,W397&lt;$D$1,OR(X397&lt;=$D$2*-1,Y397&gt;=$D$2),V397/U397&lt;3),"Very serious", AND(W397&gt;$D$1*-1,W397&lt;$D$1,X397&gt;$D$1*-1,Y397&lt;$D$1,V397/U397&gt;=3),"Very serious", AND(W397&gt;$D$1*-1,W397&lt;$D$1,OR(X397&lt;=$D$1*-1,Y397&gt;=$D$1),X397&gt;$D$2*-1,Y397&lt;$D$2,V397/U397&gt;=3),"Very serious", AND(W397&gt;$D$1*-1,W397&lt;$D$1,OR(X397&lt;=$D$2*-1,Y397&gt;=$D$2),V397/U397&gt;=3),"Very serious"),"")),"")</f>
        <v/>
      </c>
      <c r="AT397" s="109" t="str">
        <f t="shared" si="9"/>
        <v/>
      </c>
      <c r="AU397" s="64"/>
      <c r="AV397" s="83"/>
      <c r="AW397" s="83"/>
      <c r="AX397" s="83"/>
      <c r="AY397" s="83"/>
      <c r="AZ397" s="83"/>
      <c r="BA397" s="85"/>
      <c r="BB397" s="86" t="str">
        <f>IF(Preferences!B$9="Manual","",IFS(ISBLANK(B397),"",AND(ISNUMBER(E397)=TRUE,ISNUMBER(T397)=FALSE),"Direct", AND(ISNUMBER(E397)=FALSE,ISNUMBER(T397)=TRUE),"Indirect", CN397=4,"Direct",AND(CL397=FALSE, CM397=TRUE,CN397-CO397&gt;-1),"Direct", AND(CL397=FALSE,CM397=TRUE, CN397-CO397&lt;0),"Check algorithm in appendix 2", AND(CL397=TRUE, CM397=FALSE,CN397-CO397&gt;0),"Check algorithm in appendix 2", AND(CL397=TRUE, CM397=FALSE,CN397-CO397=0),"Indirect", AND(CL397=TRUE, CM397=FALSE,CN397-CO397&lt;0),"Indirect", AND(CL397=FALSE,CM397=FALSE,CN397-CO397&gt;-1),"Direct", AND(CL397=FALSE,CM397=FALSE,CN397-CO397&lt;0),"Check algorithm in appendix 2", AND(CL397=TRUE,CM397=TRUE,CN397-CO397&gt;-1),"Direct", AND(CL397=TRUE,CM397=TRUE,CN397-CO397&lt;0),"Check algorithm in appendix 2"))</f>
        <v/>
      </c>
      <c r="BC397" s="120" t="str">
        <f t="shared" si="10"/>
        <v/>
      </c>
      <c r="BD397" s="140"/>
      <c r="BE397" s="122" t="str">
        <f>IF(Preferences!B$3="Manual","", IFERROR(IFS(AND(Preferences!B$3="Automatic",AX397/AW397&gt;=30),"Extremely serious",AND(AY397&lt;=$D$1*-1,BA397&lt;0,AX397/AW397&lt;3),"Not Serious",AND(AY397&lt;=$D$1*-1,BA397&lt;0,AX397/AW397&gt;=3),"Very serious",AND(AY397&gt;=$D$1,AZ397&gt;0,AX397/AW397&lt;3),"Not Serious",AND(AY397&gt;=$D$1,AZ397&gt;0,AX397/AW397&gt;=3),"Very serious",AND(AY397&lt;=$D$1*-1,BA397&gt;0,AZ397&gt;$D$2*-1,AX397/AW397&lt;3),"Serious", AND(AY397&lt;=$D$1*-1,BA397&gt;0,AZ397&lt;$D$2*-1,AX397/AW397&lt;3),"Very serious", AND(AY397&gt;=$D$1,AZ397&lt;0,BA397&lt;$D$2,AX397/AW397&lt;3),"Serious",AND(AY397&gt;=$D$1,AZ397&lt;0,BA397&gt;$D$2,AX397/AW397&lt;3),"Very serious", AND(AY397&lt;=$D$1*-1,BA397&gt;0,AZ397&gt;$D$2*-1,AX397/AW397&gt;=3),"Very serious", AND(AY397&lt;=$D$1*-1,BA397&gt;0,AZ397&lt;$D$2*-1,AX397/AW397&gt;=3),"Very serious", AND(AY397&gt;=$D$1,AZ397&lt;0,BA397&lt;$D$2,AX397/AW397&gt;=3),"Very serious", AND(AY397&gt;=$D$1,AZ397&lt;0,BA397&gt;$D$2,AX397/AW397&gt;=3),"Very serious", AND(AY397&gt;$D$1*-1,AY397&lt;$D$1,AZ397&gt;$D$1*-1,BA397&lt;$D$1,AX397/AW397&lt;3),"Not Serious", AND(AY397&gt;$D$1*-1,AY397&lt;$D$1,OR(AZ397&lt;=$D$1*-1,BA397&gt;=$D$1),AZ397&gt;$D$2*-1,BA397&lt;$D$2,AX397/AW397&lt;3),"Serious", AND(AY397&gt;$D$1*-1,AY397&lt;$D$1,OR(AZ397&lt;=$D$2*-1,BA397&gt;=$D$2),AX397/AW397&lt;3),"Very serious", AND(AY397&gt;$D$1*-1,AY397&lt;$D$1,AZ397&gt;$D$1*-1,BA397&lt;$D$1,AX397/AW397&gt;=3),"Very serious", AND(AY397&gt;$D$1*-1,AY397&lt;$D$1,OR(AZ397&lt;=$D$1*-1,BA397&gt;=$D$1),AZ397&gt;$D$2*-1,BA397&lt;$D$2,AX397/AW397&gt;=3),"Very serious", AND(AY397&gt;$D$1*-1,AY397&lt;$D$1,OR(AZ397&lt;=$D$2*-1,BA397&gt;=$D$2),AX397/AW397&gt;=3),"Very serious"),""))</f>
        <v/>
      </c>
      <c r="BF397" s="107" t="str">
        <f t="shared" si="11"/>
        <v/>
      </c>
      <c r="BG397" s="94" t="str">
        <f t="shared" si="46"/>
        <v/>
      </c>
      <c r="BH397" s="64" t="str">
        <f t="shared" si="12"/>
        <v>#N/A</v>
      </c>
      <c r="BI397" s="64" t="str">
        <f t="shared" si="13"/>
        <v/>
      </c>
      <c r="BJ397" s="123" t="str">
        <f t="shared" si="14"/>
        <v>#N/A</v>
      </c>
      <c r="BK397" s="64" t="str">
        <f t="shared" si="50"/>
        <v>YES</v>
      </c>
      <c r="BL397" s="64" t="str">
        <f t="shared" si="16"/>
        <v>YES</v>
      </c>
      <c r="BM397" s="64" t="str">
        <f t="shared" si="17"/>
        <v>YES</v>
      </c>
      <c r="BN397" s="124" t="str">
        <f t="shared" si="18"/>
        <v/>
      </c>
      <c r="BO397" s="91" t="str">
        <f t="shared" si="19"/>
        <v/>
      </c>
      <c r="BP397" s="91" t="str">
        <f t="shared" si="20"/>
        <v>#N/A</v>
      </c>
      <c r="BQ397" s="91" t="str">
        <f t="shared" si="21"/>
        <v/>
      </c>
      <c r="BR397" s="93" t="str">
        <f t="shared" si="22"/>
        <v/>
      </c>
      <c r="BS397" s="90" t="str">
        <f t="shared" si="23"/>
        <v/>
      </c>
      <c r="BT397" s="93" t="str">
        <f t="shared" si="24"/>
        <v>NA</v>
      </c>
      <c r="BU397" s="125" t="str">
        <f t="shared" si="25"/>
        <v>#N/A</v>
      </c>
      <c r="BV397" s="93" t="str">
        <f t="shared" si="26"/>
        <v/>
      </c>
      <c r="BW397" s="93" t="str">
        <f t="shared" si="27"/>
        <v/>
      </c>
      <c r="BX397" s="93" t="str">
        <f t="shared" si="28"/>
        <v>NA</v>
      </c>
      <c r="BY397" s="95" t="str">
        <f t="shared" si="29"/>
        <v>#N/A</v>
      </c>
      <c r="BZ397" s="93" t="str">
        <f t="shared" si="30"/>
        <v/>
      </c>
      <c r="CA397" s="93" t="str">
        <f t="shared" si="31"/>
        <v/>
      </c>
      <c r="CB397" s="93" t="str">
        <f t="shared" si="32"/>
        <v>NA</v>
      </c>
      <c r="CC397" s="96" t="str">
        <f t="shared" si="33"/>
        <v>#N/A</v>
      </c>
      <c r="CD397" s="93" t="str">
        <f t="shared" si="34"/>
        <v/>
      </c>
      <c r="CE397" s="93" t="str">
        <f t="shared" si="35"/>
        <v/>
      </c>
      <c r="CF397" s="93" t="str">
        <f t="shared" si="36"/>
        <v>NA</v>
      </c>
      <c r="CG397" s="97" t="str">
        <f t="shared" si="37"/>
        <v>#N/A</v>
      </c>
      <c r="CH397" s="98" t="str">
        <f t="shared" si="38"/>
        <v>#N/A</v>
      </c>
      <c r="CI397" s="99" t="str">
        <f t="shared" si="39"/>
        <v>#N/A</v>
      </c>
      <c r="CJ397" s="126" t="str">
        <f t="shared" si="40"/>
        <v>ERROR: check cell</v>
      </c>
      <c r="CK397" s="126"/>
      <c r="CL397" s="127" t="str">
        <f t="shared" si="41"/>
        <v>#DIV/0!</v>
      </c>
      <c r="CM397" s="128" t="str">
        <f t="shared" si="42"/>
        <v>#DIV/0!</v>
      </c>
      <c r="CN397" s="128">
        <f t="shared" si="43"/>
        <v>4</v>
      </c>
      <c r="CO397" s="129">
        <f t="shared" si="44"/>
        <v>4</v>
      </c>
      <c r="CP397" s="129" t="str">
        <f>IFS(C397=Preferences!B$13,B397,B397=Preferences!B$13,C397)</f>
        <v>#N/A</v>
      </c>
    </row>
    <row r="398" ht="13.5" customHeight="1">
      <c r="A398" s="63" t="str">
        <f t="shared" si="45"/>
        <v/>
      </c>
      <c r="B398" s="64"/>
      <c r="C398" s="64"/>
      <c r="D398" s="64"/>
      <c r="E398" s="65"/>
      <c r="F398" s="65"/>
      <c r="G398" s="65"/>
      <c r="H398" s="66"/>
      <c r="I398" s="66"/>
      <c r="J398" s="67"/>
      <c r="K398" s="68"/>
      <c r="L398" s="104"/>
      <c r="M398" s="104"/>
      <c r="N398" s="104"/>
      <c r="O398" s="104"/>
      <c r="P398" s="107" t="str">
        <f t="shared" si="1"/>
        <v/>
      </c>
      <c r="Q398" s="108" t="str">
        <f>IFERROR(IF(AND(Preferences!B$3="Manual",OR(AX398/AW398&gt;G398/F398,BD398="Serious",BD398="Very serious")),"Assess imprecision",IFS(ISBLANK(E398),"",AND(Preferences!B$3="Automatic", G398/F398&gt;=30),"Extremely serious",AND(H398&lt;=$D$1*-1,J398&lt;0,G398/F398&lt;3),"Not serious",AND(H398&lt;=$D$1*-1,J398&lt;0,G398/F398&gt;=3),"Very serious",AND(H398&gt;=$D$1,I398&gt;0,G398/F398&lt;3),"Not serious",AND(H398&gt;=$D$1,I398&gt;0,G398/F398&gt;=3),"Very serious",AND(H398&lt;=$D$1*-1,J398&gt;0,I398&gt;$D$2*-1,G398/F398&lt;3),"Serious", AND(H398&lt;=$D$1*-1,J398&gt;0,I398&lt;$D$2*-1,G398/F398&lt;3),"Very serious", AND(H398&gt;=$D$1,I398&lt;0,J398&lt;$D$2,G398/F398&lt;3),"Serious",AND(H398&gt;=$D$1,I398&lt;0,J398&gt;$D$2,G398/F398&lt;3),"Very serious", AND(H398&lt;=$D$1*-1,J398&gt;0,I398&gt;$D$2*-1,G398/F398&gt;=3),"Very serious", AND(H398&lt;=$D$1*-1,J398&gt;0,I398&lt;$D$2*-1,G398/F398&gt;=3),"Very serious", AND(H398&gt;=$D$1,I398&lt;0,J398&lt;$D$2,G398/F398&gt;=3),"Very serious", AND(H398&gt;=$D$1,I398&lt;0,J398&gt;$D$2,G398/F398&gt;=3),"Very serious", AND(H398&gt;$D$1*-1,H398&lt;$D$1,I398&gt;$D$1*-1,J398&lt;$D$1,G398/F398&lt;3),"Not serious", AND(H398&gt;$D$1*-1,H398&lt;$D$1,OR(I398&lt;=$D$1*-1,J398&gt;=$D$1),I398&gt;$D$2*-1,J398&lt;$D$2,G398/F398&lt;3),"Serious", AND(H398&gt;$D$1*-1,H398&lt;$D$1,OR(I398&lt;=$D$2*-1,J398&gt;=$D$2),G398/F398&lt;3),"Very serious", AND(H398&gt;$D$1*-1,H398&lt;$D$1,I398&gt;$D$1*-1,J398&lt;$D$1,G398/F398&gt;=3),"Very serious", AND(H398&gt;$D$1*-1,H398&lt;$D$1,OR(I398&lt;=$D$1*-1,J398&gt;=$D$1),I398&gt;$D$2*-1,J398&lt;$D$2,G398/F398&gt;=3),"Very serious", AND(H398&gt;$D$1*-1,H398&lt;$D$1,OR(I398&lt;=$D$2*-1,J398&gt;=$D$2),G398/F398&gt;=3),"Very serious")),"")</f>
        <v/>
      </c>
      <c r="R398" s="109" t="str">
        <f t="shared" si="47"/>
        <v/>
      </c>
      <c r="S398" s="64"/>
      <c r="T398" s="72"/>
      <c r="U398" s="72"/>
      <c r="V398" s="72"/>
      <c r="W398" s="73"/>
      <c r="X398" s="73"/>
      <c r="Y398" s="74"/>
      <c r="Z398" s="113" t="str">
        <f t="array" ref="Z398">INDEX($A$1:$C$500, MATCH(1,($B:$B=$B398)*($C:$C=$AB398),0),1)</f>
        <v/>
      </c>
      <c r="AA398" s="113" t="str">
        <f t="array" ref="AA398">INDEX($A$1:$C$500, MATCH(1,($B:$B=$AB398)*($C:$C=$B398),0),1)</f>
        <v/>
      </c>
      <c r="AB398" s="111"/>
      <c r="AC398" s="114" t="str">
        <f t="shared" si="2"/>
        <v/>
      </c>
      <c r="AD398" s="115" t="str">
        <f t="shared" si="3"/>
        <v/>
      </c>
      <c r="AE398" s="116" t="str">
        <f t="array" ref="AE398">INDEX($A$1:$C$500, MATCH(1,($B:$B=$AB398)*($C:$C=$AG398),0),1)</f>
        <v/>
      </c>
      <c r="AF398" s="116" t="str">
        <f t="array" ref="AF398">INDEX($A$1:$C$500, MATCH(1,($B:$B=$AG398)*($C:$C=$AB398),0),1)</f>
        <v/>
      </c>
      <c r="AG398" s="72"/>
      <c r="AH398" s="114" t="str">
        <f t="shared" si="4"/>
        <v/>
      </c>
      <c r="AI398" s="115" t="str">
        <f t="shared" si="5"/>
        <v/>
      </c>
      <c r="AJ398" s="116" t="str">
        <f t="array" ref="AJ398">INDEX($A$1:$C$500, MATCH(1,($B:$B=$C398)*($C:$C=$AG398),0),1)</f>
        <v/>
      </c>
      <c r="AK398" s="116" t="str">
        <f t="array" ref="AK398">INDEX($A$1:$C$500, MATCH(1,($B:$B=$AG398)*($C:$C=$C398),0),1)</f>
        <v/>
      </c>
      <c r="AL398" s="116" t="str">
        <f t="array" ref="AL398">INDEX($A$1:$C$500, MATCH(1,($B:$B=$C398)*($C:$C=$AB398),0),1)</f>
        <v/>
      </c>
      <c r="AM398" s="116" t="str">
        <f t="array" ref="AM398">INDEX($A$1:$C$500, MATCH(1,($B:$B=$AB398)*($C:$C=$C398),0),1)</f>
        <v/>
      </c>
      <c r="AN398" s="114" t="str">
        <f t="array" ref="AN398">IFS(ISNUMBER(AJ398),AJ398,ISNUMBER(AK398),AK398,ISNUMBER(AL398),AL398,ISNUMBER(AM398),AM398)</f>
        <v>#N/A</v>
      </c>
      <c r="AO398" s="115" t="str">
        <f t="shared" si="6"/>
        <v/>
      </c>
      <c r="AP398" s="115" t="str">
        <f t="shared" si="7"/>
        <v/>
      </c>
      <c r="AQ398" s="111"/>
      <c r="AR398" s="109" t="str">
        <f t="shared" si="8"/>
        <v/>
      </c>
      <c r="AS398" s="72" t="str">
        <f>IFERROR(IF(AND(Preferences!B$3="Manual",OR(AX398/AW398&gt;V398/U398,BD398="Serious",BD398="Very serious")),"Assess imprecision",IFERROR(IFS(AND(Preferences!B$3="Automatic",V398/U398&gt;=30),"Extremely serious",AND(W398&lt;=$D$1*-1,Y398&lt;0,V398/U398&lt;3),"Not Serious",AND(W398&lt;=$D$1*-1,Y398&lt;0,V398/U398&gt;=3),"Very serious",AND(W398&gt;=$D$1,X398&gt;0,V398/U398&lt;3),"Not Serious",AND(W398&gt;=$D$1,X398&gt;0,V398/U398&gt;=3),"Very serious",AND(W398&lt;=$D$1*-1,Y398&gt;0,X398&gt;$D$2*-1,V398/U398&lt;3),"Serious", AND(W398&lt;=$D$1*-1,Y398&gt;0,X398&lt;$D$2*-1,V398/U398&lt;3),"Very serious", AND(W398&gt;=$D$1,X398&lt;0,Y398&lt;$D$2,V398/U398&lt;3),"Serious",AND(W398&gt;=$D$1,X398&lt;0,Y398&gt;$D$2,V398/U398&lt;3),"Very serious", AND(W398&lt;=$D$1*-1,Y398&gt;0,X398&gt;$D$2*-1,V398/U398&gt;=3),"Very serious", AND(W398&lt;=$D$1*-1,Y398&gt;0,X398&lt;$D$2*-1,V398/U398&gt;=3),"Very serious", AND(W398&gt;=$D$1,X398&lt;0,Y398&lt;$D$2,V398/U398&gt;=3),"Very serious", AND(W398&gt;=$D$1,X398&lt;0,Y398&gt;$D$2,V398/U398&gt;=3),"Very serious", AND(W398&gt;$D$1*-1,W398&lt;$D$1,X398&gt;$D$1*-1,Y398&lt;$D$1,V398/U398&lt;3),"Not Serious", AND(W398&gt;$D$1*-1,W398&lt;$D$1,OR(X398&lt;=$D$1*-1,Y398&gt;=$D$1),X398&gt;$D$2*-1,Y398&lt;$D$2,V398/U398&lt;3),"Serious", AND(W398&gt;$D$1*-1,W398&lt;$D$1,OR(X398&lt;=$D$2*-1,Y398&gt;=$D$2),V398/U398&lt;3),"Very serious", AND(W398&gt;$D$1*-1,W398&lt;$D$1,X398&gt;$D$1*-1,Y398&lt;$D$1,V398/U398&gt;=3),"Very serious", AND(W398&gt;$D$1*-1,W398&lt;$D$1,OR(X398&lt;=$D$1*-1,Y398&gt;=$D$1),X398&gt;$D$2*-1,Y398&lt;$D$2,V398/U398&gt;=3),"Very serious", AND(W398&gt;$D$1*-1,W398&lt;$D$1,OR(X398&lt;=$D$2*-1,Y398&gt;=$D$2),V398/U398&gt;=3),"Very serious"),"")),"")</f>
        <v/>
      </c>
      <c r="AT398" s="109" t="str">
        <f t="shared" si="9"/>
        <v/>
      </c>
      <c r="AU398" s="64"/>
      <c r="AV398" s="83"/>
      <c r="AW398" s="83"/>
      <c r="AX398" s="83"/>
      <c r="AY398" s="83"/>
      <c r="AZ398" s="83"/>
      <c r="BA398" s="85"/>
      <c r="BB398" s="86" t="str">
        <f>IF(Preferences!B$9="Manual","",IFS(ISBLANK(B398),"",AND(ISNUMBER(E398)=TRUE,ISNUMBER(T398)=FALSE),"Direct", AND(ISNUMBER(E398)=FALSE,ISNUMBER(T398)=TRUE),"Indirect", CN398=4,"Direct",AND(CL398=FALSE, CM398=TRUE,CN398-CO398&gt;-1),"Direct", AND(CL398=FALSE,CM398=TRUE, CN398-CO398&lt;0),"Check algorithm in appendix 2", AND(CL398=TRUE, CM398=FALSE,CN398-CO398&gt;0),"Check algorithm in appendix 2", AND(CL398=TRUE, CM398=FALSE,CN398-CO398=0),"Indirect", AND(CL398=TRUE, CM398=FALSE,CN398-CO398&lt;0),"Indirect", AND(CL398=FALSE,CM398=FALSE,CN398-CO398&gt;-1),"Direct", AND(CL398=FALSE,CM398=FALSE,CN398-CO398&lt;0),"Check algorithm in appendix 2", AND(CL398=TRUE,CM398=TRUE,CN398-CO398&gt;-1),"Direct", AND(CL398=TRUE,CM398=TRUE,CN398-CO398&lt;0),"Check algorithm in appendix 2"))</f>
        <v/>
      </c>
      <c r="BC398" s="120" t="str">
        <f t="shared" si="10"/>
        <v/>
      </c>
      <c r="BD398" s="140"/>
      <c r="BE398" s="122" t="str">
        <f>IF(Preferences!B$3="Manual","", IFERROR(IFS(AND(Preferences!B$3="Automatic",AX398/AW398&gt;=30),"Extremely serious",AND(AY398&lt;=$D$1*-1,BA398&lt;0,AX398/AW398&lt;3),"Not Serious",AND(AY398&lt;=$D$1*-1,BA398&lt;0,AX398/AW398&gt;=3),"Very serious",AND(AY398&gt;=$D$1,AZ398&gt;0,AX398/AW398&lt;3),"Not Serious",AND(AY398&gt;=$D$1,AZ398&gt;0,AX398/AW398&gt;=3),"Very serious",AND(AY398&lt;=$D$1*-1,BA398&gt;0,AZ398&gt;$D$2*-1,AX398/AW398&lt;3),"Serious", AND(AY398&lt;=$D$1*-1,BA398&gt;0,AZ398&lt;$D$2*-1,AX398/AW398&lt;3),"Very serious", AND(AY398&gt;=$D$1,AZ398&lt;0,BA398&lt;$D$2,AX398/AW398&lt;3),"Serious",AND(AY398&gt;=$D$1,AZ398&lt;0,BA398&gt;$D$2,AX398/AW398&lt;3),"Very serious", AND(AY398&lt;=$D$1*-1,BA398&gt;0,AZ398&gt;$D$2*-1,AX398/AW398&gt;=3),"Very serious", AND(AY398&lt;=$D$1*-1,BA398&gt;0,AZ398&lt;$D$2*-1,AX398/AW398&gt;=3),"Very serious", AND(AY398&gt;=$D$1,AZ398&lt;0,BA398&lt;$D$2,AX398/AW398&gt;=3),"Very serious", AND(AY398&gt;=$D$1,AZ398&lt;0,BA398&gt;$D$2,AX398/AW398&gt;=3),"Very serious", AND(AY398&gt;$D$1*-1,AY398&lt;$D$1,AZ398&gt;$D$1*-1,BA398&lt;$D$1,AX398/AW398&lt;3),"Not Serious", AND(AY398&gt;$D$1*-1,AY398&lt;$D$1,OR(AZ398&lt;=$D$1*-1,BA398&gt;=$D$1),AZ398&gt;$D$2*-1,BA398&lt;$D$2,AX398/AW398&lt;3),"Serious", AND(AY398&gt;$D$1*-1,AY398&lt;$D$1,OR(AZ398&lt;=$D$2*-1,BA398&gt;=$D$2),AX398/AW398&lt;3),"Very serious", AND(AY398&gt;$D$1*-1,AY398&lt;$D$1,AZ398&gt;$D$1*-1,BA398&lt;$D$1,AX398/AW398&gt;=3),"Very serious", AND(AY398&gt;$D$1*-1,AY398&lt;$D$1,OR(AZ398&lt;=$D$1*-1,BA398&gt;=$D$1),AZ398&gt;$D$2*-1,BA398&lt;$D$2,AX398/AW398&gt;=3),"Very serious", AND(AY398&gt;$D$1*-1,AY398&lt;$D$1,OR(AZ398&lt;=$D$2*-1,BA398&gt;=$D$2),AX398/AW398&gt;=3),"Very serious"),""))</f>
        <v/>
      </c>
      <c r="BF398" s="107" t="str">
        <f t="shared" si="11"/>
        <v/>
      </c>
      <c r="BG398" s="94" t="str">
        <f t="shared" si="46"/>
        <v/>
      </c>
      <c r="BH398" s="64" t="str">
        <f t="shared" si="12"/>
        <v>#N/A</v>
      </c>
      <c r="BI398" s="64" t="str">
        <f t="shared" si="13"/>
        <v/>
      </c>
      <c r="BJ398" s="123" t="str">
        <f t="shared" si="14"/>
        <v>#N/A</v>
      </c>
      <c r="BK398" s="64" t="str">
        <f t="shared" si="50"/>
        <v>YES</v>
      </c>
      <c r="BL398" s="64" t="str">
        <f t="shared" si="16"/>
        <v>YES</v>
      </c>
      <c r="BM398" s="64" t="str">
        <f t="shared" si="17"/>
        <v>YES</v>
      </c>
      <c r="BN398" s="124" t="str">
        <f t="shared" si="18"/>
        <v/>
      </c>
      <c r="BO398" s="91" t="str">
        <f t="shared" si="19"/>
        <v/>
      </c>
      <c r="BP398" s="91" t="str">
        <f t="shared" si="20"/>
        <v>#N/A</v>
      </c>
      <c r="BQ398" s="91" t="str">
        <f t="shared" si="21"/>
        <v/>
      </c>
      <c r="BR398" s="93" t="str">
        <f t="shared" si="22"/>
        <v/>
      </c>
      <c r="BS398" s="90" t="str">
        <f t="shared" si="23"/>
        <v/>
      </c>
      <c r="BT398" s="93" t="str">
        <f t="shared" si="24"/>
        <v>NA</v>
      </c>
      <c r="BU398" s="125" t="str">
        <f t="shared" si="25"/>
        <v>#N/A</v>
      </c>
      <c r="BV398" s="93" t="str">
        <f t="shared" si="26"/>
        <v/>
      </c>
      <c r="BW398" s="93" t="str">
        <f t="shared" si="27"/>
        <v/>
      </c>
      <c r="BX398" s="93" t="str">
        <f t="shared" si="28"/>
        <v>NA</v>
      </c>
      <c r="BY398" s="95" t="str">
        <f t="shared" si="29"/>
        <v>#N/A</v>
      </c>
      <c r="BZ398" s="93" t="str">
        <f t="shared" si="30"/>
        <v/>
      </c>
      <c r="CA398" s="93" t="str">
        <f t="shared" si="31"/>
        <v/>
      </c>
      <c r="CB398" s="93" t="str">
        <f t="shared" si="32"/>
        <v>NA</v>
      </c>
      <c r="CC398" s="96" t="str">
        <f t="shared" si="33"/>
        <v>#N/A</v>
      </c>
      <c r="CD398" s="93" t="str">
        <f t="shared" si="34"/>
        <v/>
      </c>
      <c r="CE398" s="93" t="str">
        <f t="shared" si="35"/>
        <v/>
      </c>
      <c r="CF398" s="93" t="str">
        <f t="shared" si="36"/>
        <v>NA</v>
      </c>
      <c r="CG398" s="97" t="str">
        <f t="shared" si="37"/>
        <v>#N/A</v>
      </c>
      <c r="CH398" s="98" t="str">
        <f t="shared" si="38"/>
        <v>#N/A</v>
      </c>
      <c r="CI398" s="99" t="str">
        <f t="shared" si="39"/>
        <v>#N/A</v>
      </c>
      <c r="CJ398" s="126" t="str">
        <f t="shared" si="40"/>
        <v>ERROR: check cell</v>
      </c>
      <c r="CK398" s="126"/>
      <c r="CL398" s="127" t="str">
        <f t="shared" si="41"/>
        <v>#DIV/0!</v>
      </c>
      <c r="CM398" s="128" t="str">
        <f t="shared" si="42"/>
        <v>#DIV/0!</v>
      </c>
      <c r="CN398" s="128">
        <f t="shared" si="43"/>
        <v>4</v>
      </c>
      <c r="CO398" s="129">
        <f t="shared" si="44"/>
        <v>4</v>
      </c>
      <c r="CP398" s="129" t="str">
        <f>IFS(C398=Preferences!B$13,B398,B398=Preferences!B$13,C398)</f>
        <v>#N/A</v>
      </c>
    </row>
    <row r="399" ht="13.5" customHeight="1">
      <c r="A399" s="63" t="str">
        <f t="shared" si="45"/>
        <v/>
      </c>
      <c r="B399" s="64"/>
      <c r="C399" s="64"/>
      <c r="D399" s="64"/>
      <c r="E399" s="65"/>
      <c r="F399" s="65"/>
      <c r="G399" s="65"/>
      <c r="H399" s="66"/>
      <c r="I399" s="66"/>
      <c r="J399" s="67"/>
      <c r="K399" s="68"/>
      <c r="L399" s="104"/>
      <c r="M399" s="104"/>
      <c r="N399" s="104"/>
      <c r="O399" s="104"/>
      <c r="P399" s="107" t="str">
        <f t="shared" si="1"/>
        <v/>
      </c>
      <c r="Q399" s="108" t="str">
        <f>IFERROR(IF(AND(Preferences!B$3="Manual",OR(AX399/AW399&gt;G399/F399,BD399="Serious",BD399="Very serious")),"Assess imprecision",IFS(ISBLANK(E399),"",AND(Preferences!B$3="Automatic", G399/F399&gt;=30),"Extremely serious",AND(H399&lt;=$D$1*-1,J399&lt;0,G399/F399&lt;3),"Not serious",AND(H399&lt;=$D$1*-1,J399&lt;0,G399/F399&gt;=3),"Very serious",AND(H399&gt;=$D$1,I399&gt;0,G399/F399&lt;3),"Not serious",AND(H399&gt;=$D$1,I399&gt;0,G399/F399&gt;=3),"Very serious",AND(H399&lt;=$D$1*-1,J399&gt;0,I399&gt;$D$2*-1,G399/F399&lt;3),"Serious", AND(H399&lt;=$D$1*-1,J399&gt;0,I399&lt;$D$2*-1,G399/F399&lt;3),"Very serious", AND(H399&gt;=$D$1,I399&lt;0,J399&lt;$D$2,G399/F399&lt;3),"Serious",AND(H399&gt;=$D$1,I399&lt;0,J399&gt;$D$2,G399/F399&lt;3),"Very serious", AND(H399&lt;=$D$1*-1,J399&gt;0,I399&gt;$D$2*-1,G399/F399&gt;=3),"Very serious", AND(H399&lt;=$D$1*-1,J399&gt;0,I399&lt;$D$2*-1,G399/F399&gt;=3),"Very serious", AND(H399&gt;=$D$1,I399&lt;0,J399&lt;$D$2,G399/F399&gt;=3),"Very serious", AND(H399&gt;=$D$1,I399&lt;0,J399&gt;$D$2,G399/F399&gt;=3),"Very serious", AND(H399&gt;$D$1*-1,H399&lt;$D$1,I399&gt;$D$1*-1,J399&lt;$D$1,G399/F399&lt;3),"Not serious", AND(H399&gt;$D$1*-1,H399&lt;$D$1,OR(I399&lt;=$D$1*-1,J399&gt;=$D$1),I399&gt;$D$2*-1,J399&lt;$D$2,G399/F399&lt;3),"Serious", AND(H399&gt;$D$1*-1,H399&lt;$D$1,OR(I399&lt;=$D$2*-1,J399&gt;=$D$2),G399/F399&lt;3),"Very serious", AND(H399&gt;$D$1*-1,H399&lt;$D$1,I399&gt;$D$1*-1,J399&lt;$D$1,G399/F399&gt;=3),"Very serious", AND(H399&gt;$D$1*-1,H399&lt;$D$1,OR(I399&lt;=$D$1*-1,J399&gt;=$D$1),I399&gt;$D$2*-1,J399&lt;$D$2,G399/F399&gt;=3),"Very serious", AND(H399&gt;$D$1*-1,H399&lt;$D$1,OR(I399&lt;=$D$2*-1,J399&gt;=$D$2),G399/F399&gt;=3),"Very serious")),"")</f>
        <v/>
      </c>
      <c r="R399" s="109" t="str">
        <f t="shared" si="47"/>
        <v/>
      </c>
      <c r="S399" s="64"/>
      <c r="T399" s="72"/>
      <c r="U399" s="72"/>
      <c r="V399" s="72"/>
      <c r="W399" s="73"/>
      <c r="X399" s="73"/>
      <c r="Y399" s="74"/>
      <c r="Z399" s="113" t="str">
        <f t="array" ref="Z399">INDEX($A$1:$C$500, MATCH(1,($B:$B=$B399)*($C:$C=$AB399),0),1)</f>
        <v/>
      </c>
      <c r="AA399" s="113" t="str">
        <f t="array" ref="AA399">INDEX($A$1:$C$500, MATCH(1,($B:$B=$AB399)*($C:$C=$B399),0),1)</f>
        <v/>
      </c>
      <c r="AB399" s="111"/>
      <c r="AC399" s="114" t="str">
        <f t="shared" si="2"/>
        <v/>
      </c>
      <c r="AD399" s="115" t="str">
        <f t="shared" si="3"/>
        <v/>
      </c>
      <c r="AE399" s="116" t="str">
        <f t="array" ref="AE399">INDEX($A$1:$C$500, MATCH(1,($B:$B=$AB399)*($C:$C=$AG399),0),1)</f>
        <v/>
      </c>
      <c r="AF399" s="116" t="str">
        <f t="array" ref="AF399">INDEX($A$1:$C$500, MATCH(1,($B:$B=$AG399)*($C:$C=$AB399),0),1)</f>
        <v/>
      </c>
      <c r="AG399" s="72"/>
      <c r="AH399" s="114" t="str">
        <f t="shared" si="4"/>
        <v/>
      </c>
      <c r="AI399" s="115" t="str">
        <f t="shared" si="5"/>
        <v/>
      </c>
      <c r="AJ399" s="116" t="str">
        <f t="array" ref="AJ399">INDEX($A$1:$C$500, MATCH(1,($B:$B=$C399)*($C:$C=$AG399),0),1)</f>
        <v/>
      </c>
      <c r="AK399" s="116" t="str">
        <f t="array" ref="AK399">INDEX($A$1:$C$500, MATCH(1,($B:$B=$AG399)*($C:$C=$C399),0),1)</f>
        <v/>
      </c>
      <c r="AL399" s="116" t="str">
        <f t="array" ref="AL399">INDEX($A$1:$C$500, MATCH(1,($B:$B=$C399)*($C:$C=$AB399),0),1)</f>
        <v/>
      </c>
      <c r="AM399" s="116" t="str">
        <f t="array" ref="AM399">INDEX($A$1:$C$500, MATCH(1,($B:$B=$AB399)*($C:$C=$C399),0),1)</f>
        <v/>
      </c>
      <c r="AN399" s="114" t="str">
        <f t="array" ref="AN399">IFS(ISNUMBER(AJ399),AJ399,ISNUMBER(AK399),AK399,ISNUMBER(AL399),AL399,ISNUMBER(AM399),AM399)</f>
        <v>#N/A</v>
      </c>
      <c r="AO399" s="115" t="str">
        <f t="shared" si="6"/>
        <v/>
      </c>
      <c r="AP399" s="115" t="str">
        <f t="shared" si="7"/>
        <v/>
      </c>
      <c r="AQ399" s="111"/>
      <c r="AR399" s="109" t="str">
        <f t="shared" si="8"/>
        <v/>
      </c>
      <c r="AS399" s="72" t="str">
        <f>IFERROR(IF(AND(Preferences!B$3="Manual",OR(AX399/AW399&gt;V399/U399,BD399="Serious",BD399="Very serious")),"Assess imprecision",IFERROR(IFS(AND(Preferences!B$3="Automatic",V399/U399&gt;=30),"Extremely serious",AND(W399&lt;=$D$1*-1,Y399&lt;0,V399/U399&lt;3),"Not Serious",AND(W399&lt;=$D$1*-1,Y399&lt;0,V399/U399&gt;=3),"Very serious",AND(W399&gt;=$D$1,X399&gt;0,V399/U399&lt;3),"Not Serious",AND(W399&gt;=$D$1,X399&gt;0,V399/U399&gt;=3),"Very serious",AND(W399&lt;=$D$1*-1,Y399&gt;0,X399&gt;$D$2*-1,V399/U399&lt;3),"Serious", AND(W399&lt;=$D$1*-1,Y399&gt;0,X399&lt;$D$2*-1,V399/U399&lt;3),"Very serious", AND(W399&gt;=$D$1,X399&lt;0,Y399&lt;$D$2,V399/U399&lt;3),"Serious",AND(W399&gt;=$D$1,X399&lt;0,Y399&gt;$D$2,V399/U399&lt;3),"Very serious", AND(W399&lt;=$D$1*-1,Y399&gt;0,X399&gt;$D$2*-1,V399/U399&gt;=3),"Very serious", AND(W399&lt;=$D$1*-1,Y399&gt;0,X399&lt;$D$2*-1,V399/U399&gt;=3),"Very serious", AND(W399&gt;=$D$1,X399&lt;0,Y399&lt;$D$2,V399/U399&gt;=3),"Very serious", AND(W399&gt;=$D$1,X399&lt;0,Y399&gt;$D$2,V399/U399&gt;=3),"Very serious", AND(W399&gt;$D$1*-1,W399&lt;$D$1,X399&gt;$D$1*-1,Y399&lt;$D$1,V399/U399&lt;3),"Not Serious", AND(W399&gt;$D$1*-1,W399&lt;$D$1,OR(X399&lt;=$D$1*-1,Y399&gt;=$D$1),X399&gt;$D$2*-1,Y399&lt;$D$2,V399/U399&lt;3),"Serious", AND(W399&gt;$D$1*-1,W399&lt;$D$1,OR(X399&lt;=$D$2*-1,Y399&gt;=$D$2),V399/U399&lt;3),"Very serious", AND(W399&gt;$D$1*-1,W399&lt;$D$1,X399&gt;$D$1*-1,Y399&lt;$D$1,V399/U399&gt;=3),"Very serious", AND(W399&gt;$D$1*-1,W399&lt;$D$1,OR(X399&lt;=$D$1*-1,Y399&gt;=$D$1),X399&gt;$D$2*-1,Y399&lt;$D$2,V399/U399&gt;=3),"Very serious", AND(W399&gt;$D$1*-1,W399&lt;$D$1,OR(X399&lt;=$D$2*-1,Y399&gt;=$D$2),V399/U399&gt;=3),"Very serious"),"")),"")</f>
        <v/>
      </c>
      <c r="AT399" s="109" t="str">
        <f t="shared" si="9"/>
        <v/>
      </c>
      <c r="AU399" s="64"/>
      <c r="AV399" s="83"/>
      <c r="AW399" s="83"/>
      <c r="AX399" s="83"/>
      <c r="AY399" s="83"/>
      <c r="AZ399" s="83"/>
      <c r="BA399" s="85"/>
      <c r="BB399" s="86" t="str">
        <f>IF(Preferences!B$9="Manual","",IFS(ISBLANK(B399),"",AND(ISNUMBER(E399)=TRUE,ISNUMBER(T399)=FALSE),"Direct", AND(ISNUMBER(E399)=FALSE,ISNUMBER(T399)=TRUE),"Indirect", CN399=4,"Direct",AND(CL399=FALSE, CM399=TRUE,CN399-CO399&gt;-1),"Direct", AND(CL399=FALSE,CM399=TRUE, CN399-CO399&lt;0),"Check algorithm in appendix 2", AND(CL399=TRUE, CM399=FALSE,CN399-CO399&gt;0),"Check algorithm in appendix 2", AND(CL399=TRUE, CM399=FALSE,CN399-CO399=0),"Indirect", AND(CL399=TRUE, CM399=FALSE,CN399-CO399&lt;0),"Indirect", AND(CL399=FALSE,CM399=FALSE,CN399-CO399&gt;-1),"Direct", AND(CL399=FALSE,CM399=FALSE,CN399-CO399&lt;0),"Check algorithm in appendix 2", AND(CL399=TRUE,CM399=TRUE,CN399-CO399&gt;-1),"Direct", AND(CL399=TRUE,CM399=TRUE,CN399-CO399&lt;0),"Check algorithm in appendix 2"))</f>
        <v/>
      </c>
      <c r="BC399" s="120" t="str">
        <f t="shared" si="10"/>
        <v/>
      </c>
      <c r="BD399" s="140"/>
      <c r="BE399" s="122" t="str">
        <f>IF(Preferences!B$3="Manual","", IFERROR(IFS(AND(Preferences!B$3="Automatic",AX399/AW399&gt;=30),"Extremely serious",AND(AY399&lt;=$D$1*-1,BA399&lt;0,AX399/AW399&lt;3),"Not Serious",AND(AY399&lt;=$D$1*-1,BA399&lt;0,AX399/AW399&gt;=3),"Very serious",AND(AY399&gt;=$D$1,AZ399&gt;0,AX399/AW399&lt;3),"Not Serious",AND(AY399&gt;=$D$1,AZ399&gt;0,AX399/AW399&gt;=3),"Very serious",AND(AY399&lt;=$D$1*-1,BA399&gt;0,AZ399&gt;$D$2*-1,AX399/AW399&lt;3),"Serious", AND(AY399&lt;=$D$1*-1,BA399&gt;0,AZ399&lt;$D$2*-1,AX399/AW399&lt;3),"Very serious", AND(AY399&gt;=$D$1,AZ399&lt;0,BA399&lt;$D$2,AX399/AW399&lt;3),"Serious",AND(AY399&gt;=$D$1,AZ399&lt;0,BA399&gt;$D$2,AX399/AW399&lt;3),"Very serious", AND(AY399&lt;=$D$1*-1,BA399&gt;0,AZ399&gt;$D$2*-1,AX399/AW399&gt;=3),"Very serious", AND(AY399&lt;=$D$1*-1,BA399&gt;0,AZ399&lt;$D$2*-1,AX399/AW399&gt;=3),"Very serious", AND(AY399&gt;=$D$1,AZ399&lt;0,BA399&lt;$D$2,AX399/AW399&gt;=3),"Very serious", AND(AY399&gt;=$D$1,AZ399&lt;0,BA399&gt;$D$2,AX399/AW399&gt;=3),"Very serious", AND(AY399&gt;$D$1*-1,AY399&lt;$D$1,AZ399&gt;$D$1*-1,BA399&lt;$D$1,AX399/AW399&lt;3),"Not Serious", AND(AY399&gt;$D$1*-1,AY399&lt;$D$1,OR(AZ399&lt;=$D$1*-1,BA399&gt;=$D$1),AZ399&gt;$D$2*-1,BA399&lt;$D$2,AX399/AW399&lt;3),"Serious", AND(AY399&gt;$D$1*-1,AY399&lt;$D$1,OR(AZ399&lt;=$D$2*-1,BA399&gt;=$D$2),AX399/AW399&lt;3),"Very serious", AND(AY399&gt;$D$1*-1,AY399&lt;$D$1,AZ399&gt;$D$1*-1,BA399&lt;$D$1,AX399/AW399&gt;=3),"Very serious", AND(AY399&gt;$D$1*-1,AY399&lt;$D$1,OR(AZ399&lt;=$D$1*-1,BA399&gt;=$D$1),AZ399&gt;$D$2*-1,BA399&lt;$D$2,AX399/AW399&gt;=3),"Very serious", AND(AY399&gt;$D$1*-1,AY399&lt;$D$1,OR(AZ399&lt;=$D$2*-1,BA399&gt;=$D$2),AX399/AW399&gt;=3),"Very serious"),""))</f>
        <v/>
      </c>
      <c r="BF399" s="107" t="str">
        <f t="shared" si="11"/>
        <v/>
      </c>
      <c r="BG399" s="94" t="str">
        <f t="shared" si="46"/>
        <v/>
      </c>
      <c r="BH399" s="64" t="str">
        <f t="shared" si="12"/>
        <v>#N/A</v>
      </c>
      <c r="BI399" s="64" t="str">
        <f t="shared" si="13"/>
        <v/>
      </c>
      <c r="BJ399" s="123" t="str">
        <f t="shared" si="14"/>
        <v>#N/A</v>
      </c>
      <c r="BK399" s="64" t="str">
        <f t="shared" si="50"/>
        <v>YES</v>
      </c>
      <c r="BL399" s="64" t="str">
        <f t="shared" si="16"/>
        <v>YES</v>
      </c>
      <c r="BM399" s="64" t="str">
        <f t="shared" si="17"/>
        <v>YES</v>
      </c>
      <c r="BN399" s="124" t="str">
        <f t="shared" si="18"/>
        <v/>
      </c>
      <c r="BO399" s="91" t="str">
        <f t="shared" si="19"/>
        <v/>
      </c>
      <c r="BP399" s="91" t="str">
        <f t="shared" si="20"/>
        <v>#N/A</v>
      </c>
      <c r="BQ399" s="91" t="str">
        <f t="shared" si="21"/>
        <v/>
      </c>
      <c r="BR399" s="93" t="str">
        <f t="shared" si="22"/>
        <v/>
      </c>
      <c r="BS399" s="90" t="str">
        <f t="shared" si="23"/>
        <v/>
      </c>
      <c r="BT399" s="93" t="str">
        <f t="shared" si="24"/>
        <v>NA</v>
      </c>
      <c r="BU399" s="125" t="str">
        <f t="shared" si="25"/>
        <v>#N/A</v>
      </c>
      <c r="BV399" s="93" t="str">
        <f t="shared" si="26"/>
        <v/>
      </c>
      <c r="BW399" s="93" t="str">
        <f t="shared" si="27"/>
        <v/>
      </c>
      <c r="BX399" s="93" t="str">
        <f t="shared" si="28"/>
        <v>NA</v>
      </c>
      <c r="BY399" s="95" t="str">
        <f t="shared" si="29"/>
        <v>#N/A</v>
      </c>
      <c r="BZ399" s="93" t="str">
        <f t="shared" si="30"/>
        <v/>
      </c>
      <c r="CA399" s="93" t="str">
        <f t="shared" si="31"/>
        <v/>
      </c>
      <c r="CB399" s="93" t="str">
        <f t="shared" si="32"/>
        <v>NA</v>
      </c>
      <c r="CC399" s="96" t="str">
        <f t="shared" si="33"/>
        <v>#N/A</v>
      </c>
      <c r="CD399" s="93" t="str">
        <f t="shared" si="34"/>
        <v/>
      </c>
      <c r="CE399" s="93" t="str">
        <f t="shared" si="35"/>
        <v/>
      </c>
      <c r="CF399" s="93" t="str">
        <f t="shared" si="36"/>
        <v>NA</v>
      </c>
      <c r="CG399" s="97" t="str">
        <f t="shared" si="37"/>
        <v>#N/A</v>
      </c>
      <c r="CH399" s="98" t="str">
        <f t="shared" si="38"/>
        <v>#N/A</v>
      </c>
      <c r="CI399" s="99" t="str">
        <f t="shared" si="39"/>
        <v>#N/A</v>
      </c>
      <c r="CJ399" s="126" t="str">
        <f t="shared" si="40"/>
        <v>ERROR: check cell</v>
      </c>
      <c r="CK399" s="126"/>
      <c r="CL399" s="127" t="str">
        <f t="shared" si="41"/>
        <v>#DIV/0!</v>
      </c>
      <c r="CM399" s="128" t="str">
        <f t="shared" si="42"/>
        <v>#DIV/0!</v>
      </c>
      <c r="CN399" s="128">
        <f t="shared" si="43"/>
        <v>4</v>
      </c>
      <c r="CO399" s="129">
        <f t="shared" si="44"/>
        <v>4</v>
      </c>
      <c r="CP399" s="129" t="str">
        <f>IFS(C399=Preferences!B$13,B399,B399=Preferences!B$13,C399)</f>
        <v>#N/A</v>
      </c>
    </row>
    <row r="400" ht="13.5" customHeight="1">
      <c r="A400" s="63" t="str">
        <f t="shared" si="45"/>
        <v/>
      </c>
      <c r="B400" s="64"/>
      <c r="C400" s="64"/>
      <c r="D400" s="64"/>
      <c r="E400" s="65"/>
      <c r="F400" s="65"/>
      <c r="G400" s="65"/>
      <c r="H400" s="66"/>
      <c r="I400" s="66"/>
      <c r="J400" s="67"/>
      <c r="K400" s="68"/>
      <c r="L400" s="104"/>
      <c r="M400" s="104"/>
      <c r="N400" s="104"/>
      <c r="O400" s="104"/>
      <c r="P400" s="107" t="str">
        <f t="shared" si="1"/>
        <v/>
      </c>
      <c r="Q400" s="108" t="str">
        <f>IFERROR(IF(AND(Preferences!B$3="Manual",OR(AX400/AW400&gt;G400/F400,BD400="Serious",BD400="Very serious")),"Assess imprecision",IFS(ISBLANK(E400),"",AND(Preferences!B$3="Automatic", G400/F400&gt;=30),"Extremely serious",AND(H400&lt;=$D$1*-1,J400&lt;0,G400/F400&lt;3),"Not serious",AND(H400&lt;=$D$1*-1,J400&lt;0,G400/F400&gt;=3),"Very serious",AND(H400&gt;=$D$1,I400&gt;0,G400/F400&lt;3),"Not serious",AND(H400&gt;=$D$1,I400&gt;0,G400/F400&gt;=3),"Very serious",AND(H400&lt;=$D$1*-1,J400&gt;0,I400&gt;$D$2*-1,G400/F400&lt;3),"Serious", AND(H400&lt;=$D$1*-1,J400&gt;0,I400&lt;$D$2*-1,G400/F400&lt;3),"Very serious", AND(H400&gt;=$D$1,I400&lt;0,J400&lt;$D$2,G400/F400&lt;3),"Serious",AND(H400&gt;=$D$1,I400&lt;0,J400&gt;$D$2,G400/F400&lt;3),"Very serious", AND(H400&lt;=$D$1*-1,J400&gt;0,I400&gt;$D$2*-1,G400/F400&gt;=3),"Very serious", AND(H400&lt;=$D$1*-1,J400&gt;0,I400&lt;$D$2*-1,G400/F400&gt;=3),"Very serious", AND(H400&gt;=$D$1,I400&lt;0,J400&lt;$D$2,G400/F400&gt;=3),"Very serious", AND(H400&gt;=$D$1,I400&lt;0,J400&gt;$D$2,G400/F400&gt;=3),"Very serious", AND(H400&gt;$D$1*-1,H400&lt;$D$1,I400&gt;$D$1*-1,J400&lt;$D$1,G400/F400&lt;3),"Not serious", AND(H400&gt;$D$1*-1,H400&lt;$D$1,OR(I400&lt;=$D$1*-1,J400&gt;=$D$1),I400&gt;$D$2*-1,J400&lt;$D$2,G400/F400&lt;3),"Serious", AND(H400&gt;$D$1*-1,H400&lt;$D$1,OR(I400&lt;=$D$2*-1,J400&gt;=$D$2),G400/F400&lt;3),"Very serious", AND(H400&gt;$D$1*-1,H400&lt;$D$1,I400&gt;$D$1*-1,J400&lt;$D$1,G400/F400&gt;=3),"Very serious", AND(H400&gt;$D$1*-1,H400&lt;$D$1,OR(I400&lt;=$D$1*-1,J400&gt;=$D$1),I400&gt;$D$2*-1,J400&lt;$D$2,G400/F400&gt;=3),"Very serious", AND(H400&gt;$D$1*-1,H400&lt;$D$1,OR(I400&lt;=$D$2*-1,J400&gt;=$D$2),G400/F400&gt;=3),"Very serious")),"")</f>
        <v/>
      </c>
      <c r="R400" s="109" t="str">
        <f t="shared" si="47"/>
        <v/>
      </c>
      <c r="S400" s="64"/>
      <c r="T400" s="72"/>
      <c r="U400" s="72"/>
      <c r="V400" s="72"/>
      <c r="W400" s="73"/>
      <c r="X400" s="73"/>
      <c r="Y400" s="74"/>
      <c r="Z400" s="113" t="str">
        <f t="array" ref="Z400">INDEX($A$1:$C$500, MATCH(1,($B:$B=$B400)*($C:$C=$AB400),0),1)</f>
        <v/>
      </c>
      <c r="AA400" s="113" t="str">
        <f t="array" ref="AA400">INDEX($A$1:$C$500, MATCH(1,($B:$B=$AB400)*($C:$C=$B400),0),1)</f>
        <v/>
      </c>
      <c r="AB400" s="111"/>
      <c r="AC400" s="114" t="str">
        <f t="shared" si="2"/>
        <v/>
      </c>
      <c r="AD400" s="115" t="str">
        <f t="shared" si="3"/>
        <v/>
      </c>
      <c r="AE400" s="116" t="str">
        <f t="array" ref="AE400">INDEX($A$1:$C$500, MATCH(1,($B:$B=$AB400)*($C:$C=$AG400),0),1)</f>
        <v/>
      </c>
      <c r="AF400" s="116" t="str">
        <f t="array" ref="AF400">INDEX($A$1:$C$500, MATCH(1,($B:$B=$AG400)*($C:$C=$AB400),0),1)</f>
        <v/>
      </c>
      <c r="AG400" s="72"/>
      <c r="AH400" s="114" t="str">
        <f t="shared" si="4"/>
        <v/>
      </c>
      <c r="AI400" s="115" t="str">
        <f t="shared" si="5"/>
        <v/>
      </c>
      <c r="AJ400" s="116" t="str">
        <f t="array" ref="AJ400">INDEX($A$1:$C$500, MATCH(1,($B:$B=$C400)*($C:$C=$AG400),0),1)</f>
        <v/>
      </c>
      <c r="AK400" s="116" t="str">
        <f t="array" ref="AK400">INDEX($A$1:$C$500, MATCH(1,($B:$B=$AG400)*($C:$C=$C400),0),1)</f>
        <v/>
      </c>
      <c r="AL400" s="116" t="str">
        <f t="array" ref="AL400">INDEX($A$1:$C$500, MATCH(1,($B:$B=$C400)*($C:$C=$AB400),0),1)</f>
        <v/>
      </c>
      <c r="AM400" s="116" t="str">
        <f t="array" ref="AM400">INDEX($A$1:$C$500, MATCH(1,($B:$B=$AB400)*($C:$C=$C400),0),1)</f>
        <v/>
      </c>
      <c r="AN400" s="114" t="str">
        <f t="array" ref="AN400">IFS(ISNUMBER(AJ400),AJ400,ISNUMBER(AK400),AK400,ISNUMBER(AL400),AL400,ISNUMBER(AM400),AM400)</f>
        <v>#N/A</v>
      </c>
      <c r="AO400" s="115" t="str">
        <f t="shared" si="6"/>
        <v/>
      </c>
      <c r="AP400" s="115" t="str">
        <f t="shared" si="7"/>
        <v/>
      </c>
      <c r="AQ400" s="111"/>
      <c r="AR400" s="109" t="str">
        <f t="shared" si="8"/>
        <v/>
      </c>
      <c r="AS400" s="72" t="str">
        <f>IFERROR(IF(AND(Preferences!B$3="Manual",OR(AX400/AW400&gt;V400/U400,BD400="Serious",BD400="Very serious")),"Assess imprecision",IFERROR(IFS(AND(Preferences!B$3="Automatic",V400/U400&gt;=30),"Extremely serious",AND(W400&lt;=$D$1*-1,Y400&lt;0,V400/U400&lt;3),"Not Serious",AND(W400&lt;=$D$1*-1,Y400&lt;0,V400/U400&gt;=3),"Very serious",AND(W400&gt;=$D$1,X400&gt;0,V400/U400&lt;3),"Not Serious",AND(W400&gt;=$D$1,X400&gt;0,V400/U400&gt;=3),"Very serious",AND(W400&lt;=$D$1*-1,Y400&gt;0,X400&gt;$D$2*-1,V400/U400&lt;3),"Serious", AND(W400&lt;=$D$1*-1,Y400&gt;0,X400&lt;$D$2*-1,V400/U400&lt;3),"Very serious", AND(W400&gt;=$D$1,X400&lt;0,Y400&lt;$D$2,V400/U400&lt;3),"Serious",AND(W400&gt;=$D$1,X400&lt;0,Y400&gt;$D$2,V400/U400&lt;3),"Very serious", AND(W400&lt;=$D$1*-1,Y400&gt;0,X400&gt;$D$2*-1,V400/U400&gt;=3),"Very serious", AND(W400&lt;=$D$1*-1,Y400&gt;0,X400&lt;$D$2*-1,V400/U400&gt;=3),"Very serious", AND(W400&gt;=$D$1,X400&lt;0,Y400&lt;$D$2,V400/U400&gt;=3),"Very serious", AND(W400&gt;=$D$1,X400&lt;0,Y400&gt;$D$2,V400/U400&gt;=3),"Very serious", AND(W400&gt;$D$1*-1,W400&lt;$D$1,X400&gt;$D$1*-1,Y400&lt;$D$1,V400/U400&lt;3),"Not Serious", AND(W400&gt;$D$1*-1,W400&lt;$D$1,OR(X400&lt;=$D$1*-1,Y400&gt;=$D$1),X400&gt;$D$2*-1,Y400&lt;$D$2,V400/U400&lt;3),"Serious", AND(W400&gt;$D$1*-1,W400&lt;$D$1,OR(X400&lt;=$D$2*-1,Y400&gt;=$D$2),V400/U400&lt;3),"Very serious", AND(W400&gt;$D$1*-1,W400&lt;$D$1,X400&gt;$D$1*-1,Y400&lt;$D$1,V400/U400&gt;=3),"Very serious", AND(W400&gt;$D$1*-1,W400&lt;$D$1,OR(X400&lt;=$D$1*-1,Y400&gt;=$D$1),X400&gt;$D$2*-1,Y400&lt;$D$2,V400/U400&gt;=3),"Very serious", AND(W400&gt;$D$1*-1,W400&lt;$D$1,OR(X400&lt;=$D$2*-1,Y400&gt;=$D$2),V400/U400&gt;=3),"Very serious"),"")),"")</f>
        <v/>
      </c>
      <c r="AT400" s="109" t="str">
        <f t="shared" si="9"/>
        <v/>
      </c>
      <c r="AU400" s="64"/>
      <c r="AV400" s="83"/>
      <c r="AW400" s="83"/>
      <c r="AX400" s="83"/>
      <c r="AY400" s="83"/>
      <c r="AZ400" s="83"/>
      <c r="BA400" s="85"/>
      <c r="BB400" s="86" t="str">
        <f>IF(Preferences!B$9="Manual","",IFS(ISBLANK(B400),"",AND(ISNUMBER(E400)=TRUE,ISNUMBER(T400)=FALSE),"Direct", AND(ISNUMBER(E400)=FALSE,ISNUMBER(T400)=TRUE),"Indirect", CN400=4,"Direct",AND(CL400=FALSE, CM400=TRUE,CN400-CO400&gt;-1),"Direct", AND(CL400=FALSE,CM400=TRUE, CN400-CO400&lt;0),"Check algorithm in appendix 2", AND(CL400=TRUE, CM400=FALSE,CN400-CO400&gt;0),"Check algorithm in appendix 2", AND(CL400=TRUE, CM400=FALSE,CN400-CO400=0),"Indirect", AND(CL400=TRUE, CM400=FALSE,CN400-CO400&lt;0),"Indirect", AND(CL400=FALSE,CM400=FALSE,CN400-CO400&gt;-1),"Direct", AND(CL400=FALSE,CM400=FALSE,CN400-CO400&lt;0),"Check algorithm in appendix 2", AND(CL400=TRUE,CM400=TRUE,CN400-CO400&gt;-1),"Direct", AND(CL400=TRUE,CM400=TRUE,CN400-CO400&lt;0),"Check algorithm in appendix 2"))</f>
        <v/>
      </c>
      <c r="BC400" s="120" t="str">
        <f t="shared" si="10"/>
        <v/>
      </c>
      <c r="BD400" s="140"/>
      <c r="BE400" s="122" t="str">
        <f>IF(Preferences!B$3="Manual","", IFERROR(IFS(AND(Preferences!B$3="Automatic",AX400/AW400&gt;=30),"Extremely serious",AND(AY400&lt;=$D$1*-1,BA400&lt;0,AX400/AW400&lt;3),"Not Serious",AND(AY400&lt;=$D$1*-1,BA400&lt;0,AX400/AW400&gt;=3),"Very serious",AND(AY400&gt;=$D$1,AZ400&gt;0,AX400/AW400&lt;3),"Not Serious",AND(AY400&gt;=$D$1,AZ400&gt;0,AX400/AW400&gt;=3),"Very serious",AND(AY400&lt;=$D$1*-1,BA400&gt;0,AZ400&gt;$D$2*-1,AX400/AW400&lt;3),"Serious", AND(AY400&lt;=$D$1*-1,BA400&gt;0,AZ400&lt;$D$2*-1,AX400/AW400&lt;3),"Very serious", AND(AY400&gt;=$D$1,AZ400&lt;0,BA400&lt;$D$2,AX400/AW400&lt;3),"Serious",AND(AY400&gt;=$D$1,AZ400&lt;0,BA400&gt;$D$2,AX400/AW400&lt;3),"Very serious", AND(AY400&lt;=$D$1*-1,BA400&gt;0,AZ400&gt;$D$2*-1,AX400/AW400&gt;=3),"Very serious", AND(AY400&lt;=$D$1*-1,BA400&gt;0,AZ400&lt;$D$2*-1,AX400/AW400&gt;=3),"Very serious", AND(AY400&gt;=$D$1,AZ400&lt;0,BA400&lt;$D$2,AX400/AW400&gt;=3),"Very serious", AND(AY400&gt;=$D$1,AZ400&lt;0,BA400&gt;$D$2,AX400/AW400&gt;=3),"Very serious", AND(AY400&gt;$D$1*-1,AY400&lt;$D$1,AZ400&gt;$D$1*-1,BA400&lt;$D$1,AX400/AW400&lt;3),"Not Serious", AND(AY400&gt;$D$1*-1,AY400&lt;$D$1,OR(AZ400&lt;=$D$1*-1,BA400&gt;=$D$1),AZ400&gt;$D$2*-1,BA400&lt;$D$2,AX400/AW400&lt;3),"Serious", AND(AY400&gt;$D$1*-1,AY400&lt;$D$1,OR(AZ400&lt;=$D$2*-1,BA400&gt;=$D$2),AX400/AW400&lt;3),"Very serious", AND(AY400&gt;$D$1*-1,AY400&lt;$D$1,AZ400&gt;$D$1*-1,BA400&lt;$D$1,AX400/AW400&gt;=3),"Very serious", AND(AY400&gt;$D$1*-1,AY400&lt;$D$1,OR(AZ400&lt;=$D$1*-1,BA400&gt;=$D$1),AZ400&gt;$D$2*-1,BA400&lt;$D$2,AX400/AW400&gt;=3),"Very serious", AND(AY400&gt;$D$1*-1,AY400&lt;$D$1,OR(AZ400&lt;=$D$2*-1,BA400&gt;=$D$2),AX400/AW400&gt;=3),"Very serious"),""))</f>
        <v/>
      </c>
      <c r="BF400" s="107" t="str">
        <f t="shared" si="11"/>
        <v/>
      </c>
      <c r="BG400" s="94" t="str">
        <f t="shared" si="46"/>
        <v/>
      </c>
      <c r="BH400" s="64" t="str">
        <f t="shared" si="12"/>
        <v>#N/A</v>
      </c>
      <c r="BI400" s="64" t="str">
        <f t="shared" si="13"/>
        <v/>
      </c>
      <c r="BJ400" s="123" t="str">
        <f t="shared" si="14"/>
        <v>#N/A</v>
      </c>
      <c r="BK400" s="64" t="str">
        <f t="shared" si="50"/>
        <v>YES</v>
      </c>
      <c r="BL400" s="64" t="str">
        <f t="shared" si="16"/>
        <v>YES</v>
      </c>
      <c r="BM400" s="64" t="str">
        <f t="shared" si="17"/>
        <v>YES</v>
      </c>
      <c r="BN400" s="124" t="str">
        <f t="shared" si="18"/>
        <v/>
      </c>
      <c r="BO400" s="91" t="str">
        <f t="shared" si="19"/>
        <v/>
      </c>
      <c r="BP400" s="91" t="str">
        <f t="shared" si="20"/>
        <v>#N/A</v>
      </c>
      <c r="BQ400" s="91" t="str">
        <f t="shared" si="21"/>
        <v/>
      </c>
      <c r="BR400" s="93" t="str">
        <f t="shared" si="22"/>
        <v/>
      </c>
      <c r="BS400" s="90" t="str">
        <f t="shared" si="23"/>
        <v/>
      </c>
      <c r="BT400" s="93" t="str">
        <f t="shared" si="24"/>
        <v>NA</v>
      </c>
      <c r="BU400" s="125" t="str">
        <f t="shared" si="25"/>
        <v>#N/A</v>
      </c>
      <c r="BV400" s="93" t="str">
        <f t="shared" si="26"/>
        <v/>
      </c>
      <c r="BW400" s="93" t="str">
        <f t="shared" si="27"/>
        <v/>
      </c>
      <c r="BX400" s="93" t="str">
        <f t="shared" si="28"/>
        <v>NA</v>
      </c>
      <c r="BY400" s="95" t="str">
        <f t="shared" si="29"/>
        <v>#N/A</v>
      </c>
      <c r="BZ400" s="93" t="str">
        <f t="shared" si="30"/>
        <v/>
      </c>
      <c r="CA400" s="93" t="str">
        <f t="shared" si="31"/>
        <v/>
      </c>
      <c r="CB400" s="93" t="str">
        <f t="shared" si="32"/>
        <v>NA</v>
      </c>
      <c r="CC400" s="96" t="str">
        <f t="shared" si="33"/>
        <v>#N/A</v>
      </c>
      <c r="CD400" s="93" t="str">
        <f t="shared" si="34"/>
        <v/>
      </c>
      <c r="CE400" s="93" t="str">
        <f t="shared" si="35"/>
        <v/>
      </c>
      <c r="CF400" s="93" t="str">
        <f t="shared" si="36"/>
        <v>NA</v>
      </c>
      <c r="CG400" s="97" t="str">
        <f t="shared" si="37"/>
        <v>#N/A</v>
      </c>
      <c r="CH400" s="98" t="str">
        <f t="shared" si="38"/>
        <v>#N/A</v>
      </c>
      <c r="CI400" s="99" t="str">
        <f t="shared" si="39"/>
        <v>#N/A</v>
      </c>
      <c r="CJ400" s="126" t="str">
        <f t="shared" si="40"/>
        <v>ERROR: check cell</v>
      </c>
      <c r="CK400" s="126"/>
      <c r="CL400" s="127" t="str">
        <f t="shared" si="41"/>
        <v>#DIV/0!</v>
      </c>
      <c r="CM400" s="128" t="str">
        <f t="shared" si="42"/>
        <v>#DIV/0!</v>
      </c>
      <c r="CN400" s="128">
        <f t="shared" si="43"/>
        <v>4</v>
      </c>
      <c r="CO400" s="129">
        <f t="shared" si="44"/>
        <v>4</v>
      </c>
      <c r="CP400" s="129" t="str">
        <f>IFS(C400=Preferences!B$13,B400,B400=Preferences!B$13,C400)</f>
        <v>#N/A</v>
      </c>
    </row>
    <row r="401" ht="13.5" customHeight="1">
      <c r="A401" s="63" t="str">
        <f t="shared" si="45"/>
        <v/>
      </c>
      <c r="B401" s="64"/>
      <c r="C401" s="64"/>
      <c r="D401" s="64"/>
      <c r="E401" s="65"/>
      <c r="F401" s="65"/>
      <c r="G401" s="65"/>
      <c r="H401" s="66"/>
      <c r="I401" s="66"/>
      <c r="J401" s="67"/>
      <c r="K401" s="68"/>
      <c r="L401" s="104"/>
      <c r="M401" s="104"/>
      <c r="N401" s="104"/>
      <c r="O401" s="104"/>
      <c r="P401" s="107" t="str">
        <f t="shared" si="1"/>
        <v/>
      </c>
      <c r="Q401" s="108" t="str">
        <f>IFERROR(IF(AND(Preferences!B$3="Manual",OR(AX401/AW401&gt;G401/F401,BD401="Serious",BD401="Very serious")),"Assess imprecision",IFS(ISBLANK(E401),"",AND(Preferences!B$3="Automatic", G401/F401&gt;=30),"Extremely serious",AND(H401&lt;=$D$1*-1,J401&lt;0,G401/F401&lt;3),"Not serious",AND(H401&lt;=$D$1*-1,J401&lt;0,G401/F401&gt;=3),"Very serious",AND(H401&gt;=$D$1,I401&gt;0,G401/F401&lt;3),"Not serious",AND(H401&gt;=$D$1,I401&gt;0,G401/F401&gt;=3),"Very serious",AND(H401&lt;=$D$1*-1,J401&gt;0,I401&gt;$D$2*-1,G401/F401&lt;3),"Serious", AND(H401&lt;=$D$1*-1,J401&gt;0,I401&lt;$D$2*-1,G401/F401&lt;3),"Very serious", AND(H401&gt;=$D$1,I401&lt;0,J401&lt;$D$2,G401/F401&lt;3),"Serious",AND(H401&gt;=$D$1,I401&lt;0,J401&gt;$D$2,G401/F401&lt;3),"Very serious", AND(H401&lt;=$D$1*-1,J401&gt;0,I401&gt;$D$2*-1,G401/F401&gt;=3),"Very serious", AND(H401&lt;=$D$1*-1,J401&gt;0,I401&lt;$D$2*-1,G401/F401&gt;=3),"Very serious", AND(H401&gt;=$D$1,I401&lt;0,J401&lt;$D$2,G401/F401&gt;=3),"Very serious", AND(H401&gt;=$D$1,I401&lt;0,J401&gt;$D$2,G401/F401&gt;=3),"Very serious", AND(H401&gt;$D$1*-1,H401&lt;$D$1,I401&gt;$D$1*-1,J401&lt;$D$1,G401/F401&lt;3),"Not serious", AND(H401&gt;$D$1*-1,H401&lt;$D$1,OR(I401&lt;=$D$1*-1,J401&gt;=$D$1),I401&gt;$D$2*-1,J401&lt;$D$2,G401/F401&lt;3),"Serious", AND(H401&gt;$D$1*-1,H401&lt;$D$1,OR(I401&lt;=$D$2*-1,J401&gt;=$D$2),G401/F401&lt;3),"Very serious", AND(H401&gt;$D$1*-1,H401&lt;$D$1,I401&gt;$D$1*-1,J401&lt;$D$1,G401/F401&gt;=3),"Very serious", AND(H401&gt;$D$1*-1,H401&lt;$D$1,OR(I401&lt;=$D$1*-1,J401&gt;=$D$1),I401&gt;$D$2*-1,J401&lt;$D$2,G401/F401&gt;=3),"Very serious", AND(H401&gt;$D$1*-1,H401&lt;$D$1,OR(I401&lt;=$D$2*-1,J401&gt;=$D$2),G401/F401&gt;=3),"Very serious")),"")</f>
        <v/>
      </c>
      <c r="R401" s="109" t="str">
        <f t="shared" si="47"/>
        <v/>
      </c>
      <c r="S401" s="64"/>
      <c r="T401" s="72"/>
      <c r="U401" s="72"/>
      <c r="V401" s="72"/>
      <c r="W401" s="73"/>
      <c r="X401" s="73"/>
      <c r="Y401" s="74"/>
      <c r="Z401" s="113" t="str">
        <f t="array" ref="Z401">INDEX($A$1:$C$500, MATCH(1,($B:$B=$B401)*($C:$C=$AB401),0),1)</f>
        <v/>
      </c>
      <c r="AA401" s="113" t="str">
        <f t="array" ref="AA401">INDEX($A$1:$C$500, MATCH(1,($B:$B=$AB401)*($C:$C=$B401),0),1)</f>
        <v/>
      </c>
      <c r="AB401" s="111"/>
      <c r="AC401" s="114" t="str">
        <f t="shared" si="2"/>
        <v/>
      </c>
      <c r="AD401" s="115" t="str">
        <f t="shared" si="3"/>
        <v/>
      </c>
      <c r="AE401" s="116" t="str">
        <f t="array" ref="AE401">INDEX($A$1:$C$500, MATCH(1,($B:$B=$AB401)*($C:$C=$AG401),0),1)</f>
        <v/>
      </c>
      <c r="AF401" s="116" t="str">
        <f t="array" ref="AF401">INDEX($A$1:$C$500, MATCH(1,($B:$B=$AG401)*($C:$C=$AB401),0),1)</f>
        <v/>
      </c>
      <c r="AG401" s="72"/>
      <c r="AH401" s="114" t="str">
        <f t="shared" si="4"/>
        <v/>
      </c>
      <c r="AI401" s="115" t="str">
        <f t="shared" si="5"/>
        <v/>
      </c>
      <c r="AJ401" s="116" t="str">
        <f t="array" ref="AJ401">INDEX($A$1:$C$500, MATCH(1,($B:$B=$C401)*($C:$C=$AG401),0),1)</f>
        <v/>
      </c>
      <c r="AK401" s="116" t="str">
        <f t="array" ref="AK401">INDEX($A$1:$C$500, MATCH(1,($B:$B=$AG401)*($C:$C=$C401),0),1)</f>
        <v/>
      </c>
      <c r="AL401" s="116" t="str">
        <f t="array" ref="AL401">INDEX($A$1:$C$500, MATCH(1,($B:$B=$C401)*($C:$C=$AB401),0),1)</f>
        <v/>
      </c>
      <c r="AM401" s="116" t="str">
        <f t="array" ref="AM401">INDEX($A$1:$C$500, MATCH(1,($B:$B=$AB401)*($C:$C=$C401),0),1)</f>
        <v/>
      </c>
      <c r="AN401" s="114" t="str">
        <f t="array" ref="AN401">IFS(ISNUMBER(AJ401),AJ401,ISNUMBER(AK401),AK401,ISNUMBER(AL401),AL401,ISNUMBER(AM401),AM401)</f>
        <v>#N/A</v>
      </c>
      <c r="AO401" s="115" t="str">
        <f t="shared" si="6"/>
        <v/>
      </c>
      <c r="AP401" s="115" t="str">
        <f t="shared" si="7"/>
        <v/>
      </c>
      <c r="AQ401" s="111"/>
      <c r="AR401" s="109" t="str">
        <f t="shared" si="8"/>
        <v/>
      </c>
      <c r="AS401" s="72" t="str">
        <f>IFERROR(IF(AND(Preferences!B$3="Manual",OR(AX401/AW401&gt;V401/U401,BD401="Serious",BD401="Very serious")),"Assess imprecision",IFERROR(IFS(AND(Preferences!B$3="Automatic",V401/U401&gt;=30),"Extremely serious",AND(W401&lt;=$D$1*-1,Y401&lt;0,V401/U401&lt;3),"Not Serious",AND(W401&lt;=$D$1*-1,Y401&lt;0,V401/U401&gt;=3),"Very serious",AND(W401&gt;=$D$1,X401&gt;0,V401/U401&lt;3),"Not Serious",AND(W401&gt;=$D$1,X401&gt;0,V401/U401&gt;=3),"Very serious",AND(W401&lt;=$D$1*-1,Y401&gt;0,X401&gt;$D$2*-1,V401/U401&lt;3),"Serious", AND(W401&lt;=$D$1*-1,Y401&gt;0,X401&lt;$D$2*-1,V401/U401&lt;3),"Very serious", AND(W401&gt;=$D$1,X401&lt;0,Y401&lt;$D$2,V401/U401&lt;3),"Serious",AND(W401&gt;=$D$1,X401&lt;0,Y401&gt;$D$2,V401/U401&lt;3),"Very serious", AND(W401&lt;=$D$1*-1,Y401&gt;0,X401&gt;$D$2*-1,V401/U401&gt;=3),"Very serious", AND(W401&lt;=$D$1*-1,Y401&gt;0,X401&lt;$D$2*-1,V401/U401&gt;=3),"Very serious", AND(W401&gt;=$D$1,X401&lt;0,Y401&lt;$D$2,V401/U401&gt;=3),"Very serious", AND(W401&gt;=$D$1,X401&lt;0,Y401&gt;$D$2,V401/U401&gt;=3),"Very serious", AND(W401&gt;$D$1*-1,W401&lt;$D$1,X401&gt;$D$1*-1,Y401&lt;$D$1,V401/U401&lt;3),"Not Serious", AND(W401&gt;$D$1*-1,W401&lt;$D$1,OR(X401&lt;=$D$1*-1,Y401&gt;=$D$1),X401&gt;$D$2*-1,Y401&lt;$D$2,V401/U401&lt;3),"Serious", AND(W401&gt;$D$1*-1,W401&lt;$D$1,OR(X401&lt;=$D$2*-1,Y401&gt;=$D$2),V401/U401&lt;3),"Very serious", AND(W401&gt;$D$1*-1,W401&lt;$D$1,X401&gt;$D$1*-1,Y401&lt;$D$1,V401/U401&gt;=3),"Very serious", AND(W401&gt;$D$1*-1,W401&lt;$D$1,OR(X401&lt;=$D$1*-1,Y401&gt;=$D$1),X401&gt;$D$2*-1,Y401&lt;$D$2,V401/U401&gt;=3),"Very serious", AND(W401&gt;$D$1*-1,W401&lt;$D$1,OR(X401&lt;=$D$2*-1,Y401&gt;=$D$2),V401/U401&gt;=3),"Very serious"),"")),"")</f>
        <v/>
      </c>
      <c r="AT401" s="109" t="str">
        <f t="shared" si="9"/>
        <v/>
      </c>
      <c r="AU401" s="64"/>
      <c r="AV401" s="83"/>
      <c r="AW401" s="83"/>
      <c r="AX401" s="83"/>
      <c r="AY401" s="83"/>
      <c r="AZ401" s="83"/>
      <c r="BA401" s="85"/>
      <c r="BB401" s="86" t="str">
        <f>IF(Preferences!B$9="Manual","",IFS(ISBLANK(B401),"",AND(ISNUMBER(E401)=TRUE,ISNUMBER(T401)=FALSE),"Direct", AND(ISNUMBER(E401)=FALSE,ISNUMBER(T401)=TRUE),"Indirect", CN401=4,"Direct",AND(CL401=FALSE, CM401=TRUE,CN401-CO401&gt;-1),"Direct", AND(CL401=FALSE,CM401=TRUE, CN401-CO401&lt;0),"Check algorithm in appendix 2", AND(CL401=TRUE, CM401=FALSE,CN401-CO401&gt;0),"Check algorithm in appendix 2", AND(CL401=TRUE, CM401=FALSE,CN401-CO401=0),"Indirect", AND(CL401=TRUE, CM401=FALSE,CN401-CO401&lt;0),"Indirect", AND(CL401=FALSE,CM401=FALSE,CN401-CO401&gt;-1),"Direct", AND(CL401=FALSE,CM401=FALSE,CN401-CO401&lt;0),"Check algorithm in appendix 2", AND(CL401=TRUE,CM401=TRUE,CN401-CO401&gt;-1),"Direct", AND(CL401=TRUE,CM401=TRUE,CN401-CO401&lt;0),"Check algorithm in appendix 2"))</f>
        <v/>
      </c>
      <c r="BC401" s="120" t="str">
        <f t="shared" si="10"/>
        <v/>
      </c>
      <c r="BD401" s="140"/>
      <c r="BE401" s="122" t="str">
        <f>IF(Preferences!B$3="Manual","", IFERROR(IFS(AND(Preferences!B$3="Automatic",AX401/AW401&gt;=30),"Extremely serious",AND(AY401&lt;=$D$1*-1,BA401&lt;0,AX401/AW401&lt;3),"Not Serious",AND(AY401&lt;=$D$1*-1,BA401&lt;0,AX401/AW401&gt;=3),"Very serious",AND(AY401&gt;=$D$1,AZ401&gt;0,AX401/AW401&lt;3),"Not Serious",AND(AY401&gt;=$D$1,AZ401&gt;0,AX401/AW401&gt;=3),"Very serious",AND(AY401&lt;=$D$1*-1,BA401&gt;0,AZ401&gt;$D$2*-1,AX401/AW401&lt;3),"Serious", AND(AY401&lt;=$D$1*-1,BA401&gt;0,AZ401&lt;$D$2*-1,AX401/AW401&lt;3),"Very serious", AND(AY401&gt;=$D$1,AZ401&lt;0,BA401&lt;$D$2,AX401/AW401&lt;3),"Serious",AND(AY401&gt;=$D$1,AZ401&lt;0,BA401&gt;$D$2,AX401/AW401&lt;3),"Very serious", AND(AY401&lt;=$D$1*-1,BA401&gt;0,AZ401&gt;$D$2*-1,AX401/AW401&gt;=3),"Very serious", AND(AY401&lt;=$D$1*-1,BA401&gt;0,AZ401&lt;$D$2*-1,AX401/AW401&gt;=3),"Very serious", AND(AY401&gt;=$D$1,AZ401&lt;0,BA401&lt;$D$2,AX401/AW401&gt;=3),"Very serious", AND(AY401&gt;=$D$1,AZ401&lt;0,BA401&gt;$D$2,AX401/AW401&gt;=3),"Very serious", AND(AY401&gt;$D$1*-1,AY401&lt;$D$1,AZ401&gt;$D$1*-1,BA401&lt;$D$1,AX401/AW401&lt;3),"Not Serious", AND(AY401&gt;$D$1*-1,AY401&lt;$D$1,OR(AZ401&lt;=$D$1*-1,BA401&gt;=$D$1),AZ401&gt;$D$2*-1,BA401&lt;$D$2,AX401/AW401&lt;3),"Serious", AND(AY401&gt;$D$1*-1,AY401&lt;$D$1,OR(AZ401&lt;=$D$2*-1,BA401&gt;=$D$2),AX401/AW401&lt;3),"Very serious", AND(AY401&gt;$D$1*-1,AY401&lt;$D$1,AZ401&gt;$D$1*-1,BA401&lt;$D$1,AX401/AW401&gt;=3),"Very serious", AND(AY401&gt;$D$1*-1,AY401&lt;$D$1,OR(AZ401&lt;=$D$1*-1,BA401&gt;=$D$1),AZ401&gt;$D$2*-1,BA401&lt;$D$2,AX401/AW401&gt;=3),"Very serious", AND(AY401&gt;$D$1*-1,AY401&lt;$D$1,OR(AZ401&lt;=$D$2*-1,BA401&gt;=$D$2),AX401/AW401&gt;=3),"Very serious"),""))</f>
        <v/>
      </c>
      <c r="BF401" s="107" t="str">
        <f t="shared" si="11"/>
        <v/>
      </c>
      <c r="BG401" s="94" t="str">
        <f t="shared" si="46"/>
        <v/>
      </c>
      <c r="BH401" s="64" t="str">
        <f t="shared" si="12"/>
        <v>#N/A</v>
      </c>
      <c r="BI401" s="64" t="str">
        <f t="shared" si="13"/>
        <v/>
      </c>
      <c r="BJ401" s="123" t="str">
        <f t="shared" si="14"/>
        <v>#N/A</v>
      </c>
      <c r="BK401" s="64" t="str">
        <f t="shared" si="50"/>
        <v>YES</v>
      </c>
      <c r="BL401" s="64" t="str">
        <f t="shared" si="16"/>
        <v>YES</v>
      </c>
      <c r="BM401" s="64" t="str">
        <f t="shared" si="17"/>
        <v>YES</v>
      </c>
      <c r="BN401" s="124" t="str">
        <f t="shared" si="18"/>
        <v/>
      </c>
      <c r="BO401" s="91" t="str">
        <f t="shared" si="19"/>
        <v/>
      </c>
      <c r="BP401" s="91" t="str">
        <f t="shared" si="20"/>
        <v>#N/A</v>
      </c>
      <c r="BQ401" s="91" t="str">
        <f t="shared" si="21"/>
        <v/>
      </c>
      <c r="BR401" s="93" t="str">
        <f t="shared" si="22"/>
        <v/>
      </c>
      <c r="BS401" s="90" t="str">
        <f t="shared" si="23"/>
        <v/>
      </c>
      <c r="BT401" s="93" t="str">
        <f t="shared" si="24"/>
        <v>NA</v>
      </c>
      <c r="BU401" s="125" t="str">
        <f t="shared" si="25"/>
        <v>#N/A</v>
      </c>
      <c r="BV401" s="93" t="str">
        <f t="shared" si="26"/>
        <v/>
      </c>
      <c r="BW401" s="93" t="str">
        <f t="shared" si="27"/>
        <v/>
      </c>
      <c r="BX401" s="93" t="str">
        <f t="shared" si="28"/>
        <v>NA</v>
      </c>
      <c r="BY401" s="95" t="str">
        <f t="shared" si="29"/>
        <v>#N/A</v>
      </c>
      <c r="BZ401" s="93" t="str">
        <f t="shared" si="30"/>
        <v/>
      </c>
      <c r="CA401" s="93" t="str">
        <f t="shared" si="31"/>
        <v/>
      </c>
      <c r="CB401" s="93" t="str">
        <f t="shared" si="32"/>
        <v>NA</v>
      </c>
      <c r="CC401" s="96" t="str">
        <f t="shared" si="33"/>
        <v>#N/A</v>
      </c>
      <c r="CD401" s="93" t="str">
        <f t="shared" si="34"/>
        <v/>
      </c>
      <c r="CE401" s="93" t="str">
        <f t="shared" si="35"/>
        <v/>
      </c>
      <c r="CF401" s="93" t="str">
        <f t="shared" si="36"/>
        <v>NA</v>
      </c>
      <c r="CG401" s="97" t="str">
        <f t="shared" si="37"/>
        <v>#N/A</v>
      </c>
      <c r="CH401" s="98" t="str">
        <f t="shared" si="38"/>
        <v>#N/A</v>
      </c>
      <c r="CI401" s="99" t="str">
        <f t="shared" si="39"/>
        <v>#N/A</v>
      </c>
      <c r="CJ401" s="126" t="str">
        <f t="shared" si="40"/>
        <v>ERROR: check cell</v>
      </c>
      <c r="CK401" s="126"/>
      <c r="CL401" s="127" t="str">
        <f t="shared" si="41"/>
        <v>#DIV/0!</v>
      </c>
      <c r="CM401" s="128" t="str">
        <f t="shared" si="42"/>
        <v>#DIV/0!</v>
      </c>
      <c r="CN401" s="128">
        <f t="shared" si="43"/>
        <v>4</v>
      </c>
      <c r="CO401" s="129">
        <f t="shared" si="44"/>
        <v>4</v>
      </c>
      <c r="CP401" s="129" t="str">
        <f>IFS(C401=Preferences!B$13,B401,B401=Preferences!B$13,C401)</f>
        <v>#N/A</v>
      </c>
    </row>
    <row r="402" ht="13.5" customHeight="1">
      <c r="A402" s="63" t="str">
        <f t="shared" si="45"/>
        <v/>
      </c>
      <c r="B402" s="64"/>
      <c r="C402" s="64"/>
      <c r="D402" s="64"/>
      <c r="E402" s="65"/>
      <c r="F402" s="65"/>
      <c r="G402" s="65"/>
      <c r="H402" s="66"/>
      <c r="I402" s="66"/>
      <c r="J402" s="67"/>
      <c r="K402" s="68"/>
      <c r="L402" s="104"/>
      <c r="M402" s="104"/>
      <c r="N402" s="104"/>
      <c r="O402" s="104"/>
      <c r="P402" s="107" t="str">
        <f t="shared" si="1"/>
        <v/>
      </c>
      <c r="Q402" s="108" t="str">
        <f>IFERROR(IF(AND(Preferences!B$3="Manual",OR(AX402/AW402&gt;G402/F402,BD402="Serious",BD402="Very serious")),"Assess imprecision",IFS(ISBLANK(E402),"",AND(Preferences!B$3="Automatic", G402/F402&gt;=30),"Extremely serious",AND(H402&lt;=$D$1*-1,J402&lt;0,G402/F402&lt;3),"Not serious",AND(H402&lt;=$D$1*-1,J402&lt;0,G402/F402&gt;=3),"Very serious",AND(H402&gt;=$D$1,I402&gt;0,G402/F402&lt;3),"Not serious",AND(H402&gt;=$D$1,I402&gt;0,G402/F402&gt;=3),"Very serious",AND(H402&lt;=$D$1*-1,J402&gt;0,I402&gt;$D$2*-1,G402/F402&lt;3),"Serious", AND(H402&lt;=$D$1*-1,J402&gt;0,I402&lt;$D$2*-1,G402/F402&lt;3),"Very serious", AND(H402&gt;=$D$1,I402&lt;0,J402&lt;$D$2,G402/F402&lt;3),"Serious",AND(H402&gt;=$D$1,I402&lt;0,J402&gt;$D$2,G402/F402&lt;3),"Very serious", AND(H402&lt;=$D$1*-1,J402&gt;0,I402&gt;$D$2*-1,G402/F402&gt;=3),"Very serious", AND(H402&lt;=$D$1*-1,J402&gt;0,I402&lt;$D$2*-1,G402/F402&gt;=3),"Very serious", AND(H402&gt;=$D$1,I402&lt;0,J402&lt;$D$2,G402/F402&gt;=3),"Very serious", AND(H402&gt;=$D$1,I402&lt;0,J402&gt;$D$2,G402/F402&gt;=3),"Very serious", AND(H402&gt;$D$1*-1,H402&lt;$D$1,I402&gt;$D$1*-1,J402&lt;$D$1,G402/F402&lt;3),"Not serious", AND(H402&gt;$D$1*-1,H402&lt;$D$1,OR(I402&lt;=$D$1*-1,J402&gt;=$D$1),I402&gt;$D$2*-1,J402&lt;$D$2,G402/F402&lt;3),"Serious", AND(H402&gt;$D$1*-1,H402&lt;$D$1,OR(I402&lt;=$D$2*-1,J402&gt;=$D$2),G402/F402&lt;3),"Very serious", AND(H402&gt;$D$1*-1,H402&lt;$D$1,I402&gt;$D$1*-1,J402&lt;$D$1,G402/F402&gt;=3),"Very serious", AND(H402&gt;$D$1*-1,H402&lt;$D$1,OR(I402&lt;=$D$1*-1,J402&gt;=$D$1),I402&gt;$D$2*-1,J402&lt;$D$2,G402/F402&gt;=3),"Very serious", AND(H402&gt;$D$1*-1,H402&lt;$D$1,OR(I402&lt;=$D$2*-1,J402&gt;=$D$2),G402/F402&gt;=3),"Very serious")),"")</f>
        <v/>
      </c>
      <c r="R402" s="109" t="str">
        <f t="shared" si="47"/>
        <v/>
      </c>
      <c r="S402" s="64"/>
      <c r="T402" s="72"/>
      <c r="U402" s="72"/>
      <c r="V402" s="72"/>
      <c r="W402" s="73"/>
      <c r="X402" s="73"/>
      <c r="Y402" s="74"/>
      <c r="Z402" s="113" t="str">
        <f t="array" ref="Z402">INDEX($A$1:$C$500, MATCH(1,($B:$B=$B402)*($C:$C=$AB402),0),1)</f>
        <v/>
      </c>
      <c r="AA402" s="113" t="str">
        <f t="array" ref="AA402">INDEX($A$1:$C$500, MATCH(1,($B:$B=$AB402)*($C:$C=$B402),0),1)</f>
        <v/>
      </c>
      <c r="AB402" s="111"/>
      <c r="AC402" s="114" t="str">
        <f t="shared" si="2"/>
        <v/>
      </c>
      <c r="AD402" s="115" t="str">
        <f t="shared" si="3"/>
        <v/>
      </c>
      <c r="AE402" s="116" t="str">
        <f t="array" ref="AE402">INDEX($A$1:$C$500, MATCH(1,($B:$B=$AB402)*($C:$C=$AG402),0),1)</f>
        <v/>
      </c>
      <c r="AF402" s="116" t="str">
        <f t="array" ref="AF402">INDEX($A$1:$C$500, MATCH(1,($B:$B=$AG402)*($C:$C=$AB402),0),1)</f>
        <v/>
      </c>
      <c r="AG402" s="72"/>
      <c r="AH402" s="114" t="str">
        <f t="shared" si="4"/>
        <v/>
      </c>
      <c r="AI402" s="115" t="str">
        <f t="shared" si="5"/>
        <v/>
      </c>
      <c r="AJ402" s="116" t="str">
        <f t="array" ref="AJ402">INDEX($A$1:$C$500, MATCH(1,($B:$B=$C402)*($C:$C=$AG402),0),1)</f>
        <v/>
      </c>
      <c r="AK402" s="116" t="str">
        <f t="array" ref="AK402">INDEX($A$1:$C$500, MATCH(1,($B:$B=$AG402)*($C:$C=$C402),0),1)</f>
        <v/>
      </c>
      <c r="AL402" s="116" t="str">
        <f t="array" ref="AL402">INDEX($A$1:$C$500, MATCH(1,($B:$B=$C402)*($C:$C=$AB402),0),1)</f>
        <v/>
      </c>
      <c r="AM402" s="116" t="str">
        <f t="array" ref="AM402">INDEX($A$1:$C$500, MATCH(1,($B:$B=$AB402)*($C:$C=$C402),0),1)</f>
        <v/>
      </c>
      <c r="AN402" s="114" t="str">
        <f t="array" ref="AN402">IFS(ISNUMBER(AJ402),AJ402,ISNUMBER(AK402),AK402,ISNUMBER(AL402),AL402,ISNUMBER(AM402),AM402)</f>
        <v>#N/A</v>
      </c>
      <c r="AO402" s="115" t="str">
        <f t="shared" si="6"/>
        <v/>
      </c>
      <c r="AP402" s="115" t="str">
        <f t="shared" si="7"/>
        <v/>
      </c>
      <c r="AQ402" s="111"/>
      <c r="AR402" s="109" t="str">
        <f t="shared" si="8"/>
        <v/>
      </c>
      <c r="AS402" s="72" t="str">
        <f>IFERROR(IF(AND(Preferences!B$3="Manual",OR(AX402/AW402&gt;V402/U402,BD402="Serious",BD402="Very serious")),"Assess imprecision",IFERROR(IFS(AND(Preferences!B$3="Automatic",V402/U402&gt;=30),"Extremely serious",AND(W402&lt;=$D$1*-1,Y402&lt;0,V402/U402&lt;3),"Not Serious",AND(W402&lt;=$D$1*-1,Y402&lt;0,V402/U402&gt;=3),"Very serious",AND(W402&gt;=$D$1,X402&gt;0,V402/U402&lt;3),"Not Serious",AND(W402&gt;=$D$1,X402&gt;0,V402/U402&gt;=3),"Very serious",AND(W402&lt;=$D$1*-1,Y402&gt;0,X402&gt;$D$2*-1,V402/U402&lt;3),"Serious", AND(W402&lt;=$D$1*-1,Y402&gt;0,X402&lt;$D$2*-1,V402/U402&lt;3),"Very serious", AND(W402&gt;=$D$1,X402&lt;0,Y402&lt;$D$2,V402/U402&lt;3),"Serious",AND(W402&gt;=$D$1,X402&lt;0,Y402&gt;$D$2,V402/U402&lt;3),"Very serious", AND(W402&lt;=$D$1*-1,Y402&gt;0,X402&gt;$D$2*-1,V402/U402&gt;=3),"Very serious", AND(W402&lt;=$D$1*-1,Y402&gt;0,X402&lt;$D$2*-1,V402/U402&gt;=3),"Very serious", AND(W402&gt;=$D$1,X402&lt;0,Y402&lt;$D$2,V402/U402&gt;=3),"Very serious", AND(W402&gt;=$D$1,X402&lt;0,Y402&gt;$D$2,V402/U402&gt;=3),"Very serious", AND(W402&gt;$D$1*-1,W402&lt;$D$1,X402&gt;$D$1*-1,Y402&lt;$D$1,V402/U402&lt;3),"Not Serious", AND(W402&gt;$D$1*-1,W402&lt;$D$1,OR(X402&lt;=$D$1*-1,Y402&gt;=$D$1),X402&gt;$D$2*-1,Y402&lt;$D$2,V402/U402&lt;3),"Serious", AND(W402&gt;$D$1*-1,W402&lt;$D$1,OR(X402&lt;=$D$2*-1,Y402&gt;=$D$2),V402/U402&lt;3),"Very serious", AND(W402&gt;$D$1*-1,W402&lt;$D$1,X402&gt;$D$1*-1,Y402&lt;$D$1,V402/U402&gt;=3),"Very serious", AND(W402&gt;$D$1*-1,W402&lt;$D$1,OR(X402&lt;=$D$1*-1,Y402&gt;=$D$1),X402&gt;$D$2*-1,Y402&lt;$D$2,V402/U402&gt;=3),"Very serious", AND(W402&gt;$D$1*-1,W402&lt;$D$1,OR(X402&lt;=$D$2*-1,Y402&gt;=$D$2),V402/U402&gt;=3),"Very serious"),"")),"")</f>
        <v/>
      </c>
      <c r="AT402" s="109" t="str">
        <f t="shared" si="9"/>
        <v/>
      </c>
      <c r="AU402" s="64"/>
      <c r="AV402" s="83"/>
      <c r="AW402" s="83"/>
      <c r="AX402" s="83"/>
      <c r="AY402" s="83"/>
      <c r="AZ402" s="83"/>
      <c r="BA402" s="85"/>
      <c r="BB402" s="86" t="str">
        <f>IF(Preferences!B$9="Manual","",IFS(ISBLANK(B402),"",AND(ISNUMBER(E402)=TRUE,ISNUMBER(T402)=FALSE),"Direct", AND(ISNUMBER(E402)=FALSE,ISNUMBER(T402)=TRUE),"Indirect", CN402=4,"Direct",AND(CL402=FALSE, CM402=TRUE,CN402-CO402&gt;-1),"Direct", AND(CL402=FALSE,CM402=TRUE, CN402-CO402&lt;0),"Check algorithm in appendix 2", AND(CL402=TRUE, CM402=FALSE,CN402-CO402&gt;0),"Check algorithm in appendix 2", AND(CL402=TRUE, CM402=FALSE,CN402-CO402=0),"Indirect", AND(CL402=TRUE, CM402=FALSE,CN402-CO402&lt;0),"Indirect", AND(CL402=FALSE,CM402=FALSE,CN402-CO402&gt;-1),"Direct", AND(CL402=FALSE,CM402=FALSE,CN402-CO402&lt;0),"Check algorithm in appendix 2", AND(CL402=TRUE,CM402=TRUE,CN402-CO402&gt;-1),"Direct", AND(CL402=TRUE,CM402=TRUE,CN402-CO402&lt;0),"Check algorithm in appendix 2"))</f>
        <v/>
      </c>
      <c r="BC402" s="120" t="str">
        <f t="shared" si="10"/>
        <v/>
      </c>
      <c r="BD402" s="140"/>
      <c r="BE402" s="122" t="str">
        <f>IF(Preferences!B$3="Manual","", IFERROR(IFS(AND(Preferences!B$3="Automatic",AX402/AW402&gt;=30),"Extremely serious",AND(AY402&lt;=$D$1*-1,BA402&lt;0,AX402/AW402&lt;3),"Not Serious",AND(AY402&lt;=$D$1*-1,BA402&lt;0,AX402/AW402&gt;=3),"Very serious",AND(AY402&gt;=$D$1,AZ402&gt;0,AX402/AW402&lt;3),"Not Serious",AND(AY402&gt;=$D$1,AZ402&gt;0,AX402/AW402&gt;=3),"Very serious",AND(AY402&lt;=$D$1*-1,BA402&gt;0,AZ402&gt;$D$2*-1,AX402/AW402&lt;3),"Serious", AND(AY402&lt;=$D$1*-1,BA402&gt;0,AZ402&lt;$D$2*-1,AX402/AW402&lt;3),"Very serious", AND(AY402&gt;=$D$1,AZ402&lt;0,BA402&lt;$D$2,AX402/AW402&lt;3),"Serious",AND(AY402&gt;=$D$1,AZ402&lt;0,BA402&gt;$D$2,AX402/AW402&lt;3),"Very serious", AND(AY402&lt;=$D$1*-1,BA402&gt;0,AZ402&gt;$D$2*-1,AX402/AW402&gt;=3),"Very serious", AND(AY402&lt;=$D$1*-1,BA402&gt;0,AZ402&lt;$D$2*-1,AX402/AW402&gt;=3),"Very serious", AND(AY402&gt;=$D$1,AZ402&lt;0,BA402&lt;$D$2,AX402/AW402&gt;=3),"Very serious", AND(AY402&gt;=$D$1,AZ402&lt;0,BA402&gt;$D$2,AX402/AW402&gt;=3),"Very serious", AND(AY402&gt;$D$1*-1,AY402&lt;$D$1,AZ402&gt;$D$1*-1,BA402&lt;$D$1,AX402/AW402&lt;3),"Not Serious", AND(AY402&gt;$D$1*-1,AY402&lt;$D$1,OR(AZ402&lt;=$D$1*-1,BA402&gt;=$D$1),AZ402&gt;$D$2*-1,BA402&lt;$D$2,AX402/AW402&lt;3),"Serious", AND(AY402&gt;$D$1*-1,AY402&lt;$D$1,OR(AZ402&lt;=$D$2*-1,BA402&gt;=$D$2),AX402/AW402&lt;3),"Very serious", AND(AY402&gt;$D$1*-1,AY402&lt;$D$1,AZ402&gt;$D$1*-1,BA402&lt;$D$1,AX402/AW402&gt;=3),"Very serious", AND(AY402&gt;$D$1*-1,AY402&lt;$D$1,OR(AZ402&lt;=$D$1*-1,BA402&gt;=$D$1),AZ402&gt;$D$2*-1,BA402&lt;$D$2,AX402/AW402&gt;=3),"Very serious", AND(AY402&gt;$D$1*-1,AY402&lt;$D$1,OR(AZ402&lt;=$D$2*-1,BA402&gt;=$D$2),AX402/AW402&gt;=3),"Very serious"),""))</f>
        <v/>
      </c>
      <c r="BF402" s="107" t="str">
        <f t="shared" si="11"/>
        <v/>
      </c>
      <c r="BG402" s="94" t="str">
        <f t="shared" si="46"/>
        <v/>
      </c>
      <c r="BH402" s="64" t="str">
        <f t="shared" si="12"/>
        <v>#N/A</v>
      </c>
      <c r="BI402" s="64" t="str">
        <f t="shared" si="13"/>
        <v/>
      </c>
      <c r="BJ402" s="123" t="str">
        <f t="shared" si="14"/>
        <v>#N/A</v>
      </c>
      <c r="BK402" s="64" t="str">
        <f t="shared" si="50"/>
        <v>YES</v>
      </c>
      <c r="BL402" s="64" t="str">
        <f t="shared" si="16"/>
        <v>YES</v>
      </c>
      <c r="BM402" s="64" t="str">
        <f t="shared" si="17"/>
        <v>YES</v>
      </c>
      <c r="BN402" s="124" t="str">
        <f t="shared" si="18"/>
        <v/>
      </c>
      <c r="BO402" s="91" t="str">
        <f t="shared" si="19"/>
        <v/>
      </c>
      <c r="BP402" s="91" t="str">
        <f t="shared" si="20"/>
        <v>#N/A</v>
      </c>
      <c r="BQ402" s="91" t="str">
        <f t="shared" si="21"/>
        <v/>
      </c>
      <c r="BR402" s="93" t="str">
        <f t="shared" si="22"/>
        <v/>
      </c>
      <c r="BS402" s="90" t="str">
        <f t="shared" si="23"/>
        <v/>
      </c>
      <c r="BT402" s="93" t="str">
        <f t="shared" si="24"/>
        <v>NA</v>
      </c>
      <c r="BU402" s="125" t="str">
        <f t="shared" si="25"/>
        <v>#N/A</v>
      </c>
      <c r="BV402" s="93" t="str">
        <f t="shared" si="26"/>
        <v/>
      </c>
      <c r="BW402" s="93" t="str">
        <f t="shared" si="27"/>
        <v/>
      </c>
      <c r="BX402" s="93" t="str">
        <f t="shared" si="28"/>
        <v>NA</v>
      </c>
      <c r="BY402" s="95" t="str">
        <f t="shared" si="29"/>
        <v>#N/A</v>
      </c>
      <c r="BZ402" s="93" t="str">
        <f t="shared" si="30"/>
        <v/>
      </c>
      <c r="CA402" s="93" t="str">
        <f t="shared" si="31"/>
        <v/>
      </c>
      <c r="CB402" s="93" t="str">
        <f t="shared" si="32"/>
        <v>NA</v>
      </c>
      <c r="CC402" s="96" t="str">
        <f t="shared" si="33"/>
        <v>#N/A</v>
      </c>
      <c r="CD402" s="93" t="str">
        <f t="shared" si="34"/>
        <v/>
      </c>
      <c r="CE402" s="93" t="str">
        <f t="shared" si="35"/>
        <v/>
      </c>
      <c r="CF402" s="93" t="str">
        <f t="shared" si="36"/>
        <v>NA</v>
      </c>
      <c r="CG402" s="97" t="str">
        <f t="shared" si="37"/>
        <v>#N/A</v>
      </c>
      <c r="CH402" s="98" t="str">
        <f t="shared" si="38"/>
        <v>#N/A</v>
      </c>
      <c r="CI402" s="99" t="str">
        <f t="shared" si="39"/>
        <v>#N/A</v>
      </c>
      <c r="CJ402" s="126" t="str">
        <f t="shared" si="40"/>
        <v>ERROR: check cell</v>
      </c>
      <c r="CK402" s="126"/>
      <c r="CL402" s="127" t="str">
        <f t="shared" si="41"/>
        <v>#DIV/0!</v>
      </c>
      <c r="CM402" s="128" t="str">
        <f t="shared" si="42"/>
        <v>#DIV/0!</v>
      </c>
      <c r="CN402" s="128">
        <f t="shared" si="43"/>
        <v>4</v>
      </c>
      <c r="CO402" s="129">
        <f t="shared" si="44"/>
        <v>4</v>
      </c>
      <c r="CP402" s="129" t="str">
        <f>IFS(C402=Preferences!B$13,B402,B402=Preferences!B$13,C402)</f>
        <v>#N/A</v>
      </c>
    </row>
    <row r="403" ht="13.5" customHeight="1">
      <c r="A403" s="63" t="str">
        <f t="shared" si="45"/>
        <v/>
      </c>
      <c r="B403" s="64"/>
      <c r="C403" s="64"/>
      <c r="D403" s="64"/>
      <c r="E403" s="65"/>
      <c r="F403" s="65"/>
      <c r="G403" s="65"/>
      <c r="H403" s="66"/>
      <c r="I403" s="66"/>
      <c r="J403" s="67"/>
      <c r="K403" s="68"/>
      <c r="L403" s="104"/>
      <c r="M403" s="104"/>
      <c r="N403" s="104"/>
      <c r="O403" s="104"/>
      <c r="P403" s="107" t="str">
        <f t="shared" si="1"/>
        <v/>
      </c>
      <c r="Q403" s="108" t="str">
        <f>IFERROR(IF(AND(Preferences!B$3="Manual",OR(AX403/AW403&gt;G403/F403,BD403="Serious",BD403="Very serious")),"Assess imprecision",IFS(ISBLANK(E403),"",AND(Preferences!B$3="Automatic", G403/F403&gt;=30),"Extremely serious",AND(H403&lt;=$D$1*-1,J403&lt;0,G403/F403&lt;3),"Not serious",AND(H403&lt;=$D$1*-1,J403&lt;0,G403/F403&gt;=3),"Very serious",AND(H403&gt;=$D$1,I403&gt;0,G403/F403&lt;3),"Not serious",AND(H403&gt;=$D$1,I403&gt;0,G403/F403&gt;=3),"Very serious",AND(H403&lt;=$D$1*-1,J403&gt;0,I403&gt;$D$2*-1,G403/F403&lt;3),"Serious", AND(H403&lt;=$D$1*-1,J403&gt;0,I403&lt;$D$2*-1,G403/F403&lt;3),"Very serious", AND(H403&gt;=$D$1,I403&lt;0,J403&lt;$D$2,G403/F403&lt;3),"Serious",AND(H403&gt;=$D$1,I403&lt;0,J403&gt;$D$2,G403/F403&lt;3),"Very serious", AND(H403&lt;=$D$1*-1,J403&gt;0,I403&gt;$D$2*-1,G403/F403&gt;=3),"Very serious", AND(H403&lt;=$D$1*-1,J403&gt;0,I403&lt;$D$2*-1,G403/F403&gt;=3),"Very serious", AND(H403&gt;=$D$1,I403&lt;0,J403&lt;$D$2,G403/F403&gt;=3),"Very serious", AND(H403&gt;=$D$1,I403&lt;0,J403&gt;$D$2,G403/F403&gt;=3),"Very serious", AND(H403&gt;$D$1*-1,H403&lt;$D$1,I403&gt;$D$1*-1,J403&lt;$D$1,G403/F403&lt;3),"Not serious", AND(H403&gt;$D$1*-1,H403&lt;$D$1,OR(I403&lt;=$D$1*-1,J403&gt;=$D$1),I403&gt;$D$2*-1,J403&lt;$D$2,G403/F403&lt;3),"Serious", AND(H403&gt;$D$1*-1,H403&lt;$D$1,OR(I403&lt;=$D$2*-1,J403&gt;=$D$2),G403/F403&lt;3),"Very serious", AND(H403&gt;$D$1*-1,H403&lt;$D$1,I403&gt;$D$1*-1,J403&lt;$D$1,G403/F403&gt;=3),"Very serious", AND(H403&gt;$D$1*-1,H403&lt;$D$1,OR(I403&lt;=$D$1*-1,J403&gt;=$D$1),I403&gt;$D$2*-1,J403&lt;$D$2,G403/F403&gt;=3),"Very serious", AND(H403&gt;$D$1*-1,H403&lt;$D$1,OR(I403&lt;=$D$2*-1,J403&gt;=$D$2),G403/F403&gt;=3),"Very serious")),"")</f>
        <v/>
      </c>
      <c r="R403" s="109" t="str">
        <f t="shared" si="47"/>
        <v/>
      </c>
      <c r="S403" s="64"/>
      <c r="T403" s="72"/>
      <c r="U403" s="72"/>
      <c r="V403" s="72"/>
      <c r="W403" s="73"/>
      <c r="X403" s="73"/>
      <c r="Y403" s="74"/>
      <c r="Z403" s="113" t="str">
        <f t="array" ref="Z403">INDEX($A$1:$C$500, MATCH(1,($B:$B=$B403)*($C:$C=$AB403),0),1)</f>
        <v/>
      </c>
      <c r="AA403" s="113" t="str">
        <f t="array" ref="AA403">INDEX($A$1:$C$500, MATCH(1,($B:$B=$AB403)*($C:$C=$B403),0),1)</f>
        <v/>
      </c>
      <c r="AB403" s="111"/>
      <c r="AC403" s="114" t="str">
        <f t="shared" si="2"/>
        <v/>
      </c>
      <c r="AD403" s="115" t="str">
        <f t="shared" si="3"/>
        <v/>
      </c>
      <c r="AE403" s="116" t="str">
        <f t="array" ref="AE403">INDEX($A$1:$C$500, MATCH(1,($B:$B=$AB403)*($C:$C=$AG403),0),1)</f>
        <v/>
      </c>
      <c r="AF403" s="116" t="str">
        <f t="array" ref="AF403">INDEX($A$1:$C$500, MATCH(1,($B:$B=$AG403)*($C:$C=$AB403),0),1)</f>
        <v/>
      </c>
      <c r="AG403" s="72"/>
      <c r="AH403" s="114" t="str">
        <f t="shared" si="4"/>
        <v/>
      </c>
      <c r="AI403" s="115" t="str">
        <f t="shared" si="5"/>
        <v/>
      </c>
      <c r="AJ403" s="116" t="str">
        <f t="array" ref="AJ403">INDEX($A$1:$C$500, MATCH(1,($B:$B=$C403)*($C:$C=$AG403),0),1)</f>
        <v/>
      </c>
      <c r="AK403" s="116" t="str">
        <f t="array" ref="AK403">INDEX($A$1:$C$500, MATCH(1,($B:$B=$AG403)*($C:$C=$C403),0),1)</f>
        <v/>
      </c>
      <c r="AL403" s="116" t="str">
        <f t="array" ref="AL403">INDEX($A$1:$C$500, MATCH(1,($B:$B=$C403)*($C:$C=$AB403),0),1)</f>
        <v/>
      </c>
      <c r="AM403" s="116" t="str">
        <f t="array" ref="AM403">INDEX($A$1:$C$500, MATCH(1,($B:$B=$AB403)*($C:$C=$C403),0),1)</f>
        <v/>
      </c>
      <c r="AN403" s="114" t="str">
        <f t="array" ref="AN403">IFS(ISNUMBER(AJ403),AJ403,ISNUMBER(AK403),AK403,ISNUMBER(AL403),AL403,ISNUMBER(AM403),AM403)</f>
        <v>#N/A</v>
      </c>
      <c r="AO403" s="115" t="str">
        <f t="shared" si="6"/>
        <v/>
      </c>
      <c r="AP403" s="115" t="str">
        <f t="shared" si="7"/>
        <v/>
      </c>
      <c r="AQ403" s="111"/>
      <c r="AR403" s="109" t="str">
        <f t="shared" si="8"/>
        <v/>
      </c>
      <c r="AS403" s="72" t="str">
        <f>IFERROR(IF(AND(Preferences!B$3="Manual",OR(AX403/AW403&gt;V403/U403,BD403="Serious",BD403="Very serious")),"Assess imprecision",IFERROR(IFS(AND(Preferences!B$3="Automatic",V403/U403&gt;=30),"Extremely serious",AND(W403&lt;=$D$1*-1,Y403&lt;0,V403/U403&lt;3),"Not Serious",AND(W403&lt;=$D$1*-1,Y403&lt;0,V403/U403&gt;=3),"Very serious",AND(W403&gt;=$D$1,X403&gt;0,V403/U403&lt;3),"Not Serious",AND(W403&gt;=$D$1,X403&gt;0,V403/U403&gt;=3),"Very serious",AND(W403&lt;=$D$1*-1,Y403&gt;0,X403&gt;$D$2*-1,V403/U403&lt;3),"Serious", AND(W403&lt;=$D$1*-1,Y403&gt;0,X403&lt;$D$2*-1,V403/U403&lt;3),"Very serious", AND(W403&gt;=$D$1,X403&lt;0,Y403&lt;$D$2,V403/U403&lt;3),"Serious",AND(W403&gt;=$D$1,X403&lt;0,Y403&gt;$D$2,V403/U403&lt;3),"Very serious", AND(W403&lt;=$D$1*-1,Y403&gt;0,X403&gt;$D$2*-1,V403/U403&gt;=3),"Very serious", AND(W403&lt;=$D$1*-1,Y403&gt;0,X403&lt;$D$2*-1,V403/U403&gt;=3),"Very serious", AND(W403&gt;=$D$1,X403&lt;0,Y403&lt;$D$2,V403/U403&gt;=3),"Very serious", AND(W403&gt;=$D$1,X403&lt;0,Y403&gt;$D$2,V403/U403&gt;=3),"Very serious", AND(W403&gt;$D$1*-1,W403&lt;$D$1,X403&gt;$D$1*-1,Y403&lt;$D$1,V403/U403&lt;3),"Not Serious", AND(W403&gt;$D$1*-1,W403&lt;$D$1,OR(X403&lt;=$D$1*-1,Y403&gt;=$D$1),X403&gt;$D$2*-1,Y403&lt;$D$2,V403/U403&lt;3),"Serious", AND(W403&gt;$D$1*-1,W403&lt;$D$1,OR(X403&lt;=$D$2*-1,Y403&gt;=$D$2),V403/U403&lt;3),"Very serious", AND(W403&gt;$D$1*-1,W403&lt;$D$1,X403&gt;$D$1*-1,Y403&lt;$D$1,V403/U403&gt;=3),"Very serious", AND(W403&gt;$D$1*-1,W403&lt;$D$1,OR(X403&lt;=$D$1*-1,Y403&gt;=$D$1),X403&gt;$D$2*-1,Y403&lt;$D$2,V403/U403&gt;=3),"Very serious", AND(W403&gt;$D$1*-1,W403&lt;$D$1,OR(X403&lt;=$D$2*-1,Y403&gt;=$D$2),V403/U403&gt;=3),"Very serious"),"")),"")</f>
        <v/>
      </c>
      <c r="AT403" s="109" t="str">
        <f t="shared" si="9"/>
        <v/>
      </c>
      <c r="AU403" s="64"/>
      <c r="AV403" s="83"/>
      <c r="AW403" s="83"/>
      <c r="AX403" s="83"/>
      <c r="AY403" s="83"/>
      <c r="AZ403" s="83"/>
      <c r="BA403" s="85"/>
      <c r="BB403" s="86" t="str">
        <f>IF(Preferences!B$9="Manual","",IFS(ISBLANK(B403),"",AND(ISNUMBER(E403)=TRUE,ISNUMBER(T403)=FALSE),"Direct", AND(ISNUMBER(E403)=FALSE,ISNUMBER(T403)=TRUE),"Indirect", CN403=4,"Direct",AND(CL403=FALSE, CM403=TRUE,CN403-CO403&gt;-1),"Direct", AND(CL403=FALSE,CM403=TRUE, CN403-CO403&lt;0),"Check algorithm in appendix 2", AND(CL403=TRUE, CM403=FALSE,CN403-CO403&gt;0),"Check algorithm in appendix 2", AND(CL403=TRUE, CM403=FALSE,CN403-CO403=0),"Indirect", AND(CL403=TRUE, CM403=FALSE,CN403-CO403&lt;0),"Indirect", AND(CL403=FALSE,CM403=FALSE,CN403-CO403&gt;-1),"Direct", AND(CL403=FALSE,CM403=FALSE,CN403-CO403&lt;0),"Check algorithm in appendix 2", AND(CL403=TRUE,CM403=TRUE,CN403-CO403&gt;-1),"Direct", AND(CL403=TRUE,CM403=TRUE,CN403-CO403&lt;0),"Check algorithm in appendix 2"))</f>
        <v/>
      </c>
      <c r="BC403" s="120" t="str">
        <f t="shared" si="10"/>
        <v/>
      </c>
      <c r="BD403" s="140"/>
      <c r="BE403" s="122" t="str">
        <f>IF(Preferences!B$3="Manual","", IFERROR(IFS(AND(Preferences!B$3="Automatic",AX403/AW403&gt;=30),"Extremely serious",AND(AY403&lt;=$D$1*-1,BA403&lt;0,AX403/AW403&lt;3),"Not Serious",AND(AY403&lt;=$D$1*-1,BA403&lt;0,AX403/AW403&gt;=3),"Very serious",AND(AY403&gt;=$D$1,AZ403&gt;0,AX403/AW403&lt;3),"Not Serious",AND(AY403&gt;=$D$1,AZ403&gt;0,AX403/AW403&gt;=3),"Very serious",AND(AY403&lt;=$D$1*-1,BA403&gt;0,AZ403&gt;$D$2*-1,AX403/AW403&lt;3),"Serious", AND(AY403&lt;=$D$1*-1,BA403&gt;0,AZ403&lt;$D$2*-1,AX403/AW403&lt;3),"Very serious", AND(AY403&gt;=$D$1,AZ403&lt;0,BA403&lt;$D$2,AX403/AW403&lt;3),"Serious",AND(AY403&gt;=$D$1,AZ403&lt;0,BA403&gt;$D$2,AX403/AW403&lt;3),"Very serious", AND(AY403&lt;=$D$1*-1,BA403&gt;0,AZ403&gt;$D$2*-1,AX403/AW403&gt;=3),"Very serious", AND(AY403&lt;=$D$1*-1,BA403&gt;0,AZ403&lt;$D$2*-1,AX403/AW403&gt;=3),"Very serious", AND(AY403&gt;=$D$1,AZ403&lt;0,BA403&lt;$D$2,AX403/AW403&gt;=3),"Very serious", AND(AY403&gt;=$D$1,AZ403&lt;0,BA403&gt;$D$2,AX403/AW403&gt;=3),"Very serious", AND(AY403&gt;$D$1*-1,AY403&lt;$D$1,AZ403&gt;$D$1*-1,BA403&lt;$D$1,AX403/AW403&lt;3),"Not Serious", AND(AY403&gt;$D$1*-1,AY403&lt;$D$1,OR(AZ403&lt;=$D$1*-1,BA403&gt;=$D$1),AZ403&gt;$D$2*-1,BA403&lt;$D$2,AX403/AW403&lt;3),"Serious", AND(AY403&gt;$D$1*-1,AY403&lt;$D$1,OR(AZ403&lt;=$D$2*-1,BA403&gt;=$D$2),AX403/AW403&lt;3),"Very serious", AND(AY403&gt;$D$1*-1,AY403&lt;$D$1,AZ403&gt;$D$1*-1,BA403&lt;$D$1,AX403/AW403&gt;=3),"Very serious", AND(AY403&gt;$D$1*-1,AY403&lt;$D$1,OR(AZ403&lt;=$D$1*-1,BA403&gt;=$D$1),AZ403&gt;$D$2*-1,BA403&lt;$D$2,AX403/AW403&gt;=3),"Very serious", AND(AY403&gt;$D$1*-1,AY403&lt;$D$1,OR(AZ403&lt;=$D$2*-1,BA403&gt;=$D$2),AX403/AW403&gt;=3),"Very serious"),""))</f>
        <v/>
      </c>
      <c r="BF403" s="107" t="str">
        <f t="shared" si="11"/>
        <v/>
      </c>
      <c r="BG403" s="94" t="str">
        <f t="shared" si="46"/>
        <v/>
      </c>
      <c r="BH403" s="64" t="str">
        <f t="shared" si="12"/>
        <v>#N/A</v>
      </c>
      <c r="BI403" s="64" t="str">
        <f t="shared" si="13"/>
        <v/>
      </c>
      <c r="BJ403" s="123" t="str">
        <f t="shared" si="14"/>
        <v>#N/A</v>
      </c>
      <c r="BK403" s="64" t="str">
        <f t="shared" si="50"/>
        <v>YES</v>
      </c>
      <c r="BL403" s="64" t="str">
        <f t="shared" si="16"/>
        <v>YES</v>
      </c>
      <c r="BM403" s="64" t="str">
        <f t="shared" si="17"/>
        <v>YES</v>
      </c>
      <c r="BN403" s="124" t="str">
        <f t="shared" si="18"/>
        <v/>
      </c>
      <c r="BO403" s="91" t="str">
        <f t="shared" si="19"/>
        <v/>
      </c>
      <c r="BP403" s="91" t="str">
        <f t="shared" si="20"/>
        <v>#N/A</v>
      </c>
      <c r="BQ403" s="91" t="str">
        <f t="shared" si="21"/>
        <v/>
      </c>
      <c r="BR403" s="93" t="str">
        <f t="shared" si="22"/>
        <v/>
      </c>
      <c r="BS403" s="90" t="str">
        <f t="shared" si="23"/>
        <v/>
      </c>
      <c r="BT403" s="93" t="str">
        <f t="shared" si="24"/>
        <v>NA</v>
      </c>
      <c r="BU403" s="125" t="str">
        <f t="shared" si="25"/>
        <v>#N/A</v>
      </c>
      <c r="BV403" s="93" t="str">
        <f t="shared" si="26"/>
        <v/>
      </c>
      <c r="BW403" s="93" t="str">
        <f t="shared" si="27"/>
        <v/>
      </c>
      <c r="BX403" s="93" t="str">
        <f t="shared" si="28"/>
        <v>NA</v>
      </c>
      <c r="BY403" s="95" t="str">
        <f t="shared" si="29"/>
        <v>#N/A</v>
      </c>
      <c r="BZ403" s="93" t="str">
        <f t="shared" si="30"/>
        <v/>
      </c>
      <c r="CA403" s="93" t="str">
        <f t="shared" si="31"/>
        <v/>
      </c>
      <c r="CB403" s="93" t="str">
        <f t="shared" si="32"/>
        <v>NA</v>
      </c>
      <c r="CC403" s="96" t="str">
        <f t="shared" si="33"/>
        <v>#N/A</v>
      </c>
      <c r="CD403" s="93" t="str">
        <f t="shared" si="34"/>
        <v/>
      </c>
      <c r="CE403" s="93" t="str">
        <f t="shared" si="35"/>
        <v/>
      </c>
      <c r="CF403" s="93" t="str">
        <f t="shared" si="36"/>
        <v>NA</v>
      </c>
      <c r="CG403" s="97" t="str">
        <f t="shared" si="37"/>
        <v>#N/A</v>
      </c>
      <c r="CH403" s="98" t="str">
        <f t="shared" si="38"/>
        <v>#N/A</v>
      </c>
      <c r="CI403" s="99" t="str">
        <f t="shared" si="39"/>
        <v>#N/A</v>
      </c>
      <c r="CJ403" s="126" t="str">
        <f t="shared" si="40"/>
        <v>ERROR: check cell</v>
      </c>
      <c r="CK403" s="126"/>
      <c r="CL403" s="127" t="str">
        <f t="shared" si="41"/>
        <v>#DIV/0!</v>
      </c>
      <c r="CM403" s="128" t="str">
        <f t="shared" si="42"/>
        <v>#DIV/0!</v>
      </c>
      <c r="CN403" s="128">
        <f t="shared" si="43"/>
        <v>4</v>
      </c>
      <c r="CO403" s="129">
        <f t="shared" si="44"/>
        <v>4</v>
      </c>
      <c r="CP403" s="129" t="str">
        <f>IFS(C403=Preferences!B$13,B403,B403=Preferences!B$13,C403)</f>
        <v>#N/A</v>
      </c>
    </row>
    <row r="404" ht="13.5" customHeight="1">
      <c r="A404" s="63" t="str">
        <f t="shared" si="45"/>
        <v/>
      </c>
      <c r="B404" s="64"/>
      <c r="C404" s="64"/>
      <c r="D404" s="64"/>
      <c r="E404" s="65"/>
      <c r="F404" s="65"/>
      <c r="G404" s="65"/>
      <c r="H404" s="66"/>
      <c r="I404" s="66"/>
      <c r="J404" s="67"/>
      <c r="K404" s="68"/>
      <c r="L404" s="104"/>
      <c r="M404" s="104"/>
      <c r="N404" s="104"/>
      <c r="O404" s="104"/>
      <c r="P404" s="107" t="str">
        <f t="shared" si="1"/>
        <v/>
      </c>
      <c r="Q404" s="108" t="str">
        <f>IFERROR(IF(AND(Preferences!B$3="Manual",OR(AX404/AW404&gt;G404/F404,BD404="Serious",BD404="Very serious")),"Assess imprecision",IFS(ISBLANK(E404),"",AND(Preferences!B$3="Automatic", G404/F404&gt;=30),"Extremely serious",AND(H404&lt;=$D$1*-1,J404&lt;0,G404/F404&lt;3),"Not serious",AND(H404&lt;=$D$1*-1,J404&lt;0,G404/F404&gt;=3),"Very serious",AND(H404&gt;=$D$1,I404&gt;0,G404/F404&lt;3),"Not serious",AND(H404&gt;=$D$1,I404&gt;0,G404/F404&gt;=3),"Very serious",AND(H404&lt;=$D$1*-1,J404&gt;0,I404&gt;$D$2*-1,G404/F404&lt;3),"Serious", AND(H404&lt;=$D$1*-1,J404&gt;0,I404&lt;$D$2*-1,G404/F404&lt;3),"Very serious", AND(H404&gt;=$D$1,I404&lt;0,J404&lt;$D$2,G404/F404&lt;3),"Serious",AND(H404&gt;=$D$1,I404&lt;0,J404&gt;$D$2,G404/F404&lt;3),"Very serious", AND(H404&lt;=$D$1*-1,J404&gt;0,I404&gt;$D$2*-1,G404/F404&gt;=3),"Very serious", AND(H404&lt;=$D$1*-1,J404&gt;0,I404&lt;$D$2*-1,G404/F404&gt;=3),"Very serious", AND(H404&gt;=$D$1,I404&lt;0,J404&lt;$D$2,G404/F404&gt;=3),"Very serious", AND(H404&gt;=$D$1,I404&lt;0,J404&gt;$D$2,G404/F404&gt;=3),"Very serious", AND(H404&gt;$D$1*-1,H404&lt;$D$1,I404&gt;$D$1*-1,J404&lt;$D$1,G404/F404&lt;3),"Not serious", AND(H404&gt;$D$1*-1,H404&lt;$D$1,OR(I404&lt;=$D$1*-1,J404&gt;=$D$1),I404&gt;$D$2*-1,J404&lt;$D$2,G404/F404&lt;3),"Serious", AND(H404&gt;$D$1*-1,H404&lt;$D$1,OR(I404&lt;=$D$2*-1,J404&gt;=$D$2),G404/F404&lt;3),"Very serious", AND(H404&gt;$D$1*-1,H404&lt;$D$1,I404&gt;$D$1*-1,J404&lt;$D$1,G404/F404&gt;=3),"Very serious", AND(H404&gt;$D$1*-1,H404&lt;$D$1,OR(I404&lt;=$D$1*-1,J404&gt;=$D$1),I404&gt;$D$2*-1,J404&lt;$D$2,G404/F404&gt;=3),"Very serious", AND(H404&gt;$D$1*-1,H404&lt;$D$1,OR(I404&lt;=$D$2*-1,J404&gt;=$D$2),G404/F404&gt;=3),"Very serious")),"")</f>
        <v/>
      </c>
      <c r="R404" s="109" t="str">
        <f t="shared" si="47"/>
        <v/>
      </c>
      <c r="S404" s="64"/>
      <c r="T404" s="72"/>
      <c r="U404" s="72"/>
      <c r="V404" s="72"/>
      <c r="W404" s="73"/>
      <c r="X404" s="73"/>
      <c r="Y404" s="74"/>
      <c r="Z404" s="113" t="str">
        <f t="array" ref="Z404">INDEX($A$1:$C$500, MATCH(1,($B:$B=$B404)*($C:$C=$AB404),0),1)</f>
        <v/>
      </c>
      <c r="AA404" s="113" t="str">
        <f t="array" ref="AA404">INDEX($A$1:$C$500, MATCH(1,($B:$B=$AB404)*($C:$C=$B404),0),1)</f>
        <v/>
      </c>
      <c r="AB404" s="111"/>
      <c r="AC404" s="114" t="str">
        <f t="shared" si="2"/>
        <v/>
      </c>
      <c r="AD404" s="115" t="str">
        <f t="shared" si="3"/>
        <v/>
      </c>
      <c r="AE404" s="116" t="str">
        <f t="array" ref="AE404">INDEX($A$1:$C$500, MATCH(1,($B:$B=$AB404)*($C:$C=$AG404),0),1)</f>
        <v/>
      </c>
      <c r="AF404" s="116" t="str">
        <f t="array" ref="AF404">INDEX($A$1:$C$500, MATCH(1,($B:$B=$AG404)*($C:$C=$AB404),0),1)</f>
        <v/>
      </c>
      <c r="AG404" s="72"/>
      <c r="AH404" s="114" t="str">
        <f t="shared" si="4"/>
        <v/>
      </c>
      <c r="AI404" s="115" t="str">
        <f t="shared" si="5"/>
        <v/>
      </c>
      <c r="AJ404" s="116" t="str">
        <f t="array" ref="AJ404">INDEX($A$1:$C$500, MATCH(1,($B:$B=$C404)*($C:$C=$AG404),0),1)</f>
        <v/>
      </c>
      <c r="AK404" s="116" t="str">
        <f t="array" ref="AK404">INDEX($A$1:$C$500, MATCH(1,($B:$B=$AG404)*($C:$C=$C404),0),1)</f>
        <v/>
      </c>
      <c r="AL404" s="116" t="str">
        <f t="array" ref="AL404">INDEX($A$1:$C$500, MATCH(1,($B:$B=$C404)*($C:$C=$AB404),0),1)</f>
        <v/>
      </c>
      <c r="AM404" s="116" t="str">
        <f t="array" ref="AM404">INDEX($A$1:$C$500, MATCH(1,($B:$B=$AB404)*($C:$C=$C404),0),1)</f>
        <v/>
      </c>
      <c r="AN404" s="114" t="str">
        <f t="array" ref="AN404">IFS(ISNUMBER(AJ404),AJ404,ISNUMBER(AK404),AK404,ISNUMBER(AL404),AL404,ISNUMBER(AM404),AM404)</f>
        <v>#N/A</v>
      </c>
      <c r="AO404" s="115" t="str">
        <f t="shared" si="6"/>
        <v/>
      </c>
      <c r="AP404" s="115" t="str">
        <f t="shared" si="7"/>
        <v/>
      </c>
      <c r="AQ404" s="111"/>
      <c r="AR404" s="109" t="str">
        <f t="shared" si="8"/>
        <v/>
      </c>
      <c r="AS404" s="72" t="str">
        <f>IFERROR(IF(AND(Preferences!B$3="Manual",OR(AX404/AW404&gt;V404/U404,BD404="Serious",BD404="Very serious")),"Assess imprecision",IFERROR(IFS(AND(Preferences!B$3="Automatic",V404/U404&gt;=30),"Extremely serious",AND(W404&lt;=$D$1*-1,Y404&lt;0,V404/U404&lt;3),"Not Serious",AND(W404&lt;=$D$1*-1,Y404&lt;0,V404/U404&gt;=3),"Very serious",AND(W404&gt;=$D$1,X404&gt;0,V404/U404&lt;3),"Not Serious",AND(W404&gt;=$D$1,X404&gt;0,V404/U404&gt;=3),"Very serious",AND(W404&lt;=$D$1*-1,Y404&gt;0,X404&gt;$D$2*-1,V404/U404&lt;3),"Serious", AND(W404&lt;=$D$1*-1,Y404&gt;0,X404&lt;$D$2*-1,V404/U404&lt;3),"Very serious", AND(W404&gt;=$D$1,X404&lt;0,Y404&lt;$D$2,V404/U404&lt;3),"Serious",AND(W404&gt;=$D$1,X404&lt;0,Y404&gt;$D$2,V404/U404&lt;3),"Very serious", AND(W404&lt;=$D$1*-1,Y404&gt;0,X404&gt;$D$2*-1,V404/U404&gt;=3),"Very serious", AND(W404&lt;=$D$1*-1,Y404&gt;0,X404&lt;$D$2*-1,V404/U404&gt;=3),"Very serious", AND(W404&gt;=$D$1,X404&lt;0,Y404&lt;$D$2,V404/U404&gt;=3),"Very serious", AND(W404&gt;=$D$1,X404&lt;0,Y404&gt;$D$2,V404/U404&gt;=3),"Very serious", AND(W404&gt;$D$1*-1,W404&lt;$D$1,X404&gt;$D$1*-1,Y404&lt;$D$1,V404/U404&lt;3),"Not Serious", AND(W404&gt;$D$1*-1,W404&lt;$D$1,OR(X404&lt;=$D$1*-1,Y404&gt;=$D$1),X404&gt;$D$2*-1,Y404&lt;$D$2,V404/U404&lt;3),"Serious", AND(W404&gt;$D$1*-1,W404&lt;$D$1,OR(X404&lt;=$D$2*-1,Y404&gt;=$D$2),V404/U404&lt;3),"Very serious", AND(W404&gt;$D$1*-1,W404&lt;$D$1,X404&gt;$D$1*-1,Y404&lt;$D$1,V404/U404&gt;=3),"Very serious", AND(W404&gt;$D$1*-1,W404&lt;$D$1,OR(X404&lt;=$D$1*-1,Y404&gt;=$D$1),X404&gt;$D$2*-1,Y404&lt;$D$2,V404/U404&gt;=3),"Very serious", AND(W404&gt;$D$1*-1,W404&lt;$D$1,OR(X404&lt;=$D$2*-1,Y404&gt;=$D$2),V404/U404&gt;=3),"Very serious"),"")),"")</f>
        <v/>
      </c>
      <c r="AT404" s="109" t="str">
        <f t="shared" si="9"/>
        <v/>
      </c>
      <c r="AU404" s="64"/>
      <c r="AV404" s="83"/>
      <c r="AW404" s="83"/>
      <c r="AX404" s="83"/>
      <c r="AY404" s="83"/>
      <c r="AZ404" s="83"/>
      <c r="BA404" s="85"/>
      <c r="BB404" s="86" t="str">
        <f>IF(Preferences!B$9="Manual","",IFS(ISBLANK(B404),"",AND(ISNUMBER(E404)=TRUE,ISNUMBER(T404)=FALSE),"Direct", AND(ISNUMBER(E404)=FALSE,ISNUMBER(T404)=TRUE),"Indirect", CN404=4,"Direct",AND(CL404=FALSE, CM404=TRUE,CN404-CO404&gt;-1),"Direct", AND(CL404=FALSE,CM404=TRUE, CN404-CO404&lt;0),"Check algorithm in appendix 2", AND(CL404=TRUE, CM404=FALSE,CN404-CO404&gt;0),"Check algorithm in appendix 2", AND(CL404=TRUE, CM404=FALSE,CN404-CO404=0),"Indirect", AND(CL404=TRUE, CM404=FALSE,CN404-CO404&lt;0),"Indirect", AND(CL404=FALSE,CM404=FALSE,CN404-CO404&gt;-1),"Direct", AND(CL404=FALSE,CM404=FALSE,CN404-CO404&lt;0),"Check algorithm in appendix 2", AND(CL404=TRUE,CM404=TRUE,CN404-CO404&gt;-1),"Direct", AND(CL404=TRUE,CM404=TRUE,CN404-CO404&lt;0),"Check algorithm in appendix 2"))</f>
        <v/>
      </c>
      <c r="BC404" s="120" t="str">
        <f t="shared" si="10"/>
        <v/>
      </c>
      <c r="BD404" s="140"/>
      <c r="BE404" s="122" t="str">
        <f>IF(Preferences!B$3="Manual","", IFERROR(IFS(AND(Preferences!B$3="Automatic",AX404/AW404&gt;=30),"Extremely serious",AND(AY404&lt;=$D$1*-1,BA404&lt;0,AX404/AW404&lt;3),"Not Serious",AND(AY404&lt;=$D$1*-1,BA404&lt;0,AX404/AW404&gt;=3),"Very serious",AND(AY404&gt;=$D$1,AZ404&gt;0,AX404/AW404&lt;3),"Not Serious",AND(AY404&gt;=$D$1,AZ404&gt;0,AX404/AW404&gt;=3),"Very serious",AND(AY404&lt;=$D$1*-1,BA404&gt;0,AZ404&gt;$D$2*-1,AX404/AW404&lt;3),"Serious", AND(AY404&lt;=$D$1*-1,BA404&gt;0,AZ404&lt;$D$2*-1,AX404/AW404&lt;3),"Very serious", AND(AY404&gt;=$D$1,AZ404&lt;0,BA404&lt;$D$2,AX404/AW404&lt;3),"Serious",AND(AY404&gt;=$D$1,AZ404&lt;0,BA404&gt;$D$2,AX404/AW404&lt;3),"Very serious", AND(AY404&lt;=$D$1*-1,BA404&gt;0,AZ404&gt;$D$2*-1,AX404/AW404&gt;=3),"Very serious", AND(AY404&lt;=$D$1*-1,BA404&gt;0,AZ404&lt;$D$2*-1,AX404/AW404&gt;=3),"Very serious", AND(AY404&gt;=$D$1,AZ404&lt;0,BA404&lt;$D$2,AX404/AW404&gt;=3),"Very serious", AND(AY404&gt;=$D$1,AZ404&lt;0,BA404&gt;$D$2,AX404/AW404&gt;=3),"Very serious", AND(AY404&gt;$D$1*-1,AY404&lt;$D$1,AZ404&gt;$D$1*-1,BA404&lt;$D$1,AX404/AW404&lt;3),"Not Serious", AND(AY404&gt;$D$1*-1,AY404&lt;$D$1,OR(AZ404&lt;=$D$1*-1,BA404&gt;=$D$1),AZ404&gt;$D$2*-1,BA404&lt;$D$2,AX404/AW404&lt;3),"Serious", AND(AY404&gt;$D$1*-1,AY404&lt;$D$1,OR(AZ404&lt;=$D$2*-1,BA404&gt;=$D$2),AX404/AW404&lt;3),"Very serious", AND(AY404&gt;$D$1*-1,AY404&lt;$D$1,AZ404&gt;$D$1*-1,BA404&lt;$D$1,AX404/AW404&gt;=3),"Very serious", AND(AY404&gt;$D$1*-1,AY404&lt;$D$1,OR(AZ404&lt;=$D$1*-1,BA404&gt;=$D$1),AZ404&gt;$D$2*-1,BA404&lt;$D$2,AX404/AW404&gt;=3),"Very serious", AND(AY404&gt;$D$1*-1,AY404&lt;$D$1,OR(AZ404&lt;=$D$2*-1,BA404&gt;=$D$2),AX404/AW404&gt;=3),"Very serious"),""))</f>
        <v/>
      </c>
      <c r="BF404" s="107" t="str">
        <f t="shared" si="11"/>
        <v/>
      </c>
      <c r="BG404" s="94" t="str">
        <f t="shared" si="46"/>
        <v/>
      </c>
      <c r="BH404" s="64" t="str">
        <f t="shared" si="12"/>
        <v>#N/A</v>
      </c>
      <c r="BI404" s="64" t="str">
        <f t="shared" si="13"/>
        <v/>
      </c>
      <c r="BJ404" s="123" t="str">
        <f t="shared" si="14"/>
        <v>#N/A</v>
      </c>
      <c r="BK404" s="64" t="str">
        <f t="shared" si="50"/>
        <v>YES</v>
      </c>
      <c r="BL404" s="64" t="str">
        <f t="shared" si="16"/>
        <v>YES</v>
      </c>
      <c r="BM404" s="64" t="str">
        <f t="shared" si="17"/>
        <v>YES</v>
      </c>
      <c r="BN404" s="124" t="str">
        <f t="shared" si="18"/>
        <v/>
      </c>
      <c r="BO404" s="91" t="str">
        <f t="shared" si="19"/>
        <v/>
      </c>
      <c r="BP404" s="91" t="str">
        <f t="shared" si="20"/>
        <v>#N/A</v>
      </c>
      <c r="BQ404" s="91" t="str">
        <f t="shared" si="21"/>
        <v/>
      </c>
      <c r="BR404" s="93" t="str">
        <f t="shared" si="22"/>
        <v/>
      </c>
      <c r="BS404" s="90" t="str">
        <f t="shared" si="23"/>
        <v/>
      </c>
      <c r="BT404" s="93" t="str">
        <f t="shared" si="24"/>
        <v>NA</v>
      </c>
      <c r="BU404" s="125" t="str">
        <f t="shared" si="25"/>
        <v>#N/A</v>
      </c>
      <c r="BV404" s="93" t="str">
        <f t="shared" si="26"/>
        <v/>
      </c>
      <c r="BW404" s="93" t="str">
        <f t="shared" si="27"/>
        <v/>
      </c>
      <c r="BX404" s="93" t="str">
        <f t="shared" si="28"/>
        <v>NA</v>
      </c>
      <c r="BY404" s="95" t="str">
        <f t="shared" si="29"/>
        <v>#N/A</v>
      </c>
      <c r="BZ404" s="93" t="str">
        <f t="shared" si="30"/>
        <v/>
      </c>
      <c r="CA404" s="93" t="str">
        <f t="shared" si="31"/>
        <v/>
      </c>
      <c r="CB404" s="93" t="str">
        <f t="shared" si="32"/>
        <v>NA</v>
      </c>
      <c r="CC404" s="96" t="str">
        <f t="shared" si="33"/>
        <v>#N/A</v>
      </c>
      <c r="CD404" s="93" t="str">
        <f t="shared" si="34"/>
        <v/>
      </c>
      <c r="CE404" s="93" t="str">
        <f t="shared" si="35"/>
        <v/>
      </c>
      <c r="CF404" s="93" t="str">
        <f t="shared" si="36"/>
        <v>NA</v>
      </c>
      <c r="CG404" s="97" t="str">
        <f t="shared" si="37"/>
        <v>#N/A</v>
      </c>
      <c r="CH404" s="98" t="str">
        <f t="shared" si="38"/>
        <v>#N/A</v>
      </c>
      <c r="CI404" s="99" t="str">
        <f t="shared" si="39"/>
        <v>#N/A</v>
      </c>
      <c r="CJ404" s="126" t="str">
        <f t="shared" si="40"/>
        <v>ERROR: check cell</v>
      </c>
      <c r="CK404" s="126"/>
      <c r="CL404" s="127" t="str">
        <f t="shared" si="41"/>
        <v>#DIV/0!</v>
      </c>
      <c r="CM404" s="128" t="str">
        <f t="shared" si="42"/>
        <v>#DIV/0!</v>
      </c>
      <c r="CN404" s="128">
        <f t="shared" si="43"/>
        <v>4</v>
      </c>
      <c r="CO404" s="129">
        <f t="shared" si="44"/>
        <v>4</v>
      </c>
      <c r="CP404" s="129" t="str">
        <f>IFS(C404=Preferences!B$13,B404,B404=Preferences!B$13,C404)</f>
        <v>#N/A</v>
      </c>
    </row>
    <row r="405" ht="13.5" customHeight="1">
      <c r="A405" s="63" t="str">
        <f t="shared" si="45"/>
        <v/>
      </c>
      <c r="B405" s="64"/>
      <c r="C405" s="64"/>
      <c r="D405" s="64"/>
      <c r="E405" s="65"/>
      <c r="F405" s="65"/>
      <c r="G405" s="65"/>
      <c r="H405" s="66"/>
      <c r="I405" s="66"/>
      <c r="J405" s="67"/>
      <c r="K405" s="68"/>
      <c r="L405" s="104"/>
      <c r="M405" s="104"/>
      <c r="N405" s="104"/>
      <c r="O405" s="104"/>
      <c r="P405" s="107" t="str">
        <f t="shared" si="1"/>
        <v/>
      </c>
      <c r="Q405" s="108" t="str">
        <f>IFERROR(IF(AND(Preferences!B$3="Manual",OR(AX405/AW405&gt;G405/F405,BD405="Serious",BD405="Very serious")),"Assess imprecision",IFS(ISBLANK(E405),"",AND(Preferences!B$3="Automatic", G405/F405&gt;=30),"Extremely serious",AND(H405&lt;=$D$1*-1,J405&lt;0,G405/F405&lt;3),"Not serious",AND(H405&lt;=$D$1*-1,J405&lt;0,G405/F405&gt;=3),"Very serious",AND(H405&gt;=$D$1,I405&gt;0,G405/F405&lt;3),"Not serious",AND(H405&gt;=$D$1,I405&gt;0,G405/F405&gt;=3),"Very serious",AND(H405&lt;=$D$1*-1,J405&gt;0,I405&gt;$D$2*-1,G405/F405&lt;3),"Serious", AND(H405&lt;=$D$1*-1,J405&gt;0,I405&lt;$D$2*-1,G405/F405&lt;3),"Very serious", AND(H405&gt;=$D$1,I405&lt;0,J405&lt;$D$2,G405/F405&lt;3),"Serious",AND(H405&gt;=$D$1,I405&lt;0,J405&gt;$D$2,G405/F405&lt;3),"Very serious", AND(H405&lt;=$D$1*-1,J405&gt;0,I405&gt;$D$2*-1,G405/F405&gt;=3),"Very serious", AND(H405&lt;=$D$1*-1,J405&gt;0,I405&lt;$D$2*-1,G405/F405&gt;=3),"Very serious", AND(H405&gt;=$D$1,I405&lt;0,J405&lt;$D$2,G405/F405&gt;=3),"Very serious", AND(H405&gt;=$D$1,I405&lt;0,J405&gt;$D$2,G405/F405&gt;=3),"Very serious", AND(H405&gt;$D$1*-1,H405&lt;$D$1,I405&gt;$D$1*-1,J405&lt;$D$1,G405/F405&lt;3),"Not serious", AND(H405&gt;$D$1*-1,H405&lt;$D$1,OR(I405&lt;=$D$1*-1,J405&gt;=$D$1),I405&gt;$D$2*-1,J405&lt;$D$2,G405/F405&lt;3),"Serious", AND(H405&gt;$D$1*-1,H405&lt;$D$1,OR(I405&lt;=$D$2*-1,J405&gt;=$D$2),G405/F405&lt;3),"Very serious", AND(H405&gt;$D$1*-1,H405&lt;$D$1,I405&gt;$D$1*-1,J405&lt;$D$1,G405/F405&gt;=3),"Very serious", AND(H405&gt;$D$1*-1,H405&lt;$D$1,OR(I405&lt;=$D$1*-1,J405&gt;=$D$1),I405&gt;$D$2*-1,J405&lt;$D$2,G405/F405&gt;=3),"Very serious", AND(H405&gt;$D$1*-1,H405&lt;$D$1,OR(I405&lt;=$D$2*-1,J405&gt;=$D$2),G405/F405&gt;=3),"Very serious")),"")</f>
        <v/>
      </c>
      <c r="R405" s="109" t="str">
        <f t="shared" si="47"/>
        <v/>
      </c>
      <c r="S405" s="64"/>
      <c r="T405" s="72"/>
      <c r="U405" s="72"/>
      <c r="V405" s="72"/>
      <c r="W405" s="73"/>
      <c r="X405" s="73"/>
      <c r="Y405" s="74"/>
      <c r="Z405" s="113" t="str">
        <f t="array" ref="Z405">INDEX($A$1:$C$500, MATCH(1,($B:$B=$B405)*($C:$C=$AB405),0),1)</f>
        <v/>
      </c>
      <c r="AA405" s="113" t="str">
        <f t="array" ref="AA405">INDEX($A$1:$C$500, MATCH(1,($B:$B=$AB405)*($C:$C=$B405),0),1)</f>
        <v/>
      </c>
      <c r="AB405" s="111"/>
      <c r="AC405" s="114" t="str">
        <f t="shared" si="2"/>
        <v/>
      </c>
      <c r="AD405" s="115" t="str">
        <f t="shared" si="3"/>
        <v/>
      </c>
      <c r="AE405" s="116" t="str">
        <f t="array" ref="AE405">INDEX($A$1:$C$500, MATCH(1,($B:$B=$AB405)*($C:$C=$AG405),0),1)</f>
        <v/>
      </c>
      <c r="AF405" s="116" t="str">
        <f t="array" ref="AF405">INDEX($A$1:$C$500, MATCH(1,($B:$B=$AG405)*($C:$C=$AB405),0),1)</f>
        <v/>
      </c>
      <c r="AG405" s="72"/>
      <c r="AH405" s="114" t="str">
        <f t="shared" si="4"/>
        <v/>
      </c>
      <c r="AI405" s="115" t="str">
        <f t="shared" si="5"/>
        <v/>
      </c>
      <c r="AJ405" s="116" t="str">
        <f t="array" ref="AJ405">INDEX($A$1:$C$500, MATCH(1,($B:$B=$C405)*($C:$C=$AG405),0),1)</f>
        <v/>
      </c>
      <c r="AK405" s="116" t="str">
        <f t="array" ref="AK405">INDEX($A$1:$C$500, MATCH(1,($B:$B=$AG405)*($C:$C=$C405),0),1)</f>
        <v/>
      </c>
      <c r="AL405" s="116" t="str">
        <f t="array" ref="AL405">INDEX($A$1:$C$500, MATCH(1,($B:$B=$C405)*($C:$C=$AB405),0),1)</f>
        <v/>
      </c>
      <c r="AM405" s="116" t="str">
        <f t="array" ref="AM405">INDEX($A$1:$C$500, MATCH(1,($B:$B=$AB405)*($C:$C=$C405),0),1)</f>
        <v/>
      </c>
      <c r="AN405" s="114" t="str">
        <f t="array" ref="AN405">IFS(ISNUMBER(AJ405),AJ405,ISNUMBER(AK405),AK405,ISNUMBER(AL405),AL405,ISNUMBER(AM405),AM405)</f>
        <v>#N/A</v>
      </c>
      <c r="AO405" s="115" t="str">
        <f t="shared" si="6"/>
        <v/>
      </c>
      <c r="AP405" s="115" t="str">
        <f t="shared" si="7"/>
        <v/>
      </c>
      <c r="AQ405" s="111"/>
      <c r="AR405" s="109" t="str">
        <f t="shared" si="8"/>
        <v/>
      </c>
      <c r="AS405" s="72" t="str">
        <f>IFERROR(IF(AND(Preferences!B$3="Manual",OR(AX405/AW405&gt;V405/U405,BD405="Serious",BD405="Very serious")),"Assess imprecision",IFERROR(IFS(AND(Preferences!B$3="Automatic",V405/U405&gt;=30),"Extremely serious",AND(W405&lt;=$D$1*-1,Y405&lt;0,V405/U405&lt;3),"Not Serious",AND(W405&lt;=$D$1*-1,Y405&lt;0,V405/U405&gt;=3),"Very serious",AND(W405&gt;=$D$1,X405&gt;0,V405/U405&lt;3),"Not Serious",AND(W405&gt;=$D$1,X405&gt;0,V405/U405&gt;=3),"Very serious",AND(W405&lt;=$D$1*-1,Y405&gt;0,X405&gt;$D$2*-1,V405/U405&lt;3),"Serious", AND(W405&lt;=$D$1*-1,Y405&gt;0,X405&lt;$D$2*-1,V405/U405&lt;3),"Very serious", AND(W405&gt;=$D$1,X405&lt;0,Y405&lt;$D$2,V405/U405&lt;3),"Serious",AND(W405&gt;=$D$1,X405&lt;0,Y405&gt;$D$2,V405/U405&lt;3),"Very serious", AND(W405&lt;=$D$1*-1,Y405&gt;0,X405&gt;$D$2*-1,V405/U405&gt;=3),"Very serious", AND(W405&lt;=$D$1*-1,Y405&gt;0,X405&lt;$D$2*-1,V405/U405&gt;=3),"Very serious", AND(W405&gt;=$D$1,X405&lt;0,Y405&lt;$D$2,V405/U405&gt;=3),"Very serious", AND(W405&gt;=$D$1,X405&lt;0,Y405&gt;$D$2,V405/U405&gt;=3),"Very serious", AND(W405&gt;$D$1*-1,W405&lt;$D$1,X405&gt;$D$1*-1,Y405&lt;$D$1,V405/U405&lt;3),"Not Serious", AND(W405&gt;$D$1*-1,W405&lt;$D$1,OR(X405&lt;=$D$1*-1,Y405&gt;=$D$1),X405&gt;$D$2*-1,Y405&lt;$D$2,V405/U405&lt;3),"Serious", AND(W405&gt;$D$1*-1,W405&lt;$D$1,OR(X405&lt;=$D$2*-1,Y405&gt;=$D$2),V405/U405&lt;3),"Very serious", AND(W405&gt;$D$1*-1,W405&lt;$D$1,X405&gt;$D$1*-1,Y405&lt;$D$1,V405/U405&gt;=3),"Very serious", AND(W405&gt;$D$1*-1,W405&lt;$D$1,OR(X405&lt;=$D$1*-1,Y405&gt;=$D$1),X405&gt;$D$2*-1,Y405&lt;$D$2,V405/U405&gt;=3),"Very serious", AND(W405&gt;$D$1*-1,W405&lt;$D$1,OR(X405&lt;=$D$2*-1,Y405&gt;=$D$2),V405/U405&gt;=3),"Very serious"),"")),"")</f>
        <v/>
      </c>
      <c r="AT405" s="109" t="str">
        <f t="shared" si="9"/>
        <v/>
      </c>
      <c r="AU405" s="64"/>
      <c r="AV405" s="83"/>
      <c r="AW405" s="83"/>
      <c r="AX405" s="83"/>
      <c r="AY405" s="83"/>
      <c r="AZ405" s="83"/>
      <c r="BA405" s="85"/>
      <c r="BB405" s="86" t="str">
        <f>IF(Preferences!B$9="Manual","",IFS(ISBLANK(B405),"",AND(ISNUMBER(E405)=TRUE,ISNUMBER(T405)=FALSE),"Direct", AND(ISNUMBER(E405)=FALSE,ISNUMBER(T405)=TRUE),"Indirect", CN405=4,"Direct",AND(CL405=FALSE, CM405=TRUE,CN405-CO405&gt;-1),"Direct", AND(CL405=FALSE,CM405=TRUE, CN405-CO405&lt;0),"Check algorithm in appendix 2", AND(CL405=TRUE, CM405=FALSE,CN405-CO405&gt;0),"Check algorithm in appendix 2", AND(CL405=TRUE, CM405=FALSE,CN405-CO405=0),"Indirect", AND(CL405=TRUE, CM405=FALSE,CN405-CO405&lt;0),"Indirect", AND(CL405=FALSE,CM405=FALSE,CN405-CO405&gt;-1),"Direct", AND(CL405=FALSE,CM405=FALSE,CN405-CO405&lt;0),"Check algorithm in appendix 2", AND(CL405=TRUE,CM405=TRUE,CN405-CO405&gt;-1),"Direct", AND(CL405=TRUE,CM405=TRUE,CN405-CO405&lt;0),"Check algorithm in appendix 2"))</f>
        <v/>
      </c>
      <c r="BC405" s="120" t="str">
        <f t="shared" si="10"/>
        <v/>
      </c>
      <c r="BD405" s="140"/>
      <c r="BE405" s="122" t="str">
        <f>IF(Preferences!B$3="Manual","", IFERROR(IFS(AND(Preferences!B$3="Automatic",AX405/AW405&gt;=30),"Extremely serious",AND(AY405&lt;=$D$1*-1,BA405&lt;0,AX405/AW405&lt;3),"Not Serious",AND(AY405&lt;=$D$1*-1,BA405&lt;0,AX405/AW405&gt;=3),"Very serious",AND(AY405&gt;=$D$1,AZ405&gt;0,AX405/AW405&lt;3),"Not Serious",AND(AY405&gt;=$D$1,AZ405&gt;0,AX405/AW405&gt;=3),"Very serious",AND(AY405&lt;=$D$1*-1,BA405&gt;0,AZ405&gt;$D$2*-1,AX405/AW405&lt;3),"Serious", AND(AY405&lt;=$D$1*-1,BA405&gt;0,AZ405&lt;$D$2*-1,AX405/AW405&lt;3),"Very serious", AND(AY405&gt;=$D$1,AZ405&lt;0,BA405&lt;$D$2,AX405/AW405&lt;3),"Serious",AND(AY405&gt;=$D$1,AZ405&lt;0,BA405&gt;$D$2,AX405/AW405&lt;3),"Very serious", AND(AY405&lt;=$D$1*-1,BA405&gt;0,AZ405&gt;$D$2*-1,AX405/AW405&gt;=3),"Very serious", AND(AY405&lt;=$D$1*-1,BA405&gt;0,AZ405&lt;$D$2*-1,AX405/AW405&gt;=3),"Very serious", AND(AY405&gt;=$D$1,AZ405&lt;0,BA405&lt;$D$2,AX405/AW405&gt;=3),"Very serious", AND(AY405&gt;=$D$1,AZ405&lt;0,BA405&gt;$D$2,AX405/AW405&gt;=3),"Very serious", AND(AY405&gt;$D$1*-1,AY405&lt;$D$1,AZ405&gt;$D$1*-1,BA405&lt;$D$1,AX405/AW405&lt;3),"Not Serious", AND(AY405&gt;$D$1*-1,AY405&lt;$D$1,OR(AZ405&lt;=$D$1*-1,BA405&gt;=$D$1),AZ405&gt;$D$2*-1,BA405&lt;$D$2,AX405/AW405&lt;3),"Serious", AND(AY405&gt;$D$1*-1,AY405&lt;$D$1,OR(AZ405&lt;=$D$2*-1,BA405&gt;=$D$2),AX405/AW405&lt;3),"Very serious", AND(AY405&gt;$D$1*-1,AY405&lt;$D$1,AZ405&gt;$D$1*-1,BA405&lt;$D$1,AX405/AW405&gt;=3),"Very serious", AND(AY405&gt;$D$1*-1,AY405&lt;$D$1,OR(AZ405&lt;=$D$1*-1,BA405&gt;=$D$1),AZ405&gt;$D$2*-1,BA405&lt;$D$2,AX405/AW405&gt;=3),"Very serious", AND(AY405&gt;$D$1*-1,AY405&lt;$D$1,OR(AZ405&lt;=$D$2*-1,BA405&gt;=$D$2),AX405/AW405&gt;=3),"Very serious"),""))</f>
        <v/>
      </c>
      <c r="BF405" s="107" t="str">
        <f t="shared" si="11"/>
        <v/>
      </c>
      <c r="BG405" s="94" t="str">
        <f t="shared" si="46"/>
        <v/>
      </c>
      <c r="BH405" s="64" t="str">
        <f t="shared" si="12"/>
        <v>#N/A</v>
      </c>
      <c r="BI405" s="64" t="str">
        <f t="shared" si="13"/>
        <v/>
      </c>
      <c r="BJ405" s="123" t="str">
        <f t="shared" si="14"/>
        <v>#N/A</v>
      </c>
      <c r="BK405" s="64" t="str">
        <f t="shared" si="50"/>
        <v>YES</v>
      </c>
      <c r="BL405" s="64" t="str">
        <f t="shared" si="16"/>
        <v>YES</v>
      </c>
      <c r="BM405" s="64" t="str">
        <f t="shared" si="17"/>
        <v>YES</v>
      </c>
      <c r="BN405" s="124" t="str">
        <f t="shared" si="18"/>
        <v/>
      </c>
      <c r="BO405" s="91" t="str">
        <f t="shared" si="19"/>
        <v/>
      </c>
      <c r="BP405" s="91" t="str">
        <f t="shared" si="20"/>
        <v>#N/A</v>
      </c>
      <c r="BQ405" s="91" t="str">
        <f t="shared" si="21"/>
        <v/>
      </c>
      <c r="BR405" s="93" t="str">
        <f t="shared" si="22"/>
        <v/>
      </c>
      <c r="BS405" s="90" t="str">
        <f t="shared" si="23"/>
        <v/>
      </c>
      <c r="BT405" s="93" t="str">
        <f t="shared" si="24"/>
        <v>NA</v>
      </c>
      <c r="BU405" s="125" t="str">
        <f t="shared" si="25"/>
        <v>#N/A</v>
      </c>
      <c r="BV405" s="93" t="str">
        <f t="shared" si="26"/>
        <v/>
      </c>
      <c r="BW405" s="93" t="str">
        <f t="shared" si="27"/>
        <v/>
      </c>
      <c r="BX405" s="93" t="str">
        <f t="shared" si="28"/>
        <v>NA</v>
      </c>
      <c r="BY405" s="95" t="str">
        <f t="shared" si="29"/>
        <v>#N/A</v>
      </c>
      <c r="BZ405" s="93" t="str">
        <f t="shared" si="30"/>
        <v/>
      </c>
      <c r="CA405" s="93" t="str">
        <f t="shared" si="31"/>
        <v/>
      </c>
      <c r="CB405" s="93" t="str">
        <f t="shared" si="32"/>
        <v>NA</v>
      </c>
      <c r="CC405" s="96" t="str">
        <f t="shared" si="33"/>
        <v>#N/A</v>
      </c>
      <c r="CD405" s="93" t="str">
        <f t="shared" si="34"/>
        <v/>
      </c>
      <c r="CE405" s="93" t="str">
        <f t="shared" si="35"/>
        <v/>
      </c>
      <c r="CF405" s="93" t="str">
        <f t="shared" si="36"/>
        <v>NA</v>
      </c>
      <c r="CG405" s="97" t="str">
        <f t="shared" si="37"/>
        <v>#N/A</v>
      </c>
      <c r="CH405" s="98" t="str">
        <f t="shared" si="38"/>
        <v>#N/A</v>
      </c>
      <c r="CI405" s="99" t="str">
        <f t="shared" si="39"/>
        <v>#N/A</v>
      </c>
      <c r="CJ405" s="126" t="str">
        <f t="shared" si="40"/>
        <v>ERROR: check cell</v>
      </c>
      <c r="CK405" s="126"/>
      <c r="CL405" s="127" t="str">
        <f t="shared" si="41"/>
        <v>#DIV/0!</v>
      </c>
      <c r="CM405" s="128" t="str">
        <f t="shared" si="42"/>
        <v>#DIV/0!</v>
      </c>
      <c r="CN405" s="128">
        <f t="shared" si="43"/>
        <v>4</v>
      </c>
      <c r="CO405" s="129">
        <f t="shared" si="44"/>
        <v>4</v>
      </c>
      <c r="CP405" s="129" t="str">
        <f>IFS(C405=Preferences!B$13,B405,B405=Preferences!B$13,C405)</f>
        <v>#N/A</v>
      </c>
    </row>
    <row r="406" ht="13.5" customHeight="1">
      <c r="A406" s="63" t="str">
        <f t="shared" si="45"/>
        <v/>
      </c>
      <c r="B406" s="64"/>
      <c r="C406" s="64"/>
      <c r="D406" s="64"/>
      <c r="E406" s="65"/>
      <c r="F406" s="65"/>
      <c r="G406" s="65"/>
      <c r="H406" s="66"/>
      <c r="I406" s="66"/>
      <c r="J406" s="67"/>
      <c r="K406" s="68"/>
      <c r="L406" s="104"/>
      <c r="M406" s="104"/>
      <c r="N406" s="104"/>
      <c r="O406" s="104"/>
      <c r="P406" s="107" t="str">
        <f t="shared" si="1"/>
        <v/>
      </c>
      <c r="Q406" s="108" t="str">
        <f>IFERROR(IF(AND(Preferences!B$3="Manual",OR(AX406/AW406&gt;G406/F406,BD406="Serious",BD406="Very serious")),"Assess imprecision",IFS(ISBLANK(E406),"",AND(Preferences!B$3="Automatic", G406/F406&gt;=30),"Extremely serious",AND(H406&lt;=$D$1*-1,J406&lt;0,G406/F406&lt;3),"Not serious",AND(H406&lt;=$D$1*-1,J406&lt;0,G406/F406&gt;=3),"Very serious",AND(H406&gt;=$D$1,I406&gt;0,G406/F406&lt;3),"Not serious",AND(H406&gt;=$D$1,I406&gt;0,G406/F406&gt;=3),"Very serious",AND(H406&lt;=$D$1*-1,J406&gt;0,I406&gt;$D$2*-1,G406/F406&lt;3),"Serious", AND(H406&lt;=$D$1*-1,J406&gt;0,I406&lt;$D$2*-1,G406/F406&lt;3),"Very serious", AND(H406&gt;=$D$1,I406&lt;0,J406&lt;$D$2,G406/F406&lt;3),"Serious",AND(H406&gt;=$D$1,I406&lt;0,J406&gt;$D$2,G406/F406&lt;3),"Very serious", AND(H406&lt;=$D$1*-1,J406&gt;0,I406&gt;$D$2*-1,G406/F406&gt;=3),"Very serious", AND(H406&lt;=$D$1*-1,J406&gt;0,I406&lt;$D$2*-1,G406/F406&gt;=3),"Very serious", AND(H406&gt;=$D$1,I406&lt;0,J406&lt;$D$2,G406/F406&gt;=3),"Very serious", AND(H406&gt;=$D$1,I406&lt;0,J406&gt;$D$2,G406/F406&gt;=3),"Very serious", AND(H406&gt;$D$1*-1,H406&lt;$D$1,I406&gt;$D$1*-1,J406&lt;$D$1,G406/F406&lt;3),"Not serious", AND(H406&gt;$D$1*-1,H406&lt;$D$1,OR(I406&lt;=$D$1*-1,J406&gt;=$D$1),I406&gt;$D$2*-1,J406&lt;$D$2,G406/F406&lt;3),"Serious", AND(H406&gt;$D$1*-1,H406&lt;$D$1,OR(I406&lt;=$D$2*-1,J406&gt;=$D$2),G406/F406&lt;3),"Very serious", AND(H406&gt;$D$1*-1,H406&lt;$D$1,I406&gt;$D$1*-1,J406&lt;$D$1,G406/F406&gt;=3),"Very serious", AND(H406&gt;$D$1*-1,H406&lt;$D$1,OR(I406&lt;=$D$1*-1,J406&gt;=$D$1),I406&gt;$D$2*-1,J406&lt;$D$2,G406/F406&gt;=3),"Very serious", AND(H406&gt;$D$1*-1,H406&lt;$D$1,OR(I406&lt;=$D$2*-1,J406&gt;=$D$2),G406/F406&gt;=3),"Very serious")),"")</f>
        <v/>
      </c>
      <c r="R406" s="109" t="str">
        <f t="shared" si="47"/>
        <v/>
      </c>
      <c r="S406" s="64"/>
      <c r="T406" s="72"/>
      <c r="U406" s="72"/>
      <c r="V406" s="72"/>
      <c r="W406" s="73"/>
      <c r="X406" s="73"/>
      <c r="Y406" s="74"/>
      <c r="Z406" s="113" t="str">
        <f t="array" ref="Z406">INDEX($A$1:$C$500, MATCH(1,($B:$B=$B406)*($C:$C=$AB406),0),1)</f>
        <v/>
      </c>
      <c r="AA406" s="113" t="str">
        <f t="array" ref="AA406">INDEX($A$1:$C$500, MATCH(1,($B:$B=$AB406)*($C:$C=$B406),0),1)</f>
        <v/>
      </c>
      <c r="AB406" s="111"/>
      <c r="AC406" s="114" t="str">
        <f t="shared" si="2"/>
        <v/>
      </c>
      <c r="AD406" s="115" t="str">
        <f t="shared" si="3"/>
        <v/>
      </c>
      <c r="AE406" s="116" t="str">
        <f t="array" ref="AE406">INDEX($A$1:$C$500, MATCH(1,($B:$B=$AB406)*($C:$C=$AG406),0),1)</f>
        <v/>
      </c>
      <c r="AF406" s="116" t="str">
        <f t="array" ref="AF406">INDEX($A$1:$C$500, MATCH(1,($B:$B=$AG406)*($C:$C=$AB406),0),1)</f>
        <v/>
      </c>
      <c r="AG406" s="72"/>
      <c r="AH406" s="114" t="str">
        <f t="shared" si="4"/>
        <v/>
      </c>
      <c r="AI406" s="115" t="str">
        <f t="shared" si="5"/>
        <v/>
      </c>
      <c r="AJ406" s="116" t="str">
        <f t="array" ref="AJ406">INDEX($A$1:$C$500, MATCH(1,($B:$B=$C406)*($C:$C=$AG406),0),1)</f>
        <v/>
      </c>
      <c r="AK406" s="116" t="str">
        <f t="array" ref="AK406">INDEX($A$1:$C$500, MATCH(1,($B:$B=$AG406)*($C:$C=$C406),0),1)</f>
        <v/>
      </c>
      <c r="AL406" s="116" t="str">
        <f t="array" ref="AL406">INDEX($A$1:$C$500, MATCH(1,($B:$B=$C406)*($C:$C=$AB406),0),1)</f>
        <v/>
      </c>
      <c r="AM406" s="116" t="str">
        <f t="array" ref="AM406">INDEX($A$1:$C$500, MATCH(1,($B:$B=$AB406)*($C:$C=$C406),0),1)</f>
        <v/>
      </c>
      <c r="AN406" s="114" t="str">
        <f t="array" ref="AN406">IFS(ISNUMBER(AJ406),AJ406,ISNUMBER(AK406),AK406,ISNUMBER(AL406),AL406,ISNUMBER(AM406),AM406)</f>
        <v>#N/A</v>
      </c>
      <c r="AO406" s="115" t="str">
        <f t="shared" si="6"/>
        <v/>
      </c>
      <c r="AP406" s="115" t="str">
        <f t="shared" si="7"/>
        <v/>
      </c>
      <c r="AQ406" s="111"/>
      <c r="AR406" s="109" t="str">
        <f t="shared" si="8"/>
        <v/>
      </c>
      <c r="AS406" s="72" t="str">
        <f>IFERROR(IF(AND(Preferences!B$3="Manual",OR(AX406/AW406&gt;V406/U406,BD406="Serious",BD406="Very serious")),"Assess imprecision",IFERROR(IFS(AND(Preferences!B$3="Automatic",V406/U406&gt;=30),"Extremely serious",AND(W406&lt;=$D$1*-1,Y406&lt;0,V406/U406&lt;3),"Not Serious",AND(W406&lt;=$D$1*-1,Y406&lt;0,V406/U406&gt;=3),"Very serious",AND(W406&gt;=$D$1,X406&gt;0,V406/U406&lt;3),"Not Serious",AND(W406&gt;=$D$1,X406&gt;0,V406/U406&gt;=3),"Very serious",AND(W406&lt;=$D$1*-1,Y406&gt;0,X406&gt;$D$2*-1,V406/U406&lt;3),"Serious", AND(W406&lt;=$D$1*-1,Y406&gt;0,X406&lt;$D$2*-1,V406/U406&lt;3),"Very serious", AND(W406&gt;=$D$1,X406&lt;0,Y406&lt;$D$2,V406/U406&lt;3),"Serious",AND(W406&gt;=$D$1,X406&lt;0,Y406&gt;$D$2,V406/U406&lt;3),"Very serious", AND(W406&lt;=$D$1*-1,Y406&gt;0,X406&gt;$D$2*-1,V406/U406&gt;=3),"Very serious", AND(W406&lt;=$D$1*-1,Y406&gt;0,X406&lt;$D$2*-1,V406/U406&gt;=3),"Very serious", AND(W406&gt;=$D$1,X406&lt;0,Y406&lt;$D$2,V406/U406&gt;=3),"Very serious", AND(W406&gt;=$D$1,X406&lt;0,Y406&gt;$D$2,V406/U406&gt;=3),"Very serious", AND(W406&gt;$D$1*-1,W406&lt;$D$1,X406&gt;$D$1*-1,Y406&lt;$D$1,V406/U406&lt;3),"Not Serious", AND(W406&gt;$D$1*-1,W406&lt;$D$1,OR(X406&lt;=$D$1*-1,Y406&gt;=$D$1),X406&gt;$D$2*-1,Y406&lt;$D$2,V406/U406&lt;3),"Serious", AND(W406&gt;$D$1*-1,W406&lt;$D$1,OR(X406&lt;=$D$2*-1,Y406&gt;=$D$2),V406/U406&lt;3),"Very serious", AND(W406&gt;$D$1*-1,W406&lt;$D$1,X406&gt;$D$1*-1,Y406&lt;$D$1,V406/U406&gt;=3),"Very serious", AND(W406&gt;$D$1*-1,W406&lt;$D$1,OR(X406&lt;=$D$1*-1,Y406&gt;=$D$1),X406&gt;$D$2*-1,Y406&lt;$D$2,V406/U406&gt;=3),"Very serious", AND(W406&gt;$D$1*-1,W406&lt;$D$1,OR(X406&lt;=$D$2*-1,Y406&gt;=$D$2),V406/U406&gt;=3),"Very serious"),"")),"")</f>
        <v/>
      </c>
      <c r="AT406" s="109" t="str">
        <f t="shared" si="9"/>
        <v/>
      </c>
      <c r="AU406" s="64"/>
      <c r="AV406" s="83"/>
      <c r="AW406" s="83"/>
      <c r="AX406" s="83"/>
      <c r="AY406" s="83"/>
      <c r="AZ406" s="83"/>
      <c r="BA406" s="85"/>
      <c r="BB406" s="86" t="str">
        <f>IF(Preferences!B$9="Manual","",IFS(ISBLANK(B406),"",AND(ISNUMBER(E406)=TRUE,ISNUMBER(T406)=FALSE),"Direct", AND(ISNUMBER(E406)=FALSE,ISNUMBER(T406)=TRUE),"Indirect", CN406=4,"Direct",AND(CL406=FALSE, CM406=TRUE,CN406-CO406&gt;-1),"Direct", AND(CL406=FALSE,CM406=TRUE, CN406-CO406&lt;0),"Check algorithm in appendix 2", AND(CL406=TRUE, CM406=FALSE,CN406-CO406&gt;0),"Check algorithm in appendix 2", AND(CL406=TRUE, CM406=FALSE,CN406-CO406=0),"Indirect", AND(CL406=TRUE, CM406=FALSE,CN406-CO406&lt;0),"Indirect", AND(CL406=FALSE,CM406=FALSE,CN406-CO406&gt;-1),"Direct", AND(CL406=FALSE,CM406=FALSE,CN406-CO406&lt;0),"Check algorithm in appendix 2", AND(CL406=TRUE,CM406=TRUE,CN406-CO406&gt;-1),"Direct", AND(CL406=TRUE,CM406=TRUE,CN406-CO406&lt;0),"Check algorithm in appendix 2"))</f>
        <v/>
      </c>
      <c r="BC406" s="120" t="str">
        <f t="shared" si="10"/>
        <v/>
      </c>
      <c r="BD406" s="140"/>
      <c r="BE406" s="122" t="str">
        <f>IF(Preferences!B$3="Manual","", IFERROR(IFS(AND(Preferences!B$3="Automatic",AX406/AW406&gt;=30),"Extremely serious",AND(AY406&lt;=$D$1*-1,BA406&lt;0,AX406/AW406&lt;3),"Not Serious",AND(AY406&lt;=$D$1*-1,BA406&lt;0,AX406/AW406&gt;=3),"Very serious",AND(AY406&gt;=$D$1,AZ406&gt;0,AX406/AW406&lt;3),"Not Serious",AND(AY406&gt;=$D$1,AZ406&gt;0,AX406/AW406&gt;=3),"Very serious",AND(AY406&lt;=$D$1*-1,BA406&gt;0,AZ406&gt;$D$2*-1,AX406/AW406&lt;3),"Serious", AND(AY406&lt;=$D$1*-1,BA406&gt;0,AZ406&lt;$D$2*-1,AX406/AW406&lt;3),"Very serious", AND(AY406&gt;=$D$1,AZ406&lt;0,BA406&lt;$D$2,AX406/AW406&lt;3),"Serious",AND(AY406&gt;=$D$1,AZ406&lt;0,BA406&gt;$D$2,AX406/AW406&lt;3),"Very serious", AND(AY406&lt;=$D$1*-1,BA406&gt;0,AZ406&gt;$D$2*-1,AX406/AW406&gt;=3),"Very serious", AND(AY406&lt;=$D$1*-1,BA406&gt;0,AZ406&lt;$D$2*-1,AX406/AW406&gt;=3),"Very serious", AND(AY406&gt;=$D$1,AZ406&lt;0,BA406&lt;$D$2,AX406/AW406&gt;=3),"Very serious", AND(AY406&gt;=$D$1,AZ406&lt;0,BA406&gt;$D$2,AX406/AW406&gt;=3),"Very serious", AND(AY406&gt;$D$1*-1,AY406&lt;$D$1,AZ406&gt;$D$1*-1,BA406&lt;$D$1,AX406/AW406&lt;3),"Not Serious", AND(AY406&gt;$D$1*-1,AY406&lt;$D$1,OR(AZ406&lt;=$D$1*-1,BA406&gt;=$D$1),AZ406&gt;$D$2*-1,BA406&lt;$D$2,AX406/AW406&lt;3),"Serious", AND(AY406&gt;$D$1*-1,AY406&lt;$D$1,OR(AZ406&lt;=$D$2*-1,BA406&gt;=$D$2),AX406/AW406&lt;3),"Very serious", AND(AY406&gt;$D$1*-1,AY406&lt;$D$1,AZ406&gt;$D$1*-1,BA406&lt;$D$1,AX406/AW406&gt;=3),"Very serious", AND(AY406&gt;$D$1*-1,AY406&lt;$D$1,OR(AZ406&lt;=$D$1*-1,BA406&gt;=$D$1),AZ406&gt;$D$2*-1,BA406&lt;$D$2,AX406/AW406&gt;=3),"Very serious", AND(AY406&gt;$D$1*-1,AY406&lt;$D$1,OR(AZ406&lt;=$D$2*-1,BA406&gt;=$D$2),AX406/AW406&gt;=3),"Very serious"),""))</f>
        <v/>
      </c>
      <c r="BF406" s="107" t="str">
        <f t="shared" si="11"/>
        <v/>
      </c>
      <c r="BG406" s="94" t="str">
        <f t="shared" si="46"/>
        <v/>
      </c>
      <c r="BH406" s="64" t="str">
        <f t="shared" si="12"/>
        <v>#N/A</v>
      </c>
      <c r="BI406" s="64" t="str">
        <f t="shared" si="13"/>
        <v/>
      </c>
      <c r="BJ406" s="123" t="str">
        <f t="shared" si="14"/>
        <v>#N/A</v>
      </c>
      <c r="BK406" s="64" t="str">
        <f t="shared" si="50"/>
        <v>YES</v>
      </c>
      <c r="BL406" s="64" t="str">
        <f t="shared" si="16"/>
        <v>YES</v>
      </c>
      <c r="BM406" s="64" t="str">
        <f t="shared" si="17"/>
        <v>YES</v>
      </c>
      <c r="BN406" s="124" t="str">
        <f t="shared" si="18"/>
        <v/>
      </c>
      <c r="BO406" s="91" t="str">
        <f t="shared" si="19"/>
        <v/>
      </c>
      <c r="BP406" s="91" t="str">
        <f t="shared" si="20"/>
        <v>#N/A</v>
      </c>
      <c r="BQ406" s="91" t="str">
        <f t="shared" si="21"/>
        <v/>
      </c>
      <c r="BR406" s="93" t="str">
        <f t="shared" si="22"/>
        <v/>
      </c>
      <c r="BS406" s="90" t="str">
        <f t="shared" si="23"/>
        <v/>
      </c>
      <c r="BT406" s="93" t="str">
        <f t="shared" si="24"/>
        <v>NA</v>
      </c>
      <c r="BU406" s="125" t="str">
        <f t="shared" si="25"/>
        <v>#N/A</v>
      </c>
      <c r="BV406" s="93" t="str">
        <f t="shared" si="26"/>
        <v/>
      </c>
      <c r="BW406" s="93" t="str">
        <f t="shared" si="27"/>
        <v/>
      </c>
      <c r="BX406" s="93" t="str">
        <f t="shared" si="28"/>
        <v>NA</v>
      </c>
      <c r="BY406" s="95" t="str">
        <f t="shared" si="29"/>
        <v>#N/A</v>
      </c>
      <c r="BZ406" s="93" t="str">
        <f t="shared" si="30"/>
        <v/>
      </c>
      <c r="CA406" s="93" t="str">
        <f t="shared" si="31"/>
        <v/>
      </c>
      <c r="CB406" s="93" t="str">
        <f t="shared" si="32"/>
        <v>NA</v>
      </c>
      <c r="CC406" s="96" t="str">
        <f t="shared" si="33"/>
        <v>#N/A</v>
      </c>
      <c r="CD406" s="93" t="str">
        <f t="shared" si="34"/>
        <v/>
      </c>
      <c r="CE406" s="93" t="str">
        <f t="shared" si="35"/>
        <v/>
      </c>
      <c r="CF406" s="93" t="str">
        <f t="shared" si="36"/>
        <v>NA</v>
      </c>
      <c r="CG406" s="97" t="str">
        <f t="shared" si="37"/>
        <v>#N/A</v>
      </c>
      <c r="CH406" s="98" t="str">
        <f t="shared" si="38"/>
        <v>#N/A</v>
      </c>
      <c r="CI406" s="99" t="str">
        <f t="shared" si="39"/>
        <v>#N/A</v>
      </c>
      <c r="CJ406" s="126" t="str">
        <f t="shared" si="40"/>
        <v>ERROR: check cell</v>
      </c>
      <c r="CK406" s="126"/>
      <c r="CL406" s="127" t="str">
        <f t="shared" si="41"/>
        <v>#DIV/0!</v>
      </c>
      <c r="CM406" s="128" t="str">
        <f t="shared" si="42"/>
        <v>#DIV/0!</v>
      </c>
      <c r="CN406" s="128">
        <f t="shared" si="43"/>
        <v>4</v>
      </c>
      <c r="CO406" s="129">
        <f t="shared" si="44"/>
        <v>4</v>
      </c>
      <c r="CP406" s="129" t="str">
        <f>IFS(C406=Preferences!B$13,B406,B406=Preferences!B$13,C406)</f>
        <v>#N/A</v>
      </c>
    </row>
    <row r="407" ht="13.5" customHeight="1">
      <c r="A407" s="63" t="str">
        <f t="shared" si="45"/>
        <v/>
      </c>
      <c r="B407" s="64"/>
      <c r="C407" s="64"/>
      <c r="D407" s="64"/>
      <c r="E407" s="65"/>
      <c r="F407" s="65"/>
      <c r="G407" s="65"/>
      <c r="H407" s="66"/>
      <c r="I407" s="66"/>
      <c r="J407" s="67"/>
      <c r="K407" s="68"/>
      <c r="L407" s="104"/>
      <c r="M407" s="104"/>
      <c r="N407" s="104"/>
      <c r="O407" s="104"/>
      <c r="P407" s="107" t="str">
        <f t="shared" si="1"/>
        <v/>
      </c>
      <c r="Q407" s="108" t="str">
        <f>IFERROR(IF(AND(Preferences!B$3="Manual",OR(AX407/AW407&gt;G407/F407,BD407="Serious",BD407="Very serious")),"Assess imprecision",IFS(ISBLANK(E407),"",AND(Preferences!B$3="Automatic", G407/F407&gt;=30),"Extremely serious",AND(H407&lt;=$D$1*-1,J407&lt;0,G407/F407&lt;3),"Not serious",AND(H407&lt;=$D$1*-1,J407&lt;0,G407/F407&gt;=3),"Very serious",AND(H407&gt;=$D$1,I407&gt;0,G407/F407&lt;3),"Not serious",AND(H407&gt;=$D$1,I407&gt;0,G407/F407&gt;=3),"Very serious",AND(H407&lt;=$D$1*-1,J407&gt;0,I407&gt;$D$2*-1,G407/F407&lt;3),"Serious", AND(H407&lt;=$D$1*-1,J407&gt;0,I407&lt;$D$2*-1,G407/F407&lt;3),"Very serious", AND(H407&gt;=$D$1,I407&lt;0,J407&lt;$D$2,G407/F407&lt;3),"Serious",AND(H407&gt;=$D$1,I407&lt;0,J407&gt;$D$2,G407/F407&lt;3),"Very serious", AND(H407&lt;=$D$1*-1,J407&gt;0,I407&gt;$D$2*-1,G407/F407&gt;=3),"Very serious", AND(H407&lt;=$D$1*-1,J407&gt;0,I407&lt;$D$2*-1,G407/F407&gt;=3),"Very serious", AND(H407&gt;=$D$1,I407&lt;0,J407&lt;$D$2,G407/F407&gt;=3),"Very serious", AND(H407&gt;=$D$1,I407&lt;0,J407&gt;$D$2,G407/F407&gt;=3),"Very serious", AND(H407&gt;$D$1*-1,H407&lt;$D$1,I407&gt;$D$1*-1,J407&lt;$D$1,G407/F407&lt;3),"Not serious", AND(H407&gt;$D$1*-1,H407&lt;$D$1,OR(I407&lt;=$D$1*-1,J407&gt;=$D$1),I407&gt;$D$2*-1,J407&lt;$D$2,G407/F407&lt;3),"Serious", AND(H407&gt;$D$1*-1,H407&lt;$D$1,OR(I407&lt;=$D$2*-1,J407&gt;=$D$2),G407/F407&lt;3),"Very serious", AND(H407&gt;$D$1*-1,H407&lt;$D$1,I407&gt;$D$1*-1,J407&lt;$D$1,G407/F407&gt;=3),"Very serious", AND(H407&gt;$D$1*-1,H407&lt;$D$1,OR(I407&lt;=$D$1*-1,J407&gt;=$D$1),I407&gt;$D$2*-1,J407&lt;$D$2,G407/F407&gt;=3),"Very serious", AND(H407&gt;$D$1*-1,H407&lt;$D$1,OR(I407&lt;=$D$2*-1,J407&gt;=$D$2),G407/F407&gt;=3),"Very serious")),"")</f>
        <v/>
      </c>
      <c r="R407" s="109" t="str">
        <f t="shared" si="47"/>
        <v/>
      </c>
      <c r="S407" s="64"/>
      <c r="T407" s="72"/>
      <c r="U407" s="72"/>
      <c r="V407" s="72"/>
      <c r="W407" s="73"/>
      <c r="X407" s="73"/>
      <c r="Y407" s="74"/>
      <c r="Z407" s="113" t="str">
        <f t="array" ref="Z407">INDEX($A$1:$C$500, MATCH(1,($B:$B=$B407)*($C:$C=$AB407),0),1)</f>
        <v/>
      </c>
      <c r="AA407" s="113" t="str">
        <f t="array" ref="AA407">INDEX($A$1:$C$500, MATCH(1,($B:$B=$AB407)*($C:$C=$B407),0),1)</f>
        <v/>
      </c>
      <c r="AB407" s="111"/>
      <c r="AC407" s="114" t="str">
        <f t="shared" si="2"/>
        <v/>
      </c>
      <c r="AD407" s="115" t="str">
        <f t="shared" si="3"/>
        <v/>
      </c>
      <c r="AE407" s="116" t="str">
        <f t="array" ref="AE407">INDEX($A$1:$C$500, MATCH(1,($B:$B=$AB407)*($C:$C=$AG407),0),1)</f>
        <v/>
      </c>
      <c r="AF407" s="116" t="str">
        <f t="array" ref="AF407">INDEX($A$1:$C$500, MATCH(1,($B:$B=$AG407)*($C:$C=$AB407),0),1)</f>
        <v/>
      </c>
      <c r="AG407" s="72"/>
      <c r="AH407" s="114" t="str">
        <f t="shared" si="4"/>
        <v/>
      </c>
      <c r="AI407" s="115" t="str">
        <f t="shared" si="5"/>
        <v/>
      </c>
      <c r="AJ407" s="116" t="str">
        <f t="array" ref="AJ407">INDEX($A$1:$C$500, MATCH(1,($B:$B=$C407)*($C:$C=$AG407),0),1)</f>
        <v/>
      </c>
      <c r="AK407" s="116" t="str">
        <f t="array" ref="AK407">INDEX($A$1:$C$500, MATCH(1,($B:$B=$AG407)*($C:$C=$C407),0),1)</f>
        <v/>
      </c>
      <c r="AL407" s="116" t="str">
        <f t="array" ref="AL407">INDEX($A$1:$C$500, MATCH(1,($B:$B=$C407)*($C:$C=$AB407),0),1)</f>
        <v/>
      </c>
      <c r="AM407" s="116" t="str">
        <f t="array" ref="AM407">INDEX($A$1:$C$500, MATCH(1,($B:$B=$AB407)*($C:$C=$C407),0),1)</f>
        <v/>
      </c>
      <c r="AN407" s="114" t="str">
        <f t="array" ref="AN407">IFS(ISNUMBER(AJ407),AJ407,ISNUMBER(AK407),AK407,ISNUMBER(AL407),AL407,ISNUMBER(AM407),AM407)</f>
        <v>#N/A</v>
      </c>
      <c r="AO407" s="115" t="str">
        <f t="shared" si="6"/>
        <v/>
      </c>
      <c r="AP407" s="115" t="str">
        <f t="shared" si="7"/>
        <v/>
      </c>
      <c r="AQ407" s="111"/>
      <c r="AR407" s="109" t="str">
        <f t="shared" si="8"/>
        <v/>
      </c>
      <c r="AS407" s="72" t="str">
        <f>IFERROR(IF(AND(Preferences!B$3="Manual",OR(AX407/AW407&gt;V407/U407,BD407="Serious",BD407="Very serious")),"Assess imprecision",IFERROR(IFS(AND(Preferences!B$3="Automatic",V407/U407&gt;=30),"Extremely serious",AND(W407&lt;=$D$1*-1,Y407&lt;0,V407/U407&lt;3),"Not Serious",AND(W407&lt;=$D$1*-1,Y407&lt;0,V407/U407&gt;=3),"Very serious",AND(W407&gt;=$D$1,X407&gt;0,V407/U407&lt;3),"Not Serious",AND(W407&gt;=$D$1,X407&gt;0,V407/U407&gt;=3),"Very serious",AND(W407&lt;=$D$1*-1,Y407&gt;0,X407&gt;$D$2*-1,V407/U407&lt;3),"Serious", AND(W407&lt;=$D$1*-1,Y407&gt;0,X407&lt;$D$2*-1,V407/U407&lt;3),"Very serious", AND(W407&gt;=$D$1,X407&lt;0,Y407&lt;$D$2,V407/U407&lt;3),"Serious",AND(W407&gt;=$D$1,X407&lt;0,Y407&gt;$D$2,V407/U407&lt;3),"Very serious", AND(W407&lt;=$D$1*-1,Y407&gt;0,X407&gt;$D$2*-1,V407/U407&gt;=3),"Very serious", AND(W407&lt;=$D$1*-1,Y407&gt;0,X407&lt;$D$2*-1,V407/U407&gt;=3),"Very serious", AND(W407&gt;=$D$1,X407&lt;0,Y407&lt;$D$2,V407/U407&gt;=3),"Very serious", AND(W407&gt;=$D$1,X407&lt;0,Y407&gt;$D$2,V407/U407&gt;=3),"Very serious", AND(W407&gt;$D$1*-1,W407&lt;$D$1,X407&gt;$D$1*-1,Y407&lt;$D$1,V407/U407&lt;3),"Not Serious", AND(W407&gt;$D$1*-1,W407&lt;$D$1,OR(X407&lt;=$D$1*-1,Y407&gt;=$D$1),X407&gt;$D$2*-1,Y407&lt;$D$2,V407/U407&lt;3),"Serious", AND(W407&gt;$D$1*-1,W407&lt;$D$1,OR(X407&lt;=$D$2*-1,Y407&gt;=$D$2),V407/U407&lt;3),"Very serious", AND(W407&gt;$D$1*-1,W407&lt;$D$1,X407&gt;$D$1*-1,Y407&lt;$D$1,V407/U407&gt;=3),"Very serious", AND(W407&gt;$D$1*-1,W407&lt;$D$1,OR(X407&lt;=$D$1*-1,Y407&gt;=$D$1),X407&gt;$D$2*-1,Y407&lt;$D$2,V407/U407&gt;=3),"Very serious", AND(W407&gt;$D$1*-1,W407&lt;$D$1,OR(X407&lt;=$D$2*-1,Y407&gt;=$D$2),V407/U407&gt;=3),"Very serious"),"")),"")</f>
        <v/>
      </c>
      <c r="AT407" s="109" t="str">
        <f t="shared" si="9"/>
        <v/>
      </c>
      <c r="AU407" s="64"/>
      <c r="AV407" s="83"/>
      <c r="AW407" s="83"/>
      <c r="AX407" s="83"/>
      <c r="AY407" s="83"/>
      <c r="AZ407" s="83"/>
      <c r="BA407" s="85"/>
      <c r="BB407" s="86" t="str">
        <f>IF(Preferences!B$9="Manual","",IFS(ISBLANK(B407),"",AND(ISNUMBER(E407)=TRUE,ISNUMBER(T407)=FALSE),"Direct", AND(ISNUMBER(E407)=FALSE,ISNUMBER(T407)=TRUE),"Indirect", CN407=4,"Direct",AND(CL407=FALSE, CM407=TRUE,CN407-CO407&gt;-1),"Direct", AND(CL407=FALSE,CM407=TRUE, CN407-CO407&lt;0),"Check algorithm in appendix 2", AND(CL407=TRUE, CM407=FALSE,CN407-CO407&gt;0),"Check algorithm in appendix 2", AND(CL407=TRUE, CM407=FALSE,CN407-CO407=0),"Indirect", AND(CL407=TRUE, CM407=FALSE,CN407-CO407&lt;0),"Indirect", AND(CL407=FALSE,CM407=FALSE,CN407-CO407&gt;-1),"Direct", AND(CL407=FALSE,CM407=FALSE,CN407-CO407&lt;0),"Check algorithm in appendix 2", AND(CL407=TRUE,CM407=TRUE,CN407-CO407&gt;-1),"Direct", AND(CL407=TRUE,CM407=TRUE,CN407-CO407&lt;0),"Check algorithm in appendix 2"))</f>
        <v/>
      </c>
      <c r="BC407" s="120" t="str">
        <f t="shared" si="10"/>
        <v/>
      </c>
      <c r="BD407" s="140"/>
      <c r="BE407" s="122" t="str">
        <f>IF(Preferences!B$3="Manual","", IFERROR(IFS(AND(Preferences!B$3="Automatic",AX407/AW407&gt;=30),"Extremely serious",AND(AY407&lt;=$D$1*-1,BA407&lt;0,AX407/AW407&lt;3),"Not Serious",AND(AY407&lt;=$D$1*-1,BA407&lt;0,AX407/AW407&gt;=3),"Very serious",AND(AY407&gt;=$D$1,AZ407&gt;0,AX407/AW407&lt;3),"Not Serious",AND(AY407&gt;=$D$1,AZ407&gt;0,AX407/AW407&gt;=3),"Very serious",AND(AY407&lt;=$D$1*-1,BA407&gt;0,AZ407&gt;$D$2*-1,AX407/AW407&lt;3),"Serious", AND(AY407&lt;=$D$1*-1,BA407&gt;0,AZ407&lt;$D$2*-1,AX407/AW407&lt;3),"Very serious", AND(AY407&gt;=$D$1,AZ407&lt;0,BA407&lt;$D$2,AX407/AW407&lt;3),"Serious",AND(AY407&gt;=$D$1,AZ407&lt;0,BA407&gt;$D$2,AX407/AW407&lt;3),"Very serious", AND(AY407&lt;=$D$1*-1,BA407&gt;0,AZ407&gt;$D$2*-1,AX407/AW407&gt;=3),"Very serious", AND(AY407&lt;=$D$1*-1,BA407&gt;0,AZ407&lt;$D$2*-1,AX407/AW407&gt;=3),"Very serious", AND(AY407&gt;=$D$1,AZ407&lt;0,BA407&lt;$D$2,AX407/AW407&gt;=3),"Very serious", AND(AY407&gt;=$D$1,AZ407&lt;0,BA407&gt;$D$2,AX407/AW407&gt;=3),"Very serious", AND(AY407&gt;$D$1*-1,AY407&lt;$D$1,AZ407&gt;$D$1*-1,BA407&lt;$D$1,AX407/AW407&lt;3),"Not Serious", AND(AY407&gt;$D$1*-1,AY407&lt;$D$1,OR(AZ407&lt;=$D$1*-1,BA407&gt;=$D$1),AZ407&gt;$D$2*-1,BA407&lt;$D$2,AX407/AW407&lt;3),"Serious", AND(AY407&gt;$D$1*-1,AY407&lt;$D$1,OR(AZ407&lt;=$D$2*-1,BA407&gt;=$D$2),AX407/AW407&lt;3),"Very serious", AND(AY407&gt;$D$1*-1,AY407&lt;$D$1,AZ407&gt;$D$1*-1,BA407&lt;$D$1,AX407/AW407&gt;=3),"Very serious", AND(AY407&gt;$D$1*-1,AY407&lt;$D$1,OR(AZ407&lt;=$D$1*-1,BA407&gt;=$D$1),AZ407&gt;$D$2*-1,BA407&lt;$D$2,AX407/AW407&gt;=3),"Very serious", AND(AY407&gt;$D$1*-1,AY407&lt;$D$1,OR(AZ407&lt;=$D$2*-1,BA407&gt;=$D$2),AX407/AW407&gt;=3),"Very serious"),""))</f>
        <v/>
      </c>
      <c r="BF407" s="107" t="str">
        <f t="shared" si="11"/>
        <v/>
      </c>
      <c r="BG407" s="94" t="str">
        <f t="shared" si="46"/>
        <v/>
      </c>
      <c r="BH407" s="64" t="str">
        <f t="shared" si="12"/>
        <v>#N/A</v>
      </c>
      <c r="BI407" s="64" t="str">
        <f t="shared" si="13"/>
        <v/>
      </c>
      <c r="BJ407" s="123" t="str">
        <f t="shared" si="14"/>
        <v>#N/A</v>
      </c>
      <c r="BK407" s="64" t="str">
        <f t="shared" si="50"/>
        <v>YES</v>
      </c>
      <c r="BL407" s="64" t="str">
        <f t="shared" si="16"/>
        <v>YES</v>
      </c>
      <c r="BM407" s="64" t="str">
        <f t="shared" si="17"/>
        <v>YES</v>
      </c>
      <c r="BN407" s="124" t="str">
        <f t="shared" si="18"/>
        <v/>
      </c>
      <c r="BO407" s="91" t="str">
        <f t="shared" si="19"/>
        <v/>
      </c>
      <c r="BP407" s="91" t="str">
        <f t="shared" si="20"/>
        <v>#N/A</v>
      </c>
      <c r="BQ407" s="91" t="str">
        <f t="shared" si="21"/>
        <v/>
      </c>
      <c r="BR407" s="93" t="str">
        <f t="shared" si="22"/>
        <v/>
      </c>
      <c r="BS407" s="90" t="str">
        <f t="shared" si="23"/>
        <v/>
      </c>
      <c r="BT407" s="93" t="str">
        <f t="shared" si="24"/>
        <v>NA</v>
      </c>
      <c r="BU407" s="125" t="str">
        <f t="shared" si="25"/>
        <v>#N/A</v>
      </c>
      <c r="BV407" s="93" t="str">
        <f t="shared" si="26"/>
        <v/>
      </c>
      <c r="BW407" s="93" t="str">
        <f t="shared" si="27"/>
        <v/>
      </c>
      <c r="BX407" s="93" t="str">
        <f t="shared" si="28"/>
        <v>NA</v>
      </c>
      <c r="BY407" s="95" t="str">
        <f t="shared" si="29"/>
        <v>#N/A</v>
      </c>
      <c r="BZ407" s="93" t="str">
        <f t="shared" si="30"/>
        <v/>
      </c>
      <c r="CA407" s="93" t="str">
        <f t="shared" si="31"/>
        <v/>
      </c>
      <c r="CB407" s="93" t="str">
        <f t="shared" si="32"/>
        <v>NA</v>
      </c>
      <c r="CC407" s="96" t="str">
        <f t="shared" si="33"/>
        <v>#N/A</v>
      </c>
      <c r="CD407" s="93" t="str">
        <f t="shared" si="34"/>
        <v/>
      </c>
      <c r="CE407" s="93" t="str">
        <f t="shared" si="35"/>
        <v/>
      </c>
      <c r="CF407" s="93" t="str">
        <f t="shared" si="36"/>
        <v>NA</v>
      </c>
      <c r="CG407" s="97" t="str">
        <f t="shared" si="37"/>
        <v>#N/A</v>
      </c>
      <c r="CH407" s="98" t="str">
        <f t="shared" si="38"/>
        <v>#N/A</v>
      </c>
      <c r="CI407" s="99" t="str">
        <f t="shared" si="39"/>
        <v>#N/A</v>
      </c>
      <c r="CJ407" s="126" t="str">
        <f t="shared" si="40"/>
        <v>ERROR: check cell</v>
      </c>
      <c r="CK407" s="126"/>
      <c r="CL407" s="127" t="str">
        <f t="shared" si="41"/>
        <v>#DIV/0!</v>
      </c>
      <c r="CM407" s="128" t="str">
        <f t="shared" si="42"/>
        <v>#DIV/0!</v>
      </c>
      <c r="CN407" s="128">
        <f t="shared" si="43"/>
        <v>4</v>
      </c>
      <c r="CO407" s="129">
        <f t="shared" si="44"/>
        <v>4</v>
      </c>
      <c r="CP407" s="129" t="str">
        <f>IFS(C407=Preferences!B$13,B407,B407=Preferences!B$13,C407)</f>
        <v>#N/A</v>
      </c>
    </row>
    <row r="408" ht="13.5" customHeight="1">
      <c r="A408" s="63" t="str">
        <f t="shared" si="45"/>
        <v/>
      </c>
      <c r="B408" s="64"/>
      <c r="C408" s="64"/>
      <c r="D408" s="64"/>
      <c r="E408" s="65"/>
      <c r="F408" s="65"/>
      <c r="G408" s="65"/>
      <c r="H408" s="66"/>
      <c r="I408" s="66"/>
      <c r="J408" s="67"/>
      <c r="K408" s="68"/>
      <c r="L408" s="104"/>
      <c r="M408" s="104"/>
      <c r="N408" s="104"/>
      <c r="O408" s="104"/>
      <c r="P408" s="107" t="str">
        <f t="shared" si="1"/>
        <v/>
      </c>
      <c r="Q408" s="108" t="str">
        <f>IFERROR(IF(AND(Preferences!B$3="Manual",OR(AX408/AW408&gt;G408/F408,BD408="Serious",BD408="Very serious")),"Assess imprecision",IFS(ISBLANK(E408),"",AND(Preferences!B$3="Automatic", G408/F408&gt;=30),"Extremely serious",AND(H408&lt;=$D$1*-1,J408&lt;0,G408/F408&lt;3),"Not serious",AND(H408&lt;=$D$1*-1,J408&lt;0,G408/F408&gt;=3),"Very serious",AND(H408&gt;=$D$1,I408&gt;0,G408/F408&lt;3),"Not serious",AND(H408&gt;=$D$1,I408&gt;0,G408/F408&gt;=3),"Very serious",AND(H408&lt;=$D$1*-1,J408&gt;0,I408&gt;$D$2*-1,G408/F408&lt;3),"Serious", AND(H408&lt;=$D$1*-1,J408&gt;0,I408&lt;$D$2*-1,G408/F408&lt;3),"Very serious", AND(H408&gt;=$D$1,I408&lt;0,J408&lt;$D$2,G408/F408&lt;3),"Serious",AND(H408&gt;=$D$1,I408&lt;0,J408&gt;$D$2,G408/F408&lt;3),"Very serious", AND(H408&lt;=$D$1*-1,J408&gt;0,I408&gt;$D$2*-1,G408/F408&gt;=3),"Very serious", AND(H408&lt;=$D$1*-1,J408&gt;0,I408&lt;$D$2*-1,G408/F408&gt;=3),"Very serious", AND(H408&gt;=$D$1,I408&lt;0,J408&lt;$D$2,G408/F408&gt;=3),"Very serious", AND(H408&gt;=$D$1,I408&lt;0,J408&gt;$D$2,G408/F408&gt;=3),"Very serious", AND(H408&gt;$D$1*-1,H408&lt;$D$1,I408&gt;$D$1*-1,J408&lt;$D$1,G408/F408&lt;3),"Not serious", AND(H408&gt;$D$1*-1,H408&lt;$D$1,OR(I408&lt;=$D$1*-1,J408&gt;=$D$1),I408&gt;$D$2*-1,J408&lt;$D$2,G408/F408&lt;3),"Serious", AND(H408&gt;$D$1*-1,H408&lt;$D$1,OR(I408&lt;=$D$2*-1,J408&gt;=$D$2),G408/F408&lt;3),"Very serious", AND(H408&gt;$D$1*-1,H408&lt;$D$1,I408&gt;$D$1*-1,J408&lt;$D$1,G408/F408&gt;=3),"Very serious", AND(H408&gt;$D$1*-1,H408&lt;$D$1,OR(I408&lt;=$D$1*-1,J408&gt;=$D$1),I408&gt;$D$2*-1,J408&lt;$D$2,G408/F408&gt;=3),"Very serious", AND(H408&gt;$D$1*-1,H408&lt;$D$1,OR(I408&lt;=$D$2*-1,J408&gt;=$D$2),G408/F408&gt;=3),"Very serious")),"")</f>
        <v/>
      </c>
      <c r="R408" s="109" t="str">
        <f t="shared" si="47"/>
        <v/>
      </c>
      <c r="S408" s="64"/>
      <c r="T408" s="72"/>
      <c r="U408" s="72"/>
      <c r="V408" s="72"/>
      <c r="W408" s="73"/>
      <c r="X408" s="73"/>
      <c r="Y408" s="74"/>
      <c r="Z408" s="113" t="str">
        <f t="array" ref="Z408">INDEX($A$1:$C$500, MATCH(1,($B:$B=$B408)*($C:$C=$AB408),0),1)</f>
        <v/>
      </c>
      <c r="AA408" s="113" t="str">
        <f t="array" ref="AA408">INDEX($A$1:$C$500, MATCH(1,($B:$B=$AB408)*($C:$C=$B408),0),1)</f>
        <v/>
      </c>
      <c r="AB408" s="111"/>
      <c r="AC408" s="114" t="str">
        <f t="shared" si="2"/>
        <v/>
      </c>
      <c r="AD408" s="115" t="str">
        <f t="shared" si="3"/>
        <v/>
      </c>
      <c r="AE408" s="116" t="str">
        <f t="array" ref="AE408">INDEX($A$1:$C$500, MATCH(1,($B:$B=$AB408)*($C:$C=$AG408),0),1)</f>
        <v/>
      </c>
      <c r="AF408" s="116" t="str">
        <f t="array" ref="AF408">INDEX($A$1:$C$500, MATCH(1,($B:$B=$AG408)*($C:$C=$AB408),0),1)</f>
        <v/>
      </c>
      <c r="AG408" s="72"/>
      <c r="AH408" s="114" t="str">
        <f t="shared" si="4"/>
        <v/>
      </c>
      <c r="AI408" s="115" t="str">
        <f t="shared" si="5"/>
        <v/>
      </c>
      <c r="AJ408" s="116" t="str">
        <f t="array" ref="AJ408">INDEX($A$1:$C$500, MATCH(1,($B:$B=$C408)*($C:$C=$AG408),0),1)</f>
        <v/>
      </c>
      <c r="AK408" s="116" t="str">
        <f t="array" ref="AK408">INDEX($A$1:$C$500, MATCH(1,($B:$B=$AG408)*($C:$C=$C408),0),1)</f>
        <v/>
      </c>
      <c r="AL408" s="116" t="str">
        <f t="array" ref="AL408">INDEX($A$1:$C$500, MATCH(1,($B:$B=$C408)*($C:$C=$AB408),0),1)</f>
        <v/>
      </c>
      <c r="AM408" s="116" t="str">
        <f t="array" ref="AM408">INDEX($A$1:$C$500, MATCH(1,($B:$B=$AB408)*($C:$C=$C408),0),1)</f>
        <v/>
      </c>
      <c r="AN408" s="114" t="str">
        <f t="array" ref="AN408">IFS(ISNUMBER(AJ408),AJ408,ISNUMBER(AK408),AK408,ISNUMBER(AL408),AL408,ISNUMBER(AM408),AM408)</f>
        <v>#N/A</v>
      </c>
      <c r="AO408" s="115" t="str">
        <f t="shared" si="6"/>
        <v/>
      </c>
      <c r="AP408" s="115" t="str">
        <f t="shared" si="7"/>
        <v/>
      </c>
      <c r="AQ408" s="111"/>
      <c r="AR408" s="109" t="str">
        <f t="shared" si="8"/>
        <v/>
      </c>
      <c r="AS408" s="72" t="str">
        <f>IFERROR(IF(AND(Preferences!B$3="Manual",OR(AX408/AW408&gt;V408/U408,BD408="Serious",BD408="Very serious")),"Assess imprecision",IFERROR(IFS(AND(Preferences!B$3="Automatic",V408/U408&gt;=30),"Extremely serious",AND(W408&lt;=$D$1*-1,Y408&lt;0,V408/U408&lt;3),"Not Serious",AND(W408&lt;=$D$1*-1,Y408&lt;0,V408/U408&gt;=3),"Very serious",AND(W408&gt;=$D$1,X408&gt;0,V408/U408&lt;3),"Not Serious",AND(W408&gt;=$D$1,X408&gt;0,V408/U408&gt;=3),"Very serious",AND(W408&lt;=$D$1*-1,Y408&gt;0,X408&gt;$D$2*-1,V408/U408&lt;3),"Serious", AND(W408&lt;=$D$1*-1,Y408&gt;0,X408&lt;$D$2*-1,V408/U408&lt;3),"Very serious", AND(W408&gt;=$D$1,X408&lt;0,Y408&lt;$D$2,V408/U408&lt;3),"Serious",AND(W408&gt;=$D$1,X408&lt;0,Y408&gt;$D$2,V408/U408&lt;3),"Very serious", AND(W408&lt;=$D$1*-1,Y408&gt;0,X408&gt;$D$2*-1,V408/U408&gt;=3),"Very serious", AND(W408&lt;=$D$1*-1,Y408&gt;0,X408&lt;$D$2*-1,V408/U408&gt;=3),"Very serious", AND(W408&gt;=$D$1,X408&lt;0,Y408&lt;$D$2,V408/U408&gt;=3),"Very serious", AND(W408&gt;=$D$1,X408&lt;0,Y408&gt;$D$2,V408/U408&gt;=3),"Very serious", AND(W408&gt;$D$1*-1,W408&lt;$D$1,X408&gt;$D$1*-1,Y408&lt;$D$1,V408/U408&lt;3),"Not Serious", AND(W408&gt;$D$1*-1,W408&lt;$D$1,OR(X408&lt;=$D$1*-1,Y408&gt;=$D$1),X408&gt;$D$2*-1,Y408&lt;$D$2,V408/U408&lt;3),"Serious", AND(W408&gt;$D$1*-1,W408&lt;$D$1,OR(X408&lt;=$D$2*-1,Y408&gt;=$D$2),V408/U408&lt;3),"Very serious", AND(W408&gt;$D$1*-1,W408&lt;$D$1,X408&gt;$D$1*-1,Y408&lt;$D$1,V408/U408&gt;=3),"Very serious", AND(W408&gt;$D$1*-1,W408&lt;$D$1,OR(X408&lt;=$D$1*-1,Y408&gt;=$D$1),X408&gt;$D$2*-1,Y408&lt;$D$2,V408/U408&gt;=3),"Very serious", AND(W408&gt;$D$1*-1,W408&lt;$D$1,OR(X408&lt;=$D$2*-1,Y408&gt;=$D$2),V408/U408&gt;=3),"Very serious"),"")),"")</f>
        <v/>
      </c>
      <c r="AT408" s="109" t="str">
        <f t="shared" si="9"/>
        <v/>
      </c>
      <c r="AU408" s="64"/>
      <c r="AV408" s="83"/>
      <c r="AW408" s="83"/>
      <c r="AX408" s="83"/>
      <c r="AY408" s="83"/>
      <c r="AZ408" s="83"/>
      <c r="BA408" s="85"/>
      <c r="BB408" s="86" t="str">
        <f>IF(Preferences!B$9="Manual","",IFS(ISBLANK(B408),"",AND(ISNUMBER(E408)=TRUE,ISNUMBER(T408)=FALSE),"Direct", AND(ISNUMBER(E408)=FALSE,ISNUMBER(T408)=TRUE),"Indirect", CN408=4,"Direct",AND(CL408=FALSE, CM408=TRUE,CN408-CO408&gt;-1),"Direct", AND(CL408=FALSE,CM408=TRUE, CN408-CO408&lt;0),"Check algorithm in appendix 2", AND(CL408=TRUE, CM408=FALSE,CN408-CO408&gt;0),"Check algorithm in appendix 2", AND(CL408=TRUE, CM408=FALSE,CN408-CO408=0),"Indirect", AND(CL408=TRUE, CM408=FALSE,CN408-CO408&lt;0),"Indirect", AND(CL408=FALSE,CM408=FALSE,CN408-CO408&gt;-1),"Direct", AND(CL408=FALSE,CM408=FALSE,CN408-CO408&lt;0),"Check algorithm in appendix 2", AND(CL408=TRUE,CM408=TRUE,CN408-CO408&gt;-1),"Direct", AND(CL408=TRUE,CM408=TRUE,CN408-CO408&lt;0),"Check algorithm in appendix 2"))</f>
        <v/>
      </c>
      <c r="BC408" s="120" t="str">
        <f t="shared" si="10"/>
        <v/>
      </c>
      <c r="BD408" s="140"/>
      <c r="BE408" s="122" t="str">
        <f>IF(Preferences!B$3="Manual","", IFERROR(IFS(AND(Preferences!B$3="Automatic",AX408/AW408&gt;=30),"Extremely serious",AND(AY408&lt;=$D$1*-1,BA408&lt;0,AX408/AW408&lt;3),"Not Serious",AND(AY408&lt;=$D$1*-1,BA408&lt;0,AX408/AW408&gt;=3),"Very serious",AND(AY408&gt;=$D$1,AZ408&gt;0,AX408/AW408&lt;3),"Not Serious",AND(AY408&gt;=$D$1,AZ408&gt;0,AX408/AW408&gt;=3),"Very serious",AND(AY408&lt;=$D$1*-1,BA408&gt;0,AZ408&gt;$D$2*-1,AX408/AW408&lt;3),"Serious", AND(AY408&lt;=$D$1*-1,BA408&gt;0,AZ408&lt;$D$2*-1,AX408/AW408&lt;3),"Very serious", AND(AY408&gt;=$D$1,AZ408&lt;0,BA408&lt;$D$2,AX408/AW408&lt;3),"Serious",AND(AY408&gt;=$D$1,AZ408&lt;0,BA408&gt;$D$2,AX408/AW408&lt;3),"Very serious", AND(AY408&lt;=$D$1*-1,BA408&gt;0,AZ408&gt;$D$2*-1,AX408/AW408&gt;=3),"Very serious", AND(AY408&lt;=$D$1*-1,BA408&gt;0,AZ408&lt;$D$2*-1,AX408/AW408&gt;=3),"Very serious", AND(AY408&gt;=$D$1,AZ408&lt;0,BA408&lt;$D$2,AX408/AW408&gt;=3),"Very serious", AND(AY408&gt;=$D$1,AZ408&lt;0,BA408&gt;$D$2,AX408/AW408&gt;=3),"Very serious", AND(AY408&gt;$D$1*-1,AY408&lt;$D$1,AZ408&gt;$D$1*-1,BA408&lt;$D$1,AX408/AW408&lt;3),"Not Serious", AND(AY408&gt;$D$1*-1,AY408&lt;$D$1,OR(AZ408&lt;=$D$1*-1,BA408&gt;=$D$1),AZ408&gt;$D$2*-1,BA408&lt;$D$2,AX408/AW408&lt;3),"Serious", AND(AY408&gt;$D$1*-1,AY408&lt;$D$1,OR(AZ408&lt;=$D$2*-1,BA408&gt;=$D$2),AX408/AW408&lt;3),"Very serious", AND(AY408&gt;$D$1*-1,AY408&lt;$D$1,AZ408&gt;$D$1*-1,BA408&lt;$D$1,AX408/AW408&gt;=3),"Very serious", AND(AY408&gt;$D$1*-1,AY408&lt;$D$1,OR(AZ408&lt;=$D$1*-1,BA408&gt;=$D$1),AZ408&gt;$D$2*-1,BA408&lt;$D$2,AX408/AW408&gt;=3),"Very serious", AND(AY408&gt;$D$1*-1,AY408&lt;$D$1,OR(AZ408&lt;=$D$2*-1,BA408&gt;=$D$2),AX408/AW408&gt;=3),"Very serious"),""))</f>
        <v/>
      </c>
      <c r="BF408" s="107" t="str">
        <f t="shared" si="11"/>
        <v/>
      </c>
      <c r="BG408" s="94" t="str">
        <f t="shared" si="46"/>
        <v/>
      </c>
      <c r="BH408" s="64" t="str">
        <f t="shared" si="12"/>
        <v>#N/A</v>
      </c>
      <c r="BI408" s="64" t="str">
        <f t="shared" si="13"/>
        <v/>
      </c>
      <c r="BJ408" s="123" t="str">
        <f t="shared" si="14"/>
        <v>#N/A</v>
      </c>
      <c r="BK408" s="64" t="str">
        <f t="shared" si="50"/>
        <v>YES</v>
      </c>
      <c r="BL408" s="64" t="str">
        <f t="shared" si="16"/>
        <v>YES</v>
      </c>
      <c r="BM408" s="64" t="str">
        <f t="shared" si="17"/>
        <v>YES</v>
      </c>
      <c r="BN408" s="124" t="str">
        <f t="shared" si="18"/>
        <v/>
      </c>
      <c r="BO408" s="91" t="str">
        <f t="shared" si="19"/>
        <v/>
      </c>
      <c r="BP408" s="91" t="str">
        <f t="shared" si="20"/>
        <v>#N/A</v>
      </c>
      <c r="BQ408" s="91" t="str">
        <f t="shared" si="21"/>
        <v/>
      </c>
      <c r="BR408" s="93" t="str">
        <f t="shared" si="22"/>
        <v/>
      </c>
      <c r="BS408" s="90" t="str">
        <f t="shared" si="23"/>
        <v/>
      </c>
      <c r="BT408" s="93" t="str">
        <f t="shared" si="24"/>
        <v>NA</v>
      </c>
      <c r="BU408" s="125" t="str">
        <f t="shared" si="25"/>
        <v>#N/A</v>
      </c>
      <c r="BV408" s="93" t="str">
        <f t="shared" si="26"/>
        <v/>
      </c>
      <c r="BW408" s="93" t="str">
        <f t="shared" si="27"/>
        <v/>
      </c>
      <c r="BX408" s="93" t="str">
        <f t="shared" si="28"/>
        <v>NA</v>
      </c>
      <c r="BY408" s="95" t="str">
        <f t="shared" si="29"/>
        <v>#N/A</v>
      </c>
      <c r="BZ408" s="93" t="str">
        <f t="shared" si="30"/>
        <v/>
      </c>
      <c r="CA408" s="93" t="str">
        <f t="shared" si="31"/>
        <v/>
      </c>
      <c r="CB408" s="93" t="str">
        <f t="shared" si="32"/>
        <v>NA</v>
      </c>
      <c r="CC408" s="96" t="str">
        <f t="shared" si="33"/>
        <v>#N/A</v>
      </c>
      <c r="CD408" s="93" t="str">
        <f t="shared" si="34"/>
        <v/>
      </c>
      <c r="CE408" s="93" t="str">
        <f t="shared" si="35"/>
        <v/>
      </c>
      <c r="CF408" s="93" t="str">
        <f t="shared" si="36"/>
        <v>NA</v>
      </c>
      <c r="CG408" s="97" t="str">
        <f t="shared" si="37"/>
        <v>#N/A</v>
      </c>
      <c r="CH408" s="98" t="str">
        <f t="shared" si="38"/>
        <v>#N/A</v>
      </c>
      <c r="CI408" s="99" t="str">
        <f t="shared" si="39"/>
        <v>#N/A</v>
      </c>
      <c r="CJ408" s="126" t="str">
        <f t="shared" si="40"/>
        <v>ERROR: check cell</v>
      </c>
      <c r="CK408" s="126"/>
      <c r="CL408" s="127" t="str">
        <f t="shared" si="41"/>
        <v>#DIV/0!</v>
      </c>
      <c r="CM408" s="128" t="str">
        <f t="shared" si="42"/>
        <v>#DIV/0!</v>
      </c>
      <c r="CN408" s="128">
        <f t="shared" si="43"/>
        <v>4</v>
      </c>
      <c r="CO408" s="129">
        <f t="shared" si="44"/>
        <v>4</v>
      </c>
      <c r="CP408" s="129" t="str">
        <f>IFS(C408=Preferences!B$13,B408,B408=Preferences!B$13,C408)</f>
        <v>#N/A</v>
      </c>
    </row>
    <row r="409" ht="13.5" customHeight="1">
      <c r="A409" s="63" t="str">
        <f t="shared" si="45"/>
        <v/>
      </c>
      <c r="B409" s="64"/>
      <c r="C409" s="64"/>
      <c r="D409" s="64"/>
      <c r="E409" s="65"/>
      <c r="F409" s="65"/>
      <c r="G409" s="65"/>
      <c r="H409" s="66"/>
      <c r="I409" s="66"/>
      <c r="J409" s="67"/>
      <c r="K409" s="68"/>
      <c r="L409" s="104"/>
      <c r="M409" s="104"/>
      <c r="N409" s="104"/>
      <c r="O409" s="104"/>
      <c r="P409" s="107" t="str">
        <f t="shared" si="1"/>
        <v/>
      </c>
      <c r="Q409" s="108" t="str">
        <f>IFERROR(IF(AND(Preferences!B$3="Manual",OR(AX409/AW409&gt;G409/F409,BD409="Serious",BD409="Very serious")),"Assess imprecision",IFS(ISBLANK(E409),"",AND(Preferences!B$3="Automatic", G409/F409&gt;=30),"Extremely serious",AND(H409&lt;=$D$1*-1,J409&lt;0,G409/F409&lt;3),"Not serious",AND(H409&lt;=$D$1*-1,J409&lt;0,G409/F409&gt;=3),"Very serious",AND(H409&gt;=$D$1,I409&gt;0,G409/F409&lt;3),"Not serious",AND(H409&gt;=$D$1,I409&gt;0,G409/F409&gt;=3),"Very serious",AND(H409&lt;=$D$1*-1,J409&gt;0,I409&gt;$D$2*-1,G409/F409&lt;3),"Serious", AND(H409&lt;=$D$1*-1,J409&gt;0,I409&lt;$D$2*-1,G409/F409&lt;3),"Very serious", AND(H409&gt;=$D$1,I409&lt;0,J409&lt;$D$2,G409/F409&lt;3),"Serious",AND(H409&gt;=$D$1,I409&lt;0,J409&gt;$D$2,G409/F409&lt;3),"Very serious", AND(H409&lt;=$D$1*-1,J409&gt;0,I409&gt;$D$2*-1,G409/F409&gt;=3),"Very serious", AND(H409&lt;=$D$1*-1,J409&gt;0,I409&lt;$D$2*-1,G409/F409&gt;=3),"Very serious", AND(H409&gt;=$D$1,I409&lt;0,J409&lt;$D$2,G409/F409&gt;=3),"Very serious", AND(H409&gt;=$D$1,I409&lt;0,J409&gt;$D$2,G409/F409&gt;=3),"Very serious", AND(H409&gt;$D$1*-1,H409&lt;$D$1,I409&gt;$D$1*-1,J409&lt;$D$1,G409/F409&lt;3),"Not serious", AND(H409&gt;$D$1*-1,H409&lt;$D$1,OR(I409&lt;=$D$1*-1,J409&gt;=$D$1),I409&gt;$D$2*-1,J409&lt;$D$2,G409/F409&lt;3),"Serious", AND(H409&gt;$D$1*-1,H409&lt;$D$1,OR(I409&lt;=$D$2*-1,J409&gt;=$D$2),G409/F409&lt;3),"Very serious", AND(H409&gt;$D$1*-1,H409&lt;$D$1,I409&gt;$D$1*-1,J409&lt;$D$1,G409/F409&gt;=3),"Very serious", AND(H409&gt;$D$1*-1,H409&lt;$D$1,OR(I409&lt;=$D$1*-1,J409&gt;=$D$1),I409&gt;$D$2*-1,J409&lt;$D$2,G409/F409&gt;=3),"Very serious", AND(H409&gt;$D$1*-1,H409&lt;$D$1,OR(I409&lt;=$D$2*-1,J409&gt;=$D$2),G409/F409&gt;=3),"Very serious")),"")</f>
        <v/>
      </c>
      <c r="R409" s="109" t="str">
        <f t="shared" si="47"/>
        <v/>
      </c>
      <c r="S409" s="64"/>
      <c r="T409" s="72"/>
      <c r="U409" s="72"/>
      <c r="V409" s="72"/>
      <c r="W409" s="73"/>
      <c r="X409" s="73"/>
      <c r="Y409" s="74"/>
      <c r="Z409" s="113" t="str">
        <f t="array" ref="Z409">INDEX($A$1:$C$500, MATCH(1,($B:$B=$B409)*($C:$C=$AB409),0),1)</f>
        <v/>
      </c>
      <c r="AA409" s="113" t="str">
        <f t="array" ref="AA409">INDEX($A$1:$C$500, MATCH(1,($B:$B=$AB409)*($C:$C=$B409),0),1)</f>
        <v/>
      </c>
      <c r="AB409" s="111"/>
      <c r="AC409" s="114" t="str">
        <f t="shared" si="2"/>
        <v/>
      </c>
      <c r="AD409" s="115" t="str">
        <f t="shared" si="3"/>
        <v/>
      </c>
      <c r="AE409" s="116" t="str">
        <f t="array" ref="AE409">INDEX($A$1:$C$500, MATCH(1,($B:$B=$AB409)*($C:$C=$AG409),0),1)</f>
        <v/>
      </c>
      <c r="AF409" s="116" t="str">
        <f t="array" ref="AF409">INDEX($A$1:$C$500, MATCH(1,($B:$B=$AG409)*($C:$C=$AB409),0),1)</f>
        <v/>
      </c>
      <c r="AG409" s="72"/>
      <c r="AH409" s="114" t="str">
        <f t="shared" si="4"/>
        <v/>
      </c>
      <c r="AI409" s="115" t="str">
        <f t="shared" si="5"/>
        <v/>
      </c>
      <c r="AJ409" s="116" t="str">
        <f t="array" ref="AJ409">INDEX($A$1:$C$500, MATCH(1,($B:$B=$C409)*($C:$C=$AG409),0),1)</f>
        <v/>
      </c>
      <c r="AK409" s="116" t="str">
        <f t="array" ref="AK409">INDEX($A$1:$C$500, MATCH(1,($B:$B=$AG409)*($C:$C=$C409),0),1)</f>
        <v/>
      </c>
      <c r="AL409" s="116" t="str">
        <f t="array" ref="AL409">INDEX($A$1:$C$500, MATCH(1,($B:$B=$C409)*($C:$C=$AB409),0),1)</f>
        <v/>
      </c>
      <c r="AM409" s="116" t="str">
        <f t="array" ref="AM409">INDEX($A$1:$C$500, MATCH(1,($B:$B=$AB409)*($C:$C=$C409),0),1)</f>
        <v/>
      </c>
      <c r="AN409" s="114" t="str">
        <f t="array" ref="AN409">IFS(ISNUMBER(AJ409),AJ409,ISNUMBER(AK409),AK409,ISNUMBER(AL409),AL409,ISNUMBER(AM409),AM409)</f>
        <v>#N/A</v>
      </c>
      <c r="AO409" s="115" t="str">
        <f t="shared" si="6"/>
        <v/>
      </c>
      <c r="AP409" s="115" t="str">
        <f t="shared" si="7"/>
        <v/>
      </c>
      <c r="AQ409" s="111"/>
      <c r="AR409" s="109" t="str">
        <f t="shared" si="8"/>
        <v/>
      </c>
      <c r="AS409" s="72" t="str">
        <f>IFERROR(IF(AND(Preferences!B$3="Manual",OR(AX409/AW409&gt;V409/U409,BD409="Serious",BD409="Very serious")),"Assess imprecision",IFERROR(IFS(AND(Preferences!B$3="Automatic",V409/U409&gt;=30),"Extremely serious",AND(W409&lt;=$D$1*-1,Y409&lt;0,V409/U409&lt;3),"Not Serious",AND(W409&lt;=$D$1*-1,Y409&lt;0,V409/U409&gt;=3),"Very serious",AND(W409&gt;=$D$1,X409&gt;0,V409/U409&lt;3),"Not Serious",AND(W409&gt;=$D$1,X409&gt;0,V409/U409&gt;=3),"Very serious",AND(W409&lt;=$D$1*-1,Y409&gt;0,X409&gt;$D$2*-1,V409/U409&lt;3),"Serious", AND(W409&lt;=$D$1*-1,Y409&gt;0,X409&lt;$D$2*-1,V409/U409&lt;3),"Very serious", AND(W409&gt;=$D$1,X409&lt;0,Y409&lt;$D$2,V409/U409&lt;3),"Serious",AND(W409&gt;=$D$1,X409&lt;0,Y409&gt;$D$2,V409/U409&lt;3),"Very serious", AND(W409&lt;=$D$1*-1,Y409&gt;0,X409&gt;$D$2*-1,V409/U409&gt;=3),"Very serious", AND(W409&lt;=$D$1*-1,Y409&gt;0,X409&lt;$D$2*-1,V409/U409&gt;=3),"Very serious", AND(W409&gt;=$D$1,X409&lt;0,Y409&lt;$D$2,V409/U409&gt;=3),"Very serious", AND(W409&gt;=$D$1,X409&lt;0,Y409&gt;$D$2,V409/U409&gt;=3),"Very serious", AND(W409&gt;$D$1*-1,W409&lt;$D$1,X409&gt;$D$1*-1,Y409&lt;$D$1,V409/U409&lt;3),"Not Serious", AND(W409&gt;$D$1*-1,W409&lt;$D$1,OR(X409&lt;=$D$1*-1,Y409&gt;=$D$1),X409&gt;$D$2*-1,Y409&lt;$D$2,V409/U409&lt;3),"Serious", AND(W409&gt;$D$1*-1,W409&lt;$D$1,OR(X409&lt;=$D$2*-1,Y409&gt;=$D$2),V409/U409&lt;3),"Very serious", AND(W409&gt;$D$1*-1,W409&lt;$D$1,X409&gt;$D$1*-1,Y409&lt;$D$1,V409/U409&gt;=3),"Very serious", AND(W409&gt;$D$1*-1,W409&lt;$D$1,OR(X409&lt;=$D$1*-1,Y409&gt;=$D$1),X409&gt;$D$2*-1,Y409&lt;$D$2,V409/U409&gt;=3),"Very serious", AND(W409&gt;$D$1*-1,W409&lt;$D$1,OR(X409&lt;=$D$2*-1,Y409&gt;=$D$2),V409/U409&gt;=3),"Very serious"),"")),"")</f>
        <v/>
      </c>
      <c r="AT409" s="109" t="str">
        <f t="shared" si="9"/>
        <v/>
      </c>
      <c r="AU409" s="64"/>
      <c r="AV409" s="83"/>
      <c r="AW409" s="83"/>
      <c r="AX409" s="83"/>
      <c r="AY409" s="83"/>
      <c r="AZ409" s="83"/>
      <c r="BA409" s="85"/>
      <c r="BB409" s="86" t="str">
        <f>IF(Preferences!B$9="Manual","",IFS(ISBLANK(B409),"",AND(ISNUMBER(E409)=TRUE,ISNUMBER(T409)=FALSE),"Direct", AND(ISNUMBER(E409)=FALSE,ISNUMBER(T409)=TRUE),"Indirect", CN409=4,"Direct",AND(CL409=FALSE, CM409=TRUE,CN409-CO409&gt;-1),"Direct", AND(CL409=FALSE,CM409=TRUE, CN409-CO409&lt;0),"Check algorithm in appendix 2", AND(CL409=TRUE, CM409=FALSE,CN409-CO409&gt;0),"Check algorithm in appendix 2", AND(CL409=TRUE, CM409=FALSE,CN409-CO409=0),"Indirect", AND(CL409=TRUE, CM409=FALSE,CN409-CO409&lt;0),"Indirect", AND(CL409=FALSE,CM409=FALSE,CN409-CO409&gt;-1),"Direct", AND(CL409=FALSE,CM409=FALSE,CN409-CO409&lt;0),"Check algorithm in appendix 2", AND(CL409=TRUE,CM409=TRUE,CN409-CO409&gt;-1),"Direct", AND(CL409=TRUE,CM409=TRUE,CN409-CO409&lt;0),"Check algorithm in appendix 2"))</f>
        <v/>
      </c>
      <c r="BC409" s="120" t="str">
        <f t="shared" si="10"/>
        <v/>
      </c>
      <c r="BD409" s="140"/>
      <c r="BE409" s="122" t="str">
        <f>IF(Preferences!B$3="Manual","", IFERROR(IFS(AND(Preferences!B$3="Automatic",AX409/AW409&gt;=30),"Extremely serious",AND(AY409&lt;=$D$1*-1,BA409&lt;0,AX409/AW409&lt;3),"Not Serious",AND(AY409&lt;=$D$1*-1,BA409&lt;0,AX409/AW409&gt;=3),"Very serious",AND(AY409&gt;=$D$1,AZ409&gt;0,AX409/AW409&lt;3),"Not Serious",AND(AY409&gt;=$D$1,AZ409&gt;0,AX409/AW409&gt;=3),"Very serious",AND(AY409&lt;=$D$1*-1,BA409&gt;0,AZ409&gt;$D$2*-1,AX409/AW409&lt;3),"Serious", AND(AY409&lt;=$D$1*-1,BA409&gt;0,AZ409&lt;$D$2*-1,AX409/AW409&lt;3),"Very serious", AND(AY409&gt;=$D$1,AZ409&lt;0,BA409&lt;$D$2,AX409/AW409&lt;3),"Serious",AND(AY409&gt;=$D$1,AZ409&lt;0,BA409&gt;$D$2,AX409/AW409&lt;3),"Very serious", AND(AY409&lt;=$D$1*-1,BA409&gt;0,AZ409&gt;$D$2*-1,AX409/AW409&gt;=3),"Very serious", AND(AY409&lt;=$D$1*-1,BA409&gt;0,AZ409&lt;$D$2*-1,AX409/AW409&gt;=3),"Very serious", AND(AY409&gt;=$D$1,AZ409&lt;0,BA409&lt;$D$2,AX409/AW409&gt;=3),"Very serious", AND(AY409&gt;=$D$1,AZ409&lt;0,BA409&gt;$D$2,AX409/AW409&gt;=3),"Very serious", AND(AY409&gt;$D$1*-1,AY409&lt;$D$1,AZ409&gt;$D$1*-1,BA409&lt;$D$1,AX409/AW409&lt;3),"Not Serious", AND(AY409&gt;$D$1*-1,AY409&lt;$D$1,OR(AZ409&lt;=$D$1*-1,BA409&gt;=$D$1),AZ409&gt;$D$2*-1,BA409&lt;$D$2,AX409/AW409&lt;3),"Serious", AND(AY409&gt;$D$1*-1,AY409&lt;$D$1,OR(AZ409&lt;=$D$2*-1,BA409&gt;=$D$2),AX409/AW409&lt;3),"Very serious", AND(AY409&gt;$D$1*-1,AY409&lt;$D$1,AZ409&gt;$D$1*-1,BA409&lt;$D$1,AX409/AW409&gt;=3),"Very serious", AND(AY409&gt;$D$1*-1,AY409&lt;$D$1,OR(AZ409&lt;=$D$1*-1,BA409&gt;=$D$1),AZ409&gt;$D$2*-1,BA409&lt;$D$2,AX409/AW409&gt;=3),"Very serious", AND(AY409&gt;$D$1*-1,AY409&lt;$D$1,OR(AZ409&lt;=$D$2*-1,BA409&gt;=$D$2),AX409/AW409&gt;=3),"Very serious"),""))</f>
        <v/>
      </c>
      <c r="BF409" s="107" t="str">
        <f t="shared" si="11"/>
        <v/>
      </c>
      <c r="BG409" s="94" t="str">
        <f t="shared" si="46"/>
        <v/>
      </c>
      <c r="BH409" s="64" t="str">
        <f t="shared" si="12"/>
        <v>#N/A</v>
      </c>
      <c r="BI409" s="64" t="str">
        <f t="shared" si="13"/>
        <v/>
      </c>
      <c r="BJ409" s="123" t="str">
        <f t="shared" si="14"/>
        <v>#N/A</v>
      </c>
      <c r="BK409" s="64" t="str">
        <f t="shared" si="50"/>
        <v>YES</v>
      </c>
      <c r="BL409" s="64" t="str">
        <f t="shared" si="16"/>
        <v>YES</v>
      </c>
      <c r="BM409" s="64" t="str">
        <f t="shared" si="17"/>
        <v>YES</v>
      </c>
      <c r="BN409" s="124" t="str">
        <f t="shared" si="18"/>
        <v/>
      </c>
      <c r="BO409" s="91" t="str">
        <f t="shared" si="19"/>
        <v/>
      </c>
      <c r="BP409" s="91" t="str">
        <f t="shared" si="20"/>
        <v>#N/A</v>
      </c>
      <c r="BQ409" s="91" t="str">
        <f t="shared" si="21"/>
        <v/>
      </c>
      <c r="BR409" s="93" t="str">
        <f t="shared" si="22"/>
        <v/>
      </c>
      <c r="BS409" s="90" t="str">
        <f t="shared" si="23"/>
        <v/>
      </c>
      <c r="BT409" s="93" t="str">
        <f t="shared" si="24"/>
        <v>NA</v>
      </c>
      <c r="BU409" s="125" t="str">
        <f t="shared" si="25"/>
        <v>#N/A</v>
      </c>
      <c r="BV409" s="93" t="str">
        <f t="shared" si="26"/>
        <v/>
      </c>
      <c r="BW409" s="93" t="str">
        <f t="shared" si="27"/>
        <v/>
      </c>
      <c r="BX409" s="93" t="str">
        <f t="shared" si="28"/>
        <v>NA</v>
      </c>
      <c r="BY409" s="95" t="str">
        <f t="shared" si="29"/>
        <v>#N/A</v>
      </c>
      <c r="BZ409" s="93" t="str">
        <f t="shared" si="30"/>
        <v/>
      </c>
      <c r="CA409" s="93" t="str">
        <f t="shared" si="31"/>
        <v/>
      </c>
      <c r="CB409" s="93" t="str">
        <f t="shared" si="32"/>
        <v>NA</v>
      </c>
      <c r="CC409" s="96" t="str">
        <f t="shared" si="33"/>
        <v>#N/A</v>
      </c>
      <c r="CD409" s="93" t="str">
        <f t="shared" si="34"/>
        <v/>
      </c>
      <c r="CE409" s="93" t="str">
        <f t="shared" si="35"/>
        <v/>
      </c>
      <c r="CF409" s="93" t="str">
        <f t="shared" si="36"/>
        <v>NA</v>
      </c>
      <c r="CG409" s="97" t="str">
        <f t="shared" si="37"/>
        <v>#N/A</v>
      </c>
      <c r="CH409" s="98" t="str">
        <f t="shared" si="38"/>
        <v>#N/A</v>
      </c>
      <c r="CI409" s="99" t="str">
        <f t="shared" si="39"/>
        <v>#N/A</v>
      </c>
      <c r="CJ409" s="126" t="str">
        <f t="shared" si="40"/>
        <v>ERROR: check cell</v>
      </c>
      <c r="CK409" s="126"/>
      <c r="CL409" s="127" t="str">
        <f t="shared" si="41"/>
        <v>#DIV/0!</v>
      </c>
      <c r="CM409" s="128" t="str">
        <f t="shared" si="42"/>
        <v>#DIV/0!</v>
      </c>
      <c r="CN409" s="128">
        <f t="shared" si="43"/>
        <v>4</v>
      </c>
      <c r="CO409" s="129">
        <f t="shared" si="44"/>
        <v>4</v>
      </c>
      <c r="CP409" s="129" t="str">
        <f>IFS(C409=Preferences!B$13,B409,B409=Preferences!B$13,C409)</f>
        <v>#N/A</v>
      </c>
    </row>
    <row r="410" ht="13.5" customHeight="1">
      <c r="A410" s="63" t="str">
        <f t="shared" si="45"/>
        <v/>
      </c>
      <c r="B410" s="64"/>
      <c r="C410" s="64"/>
      <c r="D410" s="64"/>
      <c r="E410" s="65"/>
      <c r="F410" s="65"/>
      <c r="G410" s="65"/>
      <c r="H410" s="66"/>
      <c r="I410" s="66"/>
      <c r="J410" s="67"/>
      <c r="K410" s="68"/>
      <c r="L410" s="104"/>
      <c r="M410" s="104"/>
      <c r="N410" s="104"/>
      <c r="O410" s="104"/>
      <c r="P410" s="107" t="str">
        <f t="shared" si="1"/>
        <v/>
      </c>
      <c r="Q410" s="108" t="str">
        <f>IFERROR(IF(AND(Preferences!B$3="Manual",OR(AX410/AW410&gt;G410/F410,BD410="Serious",BD410="Very serious")),"Assess imprecision",IFS(ISBLANK(E410),"",AND(Preferences!B$3="Automatic", G410/F410&gt;=30),"Extremely serious",AND(H410&lt;=$D$1*-1,J410&lt;0,G410/F410&lt;3),"Not serious",AND(H410&lt;=$D$1*-1,J410&lt;0,G410/F410&gt;=3),"Very serious",AND(H410&gt;=$D$1,I410&gt;0,G410/F410&lt;3),"Not serious",AND(H410&gt;=$D$1,I410&gt;0,G410/F410&gt;=3),"Very serious",AND(H410&lt;=$D$1*-1,J410&gt;0,I410&gt;$D$2*-1,G410/F410&lt;3),"Serious", AND(H410&lt;=$D$1*-1,J410&gt;0,I410&lt;$D$2*-1,G410/F410&lt;3),"Very serious", AND(H410&gt;=$D$1,I410&lt;0,J410&lt;$D$2,G410/F410&lt;3),"Serious",AND(H410&gt;=$D$1,I410&lt;0,J410&gt;$D$2,G410/F410&lt;3),"Very serious", AND(H410&lt;=$D$1*-1,J410&gt;0,I410&gt;$D$2*-1,G410/F410&gt;=3),"Very serious", AND(H410&lt;=$D$1*-1,J410&gt;0,I410&lt;$D$2*-1,G410/F410&gt;=3),"Very serious", AND(H410&gt;=$D$1,I410&lt;0,J410&lt;$D$2,G410/F410&gt;=3),"Very serious", AND(H410&gt;=$D$1,I410&lt;0,J410&gt;$D$2,G410/F410&gt;=3),"Very serious", AND(H410&gt;$D$1*-1,H410&lt;$D$1,I410&gt;$D$1*-1,J410&lt;$D$1,G410/F410&lt;3),"Not serious", AND(H410&gt;$D$1*-1,H410&lt;$D$1,OR(I410&lt;=$D$1*-1,J410&gt;=$D$1),I410&gt;$D$2*-1,J410&lt;$D$2,G410/F410&lt;3),"Serious", AND(H410&gt;$D$1*-1,H410&lt;$D$1,OR(I410&lt;=$D$2*-1,J410&gt;=$D$2),G410/F410&lt;3),"Very serious", AND(H410&gt;$D$1*-1,H410&lt;$D$1,I410&gt;$D$1*-1,J410&lt;$D$1,G410/F410&gt;=3),"Very serious", AND(H410&gt;$D$1*-1,H410&lt;$D$1,OR(I410&lt;=$D$1*-1,J410&gt;=$D$1),I410&gt;$D$2*-1,J410&lt;$D$2,G410/F410&gt;=3),"Very serious", AND(H410&gt;$D$1*-1,H410&lt;$D$1,OR(I410&lt;=$D$2*-1,J410&gt;=$D$2),G410/F410&gt;=3),"Very serious")),"")</f>
        <v/>
      </c>
      <c r="R410" s="109" t="str">
        <f t="shared" si="47"/>
        <v/>
      </c>
      <c r="S410" s="64"/>
      <c r="T410" s="72"/>
      <c r="U410" s="72"/>
      <c r="V410" s="72"/>
      <c r="W410" s="73"/>
      <c r="X410" s="73"/>
      <c r="Y410" s="74"/>
      <c r="Z410" s="113" t="str">
        <f t="array" ref="Z410">INDEX($A$1:$C$500, MATCH(1,($B:$B=$B410)*($C:$C=$AB410),0),1)</f>
        <v/>
      </c>
      <c r="AA410" s="113" t="str">
        <f t="array" ref="AA410">INDEX($A$1:$C$500, MATCH(1,($B:$B=$AB410)*($C:$C=$B410),0),1)</f>
        <v/>
      </c>
      <c r="AB410" s="111"/>
      <c r="AC410" s="114" t="str">
        <f t="shared" si="2"/>
        <v/>
      </c>
      <c r="AD410" s="115" t="str">
        <f t="shared" si="3"/>
        <v/>
      </c>
      <c r="AE410" s="116" t="str">
        <f t="array" ref="AE410">INDEX($A$1:$C$500, MATCH(1,($B:$B=$AB410)*($C:$C=$AG410),0),1)</f>
        <v/>
      </c>
      <c r="AF410" s="116" t="str">
        <f t="array" ref="AF410">INDEX($A$1:$C$500, MATCH(1,($B:$B=$AG410)*($C:$C=$AB410),0),1)</f>
        <v/>
      </c>
      <c r="AG410" s="72"/>
      <c r="AH410" s="114" t="str">
        <f t="shared" si="4"/>
        <v/>
      </c>
      <c r="AI410" s="115" t="str">
        <f t="shared" si="5"/>
        <v/>
      </c>
      <c r="AJ410" s="116" t="str">
        <f t="array" ref="AJ410">INDEX($A$1:$C$500, MATCH(1,($B:$B=$C410)*($C:$C=$AG410),0),1)</f>
        <v/>
      </c>
      <c r="AK410" s="116" t="str">
        <f t="array" ref="AK410">INDEX($A$1:$C$500, MATCH(1,($B:$B=$AG410)*($C:$C=$C410),0),1)</f>
        <v/>
      </c>
      <c r="AL410" s="116" t="str">
        <f t="array" ref="AL410">INDEX($A$1:$C$500, MATCH(1,($B:$B=$C410)*($C:$C=$AB410),0),1)</f>
        <v/>
      </c>
      <c r="AM410" s="116" t="str">
        <f t="array" ref="AM410">INDEX($A$1:$C$500, MATCH(1,($B:$B=$AB410)*($C:$C=$C410),0),1)</f>
        <v/>
      </c>
      <c r="AN410" s="114" t="str">
        <f t="array" ref="AN410">IFS(ISNUMBER(AJ410),AJ410,ISNUMBER(AK410),AK410,ISNUMBER(AL410),AL410,ISNUMBER(AM410),AM410)</f>
        <v>#N/A</v>
      </c>
      <c r="AO410" s="115" t="str">
        <f t="shared" si="6"/>
        <v/>
      </c>
      <c r="AP410" s="115" t="str">
        <f t="shared" si="7"/>
        <v/>
      </c>
      <c r="AQ410" s="111"/>
      <c r="AR410" s="109" t="str">
        <f t="shared" si="8"/>
        <v/>
      </c>
      <c r="AS410" s="72" t="str">
        <f>IFERROR(IF(AND(Preferences!B$3="Manual",OR(AX410/AW410&gt;V410/U410,BD410="Serious",BD410="Very serious")),"Assess imprecision",IFERROR(IFS(AND(Preferences!B$3="Automatic",V410/U410&gt;=30),"Extremely serious",AND(W410&lt;=$D$1*-1,Y410&lt;0,V410/U410&lt;3),"Not Serious",AND(W410&lt;=$D$1*-1,Y410&lt;0,V410/U410&gt;=3),"Very serious",AND(W410&gt;=$D$1,X410&gt;0,V410/U410&lt;3),"Not Serious",AND(W410&gt;=$D$1,X410&gt;0,V410/U410&gt;=3),"Very serious",AND(W410&lt;=$D$1*-1,Y410&gt;0,X410&gt;$D$2*-1,V410/U410&lt;3),"Serious", AND(W410&lt;=$D$1*-1,Y410&gt;0,X410&lt;$D$2*-1,V410/U410&lt;3),"Very serious", AND(W410&gt;=$D$1,X410&lt;0,Y410&lt;$D$2,V410/U410&lt;3),"Serious",AND(W410&gt;=$D$1,X410&lt;0,Y410&gt;$D$2,V410/U410&lt;3),"Very serious", AND(W410&lt;=$D$1*-1,Y410&gt;0,X410&gt;$D$2*-1,V410/U410&gt;=3),"Very serious", AND(W410&lt;=$D$1*-1,Y410&gt;0,X410&lt;$D$2*-1,V410/U410&gt;=3),"Very serious", AND(W410&gt;=$D$1,X410&lt;0,Y410&lt;$D$2,V410/U410&gt;=3),"Very serious", AND(W410&gt;=$D$1,X410&lt;0,Y410&gt;$D$2,V410/U410&gt;=3),"Very serious", AND(W410&gt;$D$1*-1,W410&lt;$D$1,X410&gt;$D$1*-1,Y410&lt;$D$1,V410/U410&lt;3),"Not Serious", AND(W410&gt;$D$1*-1,W410&lt;$D$1,OR(X410&lt;=$D$1*-1,Y410&gt;=$D$1),X410&gt;$D$2*-1,Y410&lt;$D$2,V410/U410&lt;3),"Serious", AND(W410&gt;$D$1*-1,W410&lt;$D$1,OR(X410&lt;=$D$2*-1,Y410&gt;=$D$2),V410/U410&lt;3),"Very serious", AND(W410&gt;$D$1*-1,W410&lt;$D$1,X410&gt;$D$1*-1,Y410&lt;$D$1,V410/U410&gt;=3),"Very serious", AND(W410&gt;$D$1*-1,W410&lt;$D$1,OR(X410&lt;=$D$1*-1,Y410&gt;=$D$1),X410&gt;$D$2*-1,Y410&lt;$D$2,V410/U410&gt;=3),"Very serious", AND(W410&gt;$D$1*-1,W410&lt;$D$1,OR(X410&lt;=$D$2*-1,Y410&gt;=$D$2),V410/U410&gt;=3),"Very serious"),"")),"")</f>
        <v/>
      </c>
      <c r="AT410" s="109" t="str">
        <f t="shared" si="9"/>
        <v/>
      </c>
      <c r="AU410" s="64"/>
      <c r="AV410" s="83"/>
      <c r="AW410" s="83"/>
      <c r="AX410" s="83"/>
      <c r="AY410" s="83"/>
      <c r="AZ410" s="83"/>
      <c r="BA410" s="85"/>
      <c r="BB410" s="86" t="str">
        <f>IF(Preferences!B$9="Manual","",IFS(ISBLANK(B410),"",AND(ISNUMBER(E410)=TRUE,ISNUMBER(T410)=FALSE),"Direct", AND(ISNUMBER(E410)=FALSE,ISNUMBER(T410)=TRUE),"Indirect", CN410=4,"Direct",AND(CL410=FALSE, CM410=TRUE,CN410-CO410&gt;-1),"Direct", AND(CL410=FALSE,CM410=TRUE, CN410-CO410&lt;0),"Check algorithm in appendix 2", AND(CL410=TRUE, CM410=FALSE,CN410-CO410&gt;0),"Check algorithm in appendix 2", AND(CL410=TRUE, CM410=FALSE,CN410-CO410=0),"Indirect", AND(CL410=TRUE, CM410=FALSE,CN410-CO410&lt;0),"Indirect", AND(CL410=FALSE,CM410=FALSE,CN410-CO410&gt;-1),"Direct", AND(CL410=FALSE,CM410=FALSE,CN410-CO410&lt;0),"Check algorithm in appendix 2", AND(CL410=TRUE,CM410=TRUE,CN410-CO410&gt;-1),"Direct", AND(CL410=TRUE,CM410=TRUE,CN410-CO410&lt;0),"Check algorithm in appendix 2"))</f>
        <v/>
      </c>
      <c r="BC410" s="120" t="str">
        <f t="shared" si="10"/>
        <v/>
      </c>
      <c r="BD410" s="140"/>
      <c r="BE410" s="122" t="str">
        <f>IF(Preferences!B$3="Manual","", IFERROR(IFS(AND(Preferences!B$3="Automatic",AX410/AW410&gt;=30),"Extremely serious",AND(AY410&lt;=$D$1*-1,BA410&lt;0,AX410/AW410&lt;3),"Not Serious",AND(AY410&lt;=$D$1*-1,BA410&lt;0,AX410/AW410&gt;=3),"Very serious",AND(AY410&gt;=$D$1,AZ410&gt;0,AX410/AW410&lt;3),"Not Serious",AND(AY410&gt;=$D$1,AZ410&gt;0,AX410/AW410&gt;=3),"Very serious",AND(AY410&lt;=$D$1*-1,BA410&gt;0,AZ410&gt;$D$2*-1,AX410/AW410&lt;3),"Serious", AND(AY410&lt;=$D$1*-1,BA410&gt;0,AZ410&lt;$D$2*-1,AX410/AW410&lt;3),"Very serious", AND(AY410&gt;=$D$1,AZ410&lt;0,BA410&lt;$D$2,AX410/AW410&lt;3),"Serious",AND(AY410&gt;=$D$1,AZ410&lt;0,BA410&gt;$D$2,AX410/AW410&lt;3),"Very serious", AND(AY410&lt;=$D$1*-1,BA410&gt;0,AZ410&gt;$D$2*-1,AX410/AW410&gt;=3),"Very serious", AND(AY410&lt;=$D$1*-1,BA410&gt;0,AZ410&lt;$D$2*-1,AX410/AW410&gt;=3),"Very serious", AND(AY410&gt;=$D$1,AZ410&lt;0,BA410&lt;$D$2,AX410/AW410&gt;=3),"Very serious", AND(AY410&gt;=$D$1,AZ410&lt;0,BA410&gt;$D$2,AX410/AW410&gt;=3),"Very serious", AND(AY410&gt;$D$1*-1,AY410&lt;$D$1,AZ410&gt;$D$1*-1,BA410&lt;$D$1,AX410/AW410&lt;3),"Not Serious", AND(AY410&gt;$D$1*-1,AY410&lt;$D$1,OR(AZ410&lt;=$D$1*-1,BA410&gt;=$D$1),AZ410&gt;$D$2*-1,BA410&lt;$D$2,AX410/AW410&lt;3),"Serious", AND(AY410&gt;$D$1*-1,AY410&lt;$D$1,OR(AZ410&lt;=$D$2*-1,BA410&gt;=$D$2),AX410/AW410&lt;3),"Very serious", AND(AY410&gt;$D$1*-1,AY410&lt;$D$1,AZ410&gt;$D$1*-1,BA410&lt;$D$1,AX410/AW410&gt;=3),"Very serious", AND(AY410&gt;$D$1*-1,AY410&lt;$D$1,OR(AZ410&lt;=$D$1*-1,BA410&gt;=$D$1),AZ410&gt;$D$2*-1,BA410&lt;$D$2,AX410/AW410&gt;=3),"Very serious", AND(AY410&gt;$D$1*-1,AY410&lt;$D$1,OR(AZ410&lt;=$D$2*-1,BA410&gt;=$D$2),AX410/AW410&gt;=3),"Very serious"),""))</f>
        <v/>
      </c>
      <c r="BF410" s="107" t="str">
        <f t="shared" si="11"/>
        <v/>
      </c>
      <c r="BG410" s="94" t="str">
        <f t="shared" si="46"/>
        <v/>
      </c>
      <c r="BH410" s="64" t="str">
        <f t="shared" si="12"/>
        <v>#N/A</v>
      </c>
      <c r="BI410" s="64" t="str">
        <f t="shared" si="13"/>
        <v/>
      </c>
      <c r="BJ410" s="123" t="str">
        <f t="shared" si="14"/>
        <v>#N/A</v>
      </c>
      <c r="BK410" s="64" t="str">
        <f t="shared" si="50"/>
        <v>YES</v>
      </c>
      <c r="BL410" s="64" t="str">
        <f t="shared" si="16"/>
        <v>YES</v>
      </c>
      <c r="BM410" s="64" t="str">
        <f t="shared" si="17"/>
        <v>YES</v>
      </c>
      <c r="BN410" s="124" t="str">
        <f t="shared" si="18"/>
        <v/>
      </c>
      <c r="BO410" s="91" t="str">
        <f t="shared" si="19"/>
        <v/>
      </c>
      <c r="BP410" s="91" t="str">
        <f t="shared" si="20"/>
        <v>#N/A</v>
      </c>
      <c r="BQ410" s="91" t="str">
        <f t="shared" si="21"/>
        <v/>
      </c>
      <c r="BR410" s="93" t="str">
        <f t="shared" si="22"/>
        <v/>
      </c>
      <c r="BS410" s="90" t="str">
        <f t="shared" si="23"/>
        <v/>
      </c>
      <c r="BT410" s="93" t="str">
        <f t="shared" si="24"/>
        <v>NA</v>
      </c>
      <c r="BU410" s="125" t="str">
        <f t="shared" si="25"/>
        <v>#N/A</v>
      </c>
      <c r="BV410" s="93" t="str">
        <f t="shared" si="26"/>
        <v/>
      </c>
      <c r="BW410" s="93" t="str">
        <f t="shared" si="27"/>
        <v/>
      </c>
      <c r="BX410" s="93" t="str">
        <f t="shared" si="28"/>
        <v>NA</v>
      </c>
      <c r="BY410" s="95" t="str">
        <f t="shared" si="29"/>
        <v>#N/A</v>
      </c>
      <c r="BZ410" s="93" t="str">
        <f t="shared" si="30"/>
        <v/>
      </c>
      <c r="CA410" s="93" t="str">
        <f t="shared" si="31"/>
        <v/>
      </c>
      <c r="CB410" s="93" t="str">
        <f t="shared" si="32"/>
        <v>NA</v>
      </c>
      <c r="CC410" s="96" t="str">
        <f t="shared" si="33"/>
        <v>#N/A</v>
      </c>
      <c r="CD410" s="93" t="str">
        <f t="shared" si="34"/>
        <v/>
      </c>
      <c r="CE410" s="93" t="str">
        <f t="shared" si="35"/>
        <v/>
      </c>
      <c r="CF410" s="93" t="str">
        <f t="shared" si="36"/>
        <v>NA</v>
      </c>
      <c r="CG410" s="97" t="str">
        <f t="shared" si="37"/>
        <v>#N/A</v>
      </c>
      <c r="CH410" s="98" t="str">
        <f t="shared" si="38"/>
        <v>#N/A</v>
      </c>
      <c r="CI410" s="99" t="str">
        <f t="shared" si="39"/>
        <v>#N/A</v>
      </c>
      <c r="CJ410" s="126" t="str">
        <f t="shared" si="40"/>
        <v>ERROR: check cell</v>
      </c>
      <c r="CK410" s="126"/>
      <c r="CL410" s="127" t="str">
        <f t="shared" si="41"/>
        <v>#DIV/0!</v>
      </c>
      <c r="CM410" s="128" t="str">
        <f t="shared" si="42"/>
        <v>#DIV/0!</v>
      </c>
      <c r="CN410" s="128">
        <f t="shared" si="43"/>
        <v>4</v>
      </c>
      <c r="CO410" s="129">
        <f t="shared" si="44"/>
        <v>4</v>
      </c>
      <c r="CP410" s="129" t="str">
        <f>IFS(C410=Preferences!B$13,B410,B410=Preferences!B$13,C410)</f>
        <v>#N/A</v>
      </c>
    </row>
    <row r="411" ht="13.5" customHeight="1">
      <c r="A411" s="63" t="str">
        <f t="shared" si="45"/>
        <v/>
      </c>
      <c r="B411" s="64"/>
      <c r="C411" s="64"/>
      <c r="D411" s="64"/>
      <c r="E411" s="65"/>
      <c r="F411" s="65"/>
      <c r="G411" s="65"/>
      <c r="H411" s="66"/>
      <c r="I411" s="66"/>
      <c r="J411" s="67"/>
      <c r="K411" s="68"/>
      <c r="L411" s="104"/>
      <c r="M411" s="104"/>
      <c r="N411" s="104"/>
      <c r="O411" s="104"/>
      <c r="P411" s="107" t="str">
        <f t="shared" si="1"/>
        <v/>
      </c>
      <c r="Q411" s="108" t="str">
        <f>IFERROR(IF(AND(Preferences!B$3="Manual",OR(AX411/AW411&gt;G411/F411,BD411="Serious",BD411="Very serious")),"Assess imprecision",IFS(ISBLANK(E411),"",AND(Preferences!B$3="Automatic", G411/F411&gt;=30),"Extremely serious",AND(H411&lt;=$D$1*-1,J411&lt;0,G411/F411&lt;3),"Not serious",AND(H411&lt;=$D$1*-1,J411&lt;0,G411/F411&gt;=3),"Very serious",AND(H411&gt;=$D$1,I411&gt;0,G411/F411&lt;3),"Not serious",AND(H411&gt;=$D$1,I411&gt;0,G411/F411&gt;=3),"Very serious",AND(H411&lt;=$D$1*-1,J411&gt;0,I411&gt;$D$2*-1,G411/F411&lt;3),"Serious", AND(H411&lt;=$D$1*-1,J411&gt;0,I411&lt;$D$2*-1,G411/F411&lt;3),"Very serious", AND(H411&gt;=$D$1,I411&lt;0,J411&lt;$D$2,G411/F411&lt;3),"Serious",AND(H411&gt;=$D$1,I411&lt;0,J411&gt;$D$2,G411/F411&lt;3),"Very serious", AND(H411&lt;=$D$1*-1,J411&gt;0,I411&gt;$D$2*-1,G411/F411&gt;=3),"Very serious", AND(H411&lt;=$D$1*-1,J411&gt;0,I411&lt;$D$2*-1,G411/F411&gt;=3),"Very serious", AND(H411&gt;=$D$1,I411&lt;0,J411&lt;$D$2,G411/F411&gt;=3),"Very serious", AND(H411&gt;=$D$1,I411&lt;0,J411&gt;$D$2,G411/F411&gt;=3),"Very serious", AND(H411&gt;$D$1*-1,H411&lt;$D$1,I411&gt;$D$1*-1,J411&lt;$D$1,G411/F411&lt;3),"Not serious", AND(H411&gt;$D$1*-1,H411&lt;$D$1,OR(I411&lt;=$D$1*-1,J411&gt;=$D$1),I411&gt;$D$2*-1,J411&lt;$D$2,G411/F411&lt;3),"Serious", AND(H411&gt;$D$1*-1,H411&lt;$D$1,OR(I411&lt;=$D$2*-1,J411&gt;=$D$2),G411/F411&lt;3),"Very serious", AND(H411&gt;$D$1*-1,H411&lt;$D$1,I411&gt;$D$1*-1,J411&lt;$D$1,G411/F411&gt;=3),"Very serious", AND(H411&gt;$D$1*-1,H411&lt;$D$1,OR(I411&lt;=$D$1*-1,J411&gt;=$D$1),I411&gt;$D$2*-1,J411&lt;$D$2,G411/F411&gt;=3),"Very serious", AND(H411&gt;$D$1*-1,H411&lt;$D$1,OR(I411&lt;=$D$2*-1,J411&gt;=$D$2),G411/F411&gt;=3),"Very serious")),"")</f>
        <v/>
      </c>
      <c r="R411" s="109" t="str">
        <f t="shared" si="47"/>
        <v/>
      </c>
      <c r="S411" s="64"/>
      <c r="T411" s="72"/>
      <c r="U411" s="72"/>
      <c r="V411" s="72"/>
      <c r="W411" s="73"/>
      <c r="X411" s="73"/>
      <c r="Y411" s="74"/>
      <c r="Z411" s="113" t="str">
        <f t="array" ref="Z411">INDEX($A$1:$C$500, MATCH(1,($B:$B=$B411)*($C:$C=$AB411),0),1)</f>
        <v/>
      </c>
      <c r="AA411" s="113" t="str">
        <f t="array" ref="AA411">INDEX($A$1:$C$500, MATCH(1,($B:$B=$AB411)*($C:$C=$B411),0),1)</f>
        <v/>
      </c>
      <c r="AB411" s="111"/>
      <c r="AC411" s="114" t="str">
        <f t="shared" si="2"/>
        <v/>
      </c>
      <c r="AD411" s="115" t="str">
        <f t="shared" si="3"/>
        <v/>
      </c>
      <c r="AE411" s="116" t="str">
        <f t="array" ref="AE411">INDEX($A$1:$C$500, MATCH(1,($B:$B=$AB411)*($C:$C=$AG411),0),1)</f>
        <v/>
      </c>
      <c r="AF411" s="116" t="str">
        <f t="array" ref="AF411">INDEX($A$1:$C$500, MATCH(1,($B:$B=$AG411)*($C:$C=$AB411),0),1)</f>
        <v/>
      </c>
      <c r="AG411" s="72"/>
      <c r="AH411" s="114" t="str">
        <f t="shared" si="4"/>
        <v/>
      </c>
      <c r="AI411" s="115" t="str">
        <f t="shared" si="5"/>
        <v/>
      </c>
      <c r="AJ411" s="116" t="str">
        <f t="array" ref="AJ411">INDEX($A$1:$C$500, MATCH(1,($B:$B=$C411)*($C:$C=$AG411),0),1)</f>
        <v/>
      </c>
      <c r="AK411" s="116" t="str">
        <f t="array" ref="AK411">INDEX($A$1:$C$500, MATCH(1,($B:$B=$AG411)*($C:$C=$C411),0),1)</f>
        <v/>
      </c>
      <c r="AL411" s="116" t="str">
        <f t="array" ref="AL411">INDEX($A$1:$C$500, MATCH(1,($B:$B=$C411)*($C:$C=$AB411),0),1)</f>
        <v/>
      </c>
      <c r="AM411" s="116" t="str">
        <f t="array" ref="AM411">INDEX($A$1:$C$500, MATCH(1,($B:$B=$AB411)*($C:$C=$C411),0),1)</f>
        <v/>
      </c>
      <c r="AN411" s="114" t="str">
        <f t="array" ref="AN411">IFS(ISNUMBER(AJ411),AJ411,ISNUMBER(AK411),AK411,ISNUMBER(AL411),AL411,ISNUMBER(AM411),AM411)</f>
        <v>#N/A</v>
      </c>
      <c r="AO411" s="115" t="str">
        <f t="shared" si="6"/>
        <v/>
      </c>
      <c r="AP411" s="115" t="str">
        <f t="shared" si="7"/>
        <v/>
      </c>
      <c r="AQ411" s="111"/>
      <c r="AR411" s="109" t="str">
        <f t="shared" si="8"/>
        <v/>
      </c>
      <c r="AS411" s="72" t="str">
        <f>IFERROR(IF(AND(Preferences!B$3="Manual",OR(AX411/AW411&gt;V411/U411,BD411="Serious",BD411="Very serious")),"Assess imprecision",IFERROR(IFS(AND(Preferences!B$3="Automatic",V411/U411&gt;=30),"Extremely serious",AND(W411&lt;=$D$1*-1,Y411&lt;0,V411/U411&lt;3),"Not Serious",AND(W411&lt;=$D$1*-1,Y411&lt;0,V411/U411&gt;=3),"Very serious",AND(W411&gt;=$D$1,X411&gt;0,V411/U411&lt;3),"Not Serious",AND(W411&gt;=$D$1,X411&gt;0,V411/U411&gt;=3),"Very serious",AND(W411&lt;=$D$1*-1,Y411&gt;0,X411&gt;$D$2*-1,V411/U411&lt;3),"Serious", AND(W411&lt;=$D$1*-1,Y411&gt;0,X411&lt;$D$2*-1,V411/U411&lt;3),"Very serious", AND(W411&gt;=$D$1,X411&lt;0,Y411&lt;$D$2,V411/U411&lt;3),"Serious",AND(W411&gt;=$D$1,X411&lt;0,Y411&gt;$D$2,V411/U411&lt;3),"Very serious", AND(W411&lt;=$D$1*-1,Y411&gt;0,X411&gt;$D$2*-1,V411/U411&gt;=3),"Very serious", AND(W411&lt;=$D$1*-1,Y411&gt;0,X411&lt;$D$2*-1,V411/U411&gt;=3),"Very serious", AND(W411&gt;=$D$1,X411&lt;0,Y411&lt;$D$2,V411/U411&gt;=3),"Very serious", AND(W411&gt;=$D$1,X411&lt;0,Y411&gt;$D$2,V411/U411&gt;=3),"Very serious", AND(W411&gt;$D$1*-1,W411&lt;$D$1,X411&gt;$D$1*-1,Y411&lt;$D$1,V411/U411&lt;3),"Not Serious", AND(W411&gt;$D$1*-1,W411&lt;$D$1,OR(X411&lt;=$D$1*-1,Y411&gt;=$D$1),X411&gt;$D$2*-1,Y411&lt;$D$2,V411/U411&lt;3),"Serious", AND(W411&gt;$D$1*-1,W411&lt;$D$1,OR(X411&lt;=$D$2*-1,Y411&gt;=$D$2),V411/U411&lt;3),"Very serious", AND(W411&gt;$D$1*-1,W411&lt;$D$1,X411&gt;$D$1*-1,Y411&lt;$D$1,V411/U411&gt;=3),"Very serious", AND(W411&gt;$D$1*-1,W411&lt;$D$1,OR(X411&lt;=$D$1*-1,Y411&gt;=$D$1),X411&gt;$D$2*-1,Y411&lt;$D$2,V411/U411&gt;=3),"Very serious", AND(W411&gt;$D$1*-1,W411&lt;$D$1,OR(X411&lt;=$D$2*-1,Y411&gt;=$D$2),V411/U411&gt;=3),"Very serious"),"")),"")</f>
        <v/>
      </c>
      <c r="AT411" s="109" t="str">
        <f t="shared" si="9"/>
        <v/>
      </c>
      <c r="AU411" s="64"/>
      <c r="AV411" s="83"/>
      <c r="AW411" s="83"/>
      <c r="AX411" s="83"/>
      <c r="AY411" s="83"/>
      <c r="AZ411" s="83"/>
      <c r="BA411" s="85"/>
      <c r="BB411" s="86" t="str">
        <f>IF(Preferences!B$9="Manual","",IFS(ISBLANK(B411),"",AND(ISNUMBER(E411)=TRUE,ISNUMBER(T411)=FALSE),"Direct", AND(ISNUMBER(E411)=FALSE,ISNUMBER(T411)=TRUE),"Indirect", CN411=4,"Direct",AND(CL411=FALSE, CM411=TRUE,CN411-CO411&gt;-1),"Direct", AND(CL411=FALSE,CM411=TRUE, CN411-CO411&lt;0),"Check algorithm in appendix 2", AND(CL411=TRUE, CM411=FALSE,CN411-CO411&gt;0),"Check algorithm in appendix 2", AND(CL411=TRUE, CM411=FALSE,CN411-CO411=0),"Indirect", AND(CL411=TRUE, CM411=FALSE,CN411-CO411&lt;0),"Indirect", AND(CL411=FALSE,CM411=FALSE,CN411-CO411&gt;-1),"Direct", AND(CL411=FALSE,CM411=FALSE,CN411-CO411&lt;0),"Check algorithm in appendix 2", AND(CL411=TRUE,CM411=TRUE,CN411-CO411&gt;-1),"Direct", AND(CL411=TRUE,CM411=TRUE,CN411-CO411&lt;0),"Check algorithm in appendix 2"))</f>
        <v/>
      </c>
      <c r="BC411" s="120" t="str">
        <f t="shared" si="10"/>
        <v/>
      </c>
      <c r="BD411" s="140"/>
      <c r="BE411" s="122" t="str">
        <f>IF(Preferences!B$3="Manual","", IFERROR(IFS(AND(Preferences!B$3="Automatic",AX411/AW411&gt;=30),"Extremely serious",AND(AY411&lt;=$D$1*-1,BA411&lt;0,AX411/AW411&lt;3),"Not Serious",AND(AY411&lt;=$D$1*-1,BA411&lt;0,AX411/AW411&gt;=3),"Very serious",AND(AY411&gt;=$D$1,AZ411&gt;0,AX411/AW411&lt;3),"Not Serious",AND(AY411&gt;=$D$1,AZ411&gt;0,AX411/AW411&gt;=3),"Very serious",AND(AY411&lt;=$D$1*-1,BA411&gt;0,AZ411&gt;$D$2*-1,AX411/AW411&lt;3),"Serious", AND(AY411&lt;=$D$1*-1,BA411&gt;0,AZ411&lt;$D$2*-1,AX411/AW411&lt;3),"Very serious", AND(AY411&gt;=$D$1,AZ411&lt;0,BA411&lt;$D$2,AX411/AW411&lt;3),"Serious",AND(AY411&gt;=$D$1,AZ411&lt;0,BA411&gt;$D$2,AX411/AW411&lt;3),"Very serious", AND(AY411&lt;=$D$1*-1,BA411&gt;0,AZ411&gt;$D$2*-1,AX411/AW411&gt;=3),"Very serious", AND(AY411&lt;=$D$1*-1,BA411&gt;0,AZ411&lt;$D$2*-1,AX411/AW411&gt;=3),"Very serious", AND(AY411&gt;=$D$1,AZ411&lt;0,BA411&lt;$D$2,AX411/AW411&gt;=3),"Very serious", AND(AY411&gt;=$D$1,AZ411&lt;0,BA411&gt;$D$2,AX411/AW411&gt;=3),"Very serious", AND(AY411&gt;$D$1*-1,AY411&lt;$D$1,AZ411&gt;$D$1*-1,BA411&lt;$D$1,AX411/AW411&lt;3),"Not Serious", AND(AY411&gt;$D$1*-1,AY411&lt;$D$1,OR(AZ411&lt;=$D$1*-1,BA411&gt;=$D$1),AZ411&gt;$D$2*-1,BA411&lt;$D$2,AX411/AW411&lt;3),"Serious", AND(AY411&gt;$D$1*-1,AY411&lt;$D$1,OR(AZ411&lt;=$D$2*-1,BA411&gt;=$D$2),AX411/AW411&lt;3),"Very serious", AND(AY411&gt;$D$1*-1,AY411&lt;$D$1,AZ411&gt;$D$1*-1,BA411&lt;$D$1,AX411/AW411&gt;=3),"Very serious", AND(AY411&gt;$D$1*-1,AY411&lt;$D$1,OR(AZ411&lt;=$D$1*-1,BA411&gt;=$D$1),AZ411&gt;$D$2*-1,BA411&lt;$D$2,AX411/AW411&gt;=3),"Very serious", AND(AY411&gt;$D$1*-1,AY411&lt;$D$1,OR(AZ411&lt;=$D$2*-1,BA411&gt;=$D$2),AX411/AW411&gt;=3),"Very serious"),""))</f>
        <v/>
      </c>
      <c r="BF411" s="107" t="str">
        <f t="shared" si="11"/>
        <v/>
      </c>
      <c r="BG411" s="94" t="str">
        <f t="shared" si="46"/>
        <v/>
      </c>
      <c r="BH411" s="64" t="str">
        <f t="shared" si="12"/>
        <v>#N/A</v>
      </c>
      <c r="BI411" s="64" t="str">
        <f t="shared" si="13"/>
        <v/>
      </c>
      <c r="BJ411" s="123" t="str">
        <f t="shared" si="14"/>
        <v>#N/A</v>
      </c>
      <c r="BK411" s="64" t="str">
        <f t="shared" si="50"/>
        <v>YES</v>
      </c>
      <c r="BL411" s="64" t="str">
        <f t="shared" si="16"/>
        <v>YES</v>
      </c>
      <c r="BM411" s="64" t="str">
        <f t="shared" si="17"/>
        <v>YES</v>
      </c>
      <c r="BN411" s="124" t="str">
        <f t="shared" si="18"/>
        <v/>
      </c>
      <c r="BO411" s="91" t="str">
        <f t="shared" si="19"/>
        <v/>
      </c>
      <c r="BP411" s="91" t="str">
        <f t="shared" si="20"/>
        <v>#N/A</v>
      </c>
      <c r="BQ411" s="91" t="str">
        <f t="shared" si="21"/>
        <v/>
      </c>
      <c r="BR411" s="93" t="str">
        <f t="shared" si="22"/>
        <v/>
      </c>
      <c r="BS411" s="90" t="str">
        <f t="shared" si="23"/>
        <v/>
      </c>
      <c r="BT411" s="93" t="str">
        <f t="shared" si="24"/>
        <v>NA</v>
      </c>
      <c r="BU411" s="125" t="str">
        <f t="shared" si="25"/>
        <v>#N/A</v>
      </c>
      <c r="BV411" s="93" t="str">
        <f t="shared" si="26"/>
        <v/>
      </c>
      <c r="BW411" s="93" t="str">
        <f t="shared" si="27"/>
        <v/>
      </c>
      <c r="BX411" s="93" t="str">
        <f t="shared" si="28"/>
        <v>NA</v>
      </c>
      <c r="BY411" s="95" t="str">
        <f t="shared" si="29"/>
        <v>#N/A</v>
      </c>
      <c r="BZ411" s="93" t="str">
        <f t="shared" si="30"/>
        <v/>
      </c>
      <c r="CA411" s="93" t="str">
        <f t="shared" si="31"/>
        <v/>
      </c>
      <c r="CB411" s="93" t="str">
        <f t="shared" si="32"/>
        <v>NA</v>
      </c>
      <c r="CC411" s="96" t="str">
        <f t="shared" si="33"/>
        <v>#N/A</v>
      </c>
      <c r="CD411" s="93" t="str">
        <f t="shared" si="34"/>
        <v/>
      </c>
      <c r="CE411" s="93" t="str">
        <f t="shared" si="35"/>
        <v/>
      </c>
      <c r="CF411" s="93" t="str">
        <f t="shared" si="36"/>
        <v>NA</v>
      </c>
      <c r="CG411" s="97" t="str">
        <f t="shared" si="37"/>
        <v>#N/A</v>
      </c>
      <c r="CH411" s="98" t="str">
        <f t="shared" si="38"/>
        <v>#N/A</v>
      </c>
      <c r="CI411" s="99" t="str">
        <f t="shared" si="39"/>
        <v>#N/A</v>
      </c>
      <c r="CJ411" s="126" t="str">
        <f t="shared" si="40"/>
        <v>ERROR: check cell</v>
      </c>
      <c r="CK411" s="126"/>
      <c r="CL411" s="127" t="str">
        <f t="shared" si="41"/>
        <v>#DIV/0!</v>
      </c>
      <c r="CM411" s="128" t="str">
        <f t="shared" si="42"/>
        <v>#DIV/0!</v>
      </c>
      <c r="CN411" s="128">
        <f t="shared" si="43"/>
        <v>4</v>
      </c>
      <c r="CO411" s="129">
        <f t="shared" si="44"/>
        <v>4</v>
      </c>
      <c r="CP411" s="129" t="str">
        <f>IFS(C411=Preferences!B$13,B411,B411=Preferences!B$13,C411)</f>
        <v>#N/A</v>
      </c>
    </row>
    <row r="412" ht="13.5" customHeight="1">
      <c r="A412" s="63" t="str">
        <f t="shared" si="45"/>
        <v/>
      </c>
      <c r="B412" s="64"/>
      <c r="C412" s="64"/>
      <c r="D412" s="64"/>
      <c r="E412" s="65"/>
      <c r="F412" s="65"/>
      <c r="G412" s="65"/>
      <c r="H412" s="66"/>
      <c r="I412" s="66"/>
      <c r="J412" s="67"/>
      <c r="K412" s="68"/>
      <c r="L412" s="104"/>
      <c r="M412" s="104"/>
      <c r="N412" s="104"/>
      <c r="O412" s="104"/>
      <c r="P412" s="107" t="str">
        <f t="shared" si="1"/>
        <v/>
      </c>
      <c r="Q412" s="108" t="str">
        <f>IFERROR(IF(AND(Preferences!B$3="Manual",OR(AX412/AW412&gt;G412/F412,BD412="Serious",BD412="Very serious")),"Assess imprecision",IFS(ISBLANK(E412),"",AND(Preferences!B$3="Automatic", G412/F412&gt;=30),"Extremely serious",AND(H412&lt;=$D$1*-1,J412&lt;0,G412/F412&lt;3),"Not serious",AND(H412&lt;=$D$1*-1,J412&lt;0,G412/F412&gt;=3),"Very serious",AND(H412&gt;=$D$1,I412&gt;0,G412/F412&lt;3),"Not serious",AND(H412&gt;=$D$1,I412&gt;0,G412/F412&gt;=3),"Very serious",AND(H412&lt;=$D$1*-1,J412&gt;0,I412&gt;$D$2*-1,G412/F412&lt;3),"Serious", AND(H412&lt;=$D$1*-1,J412&gt;0,I412&lt;$D$2*-1,G412/F412&lt;3),"Very serious", AND(H412&gt;=$D$1,I412&lt;0,J412&lt;$D$2,G412/F412&lt;3),"Serious",AND(H412&gt;=$D$1,I412&lt;0,J412&gt;$D$2,G412/F412&lt;3),"Very serious", AND(H412&lt;=$D$1*-1,J412&gt;0,I412&gt;$D$2*-1,G412/F412&gt;=3),"Very serious", AND(H412&lt;=$D$1*-1,J412&gt;0,I412&lt;$D$2*-1,G412/F412&gt;=3),"Very serious", AND(H412&gt;=$D$1,I412&lt;0,J412&lt;$D$2,G412/F412&gt;=3),"Very serious", AND(H412&gt;=$D$1,I412&lt;0,J412&gt;$D$2,G412/F412&gt;=3),"Very serious", AND(H412&gt;$D$1*-1,H412&lt;$D$1,I412&gt;$D$1*-1,J412&lt;$D$1,G412/F412&lt;3),"Not serious", AND(H412&gt;$D$1*-1,H412&lt;$D$1,OR(I412&lt;=$D$1*-1,J412&gt;=$D$1),I412&gt;$D$2*-1,J412&lt;$D$2,G412/F412&lt;3),"Serious", AND(H412&gt;$D$1*-1,H412&lt;$D$1,OR(I412&lt;=$D$2*-1,J412&gt;=$D$2),G412/F412&lt;3),"Very serious", AND(H412&gt;$D$1*-1,H412&lt;$D$1,I412&gt;$D$1*-1,J412&lt;$D$1,G412/F412&gt;=3),"Very serious", AND(H412&gt;$D$1*-1,H412&lt;$D$1,OR(I412&lt;=$D$1*-1,J412&gt;=$D$1),I412&gt;$D$2*-1,J412&lt;$D$2,G412/F412&gt;=3),"Very serious", AND(H412&gt;$D$1*-1,H412&lt;$D$1,OR(I412&lt;=$D$2*-1,J412&gt;=$D$2),G412/F412&gt;=3),"Very serious")),"")</f>
        <v/>
      </c>
      <c r="R412" s="109" t="str">
        <f t="shared" si="47"/>
        <v/>
      </c>
      <c r="S412" s="64"/>
      <c r="T412" s="72"/>
      <c r="U412" s="72"/>
      <c r="V412" s="72"/>
      <c r="W412" s="73"/>
      <c r="X412" s="73"/>
      <c r="Y412" s="74"/>
      <c r="Z412" s="113" t="str">
        <f t="array" ref="Z412">INDEX($A$1:$C$500, MATCH(1,($B:$B=$B412)*($C:$C=$AB412),0),1)</f>
        <v/>
      </c>
      <c r="AA412" s="113" t="str">
        <f t="array" ref="AA412">INDEX($A$1:$C$500, MATCH(1,($B:$B=$AB412)*($C:$C=$B412),0),1)</f>
        <v/>
      </c>
      <c r="AB412" s="111"/>
      <c r="AC412" s="114" t="str">
        <f t="shared" si="2"/>
        <v/>
      </c>
      <c r="AD412" s="115" t="str">
        <f t="shared" si="3"/>
        <v/>
      </c>
      <c r="AE412" s="116" t="str">
        <f t="array" ref="AE412">INDEX($A$1:$C$500, MATCH(1,($B:$B=$AB412)*($C:$C=$AG412),0),1)</f>
        <v/>
      </c>
      <c r="AF412" s="116" t="str">
        <f t="array" ref="AF412">INDEX($A$1:$C$500, MATCH(1,($B:$B=$AG412)*($C:$C=$AB412),0),1)</f>
        <v/>
      </c>
      <c r="AG412" s="72"/>
      <c r="AH412" s="114" t="str">
        <f t="shared" si="4"/>
        <v/>
      </c>
      <c r="AI412" s="115" t="str">
        <f t="shared" si="5"/>
        <v/>
      </c>
      <c r="AJ412" s="116" t="str">
        <f t="array" ref="AJ412">INDEX($A$1:$C$500, MATCH(1,($B:$B=$C412)*($C:$C=$AG412),0),1)</f>
        <v/>
      </c>
      <c r="AK412" s="116" t="str">
        <f t="array" ref="AK412">INDEX($A$1:$C$500, MATCH(1,($B:$B=$AG412)*($C:$C=$C412),0),1)</f>
        <v/>
      </c>
      <c r="AL412" s="116" t="str">
        <f t="array" ref="AL412">INDEX($A$1:$C$500, MATCH(1,($B:$B=$C412)*($C:$C=$AB412),0),1)</f>
        <v/>
      </c>
      <c r="AM412" s="116" t="str">
        <f t="array" ref="AM412">INDEX($A$1:$C$500, MATCH(1,($B:$B=$AB412)*($C:$C=$C412),0),1)</f>
        <v/>
      </c>
      <c r="AN412" s="114" t="str">
        <f t="array" ref="AN412">IFS(ISNUMBER(AJ412),AJ412,ISNUMBER(AK412),AK412,ISNUMBER(AL412),AL412,ISNUMBER(AM412),AM412)</f>
        <v>#N/A</v>
      </c>
      <c r="AO412" s="115" t="str">
        <f t="shared" si="6"/>
        <v/>
      </c>
      <c r="AP412" s="115" t="str">
        <f t="shared" si="7"/>
        <v/>
      </c>
      <c r="AQ412" s="111"/>
      <c r="AR412" s="109" t="str">
        <f t="shared" si="8"/>
        <v/>
      </c>
      <c r="AS412" s="72" t="str">
        <f>IFERROR(IF(AND(Preferences!B$3="Manual",OR(AX412/AW412&gt;V412/U412,BD412="Serious",BD412="Very serious")),"Assess imprecision",IFERROR(IFS(AND(Preferences!B$3="Automatic",V412/U412&gt;=30),"Extremely serious",AND(W412&lt;=$D$1*-1,Y412&lt;0,V412/U412&lt;3),"Not Serious",AND(W412&lt;=$D$1*-1,Y412&lt;0,V412/U412&gt;=3),"Very serious",AND(W412&gt;=$D$1,X412&gt;0,V412/U412&lt;3),"Not Serious",AND(W412&gt;=$D$1,X412&gt;0,V412/U412&gt;=3),"Very serious",AND(W412&lt;=$D$1*-1,Y412&gt;0,X412&gt;$D$2*-1,V412/U412&lt;3),"Serious", AND(W412&lt;=$D$1*-1,Y412&gt;0,X412&lt;$D$2*-1,V412/U412&lt;3),"Very serious", AND(W412&gt;=$D$1,X412&lt;0,Y412&lt;$D$2,V412/U412&lt;3),"Serious",AND(W412&gt;=$D$1,X412&lt;0,Y412&gt;$D$2,V412/U412&lt;3),"Very serious", AND(W412&lt;=$D$1*-1,Y412&gt;0,X412&gt;$D$2*-1,V412/U412&gt;=3),"Very serious", AND(W412&lt;=$D$1*-1,Y412&gt;0,X412&lt;$D$2*-1,V412/U412&gt;=3),"Very serious", AND(W412&gt;=$D$1,X412&lt;0,Y412&lt;$D$2,V412/U412&gt;=3),"Very serious", AND(W412&gt;=$D$1,X412&lt;0,Y412&gt;$D$2,V412/U412&gt;=3),"Very serious", AND(W412&gt;$D$1*-1,W412&lt;$D$1,X412&gt;$D$1*-1,Y412&lt;$D$1,V412/U412&lt;3),"Not Serious", AND(W412&gt;$D$1*-1,W412&lt;$D$1,OR(X412&lt;=$D$1*-1,Y412&gt;=$D$1),X412&gt;$D$2*-1,Y412&lt;$D$2,V412/U412&lt;3),"Serious", AND(W412&gt;$D$1*-1,W412&lt;$D$1,OR(X412&lt;=$D$2*-1,Y412&gt;=$D$2),V412/U412&lt;3),"Very serious", AND(W412&gt;$D$1*-1,W412&lt;$D$1,X412&gt;$D$1*-1,Y412&lt;$D$1,V412/U412&gt;=3),"Very serious", AND(W412&gt;$D$1*-1,W412&lt;$D$1,OR(X412&lt;=$D$1*-1,Y412&gt;=$D$1),X412&gt;$D$2*-1,Y412&lt;$D$2,V412/U412&gt;=3),"Very serious", AND(W412&gt;$D$1*-1,W412&lt;$D$1,OR(X412&lt;=$D$2*-1,Y412&gt;=$D$2),V412/U412&gt;=3),"Very serious"),"")),"")</f>
        <v/>
      </c>
      <c r="AT412" s="109" t="str">
        <f t="shared" si="9"/>
        <v/>
      </c>
      <c r="AU412" s="64"/>
      <c r="AV412" s="83"/>
      <c r="AW412" s="83"/>
      <c r="AX412" s="83"/>
      <c r="AY412" s="83"/>
      <c r="AZ412" s="83"/>
      <c r="BA412" s="85"/>
      <c r="BB412" s="86" t="str">
        <f>IF(Preferences!B$9="Manual","",IFS(ISBLANK(B412),"",AND(ISNUMBER(E412)=TRUE,ISNUMBER(T412)=FALSE),"Direct", AND(ISNUMBER(E412)=FALSE,ISNUMBER(T412)=TRUE),"Indirect", CN412=4,"Direct",AND(CL412=FALSE, CM412=TRUE,CN412-CO412&gt;-1),"Direct", AND(CL412=FALSE,CM412=TRUE, CN412-CO412&lt;0),"Check algorithm in appendix 2", AND(CL412=TRUE, CM412=FALSE,CN412-CO412&gt;0),"Check algorithm in appendix 2", AND(CL412=TRUE, CM412=FALSE,CN412-CO412=0),"Indirect", AND(CL412=TRUE, CM412=FALSE,CN412-CO412&lt;0),"Indirect", AND(CL412=FALSE,CM412=FALSE,CN412-CO412&gt;-1),"Direct", AND(CL412=FALSE,CM412=FALSE,CN412-CO412&lt;0),"Check algorithm in appendix 2", AND(CL412=TRUE,CM412=TRUE,CN412-CO412&gt;-1),"Direct", AND(CL412=TRUE,CM412=TRUE,CN412-CO412&lt;0),"Check algorithm in appendix 2"))</f>
        <v/>
      </c>
      <c r="BC412" s="120" t="str">
        <f t="shared" si="10"/>
        <v/>
      </c>
      <c r="BD412" s="140"/>
      <c r="BE412" s="122" t="str">
        <f>IF(Preferences!B$3="Manual","", IFERROR(IFS(AND(Preferences!B$3="Automatic",AX412/AW412&gt;=30),"Extremely serious",AND(AY412&lt;=$D$1*-1,BA412&lt;0,AX412/AW412&lt;3),"Not Serious",AND(AY412&lt;=$D$1*-1,BA412&lt;0,AX412/AW412&gt;=3),"Very serious",AND(AY412&gt;=$D$1,AZ412&gt;0,AX412/AW412&lt;3),"Not Serious",AND(AY412&gt;=$D$1,AZ412&gt;0,AX412/AW412&gt;=3),"Very serious",AND(AY412&lt;=$D$1*-1,BA412&gt;0,AZ412&gt;$D$2*-1,AX412/AW412&lt;3),"Serious", AND(AY412&lt;=$D$1*-1,BA412&gt;0,AZ412&lt;$D$2*-1,AX412/AW412&lt;3),"Very serious", AND(AY412&gt;=$D$1,AZ412&lt;0,BA412&lt;$D$2,AX412/AW412&lt;3),"Serious",AND(AY412&gt;=$D$1,AZ412&lt;0,BA412&gt;$D$2,AX412/AW412&lt;3),"Very serious", AND(AY412&lt;=$D$1*-1,BA412&gt;0,AZ412&gt;$D$2*-1,AX412/AW412&gt;=3),"Very serious", AND(AY412&lt;=$D$1*-1,BA412&gt;0,AZ412&lt;$D$2*-1,AX412/AW412&gt;=3),"Very serious", AND(AY412&gt;=$D$1,AZ412&lt;0,BA412&lt;$D$2,AX412/AW412&gt;=3),"Very serious", AND(AY412&gt;=$D$1,AZ412&lt;0,BA412&gt;$D$2,AX412/AW412&gt;=3),"Very serious", AND(AY412&gt;$D$1*-1,AY412&lt;$D$1,AZ412&gt;$D$1*-1,BA412&lt;$D$1,AX412/AW412&lt;3),"Not Serious", AND(AY412&gt;$D$1*-1,AY412&lt;$D$1,OR(AZ412&lt;=$D$1*-1,BA412&gt;=$D$1),AZ412&gt;$D$2*-1,BA412&lt;$D$2,AX412/AW412&lt;3),"Serious", AND(AY412&gt;$D$1*-1,AY412&lt;$D$1,OR(AZ412&lt;=$D$2*-1,BA412&gt;=$D$2),AX412/AW412&lt;3),"Very serious", AND(AY412&gt;$D$1*-1,AY412&lt;$D$1,AZ412&gt;$D$1*-1,BA412&lt;$D$1,AX412/AW412&gt;=3),"Very serious", AND(AY412&gt;$D$1*-1,AY412&lt;$D$1,OR(AZ412&lt;=$D$1*-1,BA412&gt;=$D$1),AZ412&gt;$D$2*-1,BA412&lt;$D$2,AX412/AW412&gt;=3),"Very serious", AND(AY412&gt;$D$1*-1,AY412&lt;$D$1,OR(AZ412&lt;=$D$2*-1,BA412&gt;=$D$2),AX412/AW412&gt;=3),"Very serious"),""))</f>
        <v/>
      </c>
      <c r="BF412" s="107" t="str">
        <f t="shared" si="11"/>
        <v/>
      </c>
      <c r="BG412" s="94" t="str">
        <f t="shared" si="46"/>
        <v/>
      </c>
      <c r="BH412" s="64" t="str">
        <f t="shared" si="12"/>
        <v>#N/A</v>
      </c>
      <c r="BI412" s="64" t="str">
        <f t="shared" si="13"/>
        <v/>
      </c>
      <c r="BJ412" s="123" t="str">
        <f t="shared" si="14"/>
        <v>#N/A</v>
      </c>
      <c r="BK412" s="64" t="str">
        <f t="shared" si="50"/>
        <v>YES</v>
      </c>
      <c r="BL412" s="64" t="str">
        <f t="shared" si="16"/>
        <v>YES</v>
      </c>
      <c r="BM412" s="64" t="str">
        <f t="shared" si="17"/>
        <v>YES</v>
      </c>
      <c r="BN412" s="124" t="str">
        <f t="shared" si="18"/>
        <v/>
      </c>
      <c r="BO412" s="91" t="str">
        <f t="shared" si="19"/>
        <v/>
      </c>
      <c r="BP412" s="91" t="str">
        <f t="shared" si="20"/>
        <v>#N/A</v>
      </c>
      <c r="BQ412" s="91" t="str">
        <f t="shared" si="21"/>
        <v/>
      </c>
      <c r="BR412" s="93" t="str">
        <f t="shared" si="22"/>
        <v/>
      </c>
      <c r="BS412" s="90" t="str">
        <f t="shared" si="23"/>
        <v/>
      </c>
      <c r="BT412" s="93" t="str">
        <f t="shared" si="24"/>
        <v>NA</v>
      </c>
      <c r="BU412" s="125" t="str">
        <f t="shared" si="25"/>
        <v>#N/A</v>
      </c>
      <c r="BV412" s="93" t="str">
        <f t="shared" si="26"/>
        <v/>
      </c>
      <c r="BW412" s="93" t="str">
        <f t="shared" si="27"/>
        <v/>
      </c>
      <c r="BX412" s="93" t="str">
        <f t="shared" si="28"/>
        <v>NA</v>
      </c>
      <c r="BY412" s="95" t="str">
        <f t="shared" si="29"/>
        <v>#N/A</v>
      </c>
      <c r="BZ412" s="93" t="str">
        <f t="shared" si="30"/>
        <v/>
      </c>
      <c r="CA412" s="93" t="str">
        <f t="shared" si="31"/>
        <v/>
      </c>
      <c r="CB412" s="93" t="str">
        <f t="shared" si="32"/>
        <v>NA</v>
      </c>
      <c r="CC412" s="96" t="str">
        <f t="shared" si="33"/>
        <v>#N/A</v>
      </c>
      <c r="CD412" s="93" t="str">
        <f t="shared" si="34"/>
        <v/>
      </c>
      <c r="CE412" s="93" t="str">
        <f t="shared" si="35"/>
        <v/>
      </c>
      <c r="CF412" s="93" t="str">
        <f t="shared" si="36"/>
        <v>NA</v>
      </c>
      <c r="CG412" s="97" t="str">
        <f t="shared" si="37"/>
        <v>#N/A</v>
      </c>
      <c r="CH412" s="98" t="str">
        <f t="shared" si="38"/>
        <v>#N/A</v>
      </c>
      <c r="CI412" s="99" t="str">
        <f t="shared" si="39"/>
        <v>#N/A</v>
      </c>
      <c r="CJ412" s="126" t="str">
        <f t="shared" si="40"/>
        <v>ERROR: check cell</v>
      </c>
      <c r="CK412" s="126"/>
      <c r="CL412" s="127" t="str">
        <f t="shared" si="41"/>
        <v>#DIV/0!</v>
      </c>
      <c r="CM412" s="128" t="str">
        <f t="shared" si="42"/>
        <v>#DIV/0!</v>
      </c>
      <c r="CN412" s="128">
        <f t="shared" si="43"/>
        <v>4</v>
      </c>
      <c r="CO412" s="129">
        <f t="shared" si="44"/>
        <v>4</v>
      </c>
      <c r="CP412" s="129" t="str">
        <f>IFS(C412=Preferences!B$13,B412,B412=Preferences!B$13,C412)</f>
        <v>#N/A</v>
      </c>
    </row>
    <row r="413" ht="13.5" customHeight="1">
      <c r="A413" s="63" t="str">
        <f t="shared" si="45"/>
        <v/>
      </c>
      <c r="B413" s="64"/>
      <c r="C413" s="64"/>
      <c r="D413" s="64"/>
      <c r="E413" s="65"/>
      <c r="F413" s="65"/>
      <c r="G413" s="65"/>
      <c r="H413" s="66"/>
      <c r="I413" s="66"/>
      <c r="J413" s="67"/>
      <c r="K413" s="68"/>
      <c r="L413" s="104"/>
      <c r="M413" s="104"/>
      <c r="N413" s="104"/>
      <c r="O413" s="104"/>
      <c r="P413" s="107" t="str">
        <f t="shared" si="1"/>
        <v/>
      </c>
      <c r="Q413" s="108" t="str">
        <f>IFERROR(IF(AND(Preferences!B$3="Manual",OR(AX413/AW413&gt;G413/F413,BD413="Serious",BD413="Very serious")),"Assess imprecision",IFS(ISBLANK(E413),"",AND(Preferences!B$3="Automatic", G413/F413&gt;=30),"Extremely serious",AND(H413&lt;=$D$1*-1,J413&lt;0,G413/F413&lt;3),"Not serious",AND(H413&lt;=$D$1*-1,J413&lt;0,G413/F413&gt;=3),"Very serious",AND(H413&gt;=$D$1,I413&gt;0,G413/F413&lt;3),"Not serious",AND(H413&gt;=$D$1,I413&gt;0,G413/F413&gt;=3),"Very serious",AND(H413&lt;=$D$1*-1,J413&gt;0,I413&gt;$D$2*-1,G413/F413&lt;3),"Serious", AND(H413&lt;=$D$1*-1,J413&gt;0,I413&lt;$D$2*-1,G413/F413&lt;3),"Very serious", AND(H413&gt;=$D$1,I413&lt;0,J413&lt;$D$2,G413/F413&lt;3),"Serious",AND(H413&gt;=$D$1,I413&lt;0,J413&gt;$D$2,G413/F413&lt;3),"Very serious", AND(H413&lt;=$D$1*-1,J413&gt;0,I413&gt;$D$2*-1,G413/F413&gt;=3),"Very serious", AND(H413&lt;=$D$1*-1,J413&gt;0,I413&lt;$D$2*-1,G413/F413&gt;=3),"Very serious", AND(H413&gt;=$D$1,I413&lt;0,J413&lt;$D$2,G413/F413&gt;=3),"Very serious", AND(H413&gt;=$D$1,I413&lt;0,J413&gt;$D$2,G413/F413&gt;=3),"Very serious", AND(H413&gt;$D$1*-1,H413&lt;$D$1,I413&gt;$D$1*-1,J413&lt;$D$1,G413/F413&lt;3),"Not serious", AND(H413&gt;$D$1*-1,H413&lt;$D$1,OR(I413&lt;=$D$1*-1,J413&gt;=$D$1),I413&gt;$D$2*-1,J413&lt;$D$2,G413/F413&lt;3),"Serious", AND(H413&gt;$D$1*-1,H413&lt;$D$1,OR(I413&lt;=$D$2*-1,J413&gt;=$D$2),G413/F413&lt;3),"Very serious", AND(H413&gt;$D$1*-1,H413&lt;$D$1,I413&gt;$D$1*-1,J413&lt;$D$1,G413/F413&gt;=3),"Very serious", AND(H413&gt;$D$1*-1,H413&lt;$D$1,OR(I413&lt;=$D$1*-1,J413&gt;=$D$1),I413&gt;$D$2*-1,J413&lt;$D$2,G413/F413&gt;=3),"Very serious", AND(H413&gt;$D$1*-1,H413&lt;$D$1,OR(I413&lt;=$D$2*-1,J413&gt;=$D$2),G413/F413&gt;=3),"Very serious")),"")</f>
        <v/>
      </c>
      <c r="R413" s="109" t="str">
        <f t="shared" si="47"/>
        <v/>
      </c>
      <c r="S413" s="64"/>
      <c r="T413" s="72"/>
      <c r="U413" s="72"/>
      <c r="V413" s="72"/>
      <c r="W413" s="73"/>
      <c r="X413" s="73"/>
      <c r="Y413" s="74"/>
      <c r="Z413" s="113" t="str">
        <f t="array" ref="Z413">INDEX($A$1:$C$500, MATCH(1,($B:$B=$B413)*($C:$C=$AB413),0),1)</f>
        <v/>
      </c>
      <c r="AA413" s="113" t="str">
        <f t="array" ref="AA413">INDEX($A$1:$C$500, MATCH(1,($B:$B=$AB413)*($C:$C=$B413),0),1)</f>
        <v/>
      </c>
      <c r="AB413" s="111"/>
      <c r="AC413" s="114" t="str">
        <f t="shared" si="2"/>
        <v/>
      </c>
      <c r="AD413" s="115" t="str">
        <f t="shared" si="3"/>
        <v/>
      </c>
      <c r="AE413" s="116" t="str">
        <f t="array" ref="AE413">INDEX($A$1:$C$500, MATCH(1,($B:$B=$AB413)*($C:$C=$AG413),0),1)</f>
        <v/>
      </c>
      <c r="AF413" s="116" t="str">
        <f t="array" ref="AF413">INDEX($A$1:$C$500, MATCH(1,($B:$B=$AG413)*($C:$C=$AB413),0),1)</f>
        <v/>
      </c>
      <c r="AG413" s="72"/>
      <c r="AH413" s="114" t="str">
        <f t="shared" si="4"/>
        <v/>
      </c>
      <c r="AI413" s="115" t="str">
        <f t="shared" si="5"/>
        <v/>
      </c>
      <c r="AJ413" s="116" t="str">
        <f t="array" ref="AJ413">INDEX($A$1:$C$500, MATCH(1,($B:$B=$C413)*($C:$C=$AG413),0),1)</f>
        <v/>
      </c>
      <c r="AK413" s="116" t="str">
        <f t="array" ref="AK413">INDEX($A$1:$C$500, MATCH(1,($B:$B=$AG413)*($C:$C=$C413),0),1)</f>
        <v/>
      </c>
      <c r="AL413" s="116" t="str">
        <f t="array" ref="AL413">INDEX($A$1:$C$500, MATCH(1,($B:$B=$C413)*($C:$C=$AB413),0),1)</f>
        <v/>
      </c>
      <c r="AM413" s="116" t="str">
        <f t="array" ref="AM413">INDEX($A$1:$C$500, MATCH(1,($B:$B=$AB413)*($C:$C=$C413),0),1)</f>
        <v/>
      </c>
      <c r="AN413" s="114" t="str">
        <f t="array" ref="AN413">IFS(ISNUMBER(AJ413),AJ413,ISNUMBER(AK413),AK413,ISNUMBER(AL413),AL413,ISNUMBER(AM413),AM413)</f>
        <v>#N/A</v>
      </c>
      <c r="AO413" s="115" t="str">
        <f t="shared" si="6"/>
        <v/>
      </c>
      <c r="AP413" s="115" t="str">
        <f t="shared" si="7"/>
        <v/>
      </c>
      <c r="AQ413" s="111"/>
      <c r="AR413" s="109" t="str">
        <f t="shared" si="8"/>
        <v/>
      </c>
      <c r="AS413" s="72" t="str">
        <f>IFERROR(IF(AND(Preferences!B$3="Manual",OR(AX413/AW413&gt;V413/U413,BD413="Serious",BD413="Very serious")),"Assess imprecision",IFERROR(IFS(AND(Preferences!B$3="Automatic",V413/U413&gt;=30),"Extremely serious",AND(W413&lt;=$D$1*-1,Y413&lt;0,V413/U413&lt;3),"Not Serious",AND(W413&lt;=$D$1*-1,Y413&lt;0,V413/U413&gt;=3),"Very serious",AND(W413&gt;=$D$1,X413&gt;0,V413/U413&lt;3),"Not Serious",AND(W413&gt;=$D$1,X413&gt;0,V413/U413&gt;=3),"Very serious",AND(W413&lt;=$D$1*-1,Y413&gt;0,X413&gt;$D$2*-1,V413/U413&lt;3),"Serious", AND(W413&lt;=$D$1*-1,Y413&gt;0,X413&lt;$D$2*-1,V413/U413&lt;3),"Very serious", AND(W413&gt;=$D$1,X413&lt;0,Y413&lt;$D$2,V413/U413&lt;3),"Serious",AND(W413&gt;=$D$1,X413&lt;0,Y413&gt;$D$2,V413/U413&lt;3),"Very serious", AND(W413&lt;=$D$1*-1,Y413&gt;0,X413&gt;$D$2*-1,V413/U413&gt;=3),"Very serious", AND(W413&lt;=$D$1*-1,Y413&gt;0,X413&lt;$D$2*-1,V413/U413&gt;=3),"Very serious", AND(W413&gt;=$D$1,X413&lt;0,Y413&lt;$D$2,V413/U413&gt;=3),"Very serious", AND(W413&gt;=$D$1,X413&lt;0,Y413&gt;$D$2,V413/U413&gt;=3),"Very serious", AND(W413&gt;$D$1*-1,W413&lt;$D$1,X413&gt;$D$1*-1,Y413&lt;$D$1,V413/U413&lt;3),"Not Serious", AND(W413&gt;$D$1*-1,W413&lt;$D$1,OR(X413&lt;=$D$1*-1,Y413&gt;=$D$1),X413&gt;$D$2*-1,Y413&lt;$D$2,V413/U413&lt;3),"Serious", AND(W413&gt;$D$1*-1,W413&lt;$D$1,OR(X413&lt;=$D$2*-1,Y413&gt;=$D$2),V413/U413&lt;3),"Very serious", AND(W413&gt;$D$1*-1,W413&lt;$D$1,X413&gt;$D$1*-1,Y413&lt;$D$1,V413/U413&gt;=3),"Very serious", AND(W413&gt;$D$1*-1,W413&lt;$D$1,OR(X413&lt;=$D$1*-1,Y413&gt;=$D$1),X413&gt;$D$2*-1,Y413&lt;$D$2,V413/U413&gt;=3),"Very serious", AND(W413&gt;$D$1*-1,W413&lt;$D$1,OR(X413&lt;=$D$2*-1,Y413&gt;=$D$2),V413/U413&gt;=3),"Very serious"),"")),"")</f>
        <v/>
      </c>
      <c r="AT413" s="109" t="str">
        <f t="shared" si="9"/>
        <v/>
      </c>
      <c r="AU413" s="64"/>
      <c r="AV413" s="83"/>
      <c r="AW413" s="83"/>
      <c r="AX413" s="83"/>
      <c r="AY413" s="83"/>
      <c r="AZ413" s="83"/>
      <c r="BA413" s="85"/>
      <c r="BB413" s="86" t="str">
        <f>IF(Preferences!B$9="Manual","",IFS(ISBLANK(B413),"",AND(ISNUMBER(E413)=TRUE,ISNUMBER(T413)=FALSE),"Direct", AND(ISNUMBER(E413)=FALSE,ISNUMBER(T413)=TRUE),"Indirect", CN413=4,"Direct",AND(CL413=FALSE, CM413=TRUE,CN413-CO413&gt;-1),"Direct", AND(CL413=FALSE,CM413=TRUE, CN413-CO413&lt;0),"Check algorithm in appendix 2", AND(CL413=TRUE, CM413=FALSE,CN413-CO413&gt;0),"Check algorithm in appendix 2", AND(CL413=TRUE, CM413=FALSE,CN413-CO413=0),"Indirect", AND(CL413=TRUE, CM413=FALSE,CN413-CO413&lt;0),"Indirect", AND(CL413=FALSE,CM413=FALSE,CN413-CO413&gt;-1),"Direct", AND(CL413=FALSE,CM413=FALSE,CN413-CO413&lt;0),"Check algorithm in appendix 2", AND(CL413=TRUE,CM413=TRUE,CN413-CO413&gt;-1),"Direct", AND(CL413=TRUE,CM413=TRUE,CN413-CO413&lt;0),"Check algorithm in appendix 2"))</f>
        <v/>
      </c>
      <c r="BC413" s="120" t="str">
        <f t="shared" si="10"/>
        <v/>
      </c>
      <c r="BD413" s="140"/>
      <c r="BE413" s="122" t="str">
        <f>IF(Preferences!B$3="Manual","", IFERROR(IFS(AND(Preferences!B$3="Automatic",AX413/AW413&gt;=30),"Extremely serious",AND(AY413&lt;=$D$1*-1,BA413&lt;0,AX413/AW413&lt;3),"Not Serious",AND(AY413&lt;=$D$1*-1,BA413&lt;0,AX413/AW413&gt;=3),"Very serious",AND(AY413&gt;=$D$1,AZ413&gt;0,AX413/AW413&lt;3),"Not Serious",AND(AY413&gt;=$D$1,AZ413&gt;0,AX413/AW413&gt;=3),"Very serious",AND(AY413&lt;=$D$1*-1,BA413&gt;0,AZ413&gt;$D$2*-1,AX413/AW413&lt;3),"Serious", AND(AY413&lt;=$D$1*-1,BA413&gt;0,AZ413&lt;$D$2*-1,AX413/AW413&lt;3),"Very serious", AND(AY413&gt;=$D$1,AZ413&lt;0,BA413&lt;$D$2,AX413/AW413&lt;3),"Serious",AND(AY413&gt;=$D$1,AZ413&lt;0,BA413&gt;$D$2,AX413/AW413&lt;3),"Very serious", AND(AY413&lt;=$D$1*-1,BA413&gt;0,AZ413&gt;$D$2*-1,AX413/AW413&gt;=3),"Very serious", AND(AY413&lt;=$D$1*-1,BA413&gt;0,AZ413&lt;$D$2*-1,AX413/AW413&gt;=3),"Very serious", AND(AY413&gt;=$D$1,AZ413&lt;0,BA413&lt;$D$2,AX413/AW413&gt;=3),"Very serious", AND(AY413&gt;=$D$1,AZ413&lt;0,BA413&gt;$D$2,AX413/AW413&gt;=3),"Very serious", AND(AY413&gt;$D$1*-1,AY413&lt;$D$1,AZ413&gt;$D$1*-1,BA413&lt;$D$1,AX413/AW413&lt;3),"Not Serious", AND(AY413&gt;$D$1*-1,AY413&lt;$D$1,OR(AZ413&lt;=$D$1*-1,BA413&gt;=$D$1),AZ413&gt;$D$2*-1,BA413&lt;$D$2,AX413/AW413&lt;3),"Serious", AND(AY413&gt;$D$1*-1,AY413&lt;$D$1,OR(AZ413&lt;=$D$2*-1,BA413&gt;=$D$2),AX413/AW413&lt;3),"Very serious", AND(AY413&gt;$D$1*-1,AY413&lt;$D$1,AZ413&gt;$D$1*-1,BA413&lt;$D$1,AX413/AW413&gt;=3),"Very serious", AND(AY413&gt;$D$1*-1,AY413&lt;$D$1,OR(AZ413&lt;=$D$1*-1,BA413&gt;=$D$1),AZ413&gt;$D$2*-1,BA413&lt;$D$2,AX413/AW413&gt;=3),"Very serious", AND(AY413&gt;$D$1*-1,AY413&lt;$D$1,OR(AZ413&lt;=$D$2*-1,BA413&gt;=$D$2),AX413/AW413&gt;=3),"Very serious"),""))</f>
        <v/>
      </c>
      <c r="BF413" s="107" t="str">
        <f t="shared" si="11"/>
        <v/>
      </c>
      <c r="BG413" s="94" t="str">
        <f t="shared" si="46"/>
        <v/>
      </c>
      <c r="BH413" s="64" t="str">
        <f t="shared" si="12"/>
        <v>#N/A</v>
      </c>
      <c r="BI413" s="64" t="str">
        <f t="shared" si="13"/>
        <v/>
      </c>
      <c r="BJ413" s="123" t="str">
        <f t="shared" si="14"/>
        <v>#N/A</v>
      </c>
      <c r="BK413" s="64" t="str">
        <f t="shared" si="50"/>
        <v>YES</v>
      </c>
      <c r="BL413" s="64" t="str">
        <f t="shared" si="16"/>
        <v>YES</v>
      </c>
      <c r="BM413" s="64" t="str">
        <f t="shared" si="17"/>
        <v>YES</v>
      </c>
      <c r="BN413" s="124" t="str">
        <f t="shared" si="18"/>
        <v/>
      </c>
      <c r="BO413" s="91" t="str">
        <f t="shared" si="19"/>
        <v/>
      </c>
      <c r="BP413" s="91" t="str">
        <f t="shared" si="20"/>
        <v>#N/A</v>
      </c>
      <c r="BQ413" s="91" t="str">
        <f t="shared" si="21"/>
        <v/>
      </c>
      <c r="BR413" s="93" t="str">
        <f t="shared" si="22"/>
        <v/>
      </c>
      <c r="BS413" s="90" t="str">
        <f t="shared" si="23"/>
        <v/>
      </c>
      <c r="BT413" s="93" t="str">
        <f t="shared" si="24"/>
        <v>NA</v>
      </c>
      <c r="BU413" s="125" t="str">
        <f t="shared" si="25"/>
        <v>#N/A</v>
      </c>
      <c r="BV413" s="93" t="str">
        <f t="shared" si="26"/>
        <v/>
      </c>
      <c r="BW413" s="93" t="str">
        <f t="shared" si="27"/>
        <v/>
      </c>
      <c r="BX413" s="93" t="str">
        <f t="shared" si="28"/>
        <v>NA</v>
      </c>
      <c r="BY413" s="95" t="str">
        <f t="shared" si="29"/>
        <v>#N/A</v>
      </c>
      <c r="BZ413" s="93" t="str">
        <f t="shared" si="30"/>
        <v/>
      </c>
      <c r="CA413" s="93" t="str">
        <f t="shared" si="31"/>
        <v/>
      </c>
      <c r="CB413" s="93" t="str">
        <f t="shared" si="32"/>
        <v>NA</v>
      </c>
      <c r="CC413" s="96" t="str">
        <f t="shared" si="33"/>
        <v>#N/A</v>
      </c>
      <c r="CD413" s="93" t="str">
        <f t="shared" si="34"/>
        <v/>
      </c>
      <c r="CE413" s="93" t="str">
        <f t="shared" si="35"/>
        <v/>
      </c>
      <c r="CF413" s="93" t="str">
        <f t="shared" si="36"/>
        <v>NA</v>
      </c>
      <c r="CG413" s="97" t="str">
        <f t="shared" si="37"/>
        <v>#N/A</v>
      </c>
      <c r="CH413" s="98" t="str">
        <f t="shared" si="38"/>
        <v>#N/A</v>
      </c>
      <c r="CI413" s="99" t="str">
        <f t="shared" si="39"/>
        <v>#N/A</v>
      </c>
      <c r="CJ413" s="126" t="str">
        <f t="shared" si="40"/>
        <v>ERROR: check cell</v>
      </c>
      <c r="CK413" s="126"/>
      <c r="CL413" s="127" t="str">
        <f t="shared" si="41"/>
        <v>#DIV/0!</v>
      </c>
      <c r="CM413" s="128" t="str">
        <f t="shared" si="42"/>
        <v>#DIV/0!</v>
      </c>
      <c r="CN413" s="128">
        <f t="shared" si="43"/>
        <v>4</v>
      </c>
      <c r="CO413" s="129">
        <f t="shared" si="44"/>
        <v>4</v>
      </c>
      <c r="CP413" s="129" t="str">
        <f>IFS(C413=Preferences!B$13,B413,B413=Preferences!B$13,C413)</f>
        <v>#N/A</v>
      </c>
    </row>
    <row r="414" ht="13.5" customHeight="1">
      <c r="A414" s="63" t="str">
        <f t="shared" si="45"/>
        <v/>
      </c>
      <c r="B414" s="64"/>
      <c r="C414" s="64"/>
      <c r="D414" s="64"/>
      <c r="E414" s="65"/>
      <c r="F414" s="65"/>
      <c r="G414" s="65"/>
      <c r="H414" s="66"/>
      <c r="I414" s="66"/>
      <c r="J414" s="67"/>
      <c r="K414" s="68"/>
      <c r="L414" s="104"/>
      <c r="M414" s="104"/>
      <c r="N414" s="104"/>
      <c r="O414" s="104"/>
      <c r="P414" s="107" t="str">
        <f t="shared" si="1"/>
        <v/>
      </c>
      <c r="Q414" s="108" t="str">
        <f>IFERROR(IF(AND(Preferences!B$3="Manual",OR(AX414/AW414&gt;G414/F414,BD414="Serious",BD414="Very serious")),"Assess imprecision",IFS(ISBLANK(E414),"",AND(Preferences!B$3="Automatic", G414/F414&gt;=30),"Extremely serious",AND(H414&lt;=$D$1*-1,J414&lt;0,G414/F414&lt;3),"Not serious",AND(H414&lt;=$D$1*-1,J414&lt;0,G414/F414&gt;=3),"Very serious",AND(H414&gt;=$D$1,I414&gt;0,G414/F414&lt;3),"Not serious",AND(H414&gt;=$D$1,I414&gt;0,G414/F414&gt;=3),"Very serious",AND(H414&lt;=$D$1*-1,J414&gt;0,I414&gt;$D$2*-1,G414/F414&lt;3),"Serious", AND(H414&lt;=$D$1*-1,J414&gt;0,I414&lt;$D$2*-1,G414/F414&lt;3),"Very serious", AND(H414&gt;=$D$1,I414&lt;0,J414&lt;$D$2,G414/F414&lt;3),"Serious",AND(H414&gt;=$D$1,I414&lt;0,J414&gt;$D$2,G414/F414&lt;3),"Very serious", AND(H414&lt;=$D$1*-1,J414&gt;0,I414&gt;$D$2*-1,G414/F414&gt;=3),"Very serious", AND(H414&lt;=$D$1*-1,J414&gt;0,I414&lt;$D$2*-1,G414/F414&gt;=3),"Very serious", AND(H414&gt;=$D$1,I414&lt;0,J414&lt;$D$2,G414/F414&gt;=3),"Very serious", AND(H414&gt;=$D$1,I414&lt;0,J414&gt;$D$2,G414/F414&gt;=3),"Very serious", AND(H414&gt;$D$1*-1,H414&lt;$D$1,I414&gt;$D$1*-1,J414&lt;$D$1,G414/F414&lt;3),"Not serious", AND(H414&gt;$D$1*-1,H414&lt;$D$1,OR(I414&lt;=$D$1*-1,J414&gt;=$D$1),I414&gt;$D$2*-1,J414&lt;$D$2,G414/F414&lt;3),"Serious", AND(H414&gt;$D$1*-1,H414&lt;$D$1,OR(I414&lt;=$D$2*-1,J414&gt;=$D$2),G414/F414&lt;3),"Very serious", AND(H414&gt;$D$1*-1,H414&lt;$D$1,I414&gt;$D$1*-1,J414&lt;$D$1,G414/F414&gt;=3),"Very serious", AND(H414&gt;$D$1*-1,H414&lt;$D$1,OR(I414&lt;=$D$1*-1,J414&gt;=$D$1),I414&gt;$D$2*-1,J414&lt;$D$2,G414/F414&gt;=3),"Very serious", AND(H414&gt;$D$1*-1,H414&lt;$D$1,OR(I414&lt;=$D$2*-1,J414&gt;=$D$2),G414/F414&gt;=3),"Very serious")),"")</f>
        <v/>
      </c>
      <c r="R414" s="109" t="str">
        <f t="shared" si="47"/>
        <v/>
      </c>
      <c r="S414" s="64"/>
      <c r="T414" s="72"/>
      <c r="U414" s="72"/>
      <c r="V414" s="72"/>
      <c r="W414" s="73"/>
      <c r="X414" s="73"/>
      <c r="Y414" s="74"/>
      <c r="Z414" s="113" t="str">
        <f t="array" ref="Z414">INDEX($A$1:$C$500, MATCH(1,($B:$B=$B414)*($C:$C=$AB414),0),1)</f>
        <v/>
      </c>
      <c r="AA414" s="113" t="str">
        <f t="array" ref="AA414">INDEX($A$1:$C$500, MATCH(1,($B:$B=$AB414)*($C:$C=$B414),0),1)</f>
        <v/>
      </c>
      <c r="AB414" s="111"/>
      <c r="AC414" s="114" t="str">
        <f t="shared" si="2"/>
        <v/>
      </c>
      <c r="AD414" s="115" t="str">
        <f t="shared" si="3"/>
        <v/>
      </c>
      <c r="AE414" s="116" t="str">
        <f t="array" ref="AE414">INDEX($A$1:$C$500, MATCH(1,($B:$B=$AB414)*($C:$C=$AG414),0),1)</f>
        <v/>
      </c>
      <c r="AF414" s="116" t="str">
        <f t="array" ref="AF414">INDEX($A$1:$C$500, MATCH(1,($B:$B=$AG414)*($C:$C=$AB414),0),1)</f>
        <v/>
      </c>
      <c r="AG414" s="72"/>
      <c r="AH414" s="114" t="str">
        <f t="shared" si="4"/>
        <v/>
      </c>
      <c r="AI414" s="115" t="str">
        <f t="shared" si="5"/>
        <v/>
      </c>
      <c r="AJ414" s="116" t="str">
        <f t="array" ref="AJ414">INDEX($A$1:$C$500, MATCH(1,($B:$B=$C414)*($C:$C=$AG414),0),1)</f>
        <v/>
      </c>
      <c r="AK414" s="116" t="str">
        <f t="array" ref="AK414">INDEX($A$1:$C$500, MATCH(1,($B:$B=$AG414)*($C:$C=$C414),0),1)</f>
        <v/>
      </c>
      <c r="AL414" s="116" t="str">
        <f t="array" ref="AL414">INDEX($A$1:$C$500, MATCH(1,($B:$B=$C414)*($C:$C=$AB414),0),1)</f>
        <v/>
      </c>
      <c r="AM414" s="116" t="str">
        <f t="array" ref="AM414">INDEX($A$1:$C$500, MATCH(1,($B:$B=$AB414)*($C:$C=$C414),0),1)</f>
        <v/>
      </c>
      <c r="AN414" s="114" t="str">
        <f t="array" ref="AN414">IFS(ISNUMBER(AJ414),AJ414,ISNUMBER(AK414),AK414,ISNUMBER(AL414),AL414,ISNUMBER(AM414),AM414)</f>
        <v>#N/A</v>
      </c>
      <c r="AO414" s="115" t="str">
        <f t="shared" si="6"/>
        <v/>
      </c>
      <c r="AP414" s="115" t="str">
        <f t="shared" si="7"/>
        <v/>
      </c>
      <c r="AQ414" s="111"/>
      <c r="AR414" s="109" t="str">
        <f t="shared" si="8"/>
        <v/>
      </c>
      <c r="AS414" s="72" t="str">
        <f>IFERROR(IF(AND(Preferences!B$3="Manual",OR(AX414/AW414&gt;V414/U414,BD414="Serious",BD414="Very serious")),"Assess imprecision",IFERROR(IFS(AND(Preferences!B$3="Automatic",V414/U414&gt;=30),"Extremely serious",AND(W414&lt;=$D$1*-1,Y414&lt;0,V414/U414&lt;3),"Not Serious",AND(W414&lt;=$D$1*-1,Y414&lt;0,V414/U414&gt;=3),"Very serious",AND(W414&gt;=$D$1,X414&gt;0,V414/U414&lt;3),"Not Serious",AND(W414&gt;=$D$1,X414&gt;0,V414/U414&gt;=3),"Very serious",AND(W414&lt;=$D$1*-1,Y414&gt;0,X414&gt;$D$2*-1,V414/U414&lt;3),"Serious", AND(W414&lt;=$D$1*-1,Y414&gt;0,X414&lt;$D$2*-1,V414/U414&lt;3),"Very serious", AND(W414&gt;=$D$1,X414&lt;0,Y414&lt;$D$2,V414/U414&lt;3),"Serious",AND(W414&gt;=$D$1,X414&lt;0,Y414&gt;$D$2,V414/U414&lt;3),"Very serious", AND(W414&lt;=$D$1*-1,Y414&gt;0,X414&gt;$D$2*-1,V414/U414&gt;=3),"Very serious", AND(W414&lt;=$D$1*-1,Y414&gt;0,X414&lt;$D$2*-1,V414/U414&gt;=3),"Very serious", AND(W414&gt;=$D$1,X414&lt;0,Y414&lt;$D$2,V414/U414&gt;=3),"Very serious", AND(W414&gt;=$D$1,X414&lt;0,Y414&gt;$D$2,V414/U414&gt;=3),"Very serious", AND(W414&gt;$D$1*-1,W414&lt;$D$1,X414&gt;$D$1*-1,Y414&lt;$D$1,V414/U414&lt;3),"Not Serious", AND(W414&gt;$D$1*-1,W414&lt;$D$1,OR(X414&lt;=$D$1*-1,Y414&gt;=$D$1),X414&gt;$D$2*-1,Y414&lt;$D$2,V414/U414&lt;3),"Serious", AND(W414&gt;$D$1*-1,W414&lt;$D$1,OR(X414&lt;=$D$2*-1,Y414&gt;=$D$2),V414/U414&lt;3),"Very serious", AND(W414&gt;$D$1*-1,W414&lt;$D$1,X414&gt;$D$1*-1,Y414&lt;$D$1,V414/U414&gt;=3),"Very serious", AND(W414&gt;$D$1*-1,W414&lt;$D$1,OR(X414&lt;=$D$1*-1,Y414&gt;=$D$1),X414&gt;$D$2*-1,Y414&lt;$D$2,V414/U414&gt;=3),"Very serious", AND(W414&gt;$D$1*-1,W414&lt;$D$1,OR(X414&lt;=$D$2*-1,Y414&gt;=$D$2),V414/U414&gt;=3),"Very serious"),"")),"")</f>
        <v/>
      </c>
      <c r="AT414" s="109" t="str">
        <f t="shared" si="9"/>
        <v/>
      </c>
      <c r="AU414" s="64"/>
      <c r="AV414" s="83"/>
      <c r="AW414" s="83"/>
      <c r="AX414" s="83"/>
      <c r="AY414" s="83"/>
      <c r="AZ414" s="83"/>
      <c r="BA414" s="85"/>
      <c r="BB414" s="86" t="str">
        <f>IF(Preferences!B$9="Manual","",IFS(ISBLANK(B414),"",AND(ISNUMBER(E414)=TRUE,ISNUMBER(T414)=FALSE),"Direct", AND(ISNUMBER(E414)=FALSE,ISNUMBER(T414)=TRUE),"Indirect", CN414=4,"Direct",AND(CL414=FALSE, CM414=TRUE,CN414-CO414&gt;-1),"Direct", AND(CL414=FALSE,CM414=TRUE, CN414-CO414&lt;0),"Check algorithm in appendix 2", AND(CL414=TRUE, CM414=FALSE,CN414-CO414&gt;0),"Check algorithm in appendix 2", AND(CL414=TRUE, CM414=FALSE,CN414-CO414=0),"Indirect", AND(CL414=TRUE, CM414=FALSE,CN414-CO414&lt;0),"Indirect", AND(CL414=FALSE,CM414=FALSE,CN414-CO414&gt;-1),"Direct", AND(CL414=FALSE,CM414=FALSE,CN414-CO414&lt;0),"Check algorithm in appendix 2", AND(CL414=TRUE,CM414=TRUE,CN414-CO414&gt;-1),"Direct", AND(CL414=TRUE,CM414=TRUE,CN414-CO414&lt;0),"Check algorithm in appendix 2"))</f>
        <v/>
      </c>
      <c r="BC414" s="120" t="str">
        <f t="shared" si="10"/>
        <v/>
      </c>
      <c r="BD414" s="140"/>
      <c r="BE414" s="122" t="str">
        <f>IF(Preferences!B$3="Manual","", IFERROR(IFS(AND(Preferences!B$3="Automatic",AX414/AW414&gt;=30),"Extremely serious",AND(AY414&lt;=$D$1*-1,BA414&lt;0,AX414/AW414&lt;3),"Not Serious",AND(AY414&lt;=$D$1*-1,BA414&lt;0,AX414/AW414&gt;=3),"Very serious",AND(AY414&gt;=$D$1,AZ414&gt;0,AX414/AW414&lt;3),"Not Serious",AND(AY414&gt;=$D$1,AZ414&gt;0,AX414/AW414&gt;=3),"Very serious",AND(AY414&lt;=$D$1*-1,BA414&gt;0,AZ414&gt;$D$2*-1,AX414/AW414&lt;3),"Serious", AND(AY414&lt;=$D$1*-1,BA414&gt;0,AZ414&lt;$D$2*-1,AX414/AW414&lt;3),"Very serious", AND(AY414&gt;=$D$1,AZ414&lt;0,BA414&lt;$D$2,AX414/AW414&lt;3),"Serious",AND(AY414&gt;=$D$1,AZ414&lt;0,BA414&gt;$D$2,AX414/AW414&lt;3),"Very serious", AND(AY414&lt;=$D$1*-1,BA414&gt;0,AZ414&gt;$D$2*-1,AX414/AW414&gt;=3),"Very serious", AND(AY414&lt;=$D$1*-1,BA414&gt;0,AZ414&lt;$D$2*-1,AX414/AW414&gt;=3),"Very serious", AND(AY414&gt;=$D$1,AZ414&lt;0,BA414&lt;$D$2,AX414/AW414&gt;=3),"Very serious", AND(AY414&gt;=$D$1,AZ414&lt;0,BA414&gt;$D$2,AX414/AW414&gt;=3),"Very serious", AND(AY414&gt;$D$1*-1,AY414&lt;$D$1,AZ414&gt;$D$1*-1,BA414&lt;$D$1,AX414/AW414&lt;3),"Not Serious", AND(AY414&gt;$D$1*-1,AY414&lt;$D$1,OR(AZ414&lt;=$D$1*-1,BA414&gt;=$D$1),AZ414&gt;$D$2*-1,BA414&lt;$D$2,AX414/AW414&lt;3),"Serious", AND(AY414&gt;$D$1*-1,AY414&lt;$D$1,OR(AZ414&lt;=$D$2*-1,BA414&gt;=$D$2),AX414/AW414&lt;3),"Very serious", AND(AY414&gt;$D$1*-1,AY414&lt;$D$1,AZ414&gt;$D$1*-1,BA414&lt;$D$1,AX414/AW414&gt;=3),"Very serious", AND(AY414&gt;$D$1*-1,AY414&lt;$D$1,OR(AZ414&lt;=$D$1*-1,BA414&gt;=$D$1),AZ414&gt;$D$2*-1,BA414&lt;$D$2,AX414/AW414&gt;=3),"Very serious", AND(AY414&gt;$D$1*-1,AY414&lt;$D$1,OR(AZ414&lt;=$D$2*-1,BA414&gt;=$D$2),AX414/AW414&gt;=3),"Very serious"),""))</f>
        <v/>
      </c>
      <c r="BF414" s="107" t="str">
        <f t="shared" si="11"/>
        <v/>
      </c>
      <c r="BG414" s="94" t="str">
        <f t="shared" si="46"/>
        <v/>
      </c>
      <c r="BH414" s="64" t="str">
        <f t="shared" si="12"/>
        <v>#N/A</v>
      </c>
      <c r="BI414" s="64" t="str">
        <f t="shared" si="13"/>
        <v/>
      </c>
      <c r="BJ414" s="123" t="str">
        <f t="shared" si="14"/>
        <v>#N/A</v>
      </c>
      <c r="BK414" s="64" t="str">
        <f t="shared" si="50"/>
        <v>YES</v>
      </c>
      <c r="BL414" s="64" t="str">
        <f t="shared" si="16"/>
        <v>YES</v>
      </c>
      <c r="BM414" s="64" t="str">
        <f t="shared" si="17"/>
        <v>YES</v>
      </c>
      <c r="BN414" s="124" t="str">
        <f t="shared" si="18"/>
        <v/>
      </c>
      <c r="BO414" s="91" t="str">
        <f t="shared" si="19"/>
        <v/>
      </c>
      <c r="BP414" s="91" t="str">
        <f t="shared" si="20"/>
        <v>#N/A</v>
      </c>
      <c r="BQ414" s="91" t="str">
        <f t="shared" si="21"/>
        <v/>
      </c>
      <c r="BR414" s="93" t="str">
        <f t="shared" si="22"/>
        <v/>
      </c>
      <c r="BS414" s="90" t="str">
        <f t="shared" si="23"/>
        <v/>
      </c>
      <c r="BT414" s="93" t="str">
        <f t="shared" si="24"/>
        <v>NA</v>
      </c>
      <c r="BU414" s="125" t="str">
        <f t="shared" si="25"/>
        <v>#N/A</v>
      </c>
      <c r="BV414" s="93" t="str">
        <f t="shared" si="26"/>
        <v/>
      </c>
      <c r="BW414" s="93" t="str">
        <f t="shared" si="27"/>
        <v/>
      </c>
      <c r="BX414" s="93" t="str">
        <f t="shared" si="28"/>
        <v>NA</v>
      </c>
      <c r="BY414" s="95" t="str">
        <f t="shared" si="29"/>
        <v>#N/A</v>
      </c>
      <c r="BZ414" s="93" t="str">
        <f t="shared" si="30"/>
        <v/>
      </c>
      <c r="CA414" s="93" t="str">
        <f t="shared" si="31"/>
        <v/>
      </c>
      <c r="CB414" s="93" t="str">
        <f t="shared" si="32"/>
        <v>NA</v>
      </c>
      <c r="CC414" s="96" t="str">
        <f t="shared" si="33"/>
        <v>#N/A</v>
      </c>
      <c r="CD414" s="93" t="str">
        <f t="shared" si="34"/>
        <v/>
      </c>
      <c r="CE414" s="93" t="str">
        <f t="shared" si="35"/>
        <v/>
      </c>
      <c r="CF414" s="93" t="str">
        <f t="shared" si="36"/>
        <v>NA</v>
      </c>
      <c r="CG414" s="97" t="str">
        <f t="shared" si="37"/>
        <v>#N/A</v>
      </c>
      <c r="CH414" s="98" t="str">
        <f t="shared" si="38"/>
        <v>#N/A</v>
      </c>
      <c r="CI414" s="99" t="str">
        <f t="shared" si="39"/>
        <v>#N/A</v>
      </c>
      <c r="CJ414" s="126" t="str">
        <f t="shared" si="40"/>
        <v>ERROR: check cell</v>
      </c>
      <c r="CK414" s="126"/>
      <c r="CL414" s="127" t="str">
        <f t="shared" si="41"/>
        <v>#DIV/0!</v>
      </c>
      <c r="CM414" s="128" t="str">
        <f t="shared" si="42"/>
        <v>#DIV/0!</v>
      </c>
      <c r="CN414" s="128">
        <f t="shared" si="43"/>
        <v>4</v>
      </c>
      <c r="CO414" s="129">
        <f t="shared" si="44"/>
        <v>4</v>
      </c>
      <c r="CP414" s="129" t="str">
        <f>IFS(C414=Preferences!B$13,B414,B414=Preferences!B$13,C414)</f>
        <v>#N/A</v>
      </c>
    </row>
    <row r="415" ht="13.5" customHeight="1">
      <c r="A415" s="63" t="str">
        <f t="shared" si="45"/>
        <v/>
      </c>
      <c r="B415" s="64"/>
      <c r="C415" s="64"/>
      <c r="D415" s="64"/>
      <c r="E415" s="65"/>
      <c r="F415" s="65"/>
      <c r="G415" s="65"/>
      <c r="H415" s="66"/>
      <c r="I415" s="66"/>
      <c r="J415" s="67"/>
      <c r="K415" s="68"/>
      <c r="L415" s="104"/>
      <c r="M415" s="104"/>
      <c r="N415" s="104"/>
      <c r="O415" s="104"/>
      <c r="P415" s="107" t="str">
        <f t="shared" si="1"/>
        <v/>
      </c>
      <c r="Q415" s="108" t="str">
        <f>IFERROR(IF(AND(Preferences!B$3="Manual",OR(AX415/AW415&gt;G415/F415,BD415="Serious",BD415="Very serious")),"Assess imprecision",IFS(ISBLANK(E415),"",AND(Preferences!B$3="Automatic", G415/F415&gt;=30),"Extremely serious",AND(H415&lt;=$D$1*-1,J415&lt;0,G415/F415&lt;3),"Not serious",AND(H415&lt;=$D$1*-1,J415&lt;0,G415/F415&gt;=3),"Very serious",AND(H415&gt;=$D$1,I415&gt;0,G415/F415&lt;3),"Not serious",AND(H415&gt;=$D$1,I415&gt;0,G415/F415&gt;=3),"Very serious",AND(H415&lt;=$D$1*-1,J415&gt;0,I415&gt;$D$2*-1,G415/F415&lt;3),"Serious", AND(H415&lt;=$D$1*-1,J415&gt;0,I415&lt;$D$2*-1,G415/F415&lt;3),"Very serious", AND(H415&gt;=$D$1,I415&lt;0,J415&lt;$D$2,G415/F415&lt;3),"Serious",AND(H415&gt;=$D$1,I415&lt;0,J415&gt;$D$2,G415/F415&lt;3),"Very serious", AND(H415&lt;=$D$1*-1,J415&gt;0,I415&gt;$D$2*-1,G415/F415&gt;=3),"Very serious", AND(H415&lt;=$D$1*-1,J415&gt;0,I415&lt;$D$2*-1,G415/F415&gt;=3),"Very serious", AND(H415&gt;=$D$1,I415&lt;0,J415&lt;$D$2,G415/F415&gt;=3),"Very serious", AND(H415&gt;=$D$1,I415&lt;0,J415&gt;$D$2,G415/F415&gt;=3),"Very serious", AND(H415&gt;$D$1*-1,H415&lt;$D$1,I415&gt;$D$1*-1,J415&lt;$D$1,G415/F415&lt;3),"Not serious", AND(H415&gt;$D$1*-1,H415&lt;$D$1,OR(I415&lt;=$D$1*-1,J415&gt;=$D$1),I415&gt;$D$2*-1,J415&lt;$D$2,G415/F415&lt;3),"Serious", AND(H415&gt;$D$1*-1,H415&lt;$D$1,OR(I415&lt;=$D$2*-1,J415&gt;=$D$2),G415/F415&lt;3),"Very serious", AND(H415&gt;$D$1*-1,H415&lt;$D$1,I415&gt;$D$1*-1,J415&lt;$D$1,G415/F415&gt;=3),"Very serious", AND(H415&gt;$D$1*-1,H415&lt;$D$1,OR(I415&lt;=$D$1*-1,J415&gt;=$D$1),I415&gt;$D$2*-1,J415&lt;$D$2,G415/F415&gt;=3),"Very serious", AND(H415&gt;$D$1*-1,H415&lt;$D$1,OR(I415&lt;=$D$2*-1,J415&gt;=$D$2),G415/F415&gt;=3),"Very serious")),"")</f>
        <v/>
      </c>
      <c r="R415" s="109" t="str">
        <f t="shared" si="47"/>
        <v/>
      </c>
      <c r="S415" s="64"/>
      <c r="T415" s="72"/>
      <c r="U415" s="72"/>
      <c r="V415" s="72"/>
      <c r="W415" s="73"/>
      <c r="X415" s="73"/>
      <c r="Y415" s="74"/>
      <c r="Z415" s="113" t="str">
        <f t="array" ref="Z415">INDEX($A$1:$C$500, MATCH(1,($B:$B=$B415)*($C:$C=$AB415),0),1)</f>
        <v/>
      </c>
      <c r="AA415" s="113" t="str">
        <f t="array" ref="AA415">INDEX($A$1:$C$500, MATCH(1,($B:$B=$AB415)*($C:$C=$B415),0),1)</f>
        <v/>
      </c>
      <c r="AB415" s="111"/>
      <c r="AC415" s="114" t="str">
        <f t="shared" si="2"/>
        <v/>
      </c>
      <c r="AD415" s="115" t="str">
        <f t="shared" si="3"/>
        <v/>
      </c>
      <c r="AE415" s="116" t="str">
        <f t="array" ref="AE415">INDEX($A$1:$C$500, MATCH(1,($B:$B=$AB415)*($C:$C=$AG415),0),1)</f>
        <v/>
      </c>
      <c r="AF415" s="116" t="str">
        <f t="array" ref="AF415">INDEX($A$1:$C$500, MATCH(1,($B:$B=$AG415)*($C:$C=$AB415),0),1)</f>
        <v/>
      </c>
      <c r="AG415" s="72"/>
      <c r="AH415" s="114" t="str">
        <f t="shared" si="4"/>
        <v/>
      </c>
      <c r="AI415" s="115" t="str">
        <f t="shared" si="5"/>
        <v/>
      </c>
      <c r="AJ415" s="116" t="str">
        <f t="array" ref="AJ415">INDEX($A$1:$C$500, MATCH(1,($B:$B=$C415)*($C:$C=$AG415),0),1)</f>
        <v/>
      </c>
      <c r="AK415" s="116" t="str">
        <f t="array" ref="AK415">INDEX($A$1:$C$500, MATCH(1,($B:$B=$AG415)*($C:$C=$C415),0),1)</f>
        <v/>
      </c>
      <c r="AL415" s="116" t="str">
        <f t="array" ref="AL415">INDEX($A$1:$C$500, MATCH(1,($B:$B=$C415)*($C:$C=$AB415),0),1)</f>
        <v/>
      </c>
      <c r="AM415" s="116" t="str">
        <f t="array" ref="AM415">INDEX($A$1:$C$500, MATCH(1,($B:$B=$AB415)*($C:$C=$C415),0),1)</f>
        <v/>
      </c>
      <c r="AN415" s="114" t="str">
        <f t="array" ref="AN415">IFS(ISNUMBER(AJ415),AJ415,ISNUMBER(AK415),AK415,ISNUMBER(AL415),AL415,ISNUMBER(AM415),AM415)</f>
        <v>#N/A</v>
      </c>
      <c r="AO415" s="115" t="str">
        <f t="shared" si="6"/>
        <v/>
      </c>
      <c r="AP415" s="115" t="str">
        <f t="shared" si="7"/>
        <v/>
      </c>
      <c r="AQ415" s="111"/>
      <c r="AR415" s="109" t="str">
        <f t="shared" si="8"/>
        <v/>
      </c>
      <c r="AS415" s="72" t="str">
        <f>IFERROR(IF(AND(Preferences!B$3="Manual",OR(AX415/AW415&gt;V415/U415,BD415="Serious",BD415="Very serious")),"Assess imprecision",IFERROR(IFS(AND(Preferences!B$3="Automatic",V415/U415&gt;=30),"Extremely serious",AND(W415&lt;=$D$1*-1,Y415&lt;0,V415/U415&lt;3),"Not Serious",AND(W415&lt;=$D$1*-1,Y415&lt;0,V415/U415&gt;=3),"Very serious",AND(W415&gt;=$D$1,X415&gt;0,V415/U415&lt;3),"Not Serious",AND(W415&gt;=$D$1,X415&gt;0,V415/U415&gt;=3),"Very serious",AND(W415&lt;=$D$1*-1,Y415&gt;0,X415&gt;$D$2*-1,V415/U415&lt;3),"Serious", AND(W415&lt;=$D$1*-1,Y415&gt;0,X415&lt;$D$2*-1,V415/U415&lt;3),"Very serious", AND(W415&gt;=$D$1,X415&lt;0,Y415&lt;$D$2,V415/U415&lt;3),"Serious",AND(W415&gt;=$D$1,X415&lt;0,Y415&gt;$D$2,V415/U415&lt;3),"Very serious", AND(W415&lt;=$D$1*-1,Y415&gt;0,X415&gt;$D$2*-1,V415/U415&gt;=3),"Very serious", AND(W415&lt;=$D$1*-1,Y415&gt;0,X415&lt;$D$2*-1,V415/U415&gt;=3),"Very serious", AND(W415&gt;=$D$1,X415&lt;0,Y415&lt;$D$2,V415/U415&gt;=3),"Very serious", AND(W415&gt;=$D$1,X415&lt;0,Y415&gt;$D$2,V415/U415&gt;=3),"Very serious", AND(W415&gt;$D$1*-1,W415&lt;$D$1,X415&gt;$D$1*-1,Y415&lt;$D$1,V415/U415&lt;3),"Not Serious", AND(W415&gt;$D$1*-1,W415&lt;$D$1,OR(X415&lt;=$D$1*-1,Y415&gt;=$D$1),X415&gt;$D$2*-1,Y415&lt;$D$2,V415/U415&lt;3),"Serious", AND(W415&gt;$D$1*-1,W415&lt;$D$1,OR(X415&lt;=$D$2*-1,Y415&gt;=$D$2),V415/U415&lt;3),"Very serious", AND(W415&gt;$D$1*-1,W415&lt;$D$1,X415&gt;$D$1*-1,Y415&lt;$D$1,V415/U415&gt;=3),"Very serious", AND(W415&gt;$D$1*-1,W415&lt;$D$1,OR(X415&lt;=$D$1*-1,Y415&gt;=$D$1),X415&gt;$D$2*-1,Y415&lt;$D$2,V415/U415&gt;=3),"Very serious", AND(W415&gt;$D$1*-1,W415&lt;$D$1,OR(X415&lt;=$D$2*-1,Y415&gt;=$D$2),V415/U415&gt;=3),"Very serious"),"")),"")</f>
        <v/>
      </c>
      <c r="AT415" s="109" t="str">
        <f t="shared" si="9"/>
        <v/>
      </c>
      <c r="AU415" s="64"/>
      <c r="AV415" s="83"/>
      <c r="AW415" s="83"/>
      <c r="AX415" s="83"/>
      <c r="AY415" s="83"/>
      <c r="AZ415" s="83"/>
      <c r="BA415" s="85"/>
      <c r="BB415" s="86" t="str">
        <f>IF(Preferences!B$9="Manual","",IFS(ISBLANK(B415),"",AND(ISNUMBER(E415)=TRUE,ISNUMBER(T415)=FALSE),"Direct", AND(ISNUMBER(E415)=FALSE,ISNUMBER(T415)=TRUE),"Indirect", CN415=4,"Direct",AND(CL415=FALSE, CM415=TRUE,CN415-CO415&gt;-1),"Direct", AND(CL415=FALSE,CM415=TRUE, CN415-CO415&lt;0),"Check algorithm in appendix 2", AND(CL415=TRUE, CM415=FALSE,CN415-CO415&gt;0),"Check algorithm in appendix 2", AND(CL415=TRUE, CM415=FALSE,CN415-CO415=0),"Indirect", AND(CL415=TRUE, CM415=FALSE,CN415-CO415&lt;0),"Indirect", AND(CL415=FALSE,CM415=FALSE,CN415-CO415&gt;-1),"Direct", AND(CL415=FALSE,CM415=FALSE,CN415-CO415&lt;0),"Check algorithm in appendix 2", AND(CL415=TRUE,CM415=TRUE,CN415-CO415&gt;-1),"Direct", AND(CL415=TRUE,CM415=TRUE,CN415-CO415&lt;0),"Check algorithm in appendix 2"))</f>
        <v/>
      </c>
      <c r="BC415" s="120" t="str">
        <f t="shared" si="10"/>
        <v/>
      </c>
      <c r="BD415" s="140"/>
      <c r="BE415" s="122" t="str">
        <f>IF(Preferences!B$3="Manual","", IFERROR(IFS(AND(Preferences!B$3="Automatic",AX415/AW415&gt;=30),"Extremely serious",AND(AY415&lt;=$D$1*-1,BA415&lt;0,AX415/AW415&lt;3),"Not Serious",AND(AY415&lt;=$D$1*-1,BA415&lt;0,AX415/AW415&gt;=3),"Very serious",AND(AY415&gt;=$D$1,AZ415&gt;0,AX415/AW415&lt;3),"Not Serious",AND(AY415&gt;=$D$1,AZ415&gt;0,AX415/AW415&gt;=3),"Very serious",AND(AY415&lt;=$D$1*-1,BA415&gt;0,AZ415&gt;$D$2*-1,AX415/AW415&lt;3),"Serious", AND(AY415&lt;=$D$1*-1,BA415&gt;0,AZ415&lt;$D$2*-1,AX415/AW415&lt;3),"Very serious", AND(AY415&gt;=$D$1,AZ415&lt;0,BA415&lt;$D$2,AX415/AW415&lt;3),"Serious",AND(AY415&gt;=$D$1,AZ415&lt;0,BA415&gt;$D$2,AX415/AW415&lt;3),"Very serious", AND(AY415&lt;=$D$1*-1,BA415&gt;0,AZ415&gt;$D$2*-1,AX415/AW415&gt;=3),"Very serious", AND(AY415&lt;=$D$1*-1,BA415&gt;0,AZ415&lt;$D$2*-1,AX415/AW415&gt;=3),"Very serious", AND(AY415&gt;=$D$1,AZ415&lt;0,BA415&lt;$D$2,AX415/AW415&gt;=3),"Very serious", AND(AY415&gt;=$D$1,AZ415&lt;0,BA415&gt;$D$2,AX415/AW415&gt;=3),"Very serious", AND(AY415&gt;$D$1*-1,AY415&lt;$D$1,AZ415&gt;$D$1*-1,BA415&lt;$D$1,AX415/AW415&lt;3),"Not Serious", AND(AY415&gt;$D$1*-1,AY415&lt;$D$1,OR(AZ415&lt;=$D$1*-1,BA415&gt;=$D$1),AZ415&gt;$D$2*-1,BA415&lt;$D$2,AX415/AW415&lt;3),"Serious", AND(AY415&gt;$D$1*-1,AY415&lt;$D$1,OR(AZ415&lt;=$D$2*-1,BA415&gt;=$D$2),AX415/AW415&lt;3),"Very serious", AND(AY415&gt;$D$1*-1,AY415&lt;$D$1,AZ415&gt;$D$1*-1,BA415&lt;$D$1,AX415/AW415&gt;=3),"Very serious", AND(AY415&gt;$D$1*-1,AY415&lt;$D$1,OR(AZ415&lt;=$D$1*-1,BA415&gt;=$D$1),AZ415&gt;$D$2*-1,BA415&lt;$D$2,AX415/AW415&gt;=3),"Very serious", AND(AY415&gt;$D$1*-1,AY415&lt;$D$1,OR(AZ415&lt;=$D$2*-1,BA415&gt;=$D$2),AX415/AW415&gt;=3),"Very serious"),""))</f>
        <v/>
      </c>
      <c r="BF415" s="107" t="str">
        <f t="shared" si="11"/>
        <v/>
      </c>
      <c r="BG415" s="94" t="str">
        <f t="shared" si="46"/>
        <v/>
      </c>
      <c r="BH415" s="64" t="str">
        <f t="shared" si="12"/>
        <v>#N/A</v>
      </c>
      <c r="BI415" s="64" t="str">
        <f t="shared" si="13"/>
        <v/>
      </c>
      <c r="BJ415" s="123" t="str">
        <f t="shared" si="14"/>
        <v>#N/A</v>
      </c>
      <c r="BK415" s="64" t="str">
        <f t="shared" si="50"/>
        <v>YES</v>
      </c>
      <c r="BL415" s="64" t="str">
        <f t="shared" si="16"/>
        <v>YES</v>
      </c>
      <c r="BM415" s="64" t="str">
        <f t="shared" si="17"/>
        <v>YES</v>
      </c>
      <c r="BN415" s="124" t="str">
        <f t="shared" si="18"/>
        <v/>
      </c>
      <c r="BO415" s="91" t="str">
        <f t="shared" si="19"/>
        <v/>
      </c>
      <c r="BP415" s="91" t="str">
        <f t="shared" si="20"/>
        <v>#N/A</v>
      </c>
      <c r="BQ415" s="91" t="str">
        <f t="shared" si="21"/>
        <v/>
      </c>
      <c r="BR415" s="93" t="str">
        <f t="shared" si="22"/>
        <v/>
      </c>
      <c r="BS415" s="90" t="str">
        <f t="shared" si="23"/>
        <v/>
      </c>
      <c r="BT415" s="93" t="str">
        <f t="shared" si="24"/>
        <v>NA</v>
      </c>
      <c r="BU415" s="125" t="str">
        <f t="shared" si="25"/>
        <v>#N/A</v>
      </c>
      <c r="BV415" s="93" t="str">
        <f t="shared" si="26"/>
        <v/>
      </c>
      <c r="BW415" s="93" t="str">
        <f t="shared" si="27"/>
        <v/>
      </c>
      <c r="BX415" s="93" t="str">
        <f t="shared" si="28"/>
        <v>NA</v>
      </c>
      <c r="BY415" s="95" t="str">
        <f t="shared" si="29"/>
        <v>#N/A</v>
      </c>
      <c r="BZ415" s="93" t="str">
        <f t="shared" si="30"/>
        <v/>
      </c>
      <c r="CA415" s="93" t="str">
        <f t="shared" si="31"/>
        <v/>
      </c>
      <c r="CB415" s="93" t="str">
        <f t="shared" si="32"/>
        <v>NA</v>
      </c>
      <c r="CC415" s="96" t="str">
        <f t="shared" si="33"/>
        <v>#N/A</v>
      </c>
      <c r="CD415" s="93" t="str">
        <f t="shared" si="34"/>
        <v/>
      </c>
      <c r="CE415" s="93" t="str">
        <f t="shared" si="35"/>
        <v/>
      </c>
      <c r="CF415" s="93" t="str">
        <f t="shared" si="36"/>
        <v>NA</v>
      </c>
      <c r="CG415" s="97" t="str">
        <f t="shared" si="37"/>
        <v>#N/A</v>
      </c>
      <c r="CH415" s="98" t="str">
        <f t="shared" si="38"/>
        <v>#N/A</v>
      </c>
      <c r="CI415" s="99" t="str">
        <f t="shared" si="39"/>
        <v>#N/A</v>
      </c>
      <c r="CJ415" s="126" t="str">
        <f t="shared" si="40"/>
        <v>ERROR: check cell</v>
      </c>
      <c r="CK415" s="126"/>
      <c r="CL415" s="127" t="str">
        <f t="shared" si="41"/>
        <v>#DIV/0!</v>
      </c>
      <c r="CM415" s="128" t="str">
        <f t="shared" si="42"/>
        <v>#DIV/0!</v>
      </c>
      <c r="CN415" s="128">
        <f t="shared" si="43"/>
        <v>4</v>
      </c>
      <c r="CO415" s="129">
        <f t="shared" si="44"/>
        <v>4</v>
      </c>
      <c r="CP415" s="129" t="str">
        <f>IFS(C415=Preferences!B$13,B415,B415=Preferences!B$13,C415)</f>
        <v>#N/A</v>
      </c>
    </row>
    <row r="416" ht="13.5" customHeight="1">
      <c r="A416" s="63" t="str">
        <f t="shared" si="45"/>
        <v/>
      </c>
      <c r="B416" s="64"/>
      <c r="C416" s="64"/>
      <c r="D416" s="64"/>
      <c r="E416" s="65"/>
      <c r="F416" s="65"/>
      <c r="G416" s="65"/>
      <c r="H416" s="66"/>
      <c r="I416" s="66"/>
      <c r="J416" s="67"/>
      <c r="K416" s="68"/>
      <c r="L416" s="104"/>
      <c r="M416" s="104"/>
      <c r="N416" s="104"/>
      <c r="O416" s="104"/>
      <c r="P416" s="107" t="str">
        <f t="shared" si="1"/>
        <v/>
      </c>
      <c r="Q416" s="108" t="str">
        <f>IFERROR(IF(AND(Preferences!B$3="Manual",OR(AX416/AW416&gt;G416/F416,BD416="Serious",BD416="Very serious")),"Assess imprecision",IFS(ISBLANK(E416),"",AND(Preferences!B$3="Automatic", G416/F416&gt;=30),"Extremely serious",AND(H416&lt;=$D$1*-1,J416&lt;0,G416/F416&lt;3),"Not serious",AND(H416&lt;=$D$1*-1,J416&lt;0,G416/F416&gt;=3),"Very serious",AND(H416&gt;=$D$1,I416&gt;0,G416/F416&lt;3),"Not serious",AND(H416&gt;=$D$1,I416&gt;0,G416/F416&gt;=3),"Very serious",AND(H416&lt;=$D$1*-1,J416&gt;0,I416&gt;$D$2*-1,G416/F416&lt;3),"Serious", AND(H416&lt;=$D$1*-1,J416&gt;0,I416&lt;$D$2*-1,G416/F416&lt;3),"Very serious", AND(H416&gt;=$D$1,I416&lt;0,J416&lt;$D$2,G416/F416&lt;3),"Serious",AND(H416&gt;=$D$1,I416&lt;0,J416&gt;$D$2,G416/F416&lt;3),"Very serious", AND(H416&lt;=$D$1*-1,J416&gt;0,I416&gt;$D$2*-1,G416/F416&gt;=3),"Very serious", AND(H416&lt;=$D$1*-1,J416&gt;0,I416&lt;$D$2*-1,G416/F416&gt;=3),"Very serious", AND(H416&gt;=$D$1,I416&lt;0,J416&lt;$D$2,G416/F416&gt;=3),"Very serious", AND(H416&gt;=$D$1,I416&lt;0,J416&gt;$D$2,G416/F416&gt;=3),"Very serious", AND(H416&gt;$D$1*-1,H416&lt;$D$1,I416&gt;$D$1*-1,J416&lt;$D$1,G416/F416&lt;3),"Not serious", AND(H416&gt;$D$1*-1,H416&lt;$D$1,OR(I416&lt;=$D$1*-1,J416&gt;=$D$1),I416&gt;$D$2*-1,J416&lt;$D$2,G416/F416&lt;3),"Serious", AND(H416&gt;$D$1*-1,H416&lt;$D$1,OR(I416&lt;=$D$2*-1,J416&gt;=$D$2),G416/F416&lt;3),"Very serious", AND(H416&gt;$D$1*-1,H416&lt;$D$1,I416&gt;$D$1*-1,J416&lt;$D$1,G416/F416&gt;=3),"Very serious", AND(H416&gt;$D$1*-1,H416&lt;$D$1,OR(I416&lt;=$D$1*-1,J416&gt;=$D$1),I416&gt;$D$2*-1,J416&lt;$D$2,G416/F416&gt;=3),"Very serious", AND(H416&gt;$D$1*-1,H416&lt;$D$1,OR(I416&lt;=$D$2*-1,J416&gt;=$D$2),G416/F416&gt;=3),"Very serious")),"")</f>
        <v/>
      </c>
      <c r="R416" s="109" t="str">
        <f t="shared" si="47"/>
        <v/>
      </c>
      <c r="S416" s="64"/>
      <c r="T416" s="72"/>
      <c r="U416" s="72"/>
      <c r="V416" s="72"/>
      <c r="W416" s="73"/>
      <c r="X416" s="73"/>
      <c r="Y416" s="74"/>
      <c r="Z416" s="113" t="str">
        <f t="array" ref="Z416">INDEX($A$1:$C$500, MATCH(1,($B:$B=$B416)*($C:$C=$AB416),0),1)</f>
        <v/>
      </c>
      <c r="AA416" s="113" t="str">
        <f t="array" ref="AA416">INDEX($A$1:$C$500, MATCH(1,($B:$B=$AB416)*($C:$C=$B416),0),1)</f>
        <v/>
      </c>
      <c r="AB416" s="111"/>
      <c r="AC416" s="114" t="str">
        <f t="shared" si="2"/>
        <v/>
      </c>
      <c r="AD416" s="115" t="str">
        <f t="shared" si="3"/>
        <v/>
      </c>
      <c r="AE416" s="116" t="str">
        <f t="array" ref="AE416">INDEX($A$1:$C$500, MATCH(1,($B:$B=$AB416)*($C:$C=$AG416),0),1)</f>
        <v/>
      </c>
      <c r="AF416" s="116" t="str">
        <f t="array" ref="AF416">INDEX($A$1:$C$500, MATCH(1,($B:$B=$AG416)*($C:$C=$AB416),0),1)</f>
        <v/>
      </c>
      <c r="AG416" s="72"/>
      <c r="AH416" s="114" t="str">
        <f t="shared" si="4"/>
        <v/>
      </c>
      <c r="AI416" s="115" t="str">
        <f t="shared" si="5"/>
        <v/>
      </c>
      <c r="AJ416" s="116" t="str">
        <f t="array" ref="AJ416">INDEX($A$1:$C$500, MATCH(1,($B:$B=$C416)*($C:$C=$AG416),0),1)</f>
        <v/>
      </c>
      <c r="AK416" s="116" t="str">
        <f t="array" ref="AK416">INDEX($A$1:$C$500, MATCH(1,($B:$B=$AG416)*($C:$C=$C416),0),1)</f>
        <v/>
      </c>
      <c r="AL416" s="116" t="str">
        <f t="array" ref="AL416">INDEX($A$1:$C$500, MATCH(1,($B:$B=$C416)*($C:$C=$AB416),0),1)</f>
        <v/>
      </c>
      <c r="AM416" s="116" t="str">
        <f t="array" ref="AM416">INDEX($A$1:$C$500, MATCH(1,($B:$B=$AB416)*($C:$C=$C416),0),1)</f>
        <v/>
      </c>
      <c r="AN416" s="114" t="str">
        <f t="array" ref="AN416">IFS(ISNUMBER(AJ416),AJ416,ISNUMBER(AK416),AK416,ISNUMBER(AL416),AL416,ISNUMBER(AM416),AM416)</f>
        <v>#N/A</v>
      </c>
      <c r="AO416" s="115" t="str">
        <f t="shared" si="6"/>
        <v/>
      </c>
      <c r="AP416" s="115" t="str">
        <f t="shared" si="7"/>
        <v/>
      </c>
      <c r="AQ416" s="111"/>
      <c r="AR416" s="109" t="str">
        <f t="shared" si="8"/>
        <v/>
      </c>
      <c r="AS416" s="72" t="str">
        <f>IFERROR(IF(AND(Preferences!B$3="Manual",OR(AX416/AW416&gt;V416/U416,BD416="Serious",BD416="Very serious")),"Assess imprecision",IFERROR(IFS(AND(Preferences!B$3="Automatic",V416/U416&gt;=30),"Extremely serious",AND(W416&lt;=$D$1*-1,Y416&lt;0,V416/U416&lt;3),"Not Serious",AND(W416&lt;=$D$1*-1,Y416&lt;0,V416/U416&gt;=3),"Very serious",AND(W416&gt;=$D$1,X416&gt;0,V416/U416&lt;3),"Not Serious",AND(W416&gt;=$D$1,X416&gt;0,V416/U416&gt;=3),"Very serious",AND(W416&lt;=$D$1*-1,Y416&gt;0,X416&gt;$D$2*-1,V416/U416&lt;3),"Serious", AND(W416&lt;=$D$1*-1,Y416&gt;0,X416&lt;$D$2*-1,V416/U416&lt;3),"Very serious", AND(W416&gt;=$D$1,X416&lt;0,Y416&lt;$D$2,V416/U416&lt;3),"Serious",AND(W416&gt;=$D$1,X416&lt;0,Y416&gt;$D$2,V416/U416&lt;3),"Very serious", AND(W416&lt;=$D$1*-1,Y416&gt;0,X416&gt;$D$2*-1,V416/U416&gt;=3),"Very serious", AND(W416&lt;=$D$1*-1,Y416&gt;0,X416&lt;$D$2*-1,V416/U416&gt;=3),"Very serious", AND(W416&gt;=$D$1,X416&lt;0,Y416&lt;$D$2,V416/U416&gt;=3),"Very serious", AND(W416&gt;=$D$1,X416&lt;0,Y416&gt;$D$2,V416/U416&gt;=3),"Very serious", AND(W416&gt;$D$1*-1,W416&lt;$D$1,X416&gt;$D$1*-1,Y416&lt;$D$1,V416/U416&lt;3),"Not Serious", AND(W416&gt;$D$1*-1,W416&lt;$D$1,OR(X416&lt;=$D$1*-1,Y416&gt;=$D$1),X416&gt;$D$2*-1,Y416&lt;$D$2,V416/U416&lt;3),"Serious", AND(W416&gt;$D$1*-1,W416&lt;$D$1,OR(X416&lt;=$D$2*-1,Y416&gt;=$D$2),V416/U416&lt;3),"Very serious", AND(W416&gt;$D$1*-1,W416&lt;$D$1,X416&gt;$D$1*-1,Y416&lt;$D$1,V416/U416&gt;=3),"Very serious", AND(W416&gt;$D$1*-1,W416&lt;$D$1,OR(X416&lt;=$D$1*-1,Y416&gt;=$D$1),X416&gt;$D$2*-1,Y416&lt;$D$2,V416/U416&gt;=3),"Very serious", AND(W416&gt;$D$1*-1,W416&lt;$D$1,OR(X416&lt;=$D$2*-1,Y416&gt;=$D$2),V416/U416&gt;=3),"Very serious"),"")),"")</f>
        <v/>
      </c>
      <c r="AT416" s="109" t="str">
        <f t="shared" si="9"/>
        <v/>
      </c>
      <c r="AU416" s="64"/>
      <c r="AV416" s="83"/>
      <c r="AW416" s="83"/>
      <c r="AX416" s="83"/>
      <c r="AY416" s="83"/>
      <c r="AZ416" s="83"/>
      <c r="BA416" s="85"/>
      <c r="BB416" s="86" t="str">
        <f>IF(Preferences!B$9="Manual","",IFS(ISBLANK(B416),"",AND(ISNUMBER(E416)=TRUE,ISNUMBER(T416)=FALSE),"Direct", AND(ISNUMBER(E416)=FALSE,ISNUMBER(T416)=TRUE),"Indirect", CN416=4,"Direct",AND(CL416=FALSE, CM416=TRUE,CN416-CO416&gt;-1),"Direct", AND(CL416=FALSE,CM416=TRUE, CN416-CO416&lt;0),"Check algorithm in appendix 2", AND(CL416=TRUE, CM416=FALSE,CN416-CO416&gt;0),"Check algorithm in appendix 2", AND(CL416=TRUE, CM416=FALSE,CN416-CO416=0),"Indirect", AND(CL416=TRUE, CM416=FALSE,CN416-CO416&lt;0),"Indirect", AND(CL416=FALSE,CM416=FALSE,CN416-CO416&gt;-1),"Direct", AND(CL416=FALSE,CM416=FALSE,CN416-CO416&lt;0),"Check algorithm in appendix 2", AND(CL416=TRUE,CM416=TRUE,CN416-CO416&gt;-1),"Direct", AND(CL416=TRUE,CM416=TRUE,CN416-CO416&lt;0),"Check algorithm in appendix 2"))</f>
        <v/>
      </c>
      <c r="BC416" s="120" t="str">
        <f t="shared" si="10"/>
        <v/>
      </c>
      <c r="BD416" s="140"/>
      <c r="BE416" s="122" t="str">
        <f>IF(Preferences!B$3="Manual","", IFERROR(IFS(AND(Preferences!B$3="Automatic",AX416/AW416&gt;=30),"Extremely serious",AND(AY416&lt;=$D$1*-1,BA416&lt;0,AX416/AW416&lt;3),"Not Serious",AND(AY416&lt;=$D$1*-1,BA416&lt;0,AX416/AW416&gt;=3),"Very serious",AND(AY416&gt;=$D$1,AZ416&gt;0,AX416/AW416&lt;3),"Not Serious",AND(AY416&gt;=$D$1,AZ416&gt;0,AX416/AW416&gt;=3),"Very serious",AND(AY416&lt;=$D$1*-1,BA416&gt;0,AZ416&gt;$D$2*-1,AX416/AW416&lt;3),"Serious", AND(AY416&lt;=$D$1*-1,BA416&gt;0,AZ416&lt;$D$2*-1,AX416/AW416&lt;3),"Very serious", AND(AY416&gt;=$D$1,AZ416&lt;0,BA416&lt;$D$2,AX416/AW416&lt;3),"Serious",AND(AY416&gt;=$D$1,AZ416&lt;0,BA416&gt;$D$2,AX416/AW416&lt;3),"Very serious", AND(AY416&lt;=$D$1*-1,BA416&gt;0,AZ416&gt;$D$2*-1,AX416/AW416&gt;=3),"Very serious", AND(AY416&lt;=$D$1*-1,BA416&gt;0,AZ416&lt;$D$2*-1,AX416/AW416&gt;=3),"Very serious", AND(AY416&gt;=$D$1,AZ416&lt;0,BA416&lt;$D$2,AX416/AW416&gt;=3),"Very serious", AND(AY416&gt;=$D$1,AZ416&lt;0,BA416&gt;$D$2,AX416/AW416&gt;=3),"Very serious", AND(AY416&gt;$D$1*-1,AY416&lt;$D$1,AZ416&gt;$D$1*-1,BA416&lt;$D$1,AX416/AW416&lt;3),"Not Serious", AND(AY416&gt;$D$1*-1,AY416&lt;$D$1,OR(AZ416&lt;=$D$1*-1,BA416&gt;=$D$1),AZ416&gt;$D$2*-1,BA416&lt;$D$2,AX416/AW416&lt;3),"Serious", AND(AY416&gt;$D$1*-1,AY416&lt;$D$1,OR(AZ416&lt;=$D$2*-1,BA416&gt;=$D$2),AX416/AW416&lt;3),"Very serious", AND(AY416&gt;$D$1*-1,AY416&lt;$D$1,AZ416&gt;$D$1*-1,BA416&lt;$D$1,AX416/AW416&gt;=3),"Very serious", AND(AY416&gt;$D$1*-1,AY416&lt;$D$1,OR(AZ416&lt;=$D$1*-1,BA416&gt;=$D$1),AZ416&gt;$D$2*-1,BA416&lt;$D$2,AX416/AW416&gt;=3),"Very serious", AND(AY416&gt;$D$1*-1,AY416&lt;$D$1,OR(AZ416&lt;=$D$2*-1,BA416&gt;=$D$2),AX416/AW416&gt;=3),"Very serious"),""))</f>
        <v/>
      </c>
      <c r="BF416" s="107" t="str">
        <f t="shared" si="11"/>
        <v/>
      </c>
      <c r="BG416" s="94" t="str">
        <f t="shared" si="46"/>
        <v/>
      </c>
      <c r="BH416" s="64" t="str">
        <f t="shared" si="12"/>
        <v>#N/A</v>
      </c>
      <c r="BI416" s="64" t="str">
        <f t="shared" si="13"/>
        <v/>
      </c>
      <c r="BJ416" s="123" t="str">
        <f t="shared" si="14"/>
        <v>#N/A</v>
      </c>
      <c r="BK416" s="64" t="str">
        <f t="shared" si="50"/>
        <v>YES</v>
      </c>
      <c r="BL416" s="64" t="str">
        <f t="shared" si="16"/>
        <v>YES</v>
      </c>
      <c r="BM416" s="64" t="str">
        <f t="shared" si="17"/>
        <v>YES</v>
      </c>
      <c r="BN416" s="124" t="str">
        <f t="shared" si="18"/>
        <v/>
      </c>
      <c r="BO416" s="91" t="str">
        <f t="shared" si="19"/>
        <v/>
      </c>
      <c r="BP416" s="91" t="str">
        <f t="shared" si="20"/>
        <v>#N/A</v>
      </c>
      <c r="BQ416" s="91" t="str">
        <f t="shared" si="21"/>
        <v/>
      </c>
      <c r="BR416" s="93" t="str">
        <f t="shared" si="22"/>
        <v/>
      </c>
      <c r="BS416" s="90" t="str">
        <f t="shared" si="23"/>
        <v/>
      </c>
      <c r="BT416" s="93" t="str">
        <f t="shared" si="24"/>
        <v>NA</v>
      </c>
      <c r="BU416" s="125" t="str">
        <f t="shared" si="25"/>
        <v>#N/A</v>
      </c>
      <c r="BV416" s="93" t="str">
        <f t="shared" si="26"/>
        <v/>
      </c>
      <c r="BW416" s="93" t="str">
        <f t="shared" si="27"/>
        <v/>
      </c>
      <c r="BX416" s="93" t="str">
        <f t="shared" si="28"/>
        <v>NA</v>
      </c>
      <c r="BY416" s="95" t="str">
        <f t="shared" si="29"/>
        <v>#N/A</v>
      </c>
      <c r="BZ416" s="93" t="str">
        <f t="shared" si="30"/>
        <v/>
      </c>
      <c r="CA416" s="93" t="str">
        <f t="shared" si="31"/>
        <v/>
      </c>
      <c r="CB416" s="93" t="str">
        <f t="shared" si="32"/>
        <v>NA</v>
      </c>
      <c r="CC416" s="96" t="str">
        <f t="shared" si="33"/>
        <v>#N/A</v>
      </c>
      <c r="CD416" s="93" t="str">
        <f t="shared" si="34"/>
        <v/>
      </c>
      <c r="CE416" s="93" t="str">
        <f t="shared" si="35"/>
        <v/>
      </c>
      <c r="CF416" s="93" t="str">
        <f t="shared" si="36"/>
        <v>NA</v>
      </c>
      <c r="CG416" s="97" t="str">
        <f t="shared" si="37"/>
        <v>#N/A</v>
      </c>
      <c r="CH416" s="98" t="str">
        <f t="shared" si="38"/>
        <v>#N/A</v>
      </c>
      <c r="CI416" s="99" t="str">
        <f t="shared" si="39"/>
        <v>#N/A</v>
      </c>
      <c r="CJ416" s="126" t="str">
        <f t="shared" si="40"/>
        <v>ERROR: check cell</v>
      </c>
      <c r="CK416" s="126"/>
      <c r="CL416" s="127" t="str">
        <f t="shared" si="41"/>
        <v>#DIV/0!</v>
      </c>
      <c r="CM416" s="128" t="str">
        <f t="shared" si="42"/>
        <v>#DIV/0!</v>
      </c>
      <c r="CN416" s="128">
        <f t="shared" si="43"/>
        <v>4</v>
      </c>
      <c r="CO416" s="129">
        <f t="shared" si="44"/>
        <v>4</v>
      </c>
      <c r="CP416" s="129" t="str">
        <f>IFS(C416=Preferences!B$13,B416,B416=Preferences!B$13,C416)</f>
        <v>#N/A</v>
      </c>
    </row>
    <row r="417" ht="13.5" customHeight="1">
      <c r="A417" s="63" t="str">
        <f t="shared" si="45"/>
        <v/>
      </c>
      <c r="B417" s="64"/>
      <c r="C417" s="64"/>
      <c r="D417" s="64"/>
      <c r="E417" s="65"/>
      <c r="F417" s="65"/>
      <c r="G417" s="65"/>
      <c r="H417" s="66"/>
      <c r="I417" s="66"/>
      <c r="J417" s="67"/>
      <c r="K417" s="68"/>
      <c r="L417" s="104"/>
      <c r="M417" s="104"/>
      <c r="N417" s="104"/>
      <c r="O417" s="104"/>
      <c r="P417" s="107" t="str">
        <f t="shared" si="1"/>
        <v/>
      </c>
      <c r="Q417" s="108" t="str">
        <f>IFERROR(IF(AND(Preferences!B$3="Manual",OR(AX417/AW417&gt;G417/F417,BD417="Serious",BD417="Very serious")),"Assess imprecision",IFS(ISBLANK(E417),"",AND(Preferences!B$3="Automatic", G417/F417&gt;=30),"Extremely serious",AND(H417&lt;=$D$1*-1,J417&lt;0,G417/F417&lt;3),"Not serious",AND(H417&lt;=$D$1*-1,J417&lt;0,G417/F417&gt;=3),"Very serious",AND(H417&gt;=$D$1,I417&gt;0,G417/F417&lt;3),"Not serious",AND(H417&gt;=$D$1,I417&gt;0,G417/F417&gt;=3),"Very serious",AND(H417&lt;=$D$1*-1,J417&gt;0,I417&gt;$D$2*-1,G417/F417&lt;3),"Serious", AND(H417&lt;=$D$1*-1,J417&gt;0,I417&lt;$D$2*-1,G417/F417&lt;3),"Very serious", AND(H417&gt;=$D$1,I417&lt;0,J417&lt;$D$2,G417/F417&lt;3),"Serious",AND(H417&gt;=$D$1,I417&lt;0,J417&gt;$D$2,G417/F417&lt;3),"Very serious", AND(H417&lt;=$D$1*-1,J417&gt;0,I417&gt;$D$2*-1,G417/F417&gt;=3),"Very serious", AND(H417&lt;=$D$1*-1,J417&gt;0,I417&lt;$D$2*-1,G417/F417&gt;=3),"Very serious", AND(H417&gt;=$D$1,I417&lt;0,J417&lt;$D$2,G417/F417&gt;=3),"Very serious", AND(H417&gt;=$D$1,I417&lt;0,J417&gt;$D$2,G417/F417&gt;=3),"Very serious", AND(H417&gt;$D$1*-1,H417&lt;$D$1,I417&gt;$D$1*-1,J417&lt;$D$1,G417/F417&lt;3),"Not serious", AND(H417&gt;$D$1*-1,H417&lt;$D$1,OR(I417&lt;=$D$1*-1,J417&gt;=$D$1),I417&gt;$D$2*-1,J417&lt;$D$2,G417/F417&lt;3),"Serious", AND(H417&gt;$D$1*-1,H417&lt;$D$1,OR(I417&lt;=$D$2*-1,J417&gt;=$D$2),G417/F417&lt;3),"Very serious", AND(H417&gt;$D$1*-1,H417&lt;$D$1,I417&gt;$D$1*-1,J417&lt;$D$1,G417/F417&gt;=3),"Very serious", AND(H417&gt;$D$1*-1,H417&lt;$D$1,OR(I417&lt;=$D$1*-1,J417&gt;=$D$1),I417&gt;$D$2*-1,J417&lt;$D$2,G417/F417&gt;=3),"Very serious", AND(H417&gt;$D$1*-1,H417&lt;$D$1,OR(I417&lt;=$D$2*-1,J417&gt;=$D$2),G417/F417&gt;=3),"Very serious")),"")</f>
        <v/>
      </c>
      <c r="R417" s="109" t="str">
        <f t="shared" si="47"/>
        <v/>
      </c>
      <c r="S417" s="64"/>
      <c r="T417" s="72"/>
      <c r="U417" s="72"/>
      <c r="V417" s="72"/>
      <c r="W417" s="73"/>
      <c r="X417" s="73"/>
      <c r="Y417" s="74"/>
      <c r="Z417" s="113" t="str">
        <f t="array" ref="Z417">INDEX($A$1:$C$500, MATCH(1,($B:$B=$B417)*($C:$C=$AB417),0),1)</f>
        <v/>
      </c>
      <c r="AA417" s="113" t="str">
        <f t="array" ref="AA417">INDEX($A$1:$C$500, MATCH(1,($B:$B=$AB417)*($C:$C=$B417),0),1)</f>
        <v/>
      </c>
      <c r="AB417" s="111"/>
      <c r="AC417" s="114" t="str">
        <f t="shared" si="2"/>
        <v/>
      </c>
      <c r="AD417" s="115" t="str">
        <f t="shared" si="3"/>
        <v/>
      </c>
      <c r="AE417" s="116" t="str">
        <f t="array" ref="AE417">INDEX($A$1:$C$500, MATCH(1,($B:$B=$AB417)*($C:$C=$AG417),0),1)</f>
        <v/>
      </c>
      <c r="AF417" s="116" t="str">
        <f t="array" ref="AF417">INDEX($A$1:$C$500, MATCH(1,($B:$B=$AG417)*($C:$C=$AB417),0),1)</f>
        <v/>
      </c>
      <c r="AG417" s="72"/>
      <c r="AH417" s="114" t="str">
        <f t="shared" si="4"/>
        <v/>
      </c>
      <c r="AI417" s="115" t="str">
        <f t="shared" si="5"/>
        <v/>
      </c>
      <c r="AJ417" s="116" t="str">
        <f t="array" ref="AJ417">INDEX($A$1:$C$500, MATCH(1,($B:$B=$C417)*($C:$C=$AG417),0),1)</f>
        <v/>
      </c>
      <c r="AK417" s="116" t="str">
        <f t="array" ref="AK417">INDEX($A$1:$C$500, MATCH(1,($B:$B=$AG417)*($C:$C=$C417),0),1)</f>
        <v/>
      </c>
      <c r="AL417" s="116" t="str">
        <f t="array" ref="AL417">INDEX($A$1:$C$500, MATCH(1,($B:$B=$C417)*($C:$C=$AB417),0),1)</f>
        <v/>
      </c>
      <c r="AM417" s="116" t="str">
        <f t="array" ref="AM417">INDEX($A$1:$C$500, MATCH(1,($B:$B=$AB417)*($C:$C=$C417),0),1)</f>
        <v/>
      </c>
      <c r="AN417" s="114" t="str">
        <f t="array" ref="AN417">IFS(ISNUMBER(AJ417),AJ417,ISNUMBER(AK417),AK417,ISNUMBER(AL417),AL417,ISNUMBER(AM417),AM417)</f>
        <v>#N/A</v>
      </c>
      <c r="AO417" s="115" t="str">
        <f t="shared" si="6"/>
        <v/>
      </c>
      <c r="AP417" s="115" t="str">
        <f t="shared" si="7"/>
        <v/>
      </c>
      <c r="AQ417" s="111"/>
      <c r="AR417" s="109" t="str">
        <f t="shared" si="8"/>
        <v/>
      </c>
      <c r="AS417" s="72" t="str">
        <f>IFERROR(IF(AND(Preferences!B$3="Manual",OR(AX417/AW417&gt;V417/U417,BD417="Serious",BD417="Very serious")),"Assess imprecision",IFERROR(IFS(AND(Preferences!B$3="Automatic",V417/U417&gt;=30),"Extremely serious",AND(W417&lt;=$D$1*-1,Y417&lt;0,V417/U417&lt;3),"Not Serious",AND(W417&lt;=$D$1*-1,Y417&lt;0,V417/U417&gt;=3),"Very serious",AND(W417&gt;=$D$1,X417&gt;0,V417/U417&lt;3),"Not Serious",AND(W417&gt;=$D$1,X417&gt;0,V417/U417&gt;=3),"Very serious",AND(W417&lt;=$D$1*-1,Y417&gt;0,X417&gt;$D$2*-1,V417/U417&lt;3),"Serious", AND(W417&lt;=$D$1*-1,Y417&gt;0,X417&lt;$D$2*-1,V417/U417&lt;3),"Very serious", AND(W417&gt;=$D$1,X417&lt;0,Y417&lt;$D$2,V417/U417&lt;3),"Serious",AND(W417&gt;=$D$1,X417&lt;0,Y417&gt;$D$2,V417/U417&lt;3),"Very serious", AND(W417&lt;=$D$1*-1,Y417&gt;0,X417&gt;$D$2*-1,V417/U417&gt;=3),"Very serious", AND(W417&lt;=$D$1*-1,Y417&gt;0,X417&lt;$D$2*-1,V417/U417&gt;=3),"Very serious", AND(W417&gt;=$D$1,X417&lt;0,Y417&lt;$D$2,V417/U417&gt;=3),"Very serious", AND(W417&gt;=$D$1,X417&lt;0,Y417&gt;$D$2,V417/U417&gt;=3),"Very serious", AND(W417&gt;$D$1*-1,W417&lt;$D$1,X417&gt;$D$1*-1,Y417&lt;$D$1,V417/U417&lt;3),"Not Serious", AND(W417&gt;$D$1*-1,W417&lt;$D$1,OR(X417&lt;=$D$1*-1,Y417&gt;=$D$1),X417&gt;$D$2*-1,Y417&lt;$D$2,V417/U417&lt;3),"Serious", AND(W417&gt;$D$1*-1,W417&lt;$D$1,OR(X417&lt;=$D$2*-1,Y417&gt;=$D$2),V417/U417&lt;3),"Very serious", AND(W417&gt;$D$1*-1,W417&lt;$D$1,X417&gt;$D$1*-1,Y417&lt;$D$1,V417/U417&gt;=3),"Very serious", AND(W417&gt;$D$1*-1,W417&lt;$D$1,OR(X417&lt;=$D$1*-1,Y417&gt;=$D$1),X417&gt;$D$2*-1,Y417&lt;$D$2,V417/U417&gt;=3),"Very serious", AND(W417&gt;$D$1*-1,W417&lt;$D$1,OR(X417&lt;=$D$2*-1,Y417&gt;=$D$2),V417/U417&gt;=3),"Very serious"),"")),"")</f>
        <v/>
      </c>
      <c r="AT417" s="109" t="str">
        <f t="shared" si="9"/>
        <v/>
      </c>
      <c r="AU417" s="64"/>
      <c r="AV417" s="83"/>
      <c r="AW417" s="83"/>
      <c r="AX417" s="83"/>
      <c r="AY417" s="83"/>
      <c r="AZ417" s="83"/>
      <c r="BA417" s="85"/>
      <c r="BB417" s="86" t="str">
        <f>IF(Preferences!B$9="Manual","",IFS(ISBLANK(B417),"",AND(ISNUMBER(E417)=TRUE,ISNUMBER(T417)=FALSE),"Direct", AND(ISNUMBER(E417)=FALSE,ISNUMBER(T417)=TRUE),"Indirect", CN417=4,"Direct",AND(CL417=FALSE, CM417=TRUE,CN417-CO417&gt;-1),"Direct", AND(CL417=FALSE,CM417=TRUE, CN417-CO417&lt;0),"Check algorithm in appendix 2", AND(CL417=TRUE, CM417=FALSE,CN417-CO417&gt;0),"Check algorithm in appendix 2", AND(CL417=TRUE, CM417=FALSE,CN417-CO417=0),"Indirect", AND(CL417=TRUE, CM417=FALSE,CN417-CO417&lt;0),"Indirect", AND(CL417=FALSE,CM417=FALSE,CN417-CO417&gt;-1),"Direct", AND(CL417=FALSE,CM417=FALSE,CN417-CO417&lt;0),"Check algorithm in appendix 2", AND(CL417=TRUE,CM417=TRUE,CN417-CO417&gt;-1),"Direct", AND(CL417=TRUE,CM417=TRUE,CN417-CO417&lt;0),"Check algorithm in appendix 2"))</f>
        <v/>
      </c>
      <c r="BC417" s="120" t="str">
        <f t="shared" si="10"/>
        <v/>
      </c>
      <c r="BD417" s="140"/>
      <c r="BE417" s="122" t="str">
        <f>IF(Preferences!B$3="Manual","", IFERROR(IFS(AND(Preferences!B$3="Automatic",AX417/AW417&gt;=30),"Extremely serious",AND(AY417&lt;=$D$1*-1,BA417&lt;0,AX417/AW417&lt;3),"Not Serious",AND(AY417&lt;=$D$1*-1,BA417&lt;0,AX417/AW417&gt;=3),"Very serious",AND(AY417&gt;=$D$1,AZ417&gt;0,AX417/AW417&lt;3),"Not Serious",AND(AY417&gt;=$D$1,AZ417&gt;0,AX417/AW417&gt;=3),"Very serious",AND(AY417&lt;=$D$1*-1,BA417&gt;0,AZ417&gt;$D$2*-1,AX417/AW417&lt;3),"Serious", AND(AY417&lt;=$D$1*-1,BA417&gt;0,AZ417&lt;$D$2*-1,AX417/AW417&lt;3),"Very serious", AND(AY417&gt;=$D$1,AZ417&lt;0,BA417&lt;$D$2,AX417/AW417&lt;3),"Serious",AND(AY417&gt;=$D$1,AZ417&lt;0,BA417&gt;$D$2,AX417/AW417&lt;3),"Very serious", AND(AY417&lt;=$D$1*-1,BA417&gt;0,AZ417&gt;$D$2*-1,AX417/AW417&gt;=3),"Very serious", AND(AY417&lt;=$D$1*-1,BA417&gt;0,AZ417&lt;$D$2*-1,AX417/AW417&gt;=3),"Very serious", AND(AY417&gt;=$D$1,AZ417&lt;0,BA417&lt;$D$2,AX417/AW417&gt;=3),"Very serious", AND(AY417&gt;=$D$1,AZ417&lt;0,BA417&gt;$D$2,AX417/AW417&gt;=3),"Very serious", AND(AY417&gt;$D$1*-1,AY417&lt;$D$1,AZ417&gt;$D$1*-1,BA417&lt;$D$1,AX417/AW417&lt;3),"Not Serious", AND(AY417&gt;$D$1*-1,AY417&lt;$D$1,OR(AZ417&lt;=$D$1*-1,BA417&gt;=$D$1),AZ417&gt;$D$2*-1,BA417&lt;$D$2,AX417/AW417&lt;3),"Serious", AND(AY417&gt;$D$1*-1,AY417&lt;$D$1,OR(AZ417&lt;=$D$2*-1,BA417&gt;=$D$2),AX417/AW417&lt;3),"Very serious", AND(AY417&gt;$D$1*-1,AY417&lt;$D$1,AZ417&gt;$D$1*-1,BA417&lt;$D$1,AX417/AW417&gt;=3),"Very serious", AND(AY417&gt;$D$1*-1,AY417&lt;$D$1,OR(AZ417&lt;=$D$1*-1,BA417&gt;=$D$1),AZ417&gt;$D$2*-1,BA417&lt;$D$2,AX417/AW417&gt;=3),"Very serious", AND(AY417&gt;$D$1*-1,AY417&lt;$D$1,OR(AZ417&lt;=$D$2*-1,BA417&gt;=$D$2),AX417/AW417&gt;=3),"Very serious"),""))</f>
        <v/>
      </c>
      <c r="BF417" s="107" t="str">
        <f t="shared" si="11"/>
        <v/>
      </c>
      <c r="BG417" s="94" t="str">
        <f t="shared" si="46"/>
        <v/>
      </c>
      <c r="BH417" s="64" t="str">
        <f t="shared" si="12"/>
        <v>#N/A</v>
      </c>
      <c r="BI417" s="64" t="str">
        <f t="shared" si="13"/>
        <v/>
      </c>
      <c r="BJ417" s="123" t="str">
        <f t="shared" si="14"/>
        <v>#N/A</v>
      </c>
      <c r="BK417" s="64" t="str">
        <f t="shared" si="50"/>
        <v>YES</v>
      </c>
      <c r="BL417" s="64" t="str">
        <f t="shared" si="16"/>
        <v>YES</v>
      </c>
      <c r="BM417" s="64" t="str">
        <f t="shared" si="17"/>
        <v>YES</v>
      </c>
      <c r="BN417" s="124" t="str">
        <f t="shared" si="18"/>
        <v/>
      </c>
      <c r="BO417" s="91" t="str">
        <f t="shared" si="19"/>
        <v/>
      </c>
      <c r="BP417" s="91" t="str">
        <f t="shared" si="20"/>
        <v>#N/A</v>
      </c>
      <c r="BQ417" s="91" t="str">
        <f t="shared" si="21"/>
        <v/>
      </c>
      <c r="BR417" s="93" t="str">
        <f t="shared" si="22"/>
        <v/>
      </c>
      <c r="BS417" s="90" t="str">
        <f t="shared" si="23"/>
        <v/>
      </c>
      <c r="BT417" s="93" t="str">
        <f t="shared" si="24"/>
        <v>NA</v>
      </c>
      <c r="BU417" s="125" t="str">
        <f t="shared" si="25"/>
        <v>#N/A</v>
      </c>
      <c r="BV417" s="93" t="str">
        <f t="shared" si="26"/>
        <v/>
      </c>
      <c r="BW417" s="93" t="str">
        <f t="shared" si="27"/>
        <v/>
      </c>
      <c r="BX417" s="93" t="str">
        <f t="shared" si="28"/>
        <v>NA</v>
      </c>
      <c r="BY417" s="95" t="str">
        <f t="shared" si="29"/>
        <v>#N/A</v>
      </c>
      <c r="BZ417" s="93" t="str">
        <f t="shared" si="30"/>
        <v/>
      </c>
      <c r="CA417" s="93" t="str">
        <f t="shared" si="31"/>
        <v/>
      </c>
      <c r="CB417" s="93" t="str">
        <f t="shared" si="32"/>
        <v>NA</v>
      </c>
      <c r="CC417" s="96" t="str">
        <f t="shared" si="33"/>
        <v>#N/A</v>
      </c>
      <c r="CD417" s="93" t="str">
        <f t="shared" si="34"/>
        <v/>
      </c>
      <c r="CE417" s="93" t="str">
        <f t="shared" si="35"/>
        <v/>
      </c>
      <c r="CF417" s="93" t="str">
        <f t="shared" si="36"/>
        <v>NA</v>
      </c>
      <c r="CG417" s="97" t="str">
        <f t="shared" si="37"/>
        <v>#N/A</v>
      </c>
      <c r="CH417" s="98" t="str">
        <f t="shared" si="38"/>
        <v>#N/A</v>
      </c>
      <c r="CI417" s="99" t="str">
        <f t="shared" si="39"/>
        <v>#N/A</v>
      </c>
      <c r="CJ417" s="126" t="str">
        <f t="shared" si="40"/>
        <v>ERROR: check cell</v>
      </c>
      <c r="CK417" s="126"/>
      <c r="CL417" s="127" t="str">
        <f t="shared" si="41"/>
        <v>#DIV/0!</v>
      </c>
      <c r="CM417" s="128" t="str">
        <f t="shared" si="42"/>
        <v>#DIV/0!</v>
      </c>
      <c r="CN417" s="128">
        <f t="shared" si="43"/>
        <v>4</v>
      </c>
      <c r="CO417" s="129">
        <f t="shared" si="44"/>
        <v>4</v>
      </c>
      <c r="CP417" s="129" t="str">
        <f>IFS(C417=Preferences!B$13,B417,B417=Preferences!B$13,C417)</f>
        <v>#N/A</v>
      </c>
    </row>
    <row r="418" ht="13.5" customHeight="1">
      <c r="A418" s="63" t="str">
        <f t="shared" si="45"/>
        <v/>
      </c>
      <c r="B418" s="64"/>
      <c r="C418" s="64"/>
      <c r="D418" s="64"/>
      <c r="E418" s="65"/>
      <c r="F418" s="65"/>
      <c r="G418" s="65"/>
      <c r="H418" s="66"/>
      <c r="I418" s="66"/>
      <c r="J418" s="67"/>
      <c r="K418" s="68"/>
      <c r="L418" s="104"/>
      <c r="M418" s="104"/>
      <c r="N418" s="104"/>
      <c r="O418" s="104"/>
      <c r="P418" s="107" t="str">
        <f t="shared" si="1"/>
        <v/>
      </c>
      <c r="Q418" s="108" t="str">
        <f>IFERROR(IF(AND(Preferences!B$3="Manual",OR(AX418/AW418&gt;G418/F418,BD418="Serious",BD418="Very serious")),"Assess imprecision",IFS(ISBLANK(E418),"",AND(Preferences!B$3="Automatic", G418/F418&gt;=30),"Extremely serious",AND(H418&lt;=$D$1*-1,J418&lt;0,G418/F418&lt;3),"Not serious",AND(H418&lt;=$D$1*-1,J418&lt;0,G418/F418&gt;=3),"Very serious",AND(H418&gt;=$D$1,I418&gt;0,G418/F418&lt;3),"Not serious",AND(H418&gt;=$D$1,I418&gt;0,G418/F418&gt;=3),"Very serious",AND(H418&lt;=$D$1*-1,J418&gt;0,I418&gt;$D$2*-1,G418/F418&lt;3),"Serious", AND(H418&lt;=$D$1*-1,J418&gt;0,I418&lt;$D$2*-1,G418/F418&lt;3),"Very serious", AND(H418&gt;=$D$1,I418&lt;0,J418&lt;$D$2,G418/F418&lt;3),"Serious",AND(H418&gt;=$D$1,I418&lt;0,J418&gt;$D$2,G418/F418&lt;3),"Very serious", AND(H418&lt;=$D$1*-1,J418&gt;0,I418&gt;$D$2*-1,G418/F418&gt;=3),"Very serious", AND(H418&lt;=$D$1*-1,J418&gt;0,I418&lt;$D$2*-1,G418/F418&gt;=3),"Very serious", AND(H418&gt;=$D$1,I418&lt;0,J418&lt;$D$2,G418/F418&gt;=3),"Very serious", AND(H418&gt;=$D$1,I418&lt;0,J418&gt;$D$2,G418/F418&gt;=3),"Very serious", AND(H418&gt;$D$1*-1,H418&lt;$D$1,I418&gt;$D$1*-1,J418&lt;$D$1,G418/F418&lt;3),"Not serious", AND(H418&gt;$D$1*-1,H418&lt;$D$1,OR(I418&lt;=$D$1*-1,J418&gt;=$D$1),I418&gt;$D$2*-1,J418&lt;$D$2,G418/F418&lt;3),"Serious", AND(H418&gt;$D$1*-1,H418&lt;$D$1,OR(I418&lt;=$D$2*-1,J418&gt;=$D$2),G418/F418&lt;3),"Very serious", AND(H418&gt;$D$1*-1,H418&lt;$D$1,I418&gt;$D$1*-1,J418&lt;$D$1,G418/F418&gt;=3),"Very serious", AND(H418&gt;$D$1*-1,H418&lt;$D$1,OR(I418&lt;=$D$1*-1,J418&gt;=$D$1),I418&gt;$D$2*-1,J418&lt;$D$2,G418/F418&gt;=3),"Very serious", AND(H418&gt;$D$1*-1,H418&lt;$D$1,OR(I418&lt;=$D$2*-1,J418&gt;=$D$2),G418/F418&gt;=3),"Very serious")),"")</f>
        <v/>
      </c>
      <c r="R418" s="109" t="str">
        <f t="shared" si="47"/>
        <v/>
      </c>
      <c r="S418" s="64"/>
      <c r="T418" s="72"/>
      <c r="U418" s="72"/>
      <c r="V418" s="72"/>
      <c r="W418" s="73"/>
      <c r="X418" s="73"/>
      <c r="Y418" s="74"/>
      <c r="Z418" s="113" t="str">
        <f t="array" ref="Z418">INDEX($A$1:$C$500, MATCH(1,($B:$B=$B418)*($C:$C=$AB418),0),1)</f>
        <v/>
      </c>
      <c r="AA418" s="113" t="str">
        <f t="array" ref="AA418">INDEX($A$1:$C$500, MATCH(1,($B:$B=$AB418)*($C:$C=$B418),0),1)</f>
        <v/>
      </c>
      <c r="AB418" s="111"/>
      <c r="AC418" s="114" t="str">
        <f t="shared" si="2"/>
        <v/>
      </c>
      <c r="AD418" s="115" t="str">
        <f t="shared" si="3"/>
        <v/>
      </c>
      <c r="AE418" s="116" t="str">
        <f t="array" ref="AE418">INDEX($A$1:$C$500, MATCH(1,($B:$B=$AB418)*($C:$C=$AG418),0),1)</f>
        <v/>
      </c>
      <c r="AF418" s="116" t="str">
        <f t="array" ref="AF418">INDEX($A$1:$C$500, MATCH(1,($B:$B=$AG418)*($C:$C=$AB418),0),1)</f>
        <v/>
      </c>
      <c r="AG418" s="72"/>
      <c r="AH418" s="114" t="str">
        <f t="shared" si="4"/>
        <v/>
      </c>
      <c r="AI418" s="115" t="str">
        <f t="shared" si="5"/>
        <v/>
      </c>
      <c r="AJ418" s="116" t="str">
        <f t="array" ref="AJ418">INDEX($A$1:$C$500, MATCH(1,($B:$B=$C418)*($C:$C=$AG418),0),1)</f>
        <v/>
      </c>
      <c r="AK418" s="116" t="str">
        <f t="array" ref="AK418">INDEX($A$1:$C$500, MATCH(1,($B:$B=$AG418)*($C:$C=$C418),0),1)</f>
        <v/>
      </c>
      <c r="AL418" s="116" t="str">
        <f t="array" ref="AL418">INDEX($A$1:$C$500, MATCH(1,($B:$B=$C418)*($C:$C=$AB418),0),1)</f>
        <v/>
      </c>
      <c r="AM418" s="116" t="str">
        <f t="array" ref="AM418">INDEX($A$1:$C$500, MATCH(1,($B:$B=$AB418)*($C:$C=$C418),0),1)</f>
        <v/>
      </c>
      <c r="AN418" s="114" t="str">
        <f t="array" ref="AN418">IFS(ISNUMBER(AJ418),AJ418,ISNUMBER(AK418),AK418,ISNUMBER(AL418),AL418,ISNUMBER(AM418),AM418)</f>
        <v>#N/A</v>
      </c>
      <c r="AO418" s="115" t="str">
        <f t="shared" si="6"/>
        <v/>
      </c>
      <c r="AP418" s="115" t="str">
        <f t="shared" si="7"/>
        <v/>
      </c>
      <c r="AQ418" s="111"/>
      <c r="AR418" s="109" t="str">
        <f t="shared" si="8"/>
        <v/>
      </c>
      <c r="AS418" s="72" t="str">
        <f>IFERROR(IF(AND(Preferences!B$3="Manual",OR(AX418/AW418&gt;V418/U418,BD418="Serious",BD418="Very serious")),"Assess imprecision",IFERROR(IFS(AND(Preferences!B$3="Automatic",V418/U418&gt;=30),"Extremely serious",AND(W418&lt;=$D$1*-1,Y418&lt;0,V418/U418&lt;3),"Not Serious",AND(W418&lt;=$D$1*-1,Y418&lt;0,V418/U418&gt;=3),"Very serious",AND(W418&gt;=$D$1,X418&gt;0,V418/U418&lt;3),"Not Serious",AND(W418&gt;=$D$1,X418&gt;0,V418/U418&gt;=3),"Very serious",AND(W418&lt;=$D$1*-1,Y418&gt;0,X418&gt;$D$2*-1,V418/U418&lt;3),"Serious", AND(W418&lt;=$D$1*-1,Y418&gt;0,X418&lt;$D$2*-1,V418/U418&lt;3),"Very serious", AND(W418&gt;=$D$1,X418&lt;0,Y418&lt;$D$2,V418/U418&lt;3),"Serious",AND(W418&gt;=$D$1,X418&lt;0,Y418&gt;$D$2,V418/U418&lt;3),"Very serious", AND(W418&lt;=$D$1*-1,Y418&gt;0,X418&gt;$D$2*-1,V418/U418&gt;=3),"Very serious", AND(W418&lt;=$D$1*-1,Y418&gt;0,X418&lt;$D$2*-1,V418/U418&gt;=3),"Very serious", AND(W418&gt;=$D$1,X418&lt;0,Y418&lt;$D$2,V418/U418&gt;=3),"Very serious", AND(W418&gt;=$D$1,X418&lt;0,Y418&gt;$D$2,V418/U418&gt;=3),"Very serious", AND(W418&gt;$D$1*-1,W418&lt;$D$1,X418&gt;$D$1*-1,Y418&lt;$D$1,V418/U418&lt;3),"Not Serious", AND(W418&gt;$D$1*-1,W418&lt;$D$1,OR(X418&lt;=$D$1*-1,Y418&gt;=$D$1),X418&gt;$D$2*-1,Y418&lt;$D$2,V418/U418&lt;3),"Serious", AND(W418&gt;$D$1*-1,W418&lt;$D$1,OR(X418&lt;=$D$2*-1,Y418&gt;=$D$2),V418/U418&lt;3),"Very serious", AND(W418&gt;$D$1*-1,W418&lt;$D$1,X418&gt;$D$1*-1,Y418&lt;$D$1,V418/U418&gt;=3),"Very serious", AND(W418&gt;$D$1*-1,W418&lt;$D$1,OR(X418&lt;=$D$1*-1,Y418&gt;=$D$1),X418&gt;$D$2*-1,Y418&lt;$D$2,V418/U418&gt;=3),"Very serious", AND(W418&gt;$D$1*-1,W418&lt;$D$1,OR(X418&lt;=$D$2*-1,Y418&gt;=$D$2),V418/U418&gt;=3),"Very serious"),"")),"")</f>
        <v/>
      </c>
      <c r="AT418" s="109" t="str">
        <f t="shared" si="9"/>
        <v/>
      </c>
      <c r="AU418" s="64"/>
      <c r="AV418" s="83"/>
      <c r="AW418" s="83"/>
      <c r="AX418" s="83"/>
      <c r="AY418" s="83"/>
      <c r="AZ418" s="83"/>
      <c r="BA418" s="85"/>
      <c r="BB418" s="86" t="str">
        <f>IF(Preferences!B$9="Manual","",IFS(ISBLANK(B418),"",AND(ISNUMBER(E418)=TRUE,ISNUMBER(T418)=FALSE),"Direct", AND(ISNUMBER(E418)=FALSE,ISNUMBER(T418)=TRUE),"Indirect", CN418=4,"Direct",AND(CL418=FALSE, CM418=TRUE,CN418-CO418&gt;-1),"Direct", AND(CL418=FALSE,CM418=TRUE, CN418-CO418&lt;0),"Check algorithm in appendix 2", AND(CL418=TRUE, CM418=FALSE,CN418-CO418&gt;0),"Check algorithm in appendix 2", AND(CL418=TRUE, CM418=FALSE,CN418-CO418=0),"Indirect", AND(CL418=TRUE, CM418=FALSE,CN418-CO418&lt;0),"Indirect", AND(CL418=FALSE,CM418=FALSE,CN418-CO418&gt;-1),"Direct", AND(CL418=FALSE,CM418=FALSE,CN418-CO418&lt;0),"Check algorithm in appendix 2", AND(CL418=TRUE,CM418=TRUE,CN418-CO418&gt;-1),"Direct", AND(CL418=TRUE,CM418=TRUE,CN418-CO418&lt;0),"Check algorithm in appendix 2"))</f>
        <v/>
      </c>
      <c r="BC418" s="120" t="str">
        <f t="shared" si="10"/>
        <v/>
      </c>
      <c r="BD418" s="140"/>
      <c r="BE418" s="122" t="str">
        <f>IF(Preferences!B$3="Manual","", IFERROR(IFS(AND(Preferences!B$3="Automatic",AX418/AW418&gt;=30),"Extremely serious",AND(AY418&lt;=$D$1*-1,BA418&lt;0,AX418/AW418&lt;3),"Not Serious",AND(AY418&lt;=$D$1*-1,BA418&lt;0,AX418/AW418&gt;=3),"Very serious",AND(AY418&gt;=$D$1,AZ418&gt;0,AX418/AW418&lt;3),"Not Serious",AND(AY418&gt;=$D$1,AZ418&gt;0,AX418/AW418&gt;=3),"Very serious",AND(AY418&lt;=$D$1*-1,BA418&gt;0,AZ418&gt;$D$2*-1,AX418/AW418&lt;3),"Serious", AND(AY418&lt;=$D$1*-1,BA418&gt;0,AZ418&lt;$D$2*-1,AX418/AW418&lt;3),"Very serious", AND(AY418&gt;=$D$1,AZ418&lt;0,BA418&lt;$D$2,AX418/AW418&lt;3),"Serious",AND(AY418&gt;=$D$1,AZ418&lt;0,BA418&gt;$D$2,AX418/AW418&lt;3),"Very serious", AND(AY418&lt;=$D$1*-1,BA418&gt;0,AZ418&gt;$D$2*-1,AX418/AW418&gt;=3),"Very serious", AND(AY418&lt;=$D$1*-1,BA418&gt;0,AZ418&lt;$D$2*-1,AX418/AW418&gt;=3),"Very serious", AND(AY418&gt;=$D$1,AZ418&lt;0,BA418&lt;$D$2,AX418/AW418&gt;=3),"Very serious", AND(AY418&gt;=$D$1,AZ418&lt;0,BA418&gt;$D$2,AX418/AW418&gt;=3),"Very serious", AND(AY418&gt;$D$1*-1,AY418&lt;$D$1,AZ418&gt;$D$1*-1,BA418&lt;$D$1,AX418/AW418&lt;3),"Not Serious", AND(AY418&gt;$D$1*-1,AY418&lt;$D$1,OR(AZ418&lt;=$D$1*-1,BA418&gt;=$D$1),AZ418&gt;$D$2*-1,BA418&lt;$D$2,AX418/AW418&lt;3),"Serious", AND(AY418&gt;$D$1*-1,AY418&lt;$D$1,OR(AZ418&lt;=$D$2*-1,BA418&gt;=$D$2),AX418/AW418&lt;3),"Very serious", AND(AY418&gt;$D$1*-1,AY418&lt;$D$1,AZ418&gt;$D$1*-1,BA418&lt;$D$1,AX418/AW418&gt;=3),"Very serious", AND(AY418&gt;$D$1*-1,AY418&lt;$D$1,OR(AZ418&lt;=$D$1*-1,BA418&gt;=$D$1),AZ418&gt;$D$2*-1,BA418&lt;$D$2,AX418/AW418&gt;=3),"Very serious", AND(AY418&gt;$D$1*-1,AY418&lt;$D$1,OR(AZ418&lt;=$D$2*-1,BA418&gt;=$D$2),AX418/AW418&gt;=3),"Very serious"),""))</f>
        <v/>
      </c>
      <c r="BF418" s="107" t="str">
        <f t="shared" si="11"/>
        <v/>
      </c>
      <c r="BG418" s="94" t="str">
        <f t="shared" si="46"/>
        <v/>
      </c>
      <c r="BH418" s="64" t="str">
        <f t="shared" si="12"/>
        <v>#N/A</v>
      </c>
      <c r="BI418" s="64" t="str">
        <f t="shared" si="13"/>
        <v/>
      </c>
      <c r="BJ418" s="123" t="str">
        <f t="shared" si="14"/>
        <v>#N/A</v>
      </c>
      <c r="BK418" s="64" t="str">
        <f t="shared" si="50"/>
        <v>YES</v>
      </c>
      <c r="BL418" s="64" t="str">
        <f t="shared" si="16"/>
        <v>YES</v>
      </c>
      <c r="BM418" s="64" t="str">
        <f t="shared" si="17"/>
        <v>YES</v>
      </c>
      <c r="BN418" s="124" t="str">
        <f t="shared" si="18"/>
        <v/>
      </c>
      <c r="BO418" s="91" t="str">
        <f t="shared" si="19"/>
        <v/>
      </c>
      <c r="BP418" s="91" t="str">
        <f t="shared" si="20"/>
        <v>#N/A</v>
      </c>
      <c r="BQ418" s="91" t="str">
        <f t="shared" si="21"/>
        <v/>
      </c>
      <c r="BR418" s="93" t="str">
        <f t="shared" si="22"/>
        <v/>
      </c>
      <c r="BS418" s="90" t="str">
        <f t="shared" si="23"/>
        <v/>
      </c>
      <c r="BT418" s="93" t="str">
        <f t="shared" si="24"/>
        <v>NA</v>
      </c>
      <c r="BU418" s="125" t="str">
        <f t="shared" si="25"/>
        <v>#N/A</v>
      </c>
      <c r="BV418" s="93" t="str">
        <f t="shared" si="26"/>
        <v/>
      </c>
      <c r="BW418" s="93" t="str">
        <f t="shared" si="27"/>
        <v/>
      </c>
      <c r="BX418" s="93" t="str">
        <f t="shared" si="28"/>
        <v>NA</v>
      </c>
      <c r="BY418" s="95" t="str">
        <f t="shared" si="29"/>
        <v>#N/A</v>
      </c>
      <c r="BZ418" s="93" t="str">
        <f t="shared" si="30"/>
        <v/>
      </c>
      <c r="CA418" s="93" t="str">
        <f t="shared" si="31"/>
        <v/>
      </c>
      <c r="CB418" s="93" t="str">
        <f t="shared" si="32"/>
        <v>NA</v>
      </c>
      <c r="CC418" s="96" t="str">
        <f t="shared" si="33"/>
        <v>#N/A</v>
      </c>
      <c r="CD418" s="93" t="str">
        <f t="shared" si="34"/>
        <v/>
      </c>
      <c r="CE418" s="93" t="str">
        <f t="shared" si="35"/>
        <v/>
      </c>
      <c r="CF418" s="93" t="str">
        <f t="shared" si="36"/>
        <v>NA</v>
      </c>
      <c r="CG418" s="97" t="str">
        <f t="shared" si="37"/>
        <v>#N/A</v>
      </c>
      <c r="CH418" s="98" t="str">
        <f t="shared" si="38"/>
        <v>#N/A</v>
      </c>
      <c r="CI418" s="99" t="str">
        <f t="shared" si="39"/>
        <v>#N/A</v>
      </c>
      <c r="CJ418" s="126" t="str">
        <f t="shared" si="40"/>
        <v>ERROR: check cell</v>
      </c>
      <c r="CK418" s="126"/>
      <c r="CL418" s="127" t="str">
        <f t="shared" si="41"/>
        <v>#DIV/0!</v>
      </c>
      <c r="CM418" s="128" t="str">
        <f t="shared" si="42"/>
        <v>#DIV/0!</v>
      </c>
      <c r="CN418" s="128">
        <f t="shared" si="43"/>
        <v>4</v>
      </c>
      <c r="CO418" s="129">
        <f t="shared" si="44"/>
        <v>4</v>
      </c>
      <c r="CP418" s="129" t="str">
        <f>IFS(C418=Preferences!B$13,B418,B418=Preferences!B$13,C418)</f>
        <v>#N/A</v>
      </c>
    </row>
    <row r="419" ht="13.5" customHeight="1">
      <c r="A419" s="63" t="str">
        <f t="shared" si="45"/>
        <v/>
      </c>
      <c r="B419" s="64"/>
      <c r="C419" s="64"/>
      <c r="D419" s="64"/>
      <c r="E419" s="65"/>
      <c r="F419" s="65"/>
      <c r="G419" s="65"/>
      <c r="H419" s="66"/>
      <c r="I419" s="66"/>
      <c r="J419" s="67"/>
      <c r="K419" s="68"/>
      <c r="L419" s="104"/>
      <c r="M419" s="104"/>
      <c r="N419" s="104"/>
      <c r="O419" s="104"/>
      <c r="P419" s="107" t="str">
        <f t="shared" si="1"/>
        <v/>
      </c>
      <c r="Q419" s="108" t="str">
        <f>IFERROR(IF(AND(Preferences!B$3="Manual",OR(AX419/AW419&gt;G419/F419,BD419="Serious",BD419="Very serious")),"Assess imprecision",IFS(ISBLANK(E419),"",AND(Preferences!B$3="Automatic", G419/F419&gt;=30),"Extremely serious",AND(H419&lt;=$D$1*-1,J419&lt;0,G419/F419&lt;3),"Not serious",AND(H419&lt;=$D$1*-1,J419&lt;0,G419/F419&gt;=3),"Very serious",AND(H419&gt;=$D$1,I419&gt;0,G419/F419&lt;3),"Not serious",AND(H419&gt;=$D$1,I419&gt;0,G419/F419&gt;=3),"Very serious",AND(H419&lt;=$D$1*-1,J419&gt;0,I419&gt;$D$2*-1,G419/F419&lt;3),"Serious", AND(H419&lt;=$D$1*-1,J419&gt;0,I419&lt;$D$2*-1,G419/F419&lt;3),"Very serious", AND(H419&gt;=$D$1,I419&lt;0,J419&lt;$D$2,G419/F419&lt;3),"Serious",AND(H419&gt;=$D$1,I419&lt;0,J419&gt;$D$2,G419/F419&lt;3),"Very serious", AND(H419&lt;=$D$1*-1,J419&gt;0,I419&gt;$D$2*-1,G419/F419&gt;=3),"Very serious", AND(H419&lt;=$D$1*-1,J419&gt;0,I419&lt;$D$2*-1,G419/F419&gt;=3),"Very serious", AND(H419&gt;=$D$1,I419&lt;0,J419&lt;$D$2,G419/F419&gt;=3),"Very serious", AND(H419&gt;=$D$1,I419&lt;0,J419&gt;$D$2,G419/F419&gt;=3),"Very serious", AND(H419&gt;$D$1*-1,H419&lt;$D$1,I419&gt;$D$1*-1,J419&lt;$D$1,G419/F419&lt;3),"Not serious", AND(H419&gt;$D$1*-1,H419&lt;$D$1,OR(I419&lt;=$D$1*-1,J419&gt;=$D$1),I419&gt;$D$2*-1,J419&lt;$D$2,G419/F419&lt;3),"Serious", AND(H419&gt;$D$1*-1,H419&lt;$D$1,OR(I419&lt;=$D$2*-1,J419&gt;=$D$2),G419/F419&lt;3),"Very serious", AND(H419&gt;$D$1*-1,H419&lt;$D$1,I419&gt;$D$1*-1,J419&lt;$D$1,G419/F419&gt;=3),"Very serious", AND(H419&gt;$D$1*-1,H419&lt;$D$1,OR(I419&lt;=$D$1*-1,J419&gt;=$D$1),I419&gt;$D$2*-1,J419&lt;$D$2,G419/F419&gt;=3),"Very serious", AND(H419&gt;$D$1*-1,H419&lt;$D$1,OR(I419&lt;=$D$2*-1,J419&gt;=$D$2),G419/F419&gt;=3),"Very serious")),"")</f>
        <v/>
      </c>
      <c r="R419" s="109" t="str">
        <f t="shared" si="47"/>
        <v/>
      </c>
      <c r="S419" s="64"/>
      <c r="T419" s="72"/>
      <c r="U419" s="72"/>
      <c r="V419" s="72"/>
      <c r="W419" s="73"/>
      <c r="X419" s="73"/>
      <c r="Y419" s="74"/>
      <c r="Z419" s="113" t="str">
        <f t="array" ref="Z419">INDEX($A$1:$C$500, MATCH(1,($B:$B=$B419)*($C:$C=$AB419),0),1)</f>
        <v/>
      </c>
      <c r="AA419" s="113" t="str">
        <f t="array" ref="AA419">INDEX($A$1:$C$500, MATCH(1,($B:$B=$AB419)*($C:$C=$B419),0),1)</f>
        <v/>
      </c>
      <c r="AB419" s="111"/>
      <c r="AC419" s="114" t="str">
        <f t="shared" si="2"/>
        <v/>
      </c>
      <c r="AD419" s="115" t="str">
        <f t="shared" si="3"/>
        <v/>
      </c>
      <c r="AE419" s="116" t="str">
        <f t="array" ref="AE419">INDEX($A$1:$C$500, MATCH(1,($B:$B=$AB419)*($C:$C=$AG419),0),1)</f>
        <v/>
      </c>
      <c r="AF419" s="116" t="str">
        <f t="array" ref="AF419">INDEX($A$1:$C$500, MATCH(1,($B:$B=$AG419)*($C:$C=$AB419),0),1)</f>
        <v/>
      </c>
      <c r="AG419" s="72"/>
      <c r="AH419" s="114" t="str">
        <f t="shared" si="4"/>
        <v/>
      </c>
      <c r="AI419" s="115" t="str">
        <f t="shared" si="5"/>
        <v/>
      </c>
      <c r="AJ419" s="116" t="str">
        <f t="array" ref="AJ419">INDEX($A$1:$C$500, MATCH(1,($B:$B=$C419)*($C:$C=$AG419),0),1)</f>
        <v/>
      </c>
      <c r="AK419" s="116" t="str">
        <f t="array" ref="AK419">INDEX($A$1:$C$500, MATCH(1,($B:$B=$AG419)*($C:$C=$C419),0),1)</f>
        <v/>
      </c>
      <c r="AL419" s="116" t="str">
        <f t="array" ref="AL419">INDEX($A$1:$C$500, MATCH(1,($B:$B=$C419)*($C:$C=$AB419),0),1)</f>
        <v/>
      </c>
      <c r="AM419" s="116" t="str">
        <f t="array" ref="AM419">INDEX($A$1:$C$500, MATCH(1,($B:$B=$AB419)*($C:$C=$C419),0),1)</f>
        <v/>
      </c>
      <c r="AN419" s="114" t="str">
        <f t="array" ref="AN419">IFS(ISNUMBER(AJ419),AJ419,ISNUMBER(AK419),AK419,ISNUMBER(AL419),AL419,ISNUMBER(AM419),AM419)</f>
        <v>#N/A</v>
      </c>
      <c r="AO419" s="115" t="str">
        <f t="shared" si="6"/>
        <v/>
      </c>
      <c r="AP419" s="115" t="str">
        <f t="shared" si="7"/>
        <v/>
      </c>
      <c r="AQ419" s="111"/>
      <c r="AR419" s="109" t="str">
        <f t="shared" si="8"/>
        <v/>
      </c>
      <c r="AS419" s="72" t="str">
        <f>IFERROR(IF(AND(Preferences!B$3="Manual",OR(AX419/AW419&gt;V419/U419,BD419="Serious",BD419="Very serious")),"Assess imprecision",IFERROR(IFS(AND(Preferences!B$3="Automatic",V419/U419&gt;=30),"Extremely serious",AND(W419&lt;=$D$1*-1,Y419&lt;0,V419/U419&lt;3),"Not Serious",AND(W419&lt;=$D$1*-1,Y419&lt;0,V419/U419&gt;=3),"Very serious",AND(W419&gt;=$D$1,X419&gt;0,V419/U419&lt;3),"Not Serious",AND(W419&gt;=$D$1,X419&gt;0,V419/U419&gt;=3),"Very serious",AND(W419&lt;=$D$1*-1,Y419&gt;0,X419&gt;$D$2*-1,V419/U419&lt;3),"Serious", AND(W419&lt;=$D$1*-1,Y419&gt;0,X419&lt;$D$2*-1,V419/U419&lt;3),"Very serious", AND(W419&gt;=$D$1,X419&lt;0,Y419&lt;$D$2,V419/U419&lt;3),"Serious",AND(W419&gt;=$D$1,X419&lt;0,Y419&gt;$D$2,V419/U419&lt;3),"Very serious", AND(W419&lt;=$D$1*-1,Y419&gt;0,X419&gt;$D$2*-1,V419/U419&gt;=3),"Very serious", AND(W419&lt;=$D$1*-1,Y419&gt;0,X419&lt;$D$2*-1,V419/U419&gt;=3),"Very serious", AND(W419&gt;=$D$1,X419&lt;0,Y419&lt;$D$2,V419/U419&gt;=3),"Very serious", AND(W419&gt;=$D$1,X419&lt;0,Y419&gt;$D$2,V419/U419&gt;=3),"Very serious", AND(W419&gt;$D$1*-1,W419&lt;$D$1,X419&gt;$D$1*-1,Y419&lt;$D$1,V419/U419&lt;3),"Not Serious", AND(W419&gt;$D$1*-1,W419&lt;$D$1,OR(X419&lt;=$D$1*-1,Y419&gt;=$D$1),X419&gt;$D$2*-1,Y419&lt;$D$2,V419/U419&lt;3),"Serious", AND(W419&gt;$D$1*-1,W419&lt;$D$1,OR(X419&lt;=$D$2*-1,Y419&gt;=$D$2),V419/U419&lt;3),"Very serious", AND(W419&gt;$D$1*-1,W419&lt;$D$1,X419&gt;$D$1*-1,Y419&lt;$D$1,V419/U419&gt;=3),"Very serious", AND(W419&gt;$D$1*-1,W419&lt;$D$1,OR(X419&lt;=$D$1*-1,Y419&gt;=$D$1),X419&gt;$D$2*-1,Y419&lt;$D$2,V419/U419&gt;=3),"Very serious", AND(W419&gt;$D$1*-1,W419&lt;$D$1,OR(X419&lt;=$D$2*-1,Y419&gt;=$D$2),V419/U419&gt;=3),"Very serious"),"")),"")</f>
        <v/>
      </c>
      <c r="AT419" s="109" t="str">
        <f t="shared" si="9"/>
        <v/>
      </c>
      <c r="AU419" s="64"/>
      <c r="AV419" s="83"/>
      <c r="AW419" s="83"/>
      <c r="AX419" s="83"/>
      <c r="AY419" s="83"/>
      <c r="AZ419" s="83"/>
      <c r="BA419" s="85"/>
      <c r="BB419" s="86" t="str">
        <f>IF(Preferences!B$9="Manual","",IFS(ISBLANK(B419),"",AND(ISNUMBER(E419)=TRUE,ISNUMBER(T419)=FALSE),"Direct", AND(ISNUMBER(E419)=FALSE,ISNUMBER(T419)=TRUE),"Indirect", CN419=4,"Direct",AND(CL419=FALSE, CM419=TRUE,CN419-CO419&gt;-1),"Direct", AND(CL419=FALSE,CM419=TRUE, CN419-CO419&lt;0),"Check algorithm in appendix 2", AND(CL419=TRUE, CM419=FALSE,CN419-CO419&gt;0),"Check algorithm in appendix 2", AND(CL419=TRUE, CM419=FALSE,CN419-CO419=0),"Indirect", AND(CL419=TRUE, CM419=FALSE,CN419-CO419&lt;0),"Indirect", AND(CL419=FALSE,CM419=FALSE,CN419-CO419&gt;-1),"Direct", AND(CL419=FALSE,CM419=FALSE,CN419-CO419&lt;0),"Check algorithm in appendix 2", AND(CL419=TRUE,CM419=TRUE,CN419-CO419&gt;-1),"Direct", AND(CL419=TRUE,CM419=TRUE,CN419-CO419&lt;0),"Check algorithm in appendix 2"))</f>
        <v/>
      </c>
      <c r="BC419" s="120" t="str">
        <f t="shared" si="10"/>
        <v/>
      </c>
      <c r="BD419" s="140"/>
      <c r="BE419" s="122" t="str">
        <f>IF(Preferences!B$3="Manual","", IFERROR(IFS(AND(Preferences!B$3="Automatic",AX419/AW419&gt;=30),"Extremely serious",AND(AY419&lt;=$D$1*-1,BA419&lt;0,AX419/AW419&lt;3),"Not Serious",AND(AY419&lt;=$D$1*-1,BA419&lt;0,AX419/AW419&gt;=3),"Very serious",AND(AY419&gt;=$D$1,AZ419&gt;0,AX419/AW419&lt;3),"Not Serious",AND(AY419&gt;=$D$1,AZ419&gt;0,AX419/AW419&gt;=3),"Very serious",AND(AY419&lt;=$D$1*-1,BA419&gt;0,AZ419&gt;$D$2*-1,AX419/AW419&lt;3),"Serious", AND(AY419&lt;=$D$1*-1,BA419&gt;0,AZ419&lt;$D$2*-1,AX419/AW419&lt;3),"Very serious", AND(AY419&gt;=$D$1,AZ419&lt;0,BA419&lt;$D$2,AX419/AW419&lt;3),"Serious",AND(AY419&gt;=$D$1,AZ419&lt;0,BA419&gt;$D$2,AX419/AW419&lt;3),"Very serious", AND(AY419&lt;=$D$1*-1,BA419&gt;0,AZ419&gt;$D$2*-1,AX419/AW419&gt;=3),"Very serious", AND(AY419&lt;=$D$1*-1,BA419&gt;0,AZ419&lt;$D$2*-1,AX419/AW419&gt;=3),"Very serious", AND(AY419&gt;=$D$1,AZ419&lt;0,BA419&lt;$D$2,AX419/AW419&gt;=3),"Very serious", AND(AY419&gt;=$D$1,AZ419&lt;0,BA419&gt;$D$2,AX419/AW419&gt;=3),"Very serious", AND(AY419&gt;$D$1*-1,AY419&lt;$D$1,AZ419&gt;$D$1*-1,BA419&lt;$D$1,AX419/AW419&lt;3),"Not Serious", AND(AY419&gt;$D$1*-1,AY419&lt;$D$1,OR(AZ419&lt;=$D$1*-1,BA419&gt;=$D$1),AZ419&gt;$D$2*-1,BA419&lt;$D$2,AX419/AW419&lt;3),"Serious", AND(AY419&gt;$D$1*-1,AY419&lt;$D$1,OR(AZ419&lt;=$D$2*-1,BA419&gt;=$D$2),AX419/AW419&lt;3),"Very serious", AND(AY419&gt;$D$1*-1,AY419&lt;$D$1,AZ419&gt;$D$1*-1,BA419&lt;$D$1,AX419/AW419&gt;=3),"Very serious", AND(AY419&gt;$D$1*-1,AY419&lt;$D$1,OR(AZ419&lt;=$D$1*-1,BA419&gt;=$D$1),AZ419&gt;$D$2*-1,BA419&lt;$D$2,AX419/AW419&gt;=3),"Very serious", AND(AY419&gt;$D$1*-1,AY419&lt;$D$1,OR(AZ419&lt;=$D$2*-1,BA419&gt;=$D$2),AX419/AW419&gt;=3),"Very serious"),""))</f>
        <v/>
      </c>
      <c r="BF419" s="107" t="str">
        <f t="shared" si="11"/>
        <v/>
      </c>
      <c r="BG419" s="94" t="str">
        <f t="shared" si="46"/>
        <v/>
      </c>
      <c r="BH419" s="64" t="str">
        <f t="shared" si="12"/>
        <v>#N/A</v>
      </c>
      <c r="BI419" s="64" t="str">
        <f t="shared" si="13"/>
        <v/>
      </c>
      <c r="BJ419" s="123" t="str">
        <f t="shared" si="14"/>
        <v>#N/A</v>
      </c>
      <c r="BK419" s="64" t="str">
        <f t="shared" si="50"/>
        <v>YES</v>
      </c>
      <c r="BL419" s="64" t="str">
        <f t="shared" si="16"/>
        <v>YES</v>
      </c>
      <c r="BM419" s="64" t="str">
        <f t="shared" si="17"/>
        <v>YES</v>
      </c>
      <c r="BN419" s="124" t="str">
        <f t="shared" si="18"/>
        <v/>
      </c>
      <c r="BO419" s="91" t="str">
        <f t="shared" si="19"/>
        <v/>
      </c>
      <c r="BP419" s="91" t="str">
        <f t="shared" si="20"/>
        <v>#N/A</v>
      </c>
      <c r="BQ419" s="91" t="str">
        <f t="shared" si="21"/>
        <v/>
      </c>
      <c r="BR419" s="93" t="str">
        <f t="shared" si="22"/>
        <v/>
      </c>
      <c r="BS419" s="90" t="str">
        <f t="shared" si="23"/>
        <v/>
      </c>
      <c r="BT419" s="93" t="str">
        <f t="shared" si="24"/>
        <v>NA</v>
      </c>
      <c r="BU419" s="125" t="str">
        <f t="shared" si="25"/>
        <v>#N/A</v>
      </c>
      <c r="BV419" s="93" t="str">
        <f t="shared" si="26"/>
        <v/>
      </c>
      <c r="BW419" s="93" t="str">
        <f t="shared" si="27"/>
        <v/>
      </c>
      <c r="BX419" s="93" t="str">
        <f t="shared" si="28"/>
        <v>NA</v>
      </c>
      <c r="BY419" s="95" t="str">
        <f t="shared" si="29"/>
        <v>#N/A</v>
      </c>
      <c r="BZ419" s="93" t="str">
        <f t="shared" si="30"/>
        <v/>
      </c>
      <c r="CA419" s="93" t="str">
        <f t="shared" si="31"/>
        <v/>
      </c>
      <c r="CB419" s="93" t="str">
        <f t="shared" si="32"/>
        <v>NA</v>
      </c>
      <c r="CC419" s="96" t="str">
        <f t="shared" si="33"/>
        <v>#N/A</v>
      </c>
      <c r="CD419" s="93" t="str">
        <f t="shared" si="34"/>
        <v/>
      </c>
      <c r="CE419" s="93" t="str">
        <f t="shared" si="35"/>
        <v/>
      </c>
      <c r="CF419" s="93" t="str">
        <f t="shared" si="36"/>
        <v>NA</v>
      </c>
      <c r="CG419" s="97" t="str">
        <f t="shared" si="37"/>
        <v>#N/A</v>
      </c>
      <c r="CH419" s="98" t="str">
        <f t="shared" si="38"/>
        <v>#N/A</v>
      </c>
      <c r="CI419" s="99" t="str">
        <f t="shared" si="39"/>
        <v>#N/A</v>
      </c>
      <c r="CJ419" s="126" t="str">
        <f t="shared" si="40"/>
        <v>ERROR: check cell</v>
      </c>
      <c r="CK419" s="126"/>
      <c r="CL419" s="127" t="str">
        <f t="shared" si="41"/>
        <v>#DIV/0!</v>
      </c>
      <c r="CM419" s="128" t="str">
        <f t="shared" si="42"/>
        <v>#DIV/0!</v>
      </c>
      <c r="CN419" s="128">
        <f t="shared" si="43"/>
        <v>4</v>
      </c>
      <c r="CO419" s="129">
        <f t="shared" si="44"/>
        <v>4</v>
      </c>
      <c r="CP419" s="129" t="str">
        <f>IFS(C419=Preferences!B$13,B419,B419=Preferences!B$13,C419)</f>
        <v>#N/A</v>
      </c>
    </row>
    <row r="420" ht="13.5" customHeight="1">
      <c r="A420" s="63" t="str">
        <f t="shared" si="45"/>
        <v/>
      </c>
      <c r="B420" s="64"/>
      <c r="C420" s="64"/>
      <c r="D420" s="64"/>
      <c r="E420" s="65"/>
      <c r="F420" s="65"/>
      <c r="G420" s="65"/>
      <c r="H420" s="66"/>
      <c r="I420" s="66"/>
      <c r="J420" s="67"/>
      <c r="K420" s="68"/>
      <c r="L420" s="104"/>
      <c r="M420" s="104"/>
      <c r="N420" s="104"/>
      <c r="O420" s="104"/>
      <c r="P420" s="107" t="str">
        <f t="shared" si="1"/>
        <v/>
      </c>
      <c r="Q420" s="108" t="str">
        <f>IFERROR(IF(AND(Preferences!B$3="Manual",OR(AX420/AW420&gt;G420/F420,BD420="Serious",BD420="Very serious")),"Assess imprecision",IFS(ISBLANK(E420),"",AND(Preferences!B$3="Automatic", G420/F420&gt;=30),"Extremely serious",AND(H420&lt;=$D$1*-1,J420&lt;0,G420/F420&lt;3),"Not serious",AND(H420&lt;=$D$1*-1,J420&lt;0,G420/F420&gt;=3),"Very serious",AND(H420&gt;=$D$1,I420&gt;0,G420/F420&lt;3),"Not serious",AND(H420&gt;=$D$1,I420&gt;0,G420/F420&gt;=3),"Very serious",AND(H420&lt;=$D$1*-1,J420&gt;0,I420&gt;$D$2*-1,G420/F420&lt;3),"Serious", AND(H420&lt;=$D$1*-1,J420&gt;0,I420&lt;$D$2*-1,G420/F420&lt;3),"Very serious", AND(H420&gt;=$D$1,I420&lt;0,J420&lt;$D$2,G420/F420&lt;3),"Serious",AND(H420&gt;=$D$1,I420&lt;0,J420&gt;$D$2,G420/F420&lt;3),"Very serious", AND(H420&lt;=$D$1*-1,J420&gt;0,I420&gt;$D$2*-1,G420/F420&gt;=3),"Very serious", AND(H420&lt;=$D$1*-1,J420&gt;0,I420&lt;$D$2*-1,G420/F420&gt;=3),"Very serious", AND(H420&gt;=$D$1,I420&lt;0,J420&lt;$D$2,G420/F420&gt;=3),"Very serious", AND(H420&gt;=$D$1,I420&lt;0,J420&gt;$D$2,G420/F420&gt;=3),"Very serious", AND(H420&gt;$D$1*-1,H420&lt;$D$1,I420&gt;$D$1*-1,J420&lt;$D$1,G420/F420&lt;3),"Not serious", AND(H420&gt;$D$1*-1,H420&lt;$D$1,OR(I420&lt;=$D$1*-1,J420&gt;=$D$1),I420&gt;$D$2*-1,J420&lt;$D$2,G420/F420&lt;3),"Serious", AND(H420&gt;$D$1*-1,H420&lt;$D$1,OR(I420&lt;=$D$2*-1,J420&gt;=$D$2),G420/F420&lt;3),"Very serious", AND(H420&gt;$D$1*-1,H420&lt;$D$1,I420&gt;$D$1*-1,J420&lt;$D$1,G420/F420&gt;=3),"Very serious", AND(H420&gt;$D$1*-1,H420&lt;$D$1,OR(I420&lt;=$D$1*-1,J420&gt;=$D$1),I420&gt;$D$2*-1,J420&lt;$D$2,G420/F420&gt;=3),"Very serious", AND(H420&gt;$D$1*-1,H420&lt;$D$1,OR(I420&lt;=$D$2*-1,J420&gt;=$D$2),G420/F420&gt;=3),"Very serious")),"")</f>
        <v/>
      </c>
      <c r="R420" s="109" t="str">
        <f t="shared" si="47"/>
        <v/>
      </c>
      <c r="S420" s="64"/>
      <c r="T420" s="72"/>
      <c r="U420" s="72"/>
      <c r="V420" s="72"/>
      <c r="W420" s="73"/>
      <c r="X420" s="73"/>
      <c r="Y420" s="74"/>
      <c r="Z420" s="113" t="str">
        <f t="array" ref="Z420">INDEX($A$1:$C$500, MATCH(1,($B:$B=$B420)*($C:$C=$AB420),0),1)</f>
        <v/>
      </c>
      <c r="AA420" s="113" t="str">
        <f t="array" ref="AA420">INDEX($A$1:$C$500, MATCH(1,($B:$B=$AB420)*($C:$C=$B420),0),1)</f>
        <v/>
      </c>
      <c r="AB420" s="111"/>
      <c r="AC420" s="114" t="str">
        <f t="shared" si="2"/>
        <v/>
      </c>
      <c r="AD420" s="115" t="str">
        <f t="shared" si="3"/>
        <v/>
      </c>
      <c r="AE420" s="116" t="str">
        <f t="array" ref="AE420">INDEX($A$1:$C$500, MATCH(1,($B:$B=$AB420)*($C:$C=$AG420),0),1)</f>
        <v/>
      </c>
      <c r="AF420" s="116" t="str">
        <f t="array" ref="AF420">INDEX($A$1:$C$500, MATCH(1,($B:$B=$AG420)*($C:$C=$AB420),0),1)</f>
        <v/>
      </c>
      <c r="AG420" s="72"/>
      <c r="AH420" s="114" t="str">
        <f t="shared" si="4"/>
        <v/>
      </c>
      <c r="AI420" s="115" t="str">
        <f t="shared" si="5"/>
        <v/>
      </c>
      <c r="AJ420" s="116" t="str">
        <f t="array" ref="AJ420">INDEX($A$1:$C$500, MATCH(1,($B:$B=$C420)*($C:$C=$AG420),0),1)</f>
        <v/>
      </c>
      <c r="AK420" s="116" t="str">
        <f t="array" ref="AK420">INDEX($A$1:$C$500, MATCH(1,($B:$B=$AG420)*($C:$C=$C420),0),1)</f>
        <v/>
      </c>
      <c r="AL420" s="116" t="str">
        <f t="array" ref="AL420">INDEX($A$1:$C$500, MATCH(1,($B:$B=$C420)*($C:$C=$AB420),0),1)</f>
        <v/>
      </c>
      <c r="AM420" s="116" t="str">
        <f t="array" ref="AM420">INDEX($A$1:$C$500, MATCH(1,($B:$B=$AB420)*($C:$C=$C420),0),1)</f>
        <v/>
      </c>
      <c r="AN420" s="114" t="str">
        <f t="array" ref="AN420">IFS(ISNUMBER(AJ420),AJ420,ISNUMBER(AK420),AK420,ISNUMBER(AL420),AL420,ISNUMBER(AM420),AM420)</f>
        <v>#N/A</v>
      </c>
      <c r="AO420" s="115" t="str">
        <f t="shared" si="6"/>
        <v/>
      </c>
      <c r="AP420" s="115" t="str">
        <f t="shared" si="7"/>
        <v/>
      </c>
      <c r="AQ420" s="111"/>
      <c r="AR420" s="109" t="str">
        <f t="shared" si="8"/>
        <v/>
      </c>
      <c r="AS420" s="72" t="str">
        <f>IFERROR(IF(AND(Preferences!B$3="Manual",OR(AX420/AW420&gt;V420/U420,BD420="Serious",BD420="Very serious")),"Assess imprecision",IFERROR(IFS(AND(Preferences!B$3="Automatic",V420/U420&gt;=30),"Extremely serious",AND(W420&lt;=$D$1*-1,Y420&lt;0,V420/U420&lt;3),"Not Serious",AND(W420&lt;=$D$1*-1,Y420&lt;0,V420/U420&gt;=3),"Very serious",AND(W420&gt;=$D$1,X420&gt;0,V420/U420&lt;3),"Not Serious",AND(W420&gt;=$D$1,X420&gt;0,V420/U420&gt;=3),"Very serious",AND(W420&lt;=$D$1*-1,Y420&gt;0,X420&gt;$D$2*-1,V420/U420&lt;3),"Serious", AND(W420&lt;=$D$1*-1,Y420&gt;0,X420&lt;$D$2*-1,V420/U420&lt;3),"Very serious", AND(W420&gt;=$D$1,X420&lt;0,Y420&lt;$D$2,V420/U420&lt;3),"Serious",AND(W420&gt;=$D$1,X420&lt;0,Y420&gt;$D$2,V420/U420&lt;3),"Very serious", AND(W420&lt;=$D$1*-1,Y420&gt;0,X420&gt;$D$2*-1,V420/U420&gt;=3),"Very serious", AND(W420&lt;=$D$1*-1,Y420&gt;0,X420&lt;$D$2*-1,V420/U420&gt;=3),"Very serious", AND(W420&gt;=$D$1,X420&lt;0,Y420&lt;$D$2,V420/U420&gt;=3),"Very serious", AND(W420&gt;=$D$1,X420&lt;0,Y420&gt;$D$2,V420/U420&gt;=3),"Very serious", AND(W420&gt;$D$1*-1,W420&lt;$D$1,X420&gt;$D$1*-1,Y420&lt;$D$1,V420/U420&lt;3),"Not Serious", AND(W420&gt;$D$1*-1,W420&lt;$D$1,OR(X420&lt;=$D$1*-1,Y420&gt;=$D$1),X420&gt;$D$2*-1,Y420&lt;$D$2,V420/U420&lt;3),"Serious", AND(W420&gt;$D$1*-1,W420&lt;$D$1,OR(X420&lt;=$D$2*-1,Y420&gt;=$D$2),V420/U420&lt;3),"Very serious", AND(W420&gt;$D$1*-1,W420&lt;$D$1,X420&gt;$D$1*-1,Y420&lt;$D$1,V420/U420&gt;=3),"Very serious", AND(W420&gt;$D$1*-1,W420&lt;$D$1,OR(X420&lt;=$D$1*-1,Y420&gt;=$D$1),X420&gt;$D$2*-1,Y420&lt;$D$2,V420/U420&gt;=3),"Very serious", AND(W420&gt;$D$1*-1,W420&lt;$D$1,OR(X420&lt;=$D$2*-1,Y420&gt;=$D$2),V420/U420&gt;=3),"Very serious"),"")),"")</f>
        <v/>
      </c>
      <c r="AT420" s="109" t="str">
        <f t="shared" si="9"/>
        <v/>
      </c>
      <c r="AU420" s="64"/>
      <c r="AV420" s="83"/>
      <c r="AW420" s="83"/>
      <c r="AX420" s="83"/>
      <c r="AY420" s="83"/>
      <c r="AZ420" s="83"/>
      <c r="BA420" s="85"/>
      <c r="BB420" s="86" t="str">
        <f>IF(Preferences!B$9="Manual","",IFS(ISBLANK(B420),"",AND(ISNUMBER(E420)=TRUE,ISNUMBER(T420)=FALSE),"Direct", AND(ISNUMBER(E420)=FALSE,ISNUMBER(T420)=TRUE),"Indirect", CN420=4,"Direct",AND(CL420=FALSE, CM420=TRUE,CN420-CO420&gt;-1),"Direct", AND(CL420=FALSE,CM420=TRUE, CN420-CO420&lt;0),"Check algorithm in appendix 2", AND(CL420=TRUE, CM420=FALSE,CN420-CO420&gt;0),"Check algorithm in appendix 2", AND(CL420=TRUE, CM420=FALSE,CN420-CO420=0),"Indirect", AND(CL420=TRUE, CM420=FALSE,CN420-CO420&lt;0),"Indirect", AND(CL420=FALSE,CM420=FALSE,CN420-CO420&gt;-1),"Direct", AND(CL420=FALSE,CM420=FALSE,CN420-CO420&lt;0),"Check algorithm in appendix 2", AND(CL420=TRUE,CM420=TRUE,CN420-CO420&gt;-1),"Direct", AND(CL420=TRUE,CM420=TRUE,CN420-CO420&lt;0),"Check algorithm in appendix 2"))</f>
        <v/>
      </c>
      <c r="BC420" s="120" t="str">
        <f t="shared" si="10"/>
        <v/>
      </c>
      <c r="BD420" s="140"/>
      <c r="BE420" s="122" t="str">
        <f>IF(Preferences!B$3="Manual","", IFERROR(IFS(AND(Preferences!B$3="Automatic",AX420/AW420&gt;=30),"Extremely serious",AND(AY420&lt;=$D$1*-1,BA420&lt;0,AX420/AW420&lt;3),"Not Serious",AND(AY420&lt;=$D$1*-1,BA420&lt;0,AX420/AW420&gt;=3),"Very serious",AND(AY420&gt;=$D$1,AZ420&gt;0,AX420/AW420&lt;3),"Not Serious",AND(AY420&gt;=$D$1,AZ420&gt;0,AX420/AW420&gt;=3),"Very serious",AND(AY420&lt;=$D$1*-1,BA420&gt;0,AZ420&gt;$D$2*-1,AX420/AW420&lt;3),"Serious", AND(AY420&lt;=$D$1*-1,BA420&gt;0,AZ420&lt;$D$2*-1,AX420/AW420&lt;3),"Very serious", AND(AY420&gt;=$D$1,AZ420&lt;0,BA420&lt;$D$2,AX420/AW420&lt;3),"Serious",AND(AY420&gt;=$D$1,AZ420&lt;0,BA420&gt;$D$2,AX420/AW420&lt;3),"Very serious", AND(AY420&lt;=$D$1*-1,BA420&gt;0,AZ420&gt;$D$2*-1,AX420/AW420&gt;=3),"Very serious", AND(AY420&lt;=$D$1*-1,BA420&gt;0,AZ420&lt;$D$2*-1,AX420/AW420&gt;=3),"Very serious", AND(AY420&gt;=$D$1,AZ420&lt;0,BA420&lt;$D$2,AX420/AW420&gt;=3),"Very serious", AND(AY420&gt;=$D$1,AZ420&lt;0,BA420&gt;$D$2,AX420/AW420&gt;=3),"Very serious", AND(AY420&gt;$D$1*-1,AY420&lt;$D$1,AZ420&gt;$D$1*-1,BA420&lt;$D$1,AX420/AW420&lt;3),"Not Serious", AND(AY420&gt;$D$1*-1,AY420&lt;$D$1,OR(AZ420&lt;=$D$1*-1,BA420&gt;=$D$1),AZ420&gt;$D$2*-1,BA420&lt;$D$2,AX420/AW420&lt;3),"Serious", AND(AY420&gt;$D$1*-1,AY420&lt;$D$1,OR(AZ420&lt;=$D$2*-1,BA420&gt;=$D$2),AX420/AW420&lt;3),"Very serious", AND(AY420&gt;$D$1*-1,AY420&lt;$D$1,AZ420&gt;$D$1*-1,BA420&lt;$D$1,AX420/AW420&gt;=3),"Very serious", AND(AY420&gt;$D$1*-1,AY420&lt;$D$1,OR(AZ420&lt;=$D$1*-1,BA420&gt;=$D$1),AZ420&gt;$D$2*-1,BA420&lt;$D$2,AX420/AW420&gt;=3),"Very serious", AND(AY420&gt;$D$1*-1,AY420&lt;$D$1,OR(AZ420&lt;=$D$2*-1,BA420&gt;=$D$2),AX420/AW420&gt;=3),"Very serious"),""))</f>
        <v/>
      </c>
      <c r="BF420" s="107" t="str">
        <f t="shared" si="11"/>
        <v/>
      </c>
      <c r="BG420" s="94" t="str">
        <f t="shared" si="46"/>
        <v/>
      </c>
      <c r="BH420" s="64" t="str">
        <f t="shared" si="12"/>
        <v>#N/A</v>
      </c>
      <c r="BI420" s="64" t="str">
        <f t="shared" si="13"/>
        <v/>
      </c>
      <c r="BJ420" s="123" t="str">
        <f t="shared" si="14"/>
        <v>#N/A</v>
      </c>
      <c r="BK420" s="64" t="str">
        <f t="shared" si="50"/>
        <v>YES</v>
      </c>
      <c r="BL420" s="64" t="str">
        <f t="shared" si="16"/>
        <v>YES</v>
      </c>
      <c r="BM420" s="64" t="str">
        <f t="shared" si="17"/>
        <v>YES</v>
      </c>
      <c r="BN420" s="124" t="str">
        <f t="shared" si="18"/>
        <v/>
      </c>
      <c r="BO420" s="91" t="str">
        <f t="shared" si="19"/>
        <v/>
      </c>
      <c r="BP420" s="91" t="str">
        <f t="shared" si="20"/>
        <v>#N/A</v>
      </c>
      <c r="BQ420" s="91" t="str">
        <f t="shared" si="21"/>
        <v/>
      </c>
      <c r="BR420" s="93" t="str">
        <f t="shared" si="22"/>
        <v/>
      </c>
      <c r="BS420" s="90" t="str">
        <f t="shared" si="23"/>
        <v/>
      </c>
      <c r="BT420" s="93" t="str">
        <f t="shared" si="24"/>
        <v>NA</v>
      </c>
      <c r="BU420" s="125" t="str">
        <f t="shared" si="25"/>
        <v>#N/A</v>
      </c>
      <c r="BV420" s="93" t="str">
        <f t="shared" si="26"/>
        <v/>
      </c>
      <c r="BW420" s="93" t="str">
        <f t="shared" si="27"/>
        <v/>
      </c>
      <c r="BX420" s="93" t="str">
        <f t="shared" si="28"/>
        <v>NA</v>
      </c>
      <c r="BY420" s="95" t="str">
        <f t="shared" si="29"/>
        <v>#N/A</v>
      </c>
      <c r="BZ420" s="93" t="str">
        <f t="shared" si="30"/>
        <v/>
      </c>
      <c r="CA420" s="93" t="str">
        <f t="shared" si="31"/>
        <v/>
      </c>
      <c r="CB420" s="93" t="str">
        <f t="shared" si="32"/>
        <v>NA</v>
      </c>
      <c r="CC420" s="96" t="str">
        <f t="shared" si="33"/>
        <v>#N/A</v>
      </c>
      <c r="CD420" s="93" t="str">
        <f t="shared" si="34"/>
        <v/>
      </c>
      <c r="CE420" s="93" t="str">
        <f t="shared" si="35"/>
        <v/>
      </c>
      <c r="CF420" s="93" t="str">
        <f t="shared" si="36"/>
        <v>NA</v>
      </c>
      <c r="CG420" s="97" t="str">
        <f t="shared" si="37"/>
        <v>#N/A</v>
      </c>
      <c r="CH420" s="98" t="str">
        <f t="shared" si="38"/>
        <v>#N/A</v>
      </c>
      <c r="CI420" s="99" t="str">
        <f t="shared" si="39"/>
        <v>#N/A</v>
      </c>
      <c r="CJ420" s="126" t="str">
        <f t="shared" si="40"/>
        <v>ERROR: check cell</v>
      </c>
      <c r="CK420" s="126"/>
      <c r="CL420" s="127" t="str">
        <f t="shared" si="41"/>
        <v>#DIV/0!</v>
      </c>
      <c r="CM420" s="128" t="str">
        <f t="shared" si="42"/>
        <v>#DIV/0!</v>
      </c>
      <c r="CN420" s="128">
        <f t="shared" si="43"/>
        <v>4</v>
      </c>
      <c r="CO420" s="129">
        <f t="shared" si="44"/>
        <v>4</v>
      </c>
      <c r="CP420" s="129" t="str">
        <f>IFS(C420=Preferences!B$13,B420,B420=Preferences!B$13,C420)</f>
        <v>#N/A</v>
      </c>
    </row>
    <row r="421" ht="13.5" customHeight="1">
      <c r="A421" s="63" t="str">
        <f t="shared" si="45"/>
        <v/>
      </c>
      <c r="B421" s="64"/>
      <c r="C421" s="64"/>
      <c r="D421" s="64"/>
      <c r="E421" s="65"/>
      <c r="F421" s="65"/>
      <c r="G421" s="65"/>
      <c r="H421" s="66"/>
      <c r="I421" s="66"/>
      <c r="J421" s="67"/>
      <c r="K421" s="68"/>
      <c r="L421" s="104"/>
      <c r="M421" s="104"/>
      <c r="N421" s="104"/>
      <c r="O421" s="104"/>
      <c r="P421" s="107" t="str">
        <f t="shared" si="1"/>
        <v/>
      </c>
      <c r="Q421" s="108" t="str">
        <f>IFERROR(IF(AND(Preferences!B$3="Manual",OR(AX421/AW421&gt;G421/F421,BD421="Serious",BD421="Very serious")),"Assess imprecision",IFS(ISBLANK(E421),"",AND(Preferences!B$3="Automatic", G421/F421&gt;=30),"Extremely serious",AND(H421&lt;=$D$1*-1,J421&lt;0,G421/F421&lt;3),"Not serious",AND(H421&lt;=$D$1*-1,J421&lt;0,G421/F421&gt;=3),"Very serious",AND(H421&gt;=$D$1,I421&gt;0,G421/F421&lt;3),"Not serious",AND(H421&gt;=$D$1,I421&gt;0,G421/F421&gt;=3),"Very serious",AND(H421&lt;=$D$1*-1,J421&gt;0,I421&gt;$D$2*-1,G421/F421&lt;3),"Serious", AND(H421&lt;=$D$1*-1,J421&gt;0,I421&lt;$D$2*-1,G421/F421&lt;3),"Very serious", AND(H421&gt;=$D$1,I421&lt;0,J421&lt;$D$2,G421/F421&lt;3),"Serious",AND(H421&gt;=$D$1,I421&lt;0,J421&gt;$D$2,G421/F421&lt;3),"Very serious", AND(H421&lt;=$D$1*-1,J421&gt;0,I421&gt;$D$2*-1,G421/F421&gt;=3),"Very serious", AND(H421&lt;=$D$1*-1,J421&gt;0,I421&lt;$D$2*-1,G421/F421&gt;=3),"Very serious", AND(H421&gt;=$D$1,I421&lt;0,J421&lt;$D$2,G421/F421&gt;=3),"Very serious", AND(H421&gt;=$D$1,I421&lt;0,J421&gt;$D$2,G421/F421&gt;=3),"Very serious", AND(H421&gt;$D$1*-1,H421&lt;$D$1,I421&gt;$D$1*-1,J421&lt;$D$1,G421/F421&lt;3),"Not serious", AND(H421&gt;$D$1*-1,H421&lt;$D$1,OR(I421&lt;=$D$1*-1,J421&gt;=$D$1),I421&gt;$D$2*-1,J421&lt;$D$2,G421/F421&lt;3),"Serious", AND(H421&gt;$D$1*-1,H421&lt;$D$1,OR(I421&lt;=$D$2*-1,J421&gt;=$D$2),G421/F421&lt;3),"Very serious", AND(H421&gt;$D$1*-1,H421&lt;$D$1,I421&gt;$D$1*-1,J421&lt;$D$1,G421/F421&gt;=3),"Very serious", AND(H421&gt;$D$1*-1,H421&lt;$D$1,OR(I421&lt;=$D$1*-1,J421&gt;=$D$1),I421&gt;$D$2*-1,J421&lt;$D$2,G421/F421&gt;=3),"Very serious", AND(H421&gt;$D$1*-1,H421&lt;$D$1,OR(I421&lt;=$D$2*-1,J421&gt;=$D$2),G421/F421&gt;=3),"Very serious")),"")</f>
        <v/>
      </c>
      <c r="R421" s="109" t="str">
        <f t="shared" si="47"/>
        <v/>
      </c>
      <c r="S421" s="64"/>
      <c r="T421" s="72"/>
      <c r="U421" s="72"/>
      <c r="V421" s="72"/>
      <c r="W421" s="73"/>
      <c r="X421" s="73"/>
      <c r="Y421" s="74"/>
      <c r="Z421" s="113" t="str">
        <f t="array" ref="Z421">INDEX($A$1:$C$500, MATCH(1,($B:$B=$B421)*($C:$C=$AB421),0),1)</f>
        <v/>
      </c>
      <c r="AA421" s="113" t="str">
        <f t="array" ref="AA421">INDEX($A$1:$C$500, MATCH(1,($B:$B=$AB421)*($C:$C=$B421),0),1)</f>
        <v/>
      </c>
      <c r="AB421" s="111"/>
      <c r="AC421" s="114" t="str">
        <f t="shared" si="2"/>
        <v/>
      </c>
      <c r="AD421" s="115" t="str">
        <f t="shared" si="3"/>
        <v/>
      </c>
      <c r="AE421" s="116" t="str">
        <f t="array" ref="AE421">INDEX($A$1:$C$500, MATCH(1,($B:$B=$AB421)*($C:$C=$AG421),0),1)</f>
        <v/>
      </c>
      <c r="AF421" s="116" t="str">
        <f t="array" ref="AF421">INDEX($A$1:$C$500, MATCH(1,($B:$B=$AG421)*($C:$C=$AB421),0),1)</f>
        <v/>
      </c>
      <c r="AG421" s="72"/>
      <c r="AH421" s="114" t="str">
        <f t="shared" si="4"/>
        <v/>
      </c>
      <c r="AI421" s="115" t="str">
        <f t="shared" si="5"/>
        <v/>
      </c>
      <c r="AJ421" s="116" t="str">
        <f t="array" ref="AJ421">INDEX($A$1:$C$500, MATCH(1,($B:$B=$C421)*($C:$C=$AG421),0),1)</f>
        <v/>
      </c>
      <c r="AK421" s="116" t="str">
        <f t="array" ref="AK421">INDEX($A$1:$C$500, MATCH(1,($B:$B=$AG421)*($C:$C=$C421),0),1)</f>
        <v/>
      </c>
      <c r="AL421" s="116" t="str">
        <f t="array" ref="AL421">INDEX($A$1:$C$500, MATCH(1,($B:$B=$C421)*($C:$C=$AB421),0),1)</f>
        <v/>
      </c>
      <c r="AM421" s="116" t="str">
        <f t="array" ref="AM421">INDEX($A$1:$C$500, MATCH(1,($B:$B=$AB421)*($C:$C=$C421),0),1)</f>
        <v/>
      </c>
      <c r="AN421" s="114" t="str">
        <f t="array" ref="AN421">IFS(ISNUMBER(AJ421),AJ421,ISNUMBER(AK421),AK421,ISNUMBER(AL421),AL421,ISNUMBER(AM421),AM421)</f>
        <v>#N/A</v>
      </c>
      <c r="AO421" s="115" t="str">
        <f t="shared" si="6"/>
        <v/>
      </c>
      <c r="AP421" s="115" t="str">
        <f t="shared" si="7"/>
        <v/>
      </c>
      <c r="AQ421" s="111"/>
      <c r="AR421" s="109" t="str">
        <f t="shared" si="8"/>
        <v/>
      </c>
      <c r="AS421" s="72" t="str">
        <f>IFERROR(IF(AND(Preferences!B$3="Manual",OR(AX421/AW421&gt;V421/U421,BD421="Serious",BD421="Very serious")),"Assess imprecision",IFERROR(IFS(AND(Preferences!B$3="Automatic",V421/U421&gt;=30),"Extremely serious",AND(W421&lt;=$D$1*-1,Y421&lt;0,V421/U421&lt;3),"Not Serious",AND(W421&lt;=$D$1*-1,Y421&lt;0,V421/U421&gt;=3),"Very serious",AND(W421&gt;=$D$1,X421&gt;0,V421/U421&lt;3),"Not Serious",AND(W421&gt;=$D$1,X421&gt;0,V421/U421&gt;=3),"Very serious",AND(W421&lt;=$D$1*-1,Y421&gt;0,X421&gt;$D$2*-1,V421/U421&lt;3),"Serious", AND(W421&lt;=$D$1*-1,Y421&gt;0,X421&lt;$D$2*-1,V421/U421&lt;3),"Very serious", AND(W421&gt;=$D$1,X421&lt;0,Y421&lt;$D$2,V421/U421&lt;3),"Serious",AND(W421&gt;=$D$1,X421&lt;0,Y421&gt;$D$2,V421/U421&lt;3),"Very serious", AND(W421&lt;=$D$1*-1,Y421&gt;0,X421&gt;$D$2*-1,V421/U421&gt;=3),"Very serious", AND(W421&lt;=$D$1*-1,Y421&gt;0,X421&lt;$D$2*-1,V421/U421&gt;=3),"Very serious", AND(W421&gt;=$D$1,X421&lt;0,Y421&lt;$D$2,V421/U421&gt;=3),"Very serious", AND(W421&gt;=$D$1,X421&lt;0,Y421&gt;$D$2,V421/U421&gt;=3),"Very serious", AND(W421&gt;$D$1*-1,W421&lt;$D$1,X421&gt;$D$1*-1,Y421&lt;$D$1,V421/U421&lt;3),"Not Serious", AND(W421&gt;$D$1*-1,W421&lt;$D$1,OR(X421&lt;=$D$1*-1,Y421&gt;=$D$1),X421&gt;$D$2*-1,Y421&lt;$D$2,V421/U421&lt;3),"Serious", AND(W421&gt;$D$1*-1,W421&lt;$D$1,OR(X421&lt;=$D$2*-1,Y421&gt;=$D$2),V421/U421&lt;3),"Very serious", AND(W421&gt;$D$1*-1,W421&lt;$D$1,X421&gt;$D$1*-1,Y421&lt;$D$1,V421/U421&gt;=3),"Very serious", AND(W421&gt;$D$1*-1,W421&lt;$D$1,OR(X421&lt;=$D$1*-1,Y421&gt;=$D$1),X421&gt;$D$2*-1,Y421&lt;$D$2,V421/U421&gt;=3),"Very serious", AND(W421&gt;$D$1*-1,W421&lt;$D$1,OR(X421&lt;=$D$2*-1,Y421&gt;=$D$2),V421/U421&gt;=3),"Very serious"),"")),"")</f>
        <v/>
      </c>
      <c r="AT421" s="109" t="str">
        <f t="shared" si="9"/>
        <v/>
      </c>
      <c r="AU421" s="64"/>
      <c r="AV421" s="83"/>
      <c r="AW421" s="83"/>
      <c r="AX421" s="83"/>
      <c r="AY421" s="83"/>
      <c r="AZ421" s="83"/>
      <c r="BA421" s="85"/>
      <c r="BB421" s="86" t="str">
        <f>IF(Preferences!B$9="Manual","",IFS(ISBLANK(B421),"",AND(ISNUMBER(E421)=TRUE,ISNUMBER(T421)=FALSE),"Direct", AND(ISNUMBER(E421)=FALSE,ISNUMBER(T421)=TRUE),"Indirect", CN421=4,"Direct",AND(CL421=FALSE, CM421=TRUE,CN421-CO421&gt;-1),"Direct", AND(CL421=FALSE,CM421=TRUE, CN421-CO421&lt;0),"Check algorithm in appendix 2", AND(CL421=TRUE, CM421=FALSE,CN421-CO421&gt;0),"Check algorithm in appendix 2", AND(CL421=TRUE, CM421=FALSE,CN421-CO421=0),"Indirect", AND(CL421=TRUE, CM421=FALSE,CN421-CO421&lt;0),"Indirect", AND(CL421=FALSE,CM421=FALSE,CN421-CO421&gt;-1),"Direct", AND(CL421=FALSE,CM421=FALSE,CN421-CO421&lt;0),"Check algorithm in appendix 2", AND(CL421=TRUE,CM421=TRUE,CN421-CO421&gt;-1),"Direct", AND(CL421=TRUE,CM421=TRUE,CN421-CO421&lt;0),"Check algorithm in appendix 2"))</f>
        <v/>
      </c>
      <c r="BC421" s="120" t="str">
        <f t="shared" si="10"/>
        <v/>
      </c>
      <c r="BD421" s="140"/>
      <c r="BE421" s="122" t="str">
        <f>IF(Preferences!B$3="Manual","", IFERROR(IFS(AND(Preferences!B$3="Automatic",AX421/AW421&gt;=30),"Extremely serious",AND(AY421&lt;=$D$1*-1,BA421&lt;0,AX421/AW421&lt;3),"Not Serious",AND(AY421&lt;=$D$1*-1,BA421&lt;0,AX421/AW421&gt;=3),"Very serious",AND(AY421&gt;=$D$1,AZ421&gt;0,AX421/AW421&lt;3),"Not Serious",AND(AY421&gt;=$D$1,AZ421&gt;0,AX421/AW421&gt;=3),"Very serious",AND(AY421&lt;=$D$1*-1,BA421&gt;0,AZ421&gt;$D$2*-1,AX421/AW421&lt;3),"Serious", AND(AY421&lt;=$D$1*-1,BA421&gt;0,AZ421&lt;$D$2*-1,AX421/AW421&lt;3),"Very serious", AND(AY421&gt;=$D$1,AZ421&lt;0,BA421&lt;$D$2,AX421/AW421&lt;3),"Serious",AND(AY421&gt;=$D$1,AZ421&lt;0,BA421&gt;$D$2,AX421/AW421&lt;3),"Very serious", AND(AY421&lt;=$D$1*-1,BA421&gt;0,AZ421&gt;$D$2*-1,AX421/AW421&gt;=3),"Very serious", AND(AY421&lt;=$D$1*-1,BA421&gt;0,AZ421&lt;$D$2*-1,AX421/AW421&gt;=3),"Very serious", AND(AY421&gt;=$D$1,AZ421&lt;0,BA421&lt;$D$2,AX421/AW421&gt;=3),"Very serious", AND(AY421&gt;=$D$1,AZ421&lt;0,BA421&gt;$D$2,AX421/AW421&gt;=3),"Very serious", AND(AY421&gt;$D$1*-1,AY421&lt;$D$1,AZ421&gt;$D$1*-1,BA421&lt;$D$1,AX421/AW421&lt;3),"Not Serious", AND(AY421&gt;$D$1*-1,AY421&lt;$D$1,OR(AZ421&lt;=$D$1*-1,BA421&gt;=$D$1),AZ421&gt;$D$2*-1,BA421&lt;$D$2,AX421/AW421&lt;3),"Serious", AND(AY421&gt;$D$1*-1,AY421&lt;$D$1,OR(AZ421&lt;=$D$2*-1,BA421&gt;=$D$2),AX421/AW421&lt;3),"Very serious", AND(AY421&gt;$D$1*-1,AY421&lt;$D$1,AZ421&gt;$D$1*-1,BA421&lt;$D$1,AX421/AW421&gt;=3),"Very serious", AND(AY421&gt;$D$1*-1,AY421&lt;$D$1,OR(AZ421&lt;=$D$1*-1,BA421&gt;=$D$1),AZ421&gt;$D$2*-1,BA421&lt;$D$2,AX421/AW421&gt;=3),"Very serious", AND(AY421&gt;$D$1*-1,AY421&lt;$D$1,OR(AZ421&lt;=$D$2*-1,BA421&gt;=$D$2),AX421/AW421&gt;=3),"Very serious"),""))</f>
        <v/>
      </c>
      <c r="BF421" s="107" t="str">
        <f t="shared" si="11"/>
        <v/>
      </c>
      <c r="BG421" s="94" t="str">
        <f t="shared" si="46"/>
        <v/>
      </c>
      <c r="BH421" s="64" t="str">
        <f t="shared" si="12"/>
        <v>#N/A</v>
      </c>
      <c r="BI421" s="64" t="str">
        <f t="shared" si="13"/>
        <v/>
      </c>
      <c r="BJ421" s="123" t="str">
        <f t="shared" si="14"/>
        <v>#N/A</v>
      </c>
      <c r="BK421" s="64" t="str">
        <f t="shared" si="50"/>
        <v>YES</v>
      </c>
      <c r="BL421" s="64" t="str">
        <f t="shared" si="16"/>
        <v>YES</v>
      </c>
      <c r="BM421" s="64" t="str">
        <f t="shared" si="17"/>
        <v>YES</v>
      </c>
      <c r="BN421" s="124" t="str">
        <f t="shared" si="18"/>
        <v/>
      </c>
      <c r="BO421" s="91" t="str">
        <f t="shared" si="19"/>
        <v/>
      </c>
      <c r="BP421" s="91" t="str">
        <f t="shared" si="20"/>
        <v>#N/A</v>
      </c>
      <c r="BQ421" s="91" t="str">
        <f t="shared" si="21"/>
        <v/>
      </c>
      <c r="BR421" s="93" t="str">
        <f t="shared" si="22"/>
        <v/>
      </c>
      <c r="BS421" s="90" t="str">
        <f t="shared" si="23"/>
        <v/>
      </c>
      <c r="BT421" s="93" t="str">
        <f t="shared" si="24"/>
        <v>NA</v>
      </c>
      <c r="BU421" s="125" t="str">
        <f t="shared" si="25"/>
        <v>#N/A</v>
      </c>
      <c r="BV421" s="93" t="str">
        <f t="shared" si="26"/>
        <v/>
      </c>
      <c r="BW421" s="93" t="str">
        <f t="shared" si="27"/>
        <v/>
      </c>
      <c r="BX421" s="93" t="str">
        <f t="shared" si="28"/>
        <v>NA</v>
      </c>
      <c r="BY421" s="95" t="str">
        <f t="shared" si="29"/>
        <v>#N/A</v>
      </c>
      <c r="BZ421" s="93" t="str">
        <f t="shared" si="30"/>
        <v/>
      </c>
      <c r="CA421" s="93" t="str">
        <f t="shared" si="31"/>
        <v/>
      </c>
      <c r="CB421" s="93" t="str">
        <f t="shared" si="32"/>
        <v>NA</v>
      </c>
      <c r="CC421" s="96" t="str">
        <f t="shared" si="33"/>
        <v>#N/A</v>
      </c>
      <c r="CD421" s="93" t="str">
        <f t="shared" si="34"/>
        <v/>
      </c>
      <c r="CE421" s="93" t="str">
        <f t="shared" si="35"/>
        <v/>
      </c>
      <c r="CF421" s="93" t="str">
        <f t="shared" si="36"/>
        <v>NA</v>
      </c>
      <c r="CG421" s="97" t="str">
        <f t="shared" si="37"/>
        <v>#N/A</v>
      </c>
      <c r="CH421" s="98" t="str">
        <f t="shared" si="38"/>
        <v>#N/A</v>
      </c>
      <c r="CI421" s="99" t="str">
        <f t="shared" si="39"/>
        <v>#N/A</v>
      </c>
      <c r="CJ421" s="126" t="str">
        <f t="shared" si="40"/>
        <v>ERROR: check cell</v>
      </c>
      <c r="CK421" s="126"/>
      <c r="CL421" s="127" t="str">
        <f t="shared" si="41"/>
        <v>#DIV/0!</v>
      </c>
      <c r="CM421" s="128" t="str">
        <f t="shared" si="42"/>
        <v>#DIV/0!</v>
      </c>
      <c r="CN421" s="128">
        <f t="shared" si="43"/>
        <v>4</v>
      </c>
      <c r="CO421" s="129">
        <f t="shared" si="44"/>
        <v>4</v>
      </c>
      <c r="CP421" s="129" t="str">
        <f>IFS(C421=Preferences!B$13,B421,B421=Preferences!B$13,C421)</f>
        <v>#N/A</v>
      </c>
    </row>
    <row r="422" ht="13.5" customHeight="1">
      <c r="A422" s="63" t="str">
        <f t="shared" si="45"/>
        <v/>
      </c>
      <c r="B422" s="64"/>
      <c r="C422" s="64"/>
      <c r="D422" s="64"/>
      <c r="E422" s="65"/>
      <c r="F422" s="65"/>
      <c r="G422" s="65"/>
      <c r="H422" s="66"/>
      <c r="I422" s="66"/>
      <c r="J422" s="67"/>
      <c r="K422" s="68"/>
      <c r="L422" s="104"/>
      <c r="M422" s="104"/>
      <c r="N422" s="104"/>
      <c r="O422" s="104"/>
      <c r="P422" s="107" t="str">
        <f t="shared" si="1"/>
        <v/>
      </c>
      <c r="Q422" s="108" t="str">
        <f>IFERROR(IF(AND(Preferences!B$3="Manual",OR(AX422/AW422&gt;G422/F422,BD422="Serious",BD422="Very serious")),"Assess imprecision",IFS(ISBLANK(E422),"",AND(Preferences!B$3="Automatic", G422/F422&gt;=30),"Extremely serious",AND(H422&lt;=$D$1*-1,J422&lt;0,G422/F422&lt;3),"Not serious",AND(H422&lt;=$D$1*-1,J422&lt;0,G422/F422&gt;=3),"Very serious",AND(H422&gt;=$D$1,I422&gt;0,G422/F422&lt;3),"Not serious",AND(H422&gt;=$D$1,I422&gt;0,G422/F422&gt;=3),"Very serious",AND(H422&lt;=$D$1*-1,J422&gt;0,I422&gt;$D$2*-1,G422/F422&lt;3),"Serious", AND(H422&lt;=$D$1*-1,J422&gt;0,I422&lt;$D$2*-1,G422/F422&lt;3),"Very serious", AND(H422&gt;=$D$1,I422&lt;0,J422&lt;$D$2,G422/F422&lt;3),"Serious",AND(H422&gt;=$D$1,I422&lt;0,J422&gt;$D$2,G422/F422&lt;3),"Very serious", AND(H422&lt;=$D$1*-1,J422&gt;0,I422&gt;$D$2*-1,G422/F422&gt;=3),"Very serious", AND(H422&lt;=$D$1*-1,J422&gt;0,I422&lt;$D$2*-1,G422/F422&gt;=3),"Very serious", AND(H422&gt;=$D$1,I422&lt;0,J422&lt;$D$2,G422/F422&gt;=3),"Very serious", AND(H422&gt;=$D$1,I422&lt;0,J422&gt;$D$2,G422/F422&gt;=3),"Very serious", AND(H422&gt;$D$1*-1,H422&lt;$D$1,I422&gt;$D$1*-1,J422&lt;$D$1,G422/F422&lt;3),"Not serious", AND(H422&gt;$D$1*-1,H422&lt;$D$1,OR(I422&lt;=$D$1*-1,J422&gt;=$D$1),I422&gt;$D$2*-1,J422&lt;$D$2,G422/F422&lt;3),"Serious", AND(H422&gt;$D$1*-1,H422&lt;$D$1,OR(I422&lt;=$D$2*-1,J422&gt;=$D$2),G422/F422&lt;3),"Very serious", AND(H422&gt;$D$1*-1,H422&lt;$D$1,I422&gt;$D$1*-1,J422&lt;$D$1,G422/F422&gt;=3),"Very serious", AND(H422&gt;$D$1*-1,H422&lt;$D$1,OR(I422&lt;=$D$1*-1,J422&gt;=$D$1),I422&gt;$D$2*-1,J422&lt;$D$2,G422/F422&gt;=3),"Very serious", AND(H422&gt;$D$1*-1,H422&lt;$D$1,OR(I422&lt;=$D$2*-1,J422&gt;=$D$2),G422/F422&gt;=3),"Very serious")),"")</f>
        <v/>
      </c>
      <c r="R422" s="109" t="str">
        <f t="shared" si="47"/>
        <v/>
      </c>
      <c r="S422" s="64"/>
      <c r="T422" s="72"/>
      <c r="U422" s="72"/>
      <c r="V422" s="72"/>
      <c r="W422" s="73"/>
      <c r="X422" s="73"/>
      <c r="Y422" s="74"/>
      <c r="Z422" s="113" t="str">
        <f t="array" ref="Z422">INDEX($A$1:$C$500, MATCH(1,($B:$B=$B422)*($C:$C=$AB422),0),1)</f>
        <v/>
      </c>
      <c r="AA422" s="113" t="str">
        <f t="array" ref="AA422">INDEX($A$1:$C$500, MATCH(1,($B:$B=$AB422)*($C:$C=$B422),0),1)</f>
        <v/>
      </c>
      <c r="AB422" s="111"/>
      <c r="AC422" s="114" t="str">
        <f t="shared" si="2"/>
        <v/>
      </c>
      <c r="AD422" s="115" t="str">
        <f t="shared" si="3"/>
        <v/>
      </c>
      <c r="AE422" s="116" t="str">
        <f t="array" ref="AE422">INDEX($A$1:$C$500, MATCH(1,($B:$B=$AB422)*($C:$C=$AG422),0),1)</f>
        <v/>
      </c>
      <c r="AF422" s="116" t="str">
        <f t="array" ref="AF422">INDEX($A$1:$C$500, MATCH(1,($B:$B=$AG422)*($C:$C=$AB422),0),1)</f>
        <v/>
      </c>
      <c r="AG422" s="72"/>
      <c r="AH422" s="114" t="str">
        <f t="shared" si="4"/>
        <v/>
      </c>
      <c r="AI422" s="115" t="str">
        <f t="shared" si="5"/>
        <v/>
      </c>
      <c r="AJ422" s="116" t="str">
        <f t="array" ref="AJ422">INDEX($A$1:$C$500, MATCH(1,($B:$B=$C422)*($C:$C=$AG422),0),1)</f>
        <v/>
      </c>
      <c r="AK422" s="116" t="str">
        <f t="array" ref="AK422">INDEX($A$1:$C$500, MATCH(1,($B:$B=$AG422)*($C:$C=$C422),0),1)</f>
        <v/>
      </c>
      <c r="AL422" s="116" t="str">
        <f t="array" ref="AL422">INDEX($A$1:$C$500, MATCH(1,($B:$B=$C422)*($C:$C=$AB422),0),1)</f>
        <v/>
      </c>
      <c r="AM422" s="116" t="str">
        <f t="array" ref="AM422">INDEX($A$1:$C$500, MATCH(1,($B:$B=$AB422)*($C:$C=$C422),0),1)</f>
        <v/>
      </c>
      <c r="AN422" s="114" t="str">
        <f t="array" ref="AN422">IFS(ISNUMBER(AJ422),AJ422,ISNUMBER(AK422),AK422,ISNUMBER(AL422),AL422,ISNUMBER(AM422),AM422)</f>
        <v>#N/A</v>
      </c>
      <c r="AO422" s="115" t="str">
        <f t="shared" si="6"/>
        <v/>
      </c>
      <c r="AP422" s="115" t="str">
        <f t="shared" si="7"/>
        <v/>
      </c>
      <c r="AQ422" s="111"/>
      <c r="AR422" s="109" t="str">
        <f t="shared" si="8"/>
        <v/>
      </c>
      <c r="AS422" s="72" t="str">
        <f>IFERROR(IF(AND(Preferences!B$3="Manual",OR(AX422/AW422&gt;V422/U422,BD422="Serious",BD422="Very serious")),"Assess imprecision",IFERROR(IFS(AND(Preferences!B$3="Automatic",V422/U422&gt;=30),"Extremely serious",AND(W422&lt;=$D$1*-1,Y422&lt;0,V422/U422&lt;3),"Not Serious",AND(W422&lt;=$D$1*-1,Y422&lt;0,V422/U422&gt;=3),"Very serious",AND(W422&gt;=$D$1,X422&gt;0,V422/U422&lt;3),"Not Serious",AND(W422&gt;=$D$1,X422&gt;0,V422/U422&gt;=3),"Very serious",AND(W422&lt;=$D$1*-1,Y422&gt;0,X422&gt;$D$2*-1,V422/U422&lt;3),"Serious", AND(W422&lt;=$D$1*-1,Y422&gt;0,X422&lt;$D$2*-1,V422/U422&lt;3),"Very serious", AND(W422&gt;=$D$1,X422&lt;0,Y422&lt;$D$2,V422/U422&lt;3),"Serious",AND(W422&gt;=$D$1,X422&lt;0,Y422&gt;$D$2,V422/U422&lt;3),"Very serious", AND(W422&lt;=$D$1*-1,Y422&gt;0,X422&gt;$D$2*-1,V422/U422&gt;=3),"Very serious", AND(W422&lt;=$D$1*-1,Y422&gt;0,X422&lt;$D$2*-1,V422/U422&gt;=3),"Very serious", AND(W422&gt;=$D$1,X422&lt;0,Y422&lt;$D$2,V422/U422&gt;=3),"Very serious", AND(W422&gt;=$D$1,X422&lt;0,Y422&gt;$D$2,V422/U422&gt;=3),"Very serious", AND(W422&gt;$D$1*-1,W422&lt;$D$1,X422&gt;$D$1*-1,Y422&lt;$D$1,V422/U422&lt;3),"Not Serious", AND(W422&gt;$D$1*-1,W422&lt;$D$1,OR(X422&lt;=$D$1*-1,Y422&gt;=$D$1),X422&gt;$D$2*-1,Y422&lt;$D$2,V422/U422&lt;3),"Serious", AND(W422&gt;$D$1*-1,W422&lt;$D$1,OR(X422&lt;=$D$2*-1,Y422&gt;=$D$2),V422/U422&lt;3),"Very serious", AND(W422&gt;$D$1*-1,W422&lt;$D$1,X422&gt;$D$1*-1,Y422&lt;$D$1,V422/U422&gt;=3),"Very serious", AND(W422&gt;$D$1*-1,W422&lt;$D$1,OR(X422&lt;=$D$1*-1,Y422&gt;=$D$1),X422&gt;$D$2*-1,Y422&lt;$D$2,V422/U422&gt;=3),"Very serious", AND(W422&gt;$D$1*-1,W422&lt;$D$1,OR(X422&lt;=$D$2*-1,Y422&gt;=$D$2),V422/U422&gt;=3),"Very serious"),"")),"")</f>
        <v/>
      </c>
      <c r="AT422" s="109" t="str">
        <f t="shared" si="9"/>
        <v/>
      </c>
      <c r="AU422" s="64"/>
      <c r="AV422" s="83"/>
      <c r="AW422" s="83"/>
      <c r="AX422" s="83"/>
      <c r="AY422" s="83"/>
      <c r="AZ422" s="83"/>
      <c r="BA422" s="85"/>
      <c r="BB422" s="86" t="str">
        <f>IF(Preferences!B$9="Manual","",IFS(ISBLANK(B422),"",AND(ISNUMBER(E422)=TRUE,ISNUMBER(T422)=FALSE),"Direct", AND(ISNUMBER(E422)=FALSE,ISNUMBER(T422)=TRUE),"Indirect", CN422=4,"Direct",AND(CL422=FALSE, CM422=TRUE,CN422-CO422&gt;-1),"Direct", AND(CL422=FALSE,CM422=TRUE, CN422-CO422&lt;0),"Check algorithm in appendix 2", AND(CL422=TRUE, CM422=FALSE,CN422-CO422&gt;0),"Check algorithm in appendix 2", AND(CL422=TRUE, CM422=FALSE,CN422-CO422=0),"Indirect", AND(CL422=TRUE, CM422=FALSE,CN422-CO422&lt;0),"Indirect", AND(CL422=FALSE,CM422=FALSE,CN422-CO422&gt;-1),"Direct", AND(CL422=FALSE,CM422=FALSE,CN422-CO422&lt;0),"Check algorithm in appendix 2", AND(CL422=TRUE,CM422=TRUE,CN422-CO422&gt;-1),"Direct", AND(CL422=TRUE,CM422=TRUE,CN422-CO422&lt;0),"Check algorithm in appendix 2"))</f>
        <v/>
      </c>
      <c r="BC422" s="120" t="str">
        <f t="shared" si="10"/>
        <v/>
      </c>
      <c r="BD422" s="140"/>
      <c r="BE422" s="122" t="str">
        <f>IF(Preferences!B$3="Manual","", IFERROR(IFS(AND(Preferences!B$3="Automatic",AX422/AW422&gt;=30),"Extremely serious",AND(AY422&lt;=$D$1*-1,BA422&lt;0,AX422/AW422&lt;3),"Not Serious",AND(AY422&lt;=$D$1*-1,BA422&lt;0,AX422/AW422&gt;=3),"Very serious",AND(AY422&gt;=$D$1,AZ422&gt;0,AX422/AW422&lt;3),"Not Serious",AND(AY422&gt;=$D$1,AZ422&gt;0,AX422/AW422&gt;=3),"Very serious",AND(AY422&lt;=$D$1*-1,BA422&gt;0,AZ422&gt;$D$2*-1,AX422/AW422&lt;3),"Serious", AND(AY422&lt;=$D$1*-1,BA422&gt;0,AZ422&lt;$D$2*-1,AX422/AW422&lt;3),"Very serious", AND(AY422&gt;=$D$1,AZ422&lt;0,BA422&lt;$D$2,AX422/AW422&lt;3),"Serious",AND(AY422&gt;=$D$1,AZ422&lt;0,BA422&gt;$D$2,AX422/AW422&lt;3),"Very serious", AND(AY422&lt;=$D$1*-1,BA422&gt;0,AZ422&gt;$D$2*-1,AX422/AW422&gt;=3),"Very serious", AND(AY422&lt;=$D$1*-1,BA422&gt;0,AZ422&lt;$D$2*-1,AX422/AW422&gt;=3),"Very serious", AND(AY422&gt;=$D$1,AZ422&lt;0,BA422&lt;$D$2,AX422/AW422&gt;=3),"Very serious", AND(AY422&gt;=$D$1,AZ422&lt;0,BA422&gt;$D$2,AX422/AW422&gt;=3),"Very serious", AND(AY422&gt;$D$1*-1,AY422&lt;$D$1,AZ422&gt;$D$1*-1,BA422&lt;$D$1,AX422/AW422&lt;3),"Not Serious", AND(AY422&gt;$D$1*-1,AY422&lt;$D$1,OR(AZ422&lt;=$D$1*-1,BA422&gt;=$D$1),AZ422&gt;$D$2*-1,BA422&lt;$D$2,AX422/AW422&lt;3),"Serious", AND(AY422&gt;$D$1*-1,AY422&lt;$D$1,OR(AZ422&lt;=$D$2*-1,BA422&gt;=$D$2),AX422/AW422&lt;3),"Very serious", AND(AY422&gt;$D$1*-1,AY422&lt;$D$1,AZ422&gt;$D$1*-1,BA422&lt;$D$1,AX422/AW422&gt;=3),"Very serious", AND(AY422&gt;$D$1*-1,AY422&lt;$D$1,OR(AZ422&lt;=$D$1*-1,BA422&gt;=$D$1),AZ422&gt;$D$2*-1,BA422&lt;$D$2,AX422/AW422&gt;=3),"Very serious", AND(AY422&gt;$D$1*-1,AY422&lt;$D$1,OR(AZ422&lt;=$D$2*-1,BA422&gt;=$D$2),AX422/AW422&gt;=3),"Very serious"),""))</f>
        <v/>
      </c>
      <c r="BF422" s="107" t="str">
        <f t="shared" si="11"/>
        <v/>
      </c>
      <c r="BG422" s="94" t="str">
        <f t="shared" si="46"/>
        <v/>
      </c>
      <c r="BH422" s="64" t="str">
        <f t="shared" si="12"/>
        <v>#N/A</v>
      </c>
      <c r="BI422" s="64" t="str">
        <f t="shared" si="13"/>
        <v/>
      </c>
      <c r="BJ422" s="123" t="str">
        <f t="shared" si="14"/>
        <v>#N/A</v>
      </c>
      <c r="BK422" s="64" t="str">
        <f t="shared" si="50"/>
        <v>YES</v>
      </c>
      <c r="BL422" s="64" t="str">
        <f t="shared" si="16"/>
        <v>YES</v>
      </c>
      <c r="BM422" s="64" t="str">
        <f t="shared" si="17"/>
        <v>YES</v>
      </c>
      <c r="BN422" s="124" t="str">
        <f t="shared" si="18"/>
        <v/>
      </c>
      <c r="BO422" s="91" t="str">
        <f t="shared" si="19"/>
        <v/>
      </c>
      <c r="BP422" s="91" t="str">
        <f t="shared" si="20"/>
        <v>#N/A</v>
      </c>
      <c r="BQ422" s="91" t="str">
        <f t="shared" si="21"/>
        <v/>
      </c>
      <c r="BR422" s="93" t="str">
        <f t="shared" si="22"/>
        <v/>
      </c>
      <c r="BS422" s="90" t="str">
        <f t="shared" si="23"/>
        <v/>
      </c>
      <c r="BT422" s="93" t="str">
        <f t="shared" si="24"/>
        <v>NA</v>
      </c>
      <c r="BU422" s="125" t="str">
        <f t="shared" si="25"/>
        <v>#N/A</v>
      </c>
      <c r="BV422" s="93" t="str">
        <f t="shared" si="26"/>
        <v/>
      </c>
      <c r="BW422" s="93" t="str">
        <f t="shared" si="27"/>
        <v/>
      </c>
      <c r="BX422" s="93" t="str">
        <f t="shared" si="28"/>
        <v>NA</v>
      </c>
      <c r="BY422" s="95" t="str">
        <f t="shared" si="29"/>
        <v>#N/A</v>
      </c>
      <c r="BZ422" s="93" t="str">
        <f t="shared" si="30"/>
        <v/>
      </c>
      <c r="CA422" s="93" t="str">
        <f t="shared" si="31"/>
        <v/>
      </c>
      <c r="CB422" s="93" t="str">
        <f t="shared" si="32"/>
        <v>NA</v>
      </c>
      <c r="CC422" s="96" t="str">
        <f t="shared" si="33"/>
        <v>#N/A</v>
      </c>
      <c r="CD422" s="93" t="str">
        <f t="shared" si="34"/>
        <v/>
      </c>
      <c r="CE422" s="93" t="str">
        <f t="shared" si="35"/>
        <v/>
      </c>
      <c r="CF422" s="93" t="str">
        <f t="shared" si="36"/>
        <v>NA</v>
      </c>
      <c r="CG422" s="97" t="str">
        <f t="shared" si="37"/>
        <v>#N/A</v>
      </c>
      <c r="CH422" s="98" t="str">
        <f t="shared" si="38"/>
        <v>#N/A</v>
      </c>
      <c r="CI422" s="99" t="str">
        <f t="shared" si="39"/>
        <v>#N/A</v>
      </c>
      <c r="CJ422" s="126" t="str">
        <f t="shared" si="40"/>
        <v>ERROR: check cell</v>
      </c>
      <c r="CK422" s="126"/>
      <c r="CL422" s="127" t="str">
        <f t="shared" si="41"/>
        <v>#DIV/0!</v>
      </c>
      <c r="CM422" s="128" t="str">
        <f t="shared" si="42"/>
        <v>#DIV/0!</v>
      </c>
      <c r="CN422" s="128">
        <f t="shared" si="43"/>
        <v>4</v>
      </c>
      <c r="CO422" s="129">
        <f t="shared" si="44"/>
        <v>4</v>
      </c>
      <c r="CP422" s="129" t="str">
        <f>IFS(C422=Preferences!B$13,B422,B422=Preferences!B$13,C422)</f>
        <v>#N/A</v>
      </c>
    </row>
    <row r="423" ht="13.5" customHeight="1">
      <c r="A423" s="63" t="str">
        <f t="shared" si="45"/>
        <v/>
      </c>
      <c r="B423" s="64"/>
      <c r="C423" s="64"/>
      <c r="D423" s="64"/>
      <c r="E423" s="65"/>
      <c r="F423" s="65"/>
      <c r="G423" s="65"/>
      <c r="H423" s="66"/>
      <c r="I423" s="66"/>
      <c r="J423" s="67"/>
      <c r="K423" s="68"/>
      <c r="L423" s="104"/>
      <c r="M423" s="104"/>
      <c r="N423" s="104"/>
      <c r="O423" s="104"/>
      <c r="P423" s="107" t="str">
        <f t="shared" si="1"/>
        <v/>
      </c>
      <c r="Q423" s="108" t="str">
        <f>IFERROR(IF(AND(Preferences!B$3="Manual",OR(AX423/AW423&gt;G423/F423,BD423="Serious",BD423="Very serious")),"Assess imprecision",IFS(ISBLANK(E423),"",AND(Preferences!B$3="Automatic", G423/F423&gt;=30),"Extremely serious",AND(H423&lt;=$D$1*-1,J423&lt;0,G423/F423&lt;3),"Not serious",AND(H423&lt;=$D$1*-1,J423&lt;0,G423/F423&gt;=3),"Very serious",AND(H423&gt;=$D$1,I423&gt;0,G423/F423&lt;3),"Not serious",AND(H423&gt;=$D$1,I423&gt;0,G423/F423&gt;=3),"Very serious",AND(H423&lt;=$D$1*-1,J423&gt;0,I423&gt;$D$2*-1,G423/F423&lt;3),"Serious", AND(H423&lt;=$D$1*-1,J423&gt;0,I423&lt;$D$2*-1,G423/F423&lt;3),"Very serious", AND(H423&gt;=$D$1,I423&lt;0,J423&lt;$D$2,G423/F423&lt;3),"Serious",AND(H423&gt;=$D$1,I423&lt;0,J423&gt;$D$2,G423/F423&lt;3),"Very serious", AND(H423&lt;=$D$1*-1,J423&gt;0,I423&gt;$D$2*-1,G423/F423&gt;=3),"Very serious", AND(H423&lt;=$D$1*-1,J423&gt;0,I423&lt;$D$2*-1,G423/F423&gt;=3),"Very serious", AND(H423&gt;=$D$1,I423&lt;0,J423&lt;$D$2,G423/F423&gt;=3),"Very serious", AND(H423&gt;=$D$1,I423&lt;0,J423&gt;$D$2,G423/F423&gt;=3),"Very serious", AND(H423&gt;$D$1*-1,H423&lt;$D$1,I423&gt;$D$1*-1,J423&lt;$D$1,G423/F423&lt;3),"Not serious", AND(H423&gt;$D$1*-1,H423&lt;$D$1,OR(I423&lt;=$D$1*-1,J423&gt;=$D$1),I423&gt;$D$2*-1,J423&lt;$D$2,G423/F423&lt;3),"Serious", AND(H423&gt;$D$1*-1,H423&lt;$D$1,OR(I423&lt;=$D$2*-1,J423&gt;=$D$2),G423/F423&lt;3),"Very serious", AND(H423&gt;$D$1*-1,H423&lt;$D$1,I423&gt;$D$1*-1,J423&lt;$D$1,G423/F423&gt;=3),"Very serious", AND(H423&gt;$D$1*-1,H423&lt;$D$1,OR(I423&lt;=$D$1*-1,J423&gt;=$D$1),I423&gt;$D$2*-1,J423&lt;$D$2,G423/F423&gt;=3),"Very serious", AND(H423&gt;$D$1*-1,H423&lt;$D$1,OR(I423&lt;=$D$2*-1,J423&gt;=$D$2),G423/F423&gt;=3),"Very serious")),"")</f>
        <v/>
      </c>
      <c r="R423" s="109" t="str">
        <f t="shared" si="47"/>
        <v/>
      </c>
      <c r="S423" s="64"/>
      <c r="T423" s="72"/>
      <c r="U423" s="72"/>
      <c r="V423" s="72"/>
      <c r="W423" s="73"/>
      <c r="X423" s="73"/>
      <c r="Y423" s="74"/>
      <c r="Z423" s="113" t="str">
        <f t="array" ref="Z423">INDEX($A$1:$C$500, MATCH(1,($B:$B=$B423)*($C:$C=$AB423),0),1)</f>
        <v/>
      </c>
      <c r="AA423" s="113" t="str">
        <f t="array" ref="AA423">INDEX($A$1:$C$500, MATCH(1,($B:$B=$AB423)*($C:$C=$B423),0),1)</f>
        <v/>
      </c>
      <c r="AB423" s="111"/>
      <c r="AC423" s="114" t="str">
        <f t="shared" si="2"/>
        <v/>
      </c>
      <c r="AD423" s="115" t="str">
        <f t="shared" si="3"/>
        <v/>
      </c>
      <c r="AE423" s="116" t="str">
        <f t="array" ref="AE423">INDEX($A$1:$C$500, MATCH(1,($B:$B=$AB423)*($C:$C=$AG423),0),1)</f>
        <v/>
      </c>
      <c r="AF423" s="116" t="str">
        <f t="array" ref="AF423">INDEX($A$1:$C$500, MATCH(1,($B:$B=$AG423)*($C:$C=$AB423),0),1)</f>
        <v/>
      </c>
      <c r="AG423" s="72"/>
      <c r="AH423" s="114" t="str">
        <f t="shared" si="4"/>
        <v/>
      </c>
      <c r="AI423" s="115" t="str">
        <f t="shared" si="5"/>
        <v/>
      </c>
      <c r="AJ423" s="116" t="str">
        <f t="array" ref="AJ423">INDEX($A$1:$C$500, MATCH(1,($B:$B=$C423)*($C:$C=$AG423),0),1)</f>
        <v/>
      </c>
      <c r="AK423" s="116" t="str">
        <f t="array" ref="AK423">INDEX($A$1:$C$500, MATCH(1,($B:$B=$AG423)*($C:$C=$C423),0),1)</f>
        <v/>
      </c>
      <c r="AL423" s="116" t="str">
        <f t="array" ref="AL423">INDEX($A$1:$C$500, MATCH(1,($B:$B=$C423)*($C:$C=$AB423),0),1)</f>
        <v/>
      </c>
      <c r="AM423" s="116" t="str">
        <f t="array" ref="AM423">INDEX($A$1:$C$500, MATCH(1,($B:$B=$AB423)*($C:$C=$C423),0),1)</f>
        <v/>
      </c>
      <c r="AN423" s="114" t="str">
        <f t="array" ref="AN423">IFS(ISNUMBER(AJ423),AJ423,ISNUMBER(AK423),AK423,ISNUMBER(AL423),AL423,ISNUMBER(AM423),AM423)</f>
        <v>#N/A</v>
      </c>
      <c r="AO423" s="115" t="str">
        <f t="shared" si="6"/>
        <v/>
      </c>
      <c r="AP423" s="115" t="str">
        <f t="shared" si="7"/>
        <v/>
      </c>
      <c r="AQ423" s="111"/>
      <c r="AR423" s="109" t="str">
        <f t="shared" si="8"/>
        <v/>
      </c>
      <c r="AS423" s="72" t="str">
        <f>IFERROR(IF(AND(Preferences!B$3="Manual",OR(AX423/AW423&gt;V423/U423,BD423="Serious",BD423="Very serious")),"Assess imprecision",IFERROR(IFS(AND(Preferences!B$3="Automatic",V423/U423&gt;=30),"Extremely serious",AND(W423&lt;=$D$1*-1,Y423&lt;0,V423/U423&lt;3),"Not Serious",AND(W423&lt;=$D$1*-1,Y423&lt;0,V423/U423&gt;=3),"Very serious",AND(W423&gt;=$D$1,X423&gt;0,V423/U423&lt;3),"Not Serious",AND(W423&gt;=$D$1,X423&gt;0,V423/U423&gt;=3),"Very serious",AND(W423&lt;=$D$1*-1,Y423&gt;0,X423&gt;$D$2*-1,V423/U423&lt;3),"Serious", AND(W423&lt;=$D$1*-1,Y423&gt;0,X423&lt;$D$2*-1,V423/U423&lt;3),"Very serious", AND(W423&gt;=$D$1,X423&lt;0,Y423&lt;$D$2,V423/U423&lt;3),"Serious",AND(W423&gt;=$D$1,X423&lt;0,Y423&gt;$D$2,V423/U423&lt;3),"Very serious", AND(W423&lt;=$D$1*-1,Y423&gt;0,X423&gt;$D$2*-1,V423/U423&gt;=3),"Very serious", AND(W423&lt;=$D$1*-1,Y423&gt;0,X423&lt;$D$2*-1,V423/U423&gt;=3),"Very serious", AND(W423&gt;=$D$1,X423&lt;0,Y423&lt;$D$2,V423/U423&gt;=3),"Very serious", AND(W423&gt;=$D$1,X423&lt;0,Y423&gt;$D$2,V423/U423&gt;=3),"Very serious", AND(W423&gt;$D$1*-1,W423&lt;$D$1,X423&gt;$D$1*-1,Y423&lt;$D$1,V423/U423&lt;3),"Not Serious", AND(W423&gt;$D$1*-1,W423&lt;$D$1,OR(X423&lt;=$D$1*-1,Y423&gt;=$D$1),X423&gt;$D$2*-1,Y423&lt;$D$2,V423/U423&lt;3),"Serious", AND(W423&gt;$D$1*-1,W423&lt;$D$1,OR(X423&lt;=$D$2*-1,Y423&gt;=$D$2),V423/U423&lt;3),"Very serious", AND(W423&gt;$D$1*-1,W423&lt;$D$1,X423&gt;$D$1*-1,Y423&lt;$D$1,V423/U423&gt;=3),"Very serious", AND(W423&gt;$D$1*-1,W423&lt;$D$1,OR(X423&lt;=$D$1*-1,Y423&gt;=$D$1),X423&gt;$D$2*-1,Y423&lt;$D$2,V423/U423&gt;=3),"Very serious", AND(W423&gt;$D$1*-1,W423&lt;$D$1,OR(X423&lt;=$D$2*-1,Y423&gt;=$D$2),V423/U423&gt;=3),"Very serious"),"")),"")</f>
        <v/>
      </c>
      <c r="AT423" s="109" t="str">
        <f t="shared" si="9"/>
        <v/>
      </c>
      <c r="AU423" s="64"/>
      <c r="AV423" s="83"/>
      <c r="AW423" s="83"/>
      <c r="AX423" s="83"/>
      <c r="AY423" s="83"/>
      <c r="AZ423" s="83"/>
      <c r="BA423" s="85"/>
      <c r="BB423" s="86" t="str">
        <f>IF(Preferences!B$9="Manual","",IFS(ISBLANK(B423),"",AND(ISNUMBER(E423)=TRUE,ISNUMBER(T423)=FALSE),"Direct", AND(ISNUMBER(E423)=FALSE,ISNUMBER(T423)=TRUE),"Indirect", CN423=4,"Direct",AND(CL423=FALSE, CM423=TRUE,CN423-CO423&gt;-1),"Direct", AND(CL423=FALSE,CM423=TRUE, CN423-CO423&lt;0),"Check algorithm in appendix 2", AND(CL423=TRUE, CM423=FALSE,CN423-CO423&gt;0),"Check algorithm in appendix 2", AND(CL423=TRUE, CM423=FALSE,CN423-CO423=0),"Indirect", AND(CL423=TRUE, CM423=FALSE,CN423-CO423&lt;0),"Indirect", AND(CL423=FALSE,CM423=FALSE,CN423-CO423&gt;-1),"Direct", AND(CL423=FALSE,CM423=FALSE,CN423-CO423&lt;0),"Check algorithm in appendix 2", AND(CL423=TRUE,CM423=TRUE,CN423-CO423&gt;-1),"Direct", AND(CL423=TRUE,CM423=TRUE,CN423-CO423&lt;0),"Check algorithm in appendix 2"))</f>
        <v/>
      </c>
      <c r="BC423" s="120" t="str">
        <f t="shared" si="10"/>
        <v/>
      </c>
      <c r="BD423" s="140"/>
      <c r="BE423" s="122" t="str">
        <f>IF(Preferences!B$3="Manual","", IFERROR(IFS(AND(Preferences!B$3="Automatic",AX423/AW423&gt;=30),"Extremely serious",AND(AY423&lt;=$D$1*-1,BA423&lt;0,AX423/AW423&lt;3),"Not Serious",AND(AY423&lt;=$D$1*-1,BA423&lt;0,AX423/AW423&gt;=3),"Very serious",AND(AY423&gt;=$D$1,AZ423&gt;0,AX423/AW423&lt;3),"Not Serious",AND(AY423&gt;=$D$1,AZ423&gt;0,AX423/AW423&gt;=3),"Very serious",AND(AY423&lt;=$D$1*-1,BA423&gt;0,AZ423&gt;$D$2*-1,AX423/AW423&lt;3),"Serious", AND(AY423&lt;=$D$1*-1,BA423&gt;0,AZ423&lt;$D$2*-1,AX423/AW423&lt;3),"Very serious", AND(AY423&gt;=$D$1,AZ423&lt;0,BA423&lt;$D$2,AX423/AW423&lt;3),"Serious",AND(AY423&gt;=$D$1,AZ423&lt;0,BA423&gt;$D$2,AX423/AW423&lt;3),"Very serious", AND(AY423&lt;=$D$1*-1,BA423&gt;0,AZ423&gt;$D$2*-1,AX423/AW423&gt;=3),"Very serious", AND(AY423&lt;=$D$1*-1,BA423&gt;0,AZ423&lt;$D$2*-1,AX423/AW423&gt;=3),"Very serious", AND(AY423&gt;=$D$1,AZ423&lt;0,BA423&lt;$D$2,AX423/AW423&gt;=3),"Very serious", AND(AY423&gt;=$D$1,AZ423&lt;0,BA423&gt;$D$2,AX423/AW423&gt;=3),"Very serious", AND(AY423&gt;$D$1*-1,AY423&lt;$D$1,AZ423&gt;$D$1*-1,BA423&lt;$D$1,AX423/AW423&lt;3),"Not Serious", AND(AY423&gt;$D$1*-1,AY423&lt;$D$1,OR(AZ423&lt;=$D$1*-1,BA423&gt;=$D$1),AZ423&gt;$D$2*-1,BA423&lt;$D$2,AX423/AW423&lt;3),"Serious", AND(AY423&gt;$D$1*-1,AY423&lt;$D$1,OR(AZ423&lt;=$D$2*-1,BA423&gt;=$D$2),AX423/AW423&lt;3),"Very serious", AND(AY423&gt;$D$1*-1,AY423&lt;$D$1,AZ423&gt;$D$1*-1,BA423&lt;$D$1,AX423/AW423&gt;=3),"Very serious", AND(AY423&gt;$D$1*-1,AY423&lt;$D$1,OR(AZ423&lt;=$D$1*-1,BA423&gt;=$D$1),AZ423&gt;$D$2*-1,BA423&lt;$D$2,AX423/AW423&gt;=3),"Very serious", AND(AY423&gt;$D$1*-1,AY423&lt;$D$1,OR(AZ423&lt;=$D$2*-1,BA423&gt;=$D$2),AX423/AW423&gt;=3),"Very serious"),""))</f>
        <v/>
      </c>
      <c r="BF423" s="107" t="str">
        <f t="shared" si="11"/>
        <v/>
      </c>
      <c r="BG423" s="94" t="str">
        <f t="shared" si="46"/>
        <v/>
      </c>
      <c r="BH423" s="64" t="str">
        <f t="shared" si="12"/>
        <v>#N/A</v>
      </c>
      <c r="BI423" s="64" t="str">
        <f t="shared" si="13"/>
        <v/>
      </c>
      <c r="BJ423" s="123" t="str">
        <f t="shared" si="14"/>
        <v>#N/A</v>
      </c>
      <c r="BK423" s="64" t="str">
        <f t="shared" si="50"/>
        <v>YES</v>
      </c>
      <c r="BL423" s="64" t="str">
        <f t="shared" si="16"/>
        <v>YES</v>
      </c>
      <c r="BM423" s="64" t="str">
        <f t="shared" si="17"/>
        <v>YES</v>
      </c>
      <c r="BN423" s="124" t="str">
        <f t="shared" si="18"/>
        <v/>
      </c>
      <c r="BO423" s="91" t="str">
        <f t="shared" si="19"/>
        <v/>
      </c>
      <c r="BP423" s="91" t="str">
        <f t="shared" si="20"/>
        <v>#N/A</v>
      </c>
      <c r="BQ423" s="91" t="str">
        <f t="shared" si="21"/>
        <v/>
      </c>
      <c r="BR423" s="93" t="str">
        <f t="shared" si="22"/>
        <v/>
      </c>
      <c r="BS423" s="90" t="str">
        <f t="shared" si="23"/>
        <v/>
      </c>
      <c r="BT423" s="93" t="str">
        <f t="shared" si="24"/>
        <v>NA</v>
      </c>
      <c r="BU423" s="125" t="str">
        <f t="shared" si="25"/>
        <v>#N/A</v>
      </c>
      <c r="BV423" s="93" t="str">
        <f t="shared" si="26"/>
        <v/>
      </c>
      <c r="BW423" s="93" t="str">
        <f t="shared" si="27"/>
        <v/>
      </c>
      <c r="BX423" s="93" t="str">
        <f t="shared" si="28"/>
        <v>NA</v>
      </c>
      <c r="BY423" s="95" t="str">
        <f t="shared" si="29"/>
        <v>#N/A</v>
      </c>
      <c r="BZ423" s="93" t="str">
        <f t="shared" si="30"/>
        <v/>
      </c>
      <c r="CA423" s="93" t="str">
        <f t="shared" si="31"/>
        <v/>
      </c>
      <c r="CB423" s="93" t="str">
        <f t="shared" si="32"/>
        <v>NA</v>
      </c>
      <c r="CC423" s="96" t="str">
        <f t="shared" si="33"/>
        <v>#N/A</v>
      </c>
      <c r="CD423" s="93" t="str">
        <f t="shared" si="34"/>
        <v/>
      </c>
      <c r="CE423" s="93" t="str">
        <f t="shared" si="35"/>
        <v/>
      </c>
      <c r="CF423" s="93" t="str">
        <f t="shared" si="36"/>
        <v>NA</v>
      </c>
      <c r="CG423" s="97" t="str">
        <f t="shared" si="37"/>
        <v>#N/A</v>
      </c>
      <c r="CH423" s="98" t="str">
        <f t="shared" si="38"/>
        <v>#N/A</v>
      </c>
      <c r="CI423" s="99" t="str">
        <f t="shared" si="39"/>
        <v>#N/A</v>
      </c>
      <c r="CJ423" s="126" t="str">
        <f t="shared" si="40"/>
        <v>ERROR: check cell</v>
      </c>
      <c r="CK423" s="126"/>
      <c r="CL423" s="127" t="str">
        <f t="shared" si="41"/>
        <v>#DIV/0!</v>
      </c>
      <c r="CM423" s="128" t="str">
        <f t="shared" si="42"/>
        <v>#DIV/0!</v>
      </c>
      <c r="CN423" s="128">
        <f t="shared" si="43"/>
        <v>4</v>
      </c>
      <c r="CO423" s="129">
        <f t="shared" si="44"/>
        <v>4</v>
      </c>
      <c r="CP423" s="129" t="str">
        <f>IFS(C423=Preferences!B$13,B423,B423=Preferences!B$13,C423)</f>
        <v>#N/A</v>
      </c>
    </row>
    <row r="424" ht="13.5" customHeight="1">
      <c r="A424" s="63" t="str">
        <f t="shared" si="45"/>
        <v/>
      </c>
      <c r="B424" s="64"/>
      <c r="C424" s="64"/>
      <c r="D424" s="64"/>
      <c r="E424" s="65"/>
      <c r="F424" s="65"/>
      <c r="G424" s="65"/>
      <c r="H424" s="66"/>
      <c r="I424" s="66"/>
      <c r="J424" s="67"/>
      <c r="K424" s="68"/>
      <c r="L424" s="104"/>
      <c r="M424" s="104"/>
      <c r="N424" s="104"/>
      <c r="O424" s="104"/>
      <c r="P424" s="107" t="str">
        <f t="shared" si="1"/>
        <v/>
      </c>
      <c r="Q424" s="108" t="str">
        <f>IFERROR(IF(AND(Preferences!B$3="Manual",OR(AX424/AW424&gt;G424/F424,BD424="Serious",BD424="Very serious")),"Assess imprecision",IFS(ISBLANK(E424),"",AND(Preferences!B$3="Automatic", G424/F424&gt;=30),"Extremely serious",AND(H424&lt;=$D$1*-1,J424&lt;0,G424/F424&lt;3),"Not serious",AND(H424&lt;=$D$1*-1,J424&lt;0,G424/F424&gt;=3),"Very serious",AND(H424&gt;=$D$1,I424&gt;0,G424/F424&lt;3),"Not serious",AND(H424&gt;=$D$1,I424&gt;0,G424/F424&gt;=3),"Very serious",AND(H424&lt;=$D$1*-1,J424&gt;0,I424&gt;$D$2*-1,G424/F424&lt;3),"Serious", AND(H424&lt;=$D$1*-1,J424&gt;0,I424&lt;$D$2*-1,G424/F424&lt;3),"Very serious", AND(H424&gt;=$D$1,I424&lt;0,J424&lt;$D$2,G424/F424&lt;3),"Serious",AND(H424&gt;=$D$1,I424&lt;0,J424&gt;$D$2,G424/F424&lt;3),"Very serious", AND(H424&lt;=$D$1*-1,J424&gt;0,I424&gt;$D$2*-1,G424/F424&gt;=3),"Very serious", AND(H424&lt;=$D$1*-1,J424&gt;0,I424&lt;$D$2*-1,G424/F424&gt;=3),"Very serious", AND(H424&gt;=$D$1,I424&lt;0,J424&lt;$D$2,G424/F424&gt;=3),"Very serious", AND(H424&gt;=$D$1,I424&lt;0,J424&gt;$D$2,G424/F424&gt;=3),"Very serious", AND(H424&gt;$D$1*-1,H424&lt;$D$1,I424&gt;$D$1*-1,J424&lt;$D$1,G424/F424&lt;3),"Not serious", AND(H424&gt;$D$1*-1,H424&lt;$D$1,OR(I424&lt;=$D$1*-1,J424&gt;=$D$1),I424&gt;$D$2*-1,J424&lt;$D$2,G424/F424&lt;3),"Serious", AND(H424&gt;$D$1*-1,H424&lt;$D$1,OR(I424&lt;=$D$2*-1,J424&gt;=$D$2),G424/F424&lt;3),"Very serious", AND(H424&gt;$D$1*-1,H424&lt;$D$1,I424&gt;$D$1*-1,J424&lt;$D$1,G424/F424&gt;=3),"Very serious", AND(H424&gt;$D$1*-1,H424&lt;$D$1,OR(I424&lt;=$D$1*-1,J424&gt;=$D$1),I424&gt;$D$2*-1,J424&lt;$D$2,G424/F424&gt;=3),"Very serious", AND(H424&gt;$D$1*-1,H424&lt;$D$1,OR(I424&lt;=$D$2*-1,J424&gt;=$D$2),G424/F424&gt;=3),"Very serious")),"")</f>
        <v/>
      </c>
      <c r="R424" s="109" t="str">
        <f t="shared" si="47"/>
        <v/>
      </c>
      <c r="S424" s="64"/>
      <c r="T424" s="72"/>
      <c r="U424" s="72"/>
      <c r="V424" s="72"/>
      <c r="W424" s="73"/>
      <c r="X424" s="73"/>
      <c r="Y424" s="74"/>
      <c r="Z424" s="113" t="str">
        <f t="array" ref="Z424">INDEX($A$1:$C$500, MATCH(1,($B:$B=$B424)*($C:$C=$AB424),0),1)</f>
        <v/>
      </c>
      <c r="AA424" s="113" t="str">
        <f t="array" ref="AA424">INDEX($A$1:$C$500, MATCH(1,($B:$B=$AB424)*($C:$C=$B424),0),1)</f>
        <v/>
      </c>
      <c r="AB424" s="111"/>
      <c r="AC424" s="114" t="str">
        <f t="shared" si="2"/>
        <v/>
      </c>
      <c r="AD424" s="115" t="str">
        <f t="shared" si="3"/>
        <v/>
      </c>
      <c r="AE424" s="116" t="str">
        <f t="array" ref="AE424">INDEX($A$1:$C$500, MATCH(1,($B:$B=$AB424)*($C:$C=$AG424),0),1)</f>
        <v/>
      </c>
      <c r="AF424" s="116" t="str">
        <f t="array" ref="AF424">INDEX($A$1:$C$500, MATCH(1,($B:$B=$AG424)*($C:$C=$AB424),0),1)</f>
        <v/>
      </c>
      <c r="AG424" s="111"/>
      <c r="AH424" s="114" t="str">
        <f t="shared" si="4"/>
        <v/>
      </c>
      <c r="AI424" s="115" t="str">
        <f t="shared" si="5"/>
        <v/>
      </c>
      <c r="AJ424" s="116" t="str">
        <f t="array" ref="AJ424">INDEX($A$1:$C$500, MATCH(1,($B:$B=$C424)*($C:$C=$AG424),0),1)</f>
        <v/>
      </c>
      <c r="AK424" s="116" t="str">
        <f t="array" ref="AK424">INDEX($A$1:$C$500, MATCH(1,($B:$B=$AG424)*($C:$C=$C424),0),1)</f>
        <v/>
      </c>
      <c r="AL424" s="116" t="str">
        <f t="array" ref="AL424">INDEX($A$1:$C$500, MATCH(1,($B:$B=$C424)*($C:$C=$AB424),0),1)</f>
        <v/>
      </c>
      <c r="AM424" s="116" t="str">
        <f t="array" ref="AM424">INDEX($A$1:$C$500, MATCH(1,($B:$B=$AB424)*($C:$C=$C424),0),1)</f>
        <v/>
      </c>
      <c r="AN424" s="114" t="str">
        <f t="array" ref="AN424">IFS(ISNUMBER(AJ424),AJ424,ISNUMBER(AK424),AK424,ISNUMBER(AL424),AL424,ISNUMBER(AM424),AM424)</f>
        <v>#N/A</v>
      </c>
      <c r="AO424" s="115" t="str">
        <f t="shared" si="6"/>
        <v/>
      </c>
      <c r="AP424" s="115" t="str">
        <f t="shared" si="7"/>
        <v/>
      </c>
      <c r="AQ424" s="111"/>
      <c r="AR424" s="109" t="str">
        <f t="shared" si="8"/>
        <v/>
      </c>
      <c r="AS424" s="72" t="str">
        <f>IFERROR(IF(AND(Preferences!B$3="Manual",OR(AX424/AW424&gt;V424/U424,BD424="Serious",BD424="Very serious")),"Assess imprecision",IFERROR(IFS(AND(Preferences!B$3="Automatic",V424/U424&gt;=30),"Extremely serious",AND(W424&lt;=$D$1*-1,Y424&lt;0,V424/U424&lt;3),"Not Serious",AND(W424&lt;=$D$1*-1,Y424&lt;0,V424/U424&gt;=3),"Very serious",AND(W424&gt;=$D$1,X424&gt;0,V424/U424&lt;3),"Not Serious",AND(W424&gt;=$D$1,X424&gt;0,V424/U424&gt;=3),"Very serious",AND(W424&lt;=$D$1*-1,Y424&gt;0,X424&gt;$D$2*-1,V424/U424&lt;3),"Serious", AND(W424&lt;=$D$1*-1,Y424&gt;0,X424&lt;$D$2*-1,V424/U424&lt;3),"Very serious", AND(W424&gt;=$D$1,X424&lt;0,Y424&lt;$D$2,V424/U424&lt;3),"Serious",AND(W424&gt;=$D$1,X424&lt;0,Y424&gt;$D$2,V424/U424&lt;3),"Very serious", AND(W424&lt;=$D$1*-1,Y424&gt;0,X424&gt;$D$2*-1,V424/U424&gt;=3),"Very serious", AND(W424&lt;=$D$1*-1,Y424&gt;0,X424&lt;$D$2*-1,V424/U424&gt;=3),"Very serious", AND(W424&gt;=$D$1,X424&lt;0,Y424&lt;$D$2,V424/U424&gt;=3),"Very serious", AND(W424&gt;=$D$1,X424&lt;0,Y424&gt;$D$2,V424/U424&gt;=3),"Very serious", AND(W424&gt;$D$1*-1,W424&lt;$D$1,X424&gt;$D$1*-1,Y424&lt;$D$1,V424/U424&lt;3),"Not Serious", AND(W424&gt;$D$1*-1,W424&lt;$D$1,OR(X424&lt;=$D$1*-1,Y424&gt;=$D$1),X424&gt;$D$2*-1,Y424&lt;$D$2,V424/U424&lt;3),"Serious", AND(W424&gt;$D$1*-1,W424&lt;$D$1,OR(X424&lt;=$D$2*-1,Y424&gt;=$D$2),V424/U424&lt;3),"Very serious", AND(W424&gt;$D$1*-1,W424&lt;$D$1,X424&gt;$D$1*-1,Y424&lt;$D$1,V424/U424&gt;=3),"Very serious", AND(W424&gt;$D$1*-1,W424&lt;$D$1,OR(X424&lt;=$D$1*-1,Y424&gt;=$D$1),X424&gt;$D$2*-1,Y424&lt;$D$2,V424/U424&gt;=3),"Very serious", AND(W424&gt;$D$1*-1,W424&lt;$D$1,OR(X424&lt;=$D$2*-1,Y424&gt;=$D$2),V424/U424&gt;=3),"Very serious"),"")),"")</f>
        <v/>
      </c>
      <c r="AT424" s="109" t="str">
        <f t="shared" si="9"/>
        <v/>
      </c>
      <c r="AU424" s="64"/>
      <c r="AV424" s="83"/>
      <c r="AW424" s="83"/>
      <c r="AX424" s="83"/>
      <c r="AY424" s="83"/>
      <c r="AZ424" s="83"/>
      <c r="BA424" s="85"/>
      <c r="BB424" s="86" t="str">
        <f>IF(Preferences!B$9="Manual","",IFS(ISBLANK(B424),"",AND(ISNUMBER(E424)=TRUE,ISNUMBER(T424)=FALSE),"Direct", AND(ISNUMBER(E424)=FALSE,ISNUMBER(T424)=TRUE),"Indirect", CN424=4,"Direct",AND(CL424=FALSE, CM424=TRUE,CN424-CO424&gt;-1),"Direct", AND(CL424=FALSE,CM424=TRUE, CN424-CO424&lt;0),"Check algorithm in appendix 2", AND(CL424=TRUE, CM424=FALSE,CN424-CO424&gt;0),"Check algorithm in appendix 2", AND(CL424=TRUE, CM424=FALSE,CN424-CO424=0),"Indirect", AND(CL424=TRUE, CM424=FALSE,CN424-CO424&lt;0),"Indirect", AND(CL424=FALSE,CM424=FALSE,CN424-CO424&gt;-1),"Direct", AND(CL424=FALSE,CM424=FALSE,CN424-CO424&lt;0),"Check algorithm in appendix 2", AND(CL424=TRUE,CM424=TRUE,CN424-CO424&gt;-1),"Direct", AND(CL424=TRUE,CM424=TRUE,CN424-CO424&lt;0),"Check algorithm in appendix 2"))</f>
        <v/>
      </c>
      <c r="BC424" s="120" t="str">
        <f t="shared" si="10"/>
        <v/>
      </c>
      <c r="BD424" s="140"/>
      <c r="BE424" s="122" t="str">
        <f>IF(Preferences!B$3="Manual","", IFERROR(IFS(AND(Preferences!B$3="Automatic",AX424/AW424&gt;=30),"Extremely serious",AND(AY424&lt;=$D$1*-1,BA424&lt;0,AX424/AW424&lt;3),"Not Serious",AND(AY424&lt;=$D$1*-1,BA424&lt;0,AX424/AW424&gt;=3),"Very serious",AND(AY424&gt;=$D$1,AZ424&gt;0,AX424/AW424&lt;3),"Not Serious",AND(AY424&gt;=$D$1,AZ424&gt;0,AX424/AW424&gt;=3),"Very serious",AND(AY424&lt;=$D$1*-1,BA424&gt;0,AZ424&gt;$D$2*-1,AX424/AW424&lt;3),"Serious", AND(AY424&lt;=$D$1*-1,BA424&gt;0,AZ424&lt;$D$2*-1,AX424/AW424&lt;3),"Very serious", AND(AY424&gt;=$D$1,AZ424&lt;0,BA424&lt;$D$2,AX424/AW424&lt;3),"Serious",AND(AY424&gt;=$D$1,AZ424&lt;0,BA424&gt;$D$2,AX424/AW424&lt;3),"Very serious", AND(AY424&lt;=$D$1*-1,BA424&gt;0,AZ424&gt;$D$2*-1,AX424/AW424&gt;=3),"Very serious", AND(AY424&lt;=$D$1*-1,BA424&gt;0,AZ424&lt;$D$2*-1,AX424/AW424&gt;=3),"Very serious", AND(AY424&gt;=$D$1,AZ424&lt;0,BA424&lt;$D$2,AX424/AW424&gt;=3),"Very serious", AND(AY424&gt;=$D$1,AZ424&lt;0,BA424&gt;$D$2,AX424/AW424&gt;=3),"Very serious", AND(AY424&gt;$D$1*-1,AY424&lt;$D$1,AZ424&gt;$D$1*-1,BA424&lt;$D$1,AX424/AW424&lt;3),"Not Serious", AND(AY424&gt;$D$1*-1,AY424&lt;$D$1,OR(AZ424&lt;=$D$1*-1,BA424&gt;=$D$1),AZ424&gt;$D$2*-1,BA424&lt;$D$2,AX424/AW424&lt;3),"Serious", AND(AY424&gt;$D$1*-1,AY424&lt;$D$1,OR(AZ424&lt;=$D$2*-1,BA424&gt;=$D$2),AX424/AW424&lt;3),"Very serious", AND(AY424&gt;$D$1*-1,AY424&lt;$D$1,AZ424&gt;$D$1*-1,BA424&lt;$D$1,AX424/AW424&gt;=3),"Very serious", AND(AY424&gt;$D$1*-1,AY424&lt;$D$1,OR(AZ424&lt;=$D$1*-1,BA424&gt;=$D$1),AZ424&gt;$D$2*-1,BA424&lt;$D$2,AX424/AW424&gt;=3),"Very serious", AND(AY424&gt;$D$1*-1,AY424&lt;$D$1,OR(AZ424&lt;=$D$2*-1,BA424&gt;=$D$2),AX424/AW424&gt;=3),"Very serious"),""))</f>
        <v/>
      </c>
      <c r="BF424" s="107" t="str">
        <f t="shared" si="11"/>
        <v/>
      </c>
      <c r="BG424" s="94" t="str">
        <f t="shared" si="46"/>
        <v/>
      </c>
      <c r="BH424" s="64" t="str">
        <f t="shared" si="12"/>
        <v>#N/A</v>
      </c>
      <c r="BI424" s="64" t="str">
        <f t="shared" si="13"/>
        <v/>
      </c>
      <c r="BJ424" s="123" t="str">
        <f t="shared" si="14"/>
        <v>#N/A</v>
      </c>
      <c r="BK424" s="64" t="str">
        <f t="shared" si="50"/>
        <v>YES</v>
      </c>
      <c r="BL424" s="64" t="str">
        <f t="shared" si="16"/>
        <v>YES</v>
      </c>
      <c r="BM424" s="64" t="str">
        <f t="shared" si="17"/>
        <v>YES</v>
      </c>
      <c r="BN424" s="124" t="str">
        <f t="shared" si="18"/>
        <v/>
      </c>
      <c r="BO424" s="91" t="str">
        <f t="shared" si="19"/>
        <v/>
      </c>
      <c r="BP424" s="91" t="str">
        <f t="shared" si="20"/>
        <v>#N/A</v>
      </c>
      <c r="BQ424" s="91" t="str">
        <f t="shared" si="21"/>
        <v/>
      </c>
      <c r="BR424" s="93" t="str">
        <f t="shared" si="22"/>
        <v/>
      </c>
      <c r="BS424" s="90" t="str">
        <f t="shared" si="23"/>
        <v/>
      </c>
      <c r="BT424" s="93" t="str">
        <f t="shared" si="24"/>
        <v>NA</v>
      </c>
      <c r="BU424" s="125" t="str">
        <f t="shared" si="25"/>
        <v>#N/A</v>
      </c>
      <c r="BV424" s="93" t="str">
        <f t="shared" si="26"/>
        <v/>
      </c>
      <c r="BW424" s="93" t="str">
        <f t="shared" si="27"/>
        <v/>
      </c>
      <c r="BX424" s="93" t="str">
        <f t="shared" si="28"/>
        <v>NA</v>
      </c>
      <c r="BY424" s="95" t="str">
        <f t="shared" si="29"/>
        <v>#N/A</v>
      </c>
      <c r="BZ424" s="93" t="str">
        <f t="shared" si="30"/>
        <v/>
      </c>
      <c r="CA424" s="93" t="str">
        <f t="shared" si="31"/>
        <v/>
      </c>
      <c r="CB424" s="93" t="str">
        <f t="shared" si="32"/>
        <v>NA</v>
      </c>
      <c r="CC424" s="96" t="str">
        <f t="shared" si="33"/>
        <v>#N/A</v>
      </c>
      <c r="CD424" s="93" t="str">
        <f t="shared" si="34"/>
        <v/>
      </c>
      <c r="CE424" s="93" t="str">
        <f t="shared" si="35"/>
        <v/>
      </c>
      <c r="CF424" s="93" t="str">
        <f t="shared" si="36"/>
        <v>NA</v>
      </c>
      <c r="CG424" s="97" t="str">
        <f t="shared" si="37"/>
        <v>#N/A</v>
      </c>
      <c r="CH424" s="98" t="str">
        <f t="shared" si="38"/>
        <v>#N/A</v>
      </c>
      <c r="CI424" s="99" t="str">
        <f t="shared" si="39"/>
        <v>#N/A</v>
      </c>
      <c r="CJ424" s="126" t="str">
        <f t="shared" si="40"/>
        <v>ERROR: check cell</v>
      </c>
      <c r="CK424" s="126"/>
      <c r="CL424" s="127" t="str">
        <f t="shared" si="41"/>
        <v>#DIV/0!</v>
      </c>
      <c r="CM424" s="128" t="str">
        <f t="shared" si="42"/>
        <v>#DIV/0!</v>
      </c>
      <c r="CN424" s="128">
        <f t="shared" si="43"/>
        <v>4</v>
      </c>
      <c r="CO424" s="129">
        <f t="shared" si="44"/>
        <v>4</v>
      </c>
      <c r="CP424" s="129" t="str">
        <f>IFS(C424=Preferences!B$13,B424,B424=Preferences!B$13,C424)</f>
        <v>#N/A</v>
      </c>
    </row>
    <row r="425" ht="13.5" customHeight="1">
      <c r="A425" s="63" t="str">
        <f t="shared" si="45"/>
        <v/>
      </c>
      <c r="B425" s="64"/>
      <c r="C425" s="64"/>
      <c r="D425" s="64"/>
      <c r="E425" s="65"/>
      <c r="F425" s="65"/>
      <c r="G425" s="65"/>
      <c r="H425" s="66"/>
      <c r="I425" s="66"/>
      <c r="J425" s="67"/>
      <c r="K425" s="68"/>
      <c r="L425" s="104"/>
      <c r="M425" s="104"/>
      <c r="N425" s="104"/>
      <c r="O425" s="104"/>
      <c r="P425" s="107" t="str">
        <f t="shared" si="1"/>
        <v/>
      </c>
      <c r="Q425" s="108" t="str">
        <f>IFERROR(IF(AND(Preferences!B$3="Manual",OR(AX425/AW425&gt;G425/F425,BD425="Serious",BD425="Very serious")),"Assess imprecision",IFS(ISBLANK(E425),"",AND(Preferences!B$3="Automatic", G425/F425&gt;=30),"Extremely serious",AND(H425&lt;=$D$1*-1,J425&lt;0,G425/F425&lt;3),"Not serious",AND(H425&lt;=$D$1*-1,J425&lt;0,G425/F425&gt;=3),"Very serious",AND(H425&gt;=$D$1,I425&gt;0,G425/F425&lt;3),"Not serious",AND(H425&gt;=$D$1,I425&gt;0,G425/F425&gt;=3),"Very serious",AND(H425&lt;=$D$1*-1,J425&gt;0,I425&gt;$D$2*-1,G425/F425&lt;3),"Serious", AND(H425&lt;=$D$1*-1,J425&gt;0,I425&lt;$D$2*-1,G425/F425&lt;3),"Very serious", AND(H425&gt;=$D$1,I425&lt;0,J425&lt;$D$2,G425/F425&lt;3),"Serious",AND(H425&gt;=$D$1,I425&lt;0,J425&gt;$D$2,G425/F425&lt;3),"Very serious", AND(H425&lt;=$D$1*-1,J425&gt;0,I425&gt;$D$2*-1,G425/F425&gt;=3),"Very serious", AND(H425&lt;=$D$1*-1,J425&gt;0,I425&lt;$D$2*-1,G425/F425&gt;=3),"Very serious", AND(H425&gt;=$D$1,I425&lt;0,J425&lt;$D$2,G425/F425&gt;=3),"Very serious", AND(H425&gt;=$D$1,I425&lt;0,J425&gt;$D$2,G425/F425&gt;=3),"Very serious", AND(H425&gt;$D$1*-1,H425&lt;$D$1,I425&gt;$D$1*-1,J425&lt;$D$1,G425/F425&lt;3),"Not serious", AND(H425&gt;$D$1*-1,H425&lt;$D$1,OR(I425&lt;=$D$1*-1,J425&gt;=$D$1),I425&gt;$D$2*-1,J425&lt;$D$2,G425/F425&lt;3),"Serious", AND(H425&gt;$D$1*-1,H425&lt;$D$1,OR(I425&lt;=$D$2*-1,J425&gt;=$D$2),G425/F425&lt;3),"Very serious", AND(H425&gt;$D$1*-1,H425&lt;$D$1,I425&gt;$D$1*-1,J425&lt;$D$1,G425/F425&gt;=3),"Very serious", AND(H425&gt;$D$1*-1,H425&lt;$D$1,OR(I425&lt;=$D$1*-1,J425&gt;=$D$1),I425&gt;$D$2*-1,J425&lt;$D$2,G425/F425&gt;=3),"Very serious", AND(H425&gt;$D$1*-1,H425&lt;$D$1,OR(I425&lt;=$D$2*-1,J425&gt;=$D$2),G425/F425&gt;=3),"Very serious")),"")</f>
        <v/>
      </c>
      <c r="R425" s="109" t="str">
        <f t="shared" si="47"/>
        <v/>
      </c>
      <c r="S425" s="64"/>
      <c r="T425" s="72"/>
      <c r="U425" s="72"/>
      <c r="V425" s="72"/>
      <c r="W425" s="73"/>
      <c r="X425" s="73"/>
      <c r="Y425" s="74"/>
      <c r="Z425" s="113" t="str">
        <f t="array" ref="Z425">INDEX($A$1:$C$500, MATCH(1,($B:$B=$B425)*($C:$C=$AB425),0),1)</f>
        <v/>
      </c>
      <c r="AA425" s="113" t="str">
        <f t="array" ref="AA425">INDEX($A$1:$C$500, MATCH(1,($B:$B=$AB425)*($C:$C=$B425),0),1)</f>
        <v/>
      </c>
      <c r="AB425" s="111"/>
      <c r="AC425" s="114" t="str">
        <f t="shared" si="2"/>
        <v/>
      </c>
      <c r="AD425" s="115" t="str">
        <f t="shared" si="3"/>
        <v/>
      </c>
      <c r="AE425" s="116" t="str">
        <f t="array" ref="AE425">INDEX($A$1:$C$500, MATCH(1,($B:$B=$AB425)*($C:$C=$AG425),0),1)</f>
        <v/>
      </c>
      <c r="AF425" s="116" t="str">
        <f t="array" ref="AF425">INDEX($A$1:$C$500, MATCH(1,($B:$B=$AG425)*($C:$C=$AB425),0),1)</f>
        <v/>
      </c>
      <c r="AG425" s="111"/>
      <c r="AH425" s="114" t="str">
        <f t="shared" si="4"/>
        <v/>
      </c>
      <c r="AI425" s="115" t="str">
        <f t="shared" si="5"/>
        <v/>
      </c>
      <c r="AJ425" s="116" t="str">
        <f t="array" ref="AJ425">INDEX($A$1:$C$500, MATCH(1,($B:$B=$C425)*($C:$C=$AG425),0),1)</f>
        <v/>
      </c>
      <c r="AK425" s="116" t="str">
        <f t="array" ref="AK425">INDEX($A$1:$C$500, MATCH(1,($B:$B=$AG425)*($C:$C=$C425),0),1)</f>
        <v/>
      </c>
      <c r="AL425" s="116" t="str">
        <f t="array" ref="AL425">INDEX($A$1:$C$500, MATCH(1,($B:$B=$C425)*($C:$C=$AB425),0),1)</f>
        <v/>
      </c>
      <c r="AM425" s="116" t="str">
        <f t="array" ref="AM425">INDEX($A$1:$C$500, MATCH(1,($B:$B=$AB425)*($C:$C=$C425),0),1)</f>
        <v/>
      </c>
      <c r="AN425" s="114" t="str">
        <f t="array" ref="AN425">IFS(ISNUMBER(AJ425),AJ425,ISNUMBER(AK425),AK425,ISNUMBER(AL425),AL425,ISNUMBER(AM425),AM425)</f>
        <v>#N/A</v>
      </c>
      <c r="AO425" s="115" t="str">
        <f t="shared" si="6"/>
        <v/>
      </c>
      <c r="AP425" s="115" t="str">
        <f t="shared" si="7"/>
        <v/>
      </c>
      <c r="AQ425" s="111"/>
      <c r="AR425" s="109" t="str">
        <f t="shared" si="8"/>
        <v/>
      </c>
      <c r="AS425" s="72" t="str">
        <f>IFERROR(IF(AND(Preferences!B$3="Manual",OR(AX425/AW425&gt;V425/U425,BD425="Serious",BD425="Very serious")),"Assess imprecision",IFERROR(IFS(AND(Preferences!B$3="Automatic",V425/U425&gt;=30),"Extremely serious",AND(W425&lt;=$D$1*-1,Y425&lt;0,V425/U425&lt;3),"Not Serious",AND(W425&lt;=$D$1*-1,Y425&lt;0,V425/U425&gt;=3),"Very serious",AND(W425&gt;=$D$1,X425&gt;0,V425/U425&lt;3),"Not Serious",AND(W425&gt;=$D$1,X425&gt;0,V425/U425&gt;=3),"Very serious",AND(W425&lt;=$D$1*-1,Y425&gt;0,X425&gt;$D$2*-1,V425/U425&lt;3),"Serious", AND(W425&lt;=$D$1*-1,Y425&gt;0,X425&lt;$D$2*-1,V425/U425&lt;3),"Very serious", AND(W425&gt;=$D$1,X425&lt;0,Y425&lt;$D$2,V425/U425&lt;3),"Serious",AND(W425&gt;=$D$1,X425&lt;0,Y425&gt;$D$2,V425/U425&lt;3),"Very serious", AND(W425&lt;=$D$1*-1,Y425&gt;0,X425&gt;$D$2*-1,V425/U425&gt;=3),"Very serious", AND(W425&lt;=$D$1*-1,Y425&gt;0,X425&lt;$D$2*-1,V425/U425&gt;=3),"Very serious", AND(W425&gt;=$D$1,X425&lt;0,Y425&lt;$D$2,V425/U425&gt;=3),"Very serious", AND(W425&gt;=$D$1,X425&lt;0,Y425&gt;$D$2,V425/U425&gt;=3),"Very serious", AND(W425&gt;$D$1*-1,W425&lt;$D$1,X425&gt;$D$1*-1,Y425&lt;$D$1,V425/U425&lt;3),"Not Serious", AND(W425&gt;$D$1*-1,W425&lt;$D$1,OR(X425&lt;=$D$1*-1,Y425&gt;=$D$1),X425&gt;$D$2*-1,Y425&lt;$D$2,V425/U425&lt;3),"Serious", AND(W425&gt;$D$1*-1,W425&lt;$D$1,OR(X425&lt;=$D$2*-1,Y425&gt;=$D$2),V425/U425&lt;3),"Very serious", AND(W425&gt;$D$1*-1,W425&lt;$D$1,X425&gt;$D$1*-1,Y425&lt;$D$1,V425/U425&gt;=3),"Very serious", AND(W425&gt;$D$1*-1,W425&lt;$D$1,OR(X425&lt;=$D$1*-1,Y425&gt;=$D$1),X425&gt;$D$2*-1,Y425&lt;$D$2,V425/U425&gt;=3),"Very serious", AND(W425&gt;$D$1*-1,W425&lt;$D$1,OR(X425&lt;=$D$2*-1,Y425&gt;=$D$2),V425/U425&gt;=3),"Very serious"),"")),"")</f>
        <v/>
      </c>
      <c r="AT425" s="109" t="str">
        <f t="shared" si="9"/>
        <v/>
      </c>
      <c r="AU425" s="64"/>
      <c r="AV425" s="83"/>
      <c r="AW425" s="83"/>
      <c r="AX425" s="83"/>
      <c r="AY425" s="83"/>
      <c r="AZ425" s="83"/>
      <c r="BA425" s="85"/>
      <c r="BB425" s="86" t="str">
        <f>IF(Preferences!B$9="Manual","",IFS(ISBLANK(B425),"",AND(ISNUMBER(E425)=TRUE,ISNUMBER(T425)=FALSE),"Direct", AND(ISNUMBER(E425)=FALSE,ISNUMBER(T425)=TRUE),"Indirect", CN425=4,"Direct",AND(CL425=FALSE, CM425=TRUE,CN425-CO425&gt;-1),"Direct", AND(CL425=FALSE,CM425=TRUE, CN425-CO425&lt;0),"Check algorithm in appendix 2", AND(CL425=TRUE, CM425=FALSE,CN425-CO425&gt;0),"Check algorithm in appendix 2", AND(CL425=TRUE, CM425=FALSE,CN425-CO425=0),"Indirect", AND(CL425=TRUE, CM425=FALSE,CN425-CO425&lt;0),"Indirect", AND(CL425=FALSE,CM425=FALSE,CN425-CO425&gt;-1),"Direct", AND(CL425=FALSE,CM425=FALSE,CN425-CO425&lt;0),"Check algorithm in appendix 2", AND(CL425=TRUE,CM425=TRUE,CN425-CO425&gt;-1),"Direct", AND(CL425=TRUE,CM425=TRUE,CN425-CO425&lt;0),"Check algorithm in appendix 2"))</f>
        <v/>
      </c>
      <c r="BC425" s="120" t="str">
        <f t="shared" si="10"/>
        <v/>
      </c>
      <c r="BD425" s="140"/>
      <c r="BE425" s="122" t="str">
        <f>IF(Preferences!B$3="Manual","", IFERROR(IFS(AND(Preferences!B$3="Automatic",AX425/AW425&gt;=30),"Extremely serious",AND(AY425&lt;=$D$1*-1,BA425&lt;0,AX425/AW425&lt;3),"Not Serious",AND(AY425&lt;=$D$1*-1,BA425&lt;0,AX425/AW425&gt;=3),"Very serious",AND(AY425&gt;=$D$1,AZ425&gt;0,AX425/AW425&lt;3),"Not Serious",AND(AY425&gt;=$D$1,AZ425&gt;0,AX425/AW425&gt;=3),"Very serious",AND(AY425&lt;=$D$1*-1,BA425&gt;0,AZ425&gt;$D$2*-1,AX425/AW425&lt;3),"Serious", AND(AY425&lt;=$D$1*-1,BA425&gt;0,AZ425&lt;$D$2*-1,AX425/AW425&lt;3),"Very serious", AND(AY425&gt;=$D$1,AZ425&lt;0,BA425&lt;$D$2,AX425/AW425&lt;3),"Serious",AND(AY425&gt;=$D$1,AZ425&lt;0,BA425&gt;$D$2,AX425/AW425&lt;3),"Very serious", AND(AY425&lt;=$D$1*-1,BA425&gt;0,AZ425&gt;$D$2*-1,AX425/AW425&gt;=3),"Very serious", AND(AY425&lt;=$D$1*-1,BA425&gt;0,AZ425&lt;$D$2*-1,AX425/AW425&gt;=3),"Very serious", AND(AY425&gt;=$D$1,AZ425&lt;0,BA425&lt;$D$2,AX425/AW425&gt;=3),"Very serious", AND(AY425&gt;=$D$1,AZ425&lt;0,BA425&gt;$D$2,AX425/AW425&gt;=3),"Very serious", AND(AY425&gt;$D$1*-1,AY425&lt;$D$1,AZ425&gt;$D$1*-1,BA425&lt;$D$1,AX425/AW425&lt;3),"Not Serious", AND(AY425&gt;$D$1*-1,AY425&lt;$D$1,OR(AZ425&lt;=$D$1*-1,BA425&gt;=$D$1),AZ425&gt;$D$2*-1,BA425&lt;$D$2,AX425/AW425&lt;3),"Serious", AND(AY425&gt;$D$1*-1,AY425&lt;$D$1,OR(AZ425&lt;=$D$2*-1,BA425&gt;=$D$2),AX425/AW425&lt;3),"Very serious", AND(AY425&gt;$D$1*-1,AY425&lt;$D$1,AZ425&gt;$D$1*-1,BA425&lt;$D$1,AX425/AW425&gt;=3),"Very serious", AND(AY425&gt;$D$1*-1,AY425&lt;$D$1,OR(AZ425&lt;=$D$1*-1,BA425&gt;=$D$1),AZ425&gt;$D$2*-1,BA425&lt;$D$2,AX425/AW425&gt;=3),"Very serious", AND(AY425&gt;$D$1*-1,AY425&lt;$D$1,OR(AZ425&lt;=$D$2*-1,BA425&gt;=$D$2),AX425/AW425&gt;=3),"Very serious"),""))</f>
        <v/>
      </c>
      <c r="BF425" s="107" t="str">
        <f t="shared" si="11"/>
        <v/>
      </c>
      <c r="BG425" s="94" t="str">
        <f t="shared" si="46"/>
        <v/>
      </c>
      <c r="BH425" s="64" t="str">
        <f t="shared" si="12"/>
        <v>#N/A</v>
      </c>
      <c r="BI425" s="64" t="str">
        <f t="shared" si="13"/>
        <v/>
      </c>
      <c r="BJ425" s="123" t="str">
        <f t="shared" si="14"/>
        <v>#N/A</v>
      </c>
      <c r="BK425" s="64" t="str">
        <f t="shared" si="50"/>
        <v>YES</v>
      </c>
      <c r="BL425" s="64" t="str">
        <f t="shared" si="16"/>
        <v>YES</v>
      </c>
      <c r="BM425" s="64" t="str">
        <f t="shared" si="17"/>
        <v>YES</v>
      </c>
      <c r="BN425" s="124" t="str">
        <f t="shared" si="18"/>
        <v/>
      </c>
      <c r="BO425" s="91" t="str">
        <f t="shared" si="19"/>
        <v/>
      </c>
      <c r="BP425" s="91" t="str">
        <f t="shared" si="20"/>
        <v>#N/A</v>
      </c>
      <c r="BQ425" s="91" t="str">
        <f t="shared" si="21"/>
        <v/>
      </c>
      <c r="BR425" s="93" t="str">
        <f t="shared" si="22"/>
        <v/>
      </c>
      <c r="BS425" s="90" t="str">
        <f t="shared" si="23"/>
        <v/>
      </c>
      <c r="BT425" s="93" t="str">
        <f t="shared" si="24"/>
        <v>NA</v>
      </c>
      <c r="BU425" s="125" t="str">
        <f t="shared" si="25"/>
        <v>#N/A</v>
      </c>
      <c r="BV425" s="93" t="str">
        <f t="shared" si="26"/>
        <v/>
      </c>
      <c r="BW425" s="93" t="str">
        <f t="shared" si="27"/>
        <v/>
      </c>
      <c r="BX425" s="93" t="str">
        <f t="shared" si="28"/>
        <v>NA</v>
      </c>
      <c r="BY425" s="95" t="str">
        <f t="shared" si="29"/>
        <v>#N/A</v>
      </c>
      <c r="BZ425" s="93" t="str">
        <f t="shared" si="30"/>
        <v/>
      </c>
      <c r="CA425" s="93" t="str">
        <f t="shared" si="31"/>
        <v/>
      </c>
      <c r="CB425" s="93" t="str">
        <f t="shared" si="32"/>
        <v>NA</v>
      </c>
      <c r="CC425" s="96" t="str">
        <f t="shared" si="33"/>
        <v>#N/A</v>
      </c>
      <c r="CD425" s="93" t="str">
        <f t="shared" si="34"/>
        <v/>
      </c>
      <c r="CE425" s="93" t="str">
        <f t="shared" si="35"/>
        <v/>
      </c>
      <c r="CF425" s="93" t="str">
        <f t="shared" si="36"/>
        <v>NA</v>
      </c>
      <c r="CG425" s="97" t="str">
        <f t="shared" si="37"/>
        <v>#N/A</v>
      </c>
      <c r="CH425" s="98" t="str">
        <f t="shared" si="38"/>
        <v>#N/A</v>
      </c>
      <c r="CI425" s="99" t="str">
        <f t="shared" si="39"/>
        <v>#N/A</v>
      </c>
      <c r="CJ425" s="126" t="str">
        <f t="shared" si="40"/>
        <v>ERROR: check cell</v>
      </c>
      <c r="CK425" s="126"/>
      <c r="CL425" s="127" t="str">
        <f t="shared" si="41"/>
        <v>#DIV/0!</v>
      </c>
      <c r="CM425" s="128" t="str">
        <f t="shared" si="42"/>
        <v>#DIV/0!</v>
      </c>
      <c r="CN425" s="128">
        <f t="shared" si="43"/>
        <v>4</v>
      </c>
      <c r="CO425" s="129">
        <f t="shared" si="44"/>
        <v>4</v>
      </c>
      <c r="CP425" s="129" t="str">
        <f>IFS(C425=Preferences!B$13,B425,B425=Preferences!B$13,C425)</f>
        <v>#N/A</v>
      </c>
    </row>
    <row r="426" ht="13.5" customHeight="1">
      <c r="A426" s="63" t="str">
        <f t="shared" si="45"/>
        <v/>
      </c>
      <c r="B426" s="64"/>
      <c r="C426" s="64"/>
      <c r="D426" s="64"/>
      <c r="E426" s="65"/>
      <c r="F426" s="65"/>
      <c r="G426" s="65"/>
      <c r="H426" s="66"/>
      <c r="I426" s="66"/>
      <c r="J426" s="67"/>
      <c r="K426" s="68"/>
      <c r="L426" s="104"/>
      <c r="M426" s="104"/>
      <c r="N426" s="104"/>
      <c r="O426" s="104"/>
      <c r="P426" s="107" t="str">
        <f t="shared" si="1"/>
        <v/>
      </c>
      <c r="Q426" s="108" t="str">
        <f>IFERROR(IF(AND(Preferences!B$3="Manual",OR(AX426/AW426&gt;G426/F426,BD426="Serious",BD426="Very serious")),"Assess imprecision",IFS(ISBLANK(E426),"",AND(Preferences!B$3="Automatic", G426/F426&gt;=30),"Extremely serious",AND(H426&lt;=$D$1*-1,J426&lt;0,G426/F426&lt;3),"Not serious",AND(H426&lt;=$D$1*-1,J426&lt;0,G426/F426&gt;=3),"Very serious",AND(H426&gt;=$D$1,I426&gt;0,G426/F426&lt;3),"Not serious",AND(H426&gt;=$D$1,I426&gt;0,G426/F426&gt;=3),"Very serious",AND(H426&lt;=$D$1*-1,J426&gt;0,I426&gt;$D$2*-1,G426/F426&lt;3),"Serious", AND(H426&lt;=$D$1*-1,J426&gt;0,I426&lt;$D$2*-1,G426/F426&lt;3),"Very serious", AND(H426&gt;=$D$1,I426&lt;0,J426&lt;$D$2,G426/F426&lt;3),"Serious",AND(H426&gt;=$D$1,I426&lt;0,J426&gt;$D$2,G426/F426&lt;3),"Very serious", AND(H426&lt;=$D$1*-1,J426&gt;0,I426&gt;$D$2*-1,G426/F426&gt;=3),"Very serious", AND(H426&lt;=$D$1*-1,J426&gt;0,I426&lt;$D$2*-1,G426/F426&gt;=3),"Very serious", AND(H426&gt;=$D$1,I426&lt;0,J426&lt;$D$2,G426/F426&gt;=3),"Very serious", AND(H426&gt;=$D$1,I426&lt;0,J426&gt;$D$2,G426/F426&gt;=3),"Very serious", AND(H426&gt;$D$1*-1,H426&lt;$D$1,I426&gt;$D$1*-1,J426&lt;$D$1,G426/F426&lt;3),"Not serious", AND(H426&gt;$D$1*-1,H426&lt;$D$1,OR(I426&lt;=$D$1*-1,J426&gt;=$D$1),I426&gt;$D$2*-1,J426&lt;$D$2,G426/F426&lt;3),"Serious", AND(H426&gt;$D$1*-1,H426&lt;$D$1,OR(I426&lt;=$D$2*-1,J426&gt;=$D$2),G426/F426&lt;3),"Very serious", AND(H426&gt;$D$1*-1,H426&lt;$D$1,I426&gt;$D$1*-1,J426&lt;$D$1,G426/F426&gt;=3),"Very serious", AND(H426&gt;$D$1*-1,H426&lt;$D$1,OR(I426&lt;=$D$1*-1,J426&gt;=$D$1),I426&gt;$D$2*-1,J426&lt;$D$2,G426/F426&gt;=3),"Very serious", AND(H426&gt;$D$1*-1,H426&lt;$D$1,OR(I426&lt;=$D$2*-1,J426&gt;=$D$2),G426/F426&gt;=3),"Very serious")),"")</f>
        <v/>
      </c>
      <c r="R426" s="109" t="str">
        <f t="shared" si="47"/>
        <v/>
      </c>
      <c r="S426" s="64"/>
      <c r="T426" s="72"/>
      <c r="U426" s="72"/>
      <c r="V426" s="72"/>
      <c r="W426" s="73"/>
      <c r="X426" s="73"/>
      <c r="Y426" s="74"/>
      <c r="Z426" s="113" t="str">
        <f t="array" ref="Z426">INDEX($A$1:$C$500, MATCH(1,($B:$B=$B426)*($C:$C=$AB426),0),1)</f>
        <v/>
      </c>
      <c r="AA426" s="113" t="str">
        <f t="array" ref="AA426">INDEX($A$1:$C$500, MATCH(1,($B:$B=$AB426)*($C:$C=$B426),0),1)</f>
        <v/>
      </c>
      <c r="AB426" s="111"/>
      <c r="AC426" s="114" t="str">
        <f t="shared" si="2"/>
        <v/>
      </c>
      <c r="AD426" s="115" t="str">
        <f t="shared" si="3"/>
        <v/>
      </c>
      <c r="AE426" s="116" t="str">
        <f t="array" ref="AE426">INDEX($A$1:$C$500, MATCH(1,($B:$B=$AB426)*($C:$C=$AG426),0),1)</f>
        <v/>
      </c>
      <c r="AF426" s="116" t="str">
        <f t="array" ref="AF426">INDEX($A$1:$C$500, MATCH(1,($B:$B=$AG426)*($C:$C=$AB426),0),1)</f>
        <v/>
      </c>
      <c r="AG426" s="72"/>
      <c r="AH426" s="114" t="str">
        <f t="shared" si="4"/>
        <v/>
      </c>
      <c r="AI426" s="115" t="str">
        <f t="shared" si="5"/>
        <v/>
      </c>
      <c r="AJ426" s="116" t="str">
        <f t="array" ref="AJ426">INDEX($A$1:$C$500, MATCH(1,($B:$B=$C426)*($C:$C=$AG426),0),1)</f>
        <v/>
      </c>
      <c r="AK426" s="116" t="str">
        <f t="array" ref="AK426">INDEX($A$1:$C$500, MATCH(1,($B:$B=$AG426)*($C:$C=$C426),0),1)</f>
        <v/>
      </c>
      <c r="AL426" s="116" t="str">
        <f t="array" ref="AL426">INDEX($A$1:$C$500, MATCH(1,($B:$B=$C426)*($C:$C=$AB426),0),1)</f>
        <v/>
      </c>
      <c r="AM426" s="116" t="str">
        <f t="array" ref="AM426">INDEX($A$1:$C$500, MATCH(1,($B:$B=$AB426)*($C:$C=$C426),0),1)</f>
        <v/>
      </c>
      <c r="AN426" s="114" t="str">
        <f t="array" ref="AN426">IFS(ISNUMBER(AJ426),AJ426,ISNUMBER(AK426),AK426,ISNUMBER(AL426),AL426,ISNUMBER(AM426),AM426)</f>
        <v>#N/A</v>
      </c>
      <c r="AO426" s="115" t="str">
        <f t="shared" si="6"/>
        <v/>
      </c>
      <c r="AP426" s="115" t="str">
        <f t="shared" si="7"/>
        <v/>
      </c>
      <c r="AQ426" s="111"/>
      <c r="AR426" s="109" t="str">
        <f t="shared" si="8"/>
        <v/>
      </c>
      <c r="AS426" s="72" t="str">
        <f>IFERROR(IF(AND(Preferences!B$3="Manual",OR(AX426/AW426&gt;V426/U426,BD426="Serious",BD426="Very serious")),"Assess imprecision",IFERROR(IFS(AND(Preferences!B$3="Automatic",V426/U426&gt;=30),"Extremely serious",AND(W426&lt;=$D$1*-1,Y426&lt;0,V426/U426&lt;3),"Not Serious",AND(W426&lt;=$D$1*-1,Y426&lt;0,V426/U426&gt;=3),"Very serious",AND(W426&gt;=$D$1,X426&gt;0,V426/U426&lt;3),"Not Serious",AND(W426&gt;=$D$1,X426&gt;0,V426/U426&gt;=3),"Very serious",AND(W426&lt;=$D$1*-1,Y426&gt;0,X426&gt;$D$2*-1,V426/U426&lt;3),"Serious", AND(W426&lt;=$D$1*-1,Y426&gt;0,X426&lt;$D$2*-1,V426/U426&lt;3),"Very serious", AND(W426&gt;=$D$1,X426&lt;0,Y426&lt;$D$2,V426/U426&lt;3),"Serious",AND(W426&gt;=$D$1,X426&lt;0,Y426&gt;$D$2,V426/U426&lt;3),"Very serious", AND(W426&lt;=$D$1*-1,Y426&gt;0,X426&gt;$D$2*-1,V426/U426&gt;=3),"Very serious", AND(W426&lt;=$D$1*-1,Y426&gt;0,X426&lt;$D$2*-1,V426/U426&gt;=3),"Very serious", AND(W426&gt;=$D$1,X426&lt;0,Y426&lt;$D$2,V426/U426&gt;=3),"Very serious", AND(W426&gt;=$D$1,X426&lt;0,Y426&gt;$D$2,V426/U426&gt;=3),"Very serious", AND(W426&gt;$D$1*-1,W426&lt;$D$1,X426&gt;$D$1*-1,Y426&lt;$D$1,V426/U426&lt;3),"Not Serious", AND(W426&gt;$D$1*-1,W426&lt;$D$1,OR(X426&lt;=$D$1*-1,Y426&gt;=$D$1),X426&gt;$D$2*-1,Y426&lt;$D$2,V426/U426&lt;3),"Serious", AND(W426&gt;$D$1*-1,W426&lt;$D$1,OR(X426&lt;=$D$2*-1,Y426&gt;=$D$2),V426/U426&lt;3),"Very serious", AND(W426&gt;$D$1*-1,W426&lt;$D$1,X426&gt;$D$1*-1,Y426&lt;$D$1,V426/U426&gt;=3),"Very serious", AND(W426&gt;$D$1*-1,W426&lt;$D$1,OR(X426&lt;=$D$1*-1,Y426&gt;=$D$1),X426&gt;$D$2*-1,Y426&lt;$D$2,V426/U426&gt;=3),"Very serious", AND(W426&gt;$D$1*-1,W426&lt;$D$1,OR(X426&lt;=$D$2*-1,Y426&gt;=$D$2),V426/U426&gt;=3),"Very serious"),"")),"")</f>
        <v/>
      </c>
      <c r="AT426" s="109" t="str">
        <f t="shared" si="9"/>
        <v/>
      </c>
      <c r="AU426" s="64"/>
      <c r="AV426" s="83"/>
      <c r="AW426" s="83"/>
      <c r="AX426" s="83"/>
      <c r="AY426" s="83"/>
      <c r="AZ426" s="83"/>
      <c r="BA426" s="85"/>
      <c r="BB426" s="86" t="str">
        <f>IF(Preferences!B$9="Manual","",IFS(ISBLANK(B426),"",AND(ISNUMBER(E426)=TRUE,ISNUMBER(T426)=FALSE),"Direct", AND(ISNUMBER(E426)=FALSE,ISNUMBER(T426)=TRUE),"Indirect", CN426=4,"Direct",AND(CL426=FALSE, CM426=TRUE,CN426-CO426&gt;-1),"Direct", AND(CL426=FALSE,CM426=TRUE, CN426-CO426&lt;0),"Check algorithm in appendix 2", AND(CL426=TRUE, CM426=FALSE,CN426-CO426&gt;0),"Check algorithm in appendix 2", AND(CL426=TRUE, CM426=FALSE,CN426-CO426=0),"Indirect", AND(CL426=TRUE, CM426=FALSE,CN426-CO426&lt;0),"Indirect", AND(CL426=FALSE,CM426=FALSE,CN426-CO426&gt;-1),"Direct", AND(CL426=FALSE,CM426=FALSE,CN426-CO426&lt;0),"Check algorithm in appendix 2", AND(CL426=TRUE,CM426=TRUE,CN426-CO426&gt;-1),"Direct", AND(CL426=TRUE,CM426=TRUE,CN426-CO426&lt;0),"Check algorithm in appendix 2"))</f>
        <v/>
      </c>
      <c r="BC426" s="120" t="str">
        <f t="shared" si="10"/>
        <v/>
      </c>
      <c r="BD426" s="140"/>
      <c r="BE426" s="122" t="str">
        <f>IF(Preferences!B$3="Manual","", IFERROR(IFS(AND(Preferences!B$3="Automatic",AX426/AW426&gt;=30),"Extremely serious",AND(AY426&lt;=$D$1*-1,BA426&lt;0,AX426/AW426&lt;3),"Not Serious",AND(AY426&lt;=$D$1*-1,BA426&lt;0,AX426/AW426&gt;=3),"Very serious",AND(AY426&gt;=$D$1,AZ426&gt;0,AX426/AW426&lt;3),"Not Serious",AND(AY426&gt;=$D$1,AZ426&gt;0,AX426/AW426&gt;=3),"Very serious",AND(AY426&lt;=$D$1*-1,BA426&gt;0,AZ426&gt;$D$2*-1,AX426/AW426&lt;3),"Serious", AND(AY426&lt;=$D$1*-1,BA426&gt;0,AZ426&lt;$D$2*-1,AX426/AW426&lt;3),"Very serious", AND(AY426&gt;=$D$1,AZ426&lt;0,BA426&lt;$D$2,AX426/AW426&lt;3),"Serious",AND(AY426&gt;=$D$1,AZ426&lt;0,BA426&gt;$D$2,AX426/AW426&lt;3),"Very serious", AND(AY426&lt;=$D$1*-1,BA426&gt;0,AZ426&gt;$D$2*-1,AX426/AW426&gt;=3),"Very serious", AND(AY426&lt;=$D$1*-1,BA426&gt;0,AZ426&lt;$D$2*-1,AX426/AW426&gt;=3),"Very serious", AND(AY426&gt;=$D$1,AZ426&lt;0,BA426&lt;$D$2,AX426/AW426&gt;=3),"Very serious", AND(AY426&gt;=$D$1,AZ426&lt;0,BA426&gt;$D$2,AX426/AW426&gt;=3),"Very serious", AND(AY426&gt;$D$1*-1,AY426&lt;$D$1,AZ426&gt;$D$1*-1,BA426&lt;$D$1,AX426/AW426&lt;3),"Not Serious", AND(AY426&gt;$D$1*-1,AY426&lt;$D$1,OR(AZ426&lt;=$D$1*-1,BA426&gt;=$D$1),AZ426&gt;$D$2*-1,BA426&lt;$D$2,AX426/AW426&lt;3),"Serious", AND(AY426&gt;$D$1*-1,AY426&lt;$D$1,OR(AZ426&lt;=$D$2*-1,BA426&gt;=$D$2),AX426/AW426&lt;3),"Very serious", AND(AY426&gt;$D$1*-1,AY426&lt;$D$1,AZ426&gt;$D$1*-1,BA426&lt;$D$1,AX426/AW426&gt;=3),"Very serious", AND(AY426&gt;$D$1*-1,AY426&lt;$D$1,OR(AZ426&lt;=$D$1*-1,BA426&gt;=$D$1),AZ426&gt;$D$2*-1,BA426&lt;$D$2,AX426/AW426&gt;=3),"Very serious", AND(AY426&gt;$D$1*-1,AY426&lt;$D$1,OR(AZ426&lt;=$D$2*-1,BA426&gt;=$D$2),AX426/AW426&gt;=3),"Very serious"),""))</f>
        <v/>
      </c>
      <c r="BF426" s="107" t="str">
        <f t="shared" si="11"/>
        <v/>
      </c>
      <c r="BG426" s="94" t="str">
        <f t="shared" si="46"/>
        <v/>
      </c>
      <c r="BH426" s="64" t="str">
        <f t="shared" si="12"/>
        <v>#N/A</v>
      </c>
      <c r="BI426" s="64" t="str">
        <f t="shared" si="13"/>
        <v/>
      </c>
      <c r="BJ426" s="123" t="str">
        <f t="shared" si="14"/>
        <v>#N/A</v>
      </c>
      <c r="BK426" s="64" t="str">
        <f t="shared" si="50"/>
        <v>YES</v>
      </c>
      <c r="BL426" s="64" t="str">
        <f t="shared" si="16"/>
        <v>YES</v>
      </c>
      <c r="BM426" s="64" t="str">
        <f t="shared" si="17"/>
        <v>YES</v>
      </c>
      <c r="BN426" s="124" t="str">
        <f t="shared" si="18"/>
        <v/>
      </c>
      <c r="BO426" s="91" t="str">
        <f t="shared" si="19"/>
        <v/>
      </c>
      <c r="BP426" s="91" t="str">
        <f t="shared" si="20"/>
        <v>#N/A</v>
      </c>
      <c r="BQ426" s="91" t="str">
        <f t="shared" si="21"/>
        <v/>
      </c>
      <c r="BR426" s="93" t="str">
        <f t="shared" si="22"/>
        <v/>
      </c>
      <c r="BS426" s="90" t="str">
        <f t="shared" si="23"/>
        <v/>
      </c>
      <c r="BT426" s="93" t="str">
        <f t="shared" si="24"/>
        <v>NA</v>
      </c>
      <c r="BU426" s="125" t="str">
        <f t="shared" si="25"/>
        <v>#N/A</v>
      </c>
      <c r="BV426" s="93" t="str">
        <f t="shared" si="26"/>
        <v/>
      </c>
      <c r="BW426" s="93" t="str">
        <f t="shared" si="27"/>
        <v/>
      </c>
      <c r="BX426" s="93" t="str">
        <f t="shared" si="28"/>
        <v>NA</v>
      </c>
      <c r="BY426" s="95" t="str">
        <f t="shared" si="29"/>
        <v>#N/A</v>
      </c>
      <c r="BZ426" s="93" t="str">
        <f t="shared" si="30"/>
        <v/>
      </c>
      <c r="CA426" s="93" t="str">
        <f t="shared" si="31"/>
        <v/>
      </c>
      <c r="CB426" s="93" t="str">
        <f t="shared" si="32"/>
        <v>NA</v>
      </c>
      <c r="CC426" s="96" t="str">
        <f t="shared" si="33"/>
        <v>#N/A</v>
      </c>
      <c r="CD426" s="93" t="str">
        <f t="shared" si="34"/>
        <v/>
      </c>
      <c r="CE426" s="93" t="str">
        <f t="shared" si="35"/>
        <v/>
      </c>
      <c r="CF426" s="93" t="str">
        <f t="shared" si="36"/>
        <v>NA</v>
      </c>
      <c r="CG426" s="97" t="str">
        <f t="shared" si="37"/>
        <v>#N/A</v>
      </c>
      <c r="CH426" s="98" t="str">
        <f t="shared" si="38"/>
        <v>#N/A</v>
      </c>
      <c r="CI426" s="99" t="str">
        <f t="shared" si="39"/>
        <v>#N/A</v>
      </c>
      <c r="CJ426" s="126" t="str">
        <f t="shared" si="40"/>
        <v>ERROR: check cell</v>
      </c>
      <c r="CK426" s="126"/>
      <c r="CL426" s="127" t="str">
        <f t="shared" si="41"/>
        <v>#DIV/0!</v>
      </c>
      <c r="CM426" s="128" t="str">
        <f t="shared" si="42"/>
        <v>#DIV/0!</v>
      </c>
      <c r="CN426" s="128">
        <f t="shared" si="43"/>
        <v>4</v>
      </c>
      <c r="CO426" s="129">
        <f t="shared" si="44"/>
        <v>4</v>
      </c>
      <c r="CP426" s="129" t="str">
        <f>IFS(C426=Preferences!B$13,B426,B426=Preferences!B$13,C426)</f>
        <v>#N/A</v>
      </c>
    </row>
    <row r="427" ht="13.5" customHeight="1">
      <c r="A427" s="63" t="str">
        <f t="shared" si="45"/>
        <v/>
      </c>
      <c r="B427" s="64"/>
      <c r="C427" s="64"/>
      <c r="D427" s="64"/>
      <c r="E427" s="65"/>
      <c r="F427" s="65"/>
      <c r="G427" s="65"/>
      <c r="H427" s="66"/>
      <c r="I427" s="66"/>
      <c r="J427" s="67"/>
      <c r="K427" s="68"/>
      <c r="L427" s="104"/>
      <c r="M427" s="104"/>
      <c r="N427" s="104"/>
      <c r="O427" s="104"/>
      <c r="P427" s="107" t="str">
        <f t="shared" si="1"/>
        <v/>
      </c>
      <c r="Q427" s="108" t="str">
        <f>IFERROR(IF(AND(Preferences!B$3="Manual",OR(AX427/AW427&gt;G427/F427,BD427="Serious",BD427="Very serious")),"Assess imprecision",IFS(ISBLANK(E427),"",AND(Preferences!B$3="Automatic", G427/F427&gt;=30),"Extremely serious",AND(H427&lt;=$D$1*-1,J427&lt;0,G427/F427&lt;3),"Not serious",AND(H427&lt;=$D$1*-1,J427&lt;0,G427/F427&gt;=3),"Very serious",AND(H427&gt;=$D$1,I427&gt;0,G427/F427&lt;3),"Not serious",AND(H427&gt;=$D$1,I427&gt;0,G427/F427&gt;=3),"Very serious",AND(H427&lt;=$D$1*-1,J427&gt;0,I427&gt;$D$2*-1,G427/F427&lt;3),"Serious", AND(H427&lt;=$D$1*-1,J427&gt;0,I427&lt;$D$2*-1,G427/F427&lt;3),"Very serious", AND(H427&gt;=$D$1,I427&lt;0,J427&lt;$D$2,G427/F427&lt;3),"Serious",AND(H427&gt;=$D$1,I427&lt;0,J427&gt;$D$2,G427/F427&lt;3),"Very serious", AND(H427&lt;=$D$1*-1,J427&gt;0,I427&gt;$D$2*-1,G427/F427&gt;=3),"Very serious", AND(H427&lt;=$D$1*-1,J427&gt;0,I427&lt;$D$2*-1,G427/F427&gt;=3),"Very serious", AND(H427&gt;=$D$1,I427&lt;0,J427&lt;$D$2,G427/F427&gt;=3),"Very serious", AND(H427&gt;=$D$1,I427&lt;0,J427&gt;$D$2,G427/F427&gt;=3),"Very serious", AND(H427&gt;$D$1*-1,H427&lt;$D$1,I427&gt;$D$1*-1,J427&lt;$D$1,G427/F427&lt;3),"Not serious", AND(H427&gt;$D$1*-1,H427&lt;$D$1,OR(I427&lt;=$D$1*-1,J427&gt;=$D$1),I427&gt;$D$2*-1,J427&lt;$D$2,G427/F427&lt;3),"Serious", AND(H427&gt;$D$1*-1,H427&lt;$D$1,OR(I427&lt;=$D$2*-1,J427&gt;=$D$2),G427/F427&lt;3),"Very serious", AND(H427&gt;$D$1*-1,H427&lt;$D$1,I427&gt;$D$1*-1,J427&lt;$D$1,G427/F427&gt;=3),"Very serious", AND(H427&gt;$D$1*-1,H427&lt;$D$1,OR(I427&lt;=$D$1*-1,J427&gt;=$D$1),I427&gt;$D$2*-1,J427&lt;$D$2,G427/F427&gt;=3),"Very serious", AND(H427&gt;$D$1*-1,H427&lt;$D$1,OR(I427&lt;=$D$2*-1,J427&gt;=$D$2),G427/F427&gt;=3),"Very serious")),"")</f>
        <v/>
      </c>
      <c r="R427" s="109" t="str">
        <f t="shared" si="47"/>
        <v/>
      </c>
      <c r="S427" s="64"/>
      <c r="T427" s="72"/>
      <c r="U427" s="72"/>
      <c r="V427" s="72"/>
      <c r="W427" s="73"/>
      <c r="X427" s="73"/>
      <c r="Y427" s="74"/>
      <c r="Z427" s="113" t="str">
        <f t="array" ref="Z427">INDEX($A$1:$C$500, MATCH(1,($B:$B=$B427)*($C:$C=$AB427),0),1)</f>
        <v/>
      </c>
      <c r="AA427" s="113" t="str">
        <f t="array" ref="AA427">INDEX($A$1:$C$500, MATCH(1,($B:$B=$AB427)*($C:$C=$B427),0),1)</f>
        <v/>
      </c>
      <c r="AB427" s="111"/>
      <c r="AC427" s="114" t="str">
        <f t="shared" si="2"/>
        <v/>
      </c>
      <c r="AD427" s="115" t="str">
        <f t="shared" si="3"/>
        <v/>
      </c>
      <c r="AE427" s="116" t="str">
        <f t="array" ref="AE427">INDEX($A$1:$C$500, MATCH(1,($B:$B=$AB427)*($C:$C=$AG427),0),1)</f>
        <v/>
      </c>
      <c r="AF427" s="116" t="str">
        <f t="array" ref="AF427">INDEX($A$1:$C$500, MATCH(1,($B:$B=$AG427)*($C:$C=$AB427),0),1)</f>
        <v/>
      </c>
      <c r="AG427" s="72"/>
      <c r="AH427" s="114" t="str">
        <f t="shared" si="4"/>
        <v/>
      </c>
      <c r="AI427" s="115" t="str">
        <f t="shared" si="5"/>
        <v/>
      </c>
      <c r="AJ427" s="116" t="str">
        <f t="array" ref="AJ427">INDEX($A$1:$C$500, MATCH(1,($B:$B=$C427)*($C:$C=$AG427),0),1)</f>
        <v/>
      </c>
      <c r="AK427" s="116" t="str">
        <f t="array" ref="AK427">INDEX($A$1:$C$500, MATCH(1,($B:$B=$AG427)*($C:$C=$C427),0),1)</f>
        <v/>
      </c>
      <c r="AL427" s="116" t="str">
        <f t="array" ref="AL427">INDEX($A$1:$C$500, MATCH(1,($B:$B=$C427)*($C:$C=$AB427),0),1)</f>
        <v/>
      </c>
      <c r="AM427" s="116" t="str">
        <f t="array" ref="AM427">INDEX($A$1:$C$500, MATCH(1,($B:$B=$AB427)*($C:$C=$C427),0),1)</f>
        <v/>
      </c>
      <c r="AN427" s="114" t="str">
        <f t="array" ref="AN427">IFS(ISNUMBER(AJ427),AJ427,ISNUMBER(AK427),AK427,ISNUMBER(AL427),AL427,ISNUMBER(AM427),AM427)</f>
        <v>#N/A</v>
      </c>
      <c r="AO427" s="115" t="str">
        <f t="shared" si="6"/>
        <v/>
      </c>
      <c r="AP427" s="115" t="str">
        <f t="shared" si="7"/>
        <v/>
      </c>
      <c r="AQ427" s="111"/>
      <c r="AR427" s="109" t="str">
        <f t="shared" si="8"/>
        <v/>
      </c>
      <c r="AS427" s="72" t="str">
        <f>IFERROR(IF(AND(Preferences!B$3="Manual",OR(AX427/AW427&gt;V427/U427,BD427="Serious",BD427="Very serious")),"Assess imprecision",IFERROR(IFS(AND(Preferences!B$3="Automatic",V427/U427&gt;=30),"Extremely serious",AND(W427&lt;=$D$1*-1,Y427&lt;0,V427/U427&lt;3),"Not Serious",AND(W427&lt;=$D$1*-1,Y427&lt;0,V427/U427&gt;=3),"Very serious",AND(W427&gt;=$D$1,X427&gt;0,V427/U427&lt;3),"Not Serious",AND(W427&gt;=$D$1,X427&gt;0,V427/U427&gt;=3),"Very serious",AND(W427&lt;=$D$1*-1,Y427&gt;0,X427&gt;$D$2*-1,V427/U427&lt;3),"Serious", AND(W427&lt;=$D$1*-1,Y427&gt;0,X427&lt;$D$2*-1,V427/U427&lt;3),"Very serious", AND(W427&gt;=$D$1,X427&lt;0,Y427&lt;$D$2,V427/U427&lt;3),"Serious",AND(W427&gt;=$D$1,X427&lt;0,Y427&gt;$D$2,V427/U427&lt;3),"Very serious", AND(W427&lt;=$D$1*-1,Y427&gt;0,X427&gt;$D$2*-1,V427/U427&gt;=3),"Very serious", AND(W427&lt;=$D$1*-1,Y427&gt;0,X427&lt;$D$2*-1,V427/U427&gt;=3),"Very serious", AND(W427&gt;=$D$1,X427&lt;0,Y427&lt;$D$2,V427/U427&gt;=3),"Very serious", AND(W427&gt;=$D$1,X427&lt;0,Y427&gt;$D$2,V427/U427&gt;=3),"Very serious", AND(W427&gt;$D$1*-1,W427&lt;$D$1,X427&gt;$D$1*-1,Y427&lt;$D$1,V427/U427&lt;3),"Not Serious", AND(W427&gt;$D$1*-1,W427&lt;$D$1,OR(X427&lt;=$D$1*-1,Y427&gt;=$D$1),X427&gt;$D$2*-1,Y427&lt;$D$2,V427/U427&lt;3),"Serious", AND(W427&gt;$D$1*-1,W427&lt;$D$1,OR(X427&lt;=$D$2*-1,Y427&gt;=$D$2),V427/U427&lt;3),"Very serious", AND(W427&gt;$D$1*-1,W427&lt;$D$1,X427&gt;$D$1*-1,Y427&lt;$D$1,V427/U427&gt;=3),"Very serious", AND(W427&gt;$D$1*-1,W427&lt;$D$1,OR(X427&lt;=$D$1*-1,Y427&gt;=$D$1),X427&gt;$D$2*-1,Y427&lt;$D$2,V427/U427&gt;=3),"Very serious", AND(W427&gt;$D$1*-1,W427&lt;$D$1,OR(X427&lt;=$D$2*-1,Y427&gt;=$D$2),V427/U427&gt;=3),"Very serious"),"")),"")</f>
        <v/>
      </c>
      <c r="AT427" s="109" t="str">
        <f t="shared" si="9"/>
        <v/>
      </c>
      <c r="AU427" s="64"/>
      <c r="AV427" s="83"/>
      <c r="AW427" s="83"/>
      <c r="AX427" s="83"/>
      <c r="AY427" s="83"/>
      <c r="AZ427" s="83"/>
      <c r="BA427" s="85"/>
      <c r="BB427" s="86" t="str">
        <f>IF(Preferences!B$9="Manual","",IFS(ISBLANK(B427),"",AND(ISNUMBER(E427)=TRUE,ISNUMBER(T427)=FALSE),"Direct", AND(ISNUMBER(E427)=FALSE,ISNUMBER(T427)=TRUE),"Indirect", CN427=4,"Direct",AND(CL427=FALSE, CM427=TRUE,CN427-CO427&gt;-1),"Direct", AND(CL427=FALSE,CM427=TRUE, CN427-CO427&lt;0),"Check algorithm in appendix 2", AND(CL427=TRUE, CM427=FALSE,CN427-CO427&gt;0),"Check algorithm in appendix 2", AND(CL427=TRUE, CM427=FALSE,CN427-CO427=0),"Indirect", AND(CL427=TRUE, CM427=FALSE,CN427-CO427&lt;0),"Indirect", AND(CL427=FALSE,CM427=FALSE,CN427-CO427&gt;-1),"Direct", AND(CL427=FALSE,CM427=FALSE,CN427-CO427&lt;0),"Check algorithm in appendix 2", AND(CL427=TRUE,CM427=TRUE,CN427-CO427&gt;-1),"Direct", AND(CL427=TRUE,CM427=TRUE,CN427-CO427&lt;0),"Check algorithm in appendix 2"))</f>
        <v/>
      </c>
      <c r="BC427" s="120" t="str">
        <f t="shared" si="10"/>
        <v/>
      </c>
      <c r="BD427" s="140"/>
      <c r="BE427" s="122" t="str">
        <f>IF(Preferences!B$3="Manual","", IFERROR(IFS(AND(Preferences!B$3="Automatic",AX427/AW427&gt;=30),"Extremely serious",AND(AY427&lt;=$D$1*-1,BA427&lt;0,AX427/AW427&lt;3),"Not Serious",AND(AY427&lt;=$D$1*-1,BA427&lt;0,AX427/AW427&gt;=3),"Very serious",AND(AY427&gt;=$D$1,AZ427&gt;0,AX427/AW427&lt;3),"Not Serious",AND(AY427&gt;=$D$1,AZ427&gt;0,AX427/AW427&gt;=3),"Very serious",AND(AY427&lt;=$D$1*-1,BA427&gt;0,AZ427&gt;$D$2*-1,AX427/AW427&lt;3),"Serious", AND(AY427&lt;=$D$1*-1,BA427&gt;0,AZ427&lt;$D$2*-1,AX427/AW427&lt;3),"Very serious", AND(AY427&gt;=$D$1,AZ427&lt;0,BA427&lt;$D$2,AX427/AW427&lt;3),"Serious",AND(AY427&gt;=$D$1,AZ427&lt;0,BA427&gt;$D$2,AX427/AW427&lt;3),"Very serious", AND(AY427&lt;=$D$1*-1,BA427&gt;0,AZ427&gt;$D$2*-1,AX427/AW427&gt;=3),"Very serious", AND(AY427&lt;=$D$1*-1,BA427&gt;0,AZ427&lt;$D$2*-1,AX427/AW427&gt;=3),"Very serious", AND(AY427&gt;=$D$1,AZ427&lt;0,BA427&lt;$D$2,AX427/AW427&gt;=3),"Very serious", AND(AY427&gt;=$D$1,AZ427&lt;0,BA427&gt;$D$2,AX427/AW427&gt;=3),"Very serious", AND(AY427&gt;$D$1*-1,AY427&lt;$D$1,AZ427&gt;$D$1*-1,BA427&lt;$D$1,AX427/AW427&lt;3),"Not Serious", AND(AY427&gt;$D$1*-1,AY427&lt;$D$1,OR(AZ427&lt;=$D$1*-1,BA427&gt;=$D$1),AZ427&gt;$D$2*-1,BA427&lt;$D$2,AX427/AW427&lt;3),"Serious", AND(AY427&gt;$D$1*-1,AY427&lt;$D$1,OR(AZ427&lt;=$D$2*-1,BA427&gt;=$D$2),AX427/AW427&lt;3),"Very serious", AND(AY427&gt;$D$1*-1,AY427&lt;$D$1,AZ427&gt;$D$1*-1,BA427&lt;$D$1,AX427/AW427&gt;=3),"Very serious", AND(AY427&gt;$D$1*-1,AY427&lt;$D$1,OR(AZ427&lt;=$D$1*-1,BA427&gt;=$D$1),AZ427&gt;$D$2*-1,BA427&lt;$D$2,AX427/AW427&gt;=3),"Very serious", AND(AY427&gt;$D$1*-1,AY427&lt;$D$1,OR(AZ427&lt;=$D$2*-1,BA427&gt;=$D$2),AX427/AW427&gt;=3),"Very serious"),""))</f>
        <v/>
      </c>
      <c r="BF427" s="107" t="str">
        <f t="shared" si="11"/>
        <v/>
      </c>
      <c r="BG427" s="94" t="str">
        <f t="shared" si="46"/>
        <v/>
      </c>
      <c r="BH427" s="64" t="str">
        <f t="shared" si="12"/>
        <v>#N/A</v>
      </c>
      <c r="BI427" s="64" t="str">
        <f t="shared" si="13"/>
        <v/>
      </c>
      <c r="BJ427" s="123" t="str">
        <f t="shared" si="14"/>
        <v>#N/A</v>
      </c>
      <c r="BK427" s="64" t="str">
        <f t="shared" si="50"/>
        <v>YES</v>
      </c>
      <c r="BL427" s="64" t="str">
        <f t="shared" si="16"/>
        <v>YES</v>
      </c>
      <c r="BM427" s="64" t="str">
        <f t="shared" si="17"/>
        <v>YES</v>
      </c>
      <c r="BN427" s="124" t="str">
        <f t="shared" si="18"/>
        <v/>
      </c>
      <c r="BO427" s="91" t="str">
        <f t="shared" si="19"/>
        <v/>
      </c>
      <c r="BP427" s="91" t="str">
        <f t="shared" si="20"/>
        <v>#N/A</v>
      </c>
      <c r="BQ427" s="91" t="str">
        <f t="shared" si="21"/>
        <v/>
      </c>
      <c r="BR427" s="93" t="str">
        <f t="shared" si="22"/>
        <v/>
      </c>
      <c r="BS427" s="90" t="str">
        <f t="shared" si="23"/>
        <v/>
      </c>
      <c r="BT427" s="93" t="str">
        <f t="shared" si="24"/>
        <v>NA</v>
      </c>
      <c r="BU427" s="125" t="str">
        <f t="shared" si="25"/>
        <v>#N/A</v>
      </c>
      <c r="BV427" s="93" t="str">
        <f t="shared" si="26"/>
        <v/>
      </c>
      <c r="BW427" s="93" t="str">
        <f t="shared" si="27"/>
        <v/>
      </c>
      <c r="BX427" s="93" t="str">
        <f t="shared" si="28"/>
        <v>NA</v>
      </c>
      <c r="BY427" s="95" t="str">
        <f t="shared" si="29"/>
        <v>#N/A</v>
      </c>
      <c r="BZ427" s="93" t="str">
        <f t="shared" si="30"/>
        <v/>
      </c>
      <c r="CA427" s="93" t="str">
        <f t="shared" si="31"/>
        <v/>
      </c>
      <c r="CB427" s="93" t="str">
        <f t="shared" si="32"/>
        <v>NA</v>
      </c>
      <c r="CC427" s="96" t="str">
        <f t="shared" si="33"/>
        <v>#N/A</v>
      </c>
      <c r="CD427" s="93" t="str">
        <f t="shared" si="34"/>
        <v/>
      </c>
      <c r="CE427" s="93" t="str">
        <f t="shared" si="35"/>
        <v/>
      </c>
      <c r="CF427" s="93" t="str">
        <f t="shared" si="36"/>
        <v>NA</v>
      </c>
      <c r="CG427" s="97" t="str">
        <f t="shared" si="37"/>
        <v>#N/A</v>
      </c>
      <c r="CH427" s="98" t="str">
        <f t="shared" si="38"/>
        <v>#N/A</v>
      </c>
      <c r="CI427" s="99" t="str">
        <f t="shared" si="39"/>
        <v>#N/A</v>
      </c>
      <c r="CJ427" s="126" t="str">
        <f t="shared" si="40"/>
        <v>ERROR: check cell</v>
      </c>
      <c r="CK427" s="126"/>
      <c r="CL427" s="127" t="str">
        <f t="shared" si="41"/>
        <v>#DIV/0!</v>
      </c>
      <c r="CM427" s="128" t="str">
        <f t="shared" si="42"/>
        <v>#DIV/0!</v>
      </c>
      <c r="CN427" s="128">
        <f t="shared" si="43"/>
        <v>4</v>
      </c>
      <c r="CO427" s="129">
        <f t="shared" si="44"/>
        <v>4</v>
      </c>
      <c r="CP427" s="129" t="str">
        <f>IFS(C427=Preferences!B$13,B427,B427=Preferences!B$13,C427)</f>
        <v>#N/A</v>
      </c>
    </row>
    <row r="428" ht="13.5" customHeight="1">
      <c r="A428" s="63" t="str">
        <f t="shared" si="45"/>
        <v/>
      </c>
      <c r="B428" s="64"/>
      <c r="C428" s="64"/>
      <c r="D428" s="64"/>
      <c r="E428" s="65"/>
      <c r="F428" s="65"/>
      <c r="G428" s="65"/>
      <c r="H428" s="66"/>
      <c r="I428" s="66"/>
      <c r="J428" s="67"/>
      <c r="K428" s="68"/>
      <c r="L428" s="104"/>
      <c r="M428" s="104"/>
      <c r="N428" s="104"/>
      <c r="O428" s="104"/>
      <c r="P428" s="107" t="str">
        <f t="shared" si="1"/>
        <v/>
      </c>
      <c r="Q428" s="108" t="str">
        <f>IFERROR(IF(AND(Preferences!B$3="Manual",OR(AX428/AW428&gt;G428/F428,BD428="Serious",BD428="Very serious")),"Assess imprecision",IFS(ISBLANK(E428),"",AND(Preferences!B$3="Automatic", G428/F428&gt;=30),"Extremely serious",AND(H428&lt;=$D$1*-1,J428&lt;0,G428/F428&lt;3),"Not serious",AND(H428&lt;=$D$1*-1,J428&lt;0,G428/F428&gt;=3),"Very serious",AND(H428&gt;=$D$1,I428&gt;0,G428/F428&lt;3),"Not serious",AND(H428&gt;=$D$1,I428&gt;0,G428/F428&gt;=3),"Very serious",AND(H428&lt;=$D$1*-1,J428&gt;0,I428&gt;$D$2*-1,G428/F428&lt;3),"Serious", AND(H428&lt;=$D$1*-1,J428&gt;0,I428&lt;$D$2*-1,G428/F428&lt;3),"Very serious", AND(H428&gt;=$D$1,I428&lt;0,J428&lt;$D$2,G428/F428&lt;3),"Serious",AND(H428&gt;=$D$1,I428&lt;0,J428&gt;$D$2,G428/F428&lt;3),"Very serious", AND(H428&lt;=$D$1*-1,J428&gt;0,I428&gt;$D$2*-1,G428/F428&gt;=3),"Very serious", AND(H428&lt;=$D$1*-1,J428&gt;0,I428&lt;$D$2*-1,G428/F428&gt;=3),"Very serious", AND(H428&gt;=$D$1,I428&lt;0,J428&lt;$D$2,G428/F428&gt;=3),"Very serious", AND(H428&gt;=$D$1,I428&lt;0,J428&gt;$D$2,G428/F428&gt;=3),"Very serious", AND(H428&gt;$D$1*-1,H428&lt;$D$1,I428&gt;$D$1*-1,J428&lt;$D$1,G428/F428&lt;3),"Not serious", AND(H428&gt;$D$1*-1,H428&lt;$D$1,OR(I428&lt;=$D$1*-1,J428&gt;=$D$1),I428&gt;$D$2*-1,J428&lt;$D$2,G428/F428&lt;3),"Serious", AND(H428&gt;$D$1*-1,H428&lt;$D$1,OR(I428&lt;=$D$2*-1,J428&gt;=$D$2),G428/F428&lt;3),"Very serious", AND(H428&gt;$D$1*-1,H428&lt;$D$1,I428&gt;$D$1*-1,J428&lt;$D$1,G428/F428&gt;=3),"Very serious", AND(H428&gt;$D$1*-1,H428&lt;$D$1,OR(I428&lt;=$D$1*-1,J428&gt;=$D$1),I428&gt;$D$2*-1,J428&lt;$D$2,G428/F428&gt;=3),"Very serious", AND(H428&gt;$D$1*-1,H428&lt;$D$1,OR(I428&lt;=$D$2*-1,J428&gt;=$D$2),G428/F428&gt;=3),"Very serious")),"")</f>
        <v/>
      </c>
      <c r="R428" s="109" t="str">
        <f t="shared" si="47"/>
        <v/>
      </c>
      <c r="S428" s="64"/>
      <c r="T428" s="72"/>
      <c r="U428" s="72"/>
      <c r="V428" s="72"/>
      <c r="W428" s="73"/>
      <c r="X428" s="73"/>
      <c r="Y428" s="74"/>
      <c r="Z428" s="113" t="str">
        <f t="array" ref="Z428">INDEX($A$1:$C$500, MATCH(1,($B:$B=$B428)*($C:$C=$AB428),0),1)</f>
        <v/>
      </c>
      <c r="AA428" s="113" t="str">
        <f t="array" ref="AA428">INDEX($A$1:$C$500, MATCH(1,($B:$B=$AB428)*($C:$C=$B428),0),1)</f>
        <v/>
      </c>
      <c r="AB428" s="111"/>
      <c r="AC428" s="114" t="str">
        <f t="shared" si="2"/>
        <v/>
      </c>
      <c r="AD428" s="115" t="str">
        <f t="shared" si="3"/>
        <v/>
      </c>
      <c r="AE428" s="116" t="str">
        <f t="array" ref="AE428">INDEX($A$1:$C$500, MATCH(1,($B:$B=$AB428)*($C:$C=$AG428),0),1)</f>
        <v/>
      </c>
      <c r="AF428" s="116" t="str">
        <f t="array" ref="AF428">INDEX($A$1:$C$500, MATCH(1,($B:$B=$AG428)*($C:$C=$AB428),0),1)</f>
        <v/>
      </c>
      <c r="AG428" s="72"/>
      <c r="AH428" s="114" t="str">
        <f t="shared" si="4"/>
        <v/>
      </c>
      <c r="AI428" s="115" t="str">
        <f t="shared" si="5"/>
        <v/>
      </c>
      <c r="AJ428" s="116" t="str">
        <f t="array" ref="AJ428">INDEX($A$1:$C$500, MATCH(1,($B:$B=$C428)*($C:$C=$AG428),0),1)</f>
        <v/>
      </c>
      <c r="AK428" s="116" t="str">
        <f t="array" ref="AK428">INDEX($A$1:$C$500, MATCH(1,($B:$B=$AG428)*($C:$C=$C428),0),1)</f>
        <v/>
      </c>
      <c r="AL428" s="116" t="str">
        <f t="array" ref="AL428">INDEX($A$1:$C$500, MATCH(1,($B:$B=$C428)*($C:$C=$AB428),0),1)</f>
        <v/>
      </c>
      <c r="AM428" s="116" t="str">
        <f t="array" ref="AM428">INDEX($A$1:$C$500, MATCH(1,($B:$B=$AB428)*($C:$C=$C428),0),1)</f>
        <v/>
      </c>
      <c r="AN428" s="114" t="str">
        <f t="array" ref="AN428">IFS(ISNUMBER(AJ428),AJ428,ISNUMBER(AK428),AK428,ISNUMBER(AL428),AL428,ISNUMBER(AM428),AM428)</f>
        <v>#N/A</v>
      </c>
      <c r="AO428" s="115" t="str">
        <f t="shared" si="6"/>
        <v/>
      </c>
      <c r="AP428" s="115" t="str">
        <f t="shared" si="7"/>
        <v/>
      </c>
      <c r="AQ428" s="111"/>
      <c r="AR428" s="109" t="str">
        <f t="shared" si="8"/>
        <v/>
      </c>
      <c r="AS428" s="72" t="str">
        <f>IFERROR(IF(AND(Preferences!B$3="Manual",OR(AX428/AW428&gt;V428/U428,BD428="Serious",BD428="Very serious")),"Assess imprecision",IFERROR(IFS(AND(Preferences!B$3="Automatic",V428/U428&gt;=30),"Extremely serious",AND(W428&lt;=$D$1*-1,Y428&lt;0,V428/U428&lt;3),"Not Serious",AND(W428&lt;=$D$1*-1,Y428&lt;0,V428/U428&gt;=3),"Very serious",AND(W428&gt;=$D$1,X428&gt;0,V428/U428&lt;3),"Not Serious",AND(W428&gt;=$D$1,X428&gt;0,V428/U428&gt;=3),"Very serious",AND(W428&lt;=$D$1*-1,Y428&gt;0,X428&gt;$D$2*-1,V428/U428&lt;3),"Serious", AND(W428&lt;=$D$1*-1,Y428&gt;0,X428&lt;$D$2*-1,V428/U428&lt;3),"Very serious", AND(W428&gt;=$D$1,X428&lt;0,Y428&lt;$D$2,V428/U428&lt;3),"Serious",AND(W428&gt;=$D$1,X428&lt;0,Y428&gt;$D$2,V428/U428&lt;3),"Very serious", AND(W428&lt;=$D$1*-1,Y428&gt;0,X428&gt;$D$2*-1,V428/U428&gt;=3),"Very serious", AND(W428&lt;=$D$1*-1,Y428&gt;0,X428&lt;$D$2*-1,V428/U428&gt;=3),"Very serious", AND(W428&gt;=$D$1,X428&lt;0,Y428&lt;$D$2,V428/U428&gt;=3),"Very serious", AND(W428&gt;=$D$1,X428&lt;0,Y428&gt;$D$2,V428/U428&gt;=3),"Very serious", AND(W428&gt;$D$1*-1,W428&lt;$D$1,X428&gt;$D$1*-1,Y428&lt;$D$1,V428/U428&lt;3),"Not Serious", AND(W428&gt;$D$1*-1,W428&lt;$D$1,OR(X428&lt;=$D$1*-1,Y428&gt;=$D$1),X428&gt;$D$2*-1,Y428&lt;$D$2,V428/U428&lt;3),"Serious", AND(W428&gt;$D$1*-1,W428&lt;$D$1,OR(X428&lt;=$D$2*-1,Y428&gt;=$D$2),V428/U428&lt;3),"Very serious", AND(W428&gt;$D$1*-1,W428&lt;$D$1,X428&gt;$D$1*-1,Y428&lt;$D$1,V428/U428&gt;=3),"Very serious", AND(W428&gt;$D$1*-1,W428&lt;$D$1,OR(X428&lt;=$D$1*-1,Y428&gt;=$D$1),X428&gt;$D$2*-1,Y428&lt;$D$2,V428/U428&gt;=3),"Very serious", AND(W428&gt;$D$1*-1,W428&lt;$D$1,OR(X428&lt;=$D$2*-1,Y428&gt;=$D$2),V428/U428&gt;=3),"Very serious"),"")),"")</f>
        <v/>
      </c>
      <c r="AT428" s="109" t="str">
        <f t="shared" si="9"/>
        <v/>
      </c>
      <c r="AU428" s="64"/>
      <c r="AV428" s="83"/>
      <c r="AW428" s="83"/>
      <c r="AX428" s="83"/>
      <c r="AY428" s="83"/>
      <c r="AZ428" s="83"/>
      <c r="BA428" s="85"/>
      <c r="BB428" s="86" t="str">
        <f>IF(Preferences!B$9="Manual","",IFS(ISBLANK(B428),"",AND(ISNUMBER(E428)=TRUE,ISNUMBER(T428)=FALSE),"Direct", AND(ISNUMBER(E428)=FALSE,ISNUMBER(T428)=TRUE),"Indirect", CN428=4,"Direct",AND(CL428=FALSE, CM428=TRUE,CN428-CO428&gt;-1),"Direct", AND(CL428=FALSE,CM428=TRUE, CN428-CO428&lt;0),"Check algorithm in appendix 2", AND(CL428=TRUE, CM428=FALSE,CN428-CO428&gt;0),"Check algorithm in appendix 2", AND(CL428=TRUE, CM428=FALSE,CN428-CO428=0),"Indirect", AND(CL428=TRUE, CM428=FALSE,CN428-CO428&lt;0),"Indirect", AND(CL428=FALSE,CM428=FALSE,CN428-CO428&gt;-1),"Direct", AND(CL428=FALSE,CM428=FALSE,CN428-CO428&lt;0),"Check algorithm in appendix 2", AND(CL428=TRUE,CM428=TRUE,CN428-CO428&gt;-1),"Direct", AND(CL428=TRUE,CM428=TRUE,CN428-CO428&lt;0),"Check algorithm in appendix 2"))</f>
        <v/>
      </c>
      <c r="BC428" s="120" t="str">
        <f t="shared" si="10"/>
        <v/>
      </c>
      <c r="BD428" s="140"/>
      <c r="BE428" s="122" t="str">
        <f>IF(Preferences!B$3="Manual","", IFERROR(IFS(AND(Preferences!B$3="Automatic",AX428/AW428&gt;=30),"Extremely serious",AND(AY428&lt;=$D$1*-1,BA428&lt;0,AX428/AW428&lt;3),"Not Serious",AND(AY428&lt;=$D$1*-1,BA428&lt;0,AX428/AW428&gt;=3),"Very serious",AND(AY428&gt;=$D$1,AZ428&gt;0,AX428/AW428&lt;3),"Not Serious",AND(AY428&gt;=$D$1,AZ428&gt;0,AX428/AW428&gt;=3),"Very serious",AND(AY428&lt;=$D$1*-1,BA428&gt;0,AZ428&gt;$D$2*-1,AX428/AW428&lt;3),"Serious", AND(AY428&lt;=$D$1*-1,BA428&gt;0,AZ428&lt;$D$2*-1,AX428/AW428&lt;3),"Very serious", AND(AY428&gt;=$D$1,AZ428&lt;0,BA428&lt;$D$2,AX428/AW428&lt;3),"Serious",AND(AY428&gt;=$D$1,AZ428&lt;0,BA428&gt;$D$2,AX428/AW428&lt;3),"Very serious", AND(AY428&lt;=$D$1*-1,BA428&gt;0,AZ428&gt;$D$2*-1,AX428/AW428&gt;=3),"Very serious", AND(AY428&lt;=$D$1*-1,BA428&gt;0,AZ428&lt;$D$2*-1,AX428/AW428&gt;=3),"Very serious", AND(AY428&gt;=$D$1,AZ428&lt;0,BA428&lt;$D$2,AX428/AW428&gt;=3),"Very serious", AND(AY428&gt;=$D$1,AZ428&lt;0,BA428&gt;$D$2,AX428/AW428&gt;=3),"Very serious", AND(AY428&gt;$D$1*-1,AY428&lt;$D$1,AZ428&gt;$D$1*-1,BA428&lt;$D$1,AX428/AW428&lt;3),"Not Serious", AND(AY428&gt;$D$1*-1,AY428&lt;$D$1,OR(AZ428&lt;=$D$1*-1,BA428&gt;=$D$1),AZ428&gt;$D$2*-1,BA428&lt;$D$2,AX428/AW428&lt;3),"Serious", AND(AY428&gt;$D$1*-1,AY428&lt;$D$1,OR(AZ428&lt;=$D$2*-1,BA428&gt;=$D$2),AX428/AW428&lt;3),"Very serious", AND(AY428&gt;$D$1*-1,AY428&lt;$D$1,AZ428&gt;$D$1*-1,BA428&lt;$D$1,AX428/AW428&gt;=3),"Very serious", AND(AY428&gt;$D$1*-1,AY428&lt;$D$1,OR(AZ428&lt;=$D$1*-1,BA428&gt;=$D$1),AZ428&gt;$D$2*-1,BA428&lt;$D$2,AX428/AW428&gt;=3),"Very serious", AND(AY428&gt;$D$1*-1,AY428&lt;$D$1,OR(AZ428&lt;=$D$2*-1,BA428&gt;=$D$2),AX428/AW428&gt;=3),"Very serious"),""))</f>
        <v/>
      </c>
      <c r="BF428" s="107" t="str">
        <f t="shared" si="11"/>
        <v/>
      </c>
      <c r="BG428" s="94" t="str">
        <f t="shared" si="46"/>
        <v/>
      </c>
      <c r="BH428" s="64" t="str">
        <f t="shared" si="12"/>
        <v>#N/A</v>
      </c>
      <c r="BI428" s="64" t="str">
        <f t="shared" si="13"/>
        <v/>
      </c>
      <c r="BJ428" s="123" t="str">
        <f t="shared" si="14"/>
        <v>#N/A</v>
      </c>
      <c r="BK428" s="64" t="str">
        <f t="shared" si="50"/>
        <v>YES</v>
      </c>
      <c r="BL428" s="64" t="str">
        <f t="shared" si="16"/>
        <v>YES</v>
      </c>
      <c r="BM428" s="64" t="str">
        <f t="shared" si="17"/>
        <v>YES</v>
      </c>
      <c r="BN428" s="124" t="str">
        <f t="shared" si="18"/>
        <v/>
      </c>
      <c r="BO428" s="91" t="str">
        <f t="shared" si="19"/>
        <v/>
      </c>
      <c r="BP428" s="91" t="str">
        <f t="shared" si="20"/>
        <v>#N/A</v>
      </c>
      <c r="BQ428" s="91" t="str">
        <f t="shared" si="21"/>
        <v/>
      </c>
      <c r="BR428" s="93" t="str">
        <f t="shared" si="22"/>
        <v/>
      </c>
      <c r="BS428" s="90" t="str">
        <f t="shared" si="23"/>
        <v/>
      </c>
      <c r="BT428" s="93" t="str">
        <f t="shared" si="24"/>
        <v>NA</v>
      </c>
      <c r="BU428" s="125" t="str">
        <f t="shared" si="25"/>
        <v>#N/A</v>
      </c>
      <c r="BV428" s="93" t="str">
        <f t="shared" si="26"/>
        <v/>
      </c>
      <c r="BW428" s="93" t="str">
        <f t="shared" si="27"/>
        <v/>
      </c>
      <c r="BX428" s="93" t="str">
        <f t="shared" si="28"/>
        <v>NA</v>
      </c>
      <c r="BY428" s="95" t="str">
        <f t="shared" si="29"/>
        <v>#N/A</v>
      </c>
      <c r="BZ428" s="93" t="str">
        <f t="shared" si="30"/>
        <v/>
      </c>
      <c r="CA428" s="93" t="str">
        <f t="shared" si="31"/>
        <v/>
      </c>
      <c r="CB428" s="93" t="str">
        <f t="shared" si="32"/>
        <v>NA</v>
      </c>
      <c r="CC428" s="96" t="str">
        <f t="shared" si="33"/>
        <v>#N/A</v>
      </c>
      <c r="CD428" s="93" t="str">
        <f t="shared" si="34"/>
        <v/>
      </c>
      <c r="CE428" s="93" t="str">
        <f t="shared" si="35"/>
        <v/>
      </c>
      <c r="CF428" s="93" t="str">
        <f t="shared" si="36"/>
        <v>NA</v>
      </c>
      <c r="CG428" s="97" t="str">
        <f t="shared" si="37"/>
        <v>#N/A</v>
      </c>
      <c r="CH428" s="98" t="str">
        <f t="shared" si="38"/>
        <v>#N/A</v>
      </c>
      <c r="CI428" s="99" t="str">
        <f t="shared" si="39"/>
        <v>#N/A</v>
      </c>
      <c r="CJ428" s="126" t="str">
        <f t="shared" si="40"/>
        <v>ERROR: check cell</v>
      </c>
      <c r="CK428" s="126"/>
      <c r="CL428" s="127" t="str">
        <f t="shared" si="41"/>
        <v>#DIV/0!</v>
      </c>
      <c r="CM428" s="128" t="str">
        <f t="shared" si="42"/>
        <v>#DIV/0!</v>
      </c>
      <c r="CN428" s="128">
        <f t="shared" si="43"/>
        <v>4</v>
      </c>
      <c r="CO428" s="129">
        <f t="shared" si="44"/>
        <v>4</v>
      </c>
      <c r="CP428" s="129" t="str">
        <f>IFS(C428=Preferences!B$13,B428,B428=Preferences!B$13,C428)</f>
        <v>#N/A</v>
      </c>
    </row>
    <row r="429" ht="13.5" customHeight="1">
      <c r="A429" s="63" t="str">
        <f t="shared" si="45"/>
        <v/>
      </c>
      <c r="B429" s="64"/>
      <c r="C429" s="64"/>
      <c r="D429" s="64"/>
      <c r="E429" s="65"/>
      <c r="F429" s="65"/>
      <c r="G429" s="65"/>
      <c r="H429" s="66"/>
      <c r="I429" s="66"/>
      <c r="J429" s="67"/>
      <c r="K429" s="68"/>
      <c r="L429" s="104"/>
      <c r="M429" s="104"/>
      <c r="N429" s="104"/>
      <c r="O429" s="104"/>
      <c r="P429" s="107" t="str">
        <f t="shared" si="1"/>
        <v/>
      </c>
      <c r="Q429" s="108" t="str">
        <f>IFERROR(IF(AND(Preferences!B$3="Manual",OR(AX429/AW429&gt;G429/F429,BD429="Serious",BD429="Very serious")),"Assess imprecision",IFS(ISBLANK(E429),"",AND(Preferences!B$3="Automatic", G429/F429&gt;=30),"Extremely serious",AND(H429&lt;=$D$1*-1,J429&lt;0,G429/F429&lt;3),"Not serious",AND(H429&lt;=$D$1*-1,J429&lt;0,G429/F429&gt;=3),"Very serious",AND(H429&gt;=$D$1,I429&gt;0,G429/F429&lt;3),"Not serious",AND(H429&gt;=$D$1,I429&gt;0,G429/F429&gt;=3),"Very serious",AND(H429&lt;=$D$1*-1,J429&gt;0,I429&gt;$D$2*-1,G429/F429&lt;3),"Serious", AND(H429&lt;=$D$1*-1,J429&gt;0,I429&lt;$D$2*-1,G429/F429&lt;3),"Very serious", AND(H429&gt;=$D$1,I429&lt;0,J429&lt;$D$2,G429/F429&lt;3),"Serious",AND(H429&gt;=$D$1,I429&lt;0,J429&gt;$D$2,G429/F429&lt;3),"Very serious", AND(H429&lt;=$D$1*-1,J429&gt;0,I429&gt;$D$2*-1,G429/F429&gt;=3),"Very serious", AND(H429&lt;=$D$1*-1,J429&gt;0,I429&lt;$D$2*-1,G429/F429&gt;=3),"Very serious", AND(H429&gt;=$D$1,I429&lt;0,J429&lt;$D$2,G429/F429&gt;=3),"Very serious", AND(H429&gt;=$D$1,I429&lt;0,J429&gt;$D$2,G429/F429&gt;=3),"Very serious", AND(H429&gt;$D$1*-1,H429&lt;$D$1,I429&gt;$D$1*-1,J429&lt;$D$1,G429/F429&lt;3),"Not serious", AND(H429&gt;$D$1*-1,H429&lt;$D$1,OR(I429&lt;=$D$1*-1,J429&gt;=$D$1),I429&gt;$D$2*-1,J429&lt;$D$2,G429/F429&lt;3),"Serious", AND(H429&gt;$D$1*-1,H429&lt;$D$1,OR(I429&lt;=$D$2*-1,J429&gt;=$D$2),G429/F429&lt;3),"Very serious", AND(H429&gt;$D$1*-1,H429&lt;$D$1,I429&gt;$D$1*-1,J429&lt;$D$1,G429/F429&gt;=3),"Very serious", AND(H429&gt;$D$1*-1,H429&lt;$D$1,OR(I429&lt;=$D$1*-1,J429&gt;=$D$1),I429&gt;$D$2*-1,J429&lt;$D$2,G429/F429&gt;=3),"Very serious", AND(H429&gt;$D$1*-1,H429&lt;$D$1,OR(I429&lt;=$D$2*-1,J429&gt;=$D$2),G429/F429&gt;=3),"Very serious")),"")</f>
        <v/>
      </c>
      <c r="R429" s="109" t="str">
        <f t="shared" si="47"/>
        <v/>
      </c>
      <c r="S429" s="64"/>
      <c r="T429" s="72"/>
      <c r="U429" s="72"/>
      <c r="V429" s="72"/>
      <c r="W429" s="73"/>
      <c r="X429" s="73"/>
      <c r="Y429" s="74"/>
      <c r="Z429" s="113" t="str">
        <f t="array" ref="Z429">INDEX($A$1:$C$500, MATCH(1,($B:$B=$B429)*($C:$C=$AB429),0),1)</f>
        <v/>
      </c>
      <c r="AA429" s="113" t="str">
        <f t="array" ref="AA429">INDEX($A$1:$C$500, MATCH(1,($B:$B=$AB429)*($C:$C=$B429),0),1)</f>
        <v/>
      </c>
      <c r="AB429" s="111"/>
      <c r="AC429" s="114" t="str">
        <f t="shared" si="2"/>
        <v/>
      </c>
      <c r="AD429" s="115" t="str">
        <f t="shared" si="3"/>
        <v/>
      </c>
      <c r="AE429" s="116" t="str">
        <f t="array" ref="AE429">INDEX($A$1:$C$500, MATCH(1,($B:$B=$AB429)*($C:$C=$AG429),0),1)</f>
        <v/>
      </c>
      <c r="AF429" s="116" t="str">
        <f t="array" ref="AF429">INDEX($A$1:$C$500, MATCH(1,($B:$B=$AG429)*($C:$C=$AB429),0),1)</f>
        <v/>
      </c>
      <c r="AG429" s="72"/>
      <c r="AH429" s="114" t="str">
        <f t="shared" si="4"/>
        <v/>
      </c>
      <c r="AI429" s="115" t="str">
        <f t="shared" si="5"/>
        <v/>
      </c>
      <c r="AJ429" s="116" t="str">
        <f t="array" ref="AJ429">INDEX($A$1:$C$500, MATCH(1,($B:$B=$C429)*($C:$C=$AG429),0),1)</f>
        <v/>
      </c>
      <c r="AK429" s="116" t="str">
        <f t="array" ref="AK429">INDEX($A$1:$C$500, MATCH(1,($B:$B=$AG429)*($C:$C=$C429),0),1)</f>
        <v/>
      </c>
      <c r="AL429" s="116" t="str">
        <f t="array" ref="AL429">INDEX($A$1:$C$500, MATCH(1,($B:$B=$C429)*($C:$C=$AB429),0),1)</f>
        <v/>
      </c>
      <c r="AM429" s="116" t="str">
        <f t="array" ref="AM429">INDEX($A$1:$C$500, MATCH(1,($B:$B=$AB429)*($C:$C=$C429),0),1)</f>
        <v/>
      </c>
      <c r="AN429" s="114" t="str">
        <f t="array" ref="AN429">IFS(ISNUMBER(AJ429),AJ429,ISNUMBER(AK429),AK429,ISNUMBER(AL429),AL429,ISNUMBER(AM429),AM429)</f>
        <v>#N/A</v>
      </c>
      <c r="AO429" s="115" t="str">
        <f t="shared" si="6"/>
        <v/>
      </c>
      <c r="AP429" s="115" t="str">
        <f t="shared" si="7"/>
        <v/>
      </c>
      <c r="AQ429" s="111"/>
      <c r="AR429" s="109" t="str">
        <f t="shared" si="8"/>
        <v/>
      </c>
      <c r="AS429" s="72" t="str">
        <f>IFERROR(IF(AND(Preferences!B$3="Manual",OR(AX429/AW429&gt;V429/U429,BD429="Serious",BD429="Very serious")),"Assess imprecision",IFERROR(IFS(AND(Preferences!B$3="Automatic",V429/U429&gt;=30),"Extremely serious",AND(W429&lt;=$D$1*-1,Y429&lt;0,V429/U429&lt;3),"Not Serious",AND(W429&lt;=$D$1*-1,Y429&lt;0,V429/U429&gt;=3),"Very serious",AND(W429&gt;=$D$1,X429&gt;0,V429/U429&lt;3),"Not Serious",AND(W429&gt;=$D$1,X429&gt;0,V429/U429&gt;=3),"Very serious",AND(W429&lt;=$D$1*-1,Y429&gt;0,X429&gt;$D$2*-1,V429/U429&lt;3),"Serious", AND(W429&lt;=$D$1*-1,Y429&gt;0,X429&lt;$D$2*-1,V429/U429&lt;3),"Very serious", AND(W429&gt;=$D$1,X429&lt;0,Y429&lt;$D$2,V429/U429&lt;3),"Serious",AND(W429&gt;=$D$1,X429&lt;0,Y429&gt;$D$2,V429/U429&lt;3),"Very serious", AND(W429&lt;=$D$1*-1,Y429&gt;0,X429&gt;$D$2*-1,V429/U429&gt;=3),"Very serious", AND(W429&lt;=$D$1*-1,Y429&gt;0,X429&lt;$D$2*-1,V429/U429&gt;=3),"Very serious", AND(W429&gt;=$D$1,X429&lt;0,Y429&lt;$D$2,V429/U429&gt;=3),"Very serious", AND(W429&gt;=$D$1,X429&lt;0,Y429&gt;$D$2,V429/U429&gt;=3),"Very serious", AND(W429&gt;$D$1*-1,W429&lt;$D$1,X429&gt;$D$1*-1,Y429&lt;$D$1,V429/U429&lt;3),"Not Serious", AND(W429&gt;$D$1*-1,W429&lt;$D$1,OR(X429&lt;=$D$1*-1,Y429&gt;=$D$1),X429&gt;$D$2*-1,Y429&lt;$D$2,V429/U429&lt;3),"Serious", AND(W429&gt;$D$1*-1,W429&lt;$D$1,OR(X429&lt;=$D$2*-1,Y429&gt;=$D$2),V429/U429&lt;3),"Very serious", AND(W429&gt;$D$1*-1,W429&lt;$D$1,X429&gt;$D$1*-1,Y429&lt;$D$1,V429/U429&gt;=3),"Very serious", AND(W429&gt;$D$1*-1,W429&lt;$D$1,OR(X429&lt;=$D$1*-1,Y429&gt;=$D$1),X429&gt;$D$2*-1,Y429&lt;$D$2,V429/U429&gt;=3),"Very serious", AND(W429&gt;$D$1*-1,W429&lt;$D$1,OR(X429&lt;=$D$2*-1,Y429&gt;=$D$2),V429/U429&gt;=3),"Very serious"),"")),"")</f>
        <v/>
      </c>
      <c r="AT429" s="109" t="str">
        <f t="shared" si="9"/>
        <v/>
      </c>
      <c r="AU429" s="64"/>
      <c r="AV429" s="83"/>
      <c r="AW429" s="83"/>
      <c r="AX429" s="83"/>
      <c r="AY429" s="83"/>
      <c r="AZ429" s="83"/>
      <c r="BA429" s="85"/>
      <c r="BB429" s="86" t="str">
        <f>IF(Preferences!B$9="Manual","",IFS(ISBLANK(B429),"",AND(ISNUMBER(E429)=TRUE,ISNUMBER(T429)=FALSE),"Direct", AND(ISNUMBER(E429)=FALSE,ISNUMBER(T429)=TRUE),"Indirect", CN429=4,"Direct",AND(CL429=FALSE, CM429=TRUE,CN429-CO429&gt;-1),"Direct", AND(CL429=FALSE,CM429=TRUE, CN429-CO429&lt;0),"Check algorithm in appendix 2", AND(CL429=TRUE, CM429=FALSE,CN429-CO429&gt;0),"Check algorithm in appendix 2", AND(CL429=TRUE, CM429=FALSE,CN429-CO429=0),"Indirect", AND(CL429=TRUE, CM429=FALSE,CN429-CO429&lt;0),"Indirect", AND(CL429=FALSE,CM429=FALSE,CN429-CO429&gt;-1),"Direct", AND(CL429=FALSE,CM429=FALSE,CN429-CO429&lt;0),"Check algorithm in appendix 2", AND(CL429=TRUE,CM429=TRUE,CN429-CO429&gt;-1),"Direct", AND(CL429=TRUE,CM429=TRUE,CN429-CO429&lt;0),"Check algorithm in appendix 2"))</f>
        <v/>
      </c>
      <c r="BC429" s="120" t="str">
        <f t="shared" si="10"/>
        <v/>
      </c>
      <c r="BD429" s="140"/>
      <c r="BE429" s="122" t="str">
        <f>IF(Preferences!B$3="Manual","", IFERROR(IFS(AND(Preferences!B$3="Automatic",AX429/AW429&gt;=30),"Extremely serious",AND(AY429&lt;=$D$1*-1,BA429&lt;0,AX429/AW429&lt;3),"Not Serious",AND(AY429&lt;=$D$1*-1,BA429&lt;0,AX429/AW429&gt;=3),"Very serious",AND(AY429&gt;=$D$1,AZ429&gt;0,AX429/AW429&lt;3),"Not Serious",AND(AY429&gt;=$D$1,AZ429&gt;0,AX429/AW429&gt;=3),"Very serious",AND(AY429&lt;=$D$1*-1,BA429&gt;0,AZ429&gt;$D$2*-1,AX429/AW429&lt;3),"Serious", AND(AY429&lt;=$D$1*-1,BA429&gt;0,AZ429&lt;$D$2*-1,AX429/AW429&lt;3),"Very serious", AND(AY429&gt;=$D$1,AZ429&lt;0,BA429&lt;$D$2,AX429/AW429&lt;3),"Serious",AND(AY429&gt;=$D$1,AZ429&lt;0,BA429&gt;$D$2,AX429/AW429&lt;3),"Very serious", AND(AY429&lt;=$D$1*-1,BA429&gt;0,AZ429&gt;$D$2*-1,AX429/AW429&gt;=3),"Very serious", AND(AY429&lt;=$D$1*-1,BA429&gt;0,AZ429&lt;$D$2*-1,AX429/AW429&gt;=3),"Very serious", AND(AY429&gt;=$D$1,AZ429&lt;0,BA429&lt;$D$2,AX429/AW429&gt;=3),"Very serious", AND(AY429&gt;=$D$1,AZ429&lt;0,BA429&gt;$D$2,AX429/AW429&gt;=3),"Very serious", AND(AY429&gt;$D$1*-1,AY429&lt;$D$1,AZ429&gt;$D$1*-1,BA429&lt;$D$1,AX429/AW429&lt;3),"Not Serious", AND(AY429&gt;$D$1*-1,AY429&lt;$D$1,OR(AZ429&lt;=$D$1*-1,BA429&gt;=$D$1),AZ429&gt;$D$2*-1,BA429&lt;$D$2,AX429/AW429&lt;3),"Serious", AND(AY429&gt;$D$1*-1,AY429&lt;$D$1,OR(AZ429&lt;=$D$2*-1,BA429&gt;=$D$2),AX429/AW429&lt;3),"Very serious", AND(AY429&gt;$D$1*-1,AY429&lt;$D$1,AZ429&gt;$D$1*-1,BA429&lt;$D$1,AX429/AW429&gt;=3),"Very serious", AND(AY429&gt;$D$1*-1,AY429&lt;$D$1,OR(AZ429&lt;=$D$1*-1,BA429&gt;=$D$1),AZ429&gt;$D$2*-1,BA429&lt;$D$2,AX429/AW429&gt;=3),"Very serious", AND(AY429&gt;$D$1*-1,AY429&lt;$D$1,OR(AZ429&lt;=$D$2*-1,BA429&gt;=$D$2),AX429/AW429&gt;=3),"Very serious"),""))</f>
        <v/>
      </c>
      <c r="BF429" s="107" t="str">
        <f t="shared" si="11"/>
        <v/>
      </c>
      <c r="BG429" s="94" t="str">
        <f t="shared" si="46"/>
        <v/>
      </c>
      <c r="BH429" s="64" t="str">
        <f t="shared" si="12"/>
        <v>#N/A</v>
      </c>
      <c r="BI429" s="64" t="str">
        <f t="shared" si="13"/>
        <v/>
      </c>
      <c r="BJ429" s="123" t="str">
        <f t="shared" si="14"/>
        <v>#N/A</v>
      </c>
      <c r="BK429" s="64" t="str">
        <f t="shared" si="50"/>
        <v>YES</v>
      </c>
      <c r="BL429" s="64" t="str">
        <f t="shared" si="16"/>
        <v>YES</v>
      </c>
      <c r="BM429" s="64" t="str">
        <f t="shared" si="17"/>
        <v>YES</v>
      </c>
      <c r="BN429" s="124" t="str">
        <f t="shared" si="18"/>
        <v/>
      </c>
      <c r="BO429" s="91" t="str">
        <f t="shared" si="19"/>
        <v/>
      </c>
      <c r="BP429" s="91" t="str">
        <f t="shared" si="20"/>
        <v>#N/A</v>
      </c>
      <c r="BQ429" s="91" t="str">
        <f t="shared" si="21"/>
        <v/>
      </c>
      <c r="BR429" s="93" t="str">
        <f t="shared" si="22"/>
        <v/>
      </c>
      <c r="BS429" s="90" t="str">
        <f t="shared" si="23"/>
        <v/>
      </c>
      <c r="BT429" s="93" t="str">
        <f t="shared" si="24"/>
        <v>NA</v>
      </c>
      <c r="BU429" s="125" t="str">
        <f t="shared" si="25"/>
        <v>#N/A</v>
      </c>
      <c r="BV429" s="93" t="str">
        <f t="shared" si="26"/>
        <v/>
      </c>
      <c r="BW429" s="93" t="str">
        <f t="shared" si="27"/>
        <v/>
      </c>
      <c r="BX429" s="93" t="str">
        <f t="shared" si="28"/>
        <v>NA</v>
      </c>
      <c r="BY429" s="95" t="str">
        <f t="shared" si="29"/>
        <v>#N/A</v>
      </c>
      <c r="BZ429" s="93" t="str">
        <f t="shared" si="30"/>
        <v/>
      </c>
      <c r="CA429" s="93" t="str">
        <f t="shared" si="31"/>
        <v/>
      </c>
      <c r="CB429" s="93" t="str">
        <f t="shared" si="32"/>
        <v>NA</v>
      </c>
      <c r="CC429" s="96" t="str">
        <f t="shared" si="33"/>
        <v>#N/A</v>
      </c>
      <c r="CD429" s="93" t="str">
        <f t="shared" si="34"/>
        <v/>
      </c>
      <c r="CE429" s="93" t="str">
        <f t="shared" si="35"/>
        <v/>
      </c>
      <c r="CF429" s="93" t="str">
        <f t="shared" si="36"/>
        <v>NA</v>
      </c>
      <c r="CG429" s="97" t="str">
        <f t="shared" si="37"/>
        <v>#N/A</v>
      </c>
      <c r="CH429" s="98" t="str">
        <f t="shared" si="38"/>
        <v>#N/A</v>
      </c>
      <c r="CI429" s="99" t="str">
        <f t="shared" si="39"/>
        <v>#N/A</v>
      </c>
      <c r="CJ429" s="126" t="str">
        <f t="shared" si="40"/>
        <v>ERROR: check cell</v>
      </c>
      <c r="CK429" s="126"/>
      <c r="CL429" s="127" t="str">
        <f t="shared" si="41"/>
        <v>#DIV/0!</v>
      </c>
      <c r="CM429" s="128" t="str">
        <f t="shared" si="42"/>
        <v>#DIV/0!</v>
      </c>
      <c r="CN429" s="128">
        <f t="shared" si="43"/>
        <v>4</v>
      </c>
      <c r="CO429" s="129">
        <f t="shared" si="44"/>
        <v>4</v>
      </c>
      <c r="CP429" s="129" t="str">
        <f>IFS(C429=Preferences!B$13,B429,B429=Preferences!B$13,C429)</f>
        <v>#N/A</v>
      </c>
    </row>
    <row r="430" ht="13.5" customHeight="1">
      <c r="A430" s="63" t="str">
        <f t="shared" si="45"/>
        <v/>
      </c>
      <c r="B430" s="64"/>
      <c r="C430" s="64"/>
      <c r="D430" s="64"/>
      <c r="E430" s="65"/>
      <c r="F430" s="65"/>
      <c r="G430" s="65"/>
      <c r="H430" s="66"/>
      <c r="I430" s="66"/>
      <c r="J430" s="67"/>
      <c r="K430" s="68"/>
      <c r="L430" s="104"/>
      <c r="M430" s="104"/>
      <c r="N430" s="104"/>
      <c r="O430" s="104"/>
      <c r="P430" s="107" t="str">
        <f t="shared" si="1"/>
        <v/>
      </c>
      <c r="Q430" s="108" t="str">
        <f>IFERROR(IF(AND(Preferences!B$3="Manual",OR(AX430/AW430&gt;G430/F430,BD430="Serious",BD430="Very serious")),"Assess imprecision",IFS(ISBLANK(E430),"",AND(Preferences!B$3="Automatic", G430/F430&gt;=30),"Extremely serious",AND(H430&lt;=$D$1*-1,J430&lt;0,G430/F430&lt;3),"Not serious",AND(H430&lt;=$D$1*-1,J430&lt;0,G430/F430&gt;=3),"Very serious",AND(H430&gt;=$D$1,I430&gt;0,G430/F430&lt;3),"Not serious",AND(H430&gt;=$D$1,I430&gt;0,G430/F430&gt;=3),"Very serious",AND(H430&lt;=$D$1*-1,J430&gt;0,I430&gt;$D$2*-1,G430/F430&lt;3),"Serious", AND(H430&lt;=$D$1*-1,J430&gt;0,I430&lt;$D$2*-1,G430/F430&lt;3),"Very serious", AND(H430&gt;=$D$1,I430&lt;0,J430&lt;$D$2,G430/F430&lt;3),"Serious",AND(H430&gt;=$D$1,I430&lt;0,J430&gt;$D$2,G430/F430&lt;3),"Very serious", AND(H430&lt;=$D$1*-1,J430&gt;0,I430&gt;$D$2*-1,G430/F430&gt;=3),"Very serious", AND(H430&lt;=$D$1*-1,J430&gt;0,I430&lt;$D$2*-1,G430/F430&gt;=3),"Very serious", AND(H430&gt;=$D$1,I430&lt;0,J430&lt;$D$2,G430/F430&gt;=3),"Very serious", AND(H430&gt;=$D$1,I430&lt;0,J430&gt;$D$2,G430/F430&gt;=3),"Very serious", AND(H430&gt;$D$1*-1,H430&lt;$D$1,I430&gt;$D$1*-1,J430&lt;$D$1,G430/F430&lt;3),"Not serious", AND(H430&gt;$D$1*-1,H430&lt;$D$1,OR(I430&lt;=$D$1*-1,J430&gt;=$D$1),I430&gt;$D$2*-1,J430&lt;$D$2,G430/F430&lt;3),"Serious", AND(H430&gt;$D$1*-1,H430&lt;$D$1,OR(I430&lt;=$D$2*-1,J430&gt;=$D$2),G430/F430&lt;3),"Very serious", AND(H430&gt;$D$1*-1,H430&lt;$D$1,I430&gt;$D$1*-1,J430&lt;$D$1,G430/F430&gt;=3),"Very serious", AND(H430&gt;$D$1*-1,H430&lt;$D$1,OR(I430&lt;=$D$1*-1,J430&gt;=$D$1),I430&gt;$D$2*-1,J430&lt;$D$2,G430/F430&gt;=3),"Very serious", AND(H430&gt;$D$1*-1,H430&lt;$D$1,OR(I430&lt;=$D$2*-1,J430&gt;=$D$2),G430/F430&gt;=3),"Very serious")),"")</f>
        <v/>
      </c>
      <c r="R430" s="109" t="str">
        <f t="shared" si="47"/>
        <v/>
      </c>
      <c r="S430" s="64"/>
      <c r="T430" s="72"/>
      <c r="U430" s="72"/>
      <c r="V430" s="72"/>
      <c r="W430" s="73"/>
      <c r="X430" s="73"/>
      <c r="Y430" s="74"/>
      <c r="Z430" s="113" t="str">
        <f t="array" ref="Z430">INDEX($A$1:$C$500, MATCH(1,($B:$B=$B430)*($C:$C=$AB430),0),1)</f>
        <v/>
      </c>
      <c r="AA430" s="113" t="str">
        <f t="array" ref="AA430">INDEX($A$1:$C$500, MATCH(1,($B:$B=$AB430)*($C:$C=$B430),0),1)</f>
        <v/>
      </c>
      <c r="AB430" s="111"/>
      <c r="AC430" s="114" t="str">
        <f t="shared" si="2"/>
        <v/>
      </c>
      <c r="AD430" s="115" t="str">
        <f t="shared" si="3"/>
        <v/>
      </c>
      <c r="AE430" s="116" t="str">
        <f t="array" ref="AE430">INDEX($A$1:$C$500, MATCH(1,($B:$B=$AB430)*($C:$C=$AG430),0),1)</f>
        <v/>
      </c>
      <c r="AF430" s="116" t="str">
        <f t="array" ref="AF430">INDEX($A$1:$C$500, MATCH(1,($B:$B=$AG430)*($C:$C=$AB430),0),1)</f>
        <v/>
      </c>
      <c r="AG430" s="72"/>
      <c r="AH430" s="114" t="str">
        <f t="shared" si="4"/>
        <v/>
      </c>
      <c r="AI430" s="115" t="str">
        <f t="shared" si="5"/>
        <v/>
      </c>
      <c r="AJ430" s="116" t="str">
        <f t="array" ref="AJ430">INDEX($A$1:$C$500, MATCH(1,($B:$B=$C430)*($C:$C=$AG430),0),1)</f>
        <v/>
      </c>
      <c r="AK430" s="116" t="str">
        <f t="array" ref="AK430">INDEX($A$1:$C$500, MATCH(1,($B:$B=$AG430)*($C:$C=$C430),0),1)</f>
        <v/>
      </c>
      <c r="AL430" s="116" t="str">
        <f t="array" ref="AL430">INDEX($A$1:$C$500, MATCH(1,($B:$B=$C430)*($C:$C=$AB430),0),1)</f>
        <v/>
      </c>
      <c r="AM430" s="116" t="str">
        <f t="array" ref="AM430">INDEX($A$1:$C$500, MATCH(1,($B:$B=$AB430)*($C:$C=$C430),0),1)</f>
        <v/>
      </c>
      <c r="AN430" s="114" t="str">
        <f t="array" ref="AN430">IFS(ISNUMBER(AJ430),AJ430,ISNUMBER(AK430),AK430,ISNUMBER(AL430),AL430,ISNUMBER(AM430),AM430)</f>
        <v>#N/A</v>
      </c>
      <c r="AO430" s="115" t="str">
        <f t="shared" si="6"/>
        <v/>
      </c>
      <c r="AP430" s="115" t="str">
        <f t="shared" si="7"/>
        <v/>
      </c>
      <c r="AQ430" s="111"/>
      <c r="AR430" s="109" t="str">
        <f t="shared" si="8"/>
        <v/>
      </c>
      <c r="AS430" s="72" t="str">
        <f>IFERROR(IF(AND(Preferences!B$3="Manual",OR(AX430/AW430&gt;V430/U430,BD430="Serious",BD430="Very serious")),"Assess imprecision",IFERROR(IFS(AND(Preferences!B$3="Automatic",V430/U430&gt;=30),"Extremely serious",AND(W430&lt;=$D$1*-1,Y430&lt;0,V430/U430&lt;3),"Not Serious",AND(W430&lt;=$D$1*-1,Y430&lt;0,V430/U430&gt;=3),"Very serious",AND(W430&gt;=$D$1,X430&gt;0,V430/U430&lt;3),"Not Serious",AND(W430&gt;=$D$1,X430&gt;0,V430/U430&gt;=3),"Very serious",AND(W430&lt;=$D$1*-1,Y430&gt;0,X430&gt;$D$2*-1,V430/U430&lt;3),"Serious", AND(W430&lt;=$D$1*-1,Y430&gt;0,X430&lt;$D$2*-1,V430/U430&lt;3),"Very serious", AND(W430&gt;=$D$1,X430&lt;0,Y430&lt;$D$2,V430/U430&lt;3),"Serious",AND(W430&gt;=$D$1,X430&lt;0,Y430&gt;$D$2,V430/U430&lt;3),"Very serious", AND(W430&lt;=$D$1*-1,Y430&gt;0,X430&gt;$D$2*-1,V430/U430&gt;=3),"Very serious", AND(W430&lt;=$D$1*-1,Y430&gt;0,X430&lt;$D$2*-1,V430/U430&gt;=3),"Very serious", AND(W430&gt;=$D$1,X430&lt;0,Y430&lt;$D$2,V430/U430&gt;=3),"Very serious", AND(W430&gt;=$D$1,X430&lt;0,Y430&gt;$D$2,V430/U430&gt;=3),"Very serious", AND(W430&gt;$D$1*-1,W430&lt;$D$1,X430&gt;$D$1*-1,Y430&lt;$D$1,V430/U430&lt;3),"Not Serious", AND(W430&gt;$D$1*-1,W430&lt;$D$1,OR(X430&lt;=$D$1*-1,Y430&gt;=$D$1),X430&gt;$D$2*-1,Y430&lt;$D$2,V430/U430&lt;3),"Serious", AND(W430&gt;$D$1*-1,W430&lt;$D$1,OR(X430&lt;=$D$2*-1,Y430&gt;=$D$2),V430/U430&lt;3),"Very serious", AND(W430&gt;$D$1*-1,W430&lt;$D$1,X430&gt;$D$1*-1,Y430&lt;$D$1,V430/U430&gt;=3),"Very serious", AND(W430&gt;$D$1*-1,W430&lt;$D$1,OR(X430&lt;=$D$1*-1,Y430&gt;=$D$1),X430&gt;$D$2*-1,Y430&lt;$D$2,V430/U430&gt;=3),"Very serious", AND(W430&gt;$D$1*-1,W430&lt;$D$1,OR(X430&lt;=$D$2*-1,Y430&gt;=$D$2),V430/U430&gt;=3),"Very serious"),"")),"")</f>
        <v/>
      </c>
      <c r="AT430" s="109" t="str">
        <f t="shared" si="9"/>
        <v/>
      </c>
      <c r="AU430" s="64"/>
      <c r="AV430" s="83"/>
      <c r="AW430" s="83"/>
      <c r="AX430" s="83"/>
      <c r="AY430" s="83"/>
      <c r="AZ430" s="83"/>
      <c r="BA430" s="85"/>
      <c r="BB430" s="86" t="str">
        <f>IF(Preferences!B$9="Manual","",IFS(ISBLANK(B430),"",AND(ISNUMBER(E430)=TRUE,ISNUMBER(T430)=FALSE),"Direct", AND(ISNUMBER(E430)=FALSE,ISNUMBER(T430)=TRUE),"Indirect", CN430=4,"Direct",AND(CL430=FALSE, CM430=TRUE,CN430-CO430&gt;-1),"Direct", AND(CL430=FALSE,CM430=TRUE, CN430-CO430&lt;0),"Check algorithm in appendix 2", AND(CL430=TRUE, CM430=FALSE,CN430-CO430&gt;0),"Check algorithm in appendix 2", AND(CL430=TRUE, CM430=FALSE,CN430-CO430=0),"Indirect", AND(CL430=TRUE, CM430=FALSE,CN430-CO430&lt;0),"Indirect", AND(CL430=FALSE,CM430=FALSE,CN430-CO430&gt;-1),"Direct", AND(CL430=FALSE,CM430=FALSE,CN430-CO430&lt;0),"Check algorithm in appendix 2", AND(CL430=TRUE,CM430=TRUE,CN430-CO430&gt;-1),"Direct", AND(CL430=TRUE,CM430=TRUE,CN430-CO430&lt;0),"Check algorithm in appendix 2"))</f>
        <v/>
      </c>
      <c r="BC430" s="120" t="str">
        <f t="shared" si="10"/>
        <v/>
      </c>
      <c r="BD430" s="140"/>
      <c r="BE430" s="122" t="str">
        <f>IF(Preferences!B$3="Manual","", IFERROR(IFS(AND(Preferences!B$3="Automatic",AX430/AW430&gt;=30),"Extremely serious",AND(AY430&lt;=$D$1*-1,BA430&lt;0,AX430/AW430&lt;3),"Not Serious",AND(AY430&lt;=$D$1*-1,BA430&lt;0,AX430/AW430&gt;=3),"Very serious",AND(AY430&gt;=$D$1,AZ430&gt;0,AX430/AW430&lt;3),"Not Serious",AND(AY430&gt;=$D$1,AZ430&gt;0,AX430/AW430&gt;=3),"Very serious",AND(AY430&lt;=$D$1*-1,BA430&gt;0,AZ430&gt;$D$2*-1,AX430/AW430&lt;3),"Serious", AND(AY430&lt;=$D$1*-1,BA430&gt;0,AZ430&lt;$D$2*-1,AX430/AW430&lt;3),"Very serious", AND(AY430&gt;=$D$1,AZ430&lt;0,BA430&lt;$D$2,AX430/AW430&lt;3),"Serious",AND(AY430&gt;=$D$1,AZ430&lt;0,BA430&gt;$D$2,AX430/AW430&lt;3),"Very serious", AND(AY430&lt;=$D$1*-1,BA430&gt;0,AZ430&gt;$D$2*-1,AX430/AW430&gt;=3),"Very serious", AND(AY430&lt;=$D$1*-1,BA430&gt;0,AZ430&lt;$D$2*-1,AX430/AW430&gt;=3),"Very serious", AND(AY430&gt;=$D$1,AZ430&lt;0,BA430&lt;$D$2,AX430/AW430&gt;=3),"Very serious", AND(AY430&gt;=$D$1,AZ430&lt;0,BA430&gt;$D$2,AX430/AW430&gt;=3),"Very serious", AND(AY430&gt;$D$1*-1,AY430&lt;$D$1,AZ430&gt;$D$1*-1,BA430&lt;$D$1,AX430/AW430&lt;3),"Not Serious", AND(AY430&gt;$D$1*-1,AY430&lt;$D$1,OR(AZ430&lt;=$D$1*-1,BA430&gt;=$D$1),AZ430&gt;$D$2*-1,BA430&lt;$D$2,AX430/AW430&lt;3),"Serious", AND(AY430&gt;$D$1*-1,AY430&lt;$D$1,OR(AZ430&lt;=$D$2*-1,BA430&gt;=$D$2),AX430/AW430&lt;3),"Very serious", AND(AY430&gt;$D$1*-1,AY430&lt;$D$1,AZ430&gt;$D$1*-1,BA430&lt;$D$1,AX430/AW430&gt;=3),"Very serious", AND(AY430&gt;$D$1*-1,AY430&lt;$D$1,OR(AZ430&lt;=$D$1*-1,BA430&gt;=$D$1),AZ430&gt;$D$2*-1,BA430&lt;$D$2,AX430/AW430&gt;=3),"Very serious", AND(AY430&gt;$D$1*-1,AY430&lt;$D$1,OR(AZ430&lt;=$D$2*-1,BA430&gt;=$D$2),AX430/AW430&gt;=3),"Very serious"),""))</f>
        <v/>
      </c>
      <c r="BF430" s="107" t="str">
        <f t="shared" si="11"/>
        <v/>
      </c>
      <c r="BG430" s="94" t="str">
        <f t="shared" si="46"/>
        <v/>
      </c>
      <c r="BH430" s="64" t="str">
        <f t="shared" si="12"/>
        <v>#N/A</v>
      </c>
      <c r="BI430" s="64" t="str">
        <f t="shared" si="13"/>
        <v/>
      </c>
      <c r="BJ430" s="123" t="str">
        <f t="shared" si="14"/>
        <v>#N/A</v>
      </c>
      <c r="BK430" s="64" t="str">
        <f t="shared" si="50"/>
        <v>YES</v>
      </c>
      <c r="BL430" s="64" t="str">
        <f t="shared" si="16"/>
        <v>YES</v>
      </c>
      <c r="BM430" s="64" t="str">
        <f t="shared" si="17"/>
        <v>YES</v>
      </c>
      <c r="BN430" s="124" t="str">
        <f t="shared" si="18"/>
        <v/>
      </c>
      <c r="BO430" s="91" t="str">
        <f t="shared" si="19"/>
        <v/>
      </c>
      <c r="BP430" s="91" t="str">
        <f t="shared" si="20"/>
        <v>#N/A</v>
      </c>
      <c r="BQ430" s="91" t="str">
        <f t="shared" si="21"/>
        <v/>
      </c>
      <c r="BR430" s="93" t="str">
        <f t="shared" si="22"/>
        <v/>
      </c>
      <c r="BS430" s="90" t="str">
        <f t="shared" si="23"/>
        <v/>
      </c>
      <c r="BT430" s="93" t="str">
        <f t="shared" si="24"/>
        <v>NA</v>
      </c>
      <c r="BU430" s="125" t="str">
        <f t="shared" si="25"/>
        <v>#N/A</v>
      </c>
      <c r="BV430" s="93" t="str">
        <f t="shared" si="26"/>
        <v/>
      </c>
      <c r="BW430" s="93" t="str">
        <f t="shared" si="27"/>
        <v/>
      </c>
      <c r="BX430" s="93" t="str">
        <f t="shared" si="28"/>
        <v>NA</v>
      </c>
      <c r="BY430" s="95" t="str">
        <f t="shared" si="29"/>
        <v>#N/A</v>
      </c>
      <c r="BZ430" s="93" t="str">
        <f t="shared" si="30"/>
        <v/>
      </c>
      <c r="CA430" s="93" t="str">
        <f t="shared" si="31"/>
        <v/>
      </c>
      <c r="CB430" s="93" t="str">
        <f t="shared" si="32"/>
        <v>NA</v>
      </c>
      <c r="CC430" s="96" t="str">
        <f t="shared" si="33"/>
        <v>#N/A</v>
      </c>
      <c r="CD430" s="93" t="str">
        <f t="shared" si="34"/>
        <v/>
      </c>
      <c r="CE430" s="93" t="str">
        <f t="shared" si="35"/>
        <v/>
      </c>
      <c r="CF430" s="93" t="str">
        <f t="shared" si="36"/>
        <v>NA</v>
      </c>
      <c r="CG430" s="97" t="str">
        <f t="shared" si="37"/>
        <v>#N/A</v>
      </c>
      <c r="CH430" s="98" t="str">
        <f t="shared" si="38"/>
        <v>#N/A</v>
      </c>
      <c r="CI430" s="99" t="str">
        <f t="shared" si="39"/>
        <v>#N/A</v>
      </c>
      <c r="CJ430" s="126" t="str">
        <f t="shared" si="40"/>
        <v>ERROR: check cell</v>
      </c>
      <c r="CK430" s="126"/>
      <c r="CL430" s="127" t="str">
        <f t="shared" si="41"/>
        <v>#DIV/0!</v>
      </c>
      <c r="CM430" s="128" t="str">
        <f t="shared" si="42"/>
        <v>#DIV/0!</v>
      </c>
      <c r="CN430" s="128">
        <f t="shared" si="43"/>
        <v>4</v>
      </c>
      <c r="CO430" s="129">
        <f t="shared" si="44"/>
        <v>4</v>
      </c>
      <c r="CP430" s="129" t="str">
        <f>IFS(C430=Preferences!B$13,B430,B430=Preferences!B$13,C430)</f>
        <v>#N/A</v>
      </c>
    </row>
    <row r="431" ht="13.5" customHeight="1">
      <c r="A431" s="63" t="str">
        <f t="shared" si="45"/>
        <v/>
      </c>
      <c r="B431" s="64"/>
      <c r="C431" s="64"/>
      <c r="D431" s="64"/>
      <c r="E431" s="65"/>
      <c r="F431" s="65"/>
      <c r="G431" s="65"/>
      <c r="H431" s="66"/>
      <c r="I431" s="66"/>
      <c r="J431" s="67"/>
      <c r="K431" s="68"/>
      <c r="L431" s="104"/>
      <c r="M431" s="104"/>
      <c r="N431" s="104"/>
      <c r="O431" s="104"/>
      <c r="P431" s="107" t="str">
        <f t="shared" si="1"/>
        <v/>
      </c>
      <c r="Q431" s="108" t="str">
        <f>IFERROR(IF(AND(Preferences!B$3="Manual",OR(AX431/AW431&gt;G431/F431,BD431="Serious",BD431="Very serious")),"Assess imprecision",IFS(ISBLANK(E431),"",AND(Preferences!B$3="Automatic", G431/F431&gt;=30),"Extremely serious",AND(H431&lt;=$D$1*-1,J431&lt;0,G431/F431&lt;3),"Not serious",AND(H431&lt;=$D$1*-1,J431&lt;0,G431/F431&gt;=3),"Very serious",AND(H431&gt;=$D$1,I431&gt;0,G431/F431&lt;3),"Not serious",AND(H431&gt;=$D$1,I431&gt;0,G431/F431&gt;=3),"Very serious",AND(H431&lt;=$D$1*-1,J431&gt;0,I431&gt;$D$2*-1,G431/F431&lt;3),"Serious", AND(H431&lt;=$D$1*-1,J431&gt;0,I431&lt;$D$2*-1,G431/F431&lt;3),"Very serious", AND(H431&gt;=$D$1,I431&lt;0,J431&lt;$D$2,G431/F431&lt;3),"Serious",AND(H431&gt;=$D$1,I431&lt;0,J431&gt;$D$2,G431/F431&lt;3),"Very serious", AND(H431&lt;=$D$1*-1,J431&gt;0,I431&gt;$D$2*-1,G431/F431&gt;=3),"Very serious", AND(H431&lt;=$D$1*-1,J431&gt;0,I431&lt;$D$2*-1,G431/F431&gt;=3),"Very serious", AND(H431&gt;=$D$1,I431&lt;0,J431&lt;$D$2,G431/F431&gt;=3),"Very serious", AND(H431&gt;=$D$1,I431&lt;0,J431&gt;$D$2,G431/F431&gt;=3),"Very serious", AND(H431&gt;$D$1*-1,H431&lt;$D$1,I431&gt;$D$1*-1,J431&lt;$D$1,G431/F431&lt;3),"Not serious", AND(H431&gt;$D$1*-1,H431&lt;$D$1,OR(I431&lt;=$D$1*-1,J431&gt;=$D$1),I431&gt;$D$2*-1,J431&lt;$D$2,G431/F431&lt;3),"Serious", AND(H431&gt;$D$1*-1,H431&lt;$D$1,OR(I431&lt;=$D$2*-1,J431&gt;=$D$2),G431/F431&lt;3),"Very serious", AND(H431&gt;$D$1*-1,H431&lt;$D$1,I431&gt;$D$1*-1,J431&lt;$D$1,G431/F431&gt;=3),"Very serious", AND(H431&gt;$D$1*-1,H431&lt;$D$1,OR(I431&lt;=$D$1*-1,J431&gt;=$D$1),I431&gt;$D$2*-1,J431&lt;$D$2,G431/F431&gt;=3),"Very serious", AND(H431&gt;$D$1*-1,H431&lt;$D$1,OR(I431&lt;=$D$2*-1,J431&gt;=$D$2),G431/F431&gt;=3),"Very serious")),"")</f>
        <v/>
      </c>
      <c r="R431" s="109" t="str">
        <f t="shared" si="47"/>
        <v/>
      </c>
      <c r="S431" s="64"/>
      <c r="T431" s="72"/>
      <c r="U431" s="72"/>
      <c r="V431" s="72"/>
      <c r="W431" s="73"/>
      <c r="X431" s="73"/>
      <c r="Y431" s="74"/>
      <c r="Z431" s="113" t="str">
        <f t="array" ref="Z431">INDEX($A$1:$C$500, MATCH(1,($B:$B=$B431)*($C:$C=$AB431),0),1)</f>
        <v/>
      </c>
      <c r="AA431" s="113" t="str">
        <f t="array" ref="AA431">INDEX($A$1:$C$500, MATCH(1,($B:$B=$AB431)*($C:$C=$B431),0),1)</f>
        <v/>
      </c>
      <c r="AB431" s="111"/>
      <c r="AC431" s="114" t="str">
        <f t="shared" si="2"/>
        <v/>
      </c>
      <c r="AD431" s="115" t="str">
        <f t="shared" si="3"/>
        <v/>
      </c>
      <c r="AE431" s="116" t="str">
        <f t="array" ref="AE431">INDEX($A$1:$C$500, MATCH(1,($B:$B=$AB431)*($C:$C=$AG431),0),1)</f>
        <v/>
      </c>
      <c r="AF431" s="116" t="str">
        <f t="array" ref="AF431">INDEX($A$1:$C$500, MATCH(1,($B:$B=$AG431)*($C:$C=$AB431),0),1)</f>
        <v/>
      </c>
      <c r="AG431" s="72"/>
      <c r="AH431" s="114" t="str">
        <f t="shared" si="4"/>
        <v/>
      </c>
      <c r="AI431" s="115" t="str">
        <f t="shared" si="5"/>
        <v/>
      </c>
      <c r="AJ431" s="116" t="str">
        <f t="array" ref="AJ431">INDEX($A$1:$C$500, MATCH(1,($B:$B=$C431)*($C:$C=$AG431),0),1)</f>
        <v/>
      </c>
      <c r="AK431" s="116" t="str">
        <f t="array" ref="AK431">INDEX($A$1:$C$500, MATCH(1,($B:$B=$AG431)*($C:$C=$C431),0),1)</f>
        <v/>
      </c>
      <c r="AL431" s="116" t="str">
        <f t="array" ref="AL431">INDEX($A$1:$C$500, MATCH(1,($B:$B=$C431)*($C:$C=$AB431),0),1)</f>
        <v/>
      </c>
      <c r="AM431" s="116" t="str">
        <f t="array" ref="AM431">INDEX($A$1:$C$500, MATCH(1,($B:$B=$AB431)*($C:$C=$C431),0),1)</f>
        <v/>
      </c>
      <c r="AN431" s="114" t="str">
        <f t="array" ref="AN431">IFS(ISNUMBER(AJ431),AJ431,ISNUMBER(AK431),AK431,ISNUMBER(AL431),AL431,ISNUMBER(AM431),AM431)</f>
        <v>#N/A</v>
      </c>
      <c r="AO431" s="115" t="str">
        <f t="shared" si="6"/>
        <v/>
      </c>
      <c r="AP431" s="115" t="str">
        <f t="shared" si="7"/>
        <v/>
      </c>
      <c r="AQ431" s="111"/>
      <c r="AR431" s="109" t="str">
        <f t="shared" si="8"/>
        <v/>
      </c>
      <c r="AS431" s="72" t="str">
        <f>IFERROR(IF(AND(Preferences!B$3="Manual",OR(AX431/AW431&gt;V431/U431,BD431="Serious",BD431="Very serious")),"Assess imprecision",IFERROR(IFS(AND(Preferences!B$3="Automatic",V431/U431&gt;=30),"Extremely serious",AND(W431&lt;=$D$1*-1,Y431&lt;0,V431/U431&lt;3),"Not Serious",AND(W431&lt;=$D$1*-1,Y431&lt;0,V431/U431&gt;=3),"Very serious",AND(W431&gt;=$D$1,X431&gt;0,V431/U431&lt;3),"Not Serious",AND(W431&gt;=$D$1,X431&gt;0,V431/U431&gt;=3),"Very serious",AND(W431&lt;=$D$1*-1,Y431&gt;0,X431&gt;$D$2*-1,V431/U431&lt;3),"Serious", AND(W431&lt;=$D$1*-1,Y431&gt;0,X431&lt;$D$2*-1,V431/U431&lt;3),"Very serious", AND(W431&gt;=$D$1,X431&lt;0,Y431&lt;$D$2,V431/U431&lt;3),"Serious",AND(W431&gt;=$D$1,X431&lt;0,Y431&gt;$D$2,V431/U431&lt;3),"Very serious", AND(W431&lt;=$D$1*-1,Y431&gt;0,X431&gt;$D$2*-1,V431/U431&gt;=3),"Very serious", AND(W431&lt;=$D$1*-1,Y431&gt;0,X431&lt;$D$2*-1,V431/U431&gt;=3),"Very serious", AND(W431&gt;=$D$1,X431&lt;0,Y431&lt;$D$2,V431/U431&gt;=3),"Very serious", AND(W431&gt;=$D$1,X431&lt;0,Y431&gt;$D$2,V431/U431&gt;=3),"Very serious", AND(W431&gt;$D$1*-1,W431&lt;$D$1,X431&gt;$D$1*-1,Y431&lt;$D$1,V431/U431&lt;3),"Not Serious", AND(W431&gt;$D$1*-1,W431&lt;$D$1,OR(X431&lt;=$D$1*-1,Y431&gt;=$D$1),X431&gt;$D$2*-1,Y431&lt;$D$2,V431/U431&lt;3),"Serious", AND(W431&gt;$D$1*-1,W431&lt;$D$1,OR(X431&lt;=$D$2*-1,Y431&gt;=$D$2),V431/U431&lt;3),"Very serious", AND(W431&gt;$D$1*-1,W431&lt;$D$1,X431&gt;$D$1*-1,Y431&lt;$D$1,V431/U431&gt;=3),"Very serious", AND(W431&gt;$D$1*-1,W431&lt;$D$1,OR(X431&lt;=$D$1*-1,Y431&gt;=$D$1),X431&gt;$D$2*-1,Y431&lt;$D$2,V431/U431&gt;=3),"Very serious", AND(W431&gt;$D$1*-1,W431&lt;$D$1,OR(X431&lt;=$D$2*-1,Y431&gt;=$D$2),V431/U431&gt;=3),"Very serious"),"")),"")</f>
        <v/>
      </c>
      <c r="AT431" s="109" t="str">
        <f t="shared" si="9"/>
        <v/>
      </c>
      <c r="AU431" s="64"/>
      <c r="AV431" s="83"/>
      <c r="AW431" s="83"/>
      <c r="AX431" s="83"/>
      <c r="AY431" s="83"/>
      <c r="AZ431" s="83"/>
      <c r="BA431" s="85"/>
      <c r="BB431" s="86" t="str">
        <f>IF(Preferences!B$9="Manual","",IFS(ISBLANK(B431),"",AND(ISNUMBER(E431)=TRUE,ISNUMBER(T431)=FALSE),"Direct", AND(ISNUMBER(E431)=FALSE,ISNUMBER(T431)=TRUE),"Indirect", CN431=4,"Direct",AND(CL431=FALSE, CM431=TRUE,CN431-CO431&gt;-1),"Direct", AND(CL431=FALSE,CM431=TRUE, CN431-CO431&lt;0),"Check algorithm in appendix 2", AND(CL431=TRUE, CM431=FALSE,CN431-CO431&gt;0),"Check algorithm in appendix 2", AND(CL431=TRUE, CM431=FALSE,CN431-CO431=0),"Indirect", AND(CL431=TRUE, CM431=FALSE,CN431-CO431&lt;0),"Indirect", AND(CL431=FALSE,CM431=FALSE,CN431-CO431&gt;-1),"Direct", AND(CL431=FALSE,CM431=FALSE,CN431-CO431&lt;0),"Check algorithm in appendix 2", AND(CL431=TRUE,CM431=TRUE,CN431-CO431&gt;-1),"Direct", AND(CL431=TRUE,CM431=TRUE,CN431-CO431&lt;0),"Check algorithm in appendix 2"))</f>
        <v/>
      </c>
      <c r="BC431" s="120" t="str">
        <f t="shared" si="10"/>
        <v/>
      </c>
      <c r="BD431" s="140"/>
      <c r="BE431" s="122" t="str">
        <f>IF(Preferences!B$3="Manual","", IFERROR(IFS(AND(Preferences!B$3="Automatic",AX431/AW431&gt;=30),"Extremely serious",AND(AY431&lt;=$D$1*-1,BA431&lt;0,AX431/AW431&lt;3),"Not Serious",AND(AY431&lt;=$D$1*-1,BA431&lt;0,AX431/AW431&gt;=3),"Very serious",AND(AY431&gt;=$D$1,AZ431&gt;0,AX431/AW431&lt;3),"Not Serious",AND(AY431&gt;=$D$1,AZ431&gt;0,AX431/AW431&gt;=3),"Very serious",AND(AY431&lt;=$D$1*-1,BA431&gt;0,AZ431&gt;$D$2*-1,AX431/AW431&lt;3),"Serious", AND(AY431&lt;=$D$1*-1,BA431&gt;0,AZ431&lt;$D$2*-1,AX431/AW431&lt;3),"Very serious", AND(AY431&gt;=$D$1,AZ431&lt;0,BA431&lt;$D$2,AX431/AW431&lt;3),"Serious",AND(AY431&gt;=$D$1,AZ431&lt;0,BA431&gt;$D$2,AX431/AW431&lt;3),"Very serious", AND(AY431&lt;=$D$1*-1,BA431&gt;0,AZ431&gt;$D$2*-1,AX431/AW431&gt;=3),"Very serious", AND(AY431&lt;=$D$1*-1,BA431&gt;0,AZ431&lt;$D$2*-1,AX431/AW431&gt;=3),"Very serious", AND(AY431&gt;=$D$1,AZ431&lt;0,BA431&lt;$D$2,AX431/AW431&gt;=3),"Very serious", AND(AY431&gt;=$D$1,AZ431&lt;0,BA431&gt;$D$2,AX431/AW431&gt;=3),"Very serious", AND(AY431&gt;$D$1*-1,AY431&lt;$D$1,AZ431&gt;$D$1*-1,BA431&lt;$D$1,AX431/AW431&lt;3),"Not Serious", AND(AY431&gt;$D$1*-1,AY431&lt;$D$1,OR(AZ431&lt;=$D$1*-1,BA431&gt;=$D$1),AZ431&gt;$D$2*-1,BA431&lt;$D$2,AX431/AW431&lt;3),"Serious", AND(AY431&gt;$D$1*-1,AY431&lt;$D$1,OR(AZ431&lt;=$D$2*-1,BA431&gt;=$D$2),AX431/AW431&lt;3),"Very serious", AND(AY431&gt;$D$1*-1,AY431&lt;$D$1,AZ431&gt;$D$1*-1,BA431&lt;$D$1,AX431/AW431&gt;=3),"Very serious", AND(AY431&gt;$D$1*-1,AY431&lt;$D$1,OR(AZ431&lt;=$D$1*-1,BA431&gt;=$D$1),AZ431&gt;$D$2*-1,BA431&lt;$D$2,AX431/AW431&gt;=3),"Very serious", AND(AY431&gt;$D$1*-1,AY431&lt;$D$1,OR(AZ431&lt;=$D$2*-1,BA431&gt;=$D$2),AX431/AW431&gt;=3),"Very serious"),""))</f>
        <v/>
      </c>
      <c r="BF431" s="107" t="str">
        <f t="shared" si="11"/>
        <v/>
      </c>
      <c r="BG431" s="94" t="str">
        <f t="shared" si="46"/>
        <v/>
      </c>
      <c r="BH431" s="64" t="str">
        <f t="shared" si="12"/>
        <v>#N/A</v>
      </c>
      <c r="BI431" s="64" t="str">
        <f t="shared" si="13"/>
        <v/>
      </c>
      <c r="BJ431" s="123" t="str">
        <f t="shared" si="14"/>
        <v>#N/A</v>
      </c>
      <c r="BK431" s="64" t="str">
        <f t="shared" si="50"/>
        <v>YES</v>
      </c>
      <c r="BL431" s="64" t="str">
        <f t="shared" si="16"/>
        <v>YES</v>
      </c>
      <c r="BM431" s="64" t="str">
        <f t="shared" si="17"/>
        <v>YES</v>
      </c>
      <c r="BN431" s="124" t="str">
        <f t="shared" si="18"/>
        <v/>
      </c>
      <c r="BO431" s="91" t="str">
        <f t="shared" si="19"/>
        <v/>
      </c>
      <c r="BP431" s="91" t="str">
        <f t="shared" si="20"/>
        <v>#N/A</v>
      </c>
      <c r="BQ431" s="91" t="str">
        <f t="shared" si="21"/>
        <v/>
      </c>
      <c r="BR431" s="93" t="str">
        <f t="shared" si="22"/>
        <v/>
      </c>
      <c r="BS431" s="90" t="str">
        <f t="shared" si="23"/>
        <v/>
      </c>
      <c r="BT431" s="93" t="str">
        <f t="shared" si="24"/>
        <v>NA</v>
      </c>
      <c r="BU431" s="125" t="str">
        <f t="shared" si="25"/>
        <v>#N/A</v>
      </c>
      <c r="BV431" s="93" t="str">
        <f t="shared" si="26"/>
        <v/>
      </c>
      <c r="BW431" s="93" t="str">
        <f t="shared" si="27"/>
        <v/>
      </c>
      <c r="BX431" s="93" t="str">
        <f t="shared" si="28"/>
        <v>NA</v>
      </c>
      <c r="BY431" s="95" t="str">
        <f t="shared" si="29"/>
        <v>#N/A</v>
      </c>
      <c r="BZ431" s="93" t="str">
        <f t="shared" si="30"/>
        <v/>
      </c>
      <c r="CA431" s="93" t="str">
        <f t="shared" si="31"/>
        <v/>
      </c>
      <c r="CB431" s="93" t="str">
        <f t="shared" si="32"/>
        <v>NA</v>
      </c>
      <c r="CC431" s="96" t="str">
        <f t="shared" si="33"/>
        <v>#N/A</v>
      </c>
      <c r="CD431" s="93" t="str">
        <f t="shared" si="34"/>
        <v/>
      </c>
      <c r="CE431" s="93" t="str">
        <f t="shared" si="35"/>
        <v/>
      </c>
      <c r="CF431" s="93" t="str">
        <f t="shared" si="36"/>
        <v>NA</v>
      </c>
      <c r="CG431" s="97" t="str">
        <f t="shared" si="37"/>
        <v>#N/A</v>
      </c>
      <c r="CH431" s="98" t="str">
        <f t="shared" si="38"/>
        <v>#N/A</v>
      </c>
      <c r="CI431" s="99" t="str">
        <f t="shared" si="39"/>
        <v>#N/A</v>
      </c>
      <c r="CJ431" s="126" t="str">
        <f t="shared" si="40"/>
        <v>ERROR: check cell</v>
      </c>
      <c r="CK431" s="126"/>
      <c r="CL431" s="127" t="str">
        <f t="shared" si="41"/>
        <v>#DIV/0!</v>
      </c>
      <c r="CM431" s="128" t="str">
        <f t="shared" si="42"/>
        <v>#DIV/0!</v>
      </c>
      <c r="CN431" s="128">
        <f t="shared" si="43"/>
        <v>4</v>
      </c>
      <c r="CO431" s="129">
        <f t="shared" si="44"/>
        <v>4</v>
      </c>
      <c r="CP431" s="129" t="str">
        <f>IFS(C431=Preferences!B$13,B431,B431=Preferences!B$13,C431)</f>
        <v>#N/A</v>
      </c>
    </row>
    <row r="432" ht="13.5" customHeight="1">
      <c r="A432" s="63" t="str">
        <f t="shared" si="45"/>
        <v/>
      </c>
      <c r="B432" s="64"/>
      <c r="C432" s="64"/>
      <c r="D432" s="64"/>
      <c r="E432" s="65"/>
      <c r="F432" s="65"/>
      <c r="G432" s="65"/>
      <c r="H432" s="66"/>
      <c r="I432" s="66"/>
      <c r="J432" s="67"/>
      <c r="K432" s="68"/>
      <c r="L432" s="104"/>
      <c r="M432" s="104"/>
      <c r="N432" s="104"/>
      <c r="O432" s="104"/>
      <c r="P432" s="107" t="str">
        <f t="shared" si="1"/>
        <v/>
      </c>
      <c r="Q432" s="108" t="str">
        <f>IFERROR(IF(AND(Preferences!B$3="Manual",OR(AX432/AW432&gt;G432/F432,BD432="Serious",BD432="Very serious")),"Assess imprecision",IFS(ISBLANK(E432),"",AND(Preferences!B$3="Automatic", G432/F432&gt;=30),"Extremely serious",AND(H432&lt;=$D$1*-1,J432&lt;0,G432/F432&lt;3),"Not serious",AND(H432&lt;=$D$1*-1,J432&lt;0,G432/F432&gt;=3),"Very serious",AND(H432&gt;=$D$1,I432&gt;0,G432/F432&lt;3),"Not serious",AND(H432&gt;=$D$1,I432&gt;0,G432/F432&gt;=3),"Very serious",AND(H432&lt;=$D$1*-1,J432&gt;0,I432&gt;$D$2*-1,G432/F432&lt;3),"Serious", AND(H432&lt;=$D$1*-1,J432&gt;0,I432&lt;$D$2*-1,G432/F432&lt;3),"Very serious", AND(H432&gt;=$D$1,I432&lt;0,J432&lt;$D$2,G432/F432&lt;3),"Serious",AND(H432&gt;=$D$1,I432&lt;0,J432&gt;$D$2,G432/F432&lt;3),"Very serious", AND(H432&lt;=$D$1*-1,J432&gt;0,I432&gt;$D$2*-1,G432/F432&gt;=3),"Very serious", AND(H432&lt;=$D$1*-1,J432&gt;0,I432&lt;$D$2*-1,G432/F432&gt;=3),"Very serious", AND(H432&gt;=$D$1,I432&lt;0,J432&lt;$D$2,G432/F432&gt;=3),"Very serious", AND(H432&gt;=$D$1,I432&lt;0,J432&gt;$D$2,G432/F432&gt;=3),"Very serious", AND(H432&gt;$D$1*-1,H432&lt;$D$1,I432&gt;$D$1*-1,J432&lt;$D$1,G432/F432&lt;3),"Not serious", AND(H432&gt;$D$1*-1,H432&lt;$D$1,OR(I432&lt;=$D$1*-1,J432&gt;=$D$1),I432&gt;$D$2*-1,J432&lt;$D$2,G432/F432&lt;3),"Serious", AND(H432&gt;$D$1*-1,H432&lt;$D$1,OR(I432&lt;=$D$2*-1,J432&gt;=$D$2),G432/F432&lt;3),"Very serious", AND(H432&gt;$D$1*-1,H432&lt;$D$1,I432&gt;$D$1*-1,J432&lt;$D$1,G432/F432&gt;=3),"Very serious", AND(H432&gt;$D$1*-1,H432&lt;$D$1,OR(I432&lt;=$D$1*-1,J432&gt;=$D$1),I432&gt;$D$2*-1,J432&lt;$D$2,G432/F432&gt;=3),"Very serious", AND(H432&gt;$D$1*-1,H432&lt;$D$1,OR(I432&lt;=$D$2*-1,J432&gt;=$D$2),G432/F432&gt;=3),"Very serious")),"")</f>
        <v/>
      </c>
      <c r="R432" s="109" t="str">
        <f t="shared" si="47"/>
        <v/>
      </c>
      <c r="S432" s="64"/>
      <c r="T432" s="72"/>
      <c r="U432" s="72"/>
      <c r="V432" s="72"/>
      <c r="W432" s="73"/>
      <c r="X432" s="73"/>
      <c r="Y432" s="74"/>
      <c r="Z432" s="113" t="str">
        <f t="array" ref="Z432">INDEX($A$1:$C$500, MATCH(1,($B:$B=$B432)*($C:$C=$AB432),0),1)</f>
        <v/>
      </c>
      <c r="AA432" s="113" t="str">
        <f t="array" ref="AA432">INDEX($A$1:$C$500, MATCH(1,($B:$B=$AB432)*($C:$C=$B432),0),1)</f>
        <v/>
      </c>
      <c r="AB432" s="111"/>
      <c r="AC432" s="114" t="str">
        <f t="shared" si="2"/>
        <v/>
      </c>
      <c r="AD432" s="115" t="str">
        <f t="shared" si="3"/>
        <v/>
      </c>
      <c r="AE432" s="116" t="str">
        <f t="array" ref="AE432">INDEX($A$1:$C$500, MATCH(1,($B:$B=$AB432)*($C:$C=$AG432),0),1)</f>
        <v/>
      </c>
      <c r="AF432" s="116" t="str">
        <f t="array" ref="AF432">INDEX($A$1:$C$500, MATCH(1,($B:$B=$AG432)*($C:$C=$AB432),0),1)</f>
        <v/>
      </c>
      <c r="AG432" s="72"/>
      <c r="AH432" s="114" t="str">
        <f t="shared" si="4"/>
        <v/>
      </c>
      <c r="AI432" s="115" t="str">
        <f t="shared" si="5"/>
        <v/>
      </c>
      <c r="AJ432" s="116" t="str">
        <f t="array" ref="AJ432">INDEX($A$1:$C$500, MATCH(1,($B:$B=$C432)*($C:$C=$AG432),0),1)</f>
        <v/>
      </c>
      <c r="AK432" s="116" t="str">
        <f t="array" ref="AK432">INDEX($A$1:$C$500, MATCH(1,($B:$B=$AG432)*($C:$C=$C432),0),1)</f>
        <v/>
      </c>
      <c r="AL432" s="116" t="str">
        <f t="array" ref="AL432">INDEX($A$1:$C$500, MATCH(1,($B:$B=$C432)*($C:$C=$AB432),0),1)</f>
        <v/>
      </c>
      <c r="AM432" s="116" t="str">
        <f t="array" ref="AM432">INDEX($A$1:$C$500, MATCH(1,($B:$B=$AB432)*($C:$C=$C432),0),1)</f>
        <v/>
      </c>
      <c r="AN432" s="114" t="str">
        <f t="array" ref="AN432">IFS(ISNUMBER(AJ432),AJ432,ISNUMBER(AK432),AK432,ISNUMBER(AL432),AL432,ISNUMBER(AM432),AM432)</f>
        <v>#N/A</v>
      </c>
      <c r="AO432" s="115" t="str">
        <f t="shared" si="6"/>
        <v/>
      </c>
      <c r="AP432" s="115" t="str">
        <f t="shared" si="7"/>
        <v/>
      </c>
      <c r="AQ432" s="111"/>
      <c r="AR432" s="109" t="str">
        <f t="shared" si="8"/>
        <v/>
      </c>
      <c r="AS432" s="72" t="str">
        <f>IFERROR(IF(AND(Preferences!B$3="Manual",OR(AX432/AW432&gt;V432/U432,BD432="Serious",BD432="Very serious")),"Assess imprecision",IFERROR(IFS(AND(Preferences!B$3="Automatic",V432/U432&gt;=30),"Extremely serious",AND(W432&lt;=$D$1*-1,Y432&lt;0,V432/U432&lt;3),"Not Serious",AND(W432&lt;=$D$1*-1,Y432&lt;0,V432/U432&gt;=3),"Very serious",AND(W432&gt;=$D$1,X432&gt;0,V432/U432&lt;3),"Not Serious",AND(W432&gt;=$D$1,X432&gt;0,V432/U432&gt;=3),"Very serious",AND(W432&lt;=$D$1*-1,Y432&gt;0,X432&gt;$D$2*-1,V432/U432&lt;3),"Serious", AND(W432&lt;=$D$1*-1,Y432&gt;0,X432&lt;$D$2*-1,V432/U432&lt;3),"Very serious", AND(W432&gt;=$D$1,X432&lt;0,Y432&lt;$D$2,V432/U432&lt;3),"Serious",AND(W432&gt;=$D$1,X432&lt;0,Y432&gt;$D$2,V432/U432&lt;3),"Very serious", AND(W432&lt;=$D$1*-1,Y432&gt;0,X432&gt;$D$2*-1,V432/U432&gt;=3),"Very serious", AND(W432&lt;=$D$1*-1,Y432&gt;0,X432&lt;$D$2*-1,V432/U432&gt;=3),"Very serious", AND(W432&gt;=$D$1,X432&lt;0,Y432&lt;$D$2,V432/U432&gt;=3),"Very serious", AND(W432&gt;=$D$1,X432&lt;0,Y432&gt;$D$2,V432/U432&gt;=3),"Very serious", AND(W432&gt;$D$1*-1,W432&lt;$D$1,X432&gt;$D$1*-1,Y432&lt;$D$1,V432/U432&lt;3),"Not Serious", AND(W432&gt;$D$1*-1,W432&lt;$D$1,OR(X432&lt;=$D$1*-1,Y432&gt;=$D$1),X432&gt;$D$2*-1,Y432&lt;$D$2,V432/U432&lt;3),"Serious", AND(W432&gt;$D$1*-1,W432&lt;$D$1,OR(X432&lt;=$D$2*-1,Y432&gt;=$D$2),V432/U432&lt;3),"Very serious", AND(W432&gt;$D$1*-1,W432&lt;$D$1,X432&gt;$D$1*-1,Y432&lt;$D$1,V432/U432&gt;=3),"Very serious", AND(W432&gt;$D$1*-1,W432&lt;$D$1,OR(X432&lt;=$D$1*-1,Y432&gt;=$D$1),X432&gt;$D$2*-1,Y432&lt;$D$2,V432/U432&gt;=3),"Very serious", AND(W432&gt;$D$1*-1,W432&lt;$D$1,OR(X432&lt;=$D$2*-1,Y432&gt;=$D$2),V432/U432&gt;=3),"Very serious"),"")),"")</f>
        <v/>
      </c>
      <c r="AT432" s="109" t="str">
        <f t="shared" si="9"/>
        <v/>
      </c>
      <c r="AU432" s="64"/>
      <c r="AV432" s="83"/>
      <c r="AW432" s="83"/>
      <c r="AX432" s="83"/>
      <c r="AY432" s="83"/>
      <c r="AZ432" s="83"/>
      <c r="BA432" s="85"/>
      <c r="BB432" s="86" t="str">
        <f>IF(Preferences!B$9="Manual","",IFS(ISBLANK(B432),"",AND(ISNUMBER(E432)=TRUE,ISNUMBER(T432)=FALSE),"Direct", AND(ISNUMBER(E432)=FALSE,ISNUMBER(T432)=TRUE),"Indirect", CN432=4,"Direct",AND(CL432=FALSE, CM432=TRUE,CN432-CO432&gt;-1),"Direct", AND(CL432=FALSE,CM432=TRUE, CN432-CO432&lt;0),"Check algorithm in appendix 2", AND(CL432=TRUE, CM432=FALSE,CN432-CO432&gt;0),"Check algorithm in appendix 2", AND(CL432=TRUE, CM432=FALSE,CN432-CO432=0),"Indirect", AND(CL432=TRUE, CM432=FALSE,CN432-CO432&lt;0),"Indirect", AND(CL432=FALSE,CM432=FALSE,CN432-CO432&gt;-1),"Direct", AND(CL432=FALSE,CM432=FALSE,CN432-CO432&lt;0),"Check algorithm in appendix 2", AND(CL432=TRUE,CM432=TRUE,CN432-CO432&gt;-1),"Direct", AND(CL432=TRUE,CM432=TRUE,CN432-CO432&lt;0),"Check algorithm in appendix 2"))</f>
        <v/>
      </c>
      <c r="BC432" s="120" t="str">
        <f t="shared" si="10"/>
        <v/>
      </c>
      <c r="BD432" s="140"/>
      <c r="BE432" s="122" t="str">
        <f>IF(Preferences!B$3="Manual","", IFERROR(IFS(AND(Preferences!B$3="Automatic",AX432/AW432&gt;=30),"Extremely serious",AND(AY432&lt;=$D$1*-1,BA432&lt;0,AX432/AW432&lt;3),"Not Serious",AND(AY432&lt;=$D$1*-1,BA432&lt;0,AX432/AW432&gt;=3),"Very serious",AND(AY432&gt;=$D$1,AZ432&gt;0,AX432/AW432&lt;3),"Not Serious",AND(AY432&gt;=$D$1,AZ432&gt;0,AX432/AW432&gt;=3),"Very serious",AND(AY432&lt;=$D$1*-1,BA432&gt;0,AZ432&gt;$D$2*-1,AX432/AW432&lt;3),"Serious", AND(AY432&lt;=$D$1*-1,BA432&gt;0,AZ432&lt;$D$2*-1,AX432/AW432&lt;3),"Very serious", AND(AY432&gt;=$D$1,AZ432&lt;0,BA432&lt;$D$2,AX432/AW432&lt;3),"Serious",AND(AY432&gt;=$D$1,AZ432&lt;0,BA432&gt;$D$2,AX432/AW432&lt;3),"Very serious", AND(AY432&lt;=$D$1*-1,BA432&gt;0,AZ432&gt;$D$2*-1,AX432/AW432&gt;=3),"Very serious", AND(AY432&lt;=$D$1*-1,BA432&gt;0,AZ432&lt;$D$2*-1,AX432/AW432&gt;=3),"Very serious", AND(AY432&gt;=$D$1,AZ432&lt;0,BA432&lt;$D$2,AX432/AW432&gt;=3),"Very serious", AND(AY432&gt;=$D$1,AZ432&lt;0,BA432&gt;$D$2,AX432/AW432&gt;=3),"Very serious", AND(AY432&gt;$D$1*-1,AY432&lt;$D$1,AZ432&gt;$D$1*-1,BA432&lt;$D$1,AX432/AW432&lt;3),"Not Serious", AND(AY432&gt;$D$1*-1,AY432&lt;$D$1,OR(AZ432&lt;=$D$1*-1,BA432&gt;=$D$1),AZ432&gt;$D$2*-1,BA432&lt;$D$2,AX432/AW432&lt;3),"Serious", AND(AY432&gt;$D$1*-1,AY432&lt;$D$1,OR(AZ432&lt;=$D$2*-1,BA432&gt;=$D$2),AX432/AW432&lt;3),"Very serious", AND(AY432&gt;$D$1*-1,AY432&lt;$D$1,AZ432&gt;$D$1*-1,BA432&lt;$D$1,AX432/AW432&gt;=3),"Very serious", AND(AY432&gt;$D$1*-1,AY432&lt;$D$1,OR(AZ432&lt;=$D$1*-1,BA432&gt;=$D$1),AZ432&gt;$D$2*-1,BA432&lt;$D$2,AX432/AW432&gt;=3),"Very serious", AND(AY432&gt;$D$1*-1,AY432&lt;$D$1,OR(AZ432&lt;=$D$2*-1,BA432&gt;=$D$2),AX432/AW432&gt;=3),"Very serious"),""))</f>
        <v/>
      </c>
      <c r="BF432" s="107" t="str">
        <f t="shared" si="11"/>
        <v/>
      </c>
      <c r="BG432" s="94" t="str">
        <f t="shared" si="46"/>
        <v/>
      </c>
      <c r="BH432" s="64" t="str">
        <f t="shared" si="12"/>
        <v>#N/A</v>
      </c>
      <c r="BI432" s="64" t="str">
        <f t="shared" si="13"/>
        <v/>
      </c>
      <c r="BJ432" s="123" t="str">
        <f t="shared" si="14"/>
        <v>#N/A</v>
      </c>
      <c r="BK432" s="64" t="str">
        <f t="shared" si="50"/>
        <v>YES</v>
      </c>
      <c r="BL432" s="64" t="str">
        <f t="shared" si="16"/>
        <v>YES</v>
      </c>
      <c r="BM432" s="64" t="str">
        <f t="shared" si="17"/>
        <v>YES</v>
      </c>
      <c r="BN432" s="124" t="str">
        <f t="shared" si="18"/>
        <v/>
      </c>
      <c r="BO432" s="91" t="str">
        <f t="shared" si="19"/>
        <v/>
      </c>
      <c r="BP432" s="91" t="str">
        <f t="shared" si="20"/>
        <v>#N/A</v>
      </c>
      <c r="BQ432" s="91" t="str">
        <f t="shared" si="21"/>
        <v/>
      </c>
      <c r="BR432" s="93" t="str">
        <f t="shared" si="22"/>
        <v/>
      </c>
      <c r="BS432" s="90" t="str">
        <f t="shared" si="23"/>
        <v/>
      </c>
      <c r="BT432" s="93" t="str">
        <f t="shared" si="24"/>
        <v>NA</v>
      </c>
      <c r="BU432" s="125" t="str">
        <f t="shared" si="25"/>
        <v>#N/A</v>
      </c>
      <c r="BV432" s="93" t="str">
        <f t="shared" si="26"/>
        <v/>
      </c>
      <c r="BW432" s="93" t="str">
        <f t="shared" si="27"/>
        <v/>
      </c>
      <c r="BX432" s="93" t="str">
        <f t="shared" si="28"/>
        <v>NA</v>
      </c>
      <c r="BY432" s="95" t="str">
        <f t="shared" si="29"/>
        <v>#N/A</v>
      </c>
      <c r="BZ432" s="93" t="str">
        <f t="shared" si="30"/>
        <v/>
      </c>
      <c r="CA432" s="93" t="str">
        <f t="shared" si="31"/>
        <v/>
      </c>
      <c r="CB432" s="93" t="str">
        <f t="shared" si="32"/>
        <v>NA</v>
      </c>
      <c r="CC432" s="96" t="str">
        <f t="shared" si="33"/>
        <v>#N/A</v>
      </c>
      <c r="CD432" s="93" t="str">
        <f t="shared" si="34"/>
        <v/>
      </c>
      <c r="CE432" s="93" t="str">
        <f t="shared" si="35"/>
        <v/>
      </c>
      <c r="CF432" s="93" t="str">
        <f t="shared" si="36"/>
        <v>NA</v>
      </c>
      <c r="CG432" s="97" t="str">
        <f t="shared" si="37"/>
        <v>#N/A</v>
      </c>
      <c r="CH432" s="98" t="str">
        <f t="shared" si="38"/>
        <v>#N/A</v>
      </c>
      <c r="CI432" s="99" t="str">
        <f t="shared" si="39"/>
        <v>#N/A</v>
      </c>
      <c r="CJ432" s="126" t="str">
        <f t="shared" si="40"/>
        <v>ERROR: check cell</v>
      </c>
      <c r="CK432" s="126"/>
      <c r="CL432" s="127" t="str">
        <f t="shared" si="41"/>
        <v>#DIV/0!</v>
      </c>
      <c r="CM432" s="128" t="str">
        <f t="shared" si="42"/>
        <v>#DIV/0!</v>
      </c>
      <c r="CN432" s="128">
        <f t="shared" si="43"/>
        <v>4</v>
      </c>
      <c r="CO432" s="129">
        <f t="shared" si="44"/>
        <v>4</v>
      </c>
      <c r="CP432" s="129" t="str">
        <f>IFS(C432=Preferences!B$13,B432,B432=Preferences!B$13,C432)</f>
        <v>#N/A</v>
      </c>
    </row>
    <row r="433" ht="13.5" customHeight="1">
      <c r="A433" s="63" t="str">
        <f t="shared" si="45"/>
        <v/>
      </c>
      <c r="B433" s="64"/>
      <c r="C433" s="64"/>
      <c r="D433" s="64"/>
      <c r="E433" s="65"/>
      <c r="F433" s="65"/>
      <c r="G433" s="65"/>
      <c r="H433" s="66"/>
      <c r="I433" s="66"/>
      <c r="J433" s="67"/>
      <c r="K433" s="68"/>
      <c r="L433" s="104"/>
      <c r="M433" s="104"/>
      <c r="N433" s="104"/>
      <c r="O433" s="104"/>
      <c r="P433" s="107" t="str">
        <f t="shared" si="1"/>
        <v/>
      </c>
      <c r="Q433" s="108" t="str">
        <f>IFERROR(IF(AND(Preferences!B$3="Manual",OR(AX433/AW433&gt;G433/F433,BD433="Serious",BD433="Very serious")),"Assess imprecision",IFS(ISBLANK(E433),"",AND(Preferences!B$3="Automatic", G433/F433&gt;=30),"Extremely serious",AND(H433&lt;=$D$1*-1,J433&lt;0,G433/F433&lt;3),"Not serious",AND(H433&lt;=$D$1*-1,J433&lt;0,G433/F433&gt;=3),"Very serious",AND(H433&gt;=$D$1,I433&gt;0,G433/F433&lt;3),"Not serious",AND(H433&gt;=$D$1,I433&gt;0,G433/F433&gt;=3),"Very serious",AND(H433&lt;=$D$1*-1,J433&gt;0,I433&gt;$D$2*-1,G433/F433&lt;3),"Serious", AND(H433&lt;=$D$1*-1,J433&gt;0,I433&lt;$D$2*-1,G433/F433&lt;3),"Very serious", AND(H433&gt;=$D$1,I433&lt;0,J433&lt;$D$2,G433/F433&lt;3),"Serious",AND(H433&gt;=$D$1,I433&lt;0,J433&gt;$D$2,G433/F433&lt;3),"Very serious", AND(H433&lt;=$D$1*-1,J433&gt;0,I433&gt;$D$2*-1,G433/F433&gt;=3),"Very serious", AND(H433&lt;=$D$1*-1,J433&gt;0,I433&lt;$D$2*-1,G433/F433&gt;=3),"Very serious", AND(H433&gt;=$D$1,I433&lt;0,J433&lt;$D$2,G433/F433&gt;=3),"Very serious", AND(H433&gt;=$D$1,I433&lt;0,J433&gt;$D$2,G433/F433&gt;=3),"Very serious", AND(H433&gt;$D$1*-1,H433&lt;$D$1,I433&gt;$D$1*-1,J433&lt;$D$1,G433/F433&lt;3),"Not serious", AND(H433&gt;$D$1*-1,H433&lt;$D$1,OR(I433&lt;=$D$1*-1,J433&gt;=$D$1),I433&gt;$D$2*-1,J433&lt;$D$2,G433/F433&lt;3),"Serious", AND(H433&gt;$D$1*-1,H433&lt;$D$1,OR(I433&lt;=$D$2*-1,J433&gt;=$D$2),G433/F433&lt;3),"Very serious", AND(H433&gt;$D$1*-1,H433&lt;$D$1,I433&gt;$D$1*-1,J433&lt;$D$1,G433/F433&gt;=3),"Very serious", AND(H433&gt;$D$1*-1,H433&lt;$D$1,OR(I433&lt;=$D$1*-1,J433&gt;=$D$1),I433&gt;$D$2*-1,J433&lt;$D$2,G433/F433&gt;=3),"Very serious", AND(H433&gt;$D$1*-1,H433&lt;$D$1,OR(I433&lt;=$D$2*-1,J433&gt;=$D$2),G433/F433&gt;=3),"Very serious")),"")</f>
        <v/>
      </c>
      <c r="R433" s="109" t="str">
        <f t="shared" si="47"/>
        <v/>
      </c>
      <c r="S433" s="64"/>
      <c r="T433" s="72"/>
      <c r="U433" s="72"/>
      <c r="V433" s="72"/>
      <c r="W433" s="73"/>
      <c r="X433" s="73"/>
      <c r="Y433" s="74"/>
      <c r="Z433" s="113" t="str">
        <f t="array" ref="Z433">INDEX($A$1:$C$500, MATCH(1,($B:$B=$B433)*($C:$C=$AB433),0),1)</f>
        <v/>
      </c>
      <c r="AA433" s="113" t="str">
        <f t="array" ref="AA433">INDEX($A$1:$C$500, MATCH(1,($B:$B=$AB433)*($C:$C=$B433),0),1)</f>
        <v/>
      </c>
      <c r="AB433" s="111"/>
      <c r="AC433" s="114" t="str">
        <f t="shared" si="2"/>
        <v/>
      </c>
      <c r="AD433" s="115" t="str">
        <f t="shared" si="3"/>
        <v/>
      </c>
      <c r="AE433" s="116" t="str">
        <f t="array" ref="AE433">INDEX($A$1:$C$500, MATCH(1,($B:$B=$AB433)*($C:$C=$AG433),0),1)</f>
        <v/>
      </c>
      <c r="AF433" s="116" t="str">
        <f t="array" ref="AF433">INDEX($A$1:$C$500, MATCH(1,($B:$B=$AG433)*($C:$C=$AB433),0),1)</f>
        <v/>
      </c>
      <c r="AG433" s="72"/>
      <c r="AH433" s="114" t="str">
        <f t="shared" si="4"/>
        <v/>
      </c>
      <c r="AI433" s="115" t="str">
        <f t="shared" si="5"/>
        <v/>
      </c>
      <c r="AJ433" s="116" t="str">
        <f t="array" ref="AJ433">INDEX($A$1:$C$500, MATCH(1,($B:$B=$C433)*($C:$C=$AG433),0),1)</f>
        <v/>
      </c>
      <c r="AK433" s="116" t="str">
        <f t="array" ref="AK433">INDEX($A$1:$C$500, MATCH(1,($B:$B=$AG433)*($C:$C=$C433),0),1)</f>
        <v/>
      </c>
      <c r="AL433" s="116" t="str">
        <f t="array" ref="AL433">INDEX($A$1:$C$500, MATCH(1,($B:$B=$C433)*($C:$C=$AB433),0),1)</f>
        <v/>
      </c>
      <c r="AM433" s="116" t="str">
        <f t="array" ref="AM433">INDEX($A$1:$C$500, MATCH(1,($B:$B=$AB433)*($C:$C=$C433),0),1)</f>
        <v/>
      </c>
      <c r="AN433" s="114" t="str">
        <f t="array" ref="AN433">IFS(ISNUMBER(AJ433),AJ433,ISNUMBER(AK433),AK433,ISNUMBER(AL433),AL433,ISNUMBER(AM433),AM433)</f>
        <v>#N/A</v>
      </c>
      <c r="AO433" s="115" t="str">
        <f t="shared" si="6"/>
        <v/>
      </c>
      <c r="AP433" s="115" t="str">
        <f t="shared" si="7"/>
        <v/>
      </c>
      <c r="AQ433" s="111"/>
      <c r="AR433" s="109" t="str">
        <f t="shared" si="8"/>
        <v/>
      </c>
      <c r="AS433" s="72" t="str">
        <f>IFERROR(IF(AND(Preferences!B$3="Manual",OR(AX433/AW433&gt;V433/U433,BD433="Serious",BD433="Very serious")),"Assess imprecision",IFERROR(IFS(AND(Preferences!B$3="Automatic",V433/U433&gt;=30),"Extremely serious",AND(W433&lt;=$D$1*-1,Y433&lt;0,V433/U433&lt;3),"Not Serious",AND(W433&lt;=$D$1*-1,Y433&lt;0,V433/U433&gt;=3),"Very serious",AND(W433&gt;=$D$1,X433&gt;0,V433/U433&lt;3),"Not Serious",AND(W433&gt;=$D$1,X433&gt;0,V433/U433&gt;=3),"Very serious",AND(W433&lt;=$D$1*-1,Y433&gt;0,X433&gt;$D$2*-1,V433/U433&lt;3),"Serious", AND(W433&lt;=$D$1*-1,Y433&gt;0,X433&lt;$D$2*-1,V433/U433&lt;3),"Very serious", AND(W433&gt;=$D$1,X433&lt;0,Y433&lt;$D$2,V433/U433&lt;3),"Serious",AND(W433&gt;=$D$1,X433&lt;0,Y433&gt;$D$2,V433/U433&lt;3),"Very serious", AND(W433&lt;=$D$1*-1,Y433&gt;0,X433&gt;$D$2*-1,V433/U433&gt;=3),"Very serious", AND(W433&lt;=$D$1*-1,Y433&gt;0,X433&lt;$D$2*-1,V433/U433&gt;=3),"Very serious", AND(W433&gt;=$D$1,X433&lt;0,Y433&lt;$D$2,V433/U433&gt;=3),"Very serious", AND(W433&gt;=$D$1,X433&lt;0,Y433&gt;$D$2,V433/U433&gt;=3),"Very serious", AND(W433&gt;$D$1*-1,W433&lt;$D$1,X433&gt;$D$1*-1,Y433&lt;$D$1,V433/U433&lt;3),"Not Serious", AND(W433&gt;$D$1*-1,W433&lt;$D$1,OR(X433&lt;=$D$1*-1,Y433&gt;=$D$1),X433&gt;$D$2*-1,Y433&lt;$D$2,V433/U433&lt;3),"Serious", AND(W433&gt;$D$1*-1,W433&lt;$D$1,OR(X433&lt;=$D$2*-1,Y433&gt;=$D$2),V433/U433&lt;3),"Very serious", AND(W433&gt;$D$1*-1,W433&lt;$D$1,X433&gt;$D$1*-1,Y433&lt;$D$1,V433/U433&gt;=3),"Very serious", AND(W433&gt;$D$1*-1,W433&lt;$D$1,OR(X433&lt;=$D$1*-1,Y433&gt;=$D$1),X433&gt;$D$2*-1,Y433&lt;$D$2,V433/U433&gt;=3),"Very serious", AND(W433&gt;$D$1*-1,W433&lt;$D$1,OR(X433&lt;=$D$2*-1,Y433&gt;=$D$2),V433/U433&gt;=3),"Very serious"),"")),"")</f>
        <v/>
      </c>
      <c r="AT433" s="109" t="str">
        <f t="shared" si="9"/>
        <v/>
      </c>
      <c r="AU433" s="64"/>
      <c r="AV433" s="83"/>
      <c r="AW433" s="83"/>
      <c r="AX433" s="83"/>
      <c r="AY433" s="83"/>
      <c r="AZ433" s="83"/>
      <c r="BA433" s="85"/>
      <c r="BB433" s="86" t="str">
        <f>IF(Preferences!B$9="Manual","",IFS(ISBLANK(B433),"",AND(ISNUMBER(E433)=TRUE,ISNUMBER(T433)=FALSE),"Direct", AND(ISNUMBER(E433)=FALSE,ISNUMBER(T433)=TRUE),"Indirect", CN433=4,"Direct",AND(CL433=FALSE, CM433=TRUE,CN433-CO433&gt;-1),"Direct", AND(CL433=FALSE,CM433=TRUE, CN433-CO433&lt;0),"Check algorithm in appendix 2", AND(CL433=TRUE, CM433=FALSE,CN433-CO433&gt;0),"Check algorithm in appendix 2", AND(CL433=TRUE, CM433=FALSE,CN433-CO433=0),"Indirect", AND(CL433=TRUE, CM433=FALSE,CN433-CO433&lt;0),"Indirect", AND(CL433=FALSE,CM433=FALSE,CN433-CO433&gt;-1),"Direct", AND(CL433=FALSE,CM433=FALSE,CN433-CO433&lt;0),"Check algorithm in appendix 2", AND(CL433=TRUE,CM433=TRUE,CN433-CO433&gt;-1),"Direct", AND(CL433=TRUE,CM433=TRUE,CN433-CO433&lt;0),"Check algorithm in appendix 2"))</f>
        <v/>
      </c>
      <c r="BC433" s="120" t="str">
        <f t="shared" si="10"/>
        <v/>
      </c>
      <c r="BD433" s="140"/>
      <c r="BE433" s="122" t="str">
        <f>IF(Preferences!B$3="Manual","", IFERROR(IFS(AND(Preferences!B$3="Automatic",AX433/AW433&gt;=30),"Extremely serious",AND(AY433&lt;=$D$1*-1,BA433&lt;0,AX433/AW433&lt;3),"Not Serious",AND(AY433&lt;=$D$1*-1,BA433&lt;0,AX433/AW433&gt;=3),"Very serious",AND(AY433&gt;=$D$1,AZ433&gt;0,AX433/AW433&lt;3),"Not Serious",AND(AY433&gt;=$D$1,AZ433&gt;0,AX433/AW433&gt;=3),"Very serious",AND(AY433&lt;=$D$1*-1,BA433&gt;0,AZ433&gt;$D$2*-1,AX433/AW433&lt;3),"Serious", AND(AY433&lt;=$D$1*-1,BA433&gt;0,AZ433&lt;$D$2*-1,AX433/AW433&lt;3),"Very serious", AND(AY433&gt;=$D$1,AZ433&lt;0,BA433&lt;$D$2,AX433/AW433&lt;3),"Serious",AND(AY433&gt;=$D$1,AZ433&lt;0,BA433&gt;$D$2,AX433/AW433&lt;3),"Very serious", AND(AY433&lt;=$D$1*-1,BA433&gt;0,AZ433&gt;$D$2*-1,AX433/AW433&gt;=3),"Very serious", AND(AY433&lt;=$D$1*-1,BA433&gt;0,AZ433&lt;$D$2*-1,AX433/AW433&gt;=3),"Very serious", AND(AY433&gt;=$D$1,AZ433&lt;0,BA433&lt;$D$2,AX433/AW433&gt;=3),"Very serious", AND(AY433&gt;=$D$1,AZ433&lt;0,BA433&gt;$D$2,AX433/AW433&gt;=3),"Very serious", AND(AY433&gt;$D$1*-1,AY433&lt;$D$1,AZ433&gt;$D$1*-1,BA433&lt;$D$1,AX433/AW433&lt;3),"Not Serious", AND(AY433&gt;$D$1*-1,AY433&lt;$D$1,OR(AZ433&lt;=$D$1*-1,BA433&gt;=$D$1),AZ433&gt;$D$2*-1,BA433&lt;$D$2,AX433/AW433&lt;3),"Serious", AND(AY433&gt;$D$1*-1,AY433&lt;$D$1,OR(AZ433&lt;=$D$2*-1,BA433&gt;=$D$2),AX433/AW433&lt;3),"Very serious", AND(AY433&gt;$D$1*-1,AY433&lt;$D$1,AZ433&gt;$D$1*-1,BA433&lt;$D$1,AX433/AW433&gt;=3),"Very serious", AND(AY433&gt;$D$1*-1,AY433&lt;$D$1,OR(AZ433&lt;=$D$1*-1,BA433&gt;=$D$1),AZ433&gt;$D$2*-1,BA433&lt;$D$2,AX433/AW433&gt;=3),"Very serious", AND(AY433&gt;$D$1*-1,AY433&lt;$D$1,OR(AZ433&lt;=$D$2*-1,BA433&gt;=$D$2),AX433/AW433&gt;=3),"Very serious"),""))</f>
        <v/>
      </c>
      <c r="BF433" s="107" t="str">
        <f t="shared" si="11"/>
        <v/>
      </c>
      <c r="BG433" s="94" t="str">
        <f t="shared" si="46"/>
        <v/>
      </c>
      <c r="BH433" s="64" t="str">
        <f t="shared" si="12"/>
        <v>#N/A</v>
      </c>
      <c r="BI433" s="64" t="str">
        <f t="shared" si="13"/>
        <v/>
      </c>
      <c r="BJ433" s="123" t="str">
        <f t="shared" si="14"/>
        <v>#N/A</v>
      </c>
      <c r="BK433" s="64" t="str">
        <f t="shared" si="50"/>
        <v>YES</v>
      </c>
      <c r="BL433" s="64" t="str">
        <f t="shared" si="16"/>
        <v>YES</v>
      </c>
      <c r="BM433" s="64" t="str">
        <f t="shared" si="17"/>
        <v>YES</v>
      </c>
      <c r="BN433" s="124" t="str">
        <f t="shared" si="18"/>
        <v/>
      </c>
      <c r="BO433" s="91" t="str">
        <f t="shared" si="19"/>
        <v/>
      </c>
      <c r="BP433" s="91" t="str">
        <f t="shared" si="20"/>
        <v>#N/A</v>
      </c>
      <c r="BQ433" s="91" t="str">
        <f t="shared" si="21"/>
        <v/>
      </c>
      <c r="BR433" s="93" t="str">
        <f t="shared" si="22"/>
        <v/>
      </c>
      <c r="BS433" s="90" t="str">
        <f t="shared" si="23"/>
        <v/>
      </c>
      <c r="BT433" s="93" t="str">
        <f t="shared" si="24"/>
        <v>NA</v>
      </c>
      <c r="BU433" s="125" t="str">
        <f t="shared" si="25"/>
        <v>#N/A</v>
      </c>
      <c r="BV433" s="93" t="str">
        <f t="shared" si="26"/>
        <v/>
      </c>
      <c r="BW433" s="93" t="str">
        <f t="shared" si="27"/>
        <v/>
      </c>
      <c r="BX433" s="93" t="str">
        <f t="shared" si="28"/>
        <v>NA</v>
      </c>
      <c r="BY433" s="95" t="str">
        <f t="shared" si="29"/>
        <v>#N/A</v>
      </c>
      <c r="BZ433" s="93" t="str">
        <f t="shared" si="30"/>
        <v/>
      </c>
      <c r="CA433" s="93" t="str">
        <f t="shared" si="31"/>
        <v/>
      </c>
      <c r="CB433" s="93" t="str">
        <f t="shared" si="32"/>
        <v>NA</v>
      </c>
      <c r="CC433" s="96" t="str">
        <f t="shared" si="33"/>
        <v>#N/A</v>
      </c>
      <c r="CD433" s="93" t="str">
        <f t="shared" si="34"/>
        <v/>
      </c>
      <c r="CE433" s="93" t="str">
        <f t="shared" si="35"/>
        <v/>
      </c>
      <c r="CF433" s="93" t="str">
        <f t="shared" si="36"/>
        <v>NA</v>
      </c>
      <c r="CG433" s="97" t="str">
        <f t="shared" si="37"/>
        <v>#N/A</v>
      </c>
      <c r="CH433" s="98" t="str">
        <f t="shared" si="38"/>
        <v>#N/A</v>
      </c>
      <c r="CI433" s="99" t="str">
        <f t="shared" si="39"/>
        <v>#N/A</v>
      </c>
      <c r="CJ433" s="126" t="str">
        <f t="shared" si="40"/>
        <v>ERROR: check cell</v>
      </c>
      <c r="CK433" s="126"/>
      <c r="CL433" s="127" t="str">
        <f t="shared" si="41"/>
        <v>#DIV/0!</v>
      </c>
      <c r="CM433" s="128" t="str">
        <f t="shared" si="42"/>
        <v>#DIV/0!</v>
      </c>
      <c r="CN433" s="128">
        <f t="shared" si="43"/>
        <v>4</v>
      </c>
      <c r="CO433" s="129">
        <f t="shared" si="44"/>
        <v>4</v>
      </c>
      <c r="CP433" s="129" t="str">
        <f>IFS(C433=Preferences!B$13,B433,B433=Preferences!B$13,C433)</f>
        <v>#N/A</v>
      </c>
    </row>
    <row r="434" ht="13.5" customHeight="1">
      <c r="A434" s="63" t="str">
        <f t="shared" si="45"/>
        <v/>
      </c>
      <c r="B434" s="64"/>
      <c r="C434" s="64"/>
      <c r="D434" s="64"/>
      <c r="E434" s="65"/>
      <c r="F434" s="65"/>
      <c r="G434" s="65"/>
      <c r="H434" s="66"/>
      <c r="I434" s="66"/>
      <c r="J434" s="67"/>
      <c r="K434" s="68"/>
      <c r="L434" s="104"/>
      <c r="M434" s="104"/>
      <c r="N434" s="104"/>
      <c r="O434" s="104"/>
      <c r="P434" s="107" t="str">
        <f t="shared" si="1"/>
        <v/>
      </c>
      <c r="Q434" s="108" t="str">
        <f>IFERROR(IF(AND(Preferences!B$3="Manual",OR(AX434/AW434&gt;G434/F434,BD434="Serious",BD434="Very serious")),"Assess imprecision",IFS(ISBLANK(E434),"",AND(Preferences!B$3="Automatic", G434/F434&gt;=30),"Extremely serious",AND(H434&lt;=$D$1*-1,J434&lt;0,G434/F434&lt;3),"Not serious",AND(H434&lt;=$D$1*-1,J434&lt;0,G434/F434&gt;=3),"Very serious",AND(H434&gt;=$D$1,I434&gt;0,G434/F434&lt;3),"Not serious",AND(H434&gt;=$D$1,I434&gt;0,G434/F434&gt;=3),"Very serious",AND(H434&lt;=$D$1*-1,J434&gt;0,I434&gt;$D$2*-1,G434/F434&lt;3),"Serious", AND(H434&lt;=$D$1*-1,J434&gt;0,I434&lt;$D$2*-1,G434/F434&lt;3),"Very serious", AND(H434&gt;=$D$1,I434&lt;0,J434&lt;$D$2,G434/F434&lt;3),"Serious",AND(H434&gt;=$D$1,I434&lt;0,J434&gt;$D$2,G434/F434&lt;3),"Very serious", AND(H434&lt;=$D$1*-1,J434&gt;0,I434&gt;$D$2*-1,G434/F434&gt;=3),"Very serious", AND(H434&lt;=$D$1*-1,J434&gt;0,I434&lt;$D$2*-1,G434/F434&gt;=3),"Very serious", AND(H434&gt;=$D$1,I434&lt;0,J434&lt;$D$2,G434/F434&gt;=3),"Very serious", AND(H434&gt;=$D$1,I434&lt;0,J434&gt;$D$2,G434/F434&gt;=3),"Very serious", AND(H434&gt;$D$1*-1,H434&lt;$D$1,I434&gt;$D$1*-1,J434&lt;$D$1,G434/F434&lt;3),"Not serious", AND(H434&gt;$D$1*-1,H434&lt;$D$1,OR(I434&lt;=$D$1*-1,J434&gt;=$D$1),I434&gt;$D$2*-1,J434&lt;$D$2,G434/F434&lt;3),"Serious", AND(H434&gt;$D$1*-1,H434&lt;$D$1,OR(I434&lt;=$D$2*-1,J434&gt;=$D$2),G434/F434&lt;3),"Very serious", AND(H434&gt;$D$1*-1,H434&lt;$D$1,I434&gt;$D$1*-1,J434&lt;$D$1,G434/F434&gt;=3),"Very serious", AND(H434&gt;$D$1*-1,H434&lt;$D$1,OR(I434&lt;=$D$1*-1,J434&gt;=$D$1),I434&gt;$D$2*-1,J434&lt;$D$2,G434/F434&gt;=3),"Very serious", AND(H434&gt;$D$1*-1,H434&lt;$D$1,OR(I434&lt;=$D$2*-1,J434&gt;=$D$2),G434/F434&gt;=3),"Very serious")),"")</f>
        <v/>
      </c>
      <c r="R434" s="109" t="str">
        <f t="shared" si="47"/>
        <v/>
      </c>
      <c r="S434" s="64"/>
      <c r="T434" s="72"/>
      <c r="U434" s="72"/>
      <c r="V434" s="72"/>
      <c r="W434" s="73"/>
      <c r="X434" s="73"/>
      <c r="Y434" s="74"/>
      <c r="Z434" s="113" t="str">
        <f t="array" ref="Z434">INDEX($A$1:$C$500, MATCH(1,($B:$B=$B434)*($C:$C=$AB434),0),1)</f>
        <v/>
      </c>
      <c r="AA434" s="113" t="str">
        <f t="array" ref="AA434">INDEX($A$1:$C$500, MATCH(1,($B:$B=$AB434)*($C:$C=$B434),0),1)</f>
        <v/>
      </c>
      <c r="AB434" s="111"/>
      <c r="AC434" s="114" t="str">
        <f t="shared" si="2"/>
        <v/>
      </c>
      <c r="AD434" s="115" t="str">
        <f t="shared" si="3"/>
        <v/>
      </c>
      <c r="AE434" s="116" t="str">
        <f t="array" ref="AE434">INDEX($A$1:$C$500, MATCH(1,($B:$B=$AB434)*($C:$C=$AG434),0),1)</f>
        <v/>
      </c>
      <c r="AF434" s="116" t="str">
        <f t="array" ref="AF434">INDEX($A$1:$C$500, MATCH(1,($B:$B=$AG434)*($C:$C=$AB434),0),1)</f>
        <v/>
      </c>
      <c r="AG434" s="72"/>
      <c r="AH434" s="114" t="str">
        <f t="shared" si="4"/>
        <v/>
      </c>
      <c r="AI434" s="115" t="str">
        <f t="shared" si="5"/>
        <v/>
      </c>
      <c r="AJ434" s="116" t="str">
        <f t="array" ref="AJ434">INDEX($A$1:$C$500, MATCH(1,($B:$B=$C434)*($C:$C=$AG434),0),1)</f>
        <v/>
      </c>
      <c r="AK434" s="116" t="str">
        <f t="array" ref="AK434">INDEX($A$1:$C$500, MATCH(1,($B:$B=$AG434)*($C:$C=$C434),0),1)</f>
        <v/>
      </c>
      <c r="AL434" s="116" t="str">
        <f t="array" ref="AL434">INDEX($A$1:$C$500, MATCH(1,($B:$B=$C434)*($C:$C=$AB434),0),1)</f>
        <v/>
      </c>
      <c r="AM434" s="116" t="str">
        <f t="array" ref="AM434">INDEX($A$1:$C$500, MATCH(1,($B:$B=$AB434)*($C:$C=$C434),0),1)</f>
        <v/>
      </c>
      <c r="AN434" s="114" t="str">
        <f t="array" ref="AN434">IFS(ISNUMBER(AJ434),AJ434,ISNUMBER(AK434),AK434,ISNUMBER(AL434),AL434,ISNUMBER(AM434),AM434)</f>
        <v>#N/A</v>
      </c>
      <c r="AO434" s="115" t="str">
        <f t="shared" si="6"/>
        <v/>
      </c>
      <c r="AP434" s="115" t="str">
        <f t="shared" si="7"/>
        <v/>
      </c>
      <c r="AQ434" s="111"/>
      <c r="AR434" s="109" t="str">
        <f t="shared" si="8"/>
        <v/>
      </c>
      <c r="AS434" s="72" t="str">
        <f>IFERROR(IF(AND(Preferences!B$3="Manual",OR(AX434/AW434&gt;V434/U434,BD434="Serious",BD434="Very serious")),"Assess imprecision",IFERROR(IFS(AND(Preferences!B$3="Automatic",V434/U434&gt;=30),"Extremely serious",AND(W434&lt;=$D$1*-1,Y434&lt;0,V434/U434&lt;3),"Not Serious",AND(W434&lt;=$D$1*-1,Y434&lt;0,V434/U434&gt;=3),"Very serious",AND(W434&gt;=$D$1,X434&gt;0,V434/U434&lt;3),"Not Serious",AND(W434&gt;=$D$1,X434&gt;0,V434/U434&gt;=3),"Very serious",AND(W434&lt;=$D$1*-1,Y434&gt;0,X434&gt;$D$2*-1,V434/U434&lt;3),"Serious", AND(W434&lt;=$D$1*-1,Y434&gt;0,X434&lt;$D$2*-1,V434/U434&lt;3),"Very serious", AND(W434&gt;=$D$1,X434&lt;0,Y434&lt;$D$2,V434/U434&lt;3),"Serious",AND(W434&gt;=$D$1,X434&lt;0,Y434&gt;$D$2,V434/U434&lt;3),"Very serious", AND(W434&lt;=$D$1*-1,Y434&gt;0,X434&gt;$D$2*-1,V434/U434&gt;=3),"Very serious", AND(W434&lt;=$D$1*-1,Y434&gt;0,X434&lt;$D$2*-1,V434/U434&gt;=3),"Very serious", AND(W434&gt;=$D$1,X434&lt;0,Y434&lt;$D$2,V434/U434&gt;=3),"Very serious", AND(W434&gt;=$D$1,X434&lt;0,Y434&gt;$D$2,V434/U434&gt;=3),"Very serious", AND(W434&gt;$D$1*-1,W434&lt;$D$1,X434&gt;$D$1*-1,Y434&lt;$D$1,V434/U434&lt;3),"Not Serious", AND(W434&gt;$D$1*-1,W434&lt;$D$1,OR(X434&lt;=$D$1*-1,Y434&gt;=$D$1),X434&gt;$D$2*-1,Y434&lt;$D$2,V434/U434&lt;3),"Serious", AND(W434&gt;$D$1*-1,W434&lt;$D$1,OR(X434&lt;=$D$2*-1,Y434&gt;=$D$2),V434/U434&lt;3),"Very serious", AND(W434&gt;$D$1*-1,W434&lt;$D$1,X434&gt;$D$1*-1,Y434&lt;$D$1,V434/U434&gt;=3),"Very serious", AND(W434&gt;$D$1*-1,W434&lt;$D$1,OR(X434&lt;=$D$1*-1,Y434&gt;=$D$1),X434&gt;$D$2*-1,Y434&lt;$D$2,V434/U434&gt;=3),"Very serious", AND(W434&gt;$D$1*-1,W434&lt;$D$1,OR(X434&lt;=$D$2*-1,Y434&gt;=$D$2),V434/U434&gt;=3),"Very serious"),"")),"")</f>
        <v/>
      </c>
      <c r="AT434" s="109" t="str">
        <f t="shared" si="9"/>
        <v/>
      </c>
      <c r="AU434" s="64"/>
      <c r="AV434" s="83"/>
      <c r="AW434" s="83"/>
      <c r="AX434" s="83"/>
      <c r="AY434" s="83"/>
      <c r="AZ434" s="83"/>
      <c r="BA434" s="85"/>
      <c r="BB434" s="86" t="str">
        <f>IF(Preferences!B$9="Manual","",IFS(ISBLANK(B434),"",AND(ISNUMBER(E434)=TRUE,ISNUMBER(T434)=FALSE),"Direct", AND(ISNUMBER(E434)=FALSE,ISNUMBER(T434)=TRUE),"Indirect", CN434=4,"Direct",AND(CL434=FALSE, CM434=TRUE,CN434-CO434&gt;-1),"Direct", AND(CL434=FALSE,CM434=TRUE, CN434-CO434&lt;0),"Check algorithm in appendix 2", AND(CL434=TRUE, CM434=FALSE,CN434-CO434&gt;0),"Check algorithm in appendix 2", AND(CL434=TRUE, CM434=FALSE,CN434-CO434=0),"Indirect", AND(CL434=TRUE, CM434=FALSE,CN434-CO434&lt;0),"Indirect", AND(CL434=FALSE,CM434=FALSE,CN434-CO434&gt;-1),"Direct", AND(CL434=FALSE,CM434=FALSE,CN434-CO434&lt;0),"Check algorithm in appendix 2", AND(CL434=TRUE,CM434=TRUE,CN434-CO434&gt;-1),"Direct", AND(CL434=TRUE,CM434=TRUE,CN434-CO434&lt;0),"Check algorithm in appendix 2"))</f>
        <v/>
      </c>
      <c r="BC434" s="120" t="str">
        <f t="shared" si="10"/>
        <v/>
      </c>
      <c r="BD434" s="140"/>
      <c r="BE434" s="122" t="str">
        <f>IF(Preferences!B$3="Manual","", IFERROR(IFS(AND(Preferences!B$3="Automatic",AX434/AW434&gt;=30),"Extremely serious",AND(AY434&lt;=$D$1*-1,BA434&lt;0,AX434/AW434&lt;3),"Not Serious",AND(AY434&lt;=$D$1*-1,BA434&lt;0,AX434/AW434&gt;=3),"Very serious",AND(AY434&gt;=$D$1,AZ434&gt;0,AX434/AW434&lt;3),"Not Serious",AND(AY434&gt;=$D$1,AZ434&gt;0,AX434/AW434&gt;=3),"Very serious",AND(AY434&lt;=$D$1*-1,BA434&gt;0,AZ434&gt;$D$2*-1,AX434/AW434&lt;3),"Serious", AND(AY434&lt;=$D$1*-1,BA434&gt;0,AZ434&lt;$D$2*-1,AX434/AW434&lt;3),"Very serious", AND(AY434&gt;=$D$1,AZ434&lt;0,BA434&lt;$D$2,AX434/AW434&lt;3),"Serious",AND(AY434&gt;=$D$1,AZ434&lt;0,BA434&gt;$D$2,AX434/AW434&lt;3),"Very serious", AND(AY434&lt;=$D$1*-1,BA434&gt;0,AZ434&gt;$D$2*-1,AX434/AW434&gt;=3),"Very serious", AND(AY434&lt;=$D$1*-1,BA434&gt;0,AZ434&lt;$D$2*-1,AX434/AW434&gt;=3),"Very serious", AND(AY434&gt;=$D$1,AZ434&lt;0,BA434&lt;$D$2,AX434/AW434&gt;=3),"Very serious", AND(AY434&gt;=$D$1,AZ434&lt;0,BA434&gt;$D$2,AX434/AW434&gt;=3),"Very serious", AND(AY434&gt;$D$1*-1,AY434&lt;$D$1,AZ434&gt;$D$1*-1,BA434&lt;$D$1,AX434/AW434&lt;3),"Not Serious", AND(AY434&gt;$D$1*-1,AY434&lt;$D$1,OR(AZ434&lt;=$D$1*-1,BA434&gt;=$D$1),AZ434&gt;$D$2*-1,BA434&lt;$D$2,AX434/AW434&lt;3),"Serious", AND(AY434&gt;$D$1*-1,AY434&lt;$D$1,OR(AZ434&lt;=$D$2*-1,BA434&gt;=$D$2),AX434/AW434&lt;3),"Very serious", AND(AY434&gt;$D$1*-1,AY434&lt;$D$1,AZ434&gt;$D$1*-1,BA434&lt;$D$1,AX434/AW434&gt;=3),"Very serious", AND(AY434&gt;$D$1*-1,AY434&lt;$D$1,OR(AZ434&lt;=$D$1*-1,BA434&gt;=$D$1),AZ434&gt;$D$2*-1,BA434&lt;$D$2,AX434/AW434&gt;=3),"Very serious", AND(AY434&gt;$D$1*-1,AY434&lt;$D$1,OR(AZ434&lt;=$D$2*-1,BA434&gt;=$D$2),AX434/AW434&gt;=3),"Very serious"),""))</f>
        <v/>
      </c>
      <c r="BF434" s="107" t="str">
        <f t="shared" si="11"/>
        <v/>
      </c>
      <c r="BG434" s="94" t="str">
        <f t="shared" si="46"/>
        <v/>
      </c>
      <c r="BH434" s="64" t="str">
        <f t="shared" si="12"/>
        <v>#N/A</v>
      </c>
      <c r="BI434" s="64" t="str">
        <f t="shared" si="13"/>
        <v/>
      </c>
      <c r="BJ434" s="123" t="str">
        <f t="shared" si="14"/>
        <v>#N/A</v>
      </c>
      <c r="BK434" s="64" t="str">
        <f t="shared" si="50"/>
        <v>YES</v>
      </c>
      <c r="BL434" s="64" t="str">
        <f t="shared" si="16"/>
        <v>YES</v>
      </c>
      <c r="BM434" s="64" t="str">
        <f t="shared" si="17"/>
        <v>YES</v>
      </c>
      <c r="BN434" s="124" t="str">
        <f t="shared" si="18"/>
        <v/>
      </c>
      <c r="BO434" s="91" t="str">
        <f t="shared" si="19"/>
        <v/>
      </c>
      <c r="BP434" s="91" t="str">
        <f t="shared" si="20"/>
        <v>#N/A</v>
      </c>
      <c r="BQ434" s="91" t="str">
        <f t="shared" si="21"/>
        <v/>
      </c>
      <c r="BR434" s="93" t="str">
        <f t="shared" si="22"/>
        <v/>
      </c>
      <c r="BS434" s="90" t="str">
        <f t="shared" si="23"/>
        <v/>
      </c>
      <c r="BT434" s="93" t="str">
        <f t="shared" si="24"/>
        <v>NA</v>
      </c>
      <c r="BU434" s="125" t="str">
        <f t="shared" si="25"/>
        <v>#N/A</v>
      </c>
      <c r="BV434" s="93" t="str">
        <f t="shared" si="26"/>
        <v/>
      </c>
      <c r="BW434" s="93" t="str">
        <f t="shared" si="27"/>
        <v/>
      </c>
      <c r="BX434" s="93" t="str">
        <f t="shared" si="28"/>
        <v>NA</v>
      </c>
      <c r="BY434" s="95" t="str">
        <f t="shared" si="29"/>
        <v>#N/A</v>
      </c>
      <c r="BZ434" s="93" t="str">
        <f t="shared" si="30"/>
        <v/>
      </c>
      <c r="CA434" s="93" t="str">
        <f t="shared" si="31"/>
        <v/>
      </c>
      <c r="CB434" s="93" t="str">
        <f t="shared" si="32"/>
        <v>NA</v>
      </c>
      <c r="CC434" s="96" t="str">
        <f t="shared" si="33"/>
        <v>#N/A</v>
      </c>
      <c r="CD434" s="93" t="str">
        <f t="shared" si="34"/>
        <v/>
      </c>
      <c r="CE434" s="93" t="str">
        <f t="shared" si="35"/>
        <v/>
      </c>
      <c r="CF434" s="93" t="str">
        <f t="shared" si="36"/>
        <v>NA</v>
      </c>
      <c r="CG434" s="97" t="str">
        <f t="shared" si="37"/>
        <v>#N/A</v>
      </c>
      <c r="CH434" s="98" t="str">
        <f t="shared" si="38"/>
        <v>#N/A</v>
      </c>
      <c r="CI434" s="99" t="str">
        <f t="shared" si="39"/>
        <v>#N/A</v>
      </c>
      <c r="CJ434" s="126" t="str">
        <f t="shared" si="40"/>
        <v>ERROR: check cell</v>
      </c>
      <c r="CK434" s="126"/>
      <c r="CL434" s="127" t="str">
        <f t="shared" si="41"/>
        <v>#DIV/0!</v>
      </c>
      <c r="CM434" s="128" t="str">
        <f t="shared" si="42"/>
        <v>#DIV/0!</v>
      </c>
      <c r="CN434" s="128">
        <f t="shared" si="43"/>
        <v>4</v>
      </c>
      <c r="CO434" s="129">
        <f t="shared" si="44"/>
        <v>4</v>
      </c>
      <c r="CP434" s="129" t="str">
        <f>IFS(C434=Preferences!B$13,B434,B434=Preferences!B$13,C434)</f>
        <v>#N/A</v>
      </c>
    </row>
    <row r="435" ht="13.5" customHeight="1">
      <c r="A435" s="63" t="str">
        <f t="shared" si="45"/>
        <v/>
      </c>
      <c r="B435" s="64"/>
      <c r="C435" s="64"/>
      <c r="D435" s="64"/>
      <c r="E435" s="65"/>
      <c r="F435" s="65"/>
      <c r="G435" s="65"/>
      <c r="H435" s="66"/>
      <c r="I435" s="66"/>
      <c r="J435" s="67"/>
      <c r="K435" s="68"/>
      <c r="L435" s="104"/>
      <c r="M435" s="104"/>
      <c r="N435" s="104"/>
      <c r="O435" s="104"/>
      <c r="P435" s="107" t="str">
        <f t="shared" si="1"/>
        <v/>
      </c>
      <c r="Q435" s="108" t="str">
        <f>IFERROR(IF(AND(Preferences!B$3="Manual",OR(AX435/AW435&gt;G435/F435,BD435="Serious",BD435="Very serious")),"Assess imprecision",IFS(ISBLANK(E435),"",AND(Preferences!B$3="Automatic", G435/F435&gt;=30),"Extremely serious",AND(H435&lt;=$D$1*-1,J435&lt;0,G435/F435&lt;3),"Not serious",AND(H435&lt;=$D$1*-1,J435&lt;0,G435/F435&gt;=3),"Very serious",AND(H435&gt;=$D$1,I435&gt;0,G435/F435&lt;3),"Not serious",AND(H435&gt;=$D$1,I435&gt;0,G435/F435&gt;=3),"Very serious",AND(H435&lt;=$D$1*-1,J435&gt;0,I435&gt;$D$2*-1,G435/F435&lt;3),"Serious", AND(H435&lt;=$D$1*-1,J435&gt;0,I435&lt;$D$2*-1,G435/F435&lt;3),"Very serious", AND(H435&gt;=$D$1,I435&lt;0,J435&lt;$D$2,G435/F435&lt;3),"Serious",AND(H435&gt;=$D$1,I435&lt;0,J435&gt;$D$2,G435/F435&lt;3),"Very serious", AND(H435&lt;=$D$1*-1,J435&gt;0,I435&gt;$D$2*-1,G435/F435&gt;=3),"Very serious", AND(H435&lt;=$D$1*-1,J435&gt;0,I435&lt;$D$2*-1,G435/F435&gt;=3),"Very serious", AND(H435&gt;=$D$1,I435&lt;0,J435&lt;$D$2,G435/F435&gt;=3),"Very serious", AND(H435&gt;=$D$1,I435&lt;0,J435&gt;$D$2,G435/F435&gt;=3),"Very serious", AND(H435&gt;$D$1*-1,H435&lt;$D$1,I435&gt;$D$1*-1,J435&lt;$D$1,G435/F435&lt;3),"Not serious", AND(H435&gt;$D$1*-1,H435&lt;$D$1,OR(I435&lt;=$D$1*-1,J435&gt;=$D$1),I435&gt;$D$2*-1,J435&lt;$D$2,G435/F435&lt;3),"Serious", AND(H435&gt;$D$1*-1,H435&lt;$D$1,OR(I435&lt;=$D$2*-1,J435&gt;=$D$2),G435/F435&lt;3),"Very serious", AND(H435&gt;$D$1*-1,H435&lt;$D$1,I435&gt;$D$1*-1,J435&lt;$D$1,G435/F435&gt;=3),"Very serious", AND(H435&gt;$D$1*-1,H435&lt;$D$1,OR(I435&lt;=$D$1*-1,J435&gt;=$D$1),I435&gt;$D$2*-1,J435&lt;$D$2,G435/F435&gt;=3),"Very serious", AND(H435&gt;$D$1*-1,H435&lt;$D$1,OR(I435&lt;=$D$2*-1,J435&gt;=$D$2),G435/F435&gt;=3),"Very serious")),"")</f>
        <v/>
      </c>
      <c r="R435" s="109" t="str">
        <f t="shared" si="47"/>
        <v/>
      </c>
      <c r="S435" s="64"/>
      <c r="T435" s="72"/>
      <c r="U435" s="72"/>
      <c r="V435" s="72"/>
      <c r="W435" s="73"/>
      <c r="X435" s="73"/>
      <c r="Y435" s="74"/>
      <c r="Z435" s="113" t="str">
        <f t="array" ref="Z435">INDEX($A$1:$C$500, MATCH(1,($B:$B=$B435)*($C:$C=$AB435),0),1)</f>
        <v/>
      </c>
      <c r="AA435" s="113" t="str">
        <f t="array" ref="AA435">INDEX($A$1:$C$500, MATCH(1,($B:$B=$AB435)*($C:$C=$B435),0),1)</f>
        <v/>
      </c>
      <c r="AB435" s="111"/>
      <c r="AC435" s="114" t="str">
        <f t="shared" si="2"/>
        <v/>
      </c>
      <c r="AD435" s="115" t="str">
        <f t="shared" si="3"/>
        <v/>
      </c>
      <c r="AE435" s="116" t="str">
        <f t="array" ref="AE435">INDEX($A$1:$C$500, MATCH(1,($B:$B=$AB435)*($C:$C=$AG435),0),1)</f>
        <v/>
      </c>
      <c r="AF435" s="116" t="str">
        <f t="array" ref="AF435">INDEX($A$1:$C$500, MATCH(1,($B:$B=$AG435)*($C:$C=$AB435),0),1)</f>
        <v/>
      </c>
      <c r="AG435" s="72"/>
      <c r="AH435" s="114" t="str">
        <f t="shared" si="4"/>
        <v/>
      </c>
      <c r="AI435" s="115" t="str">
        <f t="shared" si="5"/>
        <v/>
      </c>
      <c r="AJ435" s="116" t="str">
        <f t="array" ref="AJ435">INDEX($A$1:$C$500, MATCH(1,($B:$B=$C435)*($C:$C=$AG435),0),1)</f>
        <v/>
      </c>
      <c r="AK435" s="116" t="str">
        <f t="array" ref="AK435">INDEX($A$1:$C$500, MATCH(1,($B:$B=$AG435)*($C:$C=$C435),0),1)</f>
        <v/>
      </c>
      <c r="AL435" s="116" t="str">
        <f t="array" ref="AL435">INDEX($A$1:$C$500, MATCH(1,($B:$B=$C435)*($C:$C=$AB435),0),1)</f>
        <v/>
      </c>
      <c r="AM435" s="116" t="str">
        <f t="array" ref="AM435">INDEX($A$1:$C$500, MATCH(1,($B:$B=$AB435)*($C:$C=$C435),0),1)</f>
        <v/>
      </c>
      <c r="AN435" s="114" t="str">
        <f t="array" ref="AN435">IFS(ISNUMBER(AJ435),AJ435,ISNUMBER(AK435),AK435,ISNUMBER(AL435),AL435,ISNUMBER(AM435),AM435)</f>
        <v>#N/A</v>
      </c>
      <c r="AO435" s="115" t="str">
        <f t="shared" si="6"/>
        <v/>
      </c>
      <c r="AP435" s="115" t="str">
        <f t="shared" si="7"/>
        <v/>
      </c>
      <c r="AQ435" s="111"/>
      <c r="AR435" s="109" t="str">
        <f t="shared" si="8"/>
        <v/>
      </c>
      <c r="AS435" s="72" t="str">
        <f>IFERROR(IF(AND(Preferences!B$3="Manual",OR(AX435/AW435&gt;V435/U435,BD435="Serious",BD435="Very serious")),"Assess imprecision",IFERROR(IFS(AND(Preferences!B$3="Automatic",V435/U435&gt;=30),"Extremely serious",AND(W435&lt;=$D$1*-1,Y435&lt;0,V435/U435&lt;3),"Not Serious",AND(W435&lt;=$D$1*-1,Y435&lt;0,V435/U435&gt;=3),"Very serious",AND(W435&gt;=$D$1,X435&gt;0,V435/U435&lt;3),"Not Serious",AND(W435&gt;=$D$1,X435&gt;0,V435/U435&gt;=3),"Very serious",AND(W435&lt;=$D$1*-1,Y435&gt;0,X435&gt;$D$2*-1,V435/U435&lt;3),"Serious", AND(W435&lt;=$D$1*-1,Y435&gt;0,X435&lt;$D$2*-1,V435/U435&lt;3),"Very serious", AND(W435&gt;=$D$1,X435&lt;0,Y435&lt;$D$2,V435/U435&lt;3),"Serious",AND(W435&gt;=$D$1,X435&lt;0,Y435&gt;$D$2,V435/U435&lt;3),"Very serious", AND(W435&lt;=$D$1*-1,Y435&gt;0,X435&gt;$D$2*-1,V435/U435&gt;=3),"Very serious", AND(W435&lt;=$D$1*-1,Y435&gt;0,X435&lt;$D$2*-1,V435/U435&gt;=3),"Very serious", AND(W435&gt;=$D$1,X435&lt;0,Y435&lt;$D$2,V435/U435&gt;=3),"Very serious", AND(W435&gt;=$D$1,X435&lt;0,Y435&gt;$D$2,V435/U435&gt;=3),"Very serious", AND(W435&gt;$D$1*-1,W435&lt;$D$1,X435&gt;$D$1*-1,Y435&lt;$D$1,V435/U435&lt;3),"Not Serious", AND(W435&gt;$D$1*-1,W435&lt;$D$1,OR(X435&lt;=$D$1*-1,Y435&gt;=$D$1),X435&gt;$D$2*-1,Y435&lt;$D$2,V435/U435&lt;3),"Serious", AND(W435&gt;$D$1*-1,W435&lt;$D$1,OR(X435&lt;=$D$2*-1,Y435&gt;=$D$2),V435/U435&lt;3),"Very serious", AND(W435&gt;$D$1*-1,W435&lt;$D$1,X435&gt;$D$1*-1,Y435&lt;$D$1,V435/U435&gt;=3),"Very serious", AND(W435&gt;$D$1*-1,W435&lt;$D$1,OR(X435&lt;=$D$1*-1,Y435&gt;=$D$1),X435&gt;$D$2*-1,Y435&lt;$D$2,V435/U435&gt;=3),"Very serious", AND(W435&gt;$D$1*-1,W435&lt;$D$1,OR(X435&lt;=$D$2*-1,Y435&gt;=$D$2),V435/U435&gt;=3),"Very serious"),"")),"")</f>
        <v/>
      </c>
      <c r="AT435" s="109" t="str">
        <f t="shared" si="9"/>
        <v/>
      </c>
      <c r="AU435" s="64"/>
      <c r="AV435" s="83"/>
      <c r="AW435" s="83"/>
      <c r="AX435" s="83"/>
      <c r="AY435" s="83"/>
      <c r="AZ435" s="83"/>
      <c r="BA435" s="85"/>
      <c r="BB435" s="86" t="str">
        <f>IF(Preferences!B$9="Manual","",IFS(ISBLANK(B435),"",AND(ISNUMBER(E435)=TRUE,ISNUMBER(T435)=FALSE),"Direct", AND(ISNUMBER(E435)=FALSE,ISNUMBER(T435)=TRUE),"Indirect", CN435=4,"Direct",AND(CL435=FALSE, CM435=TRUE,CN435-CO435&gt;-1),"Direct", AND(CL435=FALSE,CM435=TRUE, CN435-CO435&lt;0),"Check algorithm in appendix 2", AND(CL435=TRUE, CM435=FALSE,CN435-CO435&gt;0),"Check algorithm in appendix 2", AND(CL435=TRUE, CM435=FALSE,CN435-CO435=0),"Indirect", AND(CL435=TRUE, CM435=FALSE,CN435-CO435&lt;0),"Indirect", AND(CL435=FALSE,CM435=FALSE,CN435-CO435&gt;-1),"Direct", AND(CL435=FALSE,CM435=FALSE,CN435-CO435&lt;0),"Check algorithm in appendix 2", AND(CL435=TRUE,CM435=TRUE,CN435-CO435&gt;-1),"Direct", AND(CL435=TRUE,CM435=TRUE,CN435-CO435&lt;0),"Check algorithm in appendix 2"))</f>
        <v/>
      </c>
      <c r="BC435" s="120" t="str">
        <f t="shared" si="10"/>
        <v/>
      </c>
      <c r="BD435" s="140"/>
      <c r="BE435" s="122" t="str">
        <f>IF(Preferences!B$3="Manual","", IFERROR(IFS(AND(Preferences!B$3="Automatic",AX435/AW435&gt;=30),"Extremely serious",AND(AY435&lt;=$D$1*-1,BA435&lt;0,AX435/AW435&lt;3),"Not Serious",AND(AY435&lt;=$D$1*-1,BA435&lt;0,AX435/AW435&gt;=3),"Very serious",AND(AY435&gt;=$D$1,AZ435&gt;0,AX435/AW435&lt;3),"Not Serious",AND(AY435&gt;=$D$1,AZ435&gt;0,AX435/AW435&gt;=3),"Very serious",AND(AY435&lt;=$D$1*-1,BA435&gt;0,AZ435&gt;$D$2*-1,AX435/AW435&lt;3),"Serious", AND(AY435&lt;=$D$1*-1,BA435&gt;0,AZ435&lt;$D$2*-1,AX435/AW435&lt;3),"Very serious", AND(AY435&gt;=$D$1,AZ435&lt;0,BA435&lt;$D$2,AX435/AW435&lt;3),"Serious",AND(AY435&gt;=$D$1,AZ435&lt;0,BA435&gt;$D$2,AX435/AW435&lt;3),"Very serious", AND(AY435&lt;=$D$1*-1,BA435&gt;0,AZ435&gt;$D$2*-1,AX435/AW435&gt;=3),"Very serious", AND(AY435&lt;=$D$1*-1,BA435&gt;0,AZ435&lt;$D$2*-1,AX435/AW435&gt;=3),"Very serious", AND(AY435&gt;=$D$1,AZ435&lt;0,BA435&lt;$D$2,AX435/AW435&gt;=3),"Very serious", AND(AY435&gt;=$D$1,AZ435&lt;0,BA435&gt;$D$2,AX435/AW435&gt;=3),"Very serious", AND(AY435&gt;$D$1*-1,AY435&lt;$D$1,AZ435&gt;$D$1*-1,BA435&lt;$D$1,AX435/AW435&lt;3),"Not Serious", AND(AY435&gt;$D$1*-1,AY435&lt;$D$1,OR(AZ435&lt;=$D$1*-1,BA435&gt;=$D$1),AZ435&gt;$D$2*-1,BA435&lt;$D$2,AX435/AW435&lt;3),"Serious", AND(AY435&gt;$D$1*-1,AY435&lt;$D$1,OR(AZ435&lt;=$D$2*-1,BA435&gt;=$D$2),AX435/AW435&lt;3),"Very serious", AND(AY435&gt;$D$1*-1,AY435&lt;$D$1,AZ435&gt;$D$1*-1,BA435&lt;$D$1,AX435/AW435&gt;=3),"Very serious", AND(AY435&gt;$D$1*-1,AY435&lt;$D$1,OR(AZ435&lt;=$D$1*-1,BA435&gt;=$D$1),AZ435&gt;$D$2*-1,BA435&lt;$D$2,AX435/AW435&gt;=3),"Very serious", AND(AY435&gt;$D$1*-1,AY435&lt;$D$1,OR(AZ435&lt;=$D$2*-1,BA435&gt;=$D$2),AX435/AW435&gt;=3),"Very serious"),""))</f>
        <v/>
      </c>
      <c r="BF435" s="107" t="str">
        <f t="shared" si="11"/>
        <v/>
      </c>
      <c r="BG435" s="94" t="str">
        <f t="shared" si="46"/>
        <v/>
      </c>
      <c r="BH435" s="64" t="str">
        <f t="shared" si="12"/>
        <v>#N/A</v>
      </c>
      <c r="BI435" s="64" t="str">
        <f t="shared" si="13"/>
        <v/>
      </c>
      <c r="BJ435" s="123" t="str">
        <f t="shared" si="14"/>
        <v>#N/A</v>
      </c>
      <c r="BK435" s="64" t="str">
        <f t="shared" si="50"/>
        <v>YES</v>
      </c>
      <c r="BL435" s="64" t="str">
        <f t="shared" si="16"/>
        <v>YES</v>
      </c>
      <c r="BM435" s="64" t="str">
        <f t="shared" si="17"/>
        <v>YES</v>
      </c>
      <c r="BN435" s="124" t="str">
        <f t="shared" si="18"/>
        <v/>
      </c>
      <c r="BO435" s="91" t="str">
        <f t="shared" si="19"/>
        <v/>
      </c>
      <c r="BP435" s="91" t="str">
        <f t="shared" si="20"/>
        <v>#N/A</v>
      </c>
      <c r="BQ435" s="91" t="str">
        <f t="shared" si="21"/>
        <v/>
      </c>
      <c r="BR435" s="93" t="str">
        <f t="shared" si="22"/>
        <v/>
      </c>
      <c r="BS435" s="90" t="str">
        <f t="shared" si="23"/>
        <v/>
      </c>
      <c r="BT435" s="93" t="str">
        <f t="shared" si="24"/>
        <v>NA</v>
      </c>
      <c r="BU435" s="125" t="str">
        <f t="shared" si="25"/>
        <v>#N/A</v>
      </c>
      <c r="BV435" s="93" t="str">
        <f t="shared" si="26"/>
        <v/>
      </c>
      <c r="BW435" s="93" t="str">
        <f t="shared" si="27"/>
        <v/>
      </c>
      <c r="BX435" s="93" t="str">
        <f t="shared" si="28"/>
        <v>NA</v>
      </c>
      <c r="BY435" s="95" t="str">
        <f t="shared" si="29"/>
        <v>#N/A</v>
      </c>
      <c r="BZ435" s="93" t="str">
        <f t="shared" si="30"/>
        <v/>
      </c>
      <c r="CA435" s="93" t="str">
        <f t="shared" si="31"/>
        <v/>
      </c>
      <c r="CB435" s="93" t="str">
        <f t="shared" si="32"/>
        <v>NA</v>
      </c>
      <c r="CC435" s="96" t="str">
        <f t="shared" si="33"/>
        <v>#N/A</v>
      </c>
      <c r="CD435" s="93" t="str">
        <f t="shared" si="34"/>
        <v/>
      </c>
      <c r="CE435" s="93" t="str">
        <f t="shared" si="35"/>
        <v/>
      </c>
      <c r="CF435" s="93" t="str">
        <f t="shared" si="36"/>
        <v>NA</v>
      </c>
      <c r="CG435" s="97" t="str">
        <f t="shared" si="37"/>
        <v>#N/A</v>
      </c>
      <c r="CH435" s="98" t="str">
        <f t="shared" si="38"/>
        <v>#N/A</v>
      </c>
      <c r="CI435" s="99" t="str">
        <f t="shared" si="39"/>
        <v>#N/A</v>
      </c>
      <c r="CJ435" s="126" t="str">
        <f t="shared" si="40"/>
        <v>ERROR: check cell</v>
      </c>
      <c r="CK435" s="126"/>
      <c r="CL435" s="127" t="str">
        <f t="shared" si="41"/>
        <v>#DIV/0!</v>
      </c>
      <c r="CM435" s="128" t="str">
        <f t="shared" si="42"/>
        <v>#DIV/0!</v>
      </c>
      <c r="CN435" s="128">
        <f t="shared" si="43"/>
        <v>4</v>
      </c>
      <c r="CO435" s="129">
        <f t="shared" si="44"/>
        <v>4</v>
      </c>
      <c r="CP435" s="129" t="str">
        <f>IFS(C435=Preferences!B$13,B435,B435=Preferences!B$13,C435)</f>
        <v>#N/A</v>
      </c>
    </row>
    <row r="436" ht="13.5" customHeight="1">
      <c r="A436" s="63" t="str">
        <f t="shared" si="45"/>
        <v/>
      </c>
      <c r="B436" s="64"/>
      <c r="C436" s="64"/>
      <c r="D436" s="64"/>
      <c r="E436" s="65"/>
      <c r="F436" s="65"/>
      <c r="G436" s="65"/>
      <c r="H436" s="66"/>
      <c r="I436" s="66"/>
      <c r="J436" s="67"/>
      <c r="K436" s="68"/>
      <c r="L436" s="104"/>
      <c r="M436" s="104"/>
      <c r="N436" s="104"/>
      <c r="O436" s="104"/>
      <c r="P436" s="107" t="str">
        <f t="shared" si="1"/>
        <v/>
      </c>
      <c r="Q436" s="108" t="str">
        <f>IFERROR(IF(AND(Preferences!B$3="Manual",OR(AX436/AW436&gt;G436/F436,BD436="Serious",BD436="Very serious")),"Assess imprecision",IFS(ISBLANK(E436),"",AND(Preferences!B$3="Automatic", G436/F436&gt;=30),"Extremely serious",AND(H436&lt;=$D$1*-1,J436&lt;0,G436/F436&lt;3),"Not serious",AND(H436&lt;=$D$1*-1,J436&lt;0,G436/F436&gt;=3),"Very serious",AND(H436&gt;=$D$1,I436&gt;0,G436/F436&lt;3),"Not serious",AND(H436&gt;=$D$1,I436&gt;0,G436/F436&gt;=3),"Very serious",AND(H436&lt;=$D$1*-1,J436&gt;0,I436&gt;$D$2*-1,G436/F436&lt;3),"Serious", AND(H436&lt;=$D$1*-1,J436&gt;0,I436&lt;$D$2*-1,G436/F436&lt;3),"Very serious", AND(H436&gt;=$D$1,I436&lt;0,J436&lt;$D$2,G436/F436&lt;3),"Serious",AND(H436&gt;=$D$1,I436&lt;0,J436&gt;$D$2,G436/F436&lt;3),"Very serious", AND(H436&lt;=$D$1*-1,J436&gt;0,I436&gt;$D$2*-1,G436/F436&gt;=3),"Very serious", AND(H436&lt;=$D$1*-1,J436&gt;0,I436&lt;$D$2*-1,G436/F436&gt;=3),"Very serious", AND(H436&gt;=$D$1,I436&lt;0,J436&lt;$D$2,G436/F436&gt;=3),"Very serious", AND(H436&gt;=$D$1,I436&lt;0,J436&gt;$D$2,G436/F436&gt;=3),"Very serious", AND(H436&gt;$D$1*-1,H436&lt;$D$1,I436&gt;$D$1*-1,J436&lt;$D$1,G436/F436&lt;3),"Not serious", AND(H436&gt;$D$1*-1,H436&lt;$D$1,OR(I436&lt;=$D$1*-1,J436&gt;=$D$1),I436&gt;$D$2*-1,J436&lt;$D$2,G436/F436&lt;3),"Serious", AND(H436&gt;$D$1*-1,H436&lt;$D$1,OR(I436&lt;=$D$2*-1,J436&gt;=$D$2),G436/F436&lt;3),"Very serious", AND(H436&gt;$D$1*-1,H436&lt;$D$1,I436&gt;$D$1*-1,J436&lt;$D$1,G436/F436&gt;=3),"Very serious", AND(H436&gt;$D$1*-1,H436&lt;$D$1,OR(I436&lt;=$D$1*-1,J436&gt;=$D$1),I436&gt;$D$2*-1,J436&lt;$D$2,G436/F436&gt;=3),"Very serious", AND(H436&gt;$D$1*-1,H436&lt;$D$1,OR(I436&lt;=$D$2*-1,J436&gt;=$D$2),G436/F436&gt;=3),"Very serious")),"")</f>
        <v/>
      </c>
      <c r="R436" s="109" t="str">
        <f t="shared" si="47"/>
        <v/>
      </c>
      <c r="S436" s="64"/>
      <c r="T436" s="72"/>
      <c r="U436" s="72"/>
      <c r="V436" s="72"/>
      <c r="W436" s="73"/>
      <c r="X436" s="73"/>
      <c r="Y436" s="74"/>
      <c r="Z436" s="113" t="str">
        <f t="array" ref="Z436">INDEX($A$1:$C$500, MATCH(1,($B:$B=$B436)*($C:$C=$AB436),0),1)</f>
        <v/>
      </c>
      <c r="AA436" s="113" t="str">
        <f t="array" ref="AA436">INDEX($A$1:$C$500, MATCH(1,($B:$B=$AB436)*($C:$C=$B436),0),1)</f>
        <v/>
      </c>
      <c r="AB436" s="111"/>
      <c r="AC436" s="114" t="str">
        <f t="shared" si="2"/>
        <v/>
      </c>
      <c r="AD436" s="115" t="str">
        <f t="shared" si="3"/>
        <v/>
      </c>
      <c r="AE436" s="116" t="str">
        <f t="array" ref="AE436">INDEX($A$1:$C$500, MATCH(1,($B:$B=$AB436)*($C:$C=$AG436),0),1)</f>
        <v/>
      </c>
      <c r="AF436" s="116" t="str">
        <f t="array" ref="AF436">INDEX($A$1:$C$500, MATCH(1,($B:$B=$AG436)*($C:$C=$AB436),0),1)</f>
        <v/>
      </c>
      <c r="AG436" s="72"/>
      <c r="AH436" s="114" t="str">
        <f t="shared" si="4"/>
        <v/>
      </c>
      <c r="AI436" s="115" t="str">
        <f t="shared" si="5"/>
        <v/>
      </c>
      <c r="AJ436" s="116" t="str">
        <f t="array" ref="AJ436">INDEX($A$1:$C$500, MATCH(1,($B:$B=$C436)*($C:$C=$AG436),0),1)</f>
        <v/>
      </c>
      <c r="AK436" s="116" t="str">
        <f t="array" ref="AK436">INDEX($A$1:$C$500, MATCH(1,($B:$B=$AG436)*($C:$C=$C436),0),1)</f>
        <v/>
      </c>
      <c r="AL436" s="116" t="str">
        <f t="array" ref="AL436">INDEX($A$1:$C$500, MATCH(1,($B:$B=$C436)*($C:$C=$AB436),0),1)</f>
        <v/>
      </c>
      <c r="AM436" s="116" t="str">
        <f t="array" ref="AM436">INDEX($A$1:$C$500, MATCH(1,($B:$B=$AB436)*($C:$C=$C436),0),1)</f>
        <v/>
      </c>
      <c r="AN436" s="114" t="str">
        <f t="array" ref="AN436">IFS(ISNUMBER(AJ436),AJ436,ISNUMBER(AK436),AK436,ISNUMBER(AL436),AL436,ISNUMBER(AM436),AM436)</f>
        <v>#N/A</v>
      </c>
      <c r="AO436" s="115" t="str">
        <f t="shared" si="6"/>
        <v/>
      </c>
      <c r="AP436" s="115" t="str">
        <f t="shared" si="7"/>
        <v/>
      </c>
      <c r="AQ436" s="111"/>
      <c r="AR436" s="109" t="str">
        <f t="shared" si="8"/>
        <v/>
      </c>
      <c r="AS436" s="72" t="str">
        <f>IFERROR(IF(AND(Preferences!B$3="Manual",OR(AX436/AW436&gt;V436/U436,BD436="Serious",BD436="Very serious")),"Assess imprecision",IFERROR(IFS(AND(Preferences!B$3="Automatic",V436/U436&gt;=30),"Extremely serious",AND(W436&lt;=$D$1*-1,Y436&lt;0,V436/U436&lt;3),"Not Serious",AND(W436&lt;=$D$1*-1,Y436&lt;0,V436/U436&gt;=3),"Very serious",AND(W436&gt;=$D$1,X436&gt;0,V436/U436&lt;3),"Not Serious",AND(W436&gt;=$D$1,X436&gt;0,V436/U436&gt;=3),"Very serious",AND(W436&lt;=$D$1*-1,Y436&gt;0,X436&gt;$D$2*-1,V436/U436&lt;3),"Serious", AND(W436&lt;=$D$1*-1,Y436&gt;0,X436&lt;$D$2*-1,V436/U436&lt;3),"Very serious", AND(W436&gt;=$D$1,X436&lt;0,Y436&lt;$D$2,V436/U436&lt;3),"Serious",AND(W436&gt;=$D$1,X436&lt;0,Y436&gt;$D$2,V436/U436&lt;3),"Very serious", AND(W436&lt;=$D$1*-1,Y436&gt;0,X436&gt;$D$2*-1,V436/U436&gt;=3),"Very serious", AND(W436&lt;=$D$1*-1,Y436&gt;0,X436&lt;$D$2*-1,V436/U436&gt;=3),"Very serious", AND(W436&gt;=$D$1,X436&lt;0,Y436&lt;$D$2,V436/U436&gt;=3),"Very serious", AND(W436&gt;=$D$1,X436&lt;0,Y436&gt;$D$2,V436/U436&gt;=3),"Very serious", AND(W436&gt;$D$1*-1,W436&lt;$D$1,X436&gt;$D$1*-1,Y436&lt;$D$1,V436/U436&lt;3),"Not Serious", AND(W436&gt;$D$1*-1,W436&lt;$D$1,OR(X436&lt;=$D$1*-1,Y436&gt;=$D$1),X436&gt;$D$2*-1,Y436&lt;$D$2,V436/U436&lt;3),"Serious", AND(W436&gt;$D$1*-1,W436&lt;$D$1,OR(X436&lt;=$D$2*-1,Y436&gt;=$D$2),V436/U436&lt;3),"Very serious", AND(W436&gt;$D$1*-1,W436&lt;$D$1,X436&gt;$D$1*-1,Y436&lt;$D$1,V436/U436&gt;=3),"Very serious", AND(W436&gt;$D$1*-1,W436&lt;$D$1,OR(X436&lt;=$D$1*-1,Y436&gt;=$D$1),X436&gt;$D$2*-1,Y436&lt;$D$2,V436/U436&gt;=3),"Very serious", AND(W436&gt;$D$1*-1,W436&lt;$D$1,OR(X436&lt;=$D$2*-1,Y436&gt;=$D$2),V436/U436&gt;=3),"Very serious"),"")),"")</f>
        <v/>
      </c>
      <c r="AT436" s="109" t="str">
        <f t="shared" si="9"/>
        <v/>
      </c>
      <c r="AU436" s="64"/>
      <c r="AV436" s="83"/>
      <c r="AW436" s="83"/>
      <c r="AX436" s="83"/>
      <c r="AY436" s="83"/>
      <c r="AZ436" s="83"/>
      <c r="BA436" s="85"/>
      <c r="BB436" s="86" t="str">
        <f>IF(Preferences!B$9="Manual","",IFS(ISBLANK(B436),"",AND(ISNUMBER(E436)=TRUE,ISNUMBER(T436)=FALSE),"Direct", AND(ISNUMBER(E436)=FALSE,ISNUMBER(T436)=TRUE),"Indirect", CN436=4,"Direct",AND(CL436=FALSE, CM436=TRUE,CN436-CO436&gt;-1),"Direct", AND(CL436=FALSE,CM436=TRUE, CN436-CO436&lt;0),"Check algorithm in appendix 2", AND(CL436=TRUE, CM436=FALSE,CN436-CO436&gt;0),"Check algorithm in appendix 2", AND(CL436=TRUE, CM436=FALSE,CN436-CO436=0),"Indirect", AND(CL436=TRUE, CM436=FALSE,CN436-CO436&lt;0),"Indirect", AND(CL436=FALSE,CM436=FALSE,CN436-CO436&gt;-1),"Direct", AND(CL436=FALSE,CM436=FALSE,CN436-CO436&lt;0),"Check algorithm in appendix 2", AND(CL436=TRUE,CM436=TRUE,CN436-CO436&gt;-1),"Direct", AND(CL436=TRUE,CM436=TRUE,CN436-CO436&lt;0),"Check algorithm in appendix 2"))</f>
        <v/>
      </c>
      <c r="BC436" s="120" t="str">
        <f t="shared" si="10"/>
        <v/>
      </c>
      <c r="BD436" s="140"/>
      <c r="BE436" s="122" t="str">
        <f>IF(Preferences!B$3="Manual","", IFERROR(IFS(AND(Preferences!B$3="Automatic",AX436/AW436&gt;=30),"Extremely serious",AND(AY436&lt;=$D$1*-1,BA436&lt;0,AX436/AW436&lt;3),"Not Serious",AND(AY436&lt;=$D$1*-1,BA436&lt;0,AX436/AW436&gt;=3),"Very serious",AND(AY436&gt;=$D$1,AZ436&gt;0,AX436/AW436&lt;3),"Not Serious",AND(AY436&gt;=$D$1,AZ436&gt;0,AX436/AW436&gt;=3),"Very serious",AND(AY436&lt;=$D$1*-1,BA436&gt;0,AZ436&gt;$D$2*-1,AX436/AW436&lt;3),"Serious", AND(AY436&lt;=$D$1*-1,BA436&gt;0,AZ436&lt;$D$2*-1,AX436/AW436&lt;3),"Very serious", AND(AY436&gt;=$D$1,AZ436&lt;0,BA436&lt;$D$2,AX436/AW436&lt;3),"Serious",AND(AY436&gt;=$D$1,AZ436&lt;0,BA436&gt;$D$2,AX436/AW436&lt;3),"Very serious", AND(AY436&lt;=$D$1*-1,BA436&gt;0,AZ436&gt;$D$2*-1,AX436/AW436&gt;=3),"Very serious", AND(AY436&lt;=$D$1*-1,BA436&gt;0,AZ436&lt;$D$2*-1,AX436/AW436&gt;=3),"Very serious", AND(AY436&gt;=$D$1,AZ436&lt;0,BA436&lt;$D$2,AX436/AW436&gt;=3),"Very serious", AND(AY436&gt;=$D$1,AZ436&lt;0,BA436&gt;$D$2,AX436/AW436&gt;=3),"Very serious", AND(AY436&gt;$D$1*-1,AY436&lt;$D$1,AZ436&gt;$D$1*-1,BA436&lt;$D$1,AX436/AW436&lt;3),"Not Serious", AND(AY436&gt;$D$1*-1,AY436&lt;$D$1,OR(AZ436&lt;=$D$1*-1,BA436&gt;=$D$1),AZ436&gt;$D$2*-1,BA436&lt;$D$2,AX436/AW436&lt;3),"Serious", AND(AY436&gt;$D$1*-1,AY436&lt;$D$1,OR(AZ436&lt;=$D$2*-1,BA436&gt;=$D$2),AX436/AW436&lt;3),"Very serious", AND(AY436&gt;$D$1*-1,AY436&lt;$D$1,AZ436&gt;$D$1*-1,BA436&lt;$D$1,AX436/AW436&gt;=3),"Very serious", AND(AY436&gt;$D$1*-1,AY436&lt;$D$1,OR(AZ436&lt;=$D$1*-1,BA436&gt;=$D$1),AZ436&gt;$D$2*-1,BA436&lt;$D$2,AX436/AW436&gt;=3),"Very serious", AND(AY436&gt;$D$1*-1,AY436&lt;$D$1,OR(AZ436&lt;=$D$2*-1,BA436&gt;=$D$2),AX436/AW436&gt;=3),"Very serious"),""))</f>
        <v/>
      </c>
      <c r="BF436" s="107" t="str">
        <f t="shared" si="11"/>
        <v/>
      </c>
      <c r="BG436" s="94" t="str">
        <f t="shared" si="46"/>
        <v/>
      </c>
      <c r="BH436" s="64" t="str">
        <f t="shared" si="12"/>
        <v>#N/A</v>
      </c>
      <c r="BI436" s="64" t="str">
        <f t="shared" si="13"/>
        <v/>
      </c>
      <c r="BJ436" s="123" t="str">
        <f t="shared" si="14"/>
        <v>#N/A</v>
      </c>
      <c r="BK436" s="64" t="str">
        <f t="shared" si="50"/>
        <v>YES</v>
      </c>
      <c r="BL436" s="64" t="str">
        <f t="shared" si="16"/>
        <v>YES</v>
      </c>
      <c r="BM436" s="64" t="str">
        <f t="shared" si="17"/>
        <v>YES</v>
      </c>
      <c r="BN436" s="124" t="str">
        <f t="shared" si="18"/>
        <v/>
      </c>
      <c r="BO436" s="91" t="str">
        <f t="shared" si="19"/>
        <v/>
      </c>
      <c r="BP436" s="91" t="str">
        <f t="shared" si="20"/>
        <v>#N/A</v>
      </c>
      <c r="BQ436" s="91" t="str">
        <f t="shared" si="21"/>
        <v/>
      </c>
      <c r="BR436" s="93" t="str">
        <f t="shared" si="22"/>
        <v/>
      </c>
      <c r="BS436" s="90" t="str">
        <f t="shared" si="23"/>
        <v/>
      </c>
      <c r="BT436" s="93" t="str">
        <f t="shared" si="24"/>
        <v>NA</v>
      </c>
      <c r="BU436" s="125" t="str">
        <f t="shared" si="25"/>
        <v>#N/A</v>
      </c>
      <c r="BV436" s="93" t="str">
        <f t="shared" si="26"/>
        <v/>
      </c>
      <c r="BW436" s="93" t="str">
        <f t="shared" si="27"/>
        <v/>
      </c>
      <c r="BX436" s="93" t="str">
        <f t="shared" si="28"/>
        <v>NA</v>
      </c>
      <c r="BY436" s="95" t="str">
        <f t="shared" si="29"/>
        <v>#N/A</v>
      </c>
      <c r="BZ436" s="93" t="str">
        <f t="shared" si="30"/>
        <v/>
      </c>
      <c r="CA436" s="93" t="str">
        <f t="shared" si="31"/>
        <v/>
      </c>
      <c r="CB436" s="93" t="str">
        <f t="shared" si="32"/>
        <v>NA</v>
      </c>
      <c r="CC436" s="96" t="str">
        <f t="shared" si="33"/>
        <v>#N/A</v>
      </c>
      <c r="CD436" s="93" t="str">
        <f t="shared" si="34"/>
        <v/>
      </c>
      <c r="CE436" s="93" t="str">
        <f t="shared" si="35"/>
        <v/>
      </c>
      <c r="CF436" s="93" t="str">
        <f t="shared" si="36"/>
        <v>NA</v>
      </c>
      <c r="CG436" s="97" t="str">
        <f t="shared" si="37"/>
        <v>#N/A</v>
      </c>
      <c r="CH436" s="98" t="str">
        <f t="shared" si="38"/>
        <v>#N/A</v>
      </c>
      <c r="CI436" s="99" t="str">
        <f t="shared" si="39"/>
        <v>#N/A</v>
      </c>
      <c r="CJ436" s="126" t="str">
        <f t="shared" si="40"/>
        <v>ERROR: check cell</v>
      </c>
      <c r="CK436" s="126"/>
      <c r="CL436" s="127" t="str">
        <f t="shared" si="41"/>
        <v>#DIV/0!</v>
      </c>
      <c r="CM436" s="128" t="str">
        <f t="shared" si="42"/>
        <v>#DIV/0!</v>
      </c>
      <c r="CN436" s="128">
        <f t="shared" si="43"/>
        <v>4</v>
      </c>
      <c r="CO436" s="129">
        <f t="shared" si="44"/>
        <v>4</v>
      </c>
      <c r="CP436" s="129" t="str">
        <f>IFS(C436=Preferences!B$13,B436,B436=Preferences!B$13,C436)</f>
        <v>#N/A</v>
      </c>
    </row>
    <row r="437" ht="13.5" customHeight="1">
      <c r="A437" s="63" t="str">
        <f t="shared" si="45"/>
        <v/>
      </c>
      <c r="B437" s="64"/>
      <c r="C437" s="64"/>
      <c r="D437" s="64"/>
      <c r="E437" s="65"/>
      <c r="F437" s="65"/>
      <c r="G437" s="65"/>
      <c r="H437" s="66"/>
      <c r="I437" s="66"/>
      <c r="J437" s="67"/>
      <c r="K437" s="68"/>
      <c r="L437" s="104"/>
      <c r="M437" s="104"/>
      <c r="N437" s="104"/>
      <c r="O437" s="104"/>
      <c r="P437" s="107" t="str">
        <f t="shared" si="1"/>
        <v/>
      </c>
      <c r="Q437" s="108" t="str">
        <f>IFERROR(IF(AND(Preferences!B$3="Manual",OR(AX437/AW437&gt;G437/F437,BD437="Serious",BD437="Very serious")),"Assess imprecision",IFS(ISBLANK(E437),"",AND(Preferences!B$3="Automatic", G437/F437&gt;=30),"Extremely serious",AND(H437&lt;=$D$1*-1,J437&lt;0,G437/F437&lt;3),"Not serious",AND(H437&lt;=$D$1*-1,J437&lt;0,G437/F437&gt;=3),"Very serious",AND(H437&gt;=$D$1,I437&gt;0,G437/F437&lt;3),"Not serious",AND(H437&gt;=$D$1,I437&gt;0,G437/F437&gt;=3),"Very serious",AND(H437&lt;=$D$1*-1,J437&gt;0,I437&gt;$D$2*-1,G437/F437&lt;3),"Serious", AND(H437&lt;=$D$1*-1,J437&gt;0,I437&lt;$D$2*-1,G437/F437&lt;3),"Very serious", AND(H437&gt;=$D$1,I437&lt;0,J437&lt;$D$2,G437/F437&lt;3),"Serious",AND(H437&gt;=$D$1,I437&lt;0,J437&gt;$D$2,G437/F437&lt;3),"Very serious", AND(H437&lt;=$D$1*-1,J437&gt;0,I437&gt;$D$2*-1,G437/F437&gt;=3),"Very serious", AND(H437&lt;=$D$1*-1,J437&gt;0,I437&lt;$D$2*-1,G437/F437&gt;=3),"Very serious", AND(H437&gt;=$D$1,I437&lt;0,J437&lt;$D$2,G437/F437&gt;=3),"Very serious", AND(H437&gt;=$D$1,I437&lt;0,J437&gt;$D$2,G437/F437&gt;=3),"Very serious", AND(H437&gt;$D$1*-1,H437&lt;$D$1,I437&gt;$D$1*-1,J437&lt;$D$1,G437/F437&lt;3),"Not serious", AND(H437&gt;$D$1*-1,H437&lt;$D$1,OR(I437&lt;=$D$1*-1,J437&gt;=$D$1),I437&gt;$D$2*-1,J437&lt;$D$2,G437/F437&lt;3),"Serious", AND(H437&gt;$D$1*-1,H437&lt;$D$1,OR(I437&lt;=$D$2*-1,J437&gt;=$D$2),G437/F437&lt;3),"Very serious", AND(H437&gt;$D$1*-1,H437&lt;$D$1,I437&gt;$D$1*-1,J437&lt;$D$1,G437/F437&gt;=3),"Very serious", AND(H437&gt;$D$1*-1,H437&lt;$D$1,OR(I437&lt;=$D$1*-1,J437&gt;=$D$1),I437&gt;$D$2*-1,J437&lt;$D$2,G437/F437&gt;=3),"Very serious", AND(H437&gt;$D$1*-1,H437&lt;$D$1,OR(I437&lt;=$D$2*-1,J437&gt;=$D$2),G437/F437&gt;=3),"Very serious")),"")</f>
        <v/>
      </c>
      <c r="R437" s="109" t="str">
        <f t="shared" si="47"/>
        <v/>
      </c>
      <c r="S437" s="64"/>
      <c r="T437" s="72"/>
      <c r="U437" s="72"/>
      <c r="V437" s="72"/>
      <c r="W437" s="73"/>
      <c r="X437" s="73"/>
      <c r="Y437" s="74"/>
      <c r="Z437" s="113" t="str">
        <f t="array" ref="Z437">INDEX($A$1:$C$500, MATCH(1,($B:$B=$B437)*($C:$C=$AB437),0),1)</f>
        <v/>
      </c>
      <c r="AA437" s="113" t="str">
        <f t="array" ref="AA437">INDEX($A$1:$C$500, MATCH(1,($B:$B=$AB437)*($C:$C=$B437),0),1)</f>
        <v/>
      </c>
      <c r="AB437" s="111"/>
      <c r="AC437" s="114" t="str">
        <f t="shared" si="2"/>
        <v/>
      </c>
      <c r="AD437" s="115" t="str">
        <f t="shared" si="3"/>
        <v/>
      </c>
      <c r="AE437" s="116" t="str">
        <f t="array" ref="AE437">INDEX($A$1:$C$500, MATCH(1,($B:$B=$AB437)*($C:$C=$AG437),0),1)</f>
        <v/>
      </c>
      <c r="AF437" s="116" t="str">
        <f t="array" ref="AF437">INDEX($A$1:$C$500, MATCH(1,($B:$B=$AG437)*($C:$C=$AB437),0),1)</f>
        <v/>
      </c>
      <c r="AG437" s="72"/>
      <c r="AH437" s="114" t="str">
        <f t="shared" si="4"/>
        <v/>
      </c>
      <c r="AI437" s="115" t="str">
        <f t="shared" si="5"/>
        <v/>
      </c>
      <c r="AJ437" s="116" t="str">
        <f t="array" ref="AJ437">INDEX($A$1:$C$500, MATCH(1,($B:$B=$C437)*($C:$C=$AG437),0),1)</f>
        <v/>
      </c>
      <c r="AK437" s="116" t="str">
        <f t="array" ref="AK437">INDEX($A$1:$C$500, MATCH(1,($B:$B=$AG437)*($C:$C=$C437),0),1)</f>
        <v/>
      </c>
      <c r="AL437" s="116" t="str">
        <f t="array" ref="AL437">INDEX($A$1:$C$500, MATCH(1,($B:$B=$C437)*($C:$C=$AB437),0),1)</f>
        <v/>
      </c>
      <c r="AM437" s="116" t="str">
        <f t="array" ref="AM437">INDEX($A$1:$C$500, MATCH(1,($B:$B=$AB437)*($C:$C=$C437),0),1)</f>
        <v/>
      </c>
      <c r="AN437" s="114" t="str">
        <f t="array" ref="AN437">IFS(ISNUMBER(AJ437),AJ437,ISNUMBER(AK437),AK437,ISNUMBER(AL437),AL437,ISNUMBER(AM437),AM437)</f>
        <v>#N/A</v>
      </c>
      <c r="AO437" s="115" t="str">
        <f t="shared" si="6"/>
        <v/>
      </c>
      <c r="AP437" s="115" t="str">
        <f t="shared" si="7"/>
        <v/>
      </c>
      <c r="AQ437" s="111"/>
      <c r="AR437" s="109" t="str">
        <f t="shared" si="8"/>
        <v/>
      </c>
      <c r="AS437" s="72" t="str">
        <f>IFERROR(IF(AND(Preferences!B$3="Manual",OR(AX437/AW437&gt;V437/U437,BD437="Serious",BD437="Very serious")),"Assess imprecision",IFERROR(IFS(AND(Preferences!B$3="Automatic",V437/U437&gt;=30),"Extremely serious",AND(W437&lt;=$D$1*-1,Y437&lt;0,V437/U437&lt;3),"Not Serious",AND(W437&lt;=$D$1*-1,Y437&lt;0,V437/U437&gt;=3),"Very serious",AND(W437&gt;=$D$1,X437&gt;0,V437/U437&lt;3),"Not Serious",AND(W437&gt;=$D$1,X437&gt;0,V437/U437&gt;=3),"Very serious",AND(W437&lt;=$D$1*-1,Y437&gt;0,X437&gt;$D$2*-1,V437/U437&lt;3),"Serious", AND(W437&lt;=$D$1*-1,Y437&gt;0,X437&lt;$D$2*-1,V437/U437&lt;3),"Very serious", AND(W437&gt;=$D$1,X437&lt;0,Y437&lt;$D$2,V437/U437&lt;3),"Serious",AND(W437&gt;=$D$1,X437&lt;0,Y437&gt;$D$2,V437/U437&lt;3),"Very serious", AND(W437&lt;=$D$1*-1,Y437&gt;0,X437&gt;$D$2*-1,V437/U437&gt;=3),"Very serious", AND(W437&lt;=$D$1*-1,Y437&gt;0,X437&lt;$D$2*-1,V437/U437&gt;=3),"Very serious", AND(W437&gt;=$D$1,X437&lt;0,Y437&lt;$D$2,V437/U437&gt;=3),"Very serious", AND(W437&gt;=$D$1,X437&lt;0,Y437&gt;$D$2,V437/U437&gt;=3),"Very serious", AND(W437&gt;$D$1*-1,W437&lt;$D$1,X437&gt;$D$1*-1,Y437&lt;$D$1,V437/U437&lt;3),"Not Serious", AND(W437&gt;$D$1*-1,W437&lt;$D$1,OR(X437&lt;=$D$1*-1,Y437&gt;=$D$1),X437&gt;$D$2*-1,Y437&lt;$D$2,V437/U437&lt;3),"Serious", AND(W437&gt;$D$1*-1,W437&lt;$D$1,OR(X437&lt;=$D$2*-1,Y437&gt;=$D$2),V437/U437&lt;3),"Very serious", AND(W437&gt;$D$1*-1,W437&lt;$D$1,X437&gt;$D$1*-1,Y437&lt;$D$1,V437/U437&gt;=3),"Very serious", AND(W437&gt;$D$1*-1,W437&lt;$D$1,OR(X437&lt;=$D$1*-1,Y437&gt;=$D$1),X437&gt;$D$2*-1,Y437&lt;$D$2,V437/U437&gt;=3),"Very serious", AND(W437&gt;$D$1*-1,W437&lt;$D$1,OR(X437&lt;=$D$2*-1,Y437&gt;=$D$2),V437/U437&gt;=3),"Very serious"),"")),"")</f>
        <v/>
      </c>
      <c r="AT437" s="109" t="str">
        <f t="shared" si="9"/>
        <v/>
      </c>
      <c r="AU437" s="64"/>
      <c r="AV437" s="83"/>
      <c r="AW437" s="83"/>
      <c r="AX437" s="83"/>
      <c r="AY437" s="83"/>
      <c r="AZ437" s="83"/>
      <c r="BA437" s="85"/>
      <c r="BB437" s="86" t="str">
        <f>IF(Preferences!B$9="Manual","",IFS(ISBLANK(B437),"",AND(ISNUMBER(E437)=TRUE,ISNUMBER(T437)=FALSE),"Direct", AND(ISNUMBER(E437)=FALSE,ISNUMBER(T437)=TRUE),"Indirect", CN437=4,"Direct",AND(CL437=FALSE, CM437=TRUE,CN437-CO437&gt;-1),"Direct", AND(CL437=FALSE,CM437=TRUE, CN437-CO437&lt;0),"Check algorithm in appendix 2", AND(CL437=TRUE, CM437=FALSE,CN437-CO437&gt;0),"Check algorithm in appendix 2", AND(CL437=TRUE, CM437=FALSE,CN437-CO437=0),"Indirect", AND(CL437=TRUE, CM437=FALSE,CN437-CO437&lt;0),"Indirect", AND(CL437=FALSE,CM437=FALSE,CN437-CO437&gt;-1),"Direct", AND(CL437=FALSE,CM437=FALSE,CN437-CO437&lt;0),"Check algorithm in appendix 2", AND(CL437=TRUE,CM437=TRUE,CN437-CO437&gt;-1),"Direct", AND(CL437=TRUE,CM437=TRUE,CN437-CO437&lt;0),"Check algorithm in appendix 2"))</f>
        <v/>
      </c>
      <c r="BC437" s="120" t="str">
        <f t="shared" si="10"/>
        <v/>
      </c>
      <c r="BD437" s="140"/>
      <c r="BE437" s="122" t="str">
        <f>IF(Preferences!B$3="Manual","", IFERROR(IFS(AND(Preferences!B$3="Automatic",AX437/AW437&gt;=30),"Extremely serious",AND(AY437&lt;=$D$1*-1,BA437&lt;0,AX437/AW437&lt;3),"Not Serious",AND(AY437&lt;=$D$1*-1,BA437&lt;0,AX437/AW437&gt;=3),"Very serious",AND(AY437&gt;=$D$1,AZ437&gt;0,AX437/AW437&lt;3),"Not Serious",AND(AY437&gt;=$D$1,AZ437&gt;0,AX437/AW437&gt;=3),"Very serious",AND(AY437&lt;=$D$1*-1,BA437&gt;0,AZ437&gt;$D$2*-1,AX437/AW437&lt;3),"Serious", AND(AY437&lt;=$D$1*-1,BA437&gt;0,AZ437&lt;$D$2*-1,AX437/AW437&lt;3),"Very serious", AND(AY437&gt;=$D$1,AZ437&lt;0,BA437&lt;$D$2,AX437/AW437&lt;3),"Serious",AND(AY437&gt;=$D$1,AZ437&lt;0,BA437&gt;$D$2,AX437/AW437&lt;3),"Very serious", AND(AY437&lt;=$D$1*-1,BA437&gt;0,AZ437&gt;$D$2*-1,AX437/AW437&gt;=3),"Very serious", AND(AY437&lt;=$D$1*-1,BA437&gt;0,AZ437&lt;$D$2*-1,AX437/AW437&gt;=3),"Very serious", AND(AY437&gt;=$D$1,AZ437&lt;0,BA437&lt;$D$2,AX437/AW437&gt;=3),"Very serious", AND(AY437&gt;=$D$1,AZ437&lt;0,BA437&gt;$D$2,AX437/AW437&gt;=3),"Very serious", AND(AY437&gt;$D$1*-1,AY437&lt;$D$1,AZ437&gt;$D$1*-1,BA437&lt;$D$1,AX437/AW437&lt;3),"Not Serious", AND(AY437&gt;$D$1*-1,AY437&lt;$D$1,OR(AZ437&lt;=$D$1*-1,BA437&gt;=$D$1),AZ437&gt;$D$2*-1,BA437&lt;$D$2,AX437/AW437&lt;3),"Serious", AND(AY437&gt;$D$1*-1,AY437&lt;$D$1,OR(AZ437&lt;=$D$2*-1,BA437&gt;=$D$2),AX437/AW437&lt;3),"Very serious", AND(AY437&gt;$D$1*-1,AY437&lt;$D$1,AZ437&gt;$D$1*-1,BA437&lt;$D$1,AX437/AW437&gt;=3),"Very serious", AND(AY437&gt;$D$1*-1,AY437&lt;$D$1,OR(AZ437&lt;=$D$1*-1,BA437&gt;=$D$1),AZ437&gt;$D$2*-1,BA437&lt;$D$2,AX437/AW437&gt;=3),"Very serious", AND(AY437&gt;$D$1*-1,AY437&lt;$D$1,OR(AZ437&lt;=$D$2*-1,BA437&gt;=$D$2),AX437/AW437&gt;=3),"Very serious"),""))</f>
        <v/>
      </c>
      <c r="BF437" s="107" t="str">
        <f t="shared" si="11"/>
        <v/>
      </c>
      <c r="BG437" s="94" t="str">
        <f t="shared" si="46"/>
        <v/>
      </c>
      <c r="BH437" s="64" t="str">
        <f t="shared" si="12"/>
        <v>#N/A</v>
      </c>
      <c r="BI437" s="64" t="str">
        <f t="shared" si="13"/>
        <v/>
      </c>
      <c r="BJ437" s="123" t="str">
        <f t="shared" si="14"/>
        <v>#N/A</v>
      </c>
      <c r="BK437" s="64" t="str">
        <f t="shared" si="50"/>
        <v>YES</v>
      </c>
      <c r="BL437" s="64" t="str">
        <f t="shared" si="16"/>
        <v>YES</v>
      </c>
      <c r="BM437" s="64" t="str">
        <f t="shared" si="17"/>
        <v>YES</v>
      </c>
      <c r="BN437" s="124" t="str">
        <f t="shared" si="18"/>
        <v/>
      </c>
      <c r="BO437" s="91" t="str">
        <f t="shared" si="19"/>
        <v/>
      </c>
      <c r="BP437" s="91" t="str">
        <f t="shared" si="20"/>
        <v>#N/A</v>
      </c>
      <c r="BQ437" s="91" t="str">
        <f t="shared" si="21"/>
        <v/>
      </c>
      <c r="BR437" s="93" t="str">
        <f t="shared" si="22"/>
        <v/>
      </c>
      <c r="BS437" s="90" t="str">
        <f t="shared" si="23"/>
        <v/>
      </c>
      <c r="BT437" s="93" t="str">
        <f t="shared" si="24"/>
        <v>NA</v>
      </c>
      <c r="BU437" s="125" t="str">
        <f t="shared" si="25"/>
        <v>#N/A</v>
      </c>
      <c r="BV437" s="93" t="str">
        <f t="shared" si="26"/>
        <v/>
      </c>
      <c r="BW437" s="93" t="str">
        <f t="shared" si="27"/>
        <v/>
      </c>
      <c r="BX437" s="93" t="str">
        <f t="shared" si="28"/>
        <v>NA</v>
      </c>
      <c r="BY437" s="95" t="str">
        <f t="shared" si="29"/>
        <v>#N/A</v>
      </c>
      <c r="BZ437" s="93" t="str">
        <f t="shared" si="30"/>
        <v/>
      </c>
      <c r="CA437" s="93" t="str">
        <f t="shared" si="31"/>
        <v/>
      </c>
      <c r="CB437" s="93" t="str">
        <f t="shared" si="32"/>
        <v>NA</v>
      </c>
      <c r="CC437" s="96" t="str">
        <f t="shared" si="33"/>
        <v>#N/A</v>
      </c>
      <c r="CD437" s="93" t="str">
        <f t="shared" si="34"/>
        <v/>
      </c>
      <c r="CE437" s="93" t="str">
        <f t="shared" si="35"/>
        <v/>
      </c>
      <c r="CF437" s="93" t="str">
        <f t="shared" si="36"/>
        <v>NA</v>
      </c>
      <c r="CG437" s="97" t="str">
        <f t="shared" si="37"/>
        <v>#N/A</v>
      </c>
      <c r="CH437" s="98" t="str">
        <f t="shared" si="38"/>
        <v>#N/A</v>
      </c>
      <c r="CI437" s="99" t="str">
        <f t="shared" si="39"/>
        <v>#N/A</v>
      </c>
      <c r="CJ437" s="126" t="str">
        <f t="shared" si="40"/>
        <v>ERROR: check cell</v>
      </c>
      <c r="CK437" s="126"/>
      <c r="CL437" s="127" t="str">
        <f t="shared" si="41"/>
        <v>#DIV/0!</v>
      </c>
      <c r="CM437" s="128" t="str">
        <f t="shared" si="42"/>
        <v>#DIV/0!</v>
      </c>
      <c r="CN437" s="128">
        <f t="shared" si="43"/>
        <v>4</v>
      </c>
      <c r="CO437" s="129">
        <f t="shared" si="44"/>
        <v>4</v>
      </c>
      <c r="CP437" s="129" t="str">
        <f>IFS(C437=Preferences!B$13,B437,B437=Preferences!B$13,C437)</f>
        <v>#N/A</v>
      </c>
    </row>
    <row r="438" ht="13.5" customHeight="1">
      <c r="A438" s="63" t="str">
        <f t="shared" si="45"/>
        <v/>
      </c>
      <c r="B438" s="64"/>
      <c r="C438" s="64"/>
      <c r="D438" s="64"/>
      <c r="E438" s="65"/>
      <c r="F438" s="65"/>
      <c r="G438" s="65"/>
      <c r="H438" s="66"/>
      <c r="I438" s="66"/>
      <c r="J438" s="67"/>
      <c r="K438" s="68"/>
      <c r="L438" s="104"/>
      <c r="M438" s="104"/>
      <c r="N438" s="104"/>
      <c r="O438" s="104"/>
      <c r="P438" s="107" t="str">
        <f t="shared" si="1"/>
        <v/>
      </c>
      <c r="Q438" s="108" t="str">
        <f>IFERROR(IF(AND(Preferences!B$3="Manual",OR(AX438/AW438&gt;G438/F438,BD438="Serious",BD438="Very serious")),"Assess imprecision",IFS(ISBLANK(E438),"",AND(Preferences!B$3="Automatic", G438/F438&gt;=30),"Extremely serious",AND(H438&lt;=$D$1*-1,J438&lt;0,G438/F438&lt;3),"Not serious",AND(H438&lt;=$D$1*-1,J438&lt;0,G438/F438&gt;=3),"Very serious",AND(H438&gt;=$D$1,I438&gt;0,G438/F438&lt;3),"Not serious",AND(H438&gt;=$D$1,I438&gt;0,G438/F438&gt;=3),"Very serious",AND(H438&lt;=$D$1*-1,J438&gt;0,I438&gt;$D$2*-1,G438/F438&lt;3),"Serious", AND(H438&lt;=$D$1*-1,J438&gt;0,I438&lt;$D$2*-1,G438/F438&lt;3),"Very serious", AND(H438&gt;=$D$1,I438&lt;0,J438&lt;$D$2,G438/F438&lt;3),"Serious",AND(H438&gt;=$D$1,I438&lt;0,J438&gt;$D$2,G438/F438&lt;3),"Very serious", AND(H438&lt;=$D$1*-1,J438&gt;0,I438&gt;$D$2*-1,G438/F438&gt;=3),"Very serious", AND(H438&lt;=$D$1*-1,J438&gt;0,I438&lt;$D$2*-1,G438/F438&gt;=3),"Very serious", AND(H438&gt;=$D$1,I438&lt;0,J438&lt;$D$2,G438/F438&gt;=3),"Very serious", AND(H438&gt;=$D$1,I438&lt;0,J438&gt;$D$2,G438/F438&gt;=3),"Very serious", AND(H438&gt;$D$1*-1,H438&lt;$D$1,I438&gt;$D$1*-1,J438&lt;$D$1,G438/F438&lt;3),"Not serious", AND(H438&gt;$D$1*-1,H438&lt;$D$1,OR(I438&lt;=$D$1*-1,J438&gt;=$D$1),I438&gt;$D$2*-1,J438&lt;$D$2,G438/F438&lt;3),"Serious", AND(H438&gt;$D$1*-1,H438&lt;$D$1,OR(I438&lt;=$D$2*-1,J438&gt;=$D$2),G438/F438&lt;3),"Very serious", AND(H438&gt;$D$1*-1,H438&lt;$D$1,I438&gt;$D$1*-1,J438&lt;$D$1,G438/F438&gt;=3),"Very serious", AND(H438&gt;$D$1*-1,H438&lt;$D$1,OR(I438&lt;=$D$1*-1,J438&gt;=$D$1),I438&gt;$D$2*-1,J438&lt;$D$2,G438/F438&gt;=3),"Very serious", AND(H438&gt;$D$1*-1,H438&lt;$D$1,OR(I438&lt;=$D$2*-1,J438&gt;=$D$2),G438/F438&gt;=3),"Very serious")),"")</f>
        <v/>
      </c>
      <c r="R438" s="109" t="str">
        <f t="shared" si="47"/>
        <v/>
      </c>
      <c r="S438" s="64"/>
      <c r="T438" s="72"/>
      <c r="U438" s="72"/>
      <c r="V438" s="72"/>
      <c r="W438" s="73"/>
      <c r="X438" s="73"/>
      <c r="Y438" s="74"/>
      <c r="Z438" s="113" t="str">
        <f t="array" ref="Z438">INDEX($A$1:$C$500, MATCH(1,($B:$B=$B438)*($C:$C=$AB438),0),1)</f>
        <v/>
      </c>
      <c r="AA438" s="113" t="str">
        <f t="array" ref="AA438">INDEX($A$1:$C$500, MATCH(1,($B:$B=$AB438)*($C:$C=$B438),0),1)</f>
        <v/>
      </c>
      <c r="AB438" s="111"/>
      <c r="AC438" s="114" t="str">
        <f t="shared" si="2"/>
        <v/>
      </c>
      <c r="AD438" s="115" t="str">
        <f t="shared" si="3"/>
        <v/>
      </c>
      <c r="AE438" s="116" t="str">
        <f t="array" ref="AE438">INDEX($A$1:$C$500, MATCH(1,($B:$B=$AB438)*($C:$C=$AG438),0),1)</f>
        <v/>
      </c>
      <c r="AF438" s="116" t="str">
        <f t="array" ref="AF438">INDEX($A$1:$C$500, MATCH(1,($B:$B=$AG438)*($C:$C=$AB438),0),1)</f>
        <v/>
      </c>
      <c r="AG438" s="72"/>
      <c r="AH438" s="114" t="str">
        <f t="shared" si="4"/>
        <v/>
      </c>
      <c r="AI438" s="115" t="str">
        <f t="shared" si="5"/>
        <v/>
      </c>
      <c r="AJ438" s="116" t="str">
        <f t="array" ref="AJ438">INDEX($A$1:$C$500, MATCH(1,($B:$B=$C438)*($C:$C=$AG438),0),1)</f>
        <v/>
      </c>
      <c r="AK438" s="116" t="str">
        <f t="array" ref="AK438">INDEX($A$1:$C$500, MATCH(1,($B:$B=$AG438)*($C:$C=$C438),0),1)</f>
        <v/>
      </c>
      <c r="AL438" s="116" t="str">
        <f t="array" ref="AL438">INDEX($A$1:$C$500, MATCH(1,($B:$B=$C438)*($C:$C=$AB438),0),1)</f>
        <v/>
      </c>
      <c r="AM438" s="116" t="str">
        <f t="array" ref="AM438">INDEX($A$1:$C$500, MATCH(1,($B:$B=$AB438)*($C:$C=$C438),0),1)</f>
        <v/>
      </c>
      <c r="AN438" s="114" t="str">
        <f t="array" ref="AN438">IFS(ISNUMBER(AJ438),AJ438,ISNUMBER(AK438),AK438,ISNUMBER(AL438),AL438,ISNUMBER(AM438),AM438)</f>
        <v>#N/A</v>
      </c>
      <c r="AO438" s="115" t="str">
        <f t="shared" si="6"/>
        <v/>
      </c>
      <c r="AP438" s="115" t="str">
        <f t="shared" si="7"/>
        <v/>
      </c>
      <c r="AQ438" s="111"/>
      <c r="AR438" s="109" t="str">
        <f t="shared" si="8"/>
        <v/>
      </c>
      <c r="AS438" s="72" t="str">
        <f>IFERROR(IF(AND(Preferences!B$3="Manual",OR(AX438/AW438&gt;V438/U438,BD438="Serious",BD438="Very serious")),"Assess imprecision",IFERROR(IFS(AND(Preferences!B$3="Automatic",V438/U438&gt;=30),"Extremely serious",AND(W438&lt;=$D$1*-1,Y438&lt;0,V438/U438&lt;3),"Not Serious",AND(W438&lt;=$D$1*-1,Y438&lt;0,V438/U438&gt;=3),"Very serious",AND(W438&gt;=$D$1,X438&gt;0,V438/U438&lt;3),"Not Serious",AND(W438&gt;=$D$1,X438&gt;0,V438/U438&gt;=3),"Very serious",AND(W438&lt;=$D$1*-1,Y438&gt;0,X438&gt;$D$2*-1,V438/U438&lt;3),"Serious", AND(W438&lt;=$D$1*-1,Y438&gt;0,X438&lt;$D$2*-1,V438/U438&lt;3),"Very serious", AND(W438&gt;=$D$1,X438&lt;0,Y438&lt;$D$2,V438/U438&lt;3),"Serious",AND(W438&gt;=$D$1,X438&lt;0,Y438&gt;$D$2,V438/U438&lt;3),"Very serious", AND(W438&lt;=$D$1*-1,Y438&gt;0,X438&gt;$D$2*-1,V438/U438&gt;=3),"Very serious", AND(W438&lt;=$D$1*-1,Y438&gt;0,X438&lt;$D$2*-1,V438/U438&gt;=3),"Very serious", AND(W438&gt;=$D$1,X438&lt;0,Y438&lt;$D$2,V438/U438&gt;=3),"Very serious", AND(W438&gt;=$D$1,X438&lt;0,Y438&gt;$D$2,V438/U438&gt;=3),"Very serious", AND(W438&gt;$D$1*-1,W438&lt;$D$1,X438&gt;$D$1*-1,Y438&lt;$D$1,V438/U438&lt;3),"Not Serious", AND(W438&gt;$D$1*-1,W438&lt;$D$1,OR(X438&lt;=$D$1*-1,Y438&gt;=$D$1),X438&gt;$D$2*-1,Y438&lt;$D$2,V438/U438&lt;3),"Serious", AND(W438&gt;$D$1*-1,W438&lt;$D$1,OR(X438&lt;=$D$2*-1,Y438&gt;=$D$2),V438/U438&lt;3),"Very serious", AND(W438&gt;$D$1*-1,W438&lt;$D$1,X438&gt;$D$1*-1,Y438&lt;$D$1,V438/U438&gt;=3),"Very serious", AND(W438&gt;$D$1*-1,W438&lt;$D$1,OR(X438&lt;=$D$1*-1,Y438&gt;=$D$1),X438&gt;$D$2*-1,Y438&lt;$D$2,V438/U438&gt;=3),"Very serious", AND(W438&gt;$D$1*-1,W438&lt;$D$1,OR(X438&lt;=$D$2*-1,Y438&gt;=$D$2),V438/U438&gt;=3),"Very serious"),"")),"")</f>
        <v/>
      </c>
      <c r="AT438" s="109" t="str">
        <f t="shared" si="9"/>
        <v/>
      </c>
      <c r="AU438" s="64"/>
      <c r="AV438" s="83"/>
      <c r="AW438" s="83"/>
      <c r="AX438" s="83"/>
      <c r="AY438" s="83"/>
      <c r="AZ438" s="83"/>
      <c r="BA438" s="85"/>
      <c r="BB438" s="86" t="str">
        <f>IF(Preferences!B$9="Manual","",IFS(ISBLANK(B438),"",AND(ISNUMBER(E438)=TRUE,ISNUMBER(T438)=FALSE),"Direct", AND(ISNUMBER(E438)=FALSE,ISNUMBER(T438)=TRUE),"Indirect", CN438=4,"Direct",AND(CL438=FALSE, CM438=TRUE,CN438-CO438&gt;-1),"Direct", AND(CL438=FALSE,CM438=TRUE, CN438-CO438&lt;0),"Check algorithm in appendix 2", AND(CL438=TRUE, CM438=FALSE,CN438-CO438&gt;0),"Check algorithm in appendix 2", AND(CL438=TRUE, CM438=FALSE,CN438-CO438=0),"Indirect", AND(CL438=TRUE, CM438=FALSE,CN438-CO438&lt;0),"Indirect", AND(CL438=FALSE,CM438=FALSE,CN438-CO438&gt;-1),"Direct", AND(CL438=FALSE,CM438=FALSE,CN438-CO438&lt;0),"Check algorithm in appendix 2", AND(CL438=TRUE,CM438=TRUE,CN438-CO438&gt;-1),"Direct", AND(CL438=TRUE,CM438=TRUE,CN438-CO438&lt;0),"Check algorithm in appendix 2"))</f>
        <v/>
      </c>
      <c r="BC438" s="120" t="str">
        <f t="shared" si="10"/>
        <v/>
      </c>
      <c r="BD438" s="140"/>
      <c r="BE438" s="122" t="str">
        <f>IF(Preferences!B$3="Manual","", IFERROR(IFS(AND(Preferences!B$3="Automatic",AX438/AW438&gt;=30),"Extremely serious",AND(AY438&lt;=$D$1*-1,BA438&lt;0,AX438/AW438&lt;3),"Not Serious",AND(AY438&lt;=$D$1*-1,BA438&lt;0,AX438/AW438&gt;=3),"Very serious",AND(AY438&gt;=$D$1,AZ438&gt;0,AX438/AW438&lt;3),"Not Serious",AND(AY438&gt;=$D$1,AZ438&gt;0,AX438/AW438&gt;=3),"Very serious",AND(AY438&lt;=$D$1*-1,BA438&gt;0,AZ438&gt;$D$2*-1,AX438/AW438&lt;3),"Serious", AND(AY438&lt;=$D$1*-1,BA438&gt;0,AZ438&lt;$D$2*-1,AX438/AW438&lt;3),"Very serious", AND(AY438&gt;=$D$1,AZ438&lt;0,BA438&lt;$D$2,AX438/AW438&lt;3),"Serious",AND(AY438&gt;=$D$1,AZ438&lt;0,BA438&gt;$D$2,AX438/AW438&lt;3),"Very serious", AND(AY438&lt;=$D$1*-1,BA438&gt;0,AZ438&gt;$D$2*-1,AX438/AW438&gt;=3),"Very serious", AND(AY438&lt;=$D$1*-1,BA438&gt;0,AZ438&lt;$D$2*-1,AX438/AW438&gt;=3),"Very serious", AND(AY438&gt;=$D$1,AZ438&lt;0,BA438&lt;$D$2,AX438/AW438&gt;=3),"Very serious", AND(AY438&gt;=$D$1,AZ438&lt;0,BA438&gt;$D$2,AX438/AW438&gt;=3),"Very serious", AND(AY438&gt;$D$1*-1,AY438&lt;$D$1,AZ438&gt;$D$1*-1,BA438&lt;$D$1,AX438/AW438&lt;3),"Not Serious", AND(AY438&gt;$D$1*-1,AY438&lt;$D$1,OR(AZ438&lt;=$D$1*-1,BA438&gt;=$D$1),AZ438&gt;$D$2*-1,BA438&lt;$D$2,AX438/AW438&lt;3),"Serious", AND(AY438&gt;$D$1*-1,AY438&lt;$D$1,OR(AZ438&lt;=$D$2*-1,BA438&gt;=$D$2),AX438/AW438&lt;3),"Very serious", AND(AY438&gt;$D$1*-1,AY438&lt;$D$1,AZ438&gt;$D$1*-1,BA438&lt;$D$1,AX438/AW438&gt;=3),"Very serious", AND(AY438&gt;$D$1*-1,AY438&lt;$D$1,OR(AZ438&lt;=$D$1*-1,BA438&gt;=$D$1),AZ438&gt;$D$2*-1,BA438&lt;$D$2,AX438/AW438&gt;=3),"Very serious", AND(AY438&gt;$D$1*-1,AY438&lt;$D$1,OR(AZ438&lt;=$D$2*-1,BA438&gt;=$D$2),AX438/AW438&gt;=3),"Very serious"),""))</f>
        <v/>
      </c>
      <c r="BF438" s="107" t="str">
        <f t="shared" si="11"/>
        <v/>
      </c>
      <c r="BG438" s="94" t="str">
        <f t="shared" si="46"/>
        <v/>
      </c>
      <c r="BH438" s="64" t="str">
        <f t="shared" si="12"/>
        <v>#N/A</v>
      </c>
      <c r="BI438" s="64" t="str">
        <f t="shared" si="13"/>
        <v/>
      </c>
      <c r="BJ438" s="123" t="str">
        <f t="shared" si="14"/>
        <v>#N/A</v>
      </c>
      <c r="BK438" s="64" t="str">
        <f t="shared" si="50"/>
        <v>YES</v>
      </c>
      <c r="BL438" s="64" t="str">
        <f t="shared" si="16"/>
        <v>YES</v>
      </c>
      <c r="BM438" s="64" t="str">
        <f t="shared" si="17"/>
        <v>YES</v>
      </c>
      <c r="BN438" s="124" t="str">
        <f t="shared" si="18"/>
        <v/>
      </c>
      <c r="BO438" s="91" t="str">
        <f t="shared" si="19"/>
        <v/>
      </c>
      <c r="BP438" s="91" t="str">
        <f t="shared" si="20"/>
        <v>#N/A</v>
      </c>
      <c r="BQ438" s="91" t="str">
        <f t="shared" si="21"/>
        <v/>
      </c>
      <c r="BR438" s="93" t="str">
        <f t="shared" si="22"/>
        <v/>
      </c>
      <c r="BS438" s="90" t="str">
        <f t="shared" si="23"/>
        <v/>
      </c>
      <c r="BT438" s="93" t="str">
        <f t="shared" si="24"/>
        <v>NA</v>
      </c>
      <c r="BU438" s="125" t="str">
        <f t="shared" si="25"/>
        <v>#N/A</v>
      </c>
      <c r="BV438" s="93" t="str">
        <f t="shared" si="26"/>
        <v/>
      </c>
      <c r="BW438" s="93" t="str">
        <f t="shared" si="27"/>
        <v/>
      </c>
      <c r="BX438" s="93" t="str">
        <f t="shared" si="28"/>
        <v>NA</v>
      </c>
      <c r="BY438" s="95" t="str">
        <f t="shared" si="29"/>
        <v>#N/A</v>
      </c>
      <c r="BZ438" s="93" t="str">
        <f t="shared" si="30"/>
        <v/>
      </c>
      <c r="CA438" s="93" t="str">
        <f t="shared" si="31"/>
        <v/>
      </c>
      <c r="CB438" s="93" t="str">
        <f t="shared" si="32"/>
        <v>NA</v>
      </c>
      <c r="CC438" s="96" t="str">
        <f t="shared" si="33"/>
        <v>#N/A</v>
      </c>
      <c r="CD438" s="93" t="str">
        <f t="shared" si="34"/>
        <v/>
      </c>
      <c r="CE438" s="93" t="str">
        <f t="shared" si="35"/>
        <v/>
      </c>
      <c r="CF438" s="93" t="str">
        <f t="shared" si="36"/>
        <v>NA</v>
      </c>
      <c r="CG438" s="97" t="str">
        <f t="shared" si="37"/>
        <v>#N/A</v>
      </c>
      <c r="CH438" s="98" t="str">
        <f t="shared" si="38"/>
        <v>#N/A</v>
      </c>
      <c r="CI438" s="99" t="str">
        <f t="shared" si="39"/>
        <v>#N/A</v>
      </c>
      <c r="CJ438" s="126" t="str">
        <f t="shared" si="40"/>
        <v>ERROR: check cell</v>
      </c>
      <c r="CK438" s="126"/>
      <c r="CL438" s="127" t="str">
        <f t="shared" si="41"/>
        <v>#DIV/0!</v>
      </c>
      <c r="CM438" s="128" t="str">
        <f t="shared" si="42"/>
        <v>#DIV/0!</v>
      </c>
      <c r="CN438" s="128">
        <f t="shared" si="43"/>
        <v>4</v>
      </c>
      <c r="CO438" s="129">
        <f t="shared" si="44"/>
        <v>4</v>
      </c>
      <c r="CP438" s="129" t="str">
        <f>IFS(C438=Preferences!B$13,B438,B438=Preferences!B$13,C438)</f>
        <v>#N/A</v>
      </c>
    </row>
    <row r="439" ht="13.5" customHeight="1">
      <c r="A439" s="63" t="str">
        <f t="shared" si="45"/>
        <v/>
      </c>
      <c r="B439" s="64"/>
      <c r="C439" s="64"/>
      <c r="D439" s="64"/>
      <c r="E439" s="65"/>
      <c r="F439" s="65"/>
      <c r="G439" s="65"/>
      <c r="H439" s="66"/>
      <c r="I439" s="66"/>
      <c r="J439" s="67"/>
      <c r="K439" s="68"/>
      <c r="L439" s="104"/>
      <c r="M439" s="104"/>
      <c r="N439" s="104"/>
      <c r="O439" s="104"/>
      <c r="P439" s="107" t="str">
        <f t="shared" si="1"/>
        <v/>
      </c>
      <c r="Q439" s="108" t="str">
        <f>IFERROR(IF(AND(Preferences!B$3="Manual",OR(AX439/AW439&gt;G439/F439,BD439="Serious",BD439="Very serious")),"Assess imprecision",IFS(ISBLANK(E439),"",AND(Preferences!B$3="Automatic", G439/F439&gt;=30),"Extremely serious",AND(H439&lt;=$D$1*-1,J439&lt;0,G439/F439&lt;3),"Not serious",AND(H439&lt;=$D$1*-1,J439&lt;0,G439/F439&gt;=3),"Very serious",AND(H439&gt;=$D$1,I439&gt;0,G439/F439&lt;3),"Not serious",AND(H439&gt;=$D$1,I439&gt;0,G439/F439&gt;=3),"Very serious",AND(H439&lt;=$D$1*-1,J439&gt;0,I439&gt;$D$2*-1,G439/F439&lt;3),"Serious", AND(H439&lt;=$D$1*-1,J439&gt;0,I439&lt;$D$2*-1,G439/F439&lt;3),"Very serious", AND(H439&gt;=$D$1,I439&lt;0,J439&lt;$D$2,G439/F439&lt;3),"Serious",AND(H439&gt;=$D$1,I439&lt;0,J439&gt;$D$2,G439/F439&lt;3),"Very serious", AND(H439&lt;=$D$1*-1,J439&gt;0,I439&gt;$D$2*-1,G439/F439&gt;=3),"Very serious", AND(H439&lt;=$D$1*-1,J439&gt;0,I439&lt;$D$2*-1,G439/F439&gt;=3),"Very serious", AND(H439&gt;=$D$1,I439&lt;0,J439&lt;$D$2,G439/F439&gt;=3),"Very serious", AND(H439&gt;=$D$1,I439&lt;0,J439&gt;$D$2,G439/F439&gt;=3),"Very serious", AND(H439&gt;$D$1*-1,H439&lt;$D$1,I439&gt;$D$1*-1,J439&lt;$D$1,G439/F439&lt;3),"Not serious", AND(H439&gt;$D$1*-1,H439&lt;$D$1,OR(I439&lt;=$D$1*-1,J439&gt;=$D$1),I439&gt;$D$2*-1,J439&lt;$D$2,G439/F439&lt;3),"Serious", AND(H439&gt;$D$1*-1,H439&lt;$D$1,OR(I439&lt;=$D$2*-1,J439&gt;=$D$2),G439/F439&lt;3),"Very serious", AND(H439&gt;$D$1*-1,H439&lt;$D$1,I439&gt;$D$1*-1,J439&lt;$D$1,G439/F439&gt;=3),"Very serious", AND(H439&gt;$D$1*-1,H439&lt;$D$1,OR(I439&lt;=$D$1*-1,J439&gt;=$D$1),I439&gt;$D$2*-1,J439&lt;$D$2,G439/F439&gt;=3),"Very serious", AND(H439&gt;$D$1*-1,H439&lt;$D$1,OR(I439&lt;=$D$2*-1,J439&gt;=$D$2),G439/F439&gt;=3),"Very serious")),"")</f>
        <v/>
      </c>
      <c r="R439" s="109" t="str">
        <f t="shared" si="47"/>
        <v/>
      </c>
      <c r="S439" s="64"/>
      <c r="T439" s="72"/>
      <c r="U439" s="72"/>
      <c r="V439" s="72"/>
      <c r="W439" s="73"/>
      <c r="X439" s="73"/>
      <c r="Y439" s="74"/>
      <c r="Z439" s="113" t="str">
        <f t="array" ref="Z439">INDEX($A$1:$C$500, MATCH(1,($B:$B=$B439)*($C:$C=$AB439),0),1)</f>
        <v/>
      </c>
      <c r="AA439" s="113" t="str">
        <f t="array" ref="AA439">INDEX($A$1:$C$500, MATCH(1,($B:$B=$AB439)*($C:$C=$B439),0),1)</f>
        <v/>
      </c>
      <c r="AB439" s="111"/>
      <c r="AC439" s="114" t="str">
        <f t="shared" si="2"/>
        <v/>
      </c>
      <c r="AD439" s="115" t="str">
        <f t="shared" si="3"/>
        <v/>
      </c>
      <c r="AE439" s="116" t="str">
        <f t="array" ref="AE439">INDEX($A$1:$C$500, MATCH(1,($B:$B=$AB439)*($C:$C=$AG439),0),1)</f>
        <v/>
      </c>
      <c r="AF439" s="116" t="str">
        <f t="array" ref="AF439">INDEX($A$1:$C$500, MATCH(1,($B:$B=$AG439)*($C:$C=$AB439),0),1)</f>
        <v/>
      </c>
      <c r="AG439" s="72"/>
      <c r="AH439" s="114" t="str">
        <f t="shared" si="4"/>
        <v/>
      </c>
      <c r="AI439" s="115" t="str">
        <f t="shared" si="5"/>
        <v/>
      </c>
      <c r="AJ439" s="116" t="str">
        <f t="array" ref="AJ439">INDEX($A$1:$C$500, MATCH(1,($B:$B=$C439)*($C:$C=$AG439),0),1)</f>
        <v/>
      </c>
      <c r="AK439" s="116" t="str">
        <f t="array" ref="AK439">INDEX($A$1:$C$500, MATCH(1,($B:$B=$AG439)*($C:$C=$C439),0),1)</f>
        <v/>
      </c>
      <c r="AL439" s="116" t="str">
        <f t="array" ref="AL439">INDEX($A$1:$C$500, MATCH(1,($B:$B=$C439)*($C:$C=$AB439),0),1)</f>
        <v/>
      </c>
      <c r="AM439" s="116" t="str">
        <f t="array" ref="AM439">INDEX($A$1:$C$500, MATCH(1,($B:$B=$AB439)*($C:$C=$C439),0),1)</f>
        <v/>
      </c>
      <c r="AN439" s="114" t="str">
        <f t="array" ref="AN439">IFS(ISNUMBER(AJ439),AJ439,ISNUMBER(AK439),AK439,ISNUMBER(AL439),AL439,ISNUMBER(AM439),AM439)</f>
        <v>#N/A</v>
      </c>
      <c r="AO439" s="115" t="str">
        <f t="shared" si="6"/>
        <v/>
      </c>
      <c r="AP439" s="115" t="str">
        <f t="shared" si="7"/>
        <v/>
      </c>
      <c r="AQ439" s="111"/>
      <c r="AR439" s="109" t="str">
        <f t="shared" si="8"/>
        <v/>
      </c>
      <c r="AS439" s="72" t="str">
        <f>IFERROR(IF(AND(Preferences!B$3="Manual",OR(AX439/AW439&gt;V439/U439,BD439="Serious",BD439="Very serious")),"Assess imprecision",IFERROR(IFS(AND(Preferences!B$3="Automatic",V439/U439&gt;=30),"Extremely serious",AND(W439&lt;=$D$1*-1,Y439&lt;0,V439/U439&lt;3),"Not Serious",AND(W439&lt;=$D$1*-1,Y439&lt;0,V439/U439&gt;=3),"Very serious",AND(W439&gt;=$D$1,X439&gt;0,V439/U439&lt;3),"Not Serious",AND(W439&gt;=$D$1,X439&gt;0,V439/U439&gt;=3),"Very serious",AND(W439&lt;=$D$1*-1,Y439&gt;0,X439&gt;$D$2*-1,V439/U439&lt;3),"Serious", AND(W439&lt;=$D$1*-1,Y439&gt;0,X439&lt;$D$2*-1,V439/U439&lt;3),"Very serious", AND(W439&gt;=$D$1,X439&lt;0,Y439&lt;$D$2,V439/U439&lt;3),"Serious",AND(W439&gt;=$D$1,X439&lt;0,Y439&gt;$D$2,V439/U439&lt;3),"Very serious", AND(W439&lt;=$D$1*-1,Y439&gt;0,X439&gt;$D$2*-1,V439/U439&gt;=3),"Very serious", AND(W439&lt;=$D$1*-1,Y439&gt;0,X439&lt;$D$2*-1,V439/U439&gt;=3),"Very serious", AND(W439&gt;=$D$1,X439&lt;0,Y439&lt;$D$2,V439/U439&gt;=3),"Very serious", AND(W439&gt;=$D$1,X439&lt;0,Y439&gt;$D$2,V439/U439&gt;=3),"Very serious", AND(W439&gt;$D$1*-1,W439&lt;$D$1,X439&gt;$D$1*-1,Y439&lt;$D$1,V439/U439&lt;3),"Not Serious", AND(W439&gt;$D$1*-1,W439&lt;$D$1,OR(X439&lt;=$D$1*-1,Y439&gt;=$D$1),X439&gt;$D$2*-1,Y439&lt;$D$2,V439/U439&lt;3),"Serious", AND(W439&gt;$D$1*-1,W439&lt;$D$1,OR(X439&lt;=$D$2*-1,Y439&gt;=$D$2),V439/U439&lt;3),"Very serious", AND(W439&gt;$D$1*-1,W439&lt;$D$1,X439&gt;$D$1*-1,Y439&lt;$D$1,V439/U439&gt;=3),"Very serious", AND(W439&gt;$D$1*-1,W439&lt;$D$1,OR(X439&lt;=$D$1*-1,Y439&gt;=$D$1),X439&gt;$D$2*-1,Y439&lt;$D$2,V439/U439&gt;=3),"Very serious", AND(W439&gt;$D$1*-1,W439&lt;$D$1,OR(X439&lt;=$D$2*-1,Y439&gt;=$D$2),V439/U439&gt;=3),"Very serious"),"")),"")</f>
        <v/>
      </c>
      <c r="AT439" s="109" t="str">
        <f t="shared" si="9"/>
        <v/>
      </c>
      <c r="AU439" s="64"/>
      <c r="AV439" s="83"/>
      <c r="AW439" s="83"/>
      <c r="AX439" s="83"/>
      <c r="AY439" s="83"/>
      <c r="AZ439" s="83"/>
      <c r="BA439" s="85"/>
      <c r="BB439" s="86" t="str">
        <f>IF(Preferences!B$9="Manual","",IFS(ISBLANK(B439),"",AND(ISNUMBER(E439)=TRUE,ISNUMBER(T439)=FALSE),"Direct", AND(ISNUMBER(E439)=FALSE,ISNUMBER(T439)=TRUE),"Indirect", CN439=4,"Direct",AND(CL439=FALSE, CM439=TRUE,CN439-CO439&gt;-1),"Direct", AND(CL439=FALSE,CM439=TRUE, CN439-CO439&lt;0),"Check algorithm in appendix 2", AND(CL439=TRUE, CM439=FALSE,CN439-CO439&gt;0),"Check algorithm in appendix 2", AND(CL439=TRUE, CM439=FALSE,CN439-CO439=0),"Indirect", AND(CL439=TRUE, CM439=FALSE,CN439-CO439&lt;0),"Indirect", AND(CL439=FALSE,CM439=FALSE,CN439-CO439&gt;-1),"Direct", AND(CL439=FALSE,CM439=FALSE,CN439-CO439&lt;0),"Check algorithm in appendix 2", AND(CL439=TRUE,CM439=TRUE,CN439-CO439&gt;-1),"Direct", AND(CL439=TRUE,CM439=TRUE,CN439-CO439&lt;0),"Check algorithm in appendix 2"))</f>
        <v/>
      </c>
      <c r="BC439" s="120" t="str">
        <f t="shared" si="10"/>
        <v/>
      </c>
      <c r="BD439" s="140"/>
      <c r="BE439" s="122" t="str">
        <f>IF(Preferences!B$3="Manual","", IFERROR(IFS(AND(Preferences!B$3="Automatic",AX439/AW439&gt;=30),"Extremely serious",AND(AY439&lt;=$D$1*-1,BA439&lt;0,AX439/AW439&lt;3),"Not Serious",AND(AY439&lt;=$D$1*-1,BA439&lt;0,AX439/AW439&gt;=3),"Very serious",AND(AY439&gt;=$D$1,AZ439&gt;0,AX439/AW439&lt;3),"Not Serious",AND(AY439&gt;=$D$1,AZ439&gt;0,AX439/AW439&gt;=3),"Very serious",AND(AY439&lt;=$D$1*-1,BA439&gt;0,AZ439&gt;$D$2*-1,AX439/AW439&lt;3),"Serious", AND(AY439&lt;=$D$1*-1,BA439&gt;0,AZ439&lt;$D$2*-1,AX439/AW439&lt;3),"Very serious", AND(AY439&gt;=$D$1,AZ439&lt;0,BA439&lt;$D$2,AX439/AW439&lt;3),"Serious",AND(AY439&gt;=$D$1,AZ439&lt;0,BA439&gt;$D$2,AX439/AW439&lt;3),"Very serious", AND(AY439&lt;=$D$1*-1,BA439&gt;0,AZ439&gt;$D$2*-1,AX439/AW439&gt;=3),"Very serious", AND(AY439&lt;=$D$1*-1,BA439&gt;0,AZ439&lt;$D$2*-1,AX439/AW439&gt;=3),"Very serious", AND(AY439&gt;=$D$1,AZ439&lt;0,BA439&lt;$D$2,AX439/AW439&gt;=3),"Very serious", AND(AY439&gt;=$D$1,AZ439&lt;0,BA439&gt;$D$2,AX439/AW439&gt;=3),"Very serious", AND(AY439&gt;$D$1*-1,AY439&lt;$D$1,AZ439&gt;$D$1*-1,BA439&lt;$D$1,AX439/AW439&lt;3),"Not Serious", AND(AY439&gt;$D$1*-1,AY439&lt;$D$1,OR(AZ439&lt;=$D$1*-1,BA439&gt;=$D$1),AZ439&gt;$D$2*-1,BA439&lt;$D$2,AX439/AW439&lt;3),"Serious", AND(AY439&gt;$D$1*-1,AY439&lt;$D$1,OR(AZ439&lt;=$D$2*-1,BA439&gt;=$D$2),AX439/AW439&lt;3),"Very serious", AND(AY439&gt;$D$1*-1,AY439&lt;$D$1,AZ439&gt;$D$1*-1,BA439&lt;$D$1,AX439/AW439&gt;=3),"Very serious", AND(AY439&gt;$D$1*-1,AY439&lt;$D$1,OR(AZ439&lt;=$D$1*-1,BA439&gt;=$D$1),AZ439&gt;$D$2*-1,BA439&lt;$D$2,AX439/AW439&gt;=3),"Very serious", AND(AY439&gt;$D$1*-1,AY439&lt;$D$1,OR(AZ439&lt;=$D$2*-1,BA439&gt;=$D$2),AX439/AW439&gt;=3),"Very serious"),""))</f>
        <v/>
      </c>
      <c r="BF439" s="107" t="str">
        <f t="shared" si="11"/>
        <v/>
      </c>
      <c r="BG439" s="94" t="str">
        <f t="shared" si="46"/>
        <v/>
      </c>
      <c r="BH439" s="64" t="str">
        <f t="shared" si="12"/>
        <v>#N/A</v>
      </c>
      <c r="BI439" s="64" t="str">
        <f t="shared" si="13"/>
        <v/>
      </c>
      <c r="BJ439" s="123" t="str">
        <f t="shared" si="14"/>
        <v>#N/A</v>
      </c>
      <c r="BK439" s="64" t="str">
        <f t="shared" si="50"/>
        <v>YES</v>
      </c>
      <c r="BL439" s="64" t="str">
        <f t="shared" si="16"/>
        <v>YES</v>
      </c>
      <c r="BM439" s="64" t="str">
        <f t="shared" si="17"/>
        <v>YES</v>
      </c>
      <c r="BN439" s="124" t="str">
        <f t="shared" si="18"/>
        <v/>
      </c>
      <c r="BO439" s="91" t="str">
        <f t="shared" si="19"/>
        <v/>
      </c>
      <c r="BP439" s="91" t="str">
        <f t="shared" si="20"/>
        <v>#N/A</v>
      </c>
      <c r="BQ439" s="91" t="str">
        <f t="shared" si="21"/>
        <v/>
      </c>
      <c r="BR439" s="93" t="str">
        <f t="shared" si="22"/>
        <v/>
      </c>
      <c r="BS439" s="90" t="str">
        <f t="shared" si="23"/>
        <v/>
      </c>
      <c r="BT439" s="93" t="str">
        <f t="shared" si="24"/>
        <v>NA</v>
      </c>
      <c r="BU439" s="125" t="str">
        <f t="shared" si="25"/>
        <v>#N/A</v>
      </c>
      <c r="BV439" s="93" t="str">
        <f t="shared" si="26"/>
        <v/>
      </c>
      <c r="BW439" s="93" t="str">
        <f t="shared" si="27"/>
        <v/>
      </c>
      <c r="BX439" s="93" t="str">
        <f t="shared" si="28"/>
        <v>NA</v>
      </c>
      <c r="BY439" s="95" t="str">
        <f t="shared" si="29"/>
        <v>#N/A</v>
      </c>
      <c r="BZ439" s="93" t="str">
        <f t="shared" si="30"/>
        <v/>
      </c>
      <c r="CA439" s="93" t="str">
        <f t="shared" si="31"/>
        <v/>
      </c>
      <c r="CB439" s="93" t="str">
        <f t="shared" si="32"/>
        <v>NA</v>
      </c>
      <c r="CC439" s="96" t="str">
        <f t="shared" si="33"/>
        <v>#N/A</v>
      </c>
      <c r="CD439" s="93" t="str">
        <f t="shared" si="34"/>
        <v/>
      </c>
      <c r="CE439" s="93" t="str">
        <f t="shared" si="35"/>
        <v/>
      </c>
      <c r="CF439" s="93" t="str">
        <f t="shared" si="36"/>
        <v>NA</v>
      </c>
      <c r="CG439" s="97" t="str">
        <f t="shared" si="37"/>
        <v>#N/A</v>
      </c>
      <c r="CH439" s="98" t="str">
        <f t="shared" si="38"/>
        <v>#N/A</v>
      </c>
      <c r="CI439" s="99" t="str">
        <f t="shared" si="39"/>
        <v>#N/A</v>
      </c>
      <c r="CJ439" s="126" t="str">
        <f t="shared" si="40"/>
        <v>ERROR: check cell</v>
      </c>
      <c r="CK439" s="126"/>
      <c r="CL439" s="127" t="str">
        <f t="shared" si="41"/>
        <v>#DIV/0!</v>
      </c>
      <c r="CM439" s="128" t="str">
        <f t="shared" si="42"/>
        <v>#DIV/0!</v>
      </c>
      <c r="CN439" s="128">
        <f t="shared" si="43"/>
        <v>4</v>
      </c>
      <c r="CO439" s="129">
        <f t="shared" si="44"/>
        <v>4</v>
      </c>
      <c r="CP439" s="129" t="str">
        <f>IFS(C439=Preferences!B$13,B439,B439=Preferences!B$13,C439)</f>
        <v>#N/A</v>
      </c>
    </row>
    <row r="440" ht="13.5" customHeight="1">
      <c r="A440" s="63" t="str">
        <f t="shared" si="45"/>
        <v/>
      </c>
      <c r="B440" s="64"/>
      <c r="C440" s="64"/>
      <c r="D440" s="64"/>
      <c r="E440" s="65"/>
      <c r="F440" s="65"/>
      <c r="G440" s="65"/>
      <c r="H440" s="66"/>
      <c r="I440" s="66"/>
      <c r="J440" s="67"/>
      <c r="K440" s="68"/>
      <c r="L440" s="104"/>
      <c r="M440" s="104"/>
      <c r="N440" s="104"/>
      <c r="O440" s="104"/>
      <c r="P440" s="107" t="str">
        <f t="shared" si="1"/>
        <v/>
      </c>
      <c r="Q440" s="108" t="str">
        <f>IFERROR(IF(AND(Preferences!B$3="Manual",OR(AX440/AW440&gt;G440/F440,BD440="Serious",BD440="Very serious")),"Assess imprecision",IFS(ISBLANK(E440),"",AND(Preferences!B$3="Automatic", G440/F440&gt;=30),"Extremely serious",AND(H440&lt;=$D$1*-1,J440&lt;0,G440/F440&lt;3),"Not serious",AND(H440&lt;=$D$1*-1,J440&lt;0,G440/F440&gt;=3),"Very serious",AND(H440&gt;=$D$1,I440&gt;0,G440/F440&lt;3),"Not serious",AND(H440&gt;=$D$1,I440&gt;0,G440/F440&gt;=3),"Very serious",AND(H440&lt;=$D$1*-1,J440&gt;0,I440&gt;$D$2*-1,G440/F440&lt;3),"Serious", AND(H440&lt;=$D$1*-1,J440&gt;0,I440&lt;$D$2*-1,G440/F440&lt;3),"Very serious", AND(H440&gt;=$D$1,I440&lt;0,J440&lt;$D$2,G440/F440&lt;3),"Serious",AND(H440&gt;=$D$1,I440&lt;0,J440&gt;$D$2,G440/F440&lt;3),"Very serious", AND(H440&lt;=$D$1*-1,J440&gt;0,I440&gt;$D$2*-1,G440/F440&gt;=3),"Very serious", AND(H440&lt;=$D$1*-1,J440&gt;0,I440&lt;$D$2*-1,G440/F440&gt;=3),"Very serious", AND(H440&gt;=$D$1,I440&lt;0,J440&lt;$D$2,G440/F440&gt;=3),"Very serious", AND(H440&gt;=$D$1,I440&lt;0,J440&gt;$D$2,G440/F440&gt;=3),"Very serious", AND(H440&gt;$D$1*-1,H440&lt;$D$1,I440&gt;$D$1*-1,J440&lt;$D$1,G440/F440&lt;3),"Not serious", AND(H440&gt;$D$1*-1,H440&lt;$D$1,OR(I440&lt;=$D$1*-1,J440&gt;=$D$1),I440&gt;$D$2*-1,J440&lt;$D$2,G440/F440&lt;3),"Serious", AND(H440&gt;$D$1*-1,H440&lt;$D$1,OR(I440&lt;=$D$2*-1,J440&gt;=$D$2),G440/F440&lt;3),"Very serious", AND(H440&gt;$D$1*-1,H440&lt;$D$1,I440&gt;$D$1*-1,J440&lt;$D$1,G440/F440&gt;=3),"Very serious", AND(H440&gt;$D$1*-1,H440&lt;$D$1,OR(I440&lt;=$D$1*-1,J440&gt;=$D$1),I440&gt;$D$2*-1,J440&lt;$D$2,G440/F440&gt;=3),"Very serious", AND(H440&gt;$D$1*-1,H440&lt;$D$1,OR(I440&lt;=$D$2*-1,J440&gt;=$D$2),G440/F440&gt;=3),"Very serious")),"")</f>
        <v/>
      </c>
      <c r="R440" s="109" t="str">
        <f t="shared" si="47"/>
        <v/>
      </c>
      <c r="S440" s="64"/>
      <c r="T440" s="72"/>
      <c r="U440" s="72"/>
      <c r="V440" s="72"/>
      <c r="W440" s="73"/>
      <c r="X440" s="73"/>
      <c r="Y440" s="74"/>
      <c r="Z440" s="113" t="str">
        <f t="array" ref="Z440">INDEX($A$1:$C$500, MATCH(1,($B:$B=$B440)*($C:$C=$AB440),0),1)</f>
        <v/>
      </c>
      <c r="AA440" s="113" t="str">
        <f t="array" ref="AA440">INDEX($A$1:$C$500, MATCH(1,($B:$B=$AB440)*($C:$C=$B440),0),1)</f>
        <v/>
      </c>
      <c r="AB440" s="111"/>
      <c r="AC440" s="114" t="str">
        <f t="shared" si="2"/>
        <v/>
      </c>
      <c r="AD440" s="115" t="str">
        <f t="shared" si="3"/>
        <v/>
      </c>
      <c r="AE440" s="116" t="str">
        <f t="array" ref="AE440">INDEX($A$1:$C$500, MATCH(1,($B:$B=$AB440)*($C:$C=$AG440),0),1)</f>
        <v/>
      </c>
      <c r="AF440" s="116" t="str">
        <f t="array" ref="AF440">INDEX($A$1:$C$500, MATCH(1,($B:$B=$AG440)*($C:$C=$AB440),0),1)</f>
        <v/>
      </c>
      <c r="AG440" s="72"/>
      <c r="AH440" s="114" t="str">
        <f t="shared" si="4"/>
        <v/>
      </c>
      <c r="AI440" s="115" t="str">
        <f t="shared" si="5"/>
        <v/>
      </c>
      <c r="AJ440" s="116" t="str">
        <f t="array" ref="AJ440">INDEX($A$1:$C$500, MATCH(1,($B:$B=$C440)*($C:$C=$AG440),0),1)</f>
        <v/>
      </c>
      <c r="AK440" s="116" t="str">
        <f t="array" ref="AK440">INDEX($A$1:$C$500, MATCH(1,($B:$B=$AG440)*($C:$C=$C440),0),1)</f>
        <v/>
      </c>
      <c r="AL440" s="116" t="str">
        <f t="array" ref="AL440">INDEX($A$1:$C$500, MATCH(1,($B:$B=$C440)*($C:$C=$AB440),0),1)</f>
        <v/>
      </c>
      <c r="AM440" s="116" t="str">
        <f t="array" ref="AM440">INDEX($A$1:$C$500, MATCH(1,($B:$B=$AB440)*($C:$C=$C440),0),1)</f>
        <v/>
      </c>
      <c r="AN440" s="114" t="str">
        <f t="array" ref="AN440">IFS(ISNUMBER(AJ440),AJ440,ISNUMBER(AK440),AK440,ISNUMBER(AL440),AL440,ISNUMBER(AM440),AM440)</f>
        <v>#N/A</v>
      </c>
      <c r="AO440" s="115" t="str">
        <f t="shared" si="6"/>
        <v/>
      </c>
      <c r="AP440" s="115" t="str">
        <f t="shared" si="7"/>
        <v/>
      </c>
      <c r="AQ440" s="111"/>
      <c r="AR440" s="109" t="str">
        <f t="shared" si="8"/>
        <v/>
      </c>
      <c r="AS440" s="72" t="str">
        <f>IFERROR(IF(AND(Preferences!B$3="Manual",OR(AX440/AW440&gt;V440/U440,BD440="Serious",BD440="Very serious")),"Assess imprecision",IFERROR(IFS(AND(Preferences!B$3="Automatic",V440/U440&gt;=30),"Extremely serious",AND(W440&lt;=$D$1*-1,Y440&lt;0,V440/U440&lt;3),"Not Serious",AND(W440&lt;=$D$1*-1,Y440&lt;0,V440/U440&gt;=3),"Very serious",AND(W440&gt;=$D$1,X440&gt;0,V440/U440&lt;3),"Not Serious",AND(W440&gt;=$D$1,X440&gt;0,V440/U440&gt;=3),"Very serious",AND(W440&lt;=$D$1*-1,Y440&gt;0,X440&gt;$D$2*-1,V440/U440&lt;3),"Serious", AND(W440&lt;=$D$1*-1,Y440&gt;0,X440&lt;$D$2*-1,V440/U440&lt;3),"Very serious", AND(W440&gt;=$D$1,X440&lt;0,Y440&lt;$D$2,V440/U440&lt;3),"Serious",AND(W440&gt;=$D$1,X440&lt;0,Y440&gt;$D$2,V440/U440&lt;3),"Very serious", AND(W440&lt;=$D$1*-1,Y440&gt;0,X440&gt;$D$2*-1,V440/U440&gt;=3),"Very serious", AND(W440&lt;=$D$1*-1,Y440&gt;0,X440&lt;$D$2*-1,V440/U440&gt;=3),"Very serious", AND(W440&gt;=$D$1,X440&lt;0,Y440&lt;$D$2,V440/U440&gt;=3),"Very serious", AND(W440&gt;=$D$1,X440&lt;0,Y440&gt;$D$2,V440/U440&gt;=3),"Very serious", AND(W440&gt;$D$1*-1,W440&lt;$D$1,X440&gt;$D$1*-1,Y440&lt;$D$1,V440/U440&lt;3),"Not Serious", AND(W440&gt;$D$1*-1,W440&lt;$D$1,OR(X440&lt;=$D$1*-1,Y440&gt;=$D$1),X440&gt;$D$2*-1,Y440&lt;$D$2,V440/U440&lt;3),"Serious", AND(W440&gt;$D$1*-1,W440&lt;$D$1,OR(X440&lt;=$D$2*-1,Y440&gt;=$D$2),V440/U440&lt;3),"Very serious", AND(W440&gt;$D$1*-1,W440&lt;$D$1,X440&gt;$D$1*-1,Y440&lt;$D$1,V440/U440&gt;=3),"Very serious", AND(W440&gt;$D$1*-1,W440&lt;$D$1,OR(X440&lt;=$D$1*-1,Y440&gt;=$D$1),X440&gt;$D$2*-1,Y440&lt;$D$2,V440/U440&gt;=3),"Very serious", AND(W440&gt;$D$1*-1,W440&lt;$D$1,OR(X440&lt;=$D$2*-1,Y440&gt;=$D$2),V440/U440&gt;=3),"Very serious"),"")),"")</f>
        <v/>
      </c>
      <c r="AT440" s="109" t="str">
        <f t="shared" si="9"/>
        <v/>
      </c>
      <c r="AU440" s="64"/>
      <c r="AV440" s="83"/>
      <c r="AW440" s="83"/>
      <c r="AX440" s="83"/>
      <c r="AY440" s="83"/>
      <c r="AZ440" s="83"/>
      <c r="BA440" s="85"/>
      <c r="BB440" s="86" t="str">
        <f>IF(Preferences!B$9="Manual","",IFS(ISBLANK(B440),"",AND(ISNUMBER(E440)=TRUE,ISNUMBER(T440)=FALSE),"Direct", AND(ISNUMBER(E440)=FALSE,ISNUMBER(T440)=TRUE),"Indirect", CN440=4,"Direct",AND(CL440=FALSE, CM440=TRUE,CN440-CO440&gt;-1),"Direct", AND(CL440=FALSE,CM440=TRUE, CN440-CO440&lt;0),"Check algorithm in appendix 2", AND(CL440=TRUE, CM440=FALSE,CN440-CO440&gt;0),"Check algorithm in appendix 2", AND(CL440=TRUE, CM440=FALSE,CN440-CO440=0),"Indirect", AND(CL440=TRUE, CM440=FALSE,CN440-CO440&lt;0),"Indirect", AND(CL440=FALSE,CM440=FALSE,CN440-CO440&gt;-1),"Direct", AND(CL440=FALSE,CM440=FALSE,CN440-CO440&lt;0),"Check algorithm in appendix 2", AND(CL440=TRUE,CM440=TRUE,CN440-CO440&gt;-1),"Direct", AND(CL440=TRUE,CM440=TRUE,CN440-CO440&lt;0),"Check algorithm in appendix 2"))</f>
        <v/>
      </c>
      <c r="BC440" s="120" t="str">
        <f t="shared" si="10"/>
        <v/>
      </c>
      <c r="BD440" s="140"/>
      <c r="BE440" s="122" t="str">
        <f>IF(Preferences!B$3="Manual","", IFERROR(IFS(AND(Preferences!B$3="Automatic",AX440/AW440&gt;=30),"Extremely serious",AND(AY440&lt;=$D$1*-1,BA440&lt;0,AX440/AW440&lt;3),"Not Serious",AND(AY440&lt;=$D$1*-1,BA440&lt;0,AX440/AW440&gt;=3),"Very serious",AND(AY440&gt;=$D$1,AZ440&gt;0,AX440/AW440&lt;3),"Not Serious",AND(AY440&gt;=$D$1,AZ440&gt;0,AX440/AW440&gt;=3),"Very serious",AND(AY440&lt;=$D$1*-1,BA440&gt;0,AZ440&gt;$D$2*-1,AX440/AW440&lt;3),"Serious", AND(AY440&lt;=$D$1*-1,BA440&gt;0,AZ440&lt;$D$2*-1,AX440/AW440&lt;3),"Very serious", AND(AY440&gt;=$D$1,AZ440&lt;0,BA440&lt;$D$2,AX440/AW440&lt;3),"Serious",AND(AY440&gt;=$D$1,AZ440&lt;0,BA440&gt;$D$2,AX440/AW440&lt;3),"Very serious", AND(AY440&lt;=$D$1*-1,BA440&gt;0,AZ440&gt;$D$2*-1,AX440/AW440&gt;=3),"Very serious", AND(AY440&lt;=$D$1*-1,BA440&gt;0,AZ440&lt;$D$2*-1,AX440/AW440&gt;=3),"Very serious", AND(AY440&gt;=$D$1,AZ440&lt;0,BA440&lt;$D$2,AX440/AW440&gt;=3),"Very serious", AND(AY440&gt;=$D$1,AZ440&lt;0,BA440&gt;$D$2,AX440/AW440&gt;=3),"Very serious", AND(AY440&gt;$D$1*-1,AY440&lt;$D$1,AZ440&gt;$D$1*-1,BA440&lt;$D$1,AX440/AW440&lt;3),"Not Serious", AND(AY440&gt;$D$1*-1,AY440&lt;$D$1,OR(AZ440&lt;=$D$1*-1,BA440&gt;=$D$1),AZ440&gt;$D$2*-1,BA440&lt;$D$2,AX440/AW440&lt;3),"Serious", AND(AY440&gt;$D$1*-1,AY440&lt;$D$1,OR(AZ440&lt;=$D$2*-1,BA440&gt;=$D$2),AX440/AW440&lt;3),"Very serious", AND(AY440&gt;$D$1*-1,AY440&lt;$D$1,AZ440&gt;$D$1*-1,BA440&lt;$D$1,AX440/AW440&gt;=3),"Very serious", AND(AY440&gt;$D$1*-1,AY440&lt;$D$1,OR(AZ440&lt;=$D$1*-1,BA440&gt;=$D$1),AZ440&gt;$D$2*-1,BA440&lt;$D$2,AX440/AW440&gt;=3),"Very serious", AND(AY440&gt;$D$1*-1,AY440&lt;$D$1,OR(AZ440&lt;=$D$2*-1,BA440&gt;=$D$2),AX440/AW440&gt;=3),"Very serious"),""))</f>
        <v/>
      </c>
      <c r="BF440" s="107" t="str">
        <f t="shared" si="11"/>
        <v/>
      </c>
      <c r="BG440" s="94" t="str">
        <f t="shared" si="46"/>
        <v/>
      </c>
      <c r="BH440" s="64" t="str">
        <f t="shared" si="12"/>
        <v>#N/A</v>
      </c>
      <c r="BI440" s="64" t="str">
        <f t="shared" si="13"/>
        <v/>
      </c>
      <c r="BJ440" s="123" t="str">
        <f t="shared" si="14"/>
        <v>#N/A</v>
      </c>
      <c r="BK440" s="64" t="str">
        <f t="shared" si="50"/>
        <v>YES</v>
      </c>
      <c r="BL440" s="64" t="str">
        <f t="shared" si="16"/>
        <v>YES</v>
      </c>
      <c r="BM440" s="64" t="str">
        <f t="shared" si="17"/>
        <v>YES</v>
      </c>
      <c r="BN440" s="124" t="str">
        <f t="shared" si="18"/>
        <v/>
      </c>
      <c r="BO440" s="91" t="str">
        <f t="shared" si="19"/>
        <v/>
      </c>
      <c r="BP440" s="91" t="str">
        <f t="shared" si="20"/>
        <v>#N/A</v>
      </c>
      <c r="BQ440" s="91" t="str">
        <f t="shared" si="21"/>
        <v/>
      </c>
      <c r="BR440" s="93" t="str">
        <f t="shared" si="22"/>
        <v/>
      </c>
      <c r="BS440" s="90" t="str">
        <f t="shared" si="23"/>
        <v/>
      </c>
      <c r="BT440" s="93" t="str">
        <f t="shared" si="24"/>
        <v>NA</v>
      </c>
      <c r="BU440" s="125" t="str">
        <f t="shared" si="25"/>
        <v>#N/A</v>
      </c>
      <c r="BV440" s="93" t="str">
        <f t="shared" si="26"/>
        <v/>
      </c>
      <c r="BW440" s="93" t="str">
        <f t="shared" si="27"/>
        <v/>
      </c>
      <c r="BX440" s="93" t="str">
        <f t="shared" si="28"/>
        <v>NA</v>
      </c>
      <c r="BY440" s="95" t="str">
        <f t="shared" si="29"/>
        <v>#N/A</v>
      </c>
      <c r="BZ440" s="93" t="str">
        <f t="shared" si="30"/>
        <v/>
      </c>
      <c r="CA440" s="93" t="str">
        <f t="shared" si="31"/>
        <v/>
      </c>
      <c r="CB440" s="93" t="str">
        <f t="shared" si="32"/>
        <v>NA</v>
      </c>
      <c r="CC440" s="96" t="str">
        <f t="shared" si="33"/>
        <v>#N/A</v>
      </c>
      <c r="CD440" s="93" t="str">
        <f t="shared" si="34"/>
        <v/>
      </c>
      <c r="CE440" s="93" t="str">
        <f t="shared" si="35"/>
        <v/>
      </c>
      <c r="CF440" s="93" t="str">
        <f t="shared" si="36"/>
        <v>NA</v>
      </c>
      <c r="CG440" s="97" t="str">
        <f t="shared" si="37"/>
        <v>#N/A</v>
      </c>
      <c r="CH440" s="98" t="str">
        <f t="shared" si="38"/>
        <v>#N/A</v>
      </c>
      <c r="CI440" s="99" t="str">
        <f t="shared" si="39"/>
        <v>#N/A</v>
      </c>
      <c r="CJ440" s="126" t="str">
        <f t="shared" si="40"/>
        <v>ERROR: check cell</v>
      </c>
      <c r="CK440" s="126"/>
      <c r="CL440" s="127" t="str">
        <f t="shared" si="41"/>
        <v>#DIV/0!</v>
      </c>
      <c r="CM440" s="128" t="str">
        <f t="shared" si="42"/>
        <v>#DIV/0!</v>
      </c>
      <c r="CN440" s="128">
        <f t="shared" si="43"/>
        <v>4</v>
      </c>
      <c r="CO440" s="129">
        <f t="shared" si="44"/>
        <v>4</v>
      </c>
      <c r="CP440" s="129" t="str">
        <f>IFS(C440=Preferences!B$13,B440,B440=Preferences!B$13,C440)</f>
        <v>#N/A</v>
      </c>
    </row>
    <row r="441" ht="13.5" customHeight="1">
      <c r="A441" s="63" t="str">
        <f t="shared" si="45"/>
        <v/>
      </c>
      <c r="B441" s="64"/>
      <c r="C441" s="64"/>
      <c r="D441" s="64"/>
      <c r="E441" s="65"/>
      <c r="F441" s="65"/>
      <c r="G441" s="65"/>
      <c r="H441" s="66"/>
      <c r="I441" s="66"/>
      <c r="J441" s="67"/>
      <c r="K441" s="68"/>
      <c r="L441" s="104"/>
      <c r="M441" s="104"/>
      <c r="N441" s="104"/>
      <c r="O441" s="104"/>
      <c r="P441" s="107" t="str">
        <f t="shared" si="1"/>
        <v/>
      </c>
      <c r="Q441" s="108" t="str">
        <f>IFERROR(IF(AND(Preferences!B$3="Manual",OR(AX441/AW441&gt;G441/F441,BD441="Serious",BD441="Very serious")),"Assess imprecision",IFS(ISBLANK(E441),"",AND(Preferences!B$3="Automatic", G441/F441&gt;=30),"Extremely serious",AND(H441&lt;=$D$1*-1,J441&lt;0,G441/F441&lt;3),"Not serious",AND(H441&lt;=$D$1*-1,J441&lt;0,G441/F441&gt;=3),"Very serious",AND(H441&gt;=$D$1,I441&gt;0,G441/F441&lt;3),"Not serious",AND(H441&gt;=$D$1,I441&gt;0,G441/F441&gt;=3),"Very serious",AND(H441&lt;=$D$1*-1,J441&gt;0,I441&gt;$D$2*-1,G441/F441&lt;3),"Serious", AND(H441&lt;=$D$1*-1,J441&gt;0,I441&lt;$D$2*-1,G441/F441&lt;3),"Very serious", AND(H441&gt;=$D$1,I441&lt;0,J441&lt;$D$2,G441/F441&lt;3),"Serious",AND(H441&gt;=$D$1,I441&lt;0,J441&gt;$D$2,G441/F441&lt;3),"Very serious", AND(H441&lt;=$D$1*-1,J441&gt;0,I441&gt;$D$2*-1,G441/F441&gt;=3),"Very serious", AND(H441&lt;=$D$1*-1,J441&gt;0,I441&lt;$D$2*-1,G441/F441&gt;=3),"Very serious", AND(H441&gt;=$D$1,I441&lt;0,J441&lt;$D$2,G441/F441&gt;=3),"Very serious", AND(H441&gt;=$D$1,I441&lt;0,J441&gt;$D$2,G441/F441&gt;=3),"Very serious", AND(H441&gt;$D$1*-1,H441&lt;$D$1,I441&gt;$D$1*-1,J441&lt;$D$1,G441/F441&lt;3),"Not serious", AND(H441&gt;$D$1*-1,H441&lt;$D$1,OR(I441&lt;=$D$1*-1,J441&gt;=$D$1),I441&gt;$D$2*-1,J441&lt;$D$2,G441/F441&lt;3),"Serious", AND(H441&gt;$D$1*-1,H441&lt;$D$1,OR(I441&lt;=$D$2*-1,J441&gt;=$D$2),G441/F441&lt;3),"Very serious", AND(H441&gt;$D$1*-1,H441&lt;$D$1,I441&gt;$D$1*-1,J441&lt;$D$1,G441/F441&gt;=3),"Very serious", AND(H441&gt;$D$1*-1,H441&lt;$D$1,OR(I441&lt;=$D$1*-1,J441&gt;=$D$1),I441&gt;$D$2*-1,J441&lt;$D$2,G441/F441&gt;=3),"Very serious", AND(H441&gt;$D$1*-1,H441&lt;$D$1,OR(I441&lt;=$D$2*-1,J441&gt;=$D$2),G441/F441&gt;=3),"Very serious")),"")</f>
        <v/>
      </c>
      <c r="R441" s="109" t="str">
        <f t="shared" si="47"/>
        <v/>
      </c>
      <c r="S441" s="64"/>
      <c r="T441" s="72"/>
      <c r="U441" s="72"/>
      <c r="V441" s="72"/>
      <c r="W441" s="73"/>
      <c r="X441" s="73"/>
      <c r="Y441" s="74"/>
      <c r="Z441" s="113" t="str">
        <f t="array" ref="Z441">INDEX($A$1:$C$500, MATCH(1,($B:$B=$B441)*($C:$C=$AB441),0),1)</f>
        <v/>
      </c>
      <c r="AA441" s="113" t="str">
        <f t="array" ref="AA441">INDEX($A$1:$C$500, MATCH(1,($B:$B=$AB441)*($C:$C=$B441),0),1)</f>
        <v/>
      </c>
      <c r="AB441" s="111"/>
      <c r="AC441" s="114" t="str">
        <f t="shared" si="2"/>
        <v/>
      </c>
      <c r="AD441" s="115" t="str">
        <f t="shared" si="3"/>
        <v/>
      </c>
      <c r="AE441" s="116" t="str">
        <f t="array" ref="AE441">INDEX($A$1:$C$500, MATCH(1,($B:$B=$AB441)*($C:$C=$AG441),0),1)</f>
        <v/>
      </c>
      <c r="AF441" s="116" t="str">
        <f t="array" ref="AF441">INDEX($A$1:$C$500, MATCH(1,($B:$B=$AG441)*($C:$C=$AB441),0),1)</f>
        <v/>
      </c>
      <c r="AG441" s="72"/>
      <c r="AH441" s="114" t="str">
        <f t="shared" si="4"/>
        <v/>
      </c>
      <c r="AI441" s="115" t="str">
        <f t="shared" si="5"/>
        <v/>
      </c>
      <c r="AJ441" s="116" t="str">
        <f t="array" ref="AJ441">INDEX($A$1:$C$500, MATCH(1,($B:$B=$C441)*($C:$C=$AG441),0),1)</f>
        <v/>
      </c>
      <c r="AK441" s="116" t="str">
        <f t="array" ref="AK441">INDEX($A$1:$C$500, MATCH(1,($B:$B=$AG441)*($C:$C=$C441),0),1)</f>
        <v/>
      </c>
      <c r="AL441" s="116" t="str">
        <f t="array" ref="AL441">INDEX($A$1:$C$500, MATCH(1,($B:$B=$C441)*($C:$C=$AB441),0),1)</f>
        <v/>
      </c>
      <c r="AM441" s="116" t="str">
        <f t="array" ref="AM441">INDEX($A$1:$C$500, MATCH(1,($B:$B=$AB441)*($C:$C=$C441),0),1)</f>
        <v/>
      </c>
      <c r="AN441" s="114" t="str">
        <f t="array" ref="AN441">IFS(ISNUMBER(AJ441),AJ441,ISNUMBER(AK441),AK441,ISNUMBER(AL441),AL441,ISNUMBER(AM441),AM441)</f>
        <v>#N/A</v>
      </c>
      <c r="AO441" s="115" t="str">
        <f t="shared" si="6"/>
        <v/>
      </c>
      <c r="AP441" s="115" t="str">
        <f t="shared" si="7"/>
        <v/>
      </c>
      <c r="AQ441" s="111"/>
      <c r="AR441" s="109" t="str">
        <f t="shared" si="8"/>
        <v/>
      </c>
      <c r="AS441" s="72" t="str">
        <f>IFERROR(IF(AND(Preferences!B$3="Manual",OR(AX441/AW441&gt;V441/U441,BD441="Serious",BD441="Very serious")),"Assess imprecision",IFERROR(IFS(AND(Preferences!B$3="Automatic",V441/U441&gt;=30),"Extremely serious",AND(W441&lt;=$D$1*-1,Y441&lt;0,V441/U441&lt;3),"Not Serious",AND(W441&lt;=$D$1*-1,Y441&lt;0,V441/U441&gt;=3),"Very serious",AND(W441&gt;=$D$1,X441&gt;0,V441/U441&lt;3),"Not Serious",AND(W441&gt;=$D$1,X441&gt;0,V441/U441&gt;=3),"Very serious",AND(W441&lt;=$D$1*-1,Y441&gt;0,X441&gt;$D$2*-1,V441/U441&lt;3),"Serious", AND(W441&lt;=$D$1*-1,Y441&gt;0,X441&lt;$D$2*-1,V441/U441&lt;3),"Very serious", AND(W441&gt;=$D$1,X441&lt;0,Y441&lt;$D$2,V441/U441&lt;3),"Serious",AND(W441&gt;=$D$1,X441&lt;0,Y441&gt;$D$2,V441/U441&lt;3),"Very serious", AND(W441&lt;=$D$1*-1,Y441&gt;0,X441&gt;$D$2*-1,V441/U441&gt;=3),"Very serious", AND(W441&lt;=$D$1*-1,Y441&gt;0,X441&lt;$D$2*-1,V441/U441&gt;=3),"Very serious", AND(W441&gt;=$D$1,X441&lt;0,Y441&lt;$D$2,V441/U441&gt;=3),"Very serious", AND(W441&gt;=$D$1,X441&lt;0,Y441&gt;$D$2,V441/U441&gt;=3),"Very serious", AND(W441&gt;$D$1*-1,W441&lt;$D$1,X441&gt;$D$1*-1,Y441&lt;$D$1,V441/U441&lt;3),"Not Serious", AND(W441&gt;$D$1*-1,W441&lt;$D$1,OR(X441&lt;=$D$1*-1,Y441&gt;=$D$1),X441&gt;$D$2*-1,Y441&lt;$D$2,V441/U441&lt;3),"Serious", AND(W441&gt;$D$1*-1,W441&lt;$D$1,OR(X441&lt;=$D$2*-1,Y441&gt;=$D$2),V441/U441&lt;3),"Very serious", AND(W441&gt;$D$1*-1,W441&lt;$D$1,X441&gt;$D$1*-1,Y441&lt;$D$1,V441/U441&gt;=3),"Very serious", AND(W441&gt;$D$1*-1,W441&lt;$D$1,OR(X441&lt;=$D$1*-1,Y441&gt;=$D$1),X441&gt;$D$2*-1,Y441&lt;$D$2,V441/U441&gt;=3),"Very serious", AND(W441&gt;$D$1*-1,W441&lt;$D$1,OR(X441&lt;=$D$2*-1,Y441&gt;=$D$2),V441/U441&gt;=3),"Very serious"),"")),"")</f>
        <v/>
      </c>
      <c r="AT441" s="109" t="str">
        <f t="shared" si="9"/>
        <v/>
      </c>
      <c r="AU441" s="64"/>
      <c r="AV441" s="83"/>
      <c r="AW441" s="83"/>
      <c r="AX441" s="83"/>
      <c r="AY441" s="83"/>
      <c r="AZ441" s="83"/>
      <c r="BA441" s="85"/>
      <c r="BB441" s="86" t="str">
        <f>IF(Preferences!B$9="Manual","",IFS(ISBLANK(B441),"",AND(ISNUMBER(E441)=TRUE,ISNUMBER(T441)=FALSE),"Direct", AND(ISNUMBER(E441)=FALSE,ISNUMBER(T441)=TRUE),"Indirect", CN441=4,"Direct",AND(CL441=FALSE, CM441=TRUE,CN441-CO441&gt;-1),"Direct", AND(CL441=FALSE,CM441=TRUE, CN441-CO441&lt;0),"Check algorithm in appendix 2", AND(CL441=TRUE, CM441=FALSE,CN441-CO441&gt;0),"Check algorithm in appendix 2", AND(CL441=TRUE, CM441=FALSE,CN441-CO441=0),"Indirect", AND(CL441=TRUE, CM441=FALSE,CN441-CO441&lt;0),"Indirect", AND(CL441=FALSE,CM441=FALSE,CN441-CO441&gt;-1),"Direct", AND(CL441=FALSE,CM441=FALSE,CN441-CO441&lt;0),"Check algorithm in appendix 2", AND(CL441=TRUE,CM441=TRUE,CN441-CO441&gt;-1),"Direct", AND(CL441=TRUE,CM441=TRUE,CN441-CO441&lt;0),"Check algorithm in appendix 2"))</f>
        <v/>
      </c>
      <c r="BC441" s="120" t="str">
        <f t="shared" si="10"/>
        <v/>
      </c>
      <c r="BD441" s="140"/>
      <c r="BE441" s="122" t="str">
        <f>IF(Preferences!B$3="Manual","", IFERROR(IFS(AND(Preferences!B$3="Automatic",AX441/AW441&gt;=30),"Extremely serious",AND(AY441&lt;=$D$1*-1,BA441&lt;0,AX441/AW441&lt;3),"Not Serious",AND(AY441&lt;=$D$1*-1,BA441&lt;0,AX441/AW441&gt;=3),"Very serious",AND(AY441&gt;=$D$1,AZ441&gt;0,AX441/AW441&lt;3),"Not Serious",AND(AY441&gt;=$D$1,AZ441&gt;0,AX441/AW441&gt;=3),"Very serious",AND(AY441&lt;=$D$1*-1,BA441&gt;0,AZ441&gt;$D$2*-1,AX441/AW441&lt;3),"Serious", AND(AY441&lt;=$D$1*-1,BA441&gt;0,AZ441&lt;$D$2*-1,AX441/AW441&lt;3),"Very serious", AND(AY441&gt;=$D$1,AZ441&lt;0,BA441&lt;$D$2,AX441/AW441&lt;3),"Serious",AND(AY441&gt;=$D$1,AZ441&lt;0,BA441&gt;$D$2,AX441/AW441&lt;3),"Very serious", AND(AY441&lt;=$D$1*-1,BA441&gt;0,AZ441&gt;$D$2*-1,AX441/AW441&gt;=3),"Very serious", AND(AY441&lt;=$D$1*-1,BA441&gt;0,AZ441&lt;$D$2*-1,AX441/AW441&gt;=3),"Very serious", AND(AY441&gt;=$D$1,AZ441&lt;0,BA441&lt;$D$2,AX441/AW441&gt;=3),"Very serious", AND(AY441&gt;=$D$1,AZ441&lt;0,BA441&gt;$D$2,AX441/AW441&gt;=3),"Very serious", AND(AY441&gt;$D$1*-1,AY441&lt;$D$1,AZ441&gt;$D$1*-1,BA441&lt;$D$1,AX441/AW441&lt;3),"Not Serious", AND(AY441&gt;$D$1*-1,AY441&lt;$D$1,OR(AZ441&lt;=$D$1*-1,BA441&gt;=$D$1),AZ441&gt;$D$2*-1,BA441&lt;$D$2,AX441/AW441&lt;3),"Serious", AND(AY441&gt;$D$1*-1,AY441&lt;$D$1,OR(AZ441&lt;=$D$2*-1,BA441&gt;=$D$2),AX441/AW441&lt;3),"Very serious", AND(AY441&gt;$D$1*-1,AY441&lt;$D$1,AZ441&gt;$D$1*-1,BA441&lt;$D$1,AX441/AW441&gt;=3),"Very serious", AND(AY441&gt;$D$1*-1,AY441&lt;$D$1,OR(AZ441&lt;=$D$1*-1,BA441&gt;=$D$1),AZ441&gt;$D$2*-1,BA441&lt;$D$2,AX441/AW441&gt;=3),"Very serious", AND(AY441&gt;$D$1*-1,AY441&lt;$D$1,OR(AZ441&lt;=$D$2*-1,BA441&gt;=$D$2),AX441/AW441&gt;=3),"Very serious"),""))</f>
        <v/>
      </c>
      <c r="BF441" s="107" t="str">
        <f t="shared" si="11"/>
        <v/>
      </c>
      <c r="BG441" s="94" t="str">
        <f t="shared" si="46"/>
        <v/>
      </c>
      <c r="BH441" s="64" t="str">
        <f t="shared" si="12"/>
        <v>#N/A</v>
      </c>
      <c r="BI441" s="64" t="str">
        <f t="shared" si="13"/>
        <v/>
      </c>
      <c r="BJ441" s="123" t="str">
        <f t="shared" si="14"/>
        <v>#N/A</v>
      </c>
      <c r="BK441" s="64" t="str">
        <f t="shared" si="50"/>
        <v>YES</v>
      </c>
      <c r="BL441" s="64" t="str">
        <f t="shared" si="16"/>
        <v>YES</v>
      </c>
      <c r="BM441" s="64" t="str">
        <f t="shared" si="17"/>
        <v>YES</v>
      </c>
      <c r="BN441" s="124" t="str">
        <f t="shared" si="18"/>
        <v/>
      </c>
      <c r="BO441" s="91" t="str">
        <f t="shared" si="19"/>
        <v/>
      </c>
      <c r="BP441" s="91" t="str">
        <f t="shared" si="20"/>
        <v>#N/A</v>
      </c>
      <c r="BQ441" s="91" t="str">
        <f t="shared" si="21"/>
        <v/>
      </c>
      <c r="BR441" s="93" t="str">
        <f t="shared" si="22"/>
        <v/>
      </c>
      <c r="BS441" s="90" t="str">
        <f t="shared" si="23"/>
        <v/>
      </c>
      <c r="BT441" s="93" t="str">
        <f t="shared" si="24"/>
        <v>NA</v>
      </c>
      <c r="BU441" s="125" t="str">
        <f t="shared" si="25"/>
        <v>#N/A</v>
      </c>
      <c r="BV441" s="93" t="str">
        <f t="shared" si="26"/>
        <v/>
      </c>
      <c r="BW441" s="93" t="str">
        <f t="shared" si="27"/>
        <v/>
      </c>
      <c r="BX441" s="93" t="str">
        <f t="shared" si="28"/>
        <v>NA</v>
      </c>
      <c r="BY441" s="95" t="str">
        <f t="shared" si="29"/>
        <v>#N/A</v>
      </c>
      <c r="BZ441" s="93" t="str">
        <f t="shared" si="30"/>
        <v/>
      </c>
      <c r="CA441" s="93" t="str">
        <f t="shared" si="31"/>
        <v/>
      </c>
      <c r="CB441" s="93" t="str">
        <f t="shared" si="32"/>
        <v>NA</v>
      </c>
      <c r="CC441" s="96" t="str">
        <f t="shared" si="33"/>
        <v>#N/A</v>
      </c>
      <c r="CD441" s="93" t="str">
        <f t="shared" si="34"/>
        <v/>
      </c>
      <c r="CE441" s="93" t="str">
        <f t="shared" si="35"/>
        <v/>
      </c>
      <c r="CF441" s="93" t="str">
        <f t="shared" si="36"/>
        <v>NA</v>
      </c>
      <c r="CG441" s="97" t="str">
        <f t="shared" si="37"/>
        <v>#N/A</v>
      </c>
      <c r="CH441" s="98" t="str">
        <f t="shared" si="38"/>
        <v>#N/A</v>
      </c>
      <c r="CI441" s="99" t="str">
        <f t="shared" si="39"/>
        <v>#N/A</v>
      </c>
      <c r="CJ441" s="126" t="str">
        <f t="shared" si="40"/>
        <v>ERROR: check cell</v>
      </c>
      <c r="CK441" s="126"/>
      <c r="CL441" s="127" t="str">
        <f t="shared" si="41"/>
        <v>#DIV/0!</v>
      </c>
      <c r="CM441" s="128" t="str">
        <f t="shared" si="42"/>
        <v>#DIV/0!</v>
      </c>
      <c r="CN441" s="128">
        <f t="shared" si="43"/>
        <v>4</v>
      </c>
      <c r="CO441" s="129">
        <f t="shared" si="44"/>
        <v>4</v>
      </c>
      <c r="CP441" s="129" t="str">
        <f>IFS(C441=Preferences!B$13,B441,B441=Preferences!B$13,C441)</f>
        <v>#N/A</v>
      </c>
    </row>
    <row r="442" ht="13.5" customHeight="1">
      <c r="A442" s="63" t="str">
        <f t="shared" si="45"/>
        <v/>
      </c>
      <c r="B442" s="64"/>
      <c r="C442" s="64"/>
      <c r="D442" s="64"/>
      <c r="E442" s="65"/>
      <c r="F442" s="65"/>
      <c r="G442" s="65"/>
      <c r="H442" s="66"/>
      <c r="I442" s="66"/>
      <c r="J442" s="67"/>
      <c r="K442" s="68"/>
      <c r="L442" s="104"/>
      <c r="M442" s="104"/>
      <c r="N442" s="104"/>
      <c r="O442" s="104"/>
      <c r="P442" s="107" t="str">
        <f t="shared" si="1"/>
        <v/>
      </c>
      <c r="Q442" s="108" t="str">
        <f>IFERROR(IF(AND(Preferences!B$3="Manual",OR(AX442/AW442&gt;G442/F442,BD442="Serious",BD442="Very serious")),"Assess imprecision",IFS(ISBLANK(E442),"",AND(Preferences!B$3="Automatic", G442/F442&gt;=30),"Extremely serious",AND(H442&lt;=$D$1*-1,J442&lt;0,G442/F442&lt;3),"Not serious",AND(H442&lt;=$D$1*-1,J442&lt;0,G442/F442&gt;=3),"Very serious",AND(H442&gt;=$D$1,I442&gt;0,G442/F442&lt;3),"Not serious",AND(H442&gt;=$D$1,I442&gt;0,G442/F442&gt;=3),"Very serious",AND(H442&lt;=$D$1*-1,J442&gt;0,I442&gt;$D$2*-1,G442/F442&lt;3),"Serious", AND(H442&lt;=$D$1*-1,J442&gt;0,I442&lt;$D$2*-1,G442/F442&lt;3),"Very serious", AND(H442&gt;=$D$1,I442&lt;0,J442&lt;$D$2,G442/F442&lt;3),"Serious",AND(H442&gt;=$D$1,I442&lt;0,J442&gt;$D$2,G442/F442&lt;3),"Very serious", AND(H442&lt;=$D$1*-1,J442&gt;0,I442&gt;$D$2*-1,G442/F442&gt;=3),"Very serious", AND(H442&lt;=$D$1*-1,J442&gt;0,I442&lt;$D$2*-1,G442/F442&gt;=3),"Very serious", AND(H442&gt;=$D$1,I442&lt;0,J442&lt;$D$2,G442/F442&gt;=3),"Very serious", AND(H442&gt;=$D$1,I442&lt;0,J442&gt;$D$2,G442/F442&gt;=3),"Very serious", AND(H442&gt;$D$1*-1,H442&lt;$D$1,I442&gt;$D$1*-1,J442&lt;$D$1,G442/F442&lt;3),"Not serious", AND(H442&gt;$D$1*-1,H442&lt;$D$1,OR(I442&lt;=$D$1*-1,J442&gt;=$D$1),I442&gt;$D$2*-1,J442&lt;$D$2,G442/F442&lt;3),"Serious", AND(H442&gt;$D$1*-1,H442&lt;$D$1,OR(I442&lt;=$D$2*-1,J442&gt;=$D$2),G442/F442&lt;3),"Very serious", AND(H442&gt;$D$1*-1,H442&lt;$D$1,I442&gt;$D$1*-1,J442&lt;$D$1,G442/F442&gt;=3),"Very serious", AND(H442&gt;$D$1*-1,H442&lt;$D$1,OR(I442&lt;=$D$1*-1,J442&gt;=$D$1),I442&gt;$D$2*-1,J442&lt;$D$2,G442/F442&gt;=3),"Very serious", AND(H442&gt;$D$1*-1,H442&lt;$D$1,OR(I442&lt;=$D$2*-1,J442&gt;=$D$2),G442/F442&gt;=3),"Very serious")),"")</f>
        <v/>
      </c>
      <c r="R442" s="109" t="str">
        <f t="shared" si="47"/>
        <v/>
      </c>
      <c r="S442" s="64"/>
      <c r="T442" s="72"/>
      <c r="U442" s="72"/>
      <c r="V442" s="72"/>
      <c r="W442" s="73"/>
      <c r="X442" s="73"/>
      <c r="Y442" s="74"/>
      <c r="Z442" s="113" t="str">
        <f t="array" ref="Z442">INDEX($A$1:$C$500, MATCH(1,($B:$B=$B442)*($C:$C=$AB442),0),1)</f>
        <v/>
      </c>
      <c r="AA442" s="113" t="str">
        <f t="array" ref="AA442">INDEX($A$1:$C$500, MATCH(1,($B:$B=$AB442)*($C:$C=$B442),0),1)</f>
        <v/>
      </c>
      <c r="AB442" s="111"/>
      <c r="AC442" s="114" t="str">
        <f t="shared" si="2"/>
        <v/>
      </c>
      <c r="AD442" s="115" t="str">
        <f t="shared" si="3"/>
        <v/>
      </c>
      <c r="AE442" s="116" t="str">
        <f t="array" ref="AE442">INDEX($A$1:$C$500, MATCH(1,($B:$B=$AB442)*($C:$C=$AG442),0),1)</f>
        <v/>
      </c>
      <c r="AF442" s="116" t="str">
        <f t="array" ref="AF442">INDEX($A$1:$C$500, MATCH(1,($B:$B=$AG442)*($C:$C=$AB442),0),1)</f>
        <v/>
      </c>
      <c r="AG442" s="72"/>
      <c r="AH442" s="114" t="str">
        <f t="shared" si="4"/>
        <v/>
      </c>
      <c r="AI442" s="115" t="str">
        <f t="shared" si="5"/>
        <v/>
      </c>
      <c r="AJ442" s="116" t="str">
        <f t="array" ref="AJ442">INDEX($A$1:$C$500, MATCH(1,($B:$B=$C442)*($C:$C=$AG442),0),1)</f>
        <v/>
      </c>
      <c r="AK442" s="116" t="str">
        <f t="array" ref="AK442">INDEX($A$1:$C$500, MATCH(1,($B:$B=$AG442)*($C:$C=$C442),0),1)</f>
        <v/>
      </c>
      <c r="AL442" s="116" t="str">
        <f t="array" ref="AL442">INDEX($A$1:$C$500, MATCH(1,($B:$B=$C442)*($C:$C=$AB442),0),1)</f>
        <v/>
      </c>
      <c r="AM442" s="116" t="str">
        <f t="array" ref="AM442">INDEX($A$1:$C$500, MATCH(1,($B:$B=$AB442)*($C:$C=$C442),0),1)</f>
        <v/>
      </c>
      <c r="AN442" s="114" t="str">
        <f t="array" ref="AN442">IFS(ISNUMBER(AJ442),AJ442,ISNUMBER(AK442),AK442,ISNUMBER(AL442),AL442,ISNUMBER(AM442),AM442)</f>
        <v>#N/A</v>
      </c>
      <c r="AO442" s="115" t="str">
        <f t="shared" si="6"/>
        <v/>
      </c>
      <c r="AP442" s="115" t="str">
        <f t="shared" si="7"/>
        <v/>
      </c>
      <c r="AQ442" s="111"/>
      <c r="AR442" s="109" t="str">
        <f t="shared" si="8"/>
        <v/>
      </c>
      <c r="AS442" s="72" t="str">
        <f>IFERROR(IF(AND(Preferences!B$3="Manual",OR(AX442/AW442&gt;V442/U442,BD442="Serious",BD442="Very serious")),"Assess imprecision",IFERROR(IFS(AND(Preferences!B$3="Automatic",V442/U442&gt;=30),"Extremely serious",AND(W442&lt;=$D$1*-1,Y442&lt;0,V442/U442&lt;3),"Not Serious",AND(W442&lt;=$D$1*-1,Y442&lt;0,V442/U442&gt;=3),"Very serious",AND(W442&gt;=$D$1,X442&gt;0,V442/U442&lt;3),"Not Serious",AND(W442&gt;=$D$1,X442&gt;0,V442/U442&gt;=3),"Very serious",AND(W442&lt;=$D$1*-1,Y442&gt;0,X442&gt;$D$2*-1,V442/U442&lt;3),"Serious", AND(W442&lt;=$D$1*-1,Y442&gt;0,X442&lt;$D$2*-1,V442/U442&lt;3),"Very serious", AND(W442&gt;=$D$1,X442&lt;0,Y442&lt;$D$2,V442/U442&lt;3),"Serious",AND(W442&gt;=$D$1,X442&lt;0,Y442&gt;$D$2,V442/U442&lt;3),"Very serious", AND(W442&lt;=$D$1*-1,Y442&gt;0,X442&gt;$D$2*-1,V442/U442&gt;=3),"Very serious", AND(W442&lt;=$D$1*-1,Y442&gt;0,X442&lt;$D$2*-1,V442/U442&gt;=3),"Very serious", AND(W442&gt;=$D$1,X442&lt;0,Y442&lt;$D$2,V442/U442&gt;=3),"Very serious", AND(W442&gt;=$D$1,X442&lt;0,Y442&gt;$D$2,V442/U442&gt;=3),"Very serious", AND(W442&gt;$D$1*-1,W442&lt;$D$1,X442&gt;$D$1*-1,Y442&lt;$D$1,V442/U442&lt;3),"Not Serious", AND(W442&gt;$D$1*-1,W442&lt;$D$1,OR(X442&lt;=$D$1*-1,Y442&gt;=$D$1),X442&gt;$D$2*-1,Y442&lt;$D$2,V442/U442&lt;3),"Serious", AND(W442&gt;$D$1*-1,W442&lt;$D$1,OR(X442&lt;=$D$2*-1,Y442&gt;=$D$2),V442/U442&lt;3),"Very serious", AND(W442&gt;$D$1*-1,W442&lt;$D$1,X442&gt;$D$1*-1,Y442&lt;$D$1,V442/U442&gt;=3),"Very serious", AND(W442&gt;$D$1*-1,W442&lt;$D$1,OR(X442&lt;=$D$1*-1,Y442&gt;=$D$1),X442&gt;$D$2*-1,Y442&lt;$D$2,V442/U442&gt;=3),"Very serious", AND(W442&gt;$D$1*-1,W442&lt;$D$1,OR(X442&lt;=$D$2*-1,Y442&gt;=$D$2),V442/U442&gt;=3),"Very serious"),"")),"")</f>
        <v/>
      </c>
      <c r="AT442" s="109" t="str">
        <f t="shared" si="9"/>
        <v/>
      </c>
      <c r="AU442" s="64"/>
      <c r="AV442" s="83"/>
      <c r="AW442" s="83"/>
      <c r="AX442" s="83"/>
      <c r="AY442" s="83"/>
      <c r="AZ442" s="83"/>
      <c r="BA442" s="85"/>
      <c r="BB442" s="86" t="str">
        <f>IF(Preferences!B$9="Manual","",IFS(ISBLANK(B442),"",AND(ISNUMBER(E442)=TRUE,ISNUMBER(T442)=FALSE),"Direct", AND(ISNUMBER(E442)=FALSE,ISNUMBER(T442)=TRUE),"Indirect", CN442=4,"Direct",AND(CL442=FALSE, CM442=TRUE,CN442-CO442&gt;-1),"Direct", AND(CL442=FALSE,CM442=TRUE, CN442-CO442&lt;0),"Check algorithm in appendix 2", AND(CL442=TRUE, CM442=FALSE,CN442-CO442&gt;0),"Check algorithm in appendix 2", AND(CL442=TRUE, CM442=FALSE,CN442-CO442=0),"Indirect", AND(CL442=TRUE, CM442=FALSE,CN442-CO442&lt;0),"Indirect", AND(CL442=FALSE,CM442=FALSE,CN442-CO442&gt;-1),"Direct", AND(CL442=FALSE,CM442=FALSE,CN442-CO442&lt;0),"Check algorithm in appendix 2", AND(CL442=TRUE,CM442=TRUE,CN442-CO442&gt;-1),"Direct", AND(CL442=TRUE,CM442=TRUE,CN442-CO442&lt;0),"Check algorithm in appendix 2"))</f>
        <v/>
      </c>
      <c r="BC442" s="120" t="str">
        <f t="shared" si="10"/>
        <v/>
      </c>
      <c r="BD442" s="140"/>
      <c r="BE442" s="122" t="str">
        <f>IF(Preferences!B$3="Manual","", IFERROR(IFS(AND(Preferences!B$3="Automatic",AX442/AW442&gt;=30),"Extremely serious",AND(AY442&lt;=$D$1*-1,BA442&lt;0,AX442/AW442&lt;3),"Not Serious",AND(AY442&lt;=$D$1*-1,BA442&lt;0,AX442/AW442&gt;=3),"Very serious",AND(AY442&gt;=$D$1,AZ442&gt;0,AX442/AW442&lt;3),"Not Serious",AND(AY442&gt;=$D$1,AZ442&gt;0,AX442/AW442&gt;=3),"Very serious",AND(AY442&lt;=$D$1*-1,BA442&gt;0,AZ442&gt;$D$2*-1,AX442/AW442&lt;3),"Serious", AND(AY442&lt;=$D$1*-1,BA442&gt;0,AZ442&lt;$D$2*-1,AX442/AW442&lt;3),"Very serious", AND(AY442&gt;=$D$1,AZ442&lt;0,BA442&lt;$D$2,AX442/AW442&lt;3),"Serious",AND(AY442&gt;=$D$1,AZ442&lt;0,BA442&gt;$D$2,AX442/AW442&lt;3),"Very serious", AND(AY442&lt;=$D$1*-1,BA442&gt;0,AZ442&gt;$D$2*-1,AX442/AW442&gt;=3),"Very serious", AND(AY442&lt;=$D$1*-1,BA442&gt;0,AZ442&lt;$D$2*-1,AX442/AW442&gt;=3),"Very serious", AND(AY442&gt;=$D$1,AZ442&lt;0,BA442&lt;$D$2,AX442/AW442&gt;=3),"Very serious", AND(AY442&gt;=$D$1,AZ442&lt;0,BA442&gt;$D$2,AX442/AW442&gt;=3),"Very serious", AND(AY442&gt;$D$1*-1,AY442&lt;$D$1,AZ442&gt;$D$1*-1,BA442&lt;$D$1,AX442/AW442&lt;3),"Not Serious", AND(AY442&gt;$D$1*-1,AY442&lt;$D$1,OR(AZ442&lt;=$D$1*-1,BA442&gt;=$D$1),AZ442&gt;$D$2*-1,BA442&lt;$D$2,AX442/AW442&lt;3),"Serious", AND(AY442&gt;$D$1*-1,AY442&lt;$D$1,OR(AZ442&lt;=$D$2*-1,BA442&gt;=$D$2),AX442/AW442&lt;3),"Very serious", AND(AY442&gt;$D$1*-1,AY442&lt;$D$1,AZ442&gt;$D$1*-1,BA442&lt;$D$1,AX442/AW442&gt;=3),"Very serious", AND(AY442&gt;$D$1*-1,AY442&lt;$D$1,OR(AZ442&lt;=$D$1*-1,BA442&gt;=$D$1),AZ442&gt;$D$2*-1,BA442&lt;$D$2,AX442/AW442&gt;=3),"Very serious", AND(AY442&gt;$D$1*-1,AY442&lt;$D$1,OR(AZ442&lt;=$D$2*-1,BA442&gt;=$D$2),AX442/AW442&gt;=3),"Very serious"),""))</f>
        <v/>
      </c>
      <c r="BF442" s="107" t="str">
        <f t="shared" si="11"/>
        <v/>
      </c>
      <c r="BG442" s="94" t="str">
        <f t="shared" si="46"/>
        <v/>
      </c>
      <c r="BH442" s="64" t="str">
        <f t="shared" si="12"/>
        <v>#N/A</v>
      </c>
      <c r="BI442" s="64" t="str">
        <f t="shared" si="13"/>
        <v/>
      </c>
      <c r="BJ442" s="123" t="str">
        <f t="shared" si="14"/>
        <v>#N/A</v>
      </c>
      <c r="BK442" s="64" t="str">
        <f t="shared" si="50"/>
        <v>YES</v>
      </c>
      <c r="BL442" s="64" t="str">
        <f t="shared" si="16"/>
        <v>YES</v>
      </c>
      <c r="BM442" s="64" t="str">
        <f t="shared" si="17"/>
        <v>YES</v>
      </c>
      <c r="BN442" s="124" t="str">
        <f t="shared" si="18"/>
        <v/>
      </c>
      <c r="BO442" s="91" t="str">
        <f t="shared" si="19"/>
        <v/>
      </c>
      <c r="BP442" s="91" t="str">
        <f t="shared" si="20"/>
        <v>#N/A</v>
      </c>
      <c r="BQ442" s="91" t="str">
        <f t="shared" si="21"/>
        <v/>
      </c>
      <c r="BR442" s="93" t="str">
        <f t="shared" si="22"/>
        <v/>
      </c>
      <c r="BS442" s="90" t="str">
        <f t="shared" si="23"/>
        <v/>
      </c>
      <c r="BT442" s="93" t="str">
        <f t="shared" si="24"/>
        <v>NA</v>
      </c>
      <c r="BU442" s="125" t="str">
        <f t="shared" si="25"/>
        <v>#N/A</v>
      </c>
      <c r="BV442" s="93" t="str">
        <f t="shared" si="26"/>
        <v/>
      </c>
      <c r="BW442" s="93" t="str">
        <f t="shared" si="27"/>
        <v/>
      </c>
      <c r="BX442" s="93" t="str">
        <f t="shared" si="28"/>
        <v>NA</v>
      </c>
      <c r="BY442" s="95" t="str">
        <f t="shared" si="29"/>
        <v>#N/A</v>
      </c>
      <c r="BZ442" s="93" t="str">
        <f t="shared" si="30"/>
        <v/>
      </c>
      <c r="CA442" s="93" t="str">
        <f t="shared" si="31"/>
        <v/>
      </c>
      <c r="CB442" s="93" t="str">
        <f t="shared" si="32"/>
        <v>NA</v>
      </c>
      <c r="CC442" s="96" t="str">
        <f t="shared" si="33"/>
        <v>#N/A</v>
      </c>
      <c r="CD442" s="93" t="str">
        <f t="shared" si="34"/>
        <v/>
      </c>
      <c r="CE442" s="93" t="str">
        <f t="shared" si="35"/>
        <v/>
      </c>
      <c r="CF442" s="93" t="str">
        <f t="shared" si="36"/>
        <v>NA</v>
      </c>
      <c r="CG442" s="97" t="str">
        <f t="shared" si="37"/>
        <v>#N/A</v>
      </c>
      <c r="CH442" s="98" t="str">
        <f t="shared" si="38"/>
        <v>#N/A</v>
      </c>
      <c r="CI442" s="99" t="str">
        <f t="shared" si="39"/>
        <v>#N/A</v>
      </c>
      <c r="CJ442" s="126" t="str">
        <f t="shared" si="40"/>
        <v>ERROR: check cell</v>
      </c>
      <c r="CK442" s="126"/>
      <c r="CL442" s="127" t="str">
        <f t="shared" si="41"/>
        <v>#DIV/0!</v>
      </c>
      <c r="CM442" s="128" t="str">
        <f t="shared" si="42"/>
        <v>#DIV/0!</v>
      </c>
      <c r="CN442" s="128">
        <f t="shared" si="43"/>
        <v>4</v>
      </c>
      <c r="CO442" s="129">
        <f t="shared" si="44"/>
        <v>4</v>
      </c>
      <c r="CP442" s="129" t="str">
        <f>IFS(C442=Preferences!B$13,B442,B442=Preferences!B$13,C442)</f>
        <v>#N/A</v>
      </c>
    </row>
    <row r="443" ht="13.5" customHeight="1">
      <c r="A443" s="63" t="str">
        <f t="shared" si="45"/>
        <v/>
      </c>
      <c r="B443" s="64"/>
      <c r="C443" s="64"/>
      <c r="D443" s="64"/>
      <c r="E443" s="65"/>
      <c r="F443" s="65"/>
      <c r="G443" s="65"/>
      <c r="H443" s="66"/>
      <c r="I443" s="66"/>
      <c r="J443" s="67"/>
      <c r="K443" s="68"/>
      <c r="L443" s="104"/>
      <c r="M443" s="104"/>
      <c r="N443" s="104"/>
      <c r="O443" s="104"/>
      <c r="P443" s="107" t="str">
        <f t="shared" si="1"/>
        <v/>
      </c>
      <c r="Q443" s="108" t="str">
        <f>IFERROR(IF(AND(Preferences!B$3="Manual",OR(AX443/AW443&gt;G443/F443,BD443="Serious",BD443="Very serious")),"Assess imprecision",IFS(ISBLANK(E443),"",AND(Preferences!B$3="Automatic", G443/F443&gt;=30),"Extremely serious",AND(H443&lt;=$D$1*-1,J443&lt;0,G443/F443&lt;3),"Not serious",AND(H443&lt;=$D$1*-1,J443&lt;0,G443/F443&gt;=3),"Very serious",AND(H443&gt;=$D$1,I443&gt;0,G443/F443&lt;3),"Not serious",AND(H443&gt;=$D$1,I443&gt;0,G443/F443&gt;=3),"Very serious",AND(H443&lt;=$D$1*-1,J443&gt;0,I443&gt;$D$2*-1,G443/F443&lt;3),"Serious", AND(H443&lt;=$D$1*-1,J443&gt;0,I443&lt;$D$2*-1,G443/F443&lt;3),"Very serious", AND(H443&gt;=$D$1,I443&lt;0,J443&lt;$D$2,G443/F443&lt;3),"Serious",AND(H443&gt;=$D$1,I443&lt;0,J443&gt;$D$2,G443/F443&lt;3),"Very serious", AND(H443&lt;=$D$1*-1,J443&gt;0,I443&gt;$D$2*-1,G443/F443&gt;=3),"Very serious", AND(H443&lt;=$D$1*-1,J443&gt;0,I443&lt;$D$2*-1,G443/F443&gt;=3),"Very serious", AND(H443&gt;=$D$1,I443&lt;0,J443&lt;$D$2,G443/F443&gt;=3),"Very serious", AND(H443&gt;=$D$1,I443&lt;0,J443&gt;$D$2,G443/F443&gt;=3),"Very serious", AND(H443&gt;$D$1*-1,H443&lt;$D$1,I443&gt;$D$1*-1,J443&lt;$D$1,G443/F443&lt;3),"Not serious", AND(H443&gt;$D$1*-1,H443&lt;$D$1,OR(I443&lt;=$D$1*-1,J443&gt;=$D$1),I443&gt;$D$2*-1,J443&lt;$D$2,G443/F443&lt;3),"Serious", AND(H443&gt;$D$1*-1,H443&lt;$D$1,OR(I443&lt;=$D$2*-1,J443&gt;=$D$2),G443/F443&lt;3),"Very serious", AND(H443&gt;$D$1*-1,H443&lt;$D$1,I443&gt;$D$1*-1,J443&lt;$D$1,G443/F443&gt;=3),"Very serious", AND(H443&gt;$D$1*-1,H443&lt;$D$1,OR(I443&lt;=$D$1*-1,J443&gt;=$D$1),I443&gt;$D$2*-1,J443&lt;$D$2,G443/F443&gt;=3),"Very serious", AND(H443&gt;$D$1*-1,H443&lt;$D$1,OR(I443&lt;=$D$2*-1,J443&gt;=$D$2),G443/F443&gt;=3),"Very serious")),"")</f>
        <v/>
      </c>
      <c r="R443" s="109" t="str">
        <f t="shared" si="47"/>
        <v/>
      </c>
      <c r="S443" s="64"/>
      <c r="T443" s="72"/>
      <c r="U443" s="72"/>
      <c r="V443" s="72"/>
      <c r="W443" s="73"/>
      <c r="X443" s="73"/>
      <c r="Y443" s="74"/>
      <c r="Z443" s="113" t="str">
        <f t="array" ref="Z443">INDEX($A$1:$C$500, MATCH(1,($B:$B=$B443)*($C:$C=$AB443),0),1)</f>
        <v/>
      </c>
      <c r="AA443" s="113" t="str">
        <f t="array" ref="AA443">INDEX($A$1:$C$500, MATCH(1,($B:$B=$AB443)*($C:$C=$B443),0),1)</f>
        <v/>
      </c>
      <c r="AB443" s="111"/>
      <c r="AC443" s="114" t="str">
        <f t="shared" si="2"/>
        <v/>
      </c>
      <c r="AD443" s="115" t="str">
        <f t="shared" si="3"/>
        <v/>
      </c>
      <c r="AE443" s="116" t="str">
        <f t="array" ref="AE443">INDEX($A$1:$C$500, MATCH(1,($B:$B=$AB443)*($C:$C=$AG443),0),1)</f>
        <v/>
      </c>
      <c r="AF443" s="116" t="str">
        <f t="array" ref="AF443">INDEX($A$1:$C$500, MATCH(1,($B:$B=$AG443)*($C:$C=$AB443),0),1)</f>
        <v/>
      </c>
      <c r="AG443" s="72"/>
      <c r="AH443" s="114" t="str">
        <f t="shared" si="4"/>
        <v/>
      </c>
      <c r="AI443" s="115" t="str">
        <f t="shared" si="5"/>
        <v/>
      </c>
      <c r="AJ443" s="116" t="str">
        <f t="array" ref="AJ443">INDEX($A$1:$C$500, MATCH(1,($B:$B=$C443)*($C:$C=$AG443),0),1)</f>
        <v/>
      </c>
      <c r="AK443" s="116" t="str">
        <f t="array" ref="AK443">INDEX($A$1:$C$500, MATCH(1,($B:$B=$AG443)*($C:$C=$C443),0),1)</f>
        <v/>
      </c>
      <c r="AL443" s="116" t="str">
        <f t="array" ref="AL443">INDEX($A$1:$C$500, MATCH(1,($B:$B=$C443)*($C:$C=$AB443),0),1)</f>
        <v/>
      </c>
      <c r="AM443" s="116" t="str">
        <f t="array" ref="AM443">INDEX($A$1:$C$500, MATCH(1,($B:$B=$AB443)*($C:$C=$C443),0),1)</f>
        <v/>
      </c>
      <c r="AN443" s="114" t="str">
        <f t="array" ref="AN443">IFS(ISNUMBER(AJ443),AJ443,ISNUMBER(AK443),AK443,ISNUMBER(AL443),AL443,ISNUMBER(AM443),AM443)</f>
        <v>#N/A</v>
      </c>
      <c r="AO443" s="115" t="str">
        <f t="shared" si="6"/>
        <v/>
      </c>
      <c r="AP443" s="115" t="str">
        <f t="shared" si="7"/>
        <v/>
      </c>
      <c r="AQ443" s="111"/>
      <c r="AR443" s="109" t="str">
        <f t="shared" si="8"/>
        <v/>
      </c>
      <c r="AS443" s="72" t="str">
        <f>IFERROR(IF(AND(Preferences!B$3="Manual",OR(AX443/AW443&gt;V443/U443,BD443="Serious",BD443="Very serious")),"Assess imprecision",IFERROR(IFS(AND(Preferences!B$3="Automatic",V443/U443&gt;=30),"Extremely serious",AND(W443&lt;=$D$1*-1,Y443&lt;0,V443/U443&lt;3),"Not Serious",AND(W443&lt;=$D$1*-1,Y443&lt;0,V443/U443&gt;=3),"Very serious",AND(W443&gt;=$D$1,X443&gt;0,V443/U443&lt;3),"Not Serious",AND(W443&gt;=$D$1,X443&gt;0,V443/U443&gt;=3),"Very serious",AND(W443&lt;=$D$1*-1,Y443&gt;0,X443&gt;$D$2*-1,V443/U443&lt;3),"Serious", AND(W443&lt;=$D$1*-1,Y443&gt;0,X443&lt;$D$2*-1,V443/U443&lt;3),"Very serious", AND(W443&gt;=$D$1,X443&lt;0,Y443&lt;$D$2,V443/U443&lt;3),"Serious",AND(W443&gt;=$D$1,X443&lt;0,Y443&gt;$D$2,V443/U443&lt;3),"Very serious", AND(W443&lt;=$D$1*-1,Y443&gt;0,X443&gt;$D$2*-1,V443/U443&gt;=3),"Very serious", AND(W443&lt;=$D$1*-1,Y443&gt;0,X443&lt;$D$2*-1,V443/U443&gt;=3),"Very serious", AND(W443&gt;=$D$1,X443&lt;0,Y443&lt;$D$2,V443/U443&gt;=3),"Very serious", AND(W443&gt;=$D$1,X443&lt;0,Y443&gt;$D$2,V443/U443&gt;=3),"Very serious", AND(W443&gt;$D$1*-1,W443&lt;$D$1,X443&gt;$D$1*-1,Y443&lt;$D$1,V443/U443&lt;3),"Not Serious", AND(W443&gt;$D$1*-1,W443&lt;$D$1,OR(X443&lt;=$D$1*-1,Y443&gt;=$D$1),X443&gt;$D$2*-1,Y443&lt;$D$2,V443/U443&lt;3),"Serious", AND(W443&gt;$D$1*-1,W443&lt;$D$1,OR(X443&lt;=$D$2*-1,Y443&gt;=$D$2),V443/U443&lt;3),"Very serious", AND(W443&gt;$D$1*-1,W443&lt;$D$1,X443&gt;$D$1*-1,Y443&lt;$D$1,V443/U443&gt;=3),"Very serious", AND(W443&gt;$D$1*-1,W443&lt;$D$1,OR(X443&lt;=$D$1*-1,Y443&gt;=$D$1),X443&gt;$D$2*-1,Y443&lt;$D$2,V443/U443&gt;=3),"Very serious", AND(W443&gt;$D$1*-1,W443&lt;$D$1,OR(X443&lt;=$D$2*-1,Y443&gt;=$D$2),V443/U443&gt;=3),"Very serious"),"")),"")</f>
        <v/>
      </c>
      <c r="AT443" s="109" t="str">
        <f t="shared" si="9"/>
        <v/>
      </c>
      <c r="AU443" s="64"/>
      <c r="AV443" s="83"/>
      <c r="AW443" s="83"/>
      <c r="AX443" s="83"/>
      <c r="AY443" s="83"/>
      <c r="AZ443" s="83"/>
      <c r="BA443" s="85"/>
      <c r="BB443" s="86" t="str">
        <f>IF(Preferences!B$9="Manual","",IFS(ISBLANK(B443),"",AND(ISNUMBER(E443)=TRUE,ISNUMBER(T443)=FALSE),"Direct", AND(ISNUMBER(E443)=FALSE,ISNUMBER(T443)=TRUE),"Indirect", CN443=4,"Direct",AND(CL443=FALSE, CM443=TRUE,CN443-CO443&gt;-1),"Direct", AND(CL443=FALSE,CM443=TRUE, CN443-CO443&lt;0),"Check algorithm in appendix 2", AND(CL443=TRUE, CM443=FALSE,CN443-CO443&gt;0),"Check algorithm in appendix 2", AND(CL443=TRUE, CM443=FALSE,CN443-CO443=0),"Indirect", AND(CL443=TRUE, CM443=FALSE,CN443-CO443&lt;0),"Indirect", AND(CL443=FALSE,CM443=FALSE,CN443-CO443&gt;-1),"Direct", AND(CL443=FALSE,CM443=FALSE,CN443-CO443&lt;0),"Check algorithm in appendix 2", AND(CL443=TRUE,CM443=TRUE,CN443-CO443&gt;-1),"Direct", AND(CL443=TRUE,CM443=TRUE,CN443-CO443&lt;0),"Check algorithm in appendix 2"))</f>
        <v/>
      </c>
      <c r="BC443" s="120" t="str">
        <f t="shared" si="10"/>
        <v/>
      </c>
      <c r="BD443" s="140"/>
      <c r="BE443" s="122" t="str">
        <f>IF(Preferences!B$3="Manual","", IFERROR(IFS(AND(Preferences!B$3="Automatic",AX443/AW443&gt;=30),"Extremely serious",AND(AY443&lt;=$D$1*-1,BA443&lt;0,AX443/AW443&lt;3),"Not Serious",AND(AY443&lt;=$D$1*-1,BA443&lt;0,AX443/AW443&gt;=3),"Very serious",AND(AY443&gt;=$D$1,AZ443&gt;0,AX443/AW443&lt;3),"Not Serious",AND(AY443&gt;=$D$1,AZ443&gt;0,AX443/AW443&gt;=3),"Very serious",AND(AY443&lt;=$D$1*-1,BA443&gt;0,AZ443&gt;$D$2*-1,AX443/AW443&lt;3),"Serious", AND(AY443&lt;=$D$1*-1,BA443&gt;0,AZ443&lt;$D$2*-1,AX443/AW443&lt;3),"Very serious", AND(AY443&gt;=$D$1,AZ443&lt;0,BA443&lt;$D$2,AX443/AW443&lt;3),"Serious",AND(AY443&gt;=$D$1,AZ443&lt;0,BA443&gt;$D$2,AX443/AW443&lt;3),"Very serious", AND(AY443&lt;=$D$1*-1,BA443&gt;0,AZ443&gt;$D$2*-1,AX443/AW443&gt;=3),"Very serious", AND(AY443&lt;=$D$1*-1,BA443&gt;0,AZ443&lt;$D$2*-1,AX443/AW443&gt;=3),"Very serious", AND(AY443&gt;=$D$1,AZ443&lt;0,BA443&lt;$D$2,AX443/AW443&gt;=3),"Very serious", AND(AY443&gt;=$D$1,AZ443&lt;0,BA443&gt;$D$2,AX443/AW443&gt;=3),"Very serious", AND(AY443&gt;$D$1*-1,AY443&lt;$D$1,AZ443&gt;$D$1*-1,BA443&lt;$D$1,AX443/AW443&lt;3),"Not Serious", AND(AY443&gt;$D$1*-1,AY443&lt;$D$1,OR(AZ443&lt;=$D$1*-1,BA443&gt;=$D$1),AZ443&gt;$D$2*-1,BA443&lt;$D$2,AX443/AW443&lt;3),"Serious", AND(AY443&gt;$D$1*-1,AY443&lt;$D$1,OR(AZ443&lt;=$D$2*-1,BA443&gt;=$D$2),AX443/AW443&lt;3),"Very serious", AND(AY443&gt;$D$1*-1,AY443&lt;$D$1,AZ443&gt;$D$1*-1,BA443&lt;$D$1,AX443/AW443&gt;=3),"Very serious", AND(AY443&gt;$D$1*-1,AY443&lt;$D$1,OR(AZ443&lt;=$D$1*-1,BA443&gt;=$D$1),AZ443&gt;$D$2*-1,BA443&lt;$D$2,AX443/AW443&gt;=3),"Very serious", AND(AY443&gt;$D$1*-1,AY443&lt;$D$1,OR(AZ443&lt;=$D$2*-1,BA443&gt;=$D$2),AX443/AW443&gt;=3),"Very serious"),""))</f>
        <v/>
      </c>
      <c r="BF443" s="107" t="str">
        <f t="shared" si="11"/>
        <v/>
      </c>
      <c r="BG443" s="94" t="str">
        <f t="shared" si="46"/>
        <v/>
      </c>
      <c r="BH443" s="64" t="str">
        <f t="shared" si="12"/>
        <v>#N/A</v>
      </c>
      <c r="BI443" s="64" t="str">
        <f t="shared" si="13"/>
        <v/>
      </c>
      <c r="BJ443" s="123" t="str">
        <f t="shared" si="14"/>
        <v>#N/A</v>
      </c>
      <c r="BK443" s="64" t="str">
        <f t="shared" si="50"/>
        <v>YES</v>
      </c>
      <c r="BL443" s="64" t="str">
        <f t="shared" si="16"/>
        <v>YES</v>
      </c>
      <c r="BM443" s="64" t="str">
        <f t="shared" si="17"/>
        <v>YES</v>
      </c>
      <c r="BN443" s="124" t="str">
        <f t="shared" si="18"/>
        <v/>
      </c>
      <c r="BO443" s="91" t="str">
        <f t="shared" si="19"/>
        <v/>
      </c>
      <c r="BP443" s="91" t="str">
        <f t="shared" si="20"/>
        <v>#N/A</v>
      </c>
      <c r="BQ443" s="91" t="str">
        <f t="shared" si="21"/>
        <v/>
      </c>
      <c r="BR443" s="93" t="str">
        <f t="shared" si="22"/>
        <v/>
      </c>
      <c r="BS443" s="90" t="str">
        <f t="shared" si="23"/>
        <v/>
      </c>
      <c r="BT443" s="93" t="str">
        <f t="shared" si="24"/>
        <v>NA</v>
      </c>
      <c r="BU443" s="125" t="str">
        <f t="shared" si="25"/>
        <v>#N/A</v>
      </c>
      <c r="BV443" s="93" t="str">
        <f t="shared" si="26"/>
        <v/>
      </c>
      <c r="BW443" s="93" t="str">
        <f t="shared" si="27"/>
        <v/>
      </c>
      <c r="BX443" s="93" t="str">
        <f t="shared" si="28"/>
        <v>NA</v>
      </c>
      <c r="BY443" s="95" t="str">
        <f t="shared" si="29"/>
        <v>#N/A</v>
      </c>
      <c r="BZ443" s="93" t="str">
        <f t="shared" si="30"/>
        <v/>
      </c>
      <c r="CA443" s="93" t="str">
        <f t="shared" si="31"/>
        <v/>
      </c>
      <c r="CB443" s="93" t="str">
        <f t="shared" si="32"/>
        <v>NA</v>
      </c>
      <c r="CC443" s="96" t="str">
        <f t="shared" si="33"/>
        <v>#N/A</v>
      </c>
      <c r="CD443" s="93" t="str">
        <f t="shared" si="34"/>
        <v/>
      </c>
      <c r="CE443" s="93" t="str">
        <f t="shared" si="35"/>
        <v/>
      </c>
      <c r="CF443" s="93" t="str">
        <f t="shared" si="36"/>
        <v>NA</v>
      </c>
      <c r="CG443" s="97" t="str">
        <f t="shared" si="37"/>
        <v>#N/A</v>
      </c>
      <c r="CH443" s="98" t="str">
        <f t="shared" si="38"/>
        <v>#N/A</v>
      </c>
      <c r="CI443" s="99" t="str">
        <f t="shared" si="39"/>
        <v>#N/A</v>
      </c>
      <c r="CJ443" s="126" t="str">
        <f t="shared" si="40"/>
        <v>ERROR: check cell</v>
      </c>
      <c r="CK443" s="126"/>
      <c r="CL443" s="127" t="str">
        <f t="shared" si="41"/>
        <v>#DIV/0!</v>
      </c>
      <c r="CM443" s="128" t="str">
        <f t="shared" si="42"/>
        <v>#DIV/0!</v>
      </c>
      <c r="CN443" s="128">
        <f t="shared" si="43"/>
        <v>4</v>
      </c>
      <c r="CO443" s="129">
        <f t="shared" si="44"/>
        <v>4</v>
      </c>
      <c r="CP443" s="129" t="str">
        <f>IFS(C443=Preferences!B$13,B443,B443=Preferences!B$13,C443)</f>
        <v>#N/A</v>
      </c>
    </row>
    <row r="444" ht="13.5" customHeight="1">
      <c r="A444" s="63" t="str">
        <f t="shared" si="45"/>
        <v/>
      </c>
      <c r="B444" s="64"/>
      <c r="C444" s="64"/>
      <c r="D444" s="64"/>
      <c r="E444" s="65"/>
      <c r="F444" s="65"/>
      <c r="G444" s="65"/>
      <c r="H444" s="66"/>
      <c r="I444" s="66"/>
      <c r="J444" s="67"/>
      <c r="K444" s="68"/>
      <c r="L444" s="104"/>
      <c r="M444" s="104"/>
      <c r="N444" s="104"/>
      <c r="O444" s="104"/>
      <c r="P444" s="107" t="str">
        <f t="shared" si="1"/>
        <v/>
      </c>
      <c r="Q444" s="108" t="str">
        <f>IFERROR(IF(AND(Preferences!B$3="Manual",OR(AX444/AW444&gt;G444/F444,BD444="Serious",BD444="Very serious")),"Assess imprecision",IFS(ISBLANK(E444),"",AND(Preferences!B$3="Automatic", G444/F444&gt;=30),"Extremely serious",AND(H444&lt;=$D$1*-1,J444&lt;0,G444/F444&lt;3),"Not serious",AND(H444&lt;=$D$1*-1,J444&lt;0,G444/F444&gt;=3),"Very serious",AND(H444&gt;=$D$1,I444&gt;0,G444/F444&lt;3),"Not serious",AND(H444&gt;=$D$1,I444&gt;0,G444/F444&gt;=3),"Very serious",AND(H444&lt;=$D$1*-1,J444&gt;0,I444&gt;$D$2*-1,G444/F444&lt;3),"Serious", AND(H444&lt;=$D$1*-1,J444&gt;0,I444&lt;$D$2*-1,G444/F444&lt;3),"Very serious", AND(H444&gt;=$D$1,I444&lt;0,J444&lt;$D$2,G444/F444&lt;3),"Serious",AND(H444&gt;=$D$1,I444&lt;0,J444&gt;$D$2,G444/F444&lt;3),"Very serious", AND(H444&lt;=$D$1*-1,J444&gt;0,I444&gt;$D$2*-1,G444/F444&gt;=3),"Very serious", AND(H444&lt;=$D$1*-1,J444&gt;0,I444&lt;$D$2*-1,G444/F444&gt;=3),"Very serious", AND(H444&gt;=$D$1,I444&lt;0,J444&lt;$D$2,G444/F444&gt;=3),"Very serious", AND(H444&gt;=$D$1,I444&lt;0,J444&gt;$D$2,G444/F444&gt;=3),"Very serious", AND(H444&gt;$D$1*-1,H444&lt;$D$1,I444&gt;$D$1*-1,J444&lt;$D$1,G444/F444&lt;3),"Not serious", AND(H444&gt;$D$1*-1,H444&lt;$D$1,OR(I444&lt;=$D$1*-1,J444&gt;=$D$1),I444&gt;$D$2*-1,J444&lt;$D$2,G444/F444&lt;3),"Serious", AND(H444&gt;$D$1*-1,H444&lt;$D$1,OR(I444&lt;=$D$2*-1,J444&gt;=$D$2),G444/F444&lt;3),"Very serious", AND(H444&gt;$D$1*-1,H444&lt;$D$1,I444&gt;$D$1*-1,J444&lt;$D$1,G444/F444&gt;=3),"Very serious", AND(H444&gt;$D$1*-1,H444&lt;$D$1,OR(I444&lt;=$D$1*-1,J444&gt;=$D$1),I444&gt;$D$2*-1,J444&lt;$D$2,G444/F444&gt;=3),"Very serious", AND(H444&gt;$D$1*-1,H444&lt;$D$1,OR(I444&lt;=$D$2*-1,J444&gt;=$D$2),G444/F444&gt;=3),"Very serious")),"")</f>
        <v/>
      </c>
      <c r="R444" s="109" t="str">
        <f t="shared" si="47"/>
        <v/>
      </c>
      <c r="S444" s="64"/>
      <c r="T444" s="72"/>
      <c r="U444" s="72"/>
      <c r="V444" s="72"/>
      <c r="W444" s="73"/>
      <c r="X444" s="73"/>
      <c r="Y444" s="74"/>
      <c r="Z444" s="113" t="str">
        <f t="array" ref="Z444">INDEX($A$1:$C$500, MATCH(1,($B:$B=$B444)*($C:$C=$AB444),0),1)</f>
        <v/>
      </c>
      <c r="AA444" s="113" t="str">
        <f t="array" ref="AA444">INDEX($A$1:$C$500, MATCH(1,($B:$B=$AB444)*($C:$C=$B444),0),1)</f>
        <v/>
      </c>
      <c r="AB444" s="111"/>
      <c r="AC444" s="114" t="str">
        <f t="shared" si="2"/>
        <v/>
      </c>
      <c r="AD444" s="115" t="str">
        <f t="shared" si="3"/>
        <v/>
      </c>
      <c r="AE444" s="116" t="str">
        <f t="array" ref="AE444">INDEX($A$1:$C$500, MATCH(1,($B:$B=$AB444)*($C:$C=$AG444),0),1)</f>
        <v/>
      </c>
      <c r="AF444" s="116" t="str">
        <f t="array" ref="AF444">INDEX($A$1:$C$500, MATCH(1,($B:$B=$AG444)*($C:$C=$AB444),0),1)</f>
        <v/>
      </c>
      <c r="AG444" s="72"/>
      <c r="AH444" s="114" t="str">
        <f t="shared" si="4"/>
        <v/>
      </c>
      <c r="AI444" s="115" t="str">
        <f t="shared" si="5"/>
        <v/>
      </c>
      <c r="AJ444" s="116" t="str">
        <f t="array" ref="AJ444">INDEX($A$1:$C$500, MATCH(1,($B:$B=$C444)*($C:$C=$AG444),0),1)</f>
        <v/>
      </c>
      <c r="AK444" s="116" t="str">
        <f t="array" ref="AK444">INDEX($A$1:$C$500, MATCH(1,($B:$B=$AG444)*($C:$C=$C444),0),1)</f>
        <v/>
      </c>
      <c r="AL444" s="116" t="str">
        <f t="array" ref="AL444">INDEX($A$1:$C$500, MATCH(1,($B:$B=$C444)*($C:$C=$AB444),0),1)</f>
        <v/>
      </c>
      <c r="AM444" s="116" t="str">
        <f t="array" ref="AM444">INDEX($A$1:$C$500, MATCH(1,($B:$B=$AB444)*($C:$C=$C444),0),1)</f>
        <v/>
      </c>
      <c r="AN444" s="114" t="str">
        <f t="array" ref="AN444">IFS(ISNUMBER(AJ444),AJ444,ISNUMBER(AK444),AK444,ISNUMBER(AL444),AL444,ISNUMBER(AM444),AM444)</f>
        <v>#N/A</v>
      </c>
      <c r="AO444" s="115" t="str">
        <f t="shared" si="6"/>
        <v/>
      </c>
      <c r="AP444" s="115" t="str">
        <f t="shared" si="7"/>
        <v/>
      </c>
      <c r="AQ444" s="111"/>
      <c r="AR444" s="109" t="str">
        <f t="shared" si="8"/>
        <v/>
      </c>
      <c r="AS444" s="72" t="str">
        <f>IFERROR(IF(AND(Preferences!B$3="Manual",OR(AX444/AW444&gt;V444/U444,BD444="Serious",BD444="Very serious")),"Assess imprecision",IFERROR(IFS(AND(Preferences!B$3="Automatic",V444/U444&gt;=30),"Extremely serious",AND(W444&lt;=$D$1*-1,Y444&lt;0,V444/U444&lt;3),"Not Serious",AND(W444&lt;=$D$1*-1,Y444&lt;0,V444/U444&gt;=3),"Very serious",AND(W444&gt;=$D$1,X444&gt;0,V444/U444&lt;3),"Not Serious",AND(W444&gt;=$D$1,X444&gt;0,V444/U444&gt;=3),"Very serious",AND(W444&lt;=$D$1*-1,Y444&gt;0,X444&gt;$D$2*-1,V444/U444&lt;3),"Serious", AND(W444&lt;=$D$1*-1,Y444&gt;0,X444&lt;$D$2*-1,V444/U444&lt;3),"Very serious", AND(W444&gt;=$D$1,X444&lt;0,Y444&lt;$D$2,V444/U444&lt;3),"Serious",AND(W444&gt;=$D$1,X444&lt;0,Y444&gt;$D$2,V444/U444&lt;3),"Very serious", AND(W444&lt;=$D$1*-1,Y444&gt;0,X444&gt;$D$2*-1,V444/U444&gt;=3),"Very serious", AND(W444&lt;=$D$1*-1,Y444&gt;0,X444&lt;$D$2*-1,V444/U444&gt;=3),"Very serious", AND(W444&gt;=$D$1,X444&lt;0,Y444&lt;$D$2,V444/U444&gt;=3),"Very serious", AND(W444&gt;=$D$1,X444&lt;0,Y444&gt;$D$2,V444/U444&gt;=3),"Very serious", AND(W444&gt;$D$1*-1,W444&lt;$D$1,X444&gt;$D$1*-1,Y444&lt;$D$1,V444/U444&lt;3),"Not Serious", AND(W444&gt;$D$1*-1,W444&lt;$D$1,OR(X444&lt;=$D$1*-1,Y444&gt;=$D$1),X444&gt;$D$2*-1,Y444&lt;$D$2,V444/U444&lt;3),"Serious", AND(W444&gt;$D$1*-1,W444&lt;$D$1,OR(X444&lt;=$D$2*-1,Y444&gt;=$D$2),V444/U444&lt;3),"Very serious", AND(W444&gt;$D$1*-1,W444&lt;$D$1,X444&gt;$D$1*-1,Y444&lt;$D$1,V444/U444&gt;=3),"Very serious", AND(W444&gt;$D$1*-1,W444&lt;$D$1,OR(X444&lt;=$D$1*-1,Y444&gt;=$D$1),X444&gt;$D$2*-1,Y444&lt;$D$2,V444/U444&gt;=3),"Very serious", AND(W444&gt;$D$1*-1,W444&lt;$D$1,OR(X444&lt;=$D$2*-1,Y444&gt;=$D$2),V444/U444&gt;=3),"Very serious"),"")),"")</f>
        <v/>
      </c>
      <c r="AT444" s="109" t="str">
        <f t="shared" si="9"/>
        <v/>
      </c>
      <c r="AU444" s="64"/>
      <c r="AV444" s="83"/>
      <c r="AW444" s="83"/>
      <c r="AX444" s="83"/>
      <c r="AY444" s="83"/>
      <c r="AZ444" s="83"/>
      <c r="BA444" s="85"/>
      <c r="BB444" s="86" t="str">
        <f>IF(Preferences!B$9="Manual","",IFS(ISBLANK(B444),"",AND(ISNUMBER(E444)=TRUE,ISNUMBER(T444)=FALSE),"Direct", AND(ISNUMBER(E444)=FALSE,ISNUMBER(T444)=TRUE),"Indirect", CN444=4,"Direct",AND(CL444=FALSE, CM444=TRUE,CN444-CO444&gt;-1),"Direct", AND(CL444=FALSE,CM444=TRUE, CN444-CO444&lt;0),"Check algorithm in appendix 2", AND(CL444=TRUE, CM444=FALSE,CN444-CO444&gt;0),"Check algorithm in appendix 2", AND(CL444=TRUE, CM444=FALSE,CN444-CO444=0),"Indirect", AND(CL444=TRUE, CM444=FALSE,CN444-CO444&lt;0),"Indirect", AND(CL444=FALSE,CM444=FALSE,CN444-CO444&gt;-1),"Direct", AND(CL444=FALSE,CM444=FALSE,CN444-CO444&lt;0),"Check algorithm in appendix 2", AND(CL444=TRUE,CM444=TRUE,CN444-CO444&gt;-1),"Direct", AND(CL444=TRUE,CM444=TRUE,CN444-CO444&lt;0),"Check algorithm in appendix 2"))</f>
        <v/>
      </c>
      <c r="BC444" s="120" t="str">
        <f t="shared" si="10"/>
        <v/>
      </c>
      <c r="BD444" s="140"/>
      <c r="BE444" s="122" t="str">
        <f>IF(Preferences!B$3="Manual","", IFERROR(IFS(AND(Preferences!B$3="Automatic",AX444/AW444&gt;=30),"Extremely serious",AND(AY444&lt;=$D$1*-1,BA444&lt;0,AX444/AW444&lt;3),"Not Serious",AND(AY444&lt;=$D$1*-1,BA444&lt;0,AX444/AW444&gt;=3),"Very serious",AND(AY444&gt;=$D$1,AZ444&gt;0,AX444/AW444&lt;3),"Not Serious",AND(AY444&gt;=$D$1,AZ444&gt;0,AX444/AW444&gt;=3),"Very serious",AND(AY444&lt;=$D$1*-1,BA444&gt;0,AZ444&gt;$D$2*-1,AX444/AW444&lt;3),"Serious", AND(AY444&lt;=$D$1*-1,BA444&gt;0,AZ444&lt;$D$2*-1,AX444/AW444&lt;3),"Very serious", AND(AY444&gt;=$D$1,AZ444&lt;0,BA444&lt;$D$2,AX444/AW444&lt;3),"Serious",AND(AY444&gt;=$D$1,AZ444&lt;0,BA444&gt;$D$2,AX444/AW444&lt;3),"Very serious", AND(AY444&lt;=$D$1*-1,BA444&gt;0,AZ444&gt;$D$2*-1,AX444/AW444&gt;=3),"Very serious", AND(AY444&lt;=$D$1*-1,BA444&gt;0,AZ444&lt;$D$2*-1,AX444/AW444&gt;=3),"Very serious", AND(AY444&gt;=$D$1,AZ444&lt;0,BA444&lt;$D$2,AX444/AW444&gt;=3),"Very serious", AND(AY444&gt;=$D$1,AZ444&lt;0,BA444&gt;$D$2,AX444/AW444&gt;=3),"Very serious", AND(AY444&gt;$D$1*-1,AY444&lt;$D$1,AZ444&gt;$D$1*-1,BA444&lt;$D$1,AX444/AW444&lt;3),"Not Serious", AND(AY444&gt;$D$1*-1,AY444&lt;$D$1,OR(AZ444&lt;=$D$1*-1,BA444&gt;=$D$1),AZ444&gt;$D$2*-1,BA444&lt;$D$2,AX444/AW444&lt;3),"Serious", AND(AY444&gt;$D$1*-1,AY444&lt;$D$1,OR(AZ444&lt;=$D$2*-1,BA444&gt;=$D$2),AX444/AW444&lt;3),"Very serious", AND(AY444&gt;$D$1*-1,AY444&lt;$D$1,AZ444&gt;$D$1*-1,BA444&lt;$D$1,AX444/AW444&gt;=3),"Very serious", AND(AY444&gt;$D$1*-1,AY444&lt;$D$1,OR(AZ444&lt;=$D$1*-1,BA444&gt;=$D$1),AZ444&gt;$D$2*-1,BA444&lt;$D$2,AX444/AW444&gt;=3),"Very serious", AND(AY444&gt;$D$1*-1,AY444&lt;$D$1,OR(AZ444&lt;=$D$2*-1,BA444&gt;=$D$2),AX444/AW444&gt;=3),"Very serious"),""))</f>
        <v/>
      </c>
      <c r="BF444" s="107" t="str">
        <f t="shared" si="11"/>
        <v/>
      </c>
      <c r="BG444" s="94" t="str">
        <f t="shared" si="46"/>
        <v/>
      </c>
      <c r="BH444" s="64" t="str">
        <f t="shared" si="12"/>
        <v>#N/A</v>
      </c>
      <c r="BI444" s="64" t="str">
        <f t="shared" si="13"/>
        <v/>
      </c>
      <c r="BJ444" s="123" t="str">
        <f t="shared" si="14"/>
        <v>#N/A</v>
      </c>
      <c r="BK444" s="64" t="str">
        <f t="shared" si="50"/>
        <v>YES</v>
      </c>
      <c r="BL444" s="64" t="str">
        <f t="shared" si="16"/>
        <v>YES</v>
      </c>
      <c r="BM444" s="64" t="str">
        <f t="shared" si="17"/>
        <v>YES</v>
      </c>
      <c r="BN444" s="124" t="str">
        <f t="shared" si="18"/>
        <v/>
      </c>
      <c r="BO444" s="91" t="str">
        <f t="shared" si="19"/>
        <v/>
      </c>
      <c r="BP444" s="91" t="str">
        <f t="shared" si="20"/>
        <v>#N/A</v>
      </c>
      <c r="BQ444" s="91" t="str">
        <f t="shared" si="21"/>
        <v/>
      </c>
      <c r="BR444" s="93" t="str">
        <f t="shared" si="22"/>
        <v/>
      </c>
      <c r="BS444" s="90" t="str">
        <f t="shared" si="23"/>
        <v/>
      </c>
      <c r="BT444" s="93" t="str">
        <f t="shared" si="24"/>
        <v>NA</v>
      </c>
      <c r="BU444" s="125" t="str">
        <f t="shared" si="25"/>
        <v>#N/A</v>
      </c>
      <c r="BV444" s="93" t="str">
        <f t="shared" si="26"/>
        <v/>
      </c>
      <c r="BW444" s="93" t="str">
        <f t="shared" si="27"/>
        <v/>
      </c>
      <c r="BX444" s="93" t="str">
        <f t="shared" si="28"/>
        <v>NA</v>
      </c>
      <c r="BY444" s="95" t="str">
        <f t="shared" si="29"/>
        <v>#N/A</v>
      </c>
      <c r="BZ444" s="93" t="str">
        <f t="shared" si="30"/>
        <v/>
      </c>
      <c r="CA444" s="93" t="str">
        <f t="shared" si="31"/>
        <v/>
      </c>
      <c r="CB444" s="93" t="str">
        <f t="shared" si="32"/>
        <v>NA</v>
      </c>
      <c r="CC444" s="96" t="str">
        <f t="shared" si="33"/>
        <v>#N/A</v>
      </c>
      <c r="CD444" s="93" t="str">
        <f t="shared" si="34"/>
        <v/>
      </c>
      <c r="CE444" s="93" t="str">
        <f t="shared" si="35"/>
        <v/>
      </c>
      <c r="CF444" s="93" t="str">
        <f t="shared" si="36"/>
        <v>NA</v>
      </c>
      <c r="CG444" s="97" t="str">
        <f t="shared" si="37"/>
        <v>#N/A</v>
      </c>
      <c r="CH444" s="98" t="str">
        <f t="shared" si="38"/>
        <v>#N/A</v>
      </c>
      <c r="CI444" s="99" t="str">
        <f t="shared" si="39"/>
        <v>#N/A</v>
      </c>
      <c r="CJ444" s="126" t="str">
        <f t="shared" si="40"/>
        <v>ERROR: check cell</v>
      </c>
      <c r="CK444" s="126"/>
      <c r="CL444" s="127" t="str">
        <f t="shared" si="41"/>
        <v>#DIV/0!</v>
      </c>
      <c r="CM444" s="128" t="str">
        <f t="shared" si="42"/>
        <v>#DIV/0!</v>
      </c>
      <c r="CN444" s="128">
        <f t="shared" si="43"/>
        <v>4</v>
      </c>
      <c r="CO444" s="129">
        <f t="shared" si="44"/>
        <v>4</v>
      </c>
      <c r="CP444" s="129" t="str">
        <f>IFS(C444=Preferences!B$13,B444,B444=Preferences!B$13,C444)</f>
        <v>#N/A</v>
      </c>
    </row>
    <row r="445" ht="13.5" customHeight="1">
      <c r="A445" s="63" t="str">
        <f t="shared" si="45"/>
        <v/>
      </c>
      <c r="B445" s="64"/>
      <c r="C445" s="64"/>
      <c r="D445" s="64"/>
      <c r="E445" s="65"/>
      <c r="F445" s="65"/>
      <c r="G445" s="65"/>
      <c r="H445" s="66"/>
      <c r="I445" s="66"/>
      <c r="J445" s="67"/>
      <c r="K445" s="68"/>
      <c r="L445" s="104"/>
      <c r="M445" s="104"/>
      <c r="N445" s="104"/>
      <c r="O445" s="104"/>
      <c r="P445" s="107" t="str">
        <f t="shared" si="1"/>
        <v/>
      </c>
      <c r="Q445" s="108" t="str">
        <f>IFERROR(IF(AND(Preferences!B$3="Manual",OR(AX445/AW445&gt;G445/F445,BD445="Serious",BD445="Very serious")),"Assess imprecision",IFS(ISBLANK(E445),"",AND(Preferences!B$3="Automatic", G445/F445&gt;=30),"Extremely serious",AND(H445&lt;=$D$1*-1,J445&lt;0,G445/F445&lt;3),"Not serious",AND(H445&lt;=$D$1*-1,J445&lt;0,G445/F445&gt;=3),"Very serious",AND(H445&gt;=$D$1,I445&gt;0,G445/F445&lt;3),"Not serious",AND(H445&gt;=$D$1,I445&gt;0,G445/F445&gt;=3),"Very serious",AND(H445&lt;=$D$1*-1,J445&gt;0,I445&gt;$D$2*-1,G445/F445&lt;3),"Serious", AND(H445&lt;=$D$1*-1,J445&gt;0,I445&lt;$D$2*-1,G445/F445&lt;3),"Very serious", AND(H445&gt;=$D$1,I445&lt;0,J445&lt;$D$2,G445/F445&lt;3),"Serious",AND(H445&gt;=$D$1,I445&lt;0,J445&gt;$D$2,G445/F445&lt;3),"Very serious", AND(H445&lt;=$D$1*-1,J445&gt;0,I445&gt;$D$2*-1,G445/F445&gt;=3),"Very serious", AND(H445&lt;=$D$1*-1,J445&gt;0,I445&lt;$D$2*-1,G445/F445&gt;=3),"Very serious", AND(H445&gt;=$D$1,I445&lt;0,J445&lt;$D$2,G445/F445&gt;=3),"Very serious", AND(H445&gt;=$D$1,I445&lt;0,J445&gt;$D$2,G445/F445&gt;=3),"Very serious", AND(H445&gt;$D$1*-1,H445&lt;$D$1,I445&gt;$D$1*-1,J445&lt;$D$1,G445/F445&lt;3),"Not serious", AND(H445&gt;$D$1*-1,H445&lt;$D$1,OR(I445&lt;=$D$1*-1,J445&gt;=$D$1),I445&gt;$D$2*-1,J445&lt;$D$2,G445/F445&lt;3),"Serious", AND(H445&gt;$D$1*-1,H445&lt;$D$1,OR(I445&lt;=$D$2*-1,J445&gt;=$D$2),G445/F445&lt;3),"Very serious", AND(H445&gt;$D$1*-1,H445&lt;$D$1,I445&gt;$D$1*-1,J445&lt;$D$1,G445/F445&gt;=3),"Very serious", AND(H445&gt;$D$1*-1,H445&lt;$D$1,OR(I445&lt;=$D$1*-1,J445&gt;=$D$1),I445&gt;$D$2*-1,J445&lt;$D$2,G445/F445&gt;=3),"Very serious", AND(H445&gt;$D$1*-1,H445&lt;$D$1,OR(I445&lt;=$D$2*-1,J445&gt;=$D$2),G445/F445&gt;=3),"Very serious")),"")</f>
        <v/>
      </c>
      <c r="R445" s="109" t="str">
        <f t="shared" si="47"/>
        <v/>
      </c>
      <c r="S445" s="64"/>
      <c r="T445" s="72"/>
      <c r="U445" s="72"/>
      <c r="V445" s="72"/>
      <c r="W445" s="73"/>
      <c r="X445" s="73"/>
      <c r="Y445" s="74"/>
      <c r="Z445" s="113" t="str">
        <f t="array" ref="Z445">INDEX($A$1:$C$500, MATCH(1,($B:$B=$B445)*($C:$C=$AB445),0),1)</f>
        <v/>
      </c>
      <c r="AA445" s="113" t="str">
        <f t="array" ref="AA445">INDEX($A$1:$C$500, MATCH(1,($B:$B=$AB445)*($C:$C=$B445),0),1)</f>
        <v/>
      </c>
      <c r="AB445" s="111"/>
      <c r="AC445" s="114" t="str">
        <f t="shared" si="2"/>
        <v/>
      </c>
      <c r="AD445" s="115" t="str">
        <f t="shared" si="3"/>
        <v/>
      </c>
      <c r="AE445" s="116" t="str">
        <f t="array" ref="AE445">INDEX($A$1:$C$500, MATCH(1,($B:$B=$AB445)*($C:$C=$AG445),0),1)</f>
        <v/>
      </c>
      <c r="AF445" s="116" t="str">
        <f t="array" ref="AF445">INDEX($A$1:$C$500, MATCH(1,($B:$B=$AG445)*($C:$C=$AB445),0),1)</f>
        <v/>
      </c>
      <c r="AG445" s="72"/>
      <c r="AH445" s="114" t="str">
        <f t="shared" si="4"/>
        <v/>
      </c>
      <c r="AI445" s="115" t="str">
        <f t="shared" si="5"/>
        <v/>
      </c>
      <c r="AJ445" s="116" t="str">
        <f t="array" ref="AJ445">INDEX($A$1:$C$500, MATCH(1,($B:$B=$C445)*($C:$C=$AG445),0),1)</f>
        <v/>
      </c>
      <c r="AK445" s="116" t="str">
        <f t="array" ref="AK445">INDEX($A$1:$C$500, MATCH(1,($B:$B=$AG445)*($C:$C=$C445),0),1)</f>
        <v/>
      </c>
      <c r="AL445" s="116" t="str">
        <f t="array" ref="AL445">INDEX($A$1:$C$500, MATCH(1,($B:$B=$C445)*($C:$C=$AB445),0),1)</f>
        <v/>
      </c>
      <c r="AM445" s="116" t="str">
        <f t="array" ref="AM445">INDEX($A$1:$C$500, MATCH(1,($B:$B=$AB445)*($C:$C=$C445),0),1)</f>
        <v/>
      </c>
      <c r="AN445" s="114" t="str">
        <f t="array" ref="AN445">IFS(ISNUMBER(AJ445),AJ445,ISNUMBER(AK445),AK445,ISNUMBER(AL445),AL445,ISNUMBER(AM445),AM445)</f>
        <v>#N/A</v>
      </c>
      <c r="AO445" s="115" t="str">
        <f t="shared" si="6"/>
        <v/>
      </c>
      <c r="AP445" s="115" t="str">
        <f t="shared" si="7"/>
        <v/>
      </c>
      <c r="AQ445" s="111"/>
      <c r="AR445" s="109" t="str">
        <f t="shared" si="8"/>
        <v/>
      </c>
      <c r="AS445" s="72" t="str">
        <f>IFERROR(IF(AND(Preferences!B$3="Manual",OR(AX445/AW445&gt;V445/U445,BD445="Serious",BD445="Very serious")),"Assess imprecision",IFERROR(IFS(AND(Preferences!B$3="Automatic",V445/U445&gt;=30),"Extremely serious",AND(W445&lt;=$D$1*-1,Y445&lt;0,V445/U445&lt;3),"Not Serious",AND(W445&lt;=$D$1*-1,Y445&lt;0,V445/U445&gt;=3),"Very serious",AND(W445&gt;=$D$1,X445&gt;0,V445/U445&lt;3),"Not Serious",AND(W445&gt;=$D$1,X445&gt;0,V445/U445&gt;=3),"Very serious",AND(W445&lt;=$D$1*-1,Y445&gt;0,X445&gt;$D$2*-1,V445/U445&lt;3),"Serious", AND(W445&lt;=$D$1*-1,Y445&gt;0,X445&lt;$D$2*-1,V445/U445&lt;3),"Very serious", AND(W445&gt;=$D$1,X445&lt;0,Y445&lt;$D$2,V445/U445&lt;3),"Serious",AND(W445&gt;=$D$1,X445&lt;0,Y445&gt;$D$2,V445/U445&lt;3),"Very serious", AND(W445&lt;=$D$1*-1,Y445&gt;0,X445&gt;$D$2*-1,V445/U445&gt;=3),"Very serious", AND(W445&lt;=$D$1*-1,Y445&gt;0,X445&lt;$D$2*-1,V445/U445&gt;=3),"Very serious", AND(W445&gt;=$D$1,X445&lt;0,Y445&lt;$D$2,V445/U445&gt;=3),"Very serious", AND(W445&gt;=$D$1,X445&lt;0,Y445&gt;$D$2,V445/U445&gt;=3),"Very serious", AND(W445&gt;$D$1*-1,W445&lt;$D$1,X445&gt;$D$1*-1,Y445&lt;$D$1,V445/U445&lt;3),"Not Serious", AND(W445&gt;$D$1*-1,W445&lt;$D$1,OR(X445&lt;=$D$1*-1,Y445&gt;=$D$1),X445&gt;$D$2*-1,Y445&lt;$D$2,V445/U445&lt;3),"Serious", AND(W445&gt;$D$1*-1,W445&lt;$D$1,OR(X445&lt;=$D$2*-1,Y445&gt;=$D$2),V445/U445&lt;3),"Very serious", AND(W445&gt;$D$1*-1,W445&lt;$D$1,X445&gt;$D$1*-1,Y445&lt;$D$1,V445/U445&gt;=3),"Very serious", AND(W445&gt;$D$1*-1,W445&lt;$D$1,OR(X445&lt;=$D$1*-1,Y445&gt;=$D$1),X445&gt;$D$2*-1,Y445&lt;$D$2,V445/U445&gt;=3),"Very serious", AND(W445&gt;$D$1*-1,W445&lt;$D$1,OR(X445&lt;=$D$2*-1,Y445&gt;=$D$2),V445/U445&gt;=3),"Very serious"),"")),"")</f>
        <v/>
      </c>
      <c r="AT445" s="109" t="str">
        <f t="shared" si="9"/>
        <v/>
      </c>
      <c r="AU445" s="64"/>
      <c r="AV445" s="83"/>
      <c r="AW445" s="83"/>
      <c r="AX445" s="83"/>
      <c r="AY445" s="83"/>
      <c r="AZ445" s="83"/>
      <c r="BA445" s="85"/>
      <c r="BB445" s="86" t="str">
        <f>IF(Preferences!B$9="Manual","",IFS(ISBLANK(B445),"",AND(ISNUMBER(E445)=TRUE,ISNUMBER(T445)=FALSE),"Direct", AND(ISNUMBER(E445)=FALSE,ISNUMBER(T445)=TRUE),"Indirect", CN445=4,"Direct",AND(CL445=FALSE, CM445=TRUE,CN445-CO445&gt;-1),"Direct", AND(CL445=FALSE,CM445=TRUE, CN445-CO445&lt;0),"Check algorithm in appendix 2", AND(CL445=TRUE, CM445=FALSE,CN445-CO445&gt;0),"Check algorithm in appendix 2", AND(CL445=TRUE, CM445=FALSE,CN445-CO445=0),"Indirect", AND(CL445=TRUE, CM445=FALSE,CN445-CO445&lt;0),"Indirect", AND(CL445=FALSE,CM445=FALSE,CN445-CO445&gt;-1),"Direct", AND(CL445=FALSE,CM445=FALSE,CN445-CO445&lt;0),"Check algorithm in appendix 2", AND(CL445=TRUE,CM445=TRUE,CN445-CO445&gt;-1),"Direct", AND(CL445=TRUE,CM445=TRUE,CN445-CO445&lt;0),"Check algorithm in appendix 2"))</f>
        <v/>
      </c>
      <c r="BC445" s="120" t="str">
        <f t="shared" si="10"/>
        <v/>
      </c>
      <c r="BD445" s="140"/>
      <c r="BE445" s="122" t="str">
        <f>IF(Preferences!B$3="Manual","", IFERROR(IFS(AND(Preferences!B$3="Automatic",AX445/AW445&gt;=30),"Extremely serious",AND(AY445&lt;=$D$1*-1,BA445&lt;0,AX445/AW445&lt;3),"Not Serious",AND(AY445&lt;=$D$1*-1,BA445&lt;0,AX445/AW445&gt;=3),"Very serious",AND(AY445&gt;=$D$1,AZ445&gt;0,AX445/AW445&lt;3),"Not Serious",AND(AY445&gt;=$D$1,AZ445&gt;0,AX445/AW445&gt;=3),"Very serious",AND(AY445&lt;=$D$1*-1,BA445&gt;0,AZ445&gt;$D$2*-1,AX445/AW445&lt;3),"Serious", AND(AY445&lt;=$D$1*-1,BA445&gt;0,AZ445&lt;$D$2*-1,AX445/AW445&lt;3),"Very serious", AND(AY445&gt;=$D$1,AZ445&lt;0,BA445&lt;$D$2,AX445/AW445&lt;3),"Serious",AND(AY445&gt;=$D$1,AZ445&lt;0,BA445&gt;$D$2,AX445/AW445&lt;3),"Very serious", AND(AY445&lt;=$D$1*-1,BA445&gt;0,AZ445&gt;$D$2*-1,AX445/AW445&gt;=3),"Very serious", AND(AY445&lt;=$D$1*-1,BA445&gt;0,AZ445&lt;$D$2*-1,AX445/AW445&gt;=3),"Very serious", AND(AY445&gt;=$D$1,AZ445&lt;0,BA445&lt;$D$2,AX445/AW445&gt;=3),"Very serious", AND(AY445&gt;=$D$1,AZ445&lt;0,BA445&gt;$D$2,AX445/AW445&gt;=3),"Very serious", AND(AY445&gt;$D$1*-1,AY445&lt;$D$1,AZ445&gt;$D$1*-1,BA445&lt;$D$1,AX445/AW445&lt;3),"Not Serious", AND(AY445&gt;$D$1*-1,AY445&lt;$D$1,OR(AZ445&lt;=$D$1*-1,BA445&gt;=$D$1),AZ445&gt;$D$2*-1,BA445&lt;$D$2,AX445/AW445&lt;3),"Serious", AND(AY445&gt;$D$1*-1,AY445&lt;$D$1,OR(AZ445&lt;=$D$2*-1,BA445&gt;=$D$2),AX445/AW445&lt;3),"Very serious", AND(AY445&gt;$D$1*-1,AY445&lt;$D$1,AZ445&gt;$D$1*-1,BA445&lt;$D$1,AX445/AW445&gt;=3),"Very serious", AND(AY445&gt;$D$1*-1,AY445&lt;$D$1,OR(AZ445&lt;=$D$1*-1,BA445&gt;=$D$1),AZ445&gt;$D$2*-1,BA445&lt;$D$2,AX445/AW445&gt;=3),"Very serious", AND(AY445&gt;$D$1*-1,AY445&lt;$D$1,OR(AZ445&lt;=$D$2*-1,BA445&gt;=$D$2),AX445/AW445&gt;=3),"Very serious"),""))</f>
        <v/>
      </c>
      <c r="BF445" s="107" t="str">
        <f t="shared" si="11"/>
        <v/>
      </c>
      <c r="BG445" s="94" t="str">
        <f t="shared" si="46"/>
        <v/>
      </c>
      <c r="BH445" s="64" t="str">
        <f t="shared" si="12"/>
        <v>#N/A</v>
      </c>
      <c r="BI445" s="64" t="str">
        <f t="shared" si="13"/>
        <v/>
      </c>
      <c r="BJ445" s="123" t="str">
        <f t="shared" si="14"/>
        <v>#N/A</v>
      </c>
      <c r="BK445" s="64" t="str">
        <f t="shared" si="50"/>
        <v>YES</v>
      </c>
      <c r="BL445" s="64" t="str">
        <f t="shared" si="16"/>
        <v>YES</v>
      </c>
      <c r="BM445" s="64" t="str">
        <f t="shared" si="17"/>
        <v>YES</v>
      </c>
      <c r="BN445" s="124" t="str">
        <f t="shared" si="18"/>
        <v/>
      </c>
      <c r="BO445" s="91" t="str">
        <f t="shared" si="19"/>
        <v/>
      </c>
      <c r="BP445" s="91" t="str">
        <f t="shared" si="20"/>
        <v>#N/A</v>
      </c>
      <c r="BQ445" s="91" t="str">
        <f t="shared" si="21"/>
        <v/>
      </c>
      <c r="BR445" s="93" t="str">
        <f t="shared" si="22"/>
        <v/>
      </c>
      <c r="BS445" s="90" t="str">
        <f t="shared" si="23"/>
        <v/>
      </c>
      <c r="BT445" s="93" t="str">
        <f t="shared" si="24"/>
        <v>NA</v>
      </c>
      <c r="BU445" s="125" t="str">
        <f t="shared" si="25"/>
        <v>#N/A</v>
      </c>
      <c r="BV445" s="93" t="str">
        <f t="shared" si="26"/>
        <v/>
      </c>
      <c r="BW445" s="93" t="str">
        <f t="shared" si="27"/>
        <v/>
      </c>
      <c r="BX445" s="93" t="str">
        <f t="shared" si="28"/>
        <v>NA</v>
      </c>
      <c r="BY445" s="95" t="str">
        <f t="shared" si="29"/>
        <v>#N/A</v>
      </c>
      <c r="BZ445" s="93" t="str">
        <f t="shared" si="30"/>
        <v/>
      </c>
      <c r="CA445" s="93" t="str">
        <f t="shared" si="31"/>
        <v/>
      </c>
      <c r="CB445" s="93" t="str">
        <f t="shared" si="32"/>
        <v>NA</v>
      </c>
      <c r="CC445" s="96" t="str">
        <f t="shared" si="33"/>
        <v>#N/A</v>
      </c>
      <c r="CD445" s="93" t="str">
        <f t="shared" si="34"/>
        <v/>
      </c>
      <c r="CE445" s="93" t="str">
        <f t="shared" si="35"/>
        <v/>
      </c>
      <c r="CF445" s="93" t="str">
        <f t="shared" si="36"/>
        <v>NA</v>
      </c>
      <c r="CG445" s="97" t="str">
        <f t="shared" si="37"/>
        <v>#N/A</v>
      </c>
      <c r="CH445" s="98" t="str">
        <f t="shared" si="38"/>
        <v>#N/A</v>
      </c>
      <c r="CI445" s="99" t="str">
        <f t="shared" si="39"/>
        <v>#N/A</v>
      </c>
      <c r="CJ445" s="126" t="str">
        <f t="shared" si="40"/>
        <v>ERROR: check cell</v>
      </c>
      <c r="CK445" s="126"/>
      <c r="CL445" s="127" t="str">
        <f t="shared" si="41"/>
        <v>#DIV/0!</v>
      </c>
      <c r="CM445" s="128" t="str">
        <f t="shared" si="42"/>
        <v>#DIV/0!</v>
      </c>
      <c r="CN445" s="128">
        <f t="shared" si="43"/>
        <v>4</v>
      </c>
      <c r="CO445" s="129">
        <f t="shared" si="44"/>
        <v>4</v>
      </c>
      <c r="CP445" s="129" t="str">
        <f>IFS(C445=Preferences!B$13,B445,B445=Preferences!B$13,C445)</f>
        <v>#N/A</v>
      </c>
    </row>
    <row r="446" ht="13.5" customHeight="1">
      <c r="A446" s="63" t="str">
        <f t="shared" si="45"/>
        <v/>
      </c>
      <c r="B446" s="64"/>
      <c r="C446" s="64"/>
      <c r="D446" s="64"/>
      <c r="E446" s="65"/>
      <c r="F446" s="65"/>
      <c r="G446" s="65"/>
      <c r="H446" s="66"/>
      <c r="I446" s="66"/>
      <c r="J446" s="67"/>
      <c r="K446" s="68"/>
      <c r="L446" s="104"/>
      <c r="M446" s="104"/>
      <c r="N446" s="104"/>
      <c r="O446" s="104"/>
      <c r="P446" s="107" t="str">
        <f t="shared" si="1"/>
        <v/>
      </c>
      <c r="Q446" s="108" t="str">
        <f>IFERROR(IF(AND(Preferences!B$3="Manual",OR(AX446/AW446&gt;G446/F446,BD446="Serious",BD446="Very serious")),"Assess imprecision",IFS(ISBLANK(E446),"",AND(Preferences!B$3="Automatic", G446/F446&gt;=30),"Extremely serious",AND(H446&lt;=$D$1*-1,J446&lt;0,G446/F446&lt;3),"Not serious",AND(H446&lt;=$D$1*-1,J446&lt;0,G446/F446&gt;=3),"Very serious",AND(H446&gt;=$D$1,I446&gt;0,G446/F446&lt;3),"Not serious",AND(H446&gt;=$D$1,I446&gt;0,G446/F446&gt;=3),"Very serious",AND(H446&lt;=$D$1*-1,J446&gt;0,I446&gt;$D$2*-1,G446/F446&lt;3),"Serious", AND(H446&lt;=$D$1*-1,J446&gt;0,I446&lt;$D$2*-1,G446/F446&lt;3),"Very serious", AND(H446&gt;=$D$1,I446&lt;0,J446&lt;$D$2,G446/F446&lt;3),"Serious",AND(H446&gt;=$D$1,I446&lt;0,J446&gt;$D$2,G446/F446&lt;3),"Very serious", AND(H446&lt;=$D$1*-1,J446&gt;0,I446&gt;$D$2*-1,G446/F446&gt;=3),"Very serious", AND(H446&lt;=$D$1*-1,J446&gt;0,I446&lt;$D$2*-1,G446/F446&gt;=3),"Very serious", AND(H446&gt;=$D$1,I446&lt;0,J446&lt;$D$2,G446/F446&gt;=3),"Very serious", AND(H446&gt;=$D$1,I446&lt;0,J446&gt;$D$2,G446/F446&gt;=3),"Very serious", AND(H446&gt;$D$1*-1,H446&lt;$D$1,I446&gt;$D$1*-1,J446&lt;$D$1,G446/F446&lt;3),"Not serious", AND(H446&gt;$D$1*-1,H446&lt;$D$1,OR(I446&lt;=$D$1*-1,J446&gt;=$D$1),I446&gt;$D$2*-1,J446&lt;$D$2,G446/F446&lt;3),"Serious", AND(H446&gt;$D$1*-1,H446&lt;$D$1,OR(I446&lt;=$D$2*-1,J446&gt;=$D$2),G446/F446&lt;3),"Very serious", AND(H446&gt;$D$1*-1,H446&lt;$D$1,I446&gt;$D$1*-1,J446&lt;$D$1,G446/F446&gt;=3),"Very serious", AND(H446&gt;$D$1*-1,H446&lt;$D$1,OR(I446&lt;=$D$1*-1,J446&gt;=$D$1),I446&gt;$D$2*-1,J446&lt;$D$2,G446/F446&gt;=3),"Very serious", AND(H446&gt;$D$1*-1,H446&lt;$D$1,OR(I446&lt;=$D$2*-1,J446&gt;=$D$2),G446/F446&gt;=3),"Very serious")),"")</f>
        <v/>
      </c>
      <c r="R446" s="109" t="str">
        <f t="shared" si="47"/>
        <v/>
      </c>
      <c r="S446" s="64"/>
      <c r="T446" s="72"/>
      <c r="U446" s="72"/>
      <c r="V446" s="72"/>
      <c r="W446" s="73"/>
      <c r="X446" s="73"/>
      <c r="Y446" s="74"/>
      <c r="Z446" s="113" t="str">
        <f t="array" ref="Z446">INDEX($A$1:$C$500, MATCH(1,($B:$B=$B446)*($C:$C=$AB446),0),1)</f>
        <v/>
      </c>
      <c r="AA446" s="113" t="str">
        <f t="array" ref="AA446">INDEX($A$1:$C$500, MATCH(1,($B:$B=$AB446)*($C:$C=$B446),0),1)</f>
        <v/>
      </c>
      <c r="AB446" s="111"/>
      <c r="AC446" s="114" t="str">
        <f t="shared" si="2"/>
        <v/>
      </c>
      <c r="AD446" s="115" t="str">
        <f t="shared" si="3"/>
        <v/>
      </c>
      <c r="AE446" s="116" t="str">
        <f t="array" ref="AE446">INDEX($A$1:$C$500, MATCH(1,($B:$B=$AB446)*($C:$C=$AG446),0),1)</f>
        <v/>
      </c>
      <c r="AF446" s="116" t="str">
        <f t="array" ref="AF446">INDEX($A$1:$C$500, MATCH(1,($B:$B=$AG446)*($C:$C=$AB446),0),1)</f>
        <v/>
      </c>
      <c r="AG446" s="72"/>
      <c r="AH446" s="114" t="str">
        <f t="shared" si="4"/>
        <v/>
      </c>
      <c r="AI446" s="115" t="str">
        <f t="shared" si="5"/>
        <v/>
      </c>
      <c r="AJ446" s="116" t="str">
        <f t="array" ref="AJ446">INDEX($A$1:$C$500, MATCH(1,($B:$B=$C446)*($C:$C=$AG446),0),1)</f>
        <v/>
      </c>
      <c r="AK446" s="116" t="str">
        <f t="array" ref="AK446">INDEX($A$1:$C$500, MATCH(1,($B:$B=$AG446)*($C:$C=$C446),0),1)</f>
        <v/>
      </c>
      <c r="AL446" s="116" t="str">
        <f t="array" ref="AL446">INDEX($A$1:$C$500, MATCH(1,($B:$B=$C446)*($C:$C=$AB446),0),1)</f>
        <v/>
      </c>
      <c r="AM446" s="116" t="str">
        <f t="array" ref="AM446">INDEX($A$1:$C$500, MATCH(1,($B:$B=$AB446)*($C:$C=$C446),0),1)</f>
        <v/>
      </c>
      <c r="AN446" s="114" t="str">
        <f t="array" ref="AN446">IFS(ISNUMBER(AJ446),AJ446,ISNUMBER(AK446),AK446,ISNUMBER(AL446),AL446,ISNUMBER(AM446),AM446)</f>
        <v>#N/A</v>
      </c>
      <c r="AO446" s="115" t="str">
        <f t="shared" si="6"/>
        <v/>
      </c>
      <c r="AP446" s="115" t="str">
        <f t="shared" si="7"/>
        <v/>
      </c>
      <c r="AQ446" s="111"/>
      <c r="AR446" s="109" t="str">
        <f t="shared" si="8"/>
        <v/>
      </c>
      <c r="AS446" s="72" t="str">
        <f>IFERROR(IF(AND(Preferences!B$3="Manual",OR(AX446/AW446&gt;V446/U446,BD446="Serious",BD446="Very serious")),"Assess imprecision",IFERROR(IFS(AND(Preferences!B$3="Automatic",V446/U446&gt;=30),"Extremely serious",AND(W446&lt;=$D$1*-1,Y446&lt;0,V446/U446&lt;3),"Not Serious",AND(W446&lt;=$D$1*-1,Y446&lt;0,V446/U446&gt;=3),"Very serious",AND(W446&gt;=$D$1,X446&gt;0,V446/U446&lt;3),"Not Serious",AND(W446&gt;=$D$1,X446&gt;0,V446/U446&gt;=3),"Very serious",AND(W446&lt;=$D$1*-1,Y446&gt;0,X446&gt;$D$2*-1,V446/U446&lt;3),"Serious", AND(W446&lt;=$D$1*-1,Y446&gt;0,X446&lt;$D$2*-1,V446/U446&lt;3),"Very serious", AND(W446&gt;=$D$1,X446&lt;0,Y446&lt;$D$2,V446/U446&lt;3),"Serious",AND(W446&gt;=$D$1,X446&lt;0,Y446&gt;$D$2,V446/U446&lt;3),"Very serious", AND(W446&lt;=$D$1*-1,Y446&gt;0,X446&gt;$D$2*-1,V446/U446&gt;=3),"Very serious", AND(W446&lt;=$D$1*-1,Y446&gt;0,X446&lt;$D$2*-1,V446/U446&gt;=3),"Very serious", AND(W446&gt;=$D$1,X446&lt;0,Y446&lt;$D$2,V446/U446&gt;=3),"Very serious", AND(W446&gt;=$D$1,X446&lt;0,Y446&gt;$D$2,V446/U446&gt;=3),"Very serious", AND(W446&gt;$D$1*-1,W446&lt;$D$1,X446&gt;$D$1*-1,Y446&lt;$D$1,V446/U446&lt;3),"Not Serious", AND(W446&gt;$D$1*-1,W446&lt;$D$1,OR(X446&lt;=$D$1*-1,Y446&gt;=$D$1),X446&gt;$D$2*-1,Y446&lt;$D$2,V446/U446&lt;3),"Serious", AND(W446&gt;$D$1*-1,W446&lt;$D$1,OR(X446&lt;=$D$2*-1,Y446&gt;=$D$2),V446/U446&lt;3),"Very serious", AND(W446&gt;$D$1*-1,W446&lt;$D$1,X446&gt;$D$1*-1,Y446&lt;$D$1,V446/U446&gt;=3),"Very serious", AND(W446&gt;$D$1*-1,W446&lt;$D$1,OR(X446&lt;=$D$1*-1,Y446&gt;=$D$1),X446&gt;$D$2*-1,Y446&lt;$D$2,V446/U446&gt;=3),"Very serious", AND(W446&gt;$D$1*-1,W446&lt;$D$1,OR(X446&lt;=$D$2*-1,Y446&gt;=$D$2),V446/U446&gt;=3),"Very serious"),"")),"")</f>
        <v/>
      </c>
      <c r="AT446" s="109" t="str">
        <f t="shared" si="9"/>
        <v/>
      </c>
      <c r="AU446" s="64"/>
      <c r="AV446" s="83"/>
      <c r="AW446" s="83"/>
      <c r="AX446" s="83"/>
      <c r="AY446" s="83"/>
      <c r="AZ446" s="83"/>
      <c r="BA446" s="85"/>
      <c r="BB446" s="86" t="str">
        <f>IF(Preferences!B$9="Manual","",IFS(ISBLANK(B446),"",AND(ISNUMBER(E446)=TRUE,ISNUMBER(T446)=FALSE),"Direct", AND(ISNUMBER(E446)=FALSE,ISNUMBER(T446)=TRUE),"Indirect", CN446=4,"Direct",AND(CL446=FALSE, CM446=TRUE,CN446-CO446&gt;-1),"Direct", AND(CL446=FALSE,CM446=TRUE, CN446-CO446&lt;0),"Check algorithm in appendix 2", AND(CL446=TRUE, CM446=FALSE,CN446-CO446&gt;0),"Check algorithm in appendix 2", AND(CL446=TRUE, CM446=FALSE,CN446-CO446=0),"Indirect", AND(CL446=TRUE, CM446=FALSE,CN446-CO446&lt;0),"Indirect", AND(CL446=FALSE,CM446=FALSE,CN446-CO446&gt;-1),"Direct", AND(CL446=FALSE,CM446=FALSE,CN446-CO446&lt;0),"Check algorithm in appendix 2", AND(CL446=TRUE,CM446=TRUE,CN446-CO446&gt;-1),"Direct", AND(CL446=TRUE,CM446=TRUE,CN446-CO446&lt;0),"Check algorithm in appendix 2"))</f>
        <v/>
      </c>
      <c r="BC446" s="120" t="str">
        <f t="shared" si="10"/>
        <v/>
      </c>
      <c r="BD446" s="140"/>
      <c r="BE446" s="122" t="str">
        <f>IF(Preferences!B$3="Manual","", IFERROR(IFS(AND(Preferences!B$3="Automatic",AX446/AW446&gt;=30),"Extremely serious",AND(AY446&lt;=$D$1*-1,BA446&lt;0,AX446/AW446&lt;3),"Not Serious",AND(AY446&lt;=$D$1*-1,BA446&lt;0,AX446/AW446&gt;=3),"Very serious",AND(AY446&gt;=$D$1,AZ446&gt;0,AX446/AW446&lt;3),"Not Serious",AND(AY446&gt;=$D$1,AZ446&gt;0,AX446/AW446&gt;=3),"Very serious",AND(AY446&lt;=$D$1*-1,BA446&gt;0,AZ446&gt;$D$2*-1,AX446/AW446&lt;3),"Serious", AND(AY446&lt;=$D$1*-1,BA446&gt;0,AZ446&lt;$D$2*-1,AX446/AW446&lt;3),"Very serious", AND(AY446&gt;=$D$1,AZ446&lt;0,BA446&lt;$D$2,AX446/AW446&lt;3),"Serious",AND(AY446&gt;=$D$1,AZ446&lt;0,BA446&gt;$D$2,AX446/AW446&lt;3),"Very serious", AND(AY446&lt;=$D$1*-1,BA446&gt;0,AZ446&gt;$D$2*-1,AX446/AW446&gt;=3),"Very serious", AND(AY446&lt;=$D$1*-1,BA446&gt;0,AZ446&lt;$D$2*-1,AX446/AW446&gt;=3),"Very serious", AND(AY446&gt;=$D$1,AZ446&lt;0,BA446&lt;$D$2,AX446/AW446&gt;=3),"Very serious", AND(AY446&gt;=$D$1,AZ446&lt;0,BA446&gt;$D$2,AX446/AW446&gt;=3),"Very serious", AND(AY446&gt;$D$1*-1,AY446&lt;$D$1,AZ446&gt;$D$1*-1,BA446&lt;$D$1,AX446/AW446&lt;3),"Not Serious", AND(AY446&gt;$D$1*-1,AY446&lt;$D$1,OR(AZ446&lt;=$D$1*-1,BA446&gt;=$D$1),AZ446&gt;$D$2*-1,BA446&lt;$D$2,AX446/AW446&lt;3),"Serious", AND(AY446&gt;$D$1*-1,AY446&lt;$D$1,OR(AZ446&lt;=$D$2*-1,BA446&gt;=$D$2),AX446/AW446&lt;3),"Very serious", AND(AY446&gt;$D$1*-1,AY446&lt;$D$1,AZ446&gt;$D$1*-1,BA446&lt;$D$1,AX446/AW446&gt;=3),"Very serious", AND(AY446&gt;$D$1*-1,AY446&lt;$D$1,OR(AZ446&lt;=$D$1*-1,BA446&gt;=$D$1),AZ446&gt;$D$2*-1,BA446&lt;$D$2,AX446/AW446&gt;=3),"Very serious", AND(AY446&gt;$D$1*-1,AY446&lt;$D$1,OR(AZ446&lt;=$D$2*-1,BA446&gt;=$D$2),AX446/AW446&gt;=3),"Very serious"),""))</f>
        <v/>
      </c>
      <c r="BF446" s="107" t="str">
        <f t="shared" si="11"/>
        <v/>
      </c>
      <c r="BG446" s="94" t="str">
        <f t="shared" si="46"/>
        <v/>
      </c>
      <c r="BH446" s="64" t="str">
        <f t="shared" si="12"/>
        <v>#N/A</v>
      </c>
      <c r="BI446" s="64" t="str">
        <f t="shared" si="13"/>
        <v/>
      </c>
      <c r="BJ446" s="123" t="str">
        <f t="shared" si="14"/>
        <v>#N/A</v>
      </c>
      <c r="BK446" s="64" t="str">
        <f t="shared" si="50"/>
        <v>YES</v>
      </c>
      <c r="BL446" s="64" t="str">
        <f t="shared" si="16"/>
        <v>YES</v>
      </c>
      <c r="BM446" s="64" t="str">
        <f t="shared" si="17"/>
        <v>YES</v>
      </c>
      <c r="BN446" s="124" t="str">
        <f t="shared" si="18"/>
        <v/>
      </c>
      <c r="BO446" s="91" t="str">
        <f t="shared" si="19"/>
        <v/>
      </c>
      <c r="BP446" s="91" t="str">
        <f t="shared" si="20"/>
        <v>#N/A</v>
      </c>
      <c r="BQ446" s="91" t="str">
        <f t="shared" si="21"/>
        <v/>
      </c>
      <c r="BR446" s="93" t="str">
        <f t="shared" si="22"/>
        <v/>
      </c>
      <c r="BS446" s="90" t="str">
        <f t="shared" si="23"/>
        <v/>
      </c>
      <c r="BT446" s="93" t="str">
        <f t="shared" si="24"/>
        <v>NA</v>
      </c>
      <c r="BU446" s="125" t="str">
        <f t="shared" si="25"/>
        <v>#N/A</v>
      </c>
      <c r="BV446" s="93" t="str">
        <f t="shared" si="26"/>
        <v/>
      </c>
      <c r="BW446" s="93" t="str">
        <f t="shared" si="27"/>
        <v/>
      </c>
      <c r="BX446" s="93" t="str">
        <f t="shared" si="28"/>
        <v>NA</v>
      </c>
      <c r="BY446" s="95" t="str">
        <f t="shared" si="29"/>
        <v>#N/A</v>
      </c>
      <c r="BZ446" s="93" t="str">
        <f t="shared" si="30"/>
        <v/>
      </c>
      <c r="CA446" s="93" t="str">
        <f t="shared" si="31"/>
        <v/>
      </c>
      <c r="CB446" s="93" t="str">
        <f t="shared" si="32"/>
        <v>NA</v>
      </c>
      <c r="CC446" s="96" t="str">
        <f t="shared" si="33"/>
        <v>#N/A</v>
      </c>
      <c r="CD446" s="93" t="str">
        <f t="shared" si="34"/>
        <v/>
      </c>
      <c r="CE446" s="93" t="str">
        <f t="shared" si="35"/>
        <v/>
      </c>
      <c r="CF446" s="93" t="str">
        <f t="shared" si="36"/>
        <v>NA</v>
      </c>
      <c r="CG446" s="97" t="str">
        <f t="shared" si="37"/>
        <v>#N/A</v>
      </c>
      <c r="CH446" s="98" t="str">
        <f t="shared" si="38"/>
        <v>#N/A</v>
      </c>
      <c r="CI446" s="99" t="str">
        <f t="shared" si="39"/>
        <v>#N/A</v>
      </c>
      <c r="CJ446" s="126" t="str">
        <f t="shared" si="40"/>
        <v>ERROR: check cell</v>
      </c>
      <c r="CK446" s="126"/>
      <c r="CL446" s="127" t="str">
        <f t="shared" si="41"/>
        <v>#DIV/0!</v>
      </c>
      <c r="CM446" s="128" t="str">
        <f t="shared" si="42"/>
        <v>#DIV/0!</v>
      </c>
      <c r="CN446" s="128">
        <f t="shared" si="43"/>
        <v>4</v>
      </c>
      <c r="CO446" s="129">
        <f t="shared" si="44"/>
        <v>4</v>
      </c>
      <c r="CP446" s="129" t="str">
        <f>IFS(C446=Preferences!B$13,B446,B446=Preferences!B$13,C446)</f>
        <v>#N/A</v>
      </c>
    </row>
    <row r="447" ht="13.5" customHeight="1">
      <c r="A447" s="63" t="str">
        <f t="shared" si="45"/>
        <v/>
      </c>
      <c r="B447" s="64"/>
      <c r="C447" s="64"/>
      <c r="D447" s="64"/>
      <c r="E447" s="65"/>
      <c r="F447" s="65"/>
      <c r="G447" s="65"/>
      <c r="H447" s="66"/>
      <c r="I447" s="66"/>
      <c r="J447" s="67"/>
      <c r="K447" s="68"/>
      <c r="L447" s="104"/>
      <c r="M447" s="104"/>
      <c r="N447" s="104"/>
      <c r="O447" s="104"/>
      <c r="P447" s="107" t="str">
        <f t="shared" si="1"/>
        <v/>
      </c>
      <c r="Q447" s="108" t="str">
        <f>IFERROR(IF(AND(Preferences!B$3="Manual",OR(AX447/AW447&gt;G447/F447,BD447="Serious",BD447="Very serious")),"Assess imprecision",IFS(ISBLANK(E447),"",AND(Preferences!B$3="Automatic", G447/F447&gt;=30),"Extremely serious",AND(H447&lt;=$D$1*-1,J447&lt;0,G447/F447&lt;3),"Not serious",AND(H447&lt;=$D$1*-1,J447&lt;0,G447/F447&gt;=3),"Very serious",AND(H447&gt;=$D$1,I447&gt;0,G447/F447&lt;3),"Not serious",AND(H447&gt;=$D$1,I447&gt;0,G447/F447&gt;=3),"Very serious",AND(H447&lt;=$D$1*-1,J447&gt;0,I447&gt;$D$2*-1,G447/F447&lt;3),"Serious", AND(H447&lt;=$D$1*-1,J447&gt;0,I447&lt;$D$2*-1,G447/F447&lt;3),"Very serious", AND(H447&gt;=$D$1,I447&lt;0,J447&lt;$D$2,G447/F447&lt;3),"Serious",AND(H447&gt;=$D$1,I447&lt;0,J447&gt;$D$2,G447/F447&lt;3),"Very serious", AND(H447&lt;=$D$1*-1,J447&gt;0,I447&gt;$D$2*-1,G447/F447&gt;=3),"Very serious", AND(H447&lt;=$D$1*-1,J447&gt;0,I447&lt;$D$2*-1,G447/F447&gt;=3),"Very serious", AND(H447&gt;=$D$1,I447&lt;0,J447&lt;$D$2,G447/F447&gt;=3),"Very serious", AND(H447&gt;=$D$1,I447&lt;0,J447&gt;$D$2,G447/F447&gt;=3),"Very serious", AND(H447&gt;$D$1*-1,H447&lt;$D$1,I447&gt;$D$1*-1,J447&lt;$D$1,G447/F447&lt;3),"Not serious", AND(H447&gt;$D$1*-1,H447&lt;$D$1,OR(I447&lt;=$D$1*-1,J447&gt;=$D$1),I447&gt;$D$2*-1,J447&lt;$D$2,G447/F447&lt;3),"Serious", AND(H447&gt;$D$1*-1,H447&lt;$D$1,OR(I447&lt;=$D$2*-1,J447&gt;=$D$2),G447/F447&lt;3),"Very serious", AND(H447&gt;$D$1*-1,H447&lt;$D$1,I447&gt;$D$1*-1,J447&lt;$D$1,G447/F447&gt;=3),"Very serious", AND(H447&gt;$D$1*-1,H447&lt;$D$1,OR(I447&lt;=$D$1*-1,J447&gt;=$D$1),I447&gt;$D$2*-1,J447&lt;$D$2,G447/F447&gt;=3),"Very serious", AND(H447&gt;$D$1*-1,H447&lt;$D$1,OR(I447&lt;=$D$2*-1,J447&gt;=$D$2),G447/F447&gt;=3),"Very serious")),"")</f>
        <v/>
      </c>
      <c r="R447" s="109" t="str">
        <f t="shared" si="47"/>
        <v/>
      </c>
      <c r="S447" s="64"/>
      <c r="T447" s="72"/>
      <c r="U447" s="72"/>
      <c r="V447" s="72"/>
      <c r="W447" s="73"/>
      <c r="X447" s="73"/>
      <c r="Y447" s="74"/>
      <c r="Z447" s="113" t="str">
        <f t="array" ref="Z447">INDEX($A$1:$C$500, MATCH(1,($B:$B=$B447)*($C:$C=$AB447),0),1)</f>
        <v/>
      </c>
      <c r="AA447" s="113" t="str">
        <f t="array" ref="AA447">INDEX($A$1:$C$500, MATCH(1,($B:$B=$AB447)*($C:$C=$B447),0),1)</f>
        <v/>
      </c>
      <c r="AB447" s="111"/>
      <c r="AC447" s="114" t="str">
        <f t="shared" si="2"/>
        <v/>
      </c>
      <c r="AD447" s="115" t="str">
        <f t="shared" si="3"/>
        <v/>
      </c>
      <c r="AE447" s="116" t="str">
        <f t="array" ref="AE447">INDEX($A$1:$C$500, MATCH(1,($B:$B=$AB447)*($C:$C=$AG447),0),1)</f>
        <v/>
      </c>
      <c r="AF447" s="116" t="str">
        <f t="array" ref="AF447">INDEX($A$1:$C$500, MATCH(1,($B:$B=$AG447)*($C:$C=$AB447),0),1)</f>
        <v/>
      </c>
      <c r="AG447" s="72"/>
      <c r="AH447" s="114" t="str">
        <f t="shared" si="4"/>
        <v/>
      </c>
      <c r="AI447" s="115" t="str">
        <f t="shared" si="5"/>
        <v/>
      </c>
      <c r="AJ447" s="116" t="str">
        <f t="array" ref="AJ447">INDEX($A$1:$C$500, MATCH(1,($B:$B=$C447)*($C:$C=$AG447),0),1)</f>
        <v/>
      </c>
      <c r="AK447" s="116" t="str">
        <f t="array" ref="AK447">INDEX($A$1:$C$500, MATCH(1,($B:$B=$AG447)*($C:$C=$C447),0),1)</f>
        <v/>
      </c>
      <c r="AL447" s="116" t="str">
        <f t="array" ref="AL447">INDEX($A$1:$C$500, MATCH(1,($B:$B=$C447)*($C:$C=$AB447),0),1)</f>
        <v/>
      </c>
      <c r="AM447" s="116" t="str">
        <f t="array" ref="AM447">INDEX($A$1:$C$500, MATCH(1,($B:$B=$AB447)*($C:$C=$C447),0),1)</f>
        <v/>
      </c>
      <c r="AN447" s="114" t="str">
        <f t="array" ref="AN447">IFS(ISNUMBER(AJ447),AJ447,ISNUMBER(AK447),AK447,ISNUMBER(AL447),AL447,ISNUMBER(AM447),AM447)</f>
        <v>#N/A</v>
      </c>
      <c r="AO447" s="115" t="str">
        <f t="shared" si="6"/>
        <v/>
      </c>
      <c r="AP447" s="115" t="str">
        <f t="shared" si="7"/>
        <v/>
      </c>
      <c r="AQ447" s="111"/>
      <c r="AR447" s="109" t="str">
        <f t="shared" si="8"/>
        <v/>
      </c>
      <c r="AS447" s="72" t="str">
        <f>IFERROR(IF(AND(Preferences!B$3="Manual",OR(AX447/AW447&gt;V447/U447,BD447="Serious",BD447="Very serious")),"Assess imprecision",IFERROR(IFS(AND(Preferences!B$3="Automatic",V447/U447&gt;=30),"Extremely serious",AND(W447&lt;=$D$1*-1,Y447&lt;0,V447/U447&lt;3),"Not Serious",AND(W447&lt;=$D$1*-1,Y447&lt;0,V447/U447&gt;=3),"Very serious",AND(W447&gt;=$D$1,X447&gt;0,V447/U447&lt;3),"Not Serious",AND(W447&gt;=$D$1,X447&gt;0,V447/U447&gt;=3),"Very serious",AND(W447&lt;=$D$1*-1,Y447&gt;0,X447&gt;$D$2*-1,V447/U447&lt;3),"Serious", AND(W447&lt;=$D$1*-1,Y447&gt;0,X447&lt;$D$2*-1,V447/U447&lt;3),"Very serious", AND(W447&gt;=$D$1,X447&lt;0,Y447&lt;$D$2,V447/U447&lt;3),"Serious",AND(W447&gt;=$D$1,X447&lt;0,Y447&gt;$D$2,V447/U447&lt;3),"Very serious", AND(W447&lt;=$D$1*-1,Y447&gt;0,X447&gt;$D$2*-1,V447/U447&gt;=3),"Very serious", AND(W447&lt;=$D$1*-1,Y447&gt;0,X447&lt;$D$2*-1,V447/U447&gt;=3),"Very serious", AND(W447&gt;=$D$1,X447&lt;0,Y447&lt;$D$2,V447/U447&gt;=3),"Very serious", AND(W447&gt;=$D$1,X447&lt;0,Y447&gt;$D$2,V447/U447&gt;=3),"Very serious", AND(W447&gt;$D$1*-1,W447&lt;$D$1,X447&gt;$D$1*-1,Y447&lt;$D$1,V447/U447&lt;3),"Not Serious", AND(W447&gt;$D$1*-1,W447&lt;$D$1,OR(X447&lt;=$D$1*-1,Y447&gt;=$D$1),X447&gt;$D$2*-1,Y447&lt;$D$2,V447/U447&lt;3),"Serious", AND(W447&gt;$D$1*-1,W447&lt;$D$1,OR(X447&lt;=$D$2*-1,Y447&gt;=$D$2),V447/U447&lt;3),"Very serious", AND(W447&gt;$D$1*-1,W447&lt;$D$1,X447&gt;$D$1*-1,Y447&lt;$D$1,V447/U447&gt;=3),"Very serious", AND(W447&gt;$D$1*-1,W447&lt;$D$1,OR(X447&lt;=$D$1*-1,Y447&gt;=$D$1),X447&gt;$D$2*-1,Y447&lt;$D$2,V447/U447&gt;=3),"Very serious", AND(W447&gt;$D$1*-1,W447&lt;$D$1,OR(X447&lt;=$D$2*-1,Y447&gt;=$D$2),V447/U447&gt;=3),"Very serious"),"")),"")</f>
        <v/>
      </c>
      <c r="AT447" s="109" t="str">
        <f t="shared" si="9"/>
        <v/>
      </c>
      <c r="AU447" s="64"/>
      <c r="AV447" s="83"/>
      <c r="AW447" s="83"/>
      <c r="AX447" s="83"/>
      <c r="AY447" s="83"/>
      <c r="AZ447" s="83"/>
      <c r="BA447" s="85"/>
      <c r="BB447" s="86" t="str">
        <f>IF(Preferences!B$9="Manual","",IFS(ISBLANK(B447),"",AND(ISNUMBER(E447)=TRUE,ISNUMBER(T447)=FALSE),"Direct", AND(ISNUMBER(E447)=FALSE,ISNUMBER(T447)=TRUE),"Indirect", CN447=4,"Direct",AND(CL447=FALSE, CM447=TRUE,CN447-CO447&gt;-1),"Direct", AND(CL447=FALSE,CM447=TRUE, CN447-CO447&lt;0),"Check algorithm in appendix 2", AND(CL447=TRUE, CM447=FALSE,CN447-CO447&gt;0),"Check algorithm in appendix 2", AND(CL447=TRUE, CM447=FALSE,CN447-CO447=0),"Indirect", AND(CL447=TRUE, CM447=FALSE,CN447-CO447&lt;0),"Indirect", AND(CL447=FALSE,CM447=FALSE,CN447-CO447&gt;-1),"Direct", AND(CL447=FALSE,CM447=FALSE,CN447-CO447&lt;0),"Check algorithm in appendix 2", AND(CL447=TRUE,CM447=TRUE,CN447-CO447&gt;-1),"Direct", AND(CL447=TRUE,CM447=TRUE,CN447-CO447&lt;0),"Check algorithm in appendix 2"))</f>
        <v/>
      </c>
      <c r="BC447" s="120" t="str">
        <f t="shared" si="10"/>
        <v/>
      </c>
      <c r="BD447" s="140"/>
      <c r="BE447" s="122" t="str">
        <f>IF(Preferences!B$3="Manual","", IFERROR(IFS(AND(Preferences!B$3="Automatic",AX447/AW447&gt;=30),"Extremely serious",AND(AY447&lt;=$D$1*-1,BA447&lt;0,AX447/AW447&lt;3),"Not Serious",AND(AY447&lt;=$D$1*-1,BA447&lt;0,AX447/AW447&gt;=3),"Very serious",AND(AY447&gt;=$D$1,AZ447&gt;0,AX447/AW447&lt;3),"Not Serious",AND(AY447&gt;=$D$1,AZ447&gt;0,AX447/AW447&gt;=3),"Very serious",AND(AY447&lt;=$D$1*-1,BA447&gt;0,AZ447&gt;$D$2*-1,AX447/AW447&lt;3),"Serious", AND(AY447&lt;=$D$1*-1,BA447&gt;0,AZ447&lt;$D$2*-1,AX447/AW447&lt;3),"Very serious", AND(AY447&gt;=$D$1,AZ447&lt;0,BA447&lt;$D$2,AX447/AW447&lt;3),"Serious",AND(AY447&gt;=$D$1,AZ447&lt;0,BA447&gt;$D$2,AX447/AW447&lt;3),"Very serious", AND(AY447&lt;=$D$1*-1,BA447&gt;0,AZ447&gt;$D$2*-1,AX447/AW447&gt;=3),"Very serious", AND(AY447&lt;=$D$1*-1,BA447&gt;0,AZ447&lt;$D$2*-1,AX447/AW447&gt;=3),"Very serious", AND(AY447&gt;=$D$1,AZ447&lt;0,BA447&lt;$D$2,AX447/AW447&gt;=3),"Very serious", AND(AY447&gt;=$D$1,AZ447&lt;0,BA447&gt;$D$2,AX447/AW447&gt;=3),"Very serious", AND(AY447&gt;$D$1*-1,AY447&lt;$D$1,AZ447&gt;$D$1*-1,BA447&lt;$D$1,AX447/AW447&lt;3),"Not Serious", AND(AY447&gt;$D$1*-1,AY447&lt;$D$1,OR(AZ447&lt;=$D$1*-1,BA447&gt;=$D$1),AZ447&gt;$D$2*-1,BA447&lt;$D$2,AX447/AW447&lt;3),"Serious", AND(AY447&gt;$D$1*-1,AY447&lt;$D$1,OR(AZ447&lt;=$D$2*-1,BA447&gt;=$D$2),AX447/AW447&lt;3),"Very serious", AND(AY447&gt;$D$1*-1,AY447&lt;$D$1,AZ447&gt;$D$1*-1,BA447&lt;$D$1,AX447/AW447&gt;=3),"Very serious", AND(AY447&gt;$D$1*-1,AY447&lt;$D$1,OR(AZ447&lt;=$D$1*-1,BA447&gt;=$D$1),AZ447&gt;$D$2*-1,BA447&lt;$D$2,AX447/AW447&gt;=3),"Very serious", AND(AY447&gt;$D$1*-1,AY447&lt;$D$1,OR(AZ447&lt;=$D$2*-1,BA447&gt;=$D$2),AX447/AW447&gt;=3),"Very serious"),""))</f>
        <v/>
      </c>
      <c r="BF447" s="107" t="str">
        <f t="shared" si="11"/>
        <v/>
      </c>
      <c r="BG447" s="94" t="str">
        <f t="shared" si="46"/>
        <v/>
      </c>
      <c r="BH447" s="64" t="str">
        <f t="shared" si="12"/>
        <v>#N/A</v>
      </c>
      <c r="BI447" s="64" t="str">
        <f t="shared" si="13"/>
        <v/>
      </c>
      <c r="BJ447" s="123" t="str">
        <f t="shared" si="14"/>
        <v>#N/A</v>
      </c>
      <c r="BK447" s="64" t="str">
        <f t="shared" si="50"/>
        <v>YES</v>
      </c>
      <c r="BL447" s="64" t="str">
        <f t="shared" si="16"/>
        <v>YES</v>
      </c>
      <c r="BM447" s="64" t="str">
        <f t="shared" si="17"/>
        <v>YES</v>
      </c>
      <c r="BN447" s="124" t="str">
        <f t="shared" si="18"/>
        <v/>
      </c>
      <c r="BO447" s="91" t="str">
        <f t="shared" si="19"/>
        <v/>
      </c>
      <c r="BP447" s="91" t="str">
        <f t="shared" si="20"/>
        <v>#N/A</v>
      </c>
      <c r="BQ447" s="91" t="str">
        <f t="shared" si="21"/>
        <v/>
      </c>
      <c r="BR447" s="93" t="str">
        <f t="shared" si="22"/>
        <v/>
      </c>
      <c r="BS447" s="90" t="str">
        <f t="shared" si="23"/>
        <v/>
      </c>
      <c r="BT447" s="93" t="str">
        <f t="shared" si="24"/>
        <v>NA</v>
      </c>
      <c r="BU447" s="125" t="str">
        <f t="shared" si="25"/>
        <v>#N/A</v>
      </c>
      <c r="BV447" s="93" t="str">
        <f t="shared" si="26"/>
        <v/>
      </c>
      <c r="BW447" s="93" t="str">
        <f t="shared" si="27"/>
        <v/>
      </c>
      <c r="BX447" s="93" t="str">
        <f t="shared" si="28"/>
        <v>NA</v>
      </c>
      <c r="BY447" s="95" t="str">
        <f t="shared" si="29"/>
        <v>#N/A</v>
      </c>
      <c r="BZ447" s="93" t="str">
        <f t="shared" si="30"/>
        <v/>
      </c>
      <c r="CA447" s="93" t="str">
        <f t="shared" si="31"/>
        <v/>
      </c>
      <c r="CB447" s="93" t="str">
        <f t="shared" si="32"/>
        <v>NA</v>
      </c>
      <c r="CC447" s="96" t="str">
        <f t="shared" si="33"/>
        <v>#N/A</v>
      </c>
      <c r="CD447" s="93" t="str">
        <f t="shared" si="34"/>
        <v/>
      </c>
      <c r="CE447" s="93" t="str">
        <f t="shared" si="35"/>
        <v/>
      </c>
      <c r="CF447" s="93" t="str">
        <f t="shared" si="36"/>
        <v>NA</v>
      </c>
      <c r="CG447" s="97" t="str">
        <f t="shared" si="37"/>
        <v>#N/A</v>
      </c>
      <c r="CH447" s="98" t="str">
        <f t="shared" si="38"/>
        <v>#N/A</v>
      </c>
      <c r="CI447" s="99" t="str">
        <f t="shared" si="39"/>
        <v>#N/A</v>
      </c>
      <c r="CJ447" s="126" t="str">
        <f t="shared" si="40"/>
        <v>ERROR: check cell</v>
      </c>
      <c r="CK447" s="126"/>
      <c r="CL447" s="127" t="str">
        <f t="shared" si="41"/>
        <v>#DIV/0!</v>
      </c>
      <c r="CM447" s="128" t="str">
        <f t="shared" si="42"/>
        <v>#DIV/0!</v>
      </c>
      <c r="CN447" s="128">
        <f t="shared" si="43"/>
        <v>4</v>
      </c>
      <c r="CO447" s="129">
        <f t="shared" si="44"/>
        <v>4</v>
      </c>
      <c r="CP447" s="129" t="str">
        <f>IFS(C447=Preferences!B$13,B447,B447=Preferences!B$13,C447)</f>
        <v>#N/A</v>
      </c>
    </row>
    <row r="448" ht="13.5" customHeight="1">
      <c r="A448" s="63" t="str">
        <f t="shared" si="45"/>
        <v/>
      </c>
      <c r="B448" s="64"/>
      <c r="C448" s="64"/>
      <c r="D448" s="64"/>
      <c r="E448" s="65"/>
      <c r="F448" s="65"/>
      <c r="G448" s="65"/>
      <c r="H448" s="66"/>
      <c r="I448" s="66"/>
      <c r="J448" s="67"/>
      <c r="K448" s="68"/>
      <c r="L448" s="104"/>
      <c r="M448" s="104"/>
      <c r="N448" s="104"/>
      <c r="O448" s="104"/>
      <c r="P448" s="107" t="str">
        <f t="shared" si="1"/>
        <v/>
      </c>
      <c r="Q448" s="108" t="str">
        <f>IFERROR(IF(AND(Preferences!B$3="Manual",OR(AX448/AW448&gt;G448/F448,BD448="Serious",BD448="Very serious")),"Assess imprecision",IFS(ISBLANK(E448),"",AND(Preferences!B$3="Automatic", G448/F448&gt;=30),"Extremely serious",AND(H448&lt;=$D$1*-1,J448&lt;0,G448/F448&lt;3),"Not serious",AND(H448&lt;=$D$1*-1,J448&lt;0,G448/F448&gt;=3),"Very serious",AND(H448&gt;=$D$1,I448&gt;0,G448/F448&lt;3),"Not serious",AND(H448&gt;=$D$1,I448&gt;0,G448/F448&gt;=3),"Very serious",AND(H448&lt;=$D$1*-1,J448&gt;0,I448&gt;$D$2*-1,G448/F448&lt;3),"Serious", AND(H448&lt;=$D$1*-1,J448&gt;0,I448&lt;$D$2*-1,G448/F448&lt;3),"Very serious", AND(H448&gt;=$D$1,I448&lt;0,J448&lt;$D$2,G448/F448&lt;3),"Serious",AND(H448&gt;=$D$1,I448&lt;0,J448&gt;$D$2,G448/F448&lt;3),"Very serious", AND(H448&lt;=$D$1*-1,J448&gt;0,I448&gt;$D$2*-1,G448/F448&gt;=3),"Very serious", AND(H448&lt;=$D$1*-1,J448&gt;0,I448&lt;$D$2*-1,G448/F448&gt;=3),"Very serious", AND(H448&gt;=$D$1,I448&lt;0,J448&lt;$D$2,G448/F448&gt;=3),"Very serious", AND(H448&gt;=$D$1,I448&lt;0,J448&gt;$D$2,G448/F448&gt;=3),"Very serious", AND(H448&gt;$D$1*-1,H448&lt;$D$1,I448&gt;$D$1*-1,J448&lt;$D$1,G448/F448&lt;3),"Not serious", AND(H448&gt;$D$1*-1,H448&lt;$D$1,OR(I448&lt;=$D$1*-1,J448&gt;=$D$1),I448&gt;$D$2*-1,J448&lt;$D$2,G448/F448&lt;3),"Serious", AND(H448&gt;$D$1*-1,H448&lt;$D$1,OR(I448&lt;=$D$2*-1,J448&gt;=$D$2),G448/F448&lt;3),"Very serious", AND(H448&gt;$D$1*-1,H448&lt;$D$1,I448&gt;$D$1*-1,J448&lt;$D$1,G448/F448&gt;=3),"Very serious", AND(H448&gt;$D$1*-1,H448&lt;$D$1,OR(I448&lt;=$D$1*-1,J448&gt;=$D$1),I448&gt;$D$2*-1,J448&lt;$D$2,G448/F448&gt;=3),"Very serious", AND(H448&gt;$D$1*-1,H448&lt;$D$1,OR(I448&lt;=$D$2*-1,J448&gt;=$D$2),G448/F448&gt;=3),"Very serious")),"")</f>
        <v/>
      </c>
      <c r="R448" s="109" t="str">
        <f t="shared" si="47"/>
        <v/>
      </c>
      <c r="S448" s="64"/>
      <c r="T448" s="72"/>
      <c r="U448" s="72"/>
      <c r="V448" s="72"/>
      <c r="W448" s="73"/>
      <c r="X448" s="73"/>
      <c r="Y448" s="74"/>
      <c r="Z448" s="113" t="str">
        <f t="array" ref="Z448">INDEX($A$1:$C$500, MATCH(1,($B:$B=$B448)*($C:$C=$AB448),0),1)</f>
        <v/>
      </c>
      <c r="AA448" s="113" t="str">
        <f t="array" ref="AA448">INDEX($A$1:$C$500, MATCH(1,($B:$B=$AB448)*($C:$C=$B448),0),1)</f>
        <v/>
      </c>
      <c r="AB448" s="111"/>
      <c r="AC448" s="114" t="str">
        <f t="shared" si="2"/>
        <v/>
      </c>
      <c r="AD448" s="115" t="str">
        <f t="shared" si="3"/>
        <v/>
      </c>
      <c r="AE448" s="116" t="str">
        <f t="array" ref="AE448">INDEX($A$1:$C$500, MATCH(1,($B:$B=$AB448)*($C:$C=$AG448),0),1)</f>
        <v/>
      </c>
      <c r="AF448" s="116" t="str">
        <f t="array" ref="AF448">INDEX($A$1:$C$500, MATCH(1,($B:$B=$AG448)*($C:$C=$AB448),0),1)</f>
        <v/>
      </c>
      <c r="AG448" s="72"/>
      <c r="AH448" s="114" t="str">
        <f t="shared" si="4"/>
        <v/>
      </c>
      <c r="AI448" s="115" t="str">
        <f t="shared" si="5"/>
        <v/>
      </c>
      <c r="AJ448" s="116" t="str">
        <f t="array" ref="AJ448">INDEX($A$1:$C$500, MATCH(1,($B:$B=$C448)*($C:$C=$AG448),0),1)</f>
        <v/>
      </c>
      <c r="AK448" s="116" t="str">
        <f t="array" ref="AK448">INDEX($A$1:$C$500, MATCH(1,($B:$B=$AG448)*($C:$C=$C448),0),1)</f>
        <v/>
      </c>
      <c r="AL448" s="116" t="str">
        <f t="array" ref="AL448">INDEX($A$1:$C$500, MATCH(1,($B:$B=$C448)*($C:$C=$AB448),0),1)</f>
        <v/>
      </c>
      <c r="AM448" s="116" t="str">
        <f t="array" ref="AM448">INDEX($A$1:$C$500, MATCH(1,($B:$B=$AB448)*($C:$C=$C448),0),1)</f>
        <v/>
      </c>
      <c r="AN448" s="114" t="str">
        <f t="array" ref="AN448">IFS(ISNUMBER(AJ448),AJ448,ISNUMBER(AK448),AK448,ISNUMBER(AL448),AL448,ISNUMBER(AM448),AM448)</f>
        <v>#N/A</v>
      </c>
      <c r="AO448" s="115" t="str">
        <f t="shared" si="6"/>
        <v/>
      </c>
      <c r="AP448" s="115" t="str">
        <f t="shared" si="7"/>
        <v/>
      </c>
      <c r="AQ448" s="111"/>
      <c r="AR448" s="109" t="str">
        <f t="shared" si="8"/>
        <v/>
      </c>
      <c r="AS448" s="72" t="str">
        <f>IFERROR(IF(AND(Preferences!B$3="Manual",OR(AX448/AW448&gt;V448/U448,BD448="Serious",BD448="Very serious")),"Assess imprecision",IFERROR(IFS(AND(Preferences!B$3="Automatic",V448/U448&gt;=30),"Extremely serious",AND(W448&lt;=$D$1*-1,Y448&lt;0,V448/U448&lt;3),"Not Serious",AND(W448&lt;=$D$1*-1,Y448&lt;0,V448/U448&gt;=3),"Very serious",AND(W448&gt;=$D$1,X448&gt;0,V448/U448&lt;3),"Not Serious",AND(W448&gt;=$D$1,X448&gt;0,V448/U448&gt;=3),"Very serious",AND(W448&lt;=$D$1*-1,Y448&gt;0,X448&gt;$D$2*-1,V448/U448&lt;3),"Serious", AND(W448&lt;=$D$1*-1,Y448&gt;0,X448&lt;$D$2*-1,V448/U448&lt;3),"Very serious", AND(W448&gt;=$D$1,X448&lt;0,Y448&lt;$D$2,V448/U448&lt;3),"Serious",AND(W448&gt;=$D$1,X448&lt;0,Y448&gt;$D$2,V448/U448&lt;3),"Very serious", AND(W448&lt;=$D$1*-1,Y448&gt;0,X448&gt;$D$2*-1,V448/U448&gt;=3),"Very serious", AND(W448&lt;=$D$1*-1,Y448&gt;0,X448&lt;$D$2*-1,V448/U448&gt;=3),"Very serious", AND(W448&gt;=$D$1,X448&lt;0,Y448&lt;$D$2,V448/U448&gt;=3),"Very serious", AND(W448&gt;=$D$1,X448&lt;0,Y448&gt;$D$2,V448/U448&gt;=3),"Very serious", AND(W448&gt;$D$1*-1,W448&lt;$D$1,X448&gt;$D$1*-1,Y448&lt;$D$1,V448/U448&lt;3),"Not Serious", AND(W448&gt;$D$1*-1,W448&lt;$D$1,OR(X448&lt;=$D$1*-1,Y448&gt;=$D$1),X448&gt;$D$2*-1,Y448&lt;$D$2,V448/U448&lt;3),"Serious", AND(W448&gt;$D$1*-1,W448&lt;$D$1,OR(X448&lt;=$D$2*-1,Y448&gt;=$D$2),V448/U448&lt;3),"Very serious", AND(W448&gt;$D$1*-1,W448&lt;$D$1,X448&gt;$D$1*-1,Y448&lt;$D$1,V448/U448&gt;=3),"Very serious", AND(W448&gt;$D$1*-1,W448&lt;$D$1,OR(X448&lt;=$D$1*-1,Y448&gt;=$D$1),X448&gt;$D$2*-1,Y448&lt;$D$2,V448/U448&gt;=3),"Very serious", AND(W448&gt;$D$1*-1,W448&lt;$D$1,OR(X448&lt;=$D$2*-1,Y448&gt;=$D$2),V448/U448&gt;=3),"Very serious"),"")),"")</f>
        <v/>
      </c>
      <c r="AT448" s="109" t="str">
        <f t="shared" si="9"/>
        <v/>
      </c>
      <c r="AU448" s="64"/>
      <c r="AV448" s="83"/>
      <c r="AW448" s="83"/>
      <c r="AX448" s="83"/>
      <c r="AY448" s="83"/>
      <c r="AZ448" s="83"/>
      <c r="BA448" s="85"/>
      <c r="BB448" s="86" t="str">
        <f>IF(Preferences!B$9="Manual","",IFS(ISBLANK(B448),"",AND(ISNUMBER(E448)=TRUE,ISNUMBER(T448)=FALSE),"Direct", AND(ISNUMBER(E448)=FALSE,ISNUMBER(T448)=TRUE),"Indirect", CN448=4,"Direct",AND(CL448=FALSE, CM448=TRUE,CN448-CO448&gt;-1),"Direct", AND(CL448=FALSE,CM448=TRUE, CN448-CO448&lt;0),"Check algorithm in appendix 2", AND(CL448=TRUE, CM448=FALSE,CN448-CO448&gt;0),"Check algorithm in appendix 2", AND(CL448=TRUE, CM448=FALSE,CN448-CO448=0),"Indirect", AND(CL448=TRUE, CM448=FALSE,CN448-CO448&lt;0),"Indirect", AND(CL448=FALSE,CM448=FALSE,CN448-CO448&gt;-1),"Direct", AND(CL448=FALSE,CM448=FALSE,CN448-CO448&lt;0),"Check algorithm in appendix 2", AND(CL448=TRUE,CM448=TRUE,CN448-CO448&gt;-1),"Direct", AND(CL448=TRUE,CM448=TRUE,CN448-CO448&lt;0),"Check algorithm in appendix 2"))</f>
        <v/>
      </c>
      <c r="BC448" s="120" t="str">
        <f t="shared" si="10"/>
        <v/>
      </c>
      <c r="BD448" s="140"/>
      <c r="BE448" s="122" t="str">
        <f>IF(Preferences!B$3="Manual","", IFERROR(IFS(AND(Preferences!B$3="Automatic",AX448/AW448&gt;=30),"Extremely serious",AND(AY448&lt;=$D$1*-1,BA448&lt;0,AX448/AW448&lt;3),"Not Serious",AND(AY448&lt;=$D$1*-1,BA448&lt;0,AX448/AW448&gt;=3),"Very serious",AND(AY448&gt;=$D$1,AZ448&gt;0,AX448/AW448&lt;3),"Not Serious",AND(AY448&gt;=$D$1,AZ448&gt;0,AX448/AW448&gt;=3),"Very serious",AND(AY448&lt;=$D$1*-1,BA448&gt;0,AZ448&gt;$D$2*-1,AX448/AW448&lt;3),"Serious", AND(AY448&lt;=$D$1*-1,BA448&gt;0,AZ448&lt;$D$2*-1,AX448/AW448&lt;3),"Very serious", AND(AY448&gt;=$D$1,AZ448&lt;0,BA448&lt;$D$2,AX448/AW448&lt;3),"Serious",AND(AY448&gt;=$D$1,AZ448&lt;0,BA448&gt;$D$2,AX448/AW448&lt;3),"Very serious", AND(AY448&lt;=$D$1*-1,BA448&gt;0,AZ448&gt;$D$2*-1,AX448/AW448&gt;=3),"Very serious", AND(AY448&lt;=$D$1*-1,BA448&gt;0,AZ448&lt;$D$2*-1,AX448/AW448&gt;=3),"Very serious", AND(AY448&gt;=$D$1,AZ448&lt;0,BA448&lt;$D$2,AX448/AW448&gt;=3),"Very serious", AND(AY448&gt;=$D$1,AZ448&lt;0,BA448&gt;$D$2,AX448/AW448&gt;=3),"Very serious", AND(AY448&gt;$D$1*-1,AY448&lt;$D$1,AZ448&gt;$D$1*-1,BA448&lt;$D$1,AX448/AW448&lt;3),"Not Serious", AND(AY448&gt;$D$1*-1,AY448&lt;$D$1,OR(AZ448&lt;=$D$1*-1,BA448&gt;=$D$1),AZ448&gt;$D$2*-1,BA448&lt;$D$2,AX448/AW448&lt;3),"Serious", AND(AY448&gt;$D$1*-1,AY448&lt;$D$1,OR(AZ448&lt;=$D$2*-1,BA448&gt;=$D$2),AX448/AW448&lt;3),"Very serious", AND(AY448&gt;$D$1*-1,AY448&lt;$D$1,AZ448&gt;$D$1*-1,BA448&lt;$D$1,AX448/AW448&gt;=3),"Very serious", AND(AY448&gt;$D$1*-1,AY448&lt;$D$1,OR(AZ448&lt;=$D$1*-1,BA448&gt;=$D$1),AZ448&gt;$D$2*-1,BA448&lt;$D$2,AX448/AW448&gt;=3),"Very serious", AND(AY448&gt;$D$1*-1,AY448&lt;$D$1,OR(AZ448&lt;=$D$2*-1,BA448&gt;=$D$2),AX448/AW448&gt;=3),"Very serious"),""))</f>
        <v/>
      </c>
      <c r="BF448" s="107" t="str">
        <f t="shared" si="11"/>
        <v/>
      </c>
      <c r="BG448" s="94" t="str">
        <f t="shared" si="46"/>
        <v/>
      </c>
      <c r="BH448" s="64" t="str">
        <f t="shared" si="12"/>
        <v>#N/A</v>
      </c>
      <c r="BI448" s="64" t="str">
        <f t="shared" si="13"/>
        <v/>
      </c>
      <c r="BJ448" s="123" t="str">
        <f t="shared" si="14"/>
        <v>#N/A</v>
      </c>
      <c r="BK448" s="64" t="str">
        <f t="shared" si="50"/>
        <v>YES</v>
      </c>
      <c r="BL448" s="64" t="str">
        <f t="shared" si="16"/>
        <v>YES</v>
      </c>
      <c r="BM448" s="64" t="str">
        <f t="shared" si="17"/>
        <v>YES</v>
      </c>
      <c r="BN448" s="124" t="str">
        <f t="shared" si="18"/>
        <v/>
      </c>
      <c r="BO448" s="91" t="str">
        <f t="shared" si="19"/>
        <v/>
      </c>
      <c r="BP448" s="91" t="str">
        <f t="shared" si="20"/>
        <v>#N/A</v>
      </c>
      <c r="BQ448" s="91" t="str">
        <f t="shared" si="21"/>
        <v/>
      </c>
      <c r="BR448" s="93" t="str">
        <f t="shared" si="22"/>
        <v/>
      </c>
      <c r="BS448" s="90" t="str">
        <f t="shared" si="23"/>
        <v/>
      </c>
      <c r="BT448" s="93" t="str">
        <f t="shared" si="24"/>
        <v>NA</v>
      </c>
      <c r="BU448" s="125" t="str">
        <f t="shared" si="25"/>
        <v>#N/A</v>
      </c>
      <c r="BV448" s="93" t="str">
        <f t="shared" si="26"/>
        <v/>
      </c>
      <c r="BW448" s="93" t="str">
        <f t="shared" si="27"/>
        <v/>
      </c>
      <c r="BX448" s="93" t="str">
        <f t="shared" si="28"/>
        <v>NA</v>
      </c>
      <c r="BY448" s="95" t="str">
        <f t="shared" si="29"/>
        <v>#N/A</v>
      </c>
      <c r="BZ448" s="93" t="str">
        <f t="shared" si="30"/>
        <v/>
      </c>
      <c r="CA448" s="93" t="str">
        <f t="shared" si="31"/>
        <v/>
      </c>
      <c r="CB448" s="93" t="str">
        <f t="shared" si="32"/>
        <v>NA</v>
      </c>
      <c r="CC448" s="96" t="str">
        <f t="shared" si="33"/>
        <v>#N/A</v>
      </c>
      <c r="CD448" s="93" t="str">
        <f t="shared" si="34"/>
        <v/>
      </c>
      <c r="CE448" s="93" t="str">
        <f t="shared" si="35"/>
        <v/>
      </c>
      <c r="CF448" s="93" t="str">
        <f t="shared" si="36"/>
        <v>NA</v>
      </c>
      <c r="CG448" s="97" t="str">
        <f t="shared" si="37"/>
        <v>#N/A</v>
      </c>
      <c r="CH448" s="98" t="str">
        <f t="shared" si="38"/>
        <v>#N/A</v>
      </c>
      <c r="CI448" s="99" t="str">
        <f t="shared" si="39"/>
        <v>#N/A</v>
      </c>
      <c r="CJ448" s="126" t="str">
        <f t="shared" si="40"/>
        <v>ERROR: check cell</v>
      </c>
      <c r="CK448" s="126"/>
      <c r="CL448" s="127" t="str">
        <f t="shared" si="41"/>
        <v>#DIV/0!</v>
      </c>
      <c r="CM448" s="128" t="str">
        <f t="shared" si="42"/>
        <v>#DIV/0!</v>
      </c>
      <c r="CN448" s="128">
        <f t="shared" si="43"/>
        <v>4</v>
      </c>
      <c r="CO448" s="129">
        <f t="shared" si="44"/>
        <v>4</v>
      </c>
      <c r="CP448" s="129" t="str">
        <f>IFS(C448=Preferences!B$13,B448,B448=Preferences!B$13,C448)</f>
        <v>#N/A</v>
      </c>
    </row>
    <row r="449" ht="13.5" customHeight="1">
      <c r="A449" s="63" t="str">
        <f t="shared" si="45"/>
        <v/>
      </c>
      <c r="B449" s="64"/>
      <c r="C449" s="64"/>
      <c r="D449" s="64"/>
      <c r="E449" s="65"/>
      <c r="F449" s="65"/>
      <c r="G449" s="65"/>
      <c r="H449" s="66"/>
      <c r="I449" s="66"/>
      <c r="J449" s="67"/>
      <c r="K449" s="68"/>
      <c r="L449" s="104"/>
      <c r="M449" s="104"/>
      <c r="N449" s="104"/>
      <c r="O449" s="104"/>
      <c r="P449" s="107" t="str">
        <f t="shared" si="1"/>
        <v/>
      </c>
      <c r="Q449" s="108" t="str">
        <f>IFERROR(IF(AND(Preferences!B$3="Manual",OR(AX449/AW449&gt;G449/F449,BD449="Serious",BD449="Very serious")),"Assess imprecision",IFS(ISBLANK(E449),"",AND(Preferences!B$3="Automatic", G449/F449&gt;=30),"Extremely serious",AND(H449&lt;=$D$1*-1,J449&lt;0,G449/F449&lt;3),"Not serious",AND(H449&lt;=$D$1*-1,J449&lt;0,G449/F449&gt;=3),"Very serious",AND(H449&gt;=$D$1,I449&gt;0,G449/F449&lt;3),"Not serious",AND(H449&gt;=$D$1,I449&gt;0,G449/F449&gt;=3),"Very serious",AND(H449&lt;=$D$1*-1,J449&gt;0,I449&gt;$D$2*-1,G449/F449&lt;3),"Serious", AND(H449&lt;=$D$1*-1,J449&gt;0,I449&lt;$D$2*-1,G449/F449&lt;3),"Very serious", AND(H449&gt;=$D$1,I449&lt;0,J449&lt;$D$2,G449/F449&lt;3),"Serious",AND(H449&gt;=$D$1,I449&lt;0,J449&gt;$D$2,G449/F449&lt;3),"Very serious", AND(H449&lt;=$D$1*-1,J449&gt;0,I449&gt;$D$2*-1,G449/F449&gt;=3),"Very serious", AND(H449&lt;=$D$1*-1,J449&gt;0,I449&lt;$D$2*-1,G449/F449&gt;=3),"Very serious", AND(H449&gt;=$D$1,I449&lt;0,J449&lt;$D$2,G449/F449&gt;=3),"Very serious", AND(H449&gt;=$D$1,I449&lt;0,J449&gt;$D$2,G449/F449&gt;=3),"Very serious", AND(H449&gt;$D$1*-1,H449&lt;$D$1,I449&gt;$D$1*-1,J449&lt;$D$1,G449/F449&lt;3),"Not serious", AND(H449&gt;$D$1*-1,H449&lt;$D$1,OR(I449&lt;=$D$1*-1,J449&gt;=$D$1),I449&gt;$D$2*-1,J449&lt;$D$2,G449/F449&lt;3),"Serious", AND(H449&gt;$D$1*-1,H449&lt;$D$1,OR(I449&lt;=$D$2*-1,J449&gt;=$D$2),G449/F449&lt;3),"Very serious", AND(H449&gt;$D$1*-1,H449&lt;$D$1,I449&gt;$D$1*-1,J449&lt;$D$1,G449/F449&gt;=3),"Very serious", AND(H449&gt;$D$1*-1,H449&lt;$D$1,OR(I449&lt;=$D$1*-1,J449&gt;=$D$1),I449&gt;$D$2*-1,J449&lt;$D$2,G449/F449&gt;=3),"Very serious", AND(H449&gt;$D$1*-1,H449&lt;$D$1,OR(I449&lt;=$D$2*-1,J449&gt;=$D$2),G449/F449&gt;=3),"Very serious")),"")</f>
        <v/>
      </c>
      <c r="R449" s="109" t="str">
        <f t="shared" si="47"/>
        <v/>
      </c>
      <c r="S449" s="64"/>
      <c r="T449" s="72"/>
      <c r="U449" s="72"/>
      <c r="V449" s="72"/>
      <c r="W449" s="73"/>
      <c r="X449" s="73"/>
      <c r="Y449" s="74"/>
      <c r="Z449" s="113" t="str">
        <f t="array" ref="Z449">INDEX($A$1:$C$500, MATCH(1,($B:$B=$B449)*($C:$C=$AB449),0),1)</f>
        <v/>
      </c>
      <c r="AA449" s="113" t="str">
        <f t="array" ref="AA449">INDEX($A$1:$C$500, MATCH(1,($B:$B=$AB449)*($C:$C=$B449),0),1)</f>
        <v/>
      </c>
      <c r="AB449" s="111"/>
      <c r="AC449" s="114" t="str">
        <f t="shared" si="2"/>
        <v/>
      </c>
      <c r="AD449" s="115" t="str">
        <f t="shared" si="3"/>
        <v/>
      </c>
      <c r="AE449" s="116" t="str">
        <f t="array" ref="AE449">INDEX($A$1:$C$500, MATCH(1,($B:$B=$AB449)*($C:$C=$AG449),0),1)</f>
        <v/>
      </c>
      <c r="AF449" s="116" t="str">
        <f t="array" ref="AF449">INDEX($A$1:$C$500, MATCH(1,($B:$B=$AG449)*($C:$C=$AB449),0),1)</f>
        <v/>
      </c>
      <c r="AG449" s="72"/>
      <c r="AH449" s="114" t="str">
        <f t="shared" si="4"/>
        <v/>
      </c>
      <c r="AI449" s="115" t="str">
        <f t="shared" si="5"/>
        <v/>
      </c>
      <c r="AJ449" s="116" t="str">
        <f t="array" ref="AJ449">INDEX($A$1:$C$500, MATCH(1,($B:$B=$C449)*($C:$C=$AG449),0),1)</f>
        <v/>
      </c>
      <c r="AK449" s="116" t="str">
        <f t="array" ref="AK449">INDEX($A$1:$C$500, MATCH(1,($B:$B=$AG449)*($C:$C=$C449),0),1)</f>
        <v/>
      </c>
      <c r="AL449" s="116" t="str">
        <f t="array" ref="AL449">INDEX($A$1:$C$500, MATCH(1,($B:$B=$C449)*($C:$C=$AB449),0),1)</f>
        <v/>
      </c>
      <c r="AM449" s="116" t="str">
        <f t="array" ref="AM449">INDEX($A$1:$C$500, MATCH(1,($B:$B=$AB449)*($C:$C=$C449),0),1)</f>
        <v/>
      </c>
      <c r="AN449" s="114" t="str">
        <f t="array" ref="AN449">IFS(ISNUMBER(AJ449),AJ449,ISNUMBER(AK449),AK449,ISNUMBER(AL449),AL449,ISNUMBER(AM449),AM449)</f>
        <v>#N/A</v>
      </c>
      <c r="AO449" s="115" t="str">
        <f t="shared" si="6"/>
        <v/>
      </c>
      <c r="AP449" s="115" t="str">
        <f t="shared" si="7"/>
        <v/>
      </c>
      <c r="AQ449" s="111"/>
      <c r="AR449" s="109" t="str">
        <f t="shared" si="8"/>
        <v/>
      </c>
      <c r="AS449" s="72" t="str">
        <f>IFERROR(IF(AND(Preferences!B$3="Manual",OR(AX449/AW449&gt;V449/U449,BD449="Serious",BD449="Very serious")),"Assess imprecision",IFERROR(IFS(AND(Preferences!B$3="Automatic",V449/U449&gt;=30),"Extremely serious",AND(W449&lt;=$D$1*-1,Y449&lt;0,V449/U449&lt;3),"Not Serious",AND(W449&lt;=$D$1*-1,Y449&lt;0,V449/U449&gt;=3),"Very serious",AND(W449&gt;=$D$1,X449&gt;0,V449/U449&lt;3),"Not Serious",AND(W449&gt;=$D$1,X449&gt;0,V449/U449&gt;=3),"Very serious",AND(W449&lt;=$D$1*-1,Y449&gt;0,X449&gt;$D$2*-1,V449/U449&lt;3),"Serious", AND(W449&lt;=$D$1*-1,Y449&gt;0,X449&lt;$D$2*-1,V449/U449&lt;3),"Very serious", AND(W449&gt;=$D$1,X449&lt;0,Y449&lt;$D$2,V449/U449&lt;3),"Serious",AND(W449&gt;=$D$1,X449&lt;0,Y449&gt;$D$2,V449/U449&lt;3),"Very serious", AND(W449&lt;=$D$1*-1,Y449&gt;0,X449&gt;$D$2*-1,V449/U449&gt;=3),"Very serious", AND(W449&lt;=$D$1*-1,Y449&gt;0,X449&lt;$D$2*-1,V449/U449&gt;=3),"Very serious", AND(W449&gt;=$D$1,X449&lt;0,Y449&lt;$D$2,V449/U449&gt;=3),"Very serious", AND(W449&gt;=$D$1,X449&lt;0,Y449&gt;$D$2,V449/U449&gt;=3),"Very serious", AND(W449&gt;$D$1*-1,W449&lt;$D$1,X449&gt;$D$1*-1,Y449&lt;$D$1,V449/U449&lt;3),"Not Serious", AND(W449&gt;$D$1*-1,W449&lt;$D$1,OR(X449&lt;=$D$1*-1,Y449&gt;=$D$1),X449&gt;$D$2*-1,Y449&lt;$D$2,V449/U449&lt;3),"Serious", AND(W449&gt;$D$1*-1,W449&lt;$D$1,OR(X449&lt;=$D$2*-1,Y449&gt;=$D$2),V449/U449&lt;3),"Very serious", AND(W449&gt;$D$1*-1,W449&lt;$D$1,X449&gt;$D$1*-1,Y449&lt;$D$1,V449/U449&gt;=3),"Very serious", AND(W449&gt;$D$1*-1,W449&lt;$D$1,OR(X449&lt;=$D$1*-1,Y449&gt;=$D$1),X449&gt;$D$2*-1,Y449&lt;$D$2,V449/U449&gt;=3),"Very serious", AND(W449&gt;$D$1*-1,W449&lt;$D$1,OR(X449&lt;=$D$2*-1,Y449&gt;=$D$2),V449/U449&gt;=3),"Very serious"),"")),"")</f>
        <v/>
      </c>
      <c r="AT449" s="109" t="str">
        <f t="shared" si="9"/>
        <v/>
      </c>
      <c r="AU449" s="64"/>
      <c r="AV449" s="83"/>
      <c r="AW449" s="83"/>
      <c r="AX449" s="83"/>
      <c r="AY449" s="83"/>
      <c r="AZ449" s="83"/>
      <c r="BA449" s="85"/>
      <c r="BB449" s="86" t="str">
        <f>IF(Preferences!B$9="Manual","",IFS(ISBLANK(B449),"",AND(ISNUMBER(E449)=TRUE,ISNUMBER(T449)=FALSE),"Direct", AND(ISNUMBER(E449)=FALSE,ISNUMBER(T449)=TRUE),"Indirect", CN449=4,"Direct",AND(CL449=FALSE, CM449=TRUE,CN449-CO449&gt;-1),"Direct", AND(CL449=FALSE,CM449=TRUE, CN449-CO449&lt;0),"Check algorithm in appendix 2", AND(CL449=TRUE, CM449=FALSE,CN449-CO449&gt;0),"Check algorithm in appendix 2", AND(CL449=TRUE, CM449=FALSE,CN449-CO449=0),"Indirect", AND(CL449=TRUE, CM449=FALSE,CN449-CO449&lt;0),"Indirect", AND(CL449=FALSE,CM449=FALSE,CN449-CO449&gt;-1),"Direct", AND(CL449=FALSE,CM449=FALSE,CN449-CO449&lt;0),"Check algorithm in appendix 2", AND(CL449=TRUE,CM449=TRUE,CN449-CO449&gt;-1),"Direct", AND(CL449=TRUE,CM449=TRUE,CN449-CO449&lt;0),"Check algorithm in appendix 2"))</f>
        <v/>
      </c>
      <c r="BC449" s="120" t="str">
        <f t="shared" si="10"/>
        <v/>
      </c>
      <c r="BD449" s="140"/>
      <c r="BE449" s="122" t="str">
        <f>IF(Preferences!B$3="Manual","", IFERROR(IFS(AND(Preferences!B$3="Automatic",AX449/AW449&gt;=30),"Extremely serious",AND(AY449&lt;=$D$1*-1,BA449&lt;0,AX449/AW449&lt;3),"Not Serious",AND(AY449&lt;=$D$1*-1,BA449&lt;0,AX449/AW449&gt;=3),"Very serious",AND(AY449&gt;=$D$1,AZ449&gt;0,AX449/AW449&lt;3),"Not Serious",AND(AY449&gt;=$D$1,AZ449&gt;0,AX449/AW449&gt;=3),"Very serious",AND(AY449&lt;=$D$1*-1,BA449&gt;0,AZ449&gt;$D$2*-1,AX449/AW449&lt;3),"Serious", AND(AY449&lt;=$D$1*-1,BA449&gt;0,AZ449&lt;$D$2*-1,AX449/AW449&lt;3),"Very serious", AND(AY449&gt;=$D$1,AZ449&lt;0,BA449&lt;$D$2,AX449/AW449&lt;3),"Serious",AND(AY449&gt;=$D$1,AZ449&lt;0,BA449&gt;$D$2,AX449/AW449&lt;3),"Very serious", AND(AY449&lt;=$D$1*-1,BA449&gt;0,AZ449&gt;$D$2*-1,AX449/AW449&gt;=3),"Very serious", AND(AY449&lt;=$D$1*-1,BA449&gt;0,AZ449&lt;$D$2*-1,AX449/AW449&gt;=3),"Very serious", AND(AY449&gt;=$D$1,AZ449&lt;0,BA449&lt;$D$2,AX449/AW449&gt;=3),"Very serious", AND(AY449&gt;=$D$1,AZ449&lt;0,BA449&gt;$D$2,AX449/AW449&gt;=3),"Very serious", AND(AY449&gt;$D$1*-1,AY449&lt;$D$1,AZ449&gt;$D$1*-1,BA449&lt;$D$1,AX449/AW449&lt;3),"Not Serious", AND(AY449&gt;$D$1*-1,AY449&lt;$D$1,OR(AZ449&lt;=$D$1*-1,BA449&gt;=$D$1),AZ449&gt;$D$2*-1,BA449&lt;$D$2,AX449/AW449&lt;3),"Serious", AND(AY449&gt;$D$1*-1,AY449&lt;$D$1,OR(AZ449&lt;=$D$2*-1,BA449&gt;=$D$2),AX449/AW449&lt;3),"Very serious", AND(AY449&gt;$D$1*-1,AY449&lt;$D$1,AZ449&gt;$D$1*-1,BA449&lt;$D$1,AX449/AW449&gt;=3),"Very serious", AND(AY449&gt;$D$1*-1,AY449&lt;$D$1,OR(AZ449&lt;=$D$1*-1,BA449&gt;=$D$1),AZ449&gt;$D$2*-1,BA449&lt;$D$2,AX449/AW449&gt;=3),"Very serious", AND(AY449&gt;$D$1*-1,AY449&lt;$D$1,OR(AZ449&lt;=$D$2*-1,BA449&gt;=$D$2),AX449/AW449&gt;=3),"Very serious"),""))</f>
        <v/>
      </c>
      <c r="BF449" s="107" t="str">
        <f t="shared" si="11"/>
        <v/>
      </c>
      <c r="BG449" s="94" t="str">
        <f t="shared" si="46"/>
        <v/>
      </c>
      <c r="BH449" s="64" t="str">
        <f t="shared" si="12"/>
        <v>#N/A</v>
      </c>
      <c r="BI449" s="64" t="str">
        <f t="shared" si="13"/>
        <v/>
      </c>
      <c r="BJ449" s="123" t="str">
        <f t="shared" si="14"/>
        <v>#N/A</v>
      </c>
      <c r="BK449" s="64" t="str">
        <f t="shared" si="50"/>
        <v>YES</v>
      </c>
      <c r="BL449" s="64" t="str">
        <f t="shared" si="16"/>
        <v>YES</v>
      </c>
      <c r="BM449" s="64" t="str">
        <f t="shared" si="17"/>
        <v>YES</v>
      </c>
      <c r="BN449" s="124" t="str">
        <f t="shared" si="18"/>
        <v/>
      </c>
      <c r="BO449" s="91" t="str">
        <f t="shared" si="19"/>
        <v/>
      </c>
      <c r="BP449" s="91" t="str">
        <f t="shared" si="20"/>
        <v>#N/A</v>
      </c>
      <c r="BQ449" s="91" t="str">
        <f t="shared" si="21"/>
        <v/>
      </c>
      <c r="BR449" s="93" t="str">
        <f t="shared" si="22"/>
        <v/>
      </c>
      <c r="BS449" s="90" t="str">
        <f t="shared" si="23"/>
        <v/>
      </c>
      <c r="BT449" s="93" t="str">
        <f t="shared" si="24"/>
        <v>NA</v>
      </c>
      <c r="BU449" s="125" t="str">
        <f t="shared" si="25"/>
        <v>#N/A</v>
      </c>
      <c r="BV449" s="93" t="str">
        <f t="shared" si="26"/>
        <v/>
      </c>
      <c r="BW449" s="93" t="str">
        <f t="shared" si="27"/>
        <v/>
      </c>
      <c r="BX449" s="93" t="str">
        <f t="shared" si="28"/>
        <v>NA</v>
      </c>
      <c r="BY449" s="95" t="str">
        <f t="shared" si="29"/>
        <v>#N/A</v>
      </c>
      <c r="BZ449" s="93" t="str">
        <f t="shared" si="30"/>
        <v/>
      </c>
      <c r="CA449" s="93" t="str">
        <f t="shared" si="31"/>
        <v/>
      </c>
      <c r="CB449" s="93" t="str">
        <f t="shared" si="32"/>
        <v>NA</v>
      </c>
      <c r="CC449" s="96" t="str">
        <f t="shared" si="33"/>
        <v>#N/A</v>
      </c>
      <c r="CD449" s="93" t="str">
        <f t="shared" si="34"/>
        <v/>
      </c>
      <c r="CE449" s="93" t="str">
        <f t="shared" si="35"/>
        <v/>
      </c>
      <c r="CF449" s="93" t="str">
        <f t="shared" si="36"/>
        <v>NA</v>
      </c>
      <c r="CG449" s="97" t="str">
        <f t="shared" si="37"/>
        <v>#N/A</v>
      </c>
      <c r="CH449" s="98" t="str">
        <f t="shared" si="38"/>
        <v>#N/A</v>
      </c>
      <c r="CI449" s="99" t="str">
        <f t="shared" si="39"/>
        <v>#N/A</v>
      </c>
      <c r="CJ449" s="126" t="str">
        <f t="shared" si="40"/>
        <v>ERROR: check cell</v>
      </c>
      <c r="CK449" s="126"/>
      <c r="CL449" s="127" t="str">
        <f t="shared" si="41"/>
        <v>#DIV/0!</v>
      </c>
      <c r="CM449" s="128" t="str">
        <f t="shared" si="42"/>
        <v>#DIV/0!</v>
      </c>
      <c r="CN449" s="128">
        <f t="shared" si="43"/>
        <v>4</v>
      </c>
      <c r="CO449" s="129">
        <f t="shared" si="44"/>
        <v>4</v>
      </c>
      <c r="CP449" s="129" t="str">
        <f>IFS(C449=Preferences!B$13,B449,B449=Preferences!B$13,C449)</f>
        <v>#N/A</v>
      </c>
    </row>
    <row r="450" ht="13.5" customHeight="1">
      <c r="A450" s="63" t="str">
        <f t="shared" si="45"/>
        <v/>
      </c>
      <c r="B450" s="64"/>
      <c r="C450" s="64"/>
      <c r="D450" s="64"/>
      <c r="E450" s="65"/>
      <c r="F450" s="65"/>
      <c r="G450" s="65"/>
      <c r="H450" s="66"/>
      <c r="I450" s="66"/>
      <c r="J450" s="67"/>
      <c r="K450" s="68"/>
      <c r="L450" s="104"/>
      <c r="M450" s="104"/>
      <c r="N450" s="104"/>
      <c r="O450" s="104"/>
      <c r="P450" s="107" t="str">
        <f t="shared" si="1"/>
        <v/>
      </c>
      <c r="Q450" s="108" t="str">
        <f>IFERROR(IF(AND(Preferences!B$3="Manual",OR(AX450/AW450&gt;G450/F450,BD450="Serious",BD450="Very serious")),"Assess imprecision",IFS(ISBLANK(E450),"",AND(Preferences!B$3="Automatic", G450/F450&gt;=30),"Extremely serious",AND(H450&lt;=$D$1*-1,J450&lt;0,G450/F450&lt;3),"Not serious",AND(H450&lt;=$D$1*-1,J450&lt;0,G450/F450&gt;=3),"Very serious",AND(H450&gt;=$D$1,I450&gt;0,G450/F450&lt;3),"Not serious",AND(H450&gt;=$D$1,I450&gt;0,G450/F450&gt;=3),"Very serious",AND(H450&lt;=$D$1*-1,J450&gt;0,I450&gt;$D$2*-1,G450/F450&lt;3),"Serious", AND(H450&lt;=$D$1*-1,J450&gt;0,I450&lt;$D$2*-1,G450/F450&lt;3),"Very serious", AND(H450&gt;=$D$1,I450&lt;0,J450&lt;$D$2,G450/F450&lt;3),"Serious",AND(H450&gt;=$D$1,I450&lt;0,J450&gt;$D$2,G450/F450&lt;3),"Very serious", AND(H450&lt;=$D$1*-1,J450&gt;0,I450&gt;$D$2*-1,G450/F450&gt;=3),"Very serious", AND(H450&lt;=$D$1*-1,J450&gt;0,I450&lt;$D$2*-1,G450/F450&gt;=3),"Very serious", AND(H450&gt;=$D$1,I450&lt;0,J450&lt;$D$2,G450/F450&gt;=3),"Very serious", AND(H450&gt;=$D$1,I450&lt;0,J450&gt;$D$2,G450/F450&gt;=3),"Very serious", AND(H450&gt;$D$1*-1,H450&lt;$D$1,I450&gt;$D$1*-1,J450&lt;$D$1,G450/F450&lt;3),"Not serious", AND(H450&gt;$D$1*-1,H450&lt;$D$1,OR(I450&lt;=$D$1*-1,J450&gt;=$D$1),I450&gt;$D$2*-1,J450&lt;$D$2,G450/F450&lt;3),"Serious", AND(H450&gt;$D$1*-1,H450&lt;$D$1,OR(I450&lt;=$D$2*-1,J450&gt;=$D$2),G450/F450&lt;3),"Very serious", AND(H450&gt;$D$1*-1,H450&lt;$D$1,I450&gt;$D$1*-1,J450&lt;$D$1,G450/F450&gt;=3),"Very serious", AND(H450&gt;$D$1*-1,H450&lt;$D$1,OR(I450&lt;=$D$1*-1,J450&gt;=$D$1),I450&gt;$D$2*-1,J450&lt;$D$2,G450/F450&gt;=3),"Very serious", AND(H450&gt;$D$1*-1,H450&lt;$D$1,OR(I450&lt;=$D$2*-1,J450&gt;=$D$2),G450/F450&gt;=3),"Very serious")),"")</f>
        <v/>
      </c>
      <c r="R450" s="109" t="str">
        <f t="shared" si="47"/>
        <v/>
      </c>
      <c r="S450" s="64"/>
      <c r="T450" s="72"/>
      <c r="U450" s="72"/>
      <c r="V450" s="72"/>
      <c r="W450" s="73"/>
      <c r="X450" s="73"/>
      <c r="Y450" s="74"/>
      <c r="Z450" s="113" t="str">
        <f t="array" ref="Z450">INDEX($A$1:$C$500, MATCH(1,($B:$B=$B450)*($C:$C=$AB450),0),1)</f>
        <v/>
      </c>
      <c r="AA450" s="113" t="str">
        <f t="array" ref="AA450">INDEX($A$1:$C$500, MATCH(1,($B:$B=$AB450)*($C:$C=$B450),0),1)</f>
        <v/>
      </c>
      <c r="AB450" s="111"/>
      <c r="AC450" s="114" t="str">
        <f t="shared" si="2"/>
        <v/>
      </c>
      <c r="AD450" s="115" t="str">
        <f t="shared" si="3"/>
        <v/>
      </c>
      <c r="AE450" s="116" t="str">
        <f t="array" ref="AE450">INDEX($A$1:$C$500, MATCH(1,($B:$B=$AB450)*($C:$C=$AG450),0),1)</f>
        <v/>
      </c>
      <c r="AF450" s="116" t="str">
        <f t="array" ref="AF450">INDEX($A$1:$C$500, MATCH(1,($B:$B=$AG450)*($C:$C=$AB450),0),1)</f>
        <v/>
      </c>
      <c r="AG450" s="72"/>
      <c r="AH450" s="114" t="str">
        <f t="shared" si="4"/>
        <v/>
      </c>
      <c r="AI450" s="115" t="str">
        <f t="shared" si="5"/>
        <v/>
      </c>
      <c r="AJ450" s="116" t="str">
        <f t="array" ref="AJ450">INDEX($A$1:$C$500, MATCH(1,($B:$B=$C450)*($C:$C=$AG450),0),1)</f>
        <v/>
      </c>
      <c r="AK450" s="116" t="str">
        <f t="array" ref="AK450">INDEX($A$1:$C$500, MATCH(1,($B:$B=$AG450)*($C:$C=$C450),0),1)</f>
        <v/>
      </c>
      <c r="AL450" s="116" t="str">
        <f t="array" ref="AL450">INDEX($A$1:$C$500, MATCH(1,($B:$B=$C450)*($C:$C=$AB450),0),1)</f>
        <v/>
      </c>
      <c r="AM450" s="116" t="str">
        <f t="array" ref="AM450">INDEX($A$1:$C$500, MATCH(1,($B:$B=$AB450)*($C:$C=$C450),0),1)</f>
        <v/>
      </c>
      <c r="AN450" s="114" t="str">
        <f t="array" ref="AN450">IFS(ISNUMBER(AJ450),AJ450,ISNUMBER(AK450),AK450,ISNUMBER(AL450),AL450,ISNUMBER(AM450),AM450)</f>
        <v>#N/A</v>
      </c>
      <c r="AO450" s="115" t="str">
        <f t="shared" si="6"/>
        <v/>
      </c>
      <c r="AP450" s="115" t="str">
        <f t="shared" si="7"/>
        <v/>
      </c>
      <c r="AQ450" s="111"/>
      <c r="AR450" s="109" t="str">
        <f t="shared" si="8"/>
        <v/>
      </c>
      <c r="AS450" s="72" t="str">
        <f>IFERROR(IF(AND(Preferences!B$3="Manual",OR(AX450/AW450&gt;V450/U450,BD450="Serious",BD450="Very serious")),"Assess imprecision",IFERROR(IFS(AND(Preferences!B$3="Automatic",V450/U450&gt;=30),"Extremely serious",AND(W450&lt;=$D$1*-1,Y450&lt;0,V450/U450&lt;3),"Not Serious",AND(W450&lt;=$D$1*-1,Y450&lt;0,V450/U450&gt;=3),"Very serious",AND(W450&gt;=$D$1,X450&gt;0,V450/U450&lt;3),"Not Serious",AND(W450&gt;=$D$1,X450&gt;0,V450/U450&gt;=3),"Very serious",AND(W450&lt;=$D$1*-1,Y450&gt;0,X450&gt;$D$2*-1,V450/U450&lt;3),"Serious", AND(W450&lt;=$D$1*-1,Y450&gt;0,X450&lt;$D$2*-1,V450/U450&lt;3),"Very serious", AND(W450&gt;=$D$1,X450&lt;0,Y450&lt;$D$2,V450/U450&lt;3),"Serious",AND(W450&gt;=$D$1,X450&lt;0,Y450&gt;$D$2,V450/U450&lt;3),"Very serious", AND(W450&lt;=$D$1*-1,Y450&gt;0,X450&gt;$D$2*-1,V450/U450&gt;=3),"Very serious", AND(W450&lt;=$D$1*-1,Y450&gt;0,X450&lt;$D$2*-1,V450/U450&gt;=3),"Very serious", AND(W450&gt;=$D$1,X450&lt;0,Y450&lt;$D$2,V450/U450&gt;=3),"Very serious", AND(W450&gt;=$D$1,X450&lt;0,Y450&gt;$D$2,V450/U450&gt;=3),"Very serious", AND(W450&gt;$D$1*-1,W450&lt;$D$1,X450&gt;$D$1*-1,Y450&lt;$D$1,V450/U450&lt;3),"Not Serious", AND(W450&gt;$D$1*-1,W450&lt;$D$1,OR(X450&lt;=$D$1*-1,Y450&gt;=$D$1),X450&gt;$D$2*-1,Y450&lt;$D$2,V450/U450&lt;3),"Serious", AND(W450&gt;$D$1*-1,W450&lt;$D$1,OR(X450&lt;=$D$2*-1,Y450&gt;=$D$2),V450/U450&lt;3),"Very serious", AND(W450&gt;$D$1*-1,W450&lt;$D$1,X450&gt;$D$1*-1,Y450&lt;$D$1,V450/U450&gt;=3),"Very serious", AND(W450&gt;$D$1*-1,W450&lt;$D$1,OR(X450&lt;=$D$1*-1,Y450&gt;=$D$1),X450&gt;$D$2*-1,Y450&lt;$D$2,V450/U450&gt;=3),"Very serious", AND(W450&gt;$D$1*-1,W450&lt;$D$1,OR(X450&lt;=$D$2*-1,Y450&gt;=$D$2),V450/U450&gt;=3),"Very serious"),"")),"")</f>
        <v/>
      </c>
      <c r="AT450" s="109" t="str">
        <f t="shared" si="9"/>
        <v/>
      </c>
      <c r="AU450" s="64"/>
      <c r="AV450" s="83"/>
      <c r="AW450" s="83"/>
      <c r="AX450" s="83"/>
      <c r="AY450" s="83"/>
      <c r="AZ450" s="83"/>
      <c r="BA450" s="85"/>
      <c r="BB450" s="86" t="str">
        <f>IF(Preferences!B$9="Manual","",IFS(ISBLANK(B450),"",AND(ISNUMBER(E450)=TRUE,ISNUMBER(T450)=FALSE),"Direct", AND(ISNUMBER(E450)=FALSE,ISNUMBER(T450)=TRUE),"Indirect", CN450=4,"Direct",AND(CL450=FALSE, CM450=TRUE,CN450-CO450&gt;-1),"Direct", AND(CL450=FALSE,CM450=TRUE, CN450-CO450&lt;0),"Check algorithm in appendix 2", AND(CL450=TRUE, CM450=FALSE,CN450-CO450&gt;0),"Check algorithm in appendix 2", AND(CL450=TRUE, CM450=FALSE,CN450-CO450=0),"Indirect", AND(CL450=TRUE, CM450=FALSE,CN450-CO450&lt;0),"Indirect", AND(CL450=FALSE,CM450=FALSE,CN450-CO450&gt;-1),"Direct", AND(CL450=FALSE,CM450=FALSE,CN450-CO450&lt;0),"Check algorithm in appendix 2", AND(CL450=TRUE,CM450=TRUE,CN450-CO450&gt;-1),"Direct", AND(CL450=TRUE,CM450=TRUE,CN450-CO450&lt;0),"Check algorithm in appendix 2"))</f>
        <v/>
      </c>
      <c r="BC450" s="120" t="str">
        <f t="shared" si="10"/>
        <v/>
      </c>
      <c r="BD450" s="140"/>
      <c r="BE450" s="122" t="str">
        <f>IF(Preferences!B$3="Manual","", IFERROR(IFS(AND(Preferences!B$3="Automatic",AX450/AW450&gt;=30),"Extremely serious",AND(AY450&lt;=$D$1*-1,BA450&lt;0,AX450/AW450&lt;3),"Not Serious",AND(AY450&lt;=$D$1*-1,BA450&lt;0,AX450/AW450&gt;=3),"Very serious",AND(AY450&gt;=$D$1,AZ450&gt;0,AX450/AW450&lt;3),"Not Serious",AND(AY450&gt;=$D$1,AZ450&gt;0,AX450/AW450&gt;=3),"Very serious",AND(AY450&lt;=$D$1*-1,BA450&gt;0,AZ450&gt;$D$2*-1,AX450/AW450&lt;3),"Serious", AND(AY450&lt;=$D$1*-1,BA450&gt;0,AZ450&lt;$D$2*-1,AX450/AW450&lt;3),"Very serious", AND(AY450&gt;=$D$1,AZ450&lt;0,BA450&lt;$D$2,AX450/AW450&lt;3),"Serious",AND(AY450&gt;=$D$1,AZ450&lt;0,BA450&gt;$D$2,AX450/AW450&lt;3),"Very serious", AND(AY450&lt;=$D$1*-1,BA450&gt;0,AZ450&gt;$D$2*-1,AX450/AW450&gt;=3),"Very serious", AND(AY450&lt;=$D$1*-1,BA450&gt;0,AZ450&lt;$D$2*-1,AX450/AW450&gt;=3),"Very serious", AND(AY450&gt;=$D$1,AZ450&lt;0,BA450&lt;$D$2,AX450/AW450&gt;=3),"Very serious", AND(AY450&gt;=$D$1,AZ450&lt;0,BA450&gt;$D$2,AX450/AW450&gt;=3),"Very serious", AND(AY450&gt;$D$1*-1,AY450&lt;$D$1,AZ450&gt;$D$1*-1,BA450&lt;$D$1,AX450/AW450&lt;3),"Not Serious", AND(AY450&gt;$D$1*-1,AY450&lt;$D$1,OR(AZ450&lt;=$D$1*-1,BA450&gt;=$D$1),AZ450&gt;$D$2*-1,BA450&lt;$D$2,AX450/AW450&lt;3),"Serious", AND(AY450&gt;$D$1*-1,AY450&lt;$D$1,OR(AZ450&lt;=$D$2*-1,BA450&gt;=$D$2),AX450/AW450&lt;3),"Very serious", AND(AY450&gt;$D$1*-1,AY450&lt;$D$1,AZ450&gt;$D$1*-1,BA450&lt;$D$1,AX450/AW450&gt;=3),"Very serious", AND(AY450&gt;$D$1*-1,AY450&lt;$D$1,OR(AZ450&lt;=$D$1*-1,BA450&gt;=$D$1),AZ450&gt;$D$2*-1,BA450&lt;$D$2,AX450/AW450&gt;=3),"Very serious", AND(AY450&gt;$D$1*-1,AY450&lt;$D$1,OR(AZ450&lt;=$D$2*-1,BA450&gt;=$D$2),AX450/AW450&gt;=3),"Very serious"),""))</f>
        <v/>
      </c>
      <c r="BF450" s="107" t="str">
        <f t="shared" si="11"/>
        <v/>
      </c>
      <c r="BG450" s="94" t="str">
        <f t="shared" si="46"/>
        <v/>
      </c>
      <c r="BH450" s="64" t="str">
        <f t="shared" si="12"/>
        <v>#N/A</v>
      </c>
      <c r="BI450" s="64" t="str">
        <f t="shared" si="13"/>
        <v/>
      </c>
      <c r="BJ450" s="123" t="str">
        <f t="shared" si="14"/>
        <v>#N/A</v>
      </c>
      <c r="BK450" s="64" t="str">
        <f t="shared" si="50"/>
        <v>YES</v>
      </c>
      <c r="BL450" s="64" t="str">
        <f t="shared" si="16"/>
        <v>YES</v>
      </c>
      <c r="BM450" s="64" t="str">
        <f t="shared" si="17"/>
        <v>YES</v>
      </c>
      <c r="BN450" s="124" t="str">
        <f t="shared" si="18"/>
        <v/>
      </c>
      <c r="BO450" s="91" t="str">
        <f t="shared" si="19"/>
        <v/>
      </c>
      <c r="BP450" s="91" t="str">
        <f t="shared" si="20"/>
        <v>#N/A</v>
      </c>
      <c r="BQ450" s="91" t="str">
        <f t="shared" si="21"/>
        <v/>
      </c>
      <c r="BR450" s="93" t="str">
        <f t="shared" si="22"/>
        <v/>
      </c>
      <c r="BS450" s="90" t="str">
        <f t="shared" si="23"/>
        <v/>
      </c>
      <c r="BT450" s="93" t="str">
        <f t="shared" si="24"/>
        <v>NA</v>
      </c>
      <c r="BU450" s="125" t="str">
        <f t="shared" si="25"/>
        <v>#N/A</v>
      </c>
      <c r="BV450" s="93" t="str">
        <f t="shared" si="26"/>
        <v/>
      </c>
      <c r="BW450" s="93" t="str">
        <f t="shared" si="27"/>
        <v/>
      </c>
      <c r="BX450" s="93" t="str">
        <f t="shared" si="28"/>
        <v>NA</v>
      </c>
      <c r="BY450" s="95" t="str">
        <f t="shared" si="29"/>
        <v>#N/A</v>
      </c>
      <c r="BZ450" s="93" t="str">
        <f t="shared" si="30"/>
        <v/>
      </c>
      <c r="CA450" s="93" t="str">
        <f t="shared" si="31"/>
        <v/>
      </c>
      <c r="CB450" s="93" t="str">
        <f t="shared" si="32"/>
        <v>NA</v>
      </c>
      <c r="CC450" s="96" t="str">
        <f t="shared" si="33"/>
        <v>#N/A</v>
      </c>
      <c r="CD450" s="93" t="str">
        <f t="shared" si="34"/>
        <v/>
      </c>
      <c r="CE450" s="93" t="str">
        <f t="shared" si="35"/>
        <v/>
      </c>
      <c r="CF450" s="93" t="str">
        <f t="shared" si="36"/>
        <v>NA</v>
      </c>
      <c r="CG450" s="97" t="str">
        <f t="shared" si="37"/>
        <v>#N/A</v>
      </c>
      <c r="CH450" s="98" t="str">
        <f t="shared" si="38"/>
        <v>#N/A</v>
      </c>
      <c r="CI450" s="99" t="str">
        <f t="shared" si="39"/>
        <v>#N/A</v>
      </c>
      <c r="CJ450" s="126" t="str">
        <f t="shared" si="40"/>
        <v>ERROR: check cell</v>
      </c>
      <c r="CK450" s="126"/>
      <c r="CL450" s="127" t="str">
        <f t="shared" si="41"/>
        <v>#DIV/0!</v>
      </c>
      <c r="CM450" s="128" t="str">
        <f t="shared" si="42"/>
        <v>#DIV/0!</v>
      </c>
      <c r="CN450" s="128">
        <f t="shared" si="43"/>
        <v>4</v>
      </c>
      <c r="CO450" s="129">
        <f t="shared" si="44"/>
        <v>4</v>
      </c>
      <c r="CP450" s="129" t="str">
        <f>IFS(C450=Preferences!B$13,B450,B450=Preferences!B$13,C450)</f>
        <v>#N/A</v>
      </c>
    </row>
    <row r="451" ht="13.5" customHeight="1">
      <c r="A451" s="63" t="str">
        <f t="shared" si="45"/>
        <v/>
      </c>
      <c r="B451" s="64"/>
      <c r="C451" s="64"/>
      <c r="D451" s="64"/>
      <c r="E451" s="65"/>
      <c r="F451" s="65"/>
      <c r="G451" s="65"/>
      <c r="H451" s="66"/>
      <c r="I451" s="66"/>
      <c r="J451" s="67"/>
      <c r="K451" s="68"/>
      <c r="L451" s="104"/>
      <c r="M451" s="104"/>
      <c r="N451" s="104"/>
      <c r="O451" s="104"/>
      <c r="P451" s="107" t="str">
        <f t="shared" si="1"/>
        <v/>
      </c>
      <c r="Q451" s="108" t="str">
        <f>IFERROR(IF(AND(Preferences!B$3="Manual",OR(AX451/AW451&gt;G451/F451,BD451="Serious",BD451="Very serious")),"Assess imprecision",IFS(ISBLANK(E451),"",AND(Preferences!B$3="Automatic", G451/F451&gt;=30),"Extremely serious",AND(H451&lt;=$D$1*-1,J451&lt;0,G451/F451&lt;3),"Not serious",AND(H451&lt;=$D$1*-1,J451&lt;0,G451/F451&gt;=3),"Very serious",AND(H451&gt;=$D$1,I451&gt;0,G451/F451&lt;3),"Not serious",AND(H451&gt;=$D$1,I451&gt;0,G451/F451&gt;=3),"Very serious",AND(H451&lt;=$D$1*-1,J451&gt;0,I451&gt;$D$2*-1,G451/F451&lt;3),"Serious", AND(H451&lt;=$D$1*-1,J451&gt;0,I451&lt;$D$2*-1,G451/F451&lt;3),"Very serious", AND(H451&gt;=$D$1,I451&lt;0,J451&lt;$D$2,G451/F451&lt;3),"Serious",AND(H451&gt;=$D$1,I451&lt;0,J451&gt;$D$2,G451/F451&lt;3),"Very serious", AND(H451&lt;=$D$1*-1,J451&gt;0,I451&gt;$D$2*-1,G451/F451&gt;=3),"Very serious", AND(H451&lt;=$D$1*-1,J451&gt;0,I451&lt;$D$2*-1,G451/F451&gt;=3),"Very serious", AND(H451&gt;=$D$1,I451&lt;0,J451&lt;$D$2,G451/F451&gt;=3),"Very serious", AND(H451&gt;=$D$1,I451&lt;0,J451&gt;$D$2,G451/F451&gt;=3),"Very serious", AND(H451&gt;$D$1*-1,H451&lt;$D$1,I451&gt;$D$1*-1,J451&lt;$D$1,G451/F451&lt;3),"Not serious", AND(H451&gt;$D$1*-1,H451&lt;$D$1,OR(I451&lt;=$D$1*-1,J451&gt;=$D$1),I451&gt;$D$2*-1,J451&lt;$D$2,G451/F451&lt;3),"Serious", AND(H451&gt;$D$1*-1,H451&lt;$D$1,OR(I451&lt;=$D$2*-1,J451&gt;=$D$2),G451/F451&lt;3),"Very serious", AND(H451&gt;$D$1*-1,H451&lt;$D$1,I451&gt;$D$1*-1,J451&lt;$D$1,G451/F451&gt;=3),"Very serious", AND(H451&gt;$D$1*-1,H451&lt;$D$1,OR(I451&lt;=$D$1*-1,J451&gt;=$D$1),I451&gt;$D$2*-1,J451&lt;$D$2,G451/F451&gt;=3),"Very serious", AND(H451&gt;$D$1*-1,H451&lt;$D$1,OR(I451&lt;=$D$2*-1,J451&gt;=$D$2),G451/F451&gt;=3),"Very serious")),"")</f>
        <v/>
      </c>
      <c r="R451" s="109" t="str">
        <f t="shared" si="47"/>
        <v/>
      </c>
      <c r="S451" s="64"/>
      <c r="T451" s="72"/>
      <c r="U451" s="72"/>
      <c r="V451" s="72"/>
      <c r="W451" s="73"/>
      <c r="X451" s="73"/>
      <c r="Y451" s="74"/>
      <c r="Z451" s="113" t="str">
        <f t="array" ref="Z451">INDEX($A$1:$C$500, MATCH(1,($B:$B=$B451)*($C:$C=$AB451),0),1)</f>
        <v/>
      </c>
      <c r="AA451" s="113" t="str">
        <f t="array" ref="AA451">INDEX($A$1:$C$500, MATCH(1,($B:$B=$AB451)*($C:$C=$B451),0),1)</f>
        <v/>
      </c>
      <c r="AB451" s="111"/>
      <c r="AC451" s="114" t="str">
        <f t="shared" si="2"/>
        <v/>
      </c>
      <c r="AD451" s="115" t="str">
        <f t="shared" si="3"/>
        <v/>
      </c>
      <c r="AE451" s="116" t="str">
        <f t="array" ref="AE451">INDEX($A$1:$C$500, MATCH(1,($B:$B=$AB451)*($C:$C=$AG451),0),1)</f>
        <v/>
      </c>
      <c r="AF451" s="116" t="str">
        <f t="array" ref="AF451">INDEX($A$1:$C$500, MATCH(1,($B:$B=$AG451)*($C:$C=$AB451),0),1)</f>
        <v/>
      </c>
      <c r="AG451" s="72"/>
      <c r="AH451" s="114" t="str">
        <f t="shared" si="4"/>
        <v/>
      </c>
      <c r="AI451" s="115" t="str">
        <f t="shared" si="5"/>
        <v/>
      </c>
      <c r="AJ451" s="116" t="str">
        <f t="array" ref="AJ451">INDEX($A$1:$C$500, MATCH(1,($B:$B=$C451)*($C:$C=$AG451),0),1)</f>
        <v/>
      </c>
      <c r="AK451" s="116" t="str">
        <f t="array" ref="AK451">INDEX($A$1:$C$500, MATCH(1,($B:$B=$AG451)*($C:$C=$C451),0),1)</f>
        <v/>
      </c>
      <c r="AL451" s="116" t="str">
        <f t="array" ref="AL451">INDEX($A$1:$C$500, MATCH(1,($B:$B=$C451)*($C:$C=$AB451),0),1)</f>
        <v/>
      </c>
      <c r="AM451" s="116" t="str">
        <f t="array" ref="AM451">INDEX($A$1:$C$500, MATCH(1,($B:$B=$AB451)*($C:$C=$C451),0),1)</f>
        <v/>
      </c>
      <c r="AN451" s="114" t="str">
        <f t="array" ref="AN451">IFS(ISNUMBER(AJ451),AJ451,ISNUMBER(AK451),AK451,ISNUMBER(AL451),AL451,ISNUMBER(AM451),AM451)</f>
        <v>#N/A</v>
      </c>
      <c r="AO451" s="115" t="str">
        <f t="shared" si="6"/>
        <v/>
      </c>
      <c r="AP451" s="115" t="str">
        <f t="shared" si="7"/>
        <v/>
      </c>
      <c r="AQ451" s="111"/>
      <c r="AR451" s="109" t="str">
        <f t="shared" si="8"/>
        <v/>
      </c>
      <c r="AS451" s="72" t="str">
        <f>IFERROR(IF(AND(Preferences!B$3="Manual",OR(AX451/AW451&gt;V451/U451,BD451="Serious",BD451="Very serious")),"Assess imprecision",IFERROR(IFS(AND(Preferences!B$3="Automatic",V451/U451&gt;=30),"Extremely serious",AND(W451&lt;=$D$1*-1,Y451&lt;0,V451/U451&lt;3),"Not Serious",AND(W451&lt;=$D$1*-1,Y451&lt;0,V451/U451&gt;=3),"Very serious",AND(W451&gt;=$D$1,X451&gt;0,V451/U451&lt;3),"Not Serious",AND(W451&gt;=$D$1,X451&gt;0,V451/U451&gt;=3),"Very serious",AND(W451&lt;=$D$1*-1,Y451&gt;0,X451&gt;$D$2*-1,V451/U451&lt;3),"Serious", AND(W451&lt;=$D$1*-1,Y451&gt;0,X451&lt;$D$2*-1,V451/U451&lt;3),"Very serious", AND(W451&gt;=$D$1,X451&lt;0,Y451&lt;$D$2,V451/U451&lt;3),"Serious",AND(W451&gt;=$D$1,X451&lt;0,Y451&gt;$D$2,V451/U451&lt;3),"Very serious", AND(W451&lt;=$D$1*-1,Y451&gt;0,X451&gt;$D$2*-1,V451/U451&gt;=3),"Very serious", AND(W451&lt;=$D$1*-1,Y451&gt;0,X451&lt;$D$2*-1,V451/U451&gt;=3),"Very serious", AND(W451&gt;=$D$1,X451&lt;0,Y451&lt;$D$2,V451/U451&gt;=3),"Very serious", AND(W451&gt;=$D$1,X451&lt;0,Y451&gt;$D$2,V451/U451&gt;=3),"Very serious", AND(W451&gt;$D$1*-1,W451&lt;$D$1,X451&gt;$D$1*-1,Y451&lt;$D$1,V451/U451&lt;3),"Not Serious", AND(W451&gt;$D$1*-1,W451&lt;$D$1,OR(X451&lt;=$D$1*-1,Y451&gt;=$D$1),X451&gt;$D$2*-1,Y451&lt;$D$2,V451/U451&lt;3),"Serious", AND(W451&gt;$D$1*-1,W451&lt;$D$1,OR(X451&lt;=$D$2*-1,Y451&gt;=$D$2),V451/U451&lt;3),"Very serious", AND(W451&gt;$D$1*-1,W451&lt;$D$1,X451&gt;$D$1*-1,Y451&lt;$D$1,V451/U451&gt;=3),"Very serious", AND(W451&gt;$D$1*-1,W451&lt;$D$1,OR(X451&lt;=$D$1*-1,Y451&gt;=$D$1),X451&gt;$D$2*-1,Y451&lt;$D$2,V451/U451&gt;=3),"Very serious", AND(W451&gt;$D$1*-1,W451&lt;$D$1,OR(X451&lt;=$D$2*-1,Y451&gt;=$D$2),V451/U451&gt;=3),"Very serious"),"")),"")</f>
        <v/>
      </c>
      <c r="AT451" s="109" t="str">
        <f t="shared" si="9"/>
        <v/>
      </c>
      <c r="AU451" s="64"/>
      <c r="AV451" s="83"/>
      <c r="AW451" s="83"/>
      <c r="AX451" s="83"/>
      <c r="AY451" s="83"/>
      <c r="AZ451" s="83"/>
      <c r="BA451" s="85"/>
      <c r="BB451" s="86" t="str">
        <f>IF(Preferences!B$9="Manual","",IFS(ISBLANK(B451),"",AND(ISNUMBER(E451)=TRUE,ISNUMBER(T451)=FALSE),"Direct", AND(ISNUMBER(E451)=FALSE,ISNUMBER(T451)=TRUE),"Indirect", CN451=4,"Direct",AND(CL451=FALSE, CM451=TRUE,CN451-CO451&gt;-1),"Direct", AND(CL451=FALSE,CM451=TRUE, CN451-CO451&lt;0),"Check algorithm in appendix 2", AND(CL451=TRUE, CM451=FALSE,CN451-CO451&gt;0),"Check algorithm in appendix 2", AND(CL451=TRUE, CM451=FALSE,CN451-CO451=0),"Indirect", AND(CL451=TRUE, CM451=FALSE,CN451-CO451&lt;0),"Indirect", AND(CL451=FALSE,CM451=FALSE,CN451-CO451&gt;-1),"Direct", AND(CL451=FALSE,CM451=FALSE,CN451-CO451&lt;0),"Check algorithm in appendix 2", AND(CL451=TRUE,CM451=TRUE,CN451-CO451&gt;-1),"Direct", AND(CL451=TRUE,CM451=TRUE,CN451-CO451&lt;0),"Check algorithm in appendix 2"))</f>
        <v/>
      </c>
      <c r="BC451" s="120" t="str">
        <f t="shared" si="10"/>
        <v/>
      </c>
      <c r="BD451" s="140"/>
      <c r="BE451" s="122" t="str">
        <f>IF(Preferences!B$3="Manual","", IFERROR(IFS(AND(Preferences!B$3="Automatic",AX451/AW451&gt;=30),"Extremely serious",AND(AY451&lt;=$D$1*-1,BA451&lt;0,AX451/AW451&lt;3),"Not Serious",AND(AY451&lt;=$D$1*-1,BA451&lt;0,AX451/AW451&gt;=3),"Very serious",AND(AY451&gt;=$D$1,AZ451&gt;0,AX451/AW451&lt;3),"Not Serious",AND(AY451&gt;=$D$1,AZ451&gt;0,AX451/AW451&gt;=3),"Very serious",AND(AY451&lt;=$D$1*-1,BA451&gt;0,AZ451&gt;$D$2*-1,AX451/AW451&lt;3),"Serious", AND(AY451&lt;=$D$1*-1,BA451&gt;0,AZ451&lt;$D$2*-1,AX451/AW451&lt;3),"Very serious", AND(AY451&gt;=$D$1,AZ451&lt;0,BA451&lt;$D$2,AX451/AW451&lt;3),"Serious",AND(AY451&gt;=$D$1,AZ451&lt;0,BA451&gt;$D$2,AX451/AW451&lt;3),"Very serious", AND(AY451&lt;=$D$1*-1,BA451&gt;0,AZ451&gt;$D$2*-1,AX451/AW451&gt;=3),"Very serious", AND(AY451&lt;=$D$1*-1,BA451&gt;0,AZ451&lt;$D$2*-1,AX451/AW451&gt;=3),"Very serious", AND(AY451&gt;=$D$1,AZ451&lt;0,BA451&lt;$D$2,AX451/AW451&gt;=3),"Very serious", AND(AY451&gt;=$D$1,AZ451&lt;0,BA451&gt;$D$2,AX451/AW451&gt;=3),"Very serious", AND(AY451&gt;$D$1*-1,AY451&lt;$D$1,AZ451&gt;$D$1*-1,BA451&lt;$D$1,AX451/AW451&lt;3),"Not Serious", AND(AY451&gt;$D$1*-1,AY451&lt;$D$1,OR(AZ451&lt;=$D$1*-1,BA451&gt;=$D$1),AZ451&gt;$D$2*-1,BA451&lt;$D$2,AX451/AW451&lt;3),"Serious", AND(AY451&gt;$D$1*-1,AY451&lt;$D$1,OR(AZ451&lt;=$D$2*-1,BA451&gt;=$D$2),AX451/AW451&lt;3),"Very serious", AND(AY451&gt;$D$1*-1,AY451&lt;$D$1,AZ451&gt;$D$1*-1,BA451&lt;$D$1,AX451/AW451&gt;=3),"Very serious", AND(AY451&gt;$D$1*-1,AY451&lt;$D$1,OR(AZ451&lt;=$D$1*-1,BA451&gt;=$D$1),AZ451&gt;$D$2*-1,BA451&lt;$D$2,AX451/AW451&gt;=3),"Very serious", AND(AY451&gt;$D$1*-1,AY451&lt;$D$1,OR(AZ451&lt;=$D$2*-1,BA451&gt;=$D$2),AX451/AW451&gt;=3),"Very serious"),""))</f>
        <v/>
      </c>
      <c r="BF451" s="107" t="str">
        <f t="shared" si="11"/>
        <v/>
      </c>
      <c r="BG451" s="94" t="str">
        <f t="shared" si="46"/>
        <v/>
      </c>
      <c r="BH451" s="64" t="str">
        <f t="shared" si="12"/>
        <v>#N/A</v>
      </c>
      <c r="BI451" s="64" t="str">
        <f t="shared" si="13"/>
        <v/>
      </c>
      <c r="BJ451" s="123" t="str">
        <f t="shared" si="14"/>
        <v>#N/A</v>
      </c>
      <c r="BK451" s="64" t="str">
        <f t="shared" si="50"/>
        <v>YES</v>
      </c>
      <c r="BL451" s="64" t="str">
        <f t="shared" si="16"/>
        <v>YES</v>
      </c>
      <c r="BM451" s="64" t="str">
        <f t="shared" si="17"/>
        <v>YES</v>
      </c>
      <c r="BN451" s="124" t="str">
        <f t="shared" si="18"/>
        <v/>
      </c>
      <c r="BO451" s="91" t="str">
        <f t="shared" si="19"/>
        <v/>
      </c>
      <c r="BP451" s="91" t="str">
        <f t="shared" si="20"/>
        <v>#N/A</v>
      </c>
      <c r="BQ451" s="91" t="str">
        <f t="shared" si="21"/>
        <v/>
      </c>
      <c r="BR451" s="93" t="str">
        <f t="shared" si="22"/>
        <v/>
      </c>
      <c r="BS451" s="90" t="str">
        <f t="shared" si="23"/>
        <v/>
      </c>
      <c r="BT451" s="93" t="str">
        <f t="shared" si="24"/>
        <v>NA</v>
      </c>
      <c r="BU451" s="125" t="str">
        <f t="shared" si="25"/>
        <v>#N/A</v>
      </c>
      <c r="BV451" s="93" t="str">
        <f t="shared" si="26"/>
        <v/>
      </c>
      <c r="BW451" s="93" t="str">
        <f t="shared" si="27"/>
        <v/>
      </c>
      <c r="BX451" s="93" t="str">
        <f t="shared" si="28"/>
        <v>NA</v>
      </c>
      <c r="BY451" s="95" t="str">
        <f t="shared" si="29"/>
        <v>#N/A</v>
      </c>
      <c r="BZ451" s="93" t="str">
        <f t="shared" si="30"/>
        <v/>
      </c>
      <c r="CA451" s="93" t="str">
        <f t="shared" si="31"/>
        <v/>
      </c>
      <c r="CB451" s="93" t="str">
        <f t="shared" si="32"/>
        <v>NA</v>
      </c>
      <c r="CC451" s="96" t="str">
        <f t="shared" si="33"/>
        <v>#N/A</v>
      </c>
      <c r="CD451" s="93" t="str">
        <f t="shared" si="34"/>
        <v/>
      </c>
      <c r="CE451" s="93" t="str">
        <f t="shared" si="35"/>
        <v/>
      </c>
      <c r="CF451" s="93" t="str">
        <f t="shared" si="36"/>
        <v>NA</v>
      </c>
      <c r="CG451" s="97" t="str">
        <f t="shared" si="37"/>
        <v>#N/A</v>
      </c>
      <c r="CH451" s="98" t="str">
        <f t="shared" si="38"/>
        <v>#N/A</v>
      </c>
      <c r="CI451" s="99" t="str">
        <f t="shared" si="39"/>
        <v>#N/A</v>
      </c>
      <c r="CJ451" s="126" t="str">
        <f t="shared" si="40"/>
        <v>ERROR: check cell</v>
      </c>
      <c r="CK451" s="126"/>
      <c r="CL451" s="127" t="str">
        <f t="shared" si="41"/>
        <v>#DIV/0!</v>
      </c>
      <c r="CM451" s="128" t="str">
        <f t="shared" si="42"/>
        <v>#DIV/0!</v>
      </c>
      <c r="CN451" s="128">
        <f t="shared" si="43"/>
        <v>4</v>
      </c>
      <c r="CO451" s="129">
        <f t="shared" si="44"/>
        <v>4</v>
      </c>
      <c r="CP451" s="129" t="str">
        <f>IFS(C451=Preferences!B$13,B451,B451=Preferences!B$13,C451)</f>
        <v>#N/A</v>
      </c>
    </row>
    <row r="452" ht="13.5" customHeight="1">
      <c r="A452" s="63" t="str">
        <f t="shared" si="45"/>
        <v/>
      </c>
      <c r="B452" s="64"/>
      <c r="C452" s="64"/>
      <c r="D452" s="64"/>
      <c r="E452" s="65"/>
      <c r="F452" s="65"/>
      <c r="G452" s="65"/>
      <c r="H452" s="66"/>
      <c r="I452" s="66"/>
      <c r="J452" s="67"/>
      <c r="K452" s="68"/>
      <c r="L452" s="104"/>
      <c r="M452" s="104"/>
      <c r="N452" s="104"/>
      <c r="O452" s="104"/>
      <c r="P452" s="107" t="str">
        <f t="shared" si="1"/>
        <v/>
      </c>
      <c r="Q452" s="108" t="str">
        <f>IFERROR(IF(AND(Preferences!B$3="Manual",OR(AX452/AW452&gt;G452/F452,BD452="Serious",BD452="Very serious")),"Assess imprecision",IFS(ISBLANK(E452),"",AND(Preferences!B$3="Automatic", G452/F452&gt;=30),"Extremely serious",AND(H452&lt;=$D$1*-1,J452&lt;0,G452/F452&lt;3),"Not serious",AND(H452&lt;=$D$1*-1,J452&lt;0,G452/F452&gt;=3),"Very serious",AND(H452&gt;=$D$1,I452&gt;0,G452/F452&lt;3),"Not serious",AND(H452&gt;=$D$1,I452&gt;0,G452/F452&gt;=3),"Very serious",AND(H452&lt;=$D$1*-1,J452&gt;0,I452&gt;$D$2*-1,G452/F452&lt;3),"Serious", AND(H452&lt;=$D$1*-1,J452&gt;0,I452&lt;$D$2*-1,G452/F452&lt;3),"Very serious", AND(H452&gt;=$D$1,I452&lt;0,J452&lt;$D$2,G452/F452&lt;3),"Serious",AND(H452&gt;=$D$1,I452&lt;0,J452&gt;$D$2,G452/F452&lt;3),"Very serious", AND(H452&lt;=$D$1*-1,J452&gt;0,I452&gt;$D$2*-1,G452/F452&gt;=3),"Very serious", AND(H452&lt;=$D$1*-1,J452&gt;0,I452&lt;$D$2*-1,G452/F452&gt;=3),"Very serious", AND(H452&gt;=$D$1,I452&lt;0,J452&lt;$D$2,G452/F452&gt;=3),"Very serious", AND(H452&gt;=$D$1,I452&lt;0,J452&gt;$D$2,G452/F452&gt;=3),"Very serious", AND(H452&gt;$D$1*-1,H452&lt;$D$1,I452&gt;$D$1*-1,J452&lt;$D$1,G452/F452&lt;3),"Not serious", AND(H452&gt;$D$1*-1,H452&lt;$D$1,OR(I452&lt;=$D$1*-1,J452&gt;=$D$1),I452&gt;$D$2*-1,J452&lt;$D$2,G452/F452&lt;3),"Serious", AND(H452&gt;$D$1*-1,H452&lt;$D$1,OR(I452&lt;=$D$2*-1,J452&gt;=$D$2),G452/F452&lt;3),"Very serious", AND(H452&gt;$D$1*-1,H452&lt;$D$1,I452&gt;$D$1*-1,J452&lt;$D$1,G452/F452&gt;=3),"Very serious", AND(H452&gt;$D$1*-1,H452&lt;$D$1,OR(I452&lt;=$D$1*-1,J452&gt;=$D$1),I452&gt;$D$2*-1,J452&lt;$D$2,G452/F452&gt;=3),"Very serious", AND(H452&gt;$D$1*-1,H452&lt;$D$1,OR(I452&lt;=$D$2*-1,J452&gt;=$D$2),G452/F452&gt;=3),"Very serious")),"")</f>
        <v/>
      </c>
      <c r="R452" s="109" t="str">
        <f t="shared" si="47"/>
        <v/>
      </c>
      <c r="S452" s="64"/>
      <c r="T452" s="72"/>
      <c r="U452" s="72"/>
      <c r="V452" s="72"/>
      <c r="W452" s="73"/>
      <c r="X452" s="73"/>
      <c r="Y452" s="74"/>
      <c r="Z452" s="113" t="str">
        <f t="array" ref="Z452">INDEX($A$1:$C$500, MATCH(1,($B:$B=$B452)*($C:$C=$AB452),0),1)</f>
        <v/>
      </c>
      <c r="AA452" s="113" t="str">
        <f t="array" ref="AA452">INDEX($A$1:$C$500, MATCH(1,($B:$B=$AB452)*($C:$C=$B452),0),1)</f>
        <v/>
      </c>
      <c r="AB452" s="111"/>
      <c r="AC452" s="114" t="str">
        <f t="shared" si="2"/>
        <v/>
      </c>
      <c r="AD452" s="115" t="str">
        <f t="shared" si="3"/>
        <v/>
      </c>
      <c r="AE452" s="116" t="str">
        <f t="array" ref="AE452">INDEX($A$1:$C$500, MATCH(1,($B:$B=$AB452)*($C:$C=$AG452),0),1)</f>
        <v/>
      </c>
      <c r="AF452" s="116" t="str">
        <f t="array" ref="AF452">INDEX($A$1:$C$500, MATCH(1,($B:$B=$AG452)*($C:$C=$AB452),0),1)</f>
        <v/>
      </c>
      <c r="AG452" s="72"/>
      <c r="AH452" s="114" t="str">
        <f t="shared" si="4"/>
        <v/>
      </c>
      <c r="AI452" s="115" t="str">
        <f t="shared" si="5"/>
        <v/>
      </c>
      <c r="AJ452" s="116" t="str">
        <f t="array" ref="AJ452">INDEX($A$1:$C$500, MATCH(1,($B:$B=$C452)*($C:$C=$AG452),0),1)</f>
        <v/>
      </c>
      <c r="AK452" s="116" t="str">
        <f t="array" ref="AK452">INDEX($A$1:$C$500, MATCH(1,($B:$B=$AG452)*($C:$C=$C452),0),1)</f>
        <v/>
      </c>
      <c r="AL452" s="116" t="str">
        <f t="array" ref="AL452">INDEX($A$1:$C$500, MATCH(1,($B:$B=$C452)*($C:$C=$AB452),0),1)</f>
        <v/>
      </c>
      <c r="AM452" s="116" t="str">
        <f t="array" ref="AM452">INDEX($A$1:$C$500, MATCH(1,($B:$B=$AB452)*($C:$C=$C452),0),1)</f>
        <v/>
      </c>
      <c r="AN452" s="114" t="str">
        <f t="array" ref="AN452">IFS(ISNUMBER(AJ452),AJ452,ISNUMBER(AK452),AK452,ISNUMBER(AL452),AL452,ISNUMBER(AM452),AM452)</f>
        <v>#N/A</v>
      </c>
      <c r="AO452" s="115" t="str">
        <f t="shared" si="6"/>
        <v/>
      </c>
      <c r="AP452" s="115" t="str">
        <f t="shared" si="7"/>
        <v/>
      </c>
      <c r="AQ452" s="111"/>
      <c r="AR452" s="109" t="str">
        <f t="shared" si="8"/>
        <v/>
      </c>
      <c r="AS452" s="72" t="str">
        <f>IFERROR(IF(AND(Preferences!B$3="Manual",OR(AX452/AW452&gt;V452/U452,BD452="Serious",BD452="Very serious")),"Assess imprecision",IFERROR(IFS(AND(Preferences!B$3="Automatic",V452/U452&gt;=30),"Extremely serious",AND(W452&lt;=$D$1*-1,Y452&lt;0,V452/U452&lt;3),"Not Serious",AND(W452&lt;=$D$1*-1,Y452&lt;0,V452/U452&gt;=3),"Very serious",AND(W452&gt;=$D$1,X452&gt;0,V452/U452&lt;3),"Not Serious",AND(W452&gt;=$D$1,X452&gt;0,V452/U452&gt;=3),"Very serious",AND(W452&lt;=$D$1*-1,Y452&gt;0,X452&gt;$D$2*-1,V452/U452&lt;3),"Serious", AND(W452&lt;=$D$1*-1,Y452&gt;0,X452&lt;$D$2*-1,V452/U452&lt;3),"Very serious", AND(W452&gt;=$D$1,X452&lt;0,Y452&lt;$D$2,V452/U452&lt;3),"Serious",AND(W452&gt;=$D$1,X452&lt;0,Y452&gt;$D$2,V452/U452&lt;3),"Very serious", AND(W452&lt;=$D$1*-1,Y452&gt;0,X452&gt;$D$2*-1,V452/U452&gt;=3),"Very serious", AND(W452&lt;=$D$1*-1,Y452&gt;0,X452&lt;$D$2*-1,V452/U452&gt;=3),"Very serious", AND(W452&gt;=$D$1,X452&lt;0,Y452&lt;$D$2,V452/U452&gt;=3),"Very serious", AND(W452&gt;=$D$1,X452&lt;0,Y452&gt;$D$2,V452/U452&gt;=3),"Very serious", AND(W452&gt;$D$1*-1,W452&lt;$D$1,X452&gt;$D$1*-1,Y452&lt;$D$1,V452/U452&lt;3),"Not Serious", AND(W452&gt;$D$1*-1,W452&lt;$D$1,OR(X452&lt;=$D$1*-1,Y452&gt;=$D$1),X452&gt;$D$2*-1,Y452&lt;$D$2,V452/U452&lt;3),"Serious", AND(W452&gt;$D$1*-1,W452&lt;$D$1,OR(X452&lt;=$D$2*-1,Y452&gt;=$D$2),V452/U452&lt;3),"Very serious", AND(W452&gt;$D$1*-1,W452&lt;$D$1,X452&gt;$D$1*-1,Y452&lt;$D$1,V452/U452&gt;=3),"Very serious", AND(W452&gt;$D$1*-1,W452&lt;$D$1,OR(X452&lt;=$D$1*-1,Y452&gt;=$D$1),X452&gt;$D$2*-1,Y452&lt;$D$2,V452/U452&gt;=3),"Very serious", AND(W452&gt;$D$1*-1,W452&lt;$D$1,OR(X452&lt;=$D$2*-1,Y452&gt;=$D$2),V452/U452&gt;=3),"Very serious"),"")),"")</f>
        <v/>
      </c>
      <c r="AT452" s="109" t="str">
        <f t="shared" si="9"/>
        <v/>
      </c>
      <c r="AU452" s="64"/>
      <c r="AV452" s="83"/>
      <c r="AW452" s="83"/>
      <c r="AX452" s="83"/>
      <c r="AY452" s="83"/>
      <c r="AZ452" s="83"/>
      <c r="BA452" s="85"/>
      <c r="BB452" s="86" t="str">
        <f>IF(Preferences!B$9="Manual","",IFS(ISBLANK(B452),"",AND(ISNUMBER(E452)=TRUE,ISNUMBER(T452)=FALSE),"Direct", AND(ISNUMBER(E452)=FALSE,ISNUMBER(T452)=TRUE),"Indirect", CN452=4,"Direct",AND(CL452=FALSE, CM452=TRUE,CN452-CO452&gt;-1),"Direct", AND(CL452=FALSE,CM452=TRUE, CN452-CO452&lt;0),"Check algorithm in appendix 2", AND(CL452=TRUE, CM452=FALSE,CN452-CO452&gt;0),"Check algorithm in appendix 2", AND(CL452=TRUE, CM452=FALSE,CN452-CO452=0),"Indirect", AND(CL452=TRUE, CM452=FALSE,CN452-CO452&lt;0),"Indirect", AND(CL452=FALSE,CM452=FALSE,CN452-CO452&gt;-1),"Direct", AND(CL452=FALSE,CM452=FALSE,CN452-CO452&lt;0),"Check algorithm in appendix 2", AND(CL452=TRUE,CM452=TRUE,CN452-CO452&gt;-1),"Direct", AND(CL452=TRUE,CM452=TRUE,CN452-CO452&lt;0),"Check algorithm in appendix 2"))</f>
        <v/>
      </c>
      <c r="BC452" s="120" t="str">
        <f t="shared" si="10"/>
        <v/>
      </c>
      <c r="BD452" s="140"/>
      <c r="BE452" s="122" t="str">
        <f>IF(Preferences!B$3="Manual","", IFERROR(IFS(AND(Preferences!B$3="Automatic",AX452/AW452&gt;=30),"Extremely serious",AND(AY452&lt;=$D$1*-1,BA452&lt;0,AX452/AW452&lt;3),"Not Serious",AND(AY452&lt;=$D$1*-1,BA452&lt;0,AX452/AW452&gt;=3),"Very serious",AND(AY452&gt;=$D$1,AZ452&gt;0,AX452/AW452&lt;3),"Not Serious",AND(AY452&gt;=$D$1,AZ452&gt;0,AX452/AW452&gt;=3),"Very serious",AND(AY452&lt;=$D$1*-1,BA452&gt;0,AZ452&gt;$D$2*-1,AX452/AW452&lt;3),"Serious", AND(AY452&lt;=$D$1*-1,BA452&gt;0,AZ452&lt;$D$2*-1,AX452/AW452&lt;3),"Very serious", AND(AY452&gt;=$D$1,AZ452&lt;0,BA452&lt;$D$2,AX452/AW452&lt;3),"Serious",AND(AY452&gt;=$D$1,AZ452&lt;0,BA452&gt;$D$2,AX452/AW452&lt;3),"Very serious", AND(AY452&lt;=$D$1*-1,BA452&gt;0,AZ452&gt;$D$2*-1,AX452/AW452&gt;=3),"Very serious", AND(AY452&lt;=$D$1*-1,BA452&gt;0,AZ452&lt;$D$2*-1,AX452/AW452&gt;=3),"Very serious", AND(AY452&gt;=$D$1,AZ452&lt;0,BA452&lt;$D$2,AX452/AW452&gt;=3),"Very serious", AND(AY452&gt;=$D$1,AZ452&lt;0,BA452&gt;$D$2,AX452/AW452&gt;=3),"Very serious", AND(AY452&gt;$D$1*-1,AY452&lt;$D$1,AZ452&gt;$D$1*-1,BA452&lt;$D$1,AX452/AW452&lt;3),"Not Serious", AND(AY452&gt;$D$1*-1,AY452&lt;$D$1,OR(AZ452&lt;=$D$1*-1,BA452&gt;=$D$1),AZ452&gt;$D$2*-1,BA452&lt;$D$2,AX452/AW452&lt;3),"Serious", AND(AY452&gt;$D$1*-1,AY452&lt;$D$1,OR(AZ452&lt;=$D$2*-1,BA452&gt;=$D$2),AX452/AW452&lt;3),"Very serious", AND(AY452&gt;$D$1*-1,AY452&lt;$D$1,AZ452&gt;$D$1*-1,BA452&lt;$D$1,AX452/AW452&gt;=3),"Very serious", AND(AY452&gt;$D$1*-1,AY452&lt;$D$1,OR(AZ452&lt;=$D$1*-1,BA452&gt;=$D$1),AZ452&gt;$D$2*-1,BA452&lt;$D$2,AX452/AW452&gt;=3),"Very serious", AND(AY452&gt;$D$1*-1,AY452&lt;$D$1,OR(AZ452&lt;=$D$2*-1,BA452&gt;=$D$2),AX452/AW452&gt;=3),"Very serious"),""))</f>
        <v/>
      </c>
      <c r="BF452" s="107" t="str">
        <f t="shared" si="11"/>
        <v/>
      </c>
      <c r="BG452" s="94" t="str">
        <f t="shared" si="46"/>
        <v/>
      </c>
      <c r="BH452" s="64" t="str">
        <f t="shared" si="12"/>
        <v>#N/A</v>
      </c>
      <c r="BI452" s="64" t="str">
        <f t="shared" si="13"/>
        <v/>
      </c>
      <c r="BJ452" s="123" t="str">
        <f t="shared" si="14"/>
        <v>#N/A</v>
      </c>
      <c r="BK452" s="64" t="str">
        <f t="shared" si="50"/>
        <v>YES</v>
      </c>
      <c r="BL452" s="64" t="str">
        <f t="shared" si="16"/>
        <v>YES</v>
      </c>
      <c r="BM452" s="64" t="str">
        <f t="shared" si="17"/>
        <v>YES</v>
      </c>
      <c r="BN452" s="124" t="str">
        <f t="shared" si="18"/>
        <v/>
      </c>
      <c r="BO452" s="91" t="str">
        <f t="shared" si="19"/>
        <v/>
      </c>
      <c r="BP452" s="91" t="str">
        <f t="shared" si="20"/>
        <v>#N/A</v>
      </c>
      <c r="BQ452" s="91" t="str">
        <f t="shared" si="21"/>
        <v/>
      </c>
      <c r="BR452" s="93" t="str">
        <f t="shared" si="22"/>
        <v/>
      </c>
      <c r="BS452" s="90" t="str">
        <f t="shared" si="23"/>
        <v/>
      </c>
      <c r="BT452" s="93" t="str">
        <f t="shared" si="24"/>
        <v>NA</v>
      </c>
      <c r="BU452" s="125" t="str">
        <f t="shared" si="25"/>
        <v>#N/A</v>
      </c>
      <c r="BV452" s="93" t="str">
        <f t="shared" si="26"/>
        <v/>
      </c>
      <c r="BW452" s="93" t="str">
        <f t="shared" si="27"/>
        <v/>
      </c>
      <c r="BX452" s="93" t="str">
        <f t="shared" si="28"/>
        <v>NA</v>
      </c>
      <c r="BY452" s="95" t="str">
        <f t="shared" si="29"/>
        <v>#N/A</v>
      </c>
      <c r="BZ452" s="93" t="str">
        <f t="shared" si="30"/>
        <v/>
      </c>
      <c r="CA452" s="93" t="str">
        <f t="shared" si="31"/>
        <v/>
      </c>
      <c r="CB452" s="93" t="str">
        <f t="shared" si="32"/>
        <v>NA</v>
      </c>
      <c r="CC452" s="96" t="str">
        <f t="shared" si="33"/>
        <v>#N/A</v>
      </c>
      <c r="CD452" s="93" t="str">
        <f t="shared" si="34"/>
        <v/>
      </c>
      <c r="CE452" s="93" t="str">
        <f t="shared" si="35"/>
        <v/>
      </c>
      <c r="CF452" s="93" t="str">
        <f t="shared" si="36"/>
        <v>NA</v>
      </c>
      <c r="CG452" s="97" t="str">
        <f t="shared" si="37"/>
        <v>#N/A</v>
      </c>
      <c r="CH452" s="98" t="str">
        <f t="shared" si="38"/>
        <v>#N/A</v>
      </c>
      <c r="CI452" s="99" t="str">
        <f t="shared" si="39"/>
        <v>#N/A</v>
      </c>
      <c r="CJ452" s="126" t="str">
        <f t="shared" si="40"/>
        <v>ERROR: check cell</v>
      </c>
      <c r="CK452" s="126"/>
      <c r="CL452" s="127" t="str">
        <f t="shared" si="41"/>
        <v>#DIV/0!</v>
      </c>
      <c r="CM452" s="128" t="str">
        <f t="shared" si="42"/>
        <v>#DIV/0!</v>
      </c>
      <c r="CN452" s="128">
        <f t="shared" si="43"/>
        <v>4</v>
      </c>
      <c r="CO452" s="129">
        <f t="shared" si="44"/>
        <v>4</v>
      </c>
      <c r="CP452" s="129" t="str">
        <f>IFS(C452=Preferences!B$13,B452,B452=Preferences!B$13,C452)</f>
        <v>#N/A</v>
      </c>
    </row>
    <row r="453" ht="13.5" customHeight="1">
      <c r="A453" s="63" t="str">
        <f t="shared" si="45"/>
        <v/>
      </c>
      <c r="B453" s="64"/>
      <c r="C453" s="64"/>
      <c r="D453" s="64"/>
      <c r="E453" s="65"/>
      <c r="F453" s="65"/>
      <c r="G453" s="65"/>
      <c r="H453" s="66"/>
      <c r="I453" s="66"/>
      <c r="J453" s="67"/>
      <c r="K453" s="68"/>
      <c r="L453" s="104"/>
      <c r="M453" s="104"/>
      <c r="N453" s="104"/>
      <c r="O453" s="104"/>
      <c r="P453" s="107" t="str">
        <f t="shared" si="1"/>
        <v/>
      </c>
      <c r="Q453" s="108" t="str">
        <f>IFERROR(IF(AND(Preferences!B$3="Manual",OR(AX453/AW453&gt;G453/F453,BD453="Serious",BD453="Very serious")),"Assess imprecision",IFS(ISBLANK(E453),"",AND(Preferences!B$3="Automatic", G453/F453&gt;=30),"Extremely serious",AND(H453&lt;=$D$1*-1,J453&lt;0,G453/F453&lt;3),"Not serious",AND(H453&lt;=$D$1*-1,J453&lt;0,G453/F453&gt;=3),"Very serious",AND(H453&gt;=$D$1,I453&gt;0,G453/F453&lt;3),"Not serious",AND(H453&gt;=$D$1,I453&gt;0,G453/F453&gt;=3),"Very serious",AND(H453&lt;=$D$1*-1,J453&gt;0,I453&gt;$D$2*-1,G453/F453&lt;3),"Serious", AND(H453&lt;=$D$1*-1,J453&gt;0,I453&lt;$D$2*-1,G453/F453&lt;3),"Very serious", AND(H453&gt;=$D$1,I453&lt;0,J453&lt;$D$2,G453/F453&lt;3),"Serious",AND(H453&gt;=$D$1,I453&lt;0,J453&gt;$D$2,G453/F453&lt;3),"Very serious", AND(H453&lt;=$D$1*-1,J453&gt;0,I453&gt;$D$2*-1,G453/F453&gt;=3),"Very serious", AND(H453&lt;=$D$1*-1,J453&gt;0,I453&lt;$D$2*-1,G453/F453&gt;=3),"Very serious", AND(H453&gt;=$D$1,I453&lt;0,J453&lt;$D$2,G453/F453&gt;=3),"Very serious", AND(H453&gt;=$D$1,I453&lt;0,J453&gt;$D$2,G453/F453&gt;=3),"Very serious", AND(H453&gt;$D$1*-1,H453&lt;$D$1,I453&gt;$D$1*-1,J453&lt;$D$1,G453/F453&lt;3),"Not serious", AND(H453&gt;$D$1*-1,H453&lt;$D$1,OR(I453&lt;=$D$1*-1,J453&gt;=$D$1),I453&gt;$D$2*-1,J453&lt;$D$2,G453/F453&lt;3),"Serious", AND(H453&gt;$D$1*-1,H453&lt;$D$1,OR(I453&lt;=$D$2*-1,J453&gt;=$D$2),G453/F453&lt;3),"Very serious", AND(H453&gt;$D$1*-1,H453&lt;$D$1,I453&gt;$D$1*-1,J453&lt;$D$1,G453/F453&gt;=3),"Very serious", AND(H453&gt;$D$1*-1,H453&lt;$D$1,OR(I453&lt;=$D$1*-1,J453&gt;=$D$1),I453&gt;$D$2*-1,J453&lt;$D$2,G453/F453&gt;=3),"Very serious", AND(H453&gt;$D$1*-1,H453&lt;$D$1,OR(I453&lt;=$D$2*-1,J453&gt;=$D$2),G453/F453&gt;=3),"Very serious")),"")</f>
        <v/>
      </c>
      <c r="R453" s="109" t="str">
        <f t="shared" si="47"/>
        <v/>
      </c>
      <c r="S453" s="64"/>
      <c r="T453" s="72"/>
      <c r="U453" s="72"/>
      <c r="V453" s="72"/>
      <c r="W453" s="73"/>
      <c r="X453" s="73"/>
      <c r="Y453" s="74"/>
      <c r="Z453" s="113" t="str">
        <f t="array" ref="Z453">INDEX($A$1:$C$500, MATCH(1,($B:$B=$B453)*($C:$C=$AB453),0),1)</f>
        <v/>
      </c>
      <c r="AA453" s="113" t="str">
        <f t="array" ref="AA453">INDEX($A$1:$C$500, MATCH(1,($B:$B=$AB453)*($C:$C=$B453),0),1)</f>
        <v/>
      </c>
      <c r="AB453" s="111"/>
      <c r="AC453" s="114" t="str">
        <f t="shared" si="2"/>
        <v/>
      </c>
      <c r="AD453" s="115" t="str">
        <f t="shared" si="3"/>
        <v/>
      </c>
      <c r="AE453" s="116" t="str">
        <f t="array" ref="AE453">INDEX($A$1:$C$500, MATCH(1,($B:$B=$AB453)*($C:$C=$AG453),0),1)</f>
        <v/>
      </c>
      <c r="AF453" s="116" t="str">
        <f t="array" ref="AF453">INDEX($A$1:$C$500, MATCH(1,($B:$B=$AG453)*($C:$C=$AB453),0),1)</f>
        <v/>
      </c>
      <c r="AG453" s="72"/>
      <c r="AH453" s="114" t="str">
        <f t="shared" si="4"/>
        <v/>
      </c>
      <c r="AI453" s="115" t="str">
        <f t="shared" si="5"/>
        <v/>
      </c>
      <c r="AJ453" s="116" t="str">
        <f t="array" ref="AJ453">INDEX($A$1:$C$500, MATCH(1,($B:$B=$C453)*($C:$C=$AG453),0),1)</f>
        <v/>
      </c>
      <c r="AK453" s="116" t="str">
        <f t="array" ref="AK453">INDEX($A$1:$C$500, MATCH(1,($B:$B=$AG453)*($C:$C=$C453),0),1)</f>
        <v/>
      </c>
      <c r="AL453" s="116" t="str">
        <f t="array" ref="AL453">INDEX($A$1:$C$500, MATCH(1,($B:$B=$C453)*($C:$C=$AB453),0),1)</f>
        <v/>
      </c>
      <c r="AM453" s="116" t="str">
        <f t="array" ref="AM453">INDEX($A$1:$C$500, MATCH(1,($B:$B=$AB453)*($C:$C=$C453),0),1)</f>
        <v/>
      </c>
      <c r="AN453" s="114" t="str">
        <f t="array" ref="AN453">IFS(ISNUMBER(AJ453),AJ453,ISNUMBER(AK453),AK453,ISNUMBER(AL453),AL453,ISNUMBER(AM453),AM453)</f>
        <v>#N/A</v>
      </c>
      <c r="AO453" s="115" t="str">
        <f t="shared" si="6"/>
        <v/>
      </c>
      <c r="AP453" s="115" t="str">
        <f t="shared" si="7"/>
        <v/>
      </c>
      <c r="AQ453" s="111"/>
      <c r="AR453" s="109" t="str">
        <f t="shared" si="8"/>
        <v/>
      </c>
      <c r="AS453" s="72" t="str">
        <f>IFERROR(IF(AND(Preferences!B$3="Manual",OR(AX453/AW453&gt;V453/U453,BD453="Serious",BD453="Very serious")),"Assess imprecision",IFERROR(IFS(AND(Preferences!B$3="Automatic",V453/U453&gt;=30),"Extremely serious",AND(W453&lt;=$D$1*-1,Y453&lt;0,V453/U453&lt;3),"Not Serious",AND(W453&lt;=$D$1*-1,Y453&lt;0,V453/U453&gt;=3),"Very serious",AND(W453&gt;=$D$1,X453&gt;0,V453/U453&lt;3),"Not Serious",AND(W453&gt;=$D$1,X453&gt;0,V453/U453&gt;=3),"Very serious",AND(W453&lt;=$D$1*-1,Y453&gt;0,X453&gt;$D$2*-1,V453/U453&lt;3),"Serious", AND(W453&lt;=$D$1*-1,Y453&gt;0,X453&lt;$D$2*-1,V453/U453&lt;3),"Very serious", AND(W453&gt;=$D$1,X453&lt;0,Y453&lt;$D$2,V453/U453&lt;3),"Serious",AND(W453&gt;=$D$1,X453&lt;0,Y453&gt;$D$2,V453/U453&lt;3),"Very serious", AND(W453&lt;=$D$1*-1,Y453&gt;0,X453&gt;$D$2*-1,V453/U453&gt;=3),"Very serious", AND(W453&lt;=$D$1*-1,Y453&gt;0,X453&lt;$D$2*-1,V453/U453&gt;=3),"Very serious", AND(W453&gt;=$D$1,X453&lt;0,Y453&lt;$D$2,V453/U453&gt;=3),"Very serious", AND(W453&gt;=$D$1,X453&lt;0,Y453&gt;$D$2,V453/U453&gt;=3),"Very serious", AND(W453&gt;$D$1*-1,W453&lt;$D$1,X453&gt;$D$1*-1,Y453&lt;$D$1,V453/U453&lt;3),"Not Serious", AND(W453&gt;$D$1*-1,W453&lt;$D$1,OR(X453&lt;=$D$1*-1,Y453&gt;=$D$1),X453&gt;$D$2*-1,Y453&lt;$D$2,V453/U453&lt;3),"Serious", AND(W453&gt;$D$1*-1,W453&lt;$D$1,OR(X453&lt;=$D$2*-1,Y453&gt;=$D$2),V453/U453&lt;3),"Very serious", AND(W453&gt;$D$1*-1,W453&lt;$D$1,X453&gt;$D$1*-1,Y453&lt;$D$1,V453/U453&gt;=3),"Very serious", AND(W453&gt;$D$1*-1,W453&lt;$D$1,OR(X453&lt;=$D$1*-1,Y453&gt;=$D$1),X453&gt;$D$2*-1,Y453&lt;$D$2,V453/U453&gt;=3),"Very serious", AND(W453&gt;$D$1*-1,W453&lt;$D$1,OR(X453&lt;=$D$2*-1,Y453&gt;=$D$2),V453/U453&gt;=3),"Very serious"),"")),"")</f>
        <v/>
      </c>
      <c r="AT453" s="109" t="str">
        <f t="shared" si="9"/>
        <v/>
      </c>
      <c r="AU453" s="64"/>
      <c r="AV453" s="83"/>
      <c r="AW453" s="83"/>
      <c r="AX453" s="83"/>
      <c r="AY453" s="83"/>
      <c r="AZ453" s="83"/>
      <c r="BA453" s="85"/>
      <c r="BB453" s="86" t="str">
        <f>IF(Preferences!B$9="Manual","",IFS(ISBLANK(B453),"",AND(ISNUMBER(E453)=TRUE,ISNUMBER(T453)=FALSE),"Direct", AND(ISNUMBER(E453)=FALSE,ISNUMBER(T453)=TRUE),"Indirect", CN453=4,"Direct",AND(CL453=FALSE, CM453=TRUE,CN453-CO453&gt;-1),"Direct", AND(CL453=FALSE,CM453=TRUE, CN453-CO453&lt;0),"Check algorithm in appendix 2", AND(CL453=TRUE, CM453=FALSE,CN453-CO453&gt;0),"Check algorithm in appendix 2", AND(CL453=TRUE, CM453=FALSE,CN453-CO453=0),"Indirect", AND(CL453=TRUE, CM453=FALSE,CN453-CO453&lt;0),"Indirect", AND(CL453=FALSE,CM453=FALSE,CN453-CO453&gt;-1),"Direct", AND(CL453=FALSE,CM453=FALSE,CN453-CO453&lt;0),"Check algorithm in appendix 2", AND(CL453=TRUE,CM453=TRUE,CN453-CO453&gt;-1),"Direct", AND(CL453=TRUE,CM453=TRUE,CN453-CO453&lt;0),"Check algorithm in appendix 2"))</f>
        <v/>
      </c>
      <c r="BC453" s="120" t="str">
        <f t="shared" si="10"/>
        <v/>
      </c>
      <c r="BD453" s="140"/>
      <c r="BE453" s="122" t="str">
        <f>IF(Preferences!B$3="Manual","", IFERROR(IFS(AND(Preferences!B$3="Automatic",AX453/AW453&gt;=30),"Extremely serious",AND(AY453&lt;=$D$1*-1,BA453&lt;0,AX453/AW453&lt;3),"Not Serious",AND(AY453&lt;=$D$1*-1,BA453&lt;0,AX453/AW453&gt;=3),"Very serious",AND(AY453&gt;=$D$1,AZ453&gt;0,AX453/AW453&lt;3),"Not Serious",AND(AY453&gt;=$D$1,AZ453&gt;0,AX453/AW453&gt;=3),"Very serious",AND(AY453&lt;=$D$1*-1,BA453&gt;0,AZ453&gt;$D$2*-1,AX453/AW453&lt;3),"Serious", AND(AY453&lt;=$D$1*-1,BA453&gt;0,AZ453&lt;$D$2*-1,AX453/AW453&lt;3),"Very serious", AND(AY453&gt;=$D$1,AZ453&lt;0,BA453&lt;$D$2,AX453/AW453&lt;3),"Serious",AND(AY453&gt;=$D$1,AZ453&lt;0,BA453&gt;$D$2,AX453/AW453&lt;3),"Very serious", AND(AY453&lt;=$D$1*-1,BA453&gt;0,AZ453&gt;$D$2*-1,AX453/AW453&gt;=3),"Very serious", AND(AY453&lt;=$D$1*-1,BA453&gt;0,AZ453&lt;$D$2*-1,AX453/AW453&gt;=3),"Very serious", AND(AY453&gt;=$D$1,AZ453&lt;0,BA453&lt;$D$2,AX453/AW453&gt;=3),"Very serious", AND(AY453&gt;=$D$1,AZ453&lt;0,BA453&gt;$D$2,AX453/AW453&gt;=3),"Very serious", AND(AY453&gt;$D$1*-1,AY453&lt;$D$1,AZ453&gt;$D$1*-1,BA453&lt;$D$1,AX453/AW453&lt;3),"Not Serious", AND(AY453&gt;$D$1*-1,AY453&lt;$D$1,OR(AZ453&lt;=$D$1*-1,BA453&gt;=$D$1),AZ453&gt;$D$2*-1,BA453&lt;$D$2,AX453/AW453&lt;3),"Serious", AND(AY453&gt;$D$1*-1,AY453&lt;$D$1,OR(AZ453&lt;=$D$2*-1,BA453&gt;=$D$2),AX453/AW453&lt;3),"Very serious", AND(AY453&gt;$D$1*-1,AY453&lt;$D$1,AZ453&gt;$D$1*-1,BA453&lt;$D$1,AX453/AW453&gt;=3),"Very serious", AND(AY453&gt;$D$1*-1,AY453&lt;$D$1,OR(AZ453&lt;=$D$1*-1,BA453&gt;=$D$1),AZ453&gt;$D$2*-1,BA453&lt;$D$2,AX453/AW453&gt;=3),"Very serious", AND(AY453&gt;$D$1*-1,AY453&lt;$D$1,OR(AZ453&lt;=$D$2*-1,BA453&gt;=$D$2),AX453/AW453&gt;=3),"Very serious"),""))</f>
        <v/>
      </c>
      <c r="BF453" s="107" t="str">
        <f t="shared" si="11"/>
        <v/>
      </c>
      <c r="BG453" s="94" t="str">
        <f t="shared" si="46"/>
        <v/>
      </c>
      <c r="BH453" s="64" t="str">
        <f t="shared" si="12"/>
        <v>#N/A</v>
      </c>
      <c r="BI453" s="64" t="str">
        <f t="shared" si="13"/>
        <v/>
      </c>
      <c r="BJ453" s="123" t="str">
        <f t="shared" si="14"/>
        <v>#N/A</v>
      </c>
      <c r="BK453" s="64" t="str">
        <f t="shared" si="50"/>
        <v>YES</v>
      </c>
      <c r="BL453" s="64" t="str">
        <f t="shared" si="16"/>
        <v>YES</v>
      </c>
      <c r="BM453" s="64" t="str">
        <f t="shared" si="17"/>
        <v>YES</v>
      </c>
      <c r="BN453" s="124" t="str">
        <f t="shared" si="18"/>
        <v/>
      </c>
      <c r="BO453" s="91" t="str">
        <f t="shared" si="19"/>
        <v/>
      </c>
      <c r="BP453" s="91" t="str">
        <f t="shared" si="20"/>
        <v>#N/A</v>
      </c>
      <c r="BQ453" s="91" t="str">
        <f t="shared" si="21"/>
        <v/>
      </c>
      <c r="BR453" s="93" t="str">
        <f t="shared" si="22"/>
        <v/>
      </c>
      <c r="BS453" s="90" t="str">
        <f t="shared" si="23"/>
        <v/>
      </c>
      <c r="BT453" s="93" t="str">
        <f t="shared" si="24"/>
        <v>NA</v>
      </c>
      <c r="BU453" s="125" t="str">
        <f t="shared" si="25"/>
        <v>#N/A</v>
      </c>
      <c r="BV453" s="93" t="str">
        <f t="shared" si="26"/>
        <v/>
      </c>
      <c r="BW453" s="93" t="str">
        <f t="shared" si="27"/>
        <v/>
      </c>
      <c r="BX453" s="93" t="str">
        <f t="shared" si="28"/>
        <v>NA</v>
      </c>
      <c r="BY453" s="95" t="str">
        <f t="shared" si="29"/>
        <v>#N/A</v>
      </c>
      <c r="BZ453" s="93" t="str">
        <f t="shared" si="30"/>
        <v/>
      </c>
      <c r="CA453" s="93" t="str">
        <f t="shared" si="31"/>
        <v/>
      </c>
      <c r="CB453" s="93" t="str">
        <f t="shared" si="32"/>
        <v>NA</v>
      </c>
      <c r="CC453" s="96" t="str">
        <f t="shared" si="33"/>
        <v>#N/A</v>
      </c>
      <c r="CD453" s="93" t="str">
        <f t="shared" si="34"/>
        <v/>
      </c>
      <c r="CE453" s="93" t="str">
        <f t="shared" si="35"/>
        <v/>
      </c>
      <c r="CF453" s="93" t="str">
        <f t="shared" si="36"/>
        <v>NA</v>
      </c>
      <c r="CG453" s="97" t="str">
        <f t="shared" si="37"/>
        <v>#N/A</v>
      </c>
      <c r="CH453" s="98" t="str">
        <f t="shared" si="38"/>
        <v>#N/A</v>
      </c>
      <c r="CI453" s="99" t="str">
        <f t="shared" si="39"/>
        <v>#N/A</v>
      </c>
      <c r="CJ453" s="126" t="str">
        <f t="shared" si="40"/>
        <v>ERROR: check cell</v>
      </c>
      <c r="CK453" s="126"/>
      <c r="CL453" s="127" t="str">
        <f t="shared" si="41"/>
        <v>#DIV/0!</v>
      </c>
      <c r="CM453" s="128" t="str">
        <f t="shared" si="42"/>
        <v>#DIV/0!</v>
      </c>
      <c r="CN453" s="128">
        <f t="shared" si="43"/>
        <v>4</v>
      </c>
      <c r="CO453" s="129">
        <f t="shared" si="44"/>
        <v>4</v>
      </c>
      <c r="CP453" s="129" t="str">
        <f>IFS(C453=Preferences!B$13,B453,B453=Preferences!B$13,C453)</f>
        <v>#N/A</v>
      </c>
    </row>
    <row r="454" ht="13.5" customHeight="1">
      <c r="A454" s="63" t="str">
        <f t="shared" si="45"/>
        <v/>
      </c>
      <c r="B454" s="64"/>
      <c r="C454" s="64"/>
      <c r="D454" s="64"/>
      <c r="E454" s="65"/>
      <c r="F454" s="65"/>
      <c r="G454" s="65"/>
      <c r="H454" s="66"/>
      <c r="I454" s="66"/>
      <c r="J454" s="67"/>
      <c r="K454" s="68"/>
      <c r="L454" s="104"/>
      <c r="M454" s="104"/>
      <c r="N454" s="104"/>
      <c r="O454" s="104"/>
      <c r="P454" s="107" t="str">
        <f t="shared" si="1"/>
        <v/>
      </c>
      <c r="Q454" s="108" t="str">
        <f>IFERROR(IF(AND(Preferences!B$3="Manual",OR(AX454/AW454&gt;G454/F454,BD454="Serious",BD454="Very serious")),"Assess imprecision",IFS(ISBLANK(E454),"",AND(Preferences!B$3="Automatic", G454/F454&gt;=30),"Extremely serious",AND(H454&lt;=$D$1*-1,J454&lt;0,G454/F454&lt;3),"Not serious",AND(H454&lt;=$D$1*-1,J454&lt;0,G454/F454&gt;=3),"Very serious",AND(H454&gt;=$D$1,I454&gt;0,G454/F454&lt;3),"Not serious",AND(H454&gt;=$D$1,I454&gt;0,G454/F454&gt;=3),"Very serious",AND(H454&lt;=$D$1*-1,J454&gt;0,I454&gt;$D$2*-1,G454/F454&lt;3),"Serious", AND(H454&lt;=$D$1*-1,J454&gt;0,I454&lt;$D$2*-1,G454/F454&lt;3),"Very serious", AND(H454&gt;=$D$1,I454&lt;0,J454&lt;$D$2,G454/F454&lt;3),"Serious",AND(H454&gt;=$D$1,I454&lt;0,J454&gt;$D$2,G454/F454&lt;3),"Very serious", AND(H454&lt;=$D$1*-1,J454&gt;0,I454&gt;$D$2*-1,G454/F454&gt;=3),"Very serious", AND(H454&lt;=$D$1*-1,J454&gt;0,I454&lt;$D$2*-1,G454/F454&gt;=3),"Very serious", AND(H454&gt;=$D$1,I454&lt;0,J454&lt;$D$2,G454/F454&gt;=3),"Very serious", AND(H454&gt;=$D$1,I454&lt;0,J454&gt;$D$2,G454/F454&gt;=3),"Very serious", AND(H454&gt;$D$1*-1,H454&lt;$D$1,I454&gt;$D$1*-1,J454&lt;$D$1,G454/F454&lt;3),"Not serious", AND(H454&gt;$D$1*-1,H454&lt;$D$1,OR(I454&lt;=$D$1*-1,J454&gt;=$D$1),I454&gt;$D$2*-1,J454&lt;$D$2,G454/F454&lt;3),"Serious", AND(H454&gt;$D$1*-1,H454&lt;$D$1,OR(I454&lt;=$D$2*-1,J454&gt;=$D$2),G454/F454&lt;3),"Very serious", AND(H454&gt;$D$1*-1,H454&lt;$D$1,I454&gt;$D$1*-1,J454&lt;$D$1,G454/F454&gt;=3),"Very serious", AND(H454&gt;$D$1*-1,H454&lt;$D$1,OR(I454&lt;=$D$1*-1,J454&gt;=$D$1),I454&gt;$D$2*-1,J454&lt;$D$2,G454/F454&gt;=3),"Very serious", AND(H454&gt;$D$1*-1,H454&lt;$D$1,OR(I454&lt;=$D$2*-1,J454&gt;=$D$2),G454/F454&gt;=3),"Very serious")),"")</f>
        <v/>
      </c>
      <c r="R454" s="109" t="str">
        <f t="shared" si="47"/>
        <v/>
      </c>
      <c r="S454" s="64"/>
      <c r="T454" s="72"/>
      <c r="U454" s="72"/>
      <c r="V454" s="72"/>
      <c r="W454" s="73"/>
      <c r="X454" s="73"/>
      <c r="Y454" s="74"/>
      <c r="Z454" s="113" t="str">
        <f t="array" ref="Z454">INDEX($A$1:$C$500, MATCH(1,($B:$B=$B454)*($C:$C=$AB454),0),1)</f>
        <v/>
      </c>
      <c r="AA454" s="113" t="str">
        <f t="array" ref="AA454">INDEX($A$1:$C$500, MATCH(1,($B:$B=$AB454)*($C:$C=$B454),0),1)</f>
        <v/>
      </c>
      <c r="AB454" s="111"/>
      <c r="AC454" s="114" t="str">
        <f t="shared" si="2"/>
        <v/>
      </c>
      <c r="AD454" s="115" t="str">
        <f t="shared" si="3"/>
        <v/>
      </c>
      <c r="AE454" s="116" t="str">
        <f t="array" ref="AE454">INDEX($A$1:$C$500, MATCH(1,($B:$B=$AB454)*($C:$C=$AG454),0),1)</f>
        <v/>
      </c>
      <c r="AF454" s="116" t="str">
        <f t="array" ref="AF454">INDEX($A$1:$C$500, MATCH(1,($B:$B=$AG454)*($C:$C=$AB454),0),1)</f>
        <v/>
      </c>
      <c r="AG454" s="72"/>
      <c r="AH454" s="114" t="str">
        <f t="shared" si="4"/>
        <v/>
      </c>
      <c r="AI454" s="115" t="str">
        <f t="shared" si="5"/>
        <v/>
      </c>
      <c r="AJ454" s="116" t="str">
        <f t="array" ref="AJ454">INDEX($A$1:$C$500, MATCH(1,($B:$B=$C454)*($C:$C=$AG454),0),1)</f>
        <v/>
      </c>
      <c r="AK454" s="116" t="str">
        <f t="array" ref="AK454">INDEX($A$1:$C$500, MATCH(1,($B:$B=$AG454)*($C:$C=$C454),0),1)</f>
        <v/>
      </c>
      <c r="AL454" s="116" t="str">
        <f t="array" ref="AL454">INDEX($A$1:$C$500, MATCH(1,($B:$B=$C454)*($C:$C=$AB454),0),1)</f>
        <v/>
      </c>
      <c r="AM454" s="116" t="str">
        <f t="array" ref="AM454">INDEX($A$1:$C$500, MATCH(1,($B:$B=$AB454)*($C:$C=$C454),0),1)</f>
        <v/>
      </c>
      <c r="AN454" s="114" t="str">
        <f t="array" ref="AN454">IFS(ISNUMBER(AJ454),AJ454,ISNUMBER(AK454),AK454,ISNUMBER(AL454),AL454,ISNUMBER(AM454),AM454)</f>
        <v>#N/A</v>
      </c>
      <c r="AO454" s="115" t="str">
        <f t="shared" si="6"/>
        <v/>
      </c>
      <c r="AP454" s="115" t="str">
        <f t="shared" si="7"/>
        <v/>
      </c>
      <c r="AQ454" s="111"/>
      <c r="AR454" s="109" t="str">
        <f t="shared" si="8"/>
        <v/>
      </c>
      <c r="AS454" s="72" t="str">
        <f>IFERROR(IF(AND(Preferences!B$3="Manual",OR(AX454/AW454&gt;V454/U454,BD454="Serious",BD454="Very serious")),"Assess imprecision",IFERROR(IFS(AND(Preferences!B$3="Automatic",V454/U454&gt;=30),"Extremely serious",AND(W454&lt;=$D$1*-1,Y454&lt;0,V454/U454&lt;3),"Not Serious",AND(W454&lt;=$D$1*-1,Y454&lt;0,V454/U454&gt;=3),"Very serious",AND(W454&gt;=$D$1,X454&gt;0,V454/U454&lt;3),"Not Serious",AND(W454&gt;=$D$1,X454&gt;0,V454/U454&gt;=3),"Very serious",AND(W454&lt;=$D$1*-1,Y454&gt;0,X454&gt;$D$2*-1,V454/U454&lt;3),"Serious", AND(W454&lt;=$D$1*-1,Y454&gt;0,X454&lt;$D$2*-1,V454/U454&lt;3),"Very serious", AND(W454&gt;=$D$1,X454&lt;0,Y454&lt;$D$2,V454/U454&lt;3),"Serious",AND(W454&gt;=$D$1,X454&lt;0,Y454&gt;$D$2,V454/U454&lt;3),"Very serious", AND(W454&lt;=$D$1*-1,Y454&gt;0,X454&gt;$D$2*-1,V454/U454&gt;=3),"Very serious", AND(W454&lt;=$D$1*-1,Y454&gt;0,X454&lt;$D$2*-1,V454/U454&gt;=3),"Very serious", AND(W454&gt;=$D$1,X454&lt;0,Y454&lt;$D$2,V454/U454&gt;=3),"Very serious", AND(W454&gt;=$D$1,X454&lt;0,Y454&gt;$D$2,V454/U454&gt;=3),"Very serious", AND(W454&gt;$D$1*-1,W454&lt;$D$1,X454&gt;$D$1*-1,Y454&lt;$D$1,V454/U454&lt;3),"Not Serious", AND(W454&gt;$D$1*-1,W454&lt;$D$1,OR(X454&lt;=$D$1*-1,Y454&gt;=$D$1),X454&gt;$D$2*-1,Y454&lt;$D$2,V454/U454&lt;3),"Serious", AND(W454&gt;$D$1*-1,W454&lt;$D$1,OR(X454&lt;=$D$2*-1,Y454&gt;=$D$2),V454/U454&lt;3),"Very serious", AND(W454&gt;$D$1*-1,W454&lt;$D$1,X454&gt;$D$1*-1,Y454&lt;$D$1,V454/U454&gt;=3),"Very serious", AND(W454&gt;$D$1*-1,W454&lt;$D$1,OR(X454&lt;=$D$1*-1,Y454&gt;=$D$1),X454&gt;$D$2*-1,Y454&lt;$D$2,V454/U454&gt;=3),"Very serious", AND(W454&gt;$D$1*-1,W454&lt;$D$1,OR(X454&lt;=$D$2*-1,Y454&gt;=$D$2),V454/U454&gt;=3),"Very serious"),"")),"")</f>
        <v/>
      </c>
      <c r="AT454" s="109" t="str">
        <f t="shared" si="9"/>
        <v/>
      </c>
      <c r="AU454" s="64"/>
      <c r="AV454" s="83"/>
      <c r="AW454" s="83"/>
      <c r="AX454" s="83"/>
      <c r="AY454" s="83"/>
      <c r="AZ454" s="83"/>
      <c r="BA454" s="85"/>
      <c r="BB454" s="86" t="str">
        <f>IF(Preferences!B$9="Manual","",IFS(ISBLANK(B454),"",AND(ISNUMBER(E454)=TRUE,ISNUMBER(T454)=FALSE),"Direct", AND(ISNUMBER(E454)=FALSE,ISNUMBER(T454)=TRUE),"Indirect", CN454=4,"Direct",AND(CL454=FALSE, CM454=TRUE,CN454-CO454&gt;-1),"Direct", AND(CL454=FALSE,CM454=TRUE, CN454-CO454&lt;0),"Check algorithm in appendix 2", AND(CL454=TRUE, CM454=FALSE,CN454-CO454&gt;0),"Check algorithm in appendix 2", AND(CL454=TRUE, CM454=FALSE,CN454-CO454=0),"Indirect", AND(CL454=TRUE, CM454=FALSE,CN454-CO454&lt;0),"Indirect", AND(CL454=FALSE,CM454=FALSE,CN454-CO454&gt;-1),"Direct", AND(CL454=FALSE,CM454=FALSE,CN454-CO454&lt;0),"Check algorithm in appendix 2", AND(CL454=TRUE,CM454=TRUE,CN454-CO454&gt;-1),"Direct", AND(CL454=TRUE,CM454=TRUE,CN454-CO454&lt;0),"Check algorithm in appendix 2"))</f>
        <v/>
      </c>
      <c r="BC454" s="120" t="str">
        <f t="shared" si="10"/>
        <v/>
      </c>
      <c r="BD454" s="140"/>
      <c r="BE454" s="122" t="str">
        <f>IF(Preferences!B$3="Manual","", IFERROR(IFS(AND(Preferences!B$3="Automatic",AX454/AW454&gt;=30),"Extremely serious",AND(AY454&lt;=$D$1*-1,BA454&lt;0,AX454/AW454&lt;3),"Not Serious",AND(AY454&lt;=$D$1*-1,BA454&lt;0,AX454/AW454&gt;=3),"Very serious",AND(AY454&gt;=$D$1,AZ454&gt;0,AX454/AW454&lt;3),"Not Serious",AND(AY454&gt;=$D$1,AZ454&gt;0,AX454/AW454&gt;=3),"Very serious",AND(AY454&lt;=$D$1*-1,BA454&gt;0,AZ454&gt;$D$2*-1,AX454/AW454&lt;3),"Serious", AND(AY454&lt;=$D$1*-1,BA454&gt;0,AZ454&lt;$D$2*-1,AX454/AW454&lt;3),"Very serious", AND(AY454&gt;=$D$1,AZ454&lt;0,BA454&lt;$D$2,AX454/AW454&lt;3),"Serious",AND(AY454&gt;=$D$1,AZ454&lt;0,BA454&gt;$D$2,AX454/AW454&lt;3),"Very serious", AND(AY454&lt;=$D$1*-1,BA454&gt;0,AZ454&gt;$D$2*-1,AX454/AW454&gt;=3),"Very serious", AND(AY454&lt;=$D$1*-1,BA454&gt;0,AZ454&lt;$D$2*-1,AX454/AW454&gt;=3),"Very serious", AND(AY454&gt;=$D$1,AZ454&lt;0,BA454&lt;$D$2,AX454/AW454&gt;=3),"Very serious", AND(AY454&gt;=$D$1,AZ454&lt;0,BA454&gt;$D$2,AX454/AW454&gt;=3),"Very serious", AND(AY454&gt;$D$1*-1,AY454&lt;$D$1,AZ454&gt;$D$1*-1,BA454&lt;$D$1,AX454/AW454&lt;3),"Not Serious", AND(AY454&gt;$D$1*-1,AY454&lt;$D$1,OR(AZ454&lt;=$D$1*-1,BA454&gt;=$D$1),AZ454&gt;$D$2*-1,BA454&lt;$D$2,AX454/AW454&lt;3),"Serious", AND(AY454&gt;$D$1*-1,AY454&lt;$D$1,OR(AZ454&lt;=$D$2*-1,BA454&gt;=$D$2),AX454/AW454&lt;3),"Very serious", AND(AY454&gt;$D$1*-1,AY454&lt;$D$1,AZ454&gt;$D$1*-1,BA454&lt;$D$1,AX454/AW454&gt;=3),"Very serious", AND(AY454&gt;$D$1*-1,AY454&lt;$D$1,OR(AZ454&lt;=$D$1*-1,BA454&gt;=$D$1),AZ454&gt;$D$2*-1,BA454&lt;$D$2,AX454/AW454&gt;=3),"Very serious", AND(AY454&gt;$D$1*-1,AY454&lt;$D$1,OR(AZ454&lt;=$D$2*-1,BA454&gt;=$D$2),AX454/AW454&gt;=3),"Very serious"),""))</f>
        <v/>
      </c>
      <c r="BF454" s="107" t="str">
        <f t="shared" si="11"/>
        <v/>
      </c>
      <c r="BG454" s="94" t="str">
        <f t="shared" si="46"/>
        <v/>
      </c>
      <c r="BH454" s="64" t="str">
        <f t="shared" si="12"/>
        <v>#N/A</v>
      </c>
      <c r="BI454" s="64" t="str">
        <f t="shared" si="13"/>
        <v/>
      </c>
      <c r="BJ454" s="123" t="str">
        <f t="shared" si="14"/>
        <v>#N/A</v>
      </c>
      <c r="BK454" s="64" t="str">
        <f t="shared" si="50"/>
        <v>YES</v>
      </c>
      <c r="BL454" s="64" t="str">
        <f t="shared" si="16"/>
        <v>YES</v>
      </c>
      <c r="BM454" s="64" t="str">
        <f t="shared" si="17"/>
        <v>YES</v>
      </c>
      <c r="BN454" s="124" t="str">
        <f t="shared" si="18"/>
        <v/>
      </c>
      <c r="BO454" s="91" t="str">
        <f t="shared" si="19"/>
        <v/>
      </c>
      <c r="BP454" s="91" t="str">
        <f t="shared" si="20"/>
        <v>#N/A</v>
      </c>
      <c r="BQ454" s="91" t="str">
        <f t="shared" si="21"/>
        <v/>
      </c>
      <c r="BR454" s="93" t="str">
        <f t="shared" si="22"/>
        <v/>
      </c>
      <c r="BS454" s="90" t="str">
        <f t="shared" si="23"/>
        <v/>
      </c>
      <c r="BT454" s="93" t="str">
        <f t="shared" si="24"/>
        <v>NA</v>
      </c>
      <c r="BU454" s="125" t="str">
        <f t="shared" si="25"/>
        <v>#N/A</v>
      </c>
      <c r="BV454" s="93" t="str">
        <f t="shared" si="26"/>
        <v/>
      </c>
      <c r="BW454" s="93" t="str">
        <f t="shared" si="27"/>
        <v/>
      </c>
      <c r="BX454" s="93" t="str">
        <f t="shared" si="28"/>
        <v>NA</v>
      </c>
      <c r="BY454" s="95" t="str">
        <f t="shared" si="29"/>
        <v>#N/A</v>
      </c>
      <c r="BZ454" s="93" t="str">
        <f t="shared" si="30"/>
        <v/>
      </c>
      <c r="CA454" s="93" t="str">
        <f t="shared" si="31"/>
        <v/>
      </c>
      <c r="CB454" s="93" t="str">
        <f t="shared" si="32"/>
        <v>NA</v>
      </c>
      <c r="CC454" s="96" t="str">
        <f t="shared" si="33"/>
        <v>#N/A</v>
      </c>
      <c r="CD454" s="93" t="str">
        <f t="shared" si="34"/>
        <v/>
      </c>
      <c r="CE454" s="93" t="str">
        <f t="shared" si="35"/>
        <v/>
      </c>
      <c r="CF454" s="93" t="str">
        <f t="shared" si="36"/>
        <v>NA</v>
      </c>
      <c r="CG454" s="97" t="str">
        <f t="shared" si="37"/>
        <v>#N/A</v>
      </c>
      <c r="CH454" s="98" t="str">
        <f t="shared" si="38"/>
        <v>#N/A</v>
      </c>
      <c r="CI454" s="99" t="str">
        <f t="shared" si="39"/>
        <v>#N/A</v>
      </c>
      <c r="CJ454" s="126" t="str">
        <f t="shared" si="40"/>
        <v>ERROR: check cell</v>
      </c>
      <c r="CK454" s="126"/>
      <c r="CL454" s="127" t="str">
        <f t="shared" si="41"/>
        <v>#DIV/0!</v>
      </c>
      <c r="CM454" s="128" t="str">
        <f t="shared" si="42"/>
        <v>#DIV/0!</v>
      </c>
      <c r="CN454" s="128">
        <f t="shared" si="43"/>
        <v>4</v>
      </c>
      <c r="CO454" s="129">
        <f t="shared" si="44"/>
        <v>4</v>
      </c>
      <c r="CP454" s="129" t="str">
        <f>IFS(C454=Preferences!B$13,B454,B454=Preferences!B$13,C454)</f>
        <v>#N/A</v>
      </c>
    </row>
    <row r="455" ht="13.5" customHeight="1">
      <c r="A455" s="63" t="str">
        <f t="shared" si="45"/>
        <v/>
      </c>
      <c r="B455" s="64"/>
      <c r="C455" s="64"/>
      <c r="D455" s="64"/>
      <c r="E455" s="65"/>
      <c r="F455" s="65"/>
      <c r="G455" s="65"/>
      <c r="H455" s="66"/>
      <c r="I455" s="66"/>
      <c r="J455" s="67"/>
      <c r="K455" s="68"/>
      <c r="L455" s="104"/>
      <c r="M455" s="104"/>
      <c r="N455" s="104"/>
      <c r="O455" s="104"/>
      <c r="P455" s="107" t="str">
        <f t="shared" si="1"/>
        <v/>
      </c>
      <c r="Q455" s="108" t="str">
        <f>IFERROR(IF(AND(Preferences!B$3="Manual",OR(AX455/AW455&gt;G455/F455,BD455="Serious",BD455="Very serious")),"Assess imprecision",IFS(ISBLANK(E455),"",AND(Preferences!B$3="Automatic", G455/F455&gt;=30),"Extremely serious",AND(H455&lt;=$D$1*-1,J455&lt;0,G455/F455&lt;3),"Not serious",AND(H455&lt;=$D$1*-1,J455&lt;0,G455/F455&gt;=3),"Very serious",AND(H455&gt;=$D$1,I455&gt;0,G455/F455&lt;3),"Not serious",AND(H455&gt;=$D$1,I455&gt;0,G455/F455&gt;=3),"Very serious",AND(H455&lt;=$D$1*-1,J455&gt;0,I455&gt;$D$2*-1,G455/F455&lt;3),"Serious", AND(H455&lt;=$D$1*-1,J455&gt;0,I455&lt;$D$2*-1,G455/F455&lt;3),"Very serious", AND(H455&gt;=$D$1,I455&lt;0,J455&lt;$D$2,G455/F455&lt;3),"Serious",AND(H455&gt;=$D$1,I455&lt;0,J455&gt;$D$2,G455/F455&lt;3),"Very serious", AND(H455&lt;=$D$1*-1,J455&gt;0,I455&gt;$D$2*-1,G455/F455&gt;=3),"Very serious", AND(H455&lt;=$D$1*-1,J455&gt;0,I455&lt;$D$2*-1,G455/F455&gt;=3),"Very serious", AND(H455&gt;=$D$1,I455&lt;0,J455&lt;$D$2,G455/F455&gt;=3),"Very serious", AND(H455&gt;=$D$1,I455&lt;0,J455&gt;$D$2,G455/F455&gt;=3),"Very serious", AND(H455&gt;$D$1*-1,H455&lt;$D$1,I455&gt;$D$1*-1,J455&lt;$D$1,G455/F455&lt;3),"Not serious", AND(H455&gt;$D$1*-1,H455&lt;$D$1,OR(I455&lt;=$D$1*-1,J455&gt;=$D$1),I455&gt;$D$2*-1,J455&lt;$D$2,G455/F455&lt;3),"Serious", AND(H455&gt;$D$1*-1,H455&lt;$D$1,OR(I455&lt;=$D$2*-1,J455&gt;=$D$2),G455/F455&lt;3),"Very serious", AND(H455&gt;$D$1*-1,H455&lt;$D$1,I455&gt;$D$1*-1,J455&lt;$D$1,G455/F455&gt;=3),"Very serious", AND(H455&gt;$D$1*-1,H455&lt;$D$1,OR(I455&lt;=$D$1*-1,J455&gt;=$D$1),I455&gt;$D$2*-1,J455&lt;$D$2,G455/F455&gt;=3),"Very serious", AND(H455&gt;$D$1*-1,H455&lt;$D$1,OR(I455&lt;=$D$2*-1,J455&gt;=$D$2),G455/F455&gt;=3),"Very serious")),"")</f>
        <v/>
      </c>
      <c r="R455" s="109" t="str">
        <f t="shared" si="47"/>
        <v/>
      </c>
      <c r="S455" s="64"/>
      <c r="T455" s="72"/>
      <c r="U455" s="72"/>
      <c r="V455" s="72"/>
      <c r="W455" s="73"/>
      <c r="X455" s="73"/>
      <c r="Y455" s="74"/>
      <c r="Z455" s="113" t="str">
        <f t="array" ref="Z455">INDEX($A$1:$C$500, MATCH(1,($B:$B=$B455)*($C:$C=$AB455),0),1)</f>
        <v/>
      </c>
      <c r="AA455" s="113" t="str">
        <f t="array" ref="AA455">INDEX($A$1:$C$500, MATCH(1,($B:$B=$AB455)*($C:$C=$B455),0),1)</f>
        <v/>
      </c>
      <c r="AB455" s="111"/>
      <c r="AC455" s="114" t="str">
        <f t="shared" si="2"/>
        <v/>
      </c>
      <c r="AD455" s="115" t="str">
        <f t="shared" si="3"/>
        <v/>
      </c>
      <c r="AE455" s="116" t="str">
        <f t="array" ref="AE455">INDEX($A$1:$C$500, MATCH(1,($B:$B=$AB455)*($C:$C=$AG455),0),1)</f>
        <v/>
      </c>
      <c r="AF455" s="116" t="str">
        <f t="array" ref="AF455">INDEX($A$1:$C$500, MATCH(1,($B:$B=$AG455)*($C:$C=$AB455),0),1)</f>
        <v/>
      </c>
      <c r="AG455" s="72"/>
      <c r="AH455" s="114" t="str">
        <f t="shared" si="4"/>
        <v/>
      </c>
      <c r="AI455" s="115" t="str">
        <f t="shared" si="5"/>
        <v/>
      </c>
      <c r="AJ455" s="116" t="str">
        <f t="array" ref="AJ455">INDEX($A$1:$C$500, MATCH(1,($B:$B=$C455)*($C:$C=$AG455),0),1)</f>
        <v/>
      </c>
      <c r="AK455" s="116" t="str">
        <f t="array" ref="AK455">INDEX($A$1:$C$500, MATCH(1,($B:$B=$AG455)*($C:$C=$C455),0),1)</f>
        <v/>
      </c>
      <c r="AL455" s="116" t="str">
        <f t="array" ref="AL455">INDEX($A$1:$C$500, MATCH(1,($B:$B=$C455)*($C:$C=$AB455),0),1)</f>
        <v/>
      </c>
      <c r="AM455" s="116" t="str">
        <f t="array" ref="AM455">INDEX($A$1:$C$500, MATCH(1,($B:$B=$AB455)*($C:$C=$C455),0),1)</f>
        <v/>
      </c>
      <c r="AN455" s="114" t="str">
        <f t="array" ref="AN455">IFS(ISNUMBER(AJ455),AJ455,ISNUMBER(AK455),AK455,ISNUMBER(AL455),AL455,ISNUMBER(AM455),AM455)</f>
        <v>#N/A</v>
      </c>
      <c r="AO455" s="115" t="str">
        <f t="shared" si="6"/>
        <v/>
      </c>
      <c r="AP455" s="115" t="str">
        <f t="shared" si="7"/>
        <v/>
      </c>
      <c r="AQ455" s="111"/>
      <c r="AR455" s="109" t="str">
        <f t="shared" si="8"/>
        <v/>
      </c>
      <c r="AS455" s="72" t="str">
        <f>IFERROR(IF(AND(Preferences!B$3="Manual",OR(AX455/AW455&gt;V455/U455,BD455="Serious",BD455="Very serious")),"Assess imprecision",IFERROR(IFS(AND(Preferences!B$3="Automatic",V455/U455&gt;=30),"Extremely serious",AND(W455&lt;=$D$1*-1,Y455&lt;0,V455/U455&lt;3),"Not Serious",AND(W455&lt;=$D$1*-1,Y455&lt;0,V455/U455&gt;=3),"Very serious",AND(W455&gt;=$D$1,X455&gt;0,V455/U455&lt;3),"Not Serious",AND(W455&gt;=$D$1,X455&gt;0,V455/U455&gt;=3),"Very serious",AND(W455&lt;=$D$1*-1,Y455&gt;0,X455&gt;$D$2*-1,V455/U455&lt;3),"Serious", AND(W455&lt;=$D$1*-1,Y455&gt;0,X455&lt;$D$2*-1,V455/U455&lt;3),"Very serious", AND(W455&gt;=$D$1,X455&lt;0,Y455&lt;$D$2,V455/U455&lt;3),"Serious",AND(W455&gt;=$D$1,X455&lt;0,Y455&gt;$D$2,V455/U455&lt;3),"Very serious", AND(W455&lt;=$D$1*-1,Y455&gt;0,X455&gt;$D$2*-1,V455/U455&gt;=3),"Very serious", AND(W455&lt;=$D$1*-1,Y455&gt;0,X455&lt;$D$2*-1,V455/U455&gt;=3),"Very serious", AND(W455&gt;=$D$1,X455&lt;0,Y455&lt;$D$2,V455/U455&gt;=3),"Very serious", AND(W455&gt;=$D$1,X455&lt;0,Y455&gt;$D$2,V455/U455&gt;=3),"Very serious", AND(W455&gt;$D$1*-1,W455&lt;$D$1,X455&gt;$D$1*-1,Y455&lt;$D$1,V455/U455&lt;3),"Not Serious", AND(W455&gt;$D$1*-1,W455&lt;$D$1,OR(X455&lt;=$D$1*-1,Y455&gt;=$D$1),X455&gt;$D$2*-1,Y455&lt;$D$2,V455/U455&lt;3),"Serious", AND(W455&gt;$D$1*-1,W455&lt;$D$1,OR(X455&lt;=$D$2*-1,Y455&gt;=$D$2),V455/U455&lt;3),"Very serious", AND(W455&gt;$D$1*-1,W455&lt;$D$1,X455&gt;$D$1*-1,Y455&lt;$D$1,V455/U455&gt;=3),"Very serious", AND(W455&gt;$D$1*-1,W455&lt;$D$1,OR(X455&lt;=$D$1*-1,Y455&gt;=$D$1),X455&gt;$D$2*-1,Y455&lt;$D$2,V455/U455&gt;=3),"Very serious", AND(W455&gt;$D$1*-1,W455&lt;$D$1,OR(X455&lt;=$D$2*-1,Y455&gt;=$D$2),V455/U455&gt;=3),"Very serious"),"")),"")</f>
        <v/>
      </c>
      <c r="AT455" s="109" t="str">
        <f t="shared" si="9"/>
        <v/>
      </c>
      <c r="AU455" s="64"/>
      <c r="AV455" s="83"/>
      <c r="AW455" s="83"/>
      <c r="AX455" s="83"/>
      <c r="AY455" s="83"/>
      <c r="AZ455" s="83"/>
      <c r="BA455" s="85"/>
      <c r="BB455" s="86" t="str">
        <f>IF(Preferences!B$9="Manual","",IFS(ISBLANK(B455),"",AND(ISNUMBER(E455)=TRUE,ISNUMBER(T455)=FALSE),"Direct", AND(ISNUMBER(E455)=FALSE,ISNUMBER(T455)=TRUE),"Indirect", CN455=4,"Direct",AND(CL455=FALSE, CM455=TRUE,CN455-CO455&gt;-1),"Direct", AND(CL455=FALSE,CM455=TRUE, CN455-CO455&lt;0),"Check algorithm in appendix 2", AND(CL455=TRUE, CM455=FALSE,CN455-CO455&gt;0),"Check algorithm in appendix 2", AND(CL455=TRUE, CM455=FALSE,CN455-CO455=0),"Indirect", AND(CL455=TRUE, CM455=FALSE,CN455-CO455&lt;0),"Indirect", AND(CL455=FALSE,CM455=FALSE,CN455-CO455&gt;-1),"Direct", AND(CL455=FALSE,CM455=FALSE,CN455-CO455&lt;0),"Check algorithm in appendix 2", AND(CL455=TRUE,CM455=TRUE,CN455-CO455&gt;-1),"Direct", AND(CL455=TRUE,CM455=TRUE,CN455-CO455&lt;0),"Check algorithm in appendix 2"))</f>
        <v/>
      </c>
      <c r="BC455" s="120" t="str">
        <f t="shared" si="10"/>
        <v/>
      </c>
      <c r="BD455" s="140"/>
      <c r="BE455" s="122" t="str">
        <f>IF(Preferences!B$3="Manual","", IFERROR(IFS(AND(Preferences!B$3="Automatic",AX455/AW455&gt;=30),"Extremely serious",AND(AY455&lt;=$D$1*-1,BA455&lt;0,AX455/AW455&lt;3),"Not Serious",AND(AY455&lt;=$D$1*-1,BA455&lt;0,AX455/AW455&gt;=3),"Very serious",AND(AY455&gt;=$D$1,AZ455&gt;0,AX455/AW455&lt;3),"Not Serious",AND(AY455&gt;=$D$1,AZ455&gt;0,AX455/AW455&gt;=3),"Very serious",AND(AY455&lt;=$D$1*-1,BA455&gt;0,AZ455&gt;$D$2*-1,AX455/AW455&lt;3),"Serious", AND(AY455&lt;=$D$1*-1,BA455&gt;0,AZ455&lt;$D$2*-1,AX455/AW455&lt;3),"Very serious", AND(AY455&gt;=$D$1,AZ455&lt;0,BA455&lt;$D$2,AX455/AW455&lt;3),"Serious",AND(AY455&gt;=$D$1,AZ455&lt;0,BA455&gt;$D$2,AX455/AW455&lt;3),"Very serious", AND(AY455&lt;=$D$1*-1,BA455&gt;0,AZ455&gt;$D$2*-1,AX455/AW455&gt;=3),"Very serious", AND(AY455&lt;=$D$1*-1,BA455&gt;0,AZ455&lt;$D$2*-1,AX455/AW455&gt;=3),"Very serious", AND(AY455&gt;=$D$1,AZ455&lt;0,BA455&lt;$D$2,AX455/AW455&gt;=3),"Very serious", AND(AY455&gt;=$D$1,AZ455&lt;0,BA455&gt;$D$2,AX455/AW455&gt;=3),"Very serious", AND(AY455&gt;$D$1*-1,AY455&lt;$D$1,AZ455&gt;$D$1*-1,BA455&lt;$D$1,AX455/AW455&lt;3),"Not Serious", AND(AY455&gt;$D$1*-1,AY455&lt;$D$1,OR(AZ455&lt;=$D$1*-1,BA455&gt;=$D$1),AZ455&gt;$D$2*-1,BA455&lt;$D$2,AX455/AW455&lt;3),"Serious", AND(AY455&gt;$D$1*-1,AY455&lt;$D$1,OR(AZ455&lt;=$D$2*-1,BA455&gt;=$D$2),AX455/AW455&lt;3),"Very serious", AND(AY455&gt;$D$1*-1,AY455&lt;$D$1,AZ455&gt;$D$1*-1,BA455&lt;$D$1,AX455/AW455&gt;=3),"Very serious", AND(AY455&gt;$D$1*-1,AY455&lt;$D$1,OR(AZ455&lt;=$D$1*-1,BA455&gt;=$D$1),AZ455&gt;$D$2*-1,BA455&lt;$D$2,AX455/AW455&gt;=3),"Very serious", AND(AY455&gt;$D$1*-1,AY455&lt;$D$1,OR(AZ455&lt;=$D$2*-1,BA455&gt;=$D$2),AX455/AW455&gt;=3),"Very serious"),""))</f>
        <v/>
      </c>
      <c r="BF455" s="107" t="str">
        <f t="shared" si="11"/>
        <v/>
      </c>
      <c r="BG455" s="94" t="str">
        <f t="shared" si="46"/>
        <v/>
      </c>
      <c r="BH455" s="64" t="str">
        <f t="shared" si="12"/>
        <v>#N/A</v>
      </c>
      <c r="BI455" s="64" t="str">
        <f t="shared" si="13"/>
        <v/>
      </c>
      <c r="BJ455" s="123" t="str">
        <f t="shared" si="14"/>
        <v>#N/A</v>
      </c>
      <c r="BK455" s="64" t="str">
        <f t="shared" si="50"/>
        <v>YES</v>
      </c>
      <c r="BL455" s="64" t="str">
        <f t="shared" si="16"/>
        <v>YES</v>
      </c>
      <c r="BM455" s="64" t="str">
        <f t="shared" si="17"/>
        <v>YES</v>
      </c>
      <c r="BN455" s="124" t="str">
        <f t="shared" si="18"/>
        <v/>
      </c>
      <c r="BO455" s="91" t="str">
        <f t="shared" si="19"/>
        <v/>
      </c>
      <c r="BP455" s="91" t="str">
        <f t="shared" si="20"/>
        <v>#N/A</v>
      </c>
      <c r="BQ455" s="91" t="str">
        <f t="shared" si="21"/>
        <v/>
      </c>
      <c r="BR455" s="93" t="str">
        <f t="shared" si="22"/>
        <v/>
      </c>
      <c r="BS455" s="90" t="str">
        <f t="shared" si="23"/>
        <v/>
      </c>
      <c r="BT455" s="93" t="str">
        <f t="shared" si="24"/>
        <v>NA</v>
      </c>
      <c r="BU455" s="125" t="str">
        <f t="shared" si="25"/>
        <v>#N/A</v>
      </c>
      <c r="BV455" s="93" t="str">
        <f t="shared" si="26"/>
        <v/>
      </c>
      <c r="BW455" s="93" t="str">
        <f t="shared" si="27"/>
        <v/>
      </c>
      <c r="BX455" s="93" t="str">
        <f t="shared" si="28"/>
        <v>NA</v>
      </c>
      <c r="BY455" s="95" t="str">
        <f t="shared" si="29"/>
        <v>#N/A</v>
      </c>
      <c r="BZ455" s="93" t="str">
        <f t="shared" si="30"/>
        <v/>
      </c>
      <c r="CA455" s="93" t="str">
        <f t="shared" si="31"/>
        <v/>
      </c>
      <c r="CB455" s="93" t="str">
        <f t="shared" si="32"/>
        <v>NA</v>
      </c>
      <c r="CC455" s="96" t="str">
        <f t="shared" si="33"/>
        <v>#N/A</v>
      </c>
      <c r="CD455" s="93" t="str">
        <f t="shared" si="34"/>
        <v/>
      </c>
      <c r="CE455" s="93" t="str">
        <f t="shared" si="35"/>
        <v/>
      </c>
      <c r="CF455" s="93" t="str">
        <f t="shared" si="36"/>
        <v>NA</v>
      </c>
      <c r="CG455" s="97" t="str">
        <f t="shared" si="37"/>
        <v>#N/A</v>
      </c>
      <c r="CH455" s="98" t="str">
        <f t="shared" si="38"/>
        <v>#N/A</v>
      </c>
      <c r="CI455" s="99" t="str">
        <f t="shared" si="39"/>
        <v>#N/A</v>
      </c>
      <c r="CJ455" s="126" t="str">
        <f t="shared" si="40"/>
        <v>ERROR: check cell</v>
      </c>
      <c r="CK455" s="126"/>
      <c r="CL455" s="127" t="str">
        <f t="shared" si="41"/>
        <v>#DIV/0!</v>
      </c>
      <c r="CM455" s="128" t="str">
        <f t="shared" si="42"/>
        <v>#DIV/0!</v>
      </c>
      <c r="CN455" s="128">
        <f t="shared" si="43"/>
        <v>4</v>
      </c>
      <c r="CO455" s="129">
        <f t="shared" si="44"/>
        <v>4</v>
      </c>
      <c r="CP455" s="129" t="str">
        <f>IFS(C455=Preferences!B$13,B455,B455=Preferences!B$13,C455)</f>
        <v>#N/A</v>
      </c>
    </row>
    <row r="456" ht="13.5" customHeight="1">
      <c r="A456" s="63" t="str">
        <f t="shared" si="45"/>
        <v/>
      </c>
      <c r="B456" s="64"/>
      <c r="C456" s="64"/>
      <c r="D456" s="64"/>
      <c r="E456" s="65"/>
      <c r="F456" s="65"/>
      <c r="G456" s="65"/>
      <c r="H456" s="66"/>
      <c r="I456" s="66"/>
      <c r="J456" s="67"/>
      <c r="K456" s="68"/>
      <c r="L456" s="104"/>
      <c r="M456" s="104"/>
      <c r="N456" s="104"/>
      <c r="O456" s="104"/>
      <c r="P456" s="107" t="str">
        <f t="shared" si="1"/>
        <v/>
      </c>
      <c r="Q456" s="108" t="str">
        <f>IFERROR(IF(AND(Preferences!B$3="Manual",OR(AX456/AW456&gt;G456/F456,BD456="Serious",BD456="Very serious")),"Assess imprecision",IFS(ISBLANK(E456),"",AND(Preferences!B$3="Automatic", G456/F456&gt;=30),"Extremely serious",AND(H456&lt;=$D$1*-1,J456&lt;0,G456/F456&lt;3),"Not serious",AND(H456&lt;=$D$1*-1,J456&lt;0,G456/F456&gt;=3),"Very serious",AND(H456&gt;=$D$1,I456&gt;0,G456/F456&lt;3),"Not serious",AND(H456&gt;=$D$1,I456&gt;0,G456/F456&gt;=3),"Very serious",AND(H456&lt;=$D$1*-1,J456&gt;0,I456&gt;$D$2*-1,G456/F456&lt;3),"Serious", AND(H456&lt;=$D$1*-1,J456&gt;0,I456&lt;$D$2*-1,G456/F456&lt;3),"Very serious", AND(H456&gt;=$D$1,I456&lt;0,J456&lt;$D$2,G456/F456&lt;3),"Serious",AND(H456&gt;=$D$1,I456&lt;0,J456&gt;$D$2,G456/F456&lt;3),"Very serious", AND(H456&lt;=$D$1*-1,J456&gt;0,I456&gt;$D$2*-1,G456/F456&gt;=3),"Very serious", AND(H456&lt;=$D$1*-1,J456&gt;0,I456&lt;$D$2*-1,G456/F456&gt;=3),"Very serious", AND(H456&gt;=$D$1,I456&lt;0,J456&lt;$D$2,G456/F456&gt;=3),"Very serious", AND(H456&gt;=$D$1,I456&lt;0,J456&gt;$D$2,G456/F456&gt;=3),"Very serious", AND(H456&gt;$D$1*-1,H456&lt;$D$1,I456&gt;$D$1*-1,J456&lt;$D$1,G456/F456&lt;3),"Not serious", AND(H456&gt;$D$1*-1,H456&lt;$D$1,OR(I456&lt;=$D$1*-1,J456&gt;=$D$1),I456&gt;$D$2*-1,J456&lt;$D$2,G456/F456&lt;3),"Serious", AND(H456&gt;$D$1*-1,H456&lt;$D$1,OR(I456&lt;=$D$2*-1,J456&gt;=$D$2),G456/F456&lt;3),"Very serious", AND(H456&gt;$D$1*-1,H456&lt;$D$1,I456&gt;$D$1*-1,J456&lt;$D$1,G456/F456&gt;=3),"Very serious", AND(H456&gt;$D$1*-1,H456&lt;$D$1,OR(I456&lt;=$D$1*-1,J456&gt;=$D$1),I456&gt;$D$2*-1,J456&lt;$D$2,G456/F456&gt;=3),"Very serious", AND(H456&gt;$D$1*-1,H456&lt;$D$1,OR(I456&lt;=$D$2*-1,J456&gt;=$D$2),G456/F456&gt;=3),"Very serious")),"")</f>
        <v/>
      </c>
      <c r="R456" s="109" t="str">
        <f t="shared" si="47"/>
        <v/>
      </c>
      <c r="S456" s="64"/>
      <c r="T456" s="72"/>
      <c r="U456" s="72"/>
      <c r="V456" s="72"/>
      <c r="W456" s="73"/>
      <c r="X456" s="73"/>
      <c r="Y456" s="74"/>
      <c r="Z456" s="113" t="str">
        <f t="array" ref="Z456">INDEX($A$1:$C$500, MATCH(1,($B:$B=$B456)*($C:$C=$AB456),0),1)</f>
        <v/>
      </c>
      <c r="AA456" s="113" t="str">
        <f t="array" ref="AA456">INDEX($A$1:$C$500, MATCH(1,($B:$B=$AB456)*($C:$C=$B456),0),1)</f>
        <v/>
      </c>
      <c r="AB456" s="111"/>
      <c r="AC456" s="114" t="str">
        <f t="shared" si="2"/>
        <v/>
      </c>
      <c r="AD456" s="115" t="str">
        <f t="shared" si="3"/>
        <v/>
      </c>
      <c r="AE456" s="116" t="str">
        <f t="array" ref="AE456">INDEX($A$1:$C$500, MATCH(1,($B:$B=$AB456)*($C:$C=$AG456),0),1)</f>
        <v/>
      </c>
      <c r="AF456" s="116" t="str">
        <f t="array" ref="AF456">INDEX($A$1:$C$500, MATCH(1,($B:$B=$AG456)*($C:$C=$AB456),0),1)</f>
        <v/>
      </c>
      <c r="AG456" s="72"/>
      <c r="AH456" s="114" t="str">
        <f t="shared" si="4"/>
        <v/>
      </c>
      <c r="AI456" s="115" t="str">
        <f t="shared" si="5"/>
        <v/>
      </c>
      <c r="AJ456" s="116" t="str">
        <f t="array" ref="AJ456">INDEX($A$1:$C$500, MATCH(1,($B:$B=$C456)*($C:$C=$AG456),0),1)</f>
        <v/>
      </c>
      <c r="AK456" s="116" t="str">
        <f t="array" ref="AK456">INDEX($A$1:$C$500, MATCH(1,($B:$B=$AG456)*($C:$C=$C456),0),1)</f>
        <v/>
      </c>
      <c r="AL456" s="116" t="str">
        <f t="array" ref="AL456">INDEX($A$1:$C$500, MATCH(1,($B:$B=$C456)*($C:$C=$AB456),0),1)</f>
        <v/>
      </c>
      <c r="AM456" s="116" t="str">
        <f t="array" ref="AM456">INDEX($A$1:$C$500, MATCH(1,($B:$B=$AB456)*($C:$C=$C456),0),1)</f>
        <v/>
      </c>
      <c r="AN456" s="114" t="str">
        <f t="array" ref="AN456">IFS(ISNUMBER(AJ456),AJ456,ISNUMBER(AK456),AK456,ISNUMBER(AL456),AL456,ISNUMBER(AM456),AM456)</f>
        <v>#N/A</v>
      </c>
      <c r="AO456" s="115" t="str">
        <f t="shared" si="6"/>
        <v/>
      </c>
      <c r="AP456" s="115" t="str">
        <f t="shared" si="7"/>
        <v/>
      </c>
      <c r="AQ456" s="111"/>
      <c r="AR456" s="109" t="str">
        <f t="shared" si="8"/>
        <v/>
      </c>
      <c r="AS456" s="72" t="str">
        <f>IFERROR(IF(AND(Preferences!B$3="Manual",OR(AX456/AW456&gt;V456/U456,BD456="Serious",BD456="Very serious")),"Assess imprecision",IFERROR(IFS(AND(Preferences!B$3="Automatic",V456/U456&gt;=30),"Extremely serious",AND(W456&lt;=$D$1*-1,Y456&lt;0,V456/U456&lt;3),"Not Serious",AND(W456&lt;=$D$1*-1,Y456&lt;0,V456/U456&gt;=3),"Very serious",AND(W456&gt;=$D$1,X456&gt;0,V456/U456&lt;3),"Not Serious",AND(W456&gt;=$D$1,X456&gt;0,V456/U456&gt;=3),"Very serious",AND(W456&lt;=$D$1*-1,Y456&gt;0,X456&gt;$D$2*-1,V456/U456&lt;3),"Serious", AND(W456&lt;=$D$1*-1,Y456&gt;0,X456&lt;$D$2*-1,V456/U456&lt;3),"Very serious", AND(W456&gt;=$D$1,X456&lt;0,Y456&lt;$D$2,V456/U456&lt;3),"Serious",AND(W456&gt;=$D$1,X456&lt;0,Y456&gt;$D$2,V456/U456&lt;3),"Very serious", AND(W456&lt;=$D$1*-1,Y456&gt;0,X456&gt;$D$2*-1,V456/U456&gt;=3),"Very serious", AND(W456&lt;=$D$1*-1,Y456&gt;0,X456&lt;$D$2*-1,V456/U456&gt;=3),"Very serious", AND(W456&gt;=$D$1,X456&lt;0,Y456&lt;$D$2,V456/U456&gt;=3),"Very serious", AND(W456&gt;=$D$1,X456&lt;0,Y456&gt;$D$2,V456/U456&gt;=3),"Very serious", AND(W456&gt;$D$1*-1,W456&lt;$D$1,X456&gt;$D$1*-1,Y456&lt;$D$1,V456/U456&lt;3),"Not Serious", AND(W456&gt;$D$1*-1,W456&lt;$D$1,OR(X456&lt;=$D$1*-1,Y456&gt;=$D$1),X456&gt;$D$2*-1,Y456&lt;$D$2,V456/U456&lt;3),"Serious", AND(W456&gt;$D$1*-1,W456&lt;$D$1,OR(X456&lt;=$D$2*-1,Y456&gt;=$D$2),V456/U456&lt;3),"Very serious", AND(W456&gt;$D$1*-1,W456&lt;$D$1,X456&gt;$D$1*-1,Y456&lt;$D$1,V456/U456&gt;=3),"Very serious", AND(W456&gt;$D$1*-1,W456&lt;$D$1,OR(X456&lt;=$D$1*-1,Y456&gt;=$D$1),X456&gt;$D$2*-1,Y456&lt;$D$2,V456/U456&gt;=3),"Very serious", AND(W456&gt;$D$1*-1,W456&lt;$D$1,OR(X456&lt;=$D$2*-1,Y456&gt;=$D$2),V456/U456&gt;=3),"Very serious"),"")),"")</f>
        <v/>
      </c>
      <c r="AT456" s="109" t="str">
        <f t="shared" si="9"/>
        <v/>
      </c>
      <c r="AU456" s="64"/>
      <c r="AV456" s="83"/>
      <c r="AW456" s="83"/>
      <c r="AX456" s="83"/>
      <c r="AY456" s="83"/>
      <c r="AZ456" s="83"/>
      <c r="BA456" s="85"/>
      <c r="BB456" s="86" t="str">
        <f>IF(Preferences!B$9="Manual","",IFS(ISBLANK(B456),"",AND(ISNUMBER(E456)=TRUE,ISNUMBER(T456)=FALSE),"Direct", AND(ISNUMBER(E456)=FALSE,ISNUMBER(T456)=TRUE),"Indirect", CN456=4,"Direct",AND(CL456=FALSE, CM456=TRUE,CN456-CO456&gt;-1),"Direct", AND(CL456=FALSE,CM456=TRUE, CN456-CO456&lt;0),"Check algorithm in appendix 2", AND(CL456=TRUE, CM456=FALSE,CN456-CO456&gt;0),"Check algorithm in appendix 2", AND(CL456=TRUE, CM456=FALSE,CN456-CO456=0),"Indirect", AND(CL456=TRUE, CM456=FALSE,CN456-CO456&lt;0),"Indirect", AND(CL456=FALSE,CM456=FALSE,CN456-CO456&gt;-1),"Direct", AND(CL456=FALSE,CM456=FALSE,CN456-CO456&lt;0),"Check algorithm in appendix 2", AND(CL456=TRUE,CM456=TRUE,CN456-CO456&gt;-1),"Direct", AND(CL456=TRUE,CM456=TRUE,CN456-CO456&lt;0),"Check algorithm in appendix 2"))</f>
        <v/>
      </c>
      <c r="BC456" s="120" t="str">
        <f t="shared" si="10"/>
        <v/>
      </c>
      <c r="BD456" s="140"/>
      <c r="BE456" s="122" t="str">
        <f>IF(Preferences!B$3="Manual","", IFERROR(IFS(AND(Preferences!B$3="Automatic",AX456/AW456&gt;=30),"Extremely serious",AND(AY456&lt;=$D$1*-1,BA456&lt;0,AX456/AW456&lt;3),"Not Serious",AND(AY456&lt;=$D$1*-1,BA456&lt;0,AX456/AW456&gt;=3),"Very serious",AND(AY456&gt;=$D$1,AZ456&gt;0,AX456/AW456&lt;3),"Not Serious",AND(AY456&gt;=$D$1,AZ456&gt;0,AX456/AW456&gt;=3),"Very serious",AND(AY456&lt;=$D$1*-1,BA456&gt;0,AZ456&gt;$D$2*-1,AX456/AW456&lt;3),"Serious", AND(AY456&lt;=$D$1*-1,BA456&gt;0,AZ456&lt;$D$2*-1,AX456/AW456&lt;3),"Very serious", AND(AY456&gt;=$D$1,AZ456&lt;0,BA456&lt;$D$2,AX456/AW456&lt;3),"Serious",AND(AY456&gt;=$D$1,AZ456&lt;0,BA456&gt;$D$2,AX456/AW456&lt;3),"Very serious", AND(AY456&lt;=$D$1*-1,BA456&gt;0,AZ456&gt;$D$2*-1,AX456/AW456&gt;=3),"Very serious", AND(AY456&lt;=$D$1*-1,BA456&gt;0,AZ456&lt;$D$2*-1,AX456/AW456&gt;=3),"Very serious", AND(AY456&gt;=$D$1,AZ456&lt;0,BA456&lt;$D$2,AX456/AW456&gt;=3),"Very serious", AND(AY456&gt;=$D$1,AZ456&lt;0,BA456&gt;$D$2,AX456/AW456&gt;=3),"Very serious", AND(AY456&gt;$D$1*-1,AY456&lt;$D$1,AZ456&gt;$D$1*-1,BA456&lt;$D$1,AX456/AW456&lt;3),"Not Serious", AND(AY456&gt;$D$1*-1,AY456&lt;$D$1,OR(AZ456&lt;=$D$1*-1,BA456&gt;=$D$1),AZ456&gt;$D$2*-1,BA456&lt;$D$2,AX456/AW456&lt;3),"Serious", AND(AY456&gt;$D$1*-1,AY456&lt;$D$1,OR(AZ456&lt;=$D$2*-1,BA456&gt;=$D$2),AX456/AW456&lt;3),"Very serious", AND(AY456&gt;$D$1*-1,AY456&lt;$D$1,AZ456&gt;$D$1*-1,BA456&lt;$D$1,AX456/AW456&gt;=3),"Very serious", AND(AY456&gt;$D$1*-1,AY456&lt;$D$1,OR(AZ456&lt;=$D$1*-1,BA456&gt;=$D$1),AZ456&gt;$D$2*-1,BA456&lt;$D$2,AX456/AW456&gt;=3),"Very serious", AND(AY456&gt;$D$1*-1,AY456&lt;$D$1,OR(AZ456&lt;=$D$2*-1,BA456&gt;=$D$2),AX456/AW456&gt;=3),"Very serious"),""))</f>
        <v/>
      </c>
      <c r="BF456" s="107" t="str">
        <f t="shared" si="11"/>
        <v/>
      </c>
      <c r="BG456" s="94" t="str">
        <f t="shared" si="46"/>
        <v/>
      </c>
      <c r="BH456" s="64" t="str">
        <f t="shared" si="12"/>
        <v>#N/A</v>
      </c>
      <c r="BI456" s="64" t="str">
        <f t="shared" si="13"/>
        <v/>
      </c>
      <c r="BJ456" s="123" t="str">
        <f t="shared" si="14"/>
        <v>#N/A</v>
      </c>
      <c r="BK456" s="64" t="str">
        <f t="shared" si="50"/>
        <v>YES</v>
      </c>
      <c r="BL456" s="64" t="str">
        <f t="shared" si="16"/>
        <v>YES</v>
      </c>
      <c r="BM456" s="64" t="str">
        <f t="shared" si="17"/>
        <v>YES</v>
      </c>
      <c r="BN456" s="124" t="str">
        <f t="shared" si="18"/>
        <v/>
      </c>
      <c r="BO456" s="91" t="str">
        <f t="shared" si="19"/>
        <v/>
      </c>
      <c r="BP456" s="91" t="str">
        <f t="shared" si="20"/>
        <v>#N/A</v>
      </c>
      <c r="BQ456" s="91" t="str">
        <f t="shared" si="21"/>
        <v/>
      </c>
      <c r="BR456" s="93" t="str">
        <f t="shared" si="22"/>
        <v/>
      </c>
      <c r="BS456" s="90" t="str">
        <f t="shared" si="23"/>
        <v/>
      </c>
      <c r="BT456" s="93" t="str">
        <f t="shared" si="24"/>
        <v>NA</v>
      </c>
      <c r="BU456" s="125" t="str">
        <f t="shared" si="25"/>
        <v>#N/A</v>
      </c>
      <c r="BV456" s="93" t="str">
        <f t="shared" si="26"/>
        <v/>
      </c>
      <c r="BW456" s="93" t="str">
        <f t="shared" si="27"/>
        <v/>
      </c>
      <c r="BX456" s="93" t="str">
        <f t="shared" si="28"/>
        <v>NA</v>
      </c>
      <c r="BY456" s="95" t="str">
        <f t="shared" si="29"/>
        <v>#N/A</v>
      </c>
      <c r="BZ456" s="93" t="str">
        <f t="shared" si="30"/>
        <v/>
      </c>
      <c r="CA456" s="93" t="str">
        <f t="shared" si="31"/>
        <v/>
      </c>
      <c r="CB456" s="93" t="str">
        <f t="shared" si="32"/>
        <v>NA</v>
      </c>
      <c r="CC456" s="96" t="str">
        <f t="shared" si="33"/>
        <v>#N/A</v>
      </c>
      <c r="CD456" s="93" t="str">
        <f t="shared" si="34"/>
        <v/>
      </c>
      <c r="CE456" s="93" t="str">
        <f t="shared" si="35"/>
        <v/>
      </c>
      <c r="CF456" s="93" t="str">
        <f t="shared" si="36"/>
        <v>NA</v>
      </c>
      <c r="CG456" s="97" t="str">
        <f t="shared" si="37"/>
        <v>#N/A</v>
      </c>
      <c r="CH456" s="98" t="str">
        <f t="shared" si="38"/>
        <v>#N/A</v>
      </c>
      <c r="CI456" s="99" t="str">
        <f t="shared" si="39"/>
        <v>#N/A</v>
      </c>
      <c r="CJ456" s="126" t="str">
        <f t="shared" si="40"/>
        <v>ERROR: check cell</v>
      </c>
      <c r="CK456" s="126"/>
      <c r="CL456" s="127" t="str">
        <f t="shared" si="41"/>
        <v>#DIV/0!</v>
      </c>
      <c r="CM456" s="128" t="str">
        <f t="shared" si="42"/>
        <v>#DIV/0!</v>
      </c>
      <c r="CN456" s="128">
        <f t="shared" si="43"/>
        <v>4</v>
      </c>
      <c r="CO456" s="129">
        <f t="shared" si="44"/>
        <v>4</v>
      </c>
      <c r="CP456" s="129" t="str">
        <f>IFS(C456=Preferences!B$13,B456,B456=Preferences!B$13,C456)</f>
        <v>#N/A</v>
      </c>
    </row>
    <row r="457" ht="13.5" customHeight="1">
      <c r="A457" s="63" t="str">
        <f t="shared" si="45"/>
        <v/>
      </c>
      <c r="B457" s="64"/>
      <c r="C457" s="64"/>
      <c r="D457" s="64"/>
      <c r="E457" s="65"/>
      <c r="F457" s="65"/>
      <c r="G457" s="65"/>
      <c r="H457" s="66"/>
      <c r="I457" s="66"/>
      <c r="J457" s="67"/>
      <c r="K457" s="68"/>
      <c r="L457" s="104"/>
      <c r="M457" s="104"/>
      <c r="N457" s="104"/>
      <c r="O457" s="104"/>
      <c r="P457" s="107" t="str">
        <f t="shared" si="1"/>
        <v/>
      </c>
      <c r="Q457" s="108" t="str">
        <f>IFERROR(IF(AND(Preferences!B$3="Manual",OR(AX457/AW457&gt;G457/F457,BD457="Serious",BD457="Very serious")),"Assess imprecision",IFS(ISBLANK(E457),"",AND(Preferences!B$3="Automatic", G457/F457&gt;=30),"Extremely serious",AND(H457&lt;=$D$1*-1,J457&lt;0,G457/F457&lt;3),"Not serious",AND(H457&lt;=$D$1*-1,J457&lt;0,G457/F457&gt;=3),"Very serious",AND(H457&gt;=$D$1,I457&gt;0,G457/F457&lt;3),"Not serious",AND(H457&gt;=$D$1,I457&gt;0,G457/F457&gt;=3),"Very serious",AND(H457&lt;=$D$1*-1,J457&gt;0,I457&gt;$D$2*-1,G457/F457&lt;3),"Serious", AND(H457&lt;=$D$1*-1,J457&gt;0,I457&lt;$D$2*-1,G457/F457&lt;3),"Very serious", AND(H457&gt;=$D$1,I457&lt;0,J457&lt;$D$2,G457/F457&lt;3),"Serious",AND(H457&gt;=$D$1,I457&lt;0,J457&gt;$D$2,G457/F457&lt;3),"Very serious", AND(H457&lt;=$D$1*-1,J457&gt;0,I457&gt;$D$2*-1,G457/F457&gt;=3),"Very serious", AND(H457&lt;=$D$1*-1,J457&gt;0,I457&lt;$D$2*-1,G457/F457&gt;=3),"Very serious", AND(H457&gt;=$D$1,I457&lt;0,J457&lt;$D$2,G457/F457&gt;=3),"Very serious", AND(H457&gt;=$D$1,I457&lt;0,J457&gt;$D$2,G457/F457&gt;=3),"Very serious", AND(H457&gt;$D$1*-1,H457&lt;$D$1,I457&gt;$D$1*-1,J457&lt;$D$1,G457/F457&lt;3),"Not serious", AND(H457&gt;$D$1*-1,H457&lt;$D$1,OR(I457&lt;=$D$1*-1,J457&gt;=$D$1),I457&gt;$D$2*-1,J457&lt;$D$2,G457/F457&lt;3),"Serious", AND(H457&gt;$D$1*-1,H457&lt;$D$1,OR(I457&lt;=$D$2*-1,J457&gt;=$D$2),G457/F457&lt;3),"Very serious", AND(H457&gt;$D$1*-1,H457&lt;$D$1,I457&gt;$D$1*-1,J457&lt;$D$1,G457/F457&gt;=3),"Very serious", AND(H457&gt;$D$1*-1,H457&lt;$D$1,OR(I457&lt;=$D$1*-1,J457&gt;=$D$1),I457&gt;$D$2*-1,J457&lt;$D$2,G457/F457&gt;=3),"Very serious", AND(H457&gt;$D$1*-1,H457&lt;$D$1,OR(I457&lt;=$D$2*-1,J457&gt;=$D$2),G457/F457&gt;=3),"Very serious")),"")</f>
        <v/>
      </c>
      <c r="R457" s="109" t="str">
        <f t="shared" si="47"/>
        <v/>
      </c>
      <c r="S457" s="64"/>
      <c r="T457" s="72"/>
      <c r="U457" s="72"/>
      <c r="V457" s="72"/>
      <c r="W457" s="73"/>
      <c r="X457" s="73"/>
      <c r="Y457" s="74"/>
      <c r="Z457" s="113" t="str">
        <f t="array" ref="Z457">INDEX($A$1:$C$500, MATCH(1,($B:$B=$B457)*($C:$C=$AB457),0),1)</f>
        <v/>
      </c>
      <c r="AA457" s="113" t="str">
        <f t="array" ref="AA457">INDEX($A$1:$C$500, MATCH(1,($B:$B=$AB457)*($C:$C=$B457),0),1)</f>
        <v/>
      </c>
      <c r="AB457" s="111"/>
      <c r="AC457" s="114" t="str">
        <f t="shared" si="2"/>
        <v/>
      </c>
      <c r="AD457" s="115" t="str">
        <f t="shared" si="3"/>
        <v/>
      </c>
      <c r="AE457" s="116" t="str">
        <f t="array" ref="AE457">INDEX($A$1:$C$500, MATCH(1,($B:$B=$AB457)*($C:$C=$AG457),0),1)</f>
        <v/>
      </c>
      <c r="AF457" s="116" t="str">
        <f t="array" ref="AF457">INDEX($A$1:$C$500, MATCH(1,($B:$B=$AG457)*($C:$C=$AB457),0),1)</f>
        <v/>
      </c>
      <c r="AG457" s="72"/>
      <c r="AH457" s="114" t="str">
        <f t="shared" si="4"/>
        <v/>
      </c>
      <c r="AI457" s="115" t="str">
        <f t="shared" si="5"/>
        <v/>
      </c>
      <c r="AJ457" s="116" t="str">
        <f t="array" ref="AJ457">INDEX($A$1:$C$500, MATCH(1,($B:$B=$C457)*($C:$C=$AG457),0),1)</f>
        <v/>
      </c>
      <c r="AK457" s="116" t="str">
        <f t="array" ref="AK457">INDEX($A$1:$C$500, MATCH(1,($B:$B=$AG457)*($C:$C=$C457),0),1)</f>
        <v/>
      </c>
      <c r="AL457" s="116" t="str">
        <f t="array" ref="AL457">INDEX($A$1:$C$500, MATCH(1,($B:$B=$C457)*($C:$C=$AB457),0),1)</f>
        <v/>
      </c>
      <c r="AM457" s="116" t="str">
        <f t="array" ref="AM457">INDEX($A$1:$C$500, MATCH(1,($B:$B=$AB457)*($C:$C=$C457),0),1)</f>
        <v/>
      </c>
      <c r="AN457" s="114" t="str">
        <f t="array" ref="AN457">IFS(ISNUMBER(AJ457),AJ457,ISNUMBER(AK457),AK457,ISNUMBER(AL457),AL457,ISNUMBER(AM457),AM457)</f>
        <v>#N/A</v>
      </c>
      <c r="AO457" s="115" t="str">
        <f t="shared" si="6"/>
        <v/>
      </c>
      <c r="AP457" s="115" t="str">
        <f t="shared" si="7"/>
        <v/>
      </c>
      <c r="AQ457" s="111"/>
      <c r="AR457" s="109" t="str">
        <f t="shared" si="8"/>
        <v/>
      </c>
      <c r="AS457" s="72" t="str">
        <f>IFERROR(IF(AND(Preferences!B$3="Manual",OR(AX457/AW457&gt;V457/U457,BD457="Serious",BD457="Very serious")),"Assess imprecision",IFERROR(IFS(AND(Preferences!B$3="Automatic",V457/U457&gt;=30),"Extremely serious",AND(W457&lt;=$D$1*-1,Y457&lt;0,V457/U457&lt;3),"Not Serious",AND(W457&lt;=$D$1*-1,Y457&lt;0,V457/U457&gt;=3),"Very serious",AND(W457&gt;=$D$1,X457&gt;0,V457/U457&lt;3),"Not Serious",AND(W457&gt;=$D$1,X457&gt;0,V457/U457&gt;=3),"Very serious",AND(W457&lt;=$D$1*-1,Y457&gt;0,X457&gt;$D$2*-1,V457/U457&lt;3),"Serious", AND(W457&lt;=$D$1*-1,Y457&gt;0,X457&lt;$D$2*-1,V457/U457&lt;3),"Very serious", AND(W457&gt;=$D$1,X457&lt;0,Y457&lt;$D$2,V457/U457&lt;3),"Serious",AND(W457&gt;=$D$1,X457&lt;0,Y457&gt;$D$2,V457/U457&lt;3),"Very serious", AND(W457&lt;=$D$1*-1,Y457&gt;0,X457&gt;$D$2*-1,V457/U457&gt;=3),"Very serious", AND(W457&lt;=$D$1*-1,Y457&gt;0,X457&lt;$D$2*-1,V457/U457&gt;=3),"Very serious", AND(W457&gt;=$D$1,X457&lt;0,Y457&lt;$D$2,V457/U457&gt;=3),"Very serious", AND(W457&gt;=$D$1,X457&lt;0,Y457&gt;$D$2,V457/U457&gt;=3),"Very serious", AND(W457&gt;$D$1*-1,W457&lt;$D$1,X457&gt;$D$1*-1,Y457&lt;$D$1,V457/U457&lt;3),"Not Serious", AND(W457&gt;$D$1*-1,W457&lt;$D$1,OR(X457&lt;=$D$1*-1,Y457&gt;=$D$1),X457&gt;$D$2*-1,Y457&lt;$D$2,V457/U457&lt;3),"Serious", AND(W457&gt;$D$1*-1,W457&lt;$D$1,OR(X457&lt;=$D$2*-1,Y457&gt;=$D$2),V457/U457&lt;3),"Very serious", AND(W457&gt;$D$1*-1,W457&lt;$D$1,X457&gt;$D$1*-1,Y457&lt;$D$1,V457/U457&gt;=3),"Very serious", AND(W457&gt;$D$1*-1,W457&lt;$D$1,OR(X457&lt;=$D$1*-1,Y457&gt;=$D$1),X457&gt;$D$2*-1,Y457&lt;$D$2,V457/U457&gt;=3),"Very serious", AND(W457&gt;$D$1*-1,W457&lt;$D$1,OR(X457&lt;=$D$2*-1,Y457&gt;=$D$2),V457/U457&gt;=3),"Very serious"),"")),"")</f>
        <v/>
      </c>
      <c r="AT457" s="109" t="str">
        <f t="shared" si="9"/>
        <v/>
      </c>
      <c r="AU457" s="64"/>
      <c r="AV457" s="83"/>
      <c r="AW457" s="83"/>
      <c r="AX457" s="83"/>
      <c r="AY457" s="83"/>
      <c r="AZ457" s="83"/>
      <c r="BA457" s="85"/>
      <c r="BB457" s="86" t="str">
        <f>IF(Preferences!B$9="Manual","",IFS(ISBLANK(B457),"",AND(ISNUMBER(E457)=TRUE,ISNUMBER(T457)=FALSE),"Direct", AND(ISNUMBER(E457)=FALSE,ISNUMBER(T457)=TRUE),"Indirect", CN457=4,"Direct",AND(CL457=FALSE, CM457=TRUE,CN457-CO457&gt;-1),"Direct", AND(CL457=FALSE,CM457=TRUE, CN457-CO457&lt;0),"Check algorithm in appendix 2", AND(CL457=TRUE, CM457=FALSE,CN457-CO457&gt;0),"Check algorithm in appendix 2", AND(CL457=TRUE, CM457=FALSE,CN457-CO457=0),"Indirect", AND(CL457=TRUE, CM457=FALSE,CN457-CO457&lt;0),"Indirect", AND(CL457=FALSE,CM457=FALSE,CN457-CO457&gt;-1),"Direct", AND(CL457=FALSE,CM457=FALSE,CN457-CO457&lt;0),"Check algorithm in appendix 2", AND(CL457=TRUE,CM457=TRUE,CN457-CO457&gt;-1),"Direct", AND(CL457=TRUE,CM457=TRUE,CN457-CO457&lt;0),"Check algorithm in appendix 2"))</f>
        <v/>
      </c>
      <c r="BC457" s="120" t="str">
        <f t="shared" si="10"/>
        <v/>
      </c>
      <c r="BD457" s="140"/>
      <c r="BE457" s="122" t="str">
        <f>IF(Preferences!B$3="Manual","", IFERROR(IFS(AND(Preferences!B$3="Automatic",AX457/AW457&gt;=30),"Extremely serious",AND(AY457&lt;=$D$1*-1,BA457&lt;0,AX457/AW457&lt;3),"Not Serious",AND(AY457&lt;=$D$1*-1,BA457&lt;0,AX457/AW457&gt;=3),"Very serious",AND(AY457&gt;=$D$1,AZ457&gt;0,AX457/AW457&lt;3),"Not Serious",AND(AY457&gt;=$D$1,AZ457&gt;0,AX457/AW457&gt;=3),"Very serious",AND(AY457&lt;=$D$1*-1,BA457&gt;0,AZ457&gt;$D$2*-1,AX457/AW457&lt;3),"Serious", AND(AY457&lt;=$D$1*-1,BA457&gt;0,AZ457&lt;$D$2*-1,AX457/AW457&lt;3),"Very serious", AND(AY457&gt;=$D$1,AZ457&lt;0,BA457&lt;$D$2,AX457/AW457&lt;3),"Serious",AND(AY457&gt;=$D$1,AZ457&lt;0,BA457&gt;$D$2,AX457/AW457&lt;3),"Very serious", AND(AY457&lt;=$D$1*-1,BA457&gt;0,AZ457&gt;$D$2*-1,AX457/AW457&gt;=3),"Very serious", AND(AY457&lt;=$D$1*-1,BA457&gt;0,AZ457&lt;$D$2*-1,AX457/AW457&gt;=3),"Very serious", AND(AY457&gt;=$D$1,AZ457&lt;0,BA457&lt;$D$2,AX457/AW457&gt;=3),"Very serious", AND(AY457&gt;=$D$1,AZ457&lt;0,BA457&gt;$D$2,AX457/AW457&gt;=3),"Very serious", AND(AY457&gt;$D$1*-1,AY457&lt;$D$1,AZ457&gt;$D$1*-1,BA457&lt;$D$1,AX457/AW457&lt;3),"Not Serious", AND(AY457&gt;$D$1*-1,AY457&lt;$D$1,OR(AZ457&lt;=$D$1*-1,BA457&gt;=$D$1),AZ457&gt;$D$2*-1,BA457&lt;$D$2,AX457/AW457&lt;3),"Serious", AND(AY457&gt;$D$1*-1,AY457&lt;$D$1,OR(AZ457&lt;=$D$2*-1,BA457&gt;=$D$2),AX457/AW457&lt;3),"Very serious", AND(AY457&gt;$D$1*-1,AY457&lt;$D$1,AZ457&gt;$D$1*-1,BA457&lt;$D$1,AX457/AW457&gt;=3),"Very serious", AND(AY457&gt;$D$1*-1,AY457&lt;$D$1,OR(AZ457&lt;=$D$1*-1,BA457&gt;=$D$1),AZ457&gt;$D$2*-1,BA457&lt;$D$2,AX457/AW457&gt;=3),"Very serious", AND(AY457&gt;$D$1*-1,AY457&lt;$D$1,OR(AZ457&lt;=$D$2*-1,BA457&gt;=$D$2),AX457/AW457&gt;=3),"Very serious"),""))</f>
        <v/>
      </c>
      <c r="BF457" s="107" t="str">
        <f t="shared" si="11"/>
        <v/>
      </c>
      <c r="BG457" s="94" t="str">
        <f t="shared" si="46"/>
        <v/>
      </c>
      <c r="BH457" s="64" t="str">
        <f t="shared" si="12"/>
        <v>#N/A</v>
      </c>
      <c r="BI457" s="64" t="str">
        <f t="shared" si="13"/>
        <v/>
      </c>
      <c r="BJ457" s="123" t="str">
        <f t="shared" si="14"/>
        <v>#N/A</v>
      </c>
      <c r="BK457" s="64" t="str">
        <f t="shared" si="50"/>
        <v>YES</v>
      </c>
      <c r="BL457" s="64" t="str">
        <f t="shared" si="16"/>
        <v>YES</v>
      </c>
      <c r="BM457" s="64" t="str">
        <f t="shared" si="17"/>
        <v>YES</v>
      </c>
      <c r="BN457" s="124" t="str">
        <f t="shared" si="18"/>
        <v/>
      </c>
      <c r="BO457" s="91" t="str">
        <f t="shared" si="19"/>
        <v/>
      </c>
      <c r="BP457" s="91" t="str">
        <f t="shared" si="20"/>
        <v>#N/A</v>
      </c>
      <c r="BQ457" s="91" t="str">
        <f t="shared" si="21"/>
        <v/>
      </c>
      <c r="BR457" s="93" t="str">
        <f t="shared" si="22"/>
        <v/>
      </c>
      <c r="BS457" s="90" t="str">
        <f t="shared" si="23"/>
        <v/>
      </c>
      <c r="BT457" s="93" t="str">
        <f t="shared" si="24"/>
        <v>NA</v>
      </c>
      <c r="BU457" s="125" t="str">
        <f t="shared" si="25"/>
        <v>#N/A</v>
      </c>
      <c r="BV457" s="93" t="str">
        <f t="shared" si="26"/>
        <v/>
      </c>
      <c r="BW457" s="93" t="str">
        <f t="shared" si="27"/>
        <v/>
      </c>
      <c r="BX457" s="93" t="str">
        <f t="shared" si="28"/>
        <v>NA</v>
      </c>
      <c r="BY457" s="95" t="str">
        <f t="shared" si="29"/>
        <v>#N/A</v>
      </c>
      <c r="BZ457" s="93" t="str">
        <f t="shared" si="30"/>
        <v/>
      </c>
      <c r="CA457" s="93" t="str">
        <f t="shared" si="31"/>
        <v/>
      </c>
      <c r="CB457" s="93" t="str">
        <f t="shared" si="32"/>
        <v>NA</v>
      </c>
      <c r="CC457" s="96" t="str">
        <f t="shared" si="33"/>
        <v>#N/A</v>
      </c>
      <c r="CD457" s="93" t="str">
        <f t="shared" si="34"/>
        <v/>
      </c>
      <c r="CE457" s="93" t="str">
        <f t="shared" si="35"/>
        <v/>
      </c>
      <c r="CF457" s="93" t="str">
        <f t="shared" si="36"/>
        <v>NA</v>
      </c>
      <c r="CG457" s="97" t="str">
        <f t="shared" si="37"/>
        <v>#N/A</v>
      </c>
      <c r="CH457" s="98" t="str">
        <f t="shared" si="38"/>
        <v>#N/A</v>
      </c>
      <c r="CI457" s="99" t="str">
        <f t="shared" si="39"/>
        <v>#N/A</v>
      </c>
      <c r="CJ457" s="126" t="str">
        <f t="shared" si="40"/>
        <v>ERROR: check cell</v>
      </c>
      <c r="CK457" s="126"/>
      <c r="CL457" s="127" t="str">
        <f t="shared" si="41"/>
        <v>#DIV/0!</v>
      </c>
      <c r="CM457" s="128" t="str">
        <f t="shared" si="42"/>
        <v>#DIV/0!</v>
      </c>
      <c r="CN457" s="128">
        <f t="shared" si="43"/>
        <v>4</v>
      </c>
      <c r="CO457" s="129">
        <f t="shared" si="44"/>
        <v>4</v>
      </c>
      <c r="CP457" s="129" t="str">
        <f>IFS(C457=Preferences!B$13,B457,B457=Preferences!B$13,C457)</f>
        <v>#N/A</v>
      </c>
    </row>
    <row r="458" ht="13.5" customHeight="1">
      <c r="A458" s="63" t="str">
        <f t="shared" si="45"/>
        <v/>
      </c>
      <c r="B458" s="64"/>
      <c r="C458" s="64"/>
      <c r="D458" s="64"/>
      <c r="E458" s="65"/>
      <c r="F458" s="65"/>
      <c r="G458" s="65"/>
      <c r="H458" s="66"/>
      <c r="I458" s="66"/>
      <c r="J458" s="67"/>
      <c r="K458" s="68"/>
      <c r="L458" s="104"/>
      <c r="M458" s="104"/>
      <c r="N458" s="104"/>
      <c r="O458" s="104"/>
      <c r="P458" s="107" t="str">
        <f t="shared" si="1"/>
        <v/>
      </c>
      <c r="Q458" s="108" t="str">
        <f>IFERROR(IF(AND(Preferences!B$3="Manual",OR(AX458/AW458&gt;G458/F458,BD458="Serious",BD458="Very serious")),"Assess imprecision",IFS(ISBLANK(E458),"",AND(Preferences!B$3="Automatic", G458/F458&gt;=30),"Extremely serious",AND(H458&lt;=$D$1*-1,J458&lt;0,G458/F458&lt;3),"Not serious",AND(H458&lt;=$D$1*-1,J458&lt;0,G458/F458&gt;=3),"Very serious",AND(H458&gt;=$D$1,I458&gt;0,G458/F458&lt;3),"Not serious",AND(H458&gt;=$D$1,I458&gt;0,G458/F458&gt;=3),"Very serious",AND(H458&lt;=$D$1*-1,J458&gt;0,I458&gt;$D$2*-1,G458/F458&lt;3),"Serious", AND(H458&lt;=$D$1*-1,J458&gt;0,I458&lt;$D$2*-1,G458/F458&lt;3),"Very serious", AND(H458&gt;=$D$1,I458&lt;0,J458&lt;$D$2,G458/F458&lt;3),"Serious",AND(H458&gt;=$D$1,I458&lt;0,J458&gt;$D$2,G458/F458&lt;3),"Very serious", AND(H458&lt;=$D$1*-1,J458&gt;0,I458&gt;$D$2*-1,G458/F458&gt;=3),"Very serious", AND(H458&lt;=$D$1*-1,J458&gt;0,I458&lt;$D$2*-1,G458/F458&gt;=3),"Very serious", AND(H458&gt;=$D$1,I458&lt;0,J458&lt;$D$2,G458/F458&gt;=3),"Very serious", AND(H458&gt;=$D$1,I458&lt;0,J458&gt;$D$2,G458/F458&gt;=3),"Very serious", AND(H458&gt;$D$1*-1,H458&lt;$D$1,I458&gt;$D$1*-1,J458&lt;$D$1,G458/F458&lt;3),"Not serious", AND(H458&gt;$D$1*-1,H458&lt;$D$1,OR(I458&lt;=$D$1*-1,J458&gt;=$D$1),I458&gt;$D$2*-1,J458&lt;$D$2,G458/F458&lt;3),"Serious", AND(H458&gt;$D$1*-1,H458&lt;$D$1,OR(I458&lt;=$D$2*-1,J458&gt;=$D$2),G458/F458&lt;3),"Very serious", AND(H458&gt;$D$1*-1,H458&lt;$D$1,I458&gt;$D$1*-1,J458&lt;$D$1,G458/F458&gt;=3),"Very serious", AND(H458&gt;$D$1*-1,H458&lt;$D$1,OR(I458&lt;=$D$1*-1,J458&gt;=$D$1),I458&gt;$D$2*-1,J458&lt;$D$2,G458/F458&gt;=3),"Very serious", AND(H458&gt;$D$1*-1,H458&lt;$D$1,OR(I458&lt;=$D$2*-1,J458&gt;=$D$2),G458/F458&gt;=3),"Very serious")),"")</f>
        <v/>
      </c>
      <c r="R458" s="109" t="str">
        <f t="shared" si="47"/>
        <v/>
      </c>
      <c r="S458" s="64"/>
      <c r="T458" s="72"/>
      <c r="U458" s="72"/>
      <c r="V458" s="72"/>
      <c r="W458" s="73"/>
      <c r="X458" s="73"/>
      <c r="Y458" s="74"/>
      <c r="Z458" s="113" t="str">
        <f t="array" ref="Z458">INDEX($A$1:$C$500, MATCH(1,($B:$B=$B458)*($C:$C=$AB458),0),1)</f>
        <v/>
      </c>
      <c r="AA458" s="113" t="str">
        <f t="array" ref="AA458">INDEX($A$1:$C$500, MATCH(1,($B:$B=$AB458)*($C:$C=$B458),0),1)</f>
        <v/>
      </c>
      <c r="AB458" s="111"/>
      <c r="AC458" s="114" t="str">
        <f t="shared" si="2"/>
        <v/>
      </c>
      <c r="AD458" s="115" t="str">
        <f t="shared" si="3"/>
        <v/>
      </c>
      <c r="AE458" s="116" t="str">
        <f t="array" ref="AE458">INDEX($A$1:$C$500, MATCH(1,($B:$B=$AB458)*($C:$C=$AG458),0),1)</f>
        <v/>
      </c>
      <c r="AF458" s="116" t="str">
        <f t="array" ref="AF458">INDEX($A$1:$C$500, MATCH(1,($B:$B=$AG458)*($C:$C=$AB458),0),1)</f>
        <v/>
      </c>
      <c r="AG458" s="72"/>
      <c r="AH458" s="114" t="str">
        <f t="shared" si="4"/>
        <v/>
      </c>
      <c r="AI458" s="115" t="str">
        <f t="shared" si="5"/>
        <v/>
      </c>
      <c r="AJ458" s="116" t="str">
        <f t="array" ref="AJ458">INDEX($A$1:$C$500, MATCH(1,($B:$B=$C458)*($C:$C=$AG458),0),1)</f>
        <v/>
      </c>
      <c r="AK458" s="116" t="str">
        <f t="array" ref="AK458">INDEX($A$1:$C$500, MATCH(1,($B:$B=$AG458)*($C:$C=$C458),0),1)</f>
        <v/>
      </c>
      <c r="AL458" s="116" t="str">
        <f t="array" ref="AL458">INDEX($A$1:$C$500, MATCH(1,($B:$B=$C458)*($C:$C=$AB458),0),1)</f>
        <v/>
      </c>
      <c r="AM458" s="116" t="str">
        <f t="array" ref="AM458">INDEX($A$1:$C$500, MATCH(1,($B:$B=$AB458)*($C:$C=$C458),0),1)</f>
        <v/>
      </c>
      <c r="AN458" s="114" t="str">
        <f t="array" ref="AN458">IFS(ISNUMBER(AJ458),AJ458,ISNUMBER(AK458),AK458,ISNUMBER(AL458),AL458,ISNUMBER(AM458),AM458)</f>
        <v>#N/A</v>
      </c>
      <c r="AO458" s="115" t="str">
        <f t="shared" si="6"/>
        <v/>
      </c>
      <c r="AP458" s="115" t="str">
        <f t="shared" si="7"/>
        <v/>
      </c>
      <c r="AQ458" s="111"/>
      <c r="AR458" s="109" t="str">
        <f t="shared" si="8"/>
        <v/>
      </c>
      <c r="AS458" s="72" t="str">
        <f>IFERROR(IF(AND(Preferences!B$3="Manual",OR(AX458/AW458&gt;V458/U458,BD458="Serious",BD458="Very serious")),"Assess imprecision",IFERROR(IFS(AND(Preferences!B$3="Automatic",V458/U458&gt;=30),"Extremely serious",AND(W458&lt;=$D$1*-1,Y458&lt;0,V458/U458&lt;3),"Not Serious",AND(W458&lt;=$D$1*-1,Y458&lt;0,V458/U458&gt;=3),"Very serious",AND(W458&gt;=$D$1,X458&gt;0,V458/U458&lt;3),"Not Serious",AND(W458&gt;=$D$1,X458&gt;0,V458/U458&gt;=3),"Very serious",AND(W458&lt;=$D$1*-1,Y458&gt;0,X458&gt;$D$2*-1,V458/U458&lt;3),"Serious", AND(W458&lt;=$D$1*-1,Y458&gt;0,X458&lt;$D$2*-1,V458/U458&lt;3),"Very serious", AND(W458&gt;=$D$1,X458&lt;0,Y458&lt;$D$2,V458/U458&lt;3),"Serious",AND(W458&gt;=$D$1,X458&lt;0,Y458&gt;$D$2,V458/U458&lt;3),"Very serious", AND(W458&lt;=$D$1*-1,Y458&gt;0,X458&gt;$D$2*-1,V458/U458&gt;=3),"Very serious", AND(W458&lt;=$D$1*-1,Y458&gt;0,X458&lt;$D$2*-1,V458/U458&gt;=3),"Very serious", AND(W458&gt;=$D$1,X458&lt;0,Y458&lt;$D$2,V458/U458&gt;=3),"Very serious", AND(W458&gt;=$D$1,X458&lt;0,Y458&gt;$D$2,V458/U458&gt;=3),"Very serious", AND(W458&gt;$D$1*-1,W458&lt;$D$1,X458&gt;$D$1*-1,Y458&lt;$D$1,V458/U458&lt;3),"Not Serious", AND(W458&gt;$D$1*-1,W458&lt;$D$1,OR(X458&lt;=$D$1*-1,Y458&gt;=$D$1),X458&gt;$D$2*-1,Y458&lt;$D$2,V458/U458&lt;3),"Serious", AND(W458&gt;$D$1*-1,W458&lt;$D$1,OR(X458&lt;=$D$2*-1,Y458&gt;=$D$2),V458/U458&lt;3),"Very serious", AND(W458&gt;$D$1*-1,W458&lt;$D$1,X458&gt;$D$1*-1,Y458&lt;$D$1,V458/U458&gt;=3),"Very serious", AND(W458&gt;$D$1*-1,W458&lt;$D$1,OR(X458&lt;=$D$1*-1,Y458&gt;=$D$1),X458&gt;$D$2*-1,Y458&lt;$D$2,V458/U458&gt;=3),"Very serious", AND(W458&gt;$D$1*-1,W458&lt;$D$1,OR(X458&lt;=$D$2*-1,Y458&gt;=$D$2),V458/U458&gt;=3),"Very serious"),"")),"")</f>
        <v/>
      </c>
      <c r="AT458" s="109" t="str">
        <f t="shared" si="9"/>
        <v/>
      </c>
      <c r="AU458" s="64"/>
      <c r="AV458" s="83"/>
      <c r="AW458" s="83"/>
      <c r="AX458" s="83"/>
      <c r="AY458" s="83"/>
      <c r="AZ458" s="83"/>
      <c r="BA458" s="85"/>
      <c r="BB458" s="86" t="str">
        <f>IF(Preferences!B$9="Manual","",IFS(ISBLANK(B458),"",AND(ISNUMBER(E458)=TRUE,ISNUMBER(T458)=FALSE),"Direct", AND(ISNUMBER(E458)=FALSE,ISNUMBER(T458)=TRUE),"Indirect", CN458=4,"Direct",AND(CL458=FALSE, CM458=TRUE,CN458-CO458&gt;-1),"Direct", AND(CL458=FALSE,CM458=TRUE, CN458-CO458&lt;0),"Check algorithm in appendix 2", AND(CL458=TRUE, CM458=FALSE,CN458-CO458&gt;0),"Check algorithm in appendix 2", AND(CL458=TRUE, CM458=FALSE,CN458-CO458=0),"Indirect", AND(CL458=TRUE, CM458=FALSE,CN458-CO458&lt;0),"Indirect", AND(CL458=FALSE,CM458=FALSE,CN458-CO458&gt;-1),"Direct", AND(CL458=FALSE,CM458=FALSE,CN458-CO458&lt;0),"Check algorithm in appendix 2", AND(CL458=TRUE,CM458=TRUE,CN458-CO458&gt;-1),"Direct", AND(CL458=TRUE,CM458=TRUE,CN458-CO458&lt;0),"Check algorithm in appendix 2"))</f>
        <v/>
      </c>
      <c r="BC458" s="120" t="str">
        <f t="shared" si="10"/>
        <v/>
      </c>
      <c r="BD458" s="140"/>
      <c r="BE458" s="122" t="str">
        <f>IF(Preferences!B$3="Manual","", IFERROR(IFS(AND(Preferences!B$3="Automatic",AX458/AW458&gt;=30),"Extremely serious",AND(AY458&lt;=$D$1*-1,BA458&lt;0,AX458/AW458&lt;3),"Not Serious",AND(AY458&lt;=$D$1*-1,BA458&lt;0,AX458/AW458&gt;=3),"Very serious",AND(AY458&gt;=$D$1,AZ458&gt;0,AX458/AW458&lt;3),"Not Serious",AND(AY458&gt;=$D$1,AZ458&gt;0,AX458/AW458&gt;=3),"Very serious",AND(AY458&lt;=$D$1*-1,BA458&gt;0,AZ458&gt;$D$2*-1,AX458/AW458&lt;3),"Serious", AND(AY458&lt;=$D$1*-1,BA458&gt;0,AZ458&lt;$D$2*-1,AX458/AW458&lt;3),"Very serious", AND(AY458&gt;=$D$1,AZ458&lt;0,BA458&lt;$D$2,AX458/AW458&lt;3),"Serious",AND(AY458&gt;=$D$1,AZ458&lt;0,BA458&gt;$D$2,AX458/AW458&lt;3),"Very serious", AND(AY458&lt;=$D$1*-1,BA458&gt;0,AZ458&gt;$D$2*-1,AX458/AW458&gt;=3),"Very serious", AND(AY458&lt;=$D$1*-1,BA458&gt;0,AZ458&lt;$D$2*-1,AX458/AW458&gt;=3),"Very serious", AND(AY458&gt;=$D$1,AZ458&lt;0,BA458&lt;$D$2,AX458/AW458&gt;=3),"Very serious", AND(AY458&gt;=$D$1,AZ458&lt;0,BA458&gt;$D$2,AX458/AW458&gt;=3),"Very serious", AND(AY458&gt;$D$1*-1,AY458&lt;$D$1,AZ458&gt;$D$1*-1,BA458&lt;$D$1,AX458/AW458&lt;3),"Not Serious", AND(AY458&gt;$D$1*-1,AY458&lt;$D$1,OR(AZ458&lt;=$D$1*-1,BA458&gt;=$D$1),AZ458&gt;$D$2*-1,BA458&lt;$D$2,AX458/AW458&lt;3),"Serious", AND(AY458&gt;$D$1*-1,AY458&lt;$D$1,OR(AZ458&lt;=$D$2*-1,BA458&gt;=$D$2),AX458/AW458&lt;3),"Very serious", AND(AY458&gt;$D$1*-1,AY458&lt;$D$1,AZ458&gt;$D$1*-1,BA458&lt;$D$1,AX458/AW458&gt;=3),"Very serious", AND(AY458&gt;$D$1*-1,AY458&lt;$D$1,OR(AZ458&lt;=$D$1*-1,BA458&gt;=$D$1),AZ458&gt;$D$2*-1,BA458&lt;$D$2,AX458/AW458&gt;=3),"Very serious", AND(AY458&gt;$D$1*-1,AY458&lt;$D$1,OR(AZ458&lt;=$D$2*-1,BA458&gt;=$D$2),AX458/AW458&gt;=3),"Very serious"),""))</f>
        <v/>
      </c>
      <c r="BF458" s="107" t="str">
        <f t="shared" si="11"/>
        <v/>
      </c>
      <c r="BG458" s="94" t="str">
        <f t="shared" si="46"/>
        <v/>
      </c>
      <c r="BH458" s="64" t="str">
        <f t="shared" si="12"/>
        <v>#N/A</v>
      </c>
      <c r="BI458" s="64" t="str">
        <f t="shared" si="13"/>
        <v/>
      </c>
      <c r="BJ458" s="123" t="str">
        <f t="shared" si="14"/>
        <v>#N/A</v>
      </c>
      <c r="BK458" s="64" t="str">
        <f t="shared" si="50"/>
        <v>YES</v>
      </c>
      <c r="BL458" s="64" t="str">
        <f t="shared" si="16"/>
        <v>YES</v>
      </c>
      <c r="BM458" s="64" t="str">
        <f t="shared" si="17"/>
        <v>YES</v>
      </c>
      <c r="BN458" s="124" t="str">
        <f t="shared" si="18"/>
        <v/>
      </c>
      <c r="BO458" s="91" t="str">
        <f t="shared" si="19"/>
        <v/>
      </c>
      <c r="BP458" s="91" t="str">
        <f t="shared" si="20"/>
        <v>#N/A</v>
      </c>
      <c r="BQ458" s="91" t="str">
        <f t="shared" si="21"/>
        <v/>
      </c>
      <c r="BR458" s="93" t="str">
        <f t="shared" si="22"/>
        <v/>
      </c>
      <c r="BS458" s="90" t="str">
        <f t="shared" si="23"/>
        <v/>
      </c>
      <c r="BT458" s="93" t="str">
        <f t="shared" si="24"/>
        <v>NA</v>
      </c>
      <c r="BU458" s="125" t="str">
        <f t="shared" si="25"/>
        <v>#N/A</v>
      </c>
      <c r="BV458" s="93" t="str">
        <f t="shared" si="26"/>
        <v/>
      </c>
      <c r="BW458" s="93" t="str">
        <f t="shared" si="27"/>
        <v/>
      </c>
      <c r="BX458" s="93" t="str">
        <f t="shared" si="28"/>
        <v>NA</v>
      </c>
      <c r="BY458" s="95" t="str">
        <f t="shared" si="29"/>
        <v>#N/A</v>
      </c>
      <c r="BZ458" s="93" t="str">
        <f t="shared" si="30"/>
        <v/>
      </c>
      <c r="CA458" s="93" t="str">
        <f t="shared" si="31"/>
        <v/>
      </c>
      <c r="CB458" s="93" t="str">
        <f t="shared" si="32"/>
        <v>NA</v>
      </c>
      <c r="CC458" s="96" t="str">
        <f t="shared" si="33"/>
        <v>#N/A</v>
      </c>
      <c r="CD458" s="93" t="str">
        <f t="shared" si="34"/>
        <v/>
      </c>
      <c r="CE458" s="93" t="str">
        <f t="shared" si="35"/>
        <v/>
      </c>
      <c r="CF458" s="93" t="str">
        <f t="shared" si="36"/>
        <v>NA</v>
      </c>
      <c r="CG458" s="97" t="str">
        <f t="shared" si="37"/>
        <v>#N/A</v>
      </c>
      <c r="CH458" s="98" t="str">
        <f t="shared" si="38"/>
        <v>#N/A</v>
      </c>
      <c r="CI458" s="99" t="str">
        <f t="shared" si="39"/>
        <v>#N/A</v>
      </c>
      <c r="CJ458" s="126" t="str">
        <f t="shared" si="40"/>
        <v>ERROR: check cell</v>
      </c>
      <c r="CK458" s="126"/>
      <c r="CL458" s="127" t="str">
        <f t="shared" si="41"/>
        <v>#DIV/0!</v>
      </c>
      <c r="CM458" s="128" t="str">
        <f t="shared" si="42"/>
        <v>#DIV/0!</v>
      </c>
      <c r="CN458" s="128">
        <f t="shared" si="43"/>
        <v>4</v>
      </c>
      <c r="CO458" s="129">
        <f t="shared" si="44"/>
        <v>4</v>
      </c>
      <c r="CP458" s="129" t="str">
        <f>IFS(C458=Preferences!B$13,B458,B458=Preferences!B$13,C458)</f>
        <v>#N/A</v>
      </c>
    </row>
    <row r="459" ht="13.5" customHeight="1">
      <c r="A459" s="63" t="str">
        <f t="shared" si="45"/>
        <v/>
      </c>
      <c r="B459" s="64"/>
      <c r="C459" s="64"/>
      <c r="D459" s="64"/>
      <c r="E459" s="65"/>
      <c r="F459" s="65"/>
      <c r="G459" s="65"/>
      <c r="H459" s="66"/>
      <c r="I459" s="66"/>
      <c r="J459" s="67"/>
      <c r="K459" s="68"/>
      <c r="L459" s="104"/>
      <c r="M459" s="104"/>
      <c r="N459" s="104"/>
      <c r="O459" s="104"/>
      <c r="P459" s="107" t="str">
        <f t="shared" si="1"/>
        <v/>
      </c>
      <c r="Q459" s="108" t="str">
        <f>IFERROR(IF(AND(Preferences!B$3="Manual",OR(AX459/AW459&gt;G459/F459,BD459="Serious",BD459="Very serious")),"Assess imprecision",IFS(ISBLANK(E459),"",AND(Preferences!B$3="Automatic", G459/F459&gt;=30),"Extremely serious",AND(H459&lt;=$D$1*-1,J459&lt;0,G459/F459&lt;3),"Not serious",AND(H459&lt;=$D$1*-1,J459&lt;0,G459/F459&gt;=3),"Very serious",AND(H459&gt;=$D$1,I459&gt;0,G459/F459&lt;3),"Not serious",AND(H459&gt;=$D$1,I459&gt;0,G459/F459&gt;=3),"Very serious",AND(H459&lt;=$D$1*-1,J459&gt;0,I459&gt;$D$2*-1,G459/F459&lt;3),"Serious", AND(H459&lt;=$D$1*-1,J459&gt;0,I459&lt;$D$2*-1,G459/F459&lt;3),"Very serious", AND(H459&gt;=$D$1,I459&lt;0,J459&lt;$D$2,G459/F459&lt;3),"Serious",AND(H459&gt;=$D$1,I459&lt;0,J459&gt;$D$2,G459/F459&lt;3),"Very serious", AND(H459&lt;=$D$1*-1,J459&gt;0,I459&gt;$D$2*-1,G459/F459&gt;=3),"Very serious", AND(H459&lt;=$D$1*-1,J459&gt;0,I459&lt;$D$2*-1,G459/F459&gt;=3),"Very serious", AND(H459&gt;=$D$1,I459&lt;0,J459&lt;$D$2,G459/F459&gt;=3),"Very serious", AND(H459&gt;=$D$1,I459&lt;0,J459&gt;$D$2,G459/F459&gt;=3),"Very serious", AND(H459&gt;$D$1*-1,H459&lt;$D$1,I459&gt;$D$1*-1,J459&lt;$D$1,G459/F459&lt;3),"Not serious", AND(H459&gt;$D$1*-1,H459&lt;$D$1,OR(I459&lt;=$D$1*-1,J459&gt;=$D$1),I459&gt;$D$2*-1,J459&lt;$D$2,G459/F459&lt;3),"Serious", AND(H459&gt;$D$1*-1,H459&lt;$D$1,OR(I459&lt;=$D$2*-1,J459&gt;=$D$2),G459/F459&lt;3),"Very serious", AND(H459&gt;$D$1*-1,H459&lt;$D$1,I459&gt;$D$1*-1,J459&lt;$D$1,G459/F459&gt;=3),"Very serious", AND(H459&gt;$D$1*-1,H459&lt;$D$1,OR(I459&lt;=$D$1*-1,J459&gt;=$D$1),I459&gt;$D$2*-1,J459&lt;$D$2,G459/F459&gt;=3),"Very serious", AND(H459&gt;$D$1*-1,H459&lt;$D$1,OR(I459&lt;=$D$2*-1,J459&gt;=$D$2),G459/F459&gt;=3),"Very serious")),"")</f>
        <v/>
      </c>
      <c r="R459" s="109" t="str">
        <f t="shared" si="47"/>
        <v/>
      </c>
      <c r="S459" s="64"/>
      <c r="T459" s="72"/>
      <c r="U459" s="72"/>
      <c r="V459" s="72"/>
      <c r="W459" s="73"/>
      <c r="X459" s="73"/>
      <c r="Y459" s="74"/>
      <c r="Z459" s="113" t="str">
        <f t="array" ref="Z459">INDEX($A$1:$C$500, MATCH(1,($B:$B=$B459)*($C:$C=$AB459),0),1)</f>
        <v/>
      </c>
      <c r="AA459" s="113" t="str">
        <f t="array" ref="AA459">INDEX($A$1:$C$500, MATCH(1,($B:$B=$AB459)*($C:$C=$B459),0),1)</f>
        <v/>
      </c>
      <c r="AB459" s="111"/>
      <c r="AC459" s="114" t="str">
        <f t="shared" si="2"/>
        <v/>
      </c>
      <c r="AD459" s="115" t="str">
        <f t="shared" si="3"/>
        <v/>
      </c>
      <c r="AE459" s="116" t="str">
        <f t="array" ref="AE459">INDEX($A$1:$C$500, MATCH(1,($B:$B=$AB459)*($C:$C=$AG459),0),1)</f>
        <v/>
      </c>
      <c r="AF459" s="116" t="str">
        <f t="array" ref="AF459">INDEX($A$1:$C$500, MATCH(1,($B:$B=$AG459)*($C:$C=$AB459),0),1)</f>
        <v/>
      </c>
      <c r="AG459" s="72"/>
      <c r="AH459" s="114" t="str">
        <f t="shared" si="4"/>
        <v/>
      </c>
      <c r="AI459" s="115" t="str">
        <f t="shared" si="5"/>
        <v/>
      </c>
      <c r="AJ459" s="116" t="str">
        <f t="array" ref="AJ459">INDEX($A$1:$C$500, MATCH(1,($B:$B=$C459)*($C:$C=$AG459),0),1)</f>
        <v/>
      </c>
      <c r="AK459" s="116" t="str">
        <f t="array" ref="AK459">INDEX($A$1:$C$500, MATCH(1,($B:$B=$AG459)*($C:$C=$C459),0),1)</f>
        <v/>
      </c>
      <c r="AL459" s="116" t="str">
        <f t="array" ref="AL459">INDEX($A$1:$C$500, MATCH(1,($B:$B=$C459)*($C:$C=$AB459),0),1)</f>
        <v/>
      </c>
      <c r="AM459" s="116" t="str">
        <f t="array" ref="AM459">INDEX($A$1:$C$500, MATCH(1,($B:$B=$AB459)*($C:$C=$C459),0),1)</f>
        <v/>
      </c>
      <c r="AN459" s="114" t="str">
        <f t="array" ref="AN459">IFS(ISNUMBER(AJ459),AJ459,ISNUMBER(AK459),AK459,ISNUMBER(AL459),AL459,ISNUMBER(AM459),AM459)</f>
        <v>#N/A</v>
      </c>
      <c r="AO459" s="115" t="str">
        <f t="shared" si="6"/>
        <v/>
      </c>
      <c r="AP459" s="115" t="str">
        <f t="shared" si="7"/>
        <v/>
      </c>
      <c r="AQ459" s="111"/>
      <c r="AR459" s="109" t="str">
        <f t="shared" si="8"/>
        <v/>
      </c>
      <c r="AS459" s="72" t="str">
        <f>IFERROR(IF(AND(Preferences!B$3="Manual",OR(AX459/AW459&gt;V459/U459,BD459="Serious",BD459="Very serious")),"Assess imprecision",IFERROR(IFS(AND(Preferences!B$3="Automatic",V459/U459&gt;=30),"Extremely serious",AND(W459&lt;=$D$1*-1,Y459&lt;0,V459/U459&lt;3),"Not Serious",AND(W459&lt;=$D$1*-1,Y459&lt;0,V459/U459&gt;=3),"Very serious",AND(W459&gt;=$D$1,X459&gt;0,V459/U459&lt;3),"Not Serious",AND(W459&gt;=$D$1,X459&gt;0,V459/U459&gt;=3),"Very serious",AND(W459&lt;=$D$1*-1,Y459&gt;0,X459&gt;$D$2*-1,V459/U459&lt;3),"Serious", AND(W459&lt;=$D$1*-1,Y459&gt;0,X459&lt;$D$2*-1,V459/U459&lt;3),"Very serious", AND(W459&gt;=$D$1,X459&lt;0,Y459&lt;$D$2,V459/U459&lt;3),"Serious",AND(W459&gt;=$D$1,X459&lt;0,Y459&gt;$D$2,V459/U459&lt;3),"Very serious", AND(W459&lt;=$D$1*-1,Y459&gt;0,X459&gt;$D$2*-1,V459/U459&gt;=3),"Very serious", AND(W459&lt;=$D$1*-1,Y459&gt;0,X459&lt;$D$2*-1,V459/U459&gt;=3),"Very serious", AND(W459&gt;=$D$1,X459&lt;0,Y459&lt;$D$2,V459/U459&gt;=3),"Very serious", AND(W459&gt;=$D$1,X459&lt;0,Y459&gt;$D$2,V459/U459&gt;=3),"Very serious", AND(W459&gt;$D$1*-1,W459&lt;$D$1,X459&gt;$D$1*-1,Y459&lt;$D$1,V459/U459&lt;3),"Not Serious", AND(W459&gt;$D$1*-1,W459&lt;$D$1,OR(X459&lt;=$D$1*-1,Y459&gt;=$D$1),X459&gt;$D$2*-1,Y459&lt;$D$2,V459/U459&lt;3),"Serious", AND(W459&gt;$D$1*-1,W459&lt;$D$1,OR(X459&lt;=$D$2*-1,Y459&gt;=$D$2),V459/U459&lt;3),"Very serious", AND(W459&gt;$D$1*-1,W459&lt;$D$1,X459&gt;$D$1*-1,Y459&lt;$D$1,V459/U459&gt;=3),"Very serious", AND(W459&gt;$D$1*-1,W459&lt;$D$1,OR(X459&lt;=$D$1*-1,Y459&gt;=$D$1),X459&gt;$D$2*-1,Y459&lt;$D$2,V459/U459&gt;=3),"Very serious", AND(W459&gt;$D$1*-1,W459&lt;$D$1,OR(X459&lt;=$D$2*-1,Y459&gt;=$D$2),V459/U459&gt;=3),"Very serious"),"")),"")</f>
        <v/>
      </c>
      <c r="AT459" s="109" t="str">
        <f t="shared" si="9"/>
        <v/>
      </c>
      <c r="AU459" s="64"/>
      <c r="AV459" s="83"/>
      <c r="AW459" s="83"/>
      <c r="AX459" s="83"/>
      <c r="AY459" s="83"/>
      <c r="AZ459" s="83"/>
      <c r="BA459" s="85"/>
      <c r="BB459" s="86" t="str">
        <f>IF(Preferences!B$9="Manual","",IFS(ISBLANK(B459),"",AND(ISNUMBER(E459)=TRUE,ISNUMBER(T459)=FALSE),"Direct", AND(ISNUMBER(E459)=FALSE,ISNUMBER(T459)=TRUE),"Indirect", CN459=4,"Direct",AND(CL459=FALSE, CM459=TRUE,CN459-CO459&gt;-1),"Direct", AND(CL459=FALSE,CM459=TRUE, CN459-CO459&lt;0),"Check algorithm in appendix 2", AND(CL459=TRUE, CM459=FALSE,CN459-CO459&gt;0),"Check algorithm in appendix 2", AND(CL459=TRUE, CM459=FALSE,CN459-CO459=0),"Indirect", AND(CL459=TRUE, CM459=FALSE,CN459-CO459&lt;0),"Indirect", AND(CL459=FALSE,CM459=FALSE,CN459-CO459&gt;-1),"Direct", AND(CL459=FALSE,CM459=FALSE,CN459-CO459&lt;0),"Check algorithm in appendix 2", AND(CL459=TRUE,CM459=TRUE,CN459-CO459&gt;-1),"Direct", AND(CL459=TRUE,CM459=TRUE,CN459-CO459&lt;0),"Check algorithm in appendix 2"))</f>
        <v/>
      </c>
      <c r="BC459" s="120" t="str">
        <f t="shared" si="10"/>
        <v/>
      </c>
      <c r="BD459" s="140"/>
      <c r="BE459" s="122" t="str">
        <f>IF(Preferences!B$3="Manual","", IFERROR(IFS(AND(Preferences!B$3="Automatic",AX459/AW459&gt;=30),"Extremely serious",AND(AY459&lt;=$D$1*-1,BA459&lt;0,AX459/AW459&lt;3),"Not Serious",AND(AY459&lt;=$D$1*-1,BA459&lt;0,AX459/AW459&gt;=3),"Very serious",AND(AY459&gt;=$D$1,AZ459&gt;0,AX459/AW459&lt;3),"Not Serious",AND(AY459&gt;=$D$1,AZ459&gt;0,AX459/AW459&gt;=3),"Very serious",AND(AY459&lt;=$D$1*-1,BA459&gt;0,AZ459&gt;$D$2*-1,AX459/AW459&lt;3),"Serious", AND(AY459&lt;=$D$1*-1,BA459&gt;0,AZ459&lt;$D$2*-1,AX459/AW459&lt;3),"Very serious", AND(AY459&gt;=$D$1,AZ459&lt;0,BA459&lt;$D$2,AX459/AW459&lt;3),"Serious",AND(AY459&gt;=$D$1,AZ459&lt;0,BA459&gt;$D$2,AX459/AW459&lt;3),"Very serious", AND(AY459&lt;=$D$1*-1,BA459&gt;0,AZ459&gt;$D$2*-1,AX459/AW459&gt;=3),"Very serious", AND(AY459&lt;=$D$1*-1,BA459&gt;0,AZ459&lt;$D$2*-1,AX459/AW459&gt;=3),"Very serious", AND(AY459&gt;=$D$1,AZ459&lt;0,BA459&lt;$D$2,AX459/AW459&gt;=3),"Very serious", AND(AY459&gt;=$D$1,AZ459&lt;0,BA459&gt;$D$2,AX459/AW459&gt;=3),"Very serious", AND(AY459&gt;$D$1*-1,AY459&lt;$D$1,AZ459&gt;$D$1*-1,BA459&lt;$D$1,AX459/AW459&lt;3),"Not Serious", AND(AY459&gt;$D$1*-1,AY459&lt;$D$1,OR(AZ459&lt;=$D$1*-1,BA459&gt;=$D$1),AZ459&gt;$D$2*-1,BA459&lt;$D$2,AX459/AW459&lt;3),"Serious", AND(AY459&gt;$D$1*-1,AY459&lt;$D$1,OR(AZ459&lt;=$D$2*-1,BA459&gt;=$D$2),AX459/AW459&lt;3),"Very serious", AND(AY459&gt;$D$1*-1,AY459&lt;$D$1,AZ459&gt;$D$1*-1,BA459&lt;$D$1,AX459/AW459&gt;=3),"Very serious", AND(AY459&gt;$D$1*-1,AY459&lt;$D$1,OR(AZ459&lt;=$D$1*-1,BA459&gt;=$D$1),AZ459&gt;$D$2*-1,BA459&lt;$D$2,AX459/AW459&gt;=3),"Very serious", AND(AY459&gt;$D$1*-1,AY459&lt;$D$1,OR(AZ459&lt;=$D$2*-1,BA459&gt;=$D$2),AX459/AW459&gt;=3),"Very serious"),""))</f>
        <v/>
      </c>
      <c r="BF459" s="107" t="str">
        <f t="shared" si="11"/>
        <v/>
      </c>
      <c r="BG459" s="94" t="str">
        <f t="shared" si="46"/>
        <v/>
      </c>
      <c r="BH459" s="64" t="str">
        <f t="shared" si="12"/>
        <v>#N/A</v>
      </c>
      <c r="BI459" s="64" t="str">
        <f t="shared" si="13"/>
        <v/>
      </c>
      <c r="BJ459" s="123" t="str">
        <f t="shared" si="14"/>
        <v>#N/A</v>
      </c>
      <c r="BK459" s="64" t="str">
        <f t="shared" si="50"/>
        <v>YES</v>
      </c>
      <c r="BL459" s="64" t="str">
        <f t="shared" si="16"/>
        <v>YES</v>
      </c>
      <c r="BM459" s="64" t="str">
        <f t="shared" si="17"/>
        <v>YES</v>
      </c>
      <c r="BN459" s="124" t="str">
        <f t="shared" si="18"/>
        <v/>
      </c>
      <c r="BO459" s="91" t="str">
        <f t="shared" si="19"/>
        <v/>
      </c>
      <c r="BP459" s="91" t="str">
        <f t="shared" si="20"/>
        <v>#N/A</v>
      </c>
      <c r="BQ459" s="91" t="str">
        <f t="shared" si="21"/>
        <v/>
      </c>
      <c r="BR459" s="93" t="str">
        <f t="shared" si="22"/>
        <v/>
      </c>
      <c r="BS459" s="90" t="str">
        <f t="shared" si="23"/>
        <v/>
      </c>
      <c r="BT459" s="93" t="str">
        <f t="shared" si="24"/>
        <v>NA</v>
      </c>
      <c r="BU459" s="125" t="str">
        <f t="shared" si="25"/>
        <v>#N/A</v>
      </c>
      <c r="BV459" s="93" t="str">
        <f t="shared" si="26"/>
        <v/>
      </c>
      <c r="BW459" s="93" t="str">
        <f t="shared" si="27"/>
        <v/>
      </c>
      <c r="BX459" s="93" t="str">
        <f t="shared" si="28"/>
        <v>NA</v>
      </c>
      <c r="BY459" s="95" t="str">
        <f t="shared" si="29"/>
        <v>#N/A</v>
      </c>
      <c r="BZ459" s="93" t="str">
        <f t="shared" si="30"/>
        <v/>
      </c>
      <c r="CA459" s="93" t="str">
        <f t="shared" si="31"/>
        <v/>
      </c>
      <c r="CB459" s="93" t="str">
        <f t="shared" si="32"/>
        <v>NA</v>
      </c>
      <c r="CC459" s="96" t="str">
        <f t="shared" si="33"/>
        <v>#N/A</v>
      </c>
      <c r="CD459" s="93" t="str">
        <f t="shared" si="34"/>
        <v/>
      </c>
      <c r="CE459" s="93" t="str">
        <f t="shared" si="35"/>
        <v/>
      </c>
      <c r="CF459" s="93" t="str">
        <f t="shared" si="36"/>
        <v>NA</v>
      </c>
      <c r="CG459" s="97" t="str">
        <f t="shared" si="37"/>
        <v>#N/A</v>
      </c>
      <c r="CH459" s="98" t="str">
        <f t="shared" si="38"/>
        <v>#N/A</v>
      </c>
      <c r="CI459" s="99" t="str">
        <f t="shared" si="39"/>
        <v>#N/A</v>
      </c>
      <c r="CJ459" s="126" t="str">
        <f t="shared" si="40"/>
        <v>ERROR: check cell</v>
      </c>
      <c r="CK459" s="126"/>
      <c r="CL459" s="127" t="str">
        <f t="shared" si="41"/>
        <v>#DIV/0!</v>
      </c>
      <c r="CM459" s="128" t="str">
        <f t="shared" si="42"/>
        <v>#DIV/0!</v>
      </c>
      <c r="CN459" s="128">
        <f t="shared" si="43"/>
        <v>4</v>
      </c>
      <c r="CO459" s="129">
        <f t="shared" si="44"/>
        <v>4</v>
      </c>
      <c r="CP459" s="129" t="str">
        <f>IFS(C459=Preferences!B$13,B459,B459=Preferences!B$13,C459)</f>
        <v>#N/A</v>
      </c>
    </row>
    <row r="460" ht="13.5" customHeight="1">
      <c r="A460" s="63" t="str">
        <f t="shared" si="45"/>
        <v/>
      </c>
      <c r="B460" s="64"/>
      <c r="C460" s="64"/>
      <c r="D460" s="64"/>
      <c r="E460" s="65"/>
      <c r="F460" s="65"/>
      <c r="G460" s="65"/>
      <c r="H460" s="66"/>
      <c r="I460" s="66"/>
      <c r="J460" s="67"/>
      <c r="K460" s="68"/>
      <c r="L460" s="104"/>
      <c r="M460" s="104"/>
      <c r="N460" s="104"/>
      <c r="O460" s="104"/>
      <c r="P460" s="107" t="str">
        <f t="shared" si="1"/>
        <v/>
      </c>
      <c r="Q460" s="108" t="str">
        <f>IFERROR(IF(AND(Preferences!B$3="Manual",OR(AX460/AW460&gt;G460/F460,BD460="Serious",BD460="Very serious")),"Assess imprecision",IFS(ISBLANK(E460),"",AND(Preferences!B$3="Automatic", G460/F460&gt;=30),"Extremely serious",AND(H460&lt;=$D$1*-1,J460&lt;0,G460/F460&lt;3),"Not serious",AND(H460&lt;=$D$1*-1,J460&lt;0,G460/F460&gt;=3),"Very serious",AND(H460&gt;=$D$1,I460&gt;0,G460/F460&lt;3),"Not serious",AND(H460&gt;=$D$1,I460&gt;0,G460/F460&gt;=3),"Very serious",AND(H460&lt;=$D$1*-1,J460&gt;0,I460&gt;$D$2*-1,G460/F460&lt;3),"Serious", AND(H460&lt;=$D$1*-1,J460&gt;0,I460&lt;$D$2*-1,G460/F460&lt;3),"Very serious", AND(H460&gt;=$D$1,I460&lt;0,J460&lt;$D$2,G460/F460&lt;3),"Serious",AND(H460&gt;=$D$1,I460&lt;0,J460&gt;$D$2,G460/F460&lt;3),"Very serious", AND(H460&lt;=$D$1*-1,J460&gt;0,I460&gt;$D$2*-1,G460/F460&gt;=3),"Very serious", AND(H460&lt;=$D$1*-1,J460&gt;0,I460&lt;$D$2*-1,G460/F460&gt;=3),"Very serious", AND(H460&gt;=$D$1,I460&lt;0,J460&lt;$D$2,G460/F460&gt;=3),"Very serious", AND(H460&gt;=$D$1,I460&lt;0,J460&gt;$D$2,G460/F460&gt;=3),"Very serious", AND(H460&gt;$D$1*-1,H460&lt;$D$1,I460&gt;$D$1*-1,J460&lt;$D$1,G460/F460&lt;3),"Not serious", AND(H460&gt;$D$1*-1,H460&lt;$D$1,OR(I460&lt;=$D$1*-1,J460&gt;=$D$1),I460&gt;$D$2*-1,J460&lt;$D$2,G460/F460&lt;3),"Serious", AND(H460&gt;$D$1*-1,H460&lt;$D$1,OR(I460&lt;=$D$2*-1,J460&gt;=$D$2),G460/F460&lt;3),"Very serious", AND(H460&gt;$D$1*-1,H460&lt;$D$1,I460&gt;$D$1*-1,J460&lt;$D$1,G460/F460&gt;=3),"Very serious", AND(H460&gt;$D$1*-1,H460&lt;$D$1,OR(I460&lt;=$D$1*-1,J460&gt;=$D$1),I460&gt;$D$2*-1,J460&lt;$D$2,G460/F460&gt;=3),"Very serious", AND(H460&gt;$D$1*-1,H460&lt;$D$1,OR(I460&lt;=$D$2*-1,J460&gt;=$D$2),G460/F460&gt;=3),"Very serious")),"")</f>
        <v/>
      </c>
      <c r="R460" s="109" t="str">
        <f t="shared" si="47"/>
        <v/>
      </c>
      <c r="S460" s="64"/>
      <c r="T460" s="72"/>
      <c r="U460" s="72"/>
      <c r="V460" s="72"/>
      <c r="W460" s="73"/>
      <c r="X460" s="73"/>
      <c r="Y460" s="74"/>
      <c r="Z460" s="113" t="str">
        <f t="array" ref="Z460">INDEX($A$1:$C$500, MATCH(1,($B:$B=$B460)*($C:$C=$AB460),0),1)</f>
        <v/>
      </c>
      <c r="AA460" s="113" t="str">
        <f t="array" ref="AA460">INDEX($A$1:$C$500, MATCH(1,($B:$B=$AB460)*($C:$C=$B460),0),1)</f>
        <v/>
      </c>
      <c r="AB460" s="111"/>
      <c r="AC460" s="114" t="str">
        <f t="shared" si="2"/>
        <v/>
      </c>
      <c r="AD460" s="115" t="str">
        <f t="shared" si="3"/>
        <v/>
      </c>
      <c r="AE460" s="116" t="str">
        <f t="array" ref="AE460">INDEX($A$1:$C$500, MATCH(1,($B:$B=$AB460)*($C:$C=$AG460),0),1)</f>
        <v/>
      </c>
      <c r="AF460" s="116" t="str">
        <f t="array" ref="AF460">INDEX($A$1:$C$500, MATCH(1,($B:$B=$AG460)*($C:$C=$AB460),0),1)</f>
        <v/>
      </c>
      <c r="AG460" s="72"/>
      <c r="AH460" s="114" t="str">
        <f t="shared" si="4"/>
        <v/>
      </c>
      <c r="AI460" s="115" t="str">
        <f t="shared" si="5"/>
        <v/>
      </c>
      <c r="AJ460" s="116" t="str">
        <f t="array" ref="AJ460">INDEX($A$1:$C$500, MATCH(1,($B:$B=$C460)*($C:$C=$AG460),0),1)</f>
        <v/>
      </c>
      <c r="AK460" s="116" t="str">
        <f t="array" ref="AK460">INDEX($A$1:$C$500, MATCH(1,($B:$B=$AG460)*($C:$C=$C460),0),1)</f>
        <v/>
      </c>
      <c r="AL460" s="116" t="str">
        <f t="array" ref="AL460">INDEX($A$1:$C$500, MATCH(1,($B:$B=$C460)*($C:$C=$AB460),0),1)</f>
        <v/>
      </c>
      <c r="AM460" s="116" t="str">
        <f t="array" ref="AM460">INDEX($A$1:$C$500, MATCH(1,($B:$B=$AB460)*($C:$C=$C460),0),1)</f>
        <v/>
      </c>
      <c r="AN460" s="114" t="str">
        <f t="array" ref="AN460">IFS(ISNUMBER(AJ460),AJ460,ISNUMBER(AK460),AK460,ISNUMBER(AL460),AL460,ISNUMBER(AM460),AM460)</f>
        <v>#N/A</v>
      </c>
      <c r="AO460" s="115" t="str">
        <f t="shared" si="6"/>
        <v/>
      </c>
      <c r="AP460" s="115" t="str">
        <f t="shared" si="7"/>
        <v/>
      </c>
      <c r="AQ460" s="111"/>
      <c r="AR460" s="109" t="str">
        <f t="shared" si="8"/>
        <v/>
      </c>
      <c r="AS460" s="72" t="str">
        <f>IFERROR(IF(AND(Preferences!B$3="Manual",OR(AX460/AW460&gt;V460/U460,BD460="Serious",BD460="Very serious")),"Assess imprecision",IFERROR(IFS(AND(Preferences!B$3="Automatic",V460/U460&gt;=30),"Extremely serious",AND(W460&lt;=$D$1*-1,Y460&lt;0,V460/U460&lt;3),"Not Serious",AND(W460&lt;=$D$1*-1,Y460&lt;0,V460/U460&gt;=3),"Very serious",AND(W460&gt;=$D$1,X460&gt;0,V460/U460&lt;3),"Not Serious",AND(W460&gt;=$D$1,X460&gt;0,V460/U460&gt;=3),"Very serious",AND(W460&lt;=$D$1*-1,Y460&gt;0,X460&gt;$D$2*-1,V460/U460&lt;3),"Serious", AND(W460&lt;=$D$1*-1,Y460&gt;0,X460&lt;$D$2*-1,V460/U460&lt;3),"Very serious", AND(W460&gt;=$D$1,X460&lt;0,Y460&lt;$D$2,V460/U460&lt;3),"Serious",AND(W460&gt;=$D$1,X460&lt;0,Y460&gt;$D$2,V460/U460&lt;3),"Very serious", AND(W460&lt;=$D$1*-1,Y460&gt;0,X460&gt;$D$2*-1,V460/U460&gt;=3),"Very serious", AND(W460&lt;=$D$1*-1,Y460&gt;0,X460&lt;$D$2*-1,V460/U460&gt;=3),"Very serious", AND(W460&gt;=$D$1,X460&lt;0,Y460&lt;$D$2,V460/U460&gt;=3),"Very serious", AND(W460&gt;=$D$1,X460&lt;0,Y460&gt;$D$2,V460/U460&gt;=3),"Very serious", AND(W460&gt;$D$1*-1,W460&lt;$D$1,X460&gt;$D$1*-1,Y460&lt;$D$1,V460/U460&lt;3),"Not Serious", AND(W460&gt;$D$1*-1,W460&lt;$D$1,OR(X460&lt;=$D$1*-1,Y460&gt;=$D$1),X460&gt;$D$2*-1,Y460&lt;$D$2,V460/U460&lt;3),"Serious", AND(W460&gt;$D$1*-1,W460&lt;$D$1,OR(X460&lt;=$D$2*-1,Y460&gt;=$D$2),V460/U460&lt;3),"Very serious", AND(W460&gt;$D$1*-1,W460&lt;$D$1,X460&gt;$D$1*-1,Y460&lt;$D$1,V460/U460&gt;=3),"Very serious", AND(W460&gt;$D$1*-1,W460&lt;$D$1,OR(X460&lt;=$D$1*-1,Y460&gt;=$D$1),X460&gt;$D$2*-1,Y460&lt;$D$2,V460/U460&gt;=3),"Very serious", AND(W460&gt;$D$1*-1,W460&lt;$D$1,OR(X460&lt;=$D$2*-1,Y460&gt;=$D$2),V460/U460&gt;=3),"Very serious"),"")),"")</f>
        <v/>
      </c>
      <c r="AT460" s="109" t="str">
        <f t="shared" si="9"/>
        <v/>
      </c>
      <c r="AU460" s="64"/>
      <c r="AV460" s="83"/>
      <c r="AW460" s="83"/>
      <c r="AX460" s="83"/>
      <c r="AY460" s="83"/>
      <c r="AZ460" s="83"/>
      <c r="BA460" s="85"/>
      <c r="BB460" s="86" t="str">
        <f>IF(Preferences!B$9="Manual","",IFS(ISBLANK(B460),"",AND(ISNUMBER(E460)=TRUE,ISNUMBER(T460)=FALSE),"Direct", AND(ISNUMBER(E460)=FALSE,ISNUMBER(T460)=TRUE),"Indirect", CN460=4,"Direct",AND(CL460=FALSE, CM460=TRUE,CN460-CO460&gt;-1),"Direct", AND(CL460=FALSE,CM460=TRUE, CN460-CO460&lt;0),"Check algorithm in appendix 2", AND(CL460=TRUE, CM460=FALSE,CN460-CO460&gt;0),"Check algorithm in appendix 2", AND(CL460=TRUE, CM460=FALSE,CN460-CO460=0),"Indirect", AND(CL460=TRUE, CM460=FALSE,CN460-CO460&lt;0),"Indirect", AND(CL460=FALSE,CM460=FALSE,CN460-CO460&gt;-1),"Direct", AND(CL460=FALSE,CM460=FALSE,CN460-CO460&lt;0),"Check algorithm in appendix 2", AND(CL460=TRUE,CM460=TRUE,CN460-CO460&gt;-1),"Direct", AND(CL460=TRUE,CM460=TRUE,CN460-CO460&lt;0),"Check algorithm in appendix 2"))</f>
        <v/>
      </c>
      <c r="BC460" s="120" t="str">
        <f t="shared" si="10"/>
        <v/>
      </c>
      <c r="BD460" s="140"/>
      <c r="BE460" s="122" t="str">
        <f>IF(Preferences!B$3="Manual","", IFERROR(IFS(AND(Preferences!B$3="Automatic",AX460/AW460&gt;=30),"Extremely serious",AND(AY460&lt;=$D$1*-1,BA460&lt;0,AX460/AW460&lt;3),"Not Serious",AND(AY460&lt;=$D$1*-1,BA460&lt;0,AX460/AW460&gt;=3),"Very serious",AND(AY460&gt;=$D$1,AZ460&gt;0,AX460/AW460&lt;3),"Not Serious",AND(AY460&gt;=$D$1,AZ460&gt;0,AX460/AW460&gt;=3),"Very serious",AND(AY460&lt;=$D$1*-1,BA460&gt;0,AZ460&gt;$D$2*-1,AX460/AW460&lt;3),"Serious", AND(AY460&lt;=$D$1*-1,BA460&gt;0,AZ460&lt;$D$2*-1,AX460/AW460&lt;3),"Very serious", AND(AY460&gt;=$D$1,AZ460&lt;0,BA460&lt;$D$2,AX460/AW460&lt;3),"Serious",AND(AY460&gt;=$D$1,AZ460&lt;0,BA460&gt;$D$2,AX460/AW460&lt;3),"Very serious", AND(AY460&lt;=$D$1*-1,BA460&gt;0,AZ460&gt;$D$2*-1,AX460/AW460&gt;=3),"Very serious", AND(AY460&lt;=$D$1*-1,BA460&gt;0,AZ460&lt;$D$2*-1,AX460/AW460&gt;=3),"Very serious", AND(AY460&gt;=$D$1,AZ460&lt;0,BA460&lt;$D$2,AX460/AW460&gt;=3),"Very serious", AND(AY460&gt;=$D$1,AZ460&lt;0,BA460&gt;$D$2,AX460/AW460&gt;=3),"Very serious", AND(AY460&gt;$D$1*-1,AY460&lt;$D$1,AZ460&gt;$D$1*-1,BA460&lt;$D$1,AX460/AW460&lt;3),"Not Serious", AND(AY460&gt;$D$1*-1,AY460&lt;$D$1,OR(AZ460&lt;=$D$1*-1,BA460&gt;=$D$1),AZ460&gt;$D$2*-1,BA460&lt;$D$2,AX460/AW460&lt;3),"Serious", AND(AY460&gt;$D$1*-1,AY460&lt;$D$1,OR(AZ460&lt;=$D$2*-1,BA460&gt;=$D$2),AX460/AW460&lt;3),"Very serious", AND(AY460&gt;$D$1*-1,AY460&lt;$D$1,AZ460&gt;$D$1*-1,BA460&lt;$D$1,AX460/AW460&gt;=3),"Very serious", AND(AY460&gt;$D$1*-1,AY460&lt;$D$1,OR(AZ460&lt;=$D$1*-1,BA460&gt;=$D$1),AZ460&gt;$D$2*-1,BA460&lt;$D$2,AX460/AW460&gt;=3),"Very serious", AND(AY460&gt;$D$1*-1,AY460&lt;$D$1,OR(AZ460&lt;=$D$2*-1,BA460&gt;=$D$2),AX460/AW460&gt;=3),"Very serious"),""))</f>
        <v/>
      </c>
      <c r="BF460" s="107" t="str">
        <f t="shared" si="11"/>
        <v/>
      </c>
      <c r="BG460" s="94" t="str">
        <f t="shared" si="46"/>
        <v/>
      </c>
      <c r="BH460" s="64" t="str">
        <f t="shared" si="12"/>
        <v>#N/A</v>
      </c>
      <c r="BI460" s="64" t="str">
        <f t="shared" si="13"/>
        <v/>
      </c>
      <c r="BJ460" s="123" t="str">
        <f t="shared" si="14"/>
        <v>#N/A</v>
      </c>
      <c r="BK460" s="64" t="str">
        <f t="shared" si="50"/>
        <v>YES</v>
      </c>
      <c r="BL460" s="64" t="str">
        <f t="shared" si="16"/>
        <v>YES</v>
      </c>
      <c r="BM460" s="64" t="str">
        <f t="shared" si="17"/>
        <v>YES</v>
      </c>
      <c r="BN460" s="124" t="str">
        <f t="shared" si="18"/>
        <v/>
      </c>
      <c r="BO460" s="91" t="str">
        <f t="shared" si="19"/>
        <v/>
      </c>
      <c r="BP460" s="91" t="str">
        <f t="shared" si="20"/>
        <v>#N/A</v>
      </c>
      <c r="BQ460" s="91" t="str">
        <f t="shared" si="21"/>
        <v/>
      </c>
      <c r="BR460" s="93" t="str">
        <f t="shared" si="22"/>
        <v/>
      </c>
      <c r="BS460" s="90" t="str">
        <f t="shared" si="23"/>
        <v/>
      </c>
      <c r="BT460" s="93" t="str">
        <f t="shared" si="24"/>
        <v>NA</v>
      </c>
      <c r="BU460" s="125" t="str">
        <f t="shared" si="25"/>
        <v>#N/A</v>
      </c>
      <c r="BV460" s="93" t="str">
        <f t="shared" si="26"/>
        <v/>
      </c>
      <c r="BW460" s="93" t="str">
        <f t="shared" si="27"/>
        <v/>
      </c>
      <c r="BX460" s="93" t="str">
        <f t="shared" si="28"/>
        <v>NA</v>
      </c>
      <c r="BY460" s="95" t="str">
        <f t="shared" si="29"/>
        <v>#N/A</v>
      </c>
      <c r="BZ460" s="93" t="str">
        <f t="shared" si="30"/>
        <v/>
      </c>
      <c r="CA460" s="93" t="str">
        <f t="shared" si="31"/>
        <v/>
      </c>
      <c r="CB460" s="93" t="str">
        <f t="shared" si="32"/>
        <v>NA</v>
      </c>
      <c r="CC460" s="96" t="str">
        <f t="shared" si="33"/>
        <v>#N/A</v>
      </c>
      <c r="CD460" s="93" t="str">
        <f t="shared" si="34"/>
        <v/>
      </c>
      <c r="CE460" s="93" t="str">
        <f t="shared" si="35"/>
        <v/>
      </c>
      <c r="CF460" s="93" t="str">
        <f t="shared" si="36"/>
        <v>NA</v>
      </c>
      <c r="CG460" s="97" t="str">
        <f t="shared" si="37"/>
        <v>#N/A</v>
      </c>
      <c r="CH460" s="98" t="str">
        <f t="shared" si="38"/>
        <v>#N/A</v>
      </c>
      <c r="CI460" s="99" t="str">
        <f t="shared" si="39"/>
        <v>#N/A</v>
      </c>
      <c r="CJ460" s="126" t="str">
        <f t="shared" si="40"/>
        <v>ERROR: check cell</v>
      </c>
      <c r="CK460" s="126"/>
      <c r="CL460" s="127" t="str">
        <f t="shared" si="41"/>
        <v>#DIV/0!</v>
      </c>
      <c r="CM460" s="128" t="str">
        <f t="shared" si="42"/>
        <v>#DIV/0!</v>
      </c>
      <c r="CN460" s="128">
        <f t="shared" si="43"/>
        <v>4</v>
      </c>
      <c r="CO460" s="129">
        <f t="shared" si="44"/>
        <v>4</v>
      </c>
      <c r="CP460" s="129" t="str">
        <f>IFS(C460=Preferences!B$13,B460,B460=Preferences!B$13,C460)</f>
        <v>#N/A</v>
      </c>
    </row>
    <row r="461" ht="13.5" customHeight="1">
      <c r="A461" s="63" t="str">
        <f t="shared" si="45"/>
        <v/>
      </c>
      <c r="B461" s="64"/>
      <c r="C461" s="64"/>
      <c r="D461" s="64"/>
      <c r="E461" s="65"/>
      <c r="F461" s="65"/>
      <c r="G461" s="65"/>
      <c r="H461" s="66"/>
      <c r="I461" s="66"/>
      <c r="J461" s="67"/>
      <c r="K461" s="68"/>
      <c r="L461" s="104"/>
      <c r="M461" s="104"/>
      <c r="N461" s="104"/>
      <c r="O461" s="104"/>
      <c r="P461" s="107" t="str">
        <f t="shared" si="1"/>
        <v/>
      </c>
      <c r="Q461" s="108" t="str">
        <f>IFERROR(IF(AND(Preferences!B$3="Manual",OR(AX461/AW461&gt;G461/F461,BD461="Serious",BD461="Very serious")),"Assess imprecision",IFS(ISBLANK(E461),"",AND(Preferences!B$3="Automatic", G461/F461&gt;=30),"Extremely serious",AND(H461&lt;=$D$1*-1,J461&lt;0,G461/F461&lt;3),"Not serious",AND(H461&lt;=$D$1*-1,J461&lt;0,G461/F461&gt;=3),"Very serious",AND(H461&gt;=$D$1,I461&gt;0,G461/F461&lt;3),"Not serious",AND(H461&gt;=$D$1,I461&gt;0,G461/F461&gt;=3),"Very serious",AND(H461&lt;=$D$1*-1,J461&gt;0,I461&gt;$D$2*-1,G461/F461&lt;3),"Serious", AND(H461&lt;=$D$1*-1,J461&gt;0,I461&lt;$D$2*-1,G461/F461&lt;3),"Very serious", AND(H461&gt;=$D$1,I461&lt;0,J461&lt;$D$2,G461/F461&lt;3),"Serious",AND(H461&gt;=$D$1,I461&lt;0,J461&gt;$D$2,G461/F461&lt;3),"Very serious", AND(H461&lt;=$D$1*-1,J461&gt;0,I461&gt;$D$2*-1,G461/F461&gt;=3),"Very serious", AND(H461&lt;=$D$1*-1,J461&gt;0,I461&lt;$D$2*-1,G461/F461&gt;=3),"Very serious", AND(H461&gt;=$D$1,I461&lt;0,J461&lt;$D$2,G461/F461&gt;=3),"Very serious", AND(H461&gt;=$D$1,I461&lt;0,J461&gt;$D$2,G461/F461&gt;=3),"Very serious", AND(H461&gt;$D$1*-1,H461&lt;$D$1,I461&gt;$D$1*-1,J461&lt;$D$1,G461/F461&lt;3),"Not serious", AND(H461&gt;$D$1*-1,H461&lt;$D$1,OR(I461&lt;=$D$1*-1,J461&gt;=$D$1),I461&gt;$D$2*-1,J461&lt;$D$2,G461/F461&lt;3),"Serious", AND(H461&gt;$D$1*-1,H461&lt;$D$1,OR(I461&lt;=$D$2*-1,J461&gt;=$D$2),G461/F461&lt;3),"Very serious", AND(H461&gt;$D$1*-1,H461&lt;$D$1,I461&gt;$D$1*-1,J461&lt;$D$1,G461/F461&gt;=3),"Very serious", AND(H461&gt;$D$1*-1,H461&lt;$D$1,OR(I461&lt;=$D$1*-1,J461&gt;=$D$1),I461&gt;$D$2*-1,J461&lt;$D$2,G461/F461&gt;=3),"Very serious", AND(H461&gt;$D$1*-1,H461&lt;$D$1,OR(I461&lt;=$D$2*-1,J461&gt;=$D$2),G461/F461&gt;=3),"Very serious")),"")</f>
        <v/>
      </c>
      <c r="R461" s="109" t="str">
        <f t="shared" si="47"/>
        <v/>
      </c>
      <c r="S461" s="64"/>
      <c r="T461" s="72"/>
      <c r="U461" s="72"/>
      <c r="V461" s="72"/>
      <c r="W461" s="73"/>
      <c r="X461" s="73"/>
      <c r="Y461" s="74"/>
      <c r="Z461" s="113" t="str">
        <f t="array" ref="Z461">INDEX($A$1:$C$500, MATCH(1,($B:$B=$B461)*($C:$C=$AB461),0),1)</f>
        <v/>
      </c>
      <c r="AA461" s="113" t="str">
        <f t="array" ref="AA461">INDEX($A$1:$C$500, MATCH(1,($B:$B=$AB461)*($C:$C=$B461),0),1)</f>
        <v/>
      </c>
      <c r="AB461" s="111"/>
      <c r="AC461" s="114" t="str">
        <f t="shared" si="2"/>
        <v/>
      </c>
      <c r="AD461" s="115" t="str">
        <f t="shared" si="3"/>
        <v/>
      </c>
      <c r="AE461" s="116" t="str">
        <f t="array" ref="AE461">INDEX($A$1:$C$500, MATCH(1,($B:$B=$AB461)*($C:$C=$AG461),0),1)</f>
        <v/>
      </c>
      <c r="AF461" s="116" t="str">
        <f t="array" ref="AF461">INDEX($A$1:$C$500, MATCH(1,($B:$B=$AG461)*($C:$C=$AB461),0),1)</f>
        <v/>
      </c>
      <c r="AG461" s="72"/>
      <c r="AH461" s="114" t="str">
        <f t="shared" si="4"/>
        <v/>
      </c>
      <c r="AI461" s="115" t="str">
        <f t="shared" si="5"/>
        <v/>
      </c>
      <c r="AJ461" s="116" t="str">
        <f t="array" ref="AJ461">INDEX($A$1:$C$500, MATCH(1,($B:$B=$C461)*($C:$C=$AG461),0),1)</f>
        <v/>
      </c>
      <c r="AK461" s="116" t="str">
        <f t="array" ref="AK461">INDEX($A$1:$C$500, MATCH(1,($B:$B=$AG461)*($C:$C=$C461),0),1)</f>
        <v/>
      </c>
      <c r="AL461" s="116" t="str">
        <f t="array" ref="AL461">INDEX($A$1:$C$500, MATCH(1,($B:$B=$C461)*($C:$C=$AB461),0),1)</f>
        <v/>
      </c>
      <c r="AM461" s="116" t="str">
        <f t="array" ref="AM461">INDEX($A$1:$C$500, MATCH(1,($B:$B=$AB461)*($C:$C=$C461),0),1)</f>
        <v/>
      </c>
      <c r="AN461" s="114" t="str">
        <f t="array" ref="AN461">IFS(ISNUMBER(AJ461),AJ461,ISNUMBER(AK461),AK461,ISNUMBER(AL461),AL461,ISNUMBER(AM461),AM461)</f>
        <v>#N/A</v>
      </c>
      <c r="AO461" s="115" t="str">
        <f t="shared" si="6"/>
        <v/>
      </c>
      <c r="AP461" s="115" t="str">
        <f t="shared" si="7"/>
        <v/>
      </c>
      <c r="AQ461" s="111"/>
      <c r="AR461" s="109" t="str">
        <f t="shared" si="8"/>
        <v/>
      </c>
      <c r="AS461" s="72" t="str">
        <f>IFERROR(IF(AND(Preferences!B$3="Manual",OR(AX461/AW461&gt;V461/U461,BD461="Serious",BD461="Very serious")),"Assess imprecision",IFERROR(IFS(AND(Preferences!B$3="Automatic",V461/U461&gt;=30),"Extremely serious",AND(W461&lt;=$D$1*-1,Y461&lt;0,V461/U461&lt;3),"Not Serious",AND(W461&lt;=$D$1*-1,Y461&lt;0,V461/U461&gt;=3),"Very serious",AND(W461&gt;=$D$1,X461&gt;0,V461/U461&lt;3),"Not Serious",AND(W461&gt;=$D$1,X461&gt;0,V461/U461&gt;=3),"Very serious",AND(W461&lt;=$D$1*-1,Y461&gt;0,X461&gt;$D$2*-1,V461/U461&lt;3),"Serious", AND(W461&lt;=$D$1*-1,Y461&gt;0,X461&lt;$D$2*-1,V461/U461&lt;3),"Very serious", AND(W461&gt;=$D$1,X461&lt;0,Y461&lt;$D$2,V461/U461&lt;3),"Serious",AND(W461&gt;=$D$1,X461&lt;0,Y461&gt;$D$2,V461/U461&lt;3),"Very serious", AND(W461&lt;=$D$1*-1,Y461&gt;0,X461&gt;$D$2*-1,V461/U461&gt;=3),"Very serious", AND(W461&lt;=$D$1*-1,Y461&gt;0,X461&lt;$D$2*-1,V461/U461&gt;=3),"Very serious", AND(W461&gt;=$D$1,X461&lt;0,Y461&lt;$D$2,V461/U461&gt;=3),"Very serious", AND(W461&gt;=$D$1,X461&lt;0,Y461&gt;$D$2,V461/U461&gt;=3),"Very serious", AND(W461&gt;$D$1*-1,W461&lt;$D$1,X461&gt;$D$1*-1,Y461&lt;$D$1,V461/U461&lt;3),"Not Serious", AND(W461&gt;$D$1*-1,W461&lt;$D$1,OR(X461&lt;=$D$1*-1,Y461&gt;=$D$1),X461&gt;$D$2*-1,Y461&lt;$D$2,V461/U461&lt;3),"Serious", AND(W461&gt;$D$1*-1,W461&lt;$D$1,OR(X461&lt;=$D$2*-1,Y461&gt;=$D$2),V461/U461&lt;3),"Very serious", AND(W461&gt;$D$1*-1,W461&lt;$D$1,X461&gt;$D$1*-1,Y461&lt;$D$1,V461/U461&gt;=3),"Very serious", AND(W461&gt;$D$1*-1,W461&lt;$D$1,OR(X461&lt;=$D$1*-1,Y461&gt;=$D$1),X461&gt;$D$2*-1,Y461&lt;$D$2,V461/U461&gt;=3),"Very serious", AND(W461&gt;$D$1*-1,W461&lt;$D$1,OR(X461&lt;=$D$2*-1,Y461&gt;=$D$2),V461/U461&gt;=3),"Very serious"),"")),"")</f>
        <v/>
      </c>
      <c r="AT461" s="109" t="str">
        <f t="shared" si="9"/>
        <v/>
      </c>
      <c r="AU461" s="64"/>
      <c r="AV461" s="83"/>
      <c r="AW461" s="83"/>
      <c r="AX461" s="83"/>
      <c r="AY461" s="83"/>
      <c r="AZ461" s="83"/>
      <c r="BA461" s="85"/>
      <c r="BB461" s="86" t="str">
        <f>IF(Preferences!B$9="Manual","",IFS(ISBLANK(B461),"",AND(ISNUMBER(E461)=TRUE,ISNUMBER(T461)=FALSE),"Direct", AND(ISNUMBER(E461)=FALSE,ISNUMBER(T461)=TRUE),"Indirect", CN461=4,"Direct",AND(CL461=FALSE, CM461=TRUE,CN461-CO461&gt;-1),"Direct", AND(CL461=FALSE,CM461=TRUE, CN461-CO461&lt;0),"Check algorithm in appendix 2", AND(CL461=TRUE, CM461=FALSE,CN461-CO461&gt;0),"Check algorithm in appendix 2", AND(CL461=TRUE, CM461=FALSE,CN461-CO461=0),"Indirect", AND(CL461=TRUE, CM461=FALSE,CN461-CO461&lt;0),"Indirect", AND(CL461=FALSE,CM461=FALSE,CN461-CO461&gt;-1),"Direct", AND(CL461=FALSE,CM461=FALSE,CN461-CO461&lt;0),"Check algorithm in appendix 2", AND(CL461=TRUE,CM461=TRUE,CN461-CO461&gt;-1),"Direct", AND(CL461=TRUE,CM461=TRUE,CN461-CO461&lt;0),"Check algorithm in appendix 2"))</f>
        <v/>
      </c>
      <c r="BC461" s="120" t="str">
        <f t="shared" si="10"/>
        <v/>
      </c>
      <c r="BD461" s="140"/>
      <c r="BE461" s="122" t="str">
        <f>IF(Preferences!B$3="Manual","", IFERROR(IFS(AND(Preferences!B$3="Automatic",AX461/AW461&gt;=30),"Extremely serious",AND(AY461&lt;=$D$1*-1,BA461&lt;0,AX461/AW461&lt;3),"Not Serious",AND(AY461&lt;=$D$1*-1,BA461&lt;0,AX461/AW461&gt;=3),"Very serious",AND(AY461&gt;=$D$1,AZ461&gt;0,AX461/AW461&lt;3),"Not Serious",AND(AY461&gt;=$D$1,AZ461&gt;0,AX461/AW461&gt;=3),"Very serious",AND(AY461&lt;=$D$1*-1,BA461&gt;0,AZ461&gt;$D$2*-1,AX461/AW461&lt;3),"Serious", AND(AY461&lt;=$D$1*-1,BA461&gt;0,AZ461&lt;$D$2*-1,AX461/AW461&lt;3),"Very serious", AND(AY461&gt;=$D$1,AZ461&lt;0,BA461&lt;$D$2,AX461/AW461&lt;3),"Serious",AND(AY461&gt;=$D$1,AZ461&lt;0,BA461&gt;$D$2,AX461/AW461&lt;3),"Very serious", AND(AY461&lt;=$D$1*-1,BA461&gt;0,AZ461&gt;$D$2*-1,AX461/AW461&gt;=3),"Very serious", AND(AY461&lt;=$D$1*-1,BA461&gt;0,AZ461&lt;$D$2*-1,AX461/AW461&gt;=3),"Very serious", AND(AY461&gt;=$D$1,AZ461&lt;0,BA461&lt;$D$2,AX461/AW461&gt;=3),"Very serious", AND(AY461&gt;=$D$1,AZ461&lt;0,BA461&gt;$D$2,AX461/AW461&gt;=3),"Very serious", AND(AY461&gt;$D$1*-1,AY461&lt;$D$1,AZ461&gt;$D$1*-1,BA461&lt;$D$1,AX461/AW461&lt;3),"Not Serious", AND(AY461&gt;$D$1*-1,AY461&lt;$D$1,OR(AZ461&lt;=$D$1*-1,BA461&gt;=$D$1),AZ461&gt;$D$2*-1,BA461&lt;$D$2,AX461/AW461&lt;3),"Serious", AND(AY461&gt;$D$1*-1,AY461&lt;$D$1,OR(AZ461&lt;=$D$2*-1,BA461&gt;=$D$2),AX461/AW461&lt;3),"Very serious", AND(AY461&gt;$D$1*-1,AY461&lt;$D$1,AZ461&gt;$D$1*-1,BA461&lt;$D$1,AX461/AW461&gt;=3),"Very serious", AND(AY461&gt;$D$1*-1,AY461&lt;$D$1,OR(AZ461&lt;=$D$1*-1,BA461&gt;=$D$1),AZ461&gt;$D$2*-1,BA461&lt;$D$2,AX461/AW461&gt;=3),"Very serious", AND(AY461&gt;$D$1*-1,AY461&lt;$D$1,OR(AZ461&lt;=$D$2*-1,BA461&gt;=$D$2),AX461/AW461&gt;=3),"Very serious"),""))</f>
        <v/>
      </c>
      <c r="BF461" s="107" t="str">
        <f t="shared" si="11"/>
        <v/>
      </c>
      <c r="BG461" s="94" t="str">
        <f t="shared" si="46"/>
        <v/>
      </c>
      <c r="BH461" s="64" t="str">
        <f t="shared" si="12"/>
        <v>#N/A</v>
      </c>
      <c r="BI461" s="64" t="str">
        <f t="shared" si="13"/>
        <v/>
      </c>
      <c r="BJ461" s="123" t="str">
        <f t="shared" si="14"/>
        <v>#N/A</v>
      </c>
      <c r="BK461" s="64" t="str">
        <f t="shared" si="50"/>
        <v>YES</v>
      </c>
      <c r="BL461" s="64" t="str">
        <f t="shared" si="16"/>
        <v>YES</v>
      </c>
      <c r="BM461" s="64" t="str">
        <f t="shared" si="17"/>
        <v>YES</v>
      </c>
      <c r="BN461" s="124" t="str">
        <f t="shared" si="18"/>
        <v/>
      </c>
      <c r="BO461" s="91" t="str">
        <f t="shared" si="19"/>
        <v/>
      </c>
      <c r="BP461" s="91" t="str">
        <f t="shared" si="20"/>
        <v>#N/A</v>
      </c>
      <c r="BQ461" s="91" t="str">
        <f t="shared" si="21"/>
        <v/>
      </c>
      <c r="BR461" s="93" t="str">
        <f t="shared" si="22"/>
        <v/>
      </c>
      <c r="BS461" s="90" t="str">
        <f t="shared" si="23"/>
        <v/>
      </c>
      <c r="BT461" s="93" t="str">
        <f t="shared" si="24"/>
        <v>NA</v>
      </c>
      <c r="BU461" s="125" t="str">
        <f t="shared" si="25"/>
        <v>#N/A</v>
      </c>
      <c r="BV461" s="93" t="str">
        <f t="shared" si="26"/>
        <v/>
      </c>
      <c r="BW461" s="93" t="str">
        <f t="shared" si="27"/>
        <v/>
      </c>
      <c r="BX461" s="93" t="str">
        <f t="shared" si="28"/>
        <v>NA</v>
      </c>
      <c r="BY461" s="95" t="str">
        <f t="shared" si="29"/>
        <v>#N/A</v>
      </c>
      <c r="BZ461" s="93" t="str">
        <f t="shared" si="30"/>
        <v/>
      </c>
      <c r="CA461" s="93" t="str">
        <f t="shared" si="31"/>
        <v/>
      </c>
      <c r="CB461" s="93" t="str">
        <f t="shared" si="32"/>
        <v>NA</v>
      </c>
      <c r="CC461" s="96" t="str">
        <f t="shared" si="33"/>
        <v>#N/A</v>
      </c>
      <c r="CD461" s="93" t="str">
        <f t="shared" si="34"/>
        <v/>
      </c>
      <c r="CE461" s="93" t="str">
        <f t="shared" si="35"/>
        <v/>
      </c>
      <c r="CF461" s="93" t="str">
        <f t="shared" si="36"/>
        <v>NA</v>
      </c>
      <c r="CG461" s="97" t="str">
        <f t="shared" si="37"/>
        <v>#N/A</v>
      </c>
      <c r="CH461" s="98" t="str">
        <f t="shared" si="38"/>
        <v>#N/A</v>
      </c>
      <c r="CI461" s="99" t="str">
        <f t="shared" si="39"/>
        <v>#N/A</v>
      </c>
      <c r="CJ461" s="126" t="str">
        <f t="shared" si="40"/>
        <v>ERROR: check cell</v>
      </c>
      <c r="CK461" s="126"/>
      <c r="CL461" s="127" t="str">
        <f t="shared" si="41"/>
        <v>#DIV/0!</v>
      </c>
      <c r="CM461" s="128" t="str">
        <f t="shared" si="42"/>
        <v>#DIV/0!</v>
      </c>
      <c r="CN461" s="128">
        <f t="shared" si="43"/>
        <v>4</v>
      </c>
      <c r="CO461" s="129">
        <f t="shared" si="44"/>
        <v>4</v>
      </c>
      <c r="CP461" s="129" t="str">
        <f>IFS(C461=Preferences!B$13,B461,B461=Preferences!B$13,C461)</f>
        <v>#N/A</v>
      </c>
    </row>
    <row r="462" ht="13.5" customHeight="1">
      <c r="A462" s="63" t="str">
        <f t="shared" si="45"/>
        <v/>
      </c>
      <c r="B462" s="64"/>
      <c r="C462" s="64"/>
      <c r="D462" s="64"/>
      <c r="E462" s="65"/>
      <c r="F462" s="65"/>
      <c r="G462" s="65"/>
      <c r="H462" s="66"/>
      <c r="I462" s="66"/>
      <c r="J462" s="67"/>
      <c r="K462" s="68"/>
      <c r="L462" s="104"/>
      <c r="M462" s="104"/>
      <c r="N462" s="104"/>
      <c r="O462" s="104"/>
      <c r="P462" s="107" t="str">
        <f t="shared" si="1"/>
        <v/>
      </c>
      <c r="Q462" s="108" t="str">
        <f>IFERROR(IF(AND(Preferences!B$3="Manual",OR(AX462/AW462&gt;G462/F462,BD462="Serious",BD462="Very serious")),"Assess imprecision",IFS(ISBLANK(E462),"",AND(Preferences!B$3="Automatic", G462/F462&gt;=30),"Extremely serious",AND(H462&lt;=$D$1*-1,J462&lt;0,G462/F462&lt;3),"Not serious",AND(H462&lt;=$D$1*-1,J462&lt;0,G462/F462&gt;=3),"Very serious",AND(H462&gt;=$D$1,I462&gt;0,G462/F462&lt;3),"Not serious",AND(H462&gt;=$D$1,I462&gt;0,G462/F462&gt;=3),"Very serious",AND(H462&lt;=$D$1*-1,J462&gt;0,I462&gt;$D$2*-1,G462/F462&lt;3),"Serious", AND(H462&lt;=$D$1*-1,J462&gt;0,I462&lt;$D$2*-1,G462/F462&lt;3),"Very serious", AND(H462&gt;=$D$1,I462&lt;0,J462&lt;$D$2,G462/F462&lt;3),"Serious",AND(H462&gt;=$D$1,I462&lt;0,J462&gt;$D$2,G462/F462&lt;3),"Very serious", AND(H462&lt;=$D$1*-1,J462&gt;0,I462&gt;$D$2*-1,G462/F462&gt;=3),"Very serious", AND(H462&lt;=$D$1*-1,J462&gt;0,I462&lt;$D$2*-1,G462/F462&gt;=3),"Very serious", AND(H462&gt;=$D$1,I462&lt;0,J462&lt;$D$2,G462/F462&gt;=3),"Very serious", AND(H462&gt;=$D$1,I462&lt;0,J462&gt;$D$2,G462/F462&gt;=3),"Very serious", AND(H462&gt;$D$1*-1,H462&lt;$D$1,I462&gt;$D$1*-1,J462&lt;$D$1,G462/F462&lt;3),"Not serious", AND(H462&gt;$D$1*-1,H462&lt;$D$1,OR(I462&lt;=$D$1*-1,J462&gt;=$D$1),I462&gt;$D$2*-1,J462&lt;$D$2,G462/F462&lt;3),"Serious", AND(H462&gt;$D$1*-1,H462&lt;$D$1,OR(I462&lt;=$D$2*-1,J462&gt;=$D$2),G462/F462&lt;3),"Very serious", AND(H462&gt;$D$1*-1,H462&lt;$D$1,I462&gt;$D$1*-1,J462&lt;$D$1,G462/F462&gt;=3),"Very serious", AND(H462&gt;$D$1*-1,H462&lt;$D$1,OR(I462&lt;=$D$1*-1,J462&gt;=$D$1),I462&gt;$D$2*-1,J462&lt;$D$2,G462/F462&gt;=3),"Very serious", AND(H462&gt;$D$1*-1,H462&lt;$D$1,OR(I462&lt;=$D$2*-1,J462&gt;=$D$2),G462/F462&gt;=3),"Very serious")),"")</f>
        <v/>
      </c>
      <c r="R462" s="109" t="str">
        <f t="shared" si="47"/>
        <v/>
      </c>
      <c r="S462" s="64"/>
      <c r="T462" s="72"/>
      <c r="U462" s="72"/>
      <c r="V462" s="72"/>
      <c r="W462" s="73"/>
      <c r="X462" s="73"/>
      <c r="Y462" s="74"/>
      <c r="Z462" s="113" t="str">
        <f t="array" ref="Z462">INDEX($A$1:$C$500, MATCH(1,($B:$B=$B462)*($C:$C=$AB462),0),1)</f>
        <v/>
      </c>
      <c r="AA462" s="113" t="str">
        <f t="array" ref="AA462">INDEX($A$1:$C$500, MATCH(1,($B:$B=$AB462)*($C:$C=$B462),0),1)</f>
        <v/>
      </c>
      <c r="AB462" s="111"/>
      <c r="AC462" s="114" t="str">
        <f t="shared" si="2"/>
        <v/>
      </c>
      <c r="AD462" s="115" t="str">
        <f t="shared" si="3"/>
        <v/>
      </c>
      <c r="AE462" s="116" t="str">
        <f t="array" ref="AE462">INDEX($A$1:$C$500, MATCH(1,($B:$B=$AB462)*($C:$C=$AG462),0),1)</f>
        <v/>
      </c>
      <c r="AF462" s="116" t="str">
        <f t="array" ref="AF462">INDEX($A$1:$C$500, MATCH(1,($B:$B=$AG462)*($C:$C=$AB462),0),1)</f>
        <v/>
      </c>
      <c r="AG462" s="72"/>
      <c r="AH462" s="114" t="str">
        <f t="shared" si="4"/>
        <v/>
      </c>
      <c r="AI462" s="115" t="str">
        <f t="shared" si="5"/>
        <v/>
      </c>
      <c r="AJ462" s="116" t="str">
        <f t="array" ref="AJ462">INDEX($A$1:$C$500, MATCH(1,($B:$B=$C462)*($C:$C=$AG462),0),1)</f>
        <v/>
      </c>
      <c r="AK462" s="116" t="str">
        <f t="array" ref="AK462">INDEX($A$1:$C$500, MATCH(1,($B:$B=$AG462)*($C:$C=$C462),0),1)</f>
        <v/>
      </c>
      <c r="AL462" s="116" t="str">
        <f t="array" ref="AL462">INDEX($A$1:$C$500, MATCH(1,($B:$B=$C462)*($C:$C=$AB462),0),1)</f>
        <v/>
      </c>
      <c r="AM462" s="116" t="str">
        <f t="array" ref="AM462">INDEX($A$1:$C$500, MATCH(1,($B:$B=$AB462)*($C:$C=$C462),0),1)</f>
        <v/>
      </c>
      <c r="AN462" s="114" t="str">
        <f t="array" ref="AN462">IFS(ISNUMBER(AJ462),AJ462,ISNUMBER(AK462),AK462,ISNUMBER(AL462),AL462,ISNUMBER(AM462),AM462)</f>
        <v>#N/A</v>
      </c>
      <c r="AO462" s="115" t="str">
        <f t="shared" si="6"/>
        <v/>
      </c>
      <c r="AP462" s="115" t="str">
        <f t="shared" si="7"/>
        <v/>
      </c>
      <c r="AQ462" s="111"/>
      <c r="AR462" s="109" t="str">
        <f t="shared" si="8"/>
        <v/>
      </c>
      <c r="AS462" s="72" t="str">
        <f>IFERROR(IF(AND(Preferences!B$3="Manual",OR(AX462/AW462&gt;V462/U462,BD462="Serious",BD462="Very serious")),"Assess imprecision",IFERROR(IFS(AND(Preferences!B$3="Automatic",V462/U462&gt;=30),"Extremely serious",AND(W462&lt;=$D$1*-1,Y462&lt;0,V462/U462&lt;3),"Not Serious",AND(W462&lt;=$D$1*-1,Y462&lt;0,V462/U462&gt;=3),"Very serious",AND(W462&gt;=$D$1,X462&gt;0,V462/U462&lt;3),"Not Serious",AND(W462&gt;=$D$1,X462&gt;0,V462/U462&gt;=3),"Very serious",AND(W462&lt;=$D$1*-1,Y462&gt;0,X462&gt;$D$2*-1,V462/U462&lt;3),"Serious", AND(W462&lt;=$D$1*-1,Y462&gt;0,X462&lt;$D$2*-1,V462/U462&lt;3),"Very serious", AND(W462&gt;=$D$1,X462&lt;0,Y462&lt;$D$2,V462/U462&lt;3),"Serious",AND(W462&gt;=$D$1,X462&lt;0,Y462&gt;$D$2,V462/U462&lt;3),"Very serious", AND(W462&lt;=$D$1*-1,Y462&gt;0,X462&gt;$D$2*-1,V462/U462&gt;=3),"Very serious", AND(W462&lt;=$D$1*-1,Y462&gt;0,X462&lt;$D$2*-1,V462/U462&gt;=3),"Very serious", AND(W462&gt;=$D$1,X462&lt;0,Y462&lt;$D$2,V462/U462&gt;=3),"Very serious", AND(W462&gt;=$D$1,X462&lt;0,Y462&gt;$D$2,V462/U462&gt;=3),"Very serious", AND(W462&gt;$D$1*-1,W462&lt;$D$1,X462&gt;$D$1*-1,Y462&lt;$D$1,V462/U462&lt;3),"Not Serious", AND(W462&gt;$D$1*-1,W462&lt;$D$1,OR(X462&lt;=$D$1*-1,Y462&gt;=$D$1),X462&gt;$D$2*-1,Y462&lt;$D$2,V462/U462&lt;3),"Serious", AND(W462&gt;$D$1*-1,W462&lt;$D$1,OR(X462&lt;=$D$2*-1,Y462&gt;=$D$2),V462/U462&lt;3),"Very serious", AND(W462&gt;$D$1*-1,W462&lt;$D$1,X462&gt;$D$1*-1,Y462&lt;$D$1,V462/U462&gt;=3),"Very serious", AND(W462&gt;$D$1*-1,W462&lt;$D$1,OR(X462&lt;=$D$1*-1,Y462&gt;=$D$1),X462&gt;$D$2*-1,Y462&lt;$D$2,V462/U462&gt;=3),"Very serious", AND(W462&gt;$D$1*-1,W462&lt;$D$1,OR(X462&lt;=$D$2*-1,Y462&gt;=$D$2),V462/U462&gt;=3),"Very serious"),"")),"")</f>
        <v/>
      </c>
      <c r="AT462" s="109" t="str">
        <f t="shared" si="9"/>
        <v/>
      </c>
      <c r="AU462" s="64"/>
      <c r="AV462" s="83"/>
      <c r="AW462" s="83"/>
      <c r="AX462" s="83"/>
      <c r="AY462" s="83"/>
      <c r="AZ462" s="83"/>
      <c r="BA462" s="85"/>
      <c r="BB462" s="86" t="str">
        <f>IF(Preferences!B$9="Manual","",IFS(ISBLANK(B462),"",AND(ISNUMBER(E462)=TRUE,ISNUMBER(T462)=FALSE),"Direct", AND(ISNUMBER(E462)=FALSE,ISNUMBER(T462)=TRUE),"Indirect", CN462=4,"Direct",AND(CL462=FALSE, CM462=TRUE,CN462-CO462&gt;-1),"Direct", AND(CL462=FALSE,CM462=TRUE, CN462-CO462&lt;0),"Check algorithm in appendix 2", AND(CL462=TRUE, CM462=FALSE,CN462-CO462&gt;0),"Check algorithm in appendix 2", AND(CL462=TRUE, CM462=FALSE,CN462-CO462=0),"Indirect", AND(CL462=TRUE, CM462=FALSE,CN462-CO462&lt;0),"Indirect", AND(CL462=FALSE,CM462=FALSE,CN462-CO462&gt;-1),"Direct", AND(CL462=FALSE,CM462=FALSE,CN462-CO462&lt;0),"Check algorithm in appendix 2", AND(CL462=TRUE,CM462=TRUE,CN462-CO462&gt;-1),"Direct", AND(CL462=TRUE,CM462=TRUE,CN462-CO462&lt;0),"Check algorithm in appendix 2"))</f>
        <v/>
      </c>
      <c r="BC462" s="120" t="str">
        <f t="shared" si="10"/>
        <v/>
      </c>
      <c r="BD462" s="140"/>
      <c r="BE462" s="122" t="str">
        <f>IF(Preferences!B$3="Manual","", IFERROR(IFS(AND(Preferences!B$3="Automatic",AX462/AW462&gt;=30),"Extremely serious",AND(AY462&lt;=$D$1*-1,BA462&lt;0,AX462/AW462&lt;3),"Not Serious",AND(AY462&lt;=$D$1*-1,BA462&lt;0,AX462/AW462&gt;=3),"Very serious",AND(AY462&gt;=$D$1,AZ462&gt;0,AX462/AW462&lt;3),"Not Serious",AND(AY462&gt;=$D$1,AZ462&gt;0,AX462/AW462&gt;=3),"Very serious",AND(AY462&lt;=$D$1*-1,BA462&gt;0,AZ462&gt;$D$2*-1,AX462/AW462&lt;3),"Serious", AND(AY462&lt;=$D$1*-1,BA462&gt;0,AZ462&lt;$D$2*-1,AX462/AW462&lt;3),"Very serious", AND(AY462&gt;=$D$1,AZ462&lt;0,BA462&lt;$D$2,AX462/AW462&lt;3),"Serious",AND(AY462&gt;=$D$1,AZ462&lt;0,BA462&gt;$D$2,AX462/AW462&lt;3),"Very serious", AND(AY462&lt;=$D$1*-1,BA462&gt;0,AZ462&gt;$D$2*-1,AX462/AW462&gt;=3),"Very serious", AND(AY462&lt;=$D$1*-1,BA462&gt;0,AZ462&lt;$D$2*-1,AX462/AW462&gt;=3),"Very serious", AND(AY462&gt;=$D$1,AZ462&lt;0,BA462&lt;$D$2,AX462/AW462&gt;=3),"Very serious", AND(AY462&gt;=$D$1,AZ462&lt;0,BA462&gt;$D$2,AX462/AW462&gt;=3),"Very serious", AND(AY462&gt;$D$1*-1,AY462&lt;$D$1,AZ462&gt;$D$1*-1,BA462&lt;$D$1,AX462/AW462&lt;3),"Not Serious", AND(AY462&gt;$D$1*-1,AY462&lt;$D$1,OR(AZ462&lt;=$D$1*-1,BA462&gt;=$D$1),AZ462&gt;$D$2*-1,BA462&lt;$D$2,AX462/AW462&lt;3),"Serious", AND(AY462&gt;$D$1*-1,AY462&lt;$D$1,OR(AZ462&lt;=$D$2*-1,BA462&gt;=$D$2),AX462/AW462&lt;3),"Very serious", AND(AY462&gt;$D$1*-1,AY462&lt;$D$1,AZ462&gt;$D$1*-1,BA462&lt;$D$1,AX462/AW462&gt;=3),"Very serious", AND(AY462&gt;$D$1*-1,AY462&lt;$D$1,OR(AZ462&lt;=$D$1*-1,BA462&gt;=$D$1),AZ462&gt;$D$2*-1,BA462&lt;$D$2,AX462/AW462&gt;=3),"Very serious", AND(AY462&gt;$D$1*-1,AY462&lt;$D$1,OR(AZ462&lt;=$D$2*-1,BA462&gt;=$D$2),AX462/AW462&gt;=3),"Very serious"),""))</f>
        <v/>
      </c>
      <c r="BF462" s="107" t="str">
        <f t="shared" si="11"/>
        <v/>
      </c>
      <c r="BG462" s="94" t="str">
        <f t="shared" si="46"/>
        <v/>
      </c>
      <c r="BH462" s="64" t="str">
        <f t="shared" si="12"/>
        <v>#N/A</v>
      </c>
      <c r="BI462" s="64" t="str">
        <f t="shared" si="13"/>
        <v/>
      </c>
      <c r="BJ462" s="123" t="str">
        <f t="shared" si="14"/>
        <v>#N/A</v>
      </c>
      <c r="BK462" s="64" t="str">
        <f t="shared" si="50"/>
        <v>YES</v>
      </c>
      <c r="BL462" s="64" t="str">
        <f t="shared" si="16"/>
        <v>YES</v>
      </c>
      <c r="BM462" s="64" t="str">
        <f t="shared" si="17"/>
        <v>YES</v>
      </c>
      <c r="BN462" s="124" t="str">
        <f t="shared" si="18"/>
        <v/>
      </c>
      <c r="BO462" s="91" t="str">
        <f t="shared" si="19"/>
        <v/>
      </c>
      <c r="BP462" s="91" t="str">
        <f t="shared" si="20"/>
        <v>#N/A</v>
      </c>
      <c r="BQ462" s="91" t="str">
        <f t="shared" si="21"/>
        <v/>
      </c>
      <c r="BR462" s="93" t="str">
        <f t="shared" si="22"/>
        <v/>
      </c>
      <c r="BS462" s="90" t="str">
        <f t="shared" si="23"/>
        <v/>
      </c>
      <c r="BT462" s="93" t="str">
        <f t="shared" si="24"/>
        <v>NA</v>
      </c>
      <c r="BU462" s="125" t="str">
        <f t="shared" si="25"/>
        <v>#N/A</v>
      </c>
      <c r="BV462" s="93" t="str">
        <f t="shared" si="26"/>
        <v/>
      </c>
      <c r="BW462" s="93" t="str">
        <f t="shared" si="27"/>
        <v/>
      </c>
      <c r="BX462" s="93" t="str">
        <f t="shared" si="28"/>
        <v>NA</v>
      </c>
      <c r="BY462" s="95" t="str">
        <f t="shared" si="29"/>
        <v>#N/A</v>
      </c>
      <c r="BZ462" s="93" t="str">
        <f t="shared" si="30"/>
        <v/>
      </c>
      <c r="CA462" s="93" t="str">
        <f t="shared" si="31"/>
        <v/>
      </c>
      <c r="CB462" s="93" t="str">
        <f t="shared" si="32"/>
        <v>NA</v>
      </c>
      <c r="CC462" s="96" t="str">
        <f t="shared" si="33"/>
        <v>#N/A</v>
      </c>
      <c r="CD462" s="93" t="str">
        <f t="shared" si="34"/>
        <v/>
      </c>
      <c r="CE462" s="93" t="str">
        <f t="shared" si="35"/>
        <v/>
      </c>
      <c r="CF462" s="93" t="str">
        <f t="shared" si="36"/>
        <v>NA</v>
      </c>
      <c r="CG462" s="97" t="str">
        <f t="shared" si="37"/>
        <v>#N/A</v>
      </c>
      <c r="CH462" s="98" t="str">
        <f t="shared" si="38"/>
        <v>#N/A</v>
      </c>
      <c r="CI462" s="99" t="str">
        <f t="shared" si="39"/>
        <v>#N/A</v>
      </c>
      <c r="CJ462" s="126" t="str">
        <f t="shared" si="40"/>
        <v>ERROR: check cell</v>
      </c>
      <c r="CK462" s="126"/>
      <c r="CL462" s="127" t="str">
        <f t="shared" si="41"/>
        <v>#DIV/0!</v>
      </c>
      <c r="CM462" s="128" t="str">
        <f t="shared" si="42"/>
        <v>#DIV/0!</v>
      </c>
      <c r="CN462" s="128">
        <f t="shared" si="43"/>
        <v>4</v>
      </c>
      <c r="CO462" s="129">
        <f t="shared" si="44"/>
        <v>4</v>
      </c>
      <c r="CP462" s="129" t="str">
        <f>IFS(C462=Preferences!B$13,B462,B462=Preferences!B$13,C462)</f>
        <v>#N/A</v>
      </c>
    </row>
    <row r="463" ht="13.5" customHeight="1">
      <c r="A463" s="63" t="str">
        <f t="shared" si="45"/>
        <v/>
      </c>
      <c r="B463" s="64"/>
      <c r="C463" s="64"/>
      <c r="D463" s="64"/>
      <c r="E463" s="65"/>
      <c r="F463" s="65"/>
      <c r="G463" s="65"/>
      <c r="H463" s="66"/>
      <c r="I463" s="66"/>
      <c r="J463" s="67"/>
      <c r="K463" s="68"/>
      <c r="L463" s="104"/>
      <c r="M463" s="104"/>
      <c r="N463" s="104"/>
      <c r="O463" s="104"/>
      <c r="P463" s="107" t="str">
        <f t="shared" si="1"/>
        <v/>
      </c>
      <c r="Q463" s="108" t="str">
        <f>IFERROR(IF(AND(Preferences!B$3="Manual",OR(AX463/AW463&gt;G463/F463,BD463="Serious",BD463="Very serious")),"Assess imprecision",IFS(ISBLANK(E463),"",AND(Preferences!B$3="Automatic", G463/F463&gt;=30),"Extremely serious",AND(H463&lt;=$D$1*-1,J463&lt;0,G463/F463&lt;3),"Not serious",AND(H463&lt;=$D$1*-1,J463&lt;0,G463/F463&gt;=3),"Very serious",AND(H463&gt;=$D$1,I463&gt;0,G463/F463&lt;3),"Not serious",AND(H463&gt;=$D$1,I463&gt;0,G463/F463&gt;=3),"Very serious",AND(H463&lt;=$D$1*-1,J463&gt;0,I463&gt;$D$2*-1,G463/F463&lt;3),"Serious", AND(H463&lt;=$D$1*-1,J463&gt;0,I463&lt;$D$2*-1,G463/F463&lt;3),"Very serious", AND(H463&gt;=$D$1,I463&lt;0,J463&lt;$D$2,G463/F463&lt;3),"Serious",AND(H463&gt;=$D$1,I463&lt;0,J463&gt;$D$2,G463/F463&lt;3),"Very serious", AND(H463&lt;=$D$1*-1,J463&gt;0,I463&gt;$D$2*-1,G463/F463&gt;=3),"Very serious", AND(H463&lt;=$D$1*-1,J463&gt;0,I463&lt;$D$2*-1,G463/F463&gt;=3),"Very serious", AND(H463&gt;=$D$1,I463&lt;0,J463&lt;$D$2,G463/F463&gt;=3),"Very serious", AND(H463&gt;=$D$1,I463&lt;0,J463&gt;$D$2,G463/F463&gt;=3),"Very serious", AND(H463&gt;$D$1*-1,H463&lt;$D$1,I463&gt;$D$1*-1,J463&lt;$D$1,G463/F463&lt;3),"Not serious", AND(H463&gt;$D$1*-1,H463&lt;$D$1,OR(I463&lt;=$D$1*-1,J463&gt;=$D$1),I463&gt;$D$2*-1,J463&lt;$D$2,G463/F463&lt;3),"Serious", AND(H463&gt;$D$1*-1,H463&lt;$D$1,OR(I463&lt;=$D$2*-1,J463&gt;=$D$2),G463/F463&lt;3),"Very serious", AND(H463&gt;$D$1*-1,H463&lt;$D$1,I463&gt;$D$1*-1,J463&lt;$D$1,G463/F463&gt;=3),"Very serious", AND(H463&gt;$D$1*-1,H463&lt;$D$1,OR(I463&lt;=$D$1*-1,J463&gt;=$D$1),I463&gt;$D$2*-1,J463&lt;$D$2,G463/F463&gt;=3),"Very serious", AND(H463&gt;$D$1*-1,H463&lt;$D$1,OR(I463&lt;=$D$2*-1,J463&gt;=$D$2),G463/F463&gt;=3),"Very serious")),"")</f>
        <v/>
      </c>
      <c r="R463" s="109" t="str">
        <f t="shared" si="47"/>
        <v/>
      </c>
      <c r="S463" s="64"/>
      <c r="T463" s="72"/>
      <c r="U463" s="72"/>
      <c r="V463" s="72"/>
      <c r="W463" s="73"/>
      <c r="X463" s="73"/>
      <c r="Y463" s="74"/>
      <c r="Z463" s="113" t="str">
        <f t="array" ref="Z463">INDEX($A$1:$C$500, MATCH(1,($B:$B=$B463)*($C:$C=$AB463),0),1)</f>
        <v/>
      </c>
      <c r="AA463" s="113" t="str">
        <f t="array" ref="AA463">INDEX($A$1:$C$500, MATCH(1,($B:$B=$AB463)*($C:$C=$B463),0),1)</f>
        <v/>
      </c>
      <c r="AB463" s="111"/>
      <c r="AC463" s="114" t="str">
        <f t="shared" si="2"/>
        <v/>
      </c>
      <c r="AD463" s="115" t="str">
        <f t="shared" si="3"/>
        <v/>
      </c>
      <c r="AE463" s="116" t="str">
        <f t="array" ref="AE463">INDEX($A$1:$C$500, MATCH(1,($B:$B=$AB463)*($C:$C=$AG463),0),1)</f>
        <v/>
      </c>
      <c r="AF463" s="116" t="str">
        <f t="array" ref="AF463">INDEX($A$1:$C$500, MATCH(1,($B:$B=$AG463)*($C:$C=$AB463),0),1)</f>
        <v/>
      </c>
      <c r="AG463" s="72"/>
      <c r="AH463" s="114" t="str">
        <f t="shared" si="4"/>
        <v/>
      </c>
      <c r="AI463" s="115" t="str">
        <f t="shared" si="5"/>
        <v/>
      </c>
      <c r="AJ463" s="116" t="str">
        <f t="array" ref="AJ463">INDEX($A$1:$C$500, MATCH(1,($B:$B=$C463)*($C:$C=$AG463),0),1)</f>
        <v/>
      </c>
      <c r="AK463" s="116" t="str">
        <f t="array" ref="AK463">INDEX($A$1:$C$500, MATCH(1,($B:$B=$AG463)*($C:$C=$C463),0),1)</f>
        <v/>
      </c>
      <c r="AL463" s="116" t="str">
        <f t="array" ref="AL463">INDEX($A$1:$C$500, MATCH(1,($B:$B=$C463)*($C:$C=$AB463),0),1)</f>
        <v/>
      </c>
      <c r="AM463" s="116" t="str">
        <f t="array" ref="AM463">INDEX($A$1:$C$500, MATCH(1,($B:$B=$AB463)*($C:$C=$C463),0),1)</f>
        <v/>
      </c>
      <c r="AN463" s="114" t="str">
        <f t="array" ref="AN463">IFS(ISNUMBER(AJ463),AJ463,ISNUMBER(AK463),AK463,ISNUMBER(AL463),AL463,ISNUMBER(AM463),AM463)</f>
        <v>#N/A</v>
      </c>
      <c r="AO463" s="115" t="str">
        <f t="shared" si="6"/>
        <v/>
      </c>
      <c r="AP463" s="115" t="str">
        <f t="shared" si="7"/>
        <v/>
      </c>
      <c r="AQ463" s="111"/>
      <c r="AR463" s="109" t="str">
        <f t="shared" si="8"/>
        <v/>
      </c>
      <c r="AS463" s="72" t="str">
        <f>IFERROR(IF(AND(Preferences!B$3="Manual",OR(AX463/AW463&gt;V463/U463,BD463="Serious",BD463="Very serious")),"Assess imprecision",IFERROR(IFS(AND(Preferences!B$3="Automatic",V463/U463&gt;=30),"Extremely serious",AND(W463&lt;=$D$1*-1,Y463&lt;0,V463/U463&lt;3),"Not Serious",AND(W463&lt;=$D$1*-1,Y463&lt;0,V463/U463&gt;=3),"Very serious",AND(W463&gt;=$D$1,X463&gt;0,V463/U463&lt;3),"Not Serious",AND(W463&gt;=$D$1,X463&gt;0,V463/U463&gt;=3),"Very serious",AND(W463&lt;=$D$1*-1,Y463&gt;0,X463&gt;$D$2*-1,V463/U463&lt;3),"Serious", AND(W463&lt;=$D$1*-1,Y463&gt;0,X463&lt;$D$2*-1,V463/U463&lt;3),"Very serious", AND(W463&gt;=$D$1,X463&lt;0,Y463&lt;$D$2,V463/U463&lt;3),"Serious",AND(W463&gt;=$D$1,X463&lt;0,Y463&gt;$D$2,V463/U463&lt;3),"Very serious", AND(W463&lt;=$D$1*-1,Y463&gt;0,X463&gt;$D$2*-1,V463/U463&gt;=3),"Very serious", AND(W463&lt;=$D$1*-1,Y463&gt;0,X463&lt;$D$2*-1,V463/U463&gt;=3),"Very serious", AND(W463&gt;=$D$1,X463&lt;0,Y463&lt;$D$2,V463/U463&gt;=3),"Very serious", AND(W463&gt;=$D$1,X463&lt;0,Y463&gt;$D$2,V463/U463&gt;=3),"Very serious", AND(W463&gt;$D$1*-1,W463&lt;$D$1,X463&gt;$D$1*-1,Y463&lt;$D$1,V463/U463&lt;3),"Not Serious", AND(W463&gt;$D$1*-1,W463&lt;$D$1,OR(X463&lt;=$D$1*-1,Y463&gt;=$D$1),X463&gt;$D$2*-1,Y463&lt;$D$2,V463/U463&lt;3),"Serious", AND(W463&gt;$D$1*-1,W463&lt;$D$1,OR(X463&lt;=$D$2*-1,Y463&gt;=$D$2),V463/U463&lt;3),"Very serious", AND(W463&gt;$D$1*-1,W463&lt;$D$1,X463&gt;$D$1*-1,Y463&lt;$D$1,V463/U463&gt;=3),"Very serious", AND(W463&gt;$D$1*-1,W463&lt;$D$1,OR(X463&lt;=$D$1*-1,Y463&gt;=$D$1),X463&gt;$D$2*-1,Y463&lt;$D$2,V463/U463&gt;=3),"Very serious", AND(W463&gt;$D$1*-1,W463&lt;$D$1,OR(X463&lt;=$D$2*-1,Y463&gt;=$D$2),V463/U463&gt;=3),"Very serious"),"")),"")</f>
        <v/>
      </c>
      <c r="AT463" s="109" t="str">
        <f t="shared" si="9"/>
        <v/>
      </c>
      <c r="AU463" s="64"/>
      <c r="AV463" s="83"/>
      <c r="AW463" s="83"/>
      <c r="AX463" s="83"/>
      <c r="AY463" s="83"/>
      <c r="AZ463" s="83"/>
      <c r="BA463" s="85"/>
      <c r="BB463" s="86" t="str">
        <f>IF(Preferences!B$9="Manual","",IFS(ISBLANK(B463),"",AND(ISNUMBER(E463)=TRUE,ISNUMBER(T463)=FALSE),"Direct", AND(ISNUMBER(E463)=FALSE,ISNUMBER(T463)=TRUE),"Indirect", CN463=4,"Direct",AND(CL463=FALSE, CM463=TRUE,CN463-CO463&gt;-1),"Direct", AND(CL463=FALSE,CM463=TRUE, CN463-CO463&lt;0),"Check algorithm in appendix 2", AND(CL463=TRUE, CM463=FALSE,CN463-CO463&gt;0),"Check algorithm in appendix 2", AND(CL463=TRUE, CM463=FALSE,CN463-CO463=0),"Indirect", AND(CL463=TRUE, CM463=FALSE,CN463-CO463&lt;0),"Indirect", AND(CL463=FALSE,CM463=FALSE,CN463-CO463&gt;-1),"Direct", AND(CL463=FALSE,CM463=FALSE,CN463-CO463&lt;0),"Check algorithm in appendix 2", AND(CL463=TRUE,CM463=TRUE,CN463-CO463&gt;-1),"Direct", AND(CL463=TRUE,CM463=TRUE,CN463-CO463&lt;0),"Check algorithm in appendix 2"))</f>
        <v/>
      </c>
      <c r="BC463" s="120" t="str">
        <f t="shared" si="10"/>
        <v/>
      </c>
      <c r="BD463" s="140"/>
      <c r="BE463" s="122" t="str">
        <f>IF(Preferences!B$3="Manual","", IFERROR(IFS(AND(Preferences!B$3="Automatic",AX463/AW463&gt;=30),"Extremely serious",AND(AY463&lt;=$D$1*-1,BA463&lt;0,AX463/AW463&lt;3),"Not Serious",AND(AY463&lt;=$D$1*-1,BA463&lt;0,AX463/AW463&gt;=3),"Very serious",AND(AY463&gt;=$D$1,AZ463&gt;0,AX463/AW463&lt;3),"Not Serious",AND(AY463&gt;=$D$1,AZ463&gt;0,AX463/AW463&gt;=3),"Very serious",AND(AY463&lt;=$D$1*-1,BA463&gt;0,AZ463&gt;$D$2*-1,AX463/AW463&lt;3),"Serious", AND(AY463&lt;=$D$1*-1,BA463&gt;0,AZ463&lt;$D$2*-1,AX463/AW463&lt;3),"Very serious", AND(AY463&gt;=$D$1,AZ463&lt;0,BA463&lt;$D$2,AX463/AW463&lt;3),"Serious",AND(AY463&gt;=$D$1,AZ463&lt;0,BA463&gt;$D$2,AX463/AW463&lt;3),"Very serious", AND(AY463&lt;=$D$1*-1,BA463&gt;0,AZ463&gt;$D$2*-1,AX463/AW463&gt;=3),"Very serious", AND(AY463&lt;=$D$1*-1,BA463&gt;0,AZ463&lt;$D$2*-1,AX463/AW463&gt;=3),"Very serious", AND(AY463&gt;=$D$1,AZ463&lt;0,BA463&lt;$D$2,AX463/AW463&gt;=3),"Very serious", AND(AY463&gt;=$D$1,AZ463&lt;0,BA463&gt;$D$2,AX463/AW463&gt;=3),"Very serious", AND(AY463&gt;$D$1*-1,AY463&lt;$D$1,AZ463&gt;$D$1*-1,BA463&lt;$D$1,AX463/AW463&lt;3),"Not Serious", AND(AY463&gt;$D$1*-1,AY463&lt;$D$1,OR(AZ463&lt;=$D$1*-1,BA463&gt;=$D$1),AZ463&gt;$D$2*-1,BA463&lt;$D$2,AX463/AW463&lt;3),"Serious", AND(AY463&gt;$D$1*-1,AY463&lt;$D$1,OR(AZ463&lt;=$D$2*-1,BA463&gt;=$D$2),AX463/AW463&lt;3),"Very serious", AND(AY463&gt;$D$1*-1,AY463&lt;$D$1,AZ463&gt;$D$1*-1,BA463&lt;$D$1,AX463/AW463&gt;=3),"Very serious", AND(AY463&gt;$D$1*-1,AY463&lt;$D$1,OR(AZ463&lt;=$D$1*-1,BA463&gt;=$D$1),AZ463&gt;$D$2*-1,BA463&lt;$D$2,AX463/AW463&gt;=3),"Very serious", AND(AY463&gt;$D$1*-1,AY463&lt;$D$1,OR(AZ463&lt;=$D$2*-1,BA463&gt;=$D$2),AX463/AW463&gt;=3),"Very serious"),""))</f>
        <v/>
      </c>
      <c r="BF463" s="107" t="str">
        <f t="shared" si="11"/>
        <v/>
      </c>
      <c r="BG463" s="94" t="str">
        <f t="shared" si="46"/>
        <v/>
      </c>
      <c r="BH463" s="64" t="str">
        <f t="shared" si="12"/>
        <v>#N/A</v>
      </c>
      <c r="BI463" s="64" t="str">
        <f t="shared" si="13"/>
        <v/>
      </c>
      <c r="BJ463" s="123" t="str">
        <f t="shared" si="14"/>
        <v>#N/A</v>
      </c>
      <c r="BK463" s="64" t="str">
        <f t="shared" si="50"/>
        <v>YES</v>
      </c>
      <c r="BL463" s="64" t="str">
        <f t="shared" si="16"/>
        <v>YES</v>
      </c>
      <c r="BM463" s="64" t="str">
        <f t="shared" si="17"/>
        <v>YES</v>
      </c>
      <c r="BN463" s="124" t="str">
        <f t="shared" si="18"/>
        <v/>
      </c>
      <c r="BO463" s="91" t="str">
        <f t="shared" si="19"/>
        <v/>
      </c>
      <c r="BP463" s="91" t="str">
        <f t="shared" si="20"/>
        <v>#N/A</v>
      </c>
      <c r="BQ463" s="91" t="str">
        <f t="shared" si="21"/>
        <v/>
      </c>
      <c r="BR463" s="93" t="str">
        <f t="shared" si="22"/>
        <v/>
      </c>
      <c r="BS463" s="90" t="str">
        <f t="shared" si="23"/>
        <v/>
      </c>
      <c r="BT463" s="93" t="str">
        <f t="shared" si="24"/>
        <v>NA</v>
      </c>
      <c r="BU463" s="125" t="str">
        <f t="shared" si="25"/>
        <v>#N/A</v>
      </c>
      <c r="BV463" s="93" t="str">
        <f t="shared" si="26"/>
        <v/>
      </c>
      <c r="BW463" s="93" t="str">
        <f t="shared" si="27"/>
        <v/>
      </c>
      <c r="BX463" s="93" t="str">
        <f t="shared" si="28"/>
        <v>NA</v>
      </c>
      <c r="BY463" s="95" t="str">
        <f t="shared" si="29"/>
        <v>#N/A</v>
      </c>
      <c r="BZ463" s="93" t="str">
        <f t="shared" si="30"/>
        <v/>
      </c>
      <c r="CA463" s="93" t="str">
        <f t="shared" si="31"/>
        <v/>
      </c>
      <c r="CB463" s="93" t="str">
        <f t="shared" si="32"/>
        <v>NA</v>
      </c>
      <c r="CC463" s="96" t="str">
        <f t="shared" si="33"/>
        <v>#N/A</v>
      </c>
      <c r="CD463" s="93" t="str">
        <f t="shared" si="34"/>
        <v/>
      </c>
      <c r="CE463" s="93" t="str">
        <f t="shared" si="35"/>
        <v/>
      </c>
      <c r="CF463" s="93" t="str">
        <f t="shared" si="36"/>
        <v>NA</v>
      </c>
      <c r="CG463" s="97" t="str">
        <f t="shared" si="37"/>
        <v>#N/A</v>
      </c>
      <c r="CH463" s="98" t="str">
        <f t="shared" si="38"/>
        <v>#N/A</v>
      </c>
      <c r="CI463" s="99" t="str">
        <f t="shared" si="39"/>
        <v>#N/A</v>
      </c>
      <c r="CJ463" s="126" t="str">
        <f t="shared" si="40"/>
        <v>ERROR: check cell</v>
      </c>
      <c r="CK463" s="126"/>
      <c r="CL463" s="127" t="str">
        <f t="shared" si="41"/>
        <v>#DIV/0!</v>
      </c>
      <c r="CM463" s="128" t="str">
        <f t="shared" si="42"/>
        <v>#DIV/0!</v>
      </c>
      <c r="CN463" s="128">
        <f t="shared" si="43"/>
        <v>4</v>
      </c>
      <c r="CO463" s="129">
        <f t="shared" si="44"/>
        <v>4</v>
      </c>
      <c r="CP463" s="129" t="str">
        <f>IFS(C463=Preferences!B$13,B463,B463=Preferences!B$13,C463)</f>
        <v>#N/A</v>
      </c>
    </row>
    <row r="464" ht="13.5" customHeight="1">
      <c r="A464" s="63" t="str">
        <f t="shared" si="45"/>
        <v/>
      </c>
      <c r="B464" s="64"/>
      <c r="C464" s="64"/>
      <c r="D464" s="64"/>
      <c r="E464" s="65"/>
      <c r="F464" s="65"/>
      <c r="G464" s="65"/>
      <c r="H464" s="66"/>
      <c r="I464" s="66"/>
      <c r="J464" s="67"/>
      <c r="K464" s="68"/>
      <c r="L464" s="104"/>
      <c r="M464" s="104"/>
      <c r="N464" s="104"/>
      <c r="O464" s="104"/>
      <c r="P464" s="107" t="str">
        <f t="shared" si="1"/>
        <v/>
      </c>
      <c r="Q464" s="108" t="str">
        <f>IFERROR(IF(AND(Preferences!B$3="Manual",OR(AX464/AW464&gt;G464/F464,BD464="Serious",BD464="Very serious")),"Assess imprecision",IFS(ISBLANK(E464),"",AND(Preferences!B$3="Automatic", G464/F464&gt;=30),"Extremely serious",AND(H464&lt;=$D$1*-1,J464&lt;0,G464/F464&lt;3),"Not serious",AND(H464&lt;=$D$1*-1,J464&lt;0,G464/F464&gt;=3),"Very serious",AND(H464&gt;=$D$1,I464&gt;0,G464/F464&lt;3),"Not serious",AND(H464&gt;=$D$1,I464&gt;0,G464/F464&gt;=3),"Very serious",AND(H464&lt;=$D$1*-1,J464&gt;0,I464&gt;$D$2*-1,G464/F464&lt;3),"Serious", AND(H464&lt;=$D$1*-1,J464&gt;0,I464&lt;$D$2*-1,G464/F464&lt;3),"Very serious", AND(H464&gt;=$D$1,I464&lt;0,J464&lt;$D$2,G464/F464&lt;3),"Serious",AND(H464&gt;=$D$1,I464&lt;0,J464&gt;$D$2,G464/F464&lt;3),"Very serious", AND(H464&lt;=$D$1*-1,J464&gt;0,I464&gt;$D$2*-1,G464/F464&gt;=3),"Very serious", AND(H464&lt;=$D$1*-1,J464&gt;0,I464&lt;$D$2*-1,G464/F464&gt;=3),"Very serious", AND(H464&gt;=$D$1,I464&lt;0,J464&lt;$D$2,G464/F464&gt;=3),"Very serious", AND(H464&gt;=$D$1,I464&lt;0,J464&gt;$D$2,G464/F464&gt;=3),"Very serious", AND(H464&gt;$D$1*-1,H464&lt;$D$1,I464&gt;$D$1*-1,J464&lt;$D$1,G464/F464&lt;3),"Not serious", AND(H464&gt;$D$1*-1,H464&lt;$D$1,OR(I464&lt;=$D$1*-1,J464&gt;=$D$1),I464&gt;$D$2*-1,J464&lt;$D$2,G464/F464&lt;3),"Serious", AND(H464&gt;$D$1*-1,H464&lt;$D$1,OR(I464&lt;=$D$2*-1,J464&gt;=$D$2),G464/F464&lt;3),"Very serious", AND(H464&gt;$D$1*-1,H464&lt;$D$1,I464&gt;$D$1*-1,J464&lt;$D$1,G464/F464&gt;=3),"Very serious", AND(H464&gt;$D$1*-1,H464&lt;$D$1,OR(I464&lt;=$D$1*-1,J464&gt;=$D$1),I464&gt;$D$2*-1,J464&lt;$D$2,G464/F464&gt;=3),"Very serious", AND(H464&gt;$D$1*-1,H464&lt;$D$1,OR(I464&lt;=$D$2*-1,J464&gt;=$D$2),G464/F464&gt;=3),"Very serious")),"")</f>
        <v/>
      </c>
      <c r="R464" s="109" t="str">
        <f t="shared" si="47"/>
        <v/>
      </c>
      <c r="S464" s="64"/>
      <c r="T464" s="72"/>
      <c r="U464" s="72"/>
      <c r="V464" s="72"/>
      <c r="W464" s="73"/>
      <c r="X464" s="73"/>
      <c r="Y464" s="74"/>
      <c r="Z464" s="113" t="str">
        <f t="array" ref="Z464">INDEX($A$1:$C$500, MATCH(1,($B:$B=$B464)*($C:$C=$AB464),0),1)</f>
        <v/>
      </c>
      <c r="AA464" s="113" t="str">
        <f t="array" ref="AA464">INDEX($A$1:$C$500, MATCH(1,($B:$B=$AB464)*($C:$C=$B464),0),1)</f>
        <v/>
      </c>
      <c r="AB464" s="111"/>
      <c r="AC464" s="114" t="str">
        <f t="shared" si="2"/>
        <v/>
      </c>
      <c r="AD464" s="115" t="str">
        <f t="shared" si="3"/>
        <v/>
      </c>
      <c r="AE464" s="116" t="str">
        <f t="array" ref="AE464">INDEX($A$1:$C$500, MATCH(1,($B:$B=$AB464)*($C:$C=$AG464),0),1)</f>
        <v/>
      </c>
      <c r="AF464" s="116" t="str">
        <f t="array" ref="AF464">INDEX($A$1:$C$500, MATCH(1,($B:$B=$AG464)*($C:$C=$AB464),0),1)</f>
        <v/>
      </c>
      <c r="AG464" s="72"/>
      <c r="AH464" s="114" t="str">
        <f t="shared" si="4"/>
        <v/>
      </c>
      <c r="AI464" s="115" t="str">
        <f t="shared" si="5"/>
        <v/>
      </c>
      <c r="AJ464" s="116" t="str">
        <f t="array" ref="AJ464">INDEX($A$1:$C$500, MATCH(1,($B:$B=$C464)*($C:$C=$AG464),0),1)</f>
        <v/>
      </c>
      <c r="AK464" s="116" t="str">
        <f t="array" ref="AK464">INDEX($A$1:$C$500, MATCH(1,($B:$B=$AG464)*($C:$C=$C464),0),1)</f>
        <v/>
      </c>
      <c r="AL464" s="116" t="str">
        <f t="array" ref="AL464">INDEX($A$1:$C$500, MATCH(1,($B:$B=$C464)*($C:$C=$AB464),0),1)</f>
        <v/>
      </c>
      <c r="AM464" s="116" t="str">
        <f t="array" ref="AM464">INDEX($A$1:$C$500, MATCH(1,($B:$B=$AB464)*($C:$C=$C464),0),1)</f>
        <v/>
      </c>
      <c r="AN464" s="114" t="str">
        <f t="array" ref="AN464">IFS(ISNUMBER(AJ464),AJ464,ISNUMBER(AK464),AK464,ISNUMBER(AL464),AL464,ISNUMBER(AM464),AM464)</f>
        <v>#N/A</v>
      </c>
      <c r="AO464" s="115" t="str">
        <f t="shared" si="6"/>
        <v/>
      </c>
      <c r="AP464" s="115" t="str">
        <f t="shared" si="7"/>
        <v/>
      </c>
      <c r="AQ464" s="111"/>
      <c r="AR464" s="109" t="str">
        <f t="shared" si="8"/>
        <v/>
      </c>
      <c r="AS464" s="72" t="str">
        <f>IFERROR(IF(AND(Preferences!B$3="Manual",OR(AX464/AW464&gt;V464/U464,BD464="Serious",BD464="Very serious")),"Assess imprecision",IFERROR(IFS(AND(Preferences!B$3="Automatic",V464/U464&gt;=30),"Extremely serious",AND(W464&lt;=$D$1*-1,Y464&lt;0,V464/U464&lt;3),"Not Serious",AND(W464&lt;=$D$1*-1,Y464&lt;0,V464/U464&gt;=3),"Very serious",AND(W464&gt;=$D$1,X464&gt;0,V464/U464&lt;3),"Not Serious",AND(W464&gt;=$D$1,X464&gt;0,V464/U464&gt;=3),"Very serious",AND(W464&lt;=$D$1*-1,Y464&gt;0,X464&gt;$D$2*-1,V464/U464&lt;3),"Serious", AND(W464&lt;=$D$1*-1,Y464&gt;0,X464&lt;$D$2*-1,V464/U464&lt;3),"Very serious", AND(W464&gt;=$D$1,X464&lt;0,Y464&lt;$D$2,V464/U464&lt;3),"Serious",AND(W464&gt;=$D$1,X464&lt;0,Y464&gt;$D$2,V464/U464&lt;3),"Very serious", AND(W464&lt;=$D$1*-1,Y464&gt;0,X464&gt;$D$2*-1,V464/U464&gt;=3),"Very serious", AND(W464&lt;=$D$1*-1,Y464&gt;0,X464&lt;$D$2*-1,V464/U464&gt;=3),"Very serious", AND(W464&gt;=$D$1,X464&lt;0,Y464&lt;$D$2,V464/U464&gt;=3),"Very serious", AND(W464&gt;=$D$1,X464&lt;0,Y464&gt;$D$2,V464/U464&gt;=3),"Very serious", AND(W464&gt;$D$1*-1,W464&lt;$D$1,X464&gt;$D$1*-1,Y464&lt;$D$1,V464/U464&lt;3),"Not Serious", AND(W464&gt;$D$1*-1,W464&lt;$D$1,OR(X464&lt;=$D$1*-1,Y464&gt;=$D$1),X464&gt;$D$2*-1,Y464&lt;$D$2,V464/U464&lt;3),"Serious", AND(W464&gt;$D$1*-1,W464&lt;$D$1,OR(X464&lt;=$D$2*-1,Y464&gt;=$D$2),V464/U464&lt;3),"Very serious", AND(W464&gt;$D$1*-1,W464&lt;$D$1,X464&gt;$D$1*-1,Y464&lt;$D$1,V464/U464&gt;=3),"Very serious", AND(W464&gt;$D$1*-1,W464&lt;$D$1,OR(X464&lt;=$D$1*-1,Y464&gt;=$D$1),X464&gt;$D$2*-1,Y464&lt;$D$2,V464/U464&gt;=3),"Very serious", AND(W464&gt;$D$1*-1,W464&lt;$D$1,OR(X464&lt;=$D$2*-1,Y464&gt;=$D$2),V464/U464&gt;=3),"Very serious"),"")),"")</f>
        <v/>
      </c>
      <c r="AT464" s="109" t="str">
        <f t="shared" si="9"/>
        <v/>
      </c>
      <c r="AU464" s="64"/>
      <c r="AV464" s="83"/>
      <c r="AW464" s="83"/>
      <c r="AX464" s="83"/>
      <c r="AY464" s="83"/>
      <c r="AZ464" s="83"/>
      <c r="BA464" s="85"/>
      <c r="BB464" s="86" t="str">
        <f>IF(Preferences!B$9="Manual","",IFS(ISBLANK(B464),"",AND(ISNUMBER(E464)=TRUE,ISNUMBER(T464)=FALSE),"Direct", AND(ISNUMBER(E464)=FALSE,ISNUMBER(T464)=TRUE),"Indirect", CN464=4,"Direct",AND(CL464=FALSE, CM464=TRUE,CN464-CO464&gt;-1),"Direct", AND(CL464=FALSE,CM464=TRUE, CN464-CO464&lt;0),"Check algorithm in appendix 2", AND(CL464=TRUE, CM464=FALSE,CN464-CO464&gt;0),"Check algorithm in appendix 2", AND(CL464=TRUE, CM464=FALSE,CN464-CO464=0),"Indirect", AND(CL464=TRUE, CM464=FALSE,CN464-CO464&lt;0),"Indirect", AND(CL464=FALSE,CM464=FALSE,CN464-CO464&gt;-1),"Direct", AND(CL464=FALSE,CM464=FALSE,CN464-CO464&lt;0),"Check algorithm in appendix 2", AND(CL464=TRUE,CM464=TRUE,CN464-CO464&gt;-1),"Direct", AND(CL464=TRUE,CM464=TRUE,CN464-CO464&lt;0),"Check algorithm in appendix 2"))</f>
        <v/>
      </c>
      <c r="BC464" s="120" t="str">
        <f t="shared" si="10"/>
        <v/>
      </c>
      <c r="BD464" s="140"/>
      <c r="BE464" s="122" t="str">
        <f>IF(Preferences!B$3="Manual","", IFERROR(IFS(AND(Preferences!B$3="Automatic",AX464/AW464&gt;=30),"Extremely serious",AND(AY464&lt;=$D$1*-1,BA464&lt;0,AX464/AW464&lt;3),"Not Serious",AND(AY464&lt;=$D$1*-1,BA464&lt;0,AX464/AW464&gt;=3),"Very serious",AND(AY464&gt;=$D$1,AZ464&gt;0,AX464/AW464&lt;3),"Not Serious",AND(AY464&gt;=$D$1,AZ464&gt;0,AX464/AW464&gt;=3),"Very serious",AND(AY464&lt;=$D$1*-1,BA464&gt;0,AZ464&gt;$D$2*-1,AX464/AW464&lt;3),"Serious", AND(AY464&lt;=$D$1*-1,BA464&gt;0,AZ464&lt;$D$2*-1,AX464/AW464&lt;3),"Very serious", AND(AY464&gt;=$D$1,AZ464&lt;0,BA464&lt;$D$2,AX464/AW464&lt;3),"Serious",AND(AY464&gt;=$D$1,AZ464&lt;0,BA464&gt;$D$2,AX464/AW464&lt;3),"Very serious", AND(AY464&lt;=$D$1*-1,BA464&gt;0,AZ464&gt;$D$2*-1,AX464/AW464&gt;=3),"Very serious", AND(AY464&lt;=$D$1*-1,BA464&gt;0,AZ464&lt;$D$2*-1,AX464/AW464&gt;=3),"Very serious", AND(AY464&gt;=$D$1,AZ464&lt;0,BA464&lt;$D$2,AX464/AW464&gt;=3),"Very serious", AND(AY464&gt;=$D$1,AZ464&lt;0,BA464&gt;$D$2,AX464/AW464&gt;=3),"Very serious", AND(AY464&gt;$D$1*-1,AY464&lt;$D$1,AZ464&gt;$D$1*-1,BA464&lt;$D$1,AX464/AW464&lt;3),"Not Serious", AND(AY464&gt;$D$1*-1,AY464&lt;$D$1,OR(AZ464&lt;=$D$1*-1,BA464&gt;=$D$1),AZ464&gt;$D$2*-1,BA464&lt;$D$2,AX464/AW464&lt;3),"Serious", AND(AY464&gt;$D$1*-1,AY464&lt;$D$1,OR(AZ464&lt;=$D$2*-1,BA464&gt;=$D$2),AX464/AW464&lt;3),"Very serious", AND(AY464&gt;$D$1*-1,AY464&lt;$D$1,AZ464&gt;$D$1*-1,BA464&lt;$D$1,AX464/AW464&gt;=3),"Very serious", AND(AY464&gt;$D$1*-1,AY464&lt;$D$1,OR(AZ464&lt;=$D$1*-1,BA464&gt;=$D$1),AZ464&gt;$D$2*-1,BA464&lt;$D$2,AX464/AW464&gt;=3),"Very serious", AND(AY464&gt;$D$1*-1,AY464&lt;$D$1,OR(AZ464&lt;=$D$2*-1,BA464&gt;=$D$2),AX464/AW464&gt;=3),"Very serious"),""))</f>
        <v/>
      </c>
      <c r="BF464" s="107" t="str">
        <f t="shared" si="11"/>
        <v/>
      </c>
      <c r="BG464" s="94" t="str">
        <f t="shared" si="46"/>
        <v/>
      </c>
      <c r="BH464" s="64" t="str">
        <f t="shared" si="12"/>
        <v>#N/A</v>
      </c>
      <c r="BI464" s="64" t="str">
        <f t="shared" si="13"/>
        <v/>
      </c>
      <c r="BJ464" s="123" t="str">
        <f t="shared" si="14"/>
        <v>#N/A</v>
      </c>
      <c r="BK464" s="64" t="str">
        <f t="shared" si="50"/>
        <v>YES</v>
      </c>
      <c r="BL464" s="64" t="str">
        <f t="shared" si="16"/>
        <v>YES</v>
      </c>
      <c r="BM464" s="64" t="str">
        <f t="shared" si="17"/>
        <v>YES</v>
      </c>
      <c r="BN464" s="124" t="str">
        <f t="shared" si="18"/>
        <v/>
      </c>
      <c r="BO464" s="91" t="str">
        <f t="shared" si="19"/>
        <v/>
      </c>
      <c r="BP464" s="91" t="str">
        <f t="shared" si="20"/>
        <v>#N/A</v>
      </c>
      <c r="BQ464" s="91" t="str">
        <f t="shared" si="21"/>
        <v/>
      </c>
      <c r="BR464" s="93" t="str">
        <f t="shared" si="22"/>
        <v/>
      </c>
      <c r="BS464" s="90" t="str">
        <f t="shared" si="23"/>
        <v/>
      </c>
      <c r="BT464" s="93" t="str">
        <f t="shared" si="24"/>
        <v>NA</v>
      </c>
      <c r="BU464" s="125" t="str">
        <f t="shared" si="25"/>
        <v>#N/A</v>
      </c>
      <c r="BV464" s="93" t="str">
        <f t="shared" si="26"/>
        <v/>
      </c>
      <c r="BW464" s="93" t="str">
        <f t="shared" si="27"/>
        <v/>
      </c>
      <c r="BX464" s="93" t="str">
        <f t="shared" si="28"/>
        <v>NA</v>
      </c>
      <c r="BY464" s="95" t="str">
        <f t="shared" si="29"/>
        <v>#N/A</v>
      </c>
      <c r="BZ464" s="93" t="str">
        <f t="shared" si="30"/>
        <v/>
      </c>
      <c r="CA464" s="93" t="str">
        <f t="shared" si="31"/>
        <v/>
      </c>
      <c r="CB464" s="93" t="str">
        <f t="shared" si="32"/>
        <v>NA</v>
      </c>
      <c r="CC464" s="96" t="str">
        <f t="shared" si="33"/>
        <v>#N/A</v>
      </c>
      <c r="CD464" s="93" t="str">
        <f t="shared" si="34"/>
        <v/>
      </c>
      <c r="CE464" s="93" t="str">
        <f t="shared" si="35"/>
        <v/>
      </c>
      <c r="CF464" s="93" t="str">
        <f t="shared" si="36"/>
        <v>NA</v>
      </c>
      <c r="CG464" s="97" t="str">
        <f t="shared" si="37"/>
        <v>#N/A</v>
      </c>
      <c r="CH464" s="98" t="str">
        <f t="shared" si="38"/>
        <v>#N/A</v>
      </c>
      <c r="CI464" s="99" t="str">
        <f t="shared" si="39"/>
        <v>#N/A</v>
      </c>
      <c r="CJ464" s="126" t="str">
        <f t="shared" si="40"/>
        <v>ERROR: check cell</v>
      </c>
      <c r="CK464" s="126"/>
      <c r="CL464" s="127" t="str">
        <f t="shared" si="41"/>
        <v>#DIV/0!</v>
      </c>
      <c r="CM464" s="128" t="str">
        <f t="shared" si="42"/>
        <v>#DIV/0!</v>
      </c>
      <c r="CN464" s="128">
        <f t="shared" si="43"/>
        <v>4</v>
      </c>
      <c r="CO464" s="129">
        <f t="shared" si="44"/>
        <v>4</v>
      </c>
      <c r="CP464" s="129" t="str">
        <f>IFS(C464=Preferences!B$13,B464,B464=Preferences!B$13,C464)</f>
        <v>#N/A</v>
      </c>
    </row>
    <row r="465" ht="13.5" customHeight="1">
      <c r="A465" s="63" t="str">
        <f t="shared" si="45"/>
        <v/>
      </c>
      <c r="B465" s="64"/>
      <c r="C465" s="64"/>
      <c r="D465" s="64"/>
      <c r="E465" s="65"/>
      <c r="F465" s="65"/>
      <c r="G465" s="65"/>
      <c r="H465" s="66"/>
      <c r="I465" s="66"/>
      <c r="J465" s="67"/>
      <c r="K465" s="68"/>
      <c r="L465" s="104"/>
      <c r="M465" s="104"/>
      <c r="N465" s="104"/>
      <c r="O465" s="104"/>
      <c r="P465" s="107" t="str">
        <f t="shared" si="1"/>
        <v/>
      </c>
      <c r="Q465" s="108" t="str">
        <f>IFERROR(IF(AND(Preferences!B$3="Manual",OR(AX465/AW465&gt;G465/F465,BD465="Serious",BD465="Very serious")),"Assess imprecision",IFS(ISBLANK(E465),"",AND(Preferences!B$3="Automatic", G465/F465&gt;=30),"Extremely serious",AND(H465&lt;=$D$1*-1,J465&lt;0,G465/F465&lt;3),"Not serious",AND(H465&lt;=$D$1*-1,J465&lt;0,G465/F465&gt;=3),"Very serious",AND(H465&gt;=$D$1,I465&gt;0,G465/F465&lt;3),"Not serious",AND(H465&gt;=$D$1,I465&gt;0,G465/F465&gt;=3),"Very serious",AND(H465&lt;=$D$1*-1,J465&gt;0,I465&gt;$D$2*-1,G465/F465&lt;3),"Serious", AND(H465&lt;=$D$1*-1,J465&gt;0,I465&lt;$D$2*-1,G465/F465&lt;3),"Very serious", AND(H465&gt;=$D$1,I465&lt;0,J465&lt;$D$2,G465/F465&lt;3),"Serious",AND(H465&gt;=$D$1,I465&lt;0,J465&gt;$D$2,G465/F465&lt;3),"Very serious", AND(H465&lt;=$D$1*-1,J465&gt;0,I465&gt;$D$2*-1,G465/F465&gt;=3),"Very serious", AND(H465&lt;=$D$1*-1,J465&gt;0,I465&lt;$D$2*-1,G465/F465&gt;=3),"Very serious", AND(H465&gt;=$D$1,I465&lt;0,J465&lt;$D$2,G465/F465&gt;=3),"Very serious", AND(H465&gt;=$D$1,I465&lt;0,J465&gt;$D$2,G465/F465&gt;=3),"Very serious", AND(H465&gt;$D$1*-1,H465&lt;$D$1,I465&gt;$D$1*-1,J465&lt;$D$1,G465/F465&lt;3),"Not serious", AND(H465&gt;$D$1*-1,H465&lt;$D$1,OR(I465&lt;=$D$1*-1,J465&gt;=$D$1),I465&gt;$D$2*-1,J465&lt;$D$2,G465/F465&lt;3),"Serious", AND(H465&gt;$D$1*-1,H465&lt;$D$1,OR(I465&lt;=$D$2*-1,J465&gt;=$D$2),G465/F465&lt;3),"Very serious", AND(H465&gt;$D$1*-1,H465&lt;$D$1,I465&gt;$D$1*-1,J465&lt;$D$1,G465/F465&gt;=3),"Very serious", AND(H465&gt;$D$1*-1,H465&lt;$D$1,OR(I465&lt;=$D$1*-1,J465&gt;=$D$1),I465&gt;$D$2*-1,J465&lt;$D$2,G465/F465&gt;=3),"Very serious", AND(H465&gt;$D$1*-1,H465&lt;$D$1,OR(I465&lt;=$D$2*-1,J465&gt;=$D$2),G465/F465&gt;=3),"Very serious")),"")</f>
        <v/>
      </c>
      <c r="R465" s="109" t="str">
        <f t="shared" si="47"/>
        <v/>
      </c>
      <c r="S465" s="64"/>
      <c r="T465" s="72"/>
      <c r="U465" s="72"/>
      <c r="V465" s="72"/>
      <c r="W465" s="73"/>
      <c r="X465" s="73"/>
      <c r="Y465" s="74"/>
      <c r="Z465" s="113" t="str">
        <f t="array" ref="Z465">INDEX($A$1:$C$500, MATCH(1,($B:$B=$B465)*($C:$C=$AB465),0),1)</f>
        <v/>
      </c>
      <c r="AA465" s="113" t="str">
        <f t="array" ref="AA465">INDEX($A$1:$C$500, MATCH(1,($B:$B=$AB465)*($C:$C=$B465),0),1)</f>
        <v/>
      </c>
      <c r="AB465" s="111"/>
      <c r="AC465" s="114" t="str">
        <f t="shared" si="2"/>
        <v/>
      </c>
      <c r="AD465" s="115" t="str">
        <f t="shared" si="3"/>
        <v/>
      </c>
      <c r="AE465" s="116" t="str">
        <f t="array" ref="AE465">INDEX($A$1:$C$500, MATCH(1,($B:$B=$AB465)*($C:$C=$AG465),0),1)</f>
        <v/>
      </c>
      <c r="AF465" s="116" t="str">
        <f t="array" ref="AF465">INDEX($A$1:$C$500, MATCH(1,($B:$B=$AG465)*($C:$C=$AB465),0),1)</f>
        <v/>
      </c>
      <c r="AG465" s="72"/>
      <c r="AH465" s="114" t="str">
        <f t="shared" si="4"/>
        <v/>
      </c>
      <c r="AI465" s="115" t="str">
        <f t="shared" si="5"/>
        <v/>
      </c>
      <c r="AJ465" s="116" t="str">
        <f t="array" ref="AJ465">INDEX($A$1:$C$500, MATCH(1,($B:$B=$C465)*($C:$C=$AG465),0),1)</f>
        <v/>
      </c>
      <c r="AK465" s="116" t="str">
        <f t="array" ref="AK465">INDEX($A$1:$C$500, MATCH(1,($B:$B=$AG465)*($C:$C=$C465),0),1)</f>
        <v/>
      </c>
      <c r="AL465" s="116" t="str">
        <f t="array" ref="AL465">INDEX($A$1:$C$500, MATCH(1,($B:$B=$C465)*($C:$C=$AB465),0),1)</f>
        <v/>
      </c>
      <c r="AM465" s="116" t="str">
        <f t="array" ref="AM465">INDEX($A$1:$C$500, MATCH(1,($B:$B=$AB465)*($C:$C=$C465),0),1)</f>
        <v/>
      </c>
      <c r="AN465" s="114" t="str">
        <f t="array" ref="AN465">IFS(ISNUMBER(AJ465),AJ465,ISNUMBER(AK465),AK465,ISNUMBER(AL465),AL465,ISNUMBER(AM465),AM465)</f>
        <v>#N/A</v>
      </c>
      <c r="AO465" s="115" t="str">
        <f t="shared" si="6"/>
        <v/>
      </c>
      <c r="AP465" s="115" t="str">
        <f t="shared" si="7"/>
        <v/>
      </c>
      <c r="AQ465" s="111"/>
      <c r="AR465" s="109" t="str">
        <f t="shared" si="8"/>
        <v/>
      </c>
      <c r="AS465" s="72" t="str">
        <f>IFERROR(IF(AND(Preferences!B$3="Manual",OR(AX465/AW465&gt;V465/U465,BD465="Serious",BD465="Very serious")),"Assess imprecision",IFERROR(IFS(AND(Preferences!B$3="Automatic",V465/U465&gt;=30),"Extremely serious",AND(W465&lt;=$D$1*-1,Y465&lt;0,V465/U465&lt;3),"Not Serious",AND(W465&lt;=$D$1*-1,Y465&lt;0,V465/U465&gt;=3),"Very serious",AND(W465&gt;=$D$1,X465&gt;0,V465/U465&lt;3),"Not Serious",AND(W465&gt;=$D$1,X465&gt;0,V465/U465&gt;=3),"Very serious",AND(W465&lt;=$D$1*-1,Y465&gt;0,X465&gt;$D$2*-1,V465/U465&lt;3),"Serious", AND(W465&lt;=$D$1*-1,Y465&gt;0,X465&lt;$D$2*-1,V465/U465&lt;3),"Very serious", AND(W465&gt;=$D$1,X465&lt;0,Y465&lt;$D$2,V465/U465&lt;3),"Serious",AND(W465&gt;=$D$1,X465&lt;0,Y465&gt;$D$2,V465/U465&lt;3),"Very serious", AND(W465&lt;=$D$1*-1,Y465&gt;0,X465&gt;$D$2*-1,V465/U465&gt;=3),"Very serious", AND(W465&lt;=$D$1*-1,Y465&gt;0,X465&lt;$D$2*-1,V465/U465&gt;=3),"Very serious", AND(W465&gt;=$D$1,X465&lt;0,Y465&lt;$D$2,V465/U465&gt;=3),"Very serious", AND(W465&gt;=$D$1,X465&lt;0,Y465&gt;$D$2,V465/U465&gt;=3),"Very serious", AND(W465&gt;$D$1*-1,W465&lt;$D$1,X465&gt;$D$1*-1,Y465&lt;$D$1,V465/U465&lt;3),"Not Serious", AND(W465&gt;$D$1*-1,W465&lt;$D$1,OR(X465&lt;=$D$1*-1,Y465&gt;=$D$1),X465&gt;$D$2*-1,Y465&lt;$D$2,V465/U465&lt;3),"Serious", AND(W465&gt;$D$1*-1,W465&lt;$D$1,OR(X465&lt;=$D$2*-1,Y465&gt;=$D$2),V465/U465&lt;3),"Very serious", AND(W465&gt;$D$1*-1,W465&lt;$D$1,X465&gt;$D$1*-1,Y465&lt;$D$1,V465/U465&gt;=3),"Very serious", AND(W465&gt;$D$1*-1,W465&lt;$D$1,OR(X465&lt;=$D$1*-1,Y465&gt;=$D$1),X465&gt;$D$2*-1,Y465&lt;$D$2,V465/U465&gt;=3),"Very serious", AND(W465&gt;$D$1*-1,W465&lt;$D$1,OR(X465&lt;=$D$2*-1,Y465&gt;=$D$2),V465/U465&gt;=3),"Very serious"),"")),"")</f>
        <v/>
      </c>
      <c r="AT465" s="109" t="str">
        <f t="shared" si="9"/>
        <v/>
      </c>
      <c r="AU465" s="64"/>
      <c r="AV465" s="83"/>
      <c r="AW465" s="83"/>
      <c r="AX465" s="83"/>
      <c r="AY465" s="83"/>
      <c r="AZ465" s="83"/>
      <c r="BA465" s="85"/>
      <c r="BB465" s="86" t="str">
        <f>IF(Preferences!B$9="Manual","",IFS(ISBLANK(B465),"",AND(ISNUMBER(E465)=TRUE,ISNUMBER(T465)=FALSE),"Direct", AND(ISNUMBER(E465)=FALSE,ISNUMBER(T465)=TRUE),"Indirect", CN465=4,"Direct",AND(CL465=FALSE, CM465=TRUE,CN465-CO465&gt;-1),"Direct", AND(CL465=FALSE,CM465=TRUE, CN465-CO465&lt;0),"Check algorithm in appendix 2", AND(CL465=TRUE, CM465=FALSE,CN465-CO465&gt;0),"Check algorithm in appendix 2", AND(CL465=TRUE, CM465=FALSE,CN465-CO465=0),"Indirect", AND(CL465=TRUE, CM465=FALSE,CN465-CO465&lt;0),"Indirect", AND(CL465=FALSE,CM465=FALSE,CN465-CO465&gt;-1),"Direct", AND(CL465=FALSE,CM465=FALSE,CN465-CO465&lt;0),"Check algorithm in appendix 2", AND(CL465=TRUE,CM465=TRUE,CN465-CO465&gt;-1),"Direct", AND(CL465=TRUE,CM465=TRUE,CN465-CO465&lt;0),"Check algorithm in appendix 2"))</f>
        <v/>
      </c>
      <c r="BC465" s="120" t="str">
        <f t="shared" si="10"/>
        <v/>
      </c>
      <c r="BD465" s="140"/>
      <c r="BE465" s="122" t="str">
        <f>IF(Preferences!B$3="Manual","", IFERROR(IFS(AND(Preferences!B$3="Automatic",AX465/AW465&gt;=30),"Extremely serious",AND(AY465&lt;=$D$1*-1,BA465&lt;0,AX465/AW465&lt;3),"Not Serious",AND(AY465&lt;=$D$1*-1,BA465&lt;0,AX465/AW465&gt;=3),"Very serious",AND(AY465&gt;=$D$1,AZ465&gt;0,AX465/AW465&lt;3),"Not Serious",AND(AY465&gt;=$D$1,AZ465&gt;0,AX465/AW465&gt;=3),"Very serious",AND(AY465&lt;=$D$1*-1,BA465&gt;0,AZ465&gt;$D$2*-1,AX465/AW465&lt;3),"Serious", AND(AY465&lt;=$D$1*-1,BA465&gt;0,AZ465&lt;$D$2*-1,AX465/AW465&lt;3),"Very serious", AND(AY465&gt;=$D$1,AZ465&lt;0,BA465&lt;$D$2,AX465/AW465&lt;3),"Serious",AND(AY465&gt;=$D$1,AZ465&lt;0,BA465&gt;$D$2,AX465/AW465&lt;3),"Very serious", AND(AY465&lt;=$D$1*-1,BA465&gt;0,AZ465&gt;$D$2*-1,AX465/AW465&gt;=3),"Very serious", AND(AY465&lt;=$D$1*-1,BA465&gt;0,AZ465&lt;$D$2*-1,AX465/AW465&gt;=3),"Very serious", AND(AY465&gt;=$D$1,AZ465&lt;0,BA465&lt;$D$2,AX465/AW465&gt;=3),"Very serious", AND(AY465&gt;=$D$1,AZ465&lt;0,BA465&gt;$D$2,AX465/AW465&gt;=3),"Very serious", AND(AY465&gt;$D$1*-1,AY465&lt;$D$1,AZ465&gt;$D$1*-1,BA465&lt;$D$1,AX465/AW465&lt;3),"Not Serious", AND(AY465&gt;$D$1*-1,AY465&lt;$D$1,OR(AZ465&lt;=$D$1*-1,BA465&gt;=$D$1),AZ465&gt;$D$2*-1,BA465&lt;$D$2,AX465/AW465&lt;3),"Serious", AND(AY465&gt;$D$1*-1,AY465&lt;$D$1,OR(AZ465&lt;=$D$2*-1,BA465&gt;=$D$2),AX465/AW465&lt;3),"Very serious", AND(AY465&gt;$D$1*-1,AY465&lt;$D$1,AZ465&gt;$D$1*-1,BA465&lt;$D$1,AX465/AW465&gt;=3),"Very serious", AND(AY465&gt;$D$1*-1,AY465&lt;$D$1,OR(AZ465&lt;=$D$1*-1,BA465&gt;=$D$1),AZ465&gt;$D$2*-1,BA465&lt;$D$2,AX465/AW465&gt;=3),"Very serious", AND(AY465&gt;$D$1*-1,AY465&lt;$D$1,OR(AZ465&lt;=$D$2*-1,BA465&gt;=$D$2),AX465/AW465&gt;=3),"Very serious"),""))</f>
        <v/>
      </c>
      <c r="BF465" s="107" t="str">
        <f t="shared" si="11"/>
        <v/>
      </c>
      <c r="BG465" s="94" t="str">
        <f t="shared" si="46"/>
        <v/>
      </c>
      <c r="BH465" s="64" t="str">
        <f t="shared" si="12"/>
        <v>#N/A</v>
      </c>
      <c r="BI465" s="64" t="str">
        <f t="shared" si="13"/>
        <v/>
      </c>
      <c r="BJ465" s="123" t="str">
        <f t="shared" si="14"/>
        <v>#N/A</v>
      </c>
      <c r="BK465" s="64" t="str">
        <f t="shared" si="50"/>
        <v>YES</v>
      </c>
      <c r="BL465" s="64" t="str">
        <f t="shared" si="16"/>
        <v>YES</v>
      </c>
      <c r="BM465" s="64" t="str">
        <f t="shared" si="17"/>
        <v>YES</v>
      </c>
      <c r="BN465" s="124" t="str">
        <f t="shared" si="18"/>
        <v/>
      </c>
      <c r="BO465" s="91" t="str">
        <f t="shared" si="19"/>
        <v/>
      </c>
      <c r="BP465" s="91" t="str">
        <f t="shared" si="20"/>
        <v>#N/A</v>
      </c>
      <c r="BQ465" s="91" t="str">
        <f t="shared" si="21"/>
        <v/>
      </c>
      <c r="BR465" s="93" t="str">
        <f t="shared" si="22"/>
        <v/>
      </c>
      <c r="BS465" s="90" t="str">
        <f t="shared" si="23"/>
        <v/>
      </c>
      <c r="BT465" s="93" t="str">
        <f t="shared" si="24"/>
        <v>NA</v>
      </c>
      <c r="BU465" s="125" t="str">
        <f t="shared" si="25"/>
        <v>#N/A</v>
      </c>
      <c r="BV465" s="93" t="str">
        <f t="shared" si="26"/>
        <v/>
      </c>
      <c r="BW465" s="93" t="str">
        <f t="shared" si="27"/>
        <v/>
      </c>
      <c r="BX465" s="93" t="str">
        <f t="shared" si="28"/>
        <v>NA</v>
      </c>
      <c r="BY465" s="95" t="str">
        <f t="shared" si="29"/>
        <v>#N/A</v>
      </c>
      <c r="BZ465" s="93" t="str">
        <f t="shared" si="30"/>
        <v/>
      </c>
      <c r="CA465" s="93" t="str">
        <f t="shared" si="31"/>
        <v/>
      </c>
      <c r="CB465" s="93" t="str">
        <f t="shared" si="32"/>
        <v>NA</v>
      </c>
      <c r="CC465" s="96" t="str">
        <f t="shared" si="33"/>
        <v>#N/A</v>
      </c>
      <c r="CD465" s="93" t="str">
        <f t="shared" si="34"/>
        <v/>
      </c>
      <c r="CE465" s="93" t="str">
        <f t="shared" si="35"/>
        <v/>
      </c>
      <c r="CF465" s="93" t="str">
        <f t="shared" si="36"/>
        <v>NA</v>
      </c>
      <c r="CG465" s="97" t="str">
        <f t="shared" si="37"/>
        <v>#N/A</v>
      </c>
      <c r="CH465" s="98" t="str">
        <f t="shared" si="38"/>
        <v>#N/A</v>
      </c>
      <c r="CI465" s="99" t="str">
        <f t="shared" si="39"/>
        <v>#N/A</v>
      </c>
      <c r="CJ465" s="126" t="str">
        <f t="shared" si="40"/>
        <v>ERROR: check cell</v>
      </c>
      <c r="CK465" s="126"/>
      <c r="CL465" s="127" t="str">
        <f t="shared" si="41"/>
        <v>#DIV/0!</v>
      </c>
      <c r="CM465" s="128" t="str">
        <f t="shared" si="42"/>
        <v>#DIV/0!</v>
      </c>
      <c r="CN465" s="128">
        <f t="shared" si="43"/>
        <v>4</v>
      </c>
      <c r="CO465" s="129">
        <f t="shared" si="44"/>
        <v>4</v>
      </c>
      <c r="CP465" s="129" t="str">
        <f>IFS(C465=Preferences!B$13,B465,B465=Preferences!B$13,C465)</f>
        <v>#N/A</v>
      </c>
    </row>
    <row r="466" ht="13.5" customHeight="1">
      <c r="A466" s="63" t="str">
        <f t="shared" si="45"/>
        <v/>
      </c>
      <c r="B466" s="64"/>
      <c r="C466" s="64"/>
      <c r="D466" s="64"/>
      <c r="E466" s="65"/>
      <c r="F466" s="65"/>
      <c r="G466" s="65"/>
      <c r="H466" s="66"/>
      <c r="I466" s="66"/>
      <c r="J466" s="67"/>
      <c r="K466" s="68"/>
      <c r="L466" s="104"/>
      <c r="M466" s="104"/>
      <c r="N466" s="104"/>
      <c r="O466" s="104"/>
      <c r="P466" s="107" t="str">
        <f t="shared" si="1"/>
        <v/>
      </c>
      <c r="Q466" s="108" t="str">
        <f>IFERROR(IF(AND(Preferences!B$3="Manual",OR(AX466/AW466&gt;G466/F466,BD466="Serious",BD466="Very serious")),"Assess imprecision",IFS(ISBLANK(E466),"",AND(Preferences!B$3="Automatic", G466/F466&gt;=30),"Extremely serious",AND(H466&lt;=$D$1*-1,J466&lt;0,G466/F466&lt;3),"Not serious",AND(H466&lt;=$D$1*-1,J466&lt;0,G466/F466&gt;=3),"Very serious",AND(H466&gt;=$D$1,I466&gt;0,G466/F466&lt;3),"Not serious",AND(H466&gt;=$D$1,I466&gt;0,G466/F466&gt;=3),"Very serious",AND(H466&lt;=$D$1*-1,J466&gt;0,I466&gt;$D$2*-1,G466/F466&lt;3),"Serious", AND(H466&lt;=$D$1*-1,J466&gt;0,I466&lt;$D$2*-1,G466/F466&lt;3),"Very serious", AND(H466&gt;=$D$1,I466&lt;0,J466&lt;$D$2,G466/F466&lt;3),"Serious",AND(H466&gt;=$D$1,I466&lt;0,J466&gt;$D$2,G466/F466&lt;3),"Very serious", AND(H466&lt;=$D$1*-1,J466&gt;0,I466&gt;$D$2*-1,G466/F466&gt;=3),"Very serious", AND(H466&lt;=$D$1*-1,J466&gt;0,I466&lt;$D$2*-1,G466/F466&gt;=3),"Very serious", AND(H466&gt;=$D$1,I466&lt;0,J466&lt;$D$2,G466/F466&gt;=3),"Very serious", AND(H466&gt;=$D$1,I466&lt;0,J466&gt;$D$2,G466/F466&gt;=3),"Very serious", AND(H466&gt;$D$1*-1,H466&lt;$D$1,I466&gt;$D$1*-1,J466&lt;$D$1,G466/F466&lt;3),"Not serious", AND(H466&gt;$D$1*-1,H466&lt;$D$1,OR(I466&lt;=$D$1*-1,J466&gt;=$D$1),I466&gt;$D$2*-1,J466&lt;$D$2,G466/F466&lt;3),"Serious", AND(H466&gt;$D$1*-1,H466&lt;$D$1,OR(I466&lt;=$D$2*-1,J466&gt;=$D$2),G466/F466&lt;3),"Very serious", AND(H466&gt;$D$1*-1,H466&lt;$D$1,I466&gt;$D$1*-1,J466&lt;$D$1,G466/F466&gt;=3),"Very serious", AND(H466&gt;$D$1*-1,H466&lt;$D$1,OR(I466&lt;=$D$1*-1,J466&gt;=$D$1),I466&gt;$D$2*-1,J466&lt;$D$2,G466/F466&gt;=3),"Very serious", AND(H466&gt;$D$1*-1,H466&lt;$D$1,OR(I466&lt;=$D$2*-1,J466&gt;=$D$2),G466/F466&gt;=3),"Very serious")),"")</f>
        <v/>
      </c>
      <c r="R466" s="109" t="str">
        <f t="shared" si="47"/>
        <v/>
      </c>
      <c r="S466" s="64"/>
      <c r="T466" s="72"/>
      <c r="U466" s="72"/>
      <c r="V466" s="72"/>
      <c r="W466" s="73"/>
      <c r="X466" s="73"/>
      <c r="Y466" s="74"/>
      <c r="Z466" s="113" t="str">
        <f t="array" ref="Z466">INDEX($A$1:$C$500, MATCH(1,($B:$B=$B466)*($C:$C=$AB466),0),1)</f>
        <v/>
      </c>
      <c r="AA466" s="113" t="str">
        <f t="array" ref="AA466">INDEX($A$1:$C$500, MATCH(1,($B:$B=$AB466)*($C:$C=$B466),0),1)</f>
        <v/>
      </c>
      <c r="AB466" s="111"/>
      <c r="AC466" s="114" t="str">
        <f t="shared" si="2"/>
        <v/>
      </c>
      <c r="AD466" s="115" t="str">
        <f t="shared" si="3"/>
        <v/>
      </c>
      <c r="AE466" s="116" t="str">
        <f t="array" ref="AE466">INDEX($A$1:$C$500, MATCH(1,($B:$B=$AB466)*($C:$C=$AG466),0),1)</f>
        <v/>
      </c>
      <c r="AF466" s="116" t="str">
        <f t="array" ref="AF466">INDEX($A$1:$C$500, MATCH(1,($B:$B=$AG466)*($C:$C=$AB466),0),1)</f>
        <v/>
      </c>
      <c r="AG466" s="72"/>
      <c r="AH466" s="114" t="str">
        <f t="shared" si="4"/>
        <v/>
      </c>
      <c r="AI466" s="115" t="str">
        <f t="shared" si="5"/>
        <v/>
      </c>
      <c r="AJ466" s="116" t="str">
        <f t="array" ref="AJ466">INDEX($A$1:$C$500, MATCH(1,($B:$B=$C466)*($C:$C=$AG466),0),1)</f>
        <v/>
      </c>
      <c r="AK466" s="116" t="str">
        <f t="array" ref="AK466">INDEX($A$1:$C$500, MATCH(1,($B:$B=$AG466)*($C:$C=$C466),0),1)</f>
        <v/>
      </c>
      <c r="AL466" s="116" t="str">
        <f t="array" ref="AL466">INDEX($A$1:$C$500, MATCH(1,($B:$B=$C466)*($C:$C=$AB466),0),1)</f>
        <v/>
      </c>
      <c r="AM466" s="116" t="str">
        <f t="array" ref="AM466">INDEX($A$1:$C$500, MATCH(1,($B:$B=$AB466)*($C:$C=$C466),0),1)</f>
        <v/>
      </c>
      <c r="AN466" s="114" t="str">
        <f t="array" ref="AN466">IFS(ISNUMBER(AJ466),AJ466,ISNUMBER(AK466),AK466,ISNUMBER(AL466),AL466,ISNUMBER(AM466),AM466)</f>
        <v>#N/A</v>
      </c>
      <c r="AO466" s="115" t="str">
        <f t="shared" si="6"/>
        <v/>
      </c>
      <c r="AP466" s="115" t="str">
        <f t="shared" si="7"/>
        <v/>
      </c>
      <c r="AQ466" s="111"/>
      <c r="AR466" s="109" t="str">
        <f t="shared" si="8"/>
        <v/>
      </c>
      <c r="AS466" s="72" t="str">
        <f>IFERROR(IF(AND(Preferences!B$3="Manual",OR(AX466/AW466&gt;V466/U466,BD466="Serious",BD466="Very serious")),"Assess imprecision",IFERROR(IFS(AND(Preferences!B$3="Automatic",V466/U466&gt;=30),"Extremely serious",AND(W466&lt;=$D$1*-1,Y466&lt;0,V466/U466&lt;3),"Not Serious",AND(W466&lt;=$D$1*-1,Y466&lt;0,V466/U466&gt;=3),"Very serious",AND(W466&gt;=$D$1,X466&gt;0,V466/U466&lt;3),"Not Serious",AND(W466&gt;=$D$1,X466&gt;0,V466/U466&gt;=3),"Very serious",AND(W466&lt;=$D$1*-1,Y466&gt;0,X466&gt;$D$2*-1,V466/U466&lt;3),"Serious", AND(W466&lt;=$D$1*-1,Y466&gt;0,X466&lt;$D$2*-1,V466/U466&lt;3),"Very serious", AND(W466&gt;=$D$1,X466&lt;0,Y466&lt;$D$2,V466/U466&lt;3),"Serious",AND(W466&gt;=$D$1,X466&lt;0,Y466&gt;$D$2,V466/U466&lt;3),"Very serious", AND(W466&lt;=$D$1*-1,Y466&gt;0,X466&gt;$D$2*-1,V466/U466&gt;=3),"Very serious", AND(W466&lt;=$D$1*-1,Y466&gt;0,X466&lt;$D$2*-1,V466/U466&gt;=3),"Very serious", AND(W466&gt;=$D$1,X466&lt;0,Y466&lt;$D$2,V466/U466&gt;=3),"Very serious", AND(W466&gt;=$D$1,X466&lt;0,Y466&gt;$D$2,V466/U466&gt;=3),"Very serious", AND(W466&gt;$D$1*-1,W466&lt;$D$1,X466&gt;$D$1*-1,Y466&lt;$D$1,V466/U466&lt;3),"Not Serious", AND(W466&gt;$D$1*-1,W466&lt;$D$1,OR(X466&lt;=$D$1*-1,Y466&gt;=$D$1),X466&gt;$D$2*-1,Y466&lt;$D$2,V466/U466&lt;3),"Serious", AND(W466&gt;$D$1*-1,W466&lt;$D$1,OR(X466&lt;=$D$2*-1,Y466&gt;=$D$2),V466/U466&lt;3),"Very serious", AND(W466&gt;$D$1*-1,W466&lt;$D$1,X466&gt;$D$1*-1,Y466&lt;$D$1,V466/U466&gt;=3),"Very serious", AND(W466&gt;$D$1*-1,W466&lt;$D$1,OR(X466&lt;=$D$1*-1,Y466&gt;=$D$1),X466&gt;$D$2*-1,Y466&lt;$D$2,V466/U466&gt;=3),"Very serious", AND(W466&gt;$D$1*-1,W466&lt;$D$1,OR(X466&lt;=$D$2*-1,Y466&gt;=$D$2),V466/U466&gt;=3),"Very serious"),"")),"")</f>
        <v/>
      </c>
      <c r="AT466" s="109" t="str">
        <f t="shared" si="9"/>
        <v/>
      </c>
      <c r="AU466" s="64"/>
      <c r="AV466" s="83"/>
      <c r="AW466" s="83"/>
      <c r="AX466" s="83"/>
      <c r="AY466" s="83"/>
      <c r="AZ466" s="83"/>
      <c r="BA466" s="85"/>
      <c r="BB466" s="86" t="str">
        <f>IF(Preferences!B$9="Manual","",IFS(ISBLANK(B466),"",AND(ISNUMBER(E466)=TRUE,ISNUMBER(T466)=FALSE),"Direct", AND(ISNUMBER(E466)=FALSE,ISNUMBER(T466)=TRUE),"Indirect", CN466=4,"Direct",AND(CL466=FALSE, CM466=TRUE,CN466-CO466&gt;-1),"Direct", AND(CL466=FALSE,CM466=TRUE, CN466-CO466&lt;0),"Check algorithm in appendix 2", AND(CL466=TRUE, CM466=FALSE,CN466-CO466&gt;0),"Check algorithm in appendix 2", AND(CL466=TRUE, CM466=FALSE,CN466-CO466=0),"Indirect", AND(CL466=TRUE, CM466=FALSE,CN466-CO466&lt;0),"Indirect", AND(CL466=FALSE,CM466=FALSE,CN466-CO466&gt;-1),"Direct", AND(CL466=FALSE,CM466=FALSE,CN466-CO466&lt;0),"Check algorithm in appendix 2", AND(CL466=TRUE,CM466=TRUE,CN466-CO466&gt;-1),"Direct", AND(CL466=TRUE,CM466=TRUE,CN466-CO466&lt;0),"Check algorithm in appendix 2"))</f>
        <v/>
      </c>
      <c r="BC466" s="120" t="str">
        <f t="shared" si="10"/>
        <v/>
      </c>
      <c r="BD466" s="140"/>
      <c r="BE466" s="122" t="str">
        <f>IF(Preferences!B$3="Manual","", IFERROR(IFS(AND(Preferences!B$3="Automatic",AX466/AW466&gt;=30),"Extremely serious",AND(AY466&lt;=$D$1*-1,BA466&lt;0,AX466/AW466&lt;3),"Not Serious",AND(AY466&lt;=$D$1*-1,BA466&lt;0,AX466/AW466&gt;=3),"Very serious",AND(AY466&gt;=$D$1,AZ466&gt;0,AX466/AW466&lt;3),"Not Serious",AND(AY466&gt;=$D$1,AZ466&gt;0,AX466/AW466&gt;=3),"Very serious",AND(AY466&lt;=$D$1*-1,BA466&gt;0,AZ466&gt;$D$2*-1,AX466/AW466&lt;3),"Serious", AND(AY466&lt;=$D$1*-1,BA466&gt;0,AZ466&lt;$D$2*-1,AX466/AW466&lt;3),"Very serious", AND(AY466&gt;=$D$1,AZ466&lt;0,BA466&lt;$D$2,AX466/AW466&lt;3),"Serious",AND(AY466&gt;=$D$1,AZ466&lt;0,BA466&gt;$D$2,AX466/AW466&lt;3),"Very serious", AND(AY466&lt;=$D$1*-1,BA466&gt;0,AZ466&gt;$D$2*-1,AX466/AW466&gt;=3),"Very serious", AND(AY466&lt;=$D$1*-1,BA466&gt;0,AZ466&lt;$D$2*-1,AX466/AW466&gt;=3),"Very serious", AND(AY466&gt;=$D$1,AZ466&lt;0,BA466&lt;$D$2,AX466/AW466&gt;=3),"Very serious", AND(AY466&gt;=$D$1,AZ466&lt;0,BA466&gt;$D$2,AX466/AW466&gt;=3),"Very serious", AND(AY466&gt;$D$1*-1,AY466&lt;$D$1,AZ466&gt;$D$1*-1,BA466&lt;$D$1,AX466/AW466&lt;3),"Not Serious", AND(AY466&gt;$D$1*-1,AY466&lt;$D$1,OR(AZ466&lt;=$D$1*-1,BA466&gt;=$D$1),AZ466&gt;$D$2*-1,BA466&lt;$D$2,AX466/AW466&lt;3),"Serious", AND(AY466&gt;$D$1*-1,AY466&lt;$D$1,OR(AZ466&lt;=$D$2*-1,BA466&gt;=$D$2),AX466/AW466&lt;3),"Very serious", AND(AY466&gt;$D$1*-1,AY466&lt;$D$1,AZ466&gt;$D$1*-1,BA466&lt;$D$1,AX466/AW466&gt;=3),"Very serious", AND(AY466&gt;$D$1*-1,AY466&lt;$D$1,OR(AZ466&lt;=$D$1*-1,BA466&gt;=$D$1),AZ466&gt;$D$2*-1,BA466&lt;$D$2,AX466/AW466&gt;=3),"Very serious", AND(AY466&gt;$D$1*-1,AY466&lt;$D$1,OR(AZ466&lt;=$D$2*-1,BA466&gt;=$D$2),AX466/AW466&gt;=3),"Very serious"),""))</f>
        <v/>
      </c>
      <c r="BF466" s="107" t="str">
        <f t="shared" si="11"/>
        <v/>
      </c>
      <c r="BG466" s="94" t="str">
        <f t="shared" si="46"/>
        <v/>
      </c>
      <c r="BH466" s="64" t="str">
        <f t="shared" si="12"/>
        <v>#N/A</v>
      </c>
      <c r="BI466" s="64" t="str">
        <f t="shared" si="13"/>
        <v/>
      </c>
      <c r="BJ466" s="123" t="str">
        <f t="shared" si="14"/>
        <v>#N/A</v>
      </c>
      <c r="BK466" s="64" t="str">
        <f t="shared" si="50"/>
        <v>YES</v>
      </c>
      <c r="BL466" s="64" t="str">
        <f t="shared" si="16"/>
        <v>YES</v>
      </c>
      <c r="BM466" s="64" t="str">
        <f t="shared" si="17"/>
        <v>YES</v>
      </c>
      <c r="BN466" s="124" t="str">
        <f t="shared" si="18"/>
        <v/>
      </c>
      <c r="BO466" s="91" t="str">
        <f t="shared" si="19"/>
        <v/>
      </c>
      <c r="BP466" s="91" t="str">
        <f t="shared" si="20"/>
        <v>#N/A</v>
      </c>
      <c r="BQ466" s="91" t="str">
        <f t="shared" si="21"/>
        <v/>
      </c>
      <c r="BR466" s="93" t="str">
        <f t="shared" si="22"/>
        <v/>
      </c>
      <c r="BS466" s="90" t="str">
        <f t="shared" si="23"/>
        <v/>
      </c>
      <c r="BT466" s="93" t="str">
        <f t="shared" si="24"/>
        <v>NA</v>
      </c>
      <c r="BU466" s="125" t="str">
        <f t="shared" si="25"/>
        <v>#N/A</v>
      </c>
      <c r="BV466" s="93" t="str">
        <f t="shared" si="26"/>
        <v/>
      </c>
      <c r="BW466" s="93" t="str">
        <f t="shared" si="27"/>
        <v/>
      </c>
      <c r="BX466" s="93" t="str">
        <f t="shared" si="28"/>
        <v>NA</v>
      </c>
      <c r="BY466" s="95" t="str">
        <f t="shared" si="29"/>
        <v>#N/A</v>
      </c>
      <c r="BZ466" s="93" t="str">
        <f t="shared" si="30"/>
        <v/>
      </c>
      <c r="CA466" s="93" t="str">
        <f t="shared" si="31"/>
        <v/>
      </c>
      <c r="CB466" s="93" t="str">
        <f t="shared" si="32"/>
        <v>NA</v>
      </c>
      <c r="CC466" s="96" t="str">
        <f t="shared" si="33"/>
        <v>#N/A</v>
      </c>
      <c r="CD466" s="93" t="str">
        <f t="shared" si="34"/>
        <v/>
      </c>
      <c r="CE466" s="93" t="str">
        <f t="shared" si="35"/>
        <v/>
      </c>
      <c r="CF466" s="93" t="str">
        <f t="shared" si="36"/>
        <v>NA</v>
      </c>
      <c r="CG466" s="97" t="str">
        <f t="shared" si="37"/>
        <v>#N/A</v>
      </c>
      <c r="CH466" s="98" t="str">
        <f t="shared" si="38"/>
        <v>#N/A</v>
      </c>
      <c r="CI466" s="99" t="str">
        <f t="shared" si="39"/>
        <v>#N/A</v>
      </c>
      <c r="CJ466" s="126" t="str">
        <f t="shared" si="40"/>
        <v>ERROR: check cell</v>
      </c>
      <c r="CK466" s="126"/>
      <c r="CL466" s="127" t="str">
        <f t="shared" si="41"/>
        <v>#DIV/0!</v>
      </c>
      <c r="CM466" s="128" t="str">
        <f t="shared" si="42"/>
        <v>#DIV/0!</v>
      </c>
      <c r="CN466" s="128">
        <f t="shared" si="43"/>
        <v>4</v>
      </c>
      <c r="CO466" s="129">
        <f t="shared" si="44"/>
        <v>4</v>
      </c>
      <c r="CP466" s="129" t="str">
        <f>IFS(C466=Preferences!B$13,B466,B466=Preferences!B$13,C466)</f>
        <v>#N/A</v>
      </c>
    </row>
    <row r="467" ht="13.5" customHeight="1">
      <c r="A467" s="63" t="str">
        <f t="shared" si="45"/>
        <v/>
      </c>
      <c r="B467" s="64"/>
      <c r="C467" s="64"/>
      <c r="D467" s="64"/>
      <c r="E467" s="65"/>
      <c r="F467" s="65"/>
      <c r="G467" s="65"/>
      <c r="H467" s="66"/>
      <c r="I467" s="66"/>
      <c r="J467" s="67"/>
      <c r="K467" s="68"/>
      <c r="L467" s="104"/>
      <c r="M467" s="104"/>
      <c r="N467" s="104"/>
      <c r="O467" s="104"/>
      <c r="P467" s="107" t="str">
        <f t="shared" si="1"/>
        <v/>
      </c>
      <c r="Q467" s="108" t="str">
        <f>IFERROR(IF(AND(Preferences!B$3="Manual",OR(AX467/AW467&gt;G467/F467,BD467="Serious",BD467="Very serious")),"Assess imprecision",IFS(ISBLANK(E467),"",AND(Preferences!B$3="Automatic", G467/F467&gt;=30),"Extremely serious",AND(H467&lt;=$D$1*-1,J467&lt;0,G467/F467&lt;3),"Not serious",AND(H467&lt;=$D$1*-1,J467&lt;0,G467/F467&gt;=3),"Very serious",AND(H467&gt;=$D$1,I467&gt;0,G467/F467&lt;3),"Not serious",AND(H467&gt;=$D$1,I467&gt;0,G467/F467&gt;=3),"Very serious",AND(H467&lt;=$D$1*-1,J467&gt;0,I467&gt;$D$2*-1,G467/F467&lt;3),"Serious", AND(H467&lt;=$D$1*-1,J467&gt;0,I467&lt;$D$2*-1,G467/F467&lt;3),"Very serious", AND(H467&gt;=$D$1,I467&lt;0,J467&lt;$D$2,G467/F467&lt;3),"Serious",AND(H467&gt;=$D$1,I467&lt;0,J467&gt;$D$2,G467/F467&lt;3),"Very serious", AND(H467&lt;=$D$1*-1,J467&gt;0,I467&gt;$D$2*-1,G467/F467&gt;=3),"Very serious", AND(H467&lt;=$D$1*-1,J467&gt;0,I467&lt;$D$2*-1,G467/F467&gt;=3),"Very serious", AND(H467&gt;=$D$1,I467&lt;0,J467&lt;$D$2,G467/F467&gt;=3),"Very serious", AND(H467&gt;=$D$1,I467&lt;0,J467&gt;$D$2,G467/F467&gt;=3),"Very serious", AND(H467&gt;$D$1*-1,H467&lt;$D$1,I467&gt;$D$1*-1,J467&lt;$D$1,G467/F467&lt;3),"Not serious", AND(H467&gt;$D$1*-1,H467&lt;$D$1,OR(I467&lt;=$D$1*-1,J467&gt;=$D$1),I467&gt;$D$2*-1,J467&lt;$D$2,G467/F467&lt;3),"Serious", AND(H467&gt;$D$1*-1,H467&lt;$D$1,OR(I467&lt;=$D$2*-1,J467&gt;=$D$2),G467/F467&lt;3),"Very serious", AND(H467&gt;$D$1*-1,H467&lt;$D$1,I467&gt;$D$1*-1,J467&lt;$D$1,G467/F467&gt;=3),"Very serious", AND(H467&gt;$D$1*-1,H467&lt;$D$1,OR(I467&lt;=$D$1*-1,J467&gt;=$D$1),I467&gt;$D$2*-1,J467&lt;$D$2,G467/F467&gt;=3),"Very serious", AND(H467&gt;$D$1*-1,H467&lt;$D$1,OR(I467&lt;=$D$2*-1,J467&gt;=$D$2),G467/F467&gt;=3),"Very serious")),"")</f>
        <v/>
      </c>
      <c r="R467" s="109" t="str">
        <f t="shared" si="47"/>
        <v/>
      </c>
      <c r="S467" s="64"/>
      <c r="T467" s="72"/>
      <c r="U467" s="72"/>
      <c r="V467" s="72"/>
      <c r="W467" s="73"/>
      <c r="X467" s="73"/>
      <c r="Y467" s="74"/>
      <c r="Z467" s="113" t="str">
        <f t="array" ref="Z467">INDEX($A$1:$C$500, MATCH(1,($B:$B=$B467)*($C:$C=$AB467),0),1)</f>
        <v/>
      </c>
      <c r="AA467" s="113" t="str">
        <f t="array" ref="AA467">INDEX($A$1:$C$500, MATCH(1,($B:$B=$AB467)*($C:$C=$B467),0),1)</f>
        <v/>
      </c>
      <c r="AB467" s="111"/>
      <c r="AC467" s="114" t="str">
        <f t="shared" si="2"/>
        <v/>
      </c>
      <c r="AD467" s="115" t="str">
        <f t="shared" si="3"/>
        <v/>
      </c>
      <c r="AE467" s="116" t="str">
        <f t="array" ref="AE467">INDEX($A$1:$C$500, MATCH(1,($B:$B=$AB467)*($C:$C=$AG467),0),1)</f>
        <v/>
      </c>
      <c r="AF467" s="116" t="str">
        <f t="array" ref="AF467">INDEX($A$1:$C$500, MATCH(1,($B:$B=$AG467)*($C:$C=$AB467),0),1)</f>
        <v/>
      </c>
      <c r="AG467" s="72"/>
      <c r="AH467" s="114" t="str">
        <f t="shared" si="4"/>
        <v/>
      </c>
      <c r="AI467" s="115" t="str">
        <f t="shared" si="5"/>
        <v/>
      </c>
      <c r="AJ467" s="116" t="str">
        <f t="array" ref="AJ467">INDEX($A$1:$C$500, MATCH(1,($B:$B=$C467)*($C:$C=$AG467),0),1)</f>
        <v/>
      </c>
      <c r="AK467" s="116" t="str">
        <f t="array" ref="AK467">INDEX($A$1:$C$500, MATCH(1,($B:$B=$AG467)*($C:$C=$C467),0),1)</f>
        <v/>
      </c>
      <c r="AL467" s="116" t="str">
        <f t="array" ref="AL467">INDEX($A$1:$C$500, MATCH(1,($B:$B=$C467)*($C:$C=$AB467),0),1)</f>
        <v/>
      </c>
      <c r="AM467" s="116" t="str">
        <f t="array" ref="AM467">INDEX($A$1:$C$500, MATCH(1,($B:$B=$AB467)*($C:$C=$C467),0),1)</f>
        <v/>
      </c>
      <c r="AN467" s="114" t="str">
        <f t="array" ref="AN467">IFS(ISNUMBER(AJ467),AJ467,ISNUMBER(AK467),AK467,ISNUMBER(AL467),AL467,ISNUMBER(AM467),AM467)</f>
        <v>#N/A</v>
      </c>
      <c r="AO467" s="115" t="str">
        <f t="shared" si="6"/>
        <v/>
      </c>
      <c r="AP467" s="115" t="str">
        <f t="shared" si="7"/>
        <v/>
      </c>
      <c r="AQ467" s="111"/>
      <c r="AR467" s="109" t="str">
        <f t="shared" si="8"/>
        <v/>
      </c>
      <c r="AS467" s="72" t="str">
        <f>IFERROR(IF(AND(Preferences!B$3="Manual",OR(AX467/AW467&gt;V467/U467,BD467="Serious",BD467="Very serious")),"Assess imprecision",IFERROR(IFS(AND(Preferences!B$3="Automatic",V467/U467&gt;=30),"Extremely serious",AND(W467&lt;=$D$1*-1,Y467&lt;0,V467/U467&lt;3),"Not Serious",AND(W467&lt;=$D$1*-1,Y467&lt;0,V467/U467&gt;=3),"Very serious",AND(W467&gt;=$D$1,X467&gt;0,V467/U467&lt;3),"Not Serious",AND(W467&gt;=$D$1,X467&gt;0,V467/U467&gt;=3),"Very serious",AND(W467&lt;=$D$1*-1,Y467&gt;0,X467&gt;$D$2*-1,V467/U467&lt;3),"Serious", AND(W467&lt;=$D$1*-1,Y467&gt;0,X467&lt;$D$2*-1,V467/U467&lt;3),"Very serious", AND(W467&gt;=$D$1,X467&lt;0,Y467&lt;$D$2,V467/U467&lt;3),"Serious",AND(W467&gt;=$D$1,X467&lt;0,Y467&gt;$D$2,V467/U467&lt;3),"Very serious", AND(W467&lt;=$D$1*-1,Y467&gt;0,X467&gt;$D$2*-1,V467/U467&gt;=3),"Very serious", AND(W467&lt;=$D$1*-1,Y467&gt;0,X467&lt;$D$2*-1,V467/U467&gt;=3),"Very serious", AND(W467&gt;=$D$1,X467&lt;0,Y467&lt;$D$2,V467/U467&gt;=3),"Very serious", AND(W467&gt;=$D$1,X467&lt;0,Y467&gt;$D$2,V467/U467&gt;=3),"Very serious", AND(W467&gt;$D$1*-1,W467&lt;$D$1,X467&gt;$D$1*-1,Y467&lt;$D$1,V467/U467&lt;3),"Not Serious", AND(W467&gt;$D$1*-1,W467&lt;$D$1,OR(X467&lt;=$D$1*-1,Y467&gt;=$D$1),X467&gt;$D$2*-1,Y467&lt;$D$2,V467/U467&lt;3),"Serious", AND(W467&gt;$D$1*-1,W467&lt;$D$1,OR(X467&lt;=$D$2*-1,Y467&gt;=$D$2),V467/U467&lt;3),"Very serious", AND(W467&gt;$D$1*-1,W467&lt;$D$1,X467&gt;$D$1*-1,Y467&lt;$D$1,V467/U467&gt;=3),"Very serious", AND(W467&gt;$D$1*-1,W467&lt;$D$1,OR(X467&lt;=$D$1*-1,Y467&gt;=$D$1),X467&gt;$D$2*-1,Y467&lt;$D$2,V467/U467&gt;=3),"Very serious", AND(W467&gt;$D$1*-1,W467&lt;$D$1,OR(X467&lt;=$D$2*-1,Y467&gt;=$D$2),V467/U467&gt;=3),"Very serious"),"")),"")</f>
        <v/>
      </c>
      <c r="AT467" s="109" t="str">
        <f t="shared" si="9"/>
        <v/>
      </c>
      <c r="AU467" s="64"/>
      <c r="AV467" s="83"/>
      <c r="AW467" s="83"/>
      <c r="AX467" s="83"/>
      <c r="AY467" s="83"/>
      <c r="AZ467" s="83"/>
      <c r="BA467" s="85"/>
      <c r="BB467" s="86" t="str">
        <f>IF(Preferences!B$9="Manual","",IFS(ISBLANK(B467),"",AND(ISNUMBER(E467)=TRUE,ISNUMBER(T467)=FALSE),"Direct", AND(ISNUMBER(E467)=FALSE,ISNUMBER(T467)=TRUE),"Indirect", CN467=4,"Direct",AND(CL467=FALSE, CM467=TRUE,CN467-CO467&gt;-1),"Direct", AND(CL467=FALSE,CM467=TRUE, CN467-CO467&lt;0),"Check algorithm in appendix 2", AND(CL467=TRUE, CM467=FALSE,CN467-CO467&gt;0),"Check algorithm in appendix 2", AND(CL467=TRUE, CM467=FALSE,CN467-CO467=0),"Indirect", AND(CL467=TRUE, CM467=FALSE,CN467-CO467&lt;0),"Indirect", AND(CL467=FALSE,CM467=FALSE,CN467-CO467&gt;-1),"Direct", AND(CL467=FALSE,CM467=FALSE,CN467-CO467&lt;0),"Check algorithm in appendix 2", AND(CL467=TRUE,CM467=TRUE,CN467-CO467&gt;-1),"Direct", AND(CL467=TRUE,CM467=TRUE,CN467-CO467&lt;0),"Check algorithm in appendix 2"))</f>
        <v/>
      </c>
      <c r="BC467" s="120" t="str">
        <f t="shared" si="10"/>
        <v/>
      </c>
      <c r="BD467" s="140"/>
      <c r="BE467" s="122" t="str">
        <f>IF(Preferences!B$3="Manual","", IFERROR(IFS(AND(Preferences!B$3="Automatic",AX467/AW467&gt;=30),"Extremely serious",AND(AY467&lt;=$D$1*-1,BA467&lt;0,AX467/AW467&lt;3),"Not Serious",AND(AY467&lt;=$D$1*-1,BA467&lt;0,AX467/AW467&gt;=3),"Very serious",AND(AY467&gt;=$D$1,AZ467&gt;0,AX467/AW467&lt;3),"Not Serious",AND(AY467&gt;=$D$1,AZ467&gt;0,AX467/AW467&gt;=3),"Very serious",AND(AY467&lt;=$D$1*-1,BA467&gt;0,AZ467&gt;$D$2*-1,AX467/AW467&lt;3),"Serious", AND(AY467&lt;=$D$1*-1,BA467&gt;0,AZ467&lt;$D$2*-1,AX467/AW467&lt;3),"Very serious", AND(AY467&gt;=$D$1,AZ467&lt;0,BA467&lt;$D$2,AX467/AW467&lt;3),"Serious",AND(AY467&gt;=$D$1,AZ467&lt;0,BA467&gt;$D$2,AX467/AW467&lt;3),"Very serious", AND(AY467&lt;=$D$1*-1,BA467&gt;0,AZ467&gt;$D$2*-1,AX467/AW467&gt;=3),"Very serious", AND(AY467&lt;=$D$1*-1,BA467&gt;0,AZ467&lt;$D$2*-1,AX467/AW467&gt;=3),"Very serious", AND(AY467&gt;=$D$1,AZ467&lt;0,BA467&lt;$D$2,AX467/AW467&gt;=3),"Very serious", AND(AY467&gt;=$D$1,AZ467&lt;0,BA467&gt;$D$2,AX467/AW467&gt;=3),"Very serious", AND(AY467&gt;$D$1*-1,AY467&lt;$D$1,AZ467&gt;$D$1*-1,BA467&lt;$D$1,AX467/AW467&lt;3),"Not Serious", AND(AY467&gt;$D$1*-1,AY467&lt;$D$1,OR(AZ467&lt;=$D$1*-1,BA467&gt;=$D$1),AZ467&gt;$D$2*-1,BA467&lt;$D$2,AX467/AW467&lt;3),"Serious", AND(AY467&gt;$D$1*-1,AY467&lt;$D$1,OR(AZ467&lt;=$D$2*-1,BA467&gt;=$D$2),AX467/AW467&lt;3),"Very serious", AND(AY467&gt;$D$1*-1,AY467&lt;$D$1,AZ467&gt;$D$1*-1,BA467&lt;$D$1,AX467/AW467&gt;=3),"Very serious", AND(AY467&gt;$D$1*-1,AY467&lt;$D$1,OR(AZ467&lt;=$D$1*-1,BA467&gt;=$D$1),AZ467&gt;$D$2*-1,BA467&lt;$D$2,AX467/AW467&gt;=3),"Very serious", AND(AY467&gt;$D$1*-1,AY467&lt;$D$1,OR(AZ467&lt;=$D$2*-1,BA467&gt;=$D$2),AX467/AW467&gt;=3),"Very serious"),""))</f>
        <v/>
      </c>
      <c r="BF467" s="107" t="str">
        <f t="shared" si="11"/>
        <v/>
      </c>
      <c r="BG467" s="94" t="str">
        <f t="shared" si="46"/>
        <v/>
      </c>
      <c r="BH467" s="64" t="str">
        <f t="shared" si="12"/>
        <v>#N/A</v>
      </c>
      <c r="BI467" s="64" t="str">
        <f t="shared" si="13"/>
        <v/>
      </c>
      <c r="BJ467" s="123" t="str">
        <f t="shared" si="14"/>
        <v>#N/A</v>
      </c>
      <c r="BK467" s="64" t="str">
        <f t="shared" si="50"/>
        <v>YES</v>
      </c>
      <c r="BL467" s="64" t="str">
        <f t="shared" si="16"/>
        <v>YES</v>
      </c>
      <c r="BM467" s="64" t="str">
        <f t="shared" si="17"/>
        <v>YES</v>
      </c>
      <c r="BN467" s="124" t="str">
        <f t="shared" si="18"/>
        <v/>
      </c>
      <c r="BO467" s="91" t="str">
        <f t="shared" si="19"/>
        <v/>
      </c>
      <c r="BP467" s="91" t="str">
        <f t="shared" si="20"/>
        <v>#N/A</v>
      </c>
      <c r="BQ467" s="91" t="str">
        <f t="shared" si="21"/>
        <v/>
      </c>
      <c r="BR467" s="93" t="str">
        <f t="shared" si="22"/>
        <v/>
      </c>
      <c r="BS467" s="90" t="str">
        <f t="shared" si="23"/>
        <v/>
      </c>
      <c r="BT467" s="93" t="str">
        <f t="shared" si="24"/>
        <v>NA</v>
      </c>
      <c r="BU467" s="125" t="str">
        <f t="shared" si="25"/>
        <v>#N/A</v>
      </c>
      <c r="BV467" s="93" t="str">
        <f t="shared" si="26"/>
        <v/>
      </c>
      <c r="BW467" s="93" t="str">
        <f t="shared" si="27"/>
        <v/>
      </c>
      <c r="BX467" s="93" t="str">
        <f t="shared" si="28"/>
        <v>NA</v>
      </c>
      <c r="BY467" s="95" t="str">
        <f t="shared" si="29"/>
        <v>#N/A</v>
      </c>
      <c r="BZ467" s="93" t="str">
        <f t="shared" si="30"/>
        <v/>
      </c>
      <c r="CA467" s="93" t="str">
        <f t="shared" si="31"/>
        <v/>
      </c>
      <c r="CB467" s="93" t="str">
        <f t="shared" si="32"/>
        <v>NA</v>
      </c>
      <c r="CC467" s="96" t="str">
        <f t="shared" si="33"/>
        <v>#N/A</v>
      </c>
      <c r="CD467" s="93" t="str">
        <f t="shared" si="34"/>
        <v/>
      </c>
      <c r="CE467" s="93" t="str">
        <f t="shared" si="35"/>
        <v/>
      </c>
      <c r="CF467" s="93" t="str">
        <f t="shared" si="36"/>
        <v>NA</v>
      </c>
      <c r="CG467" s="97" t="str">
        <f t="shared" si="37"/>
        <v>#N/A</v>
      </c>
      <c r="CH467" s="98" t="str">
        <f t="shared" si="38"/>
        <v>#N/A</v>
      </c>
      <c r="CI467" s="99" t="str">
        <f t="shared" si="39"/>
        <v>#N/A</v>
      </c>
      <c r="CJ467" s="126" t="str">
        <f t="shared" si="40"/>
        <v>ERROR: check cell</v>
      </c>
      <c r="CK467" s="126"/>
      <c r="CL467" s="127" t="str">
        <f t="shared" si="41"/>
        <v>#DIV/0!</v>
      </c>
      <c r="CM467" s="128" t="str">
        <f t="shared" si="42"/>
        <v>#DIV/0!</v>
      </c>
      <c r="CN467" s="128">
        <f t="shared" si="43"/>
        <v>4</v>
      </c>
      <c r="CO467" s="129">
        <f t="shared" si="44"/>
        <v>4</v>
      </c>
      <c r="CP467" s="129" t="str">
        <f>IFS(C467=Preferences!B$13,B467,B467=Preferences!B$13,C467)</f>
        <v>#N/A</v>
      </c>
    </row>
    <row r="468" ht="13.5" customHeight="1">
      <c r="A468" s="63" t="str">
        <f t="shared" si="45"/>
        <v/>
      </c>
      <c r="B468" s="64"/>
      <c r="C468" s="64"/>
      <c r="D468" s="64"/>
      <c r="E468" s="65"/>
      <c r="F468" s="65"/>
      <c r="G468" s="65"/>
      <c r="H468" s="66"/>
      <c r="I468" s="66"/>
      <c r="J468" s="67"/>
      <c r="K468" s="68"/>
      <c r="L468" s="104"/>
      <c r="M468" s="104"/>
      <c r="N468" s="104"/>
      <c r="O468" s="104"/>
      <c r="P468" s="107" t="str">
        <f t="shared" si="1"/>
        <v/>
      </c>
      <c r="Q468" s="108" t="str">
        <f>IFERROR(IF(AND(Preferences!B$3="Manual",OR(AX468/AW468&gt;G468/F468,BD468="Serious",BD468="Very serious")),"Assess imprecision",IFS(ISBLANK(E468),"",AND(Preferences!B$3="Automatic", G468/F468&gt;=30),"Extremely serious",AND(H468&lt;=$D$1*-1,J468&lt;0,G468/F468&lt;3),"Not serious",AND(H468&lt;=$D$1*-1,J468&lt;0,G468/F468&gt;=3),"Very serious",AND(H468&gt;=$D$1,I468&gt;0,G468/F468&lt;3),"Not serious",AND(H468&gt;=$D$1,I468&gt;0,G468/F468&gt;=3),"Very serious",AND(H468&lt;=$D$1*-1,J468&gt;0,I468&gt;$D$2*-1,G468/F468&lt;3),"Serious", AND(H468&lt;=$D$1*-1,J468&gt;0,I468&lt;$D$2*-1,G468/F468&lt;3),"Very serious", AND(H468&gt;=$D$1,I468&lt;0,J468&lt;$D$2,G468/F468&lt;3),"Serious",AND(H468&gt;=$D$1,I468&lt;0,J468&gt;$D$2,G468/F468&lt;3),"Very serious", AND(H468&lt;=$D$1*-1,J468&gt;0,I468&gt;$D$2*-1,G468/F468&gt;=3),"Very serious", AND(H468&lt;=$D$1*-1,J468&gt;0,I468&lt;$D$2*-1,G468/F468&gt;=3),"Very serious", AND(H468&gt;=$D$1,I468&lt;0,J468&lt;$D$2,G468/F468&gt;=3),"Very serious", AND(H468&gt;=$D$1,I468&lt;0,J468&gt;$D$2,G468/F468&gt;=3),"Very serious", AND(H468&gt;$D$1*-1,H468&lt;$D$1,I468&gt;$D$1*-1,J468&lt;$D$1,G468/F468&lt;3),"Not serious", AND(H468&gt;$D$1*-1,H468&lt;$D$1,OR(I468&lt;=$D$1*-1,J468&gt;=$D$1),I468&gt;$D$2*-1,J468&lt;$D$2,G468/F468&lt;3),"Serious", AND(H468&gt;$D$1*-1,H468&lt;$D$1,OR(I468&lt;=$D$2*-1,J468&gt;=$D$2),G468/F468&lt;3),"Very serious", AND(H468&gt;$D$1*-1,H468&lt;$D$1,I468&gt;$D$1*-1,J468&lt;$D$1,G468/F468&gt;=3),"Very serious", AND(H468&gt;$D$1*-1,H468&lt;$D$1,OR(I468&lt;=$D$1*-1,J468&gt;=$D$1),I468&gt;$D$2*-1,J468&lt;$D$2,G468/F468&gt;=3),"Very serious", AND(H468&gt;$D$1*-1,H468&lt;$D$1,OR(I468&lt;=$D$2*-1,J468&gt;=$D$2),G468/F468&gt;=3),"Very serious")),"")</f>
        <v/>
      </c>
      <c r="R468" s="109" t="str">
        <f t="shared" si="47"/>
        <v/>
      </c>
      <c r="S468" s="64"/>
      <c r="T468" s="72"/>
      <c r="U468" s="72"/>
      <c r="V468" s="72"/>
      <c r="W468" s="73"/>
      <c r="X468" s="73"/>
      <c r="Y468" s="74"/>
      <c r="Z468" s="113" t="str">
        <f t="array" ref="Z468">INDEX($A$1:$C$500, MATCH(1,($B:$B=$B468)*($C:$C=$AB468),0),1)</f>
        <v/>
      </c>
      <c r="AA468" s="113" t="str">
        <f t="array" ref="AA468">INDEX($A$1:$C$500, MATCH(1,($B:$B=$AB468)*($C:$C=$B468),0),1)</f>
        <v/>
      </c>
      <c r="AB468" s="111"/>
      <c r="AC468" s="114" t="str">
        <f t="shared" si="2"/>
        <v/>
      </c>
      <c r="AD468" s="115" t="str">
        <f t="shared" si="3"/>
        <v/>
      </c>
      <c r="AE468" s="116" t="str">
        <f t="array" ref="AE468">INDEX($A$1:$C$500, MATCH(1,($B:$B=$AB468)*($C:$C=$AG468),0),1)</f>
        <v/>
      </c>
      <c r="AF468" s="116" t="str">
        <f t="array" ref="AF468">INDEX($A$1:$C$500, MATCH(1,($B:$B=$AG468)*($C:$C=$AB468),0),1)</f>
        <v/>
      </c>
      <c r="AG468" s="72"/>
      <c r="AH468" s="114" t="str">
        <f t="shared" si="4"/>
        <v/>
      </c>
      <c r="AI468" s="115" t="str">
        <f t="shared" si="5"/>
        <v/>
      </c>
      <c r="AJ468" s="116" t="str">
        <f t="array" ref="AJ468">INDEX($A$1:$C$500, MATCH(1,($B:$B=$C468)*($C:$C=$AG468),0),1)</f>
        <v/>
      </c>
      <c r="AK468" s="116" t="str">
        <f t="array" ref="AK468">INDEX($A$1:$C$500, MATCH(1,($B:$B=$AG468)*($C:$C=$C468),0),1)</f>
        <v/>
      </c>
      <c r="AL468" s="116" t="str">
        <f t="array" ref="AL468">INDEX($A$1:$C$500, MATCH(1,($B:$B=$C468)*($C:$C=$AB468),0),1)</f>
        <v/>
      </c>
      <c r="AM468" s="116" t="str">
        <f t="array" ref="AM468">INDEX($A$1:$C$500, MATCH(1,($B:$B=$AB468)*($C:$C=$C468),0),1)</f>
        <v/>
      </c>
      <c r="AN468" s="114" t="str">
        <f t="array" ref="AN468">IFS(ISNUMBER(AJ468),AJ468,ISNUMBER(AK468),AK468,ISNUMBER(AL468),AL468,ISNUMBER(AM468),AM468)</f>
        <v>#N/A</v>
      </c>
      <c r="AO468" s="115" t="str">
        <f t="shared" si="6"/>
        <v/>
      </c>
      <c r="AP468" s="115" t="str">
        <f t="shared" si="7"/>
        <v/>
      </c>
      <c r="AQ468" s="111"/>
      <c r="AR468" s="109" t="str">
        <f t="shared" si="8"/>
        <v/>
      </c>
      <c r="AS468" s="72" t="str">
        <f>IFERROR(IF(AND(Preferences!B$3="Manual",OR(AX468/AW468&gt;V468/U468,BD468="Serious",BD468="Very serious")),"Assess imprecision",IFERROR(IFS(AND(Preferences!B$3="Automatic",V468/U468&gt;=30),"Extremely serious",AND(W468&lt;=$D$1*-1,Y468&lt;0,V468/U468&lt;3),"Not Serious",AND(W468&lt;=$D$1*-1,Y468&lt;0,V468/U468&gt;=3),"Very serious",AND(W468&gt;=$D$1,X468&gt;0,V468/U468&lt;3),"Not Serious",AND(W468&gt;=$D$1,X468&gt;0,V468/U468&gt;=3),"Very serious",AND(W468&lt;=$D$1*-1,Y468&gt;0,X468&gt;$D$2*-1,V468/U468&lt;3),"Serious", AND(W468&lt;=$D$1*-1,Y468&gt;0,X468&lt;$D$2*-1,V468/U468&lt;3),"Very serious", AND(W468&gt;=$D$1,X468&lt;0,Y468&lt;$D$2,V468/U468&lt;3),"Serious",AND(W468&gt;=$D$1,X468&lt;0,Y468&gt;$D$2,V468/U468&lt;3),"Very serious", AND(W468&lt;=$D$1*-1,Y468&gt;0,X468&gt;$D$2*-1,V468/U468&gt;=3),"Very serious", AND(W468&lt;=$D$1*-1,Y468&gt;0,X468&lt;$D$2*-1,V468/U468&gt;=3),"Very serious", AND(W468&gt;=$D$1,X468&lt;0,Y468&lt;$D$2,V468/U468&gt;=3),"Very serious", AND(W468&gt;=$D$1,X468&lt;0,Y468&gt;$D$2,V468/U468&gt;=3),"Very serious", AND(W468&gt;$D$1*-1,W468&lt;$D$1,X468&gt;$D$1*-1,Y468&lt;$D$1,V468/U468&lt;3),"Not Serious", AND(W468&gt;$D$1*-1,W468&lt;$D$1,OR(X468&lt;=$D$1*-1,Y468&gt;=$D$1),X468&gt;$D$2*-1,Y468&lt;$D$2,V468/U468&lt;3),"Serious", AND(W468&gt;$D$1*-1,W468&lt;$D$1,OR(X468&lt;=$D$2*-1,Y468&gt;=$D$2),V468/U468&lt;3),"Very serious", AND(W468&gt;$D$1*-1,W468&lt;$D$1,X468&gt;$D$1*-1,Y468&lt;$D$1,V468/U468&gt;=3),"Very serious", AND(W468&gt;$D$1*-1,W468&lt;$D$1,OR(X468&lt;=$D$1*-1,Y468&gt;=$D$1),X468&gt;$D$2*-1,Y468&lt;$D$2,V468/U468&gt;=3),"Very serious", AND(W468&gt;$D$1*-1,W468&lt;$D$1,OR(X468&lt;=$D$2*-1,Y468&gt;=$D$2),V468/U468&gt;=3),"Very serious"),"")),"")</f>
        <v/>
      </c>
      <c r="AT468" s="109" t="str">
        <f t="shared" si="9"/>
        <v/>
      </c>
      <c r="AU468" s="64"/>
      <c r="AV468" s="83"/>
      <c r="AW468" s="83"/>
      <c r="AX468" s="83"/>
      <c r="AY468" s="83"/>
      <c r="AZ468" s="83"/>
      <c r="BA468" s="85"/>
      <c r="BB468" s="86" t="str">
        <f>IF(Preferences!B$9="Manual","",IFS(ISBLANK(B468),"",AND(ISNUMBER(E468)=TRUE,ISNUMBER(T468)=FALSE),"Direct", AND(ISNUMBER(E468)=FALSE,ISNUMBER(T468)=TRUE),"Indirect", CN468=4,"Direct",AND(CL468=FALSE, CM468=TRUE,CN468-CO468&gt;-1),"Direct", AND(CL468=FALSE,CM468=TRUE, CN468-CO468&lt;0),"Check algorithm in appendix 2", AND(CL468=TRUE, CM468=FALSE,CN468-CO468&gt;0),"Check algorithm in appendix 2", AND(CL468=TRUE, CM468=FALSE,CN468-CO468=0),"Indirect", AND(CL468=TRUE, CM468=FALSE,CN468-CO468&lt;0),"Indirect", AND(CL468=FALSE,CM468=FALSE,CN468-CO468&gt;-1),"Direct", AND(CL468=FALSE,CM468=FALSE,CN468-CO468&lt;0),"Check algorithm in appendix 2", AND(CL468=TRUE,CM468=TRUE,CN468-CO468&gt;-1),"Direct", AND(CL468=TRUE,CM468=TRUE,CN468-CO468&lt;0),"Check algorithm in appendix 2"))</f>
        <v/>
      </c>
      <c r="BC468" s="120" t="str">
        <f t="shared" si="10"/>
        <v/>
      </c>
      <c r="BD468" s="140"/>
      <c r="BE468" s="122" t="str">
        <f>IF(Preferences!B$3="Manual","", IFERROR(IFS(AND(Preferences!B$3="Automatic",AX468/AW468&gt;=30),"Extremely serious",AND(AY468&lt;=$D$1*-1,BA468&lt;0,AX468/AW468&lt;3),"Not Serious",AND(AY468&lt;=$D$1*-1,BA468&lt;0,AX468/AW468&gt;=3),"Very serious",AND(AY468&gt;=$D$1,AZ468&gt;0,AX468/AW468&lt;3),"Not Serious",AND(AY468&gt;=$D$1,AZ468&gt;0,AX468/AW468&gt;=3),"Very serious",AND(AY468&lt;=$D$1*-1,BA468&gt;0,AZ468&gt;$D$2*-1,AX468/AW468&lt;3),"Serious", AND(AY468&lt;=$D$1*-1,BA468&gt;0,AZ468&lt;$D$2*-1,AX468/AW468&lt;3),"Very serious", AND(AY468&gt;=$D$1,AZ468&lt;0,BA468&lt;$D$2,AX468/AW468&lt;3),"Serious",AND(AY468&gt;=$D$1,AZ468&lt;0,BA468&gt;$D$2,AX468/AW468&lt;3),"Very serious", AND(AY468&lt;=$D$1*-1,BA468&gt;0,AZ468&gt;$D$2*-1,AX468/AW468&gt;=3),"Very serious", AND(AY468&lt;=$D$1*-1,BA468&gt;0,AZ468&lt;$D$2*-1,AX468/AW468&gt;=3),"Very serious", AND(AY468&gt;=$D$1,AZ468&lt;0,BA468&lt;$D$2,AX468/AW468&gt;=3),"Very serious", AND(AY468&gt;=$D$1,AZ468&lt;0,BA468&gt;$D$2,AX468/AW468&gt;=3),"Very serious", AND(AY468&gt;$D$1*-1,AY468&lt;$D$1,AZ468&gt;$D$1*-1,BA468&lt;$D$1,AX468/AW468&lt;3),"Not Serious", AND(AY468&gt;$D$1*-1,AY468&lt;$D$1,OR(AZ468&lt;=$D$1*-1,BA468&gt;=$D$1),AZ468&gt;$D$2*-1,BA468&lt;$D$2,AX468/AW468&lt;3),"Serious", AND(AY468&gt;$D$1*-1,AY468&lt;$D$1,OR(AZ468&lt;=$D$2*-1,BA468&gt;=$D$2),AX468/AW468&lt;3),"Very serious", AND(AY468&gt;$D$1*-1,AY468&lt;$D$1,AZ468&gt;$D$1*-1,BA468&lt;$D$1,AX468/AW468&gt;=3),"Very serious", AND(AY468&gt;$D$1*-1,AY468&lt;$D$1,OR(AZ468&lt;=$D$1*-1,BA468&gt;=$D$1),AZ468&gt;$D$2*-1,BA468&lt;$D$2,AX468/AW468&gt;=3),"Very serious", AND(AY468&gt;$D$1*-1,AY468&lt;$D$1,OR(AZ468&lt;=$D$2*-1,BA468&gt;=$D$2),AX468/AW468&gt;=3),"Very serious"),""))</f>
        <v/>
      </c>
      <c r="BF468" s="107" t="str">
        <f t="shared" si="11"/>
        <v/>
      </c>
      <c r="BG468" s="94" t="str">
        <f t="shared" si="46"/>
        <v/>
      </c>
      <c r="BH468" s="64" t="str">
        <f t="shared" si="12"/>
        <v>#N/A</v>
      </c>
      <c r="BI468" s="64" t="str">
        <f t="shared" si="13"/>
        <v/>
      </c>
      <c r="BJ468" s="123" t="str">
        <f t="shared" si="14"/>
        <v>#N/A</v>
      </c>
      <c r="BK468" s="64" t="str">
        <f t="shared" si="50"/>
        <v>YES</v>
      </c>
      <c r="BL468" s="64" t="str">
        <f t="shared" si="16"/>
        <v>YES</v>
      </c>
      <c r="BM468" s="64" t="str">
        <f t="shared" si="17"/>
        <v>YES</v>
      </c>
      <c r="BN468" s="124" t="str">
        <f t="shared" si="18"/>
        <v/>
      </c>
      <c r="BO468" s="91" t="str">
        <f t="shared" si="19"/>
        <v/>
      </c>
      <c r="BP468" s="91" t="str">
        <f t="shared" si="20"/>
        <v>#N/A</v>
      </c>
      <c r="BQ468" s="91" t="str">
        <f t="shared" si="21"/>
        <v/>
      </c>
      <c r="BR468" s="93" t="str">
        <f t="shared" si="22"/>
        <v/>
      </c>
      <c r="BS468" s="90" t="str">
        <f t="shared" si="23"/>
        <v/>
      </c>
      <c r="BT468" s="93" t="str">
        <f t="shared" si="24"/>
        <v>NA</v>
      </c>
      <c r="BU468" s="125" t="str">
        <f t="shared" si="25"/>
        <v>#N/A</v>
      </c>
      <c r="BV468" s="93" t="str">
        <f t="shared" si="26"/>
        <v/>
      </c>
      <c r="BW468" s="93" t="str">
        <f t="shared" si="27"/>
        <v/>
      </c>
      <c r="BX468" s="93" t="str">
        <f t="shared" si="28"/>
        <v>NA</v>
      </c>
      <c r="BY468" s="95" t="str">
        <f t="shared" si="29"/>
        <v>#N/A</v>
      </c>
      <c r="BZ468" s="93" t="str">
        <f t="shared" si="30"/>
        <v/>
      </c>
      <c r="CA468" s="93" t="str">
        <f t="shared" si="31"/>
        <v/>
      </c>
      <c r="CB468" s="93" t="str">
        <f t="shared" si="32"/>
        <v>NA</v>
      </c>
      <c r="CC468" s="96" t="str">
        <f t="shared" si="33"/>
        <v>#N/A</v>
      </c>
      <c r="CD468" s="93" t="str">
        <f t="shared" si="34"/>
        <v/>
      </c>
      <c r="CE468" s="93" t="str">
        <f t="shared" si="35"/>
        <v/>
      </c>
      <c r="CF468" s="93" t="str">
        <f t="shared" si="36"/>
        <v>NA</v>
      </c>
      <c r="CG468" s="97" t="str">
        <f t="shared" si="37"/>
        <v>#N/A</v>
      </c>
      <c r="CH468" s="98" t="str">
        <f t="shared" si="38"/>
        <v>#N/A</v>
      </c>
      <c r="CI468" s="99" t="str">
        <f t="shared" si="39"/>
        <v>#N/A</v>
      </c>
      <c r="CJ468" s="126" t="str">
        <f t="shared" si="40"/>
        <v>ERROR: check cell</v>
      </c>
      <c r="CK468" s="126"/>
      <c r="CL468" s="127" t="str">
        <f t="shared" si="41"/>
        <v>#DIV/0!</v>
      </c>
      <c r="CM468" s="128" t="str">
        <f t="shared" si="42"/>
        <v>#DIV/0!</v>
      </c>
      <c r="CN468" s="128">
        <f t="shared" si="43"/>
        <v>4</v>
      </c>
      <c r="CO468" s="129">
        <f t="shared" si="44"/>
        <v>4</v>
      </c>
      <c r="CP468" s="129" t="str">
        <f>IFS(C468=Preferences!B$13,B468,B468=Preferences!B$13,C468)</f>
        <v>#N/A</v>
      </c>
    </row>
    <row r="469" ht="13.5" customHeight="1">
      <c r="A469" s="63" t="str">
        <f t="shared" si="45"/>
        <v/>
      </c>
      <c r="B469" s="64"/>
      <c r="C469" s="64"/>
      <c r="D469" s="64"/>
      <c r="E469" s="65"/>
      <c r="F469" s="65"/>
      <c r="G469" s="65"/>
      <c r="H469" s="66"/>
      <c r="I469" s="66"/>
      <c r="J469" s="67"/>
      <c r="K469" s="68"/>
      <c r="L469" s="104"/>
      <c r="M469" s="104"/>
      <c r="N469" s="104"/>
      <c r="O469" s="104"/>
      <c r="P469" s="107" t="str">
        <f t="shared" si="1"/>
        <v/>
      </c>
      <c r="Q469" s="108" t="str">
        <f>IFERROR(IF(AND(Preferences!B$3="Manual",OR(AX469/AW469&gt;G469/F469,BD469="Serious",BD469="Very serious")),"Assess imprecision",IFS(ISBLANK(E469),"",AND(Preferences!B$3="Automatic", G469/F469&gt;=30),"Extremely serious",AND(H469&lt;=$D$1*-1,J469&lt;0,G469/F469&lt;3),"Not serious",AND(H469&lt;=$D$1*-1,J469&lt;0,G469/F469&gt;=3),"Very serious",AND(H469&gt;=$D$1,I469&gt;0,G469/F469&lt;3),"Not serious",AND(H469&gt;=$D$1,I469&gt;0,G469/F469&gt;=3),"Very serious",AND(H469&lt;=$D$1*-1,J469&gt;0,I469&gt;$D$2*-1,G469/F469&lt;3),"Serious", AND(H469&lt;=$D$1*-1,J469&gt;0,I469&lt;$D$2*-1,G469/F469&lt;3),"Very serious", AND(H469&gt;=$D$1,I469&lt;0,J469&lt;$D$2,G469/F469&lt;3),"Serious",AND(H469&gt;=$D$1,I469&lt;0,J469&gt;$D$2,G469/F469&lt;3),"Very serious", AND(H469&lt;=$D$1*-1,J469&gt;0,I469&gt;$D$2*-1,G469/F469&gt;=3),"Very serious", AND(H469&lt;=$D$1*-1,J469&gt;0,I469&lt;$D$2*-1,G469/F469&gt;=3),"Very serious", AND(H469&gt;=$D$1,I469&lt;0,J469&lt;$D$2,G469/F469&gt;=3),"Very serious", AND(H469&gt;=$D$1,I469&lt;0,J469&gt;$D$2,G469/F469&gt;=3),"Very serious", AND(H469&gt;$D$1*-1,H469&lt;$D$1,I469&gt;$D$1*-1,J469&lt;$D$1,G469/F469&lt;3),"Not serious", AND(H469&gt;$D$1*-1,H469&lt;$D$1,OR(I469&lt;=$D$1*-1,J469&gt;=$D$1),I469&gt;$D$2*-1,J469&lt;$D$2,G469/F469&lt;3),"Serious", AND(H469&gt;$D$1*-1,H469&lt;$D$1,OR(I469&lt;=$D$2*-1,J469&gt;=$D$2),G469/F469&lt;3),"Very serious", AND(H469&gt;$D$1*-1,H469&lt;$D$1,I469&gt;$D$1*-1,J469&lt;$D$1,G469/F469&gt;=3),"Very serious", AND(H469&gt;$D$1*-1,H469&lt;$D$1,OR(I469&lt;=$D$1*-1,J469&gt;=$D$1),I469&gt;$D$2*-1,J469&lt;$D$2,G469/F469&gt;=3),"Very serious", AND(H469&gt;$D$1*-1,H469&lt;$D$1,OR(I469&lt;=$D$2*-1,J469&gt;=$D$2),G469/F469&gt;=3),"Very serious")),"")</f>
        <v/>
      </c>
      <c r="R469" s="109" t="str">
        <f t="shared" si="47"/>
        <v/>
      </c>
      <c r="S469" s="64"/>
      <c r="T469" s="72"/>
      <c r="U469" s="72"/>
      <c r="V469" s="72"/>
      <c r="W469" s="73"/>
      <c r="X469" s="73"/>
      <c r="Y469" s="74"/>
      <c r="Z469" s="113" t="str">
        <f t="array" ref="Z469">INDEX($A$1:$C$500, MATCH(1,($B:$B=$B469)*($C:$C=$AB469),0),1)</f>
        <v/>
      </c>
      <c r="AA469" s="113" t="str">
        <f t="array" ref="AA469">INDEX($A$1:$C$500, MATCH(1,($B:$B=$AB469)*($C:$C=$B469),0),1)</f>
        <v/>
      </c>
      <c r="AB469" s="111"/>
      <c r="AC469" s="114" t="str">
        <f t="shared" si="2"/>
        <v/>
      </c>
      <c r="AD469" s="115" t="str">
        <f t="shared" si="3"/>
        <v/>
      </c>
      <c r="AE469" s="116" t="str">
        <f t="array" ref="AE469">INDEX($A$1:$C$500, MATCH(1,($B:$B=$AB469)*($C:$C=$AG469),0),1)</f>
        <v/>
      </c>
      <c r="AF469" s="116" t="str">
        <f t="array" ref="AF469">INDEX($A$1:$C$500, MATCH(1,($B:$B=$AG469)*($C:$C=$AB469),0),1)</f>
        <v/>
      </c>
      <c r="AG469" s="72"/>
      <c r="AH469" s="114" t="str">
        <f t="shared" si="4"/>
        <v/>
      </c>
      <c r="AI469" s="115" t="str">
        <f t="shared" si="5"/>
        <v/>
      </c>
      <c r="AJ469" s="116" t="str">
        <f t="array" ref="AJ469">INDEX($A$1:$C$500, MATCH(1,($B:$B=$C469)*($C:$C=$AG469),0),1)</f>
        <v/>
      </c>
      <c r="AK469" s="116" t="str">
        <f t="array" ref="AK469">INDEX($A$1:$C$500, MATCH(1,($B:$B=$AG469)*($C:$C=$C469),0),1)</f>
        <v/>
      </c>
      <c r="AL469" s="116" t="str">
        <f t="array" ref="AL469">INDEX($A$1:$C$500, MATCH(1,($B:$B=$C469)*($C:$C=$AB469),0),1)</f>
        <v/>
      </c>
      <c r="AM469" s="116" t="str">
        <f t="array" ref="AM469">INDEX($A$1:$C$500, MATCH(1,($B:$B=$AB469)*($C:$C=$C469),0),1)</f>
        <v/>
      </c>
      <c r="AN469" s="114" t="str">
        <f t="array" ref="AN469">IFS(ISNUMBER(AJ469),AJ469,ISNUMBER(AK469),AK469,ISNUMBER(AL469),AL469,ISNUMBER(AM469),AM469)</f>
        <v>#N/A</v>
      </c>
      <c r="AO469" s="115" t="str">
        <f t="shared" si="6"/>
        <v/>
      </c>
      <c r="AP469" s="115" t="str">
        <f t="shared" si="7"/>
        <v/>
      </c>
      <c r="AQ469" s="111"/>
      <c r="AR469" s="109" t="str">
        <f t="shared" si="8"/>
        <v/>
      </c>
      <c r="AS469" s="72" t="str">
        <f>IFERROR(IF(AND(Preferences!B$3="Manual",OR(AX469/AW469&gt;V469/U469,BD469="Serious",BD469="Very serious")),"Assess imprecision",IFERROR(IFS(AND(Preferences!B$3="Automatic",V469/U469&gt;=30),"Extremely serious",AND(W469&lt;=$D$1*-1,Y469&lt;0,V469/U469&lt;3),"Not Serious",AND(W469&lt;=$D$1*-1,Y469&lt;0,V469/U469&gt;=3),"Very serious",AND(W469&gt;=$D$1,X469&gt;0,V469/U469&lt;3),"Not Serious",AND(W469&gt;=$D$1,X469&gt;0,V469/U469&gt;=3),"Very serious",AND(W469&lt;=$D$1*-1,Y469&gt;0,X469&gt;$D$2*-1,V469/U469&lt;3),"Serious", AND(W469&lt;=$D$1*-1,Y469&gt;0,X469&lt;$D$2*-1,V469/U469&lt;3),"Very serious", AND(W469&gt;=$D$1,X469&lt;0,Y469&lt;$D$2,V469/U469&lt;3),"Serious",AND(W469&gt;=$D$1,X469&lt;0,Y469&gt;$D$2,V469/U469&lt;3),"Very serious", AND(W469&lt;=$D$1*-1,Y469&gt;0,X469&gt;$D$2*-1,V469/U469&gt;=3),"Very serious", AND(W469&lt;=$D$1*-1,Y469&gt;0,X469&lt;$D$2*-1,V469/U469&gt;=3),"Very serious", AND(W469&gt;=$D$1,X469&lt;0,Y469&lt;$D$2,V469/U469&gt;=3),"Very serious", AND(W469&gt;=$D$1,X469&lt;0,Y469&gt;$D$2,V469/U469&gt;=3),"Very serious", AND(W469&gt;$D$1*-1,W469&lt;$D$1,X469&gt;$D$1*-1,Y469&lt;$D$1,V469/U469&lt;3),"Not Serious", AND(W469&gt;$D$1*-1,W469&lt;$D$1,OR(X469&lt;=$D$1*-1,Y469&gt;=$D$1),X469&gt;$D$2*-1,Y469&lt;$D$2,V469/U469&lt;3),"Serious", AND(W469&gt;$D$1*-1,W469&lt;$D$1,OR(X469&lt;=$D$2*-1,Y469&gt;=$D$2),V469/U469&lt;3),"Very serious", AND(W469&gt;$D$1*-1,W469&lt;$D$1,X469&gt;$D$1*-1,Y469&lt;$D$1,V469/U469&gt;=3),"Very serious", AND(W469&gt;$D$1*-1,W469&lt;$D$1,OR(X469&lt;=$D$1*-1,Y469&gt;=$D$1),X469&gt;$D$2*-1,Y469&lt;$D$2,V469/U469&gt;=3),"Very serious", AND(W469&gt;$D$1*-1,W469&lt;$D$1,OR(X469&lt;=$D$2*-1,Y469&gt;=$D$2),V469/U469&gt;=3),"Very serious"),"")),"")</f>
        <v/>
      </c>
      <c r="AT469" s="109" t="str">
        <f t="shared" si="9"/>
        <v/>
      </c>
      <c r="AU469" s="64"/>
      <c r="AV469" s="83"/>
      <c r="AW469" s="83"/>
      <c r="AX469" s="83"/>
      <c r="AY469" s="83"/>
      <c r="AZ469" s="83"/>
      <c r="BA469" s="85"/>
      <c r="BB469" s="86" t="str">
        <f>IF(Preferences!B$9="Manual","",IFS(ISBLANK(B469),"",AND(ISNUMBER(E469)=TRUE,ISNUMBER(T469)=FALSE),"Direct", AND(ISNUMBER(E469)=FALSE,ISNUMBER(T469)=TRUE),"Indirect", CN469=4,"Direct",AND(CL469=FALSE, CM469=TRUE,CN469-CO469&gt;-1),"Direct", AND(CL469=FALSE,CM469=TRUE, CN469-CO469&lt;0),"Check algorithm in appendix 2", AND(CL469=TRUE, CM469=FALSE,CN469-CO469&gt;0),"Check algorithm in appendix 2", AND(CL469=TRUE, CM469=FALSE,CN469-CO469=0),"Indirect", AND(CL469=TRUE, CM469=FALSE,CN469-CO469&lt;0),"Indirect", AND(CL469=FALSE,CM469=FALSE,CN469-CO469&gt;-1),"Direct", AND(CL469=FALSE,CM469=FALSE,CN469-CO469&lt;0),"Check algorithm in appendix 2", AND(CL469=TRUE,CM469=TRUE,CN469-CO469&gt;-1),"Direct", AND(CL469=TRUE,CM469=TRUE,CN469-CO469&lt;0),"Check algorithm in appendix 2"))</f>
        <v/>
      </c>
      <c r="BC469" s="120" t="str">
        <f t="shared" si="10"/>
        <v/>
      </c>
      <c r="BD469" s="140"/>
      <c r="BE469" s="122" t="str">
        <f>IF(Preferences!B$3="Manual","", IFERROR(IFS(AND(Preferences!B$3="Automatic",AX469/AW469&gt;=30),"Extremely serious",AND(AY469&lt;=$D$1*-1,BA469&lt;0,AX469/AW469&lt;3),"Not Serious",AND(AY469&lt;=$D$1*-1,BA469&lt;0,AX469/AW469&gt;=3),"Very serious",AND(AY469&gt;=$D$1,AZ469&gt;0,AX469/AW469&lt;3),"Not Serious",AND(AY469&gt;=$D$1,AZ469&gt;0,AX469/AW469&gt;=3),"Very serious",AND(AY469&lt;=$D$1*-1,BA469&gt;0,AZ469&gt;$D$2*-1,AX469/AW469&lt;3),"Serious", AND(AY469&lt;=$D$1*-1,BA469&gt;0,AZ469&lt;$D$2*-1,AX469/AW469&lt;3),"Very serious", AND(AY469&gt;=$D$1,AZ469&lt;0,BA469&lt;$D$2,AX469/AW469&lt;3),"Serious",AND(AY469&gt;=$D$1,AZ469&lt;0,BA469&gt;$D$2,AX469/AW469&lt;3),"Very serious", AND(AY469&lt;=$D$1*-1,BA469&gt;0,AZ469&gt;$D$2*-1,AX469/AW469&gt;=3),"Very serious", AND(AY469&lt;=$D$1*-1,BA469&gt;0,AZ469&lt;$D$2*-1,AX469/AW469&gt;=3),"Very serious", AND(AY469&gt;=$D$1,AZ469&lt;0,BA469&lt;$D$2,AX469/AW469&gt;=3),"Very serious", AND(AY469&gt;=$D$1,AZ469&lt;0,BA469&gt;$D$2,AX469/AW469&gt;=3),"Very serious", AND(AY469&gt;$D$1*-1,AY469&lt;$D$1,AZ469&gt;$D$1*-1,BA469&lt;$D$1,AX469/AW469&lt;3),"Not Serious", AND(AY469&gt;$D$1*-1,AY469&lt;$D$1,OR(AZ469&lt;=$D$1*-1,BA469&gt;=$D$1),AZ469&gt;$D$2*-1,BA469&lt;$D$2,AX469/AW469&lt;3),"Serious", AND(AY469&gt;$D$1*-1,AY469&lt;$D$1,OR(AZ469&lt;=$D$2*-1,BA469&gt;=$D$2),AX469/AW469&lt;3),"Very serious", AND(AY469&gt;$D$1*-1,AY469&lt;$D$1,AZ469&gt;$D$1*-1,BA469&lt;$D$1,AX469/AW469&gt;=3),"Very serious", AND(AY469&gt;$D$1*-1,AY469&lt;$D$1,OR(AZ469&lt;=$D$1*-1,BA469&gt;=$D$1),AZ469&gt;$D$2*-1,BA469&lt;$D$2,AX469/AW469&gt;=3),"Very serious", AND(AY469&gt;$D$1*-1,AY469&lt;$D$1,OR(AZ469&lt;=$D$2*-1,BA469&gt;=$D$2),AX469/AW469&gt;=3),"Very serious"),""))</f>
        <v/>
      </c>
      <c r="BF469" s="107" t="str">
        <f t="shared" si="11"/>
        <v/>
      </c>
      <c r="BG469" s="94" t="str">
        <f t="shared" si="46"/>
        <v/>
      </c>
      <c r="BH469" s="64" t="str">
        <f t="shared" si="12"/>
        <v>#N/A</v>
      </c>
      <c r="BI469" s="64" t="str">
        <f t="shared" si="13"/>
        <v/>
      </c>
      <c r="BJ469" s="123" t="str">
        <f t="shared" si="14"/>
        <v>#N/A</v>
      </c>
      <c r="BK469" s="64" t="str">
        <f t="shared" si="50"/>
        <v>YES</v>
      </c>
      <c r="BL469" s="64" t="str">
        <f t="shared" si="16"/>
        <v>YES</v>
      </c>
      <c r="BM469" s="64" t="str">
        <f t="shared" si="17"/>
        <v>YES</v>
      </c>
      <c r="BN469" s="124" t="str">
        <f t="shared" si="18"/>
        <v/>
      </c>
      <c r="BO469" s="91" t="str">
        <f t="shared" si="19"/>
        <v/>
      </c>
      <c r="BP469" s="91" t="str">
        <f t="shared" si="20"/>
        <v>#N/A</v>
      </c>
      <c r="BQ469" s="91" t="str">
        <f t="shared" si="21"/>
        <v/>
      </c>
      <c r="BR469" s="93" t="str">
        <f t="shared" si="22"/>
        <v/>
      </c>
      <c r="BS469" s="90" t="str">
        <f t="shared" si="23"/>
        <v/>
      </c>
      <c r="BT469" s="93" t="str">
        <f t="shared" si="24"/>
        <v>NA</v>
      </c>
      <c r="BU469" s="125" t="str">
        <f t="shared" si="25"/>
        <v>#N/A</v>
      </c>
      <c r="BV469" s="93" t="str">
        <f t="shared" si="26"/>
        <v/>
      </c>
      <c r="BW469" s="93" t="str">
        <f t="shared" si="27"/>
        <v/>
      </c>
      <c r="BX469" s="93" t="str">
        <f t="shared" si="28"/>
        <v>NA</v>
      </c>
      <c r="BY469" s="95" t="str">
        <f t="shared" si="29"/>
        <v>#N/A</v>
      </c>
      <c r="BZ469" s="93" t="str">
        <f t="shared" si="30"/>
        <v/>
      </c>
      <c r="CA469" s="93" t="str">
        <f t="shared" si="31"/>
        <v/>
      </c>
      <c r="CB469" s="93" t="str">
        <f t="shared" si="32"/>
        <v>NA</v>
      </c>
      <c r="CC469" s="96" t="str">
        <f t="shared" si="33"/>
        <v>#N/A</v>
      </c>
      <c r="CD469" s="93" t="str">
        <f t="shared" si="34"/>
        <v/>
      </c>
      <c r="CE469" s="93" t="str">
        <f t="shared" si="35"/>
        <v/>
      </c>
      <c r="CF469" s="93" t="str">
        <f t="shared" si="36"/>
        <v>NA</v>
      </c>
      <c r="CG469" s="97" t="str">
        <f t="shared" si="37"/>
        <v>#N/A</v>
      </c>
      <c r="CH469" s="98" t="str">
        <f t="shared" si="38"/>
        <v>#N/A</v>
      </c>
      <c r="CI469" s="99" t="str">
        <f t="shared" si="39"/>
        <v>#N/A</v>
      </c>
      <c r="CJ469" s="126" t="str">
        <f t="shared" si="40"/>
        <v>ERROR: check cell</v>
      </c>
      <c r="CK469" s="126"/>
      <c r="CL469" s="127" t="str">
        <f t="shared" si="41"/>
        <v>#DIV/0!</v>
      </c>
      <c r="CM469" s="128" t="str">
        <f t="shared" si="42"/>
        <v>#DIV/0!</v>
      </c>
      <c r="CN469" s="128">
        <f t="shared" si="43"/>
        <v>4</v>
      </c>
      <c r="CO469" s="129">
        <f t="shared" si="44"/>
        <v>4</v>
      </c>
      <c r="CP469" s="129" t="str">
        <f>IFS(C469=Preferences!B$13,B469,B469=Preferences!B$13,C469)</f>
        <v>#N/A</v>
      </c>
    </row>
    <row r="470" ht="13.5" customHeight="1">
      <c r="A470" s="63" t="str">
        <f t="shared" si="45"/>
        <v/>
      </c>
      <c r="B470" s="64"/>
      <c r="C470" s="64"/>
      <c r="D470" s="64"/>
      <c r="E470" s="65"/>
      <c r="F470" s="65"/>
      <c r="G470" s="65"/>
      <c r="H470" s="66"/>
      <c r="I470" s="66"/>
      <c r="J470" s="67"/>
      <c r="K470" s="68"/>
      <c r="L470" s="104"/>
      <c r="M470" s="104"/>
      <c r="N470" s="104"/>
      <c r="O470" s="104"/>
      <c r="P470" s="107" t="str">
        <f t="shared" si="1"/>
        <v/>
      </c>
      <c r="Q470" s="108" t="str">
        <f>IFERROR(IF(AND(Preferences!B$3="Manual",OR(AX470/AW470&gt;G470/F470,BD470="Serious",BD470="Very serious")),"Assess imprecision",IFS(ISBLANK(E470),"",AND(Preferences!B$3="Automatic", G470/F470&gt;=30),"Extremely serious",AND(H470&lt;=$D$1*-1,J470&lt;0,G470/F470&lt;3),"Not serious",AND(H470&lt;=$D$1*-1,J470&lt;0,G470/F470&gt;=3),"Very serious",AND(H470&gt;=$D$1,I470&gt;0,G470/F470&lt;3),"Not serious",AND(H470&gt;=$D$1,I470&gt;0,G470/F470&gt;=3),"Very serious",AND(H470&lt;=$D$1*-1,J470&gt;0,I470&gt;$D$2*-1,G470/F470&lt;3),"Serious", AND(H470&lt;=$D$1*-1,J470&gt;0,I470&lt;$D$2*-1,G470/F470&lt;3),"Very serious", AND(H470&gt;=$D$1,I470&lt;0,J470&lt;$D$2,G470/F470&lt;3),"Serious",AND(H470&gt;=$D$1,I470&lt;0,J470&gt;$D$2,G470/F470&lt;3),"Very serious", AND(H470&lt;=$D$1*-1,J470&gt;0,I470&gt;$D$2*-1,G470/F470&gt;=3),"Very serious", AND(H470&lt;=$D$1*-1,J470&gt;0,I470&lt;$D$2*-1,G470/F470&gt;=3),"Very serious", AND(H470&gt;=$D$1,I470&lt;0,J470&lt;$D$2,G470/F470&gt;=3),"Very serious", AND(H470&gt;=$D$1,I470&lt;0,J470&gt;$D$2,G470/F470&gt;=3),"Very serious", AND(H470&gt;$D$1*-1,H470&lt;$D$1,I470&gt;$D$1*-1,J470&lt;$D$1,G470/F470&lt;3),"Not serious", AND(H470&gt;$D$1*-1,H470&lt;$D$1,OR(I470&lt;=$D$1*-1,J470&gt;=$D$1),I470&gt;$D$2*-1,J470&lt;$D$2,G470/F470&lt;3),"Serious", AND(H470&gt;$D$1*-1,H470&lt;$D$1,OR(I470&lt;=$D$2*-1,J470&gt;=$D$2),G470/F470&lt;3),"Very serious", AND(H470&gt;$D$1*-1,H470&lt;$D$1,I470&gt;$D$1*-1,J470&lt;$D$1,G470/F470&gt;=3),"Very serious", AND(H470&gt;$D$1*-1,H470&lt;$D$1,OR(I470&lt;=$D$1*-1,J470&gt;=$D$1),I470&gt;$D$2*-1,J470&lt;$D$2,G470/F470&gt;=3),"Very serious", AND(H470&gt;$D$1*-1,H470&lt;$D$1,OR(I470&lt;=$D$2*-1,J470&gt;=$D$2),G470/F470&gt;=3),"Very serious")),"")</f>
        <v/>
      </c>
      <c r="R470" s="109" t="str">
        <f t="shared" si="47"/>
        <v/>
      </c>
      <c r="S470" s="64"/>
      <c r="T470" s="72"/>
      <c r="U470" s="72"/>
      <c r="V470" s="72"/>
      <c r="W470" s="73"/>
      <c r="X470" s="73"/>
      <c r="Y470" s="74"/>
      <c r="Z470" s="113" t="str">
        <f t="array" ref="Z470">INDEX($A$1:$C$500, MATCH(1,($B:$B=$B470)*($C:$C=$AB470),0),1)</f>
        <v/>
      </c>
      <c r="AA470" s="113" t="str">
        <f t="array" ref="AA470">INDEX($A$1:$C$500, MATCH(1,($B:$B=$AB470)*($C:$C=$B470),0),1)</f>
        <v/>
      </c>
      <c r="AB470" s="111"/>
      <c r="AC470" s="114" t="str">
        <f t="shared" si="2"/>
        <v/>
      </c>
      <c r="AD470" s="115" t="str">
        <f t="shared" si="3"/>
        <v/>
      </c>
      <c r="AE470" s="116" t="str">
        <f t="array" ref="AE470">INDEX($A$1:$C$500, MATCH(1,($B:$B=$AB470)*($C:$C=$AG470),0),1)</f>
        <v/>
      </c>
      <c r="AF470" s="116" t="str">
        <f t="array" ref="AF470">INDEX($A$1:$C$500, MATCH(1,($B:$B=$AG470)*($C:$C=$AB470),0),1)</f>
        <v/>
      </c>
      <c r="AG470" s="72"/>
      <c r="AH470" s="114" t="str">
        <f t="shared" si="4"/>
        <v/>
      </c>
      <c r="AI470" s="115" t="str">
        <f t="shared" si="5"/>
        <v/>
      </c>
      <c r="AJ470" s="116" t="str">
        <f t="array" ref="AJ470">INDEX($A$1:$C$500, MATCH(1,($B:$B=$C470)*($C:$C=$AG470),0),1)</f>
        <v/>
      </c>
      <c r="AK470" s="116" t="str">
        <f t="array" ref="AK470">INDEX($A$1:$C$500, MATCH(1,($B:$B=$AG470)*($C:$C=$C470),0),1)</f>
        <v/>
      </c>
      <c r="AL470" s="116" t="str">
        <f t="array" ref="AL470">INDEX($A$1:$C$500, MATCH(1,($B:$B=$C470)*($C:$C=$AB470),0),1)</f>
        <v/>
      </c>
      <c r="AM470" s="116" t="str">
        <f t="array" ref="AM470">INDEX($A$1:$C$500, MATCH(1,($B:$B=$AB470)*($C:$C=$C470),0),1)</f>
        <v/>
      </c>
      <c r="AN470" s="114" t="str">
        <f t="array" ref="AN470">IFS(ISNUMBER(AJ470),AJ470,ISNUMBER(AK470),AK470,ISNUMBER(AL470),AL470,ISNUMBER(AM470),AM470)</f>
        <v>#N/A</v>
      </c>
      <c r="AO470" s="115" t="str">
        <f t="shared" si="6"/>
        <v/>
      </c>
      <c r="AP470" s="115" t="str">
        <f t="shared" si="7"/>
        <v/>
      </c>
      <c r="AQ470" s="111"/>
      <c r="AR470" s="109" t="str">
        <f t="shared" si="8"/>
        <v/>
      </c>
      <c r="AS470" s="72" t="str">
        <f>IFERROR(IF(AND(Preferences!B$3="Manual",OR(AX470/AW470&gt;V470/U470,BD470="Serious",BD470="Very serious")),"Assess imprecision",IFERROR(IFS(AND(Preferences!B$3="Automatic",V470/U470&gt;=30),"Extremely serious",AND(W470&lt;=$D$1*-1,Y470&lt;0,V470/U470&lt;3),"Not Serious",AND(W470&lt;=$D$1*-1,Y470&lt;0,V470/U470&gt;=3),"Very serious",AND(W470&gt;=$D$1,X470&gt;0,V470/U470&lt;3),"Not Serious",AND(W470&gt;=$D$1,X470&gt;0,V470/U470&gt;=3),"Very serious",AND(W470&lt;=$D$1*-1,Y470&gt;0,X470&gt;$D$2*-1,V470/U470&lt;3),"Serious", AND(W470&lt;=$D$1*-1,Y470&gt;0,X470&lt;$D$2*-1,V470/U470&lt;3),"Very serious", AND(W470&gt;=$D$1,X470&lt;0,Y470&lt;$D$2,V470/U470&lt;3),"Serious",AND(W470&gt;=$D$1,X470&lt;0,Y470&gt;$D$2,V470/U470&lt;3),"Very serious", AND(W470&lt;=$D$1*-1,Y470&gt;0,X470&gt;$D$2*-1,V470/U470&gt;=3),"Very serious", AND(W470&lt;=$D$1*-1,Y470&gt;0,X470&lt;$D$2*-1,V470/U470&gt;=3),"Very serious", AND(W470&gt;=$D$1,X470&lt;0,Y470&lt;$D$2,V470/U470&gt;=3),"Very serious", AND(W470&gt;=$D$1,X470&lt;0,Y470&gt;$D$2,V470/U470&gt;=3),"Very serious", AND(W470&gt;$D$1*-1,W470&lt;$D$1,X470&gt;$D$1*-1,Y470&lt;$D$1,V470/U470&lt;3),"Not Serious", AND(W470&gt;$D$1*-1,W470&lt;$D$1,OR(X470&lt;=$D$1*-1,Y470&gt;=$D$1),X470&gt;$D$2*-1,Y470&lt;$D$2,V470/U470&lt;3),"Serious", AND(W470&gt;$D$1*-1,W470&lt;$D$1,OR(X470&lt;=$D$2*-1,Y470&gt;=$D$2),V470/U470&lt;3),"Very serious", AND(W470&gt;$D$1*-1,W470&lt;$D$1,X470&gt;$D$1*-1,Y470&lt;$D$1,V470/U470&gt;=3),"Very serious", AND(W470&gt;$D$1*-1,W470&lt;$D$1,OR(X470&lt;=$D$1*-1,Y470&gt;=$D$1),X470&gt;$D$2*-1,Y470&lt;$D$2,V470/U470&gt;=3),"Very serious", AND(W470&gt;$D$1*-1,W470&lt;$D$1,OR(X470&lt;=$D$2*-1,Y470&gt;=$D$2),V470/U470&gt;=3),"Very serious"),"")),"")</f>
        <v/>
      </c>
      <c r="AT470" s="109" t="str">
        <f t="shared" si="9"/>
        <v/>
      </c>
      <c r="AU470" s="64"/>
      <c r="AV470" s="83"/>
      <c r="AW470" s="83"/>
      <c r="AX470" s="83"/>
      <c r="AY470" s="83"/>
      <c r="AZ470" s="83"/>
      <c r="BA470" s="85"/>
      <c r="BB470" s="86" t="str">
        <f>IF(Preferences!B$9="Manual","",IFS(ISBLANK(B470),"",AND(ISNUMBER(E470)=TRUE,ISNUMBER(T470)=FALSE),"Direct", AND(ISNUMBER(E470)=FALSE,ISNUMBER(T470)=TRUE),"Indirect", CN470=4,"Direct",AND(CL470=FALSE, CM470=TRUE,CN470-CO470&gt;-1),"Direct", AND(CL470=FALSE,CM470=TRUE, CN470-CO470&lt;0),"Check algorithm in appendix 2", AND(CL470=TRUE, CM470=FALSE,CN470-CO470&gt;0),"Check algorithm in appendix 2", AND(CL470=TRUE, CM470=FALSE,CN470-CO470=0),"Indirect", AND(CL470=TRUE, CM470=FALSE,CN470-CO470&lt;0),"Indirect", AND(CL470=FALSE,CM470=FALSE,CN470-CO470&gt;-1),"Direct", AND(CL470=FALSE,CM470=FALSE,CN470-CO470&lt;0),"Check algorithm in appendix 2", AND(CL470=TRUE,CM470=TRUE,CN470-CO470&gt;-1),"Direct", AND(CL470=TRUE,CM470=TRUE,CN470-CO470&lt;0),"Check algorithm in appendix 2"))</f>
        <v/>
      </c>
      <c r="BC470" s="120" t="str">
        <f t="shared" si="10"/>
        <v/>
      </c>
      <c r="BD470" s="140"/>
      <c r="BE470" s="122" t="str">
        <f>IF(Preferences!B$3="Manual","", IFERROR(IFS(AND(Preferences!B$3="Automatic",AX470/AW470&gt;=30),"Extremely serious",AND(AY470&lt;=$D$1*-1,BA470&lt;0,AX470/AW470&lt;3),"Not Serious",AND(AY470&lt;=$D$1*-1,BA470&lt;0,AX470/AW470&gt;=3),"Very serious",AND(AY470&gt;=$D$1,AZ470&gt;0,AX470/AW470&lt;3),"Not Serious",AND(AY470&gt;=$D$1,AZ470&gt;0,AX470/AW470&gt;=3),"Very serious",AND(AY470&lt;=$D$1*-1,BA470&gt;0,AZ470&gt;$D$2*-1,AX470/AW470&lt;3),"Serious", AND(AY470&lt;=$D$1*-1,BA470&gt;0,AZ470&lt;$D$2*-1,AX470/AW470&lt;3),"Very serious", AND(AY470&gt;=$D$1,AZ470&lt;0,BA470&lt;$D$2,AX470/AW470&lt;3),"Serious",AND(AY470&gt;=$D$1,AZ470&lt;0,BA470&gt;$D$2,AX470/AW470&lt;3),"Very serious", AND(AY470&lt;=$D$1*-1,BA470&gt;0,AZ470&gt;$D$2*-1,AX470/AW470&gt;=3),"Very serious", AND(AY470&lt;=$D$1*-1,BA470&gt;0,AZ470&lt;$D$2*-1,AX470/AW470&gt;=3),"Very serious", AND(AY470&gt;=$D$1,AZ470&lt;0,BA470&lt;$D$2,AX470/AW470&gt;=3),"Very serious", AND(AY470&gt;=$D$1,AZ470&lt;0,BA470&gt;$D$2,AX470/AW470&gt;=3),"Very serious", AND(AY470&gt;$D$1*-1,AY470&lt;$D$1,AZ470&gt;$D$1*-1,BA470&lt;$D$1,AX470/AW470&lt;3),"Not Serious", AND(AY470&gt;$D$1*-1,AY470&lt;$D$1,OR(AZ470&lt;=$D$1*-1,BA470&gt;=$D$1),AZ470&gt;$D$2*-1,BA470&lt;$D$2,AX470/AW470&lt;3),"Serious", AND(AY470&gt;$D$1*-1,AY470&lt;$D$1,OR(AZ470&lt;=$D$2*-1,BA470&gt;=$D$2),AX470/AW470&lt;3),"Very serious", AND(AY470&gt;$D$1*-1,AY470&lt;$D$1,AZ470&gt;$D$1*-1,BA470&lt;$D$1,AX470/AW470&gt;=3),"Very serious", AND(AY470&gt;$D$1*-1,AY470&lt;$D$1,OR(AZ470&lt;=$D$1*-1,BA470&gt;=$D$1),AZ470&gt;$D$2*-1,BA470&lt;$D$2,AX470/AW470&gt;=3),"Very serious", AND(AY470&gt;$D$1*-1,AY470&lt;$D$1,OR(AZ470&lt;=$D$2*-1,BA470&gt;=$D$2),AX470/AW470&gt;=3),"Very serious"),""))</f>
        <v/>
      </c>
      <c r="BF470" s="107" t="str">
        <f t="shared" si="11"/>
        <v/>
      </c>
      <c r="BG470" s="94" t="str">
        <f t="shared" si="46"/>
        <v/>
      </c>
      <c r="BH470" s="64" t="str">
        <f t="shared" si="12"/>
        <v>#N/A</v>
      </c>
      <c r="BI470" s="64" t="str">
        <f t="shared" si="13"/>
        <v/>
      </c>
      <c r="BJ470" s="123" t="str">
        <f t="shared" si="14"/>
        <v>#N/A</v>
      </c>
      <c r="BK470" s="64" t="str">
        <f t="shared" si="50"/>
        <v>YES</v>
      </c>
      <c r="BL470" s="64" t="str">
        <f t="shared" si="16"/>
        <v>YES</v>
      </c>
      <c r="BM470" s="64" t="str">
        <f t="shared" si="17"/>
        <v>YES</v>
      </c>
      <c r="BN470" s="124" t="str">
        <f t="shared" si="18"/>
        <v/>
      </c>
      <c r="BO470" s="91" t="str">
        <f t="shared" si="19"/>
        <v/>
      </c>
      <c r="BP470" s="91" t="str">
        <f t="shared" si="20"/>
        <v>#N/A</v>
      </c>
      <c r="BQ470" s="91" t="str">
        <f t="shared" si="21"/>
        <v/>
      </c>
      <c r="BR470" s="93" t="str">
        <f t="shared" si="22"/>
        <v/>
      </c>
      <c r="BS470" s="90" t="str">
        <f t="shared" si="23"/>
        <v/>
      </c>
      <c r="BT470" s="93" t="str">
        <f t="shared" si="24"/>
        <v>NA</v>
      </c>
      <c r="BU470" s="125" t="str">
        <f t="shared" si="25"/>
        <v>#N/A</v>
      </c>
      <c r="BV470" s="93" t="str">
        <f t="shared" si="26"/>
        <v/>
      </c>
      <c r="BW470" s="93" t="str">
        <f t="shared" si="27"/>
        <v/>
      </c>
      <c r="BX470" s="93" t="str">
        <f t="shared" si="28"/>
        <v>NA</v>
      </c>
      <c r="BY470" s="95" t="str">
        <f t="shared" si="29"/>
        <v>#N/A</v>
      </c>
      <c r="BZ470" s="93" t="str">
        <f t="shared" si="30"/>
        <v/>
      </c>
      <c r="CA470" s="93" t="str">
        <f t="shared" si="31"/>
        <v/>
      </c>
      <c r="CB470" s="93" t="str">
        <f t="shared" si="32"/>
        <v>NA</v>
      </c>
      <c r="CC470" s="96" t="str">
        <f t="shared" si="33"/>
        <v>#N/A</v>
      </c>
      <c r="CD470" s="93" t="str">
        <f t="shared" si="34"/>
        <v/>
      </c>
      <c r="CE470" s="93" t="str">
        <f t="shared" si="35"/>
        <v/>
      </c>
      <c r="CF470" s="93" t="str">
        <f t="shared" si="36"/>
        <v>NA</v>
      </c>
      <c r="CG470" s="97" t="str">
        <f t="shared" si="37"/>
        <v>#N/A</v>
      </c>
      <c r="CH470" s="98" t="str">
        <f t="shared" si="38"/>
        <v>#N/A</v>
      </c>
      <c r="CI470" s="99" t="str">
        <f t="shared" si="39"/>
        <v>#N/A</v>
      </c>
      <c r="CJ470" s="126" t="str">
        <f t="shared" si="40"/>
        <v>ERROR: check cell</v>
      </c>
      <c r="CK470" s="126"/>
      <c r="CL470" s="127" t="str">
        <f t="shared" si="41"/>
        <v>#DIV/0!</v>
      </c>
      <c r="CM470" s="128" t="str">
        <f t="shared" si="42"/>
        <v>#DIV/0!</v>
      </c>
      <c r="CN470" s="128">
        <f t="shared" si="43"/>
        <v>4</v>
      </c>
      <c r="CO470" s="129">
        <f t="shared" si="44"/>
        <v>4</v>
      </c>
      <c r="CP470" s="129" t="str">
        <f>IFS(C470=Preferences!B$13,B470,B470=Preferences!B$13,C470)</f>
        <v>#N/A</v>
      </c>
    </row>
    <row r="471" ht="13.5" customHeight="1">
      <c r="A471" s="63" t="str">
        <f t="shared" si="45"/>
        <v/>
      </c>
      <c r="B471" s="64"/>
      <c r="C471" s="64"/>
      <c r="D471" s="64"/>
      <c r="E471" s="65"/>
      <c r="F471" s="65"/>
      <c r="G471" s="65"/>
      <c r="H471" s="66"/>
      <c r="I471" s="66"/>
      <c r="J471" s="67"/>
      <c r="K471" s="68"/>
      <c r="L471" s="104"/>
      <c r="M471" s="104"/>
      <c r="N471" s="104"/>
      <c r="O471" s="104"/>
      <c r="P471" s="107" t="str">
        <f t="shared" si="1"/>
        <v/>
      </c>
      <c r="Q471" s="108" t="str">
        <f>IFERROR(IF(AND(Preferences!B$3="Manual",OR(AX471/AW471&gt;G471/F471,BD471="Serious",BD471="Very serious")),"Assess imprecision",IFS(ISBLANK(E471),"",AND(Preferences!B$3="Automatic", G471/F471&gt;=30),"Extremely serious",AND(H471&lt;=$D$1*-1,J471&lt;0,G471/F471&lt;3),"Not serious",AND(H471&lt;=$D$1*-1,J471&lt;0,G471/F471&gt;=3),"Very serious",AND(H471&gt;=$D$1,I471&gt;0,G471/F471&lt;3),"Not serious",AND(H471&gt;=$D$1,I471&gt;0,G471/F471&gt;=3),"Very serious",AND(H471&lt;=$D$1*-1,J471&gt;0,I471&gt;$D$2*-1,G471/F471&lt;3),"Serious", AND(H471&lt;=$D$1*-1,J471&gt;0,I471&lt;$D$2*-1,G471/F471&lt;3),"Very serious", AND(H471&gt;=$D$1,I471&lt;0,J471&lt;$D$2,G471/F471&lt;3),"Serious",AND(H471&gt;=$D$1,I471&lt;0,J471&gt;$D$2,G471/F471&lt;3),"Very serious", AND(H471&lt;=$D$1*-1,J471&gt;0,I471&gt;$D$2*-1,G471/F471&gt;=3),"Very serious", AND(H471&lt;=$D$1*-1,J471&gt;0,I471&lt;$D$2*-1,G471/F471&gt;=3),"Very serious", AND(H471&gt;=$D$1,I471&lt;0,J471&lt;$D$2,G471/F471&gt;=3),"Very serious", AND(H471&gt;=$D$1,I471&lt;0,J471&gt;$D$2,G471/F471&gt;=3),"Very serious", AND(H471&gt;$D$1*-1,H471&lt;$D$1,I471&gt;$D$1*-1,J471&lt;$D$1,G471/F471&lt;3),"Not serious", AND(H471&gt;$D$1*-1,H471&lt;$D$1,OR(I471&lt;=$D$1*-1,J471&gt;=$D$1),I471&gt;$D$2*-1,J471&lt;$D$2,G471/F471&lt;3),"Serious", AND(H471&gt;$D$1*-1,H471&lt;$D$1,OR(I471&lt;=$D$2*-1,J471&gt;=$D$2),G471/F471&lt;3),"Very serious", AND(H471&gt;$D$1*-1,H471&lt;$D$1,I471&gt;$D$1*-1,J471&lt;$D$1,G471/F471&gt;=3),"Very serious", AND(H471&gt;$D$1*-1,H471&lt;$D$1,OR(I471&lt;=$D$1*-1,J471&gt;=$D$1),I471&gt;$D$2*-1,J471&lt;$D$2,G471/F471&gt;=3),"Very serious", AND(H471&gt;$D$1*-1,H471&lt;$D$1,OR(I471&lt;=$D$2*-1,J471&gt;=$D$2),G471/F471&gt;=3),"Very serious")),"")</f>
        <v/>
      </c>
      <c r="R471" s="109" t="str">
        <f t="shared" si="47"/>
        <v/>
      </c>
      <c r="S471" s="64"/>
      <c r="T471" s="72"/>
      <c r="U471" s="72"/>
      <c r="V471" s="72"/>
      <c r="W471" s="73"/>
      <c r="X471" s="73"/>
      <c r="Y471" s="74"/>
      <c r="Z471" s="113" t="str">
        <f t="array" ref="Z471">INDEX($A$1:$C$500, MATCH(1,($B:$B=$B471)*($C:$C=$AB471),0),1)</f>
        <v/>
      </c>
      <c r="AA471" s="113" t="str">
        <f t="array" ref="AA471">INDEX($A$1:$C$500, MATCH(1,($B:$B=$AB471)*($C:$C=$B471),0),1)</f>
        <v/>
      </c>
      <c r="AB471" s="111"/>
      <c r="AC471" s="114" t="str">
        <f t="shared" si="2"/>
        <v/>
      </c>
      <c r="AD471" s="115" t="str">
        <f t="shared" si="3"/>
        <v/>
      </c>
      <c r="AE471" s="116" t="str">
        <f t="array" ref="AE471">INDEX($A$1:$C$500, MATCH(1,($B:$B=$AB471)*($C:$C=$AG471),0),1)</f>
        <v/>
      </c>
      <c r="AF471" s="116" t="str">
        <f t="array" ref="AF471">INDEX($A$1:$C$500, MATCH(1,($B:$B=$AG471)*($C:$C=$AB471),0),1)</f>
        <v/>
      </c>
      <c r="AG471" s="72"/>
      <c r="AH471" s="114" t="str">
        <f t="shared" si="4"/>
        <v/>
      </c>
      <c r="AI471" s="115" t="str">
        <f t="shared" si="5"/>
        <v/>
      </c>
      <c r="AJ471" s="116" t="str">
        <f t="array" ref="AJ471">INDEX($A$1:$C$500, MATCH(1,($B:$B=$C471)*($C:$C=$AG471),0),1)</f>
        <v/>
      </c>
      <c r="AK471" s="116" t="str">
        <f t="array" ref="AK471">INDEX($A$1:$C$500, MATCH(1,($B:$B=$AG471)*($C:$C=$C471),0),1)</f>
        <v/>
      </c>
      <c r="AL471" s="116" t="str">
        <f t="array" ref="AL471">INDEX($A$1:$C$500, MATCH(1,($B:$B=$C471)*($C:$C=$AB471),0),1)</f>
        <v/>
      </c>
      <c r="AM471" s="116" t="str">
        <f t="array" ref="AM471">INDEX($A$1:$C$500, MATCH(1,($B:$B=$AB471)*($C:$C=$C471),0),1)</f>
        <v/>
      </c>
      <c r="AN471" s="114" t="str">
        <f t="array" ref="AN471">IFS(ISNUMBER(AJ471),AJ471,ISNUMBER(AK471),AK471,ISNUMBER(AL471),AL471,ISNUMBER(AM471),AM471)</f>
        <v>#N/A</v>
      </c>
      <c r="AO471" s="115" t="str">
        <f t="shared" si="6"/>
        <v/>
      </c>
      <c r="AP471" s="115" t="str">
        <f t="shared" si="7"/>
        <v/>
      </c>
      <c r="AQ471" s="111"/>
      <c r="AR471" s="109" t="str">
        <f t="shared" si="8"/>
        <v/>
      </c>
      <c r="AS471" s="72" t="str">
        <f>IFERROR(IF(AND(Preferences!B$3="Manual",OR(AX471/AW471&gt;V471/U471,BD471="Serious",BD471="Very serious")),"Assess imprecision",IFERROR(IFS(AND(Preferences!B$3="Automatic",V471/U471&gt;=30),"Extremely serious",AND(W471&lt;=$D$1*-1,Y471&lt;0,V471/U471&lt;3),"Not Serious",AND(W471&lt;=$D$1*-1,Y471&lt;0,V471/U471&gt;=3),"Very serious",AND(W471&gt;=$D$1,X471&gt;0,V471/U471&lt;3),"Not Serious",AND(W471&gt;=$D$1,X471&gt;0,V471/U471&gt;=3),"Very serious",AND(W471&lt;=$D$1*-1,Y471&gt;0,X471&gt;$D$2*-1,V471/U471&lt;3),"Serious", AND(W471&lt;=$D$1*-1,Y471&gt;0,X471&lt;$D$2*-1,V471/U471&lt;3),"Very serious", AND(W471&gt;=$D$1,X471&lt;0,Y471&lt;$D$2,V471/U471&lt;3),"Serious",AND(W471&gt;=$D$1,X471&lt;0,Y471&gt;$D$2,V471/U471&lt;3),"Very serious", AND(W471&lt;=$D$1*-1,Y471&gt;0,X471&gt;$D$2*-1,V471/U471&gt;=3),"Very serious", AND(W471&lt;=$D$1*-1,Y471&gt;0,X471&lt;$D$2*-1,V471/U471&gt;=3),"Very serious", AND(W471&gt;=$D$1,X471&lt;0,Y471&lt;$D$2,V471/U471&gt;=3),"Very serious", AND(W471&gt;=$D$1,X471&lt;0,Y471&gt;$D$2,V471/U471&gt;=3),"Very serious", AND(W471&gt;$D$1*-1,W471&lt;$D$1,X471&gt;$D$1*-1,Y471&lt;$D$1,V471/U471&lt;3),"Not Serious", AND(W471&gt;$D$1*-1,W471&lt;$D$1,OR(X471&lt;=$D$1*-1,Y471&gt;=$D$1),X471&gt;$D$2*-1,Y471&lt;$D$2,V471/U471&lt;3),"Serious", AND(W471&gt;$D$1*-1,W471&lt;$D$1,OR(X471&lt;=$D$2*-1,Y471&gt;=$D$2),V471/U471&lt;3),"Very serious", AND(W471&gt;$D$1*-1,W471&lt;$D$1,X471&gt;$D$1*-1,Y471&lt;$D$1,V471/U471&gt;=3),"Very serious", AND(W471&gt;$D$1*-1,W471&lt;$D$1,OR(X471&lt;=$D$1*-1,Y471&gt;=$D$1),X471&gt;$D$2*-1,Y471&lt;$D$2,V471/U471&gt;=3),"Very serious", AND(W471&gt;$D$1*-1,W471&lt;$D$1,OR(X471&lt;=$D$2*-1,Y471&gt;=$D$2),V471/U471&gt;=3),"Very serious"),"")),"")</f>
        <v/>
      </c>
      <c r="AT471" s="109" t="str">
        <f t="shared" si="9"/>
        <v/>
      </c>
      <c r="AU471" s="64"/>
      <c r="AV471" s="83"/>
      <c r="AW471" s="83"/>
      <c r="AX471" s="83"/>
      <c r="AY471" s="83"/>
      <c r="AZ471" s="83"/>
      <c r="BA471" s="85"/>
      <c r="BB471" s="86" t="str">
        <f>IF(Preferences!B$9="Manual","",IFS(ISBLANK(B471),"",AND(ISNUMBER(E471)=TRUE,ISNUMBER(T471)=FALSE),"Direct", AND(ISNUMBER(E471)=FALSE,ISNUMBER(T471)=TRUE),"Indirect", CN471=4,"Direct",AND(CL471=FALSE, CM471=TRUE,CN471-CO471&gt;-1),"Direct", AND(CL471=FALSE,CM471=TRUE, CN471-CO471&lt;0),"Check algorithm in appendix 2", AND(CL471=TRUE, CM471=FALSE,CN471-CO471&gt;0),"Check algorithm in appendix 2", AND(CL471=TRUE, CM471=FALSE,CN471-CO471=0),"Indirect", AND(CL471=TRUE, CM471=FALSE,CN471-CO471&lt;0),"Indirect", AND(CL471=FALSE,CM471=FALSE,CN471-CO471&gt;-1),"Direct", AND(CL471=FALSE,CM471=FALSE,CN471-CO471&lt;0),"Check algorithm in appendix 2", AND(CL471=TRUE,CM471=TRUE,CN471-CO471&gt;-1),"Direct", AND(CL471=TRUE,CM471=TRUE,CN471-CO471&lt;0),"Check algorithm in appendix 2"))</f>
        <v/>
      </c>
      <c r="BC471" s="120" t="str">
        <f t="shared" si="10"/>
        <v/>
      </c>
      <c r="BD471" s="140"/>
      <c r="BE471" s="122" t="str">
        <f>IF(Preferences!B$3="Manual","", IFERROR(IFS(AND(Preferences!B$3="Automatic",AX471/AW471&gt;=30),"Extremely serious",AND(AY471&lt;=$D$1*-1,BA471&lt;0,AX471/AW471&lt;3),"Not Serious",AND(AY471&lt;=$D$1*-1,BA471&lt;0,AX471/AW471&gt;=3),"Very serious",AND(AY471&gt;=$D$1,AZ471&gt;0,AX471/AW471&lt;3),"Not Serious",AND(AY471&gt;=$D$1,AZ471&gt;0,AX471/AW471&gt;=3),"Very serious",AND(AY471&lt;=$D$1*-1,BA471&gt;0,AZ471&gt;$D$2*-1,AX471/AW471&lt;3),"Serious", AND(AY471&lt;=$D$1*-1,BA471&gt;0,AZ471&lt;$D$2*-1,AX471/AW471&lt;3),"Very serious", AND(AY471&gt;=$D$1,AZ471&lt;0,BA471&lt;$D$2,AX471/AW471&lt;3),"Serious",AND(AY471&gt;=$D$1,AZ471&lt;0,BA471&gt;$D$2,AX471/AW471&lt;3),"Very serious", AND(AY471&lt;=$D$1*-1,BA471&gt;0,AZ471&gt;$D$2*-1,AX471/AW471&gt;=3),"Very serious", AND(AY471&lt;=$D$1*-1,BA471&gt;0,AZ471&lt;$D$2*-1,AX471/AW471&gt;=3),"Very serious", AND(AY471&gt;=$D$1,AZ471&lt;0,BA471&lt;$D$2,AX471/AW471&gt;=3),"Very serious", AND(AY471&gt;=$D$1,AZ471&lt;0,BA471&gt;$D$2,AX471/AW471&gt;=3),"Very serious", AND(AY471&gt;$D$1*-1,AY471&lt;$D$1,AZ471&gt;$D$1*-1,BA471&lt;$D$1,AX471/AW471&lt;3),"Not Serious", AND(AY471&gt;$D$1*-1,AY471&lt;$D$1,OR(AZ471&lt;=$D$1*-1,BA471&gt;=$D$1),AZ471&gt;$D$2*-1,BA471&lt;$D$2,AX471/AW471&lt;3),"Serious", AND(AY471&gt;$D$1*-1,AY471&lt;$D$1,OR(AZ471&lt;=$D$2*-1,BA471&gt;=$D$2),AX471/AW471&lt;3),"Very serious", AND(AY471&gt;$D$1*-1,AY471&lt;$D$1,AZ471&gt;$D$1*-1,BA471&lt;$D$1,AX471/AW471&gt;=3),"Very serious", AND(AY471&gt;$D$1*-1,AY471&lt;$D$1,OR(AZ471&lt;=$D$1*-1,BA471&gt;=$D$1),AZ471&gt;$D$2*-1,BA471&lt;$D$2,AX471/AW471&gt;=3),"Very serious", AND(AY471&gt;$D$1*-1,AY471&lt;$D$1,OR(AZ471&lt;=$D$2*-1,BA471&gt;=$D$2),AX471/AW471&gt;=3),"Very serious"),""))</f>
        <v/>
      </c>
      <c r="BF471" s="107" t="str">
        <f t="shared" si="11"/>
        <v/>
      </c>
      <c r="BG471" s="94" t="str">
        <f t="shared" si="46"/>
        <v/>
      </c>
      <c r="BH471" s="64" t="str">
        <f t="shared" si="12"/>
        <v>#N/A</v>
      </c>
      <c r="BI471" s="64" t="str">
        <f t="shared" si="13"/>
        <v/>
      </c>
      <c r="BJ471" s="123" t="str">
        <f t="shared" si="14"/>
        <v>#N/A</v>
      </c>
      <c r="BK471" s="64" t="str">
        <f t="shared" si="50"/>
        <v>YES</v>
      </c>
      <c r="BL471" s="64" t="str">
        <f t="shared" si="16"/>
        <v>YES</v>
      </c>
      <c r="BM471" s="64" t="str">
        <f t="shared" si="17"/>
        <v>YES</v>
      </c>
      <c r="BN471" s="124" t="str">
        <f t="shared" si="18"/>
        <v/>
      </c>
      <c r="BO471" s="91" t="str">
        <f t="shared" si="19"/>
        <v/>
      </c>
      <c r="BP471" s="91" t="str">
        <f t="shared" si="20"/>
        <v>#N/A</v>
      </c>
      <c r="BQ471" s="91" t="str">
        <f t="shared" si="21"/>
        <v/>
      </c>
      <c r="BR471" s="93" t="str">
        <f t="shared" si="22"/>
        <v/>
      </c>
      <c r="BS471" s="90" t="str">
        <f t="shared" si="23"/>
        <v/>
      </c>
      <c r="BT471" s="93" t="str">
        <f t="shared" si="24"/>
        <v>NA</v>
      </c>
      <c r="BU471" s="125" t="str">
        <f t="shared" si="25"/>
        <v>#N/A</v>
      </c>
      <c r="BV471" s="93" t="str">
        <f t="shared" si="26"/>
        <v/>
      </c>
      <c r="BW471" s="93" t="str">
        <f t="shared" si="27"/>
        <v/>
      </c>
      <c r="BX471" s="93" t="str">
        <f t="shared" si="28"/>
        <v>NA</v>
      </c>
      <c r="BY471" s="95" t="str">
        <f t="shared" si="29"/>
        <v>#N/A</v>
      </c>
      <c r="BZ471" s="93" t="str">
        <f t="shared" si="30"/>
        <v/>
      </c>
      <c r="CA471" s="93" t="str">
        <f t="shared" si="31"/>
        <v/>
      </c>
      <c r="CB471" s="93" t="str">
        <f t="shared" si="32"/>
        <v>NA</v>
      </c>
      <c r="CC471" s="96" t="str">
        <f t="shared" si="33"/>
        <v>#N/A</v>
      </c>
      <c r="CD471" s="93" t="str">
        <f t="shared" si="34"/>
        <v/>
      </c>
      <c r="CE471" s="93" t="str">
        <f t="shared" si="35"/>
        <v/>
      </c>
      <c r="CF471" s="93" t="str">
        <f t="shared" si="36"/>
        <v>NA</v>
      </c>
      <c r="CG471" s="97" t="str">
        <f t="shared" si="37"/>
        <v>#N/A</v>
      </c>
      <c r="CH471" s="98" t="str">
        <f t="shared" si="38"/>
        <v>#N/A</v>
      </c>
      <c r="CI471" s="99" t="str">
        <f t="shared" si="39"/>
        <v>#N/A</v>
      </c>
      <c r="CJ471" s="126" t="str">
        <f t="shared" si="40"/>
        <v>ERROR: check cell</v>
      </c>
      <c r="CK471" s="126"/>
      <c r="CL471" s="127" t="str">
        <f t="shared" si="41"/>
        <v>#DIV/0!</v>
      </c>
      <c r="CM471" s="128" t="str">
        <f t="shared" si="42"/>
        <v>#DIV/0!</v>
      </c>
      <c r="CN471" s="128">
        <f t="shared" si="43"/>
        <v>4</v>
      </c>
      <c r="CO471" s="129">
        <f t="shared" si="44"/>
        <v>4</v>
      </c>
      <c r="CP471" s="129" t="str">
        <f>IFS(C471=Preferences!B$13,B471,B471=Preferences!B$13,C471)</f>
        <v>#N/A</v>
      </c>
    </row>
    <row r="472" ht="13.5" customHeight="1">
      <c r="A472" s="63" t="str">
        <f t="shared" si="45"/>
        <v/>
      </c>
      <c r="B472" s="64"/>
      <c r="C472" s="64"/>
      <c r="D472" s="64"/>
      <c r="E472" s="65"/>
      <c r="F472" s="65"/>
      <c r="G472" s="65"/>
      <c r="H472" s="66"/>
      <c r="I472" s="66"/>
      <c r="J472" s="67"/>
      <c r="K472" s="68"/>
      <c r="L472" s="133"/>
      <c r="M472" s="133"/>
      <c r="N472" s="133"/>
      <c r="O472" s="133"/>
      <c r="P472" s="107" t="str">
        <f t="shared" si="1"/>
        <v/>
      </c>
      <c r="Q472" s="108" t="str">
        <f>IFERROR(IF(AND(Preferences!B$3="Manual",OR(AX472/AW472&gt;G472/F472,BD472="Serious",BD472="Very serious")),"Assess imprecision",IFS(ISBLANK(E472),"",AND(Preferences!B$3="Automatic", G472/F472&gt;=30),"Extremely serious",AND(H472&lt;=$D$1*-1,J472&lt;0,G472/F472&lt;3),"Not serious",AND(H472&lt;=$D$1*-1,J472&lt;0,G472/F472&gt;=3),"Very serious",AND(H472&gt;=$D$1,I472&gt;0,G472/F472&lt;3),"Not serious",AND(H472&gt;=$D$1,I472&gt;0,G472/F472&gt;=3),"Very serious",AND(H472&lt;=$D$1*-1,J472&gt;0,I472&gt;$D$2*-1,G472/F472&lt;3),"Serious", AND(H472&lt;=$D$1*-1,J472&gt;0,I472&lt;$D$2*-1,G472/F472&lt;3),"Very serious", AND(H472&gt;=$D$1,I472&lt;0,J472&lt;$D$2,G472/F472&lt;3),"Serious",AND(H472&gt;=$D$1,I472&lt;0,J472&gt;$D$2,G472/F472&lt;3),"Very serious", AND(H472&lt;=$D$1*-1,J472&gt;0,I472&gt;$D$2*-1,G472/F472&gt;=3),"Very serious", AND(H472&lt;=$D$1*-1,J472&gt;0,I472&lt;$D$2*-1,G472/F472&gt;=3),"Very serious", AND(H472&gt;=$D$1,I472&lt;0,J472&lt;$D$2,G472/F472&gt;=3),"Very serious", AND(H472&gt;=$D$1,I472&lt;0,J472&gt;$D$2,G472/F472&gt;=3),"Very serious", AND(H472&gt;$D$1*-1,H472&lt;$D$1,I472&gt;$D$1*-1,J472&lt;$D$1,G472/F472&lt;3),"Not serious", AND(H472&gt;$D$1*-1,H472&lt;$D$1,OR(I472&lt;=$D$1*-1,J472&gt;=$D$1),I472&gt;$D$2*-1,J472&lt;$D$2,G472/F472&lt;3),"Serious", AND(H472&gt;$D$1*-1,H472&lt;$D$1,OR(I472&lt;=$D$2*-1,J472&gt;=$D$2),G472/F472&lt;3),"Very serious", AND(H472&gt;$D$1*-1,H472&lt;$D$1,I472&gt;$D$1*-1,J472&lt;$D$1,G472/F472&gt;=3),"Very serious", AND(H472&gt;$D$1*-1,H472&lt;$D$1,OR(I472&lt;=$D$1*-1,J472&gt;=$D$1),I472&gt;$D$2*-1,J472&lt;$D$2,G472/F472&gt;=3),"Very serious", AND(H472&gt;$D$1*-1,H472&lt;$D$1,OR(I472&lt;=$D$2*-1,J472&gt;=$D$2),G472/F472&gt;=3),"Very serious")),"")</f>
        <v/>
      </c>
      <c r="R472" s="109" t="str">
        <f t="shared" si="47"/>
        <v/>
      </c>
      <c r="S472" s="64"/>
      <c r="T472" s="72"/>
      <c r="U472" s="72"/>
      <c r="V472" s="72"/>
      <c r="W472" s="73"/>
      <c r="X472" s="73"/>
      <c r="Y472" s="74"/>
      <c r="Z472" s="113" t="str">
        <f t="array" ref="Z472">INDEX($A$1:$C$500, MATCH(1,($B:$B=$B472)*($C:$C=$AB472),0),1)</f>
        <v/>
      </c>
      <c r="AA472" s="113" t="str">
        <f t="array" ref="AA472">INDEX($A$1:$C$500, MATCH(1,($B:$B=$AB472)*($C:$C=$B472),0),1)</f>
        <v/>
      </c>
      <c r="AB472" s="111"/>
      <c r="AC472" s="114" t="str">
        <f t="shared" si="2"/>
        <v/>
      </c>
      <c r="AD472" s="115" t="str">
        <f t="shared" si="3"/>
        <v/>
      </c>
      <c r="AE472" s="116" t="str">
        <f t="array" ref="AE472">INDEX($A$1:$C$500, MATCH(1,($B:$B=$AB472)*($C:$C=$AG472),0),1)</f>
        <v/>
      </c>
      <c r="AF472" s="116" t="str">
        <f t="array" ref="AF472">INDEX($A$1:$C$500, MATCH(1,($B:$B=$AG472)*($C:$C=$AB472),0),1)</f>
        <v/>
      </c>
      <c r="AG472" s="72"/>
      <c r="AH472" s="114" t="str">
        <f t="shared" si="4"/>
        <v/>
      </c>
      <c r="AI472" s="115" t="str">
        <f t="shared" si="5"/>
        <v/>
      </c>
      <c r="AJ472" s="116" t="str">
        <f t="array" ref="AJ472">INDEX($A$1:$C$500, MATCH(1,($B:$B=$C472)*($C:$C=$AG472),0),1)</f>
        <v/>
      </c>
      <c r="AK472" s="116" t="str">
        <f t="array" ref="AK472">INDEX($A$1:$C$500, MATCH(1,($B:$B=$AG472)*($C:$C=$C472),0),1)</f>
        <v/>
      </c>
      <c r="AL472" s="116" t="str">
        <f t="array" ref="AL472">INDEX($A$1:$C$500, MATCH(1,($B:$B=$C472)*($C:$C=$AB472),0),1)</f>
        <v/>
      </c>
      <c r="AM472" s="116" t="str">
        <f t="array" ref="AM472">INDEX($A$1:$C$500, MATCH(1,($B:$B=$AB472)*($C:$C=$C472),0),1)</f>
        <v/>
      </c>
      <c r="AN472" s="114" t="str">
        <f t="array" ref="AN472">IFS(ISNUMBER(AJ472),AJ472,ISNUMBER(AK472),AK472,ISNUMBER(AL472),AL472,ISNUMBER(AM472),AM472)</f>
        <v>#N/A</v>
      </c>
      <c r="AO472" s="115" t="str">
        <f t="shared" si="6"/>
        <v/>
      </c>
      <c r="AP472" s="115" t="str">
        <f t="shared" si="7"/>
        <v/>
      </c>
      <c r="AQ472" s="72"/>
      <c r="AR472" s="109" t="str">
        <f t="shared" si="8"/>
        <v/>
      </c>
      <c r="AS472" s="72" t="str">
        <f>IFERROR(IF(AND(Preferences!B$3="Manual",OR(AX472/AW472&gt;V472/U472,BD472="Serious",BD472="Very serious")),"Assess imprecision",IFERROR(IFS(AND(Preferences!B$3="Automatic",V472/U472&gt;=30),"Extremely serious",AND(W472&lt;=$D$1*-1,Y472&lt;0,V472/U472&lt;3),"Not Serious",AND(W472&lt;=$D$1*-1,Y472&lt;0,V472/U472&gt;=3),"Very serious",AND(W472&gt;=$D$1,X472&gt;0,V472/U472&lt;3),"Not Serious",AND(W472&gt;=$D$1,X472&gt;0,V472/U472&gt;=3),"Very serious",AND(W472&lt;=$D$1*-1,Y472&gt;0,X472&gt;$D$2*-1,V472/U472&lt;3),"Serious", AND(W472&lt;=$D$1*-1,Y472&gt;0,X472&lt;$D$2*-1,V472/U472&lt;3),"Very serious", AND(W472&gt;=$D$1,X472&lt;0,Y472&lt;$D$2,V472/U472&lt;3),"Serious",AND(W472&gt;=$D$1,X472&lt;0,Y472&gt;$D$2,V472/U472&lt;3),"Very serious", AND(W472&lt;=$D$1*-1,Y472&gt;0,X472&gt;$D$2*-1,V472/U472&gt;=3),"Very serious", AND(W472&lt;=$D$1*-1,Y472&gt;0,X472&lt;$D$2*-1,V472/U472&gt;=3),"Very serious", AND(W472&gt;=$D$1,X472&lt;0,Y472&lt;$D$2,V472/U472&gt;=3),"Very serious", AND(W472&gt;=$D$1,X472&lt;0,Y472&gt;$D$2,V472/U472&gt;=3),"Very serious", AND(W472&gt;$D$1*-1,W472&lt;$D$1,X472&gt;$D$1*-1,Y472&lt;$D$1,V472/U472&lt;3),"Not Serious", AND(W472&gt;$D$1*-1,W472&lt;$D$1,OR(X472&lt;=$D$1*-1,Y472&gt;=$D$1),X472&gt;$D$2*-1,Y472&lt;$D$2,V472/U472&lt;3),"Serious", AND(W472&gt;$D$1*-1,W472&lt;$D$1,OR(X472&lt;=$D$2*-1,Y472&gt;=$D$2),V472/U472&lt;3),"Very serious", AND(W472&gt;$D$1*-1,W472&lt;$D$1,X472&gt;$D$1*-1,Y472&lt;$D$1,V472/U472&gt;=3),"Very serious", AND(W472&gt;$D$1*-1,W472&lt;$D$1,OR(X472&lt;=$D$1*-1,Y472&gt;=$D$1),X472&gt;$D$2*-1,Y472&lt;$D$2,V472/U472&gt;=3),"Very serious", AND(W472&gt;$D$1*-1,W472&lt;$D$1,OR(X472&lt;=$D$2*-1,Y472&gt;=$D$2),V472/U472&gt;=3),"Very serious"),"")),"")</f>
        <v/>
      </c>
      <c r="AT472" s="109" t="str">
        <f t="shared" si="9"/>
        <v/>
      </c>
      <c r="AU472" s="64"/>
      <c r="AV472" s="83"/>
      <c r="AW472" s="83"/>
      <c r="AX472" s="83"/>
      <c r="AY472" s="83"/>
      <c r="AZ472" s="83"/>
      <c r="BA472" s="85"/>
      <c r="BB472" s="86" t="str">
        <f>IF(Preferences!B$9="Manual","",IFS(ISBLANK(B472),"",AND(ISNUMBER(E472)=TRUE,ISNUMBER(T472)=FALSE),"Direct", AND(ISNUMBER(E472)=FALSE,ISNUMBER(T472)=TRUE),"Indirect", CN472=4,"Direct",AND(CL472=FALSE, CM472=TRUE,CN472-CO472&gt;-1),"Direct", AND(CL472=FALSE,CM472=TRUE, CN472-CO472&lt;0),"Check algorithm in appendix 2", AND(CL472=TRUE, CM472=FALSE,CN472-CO472&gt;0),"Check algorithm in appendix 2", AND(CL472=TRUE, CM472=FALSE,CN472-CO472=0),"Indirect", AND(CL472=TRUE, CM472=FALSE,CN472-CO472&lt;0),"Indirect", AND(CL472=FALSE,CM472=FALSE,CN472-CO472&gt;-1),"Direct", AND(CL472=FALSE,CM472=FALSE,CN472-CO472&lt;0),"Check algorithm in appendix 2", AND(CL472=TRUE,CM472=TRUE,CN472-CO472&gt;-1),"Direct", AND(CL472=TRUE,CM472=TRUE,CN472-CO472&lt;0),"Check algorithm in appendix 2"))</f>
        <v/>
      </c>
      <c r="BC472" s="120" t="str">
        <f t="shared" si="10"/>
        <v/>
      </c>
      <c r="BD472" s="140"/>
      <c r="BE472" s="122" t="str">
        <f>IF(Preferences!B$3="Manual","", IFERROR(IFS(AND(Preferences!B$3="Automatic",AX472/AW472&gt;=30),"Extremely serious",AND(AY472&lt;=$D$1*-1,BA472&lt;0,AX472/AW472&lt;3),"Not Serious",AND(AY472&lt;=$D$1*-1,BA472&lt;0,AX472/AW472&gt;=3),"Very serious",AND(AY472&gt;=$D$1,AZ472&gt;0,AX472/AW472&lt;3),"Not Serious",AND(AY472&gt;=$D$1,AZ472&gt;0,AX472/AW472&gt;=3),"Very serious",AND(AY472&lt;=$D$1*-1,BA472&gt;0,AZ472&gt;$D$2*-1,AX472/AW472&lt;3),"Serious", AND(AY472&lt;=$D$1*-1,BA472&gt;0,AZ472&lt;$D$2*-1,AX472/AW472&lt;3),"Very serious", AND(AY472&gt;=$D$1,AZ472&lt;0,BA472&lt;$D$2,AX472/AW472&lt;3),"Serious",AND(AY472&gt;=$D$1,AZ472&lt;0,BA472&gt;$D$2,AX472/AW472&lt;3),"Very serious", AND(AY472&lt;=$D$1*-1,BA472&gt;0,AZ472&gt;$D$2*-1,AX472/AW472&gt;=3),"Very serious", AND(AY472&lt;=$D$1*-1,BA472&gt;0,AZ472&lt;$D$2*-1,AX472/AW472&gt;=3),"Very serious", AND(AY472&gt;=$D$1,AZ472&lt;0,BA472&lt;$D$2,AX472/AW472&gt;=3),"Very serious", AND(AY472&gt;=$D$1,AZ472&lt;0,BA472&gt;$D$2,AX472/AW472&gt;=3),"Very serious", AND(AY472&gt;$D$1*-1,AY472&lt;$D$1,AZ472&gt;$D$1*-1,BA472&lt;$D$1,AX472/AW472&lt;3),"Not Serious", AND(AY472&gt;$D$1*-1,AY472&lt;$D$1,OR(AZ472&lt;=$D$1*-1,BA472&gt;=$D$1),AZ472&gt;$D$2*-1,BA472&lt;$D$2,AX472/AW472&lt;3),"Serious", AND(AY472&gt;$D$1*-1,AY472&lt;$D$1,OR(AZ472&lt;=$D$2*-1,BA472&gt;=$D$2),AX472/AW472&lt;3),"Very serious", AND(AY472&gt;$D$1*-1,AY472&lt;$D$1,AZ472&gt;$D$1*-1,BA472&lt;$D$1,AX472/AW472&gt;=3),"Very serious", AND(AY472&gt;$D$1*-1,AY472&lt;$D$1,OR(AZ472&lt;=$D$1*-1,BA472&gt;=$D$1),AZ472&gt;$D$2*-1,BA472&lt;$D$2,AX472/AW472&gt;=3),"Very serious", AND(AY472&gt;$D$1*-1,AY472&lt;$D$1,OR(AZ472&lt;=$D$2*-1,BA472&gt;=$D$2),AX472/AW472&gt;=3),"Very serious"),""))</f>
        <v/>
      </c>
      <c r="BF472" s="107" t="str">
        <f t="shared" si="11"/>
        <v/>
      </c>
      <c r="BG472" s="94" t="str">
        <f t="shared" si="46"/>
        <v/>
      </c>
      <c r="BH472" s="64" t="str">
        <f t="shared" si="12"/>
        <v>#N/A</v>
      </c>
      <c r="BI472" s="64" t="str">
        <f t="shared" si="13"/>
        <v/>
      </c>
      <c r="BJ472" s="123" t="str">
        <f t="shared" si="14"/>
        <v>#N/A</v>
      </c>
      <c r="BK472" s="64" t="str">
        <f t="shared" si="50"/>
        <v>YES</v>
      </c>
      <c r="BL472" s="64" t="str">
        <f t="shared" si="16"/>
        <v>YES</v>
      </c>
      <c r="BM472" s="64" t="str">
        <f t="shared" si="17"/>
        <v>YES</v>
      </c>
      <c r="BN472" s="124" t="str">
        <f t="shared" si="18"/>
        <v/>
      </c>
      <c r="BO472" s="91" t="str">
        <f t="shared" si="19"/>
        <v/>
      </c>
      <c r="BP472" s="91" t="str">
        <f t="shared" si="20"/>
        <v>#N/A</v>
      </c>
      <c r="BQ472" s="91" t="str">
        <f t="shared" si="21"/>
        <v/>
      </c>
      <c r="BR472" s="93" t="str">
        <f t="shared" si="22"/>
        <v/>
      </c>
      <c r="BS472" s="90" t="str">
        <f t="shared" si="23"/>
        <v/>
      </c>
      <c r="BT472" s="93" t="str">
        <f t="shared" si="24"/>
        <v>NA</v>
      </c>
      <c r="BU472" s="125" t="str">
        <f t="shared" si="25"/>
        <v>#N/A</v>
      </c>
      <c r="BV472" s="93" t="str">
        <f t="shared" si="26"/>
        <v/>
      </c>
      <c r="BW472" s="93" t="str">
        <f t="shared" si="27"/>
        <v/>
      </c>
      <c r="BX472" s="93" t="str">
        <f t="shared" si="28"/>
        <v>NA</v>
      </c>
      <c r="BY472" s="95" t="str">
        <f t="shared" si="29"/>
        <v>#N/A</v>
      </c>
      <c r="BZ472" s="93" t="str">
        <f t="shared" si="30"/>
        <v/>
      </c>
      <c r="CA472" s="93" t="str">
        <f t="shared" si="31"/>
        <v/>
      </c>
      <c r="CB472" s="93" t="str">
        <f t="shared" si="32"/>
        <v>NA</v>
      </c>
      <c r="CC472" s="96" t="str">
        <f t="shared" si="33"/>
        <v>#N/A</v>
      </c>
      <c r="CD472" s="93" t="str">
        <f t="shared" si="34"/>
        <v/>
      </c>
      <c r="CE472" s="93" t="str">
        <f t="shared" si="35"/>
        <v/>
      </c>
      <c r="CF472" s="93" t="str">
        <f t="shared" si="36"/>
        <v>NA</v>
      </c>
      <c r="CG472" s="97" t="str">
        <f t="shared" si="37"/>
        <v>#N/A</v>
      </c>
      <c r="CH472" s="98" t="str">
        <f t="shared" si="38"/>
        <v>#N/A</v>
      </c>
      <c r="CI472" s="99" t="str">
        <f t="shared" si="39"/>
        <v>#N/A</v>
      </c>
      <c r="CJ472" s="126" t="str">
        <f t="shared" si="40"/>
        <v>ERROR: check cell</v>
      </c>
      <c r="CK472" s="126"/>
      <c r="CL472" s="127" t="str">
        <f t="shared" si="41"/>
        <v>#DIV/0!</v>
      </c>
      <c r="CM472" s="128" t="str">
        <f t="shared" si="42"/>
        <v>#DIV/0!</v>
      </c>
      <c r="CN472" s="128">
        <f t="shared" si="43"/>
        <v>4</v>
      </c>
      <c r="CO472" s="129">
        <f t="shared" si="44"/>
        <v>4</v>
      </c>
      <c r="CP472" s="129" t="str">
        <f>IFS(C472=Preferences!B$13,B472,B472=Preferences!B$13,C472)</f>
        <v>#N/A</v>
      </c>
    </row>
    <row r="473" ht="13.5" customHeight="1">
      <c r="A473" s="63" t="str">
        <f t="shared" si="45"/>
        <v/>
      </c>
      <c r="B473" s="64"/>
      <c r="C473" s="64"/>
      <c r="D473" s="64"/>
      <c r="E473" s="65"/>
      <c r="F473" s="65"/>
      <c r="G473" s="65"/>
      <c r="H473" s="66"/>
      <c r="I473" s="66"/>
      <c r="J473" s="67"/>
      <c r="K473" s="68"/>
      <c r="L473" s="104"/>
      <c r="M473" s="104"/>
      <c r="N473" s="104"/>
      <c r="O473" s="104"/>
      <c r="P473" s="107" t="str">
        <f t="shared" si="1"/>
        <v/>
      </c>
      <c r="Q473" s="108" t="str">
        <f>IFERROR(IF(AND(Preferences!B$3="Manual",OR(AX473/AW473&gt;G473/F473,BD473="Serious",BD473="Very serious")),"Assess imprecision",IFS(ISBLANK(E473),"",AND(Preferences!B$3="Automatic", G473/F473&gt;=30),"Extremely serious",AND(H473&lt;=$D$1*-1,J473&lt;0,G473/F473&lt;3),"Not serious",AND(H473&lt;=$D$1*-1,J473&lt;0,G473/F473&gt;=3),"Very serious",AND(H473&gt;=$D$1,I473&gt;0,G473/F473&lt;3),"Not serious",AND(H473&gt;=$D$1,I473&gt;0,G473/F473&gt;=3),"Very serious",AND(H473&lt;=$D$1*-1,J473&gt;0,I473&gt;$D$2*-1,G473/F473&lt;3),"Serious", AND(H473&lt;=$D$1*-1,J473&gt;0,I473&lt;$D$2*-1,G473/F473&lt;3),"Very serious", AND(H473&gt;=$D$1,I473&lt;0,J473&lt;$D$2,G473/F473&lt;3),"Serious",AND(H473&gt;=$D$1,I473&lt;0,J473&gt;$D$2,G473/F473&lt;3),"Very serious", AND(H473&lt;=$D$1*-1,J473&gt;0,I473&gt;$D$2*-1,G473/F473&gt;=3),"Very serious", AND(H473&lt;=$D$1*-1,J473&gt;0,I473&lt;$D$2*-1,G473/F473&gt;=3),"Very serious", AND(H473&gt;=$D$1,I473&lt;0,J473&lt;$D$2,G473/F473&gt;=3),"Very serious", AND(H473&gt;=$D$1,I473&lt;0,J473&gt;$D$2,G473/F473&gt;=3),"Very serious", AND(H473&gt;$D$1*-1,H473&lt;$D$1,I473&gt;$D$1*-1,J473&lt;$D$1,G473/F473&lt;3),"Not serious", AND(H473&gt;$D$1*-1,H473&lt;$D$1,OR(I473&lt;=$D$1*-1,J473&gt;=$D$1),I473&gt;$D$2*-1,J473&lt;$D$2,G473/F473&lt;3),"Serious", AND(H473&gt;$D$1*-1,H473&lt;$D$1,OR(I473&lt;=$D$2*-1,J473&gt;=$D$2),G473/F473&lt;3),"Very serious", AND(H473&gt;$D$1*-1,H473&lt;$D$1,I473&gt;$D$1*-1,J473&lt;$D$1,G473/F473&gt;=3),"Very serious", AND(H473&gt;$D$1*-1,H473&lt;$D$1,OR(I473&lt;=$D$1*-1,J473&gt;=$D$1),I473&gt;$D$2*-1,J473&lt;$D$2,G473/F473&gt;=3),"Very serious", AND(H473&gt;$D$1*-1,H473&lt;$D$1,OR(I473&lt;=$D$2*-1,J473&gt;=$D$2),G473/F473&gt;=3),"Very serious")),"")</f>
        <v/>
      </c>
      <c r="R473" s="109" t="str">
        <f t="shared" si="47"/>
        <v/>
      </c>
      <c r="S473" s="64"/>
      <c r="T473" s="72"/>
      <c r="U473" s="72"/>
      <c r="V473" s="72"/>
      <c r="W473" s="73"/>
      <c r="X473" s="73"/>
      <c r="Y473" s="74"/>
      <c r="Z473" s="113" t="str">
        <f t="array" ref="Z473">INDEX($A$1:$C$500, MATCH(1,($B:$B=$B473)*($C:$C=$AB473),0),1)</f>
        <v/>
      </c>
      <c r="AA473" s="113" t="str">
        <f t="array" ref="AA473">INDEX($A$1:$C$500, MATCH(1,($B:$B=$AB473)*($C:$C=$B473),0),1)</f>
        <v/>
      </c>
      <c r="AB473" s="111"/>
      <c r="AC473" s="114" t="str">
        <f t="shared" si="2"/>
        <v/>
      </c>
      <c r="AD473" s="115" t="str">
        <f t="shared" si="3"/>
        <v/>
      </c>
      <c r="AE473" s="116" t="str">
        <f t="array" ref="AE473">INDEX($A$1:$C$500, MATCH(1,($B:$B=$AB473)*($C:$C=$AG473),0),1)</f>
        <v/>
      </c>
      <c r="AF473" s="116" t="str">
        <f t="array" ref="AF473">INDEX($A$1:$C$500, MATCH(1,($B:$B=$AG473)*($C:$C=$AB473),0),1)</f>
        <v/>
      </c>
      <c r="AG473" s="72"/>
      <c r="AH473" s="114" t="str">
        <f t="shared" si="4"/>
        <v/>
      </c>
      <c r="AI473" s="115" t="str">
        <f t="shared" si="5"/>
        <v/>
      </c>
      <c r="AJ473" s="116" t="str">
        <f t="array" ref="AJ473">INDEX($A$1:$C$500, MATCH(1,($B:$B=$C473)*($C:$C=$AG473),0),1)</f>
        <v/>
      </c>
      <c r="AK473" s="116" t="str">
        <f t="array" ref="AK473">INDEX($A$1:$C$500, MATCH(1,($B:$B=$AG473)*($C:$C=$C473),0),1)</f>
        <v/>
      </c>
      <c r="AL473" s="116" t="str">
        <f t="array" ref="AL473">INDEX($A$1:$C$500, MATCH(1,($B:$B=$C473)*($C:$C=$AB473),0),1)</f>
        <v/>
      </c>
      <c r="AM473" s="116" t="str">
        <f t="array" ref="AM473">INDEX($A$1:$C$500, MATCH(1,($B:$B=$AB473)*($C:$C=$C473),0),1)</f>
        <v/>
      </c>
      <c r="AN473" s="114" t="str">
        <f t="array" ref="AN473">IFS(ISNUMBER(AJ473),AJ473,ISNUMBER(AK473),AK473,ISNUMBER(AL473),AL473,ISNUMBER(AM473),AM473)</f>
        <v>#N/A</v>
      </c>
      <c r="AO473" s="115" t="str">
        <f t="shared" si="6"/>
        <v/>
      </c>
      <c r="AP473" s="115" t="str">
        <f t="shared" si="7"/>
        <v/>
      </c>
      <c r="AQ473" s="111"/>
      <c r="AR473" s="109" t="str">
        <f t="shared" si="8"/>
        <v/>
      </c>
      <c r="AS473" s="72" t="str">
        <f>IFERROR(IF(AND(Preferences!B$3="Manual",OR(AX473/AW473&gt;V473/U473,BD473="Serious",BD473="Very serious")),"Assess imprecision",IFERROR(IFS(AND(Preferences!B$3="Automatic",V473/U473&gt;=30),"Extremely serious",AND(W473&lt;=$D$1*-1,Y473&lt;0,V473/U473&lt;3),"Not Serious",AND(W473&lt;=$D$1*-1,Y473&lt;0,V473/U473&gt;=3),"Very serious",AND(W473&gt;=$D$1,X473&gt;0,V473/U473&lt;3),"Not Serious",AND(W473&gt;=$D$1,X473&gt;0,V473/U473&gt;=3),"Very serious",AND(W473&lt;=$D$1*-1,Y473&gt;0,X473&gt;$D$2*-1,V473/U473&lt;3),"Serious", AND(W473&lt;=$D$1*-1,Y473&gt;0,X473&lt;$D$2*-1,V473/U473&lt;3),"Very serious", AND(W473&gt;=$D$1,X473&lt;0,Y473&lt;$D$2,V473/U473&lt;3),"Serious",AND(W473&gt;=$D$1,X473&lt;0,Y473&gt;$D$2,V473/U473&lt;3),"Very serious", AND(W473&lt;=$D$1*-1,Y473&gt;0,X473&gt;$D$2*-1,V473/U473&gt;=3),"Very serious", AND(W473&lt;=$D$1*-1,Y473&gt;0,X473&lt;$D$2*-1,V473/U473&gt;=3),"Very serious", AND(W473&gt;=$D$1,X473&lt;0,Y473&lt;$D$2,V473/U473&gt;=3),"Very serious", AND(W473&gt;=$D$1,X473&lt;0,Y473&gt;$D$2,V473/U473&gt;=3),"Very serious", AND(W473&gt;$D$1*-1,W473&lt;$D$1,X473&gt;$D$1*-1,Y473&lt;$D$1,V473/U473&lt;3),"Not Serious", AND(W473&gt;$D$1*-1,W473&lt;$D$1,OR(X473&lt;=$D$1*-1,Y473&gt;=$D$1),X473&gt;$D$2*-1,Y473&lt;$D$2,V473/U473&lt;3),"Serious", AND(W473&gt;$D$1*-1,W473&lt;$D$1,OR(X473&lt;=$D$2*-1,Y473&gt;=$D$2),V473/U473&lt;3),"Very serious", AND(W473&gt;$D$1*-1,W473&lt;$D$1,X473&gt;$D$1*-1,Y473&lt;$D$1,V473/U473&gt;=3),"Very serious", AND(W473&gt;$D$1*-1,W473&lt;$D$1,OR(X473&lt;=$D$1*-1,Y473&gt;=$D$1),X473&gt;$D$2*-1,Y473&lt;$D$2,V473/U473&gt;=3),"Very serious", AND(W473&gt;$D$1*-1,W473&lt;$D$1,OR(X473&lt;=$D$2*-1,Y473&gt;=$D$2),V473/U473&gt;=3),"Very serious"),"")),"")</f>
        <v/>
      </c>
      <c r="AT473" s="109" t="str">
        <f t="shared" si="9"/>
        <v/>
      </c>
      <c r="AU473" s="64"/>
      <c r="AV473" s="83"/>
      <c r="AW473" s="83"/>
      <c r="AX473" s="83"/>
      <c r="AY473" s="83"/>
      <c r="AZ473" s="83"/>
      <c r="BA473" s="85"/>
      <c r="BB473" s="86" t="str">
        <f>IF(Preferences!B$9="Manual","",IFS(ISBLANK(B473),"",AND(ISNUMBER(E473)=TRUE,ISNUMBER(T473)=FALSE),"Direct", AND(ISNUMBER(E473)=FALSE,ISNUMBER(T473)=TRUE),"Indirect", CN473=4,"Direct",AND(CL473=FALSE, CM473=TRUE,CN473-CO473&gt;-1),"Direct", AND(CL473=FALSE,CM473=TRUE, CN473-CO473&lt;0),"Check algorithm in appendix 2", AND(CL473=TRUE, CM473=FALSE,CN473-CO473&gt;0),"Check algorithm in appendix 2", AND(CL473=TRUE, CM473=FALSE,CN473-CO473=0),"Indirect", AND(CL473=TRUE, CM473=FALSE,CN473-CO473&lt;0),"Indirect", AND(CL473=FALSE,CM473=FALSE,CN473-CO473&gt;-1),"Direct", AND(CL473=FALSE,CM473=FALSE,CN473-CO473&lt;0),"Check algorithm in appendix 2", AND(CL473=TRUE,CM473=TRUE,CN473-CO473&gt;-1),"Direct", AND(CL473=TRUE,CM473=TRUE,CN473-CO473&lt;0),"Check algorithm in appendix 2"))</f>
        <v/>
      </c>
      <c r="BC473" s="120" t="str">
        <f t="shared" si="10"/>
        <v/>
      </c>
      <c r="BD473" s="140"/>
      <c r="BE473" s="122" t="str">
        <f>IF(Preferences!B$3="Manual","", IFERROR(IFS(AND(Preferences!B$3="Automatic",AX473/AW473&gt;=30),"Extremely serious",AND(AY473&lt;=$D$1*-1,BA473&lt;0,AX473/AW473&lt;3),"Not Serious",AND(AY473&lt;=$D$1*-1,BA473&lt;0,AX473/AW473&gt;=3),"Very serious",AND(AY473&gt;=$D$1,AZ473&gt;0,AX473/AW473&lt;3),"Not Serious",AND(AY473&gt;=$D$1,AZ473&gt;0,AX473/AW473&gt;=3),"Very serious",AND(AY473&lt;=$D$1*-1,BA473&gt;0,AZ473&gt;$D$2*-1,AX473/AW473&lt;3),"Serious", AND(AY473&lt;=$D$1*-1,BA473&gt;0,AZ473&lt;$D$2*-1,AX473/AW473&lt;3),"Very serious", AND(AY473&gt;=$D$1,AZ473&lt;0,BA473&lt;$D$2,AX473/AW473&lt;3),"Serious",AND(AY473&gt;=$D$1,AZ473&lt;0,BA473&gt;$D$2,AX473/AW473&lt;3),"Very serious", AND(AY473&lt;=$D$1*-1,BA473&gt;0,AZ473&gt;$D$2*-1,AX473/AW473&gt;=3),"Very serious", AND(AY473&lt;=$D$1*-1,BA473&gt;0,AZ473&lt;$D$2*-1,AX473/AW473&gt;=3),"Very serious", AND(AY473&gt;=$D$1,AZ473&lt;0,BA473&lt;$D$2,AX473/AW473&gt;=3),"Very serious", AND(AY473&gt;=$D$1,AZ473&lt;0,BA473&gt;$D$2,AX473/AW473&gt;=3),"Very serious", AND(AY473&gt;$D$1*-1,AY473&lt;$D$1,AZ473&gt;$D$1*-1,BA473&lt;$D$1,AX473/AW473&lt;3),"Not Serious", AND(AY473&gt;$D$1*-1,AY473&lt;$D$1,OR(AZ473&lt;=$D$1*-1,BA473&gt;=$D$1),AZ473&gt;$D$2*-1,BA473&lt;$D$2,AX473/AW473&lt;3),"Serious", AND(AY473&gt;$D$1*-1,AY473&lt;$D$1,OR(AZ473&lt;=$D$2*-1,BA473&gt;=$D$2),AX473/AW473&lt;3),"Very serious", AND(AY473&gt;$D$1*-1,AY473&lt;$D$1,AZ473&gt;$D$1*-1,BA473&lt;$D$1,AX473/AW473&gt;=3),"Very serious", AND(AY473&gt;$D$1*-1,AY473&lt;$D$1,OR(AZ473&lt;=$D$1*-1,BA473&gt;=$D$1),AZ473&gt;$D$2*-1,BA473&lt;$D$2,AX473/AW473&gt;=3),"Very serious", AND(AY473&gt;$D$1*-1,AY473&lt;$D$1,OR(AZ473&lt;=$D$2*-1,BA473&gt;=$D$2),AX473/AW473&gt;=3),"Very serious"),""))</f>
        <v/>
      </c>
      <c r="BF473" s="107" t="str">
        <f t="shared" si="11"/>
        <v/>
      </c>
      <c r="BG473" s="94" t="str">
        <f t="shared" si="46"/>
        <v/>
      </c>
      <c r="BH473" s="64" t="str">
        <f t="shared" si="12"/>
        <v>#N/A</v>
      </c>
      <c r="BI473" s="64" t="str">
        <f t="shared" si="13"/>
        <v/>
      </c>
      <c r="BJ473" s="123" t="str">
        <f t="shared" si="14"/>
        <v>#N/A</v>
      </c>
      <c r="BK473" s="64" t="str">
        <f t="shared" si="50"/>
        <v>YES</v>
      </c>
      <c r="BL473" s="64" t="str">
        <f t="shared" si="16"/>
        <v>YES</v>
      </c>
      <c r="BM473" s="64" t="str">
        <f t="shared" si="17"/>
        <v>YES</v>
      </c>
      <c r="BN473" s="124" t="str">
        <f t="shared" si="18"/>
        <v/>
      </c>
      <c r="BO473" s="91" t="str">
        <f t="shared" si="19"/>
        <v/>
      </c>
      <c r="BP473" s="91" t="str">
        <f t="shared" si="20"/>
        <v>#N/A</v>
      </c>
      <c r="BQ473" s="91" t="str">
        <f t="shared" si="21"/>
        <v/>
      </c>
      <c r="BR473" s="93" t="str">
        <f t="shared" si="22"/>
        <v/>
      </c>
      <c r="BS473" s="90" t="str">
        <f t="shared" si="23"/>
        <v/>
      </c>
      <c r="BT473" s="93" t="str">
        <f t="shared" si="24"/>
        <v>NA</v>
      </c>
      <c r="BU473" s="125" t="str">
        <f t="shared" si="25"/>
        <v>#N/A</v>
      </c>
      <c r="BV473" s="93" t="str">
        <f t="shared" si="26"/>
        <v/>
      </c>
      <c r="BW473" s="93" t="str">
        <f t="shared" si="27"/>
        <v/>
      </c>
      <c r="BX473" s="93" t="str">
        <f t="shared" si="28"/>
        <v>NA</v>
      </c>
      <c r="BY473" s="95" t="str">
        <f t="shared" si="29"/>
        <v>#N/A</v>
      </c>
      <c r="BZ473" s="93" t="str">
        <f t="shared" si="30"/>
        <v/>
      </c>
      <c r="CA473" s="93" t="str">
        <f t="shared" si="31"/>
        <v/>
      </c>
      <c r="CB473" s="93" t="str">
        <f t="shared" si="32"/>
        <v>NA</v>
      </c>
      <c r="CC473" s="96" t="str">
        <f t="shared" si="33"/>
        <v>#N/A</v>
      </c>
      <c r="CD473" s="93" t="str">
        <f t="shared" si="34"/>
        <v/>
      </c>
      <c r="CE473" s="93" t="str">
        <f t="shared" si="35"/>
        <v/>
      </c>
      <c r="CF473" s="93" t="str">
        <f t="shared" si="36"/>
        <v>NA</v>
      </c>
      <c r="CG473" s="97" t="str">
        <f t="shared" si="37"/>
        <v>#N/A</v>
      </c>
      <c r="CH473" s="98" t="str">
        <f t="shared" si="38"/>
        <v>#N/A</v>
      </c>
      <c r="CI473" s="99" t="str">
        <f t="shared" si="39"/>
        <v>#N/A</v>
      </c>
      <c r="CJ473" s="126" t="str">
        <f t="shared" si="40"/>
        <v>ERROR: check cell</v>
      </c>
      <c r="CK473" s="126"/>
      <c r="CL473" s="127" t="str">
        <f t="shared" si="41"/>
        <v>#DIV/0!</v>
      </c>
      <c r="CM473" s="128" t="str">
        <f t="shared" si="42"/>
        <v>#DIV/0!</v>
      </c>
      <c r="CN473" s="128">
        <f t="shared" si="43"/>
        <v>4</v>
      </c>
      <c r="CO473" s="129">
        <f t="shared" si="44"/>
        <v>4</v>
      </c>
      <c r="CP473" s="129" t="str">
        <f>IFS(C473=Preferences!B$13,B473,B473=Preferences!B$13,C473)</f>
        <v>#N/A</v>
      </c>
    </row>
    <row r="474" ht="13.5" customHeight="1">
      <c r="A474" s="63" t="str">
        <f t="shared" si="45"/>
        <v/>
      </c>
      <c r="B474" s="64"/>
      <c r="C474" s="64"/>
      <c r="D474" s="64"/>
      <c r="E474" s="65"/>
      <c r="F474" s="65"/>
      <c r="G474" s="65"/>
      <c r="H474" s="66"/>
      <c r="I474" s="66"/>
      <c r="J474" s="67"/>
      <c r="K474" s="68"/>
      <c r="L474" s="104"/>
      <c r="M474" s="104"/>
      <c r="N474" s="104"/>
      <c r="O474" s="104"/>
      <c r="P474" s="107" t="str">
        <f t="shared" si="1"/>
        <v/>
      </c>
      <c r="Q474" s="108" t="str">
        <f>IFERROR(IF(AND(Preferences!B$3="Manual",OR(AX474/AW474&gt;G474/F474,BD474="Serious",BD474="Very serious")),"Assess imprecision",IFS(ISBLANK(E474),"",AND(Preferences!B$3="Automatic", G474/F474&gt;=30),"Extremely serious",AND(H474&lt;=$D$1*-1,J474&lt;0,G474/F474&lt;3),"Not serious",AND(H474&lt;=$D$1*-1,J474&lt;0,G474/F474&gt;=3),"Very serious",AND(H474&gt;=$D$1,I474&gt;0,G474/F474&lt;3),"Not serious",AND(H474&gt;=$D$1,I474&gt;0,G474/F474&gt;=3),"Very serious",AND(H474&lt;=$D$1*-1,J474&gt;0,I474&gt;$D$2*-1,G474/F474&lt;3),"Serious", AND(H474&lt;=$D$1*-1,J474&gt;0,I474&lt;$D$2*-1,G474/F474&lt;3),"Very serious", AND(H474&gt;=$D$1,I474&lt;0,J474&lt;$D$2,G474/F474&lt;3),"Serious",AND(H474&gt;=$D$1,I474&lt;0,J474&gt;$D$2,G474/F474&lt;3),"Very serious", AND(H474&lt;=$D$1*-1,J474&gt;0,I474&gt;$D$2*-1,G474/F474&gt;=3),"Very serious", AND(H474&lt;=$D$1*-1,J474&gt;0,I474&lt;$D$2*-1,G474/F474&gt;=3),"Very serious", AND(H474&gt;=$D$1,I474&lt;0,J474&lt;$D$2,G474/F474&gt;=3),"Very serious", AND(H474&gt;=$D$1,I474&lt;0,J474&gt;$D$2,G474/F474&gt;=3),"Very serious", AND(H474&gt;$D$1*-1,H474&lt;$D$1,I474&gt;$D$1*-1,J474&lt;$D$1,G474/F474&lt;3),"Not serious", AND(H474&gt;$D$1*-1,H474&lt;$D$1,OR(I474&lt;=$D$1*-1,J474&gt;=$D$1),I474&gt;$D$2*-1,J474&lt;$D$2,G474/F474&lt;3),"Serious", AND(H474&gt;$D$1*-1,H474&lt;$D$1,OR(I474&lt;=$D$2*-1,J474&gt;=$D$2),G474/F474&lt;3),"Very serious", AND(H474&gt;$D$1*-1,H474&lt;$D$1,I474&gt;$D$1*-1,J474&lt;$D$1,G474/F474&gt;=3),"Very serious", AND(H474&gt;$D$1*-1,H474&lt;$D$1,OR(I474&lt;=$D$1*-1,J474&gt;=$D$1),I474&gt;$D$2*-1,J474&lt;$D$2,G474/F474&gt;=3),"Very serious", AND(H474&gt;$D$1*-1,H474&lt;$D$1,OR(I474&lt;=$D$2*-1,J474&gt;=$D$2),G474/F474&gt;=3),"Very serious")),"")</f>
        <v/>
      </c>
      <c r="R474" s="109" t="str">
        <f t="shared" si="47"/>
        <v/>
      </c>
      <c r="S474" s="64"/>
      <c r="T474" s="72"/>
      <c r="U474" s="72"/>
      <c r="V474" s="72"/>
      <c r="W474" s="73"/>
      <c r="X474" s="73"/>
      <c r="Y474" s="74"/>
      <c r="Z474" s="113" t="str">
        <f t="array" ref="Z474">INDEX($A$1:$C$500, MATCH(1,($B:$B=$B474)*($C:$C=$AB474),0),1)</f>
        <v/>
      </c>
      <c r="AA474" s="113" t="str">
        <f t="array" ref="AA474">INDEX($A$1:$C$500, MATCH(1,($B:$B=$AB474)*($C:$C=$B474),0),1)</f>
        <v/>
      </c>
      <c r="AB474" s="111"/>
      <c r="AC474" s="114" t="str">
        <f t="shared" si="2"/>
        <v/>
      </c>
      <c r="AD474" s="115" t="str">
        <f t="shared" si="3"/>
        <v/>
      </c>
      <c r="AE474" s="116" t="str">
        <f t="array" ref="AE474">INDEX($A$1:$C$500, MATCH(1,($B:$B=$AB474)*($C:$C=$AG474),0),1)</f>
        <v/>
      </c>
      <c r="AF474" s="116" t="str">
        <f t="array" ref="AF474">INDEX($A$1:$C$500, MATCH(1,($B:$B=$AG474)*($C:$C=$AB474),0),1)</f>
        <v/>
      </c>
      <c r="AG474" s="72"/>
      <c r="AH474" s="114" t="str">
        <f t="shared" si="4"/>
        <v/>
      </c>
      <c r="AI474" s="115" t="str">
        <f t="shared" si="5"/>
        <v/>
      </c>
      <c r="AJ474" s="116" t="str">
        <f t="array" ref="AJ474">INDEX($A$1:$C$500, MATCH(1,($B:$B=$C474)*($C:$C=$AG474),0),1)</f>
        <v/>
      </c>
      <c r="AK474" s="116" t="str">
        <f t="array" ref="AK474">INDEX($A$1:$C$500, MATCH(1,($B:$B=$AG474)*($C:$C=$C474),0),1)</f>
        <v/>
      </c>
      <c r="AL474" s="116" t="str">
        <f t="array" ref="AL474">INDEX($A$1:$C$500, MATCH(1,($B:$B=$C474)*($C:$C=$AB474),0),1)</f>
        <v/>
      </c>
      <c r="AM474" s="116" t="str">
        <f t="array" ref="AM474">INDEX($A$1:$C$500, MATCH(1,($B:$B=$AB474)*($C:$C=$C474),0),1)</f>
        <v/>
      </c>
      <c r="AN474" s="114" t="str">
        <f t="array" ref="AN474">IFS(ISNUMBER(AJ474),AJ474,ISNUMBER(AK474),AK474,ISNUMBER(AL474),AL474,ISNUMBER(AM474),AM474)</f>
        <v>#N/A</v>
      </c>
      <c r="AO474" s="115" t="str">
        <f t="shared" si="6"/>
        <v/>
      </c>
      <c r="AP474" s="115" t="str">
        <f t="shared" si="7"/>
        <v/>
      </c>
      <c r="AQ474" s="111"/>
      <c r="AR474" s="109" t="str">
        <f t="shared" si="8"/>
        <v/>
      </c>
      <c r="AS474" s="72" t="str">
        <f>IFERROR(IF(AND(Preferences!B$3="Manual",OR(AX474/AW474&gt;V474/U474,BD474="Serious",BD474="Very serious")),"Assess imprecision",IFERROR(IFS(AND(Preferences!B$3="Automatic",V474/U474&gt;=30),"Extremely serious",AND(W474&lt;=$D$1*-1,Y474&lt;0,V474/U474&lt;3),"Not Serious",AND(W474&lt;=$D$1*-1,Y474&lt;0,V474/U474&gt;=3),"Very serious",AND(W474&gt;=$D$1,X474&gt;0,V474/U474&lt;3),"Not Serious",AND(W474&gt;=$D$1,X474&gt;0,V474/U474&gt;=3),"Very serious",AND(W474&lt;=$D$1*-1,Y474&gt;0,X474&gt;$D$2*-1,V474/U474&lt;3),"Serious", AND(W474&lt;=$D$1*-1,Y474&gt;0,X474&lt;$D$2*-1,V474/U474&lt;3),"Very serious", AND(W474&gt;=$D$1,X474&lt;0,Y474&lt;$D$2,V474/U474&lt;3),"Serious",AND(W474&gt;=$D$1,X474&lt;0,Y474&gt;$D$2,V474/U474&lt;3),"Very serious", AND(W474&lt;=$D$1*-1,Y474&gt;0,X474&gt;$D$2*-1,V474/U474&gt;=3),"Very serious", AND(W474&lt;=$D$1*-1,Y474&gt;0,X474&lt;$D$2*-1,V474/U474&gt;=3),"Very serious", AND(W474&gt;=$D$1,X474&lt;0,Y474&lt;$D$2,V474/U474&gt;=3),"Very serious", AND(W474&gt;=$D$1,X474&lt;0,Y474&gt;$D$2,V474/U474&gt;=3),"Very serious", AND(W474&gt;$D$1*-1,W474&lt;$D$1,X474&gt;$D$1*-1,Y474&lt;$D$1,V474/U474&lt;3),"Not Serious", AND(W474&gt;$D$1*-1,W474&lt;$D$1,OR(X474&lt;=$D$1*-1,Y474&gt;=$D$1),X474&gt;$D$2*-1,Y474&lt;$D$2,V474/U474&lt;3),"Serious", AND(W474&gt;$D$1*-1,W474&lt;$D$1,OR(X474&lt;=$D$2*-1,Y474&gt;=$D$2),V474/U474&lt;3),"Very serious", AND(W474&gt;$D$1*-1,W474&lt;$D$1,X474&gt;$D$1*-1,Y474&lt;$D$1,V474/U474&gt;=3),"Very serious", AND(W474&gt;$D$1*-1,W474&lt;$D$1,OR(X474&lt;=$D$1*-1,Y474&gt;=$D$1),X474&gt;$D$2*-1,Y474&lt;$D$2,V474/U474&gt;=3),"Very serious", AND(W474&gt;$D$1*-1,W474&lt;$D$1,OR(X474&lt;=$D$2*-1,Y474&gt;=$D$2),V474/U474&gt;=3),"Very serious"),"")),"")</f>
        <v/>
      </c>
      <c r="AT474" s="109" t="str">
        <f t="shared" si="9"/>
        <v/>
      </c>
      <c r="AU474" s="64"/>
      <c r="AV474" s="83"/>
      <c r="AW474" s="83"/>
      <c r="AX474" s="83"/>
      <c r="AY474" s="83"/>
      <c r="AZ474" s="83"/>
      <c r="BA474" s="85"/>
      <c r="BB474" s="86" t="str">
        <f>IF(Preferences!B$9="Manual","",IFS(ISBLANK(B474),"",AND(ISNUMBER(E474)=TRUE,ISNUMBER(T474)=FALSE),"Direct", AND(ISNUMBER(E474)=FALSE,ISNUMBER(T474)=TRUE),"Indirect", CN474=4,"Direct",AND(CL474=FALSE, CM474=TRUE,CN474-CO474&gt;-1),"Direct", AND(CL474=FALSE,CM474=TRUE, CN474-CO474&lt;0),"Check algorithm in appendix 2", AND(CL474=TRUE, CM474=FALSE,CN474-CO474&gt;0),"Check algorithm in appendix 2", AND(CL474=TRUE, CM474=FALSE,CN474-CO474=0),"Indirect", AND(CL474=TRUE, CM474=FALSE,CN474-CO474&lt;0),"Indirect", AND(CL474=FALSE,CM474=FALSE,CN474-CO474&gt;-1),"Direct", AND(CL474=FALSE,CM474=FALSE,CN474-CO474&lt;0),"Check algorithm in appendix 2", AND(CL474=TRUE,CM474=TRUE,CN474-CO474&gt;-1),"Direct", AND(CL474=TRUE,CM474=TRUE,CN474-CO474&lt;0),"Check algorithm in appendix 2"))</f>
        <v/>
      </c>
      <c r="BC474" s="120" t="str">
        <f t="shared" si="10"/>
        <v/>
      </c>
      <c r="BD474" s="140"/>
      <c r="BE474" s="122" t="str">
        <f>IF(Preferences!B$3="Manual","", IFERROR(IFS(AND(Preferences!B$3="Automatic",AX474/AW474&gt;=30),"Extremely serious",AND(AY474&lt;=$D$1*-1,BA474&lt;0,AX474/AW474&lt;3),"Not Serious",AND(AY474&lt;=$D$1*-1,BA474&lt;0,AX474/AW474&gt;=3),"Very serious",AND(AY474&gt;=$D$1,AZ474&gt;0,AX474/AW474&lt;3),"Not Serious",AND(AY474&gt;=$D$1,AZ474&gt;0,AX474/AW474&gt;=3),"Very serious",AND(AY474&lt;=$D$1*-1,BA474&gt;0,AZ474&gt;$D$2*-1,AX474/AW474&lt;3),"Serious", AND(AY474&lt;=$D$1*-1,BA474&gt;0,AZ474&lt;$D$2*-1,AX474/AW474&lt;3),"Very serious", AND(AY474&gt;=$D$1,AZ474&lt;0,BA474&lt;$D$2,AX474/AW474&lt;3),"Serious",AND(AY474&gt;=$D$1,AZ474&lt;0,BA474&gt;$D$2,AX474/AW474&lt;3),"Very serious", AND(AY474&lt;=$D$1*-1,BA474&gt;0,AZ474&gt;$D$2*-1,AX474/AW474&gt;=3),"Very serious", AND(AY474&lt;=$D$1*-1,BA474&gt;0,AZ474&lt;$D$2*-1,AX474/AW474&gt;=3),"Very serious", AND(AY474&gt;=$D$1,AZ474&lt;0,BA474&lt;$D$2,AX474/AW474&gt;=3),"Very serious", AND(AY474&gt;=$D$1,AZ474&lt;0,BA474&gt;$D$2,AX474/AW474&gt;=3),"Very serious", AND(AY474&gt;$D$1*-1,AY474&lt;$D$1,AZ474&gt;$D$1*-1,BA474&lt;$D$1,AX474/AW474&lt;3),"Not Serious", AND(AY474&gt;$D$1*-1,AY474&lt;$D$1,OR(AZ474&lt;=$D$1*-1,BA474&gt;=$D$1),AZ474&gt;$D$2*-1,BA474&lt;$D$2,AX474/AW474&lt;3),"Serious", AND(AY474&gt;$D$1*-1,AY474&lt;$D$1,OR(AZ474&lt;=$D$2*-1,BA474&gt;=$D$2),AX474/AW474&lt;3),"Very serious", AND(AY474&gt;$D$1*-1,AY474&lt;$D$1,AZ474&gt;$D$1*-1,BA474&lt;$D$1,AX474/AW474&gt;=3),"Very serious", AND(AY474&gt;$D$1*-1,AY474&lt;$D$1,OR(AZ474&lt;=$D$1*-1,BA474&gt;=$D$1),AZ474&gt;$D$2*-1,BA474&lt;$D$2,AX474/AW474&gt;=3),"Very serious", AND(AY474&gt;$D$1*-1,AY474&lt;$D$1,OR(AZ474&lt;=$D$2*-1,BA474&gt;=$D$2),AX474/AW474&gt;=3),"Very serious"),""))</f>
        <v/>
      </c>
      <c r="BF474" s="107" t="str">
        <f t="shared" si="11"/>
        <v/>
      </c>
      <c r="BG474" s="94" t="str">
        <f t="shared" si="46"/>
        <v/>
      </c>
      <c r="BH474" s="64" t="str">
        <f t="shared" si="12"/>
        <v>#N/A</v>
      </c>
      <c r="BI474" s="64" t="str">
        <f t="shared" si="13"/>
        <v/>
      </c>
      <c r="BJ474" s="123" t="str">
        <f t="shared" si="14"/>
        <v>#N/A</v>
      </c>
      <c r="BK474" s="64" t="str">
        <f t="shared" si="50"/>
        <v>YES</v>
      </c>
      <c r="BL474" s="64" t="str">
        <f t="shared" si="16"/>
        <v>YES</v>
      </c>
      <c r="BM474" s="64" t="str">
        <f t="shared" si="17"/>
        <v>YES</v>
      </c>
      <c r="BN474" s="124" t="str">
        <f t="shared" si="18"/>
        <v/>
      </c>
      <c r="BO474" s="91" t="str">
        <f t="shared" si="19"/>
        <v/>
      </c>
      <c r="BP474" s="91" t="str">
        <f t="shared" si="20"/>
        <v>#N/A</v>
      </c>
      <c r="BQ474" s="91" t="str">
        <f t="shared" si="21"/>
        <v/>
      </c>
      <c r="BR474" s="93" t="str">
        <f t="shared" si="22"/>
        <v/>
      </c>
      <c r="BS474" s="90" t="str">
        <f t="shared" si="23"/>
        <v/>
      </c>
      <c r="BT474" s="93" t="str">
        <f t="shared" si="24"/>
        <v>NA</v>
      </c>
      <c r="BU474" s="125" t="str">
        <f t="shared" si="25"/>
        <v>#N/A</v>
      </c>
      <c r="BV474" s="93" t="str">
        <f t="shared" si="26"/>
        <v/>
      </c>
      <c r="BW474" s="93" t="str">
        <f t="shared" si="27"/>
        <v/>
      </c>
      <c r="BX474" s="93" t="str">
        <f t="shared" si="28"/>
        <v>NA</v>
      </c>
      <c r="BY474" s="95" t="str">
        <f t="shared" si="29"/>
        <v>#N/A</v>
      </c>
      <c r="BZ474" s="93" t="str">
        <f t="shared" si="30"/>
        <v/>
      </c>
      <c r="CA474" s="93" t="str">
        <f t="shared" si="31"/>
        <v/>
      </c>
      <c r="CB474" s="93" t="str">
        <f t="shared" si="32"/>
        <v>NA</v>
      </c>
      <c r="CC474" s="96" t="str">
        <f t="shared" si="33"/>
        <v>#N/A</v>
      </c>
      <c r="CD474" s="93" t="str">
        <f t="shared" si="34"/>
        <v/>
      </c>
      <c r="CE474" s="93" t="str">
        <f t="shared" si="35"/>
        <v/>
      </c>
      <c r="CF474" s="93" t="str">
        <f t="shared" si="36"/>
        <v>NA</v>
      </c>
      <c r="CG474" s="97" t="str">
        <f t="shared" si="37"/>
        <v>#N/A</v>
      </c>
      <c r="CH474" s="98" t="str">
        <f t="shared" si="38"/>
        <v>#N/A</v>
      </c>
      <c r="CI474" s="99" t="str">
        <f t="shared" si="39"/>
        <v>#N/A</v>
      </c>
      <c r="CJ474" s="126" t="str">
        <f t="shared" si="40"/>
        <v>ERROR: check cell</v>
      </c>
      <c r="CK474" s="126"/>
      <c r="CL474" s="127" t="str">
        <f t="shared" si="41"/>
        <v>#DIV/0!</v>
      </c>
      <c r="CM474" s="128" t="str">
        <f t="shared" si="42"/>
        <v>#DIV/0!</v>
      </c>
      <c r="CN474" s="128">
        <f t="shared" si="43"/>
        <v>4</v>
      </c>
      <c r="CO474" s="129">
        <f t="shared" si="44"/>
        <v>4</v>
      </c>
      <c r="CP474" s="129" t="str">
        <f>IFS(C474=Preferences!B$13,B474,B474=Preferences!B$13,C474)</f>
        <v>#N/A</v>
      </c>
    </row>
    <row r="475" ht="13.5" customHeight="1">
      <c r="A475" s="63" t="str">
        <f t="shared" si="45"/>
        <v/>
      </c>
      <c r="B475" s="64"/>
      <c r="C475" s="64"/>
      <c r="D475" s="64"/>
      <c r="E475" s="65"/>
      <c r="F475" s="65"/>
      <c r="G475" s="65"/>
      <c r="H475" s="66"/>
      <c r="I475" s="66"/>
      <c r="J475" s="67"/>
      <c r="K475" s="68"/>
      <c r="L475" s="104"/>
      <c r="M475" s="104"/>
      <c r="N475" s="104"/>
      <c r="O475" s="104"/>
      <c r="P475" s="107" t="str">
        <f t="shared" si="1"/>
        <v/>
      </c>
      <c r="Q475" s="108" t="str">
        <f>IFERROR(IF(AND(Preferences!B$3="Manual",OR(AX475/AW475&gt;G475/F475,BD475="Serious",BD475="Very serious")),"Assess imprecision",IFS(ISBLANK(E475),"",AND(Preferences!B$3="Automatic", G475/F475&gt;=30),"Extremely serious",AND(H475&lt;=$D$1*-1,J475&lt;0,G475/F475&lt;3),"Not serious",AND(H475&lt;=$D$1*-1,J475&lt;0,G475/F475&gt;=3),"Very serious",AND(H475&gt;=$D$1,I475&gt;0,G475/F475&lt;3),"Not serious",AND(H475&gt;=$D$1,I475&gt;0,G475/F475&gt;=3),"Very serious",AND(H475&lt;=$D$1*-1,J475&gt;0,I475&gt;$D$2*-1,G475/F475&lt;3),"Serious", AND(H475&lt;=$D$1*-1,J475&gt;0,I475&lt;$D$2*-1,G475/F475&lt;3),"Very serious", AND(H475&gt;=$D$1,I475&lt;0,J475&lt;$D$2,G475/F475&lt;3),"Serious",AND(H475&gt;=$D$1,I475&lt;0,J475&gt;$D$2,G475/F475&lt;3),"Very serious", AND(H475&lt;=$D$1*-1,J475&gt;0,I475&gt;$D$2*-1,G475/F475&gt;=3),"Very serious", AND(H475&lt;=$D$1*-1,J475&gt;0,I475&lt;$D$2*-1,G475/F475&gt;=3),"Very serious", AND(H475&gt;=$D$1,I475&lt;0,J475&lt;$D$2,G475/F475&gt;=3),"Very serious", AND(H475&gt;=$D$1,I475&lt;0,J475&gt;$D$2,G475/F475&gt;=3),"Very serious", AND(H475&gt;$D$1*-1,H475&lt;$D$1,I475&gt;$D$1*-1,J475&lt;$D$1,G475/F475&lt;3),"Not serious", AND(H475&gt;$D$1*-1,H475&lt;$D$1,OR(I475&lt;=$D$1*-1,J475&gt;=$D$1),I475&gt;$D$2*-1,J475&lt;$D$2,G475/F475&lt;3),"Serious", AND(H475&gt;$D$1*-1,H475&lt;$D$1,OR(I475&lt;=$D$2*-1,J475&gt;=$D$2),G475/F475&lt;3),"Very serious", AND(H475&gt;$D$1*-1,H475&lt;$D$1,I475&gt;$D$1*-1,J475&lt;$D$1,G475/F475&gt;=3),"Very serious", AND(H475&gt;$D$1*-1,H475&lt;$D$1,OR(I475&lt;=$D$1*-1,J475&gt;=$D$1),I475&gt;$D$2*-1,J475&lt;$D$2,G475/F475&gt;=3),"Very serious", AND(H475&gt;$D$1*-1,H475&lt;$D$1,OR(I475&lt;=$D$2*-1,J475&gt;=$D$2),G475/F475&gt;=3),"Very serious")),"")</f>
        <v/>
      </c>
      <c r="R475" s="109" t="str">
        <f t="shared" si="47"/>
        <v/>
      </c>
      <c r="S475" s="64"/>
      <c r="T475" s="72"/>
      <c r="U475" s="72"/>
      <c r="V475" s="72"/>
      <c r="W475" s="73"/>
      <c r="X475" s="73"/>
      <c r="Y475" s="74"/>
      <c r="Z475" s="113" t="str">
        <f t="array" ref="Z475">INDEX($A$1:$C$500, MATCH(1,($B:$B=$B475)*($C:$C=$AB475),0),1)</f>
        <v/>
      </c>
      <c r="AA475" s="113" t="str">
        <f t="array" ref="AA475">INDEX($A$1:$C$500, MATCH(1,($B:$B=$AB475)*($C:$C=$B475),0),1)</f>
        <v/>
      </c>
      <c r="AB475" s="111"/>
      <c r="AC475" s="114" t="str">
        <f t="shared" si="2"/>
        <v/>
      </c>
      <c r="AD475" s="115" t="str">
        <f t="shared" si="3"/>
        <v/>
      </c>
      <c r="AE475" s="116" t="str">
        <f t="array" ref="AE475">INDEX($A$1:$C$500, MATCH(1,($B:$B=$AB475)*($C:$C=$AG475),0),1)</f>
        <v/>
      </c>
      <c r="AF475" s="116" t="str">
        <f t="array" ref="AF475">INDEX($A$1:$C$500, MATCH(1,($B:$B=$AG475)*($C:$C=$AB475),0),1)</f>
        <v/>
      </c>
      <c r="AG475" s="72"/>
      <c r="AH475" s="114" t="str">
        <f t="shared" si="4"/>
        <v/>
      </c>
      <c r="AI475" s="115" t="str">
        <f t="shared" si="5"/>
        <v/>
      </c>
      <c r="AJ475" s="116" t="str">
        <f t="array" ref="AJ475">INDEX($A$1:$C$500, MATCH(1,($B:$B=$C475)*($C:$C=$AG475),0),1)</f>
        <v/>
      </c>
      <c r="AK475" s="116" t="str">
        <f t="array" ref="AK475">INDEX($A$1:$C$500, MATCH(1,($B:$B=$AG475)*($C:$C=$C475),0),1)</f>
        <v/>
      </c>
      <c r="AL475" s="116" t="str">
        <f t="array" ref="AL475">INDEX($A$1:$C$500, MATCH(1,($B:$B=$C475)*($C:$C=$AB475),0),1)</f>
        <v/>
      </c>
      <c r="AM475" s="116" t="str">
        <f t="array" ref="AM475">INDEX($A$1:$C$500, MATCH(1,($B:$B=$AB475)*($C:$C=$C475),0),1)</f>
        <v/>
      </c>
      <c r="AN475" s="114" t="str">
        <f t="array" ref="AN475">IFS(ISNUMBER(AJ475),AJ475,ISNUMBER(AK475),AK475,ISNUMBER(AL475),AL475,ISNUMBER(AM475),AM475)</f>
        <v>#N/A</v>
      </c>
      <c r="AO475" s="115" t="str">
        <f t="shared" si="6"/>
        <v/>
      </c>
      <c r="AP475" s="115" t="str">
        <f t="shared" si="7"/>
        <v/>
      </c>
      <c r="AQ475" s="111"/>
      <c r="AR475" s="109" t="str">
        <f t="shared" si="8"/>
        <v/>
      </c>
      <c r="AS475" s="72" t="str">
        <f>IFERROR(IF(AND(Preferences!B$3="Manual",OR(AX475/AW475&gt;V475/U475,BD475="Serious",BD475="Very serious")),"Assess imprecision",IFERROR(IFS(AND(Preferences!B$3="Automatic",V475/U475&gt;=30),"Extremely serious",AND(W475&lt;=$D$1*-1,Y475&lt;0,V475/U475&lt;3),"Not Serious",AND(W475&lt;=$D$1*-1,Y475&lt;0,V475/U475&gt;=3),"Very serious",AND(W475&gt;=$D$1,X475&gt;0,V475/U475&lt;3),"Not Serious",AND(W475&gt;=$D$1,X475&gt;0,V475/U475&gt;=3),"Very serious",AND(W475&lt;=$D$1*-1,Y475&gt;0,X475&gt;$D$2*-1,V475/U475&lt;3),"Serious", AND(W475&lt;=$D$1*-1,Y475&gt;0,X475&lt;$D$2*-1,V475/U475&lt;3),"Very serious", AND(W475&gt;=$D$1,X475&lt;0,Y475&lt;$D$2,V475/U475&lt;3),"Serious",AND(W475&gt;=$D$1,X475&lt;0,Y475&gt;$D$2,V475/U475&lt;3),"Very serious", AND(W475&lt;=$D$1*-1,Y475&gt;0,X475&gt;$D$2*-1,V475/U475&gt;=3),"Very serious", AND(W475&lt;=$D$1*-1,Y475&gt;0,X475&lt;$D$2*-1,V475/U475&gt;=3),"Very serious", AND(W475&gt;=$D$1,X475&lt;0,Y475&lt;$D$2,V475/U475&gt;=3),"Very serious", AND(W475&gt;=$D$1,X475&lt;0,Y475&gt;$D$2,V475/U475&gt;=3),"Very serious", AND(W475&gt;$D$1*-1,W475&lt;$D$1,X475&gt;$D$1*-1,Y475&lt;$D$1,V475/U475&lt;3),"Not Serious", AND(W475&gt;$D$1*-1,W475&lt;$D$1,OR(X475&lt;=$D$1*-1,Y475&gt;=$D$1),X475&gt;$D$2*-1,Y475&lt;$D$2,V475/U475&lt;3),"Serious", AND(W475&gt;$D$1*-1,W475&lt;$D$1,OR(X475&lt;=$D$2*-1,Y475&gt;=$D$2),V475/U475&lt;3),"Very serious", AND(W475&gt;$D$1*-1,W475&lt;$D$1,X475&gt;$D$1*-1,Y475&lt;$D$1,V475/U475&gt;=3),"Very serious", AND(W475&gt;$D$1*-1,W475&lt;$D$1,OR(X475&lt;=$D$1*-1,Y475&gt;=$D$1),X475&gt;$D$2*-1,Y475&lt;$D$2,V475/U475&gt;=3),"Very serious", AND(W475&gt;$D$1*-1,W475&lt;$D$1,OR(X475&lt;=$D$2*-1,Y475&gt;=$D$2),V475/U475&gt;=3),"Very serious"),"")),"")</f>
        <v/>
      </c>
      <c r="AT475" s="109" t="str">
        <f t="shared" si="9"/>
        <v/>
      </c>
      <c r="AU475" s="64"/>
      <c r="AV475" s="83"/>
      <c r="AW475" s="83"/>
      <c r="AX475" s="83"/>
      <c r="AY475" s="83"/>
      <c r="AZ475" s="83"/>
      <c r="BA475" s="85"/>
      <c r="BB475" s="86" t="str">
        <f>IF(Preferences!B$9="Manual","",IFS(ISBLANK(B475),"",AND(ISNUMBER(E475)=TRUE,ISNUMBER(T475)=FALSE),"Direct", AND(ISNUMBER(E475)=FALSE,ISNUMBER(T475)=TRUE),"Indirect", CN475=4,"Direct",AND(CL475=FALSE, CM475=TRUE,CN475-CO475&gt;-1),"Direct", AND(CL475=FALSE,CM475=TRUE, CN475-CO475&lt;0),"Check algorithm in appendix 2", AND(CL475=TRUE, CM475=FALSE,CN475-CO475&gt;0),"Check algorithm in appendix 2", AND(CL475=TRUE, CM475=FALSE,CN475-CO475=0),"Indirect", AND(CL475=TRUE, CM475=FALSE,CN475-CO475&lt;0),"Indirect", AND(CL475=FALSE,CM475=FALSE,CN475-CO475&gt;-1),"Direct", AND(CL475=FALSE,CM475=FALSE,CN475-CO475&lt;0),"Check algorithm in appendix 2", AND(CL475=TRUE,CM475=TRUE,CN475-CO475&gt;-1),"Direct", AND(CL475=TRUE,CM475=TRUE,CN475-CO475&lt;0),"Check algorithm in appendix 2"))</f>
        <v/>
      </c>
      <c r="BC475" s="120" t="str">
        <f t="shared" si="10"/>
        <v/>
      </c>
      <c r="BD475" s="140"/>
      <c r="BE475" s="122" t="str">
        <f>IF(Preferences!B$3="Manual","", IFERROR(IFS(AND(Preferences!B$3="Automatic",AX475/AW475&gt;=30),"Extremely serious",AND(AY475&lt;=$D$1*-1,BA475&lt;0,AX475/AW475&lt;3),"Not Serious",AND(AY475&lt;=$D$1*-1,BA475&lt;0,AX475/AW475&gt;=3),"Very serious",AND(AY475&gt;=$D$1,AZ475&gt;0,AX475/AW475&lt;3),"Not Serious",AND(AY475&gt;=$D$1,AZ475&gt;0,AX475/AW475&gt;=3),"Very serious",AND(AY475&lt;=$D$1*-1,BA475&gt;0,AZ475&gt;$D$2*-1,AX475/AW475&lt;3),"Serious", AND(AY475&lt;=$D$1*-1,BA475&gt;0,AZ475&lt;$D$2*-1,AX475/AW475&lt;3),"Very serious", AND(AY475&gt;=$D$1,AZ475&lt;0,BA475&lt;$D$2,AX475/AW475&lt;3),"Serious",AND(AY475&gt;=$D$1,AZ475&lt;0,BA475&gt;$D$2,AX475/AW475&lt;3),"Very serious", AND(AY475&lt;=$D$1*-1,BA475&gt;0,AZ475&gt;$D$2*-1,AX475/AW475&gt;=3),"Very serious", AND(AY475&lt;=$D$1*-1,BA475&gt;0,AZ475&lt;$D$2*-1,AX475/AW475&gt;=3),"Very serious", AND(AY475&gt;=$D$1,AZ475&lt;0,BA475&lt;$D$2,AX475/AW475&gt;=3),"Very serious", AND(AY475&gt;=$D$1,AZ475&lt;0,BA475&gt;$D$2,AX475/AW475&gt;=3),"Very serious", AND(AY475&gt;$D$1*-1,AY475&lt;$D$1,AZ475&gt;$D$1*-1,BA475&lt;$D$1,AX475/AW475&lt;3),"Not Serious", AND(AY475&gt;$D$1*-1,AY475&lt;$D$1,OR(AZ475&lt;=$D$1*-1,BA475&gt;=$D$1),AZ475&gt;$D$2*-1,BA475&lt;$D$2,AX475/AW475&lt;3),"Serious", AND(AY475&gt;$D$1*-1,AY475&lt;$D$1,OR(AZ475&lt;=$D$2*-1,BA475&gt;=$D$2),AX475/AW475&lt;3),"Very serious", AND(AY475&gt;$D$1*-1,AY475&lt;$D$1,AZ475&gt;$D$1*-1,BA475&lt;$D$1,AX475/AW475&gt;=3),"Very serious", AND(AY475&gt;$D$1*-1,AY475&lt;$D$1,OR(AZ475&lt;=$D$1*-1,BA475&gt;=$D$1),AZ475&gt;$D$2*-1,BA475&lt;$D$2,AX475/AW475&gt;=3),"Very serious", AND(AY475&gt;$D$1*-1,AY475&lt;$D$1,OR(AZ475&lt;=$D$2*-1,BA475&gt;=$D$2),AX475/AW475&gt;=3),"Very serious"),""))</f>
        <v/>
      </c>
      <c r="BF475" s="107" t="str">
        <f t="shared" si="11"/>
        <v/>
      </c>
      <c r="BG475" s="94" t="str">
        <f t="shared" si="46"/>
        <v/>
      </c>
      <c r="BH475" s="64" t="str">
        <f t="shared" si="12"/>
        <v>#N/A</v>
      </c>
      <c r="BI475" s="64" t="str">
        <f t="shared" si="13"/>
        <v/>
      </c>
      <c r="BJ475" s="123" t="str">
        <f t="shared" si="14"/>
        <v>#N/A</v>
      </c>
      <c r="BK475" s="64" t="str">
        <f t="shared" si="50"/>
        <v>YES</v>
      </c>
      <c r="BL475" s="64" t="str">
        <f t="shared" si="16"/>
        <v>YES</v>
      </c>
      <c r="BM475" s="64" t="str">
        <f t="shared" si="17"/>
        <v>YES</v>
      </c>
      <c r="BN475" s="124" t="str">
        <f t="shared" si="18"/>
        <v/>
      </c>
      <c r="BO475" s="91" t="str">
        <f t="shared" si="19"/>
        <v/>
      </c>
      <c r="BP475" s="91" t="str">
        <f t="shared" si="20"/>
        <v>#N/A</v>
      </c>
      <c r="BQ475" s="91" t="str">
        <f t="shared" si="21"/>
        <v/>
      </c>
      <c r="BR475" s="93" t="str">
        <f t="shared" si="22"/>
        <v/>
      </c>
      <c r="BS475" s="90" t="str">
        <f t="shared" si="23"/>
        <v/>
      </c>
      <c r="BT475" s="93" t="str">
        <f t="shared" si="24"/>
        <v>NA</v>
      </c>
      <c r="BU475" s="125" t="str">
        <f t="shared" si="25"/>
        <v>#N/A</v>
      </c>
      <c r="BV475" s="93" t="str">
        <f t="shared" si="26"/>
        <v/>
      </c>
      <c r="BW475" s="93" t="str">
        <f t="shared" si="27"/>
        <v/>
      </c>
      <c r="BX475" s="93" t="str">
        <f t="shared" si="28"/>
        <v>NA</v>
      </c>
      <c r="BY475" s="95" t="str">
        <f t="shared" si="29"/>
        <v>#N/A</v>
      </c>
      <c r="BZ475" s="93" t="str">
        <f t="shared" si="30"/>
        <v/>
      </c>
      <c r="CA475" s="93" t="str">
        <f t="shared" si="31"/>
        <v/>
      </c>
      <c r="CB475" s="93" t="str">
        <f t="shared" si="32"/>
        <v>NA</v>
      </c>
      <c r="CC475" s="96" t="str">
        <f t="shared" si="33"/>
        <v>#N/A</v>
      </c>
      <c r="CD475" s="93" t="str">
        <f t="shared" si="34"/>
        <v/>
      </c>
      <c r="CE475" s="93" t="str">
        <f t="shared" si="35"/>
        <v/>
      </c>
      <c r="CF475" s="93" t="str">
        <f t="shared" si="36"/>
        <v>NA</v>
      </c>
      <c r="CG475" s="97" t="str">
        <f t="shared" si="37"/>
        <v>#N/A</v>
      </c>
      <c r="CH475" s="98" t="str">
        <f t="shared" si="38"/>
        <v>#N/A</v>
      </c>
      <c r="CI475" s="99" t="str">
        <f t="shared" si="39"/>
        <v>#N/A</v>
      </c>
      <c r="CJ475" s="126" t="str">
        <f t="shared" si="40"/>
        <v>ERROR: check cell</v>
      </c>
      <c r="CK475" s="126"/>
      <c r="CL475" s="127" t="str">
        <f t="shared" si="41"/>
        <v>#DIV/0!</v>
      </c>
      <c r="CM475" s="128" t="str">
        <f t="shared" si="42"/>
        <v>#DIV/0!</v>
      </c>
      <c r="CN475" s="128">
        <f t="shared" si="43"/>
        <v>4</v>
      </c>
      <c r="CO475" s="129">
        <f t="shared" si="44"/>
        <v>4</v>
      </c>
      <c r="CP475" s="129" t="str">
        <f>IFS(C475=Preferences!B$13,B475,B475=Preferences!B$13,C475)</f>
        <v>#N/A</v>
      </c>
    </row>
    <row r="476" ht="13.5" customHeight="1">
      <c r="A476" s="63" t="str">
        <f t="shared" si="45"/>
        <v/>
      </c>
      <c r="B476" s="64"/>
      <c r="C476" s="64"/>
      <c r="D476" s="64"/>
      <c r="E476" s="65"/>
      <c r="F476" s="65"/>
      <c r="G476" s="65"/>
      <c r="H476" s="66"/>
      <c r="I476" s="66"/>
      <c r="J476" s="67"/>
      <c r="K476" s="68"/>
      <c r="L476" s="104"/>
      <c r="M476" s="104"/>
      <c r="N476" s="104"/>
      <c r="O476" s="104"/>
      <c r="P476" s="107" t="str">
        <f t="shared" si="1"/>
        <v/>
      </c>
      <c r="Q476" s="108" t="str">
        <f>IFERROR(IF(AND(Preferences!B$3="Manual",OR(AX476/AW476&gt;G476/F476,BD476="Serious",BD476="Very serious")),"Assess imprecision",IFS(ISBLANK(E476),"",AND(Preferences!B$3="Automatic", G476/F476&gt;=30),"Extremely serious",AND(H476&lt;=$D$1*-1,J476&lt;0,G476/F476&lt;3),"Not serious",AND(H476&lt;=$D$1*-1,J476&lt;0,G476/F476&gt;=3),"Very serious",AND(H476&gt;=$D$1,I476&gt;0,G476/F476&lt;3),"Not serious",AND(H476&gt;=$D$1,I476&gt;0,G476/F476&gt;=3),"Very serious",AND(H476&lt;=$D$1*-1,J476&gt;0,I476&gt;$D$2*-1,G476/F476&lt;3),"Serious", AND(H476&lt;=$D$1*-1,J476&gt;0,I476&lt;$D$2*-1,G476/F476&lt;3),"Very serious", AND(H476&gt;=$D$1,I476&lt;0,J476&lt;$D$2,G476/F476&lt;3),"Serious",AND(H476&gt;=$D$1,I476&lt;0,J476&gt;$D$2,G476/F476&lt;3),"Very serious", AND(H476&lt;=$D$1*-1,J476&gt;0,I476&gt;$D$2*-1,G476/F476&gt;=3),"Very serious", AND(H476&lt;=$D$1*-1,J476&gt;0,I476&lt;$D$2*-1,G476/F476&gt;=3),"Very serious", AND(H476&gt;=$D$1,I476&lt;0,J476&lt;$D$2,G476/F476&gt;=3),"Very serious", AND(H476&gt;=$D$1,I476&lt;0,J476&gt;$D$2,G476/F476&gt;=3),"Very serious", AND(H476&gt;$D$1*-1,H476&lt;$D$1,I476&gt;$D$1*-1,J476&lt;$D$1,G476/F476&lt;3),"Not serious", AND(H476&gt;$D$1*-1,H476&lt;$D$1,OR(I476&lt;=$D$1*-1,J476&gt;=$D$1),I476&gt;$D$2*-1,J476&lt;$D$2,G476/F476&lt;3),"Serious", AND(H476&gt;$D$1*-1,H476&lt;$D$1,OR(I476&lt;=$D$2*-1,J476&gt;=$D$2),G476/F476&lt;3),"Very serious", AND(H476&gt;$D$1*-1,H476&lt;$D$1,I476&gt;$D$1*-1,J476&lt;$D$1,G476/F476&gt;=3),"Very serious", AND(H476&gt;$D$1*-1,H476&lt;$D$1,OR(I476&lt;=$D$1*-1,J476&gt;=$D$1),I476&gt;$D$2*-1,J476&lt;$D$2,G476/F476&gt;=3),"Very serious", AND(H476&gt;$D$1*-1,H476&lt;$D$1,OR(I476&lt;=$D$2*-1,J476&gt;=$D$2),G476/F476&gt;=3),"Very serious")),"")</f>
        <v/>
      </c>
      <c r="R476" s="109" t="str">
        <f t="shared" si="47"/>
        <v/>
      </c>
      <c r="S476" s="64"/>
      <c r="T476" s="72"/>
      <c r="U476" s="72"/>
      <c r="V476" s="72"/>
      <c r="W476" s="73"/>
      <c r="X476" s="73"/>
      <c r="Y476" s="74"/>
      <c r="Z476" s="113" t="str">
        <f t="array" ref="Z476">INDEX($A$1:$C$500, MATCH(1,($B:$B=$B476)*($C:$C=$AB476),0),1)</f>
        <v/>
      </c>
      <c r="AA476" s="113" t="str">
        <f t="array" ref="AA476">INDEX($A$1:$C$500, MATCH(1,($B:$B=$AB476)*($C:$C=$B476),0),1)</f>
        <v/>
      </c>
      <c r="AB476" s="111"/>
      <c r="AC476" s="114" t="str">
        <f t="shared" si="2"/>
        <v/>
      </c>
      <c r="AD476" s="115" t="str">
        <f t="shared" si="3"/>
        <v/>
      </c>
      <c r="AE476" s="116" t="str">
        <f t="array" ref="AE476">INDEX($A$1:$C$500, MATCH(1,($B:$B=$AB476)*($C:$C=$AG476),0),1)</f>
        <v/>
      </c>
      <c r="AF476" s="116" t="str">
        <f t="array" ref="AF476">INDEX($A$1:$C$500, MATCH(1,($B:$B=$AG476)*($C:$C=$AB476),0),1)</f>
        <v/>
      </c>
      <c r="AG476" s="72"/>
      <c r="AH476" s="114" t="str">
        <f t="shared" si="4"/>
        <v/>
      </c>
      <c r="AI476" s="115" t="str">
        <f t="shared" si="5"/>
        <v/>
      </c>
      <c r="AJ476" s="116" t="str">
        <f t="array" ref="AJ476">INDEX($A$1:$C$500, MATCH(1,($B:$B=$C476)*($C:$C=$AG476),0),1)</f>
        <v/>
      </c>
      <c r="AK476" s="116" t="str">
        <f t="array" ref="AK476">INDEX($A$1:$C$500, MATCH(1,($B:$B=$AG476)*($C:$C=$C476),0),1)</f>
        <v/>
      </c>
      <c r="AL476" s="116" t="str">
        <f t="array" ref="AL476">INDEX($A$1:$C$500, MATCH(1,($B:$B=$C476)*($C:$C=$AB476),0),1)</f>
        <v/>
      </c>
      <c r="AM476" s="116" t="str">
        <f t="array" ref="AM476">INDEX($A$1:$C$500, MATCH(1,($B:$B=$AB476)*($C:$C=$C476),0),1)</f>
        <v/>
      </c>
      <c r="AN476" s="114" t="str">
        <f t="array" ref="AN476">IFS(ISNUMBER(AJ476),AJ476,ISNUMBER(AK476),AK476,ISNUMBER(AL476),AL476,ISNUMBER(AM476),AM476)</f>
        <v>#N/A</v>
      </c>
      <c r="AO476" s="115" t="str">
        <f t="shared" si="6"/>
        <v/>
      </c>
      <c r="AP476" s="115" t="str">
        <f t="shared" si="7"/>
        <v/>
      </c>
      <c r="AQ476" s="111"/>
      <c r="AR476" s="109" t="str">
        <f t="shared" si="8"/>
        <v/>
      </c>
      <c r="AS476" s="72" t="str">
        <f>IFERROR(IF(AND(Preferences!B$3="Manual",OR(AX476/AW476&gt;V476/U476,BD476="Serious",BD476="Very serious")),"Assess imprecision",IFERROR(IFS(AND(Preferences!B$3="Automatic",V476/U476&gt;=30),"Extremely serious",AND(W476&lt;=$D$1*-1,Y476&lt;0,V476/U476&lt;3),"Not Serious",AND(W476&lt;=$D$1*-1,Y476&lt;0,V476/U476&gt;=3),"Very serious",AND(W476&gt;=$D$1,X476&gt;0,V476/U476&lt;3),"Not Serious",AND(W476&gt;=$D$1,X476&gt;0,V476/U476&gt;=3),"Very serious",AND(W476&lt;=$D$1*-1,Y476&gt;0,X476&gt;$D$2*-1,V476/U476&lt;3),"Serious", AND(W476&lt;=$D$1*-1,Y476&gt;0,X476&lt;$D$2*-1,V476/U476&lt;3),"Very serious", AND(W476&gt;=$D$1,X476&lt;0,Y476&lt;$D$2,V476/U476&lt;3),"Serious",AND(W476&gt;=$D$1,X476&lt;0,Y476&gt;$D$2,V476/U476&lt;3),"Very serious", AND(W476&lt;=$D$1*-1,Y476&gt;0,X476&gt;$D$2*-1,V476/U476&gt;=3),"Very serious", AND(W476&lt;=$D$1*-1,Y476&gt;0,X476&lt;$D$2*-1,V476/U476&gt;=3),"Very serious", AND(W476&gt;=$D$1,X476&lt;0,Y476&lt;$D$2,V476/U476&gt;=3),"Very serious", AND(W476&gt;=$D$1,X476&lt;0,Y476&gt;$D$2,V476/U476&gt;=3),"Very serious", AND(W476&gt;$D$1*-1,W476&lt;$D$1,X476&gt;$D$1*-1,Y476&lt;$D$1,V476/U476&lt;3),"Not Serious", AND(W476&gt;$D$1*-1,W476&lt;$D$1,OR(X476&lt;=$D$1*-1,Y476&gt;=$D$1),X476&gt;$D$2*-1,Y476&lt;$D$2,V476/U476&lt;3),"Serious", AND(W476&gt;$D$1*-1,W476&lt;$D$1,OR(X476&lt;=$D$2*-1,Y476&gt;=$D$2),V476/U476&lt;3),"Very serious", AND(W476&gt;$D$1*-1,W476&lt;$D$1,X476&gt;$D$1*-1,Y476&lt;$D$1,V476/U476&gt;=3),"Very serious", AND(W476&gt;$D$1*-1,W476&lt;$D$1,OR(X476&lt;=$D$1*-1,Y476&gt;=$D$1),X476&gt;$D$2*-1,Y476&lt;$D$2,V476/U476&gt;=3),"Very serious", AND(W476&gt;$D$1*-1,W476&lt;$D$1,OR(X476&lt;=$D$2*-1,Y476&gt;=$D$2),V476/U476&gt;=3),"Very serious"),"")),"")</f>
        <v/>
      </c>
      <c r="AT476" s="109" t="str">
        <f t="shared" si="9"/>
        <v/>
      </c>
      <c r="AU476" s="64"/>
      <c r="AV476" s="83"/>
      <c r="AW476" s="83"/>
      <c r="AX476" s="83"/>
      <c r="AY476" s="83"/>
      <c r="AZ476" s="83"/>
      <c r="BA476" s="85"/>
      <c r="BB476" s="86" t="str">
        <f>IF(Preferences!B$9="Manual","",IFS(ISBLANK(B476),"",AND(ISNUMBER(E476)=TRUE,ISNUMBER(T476)=FALSE),"Direct", AND(ISNUMBER(E476)=FALSE,ISNUMBER(T476)=TRUE),"Indirect", CN476=4,"Direct",AND(CL476=FALSE, CM476=TRUE,CN476-CO476&gt;-1),"Direct", AND(CL476=FALSE,CM476=TRUE, CN476-CO476&lt;0),"Check algorithm in appendix 2", AND(CL476=TRUE, CM476=FALSE,CN476-CO476&gt;0),"Check algorithm in appendix 2", AND(CL476=TRUE, CM476=FALSE,CN476-CO476=0),"Indirect", AND(CL476=TRUE, CM476=FALSE,CN476-CO476&lt;0),"Indirect", AND(CL476=FALSE,CM476=FALSE,CN476-CO476&gt;-1),"Direct", AND(CL476=FALSE,CM476=FALSE,CN476-CO476&lt;0),"Check algorithm in appendix 2", AND(CL476=TRUE,CM476=TRUE,CN476-CO476&gt;-1),"Direct", AND(CL476=TRUE,CM476=TRUE,CN476-CO476&lt;0),"Check algorithm in appendix 2"))</f>
        <v/>
      </c>
      <c r="BC476" s="120" t="str">
        <f t="shared" si="10"/>
        <v/>
      </c>
      <c r="BD476" s="140"/>
      <c r="BE476" s="122" t="str">
        <f>IF(Preferences!B$3="Manual","", IFERROR(IFS(AND(Preferences!B$3="Automatic",AX476/AW476&gt;=30),"Extremely serious",AND(AY476&lt;=$D$1*-1,BA476&lt;0,AX476/AW476&lt;3),"Not Serious",AND(AY476&lt;=$D$1*-1,BA476&lt;0,AX476/AW476&gt;=3),"Very serious",AND(AY476&gt;=$D$1,AZ476&gt;0,AX476/AW476&lt;3),"Not Serious",AND(AY476&gt;=$D$1,AZ476&gt;0,AX476/AW476&gt;=3),"Very serious",AND(AY476&lt;=$D$1*-1,BA476&gt;0,AZ476&gt;$D$2*-1,AX476/AW476&lt;3),"Serious", AND(AY476&lt;=$D$1*-1,BA476&gt;0,AZ476&lt;$D$2*-1,AX476/AW476&lt;3),"Very serious", AND(AY476&gt;=$D$1,AZ476&lt;0,BA476&lt;$D$2,AX476/AW476&lt;3),"Serious",AND(AY476&gt;=$D$1,AZ476&lt;0,BA476&gt;$D$2,AX476/AW476&lt;3),"Very serious", AND(AY476&lt;=$D$1*-1,BA476&gt;0,AZ476&gt;$D$2*-1,AX476/AW476&gt;=3),"Very serious", AND(AY476&lt;=$D$1*-1,BA476&gt;0,AZ476&lt;$D$2*-1,AX476/AW476&gt;=3),"Very serious", AND(AY476&gt;=$D$1,AZ476&lt;0,BA476&lt;$D$2,AX476/AW476&gt;=3),"Very serious", AND(AY476&gt;=$D$1,AZ476&lt;0,BA476&gt;$D$2,AX476/AW476&gt;=3),"Very serious", AND(AY476&gt;$D$1*-1,AY476&lt;$D$1,AZ476&gt;$D$1*-1,BA476&lt;$D$1,AX476/AW476&lt;3),"Not Serious", AND(AY476&gt;$D$1*-1,AY476&lt;$D$1,OR(AZ476&lt;=$D$1*-1,BA476&gt;=$D$1),AZ476&gt;$D$2*-1,BA476&lt;$D$2,AX476/AW476&lt;3),"Serious", AND(AY476&gt;$D$1*-1,AY476&lt;$D$1,OR(AZ476&lt;=$D$2*-1,BA476&gt;=$D$2),AX476/AW476&lt;3),"Very serious", AND(AY476&gt;$D$1*-1,AY476&lt;$D$1,AZ476&gt;$D$1*-1,BA476&lt;$D$1,AX476/AW476&gt;=3),"Very serious", AND(AY476&gt;$D$1*-1,AY476&lt;$D$1,OR(AZ476&lt;=$D$1*-1,BA476&gt;=$D$1),AZ476&gt;$D$2*-1,BA476&lt;$D$2,AX476/AW476&gt;=3),"Very serious", AND(AY476&gt;$D$1*-1,AY476&lt;$D$1,OR(AZ476&lt;=$D$2*-1,BA476&gt;=$D$2),AX476/AW476&gt;=3),"Very serious"),""))</f>
        <v/>
      </c>
      <c r="BF476" s="107" t="str">
        <f t="shared" si="11"/>
        <v/>
      </c>
      <c r="BG476" s="94" t="str">
        <f t="shared" si="46"/>
        <v/>
      </c>
      <c r="BH476" s="64" t="str">
        <f t="shared" si="12"/>
        <v>#N/A</v>
      </c>
      <c r="BI476" s="64" t="str">
        <f t="shared" si="13"/>
        <v/>
      </c>
      <c r="BJ476" s="123" t="str">
        <f t="shared" si="14"/>
        <v>#N/A</v>
      </c>
      <c r="BK476" s="64" t="str">
        <f t="shared" si="50"/>
        <v>YES</v>
      </c>
      <c r="BL476" s="64" t="str">
        <f t="shared" si="16"/>
        <v>YES</v>
      </c>
      <c r="BM476" s="64" t="str">
        <f t="shared" si="17"/>
        <v>YES</v>
      </c>
      <c r="BN476" s="124" t="str">
        <f t="shared" si="18"/>
        <v/>
      </c>
      <c r="BO476" s="91" t="str">
        <f t="shared" si="19"/>
        <v/>
      </c>
      <c r="BP476" s="91" t="str">
        <f t="shared" si="20"/>
        <v>#N/A</v>
      </c>
      <c r="BQ476" s="91" t="str">
        <f t="shared" si="21"/>
        <v/>
      </c>
      <c r="BR476" s="93" t="str">
        <f t="shared" si="22"/>
        <v/>
      </c>
      <c r="BS476" s="90" t="str">
        <f t="shared" si="23"/>
        <v/>
      </c>
      <c r="BT476" s="93" t="str">
        <f t="shared" si="24"/>
        <v>NA</v>
      </c>
      <c r="BU476" s="125" t="str">
        <f t="shared" si="25"/>
        <v>#N/A</v>
      </c>
      <c r="BV476" s="93" t="str">
        <f t="shared" si="26"/>
        <v/>
      </c>
      <c r="BW476" s="93" t="str">
        <f t="shared" si="27"/>
        <v/>
      </c>
      <c r="BX476" s="93" t="str">
        <f t="shared" si="28"/>
        <v>NA</v>
      </c>
      <c r="BY476" s="95" t="str">
        <f t="shared" si="29"/>
        <v>#N/A</v>
      </c>
      <c r="BZ476" s="93" t="str">
        <f t="shared" si="30"/>
        <v/>
      </c>
      <c r="CA476" s="93" t="str">
        <f t="shared" si="31"/>
        <v/>
      </c>
      <c r="CB476" s="93" t="str">
        <f t="shared" si="32"/>
        <v>NA</v>
      </c>
      <c r="CC476" s="96" t="str">
        <f t="shared" si="33"/>
        <v>#N/A</v>
      </c>
      <c r="CD476" s="93" t="str">
        <f t="shared" si="34"/>
        <v/>
      </c>
      <c r="CE476" s="93" t="str">
        <f t="shared" si="35"/>
        <v/>
      </c>
      <c r="CF476" s="93" t="str">
        <f t="shared" si="36"/>
        <v>NA</v>
      </c>
      <c r="CG476" s="97" t="str">
        <f t="shared" si="37"/>
        <v>#N/A</v>
      </c>
      <c r="CH476" s="98" t="str">
        <f t="shared" si="38"/>
        <v>#N/A</v>
      </c>
      <c r="CI476" s="99" t="str">
        <f t="shared" si="39"/>
        <v>#N/A</v>
      </c>
      <c r="CJ476" s="126" t="str">
        <f t="shared" si="40"/>
        <v>ERROR: check cell</v>
      </c>
      <c r="CK476" s="126"/>
      <c r="CL476" s="127" t="str">
        <f t="shared" si="41"/>
        <v>#DIV/0!</v>
      </c>
      <c r="CM476" s="128" t="str">
        <f t="shared" si="42"/>
        <v>#DIV/0!</v>
      </c>
      <c r="CN476" s="128">
        <f t="shared" si="43"/>
        <v>4</v>
      </c>
      <c r="CO476" s="129">
        <f t="shared" si="44"/>
        <v>4</v>
      </c>
      <c r="CP476" s="129" t="str">
        <f>IFS(C476=Preferences!B$13,B476,B476=Preferences!B$13,C476)</f>
        <v>#N/A</v>
      </c>
    </row>
    <row r="477" ht="13.5" customHeight="1">
      <c r="A477" s="63" t="str">
        <f t="shared" si="45"/>
        <v/>
      </c>
      <c r="B477" s="64"/>
      <c r="C477" s="64"/>
      <c r="D477" s="64"/>
      <c r="E477" s="65"/>
      <c r="F477" s="65"/>
      <c r="G477" s="65"/>
      <c r="H477" s="66"/>
      <c r="I477" s="66"/>
      <c r="J477" s="67"/>
      <c r="K477" s="68"/>
      <c r="L477" s="104"/>
      <c r="M477" s="104"/>
      <c r="N477" s="104"/>
      <c r="O477" s="104"/>
      <c r="P477" s="107" t="str">
        <f t="shared" si="1"/>
        <v/>
      </c>
      <c r="Q477" s="108" t="str">
        <f>IFERROR(IF(AND(Preferences!B$3="Manual",OR(AX477/AW477&gt;G477/F477,BD477="Serious",BD477="Very serious")),"Assess imprecision",IFS(ISBLANK(E477),"",AND(Preferences!B$3="Automatic", G477/F477&gt;=30),"Extremely serious",AND(H477&lt;=$D$1*-1,J477&lt;0,G477/F477&lt;3),"Not serious",AND(H477&lt;=$D$1*-1,J477&lt;0,G477/F477&gt;=3),"Very serious",AND(H477&gt;=$D$1,I477&gt;0,G477/F477&lt;3),"Not serious",AND(H477&gt;=$D$1,I477&gt;0,G477/F477&gt;=3),"Very serious",AND(H477&lt;=$D$1*-1,J477&gt;0,I477&gt;$D$2*-1,G477/F477&lt;3),"Serious", AND(H477&lt;=$D$1*-1,J477&gt;0,I477&lt;$D$2*-1,G477/F477&lt;3),"Very serious", AND(H477&gt;=$D$1,I477&lt;0,J477&lt;$D$2,G477/F477&lt;3),"Serious",AND(H477&gt;=$D$1,I477&lt;0,J477&gt;$D$2,G477/F477&lt;3),"Very serious", AND(H477&lt;=$D$1*-1,J477&gt;0,I477&gt;$D$2*-1,G477/F477&gt;=3),"Very serious", AND(H477&lt;=$D$1*-1,J477&gt;0,I477&lt;$D$2*-1,G477/F477&gt;=3),"Very serious", AND(H477&gt;=$D$1,I477&lt;0,J477&lt;$D$2,G477/F477&gt;=3),"Very serious", AND(H477&gt;=$D$1,I477&lt;0,J477&gt;$D$2,G477/F477&gt;=3),"Very serious", AND(H477&gt;$D$1*-1,H477&lt;$D$1,I477&gt;$D$1*-1,J477&lt;$D$1,G477/F477&lt;3),"Not serious", AND(H477&gt;$D$1*-1,H477&lt;$D$1,OR(I477&lt;=$D$1*-1,J477&gt;=$D$1),I477&gt;$D$2*-1,J477&lt;$D$2,G477/F477&lt;3),"Serious", AND(H477&gt;$D$1*-1,H477&lt;$D$1,OR(I477&lt;=$D$2*-1,J477&gt;=$D$2),G477/F477&lt;3),"Very serious", AND(H477&gt;$D$1*-1,H477&lt;$D$1,I477&gt;$D$1*-1,J477&lt;$D$1,G477/F477&gt;=3),"Very serious", AND(H477&gt;$D$1*-1,H477&lt;$D$1,OR(I477&lt;=$D$1*-1,J477&gt;=$D$1),I477&gt;$D$2*-1,J477&lt;$D$2,G477/F477&gt;=3),"Very serious", AND(H477&gt;$D$1*-1,H477&lt;$D$1,OR(I477&lt;=$D$2*-1,J477&gt;=$D$2),G477/F477&gt;=3),"Very serious")),"")</f>
        <v/>
      </c>
      <c r="R477" s="109" t="str">
        <f t="shared" si="47"/>
        <v/>
      </c>
      <c r="S477" s="64"/>
      <c r="T477" s="72"/>
      <c r="U477" s="72"/>
      <c r="V477" s="72"/>
      <c r="W477" s="73"/>
      <c r="X477" s="73"/>
      <c r="Y477" s="74"/>
      <c r="Z477" s="113" t="str">
        <f t="array" ref="Z477">INDEX($A$1:$C$500, MATCH(1,($B:$B=$B477)*($C:$C=$AB477),0),1)</f>
        <v/>
      </c>
      <c r="AA477" s="113" t="str">
        <f t="array" ref="AA477">INDEX($A$1:$C$500, MATCH(1,($B:$B=$AB477)*($C:$C=$B477),0),1)</f>
        <v/>
      </c>
      <c r="AB477" s="111"/>
      <c r="AC477" s="114" t="str">
        <f t="shared" si="2"/>
        <v/>
      </c>
      <c r="AD477" s="115" t="str">
        <f t="shared" si="3"/>
        <v/>
      </c>
      <c r="AE477" s="116" t="str">
        <f t="array" ref="AE477">INDEX($A$1:$C$500, MATCH(1,($B:$B=$AB477)*($C:$C=$AG477),0),1)</f>
        <v/>
      </c>
      <c r="AF477" s="116" t="str">
        <f t="array" ref="AF477">INDEX($A$1:$C$500, MATCH(1,($B:$B=$AG477)*($C:$C=$AB477),0),1)</f>
        <v/>
      </c>
      <c r="AG477" s="72"/>
      <c r="AH477" s="114" t="str">
        <f t="shared" si="4"/>
        <v/>
      </c>
      <c r="AI477" s="115" t="str">
        <f t="shared" si="5"/>
        <v/>
      </c>
      <c r="AJ477" s="116" t="str">
        <f t="array" ref="AJ477">INDEX($A$1:$C$500, MATCH(1,($B:$B=$C477)*($C:$C=$AG477),0),1)</f>
        <v/>
      </c>
      <c r="AK477" s="116" t="str">
        <f t="array" ref="AK477">INDEX($A$1:$C$500, MATCH(1,($B:$B=$AG477)*($C:$C=$C477),0),1)</f>
        <v/>
      </c>
      <c r="AL477" s="116" t="str">
        <f t="array" ref="AL477">INDEX($A$1:$C$500, MATCH(1,($B:$B=$C477)*($C:$C=$AB477),0),1)</f>
        <v/>
      </c>
      <c r="AM477" s="116" t="str">
        <f t="array" ref="AM477">INDEX($A$1:$C$500, MATCH(1,($B:$B=$AB477)*($C:$C=$C477),0),1)</f>
        <v/>
      </c>
      <c r="AN477" s="114" t="str">
        <f t="array" ref="AN477">IFS(ISNUMBER(AJ477),AJ477,ISNUMBER(AK477),AK477,ISNUMBER(AL477),AL477,ISNUMBER(AM477),AM477)</f>
        <v>#N/A</v>
      </c>
      <c r="AO477" s="115" t="str">
        <f t="shared" si="6"/>
        <v/>
      </c>
      <c r="AP477" s="115" t="str">
        <f t="shared" si="7"/>
        <v/>
      </c>
      <c r="AQ477" s="111"/>
      <c r="AR477" s="109" t="str">
        <f t="shared" si="8"/>
        <v/>
      </c>
      <c r="AS477" s="72" t="str">
        <f>IFERROR(IF(AND(Preferences!B$3="Manual",OR(AX477/AW477&gt;V477/U477,BD477="Serious",BD477="Very serious")),"Assess imprecision",IFERROR(IFS(AND(Preferences!B$3="Automatic",V477/U477&gt;=30),"Extremely serious",AND(W477&lt;=$D$1*-1,Y477&lt;0,V477/U477&lt;3),"Not Serious",AND(W477&lt;=$D$1*-1,Y477&lt;0,V477/U477&gt;=3),"Very serious",AND(W477&gt;=$D$1,X477&gt;0,V477/U477&lt;3),"Not Serious",AND(W477&gt;=$D$1,X477&gt;0,V477/U477&gt;=3),"Very serious",AND(W477&lt;=$D$1*-1,Y477&gt;0,X477&gt;$D$2*-1,V477/U477&lt;3),"Serious", AND(W477&lt;=$D$1*-1,Y477&gt;0,X477&lt;$D$2*-1,V477/U477&lt;3),"Very serious", AND(W477&gt;=$D$1,X477&lt;0,Y477&lt;$D$2,V477/U477&lt;3),"Serious",AND(W477&gt;=$D$1,X477&lt;0,Y477&gt;$D$2,V477/U477&lt;3),"Very serious", AND(W477&lt;=$D$1*-1,Y477&gt;0,X477&gt;$D$2*-1,V477/U477&gt;=3),"Very serious", AND(W477&lt;=$D$1*-1,Y477&gt;0,X477&lt;$D$2*-1,V477/U477&gt;=3),"Very serious", AND(W477&gt;=$D$1,X477&lt;0,Y477&lt;$D$2,V477/U477&gt;=3),"Very serious", AND(W477&gt;=$D$1,X477&lt;0,Y477&gt;$D$2,V477/U477&gt;=3),"Very serious", AND(W477&gt;$D$1*-1,W477&lt;$D$1,X477&gt;$D$1*-1,Y477&lt;$D$1,V477/U477&lt;3),"Not Serious", AND(W477&gt;$D$1*-1,W477&lt;$D$1,OR(X477&lt;=$D$1*-1,Y477&gt;=$D$1),X477&gt;$D$2*-1,Y477&lt;$D$2,V477/U477&lt;3),"Serious", AND(W477&gt;$D$1*-1,W477&lt;$D$1,OR(X477&lt;=$D$2*-1,Y477&gt;=$D$2),V477/U477&lt;3),"Very serious", AND(W477&gt;$D$1*-1,W477&lt;$D$1,X477&gt;$D$1*-1,Y477&lt;$D$1,V477/U477&gt;=3),"Very serious", AND(W477&gt;$D$1*-1,W477&lt;$D$1,OR(X477&lt;=$D$1*-1,Y477&gt;=$D$1),X477&gt;$D$2*-1,Y477&lt;$D$2,V477/U477&gt;=3),"Very serious", AND(W477&gt;$D$1*-1,W477&lt;$D$1,OR(X477&lt;=$D$2*-1,Y477&gt;=$D$2),V477/U477&gt;=3),"Very serious"),"")),"")</f>
        <v/>
      </c>
      <c r="AT477" s="109" t="str">
        <f t="shared" si="9"/>
        <v/>
      </c>
      <c r="AU477" s="64"/>
      <c r="AV477" s="83"/>
      <c r="AW477" s="83"/>
      <c r="AX477" s="83"/>
      <c r="AY477" s="83"/>
      <c r="AZ477" s="83"/>
      <c r="BA477" s="85"/>
      <c r="BB477" s="86" t="str">
        <f>IF(Preferences!B$9="Manual","",IFS(ISBLANK(B477),"",AND(ISNUMBER(E477)=TRUE,ISNUMBER(T477)=FALSE),"Direct", AND(ISNUMBER(E477)=FALSE,ISNUMBER(T477)=TRUE),"Indirect", CN477=4,"Direct",AND(CL477=FALSE, CM477=TRUE,CN477-CO477&gt;-1),"Direct", AND(CL477=FALSE,CM477=TRUE, CN477-CO477&lt;0),"Check algorithm in appendix 2", AND(CL477=TRUE, CM477=FALSE,CN477-CO477&gt;0),"Check algorithm in appendix 2", AND(CL477=TRUE, CM477=FALSE,CN477-CO477=0),"Indirect", AND(CL477=TRUE, CM477=FALSE,CN477-CO477&lt;0),"Indirect", AND(CL477=FALSE,CM477=FALSE,CN477-CO477&gt;-1),"Direct", AND(CL477=FALSE,CM477=FALSE,CN477-CO477&lt;0),"Check algorithm in appendix 2", AND(CL477=TRUE,CM477=TRUE,CN477-CO477&gt;-1),"Direct", AND(CL477=TRUE,CM477=TRUE,CN477-CO477&lt;0),"Check algorithm in appendix 2"))</f>
        <v/>
      </c>
      <c r="BC477" s="120" t="str">
        <f t="shared" si="10"/>
        <v/>
      </c>
      <c r="BD477" s="140"/>
      <c r="BE477" s="122" t="str">
        <f>IF(Preferences!B$3="Manual","", IFERROR(IFS(AND(Preferences!B$3="Automatic",AX477/AW477&gt;=30),"Extremely serious",AND(AY477&lt;=$D$1*-1,BA477&lt;0,AX477/AW477&lt;3),"Not Serious",AND(AY477&lt;=$D$1*-1,BA477&lt;0,AX477/AW477&gt;=3),"Very serious",AND(AY477&gt;=$D$1,AZ477&gt;0,AX477/AW477&lt;3),"Not Serious",AND(AY477&gt;=$D$1,AZ477&gt;0,AX477/AW477&gt;=3),"Very serious",AND(AY477&lt;=$D$1*-1,BA477&gt;0,AZ477&gt;$D$2*-1,AX477/AW477&lt;3),"Serious", AND(AY477&lt;=$D$1*-1,BA477&gt;0,AZ477&lt;$D$2*-1,AX477/AW477&lt;3),"Very serious", AND(AY477&gt;=$D$1,AZ477&lt;0,BA477&lt;$D$2,AX477/AW477&lt;3),"Serious",AND(AY477&gt;=$D$1,AZ477&lt;0,BA477&gt;$D$2,AX477/AW477&lt;3),"Very serious", AND(AY477&lt;=$D$1*-1,BA477&gt;0,AZ477&gt;$D$2*-1,AX477/AW477&gt;=3),"Very serious", AND(AY477&lt;=$D$1*-1,BA477&gt;0,AZ477&lt;$D$2*-1,AX477/AW477&gt;=3),"Very serious", AND(AY477&gt;=$D$1,AZ477&lt;0,BA477&lt;$D$2,AX477/AW477&gt;=3),"Very serious", AND(AY477&gt;=$D$1,AZ477&lt;0,BA477&gt;$D$2,AX477/AW477&gt;=3),"Very serious", AND(AY477&gt;$D$1*-1,AY477&lt;$D$1,AZ477&gt;$D$1*-1,BA477&lt;$D$1,AX477/AW477&lt;3),"Not Serious", AND(AY477&gt;$D$1*-1,AY477&lt;$D$1,OR(AZ477&lt;=$D$1*-1,BA477&gt;=$D$1),AZ477&gt;$D$2*-1,BA477&lt;$D$2,AX477/AW477&lt;3),"Serious", AND(AY477&gt;$D$1*-1,AY477&lt;$D$1,OR(AZ477&lt;=$D$2*-1,BA477&gt;=$D$2),AX477/AW477&lt;3),"Very serious", AND(AY477&gt;$D$1*-1,AY477&lt;$D$1,AZ477&gt;$D$1*-1,BA477&lt;$D$1,AX477/AW477&gt;=3),"Very serious", AND(AY477&gt;$D$1*-1,AY477&lt;$D$1,OR(AZ477&lt;=$D$1*-1,BA477&gt;=$D$1),AZ477&gt;$D$2*-1,BA477&lt;$D$2,AX477/AW477&gt;=3),"Very serious", AND(AY477&gt;$D$1*-1,AY477&lt;$D$1,OR(AZ477&lt;=$D$2*-1,BA477&gt;=$D$2),AX477/AW477&gt;=3),"Very serious"),""))</f>
        <v/>
      </c>
      <c r="BF477" s="107" t="str">
        <f t="shared" si="11"/>
        <v/>
      </c>
      <c r="BG477" s="94" t="str">
        <f t="shared" si="46"/>
        <v/>
      </c>
      <c r="BH477" s="64" t="str">
        <f t="shared" si="12"/>
        <v>#N/A</v>
      </c>
      <c r="BI477" s="64" t="str">
        <f t="shared" si="13"/>
        <v/>
      </c>
      <c r="BJ477" s="123" t="str">
        <f t="shared" si="14"/>
        <v>#N/A</v>
      </c>
      <c r="BK477" s="64" t="str">
        <f t="shared" si="50"/>
        <v>YES</v>
      </c>
      <c r="BL477" s="64" t="str">
        <f t="shared" si="16"/>
        <v>YES</v>
      </c>
      <c r="BM477" s="64" t="str">
        <f t="shared" si="17"/>
        <v>YES</v>
      </c>
      <c r="BN477" s="124" t="str">
        <f t="shared" si="18"/>
        <v/>
      </c>
      <c r="BO477" s="91" t="str">
        <f t="shared" si="19"/>
        <v/>
      </c>
      <c r="BP477" s="91" t="str">
        <f t="shared" si="20"/>
        <v>#N/A</v>
      </c>
      <c r="BQ477" s="91" t="str">
        <f t="shared" si="21"/>
        <v/>
      </c>
      <c r="BR477" s="93" t="str">
        <f t="shared" si="22"/>
        <v/>
      </c>
      <c r="BS477" s="90" t="str">
        <f t="shared" si="23"/>
        <v/>
      </c>
      <c r="BT477" s="93" t="str">
        <f t="shared" si="24"/>
        <v>NA</v>
      </c>
      <c r="BU477" s="125" t="str">
        <f t="shared" si="25"/>
        <v>#N/A</v>
      </c>
      <c r="BV477" s="93" t="str">
        <f t="shared" si="26"/>
        <v/>
      </c>
      <c r="BW477" s="93" t="str">
        <f t="shared" si="27"/>
        <v/>
      </c>
      <c r="BX477" s="93" t="str">
        <f t="shared" si="28"/>
        <v>NA</v>
      </c>
      <c r="BY477" s="95" t="str">
        <f t="shared" si="29"/>
        <v>#N/A</v>
      </c>
      <c r="BZ477" s="93" t="str">
        <f t="shared" si="30"/>
        <v/>
      </c>
      <c r="CA477" s="93" t="str">
        <f t="shared" si="31"/>
        <v/>
      </c>
      <c r="CB477" s="93" t="str">
        <f t="shared" si="32"/>
        <v>NA</v>
      </c>
      <c r="CC477" s="96" t="str">
        <f t="shared" si="33"/>
        <v>#N/A</v>
      </c>
      <c r="CD477" s="93" t="str">
        <f t="shared" si="34"/>
        <v/>
      </c>
      <c r="CE477" s="93" t="str">
        <f t="shared" si="35"/>
        <v/>
      </c>
      <c r="CF477" s="93" t="str">
        <f t="shared" si="36"/>
        <v>NA</v>
      </c>
      <c r="CG477" s="97" t="str">
        <f t="shared" si="37"/>
        <v>#N/A</v>
      </c>
      <c r="CH477" s="98" t="str">
        <f t="shared" si="38"/>
        <v>#N/A</v>
      </c>
      <c r="CI477" s="99" t="str">
        <f t="shared" si="39"/>
        <v>#N/A</v>
      </c>
      <c r="CJ477" s="126" t="str">
        <f t="shared" si="40"/>
        <v>ERROR: check cell</v>
      </c>
      <c r="CK477" s="126"/>
      <c r="CL477" s="127" t="str">
        <f t="shared" si="41"/>
        <v>#DIV/0!</v>
      </c>
      <c r="CM477" s="128" t="str">
        <f t="shared" si="42"/>
        <v>#DIV/0!</v>
      </c>
      <c r="CN477" s="128">
        <f t="shared" si="43"/>
        <v>4</v>
      </c>
      <c r="CO477" s="129">
        <f t="shared" si="44"/>
        <v>4</v>
      </c>
      <c r="CP477" s="129" t="str">
        <f>IFS(C477=Preferences!B$13,B477,B477=Preferences!B$13,C477)</f>
        <v>#N/A</v>
      </c>
    </row>
    <row r="478" ht="13.5" customHeight="1">
      <c r="A478" s="63" t="str">
        <f t="shared" si="45"/>
        <v/>
      </c>
      <c r="B478" s="64"/>
      <c r="C478" s="64"/>
      <c r="D478" s="64"/>
      <c r="E478" s="65"/>
      <c r="F478" s="65"/>
      <c r="G478" s="65"/>
      <c r="H478" s="66"/>
      <c r="I478" s="66"/>
      <c r="J478" s="67"/>
      <c r="K478" s="68"/>
      <c r="L478" s="104"/>
      <c r="M478" s="104"/>
      <c r="N478" s="104"/>
      <c r="O478" s="104"/>
      <c r="P478" s="107" t="str">
        <f t="shared" si="1"/>
        <v/>
      </c>
      <c r="Q478" s="108" t="str">
        <f>IFERROR(IF(AND(Preferences!B$3="Manual",OR(AX478/AW478&gt;G478/F478,BD478="Serious",BD478="Very serious")),"Assess imprecision",IFS(ISBLANK(E478),"",AND(Preferences!B$3="Automatic", G478/F478&gt;=30),"Extremely serious",AND(H478&lt;=$D$1*-1,J478&lt;0,G478/F478&lt;3),"Not serious",AND(H478&lt;=$D$1*-1,J478&lt;0,G478/F478&gt;=3),"Very serious",AND(H478&gt;=$D$1,I478&gt;0,G478/F478&lt;3),"Not serious",AND(H478&gt;=$D$1,I478&gt;0,G478/F478&gt;=3),"Very serious",AND(H478&lt;=$D$1*-1,J478&gt;0,I478&gt;$D$2*-1,G478/F478&lt;3),"Serious", AND(H478&lt;=$D$1*-1,J478&gt;0,I478&lt;$D$2*-1,G478/F478&lt;3),"Very serious", AND(H478&gt;=$D$1,I478&lt;0,J478&lt;$D$2,G478/F478&lt;3),"Serious",AND(H478&gt;=$D$1,I478&lt;0,J478&gt;$D$2,G478/F478&lt;3),"Very serious", AND(H478&lt;=$D$1*-1,J478&gt;0,I478&gt;$D$2*-1,G478/F478&gt;=3),"Very serious", AND(H478&lt;=$D$1*-1,J478&gt;0,I478&lt;$D$2*-1,G478/F478&gt;=3),"Very serious", AND(H478&gt;=$D$1,I478&lt;0,J478&lt;$D$2,G478/F478&gt;=3),"Very serious", AND(H478&gt;=$D$1,I478&lt;0,J478&gt;$D$2,G478/F478&gt;=3),"Very serious", AND(H478&gt;$D$1*-1,H478&lt;$D$1,I478&gt;$D$1*-1,J478&lt;$D$1,G478/F478&lt;3),"Not serious", AND(H478&gt;$D$1*-1,H478&lt;$D$1,OR(I478&lt;=$D$1*-1,J478&gt;=$D$1),I478&gt;$D$2*-1,J478&lt;$D$2,G478/F478&lt;3),"Serious", AND(H478&gt;$D$1*-1,H478&lt;$D$1,OR(I478&lt;=$D$2*-1,J478&gt;=$D$2),G478/F478&lt;3),"Very serious", AND(H478&gt;$D$1*-1,H478&lt;$D$1,I478&gt;$D$1*-1,J478&lt;$D$1,G478/F478&gt;=3),"Very serious", AND(H478&gt;$D$1*-1,H478&lt;$D$1,OR(I478&lt;=$D$1*-1,J478&gt;=$D$1),I478&gt;$D$2*-1,J478&lt;$D$2,G478/F478&gt;=3),"Very serious", AND(H478&gt;$D$1*-1,H478&lt;$D$1,OR(I478&lt;=$D$2*-1,J478&gt;=$D$2),G478/F478&gt;=3),"Very serious")),"")</f>
        <v/>
      </c>
      <c r="R478" s="109" t="str">
        <f t="shared" si="47"/>
        <v/>
      </c>
      <c r="S478" s="64"/>
      <c r="T478" s="72"/>
      <c r="U478" s="72"/>
      <c r="V478" s="72"/>
      <c r="W478" s="73"/>
      <c r="X478" s="73"/>
      <c r="Y478" s="74"/>
      <c r="Z478" s="113" t="str">
        <f t="array" ref="Z478">INDEX($A$1:$C$500, MATCH(1,($B:$B=$B478)*($C:$C=$AB478),0),1)</f>
        <v/>
      </c>
      <c r="AA478" s="113" t="str">
        <f t="array" ref="AA478">INDEX($A$1:$C$500, MATCH(1,($B:$B=$AB478)*($C:$C=$B478),0),1)</f>
        <v/>
      </c>
      <c r="AB478" s="111"/>
      <c r="AC478" s="114" t="str">
        <f t="shared" si="2"/>
        <v/>
      </c>
      <c r="AD478" s="115" t="str">
        <f t="shared" si="3"/>
        <v/>
      </c>
      <c r="AE478" s="116" t="str">
        <f t="array" ref="AE478">INDEX($A$1:$C$500, MATCH(1,($B:$B=$AB478)*($C:$C=$AG478),0),1)</f>
        <v/>
      </c>
      <c r="AF478" s="116" t="str">
        <f t="array" ref="AF478">INDEX($A$1:$C$500, MATCH(1,($B:$B=$AG478)*($C:$C=$AB478),0),1)</f>
        <v/>
      </c>
      <c r="AG478" s="72"/>
      <c r="AH478" s="114" t="str">
        <f t="shared" si="4"/>
        <v/>
      </c>
      <c r="AI478" s="115" t="str">
        <f t="shared" si="5"/>
        <v/>
      </c>
      <c r="AJ478" s="116" t="str">
        <f t="array" ref="AJ478">INDEX($A$1:$C$500, MATCH(1,($B:$B=$C478)*($C:$C=$AG478),0),1)</f>
        <v/>
      </c>
      <c r="AK478" s="116" t="str">
        <f t="array" ref="AK478">INDEX($A$1:$C$500, MATCH(1,($B:$B=$AG478)*($C:$C=$C478),0),1)</f>
        <v/>
      </c>
      <c r="AL478" s="116" t="str">
        <f t="array" ref="AL478">INDEX($A$1:$C$500, MATCH(1,($B:$B=$C478)*($C:$C=$AB478),0),1)</f>
        <v/>
      </c>
      <c r="AM478" s="116" t="str">
        <f t="array" ref="AM478">INDEX($A$1:$C$500, MATCH(1,($B:$B=$AB478)*($C:$C=$C478),0),1)</f>
        <v/>
      </c>
      <c r="AN478" s="114" t="str">
        <f t="array" ref="AN478">IFS(ISNUMBER(AJ478),AJ478,ISNUMBER(AK478),AK478,ISNUMBER(AL478),AL478,ISNUMBER(AM478),AM478)</f>
        <v>#N/A</v>
      </c>
      <c r="AO478" s="115" t="str">
        <f t="shared" si="6"/>
        <v/>
      </c>
      <c r="AP478" s="115" t="str">
        <f t="shared" si="7"/>
        <v/>
      </c>
      <c r="AQ478" s="111"/>
      <c r="AR478" s="109" t="str">
        <f t="shared" si="8"/>
        <v/>
      </c>
      <c r="AS478" s="72" t="str">
        <f>IFERROR(IF(AND(Preferences!B$3="Manual",OR(AX478/AW478&gt;V478/U478,BD478="Serious",BD478="Very serious")),"Assess imprecision",IFERROR(IFS(AND(Preferences!B$3="Automatic",V478/U478&gt;=30),"Extremely serious",AND(W478&lt;=$D$1*-1,Y478&lt;0,V478/U478&lt;3),"Not Serious",AND(W478&lt;=$D$1*-1,Y478&lt;0,V478/U478&gt;=3),"Very serious",AND(W478&gt;=$D$1,X478&gt;0,V478/U478&lt;3),"Not Serious",AND(W478&gt;=$D$1,X478&gt;0,V478/U478&gt;=3),"Very serious",AND(W478&lt;=$D$1*-1,Y478&gt;0,X478&gt;$D$2*-1,V478/U478&lt;3),"Serious", AND(W478&lt;=$D$1*-1,Y478&gt;0,X478&lt;$D$2*-1,V478/U478&lt;3),"Very serious", AND(W478&gt;=$D$1,X478&lt;0,Y478&lt;$D$2,V478/U478&lt;3),"Serious",AND(W478&gt;=$D$1,X478&lt;0,Y478&gt;$D$2,V478/U478&lt;3),"Very serious", AND(W478&lt;=$D$1*-1,Y478&gt;0,X478&gt;$D$2*-1,V478/U478&gt;=3),"Very serious", AND(W478&lt;=$D$1*-1,Y478&gt;0,X478&lt;$D$2*-1,V478/U478&gt;=3),"Very serious", AND(W478&gt;=$D$1,X478&lt;0,Y478&lt;$D$2,V478/U478&gt;=3),"Very serious", AND(W478&gt;=$D$1,X478&lt;0,Y478&gt;$D$2,V478/U478&gt;=3),"Very serious", AND(W478&gt;$D$1*-1,W478&lt;$D$1,X478&gt;$D$1*-1,Y478&lt;$D$1,V478/U478&lt;3),"Not Serious", AND(W478&gt;$D$1*-1,W478&lt;$D$1,OR(X478&lt;=$D$1*-1,Y478&gt;=$D$1),X478&gt;$D$2*-1,Y478&lt;$D$2,V478/U478&lt;3),"Serious", AND(W478&gt;$D$1*-1,W478&lt;$D$1,OR(X478&lt;=$D$2*-1,Y478&gt;=$D$2),V478/U478&lt;3),"Very serious", AND(W478&gt;$D$1*-1,W478&lt;$D$1,X478&gt;$D$1*-1,Y478&lt;$D$1,V478/U478&gt;=3),"Very serious", AND(W478&gt;$D$1*-1,W478&lt;$D$1,OR(X478&lt;=$D$1*-1,Y478&gt;=$D$1),X478&gt;$D$2*-1,Y478&lt;$D$2,V478/U478&gt;=3),"Very serious", AND(W478&gt;$D$1*-1,W478&lt;$D$1,OR(X478&lt;=$D$2*-1,Y478&gt;=$D$2),V478/U478&gt;=3),"Very serious"),"")),"")</f>
        <v/>
      </c>
      <c r="AT478" s="109" t="str">
        <f t="shared" si="9"/>
        <v/>
      </c>
      <c r="AU478" s="64"/>
      <c r="AV478" s="83"/>
      <c r="AW478" s="83"/>
      <c r="AX478" s="83"/>
      <c r="AY478" s="83"/>
      <c r="AZ478" s="83"/>
      <c r="BA478" s="85"/>
      <c r="BB478" s="86" t="str">
        <f>IF(Preferences!B$9="Manual","",IFS(ISBLANK(B478),"",AND(ISNUMBER(E478)=TRUE,ISNUMBER(T478)=FALSE),"Direct", AND(ISNUMBER(E478)=FALSE,ISNUMBER(T478)=TRUE),"Indirect", CN478=4,"Direct",AND(CL478=FALSE, CM478=TRUE,CN478-CO478&gt;-1),"Direct", AND(CL478=FALSE,CM478=TRUE, CN478-CO478&lt;0),"Check algorithm in appendix 2", AND(CL478=TRUE, CM478=FALSE,CN478-CO478&gt;0),"Check algorithm in appendix 2", AND(CL478=TRUE, CM478=FALSE,CN478-CO478=0),"Indirect", AND(CL478=TRUE, CM478=FALSE,CN478-CO478&lt;0),"Indirect", AND(CL478=FALSE,CM478=FALSE,CN478-CO478&gt;-1),"Direct", AND(CL478=FALSE,CM478=FALSE,CN478-CO478&lt;0),"Check algorithm in appendix 2", AND(CL478=TRUE,CM478=TRUE,CN478-CO478&gt;-1),"Direct", AND(CL478=TRUE,CM478=TRUE,CN478-CO478&lt;0),"Check algorithm in appendix 2"))</f>
        <v/>
      </c>
      <c r="BC478" s="120" t="str">
        <f t="shared" si="10"/>
        <v/>
      </c>
      <c r="BD478" s="140"/>
      <c r="BE478" s="122" t="str">
        <f>IF(Preferences!B$3="Manual","", IFERROR(IFS(AND(Preferences!B$3="Automatic",AX478/AW478&gt;=30),"Extremely serious",AND(AY478&lt;=$D$1*-1,BA478&lt;0,AX478/AW478&lt;3),"Not Serious",AND(AY478&lt;=$D$1*-1,BA478&lt;0,AX478/AW478&gt;=3),"Very serious",AND(AY478&gt;=$D$1,AZ478&gt;0,AX478/AW478&lt;3),"Not Serious",AND(AY478&gt;=$D$1,AZ478&gt;0,AX478/AW478&gt;=3),"Very serious",AND(AY478&lt;=$D$1*-1,BA478&gt;0,AZ478&gt;$D$2*-1,AX478/AW478&lt;3),"Serious", AND(AY478&lt;=$D$1*-1,BA478&gt;0,AZ478&lt;$D$2*-1,AX478/AW478&lt;3),"Very serious", AND(AY478&gt;=$D$1,AZ478&lt;0,BA478&lt;$D$2,AX478/AW478&lt;3),"Serious",AND(AY478&gt;=$D$1,AZ478&lt;0,BA478&gt;$D$2,AX478/AW478&lt;3),"Very serious", AND(AY478&lt;=$D$1*-1,BA478&gt;0,AZ478&gt;$D$2*-1,AX478/AW478&gt;=3),"Very serious", AND(AY478&lt;=$D$1*-1,BA478&gt;0,AZ478&lt;$D$2*-1,AX478/AW478&gt;=3),"Very serious", AND(AY478&gt;=$D$1,AZ478&lt;0,BA478&lt;$D$2,AX478/AW478&gt;=3),"Very serious", AND(AY478&gt;=$D$1,AZ478&lt;0,BA478&gt;$D$2,AX478/AW478&gt;=3),"Very serious", AND(AY478&gt;$D$1*-1,AY478&lt;$D$1,AZ478&gt;$D$1*-1,BA478&lt;$D$1,AX478/AW478&lt;3),"Not Serious", AND(AY478&gt;$D$1*-1,AY478&lt;$D$1,OR(AZ478&lt;=$D$1*-1,BA478&gt;=$D$1),AZ478&gt;$D$2*-1,BA478&lt;$D$2,AX478/AW478&lt;3),"Serious", AND(AY478&gt;$D$1*-1,AY478&lt;$D$1,OR(AZ478&lt;=$D$2*-1,BA478&gt;=$D$2),AX478/AW478&lt;3),"Very serious", AND(AY478&gt;$D$1*-1,AY478&lt;$D$1,AZ478&gt;$D$1*-1,BA478&lt;$D$1,AX478/AW478&gt;=3),"Very serious", AND(AY478&gt;$D$1*-1,AY478&lt;$D$1,OR(AZ478&lt;=$D$1*-1,BA478&gt;=$D$1),AZ478&gt;$D$2*-1,BA478&lt;$D$2,AX478/AW478&gt;=3),"Very serious", AND(AY478&gt;$D$1*-1,AY478&lt;$D$1,OR(AZ478&lt;=$D$2*-1,BA478&gt;=$D$2),AX478/AW478&gt;=3),"Very serious"),""))</f>
        <v/>
      </c>
      <c r="BF478" s="107" t="str">
        <f t="shared" si="11"/>
        <v/>
      </c>
      <c r="BG478" s="94" t="str">
        <f t="shared" si="46"/>
        <v/>
      </c>
      <c r="BH478" s="64" t="str">
        <f t="shared" si="12"/>
        <v>#N/A</v>
      </c>
      <c r="BI478" s="64" t="str">
        <f t="shared" si="13"/>
        <v/>
      </c>
      <c r="BJ478" s="123" t="str">
        <f t="shared" si="14"/>
        <v>#N/A</v>
      </c>
      <c r="BK478" s="64" t="str">
        <f t="shared" si="50"/>
        <v>YES</v>
      </c>
      <c r="BL478" s="64" t="str">
        <f t="shared" si="16"/>
        <v>YES</v>
      </c>
      <c r="BM478" s="64" t="str">
        <f t="shared" si="17"/>
        <v>YES</v>
      </c>
      <c r="BN478" s="124" t="str">
        <f t="shared" si="18"/>
        <v/>
      </c>
      <c r="BO478" s="91" t="str">
        <f t="shared" si="19"/>
        <v/>
      </c>
      <c r="BP478" s="91" t="str">
        <f t="shared" si="20"/>
        <v>#N/A</v>
      </c>
      <c r="BQ478" s="91" t="str">
        <f t="shared" si="21"/>
        <v/>
      </c>
      <c r="BR478" s="93" t="str">
        <f t="shared" si="22"/>
        <v/>
      </c>
      <c r="BS478" s="90" t="str">
        <f t="shared" si="23"/>
        <v/>
      </c>
      <c r="BT478" s="93" t="str">
        <f t="shared" si="24"/>
        <v>NA</v>
      </c>
      <c r="BU478" s="125" t="str">
        <f t="shared" si="25"/>
        <v>#N/A</v>
      </c>
      <c r="BV478" s="93" t="str">
        <f t="shared" si="26"/>
        <v/>
      </c>
      <c r="BW478" s="93" t="str">
        <f t="shared" si="27"/>
        <v/>
      </c>
      <c r="BX478" s="93" t="str">
        <f t="shared" si="28"/>
        <v>NA</v>
      </c>
      <c r="BY478" s="95" t="str">
        <f t="shared" si="29"/>
        <v>#N/A</v>
      </c>
      <c r="BZ478" s="93" t="str">
        <f t="shared" si="30"/>
        <v/>
      </c>
      <c r="CA478" s="93" t="str">
        <f t="shared" si="31"/>
        <v/>
      </c>
      <c r="CB478" s="93" t="str">
        <f t="shared" si="32"/>
        <v>NA</v>
      </c>
      <c r="CC478" s="96" t="str">
        <f t="shared" si="33"/>
        <v>#N/A</v>
      </c>
      <c r="CD478" s="93" t="str">
        <f t="shared" si="34"/>
        <v/>
      </c>
      <c r="CE478" s="93" t="str">
        <f t="shared" si="35"/>
        <v/>
      </c>
      <c r="CF478" s="93" t="str">
        <f t="shared" si="36"/>
        <v>NA</v>
      </c>
      <c r="CG478" s="97" t="str">
        <f t="shared" si="37"/>
        <v>#N/A</v>
      </c>
      <c r="CH478" s="98" t="str">
        <f t="shared" si="38"/>
        <v>#N/A</v>
      </c>
      <c r="CI478" s="99" t="str">
        <f t="shared" si="39"/>
        <v>#N/A</v>
      </c>
      <c r="CJ478" s="126" t="str">
        <f t="shared" si="40"/>
        <v>ERROR: check cell</v>
      </c>
      <c r="CK478" s="126"/>
      <c r="CL478" s="127" t="str">
        <f t="shared" si="41"/>
        <v>#DIV/0!</v>
      </c>
      <c r="CM478" s="128" t="str">
        <f t="shared" si="42"/>
        <v>#DIV/0!</v>
      </c>
      <c r="CN478" s="128">
        <f t="shared" si="43"/>
        <v>4</v>
      </c>
      <c r="CO478" s="129">
        <f t="shared" si="44"/>
        <v>4</v>
      </c>
      <c r="CP478" s="129" t="str">
        <f>IFS(C478=Preferences!B$13,B478,B478=Preferences!B$13,C478)</f>
        <v>#N/A</v>
      </c>
    </row>
    <row r="479" ht="13.5" customHeight="1">
      <c r="A479" s="63" t="str">
        <f t="shared" si="45"/>
        <v/>
      </c>
      <c r="B479" s="64"/>
      <c r="C479" s="64"/>
      <c r="D479" s="64"/>
      <c r="E479" s="65"/>
      <c r="F479" s="65"/>
      <c r="G479" s="65"/>
      <c r="H479" s="66"/>
      <c r="I479" s="66"/>
      <c r="J479" s="67"/>
      <c r="K479" s="68"/>
      <c r="L479" s="104"/>
      <c r="M479" s="104"/>
      <c r="N479" s="104"/>
      <c r="O479" s="104"/>
      <c r="P479" s="107" t="str">
        <f t="shared" si="1"/>
        <v/>
      </c>
      <c r="Q479" s="108" t="str">
        <f>IFERROR(IF(AND(Preferences!B$3="Manual",OR(AX479/AW479&gt;G479/F479,BD479="Serious",BD479="Very serious")),"Assess imprecision",IFS(ISBLANK(E479),"",AND(Preferences!B$3="Automatic", G479/F479&gt;=30),"Extremely serious",AND(H479&lt;=$D$1*-1,J479&lt;0,G479/F479&lt;3),"Not serious",AND(H479&lt;=$D$1*-1,J479&lt;0,G479/F479&gt;=3),"Very serious",AND(H479&gt;=$D$1,I479&gt;0,G479/F479&lt;3),"Not serious",AND(H479&gt;=$D$1,I479&gt;0,G479/F479&gt;=3),"Very serious",AND(H479&lt;=$D$1*-1,J479&gt;0,I479&gt;$D$2*-1,G479/F479&lt;3),"Serious", AND(H479&lt;=$D$1*-1,J479&gt;0,I479&lt;$D$2*-1,G479/F479&lt;3),"Very serious", AND(H479&gt;=$D$1,I479&lt;0,J479&lt;$D$2,G479/F479&lt;3),"Serious",AND(H479&gt;=$D$1,I479&lt;0,J479&gt;$D$2,G479/F479&lt;3),"Very serious", AND(H479&lt;=$D$1*-1,J479&gt;0,I479&gt;$D$2*-1,G479/F479&gt;=3),"Very serious", AND(H479&lt;=$D$1*-1,J479&gt;0,I479&lt;$D$2*-1,G479/F479&gt;=3),"Very serious", AND(H479&gt;=$D$1,I479&lt;0,J479&lt;$D$2,G479/F479&gt;=3),"Very serious", AND(H479&gt;=$D$1,I479&lt;0,J479&gt;$D$2,G479/F479&gt;=3),"Very serious", AND(H479&gt;$D$1*-1,H479&lt;$D$1,I479&gt;$D$1*-1,J479&lt;$D$1,G479/F479&lt;3),"Not serious", AND(H479&gt;$D$1*-1,H479&lt;$D$1,OR(I479&lt;=$D$1*-1,J479&gt;=$D$1),I479&gt;$D$2*-1,J479&lt;$D$2,G479/F479&lt;3),"Serious", AND(H479&gt;$D$1*-1,H479&lt;$D$1,OR(I479&lt;=$D$2*-1,J479&gt;=$D$2),G479/F479&lt;3),"Very serious", AND(H479&gt;$D$1*-1,H479&lt;$D$1,I479&gt;$D$1*-1,J479&lt;$D$1,G479/F479&gt;=3),"Very serious", AND(H479&gt;$D$1*-1,H479&lt;$D$1,OR(I479&lt;=$D$1*-1,J479&gt;=$D$1),I479&gt;$D$2*-1,J479&lt;$D$2,G479/F479&gt;=3),"Very serious", AND(H479&gt;$D$1*-1,H479&lt;$D$1,OR(I479&lt;=$D$2*-1,J479&gt;=$D$2),G479/F479&gt;=3),"Very serious")),"")</f>
        <v/>
      </c>
      <c r="R479" s="109" t="str">
        <f t="shared" si="47"/>
        <v/>
      </c>
      <c r="S479" s="64"/>
      <c r="T479" s="72"/>
      <c r="U479" s="72"/>
      <c r="V479" s="72"/>
      <c r="W479" s="73"/>
      <c r="X479" s="73"/>
      <c r="Y479" s="74"/>
      <c r="Z479" s="113" t="str">
        <f t="array" ref="Z479">INDEX($A$1:$C$500, MATCH(1,($B:$B=$B479)*($C:$C=$AB479),0),1)</f>
        <v/>
      </c>
      <c r="AA479" s="113" t="str">
        <f t="array" ref="AA479">INDEX($A$1:$C$500, MATCH(1,($B:$B=$AB479)*($C:$C=$B479),0),1)</f>
        <v/>
      </c>
      <c r="AB479" s="111"/>
      <c r="AC479" s="114" t="str">
        <f t="shared" si="2"/>
        <v/>
      </c>
      <c r="AD479" s="115" t="str">
        <f t="shared" si="3"/>
        <v/>
      </c>
      <c r="AE479" s="116" t="str">
        <f t="array" ref="AE479">INDEX($A$1:$C$500, MATCH(1,($B:$B=$AB479)*($C:$C=$AG479),0),1)</f>
        <v/>
      </c>
      <c r="AF479" s="116" t="str">
        <f t="array" ref="AF479">INDEX($A$1:$C$500, MATCH(1,($B:$B=$AG479)*($C:$C=$AB479),0),1)</f>
        <v/>
      </c>
      <c r="AG479" s="72"/>
      <c r="AH479" s="114" t="str">
        <f t="shared" si="4"/>
        <v/>
      </c>
      <c r="AI479" s="115" t="str">
        <f t="shared" si="5"/>
        <v/>
      </c>
      <c r="AJ479" s="116" t="str">
        <f t="array" ref="AJ479">INDEX($A$1:$C$500, MATCH(1,($B:$B=$C479)*($C:$C=$AG479),0),1)</f>
        <v/>
      </c>
      <c r="AK479" s="116" t="str">
        <f t="array" ref="AK479">INDEX($A$1:$C$500, MATCH(1,($B:$B=$AG479)*($C:$C=$C479),0),1)</f>
        <v/>
      </c>
      <c r="AL479" s="116" t="str">
        <f t="array" ref="AL479">INDEX($A$1:$C$500, MATCH(1,($B:$B=$C479)*($C:$C=$AB479),0),1)</f>
        <v/>
      </c>
      <c r="AM479" s="116" t="str">
        <f t="array" ref="AM479">INDEX($A$1:$C$500, MATCH(1,($B:$B=$AB479)*($C:$C=$C479),0),1)</f>
        <v/>
      </c>
      <c r="AN479" s="114" t="str">
        <f t="array" ref="AN479">IFS(ISNUMBER(AJ479),AJ479,ISNUMBER(AK479),AK479,ISNUMBER(AL479),AL479,ISNUMBER(AM479),AM479)</f>
        <v>#N/A</v>
      </c>
      <c r="AO479" s="115" t="str">
        <f t="shared" si="6"/>
        <v/>
      </c>
      <c r="AP479" s="115" t="str">
        <f t="shared" si="7"/>
        <v/>
      </c>
      <c r="AQ479" s="111"/>
      <c r="AR479" s="109" t="str">
        <f t="shared" si="8"/>
        <v/>
      </c>
      <c r="AS479" s="72" t="str">
        <f>IFERROR(IF(AND(Preferences!B$3="Manual",OR(AX479/AW479&gt;V479/U479,BD479="Serious",BD479="Very serious")),"Assess imprecision",IFERROR(IFS(AND(Preferences!B$3="Automatic",V479/U479&gt;=30),"Extremely serious",AND(W479&lt;=$D$1*-1,Y479&lt;0,V479/U479&lt;3),"Not Serious",AND(W479&lt;=$D$1*-1,Y479&lt;0,V479/U479&gt;=3),"Very serious",AND(W479&gt;=$D$1,X479&gt;0,V479/U479&lt;3),"Not Serious",AND(W479&gt;=$D$1,X479&gt;0,V479/U479&gt;=3),"Very serious",AND(W479&lt;=$D$1*-1,Y479&gt;0,X479&gt;$D$2*-1,V479/U479&lt;3),"Serious", AND(W479&lt;=$D$1*-1,Y479&gt;0,X479&lt;$D$2*-1,V479/U479&lt;3),"Very serious", AND(W479&gt;=$D$1,X479&lt;0,Y479&lt;$D$2,V479/U479&lt;3),"Serious",AND(W479&gt;=$D$1,X479&lt;0,Y479&gt;$D$2,V479/U479&lt;3),"Very serious", AND(W479&lt;=$D$1*-1,Y479&gt;0,X479&gt;$D$2*-1,V479/U479&gt;=3),"Very serious", AND(W479&lt;=$D$1*-1,Y479&gt;0,X479&lt;$D$2*-1,V479/U479&gt;=3),"Very serious", AND(W479&gt;=$D$1,X479&lt;0,Y479&lt;$D$2,V479/U479&gt;=3),"Very serious", AND(W479&gt;=$D$1,X479&lt;0,Y479&gt;$D$2,V479/U479&gt;=3),"Very serious", AND(W479&gt;$D$1*-1,W479&lt;$D$1,X479&gt;$D$1*-1,Y479&lt;$D$1,V479/U479&lt;3),"Not Serious", AND(W479&gt;$D$1*-1,W479&lt;$D$1,OR(X479&lt;=$D$1*-1,Y479&gt;=$D$1),X479&gt;$D$2*-1,Y479&lt;$D$2,V479/U479&lt;3),"Serious", AND(W479&gt;$D$1*-1,W479&lt;$D$1,OR(X479&lt;=$D$2*-1,Y479&gt;=$D$2),V479/U479&lt;3),"Very serious", AND(W479&gt;$D$1*-1,W479&lt;$D$1,X479&gt;$D$1*-1,Y479&lt;$D$1,V479/U479&gt;=3),"Very serious", AND(W479&gt;$D$1*-1,W479&lt;$D$1,OR(X479&lt;=$D$1*-1,Y479&gt;=$D$1),X479&gt;$D$2*-1,Y479&lt;$D$2,V479/U479&gt;=3),"Very serious", AND(W479&gt;$D$1*-1,W479&lt;$D$1,OR(X479&lt;=$D$2*-1,Y479&gt;=$D$2),V479/U479&gt;=3),"Very serious"),"")),"")</f>
        <v/>
      </c>
      <c r="AT479" s="109" t="str">
        <f t="shared" si="9"/>
        <v/>
      </c>
      <c r="AU479" s="64"/>
      <c r="AV479" s="83"/>
      <c r="AW479" s="83"/>
      <c r="AX479" s="83"/>
      <c r="AY479" s="83"/>
      <c r="AZ479" s="83"/>
      <c r="BA479" s="85"/>
      <c r="BB479" s="86" t="str">
        <f>IF(Preferences!B$9="Manual","",IFS(ISBLANK(B479),"",AND(ISNUMBER(E479)=TRUE,ISNUMBER(T479)=FALSE),"Direct", AND(ISNUMBER(E479)=FALSE,ISNUMBER(T479)=TRUE),"Indirect", CN479=4,"Direct",AND(CL479=FALSE, CM479=TRUE,CN479-CO479&gt;-1),"Direct", AND(CL479=FALSE,CM479=TRUE, CN479-CO479&lt;0),"Check algorithm in appendix 2", AND(CL479=TRUE, CM479=FALSE,CN479-CO479&gt;0),"Check algorithm in appendix 2", AND(CL479=TRUE, CM479=FALSE,CN479-CO479=0),"Indirect", AND(CL479=TRUE, CM479=FALSE,CN479-CO479&lt;0),"Indirect", AND(CL479=FALSE,CM479=FALSE,CN479-CO479&gt;-1),"Direct", AND(CL479=FALSE,CM479=FALSE,CN479-CO479&lt;0),"Check algorithm in appendix 2", AND(CL479=TRUE,CM479=TRUE,CN479-CO479&gt;-1),"Direct", AND(CL479=TRUE,CM479=TRUE,CN479-CO479&lt;0),"Check algorithm in appendix 2"))</f>
        <v/>
      </c>
      <c r="BC479" s="120" t="str">
        <f t="shared" si="10"/>
        <v/>
      </c>
      <c r="BD479" s="140"/>
      <c r="BE479" s="122" t="str">
        <f>IF(Preferences!B$3="Manual","", IFERROR(IFS(AND(Preferences!B$3="Automatic",AX479/AW479&gt;=30),"Extremely serious",AND(AY479&lt;=$D$1*-1,BA479&lt;0,AX479/AW479&lt;3),"Not Serious",AND(AY479&lt;=$D$1*-1,BA479&lt;0,AX479/AW479&gt;=3),"Very serious",AND(AY479&gt;=$D$1,AZ479&gt;0,AX479/AW479&lt;3),"Not Serious",AND(AY479&gt;=$D$1,AZ479&gt;0,AX479/AW479&gt;=3),"Very serious",AND(AY479&lt;=$D$1*-1,BA479&gt;0,AZ479&gt;$D$2*-1,AX479/AW479&lt;3),"Serious", AND(AY479&lt;=$D$1*-1,BA479&gt;0,AZ479&lt;$D$2*-1,AX479/AW479&lt;3),"Very serious", AND(AY479&gt;=$D$1,AZ479&lt;0,BA479&lt;$D$2,AX479/AW479&lt;3),"Serious",AND(AY479&gt;=$D$1,AZ479&lt;0,BA479&gt;$D$2,AX479/AW479&lt;3),"Very serious", AND(AY479&lt;=$D$1*-1,BA479&gt;0,AZ479&gt;$D$2*-1,AX479/AW479&gt;=3),"Very serious", AND(AY479&lt;=$D$1*-1,BA479&gt;0,AZ479&lt;$D$2*-1,AX479/AW479&gt;=3),"Very serious", AND(AY479&gt;=$D$1,AZ479&lt;0,BA479&lt;$D$2,AX479/AW479&gt;=3),"Very serious", AND(AY479&gt;=$D$1,AZ479&lt;0,BA479&gt;$D$2,AX479/AW479&gt;=3),"Very serious", AND(AY479&gt;$D$1*-1,AY479&lt;$D$1,AZ479&gt;$D$1*-1,BA479&lt;$D$1,AX479/AW479&lt;3),"Not Serious", AND(AY479&gt;$D$1*-1,AY479&lt;$D$1,OR(AZ479&lt;=$D$1*-1,BA479&gt;=$D$1),AZ479&gt;$D$2*-1,BA479&lt;$D$2,AX479/AW479&lt;3),"Serious", AND(AY479&gt;$D$1*-1,AY479&lt;$D$1,OR(AZ479&lt;=$D$2*-1,BA479&gt;=$D$2),AX479/AW479&lt;3),"Very serious", AND(AY479&gt;$D$1*-1,AY479&lt;$D$1,AZ479&gt;$D$1*-1,BA479&lt;$D$1,AX479/AW479&gt;=3),"Very serious", AND(AY479&gt;$D$1*-1,AY479&lt;$D$1,OR(AZ479&lt;=$D$1*-1,BA479&gt;=$D$1),AZ479&gt;$D$2*-1,BA479&lt;$D$2,AX479/AW479&gt;=3),"Very serious", AND(AY479&gt;$D$1*-1,AY479&lt;$D$1,OR(AZ479&lt;=$D$2*-1,BA479&gt;=$D$2),AX479/AW479&gt;=3),"Very serious"),""))</f>
        <v/>
      </c>
      <c r="BF479" s="107" t="str">
        <f t="shared" si="11"/>
        <v/>
      </c>
      <c r="BG479" s="94" t="str">
        <f t="shared" si="46"/>
        <v/>
      </c>
      <c r="BH479" s="64" t="str">
        <f t="shared" si="12"/>
        <v>#N/A</v>
      </c>
      <c r="BI479" s="64" t="str">
        <f t="shared" si="13"/>
        <v/>
      </c>
      <c r="BJ479" s="123" t="str">
        <f t="shared" si="14"/>
        <v>#N/A</v>
      </c>
      <c r="BK479" s="64" t="str">
        <f t="shared" si="50"/>
        <v>YES</v>
      </c>
      <c r="BL479" s="64" t="str">
        <f t="shared" si="16"/>
        <v>YES</v>
      </c>
      <c r="BM479" s="64" t="str">
        <f t="shared" si="17"/>
        <v>YES</v>
      </c>
      <c r="BN479" s="124" t="str">
        <f t="shared" si="18"/>
        <v/>
      </c>
      <c r="BO479" s="91" t="str">
        <f t="shared" si="19"/>
        <v/>
      </c>
      <c r="BP479" s="91" t="str">
        <f t="shared" si="20"/>
        <v>#N/A</v>
      </c>
      <c r="BQ479" s="91" t="str">
        <f t="shared" si="21"/>
        <v/>
      </c>
      <c r="BR479" s="93" t="str">
        <f t="shared" si="22"/>
        <v/>
      </c>
      <c r="BS479" s="90" t="str">
        <f t="shared" si="23"/>
        <v/>
      </c>
      <c r="BT479" s="93" t="str">
        <f t="shared" si="24"/>
        <v>NA</v>
      </c>
      <c r="BU479" s="125" t="str">
        <f t="shared" si="25"/>
        <v>#N/A</v>
      </c>
      <c r="BV479" s="93" t="str">
        <f t="shared" si="26"/>
        <v/>
      </c>
      <c r="BW479" s="93" t="str">
        <f t="shared" si="27"/>
        <v/>
      </c>
      <c r="BX479" s="93" t="str">
        <f t="shared" si="28"/>
        <v>NA</v>
      </c>
      <c r="BY479" s="95" t="str">
        <f t="shared" si="29"/>
        <v>#N/A</v>
      </c>
      <c r="BZ479" s="93" t="str">
        <f t="shared" si="30"/>
        <v/>
      </c>
      <c r="CA479" s="93" t="str">
        <f t="shared" si="31"/>
        <v/>
      </c>
      <c r="CB479" s="93" t="str">
        <f t="shared" si="32"/>
        <v>NA</v>
      </c>
      <c r="CC479" s="96" t="str">
        <f t="shared" si="33"/>
        <v>#N/A</v>
      </c>
      <c r="CD479" s="93" t="str">
        <f t="shared" si="34"/>
        <v/>
      </c>
      <c r="CE479" s="93" t="str">
        <f t="shared" si="35"/>
        <v/>
      </c>
      <c r="CF479" s="93" t="str">
        <f t="shared" si="36"/>
        <v>NA</v>
      </c>
      <c r="CG479" s="97" t="str">
        <f t="shared" si="37"/>
        <v>#N/A</v>
      </c>
      <c r="CH479" s="98" t="str">
        <f t="shared" si="38"/>
        <v>#N/A</v>
      </c>
      <c r="CI479" s="99" t="str">
        <f t="shared" si="39"/>
        <v>#N/A</v>
      </c>
      <c r="CJ479" s="126" t="str">
        <f t="shared" si="40"/>
        <v>ERROR: check cell</v>
      </c>
      <c r="CK479" s="126"/>
      <c r="CL479" s="127" t="str">
        <f t="shared" si="41"/>
        <v>#DIV/0!</v>
      </c>
      <c r="CM479" s="128" t="str">
        <f t="shared" si="42"/>
        <v>#DIV/0!</v>
      </c>
      <c r="CN479" s="128">
        <f t="shared" si="43"/>
        <v>4</v>
      </c>
      <c r="CO479" s="129">
        <f t="shared" si="44"/>
        <v>4</v>
      </c>
      <c r="CP479" s="129" t="str">
        <f>IFS(C479=Preferences!B$13,B479,B479=Preferences!B$13,C479)</f>
        <v>#N/A</v>
      </c>
    </row>
    <row r="480" ht="13.5" customHeight="1">
      <c r="A480" s="63" t="str">
        <f t="shared" si="45"/>
        <v/>
      </c>
      <c r="B480" s="64"/>
      <c r="C480" s="64"/>
      <c r="D480" s="64"/>
      <c r="E480" s="65"/>
      <c r="F480" s="65"/>
      <c r="G480" s="65"/>
      <c r="H480" s="66"/>
      <c r="I480" s="66"/>
      <c r="J480" s="67"/>
      <c r="K480" s="68"/>
      <c r="L480" s="104"/>
      <c r="M480" s="104"/>
      <c r="N480" s="104"/>
      <c r="O480" s="104"/>
      <c r="P480" s="107" t="str">
        <f t="shared" si="1"/>
        <v/>
      </c>
      <c r="Q480" s="108" t="str">
        <f>IFERROR(IF(AND(Preferences!B$3="Manual",OR(AX480/AW480&gt;G480/F480,BD480="Serious",BD480="Very serious")),"Assess imprecision",IFS(ISBLANK(E480),"",AND(Preferences!B$3="Automatic", G480/F480&gt;=30),"Extremely serious",AND(H480&lt;=$D$1*-1,J480&lt;0,G480/F480&lt;3),"Not serious",AND(H480&lt;=$D$1*-1,J480&lt;0,G480/F480&gt;=3),"Very serious",AND(H480&gt;=$D$1,I480&gt;0,G480/F480&lt;3),"Not serious",AND(H480&gt;=$D$1,I480&gt;0,G480/F480&gt;=3),"Very serious",AND(H480&lt;=$D$1*-1,J480&gt;0,I480&gt;$D$2*-1,G480/F480&lt;3),"Serious", AND(H480&lt;=$D$1*-1,J480&gt;0,I480&lt;$D$2*-1,G480/F480&lt;3),"Very serious", AND(H480&gt;=$D$1,I480&lt;0,J480&lt;$D$2,G480/F480&lt;3),"Serious",AND(H480&gt;=$D$1,I480&lt;0,J480&gt;$D$2,G480/F480&lt;3),"Very serious", AND(H480&lt;=$D$1*-1,J480&gt;0,I480&gt;$D$2*-1,G480/F480&gt;=3),"Very serious", AND(H480&lt;=$D$1*-1,J480&gt;0,I480&lt;$D$2*-1,G480/F480&gt;=3),"Very serious", AND(H480&gt;=$D$1,I480&lt;0,J480&lt;$D$2,G480/F480&gt;=3),"Very serious", AND(H480&gt;=$D$1,I480&lt;0,J480&gt;$D$2,G480/F480&gt;=3),"Very serious", AND(H480&gt;$D$1*-1,H480&lt;$D$1,I480&gt;$D$1*-1,J480&lt;$D$1,G480/F480&lt;3),"Not serious", AND(H480&gt;$D$1*-1,H480&lt;$D$1,OR(I480&lt;=$D$1*-1,J480&gt;=$D$1),I480&gt;$D$2*-1,J480&lt;$D$2,G480/F480&lt;3),"Serious", AND(H480&gt;$D$1*-1,H480&lt;$D$1,OR(I480&lt;=$D$2*-1,J480&gt;=$D$2),G480/F480&lt;3),"Very serious", AND(H480&gt;$D$1*-1,H480&lt;$D$1,I480&gt;$D$1*-1,J480&lt;$D$1,G480/F480&gt;=3),"Very serious", AND(H480&gt;$D$1*-1,H480&lt;$D$1,OR(I480&lt;=$D$1*-1,J480&gt;=$D$1),I480&gt;$D$2*-1,J480&lt;$D$2,G480/F480&gt;=3),"Very serious", AND(H480&gt;$D$1*-1,H480&lt;$D$1,OR(I480&lt;=$D$2*-1,J480&gt;=$D$2),G480/F480&gt;=3),"Very serious")),"")</f>
        <v/>
      </c>
      <c r="R480" s="109" t="str">
        <f t="shared" si="47"/>
        <v/>
      </c>
      <c r="S480" s="64"/>
      <c r="T480" s="72"/>
      <c r="U480" s="72"/>
      <c r="V480" s="72"/>
      <c r="W480" s="73"/>
      <c r="X480" s="73"/>
      <c r="Y480" s="74"/>
      <c r="Z480" s="113" t="str">
        <f t="array" ref="Z480">INDEX($A$1:$C$500, MATCH(1,($B:$B=$B480)*($C:$C=$AB480),0),1)</f>
        <v/>
      </c>
      <c r="AA480" s="113" t="str">
        <f t="array" ref="AA480">INDEX($A$1:$C$500, MATCH(1,($B:$B=$AB480)*($C:$C=$B480),0),1)</f>
        <v/>
      </c>
      <c r="AB480" s="111"/>
      <c r="AC480" s="114" t="str">
        <f t="shared" si="2"/>
        <v/>
      </c>
      <c r="AD480" s="115" t="str">
        <f t="shared" si="3"/>
        <v/>
      </c>
      <c r="AE480" s="116" t="str">
        <f t="array" ref="AE480">INDEX($A$1:$C$500, MATCH(1,($B:$B=$AB480)*($C:$C=$AG480),0),1)</f>
        <v/>
      </c>
      <c r="AF480" s="116" t="str">
        <f t="array" ref="AF480">INDEX($A$1:$C$500, MATCH(1,($B:$B=$AG480)*($C:$C=$AB480),0),1)</f>
        <v/>
      </c>
      <c r="AG480" s="72"/>
      <c r="AH480" s="114" t="str">
        <f t="shared" si="4"/>
        <v/>
      </c>
      <c r="AI480" s="115" t="str">
        <f t="shared" si="5"/>
        <v/>
      </c>
      <c r="AJ480" s="116" t="str">
        <f t="array" ref="AJ480">INDEX($A$1:$C$500, MATCH(1,($B:$B=$C480)*($C:$C=$AG480),0),1)</f>
        <v/>
      </c>
      <c r="AK480" s="116" t="str">
        <f t="array" ref="AK480">INDEX($A$1:$C$500, MATCH(1,($B:$B=$AG480)*($C:$C=$C480),0),1)</f>
        <v/>
      </c>
      <c r="AL480" s="116" t="str">
        <f t="array" ref="AL480">INDEX($A$1:$C$500, MATCH(1,($B:$B=$C480)*($C:$C=$AB480),0),1)</f>
        <v/>
      </c>
      <c r="AM480" s="116" t="str">
        <f t="array" ref="AM480">INDEX($A$1:$C$500, MATCH(1,($B:$B=$AB480)*($C:$C=$C480),0),1)</f>
        <v/>
      </c>
      <c r="AN480" s="114" t="str">
        <f t="array" ref="AN480">IFS(ISNUMBER(AJ480),AJ480,ISNUMBER(AK480),AK480,ISNUMBER(AL480),AL480,ISNUMBER(AM480),AM480)</f>
        <v>#N/A</v>
      </c>
      <c r="AO480" s="115" t="str">
        <f t="shared" si="6"/>
        <v/>
      </c>
      <c r="AP480" s="115" t="str">
        <f t="shared" si="7"/>
        <v/>
      </c>
      <c r="AQ480" s="111"/>
      <c r="AR480" s="109" t="str">
        <f t="shared" si="8"/>
        <v/>
      </c>
      <c r="AS480" s="72" t="str">
        <f>IFERROR(IF(AND(Preferences!B$3="Manual",OR(AX480/AW480&gt;V480/U480,BD480="Serious",BD480="Very serious")),"Assess imprecision",IFERROR(IFS(AND(Preferences!B$3="Automatic",V480/U480&gt;=30),"Extremely serious",AND(W480&lt;=$D$1*-1,Y480&lt;0,V480/U480&lt;3),"Not Serious",AND(W480&lt;=$D$1*-1,Y480&lt;0,V480/U480&gt;=3),"Very serious",AND(W480&gt;=$D$1,X480&gt;0,V480/U480&lt;3),"Not Serious",AND(W480&gt;=$D$1,X480&gt;0,V480/U480&gt;=3),"Very serious",AND(W480&lt;=$D$1*-1,Y480&gt;0,X480&gt;$D$2*-1,V480/U480&lt;3),"Serious", AND(W480&lt;=$D$1*-1,Y480&gt;0,X480&lt;$D$2*-1,V480/U480&lt;3),"Very serious", AND(W480&gt;=$D$1,X480&lt;0,Y480&lt;$D$2,V480/U480&lt;3),"Serious",AND(W480&gt;=$D$1,X480&lt;0,Y480&gt;$D$2,V480/U480&lt;3),"Very serious", AND(W480&lt;=$D$1*-1,Y480&gt;0,X480&gt;$D$2*-1,V480/U480&gt;=3),"Very serious", AND(W480&lt;=$D$1*-1,Y480&gt;0,X480&lt;$D$2*-1,V480/U480&gt;=3),"Very serious", AND(W480&gt;=$D$1,X480&lt;0,Y480&lt;$D$2,V480/U480&gt;=3),"Very serious", AND(W480&gt;=$D$1,X480&lt;0,Y480&gt;$D$2,V480/U480&gt;=3),"Very serious", AND(W480&gt;$D$1*-1,W480&lt;$D$1,X480&gt;$D$1*-1,Y480&lt;$D$1,V480/U480&lt;3),"Not Serious", AND(W480&gt;$D$1*-1,W480&lt;$D$1,OR(X480&lt;=$D$1*-1,Y480&gt;=$D$1),X480&gt;$D$2*-1,Y480&lt;$D$2,V480/U480&lt;3),"Serious", AND(W480&gt;$D$1*-1,W480&lt;$D$1,OR(X480&lt;=$D$2*-1,Y480&gt;=$D$2),V480/U480&lt;3),"Very serious", AND(W480&gt;$D$1*-1,W480&lt;$D$1,X480&gt;$D$1*-1,Y480&lt;$D$1,V480/U480&gt;=3),"Very serious", AND(W480&gt;$D$1*-1,W480&lt;$D$1,OR(X480&lt;=$D$1*-1,Y480&gt;=$D$1),X480&gt;$D$2*-1,Y480&lt;$D$2,V480/U480&gt;=3),"Very serious", AND(W480&gt;$D$1*-1,W480&lt;$D$1,OR(X480&lt;=$D$2*-1,Y480&gt;=$D$2),V480/U480&gt;=3),"Very serious"),"")),"")</f>
        <v/>
      </c>
      <c r="AT480" s="109" t="str">
        <f t="shared" si="9"/>
        <v/>
      </c>
      <c r="AU480" s="64"/>
      <c r="AV480" s="83"/>
      <c r="AW480" s="83"/>
      <c r="AX480" s="83"/>
      <c r="AY480" s="83"/>
      <c r="AZ480" s="83"/>
      <c r="BA480" s="85"/>
      <c r="BB480" s="86" t="str">
        <f>IF(Preferences!B$9="Manual","",IFS(ISBLANK(B480),"",AND(ISNUMBER(E480)=TRUE,ISNUMBER(T480)=FALSE),"Direct", AND(ISNUMBER(E480)=FALSE,ISNUMBER(T480)=TRUE),"Indirect", CN480=4,"Direct",AND(CL480=FALSE, CM480=TRUE,CN480-CO480&gt;-1),"Direct", AND(CL480=FALSE,CM480=TRUE, CN480-CO480&lt;0),"Check algorithm in appendix 2", AND(CL480=TRUE, CM480=FALSE,CN480-CO480&gt;0),"Check algorithm in appendix 2", AND(CL480=TRUE, CM480=FALSE,CN480-CO480=0),"Indirect", AND(CL480=TRUE, CM480=FALSE,CN480-CO480&lt;0),"Indirect", AND(CL480=FALSE,CM480=FALSE,CN480-CO480&gt;-1),"Direct", AND(CL480=FALSE,CM480=FALSE,CN480-CO480&lt;0),"Check algorithm in appendix 2", AND(CL480=TRUE,CM480=TRUE,CN480-CO480&gt;-1),"Direct", AND(CL480=TRUE,CM480=TRUE,CN480-CO480&lt;0),"Check algorithm in appendix 2"))</f>
        <v/>
      </c>
      <c r="BC480" s="120" t="str">
        <f t="shared" si="10"/>
        <v/>
      </c>
      <c r="BD480" s="140"/>
      <c r="BE480" s="122" t="str">
        <f>IF(Preferences!B$3="Manual","", IFERROR(IFS(AND(Preferences!B$3="Automatic",AX480/AW480&gt;=30),"Extremely serious",AND(AY480&lt;=$D$1*-1,BA480&lt;0,AX480/AW480&lt;3),"Not Serious",AND(AY480&lt;=$D$1*-1,BA480&lt;0,AX480/AW480&gt;=3),"Very serious",AND(AY480&gt;=$D$1,AZ480&gt;0,AX480/AW480&lt;3),"Not Serious",AND(AY480&gt;=$D$1,AZ480&gt;0,AX480/AW480&gt;=3),"Very serious",AND(AY480&lt;=$D$1*-1,BA480&gt;0,AZ480&gt;$D$2*-1,AX480/AW480&lt;3),"Serious", AND(AY480&lt;=$D$1*-1,BA480&gt;0,AZ480&lt;$D$2*-1,AX480/AW480&lt;3),"Very serious", AND(AY480&gt;=$D$1,AZ480&lt;0,BA480&lt;$D$2,AX480/AW480&lt;3),"Serious",AND(AY480&gt;=$D$1,AZ480&lt;0,BA480&gt;$D$2,AX480/AW480&lt;3),"Very serious", AND(AY480&lt;=$D$1*-1,BA480&gt;0,AZ480&gt;$D$2*-1,AX480/AW480&gt;=3),"Very serious", AND(AY480&lt;=$D$1*-1,BA480&gt;0,AZ480&lt;$D$2*-1,AX480/AW480&gt;=3),"Very serious", AND(AY480&gt;=$D$1,AZ480&lt;0,BA480&lt;$D$2,AX480/AW480&gt;=3),"Very serious", AND(AY480&gt;=$D$1,AZ480&lt;0,BA480&gt;$D$2,AX480/AW480&gt;=3),"Very serious", AND(AY480&gt;$D$1*-1,AY480&lt;$D$1,AZ480&gt;$D$1*-1,BA480&lt;$D$1,AX480/AW480&lt;3),"Not Serious", AND(AY480&gt;$D$1*-1,AY480&lt;$D$1,OR(AZ480&lt;=$D$1*-1,BA480&gt;=$D$1),AZ480&gt;$D$2*-1,BA480&lt;$D$2,AX480/AW480&lt;3),"Serious", AND(AY480&gt;$D$1*-1,AY480&lt;$D$1,OR(AZ480&lt;=$D$2*-1,BA480&gt;=$D$2),AX480/AW480&lt;3),"Very serious", AND(AY480&gt;$D$1*-1,AY480&lt;$D$1,AZ480&gt;$D$1*-1,BA480&lt;$D$1,AX480/AW480&gt;=3),"Very serious", AND(AY480&gt;$D$1*-1,AY480&lt;$D$1,OR(AZ480&lt;=$D$1*-1,BA480&gt;=$D$1),AZ480&gt;$D$2*-1,BA480&lt;$D$2,AX480/AW480&gt;=3),"Very serious", AND(AY480&gt;$D$1*-1,AY480&lt;$D$1,OR(AZ480&lt;=$D$2*-1,BA480&gt;=$D$2),AX480/AW480&gt;=3),"Very serious"),""))</f>
        <v/>
      </c>
      <c r="BF480" s="107" t="str">
        <f t="shared" si="11"/>
        <v/>
      </c>
      <c r="BG480" s="94" t="str">
        <f t="shared" si="46"/>
        <v/>
      </c>
      <c r="BH480" s="64" t="str">
        <f t="shared" si="12"/>
        <v>#N/A</v>
      </c>
      <c r="BI480" s="64" t="str">
        <f t="shared" si="13"/>
        <v/>
      </c>
      <c r="BJ480" s="123" t="str">
        <f t="shared" si="14"/>
        <v>#N/A</v>
      </c>
      <c r="BK480" s="64" t="str">
        <f t="shared" si="50"/>
        <v>YES</v>
      </c>
      <c r="BL480" s="64" t="str">
        <f t="shared" si="16"/>
        <v>YES</v>
      </c>
      <c r="BM480" s="64" t="str">
        <f t="shared" si="17"/>
        <v>YES</v>
      </c>
      <c r="BN480" s="124" t="str">
        <f t="shared" si="18"/>
        <v/>
      </c>
      <c r="BO480" s="91" t="str">
        <f t="shared" si="19"/>
        <v/>
      </c>
      <c r="BP480" s="91" t="str">
        <f t="shared" si="20"/>
        <v>#N/A</v>
      </c>
      <c r="BQ480" s="91" t="str">
        <f t="shared" si="21"/>
        <v/>
      </c>
      <c r="BR480" s="93" t="str">
        <f t="shared" si="22"/>
        <v/>
      </c>
      <c r="BS480" s="90" t="str">
        <f t="shared" si="23"/>
        <v/>
      </c>
      <c r="BT480" s="93" t="str">
        <f t="shared" si="24"/>
        <v>NA</v>
      </c>
      <c r="BU480" s="125" t="str">
        <f t="shared" si="25"/>
        <v>#N/A</v>
      </c>
      <c r="BV480" s="93" t="str">
        <f t="shared" si="26"/>
        <v/>
      </c>
      <c r="BW480" s="93" t="str">
        <f t="shared" si="27"/>
        <v/>
      </c>
      <c r="BX480" s="93" t="str">
        <f t="shared" si="28"/>
        <v>NA</v>
      </c>
      <c r="BY480" s="95" t="str">
        <f t="shared" si="29"/>
        <v>#N/A</v>
      </c>
      <c r="BZ480" s="93" t="str">
        <f t="shared" si="30"/>
        <v/>
      </c>
      <c r="CA480" s="93" t="str">
        <f t="shared" si="31"/>
        <v/>
      </c>
      <c r="CB480" s="93" t="str">
        <f t="shared" si="32"/>
        <v>NA</v>
      </c>
      <c r="CC480" s="96" t="str">
        <f t="shared" si="33"/>
        <v>#N/A</v>
      </c>
      <c r="CD480" s="93" t="str">
        <f t="shared" si="34"/>
        <v/>
      </c>
      <c r="CE480" s="93" t="str">
        <f t="shared" si="35"/>
        <v/>
      </c>
      <c r="CF480" s="93" t="str">
        <f t="shared" si="36"/>
        <v>NA</v>
      </c>
      <c r="CG480" s="97" t="str">
        <f t="shared" si="37"/>
        <v>#N/A</v>
      </c>
      <c r="CH480" s="98" t="str">
        <f t="shared" si="38"/>
        <v>#N/A</v>
      </c>
      <c r="CI480" s="99" t="str">
        <f t="shared" si="39"/>
        <v>#N/A</v>
      </c>
      <c r="CJ480" s="126" t="str">
        <f t="shared" si="40"/>
        <v>ERROR: check cell</v>
      </c>
      <c r="CK480" s="126"/>
      <c r="CL480" s="127" t="str">
        <f t="shared" si="41"/>
        <v>#DIV/0!</v>
      </c>
      <c r="CM480" s="128" t="str">
        <f t="shared" si="42"/>
        <v>#DIV/0!</v>
      </c>
      <c r="CN480" s="128">
        <f t="shared" si="43"/>
        <v>4</v>
      </c>
      <c r="CO480" s="129">
        <f t="shared" si="44"/>
        <v>4</v>
      </c>
      <c r="CP480" s="129" t="str">
        <f>IFS(C480=Preferences!B$13,B480,B480=Preferences!B$13,C480)</f>
        <v>#N/A</v>
      </c>
    </row>
    <row r="481" ht="13.5" customHeight="1">
      <c r="A481" s="63" t="str">
        <f t="shared" si="45"/>
        <v/>
      </c>
      <c r="B481" s="64"/>
      <c r="C481" s="64"/>
      <c r="D481" s="64"/>
      <c r="E481" s="65"/>
      <c r="F481" s="65"/>
      <c r="G481" s="65"/>
      <c r="H481" s="66"/>
      <c r="I481" s="66"/>
      <c r="J481" s="67"/>
      <c r="K481" s="68"/>
      <c r="L481" s="104"/>
      <c r="M481" s="104"/>
      <c r="N481" s="104"/>
      <c r="O481" s="104"/>
      <c r="P481" s="107" t="str">
        <f t="shared" si="1"/>
        <v/>
      </c>
      <c r="Q481" s="108" t="str">
        <f>IFERROR(IF(AND(Preferences!B$3="Manual",OR(AX481/AW481&gt;G481/F481,BD481="Serious",BD481="Very serious")),"Assess imprecision",IFS(ISBLANK(E481),"",AND(Preferences!B$3="Automatic", G481/F481&gt;=30),"Extremely serious",AND(H481&lt;=$D$1*-1,J481&lt;0,G481/F481&lt;3),"Not serious",AND(H481&lt;=$D$1*-1,J481&lt;0,G481/F481&gt;=3),"Very serious",AND(H481&gt;=$D$1,I481&gt;0,G481/F481&lt;3),"Not serious",AND(H481&gt;=$D$1,I481&gt;0,G481/F481&gt;=3),"Very serious",AND(H481&lt;=$D$1*-1,J481&gt;0,I481&gt;$D$2*-1,G481/F481&lt;3),"Serious", AND(H481&lt;=$D$1*-1,J481&gt;0,I481&lt;$D$2*-1,G481/F481&lt;3),"Very serious", AND(H481&gt;=$D$1,I481&lt;0,J481&lt;$D$2,G481/F481&lt;3),"Serious",AND(H481&gt;=$D$1,I481&lt;0,J481&gt;$D$2,G481/F481&lt;3),"Very serious", AND(H481&lt;=$D$1*-1,J481&gt;0,I481&gt;$D$2*-1,G481/F481&gt;=3),"Very serious", AND(H481&lt;=$D$1*-1,J481&gt;0,I481&lt;$D$2*-1,G481/F481&gt;=3),"Very serious", AND(H481&gt;=$D$1,I481&lt;0,J481&lt;$D$2,G481/F481&gt;=3),"Very serious", AND(H481&gt;=$D$1,I481&lt;0,J481&gt;$D$2,G481/F481&gt;=3),"Very serious", AND(H481&gt;$D$1*-1,H481&lt;$D$1,I481&gt;$D$1*-1,J481&lt;$D$1,G481/F481&lt;3),"Not serious", AND(H481&gt;$D$1*-1,H481&lt;$D$1,OR(I481&lt;=$D$1*-1,J481&gt;=$D$1),I481&gt;$D$2*-1,J481&lt;$D$2,G481/F481&lt;3),"Serious", AND(H481&gt;$D$1*-1,H481&lt;$D$1,OR(I481&lt;=$D$2*-1,J481&gt;=$D$2),G481/F481&lt;3),"Very serious", AND(H481&gt;$D$1*-1,H481&lt;$D$1,I481&gt;$D$1*-1,J481&lt;$D$1,G481/F481&gt;=3),"Very serious", AND(H481&gt;$D$1*-1,H481&lt;$D$1,OR(I481&lt;=$D$1*-1,J481&gt;=$D$1),I481&gt;$D$2*-1,J481&lt;$D$2,G481/F481&gt;=3),"Very serious", AND(H481&gt;$D$1*-1,H481&lt;$D$1,OR(I481&lt;=$D$2*-1,J481&gt;=$D$2),G481/F481&gt;=3),"Very serious")),"")</f>
        <v/>
      </c>
      <c r="R481" s="109" t="str">
        <f t="shared" si="47"/>
        <v/>
      </c>
      <c r="S481" s="64"/>
      <c r="T481" s="72"/>
      <c r="U481" s="72"/>
      <c r="V481" s="72"/>
      <c r="W481" s="73"/>
      <c r="X481" s="73"/>
      <c r="Y481" s="74"/>
      <c r="Z481" s="113" t="str">
        <f t="array" ref="Z481">INDEX($A$1:$C$500, MATCH(1,($B:$B=$B481)*($C:$C=$AB481),0),1)</f>
        <v/>
      </c>
      <c r="AA481" s="113" t="str">
        <f t="array" ref="AA481">INDEX($A$1:$C$500, MATCH(1,($B:$B=$AB481)*($C:$C=$B481),0),1)</f>
        <v/>
      </c>
      <c r="AB481" s="111"/>
      <c r="AC481" s="114" t="str">
        <f t="shared" si="2"/>
        <v/>
      </c>
      <c r="AD481" s="115" t="str">
        <f t="shared" si="3"/>
        <v/>
      </c>
      <c r="AE481" s="116" t="str">
        <f t="array" ref="AE481">INDEX($A$1:$C$500, MATCH(1,($B:$B=$AB481)*($C:$C=$AG481),0),1)</f>
        <v/>
      </c>
      <c r="AF481" s="116" t="str">
        <f t="array" ref="AF481">INDEX($A$1:$C$500, MATCH(1,($B:$B=$AG481)*($C:$C=$AB481),0),1)</f>
        <v/>
      </c>
      <c r="AG481" s="72"/>
      <c r="AH481" s="114" t="str">
        <f t="shared" si="4"/>
        <v/>
      </c>
      <c r="AI481" s="115" t="str">
        <f t="shared" si="5"/>
        <v/>
      </c>
      <c r="AJ481" s="116" t="str">
        <f t="array" ref="AJ481">INDEX($A$1:$C$500, MATCH(1,($B:$B=$C481)*($C:$C=$AG481),0),1)</f>
        <v/>
      </c>
      <c r="AK481" s="116" t="str">
        <f t="array" ref="AK481">INDEX($A$1:$C$500, MATCH(1,($B:$B=$AG481)*($C:$C=$C481),0),1)</f>
        <v/>
      </c>
      <c r="AL481" s="116" t="str">
        <f t="array" ref="AL481">INDEX($A$1:$C$500, MATCH(1,($B:$B=$C481)*($C:$C=$AB481),0),1)</f>
        <v/>
      </c>
      <c r="AM481" s="116" t="str">
        <f t="array" ref="AM481">INDEX($A$1:$C$500, MATCH(1,($B:$B=$AB481)*($C:$C=$C481),0),1)</f>
        <v/>
      </c>
      <c r="AN481" s="114" t="str">
        <f t="array" ref="AN481">IFS(ISNUMBER(AJ481),AJ481,ISNUMBER(AK481),AK481,ISNUMBER(AL481),AL481,ISNUMBER(AM481),AM481)</f>
        <v>#N/A</v>
      </c>
      <c r="AO481" s="115" t="str">
        <f t="shared" si="6"/>
        <v/>
      </c>
      <c r="AP481" s="115" t="str">
        <f t="shared" si="7"/>
        <v/>
      </c>
      <c r="AQ481" s="111"/>
      <c r="AR481" s="109" t="str">
        <f t="shared" si="8"/>
        <v/>
      </c>
      <c r="AS481" s="72" t="str">
        <f>IFERROR(IF(AND(Preferences!B$3="Manual",OR(AX481/AW481&gt;V481/U481,BD481="Serious",BD481="Very serious")),"Assess imprecision",IFERROR(IFS(AND(Preferences!B$3="Automatic",V481/U481&gt;=30),"Extremely serious",AND(W481&lt;=$D$1*-1,Y481&lt;0,V481/U481&lt;3),"Not Serious",AND(W481&lt;=$D$1*-1,Y481&lt;0,V481/U481&gt;=3),"Very serious",AND(W481&gt;=$D$1,X481&gt;0,V481/U481&lt;3),"Not Serious",AND(W481&gt;=$D$1,X481&gt;0,V481/U481&gt;=3),"Very serious",AND(W481&lt;=$D$1*-1,Y481&gt;0,X481&gt;$D$2*-1,V481/U481&lt;3),"Serious", AND(W481&lt;=$D$1*-1,Y481&gt;0,X481&lt;$D$2*-1,V481/U481&lt;3),"Very serious", AND(W481&gt;=$D$1,X481&lt;0,Y481&lt;$D$2,V481/U481&lt;3),"Serious",AND(W481&gt;=$D$1,X481&lt;0,Y481&gt;$D$2,V481/U481&lt;3),"Very serious", AND(W481&lt;=$D$1*-1,Y481&gt;0,X481&gt;$D$2*-1,V481/U481&gt;=3),"Very serious", AND(W481&lt;=$D$1*-1,Y481&gt;0,X481&lt;$D$2*-1,V481/U481&gt;=3),"Very serious", AND(W481&gt;=$D$1,X481&lt;0,Y481&lt;$D$2,V481/U481&gt;=3),"Very serious", AND(W481&gt;=$D$1,X481&lt;0,Y481&gt;$D$2,V481/U481&gt;=3),"Very serious", AND(W481&gt;$D$1*-1,W481&lt;$D$1,X481&gt;$D$1*-1,Y481&lt;$D$1,V481/U481&lt;3),"Not Serious", AND(W481&gt;$D$1*-1,W481&lt;$D$1,OR(X481&lt;=$D$1*-1,Y481&gt;=$D$1),X481&gt;$D$2*-1,Y481&lt;$D$2,V481/U481&lt;3),"Serious", AND(W481&gt;$D$1*-1,W481&lt;$D$1,OR(X481&lt;=$D$2*-1,Y481&gt;=$D$2),V481/U481&lt;3),"Very serious", AND(W481&gt;$D$1*-1,W481&lt;$D$1,X481&gt;$D$1*-1,Y481&lt;$D$1,V481/U481&gt;=3),"Very serious", AND(W481&gt;$D$1*-1,W481&lt;$D$1,OR(X481&lt;=$D$1*-1,Y481&gt;=$D$1),X481&gt;$D$2*-1,Y481&lt;$D$2,V481/U481&gt;=3),"Very serious", AND(W481&gt;$D$1*-1,W481&lt;$D$1,OR(X481&lt;=$D$2*-1,Y481&gt;=$D$2),V481/U481&gt;=3),"Very serious"),"")),"")</f>
        <v/>
      </c>
      <c r="AT481" s="109" t="str">
        <f t="shared" si="9"/>
        <v/>
      </c>
      <c r="AU481" s="64"/>
      <c r="AV481" s="83"/>
      <c r="AW481" s="83"/>
      <c r="AX481" s="83"/>
      <c r="AY481" s="83"/>
      <c r="AZ481" s="83"/>
      <c r="BA481" s="85"/>
      <c r="BB481" s="86" t="str">
        <f>IF(Preferences!B$9="Manual","",IFS(ISBLANK(B481),"",AND(ISNUMBER(E481)=TRUE,ISNUMBER(T481)=FALSE),"Direct", AND(ISNUMBER(E481)=FALSE,ISNUMBER(T481)=TRUE),"Indirect", CN481=4,"Direct",AND(CL481=FALSE, CM481=TRUE,CN481-CO481&gt;-1),"Direct", AND(CL481=FALSE,CM481=TRUE, CN481-CO481&lt;0),"Check algorithm in appendix 2", AND(CL481=TRUE, CM481=FALSE,CN481-CO481&gt;0),"Check algorithm in appendix 2", AND(CL481=TRUE, CM481=FALSE,CN481-CO481=0),"Indirect", AND(CL481=TRUE, CM481=FALSE,CN481-CO481&lt;0),"Indirect", AND(CL481=FALSE,CM481=FALSE,CN481-CO481&gt;-1),"Direct", AND(CL481=FALSE,CM481=FALSE,CN481-CO481&lt;0),"Check algorithm in appendix 2", AND(CL481=TRUE,CM481=TRUE,CN481-CO481&gt;-1),"Direct", AND(CL481=TRUE,CM481=TRUE,CN481-CO481&lt;0),"Check algorithm in appendix 2"))</f>
        <v/>
      </c>
      <c r="BC481" s="120" t="str">
        <f t="shared" si="10"/>
        <v/>
      </c>
      <c r="BD481" s="140"/>
      <c r="BE481" s="122" t="str">
        <f>IF(Preferences!B$3="Manual","", IFERROR(IFS(AND(Preferences!B$3="Automatic",AX481/AW481&gt;=30),"Extremely serious",AND(AY481&lt;=$D$1*-1,BA481&lt;0,AX481/AW481&lt;3),"Not Serious",AND(AY481&lt;=$D$1*-1,BA481&lt;0,AX481/AW481&gt;=3),"Very serious",AND(AY481&gt;=$D$1,AZ481&gt;0,AX481/AW481&lt;3),"Not Serious",AND(AY481&gt;=$D$1,AZ481&gt;0,AX481/AW481&gt;=3),"Very serious",AND(AY481&lt;=$D$1*-1,BA481&gt;0,AZ481&gt;$D$2*-1,AX481/AW481&lt;3),"Serious", AND(AY481&lt;=$D$1*-1,BA481&gt;0,AZ481&lt;$D$2*-1,AX481/AW481&lt;3),"Very serious", AND(AY481&gt;=$D$1,AZ481&lt;0,BA481&lt;$D$2,AX481/AW481&lt;3),"Serious",AND(AY481&gt;=$D$1,AZ481&lt;0,BA481&gt;$D$2,AX481/AW481&lt;3),"Very serious", AND(AY481&lt;=$D$1*-1,BA481&gt;0,AZ481&gt;$D$2*-1,AX481/AW481&gt;=3),"Very serious", AND(AY481&lt;=$D$1*-1,BA481&gt;0,AZ481&lt;$D$2*-1,AX481/AW481&gt;=3),"Very serious", AND(AY481&gt;=$D$1,AZ481&lt;0,BA481&lt;$D$2,AX481/AW481&gt;=3),"Very serious", AND(AY481&gt;=$D$1,AZ481&lt;0,BA481&gt;$D$2,AX481/AW481&gt;=3),"Very serious", AND(AY481&gt;$D$1*-1,AY481&lt;$D$1,AZ481&gt;$D$1*-1,BA481&lt;$D$1,AX481/AW481&lt;3),"Not Serious", AND(AY481&gt;$D$1*-1,AY481&lt;$D$1,OR(AZ481&lt;=$D$1*-1,BA481&gt;=$D$1),AZ481&gt;$D$2*-1,BA481&lt;$D$2,AX481/AW481&lt;3),"Serious", AND(AY481&gt;$D$1*-1,AY481&lt;$D$1,OR(AZ481&lt;=$D$2*-1,BA481&gt;=$D$2),AX481/AW481&lt;3),"Very serious", AND(AY481&gt;$D$1*-1,AY481&lt;$D$1,AZ481&gt;$D$1*-1,BA481&lt;$D$1,AX481/AW481&gt;=3),"Very serious", AND(AY481&gt;$D$1*-1,AY481&lt;$D$1,OR(AZ481&lt;=$D$1*-1,BA481&gt;=$D$1),AZ481&gt;$D$2*-1,BA481&lt;$D$2,AX481/AW481&gt;=3),"Very serious", AND(AY481&gt;$D$1*-1,AY481&lt;$D$1,OR(AZ481&lt;=$D$2*-1,BA481&gt;=$D$2),AX481/AW481&gt;=3),"Very serious"),""))</f>
        <v/>
      </c>
      <c r="BF481" s="107" t="str">
        <f t="shared" si="11"/>
        <v/>
      </c>
      <c r="BG481" s="94" t="str">
        <f t="shared" si="46"/>
        <v/>
      </c>
      <c r="BH481" s="64" t="str">
        <f t="shared" si="12"/>
        <v>#N/A</v>
      </c>
      <c r="BI481" s="64" t="str">
        <f t="shared" si="13"/>
        <v/>
      </c>
      <c r="BJ481" s="123" t="str">
        <f t="shared" si="14"/>
        <v>#N/A</v>
      </c>
      <c r="BK481" s="64" t="str">
        <f t="shared" si="50"/>
        <v>YES</v>
      </c>
      <c r="BL481" s="64" t="str">
        <f t="shared" si="16"/>
        <v>YES</v>
      </c>
      <c r="BM481" s="64" t="str">
        <f t="shared" si="17"/>
        <v>YES</v>
      </c>
      <c r="BN481" s="124" t="str">
        <f t="shared" si="18"/>
        <v/>
      </c>
      <c r="BO481" s="91" t="str">
        <f t="shared" si="19"/>
        <v/>
      </c>
      <c r="BP481" s="91" t="str">
        <f t="shared" si="20"/>
        <v>#N/A</v>
      </c>
      <c r="BQ481" s="91" t="str">
        <f t="shared" si="21"/>
        <v/>
      </c>
      <c r="BR481" s="93" t="str">
        <f t="shared" si="22"/>
        <v/>
      </c>
      <c r="BS481" s="90" t="str">
        <f t="shared" si="23"/>
        <v/>
      </c>
      <c r="BT481" s="93" t="str">
        <f t="shared" si="24"/>
        <v>NA</v>
      </c>
      <c r="BU481" s="125" t="str">
        <f t="shared" si="25"/>
        <v>#N/A</v>
      </c>
      <c r="BV481" s="93" t="str">
        <f t="shared" si="26"/>
        <v/>
      </c>
      <c r="BW481" s="93" t="str">
        <f t="shared" si="27"/>
        <v/>
      </c>
      <c r="BX481" s="93" t="str">
        <f t="shared" si="28"/>
        <v>NA</v>
      </c>
      <c r="BY481" s="95" t="str">
        <f t="shared" si="29"/>
        <v>#N/A</v>
      </c>
      <c r="BZ481" s="93" t="str">
        <f t="shared" si="30"/>
        <v/>
      </c>
      <c r="CA481" s="93" t="str">
        <f t="shared" si="31"/>
        <v/>
      </c>
      <c r="CB481" s="93" t="str">
        <f t="shared" si="32"/>
        <v>NA</v>
      </c>
      <c r="CC481" s="96" t="str">
        <f t="shared" si="33"/>
        <v>#N/A</v>
      </c>
      <c r="CD481" s="93" t="str">
        <f t="shared" si="34"/>
        <v/>
      </c>
      <c r="CE481" s="93" t="str">
        <f t="shared" si="35"/>
        <v/>
      </c>
      <c r="CF481" s="93" t="str">
        <f t="shared" si="36"/>
        <v>NA</v>
      </c>
      <c r="CG481" s="97" t="str">
        <f t="shared" si="37"/>
        <v>#N/A</v>
      </c>
      <c r="CH481" s="98" t="str">
        <f t="shared" si="38"/>
        <v>#N/A</v>
      </c>
      <c r="CI481" s="99" t="str">
        <f t="shared" si="39"/>
        <v>#N/A</v>
      </c>
      <c r="CJ481" s="126" t="str">
        <f t="shared" si="40"/>
        <v>ERROR: check cell</v>
      </c>
      <c r="CK481" s="126"/>
      <c r="CL481" s="127" t="str">
        <f t="shared" si="41"/>
        <v>#DIV/0!</v>
      </c>
      <c r="CM481" s="128" t="str">
        <f t="shared" si="42"/>
        <v>#DIV/0!</v>
      </c>
      <c r="CN481" s="128">
        <f t="shared" si="43"/>
        <v>4</v>
      </c>
      <c r="CO481" s="129">
        <f t="shared" si="44"/>
        <v>4</v>
      </c>
      <c r="CP481" s="129" t="str">
        <f>IFS(C481=Preferences!B$13,B481,B481=Preferences!B$13,C481)</f>
        <v>#N/A</v>
      </c>
    </row>
    <row r="482" ht="13.5" customHeight="1">
      <c r="A482" s="63" t="str">
        <f t="shared" si="45"/>
        <v/>
      </c>
      <c r="B482" s="64"/>
      <c r="C482" s="64"/>
      <c r="D482" s="64"/>
      <c r="E482" s="65"/>
      <c r="F482" s="65"/>
      <c r="G482" s="65"/>
      <c r="H482" s="66"/>
      <c r="I482" s="66"/>
      <c r="J482" s="67"/>
      <c r="K482" s="68"/>
      <c r="L482" s="104"/>
      <c r="M482" s="104"/>
      <c r="N482" s="104"/>
      <c r="O482" s="104"/>
      <c r="P482" s="107" t="str">
        <f t="shared" si="1"/>
        <v/>
      </c>
      <c r="Q482" s="108" t="str">
        <f>IFERROR(IF(AND(Preferences!B$3="Manual",OR(AX482/AW482&gt;G482/F482,BD482="Serious",BD482="Very serious")),"Assess imprecision",IFS(ISBLANK(E482),"",AND(Preferences!B$3="Automatic", G482/F482&gt;=30),"Extremely serious",AND(H482&lt;=$D$1*-1,J482&lt;0,G482/F482&lt;3),"Not serious",AND(H482&lt;=$D$1*-1,J482&lt;0,G482/F482&gt;=3),"Very serious",AND(H482&gt;=$D$1,I482&gt;0,G482/F482&lt;3),"Not serious",AND(H482&gt;=$D$1,I482&gt;0,G482/F482&gt;=3),"Very serious",AND(H482&lt;=$D$1*-1,J482&gt;0,I482&gt;$D$2*-1,G482/F482&lt;3),"Serious", AND(H482&lt;=$D$1*-1,J482&gt;0,I482&lt;$D$2*-1,G482/F482&lt;3),"Very serious", AND(H482&gt;=$D$1,I482&lt;0,J482&lt;$D$2,G482/F482&lt;3),"Serious",AND(H482&gt;=$D$1,I482&lt;0,J482&gt;$D$2,G482/F482&lt;3),"Very serious", AND(H482&lt;=$D$1*-1,J482&gt;0,I482&gt;$D$2*-1,G482/F482&gt;=3),"Very serious", AND(H482&lt;=$D$1*-1,J482&gt;0,I482&lt;$D$2*-1,G482/F482&gt;=3),"Very serious", AND(H482&gt;=$D$1,I482&lt;0,J482&lt;$D$2,G482/F482&gt;=3),"Very serious", AND(H482&gt;=$D$1,I482&lt;0,J482&gt;$D$2,G482/F482&gt;=3),"Very serious", AND(H482&gt;$D$1*-1,H482&lt;$D$1,I482&gt;$D$1*-1,J482&lt;$D$1,G482/F482&lt;3),"Not serious", AND(H482&gt;$D$1*-1,H482&lt;$D$1,OR(I482&lt;=$D$1*-1,J482&gt;=$D$1),I482&gt;$D$2*-1,J482&lt;$D$2,G482/F482&lt;3),"Serious", AND(H482&gt;$D$1*-1,H482&lt;$D$1,OR(I482&lt;=$D$2*-1,J482&gt;=$D$2),G482/F482&lt;3),"Very serious", AND(H482&gt;$D$1*-1,H482&lt;$D$1,I482&gt;$D$1*-1,J482&lt;$D$1,G482/F482&gt;=3),"Very serious", AND(H482&gt;$D$1*-1,H482&lt;$D$1,OR(I482&lt;=$D$1*-1,J482&gt;=$D$1),I482&gt;$D$2*-1,J482&lt;$D$2,G482/F482&gt;=3),"Very serious", AND(H482&gt;$D$1*-1,H482&lt;$D$1,OR(I482&lt;=$D$2*-1,J482&gt;=$D$2),G482/F482&gt;=3),"Very serious")),"")</f>
        <v/>
      </c>
      <c r="R482" s="109" t="str">
        <f t="shared" si="47"/>
        <v/>
      </c>
      <c r="S482" s="64"/>
      <c r="T482" s="72"/>
      <c r="U482" s="72"/>
      <c r="V482" s="72"/>
      <c r="W482" s="73"/>
      <c r="X482" s="73"/>
      <c r="Y482" s="74"/>
      <c r="Z482" s="113" t="str">
        <f t="array" ref="Z482">INDEX($A$1:$C$500, MATCH(1,($B:$B=$B482)*($C:$C=$AB482),0),1)</f>
        <v/>
      </c>
      <c r="AA482" s="113" t="str">
        <f t="array" ref="AA482">INDEX($A$1:$C$500, MATCH(1,($B:$B=$AB482)*($C:$C=$B482),0),1)</f>
        <v/>
      </c>
      <c r="AB482" s="111"/>
      <c r="AC482" s="114" t="str">
        <f t="shared" si="2"/>
        <v/>
      </c>
      <c r="AD482" s="115" t="str">
        <f t="shared" si="3"/>
        <v/>
      </c>
      <c r="AE482" s="116" t="str">
        <f t="array" ref="AE482">INDEX($A$1:$C$500, MATCH(1,($B:$B=$AB482)*($C:$C=$AG482),0),1)</f>
        <v/>
      </c>
      <c r="AF482" s="116" t="str">
        <f t="array" ref="AF482">INDEX($A$1:$C$500, MATCH(1,($B:$B=$AG482)*($C:$C=$AB482),0),1)</f>
        <v/>
      </c>
      <c r="AG482" s="72"/>
      <c r="AH482" s="114" t="str">
        <f t="shared" si="4"/>
        <v/>
      </c>
      <c r="AI482" s="115" t="str">
        <f t="shared" si="5"/>
        <v/>
      </c>
      <c r="AJ482" s="116" t="str">
        <f t="array" ref="AJ482">INDEX($A$1:$C$500, MATCH(1,($B:$B=$C482)*($C:$C=$AG482),0),1)</f>
        <v/>
      </c>
      <c r="AK482" s="116" t="str">
        <f t="array" ref="AK482">INDEX($A$1:$C$500, MATCH(1,($B:$B=$AG482)*($C:$C=$C482),0),1)</f>
        <v/>
      </c>
      <c r="AL482" s="116" t="str">
        <f t="array" ref="AL482">INDEX($A$1:$C$500, MATCH(1,($B:$B=$C482)*($C:$C=$AB482),0),1)</f>
        <v/>
      </c>
      <c r="AM482" s="116" t="str">
        <f t="array" ref="AM482">INDEX($A$1:$C$500, MATCH(1,($B:$B=$AB482)*($C:$C=$C482),0),1)</f>
        <v/>
      </c>
      <c r="AN482" s="114" t="str">
        <f t="array" ref="AN482">IFS(ISNUMBER(AJ482),AJ482,ISNUMBER(AK482),AK482,ISNUMBER(AL482),AL482,ISNUMBER(AM482),AM482)</f>
        <v>#N/A</v>
      </c>
      <c r="AO482" s="115" t="str">
        <f t="shared" si="6"/>
        <v/>
      </c>
      <c r="AP482" s="115" t="str">
        <f t="shared" si="7"/>
        <v/>
      </c>
      <c r="AQ482" s="111"/>
      <c r="AR482" s="109" t="str">
        <f t="shared" si="8"/>
        <v/>
      </c>
      <c r="AS482" s="72" t="str">
        <f>IFERROR(IF(AND(Preferences!B$3="Manual",OR(AX482/AW482&gt;V482/U482,BD482="Serious",BD482="Very serious")),"Assess imprecision",IFERROR(IFS(AND(Preferences!B$3="Automatic",V482/U482&gt;=30),"Extremely serious",AND(W482&lt;=$D$1*-1,Y482&lt;0,V482/U482&lt;3),"Not Serious",AND(W482&lt;=$D$1*-1,Y482&lt;0,V482/U482&gt;=3),"Very serious",AND(W482&gt;=$D$1,X482&gt;0,V482/U482&lt;3),"Not Serious",AND(W482&gt;=$D$1,X482&gt;0,V482/U482&gt;=3),"Very serious",AND(W482&lt;=$D$1*-1,Y482&gt;0,X482&gt;$D$2*-1,V482/U482&lt;3),"Serious", AND(W482&lt;=$D$1*-1,Y482&gt;0,X482&lt;$D$2*-1,V482/U482&lt;3),"Very serious", AND(W482&gt;=$D$1,X482&lt;0,Y482&lt;$D$2,V482/U482&lt;3),"Serious",AND(W482&gt;=$D$1,X482&lt;0,Y482&gt;$D$2,V482/U482&lt;3),"Very serious", AND(W482&lt;=$D$1*-1,Y482&gt;0,X482&gt;$D$2*-1,V482/U482&gt;=3),"Very serious", AND(W482&lt;=$D$1*-1,Y482&gt;0,X482&lt;$D$2*-1,V482/U482&gt;=3),"Very serious", AND(W482&gt;=$D$1,X482&lt;0,Y482&lt;$D$2,V482/U482&gt;=3),"Very serious", AND(W482&gt;=$D$1,X482&lt;0,Y482&gt;$D$2,V482/U482&gt;=3),"Very serious", AND(W482&gt;$D$1*-1,W482&lt;$D$1,X482&gt;$D$1*-1,Y482&lt;$D$1,V482/U482&lt;3),"Not Serious", AND(W482&gt;$D$1*-1,W482&lt;$D$1,OR(X482&lt;=$D$1*-1,Y482&gt;=$D$1),X482&gt;$D$2*-1,Y482&lt;$D$2,V482/U482&lt;3),"Serious", AND(W482&gt;$D$1*-1,W482&lt;$D$1,OR(X482&lt;=$D$2*-1,Y482&gt;=$D$2),V482/U482&lt;3),"Very serious", AND(W482&gt;$D$1*-1,W482&lt;$D$1,X482&gt;$D$1*-1,Y482&lt;$D$1,V482/U482&gt;=3),"Very serious", AND(W482&gt;$D$1*-1,W482&lt;$D$1,OR(X482&lt;=$D$1*-1,Y482&gt;=$D$1),X482&gt;$D$2*-1,Y482&lt;$D$2,V482/U482&gt;=3),"Very serious", AND(W482&gt;$D$1*-1,W482&lt;$D$1,OR(X482&lt;=$D$2*-1,Y482&gt;=$D$2),V482/U482&gt;=3),"Very serious"),"")),"")</f>
        <v/>
      </c>
      <c r="AT482" s="109" t="str">
        <f t="shared" si="9"/>
        <v/>
      </c>
      <c r="AU482" s="64"/>
      <c r="AV482" s="83"/>
      <c r="AW482" s="83"/>
      <c r="AX482" s="83"/>
      <c r="AY482" s="83"/>
      <c r="AZ482" s="83"/>
      <c r="BA482" s="85"/>
      <c r="BB482" s="86" t="str">
        <f>IF(Preferences!B$9="Manual","",IFS(ISBLANK(B482),"",AND(ISNUMBER(E482)=TRUE,ISNUMBER(T482)=FALSE),"Direct", AND(ISNUMBER(E482)=FALSE,ISNUMBER(T482)=TRUE),"Indirect", CN482=4,"Direct",AND(CL482=FALSE, CM482=TRUE,CN482-CO482&gt;-1),"Direct", AND(CL482=FALSE,CM482=TRUE, CN482-CO482&lt;0),"Check algorithm in appendix 2", AND(CL482=TRUE, CM482=FALSE,CN482-CO482&gt;0),"Check algorithm in appendix 2", AND(CL482=TRUE, CM482=FALSE,CN482-CO482=0),"Indirect", AND(CL482=TRUE, CM482=FALSE,CN482-CO482&lt;0),"Indirect", AND(CL482=FALSE,CM482=FALSE,CN482-CO482&gt;-1),"Direct", AND(CL482=FALSE,CM482=FALSE,CN482-CO482&lt;0),"Check algorithm in appendix 2", AND(CL482=TRUE,CM482=TRUE,CN482-CO482&gt;-1),"Direct", AND(CL482=TRUE,CM482=TRUE,CN482-CO482&lt;0),"Check algorithm in appendix 2"))</f>
        <v/>
      </c>
      <c r="BC482" s="120" t="str">
        <f t="shared" si="10"/>
        <v/>
      </c>
      <c r="BD482" s="140"/>
      <c r="BE482" s="122" t="str">
        <f>IF(Preferences!B$3="Manual","", IFERROR(IFS(AND(Preferences!B$3="Automatic",AX482/AW482&gt;=30),"Extremely serious",AND(AY482&lt;=$D$1*-1,BA482&lt;0,AX482/AW482&lt;3),"Not Serious",AND(AY482&lt;=$D$1*-1,BA482&lt;0,AX482/AW482&gt;=3),"Very serious",AND(AY482&gt;=$D$1,AZ482&gt;0,AX482/AW482&lt;3),"Not Serious",AND(AY482&gt;=$D$1,AZ482&gt;0,AX482/AW482&gt;=3),"Very serious",AND(AY482&lt;=$D$1*-1,BA482&gt;0,AZ482&gt;$D$2*-1,AX482/AW482&lt;3),"Serious", AND(AY482&lt;=$D$1*-1,BA482&gt;0,AZ482&lt;$D$2*-1,AX482/AW482&lt;3),"Very serious", AND(AY482&gt;=$D$1,AZ482&lt;0,BA482&lt;$D$2,AX482/AW482&lt;3),"Serious",AND(AY482&gt;=$D$1,AZ482&lt;0,BA482&gt;$D$2,AX482/AW482&lt;3),"Very serious", AND(AY482&lt;=$D$1*-1,BA482&gt;0,AZ482&gt;$D$2*-1,AX482/AW482&gt;=3),"Very serious", AND(AY482&lt;=$D$1*-1,BA482&gt;0,AZ482&lt;$D$2*-1,AX482/AW482&gt;=3),"Very serious", AND(AY482&gt;=$D$1,AZ482&lt;0,BA482&lt;$D$2,AX482/AW482&gt;=3),"Very serious", AND(AY482&gt;=$D$1,AZ482&lt;0,BA482&gt;$D$2,AX482/AW482&gt;=3),"Very serious", AND(AY482&gt;$D$1*-1,AY482&lt;$D$1,AZ482&gt;$D$1*-1,BA482&lt;$D$1,AX482/AW482&lt;3),"Not Serious", AND(AY482&gt;$D$1*-1,AY482&lt;$D$1,OR(AZ482&lt;=$D$1*-1,BA482&gt;=$D$1),AZ482&gt;$D$2*-1,BA482&lt;$D$2,AX482/AW482&lt;3),"Serious", AND(AY482&gt;$D$1*-1,AY482&lt;$D$1,OR(AZ482&lt;=$D$2*-1,BA482&gt;=$D$2),AX482/AW482&lt;3),"Very serious", AND(AY482&gt;$D$1*-1,AY482&lt;$D$1,AZ482&gt;$D$1*-1,BA482&lt;$D$1,AX482/AW482&gt;=3),"Very serious", AND(AY482&gt;$D$1*-1,AY482&lt;$D$1,OR(AZ482&lt;=$D$1*-1,BA482&gt;=$D$1),AZ482&gt;$D$2*-1,BA482&lt;$D$2,AX482/AW482&gt;=3),"Very serious", AND(AY482&gt;$D$1*-1,AY482&lt;$D$1,OR(AZ482&lt;=$D$2*-1,BA482&gt;=$D$2),AX482/AW482&gt;=3),"Very serious"),""))</f>
        <v/>
      </c>
      <c r="BF482" s="107" t="str">
        <f t="shared" si="11"/>
        <v/>
      </c>
      <c r="BG482" s="94" t="str">
        <f t="shared" si="46"/>
        <v/>
      </c>
      <c r="BH482" s="64" t="str">
        <f t="shared" si="12"/>
        <v>#N/A</v>
      </c>
      <c r="BI482" s="64" t="str">
        <f t="shared" si="13"/>
        <v/>
      </c>
      <c r="BJ482" s="123" t="str">
        <f t="shared" si="14"/>
        <v>#N/A</v>
      </c>
      <c r="BK482" s="64" t="str">
        <f t="shared" si="50"/>
        <v>YES</v>
      </c>
      <c r="BL482" s="64" t="str">
        <f t="shared" si="16"/>
        <v>YES</v>
      </c>
      <c r="BM482" s="64" t="str">
        <f t="shared" si="17"/>
        <v>YES</v>
      </c>
      <c r="BN482" s="124" t="str">
        <f t="shared" si="18"/>
        <v/>
      </c>
      <c r="BO482" s="91" t="str">
        <f t="shared" si="19"/>
        <v/>
      </c>
      <c r="BP482" s="91" t="str">
        <f t="shared" si="20"/>
        <v>#N/A</v>
      </c>
      <c r="BQ482" s="91" t="str">
        <f t="shared" si="21"/>
        <v/>
      </c>
      <c r="BR482" s="93" t="str">
        <f t="shared" si="22"/>
        <v/>
      </c>
      <c r="BS482" s="90" t="str">
        <f t="shared" si="23"/>
        <v/>
      </c>
      <c r="BT482" s="93" t="str">
        <f t="shared" si="24"/>
        <v>NA</v>
      </c>
      <c r="BU482" s="125" t="str">
        <f t="shared" si="25"/>
        <v>#N/A</v>
      </c>
      <c r="BV482" s="93" t="str">
        <f t="shared" si="26"/>
        <v/>
      </c>
      <c r="BW482" s="93" t="str">
        <f t="shared" si="27"/>
        <v/>
      </c>
      <c r="BX482" s="93" t="str">
        <f t="shared" si="28"/>
        <v>NA</v>
      </c>
      <c r="BY482" s="95" t="str">
        <f t="shared" si="29"/>
        <v>#N/A</v>
      </c>
      <c r="BZ482" s="93" t="str">
        <f t="shared" si="30"/>
        <v/>
      </c>
      <c r="CA482" s="93" t="str">
        <f t="shared" si="31"/>
        <v/>
      </c>
      <c r="CB482" s="93" t="str">
        <f t="shared" si="32"/>
        <v>NA</v>
      </c>
      <c r="CC482" s="96" t="str">
        <f t="shared" si="33"/>
        <v>#N/A</v>
      </c>
      <c r="CD482" s="93" t="str">
        <f t="shared" si="34"/>
        <v/>
      </c>
      <c r="CE482" s="93" t="str">
        <f t="shared" si="35"/>
        <v/>
      </c>
      <c r="CF482" s="93" t="str">
        <f t="shared" si="36"/>
        <v>NA</v>
      </c>
      <c r="CG482" s="97" t="str">
        <f t="shared" si="37"/>
        <v>#N/A</v>
      </c>
      <c r="CH482" s="98" t="str">
        <f t="shared" si="38"/>
        <v>#N/A</v>
      </c>
      <c r="CI482" s="99" t="str">
        <f t="shared" si="39"/>
        <v>#N/A</v>
      </c>
      <c r="CJ482" s="126" t="str">
        <f t="shared" si="40"/>
        <v>ERROR: check cell</v>
      </c>
      <c r="CK482" s="126"/>
      <c r="CL482" s="127" t="str">
        <f t="shared" si="41"/>
        <v>#DIV/0!</v>
      </c>
      <c r="CM482" s="128" t="str">
        <f t="shared" si="42"/>
        <v>#DIV/0!</v>
      </c>
      <c r="CN482" s="128">
        <f t="shared" si="43"/>
        <v>4</v>
      </c>
      <c r="CO482" s="129">
        <f t="shared" si="44"/>
        <v>4</v>
      </c>
      <c r="CP482" s="129" t="str">
        <f>IFS(C482=Preferences!B$13,B482,B482=Preferences!B$13,C482)</f>
        <v>#N/A</v>
      </c>
    </row>
    <row r="483" ht="13.5" customHeight="1">
      <c r="A483" s="63" t="str">
        <f t="shared" si="45"/>
        <v/>
      </c>
      <c r="B483" s="64"/>
      <c r="C483" s="64"/>
      <c r="D483" s="64"/>
      <c r="E483" s="65"/>
      <c r="F483" s="65"/>
      <c r="G483" s="65"/>
      <c r="H483" s="66"/>
      <c r="I483" s="66"/>
      <c r="J483" s="67"/>
      <c r="K483" s="68"/>
      <c r="L483" s="104"/>
      <c r="M483" s="104"/>
      <c r="N483" s="104"/>
      <c r="O483" s="104"/>
      <c r="P483" s="107" t="str">
        <f t="shared" si="1"/>
        <v/>
      </c>
      <c r="Q483" s="108" t="str">
        <f>IFERROR(IF(AND(Preferences!B$3="Manual",OR(AX483/AW483&gt;G483/F483,BD483="Serious",BD483="Very serious")),"Assess imprecision",IFS(ISBLANK(E483),"",AND(Preferences!B$3="Automatic", G483/F483&gt;=30),"Extremely serious",AND(H483&lt;=$D$1*-1,J483&lt;0,G483/F483&lt;3),"Not serious",AND(H483&lt;=$D$1*-1,J483&lt;0,G483/F483&gt;=3),"Very serious",AND(H483&gt;=$D$1,I483&gt;0,G483/F483&lt;3),"Not serious",AND(H483&gt;=$D$1,I483&gt;0,G483/F483&gt;=3),"Very serious",AND(H483&lt;=$D$1*-1,J483&gt;0,I483&gt;$D$2*-1,G483/F483&lt;3),"Serious", AND(H483&lt;=$D$1*-1,J483&gt;0,I483&lt;$D$2*-1,G483/F483&lt;3),"Very serious", AND(H483&gt;=$D$1,I483&lt;0,J483&lt;$D$2,G483/F483&lt;3),"Serious",AND(H483&gt;=$D$1,I483&lt;0,J483&gt;$D$2,G483/F483&lt;3),"Very serious", AND(H483&lt;=$D$1*-1,J483&gt;0,I483&gt;$D$2*-1,G483/F483&gt;=3),"Very serious", AND(H483&lt;=$D$1*-1,J483&gt;0,I483&lt;$D$2*-1,G483/F483&gt;=3),"Very serious", AND(H483&gt;=$D$1,I483&lt;0,J483&lt;$D$2,G483/F483&gt;=3),"Very serious", AND(H483&gt;=$D$1,I483&lt;0,J483&gt;$D$2,G483/F483&gt;=3),"Very serious", AND(H483&gt;$D$1*-1,H483&lt;$D$1,I483&gt;$D$1*-1,J483&lt;$D$1,G483/F483&lt;3),"Not serious", AND(H483&gt;$D$1*-1,H483&lt;$D$1,OR(I483&lt;=$D$1*-1,J483&gt;=$D$1),I483&gt;$D$2*-1,J483&lt;$D$2,G483/F483&lt;3),"Serious", AND(H483&gt;$D$1*-1,H483&lt;$D$1,OR(I483&lt;=$D$2*-1,J483&gt;=$D$2),G483/F483&lt;3),"Very serious", AND(H483&gt;$D$1*-1,H483&lt;$D$1,I483&gt;$D$1*-1,J483&lt;$D$1,G483/F483&gt;=3),"Very serious", AND(H483&gt;$D$1*-1,H483&lt;$D$1,OR(I483&lt;=$D$1*-1,J483&gt;=$D$1),I483&gt;$D$2*-1,J483&lt;$D$2,G483/F483&gt;=3),"Very serious", AND(H483&gt;$D$1*-1,H483&lt;$D$1,OR(I483&lt;=$D$2*-1,J483&gt;=$D$2),G483/F483&gt;=3),"Very serious")),"")</f>
        <v/>
      </c>
      <c r="R483" s="109" t="str">
        <f t="shared" si="47"/>
        <v/>
      </c>
      <c r="S483" s="64"/>
      <c r="T483" s="72"/>
      <c r="U483" s="72"/>
      <c r="V483" s="72"/>
      <c r="W483" s="73"/>
      <c r="X483" s="73"/>
      <c r="Y483" s="74"/>
      <c r="Z483" s="113" t="str">
        <f t="array" ref="Z483">INDEX($A$1:$C$500, MATCH(1,($B:$B=$B483)*($C:$C=$AB483),0),1)</f>
        <v/>
      </c>
      <c r="AA483" s="113" t="str">
        <f t="array" ref="AA483">INDEX($A$1:$C$500, MATCH(1,($B:$B=$AB483)*($C:$C=$B483),0),1)</f>
        <v/>
      </c>
      <c r="AB483" s="111"/>
      <c r="AC483" s="114" t="str">
        <f t="shared" si="2"/>
        <v/>
      </c>
      <c r="AD483" s="115" t="str">
        <f t="shared" si="3"/>
        <v/>
      </c>
      <c r="AE483" s="116" t="str">
        <f t="array" ref="AE483">INDEX($A$1:$C$500, MATCH(1,($B:$B=$AB483)*($C:$C=$AG483),0),1)</f>
        <v/>
      </c>
      <c r="AF483" s="116" t="str">
        <f t="array" ref="AF483">INDEX($A$1:$C$500, MATCH(1,($B:$B=$AG483)*($C:$C=$AB483),0),1)</f>
        <v/>
      </c>
      <c r="AG483" s="72"/>
      <c r="AH483" s="114" t="str">
        <f t="shared" si="4"/>
        <v/>
      </c>
      <c r="AI483" s="115" t="str">
        <f t="shared" si="5"/>
        <v/>
      </c>
      <c r="AJ483" s="116" t="str">
        <f t="array" ref="AJ483">INDEX($A$1:$C$500, MATCH(1,($B:$B=$C483)*($C:$C=$AG483),0),1)</f>
        <v/>
      </c>
      <c r="AK483" s="116" t="str">
        <f t="array" ref="AK483">INDEX($A$1:$C$500, MATCH(1,($B:$B=$AG483)*($C:$C=$C483),0),1)</f>
        <v/>
      </c>
      <c r="AL483" s="116" t="str">
        <f t="array" ref="AL483">INDEX($A$1:$C$500, MATCH(1,($B:$B=$C483)*($C:$C=$AB483),0),1)</f>
        <v/>
      </c>
      <c r="AM483" s="116" t="str">
        <f t="array" ref="AM483">INDEX($A$1:$C$500, MATCH(1,($B:$B=$AB483)*($C:$C=$C483),0),1)</f>
        <v/>
      </c>
      <c r="AN483" s="114" t="str">
        <f t="array" ref="AN483">IFS(ISNUMBER(AJ483),AJ483,ISNUMBER(AK483),AK483,ISNUMBER(AL483),AL483,ISNUMBER(AM483),AM483)</f>
        <v>#N/A</v>
      </c>
      <c r="AO483" s="115" t="str">
        <f t="shared" si="6"/>
        <v/>
      </c>
      <c r="AP483" s="115" t="str">
        <f t="shared" si="7"/>
        <v/>
      </c>
      <c r="AQ483" s="111"/>
      <c r="AR483" s="109" t="str">
        <f t="shared" si="8"/>
        <v/>
      </c>
      <c r="AS483" s="72" t="str">
        <f>IFERROR(IF(AND(Preferences!B$3="Manual",OR(AX483/AW483&gt;V483/U483,BD483="Serious",BD483="Very serious")),"Assess imprecision",IFERROR(IFS(AND(Preferences!B$3="Automatic",V483/U483&gt;=30),"Extremely serious",AND(W483&lt;=$D$1*-1,Y483&lt;0,V483/U483&lt;3),"Not Serious",AND(W483&lt;=$D$1*-1,Y483&lt;0,V483/U483&gt;=3),"Very serious",AND(W483&gt;=$D$1,X483&gt;0,V483/U483&lt;3),"Not Serious",AND(W483&gt;=$D$1,X483&gt;0,V483/U483&gt;=3),"Very serious",AND(W483&lt;=$D$1*-1,Y483&gt;0,X483&gt;$D$2*-1,V483/U483&lt;3),"Serious", AND(W483&lt;=$D$1*-1,Y483&gt;0,X483&lt;$D$2*-1,V483/U483&lt;3),"Very serious", AND(W483&gt;=$D$1,X483&lt;0,Y483&lt;$D$2,V483/U483&lt;3),"Serious",AND(W483&gt;=$D$1,X483&lt;0,Y483&gt;$D$2,V483/U483&lt;3),"Very serious", AND(W483&lt;=$D$1*-1,Y483&gt;0,X483&gt;$D$2*-1,V483/U483&gt;=3),"Very serious", AND(W483&lt;=$D$1*-1,Y483&gt;0,X483&lt;$D$2*-1,V483/U483&gt;=3),"Very serious", AND(W483&gt;=$D$1,X483&lt;0,Y483&lt;$D$2,V483/U483&gt;=3),"Very serious", AND(W483&gt;=$D$1,X483&lt;0,Y483&gt;$D$2,V483/U483&gt;=3),"Very serious", AND(W483&gt;$D$1*-1,W483&lt;$D$1,X483&gt;$D$1*-1,Y483&lt;$D$1,V483/U483&lt;3),"Not Serious", AND(W483&gt;$D$1*-1,W483&lt;$D$1,OR(X483&lt;=$D$1*-1,Y483&gt;=$D$1),X483&gt;$D$2*-1,Y483&lt;$D$2,V483/U483&lt;3),"Serious", AND(W483&gt;$D$1*-1,W483&lt;$D$1,OR(X483&lt;=$D$2*-1,Y483&gt;=$D$2),V483/U483&lt;3),"Very serious", AND(W483&gt;$D$1*-1,W483&lt;$D$1,X483&gt;$D$1*-1,Y483&lt;$D$1,V483/U483&gt;=3),"Very serious", AND(W483&gt;$D$1*-1,W483&lt;$D$1,OR(X483&lt;=$D$1*-1,Y483&gt;=$D$1),X483&gt;$D$2*-1,Y483&lt;$D$2,V483/U483&gt;=3),"Very serious", AND(W483&gt;$D$1*-1,W483&lt;$D$1,OR(X483&lt;=$D$2*-1,Y483&gt;=$D$2),V483/U483&gt;=3),"Very serious"),"")),"")</f>
        <v/>
      </c>
      <c r="AT483" s="109" t="str">
        <f t="shared" si="9"/>
        <v/>
      </c>
      <c r="AU483" s="64"/>
      <c r="AV483" s="83"/>
      <c r="AW483" s="83"/>
      <c r="AX483" s="83"/>
      <c r="AY483" s="83"/>
      <c r="AZ483" s="83"/>
      <c r="BA483" s="85"/>
      <c r="BB483" s="86" t="str">
        <f>IF(Preferences!B$9="Manual","",IFS(ISBLANK(B483),"",AND(ISNUMBER(E483)=TRUE,ISNUMBER(T483)=FALSE),"Direct", AND(ISNUMBER(E483)=FALSE,ISNUMBER(T483)=TRUE),"Indirect", CN483=4,"Direct",AND(CL483=FALSE, CM483=TRUE,CN483-CO483&gt;-1),"Direct", AND(CL483=FALSE,CM483=TRUE, CN483-CO483&lt;0),"Check algorithm in appendix 2", AND(CL483=TRUE, CM483=FALSE,CN483-CO483&gt;0),"Check algorithm in appendix 2", AND(CL483=TRUE, CM483=FALSE,CN483-CO483=0),"Indirect", AND(CL483=TRUE, CM483=FALSE,CN483-CO483&lt;0),"Indirect", AND(CL483=FALSE,CM483=FALSE,CN483-CO483&gt;-1),"Direct", AND(CL483=FALSE,CM483=FALSE,CN483-CO483&lt;0),"Check algorithm in appendix 2", AND(CL483=TRUE,CM483=TRUE,CN483-CO483&gt;-1),"Direct", AND(CL483=TRUE,CM483=TRUE,CN483-CO483&lt;0),"Check algorithm in appendix 2"))</f>
        <v/>
      </c>
      <c r="BC483" s="120" t="str">
        <f t="shared" si="10"/>
        <v/>
      </c>
      <c r="BD483" s="140"/>
      <c r="BE483" s="122" t="str">
        <f>IF(Preferences!B$3="Manual","", IFERROR(IFS(AND(Preferences!B$3="Automatic",AX483/AW483&gt;=30),"Extremely serious",AND(AY483&lt;=$D$1*-1,BA483&lt;0,AX483/AW483&lt;3),"Not Serious",AND(AY483&lt;=$D$1*-1,BA483&lt;0,AX483/AW483&gt;=3),"Very serious",AND(AY483&gt;=$D$1,AZ483&gt;0,AX483/AW483&lt;3),"Not Serious",AND(AY483&gt;=$D$1,AZ483&gt;0,AX483/AW483&gt;=3),"Very serious",AND(AY483&lt;=$D$1*-1,BA483&gt;0,AZ483&gt;$D$2*-1,AX483/AW483&lt;3),"Serious", AND(AY483&lt;=$D$1*-1,BA483&gt;0,AZ483&lt;$D$2*-1,AX483/AW483&lt;3),"Very serious", AND(AY483&gt;=$D$1,AZ483&lt;0,BA483&lt;$D$2,AX483/AW483&lt;3),"Serious",AND(AY483&gt;=$D$1,AZ483&lt;0,BA483&gt;$D$2,AX483/AW483&lt;3),"Very serious", AND(AY483&lt;=$D$1*-1,BA483&gt;0,AZ483&gt;$D$2*-1,AX483/AW483&gt;=3),"Very serious", AND(AY483&lt;=$D$1*-1,BA483&gt;0,AZ483&lt;$D$2*-1,AX483/AW483&gt;=3),"Very serious", AND(AY483&gt;=$D$1,AZ483&lt;0,BA483&lt;$D$2,AX483/AW483&gt;=3),"Very serious", AND(AY483&gt;=$D$1,AZ483&lt;0,BA483&gt;$D$2,AX483/AW483&gt;=3),"Very serious", AND(AY483&gt;$D$1*-1,AY483&lt;$D$1,AZ483&gt;$D$1*-1,BA483&lt;$D$1,AX483/AW483&lt;3),"Not Serious", AND(AY483&gt;$D$1*-1,AY483&lt;$D$1,OR(AZ483&lt;=$D$1*-1,BA483&gt;=$D$1),AZ483&gt;$D$2*-1,BA483&lt;$D$2,AX483/AW483&lt;3),"Serious", AND(AY483&gt;$D$1*-1,AY483&lt;$D$1,OR(AZ483&lt;=$D$2*-1,BA483&gt;=$D$2),AX483/AW483&lt;3),"Very serious", AND(AY483&gt;$D$1*-1,AY483&lt;$D$1,AZ483&gt;$D$1*-1,BA483&lt;$D$1,AX483/AW483&gt;=3),"Very serious", AND(AY483&gt;$D$1*-1,AY483&lt;$D$1,OR(AZ483&lt;=$D$1*-1,BA483&gt;=$D$1),AZ483&gt;$D$2*-1,BA483&lt;$D$2,AX483/AW483&gt;=3),"Very serious", AND(AY483&gt;$D$1*-1,AY483&lt;$D$1,OR(AZ483&lt;=$D$2*-1,BA483&gt;=$D$2),AX483/AW483&gt;=3),"Very serious"),""))</f>
        <v/>
      </c>
      <c r="BF483" s="107" t="str">
        <f t="shared" si="11"/>
        <v/>
      </c>
      <c r="BG483" s="94" t="str">
        <f t="shared" si="46"/>
        <v/>
      </c>
      <c r="BH483" s="64" t="str">
        <f t="shared" si="12"/>
        <v>#N/A</v>
      </c>
      <c r="BI483" s="64" t="str">
        <f t="shared" si="13"/>
        <v/>
      </c>
      <c r="BJ483" s="123" t="str">
        <f t="shared" si="14"/>
        <v>#N/A</v>
      </c>
      <c r="BK483" s="64" t="str">
        <f t="shared" si="50"/>
        <v>YES</v>
      </c>
      <c r="BL483" s="64" t="str">
        <f t="shared" si="16"/>
        <v>YES</v>
      </c>
      <c r="BM483" s="64" t="str">
        <f t="shared" si="17"/>
        <v>YES</v>
      </c>
      <c r="BN483" s="124" t="str">
        <f t="shared" si="18"/>
        <v/>
      </c>
      <c r="BO483" s="91" t="str">
        <f t="shared" si="19"/>
        <v/>
      </c>
      <c r="BP483" s="91" t="str">
        <f t="shared" si="20"/>
        <v>#N/A</v>
      </c>
      <c r="BQ483" s="91" t="str">
        <f t="shared" si="21"/>
        <v/>
      </c>
      <c r="BR483" s="93" t="str">
        <f t="shared" si="22"/>
        <v/>
      </c>
      <c r="BS483" s="90" t="str">
        <f t="shared" si="23"/>
        <v/>
      </c>
      <c r="BT483" s="93" t="str">
        <f t="shared" si="24"/>
        <v>NA</v>
      </c>
      <c r="BU483" s="125" t="str">
        <f t="shared" si="25"/>
        <v>#N/A</v>
      </c>
      <c r="BV483" s="93" t="str">
        <f t="shared" si="26"/>
        <v/>
      </c>
      <c r="BW483" s="93" t="str">
        <f t="shared" si="27"/>
        <v/>
      </c>
      <c r="BX483" s="93" t="str">
        <f t="shared" si="28"/>
        <v>NA</v>
      </c>
      <c r="BY483" s="95" t="str">
        <f t="shared" si="29"/>
        <v>#N/A</v>
      </c>
      <c r="BZ483" s="93" t="str">
        <f t="shared" si="30"/>
        <v/>
      </c>
      <c r="CA483" s="93" t="str">
        <f t="shared" si="31"/>
        <v/>
      </c>
      <c r="CB483" s="93" t="str">
        <f t="shared" si="32"/>
        <v>NA</v>
      </c>
      <c r="CC483" s="96" t="str">
        <f t="shared" si="33"/>
        <v>#N/A</v>
      </c>
      <c r="CD483" s="93" t="str">
        <f t="shared" si="34"/>
        <v/>
      </c>
      <c r="CE483" s="93" t="str">
        <f t="shared" si="35"/>
        <v/>
      </c>
      <c r="CF483" s="93" t="str">
        <f t="shared" si="36"/>
        <v>NA</v>
      </c>
      <c r="CG483" s="97" t="str">
        <f t="shared" si="37"/>
        <v>#N/A</v>
      </c>
      <c r="CH483" s="98" t="str">
        <f t="shared" si="38"/>
        <v>#N/A</v>
      </c>
      <c r="CI483" s="99" t="str">
        <f t="shared" si="39"/>
        <v>#N/A</v>
      </c>
      <c r="CJ483" s="126" t="str">
        <f t="shared" si="40"/>
        <v>ERROR: check cell</v>
      </c>
      <c r="CK483" s="126"/>
      <c r="CL483" s="127" t="str">
        <f t="shared" si="41"/>
        <v>#DIV/0!</v>
      </c>
      <c r="CM483" s="128" t="str">
        <f t="shared" si="42"/>
        <v>#DIV/0!</v>
      </c>
      <c r="CN483" s="128">
        <f t="shared" si="43"/>
        <v>4</v>
      </c>
      <c r="CO483" s="129">
        <f t="shared" si="44"/>
        <v>4</v>
      </c>
      <c r="CP483" s="129" t="str">
        <f>IFS(C483=Preferences!B$13,B483,B483=Preferences!B$13,C483)</f>
        <v>#N/A</v>
      </c>
    </row>
    <row r="484" ht="13.5" customHeight="1">
      <c r="A484" s="63" t="str">
        <f t="shared" si="45"/>
        <v/>
      </c>
      <c r="B484" s="64"/>
      <c r="C484" s="64"/>
      <c r="D484" s="64"/>
      <c r="E484" s="65"/>
      <c r="F484" s="65"/>
      <c r="G484" s="65"/>
      <c r="H484" s="66"/>
      <c r="I484" s="66"/>
      <c r="J484" s="67"/>
      <c r="K484" s="68"/>
      <c r="L484" s="104"/>
      <c r="M484" s="104"/>
      <c r="N484" s="104"/>
      <c r="O484" s="104"/>
      <c r="P484" s="107" t="str">
        <f t="shared" si="1"/>
        <v/>
      </c>
      <c r="Q484" s="108" t="str">
        <f>IFERROR(IF(AND(Preferences!B$3="Manual",OR(AX484/AW484&gt;G484/F484,BD484="Serious",BD484="Very serious")),"Assess imprecision",IFS(ISBLANK(E484),"",AND(Preferences!B$3="Automatic", G484/F484&gt;=30),"Extremely serious",AND(H484&lt;=$D$1*-1,J484&lt;0,G484/F484&lt;3),"Not serious",AND(H484&lt;=$D$1*-1,J484&lt;0,G484/F484&gt;=3),"Very serious",AND(H484&gt;=$D$1,I484&gt;0,G484/F484&lt;3),"Not serious",AND(H484&gt;=$D$1,I484&gt;0,G484/F484&gt;=3),"Very serious",AND(H484&lt;=$D$1*-1,J484&gt;0,I484&gt;$D$2*-1,G484/F484&lt;3),"Serious", AND(H484&lt;=$D$1*-1,J484&gt;0,I484&lt;$D$2*-1,G484/F484&lt;3),"Very serious", AND(H484&gt;=$D$1,I484&lt;0,J484&lt;$D$2,G484/F484&lt;3),"Serious",AND(H484&gt;=$D$1,I484&lt;0,J484&gt;$D$2,G484/F484&lt;3),"Very serious", AND(H484&lt;=$D$1*-1,J484&gt;0,I484&gt;$D$2*-1,G484/F484&gt;=3),"Very serious", AND(H484&lt;=$D$1*-1,J484&gt;0,I484&lt;$D$2*-1,G484/F484&gt;=3),"Very serious", AND(H484&gt;=$D$1,I484&lt;0,J484&lt;$D$2,G484/F484&gt;=3),"Very serious", AND(H484&gt;=$D$1,I484&lt;0,J484&gt;$D$2,G484/F484&gt;=3),"Very serious", AND(H484&gt;$D$1*-1,H484&lt;$D$1,I484&gt;$D$1*-1,J484&lt;$D$1,G484/F484&lt;3),"Not serious", AND(H484&gt;$D$1*-1,H484&lt;$D$1,OR(I484&lt;=$D$1*-1,J484&gt;=$D$1),I484&gt;$D$2*-1,J484&lt;$D$2,G484/F484&lt;3),"Serious", AND(H484&gt;$D$1*-1,H484&lt;$D$1,OR(I484&lt;=$D$2*-1,J484&gt;=$D$2),G484/F484&lt;3),"Very serious", AND(H484&gt;$D$1*-1,H484&lt;$D$1,I484&gt;$D$1*-1,J484&lt;$D$1,G484/F484&gt;=3),"Very serious", AND(H484&gt;$D$1*-1,H484&lt;$D$1,OR(I484&lt;=$D$1*-1,J484&gt;=$D$1),I484&gt;$D$2*-1,J484&lt;$D$2,G484/F484&gt;=3),"Very serious", AND(H484&gt;$D$1*-1,H484&lt;$D$1,OR(I484&lt;=$D$2*-1,J484&gt;=$D$2),G484/F484&gt;=3),"Very serious")),"")</f>
        <v/>
      </c>
      <c r="R484" s="109" t="str">
        <f t="shared" si="47"/>
        <v/>
      </c>
      <c r="S484" s="64"/>
      <c r="T484" s="72"/>
      <c r="U484" s="72"/>
      <c r="V484" s="72"/>
      <c r="W484" s="73"/>
      <c r="X484" s="73"/>
      <c r="Y484" s="74"/>
      <c r="Z484" s="113" t="str">
        <f t="array" ref="Z484">INDEX($A$1:$C$500, MATCH(1,($B:$B=$B484)*($C:$C=$AB484),0),1)</f>
        <v/>
      </c>
      <c r="AA484" s="113" t="str">
        <f t="array" ref="AA484">INDEX($A$1:$C$500, MATCH(1,($B:$B=$AB484)*($C:$C=$B484),0),1)</f>
        <v/>
      </c>
      <c r="AB484" s="111"/>
      <c r="AC484" s="114" t="str">
        <f t="shared" si="2"/>
        <v/>
      </c>
      <c r="AD484" s="115" t="str">
        <f t="shared" si="3"/>
        <v/>
      </c>
      <c r="AE484" s="116" t="str">
        <f t="array" ref="AE484">INDEX($A$1:$C$500, MATCH(1,($B:$B=$AB484)*($C:$C=$AG484),0),1)</f>
        <v/>
      </c>
      <c r="AF484" s="116" t="str">
        <f t="array" ref="AF484">INDEX($A$1:$C$500, MATCH(1,($B:$B=$AG484)*($C:$C=$AB484),0),1)</f>
        <v/>
      </c>
      <c r="AG484" s="72"/>
      <c r="AH484" s="114" t="str">
        <f t="shared" si="4"/>
        <v/>
      </c>
      <c r="AI484" s="115" t="str">
        <f t="shared" si="5"/>
        <v/>
      </c>
      <c r="AJ484" s="116" t="str">
        <f t="array" ref="AJ484">INDEX($A$1:$C$500, MATCH(1,($B:$B=$C484)*($C:$C=$AG484),0),1)</f>
        <v/>
      </c>
      <c r="AK484" s="116" t="str">
        <f t="array" ref="AK484">INDEX($A$1:$C$500, MATCH(1,($B:$B=$AG484)*($C:$C=$C484),0),1)</f>
        <v/>
      </c>
      <c r="AL484" s="116" t="str">
        <f t="array" ref="AL484">INDEX($A$1:$C$500, MATCH(1,($B:$B=$C484)*($C:$C=$AB484),0),1)</f>
        <v/>
      </c>
      <c r="AM484" s="116" t="str">
        <f t="array" ref="AM484">INDEX($A$1:$C$500, MATCH(1,($B:$B=$AB484)*($C:$C=$C484),0),1)</f>
        <v/>
      </c>
      <c r="AN484" s="114" t="str">
        <f t="array" ref="AN484">IFS(ISNUMBER(AJ484),AJ484,ISNUMBER(AK484),AK484,ISNUMBER(AL484),AL484,ISNUMBER(AM484),AM484)</f>
        <v>#N/A</v>
      </c>
      <c r="AO484" s="115" t="str">
        <f t="shared" si="6"/>
        <v/>
      </c>
      <c r="AP484" s="115" t="str">
        <f t="shared" si="7"/>
        <v/>
      </c>
      <c r="AQ484" s="111"/>
      <c r="AR484" s="109" t="str">
        <f t="shared" si="8"/>
        <v/>
      </c>
      <c r="AS484" s="72" t="str">
        <f>IFERROR(IF(AND(Preferences!B$3="Manual",OR(AX484/AW484&gt;V484/U484,BD484="Serious",BD484="Very serious")),"Assess imprecision",IFERROR(IFS(AND(Preferences!B$3="Automatic",V484/U484&gt;=30),"Extremely serious",AND(W484&lt;=$D$1*-1,Y484&lt;0,V484/U484&lt;3),"Not Serious",AND(W484&lt;=$D$1*-1,Y484&lt;0,V484/U484&gt;=3),"Very serious",AND(W484&gt;=$D$1,X484&gt;0,V484/U484&lt;3),"Not Serious",AND(W484&gt;=$D$1,X484&gt;0,V484/U484&gt;=3),"Very serious",AND(W484&lt;=$D$1*-1,Y484&gt;0,X484&gt;$D$2*-1,V484/U484&lt;3),"Serious", AND(W484&lt;=$D$1*-1,Y484&gt;0,X484&lt;$D$2*-1,V484/U484&lt;3),"Very serious", AND(W484&gt;=$D$1,X484&lt;0,Y484&lt;$D$2,V484/U484&lt;3),"Serious",AND(W484&gt;=$D$1,X484&lt;0,Y484&gt;$D$2,V484/U484&lt;3),"Very serious", AND(W484&lt;=$D$1*-1,Y484&gt;0,X484&gt;$D$2*-1,V484/U484&gt;=3),"Very serious", AND(W484&lt;=$D$1*-1,Y484&gt;0,X484&lt;$D$2*-1,V484/U484&gt;=3),"Very serious", AND(W484&gt;=$D$1,X484&lt;0,Y484&lt;$D$2,V484/U484&gt;=3),"Very serious", AND(W484&gt;=$D$1,X484&lt;0,Y484&gt;$D$2,V484/U484&gt;=3),"Very serious", AND(W484&gt;$D$1*-1,W484&lt;$D$1,X484&gt;$D$1*-1,Y484&lt;$D$1,V484/U484&lt;3),"Not Serious", AND(W484&gt;$D$1*-1,W484&lt;$D$1,OR(X484&lt;=$D$1*-1,Y484&gt;=$D$1),X484&gt;$D$2*-1,Y484&lt;$D$2,V484/U484&lt;3),"Serious", AND(W484&gt;$D$1*-1,W484&lt;$D$1,OR(X484&lt;=$D$2*-1,Y484&gt;=$D$2),V484/U484&lt;3),"Very serious", AND(W484&gt;$D$1*-1,W484&lt;$D$1,X484&gt;$D$1*-1,Y484&lt;$D$1,V484/U484&gt;=3),"Very serious", AND(W484&gt;$D$1*-1,W484&lt;$D$1,OR(X484&lt;=$D$1*-1,Y484&gt;=$D$1),X484&gt;$D$2*-1,Y484&lt;$D$2,V484/U484&gt;=3),"Very serious", AND(W484&gt;$D$1*-1,W484&lt;$D$1,OR(X484&lt;=$D$2*-1,Y484&gt;=$D$2),V484/U484&gt;=3),"Very serious"),"")),"")</f>
        <v/>
      </c>
      <c r="AT484" s="109" t="str">
        <f t="shared" si="9"/>
        <v/>
      </c>
      <c r="AU484" s="64"/>
      <c r="AV484" s="83"/>
      <c r="AW484" s="83"/>
      <c r="AX484" s="83"/>
      <c r="AY484" s="83"/>
      <c r="AZ484" s="83"/>
      <c r="BA484" s="85"/>
      <c r="BB484" s="86" t="str">
        <f>IF(Preferences!B$9="Manual","",IFS(ISBLANK(B484),"",AND(ISNUMBER(E484)=TRUE,ISNUMBER(T484)=FALSE),"Direct", AND(ISNUMBER(E484)=FALSE,ISNUMBER(T484)=TRUE),"Indirect", CN484=4,"Direct",AND(CL484=FALSE, CM484=TRUE,CN484-CO484&gt;-1),"Direct", AND(CL484=FALSE,CM484=TRUE, CN484-CO484&lt;0),"Check algorithm in appendix 2", AND(CL484=TRUE, CM484=FALSE,CN484-CO484&gt;0),"Check algorithm in appendix 2", AND(CL484=TRUE, CM484=FALSE,CN484-CO484=0),"Indirect", AND(CL484=TRUE, CM484=FALSE,CN484-CO484&lt;0),"Indirect", AND(CL484=FALSE,CM484=FALSE,CN484-CO484&gt;-1),"Direct", AND(CL484=FALSE,CM484=FALSE,CN484-CO484&lt;0),"Check algorithm in appendix 2", AND(CL484=TRUE,CM484=TRUE,CN484-CO484&gt;-1),"Direct", AND(CL484=TRUE,CM484=TRUE,CN484-CO484&lt;0),"Check algorithm in appendix 2"))</f>
        <v/>
      </c>
      <c r="BC484" s="120" t="str">
        <f t="shared" si="10"/>
        <v/>
      </c>
      <c r="BD484" s="140"/>
      <c r="BE484" s="122" t="str">
        <f>IF(Preferences!B$3="Manual","", IFERROR(IFS(AND(Preferences!B$3="Automatic",AX484/AW484&gt;=30),"Extremely serious",AND(AY484&lt;=$D$1*-1,BA484&lt;0,AX484/AW484&lt;3),"Not Serious",AND(AY484&lt;=$D$1*-1,BA484&lt;0,AX484/AW484&gt;=3),"Very serious",AND(AY484&gt;=$D$1,AZ484&gt;0,AX484/AW484&lt;3),"Not Serious",AND(AY484&gt;=$D$1,AZ484&gt;0,AX484/AW484&gt;=3),"Very serious",AND(AY484&lt;=$D$1*-1,BA484&gt;0,AZ484&gt;$D$2*-1,AX484/AW484&lt;3),"Serious", AND(AY484&lt;=$D$1*-1,BA484&gt;0,AZ484&lt;$D$2*-1,AX484/AW484&lt;3),"Very serious", AND(AY484&gt;=$D$1,AZ484&lt;0,BA484&lt;$D$2,AX484/AW484&lt;3),"Serious",AND(AY484&gt;=$D$1,AZ484&lt;0,BA484&gt;$D$2,AX484/AW484&lt;3),"Very serious", AND(AY484&lt;=$D$1*-1,BA484&gt;0,AZ484&gt;$D$2*-1,AX484/AW484&gt;=3),"Very serious", AND(AY484&lt;=$D$1*-1,BA484&gt;0,AZ484&lt;$D$2*-1,AX484/AW484&gt;=3),"Very serious", AND(AY484&gt;=$D$1,AZ484&lt;0,BA484&lt;$D$2,AX484/AW484&gt;=3),"Very serious", AND(AY484&gt;=$D$1,AZ484&lt;0,BA484&gt;$D$2,AX484/AW484&gt;=3),"Very serious", AND(AY484&gt;$D$1*-1,AY484&lt;$D$1,AZ484&gt;$D$1*-1,BA484&lt;$D$1,AX484/AW484&lt;3),"Not Serious", AND(AY484&gt;$D$1*-1,AY484&lt;$D$1,OR(AZ484&lt;=$D$1*-1,BA484&gt;=$D$1),AZ484&gt;$D$2*-1,BA484&lt;$D$2,AX484/AW484&lt;3),"Serious", AND(AY484&gt;$D$1*-1,AY484&lt;$D$1,OR(AZ484&lt;=$D$2*-1,BA484&gt;=$D$2),AX484/AW484&lt;3),"Very serious", AND(AY484&gt;$D$1*-1,AY484&lt;$D$1,AZ484&gt;$D$1*-1,BA484&lt;$D$1,AX484/AW484&gt;=3),"Very serious", AND(AY484&gt;$D$1*-1,AY484&lt;$D$1,OR(AZ484&lt;=$D$1*-1,BA484&gt;=$D$1),AZ484&gt;$D$2*-1,BA484&lt;$D$2,AX484/AW484&gt;=3),"Very serious", AND(AY484&gt;$D$1*-1,AY484&lt;$D$1,OR(AZ484&lt;=$D$2*-1,BA484&gt;=$D$2),AX484/AW484&gt;=3),"Very serious"),""))</f>
        <v/>
      </c>
      <c r="BF484" s="107" t="str">
        <f t="shared" si="11"/>
        <v/>
      </c>
      <c r="BG484" s="94" t="str">
        <f t="shared" si="46"/>
        <v/>
      </c>
      <c r="BH484" s="64" t="str">
        <f t="shared" si="12"/>
        <v>#N/A</v>
      </c>
      <c r="BI484" s="64" t="str">
        <f t="shared" si="13"/>
        <v/>
      </c>
      <c r="BJ484" s="123" t="str">
        <f t="shared" si="14"/>
        <v>#N/A</v>
      </c>
      <c r="BK484" s="64" t="str">
        <f t="shared" si="50"/>
        <v>YES</v>
      </c>
      <c r="BL484" s="64" t="str">
        <f t="shared" si="16"/>
        <v>YES</v>
      </c>
      <c r="BM484" s="64" t="str">
        <f t="shared" si="17"/>
        <v>YES</v>
      </c>
      <c r="BN484" s="124" t="str">
        <f t="shared" si="18"/>
        <v/>
      </c>
      <c r="BO484" s="91" t="str">
        <f t="shared" si="19"/>
        <v/>
      </c>
      <c r="BP484" s="91" t="str">
        <f t="shared" si="20"/>
        <v>#N/A</v>
      </c>
      <c r="BQ484" s="91" t="str">
        <f t="shared" si="21"/>
        <v/>
      </c>
      <c r="BR484" s="93" t="str">
        <f t="shared" si="22"/>
        <v/>
      </c>
      <c r="BS484" s="90" t="str">
        <f t="shared" si="23"/>
        <v/>
      </c>
      <c r="BT484" s="93" t="str">
        <f t="shared" si="24"/>
        <v>NA</v>
      </c>
      <c r="BU484" s="125" t="str">
        <f t="shared" si="25"/>
        <v>#N/A</v>
      </c>
      <c r="BV484" s="93" t="str">
        <f t="shared" si="26"/>
        <v/>
      </c>
      <c r="BW484" s="93" t="str">
        <f t="shared" si="27"/>
        <v/>
      </c>
      <c r="BX484" s="93" t="str">
        <f t="shared" si="28"/>
        <v>NA</v>
      </c>
      <c r="BY484" s="95" t="str">
        <f t="shared" si="29"/>
        <v>#N/A</v>
      </c>
      <c r="BZ484" s="93" t="str">
        <f t="shared" si="30"/>
        <v/>
      </c>
      <c r="CA484" s="93" t="str">
        <f t="shared" si="31"/>
        <v/>
      </c>
      <c r="CB484" s="93" t="str">
        <f t="shared" si="32"/>
        <v>NA</v>
      </c>
      <c r="CC484" s="96" t="str">
        <f t="shared" si="33"/>
        <v>#N/A</v>
      </c>
      <c r="CD484" s="93" t="str">
        <f t="shared" si="34"/>
        <v/>
      </c>
      <c r="CE484" s="93" t="str">
        <f t="shared" si="35"/>
        <v/>
      </c>
      <c r="CF484" s="93" t="str">
        <f t="shared" si="36"/>
        <v>NA</v>
      </c>
      <c r="CG484" s="97" t="str">
        <f t="shared" si="37"/>
        <v>#N/A</v>
      </c>
      <c r="CH484" s="98" t="str">
        <f t="shared" si="38"/>
        <v>#N/A</v>
      </c>
      <c r="CI484" s="99" t="str">
        <f t="shared" si="39"/>
        <v>#N/A</v>
      </c>
      <c r="CJ484" s="126" t="str">
        <f t="shared" si="40"/>
        <v>ERROR: check cell</v>
      </c>
      <c r="CK484" s="126"/>
      <c r="CL484" s="127" t="str">
        <f t="shared" si="41"/>
        <v>#DIV/0!</v>
      </c>
      <c r="CM484" s="128" t="str">
        <f t="shared" si="42"/>
        <v>#DIV/0!</v>
      </c>
      <c r="CN484" s="128">
        <f t="shared" si="43"/>
        <v>4</v>
      </c>
      <c r="CO484" s="129">
        <f t="shared" si="44"/>
        <v>4</v>
      </c>
      <c r="CP484" s="129" t="str">
        <f>IFS(C484=Preferences!B$13,B484,B484=Preferences!B$13,C484)</f>
        <v>#N/A</v>
      </c>
    </row>
    <row r="485" ht="13.5" customHeight="1">
      <c r="A485" s="63" t="str">
        <f t="shared" si="45"/>
        <v/>
      </c>
      <c r="B485" s="64"/>
      <c r="C485" s="64"/>
      <c r="D485" s="64"/>
      <c r="E485" s="65"/>
      <c r="F485" s="65"/>
      <c r="G485" s="65"/>
      <c r="H485" s="66"/>
      <c r="I485" s="66"/>
      <c r="J485" s="67"/>
      <c r="K485" s="68"/>
      <c r="L485" s="104"/>
      <c r="M485" s="104"/>
      <c r="N485" s="104"/>
      <c r="O485" s="104"/>
      <c r="P485" s="107" t="str">
        <f t="shared" si="1"/>
        <v/>
      </c>
      <c r="Q485" s="108" t="str">
        <f>IFERROR(IF(AND(Preferences!B$3="Manual",OR(AX485/AW485&gt;G485/F485,BD485="Serious",BD485="Very serious")),"Assess imprecision",IFS(ISBLANK(E485),"",AND(Preferences!B$3="Automatic", G485/F485&gt;=30),"Extremely serious",AND(H485&lt;=$D$1*-1,J485&lt;0,G485/F485&lt;3),"Not serious",AND(H485&lt;=$D$1*-1,J485&lt;0,G485/F485&gt;=3),"Very serious",AND(H485&gt;=$D$1,I485&gt;0,G485/F485&lt;3),"Not serious",AND(H485&gt;=$D$1,I485&gt;0,G485/F485&gt;=3),"Very serious",AND(H485&lt;=$D$1*-1,J485&gt;0,I485&gt;$D$2*-1,G485/F485&lt;3),"Serious", AND(H485&lt;=$D$1*-1,J485&gt;0,I485&lt;$D$2*-1,G485/F485&lt;3),"Very serious", AND(H485&gt;=$D$1,I485&lt;0,J485&lt;$D$2,G485/F485&lt;3),"Serious",AND(H485&gt;=$D$1,I485&lt;0,J485&gt;$D$2,G485/F485&lt;3),"Very serious", AND(H485&lt;=$D$1*-1,J485&gt;0,I485&gt;$D$2*-1,G485/F485&gt;=3),"Very serious", AND(H485&lt;=$D$1*-1,J485&gt;0,I485&lt;$D$2*-1,G485/F485&gt;=3),"Very serious", AND(H485&gt;=$D$1,I485&lt;0,J485&lt;$D$2,G485/F485&gt;=3),"Very serious", AND(H485&gt;=$D$1,I485&lt;0,J485&gt;$D$2,G485/F485&gt;=3),"Very serious", AND(H485&gt;$D$1*-1,H485&lt;$D$1,I485&gt;$D$1*-1,J485&lt;$D$1,G485/F485&lt;3),"Not serious", AND(H485&gt;$D$1*-1,H485&lt;$D$1,OR(I485&lt;=$D$1*-1,J485&gt;=$D$1),I485&gt;$D$2*-1,J485&lt;$D$2,G485/F485&lt;3),"Serious", AND(H485&gt;$D$1*-1,H485&lt;$D$1,OR(I485&lt;=$D$2*-1,J485&gt;=$D$2),G485/F485&lt;3),"Very serious", AND(H485&gt;$D$1*-1,H485&lt;$D$1,I485&gt;$D$1*-1,J485&lt;$D$1,G485/F485&gt;=3),"Very serious", AND(H485&gt;$D$1*-1,H485&lt;$D$1,OR(I485&lt;=$D$1*-1,J485&gt;=$D$1),I485&gt;$D$2*-1,J485&lt;$D$2,G485/F485&gt;=3),"Very serious", AND(H485&gt;$D$1*-1,H485&lt;$D$1,OR(I485&lt;=$D$2*-1,J485&gt;=$D$2),G485/F485&gt;=3),"Very serious")),"")</f>
        <v/>
      </c>
      <c r="R485" s="109" t="str">
        <f t="shared" si="47"/>
        <v/>
      </c>
      <c r="S485" s="64"/>
      <c r="T485" s="72"/>
      <c r="U485" s="72"/>
      <c r="V485" s="72"/>
      <c r="W485" s="73"/>
      <c r="X485" s="73"/>
      <c r="Y485" s="74"/>
      <c r="Z485" s="113" t="str">
        <f t="array" ref="Z485">INDEX($A$1:$C$500, MATCH(1,($B:$B=$B485)*($C:$C=$AB485),0),1)</f>
        <v/>
      </c>
      <c r="AA485" s="113" t="str">
        <f t="array" ref="AA485">INDEX($A$1:$C$500, MATCH(1,($B:$B=$AB485)*($C:$C=$B485),0),1)</f>
        <v/>
      </c>
      <c r="AB485" s="111"/>
      <c r="AC485" s="114" t="str">
        <f t="shared" si="2"/>
        <v/>
      </c>
      <c r="AD485" s="115" t="str">
        <f t="shared" si="3"/>
        <v/>
      </c>
      <c r="AE485" s="116" t="str">
        <f t="array" ref="AE485">INDEX($A$1:$C$500, MATCH(1,($B:$B=$AB485)*($C:$C=$AG485),0),1)</f>
        <v/>
      </c>
      <c r="AF485" s="116" t="str">
        <f t="array" ref="AF485">INDEX($A$1:$C$500, MATCH(1,($B:$B=$AG485)*($C:$C=$AB485),0),1)</f>
        <v/>
      </c>
      <c r="AG485" s="72"/>
      <c r="AH485" s="114" t="str">
        <f t="shared" si="4"/>
        <v/>
      </c>
      <c r="AI485" s="115" t="str">
        <f t="shared" si="5"/>
        <v/>
      </c>
      <c r="AJ485" s="116" t="str">
        <f t="array" ref="AJ485">INDEX($A$1:$C$500, MATCH(1,($B:$B=$C485)*($C:$C=$AG485),0),1)</f>
        <v/>
      </c>
      <c r="AK485" s="116" t="str">
        <f t="array" ref="AK485">INDEX($A$1:$C$500, MATCH(1,($B:$B=$AG485)*($C:$C=$C485),0),1)</f>
        <v/>
      </c>
      <c r="AL485" s="116" t="str">
        <f t="array" ref="AL485">INDEX($A$1:$C$500, MATCH(1,($B:$B=$C485)*($C:$C=$AB485),0),1)</f>
        <v/>
      </c>
      <c r="AM485" s="116" t="str">
        <f t="array" ref="AM485">INDEX($A$1:$C$500, MATCH(1,($B:$B=$AB485)*($C:$C=$C485),0),1)</f>
        <v/>
      </c>
      <c r="AN485" s="114" t="str">
        <f t="array" ref="AN485">IFS(ISNUMBER(AJ485),AJ485,ISNUMBER(AK485),AK485,ISNUMBER(AL485),AL485,ISNUMBER(AM485),AM485)</f>
        <v>#N/A</v>
      </c>
      <c r="AO485" s="115" t="str">
        <f t="shared" si="6"/>
        <v/>
      </c>
      <c r="AP485" s="115" t="str">
        <f t="shared" si="7"/>
        <v/>
      </c>
      <c r="AQ485" s="111"/>
      <c r="AR485" s="109" t="str">
        <f t="shared" si="8"/>
        <v/>
      </c>
      <c r="AS485" s="72" t="str">
        <f>IFERROR(IF(AND(Preferences!B$3="Manual",OR(AX485/AW485&gt;V485/U485,BD485="Serious",BD485="Very serious")),"Assess imprecision",IFERROR(IFS(AND(Preferences!B$3="Automatic",V485/U485&gt;=30),"Extremely serious",AND(W485&lt;=$D$1*-1,Y485&lt;0,V485/U485&lt;3),"Not Serious",AND(W485&lt;=$D$1*-1,Y485&lt;0,V485/U485&gt;=3),"Very serious",AND(W485&gt;=$D$1,X485&gt;0,V485/U485&lt;3),"Not Serious",AND(W485&gt;=$D$1,X485&gt;0,V485/U485&gt;=3),"Very serious",AND(W485&lt;=$D$1*-1,Y485&gt;0,X485&gt;$D$2*-1,V485/U485&lt;3),"Serious", AND(W485&lt;=$D$1*-1,Y485&gt;0,X485&lt;$D$2*-1,V485/U485&lt;3),"Very serious", AND(W485&gt;=$D$1,X485&lt;0,Y485&lt;$D$2,V485/U485&lt;3),"Serious",AND(W485&gt;=$D$1,X485&lt;0,Y485&gt;$D$2,V485/U485&lt;3),"Very serious", AND(W485&lt;=$D$1*-1,Y485&gt;0,X485&gt;$D$2*-1,V485/U485&gt;=3),"Very serious", AND(W485&lt;=$D$1*-1,Y485&gt;0,X485&lt;$D$2*-1,V485/U485&gt;=3),"Very serious", AND(W485&gt;=$D$1,X485&lt;0,Y485&lt;$D$2,V485/U485&gt;=3),"Very serious", AND(W485&gt;=$D$1,X485&lt;0,Y485&gt;$D$2,V485/U485&gt;=3),"Very serious", AND(W485&gt;$D$1*-1,W485&lt;$D$1,X485&gt;$D$1*-1,Y485&lt;$D$1,V485/U485&lt;3),"Not Serious", AND(W485&gt;$D$1*-1,W485&lt;$D$1,OR(X485&lt;=$D$1*-1,Y485&gt;=$D$1),X485&gt;$D$2*-1,Y485&lt;$D$2,V485/U485&lt;3),"Serious", AND(W485&gt;$D$1*-1,W485&lt;$D$1,OR(X485&lt;=$D$2*-1,Y485&gt;=$D$2),V485/U485&lt;3),"Very serious", AND(W485&gt;$D$1*-1,W485&lt;$D$1,X485&gt;$D$1*-1,Y485&lt;$D$1,V485/U485&gt;=3),"Very serious", AND(W485&gt;$D$1*-1,W485&lt;$D$1,OR(X485&lt;=$D$1*-1,Y485&gt;=$D$1),X485&gt;$D$2*-1,Y485&lt;$D$2,V485/U485&gt;=3),"Very serious", AND(W485&gt;$D$1*-1,W485&lt;$D$1,OR(X485&lt;=$D$2*-1,Y485&gt;=$D$2),V485/U485&gt;=3),"Very serious"),"")),"")</f>
        <v/>
      </c>
      <c r="AT485" s="109" t="str">
        <f t="shared" si="9"/>
        <v/>
      </c>
      <c r="AU485" s="64"/>
      <c r="AV485" s="83"/>
      <c r="AW485" s="83"/>
      <c r="AX485" s="83"/>
      <c r="AY485" s="83"/>
      <c r="AZ485" s="83"/>
      <c r="BA485" s="85"/>
      <c r="BB485" s="86" t="str">
        <f>IF(Preferences!B$9="Manual","",IFS(ISBLANK(B485),"",AND(ISNUMBER(E485)=TRUE,ISNUMBER(T485)=FALSE),"Direct", AND(ISNUMBER(E485)=FALSE,ISNUMBER(T485)=TRUE),"Indirect", CN485=4,"Direct",AND(CL485=FALSE, CM485=TRUE,CN485-CO485&gt;-1),"Direct", AND(CL485=FALSE,CM485=TRUE, CN485-CO485&lt;0),"Check algorithm in appendix 2", AND(CL485=TRUE, CM485=FALSE,CN485-CO485&gt;0),"Check algorithm in appendix 2", AND(CL485=TRUE, CM485=FALSE,CN485-CO485=0),"Indirect", AND(CL485=TRUE, CM485=FALSE,CN485-CO485&lt;0),"Indirect", AND(CL485=FALSE,CM485=FALSE,CN485-CO485&gt;-1),"Direct", AND(CL485=FALSE,CM485=FALSE,CN485-CO485&lt;0),"Check algorithm in appendix 2", AND(CL485=TRUE,CM485=TRUE,CN485-CO485&gt;-1),"Direct", AND(CL485=TRUE,CM485=TRUE,CN485-CO485&lt;0),"Check algorithm in appendix 2"))</f>
        <v/>
      </c>
      <c r="BC485" s="120" t="str">
        <f t="shared" si="10"/>
        <v/>
      </c>
      <c r="BD485" s="140"/>
      <c r="BE485" s="122" t="str">
        <f>IF(Preferences!B$3="Manual","", IFERROR(IFS(AND(Preferences!B$3="Automatic",AX485/AW485&gt;=30),"Extremely serious",AND(AY485&lt;=$D$1*-1,BA485&lt;0,AX485/AW485&lt;3),"Not Serious",AND(AY485&lt;=$D$1*-1,BA485&lt;0,AX485/AW485&gt;=3),"Very serious",AND(AY485&gt;=$D$1,AZ485&gt;0,AX485/AW485&lt;3),"Not Serious",AND(AY485&gt;=$D$1,AZ485&gt;0,AX485/AW485&gt;=3),"Very serious",AND(AY485&lt;=$D$1*-1,BA485&gt;0,AZ485&gt;$D$2*-1,AX485/AW485&lt;3),"Serious", AND(AY485&lt;=$D$1*-1,BA485&gt;0,AZ485&lt;$D$2*-1,AX485/AW485&lt;3),"Very serious", AND(AY485&gt;=$D$1,AZ485&lt;0,BA485&lt;$D$2,AX485/AW485&lt;3),"Serious",AND(AY485&gt;=$D$1,AZ485&lt;0,BA485&gt;$D$2,AX485/AW485&lt;3),"Very serious", AND(AY485&lt;=$D$1*-1,BA485&gt;0,AZ485&gt;$D$2*-1,AX485/AW485&gt;=3),"Very serious", AND(AY485&lt;=$D$1*-1,BA485&gt;0,AZ485&lt;$D$2*-1,AX485/AW485&gt;=3),"Very serious", AND(AY485&gt;=$D$1,AZ485&lt;0,BA485&lt;$D$2,AX485/AW485&gt;=3),"Very serious", AND(AY485&gt;=$D$1,AZ485&lt;0,BA485&gt;$D$2,AX485/AW485&gt;=3),"Very serious", AND(AY485&gt;$D$1*-1,AY485&lt;$D$1,AZ485&gt;$D$1*-1,BA485&lt;$D$1,AX485/AW485&lt;3),"Not Serious", AND(AY485&gt;$D$1*-1,AY485&lt;$D$1,OR(AZ485&lt;=$D$1*-1,BA485&gt;=$D$1),AZ485&gt;$D$2*-1,BA485&lt;$D$2,AX485/AW485&lt;3),"Serious", AND(AY485&gt;$D$1*-1,AY485&lt;$D$1,OR(AZ485&lt;=$D$2*-1,BA485&gt;=$D$2),AX485/AW485&lt;3),"Very serious", AND(AY485&gt;$D$1*-1,AY485&lt;$D$1,AZ485&gt;$D$1*-1,BA485&lt;$D$1,AX485/AW485&gt;=3),"Very serious", AND(AY485&gt;$D$1*-1,AY485&lt;$D$1,OR(AZ485&lt;=$D$1*-1,BA485&gt;=$D$1),AZ485&gt;$D$2*-1,BA485&lt;$D$2,AX485/AW485&gt;=3),"Very serious", AND(AY485&gt;$D$1*-1,AY485&lt;$D$1,OR(AZ485&lt;=$D$2*-1,BA485&gt;=$D$2),AX485/AW485&gt;=3),"Very serious"),""))</f>
        <v/>
      </c>
      <c r="BF485" s="107" t="str">
        <f t="shared" si="11"/>
        <v/>
      </c>
      <c r="BG485" s="94" t="str">
        <f t="shared" si="46"/>
        <v/>
      </c>
      <c r="BH485" s="64" t="str">
        <f t="shared" si="12"/>
        <v>#N/A</v>
      </c>
      <c r="BI485" s="64" t="str">
        <f t="shared" si="13"/>
        <v/>
      </c>
      <c r="BJ485" s="123" t="str">
        <f t="shared" si="14"/>
        <v>#N/A</v>
      </c>
      <c r="BK485" s="64" t="str">
        <f t="shared" si="50"/>
        <v>YES</v>
      </c>
      <c r="BL485" s="64" t="str">
        <f t="shared" si="16"/>
        <v>YES</v>
      </c>
      <c r="BM485" s="64" t="str">
        <f t="shared" si="17"/>
        <v>YES</v>
      </c>
      <c r="BN485" s="124" t="str">
        <f t="shared" si="18"/>
        <v/>
      </c>
      <c r="BO485" s="91" t="str">
        <f t="shared" si="19"/>
        <v/>
      </c>
      <c r="BP485" s="91" t="str">
        <f t="shared" si="20"/>
        <v>#N/A</v>
      </c>
      <c r="BQ485" s="91" t="str">
        <f t="shared" si="21"/>
        <v/>
      </c>
      <c r="BR485" s="93" t="str">
        <f t="shared" si="22"/>
        <v/>
      </c>
      <c r="BS485" s="90" t="str">
        <f t="shared" si="23"/>
        <v/>
      </c>
      <c r="BT485" s="93" t="str">
        <f t="shared" si="24"/>
        <v>NA</v>
      </c>
      <c r="BU485" s="125" t="str">
        <f t="shared" si="25"/>
        <v>#N/A</v>
      </c>
      <c r="BV485" s="93" t="str">
        <f t="shared" si="26"/>
        <v/>
      </c>
      <c r="BW485" s="93" t="str">
        <f t="shared" si="27"/>
        <v/>
      </c>
      <c r="BX485" s="93" t="str">
        <f t="shared" si="28"/>
        <v>NA</v>
      </c>
      <c r="BY485" s="95" t="str">
        <f t="shared" si="29"/>
        <v>#N/A</v>
      </c>
      <c r="BZ485" s="93" t="str">
        <f t="shared" si="30"/>
        <v/>
      </c>
      <c r="CA485" s="93" t="str">
        <f t="shared" si="31"/>
        <v/>
      </c>
      <c r="CB485" s="93" t="str">
        <f t="shared" si="32"/>
        <v>NA</v>
      </c>
      <c r="CC485" s="96" t="str">
        <f t="shared" si="33"/>
        <v>#N/A</v>
      </c>
      <c r="CD485" s="93" t="str">
        <f t="shared" si="34"/>
        <v/>
      </c>
      <c r="CE485" s="93" t="str">
        <f t="shared" si="35"/>
        <v/>
      </c>
      <c r="CF485" s="93" t="str">
        <f t="shared" si="36"/>
        <v>NA</v>
      </c>
      <c r="CG485" s="97" t="str">
        <f t="shared" si="37"/>
        <v>#N/A</v>
      </c>
      <c r="CH485" s="98" t="str">
        <f t="shared" si="38"/>
        <v>#N/A</v>
      </c>
      <c r="CI485" s="99" t="str">
        <f t="shared" si="39"/>
        <v>#N/A</v>
      </c>
      <c r="CJ485" s="126" t="str">
        <f t="shared" si="40"/>
        <v>ERROR: check cell</v>
      </c>
      <c r="CK485" s="126"/>
      <c r="CL485" s="127" t="str">
        <f t="shared" si="41"/>
        <v>#DIV/0!</v>
      </c>
      <c r="CM485" s="128" t="str">
        <f t="shared" si="42"/>
        <v>#DIV/0!</v>
      </c>
      <c r="CN485" s="128">
        <f t="shared" si="43"/>
        <v>4</v>
      </c>
      <c r="CO485" s="129">
        <f t="shared" si="44"/>
        <v>4</v>
      </c>
      <c r="CP485" s="129" t="str">
        <f>IFS(C485=Preferences!B$13,B485,B485=Preferences!B$13,C485)</f>
        <v>#N/A</v>
      </c>
    </row>
    <row r="486" ht="13.5" customHeight="1">
      <c r="A486" s="63" t="str">
        <f t="shared" si="45"/>
        <v/>
      </c>
      <c r="B486" s="64"/>
      <c r="C486" s="64"/>
      <c r="D486" s="64"/>
      <c r="E486" s="65"/>
      <c r="F486" s="65"/>
      <c r="G486" s="65"/>
      <c r="H486" s="66"/>
      <c r="I486" s="66"/>
      <c r="J486" s="67"/>
      <c r="K486" s="68"/>
      <c r="L486" s="104"/>
      <c r="M486" s="104"/>
      <c r="N486" s="104"/>
      <c r="O486" s="104"/>
      <c r="P486" s="107" t="str">
        <f t="shared" si="1"/>
        <v/>
      </c>
      <c r="Q486" s="108" t="str">
        <f>IFERROR(IF(AND(Preferences!B$3="Manual",OR(AX486/AW486&gt;G486/F486,BD486="Serious",BD486="Very serious")),"Assess imprecision",IFS(ISBLANK(E486),"",AND(Preferences!B$3="Automatic", G486/F486&gt;=30),"Extremely serious",AND(H486&lt;=$D$1*-1,J486&lt;0,G486/F486&lt;3),"Not serious",AND(H486&lt;=$D$1*-1,J486&lt;0,G486/F486&gt;=3),"Very serious",AND(H486&gt;=$D$1,I486&gt;0,G486/F486&lt;3),"Not serious",AND(H486&gt;=$D$1,I486&gt;0,G486/F486&gt;=3),"Very serious",AND(H486&lt;=$D$1*-1,J486&gt;0,I486&gt;$D$2*-1,G486/F486&lt;3),"Serious", AND(H486&lt;=$D$1*-1,J486&gt;0,I486&lt;$D$2*-1,G486/F486&lt;3),"Very serious", AND(H486&gt;=$D$1,I486&lt;0,J486&lt;$D$2,G486/F486&lt;3),"Serious",AND(H486&gt;=$D$1,I486&lt;0,J486&gt;$D$2,G486/F486&lt;3),"Very serious", AND(H486&lt;=$D$1*-1,J486&gt;0,I486&gt;$D$2*-1,G486/F486&gt;=3),"Very serious", AND(H486&lt;=$D$1*-1,J486&gt;0,I486&lt;$D$2*-1,G486/F486&gt;=3),"Very serious", AND(H486&gt;=$D$1,I486&lt;0,J486&lt;$D$2,G486/F486&gt;=3),"Very serious", AND(H486&gt;=$D$1,I486&lt;0,J486&gt;$D$2,G486/F486&gt;=3),"Very serious", AND(H486&gt;$D$1*-1,H486&lt;$D$1,I486&gt;$D$1*-1,J486&lt;$D$1,G486/F486&lt;3),"Not serious", AND(H486&gt;$D$1*-1,H486&lt;$D$1,OR(I486&lt;=$D$1*-1,J486&gt;=$D$1),I486&gt;$D$2*-1,J486&lt;$D$2,G486/F486&lt;3),"Serious", AND(H486&gt;$D$1*-1,H486&lt;$D$1,OR(I486&lt;=$D$2*-1,J486&gt;=$D$2),G486/F486&lt;3),"Very serious", AND(H486&gt;$D$1*-1,H486&lt;$D$1,I486&gt;$D$1*-1,J486&lt;$D$1,G486/F486&gt;=3),"Very serious", AND(H486&gt;$D$1*-1,H486&lt;$D$1,OR(I486&lt;=$D$1*-1,J486&gt;=$D$1),I486&gt;$D$2*-1,J486&lt;$D$2,G486/F486&gt;=3),"Very serious", AND(H486&gt;$D$1*-1,H486&lt;$D$1,OR(I486&lt;=$D$2*-1,J486&gt;=$D$2),G486/F486&gt;=3),"Very serious")),"")</f>
        <v/>
      </c>
      <c r="R486" s="109" t="str">
        <f t="shared" si="47"/>
        <v/>
      </c>
      <c r="S486" s="64"/>
      <c r="T486" s="72"/>
      <c r="U486" s="72"/>
      <c r="V486" s="72"/>
      <c r="W486" s="73"/>
      <c r="X486" s="73"/>
      <c r="Y486" s="74"/>
      <c r="Z486" s="113" t="str">
        <f t="array" ref="Z486">INDEX($A$1:$C$500, MATCH(1,($B:$B=$B486)*($C:$C=$AB486),0),1)</f>
        <v/>
      </c>
      <c r="AA486" s="113" t="str">
        <f t="array" ref="AA486">INDEX($A$1:$C$500, MATCH(1,($B:$B=$AB486)*($C:$C=$B486),0),1)</f>
        <v/>
      </c>
      <c r="AB486" s="111"/>
      <c r="AC486" s="114" t="str">
        <f t="shared" si="2"/>
        <v/>
      </c>
      <c r="AD486" s="115" t="str">
        <f t="shared" si="3"/>
        <v/>
      </c>
      <c r="AE486" s="116" t="str">
        <f t="array" ref="AE486">INDEX($A$1:$C$500, MATCH(1,($B:$B=$AB486)*($C:$C=$AG486),0),1)</f>
        <v/>
      </c>
      <c r="AF486" s="116" t="str">
        <f t="array" ref="AF486">INDEX($A$1:$C$500, MATCH(1,($B:$B=$AG486)*($C:$C=$AB486),0),1)</f>
        <v/>
      </c>
      <c r="AG486" s="72"/>
      <c r="AH486" s="114" t="str">
        <f t="shared" si="4"/>
        <v/>
      </c>
      <c r="AI486" s="115" t="str">
        <f t="shared" si="5"/>
        <v/>
      </c>
      <c r="AJ486" s="116" t="str">
        <f t="array" ref="AJ486">INDEX($A$1:$C$500, MATCH(1,($B:$B=$C486)*($C:$C=$AG486),0),1)</f>
        <v/>
      </c>
      <c r="AK486" s="116" t="str">
        <f t="array" ref="AK486">INDEX($A$1:$C$500, MATCH(1,($B:$B=$AG486)*($C:$C=$C486),0),1)</f>
        <v/>
      </c>
      <c r="AL486" s="116" t="str">
        <f t="array" ref="AL486">INDEX($A$1:$C$500, MATCH(1,($B:$B=$C486)*($C:$C=$AB486),0),1)</f>
        <v/>
      </c>
      <c r="AM486" s="116" t="str">
        <f t="array" ref="AM486">INDEX($A$1:$C$500, MATCH(1,($B:$B=$AB486)*($C:$C=$C486),0),1)</f>
        <v/>
      </c>
      <c r="AN486" s="114" t="str">
        <f t="array" ref="AN486">IFS(ISNUMBER(AJ486),AJ486,ISNUMBER(AK486),AK486,ISNUMBER(AL486),AL486,ISNUMBER(AM486),AM486)</f>
        <v>#N/A</v>
      </c>
      <c r="AO486" s="115" t="str">
        <f t="shared" si="6"/>
        <v/>
      </c>
      <c r="AP486" s="115" t="str">
        <f t="shared" si="7"/>
        <v/>
      </c>
      <c r="AQ486" s="111"/>
      <c r="AR486" s="109" t="str">
        <f t="shared" si="8"/>
        <v/>
      </c>
      <c r="AS486" s="72" t="str">
        <f>IFERROR(IF(AND(Preferences!B$3="Manual",OR(AX486/AW486&gt;V486/U486,BD486="Serious",BD486="Very serious")),"Assess imprecision",IFERROR(IFS(AND(Preferences!B$3="Automatic",V486/U486&gt;=30),"Extremely serious",AND(W486&lt;=$D$1*-1,Y486&lt;0,V486/U486&lt;3),"Not Serious",AND(W486&lt;=$D$1*-1,Y486&lt;0,V486/U486&gt;=3),"Very serious",AND(W486&gt;=$D$1,X486&gt;0,V486/U486&lt;3),"Not Serious",AND(W486&gt;=$D$1,X486&gt;0,V486/U486&gt;=3),"Very serious",AND(W486&lt;=$D$1*-1,Y486&gt;0,X486&gt;$D$2*-1,V486/U486&lt;3),"Serious", AND(W486&lt;=$D$1*-1,Y486&gt;0,X486&lt;$D$2*-1,V486/U486&lt;3),"Very serious", AND(W486&gt;=$D$1,X486&lt;0,Y486&lt;$D$2,V486/U486&lt;3),"Serious",AND(W486&gt;=$D$1,X486&lt;0,Y486&gt;$D$2,V486/U486&lt;3),"Very serious", AND(W486&lt;=$D$1*-1,Y486&gt;0,X486&gt;$D$2*-1,V486/U486&gt;=3),"Very serious", AND(W486&lt;=$D$1*-1,Y486&gt;0,X486&lt;$D$2*-1,V486/U486&gt;=3),"Very serious", AND(W486&gt;=$D$1,X486&lt;0,Y486&lt;$D$2,V486/U486&gt;=3),"Very serious", AND(W486&gt;=$D$1,X486&lt;0,Y486&gt;$D$2,V486/U486&gt;=3),"Very serious", AND(W486&gt;$D$1*-1,W486&lt;$D$1,X486&gt;$D$1*-1,Y486&lt;$D$1,V486/U486&lt;3),"Not Serious", AND(W486&gt;$D$1*-1,W486&lt;$D$1,OR(X486&lt;=$D$1*-1,Y486&gt;=$D$1),X486&gt;$D$2*-1,Y486&lt;$D$2,V486/U486&lt;3),"Serious", AND(W486&gt;$D$1*-1,W486&lt;$D$1,OR(X486&lt;=$D$2*-1,Y486&gt;=$D$2),V486/U486&lt;3),"Very serious", AND(W486&gt;$D$1*-1,W486&lt;$D$1,X486&gt;$D$1*-1,Y486&lt;$D$1,V486/U486&gt;=3),"Very serious", AND(W486&gt;$D$1*-1,W486&lt;$D$1,OR(X486&lt;=$D$1*-1,Y486&gt;=$D$1),X486&gt;$D$2*-1,Y486&lt;$D$2,V486/U486&gt;=3),"Very serious", AND(W486&gt;$D$1*-1,W486&lt;$D$1,OR(X486&lt;=$D$2*-1,Y486&gt;=$D$2),V486/U486&gt;=3),"Very serious"),"")),"")</f>
        <v/>
      </c>
      <c r="AT486" s="109" t="str">
        <f t="shared" si="9"/>
        <v/>
      </c>
      <c r="AU486" s="64"/>
      <c r="AV486" s="83"/>
      <c r="AW486" s="83"/>
      <c r="AX486" s="83"/>
      <c r="AY486" s="83"/>
      <c r="AZ486" s="83"/>
      <c r="BA486" s="85"/>
      <c r="BB486" s="86" t="str">
        <f>IF(Preferences!B$9="Manual","",IFS(ISBLANK(B486),"",AND(ISNUMBER(E486)=TRUE,ISNUMBER(T486)=FALSE),"Direct", AND(ISNUMBER(E486)=FALSE,ISNUMBER(T486)=TRUE),"Indirect", CN486=4,"Direct",AND(CL486=FALSE, CM486=TRUE,CN486-CO486&gt;-1),"Direct", AND(CL486=FALSE,CM486=TRUE, CN486-CO486&lt;0),"Check algorithm in appendix 2", AND(CL486=TRUE, CM486=FALSE,CN486-CO486&gt;0),"Check algorithm in appendix 2", AND(CL486=TRUE, CM486=FALSE,CN486-CO486=0),"Indirect", AND(CL486=TRUE, CM486=FALSE,CN486-CO486&lt;0),"Indirect", AND(CL486=FALSE,CM486=FALSE,CN486-CO486&gt;-1),"Direct", AND(CL486=FALSE,CM486=FALSE,CN486-CO486&lt;0),"Check algorithm in appendix 2", AND(CL486=TRUE,CM486=TRUE,CN486-CO486&gt;-1),"Direct", AND(CL486=TRUE,CM486=TRUE,CN486-CO486&lt;0),"Check algorithm in appendix 2"))</f>
        <v/>
      </c>
      <c r="BC486" s="120" t="str">
        <f t="shared" si="10"/>
        <v/>
      </c>
      <c r="BD486" s="140"/>
      <c r="BE486" s="122" t="str">
        <f>IF(Preferences!B$3="Manual","", IFERROR(IFS(AND(Preferences!B$3="Automatic",AX486/AW486&gt;=30),"Extremely serious",AND(AY486&lt;=$D$1*-1,BA486&lt;0,AX486/AW486&lt;3),"Not Serious",AND(AY486&lt;=$D$1*-1,BA486&lt;0,AX486/AW486&gt;=3),"Very serious",AND(AY486&gt;=$D$1,AZ486&gt;0,AX486/AW486&lt;3),"Not Serious",AND(AY486&gt;=$D$1,AZ486&gt;0,AX486/AW486&gt;=3),"Very serious",AND(AY486&lt;=$D$1*-1,BA486&gt;0,AZ486&gt;$D$2*-1,AX486/AW486&lt;3),"Serious", AND(AY486&lt;=$D$1*-1,BA486&gt;0,AZ486&lt;$D$2*-1,AX486/AW486&lt;3),"Very serious", AND(AY486&gt;=$D$1,AZ486&lt;0,BA486&lt;$D$2,AX486/AW486&lt;3),"Serious",AND(AY486&gt;=$D$1,AZ486&lt;0,BA486&gt;$D$2,AX486/AW486&lt;3),"Very serious", AND(AY486&lt;=$D$1*-1,BA486&gt;0,AZ486&gt;$D$2*-1,AX486/AW486&gt;=3),"Very serious", AND(AY486&lt;=$D$1*-1,BA486&gt;0,AZ486&lt;$D$2*-1,AX486/AW486&gt;=3),"Very serious", AND(AY486&gt;=$D$1,AZ486&lt;0,BA486&lt;$D$2,AX486/AW486&gt;=3),"Very serious", AND(AY486&gt;=$D$1,AZ486&lt;0,BA486&gt;$D$2,AX486/AW486&gt;=3),"Very serious", AND(AY486&gt;$D$1*-1,AY486&lt;$D$1,AZ486&gt;$D$1*-1,BA486&lt;$D$1,AX486/AW486&lt;3),"Not Serious", AND(AY486&gt;$D$1*-1,AY486&lt;$D$1,OR(AZ486&lt;=$D$1*-1,BA486&gt;=$D$1),AZ486&gt;$D$2*-1,BA486&lt;$D$2,AX486/AW486&lt;3),"Serious", AND(AY486&gt;$D$1*-1,AY486&lt;$D$1,OR(AZ486&lt;=$D$2*-1,BA486&gt;=$D$2),AX486/AW486&lt;3),"Very serious", AND(AY486&gt;$D$1*-1,AY486&lt;$D$1,AZ486&gt;$D$1*-1,BA486&lt;$D$1,AX486/AW486&gt;=3),"Very serious", AND(AY486&gt;$D$1*-1,AY486&lt;$D$1,OR(AZ486&lt;=$D$1*-1,BA486&gt;=$D$1),AZ486&gt;$D$2*-1,BA486&lt;$D$2,AX486/AW486&gt;=3),"Very serious", AND(AY486&gt;$D$1*-1,AY486&lt;$D$1,OR(AZ486&lt;=$D$2*-1,BA486&gt;=$D$2),AX486/AW486&gt;=3),"Very serious"),""))</f>
        <v/>
      </c>
      <c r="BF486" s="107" t="str">
        <f t="shared" si="11"/>
        <v/>
      </c>
      <c r="BG486" s="94" t="str">
        <f t="shared" si="46"/>
        <v/>
      </c>
      <c r="BH486" s="64" t="str">
        <f t="shared" si="12"/>
        <v>#N/A</v>
      </c>
      <c r="BI486" s="64" t="str">
        <f t="shared" si="13"/>
        <v/>
      </c>
      <c r="BJ486" s="123" t="str">
        <f t="shared" si="14"/>
        <v>#N/A</v>
      </c>
      <c r="BK486" s="64" t="str">
        <f t="shared" si="50"/>
        <v>YES</v>
      </c>
      <c r="BL486" s="64" t="str">
        <f t="shared" si="16"/>
        <v>YES</v>
      </c>
      <c r="BM486" s="64" t="str">
        <f t="shared" si="17"/>
        <v>YES</v>
      </c>
      <c r="BN486" s="124" t="str">
        <f t="shared" si="18"/>
        <v/>
      </c>
      <c r="BO486" s="91" t="str">
        <f t="shared" si="19"/>
        <v/>
      </c>
      <c r="BP486" s="91" t="str">
        <f t="shared" si="20"/>
        <v>#N/A</v>
      </c>
      <c r="BQ486" s="91" t="str">
        <f t="shared" si="21"/>
        <v/>
      </c>
      <c r="BR486" s="93" t="str">
        <f t="shared" si="22"/>
        <v/>
      </c>
      <c r="BS486" s="90" t="str">
        <f t="shared" si="23"/>
        <v/>
      </c>
      <c r="BT486" s="93" t="str">
        <f t="shared" si="24"/>
        <v>NA</v>
      </c>
      <c r="BU486" s="125" t="str">
        <f t="shared" si="25"/>
        <v>#N/A</v>
      </c>
      <c r="BV486" s="93" t="str">
        <f t="shared" si="26"/>
        <v/>
      </c>
      <c r="BW486" s="93" t="str">
        <f t="shared" si="27"/>
        <v/>
      </c>
      <c r="BX486" s="93" t="str">
        <f t="shared" si="28"/>
        <v>NA</v>
      </c>
      <c r="BY486" s="95" t="str">
        <f t="shared" si="29"/>
        <v>#N/A</v>
      </c>
      <c r="BZ486" s="93" t="str">
        <f t="shared" si="30"/>
        <v/>
      </c>
      <c r="CA486" s="93" t="str">
        <f t="shared" si="31"/>
        <v/>
      </c>
      <c r="CB486" s="93" t="str">
        <f t="shared" si="32"/>
        <v>NA</v>
      </c>
      <c r="CC486" s="96" t="str">
        <f t="shared" si="33"/>
        <v>#N/A</v>
      </c>
      <c r="CD486" s="93" t="str">
        <f t="shared" si="34"/>
        <v/>
      </c>
      <c r="CE486" s="93" t="str">
        <f t="shared" si="35"/>
        <v/>
      </c>
      <c r="CF486" s="93" t="str">
        <f t="shared" si="36"/>
        <v>NA</v>
      </c>
      <c r="CG486" s="97" t="str">
        <f t="shared" si="37"/>
        <v>#N/A</v>
      </c>
      <c r="CH486" s="98" t="str">
        <f t="shared" si="38"/>
        <v>#N/A</v>
      </c>
      <c r="CI486" s="99" t="str">
        <f t="shared" si="39"/>
        <v>#N/A</v>
      </c>
      <c r="CJ486" s="126" t="str">
        <f t="shared" si="40"/>
        <v>ERROR: check cell</v>
      </c>
      <c r="CK486" s="126"/>
      <c r="CL486" s="127" t="str">
        <f t="shared" si="41"/>
        <v>#DIV/0!</v>
      </c>
      <c r="CM486" s="128" t="str">
        <f t="shared" si="42"/>
        <v>#DIV/0!</v>
      </c>
      <c r="CN486" s="128">
        <f t="shared" si="43"/>
        <v>4</v>
      </c>
      <c r="CO486" s="129">
        <f t="shared" si="44"/>
        <v>4</v>
      </c>
      <c r="CP486" s="129" t="str">
        <f>IFS(C486=Preferences!B$13,B486,B486=Preferences!B$13,C486)</f>
        <v>#N/A</v>
      </c>
    </row>
    <row r="487" ht="13.5" customHeight="1">
      <c r="A487" s="63" t="str">
        <f t="shared" si="45"/>
        <v/>
      </c>
      <c r="B487" s="64"/>
      <c r="C487" s="64"/>
      <c r="D487" s="64"/>
      <c r="E487" s="65"/>
      <c r="F487" s="65"/>
      <c r="G487" s="65"/>
      <c r="H487" s="66"/>
      <c r="I487" s="66"/>
      <c r="J487" s="67"/>
      <c r="K487" s="68"/>
      <c r="L487" s="104"/>
      <c r="M487" s="104"/>
      <c r="N487" s="104"/>
      <c r="O487" s="104"/>
      <c r="P487" s="107" t="str">
        <f t="shared" si="1"/>
        <v/>
      </c>
      <c r="Q487" s="108" t="str">
        <f>IFERROR(IF(AND(Preferences!B$3="Manual",OR(AX487/AW487&gt;G487/F487,BD487="Serious",BD487="Very serious")),"Assess imprecision",IFS(ISBLANK(E487),"",AND(Preferences!B$3="Automatic", G487/F487&gt;=30),"Extremely serious",AND(H487&lt;=$D$1*-1,J487&lt;0,G487/F487&lt;3),"Not serious",AND(H487&lt;=$D$1*-1,J487&lt;0,G487/F487&gt;=3),"Very serious",AND(H487&gt;=$D$1,I487&gt;0,G487/F487&lt;3),"Not serious",AND(H487&gt;=$D$1,I487&gt;0,G487/F487&gt;=3),"Very serious",AND(H487&lt;=$D$1*-1,J487&gt;0,I487&gt;$D$2*-1,G487/F487&lt;3),"Serious", AND(H487&lt;=$D$1*-1,J487&gt;0,I487&lt;$D$2*-1,G487/F487&lt;3),"Very serious", AND(H487&gt;=$D$1,I487&lt;0,J487&lt;$D$2,G487/F487&lt;3),"Serious",AND(H487&gt;=$D$1,I487&lt;0,J487&gt;$D$2,G487/F487&lt;3),"Very serious", AND(H487&lt;=$D$1*-1,J487&gt;0,I487&gt;$D$2*-1,G487/F487&gt;=3),"Very serious", AND(H487&lt;=$D$1*-1,J487&gt;0,I487&lt;$D$2*-1,G487/F487&gt;=3),"Very serious", AND(H487&gt;=$D$1,I487&lt;0,J487&lt;$D$2,G487/F487&gt;=3),"Very serious", AND(H487&gt;=$D$1,I487&lt;0,J487&gt;$D$2,G487/F487&gt;=3),"Very serious", AND(H487&gt;$D$1*-1,H487&lt;$D$1,I487&gt;$D$1*-1,J487&lt;$D$1,G487/F487&lt;3),"Not serious", AND(H487&gt;$D$1*-1,H487&lt;$D$1,OR(I487&lt;=$D$1*-1,J487&gt;=$D$1),I487&gt;$D$2*-1,J487&lt;$D$2,G487/F487&lt;3),"Serious", AND(H487&gt;$D$1*-1,H487&lt;$D$1,OR(I487&lt;=$D$2*-1,J487&gt;=$D$2),G487/F487&lt;3),"Very serious", AND(H487&gt;$D$1*-1,H487&lt;$D$1,I487&gt;$D$1*-1,J487&lt;$D$1,G487/F487&gt;=3),"Very serious", AND(H487&gt;$D$1*-1,H487&lt;$D$1,OR(I487&lt;=$D$1*-1,J487&gt;=$D$1),I487&gt;$D$2*-1,J487&lt;$D$2,G487/F487&gt;=3),"Very serious", AND(H487&gt;$D$1*-1,H487&lt;$D$1,OR(I487&lt;=$D$2*-1,J487&gt;=$D$2),G487/F487&gt;=3),"Very serious")),"")</f>
        <v/>
      </c>
      <c r="R487" s="109" t="str">
        <f t="shared" si="47"/>
        <v/>
      </c>
      <c r="S487" s="64"/>
      <c r="T487" s="72"/>
      <c r="U487" s="72"/>
      <c r="V487" s="72"/>
      <c r="W487" s="73"/>
      <c r="X487" s="73"/>
      <c r="Y487" s="74"/>
      <c r="Z487" s="113" t="str">
        <f t="array" ref="Z487">INDEX($A$1:$C$500, MATCH(1,($B:$B=$B487)*($C:$C=$AB487),0),1)</f>
        <v/>
      </c>
      <c r="AA487" s="113" t="str">
        <f t="array" ref="AA487">INDEX($A$1:$C$500, MATCH(1,($B:$B=$AB487)*($C:$C=$B487),0),1)</f>
        <v/>
      </c>
      <c r="AB487" s="111"/>
      <c r="AC487" s="114" t="str">
        <f t="shared" si="2"/>
        <v/>
      </c>
      <c r="AD487" s="115" t="str">
        <f t="shared" si="3"/>
        <v/>
      </c>
      <c r="AE487" s="116" t="str">
        <f t="array" ref="AE487">INDEX($A$1:$C$500, MATCH(1,($B:$B=$AB487)*($C:$C=$AG487),0),1)</f>
        <v/>
      </c>
      <c r="AF487" s="116" t="str">
        <f t="array" ref="AF487">INDEX($A$1:$C$500, MATCH(1,($B:$B=$AG487)*($C:$C=$AB487),0),1)</f>
        <v/>
      </c>
      <c r="AG487" s="72"/>
      <c r="AH487" s="114" t="str">
        <f t="shared" si="4"/>
        <v/>
      </c>
      <c r="AI487" s="115" t="str">
        <f t="shared" si="5"/>
        <v/>
      </c>
      <c r="AJ487" s="116" t="str">
        <f t="array" ref="AJ487">INDEX($A$1:$C$500, MATCH(1,($B:$B=$C487)*($C:$C=$AG487),0),1)</f>
        <v/>
      </c>
      <c r="AK487" s="116" t="str">
        <f t="array" ref="AK487">INDEX($A$1:$C$500, MATCH(1,($B:$B=$AG487)*($C:$C=$C487),0),1)</f>
        <v/>
      </c>
      <c r="AL487" s="116" t="str">
        <f t="array" ref="AL487">INDEX($A$1:$C$500, MATCH(1,($B:$B=$C487)*($C:$C=$AB487),0),1)</f>
        <v/>
      </c>
      <c r="AM487" s="116" t="str">
        <f t="array" ref="AM487">INDEX($A$1:$C$500, MATCH(1,($B:$B=$AB487)*($C:$C=$C487),0),1)</f>
        <v/>
      </c>
      <c r="AN487" s="114" t="str">
        <f t="array" ref="AN487">IFS(ISNUMBER(AJ487),AJ487,ISNUMBER(AK487),AK487,ISNUMBER(AL487),AL487,ISNUMBER(AM487),AM487)</f>
        <v>#N/A</v>
      </c>
      <c r="AO487" s="115" t="str">
        <f t="shared" si="6"/>
        <v/>
      </c>
      <c r="AP487" s="115" t="str">
        <f t="shared" si="7"/>
        <v/>
      </c>
      <c r="AQ487" s="111"/>
      <c r="AR487" s="109" t="str">
        <f t="shared" si="8"/>
        <v/>
      </c>
      <c r="AS487" s="72" t="str">
        <f>IFERROR(IF(AND(Preferences!B$3="Manual",OR(AX487/AW487&gt;V487/U487,BD487="Serious",BD487="Very serious")),"Assess imprecision",IFERROR(IFS(AND(Preferences!B$3="Automatic",V487/U487&gt;=30),"Extremely serious",AND(W487&lt;=$D$1*-1,Y487&lt;0,V487/U487&lt;3),"Not Serious",AND(W487&lt;=$D$1*-1,Y487&lt;0,V487/U487&gt;=3),"Very serious",AND(W487&gt;=$D$1,X487&gt;0,V487/U487&lt;3),"Not Serious",AND(W487&gt;=$D$1,X487&gt;0,V487/U487&gt;=3),"Very serious",AND(W487&lt;=$D$1*-1,Y487&gt;0,X487&gt;$D$2*-1,V487/U487&lt;3),"Serious", AND(W487&lt;=$D$1*-1,Y487&gt;0,X487&lt;$D$2*-1,V487/U487&lt;3),"Very serious", AND(W487&gt;=$D$1,X487&lt;0,Y487&lt;$D$2,V487/U487&lt;3),"Serious",AND(W487&gt;=$D$1,X487&lt;0,Y487&gt;$D$2,V487/U487&lt;3),"Very serious", AND(W487&lt;=$D$1*-1,Y487&gt;0,X487&gt;$D$2*-1,V487/U487&gt;=3),"Very serious", AND(W487&lt;=$D$1*-1,Y487&gt;0,X487&lt;$D$2*-1,V487/U487&gt;=3),"Very serious", AND(W487&gt;=$D$1,X487&lt;0,Y487&lt;$D$2,V487/U487&gt;=3),"Very serious", AND(W487&gt;=$D$1,X487&lt;0,Y487&gt;$D$2,V487/U487&gt;=3),"Very serious", AND(W487&gt;$D$1*-1,W487&lt;$D$1,X487&gt;$D$1*-1,Y487&lt;$D$1,V487/U487&lt;3),"Not Serious", AND(W487&gt;$D$1*-1,W487&lt;$D$1,OR(X487&lt;=$D$1*-1,Y487&gt;=$D$1),X487&gt;$D$2*-1,Y487&lt;$D$2,V487/U487&lt;3),"Serious", AND(W487&gt;$D$1*-1,W487&lt;$D$1,OR(X487&lt;=$D$2*-1,Y487&gt;=$D$2),V487/U487&lt;3),"Very serious", AND(W487&gt;$D$1*-1,W487&lt;$D$1,X487&gt;$D$1*-1,Y487&lt;$D$1,V487/U487&gt;=3),"Very serious", AND(W487&gt;$D$1*-1,W487&lt;$D$1,OR(X487&lt;=$D$1*-1,Y487&gt;=$D$1),X487&gt;$D$2*-1,Y487&lt;$D$2,V487/U487&gt;=3),"Very serious", AND(W487&gt;$D$1*-1,W487&lt;$D$1,OR(X487&lt;=$D$2*-1,Y487&gt;=$D$2),V487/U487&gt;=3),"Very serious"),"")),"")</f>
        <v/>
      </c>
      <c r="AT487" s="109" t="str">
        <f t="shared" si="9"/>
        <v/>
      </c>
      <c r="AU487" s="64"/>
      <c r="AV487" s="83"/>
      <c r="AW487" s="83"/>
      <c r="AX487" s="83"/>
      <c r="AY487" s="83"/>
      <c r="AZ487" s="83"/>
      <c r="BA487" s="85"/>
      <c r="BB487" s="86" t="str">
        <f>IF(Preferences!B$9="Manual","",IFS(ISBLANK(B487),"",AND(ISNUMBER(E487)=TRUE,ISNUMBER(T487)=FALSE),"Direct", AND(ISNUMBER(E487)=FALSE,ISNUMBER(T487)=TRUE),"Indirect", CN487=4,"Direct",AND(CL487=FALSE, CM487=TRUE,CN487-CO487&gt;-1),"Direct", AND(CL487=FALSE,CM487=TRUE, CN487-CO487&lt;0),"Check algorithm in appendix 2", AND(CL487=TRUE, CM487=FALSE,CN487-CO487&gt;0),"Check algorithm in appendix 2", AND(CL487=TRUE, CM487=FALSE,CN487-CO487=0),"Indirect", AND(CL487=TRUE, CM487=FALSE,CN487-CO487&lt;0),"Indirect", AND(CL487=FALSE,CM487=FALSE,CN487-CO487&gt;-1),"Direct", AND(CL487=FALSE,CM487=FALSE,CN487-CO487&lt;0),"Check algorithm in appendix 2", AND(CL487=TRUE,CM487=TRUE,CN487-CO487&gt;-1),"Direct", AND(CL487=TRUE,CM487=TRUE,CN487-CO487&lt;0),"Check algorithm in appendix 2"))</f>
        <v/>
      </c>
      <c r="BC487" s="120" t="str">
        <f t="shared" si="10"/>
        <v/>
      </c>
      <c r="BD487" s="140"/>
      <c r="BE487" s="122" t="str">
        <f>IF(Preferences!B$3="Manual","", IFERROR(IFS(AND(Preferences!B$3="Automatic",AX487/AW487&gt;=30),"Extremely serious",AND(AY487&lt;=$D$1*-1,BA487&lt;0,AX487/AW487&lt;3),"Not Serious",AND(AY487&lt;=$D$1*-1,BA487&lt;0,AX487/AW487&gt;=3),"Very serious",AND(AY487&gt;=$D$1,AZ487&gt;0,AX487/AW487&lt;3),"Not Serious",AND(AY487&gt;=$D$1,AZ487&gt;0,AX487/AW487&gt;=3),"Very serious",AND(AY487&lt;=$D$1*-1,BA487&gt;0,AZ487&gt;$D$2*-1,AX487/AW487&lt;3),"Serious", AND(AY487&lt;=$D$1*-1,BA487&gt;0,AZ487&lt;$D$2*-1,AX487/AW487&lt;3),"Very serious", AND(AY487&gt;=$D$1,AZ487&lt;0,BA487&lt;$D$2,AX487/AW487&lt;3),"Serious",AND(AY487&gt;=$D$1,AZ487&lt;0,BA487&gt;$D$2,AX487/AW487&lt;3),"Very serious", AND(AY487&lt;=$D$1*-1,BA487&gt;0,AZ487&gt;$D$2*-1,AX487/AW487&gt;=3),"Very serious", AND(AY487&lt;=$D$1*-1,BA487&gt;0,AZ487&lt;$D$2*-1,AX487/AW487&gt;=3),"Very serious", AND(AY487&gt;=$D$1,AZ487&lt;0,BA487&lt;$D$2,AX487/AW487&gt;=3),"Very serious", AND(AY487&gt;=$D$1,AZ487&lt;0,BA487&gt;$D$2,AX487/AW487&gt;=3),"Very serious", AND(AY487&gt;$D$1*-1,AY487&lt;$D$1,AZ487&gt;$D$1*-1,BA487&lt;$D$1,AX487/AW487&lt;3),"Not Serious", AND(AY487&gt;$D$1*-1,AY487&lt;$D$1,OR(AZ487&lt;=$D$1*-1,BA487&gt;=$D$1),AZ487&gt;$D$2*-1,BA487&lt;$D$2,AX487/AW487&lt;3),"Serious", AND(AY487&gt;$D$1*-1,AY487&lt;$D$1,OR(AZ487&lt;=$D$2*-1,BA487&gt;=$D$2),AX487/AW487&lt;3),"Very serious", AND(AY487&gt;$D$1*-1,AY487&lt;$D$1,AZ487&gt;$D$1*-1,BA487&lt;$D$1,AX487/AW487&gt;=3),"Very serious", AND(AY487&gt;$D$1*-1,AY487&lt;$D$1,OR(AZ487&lt;=$D$1*-1,BA487&gt;=$D$1),AZ487&gt;$D$2*-1,BA487&lt;$D$2,AX487/AW487&gt;=3),"Very serious", AND(AY487&gt;$D$1*-1,AY487&lt;$D$1,OR(AZ487&lt;=$D$2*-1,BA487&gt;=$D$2),AX487/AW487&gt;=3),"Very serious"),""))</f>
        <v/>
      </c>
      <c r="BF487" s="107" t="str">
        <f t="shared" si="11"/>
        <v/>
      </c>
      <c r="BG487" s="94" t="str">
        <f t="shared" si="46"/>
        <v/>
      </c>
      <c r="BH487" s="64" t="str">
        <f t="shared" si="12"/>
        <v>#N/A</v>
      </c>
      <c r="BI487" s="64" t="str">
        <f t="shared" si="13"/>
        <v/>
      </c>
      <c r="BJ487" s="123" t="str">
        <f t="shared" si="14"/>
        <v>#N/A</v>
      </c>
      <c r="BK487" s="64" t="str">
        <f t="shared" si="50"/>
        <v>YES</v>
      </c>
      <c r="BL487" s="64" t="str">
        <f t="shared" si="16"/>
        <v>YES</v>
      </c>
      <c r="BM487" s="64" t="str">
        <f t="shared" si="17"/>
        <v>YES</v>
      </c>
      <c r="BN487" s="124" t="str">
        <f t="shared" si="18"/>
        <v/>
      </c>
      <c r="BO487" s="91" t="str">
        <f t="shared" si="19"/>
        <v/>
      </c>
      <c r="BP487" s="91" t="str">
        <f t="shared" si="20"/>
        <v>#N/A</v>
      </c>
      <c r="BQ487" s="91" t="str">
        <f t="shared" si="21"/>
        <v/>
      </c>
      <c r="BR487" s="93" t="str">
        <f t="shared" si="22"/>
        <v/>
      </c>
      <c r="BS487" s="90" t="str">
        <f t="shared" si="23"/>
        <v/>
      </c>
      <c r="BT487" s="93" t="str">
        <f t="shared" si="24"/>
        <v>NA</v>
      </c>
      <c r="BU487" s="125" t="str">
        <f t="shared" si="25"/>
        <v>#N/A</v>
      </c>
      <c r="BV487" s="93" t="str">
        <f t="shared" si="26"/>
        <v/>
      </c>
      <c r="BW487" s="93" t="str">
        <f t="shared" si="27"/>
        <v/>
      </c>
      <c r="BX487" s="93" t="str">
        <f t="shared" si="28"/>
        <v>NA</v>
      </c>
      <c r="BY487" s="95" t="str">
        <f t="shared" si="29"/>
        <v>#N/A</v>
      </c>
      <c r="BZ487" s="93" t="str">
        <f t="shared" si="30"/>
        <v/>
      </c>
      <c r="CA487" s="93" t="str">
        <f t="shared" si="31"/>
        <v/>
      </c>
      <c r="CB487" s="93" t="str">
        <f t="shared" si="32"/>
        <v>NA</v>
      </c>
      <c r="CC487" s="96" t="str">
        <f t="shared" si="33"/>
        <v>#N/A</v>
      </c>
      <c r="CD487" s="93" t="str">
        <f t="shared" si="34"/>
        <v/>
      </c>
      <c r="CE487" s="93" t="str">
        <f t="shared" si="35"/>
        <v/>
      </c>
      <c r="CF487" s="93" t="str">
        <f t="shared" si="36"/>
        <v>NA</v>
      </c>
      <c r="CG487" s="97" t="str">
        <f t="shared" si="37"/>
        <v>#N/A</v>
      </c>
      <c r="CH487" s="98" t="str">
        <f t="shared" si="38"/>
        <v>#N/A</v>
      </c>
      <c r="CI487" s="99" t="str">
        <f t="shared" si="39"/>
        <v>#N/A</v>
      </c>
      <c r="CJ487" s="126" t="str">
        <f t="shared" si="40"/>
        <v>ERROR: check cell</v>
      </c>
      <c r="CK487" s="126"/>
      <c r="CL487" s="127" t="str">
        <f t="shared" si="41"/>
        <v>#DIV/0!</v>
      </c>
      <c r="CM487" s="128" t="str">
        <f t="shared" si="42"/>
        <v>#DIV/0!</v>
      </c>
      <c r="CN487" s="128">
        <f t="shared" si="43"/>
        <v>4</v>
      </c>
      <c r="CO487" s="129">
        <f t="shared" si="44"/>
        <v>4</v>
      </c>
      <c r="CP487" s="129" t="str">
        <f>IFS(C487=Preferences!B$13,B487,B487=Preferences!B$13,C487)</f>
        <v>#N/A</v>
      </c>
    </row>
    <row r="488" ht="13.5" customHeight="1">
      <c r="A488" s="63" t="str">
        <f t="shared" si="45"/>
        <v/>
      </c>
      <c r="B488" s="64"/>
      <c r="C488" s="64"/>
      <c r="D488" s="64"/>
      <c r="E488" s="65"/>
      <c r="F488" s="65"/>
      <c r="G488" s="65"/>
      <c r="H488" s="66"/>
      <c r="I488" s="66"/>
      <c r="J488" s="67"/>
      <c r="K488" s="68"/>
      <c r="L488" s="104"/>
      <c r="M488" s="104"/>
      <c r="N488" s="104"/>
      <c r="O488" s="104"/>
      <c r="P488" s="107" t="str">
        <f t="shared" si="1"/>
        <v/>
      </c>
      <c r="Q488" s="108" t="str">
        <f>IFERROR(IF(AND(Preferences!B$3="Manual",OR(AX488/AW488&gt;G488/F488,BD488="Serious",BD488="Very serious")),"Assess imprecision",IFS(ISBLANK(E488),"",AND(Preferences!B$3="Automatic", G488/F488&gt;=30),"Extremely serious",AND(H488&lt;=$D$1*-1,J488&lt;0,G488/F488&lt;3),"Not serious",AND(H488&lt;=$D$1*-1,J488&lt;0,G488/F488&gt;=3),"Very serious",AND(H488&gt;=$D$1,I488&gt;0,G488/F488&lt;3),"Not serious",AND(H488&gt;=$D$1,I488&gt;0,G488/F488&gt;=3),"Very serious",AND(H488&lt;=$D$1*-1,J488&gt;0,I488&gt;$D$2*-1,G488/F488&lt;3),"Serious", AND(H488&lt;=$D$1*-1,J488&gt;0,I488&lt;$D$2*-1,G488/F488&lt;3),"Very serious", AND(H488&gt;=$D$1,I488&lt;0,J488&lt;$D$2,G488/F488&lt;3),"Serious",AND(H488&gt;=$D$1,I488&lt;0,J488&gt;$D$2,G488/F488&lt;3),"Very serious", AND(H488&lt;=$D$1*-1,J488&gt;0,I488&gt;$D$2*-1,G488/F488&gt;=3),"Very serious", AND(H488&lt;=$D$1*-1,J488&gt;0,I488&lt;$D$2*-1,G488/F488&gt;=3),"Very serious", AND(H488&gt;=$D$1,I488&lt;0,J488&lt;$D$2,G488/F488&gt;=3),"Very serious", AND(H488&gt;=$D$1,I488&lt;0,J488&gt;$D$2,G488/F488&gt;=3),"Very serious", AND(H488&gt;$D$1*-1,H488&lt;$D$1,I488&gt;$D$1*-1,J488&lt;$D$1,G488/F488&lt;3),"Not serious", AND(H488&gt;$D$1*-1,H488&lt;$D$1,OR(I488&lt;=$D$1*-1,J488&gt;=$D$1),I488&gt;$D$2*-1,J488&lt;$D$2,G488/F488&lt;3),"Serious", AND(H488&gt;$D$1*-1,H488&lt;$D$1,OR(I488&lt;=$D$2*-1,J488&gt;=$D$2),G488/F488&lt;3),"Very serious", AND(H488&gt;$D$1*-1,H488&lt;$D$1,I488&gt;$D$1*-1,J488&lt;$D$1,G488/F488&gt;=3),"Very serious", AND(H488&gt;$D$1*-1,H488&lt;$D$1,OR(I488&lt;=$D$1*-1,J488&gt;=$D$1),I488&gt;$D$2*-1,J488&lt;$D$2,G488/F488&gt;=3),"Very serious", AND(H488&gt;$D$1*-1,H488&lt;$D$1,OR(I488&lt;=$D$2*-1,J488&gt;=$D$2),G488/F488&gt;=3),"Very serious")),"")</f>
        <v/>
      </c>
      <c r="R488" s="109" t="str">
        <f t="shared" si="47"/>
        <v/>
      </c>
      <c r="S488" s="64"/>
      <c r="T488" s="72"/>
      <c r="U488" s="72"/>
      <c r="V488" s="72"/>
      <c r="W488" s="73"/>
      <c r="X488" s="73"/>
      <c r="Y488" s="74"/>
      <c r="Z488" s="113" t="str">
        <f t="array" ref="Z488">INDEX($A$1:$C$500, MATCH(1,($B:$B=$B488)*($C:$C=$AB488),0),1)</f>
        <v/>
      </c>
      <c r="AA488" s="113" t="str">
        <f t="array" ref="AA488">INDEX($A$1:$C$500, MATCH(1,($B:$B=$AB488)*($C:$C=$B488),0),1)</f>
        <v/>
      </c>
      <c r="AB488" s="111"/>
      <c r="AC488" s="114" t="str">
        <f t="shared" si="2"/>
        <v/>
      </c>
      <c r="AD488" s="115" t="str">
        <f t="shared" si="3"/>
        <v/>
      </c>
      <c r="AE488" s="116" t="str">
        <f t="array" ref="AE488">INDEX($A$1:$C$500, MATCH(1,($B:$B=$AB488)*($C:$C=$AG488),0),1)</f>
        <v/>
      </c>
      <c r="AF488" s="116" t="str">
        <f t="array" ref="AF488">INDEX($A$1:$C$500, MATCH(1,($B:$B=$AG488)*($C:$C=$AB488),0),1)</f>
        <v/>
      </c>
      <c r="AG488" s="72"/>
      <c r="AH488" s="114" t="str">
        <f t="shared" si="4"/>
        <v/>
      </c>
      <c r="AI488" s="115" t="str">
        <f t="shared" si="5"/>
        <v/>
      </c>
      <c r="AJ488" s="116" t="str">
        <f t="array" ref="AJ488">INDEX($A$1:$C$500, MATCH(1,($B:$B=$C488)*($C:$C=$AG488),0),1)</f>
        <v/>
      </c>
      <c r="AK488" s="116" t="str">
        <f t="array" ref="AK488">INDEX($A$1:$C$500, MATCH(1,($B:$B=$AG488)*($C:$C=$C488),0),1)</f>
        <v/>
      </c>
      <c r="AL488" s="116" t="str">
        <f t="array" ref="AL488">INDEX($A$1:$C$500, MATCH(1,($B:$B=$C488)*($C:$C=$AB488),0),1)</f>
        <v/>
      </c>
      <c r="AM488" s="116" t="str">
        <f t="array" ref="AM488">INDEX($A$1:$C$500, MATCH(1,($B:$B=$AB488)*($C:$C=$C488),0),1)</f>
        <v/>
      </c>
      <c r="AN488" s="114" t="str">
        <f t="array" ref="AN488">IFS(ISNUMBER(AJ488),AJ488,ISNUMBER(AK488),AK488,ISNUMBER(AL488),AL488,ISNUMBER(AM488),AM488)</f>
        <v>#N/A</v>
      </c>
      <c r="AO488" s="115" t="str">
        <f t="shared" si="6"/>
        <v/>
      </c>
      <c r="AP488" s="115" t="str">
        <f t="shared" si="7"/>
        <v/>
      </c>
      <c r="AQ488" s="111"/>
      <c r="AR488" s="109" t="str">
        <f t="shared" si="8"/>
        <v/>
      </c>
      <c r="AS488" s="72" t="str">
        <f>IFERROR(IF(AND(Preferences!B$3="Manual",OR(AX488/AW488&gt;V488/U488,BD488="Serious",BD488="Very serious")),"Assess imprecision",IFERROR(IFS(AND(Preferences!B$3="Automatic",V488/U488&gt;=30),"Extremely serious",AND(W488&lt;=$D$1*-1,Y488&lt;0,V488/U488&lt;3),"Not Serious",AND(W488&lt;=$D$1*-1,Y488&lt;0,V488/U488&gt;=3),"Very serious",AND(W488&gt;=$D$1,X488&gt;0,V488/U488&lt;3),"Not Serious",AND(W488&gt;=$D$1,X488&gt;0,V488/U488&gt;=3),"Very serious",AND(W488&lt;=$D$1*-1,Y488&gt;0,X488&gt;$D$2*-1,V488/U488&lt;3),"Serious", AND(W488&lt;=$D$1*-1,Y488&gt;0,X488&lt;$D$2*-1,V488/U488&lt;3),"Very serious", AND(W488&gt;=$D$1,X488&lt;0,Y488&lt;$D$2,V488/U488&lt;3),"Serious",AND(W488&gt;=$D$1,X488&lt;0,Y488&gt;$D$2,V488/U488&lt;3),"Very serious", AND(W488&lt;=$D$1*-1,Y488&gt;0,X488&gt;$D$2*-1,V488/U488&gt;=3),"Very serious", AND(W488&lt;=$D$1*-1,Y488&gt;0,X488&lt;$D$2*-1,V488/U488&gt;=3),"Very serious", AND(W488&gt;=$D$1,X488&lt;0,Y488&lt;$D$2,V488/U488&gt;=3),"Very serious", AND(W488&gt;=$D$1,X488&lt;0,Y488&gt;$D$2,V488/U488&gt;=3),"Very serious", AND(W488&gt;$D$1*-1,W488&lt;$D$1,X488&gt;$D$1*-1,Y488&lt;$D$1,V488/U488&lt;3),"Not Serious", AND(W488&gt;$D$1*-1,W488&lt;$D$1,OR(X488&lt;=$D$1*-1,Y488&gt;=$D$1),X488&gt;$D$2*-1,Y488&lt;$D$2,V488/U488&lt;3),"Serious", AND(W488&gt;$D$1*-1,W488&lt;$D$1,OR(X488&lt;=$D$2*-1,Y488&gt;=$D$2),V488/U488&lt;3),"Very serious", AND(W488&gt;$D$1*-1,W488&lt;$D$1,X488&gt;$D$1*-1,Y488&lt;$D$1,V488/U488&gt;=3),"Very serious", AND(W488&gt;$D$1*-1,W488&lt;$D$1,OR(X488&lt;=$D$1*-1,Y488&gt;=$D$1),X488&gt;$D$2*-1,Y488&lt;$D$2,V488/U488&gt;=3),"Very serious", AND(W488&gt;$D$1*-1,W488&lt;$D$1,OR(X488&lt;=$D$2*-1,Y488&gt;=$D$2),V488/U488&gt;=3),"Very serious"),"")),"")</f>
        <v/>
      </c>
      <c r="AT488" s="109" t="str">
        <f t="shared" si="9"/>
        <v/>
      </c>
      <c r="AU488" s="64"/>
      <c r="AV488" s="83"/>
      <c r="AW488" s="83"/>
      <c r="AX488" s="83"/>
      <c r="AY488" s="83"/>
      <c r="AZ488" s="83"/>
      <c r="BA488" s="85"/>
      <c r="BB488" s="86" t="str">
        <f>IF(Preferences!B$9="Manual","",IFS(ISBLANK(B488),"",AND(ISNUMBER(E488)=TRUE,ISNUMBER(T488)=FALSE),"Direct", AND(ISNUMBER(E488)=FALSE,ISNUMBER(T488)=TRUE),"Indirect", CN488=4,"Direct",AND(CL488=FALSE, CM488=TRUE,CN488-CO488&gt;-1),"Direct", AND(CL488=FALSE,CM488=TRUE, CN488-CO488&lt;0),"Check algorithm in appendix 2", AND(CL488=TRUE, CM488=FALSE,CN488-CO488&gt;0),"Check algorithm in appendix 2", AND(CL488=TRUE, CM488=FALSE,CN488-CO488=0),"Indirect", AND(CL488=TRUE, CM488=FALSE,CN488-CO488&lt;0),"Indirect", AND(CL488=FALSE,CM488=FALSE,CN488-CO488&gt;-1),"Direct", AND(CL488=FALSE,CM488=FALSE,CN488-CO488&lt;0),"Check algorithm in appendix 2", AND(CL488=TRUE,CM488=TRUE,CN488-CO488&gt;-1),"Direct", AND(CL488=TRUE,CM488=TRUE,CN488-CO488&lt;0),"Check algorithm in appendix 2"))</f>
        <v/>
      </c>
      <c r="BC488" s="120" t="str">
        <f t="shared" si="10"/>
        <v/>
      </c>
      <c r="BD488" s="140"/>
      <c r="BE488" s="122" t="str">
        <f>IF(Preferences!B$3="Manual","", IFERROR(IFS(AND(Preferences!B$3="Automatic",AX488/AW488&gt;=30),"Extremely serious",AND(AY488&lt;=$D$1*-1,BA488&lt;0,AX488/AW488&lt;3),"Not Serious",AND(AY488&lt;=$D$1*-1,BA488&lt;0,AX488/AW488&gt;=3),"Very serious",AND(AY488&gt;=$D$1,AZ488&gt;0,AX488/AW488&lt;3),"Not Serious",AND(AY488&gt;=$D$1,AZ488&gt;0,AX488/AW488&gt;=3),"Very serious",AND(AY488&lt;=$D$1*-1,BA488&gt;0,AZ488&gt;$D$2*-1,AX488/AW488&lt;3),"Serious", AND(AY488&lt;=$D$1*-1,BA488&gt;0,AZ488&lt;$D$2*-1,AX488/AW488&lt;3),"Very serious", AND(AY488&gt;=$D$1,AZ488&lt;0,BA488&lt;$D$2,AX488/AW488&lt;3),"Serious",AND(AY488&gt;=$D$1,AZ488&lt;0,BA488&gt;$D$2,AX488/AW488&lt;3),"Very serious", AND(AY488&lt;=$D$1*-1,BA488&gt;0,AZ488&gt;$D$2*-1,AX488/AW488&gt;=3),"Very serious", AND(AY488&lt;=$D$1*-1,BA488&gt;0,AZ488&lt;$D$2*-1,AX488/AW488&gt;=3),"Very serious", AND(AY488&gt;=$D$1,AZ488&lt;0,BA488&lt;$D$2,AX488/AW488&gt;=3),"Very serious", AND(AY488&gt;=$D$1,AZ488&lt;0,BA488&gt;$D$2,AX488/AW488&gt;=3),"Very serious", AND(AY488&gt;$D$1*-1,AY488&lt;$D$1,AZ488&gt;$D$1*-1,BA488&lt;$D$1,AX488/AW488&lt;3),"Not Serious", AND(AY488&gt;$D$1*-1,AY488&lt;$D$1,OR(AZ488&lt;=$D$1*-1,BA488&gt;=$D$1),AZ488&gt;$D$2*-1,BA488&lt;$D$2,AX488/AW488&lt;3),"Serious", AND(AY488&gt;$D$1*-1,AY488&lt;$D$1,OR(AZ488&lt;=$D$2*-1,BA488&gt;=$D$2),AX488/AW488&lt;3),"Very serious", AND(AY488&gt;$D$1*-1,AY488&lt;$D$1,AZ488&gt;$D$1*-1,BA488&lt;$D$1,AX488/AW488&gt;=3),"Very serious", AND(AY488&gt;$D$1*-1,AY488&lt;$D$1,OR(AZ488&lt;=$D$1*-1,BA488&gt;=$D$1),AZ488&gt;$D$2*-1,BA488&lt;$D$2,AX488/AW488&gt;=3),"Very serious", AND(AY488&gt;$D$1*-1,AY488&lt;$D$1,OR(AZ488&lt;=$D$2*-1,BA488&gt;=$D$2),AX488/AW488&gt;=3),"Very serious"),""))</f>
        <v/>
      </c>
      <c r="BF488" s="107" t="str">
        <f t="shared" si="11"/>
        <v/>
      </c>
      <c r="BG488" s="94" t="str">
        <f t="shared" si="46"/>
        <v/>
      </c>
      <c r="BH488" s="64" t="str">
        <f t="shared" si="12"/>
        <v>#N/A</v>
      </c>
      <c r="BI488" s="64" t="str">
        <f t="shared" si="13"/>
        <v/>
      </c>
      <c r="BJ488" s="123" t="str">
        <f t="shared" si="14"/>
        <v>#N/A</v>
      </c>
      <c r="BK488" s="64" t="str">
        <f t="shared" si="50"/>
        <v>YES</v>
      </c>
      <c r="BL488" s="64" t="str">
        <f t="shared" si="16"/>
        <v>YES</v>
      </c>
      <c r="BM488" s="64" t="str">
        <f t="shared" si="17"/>
        <v>YES</v>
      </c>
      <c r="BN488" s="124" t="str">
        <f t="shared" si="18"/>
        <v/>
      </c>
      <c r="BO488" s="91" t="str">
        <f t="shared" si="19"/>
        <v/>
      </c>
      <c r="BP488" s="91" t="str">
        <f t="shared" si="20"/>
        <v>#N/A</v>
      </c>
      <c r="BQ488" s="91" t="str">
        <f t="shared" si="21"/>
        <v/>
      </c>
      <c r="BR488" s="93" t="str">
        <f t="shared" si="22"/>
        <v/>
      </c>
      <c r="BS488" s="90" t="str">
        <f t="shared" si="23"/>
        <v/>
      </c>
      <c r="BT488" s="93" t="str">
        <f t="shared" si="24"/>
        <v>NA</v>
      </c>
      <c r="BU488" s="125" t="str">
        <f t="shared" si="25"/>
        <v>#N/A</v>
      </c>
      <c r="BV488" s="93" t="str">
        <f t="shared" si="26"/>
        <v/>
      </c>
      <c r="BW488" s="93" t="str">
        <f t="shared" si="27"/>
        <v/>
      </c>
      <c r="BX488" s="93" t="str">
        <f t="shared" si="28"/>
        <v>NA</v>
      </c>
      <c r="BY488" s="95" t="str">
        <f t="shared" si="29"/>
        <v>#N/A</v>
      </c>
      <c r="BZ488" s="93" t="str">
        <f t="shared" si="30"/>
        <v/>
      </c>
      <c r="CA488" s="93" t="str">
        <f t="shared" si="31"/>
        <v/>
      </c>
      <c r="CB488" s="93" t="str">
        <f t="shared" si="32"/>
        <v>NA</v>
      </c>
      <c r="CC488" s="96" t="str">
        <f t="shared" si="33"/>
        <v>#N/A</v>
      </c>
      <c r="CD488" s="93" t="str">
        <f t="shared" si="34"/>
        <v/>
      </c>
      <c r="CE488" s="93" t="str">
        <f t="shared" si="35"/>
        <v/>
      </c>
      <c r="CF488" s="93" t="str">
        <f t="shared" si="36"/>
        <v>NA</v>
      </c>
      <c r="CG488" s="97" t="str">
        <f t="shared" si="37"/>
        <v>#N/A</v>
      </c>
      <c r="CH488" s="98" t="str">
        <f t="shared" si="38"/>
        <v>#N/A</v>
      </c>
      <c r="CI488" s="99" t="str">
        <f t="shared" si="39"/>
        <v>#N/A</v>
      </c>
      <c r="CJ488" s="126" t="str">
        <f t="shared" si="40"/>
        <v>ERROR: check cell</v>
      </c>
      <c r="CK488" s="126"/>
      <c r="CL488" s="127" t="str">
        <f t="shared" si="41"/>
        <v>#DIV/0!</v>
      </c>
      <c r="CM488" s="128" t="str">
        <f t="shared" si="42"/>
        <v>#DIV/0!</v>
      </c>
      <c r="CN488" s="128">
        <f t="shared" si="43"/>
        <v>4</v>
      </c>
      <c r="CO488" s="129">
        <f t="shared" si="44"/>
        <v>4</v>
      </c>
      <c r="CP488" s="129" t="str">
        <f>IFS(C488=Preferences!B$13,B488,B488=Preferences!B$13,C488)</f>
        <v>#N/A</v>
      </c>
    </row>
    <row r="489" ht="13.5" customHeight="1">
      <c r="A489" s="63" t="str">
        <f t="shared" si="45"/>
        <v/>
      </c>
      <c r="B489" s="64"/>
      <c r="C489" s="64"/>
      <c r="D489" s="64"/>
      <c r="E489" s="65"/>
      <c r="F489" s="65"/>
      <c r="G489" s="65"/>
      <c r="H489" s="66"/>
      <c r="I489" s="66"/>
      <c r="J489" s="67"/>
      <c r="K489" s="68"/>
      <c r="L489" s="104"/>
      <c r="M489" s="104"/>
      <c r="N489" s="104"/>
      <c r="O489" s="104"/>
      <c r="P489" s="107" t="str">
        <f t="shared" si="1"/>
        <v/>
      </c>
      <c r="Q489" s="108" t="str">
        <f>IFERROR(IF(AND(Preferences!B$3="Manual",OR(AX489/AW489&gt;G489/F489,BD489="Serious",BD489="Very serious")),"Assess imprecision",IFS(ISBLANK(E489),"",AND(Preferences!B$3="Automatic", G489/F489&gt;=30),"Extremely serious",AND(H489&lt;=$D$1*-1,J489&lt;0,G489/F489&lt;3),"Not serious",AND(H489&lt;=$D$1*-1,J489&lt;0,G489/F489&gt;=3),"Very serious",AND(H489&gt;=$D$1,I489&gt;0,G489/F489&lt;3),"Not serious",AND(H489&gt;=$D$1,I489&gt;0,G489/F489&gt;=3),"Very serious",AND(H489&lt;=$D$1*-1,J489&gt;0,I489&gt;$D$2*-1,G489/F489&lt;3),"Serious", AND(H489&lt;=$D$1*-1,J489&gt;0,I489&lt;$D$2*-1,G489/F489&lt;3),"Very serious", AND(H489&gt;=$D$1,I489&lt;0,J489&lt;$D$2,G489/F489&lt;3),"Serious",AND(H489&gt;=$D$1,I489&lt;0,J489&gt;$D$2,G489/F489&lt;3),"Very serious", AND(H489&lt;=$D$1*-1,J489&gt;0,I489&gt;$D$2*-1,G489/F489&gt;=3),"Very serious", AND(H489&lt;=$D$1*-1,J489&gt;0,I489&lt;$D$2*-1,G489/F489&gt;=3),"Very serious", AND(H489&gt;=$D$1,I489&lt;0,J489&lt;$D$2,G489/F489&gt;=3),"Very serious", AND(H489&gt;=$D$1,I489&lt;0,J489&gt;$D$2,G489/F489&gt;=3),"Very serious", AND(H489&gt;$D$1*-1,H489&lt;$D$1,I489&gt;$D$1*-1,J489&lt;$D$1,G489/F489&lt;3),"Not serious", AND(H489&gt;$D$1*-1,H489&lt;$D$1,OR(I489&lt;=$D$1*-1,J489&gt;=$D$1),I489&gt;$D$2*-1,J489&lt;$D$2,G489/F489&lt;3),"Serious", AND(H489&gt;$D$1*-1,H489&lt;$D$1,OR(I489&lt;=$D$2*-1,J489&gt;=$D$2),G489/F489&lt;3),"Very serious", AND(H489&gt;$D$1*-1,H489&lt;$D$1,I489&gt;$D$1*-1,J489&lt;$D$1,G489/F489&gt;=3),"Very serious", AND(H489&gt;$D$1*-1,H489&lt;$D$1,OR(I489&lt;=$D$1*-1,J489&gt;=$D$1),I489&gt;$D$2*-1,J489&lt;$D$2,G489/F489&gt;=3),"Very serious", AND(H489&gt;$D$1*-1,H489&lt;$D$1,OR(I489&lt;=$D$2*-1,J489&gt;=$D$2),G489/F489&gt;=3),"Very serious")),"")</f>
        <v/>
      </c>
      <c r="R489" s="109" t="str">
        <f t="shared" si="47"/>
        <v/>
      </c>
      <c r="S489" s="64"/>
      <c r="T489" s="72"/>
      <c r="U489" s="72"/>
      <c r="V489" s="72"/>
      <c r="W489" s="73"/>
      <c r="X489" s="73"/>
      <c r="Y489" s="74"/>
      <c r="Z489" s="113" t="str">
        <f t="array" ref="Z489">INDEX($A$1:$C$500, MATCH(1,($B:$B=$B489)*($C:$C=$AB489),0),1)</f>
        <v/>
      </c>
      <c r="AA489" s="113" t="str">
        <f t="array" ref="AA489">INDEX($A$1:$C$500, MATCH(1,($B:$B=$AB489)*($C:$C=$B489),0),1)</f>
        <v/>
      </c>
      <c r="AB489" s="111"/>
      <c r="AC489" s="114" t="str">
        <f t="shared" si="2"/>
        <v/>
      </c>
      <c r="AD489" s="115" t="str">
        <f t="shared" si="3"/>
        <v/>
      </c>
      <c r="AE489" s="116" t="str">
        <f t="array" ref="AE489">INDEX($A$1:$C$500, MATCH(1,($B:$B=$AB489)*($C:$C=$AG489),0),1)</f>
        <v/>
      </c>
      <c r="AF489" s="116" t="str">
        <f t="array" ref="AF489">INDEX($A$1:$C$500, MATCH(1,($B:$B=$AG489)*($C:$C=$AB489),0),1)</f>
        <v/>
      </c>
      <c r="AG489" s="72"/>
      <c r="AH489" s="114" t="str">
        <f t="shared" si="4"/>
        <v/>
      </c>
      <c r="AI489" s="115" t="str">
        <f t="shared" si="5"/>
        <v/>
      </c>
      <c r="AJ489" s="116" t="str">
        <f t="array" ref="AJ489">INDEX($A$1:$C$500, MATCH(1,($B:$B=$C489)*($C:$C=$AG489),0),1)</f>
        <v/>
      </c>
      <c r="AK489" s="116" t="str">
        <f t="array" ref="AK489">INDEX($A$1:$C$500, MATCH(1,($B:$B=$AG489)*($C:$C=$C489),0),1)</f>
        <v/>
      </c>
      <c r="AL489" s="116" t="str">
        <f t="array" ref="AL489">INDEX($A$1:$C$500, MATCH(1,($B:$B=$C489)*($C:$C=$AB489),0),1)</f>
        <v/>
      </c>
      <c r="AM489" s="116" t="str">
        <f t="array" ref="AM489">INDEX($A$1:$C$500, MATCH(1,($B:$B=$AB489)*($C:$C=$C489),0),1)</f>
        <v/>
      </c>
      <c r="AN489" s="114" t="str">
        <f t="array" ref="AN489">IFS(ISNUMBER(AJ489),AJ489,ISNUMBER(AK489),AK489,ISNUMBER(AL489),AL489,ISNUMBER(AM489),AM489)</f>
        <v>#N/A</v>
      </c>
      <c r="AO489" s="115" t="str">
        <f t="shared" si="6"/>
        <v/>
      </c>
      <c r="AP489" s="115" t="str">
        <f t="shared" si="7"/>
        <v/>
      </c>
      <c r="AQ489" s="111"/>
      <c r="AR489" s="109" t="str">
        <f t="shared" si="8"/>
        <v/>
      </c>
      <c r="AS489" s="72" t="str">
        <f>IFERROR(IF(AND(Preferences!B$3="Manual",OR(AX489/AW489&gt;V489/U489,BD489="Serious",BD489="Very serious")),"Assess imprecision",IFERROR(IFS(AND(Preferences!B$3="Automatic",V489/U489&gt;=30),"Extremely serious",AND(W489&lt;=$D$1*-1,Y489&lt;0,V489/U489&lt;3),"Not Serious",AND(W489&lt;=$D$1*-1,Y489&lt;0,V489/U489&gt;=3),"Very serious",AND(W489&gt;=$D$1,X489&gt;0,V489/U489&lt;3),"Not Serious",AND(W489&gt;=$D$1,X489&gt;0,V489/U489&gt;=3),"Very serious",AND(W489&lt;=$D$1*-1,Y489&gt;0,X489&gt;$D$2*-1,V489/U489&lt;3),"Serious", AND(W489&lt;=$D$1*-1,Y489&gt;0,X489&lt;$D$2*-1,V489/U489&lt;3),"Very serious", AND(W489&gt;=$D$1,X489&lt;0,Y489&lt;$D$2,V489/U489&lt;3),"Serious",AND(W489&gt;=$D$1,X489&lt;0,Y489&gt;$D$2,V489/U489&lt;3),"Very serious", AND(W489&lt;=$D$1*-1,Y489&gt;0,X489&gt;$D$2*-1,V489/U489&gt;=3),"Very serious", AND(W489&lt;=$D$1*-1,Y489&gt;0,X489&lt;$D$2*-1,V489/U489&gt;=3),"Very serious", AND(W489&gt;=$D$1,X489&lt;0,Y489&lt;$D$2,V489/U489&gt;=3),"Very serious", AND(W489&gt;=$D$1,X489&lt;0,Y489&gt;$D$2,V489/U489&gt;=3),"Very serious", AND(W489&gt;$D$1*-1,W489&lt;$D$1,X489&gt;$D$1*-1,Y489&lt;$D$1,V489/U489&lt;3),"Not Serious", AND(W489&gt;$D$1*-1,W489&lt;$D$1,OR(X489&lt;=$D$1*-1,Y489&gt;=$D$1),X489&gt;$D$2*-1,Y489&lt;$D$2,V489/U489&lt;3),"Serious", AND(W489&gt;$D$1*-1,W489&lt;$D$1,OR(X489&lt;=$D$2*-1,Y489&gt;=$D$2),V489/U489&lt;3),"Very serious", AND(W489&gt;$D$1*-1,W489&lt;$D$1,X489&gt;$D$1*-1,Y489&lt;$D$1,V489/U489&gt;=3),"Very serious", AND(W489&gt;$D$1*-1,W489&lt;$D$1,OR(X489&lt;=$D$1*-1,Y489&gt;=$D$1),X489&gt;$D$2*-1,Y489&lt;$D$2,V489/U489&gt;=3),"Very serious", AND(W489&gt;$D$1*-1,W489&lt;$D$1,OR(X489&lt;=$D$2*-1,Y489&gt;=$D$2),V489/U489&gt;=3),"Very serious"),"")),"")</f>
        <v/>
      </c>
      <c r="AT489" s="109" t="str">
        <f t="shared" si="9"/>
        <v/>
      </c>
      <c r="AU489" s="64"/>
      <c r="AV489" s="83"/>
      <c r="AW489" s="83"/>
      <c r="AX489" s="83"/>
      <c r="AY489" s="83"/>
      <c r="AZ489" s="83"/>
      <c r="BA489" s="85"/>
      <c r="BB489" s="86" t="str">
        <f>IF(Preferences!B$9="Manual","",IFS(ISBLANK(B489),"",AND(ISNUMBER(E489)=TRUE,ISNUMBER(T489)=FALSE),"Direct", AND(ISNUMBER(E489)=FALSE,ISNUMBER(T489)=TRUE),"Indirect", CN489=4,"Direct",AND(CL489=FALSE, CM489=TRUE,CN489-CO489&gt;-1),"Direct", AND(CL489=FALSE,CM489=TRUE, CN489-CO489&lt;0),"Check algorithm in appendix 2", AND(CL489=TRUE, CM489=FALSE,CN489-CO489&gt;0),"Check algorithm in appendix 2", AND(CL489=TRUE, CM489=FALSE,CN489-CO489=0),"Indirect", AND(CL489=TRUE, CM489=FALSE,CN489-CO489&lt;0),"Indirect", AND(CL489=FALSE,CM489=FALSE,CN489-CO489&gt;-1),"Direct", AND(CL489=FALSE,CM489=FALSE,CN489-CO489&lt;0),"Check algorithm in appendix 2", AND(CL489=TRUE,CM489=TRUE,CN489-CO489&gt;-1),"Direct", AND(CL489=TRUE,CM489=TRUE,CN489-CO489&lt;0),"Check algorithm in appendix 2"))</f>
        <v/>
      </c>
      <c r="BC489" s="120" t="str">
        <f t="shared" si="10"/>
        <v/>
      </c>
      <c r="BD489" s="140"/>
      <c r="BE489" s="122" t="str">
        <f>IF(Preferences!B$3="Manual","", IFERROR(IFS(AND(Preferences!B$3="Automatic",AX489/AW489&gt;=30),"Extremely serious",AND(AY489&lt;=$D$1*-1,BA489&lt;0,AX489/AW489&lt;3),"Not Serious",AND(AY489&lt;=$D$1*-1,BA489&lt;0,AX489/AW489&gt;=3),"Very serious",AND(AY489&gt;=$D$1,AZ489&gt;0,AX489/AW489&lt;3),"Not Serious",AND(AY489&gt;=$D$1,AZ489&gt;0,AX489/AW489&gt;=3),"Very serious",AND(AY489&lt;=$D$1*-1,BA489&gt;0,AZ489&gt;$D$2*-1,AX489/AW489&lt;3),"Serious", AND(AY489&lt;=$D$1*-1,BA489&gt;0,AZ489&lt;$D$2*-1,AX489/AW489&lt;3),"Very serious", AND(AY489&gt;=$D$1,AZ489&lt;0,BA489&lt;$D$2,AX489/AW489&lt;3),"Serious",AND(AY489&gt;=$D$1,AZ489&lt;0,BA489&gt;$D$2,AX489/AW489&lt;3),"Very serious", AND(AY489&lt;=$D$1*-1,BA489&gt;0,AZ489&gt;$D$2*-1,AX489/AW489&gt;=3),"Very serious", AND(AY489&lt;=$D$1*-1,BA489&gt;0,AZ489&lt;$D$2*-1,AX489/AW489&gt;=3),"Very serious", AND(AY489&gt;=$D$1,AZ489&lt;0,BA489&lt;$D$2,AX489/AW489&gt;=3),"Very serious", AND(AY489&gt;=$D$1,AZ489&lt;0,BA489&gt;$D$2,AX489/AW489&gt;=3),"Very serious", AND(AY489&gt;$D$1*-1,AY489&lt;$D$1,AZ489&gt;$D$1*-1,BA489&lt;$D$1,AX489/AW489&lt;3),"Not Serious", AND(AY489&gt;$D$1*-1,AY489&lt;$D$1,OR(AZ489&lt;=$D$1*-1,BA489&gt;=$D$1),AZ489&gt;$D$2*-1,BA489&lt;$D$2,AX489/AW489&lt;3),"Serious", AND(AY489&gt;$D$1*-1,AY489&lt;$D$1,OR(AZ489&lt;=$D$2*-1,BA489&gt;=$D$2),AX489/AW489&lt;3),"Very serious", AND(AY489&gt;$D$1*-1,AY489&lt;$D$1,AZ489&gt;$D$1*-1,BA489&lt;$D$1,AX489/AW489&gt;=3),"Very serious", AND(AY489&gt;$D$1*-1,AY489&lt;$D$1,OR(AZ489&lt;=$D$1*-1,BA489&gt;=$D$1),AZ489&gt;$D$2*-1,BA489&lt;$D$2,AX489/AW489&gt;=3),"Very serious", AND(AY489&gt;$D$1*-1,AY489&lt;$D$1,OR(AZ489&lt;=$D$2*-1,BA489&gt;=$D$2),AX489/AW489&gt;=3),"Very serious"),""))</f>
        <v/>
      </c>
      <c r="BF489" s="107" t="str">
        <f t="shared" si="11"/>
        <v/>
      </c>
      <c r="BG489" s="94" t="str">
        <f t="shared" si="46"/>
        <v/>
      </c>
      <c r="BH489" s="64" t="str">
        <f t="shared" si="12"/>
        <v>#N/A</v>
      </c>
      <c r="BI489" s="64" t="str">
        <f t="shared" si="13"/>
        <v/>
      </c>
      <c r="BJ489" s="123" t="str">
        <f t="shared" si="14"/>
        <v>#N/A</v>
      </c>
      <c r="BK489" s="64" t="str">
        <f t="shared" si="50"/>
        <v>YES</v>
      </c>
      <c r="BL489" s="64" t="str">
        <f t="shared" si="16"/>
        <v>YES</v>
      </c>
      <c r="BM489" s="64" t="str">
        <f t="shared" si="17"/>
        <v>YES</v>
      </c>
      <c r="BN489" s="124" t="str">
        <f t="shared" si="18"/>
        <v/>
      </c>
      <c r="BO489" s="91" t="str">
        <f t="shared" si="19"/>
        <v/>
      </c>
      <c r="BP489" s="91" t="str">
        <f t="shared" si="20"/>
        <v>#N/A</v>
      </c>
      <c r="BQ489" s="91" t="str">
        <f t="shared" si="21"/>
        <v/>
      </c>
      <c r="BR489" s="93" t="str">
        <f t="shared" si="22"/>
        <v/>
      </c>
      <c r="BS489" s="90" t="str">
        <f t="shared" si="23"/>
        <v/>
      </c>
      <c r="BT489" s="93" t="str">
        <f t="shared" si="24"/>
        <v>NA</v>
      </c>
      <c r="BU489" s="125" t="str">
        <f t="shared" si="25"/>
        <v>#N/A</v>
      </c>
      <c r="BV489" s="93" t="str">
        <f t="shared" si="26"/>
        <v/>
      </c>
      <c r="BW489" s="93" t="str">
        <f t="shared" si="27"/>
        <v/>
      </c>
      <c r="BX489" s="93" t="str">
        <f t="shared" si="28"/>
        <v>NA</v>
      </c>
      <c r="BY489" s="95" t="str">
        <f t="shared" si="29"/>
        <v>#N/A</v>
      </c>
      <c r="BZ489" s="93" t="str">
        <f t="shared" si="30"/>
        <v/>
      </c>
      <c r="CA489" s="93" t="str">
        <f t="shared" si="31"/>
        <v/>
      </c>
      <c r="CB489" s="93" t="str">
        <f t="shared" si="32"/>
        <v>NA</v>
      </c>
      <c r="CC489" s="96" t="str">
        <f t="shared" si="33"/>
        <v>#N/A</v>
      </c>
      <c r="CD489" s="93" t="str">
        <f t="shared" si="34"/>
        <v/>
      </c>
      <c r="CE489" s="93" t="str">
        <f t="shared" si="35"/>
        <v/>
      </c>
      <c r="CF489" s="93" t="str">
        <f t="shared" si="36"/>
        <v>NA</v>
      </c>
      <c r="CG489" s="97" t="str">
        <f t="shared" si="37"/>
        <v>#N/A</v>
      </c>
      <c r="CH489" s="98" t="str">
        <f t="shared" si="38"/>
        <v>#N/A</v>
      </c>
      <c r="CI489" s="99" t="str">
        <f t="shared" si="39"/>
        <v>#N/A</v>
      </c>
      <c r="CJ489" s="126" t="str">
        <f t="shared" si="40"/>
        <v>ERROR: check cell</v>
      </c>
      <c r="CK489" s="126"/>
      <c r="CL489" s="127" t="str">
        <f t="shared" si="41"/>
        <v>#DIV/0!</v>
      </c>
      <c r="CM489" s="128" t="str">
        <f t="shared" si="42"/>
        <v>#DIV/0!</v>
      </c>
      <c r="CN489" s="128">
        <f t="shared" si="43"/>
        <v>4</v>
      </c>
      <c r="CO489" s="129">
        <f t="shared" si="44"/>
        <v>4</v>
      </c>
      <c r="CP489" s="129" t="str">
        <f>IFS(C489=Preferences!B$13,B489,B489=Preferences!B$13,C489)</f>
        <v>#N/A</v>
      </c>
    </row>
    <row r="490" ht="13.5" customHeight="1">
      <c r="A490" s="63" t="str">
        <f t="shared" si="45"/>
        <v/>
      </c>
      <c r="B490" s="64"/>
      <c r="C490" s="64"/>
      <c r="D490" s="64"/>
      <c r="E490" s="65"/>
      <c r="F490" s="65"/>
      <c r="G490" s="65"/>
      <c r="H490" s="66"/>
      <c r="I490" s="66"/>
      <c r="J490" s="67"/>
      <c r="K490" s="68"/>
      <c r="L490" s="104"/>
      <c r="M490" s="104"/>
      <c r="N490" s="104"/>
      <c r="O490" s="104"/>
      <c r="P490" s="107" t="str">
        <f t="shared" si="1"/>
        <v/>
      </c>
      <c r="Q490" s="108" t="str">
        <f>IFERROR(IF(AND(Preferences!B$3="Manual",OR(AX490/AW490&gt;G490/F490,BD490="Serious",BD490="Very serious")),"Assess imprecision",IFS(ISBLANK(E490),"",AND(Preferences!B$3="Automatic", G490/F490&gt;=30),"Extremely serious",AND(H490&lt;=$D$1*-1,J490&lt;0,G490/F490&lt;3),"Not serious",AND(H490&lt;=$D$1*-1,J490&lt;0,G490/F490&gt;=3),"Very serious",AND(H490&gt;=$D$1,I490&gt;0,G490/F490&lt;3),"Not serious",AND(H490&gt;=$D$1,I490&gt;0,G490/F490&gt;=3),"Very serious",AND(H490&lt;=$D$1*-1,J490&gt;0,I490&gt;$D$2*-1,G490/F490&lt;3),"Serious", AND(H490&lt;=$D$1*-1,J490&gt;0,I490&lt;$D$2*-1,G490/F490&lt;3),"Very serious", AND(H490&gt;=$D$1,I490&lt;0,J490&lt;$D$2,G490/F490&lt;3),"Serious",AND(H490&gt;=$D$1,I490&lt;0,J490&gt;$D$2,G490/F490&lt;3),"Very serious", AND(H490&lt;=$D$1*-1,J490&gt;0,I490&gt;$D$2*-1,G490/F490&gt;=3),"Very serious", AND(H490&lt;=$D$1*-1,J490&gt;0,I490&lt;$D$2*-1,G490/F490&gt;=3),"Very serious", AND(H490&gt;=$D$1,I490&lt;0,J490&lt;$D$2,G490/F490&gt;=3),"Very serious", AND(H490&gt;=$D$1,I490&lt;0,J490&gt;$D$2,G490/F490&gt;=3),"Very serious", AND(H490&gt;$D$1*-1,H490&lt;$D$1,I490&gt;$D$1*-1,J490&lt;$D$1,G490/F490&lt;3),"Not serious", AND(H490&gt;$D$1*-1,H490&lt;$D$1,OR(I490&lt;=$D$1*-1,J490&gt;=$D$1),I490&gt;$D$2*-1,J490&lt;$D$2,G490/F490&lt;3),"Serious", AND(H490&gt;$D$1*-1,H490&lt;$D$1,OR(I490&lt;=$D$2*-1,J490&gt;=$D$2),G490/F490&lt;3),"Very serious", AND(H490&gt;$D$1*-1,H490&lt;$D$1,I490&gt;$D$1*-1,J490&lt;$D$1,G490/F490&gt;=3),"Very serious", AND(H490&gt;$D$1*-1,H490&lt;$D$1,OR(I490&lt;=$D$1*-1,J490&gt;=$D$1),I490&gt;$D$2*-1,J490&lt;$D$2,G490/F490&gt;=3),"Very serious", AND(H490&gt;$D$1*-1,H490&lt;$D$1,OR(I490&lt;=$D$2*-1,J490&gt;=$D$2),G490/F490&gt;=3),"Very serious")),"")</f>
        <v/>
      </c>
      <c r="R490" s="109" t="str">
        <f t="shared" si="47"/>
        <v/>
      </c>
      <c r="S490" s="64"/>
      <c r="T490" s="72"/>
      <c r="U490" s="72"/>
      <c r="V490" s="72"/>
      <c r="W490" s="73"/>
      <c r="X490" s="73"/>
      <c r="Y490" s="74"/>
      <c r="Z490" s="113" t="str">
        <f t="array" ref="Z490">INDEX($A$1:$C$500, MATCH(1,($B:$B=$B490)*($C:$C=$AB490),0),1)</f>
        <v/>
      </c>
      <c r="AA490" s="113" t="str">
        <f t="array" ref="AA490">INDEX($A$1:$C$500, MATCH(1,($B:$B=$AB490)*($C:$C=$B490),0),1)</f>
        <v/>
      </c>
      <c r="AB490" s="111"/>
      <c r="AC490" s="114" t="str">
        <f t="shared" si="2"/>
        <v/>
      </c>
      <c r="AD490" s="115" t="str">
        <f t="shared" si="3"/>
        <v/>
      </c>
      <c r="AE490" s="116" t="str">
        <f t="array" ref="AE490">INDEX($A$1:$C$500, MATCH(1,($B:$B=$AB490)*($C:$C=$AG490),0),1)</f>
        <v/>
      </c>
      <c r="AF490" s="116" t="str">
        <f t="array" ref="AF490">INDEX($A$1:$C$500, MATCH(1,($B:$B=$AG490)*($C:$C=$AB490),0),1)</f>
        <v/>
      </c>
      <c r="AG490" s="72"/>
      <c r="AH490" s="114" t="str">
        <f t="shared" si="4"/>
        <v/>
      </c>
      <c r="AI490" s="115" t="str">
        <f t="shared" si="5"/>
        <v/>
      </c>
      <c r="AJ490" s="116" t="str">
        <f t="array" ref="AJ490">INDEX($A$1:$C$500, MATCH(1,($B:$B=$C490)*($C:$C=$AG490),0),1)</f>
        <v/>
      </c>
      <c r="AK490" s="116" t="str">
        <f t="array" ref="AK490">INDEX($A$1:$C$500, MATCH(1,($B:$B=$AG490)*($C:$C=$C490),0),1)</f>
        <v/>
      </c>
      <c r="AL490" s="116" t="str">
        <f t="array" ref="AL490">INDEX($A$1:$C$500, MATCH(1,($B:$B=$C490)*($C:$C=$AB490),0),1)</f>
        <v/>
      </c>
      <c r="AM490" s="116" t="str">
        <f t="array" ref="AM490">INDEX($A$1:$C$500, MATCH(1,($B:$B=$AB490)*($C:$C=$C490),0),1)</f>
        <v/>
      </c>
      <c r="AN490" s="114" t="str">
        <f t="array" ref="AN490">IFS(ISNUMBER(AJ490),AJ490,ISNUMBER(AK490),AK490,ISNUMBER(AL490),AL490,ISNUMBER(AM490),AM490)</f>
        <v>#N/A</v>
      </c>
      <c r="AO490" s="115" t="str">
        <f t="shared" si="6"/>
        <v/>
      </c>
      <c r="AP490" s="115" t="str">
        <f t="shared" si="7"/>
        <v/>
      </c>
      <c r="AQ490" s="111"/>
      <c r="AR490" s="109" t="str">
        <f t="shared" si="8"/>
        <v/>
      </c>
      <c r="AS490" s="72" t="str">
        <f>IFERROR(IF(AND(Preferences!B$3="Manual",OR(AX490/AW490&gt;V490/U490,BD490="Serious",BD490="Very serious")),"Assess imprecision",IFERROR(IFS(AND(Preferences!B$3="Automatic",V490/U490&gt;=30),"Extremely serious",AND(W490&lt;=$D$1*-1,Y490&lt;0,V490/U490&lt;3),"Not Serious",AND(W490&lt;=$D$1*-1,Y490&lt;0,V490/U490&gt;=3),"Very serious",AND(W490&gt;=$D$1,X490&gt;0,V490/U490&lt;3),"Not Serious",AND(W490&gt;=$D$1,X490&gt;0,V490/U490&gt;=3),"Very serious",AND(W490&lt;=$D$1*-1,Y490&gt;0,X490&gt;$D$2*-1,V490/U490&lt;3),"Serious", AND(W490&lt;=$D$1*-1,Y490&gt;0,X490&lt;$D$2*-1,V490/U490&lt;3),"Very serious", AND(W490&gt;=$D$1,X490&lt;0,Y490&lt;$D$2,V490/U490&lt;3),"Serious",AND(W490&gt;=$D$1,X490&lt;0,Y490&gt;$D$2,V490/U490&lt;3),"Very serious", AND(W490&lt;=$D$1*-1,Y490&gt;0,X490&gt;$D$2*-1,V490/U490&gt;=3),"Very serious", AND(W490&lt;=$D$1*-1,Y490&gt;0,X490&lt;$D$2*-1,V490/U490&gt;=3),"Very serious", AND(W490&gt;=$D$1,X490&lt;0,Y490&lt;$D$2,V490/U490&gt;=3),"Very serious", AND(W490&gt;=$D$1,X490&lt;0,Y490&gt;$D$2,V490/U490&gt;=3),"Very serious", AND(W490&gt;$D$1*-1,W490&lt;$D$1,X490&gt;$D$1*-1,Y490&lt;$D$1,V490/U490&lt;3),"Not Serious", AND(W490&gt;$D$1*-1,W490&lt;$D$1,OR(X490&lt;=$D$1*-1,Y490&gt;=$D$1),X490&gt;$D$2*-1,Y490&lt;$D$2,V490/U490&lt;3),"Serious", AND(W490&gt;$D$1*-1,W490&lt;$D$1,OR(X490&lt;=$D$2*-1,Y490&gt;=$D$2),V490/U490&lt;3),"Very serious", AND(W490&gt;$D$1*-1,W490&lt;$D$1,X490&gt;$D$1*-1,Y490&lt;$D$1,V490/U490&gt;=3),"Very serious", AND(W490&gt;$D$1*-1,W490&lt;$D$1,OR(X490&lt;=$D$1*-1,Y490&gt;=$D$1),X490&gt;$D$2*-1,Y490&lt;$D$2,V490/U490&gt;=3),"Very serious", AND(W490&gt;$D$1*-1,W490&lt;$D$1,OR(X490&lt;=$D$2*-1,Y490&gt;=$D$2),V490/U490&gt;=3),"Very serious"),"")),"")</f>
        <v/>
      </c>
      <c r="AT490" s="109" t="str">
        <f t="shared" si="9"/>
        <v/>
      </c>
      <c r="AU490" s="64"/>
      <c r="AV490" s="83"/>
      <c r="AW490" s="83"/>
      <c r="AX490" s="83"/>
      <c r="AY490" s="83"/>
      <c r="AZ490" s="83"/>
      <c r="BA490" s="85"/>
      <c r="BB490" s="86" t="str">
        <f>IF(Preferences!B$9="Manual","",IFS(ISBLANK(B490),"",AND(ISNUMBER(E490)=TRUE,ISNUMBER(T490)=FALSE),"Direct", AND(ISNUMBER(E490)=FALSE,ISNUMBER(T490)=TRUE),"Indirect", CN490=4,"Direct",AND(CL490=FALSE, CM490=TRUE,CN490-CO490&gt;-1),"Direct", AND(CL490=FALSE,CM490=TRUE, CN490-CO490&lt;0),"Check algorithm in appendix 2", AND(CL490=TRUE, CM490=FALSE,CN490-CO490&gt;0),"Check algorithm in appendix 2", AND(CL490=TRUE, CM490=FALSE,CN490-CO490=0),"Indirect", AND(CL490=TRUE, CM490=FALSE,CN490-CO490&lt;0),"Indirect", AND(CL490=FALSE,CM490=FALSE,CN490-CO490&gt;-1),"Direct", AND(CL490=FALSE,CM490=FALSE,CN490-CO490&lt;0),"Check algorithm in appendix 2", AND(CL490=TRUE,CM490=TRUE,CN490-CO490&gt;-1),"Direct", AND(CL490=TRUE,CM490=TRUE,CN490-CO490&lt;0),"Check algorithm in appendix 2"))</f>
        <v/>
      </c>
      <c r="BC490" s="120" t="str">
        <f t="shared" si="10"/>
        <v/>
      </c>
      <c r="BD490" s="140"/>
      <c r="BE490" s="122" t="str">
        <f>IF(Preferences!B$3="Manual","", IFERROR(IFS(AND(Preferences!B$3="Automatic",AX490/AW490&gt;=30),"Extremely serious",AND(AY490&lt;=$D$1*-1,BA490&lt;0,AX490/AW490&lt;3),"Not Serious",AND(AY490&lt;=$D$1*-1,BA490&lt;0,AX490/AW490&gt;=3),"Very serious",AND(AY490&gt;=$D$1,AZ490&gt;0,AX490/AW490&lt;3),"Not Serious",AND(AY490&gt;=$D$1,AZ490&gt;0,AX490/AW490&gt;=3),"Very serious",AND(AY490&lt;=$D$1*-1,BA490&gt;0,AZ490&gt;$D$2*-1,AX490/AW490&lt;3),"Serious", AND(AY490&lt;=$D$1*-1,BA490&gt;0,AZ490&lt;$D$2*-1,AX490/AW490&lt;3),"Very serious", AND(AY490&gt;=$D$1,AZ490&lt;0,BA490&lt;$D$2,AX490/AW490&lt;3),"Serious",AND(AY490&gt;=$D$1,AZ490&lt;0,BA490&gt;$D$2,AX490/AW490&lt;3),"Very serious", AND(AY490&lt;=$D$1*-1,BA490&gt;0,AZ490&gt;$D$2*-1,AX490/AW490&gt;=3),"Very serious", AND(AY490&lt;=$D$1*-1,BA490&gt;0,AZ490&lt;$D$2*-1,AX490/AW490&gt;=3),"Very serious", AND(AY490&gt;=$D$1,AZ490&lt;0,BA490&lt;$D$2,AX490/AW490&gt;=3),"Very serious", AND(AY490&gt;=$D$1,AZ490&lt;0,BA490&gt;$D$2,AX490/AW490&gt;=3),"Very serious", AND(AY490&gt;$D$1*-1,AY490&lt;$D$1,AZ490&gt;$D$1*-1,BA490&lt;$D$1,AX490/AW490&lt;3),"Not Serious", AND(AY490&gt;$D$1*-1,AY490&lt;$D$1,OR(AZ490&lt;=$D$1*-1,BA490&gt;=$D$1),AZ490&gt;$D$2*-1,BA490&lt;$D$2,AX490/AW490&lt;3),"Serious", AND(AY490&gt;$D$1*-1,AY490&lt;$D$1,OR(AZ490&lt;=$D$2*-1,BA490&gt;=$D$2),AX490/AW490&lt;3),"Very serious", AND(AY490&gt;$D$1*-1,AY490&lt;$D$1,AZ490&gt;$D$1*-1,BA490&lt;$D$1,AX490/AW490&gt;=3),"Very serious", AND(AY490&gt;$D$1*-1,AY490&lt;$D$1,OR(AZ490&lt;=$D$1*-1,BA490&gt;=$D$1),AZ490&gt;$D$2*-1,BA490&lt;$D$2,AX490/AW490&gt;=3),"Very serious", AND(AY490&gt;$D$1*-1,AY490&lt;$D$1,OR(AZ490&lt;=$D$2*-1,BA490&gt;=$D$2),AX490/AW490&gt;=3),"Very serious"),""))</f>
        <v/>
      </c>
      <c r="BF490" s="107" t="str">
        <f t="shared" si="11"/>
        <v/>
      </c>
      <c r="BG490" s="94" t="str">
        <f t="shared" si="46"/>
        <v/>
      </c>
      <c r="BH490" s="64" t="str">
        <f t="shared" si="12"/>
        <v>#N/A</v>
      </c>
      <c r="BI490" s="64" t="str">
        <f t="shared" si="13"/>
        <v/>
      </c>
      <c r="BJ490" s="123" t="str">
        <f t="shared" si="14"/>
        <v>#N/A</v>
      </c>
      <c r="BK490" s="64" t="str">
        <f t="shared" si="50"/>
        <v>YES</v>
      </c>
      <c r="BL490" s="64" t="str">
        <f t="shared" si="16"/>
        <v>YES</v>
      </c>
      <c r="BM490" s="64" t="str">
        <f t="shared" si="17"/>
        <v>YES</v>
      </c>
      <c r="BN490" s="124" t="str">
        <f t="shared" si="18"/>
        <v/>
      </c>
      <c r="BO490" s="91" t="str">
        <f t="shared" si="19"/>
        <v/>
      </c>
      <c r="BP490" s="91" t="str">
        <f t="shared" si="20"/>
        <v>#N/A</v>
      </c>
      <c r="BQ490" s="91" t="str">
        <f t="shared" si="21"/>
        <v/>
      </c>
      <c r="BR490" s="93" t="str">
        <f t="shared" si="22"/>
        <v/>
      </c>
      <c r="BS490" s="90" t="str">
        <f t="shared" si="23"/>
        <v/>
      </c>
      <c r="BT490" s="93" t="str">
        <f t="shared" si="24"/>
        <v>NA</v>
      </c>
      <c r="BU490" s="125" t="str">
        <f t="shared" si="25"/>
        <v>#N/A</v>
      </c>
      <c r="BV490" s="93" t="str">
        <f t="shared" si="26"/>
        <v/>
      </c>
      <c r="BW490" s="93" t="str">
        <f t="shared" si="27"/>
        <v/>
      </c>
      <c r="BX490" s="93" t="str">
        <f t="shared" si="28"/>
        <v>NA</v>
      </c>
      <c r="BY490" s="95" t="str">
        <f t="shared" si="29"/>
        <v>#N/A</v>
      </c>
      <c r="BZ490" s="93" t="str">
        <f t="shared" si="30"/>
        <v/>
      </c>
      <c r="CA490" s="93" t="str">
        <f t="shared" si="31"/>
        <v/>
      </c>
      <c r="CB490" s="93" t="str">
        <f t="shared" si="32"/>
        <v>NA</v>
      </c>
      <c r="CC490" s="96" t="str">
        <f t="shared" si="33"/>
        <v>#N/A</v>
      </c>
      <c r="CD490" s="93" t="str">
        <f t="shared" si="34"/>
        <v/>
      </c>
      <c r="CE490" s="93" t="str">
        <f t="shared" si="35"/>
        <v/>
      </c>
      <c r="CF490" s="93" t="str">
        <f t="shared" si="36"/>
        <v>NA</v>
      </c>
      <c r="CG490" s="97" t="str">
        <f t="shared" si="37"/>
        <v>#N/A</v>
      </c>
      <c r="CH490" s="98" t="str">
        <f t="shared" si="38"/>
        <v>#N/A</v>
      </c>
      <c r="CI490" s="99" t="str">
        <f t="shared" si="39"/>
        <v>#N/A</v>
      </c>
      <c r="CJ490" s="126" t="str">
        <f t="shared" si="40"/>
        <v>ERROR: check cell</v>
      </c>
      <c r="CK490" s="126"/>
      <c r="CL490" s="127" t="str">
        <f t="shared" si="41"/>
        <v>#DIV/0!</v>
      </c>
      <c r="CM490" s="128" t="str">
        <f t="shared" si="42"/>
        <v>#DIV/0!</v>
      </c>
      <c r="CN490" s="128">
        <f t="shared" si="43"/>
        <v>4</v>
      </c>
      <c r="CO490" s="129">
        <f t="shared" si="44"/>
        <v>4</v>
      </c>
      <c r="CP490" s="129" t="str">
        <f>IFS(C490=Preferences!B$13,B490,B490=Preferences!B$13,C490)</f>
        <v>#N/A</v>
      </c>
    </row>
    <row r="491" ht="13.5" customHeight="1">
      <c r="A491" s="63" t="str">
        <f t="shared" si="45"/>
        <v/>
      </c>
      <c r="B491" s="64"/>
      <c r="C491" s="64"/>
      <c r="D491" s="64"/>
      <c r="E491" s="65"/>
      <c r="F491" s="65"/>
      <c r="G491" s="65"/>
      <c r="H491" s="66"/>
      <c r="I491" s="66"/>
      <c r="J491" s="67"/>
      <c r="K491" s="68"/>
      <c r="L491" s="104"/>
      <c r="M491" s="104"/>
      <c r="N491" s="104"/>
      <c r="O491" s="104"/>
      <c r="P491" s="107" t="str">
        <f t="shared" si="1"/>
        <v/>
      </c>
      <c r="Q491" s="108" t="str">
        <f>IFERROR(IF(AND(Preferences!B$3="Manual",OR(AX491/AW491&gt;G491/F491,BD491="Serious",BD491="Very serious")),"Assess imprecision",IFS(ISBLANK(E491),"",AND(Preferences!B$3="Automatic", G491/F491&gt;=30),"Extremely serious",AND(H491&lt;=$D$1*-1,J491&lt;0,G491/F491&lt;3),"Not serious",AND(H491&lt;=$D$1*-1,J491&lt;0,G491/F491&gt;=3),"Very serious",AND(H491&gt;=$D$1,I491&gt;0,G491/F491&lt;3),"Not serious",AND(H491&gt;=$D$1,I491&gt;0,G491/F491&gt;=3),"Very serious",AND(H491&lt;=$D$1*-1,J491&gt;0,I491&gt;$D$2*-1,G491/F491&lt;3),"Serious", AND(H491&lt;=$D$1*-1,J491&gt;0,I491&lt;$D$2*-1,G491/F491&lt;3),"Very serious", AND(H491&gt;=$D$1,I491&lt;0,J491&lt;$D$2,G491/F491&lt;3),"Serious",AND(H491&gt;=$D$1,I491&lt;0,J491&gt;$D$2,G491/F491&lt;3),"Very serious", AND(H491&lt;=$D$1*-1,J491&gt;0,I491&gt;$D$2*-1,G491/F491&gt;=3),"Very serious", AND(H491&lt;=$D$1*-1,J491&gt;0,I491&lt;$D$2*-1,G491/F491&gt;=3),"Very serious", AND(H491&gt;=$D$1,I491&lt;0,J491&lt;$D$2,G491/F491&gt;=3),"Very serious", AND(H491&gt;=$D$1,I491&lt;0,J491&gt;$D$2,G491/F491&gt;=3),"Very serious", AND(H491&gt;$D$1*-1,H491&lt;$D$1,I491&gt;$D$1*-1,J491&lt;$D$1,G491/F491&lt;3),"Not serious", AND(H491&gt;$D$1*-1,H491&lt;$D$1,OR(I491&lt;=$D$1*-1,J491&gt;=$D$1),I491&gt;$D$2*-1,J491&lt;$D$2,G491/F491&lt;3),"Serious", AND(H491&gt;$D$1*-1,H491&lt;$D$1,OR(I491&lt;=$D$2*-1,J491&gt;=$D$2),G491/F491&lt;3),"Very serious", AND(H491&gt;$D$1*-1,H491&lt;$D$1,I491&gt;$D$1*-1,J491&lt;$D$1,G491/F491&gt;=3),"Very serious", AND(H491&gt;$D$1*-1,H491&lt;$D$1,OR(I491&lt;=$D$1*-1,J491&gt;=$D$1),I491&gt;$D$2*-1,J491&lt;$D$2,G491/F491&gt;=3),"Very serious", AND(H491&gt;$D$1*-1,H491&lt;$D$1,OR(I491&lt;=$D$2*-1,J491&gt;=$D$2),G491/F491&gt;=3),"Very serious")),"")</f>
        <v/>
      </c>
      <c r="R491" s="109" t="str">
        <f t="shared" si="47"/>
        <v/>
      </c>
      <c r="S491" s="64"/>
      <c r="T491" s="72"/>
      <c r="U491" s="72"/>
      <c r="V491" s="72"/>
      <c r="W491" s="73"/>
      <c r="X491" s="73"/>
      <c r="Y491" s="74"/>
      <c r="Z491" s="113" t="str">
        <f t="array" ref="Z491">INDEX($A$1:$C$500, MATCH(1,($B:$B=$B491)*($C:$C=$AB491),0),1)</f>
        <v/>
      </c>
      <c r="AA491" s="113" t="str">
        <f t="array" ref="AA491">INDEX($A$1:$C$500, MATCH(1,($B:$B=$AB491)*($C:$C=$B491),0),1)</f>
        <v/>
      </c>
      <c r="AB491" s="111"/>
      <c r="AC491" s="114" t="str">
        <f t="shared" si="2"/>
        <v/>
      </c>
      <c r="AD491" s="115" t="str">
        <f t="shared" si="3"/>
        <v/>
      </c>
      <c r="AE491" s="116" t="str">
        <f t="array" ref="AE491">INDEX($A$1:$C$500, MATCH(1,($B:$B=$AB491)*($C:$C=$AG491),0),1)</f>
        <v/>
      </c>
      <c r="AF491" s="116" t="str">
        <f t="array" ref="AF491">INDEX($A$1:$C$500, MATCH(1,($B:$B=$AG491)*($C:$C=$AB491),0),1)</f>
        <v/>
      </c>
      <c r="AG491" s="72"/>
      <c r="AH491" s="114" t="str">
        <f t="shared" si="4"/>
        <v/>
      </c>
      <c r="AI491" s="115" t="str">
        <f t="shared" si="5"/>
        <v/>
      </c>
      <c r="AJ491" s="116" t="str">
        <f t="array" ref="AJ491">INDEX($A$1:$C$500, MATCH(1,($B:$B=$C491)*($C:$C=$AG491),0),1)</f>
        <v/>
      </c>
      <c r="AK491" s="116" t="str">
        <f t="array" ref="AK491">INDEX($A$1:$C$500, MATCH(1,($B:$B=$AG491)*($C:$C=$C491),0),1)</f>
        <v/>
      </c>
      <c r="AL491" s="116" t="str">
        <f t="array" ref="AL491">INDEX($A$1:$C$500, MATCH(1,($B:$B=$C491)*($C:$C=$AB491),0),1)</f>
        <v/>
      </c>
      <c r="AM491" s="116" t="str">
        <f t="array" ref="AM491">INDEX($A$1:$C$500, MATCH(1,($B:$B=$AB491)*($C:$C=$C491),0),1)</f>
        <v/>
      </c>
      <c r="AN491" s="114" t="str">
        <f t="array" ref="AN491">IFS(ISNUMBER(AJ491),AJ491,ISNUMBER(AK491),AK491,ISNUMBER(AL491),AL491,ISNUMBER(AM491),AM491)</f>
        <v>#N/A</v>
      </c>
      <c r="AO491" s="115" t="str">
        <f t="shared" si="6"/>
        <v/>
      </c>
      <c r="AP491" s="115" t="str">
        <f t="shared" si="7"/>
        <v/>
      </c>
      <c r="AQ491" s="111"/>
      <c r="AR491" s="109" t="str">
        <f t="shared" si="8"/>
        <v/>
      </c>
      <c r="AS491" s="72" t="str">
        <f>IFERROR(IF(AND(Preferences!B$3="Manual",OR(AX491/AW491&gt;V491/U491,BD491="Serious",BD491="Very serious")),"Assess imprecision",IFERROR(IFS(AND(Preferences!B$3="Automatic",V491/U491&gt;=30),"Extremely serious",AND(W491&lt;=$D$1*-1,Y491&lt;0,V491/U491&lt;3),"Not Serious",AND(W491&lt;=$D$1*-1,Y491&lt;0,V491/U491&gt;=3),"Very serious",AND(W491&gt;=$D$1,X491&gt;0,V491/U491&lt;3),"Not Serious",AND(W491&gt;=$D$1,X491&gt;0,V491/U491&gt;=3),"Very serious",AND(W491&lt;=$D$1*-1,Y491&gt;0,X491&gt;$D$2*-1,V491/U491&lt;3),"Serious", AND(W491&lt;=$D$1*-1,Y491&gt;0,X491&lt;$D$2*-1,V491/U491&lt;3),"Very serious", AND(W491&gt;=$D$1,X491&lt;0,Y491&lt;$D$2,V491/U491&lt;3),"Serious",AND(W491&gt;=$D$1,X491&lt;0,Y491&gt;$D$2,V491/U491&lt;3),"Very serious", AND(W491&lt;=$D$1*-1,Y491&gt;0,X491&gt;$D$2*-1,V491/U491&gt;=3),"Very serious", AND(W491&lt;=$D$1*-1,Y491&gt;0,X491&lt;$D$2*-1,V491/U491&gt;=3),"Very serious", AND(W491&gt;=$D$1,X491&lt;0,Y491&lt;$D$2,V491/U491&gt;=3),"Very serious", AND(W491&gt;=$D$1,X491&lt;0,Y491&gt;$D$2,V491/U491&gt;=3),"Very serious", AND(W491&gt;$D$1*-1,W491&lt;$D$1,X491&gt;$D$1*-1,Y491&lt;$D$1,V491/U491&lt;3),"Not Serious", AND(W491&gt;$D$1*-1,W491&lt;$D$1,OR(X491&lt;=$D$1*-1,Y491&gt;=$D$1),X491&gt;$D$2*-1,Y491&lt;$D$2,V491/U491&lt;3),"Serious", AND(W491&gt;$D$1*-1,W491&lt;$D$1,OR(X491&lt;=$D$2*-1,Y491&gt;=$D$2),V491/U491&lt;3),"Very serious", AND(W491&gt;$D$1*-1,W491&lt;$D$1,X491&gt;$D$1*-1,Y491&lt;$D$1,V491/U491&gt;=3),"Very serious", AND(W491&gt;$D$1*-1,W491&lt;$D$1,OR(X491&lt;=$D$1*-1,Y491&gt;=$D$1),X491&gt;$D$2*-1,Y491&lt;$D$2,V491/U491&gt;=3),"Very serious", AND(W491&gt;$D$1*-1,W491&lt;$D$1,OR(X491&lt;=$D$2*-1,Y491&gt;=$D$2),V491/U491&gt;=3),"Very serious"),"")),"")</f>
        <v/>
      </c>
      <c r="AT491" s="109" t="str">
        <f t="shared" si="9"/>
        <v/>
      </c>
      <c r="AU491" s="64"/>
      <c r="AV491" s="83"/>
      <c r="AW491" s="83"/>
      <c r="AX491" s="83"/>
      <c r="AY491" s="83"/>
      <c r="AZ491" s="83"/>
      <c r="BA491" s="85"/>
      <c r="BB491" s="86" t="str">
        <f>IF(Preferences!B$9="Manual","",IFS(ISBLANK(B491),"",AND(ISNUMBER(E491)=TRUE,ISNUMBER(T491)=FALSE),"Direct", AND(ISNUMBER(E491)=FALSE,ISNUMBER(T491)=TRUE),"Indirect", CN491=4,"Direct",AND(CL491=FALSE, CM491=TRUE,CN491-CO491&gt;-1),"Direct", AND(CL491=FALSE,CM491=TRUE, CN491-CO491&lt;0),"Check algorithm in appendix 2", AND(CL491=TRUE, CM491=FALSE,CN491-CO491&gt;0),"Check algorithm in appendix 2", AND(CL491=TRUE, CM491=FALSE,CN491-CO491=0),"Indirect", AND(CL491=TRUE, CM491=FALSE,CN491-CO491&lt;0),"Indirect", AND(CL491=FALSE,CM491=FALSE,CN491-CO491&gt;-1),"Direct", AND(CL491=FALSE,CM491=FALSE,CN491-CO491&lt;0),"Check algorithm in appendix 2", AND(CL491=TRUE,CM491=TRUE,CN491-CO491&gt;-1),"Direct", AND(CL491=TRUE,CM491=TRUE,CN491-CO491&lt;0),"Check algorithm in appendix 2"))</f>
        <v/>
      </c>
      <c r="BC491" s="120" t="str">
        <f t="shared" si="10"/>
        <v/>
      </c>
      <c r="BD491" s="140"/>
      <c r="BE491" s="122" t="str">
        <f>IF(Preferences!B$3="Manual","", IFERROR(IFS(AND(Preferences!B$3="Automatic",AX491/AW491&gt;=30),"Extremely serious",AND(AY491&lt;=$D$1*-1,BA491&lt;0,AX491/AW491&lt;3),"Not Serious",AND(AY491&lt;=$D$1*-1,BA491&lt;0,AX491/AW491&gt;=3),"Very serious",AND(AY491&gt;=$D$1,AZ491&gt;0,AX491/AW491&lt;3),"Not Serious",AND(AY491&gt;=$D$1,AZ491&gt;0,AX491/AW491&gt;=3),"Very serious",AND(AY491&lt;=$D$1*-1,BA491&gt;0,AZ491&gt;$D$2*-1,AX491/AW491&lt;3),"Serious", AND(AY491&lt;=$D$1*-1,BA491&gt;0,AZ491&lt;$D$2*-1,AX491/AW491&lt;3),"Very serious", AND(AY491&gt;=$D$1,AZ491&lt;0,BA491&lt;$D$2,AX491/AW491&lt;3),"Serious",AND(AY491&gt;=$D$1,AZ491&lt;0,BA491&gt;$D$2,AX491/AW491&lt;3),"Very serious", AND(AY491&lt;=$D$1*-1,BA491&gt;0,AZ491&gt;$D$2*-1,AX491/AW491&gt;=3),"Very serious", AND(AY491&lt;=$D$1*-1,BA491&gt;0,AZ491&lt;$D$2*-1,AX491/AW491&gt;=3),"Very serious", AND(AY491&gt;=$D$1,AZ491&lt;0,BA491&lt;$D$2,AX491/AW491&gt;=3),"Very serious", AND(AY491&gt;=$D$1,AZ491&lt;0,BA491&gt;$D$2,AX491/AW491&gt;=3),"Very serious", AND(AY491&gt;$D$1*-1,AY491&lt;$D$1,AZ491&gt;$D$1*-1,BA491&lt;$D$1,AX491/AW491&lt;3),"Not Serious", AND(AY491&gt;$D$1*-1,AY491&lt;$D$1,OR(AZ491&lt;=$D$1*-1,BA491&gt;=$D$1),AZ491&gt;$D$2*-1,BA491&lt;$D$2,AX491/AW491&lt;3),"Serious", AND(AY491&gt;$D$1*-1,AY491&lt;$D$1,OR(AZ491&lt;=$D$2*-1,BA491&gt;=$D$2),AX491/AW491&lt;3),"Very serious", AND(AY491&gt;$D$1*-1,AY491&lt;$D$1,AZ491&gt;$D$1*-1,BA491&lt;$D$1,AX491/AW491&gt;=3),"Very serious", AND(AY491&gt;$D$1*-1,AY491&lt;$D$1,OR(AZ491&lt;=$D$1*-1,BA491&gt;=$D$1),AZ491&gt;$D$2*-1,BA491&lt;$D$2,AX491/AW491&gt;=3),"Very serious", AND(AY491&gt;$D$1*-1,AY491&lt;$D$1,OR(AZ491&lt;=$D$2*-1,BA491&gt;=$D$2),AX491/AW491&gt;=3),"Very serious"),""))</f>
        <v/>
      </c>
      <c r="BF491" s="107" t="str">
        <f t="shared" si="11"/>
        <v/>
      </c>
      <c r="BG491" s="94" t="str">
        <f t="shared" si="46"/>
        <v/>
      </c>
      <c r="BH491" s="64" t="str">
        <f t="shared" si="12"/>
        <v>#N/A</v>
      </c>
      <c r="BI491" s="64" t="str">
        <f t="shared" si="13"/>
        <v/>
      </c>
      <c r="BJ491" s="123" t="str">
        <f t="shared" si="14"/>
        <v>#N/A</v>
      </c>
      <c r="BK491" s="64" t="str">
        <f t="shared" si="50"/>
        <v>YES</v>
      </c>
      <c r="BL491" s="64" t="str">
        <f t="shared" si="16"/>
        <v>YES</v>
      </c>
      <c r="BM491" s="64" t="str">
        <f t="shared" si="17"/>
        <v>YES</v>
      </c>
      <c r="BN491" s="124" t="str">
        <f t="shared" si="18"/>
        <v/>
      </c>
      <c r="BO491" s="91" t="str">
        <f t="shared" si="19"/>
        <v/>
      </c>
      <c r="BP491" s="91" t="str">
        <f t="shared" si="20"/>
        <v>#N/A</v>
      </c>
      <c r="BQ491" s="91" t="str">
        <f t="shared" si="21"/>
        <v/>
      </c>
      <c r="BR491" s="93" t="str">
        <f t="shared" si="22"/>
        <v/>
      </c>
      <c r="BS491" s="90" t="str">
        <f t="shared" si="23"/>
        <v/>
      </c>
      <c r="BT491" s="93" t="str">
        <f t="shared" si="24"/>
        <v>NA</v>
      </c>
      <c r="BU491" s="125" t="str">
        <f t="shared" si="25"/>
        <v>#N/A</v>
      </c>
      <c r="BV491" s="93" t="str">
        <f t="shared" si="26"/>
        <v/>
      </c>
      <c r="BW491" s="93" t="str">
        <f t="shared" si="27"/>
        <v/>
      </c>
      <c r="BX491" s="93" t="str">
        <f t="shared" si="28"/>
        <v>NA</v>
      </c>
      <c r="BY491" s="95" t="str">
        <f t="shared" si="29"/>
        <v>#N/A</v>
      </c>
      <c r="BZ491" s="93" t="str">
        <f t="shared" si="30"/>
        <v/>
      </c>
      <c r="CA491" s="93" t="str">
        <f t="shared" si="31"/>
        <v/>
      </c>
      <c r="CB491" s="93" t="str">
        <f t="shared" si="32"/>
        <v>NA</v>
      </c>
      <c r="CC491" s="96" t="str">
        <f t="shared" si="33"/>
        <v>#N/A</v>
      </c>
      <c r="CD491" s="93" t="str">
        <f t="shared" si="34"/>
        <v/>
      </c>
      <c r="CE491" s="93" t="str">
        <f t="shared" si="35"/>
        <v/>
      </c>
      <c r="CF491" s="93" t="str">
        <f t="shared" si="36"/>
        <v>NA</v>
      </c>
      <c r="CG491" s="97" t="str">
        <f t="shared" si="37"/>
        <v>#N/A</v>
      </c>
      <c r="CH491" s="98" t="str">
        <f t="shared" si="38"/>
        <v>#N/A</v>
      </c>
      <c r="CI491" s="99" t="str">
        <f t="shared" si="39"/>
        <v>#N/A</v>
      </c>
      <c r="CJ491" s="126" t="str">
        <f t="shared" si="40"/>
        <v>ERROR: check cell</v>
      </c>
      <c r="CK491" s="126"/>
      <c r="CL491" s="127" t="str">
        <f t="shared" si="41"/>
        <v>#DIV/0!</v>
      </c>
      <c r="CM491" s="128" t="str">
        <f t="shared" si="42"/>
        <v>#DIV/0!</v>
      </c>
      <c r="CN491" s="128">
        <f t="shared" si="43"/>
        <v>4</v>
      </c>
      <c r="CO491" s="129">
        <f t="shared" si="44"/>
        <v>4</v>
      </c>
      <c r="CP491" s="129" t="str">
        <f>IFS(C491=Preferences!B$13,B491,B491=Preferences!B$13,C491)</f>
        <v>#N/A</v>
      </c>
    </row>
    <row r="492" ht="13.5" customHeight="1">
      <c r="A492" s="63" t="str">
        <f t="shared" si="45"/>
        <v/>
      </c>
      <c r="B492" s="64"/>
      <c r="C492" s="64"/>
      <c r="D492" s="64"/>
      <c r="E492" s="65"/>
      <c r="F492" s="65"/>
      <c r="G492" s="65"/>
      <c r="H492" s="66"/>
      <c r="I492" s="66"/>
      <c r="J492" s="67"/>
      <c r="K492" s="68"/>
      <c r="L492" s="104"/>
      <c r="M492" s="104"/>
      <c r="N492" s="104"/>
      <c r="O492" s="104"/>
      <c r="P492" s="107" t="str">
        <f t="shared" si="1"/>
        <v/>
      </c>
      <c r="Q492" s="108" t="str">
        <f>IFERROR(IF(AND(Preferences!B$3="Manual",OR(AX492/AW492&gt;G492/F492,BD492="Serious",BD492="Very serious")),"Assess imprecision",IFS(ISBLANK(E492),"",AND(Preferences!B$3="Automatic", G492/F492&gt;=30),"Extremely serious",AND(H492&lt;=$D$1*-1,J492&lt;0,G492/F492&lt;3),"Not serious",AND(H492&lt;=$D$1*-1,J492&lt;0,G492/F492&gt;=3),"Very serious",AND(H492&gt;=$D$1,I492&gt;0,G492/F492&lt;3),"Not serious",AND(H492&gt;=$D$1,I492&gt;0,G492/F492&gt;=3),"Very serious",AND(H492&lt;=$D$1*-1,J492&gt;0,I492&gt;$D$2*-1,G492/F492&lt;3),"Serious", AND(H492&lt;=$D$1*-1,J492&gt;0,I492&lt;$D$2*-1,G492/F492&lt;3),"Very serious", AND(H492&gt;=$D$1,I492&lt;0,J492&lt;$D$2,G492/F492&lt;3),"Serious",AND(H492&gt;=$D$1,I492&lt;0,J492&gt;$D$2,G492/F492&lt;3),"Very serious", AND(H492&lt;=$D$1*-1,J492&gt;0,I492&gt;$D$2*-1,G492/F492&gt;=3),"Very serious", AND(H492&lt;=$D$1*-1,J492&gt;0,I492&lt;$D$2*-1,G492/F492&gt;=3),"Very serious", AND(H492&gt;=$D$1,I492&lt;0,J492&lt;$D$2,G492/F492&gt;=3),"Very serious", AND(H492&gt;=$D$1,I492&lt;0,J492&gt;$D$2,G492/F492&gt;=3),"Very serious", AND(H492&gt;$D$1*-1,H492&lt;$D$1,I492&gt;$D$1*-1,J492&lt;$D$1,G492/F492&lt;3),"Not serious", AND(H492&gt;$D$1*-1,H492&lt;$D$1,OR(I492&lt;=$D$1*-1,J492&gt;=$D$1),I492&gt;$D$2*-1,J492&lt;$D$2,G492/F492&lt;3),"Serious", AND(H492&gt;$D$1*-1,H492&lt;$D$1,OR(I492&lt;=$D$2*-1,J492&gt;=$D$2),G492/F492&lt;3),"Very serious", AND(H492&gt;$D$1*-1,H492&lt;$D$1,I492&gt;$D$1*-1,J492&lt;$D$1,G492/F492&gt;=3),"Very serious", AND(H492&gt;$D$1*-1,H492&lt;$D$1,OR(I492&lt;=$D$1*-1,J492&gt;=$D$1),I492&gt;$D$2*-1,J492&lt;$D$2,G492/F492&gt;=3),"Very serious", AND(H492&gt;$D$1*-1,H492&lt;$D$1,OR(I492&lt;=$D$2*-1,J492&gt;=$D$2),G492/F492&gt;=3),"Very serious")),"")</f>
        <v/>
      </c>
      <c r="R492" s="109" t="str">
        <f t="shared" si="47"/>
        <v/>
      </c>
      <c r="S492" s="64"/>
      <c r="T492" s="72"/>
      <c r="U492" s="72"/>
      <c r="V492" s="72"/>
      <c r="W492" s="73"/>
      <c r="X492" s="73"/>
      <c r="Y492" s="74"/>
      <c r="Z492" s="113" t="str">
        <f t="array" ref="Z492">INDEX($A$1:$C$500, MATCH(1,($B:$B=$B492)*($C:$C=$AB492),0),1)</f>
        <v/>
      </c>
      <c r="AA492" s="113" t="str">
        <f t="array" ref="AA492">INDEX($A$1:$C$500, MATCH(1,($B:$B=$AB492)*($C:$C=$B492),0),1)</f>
        <v/>
      </c>
      <c r="AB492" s="111"/>
      <c r="AC492" s="114" t="str">
        <f t="shared" si="2"/>
        <v/>
      </c>
      <c r="AD492" s="115" t="str">
        <f t="shared" si="3"/>
        <v/>
      </c>
      <c r="AE492" s="116" t="str">
        <f t="array" ref="AE492">INDEX($A$1:$C$500, MATCH(1,($B:$B=$AB492)*($C:$C=$AG492),0),1)</f>
        <v/>
      </c>
      <c r="AF492" s="116" t="str">
        <f t="array" ref="AF492">INDEX($A$1:$C$500, MATCH(1,($B:$B=$AG492)*($C:$C=$AB492),0),1)</f>
        <v/>
      </c>
      <c r="AG492" s="72"/>
      <c r="AH492" s="114" t="str">
        <f t="shared" si="4"/>
        <v/>
      </c>
      <c r="AI492" s="115" t="str">
        <f t="shared" si="5"/>
        <v/>
      </c>
      <c r="AJ492" s="116" t="str">
        <f t="array" ref="AJ492">INDEX($A$1:$C$500, MATCH(1,($B:$B=$C492)*($C:$C=$AG492),0),1)</f>
        <v/>
      </c>
      <c r="AK492" s="116" t="str">
        <f t="array" ref="AK492">INDEX($A$1:$C$500, MATCH(1,($B:$B=$AG492)*($C:$C=$C492),0),1)</f>
        <v/>
      </c>
      <c r="AL492" s="116" t="str">
        <f t="array" ref="AL492">INDEX($A$1:$C$500, MATCH(1,($B:$B=$C492)*($C:$C=$AB492),0),1)</f>
        <v/>
      </c>
      <c r="AM492" s="116" t="str">
        <f t="array" ref="AM492">INDEX($A$1:$C$500, MATCH(1,($B:$B=$AB492)*($C:$C=$C492),0),1)</f>
        <v/>
      </c>
      <c r="AN492" s="114" t="str">
        <f t="array" ref="AN492">IFS(ISNUMBER(AJ492),AJ492,ISNUMBER(AK492),AK492,ISNUMBER(AL492),AL492,ISNUMBER(AM492),AM492)</f>
        <v>#N/A</v>
      </c>
      <c r="AO492" s="115" t="str">
        <f t="shared" si="6"/>
        <v/>
      </c>
      <c r="AP492" s="115" t="str">
        <f t="shared" si="7"/>
        <v/>
      </c>
      <c r="AQ492" s="111"/>
      <c r="AR492" s="109" t="str">
        <f t="shared" si="8"/>
        <v/>
      </c>
      <c r="AS492" s="72" t="str">
        <f>IFERROR(IF(AND(Preferences!B$3="Manual",OR(AX492/AW492&gt;V492/U492,BD492="Serious",BD492="Very serious")),"Assess imprecision",IFERROR(IFS(AND(Preferences!B$3="Automatic",V492/U492&gt;=30),"Extremely serious",AND(W492&lt;=$D$1*-1,Y492&lt;0,V492/U492&lt;3),"Not Serious",AND(W492&lt;=$D$1*-1,Y492&lt;0,V492/U492&gt;=3),"Very serious",AND(W492&gt;=$D$1,X492&gt;0,V492/U492&lt;3),"Not Serious",AND(W492&gt;=$D$1,X492&gt;0,V492/U492&gt;=3),"Very serious",AND(W492&lt;=$D$1*-1,Y492&gt;0,X492&gt;$D$2*-1,V492/U492&lt;3),"Serious", AND(W492&lt;=$D$1*-1,Y492&gt;0,X492&lt;$D$2*-1,V492/U492&lt;3),"Very serious", AND(W492&gt;=$D$1,X492&lt;0,Y492&lt;$D$2,V492/U492&lt;3),"Serious",AND(W492&gt;=$D$1,X492&lt;0,Y492&gt;$D$2,V492/U492&lt;3),"Very serious", AND(W492&lt;=$D$1*-1,Y492&gt;0,X492&gt;$D$2*-1,V492/U492&gt;=3),"Very serious", AND(W492&lt;=$D$1*-1,Y492&gt;0,X492&lt;$D$2*-1,V492/U492&gt;=3),"Very serious", AND(W492&gt;=$D$1,X492&lt;0,Y492&lt;$D$2,V492/U492&gt;=3),"Very serious", AND(W492&gt;=$D$1,X492&lt;0,Y492&gt;$D$2,V492/U492&gt;=3),"Very serious", AND(W492&gt;$D$1*-1,W492&lt;$D$1,X492&gt;$D$1*-1,Y492&lt;$D$1,V492/U492&lt;3),"Not Serious", AND(W492&gt;$D$1*-1,W492&lt;$D$1,OR(X492&lt;=$D$1*-1,Y492&gt;=$D$1),X492&gt;$D$2*-1,Y492&lt;$D$2,V492/U492&lt;3),"Serious", AND(W492&gt;$D$1*-1,W492&lt;$D$1,OR(X492&lt;=$D$2*-1,Y492&gt;=$D$2),V492/U492&lt;3),"Very serious", AND(W492&gt;$D$1*-1,W492&lt;$D$1,X492&gt;$D$1*-1,Y492&lt;$D$1,V492/U492&gt;=3),"Very serious", AND(W492&gt;$D$1*-1,W492&lt;$D$1,OR(X492&lt;=$D$1*-1,Y492&gt;=$D$1),X492&gt;$D$2*-1,Y492&lt;$D$2,V492/U492&gt;=3),"Very serious", AND(W492&gt;$D$1*-1,W492&lt;$D$1,OR(X492&lt;=$D$2*-1,Y492&gt;=$D$2),V492/U492&gt;=3),"Very serious"),"")),"")</f>
        <v/>
      </c>
      <c r="AT492" s="109" t="str">
        <f t="shared" si="9"/>
        <v/>
      </c>
      <c r="AU492" s="64"/>
      <c r="AV492" s="83"/>
      <c r="AW492" s="83"/>
      <c r="AX492" s="83"/>
      <c r="AY492" s="83"/>
      <c r="AZ492" s="83"/>
      <c r="BA492" s="85"/>
      <c r="BB492" s="86" t="str">
        <f>IF(Preferences!B$9="Manual","",IFS(ISBLANK(B492),"",AND(ISNUMBER(E492)=TRUE,ISNUMBER(T492)=FALSE),"Direct", AND(ISNUMBER(E492)=FALSE,ISNUMBER(T492)=TRUE),"Indirect", CN492=4,"Direct",AND(CL492=FALSE, CM492=TRUE,CN492-CO492&gt;-1),"Direct", AND(CL492=FALSE,CM492=TRUE, CN492-CO492&lt;0),"Check algorithm in appendix 2", AND(CL492=TRUE, CM492=FALSE,CN492-CO492&gt;0),"Check algorithm in appendix 2", AND(CL492=TRUE, CM492=FALSE,CN492-CO492=0),"Indirect", AND(CL492=TRUE, CM492=FALSE,CN492-CO492&lt;0),"Indirect", AND(CL492=FALSE,CM492=FALSE,CN492-CO492&gt;-1),"Direct", AND(CL492=FALSE,CM492=FALSE,CN492-CO492&lt;0),"Check algorithm in appendix 2", AND(CL492=TRUE,CM492=TRUE,CN492-CO492&gt;-1),"Direct", AND(CL492=TRUE,CM492=TRUE,CN492-CO492&lt;0),"Check algorithm in appendix 2"))</f>
        <v/>
      </c>
      <c r="BC492" s="120" t="str">
        <f t="shared" si="10"/>
        <v/>
      </c>
      <c r="BD492" s="140"/>
      <c r="BE492" s="122" t="str">
        <f>IF(Preferences!B$3="Manual","", IFERROR(IFS(AND(Preferences!B$3="Automatic",AX492/AW492&gt;=30),"Extremely serious",AND(AY492&lt;=$D$1*-1,BA492&lt;0,AX492/AW492&lt;3),"Not Serious",AND(AY492&lt;=$D$1*-1,BA492&lt;0,AX492/AW492&gt;=3),"Very serious",AND(AY492&gt;=$D$1,AZ492&gt;0,AX492/AW492&lt;3),"Not Serious",AND(AY492&gt;=$D$1,AZ492&gt;0,AX492/AW492&gt;=3),"Very serious",AND(AY492&lt;=$D$1*-1,BA492&gt;0,AZ492&gt;$D$2*-1,AX492/AW492&lt;3),"Serious", AND(AY492&lt;=$D$1*-1,BA492&gt;0,AZ492&lt;$D$2*-1,AX492/AW492&lt;3),"Very serious", AND(AY492&gt;=$D$1,AZ492&lt;0,BA492&lt;$D$2,AX492/AW492&lt;3),"Serious",AND(AY492&gt;=$D$1,AZ492&lt;0,BA492&gt;$D$2,AX492/AW492&lt;3),"Very serious", AND(AY492&lt;=$D$1*-1,BA492&gt;0,AZ492&gt;$D$2*-1,AX492/AW492&gt;=3),"Very serious", AND(AY492&lt;=$D$1*-1,BA492&gt;0,AZ492&lt;$D$2*-1,AX492/AW492&gt;=3),"Very serious", AND(AY492&gt;=$D$1,AZ492&lt;0,BA492&lt;$D$2,AX492/AW492&gt;=3),"Very serious", AND(AY492&gt;=$D$1,AZ492&lt;0,BA492&gt;$D$2,AX492/AW492&gt;=3),"Very serious", AND(AY492&gt;$D$1*-1,AY492&lt;$D$1,AZ492&gt;$D$1*-1,BA492&lt;$D$1,AX492/AW492&lt;3),"Not Serious", AND(AY492&gt;$D$1*-1,AY492&lt;$D$1,OR(AZ492&lt;=$D$1*-1,BA492&gt;=$D$1),AZ492&gt;$D$2*-1,BA492&lt;$D$2,AX492/AW492&lt;3),"Serious", AND(AY492&gt;$D$1*-1,AY492&lt;$D$1,OR(AZ492&lt;=$D$2*-1,BA492&gt;=$D$2),AX492/AW492&lt;3),"Very serious", AND(AY492&gt;$D$1*-1,AY492&lt;$D$1,AZ492&gt;$D$1*-1,BA492&lt;$D$1,AX492/AW492&gt;=3),"Very serious", AND(AY492&gt;$D$1*-1,AY492&lt;$D$1,OR(AZ492&lt;=$D$1*-1,BA492&gt;=$D$1),AZ492&gt;$D$2*-1,BA492&lt;$D$2,AX492/AW492&gt;=3),"Very serious", AND(AY492&gt;$D$1*-1,AY492&lt;$D$1,OR(AZ492&lt;=$D$2*-1,BA492&gt;=$D$2),AX492/AW492&gt;=3),"Very serious"),""))</f>
        <v/>
      </c>
      <c r="BF492" s="107" t="str">
        <f t="shared" si="11"/>
        <v/>
      </c>
      <c r="BG492" s="94" t="str">
        <f t="shared" si="46"/>
        <v/>
      </c>
      <c r="BH492" s="64" t="str">
        <f t="shared" si="12"/>
        <v>#N/A</v>
      </c>
      <c r="BI492" s="64" t="str">
        <f t="shared" si="13"/>
        <v/>
      </c>
      <c r="BJ492" s="123" t="str">
        <f t="shared" si="14"/>
        <v>#N/A</v>
      </c>
      <c r="BK492" s="64" t="str">
        <f t="shared" si="50"/>
        <v>YES</v>
      </c>
      <c r="BL492" s="64" t="str">
        <f t="shared" si="16"/>
        <v>YES</v>
      </c>
      <c r="BM492" s="64" t="str">
        <f t="shared" si="17"/>
        <v>YES</v>
      </c>
      <c r="BN492" s="124" t="str">
        <f t="shared" si="18"/>
        <v/>
      </c>
      <c r="BO492" s="91" t="str">
        <f t="shared" si="19"/>
        <v/>
      </c>
      <c r="BP492" s="91" t="str">
        <f t="shared" si="20"/>
        <v>#N/A</v>
      </c>
      <c r="BQ492" s="91" t="str">
        <f t="shared" si="21"/>
        <v/>
      </c>
      <c r="BR492" s="93" t="str">
        <f t="shared" si="22"/>
        <v/>
      </c>
      <c r="BS492" s="90" t="str">
        <f t="shared" si="23"/>
        <v/>
      </c>
      <c r="BT492" s="93" t="str">
        <f t="shared" si="24"/>
        <v>NA</v>
      </c>
      <c r="BU492" s="125" t="str">
        <f t="shared" si="25"/>
        <v>#N/A</v>
      </c>
      <c r="BV492" s="93" t="str">
        <f t="shared" si="26"/>
        <v/>
      </c>
      <c r="BW492" s="93" t="str">
        <f t="shared" si="27"/>
        <v/>
      </c>
      <c r="BX492" s="93" t="str">
        <f t="shared" si="28"/>
        <v>NA</v>
      </c>
      <c r="BY492" s="95" t="str">
        <f t="shared" si="29"/>
        <v>#N/A</v>
      </c>
      <c r="BZ492" s="93" t="str">
        <f t="shared" si="30"/>
        <v/>
      </c>
      <c r="CA492" s="93" t="str">
        <f t="shared" si="31"/>
        <v/>
      </c>
      <c r="CB492" s="93" t="str">
        <f t="shared" si="32"/>
        <v>NA</v>
      </c>
      <c r="CC492" s="96" t="str">
        <f t="shared" si="33"/>
        <v>#N/A</v>
      </c>
      <c r="CD492" s="93" t="str">
        <f t="shared" si="34"/>
        <v/>
      </c>
      <c r="CE492" s="93" t="str">
        <f t="shared" si="35"/>
        <v/>
      </c>
      <c r="CF492" s="93" t="str">
        <f t="shared" si="36"/>
        <v>NA</v>
      </c>
      <c r="CG492" s="97" t="str">
        <f t="shared" si="37"/>
        <v>#N/A</v>
      </c>
      <c r="CH492" s="98" t="str">
        <f t="shared" si="38"/>
        <v>#N/A</v>
      </c>
      <c r="CI492" s="99" t="str">
        <f t="shared" si="39"/>
        <v>#N/A</v>
      </c>
      <c r="CJ492" s="126" t="str">
        <f t="shared" si="40"/>
        <v>ERROR: check cell</v>
      </c>
      <c r="CK492" s="126"/>
      <c r="CL492" s="127" t="str">
        <f t="shared" si="41"/>
        <v>#DIV/0!</v>
      </c>
      <c r="CM492" s="128" t="str">
        <f t="shared" si="42"/>
        <v>#DIV/0!</v>
      </c>
      <c r="CN492" s="128">
        <f t="shared" si="43"/>
        <v>4</v>
      </c>
      <c r="CO492" s="129">
        <f t="shared" si="44"/>
        <v>4</v>
      </c>
      <c r="CP492" s="129" t="str">
        <f>IFS(C492=Preferences!B$13,B492,B492=Preferences!B$13,C492)</f>
        <v>#N/A</v>
      </c>
    </row>
    <row r="493" ht="13.5" customHeight="1">
      <c r="A493" s="63" t="str">
        <f t="shared" si="45"/>
        <v/>
      </c>
      <c r="B493" s="64"/>
      <c r="C493" s="64"/>
      <c r="D493" s="64"/>
      <c r="E493" s="65"/>
      <c r="F493" s="65"/>
      <c r="G493" s="65"/>
      <c r="H493" s="66"/>
      <c r="I493" s="66"/>
      <c r="J493" s="67"/>
      <c r="K493" s="68"/>
      <c r="L493" s="104"/>
      <c r="M493" s="104"/>
      <c r="N493" s="104"/>
      <c r="O493" s="104"/>
      <c r="P493" s="107" t="str">
        <f t="shared" si="1"/>
        <v/>
      </c>
      <c r="Q493" s="108" t="str">
        <f>IFERROR(IF(AND(Preferences!B$3="Manual",OR(AX493/AW493&gt;G493/F493,BD493="Serious",BD493="Very serious")),"Assess imprecision",IFS(ISBLANK(E493),"",AND(Preferences!B$3="Automatic", G493/F493&gt;=30),"Extremely serious",AND(H493&lt;=$D$1*-1,J493&lt;0,G493/F493&lt;3),"Not serious",AND(H493&lt;=$D$1*-1,J493&lt;0,G493/F493&gt;=3),"Very serious",AND(H493&gt;=$D$1,I493&gt;0,G493/F493&lt;3),"Not serious",AND(H493&gt;=$D$1,I493&gt;0,G493/F493&gt;=3),"Very serious",AND(H493&lt;=$D$1*-1,J493&gt;0,I493&gt;$D$2*-1,G493/F493&lt;3),"Serious", AND(H493&lt;=$D$1*-1,J493&gt;0,I493&lt;$D$2*-1,G493/F493&lt;3),"Very serious", AND(H493&gt;=$D$1,I493&lt;0,J493&lt;$D$2,G493/F493&lt;3),"Serious",AND(H493&gt;=$D$1,I493&lt;0,J493&gt;$D$2,G493/F493&lt;3),"Very serious", AND(H493&lt;=$D$1*-1,J493&gt;0,I493&gt;$D$2*-1,G493/F493&gt;=3),"Very serious", AND(H493&lt;=$D$1*-1,J493&gt;0,I493&lt;$D$2*-1,G493/F493&gt;=3),"Very serious", AND(H493&gt;=$D$1,I493&lt;0,J493&lt;$D$2,G493/F493&gt;=3),"Very serious", AND(H493&gt;=$D$1,I493&lt;0,J493&gt;$D$2,G493/F493&gt;=3),"Very serious", AND(H493&gt;$D$1*-1,H493&lt;$D$1,I493&gt;$D$1*-1,J493&lt;$D$1,G493/F493&lt;3),"Not serious", AND(H493&gt;$D$1*-1,H493&lt;$D$1,OR(I493&lt;=$D$1*-1,J493&gt;=$D$1),I493&gt;$D$2*-1,J493&lt;$D$2,G493/F493&lt;3),"Serious", AND(H493&gt;$D$1*-1,H493&lt;$D$1,OR(I493&lt;=$D$2*-1,J493&gt;=$D$2),G493/F493&lt;3),"Very serious", AND(H493&gt;$D$1*-1,H493&lt;$D$1,I493&gt;$D$1*-1,J493&lt;$D$1,G493/F493&gt;=3),"Very serious", AND(H493&gt;$D$1*-1,H493&lt;$D$1,OR(I493&lt;=$D$1*-1,J493&gt;=$D$1),I493&gt;$D$2*-1,J493&lt;$D$2,G493/F493&gt;=3),"Very serious", AND(H493&gt;$D$1*-1,H493&lt;$D$1,OR(I493&lt;=$D$2*-1,J493&gt;=$D$2),G493/F493&gt;=3),"Very serious")),"")</f>
        <v/>
      </c>
      <c r="R493" s="109" t="str">
        <f t="shared" si="47"/>
        <v/>
      </c>
      <c r="S493" s="64"/>
      <c r="T493" s="72"/>
      <c r="U493" s="72"/>
      <c r="V493" s="72"/>
      <c r="W493" s="73"/>
      <c r="X493" s="73"/>
      <c r="Y493" s="74"/>
      <c r="Z493" s="113" t="str">
        <f t="array" ref="Z493">INDEX($A$1:$C$500, MATCH(1,($B:$B=$B493)*($C:$C=$AB493),0),1)</f>
        <v/>
      </c>
      <c r="AA493" s="113" t="str">
        <f t="array" ref="AA493">INDEX($A$1:$C$500, MATCH(1,($B:$B=$AB493)*($C:$C=$B493),0),1)</f>
        <v/>
      </c>
      <c r="AB493" s="111"/>
      <c r="AC493" s="114" t="str">
        <f t="shared" si="2"/>
        <v/>
      </c>
      <c r="AD493" s="115" t="str">
        <f t="shared" si="3"/>
        <v/>
      </c>
      <c r="AE493" s="116" t="str">
        <f t="array" ref="AE493">INDEX($A$1:$C$500, MATCH(1,($B:$B=$AB493)*($C:$C=$AG493),0),1)</f>
        <v/>
      </c>
      <c r="AF493" s="116" t="str">
        <f t="array" ref="AF493">INDEX($A$1:$C$500, MATCH(1,($B:$B=$AG493)*($C:$C=$AB493),0),1)</f>
        <v/>
      </c>
      <c r="AG493" s="72"/>
      <c r="AH493" s="114" t="str">
        <f t="shared" si="4"/>
        <v/>
      </c>
      <c r="AI493" s="115" t="str">
        <f t="shared" si="5"/>
        <v/>
      </c>
      <c r="AJ493" s="116" t="str">
        <f t="array" ref="AJ493">INDEX($A$1:$C$500, MATCH(1,($B:$B=$C493)*($C:$C=$AG493),0),1)</f>
        <v/>
      </c>
      <c r="AK493" s="116" t="str">
        <f t="array" ref="AK493">INDEX($A$1:$C$500, MATCH(1,($B:$B=$AG493)*($C:$C=$C493),0),1)</f>
        <v/>
      </c>
      <c r="AL493" s="116" t="str">
        <f t="array" ref="AL493">INDEX($A$1:$C$500, MATCH(1,($B:$B=$C493)*($C:$C=$AB493),0),1)</f>
        <v/>
      </c>
      <c r="AM493" s="116" t="str">
        <f t="array" ref="AM493">INDEX($A$1:$C$500, MATCH(1,($B:$B=$AB493)*($C:$C=$C493),0),1)</f>
        <v/>
      </c>
      <c r="AN493" s="114" t="str">
        <f t="array" ref="AN493">IFS(ISNUMBER(AJ493),AJ493,ISNUMBER(AK493),AK493,ISNUMBER(AL493),AL493,ISNUMBER(AM493),AM493)</f>
        <v>#N/A</v>
      </c>
      <c r="AO493" s="115" t="str">
        <f t="shared" si="6"/>
        <v/>
      </c>
      <c r="AP493" s="115" t="str">
        <f t="shared" si="7"/>
        <v/>
      </c>
      <c r="AQ493" s="111"/>
      <c r="AR493" s="109" t="str">
        <f t="shared" si="8"/>
        <v/>
      </c>
      <c r="AS493" s="72" t="str">
        <f>IFERROR(IF(AND(Preferences!B$3="Manual",OR(AX493/AW493&gt;V493/U493,BD493="Serious",BD493="Very serious")),"Assess imprecision",IFERROR(IFS(AND(Preferences!B$3="Automatic",V493/U493&gt;=30),"Extremely serious",AND(W493&lt;=$D$1*-1,Y493&lt;0,V493/U493&lt;3),"Not Serious",AND(W493&lt;=$D$1*-1,Y493&lt;0,V493/U493&gt;=3),"Very serious",AND(W493&gt;=$D$1,X493&gt;0,V493/U493&lt;3),"Not Serious",AND(W493&gt;=$D$1,X493&gt;0,V493/U493&gt;=3),"Very serious",AND(W493&lt;=$D$1*-1,Y493&gt;0,X493&gt;$D$2*-1,V493/U493&lt;3),"Serious", AND(W493&lt;=$D$1*-1,Y493&gt;0,X493&lt;$D$2*-1,V493/U493&lt;3),"Very serious", AND(W493&gt;=$D$1,X493&lt;0,Y493&lt;$D$2,V493/U493&lt;3),"Serious",AND(W493&gt;=$D$1,X493&lt;0,Y493&gt;$D$2,V493/U493&lt;3),"Very serious", AND(W493&lt;=$D$1*-1,Y493&gt;0,X493&gt;$D$2*-1,V493/U493&gt;=3),"Very serious", AND(W493&lt;=$D$1*-1,Y493&gt;0,X493&lt;$D$2*-1,V493/U493&gt;=3),"Very serious", AND(W493&gt;=$D$1,X493&lt;0,Y493&lt;$D$2,V493/U493&gt;=3),"Very serious", AND(W493&gt;=$D$1,X493&lt;0,Y493&gt;$D$2,V493/U493&gt;=3),"Very serious", AND(W493&gt;$D$1*-1,W493&lt;$D$1,X493&gt;$D$1*-1,Y493&lt;$D$1,V493/U493&lt;3),"Not Serious", AND(W493&gt;$D$1*-1,W493&lt;$D$1,OR(X493&lt;=$D$1*-1,Y493&gt;=$D$1),X493&gt;$D$2*-1,Y493&lt;$D$2,V493/U493&lt;3),"Serious", AND(W493&gt;$D$1*-1,W493&lt;$D$1,OR(X493&lt;=$D$2*-1,Y493&gt;=$D$2),V493/U493&lt;3),"Very serious", AND(W493&gt;$D$1*-1,W493&lt;$D$1,X493&gt;$D$1*-1,Y493&lt;$D$1,V493/U493&gt;=3),"Very serious", AND(W493&gt;$D$1*-1,W493&lt;$D$1,OR(X493&lt;=$D$1*-1,Y493&gt;=$D$1),X493&gt;$D$2*-1,Y493&lt;$D$2,V493/U493&gt;=3),"Very serious", AND(W493&gt;$D$1*-1,W493&lt;$D$1,OR(X493&lt;=$D$2*-1,Y493&gt;=$D$2),V493/U493&gt;=3),"Very serious"),"")),"")</f>
        <v/>
      </c>
      <c r="AT493" s="109" t="str">
        <f t="shared" si="9"/>
        <v/>
      </c>
      <c r="AU493" s="64"/>
      <c r="AV493" s="83"/>
      <c r="AW493" s="83"/>
      <c r="AX493" s="83"/>
      <c r="AY493" s="83"/>
      <c r="AZ493" s="83"/>
      <c r="BA493" s="85"/>
      <c r="BB493" s="86" t="str">
        <f>IF(Preferences!B$9="Manual","",IFS(ISBLANK(B493),"",AND(ISNUMBER(E493)=TRUE,ISNUMBER(T493)=FALSE),"Direct", AND(ISNUMBER(E493)=FALSE,ISNUMBER(T493)=TRUE),"Indirect", CN493=4,"Direct",AND(CL493=FALSE, CM493=TRUE,CN493-CO493&gt;-1),"Direct", AND(CL493=FALSE,CM493=TRUE, CN493-CO493&lt;0),"Check algorithm in appendix 2", AND(CL493=TRUE, CM493=FALSE,CN493-CO493&gt;0),"Check algorithm in appendix 2", AND(CL493=TRUE, CM493=FALSE,CN493-CO493=0),"Indirect", AND(CL493=TRUE, CM493=FALSE,CN493-CO493&lt;0),"Indirect", AND(CL493=FALSE,CM493=FALSE,CN493-CO493&gt;-1),"Direct", AND(CL493=FALSE,CM493=FALSE,CN493-CO493&lt;0),"Check algorithm in appendix 2", AND(CL493=TRUE,CM493=TRUE,CN493-CO493&gt;-1),"Direct", AND(CL493=TRUE,CM493=TRUE,CN493-CO493&lt;0),"Check algorithm in appendix 2"))</f>
        <v/>
      </c>
      <c r="BC493" s="120" t="str">
        <f t="shared" si="10"/>
        <v/>
      </c>
      <c r="BD493" s="140"/>
      <c r="BE493" s="122" t="str">
        <f>IF(Preferences!B$3="Manual","", IFERROR(IFS(AND(Preferences!B$3="Automatic",AX493/AW493&gt;=30),"Extremely serious",AND(AY493&lt;=$D$1*-1,BA493&lt;0,AX493/AW493&lt;3),"Not Serious",AND(AY493&lt;=$D$1*-1,BA493&lt;0,AX493/AW493&gt;=3),"Very serious",AND(AY493&gt;=$D$1,AZ493&gt;0,AX493/AW493&lt;3),"Not Serious",AND(AY493&gt;=$D$1,AZ493&gt;0,AX493/AW493&gt;=3),"Very serious",AND(AY493&lt;=$D$1*-1,BA493&gt;0,AZ493&gt;$D$2*-1,AX493/AW493&lt;3),"Serious", AND(AY493&lt;=$D$1*-1,BA493&gt;0,AZ493&lt;$D$2*-1,AX493/AW493&lt;3),"Very serious", AND(AY493&gt;=$D$1,AZ493&lt;0,BA493&lt;$D$2,AX493/AW493&lt;3),"Serious",AND(AY493&gt;=$D$1,AZ493&lt;0,BA493&gt;$D$2,AX493/AW493&lt;3),"Very serious", AND(AY493&lt;=$D$1*-1,BA493&gt;0,AZ493&gt;$D$2*-1,AX493/AW493&gt;=3),"Very serious", AND(AY493&lt;=$D$1*-1,BA493&gt;0,AZ493&lt;$D$2*-1,AX493/AW493&gt;=3),"Very serious", AND(AY493&gt;=$D$1,AZ493&lt;0,BA493&lt;$D$2,AX493/AW493&gt;=3),"Very serious", AND(AY493&gt;=$D$1,AZ493&lt;0,BA493&gt;$D$2,AX493/AW493&gt;=3),"Very serious", AND(AY493&gt;$D$1*-1,AY493&lt;$D$1,AZ493&gt;$D$1*-1,BA493&lt;$D$1,AX493/AW493&lt;3),"Not Serious", AND(AY493&gt;$D$1*-1,AY493&lt;$D$1,OR(AZ493&lt;=$D$1*-1,BA493&gt;=$D$1),AZ493&gt;$D$2*-1,BA493&lt;$D$2,AX493/AW493&lt;3),"Serious", AND(AY493&gt;$D$1*-1,AY493&lt;$D$1,OR(AZ493&lt;=$D$2*-1,BA493&gt;=$D$2),AX493/AW493&lt;3),"Very serious", AND(AY493&gt;$D$1*-1,AY493&lt;$D$1,AZ493&gt;$D$1*-1,BA493&lt;$D$1,AX493/AW493&gt;=3),"Very serious", AND(AY493&gt;$D$1*-1,AY493&lt;$D$1,OR(AZ493&lt;=$D$1*-1,BA493&gt;=$D$1),AZ493&gt;$D$2*-1,BA493&lt;$D$2,AX493/AW493&gt;=3),"Very serious", AND(AY493&gt;$D$1*-1,AY493&lt;$D$1,OR(AZ493&lt;=$D$2*-1,BA493&gt;=$D$2),AX493/AW493&gt;=3),"Very serious"),""))</f>
        <v/>
      </c>
      <c r="BF493" s="107" t="str">
        <f t="shared" si="11"/>
        <v/>
      </c>
      <c r="BG493" s="94" t="str">
        <f t="shared" si="46"/>
        <v/>
      </c>
      <c r="BH493" s="64" t="str">
        <f t="shared" si="12"/>
        <v>#N/A</v>
      </c>
      <c r="BI493" s="64" t="str">
        <f t="shared" si="13"/>
        <v/>
      </c>
      <c r="BJ493" s="123" t="str">
        <f t="shared" si="14"/>
        <v>#N/A</v>
      </c>
      <c r="BK493" s="64" t="str">
        <f t="shared" si="50"/>
        <v>YES</v>
      </c>
      <c r="BL493" s="64" t="str">
        <f t="shared" si="16"/>
        <v>YES</v>
      </c>
      <c r="BM493" s="64" t="str">
        <f t="shared" si="17"/>
        <v>YES</v>
      </c>
      <c r="BN493" s="124" t="str">
        <f t="shared" si="18"/>
        <v/>
      </c>
      <c r="BO493" s="91" t="str">
        <f t="shared" si="19"/>
        <v/>
      </c>
      <c r="BP493" s="91" t="str">
        <f t="shared" si="20"/>
        <v>#N/A</v>
      </c>
      <c r="BQ493" s="91" t="str">
        <f t="shared" si="21"/>
        <v/>
      </c>
      <c r="BR493" s="93" t="str">
        <f t="shared" si="22"/>
        <v/>
      </c>
      <c r="BS493" s="90" t="str">
        <f t="shared" si="23"/>
        <v/>
      </c>
      <c r="BT493" s="93" t="str">
        <f t="shared" si="24"/>
        <v>NA</v>
      </c>
      <c r="BU493" s="125" t="str">
        <f t="shared" si="25"/>
        <v>#N/A</v>
      </c>
      <c r="BV493" s="93" t="str">
        <f t="shared" si="26"/>
        <v/>
      </c>
      <c r="BW493" s="93" t="str">
        <f t="shared" si="27"/>
        <v/>
      </c>
      <c r="BX493" s="93" t="str">
        <f t="shared" si="28"/>
        <v>NA</v>
      </c>
      <c r="BY493" s="95" t="str">
        <f t="shared" si="29"/>
        <v>#N/A</v>
      </c>
      <c r="BZ493" s="93" t="str">
        <f t="shared" si="30"/>
        <v/>
      </c>
      <c r="CA493" s="93" t="str">
        <f t="shared" si="31"/>
        <v/>
      </c>
      <c r="CB493" s="93" t="str">
        <f t="shared" si="32"/>
        <v>NA</v>
      </c>
      <c r="CC493" s="96" t="str">
        <f t="shared" si="33"/>
        <v>#N/A</v>
      </c>
      <c r="CD493" s="93" t="str">
        <f t="shared" si="34"/>
        <v/>
      </c>
      <c r="CE493" s="93" t="str">
        <f t="shared" si="35"/>
        <v/>
      </c>
      <c r="CF493" s="93" t="str">
        <f t="shared" si="36"/>
        <v>NA</v>
      </c>
      <c r="CG493" s="97" t="str">
        <f t="shared" si="37"/>
        <v>#N/A</v>
      </c>
      <c r="CH493" s="98" t="str">
        <f t="shared" si="38"/>
        <v>#N/A</v>
      </c>
      <c r="CI493" s="99" t="str">
        <f t="shared" si="39"/>
        <v>#N/A</v>
      </c>
      <c r="CJ493" s="126" t="str">
        <f t="shared" si="40"/>
        <v>ERROR: check cell</v>
      </c>
      <c r="CK493" s="126"/>
      <c r="CL493" s="127" t="str">
        <f t="shared" si="41"/>
        <v>#DIV/0!</v>
      </c>
      <c r="CM493" s="128" t="str">
        <f t="shared" si="42"/>
        <v>#DIV/0!</v>
      </c>
      <c r="CN493" s="128">
        <f t="shared" si="43"/>
        <v>4</v>
      </c>
      <c r="CO493" s="129">
        <f t="shared" si="44"/>
        <v>4</v>
      </c>
      <c r="CP493" s="129" t="str">
        <f>IFS(C493=Preferences!B$13,B493,B493=Preferences!B$13,C493)</f>
        <v>#N/A</v>
      </c>
    </row>
    <row r="494" ht="13.5" customHeight="1">
      <c r="A494" s="63" t="str">
        <f t="shared" si="45"/>
        <v/>
      </c>
      <c r="B494" s="64"/>
      <c r="C494" s="64"/>
      <c r="D494" s="64"/>
      <c r="E494" s="65"/>
      <c r="F494" s="65"/>
      <c r="G494" s="65"/>
      <c r="H494" s="66"/>
      <c r="I494" s="66"/>
      <c r="J494" s="67"/>
      <c r="K494" s="68"/>
      <c r="L494" s="104"/>
      <c r="M494" s="104"/>
      <c r="N494" s="104"/>
      <c r="O494" s="104"/>
      <c r="P494" s="107" t="str">
        <f t="shared" si="1"/>
        <v/>
      </c>
      <c r="Q494" s="108" t="str">
        <f>IFERROR(IF(AND(Preferences!B$3="Manual",OR(AX494/AW494&gt;G494/F494,BD494="Serious",BD494="Very serious")),"Assess imprecision",IFS(ISBLANK(E494),"",AND(Preferences!B$3="Automatic", G494/F494&gt;=30),"Extremely serious",AND(H494&lt;=$D$1*-1,J494&lt;0,G494/F494&lt;3),"Not serious",AND(H494&lt;=$D$1*-1,J494&lt;0,G494/F494&gt;=3),"Very serious",AND(H494&gt;=$D$1,I494&gt;0,G494/F494&lt;3),"Not serious",AND(H494&gt;=$D$1,I494&gt;0,G494/F494&gt;=3),"Very serious",AND(H494&lt;=$D$1*-1,J494&gt;0,I494&gt;$D$2*-1,G494/F494&lt;3),"Serious", AND(H494&lt;=$D$1*-1,J494&gt;0,I494&lt;$D$2*-1,G494/F494&lt;3),"Very serious", AND(H494&gt;=$D$1,I494&lt;0,J494&lt;$D$2,G494/F494&lt;3),"Serious",AND(H494&gt;=$D$1,I494&lt;0,J494&gt;$D$2,G494/F494&lt;3),"Very serious", AND(H494&lt;=$D$1*-1,J494&gt;0,I494&gt;$D$2*-1,G494/F494&gt;=3),"Very serious", AND(H494&lt;=$D$1*-1,J494&gt;0,I494&lt;$D$2*-1,G494/F494&gt;=3),"Very serious", AND(H494&gt;=$D$1,I494&lt;0,J494&lt;$D$2,G494/F494&gt;=3),"Very serious", AND(H494&gt;=$D$1,I494&lt;0,J494&gt;$D$2,G494/F494&gt;=3),"Very serious", AND(H494&gt;$D$1*-1,H494&lt;$D$1,I494&gt;$D$1*-1,J494&lt;$D$1,G494/F494&lt;3),"Not serious", AND(H494&gt;$D$1*-1,H494&lt;$D$1,OR(I494&lt;=$D$1*-1,J494&gt;=$D$1),I494&gt;$D$2*-1,J494&lt;$D$2,G494/F494&lt;3),"Serious", AND(H494&gt;$D$1*-1,H494&lt;$D$1,OR(I494&lt;=$D$2*-1,J494&gt;=$D$2),G494/F494&lt;3),"Very serious", AND(H494&gt;$D$1*-1,H494&lt;$D$1,I494&gt;$D$1*-1,J494&lt;$D$1,G494/F494&gt;=3),"Very serious", AND(H494&gt;$D$1*-1,H494&lt;$D$1,OR(I494&lt;=$D$1*-1,J494&gt;=$D$1),I494&gt;$D$2*-1,J494&lt;$D$2,G494/F494&gt;=3),"Very serious", AND(H494&gt;$D$1*-1,H494&lt;$D$1,OR(I494&lt;=$D$2*-1,J494&gt;=$D$2),G494/F494&gt;=3),"Very serious")),"")</f>
        <v/>
      </c>
      <c r="R494" s="109" t="str">
        <f t="shared" si="47"/>
        <v/>
      </c>
      <c r="S494" s="64"/>
      <c r="T494" s="72"/>
      <c r="U494" s="72"/>
      <c r="V494" s="72"/>
      <c r="W494" s="73"/>
      <c r="X494" s="73"/>
      <c r="Y494" s="74"/>
      <c r="Z494" s="113" t="str">
        <f t="array" ref="Z494">INDEX($A$1:$C$500, MATCH(1,($B:$B=$B494)*($C:$C=$AB494),0),1)</f>
        <v/>
      </c>
      <c r="AA494" s="113" t="str">
        <f t="array" ref="AA494">INDEX($A$1:$C$500, MATCH(1,($B:$B=$AB494)*($C:$C=$B494),0),1)</f>
        <v/>
      </c>
      <c r="AB494" s="111"/>
      <c r="AC494" s="114" t="str">
        <f t="shared" si="2"/>
        <v/>
      </c>
      <c r="AD494" s="115" t="str">
        <f t="shared" si="3"/>
        <v/>
      </c>
      <c r="AE494" s="116" t="str">
        <f t="array" ref="AE494">INDEX($A$1:$C$500, MATCH(1,($B:$B=$AB494)*($C:$C=$AG494),0),1)</f>
        <v/>
      </c>
      <c r="AF494" s="116" t="str">
        <f t="array" ref="AF494">INDEX($A$1:$C$500, MATCH(1,($B:$B=$AG494)*($C:$C=$AB494),0),1)</f>
        <v/>
      </c>
      <c r="AG494" s="72"/>
      <c r="AH494" s="114" t="str">
        <f t="shared" si="4"/>
        <v/>
      </c>
      <c r="AI494" s="115" t="str">
        <f t="shared" si="5"/>
        <v/>
      </c>
      <c r="AJ494" s="116" t="str">
        <f t="array" ref="AJ494">INDEX($A$1:$C$500, MATCH(1,($B:$B=$C494)*($C:$C=$AG494),0),1)</f>
        <v/>
      </c>
      <c r="AK494" s="116" t="str">
        <f t="array" ref="AK494">INDEX($A$1:$C$500, MATCH(1,($B:$B=$AG494)*($C:$C=$C494),0),1)</f>
        <v/>
      </c>
      <c r="AL494" s="116" t="str">
        <f t="array" ref="AL494">INDEX($A$1:$C$500, MATCH(1,($B:$B=$C494)*($C:$C=$AB494),0),1)</f>
        <v/>
      </c>
      <c r="AM494" s="116" t="str">
        <f t="array" ref="AM494">INDEX($A$1:$C$500, MATCH(1,($B:$B=$AB494)*($C:$C=$C494),0),1)</f>
        <v/>
      </c>
      <c r="AN494" s="114" t="str">
        <f t="array" ref="AN494">IFS(ISNUMBER(AJ494),AJ494,ISNUMBER(AK494),AK494,ISNUMBER(AL494),AL494,ISNUMBER(AM494),AM494)</f>
        <v>#N/A</v>
      </c>
      <c r="AO494" s="115" t="str">
        <f t="shared" si="6"/>
        <v/>
      </c>
      <c r="AP494" s="115" t="str">
        <f t="shared" si="7"/>
        <v/>
      </c>
      <c r="AQ494" s="111"/>
      <c r="AR494" s="109" t="str">
        <f t="shared" si="8"/>
        <v/>
      </c>
      <c r="AS494" s="72" t="str">
        <f>IFERROR(IF(AND(Preferences!B$3="Manual",OR(AX494/AW494&gt;V494/U494,BD494="Serious",BD494="Very serious")),"Assess imprecision",IFERROR(IFS(AND(Preferences!B$3="Automatic",V494/U494&gt;=30),"Extremely serious",AND(W494&lt;=$D$1*-1,Y494&lt;0,V494/U494&lt;3),"Not Serious",AND(W494&lt;=$D$1*-1,Y494&lt;0,V494/U494&gt;=3),"Very serious",AND(W494&gt;=$D$1,X494&gt;0,V494/U494&lt;3),"Not Serious",AND(W494&gt;=$D$1,X494&gt;0,V494/U494&gt;=3),"Very serious",AND(W494&lt;=$D$1*-1,Y494&gt;0,X494&gt;$D$2*-1,V494/U494&lt;3),"Serious", AND(W494&lt;=$D$1*-1,Y494&gt;0,X494&lt;$D$2*-1,V494/U494&lt;3),"Very serious", AND(W494&gt;=$D$1,X494&lt;0,Y494&lt;$D$2,V494/U494&lt;3),"Serious",AND(W494&gt;=$D$1,X494&lt;0,Y494&gt;$D$2,V494/U494&lt;3),"Very serious", AND(W494&lt;=$D$1*-1,Y494&gt;0,X494&gt;$D$2*-1,V494/U494&gt;=3),"Very serious", AND(W494&lt;=$D$1*-1,Y494&gt;0,X494&lt;$D$2*-1,V494/U494&gt;=3),"Very serious", AND(W494&gt;=$D$1,X494&lt;0,Y494&lt;$D$2,V494/U494&gt;=3),"Very serious", AND(W494&gt;=$D$1,X494&lt;0,Y494&gt;$D$2,V494/U494&gt;=3),"Very serious", AND(W494&gt;$D$1*-1,W494&lt;$D$1,X494&gt;$D$1*-1,Y494&lt;$D$1,V494/U494&lt;3),"Not Serious", AND(W494&gt;$D$1*-1,W494&lt;$D$1,OR(X494&lt;=$D$1*-1,Y494&gt;=$D$1),X494&gt;$D$2*-1,Y494&lt;$D$2,V494/U494&lt;3),"Serious", AND(W494&gt;$D$1*-1,W494&lt;$D$1,OR(X494&lt;=$D$2*-1,Y494&gt;=$D$2),V494/U494&lt;3),"Very serious", AND(W494&gt;$D$1*-1,W494&lt;$D$1,X494&gt;$D$1*-1,Y494&lt;$D$1,V494/U494&gt;=3),"Very serious", AND(W494&gt;$D$1*-1,W494&lt;$D$1,OR(X494&lt;=$D$1*-1,Y494&gt;=$D$1),X494&gt;$D$2*-1,Y494&lt;$D$2,V494/U494&gt;=3),"Very serious", AND(W494&gt;$D$1*-1,W494&lt;$D$1,OR(X494&lt;=$D$2*-1,Y494&gt;=$D$2),V494/U494&gt;=3),"Very serious"),"")),"")</f>
        <v/>
      </c>
      <c r="AT494" s="109" t="str">
        <f t="shared" si="9"/>
        <v/>
      </c>
      <c r="AU494" s="64"/>
      <c r="AV494" s="83"/>
      <c r="AW494" s="83"/>
      <c r="AX494" s="83"/>
      <c r="AY494" s="83"/>
      <c r="AZ494" s="83"/>
      <c r="BA494" s="85"/>
      <c r="BB494" s="86" t="str">
        <f>IF(Preferences!B$9="Manual","",IFS(ISBLANK(B494),"",AND(ISNUMBER(E494)=TRUE,ISNUMBER(T494)=FALSE),"Direct", AND(ISNUMBER(E494)=FALSE,ISNUMBER(T494)=TRUE),"Indirect", CN494=4,"Direct",AND(CL494=FALSE, CM494=TRUE,CN494-CO494&gt;-1),"Direct", AND(CL494=FALSE,CM494=TRUE, CN494-CO494&lt;0),"Check algorithm in appendix 2", AND(CL494=TRUE, CM494=FALSE,CN494-CO494&gt;0),"Check algorithm in appendix 2", AND(CL494=TRUE, CM494=FALSE,CN494-CO494=0),"Indirect", AND(CL494=TRUE, CM494=FALSE,CN494-CO494&lt;0),"Indirect", AND(CL494=FALSE,CM494=FALSE,CN494-CO494&gt;-1),"Direct", AND(CL494=FALSE,CM494=FALSE,CN494-CO494&lt;0),"Check algorithm in appendix 2", AND(CL494=TRUE,CM494=TRUE,CN494-CO494&gt;-1),"Direct", AND(CL494=TRUE,CM494=TRUE,CN494-CO494&lt;0),"Check algorithm in appendix 2"))</f>
        <v/>
      </c>
      <c r="BC494" s="120" t="str">
        <f t="shared" si="10"/>
        <v/>
      </c>
      <c r="BD494" s="140"/>
      <c r="BE494" s="122" t="str">
        <f>IF(Preferences!B$3="Manual","", IFERROR(IFS(AND(Preferences!B$3="Automatic",AX494/AW494&gt;=30),"Extremely serious",AND(AY494&lt;=$D$1*-1,BA494&lt;0,AX494/AW494&lt;3),"Not Serious",AND(AY494&lt;=$D$1*-1,BA494&lt;0,AX494/AW494&gt;=3),"Very serious",AND(AY494&gt;=$D$1,AZ494&gt;0,AX494/AW494&lt;3),"Not Serious",AND(AY494&gt;=$D$1,AZ494&gt;0,AX494/AW494&gt;=3),"Very serious",AND(AY494&lt;=$D$1*-1,BA494&gt;0,AZ494&gt;$D$2*-1,AX494/AW494&lt;3),"Serious", AND(AY494&lt;=$D$1*-1,BA494&gt;0,AZ494&lt;$D$2*-1,AX494/AW494&lt;3),"Very serious", AND(AY494&gt;=$D$1,AZ494&lt;0,BA494&lt;$D$2,AX494/AW494&lt;3),"Serious",AND(AY494&gt;=$D$1,AZ494&lt;0,BA494&gt;$D$2,AX494/AW494&lt;3),"Very serious", AND(AY494&lt;=$D$1*-1,BA494&gt;0,AZ494&gt;$D$2*-1,AX494/AW494&gt;=3),"Very serious", AND(AY494&lt;=$D$1*-1,BA494&gt;0,AZ494&lt;$D$2*-1,AX494/AW494&gt;=3),"Very serious", AND(AY494&gt;=$D$1,AZ494&lt;0,BA494&lt;$D$2,AX494/AW494&gt;=3),"Very serious", AND(AY494&gt;=$D$1,AZ494&lt;0,BA494&gt;$D$2,AX494/AW494&gt;=3),"Very serious", AND(AY494&gt;$D$1*-1,AY494&lt;$D$1,AZ494&gt;$D$1*-1,BA494&lt;$D$1,AX494/AW494&lt;3),"Not Serious", AND(AY494&gt;$D$1*-1,AY494&lt;$D$1,OR(AZ494&lt;=$D$1*-1,BA494&gt;=$D$1),AZ494&gt;$D$2*-1,BA494&lt;$D$2,AX494/AW494&lt;3),"Serious", AND(AY494&gt;$D$1*-1,AY494&lt;$D$1,OR(AZ494&lt;=$D$2*-1,BA494&gt;=$D$2),AX494/AW494&lt;3),"Very serious", AND(AY494&gt;$D$1*-1,AY494&lt;$D$1,AZ494&gt;$D$1*-1,BA494&lt;$D$1,AX494/AW494&gt;=3),"Very serious", AND(AY494&gt;$D$1*-1,AY494&lt;$D$1,OR(AZ494&lt;=$D$1*-1,BA494&gt;=$D$1),AZ494&gt;$D$2*-1,BA494&lt;$D$2,AX494/AW494&gt;=3),"Very serious", AND(AY494&gt;$D$1*-1,AY494&lt;$D$1,OR(AZ494&lt;=$D$2*-1,BA494&gt;=$D$2),AX494/AW494&gt;=3),"Very serious"),""))</f>
        <v/>
      </c>
      <c r="BF494" s="107" t="str">
        <f t="shared" si="11"/>
        <v/>
      </c>
      <c r="BG494" s="94" t="str">
        <f t="shared" si="46"/>
        <v/>
      </c>
      <c r="BH494" s="64" t="str">
        <f t="shared" si="12"/>
        <v>#N/A</v>
      </c>
      <c r="BI494" s="64" t="str">
        <f t="shared" si="13"/>
        <v/>
      </c>
      <c r="BJ494" s="123" t="str">
        <f t="shared" si="14"/>
        <v>#N/A</v>
      </c>
      <c r="BK494" s="64" t="str">
        <f t="shared" si="50"/>
        <v>YES</v>
      </c>
      <c r="BL494" s="64" t="str">
        <f t="shared" si="16"/>
        <v>YES</v>
      </c>
      <c r="BM494" s="64" t="str">
        <f t="shared" si="17"/>
        <v>YES</v>
      </c>
      <c r="BN494" s="124" t="str">
        <f t="shared" si="18"/>
        <v/>
      </c>
      <c r="BO494" s="91" t="str">
        <f t="shared" si="19"/>
        <v/>
      </c>
      <c r="BP494" s="91" t="str">
        <f t="shared" si="20"/>
        <v>#N/A</v>
      </c>
      <c r="BQ494" s="91" t="str">
        <f t="shared" si="21"/>
        <v/>
      </c>
      <c r="BR494" s="93" t="str">
        <f t="shared" si="22"/>
        <v/>
      </c>
      <c r="BS494" s="90" t="str">
        <f t="shared" si="23"/>
        <v/>
      </c>
      <c r="BT494" s="93" t="str">
        <f t="shared" si="24"/>
        <v>NA</v>
      </c>
      <c r="BU494" s="125" t="str">
        <f t="shared" si="25"/>
        <v>#N/A</v>
      </c>
      <c r="BV494" s="93" t="str">
        <f t="shared" si="26"/>
        <v/>
      </c>
      <c r="BW494" s="93" t="str">
        <f t="shared" si="27"/>
        <v/>
      </c>
      <c r="BX494" s="93" t="str">
        <f t="shared" si="28"/>
        <v>NA</v>
      </c>
      <c r="BY494" s="95" t="str">
        <f t="shared" si="29"/>
        <v>#N/A</v>
      </c>
      <c r="BZ494" s="93" t="str">
        <f t="shared" si="30"/>
        <v/>
      </c>
      <c r="CA494" s="93" t="str">
        <f t="shared" si="31"/>
        <v/>
      </c>
      <c r="CB494" s="93" t="str">
        <f t="shared" si="32"/>
        <v>NA</v>
      </c>
      <c r="CC494" s="96" t="str">
        <f t="shared" si="33"/>
        <v>#N/A</v>
      </c>
      <c r="CD494" s="93" t="str">
        <f t="shared" si="34"/>
        <v/>
      </c>
      <c r="CE494" s="93" t="str">
        <f t="shared" si="35"/>
        <v/>
      </c>
      <c r="CF494" s="93" t="str">
        <f t="shared" si="36"/>
        <v>NA</v>
      </c>
      <c r="CG494" s="97" t="str">
        <f t="shared" si="37"/>
        <v>#N/A</v>
      </c>
      <c r="CH494" s="98" t="str">
        <f t="shared" si="38"/>
        <v>#N/A</v>
      </c>
      <c r="CI494" s="99" t="str">
        <f t="shared" si="39"/>
        <v>#N/A</v>
      </c>
      <c r="CJ494" s="126" t="str">
        <f t="shared" si="40"/>
        <v>ERROR: check cell</v>
      </c>
      <c r="CK494" s="126"/>
      <c r="CL494" s="127" t="str">
        <f t="shared" si="41"/>
        <v>#DIV/0!</v>
      </c>
      <c r="CM494" s="128" t="str">
        <f t="shared" si="42"/>
        <v>#DIV/0!</v>
      </c>
      <c r="CN494" s="128">
        <f t="shared" si="43"/>
        <v>4</v>
      </c>
      <c r="CO494" s="129">
        <f t="shared" si="44"/>
        <v>4</v>
      </c>
      <c r="CP494" s="129" t="str">
        <f>IFS(C494=Preferences!B$13,B494,B494=Preferences!B$13,C494)</f>
        <v>#N/A</v>
      </c>
    </row>
    <row r="495" ht="13.5" customHeight="1">
      <c r="A495" s="63" t="str">
        <f t="shared" si="45"/>
        <v/>
      </c>
      <c r="B495" s="64"/>
      <c r="C495" s="64"/>
      <c r="D495" s="64"/>
      <c r="E495" s="65"/>
      <c r="F495" s="65"/>
      <c r="G495" s="65"/>
      <c r="H495" s="66"/>
      <c r="I495" s="66"/>
      <c r="J495" s="67"/>
      <c r="K495" s="68"/>
      <c r="L495" s="104"/>
      <c r="M495" s="104"/>
      <c r="N495" s="104"/>
      <c r="O495" s="104"/>
      <c r="P495" s="107" t="str">
        <f t="shared" si="1"/>
        <v/>
      </c>
      <c r="Q495" s="108" t="str">
        <f>IFERROR(IF(AND(Preferences!B$3="Manual",OR(AX495/AW495&gt;G495/F495,BD495="Serious",BD495="Very serious")),"Assess imprecision",IFS(ISBLANK(E495),"",AND(Preferences!B$3="Automatic", G495/F495&gt;=30),"Extremely serious",AND(H495&lt;=$D$1*-1,J495&lt;0,G495/F495&lt;3),"Not serious",AND(H495&lt;=$D$1*-1,J495&lt;0,G495/F495&gt;=3),"Very serious",AND(H495&gt;=$D$1,I495&gt;0,G495/F495&lt;3),"Not serious",AND(H495&gt;=$D$1,I495&gt;0,G495/F495&gt;=3),"Very serious",AND(H495&lt;=$D$1*-1,J495&gt;0,I495&gt;$D$2*-1,G495/F495&lt;3),"Serious", AND(H495&lt;=$D$1*-1,J495&gt;0,I495&lt;$D$2*-1,G495/F495&lt;3),"Very serious", AND(H495&gt;=$D$1,I495&lt;0,J495&lt;$D$2,G495/F495&lt;3),"Serious",AND(H495&gt;=$D$1,I495&lt;0,J495&gt;$D$2,G495/F495&lt;3),"Very serious", AND(H495&lt;=$D$1*-1,J495&gt;0,I495&gt;$D$2*-1,G495/F495&gt;=3),"Very serious", AND(H495&lt;=$D$1*-1,J495&gt;0,I495&lt;$D$2*-1,G495/F495&gt;=3),"Very serious", AND(H495&gt;=$D$1,I495&lt;0,J495&lt;$D$2,G495/F495&gt;=3),"Very serious", AND(H495&gt;=$D$1,I495&lt;0,J495&gt;$D$2,G495/F495&gt;=3),"Very serious", AND(H495&gt;$D$1*-1,H495&lt;$D$1,I495&gt;$D$1*-1,J495&lt;$D$1,G495/F495&lt;3),"Not serious", AND(H495&gt;$D$1*-1,H495&lt;$D$1,OR(I495&lt;=$D$1*-1,J495&gt;=$D$1),I495&gt;$D$2*-1,J495&lt;$D$2,G495/F495&lt;3),"Serious", AND(H495&gt;$D$1*-1,H495&lt;$D$1,OR(I495&lt;=$D$2*-1,J495&gt;=$D$2),G495/F495&lt;3),"Very serious", AND(H495&gt;$D$1*-1,H495&lt;$D$1,I495&gt;$D$1*-1,J495&lt;$D$1,G495/F495&gt;=3),"Very serious", AND(H495&gt;$D$1*-1,H495&lt;$D$1,OR(I495&lt;=$D$1*-1,J495&gt;=$D$1),I495&gt;$D$2*-1,J495&lt;$D$2,G495/F495&gt;=3),"Very serious", AND(H495&gt;$D$1*-1,H495&lt;$D$1,OR(I495&lt;=$D$2*-1,J495&gt;=$D$2),G495/F495&gt;=3),"Very serious")),"")</f>
        <v/>
      </c>
      <c r="R495" s="109" t="str">
        <f t="shared" si="47"/>
        <v/>
      </c>
      <c r="S495" s="64"/>
      <c r="T495" s="72"/>
      <c r="U495" s="72"/>
      <c r="V495" s="72"/>
      <c r="W495" s="73"/>
      <c r="X495" s="73"/>
      <c r="Y495" s="74"/>
      <c r="Z495" s="113" t="str">
        <f t="array" ref="Z495">INDEX($A$1:$C$500, MATCH(1,($B:$B=$B495)*($C:$C=$AB495),0),1)</f>
        <v/>
      </c>
      <c r="AA495" s="113" t="str">
        <f t="array" ref="AA495">INDEX($A$1:$C$500, MATCH(1,($B:$B=$AB495)*($C:$C=$B495),0),1)</f>
        <v/>
      </c>
      <c r="AB495" s="111"/>
      <c r="AC495" s="114" t="str">
        <f t="shared" si="2"/>
        <v/>
      </c>
      <c r="AD495" s="115" t="str">
        <f t="shared" si="3"/>
        <v/>
      </c>
      <c r="AE495" s="116" t="str">
        <f t="array" ref="AE495">INDEX($A$1:$C$500, MATCH(1,($B:$B=$AB495)*($C:$C=$AG495),0),1)</f>
        <v/>
      </c>
      <c r="AF495" s="116" t="str">
        <f t="array" ref="AF495">INDEX($A$1:$C$500, MATCH(1,($B:$B=$AG495)*($C:$C=$AB495),0),1)</f>
        <v/>
      </c>
      <c r="AG495" s="72"/>
      <c r="AH495" s="114" t="str">
        <f t="shared" si="4"/>
        <v/>
      </c>
      <c r="AI495" s="115" t="str">
        <f t="shared" si="5"/>
        <v/>
      </c>
      <c r="AJ495" s="116" t="str">
        <f t="array" ref="AJ495">INDEX($A$1:$C$500, MATCH(1,($B:$B=$C495)*($C:$C=$AG495),0),1)</f>
        <v/>
      </c>
      <c r="AK495" s="116" t="str">
        <f t="array" ref="AK495">INDEX($A$1:$C$500, MATCH(1,($B:$B=$AG495)*($C:$C=$C495),0),1)</f>
        <v/>
      </c>
      <c r="AL495" s="116" t="str">
        <f t="array" ref="AL495">INDEX($A$1:$C$500, MATCH(1,($B:$B=$C495)*($C:$C=$AB495),0),1)</f>
        <v/>
      </c>
      <c r="AM495" s="116" t="str">
        <f t="array" ref="AM495">INDEX($A$1:$C$500, MATCH(1,($B:$B=$AB495)*($C:$C=$C495),0),1)</f>
        <v/>
      </c>
      <c r="AN495" s="114" t="str">
        <f t="array" ref="AN495">IFS(ISNUMBER(AJ495),AJ495,ISNUMBER(AK495),AK495,ISNUMBER(AL495),AL495,ISNUMBER(AM495),AM495)</f>
        <v>#N/A</v>
      </c>
      <c r="AO495" s="115" t="str">
        <f t="shared" si="6"/>
        <v/>
      </c>
      <c r="AP495" s="115" t="str">
        <f t="shared" si="7"/>
        <v/>
      </c>
      <c r="AQ495" s="111"/>
      <c r="AR495" s="109" t="str">
        <f t="shared" si="8"/>
        <v/>
      </c>
      <c r="AS495" s="72" t="str">
        <f>IFERROR(IF(AND(Preferences!B$3="Manual",OR(AX495/AW495&gt;V495/U495,BD495="Serious",BD495="Very serious")),"Assess imprecision",IFERROR(IFS(AND(Preferences!B$3="Automatic",V495/U495&gt;=30),"Extremely serious",AND(W495&lt;=$D$1*-1,Y495&lt;0,V495/U495&lt;3),"Not Serious",AND(W495&lt;=$D$1*-1,Y495&lt;0,V495/U495&gt;=3),"Very serious",AND(W495&gt;=$D$1,X495&gt;0,V495/U495&lt;3),"Not Serious",AND(W495&gt;=$D$1,X495&gt;0,V495/U495&gt;=3),"Very serious",AND(W495&lt;=$D$1*-1,Y495&gt;0,X495&gt;$D$2*-1,V495/U495&lt;3),"Serious", AND(W495&lt;=$D$1*-1,Y495&gt;0,X495&lt;$D$2*-1,V495/U495&lt;3),"Very serious", AND(W495&gt;=$D$1,X495&lt;0,Y495&lt;$D$2,V495/U495&lt;3),"Serious",AND(W495&gt;=$D$1,X495&lt;0,Y495&gt;$D$2,V495/U495&lt;3),"Very serious", AND(W495&lt;=$D$1*-1,Y495&gt;0,X495&gt;$D$2*-1,V495/U495&gt;=3),"Very serious", AND(W495&lt;=$D$1*-1,Y495&gt;0,X495&lt;$D$2*-1,V495/U495&gt;=3),"Very serious", AND(W495&gt;=$D$1,X495&lt;0,Y495&lt;$D$2,V495/U495&gt;=3),"Very serious", AND(W495&gt;=$D$1,X495&lt;0,Y495&gt;$D$2,V495/U495&gt;=3),"Very serious", AND(W495&gt;$D$1*-1,W495&lt;$D$1,X495&gt;$D$1*-1,Y495&lt;$D$1,V495/U495&lt;3),"Not Serious", AND(W495&gt;$D$1*-1,W495&lt;$D$1,OR(X495&lt;=$D$1*-1,Y495&gt;=$D$1),X495&gt;$D$2*-1,Y495&lt;$D$2,V495/U495&lt;3),"Serious", AND(W495&gt;$D$1*-1,W495&lt;$D$1,OR(X495&lt;=$D$2*-1,Y495&gt;=$D$2),V495/U495&lt;3),"Very serious", AND(W495&gt;$D$1*-1,W495&lt;$D$1,X495&gt;$D$1*-1,Y495&lt;$D$1,V495/U495&gt;=3),"Very serious", AND(W495&gt;$D$1*-1,W495&lt;$D$1,OR(X495&lt;=$D$1*-1,Y495&gt;=$D$1),X495&gt;$D$2*-1,Y495&lt;$D$2,V495/U495&gt;=3),"Very serious", AND(W495&gt;$D$1*-1,W495&lt;$D$1,OR(X495&lt;=$D$2*-1,Y495&gt;=$D$2),V495/U495&gt;=3),"Very serious"),"")),"")</f>
        <v/>
      </c>
      <c r="AT495" s="109" t="str">
        <f t="shared" si="9"/>
        <v/>
      </c>
      <c r="AU495" s="64"/>
      <c r="AV495" s="83"/>
      <c r="AW495" s="83"/>
      <c r="AX495" s="83"/>
      <c r="AY495" s="83"/>
      <c r="AZ495" s="83"/>
      <c r="BA495" s="85"/>
      <c r="BB495" s="86" t="str">
        <f>IF(Preferences!B$9="Manual","",IFS(ISBLANK(B495),"",AND(ISNUMBER(E495)=TRUE,ISNUMBER(T495)=FALSE),"Direct", AND(ISNUMBER(E495)=FALSE,ISNUMBER(T495)=TRUE),"Indirect", CN495=4,"Direct",AND(CL495=FALSE, CM495=TRUE,CN495-CO495&gt;-1),"Direct", AND(CL495=FALSE,CM495=TRUE, CN495-CO495&lt;0),"Check algorithm in appendix 2", AND(CL495=TRUE, CM495=FALSE,CN495-CO495&gt;0),"Check algorithm in appendix 2", AND(CL495=TRUE, CM495=FALSE,CN495-CO495=0),"Indirect", AND(CL495=TRUE, CM495=FALSE,CN495-CO495&lt;0),"Indirect", AND(CL495=FALSE,CM495=FALSE,CN495-CO495&gt;-1),"Direct", AND(CL495=FALSE,CM495=FALSE,CN495-CO495&lt;0),"Check algorithm in appendix 2", AND(CL495=TRUE,CM495=TRUE,CN495-CO495&gt;-1),"Direct", AND(CL495=TRUE,CM495=TRUE,CN495-CO495&lt;0),"Check algorithm in appendix 2"))</f>
        <v/>
      </c>
      <c r="BC495" s="120" t="str">
        <f t="shared" si="10"/>
        <v/>
      </c>
      <c r="BD495" s="140"/>
      <c r="BE495" s="122" t="str">
        <f>IF(Preferences!B$3="Manual","", IFERROR(IFS(AND(Preferences!B$3="Automatic",AX495/AW495&gt;=30),"Extremely serious",AND(AY495&lt;=$D$1*-1,BA495&lt;0,AX495/AW495&lt;3),"Not Serious",AND(AY495&lt;=$D$1*-1,BA495&lt;0,AX495/AW495&gt;=3),"Very serious",AND(AY495&gt;=$D$1,AZ495&gt;0,AX495/AW495&lt;3),"Not Serious",AND(AY495&gt;=$D$1,AZ495&gt;0,AX495/AW495&gt;=3),"Very serious",AND(AY495&lt;=$D$1*-1,BA495&gt;0,AZ495&gt;$D$2*-1,AX495/AW495&lt;3),"Serious", AND(AY495&lt;=$D$1*-1,BA495&gt;0,AZ495&lt;$D$2*-1,AX495/AW495&lt;3),"Very serious", AND(AY495&gt;=$D$1,AZ495&lt;0,BA495&lt;$D$2,AX495/AW495&lt;3),"Serious",AND(AY495&gt;=$D$1,AZ495&lt;0,BA495&gt;$D$2,AX495/AW495&lt;3),"Very serious", AND(AY495&lt;=$D$1*-1,BA495&gt;0,AZ495&gt;$D$2*-1,AX495/AW495&gt;=3),"Very serious", AND(AY495&lt;=$D$1*-1,BA495&gt;0,AZ495&lt;$D$2*-1,AX495/AW495&gt;=3),"Very serious", AND(AY495&gt;=$D$1,AZ495&lt;0,BA495&lt;$D$2,AX495/AW495&gt;=3),"Very serious", AND(AY495&gt;=$D$1,AZ495&lt;0,BA495&gt;$D$2,AX495/AW495&gt;=3),"Very serious", AND(AY495&gt;$D$1*-1,AY495&lt;$D$1,AZ495&gt;$D$1*-1,BA495&lt;$D$1,AX495/AW495&lt;3),"Not Serious", AND(AY495&gt;$D$1*-1,AY495&lt;$D$1,OR(AZ495&lt;=$D$1*-1,BA495&gt;=$D$1),AZ495&gt;$D$2*-1,BA495&lt;$D$2,AX495/AW495&lt;3),"Serious", AND(AY495&gt;$D$1*-1,AY495&lt;$D$1,OR(AZ495&lt;=$D$2*-1,BA495&gt;=$D$2),AX495/AW495&lt;3),"Very serious", AND(AY495&gt;$D$1*-1,AY495&lt;$D$1,AZ495&gt;$D$1*-1,BA495&lt;$D$1,AX495/AW495&gt;=3),"Very serious", AND(AY495&gt;$D$1*-1,AY495&lt;$D$1,OR(AZ495&lt;=$D$1*-1,BA495&gt;=$D$1),AZ495&gt;$D$2*-1,BA495&lt;$D$2,AX495/AW495&gt;=3),"Very serious", AND(AY495&gt;$D$1*-1,AY495&lt;$D$1,OR(AZ495&lt;=$D$2*-1,BA495&gt;=$D$2),AX495/AW495&gt;=3),"Very serious"),""))</f>
        <v/>
      </c>
      <c r="BF495" s="107" t="str">
        <f t="shared" si="11"/>
        <v/>
      </c>
      <c r="BG495" s="94" t="str">
        <f t="shared" si="46"/>
        <v/>
      </c>
      <c r="BH495" s="64" t="str">
        <f t="shared" si="12"/>
        <v>#N/A</v>
      </c>
      <c r="BI495" s="64" t="str">
        <f t="shared" si="13"/>
        <v/>
      </c>
      <c r="BJ495" s="123" t="str">
        <f t="shared" si="14"/>
        <v>#N/A</v>
      </c>
      <c r="BK495" s="64" t="str">
        <f t="shared" si="50"/>
        <v>YES</v>
      </c>
      <c r="BL495" s="64" t="str">
        <f t="shared" si="16"/>
        <v>YES</v>
      </c>
      <c r="BM495" s="64" t="str">
        <f t="shared" si="17"/>
        <v>YES</v>
      </c>
      <c r="BN495" s="124" t="str">
        <f t="shared" si="18"/>
        <v/>
      </c>
      <c r="BO495" s="91" t="str">
        <f t="shared" si="19"/>
        <v/>
      </c>
      <c r="BP495" s="91" t="str">
        <f t="shared" si="20"/>
        <v>#N/A</v>
      </c>
      <c r="BQ495" s="91" t="str">
        <f t="shared" si="21"/>
        <v/>
      </c>
      <c r="BR495" s="93" t="str">
        <f t="shared" si="22"/>
        <v/>
      </c>
      <c r="BS495" s="90" t="str">
        <f t="shared" si="23"/>
        <v/>
      </c>
      <c r="BT495" s="93" t="str">
        <f t="shared" si="24"/>
        <v>NA</v>
      </c>
      <c r="BU495" s="125" t="str">
        <f t="shared" si="25"/>
        <v>#N/A</v>
      </c>
      <c r="BV495" s="93" t="str">
        <f t="shared" si="26"/>
        <v/>
      </c>
      <c r="BW495" s="93" t="str">
        <f t="shared" si="27"/>
        <v/>
      </c>
      <c r="BX495" s="93" t="str">
        <f t="shared" si="28"/>
        <v>NA</v>
      </c>
      <c r="BY495" s="95" t="str">
        <f t="shared" si="29"/>
        <v>#N/A</v>
      </c>
      <c r="BZ495" s="93" t="str">
        <f t="shared" si="30"/>
        <v/>
      </c>
      <c r="CA495" s="93" t="str">
        <f t="shared" si="31"/>
        <v/>
      </c>
      <c r="CB495" s="93" t="str">
        <f t="shared" si="32"/>
        <v>NA</v>
      </c>
      <c r="CC495" s="96" t="str">
        <f t="shared" si="33"/>
        <v>#N/A</v>
      </c>
      <c r="CD495" s="93" t="str">
        <f t="shared" si="34"/>
        <v/>
      </c>
      <c r="CE495" s="93" t="str">
        <f t="shared" si="35"/>
        <v/>
      </c>
      <c r="CF495" s="93" t="str">
        <f t="shared" si="36"/>
        <v>NA</v>
      </c>
      <c r="CG495" s="97" t="str">
        <f t="shared" si="37"/>
        <v>#N/A</v>
      </c>
      <c r="CH495" s="98" t="str">
        <f t="shared" si="38"/>
        <v>#N/A</v>
      </c>
      <c r="CI495" s="99" t="str">
        <f t="shared" si="39"/>
        <v>#N/A</v>
      </c>
      <c r="CJ495" s="126" t="str">
        <f t="shared" si="40"/>
        <v>ERROR: check cell</v>
      </c>
      <c r="CK495" s="126"/>
      <c r="CL495" s="127" t="str">
        <f t="shared" si="41"/>
        <v>#DIV/0!</v>
      </c>
      <c r="CM495" s="128" t="str">
        <f t="shared" si="42"/>
        <v>#DIV/0!</v>
      </c>
      <c r="CN495" s="128">
        <f t="shared" si="43"/>
        <v>4</v>
      </c>
      <c r="CO495" s="129">
        <f t="shared" si="44"/>
        <v>4</v>
      </c>
      <c r="CP495" s="129" t="str">
        <f>IFS(C495=Preferences!B$13,B495,B495=Preferences!B$13,C495)</f>
        <v>#N/A</v>
      </c>
    </row>
    <row r="496" ht="13.5" customHeight="1">
      <c r="A496" s="63" t="str">
        <f t="shared" si="45"/>
        <v/>
      </c>
      <c r="B496" s="64"/>
      <c r="C496" s="64"/>
      <c r="D496" s="64"/>
      <c r="E496" s="65"/>
      <c r="F496" s="65"/>
      <c r="G496" s="65"/>
      <c r="H496" s="66"/>
      <c r="I496" s="66"/>
      <c r="J496" s="67"/>
      <c r="K496" s="68"/>
      <c r="L496" s="104"/>
      <c r="M496" s="104"/>
      <c r="N496" s="104"/>
      <c r="O496" s="104"/>
      <c r="P496" s="107" t="str">
        <f t="shared" si="1"/>
        <v/>
      </c>
      <c r="Q496" s="108" t="str">
        <f>IFERROR(IF(AND(Preferences!B$3="Manual",OR(AX496/AW496&gt;G496/F496,BD496="Serious",BD496="Very serious")),"Assess imprecision",IFS(ISBLANK(E496),"",AND(Preferences!B$3="Automatic", G496/F496&gt;=30),"Extremely serious",AND(H496&lt;=$D$1*-1,J496&lt;0,G496/F496&lt;3),"Not serious",AND(H496&lt;=$D$1*-1,J496&lt;0,G496/F496&gt;=3),"Very serious",AND(H496&gt;=$D$1,I496&gt;0,G496/F496&lt;3),"Not serious",AND(H496&gt;=$D$1,I496&gt;0,G496/F496&gt;=3),"Very serious",AND(H496&lt;=$D$1*-1,J496&gt;0,I496&gt;$D$2*-1,G496/F496&lt;3),"Serious", AND(H496&lt;=$D$1*-1,J496&gt;0,I496&lt;$D$2*-1,G496/F496&lt;3),"Very serious", AND(H496&gt;=$D$1,I496&lt;0,J496&lt;$D$2,G496/F496&lt;3),"Serious",AND(H496&gt;=$D$1,I496&lt;0,J496&gt;$D$2,G496/F496&lt;3),"Very serious", AND(H496&lt;=$D$1*-1,J496&gt;0,I496&gt;$D$2*-1,G496/F496&gt;=3),"Very serious", AND(H496&lt;=$D$1*-1,J496&gt;0,I496&lt;$D$2*-1,G496/F496&gt;=3),"Very serious", AND(H496&gt;=$D$1,I496&lt;0,J496&lt;$D$2,G496/F496&gt;=3),"Very serious", AND(H496&gt;=$D$1,I496&lt;0,J496&gt;$D$2,G496/F496&gt;=3),"Very serious", AND(H496&gt;$D$1*-1,H496&lt;$D$1,I496&gt;$D$1*-1,J496&lt;$D$1,G496/F496&lt;3),"Not serious", AND(H496&gt;$D$1*-1,H496&lt;$D$1,OR(I496&lt;=$D$1*-1,J496&gt;=$D$1),I496&gt;$D$2*-1,J496&lt;$D$2,G496/F496&lt;3),"Serious", AND(H496&gt;$D$1*-1,H496&lt;$D$1,OR(I496&lt;=$D$2*-1,J496&gt;=$D$2),G496/F496&lt;3),"Very serious", AND(H496&gt;$D$1*-1,H496&lt;$D$1,I496&gt;$D$1*-1,J496&lt;$D$1,G496/F496&gt;=3),"Very serious", AND(H496&gt;$D$1*-1,H496&lt;$D$1,OR(I496&lt;=$D$1*-1,J496&gt;=$D$1),I496&gt;$D$2*-1,J496&lt;$D$2,G496/F496&gt;=3),"Very serious", AND(H496&gt;$D$1*-1,H496&lt;$D$1,OR(I496&lt;=$D$2*-1,J496&gt;=$D$2),G496/F496&gt;=3),"Very serious")),"")</f>
        <v/>
      </c>
      <c r="R496" s="109" t="str">
        <f t="shared" si="47"/>
        <v/>
      </c>
      <c r="S496" s="64"/>
      <c r="T496" s="72"/>
      <c r="U496" s="72"/>
      <c r="V496" s="72"/>
      <c r="W496" s="73"/>
      <c r="X496" s="73"/>
      <c r="Y496" s="74"/>
      <c r="Z496" s="113" t="str">
        <f t="array" ref="Z496">INDEX($A$1:$C$500, MATCH(1,($B:$B=$B496)*($C:$C=$AB496),0),1)</f>
        <v/>
      </c>
      <c r="AA496" s="113" t="str">
        <f t="array" ref="AA496">INDEX($A$1:$C$500, MATCH(1,($B:$B=$AB496)*($C:$C=$B496),0),1)</f>
        <v/>
      </c>
      <c r="AB496" s="111"/>
      <c r="AC496" s="114" t="str">
        <f t="shared" si="2"/>
        <v/>
      </c>
      <c r="AD496" s="115" t="str">
        <f t="shared" si="3"/>
        <v/>
      </c>
      <c r="AE496" s="116" t="str">
        <f t="array" ref="AE496">INDEX($A$1:$C$500, MATCH(1,($B:$B=$AB496)*($C:$C=$AG496),0),1)</f>
        <v/>
      </c>
      <c r="AF496" s="116" t="str">
        <f t="array" ref="AF496">INDEX($A$1:$C$500, MATCH(1,($B:$B=$AG496)*($C:$C=$AB496),0),1)</f>
        <v/>
      </c>
      <c r="AG496" s="72"/>
      <c r="AH496" s="114" t="str">
        <f t="shared" si="4"/>
        <v/>
      </c>
      <c r="AI496" s="115" t="str">
        <f t="shared" si="5"/>
        <v/>
      </c>
      <c r="AJ496" s="116" t="str">
        <f t="array" ref="AJ496">INDEX($A$1:$C$500, MATCH(1,($B:$B=$C496)*($C:$C=$AG496),0),1)</f>
        <v/>
      </c>
      <c r="AK496" s="116" t="str">
        <f t="array" ref="AK496">INDEX($A$1:$C$500, MATCH(1,($B:$B=$AG496)*($C:$C=$C496),0),1)</f>
        <v/>
      </c>
      <c r="AL496" s="116" t="str">
        <f t="array" ref="AL496">INDEX($A$1:$C$500, MATCH(1,($B:$B=$C496)*($C:$C=$AB496),0),1)</f>
        <v/>
      </c>
      <c r="AM496" s="116" t="str">
        <f t="array" ref="AM496">INDEX($A$1:$C$500, MATCH(1,($B:$B=$AB496)*($C:$C=$C496),0),1)</f>
        <v/>
      </c>
      <c r="AN496" s="114" t="str">
        <f t="array" ref="AN496">IFS(ISNUMBER(AJ496),AJ496,ISNUMBER(AK496),AK496,ISNUMBER(AL496),AL496,ISNUMBER(AM496),AM496)</f>
        <v>#N/A</v>
      </c>
      <c r="AO496" s="115" t="str">
        <f t="shared" si="6"/>
        <v/>
      </c>
      <c r="AP496" s="115" t="str">
        <f t="shared" si="7"/>
        <v/>
      </c>
      <c r="AQ496" s="111"/>
      <c r="AR496" s="109" t="str">
        <f t="shared" si="8"/>
        <v/>
      </c>
      <c r="AS496" s="72" t="str">
        <f>IFERROR(IF(AND(Preferences!B$3="Manual",OR(AX496/AW496&gt;V496/U496,BD496="Serious",BD496="Very serious")),"Assess imprecision",IFERROR(IFS(AND(Preferences!B$3="Automatic",V496/U496&gt;=30),"Extremely serious",AND(W496&lt;=$D$1*-1,Y496&lt;0,V496/U496&lt;3),"Not Serious",AND(W496&lt;=$D$1*-1,Y496&lt;0,V496/U496&gt;=3),"Very serious",AND(W496&gt;=$D$1,X496&gt;0,V496/U496&lt;3),"Not Serious",AND(W496&gt;=$D$1,X496&gt;0,V496/U496&gt;=3),"Very serious",AND(W496&lt;=$D$1*-1,Y496&gt;0,X496&gt;$D$2*-1,V496/U496&lt;3),"Serious", AND(W496&lt;=$D$1*-1,Y496&gt;0,X496&lt;$D$2*-1,V496/U496&lt;3),"Very serious", AND(W496&gt;=$D$1,X496&lt;0,Y496&lt;$D$2,V496/U496&lt;3),"Serious",AND(W496&gt;=$D$1,X496&lt;0,Y496&gt;$D$2,V496/U496&lt;3),"Very serious", AND(W496&lt;=$D$1*-1,Y496&gt;0,X496&gt;$D$2*-1,V496/U496&gt;=3),"Very serious", AND(W496&lt;=$D$1*-1,Y496&gt;0,X496&lt;$D$2*-1,V496/U496&gt;=3),"Very serious", AND(W496&gt;=$D$1,X496&lt;0,Y496&lt;$D$2,V496/U496&gt;=3),"Very serious", AND(W496&gt;=$D$1,X496&lt;0,Y496&gt;$D$2,V496/U496&gt;=3),"Very serious", AND(W496&gt;$D$1*-1,W496&lt;$D$1,X496&gt;$D$1*-1,Y496&lt;$D$1,V496/U496&lt;3),"Not Serious", AND(W496&gt;$D$1*-1,W496&lt;$D$1,OR(X496&lt;=$D$1*-1,Y496&gt;=$D$1),X496&gt;$D$2*-1,Y496&lt;$D$2,V496/U496&lt;3),"Serious", AND(W496&gt;$D$1*-1,W496&lt;$D$1,OR(X496&lt;=$D$2*-1,Y496&gt;=$D$2),V496/U496&lt;3),"Very serious", AND(W496&gt;$D$1*-1,W496&lt;$D$1,X496&gt;$D$1*-1,Y496&lt;$D$1,V496/U496&gt;=3),"Very serious", AND(W496&gt;$D$1*-1,W496&lt;$D$1,OR(X496&lt;=$D$1*-1,Y496&gt;=$D$1),X496&gt;$D$2*-1,Y496&lt;$D$2,V496/U496&gt;=3),"Very serious", AND(W496&gt;$D$1*-1,W496&lt;$D$1,OR(X496&lt;=$D$2*-1,Y496&gt;=$D$2),V496/U496&gt;=3),"Very serious"),"")),"")</f>
        <v/>
      </c>
      <c r="AT496" s="109" t="str">
        <f t="shared" si="9"/>
        <v/>
      </c>
      <c r="AU496" s="64"/>
      <c r="AV496" s="83"/>
      <c r="AW496" s="83"/>
      <c r="AX496" s="83"/>
      <c r="AY496" s="83"/>
      <c r="AZ496" s="83"/>
      <c r="BA496" s="85"/>
      <c r="BB496" s="86" t="str">
        <f>IF(Preferences!B$9="Manual","",IFS(ISBLANK(B496),"",AND(ISNUMBER(E496)=TRUE,ISNUMBER(T496)=FALSE),"Direct", AND(ISNUMBER(E496)=FALSE,ISNUMBER(T496)=TRUE),"Indirect", CN496=4,"Direct",AND(CL496=FALSE, CM496=TRUE,CN496-CO496&gt;-1),"Direct", AND(CL496=FALSE,CM496=TRUE, CN496-CO496&lt;0),"Check algorithm in appendix 2", AND(CL496=TRUE, CM496=FALSE,CN496-CO496&gt;0),"Check algorithm in appendix 2", AND(CL496=TRUE, CM496=FALSE,CN496-CO496=0),"Indirect", AND(CL496=TRUE, CM496=FALSE,CN496-CO496&lt;0),"Indirect", AND(CL496=FALSE,CM496=FALSE,CN496-CO496&gt;-1),"Direct", AND(CL496=FALSE,CM496=FALSE,CN496-CO496&lt;0),"Check algorithm in appendix 2", AND(CL496=TRUE,CM496=TRUE,CN496-CO496&gt;-1),"Direct", AND(CL496=TRUE,CM496=TRUE,CN496-CO496&lt;0),"Check algorithm in appendix 2"))</f>
        <v/>
      </c>
      <c r="BC496" s="120" t="str">
        <f t="shared" si="10"/>
        <v/>
      </c>
      <c r="BD496" s="140"/>
      <c r="BE496" s="122" t="str">
        <f>IF(Preferences!B$3="Manual","", IFERROR(IFS(AND(Preferences!B$3="Automatic",AX496/AW496&gt;=30),"Extremely serious",AND(AY496&lt;=$D$1*-1,BA496&lt;0,AX496/AW496&lt;3),"Not Serious",AND(AY496&lt;=$D$1*-1,BA496&lt;0,AX496/AW496&gt;=3),"Very serious",AND(AY496&gt;=$D$1,AZ496&gt;0,AX496/AW496&lt;3),"Not Serious",AND(AY496&gt;=$D$1,AZ496&gt;0,AX496/AW496&gt;=3),"Very serious",AND(AY496&lt;=$D$1*-1,BA496&gt;0,AZ496&gt;$D$2*-1,AX496/AW496&lt;3),"Serious", AND(AY496&lt;=$D$1*-1,BA496&gt;0,AZ496&lt;$D$2*-1,AX496/AW496&lt;3),"Very serious", AND(AY496&gt;=$D$1,AZ496&lt;0,BA496&lt;$D$2,AX496/AW496&lt;3),"Serious",AND(AY496&gt;=$D$1,AZ496&lt;0,BA496&gt;$D$2,AX496/AW496&lt;3),"Very serious", AND(AY496&lt;=$D$1*-1,BA496&gt;0,AZ496&gt;$D$2*-1,AX496/AW496&gt;=3),"Very serious", AND(AY496&lt;=$D$1*-1,BA496&gt;0,AZ496&lt;$D$2*-1,AX496/AW496&gt;=3),"Very serious", AND(AY496&gt;=$D$1,AZ496&lt;0,BA496&lt;$D$2,AX496/AW496&gt;=3),"Very serious", AND(AY496&gt;=$D$1,AZ496&lt;0,BA496&gt;$D$2,AX496/AW496&gt;=3),"Very serious", AND(AY496&gt;$D$1*-1,AY496&lt;$D$1,AZ496&gt;$D$1*-1,BA496&lt;$D$1,AX496/AW496&lt;3),"Not Serious", AND(AY496&gt;$D$1*-1,AY496&lt;$D$1,OR(AZ496&lt;=$D$1*-1,BA496&gt;=$D$1),AZ496&gt;$D$2*-1,BA496&lt;$D$2,AX496/AW496&lt;3),"Serious", AND(AY496&gt;$D$1*-1,AY496&lt;$D$1,OR(AZ496&lt;=$D$2*-1,BA496&gt;=$D$2),AX496/AW496&lt;3),"Very serious", AND(AY496&gt;$D$1*-1,AY496&lt;$D$1,AZ496&gt;$D$1*-1,BA496&lt;$D$1,AX496/AW496&gt;=3),"Very serious", AND(AY496&gt;$D$1*-1,AY496&lt;$D$1,OR(AZ496&lt;=$D$1*-1,BA496&gt;=$D$1),AZ496&gt;$D$2*-1,BA496&lt;$D$2,AX496/AW496&gt;=3),"Very serious", AND(AY496&gt;$D$1*-1,AY496&lt;$D$1,OR(AZ496&lt;=$D$2*-1,BA496&gt;=$D$2),AX496/AW496&gt;=3),"Very serious"),""))</f>
        <v/>
      </c>
      <c r="BF496" s="107" t="str">
        <f t="shared" si="11"/>
        <v/>
      </c>
      <c r="BG496" s="94" t="str">
        <f t="shared" si="46"/>
        <v/>
      </c>
      <c r="BH496" s="64" t="str">
        <f t="shared" si="12"/>
        <v>#N/A</v>
      </c>
      <c r="BI496" s="64" t="str">
        <f t="shared" si="13"/>
        <v/>
      </c>
      <c r="BJ496" s="123" t="str">
        <f t="shared" si="14"/>
        <v>#N/A</v>
      </c>
      <c r="BK496" s="64" t="str">
        <f t="shared" si="50"/>
        <v>YES</v>
      </c>
      <c r="BL496" s="64" t="str">
        <f t="shared" si="16"/>
        <v>YES</v>
      </c>
      <c r="BM496" s="64" t="str">
        <f t="shared" si="17"/>
        <v>YES</v>
      </c>
      <c r="BN496" s="124" t="str">
        <f t="shared" si="18"/>
        <v/>
      </c>
      <c r="BO496" s="91" t="str">
        <f t="shared" si="19"/>
        <v/>
      </c>
      <c r="BP496" s="91" t="str">
        <f t="shared" si="20"/>
        <v>#N/A</v>
      </c>
      <c r="BQ496" s="91" t="str">
        <f t="shared" si="21"/>
        <v/>
      </c>
      <c r="BR496" s="93" t="str">
        <f t="shared" si="22"/>
        <v/>
      </c>
      <c r="BS496" s="90" t="str">
        <f t="shared" si="23"/>
        <v/>
      </c>
      <c r="BT496" s="93" t="str">
        <f t="shared" si="24"/>
        <v>NA</v>
      </c>
      <c r="BU496" s="125" t="str">
        <f t="shared" si="25"/>
        <v>#N/A</v>
      </c>
      <c r="BV496" s="93" t="str">
        <f t="shared" si="26"/>
        <v/>
      </c>
      <c r="BW496" s="93" t="str">
        <f t="shared" si="27"/>
        <v/>
      </c>
      <c r="BX496" s="93" t="str">
        <f t="shared" si="28"/>
        <v>NA</v>
      </c>
      <c r="BY496" s="95" t="str">
        <f t="shared" si="29"/>
        <v>#N/A</v>
      </c>
      <c r="BZ496" s="93" t="str">
        <f t="shared" si="30"/>
        <v/>
      </c>
      <c r="CA496" s="93" t="str">
        <f t="shared" si="31"/>
        <v/>
      </c>
      <c r="CB496" s="93" t="str">
        <f t="shared" si="32"/>
        <v>NA</v>
      </c>
      <c r="CC496" s="96" t="str">
        <f t="shared" si="33"/>
        <v>#N/A</v>
      </c>
      <c r="CD496" s="93" t="str">
        <f t="shared" si="34"/>
        <v/>
      </c>
      <c r="CE496" s="93" t="str">
        <f t="shared" si="35"/>
        <v/>
      </c>
      <c r="CF496" s="93" t="str">
        <f t="shared" si="36"/>
        <v>NA</v>
      </c>
      <c r="CG496" s="97" t="str">
        <f t="shared" si="37"/>
        <v>#N/A</v>
      </c>
      <c r="CH496" s="98" t="str">
        <f t="shared" si="38"/>
        <v>#N/A</v>
      </c>
      <c r="CI496" s="99" t="str">
        <f t="shared" si="39"/>
        <v>#N/A</v>
      </c>
      <c r="CJ496" s="126" t="str">
        <f t="shared" si="40"/>
        <v>ERROR: check cell</v>
      </c>
      <c r="CK496" s="126"/>
      <c r="CL496" s="127" t="str">
        <f t="shared" si="41"/>
        <v>#DIV/0!</v>
      </c>
      <c r="CM496" s="128" t="str">
        <f t="shared" si="42"/>
        <v>#DIV/0!</v>
      </c>
      <c r="CN496" s="128">
        <f t="shared" si="43"/>
        <v>4</v>
      </c>
      <c r="CO496" s="129">
        <f t="shared" si="44"/>
        <v>4</v>
      </c>
      <c r="CP496" s="129" t="str">
        <f>IFS(C496=Preferences!B$13,B496,B496=Preferences!B$13,C496)</f>
        <v>#N/A</v>
      </c>
    </row>
    <row r="497" ht="13.5" customHeight="1">
      <c r="A497" s="63" t="str">
        <f t="shared" si="45"/>
        <v/>
      </c>
      <c r="B497" s="64"/>
      <c r="C497" s="64"/>
      <c r="D497" s="64"/>
      <c r="E497" s="65"/>
      <c r="F497" s="65"/>
      <c r="G497" s="65"/>
      <c r="H497" s="66"/>
      <c r="I497" s="66"/>
      <c r="J497" s="67"/>
      <c r="K497" s="68"/>
      <c r="L497" s="104"/>
      <c r="M497" s="104"/>
      <c r="N497" s="104"/>
      <c r="O497" s="104"/>
      <c r="P497" s="107" t="str">
        <f t="shared" si="1"/>
        <v/>
      </c>
      <c r="Q497" s="108" t="str">
        <f>IFERROR(IF(AND(Preferences!B$3="Manual",OR(AX497/AW497&gt;G497/F497,BD497="Serious",BD497="Very serious")),"Assess imprecision",IFS(ISBLANK(E497),"",AND(Preferences!B$3="Automatic", G497/F497&gt;=30),"Extremely serious",AND(H497&lt;=$D$1*-1,J497&lt;0,G497/F497&lt;3),"Not serious",AND(H497&lt;=$D$1*-1,J497&lt;0,G497/F497&gt;=3),"Very serious",AND(H497&gt;=$D$1,I497&gt;0,G497/F497&lt;3),"Not serious",AND(H497&gt;=$D$1,I497&gt;0,G497/F497&gt;=3),"Very serious",AND(H497&lt;=$D$1*-1,J497&gt;0,I497&gt;$D$2*-1,G497/F497&lt;3),"Serious", AND(H497&lt;=$D$1*-1,J497&gt;0,I497&lt;$D$2*-1,G497/F497&lt;3),"Very serious", AND(H497&gt;=$D$1,I497&lt;0,J497&lt;$D$2,G497/F497&lt;3),"Serious",AND(H497&gt;=$D$1,I497&lt;0,J497&gt;$D$2,G497/F497&lt;3),"Very serious", AND(H497&lt;=$D$1*-1,J497&gt;0,I497&gt;$D$2*-1,G497/F497&gt;=3),"Very serious", AND(H497&lt;=$D$1*-1,J497&gt;0,I497&lt;$D$2*-1,G497/F497&gt;=3),"Very serious", AND(H497&gt;=$D$1,I497&lt;0,J497&lt;$D$2,G497/F497&gt;=3),"Very serious", AND(H497&gt;=$D$1,I497&lt;0,J497&gt;$D$2,G497/F497&gt;=3),"Very serious", AND(H497&gt;$D$1*-1,H497&lt;$D$1,I497&gt;$D$1*-1,J497&lt;$D$1,G497/F497&lt;3),"Not serious", AND(H497&gt;$D$1*-1,H497&lt;$D$1,OR(I497&lt;=$D$1*-1,J497&gt;=$D$1),I497&gt;$D$2*-1,J497&lt;$D$2,G497/F497&lt;3),"Serious", AND(H497&gt;$D$1*-1,H497&lt;$D$1,OR(I497&lt;=$D$2*-1,J497&gt;=$D$2),G497/F497&lt;3),"Very serious", AND(H497&gt;$D$1*-1,H497&lt;$D$1,I497&gt;$D$1*-1,J497&lt;$D$1,G497/F497&gt;=3),"Very serious", AND(H497&gt;$D$1*-1,H497&lt;$D$1,OR(I497&lt;=$D$1*-1,J497&gt;=$D$1),I497&gt;$D$2*-1,J497&lt;$D$2,G497/F497&gt;=3),"Very serious", AND(H497&gt;$D$1*-1,H497&lt;$D$1,OR(I497&lt;=$D$2*-1,J497&gt;=$D$2),G497/F497&gt;=3),"Very serious")),"")</f>
        <v/>
      </c>
      <c r="R497" s="109" t="str">
        <f t="shared" si="47"/>
        <v/>
      </c>
      <c r="S497" s="64"/>
      <c r="T497" s="72"/>
      <c r="U497" s="72"/>
      <c r="V497" s="72"/>
      <c r="W497" s="73"/>
      <c r="X497" s="73"/>
      <c r="Y497" s="74"/>
      <c r="Z497" s="113" t="str">
        <f t="array" ref="Z497">INDEX($A$1:$C$500, MATCH(1,($B:$B=$B497)*($C:$C=$AB497),0),1)</f>
        <v/>
      </c>
      <c r="AA497" s="113" t="str">
        <f t="array" ref="AA497">INDEX($A$1:$C$500, MATCH(1,($B:$B=$AB497)*($C:$C=$B497),0),1)</f>
        <v/>
      </c>
      <c r="AB497" s="111"/>
      <c r="AC497" s="114" t="str">
        <f t="shared" si="2"/>
        <v/>
      </c>
      <c r="AD497" s="115" t="str">
        <f t="shared" si="3"/>
        <v/>
      </c>
      <c r="AE497" s="116" t="str">
        <f t="array" ref="AE497">INDEX($A$1:$C$500, MATCH(1,($B:$B=$AB497)*($C:$C=$AG497),0),1)</f>
        <v/>
      </c>
      <c r="AF497" s="116" t="str">
        <f t="array" ref="AF497">INDEX($A$1:$C$500, MATCH(1,($B:$B=$AG497)*($C:$C=$AB497),0),1)</f>
        <v/>
      </c>
      <c r="AG497" s="72"/>
      <c r="AH497" s="114" t="str">
        <f t="shared" si="4"/>
        <v/>
      </c>
      <c r="AI497" s="115" t="str">
        <f t="shared" si="5"/>
        <v/>
      </c>
      <c r="AJ497" s="116" t="str">
        <f t="array" ref="AJ497">INDEX($A$1:$C$500, MATCH(1,($B:$B=$C497)*($C:$C=$AG497),0),1)</f>
        <v/>
      </c>
      <c r="AK497" s="116" t="str">
        <f t="array" ref="AK497">INDEX($A$1:$C$500, MATCH(1,($B:$B=$AG497)*($C:$C=$C497),0),1)</f>
        <v/>
      </c>
      <c r="AL497" s="116" t="str">
        <f t="array" ref="AL497">INDEX($A$1:$C$500, MATCH(1,($B:$B=$C497)*($C:$C=$AB497),0),1)</f>
        <v/>
      </c>
      <c r="AM497" s="116" t="str">
        <f t="array" ref="AM497">INDEX($A$1:$C$500, MATCH(1,($B:$B=$AB497)*($C:$C=$C497),0),1)</f>
        <v/>
      </c>
      <c r="AN497" s="114" t="str">
        <f t="array" ref="AN497">IFS(ISNUMBER(AJ497),AJ497,ISNUMBER(AK497),AK497,ISNUMBER(AL497),AL497,ISNUMBER(AM497),AM497)</f>
        <v>#N/A</v>
      </c>
      <c r="AO497" s="115" t="str">
        <f t="shared" si="6"/>
        <v/>
      </c>
      <c r="AP497" s="115" t="str">
        <f t="shared" si="7"/>
        <v/>
      </c>
      <c r="AQ497" s="111"/>
      <c r="AR497" s="109" t="str">
        <f t="shared" si="8"/>
        <v/>
      </c>
      <c r="AS497" s="72" t="str">
        <f>IFERROR(IF(AND(Preferences!B$3="Manual",OR(AX497/AW497&gt;V497/U497,BD497="Serious",BD497="Very serious")),"Assess imprecision",IFERROR(IFS(AND(Preferences!B$3="Automatic",V497/U497&gt;=30),"Extremely serious",AND(W497&lt;=$D$1*-1,Y497&lt;0,V497/U497&lt;3),"Not Serious",AND(W497&lt;=$D$1*-1,Y497&lt;0,V497/U497&gt;=3),"Very serious",AND(W497&gt;=$D$1,X497&gt;0,V497/U497&lt;3),"Not Serious",AND(W497&gt;=$D$1,X497&gt;0,V497/U497&gt;=3),"Very serious",AND(W497&lt;=$D$1*-1,Y497&gt;0,X497&gt;$D$2*-1,V497/U497&lt;3),"Serious", AND(W497&lt;=$D$1*-1,Y497&gt;0,X497&lt;$D$2*-1,V497/U497&lt;3),"Very serious", AND(W497&gt;=$D$1,X497&lt;0,Y497&lt;$D$2,V497/U497&lt;3),"Serious",AND(W497&gt;=$D$1,X497&lt;0,Y497&gt;$D$2,V497/U497&lt;3),"Very serious", AND(W497&lt;=$D$1*-1,Y497&gt;0,X497&gt;$D$2*-1,V497/U497&gt;=3),"Very serious", AND(W497&lt;=$D$1*-1,Y497&gt;0,X497&lt;$D$2*-1,V497/U497&gt;=3),"Very serious", AND(W497&gt;=$D$1,X497&lt;0,Y497&lt;$D$2,V497/U497&gt;=3),"Very serious", AND(W497&gt;=$D$1,X497&lt;0,Y497&gt;$D$2,V497/U497&gt;=3),"Very serious", AND(W497&gt;$D$1*-1,W497&lt;$D$1,X497&gt;$D$1*-1,Y497&lt;$D$1,V497/U497&lt;3),"Not Serious", AND(W497&gt;$D$1*-1,W497&lt;$D$1,OR(X497&lt;=$D$1*-1,Y497&gt;=$D$1),X497&gt;$D$2*-1,Y497&lt;$D$2,V497/U497&lt;3),"Serious", AND(W497&gt;$D$1*-1,W497&lt;$D$1,OR(X497&lt;=$D$2*-1,Y497&gt;=$D$2),V497/U497&lt;3),"Very serious", AND(W497&gt;$D$1*-1,W497&lt;$D$1,X497&gt;$D$1*-1,Y497&lt;$D$1,V497/U497&gt;=3),"Very serious", AND(W497&gt;$D$1*-1,W497&lt;$D$1,OR(X497&lt;=$D$1*-1,Y497&gt;=$D$1),X497&gt;$D$2*-1,Y497&lt;$D$2,V497/U497&gt;=3),"Very serious", AND(W497&gt;$D$1*-1,W497&lt;$D$1,OR(X497&lt;=$D$2*-1,Y497&gt;=$D$2),V497/U497&gt;=3),"Very serious"),"")),"")</f>
        <v/>
      </c>
      <c r="AT497" s="109" t="str">
        <f t="shared" si="9"/>
        <v/>
      </c>
      <c r="AU497" s="64"/>
      <c r="AV497" s="83"/>
      <c r="AW497" s="83"/>
      <c r="AX497" s="83"/>
      <c r="AY497" s="83"/>
      <c r="AZ497" s="83"/>
      <c r="BA497" s="85"/>
      <c r="BB497" s="86" t="str">
        <f>IF(Preferences!B$9="Manual","",IFS(ISBLANK(B497),"",AND(ISNUMBER(E497)=TRUE,ISNUMBER(T497)=FALSE),"Direct", AND(ISNUMBER(E497)=FALSE,ISNUMBER(T497)=TRUE),"Indirect", CN497=4,"Direct",AND(CL497=FALSE, CM497=TRUE,CN497-CO497&gt;-1),"Direct", AND(CL497=FALSE,CM497=TRUE, CN497-CO497&lt;0),"Check algorithm in appendix 2", AND(CL497=TRUE, CM497=FALSE,CN497-CO497&gt;0),"Check algorithm in appendix 2", AND(CL497=TRUE, CM497=FALSE,CN497-CO497=0),"Indirect", AND(CL497=TRUE, CM497=FALSE,CN497-CO497&lt;0),"Indirect", AND(CL497=FALSE,CM497=FALSE,CN497-CO497&gt;-1),"Direct", AND(CL497=FALSE,CM497=FALSE,CN497-CO497&lt;0),"Check algorithm in appendix 2", AND(CL497=TRUE,CM497=TRUE,CN497-CO497&gt;-1),"Direct", AND(CL497=TRUE,CM497=TRUE,CN497-CO497&lt;0),"Check algorithm in appendix 2"))</f>
        <v/>
      </c>
      <c r="BC497" s="120" t="str">
        <f t="shared" si="10"/>
        <v/>
      </c>
      <c r="BD497" s="140"/>
      <c r="BE497" s="122" t="str">
        <f>IF(Preferences!B$3="Manual","", IFERROR(IFS(AND(Preferences!B$3="Automatic",AX497/AW497&gt;=30),"Extremely serious",AND(AY497&lt;=$D$1*-1,BA497&lt;0,AX497/AW497&lt;3),"Not Serious",AND(AY497&lt;=$D$1*-1,BA497&lt;0,AX497/AW497&gt;=3),"Very serious",AND(AY497&gt;=$D$1,AZ497&gt;0,AX497/AW497&lt;3),"Not Serious",AND(AY497&gt;=$D$1,AZ497&gt;0,AX497/AW497&gt;=3),"Very serious",AND(AY497&lt;=$D$1*-1,BA497&gt;0,AZ497&gt;$D$2*-1,AX497/AW497&lt;3),"Serious", AND(AY497&lt;=$D$1*-1,BA497&gt;0,AZ497&lt;$D$2*-1,AX497/AW497&lt;3),"Very serious", AND(AY497&gt;=$D$1,AZ497&lt;0,BA497&lt;$D$2,AX497/AW497&lt;3),"Serious",AND(AY497&gt;=$D$1,AZ497&lt;0,BA497&gt;$D$2,AX497/AW497&lt;3),"Very serious", AND(AY497&lt;=$D$1*-1,BA497&gt;0,AZ497&gt;$D$2*-1,AX497/AW497&gt;=3),"Very serious", AND(AY497&lt;=$D$1*-1,BA497&gt;0,AZ497&lt;$D$2*-1,AX497/AW497&gt;=3),"Very serious", AND(AY497&gt;=$D$1,AZ497&lt;0,BA497&lt;$D$2,AX497/AW497&gt;=3),"Very serious", AND(AY497&gt;=$D$1,AZ497&lt;0,BA497&gt;$D$2,AX497/AW497&gt;=3),"Very serious", AND(AY497&gt;$D$1*-1,AY497&lt;$D$1,AZ497&gt;$D$1*-1,BA497&lt;$D$1,AX497/AW497&lt;3),"Not Serious", AND(AY497&gt;$D$1*-1,AY497&lt;$D$1,OR(AZ497&lt;=$D$1*-1,BA497&gt;=$D$1),AZ497&gt;$D$2*-1,BA497&lt;$D$2,AX497/AW497&lt;3),"Serious", AND(AY497&gt;$D$1*-1,AY497&lt;$D$1,OR(AZ497&lt;=$D$2*-1,BA497&gt;=$D$2),AX497/AW497&lt;3),"Very serious", AND(AY497&gt;$D$1*-1,AY497&lt;$D$1,AZ497&gt;$D$1*-1,BA497&lt;$D$1,AX497/AW497&gt;=3),"Very serious", AND(AY497&gt;$D$1*-1,AY497&lt;$D$1,OR(AZ497&lt;=$D$1*-1,BA497&gt;=$D$1),AZ497&gt;$D$2*-1,BA497&lt;$D$2,AX497/AW497&gt;=3),"Very serious", AND(AY497&gt;$D$1*-1,AY497&lt;$D$1,OR(AZ497&lt;=$D$2*-1,BA497&gt;=$D$2),AX497/AW497&gt;=3),"Very serious"),""))</f>
        <v/>
      </c>
      <c r="BF497" s="107" t="str">
        <f t="shared" si="11"/>
        <v/>
      </c>
      <c r="BG497" s="94" t="str">
        <f t="shared" si="46"/>
        <v/>
      </c>
      <c r="BH497" s="64" t="str">
        <f t="shared" si="12"/>
        <v>#N/A</v>
      </c>
      <c r="BI497" s="64" t="str">
        <f t="shared" si="13"/>
        <v/>
      </c>
      <c r="BJ497" s="123" t="str">
        <f t="shared" si="14"/>
        <v>#N/A</v>
      </c>
      <c r="BK497" s="64" t="str">
        <f t="shared" si="50"/>
        <v>YES</v>
      </c>
      <c r="BL497" s="64" t="str">
        <f t="shared" si="16"/>
        <v>YES</v>
      </c>
      <c r="BM497" s="64" t="str">
        <f t="shared" si="17"/>
        <v>YES</v>
      </c>
      <c r="BN497" s="124" t="str">
        <f t="shared" si="18"/>
        <v/>
      </c>
      <c r="BO497" s="91" t="str">
        <f t="shared" si="19"/>
        <v/>
      </c>
      <c r="BP497" s="91" t="str">
        <f t="shared" si="20"/>
        <v>#N/A</v>
      </c>
      <c r="BQ497" s="91" t="str">
        <f t="shared" si="21"/>
        <v/>
      </c>
      <c r="BR497" s="93" t="str">
        <f t="shared" si="22"/>
        <v/>
      </c>
      <c r="BS497" s="90" t="str">
        <f t="shared" si="23"/>
        <v/>
      </c>
      <c r="BT497" s="93" t="str">
        <f t="shared" si="24"/>
        <v>NA</v>
      </c>
      <c r="BU497" s="125" t="str">
        <f t="shared" si="25"/>
        <v>#N/A</v>
      </c>
      <c r="BV497" s="93" t="str">
        <f t="shared" si="26"/>
        <v/>
      </c>
      <c r="BW497" s="93" t="str">
        <f t="shared" si="27"/>
        <v/>
      </c>
      <c r="BX497" s="93" t="str">
        <f t="shared" si="28"/>
        <v>NA</v>
      </c>
      <c r="BY497" s="95" t="str">
        <f t="shared" si="29"/>
        <v>#N/A</v>
      </c>
      <c r="BZ497" s="93" t="str">
        <f t="shared" si="30"/>
        <v/>
      </c>
      <c r="CA497" s="93" t="str">
        <f t="shared" si="31"/>
        <v/>
      </c>
      <c r="CB497" s="93" t="str">
        <f t="shared" si="32"/>
        <v>NA</v>
      </c>
      <c r="CC497" s="96" t="str">
        <f t="shared" si="33"/>
        <v>#N/A</v>
      </c>
      <c r="CD497" s="93" t="str">
        <f t="shared" si="34"/>
        <v/>
      </c>
      <c r="CE497" s="93" t="str">
        <f t="shared" si="35"/>
        <v/>
      </c>
      <c r="CF497" s="93" t="str">
        <f t="shared" si="36"/>
        <v>NA</v>
      </c>
      <c r="CG497" s="97" t="str">
        <f t="shared" si="37"/>
        <v>#N/A</v>
      </c>
      <c r="CH497" s="98" t="str">
        <f t="shared" si="38"/>
        <v>#N/A</v>
      </c>
      <c r="CI497" s="99" t="str">
        <f t="shared" si="39"/>
        <v>#N/A</v>
      </c>
      <c r="CJ497" s="126" t="str">
        <f t="shared" si="40"/>
        <v>ERROR: check cell</v>
      </c>
      <c r="CK497" s="126"/>
      <c r="CL497" s="127" t="str">
        <f t="shared" si="41"/>
        <v>#DIV/0!</v>
      </c>
      <c r="CM497" s="128" t="str">
        <f t="shared" si="42"/>
        <v>#DIV/0!</v>
      </c>
      <c r="CN497" s="128">
        <f t="shared" si="43"/>
        <v>4</v>
      </c>
      <c r="CO497" s="129">
        <f t="shared" si="44"/>
        <v>4</v>
      </c>
      <c r="CP497" s="129" t="str">
        <f>IFS(C497=Preferences!B$13,B497,B497=Preferences!B$13,C497)</f>
        <v>#N/A</v>
      </c>
    </row>
    <row r="498" ht="13.5" customHeight="1">
      <c r="A498" s="63" t="str">
        <f t="shared" si="45"/>
        <v/>
      </c>
      <c r="B498" s="64"/>
      <c r="C498" s="64"/>
      <c r="D498" s="64"/>
      <c r="E498" s="65"/>
      <c r="F498" s="65"/>
      <c r="G498" s="65"/>
      <c r="H498" s="66"/>
      <c r="I498" s="66"/>
      <c r="J498" s="67"/>
      <c r="K498" s="68"/>
      <c r="L498" s="104"/>
      <c r="M498" s="104"/>
      <c r="N498" s="104"/>
      <c r="O498" s="104"/>
      <c r="P498" s="107" t="str">
        <f t="shared" si="1"/>
        <v/>
      </c>
      <c r="Q498" s="108" t="str">
        <f>IFERROR(IF(AND(Preferences!B$3="Manual",OR(AX498/AW498&gt;G498/F498,BD498="Serious",BD498="Very serious")),"Assess imprecision",IFS(ISBLANK(E498),"",AND(Preferences!B$3="Automatic", G498/F498&gt;=30),"Extremely serious",AND(H498&lt;=$D$1*-1,J498&lt;0,G498/F498&lt;3),"Not serious",AND(H498&lt;=$D$1*-1,J498&lt;0,G498/F498&gt;=3),"Very serious",AND(H498&gt;=$D$1,I498&gt;0,G498/F498&lt;3),"Not serious",AND(H498&gt;=$D$1,I498&gt;0,G498/F498&gt;=3),"Very serious",AND(H498&lt;=$D$1*-1,J498&gt;0,I498&gt;$D$2*-1,G498/F498&lt;3),"Serious", AND(H498&lt;=$D$1*-1,J498&gt;0,I498&lt;$D$2*-1,G498/F498&lt;3),"Very serious", AND(H498&gt;=$D$1,I498&lt;0,J498&lt;$D$2,G498/F498&lt;3),"Serious",AND(H498&gt;=$D$1,I498&lt;0,J498&gt;$D$2,G498/F498&lt;3),"Very serious", AND(H498&lt;=$D$1*-1,J498&gt;0,I498&gt;$D$2*-1,G498/F498&gt;=3),"Very serious", AND(H498&lt;=$D$1*-1,J498&gt;0,I498&lt;$D$2*-1,G498/F498&gt;=3),"Very serious", AND(H498&gt;=$D$1,I498&lt;0,J498&lt;$D$2,G498/F498&gt;=3),"Very serious", AND(H498&gt;=$D$1,I498&lt;0,J498&gt;$D$2,G498/F498&gt;=3),"Very serious", AND(H498&gt;$D$1*-1,H498&lt;$D$1,I498&gt;$D$1*-1,J498&lt;$D$1,G498/F498&lt;3),"Not serious", AND(H498&gt;$D$1*-1,H498&lt;$D$1,OR(I498&lt;=$D$1*-1,J498&gt;=$D$1),I498&gt;$D$2*-1,J498&lt;$D$2,G498/F498&lt;3),"Serious", AND(H498&gt;$D$1*-1,H498&lt;$D$1,OR(I498&lt;=$D$2*-1,J498&gt;=$D$2),G498/F498&lt;3),"Very serious", AND(H498&gt;$D$1*-1,H498&lt;$D$1,I498&gt;$D$1*-1,J498&lt;$D$1,G498/F498&gt;=3),"Very serious", AND(H498&gt;$D$1*-1,H498&lt;$D$1,OR(I498&lt;=$D$1*-1,J498&gt;=$D$1),I498&gt;$D$2*-1,J498&lt;$D$2,G498/F498&gt;=3),"Very serious", AND(H498&gt;$D$1*-1,H498&lt;$D$1,OR(I498&lt;=$D$2*-1,J498&gt;=$D$2),G498/F498&gt;=3),"Very serious")),"")</f>
        <v/>
      </c>
      <c r="R498" s="109" t="str">
        <f t="shared" si="47"/>
        <v/>
      </c>
      <c r="S498" s="64"/>
      <c r="T498" s="72"/>
      <c r="U498" s="72"/>
      <c r="V498" s="72"/>
      <c r="W498" s="73"/>
      <c r="X498" s="73"/>
      <c r="Y498" s="74"/>
      <c r="Z498" s="113" t="str">
        <f t="array" ref="Z498">INDEX($A$1:$C$500, MATCH(1,($B:$B=$B498)*($C:$C=$AB498),0),1)</f>
        <v/>
      </c>
      <c r="AA498" s="113" t="str">
        <f t="array" ref="AA498">INDEX($A$1:$C$500, MATCH(1,($B:$B=$AB498)*($C:$C=$B498),0),1)</f>
        <v/>
      </c>
      <c r="AB498" s="111"/>
      <c r="AC498" s="114" t="str">
        <f t="shared" si="2"/>
        <v/>
      </c>
      <c r="AD498" s="115" t="str">
        <f t="shared" si="3"/>
        <v/>
      </c>
      <c r="AE498" s="116" t="str">
        <f t="array" ref="AE498">INDEX($A$1:$C$500, MATCH(1,($B:$B=$AB498)*($C:$C=$AG498),0),1)</f>
        <v/>
      </c>
      <c r="AF498" s="116" t="str">
        <f t="array" ref="AF498">INDEX($A$1:$C$500, MATCH(1,($B:$B=$AG498)*($C:$C=$AB498),0),1)</f>
        <v/>
      </c>
      <c r="AG498" s="72"/>
      <c r="AH498" s="114" t="str">
        <f t="shared" si="4"/>
        <v/>
      </c>
      <c r="AI498" s="115" t="str">
        <f t="shared" si="5"/>
        <v/>
      </c>
      <c r="AJ498" s="116" t="str">
        <f t="array" ref="AJ498">INDEX($A$1:$C$500, MATCH(1,($B:$B=$C498)*($C:$C=$AG498),0),1)</f>
        <v/>
      </c>
      <c r="AK498" s="116" t="str">
        <f t="array" ref="AK498">INDEX($A$1:$C$500, MATCH(1,($B:$B=$AG498)*($C:$C=$C498),0),1)</f>
        <v/>
      </c>
      <c r="AL498" s="116" t="str">
        <f t="array" ref="AL498">INDEX($A$1:$C$500, MATCH(1,($B:$B=$C498)*($C:$C=$AB498),0),1)</f>
        <v/>
      </c>
      <c r="AM498" s="116" t="str">
        <f t="array" ref="AM498">INDEX($A$1:$C$500, MATCH(1,($B:$B=$AB498)*($C:$C=$C498),0),1)</f>
        <v/>
      </c>
      <c r="AN498" s="114" t="str">
        <f t="array" ref="AN498">IFS(ISNUMBER(AJ498),AJ498,ISNUMBER(AK498),AK498,ISNUMBER(AL498),AL498,ISNUMBER(AM498),AM498)</f>
        <v>#N/A</v>
      </c>
      <c r="AO498" s="115" t="str">
        <f t="shared" si="6"/>
        <v/>
      </c>
      <c r="AP498" s="115" t="str">
        <f t="shared" si="7"/>
        <v/>
      </c>
      <c r="AQ498" s="111"/>
      <c r="AR498" s="109" t="str">
        <f t="shared" si="8"/>
        <v/>
      </c>
      <c r="AS498" s="72" t="str">
        <f>IFERROR(IF(AND(Preferences!B$3="Manual",OR(AX498/AW498&gt;V498/U498,BD498="Serious",BD498="Very serious")),"Assess imprecision",IFERROR(IFS(AND(Preferences!B$3="Automatic",V498/U498&gt;=30),"Extremely serious",AND(W498&lt;=$D$1*-1,Y498&lt;0,V498/U498&lt;3),"Not Serious",AND(W498&lt;=$D$1*-1,Y498&lt;0,V498/U498&gt;=3),"Very serious",AND(W498&gt;=$D$1,X498&gt;0,V498/U498&lt;3),"Not Serious",AND(W498&gt;=$D$1,X498&gt;0,V498/U498&gt;=3),"Very serious",AND(W498&lt;=$D$1*-1,Y498&gt;0,X498&gt;$D$2*-1,V498/U498&lt;3),"Serious", AND(W498&lt;=$D$1*-1,Y498&gt;0,X498&lt;$D$2*-1,V498/U498&lt;3),"Very serious", AND(W498&gt;=$D$1,X498&lt;0,Y498&lt;$D$2,V498/U498&lt;3),"Serious",AND(W498&gt;=$D$1,X498&lt;0,Y498&gt;$D$2,V498/U498&lt;3),"Very serious", AND(W498&lt;=$D$1*-1,Y498&gt;0,X498&gt;$D$2*-1,V498/U498&gt;=3),"Very serious", AND(W498&lt;=$D$1*-1,Y498&gt;0,X498&lt;$D$2*-1,V498/U498&gt;=3),"Very serious", AND(W498&gt;=$D$1,X498&lt;0,Y498&lt;$D$2,V498/U498&gt;=3),"Very serious", AND(W498&gt;=$D$1,X498&lt;0,Y498&gt;$D$2,V498/U498&gt;=3),"Very serious", AND(W498&gt;$D$1*-1,W498&lt;$D$1,X498&gt;$D$1*-1,Y498&lt;$D$1,V498/U498&lt;3),"Not Serious", AND(W498&gt;$D$1*-1,W498&lt;$D$1,OR(X498&lt;=$D$1*-1,Y498&gt;=$D$1),X498&gt;$D$2*-1,Y498&lt;$D$2,V498/U498&lt;3),"Serious", AND(W498&gt;$D$1*-1,W498&lt;$D$1,OR(X498&lt;=$D$2*-1,Y498&gt;=$D$2),V498/U498&lt;3),"Very serious", AND(W498&gt;$D$1*-1,W498&lt;$D$1,X498&gt;$D$1*-1,Y498&lt;$D$1,V498/U498&gt;=3),"Very serious", AND(W498&gt;$D$1*-1,W498&lt;$D$1,OR(X498&lt;=$D$1*-1,Y498&gt;=$D$1),X498&gt;$D$2*-1,Y498&lt;$D$2,V498/U498&gt;=3),"Very serious", AND(W498&gt;$D$1*-1,W498&lt;$D$1,OR(X498&lt;=$D$2*-1,Y498&gt;=$D$2),V498/U498&gt;=3),"Very serious"),"")),"")</f>
        <v/>
      </c>
      <c r="AT498" s="109" t="str">
        <f t="shared" si="9"/>
        <v/>
      </c>
      <c r="AU498" s="64"/>
      <c r="AV498" s="83"/>
      <c r="AW498" s="83"/>
      <c r="AX498" s="83"/>
      <c r="AY498" s="83"/>
      <c r="AZ498" s="83"/>
      <c r="BA498" s="85"/>
      <c r="BB498" s="86" t="str">
        <f>IF(Preferences!B$9="Manual","",IFS(ISBLANK(B498),"",AND(ISNUMBER(E498)=TRUE,ISNUMBER(T498)=FALSE),"Direct", AND(ISNUMBER(E498)=FALSE,ISNUMBER(T498)=TRUE),"Indirect", CN498=4,"Direct",AND(CL498=FALSE, CM498=TRUE,CN498-CO498&gt;-1),"Direct", AND(CL498=FALSE,CM498=TRUE, CN498-CO498&lt;0),"Check algorithm in appendix 2", AND(CL498=TRUE, CM498=FALSE,CN498-CO498&gt;0),"Check algorithm in appendix 2", AND(CL498=TRUE, CM498=FALSE,CN498-CO498=0),"Indirect", AND(CL498=TRUE, CM498=FALSE,CN498-CO498&lt;0),"Indirect", AND(CL498=FALSE,CM498=FALSE,CN498-CO498&gt;-1),"Direct", AND(CL498=FALSE,CM498=FALSE,CN498-CO498&lt;0),"Check algorithm in appendix 2", AND(CL498=TRUE,CM498=TRUE,CN498-CO498&gt;-1),"Direct", AND(CL498=TRUE,CM498=TRUE,CN498-CO498&lt;0),"Check algorithm in appendix 2"))</f>
        <v/>
      </c>
      <c r="BC498" s="120" t="str">
        <f t="shared" si="10"/>
        <v/>
      </c>
      <c r="BD498" s="140"/>
      <c r="BE498" s="122" t="str">
        <f>IF(Preferences!B$3="Manual","", IFERROR(IFS(AND(Preferences!B$3="Automatic",AX498/AW498&gt;=30),"Extremely serious",AND(AY498&lt;=$D$1*-1,BA498&lt;0,AX498/AW498&lt;3),"Not Serious",AND(AY498&lt;=$D$1*-1,BA498&lt;0,AX498/AW498&gt;=3),"Very serious",AND(AY498&gt;=$D$1,AZ498&gt;0,AX498/AW498&lt;3),"Not Serious",AND(AY498&gt;=$D$1,AZ498&gt;0,AX498/AW498&gt;=3),"Very serious",AND(AY498&lt;=$D$1*-1,BA498&gt;0,AZ498&gt;$D$2*-1,AX498/AW498&lt;3),"Serious", AND(AY498&lt;=$D$1*-1,BA498&gt;0,AZ498&lt;$D$2*-1,AX498/AW498&lt;3),"Very serious", AND(AY498&gt;=$D$1,AZ498&lt;0,BA498&lt;$D$2,AX498/AW498&lt;3),"Serious",AND(AY498&gt;=$D$1,AZ498&lt;0,BA498&gt;$D$2,AX498/AW498&lt;3),"Very serious", AND(AY498&lt;=$D$1*-1,BA498&gt;0,AZ498&gt;$D$2*-1,AX498/AW498&gt;=3),"Very serious", AND(AY498&lt;=$D$1*-1,BA498&gt;0,AZ498&lt;$D$2*-1,AX498/AW498&gt;=3),"Very serious", AND(AY498&gt;=$D$1,AZ498&lt;0,BA498&lt;$D$2,AX498/AW498&gt;=3),"Very serious", AND(AY498&gt;=$D$1,AZ498&lt;0,BA498&gt;$D$2,AX498/AW498&gt;=3),"Very serious", AND(AY498&gt;$D$1*-1,AY498&lt;$D$1,AZ498&gt;$D$1*-1,BA498&lt;$D$1,AX498/AW498&lt;3),"Not Serious", AND(AY498&gt;$D$1*-1,AY498&lt;$D$1,OR(AZ498&lt;=$D$1*-1,BA498&gt;=$D$1),AZ498&gt;$D$2*-1,BA498&lt;$D$2,AX498/AW498&lt;3),"Serious", AND(AY498&gt;$D$1*-1,AY498&lt;$D$1,OR(AZ498&lt;=$D$2*-1,BA498&gt;=$D$2),AX498/AW498&lt;3),"Very serious", AND(AY498&gt;$D$1*-1,AY498&lt;$D$1,AZ498&gt;$D$1*-1,BA498&lt;$D$1,AX498/AW498&gt;=3),"Very serious", AND(AY498&gt;$D$1*-1,AY498&lt;$D$1,OR(AZ498&lt;=$D$1*-1,BA498&gt;=$D$1),AZ498&gt;$D$2*-1,BA498&lt;$D$2,AX498/AW498&gt;=3),"Very serious", AND(AY498&gt;$D$1*-1,AY498&lt;$D$1,OR(AZ498&lt;=$D$2*-1,BA498&gt;=$D$2),AX498/AW498&gt;=3),"Very serious"),""))</f>
        <v/>
      </c>
      <c r="BF498" s="107" t="str">
        <f t="shared" si="11"/>
        <v/>
      </c>
      <c r="BG498" s="94" t="str">
        <f t="shared" si="46"/>
        <v/>
      </c>
      <c r="BH498" s="64" t="str">
        <f t="shared" si="12"/>
        <v>#N/A</v>
      </c>
      <c r="BI498" s="64" t="str">
        <f t="shared" si="13"/>
        <v/>
      </c>
      <c r="BJ498" s="123" t="str">
        <f t="shared" si="14"/>
        <v>#N/A</v>
      </c>
      <c r="BK498" s="64" t="str">
        <f t="shared" si="50"/>
        <v>YES</v>
      </c>
      <c r="BL498" s="64" t="str">
        <f t="shared" si="16"/>
        <v>YES</v>
      </c>
      <c r="BM498" s="64" t="str">
        <f t="shared" si="17"/>
        <v>YES</v>
      </c>
      <c r="BN498" s="124" t="str">
        <f t="shared" si="18"/>
        <v/>
      </c>
      <c r="BO498" s="91" t="str">
        <f t="shared" si="19"/>
        <v/>
      </c>
      <c r="BP498" s="91" t="str">
        <f t="shared" si="20"/>
        <v>#N/A</v>
      </c>
      <c r="BQ498" s="91" t="str">
        <f t="shared" si="21"/>
        <v/>
      </c>
      <c r="BR498" s="93" t="str">
        <f t="shared" si="22"/>
        <v/>
      </c>
      <c r="BS498" s="90" t="str">
        <f t="shared" si="23"/>
        <v/>
      </c>
      <c r="BT498" s="93" t="str">
        <f t="shared" si="24"/>
        <v>NA</v>
      </c>
      <c r="BU498" s="125" t="str">
        <f t="shared" si="25"/>
        <v>#N/A</v>
      </c>
      <c r="BV498" s="93" t="str">
        <f t="shared" si="26"/>
        <v/>
      </c>
      <c r="BW498" s="93" t="str">
        <f t="shared" si="27"/>
        <v/>
      </c>
      <c r="BX498" s="93" t="str">
        <f t="shared" si="28"/>
        <v>NA</v>
      </c>
      <c r="BY498" s="95" t="str">
        <f t="shared" si="29"/>
        <v>#N/A</v>
      </c>
      <c r="BZ498" s="93" t="str">
        <f t="shared" si="30"/>
        <v/>
      </c>
      <c r="CA498" s="93" t="str">
        <f t="shared" si="31"/>
        <v/>
      </c>
      <c r="CB498" s="93" t="str">
        <f t="shared" si="32"/>
        <v>NA</v>
      </c>
      <c r="CC498" s="96" t="str">
        <f t="shared" si="33"/>
        <v>#N/A</v>
      </c>
      <c r="CD498" s="93" t="str">
        <f t="shared" si="34"/>
        <v/>
      </c>
      <c r="CE498" s="93" t="str">
        <f t="shared" si="35"/>
        <v/>
      </c>
      <c r="CF498" s="93" t="str">
        <f t="shared" si="36"/>
        <v>NA</v>
      </c>
      <c r="CG498" s="97" t="str">
        <f t="shared" si="37"/>
        <v>#N/A</v>
      </c>
      <c r="CH498" s="98" t="str">
        <f t="shared" si="38"/>
        <v>#N/A</v>
      </c>
      <c r="CI498" s="99" t="str">
        <f t="shared" si="39"/>
        <v>#N/A</v>
      </c>
      <c r="CJ498" s="126" t="str">
        <f t="shared" si="40"/>
        <v>ERROR: check cell</v>
      </c>
      <c r="CK498" s="126"/>
      <c r="CL498" s="127" t="str">
        <f t="shared" si="41"/>
        <v>#DIV/0!</v>
      </c>
      <c r="CM498" s="128" t="str">
        <f t="shared" si="42"/>
        <v>#DIV/0!</v>
      </c>
      <c r="CN498" s="128">
        <f t="shared" si="43"/>
        <v>4</v>
      </c>
      <c r="CO498" s="129">
        <f t="shared" si="44"/>
        <v>4</v>
      </c>
      <c r="CP498" s="129" t="str">
        <f>IFS(C498=Preferences!B$13,B498,B498=Preferences!B$13,C498)</f>
        <v>#N/A</v>
      </c>
    </row>
    <row r="499" ht="13.5" customHeight="1">
      <c r="A499" s="63" t="str">
        <f t="shared" si="45"/>
        <v/>
      </c>
      <c r="B499" s="64"/>
      <c r="C499" s="64"/>
      <c r="D499" s="64"/>
      <c r="E499" s="65"/>
      <c r="F499" s="65"/>
      <c r="G499" s="65"/>
      <c r="H499" s="66"/>
      <c r="I499" s="66"/>
      <c r="J499" s="67"/>
      <c r="K499" s="68"/>
      <c r="L499" s="133"/>
      <c r="M499" s="133"/>
      <c r="N499" s="133"/>
      <c r="O499" s="133"/>
      <c r="P499" s="107" t="str">
        <f t="shared" si="1"/>
        <v/>
      </c>
      <c r="Q499" s="108" t="str">
        <f>IFERROR(IF(AND(Preferences!B$3="Manual",OR(AX499/AW499&gt;G499/F499,BD499="Serious",BD499="Very serious")),"Assess imprecision",IFS(ISBLANK(E499),"",AND(Preferences!B$3="Automatic", G499/F499&gt;=30),"Extremely serious",AND(H499&lt;=$D$1*-1,J499&lt;0,G499/F499&lt;3),"Not serious",AND(H499&lt;=$D$1*-1,J499&lt;0,G499/F499&gt;=3),"Very serious",AND(H499&gt;=$D$1,I499&gt;0,G499/F499&lt;3),"Not serious",AND(H499&gt;=$D$1,I499&gt;0,G499/F499&gt;=3),"Very serious",AND(H499&lt;=$D$1*-1,J499&gt;0,I499&gt;$D$2*-1,G499/F499&lt;3),"Serious", AND(H499&lt;=$D$1*-1,J499&gt;0,I499&lt;$D$2*-1,G499/F499&lt;3),"Very serious", AND(H499&gt;=$D$1,I499&lt;0,J499&lt;$D$2,G499/F499&lt;3),"Serious",AND(H499&gt;=$D$1,I499&lt;0,J499&gt;$D$2,G499/F499&lt;3),"Very serious", AND(H499&lt;=$D$1*-1,J499&gt;0,I499&gt;$D$2*-1,G499/F499&gt;=3),"Very serious", AND(H499&lt;=$D$1*-1,J499&gt;0,I499&lt;$D$2*-1,G499/F499&gt;=3),"Very serious", AND(H499&gt;=$D$1,I499&lt;0,J499&lt;$D$2,G499/F499&gt;=3),"Very serious", AND(H499&gt;=$D$1,I499&lt;0,J499&gt;$D$2,G499/F499&gt;=3),"Very serious", AND(H499&gt;$D$1*-1,H499&lt;$D$1,I499&gt;$D$1*-1,J499&lt;$D$1,G499/F499&lt;3),"Not serious", AND(H499&gt;$D$1*-1,H499&lt;$D$1,OR(I499&lt;=$D$1*-1,J499&gt;=$D$1),I499&gt;$D$2*-1,J499&lt;$D$2,G499/F499&lt;3),"Serious", AND(H499&gt;$D$1*-1,H499&lt;$D$1,OR(I499&lt;=$D$2*-1,J499&gt;=$D$2),G499/F499&lt;3),"Very serious", AND(H499&gt;$D$1*-1,H499&lt;$D$1,I499&gt;$D$1*-1,J499&lt;$D$1,G499/F499&gt;=3),"Very serious", AND(H499&gt;$D$1*-1,H499&lt;$D$1,OR(I499&lt;=$D$1*-1,J499&gt;=$D$1),I499&gt;$D$2*-1,J499&lt;$D$2,G499/F499&gt;=3),"Very serious", AND(H499&gt;$D$1*-1,H499&lt;$D$1,OR(I499&lt;=$D$2*-1,J499&gt;=$D$2),G499/F499&gt;=3),"Very serious")),"")</f>
        <v/>
      </c>
      <c r="R499" s="109" t="str">
        <f t="shared" si="47"/>
        <v/>
      </c>
      <c r="S499" s="64"/>
      <c r="T499" s="72"/>
      <c r="U499" s="72"/>
      <c r="V499" s="72"/>
      <c r="W499" s="73"/>
      <c r="X499" s="73"/>
      <c r="Y499" s="74"/>
      <c r="Z499" s="113" t="str">
        <f t="array" ref="Z499">INDEX($A$1:$C$500, MATCH(1,($B:$B=$B499)*($C:$C=$AB499),0),1)</f>
        <v/>
      </c>
      <c r="AA499" s="113" t="str">
        <f t="array" ref="AA499">INDEX($A$1:$C$500, MATCH(1,($B:$B=$AB499)*($C:$C=$B499),0),1)</f>
        <v/>
      </c>
      <c r="AB499" s="111"/>
      <c r="AC499" s="114" t="str">
        <f t="shared" si="2"/>
        <v/>
      </c>
      <c r="AD499" s="115" t="str">
        <f t="shared" si="3"/>
        <v/>
      </c>
      <c r="AE499" s="116" t="str">
        <f t="array" ref="AE499">INDEX($A$1:$C$500, MATCH(1,($B:$B=$AB499)*($C:$C=$AG499),0),1)</f>
        <v/>
      </c>
      <c r="AF499" s="116" t="str">
        <f t="array" ref="AF499">INDEX($A$1:$C$500, MATCH(1,($B:$B=$AG499)*($C:$C=$AB499),0),1)</f>
        <v/>
      </c>
      <c r="AG499" s="72"/>
      <c r="AH499" s="114" t="str">
        <f t="shared" si="4"/>
        <v/>
      </c>
      <c r="AI499" s="115" t="str">
        <f t="shared" si="5"/>
        <v/>
      </c>
      <c r="AJ499" s="116" t="str">
        <f t="array" ref="AJ499">INDEX($A$1:$C$500, MATCH(1,($B:$B=$C499)*($C:$C=$AG499),0),1)</f>
        <v/>
      </c>
      <c r="AK499" s="116" t="str">
        <f t="array" ref="AK499">INDEX($A$1:$C$500, MATCH(1,($B:$B=$AG499)*($C:$C=$C499),0),1)</f>
        <v/>
      </c>
      <c r="AL499" s="116" t="str">
        <f t="array" ref="AL499">INDEX($A$1:$C$500, MATCH(1,($B:$B=$C499)*($C:$C=$AB499),0),1)</f>
        <v/>
      </c>
      <c r="AM499" s="116" t="str">
        <f t="array" ref="AM499">INDEX($A$1:$C$500, MATCH(1,($B:$B=$AB499)*($C:$C=$C499),0),1)</f>
        <v/>
      </c>
      <c r="AN499" s="114" t="str">
        <f t="array" ref="AN499">IFS(ISNUMBER(AJ499),AJ499,ISNUMBER(AK499),AK499,ISNUMBER(AL499),AL499,ISNUMBER(AM499),AM499)</f>
        <v>#N/A</v>
      </c>
      <c r="AO499" s="115" t="str">
        <f t="shared" si="6"/>
        <v/>
      </c>
      <c r="AP499" s="115" t="str">
        <f t="shared" si="7"/>
        <v/>
      </c>
      <c r="AQ499" s="72"/>
      <c r="AR499" s="109" t="str">
        <f t="shared" si="8"/>
        <v/>
      </c>
      <c r="AS499" s="72" t="str">
        <f>IFERROR(IF(AND(Preferences!B$3="Manual",OR(AX499/AW499&gt;V499/U499,BD499="Serious",BD499="Very serious")),"Assess imprecision",IFERROR(IFS(AND(Preferences!B$3="Automatic",V499/U499&gt;=30),"Extremely serious",AND(W499&lt;=$D$1*-1,Y499&lt;0,V499/U499&lt;3),"Not Serious",AND(W499&lt;=$D$1*-1,Y499&lt;0,V499/U499&gt;=3),"Very serious",AND(W499&gt;=$D$1,X499&gt;0,V499/U499&lt;3),"Not Serious",AND(W499&gt;=$D$1,X499&gt;0,V499/U499&gt;=3),"Very serious",AND(W499&lt;=$D$1*-1,Y499&gt;0,X499&gt;$D$2*-1,V499/U499&lt;3),"Serious", AND(W499&lt;=$D$1*-1,Y499&gt;0,X499&lt;$D$2*-1,V499/U499&lt;3),"Very serious", AND(W499&gt;=$D$1,X499&lt;0,Y499&lt;$D$2,V499/U499&lt;3),"Serious",AND(W499&gt;=$D$1,X499&lt;0,Y499&gt;$D$2,V499/U499&lt;3),"Very serious", AND(W499&lt;=$D$1*-1,Y499&gt;0,X499&gt;$D$2*-1,V499/U499&gt;=3),"Very serious", AND(W499&lt;=$D$1*-1,Y499&gt;0,X499&lt;$D$2*-1,V499/U499&gt;=3),"Very serious", AND(W499&gt;=$D$1,X499&lt;0,Y499&lt;$D$2,V499/U499&gt;=3),"Very serious", AND(W499&gt;=$D$1,X499&lt;0,Y499&gt;$D$2,V499/U499&gt;=3),"Very serious", AND(W499&gt;$D$1*-1,W499&lt;$D$1,X499&gt;$D$1*-1,Y499&lt;$D$1,V499/U499&lt;3),"Not Serious", AND(W499&gt;$D$1*-1,W499&lt;$D$1,OR(X499&lt;=$D$1*-1,Y499&gt;=$D$1),X499&gt;$D$2*-1,Y499&lt;$D$2,V499/U499&lt;3),"Serious", AND(W499&gt;$D$1*-1,W499&lt;$D$1,OR(X499&lt;=$D$2*-1,Y499&gt;=$D$2),V499/U499&lt;3),"Very serious", AND(W499&gt;$D$1*-1,W499&lt;$D$1,X499&gt;$D$1*-1,Y499&lt;$D$1,V499/U499&gt;=3),"Very serious", AND(W499&gt;$D$1*-1,W499&lt;$D$1,OR(X499&lt;=$D$1*-1,Y499&gt;=$D$1),X499&gt;$D$2*-1,Y499&lt;$D$2,V499/U499&gt;=3),"Very serious", AND(W499&gt;$D$1*-1,W499&lt;$D$1,OR(X499&lt;=$D$2*-1,Y499&gt;=$D$2),V499/U499&gt;=3),"Very serious"),"")),"")</f>
        <v/>
      </c>
      <c r="AT499" s="109" t="str">
        <f t="shared" si="9"/>
        <v/>
      </c>
      <c r="AU499" s="64"/>
      <c r="AV499" s="83"/>
      <c r="AW499" s="83"/>
      <c r="AX499" s="83"/>
      <c r="AY499" s="83"/>
      <c r="AZ499" s="83"/>
      <c r="BA499" s="85"/>
      <c r="BB499" s="86" t="str">
        <f>IF(Preferences!B$9="Manual","",IFS(ISBLANK(B499),"",AND(ISNUMBER(E499)=TRUE,ISNUMBER(T499)=FALSE),"Direct", AND(ISNUMBER(E499)=FALSE,ISNUMBER(T499)=TRUE),"Indirect", CN499=4,"Direct",AND(CL499=FALSE, CM499=TRUE,CN499-CO499&gt;-1),"Direct", AND(CL499=FALSE,CM499=TRUE, CN499-CO499&lt;0),"Check algorithm in appendix 2", AND(CL499=TRUE, CM499=FALSE,CN499-CO499&gt;0),"Check algorithm in appendix 2", AND(CL499=TRUE, CM499=FALSE,CN499-CO499=0),"Indirect", AND(CL499=TRUE, CM499=FALSE,CN499-CO499&lt;0),"Indirect", AND(CL499=FALSE,CM499=FALSE,CN499-CO499&gt;-1),"Direct", AND(CL499=FALSE,CM499=FALSE,CN499-CO499&lt;0),"Check algorithm in appendix 2", AND(CL499=TRUE,CM499=TRUE,CN499-CO499&gt;-1),"Direct", AND(CL499=TRUE,CM499=TRUE,CN499-CO499&lt;0),"Check algorithm in appendix 2"))</f>
        <v/>
      </c>
      <c r="BC499" s="120" t="str">
        <f t="shared" si="10"/>
        <v/>
      </c>
      <c r="BD499" s="140"/>
      <c r="BE499" s="122" t="str">
        <f>IF(Preferences!B$3="Manual","", IFERROR(IFS(AND(Preferences!B$3="Automatic",AX499/AW499&gt;=30),"Extremely serious",AND(AY499&lt;=$D$1*-1,BA499&lt;0,AX499/AW499&lt;3),"Not Serious",AND(AY499&lt;=$D$1*-1,BA499&lt;0,AX499/AW499&gt;=3),"Very serious",AND(AY499&gt;=$D$1,AZ499&gt;0,AX499/AW499&lt;3),"Not Serious",AND(AY499&gt;=$D$1,AZ499&gt;0,AX499/AW499&gt;=3),"Very serious",AND(AY499&lt;=$D$1*-1,BA499&gt;0,AZ499&gt;$D$2*-1,AX499/AW499&lt;3),"Serious", AND(AY499&lt;=$D$1*-1,BA499&gt;0,AZ499&lt;$D$2*-1,AX499/AW499&lt;3),"Very serious", AND(AY499&gt;=$D$1,AZ499&lt;0,BA499&lt;$D$2,AX499/AW499&lt;3),"Serious",AND(AY499&gt;=$D$1,AZ499&lt;0,BA499&gt;$D$2,AX499/AW499&lt;3),"Very serious", AND(AY499&lt;=$D$1*-1,BA499&gt;0,AZ499&gt;$D$2*-1,AX499/AW499&gt;=3),"Very serious", AND(AY499&lt;=$D$1*-1,BA499&gt;0,AZ499&lt;$D$2*-1,AX499/AW499&gt;=3),"Very serious", AND(AY499&gt;=$D$1,AZ499&lt;0,BA499&lt;$D$2,AX499/AW499&gt;=3),"Very serious", AND(AY499&gt;=$D$1,AZ499&lt;0,BA499&gt;$D$2,AX499/AW499&gt;=3),"Very serious", AND(AY499&gt;$D$1*-1,AY499&lt;$D$1,AZ499&gt;$D$1*-1,BA499&lt;$D$1,AX499/AW499&lt;3),"Not Serious", AND(AY499&gt;$D$1*-1,AY499&lt;$D$1,OR(AZ499&lt;=$D$1*-1,BA499&gt;=$D$1),AZ499&gt;$D$2*-1,BA499&lt;$D$2,AX499/AW499&lt;3),"Serious", AND(AY499&gt;$D$1*-1,AY499&lt;$D$1,OR(AZ499&lt;=$D$2*-1,BA499&gt;=$D$2),AX499/AW499&lt;3),"Very serious", AND(AY499&gt;$D$1*-1,AY499&lt;$D$1,AZ499&gt;$D$1*-1,BA499&lt;$D$1,AX499/AW499&gt;=3),"Very serious", AND(AY499&gt;$D$1*-1,AY499&lt;$D$1,OR(AZ499&lt;=$D$1*-1,BA499&gt;=$D$1),AZ499&gt;$D$2*-1,BA499&lt;$D$2,AX499/AW499&gt;=3),"Very serious", AND(AY499&gt;$D$1*-1,AY499&lt;$D$1,OR(AZ499&lt;=$D$2*-1,BA499&gt;=$D$2),AX499/AW499&gt;=3),"Very serious"),""))</f>
        <v/>
      </c>
      <c r="BF499" s="107" t="str">
        <f t="shared" si="11"/>
        <v/>
      </c>
      <c r="BG499" s="94" t="str">
        <f t="shared" si="46"/>
        <v/>
      </c>
      <c r="BH499" s="64" t="str">
        <f t="shared" si="12"/>
        <v>#N/A</v>
      </c>
      <c r="BI499" s="64" t="str">
        <f t="shared" si="13"/>
        <v/>
      </c>
      <c r="BJ499" s="123" t="str">
        <f t="shared" si="14"/>
        <v>#N/A</v>
      </c>
      <c r="BK499" s="64" t="str">
        <f t="shared" si="50"/>
        <v>YES</v>
      </c>
      <c r="BL499" s="64" t="str">
        <f t="shared" si="16"/>
        <v>YES</v>
      </c>
      <c r="BM499" s="64" t="str">
        <f t="shared" si="17"/>
        <v>YES</v>
      </c>
      <c r="BN499" s="124" t="str">
        <f t="shared" si="18"/>
        <v/>
      </c>
      <c r="BO499" s="91" t="str">
        <f t="shared" si="19"/>
        <v/>
      </c>
      <c r="BP499" s="91" t="str">
        <f t="shared" si="20"/>
        <v>#N/A</v>
      </c>
      <c r="BQ499" s="91" t="str">
        <f t="shared" si="21"/>
        <v/>
      </c>
      <c r="BR499" s="93" t="str">
        <f t="shared" si="22"/>
        <v/>
      </c>
      <c r="BS499" s="90" t="str">
        <f t="shared" si="23"/>
        <v/>
      </c>
      <c r="BT499" s="93" t="str">
        <f t="shared" si="24"/>
        <v>NA</v>
      </c>
      <c r="BU499" s="125" t="str">
        <f t="shared" si="25"/>
        <v>#N/A</v>
      </c>
      <c r="BV499" s="93" t="str">
        <f t="shared" si="26"/>
        <v/>
      </c>
      <c r="BW499" s="93" t="str">
        <f t="shared" si="27"/>
        <v/>
      </c>
      <c r="BX499" s="93" t="str">
        <f t="shared" si="28"/>
        <v>NA</v>
      </c>
      <c r="BY499" s="95" t="str">
        <f t="shared" si="29"/>
        <v>#N/A</v>
      </c>
      <c r="BZ499" s="93" t="str">
        <f t="shared" si="30"/>
        <v/>
      </c>
      <c r="CA499" s="93" t="str">
        <f t="shared" si="31"/>
        <v/>
      </c>
      <c r="CB499" s="93" t="str">
        <f t="shared" si="32"/>
        <v>NA</v>
      </c>
      <c r="CC499" s="96" t="str">
        <f t="shared" si="33"/>
        <v>#N/A</v>
      </c>
      <c r="CD499" s="93" t="str">
        <f t="shared" si="34"/>
        <v/>
      </c>
      <c r="CE499" s="93" t="str">
        <f t="shared" si="35"/>
        <v/>
      </c>
      <c r="CF499" s="93" t="str">
        <f t="shared" si="36"/>
        <v>NA</v>
      </c>
      <c r="CG499" s="97" t="str">
        <f t="shared" si="37"/>
        <v>#N/A</v>
      </c>
      <c r="CH499" s="98" t="str">
        <f t="shared" si="38"/>
        <v>#N/A</v>
      </c>
      <c r="CI499" s="99" t="str">
        <f t="shared" si="39"/>
        <v>#N/A</v>
      </c>
      <c r="CJ499" s="126" t="str">
        <f t="shared" si="40"/>
        <v>ERROR: check cell</v>
      </c>
      <c r="CK499" s="126"/>
      <c r="CL499" s="127" t="str">
        <f t="shared" si="41"/>
        <v>#DIV/0!</v>
      </c>
      <c r="CM499" s="128" t="str">
        <f t="shared" si="42"/>
        <v>#DIV/0!</v>
      </c>
      <c r="CN499" s="128">
        <f t="shared" si="43"/>
        <v>4</v>
      </c>
      <c r="CO499" s="129">
        <f t="shared" si="44"/>
        <v>4</v>
      </c>
      <c r="CP499" s="129" t="str">
        <f>IFS(C499=Preferences!B$13,B499,B499=Preferences!B$13,C499)</f>
        <v>#N/A</v>
      </c>
    </row>
    <row r="500" ht="13.5" customHeight="1">
      <c r="A500" s="63" t="str">
        <f t="shared" si="45"/>
        <v/>
      </c>
      <c r="B500" s="64"/>
      <c r="C500" s="64"/>
      <c r="D500" s="64"/>
      <c r="E500" s="65"/>
      <c r="F500" s="65"/>
      <c r="G500" s="65"/>
      <c r="H500" s="66"/>
      <c r="I500" s="66"/>
      <c r="J500" s="67"/>
      <c r="K500" s="68"/>
      <c r="L500" s="104"/>
      <c r="M500" s="104"/>
      <c r="N500" s="104"/>
      <c r="O500" s="104"/>
      <c r="P500" s="107" t="str">
        <f t="shared" si="1"/>
        <v/>
      </c>
      <c r="Q500" s="108" t="str">
        <f>IFERROR(IF(AND(Preferences!B$3="Manual",OR(AX500/AW500&gt;G500/F500,BD500="Serious",BD500="Very serious")),"Assess imprecision",IFS(ISBLANK(E500),"",AND(Preferences!B$3="Automatic", G500/F500&gt;=30),"Extremely serious",AND(H500&lt;=$D$1*-1,J500&lt;0,G500/F500&lt;3),"Not serious",AND(H500&lt;=$D$1*-1,J500&lt;0,G500/F500&gt;=3),"Very serious",AND(H500&gt;=$D$1,I500&gt;0,G500/F500&lt;3),"Not serious",AND(H500&gt;=$D$1,I500&gt;0,G500/F500&gt;=3),"Very serious",AND(H500&lt;=$D$1*-1,J500&gt;0,I500&gt;$D$2*-1,G500/F500&lt;3),"Serious", AND(H500&lt;=$D$1*-1,J500&gt;0,I500&lt;$D$2*-1,G500/F500&lt;3),"Very serious", AND(H500&gt;=$D$1,I500&lt;0,J500&lt;$D$2,G500/F500&lt;3),"Serious",AND(H500&gt;=$D$1,I500&lt;0,J500&gt;$D$2,G500/F500&lt;3),"Very serious", AND(H500&lt;=$D$1*-1,J500&gt;0,I500&gt;$D$2*-1,G500/F500&gt;=3),"Very serious", AND(H500&lt;=$D$1*-1,J500&gt;0,I500&lt;$D$2*-1,G500/F500&gt;=3),"Very serious", AND(H500&gt;=$D$1,I500&lt;0,J500&lt;$D$2,G500/F500&gt;=3),"Very serious", AND(H500&gt;=$D$1,I500&lt;0,J500&gt;$D$2,G500/F500&gt;=3),"Very serious", AND(H500&gt;$D$1*-1,H500&lt;$D$1,I500&gt;$D$1*-1,J500&lt;$D$1,G500/F500&lt;3),"Not serious", AND(H500&gt;$D$1*-1,H500&lt;$D$1,OR(I500&lt;=$D$1*-1,J500&gt;=$D$1),I500&gt;$D$2*-1,J500&lt;$D$2,G500/F500&lt;3),"Serious", AND(H500&gt;$D$1*-1,H500&lt;$D$1,OR(I500&lt;=$D$2*-1,J500&gt;=$D$2),G500/F500&lt;3),"Very serious", AND(H500&gt;$D$1*-1,H500&lt;$D$1,I500&gt;$D$1*-1,J500&lt;$D$1,G500/F500&gt;=3),"Very serious", AND(H500&gt;$D$1*-1,H500&lt;$D$1,OR(I500&lt;=$D$1*-1,J500&gt;=$D$1),I500&gt;$D$2*-1,J500&lt;$D$2,G500/F500&gt;=3),"Very serious", AND(H500&gt;$D$1*-1,H500&lt;$D$1,OR(I500&lt;=$D$2*-1,J500&gt;=$D$2),G500/F500&gt;=3),"Very serious")),"")</f>
        <v/>
      </c>
      <c r="R500" s="109" t="str">
        <f t="shared" si="47"/>
        <v/>
      </c>
      <c r="S500" s="64"/>
      <c r="T500" s="72"/>
      <c r="U500" s="72"/>
      <c r="V500" s="72"/>
      <c r="W500" s="73"/>
      <c r="X500" s="73"/>
      <c r="Y500" s="74"/>
      <c r="Z500" s="113" t="str">
        <f t="array" ref="Z500">INDEX($A$1:$C$500, MATCH(1,($B:$B=$B500)*($C:$C=$AB500),0),1)</f>
        <v/>
      </c>
      <c r="AA500" s="113" t="str">
        <f t="array" ref="AA500">INDEX($A$1:$C$500, MATCH(1,($B:$B=$AB500)*($C:$C=$B500),0),1)</f>
        <v/>
      </c>
      <c r="AB500" s="111"/>
      <c r="AC500" s="114" t="str">
        <f t="shared" si="2"/>
        <v/>
      </c>
      <c r="AD500" s="115" t="str">
        <f t="shared" si="3"/>
        <v/>
      </c>
      <c r="AE500" s="116" t="str">
        <f t="array" ref="AE500">INDEX($A$1:$C$500, MATCH(1,($B:$B=$AB500)*($C:$C=$AG500),0),1)</f>
        <v/>
      </c>
      <c r="AF500" s="116" t="str">
        <f t="array" ref="AF500">INDEX($A$1:$C$500, MATCH(1,($B:$B=$AG500)*($C:$C=$AB500),0),1)</f>
        <v/>
      </c>
      <c r="AG500" s="72"/>
      <c r="AH500" s="114" t="str">
        <f t="shared" si="4"/>
        <v/>
      </c>
      <c r="AI500" s="115" t="str">
        <f t="shared" si="5"/>
        <v/>
      </c>
      <c r="AJ500" s="116" t="str">
        <f t="array" ref="AJ500">INDEX($A$1:$C$500, MATCH(1,($B:$B=$C500)*($C:$C=$AG500),0),1)</f>
        <v/>
      </c>
      <c r="AK500" s="116" t="str">
        <f t="array" ref="AK500">INDEX($A$1:$C$500, MATCH(1,($B:$B=$AG500)*($C:$C=$C500),0),1)</f>
        <v/>
      </c>
      <c r="AL500" s="116" t="str">
        <f t="array" ref="AL500">INDEX($A$1:$C$500, MATCH(1,($B:$B=$C500)*($C:$C=$AB500),0),1)</f>
        <v/>
      </c>
      <c r="AM500" s="116" t="str">
        <f t="array" ref="AM500">INDEX($A$1:$C$500, MATCH(1,($B:$B=$AB500)*($C:$C=$C500),0),1)</f>
        <v/>
      </c>
      <c r="AN500" s="114" t="str">
        <f t="array" ref="AN500">IFS(ISNUMBER(AJ500),AJ500,ISNUMBER(AK500),AK500,ISNUMBER(AL500),AL500,ISNUMBER(AM500),AM500)</f>
        <v>#N/A</v>
      </c>
      <c r="AO500" s="115" t="str">
        <f t="shared" si="6"/>
        <v/>
      </c>
      <c r="AP500" s="115" t="str">
        <f t="shared" si="7"/>
        <v/>
      </c>
      <c r="AQ500" s="111"/>
      <c r="AR500" s="109" t="str">
        <f t="shared" si="8"/>
        <v/>
      </c>
      <c r="AS500" s="72" t="str">
        <f>IFERROR(IF(AND(Preferences!B$3="Manual",OR(AX500/AW500&gt;V500/U500,BD500="Serious",BD500="Very serious")),"Assess imprecision",IFERROR(IFS(AND(Preferences!B$3="Automatic",V500/U500&gt;=30),"Extremely serious",AND(W500&lt;=$D$1*-1,Y500&lt;0,V500/U500&lt;3),"Not Serious",AND(W500&lt;=$D$1*-1,Y500&lt;0,V500/U500&gt;=3),"Very serious",AND(W500&gt;=$D$1,X500&gt;0,V500/U500&lt;3),"Not Serious",AND(W500&gt;=$D$1,X500&gt;0,V500/U500&gt;=3),"Very serious",AND(W500&lt;=$D$1*-1,Y500&gt;0,X500&gt;$D$2*-1,V500/U500&lt;3),"Serious", AND(W500&lt;=$D$1*-1,Y500&gt;0,X500&lt;$D$2*-1,V500/U500&lt;3),"Very serious", AND(W500&gt;=$D$1,X500&lt;0,Y500&lt;$D$2,V500/U500&lt;3),"Serious",AND(W500&gt;=$D$1,X500&lt;0,Y500&gt;$D$2,V500/U500&lt;3),"Very serious", AND(W500&lt;=$D$1*-1,Y500&gt;0,X500&gt;$D$2*-1,V500/U500&gt;=3),"Very serious", AND(W500&lt;=$D$1*-1,Y500&gt;0,X500&lt;$D$2*-1,V500/U500&gt;=3),"Very serious", AND(W500&gt;=$D$1,X500&lt;0,Y500&lt;$D$2,V500/U500&gt;=3),"Very serious", AND(W500&gt;=$D$1,X500&lt;0,Y500&gt;$D$2,V500/U500&gt;=3),"Very serious", AND(W500&gt;$D$1*-1,W500&lt;$D$1,X500&gt;$D$1*-1,Y500&lt;$D$1,V500/U500&lt;3),"Not Serious", AND(W500&gt;$D$1*-1,W500&lt;$D$1,OR(X500&lt;=$D$1*-1,Y500&gt;=$D$1),X500&gt;$D$2*-1,Y500&lt;$D$2,V500/U500&lt;3),"Serious", AND(W500&gt;$D$1*-1,W500&lt;$D$1,OR(X500&lt;=$D$2*-1,Y500&gt;=$D$2),V500/U500&lt;3),"Very serious", AND(W500&gt;$D$1*-1,W500&lt;$D$1,X500&gt;$D$1*-1,Y500&lt;$D$1,V500/U500&gt;=3),"Very serious", AND(W500&gt;$D$1*-1,W500&lt;$D$1,OR(X500&lt;=$D$1*-1,Y500&gt;=$D$1),X500&gt;$D$2*-1,Y500&lt;$D$2,V500/U500&gt;=3),"Very serious", AND(W500&gt;$D$1*-1,W500&lt;$D$1,OR(X500&lt;=$D$2*-1,Y500&gt;=$D$2),V500/U500&gt;=3),"Very serious"),"")),"")</f>
        <v/>
      </c>
      <c r="AT500" s="109" t="str">
        <f t="shared" si="9"/>
        <v/>
      </c>
      <c r="AU500" s="64"/>
      <c r="AV500" s="83"/>
      <c r="AW500" s="83"/>
      <c r="AX500" s="83"/>
      <c r="AY500" s="83"/>
      <c r="AZ500" s="83"/>
      <c r="BA500" s="85"/>
      <c r="BB500" s="86" t="str">
        <f>IF(Preferences!B$9="Manual","",IFS(ISBLANK(B500),"",AND(ISNUMBER(E500)=TRUE,ISNUMBER(T500)=FALSE),"Direct", AND(ISNUMBER(E500)=FALSE,ISNUMBER(T500)=TRUE),"Indirect", CN500=4,"Direct",AND(CL500=FALSE, CM500=TRUE,CN500-CO500&gt;-1),"Direct", AND(CL500=FALSE,CM500=TRUE, CN500-CO500&lt;0),"Check algorithm in appendix 2", AND(CL500=TRUE, CM500=FALSE,CN500-CO500&gt;0),"Check algorithm in appendix 2", AND(CL500=TRUE, CM500=FALSE,CN500-CO500=0),"Indirect", AND(CL500=TRUE, CM500=FALSE,CN500-CO500&lt;0),"Indirect", AND(CL500=FALSE,CM500=FALSE,CN500-CO500&gt;-1),"Direct", AND(CL500=FALSE,CM500=FALSE,CN500-CO500&lt;0),"Check algorithm in appendix 2", AND(CL500=TRUE,CM500=TRUE,CN500-CO500&gt;-1),"Direct", AND(CL500=TRUE,CM500=TRUE,CN500-CO500&lt;0),"Check algorithm in appendix 2"))</f>
        <v/>
      </c>
      <c r="BC500" s="120" t="str">
        <f t="shared" si="10"/>
        <v/>
      </c>
      <c r="BD500" s="140"/>
      <c r="BE500" s="122" t="str">
        <f>IF(Preferences!B$3="Manual","", IFERROR(IFS(AND(Preferences!B$3="Automatic",AX500/AW500&gt;=30),"Extremely serious",AND(AY500&lt;=$D$1*-1,BA500&lt;0,AX500/AW500&lt;3),"Not Serious",AND(AY500&lt;=$D$1*-1,BA500&lt;0,AX500/AW500&gt;=3),"Very serious",AND(AY500&gt;=$D$1,AZ500&gt;0,AX500/AW500&lt;3),"Not Serious",AND(AY500&gt;=$D$1,AZ500&gt;0,AX500/AW500&gt;=3),"Very serious",AND(AY500&lt;=$D$1*-1,BA500&gt;0,AZ500&gt;$D$2*-1,AX500/AW500&lt;3),"Serious", AND(AY500&lt;=$D$1*-1,BA500&gt;0,AZ500&lt;$D$2*-1,AX500/AW500&lt;3),"Very serious", AND(AY500&gt;=$D$1,AZ500&lt;0,BA500&lt;$D$2,AX500/AW500&lt;3),"Serious",AND(AY500&gt;=$D$1,AZ500&lt;0,BA500&gt;$D$2,AX500/AW500&lt;3),"Very serious", AND(AY500&lt;=$D$1*-1,BA500&gt;0,AZ500&gt;$D$2*-1,AX500/AW500&gt;=3),"Very serious", AND(AY500&lt;=$D$1*-1,BA500&gt;0,AZ500&lt;$D$2*-1,AX500/AW500&gt;=3),"Very serious", AND(AY500&gt;=$D$1,AZ500&lt;0,BA500&lt;$D$2,AX500/AW500&gt;=3),"Very serious", AND(AY500&gt;=$D$1,AZ500&lt;0,BA500&gt;$D$2,AX500/AW500&gt;=3),"Very serious", AND(AY500&gt;$D$1*-1,AY500&lt;$D$1,AZ500&gt;$D$1*-1,BA500&lt;$D$1,AX500/AW500&lt;3),"Not Serious", AND(AY500&gt;$D$1*-1,AY500&lt;$D$1,OR(AZ500&lt;=$D$1*-1,BA500&gt;=$D$1),AZ500&gt;$D$2*-1,BA500&lt;$D$2,AX500/AW500&lt;3),"Serious", AND(AY500&gt;$D$1*-1,AY500&lt;$D$1,OR(AZ500&lt;=$D$2*-1,BA500&gt;=$D$2),AX500/AW500&lt;3),"Very serious", AND(AY500&gt;$D$1*-1,AY500&lt;$D$1,AZ500&gt;$D$1*-1,BA500&lt;$D$1,AX500/AW500&gt;=3),"Very serious", AND(AY500&gt;$D$1*-1,AY500&lt;$D$1,OR(AZ500&lt;=$D$1*-1,BA500&gt;=$D$1),AZ500&gt;$D$2*-1,BA500&lt;$D$2,AX500/AW500&gt;=3),"Very serious", AND(AY500&gt;$D$1*-1,AY500&lt;$D$1,OR(AZ500&lt;=$D$2*-1,BA500&gt;=$D$2),AX500/AW500&gt;=3),"Very serious"),""))</f>
        <v/>
      </c>
      <c r="BF500" s="107" t="str">
        <f t="shared" si="11"/>
        <v/>
      </c>
      <c r="BG500" s="94" t="str">
        <f t="shared" si="46"/>
        <v/>
      </c>
      <c r="BH500" s="64" t="str">
        <f t="shared" si="12"/>
        <v>#N/A</v>
      </c>
      <c r="BI500" s="64" t="str">
        <f t="shared" si="13"/>
        <v/>
      </c>
      <c r="BJ500" s="123" t="str">
        <f t="shared" si="14"/>
        <v>#N/A</v>
      </c>
      <c r="BK500" s="64" t="str">
        <f t="shared" si="50"/>
        <v>YES</v>
      </c>
      <c r="BL500" s="64" t="str">
        <f t="shared" si="16"/>
        <v>YES</v>
      </c>
      <c r="BM500" s="64" t="str">
        <f t="shared" si="17"/>
        <v>YES</v>
      </c>
      <c r="BN500" s="124" t="str">
        <f t="shared" si="18"/>
        <v/>
      </c>
      <c r="BO500" s="91" t="str">
        <f t="shared" si="19"/>
        <v/>
      </c>
      <c r="BP500" s="91" t="str">
        <f t="shared" si="20"/>
        <v>#N/A</v>
      </c>
      <c r="BQ500" s="91" t="str">
        <f t="shared" si="21"/>
        <v/>
      </c>
      <c r="BR500" s="93" t="str">
        <f t="shared" si="22"/>
        <v/>
      </c>
      <c r="BS500" s="90" t="str">
        <f t="shared" si="23"/>
        <v/>
      </c>
      <c r="BT500" s="93" t="str">
        <f t="shared" si="24"/>
        <v>NA</v>
      </c>
      <c r="BU500" s="125" t="str">
        <f t="shared" si="25"/>
        <v>#N/A</v>
      </c>
      <c r="BV500" s="93" t="str">
        <f t="shared" si="26"/>
        <v/>
      </c>
      <c r="BW500" s="93" t="str">
        <f t="shared" si="27"/>
        <v/>
      </c>
      <c r="BX500" s="93" t="str">
        <f t="shared" si="28"/>
        <v>NA</v>
      </c>
      <c r="BY500" s="95" t="str">
        <f t="shared" si="29"/>
        <v>#N/A</v>
      </c>
      <c r="BZ500" s="93" t="str">
        <f t="shared" si="30"/>
        <v/>
      </c>
      <c r="CA500" s="93" t="str">
        <f t="shared" si="31"/>
        <v/>
      </c>
      <c r="CB500" s="93" t="str">
        <f t="shared" si="32"/>
        <v>NA</v>
      </c>
      <c r="CC500" s="96" t="str">
        <f t="shared" si="33"/>
        <v>#N/A</v>
      </c>
      <c r="CD500" s="93" t="str">
        <f t="shared" si="34"/>
        <v/>
      </c>
      <c r="CE500" s="93" t="str">
        <f t="shared" si="35"/>
        <v/>
      </c>
      <c r="CF500" s="93" t="str">
        <f t="shared" si="36"/>
        <v>NA</v>
      </c>
      <c r="CG500" s="97" t="str">
        <f t="shared" si="37"/>
        <v>#N/A</v>
      </c>
      <c r="CH500" s="98" t="str">
        <f t="shared" si="38"/>
        <v>#N/A</v>
      </c>
      <c r="CI500" s="99" t="str">
        <f t="shared" si="39"/>
        <v>#N/A</v>
      </c>
      <c r="CJ500" s="126" t="str">
        <f t="shared" si="40"/>
        <v>ERROR: check cell</v>
      </c>
      <c r="CK500" s="126"/>
      <c r="CL500" s="127" t="str">
        <f t="shared" si="41"/>
        <v>#DIV/0!</v>
      </c>
      <c r="CM500" s="128" t="str">
        <f t="shared" si="42"/>
        <v>#DIV/0!</v>
      </c>
      <c r="CN500" s="128">
        <f t="shared" si="43"/>
        <v>4</v>
      </c>
      <c r="CO500" s="129">
        <f t="shared" si="44"/>
        <v>4</v>
      </c>
      <c r="CP500" s="129" t="str">
        <f>IFS(C500=Preferences!B$13,B500,B500=Preferences!B$13,C500)</f>
        <v>#N/A</v>
      </c>
    </row>
  </sheetData>
  <customSheetViews>
    <customSheetView guid="{340DBBDA-8078-4DD3-AFFF-C95C7AB23CFE}" filter="1" showAutoFilter="1">
      <autoFilter ref="$A$1:$C$500">
        <filterColumn colId="1">
          <filters>
            <filter val="A"/>
            <filter val="B"/>
            <filter val="C"/>
            <filter val="D"/>
          </filters>
        </filterColumn>
        <sortState ref="A1:C500">
          <sortCondition descending="1" sortBy="cellColor" ref="B1:B500" dxfId="2"/>
        </sortState>
      </autoFilter>
    </customSheetView>
  </customSheetViews>
  <conditionalFormatting sqref="BI4:BI500">
    <cfRule type="notContainsText" dxfId="3" priority="1" operator="notContains" text="manual">
      <formula>ISERROR(SEARCH(("manual"),(BI4)))</formula>
    </cfRule>
  </conditionalFormatting>
  <conditionalFormatting sqref="AC4:AC500 AH4:AH500 AN4:AN500">
    <cfRule type="containsBlanks" dxfId="4" priority="2">
      <formula>LEN(TRIM(AC4))=0</formula>
    </cfRule>
  </conditionalFormatting>
  <conditionalFormatting sqref="AC4:AC7 AC36:AC39 AC68:AC71 AC100:AC103 AC132:AC135 AC164:AC167 AC196:AC199 AC228:AC231 AC260:AC263 AC292:AC295 AC324:AC327 AC356:AC359 AC388:AC391 AC420:AC423 AC452:AC455 AC484:AC487">
    <cfRule type="containsBlanks" dxfId="4" priority="3">
      <formula>LEN(TRIM(AC4))=0</formula>
    </cfRule>
  </conditionalFormatting>
  <conditionalFormatting sqref="AC9 AC41 AC73 AC105 AC137 AC169 AC201 AC233 AC265 AC297 AC329 AC361 AC393 AC425 AC457 AC489">
    <cfRule type="containsBlanks" dxfId="4" priority="4">
      <formula>LEN(TRIM(AC9))=0</formula>
    </cfRule>
  </conditionalFormatting>
  <conditionalFormatting sqref="AC10 AC42 AC74 AC106 AC138 AC170 AC202 AC234 AC266 AC298 AC330 AC362 AC394 AC426 AC458 AC490">
    <cfRule type="containsBlanks" dxfId="4" priority="5">
      <formula>LEN(TRIM(AC10))=0</formula>
    </cfRule>
  </conditionalFormatting>
  <conditionalFormatting sqref="AC11 AC43 AC75 AC107 AC139 AC171 AC203 AC235 AC267 AC299 AC331 AC363 AC395 AC427 AC459 AC491">
    <cfRule type="containsBlanks" dxfId="4" priority="6">
      <formula>LEN(TRIM(AC11))=0</formula>
    </cfRule>
  </conditionalFormatting>
  <conditionalFormatting sqref="AC13 AC45 AC77 AC109 AC141 AC173 AC205 AC237 AC269 AC301 AC333 AC365 AC397 AC429 AC461 AC493">
    <cfRule type="containsBlanks" dxfId="4" priority="7">
      <formula>LEN(TRIM(AC13))=0</formula>
    </cfRule>
  </conditionalFormatting>
  <conditionalFormatting sqref="AC12 AC44 AC76 AC108 AC140 AC172 AC204 AC236 AC268 AC300 AC332 AC364 AC396 AC428 AC460 AC492">
    <cfRule type="containsBlanks" dxfId="4" priority="8">
      <formula>LEN(TRIM(AC12))=0</formula>
    </cfRule>
  </conditionalFormatting>
  <conditionalFormatting sqref="AC14 AC46 AC78 AC110 AC142 AC174 AC206 AC238 AC270 AC302 AC334 AC366 AC398 AC430 AC462 AC494">
    <cfRule type="containsBlanks" dxfId="4" priority="9">
      <formula>LEN(TRIM(AC14))=0</formula>
    </cfRule>
  </conditionalFormatting>
  <conditionalFormatting sqref="AC15 AC47 AC79 AC111 AC143 AC175 AC207 AC239 AC271 AC303 AC335 AC367 AC399 AC431 AC463 AC495">
    <cfRule type="containsBlanks" dxfId="4" priority="10">
      <formula>LEN(TRIM(AC15))=0</formula>
    </cfRule>
  </conditionalFormatting>
  <conditionalFormatting sqref="AC18 AC50 AC82 AC114 AC146 AC178 AC210 AC242 AC274 AC306 AC338 AC370 AC402 AC434 AC466 AC498">
    <cfRule type="containsBlanks" dxfId="4" priority="11">
      <formula>LEN(TRIM(AC18))=0</formula>
    </cfRule>
  </conditionalFormatting>
  <conditionalFormatting sqref="AH4:AH7 AH36:AH39 AH68:AH71 AH100:AH103 AH132:AH135 AH164:AH167 AH196:AH199 AH228:AH231 AH260:AH263 AH292:AH295 AH324:AH327 AH356:AH359 AH388:AH391 AH420:AH423 AH452:AH455 AH484:AH487">
    <cfRule type="containsBlanks" dxfId="4" priority="12">
      <formula>LEN(TRIM(AH4))=0</formula>
    </cfRule>
  </conditionalFormatting>
  <conditionalFormatting sqref="AH4:AH7 AH36:AH39 AH68:AH71 AH100:AH103 AH132:AH135 AH164:AH167 AH196:AH199 AH228:AH231 AH260:AH263 AH292:AH295 AH324:AH327 AH356:AH359 AH388:AH391 AH420:AH423 AH452:AH455 AH484:AH487">
    <cfRule type="containsBlanks" dxfId="4" priority="13">
      <formula>LEN(TRIM(AH4))=0</formula>
    </cfRule>
  </conditionalFormatting>
  <conditionalFormatting sqref="AN4:AN7 AN36:AN39 AN68:AN71 AN100:AN103 AN132:AN135 AN164:AN167 AN196:AN199 AN228:AN231 AN260:AN263 AN292:AN295 AN324:AN327 AN356:AN359 AN388:AN391 AN420:AN423 AN452:AN455 AN484:AN487">
    <cfRule type="containsBlanks" dxfId="4" priority="14">
      <formula>LEN(TRIM(AN4))=0</formula>
    </cfRule>
  </conditionalFormatting>
  <conditionalFormatting sqref="AN4:AN7 AN36:AN39 AN68:AN71 AN100:AN103 AN132:AN135 AN164:AN167 AN196:AN199 AN228:AN231 AN260:AN263 AN292:AN295 AN324:AN327 AN356:AN359 AN388:AN391 AN420:AN423 AN452:AN455 AN484:AN487">
    <cfRule type="containsBlanks" dxfId="4" priority="15">
      <formula>LEN(TRIM(AN4))=0</formula>
    </cfRule>
  </conditionalFormatting>
  <conditionalFormatting sqref="AC8 AC40 AC72 AC104 AC136 AC168 AC200 AC232 AC264 AC296 AC328 AC360 AC392 AC424 AC456 AC488">
    <cfRule type="containsBlanks" dxfId="4" priority="16">
      <formula>LEN(TRIM(AC8))=0</formula>
    </cfRule>
  </conditionalFormatting>
  <conditionalFormatting sqref="AC8 AC40 AC72 AC104 AC136 AC168 AC200 AC232 AC264 AC296 AC328 AC360 AC392 AC424 AC456 AC488">
    <cfRule type="containsBlanks" dxfId="4" priority="17">
      <formula>LEN(TRIM(AC8))=0</formula>
    </cfRule>
  </conditionalFormatting>
  <conditionalFormatting sqref="AH8 AH40 AH72 AH104 AH136 AH168 AH200 AH232 AH264 AH296 AH328 AH360 AH392 AH424 AH456 AH488">
    <cfRule type="containsBlanks" dxfId="4" priority="18">
      <formula>LEN(TRIM(AH8))=0</formula>
    </cfRule>
  </conditionalFormatting>
  <conditionalFormatting sqref="AH8 AH40 AH72 AH104 AH136 AH168 AH200 AH232 AH264 AH296 AH328 AH360 AH392 AH424 AH456 AH488">
    <cfRule type="containsBlanks" dxfId="4" priority="19">
      <formula>LEN(TRIM(AH8))=0</formula>
    </cfRule>
  </conditionalFormatting>
  <conditionalFormatting sqref="AN8 AN40 AN72 AN104 AN136 AN168 AN200 AN232 AN264 AN296 AN328 AN360 AN392 AN424 AN456 AN488">
    <cfRule type="containsBlanks" dxfId="4" priority="20">
      <formula>LEN(TRIM(AN8))=0</formula>
    </cfRule>
  </conditionalFormatting>
  <conditionalFormatting sqref="AN8 AN40 AN72 AN104 AN136 AN168 AN200 AN232 AN264 AN296 AN328 AN360 AN392 AN424 AN456 AN488">
    <cfRule type="containsBlanks" dxfId="4" priority="21">
      <formula>LEN(TRIM(AN8))=0</formula>
    </cfRule>
  </conditionalFormatting>
  <conditionalFormatting sqref="L4:L500">
    <cfRule type="expression" dxfId="5" priority="22">
      <formula>OR(#REF!="NEW",#REF!="UPDATED")</formula>
    </cfRule>
  </conditionalFormatting>
  <conditionalFormatting sqref="M4:M500 N5:O13 N28:O28 N43:O43 N51:O51 N74:O74 N81:O81 N97:O97 N119:O120 N143:O143 N157:O157 N160:O160 N166:O166 N176:O176 N189:O190 N195:O195 N212:O212 N223:O223 N233:O233 N235:O235 N258:O258 N271:O271 N281:O281 N304:O304 N309:O309 N319:O320 N327:O328 Q328 N347:O347 N349:O350 N357:O357 N373:O373 N385:O385 N396:O396 N419:O419 N423:O423 N442:O442 N461:O461 N465:O465 N488:O488 N499:O499">
    <cfRule type="expression" dxfId="5" priority="23">
      <formula>OR(#REF!="NEW",#REF!="UPDATED")</formula>
    </cfRule>
  </conditionalFormatting>
  <conditionalFormatting sqref="N4:N500">
    <cfRule type="expression" dxfId="5" priority="24">
      <formula>OR(#REF!="NEW",#REF!="UPDATED")</formula>
    </cfRule>
  </conditionalFormatting>
  <conditionalFormatting sqref="O4:O500">
    <cfRule type="expression" dxfId="5" priority="25">
      <formula>OR(#REF!="NEW",#REF!="UPDATED")</formula>
    </cfRule>
  </conditionalFormatting>
  <conditionalFormatting sqref="BF3:BF500 P4:P500 CJ4:CP500">
    <cfRule type="expression" dxfId="5" priority="26">
      <formula>OR(BB:BB="NEW",BB:BB="UPDATED")</formula>
    </cfRule>
  </conditionalFormatting>
  <conditionalFormatting sqref="Q4:Q500">
    <cfRule type="expression" dxfId="5" priority="27">
      <formula>OR(#REF!="NEW",#REF!="UPDATED")</formula>
    </cfRule>
  </conditionalFormatting>
  <conditionalFormatting sqref="BH3:BJ500 BK4:BK40 BL4:BM500 BK42:BK500">
    <cfRule type="cellIs" dxfId="6" priority="28" operator="equal">
      <formula>"YES"</formula>
    </cfRule>
  </conditionalFormatting>
  <dataValidations>
    <dataValidation type="list" allowBlank="1" sqref="BB4:BB500">
      <formula1>"Direct,Indirect"</formula1>
    </dataValidation>
    <dataValidation type="list" allowBlank="1" showErrorMessage="1" sqref="L4:O500 AQ4:AQ500 BD4:BD500">
      <formula1>"Not serious,Serious,Very serious"</formula1>
    </dataValidation>
    <dataValidation type="list" allowBlank="1" sqref="AG4:AG500">
      <formula1>'Primary - GRADING'!$B$4:$B500</formula1>
    </dataValidation>
    <dataValidation type="list" allowBlank="1" sqref="AS4:AS500 BE4:BE500">
      <formula1>"Not Serious,Serious,Very serious,Extremely serious"</formula1>
    </dataValidation>
    <dataValidation type="list" allowBlank="1" sqref="AB4:AB500">
      <formula1>'Primary - GRADING'!$B$4:$C500</formula1>
    </dataValidation>
    <dataValidation type="list" allowBlank="1" sqref="Q4:Q500">
      <formula1>"Not serious,Serious,Very serious,Extremely serious"</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4.44"/>
    <col customWidth="1" min="2" max="2" width="20.0"/>
    <col customWidth="1" min="3" max="3" width="7.89"/>
    <col customWidth="1" min="4" max="4" width="20.33"/>
    <col customWidth="1" min="5" max="5" width="19.22"/>
    <col customWidth="1" min="6" max="6" width="7.78"/>
    <col customWidth="1" min="7" max="7" width="18.11"/>
    <col customWidth="1" min="8" max="8" width="18.89"/>
    <col customWidth="1" min="9" max="9" width="8.0"/>
    <col customWidth="1" min="10" max="10" width="18.11"/>
    <col customWidth="1" min="11" max="11" width="17.11"/>
    <col customWidth="1" min="12" max="12" width="9.56"/>
    <col customWidth="1" min="13" max="13" width="28.0"/>
    <col customWidth="1" min="14" max="14" width="16.67"/>
    <col customWidth="1" min="15" max="15" width="8.67"/>
  </cols>
  <sheetData>
    <row r="1">
      <c r="A1" s="149" t="s">
        <v>108</v>
      </c>
      <c r="C1" s="150"/>
      <c r="D1" s="151" t="s">
        <v>109</v>
      </c>
      <c r="F1" s="150"/>
      <c r="G1" s="151" t="s">
        <v>110</v>
      </c>
      <c r="J1" s="149" t="s">
        <v>111</v>
      </c>
      <c r="L1" s="150"/>
      <c r="M1" s="151" t="s">
        <v>112</v>
      </c>
      <c r="O1" s="150"/>
    </row>
    <row r="2">
      <c r="A2" s="152" t="str">
        <f t="array" ref="A2:A996">IFERROR(SORT('AT class'!BD3:$BD1000,'AT class'!BE3:BE1000,1),"None")</f>
        <v>None</v>
      </c>
      <c r="B2" s="153" t="str">
        <f>IFERROR(VLOOKUP(A2,'AT class'!$A$3:$G1000,7,),"")</f>
        <v/>
      </c>
      <c r="C2" s="154" t="str">
        <f>IFERROR(VLOOKUP(A2,'AT class'!$A$3:$C1000,3,),"")</f>
        <v/>
      </c>
      <c r="D2" s="152" t="str">
        <f t="array" ref="D2:D996">IFERROR(SORT('AT class'!$BF3:BF1000,'AT class'!BG3:BG1000,1),"None")</f>
        <v>B</v>
      </c>
      <c r="E2" s="153" t="str">
        <f>IFERROR(VLOOKUP(D2,'AT class'!$A$3:$G1000,7,),"")</f>
        <v>-15.53 (-21.72 to -7.23)</v>
      </c>
      <c r="F2" s="154" t="str">
        <f>IFERROR(VLOOKUP(D2,'AT class'!$A$3:$C1000,3,),"")</f>
        <v>LOW</v>
      </c>
      <c r="G2" s="152" t="str">
        <f t="array" ref="G2:G996">IFERROR(SORT('AT class'!$BH3:BH1000,'AT class'!BI3:BI1000,1),"None")</f>
        <v>A</v>
      </c>
      <c r="H2" s="153" t="str">
        <f>IFERROR(VLOOKUP(G2,'AT class'!$A$3:$G1000,7,),"")</f>
        <v>54.59 (-29.15 to 712)</v>
      </c>
      <c r="I2" s="154" t="str">
        <f>IFERROR(VLOOKUP(G2,'AT class'!$A$3:$C1000,3,),"")</f>
        <v>VERY LOW</v>
      </c>
      <c r="J2" s="152" t="str">
        <f t="array" ref="J2:J996">IFERROR(SORT('AT class'!$BJ3:BJ1000,'AT class'!BK3:BK1000,1),"None")</f>
        <v>None</v>
      </c>
      <c r="K2" s="153" t="str">
        <f>IFERROR(VLOOKUP(J2,'AT class'!$A$3:$G1000,7,),"")</f>
        <v/>
      </c>
      <c r="L2" s="154" t="str">
        <f>IFERROR(VLOOKUP(J2,'AT class'!$A$3:$C1000,3,),"")</f>
        <v/>
      </c>
      <c r="M2" s="152" t="str">
        <f t="array" ref="M2:M996">IFERROR(SORT('AT class'!$BL3:BL1000,'AT class'!BM3:BM1000,1),"None")</f>
        <v>None</v>
      </c>
      <c r="N2" s="153" t="str">
        <f>IFERROR(VLOOKUP(M2,'AT class'!$A$3:$G1000,7,),"")</f>
        <v/>
      </c>
      <c r="O2" s="154" t="str">
        <f>IFERROR(VLOOKUP(M2,'AT class'!$A$3:$C1000,3,),"")</f>
        <v/>
      </c>
    </row>
    <row r="3">
      <c r="A3" s="152"/>
      <c r="B3" s="153" t="str">
        <f>IFERROR(VLOOKUP(A3,'AT class'!$A$3:$G1000,7,),"")</f>
        <v/>
      </c>
      <c r="C3" s="154" t="str">
        <f>IFERROR(VLOOKUP(A3,'AT class'!$A$3:$C1000,3,),"")</f>
        <v/>
      </c>
      <c r="D3" s="153"/>
      <c r="E3" s="153" t="str">
        <f>IFERROR(VLOOKUP(D3,'AT class'!$A$3:$G1000,7,),"")</f>
        <v/>
      </c>
      <c r="F3" s="154" t="str">
        <f>IFERROR(VLOOKUP(D3,'AT class'!$A$3:$C1000,3,),"")</f>
        <v/>
      </c>
      <c r="G3" s="153" t="s">
        <v>104</v>
      </c>
      <c r="H3" s="153" t="str">
        <f>IFERROR(VLOOKUP(G3,'AT class'!$A$3:$G1000,7,),"")</f>
        <v>18.54 (-9.83 to 67.39)</v>
      </c>
      <c r="I3" s="154" t="str">
        <f>IFERROR(VLOOKUP(G3,'AT class'!$A$3:$C1000,3,),"")</f>
        <v>VERY LOW</v>
      </c>
      <c r="J3" s="153"/>
      <c r="K3" s="153" t="str">
        <f>IFERROR(VLOOKUP(J3,'AT class'!$A$3:$G1000,7,),"")</f>
        <v/>
      </c>
      <c r="L3" s="154" t="str">
        <f>IFERROR(VLOOKUP(J3,'AT class'!$A$3:$C1000,3,),"")</f>
        <v/>
      </c>
      <c r="M3" s="153"/>
      <c r="N3" s="153" t="str">
        <f>IFERROR(VLOOKUP(M3,'AT class'!$A$3:$G1000,7,),"")</f>
        <v/>
      </c>
      <c r="O3" s="154" t="str">
        <f>IFERROR(VLOOKUP(M3,'AT class'!$A$3:$C1000,3,),"")</f>
        <v/>
      </c>
    </row>
    <row r="4">
      <c r="A4" s="152"/>
      <c r="B4" s="153" t="str">
        <f>IFERROR(VLOOKUP(A4,'AT class'!$A$3:$G1000,7,),"")</f>
        <v/>
      </c>
      <c r="C4" s="154" t="str">
        <f>IFERROR(VLOOKUP(A4,'AT class'!$A$3:$C1000,3,),"")</f>
        <v/>
      </c>
      <c r="D4" s="153"/>
      <c r="E4" s="153" t="str">
        <f>IFERROR(VLOOKUP(D4,'AT class'!$A$3:$G1000,7,),"")</f>
        <v/>
      </c>
      <c r="F4" s="154" t="str">
        <f>IFERROR(VLOOKUP(D4,'AT class'!$A$3:$C1000,3,),"")</f>
        <v/>
      </c>
      <c r="G4" s="153" t="s">
        <v>105</v>
      </c>
      <c r="H4" s="153" t="str">
        <f>IFERROR(VLOOKUP(G4,'AT class'!$A$3:$G1000,7,),"")</f>
        <v>0.41 (-28.9 to 220.88)</v>
      </c>
      <c r="I4" s="154" t="str">
        <f>IFERROR(VLOOKUP(G4,'AT class'!$A$3:$C1000,3,),"")</f>
        <v>VERY LOW</v>
      </c>
      <c r="J4" s="153"/>
      <c r="K4" s="153" t="str">
        <f>IFERROR(VLOOKUP(J4,'AT class'!$A$3:$G1000,7,),"")</f>
        <v/>
      </c>
      <c r="L4" s="154" t="str">
        <f>IFERROR(VLOOKUP(J4,'AT class'!$A$3:$C1000,3,),"")</f>
        <v/>
      </c>
      <c r="M4" s="153"/>
      <c r="N4" s="153" t="str">
        <f>IFERROR(VLOOKUP(M4,'AT class'!$A$3:$G1000,7,),"")</f>
        <v/>
      </c>
      <c r="O4" s="154" t="str">
        <f>IFERROR(VLOOKUP(M4,'AT class'!$A$3:$C1000,3,),"")</f>
        <v/>
      </c>
    </row>
    <row r="5">
      <c r="A5" s="152"/>
      <c r="B5" s="153" t="str">
        <f>IFERROR(VLOOKUP(A5,'AT class'!$A$3:$G1000,7,),"")</f>
        <v/>
      </c>
      <c r="C5" s="154" t="str">
        <f>IFERROR(VLOOKUP(A5,'AT class'!$A$3:$C1000,3,),"")</f>
        <v/>
      </c>
      <c r="D5" s="153"/>
      <c r="E5" s="153" t="str">
        <f>IFERROR(VLOOKUP(D5,'AT class'!$A$3:$G1000,7,),"")</f>
        <v/>
      </c>
      <c r="F5" s="154" t="str">
        <f>IFERROR(VLOOKUP(D5,'AT class'!$A$3:$C1000,3,),"")</f>
        <v/>
      </c>
      <c r="G5" s="153"/>
      <c r="H5" s="153" t="str">
        <f>IFERROR(VLOOKUP(G5,'AT class'!$A$3:$G1000,7,),"")</f>
        <v/>
      </c>
      <c r="I5" s="154" t="str">
        <f>IFERROR(VLOOKUP(G5,'AT class'!$A$3:$C1000,3,),"")</f>
        <v/>
      </c>
      <c r="J5" s="153"/>
      <c r="K5" s="153" t="str">
        <f>IFERROR(VLOOKUP(J5,'AT class'!$A$3:$G1000,7,),"")</f>
        <v/>
      </c>
      <c r="L5" s="154" t="str">
        <f>IFERROR(VLOOKUP(J5,'AT class'!$A$3:$C1000,3,),"")</f>
        <v/>
      </c>
      <c r="M5" s="153"/>
      <c r="N5" s="153" t="str">
        <f>IFERROR(VLOOKUP(M5,'AT class'!$A$3:$G1000,7,),"")</f>
        <v/>
      </c>
      <c r="O5" s="154" t="str">
        <f>IFERROR(VLOOKUP(M5,'AT class'!$A$3:$C1000,3,),"")</f>
        <v/>
      </c>
    </row>
    <row r="6">
      <c r="A6" s="152"/>
      <c r="B6" s="153" t="str">
        <f>IFERROR(VLOOKUP(A6,'AT class'!$A$3:$G1000,7,),"")</f>
        <v/>
      </c>
      <c r="C6" s="154" t="str">
        <f>IFERROR(VLOOKUP(A6,'AT class'!$A$3:$C1000,3,),"")</f>
        <v/>
      </c>
      <c r="D6" s="153"/>
      <c r="E6" s="153" t="str">
        <f>IFERROR(VLOOKUP(D6,'AT class'!$A$3:$G1000,7,),"")</f>
        <v/>
      </c>
      <c r="F6" s="154" t="str">
        <f>IFERROR(VLOOKUP(D6,'AT class'!$A$3:$C1000,3,),"")</f>
        <v/>
      </c>
      <c r="G6" s="153"/>
      <c r="H6" s="153" t="str">
        <f>IFERROR(VLOOKUP(G6,'AT class'!$A$3:$G1000,7,),"")</f>
        <v/>
      </c>
      <c r="I6" s="154" t="str">
        <f>IFERROR(VLOOKUP(G6,'AT class'!$A$3:$C1000,3,),"")</f>
        <v/>
      </c>
      <c r="J6" s="153"/>
      <c r="K6" s="153" t="str">
        <f>IFERROR(VLOOKUP(J6,'AT class'!$A$3:$G1000,7,),"")</f>
        <v/>
      </c>
      <c r="L6" s="154" t="str">
        <f>IFERROR(VLOOKUP(J6,'AT class'!$A$3:$C1000,3,),"")</f>
        <v/>
      </c>
      <c r="M6" s="153"/>
      <c r="N6" s="153" t="str">
        <f>IFERROR(VLOOKUP(M6,'AT class'!$A$3:$G1000,7,),"")</f>
        <v/>
      </c>
      <c r="O6" s="154" t="str">
        <f>IFERROR(VLOOKUP(M6,'AT class'!$A$3:$C1000,3,),"")</f>
        <v/>
      </c>
    </row>
    <row r="7">
      <c r="A7" s="152"/>
      <c r="B7" s="153" t="str">
        <f>IFERROR(VLOOKUP(A7,'AT class'!$A$3:$G1000,7,),"")</f>
        <v/>
      </c>
      <c r="C7" s="154" t="str">
        <f>IFERROR(VLOOKUP(A7,'AT class'!$A$3:$C1000,3,),"")</f>
        <v/>
      </c>
      <c r="D7" s="153"/>
      <c r="E7" s="153" t="str">
        <f>IFERROR(VLOOKUP(D7,'AT class'!$A$3:$G1000,7,),"")</f>
        <v/>
      </c>
      <c r="F7" s="154" t="str">
        <f>IFERROR(VLOOKUP(D7,'AT class'!$A$3:$C1000,3,),"")</f>
        <v/>
      </c>
      <c r="G7" s="153"/>
      <c r="H7" s="153" t="str">
        <f>IFERROR(VLOOKUP(G7,'AT class'!$A$3:$G1000,7,),"")</f>
        <v/>
      </c>
      <c r="I7" s="154" t="str">
        <f>IFERROR(VLOOKUP(G7,'AT class'!$A$3:$C1000,3,),"")</f>
        <v/>
      </c>
      <c r="J7" s="153"/>
      <c r="K7" s="153" t="str">
        <f>IFERROR(VLOOKUP(J7,'AT class'!$A$3:$G1000,7,),"")</f>
        <v/>
      </c>
      <c r="L7" s="154" t="str">
        <f>IFERROR(VLOOKUP(J7,'AT class'!$A$3:$C1000,3,),"")</f>
        <v/>
      </c>
      <c r="M7" s="153"/>
      <c r="N7" s="153" t="str">
        <f>IFERROR(VLOOKUP(M7,'AT class'!$A$3:$G1000,7,),"")</f>
        <v/>
      </c>
      <c r="O7" s="154" t="str">
        <f>IFERROR(VLOOKUP(M7,'AT class'!$A$3:$C1000,3,),"")</f>
        <v/>
      </c>
    </row>
    <row r="8">
      <c r="A8" s="152"/>
      <c r="B8" s="153" t="str">
        <f>IFERROR(VLOOKUP(A8,'AT class'!$A$3:$G1000,7,),"")</f>
        <v/>
      </c>
      <c r="C8" s="154" t="str">
        <f>IFERROR(VLOOKUP(A8,'AT class'!$A$3:$C1000,3,),"")</f>
        <v/>
      </c>
      <c r="D8" s="153"/>
      <c r="E8" s="153" t="str">
        <f>IFERROR(VLOOKUP(D8,'AT class'!$A$3:$G1000,7,),"")</f>
        <v/>
      </c>
      <c r="F8" s="154" t="str">
        <f>IFERROR(VLOOKUP(D8,'AT class'!$A$3:$C1000,3,),"")</f>
        <v/>
      </c>
      <c r="G8" s="153"/>
      <c r="H8" s="153" t="str">
        <f>IFERROR(VLOOKUP(G8,'AT class'!$A$3:$G1000,7,),"")</f>
        <v/>
      </c>
      <c r="I8" s="154" t="str">
        <f>IFERROR(VLOOKUP(G8,'AT class'!$A$3:$C1000,3,),"")</f>
        <v/>
      </c>
      <c r="J8" s="153"/>
      <c r="K8" s="153" t="str">
        <f>IFERROR(VLOOKUP(J8,'AT class'!$A$3:$G1000,7,),"")</f>
        <v/>
      </c>
      <c r="L8" s="154" t="str">
        <f>IFERROR(VLOOKUP(J8,'AT class'!$A$3:$C1000,3,),"")</f>
        <v/>
      </c>
      <c r="M8" s="153"/>
      <c r="N8" s="153" t="str">
        <f>IFERROR(VLOOKUP(M8,'AT class'!$A$3:$G1000,7,),"")</f>
        <v/>
      </c>
      <c r="O8" s="154" t="str">
        <f>IFERROR(VLOOKUP(M8,'AT class'!$A$3:$C1000,3,),"")</f>
        <v/>
      </c>
    </row>
    <row r="9">
      <c r="A9" s="152"/>
      <c r="B9" s="153" t="str">
        <f>IFERROR(VLOOKUP(A9,'AT class'!$A$3:$G1000,7,),"")</f>
        <v/>
      </c>
      <c r="C9" s="154" t="str">
        <f>IFERROR(VLOOKUP(A9,'AT class'!$A$3:$C1000,3,),"")</f>
        <v/>
      </c>
      <c r="D9" s="153"/>
      <c r="E9" s="153" t="str">
        <f>IFERROR(VLOOKUP(D9,'AT class'!$A$3:$G1000,7,),"")</f>
        <v/>
      </c>
      <c r="F9" s="154" t="str">
        <f>IFERROR(VLOOKUP(D9,'AT class'!$A$3:$C1000,3,),"")</f>
        <v/>
      </c>
      <c r="G9" s="153"/>
      <c r="H9" s="153" t="str">
        <f>IFERROR(VLOOKUP(G9,'AT class'!$A$3:$G1000,7,),"")</f>
        <v/>
      </c>
      <c r="I9" s="154" t="str">
        <f>IFERROR(VLOOKUP(G9,'AT class'!$A$3:$C1000,3,),"")</f>
        <v/>
      </c>
      <c r="J9" s="153"/>
      <c r="K9" s="153" t="str">
        <f>IFERROR(VLOOKUP(J9,'AT class'!$A$3:$G1000,7,),"")</f>
        <v/>
      </c>
      <c r="L9" s="154" t="str">
        <f>IFERROR(VLOOKUP(J9,'AT class'!$A$3:$C1000,3,),"")</f>
        <v/>
      </c>
      <c r="M9" s="153"/>
      <c r="N9" s="153" t="str">
        <f>IFERROR(VLOOKUP(M9,'AT class'!$A$3:$G1000,7,),"")</f>
        <v/>
      </c>
      <c r="O9" s="154" t="str">
        <f>IFERROR(VLOOKUP(M9,'AT class'!$A$3:$C1000,3,),"")</f>
        <v/>
      </c>
    </row>
    <row r="10">
      <c r="A10" s="152"/>
      <c r="B10" s="153" t="str">
        <f>IFERROR(VLOOKUP(A10,'AT class'!$A$3:$G1000,7,),"")</f>
        <v/>
      </c>
      <c r="C10" s="154" t="str">
        <f>IFERROR(VLOOKUP(A10,'AT class'!$A$3:$C1000,3,),"")</f>
        <v/>
      </c>
      <c r="D10" s="153"/>
      <c r="E10" s="153" t="str">
        <f>IFERROR(VLOOKUP(D10,'AT class'!$A$3:$G1000,7,),"")</f>
        <v/>
      </c>
      <c r="F10" s="154" t="str">
        <f>IFERROR(VLOOKUP(D10,'AT class'!$A$3:$C1000,3,),"")</f>
        <v/>
      </c>
      <c r="G10" s="153"/>
      <c r="H10" s="153" t="str">
        <f>IFERROR(VLOOKUP(G10,'AT class'!$A$3:$G1000,7,),"")</f>
        <v/>
      </c>
      <c r="I10" s="154" t="str">
        <f>IFERROR(VLOOKUP(G10,'AT class'!$A$3:$C1000,3,),"")</f>
        <v/>
      </c>
      <c r="J10" s="153"/>
      <c r="K10" s="153" t="str">
        <f>IFERROR(VLOOKUP(J10,'AT class'!$A$3:$G1000,7,),"")</f>
        <v/>
      </c>
      <c r="L10" s="154" t="str">
        <f>IFERROR(VLOOKUP(J10,'AT class'!$A$3:$C1000,3,),"")</f>
        <v/>
      </c>
      <c r="M10" s="153"/>
      <c r="N10" s="153" t="str">
        <f>IFERROR(VLOOKUP(M10,'AT class'!$A$3:$G1000,7,),"")</f>
        <v/>
      </c>
      <c r="O10" s="154" t="str">
        <f>IFERROR(VLOOKUP(M10,'AT class'!$A$3:$C1000,3,),"")</f>
        <v/>
      </c>
    </row>
    <row r="11">
      <c r="A11" s="152"/>
      <c r="B11" s="153" t="str">
        <f>IFERROR(VLOOKUP(A11,'AT class'!$A$3:$G1000,7,),"")</f>
        <v/>
      </c>
      <c r="C11" s="154" t="str">
        <f>IFERROR(VLOOKUP(A11,'AT class'!$A$3:$C1000,3,),"")</f>
        <v/>
      </c>
      <c r="D11" s="153"/>
      <c r="E11" s="153" t="str">
        <f>IFERROR(VLOOKUP(D11,'AT class'!$A$3:$G1000,7,),"")</f>
        <v/>
      </c>
      <c r="F11" s="154" t="str">
        <f>IFERROR(VLOOKUP(D11,'AT class'!$A$3:$C1000,3,),"")</f>
        <v/>
      </c>
      <c r="G11" s="153"/>
      <c r="H11" s="153" t="str">
        <f>IFERROR(VLOOKUP(G11,'AT class'!$A$3:$G1000,7,),"")</f>
        <v/>
      </c>
      <c r="I11" s="154" t="str">
        <f>IFERROR(VLOOKUP(G11,'AT class'!$A$3:$C1000,3,),"")</f>
        <v/>
      </c>
      <c r="J11" s="153"/>
      <c r="K11" s="153" t="str">
        <f>IFERROR(VLOOKUP(J11,'AT class'!$A$3:$G1000,7,),"")</f>
        <v/>
      </c>
      <c r="L11" s="154" t="str">
        <f>IFERROR(VLOOKUP(J11,'AT class'!$A$3:$C1000,3,),"")</f>
        <v/>
      </c>
      <c r="M11" s="153"/>
      <c r="N11" s="153" t="str">
        <f>IFERROR(VLOOKUP(M11,'AT class'!$A$3:$G1000,7,),"")</f>
        <v/>
      </c>
      <c r="O11" s="154" t="str">
        <f>IFERROR(VLOOKUP(M11,'AT class'!$A$3:$C1000,3,),"")</f>
        <v/>
      </c>
    </row>
    <row r="12">
      <c r="A12" s="152"/>
      <c r="B12" s="153" t="str">
        <f>IFERROR(VLOOKUP(A12,'AT class'!$A$3:$G1000,7,),"")</f>
        <v/>
      </c>
      <c r="C12" s="154" t="str">
        <f>IFERROR(VLOOKUP(A12,'AT class'!$A$3:$C1000,3,),"")</f>
        <v/>
      </c>
      <c r="D12" s="153"/>
      <c r="E12" s="153" t="str">
        <f>IFERROR(VLOOKUP(D12,'AT class'!$A$3:$G1000,7,),"")</f>
        <v/>
      </c>
      <c r="F12" s="154" t="str">
        <f>IFERROR(VLOOKUP(D12,'AT class'!$A$3:$C1000,3,),"")</f>
        <v/>
      </c>
      <c r="G12" s="153"/>
      <c r="H12" s="153" t="str">
        <f>IFERROR(VLOOKUP(G12,'AT class'!$A$3:$G1000,7,),"")</f>
        <v/>
      </c>
      <c r="I12" s="154" t="str">
        <f>IFERROR(VLOOKUP(G12,'AT class'!$A$3:$C1000,3,),"")</f>
        <v/>
      </c>
      <c r="J12" s="153"/>
      <c r="K12" s="153" t="str">
        <f>IFERROR(VLOOKUP(J12,'AT class'!$A$3:$G1000,7,),"")</f>
        <v/>
      </c>
      <c r="L12" s="154" t="str">
        <f>IFERROR(VLOOKUP(J12,'AT class'!$A$3:$C1000,3,),"")</f>
        <v/>
      </c>
      <c r="M12" s="153"/>
      <c r="N12" s="153" t="str">
        <f>IFERROR(VLOOKUP(M12,'AT class'!$A$3:$G1000,7,),"")</f>
        <v/>
      </c>
      <c r="O12" s="154" t="str">
        <f>IFERROR(VLOOKUP(M12,'AT class'!$A$3:$C1000,3,),"")</f>
        <v/>
      </c>
    </row>
    <row r="13">
      <c r="A13" s="152"/>
      <c r="B13" s="153" t="str">
        <f>IFERROR(VLOOKUP(A13,'AT class'!$A$3:$G1000,7,),"")</f>
        <v/>
      </c>
      <c r="C13" s="154" t="str">
        <f>IFERROR(VLOOKUP(A13,'AT class'!$A$3:$C1000,3,),"")</f>
        <v/>
      </c>
      <c r="D13" s="153"/>
      <c r="E13" s="153" t="str">
        <f>IFERROR(VLOOKUP(D13,'AT class'!$A$3:$G1000,7,),"")</f>
        <v/>
      </c>
      <c r="F13" s="154" t="str">
        <f>IFERROR(VLOOKUP(D13,'AT class'!$A$3:$C1000,3,),"")</f>
        <v/>
      </c>
      <c r="G13" s="153"/>
      <c r="H13" s="153" t="str">
        <f>IFERROR(VLOOKUP(G13,'AT class'!$A$3:$G1000,7,),"")</f>
        <v/>
      </c>
      <c r="I13" s="154" t="str">
        <f>IFERROR(VLOOKUP(G13,'AT class'!$A$3:$C1000,3,),"")</f>
        <v/>
      </c>
      <c r="J13" s="153"/>
      <c r="K13" s="153" t="str">
        <f>IFERROR(VLOOKUP(J13,'AT class'!$A$3:$G1000,7,),"")</f>
        <v/>
      </c>
      <c r="L13" s="154" t="str">
        <f>IFERROR(VLOOKUP(J13,'AT class'!$A$3:$C1000,3,),"")</f>
        <v/>
      </c>
      <c r="M13" s="153"/>
      <c r="N13" s="153" t="str">
        <f>IFERROR(VLOOKUP(M13,'AT class'!$A$3:$G1000,7,),"")</f>
        <v/>
      </c>
      <c r="O13" s="154" t="str">
        <f>IFERROR(VLOOKUP(M13,'AT class'!$A$3:$C1000,3,),"")</f>
        <v/>
      </c>
    </row>
    <row r="14">
      <c r="A14" s="152"/>
      <c r="B14" s="153" t="str">
        <f>IFERROR(VLOOKUP(A14,'AT class'!$A$3:$G1000,7,),"")</f>
        <v/>
      </c>
      <c r="C14" s="154" t="str">
        <f>IFERROR(VLOOKUP(A14,'AT class'!$A$3:$C1000,3,),"")</f>
        <v/>
      </c>
      <c r="D14" s="153"/>
      <c r="E14" s="153" t="str">
        <f>IFERROR(VLOOKUP(D14,'AT class'!$A$3:$G1000,7,),"")</f>
        <v/>
      </c>
      <c r="F14" s="154" t="str">
        <f>IFERROR(VLOOKUP(D14,'AT class'!$A$3:$C1000,3,),"")</f>
        <v/>
      </c>
      <c r="G14" s="153"/>
      <c r="H14" s="153" t="str">
        <f>IFERROR(VLOOKUP(G14,'AT class'!$A$3:$G1000,7,),"")</f>
        <v/>
      </c>
      <c r="I14" s="154" t="str">
        <f>IFERROR(VLOOKUP(G14,'AT class'!$A$3:$C1000,3,),"")</f>
        <v/>
      </c>
      <c r="J14" s="153"/>
      <c r="K14" s="153" t="str">
        <f>IFERROR(VLOOKUP(J14,'AT class'!$A$3:$G1000,7,),"")</f>
        <v/>
      </c>
      <c r="L14" s="154" t="str">
        <f>IFERROR(VLOOKUP(J14,'AT class'!$A$3:$C1000,3,),"")</f>
        <v/>
      </c>
      <c r="M14" s="153"/>
      <c r="N14" s="153" t="str">
        <f>IFERROR(VLOOKUP(M14,'AT class'!$A$3:$G1000,7,),"")</f>
        <v/>
      </c>
      <c r="O14" s="154" t="str">
        <f>IFERROR(VLOOKUP(M14,'AT class'!$A$3:$C1000,3,),"")</f>
        <v/>
      </c>
    </row>
    <row r="15">
      <c r="A15" s="152"/>
      <c r="B15" s="153" t="str">
        <f>IFERROR(VLOOKUP(A15,'AT class'!$A$3:$G1000,7,),"")</f>
        <v/>
      </c>
      <c r="C15" s="154" t="str">
        <f>IFERROR(VLOOKUP(A15,'AT class'!$A$3:$C1000,3,),"")</f>
        <v/>
      </c>
      <c r="D15" s="153"/>
      <c r="E15" s="153" t="str">
        <f>IFERROR(VLOOKUP(D15,'AT class'!$A$3:$G1000,7,),"")</f>
        <v/>
      </c>
      <c r="F15" s="154" t="str">
        <f>IFERROR(VLOOKUP(D15,'AT class'!$A$3:$C1000,3,),"")</f>
        <v/>
      </c>
      <c r="G15" s="153"/>
      <c r="H15" s="153" t="str">
        <f>IFERROR(VLOOKUP(G15,'AT class'!$A$3:$G1000,7,),"")</f>
        <v/>
      </c>
      <c r="I15" s="154" t="str">
        <f>IFERROR(VLOOKUP(G15,'AT class'!$A$3:$C1000,3,),"")</f>
        <v/>
      </c>
      <c r="J15" s="153"/>
      <c r="K15" s="153" t="str">
        <f>IFERROR(VLOOKUP(J15,'AT class'!$A$3:$G1000,7,),"")</f>
        <v/>
      </c>
      <c r="L15" s="154" t="str">
        <f>IFERROR(VLOOKUP(J15,'AT class'!$A$3:$C1000,3,),"")</f>
        <v/>
      </c>
      <c r="M15" s="153"/>
      <c r="N15" s="153" t="str">
        <f>IFERROR(VLOOKUP(M15,'AT class'!$A$3:$G1000,7,),"")</f>
        <v/>
      </c>
      <c r="O15" s="154" t="str">
        <f>IFERROR(VLOOKUP(M15,'AT class'!$A$3:$C1000,3,),"")</f>
        <v/>
      </c>
    </row>
    <row r="16">
      <c r="A16" s="152"/>
      <c r="B16" s="153" t="str">
        <f>IFERROR(VLOOKUP(A16,'AT class'!$A$3:$G1000,7,),"")</f>
        <v/>
      </c>
      <c r="C16" s="154" t="str">
        <f>IFERROR(VLOOKUP(A16,'AT class'!$A$3:$C1000,3,),"")</f>
        <v/>
      </c>
      <c r="D16" s="153"/>
      <c r="E16" s="153" t="str">
        <f>IFERROR(VLOOKUP(D16,'AT class'!$A$3:$G1000,7,),"")</f>
        <v/>
      </c>
      <c r="F16" s="154" t="str">
        <f>IFERROR(VLOOKUP(D16,'AT class'!$A$3:$C1000,3,),"")</f>
        <v/>
      </c>
      <c r="G16" s="153"/>
      <c r="H16" s="153" t="str">
        <f>IFERROR(VLOOKUP(G16,'AT class'!$A$3:$G1000,7,),"")</f>
        <v/>
      </c>
      <c r="I16" s="154" t="str">
        <f>IFERROR(VLOOKUP(G16,'AT class'!$A$3:$C1000,3,),"")</f>
        <v/>
      </c>
      <c r="J16" s="153"/>
      <c r="K16" s="153" t="str">
        <f>IFERROR(VLOOKUP(J16,'AT class'!$A$3:$G1000,7,),"")</f>
        <v/>
      </c>
      <c r="L16" s="154" t="str">
        <f>IFERROR(VLOOKUP(J16,'AT class'!$A$3:$C1000,3,),"")</f>
        <v/>
      </c>
      <c r="M16" s="153"/>
      <c r="N16" s="153" t="str">
        <f>IFERROR(VLOOKUP(M16,'AT class'!$A$3:$G1000,7,),"")</f>
        <v/>
      </c>
      <c r="O16" s="154" t="str">
        <f>IFERROR(VLOOKUP(M16,'AT class'!$A$3:$C1000,3,),"")</f>
        <v/>
      </c>
    </row>
    <row r="17">
      <c r="A17" s="152"/>
      <c r="B17" s="153" t="str">
        <f>IFERROR(VLOOKUP(A17,'AT class'!$A$3:$G1000,7,),"")</f>
        <v/>
      </c>
      <c r="C17" s="154" t="str">
        <f>IFERROR(VLOOKUP(A17,'AT class'!$A$3:$C1000,3,),"")</f>
        <v/>
      </c>
      <c r="D17" s="153"/>
      <c r="E17" s="153" t="str">
        <f>IFERROR(VLOOKUP(D17,'AT class'!$A$3:$G1000,7,),"")</f>
        <v/>
      </c>
      <c r="F17" s="154" t="str">
        <f>IFERROR(VLOOKUP(D17,'AT class'!$A$3:$C1000,3,),"")</f>
        <v/>
      </c>
      <c r="G17" s="153"/>
      <c r="H17" s="153" t="str">
        <f>IFERROR(VLOOKUP(G17,'AT class'!$A$3:$G1000,7,),"")</f>
        <v/>
      </c>
      <c r="I17" s="154" t="str">
        <f>IFERROR(VLOOKUP(G17,'AT class'!$A$3:$C1000,3,),"")</f>
        <v/>
      </c>
      <c r="J17" s="153"/>
      <c r="K17" s="153" t="str">
        <f>IFERROR(VLOOKUP(J17,'AT class'!$A$3:$G1000,7,),"")</f>
        <v/>
      </c>
      <c r="L17" s="154" t="str">
        <f>IFERROR(VLOOKUP(J17,'AT class'!$A$3:$C1000,3,),"")</f>
        <v/>
      </c>
      <c r="M17" s="153"/>
      <c r="N17" s="153" t="str">
        <f>IFERROR(VLOOKUP(M17,'AT class'!$A$3:$G1000,7,),"")</f>
        <v/>
      </c>
      <c r="O17" s="154" t="str">
        <f>IFERROR(VLOOKUP(M17,'AT class'!$A$3:$C1000,3,),"")</f>
        <v/>
      </c>
    </row>
    <row r="18">
      <c r="A18" s="152"/>
      <c r="B18" s="153" t="str">
        <f>IFERROR(VLOOKUP(A18,'AT class'!$A$3:$G1000,7,),"")</f>
        <v/>
      </c>
      <c r="C18" s="154" t="str">
        <f>IFERROR(VLOOKUP(A18,'AT class'!$A$3:$C1000,3,),"")</f>
        <v/>
      </c>
      <c r="D18" s="153"/>
      <c r="E18" s="153" t="str">
        <f>IFERROR(VLOOKUP(D18,'AT class'!$A$3:$G1000,7,),"")</f>
        <v/>
      </c>
      <c r="F18" s="154" t="str">
        <f>IFERROR(VLOOKUP(D18,'AT class'!$A$3:$C1000,3,),"")</f>
        <v/>
      </c>
      <c r="G18" s="153"/>
      <c r="H18" s="153" t="str">
        <f>IFERROR(VLOOKUP(G18,'AT class'!$A$3:$G1000,7,),"")</f>
        <v/>
      </c>
      <c r="I18" s="154" t="str">
        <f>IFERROR(VLOOKUP(G18,'AT class'!$A$3:$C1000,3,),"")</f>
        <v/>
      </c>
      <c r="J18" s="153"/>
      <c r="K18" s="153" t="str">
        <f>IFERROR(VLOOKUP(J18,'AT class'!$A$3:$G1000,7,),"")</f>
        <v/>
      </c>
      <c r="L18" s="154" t="str">
        <f>IFERROR(VLOOKUP(J18,'AT class'!$A$3:$C1000,3,),"")</f>
        <v/>
      </c>
      <c r="M18" s="153"/>
      <c r="N18" s="153" t="str">
        <f>IFERROR(VLOOKUP(M18,'AT class'!$A$3:$G1000,7,),"")</f>
        <v/>
      </c>
      <c r="O18" s="154" t="str">
        <f>IFERROR(VLOOKUP(M18,'AT class'!$A$3:$C1000,3,),"")</f>
        <v/>
      </c>
    </row>
    <row r="19">
      <c r="A19" s="152"/>
      <c r="B19" s="153" t="str">
        <f>IFERROR(VLOOKUP(A19,'AT class'!$A$3:$G1000,7,),"")</f>
        <v/>
      </c>
      <c r="C19" s="154" t="str">
        <f>IFERROR(VLOOKUP(A19,'AT class'!$A$3:$C1000,3,),"")</f>
        <v/>
      </c>
      <c r="D19" s="153"/>
      <c r="E19" s="153" t="str">
        <f>IFERROR(VLOOKUP(D19,'AT class'!$A$3:$G1000,7,),"")</f>
        <v/>
      </c>
      <c r="F19" s="154" t="str">
        <f>IFERROR(VLOOKUP(D19,'AT class'!$A$3:$C1000,3,),"")</f>
        <v/>
      </c>
      <c r="G19" s="153"/>
      <c r="H19" s="153" t="str">
        <f>IFERROR(VLOOKUP(G19,'AT class'!$A$3:$G1000,7,),"")</f>
        <v/>
      </c>
      <c r="I19" s="154" t="str">
        <f>IFERROR(VLOOKUP(G19,'AT class'!$A$3:$C1000,3,),"")</f>
        <v/>
      </c>
      <c r="J19" s="153"/>
      <c r="K19" s="153" t="str">
        <f>IFERROR(VLOOKUP(J19,'AT class'!$A$3:$G1000,7,),"")</f>
        <v/>
      </c>
      <c r="L19" s="154" t="str">
        <f>IFERROR(VLOOKUP(J19,'AT class'!$A$3:$C1000,3,),"")</f>
        <v/>
      </c>
      <c r="M19" s="153"/>
      <c r="N19" s="153" t="str">
        <f>IFERROR(VLOOKUP(M19,'AT class'!$A$3:$G1000,7,),"")</f>
        <v/>
      </c>
      <c r="O19" s="154" t="str">
        <f>IFERROR(VLOOKUP(M19,'AT class'!$A$3:$C1000,3,),"")</f>
        <v/>
      </c>
    </row>
    <row r="20">
      <c r="A20" s="152"/>
      <c r="B20" s="153" t="str">
        <f>IFERROR(VLOOKUP(A20,'AT class'!$A$3:$G1000,7,),"")</f>
        <v/>
      </c>
      <c r="C20" s="154" t="str">
        <f>IFERROR(VLOOKUP(A20,'AT class'!$A$3:$C1000,3,),"")</f>
        <v/>
      </c>
      <c r="D20" s="153"/>
      <c r="E20" s="153" t="str">
        <f>IFERROR(VLOOKUP(D20,'AT class'!$A$3:$G1000,7,),"")</f>
        <v/>
      </c>
      <c r="F20" s="154" t="str">
        <f>IFERROR(VLOOKUP(D20,'AT class'!$A$3:$C1000,3,),"")</f>
        <v/>
      </c>
      <c r="G20" s="153"/>
      <c r="H20" s="153" t="str">
        <f>IFERROR(VLOOKUP(G20,'AT class'!$A$3:$G1000,7,),"")</f>
        <v/>
      </c>
      <c r="I20" s="154" t="str">
        <f>IFERROR(VLOOKUP(G20,'AT class'!$A$3:$C1000,3,),"")</f>
        <v/>
      </c>
      <c r="J20" s="153"/>
      <c r="K20" s="153" t="str">
        <f>IFERROR(VLOOKUP(J20,'AT class'!$A$3:$G1000,7,),"")</f>
        <v/>
      </c>
      <c r="L20" s="154" t="str">
        <f>IFERROR(VLOOKUP(J20,'AT class'!$A$3:$C1000,3,),"")</f>
        <v/>
      </c>
      <c r="M20" s="153"/>
      <c r="N20" s="153" t="str">
        <f>IFERROR(VLOOKUP(M20,'AT class'!$A$3:$G1000,7,),"")</f>
        <v/>
      </c>
      <c r="O20" s="154" t="str">
        <f>IFERROR(VLOOKUP(M20,'AT class'!$A$3:$C1000,3,),"")</f>
        <v/>
      </c>
    </row>
    <row r="21">
      <c r="A21" s="152"/>
      <c r="B21" s="153" t="str">
        <f>IFERROR(VLOOKUP(A21,'AT class'!$A$3:$G1000,7,),"")</f>
        <v/>
      </c>
      <c r="C21" s="154" t="str">
        <f>IFERROR(VLOOKUP(A21,'AT class'!$A$3:$C1000,3,),"")</f>
        <v/>
      </c>
      <c r="D21" s="153"/>
      <c r="E21" s="153" t="str">
        <f>IFERROR(VLOOKUP(D21,'AT class'!$A$3:$G1000,7,),"")</f>
        <v/>
      </c>
      <c r="F21" s="154" t="str">
        <f>IFERROR(VLOOKUP(D21,'AT class'!$A$3:$C1000,3,),"")</f>
        <v/>
      </c>
      <c r="G21" s="153"/>
      <c r="H21" s="153" t="str">
        <f>IFERROR(VLOOKUP(G21,'AT class'!$A$3:$G1000,7,),"")</f>
        <v/>
      </c>
      <c r="I21" s="154" t="str">
        <f>IFERROR(VLOOKUP(G21,'AT class'!$A$3:$C1000,3,),"")</f>
        <v/>
      </c>
      <c r="J21" s="153"/>
      <c r="K21" s="153" t="str">
        <f>IFERROR(VLOOKUP(J21,'AT class'!$A$3:$G1000,7,),"")</f>
        <v/>
      </c>
      <c r="L21" s="154" t="str">
        <f>IFERROR(VLOOKUP(J21,'AT class'!$A$3:$C1000,3,),"")</f>
        <v/>
      </c>
      <c r="M21" s="153"/>
      <c r="N21" s="153" t="str">
        <f>IFERROR(VLOOKUP(M21,'AT class'!$A$3:$G1000,7,),"")</f>
        <v/>
      </c>
      <c r="O21" s="154" t="str">
        <f>IFERROR(VLOOKUP(M21,'AT class'!$A$3:$C1000,3,),"")</f>
        <v/>
      </c>
    </row>
    <row r="22">
      <c r="A22" s="152"/>
      <c r="B22" s="153" t="str">
        <f>IFERROR(VLOOKUP(A22,'AT class'!$A$3:$G1000,7,),"")</f>
        <v/>
      </c>
      <c r="C22" s="154" t="str">
        <f>IFERROR(VLOOKUP(A22,'AT class'!$A$3:$C1000,3,),"")</f>
        <v/>
      </c>
      <c r="D22" s="153"/>
      <c r="E22" s="153" t="str">
        <f>IFERROR(VLOOKUP(D22,'AT class'!$A$3:$G1000,7,),"")</f>
        <v/>
      </c>
      <c r="F22" s="154" t="str">
        <f>IFERROR(VLOOKUP(D22,'AT class'!$A$3:$C1000,3,),"")</f>
        <v/>
      </c>
      <c r="G22" s="153"/>
      <c r="H22" s="153" t="str">
        <f>IFERROR(VLOOKUP(G22,'AT class'!$A$3:$G1000,7,),"")</f>
        <v/>
      </c>
      <c r="I22" s="154" t="str">
        <f>IFERROR(VLOOKUP(G22,'AT class'!$A$3:$C1000,3,),"")</f>
        <v/>
      </c>
      <c r="J22" s="153"/>
      <c r="K22" s="153" t="str">
        <f>IFERROR(VLOOKUP(J22,'AT class'!$A$3:$G1000,7,),"")</f>
        <v/>
      </c>
      <c r="L22" s="154" t="str">
        <f>IFERROR(VLOOKUP(J22,'AT class'!$A$3:$C1000,3,),"")</f>
        <v/>
      </c>
      <c r="M22" s="153"/>
      <c r="N22" s="153" t="str">
        <f>IFERROR(VLOOKUP(M22,'AT class'!$A$3:$G1000,7,),"")</f>
        <v/>
      </c>
      <c r="O22" s="154" t="str">
        <f>IFERROR(VLOOKUP(M22,'AT class'!$A$3:$C1000,3,),"")</f>
        <v/>
      </c>
    </row>
    <row r="23">
      <c r="A23" s="152"/>
      <c r="B23" s="153" t="str">
        <f>IFERROR(VLOOKUP(A23,'AT class'!$A$3:$G1000,7,),"")</f>
        <v/>
      </c>
      <c r="C23" s="154" t="str">
        <f>IFERROR(VLOOKUP(A23,'AT class'!$A$3:$C1000,3,),"")</f>
        <v/>
      </c>
      <c r="D23" s="153"/>
      <c r="E23" s="153" t="str">
        <f>IFERROR(VLOOKUP(D23,'AT class'!$A$3:$G1000,7,),"")</f>
        <v/>
      </c>
      <c r="F23" s="154" t="str">
        <f>IFERROR(VLOOKUP(D23,'AT class'!$A$3:$C1000,3,),"")</f>
        <v/>
      </c>
      <c r="G23" s="153"/>
      <c r="H23" s="153" t="str">
        <f>IFERROR(VLOOKUP(G23,'AT class'!$A$3:$G1000,7,),"")</f>
        <v/>
      </c>
      <c r="I23" s="154" t="str">
        <f>IFERROR(VLOOKUP(G23,'AT class'!$A$3:$C1000,3,),"")</f>
        <v/>
      </c>
      <c r="J23" s="153"/>
      <c r="K23" s="153" t="str">
        <f>IFERROR(VLOOKUP(J23,'AT class'!$A$3:$G1000,7,),"")</f>
        <v/>
      </c>
      <c r="L23" s="154" t="str">
        <f>IFERROR(VLOOKUP(J23,'AT class'!$A$3:$C1000,3,),"")</f>
        <v/>
      </c>
      <c r="M23" s="153"/>
      <c r="N23" s="153" t="str">
        <f>IFERROR(VLOOKUP(M23,'AT class'!$A$3:$G1000,7,),"")</f>
        <v/>
      </c>
      <c r="O23" s="154" t="str">
        <f>IFERROR(VLOOKUP(M23,'AT class'!$A$3:$C1000,3,),"")</f>
        <v/>
      </c>
    </row>
    <row r="24">
      <c r="A24" s="152"/>
      <c r="B24" s="153" t="str">
        <f>IFERROR(VLOOKUP(A24,'AT class'!$A$3:$G1000,7,),"")</f>
        <v/>
      </c>
      <c r="C24" s="154" t="str">
        <f>IFERROR(VLOOKUP(A24,'AT class'!$A$3:$C1000,3,),"")</f>
        <v/>
      </c>
      <c r="D24" s="153"/>
      <c r="E24" s="153" t="str">
        <f>IFERROR(VLOOKUP(D24,'AT class'!$A$3:$G1000,7,),"")</f>
        <v/>
      </c>
      <c r="F24" s="154" t="str">
        <f>IFERROR(VLOOKUP(D24,'AT class'!$A$3:$C1000,3,),"")</f>
        <v/>
      </c>
      <c r="G24" s="153"/>
      <c r="H24" s="153" t="str">
        <f>IFERROR(VLOOKUP(G24,'AT class'!$A$3:$G1000,7,),"")</f>
        <v/>
      </c>
      <c r="I24" s="154" t="str">
        <f>IFERROR(VLOOKUP(G24,'AT class'!$A$3:$C1000,3,),"")</f>
        <v/>
      </c>
      <c r="J24" s="153"/>
      <c r="K24" s="153" t="str">
        <f>IFERROR(VLOOKUP(J24,'AT class'!$A$3:$G1000,7,),"")</f>
        <v/>
      </c>
      <c r="L24" s="154" t="str">
        <f>IFERROR(VLOOKUP(J24,'AT class'!$A$3:$C1000,3,),"")</f>
        <v/>
      </c>
      <c r="M24" s="153"/>
      <c r="N24" s="153" t="str">
        <f>IFERROR(VLOOKUP(M24,'AT class'!$A$3:$G1000,7,),"")</f>
        <v/>
      </c>
      <c r="O24" s="154" t="str">
        <f>IFERROR(VLOOKUP(M24,'AT class'!$A$3:$C1000,3,),"")</f>
        <v/>
      </c>
    </row>
    <row r="25">
      <c r="A25" s="152"/>
      <c r="B25" s="153" t="str">
        <f>IFERROR(VLOOKUP(A25,'AT class'!$A$3:$G1000,7,),"")</f>
        <v/>
      </c>
      <c r="C25" s="155"/>
      <c r="D25" s="153"/>
      <c r="E25" s="153" t="str">
        <f>IFERROR(VLOOKUP(D25,'AT class'!$A$3:$G1000,7,),"")</f>
        <v/>
      </c>
      <c r="F25" s="154" t="str">
        <f>IFERROR(VLOOKUP(D25,'AT class'!$A$3:$C1000,3,),"")</f>
        <v/>
      </c>
      <c r="G25" s="153"/>
      <c r="H25" s="153" t="str">
        <f>IFERROR(VLOOKUP(G25,'AT class'!$A$3:$G1000,7,),"")</f>
        <v/>
      </c>
      <c r="I25" s="154" t="str">
        <f>IFERROR(VLOOKUP(G25,'AT class'!$A$3:$C1000,3,),"")</f>
        <v/>
      </c>
      <c r="J25" s="153"/>
      <c r="K25" s="153" t="str">
        <f>IFERROR(VLOOKUP(J25,'AT class'!$A$3:$G1000,7,),"")</f>
        <v/>
      </c>
      <c r="L25" s="154" t="str">
        <f>IFERROR(VLOOKUP(J25,'AT class'!$A$3:$C1000,3,),"")</f>
        <v/>
      </c>
      <c r="M25" s="153"/>
      <c r="N25" s="153" t="str">
        <f>IFERROR(VLOOKUP(M25,'AT class'!$A$3:$G1000,7,),"")</f>
        <v/>
      </c>
      <c r="O25" s="154" t="str">
        <f>IFERROR(VLOOKUP(M25,'AT class'!$A$3:$C1000,3,),"")</f>
        <v/>
      </c>
    </row>
    <row r="26">
      <c r="A26" s="152"/>
      <c r="C26" s="155"/>
      <c r="D26" s="153"/>
      <c r="E26" s="153" t="str">
        <f>IFERROR(VLOOKUP(D26,'AT class'!$A$3:$G1000,7,),"")</f>
        <v/>
      </c>
      <c r="F26" s="154" t="str">
        <f>IFERROR(VLOOKUP(D26,'AT class'!$A$3:$C1000,3,),"")</f>
        <v/>
      </c>
      <c r="G26" s="153"/>
      <c r="H26" s="153" t="str">
        <f>IFERROR(VLOOKUP(G26,'AT class'!$A$3:$G1000,7,),"")</f>
        <v/>
      </c>
      <c r="I26" s="154" t="str">
        <f>IFERROR(VLOOKUP(G26,'AT class'!$A$3:$C1000,3,),"")</f>
        <v/>
      </c>
      <c r="J26" s="153"/>
      <c r="K26" s="153" t="str">
        <f>IFERROR(VLOOKUP(J26,'AT class'!$A$3:$G1000,7,),"")</f>
        <v/>
      </c>
      <c r="L26" s="154" t="str">
        <f>IFERROR(VLOOKUP(J26,'AT class'!$A$3:$C1000,3,),"")</f>
        <v/>
      </c>
      <c r="M26" s="153"/>
      <c r="N26" s="153" t="str">
        <f>IFERROR(VLOOKUP(M26,'AT class'!$A$3:$G1000,7,),"")</f>
        <v/>
      </c>
      <c r="O26" s="154" t="str">
        <f>IFERROR(VLOOKUP(M26,'AT class'!$A$3:$C1000,3,),"")</f>
        <v/>
      </c>
    </row>
    <row r="27">
      <c r="A27" s="152"/>
      <c r="C27" s="155"/>
      <c r="D27" s="153"/>
      <c r="E27" s="153" t="str">
        <f>IFERROR(VLOOKUP(D27,'AT class'!$A$3:$G1000,7,),"")</f>
        <v/>
      </c>
      <c r="F27" s="154" t="str">
        <f>IFERROR(VLOOKUP(D27,'AT class'!$A$3:$C1000,3,),"")</f>
        <v/>
      </c>
      <c r="G27" s="153"/>
      <c r="H27" s="153" t="str">
        <f>IFERROR(VLOOKUP(G27,'AT class'!$A$3:$G1000,7,),"")</f>
        <v/>
      </c>
      <c r="I27" s="154" t="str">
        <f>IFERROR(VLOOKUP(G27,'AT class'!$A$3:$C1000,3,),"")</f>
        <v/>
      </c>
      <c r="J27" s="153"/>
      <c r="K27" s="153" t="str">
        <f>IFERROR(VLOOKUP(J27,'AT class'!$A$3:$G1000,7,),"")</f>
        <v/>
      </c>
      <c r="L27" s="154" t="str">
        <f>IFERROR(VLOOKUP(J27,'AT class'!$A$3:$C1000,3,),"")</f>
        <v/>
      </c>
      <c r="M27" s="153"/>
      <c r="N27" s="153" t="str">
        <f>IFERROR(VLOOKUP(M27,'AT class'!$A$3:$G1000,7,),"")</f>
        <v/>
      </c>
      <c r="O27" s="154" t="str">
        <f>IFERROR(VLOOKUP(M27,'AT class'!$A$3:$C1000,3,),"")</f>
        <v/>
      </c>
    </row>
    <row r="28">
      <c r="A28" s="152"/>
      <c r="C28" s="154" t="str">
        <f>IFERROR(VLOOKUP(A28,'AT class'!$A$3:$C1000,3,),"")</f>
        <v/>
      </c>
      <c r="D28" s="153"/>
      <c r="E28" s="153" t="str">
        <f>IFERROR(VLOOKUP(D28,'AT class'!$A$3:$G1000,7,),"")</f>
        <v/>
      </c>
      <c r="F28" s="154" t="str">
        <f>IFERROR(VLOOKUP(D28,'AT class'!$A$3:$C1000,3,),"")</f>
        <v/>
      </c>
      <c r="G28" s="153"/>
      <c r="H28" s="153" t="str">
        <f>IFERROR(VLOOKUP(G28,'AT class'!$A$3:$G1000,7,),"")</f>
        <v/>
      </c>
      <c r="I28" s="154" t="str">
        <f>IFERROR(VLOOKUP(G28,'AT class'!$A$3:$C1000,3,),"")</f>
        <v/>
      </c>
      <c r="J28" s="153"/>
      <c r="K28" s="153" t="str">
        <f>IFERROR(VLOOKUP(J28,'AT class'!$A$3:$G1000,7,),"")</f>
        <v/>
      </c>
      <c r="L28" s="154" t="str">
        <f>IFERROR(VLOOKUP(J28,'AT class'!$A$3:$C1000,3,),"")</f>
        <v/>
      </c>
      <c r="M28" s="153"/>
      <c r="N28" s="153" t="str">
        <f>IFERROR(VLOOKUP(M28,'AT class'!$A$3:$G1000,7,),"")</f>
        <v/>
      </c>
      <c r="O28" s="154" t="str">
        <f>IFERROR(VLOOKUP(M28,'AT class'!$A$3:$C1000,3,),"")</f>
        <v/>
      </c>
    </row>
    <row r="29">
      <c r="A29" s="152"/>
      <c r="C29" s="154" t="str">
        <f>IFERROR(VLOOKUP(A29,'AT class'!$A$3:$C1000,3,),"")</f>
        <v/>
      </c>
      <c r="D29" s="153"/>
      <c r="E29" s="153" t="str">
        <f>IFERROR(VLOOKUP(D29,'AT class'!$A$3:$G1000,7,),"")</f>
        <v/>
      </c>
      <c r="F29" s="154" t="str">
        <f>IFERROR(VLOOKUP(D29,'AT class'!$A$3:$C1000,3,),"")</f>
        <v/>
      </c>
      <c r="G29" s="153"/>
      <c r="H29" s="153" t="str">
        <f>IFERROR(VLOOKUP(G29,'AT class'!$A$3:$G1000,7,),"")</f>
        <v/>
      </c>
      <c r="I29" s="154" t="str">
        <f>IFERROR(VLOOKUP(G29,'AT class'!$A$3:$C1000,3,),"")</f>
        <v/>
      </c>
      <c r="J29" s="153"/>
      <c r="K29" s="153" t="str">
        <f>IFERROR(VLOOKUP(J29,'AT class'!$A$3:$G1000,7,),"")</f>
        <v/>
      </c>
      <c r="L29" s="154" t="str">
        <f>IFERROR(VLOOKUP(J29,'AT class'!$A$3:$C1000,3,),"")</f>
        <v/>
      </c>
      <c r="M29" s="153"/>
      <c r="N29" s="153" t="str">
        <f>IFERROR(VLOOKUP(M29,'AT class'!$A$3:$G1000,7,),"")</f>
        <v/>
      </c>
      <c r="O29" s="154" t="str">
        <f>IFERROR(VLOOKUP(M29,'AT class'!$A$3:$C1000,3,),"")</f>
        <v/>
      </c>
    </row>
    <row r="30">
      <c r="A30" s="152"/>
      <c r="C30" s="154" t="str">
        <f>IFERROR(VLOOKUP(A30,'AT class'!$A$3:$C1000,3,),"")</f>
        <v/>
      </c>
      <c r="D30" s="153"/>
      <c r="E30" s="153" t="str">
        <f>IFERROR(VLOOKUP(D30,'AT class'!$A$3:$G1000,7,),"")</f>
        <v/>
      </c>
      <c r="F30" s="154" t="str">
        <f>IFERROR(VLOOKUP(D30,'AT class'!$A$3:$C1000,3,),"")</f>
        <v/>
      </c>
      <c r="G30" s="153"/>
      <c r="H30" s="153" t="str">
        <f>IFERROR(VLOOKUP(G30,'AT class'!$A$3:$G1000,7,),"")</f>
        <v/>
      </c>
      <c r="I30" s="154" t="str">
        <f>IFERROR(VLOOKUP(G30,'AT class'!$A$3:$C1000,3,),"")</f>
        <v/>
      </c>
      <c r="J30" s="153"/>
      <c r="K30" s="153" t="str">
        <f>IFERROR(VLOOKUP(J30,'AT class'!$A$3:$G1000,7,),"")</f>
        <v/>
      </c>
      <c r="L30" s="154" t="str">
        <f>IFERROR(VLOOKUP(J30,'AT class'!$A$3:$C1000,3,),"")</f>
        <v/>
      </c>
      <c r="M30" s="153"/>
      <c r="N30" s="153" t="str">
        <f>IFERROR(VLOOKUP(M30,'AT class'!$A$3:$G1000,7,),"")</f>
        <v/>
      </c>
      <c r="O30" s="154" t="str">
        <f>IFERROR(VLOOKUP(M30,'AT class'!$A$3:$C1000,3,),"")</f>
        <v/>
      </c>
    </row>
    <row r="31">
      <c r="A31" s="152"/>
      <c r="C31" s="154" t="str">
        <f>IFERROR(VLOOKUP(A31,'AT class'!$A$3:$C1000,3,),"")</f>
        <v/>
      </c>
      <c r="D31" s="153"/>
      <c r="E31" s="153" t="str">
        <f>IFERROR(VLOOKUP(D31,'AT class'!$A$3:$G1000,7,),"")</f>
        <v/>
      </c>
      <c r="F31" s="154" t="str">
        <f>IFERROR(VLOOKUP(D31,'AT class'!$A$3:$C1000,3,),"")</f>
        <v/>
      </c>
      <c r="G31" s="153"/>
      <c r="H31" s="153" t="str">
        <f>IFERROR(VLOOKUP(G31,'AT class'!$A$3:$G1000,7,),"")</f>
        <v/>
      </c>
      <c r="I31" s="154" t="str">
        <f>IFERROR(VLOOKUP(G31,'AT class'!$A$3:$C1000,3,),"")</f>
        <v/>
      </c>
      <c r="J31" s="153"/>
      <c r="K31" s="153" t="str">
        <f>IFERROR(VLOOKUP(J31,'AT class'!$A$3:$G1000,7,),"")</f>
        <v/>
      </c>
      <c r="L31" s="154" t="str">
        <f>IFERROR(VLOOKUP(J31,'AT class'!$A$3:$C1000,3,),"")</f>
        <v/>
      </c>
      <c r="M31" s="153"/>
      <c r="N31" s="153" t="str">
        <f>IFERROR(VLOOKUP(M31,'AT class'!$A$3:$G1000,7,),"")</f>
        <v/>
      </c>
      <c r="O31" s="154" t="str">
        <f>IFERROR(VLOOKUP(M31,'AT class'!$A$3:$C1000,3,),"")</f>
        <v/>
      </c>
    </row>
    <row r="32">
      <c r="A32" s="152"/>
      <c r="C32" s="154" t="str">
        <f>IFERROR(VLOOKUP(A32,'AT class'!$A$3:$C1000,3,),"")</f>
        <v/>
      </c>
      <c r="D32" s="153"/>
      <c r="F32" s="155"/>
      <c r="G32" s="153"/>
      <c r="H32" s="153" t="str">
        <f>IFERROR(VLOOKUP(G32,'AT class'!$A$3:$G1000,7,),"")</f>
        <v/>
      </c>
      <c r="I32" s="154" t="str">
        <f>IFERROR(VLOOKUP(G32,'AT class'!$A$3:$C1000,3,),"")</f>
        <v/>
      </c>
      <c r="J32" s="153"/>
      <c r="K32" s="153" t="str">
        <f>IFERROR(VLOOKUP(J32,'AT class'!$A$3:$G1000,7,),"")</f>
        <v/>
      </c>
      <c r="L32" s="154" t="str">
        <f>IFERROR(VLOOKUP(J32,'AT class'!$A$3:$C1000,3,),"")</f>
        <v/>
      </c>
      <c r="M32" s="153"/>
      <c r="N32" s="153" t="str">
        <f>IFERROR(VLOOKUP(M32,'AT class'!$A$3:$G1000,7,),"")</f>
        <v/>
      </c>
      <c r="O32" s="154" t="str">
        <f>IFERROR(VLOOKUP(M32,'AT class'!$A$3:$C1000,3,),"")</f>
        <v/>
      </c>
    </row>
    <row r="33">
      <c r="A33" s="152"/>
      <c r="C33" s="154" t="str">
        <f>IFERROR(VLOOKUP(A33,'AT class'!$A$3:$C1000,3,),"")</f>
        <v/>
      </c>
      <c r="D33" s="153"/>
      <c r="F33" s="155"/>
      <c r="G33" s="153"/>
      <c r="H33" s="153" t="str">
        <f>IFERROR(VLOOKUP(G33,'AT class'!$A$3:$G1000,7,),"")</f>
        <v/>
      </c>
      <c r="I33" s="154" t="str">
        <f>IFERROR(VLOOKUP(G33,'AT class'!$A$3:$C1000,3,),"")</f>
        <v/>
      </c>
      <c r="J33" s="153"/>
      <c r="K33" s="153" t="str">
        <f>IFERROR(VLOOKUP(J33,'AT class'!$A$3:$G1000,7,),"")</f>
        <v/>
      </c>
      <c r="L33" s="154" t="str">
        <f>IFERROR(VLOOKUP(J33,'AT class'!$A$3:$C1000,3,),"")</f>
        <v/>
      </c>
      <c r="M33" s="153"/>
      <c r="N33" s="153" t="str">
        <f>IFERROR(VLOOKUP(M33,'AT class'!$A$3:$G1000,7,),"")</f>
        <v/>
      </c>
      <c r="O33" s="154" t="str">
        <f>IFERROR(VLOOKUP(M33,'AT class'!$A$3:$C1000,3,),"")</f>
        <v/>
      </c>
    </row>
    <row r="34">
      <c r="A34" s="152"/>
      <c r="C34" s="154" t="str">
        <f>IFERROR(VLOOKUP(A34,'AT class'!$A$3:$C1000,3,),"")</f>
        <v/>
      </c>
      <c r="D34" s="153"/>
      <c r="F34" s="155"/>
      <c r="G34" s="153"/>
      <c r="H34" s="153" t="str">
        <f>IFERROR(VLOOKUP(G34,'AT class'!$A$3:$G1000,7,),"")</f>
        <v/>
      </c>
      <c r="I34" s="154" t="str">
        <f>IFERROR(VLOOKUP(G34,'AT class'!$A$3:$C1000,3,),"")</f>
        <v/>
      </c>
      <c r="J34" s="153"/>
      <c r="K34" s="153" t="str">
        <f>IFERROR(VLOOKUP(J34,'AT class'!$A$3:$G1000,7,),"")</f>
        <v/>
      </c>
      <c r="L34" s="154" t="str">
        <f>IFERROR(VLOOKUP(J34,'AT class'!$A$3:$C1000,3,),"")</f>
        <v/>
      </c>
      <c r="M34" s="153"/>
      <c r="N34" s="153" t="str">
        <f>IFERROR(VLOOKUP(M34,'AT class'!$A$3:$G1000,7,),"")</f>
        <v/>
      </c>
      <c r="O34" s="154" t="str">
        <f>IFERROR(VLOOKUP(M34,'AT class'!$A$3:$C1000,3,),"")</f>
        <v/>
      </c>
    </row>
    <row r="35">
      <c r="A35" s="152"/>
      <c r="C35" s="154" t="str">
        <f>IFERROR(VLOOKUP(A35,'AT class'!$A$3:$C1000,3,),"")</f>
        <v/>
      </c>
      <c r="D35" s="153"/>
      <c r="F35" s="155"/>
      <c r="G35" s="153"/>
      <c r="H35" s="153" t="str">
        <f>IFERROR(VLOOKUP(G35,'AT class'!$A$3:$G1000,7,),"")</f>
        <v/>
      </c>
      <c r="I35" s="154" t="str">
        <f>IFERROR(VLOOKUP(G35,'AT class'!$A$3:$C1000,3,),"")</f>
        <v/>
      </c>
      <c r="J35" s="153"/>
      <c r="K35" s="153" t="str">
        <f>IFERROR(VLOOKUP(J35,'AT class'!$A$3:$G1000,7,),"")</f>
        <v/>
      </c>
      <c r="L35" s="154" t="str">
        <f>IFERROR(VLOOKUP(J35,'AT class'!$A$3:$C1000,3,),"")</f>
        <v/>
      </c>
      <c r="M35" s="153"/>
      <c r="N35" s="153" t="str">
        <f>IFERROR(VLOOKUP(M35,'AT class'!$A$3:$G1000,7,),"")</f>
        <v/>
      </c>
      <c r="O35" s="154" t="str">
        <f>IFERROR(VLOOKUP(M35,'AT class'!$A$3:$C1000,3,),"")</f>
        <v/>
      </c>
    </row>
    <row r="36">
      <c r="A36" s="152"/>
      <c r="C36" s="154" t="str">
        <f>IFERROR(VLOOKUP(A36,'AT class'!$A$3:$C1000,3,),"")</f>
        <v/>
      </c>
      <c r="D36" s="153"/>
      <c r="F36" s="155"/>
      <c r="G36" s="153"/>
      <c r="H36" s="153" t="str">
        <f>IFERROR(VLOOKUP(G36,'AT class'!$A$3:$G1000,7,),"")</f>
        <v/>
      </c>
      <c r="I36" s="154" t="str">
        <f>IFERROR(VLOOKUP(G36,'AT class'!$A$3:$C1000,3,),"")</f>
        <v/>
      </c>
      <c r="J36" s="153"/>
      <c r="K36" s="153" t="str">
        <f>IFERROR(VLOOKUP(J36,'AT class'!$A$3:$G1000,7,),"")</f>
        <v/>
      </c>
      <c r="L36" s="154" t="str">
        <f>IFERROR(VLOOKUP(J36,'AT class'!$A$3:$C1000,3,),"")</f>
        <v/>
      </c>
      <c r="M36" s="153"/>
      <c r="N36" s="153" t="str">
        <f>IFERROR(VLOOKUP(M36,'AT class'!$A$3:$G1000,7,),"")</f>
        <v/>
      </c>
      <c r="O36" s="154" t="str">
        <f>IFERROR(VLOOKUP(M36,'AT class'!$A$3:$C1000,3,),"")</f>
        <v/>
      </c>
    </row>
    <row r="37">
      <c r="A37" s="152"/>
      <c r="C37" s="154" t="str">
        <f>IFERROR(VLOOKUP(A37,'AT class'!$A$3:$C1000,3,),"")</f>
        <v/>
      </c>
      <c r="D37" s="153"/>
      <c r="F37" s="155"/>
      <c r="G37" s="153"/>
      <c r="H37" s="153" t="str">
        <f>IFERROR(VLOOKUP(G37,'AT class'!$A$3:$G1000,7,),"")</f>
        <v/>
      </c>
      <c r="I37" s="154" t="str">
        <f>IFERROR(VLOOKUP(G37,'AT class'!$A$3:$C1000,3,),"")</f>
        <v/>
      </c>
      <c r="J37" s="153"/>
      <c r="K37" s="153" t="str">
        <f>IFERROR(VLOOKUP(J37,'AT class'!$A$3:$G1000,7,),"")</f>
        <v/>
      </c>
      <c r="L37" s="154" t="str">
        <f>IFERROR(VLOOKUP(J37,'AT class'!$A$3:$C1000,3,),"")</f>
        <v/>
      </c>
      <c r="M37" s="153"/>
      <c r="N37" s="153" t="str">
        <f>IFERROR(VLOOKUP(M37,'AT class'!$A$3:$G1000,7,),"")</f>
        <v/>
      </c>
      <c r="O37" s="154" t="str">
        <f>IFERROR(VLOOKUP(M37,'AT class'!$A$3:$C1000,3,),"")</f>
        <v/>
      </c>
    </row>
    <row r="38">
      <c r="A38" s="152"/>
      <c r="C38" s="154" t="str">
        <f>IFERROR(VLOOKUP(A38,'AT class'!$A$3:$C1000,3,),"")</f>
        <v/>
      </c>
      <c r="D38" s="153"/>
      <c r="F38" s="155"/>
      <c r="G38" s="153"/>
      <c r="H38" s="153" t="str">
        <f>IFERROR(VLOOKUP(G38,'AT class'!$A$3:$G1000,7,),"")</f>
        <v/>
      </c>
      <c r="I38" s="154" t="str">
        <f>IFERROR(VLOOKUP(G38,'AT class'!$A$3:$C1000,3,),"")</f>
        <v/>
      </c>
      <c r="J38" s="153"/>
      <c r="K38" s="153" t="str">
        <f>IFERROR(VLOOKUP(J38,'AT class'!$A$3:$G1000,7,),"")</f>
        <v/>
      </c>
      <c r="L38" s="154" t="str">
        <f>IFERROR(VLOOKUP(J38,'AT class'!$A$3:$C1000,3,),"")</f>
        <v/>
      </c>
      <c r="M38" s="153"/>
      <c r="N38" s="153" t="str">
        <f>IFERROR(VLOOKUP(M38,'AT class'!$A$3:$G1000,7,),"")</f>
        <v/>
      </c>
      <c r="O38" s="154" t="str">
        <f>IFERROR(VLOOKUP(M38,'AT class'!$A$3:$C1000,3,),"")</f>
        <v/>
      </c>
    </row>
    <row r="39">
      <c r="A39" s="152"/>
      <c r="C39" s="154" t="str">
        <f>IFERROR(VLOOKUP(A39,'AT class'!$A$3:$C1000,3,),"")</f>
        <v/>
      </c>
      <c r="D39" s="153"/>
      <c r="F39" s="155"/>
      <c r="G39" s="153"/>
      <c r="H39" s="153" t="str">
        <f>IFERROR(VLOOKUP(G39,'AT class'!$A$3:$G1000,7,),"")</f>
        <v/>
      </c>
      <c r="I39" s="154" t="str">
        <f>IFERROR(VLOOKUP(G39,'AT class'!$A$3:$C1000,3,),"")</f>
        <v/>
      </c>
      <c r="J39" s="153"/>
      <c r="K39" s="153" t="str">
        <f>IFERROR(VLOOKUP(J39,'AT class'!$A$3:$G1000,7,),"")</f>
        <v/>
      </c>
      <c r="L39" s="154" t="str">
        <f>IFERROR(VLOOKUP(J39,'AT class'!$A$3:$C1000,3,),"")</f>
        <v/>
      </c>
      <c r="M39" s="153"/>
      <c r="N39" s="153" t="str">
        <f>IFERROR(VLOOKUP(M39,'AT class'!$A$3:$G1000,7,),"")</f>
        <v/>
      </c>
      <c r="O39" s="154" t="str">
        <f>IFERROR(VLOOKUP(M39,'AT class'!$A$3:$C1000,3,),"")</f>
        <v/>
      </c>
    </row>
    <row r="40">
      <c r="A40" s="152"/>
      <c r="C40" s="154" t="str">
        <f>IFERROR(VLOOKUP(A40,'AT class'!$A$3:$C1000,3,),"")</f>
        <v/>
      </c>
      <c r="D40" s="153"/>
      <c r="F40" s="155"/>
      <c r="G40" s="153"/>
      <c r="H40" s="153" t="str">
        <f>IFERROR(VLOOKUP(G40,'AT class'!$A$3:$G1000,7,),"")</f>
        <v/>
      </c>
      <c r="I40" s="154" t="str">
        <f>IFERROR(VLOOKUP(G40,'AT class'!$A$3:$C1000,3,),"")</f>
        <v/>
      </c>
      <c r="J40" s="153"/>
      <c r="K40" s="153" t="str">
        <f>IFERROR(VLOOKUP(J40,'AT class'!$A$3:$G1000,7,),"")</f>
        <v/>
      </c>
      <c r="L40" s="154" t="str">
        <f>IFERROR(VLOOKUP(J40,'AT class'!$A$3:$C1000,3,),"")</f>
        <v/>
      </c>
      <c r="M40" s="153"/>
      <c r="N40" s="153" t="str">
        <f>IFERROR(VLOOKUP(M40,'AT class'!$A$3:$G1000,7,),"")</f>
        <v/>
      </c>
      <c r="O40" s="154" t="str">
        <f>IFERROR(VLOOKUP(M40,'AT class'!$A$3:$C1000,3,),"")</f>
        <v/>
      </c>
    </row>
    <row r="41">
      <c r="A41" s="152"/>
      <c r="C41" s="154" t="str">
        <f>IFERROR(VLOOKUP(A41,'AT class'!$A$3:$C1000,3,),"")</f>
        <v/>
      </c>
      <c r="D41" s="153"/>
      <c r="F41" s="155"/>
      <c r="G41" s="153"/>
      <c r="H41" s="153" t="str">
        <f>IFERROR(VLOOKUP(G41,'AT class'!$A$3:$G1000,7,),"")</f>
        <v/>
      </c>
      <c r="I41" s="154" t="str">
        <f>IFERROR(VLOOKUP(G41,'AT class'!$A$3:$C1000,3,),"")</f>
        <v/>
      </c>
      <c r="J41" s="153"/>
      <c r="K41" s="153" t="str">
        <f>IFERROR(VLOOKUP(J41,'AT class'!$A$3:$G1000,7,),"")</f>
        <v/>
      </c>
      <c r="L41" s="154" t="str">
        <f>IFERROR(VLOOKUP(J41,'AT class'!$A$3:$C1000,3,),"")</f>
        <v/>
      </c>
      <c r="M41" s="153"/>
      <c r="N41" s="153" t="str">
        <f>IFERROR(VLOOKUP(M41,'AT class'!$A$3:$G1000,7,),"")</f>
        <v/>
      </c>
      <c r="O41" s="154" t="str">
        <f>IFERROR(VLOOKUP(M41,'AT class'!$A$3:$C1000,3,),"")</f>
        <v/>
      </c>
    </row>
    <row r="42">
      <c r="A42" s="152"/>
      <c r="C42" s="154" t="str">
        <f>IFERROR(VLOOKUP(A42,'AT class'!$A$3:$C1000,3,),"")</f>
        <v/>
      </c>
      <c r="D42" s="153"/>
      <c r="F42" s="155"/>
      <c r="G42" s="153"/>
      <c r="H42" s="153" t="str">
        <f>IFERROR(VLOOKUP(G42,'AT class'!$A$3:$G1000,7,),"")</f>
        <v/>
      </c>
      <c r="I42" s="154" t="str">
        <f>IFERROR(VLOOKUP(G42,'AT class'!$A$3:$C1000,3,),"")</f>
        <v/>
      </c>
      <c r="J42" s="153"/>
      <c r="K42" s="153" t="str">
        <f>IFERROR(VLOOKUP(J42,'AT class'!$A$3:$G1000,7,),"")</f>
        <v/>
      </c>
      <c r="L42" s="154" t="str">
        <f>IFERROR(VLOOKUP(J42,'AT class'!$A$3:$C1000,3,),"")</f>
        <v/>
      </c>
      <c r="M42" s="153"/>
      <c r="N42" s="153" t="str">
        <f>IFERROR(VLOOKUP(M42,'AT class'!$A$3:$G1000,7,),"")</f>
        <v/>
      </c>
      <c r="O42" s="154" t="str">
        <f>IFERROR(VLOOKUP(M42,'AT class'!$A$3:$C1000,3,),"")</f>
        <v/>
      </c>
    </row>
    <row r="43">
      <c r="A43" s="152"/>
      <c r="C43" s="154" t="str">
        <f>IFERROR(VLOOKUP(A43,'AT class'!$A$3:$C1000,3,),"")</f>
        <v/>
      </c>
      <c r="D43" s="153"/>
      <c r="F43" s="155"/>
      <c r="G43" s="153"/>
      <c r="H43" s="153" t="str">
        <f>IFERROR(VLOOKUP(G43,'AT class'!$A$3:$G1000,7,),"")</f>
        <v/>
      </c>
      <c r="I43" s="154" t="str">
        <f>IFERROR(VLOOKUP(G43,'AT class'!$A$3:$C1000,3,),"")</f>
        <v/>
      </c>
      <c r="J43" s="153"/>
      <c r="K43" s="153" t="str">
        <f>IFERROR(VLOOKUP(J43,'AT class'!$A$3:$G1000,7,),"")</f>
        <v/>
      </c>
      <c r="L43" s="154" t="str">
        <f>IFERROR(VLOOKUP(J43,'AT class'!$A$3:$C1000,3,),"")</f>
        <v/>
      </c>
      <c r="M43" s="153"/>
      <c r="N43" s="153" t="str">
        <f>IFERROR(VLOOKUP(M43,'AT class'!$A$3:$G1000,7,),"")</f>
        <v/>
      </c>
      <c r="O43" s="154" t="str">
        <f>IFERROR(VLOOKUP(M43,'AT class'!$A$3:$C1000,3,),"")</f>
        <v/>
      </c>
    </row>
    <row r="44">
      <c r="A44" s="152"/>
      <c r="C44" s="154" t="str">
        <f>IFERROR(VLOOKUP(A44,'AT class'!$A$3:$C1000,3,),"")</f>
        <v/>
      </c>
      <c r="D44" s="153"/>
      <c r="F44" s="155"/>
      <c r="G44" s="153"/>
      <c r="H44" s="153" t="str">
        <f>IFERROR(VLOOKUP(G44,'AT class'!$A$3:$G1000,7,),"")</f>
        <v/>
      </c>
      <c r="I44" s="154" t="str">
        <f>IFERROR(VLOOKUP(G44,'AT class'!$A$3:$C1000,3,),"")</f>
        <v/>
      </c>
      <c r="J44" s="153"/>
      <c r="K44" s="153" t="str">
        <f>IFERROR(VLOOKUP(J44,'AT class'!$A$3:$G1000,7,),"")</f>
        <v/>
      </c>
      <c r="L44" s="154" t="str">
        <f>IFERROR(VLOOKUP(J44,'AT class'!$A$3:$C1000,3,),"")</f>
        <v/>
      </c>
      <c r="M44" s="153"/>
      <c r="N44" s="153" t="str">
        <f>IFERROR(VLOOKUP(M44,'AT class'!$A$3:$G1000,7,),"")</f>
        <v/>
      </c>
      <c r="O44" s="154" t="str">
        <f>IFERROR(VLOOKUP(M44,'AT class'!$A$3:$C1000,3,),"")</f>
        <v/>
      </c>
    </row>
    <row r="45">
      <c r="A45" s="152"/>
      <c r="C45" s="154" t="str">
        <f>IFERROR(VLOOKUP(A45,'AT class'!$A$3:$C1000,3,),"")</f>
        <v/>
      </c>
      <c r="D45" s="153"/>
      <c r="F45" s="155"/>
      <c r="G45" s="153"/>
      <c r="H45" s="153" t="str">
        <f>IFERROR(VLOOKUP(G45,'AT class'!$A$3:$G1000,7,),"")</f>
        <v/>
      </c>
      <c r="I45" s="154" t="str">
        <f>IFERROR(VLOOKUP(G45,'AT class'!$A$3:$C1000,3,),"")</f>
        <v/>
      </c>
      <c r="J45" s="153"/>
      <c r="K45" s="153" t="str">
        <f>IFERROR(VLOOKUP(J45,'AT class'!$A$3:$G1000,7,),"")</f>
        <v/>
      </c>
      <c r="L45" s="154" t="str">
        <f>IFERROR(VLOOKUP(J45,'AT class'!$A$3:$C1000,3,),"")</f>
        <v/>
      </c>
      <c r="M45" s="153"/>
      <c r="N45" s="153" t="str">
        <f>IFERROR(VLOOKUP(M45,'AT class'!$A$3:$G1000,7,),"")</f>
        <v/>
      </c>
      <c r="O45" s="154" t="str">
        <f>IFERROR(VLOOKUP(M45,'AT class'!$A$3:$C1000,3,),"")</f>
        <v/>
      </c>
    </row>
    <row r="46">
      <c r="A46" s="152"/>
      <c r="C46" s="154" t="str">
        <f>IFERROR(VLOOKUP(A46,'AT class'!$A$3:$C1000,3,),"")</f>
        <v/>
      </c>
      <c r="D46" s="153"/>
      <c r="F46" s="155"/>
      <c r="G46" s="153"/>
      <c r="H46" s="153" t="str">
        <f>IFERROR(VLOOKUP(G46,'AT class'!$A$3:$G1000,7,),"")</f>
        <v/>
      </c>
      <c r="I46" s="154" t="str">
        <f>IFERROR(VLOOKUP(G46,'AT class'!$A$3:$C1000,3,),"")</f>
        <v/>
      </c>
      <c r="J46" s="153"/>
      <c r="K46" s="153" t="str">
        <f>IFERROR(VLOOKUP(J46,'AT class'!$A$3:$G1000,7,),"")</f>
        <v/>
      </c>
      <c r="L46" s="154" t="str">
        <f>IFERROR(VLOOKUP(J46,'AT class'!$A$3:$C1000,3,),"")</f>
        <v/>
      </c>
      <c r="M46" s="153"/>
      <c r="N46" s="153" t="str">
        <f>IFERROR(VLOOKUP(M46,'AT class'!$A$3:$G1000,7,),"")</f>
        <v/>
      </c>
      <c r="O46" s="154" t="str">
        <f>IFERROR(VLOOKUP(M46,'AT class'!$A$3:$C1000,3,),"")</f>
        <v/>
      </c>
    </row>
    <row r="47">
      <c r="A47" s="152"/>
      <c r="C47" s="154" t="str">
        <f>IFERROR(VLOOKUP(A47,'AT class'!$A$3:$C1000,3,),"")</f>
        <v/>
      </c>
      <c r="D47" s="153"/>
      <c r="F47" s="155"/>
      <c r="G47" s="153"/>
      <c r="H47" s="153" t="str">
        <f>IFERROR(VLOOKUP(G47,'AT class'!$A$3:$G1000,7,),"")</f>
        <v/>
      </c>
      <c r="I47" s="154" t="str">
        <f>IFERROR(VLOOKUP(G47,'AT class'!$A$3:$C1000,3,),"")</f>
        <v/>
      </c>
      <c r="J47" s="153"/>
      <c r="K47" s="153" t="str">
        <f>IFERROR(VLOOKUP(J47,'AT class'!$A$3:$G1000,7,),"")</f>
        <v/>
      </c>
      <c r="L47" s="154" t="str">
        <f>IFERROR(VLOOKUP(J47,'AT class'!$A$3:$C1000,3,),"")</f>
        <v/>
      </c>
      <c r="M47" s="153"/>
      <c r="N47" s="153" t="str">
        <f>IFERROR(VLOOKUP(M47,'AT class'!$A$3:$G1000,7,),"")</f>
        <v/>
      </c>
      <c r="O47" s="154" t="str">
        <f>IFERROR(VLOOKUP(M47,'AT class'!$A$3:$C1000,3,),"")</f>
        <v/>
      </c>
    </row>
    <row r="48">
      <c r="A48" s="152"/>
      <c r="C48" s="154" t="str">
        <f>IFERROR(VLOOKUP(A48,'AT class'!$A$3:$C1000,3,),"")</f>
        <v/>
      </c>
      <c r="D48" s="153"/>
      <c r="F48" s="155"/>
      <c r="G48" s="153"/>
      <c r="H48" s="153" t="str">
        <f>IFERROR(VLOOKUP(G48,'AT class'!$A$3:$G1000,7,),"")</f>
        <v/>
      </c>
      <c r="I48" s="154" t="str">
        <f>IFERROR(VLOOKUP(G48,'AT class'!$A$3:$C1000,3,),"")</f>
        <v/>
      </c>
      <c r="J48" s="153"/>
      <c r="K48" s="153" t="str">
        <f>IFERROR(VLOOKUP(J48,'AT class'!$A$3:$G1000,7,),"")</f>
        <v/>
      </c>
      <c r="L48" s="154" t="str">
        <f>IFERROR(VLOOKUP(J48,'AT class'!$A$3:$C1000,3,),"")</f>
        <v/>
      </c>
      <c r="M48" s="153"/>
      <c r="N48" s="153" t="str">
        <f>IFERROR(VLOOKUP(M48,'AT class'!$A$3:$G1000,7,),"")</f>
        <v/>
      </c>
      <c r="O48" s="154" t="str">
        <f>IFERROR(VLOOKUP(M48,'AT class'!$A$3:$C1000,3,),"")</f>
        <v/>
      </c>
    </row>
    <row r="49">
      <c r="A49" s="152"/>
      <c r="C49" s="154" t="str">
        <f>IFERROR(VLOOKUP(A49,'AT class'!$A$3:$C1000,3,),"")</f>
        <v/>
      </c>
      <c r="D49" s="153"/>
      <c r="F49" s="155"/>
      <c r="G49" s="153"/>
      <c r="H49" s="153" t="str">
        <f>IFERROR(VLOOKUP(G49,'AT class'!$A$3:$G1000,7,),"")</f>
        <v/>
      </c>
      <c r="I49" s="154" t="str">
        <f>IFERROR(VLOOKUP(G49,'AT class'!$A$3:$C1000,3,),"")</f>
        <v/>
      </c>
      <c r="J49" s="153"/>
      <c r="K49" s="153" t="str">
        <f>IFERROR(VLOOKUP(J49,'AT class'!$A$3:$G1000,7,),"")</f>
        <v/>
      </c>
      <c r="L49" s="154" t="str">
        <f>IFERROR(VLOOKUP(J49,'AT class'!$A$3:$C1000,3,),"")</f>
        <v/>
      </c>
      <c r="M49" s="153"/>
      <c r="N49" s="153" t="str">
        <f>IFERROR(VLOOKUP(M49,'AT class'!$A$3:$G1000,7,),"")</f>
        <v/>
      </c>
      <c r="O49" s="154" t="str">
        <f>IFERROR(VLOOKUP(M49,'AT class'!$A$3:$C1000,3,),"")</f>
        <v/>
      </c>
    </row>
    <row r="50">
      <c r="A50" s="152"/>
      <c r="C50" s="154" t="str">
        <f>IFERROR(VLOOKUP(A50,'AT class'!$A$3:$C1000,3,),"")</f>
        <v/>
      </c>
      <c r="D50" s="153"/>
      <c r="F50" s="155"/>
      <c r="G50" s="153"/>
      <c r="H50" s="153" t="str">
        <f>IFERROR(VLOOKUP(G50,'AT class'!$A$3:$G1000,7,),"")</f>
        <v/>
      </c>
      <c r="I50" s="154" t="str">
        <f>IFERROR(VLOOKUP(G50,'AT class'!$A$3:$C1000,3,),"")</f>
        <v/>
      </c>
      <c r="J50" s="153"/>
      <c r="K50" s="153" t="str">
        <f>IFERROR(VLOOKUP(J50,'AT class'!$A$3:$G1000,7,),"")</f>
        <v/>
      </c>
      <c r="L50" s="154" t="str">
        <f>IFERROR(VLOOKUP(J50,'AT class'!$A$3:$C1000,3,),"")</f>
        <v/>
      </c>
      <c r="M50" s="153"/>
      <c r="N50" s="153" t="str">
        <f>IFERROR(VLOOKUP(M50,'AT class'!$A$3:$G1000,7,),"")</f>
        <v/>
      </c>
      <c r="O50" s="154" t="str">
        <f>IFERROR(VLOOKUP(M50,'AT class'!$A$3:$C1000,3,),"")</f>
        <v/>
      </c>
    </row>
    <row r="51">
      <c r="A51" s="152"/>
      <c r="C51" s="155"/>
      <c r="D51" s="153"/>
      <c r="F51" s="155"/>
      <c r="G51" s="153"/>
      <c r="H51" s="153" t="str">
        <f>IFERROR(VLOOKUP(G51,'AT class'!$A$3:$G1000,7,),"")</f>
        <v/>
      </c>
      <c r="I51" s="154" t="str">
        <f>IFERROR(VLOOKUP(G51,'AT class'!$A$3:$C1000,3,),"")</f>
        <v/>
      </c>
      <c r="J51" s="153"/>
      <c r="K51" s="153" t="str">
        <f>IFERROR(VLOOKUP(J51,'AT class'!$A$3:$G1000,7,),"")</f>
        <v/>
      </c>
      <c r="L51" s="154" t="str">
        <f>IFERROR(VLOOKUP(J51,'AT class'!$A$3:$C1000,3,),"")</f>
        <v/>
      </c>
      <c r="M51" s="153"/>
      <c r="N51" s="153" t="str">
        <f>IFERROR(VLOOKUP(M51,'AT class'!$A$3:$G1000,7,),"")</f>
        <v/>
      </c>
      <c r="O51" s="154" t="str">
        <f>IFERROR(VLOOKUP(M51,'AT class'!$A$3:$C1000,3,),"")</f>
        <v/>
      </c>
    </row>
    <row r="52">
      <c r="A52" s="152"/>
      <c r="C52" s="155"/>
      <c r="D52" s="153"/>
      <c r="F52" s="155"/>
      <c r="G52" s="153"/>
      <c r="H52" s="153" t="str">
        <f>IFERROR(VLOOKUP(G52,'AT class'!$A$3:$G1000,7,),"")</f>
        <v/>
      </c>
      <c r="I52" s="154" t="str">
        <f>IFERROR(VLOOKUP(G52,'AT class'!$A$3:$C1000,3,),"")</f>
        <v/>
      </c>
      <c r="J52" s="153"/>
      <c r="K52" s="153" t="str">
        <f>IFERROR(VLOOKUP(J52,'AT class'!$A$3:$G1000,7,),"")</f>
        <v/>
      </c>
      <c r="L52" s="154" t="str">
        <f>IFERROR(VLOOKUP(J52,'AT class'!$A$3:$C1000,3,),"")</f>
        <v/>
      </c>
      <c r="M52" s="153"/>
      <c r="N52" s="153" t="str">
        <f>IFERROR(VLOOKUP(M52,'AT class'!$A$3:$G1000,7,),"")</f>
        <v/>
      </c>
      <c r="O52" s="154" t="str">
        <f>IFERROR(VLOOKUP(M52,'AT class'!$A$3:$C1000,3,),"")</f>
        <v/>
      </c>
    </row>
    <row r="53">
      <c r="A53" s="152"/>
      <c r="C53" s="155"/>
      <c r="D53" s="153"/>
      <c r="F53" s="155"/>
      <c r="G53" s="153"/>
      <c r="H53" s="153" t="str">
        <f>IFERROR(VLOOKUP(G53,'AT class'!$A$3:$G1000,7,),"")</f>
        <v/>
      </c>
      <c r="I53" s="154" t="str">
        <f>IFERROR(VLOOKUP(G53,'AT class'!$A$3:$C1000,3,),"")</f>
        <v/>
      </c>
      <c r="J53" s="153"/>
      <c r="K53" s="153" t="str">
        <f>IFERROR(VLOOKUP(J53,'AT class'!$A$3:$G1000,7,),"")</f>
        <v/>
      </c>
      <c r="L53" s="154" t="str">
        <f>IFERROR(VLOOKUP(J53,'AT class'!$A$3:$C1000,3,),"")</f>
        <v/>
      </c>
      <c r="M53" s="153"/>
      <c r="N53" s="153" t="str">
        <f>IFERROR(VLOOKUP(M53,'AT class'!$A$3:$G1000,7,),"")</f>
        <v/>
      </c>
      <c r="O53" s="154" t="str">
        <f>IFERROR(VLOOKUP(M53,'AT class'!$A$3:$C1000,3,),"")</f>
        <v/>
      </c>
    </row>
    <row r="54">
      <c r="A54" s="152"/>
      <c r="C54" s="154" t="str">
        <f>IFERROR(VLOOKUP(A54,'AT class'!$A$3:$C1000,3,),"")</f>
        <v/>
      </c>
      <c r="D54" s="153"/>
      <c r="F54" s="155"/>
      <c r="G54" s="153"/>
      <c r="H54" s="153" t="str">
        <f>IFERROR(VLOOKUP(G54,'AT class'!$A$3:$G1000,7,),"")</f>
        <v/>
      </c>
      <c r="I54" s="154" t="str">
        <f>IFERROR(VLOOKUP(G54,'AT class'!$A$3:$C1000,3,),"")</f>
        <v/>
      </c>
      <c r="J54" s="153"/>
      <c r="K54" s="153" t="str">
        <f>IFERROR(VLOOKUP(J54,'AT class'!$A$3:$G1000,7,),"")</f>
        <v/>
      </c>
      <c r="L54" s="154" t="str">
        <f>IFERROR(VLOOKUP(J54,'AT class'!$A$3:$C1000,3,),"")</f>
        <v/>
      </c>
      <c r="M54" s="153"/>
      <c r="N54" s="153" t="str">
        <f>IFERROR(VLOOKUP(M54,'AT class'!$A$3:$G1000,7,),"")</f>
        <v/>
      </c>
      <c r="O54" s="154" t="str">
        <f>IFERROR(VLOOKUP(M54,'AT class'!$A$3:$C1000,3,),"")</f>
        <v/>
      </c>
    </row>
    <row r="55">
      <c r="A55" s="152"/>
      <c r="C55" s="154" t="str">
        <f>IFERROR(VLOOKUP(A55,'AT class'!$A$3:$C1000,3,),"")</f>
        <v/>
      </c>
      <c r="D55" s="153"/>
      <c r="F55" s="155"/>
      <c r="G55" s="153"/>
      <c r="H55" s="153" t="str">
        <f>IFERROR(VLOOKUP(G55,'AT class'!$A$3:$G1000,7,),"")</f>
        <v/>
      </c>
      <c r="I55" s="154" t="str">
        <f>IFERROR(VLOOKUP(G55,'AT class'!$A$3:$C1000,3,),"")</f>
        <v/>
      </c>
      <c r="J55" s="153"/>
      <c r="K55" s="153" t="str">
        <f>IFERROR(VLOOKUP(J55,'AT class'!$A$3:$G1000,7,),"")</f>
        <v/>
      </c>
      <c r="L55" s="154" t="str">
        <f>IFERROR(VLOOKUP(J55,'AT class'!$A$3:$C1000,3,),"")</f>
        <v/>
      </c>
      <c r="M55" s="153"/>
      <c r="N55" s="153" t="str">
        <f>IFERROR(VLOOKUP(M55,'AT class'!$A$3:$G1000,7,),"")</f>
        <v/>
      </c>
      <c r="O55" s="154" t="str">
        <f>IFERROR(VLOOKUP(M55,'AT class'!$A$3:$C1000,3,),"")</f>
        <v/>
      </c>
    </row>
    <row r="56">
      <c r="A56" s="152"/>
      <c r="C56" s="154" t="str">
        <f>IFERROR(VLOOKUP(A56,'AT class'!$A$3:$C1000,3,),"")</f>
        <v/>
      </c>
      <c r="D56" s="153"/>
      <c r="F56" s="155"/>
      <c r="G56" s="153"/>
      <c r="H56" s="153" t="str">
        <f>IFERROR(VLOOKUP(G56,'AT class'!$A$3:$G1000,7,),"")</f>
        <v/>
      </c>
      <c r="I56" s="154" t="str">
        <f>IFERROR(VLOOKUP(G56,'AT class'!$A$3:$C1000,3,),"")</f>
        <v/>
      </c>
      <c r="J56" s="153"/>
      <c r="K56" s="153" t="str">
        <f>IFERROR(VLOOKUP(J56,'AT class'!$A$3:$G1000,7,),"")</f>
        <v/>
      </c>
      <c r="L56" s="154" t="str">
        <f>IFERROR(VLOOKUP(J56,'AT class'!$A$3:$C1000,3,),"")</f>
        <v/>
      </c>
      <c r="M56" s="153"/>
      <c r="N56" s="153" t="str">
        <f>IFERROR(VLOOKUP(M56,'AT class'!$A$3:$G1000,7,),"")</f>
        <v/>
      </c>
      <c r="O56" s="154" t="str">
        <f>IFERROR(VLOOKUP(M56,'AT class'!$A$3:$C1000,3,),"")</f>
        <v/>
      </c>
    </row>
    <row r="57">
      <c r="A57" s="152"/>
      <c r="C57" s="154" t="str">
        <f>IFERROR(VLOOKUP(A57,'AT class'!$A$3:$C1000,3,),"")</f>
        <v/>
      </c>
      <c r="D57" s="153"/>
      <c r="F57" s="155"/>
      <c r="G57" s="153"/>
      <c r="H57" s="153" t="str">
        <f>IFERROR(VLOOKUP(G57,'AT class'!$A$3:$G1000,7,),"")</f>
        <v/>
      </c>
      <c r="I57" s="154" t="str">
        <f>IFERROR(VLOOKUP(G57,'AT class'!$A$3:$C1000,3,),"")</f>
        <v/>
      </c>
      <c r="J57" s="153"/>
      <c r="K57" s="153" t="str">
        <f>IFERROR(VLOOKUP(J57,'AT class'!$A$3:$G1000,7,),"")</f>
        <v/>
      </c>
      <c r="L57" s="154" t="str">
        <f>IFERROR(VLOOKUP(J57,'AT class'!$A$3:$C1000,3,),"")</f>
        <v/>
      </c>
      <c r="M57" s="153"/>
      <c r="N57" s="153" t="str">
        <f>IFERROR(VLOOKUP(M57,'AT class'!$A$3:$G1000,7,),"")</f>
        <v/>
      </c>
      <c r="O57" s="154" t="str">
        <f>IFERROR(VLOOKUP(M57,'AT class'!$A$3:$C1000,3,),"")</f>
        <v/>
      </c>
    </row>
    <row r="58">
      <c r="A58" s="152"/>
      <c r="C58" s="154" t="str">
        <f>IFERROR(VLOOKUP(A58,'AT class'!$A$3:$C1000,3,),"")</f>
        <v/>
      </c>
      <c r="D58" s="153"/>
      <c r="F58" s="155"/>
      <c r="G58" s="153"/>
      <c r="H58" s="153" t="str">
        <f>IFERROR(VLOOKUP(G58,'AT class'!$A$3:$G1000,7,),"")</f>
        <v/>
      </c>
      <c r="I58" s="154" t="str">
        <f>IFERROR(VLOOKUP(G58,'AT class'!$A$3:$C1000,3,),"")</f>
        <v/>
      </c>
      <c r="J58" s="153"/>
      <c r="K58" s="153" t="str">
        <f>IFERROR(VLOOKUP(J58,'AT class'!$A$3:$G1000,7,),"")</f>
        <v/>
      </c>
      <c r="L58" s="154" t="str">
        <f>IFERROR(VLOOKUP(J58,'AT class'!$A$3:$C1000,3,),"")</f>
        <v/>
      </c>
      <c r="M58" s="153"/>
      <c r="N58" s="153" t="str">
        <f>IFERROR(VLOOKUP(M58,'AT class'!$A$3:$G1000,7,),"")</f>
        <v/>
      </c>
      <c r="O58" s="154" t="str">
        <f>IFERROR(VLOOKUP(M58,'AT class'!$A$3:$C1000,3,),"")</f>
        <v/>
      </c>
    </row>
    <row r="59">
      <c r="A59" s="152"/>
      <c r="C59" s="154" t="str">
        <f>IFERROR(VLOOKUP(A59,'AT class'!$A$3:$C1000,3,),"")</f>
        <v/>
      </c>
      <c r="D59" s="153"/>
      <c r="F59" s="155"/>
      <c r="G59" s="153"/>
      <c r="H59" s="153" t="str">
        <f>IFERROR(VLOOKUP(G59,'AT class'!$A$3:$G1000,7,),"")</f>
        <v/>
      </c>
      <c r="I59" s="154" t="str">
        <f>IFERROR(VLOOKUP(G59,'AT class'!$A$3:$C1000,3,),"")</f>
        <v/>
      </c>
      <c r="J59" s="153"/>
      <c r="K59" s="153" t="str">
        <f>IFERROR(VLOOKUP(J59,'AT class'!$A$3:$G1000,7,),"")</f>
        <v/>
      </c>
      <c r="L59" s="154" t="str">
        <f>IFERROR(VLOOKUP(J59,'AT class'!$A$3:$C1000,3,),"")</f>
        <v/>
      </c>
      <c r="M59" s="153"/>
      <c r="N59" s="153" t="str">
        <f>IFERROR(VLOOKUP(M59,'AT class'!$A$3:$G1000,7,),"")</f>
        <v/>
      </c>
      <c r="O59" s="154" t="str">
        <f>IFERROR(VLOOKUP(M59,'AT class'!$A$3:$C1000,3,),"")</f>
        <v/>
      </c>
    </row>
    <row r="60">
      <c r="A60" s="152"/>
      <c r="C60" s="154" t="str">
        <f>IFERROR(VLOOKUP(A60,'AT class'!$A$3:$C1000,3,),"")</f>
        <v/>
      </c>
      <c r="D60" s="153"/>
      <c r="F60" s="155"/>
      <c r="G60" s="153"/>
      <c r="H60" s="153" t="str">
        <f>IFERROR(VLOOKUP(G60,'AT class'!$A$3:$G1000,7,),"")</f>
        <v/>
      </c>
      <c r="I60" s="154" t="str">
        <f>IFERROR(VLOOKUP(G60,'AT class'!$A$3:$C1000,3,),"")</f>
        <v/>
      </c>
      <c r="J60" s="153"/>
      <c r="K60" s="153" t="str">
        <f>IFERROR(VLOOKUP(J60,'AT class'!$A$3:$G1000,7,),"")</f>
        <v/>
      </c>
      <c r="L60" s="154" t="str">
        <f>IFERROR(VLOOKUP(J60,'AT class'!$A$3:$C1000,3,),"")</f>
        <v/>
      </c>
      <c r="M60" s="153"/>
      <c r="N60" s="153" t="str">
        <f>IFERROR(VLOOKUP(M60,'AT class'!$A$3:$G1000,7,),"")</f>
        <v/>
      </c>
      <c r="O60" s="154" t="str">
        <f>IFERROR(VLOOKUP(M60,'AT class'!$A$3:$C1000,3,),"")</f>
        <v/>
      </c>
    </row>
    <row r="61">
      <c r="A61" s="152"/>
      <c r="C61" s="154" t="str">
        <f>IFERROR(VLOOKUP(A61,'AT class'!$A$3:$C1000,3,),"")</f>
        <v/>
      </c>
      <c r="D61" s="153"/>
      <c r="F61" s="155"/>
      <c r="G61" s="153"/>
      <c r="H61" s="153" t="str">
        <f>IFERROR(VLOOKUP(G61,'AT class'!$A$3:$G1000,7,),"")</f>
        <v/>
      </c>
      <c r="I61" s="154" t="str">
        <f>IFERROR(VLOOKUP(G61,'AT class'!$A$3:$C1000,3,),"")</f>
        <v/>
      </c>
      <c r="J61" s="153"/>
      <c r="K61" s="153" t="str">
        <f>IFERROR(VLOOKUP(J61,'AT class'!$A$3:$G1000,7,),"")</f>
        <v/>
      </c>
      <c r="L61" s="154" t="str">
        <f>IFERROR(VLOOKUP(J61,'AT class'!$A$3:$C1000,3,),"")</f>
        <v/>
      </c>
      <c r="M61" s="153"/>
      <c r="N61" s="153" t="str">
        <f>IFERROR(VLOOKUP(M61,'AT class'!$A$3:$G1000,7,),"")</f>
        <v/>
      </c>
      <c r="O61" s="154" t="str">
        <f>IFERROR(VLOOKUP(M61,'AT class'!$A$3:$C1000,3,),"")</f>
        <v/>
      </c>
    </row>
    <row r="62">
      <c r="A62" s="152"/>
      <c r="C62" s="154" t="str">
        <f>IFERROR(VLOOKUP(A62,'AT class'!$A$3:$C1000,3,),"")</f>
        <v/>
      </c>
      <c r="D62" s="153"/>
      <c r="F62" s="155"/>
      <c r="G62" s="153"/>
      <c r="H62" s="153" t="str">
        <f>IFERROR(VLOOKUP(G62,'AT class'!$A$3:$G1000,7,),"")</f>
        <v/>
      </c>
      <c r="I62" s="154" t="str">
        <f>IFERROR(VLOOKUP(G62,'AT class'!$A$3:$C1000,3,),"")</f>
        <v/>
      </c>
      <c r="J62" s="153"/>
      <c r="K62" s="153" t="str">
        <f>IFERROR(VLOOKUP(J62,'AT class'!$A$3:$G1000,7,),"")</f>
        <v/>
      </c>
      <c r="L62" s="154" t="str">
        <f>IFERROR(VLOOKUP(J62,'AT class'!$A$3:$C1000,3,),"")</f>
        <v/>
      </c>
      <c r="M62" s="153"/>
      <c r="N62" s="153" t="str">
        <f>IFERROR(VLOOKUP(M62,'AT class'!$A$3:$G1000,7,),"")</f>
        <v/>
      </c>
      <c r="O62" s="154" t="str">
        <f>IFERROR(VLOOKUP(M62,'AT class'!$A$3:$C1000,3,),"")</f>
        <v/>
      </c>
    </row>
    <row r="63">
      <c r="A63" s="152"/>
      <c r="C63" s="154" t="str">
        <f>IFERROR(VLOOKUP(A63,'AT class'!$A$3:$C1000,3,),"")</f>
        <v/>
      </c>
      <c r="D63" s="153"/>
      <c r="F63" s="155"/>
      <c r="G63" s="153"/>
      <c r="H63" s="153" t="str">
        <f>IFERROR(VLOOKUP(G63,'AT class'!$A$3:$G1000,7,),"")</f>
        <v/>
      </c>
      <c r="I63" s="154" t="str">
        <f>IFERROR(VLOOKUP(G63,'AT class'!$A$3:$C1000,3,),"")</f>
        <v/>
      </c>
      <c r="J63" s="153"/>
      <c r="K63" s="153" t="str">
        <f>IFERROR(VLOOKUP(J63,'AT class'!$A$3:$G1000,7,),"")</f>
        <v/>
      </c>
      <c r="L63" s="154" t="str">
        <f>IFERROR(VLOOKUP(J63,'AT class'!$A$3:$C1000,3,),"")</f>
        <v/>
      </c>
      <c r="M63" s="153"/>
      <c r="N63" s="153" t="str">
        <f>IFERROR(VLOOKUP(M63,'AT class'!$A$3:$G1000,7,),"")</f>
        <v/>
      </c>
      <c r="O63" s="154" t="str">
        <f>IFERROR(VLOOKUP(M63,'AT class'!$A$3:$C1000,3,),"")</f>
        <v/>
      </c>
    </row>
    <row r="64">
      <c r="A64" s="152"/>
      <c r="C64" s="154" t="str">
        <f>IFERROR(VLOOKUP(A64,'AT class'!$A$3:$C1000,3,),"")</f>
        <v/>
      </c>
      <c r="D64" s="153"/>
      <c r="F64" s="155"/>
      <c r="G64" s="153"/>
      <c r="H64" s="153" t="str">
        <f>IFERROR(VLOOKUP(G64,'AT class'!$A$3:$G1000,7,),"")</f>
        <v/>
      </c>
      <c r="I64" s="154" t="str">
        <f>IFERROR(VLOOKUP(G64,'AT class'!$A$3:$C1000,3,),"")</f>
        <v/>
      </c>
      <c r="J64" s="153"/>
      <c r="K64" s="153" t="str">
        <f>IFERROR(VLOOKUP(J64,'AT class'!$A$3:$G1000,7,),"")</f>
        <v/>
      </c>
      <c r="L64" s="154" t="str">
        <f>IFERROR(VLOOKUP(J64,'AT class'!$A$3:$C1000,3,),"")</f>
        <v/>
      </c>
      <c r="M64" s="153"/>
      <c r="N64" s="153" t="str">
        <f>IFERROR(VLOOKUP(M64,'AT class'!$A$3:$G1000,7,),"")</f>
        <v/>
      </c>
      <c r="O64" s="154" t="str">
        <f>IFERROR(VLOOKUP(M64,'AT class'!$A$3:$C1000,3,),"")</f>
        <v/>
      </c>
    </row>
    <row r="65">
      <c r="A65" s="152"/>
      <c r="C65" s="154" t="str">
        <f>IFERROR(VLOOKUP(A65,'AT class'!$A$3:$C1000,3,),"")</f>
        <v/>
      </c>
      <c r="D65" s="153"/>
      <c r="F65" s="155"/>
      <c r="G65" s="153"/>
      <c r="H65" s="153" t="str">
        <f>IFERROR(VLOOKUP(G65,'AT class'!$A$3:$G1000,7,),"")</f>
        <v/>
      </c>
      <c r="I65" s="154" t="str">
        <f>IFERROR(VLOOKUP(G65,'AT class'!$A$3:$C1000,3,),"")</f>
        <v/>
      </c>
      <c r="J65" s="153"/>
      <c r="K65" s="153" t="str">
        <f>IFERROR(VLOOKUP(J65,'AT class'!$A$3:$G1000,7,),"")</f>
        <v/>
      </c>
      <c r="L65" s="154" t="str">
        <f>IFERROR(VLOOKUP(J65,'AT class'!$A$3:$C1000,3,),"")</f>
        <v/>
      </c>
      <c r="M65" s="153"/>
      <c r="N65" s="153" t="str">
        <f>IFERROR(VLOOKUP(M65,'AT class'!$A$3:$G1000,7,),"")</f>
        <v/>
      </c>
      <c r="O65" s="154" t="str">
        <f>IFERROR(VLOOKUP(M65,'AT class'!$A$3:$C1000,3,),"")</f>
        <v/>
      </c>
    </row>
    <row r="66">
      <c r="A66" s="152"/>
      <c r="C66" s="154" t="str">
        <f>IFERROR(VLOOKUP(A66,'AT class'!$A$3:$C1000,3,),"")</f>
        <v/>
      </c>
      <c r="D66" s="153"/>
      <c r="F66" s="155"/>
      <c r="G66" s="153"/>
      <c r="H66" s="153" t="str">
        <f>IFERROR(VLOOKUP(G66,'AT class'!$A$3:$G1000,7,),"")</f>
        <v/>
      </c>
      <c r="I66" s="154" t="str">
        <f>IFERROR(VLOOKUP(G66,'AT class'!$A$3:$C1000,3,),"")</f>
        <v/>
      </c>
      <c r="J66" s="153"/>
      <c r="K66" s="153" t="str">
        <f>IFERROR(VLOOKUP(J66,'AT class'!$A$3:$G1000,7,),"")</f>
        <v/>
      </c>
      <c r="L66" s="154" t="str">
        <f>IFERROR(VLOOKUP(J66,'AT class'!$A$3:$C1000,3,),"")</f>
        <v/>
      </c>
      <c r="M66" s="153"/>
      <c r="N66" s="153" t="str">
        <f>IFERROR(VLOOKUP(M66,'AT class'!$A$3:$G1000,7,),"")</f>
        <v/>
      </c>
      <c r="O66" s="154" t="str">
        <f>IFERROR(VLOOKUP(M66,'AT class'!$A$3:$C1000,3,),"")</f>
        <v/>
      </c>
    </row>
    <row r="67">
      <c r="A67" s="152"/>
      <c r="C67" s="154" t="str">
        <f>IFERROR(VLOOKUP(A67,'AT class'!$A$3:$C1000,3,),"")</f>
        <v/>
      </c>
      <c r="D67" s="153"/>
      <c r="F67" s="155"/>
      <c r="G67" s="153"/>
      <c r="H67" s="153" t="str">
        <f>IFERROR(VLOOKUP(G67,'AT class'!$A$3:$G1000,7,),"")</f>
        <v/>
      </c>
      <c r="I67" s="154" t="str">
        <f>IFERROR(VLOOKUP(G67,'AT class'!$A$3:$C1000,3,),"")</f>
        <v/>
      </c>
      <c r="J67" s="153"/>
      <c r="K67" s="153" t="str">
        <f>IFERROR(VLOOKUP(J67,'AT class'!$A$3:$G1000,7,),"")</f>
        <v/>
      </c>
      <c r="L67" s="154" t="str">
        <f>IFERROR(VLOOKUP(J67,'AT class'!$A$3:$C1000,3,),"")</f>
        <v/>
      </c>
      <c r="M67" s="153"/>
      <c r="N67" s="153" t="str">
        <f>IFERROR(VLOOKUP(M67,'AT class'!$A$3:$G1000,7,),"")</f>
        <v/>
      </c>
      <c r="O67" s="154" t="str">
        <f>IFERROR(VLOOKUP(M67,'AT class'!$A$3:$C1000,3,),"")</f>
        <v/>
      </c>
    </row>
    <row r="68">
      <c r="A68" s="152"/>
      <c r="C68" s="154" t="str">
        <f>IFERROR(VLOOKUP(A68,'AT class'!$A$3:$C1000,3,),"")</f>
        <v/>
      </c>
      <c r="D68" s="153"/>
      <c r="F68" s="155"/>
      <c r="G68" s="153"/>
      <c r="H68" s="153" t="str">
        <f>IFERROR(VLOOKUP(G68,'AT class'!$A$3:$G1000,7,),"")</f>
        <v/>
      </c>
      <c r="I68" s="154" t="str">
        <f>IFERROR(VLOOKUP(G68,'AT class'!$A$3:$C1000,3,),"")</f>
        <v/>
      </c>
      <c r="J68" s="153"/>
      <c r="K68" s="153" t="str">
        <f>IFERROR(VLOOKUP(J68,'AT class'!$A$3:$G1000,7,),"")</f>
        <v/>
      </c>
      <c r="L68" s="154" t="str">
        <f>IFERROR(VLOOKUP(J68,'AT class'!$A$3:$C1000,3,),"")</f>
        <v/>
      </c>
      <c r="M68" s="153"/>
      <c r="N68" s="153" t="str">
        <f>IFERROR(VLOOKUP(M68,'AT class'!$A$3:$G1000,7,),"")</f>
        <v/>
      </c>
      <c r="O68" s="154" t="str">
        <f>IFERROR(VLOOKUP(M68,'AT class'!$A$3:$C1000,3,),"")</f>
        <v/>
      </c>
    </row>
    <row r="69">
      <c r="A69" s="152"/>
      <c r="C69" s="154" t="str">
        <f>IFERROR(VLOOKUP(A69,'AT class'!$A$3:$C1000,3,),"")</f>
        <v/>
      </c>
      <c r="D69" s="153"/>
      <c r="F69" s="155"/>
      <c r="G69" s="153"/>
      <c r="H69" s="153" t="str">
        <f>IFERROR(VLOOKUP(G69,'AT class'!$A$3:$G1000,7,),"")</f>
        <v/>
      </c>
      <c r="I69" s="154" t="str">
        <f>IFERROR(VLOOKUP(G69,'AT class'!$A$3:$C1000,3,),"")</f>
        <v/>
      </c>
      <c r="J69" s="153"/>
      <c r="K69" s="153" t="str">
        <f>IFERROR(VLOOKUP(J69,'AT class'!$A$3:$G1000,7,),"")</f>
        <v/>
      </c>
      <c r="L69" s="154" t="str">
        <f>IFERROR(VLOOKUP(J69,'AT class'!$A$3:$C1000,3,),"")</f>
        <v/>
      </c>
      <c r="M69" s="153"/>
      <c r="N69" s="153" t="str">
        <f>IFERROR(VLOOKUP(M69,'AT class'!$A$3:$G1000,7,),"")</f>
        <v/>
      </c>
      <c r="O69" s="154" t="str">
        <f>IFERROR(VLOOKUP(M69,'AT class'!$A$3:$C1000,3,),"")</f>
        <v/>
      </c>
    </row>
    <row r="70">
      <c r="A70" s="152"/>
      <c r="C70" s="154" t="str">
        <f>IFERROR(VLOOKUP(A70,'AT class'!$A$3:$C1000,3,),"")</f>
        <v/>
      </c>
      <c r="D70" s="153"/>
      <c r="F70" s="155"/>
      <c r="G70" s="153"/>
      <c r="H70" s="153" t="str">
        <f>IFERROR(VLOOKUP(G70,'AT class'!$A$3:$G1000,7,),"")</f>
        <v/>
      </c>
      <c r="I70" s="154" t="str">
        <f>IFERROR(VLOOKUP(G70,'AT class'!$A$3:$C1000,3,),"")</f>
        <v/>
      </c>
      <c r="J70" s="153"/>
      <c r="K70" s="153" t="str">
        <f>IFERROR(VLOOKUP(J70,'AT class'!$A$3:$G1000,7,),"")</f>
        <v/>
      </c>
      <c r="L70" s="154" t="str">
        <f>IFERROR(VLOOKUP(J70,'AT class'!$A$3:$C1000,3,),"")</f>
        <v/>
      </c>
      <c r="M70" s="153"/>
      <c r="N70" s="153" t="str">
        <f>IFERROR(VLOOKUP(M70,'AT class'!$A$3:$G1000,7,),"")</f>
        <v/>
      </c>
      <c r="O70" s="154" t="str">
        <f>IFERROR(VLOOKUP(M70,'AT class'!$A$3:$C1000,3,),"")</f>
        <v/>
      </c>
    </row>
    <row r="71">
      <c r="A71" s="152"/>
      <c r="C71" s="154" t="str">
        <f>IFERROR(VLOOKUP(A71,'AT class'!$A$3:$C1000,3,),"")</f>
        <v/>
      </c>
      <c r="D71" s="153"/>
      <c r="F71" s="155"/>
      <c r="G71" s="153"/>
      <c r="H71" s="153" t="str">
        <f>IFERROR(VLOOKUP(G71,'AT class'!$A$3:$G1000,7,),"")</f>
        <v/>
      </c>
      <c r="I71" s="154" t="str">
        <f>IFERROR(VLOOKUP(G71,'AT class'!$A$3:$C1000,3,),"")</f>
        <v/>
      </c>
      <c r="J71" s="153"/>
      <c r="K71" s="153" t="str">
        <f>IFERROR(VLOOKUP(J71,'AT class'!$A$3:$G1000,7,),"")</f>
        <v/>
      </c>
      <c r="L71" s="154" t="str">
        <f>IFERROR(VLOOKUP(J71,'AT class'!$A$3:$C1000,3,),"")</f>
        <v/>
      </c>
      <c r="M71" s="153"/>
      <c r="N71" s="153" t="str">
        <f>IFERROR(VLOOKUP(M71,'AT class'!$A$3:$G1000,7,),"")</f>
        <v/>
      </c>
      <c r="O71" s="154" t="str">
        <f>IFERROR(VLOOKUP(M71,'AT class'!$A$3:$C1000,3,),"")</f>
        <v/>
      </c>
    </row>
    <row r="72">
      <c r="A72" s="152"/>
      <c r="C72" s="154" t="str">
        <f>IFERROR(VLOOKUP(A72,'AT class'!$A$3:$C1000,3,),"")</f>
        <v/>
      </c>
      <c r="D72" s="153"/>
      <c r="F72" s="155"/>
      <c r="G72" s="153"/>
      <c r="H72" s="153" t="str">
        <f>IFERROR(VLOOKUP(G72,'AT class'!$A$3:$G1000,7,),"")</f>
        <v/>
      </c>
      <c r="I72" s="154" t="str">
        <f>IFERROR(VLOOKUP(G72,'AT class'!$A$3:$C1000,3,),"")</f>
        <v/>
      </c>
      <c r="J72" s="153"/>
      <c r="K72" s="153" t="str">
        <f>IFERROR(VLOOKUP(J72,'AT class'!$A$3:$G1000,7,),"")</f>
        <v/>
      </c>
      <c r="L72" s="154" t="str">
        <f>IFERROR(VLOOKUP(J72,'AT class'!$A$3:$C1000,3,),"")</f>
        <v/>
      </c>
      <c r="M72" s="153"/>
      <c r="N72" s="153" t="str">
        <f>IFERROR(VLOOKUP(M72,'AT class'!$A$3:$G1000,7,),"")</f>
        <v/>
      </c>
      <c r="O72" s="154" t="str">
        <f>IFERROR(VLOOKUP(M72,'AT class'!$A$3:$C1000,3,),"")</f>
        <v/>
      </c>
    </row>
    <row r="73">
      <c r="A73" s="152"/>
      <c r="C73" s="154" t="str">
        <f>IFERROR(VLOOKUP(A73,'AT class'!$A$3:$C1000,3,),"")</f>
        <v/>
      </c>
      <c r="D73" s="153"/>
      <c r="F73" s="155"/>
      <c r="G73" s="153"/>
      <c r="H73" s="153" t="str">
        <f>IFERROR(VLOOKUP(G73,'AT class'!$A$3:$G1000,7,),"")</f>
        <v/>
      </c>
      <c r="I73" s="154" t="str">
        <f>IFERROR(VLOOKUP(G73,'AT class'!$A$3:$C1000,3,),"")</f>
        <v/>
      </c>
      <c r="J73" s="153"/>
      <c r="K73" s="153" t="str">
        <f>IFERROR(VLOOKUP(J73,'AT class'!$A$3:$G1000,7,),"")</f>
        <v/>
      </c>
      <c r="L73" s="154" t="str">
        <f>IFERROR(VLOOKUP(J73,'AT class'!$A$3:$C1000,3,),"")</f>
        <v/>
      </c>
      <c r="M73" s="153"/>
      <c r="N73" s="153" t="str">
        <f>IFERROR(VLOOKUP(M73,'AT class'!$A$3:$G1000,7,),"")</f>
        <v/>
      </c>
      <c r="O73" s="154" t="str">
        <f>IFERROR(VLOOKUP(M73,'AT class'!$A$3:$C1000,3,),"")</f>
        <v/>
      </c>
    </row>
    <row r="74">
      <c r="A74" s="152"/>
      <c r="C74" s="154" t="str">
        <f>IFERROR(VLOOKUP(A74,'AT class'!$A$3:$C1000,3,),"")</f>
        <v/>
      </c>
      <c r="D74" s="153"/>
      <c r="F74" s="155"/>
      <c r="G74" s="153"/>
      <c r="H74" s="153" t="str">
        <f>IFERROR(VLOOKUP(G74,'AT class'!$A$3:$G1000,7,),"")</f>
        <v/>
      </c>
      <c r="I74" s="154" t="str">
        <f>IFERROR(VLOOKUP(G74,'AT class'!$A$3:$C1000,3,),"")</f>
        <v/>
      </c>
      <c r="J74" s="153"/>
      <c r="K74" s="153" t="str">
        <f>IFERROR(VLOOKUP(J74,'AT class'!$A$3:$G1000,7,),"")</f>
        <v/>
      </c>
      <c r="L74" s="154" t="str">
        <f>IFERROR(VLOOKUP(J74,'AT class'!$A$3:$C1000,3,),"")</f>
        <v/>
      </c>
      <c r="M74" s="153"/>
      <c r="N74" s="153" t="str">
        <f>IFERROR(VLOOKUP(M74,'AT class'!$A$3:$G1000,7,),"")</f>
        <v/>
      </c>
      <c r="O74" s="154" t="str">
        <f>IFERROR(VLOOKUP(M74,'AT class'!$A$3:$C1000,3,),"")</f>
        <v/>
      </c>
    </row>
    <row r="75">
      <c r="A75" s="152"/>
      <c r="C75" s="154" t="str">
        <f>IFERROR(VLOOKUP(A75,'AT class'!$A$3:$C1000,3,),"")</f>
        <v/>
      </c>
      <c r="D75" s="153"/>
      <c r="F75" s="155"/>
      <c r="G75" s="153"/>
      <c r="H75" s="153" t="str">
        <f>IFERROR(VLOOKUP(G75,'AT class'!$A$3:$G1000,7,),"")</f>
        <v/>
      </c>
      <c r="I75" s="154" t="str">
        <f>IFERROR(VLOOKUP(G75,'AT class'!$A$3:$C1000,3,),"")</f>
        <v/>
      </c>
      <c r="J75" s="153"/>
      <c r="K75" s="153" t="str">
        <f>IFERROR(VLOOKUP(J75,'AT class'!$A$3:$G1000,7,),"")</f>
        <v/>
      </c>
      <c r="L75" s="154" t="str">
        <f>IFERROR(VLOOKUP(J75,'AT class'!$A$3:$C1000,3,),"")</f>
        <v/>
      </c>
      <c r="M75" s="153"/>
      <c r="N75" s="153" t="str">
        <f>IFERROR(VLOOKUP(M75,'AT class'!$A$3:$G1000,7,),"")</f>
        <v/>
      </c>
      <c r="O75" s="154" t="str">
        <f>IFERROR(VLOOKUP(M75,'AT class'!$A$3:$C1000,3,),"")</f>
        <v/>
      </c>
    </row>
    <row r="76">
      <c r="A76" s="152"/>
      <c r="C76" s="154" t="str">
        <f>IFERROR(VLOOKUP(A76,'AT class'!$A$3:$C1000,3,),"")</f>
        <v/>
      </c>
      <c r="D76" s="153"/>
      <c r="F76" s="155"/>
      <c r="G76" s="153"/>
      <c r="H76" s="153" t="str">
        <f>IFERROR(VLOOKUP(G76,'AT class'!$A$3:$G1000,7,),"")</f>
        <v/>
      </c>
      <c r="I76" s="154" t="str">
        <f>IFERROR(VLOOKUP(G76,'AT class'!$A$3:$C1000,3,),"")</f>
        <v/>
      </c>
      <c r="J76" s="153"/>
      <c r="K76" s="153" t="str">
        <f>IFERROR(VLOOKUP(J76,'AT class'!$A$3:$G1000,7,),"")</f>
        <v/>
      </c>
      <c r="L76" s="154" t="str">
        <f>IFERROR(VLOOKUP(J76,'AT class'!$A$3:$C1000,3,),"")</f>
        <v/>
      </c>
      <c r="M76" s="153"/>
      <c r="N76" s="153" t="str">
        <f>IFERROR(VLOOKUP(M76,'AT class'!$A$3:$G1000,7,),"")</f>
        <v/>
      </c>
      <c r="O76" s="154" t="str">
        <f>IFERROR(VLOOKUP(M76,'AT class'!$A$3:$C1000,3,),"")</f>
        <v/>
      </c>
    </row>
    <row r="77">
      <c r="A77" s="152"/>
      <c r="C77" s="155"/>
      <c r="D77" s="153"/>
      <c r="F77" s="155"/>
      <c r="G77" s="153"/>
      <c r="H77" s="153" t="str">
        <f>IFERROR(VLOOKUP(G77,'AT class'!$A$3:$G1000,7,),"")</f>
        <v/>
      </c>
      <c r="I77" s="154" t="str">
        <f>IFERROR(VLOOKUP(G77,'AT class'!$A$3:$C1000,3,),"")</f>
        <v/>
      </c>
      <c r="J77" s="153"/>
      <c r="K77" s="153" t="str">
        <f>IFERROR(VLOOKUP(J77,'AT class'!$A$3:$G1000,7,),"")</f>
        <v/>
      </c>
      <c r="L77" s="154" t="str">
        <f>IFERROR(VLOOKUP(J77,'AT class'!$A$3:$C1000,3,),"")</f>
        <v/>
      </c>
      <c r="M77" s="153"/>
      <c r="N77" s="153" t="str">
        <f>IFERROR(VLOOKUP(M77,'AT class'!$A$3:$G1000,7,),"")</f>
        <v/>
      </c>
      <c r="O77" s="154" t="str">
        <f>IFERROR(VLOOKUP(M77,'AT class'!$A$3:$C1000,3,),"")</f>
        <v/>
      </c>
    </row>
    <row r="78">
      <c r="A78" s="152"/>
      <c r="C78" s="155"/>
      <c r="D78" s="153"/>
      <c r="F78" s="155"/>
      <c r="G78" s="153"/>
      <c r="H78" s="153" t="str">
        <f>IFERROR(VLOOKUP(G78,'AT class'!$A$3:$G1000,7,),"")</f>
        <v/>
      </c>
      <c r="I78" s="154" t="str">
        <f>IFERROR(VLOOKUP(G78,'AT class'!$A$3:$C1000,3,),"")</f>
        <v/>
      </c>
      <c r="J78" s="153"/>
      <c r="K78" s="153" t="str">
        <f>IFERROR(VLOOKUP(J78,'AT class'!$A$3:$G1000,7,),"")</f>
        <v/>
      </c>
      <c r="L78" s="154" t="str">
        <f>IFERROR(VLOOKUP(J78,'AT class'!$A$3:$C1000,3,),"")</f>
        <v/>
      </c>
      <c r="M78" s="153"/>
      <c r="N78" s="153" t="str">
        <f>IFERROR(VLOOKUP(M78,'AT class'!$A$3:$G1000,7,),"")</f>
        <v/>
      </c>
      <c r="O78" s="154" t="str">
        <f>IFERROR(VLOOKUP(M78,'AT class'!$A$3:$C1000,3,),"")</f>
        <v/>
      </c>
    </row>
    <row r="79">
      <c r="A79" s="152"/>
      <c r="C79" s="155"/>
      <c r="D79" s="153"/>
      <c r="F79" s="155"/>
      <c r="G79" s="153"/>
      <c r="H79" s="153" t="str">
        <f>IFERROR(VLOOKUP(G79,'AT class'!$A$3:$G1000,7,),"")</f>
        <v/>
      </c>
      <c r="I79" s="154" t="str">
        <f>IFERROR(VLOOKUP(G79,'AT class'!$A$3:$C1000,3,),"")</f>
        <v/>
      </c>
      <c r="J79" s="153"/>
      <c r="K79" s="153" t="str">
        <f>IFERROR(VLOOKUP(J79,'AT class'!$A$3:$G1000,7,),"")</f>
        <v/>
      </c>
      <c r="L79" s="154" t="str">
        <f>IFERROR(VLOOKUP(J79,'AT class'!$A$3:$C1000,3,),"")</f>
        <v/>
      </c>
      <c r="M79" s="153"/>
      <c r="N79" s="153" t="str">
        <f>IFERROR(VLOOKUP(M79,'AT class'!$A$3:$G1000,7,),"")</f>
        <v/>
      </c>
      <c r="O79" s="154" t="str">
        <f>IFERROR(VLOOKUP(M79,'AT class'!$A$3:$C1000,3,),"")</f>
        <v/>
      </c>
    </row>
    <row r="80">
      <c r="A80" s="152"/>
      <c r="C80" s="154" t="str">
        <f>IFERROR(VLOOKUP(A80,'AT class'!$A$3:$C1000,3,),"")</f>
        <v/>
      </c>
      <c r="D80" s="153"/>
      <c r="F80" s="155"/>
      <c r="G80" s="153"/>
      <c r="H80" s="153" t="str">
        <f>IFERROR(VLOOKUP(G80,'AT class'!$A$3:$G1000,7,),"")</f>
        <v/>
      </c>
      <c r="I80" s="154" t="str">
        <f>IFERROR(VLOOKUP(G80,'AT class'!$A$3:$C1000,3,),"")</f>
        <v/>
      </c>
      <c r="J80" s="153"/>
      <c r="K80" s="153" t="str">
        <f>IFERROR(VLOOKUP(J80,'AT class'!$A$3:$G1000,7,),"")</f>
        <v/>
      </c>
      <c r="L80" s="154" t="str">
        <f>IFERROR(VLOOKUP(J80,'AT class'!$A$3:$C1000,3,),"")</f>
        <v/>
      </c>
      <c r="M80" s="153"/>
      <c r="N80" s="153" t="str">
        <f>IFERROR(VLOOKUP(M80,'AT class'!$A$3:$G1000,7,),"")</f>
        <v/>
      </c>
      <c r="O80" s="154" t="str">
        <f>IFERROR(VLOOKUP(M80,'AT class'!$A$3:$C1000,3,),"")</f>
        <v/>
      </c>
    </row>
    <row r="81">
      <c r="A81" s="152"/>
      <c r="C81" s="154" t="str">
        <f>IFERROR(VLOOKUP(A81,'AT class'!$A$3:$C1000,3,),"")</f>
        <v/>
      </c>
      <c r="D81" s="153"/>
      <c r="F81" s="155"/>
      <c r="G81" s="153"/>
      <c r="H81" s="153" t="str">
        <f>IFERROR(VLOOKUP(G81,'AT class'!$A$3:$G1000,7,),"")</f>
        <v/>
      </c>
      <c r="I81" s="154" t="str">
        <f>IFERROR(VLOOKUP(G81,'AT class'!$A$3:$C1000,3,),"")</f>
        <v/>
      </c>
      <c r="J81" s="153"/>
      <c r="K81" s="153" t="str">
        <f>IFERROR(VLOOKUP(J81,'AT class'!$A$3:$G1000,7,),"")</f>
        <v/>
      </c>
      <c r="L81" s="154" t="str">
        <f>IFERROR(VLOOKUP(J81,'AT class'!$A$3:$C1000,3,),"")</f>
        <v/>
      </c>
      <c r="M81" s="153"/>
      <c r="N81" s="153" t="str">
        <f>IFERROR(VLOOKUP(M81,'AT class'!$A$3:$G1000,7,),"")</f>
        <v/>
      </c>
      <c r="O81" s="154" t="str">
        <f>IFERROR(VLOOKUP(M81,'AT class'!$A$3:$C1000,3,),"")</f>
        <v/>
      </c>
    </row>
    <row r="82">
      <c r="A82" s="152"/>
      <c r="C82" s="154" t="str">
        <f>IFERROR(VLOOKUP(A82,'AT class'!$A$3:$C1000,3,),"")</f>
        <v/>
      </c>
      <c r="D82" s="153"/>
      <c r="F82" s="155"/>
      <c r="G82" s="153"/>
      <c r="I82" s="155"/>
      <c r="J82" s="153"/>
      <c r="K82" s="153" t="str">
        <f>IFERROR(VLOOKUP(J82,'AT class'!$A$3:$G1000,7,),"")</f>
        <v/>
      </c>
      <c r="L82" s="154" t="str">
        <f>IFERROR(VLOOKUP(J82,'AT class'!$A$3:$C1000,3,),"")</f>
        <v/>
      </c>
      <c r="M82" s="153"/>
      <c r="N82" s="153" t="str">
        <f>IFERROR(VLOOKUP(M82,'AT class'!$A$3:$G1000,7,),"")</f>
        <v/>
      </c>
      <c r="O82" s="154" t="str">
        <f>IFERROR(VLOOKUP(M82,'AT class'!$A$3:$C1000,3,),"")</f>
        <v/>
      </c>
    </row>
    <row r="83">
      <c r="A83" s="152"/>
      <c r="C83" s="154" t="str">
        <f>IFERROR(VLOOKUP(A83,'AT class'!$A$3:$C1000,3,),"")</f>
        <v/>
      </c>
      <c r="D83" s="153"/>
      <c r="F83" s="155"/>
      <c r="G83" s="153"/>
      <c r="I83" s="155"/>
      <c r="J83" s="153"/>
      <c r="L83" s="155"/>
      <c r="M83" s="153"/>
      <c r="N83" s="153" t="str">
        <f>IFERROR(VLOOKUP(M83,'AT class'!$A$3:$G1000,7,),"")</f>
        <v/>
      </c>
      <c r="O83" s="154" t="str">
        <f>IFERROR(VLOOKUP(M83,'AT class'!$A$3:$C1000,3,),"")</f>
        <v/>
      </c>
    </row>
    <row r="84">
      <c r="A84" s="152"/>
      <c r="C84" s="154" t="str">
        <f>IFERROR(VLOOKUP(A84,'AT class'!$A$3:$C1000,3,),"")</f>
        <v/>
      </c>
      <c r="D84" s="153"/>
      <c r="F84" s="155"/>
      <c r="G84" s="153"/>
      <c r="I84" s="155"/>
      <c r="J84" s="153"/>
      <c r="L84" s="155"/>
      <c r="M84" s="153"/>
      <c r="N84" s="153" t="str">
        <f>IFERROR(VLOOKUP(M84,'AT class'!$A$3:$G1000,7,),"")</f>
        <v/>
      </c>
      <c r="O84" s="154" t="str">
        <f>IFERROR(VLOOKUP(M84,'AT class'!$A$3:$C1000,3,),"")</f>
        <v/>
      </c>
    </row>
    <row r="85">
      <c r="A85" s="152"/>
      <c r="C85" s="154" t="str">
        <f>IFERROR(VLOOKUP(A85,'AT class'!$A$3:$C1000,3,),"")</f>
        <v/>
      </c>
      <c r="D85" s="153"/>
      <c r="F85" s="155"/>
      <c r="G85" s="153"/>
      <c r="I85" s="155"/>
      <c r="J85" s="153"/>
      <c r="L85" s="155"/>
      <c r="M85" s="153"/>
      <c r="N85" s="153" t="str">
        <f>IFERROR(VLOOKUP(M85,'AT class'!$A$3:$G1000,7,),"")</f>
        <v/>
      </c>
      <c r="O85" s="154" t="str">
        <f>IFERROR(VLOOKUP(M85,'AT class'!$A$3:$C1000,3,),"")</f>
        <v/>
      </c>
    </row>
    <row r="86">
      <c r="A86" s="152"/>
      <c r="C86" s="154" t="str">
        <f>IFERROR(VLOOKUP(A86,'AT class'!$A$3:$C1000,3,),"")</f>
        <v/>
      </c>
      <c r="D86" s="153"/>
      <c r="F86" s="155"/>
      <c r="G86" s="153"/>
      <c r="I86" s="155"/>
      <c r="J86" s="153"/>
      <c r="L86" s="155"/>
      <c r="M86" s="153"/>
      <c r="N86" s="153" t="str">
        <f>IFERROR(VLOOKUP(M86,'AT class'!$A$3:$G1000,7,),"")</f>
        <v/>
      </c>
      <c r="O86" s="154" t="str">
        <f>IFERROR(VLOOKUP(M86,'AT class'!$A$3:$C1000,3,),"")</f>
        <v/>
      </c>
    </row>
    <row r="87">
      <c r="A87" s="152"/>
      <c r="C87" s="154" t="str">
        <f>IFERROR(VLOOKUP(A87,'AT class'!$A$3:$C1000,3,),"")</f>
        <v/>
      </c>
      <c r="D87" s="153"/>
      <c r="F87" s="155"/>
      <c r="G87" s="153"/>
      <c r="I87" s="155"/>
      <c r="J87" s="153"/>
      <c r="L87" s="155"/>
      <c r="M87" s="153"/>
      <c r="N87" s="153" t="str">
        <f>IFERROR(VLOOKUP(M87,'AT class'!$A$3:$G1000,7,),"")</f>
        <v/>
      </c>
      <c r="O87" s="154" t="str">
        <f>IFERROR(VLOOKUP(M87,'AT class'!$A$3:$C1000,3,),"")</f>
        <v/>
      </c>
    </row>
    <row r="88">
      <c r="A88" s="152"/>
      <c r="C88" s="154" t="str">
        <f>IFERROR(VLOOKUP(A88,'AT class'!$A$3:$C1000,3,),"")</f>
        <v/>
      </c>
      <c r="D88" s="153"/>
      <c r="F88" s="155"/>
      <c r="G88" s="153"/>
      <c r="I88" s="155"/>
      <c r="J88" s="153"/>
      <c r="L88" s="155"/>
      <c r="M88" s="153"/>
      <c r="N88" s="153" t="str">
        <f>IFERROR(VLOOKUP(M88,'AT class'!$A$3:$G1000,7,),"")</f>
        <v/>
      </c>
      <c r="O88" s="154" t="str">
        <f>IFERROR(VLOOKUP(M88,'AT class'!$A$3:$C1000,3,),"")</f>
        <v/>
      </c>
    </row>
    <row r="89">
      <c r="A89" s="152"/>
      <c r="C89" s="154" t="str">
        <f>IFERROR(VLOOKUP(A89,'AT class'!$A$3:$C1000,3,),"")</f>
        <v/>
      </c>
      <c r="D89" s="153"/>
      <c r="F89" s="155"/>
      <c r="G89" s="153"/>
      <c r="I89" s="155"/>
      <c r="J89" s="153"/>
      <c r="L89" s="155"/>
      <c r="M89" s="153"/>
      <c r="N89" s="153" t="str">
        <f>IFERROR(VLOOKUP(M89,'AT class'!$A$3:$G1000,7,),"")</f>
        <v/>
      </c>
      <c r="O89" s="154" t="str">
        <f>IFERROR(VLOOKUP(M89,'AT class'!$A$3:$C1000,3,),"")</f>
        <v/>
      </c>
    </row>
    <row r="90">
      <c r="A90" s="152"/>
      <c r="C90" s="154" t="str">
        <f>IFERROR(VLOOKUP(A90,'AT class'!$A$3:$C1000,3,),"")</f>
        <v/>
      </c>
      <c r="D90" s="153"/>
      <c r="F90" s="155"/>
      <c r="G90" s="153"/>
      <c r="I90" s="155"/>
      <c r="J90" s="153"/>
      <c r="L90" s="155"/>
      <c r="M90" s="153"/>
      <c r="N90" s="153" t="str">
        <f>IFERROR(VLOOKUP(M90,'AT class'!$A$3:$G1000,7,),"")</f>
        <v/>
      </c>
      <c r="O90" s="154" t="str">
        <f>IFERROR(VLOOKUP(M90,'AT class'!$A$3:$C1000,3,),"")</f>
        <v/>
      </c>
    </row>
    <row r="91">
      <c r="A91" s="152"/>
      <c r="C91" s="154" t="str">
        <f>IFERROR(VLOOKUP(A91,'AT class'!$A$3:$C1000,3,),"")</f>
        <v/>
      </c>
      <c r="D91" s="153"/>
      <c r="F91" s="155"/>
      <c r="G91" s="153"/>
      <c r="I91" s="155"/>
      <c r="J91" s="153"/>
      <c r="L91" s="155"/>
      <c r="M91" s="153"/>
      <c r="N91" s="153" t="str">
        <f>IFERROR(VLOOKUP(M91,'AT class'!$A$3:$G1000,7,),"")</f>
        <v/>
      </c>
      <c r="O91" s="154" t="str">
        <f>IFERROR(VLOOKUP(M91,'AT class'!$A$3:$C1000,3,),"")</f>
        <v/>
      </c>
    </row>
    <row r="92">
      <c r="A92" s="152"/>
      <c r="C92" s="154" t="str">
        <f>IFERROR(VLOOKUP(A92,'AT class'!$A$3:$C1000,3,),"")</f>
        <v/>
      </c>
      <c r="D92" s="153"/>
      <c r="F92" s="155"/>
      <c r="G92" s="153"/>
      <c r="I92" s="155"/>
      <c r="J92" s="153"/>
      <c r="L92" s="155"/>
      <c r="M92" s="153"/>
      <c r="N92" s="153" t="str">
        <f>IFERROR(VLOOKUP(M92,'AT class'!$A$3:$G1000,7,),"")</f>
        <v/>
      </c>
      <c r="O92" s="154" t="str">
        <f>IFERROR(VLOOKUP(M92,'AT class'!$A$3:$C1000,3,),"")</f>
        <v/>
      </c>
    </row>
    <row r="93">
      <c r="A93" s="152"/>
      <c r="C93" s="154" t="str">
        <f>IFERROR(VLOOKUP(A93,'AT class'!$A$3:$C1000,3,),"")</f>
        <v/>
      </c>
      <c r="D93" s="153"/>
      <c r="F93" s="155"/>
      <c r="G93" s="153"/>
      <c r="I93" s="155"/>
      <c r="J93" s="153"/>
      <c r="L93" s="155"/>
      <c r="M93" s="153"/>
      <c r="N93" s="153" t="str">
        <f>IFERROR(VLOOKUP(M93,'AT class'!$A$3:$G1000,7,),"")</f>
        <v/>
      </c>
      <c r="O93" s="154" t="str">
        <f>IFERROR(VLOOKUP(M93,'AT class'!$A$3:$C1000,3,),"")</f>
        <v/>
      </c>
    </row>
    <row r="94">
      <c r="A94" s="152"/>
      <c r="C94" s="154" t="str">
        <f>IFERROR(VLOOKUP(A94,'AT class'!$A$3:$C1000,3,),"")</f>
        <v/>
      </c>
      <c r="D94" s="153"/>
      <c r="F94" s="155"/>
      <c r="G94" s="153"/>
      <c r="I94" s="155"/>
      <c r="J94" s="153"/>
      <c r="L94" s="155"/>
      <c r="M94" s="153"/>
      <c r="N94" s="153" t="str">
        <f>IFERROR(VLOOKUP(M94,'AT class'!$A$3:$G1000,7,),"")</f>
        <v/>
      </c>
      <c r="O94" s="154" t="str">
        <f>IFERROR(VLOOKUP(M94,'AT class'!$A$3:$C1000,3,),"")</f>
        <v/>
      </c>
    </row>
    <row r="95">
      <c r="A95" s="152"/>
      <c r="C95" s="154" t="str">
        <f>IFERROR(VLOOKUP(A95,'AT class'!$A$3:$C1000,3,),"")</f>
        <v/>
      </c>
      <c r="D95" s="153"/>
      <c r="F95" s="155"/>
      <c r="G95" s="153"/>
      <c r="I95" s="155"/>
      <c r="J95" s="153"/>
      <c r="L95" s="155"/>
      <c r="M95" s="153"/>
      <c r="N95" s="153" t="str">
        <f>IFERROR(VLOOKUP(M95,'AT class'!$A$3:$G1000,7,),"")</f>
        <v/>
      </c>
      <c r="O95" s="154" t="str">
        <f>IFERROR(VLOOKUP(M95,'AT class'!$A$3:$C1000,3,),"")</f>
        <v/>
      </c>
    </row>
    <row r="96">
      <c r="A96" s="152"/>
      <c r="C96" s="154" t="str">
        <f>IFERROR(VLOOKUP(A96,'AT class'!$A$3:$C1000,3,),"")</f>
        <v/>
      </c>
      <c r="D96" s="153"/>
      <c r="F96" s="155"/>
      <c r="G96" s="153"/>
      <c r="I96" s="155"/>
      <c r="J96" s="153"/>
      <c r="L96" s="155"/>
      <c r="M96" s="153"/>
      <c r="N96" s="153" t="str">
        <f>IFERROR(VLOOKUP(M96,'AT class'!$A$3:$G1000,7,),"")</f>
        <v/>
      </c>
      <c r="O96" s="154" t="str">
        <f>IFERROR(VLOOKUP(M96,'AT class'!$A$3:$C1000,3,),"")</f>
        <v/>
      </c>
    </row>
    <row r="97">
      <c r="A97" s="152"/>
      <c r="C97" s="154" t="str">
        <f>IFERROR(VLOOKUP(A97,'AT class'!$A$3:$C1000,3,),"")</f>
        <v/>
      </c>
      <c r="D97" s="153"/>
      <c r="F97" s="155"/>
      <c r="G97" s="153"/>
      <c r="I97" s="155"/>
      <c r="J97" s="153"/>
      <c r="L97" s="155"/>
      <c r="M97" s="153"/>
      <c r="N97" s="153" t="str">
        <f>IFERROR(VLOOKUP(M97,'AT class'!$A$3:$G1000,7,),"")</f>
        <v/>
      </c>
      <c r="O97" s="154" t="str">
        <f>IFERROR(VLOOKUP(M97,'AT class'!$A$3:$C1000,3,),"")</f>
        <v/>
      </c>
    </row>
    <row r="98">
      <c r="A98" s="152"/>
      <c r="C98" s="154" t="str">
        <f>IFERROR(VLOOKUP(A98,'AT class'!$A$3:$C1000,3,),"")</f>
        <v/>
      </c>
      <c r="D98" s="153"/>
      <c r="F98" s="155"/>
      <c r="G98" s="153"/>
      <c r="I98" s="155"/>
      <c r="J98" s="153"/>
      <c r="L98" s="155"/>
      <c r="M98" s="153"/>
      <c r="N98" s="153" t="str">
        <f>IFERROR(VLOOKUP(M98,'AT class'!$A$3:$G1000,7,),"")</f>
        <v/>
      </c>
      <c r="O98" s="154" t="str">
        <f>IFERROR(VLOOKUP(M98,'AT class'!$A$3:$C1000,3,),"")</f>
        <v/>
      </c>
    </row>
    <row r="99">
      <c r="A99" s="152"/>
      <c r="C99" s="154" t="str">
        <f>IFERROR(VLOOKUP(A99,'AT class'!$A$3:$C1000,3,),"")</f>
        <v/>
      </c>
      <c r="D99" s="153"/>
      <c r="F99" s="155"/>
      <c r="G99" s="153"/>
      <c r="I99" s="155"/>
      <c r="J99" s="153"/>
      <c r="L99" s="155"/>
      <c r="M99" s="153"/>
      <c r="N99" s="153" t="str">
        <f>IFERROR(VLOOKUP(M99,'AT class'!$A$3:$G1000,7,),"")</f>
        <v/>
      </c>
      <c r="O99" s="154" t="str">
        <f>IFERROR(VLOOKUP(M99,'AT class'!$A$3:$C1000,3,),"")</f>
        <v/>
      </c>
    </row>
    <row r="100">
      <c r="A100" s="152"/>
      <c r="C100" s="154" t="str">
        <f>IFERROR(VLOOKUP(A100,'AT class'!$A$3:$C1000,3,),"")</f>
        <v/>
      </c>
      <c r="D100" s="153"/>
      <c r="F100" s="155"/>
      <c r="G100" s="153"/>
      <c r="I100" s="155"/>
      <c r="J100" s="153"/>
      <c r="L100" s="155"/>
      <c r="M100" s="153"/>
      <c r="N100" s="153" t="str">
        <f>IFERROR(VLOOKUP(M100,'AT class'!$A$3:$G1000,7,),"")</f>
        <v/>
      </c>
      <c r="O100" s="154" t="str">
        <f>IFERROR(VLOOKUP(M100,'AT class'!$A$3:$C1000,3,),"")</f>
        <v/>
      </c>
    </row>
    <row r="101">
      <c r="A101" s="152"/>
      <c r="C101" s="154" t="str">
        <f>IFERROR(VLOOKUP(A101,'AT class'!$A$3:$C1000,3,),"")</f>
        <v/>
      </c>
      <c r="D101" s="153"/>
      <c r="F101" s="155"/>
      <c r="G101" s="153"/>
      <c r="I101" s="155"/>
      <c r="J101" s="153"/>
      <c r="L101" s="155"/>
      <c r="M101" s="153"/>
      <c r="N101" s="153" t="str">
        <f>IFERROR(VLOOKUP(M101,'AT class'!$A$3:$G1000,7,),"")</f>
        <v/>
      </c>
      <c r="O101" s="154" t="str">
        <f>IFERROR(VLOOKUP(M101,'AT class'!$A$3:$C1000,3,),"")</f>
        <v/>
      </c>
    </row>
    <row r="102">
      <c r="A102" s="152"/>
      <c r="C102" s="154" t="str">
        <f>IFERROR(VLOOKUP(A102,'AT class'!$A$3:$C1000,3,),"")</f>
        <v/>
      </c>
      <c r="D102" s="153"/>
      <c r="F102" s="155"/>
      <c r="G102" s="153"/>
      <c r="I102" s="155"/>
      <c r="J102" s="153"/>
      <c r="L102" s="155"/>
      <c r="M102" s="153"/>
      <c r="N102" s="153" t="str">
        <f>IFERROR(VLOOKUP(M102,'AT class'!$A$3:$G1000,7,),"")</f>
        <v/>
      </c>
      <c r="O102" s="154" t="str">
        <f>IFERROR(VLOOKUP(M102,'AT class'!$A$3:$C1000,3,),"")</f>
        <v/>
      </c>
    </row>
    <row r="103">
      <c r="A103" s="152"/>
      <c r="C103" s="155"/>
      <c r="D103" s="153"/>
      <c r="F103" s="155"/>
      <c r="G103" s="153"/>
      <c r="I103" s="155"/>
      <c r="J103" s="153"/>
      <c r="L103" s="155"/>
      <c r="M103" s="153"/>
      <c r="N103" s="153" t="str">
        <f>IFERROR(VLOOKUP(M103,'AT class'!$A$3:$G1000,7,),"")</f>
        <v/>
      </c>
      <c r="O103" s="154" t="str">
        <f>IFERROR(VLOOKUP(M103,'AT class'!$A$3:$C1000,3,),"")</f>
        <v/>
      </c>
    </row>
    <row r="104">
      <c r="A104" s="152"/>
      <c r="C104" s="155"/>
      <c r="D104" s="153"/>
      <c r="F104" s="155"/>
      <c r="G104" s="153"/>
      <c r="I104" s="155"/>
      <c r="J104" s="153"/>
      <c r="L104" s="155"/>
      <c r="M104" s="153"/>
      <c r="N104" s="153" t="str">
        <f>IFERROR(VLOOKUP(M104,'AT class'!$A$3:$G1000,7,),"")</f>
        <v/>
      </c>
      <c r="O104" s="154" t="str">
        <f>IFERROR(VLOOKUP(M104,'AT class'!$A$3:$C1000,3,),"")</f>
        <v/>
      </c>
    </row>
    <row r="105">
      <c r="A105" s="152"/>
      <c r="C105" s="155"/>
      <c r="D105" s="153"/>
      <c r="F105" s="155"/>
      <c r="G105" s="153"/>
      <c r="I105" s="155"/>
      <c r="J105" s="153"/>
      <c r="L105" s="155"/>
      <c r="M105" s="153"/>
      <c r="N105" s="153" t="str">
        <f>IFERROR(VLOOKUP(M105,'AT class'!$A$3:$G1000,7,),"")</f>
        <v/>
      </c>
      <c r="O105" s="154" t="str">
        <f>IFERROR(VLOOKUP(M105,'AT class'!$A$3:$C1000,3,),"")</f>
        <v/>
      </c>
    </row>
    <row r="106">
      <c r="A106" s="152"/>
      <c r="C106" s="154" t="str">
        <f>IFERROR(VLOOKUP(A106,'AT class'!$A$3:$C1000,3,),"")</f>
        <v/>
      </c>
      <c r="D106" s="153"/>
      <c r="F106" s="155"/>
      <c r="G106" s="153"/>
      <c r="I106" s="155"/>
      <c r="J106" s="153"/>
      <c r="L106" s="155"/>
      <c r="M106" s="153"/>
      <c r="N106" s="153" t="str">
        <f>IFERROR(VLOOKUP(M106,'AT class'!$A$3:$G1000,7,),"")</f>
        <v/>
      </c>
      <c r="O106" s="154" t="str">
        <f>IFERROR(VLOOKUP(M106,'AT class'!$A$3:$C1000,3,),"")</f>
        <v/>
      </c>
    </row>
    <row r="107">
      <c r="A107" s="152"/>
      <c r="C107" s="154" t="str">
        <f>IFERROR(VLOOKUP(A107,'AT class'!$A$3:$C1000,3,),"")</f>
        <v/>
      </c>
      <c r="D107" s="153"/>
      <c r="F107" s="155"/>
      <c r="G107" s="153"/>
      <c r="I107" s="155"/>
      <c r="J107" s="153"/>
      <c r="L107" s="155"/>
      <c r="M107" s="153"/>
      <c r="N107" s="153" t="str">
        <f>IFERROR(VLOOKUP(M107,'AT class'!$A$3:$G1000,7,),"")</f>
        <v/>
      </c>
      <c r="O107" s="154" t="str">
        <f>IFERROR(VLOOKUP(M107,'AT class'!$A$3:$C1000,3,),"")</f>
        <v/>
      </c>
    </row>
    <row r="108">
      <c r="A108" s="152"/>
      <c r="C108" s="154" t="str">
        <f>IFERROR(VLOOKUP(A108,'AT class'!$A$3:$C1000,3,),"")</f>
        <v/>
      </c>
      <c r="D108" s="153"/>
      <c r="F108" s="155"/>
      <c r="G108" s="153"/>
      <c r="I108" s="155"/>
      <c r="J108" s="153"/>
      <c r="L108" s="155"/>
      <c r="M108" s="153"/>
      <c r="N108" s="153" t="str">
        <f>IFERROR(VLOOKUP(M108,'AT class'!$A$3:$G1000,7,),"")</f>
        <v/>
      </c>
      <c r="O108" s="154" t="str">
        <f>IFERROR(VLOOKUP(M108,'AT class'!$A$3:$C1000,3,),"")</f>
        <v/>
      </c>
    </row>
    <row r="109">
      <c r="A109" s="152"/>
      <c r="C109" s="154" t="str">
        <f>IFERROR(VLOOKUP(A109,'AT class'!$A$3:$C1000,3,),"")</f>
        <v/>
      </c>
      <c r="D109" s="153"/>
      <c r="F109" s="155"/>
      <c r="G109" s="153"/>
      <c r="I109" s="155"/>
      <c r="J109" s="153"/>
      <c r="L109" s="155"/>
      <c r="M109" s="153"/>
      <c r="N109" s="153" t="str">
        <f>IFERROR(VLOOKUP(M109,'AT class'!$A$3:$G1000,7,),"")</f>
        <v/>
      </c>
      <c r="O109" s="154" t="str">
        <f>IFERROR(VLOOKUP(M109,'AT class'!$A$3:$C1000,3,),"")</f>
        <v/>
      </c>
    </row>
    <row r="110">
      <c r="A110" s="152"/>
      <c r="C110" s="154" t="str">
        <f>IFERROR(VLOOKUP(A110,'AT class'!$A$3:$C1000,3,),"")</f>
        <v/>
      </c>
      <c r="D110" s="153"/>
      <c r="F110" s="155"/>
      <c r="G110" s="153"/>
      <c r="I110" s="155"/>
      <c r="J110" s="153"/>
      <c r="L110" s="155"/>
      <c r="M110" s="153"/>
      <c r="N110" s="153" t="str">
        <f>IFERROR(VLOOKUP(M110,'AT class'!$A$3:$G1000,7,),"")</f>
        <v/>
      </c>
      <c r="O110" s="154" t="str">
        <f>IFERROR(VLOOKUP(M110,'AT class'!$A$3:$C1000,3,),"")</f>
        <v/>
      </c>
    </row>
    <row r="111">
      <c r="A111" s="152"/>
      <c r="C111" s="154" t="str">
        <f>IFERROR(VLOOKUP(A111,'AT class'!$A$3:$C1000,3,),"")</f>
        <v/>
      </c>
      <c r="D111" s="153"/>
      <c r="F111" s="155"/>
      <c r="G111" s="153"/>
      <c r="I111" s="155"/>
      <c r="J111" s="153"/>
      <c r="L111" s="155"/>
      <c r="M111" s="153"/>
      <c r="N111" s="153" t="str">
        <f>IFERROR(VLOOKUP(M111,'AT class'!$A$3:$G1000,7,),"")</f>
        <v/>
      </c>
      <c r="O111" s="154" t="str">
        <f>IFERROR(VLOOKUP(M111,'AT class'!$A$3:$C1000,3,),"")</f>
        <v/>
      </c>
    </row>
    <row r="112">
      <c r="A112" s="152"/>
      <c r="C112" s="154" t="str">
        <f>IFERROR(VLOOKUP(A112,'AT class'!$A$3:$C1000,3,),"")</f>
        <v/>
      </c>
      <c r="D112" s="153"/>
      <c r="F112" s="155"/>
      <c r="G112" s="153"/>
      <c r="I112" s="155"/>
      <c r="J112" s="153"/>
      <c r="L112" s="155"/>
      <c r="M112" s="153"/>
      <c r="N112" s="153" t="str">
        <f>IFERROR(VLOOKUP(M112,'AT class'!$A$3:$G1000,7,),"")</f>
        <v/>
      </c>
      <c r="O112" s="154" t="str">
        <f>IFERROR(VLOOKUP(M112,'AT class'!$A$3:$C1000,3,),"")</f>
        <v/>
      </c>
    </row>
    <row r="113">
      <c r="A113" s="152"/>
      <c r="C113" s="154" t="str">
        <f>IFERROR(VLOOKUP(A113,'AT class'!$A$3:$C1000,3,),"")</f>
        <v/>
      </c>
      <c r="D113" s="153"/>
      <c r="F113" s="155"/>
      <c r="G113" s="153"/>
      <c r="I113" s="155"/>
      <c r="J113" s="153"/>
      <c r="L113" s="155"/>
      <c r="M113" s="153"/>
      <c r="N113" s="153" t="str">
        <f>IFERROR(VLOOKUP(M113,'AT class'!$A$3:$G1000,7,),"")</f>
        <v/>
      </c>
      <c r="O113" s="154" t="str">
        <f>IFERROR(VLOOKUP(M113,'AT class'!$A$3:$C1000,3,),"")</f>
        <v/>
      </c>
    </row>
    <row r="114">
      <c r="A114" s="152"/>
      <c r="C114" s="154" t="str">
        <f>IFERROR(VLOOKUP(A114,'AT class'!$A$3:$C1000,3,),"")</f>
        <v/>
      </c>
      <c r="D114" s="153"/>
      <c r="F114" s="155"/>
      <c r="G114" s="153"/>
      <c r="I114" s="155"/>
      <c r="J114" s="153"/>
      <c r="L114" s="155"/>
      <c r="M114" s="153"/>
      <c r="N114" s="153" t="str">
        <f>IFERROR(VLOOKUP(M114,'AT class'!$A$3:$G1000,7,),"")</f>
        <v/>
      </c>
      <c r="O114" s="154" t="str">
        <f>IFERROR(VLOOKUP(M114,'AT class'!$A$3:$C1000,3,),"")</f>
        <v/>
      </c>
    </row>
    <row r="115">
      <c r="A115" s="152"/>
      <c r="C115" s="154" t="str">
        <f>IFERROR(VLOOKUP(A115,'AT class'!$A$3:$C1000,3,),"")</f>
        <v/>
      </c>
      <c r="D115" s="153"/>
      <c r="F115" s="155"/>
      <c r="G115" s="153"/>
      <c r="I115" s="155"/>
      <c r="J115" s="153"/>
      <c r="L115" s="155"/>
      <c r="M115" s="153"/>
      <c r="N115" s="153" t="str">
        <f>IFERROR(VLOOKUP(M115,'AT class'!$A$3:$G1000,7,),"")</f>
        <v/>
      </c>
      <c r="O115" s="154" t="str">
        <f>IFERROR(VLOOKUP(M115,'AT class'!$A$3:$C1000,3,),"")</f>
        <v/>
      </c>
    </row>
    <row r="116">
      <c r="A116" s="152"/>
      <c r="C116" s="154" t="str">
        <f>IFERROR(VLOOKUP(A116,'AT class'!$A$3:$C1000,3,),"")</f>
        <v/>
      </c>
      <c r="D116" s="153"/>
      <c r="F116" s="155"/>
      <c r="G116" s="153"/>
      <c r="I116" s="155"/>
      <c r="J116" s="153"/>
      <c r="L116" s="155"/>
      <c r="M116" s="153"/>
      <c r="N116" s="153" t="str">
        <f>IFERROR(VLOOKUP(M116,'AT class'!$A$3:$G1000,7,),"")</f>
        <v/>
      </c>
      <c r="O116" s="154" t="str">
        <f>IFERROR(VLOOKUP(M116,'AT class'!$A$3:$C1000,3,),"")</f>
        <v/>
      </c>
    </row>
    <row r="117">
      <c r="A117" s="152"/>
      <c r="C117" s="154" t="str">
        <f>IFERROR(VLOOKUP(A117,'AT class'!$A$3:$C1000,3,),"")</f>
        <v/>
      </c>
      <c r="D117" s="153"/>
      <c r="F117" s="155"/>
      <c r="G117" s="153"/>
      <c r="I117" s="155"/>
      <c r="J117" s="153"/>
      <c r="L117" s="155"/>
      <c r="M117" s="153"/>
      <c r="N117" s="153" t="str">
        <f>IFERROR(VLOOKUP(M117,'AT class'!$A$3:$G1000,7,),"")</f>
        <v/>
      </c>
      <c r="O117" s="154" t="str">
        <f>IFERROR(VLOOKUP(M117,'AT class'!$A$3:$C1000,3,),"")</f>
        <v/>
      </c>
    </row>
    <row r="118">
      <c r="A118" s="152"/>
      <c r="C118" s="154" t="str">
        <f>IFERROR(VLOOKUP(A118,'AT class'!$A$3:$C1000,3,),"")</f>
        <v/>
      </c>
      <c r="D118" s="153"/>
      <c r="F118" s="155"/>
      <c r="G118" s="153"/>
      <c r="I118" s="155"/>
      <c r="J118" s="153"/>
      <c r="L118" s="155"/>
      <c r="M118" s="153"/>
      <c r="N118" s="153" t="str">
        <f>IFERROR(VLOOKUP(M118,'AT class'!$A$3:$G1000,7,),"")</f>
        <v/>
      </c>
      <c r="O118" s="154" t="str">
        <f>IFERROR(VLOOKUP(M118,'AT class'!$A$3:$C1000,3,),"")</f>
        <v/>
      </c>
    </row>
    <row r="119">
      <c r="A119" s="152"/>
      <c r="C119" s="154" t="str">
        <f>IFERROR(VLOOKUP(A119,'AT class'!$A$3:$C1000,3,),"")</f>
        <v/>
      </c>
      <c r="D119" s="153"/>
      <c r="F119" s="155"/>
      <c r="G119" s="153"/>
      <c r="I119" s="155"/>
      <c r="J119" s="153"/>
      <c r="L119" s="155"/>
      <c r="M119" s="153"/>
      <c r="N119" s="153" t="str">
        <f>IFERROR(VLOOKUP(M119,'AT class'!$A$3:$G1000,7,),"")</f>
        <v/>
      </c>
      <c r="O119" s="154" t="str">
        <f>IFERROR(VLOOKUP(M119,'AT class'!$A$3:$C1000,3,),"")</f>
        <v/>
      </c>
    </row>
    <row r="120">
      <c r="A120" s="152"/>
      <c r="C120" s="154" t="str">
        <f>IFERROR(VLOOKUP(A120,'AT class'!$A$3:$C1000,3,),"")</f>
        <v/>
      </c>
      <c r="D120" s="153"/>
      <c r="F120" s="155"/>
      <c r="G120" s="153"/>
      <c r="I120" s="155"/>
      <c r="J120" s="153"/>
      <c r="L120" s="155"/>
      <c r="M120" s="153"/>
      <c r="N120" s="153" t="str">
        <f>IFERROR(VLOOKUP(M120,'AT class'!$A$3:$G1000,7,),"")</f>
        <v/>
      </c>
      <c r="O120" s="154" t="str">
        <f>IFERROR(VLOOKUP(M120,'AT class'!$A$3:$C1000,3,),"")</f>
        <v/>
      </c>
    </row>
    <row r="121">
      <c r="A121" s="152"/>
      <c r="C121" s="154" t="str">
        <f>IFERROR(VLOOKUP(A121,'AT class'!$A$3:$C1000,3,),"")</f>
        <v/>
      </c>
      <c r="D121" s="153"/>
      <c r="F121" s="155"/>
      <c r="G121" s="153"/>
      <c r="I121" s="155"/>
      <c r="J121" s="153"/>
      <c r="L121" s="155"/>
      <c r="M121" s="153"/>
      <c r="N121" s="153" t="str">
        <f>IFERROR(VLOOKUP(M121,'AT class'!$A$3:$G1000,7,),"")</f>
        <v/>
      </c>
      <c r="O121" s="154" t="str">
        <f>IFERROR(VLOOKUP(M121,'AT class'!$A$3:$C1000,3,),"")</f>
        <v/>
      </c>
    </row>
    <row r="122">
      <c r="A122" s="152"/>
      <c r="C122" s="154" t="str">
        <f>IFERROR(VLOOKUP(A122,'AT class'!$A$3:$C1000,3,),"")</f>
        <v/>
      </c>
      <c r="D122" s="153"/>
      <c r="F122" s="155"/>
      <c r="G122" s="153"/>
      <c r="I122" s="155"/>
      <c r="J122" s="153"/>
      <c r="L122" s="155"/>
      <c r="M122" s="153"/>
      <c r="N122" s="153" t="str">
        <f>IFERROR(VLOOKUP(M122,'AT class'!$A$3:$G1000,7,),"")</f>
        <v/>
      </c>
      <c r="O122" s="154" t="str">
        <f>IFERROR(VLOOKUP(M122,'AT class'!$A$3:$C1000,3,),"")</f>
        <v/>
      </c>
    </row>
    <row r="123">
      <c r="A123" s="152"/>
      <c r="C123" s="154" t="str">
        <f>IFERROR(VLOOKUP(A123,'AT class'!$A$3:$C1000,3,),"")</f>
        <v/>
      </c>
      <c r="D123" s="153"/>
      <c r="F123" s="155"/>
      <c r="G123" s="153"/>
      <c r="I123" s="155"/>
      <c r="J123" s="153"/>
      <c r="L123" s="155"/>
      <c r="M123" s="153"/>
      <c r="N123" s="153" t="str">
        <f>IFERROR(VLOOKUP(M123,'AT class'!$A$3:$G1000,7,),"")</f>
        <v/>
      </c>
      <c r="O123" s="154" t="str">
        <f>IFERROR(VLOOKUP(M123,'AT class'!$A$3:$C1000,3,),"")</f>
        <v/>
      </c>
    </row>
    <row r="124">
      <c r="A124" s="152"/>
      <c r="C124" s="154" t="str">
        <f>IFERROR(VLOOKUP(A124,'AT class'!$A$3:$C1000,3,),"")</f>
        <v/>
      </c>
      <c r="D124" s="153"/>
      <c r="F124" s="155"/>
      <c r="G124" s="153"/>
      <c r="I124" s="155"/>
      <c r="J124" s="153"/>
      <c r="L124" s="155"/>
      <c r="M124" s="153"/>
      <c r="N124" s="153" t="str">
        <f>IFERROR(VLOOKUP(M124,'AT class'!$A$3:$G1000,7,),"")</f>
        <v/>
      </c>
      <c r="O124" s="154" t="str">
        <f>IFERROR(VLOOKUP(M124,'AT class'!$A$3:$C1000,3,),"")</f>
        <v/>
      </c>
    </row>
    <row r="125">
      <c r="A125" s="152"/>
      <c r="C125" s="154" t="str">
        <f>IFERROR(VLOOKUP(A125,'AT class'!$A$3:$C1000,3,),"")</f>
        <v/>
      </c>
      <c r="D125" s="153"/>
      <c r="F125" s="155"/>
      <c r="G125" s="153"/>
      <c r="I125" s="155"/>
      <c r="J125" s="153"/>
      <c r="L125" s="155"/>
      <c r="M125" s="153"/>
      <c r="N125" s="153" t="str">
        <f>IFERROR(VLOOKUP(M125,'AT class'!$A$3:$G1000,7,),"")</f>
        <v/>
      </c>
      <c r="O125" s="154" t="str">
        <f>IFERROR(VLOOKUP(M125,'AT class'!$A$3:$C1000,3,),"")</f>
        <v/>
      </c>
    </row>
    <row r="126">
      <c r="A126" s="152"/>
      <c r="C126" s="154" t="str">
        <f>IFERROR(VLOOKUP(A126,'AT class'!$A$3:$C1000,3,),"")</f>
        <v/>
      </c>
      <c r="D126" s="153"/>
      <c r="F126" s="155"/>
      <c r="G126" s="153"/>
      <c r="I126" s="155"/>
      <c r="J126" s="153"/>
      <c r="L126" s="155"/>
      <c r="M126" s="153"/>
      <c r="N126" s="153" t="str">
        <f>IFERROR(VLOOKUP(M126,'AT class'!$A$3:$G1000,7,),"")</f>
        <v/>
      </c>
      <c r="O126" s="154" t="str">
        <f>IFERROR(VLOOKUP(M126,'AT class'!$A$3:$C1000,3,),"")</f>
        <v/>
      </c>
    </row>
    <row r="127">
      <c r="A127" s="153"/>
      <c r="D127" s="153"/>
      <c r="G127" s="153"/>
      <c r="J127" s="153"/>
      <c r="M127" s="153"/>
      <c r="N127" s="153" t="str">
        <f>IFERROR(VLOOKUP(M127,'AT class'!$A$3:$G1000,7,),"")</f>
        <v/>
      </c>
      <c r="O127" s="156" t="str">
        <f>IFERROR(VLOOKUP(M127,'AT class'!$A$3:$C1000,3,),"")</f>
        <v/>
      </c>
    </row>
    <row r="128">
      <c r="A128" s="153"/>
      <c r="D128" s="153"/>
      <c r="G128" s="153"/>
      <c r="J128" s="153"/>
      <c r="M128" s="153"/>
      <c r="N128" s="153" t="str">
        <f>IFERROR(VLOOKUP(M128,'AT class'!$A$3:$G1000,7,),"")</f>
        <v/>
      </c>
      <c r="O128" s="156" t="str">
        <f>IFERROR(VLOOKUP(M128,'AT class'!$A$3:$C1000,3,),"")</f>
        <v/>
      </c>
    </row>
    <row r="129">
      <c r="A129" s="153"/>
      <c r="D129" s="153"/>
      <c r="G129" s="153"/>
      <c r="J129" s="153"/>
      <c r="M129" s="153"/>
      <c r="N129" s="153" t="str">
        <f>IFERROR(VLOOKUP(M129,'AT class'!$A$3:$G1000,7,),"")</f>
        <v/>
      </c>
      <c r="O129" s="156" t="str">
        <f>IFERROR(VLOOKUP(M129,'AT class'!$A$3:$C1000,3,),"")</f>
        <v/>
      </c>
    </row>
    <row r="130">
      <c r="A130" s="153"/>
      <c r="D130" s="153"/>
      <c r="G130" s="153"/>
      <c r="J130" s="153"/>
      <c r="M130" s="153"/>
      <c r="N130" s="153" t="str">
        <f>IFERROR(VLOOKUP(M130,'AT class'!$A$3:$G1000,7,),"")</f>
        <v/>
      </c>
      <c r="O130" s="156" t="str">
        <f>IFERROR(VLOOKUP(M130,'AT class'!$A$3:$C1000,3,),"")</f>
        <v/>
      </c>
    </row>
    <row r="131">
      <c r="A131" s="153"/>
      <c r="D131" s="153"/>
      <c r="G131" s="153"/>
      <c r="J131" s="153"/>
      <c r="M131" s="153"/>
      <c r="N131" s="153" t="str">
        <f>IFERROR(VLOOKUP(M131,'AT class'!$A$3:$G1000,7,),"")</f>
        <v/>
      </c>
      <c r="O131" s="156" t="str">
        <f>IFERROR(VLOOKUP(M131,'AT class'!$A$3:$C1000,3,),"")</f>
        <v/>
      </c>
    </row>
    <row r="132">
      <c r="A132" s="153"/>
      <c r="D132" s="153"/>
      <c r="G132" s="153"/>
      <c r="J132" s="153"/>
      <c r="M132" s="153"/>
      <c r="N132" s="153" t="str">
        <f>IFERROR(VLOOKUP(M132,'AT class'!$A$3:$G1000,7,),"")</f>
        <v/>
      </c>
      <c r="O132" s="156" t="str">
        <f>IFERROR(VLOOKUP(M132,'AT class'!$A$3:$C1000,3,),"")</f>
        <v/>
      </c>
    </row>
    <row r="133">
      <c r="A133" s="153"/>
      <c r="D133" s="153"/>
      <c r="G133" s="153"/>
      <c r="J133" s="153"/>
      <c r="M133" s="153"/>
      <c r="N133" s="153" t="str">
        <f>IFERROR(VLOOKUP(M133,'AT class'!$A$3:$G1000,7,),"")</f>
        <v/>
      </c>
      <c r="O133" s="156" t="str">
        <f>IFERROR(VLOOKUP(M133,'AT class'!$A$3:$C1000,3,),"")</f>
        <v/>
      </c>
    </row>
    <row r="134">
      <c r="A134" s="153"/>
      <c r="D134" s="153"/>
      <c r="G134" s="153"/>
      <c r="J134" s="153"/>
      <c r="M134" s="153"/>
      <c r="N134" s="153" t="str">
        <f>IFERROR(VLOOKUP(M134,'AT class'!$A$3:$G1000,7,),"")</f>
        <v/>
      </c>
      <c r="O134" s="156" t="str">
        <f>IFERROR(VLOOKUP(M134,'AT class'!$A$3:$C1000,3,),"")</f>
        <v/>
      </c>
    </row>
    <row r="135">
      <c r="A135" s="153"/>
      <c r="D135" s="153"/>
      <c r="G135" s="153"/>
      <c r="J135" s="153"/>
      <c r="M135" s="153"/>
      <c r="N135" s="153" t="str">
        <f>IFERROR(VLOOKUP(M135,'AT class'!$A$3:$G1000,7,),"")</f>
        <v/>
      </c>
      <c r="O135" s="156" t="str">
        <f>IFERROR(VLOOKUP(M135,'AT class'!$A$3:$C1000,3,),"")</f>
        <v/>
      </c>
    </row>
    <row r="136">
      <c r="A136" s="153"/>
      <c r="D136" s="153"/>
      <c r="G136" s="153"/>
      <c r="J136" s="153"/>
      <c r="M136" s="153"/>
      <c r="N136" s="153" t="str">
        <f>IFERROR(VLOOKUP(M136,'AT class'!$A$3:$G1000,7,),"")</f>
        <v/>
      </c>
      <c r="O136" s="156" t="str">
        <f>IFERROR(VLOOKUP(M136,'AT class'!$A$3:$C1000,3,),"")</f>
        <v/>
      </c>
    </row>
    <row r="137">
      <c r="A137" s="153"/>
      <c r="D137" s="153"/>
      <c r="G137" s="153"/>
      <c r="J137" s="153"/>
      <c r="M137" s="153"/>
      <c r="N137" s="153" t="str">
        <f>IFERROR(VLOOKUP(M137,'AT class'!$A$3:$G1000,7,),"")</f>
        <v/>
      </c>
      <c r="O137" s="156" t="str">
        <f>IFERROR(VLOOKUP(M137,'AT class'!$A$3:$C1000,3,),"")</f>
        <v/>
      </c>
    </row>
    <row r="138">
      <c r="A138" s="153"/>
      <c r="D138" s="153"/>
      <c r="G138" s="153"/>
      <c r="J138" s="153"/>
      <c r="M138" s="153"/>
      <c r="N138" s="153" t="str">
        <f>IFERROR(VLOOKUP(M138,'AT class'!$A$3:$G1000,7,),"")</f>
        <v/>
      </c>
      <c r="O138" s="156" t="str">
        <f>IFERROR(VLOOKUP(M138,'AT class'!$A$3:$C1000,3,),"")</f>
        <v/>
      </c>
    </row>
    <row r="139">
      <c r="A139" s="153"/>
      <c r="D139" s="153"/>
      <c r="G139" s="153"/>
      <c r="J139" s="153"/>
      <c r="M139" s="153"/>
    </row>
    <row r="140">
      <c r="A140" s="153"/>
      <c r="D140" s="153"/>
      <c r="G140" s="153"/>
      <c r="J140" s="153"/>
      <c r="M140" s="153"/>
    </row>
    <row r="141">
      <c r="A141" s="153"/>
      <c r="D141" s="153"/>
      <c r="G141" s="153"/>
      <c r="J141" s="153"/>
      <c r="M141" s="153"/>
    </row>
    <row r="142">
      <c r="A142" s="153"/>
      <c r="D142" s="153"/>
      <c r="G142" s="153"/>
      <c r="J142" s="153"/>
      <c r="M142" s="153"/>
    </row>
    <row r="143">
      <c r="A143" s="153"/>
      <c r="D143" s="153"/>
      <c r="G143" s="153"/>
      <c r="J143" s="153"/>
      <c r="M143" s="153"/>
    </row>
    <row r="144">
      <c r="A144" s="153"/>
      <c r="D144" s="153"/>
      <c r="G144" s="153"/>
      <c r="J144" s="153"/>
      <c r="M144" s="153"/>
    </row>
    <row r="145">
      <c r="A145" s="153"/>
      <c r="D145" s="153"/>
      <c r="G145" s="153"/>
      <c r="J145" s="153"/>
      <c r="M145" s="153"/>
    </row>
    <row r="146">
      <c r="A146" s="153"/>
      <c r="D146" s="153"/>
      <c r="G146" s="153"/>
      <c r="J146" s="153"/>
      <c r="M146" s="153"/>
    </row>
    <row r="147">
      <c r="A147" s="153"/>
      <c r="D147" s="153"/>
      <c r="G147" s="153"/>
      <c r="J147" s="153"/>
      <c r="M147" s="153"/>
    </row>
    <row r="148">
      <c r="A148" s="153"/>
      <c r="D148" s="153"/>
      <c r="G148" s="153"/>
      <c r="J148" s="153"/>
      <c r="M148" s="153"/>
    </row>
    <row r="149">
      <c r="A149" s="153"/>
      <c r="D149" s="153"/>
      <c r="G149" s="153"/>
      <c r="J149" s="153"/>
      <c r="M149" s="153"/>
    </row>
    <row r="150">
      <c r="A150" s="153"/>
      <c r="D150" s="153"/>
      <c r="G150" s="153"/>
      <c r="J150" s="153"/>
      <c r="M150" s="153"/>
    </row>
    <row r="151">
      <c r="A151" s="153"/>
      <c r="D151" s="153"/>
      <c r="G151" s="153"/>
      <c r="J151" s="153"/>
      <c r="M151" s="153"/>
    </row>
    <row r="152">
      <c r="A152" s="153"/>
      <c r="D152" s="153"/>
      <c r="G152" s="153"/>
      <c r="J152" s="153"/>
      <c r="M152" s="153"/>
    </row>
    <row r="153">
      <c r="A153" s="153"/>
      <c r="D153" s="153"/>
      <c r="G153" s="153"/>
      <c r="J153" s="153"/>
      <c r="M153" s="153"/>
    </row>
    <row r="154">
      <c r="A154" s="153"/>
      <c r="D154" s="153"/>
      <c r="G154" s="153"/>
      <c r="J154" s="153"/>
      <c r="M154" s="153"/>
    </row>
    <row r="155">
      <c r="A155" s="153"/>
      <c r="D155" s="153"/>
      <c r="G155" s="153"/>
      <c r="J155" s="153"/>
      <c r="M155" s="153"/>
    </row>
    <row r="156">
      <c r="A156" s="153"/>
      <c r="D156" s="153"/>
      <c r="G156" s="153"/>
      <c r="J156" s="153"/>
      <c r="M156" s="153"/>
    </row>
    <row r="157">
      <c r="A157" s="153"/>
      <c r="D157" s="153"/>
      <c r="G157" s="153"/>
      <c r="J157" s="153"/>
      <c r="M157" s="153"/>
    </row>
    <row r="158">
      <c r="A158" s="153"/>
      <c r="D158" s="153"/>
      <c r="G158" s="153"/>
      <c r="J158" s="153"/>
      <c r="M158" s="153"/>
    </row>
    <row r="159">
      <c r="A159" s="153"/>
      <c r="D159" s="153"/>
      <c r="G159" s="153"/>
      <c r="J159" s="153"/>
      <c r="M159" s="153"/>
    </row>
    <row r="160">
      <c r="A160" s="153"/>
      <c r="D160" s="153"/>
      <c r="G160" s="153"/>
      <c r="J160" s="153"/>
      <c r="M160" s="153"/>
    </row>
    <row r="161">
      <c r="A161" s="153"/>
      <c r="D161" s="153"/>
      <c r="G161" s="153"/>
      <c r="J161" s="153"/>
      <c r="M161" s="153"/>
    </row>
    <row r="162">
      <c r="A162" s="153"/>
      <c r="D162" s="153"/>
      <c r="G162" s="153"/>
      <c r="J162" s="153"/>
      <c r="M162" s="153"/>
    </row>
    <row r="163">
      <c r="A163" s="153"/>
      <c r="D163" s="153"/>
      <c r="G163" s="153"/>
      <c r="J163" s="153"/>
      <c r="M163" s="153"/>
    </row>
    <row r="164">
      <c r="A164" s="153"/>
      <c r="D164" s="153"/>
      <c r="G164" s="153"/>
      <c r="J164" s="153"/>
      <c r="M164" s="153"/>
    </row>
    <row r="165">
      <c r="A165" s="153"/>
      <c r="D165" s="153"/>
      <c r="G165" s="153"/>
      <c r="J165" s="153"/>
      <c r="M165" s="153"/>
    </row>
    <row r="166">
      <c r="A166" s="153"/>
      <c r="D166" s="153"/>
      <c r="G166" s="153"/>
      <c r="J166" s="153"/>
      <c r="M166" s="153"/>
    </row>
    <row r="167">
      <c r="A167" s="153"/>
      <c r="D167" s="153"/>
      <c r="G167" s="153"/>
      <c r="J167" s="153"/>
      <c r="M167" s="153"/>
    </row>
    <row r="168">
      <c r="A168" s="153"/>
      <c r="D168" s="153"/>
      <c r="G168" s="153"/>
      <c r="J168" s="153"/>
      <c r="M168" s="153"/>
    </row>
    <row r="169">
      <c r="A169" s="153"/>
      <c r="D169" s="153"/>
      <c r="G169" s="153"/>
      <c r="J169" s="153"/>
      <c r="M169" s="153"/>
    </row>
    <row r="170">
      <c r="A170" s="153"/>
      <c r="D170" s="153"/>
      <c r="G170" s="153"/>
      <c r="J170" s="153"/>
      <c r="M170" s="153"/>
    </row>
    <row r="171">
      <c r="A171" s="153"/>
      <c r="D171" s="153"/>
      <c r="G171" s="153"/>
      <c r="J171" s="153"/>
      <c r="M171" s="153"/>
    </row>
    <row r="172">
      <c r="A172" s="153"/>
      <c r="D172" s="153"/>
      <c r="G172" s="153"/>
      <c r="J172" s="153"/>
      <c r="M172" s="153"/>
    </row>
    <row r="173">
      <c r="A173" s="153"/>
      <c r="D173" s="153"/>
      <c r="G173" s="153"/>
      <c r="J173" s="153"/>
      <c r="M173" s="153"/>
    </row>
    <row r="174">
      <c r="A174" s="153"/>
      <c r="D174" s="153"/>
      <c r="G174" s="153"/>
      <c r="J174" s="153"/>
      <c r="M174" s="153"/>
    </row>
    <row r="175">
      <c r="A175" s="153"/>
      <c r="D175" s="153"/>
      <c r="G175" s="153"/>
      <c r="J175" s="153"/>
      <c r="M175" s="153"/>
    </row>
    <row r="176">
      <c r="A176" s="153"/>
      <c r="D176" s="153"/>
      <c r="G176" s="153"/>
      <c r="J176" s="153"/>
      <c r="M176" s="153"/>
    </row>
    <row r="177">
      <c r="A177" s="153"/>
      <c r="D177" s="153"/>
      <c r="G177" s="153"/>
      <c r="J177" s="153"/>
      <c r="M177" s="153"/>
    </row>
    <row r="178">
      <c r="A178" s="153"/>
      <c r="D178" s="153"/>
      <c r="G178" s="153"/>
      <c r="J178" s="153"/>
      <c r="M178" s="153"/>
    </row>
    <row r="179">
      <c r="A179" s="153"/>
      <c r="D179" s="153"/>
      <c r="G179" s="153"/>
      <c r="J179" s="153"/>
      <c r="M179" s="153"/>
    </row>
    <row r="180">
      <c r="A180" s="153"/>
      <c r="D180" s="153"/>
      <c r="G180" s="153"/>
      <c r="J180" s="153"/>
      <c r="M180" s="153"/>
    </row>
    <row r="181">
      <c r="A181" s="153"/>
      <c r="D181" s="153"/>
      <c r="G181" s="153"/>
      <c r="J181" s="153"/>
      <c r="M181" s="153"/>
    </row>
    <row r="182">
      <c r="A182" s="153"/>
      <c r="D182" s="153"/>
      <c r="G182" s="153"/>
      <c r="J182" s="153"/>
      <c r="M182" s="153"/>
    </row>
    <row r="183">
      <c r="A183" s="153"/>
      <c r="D183" s="153"/>
      <c r="G183" s="153"/>
      <c r="J183" s="153"/>
      <c r="M183" s="153"/>
    </row>
    <row r="184">
      <c r="A184" s="153"/>
      <c r="D184" s="153"/>
      <c r="G184" s="153"/>
      <c r="J184" s="153"/>
      <c r="M184" s="153"/>
    </row>
    <row r="185">
      <c r="A185" s="153"/>
      <c r="D185" s="153"/>
      <c r="G185" s="153"/>
      <c r="J185" s="153"/>
      <c r="M185" s="153"/>
    </row>
    <row r="186">
      <c r="A186" s="153"/>
      <c r="D186" s="153"/>
      <c r="G186" s="153"/>
      <c r="J186" s="153"/>
      <c r="M186" s="153"/>
    </row>
    <row r="187">
      <c r="A187" s="153"/>
      <c r="D187" s="153"/>
      <c r="G187" s="153"/>
      <c r="J187" s="153"/>
      <c r="M187" s="153"/>
    </row>
    <row r="188">
      <c r="A188" s="153"/>
      <c r="D188" s="153"/>
      <c r="G188" s="153"/>
      <c r="J188" s="153"/>
      <c r="M188" s="153"/>
    </row>
    <row r="189">
      <c r="A189" s="153"/>
      <c r="D189" s="153"/>
      <c r="G189" s="153"/>
      <c r="J189" s="153"/>
      <c r="M189" s="153"/>
    </row>
    <row r="190">
      <c r="A190" s="153"/>
      <c r="D190" s="153"/>
      <c r="G190" s="153"/>
      <c r="J190" s="153"/>
      <c r="M190" s="153"/>
    </row>
    <row r="191">
      <c r="A191" s="153"/>
      <c r="D191" s="153"/>
      <c r="G191" s="153"/>
      <c r="J191" s="153"/>
      <c r="M191" s="153"/>
    </row>
    <row r="192">
      <c r="A192" s="153"/>
      <c r="D192" s="153"/>
      <c r="G192" s="153"/>
      <c r="J192" s="153"/>
      <c r="M192" s="153"/>
    </row>
    <row r="193">
      <c r="A193" s="153"/>
      <c r="D193" s="153"/>
      <c r="G193" s="153"/>
      <c r="J193" s="153"/>
      <c r="M193" s="153"/>
    </row>
    <row r="194">
      <c r="A194" s="153"/>
      <c r="D194" s="153"/>
      <c r="G194" s="153"/>
      <c r="J194" s="153"/>
      <c r="M194" s="153"/>
    </row>
    <row r="195">
      <c r="A195" s="153"/>
      <c r="D195" s="153"/>
      <c r="G195" s="153"/>
      <c r="J195" s="153"/>
      <c r="M195" s="153"/>
    </row>
    <row r="196">
      <c r="A196" s="153"/>
      <c r="D196" s="153"/>
      <c r="G196" s="153"/>
      <c r="J196" s="153"/>
      <c r="M196" s="153"/>
    </row>
    <row r="197">
      <c r="A197" s="153"/>
      <c r="D197" s="153"/>
      <c r="G197" s="153"/>
      <c r="J197" s="153"/>
      <c r="M197" s="153"/>
    </row>
    <row r="198">
      <c r="A198" s="153"/>
      <c r="D198" s="153"/>
      <c r="G198" s="153"/>
      <c r="J198" s="153"/>
      <c r="M198" s="153"/>
    </row>
    <row r="199">
      <c r="A199" s="153"/>
      <c r="D199" s="153"/>
      <c r="G199" s="153"/>
      <c r="J199" s="153"/>
      <c r="M199" s="153"/>
    </row>
    <row r="200">
      <c r="A200" s="153"/>
      <c r="D200" s="153"/>
      <c r="G200" s="153"/>
      <c r="J200" s="153"/>
      <c r="M200" s="153"/>
    </row>
    <row r="201">
      <c r="A201" s="153"/>
      <c r="D201" s="153"/>
      <c r="G201" s="153"/>
      <c r="J201" s="153"/>
      <c r="M201" s="153"/>
    </row>
    <row r="202">
      <c r="A202" s="153"/>
      <c r="D202" s="153"/>
      <c r="G202" s="153"/>
      <c r="J202" s="153"/>
      <c r="M202" s="153"/>
    </row>
    <row r="203">
      <c r="A203" s="153"/>
      <c r="D203" s="153"/>
      <c r="G203" s="153"/>
      <c r="J203" s="153"/>
      <c r="M203" s="153"/>
    </row>
    <row r="204">
      <c r="A204" s="153"/>
      <c r="D204" s="153"/>
      <c r="G204" s="153"/>
      <c r="J204" s="153"/>
      <c r="M204" s="153"/>
    </row>
    <row r="205">
      <c r="A205" s="153"/>
      <c r="D205" s="153"/>
      <c r="G205" s="153"/>
      <c r="J205" s="153"/>
      <c r="M205" s="153"/>
    </row>
    <row r="206">
      <c r="A206" s="153"/>
      <c r="D206" s="153"/>
      <c r="G206" s="153"/>
      <c r="J206" s="153"/>
      <c r="M206" s="153"/>
    </row>
    <row r="207">
      <c r="A207" s="153"/>
      <c r="D207" s="153"/>
      <c r="G207" s="153"/>
      <c r="J207" s="153"/>
      <c r="M207" s="153"/>
    </row>
    <row r="208">
      <c r="A208" s="153"/>
      <c r="D208" s="153"/>
      <c r="G208" s="153"/>
      <c r="J208" s="153"/>
      <c r="M208" s="153"/>
    </row>
    <row r="209">
      <c r="A209" s="153"/>
      <c r="D209" s="153"/>
      <c r="G209" s="153"/>
      <c r="J209" s="153"/>
      <c r="M209" s="153"/>
    </row>
    <row r="210">
      <c r="A210" s="153"/>
      <c r="D210" s="153"/>
      <c r="G210" s="153"/>
      <c r="J210" s="153"/>
      <c r="M210" s="153"/>
    </row>
    <row r="211">
      <c r="A211" s="153"/>
      <c r="D211" s="153"/>
      <c r="G211" s="153"/>
      <c r="J211" s="153"/>
      <c r="M211" s="153"/>
    </row>
    <row r="212">
      <c r="A212" s="153"/>
      <c r="D212" s="153"/>
      <c r="G212" s="153"/>
      <c r="J212" s="153"/>
      <c r="M212" s="153"/>
    </row>
    <row r="213">
      <c r="A213" s="153"/>
      <c r="D213" s="153"/>
      <c r="G213" s="153"/>
      <c r="J213" s="153"/>
      <c r="M213" s="153"/>
    </row>
    <row r="214">
      <c r="A214" s="153"/>
      <c r="D214" s="153"/>
      <c r="G214" s="153"/>
      <c r="J214" s="153"/>
      <c r="M214" s="153"/>
    </row>
    <row r="215">
      <c r="A215" s="153"/>
      <c r="D215" s="153"/>
      <c r="G215" s="153"/>
      <c r="J215" s="153"/>
      <c r="M215" s="153"/>
    </row>
    <row r="216">
      <c r="A216" s="153"/>
      <c r="D216" s="153"/>
      <c r="G216" s="153"/>
      <c r="J216" s="153"/>
      <c r="M216" s="153"/>
    </row>
    <row r="217">
      <c r="A217" s="153"/>
      <c r="D217" s="153"/>
      <c r="G217" s="153"/>
      <c r="J217" s="153"/>
      <c r="M217" s="153"/>
    </row>
    <row r="218">
      <c r="A218" s="153"/>
      <c r="D218" s="153"/>
      <c r="G218" s="153"/>
      <c r="J218" s="153"/>
      <c r="M218" s="153"/>
    </row>
    <row r="219">
      <c r="A219" s="153"/>
      <c r="D219" s="153"/>
      <c r="G219" s="153"/>
      <c r="J219" s="153"/>
      <c r="M219" s="153"/>
    </row>
    <row r="220">
      <c r="A220" s="153"/>
      <c r="D220" s="153"/>
      <c r="G220" s="153"/>
      <c r="J220" s="153"/>
      <c r="M220" s="153"/>
    </row>
    <row r="221">
      <c r="A221" s="153"/>
      <c r="D221" s="153"/>
      <c r="G221" s="153"/>
      <c r="J221" s="153"/>
      <c r="M221" s="153"/>
    </row>
    <row r="222">
      <c r="A222" s="153"/>
      <c r="D222" s="153"/>
      <c r="G222" s="153"/>
      <c r="J222" s="153"/>
      <c r="M222" s="153"/>
    </row>
    <row r="223">
      <c r="A223" s="153"/>
      <c r="D223" s="153"/>
      <c r="G223" s="153"/>
      <c r="J223" s="153"/>
      <c r="M223" s="153"/>
    </row>
    <row r="224">
      <c r="A224" s="153"/>
      <c r="D224" s="153"/>
      <c r="G224" s="153"/>
      <c r="J224" s="153"/>
      <c r="M224" s="153"/>
    </row>
    <row r="225">
      <c r="A225" s="153"/>
      <c r="D225" s="153"/>
      <c r="G225" s="153"/>
      <c r="J225" s="153"/>
      <c r="M225" s="153"/>
    </row>
    <row r="226">
      <c r="A226" s="153"/>
      <c r="D226" s="153"/>
      <c r="G226" s="153"/>
      <c r="J226" s="153"/>
      <c r="M226" s="153"/>
    </row>
    <row r="227">
      <c r="A227" s="153"/>
      <c r="D227" s="153"/>
      <c r="G227" s="153"/>
      <c r="J227" s="153"/>
      <c r="M227" s="153"/>
    </row>
    <row r="228">
      <c r="A228" s="153"/>
      <c r="D228" s="153"/>
      <c r="G228" s="153"/>
      <c r="J228" s="153"/>
      <c r="M228" s="153"/>
    </row>
    <row r="229">
      <c r="A229" s="153"/>
      <c r="D229" s="153"/>
      <c r="G229" s="153"/>
      <c r="J229" s="153"/>
      <c r="M229" s="153"/>
    </row>
    <row r="230">
      <c r="A230" s="153"/>
      <c r="D230" s="153"/>
      <c r="G230" s="153"/>
      <c r="J230" s="153"/>
      <c r="M230" s="153"/>
    </row>
    <row r="231">
      <c r="A231" s="153"/>
      <c r="D231" s="153"/>
      <c r="G231" s="153"/>
      <c r="J231" s="153"/>
      <c r="M231" s="153"/>
    </row>
    <row r="232">
      <c r="A232" s="153"/>
      <c r="D232" s="153"/>
      <c r="G232" s="153"/>
      <c r="J232" s="153"/>
      <c r="M232" s="153"/>
    </row>
    <row r="233">
      <c r="A233" s="153"/>
      <c r="D233" s="153"/>
      <c r="G233" s="153"/>
      <c r="J233" s="153"/>
      <c r="M233" s="153"/>
    </row>
    <row r="234">
      <c r="A234" s="153"/>
      <c r="D234" s="153"/>
      <c r="G234" s="153"/>
      <c r="J234" s="153"/>
      <c r="M234" s="153"/>
    </row>
    <row r="235">
      <c r="A235" s="153"/>
      <c r="D235" s="153"/>
      <c r="G235" s="153"/>
      <c r="J235" s="153"/>
      <c r="M235" s="153"/>
    </row>
    <row r="236">
      <c r="A236" s="153"/>
      <c r="D236" s="153"/>
      <c r="G236" s="153"/>
      <c r="J236" s="153"/>
      <c r="M236" s="153"/>
    </row>
    <row r="237">
      <c r="A237" s="153"/>
      <c r="D237" s="153"/>
      <c r="G237" s="153"/>
      <c r="J237" s="153"/>
      <c r="M237" s="153"/>
    </row>
    <row r="238">
      <c r="A238" s="153"/>
      <c r="D238" s="153"/>
      <c r="G238" s="153"/>
      <c r="J238" s="153"/>
      <c r="M238" s="153"/>
    </row>
    <row r="239">
      <c r="A239" s="153"/>
      <c r="D239" s="153"/>
      <c r="G239" s="153"/>
      <c r="J239" s="153"/>
      <c r="M239" s="153"/>
    </row>
    <row r="240">
      <c r="A240" s="153"/>
      <c r="D240" s="153"/>
      <c r="G240" s="153"/>
      <c r="J240" s="153"/>
      <c r="M240" s="153"/>
    </row>
    <row r="241">
      <c r="A241" s="153"/>
      <c r="D241" s="153"/>
      <c r="G241" s="153"/>
      <c r="J241" s="153"/>
      <c r="M241" s="153"/>
    </row>
    <row r="242">
      <c r="A242" s="153"/>
      <c r="D242" s="153"/>
      <c r="G242" s="153"/>
      <c r="J242" s="153"/>
      <c r="M242" s="153"/>
    </row>
    <row r="243">
      <c r="A243" s="153"/>
      <c r="D243" s="153"/>
      <c r="G243" s="153"/>
      <c r="J243" s="153"/>
      <c r="M243" s="153"/>
    </row>
    <row r="244">
      <c r="A244" s="153"/>
      <c r="D244" s="153"/>
      <c r="G244" s="153"/>
      <c r="J244" s="153"/>
      <c r="M244" s="153"/>
    </row>
    <row r="245">
      <c r="A245" s="153"/>
      <c r="D245" s="153"/>
      <c r="G245" s="153"/>
      <c r="J245" s="153"/>
      <c r="M245" s="153"/>
    </row>
    <row r="246">
      <c r="A246" s="153"/>
      <c r="D246" s="153"/>
      <c r="G246" s="153"/>
      <c r="J246" s="153"/>
      <c r="M246" s="153"/>
    </row>
    <row r="247">
      <c r="A247" s="153"/>
      <c r="D247" s="153"/>
      <c r="G247" s="153"/>
      <c r="J247" s="153"/>
      <c r="M247" s="153"/>
    </row>
    <row r="248">
      <c r="A248" s="153"/>
      <c r="D248" s="153"/>
      <c r="G248" s="153"/>
      <c r="J248" s="153"/>
      <c r="M248" s="153"/>
    </row>
    <row r="249">
      <c r="A249" s="153"/>
      <c r="D249" s="153"/>
      <c r="G249" s="153"/>
      <c r="J249" s="153"/>
      <c r="M249" s="153"/>
    </row>
    <row r="250">
      <c r="A250" s="153"/>
      <c r="D250" s="153"/>
      <c r="G250" s="153"/>
      <c r="J250" s="153"/>
      <c r="M250" s="153"/>
    </row>
    <row r="251">
      <c r="A251" s="153"/>
      <c r="D251" s="153"/>
      <c r="G251" s="153"/>
      <c r="J251" s="153"/>
      <c r="M251" s="153"/>
    </row>
    <row r="252">
      <c r="A252" s="153"/>
      <c r="D252" s="153"/>
      <c r="G252" s="153"/>
      <c r="J252" s="153"/>
      <c r="M252" s="153"/>
    </row>
    <row r="253">
      <c r="A253" s="153"/>
      <c r="D253" s="153"/>
      <c r="G253" s="153"/>
      <c r="J253" s="153"/>
      <c r="M253" s="153"/>
    </row>
    <row r="254">
      <c r="A254" s="153"/>
      <c r="D254" s="153"/>
      <c r="G254" s="153"/>
      <c r="J254" s="153"/>
      <c r="M254" s="153"/>
    </row>
    <row r="255">
      <c r="A255" s="153"/>
      <c r="D255" s="153"/>
      <c r="G255" s="153"/>
      <c r="J255" s="153"/>
      <c r="M255" s="153"/>
    </row>
    <row r="256">
      <c r="A256" s="153"/>
      <c r="D256" s="153"/>
      <c r="G256" s="153"/>
      <c r="J256" s="153"/>
      <c r="M256" s="153"/>
    </row>
    <row r="257">
      <c r="A257" s="153"/>
      <c r="D257" s="153"/>
      <c r="G257" s="153"/>
      <c r="J257" s="153"/>
      <c r="M257" s="153"/>
    </row>
    <row r="258">
      <c r="A258" s="153"/>
      <c r="D258" s="153"/>
      <c r="G258" s="153"/>
      <c r="J258" s="153"/>
      <c r="M258" s="153"/>
    </row>
    <row r="259">
      <c r="A259" s="153"/>
      <c r="D259" s="153"/>
      <c r="G259" s="153"/>
      <c r="J259" s="153"/>
      <c r="M259" s="153"/>
    </row>
    <row r="260">
      <c r="A260" s="153"/>
      <c r="D260" s="153"/>
      <c r="G260" s="153"/>
      <c r="J260" s="153"/>
      <c r="M260" s="153"/>
    </row>
    <row r="261">
      <c r="A261" s="153"/>
      <c r="D261" s="153"/>
      <c r="G261" s="153"/>
      <c r="J261" s="153"/>
      <c r="M261" s="153"/>
    </row>
    <row r="262">
      <c r="A262" s="153"/>
      <c r="D262" s="153"/>
      <c r="G262" s="153"/>
      <c r="J262" s="153"/>
      <c r="M262" s="153"/>
    </row>
    <row r="263">
      <c r="A263" s="153"/>
      <c r="D263" s="153"/>
      <c r="G263" s="153"/>
      <c r="J263" s="153"/>
      <c r="M263" s="153"/>
    </row>
    <row r="264">
      <c r="A264" s="153"/>
      <c r="D264" s="153"/>
      <c r="G264" s="153"/>
      <c r="J264" s="153"/>
      <c r="M264" s="153"/>
    </row>
    <row r="265">
      <c r="A265" s="153"/>
      <c r="D265" s="153"/>
      <c r="G265" s="153"/>
      <c r="J265" s="153"/>
      <c r="M265" s="153"/>
    </row>
    <row r="266">
      <c r="A266" s="153"/>
      <c r="D266" s="153"/>
      <c r="G266" s="153"/>
      <c r="J266" s="153"/>
      <c r="M266" s="153"/>
    </row>
    <row r="267">
      <c r="A267" s="153"/>
      <c r="D267" s="153"/>
      <c r="G267" s="153"/>
      <c r="J267" s="153"/>
      <c r="M267" s="153"/>
    </row>
    <row r="268">
      <c r="A268" s="153"/>
      <c r="D268" s="153"/>
      <c r="G268" s="153"/>
      <c r="J268" s="153"/>
      <c r="M268" s="153"/>
    </row>
    <row r="269">
      <c r="A269" s="153"/>
      <c r="D269" s="153"/>
      <c r="G269" s="153"/>
      <c r="J269" s="153"/>
      <c r="M269" s="153"/>
    </row>
    <row r="270">
      <c r="A270" s="153"/>
      <c r="D270" s="153"/>
      <c r="G270" s="153"/>
      <c r="J270" s="153"/>
      <c r="M270" s="153"/>
    </row>
    <row r="271">
      <c r="A271" s="153"/>
      <c r="D271" s="153"/>
      <c r="G271" s="153"/>
      <c r="J271" s="153"/>
      <c r="M271" s="153"/>
    </row>
    <row r="272">
      <c r="A272" s="153"/>
      <c r="D272" s="153"/>
      <c r="G272" s="153"/>
      <c r="J272" s="153"/>
      <c r="M272" s="153"/>
    </row>
    <row r="273">
      <c r="A273" s="153"/>
      <c r="D273" s="153"/>
      <c r="G273" s="153"/>
      <c r="J273" s="153"/>
      <c r="M273" s="153"/>
    </row>
    <row r="274">
      <c r="A274" s="153"/>
      <c r="D274" s="153"/>
      <c r="G274" s="153"/>
      <c r="J274" s="153"/>
      <c r="M274" s="153"/>
    </row>
    <row r="275">
      <c r="A275" s="153"/>
      <c r="D275" s="153"/>
      <c r="G275" s="153"/>
      <c r="J275" s="153"/>
      <c r="M275" s="153"/>
    </row>
    <row r="276">
      <c r="A276" s="153"/>
      <c r="D276" s="153"/>
      <c r="G276" s="153"/>
      <c r="J276" s="153"/>
      <c r="M276" s="153"/>
    </row>
    <row r="277">
      <c r="A277" s="153"/>
      <c r="D277" s="153"/>
      <c r="G277" s="153"/>
      <c r="J277" s="153"/>
      <c r="M277" s="153"/>
    </row>
    <row r="278">
      <c r="A278" s="153"/>
      <c r="D278" s="153"/>
      <c r="G278" s="153"/>
      <c r="J278" s="153"/>
      <c r="M278" s="153"/>
    </row>
    <row r="279">
      <c r="A279" s="153"/>
      <c r="D279" s="153"/>
      <c r="G279" s="153"/>
      <c r="J279" s="153"/>
      <c r="M279" s="153"/>
    </row>
    <row r="280">
      <c r="A280" s="153"/>
      <c r="D280" s="153"/>
      <c r="G280" s="153"/>
      <c r="J280" s="153"/>
      <c r="M280" s="153"/>
    </row>
    <row r="281">
      <c r="A281" s="153"/>
      <c r="D281" s="153"/>
      <c r="G281" s="153"/>
      <c r="J281" s="153"/>
      <c r="M281" s="153"/>
    </row>
    <row r="282">
      <c r="A282" s="153"/>
      <c r="D282" s="153"/>
      <c r="G282" s="153"/>
      <c r="J282" s="153"/>
      <c r="M282" s="153"/>
    </row>
    <row r="283">
      <c r="A283" s="153"/>
      <c r="D283" s="153"/>
      <c r="G283" s="153"/>
      <c r="J283" s="153"/>
      <c r="M283" s="153"/>
    </row>
    <row r="284">
      <c r="A284" s="153"/>
      <c r="D284" s="153"/>
      <c r="G284" s="153"/>
      <c r="J284" s="153"/>
      <c r="M284" s="153"/>
    </row>
    <row r="285">
      <c r="A285" s="153"/>
      <c r="D285" s="153"/>
      <c r="G285" s="153"/>
      <c r="J285" s="153"/>
      <c r="M285" s="153"/>
    </row>
    <row r="286">
      <c r="A286" s="153"/>
      <c r="D286" s="153"/>
      <c r="G286" s="153"/>
      <c r="J286" s="153"/>
      <c r="M286" s="153"/>
    </row>
    <row r="287">
      <c r="A287" s="153"/>
      <c r="D287" s="153"/>
      <c r="G287" s="153"/>
      <c r="J287" s="153"/>
      <c r="M287" s="153"/>
    </row>
    <row r="288">
      <c r="A288" s="153"/>
      <c r="D288" s="153"/>
      <c r="G288" s="153"/>
      <c r="J288" s="153"/>
      <c r="M288" s="153"/>
    </row>
    <row r="289">
      <c r="A289" s="153"/>
      <c r="D289" s="153"/>
      <c r="G289" s="153"/>
      <c r="J289" s="153"/>
      <c r="M289" s="153"/>
    </row>
    <row r="290">
      <c r="A290" s="153"/>
      <c r="D290" s="153"/>
      <c r="G290" s="153"/>
      <c r="J290" s="153"/>
      <c r="M290" s="153"/>
    </row>
    <row r="291">
      <c r="A291" s="153"/>
      <c r="D291" s="153"/>
      <c r="G291" s="153"/>
      <c r="J291" s="153"/>
      <c r="M291" s="153"/>
    </row>
    <row r="292">
      <c r="A292" s="153"/>
      <c r="D292" s="153"/>
      <c r="G292" s="153"/>
      <c r="J292" s="153"/>
      <c r="M292" s="153"/>
    </row>
    <row r="293">
      <c r="A293" s="153"/>
      <c r="D293" s="153"/>
      <c r="G293" s="153"/>
      <c r="J293" s="153"/>
      <c r="M293" s="153"/>
    </row>
    <row r="294">
      <c r="A294" s="153"/>
      <c r="D294" s="153"/>
      <c r="G294" s="153"/>
      <c r="J294" s="153"/>
      <c r="M294" s="153"/>
    </row>
    <row r="295">
      <c r="A295" s="153"/>
      <c r="D295" s="153"/>
      <c r="G295" s="153"/>
      <c r="J295" s="153"/>
      <c r="M295" s="153"/>
    </row>
    <row r="296">
      <c r="A296" s="153"/>
      <c r="D296" s="153"/>
      <c r="G296" s="153"/>
      <c r="J296" s="153"/>
      <c r="M296" s="153"/>
    </row>
    <row r="297">
      <c r="A297" s="153"/>
      <c r="D297" s="153"/>
      <c r="G297" s="153"/>
      <c r="J297" s="153"/>
      <c r="M297" s="153"/>
    </row>
    <row r="298">
      <c r="A298" s="153"/>
      <c r="D298" s="153"/>
      <c r="G298" s="153"/>
      <c r="J298" s="153"/>
      <c r="M298" s="153"/>
    </row>
    <row r="299">
      <c r="A299" s="153"/>
      <c r="D299" s="153"/>
      <c r="G299" s="153"/>
      <c r="J299" s="153"/>
      <c r="M299" s="153"/>
    </row>
    <row r="300">
      <c r="A300" s="153"/>
      <c r="D300" s="153"/>
      <c r="G300" s="153"/>
      <c r="J300" s="153"/>
      <c r="M300" s="153"/>
    </row>
    <row r="301">
      <c r="A301" s="153"/>
      <c r="D301" s="153"/>
      <c r="G301" s="153"/>
      <c r="J301" s="153"/>
      <c r="M301" s="153"/>
    </row>
    <row r="302">
      <c r="A302" s="153"/>
      <c r="D302" s="153"/>
      <c r="G302" s="153"/>
      <c r="J302" s="153"/>
      <c r="M302" s="153"/>
    </row>
    <row r="303">
      <c r="A303" s="153"/>
      <c r="D303" s="153"/>
      <c r="G303" s="153"/>
      <c r="J303" s="153"/>
      <c r="M303" s="153"/>
    </row>
    <row r="304">
      <c r="A304" s="153"/>
      <c r="D304" s="153"/>
      <c r="G304" s="153"/>
      <c r="J304" s="153"/>
      <c r="M304" s="153"/>
    </row>
    <row r="305">
      <c r="A305" s="153"/>
      <c r="D305" s="153"/>
      <c r="G305" s="153"/>
      <c r="J305" s="153"/>
      <c r="M305" s="153"/>
    </row>
    <row r="306">
      <c r="A306" s="153"/>
      <c r="D306" s="153"/>
      <c r="G306" s="153"/>
      <c r="J306" s="153"/>
      <c r="M306" s="153"/>
    </row>
    <row r="307">
      <c r="A307" s="153"/>
      <c r="D307" s="153"/>
      <c r="G307" s="153"/>
      <c r="J307" s="153"/>
      <c r="M307" s="153"/>
    </row>
    <row r="308">
      <c r="A308" s="153"/>
      <c r="D308" s="153"/>
      <c r="G308" s="153"/>
      <c r="J308" s="153"/>
      <c r="M308" s="153"/>
    </row>
    <row r="309">
      <c r="A309" s="153"/>
      <c r="D309" s="153"/>
      <c r="G309" s="153"/>
      <c r="J309" s="153"/>
      <c r="M309" s="153"/>
    </row>
    <row r="310">
      <c r="A310" s="153"/>
      <c r="D310" s="153"/>
      <c r="G310" s="153"/>
      <c r="J310" s="153"/>
      <c r="M310" s="153"/>
    </row>
    <row r="311">
      <c r="A311" s="153"/>
      <c r="D311" s="153"/>
      <c r="G311" s="153"/>
      <c r="J311" s="153"/>
      <c r="M311" s="153"/>
    </row>
    <row r="312">
      <c r="A312" s="153"/>
      <c r="D312" s="153"/>
      <c r="G312" s="153"/>
      <c r="J312" s="153"/>
      <c r="M312" s="153"/>
    </row>
    <row r="313">
      <c r="A313" s="153"/>
      <c r="D313" s="153"/>
      <c r="G313" s="153"/>
      <c r="J313" s="153"/>
      <c r="M313" s="153"/>
    </row>
    <row r="314">
      <c r="A314" s="153"/>
      <c r="D314" s="153"/>
      <c r="G314" s="153"/>
      <c r="J314" s="153"/>
      <c r="M314" s="153"/>
    </row>
    <row r="315">
      <c r="A315" s="153"/>
      <c r="D315" s="153"/>
      <c r="G315" s="153"/>
      <c r="J315" s="153"/>
      <c r="M315" s="153"/>
    </row>
    <row r="316">
      <c r="A316" s="153"/>
      <c r="D316" s="153"/>
      <c r="G316" s="153"/>
      <c r="J316" s="153"/>
      <c r="M316" s="153"/>
    </row>
    <row r="317">
      <c r="A317" s="153"/>
      <c r="D317" s="153"/>
      <c r="G317" s="153"/>
      <c r="J317" s="153"/>
      <c r="M317" s="153"/>
    </row>
    <row r="318">
      <c r="A318" s="153"/>
      <c r="D318" s="153"/>
      <c r="G318" s="153"/>
      <c r="J318" s="153"/>
      <c r="M318" s="153"/>
    </row>
    <row r="319">
      <c r="A319" s="153"/>
      <c r="D319" s="153"/>
      <c r="G319" s="153"/>
      <c r="J319" s="153"/>
      <c r="M319" s="153"/>
    </row>
    <row r="320">
      <c r="A320" s="153"/>
      <c r="D320" s="153"/>
      <c r="G320" s="153"/>
      <c r="J320" s="153"/>
      <c r="M320" s="153"/>
    </row>
    <row r="321">
      <c r="A321" s="153"/>
      <c r="D321" s="153"/>
      <c r="G321" s="153"/>
      <c r="J321" s="153"/>
      <c r="M321" s="153"/>
    </row>
    <row r="322">
      <c r="A322" s="153"/>
      <c r="D322" s="153"/>
      <c r="G322" s="153"/>
      <c r="J322" s="153"/>
      <c r="M322" s="153"/>
    </row>
    <row r="323">
      <c r="A323" s="153"/>
      <c r="D323" s="153"/>
      <c r="G323" s="153"/>
      <c r="J323" s="153"/>
      <c r="M323" s="153"/>
    </row>
    <row r="324">
      <c r="A324" s="153"/>
      <c r="D324" s="153"/>
      <c r="G324" s="153"/>
      <c r="J324" s="153"/>
      <c r="M324" s="153"/>
    </row>
    <row r="325">
      <c r="A325" s="153"/>
      <c r="D325" s="153"/>
      <c r="G325" s="153"/>
      <c r="J325" s="153"/>
      <c r="M325" s="153"/>
    </row>
    <row r="326">
      <c r="A326" s="153"/>
      <c r="D326" s="153"/>
      <c r="G326" s="153"/>
      <c r="J326" s="153"/>
      <c r="M326" s="153"/>
    </row>
    <row r="327">
      <c r="A327" s="153"/>
      <c r="D327" s="153"/>
      <c r="G327" s="153"/>
      <c r="J327" s="153"/>
      <c r="M327" s="153"/>
    </row>
    <row r="328">
      <c r="A328" s="153"/>
      <c r="D328" s="153"/>
      <c r="G328" s="153"/>
      <c r="J328" s="153"/>
      <c r="M328" s="153"/>
    </row>
    <row r="329">
      <c r="A329" s="153"/>
      <c r="D329" s="153"/>
      <c r="G329" s="153"/>
      <c r="J329" s="153"/>
      <c r="M329" s="153"/>
    </row>
    <row r="330">
      <c r="A330" s="153"/>
      <c r="D330" s="153"/>
      <c r="G330" s="153"/>
      <c r="J330" s="153"/>
      <c r="M330" s="153"/>
    </row>
    <row r="331">
      <c r="A331" s="153"/>
      <c r="D331" s="153"/>
      <c r="G331" s="153"/>
      <c r="J331" s="153"/>
      <c r="M331" s="153"/>
    </row>
    <row r="332">
      <c r="A332" s="153"/>
      <c r="D332" s="153"/>
      <c r="G332" s="153"/>
      <c r="J332" s="153"/>
      <c r="M332" s="153"/>
    </row>
    <row r="333">
      <c r="A333" s="153"/>
      <c r="D333" s="153"/>
      <c r="G333" s="153"/>
      <c r="J333" s="153"/>
      <c r="M333" s="153"/>
    </row>
    <row r="334">
      <c r="A334" s="153"/>
      <c r="D334" s="153"/>
      <c r="G334" s="153"/>
      <c r="J334" s="153"/>
      <c r="M334" s="153"/>
    </row>
    <row r="335">
      <c r="A335" s="153"/>
      <c r="D335" s="153"/>
      <c r="G335" s="153"/>
      <c r="J335" s="153"/>
      <c r="M335" s="153"/>
    </row>
    <row r="336">
      <c r="A336" s="153"/>
      <c r="D336" s="153"/>
      <c r="G336" s="153"/>
      <c r="J336" s="153"/>
      <c r="M336" s="153"/>
    </row>
    <row r="337">
      <c r="A337" s="153"/>
      <c r="D337" s="153"/>
      <c r="G337" s="153"/>
      <c r="J337" s="153"/>
      <c r="M337" s="153"/>
    </row>
    <row r="338">
      <c r="A338" s="153"/>
      <c r="D338" s="153"/>
      <c r="G338" s="153"/>
      <c r="J338" s="153"/>
      <c r="M338" s="153"/>
    </row>
    <row r="339">
      <c r="A339" s="153"/>
      <c r="D339" s="153"/>
      <c r="G339" s="153"/>
      <c r="J339" s="153"/>
      <c r="M339" s="153"/>
    </row>
    <row r="340">
      <c r="A340" s="153"/>
      <c r="D340" s="153"/>
      <c r="G340" s="153"/>
      <c r="J340" s="153"/>
      <c r="M340" s="153"/>
    </row>
    <row r="341">
      <c r="A341" s="153"/>
      <c r="D341" s="153"/>
      <c r="G341" s="153"/>
      <c r="J341" s="153"/>
      <c r="M341" s="153"/>
    </row>
    <row r="342">
      <c r="A342" s="153"/>
      <c r="D342" s="153"/>
      <c r="G342" s="153"/>
      <c r="J342" s="153"/>
      <c r="M342" s="153"/>
    </row>
    <row r="343">
      <c r="A343" s="153"/>
      <c r="D343" s="153"/>
      <c r="G343" s="153"/>
      <c r="J343" s="153"/>
      <c r="M343" s="153"/>
    </row>
    <row r="344">
      <c r="A344" s="153"/>
      <c r="D344" s="153"/>
      <c r="G344" s="153"/>
      <c r="J344" s="153"/>
      <c r="M344" s="153"/>
    </row>
    <row r="345">
      <c r="A345" s="153"/>
      <c r="D345" s="153"/>
      <c r="G345" s="153"/>
      <c r="J345" s="153"/>
      <c r="M345" s="153"/>
    </row>
    <row r="346">
      <c r="A346" s="153"/>
      <c r="D346" s="153"/>
      <c r="G346" s="153"/>
      <c r="J346" s="153"/>
      <c r="M346" s="153"/>
    </row>
    <row r="347">
      <c r="A347" s="153"/>
      <c r="D347" s="153"/>
      <c r="G347" s="153"/>
      <c r="J347" s="153"/>
      <c r="M347" s="153"/>
    </row>
    <row r="348">
      <c r="A348" s="153"/>
      <c r="D348" s="153"/>
      <c r="G348" s="153"/>
      <c r="J348" s="153"/>
      <c r="M348" s="153"/>
    </row>
    <row r="349">
      <c r="A349" s="153"/>
      <c r="D349" s="153"/>
      <c r="G349" s="153"/>
      <c r="J349" s="153"/>
      <c r="M349" s="153"/>
    </row>
    <row r="350">
      <c r="A350" s="153"/>
      <c r="D350" s="153"/>
      <c r="G350" s="153"/>
      <c r="J350" s="153"/>
      <c r="M350" s="153"/>
    </row>
    <row r="351">
      <c r="A351" s="153"/>
      <c r="D351" s="153"/>
      <c r="G351" s="153"/>
      <c r="J351" s="153"/>
      <c r="M351" s="153"/>
    </row>
    <row r="352">
      <c r="A352" s="153"/>
      <c r="D352" s="153"/>
      <c r="G352" s="153"/>
      <c r="J352" s="153"/>
      <c r="M352" s="153"/>
    </row>
    <row r="353">
      <c r="A353" s="153"/>
      <c r="D353" s="153"/>
      <c r="G353" s="153"/>
      <c r="J353" s="153"/>
      <c r="M353" s="153"/>
    </row>
    <row r="354">
      <c r="A354" s="153"/>
      <c r="D354" s="153"/>
      <c r="G354" s="153"/>
      <c r="J354" s="153"/>
      <c r="M354" s="153"/>
    </row>
    <row r="355">
      <c r="A355" s="153"/>
      <c r="D355" s="153"/>
      <c r="G355" s="153"/>
      <c r="J355" s="153"/>
      <c r="M355" s="153"/>
    </row>
    <row r="356">
      <c r="A356" s="153"/>
      <c r="D356" s="153"/>
      <c r="G356" s="153"/>
      <c r="J356" s="153"/>
      <c r="M356" s="153"/>
    </row>
    <row r="357">
      <c r="A357" s="153"/>
      <c r="D357" s="153"/>
      <c r="G357" s="153"/>
      <c r="J357" s="153"/>
      <c r="M357" s="153"/>
    </row>
    <row r="358">
      <c r="A358" s="153"/>
      <c r="D358" s="153"/>
      <c r="G358" s="153"/>
      <c r="J358" s="153"/>
      <c r="M358" s="153"/>
    </row>
    <row r="359">
      <c r="A359" s="153"/>
      <c r="D359" s="153"/>
      <c r="G359" s="153"/>
      <c r="J359" s="153"/>
      <c r="M359" s="153"/>
    </row>
    <row r="360">
      <c r="A360" s="153"/>
      <c r="D360" s="153"/>
      <c r="G360" s="153"/>
      <c r="J360" s="153"/>
      <c r="M360" s="153"/>
    </row>
    <row r="361">
      <c r="A361" s="153"/>
      <c r="D361" s="153"/>
      <c r="G361" s="153"/>
      <c r="J361" s="153"/>
      <c r="M361" s="153"/>
    </row>
    <row r="362">
      <c r="A362" s="153"/>
      <c r="D362" s="153"/>
      <c r="G362" s="153"/>
      <c r="J362" s="153"/>
      <c r="M362" s="153"/>
    </row>
    <row r="363">
      <c r="A363" s="153"/>
      <c r="D363" s="153"/>
      <c r="G363" s="153"/>
      <c r="J363" s="153"/>
      <c r="M363" s="153"/>
    </row>
    <row r="364">
      <c r="A364" s="153"/>
      <c r="D364" s="153"/>
      <c r="G364" s="153"/>
      <c r="J364" s="153"/>
      <c r="M364" s="153"/>
    </row>
    <row r="365">
      <c r="A365" s="153"/>
      <c r="D365" s="153"/>
      <c r="G365" s="153"/>
      <c r="J365" s="153"/>
      <c r="M365" s="153"/>
    </row>
    <row r="366">
      <c r="A366" s="153"/>
      <c r="D366" s="153"/>
      <c r="G366" s="153"/>
      <c r="J366" s="153"/>
      <c r="M366" s="153"/>
    </row>
    <row r="367">
      <c r="A367" s="153"/>
      <c r="D367" s="153"/>
      <c r="G367" s="153"/>
      <c r="J367" s="153"/>
      <c r="M367" s="153"/>
    </row>
    <row r="368">
      <c r="A368" s="153"/>
      <c r="D368" s="153"/>
      <c r="G368" s="153"/>
      <c r="J368" s="153"/>
      <c r="M368" s="153"/>
    </row>
    <row r="369">
      <c r="A369" s="153"/>
      <c r="D369" s="153"/>
      <c r="G369" s="153"/>
      <c r="J369" s="153"/>
      <c r="M369" s="153"/>
    </row>
    <row r="370">
      <c r="A370" s="153"/>
      <c r="D370" s="153"/>
      <c r="G370" s="153"/>
      <c r="J370" s="153"/>
      <c r="M370" s="153"/>
    </row>
    <row r="371">
      <c r="A371" s="153"/>
      <c r="D371" s="153"/>
      <c r="G371" s="153"/>
      <c r="J371" s="153"/>
      <c r="M371" s="153"/>
    </row>
    <row r="372">
      <c r="A372" s="153"/>
      <c r="D372" s="153"/>
      <c r="G372" s="153"/>
      <c r="J372" s="153"/>
      <c r="M372" s="153"/>
    </row>
    <row r="373">
      <c r="A373" s="153"/>
      <c r="D373" s="153"/>
      <c r="G373" s="153"/>
      <c r="J373" s="153"/>
      <c r="M373" s="153"/>
    </row>
    <row r="374">
      <c r="A374" s="153"/>
      <c r="D374" s="153"/>
      <c r="G374" s="153"/>
      <c r="J374" s="153"/>
      <c r="M374" s="153"/>
    </row>
    <row r="375">
      <c r="A375" s="153"/>
      <c r="D375" s="153"/>
      <c r="G375" s="153"/>
      <c r="J375" s="153"/>
      <c r="M375" s="153"/>
    </row>
    <row r="376">
      <c r="A376" s="153"/>
      <c r="D376" s="153"/>
      <c r="G376" s="153"/>
      <c r="J376" s="153"/>
      <c r="M376" s="153"/>
    </row>
    <row r="377">
      <c r="A377" s="153"/>
      <c r="D377" s="153"/>
      <c r="G377" s="153"/>
      <c r="J377" s="153"/>
      <c r="M377" s="153"/>
    </row>
    <row r="378">
      <c r="A378" s="153"/>
      <c r="D378" s="153"/>
      <c r="G378" s="153"/>
      <c r="J378" s="153"/>
      <c r="M378" s="153"/>
    </row>
    <row r="379">
      <c r="A379" s="153"/>
      <c r="D379" s="153"/>
      <c r="G379" s="153"/>
      <c r="J379" s="153"/>
      <c r="M379" s="153"/>
    </row>
    <row r="380">
      <c r="A380" s="153"/>
      <c r="D380" s="153"/>
      <c r="G380" s="153"/>
      <c r="J380" s="153"/>
      <c r="M380" s="153"/>
    </row>
    <row r="381">
      <c r="A381" s="153"/>
      <c r="D381" s="153"/>
      <c r="G381" s="153"/>
      <c r="J381" s="153"/>
      <c r="M381" s="153"/>
    </row>
    <row r="382">
      <c r="A382" s="153"/>
      <c r="D382" s="153"/>
      <c r="G382" s="153"/>
      <c r="J382" s="153"/>
      <c r="M382" s="153"/>
    </row>
    <row r="383">
      <c r="A383" s="153"/>
      <c r="D383" s="153"/>
      <c r="G383" s="153"/>
      <c r="J383" s="153"/>
      <c r="M383" s="153"/>
    </row>
    <row r="384">
      <c r="A384" s="153"/>
      <c r="D384" s="153"/>
      <c r="G384" s="153"/>
      <c r="J384" s="153"/>
      <c r="M384" s="153"/>
    </row>
    <row r="385">
      <c r="A385" s="153"/>
      <c r="D385" s="153"/>
      <c r="G385" s="153"/>
      <c r="J385" s="153"/>
      <c r="M385" s="153"/>
    </row>
    <row r="386">
      <c r="A386" s="153"/>
      <c r="D386" s="153"/>
      <c r="G386" s="153"/>
      <c r="J386" s="153"/>
      <c r="M386" s="153"/>
    </row>
    <row r="387">
      <c r="A387" s="153"/>
      <c r="D387" s="153"/>
      <c r="G387" s="153"/>
      <c r="J387" s="153"/>
      <c r="M387" s="153"/>
    </row>
    <row r="388">
      <c r="A388" s="153"/>
      <c r="D388" s="153"/>
      <c r="G388" s="153"/>
      <c r="J388" s="153"/>
      <c r="M388" s="153"/>
    </row>
    <row r="389">
      <c r="A389" s="153"/>
      <c r="D389" s="153"/>
      <c r="G389" s="153"/>
      <c r="J389" s="153"/>
      <c r="M389" s="153"/>
    </row>
    <row r="390">
      <c r="A390" s="153"/>
      <c r="D390" s="153"/>
      <c r="G390" s="153"/>
      <c r="J390" s="153"/>
      <c r="M390" s="153"/>
    </row>
    <row r="391">
      <c r="A391" s="153"/>
      <c r="D391" s="153"/>
      <c r="G391" s="153"/>
      <c r="J391" s="153"/>
      <c r="M391" s="153"/>
    </row>
    <row r="392">
      <c r="A392" s="153"/>
      <c r="D392" s="153"/>
      <c r="G392" s="153"/>
      <c r="J392" s="153"/>
      <c r="M392" s="153"/>
    </row>
    <row r="393">
      <c r="A393" s="153"/>
      <c r="D393" s="153"/>
      <c r="G393" s="153"/>
      <c r="J393" s="153"/>
      <c r="M393" s="153"/>
    </row>
    <row r="394">
      <c r="A394" s="153"/>
      <c r="D394" s="153"/>
      <c r="G394" s="153"/>
      <c r="J394" s="153"/>
      <c r="M394" s="153"/>
    </row>
    <row r="395">
      <c r="A395" s="153"/>
      <c r="D395" s="153"/>
      <c r="G395" s="153"/>
      <c r="J395" s="153"/>
      <c r="M395" s="153"/>
    </row>
    <row r="396">
      <c r="A396" s="153"/>
      <c r="D396" s="153"/>
      <c r="G396" s="153"/>
      <c r="J396" s="153"/>
      <c r="M396" s="153"/>
    </row>
    <row r="397">
      <c r="A397" s="153"/>
      <c r="D397" s="153"/>
      <c r="G397" s="153"/>
      <c r="J397" s="153"/>
      <c r="M397" s="153"/>
    </row>
    <row r="398">
      <c r="A398" s="153"/>
      <c r="D398" s="153"/>
      <c r="G398" s="153"/>
      <c r="J398" s="153"/>
      <c r="M398" s="153"/>
    </row>
    <row r="399">
      <c r="A399" s="153"/>
      <c r="D399" s="153"/>
      <c r="G399" s="153"/>
      <c r="J399" s="153"/>
      <c r="M399" s="153"/>
    </row>
    <row r="400">
      <c r="A400" s="153"/>
      <c r="D400" s="153"/>
      <c r="G400" s="153"/>
      <c r="J400" s="153"/>
      <c r="M400" s="153"/>
    </row>
    <row r="401">
      <c r="A401" s="153"/>
      <c r="D401" s="153"/>
      <c r="G401" s="153"/>
      <c r="J401" s="153"/>
      <c r="M401" s="153"/>
    </row>
    <row r="402">
      <c r="A402" s="153"/>
      <c r="D402" s="153"/>
      <c r="G402" s="153"/>
      <c r="J402" s="153"/>
      <c r="M402" s="153"/>
    </row>
    <row r="403">
      <c r="A403" s="153"/>
      <c r="D403" s="153"/>
      <c r="G403" s="153"/>
      <c r="J403" s="153"/>
      <c r="M403" s="153"/>
    </row>
    <row r="404">
      <c r="A404" s="153"/>
      <c r="D404" s="153"/>
      <c r="G404" s="153"/>
      <c r="J404" s="153"/>
      <c r="M404" s="153"/>
    </row>
    <row r="405">
      <c r="A405" s="153"/>
      <c r="D405" s="153"/>
      <c r="G405" s="153"/>
      <c r="J405" s="153"/>
      <c r="M405" s="153"/>
    </row>
    <row r="406">
      <c r="A406" s="153"/>
      <c r="D406" s="153"/>
      <c r="G406" s="153"/>
      <c r="J406" s="153"/>
      <c r="M406" s="153"/>
    </row>
    <row r="407">
      <c r="A407" s="153"/>
      <c r="D407" s="153"/>
      <c r="G407" s="153"/>
      <c r="J407" s="153"/>
      <c r="M407" s="153"/>
    </row>
    <row r="408">
      <c r="A408" s="153"/>
      <c r="D408" s="153"/>
      <c r="G408" s="153"/>
      <c r="J408" s="153"/>
      <c r="M408" s="153"/>
    </row>
    <row r="409">
      <c r="A409" s="153"/>
      <c r="D409" s="153"/>
      <c r="G409" s="153"/>
      <c r="J409" s="153"/>
      <c r="M409" s="153"/>
    </row>
    <row r="410">
      <c r="A410" s="153"/>
      <c r="D410" s="153"/>
      <c r="G410" s="153"/>
      <c r="J410" s="153"/>
      <c r="M410" s="153"/>
    </row>
    <row r="411">
      <c r="A411" s="153"/>
      <c r="D411" s="153"/>
      <c r="G411" s="153"/>
      <c r="J411" s="153"/>
      <c r="M411" s="153"/>
    </row>
    <row r="412">
      <c r="A412" s="153"/>
      <c r="D412" s="153"/>
      <c r="G412" s="153"/>
      <c r="J412" s="153"/>
      <c r="M412" s="153"/>
    </row>
    <row r="413">
      <c r="A413" s="153"/>
      <c r="D413" s="153"/>
      <c r="G413" s="153"/>
      <c r="J413" s="153"/>
      <c r="M413" s="153"/>
    </row>
    <row r="414">
      <c r="A414" s="153"/>
      <c r="D414" s="153"/>
      <c r="G414" s="153"/>
      <c r="J414" s="153"/>
      <c r="M414" s="153"/>
    </row>
    <row r="415">
      <c r="A415" s="153"/>
      <c r="D415" s="153"/>
      <c r="G415" s="153"/>
      <c r="J415" s="153"/>
      <c r="M415" s="153"/>
    </row>
    <row r="416">
      <c r="A416" s="153"/>
      <c r="D416" s="153"/>
      <c r="G416" s="153"/>
      <c r="J416" s="153"/>
      <c r="M416" s="153"/>
    </row>
    <row r="417">
      <c r="A417" s="153"/>
      <c r="D417" s="153"/>
      <c r="G417" s="153"/>
      <c r="J417" s="153"/>
      <c r="M417" s="153"/>
    </row>
    <row r="418">
      <c r="A418" s="153"/>
      <c r="D418" s="153"/>
      <c r="G418" s="153"/>
      <c r="J418" s="153"/>
      <c r="M418" s="153"/>
    </row>
    <row r="419">
      <c r="A419" s="153"/>
      <c r="D419" s="153"/>
      <c r="G419" s="153"/>
      <c r="J419" s="153"/>
      <c r="M419" s="153"/>
    </row>
    <row r="420">
      <c r="A420" s="153"/>
      <c r="D420" s="153"/>
      <c r="G420" s="153"/>
      <c r="J420" s="153"/>
      <c r="M420" s="153"/>
    </row>
    <row r="421">
      <c r="A421" s="153"/>
      <c r="D421" s="153"/>
      <c r="G421" s="153"/>
      <c r="J421" s="153"/>
      <c r="M421" s="153"/>
    </row>
    <row r="422">
      <c r="A422" s="153"/>
      <c r="D422" s="153"/>
      <c r="G422" s="153"/>
      <c r="J422" s="153"/>
      <c r="M422" s="153"/>
    </row>
    <row r="423">
      <c r="A423" s="153"/>
      <c r="D423" s="153"/>
      <c r="G423" s="153"/>
      <c r="J423" s="153"/>
      <c r="M423" s="153"/>
    </row>
    <row r="424">
      <c r="A424" s="153"/>
      <c r="D424" s="153"/>
      <c r="G424" s="153"/>
      <c r="J424" s="153"/>
      <c r="M424" s="153"/>
    </row>
    <row r="425">
      <c r="A425" s="153"/>
      <c r="D425" s="153"/>
      <c r="G425" s="153"/>
      <c r="J425" s="153"/>
      <c r="M425" s="153"/>
    </row>
    <row r="426">
      <c r="A426" s="153"/>
      <c r="D426" s="153"/>
      <c r="G426" s="153"/>
      <c r="J426" s="153"/>
      <c r="M426" s="153"/>
    </row>
    <row r="427">
      <c r="A427" s="153"/>
      <c r="D427" s="153"/>
      <c r="G427" s="153"/>
      <c r="J427" s="153"/>
      <c r="M427" s="153"/>
    </row>
    <row r="428">
      <c r="A428" s="153"/>
      <c r="D428" s="153"/>
      <c r="G428" s="153"/>
      <c r="J428" s="153"/>
      <c r="M428" s="153"/>
    </row>
    <row r="429">
      <c r="A429" s="153"/>
      <c r="D429" s="153"/>
      <c r="G429" s="153"/>
      <c r="J429" s="153"/>
      <c r="M429" s="153"/>
    </row>
    <row r="430">
      <c r="A430" s="153"/>
      <c r="D430" s="153"/>
      <c r="G430" s="153"/>
      <c r="J430" s="153"/>
      <c r="M430" s="153"/>
    </row>
    <row r="431">
      <c r="A431" s="153"/>
      <c r="D431" s="153"/>
      <c r="G431" s="153"/>
      <c r="J431" s="153"/>
      <c r="M431" s="153"/>
    </row>
    <row r="432">
      <c r="A432" s="153"/>
      <c r="D432" s="153"/>
      <c r="G432" s="153"/>
      <c r="J432" s="153"/>
      <c r="M432" s="153"/>
    </row>
    <row r="433">
      <c r="A433" s="153"/>
      <c r="D433" s="153"/>
      <c r="G433" s="153"/>
      <c r="J433" s="153"/>
      <c r="M433" s="153"/>
    </row>
    <row r="434">
      <c r="A434" s="153"/>
      <c r="D434" s="153"/>
      <c r="G434" s="153"/>
      <c r="J434" s="153"/>
      <c r="M434" s="153"/>
    </row>
    <row r="435">
      <c r="A435" s="153"/>
      <c r="D435" s="153"/>
      <c r="G435" s="153"/>
      <c r="J435" s="153"/>
      <c r="M435" s="153"/>
    </row>
    <row r="436">
      <c r="A436" s="153"/>
      <c r="D436" s="153"/>
      <c r="G436" s="153"/>
      <c r="J436" s="153"/>
      <c r="M436" s="153"/>
    </row>
    <row r="437">
      <c r="A437" s="153"/>
      <c r="D437" s="153"/>
      <c r="G437" s="153"/>
      <c r="J437" s="153"/>
      <c r="M437" s="153"/>
    </row>
    <row r="438">
      <c r="A438" s="153"/>
      <c r="D438" s="153"/>
      <c r="G438" s="153"/>
      <c r="J438" s="153"/>
      <c r="M438" s="153"/>
    </row>
    <row r="439">
      <c r="A439" s="153"/>
      <c r="D439" s="153"/>
      <c r="G439" s="153"/>
      <c r="J439" s="153"/>
      <c r="M439" s="153"/>
    </row>
    <row r="440">
      <c r="A440" s="153"/>
      <c r="D440" s="153"/>
      <c r="G440" s="153"/>
      <c r="J440" s="153"/>
      <c r="M440" s="153"/>
    </row>
    <row r="441">
      <c r="A441" s="153"/>
      <c r="D441" s="153"/>
      <c r="G441" s="153"/>
      <c r="J441" s="153"/>
      <c r="M441" s="153"/>
    </row>
    <row r="442">
      <c r="A442" s="153"/>
      <c r="D442" s="153"/>
      <c r="G442" s="153"/>
      <c r="J442" s="153"/>
      <c r="M442" s="153"/>
    </row>
    <row r="443">
      <c r="A443" s="153"/>
      <c r="D443" s="153"/>
      <c r="G443" s="153"/>
      <c r="J443" s="153"/>
      <c r="M443" s="153"/>
    </row>
    <row r="444">
      <c r="A444" s="153"/>
      <c r="D444" s="153"/>
      <c r="G444" s="153"/>
      <c r="J444" s="153"/>
      <c r="M444" s="153"/>
    </row>
    <row r="445">
      <c r="A445" s="153"/>
      <c r="D445" s="153"/>
      <c r="G445" s="153"/>
      <c r="J445" s="153"/>
      <c r="M445" s="153"/>
    </row>
    <row r="446">
      <c r="A446" s="153"/>
      <c r="D446" s="153"/>
      <c r="G446" s="153"/>
      <c r="J446" s="153"/>
      <c r="M446" s="153"/>
    </row>
    <row r="447">
      <c r="A447" s="153"/>
      <c r="D447" s="153"/>
      <c r="G447" s="153"/>
      <c r="J447" s="153"/>
      <c r="M447" s="153"/>
    </row>
    <row r="448">
      <c r="A448" s="153"/>
      <c r="D448" s="153"/>
      <c r="G448" s="153"/>
      <c r="J448" s="153"/>
      <c r="M448" s="153"/>
    </row>
    <row r="449">
      <c r="A449" s="153"/>
      <c r="D449" s="153"/>
      <c r="G449" s="153"/>
      <c r="J449" s="153"/>
      <c r="M449" s="153"/>
    </row>
    <row r="450">
      <c r="A450" s="153"/>
      <c r="D450" s="153"/>
      <c r="G450" s="153"/>
      <c r="J450" s="153"/>
      <c r="M450" s="153"/>
    </row>
    <row r="451">
      <c r="A451" s="153"/>
      <c r="D451" s="153"/>
      <c r="G451" s="153"/>
      <c r="J451" s="153"/>
      <c r="M451" s="153"/>
    </row>
    <row r="452">
      <c r="A452" s="153"/>
      <c r="D452" s="153"/>
      <c r="G452" s="153"/>
      <c r="J452" s="153"/>
      <c r="M452" s="153"/>
    </row>
    <row r="453">
      <c r="A453" s="153"/>
      <c r="D453" s="153"/>
      <c r="G453" s="153"/>
      <c r="J453" s="153"/>
      <c r="M453" s="153"/>
    </row>
    <row r="454">
      <c r="A454" s="153"/>
      <c r="D454" s="153"/>
      <c r="G454" s="153"/>
      <c r="J454" s="153"/>
      <c r="M454" s="153"/>
    </row>
    <row r="455">
      <c r="A455" s="153"/>
      <c r="D455" s="153"/>
      <c r="G455" s="153"/>
      <c r="J455" s="153"/>
      <c r="M455" s="153"/>
    </row>
    <row r="456">
      <c r="A456" s="153"/>
      <c r="D456" s="153"/>
      <c r="G456" s="153"/>
      <c r="J456" s="153"/>
      <c r="M456" s="153"/>
    </row>
    <row r="457">
      <c r="A457" s="153"/>
      <c r="D457" s="153"/>
      <c r="G457" s="153"/>
      <c r="J457" s="153"/>
      <c r="M457" s="153"/>
    </row>
    <row r="458">
      <c r="A458" s="153"/>
      <c r="D458" s="153"/>
      <c r="G458" s="153"/>
      <c r="J458" s="153"/>
      <c r="M458" s="153"/>
    </row>
    <row r="459">
      <c r="A459" s="153"/>
      <c r="D459" s="153"/>
      <c r="G459" s="153"/>
      <c r="J459" s="153"/>
      <c r="M459" s="153"/>
    </row>
    <row r="460">
      <c r="A460" s="153"/>
      <c r="D460" s="153"/>
      <c r="G460" s="153"/>
      <c r="J460" s="153"/>
      <c r="M460" s="153"/>
    </row>
    <row r="461">
      <c r="A461" s="153"/>
      <c r="D461" s="153"/>
      <c r="G461" s="153"/>
      <c r="J461" s="153"/>
      <c r="M461" s="153"/>
    </row>
    <row r="462">
      <c r="A462" s="153"/>
      <c r="D462" s="153"/>
      <c r="G462" s="153"/>
      <c r="J462" s="153"/>
      <c r="M462" s="153"/>
    </row>
    <row r="463">
      <c r="A463" s="153"/>
      <c r="D463" s="153"/>
      <c r="G463" s="153"/>
      <c r="J463" s="153"/>
      <c r="M463" s="153"/>
    </row>
    <row r="464">
      <c r="A464" s="153"/>
      <c r="D464" s="153"/>
      <c r="G464" s="153"/>
      <c r="J464" s="153"/>
      <c r="M464" s="153"/>
    </row>
    <row r="465">
      <c r="A465" s="153"/>
      <c r="D465" s="153"/>
      <c r="G465" s="153"/>
      <c r="J465" s="153"/>
      <c r="M465" s="153"/>
    </row>
    <row r="466">
      <c r="A466" s="153"/>
      <c r="D466" s="153"/>
      <c r="G466" s="153"/>
      <c r="J466" s="153"/>
      <c r="M466" s="153"/>
    </row>
    <row r="467">
      <c r="A467" s="153"/>
      <c r="D467" s="153"/>
      <c r="G467" s="153"/>
      <c r="J467" s="153"/>
      <c r="M467" s="153"/>
    </row>
    <row r="468">
      <c r="A468" s="153"/>
      <c r="D468" s="153"/>
      <c r="G468" s="153"/>
      <c r="J468" s="153"/>
      <c r="M468" s="153"/>
    </row>
    <row r="469">
      <c r="A469" s="153"/>
      <c r="D469" s="153"/>
      <c r="G469" s="153"/>
      <c r="J469" s="153"/>
      <c r="M469" s="153"/>
    </row>
    <row r="470">
      <c r="A470" s="153"/>
      <c r="D470" s="153"/>
      <c r="G470" s="153"/>
      <c r="J470" s="153"/>
      <c r="M470" s="153"/>
    </row>
    <row r="471">
      <c r="A471" s="153"/>
      <c r="D471" s="153"/>
      <c r="G471" s="153"/>
      <c r="J471" s="153"/>
      <c r="M471" s="153"/>
    </row>
    <row r="472">
      <c r="A472" s="153"/>
      <c r="D472" s="153"/>
      <c r="G472" s="153"/>
      <c r="J472" s="153"/>
      <c r="M472" s="153"/>
    </row>
    <row r="473">
      <c r="A473" s="153"/>
      <c r="D473" s="153"/>
      <c r="G473" s="153"/>
      <c r="J473" s="153"/>
      <c r="M473" s="153"/>
    </row>
    <row r="474">
      <c r="A474" s="153"/>
      <c r="D474" s="153"/>
      <c r="G474" s="153"/>
      <c r="J474" s="153"/>
      <c r="M474" s="153"/>
    </row>
    <row r="475">
      <c r="A475" s="153"/>
      <c r="D475" s="153"/>
      <c r="G475" s="153"/>
      <c r="J475" s="153"/>
      <c r="M475" s="153"/>
    </row>
    <row r="476">
      <c r="A476" s="153"/>
      <c r="D476" s="153"/>
      <c r="G476" s="153"/>
      <c r="J476" s="153"/>
      <c r="M476" s="153"/>
    </row>
    <row r="477">
      <c r="A477" s="153"/>
      <c r="D477" s="153"/>
      <c r="G477" s="153"/>
      <c r="J477" s="153"/>
      <c r="M477" s="153"/>
    </row>
    <row r="478">
      <c r="A478" s="153"/>
      <c r="D478" s="153"/>
      <c r="G478" s="153"/>
      <c r="J478" s="153"/>
      <c r="M478" s="153"/>
    </row>
    <row r="479">
      <c r="A479" s="153"/>
      <c r="D479" s="153"/>
      <c r="G479" s="153"/>
      <c r="J479" s="153"/>
      <c r="M479" s="153"/>
    </row>
    <row r="480">
      <c r="A480" s="153"/>
      <c r="D480" s="153"/>
      <c r="G480" s="153"/>
      <c r="J480" s="153"/>
      <c r="M480" s="153"/>
    </row>
    <row r="481">
      <c r="A481" s="153"/>
      <c r="D481" s="153"/>
      <c r="G481" s="153"/>
      <c r="J481" s="153"/>
      <c r="M481" s="153"/>
    </row>
    <row r="482">
      <c r="A482" s="153"/>
      <c r="D482" s="153"/>
      <c r="G482" s="153"/>
      <c r="J482" s="153"/>
      <c r="M482" s="153"/>
    </row>
    <row r="483">
      <c r="A483" s="153"/>
      <c r="D483" s="153"/>
      <c r="G483" s="153"/>
      <c r="J483" s="153"/>
      <c r="M483" s="153"/>
    </row>
    <row r="484">
      <c r="A484" s="153"/>
      <c r="D484" s="153"/>
      <c r="G484" s="153"/>
      <c r="J484" s="153"/>
      <c r="M484" s="153"/>
    </row>
    <row r="485">
      <c r="A485" s="153"/>
      <c r="D485" s="153"/>
      <c r="G485" s="153"/>
      <c r="J485" s="153"/>
      <c r="M485" s="153"/>
    </row>
    <row r="486">
      <c r="A486" s="153"/>
      <c r="D486" s="153"/>
      <c r="G486" s="153"/>
      <c r="J486" s="153"/>
      <c r="M486" s="153"/>
    </row>
    <row r="487">
      <c r="A487" s="153"/>
      <c r="D487" s="153"/>
      <c r="G487" s="153"/>
      <c r="J487" s="153"/>
      <c r="M487" s="153"/>
    </row>
    <row r="488">
      <c r="A488" s="153"/>
      <c r="D488" s="153"/>
      <c r="G488" s="153"/>
      <c r="J488" s="153"/>
      <c r="M488" s="153"/>
    </row>
    <row r="489">
      <c r="A489" s="153"/>
      <c r="D489" s="153"/>
      <c r="G489" s="153"/>
      <c r="J489" s="153"/>
      <c r="M489" s="153"/>
    </row>
    <row r="490">
      <c r="A490" s="153"/>
      <c r="D490" s="153"/>
      <c r="G490" s="153"/>
      <c r="J490" s="153"/>
      <c r="M490" s="153"/>
    </row>
    <row r="491">
      <c r="A491" s="153"/>
      <c r="D491" s="153"/>
      <c r="G491" s="153"/>
      <c r="J491" s="153"/>
      <c r="M491" s="153"/>
    </row>
    <row r="492">
      <c r="A492" s="153"/>
      <c r="D492" s="153"/>
      <c r="G492" s="153"/>
      <c r="J492" s="153"/>
      <c r="M492" s="153"/>
    </row>
    <row r="493">
      <c r="A493" s="153"/>
      <c r="D493" s="153"/>
      <c r="G493" s="153"/>
      <c r="J493" s="153"/>
      <c r="M493" s="153"/>
    </row>
    <row r="494">
      <c r="A494" s="153"/>
      <c r="D494" s="153"/>
      <c r="G494" s="153"/>
      <c r="J494" s="153"/>
      <c r="M494" s="153"/>
    </row>
    <row r="495">
      <c r="A495" s="153"/>
      <c r="D495" s="153"/>
      <c r="G495" s="153"/>
      <c r="J495" s="153"/>
      <c r="M495" s="153"/>
    </row>
    <row r="496">
      <c r="A496" s="153"/>
      <c r="D496" s="153"/>
      <c r="G496" s="153"/>
      <c r="J496" s="153"/>
      <c r="M496" s="153"/>
    </row>
    <row r="497">
      <c r="A497" s="153"/>
      <c r="D497" s="153"/>
      <c r="G497" s="153"/>
      <c r="J497" s="153"/>
      <c r="M497" s="153"/>
    </row>
    <row r="498">
      <c r="A498" s="153"/>
      <c r="D498" s="153"/>
      <c r="G498" s="153"/>
      <c r="J498" s="153"/>
      <c r="M498" s="153"/>
    </row>
    <row r="499">
      <c r="A499" s="153"/>
      <c r="D499" s="153"/>
      <c r="G499" s="153"/>
      <c r="J499" s="153"/>
      <c r="M499" s="153"/>
    </row>
    <row r="500">
      <c r="A500" s="153"/>
      <c r="D500" s="153"/>
      <c r="G500" s="153"/>
      <c r="J500" s="153"/>
      <c r="M500" s="153"/>
    </row>
    <row r="501">
      <c r="A501" s="153"/>
      <c r="D501" s="153"/>
      <c r="G501" s="153"/>
      <c r="J501" s="153"/>
      <c r="M501" s="153"/>
    </row>
    <row r="502">
      <c r="A502" s="153"/>
      <c r="D502" s="153"/>
      <c r="G502" s="153"/>
      <c r="J502" s="153"/>
      <c r="M502" s="153"/>
    </row>
    <row r="503">
      <c r="A503" s="153"/>
      <c r="D503" s="153"/>
      <c r="G503" s="153"/>
      <c r="J503" s="153"/>
      <c r="M503" s="153"/>
    </row>
    <row r="504">
      <c r="A504" s="153"/>
      <c r="D504" s="153"/>
      <c r="G504" s="153"/>
      <c r="J504" s="153"/>
      <c r="M504" s="153"/>
    </row>
    <row r="505">
      <c r="A505" s="153"/>
      <c r="D505" s="153"/>
      <c r="G505" s="153"/>
      <c r="J505" s="153"/>
      <c r="M505" s="153"/>
    </row>
    <row r="506">
      <c r="A506" s="153"/>
      <c r="D506" s="153"/>
      <c r="G506" s="153"/>
      <c r="J506" s="153"/>
      <c r="M506" s="153"/>
    </row>
    <row r="507">
      <c r="A507" s="153"/>
      <c r="D507" s="153"/>
      <c r="G507" s="153"/>
      <c r="J507" s="153"/>
      <c r="M507" s="153"/>
    </row>
    <row r="508">
      <c r="A508" s="153"/>
      <c r="D508" s="153"/>
      <c r="G508" s="153"/>
      <c r="J508" s="153"/>
      <c r="M508" s="153"/>
    </row>
    <row r="509">
      <c r="A509" s="153"/>
      <c r="D509" s="153"/>
      <c r="G509" s="153"/>
      <c r="J509" s="153"/>
      <c r="M509" s="153"/>
    </row>
    <row r="510">
      <c r="A510" s="153"/>
      <c r="D510" s="153"/>
      <c r="G510" s="153"/>
      <c r="J510" s="153"/>
      <c r="M510" s="153"/>
    </row>
    <row r="511">
      <c r="A511" s="153"/>
      <c r="D511" s="153"/>
      <c r="G511" s="153"/>
      <c r="J511" s="153"/>
      <c r="M511" s="153"/>
    </row>
    <row r="512">
      <c r="A512" s="153"/>
      <c r="D512" s="153"/>
      <c r="G512" s="153"/>
      <c r="J512" s="153"/>
      <c r="M512" s="153"/>
    </row>
    <row r="513">
      <c r="A513" s="153"/>
      <c r="D513" s="153"/>
      <c r="G513" s="153"/>
      <c r="J513" s="153"/>
      <c r="M513" s="153"/>
    </row>
    <row r="514">
      <c r="A514" s="153"/>
      <c r="D514" s="153"/>
      <c r="G514" s="153"/>
      <c r="J514" s="153"/>
      <c r="M514" s="153"/>
    </row>
    <row r="515">
      <c r="A515" s="153"/>
      <c r="D515" s="153"/>
      <c r="G515" s="153"/>
      <c r="J515" s="153"/>
      <c r="M515" s="153"/>
    </row>
    <row r="516">
      <c r="A516" s="153"/>
      <c r="D516" s="153"/>
      <c r="G516" s="153"/>
      <c r="J516" s="153"/>
      <c r="M516" s="153"/>
    </row>
    <row r="517">
      <c r="A517" s="153"/>
      <c r="D517" s="153"/>
      <c r="G517" s="153"/>
      <c r="J517" s="153"/>
      <c r="M517" s="153"/>
    </row>
    <row r="518">
      <c r="A518" s="153"/>
      <c r="D518" s="153"/>
      <c r="G518" s="153"/>
      <c r="J518" s="153"/>
      <c r="M518" s="153"/>
    </row>
    <row r="519">
      <c r="A519" s="153"/>
      <c r="D519" s="153"/>
      <c r="G519" s="153"/>
      <c r="J519" s="153"/>
      <c r="M519" s="153"/>
    </row>
    <row r="520">
      <c r="A520" s="153"/>
      <c r="D520" s="153"/>
      <c r="G520" s="153"/>
      <c r="J520" s="153"/>
      <c r="M520" s="153"/>
    </row>
    <row r="521">
      <c r="A521" s="153"/>
      <c r="D521" s="153"/>
      <c r="G521" s="153"/>
      <c r="J521" s="153"/>
      <c r="M521" s="153"/>
    </row>
    <row r="522">
      <c r="A522" s="153"/>
      <c r="D522" s="153"/>
      <c r="G522" s="153"/>
      <c r="J522" s="153"/>
      <c r="M522" s="153"/>
    </row>
    <row r="523">
      <c r="A523" s="153"/>
      <c r="D523" s="153"/>
      <c r="G523" s="153"/>
      <c r="J523" s="153"/>
      <c r="M523" s="153"/>
    </row>
    <row r="524">
      <c r="A524" s="153"/>
      <c r="D524" s="153"/>
      <c r="G524" s="153"/>
      <c r="J524" s="153"/>
      <c r="M524" s="153"/>
    </row>
    <row r="525">
      <c r="A525" s="153"/>
      <c r="D525" s="153"/>
      <c r="G525" s="153"/>
      <c r="J525" s="153"/>
      <c r="M525" s="153"/>
    </row>
    <row r="526">
      <c r="A526" s="153"/>
      <c r="D526" s="153"/>
      <c r="G526" s="153"/>
      <c r="J526" s="153"/>
      <c r="M526" s="153"/>
    </row>
    <row r="527">
      <c r="A527" s="153"/>
      <c r="D527" s="153"/>
      <c r="G527" s="153"/>
      <c r="J527" s="153"/>
      <c r="M527" s="153"/>
    </row>
    <row r="528">
      <c r="A528" s="153"/>
      <c r="D528" s="153"/>
      <c r="G528" s="153"/>
      <c r="J528" s="153"/>
      <c r="M528" s="153"/>
    </row>
    <row r="529">
      <c r="A529" s="153"/>
      <c r="D529" s="153"/>
      <c r="G529" s="153"/>
      <c r="J529" s="153"/>
      <c r="M529" s="153"/>
    </row>
    <row r="530">
      <c r="A530" s="153"/>
      <c r="D530" s="153"/>
      <c r="G530" s="153"/>
      <c r="J530" s="153"/>
      <c r="M530" s="153"/>
    </row>
    <row r="531">
      <c r="A531" s="153"/>
      <c r="D531" s="153"/>
      <c r="G531" s="153"/>
      <c r="J531" s="153"/>
      <c r="M531" s="153"/>
    </row>
    <row r="532">
      <c r="A532" s="153"/>
      <c r="D532" s="153"/>
      <c r="G532" s="153"/>
      <c r="J532" s="153"/>
      <c r="M532" s="153"/>
    </row>
    <row r="533">
      <c r="A533" s="153"/>
      <c r="D533" s="153"/>
      <c r="G533" s="153"/>
      <c r="J533" s="153"/>
      <c r="M533" s="153"/>
    </row>
    <row r="534">
      <c r="A534" s="153"/>
      <c r="D534" s="153"/>
      <c r="G534" s="153"/>
      <c r="J534" s="153"/>
      <c r="M534" s="153"/>
    </row>
    <row r="535">
      <c r="A535" s="153"/>
      <c r="D535" s="153"/>
      <c r="G535" s="153"/>
      <c r="J535" s="153"/>
      <c r="M535" s="153"/>
    </row>
    <row r="536">
      <c r="A536" s="153"/>
      <c r="D536" s="153"/>
      <c r="G536" s="153"/>
      <c r="J536" s="153"/>
      <c r="M536" s="153"/>
    </row>
    <row r="537">
      <c r="A537" s="153"/>
      <c r="D537" s="153"/>
      <c r="G537" s="153"/>
      <c r="J537" s="153"/>
      <c r="M537" s="153"/>
    </row>
    <row r="538">
      <c r="A538" s="153"/>
      <c r="D538" s="153"/>
      <c r="G538" s="153"/>
      <c r="J538" s="153"/>
      <c r="M538" s="153"/>
    </row>
    <row r="539">
      <c r="A539" s="153"/>
      <c r="D539" s="153"/>
      <c r="G539" s="153"/>
      <c r="J539" s="153"/>
      <c r="M539" s="153"/>
    </row>
    <row r="540">
      <c r="A540" s="153"/>
      <c r="D540" s="153"/>
      <c r="G540" s="153"/>
      <c r="J540" s="153"/>
      <c r="M540" s="153"/>
    </row>
    <row r="541">
      <c r="A541" s="153"/>
      <c r="D541" s="153"/>
      <c r="G541" s="153"/>
      <c r="J541" s="153"/>
      <c r="M541" s="153"/>
    </row>
    <row r="542">
      <c r="A542" s="153"/>
      <c r="D542" s="153"/>
      <c r="G542" s="153"/>
      <c r="J542" s="153"/>
      <c r="M542" s="153"/>
    </row>
    <row r="543">
      <c r="A543" s="153"/>
      <c r="D543" s="153"/>
      <c r="G543" s="153"/>
      <c r="J543" s="153"/>
      <c r="M543" s="153"/>
    </row>
    <row r="544">
      <c r="A544" s="153"/>
      <c r="D544" s="153"/>
      <c r="G544" s="153"/>
      <c r="J544" s="153"/>
      <c r="M544" s="153"/>
    </row>
    <row r="545">
      <c r="A545" s="153"/>
      <c r="D545" s="153"/>
      <c r="G545" s="153"/>
      <c r="J545" s="153"/>
      <c r="M545" s="153"/>
    </row>
    <row r="546">
      <c r="A546" s="153"/>
      <c r="D546" s="153"/>
      <c r="G546" s="153"/>
      <c r="J546" s="153"/>
      <c r="M546" s="153"/>
    </row>
    <row r="547">
      <c r="A547" s="153"/>
      <c r="D547" s="153"/>
      <c r="G547" s="153"/>
      <c r="J547" s="153"/>
      <c r="M547" s="153"/>
    </row>
    <row r="548">
      <c r="A548" s="153"/>
      <c r="D548" s="153"/>
      <c r="G548" s="153"/>
      <c r="J548" s="153"/>
      <c r="M548" s="153"/>
    </row>
    <row r="549">
      <c r="A549" s="153"/>
      <c r="D549" s="153"/>
      <c r="G549" s="153"/>
      <c r="J549" s="153"/>
      <c r="M549" s="153"/>
    </row>
    <row r="550">
      <c r="A550" s="153"/>
      <c r="D550" s="153"/>
      <c r="G550" s="153"/>
      <c r="J550" s="153"/>
      <c r="M550" s="153"/>
    </row>
    <row r="551">
      <c r="A551" s="153"/>
      <c r="D551" s="153"/>
      <c r="G551" s="153"/>
      <c r="J551" s="153"/>
      <c r="M551" s="153"/>
    </row>
    <row r="552">
      <c r="A552" s="153"/>
      <c r="D552" s="153"/>
      <c r="G552" s="153"/>
      <c r="J552" s="153"/>
      <c r="M552" s="153"/>
    </row>
    <row r="553">
      <c r="A553" s="153"/>
      <c r="D553" s="153"/>
      <c r="G553" s="153"/>
      <c r="J553" s="153"/>
      <c r="M553" s="153"/>
    </row>
    <row r="554">
      <c r="A554" s="153"/>
      <c r="D554" s="153"/>
      <c r="G554" s="153"/>
      <c r="J554" s="153"/>
      <c r="M554" s="153"/>
    </row>
    <row r="555">
      <c r="A555" s="153"/>
      <c r="D555" s="153"/>
      <c r="G555" s="153"/>
      <c r="J555" s="153"/>
      <c r="M555" s="153"/>
    </row>
    <row r="556">
      <c r="A556" s="153"/>
      <c r="D556" s="153"/>
      <c r="G556" s="153"/>
      <c r="J556" s="153"/>
      <c r="M556" s="153"/>
    </row>
    <row r="557">
      <c r="A557" s="153"/>
      <c r="D557" s="153"/>
      <c r="G557" s="153"/>
      <c r="J557" s="153"/>
      <c r="M557" s="153"/>
    </row>
    <row r="558">
      <c r="A558" s="153"/>
      <c r="D558" s="153"/>
      <c r="G558" s="153"/>
      <c r="J558" s="153"/>
      <c r="M558" s="153"/>
    </row>
    <row r="559">
      <c r="A559" s="153"/>
      <c r="D559" s="153"/>
      <c r="G559" s="153"/>
      <c r="J559" s="153"/>
      <c r="M559" s="153"/>
    </row>
    <row r="560">
      <c r="A560" s="153"/>
      <c r="D560" s="153"/>
      <c r="G560" s="153"/>
      <c r="J560" s="153"/>
      <c r="M560" s="153"/>
    </row>
    <row r="561">
      <c r="A561" s="153"/>
      <c r="D561" s="153"/>
      <c r="G561" s="153"/>
      <c r="J561" s="153"/>
      <c r="M561" s="153"/>
    </row>
    <row r="562">
      <c r="A562" s="153"/>
      <c r="D562" s="153"/>
      <c r="G562" s="153"/>
      <c r="J562" s="153"/>
      <c r="M562" s="153"/>
    </row>
    <row r="563">
      <c r="A563" s="153"/>
      <c r="D563" s="153"/>
      <c r="G563" s="153"/>
      <c r="J563" s="153"/>
      <c r="M563" s="153"/>
    </row>
    <row r="564">
      <c r="A564" s="153"/>
      <c r="D564" s="153"/>
      <c r="G564" s="153"/>
      <c r="J564" s="153"/>
      <c r="M564" s="153"/>
    </row>
    <row r="565">
      <c r="A565" s="153"/>
      <c r="D565" s="153"/>
      <c r="G565" s="153"/>
      <c r="J565" s="153"/>
      <c r="M565" s="153"/>
    </row>
    <row r="566">
      <c r="A566" s="153"/>
      <c r="D566" s="153"/>
      <c r="G566" s="153"/>
      <c r="J566" s="153"/>
      <c r="M566" s="153"/>
    </row>
    <row r="567">
      <c r="A567" s="153"/>
      <c r="D567" s="153"/>
      <c r="G567" s="153"/>
      <c r="J567" s="153"/>
      <c r="M567" s="153"/>
    </row>
    <row r="568">
      <c r="A568" s="153"/>
      <c r="D568" s="153"/>
      <c r="G568" s="153"/>
      <c r="J568" s="153"/>
      <c r="M568" s="153"/>
    </row>
    <row r="569">
      <c r="A569" s="153"/>
      <c r="D569" s="153"/>
      <c r="G569" s="153"/>
      <c r="J569" s="153"/>
      <c r="M569" s="153"/>
    </row>
    <row r="570">
      <c r="A570" s="153"/>
      <c r="D570" s="153"/>
      <c r="G570" s="153"/>
      <c r="J570" s="153"/>
      <c r="M570" s="153"/>
    </row>
    <row r="571">
      <c r="A571" s="153"/>
      <c r="D571" s="153"/>
      <c r="G571" s="153"/>
      <c r="J571" s="153"/>
      <c r="M571" s="153"/>
    </row>
    <row r="572">
      <c r="A572" s="153"/>
      <c r="D572" s="153"/>
      <c r="G572" s="153"/>
      <c r="J572" s="153"/>
      <c r="M572" s="153"/>
    </row>
    <row r="573">
      <c r="A573" s="153"/>
      <c r="D573" s="153"/>
      <c r="G573" s="153"/>
      <c r="J573" s="153"/>
      <c r="M573" s="153"/>
    </row>
    <row r="574">
      <c r="A574" s="153"/>
      <c r="D574" s="153"/>
      <c r="G574" s="153"/>
      <c r="J574" s="153"/>
      <c r="M574" s="153"/>
    </row>
    <row r="575">
      <c r="A575" s="153"/>
      <c r="D575" s="153"/>
      <c r="G575" s="153"/>
      <c r="J575" s="153"/>
      <c r="M575" s="153"/>
    </row>
    <row r="576">
      <c r="A576" s="153"/>
      <c r="D576" s="153"/>
      <c r="G576" s="153"/>
      <c r="J576" s="153"/>
      <c r="M576" s="153"/>
    </row>
    <row r="577">
      <c r="A577" s="153"/>
      <c r="D577" s="153"/>
      <c r="G577" s="153"/>
      <c r="J577" s="153"/>
      <c r="M577" s="153"/>
    </row>
    <row r="578">
      <c r="A578" s="153"/>
      <c r="D578" s="153"/>
      <c r="G578" s="153"/>
      <c r="J578" s="153"/>
      <c r="M578" s="153"/>
    </row>
    <row r="579">
      <c r="A579" s="153"/>
      <c r="D579" s="153"/>
      <c r="G579" s="153"/>
      <c r="J579" s="153"/>
      <c r="M579" s="153"/>
    </row>
    <row r="580">
      <c r="A580" s="153"/>
      <c r="D580" s="153"/>
      <c r="G580" s="153"/>
      <c r="J580" s="153"/>
      <c r="M580" s="153"/>
    </row>
    <row r="581">
      <c r="A581" s="153"/>
      <c r="D581" s="153"/>
      <c r="G581" s="153"/>
      <c r="J581" s="153"/>
      <c r="M581" s="153"/>
    </row>
    <row r="582">
      <c r="A582" s="153"/>
      <c r="D582" s="153"/>
      <c r="G582" s="153"/>
      <c r="J582" s="153"/>
      <c r="M582" s="153"/>
    </row>
    <row r="583">
      <c r="A583" s="153"/>
      <c r="D583" s="153"/>
      <c r="G583" s="153"/>
      <c r="J583" s="153"/>
      <c r="M583" s="153"/>
    </row>
    <row r="584">
      <c r="A584" s="153"/>
      <c r="D584" s="153"/>
      <c r="G584" s="153"/>
      <c r="J584" s="153"/>
      <c r="M584" s="153"/>
    </row>
    <row r="585">
      <c r="A585" s="153"/>
      <c r="D585" s="153"/>
      <c r="G585" s="153"/>
      <c r="J585" s="153"/>
      <c r="M585" s="153"/>
    </row>
    <row r="586">
      <c r="A586" s="153"/>
      <c r="D586" s="153"/>
      <c r="G586" s="153"/>
      <c r="J586" s="153"/>
      <c r="M586" s="153"/>
    </row>
    <row r="587">
      <c r="A587" s="153"/>
      <c r="D587" s="153"/>
      <c r="G587" s="153"/>
      <c r="J587" s="153"/>
      <c r="M587" s="153"/>
    </row>
    <row r="588">
      <c r="A588" s="153"/>
      <c r="D588" s="153"/>
      <c r="G588" s="153"/>
      <c r="J588" s="153"/>
      <c r="M588" s="153"/>
    </row>
    <row r="589">
      <c r="A589" s="153"/>
      <c r="D589" s="153"/>
      <c r="G589" s="153"/>
      <c r="J589" s="153"/>
      <c r="M589" s="153"/>
    </row>
    <row r="590">
      <c r="A590" s="153"/>
      <c r="D590" s="153"/>
      <c r="G590" s="153"/>
      <c r="J590" s="153"/>
      <c r="M590" s="153"/>
    </row>
    <row r="591">
      <c r="A591" s="153"/>
      <c r="D591" s="153"/>
      <c r="G591" s="153"/>
      <c r="J591" s="153"/>
      <c r="M591" s="153"/>
    </row>
    <row r="592">
      <c r="A592" s="153"/>
      <c r="D592" s="153"/>
      <c r="G592" s="153"/>
      <c r="J592" s="153"/>
      <c r="M592" s="153"/>
    </row>
    <row r="593">
      <c r="A593" s="153"/>
      <c r="D593" s="153"/>
      <c r="G593" s="153"/>
      <c r="J593" s="153"/>
      <c r="M593" s="153"/>
    </row>
    <row r="594">
      <c r="A594" s="153"/>
      <c r="D594" s="153"/>
      <c r="G594" s="153"/>
      <c r="J594" s="153"/>
      <c r="M594" s="153"/>
    </row>
    <row r="595">
      <c r="A595" s="153"/>
      <c r="D595" s="153"/>
      <c r="G595" s="153"/>
      <c r="J595" s="153"/>
      <c r="M595" s="153"/>
    </row>
    <row r="596">
      <c r="A596" s="153"/>
      <c r="D596" s="153"/>
      <c r="G596" s="153"/>
      <c r="J596" s="153"/>
      <c r="M596" s="153"/>
    </row>
    <row r="597">
      <c r="A597" s="153"/>
      <c r="D597" s="153"/>
      <c r="G597" s="153"/>
      <c r="J597" s="153"/>
      <c r="M597" s="153"/>
    </row>
    <row r="598">
      <c r="A598" s="153"/>
      <c r="D598" s="153"/>
      <c r="G598" s="153"/>
      <c r="J598" s="153"/>
      <c r="M598" s="153"/>
    </row>
    <row r="599">
      <c r="A599" s="153"/>
      <c r="D599" s="153"/>
      <c r="G599" s="153"/>
      <c r="J599" s="153"/>
      <c r="M599" s="153"/>
    </row>
    <row r="600">
      <c r="A600" s="153"/>
      <c r="D600" s="153"/>
      <c r="G600" s="153"/>
      <c r="J600" s="153"/>
      <c r="M600" s="153"/>
    </row>
    <row r="601">
      <c r="A601" s="153"/>
      <c r="D601" s="153"/>
      <c r="G601" s="153"/>
      <c r="J601" s="153"/>
      <c r="M601" s="153"/>
    </row>
    <row r="602">
      <c r="A602" s="153"/>
      <c r="D602" s="153"/>
      <c r="G602" s="153"/>
      <c r="J602" s="153"/>
      <c r="M602" s="153"/>
    </row>
    <row r="603">
      <c r="A603" s="153"/>
      <c r="D603" s="153"/>
      <c r="G603" s="153"/>
      <c r="J603" s="153"/>
      <c r="M603" s="153"/>
    </row>
    <row r="604">
      <c r="A604" s="153"/>
      <c r="D604" s="153"/>
      <c r="G604" s="153"/>
      <c r="J604" s="153"/>
      <c r="M604" s="153"/>
    </row>
    <row r="605">
      <c r="A605" s="153"/>
      <c r="D605" s="153"/>
      <c r="G605" s="153"/>
      <c r="J605" s="153"/>
      <c r="M605" s="153"/>
    </row>
    <row r="606">
      <c r="A606" s="153"/>
      <c r="D606" s="153"/>
      <c r="G606" s="153"/>
      <c r="J606" s="153"/>
      <c r="M606" s="153"/>
    </row>
    <row r="607">
      <c r="A607" s="153"/>
      <c r="D607" s="153"/>
      <c r="G607" s="153"/>
      <c r="J607" s="153"/>
      <c r="M607" s="153"/>
    </row>
    <row r="608">
      <c r="A608" s="153"/>
      <c r="D608" s="153"/>
      <c r="G608" s="153"/>
      <c r="J608" s="153"/>
      <c r="M608" s="153"/>
    </row>
    <row r="609">
      <c r="A609" s="153"/>
      <c r="D609" s="153"/>
      <c r="G609" s="153"/>
      <c r="J609" s="153"/>
      <c r="M609" s="153"/>
    </row>
    <row r="610">
      <c r="A610" s="153"/>
      <c r="D610" s="153"/>
      <c r="G610" s="153"/>
      <c r="J610" s="153"/>
      <c r="M610" s="153"/>
    </row>
    <row r="611">
      <c r="A611" s="153"/>
      <c r="D611" s="153"/>
      <c r="G611" s="153"/>
      <c r="J611" s="153"/>
      <c r="M611" s="153"/>
    </row>
    <row r="612">
      <c r="A612" s="153"/>
      <c r="D612" s="153"/>
      <c r="G612" s="153"/>
      <c r="J612" s="153"/>
      <c r="M612" s="153"/>
    </row>
    <row r="613">
      <c r="A613" s="153"/>
      <c r="D613" s="153"/>
      <c r="G613" s="153"/>
      <c r="J613" s="153"/>
      <c r="M613" s="153"/>
    </row>
    <row r="614">
      <c r="A614" s="153"/>
      <c r="D614" s="153"/>
      <c r="G614" s="153"/>
      <c r="J614" s="153"/>
      <c r="M614" s="153"/>
    </row>
    <row r="615">
      <c r="A615" s="153"/>
      <c r="D615" s="153"/>
      <c r="G615" s="153"/>
      <c r="J615" s="153"/>
      <c r="M615" s="153"/>
    </row>
    <row r="616">
      <c r="A616" s="153"/>
      <c r="D616" s="153"/>
      <c r="G616" s="153"/>
      <c r="J616" s="153"/>
      <c r="M616" s="153"/>
    </row>
    <row r="617">
      <c r="A617" s="153"/>
      <c r="D617" s="153"/>
      <c r="G617" s="153"/>
      <c r="J617" s="153"/>
      <c r="M617" s="153"/>
    </row>
    <row r="618">
      <c r="A618" s="153"/>
      <c r="D618" s="153"/>
      <c r="G618" s="153"/>
      <c r="J618" s="153"/>
      <c r="M618" s="153"/>
    </row>
    <row r="619">
      <c r="A619" s="153"/>
      <c r="D619" s="153"/>
      <c r="G619" s="153"/>
      <c r="J619" s="153"/>
      <c r="M619" s="153"/>
    </row>
    <row r="620">
      <c r="A620" s="153"/>
      <c r="D620" s="153"/>
      <c r="G620" s="153"/>
      <c r="J620" s="153"/>
      <c r="M620" s="153"/>
    </row>
    <row r="621">
      <c r="A621" s="153"/>
      <c r="D621" s="153"/>
      <c r="G621" s="153"/>
      <c r="J621" s="153"/>
      <c r="M621" s="153"/>
    </row>
    <row r="622">
      <c r="A622" s="153"/>
      <c r="D622" s="153"/>
      <c r="G622" s="153"/>
      <c r="J622" s="153"/>
      <c r="M622" s="153"/>
    </row>
    <row r="623">
      <c r="A623" s="153"/>
      <c r="D623" s="153"/>
      <c r="G623" s="153"/>
      <c r="J623" s="153"/>
      <c r="M623" s="153"/>
    </row>
    <row r="624">
      <c r="A624" s="153"/>
      <c r="D624" s="153"/>
      <c r="G624" s="153"/>
      <c r="J624" s="153"/>
      <c r="M624" s="153"/>
    </row>
    <row r="625">
      <c r="A625" s="153"/>
      <c r="D625" s="153"/>
      <c r="G625" s="153"/>
      <c r="J625" s="153"/>
      <c r="M625" s="153"/>
    </row>
    <row r="626">
      <c r="A626" s="153"/>
      <c r="D626" s="153"/>
      <c r="G626" s="153"/>
      <c r="J626" s="153"/>
      <c r="M626" s="153"/>
    </row>
    <row r="627">
      <c r="A627" s="153"/>
      <c r="D627" s="153"/>
      <c r="G627" s="153"/>
      <c r="J627" s="153"/>
      <c r="M627" s="153"/>
    </row>
    <row r="628">
      <c r="A628" s="153"/>
      <c r="D628" s="153"/>
      <c r="G628" s="153"/>
      <c r="J628" s="153"/>
      <c r="M628" s="153"/>
    </row>
    <row r="629">
      <c r="A629" s="153"/>
      <c r="D629" s="153"/>
      <c r="G629" s="153"/>
      <c r="J629" s="153"/>
      <c r="M629" s="153"/>
    </row>
    <row r="630">
      <c r="A630" s="153"/>
      <c r="D630" s="153"/>
      <c r="G630" s="153"/>
      <c r="J630" s="153"/>
      <c r="M630" s="153"/>
    </row>
    <row r="631">
      <c r="A631" s="153"/>
      <c r="D631" s="153"/>
      <c r="G631" s="153"/>
      <c r="J631" s="153"/>
      <c r="M631" s="153"/>
    </row>
    <row r="632">
      <c r="A632" s="153"/>
      <c r="D632" s="153"/>
      <c r="G632" s="153"/>
      <c r="J632" s="153"/>
      <c r="M632" s="153"/>
    </row>
    <row r="633">
      <c r="A633" s="153"/>
      <c r="D633" s="153"/>
      <c r="G633" s="153"/>
      <c r="J633" s="153"/>
      <c r="M633" s="153"/>
    </row>
    <row r="634">
      <c r="A634" s="153"/>
      <c r="D634" s="153"/>
      <c r="G634" s="153"/>
      <c r="J634" s="153"/>
      <c r="M634" s="153"/>
    </row>
    <row r="635">
      <c r="A635" s="153"/>
      <c r="D635" s="153"/>
      <c r="G635" s="153"/>
      <c r="J635" s="153"/>
      <c r="M635" s="153"/>
    </row>
    <row r="636">
      <c r="A636" s="153"/>
      <c r="D636" s="153"/>
      <c r="G636" s="153"/>
      <c r="J636" s="153"/>
      <c r="M636" s="153"/>
    </row>
    <row r="637">
      <c r="A637" s="153"/>
      <c r="D637" s="153"/>
      <c r="G637" s="153"/>
      <c r="J637" s="153"/>
      <c r="M637" s="153"/>
    </row>
    <row r="638">
      <c r="A638" s="153"/>
      <c r="D638" s="153"/>
      <c r="G638" s="153"/>
      <c r="J638" s="153"/>
      <c r="M638" s="153"/>
    </row>
    <row r="639">
      <c r="A639" s="153"/>
      <c r="D639" s="153"/>
      <c r="G639" s="153"/>
      <c r="J639" s="153"/>
      <c r="M639" s="153"/>
    </row>
    <row r="640">
      <c r="A640" s="153"/>
      <c r="D640" s="153"/>
      <c r="G640" s="153"/>
      <c r="J640" s="153"/>
      <c r="M640" s="153"/>
    </row>
    <row r="641">
      <c r="A641" s="153"/>
      <c r="D641" s="153"/>
      <c r="G641" s="153"/>
      <c r="J641" s="153"/>
      <c r="M641" s="153"/>
    </row>
    <row r="642">
      <c r="A642" s="153"/>
      <c r="D642" s="153"/>
      <c r="G642" s="153"/>
      <c r="J642" s="153"/>
      <c r="M642" s="153"/>
    </row>
    <row r="643">
      <c r="A643" s="153"/>
      <c r="D643" s="153"/>
      <c r="G643" s="153"/>
      <c r="J643" s="153"/>
      <c r="M643" s="153"/>
    </row>
    <row r="644">
      <c r="A644" s="153"/>
      <c r="D644" s="153"/>
      <c r="G644" s="153"/>
      <c r="J644" s="153"/>
      <c r="M644" s="153"/>
    </row>
    <row r="645">
      <c r="A645" s="153"/>
      <c r="D645" s="153"/>
      <c r="G645" s="153"/>
      <c r="J645" s="153"/>
      <c r="M645" s="153"/>
    </row>
    <row r="646">
      <c r="A646" s="153"/>
      <c r="D646" s="153"/>
      <c r="G646" s="153"/>
      <c r="J646" s="153"/>
      <c r="M646" s="153"/>
    </row>
    <row r="647">
      <c r="A647" s="153"/>
      <c r="D647" s="153"/>
      <c r="G647" s="153"/>
      <c r="J647" s="153"/>
      <c r="M647" s="153"/>
    </row>
    <row r="648">
      <c r="A648" s="153"/>
      <c r="D648" s="153"/>
      <c r="G648" s="153"/>
      <c r="J648" s="153"/>
      <c r="M648" s="153"/>
    </row>
    <row r="649">
      <c r="A649" s="153"/>
      <c r="D649" s="153"/>
      <c r="G649" s="153"/>
      <c r="J649" s="153"/>
      <c r="M649" s="153"/>
    </row>
    <row r="650">
      <c r="A650" s="153"/>
      <c r="D650" s="153"/>
      <c r="G650" s="153"/>
      <c r="J650" s="153"/>
      <c r="M650" s="153"/>
    </row>
    <row r="651">
      <c r="A651" s="153"/>
      <c r="D651" s="153"/>
      <c r="G651" s="153"/>
      <c r="J651" s="153"/>
      <c r="M651" s="153"/>
    </row>
    <row r="652">
      <c r="A652" s="153"/>
      <c r="D652" s="153"/>
      <c r="G652" s="153"/>
      <c r="J652" s="153"/>
      <c r="M652" s="153"/>
    </row>
    <row r="653">
      <c r="A653" s="153"/>
      <c r="D653" s="153"/>
      <c r="G653" s="153"/>
      <c r="J653" s="153"/>
      <c r="M653" s="153"/>
    </row>
    <row r="654">
      <c r="A654" s="153"/>
      <c r="D654" s="153"/>
      <c r="G654" s="153"/>
      <c r="J654" s="153"/>
      <c r="M654" s="153"/>
    </row>
    <row r="655">
      <c r="A655" s="153"/>
      <c r="D655" s="153"/>
      <c r="G655" s="153"/>
      <c r="J655" s="153"/>
      <c r="M655" s="153"/>
    </row>
    <row r="656">
      <c r="A656" s="153"/>
      <c r="D656" s="153"/>
      <c r="G656" s="153"/>
      <c r="J656" s="153"/>
      <c r="M656" s="153"/>
    </row>
    <row r="657">
      <c r="A657" s="153"/>
      <c r="D657" s="153"/>
      <c r="G657" s="153"/>
      <c r="J657" s="153"/>
      <c r="M657" s="153"/>
    </row>
    <row r="658">
      <c r="A658" s="153"/>
      <c r="D658" s="153"/>
      <c r="G658" s="153"/>
      <c r="J658" s="153"/>
      <c r="M658" s="153"/>
    </row>
    <row r="659">
      <c r="A659" s="153"/>
      <c r="D659" s="153"/>
      <c r="G659" s="153"/>
      <c r="J659" s="153"/>
      <c r="M659" s="153"/>
    </row>
    <row r="660">
      <c r="A660" s="153"/>
      <c r="D660" s="153"/>
      <c r="G660" s="153"/>
      <c r="J660" s="153"/>
      <c r="M660" s="153"/>
    </row>
    <row r="661">
      <c r="A661" s="153"/>
      <c r="D661" s="153"/>
      <c r="G661" s="153"/>
      <c r="J661" s="153"/>
      <c r="M661" s="153"/>
    </row>
    <row r="662">
      <c r="A662" s="153"/>
      <c r="D662" s="153"/>
      <c r="G662" s="153"/>
      <c r="J662" s="153"/>
      <c r="M662" s="153"/>
    </row>
    <row r="663">
      <c r="A663" s="153"/>
      <c r="D663" s="153"/>
      <c r="G663" s="153"/>
      <c r="J663" s="153"/>
      <c r="M663" s="153"/>
    </row>
    <row r="664">
      <c r="A664" s="153"/>
      <c r="D664" s="153"/>
      <c r="G664" s="153"/>
      <c r="J664" s="153"/>
      <c r="M664" s="153"/>
    </row>
    <row r="665">
      <c r="A665" s="153"/>
      <c r="D665" s="153"/>
      <c r="G665" s="153"/>
      <c r="J665" s="153"/>
      <c r="M665" s="153"/>
    </row>
    <row r="666">
      <c r="A666" s="153"/>
      <c r="D666" s="153"/>
      <c r="G666" s="153"/>
      <c r="J666" s="153"/>
      <c r="M666" s="153"/>
    </row>
    <row r="667">
      <c r="A667" s="153"/>
      <c r="D667" s="153"/>
      <c r="G667" s="153"/>
      <c r="J667" s="153"/>
      <c r="M667" s="153"/>
    </row>
    <row r="668">
      <c r="A668" s="153"/>
      <c r="D668" s="153"/>
      <c r="G668" s="153"/>
      <c r="J668" s="153"/>
      <c r="M668" s="153"/>
    </row>
    <row r="669">
      <c r="A669" s="153"/>
      <c r="D669" s="153"/>
      <c r="G669" s="153"/>
      <c r="J669" s="153"/>
      <c r="M669" s="153"/>
    </row>
    <row r="670">
      <c r="A670" s="153"/>
      <c r="D670" s="153"/>
      <c r="G670" s="153"/>
      <c r="J670" s="153"/>
      <c r="M670" s="153"/>
    </row>
    <row r="671">
      <c r="A671" s="153"/>
      <c r="D671" s="153"/>
      <c r="G671" s="153"/>
      <c r="J671" s="153"/>
      <c r="M671" s="153"/>
    </row>
    <row r="672">
      <c r="A672" s="153"/>
      <c r="D672" s="153"/>
      <c r="G672" s="153"/>
      <c r="J672" s="153"/>
      <c r="M672" s="153"/>
    </row>
    <row r="673">
      <c r="A673" s="153"/>
      <c r="D673" s="153"/>
      <c r="G673" s="153"/>
      <c r="J673" s="153"/>
      <c r="M673" s="153"/>
    </row>
    <row r="674">
      <c r="A674" s="153"/>
      <c r="D674" s="153"/>
      <c r="G674" s="153"/>
      <c r="J674" s="153"/>
      <c r="M674" s="153"/>
    </row>
    <row r="675">
      <c r="A675" s="153"/>
      <c r="D675" s="153"/>
      <c r="G675" s="153"/>
      <c r="J675" s="153"/>
      <c r="M675" s="153"/>
    </row>
    <row r="676">
      <c r="A676" s="153"/>
      <c r="D676" s="153"/>
      <c r="G676" s="153"/>
      <c r="J676" s="153"/>
      <c r="M676" s="153"/>
    </row>
    <row r="677">
      <c r="A677" s="153"/>
      <c r="D677" s="153"/>
      <c r="G677" s="153"/>
      <c r="J677" s="153"/>
      <c r="M677" s="153"/>
    </row>
    <row r="678">
      <c r="A678" s="153"/>
      <c r="D678" s="153"/>
      <c r="G678" s="153"/>
      <c r="J678" s="153"/>
      <c r="M678" s="153"/>
    </row>
    <row r="679">
      <c r="A679" s="153"/>
      <c r="D679" s="153"/>
      <c r="G679" s="153"/>
      <c r="J679" s="153"/>
      <c r="M679" s="153"/>
    </row>
    <row r="680">
      <c r="A680" s="153"/>
      <c r="D680" s="153"/>
      <c r="G680" s="153"/>
      <c r="J680" s="153"/>
      <c r="M680" s="153"/>
    </row>
    <row r="681">
      <c r="A681" s="153"/>
      <c r="D681" s="153"/>
      <c r="G681" s="153"/>
      <c r="J681" s="153"/>
      <c r="M681" s="153"/>
    </row>
    <row r="682">
      <c r="A682" s="153"/>
      <c r="D682" s="153"/>
      <c r="G682" s="153"/>
      <c r="J682" s="153"/>
      <c r="M682" s="153"/>
    </row>
    <row r="683">
      <c r="A683" s="153"/>
      <c r="D683" s="153"/>
      <c r="G683" s="153"/>
      <c r="J683" s="153"/>
      <c r="M683" s="153"/>
    </row>
    <row r="684">
      <c r="A684" s="153"/>
      <c r="D684" s="153"/>
      <c r="G684" s="153"/>
      <c r="J684" s="153"/>
      <c r="M684" s="153"/>
    </row>
    <row r="685">
      <c r="A685" s="153"/>
      <c r="D685" s="153"/>
      <c r="G685" s="153"/>
      <c r="J685" s="153"/>
      <c r="M685" s="153"/>
    </row>
    <row r="686">
      <c r="A686" s="153"/>
      <c r="D686" s="153"/>
      <c r="G686" s="153"/>
      <c r="J686" s="153"/>
      <c r="M686" s="153"/>
    </row>
    <row r="687">
      <c r="A687" s="153"/>
      <c r="D687" s="153"/>
      <c r="G687" s="153"/>
      <c r="J687" s="153"/>
      <c r="M687" s="153"/>
    </row>
    <row r="688">
      <c r="A688" s="153"/>
      <c r="D688" s="153"/>
      <c r="G688" s="153"/>
      <c r="J688" s="153"/>
      <c r="M688" s="153"/>
    </row>
    <row r="689">
      <c r="A689" s="153"/>
      <c r="D689" s="153"/>
      <c r="G689" s="153"/>
      <c r="J689" s="153"/>
      <c r="M689" s="153"/>
    </row>
    <row r="690">
      <c r="A690" s="153"/>
      <c r="D690" s="153"/>
      <c r="G690" s="153"/>
      <c r="J690" s="153"/>
      <c r="M690" s="153"/>
    </row>
    <row r="691">
      <c r="A691" s="153"/>
      <c r="D691" s="153"/>
      <c r="G691" s="153"/>
      <c r="J691" s="153"/>
      <c r="M691" s="153"/>
    </row>
    <row r="692">
      <c r="A692" s="153"/>
      <c r="D692" s="153"/>
      <c r="G692" s="153"/>
      <c r="J692" s="153"/>
      <c r="M692" s="153"/>
    </row>
    <row r="693">
      <c r="A693" s="153"/>
      <c r="D693" s="153"/>
      <c r="G693" s="153"/>
      <c r="J693" s="153"/>
      <c r="M693" s="153"/>
    </row>
    <row r="694">
      <c r="A694" s="153"/>
      <c r="D694" s="153"/>
      <c r="G694" s="153"/>
      <c r="J694" s="153"/>
      <c r="M694" s="153"/>
    </row>
    <row r="695">
      <c r="A695" s="153"/>
      <c r="D695" s="153"/>
      <c r="G695" s="153"/>
      <c r="J695" s="153"/>
      <c r="M695" s="153"/>
    </row>
    <row r="696">
      <c r="A696" s="153"/>
      <c r="D696" s="153"/>
      <c r="G696" s="153"/>
      <c r="J696" s="153"/>
      <c r="M696" s="153"/>
    </row>
    <row r="697">
      <c r="A697" s="153"/>
      <c r="D697" s="153"/>
      <c r="G697" s="153"/>
      <c r="J697" s="153"/>
      <c r="M697" s="153"/>
    </row>
    <row r="698">
      <c r="A698" s="153"/>
      <c r="D698" s="153"/>
      <c r="G698" s="153"/>
      <c r="J698" s="153"/>
      <c r="M698" s="153"/>
    </row>
    <row r="699">
      <c r="A699" s="153"/>
      <c r="D699" s="153"/>
      <c r="G699" s="153"/>
      <c r="J699" s="153"/>
      <c r="M699" s="153"/>
    </row>
    <row r="700">
      <c r="A700" s="153"/>
      <c r="D700" s="153"/>
      <c r="G700" s="153"/>
      <c r="J700" s="153"/>
      <c r="M700" s="153"/>
    </row>
    <row r="701">
      <c r="A701" s="153"/>
      <c r="D701" s="153"/>
      <c r="G701" s="153"/>
      <c r="J701" s="153"/>
      <c r="M701" s="153"/>
    </row>
    <row r="702">
      <c r="A702" s="153"/>
      <c r="D702" s="153"/>
      <c r="G702" s="153"/>
      <c r="J702" s="153"/>
      <c r="M702" s="153"/>
    </row>
    <row r="703">
      <c r="A703" s="153"/>
      <c r="D703" s="153"/>
      <c r="G703" s="153"/>
      <c r="J703" s="153"/>
      <c r="M703" s="153"/>
    </row>
    <row r="704">
      <c r="A704" s="153"/>
      <c r="D704" s="153"/>
      <c r="G704" s="153"/>
      <c r="J704" s="153"/>
      <c r="M704" s="153"/>
    </row>
    <row r="705">
      <c r="A705" s="153"/>
      <c r="D705" s="153"/>
      <c r="G705" s="153"/>
      <c r="J705" s="153"/>
      <c r="M705" s="153"/>
    </row>
    <row r="706">
      <c r="A706" s="153"/>
      <c r="D706" s="153"/>
      <c r="G706" s="153"/>
      <c r="J706" s="153"/>
      <c r="M706" s="153"/>
    </row>
    <row r="707">
      <c r="A707" s="153"/>
      <c r="D707" s="153"/>
      <c r="G707" s="153"/>
      <c r="J707" s="153"/>
      <c r="M707" s="153"/>
    </row>
    <row r="708">
      <c r="A708" s="153"/>
      <c r="D708" s="153"/>
      <c r="G708" s="153"/>
      <c r="J708" s="153"/>
      <c r="M708" s="153"/>
    </row>
    <row r="709">
      <c r="A709" s="153"/>
      <c r="D709" s="153"/>
      <c r="G709" s="153"/>
      <c r="J709" s="153"/>
      <c r="M709" s="153"/>
    </row>
    <row r="710">
      <c r="A710" s="153"/>
      <c r="D710" s="153"/>
      <c r="G710" s="153"/>
      <c r="J710" s="153"/>
      <c r="M710" s="153"/>
    </row>
    <row r="711">
      <c r="A711" s="153"/>
      <c r="D711" s="153"/>
      <c r="G711" s="153"/>
      <c r="J711" s="153"/>
      <c r="M711" s="153"/>
    </row>
    <row r="712">
      <c r="A712" s="153"/>
      <c r="D712" s="153"/>
      <c r="G712" s="153"/>
      <c r="J712" s="153"/>
      <c r="M712" s="153"/>
    </row>
    <row r="713">
      <c r="A713" s="153"/>
      <c r="D713" s="153"/>
      <c r="G713" s="153"/>
      <c r="J713" s="153"/>
      <c r="M713" s="153"/>
    </row>
    <row r="714">
      <c r="A714" s="153"/>
      <c r="D714" s="153"/>
      <c r="G714" s="153"/>
      <c r="J714" s="153"/>
      <c r="M714" s="153"/>
    </row>
    <row r="715">
      <c r="A715" s="153"/>
      <c r="D715" s="153"/>
      <c r="G715" s="153"/>
      <c r="J715" s="153"/>
      <c r="M715" s="153"/>
    </row>
    <row r="716">
      <c r="A716" s="153"/>
      <c r="D716" s="153"/>
      <c r="G716" s="153"/>
      <c r="J716" s="153"/>
      <c r="M716" s="153"/>
    </row>
    <row r="717">
      <c r="A717" s="153"/>
      <c r="D717" s="153"/>
      <c r="G717" s="153"/>
      <c r="J717" s="153"/>
      <c r="M717" s="153"/>
    </row>
    <row r="718">
      <c r="A718" s="153"/>
      <c r="D718" s="153"/>
      <c r="G718" s="153"/>
      <c r="J718" s="153"/>
      <c r="M718" s="153"/>
    </row>
    <row r="719">
      <c r="A719" s="153"/>
      <c r="D719" s="153"/>
      <c r="G719" s="153"/>
      <c r="J719" s="153"/>
      <c r="M719" s="153"/>
    </row>
    <row r="720">
      <c r="A720" s="153"/>
      <c r="D720" s="153"/>
      <c r="G720" s="153"/>
      <c r="J720" s="153"/>
      <c r="M720" s="153"/>
    </row>
    <row r="721">
      <c r="A721" s="153"/>
      <c r="D721" s="153"/>
      <c r="G721" s="153"/>
      <c r="J721" s="153"/>
      <c r="M721" s="153"/>
    </row>
    <row r="722">
      <c r="A722" s="153"/>
      <c r="D722" s="153"/>
      <c r="G722" s="153"/>
      <c r="J722" s="153"/>
      <c r="M722" s="153"/>
    </row>
    <row r="723">
      <c r="A723" s="153"/>
      <c r="D723" s="153"/>
      <c r="G723" s="153"/>
      <c r="J723" s="153"/>
      <c r="M723" s="153"/>
    </row>
    <row r="724">
      <c r="A724" s="153"/>
      <c r="D724" s="153"/>
      <c r="G724" s="153"/>
      <c r="J724" s="153"/>
      <c r="M724" s="153"/>
    </row>
    <row r="725">
      <c r="A725" s="153"/>
      <c r="D725" s="153"/>
      <c r="G725" s="153"/>
      <c r="J725" s="153"/>
      <c r="M725" s="153"/>
    </row>
    <row r="726">
      <c r="A726" s="153"/>
      <c r="D726" s="153"/>
      <c r="G726" s="153"/>
      <c r="J726" s="153"/>
      <c r="M726" s="153"/>
    </row>
    <row r="727">
      <c r="A727" s="153"/>
      <c r="D727" s="153"/>
      <c r="G727" s="153"/>
      <c r="J727" s="153"/>
      <c r="M727" s="153"/>
    </row>
    <row r="728">
      <c r="A728" s="153"/>
      <c r="D728" s="153"/>
      <c r="G728" s="153"/>
      <c r="J728" s="153"/>
      <c r="M728" s="153"/>
    </row>
    <row r="729">
      <c r="A729" s="153"/>
      <c r="D729" s="153"/>
      <c r="G729" s="153"/>
      <c r="J729" s="153"/>
      <c r="M729" s="153"/>
    </row>
    <row r="730">
      <c r="A730" s="153"/>
      <c r="D730" s="153"/>
      <c r="G730" s="153"/>
      <c r="J730" s="153"/>
      <c r="M730" s="153"/>
    </row>
    <row r="731">
      <c r="A731" s="153"/>
      <c r="D731" s="153"/>
      <c r="G731" s="153"/>
      <c r="J731" s="153"/>
      <c r="M731" s="153"/>
    </row>
    <row r="732">
      <c r="A732" s="153"/>
      <c r="D732" s="153"/>
      <c r="G732" s="153"/>
      <c r="J732" s="153"/>
      <c r="M732" s="153"/>
    </row>
    <row r="733">
      <c r="A733" s="153"/>
      <c r="D733" s="153"/>
      <c r="G733" s="153"/>
      <c r="J733" s="153"/>
      <c r="M733" s="153"/>
    </row>
    <row r="734">
      <c r="A734" s="153"/>
      <c r="D734" s="153"/>
      <c r="G734" s="153"/>
      <c r="J734" s="153"/>
      <c r="M734" s="153"/>
    </row>
    <row r="735">
      <c r="A735" s="153"/>
      <c r="D735" s="153"/>
      <c r="G735" s="153"/>
      <c r="J735" s="153"/>
      <c r="M735" s="153"/>
    </row>
    <row r="736">
      <c r="A736" s="153"/>
      <c r="D736" s="153"/>
      <c r="G736" s="153"/>
      <c r="J736" s="153"/>
      <c r="M736" s="153"/>
    </row>
    <row r="737">
      <c r="A737" s="153"/>
      <c r="D737" s="153"/>
      <c r="G737" s="153"/>
      <c r="J737" s="153"/>
      <c r="M737" s="153"/>
    </row>
    <row r="738">
      <c r="A738" s="153"/>
      <c r="D738" s="153"/>
      <c r="G738" s="153"/>
      <c r="J738" s="153"/>
      <c r="M738" s="153"/>
    </row>
    <row r="739">
      <c r="A739" s="153"/>
      <c r="D739" s="153"/>
      <c r="G739" s="153"/>
      <c r="J739" s="153"/>
      <c r="M739" s="153"/>
    </row>
    <row r="740">
      <c r="A740" s="153"/>
      <c r="D740" s="153"/>
      <c r="G740" s="153"/>
      <c r="J740" s="153"/>
      <c r="M740" s="153"/>
    </row>
    <row r="741">
      <c r="A741" s="153"/>
      <c r="D741" s="153"/>
      <c r="G741" s="153"/>
      <c r="J741" s="153"/>
      <c r="M741" s="153"/>
    </row>
    <row r="742">
      <c r="A742" s="153"/>
      <c r="D742" s="153"/>
      <c r="G742" s="153"/>
      <c r="J742" s="153"/>
      <c r="M742" s="153"/>
    </row>
    <row r="743">
      <c r="A743" s="153"/>
      <c r="D743" s="153"/>
      <c r="G743" s="153"/>
      <c r="J743" s="153"/>
      <c r="M743" s="153"/>
    </row>
    <row r="744">
      <c r="A744" s="153"/>
      <c r="D744" s="153"/>
      <c r="G744" s="153"/>
      <c r="J744" s="153"/>
      <c r="M744" s="153"/>
    </row>
    <row r="745">
      <c r="A745" s="153"/>
      <c r="D745" s="153"/>
      <c r="G745" s="153"/>
      <c r="J745" s="153"/>
      <c r="M745" s="153"/>
    </row>
    <row r="746">
      <c r="A746" s="153"/>
      <c r="D746" s="153"/>
      <c r="G746" s="153"/>
      <c r="J746" s="153"/>
      <c r="M746" s="153"/>
    </row>
    <row r="747">
      <c r="A747" s="153"/>
      <c r="D747" s="153"/>
      <c r="G747" s="153"/>
      <c r="J747" s="153"/>
      <c r="M747" s="153"/>
    </row>
    <row r="748">
      <c r="A748" s="153"/>
      <c r="D748" s="153"/>
      <c r="G748" s="153"/>
      <c r="J748" s="153"/>
      <c r="M748" s="153"/>
    </row>
    <row r="749">
      <c r="A749" s="153"/>
      <c r="D749" s="153"/>
      <c r="G749" s="153"/>
      <c r="J749" s="153"/>
      <c r="M749" s="153"/>
    </row>
    <row r="750">
      <c r="A750" s="153"/>
      <c r="D750" s="153"/>
      <c r="G750" s="153"/>
      <c r="J750" s="153"/>
      <c r="M750" s="153"/>
    </row>
    <row r="751">
      <c r="A751" s="153"/>
      <c r="D751" s="153"/>
      <c r="G751" s="153"/>
      <c r="J751" s="153"/>
      <c r="M751" s="153"/>
    </row>
    <row r="752">
      <c r="A752" s="153"/>
      <c r="D752" s="153"/>
      <c r="G752" s="153"/>
      <c r="J752" s="153"/>
      <c r="M752" s="153"/>
    </row>
    <row r="753">
      <c r="A753" s="153"/>
      <c r="D753" s="153"/>
      <c r="G753" s="153"/>
      <c r="J753" s="153"/>
      <c r="M753" s="153"/>
    </row>
    <row r="754">
      <c r="A754" s="153"/>
      <c r="D754" s="153"/>
      <c r="G754" s="153"/>
      <c r="J754" s="153"/>
      <c r="M754" s="153"/>
    </row>
    <row r="755">
      <c r="A755" s="153"/>
      <c r="D755" s="153"/>
      <c r="G755" s="153"/>
      <c r="J755" s="153"/>
      <c r="M755" s="153"/>
    </row>
    <row r="756">
      <c r="A756" s="153"/>
      <c r="D756" s="153"/>
      <c r="G756" s="153"/>
      <c r="J756" s="153"/>
      <c r="M756" s="153"/>
    </row>
    <row r="757">
      <c r="A757" s="153"/>
      <c r="D757" s="153"/>
      <c r="G757" s="153"/>
      <c r="J757" s="153"/>
      <c r="M757" s="153"/>
    </row>
    <row r="758">
      <c r="A758" s="153"/>
      <c r="D758" s="153"/>
      <c r="G758" s="153"/>
      <c r="J758" s="153"/>
      <c r="M758" s="153"/>
    </row>
    <row r="759">
      <c r="A759" s="153"/>
      <c r="D759" s="153"/>
      <c r="G759" s="153"/>
      <c r="J759" s="153"/>
      <c r="M759" s="153"/>
    </row>
    <row r="760">
      <c r="A760" s="153"/>
      <c r="D760" s="153"/>
      <c r="G760" s="153"/>
      <c r="J760" s="153"/>
      <c r="M760" s="153"/>
    </row>
    <row r="761">
      <c r="A761" s="153"/>
      <c r="D761" s="153"/>
      <c r="G761" s="153"/>
      <c r="J761" s="153"/>
      <c r="M761" s="153"/>
    </row>
    <row r="762">
      <c r="A762" s="153"/>
      <c r="D762" s="153"/>
      <c r="G762" s="153"/>
      <c r="J762" s="153"/>
      <c r="M762" s="153"/>
    </row>
    <row r="763">
      <c r="A763" s="153"/>
      <c r="D763" s="153"/>
      <c r="G763" s="153"/>
      <c r="J763" s="153"/>
      <c r="M763" s="153"/>
    </row>
    <row r="764">
      <c r="A764" s="153"/>
      <c r="D764" s="153"/>
      <c r="G764" s="153"/>
      <c r="J764" s="153"/>
      <c r="M764" s="153"/>
    </row>
    <row r="765">
      <c r="A765" s="153"/>
      <c r="D765" s="153"/>
      <c r="G765" s="153"/>
      <c r="J765" s="153"/>
      <c r="M765" s="153"/>
    </row>
    <row r="766">
      <c r="A766" s="153"/>
      <c r="D766" s="153"/>
      <c r="G766" s="153"/>
      <c r="J766" s="153"/>
      <c r="M766" s="153"/>
    </row>
    <row r="767">
      <c r="A767" s="153"/>
      <c r="D767" s="153"/>
      <c r="G767" s="153"/>
      <c r="J767" s="153"/>
      <c r="M767" s="153"/>
    </row>
    <row r="768">
      <c r="A768" s="153"/>
      <c r="D768" s="153"/>
      <c r="G768" s="153"/>
      <c r="J768" s="153"/>
      <c r="M768" s="153"/>
    </row>
    <row r="769">
      <c r="A769" s="153"/>
      <c r="D769" s="153"/>
      <c r="G769" s="153"/>
      <c r="J769" s="153"/>
      <c r="M769" s="153"/>
    </row>
    <row r="770">
      <c r="A770" s="153"/>
      <c r="D770" s="153"/>
      <c r="G770" s="153"/>
      <c r="J770" s="153"/>
      <c r="M770" s="153"/>
    </row>
    <row r="771">
      <c r="A771" s="153"/>
      <c r="D771" s="153"/>
      <c r="G771" s="153"/>
      <c r="J771" s="153"/>
      <c r="M771" s="153"/>
    </row>
    <row r="772">
      <c r="A772" s="153"/>
      <c r="D772" s="153"/>
      <c r="G772" s="153"/>
      <c r="J772" s="153"/>
      <c r="M772" s="153"/>
    </row>
    <row r="773">
      <c r="A773" s="153"/>
      <c r="D773" s="153"/>
      <c r="G773" s="153"/>
      <c r="J773" s="153"/>
      <c r="M773" s="153"/>
    </row>
    <row r="774">
      <c r="A774" s="153"/>
      <c r="D774" s="153"/>
      <c r="G774" s="153"/>
      <c r="J774" s="153"/>
      <c r="M774" s="153"/>
    </row>
    <row r="775">
      <c r="A775" s="153"/>
      <c r="D775" s="153"/>
      <c r="G775" s="153"/>
      <c r="J775" s="153"/>
      <c r="M775" s="153"/>
    </row>
    <row r="776">
      <c r="A776" s="153"/>
      <c r="D776" s="153"/>
      <c r="G776" s="153"/>
      <c r="J776" s="153"/>
      <c r="M776" s="153"/>
    </row>
    <row r="777">
      <c r="A777" s="153"/>
      <c r="D777" s="153"/>
      <c r="G777" s="153"/>
      <c r="J777" s="153"/>
      <c r="M777" s="153"/>
    </row>
    <row r="778">
      <c r="A778" s="153"/>
      <c r="D778" s="153"/>
      <c r="G778" s="153"/>
      <c r="J778" s="153"/>
      <c r="M778" s="153"/>
    </row>
    <row r="779">
      <c r="A779" s="153"/>
      <c r="D779" s="153"/>
      <c r="G779" s="153"/>
      <c r="J779" s="153"/>
      <c r="M779" s="153"/>
    </row>
    <row r="780">
      <c r="A780" s="153"/>
      <c r="D780" s="153"/>
      <c r="G780" s="153"/>
      <c r="J780" s="153"/>
      <c r="M780" s="153"/>
    </row>
    <row r="781">
      <c r="A781" s="153"/>
      <c r="D781" s="153"/>
      <c r="G781" s="153"/>
      <c r="J781" s="153"/>
      <c r="M781" s="153"/>
    </row>
    <row r="782">
      <c r="A782" s="153"/>
      <c r="D782" s="153"/>
      <c r="G782" s="153"/>
      <c r="J782" s="153"/>
      <c r="M782" s="153"/>
    </row>
    <row r="783">
      <c r="A783" s="153"/>
      <c r="D783" s="153"/>
      <c r="G783" s="153"/>
      <c r="J783" s="153"/>
      <c r="M783" s="153"/>
    </row>
    <row r="784">
      <c r="A784" s="153"/>
      <c r="D784" s="153"/>
      <c r="G784" s="153"/>
      <c r="J784" s="153"/>
      <c r="M784" s="153"/>
    </row>
    <row r="785">
      <c r="A785" s="153"/>
      <c r="D785" s="153"/>
      <c r="G785" s="153"/>
      <c r="J785" s="153"/>
      <c r="M785" s="153"/>
    </row>
    <row r="786">
      <c r="A786" s="153"/>
      <c r="D786" s="153"/>
      <c r="G786" s="153"/>
      <c r="J786" s="153"/>
      <c r="M786" s="153"/>
    </row>
    <row r="787">
      <c r="A787" s="153"/>
      <c r="D787" s="153"/>
      <c r="G787" s="153"/>
      <c r="J787" s="153"/>
      <c r="M787" s="153"/>
    </row>
    <row r="788">
      <c r="A788" s="153"/>
      <c r="D788" s="153"/>
      <c r="G788" s="153"/>
      <c r="J788" s="153"/>
      <c r="M788" s="153"/>
    </row>
    <row r="789">
      <c r="A789" s="153"/>
      <c r="D789" s="153"/>
      <c r="G789" s="153"/>
      <c r="J789" s="153"/>
      <c r="M789" s="153"/>
    </row>
    <row r="790">
      <c r="A790" s="153"/>
      <c r="D790" s="153"/>
      <c r="G790" s="153"/>
      <c r="J790" s="153"/>
      <c r="M790" s="153"/>
    </row>
    <row r="791">
      <c r="A791" s="153"/>
      <c r="D791" s="153"/>
      <c r="G791" s="153"/>
      <c r="J791" s="153"/>
      <c r="M791" s="153"/>
    </row>
    <row r="792">
      <c r="A792" s="153"/>
      <c r="D792" s="153"/>
      <c r="G792" s="153"/>
      <c r="J792" s="153"/>
      <c r="M792" s="153"/>
    </row>
    <row r="793">
      <c r="A793" s="153"/>
      <c r="D793" s="153"/>
      <c r="G793" s="153"/>
      <c r="J793" s="153"/>
      <c r="M793" s="153"/>
    </row>
    <row r="794">
      <c r="A794" s="153"/>
      <c r="D794" s="153"/>
      <c r="G794" s="153"/>
      <c r="J794" s="153"/>
      <c r="M794" s="153"/>
    </row>
    <row r="795">
      <c r="A795" s="153"/>
      <c r="D795" s="153"/>
      <c r="G795" s="153"/>
      <c r="J795" s="153"/>
      <c r="M795" s="153"/>
    </row>
    <row r="796">
      <c r="A796" s="153"/>
      <c r="D796" s="153"/>
      <c r="G796" s="153"/>
      <c r="J796" s="153"/>
      <c r="M796" s="153"/>
    </row>
    <row r="797">
      <c r="A797" s="153"/>
      <c r="D797" s="153"/>
      <c r="G797" s="153"/>
      <c r="J797" s="153"/>
      <c r="M797" s="153"/>
    </row>
    <row r="798">
      <c r="A798" s="153"/>
      <c r="D798" s="153"/>
      <c r="G798" s="153"/>
      <c r="J798" s="153"/>
      <c r="M798" s="153"/>
    </row>
    <row r="799">
      <c r="A799" s="153"/>
      <c r="D799" s="153"/>
      <c r="G799" s="153"/>
      <c r="J799" s="153"/>
      <c r="M799" s="153"/>
    </row>
    <row r="800">
      <c r="A800" s="153"/>
      <c r="D800" s="153"/>
      <c r="G800" s="153"/>
      <c r="J800" s="153"/>
      <c r="M800" s="153"/>
    </row>
    <row r="801">
      <c r="A801" s="153"/>
      <c r="D801" s="153"/>
      <c r="G801" s="153"/>
      <c r="J801" s="153"/>
      <c r="M801" s="153"/>
    </row>
    <row r="802">
      <c r="A802" s="153"/>
      <c r="D802" s="153"/>
      <c r="G802" s="153"/>
      <c r="J802" s="153"/>
      <c r="M802" s="153"/>
    </row>
    <row r="803">
      <c r="A803" s="153"/>
      <c r="D803" s="153"/>
      <c r="G803" s="153"/>
      <c r="J803" s="153"/>
      <c r="M803" s="153"/>
    </row>
    <row r="804">
      <c r="A804" s="153"/>
      <c r="D804" s="153"/>
      <c r="G804" s="153"/>
      <c r="J804" s="153"/>
      <c r="M804" s="153"/>
    </row>
    <row r="805">
      <c r="A805" s="153"/>
      <c r="D805" s="153"/>
      <c r="G805" s="153"/>
      <c r="J805" s="153"/>
      <c r="M805" s="153"/>
    </row>
    <row r="806">
      <c r="A806" s="153"/>
      <c r="D806" s="153"/>
      <c r="G806" s="153"/>
      <c r="J806" s="153"/>
      <c r="M806" s="153"/>
    </row>
    <row r="807">
      <c r="A807" s="153"/>
      <c r="D807" s="153"/>
      <c r="G807" s="153"/>
      <c r="J807" s="153"/>
      <c r="M807" s="153"/>
    </row>
    <row r="808">
      <c r="A808" s="153"/>
      <c r="D808" s="153"/>
      <c r="G808" s="153"/>
      <c r="J808" s="153"/>
      <c r="M808" s="153"/>
    </row>
    <row r="809">
      <c r="A809" s="153"/>
      <c r="D809" s="153"/>
      <c r="G809" s="153"/>
      <c r="J809" s="153"/>
      <c r="M809" s="153"/>
    </row>
    <row r="810">
      <c r="A810" s="153"/>
      <c r="D810" s="153"/>
      <c r="G810" s="153"/>
      <c r="J810" s="153"/>
      <c r="M810" s="153"/>
    </row>
    <row r="811">
      <c r="A811" s="153"/>
      <c r="D811" s="153"/>
      <c r="G811" s="153"/>
      <c r="J811" s="153"/>
      <c r="M811" s="153"/>
    </row>
    <row r="812">
      <c r="A812" s="153"/>
      <c r="D812" s="153"/>
      <c r="G812" s="153"/>
      <c r="J812" s="153"/>
      <c r="M812" s="153"/>
    </row>
    <row r="813">
      <c r="A813" s="153"/>
      <c r="D813" s="153"/>
      <c r="G813" s="153"/>
      <c r="J813" s="153"/>
      <c r="M813" s="153"/>
    </row>
    <row r="814">
      <c r="A814" s="153"/>
      <c r="D814" s="153"/>
      <c r="G814" s="153"/>
      <c r="J814" s="153"/>
      <c r="M814" s="153"/>
    </row>
    <row r="815">
      <c r="A815" s="153"/>
      <c r="D815" s="153"/>
      <c r="G815" s="153"/>
      <c r="J815" s="153"/>
      <c r="M815" s="153"/>
    </row>
    <row r="816">
      <c r="A816" s="153"/>
      <c r="D816" s="153"/>
      <c r="G816" s="153"/>
      <c r="J816" s="153"/>
      <c r="M816" s="153"/>
    </row>
    <row r="817">
      <c r="A817" s="153"/>
      <c r="D817" s="153"/>
      <c r="G817" s="153"/>
      <c r="J817" s="153"/>
      <c r="M817" s="153"/>
    </row>
    <row r="818">
      <c r="A818" s="153"/>
      <c r="D818" s="153"/>
      <c r="G818" s="153"/>
      <c r="J818" s="153"/>
      <c r="M818" s="153"/>
    </row>
    <row r="819">
      <c r="A819" s="153"/>
      <c r="D819" s="153"/>
      <c r="G819" s="153"/>
      <c r="J819" s="153"/>
      <c r="M819" s="153"/>
    </row>
    <row r="820">
      <c r="A820" s="153"/>
      <c r="D820" s="153"/>
      <c r="G820" s="153"/>
      <c r="J820" s="153"/>
      <c r="M820" s="153"/>
    </row>
    <row r="821">
      <c r="A821" s="153"/>
      <c r="D821" s="153"/>
      <c r="G821" s="153"/>
      <c r="J821" s="153"/>
      <c r="M821" s="153"/>
    </row>
    <row r="822">
      <c r="A822" s="153"/>
      <c r="D822" s="153"/>
      <c r="G822" s="153"/>
      <c r="J822" s="153"/>
      <c r="M822" s="153"/>
    </row>
    <row r="823">
      <c r="A823" s="153"/>
      <c r="D823" s="153"/>
      <c r="G823" s="153"/>
      <c r="J823" s="153"/>
      <c r="M823" s="153"/>
    </row>
    <row r="824">
      <c r="A824" s="153"/>
      <c r="D824" s="153"/>
      <c r="G824" s="153"/>
      <c r="J824" s="153"/>
      <c r="M824" s="153"/>
    </row>
    <row r="825">
      <c r="A825" s="153"/>
      <c r="D825" s="153"/>
      <c r="G825" s="153"/>
      <c r="J825" s="153"/>
      <c r="M825" s="153"/>
    </row>
    <row r="826">
      <c r="A826" s="153"/>
      <c r="D826" s="153"/>
      <c r="G826" s="153"/>
      <c r="J826" s="153"/>
      <c r="M826" s="153"/>
    </row>
    <row r="827">
      <c r="A827" s="153"/>
      <c r="D827" s="153"/>
      <c r="G827" s="153"/>
      <c r="J827" s="153"/>
      <c r="M827" s="153"/>
    </row>
    <row r="828">
      <c r="A828" s="153"/>
      <c r="D828" s="153"/>
      <c r="G828" s="153"/>
      <c r="J828" s="153"/>
      <c r="M828" s="153"/>
    </row>
    <row r="829">
      <c r="A829" s="153"/>
      <c r="D829" s="153"/>
      <c r="G829" s="153"/>
      <c r="J829" s="153"/>
      <c r="M829" s="153"/>
    </row>
    <row r="830">
      <c r="A830" s="153"/>
      <c r="D830" s="153"/>
      <c r="G830" s="153"/>
      <c r="J830" s="153"/>
      <c r="M830" s="153"/>
    </row>
    <row r="831">
      <c r="A831" s="153"/>
      <c r="D831" s="153"/>
      <c r="G831" s="153"/>
      <c r="J831" s="153"/>
      <c r="M831" s="153"/>
    </row>
    <row r="832">
      <c r="A832" s="153"/>
      <c r="D832" s="153"/>
      <c r="G832" s="153"/>
      <c r="J832" s="153"/>
      <c r="M832" s="153"/>
    </row>
    <row r="833">
      <c r="A833" s="153"/>
      <c r="D833" s="153"/>
      <c r="G833" s="153"/>
      <c r="J833" s="153"/>
      <c r="M833" s="153"/>
    </row>
    <row r="834">
      <c r="A834" s="153"/>
      <c r="D834" s="153"/>
      <c r="G834" s="153"/>
      <c r="J834" s="153"/>
      <c r="M834" s="153"/>
    </row>
    <row r="835">
      <c r="A835" s="153"/>
      <c r="D835" s="153"/>
      <c r="G835" s="153"/>
      <c r="J835" s="153"/>
      <c r="M835" s="153"/>
    </row>
    <row r="836">
      <c r="A836" s="153"/>
      <c r="D836" s="153"/>
      <c r="G836" s="153"/>
      <c r="J836" s="153"/>
      <c r="M836" s="153"/>
    </row>
    <row r="837">
      <c r="A837" s="153"/>
      <c r="D837" s="153"/>
      <c r="G837" s="153"/>
      <c r="J837" s="153"/>
      <c r="M837" s="153"/>
    </row>
    <row r="838">
      <c r="A838" s="153"/>
      <c r="D838" s="153"/>
      <c r="G838" s="153"/>
      <c r="J838" s="153"/>
      <c r="M838" s="153"/>
    </row>
    <row r="839">
      <c r="A839" s="153"/>
      <c r="D839" s="153"/>
      <c r="G839" s="153"/>
      <c r="J839" s="153"/>
      <c r="M839" s="153"/>
    </row>
    <row r="840">
      <c r="A840" s="153"/>
      <c r="D840" s="153"/>
      <c r="G840" s="153"/>
      <c r="J840" s="153"/>
      <c r="M840" s="153"/>
    </row>
    <row r="841">
      <c r="A841" s="153"/>
      <c r="D841" s="153"/>
      <c r="G841" s="153"/>
      <c r="J841" s="153"/>
      <c r="M841" s="153"/>
    </row>
    <row r="842">
      <c r="A842" s="153"/>
      <c r="D842" s="153"/>
      <c r="G842" s="153"/>
      <c r="J842" s="153"/>
      <c r="M842" s="153"/>
    </row>
    <row r="843">
      <c r="A843" s="153"/>
      <c r="D843" s="153"/>
      <c r="G843" s="153"/>
      <c r="J843" s="153"/>
      <c r="M843" s="153"/>
    </row>
    <row r="844">
      <c r="A844" s="153"/>
      <c r="D844" s="153"/>
      <c r="G844" s="153"/>
      <c r="J844" s="153"/>
      <c r="M844" s="153"/>
    </row>
    <row r="845">
      <c r="A845" s="153"/>
      <c r="D845" s="153"/>
      <c r="G845" s="153"/>
      <c r="J845" s="153"/>
      <c r="M845" s="153"/>
    </row>
    <row r="846">
      <c r="A846" s="153"/>
      <c r="D846" s="153"/>
      <c r="G846" s="153"/>
      <c r="J846" s="153"/>
      <c r="M846" s="153"/>
    </row>
    <row r="847">
      <c r="A847" s="153"/>
      <c r="D847" s="153"/>
      <c r="G847" s="153"/>
      <c r="J847" s="153"/>
      <c r="M847" s="153"/>
    </row>
    <row r="848">
      <c r="A848" s="153"/>
      <c r="D848" s="153"/>
      <c r="G848" s="153"/>
      <c r="J848" s="153"/>
      <c r="M848" s="153"/>
    </row>
    <row r="849">
      <c r="A849" s="153"/>
      <c r="D849" s="153"/>
      <c r="G849" s="153"/>
      <c r="J849" s="153"/>
      <c r="M849" s="153"/>
    </row>
    <row r="850">
      <c r="A850" s="153"/>
      <c r="D850" s="153"/>
      <c r="G850" s="153"/>
      <c r="J850" s="153"/>
      <c r="M850" s="153"/>
    </row>
    <row r="851">
      <c r="A851" s="153"/>
      <c r="D851" s="153"/>
      <c r="G851" s="153"/>
      <c r="J851" s="153"/>
      <c r="M851" s="153"/>
    </row>
    <row r="852">
      <c r="A852" s="153"/>
      <c r="D852" s="153"/>
      <c r="G852" s="153"/>
      <c r="J852" s="153"/>
      <c r="M852" s="153"/>
    </row>
    <row r="853">
      <c r="A853" s="153"/>
      <c r="D853" s="153"/>
      <c r="G853" s="153"/>
      <c r="J853" s="153"/>
      <c r="M853" s="153"/>
    </row>
    <row r="854">
      <c r="A854" s="153"/>
      <c r="D854" s="153"/>
      <c r="G854" s="153"/>
      <c r="J854" s="153"/>
      <c r="M854" s="153"/>
    </row>
    <row r="855">
      <c r="A855" s="153"/>
      <c r="D855" s="153"/>
      <c r="G855" s="153"/>
      <c r="J855" s="153"/>
      <c r="M855" s="153"/>
    </row>
    <row r="856">
      <c r="A856" s="153"/>
      <c r="D856" s="153"/>
      <c r="G856" s="153"/>
      <c r="J856" s="153"/>
      <c r="M856" s="153"/>
    </row>
    <row r="857">
      <c r="A857" s="153"/>
      <c r="D857" s="153"/>
      <c r="G857" s="153"/>
      <c r="J857" s="153"/>
      <c r="M857" s="153"/>
    </row>
    <row r="858">
      <c r="A858" s="153"/>
      <c r="D858" s="153"/>
      <c r="G858" s="153"/>
      <c r="J858" s="153"/>
      <c r="M858" s="153"/>
    </row>
    <row r="859">
      <c r="A859" s="153"/>
      <c r="D859" s="153"/>
      <c r="G859" s="153"/>
      <c r="J859" s="153"/>
      <c r="M859" s="153"/>
    </row>
    <row r="860">
      <c r="A860" s="153"/>
      <c r="D860" s="153"/>
      <c r="G860" s="153"/>
      <c r="J860" s="153"/>
      <c r="M860" s="153"/>
    </row>
    <row r="861">
      <c r="A861" s="153"/>
      <c r="D861" s="153"/>
      <c r="G861" s="153"/>
      <c r="J861" s="153"/>
      <c r="M861" s="153"/>
    </row>
    <row r="862">
      <c r="A862" s="153"/>
      <c r="D862" s="153"/>
      <c r="G862" s="153"/>
      <c r="J862" s="153"/>
      <c r="M862" s="153"/>
    </row>
    <row r="863">
      <c r="A863" s="153"/>
      <c r="D863" s="153"/>
      <c r="G863" s="153"/>
      <c r="J863" s="153"/>
      <c r="M863" s="153"/>
    </row>
    <row r="864">
      <c r="A864" s="153"/>
      <c r="D864" s="153"/>
      <c r="G864" s="153"/>
      <c r="J864" s="153"/>
      <c r="M864" s="153"/>
    </row>
    <row r="865">
      <c r="A865" s="153"/>
      <c r="D865" s="153"/>
      <c r="G865" s="153"/>
      <c r="J865" s="153"/>
      <c r="M865" s="153"/>
    </row>
    <row r="866">
      <c r="A866" s="153"/>
      <c r="D866" s="153"/>
      <c r="G866" s="153"/>
      <c r="J866" s="153"/>
      <c r="M866" s="153"/>
    </row>
    <row r="867">
      <c r="A867" s="153"/>
      <c r="D867" s="153"/>
      <c r="G867" s="153"/>
      <c r="J867" s="153"/>
      <c r="M867" s="153"/>
    </row>
    <row r="868">
      <c r="A868" s="153"/>
      <c r="D868" s="153"/>
      <c r="G868" s="153"/>
      <c r="J868" s="153"/>
      <c r="M868" s="153"/>
    </row>
    <row r="869">
      <c r="A869" s="153"/>
      <c r="D869" s="153"/>
      <c r="G869" s="153"/>
      <c r="J869" s="153"/>
      <c r="M869" s="153"/>
    </row>
    <row r="870">
      <c r="A870" s="153"/>
      <c r="D870" s="153"/>
      <c r="G870" s="153"/>
      <c r="J870" s="153"/>
      <c r="M870" s="153"/>
    </row>
    <row r="871">
      <c r="A871" s="153"/>
      <c r="D871" s="153"/>
      <c r="G871" s="153"/>
      <c r="J871" s="153"/>
      <c r="M871" s="153"/>
    </row>
    <row r="872">
      <c r="A872" s="153"/>
      <c r="D872" s="153"/>
      <c r="G872" s="153"/>
      <c r="J872" s="153"/>
      <c r="M872" s="153"/>
    </row>
    <row r="873">
      <c r="A873" s="153"/>
      <c r="D873" s="153"/>
      <c r="G873" s="153"/>
      <c r="J873" s="153"/>
      <c r="M873" s="153"/>
    </row>
    <row r="874">
      <c r="A874" s="153"/>
      <c r="D874" s="153"/>
      <c r="G874" s="153"/>
      <c r="J874" s="153"/>
      <c r="M874" s="153"/>
    </row>
    <row r="875">
      <c r="A875" s="153"/>
      <c r="D875" s="153"/>
      <c r="G875" s="153"/>
      <c r="J875" s="153"/>
      <c r="M875" s="153"/>
    </row>
    <row r="876">
      <c r="A876" s="153"/>
      <c r="D876" s="153"/>
      <c r="G876" s="153"/>
      <c r="J876" s="153"/>
      <c r="M876" s="153"/>
    </row>
    <row r="877">
      <c r="A877" s="153"/>
      <c r="D877" s="153"/>
      <c r="G877" s="153"/>
      <c r="J877" s="153"/>
      <c r="M877" s="153"/>
    </row>
    <row r="878">
      <c r="A878" s="153"/>
      <c r="D878" s="153"/>
      <c r="G878" s="153"/>
      <c r="J878" s="153"/>
      <c r="M878" s="153"/>
    </row>
    <row r="879">
      <c r="A879" s="153"/>
      <c r="D879" s="153"/>
      <c r="G879" s="153"/>
      <c r="J879" s="153"/>
      <c r="M879" s="153"/>
    </row>
    <row r="880">
      <c r="A880" s="153"/>
      <c r="D880" s="153"/>
      <c r="G880" s="153"/>
      <c r="J880" s="153"/>
      <c r="M880" s="153"/>
    </row>
    <row r="881">
      <c r="A881" s="153"/>
      <c r="D881" s="153"/>
      <c r="G881" s="153"/>
      <c r="J881" s="153"/>
      <c r="M881" s="153"/>
    </row>
    <row r="882">
      <c r="A882" s="153"/>
      <c r="D882" s="153"/>
      <c r="G882" s="153"/>
      <c r="J882" s="153"/>
      <c r="M882" s="153"/>
    </row>
    <row r="883">
      <c r="A883" s="153"/>
      <c r="D883" s="153"/>
      <c r="G883" s="153"/>
      <c r="J883" s="153"/>
      <c r="M883" s="153"/>
    </row>
    <row r="884">
      <c r="A884" s="153"/>
      <c r="D884" s="153"/>
      <c r="G884" s="153"/>
      <c r="J884" s="153"/>
      <c r="M884" s="153"/>
    </row>
    <row r="885">
      <c r="A885" s="153"/>
      <c r="D885" s="153"/>
      <c r="G885" s="153"/>
      <c r="J885" s="153"/>
      <c r="M885" s="153"/>
    </row>
    <row r="886">
      <c r="A886" s="153"/>
      <c r="D886" s="153"/>
      <c r="G886" s="153"/>
      <c r="J886" s="153"/>
      <c r="M886" s="153"/>
    </row>
    <row r="887">
      <c r="A887" s="153"/>
      <c r="D887" s="153"/>
      <c r="G887" s="153"/>
      <c r="J887" s="153"/>
      <c r="M887" s="153"/>
    </row>
    <row r="888">
      <c r="A888" s="153"/>
      <c r="D888" s="153"/>
      <c r="G888" s="153"/>
      <c r="J888" s="153"/>
      <c r="M888" s="153"/>
    </row>
    <row r="889">
      <c r="A889" s="153"/>
      <c r="D889" s="153"/>
      <c r="G889" s="153"/>
      <c r="J889" s="153"/>
      <c r="M889" s="153"/>
    </row>
    <row r="890">
      <c r="A890" s="153"/>
      <c r="D890" s="153"/>
      <c r="G890" s="153"/>
      <c r="J890" s="153"/>
      <c r="M890" s="153"/>
    </row>
    <row r="891">
      <c r="A891" s="153"/>
      <c r="D891" s="153"/>
      <c r="G891" s="153"/>
      <c r="J891" s="153"/>
      <c r="M891" s="153"/>
    </row>
    <row r="892">
      <c r="A892" s="153"/>
      <c r="D892" s="153"/>
      <c r="G892" s="153"/>
      <c r="J892" s="153"/>
      <c r="M892" s="153"/>
    </row>
    <row r="893">
      <c r="A893" s="153"/>
      <c r="D893" s="153"/>
      <c r="G893" s="153"/>
      <c r="J893" s="153"/>
      <c r="M893" s="153"/>
    </row>
    <row r="894">
      <c r="A894" s="153"/>
      <c r="D894" s="153"/>
      <c r="G894" s="153"/>
      <c r="J894" s="153"/>
      <c r="M894" s="153"/>
    </row>
    <row r="895">
      <c r="A895" s="153"/>
      <c r="D895" s="153"/>
      <c r="G895" s="153"/>
      <c r="J895" s="153"/>
      <c r="M895" s="153"/>
    </row>
    <row r="896">
      <c r="A896" s="153"/>
      <c r="D896" s="153"/>
      <c r="G896" s="153"/>
      <c r="J896" s="153"/>
      <c r="M896" s="153"/>
    </row>
    <row r="897">
      <c r="A897" s="153"/>
      <c r="D897" s="153"/>
      <c r="G897" s="153"/>
      <c r="J897" s="153"/>
      <c r="M897" s="153"/>
    </row>
    <row r="898">
      <c r="A898" s="153"/>
      <c r="D898" s="153"/>
      <c r="G898" s="153"/>
      <c r="J898" s="153"/>
      <c r="M898" s="153"/>
    </row>
    <row r="899">
      <c r="A899" s="153"/>
      <c r="D899" s="153"/>
      <c r="G899" s="153"/>
      <c r="J899" s="153"/>
      <c r="M899" s="153"/>
    </row>
    <row r="900">
      <c r="A900" s="153"/>
      <c r="D900" s="153"/>
      <c r="G900" s="153"/>
      <c r="J900" s="153"/>
      <c r="M900" s="153"/>
    </row>
    <row r="901">
      <c r="A901" s="153"/>
      <c r="D901" s="153"/>
      <c r="G901" s="153"/>
      <c r="J901" s="153"/>
      <c r="M901" s="153"/>
    </row>
    <row r="902">
      <c r="A902" s="153"/>
      <c r="D902" s="153"/>
      <c r="G902" s="153"/>
      <c r="J902" s="153"/>
      <c r="M902" s="153"/>
    </row>
    <row r="903">
      <c r="A903" s="153"/>
      <c r="D903" s="153"/>
      <c r="G903" s="153"/>
      <c r="J903" s="153"/>
      <c r="M903" s="153"/>
    </row>
    <row r="904">
      <c r="A904" s="153"/>
      <c r="D904" s="153"/>
      <c r="G904" s="153"/>
      <c r="J904" s="153"/>
      <c r="M904" s="153"/>
    </row>
    <row r="905">
      <c r="A905" s="153"/>
      <c r="D905" s="153"/>
      <c r="G905" s="153"/>
      <c r="J905" s="153"/>
      <c r="M905" s="153"/>
    </row>
    <row r="906">
      <c r="A906" s="153"/>
      <c r="D906" s="153"/>
      <c r="G906" s="153"/>
      <c r="J906" s="153"/>
      <c r="M906" s="153"/>
    </row>
    <row r="907">
      <c r="A907" s="153"/>
      <c r="D907" s="153"/>
      <c r="G907" s="153"/>
      <c r="J907" s="153"/>
      <c r="M907" s="153"/>
    </row>
    <row r="908">
      <c r="A908" s="153"/>
      <c r="D908" s="153"/>
      <c r="G908" s="153"/>
      <c r="J908" s="153"/>
      <c r="M908" s="153"/>
    </row>
    <row r="909">
      <c r="A909" s="153"/>
      <c r="D909" s="153"/>
      <c r="G909" s="153"/>
      <c r="J909" s="153"/>
      <c r="M909" s="153"/>
    </row>
    <row r="910">
      <c r="A910" s="153"/>
      <c r="D910" s="153"/>
      <c r="G910" s="153"/>
      <c r="J910" s="153"/>
      <c r="M910" s="153"/>
    </row>
    <row r="911">
      <c r="A911" s="153"/>
      <c r="D911" s="153"/>
      <c r="G911" s="153"/>
      <c r="J911" s="153"/>
      <c r="M911" s="153"/>
    </row>
    <row r="912">
      <c r="A912" s="153"/>
      <c r="D912" s="153"/>
      <c r="G912" s="153"/>
      <c r="J912" s="153"/>
      <c r="M912" s="153"/>
    </row>
    <row r="913">
      <c r="A913" s="153"/>
      <c r="D913" s="153"/>
      <c r="G913" s="153"/>
      <c r="J913" s="153"/>
      <c r="M913" s="153"/>
    </row>
    <row r="914">
      <c r="A914" s="153"/>
      <c r="D914" s="153"/>
      <c r="G914" s="153"/>
      <c r="J914" s="153"/>
      <c r="M914" s="153"/>
    </row>
    <row r="915">
      <c r="A915" s="153"/>
      <c r="D915" s="153"/>
      <c r="G915" s="153"/>
      <c r="J915" s="153"/>
      <c r="M915" s="153"/>
    </row>
    <row r="916">
      <c r="A916" s="153"/>
      <c r="D916" s="153"/>
      <c r="G916" s="153"/>
      <c r="J916" s="153"/>
      <c r="M916" s="153"/>
    </row>
    <row r="917">
      <c r="A917" s="153"/>
      <c r="D917" s="153"/>
      <c r="G917" s="153"/>
      <c r="J917" s="153"/>
      <c r="M917" s="153"/>
    </row>
    <row r="918">
      <c r="A918" s="153"/>
      <c r="D918" s="153"/>
      <c r="G918" s="153"/>
      <c r="J918" s="153"/>
      <c r="M918" s="153"/>
    </row>
    <row r="919">
      <c r="A919" s="153"/>
      <c r="D919" s="153"/>
      <c r="G919" s="153"/>
      <c r="J919" s="153"/>
      <c r="M919" s="153"/>
    </row>
    <row r="920">
      <c r="A920" s="153"/>
      <c r="D920" s="153"/>
      <c r="G920" s="153"/>
      <c r="J920" s="153"/>
      <c r="M920" s="153"/>
    </row>
    <row r="921">
      <c r="A921" s="153"/>
      <c r="D921" s="153"/>
      <c r="G921" s="153"/>
      <c r="J921" s="153"/>
      <c r="M921" s="153"/>
    </row>
    <row r="922">
      <c r="A922" s="153"/>
      <c r="D922" s="153"/>
      <c r="G922" s="153"/>
      <c r="J922" s="153"/>
      <c r="M922" s="153"/>
    </row>
    <row r="923">
      <c r="A923" s="153"/>
      <c r="D923" s="153"/>
      <c r="G923" s="153"/>
      <c r="J923" s="153"/>
      <c r="M923" s="153"/>
    </row>
    <row r="924">
      <c r="A924" s="153"/>
      <c r="D924" s="153"/>
      <c r="G924" s="153"/>
      <c r="J924" s="153"/>
      <c r="M924" s="153"/>
    </row>
    <row r="925">
      <c r="A925" s="153"/>
      <c r="D925" s="153"/>
      <c r="G925" s="153"/>
      <c r="J925" s="153"/>
      <c r="M925" s="153"/>
    </row>
    <row r="926">
      <c r="A926" s="153"/>
      <c r="D926" s="153"/>
      <c r="G926" s="153"/>
      <c r="J926" s="153"/>
      <c r="M926" s="153"/>
    </row>
    <row r="927">
      <c r="A927" s="153"/>
      <c r="D927" s="153"/>
      <c r="G927" s="153"/>
      <c r="J927" s="153"/>
      <c r="M927" s="153"/>
    </row>
    <row r="928">
      <c r="A928" s="153"/>
      <c r="D928" s="153"/>
      <c r="G928" s="153"/>
      <c r="J928" s="153"/>
      <c r="M928" s="153"/>
    </row>
    <row r="929">
      <c r="A929" s="153"/>
      <c r="D929" s="153"/>
      <c r="G929" s="153"/>
      <c r="J929" s="153"/>
      <c r="M929" s="153"/>
    </row>
    <row r="930">
      <c r="A930" s="153"/>
      <c r="D930" s="153"/>
      <c r="G930" s="153"/>
      <c r="J930" s="153"/>
      <c r="M930" s="153"/>
    </row>
    <row r="931">
      <c r="A931" s="153"/>
      <c r="D931" s="153"/>
      <c r="G931" s="153"/>
      <c r="J931" s="153"/>
      <c r="M931" s="153"/>
    </row>
    <row r="932">
      <c r="A932" s="153"/>
      <c r="D932" s="153"/>
      <c r="G932" s="153"/>
      <c r="J932" s="153"/>
      <c r="M932" s="153"/>
    </row>
    <row r="933">
      <c r="A933" s="153"/>
      <c r="D933" s="153"/>
      <c r="G933" s="153"/>
      <c r="J933" s="153"/>
      <c r="M933" s="153"/>
    </row>
    <row r="934">
      <c r="A934" s="153"/>
      <c r="D934" s="153"/>
      <c r="G934" s="153"/>
      <c r="J934" s="153"/>
      <c r="M934" s="153"/>
    </row>
    <row r="935">
      <c r="A935" s="153"/>
      <c r="D935" s="153"/>
      <c r="G935" s="153"/>
      <c r="J935" s="153"/>
      <c r="M935" s="153"/>
    </row>
    <row r="936">
      <c r="A936" s="153"/>
      <c r="D936" s="153"/>
      <c r="G936" s="153"/>
      <c r="J936" s="153"/>
      <c r="M936" s="153"/>
    </row>
    <row r="937">
      <c r="A937" s="153"/>
      <c r="D937" s="153"/>
      <c r="G937" s="153"/>
      <c r="J937" s="153"/>
      <c r="M937" s="153"/>
    </row>
    <row r="938">
      <c r="A938" s="153"/>
      <c r="D938" s="153"/>
      <c r="G938" s="153"/>
      <c r="J938" s="153"/>
      <c r="M938" s="153"/>
    </row>
    <row r="939">
      <c r="A939" s="153"/>
      <c r="D939" s="153"/>
      <c r="G939" s="153"/>
      <c r="J939" s="153"/>
      <c r="M939" s="153"/>
    </row>
    <row r="940">
      <c r="A940" s="153"/>
      <c r="D940" s="153"/>
      <c r="G940" s="153"/>
      <c r="J940" s="153"/>
      <c r="M940" s="153"/>
    </row>
    <row r="941">
      <c r="A941" s="153"/>
      <c r="D941" s="153"/>
      <c r="G941" s="153"/>
      <c r="J941" s="153"/>
      <c r="M941" s="153"/>
    </row>
    <row r="942">
      <c r="A942" s="153"/>
      <c r="D942" s="153"/>
      <c r="G942" s="153"/>
      <c r="J942" s="153"/>
      <c r="M942" s="153"/>
    </row>
    <row r="943">
      <c r="A943" s="153"/>
      <c r="D943" s="153"/>
      <c r="G943" s="153"/>
      <c r="J943" s="153"/>
      <c r="M943" s="153"/>
    </row>
    <row r="944">
      <c r="A944" s="153"/>
      <c r="D944" s="153"/>
      <c r="G944" s="153"/>
      <c r="J944" s="153"/>
      <c r="M944" s="153"/>
    </row>
    <row r="945">
      <c r="A945" s="153"/>
      <c r="D945" s="153"/>
      <c r="G945" s="153"/>
      <c r="J945" s="153"/>
      <c r="M945" s="153"/>
    </row>
    <row r="946">
      <c r="A946" s="153"/>
      <c r="D946" s="153"/>
      <c r="G946" s="153"/>
      <c r="J946" s="153"/>
      <c r="M946" s="153"/>
    </row>
    <row r="947">
      <c r="A947" s="153"/>
      <c r="D947" s="153"/>
      <c r="G947" s="153"/>
      <c r="J947" s="153"/>
      <c r="M947" s="153"/>
    </row>
    <row r="948">
      <c r="A948" s="153"/>
      <c r="D948" s="153"/>
      <c r="G948" s="153"/>
      <c r="J948" s="153"/>
      <c r="M948" s="153"/>
    </row>
    <row r="949">
      <c r="A949" s="153"/>
      <c r="D949" s="153"/>
      <c r="G949" s="153"/>
      <c r="J949" s="153"/>
      <c r="M949" s="153"/>
    </row>
    <row r="950">
      <c r="A950" s="153"/>
      <c r="D950" s="153"/>
      <c r="G950" s="153"/>
      <c r="J950" s="153"/>
      <c r="M950" s="153"/>
    </row>
    <row r="951">
      <c r="A951" s="153"/>
      <c r="D951" s="153"/>
      <c r="G951" s="153"/>
      <c r="J951" s="153"/>
      <c r="M951" s="153"/>
    </row>
    <row r="952">
      <c r="A952" s="153"/>
      <c r="D952" s="153"/>
      <c r="G952" s="153"/>
      <c r="J952" s="153"/>
      <c r="M952" s="153"/>
    </row>
    <row r="953">
      <c r="A953" s="153"/>
      <c r="D953" s="153"/>
      <c r="G953" s="153"/>
      <c r="J953" s="153"/>
      <c r="M953" s="153"/>
    </row>
    <row r="954">
      <c r="A954" s="153"/>
      <c r="D954" s="153"/>
      <c r="G954" s="153"/>
      <c r="J954" s="153"/>
      <c r="M954" s="153"/>
    </row>
    <row r="955">
      <c r="A955" s="153"/>
      <c r="D955" s="153"/>
      <c r="G955" s="153"/>
      <c r="J955" s="153"/>
      <c r="M955" s="153"/>
    </row>
    <row r="956">
      <c r="A956" s="153"/>
      <c r="D956" s="153"/>
      <c r="G956" s="153"/>
      <c r="J956" s="153"/>
      <c r="M956" s="153"/>
    </row>
    <row r="957">
      <c r="A957" s="153"/>
      <c r="D957" s="153"/>
      <c r="G957" s="153"/>
      <c r="J957" s="153"/>
      <c r="M957" s="153"/>
    </row>
    <row r="958">
      <c r="A958" s="153"/>
      <c r="D958" s="153"/>
      <c r="G958" s="153"/>
      <c r="J958" s="153"/>
      <c r="M958" s="153"/>
    </row>
    <row r="959">
      <c r="A959" s="153"/>
      <c r="D959" s="153"/>
      <c r="G959" s="153"/>
      <c r="J959" s="153"/>
      <c r="M959" s="153"/>
    </row>
    <row r="960">
      <c r="A960" s="153"/>
      <c r="D960" s="153"/>
      <c r="G960" s="153"/>
      <c r="J960" s="153"/>
      <c r="M960" s="153"/>
    </row>
    <row r="961">
      <c r="A961" s="153"/>
      <c r="D961" s="153"/>
      <c r="G961" s="153"/>
      <c r="J961" s="153"/>
      <c r="M961" s="153"/>
    </row>
    <row r="962">
      <c r="A962" s="153"/>
      <c r="D962" s="153"/>
      <c r="G962" s="153"/>
      <c r="J962" s="153"/>
      <c r="M962" s="153"/>
    </row>
    <row r="963">
      <c r="A963" s="153"/>
      <c r="D963" s="153"/>
      <c r="G963" s="153"/>
      <c r="J963" s="153"/>
      <c r="M963" s="153"/>
    </row>
    <row r="964">
      <c r="A964" s="153"/>
      <c r="D964" s="153"/>
      <c r="G964" s="153"/>
      <c r="J964" s="153"/>
      <c r="M964" s="153"/>
    </row>
    <row r="965">
      <c r="A965" s="153"/>
      <c r="D965" s="153"/>
      <c r="G965" s="153"/>
      <c r="J965" s="153"/>
      <c r="M965" s="153"/>
    </row>
    <row r="966">
      <c r="A966" s="153"/>
      <c r="D966" s="153"/>
      <c r="G966" s="153"/>
      <c r="J966" s="153"/>
      <c r="M966" s="153"/>
    </row>
    <row r="967">
      <c r="A967" s="153"/>
      <c r="D967" s="153"/>
      <c r="G967" s="153"/>
      <c r="J967" s="153"/>
      <c r="M967" s="153"/>
    </row>
    <row r="968">
      <c r="A968" s="153"/>
      <c r="D968" s="153"/>
      <c r="G968" s="153"/>
      <c r="J968" s="153"/>
      <c r="M968" s="153"/>
    </row>
    <row r="969">
      <c r="A969" s="153"/>
      <c r="D969" s="153"/>
      <c r="G969" s="153"/>
      <c r="J969" s="153"/>
      <c r="M969" s="153"/>
    </row>
    <row r="970">
      <c r="A970" s="153"/>
      <c r="D970" s="153"/>
      <c r="G970" s="153"/>
      <c r="J970" s="153"/>
      <c r="M970" s="153"/>
    </row>
    <row r="971">
      <c r="A971" s="153"/>
      <c r="D971" s="153"/>
      <c r="G971" s="153"/>
      <c r="J971" s="153"/>
      <c r="M971" s="153"/>
    </row>
    <row r="972">
      <c r="A972" s="153"/>
      <c r="D972" s="153"/>
      <c r="G972" s="153"/>
      <c r="J972" s="153"/>
      <c r="M972" s="153"/>
    </row>
    <row r="973">
      <c r="A973" s="153"/>
      <c r="D973" s="153"/>
      <c r="G973" s="153"/>
      <c r="J973" s="153"/>
      <c r="M973" s="153"/>
    </row>
    <row r="974">
      <c r="A974" s="153"/>
      <c r="D974" s="153"/>
      <c r="G974" s="153"/>
      <c r="J974" s="153"/>
      <c r="M974" s="153"/>
    </row>
    <row r="975">
      <c r="A975" s="153"/>
      <c r="D975" s="153"/>
      <c r="G975" s="153"/>
      <c r="J975" s="153"/>
      <c r="M975" s="153"/>
    </row>
    <row r="976">
      <c r="A976" s="153"/>
      <c r="D976" s="153"/>
      <c r="G976" s="153"/>
      <c r="J976" s="153"/>
      <c r="M976" s="153"/>
    </row>
    <row r="977">
      <c r="A977" s="153"/>
      <c r="D977" s="153"/>
      <c r="G977" s="153"/>
      <c r="J977" s="153"/>
      <c r="M977" s="153"/>
    </row>
    <row r="978">
      <c r="A978" s="153"/>
      <c r="D978" s="153"/>
      <c r="G978" s="153"/>
      <c r="J978" s="153"/>
      <c r="M978" s="153"/>
    </row>
    <row r="979">
      <c r="A979" s="153"/>
      <c r="D979" s="153"/>
      <c r="G979" s="153"/>
      <c r="J979" s="153"/>
      <c r="M979" s="153"/>
    </row>
    <row r="980">
      <c r="A980" s="153"/>
      <c r="D980" s="153"/>
      <c r="G980" s="153"/>
      <c r="J980" s="153"/>
      <c r="M980" s="153"/>
    </row>
    <row r="981">
      <c r="A981" s="153"/>
      <c r="D981" s="153"/>
      <c r="G981" s="153"/>
      <c r="J981" s="153"/>
      <c r="M981" s="153"/>
    </row>
    <row r="982">
      <c r="A982" s="153"/>
      <c r="D982" s="153"/>
      <c r="G982" s="153"/>
      <c r="J982" s="153"/>
      <c r="M982" s="153"/>
    </row>
    <row r="983">
      <c r="A983" s="153"/>
      <c r="D983" s="153"/>
      <c r="G983" s="153"/>
      <c r="J983" s="153"/>
      <c r="M983" s="153"/>
    </row>
    <row r="984">
      <c r="A984" s="153"/>
      <c r="D984" s="153"/>
      <c r="G984" s="153"/>
      <c r="J984" s="153"/>
      <c r="M984" s="153"/>
    </row>
    <row r="985">
      <c r="A985" s="153"/>
      <c r="D985" s="153"/>
      <c r="G985" s="153"/>
      <c r="J985" s="153"/>
      <c r="M985" s="153"/>
    </row>
    <row r="986">
      <c r="A986" s="153"/>
      <c r="D986" s="153"/>
      <c r="G986" s="153"/>
      <c r="J986" s="153"/>
      <c r="M986" s="153"/>
    </row>
    <row r="987">
      <c r="A987" s="153"/>
      <c r="D987" s="153"/>
      <c r="G987" s="153"/>
      <c r="J987" s="153"/>
      <c r="M987" s="153"/>
    </row>
    <row r="988">
      <c r="A988" s="153"/>
      <c r="D988" s="153"/>
      <c r="G988" s="153"/>
      <c r="J988" s="153"/>
      <c r="M988" s="153"/>
    </row>
    <row r="989">
      <c r="A989" s="153"/>
      <c r="D989" s="153"/>
      <c r="G989" s="153"/>
      <c r="J989" s="153"/>
      <c r="M989" s="153"/>
    </row>
    <row r="990">
      <c r="A990" s="153"/>
      <c r="D990" s="153"/>
      <c r="G990" s="153"/>
      <c r="J990" s="153"/>
      <c r="M990" s="153"/>
    </row>
    <row r="991">
      <c r="A991" s="153"/>
      <c r="D991" s="153"/>
      <c r="G991" s="153"/>
      <c r="J991" s="153"/>
      <c r="M991" s="153"/>
    </row>
    <row r="992">
      <c r="A992" s="153"/>
      <c r="D992" s="153"/>
      <c r="G992" s="153"/>
      <c r="J992" s="153"/>
      <c r="M992" s="153"/>
    </row>
    <row r="993">
      <c r="A993" s="153"/>
      <c r="D993" s="153"/>
      <c r="G993" s="153"/>
      <c r="J993" s="153"/>
      <c r="M993" s="153"/>
    </row>
    <row r="994">
      <c r="A994" s="153"/>
      <c r="D994" s="153"/>
      <c r="G994" s="153"/>
      <c r="J994" s="153"/>
      <c r="M994" s="153"/>
    </row>
    <row r="995">
      <c r="A995" s="153"/>
      <c r="D995" s="153"/>
      <c r="G995" s="153"/>
      <c r="J995" s="153"/>
      <c r="M995" s="153"/>
    </row>
    <row r="996">
      <c r="A996" s="153"/>
      <c r="D996" s="153"/>
      <c r="G996" s="153"/>
      <c r="J996" s="153"/>
      <c r="M996" s="153"/>
    </row>
  </sheetData>
  <customSheetViews>
    <customSheetView guid="{340DBBDA-8078-4DD3-AFFF-C95C7AB23CFE}" filter="1" showAutoFilter="1">
      <autoFilter ref="$A$1:$C$9"/>
    </customSheetView>
  </customSheetViews>
  <mergeCells count="5">
    <mergeCell ref="A1:C1"/>
    <mergeCell ref="D1:F1"/>
    <mergeCell ref="G1:I1"/>
    <mergeCell ref="J1:L1"/>
    <mergeCell ref="M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 width="22.33"/>
    <col customWidth="1" min="6" max="6" width="59.44"/>
    <col customWidth="1" min="7" max="7" width="47.44"/>
    <col customWidth="1" min="8" max="9" width="17.78"/>
    <col customWidth="1" min="10" max="10" width="15.56"/>
    <col customWidth="1" min="11" max="11" width="13.89"/>
    <col customWidth="1" min="12" max="12" width="17.22"/>
    <col customWidth="1" min="13" max="34" width="10.56"/>
    <col customWidth="1" min="35" max="35" width="23.56"/>
    <col customWidth="1" min="36" max="36" width="22.33"/>
    <col customWidth="1" min="37" max="57" width="10.56"/>
    <col customWidth="1" min="58" max="58" width="13.11"/>
    <col customWidth="1" min="59" max="65" width="10.56"/>
  </cols>
  <sheetData>
    <row r="1" ht="15.75" customHeight="1">
      <c r="H1" s="20"/>
      <c r="I1" s="37" t="s">
        <v>29</v>
      </c>
      <c r="J1" s="37"/>
      <c r="K1" s="37"/>
      <c r="L1" s="37"/>
      <c r="M1" s="37"/>
      <c r="N1" s="37"/>
      <c r="O1" s="37"/>
      <c r="P1" s="23" t="s">
        <v>27</v>
      </c>
      <c r="Q1" s="24"/>
      <c r="R1" s="24"/>
      <c r="S1" s="25"/>
      <c r="T1" s="25"/>
      <c r="U1" s="25"/>
      <c r="V1" s="25"/>
      <c r="W1" s="30" t="s">
        <v>28</v>
      </c>
      <c r="X1" s="31"/>
      <c r="Y1" s="31"/>
      <c r="Z1" s="32"/>
      <c r="AA1" s="32"/>
      <c r="AB1" s="32"/>
      <c r="AC1" s="32"/>
      <c r="BD1" s="11" t="s">
        <v>108</v>
      </c>
      <c r="BE1" s="11"/>
      <c r="BF1" s="11" t="s">
        <v>113</v>
      </c>
      <c r="BG1" s="11"/>
      <c r="BH1" s="11" t="s">
        <v>114</v>
      </c>
      <c r="BI1" s="11"/>
      <c r="BJ1" s="11" t="s">
        <v>111</v>
      </c>
      <c r="BK1" s="11"/>
      <c r="BL1" s="11" t="s">
        <v>112</v>
      </c>
    </row>
    <row r="2" ht="15.75" customHeight="1">
      <c r="A2" s="157" t="s">
        <v>115</v>
      </c>
      <c r="B2" s="157"/>
      <c r="C2" s="158" t="s">
        <v>116</v>
      </c>
      <c r="D2" s="158" t="s">
        <v>117</v>
      </c>
      <c r="E2" s="158" t="s">
        <v>118</v>
      </c>
      <c r="F2" s="159" t="s">
        <v>119</v>
      </c>
      <c r="G2" s="159" t="s">
        <v>120</v>
      </c>
      <c r="H2" s="94" t="s">
        <v>121</v>
      </c>
      <c r="I2" s="37" t="s">
        <v>38</v>
      </c>
      <c r="J2" s="37"/>
      <c r="K2" s="37"/>
      <c r="L2" s="37" t="s">
        <v>39</v>
      </c>
      <c r="M2" s="37"/>
      <c r="N2" s="37"/>
      <c r="O2" s="37"/>
      <c r="P2" s="23" t="s">
        <v>38</v>
      </c>
      <c r="Q2" s="24"/>
      <c r="R2" s="24"/>
      <c r="S2" s="51" t="s">
        <v>39</v>
      </c>
      <c r="T2" s="25"/>
      <c r="U2" s="25"/>
      <c r="V2" s="25"/>
      <c r="W2" s="30" t="s">
        <v>38</v>
      </c>
      <c r="X2" s="31"/>
      <c r="Y2" s="31"/>
      <c r="Z2" s="52" t="s">
        <v>41</v>
      </c>
      <c r="AA2" s="32"/>
      <c r="AB2" s="32"/>
      <c r="AC2" s="32"/>
    </row>
    <row r="3" ht="15.75" customHeight="1">
      <c r="A3" s="160" t="str">
        <f>IFERROR(__xludf.DUMMYFUNCTION("UNIQUE(FLATTEN('Primary - GRADING'!B4:B997,'Primary - GRADING'!C4:C997))"),"A")</f>
        <v>A</v>
      </c>
      <c r="B3" s="160" t="str">
        <f t="shared" ref="B3:B253" si="1">IFS(AND($E3:$E997="UP",COUNTIFS($AI$3:$AI997,A3,$AO$3:$AO997,"UP")&gt;0),"BEST", AND($E3:$E997="UP",COUNTIFS($AJ$3:$AJ997,A3,$AO$3:$AO997,"DOWN")&gt;0),"BEST", AND($E3:$E997="UP",COUNTIFS($AI$3:$AI997,A3,$AO$3:$AO997,"UP")=0),"BETTER THAN SOC",E3:E997="STAY","NOT DIFFERENT THAN SOC", AND($E3:$E997="DOWN",COUNTIFS($AV$3:$AV997,A3,$BB$3:$BB997,"DOWN")&gt;0),"WORST", AND($E3:$E997="DOWN",COUNTIFS($AW$3:$AW997,A3,$BB$3:$BB997,"UP")&gt;0),"WORST", AND($E3:$E997="DOWN",COUNTIFS($AV$3:$AV997,A3,$BB$3:$BB997,"DOWN")=0),"HARMFUL")</f>
        <v>NOT DIFFERENT THAN SOC</v>
      </c>
      <c r="C3" s="160" t="str">
        <f t="shared" ref="C3:C253" si="2">IFS(H3="NMA",O3,H3="DIRECT",V3,H3="INDIRECT",AC3)</f>
        <v>VERY LOW</v>
      </c>
      <c r="D3" s="160">
        <f t="shared" ref="D3:D253" si="3">IFS(C3="HIGH",1,C3="MODERATE",2,C3="LOW",3,C3="VERY LOW",4)</f>
        <v>4</v>
      </c>
      <c r="E3" s="161" t="str">
        <f t="shared" ref="E3:E253" si="4">IFS(AND(H3="NMA",M3*N3&gt;0,K3&lt;1),"UP",AND(H3="NMA",M3*N3&gt;0,K3&gt;1),"DOWN",AND(H3="NMA",M3*N3&lt;=0),"STAY",AND(H3="DIRECT",T3*U3&gt;0,R3&lt;1),"UP",AND(H3="DIRECT",T3*U3&gt;0,R3&gt;1),"DOWN",AND(H3="DIRECT",T3*U3&lt;=0),"STAY", AND(H3="INDIRECT",AA3*AB3&gt;0,Y3&lt;1),"UP",AND(H3="INDIRECT",AA3*AB3&gt;0,Y3&gt;1),"DOWN",AND(H3="INDIRECT",AA3*AB3&lt;=0),"STAY")</f>
        <v>STAY</v>
      </c>
      <c r="F3" s="153" t="str">
        <f t="shared" ref="F3:F6" si="5">IFS(H:H="NMA",CONCATENATE(ROUND(I3, 2)," (",ROUND(J3, 2), " to ",ROUND(K3, 2), ")"),H:H="Direct",CONCATENATE(ROUND(P3, 2), " (",ROUND(Q3, 2), " to ",ROUND(R3, 2), ")"),H:H="Indirect",CONCATENATE(ROUND(W3, 2), " (",ROUND(X3, 2), " to ",ROUND(Y3, 2), ")"))</f>
        <v>2.85 (0.09 to 87.32)</v>
      </c>
      <c r="G3" s="153" t="str">
        <f t="shared" ref="G3:G253" si="6">IFS(H:H="NMA",CONCATENATE(ROUND(L3, 2), " (",ROUND(M3, 2), " to ",ROUND(N3, 2), ")"),H:H="Direct",CONCATENATE(ROUND(S3, 2), " (",ROUND(T3, 2), " to ",ROUND(U3, 2), ")"),H:H="Indirect",CONCATENATE(ROUND(Z3, 2), " (",ROUND(AA3, 2), " to ",ROUND(AB3, 2), ")"))</f>
        <v>54.59 (-29.15 to 712)</v>
      </c>
      <c r="H3" s="156" t="str">
        <f t="array" ref="H3">INDEX('Primary - GRADING'!$A$1:$CP997,MATCH($A3,'Primary - GRADING'!$CP:$CP,0),59)</f>
        <v>NMA</v>
      </c>
      <c r="I3" s="162">
        <f t="array" ref="I3">INDEX('Primary - GRADING'!$A$1:$CP997,MATCH($A3,'Primary - GRADING'!$CP:$CP,0),48)</f>
        <v>2.853658537</v>
      </c>
      <c r="J3" s="162">
        <f t="array" ref="J3">INDEX('Primary - GRADING'!$A$1:$CP997,MATCH($A3,'Primary - GRADING'!$CP:$CP,0),49)</f>
        <v>0.09325099481</v>
      </c>
      <c r="K3" s="162">
        <f t="array" ref="K3">INDEX('Primary - GRADING'!$A$1:$CP997,MATCH($A3,'Primary - GRADING'!$CP:$CP,0),50)</f>
        <v>87.32499833</v>
      </c>
      <c r="L3" s="163">
        <f t="array" ref="L3">INDEX('Primary - GRADING'!$A$1:$CP997,MATCH($A3,'Primary - GRADING'!$CP:$CP,0),51)</f>
        <v>54.58989149</v>
      </c>
      <c r="M3" s="163">
        <f t="array" ref="M3">INDEX('Primary - GRADING'!$A$1:$CP997,MATCH($A3,'Primary - GRADING'!$CP:$CP,0),52)</f>
        <v>-29.15246897</v>
      </c>
      <c r="N3" s="163">
        <f t="array" ref="N3">INDEX('Primary - GRADING'!$A$1:$CP997,MATCH($A3,'Primary - GRADING'!$CP:$CP,0),53)</f>
        <v>712.0031375</v>
      </c>
      <c r="O3" s="164" t="str">
        <f t="array" ref="O3">INDEX('Primary - GRADING'!$A$1:$CP997,MATCH($A3,'Primary - GRADING'!$CP:$CP,0),58)</f>
        <v>VERY LOW</v>
      </c>
      <c r="P3" s="163">
        <f t="array" ref="P3">INDEX('Primary - GRADING'!$A$1:$CP997,MATCH($A3,'Primary - GRADING'!$CP:$CP,0),5)</f>
        <v>2.853658537</v>
      </c>
      <c r="Q3" s="163">
        <f t="array" ref="Q3">INDEX('Primary - GRADING'!$A$1:$CP997,MATCH($A3,'Primary - GRADING'!$CP:$CP,0),6)</f>
        <v>0.09325099481</v>
      </c>
      <c r="R3" s="163">
        <f t="array" ref="R3">INDEX('Primary - GRADING'!$A$1:$CP997,MATCH($A3,'Primary - GRADING'!$CP:$CP,0),7)</f>
        <v>87.32499833</v>
      </c>
      <c r="S3" s="164">
        <f t="array" ref="S3">INDEX('Primary - GRADING'!$A$1:$CP997,MATCH($A3,'Primary - GRADING'!$CP:$CP,0),8)</f>
        <v>54.58989149</v>
      </c>
      <c r="T3" s="164">
        <f t="array" ref="T3">INDEX('Primary - GRADING'!$A$1:$CP997,MATCH($A3,'Primary - GRADING'!$CP:$CP,0),9)</f>
        <v>-29.15246897</v>
      </c>
      <c r="U3" s="164">
        <f t="array" ref="U3">INDEX('Primary - GRADING'!$A$1:$CP997,MATCH($A3,'Primary - GRADING'!$CP:$CP,0),10)</f>
        <v>712.0031375</v>
      </c>
      <c r="V3" s="163" t="str">
        <f t="array" ref="V3">INDEX('Primary - GRADING'!$A$1:$CP997,MATCH($A3,'Primary - GRADING'!$CP:$CP,0),18)</f>
        <v>VERY LOW</v>
      </c>
      <c r="W3" s="163" t="str">
        <f t="array" ref="W3">INDEX('Primary - GRADING'!$A$1:$CP997,MATCH($A3,'Primary - GRADING'!$CP:$CP,0),20)</f>
        <v>NA</v>
      </c>
      <c r="X3" s="163" t="str">
        <f t="array" ref="X3">INDEX('Primary - GRADING'!$A$1:$CP997,MATCH($A3,'Primary - GRADING'!$CP:$CP,0),21)</f>
        <v>NA</v>
      </c>
      <c r="Y3" s="163" t="str">
        <f t="array" ref="Y3">INDEX('Primary - GRADING'!$A$1:$CP997,MATCH($A3,'Primary - GRADING'!$CP:$CP,0),22)</f>
        <v>NA</v>
      </c>
      <c r="Z3" s="165" t="str">
        <f t="array" ref="Z3">INDEX('Primary - GRADING'!$A$1:$CP997,MATCH($A3,'Primary - GRADING'!$CP:$CP,0),23)</f>
        <v>NA</v>
      </c>
      <c r="AA3" s="163" t="str">
        <f t="array" ref="AA3">INDEX('Primary - GRADING'!$A$1:$CP997,MATCH($A3,'Primary - GRADING'!$CP:$CP,0),24)</f>
        <v>NA</v>
      </c>
      <c r="AB3" s="163" t="str">
        <f t="array" ref="AB3">INDEX('Primary - GRADING'!$A$1:$CP997,MATCH($A3,'Primary - GRADING'!$CP:$CP,0),25)</f>
        <v>NA</v>
      </c>
      <c r="AC3" s="163" t="str">
        <f t="array" ref="AC3">INDEX('Primary - GRADING'!$A$1:$CP997,MATCH($A3,'Primary - GRADING'!$CP:$CP,0),46)</f>
        <v>NA</v>
      </c>
      <c r="AD3" s="156" t="str">
        <f>IFERROR(__xludf.DUMMYFUNCTION("FILTER(A:A,(E:E=""UP""))"),"B")</f>
        <v>B</v>
      </c>
      <c r="AE3" s="153">
        <f>IFERROR(__xludf.DUMMYFUNCTION("FILTER('Primary - GRADING'!$A$4:$A997,ISNUMBER(MATCH('Primary - GRADING'!$B$4:$B997,AD3:AD50,0)))"),2.0)</f>
        <v>2</v>
      </c>
      <c r="AF3" s="153">
        <f>IFERROR(__xludf.DUMMYFUNCTION("FILTER('Primary - GRADING'!$A$4:$A997, ISNUMBER(MATCH('Primary - GRADING'!$C$4:$C997,AD3:AD50,0)))"),5.0)</f>
        <v>5</v>
      </c>
      <c r="AG3" s="153" t="str">
        <f t="shared" ref="AG3:AG459" si="7">INDEX($AE$3:$AF997,MATCH(AE3,$AF$3:$AF997,0),2)</f>
        <v>#N/A</v>
      </c>
      <c r="AH3" s="153" t="str">
        <f>IFERROR(__xludf.DUMMYFUNCTION("FILTER(AG3:AG997,AG3:AG997&gt;0)"),"#N/A")</f>
        <v>#N/A</v>
      </c>
      <c r="AI3" s="153" t="str">
        <f>VLOOKUP(AH3,'Primary - GRADING'!$A$4:$C997,2,)</f>
        <v>#N/A</v>
      </c>
      <c r="AJ3" s="153" t="str">
        <f>VLOOKUP(AH3,'Primary - GRADING'!$A$4:$C997,3,)</f>
        <v>#N/A</v>
      </c>
      <c r="AK3" s="153" t="str">
        <f>VLOOKUP(AH3,'Primary - GRADING'!$A$4:$BG997,59,)</f>
        <v>#N/A</v>
      </c>
      <c r="AL3" s="153" t="str">
        <f>IFS(AK3="NMA",VLOOKUP(AH3,'Primary - GRADING'!$A$4:$BG997,51,),AK3="DIRECT",VLOOKUP(AH3,'Primary - GRADING'!$A$4:$BG997,8,),AK3="INDIRECT",VLOOKUP(AH3,'Primary - GRADING'!$A$4:$BG997,23,))</f>
        <v>#N/A</v>
      </c>
      <c r="AM3" s="153" t="str">
        <f>IFS(AK3="NMA",VLOOKUP(AH3,'Primary - GRADING'!$A$4:$BG997,52,),AK3="DIRECT",VLOOKUP(AH3,'Primary - GRADING'!$A$4:$BG997,9,),AK3="INDIRECT",VLOOKUP(AH3,'Primary - GRADING'!$A$4:$BG997,24,))</f>
        <v>#N/A</v>
      </c>
      <c r="AN3" s="153" t="str">
        <f>IFS(AK3="NMA",VLOOKUP(AH3,'Primary - GRADING'!$A$4:$BG997,53,),AK3="DIRECT",VLOOKUP(AH3,'Primary - GRADING'!$A$4:$BG997,10,),AK3="INDIRECT",VLOOKUP(AH3,'Primary - GRADING'!$A$4:$BG997,25,))</f>
        <v>#N/A</v>
      </c>
      <c r="AO3" s="153" t="str">
        <f t="shared" ref="AO3:AO253" si="8">IFS(AND(AM3*AN3&gt;0,AL3&lt;0),"UP",AND(AM3*AN3&gt;0,AL3&gt;0),"DOWN",AND(AM3*AN3&lt;=0),"STAY")</f>
        <v>#N/A</v>
      </c>
      <c r="AQ3" s="156" t="str">
        <f>IFERROR(__xludf.DUMMYFUNCTION("FILTER(A:A,(E:E=""DOWN""))"),"#N/A")</f>
        <v>#N/A</v>
      </c>
      <c r="AR3" s="153" t="str">
        <f>IFERROR(__xludf.DUMMYFUNCTION("FILTER('Primary - GRADING'!$A$4:$A997,ISNUMBER(MATCH('Primary - GRADING'!$B$4:$B997,AQ3:AQ10,0)))"),"#N/A")</f>
        <v>#N/A</v>
      </c>
      <c r="AS3" s="153" t="str">
        <f>IFERROR(__xludf.DUMMYFUNCTION("FILTER('Primary - GRADING'!$A$4:$A997, ISNUMBER(MATCH('Primary - GRADING'!$C$4:$C997,AQ3:AQ10,0)))"),"#N/A")</f>
        <v>#N/A</v>
      </c>
      <c r="AT3" s="153" t="str">
        <f t="shared" ref="AT3:AT253" si="9">INDEX($AR$3:$AS997,MATCH(AR3,$AS$3:$AS997,0),2)</f>
        <v>#N/A</v>
      </c>
      <c r="AU3" s="153" t="str">
        <f>IFERROR(__xludf.DUMMYFUNCTION("FILTER(AT3:AT997,AT3:AT997&gt;0)"),"#N/A")</f>
        <v>#N/A</v>
      </c>
      <c r="AV3" s="153" t="str">
        <f>VLOOKUP(AU3,'Primary - GRADING'!$A$4:$C997,2,)</f>
        <v>#N/A</v>
      </c>
      <c r="AW3" s="153" t="str">
        <f>VLOOKUP(AU3,'Primary - GRADING'!$A$4:$C997,3,)</f>
        <v>#N/A</v>
      </c>
      <c r="AX3" s="153" t="str">
        <f>VLOOKUP(AU3,'Primary - GRADING'!$A$4:$BG997,59,)</f>
        <v>#N/A</v>
      </c>
      <c r="AY3" s="153" t="str">
        <f>IFS(AX3="NMA",VLOOKUP(AU3,'Primary - GRADING'!$A$4:$BG997,51,),AX3="DIRECT",VLOOKUP(AU3,'Primary - GRADING'!$A$4:$BG997,8,),AX3="INDIRECT",VLOOKUP(AU3,'Primary - GRADING'!$A$4:$BG997,23,))</f>
        <v>#N/A</v>
      </c>
      <c r="AZ3" s="153" t="str">
        <f>IFS(AX3="NMA",VLOOKUP(AU3,'Primary - GRADING'!$A$4:$BG997,52,),AX3="DIRECT",VLOOKUP(AU3,'Primary - GRADING'!$A$4:$BG997,9,),AX3="INDIRECT",VLOOKUP(AU3,'Primary - GRADING'!$A$4:$BG997,24,))</f>
        <v>#N/A</v>
      </c>
      <c r="BA3" s="153" t="str">
        <f>IFS(AX3="NMA",VLOOKUP(AU3,'Primary - GRADING'!$A$4:$BG997,53,),AX3="DIRECT",VLOOKUP(AU3,'Primary - GRADING'!$A$4:$BG997,10,),AX3="INDIRECT",VLOOKUP(AU3,'Primary - GRADING'!$A$4:$BG997,25,))</f>
        <v>#N/A</v>
      </c>
      <c r="BB3" s="153" t="str">
        <f t="shared" ref="BB3:BB253" si="10">IFS(AND(AZ3*BA3&gt;0,AY3&lt;0),"UP",AND(AZ3*BA3&gt;0,AY3&gt;0),"DOWN",AND(AZ3*BA3&lt;=0),"STAY")</f>
        <v>#N/A</v>
      </c>
      <c r="BD3" s="153" t="str">
        <f>IFERROR(__xludf.DUMMYFUNCTION("IFERROR(FILTER(A3:A997,B3:B997=""BEST""),""None"")"),"None")</f>
        <v>None</v>
      </c>
      <c r="BE3" s="153" t="str">
        <f t="shared" ref="BE3:BE253" si="11">IFERROR(INDEX($A$3:$D997,MATCH(BD3,$A$3:$A997,0),4),"")</f>
        <v/>
      </c>
      <c r="BF3" s="153" t="str">
        <f>IFERROR(__xludf.DUMMYFUNCTION("IFERROR(FILTER(A3:A997,B3:B997=""BETTER THAN SOC""),""None"")"),"B")</f>
        <v>B</v>
      </c>
      <c r="BG3" s="153">
        <f t="shared" ref="BG3:BG253" si="12">INDEX($A$3:$D997,MATCH(BF3,$A$3:$A997,0),4)</f>
        <v>3</v>
      </c>
      <c r="BH3" s="153" t="str">
        <f>IFERROR(__xludf.DUMMYFUNCTION("IFERROR(FILTER(A3:A997,B3:B997=""NOT DIFFERENT THAN SOC""),""None"")"),"A")</f>
        <v>A</v>
      </c>
      <c r="BI3" s="153">
        <f t="shared" ref="BI3:BI253" si="13">INDEX($A$3:$D997,MATCH(BH3,$A$3:$A997,0),4)</f>
        <v>4</v>
      </c>
      <c r="BJ3" s="153" t="str">
        <f>IFERROR(__xludf.DUMMYFUNCTION("IFERROR(FILTER(A3:A997,B3:B997=""HARMFUL""),""None"")"),"None")</f>
        <v>None</v>
      </c>
      <c r="BK3" s="153" t="str">
        <f t="shared" ref="BK3:BK253" si="14">INDEX($A$3:$D997,MATCH(BJ3,$A$3:$A997,0),4)</f>
        <v>#N/A</v>
      </c>
      <c r="BL3" s="153" t="str">
        <f>IFERROR(__xludf.DUMMYFUNCTION("IFERROR(FILTER(A3:A997,B3:B997=""WORST""),""None"")"),"None")</f>
        <v>None</v>
      </c>
      <c r="BM3" s="153" t="str">
        <f t="shared" ref="BM3:BM253" si="15">INDEX($A$3:$D997,MATCH(BL3,$A$3:$A997,0),4)</f>
        <v>#N/A</v>
      </c>
    </row>
    <row r="4" ht="15.75" customHeight="1">
      <c r="A4" s="166" t="str">
        <f>IFERROR(__xludf.DUMMYFUNCTION("""COMPUTED_VALUE"""),"B")</f>
        <v>B</v>
      </c>
      <c r="B4" s="160" t="str">
        <f t="shared" si="1"/>
        <v>BETTER THAN SOC</v>
      </c>
      <c r="C4" s="160" t="str">
        <f t="shared" si="2"/>
        <v>LOW</v>
      </c>
      <c r="D4" s="160">
        <f t="shared" si="3"/>
        <v>3</v>
      </c>
      <c r="E4" s="161" t="str">
        <f t="shared" si="4"/>
        <v>UP</v>
      </c>
      <c r="F4" s="153" t="str">
        <f t="shared" si="5"/>
        <v>0.5 (0.32 to 0.78)</v>
      </c>
      <c r="G4" s="153" t="str">
        <f t="shared" si="6"/>
        <v>-15.53 (-21.72 to -7.23)</v>
      </c>
      <c r="H4" s="156" t="str">
        <f t="array" ref="H4">INDEX('Primary - GRADING'!$A$1:$CP997,MATCH($A4,'Primary - GRADING'!$CP:$CP,0),59)</f>
        <v>NMA</v>
      </c>
      <c r="I4" s="162">
        <f t="array" ref="I4">INDEX('Primary - GRADING'!$A$1:$CP997,MATCH($A4,'Primary - GRADING'!$CP:$CP,0),48)</f>
        <v>0.4977337418</v>
      </c>
      <c r="J4" s="162">
        <f t="array" ref="J4">INDEX('Primary - GRADING'!$A$1:$CP997,MATCH($A4,'Primary - GRADING'!$CP:$CP,0),49)</f>
        <v>0.3169408866</v>
      </c>
      <c r="K4" s="162">
        <f t="array" ref="K4">INDEX('Primary - GRADING'!$A$1:$CP997,MATCH($A4,'Primary - GRADING'!$CP:$CP,0),50)</f>
        <v>0.7773302397</v>
      </c>
      <c r="L4" s="163">
        <f t="array" ref="L4">INDEX('Primary - GRADING'!$A$1:$CP997,MATCH($A4,'Primary - GRADING'!$CP:$CP,0),51)</f>
        <v>-15.53490787</v>
      </c>
      <c r="M4" s="163">
        <f t="array" ref="M4">INDEX('Primary - GRADING'!$A$1:$CP997,MATCH($A4,'Primary - GRADING'!$CP:$CP,0),52)</f>
        <v>-21.72482218</v>
      </c>
      <c r="N4" s="163">
        <f t="array" ref="N4">INDEX('Primary - GRADING'!$A$1:$CP997,MATCH($A4,'Primary - GRADING'!$CP:$CP,0),53)</f>
        <v>-7.230056057</v>
      </c>
      <c r="O4" s="164" t="str">
        <f t="array" ref="O4">INDEX('Primary - GRADING'!$A$1:$CP997,MATCH($A4,'Primary - GRADING'!$CP:$CP,0),58)</f>
        <v>LOW</v>
      </c>
      <c r="P4" s="163">
        <f t="array" ref="P4">INDEX('Primary - GRADING'!$A$1:$CP997,MATCH($A4,'Primary - GRADING'!$CP:$CP,0),5)</f>
        <v>0.5234362673</v>
      </c>
      <c r="Q4" s="163">
        <f t="array" ref="Q4">INDEX('Primary - GRADING'!$A$1:$CP997,MATCH($A4,'Primary - GRADING'!$CP:$CP,0),6)</f>
        <v>0.3287666472</v>
      </c>
      <c r="R4" s="163">
        <f t="array" ref="R4">INDEX('Primary - GRADING'!$A$1:$CP997,MATCH($A4,'Primary - GRADING'!$CP:$CP,0),7)</f>
        <v>0.8375258433</v>
      </c>
      <c r="S4" s="164">
        <f t="array" ref="S4">INDEX('Primary - GRADING'!$A$1:$CP997,MATCH($A4,'Primary - GRADING'!$CP:$CP,0),8)</f>
        <v>-15.10589336</v>
      </c>
      <c r="T4" s="164">
        <f t="array" ref="T4">INDEX('Primary - GRADING'!$A$1:$CP997,MATCH($A4,'Primary - GRADING'!$CP:$CP,0),9)</f>
        <v>-21.41297253</v>
      </c>
      <c r="U4" s="164">
        <f t="array" ref="U4">INDEX('Primary - GRADING'!$A$1:$CP997,MATCH($A4,'Primary - GRADING'!$CP:$CP,0),10)</f>
        <v>-5.097587337</v>
      </c>
      <c r="V4" s="163" t="str">
        <f t="array" ref="V4">INDEX('Primary - GRADING'!$A$1:$CP997,MATCH($A4,'Primary - GRADING'!$CP:$CP,0),18)</f>
        <v>LOW</v>
      </c>
      <c r="W4" s="163">
        <f t="array" ref="W4">INDEX('Primary - GRADING'!$A$1:$CP997,MATCH($A4,'Primary - GRADING'!$CP:$CP,0),20)</f>
        <v>0.3508532532</v>
      </c>
      <c r="X4" s="163">
        <f t="array" ref="X4">INDEX('Primary - GRADING'!$A$1:$CP997,MATCH($A4,'Primary - GRADING'!$CP:$CP,0),21)</f>
        <v>0.06448544887</v>
      </c>
      <c r="Y4" s="163">
        <f t="array" ref="Y4">INDEX('Primary - GRADING'!$A$1:$CP997,MATCH($A4,'Primary - GRADING'!$CP:$CP,0),22)</f>
        <v>1.800302833</v>
      </c>
      <c r="Z4" s="165">
        <f t="array" ref="Z4">INDEX('Primary - GRADING'!$A$1:$CP997,MATCH($A4,'Primary - GRADING'!$CP:$CP,0),23)</f>
        <v>-20.69332305</v>
      </c>
      <c r="AA4" s="163">
        <f t="array" ref="AA4">INDEX('Primary - GRADING'!$A$1:$CP997,MATCH($A4,'Primary - GRADING'!$CP:$CP,0),24)</f>
        <v>-30.10606757</v>
      </c>
      <c r="AB4" s="163">
        <f t="array" ref="AB4">INDEX('Primary - GRADING'!$A$1:$CP997,MATCH($A4,'Primary - GRADING'!$CP:$CP,0),25)</f>
        <v>24.34928028</v>
      </c>
      <c r="AC4" s="163" t="str">
        <f t="array" ref="AC4">INDEX('Primary - GRADING'!$A$1:$CP997,MATCH($A4,'Primary - GRADING'!$CP:$CP,0),46)</f>
        <v>VERY LOW</v>
      </c>
      <c r="AE4" s="153">
        <f>IFERROR(__xludf.DUMMYFUNCTION("""COMPUTED_VALUE"""),8.0)</f>
        <v>8</v>
      </c>
      <c r="AG4" s="153" t="str">
        <f t="shared" si="7"/>
        <v>#N/A</v>
      </c>
      <c r="AI4" s="153" t="str">
        <f>VLOOKUP(AH4,'Primary - GRADING'!$A$4:$C997,2,)</f>
        <v>#N/A</v>
      </c>
      <c r="AJ4" s="153" t="str">
        <f>VLOOKUP(AH4,'Primary - GRADING'!$A$4:$C997,3,)</f>
        <v>#N/A</v>
      </c>
      <c r="AK4" s="153" t="str">
        <f>VLOOKUP(AH4,'Primary - GRADING'!$A$4:$BG997,59,)</f>
        <v>#N/A</v>
      </c>
      <c r="AL4" s="153" t="str">
        <f>IFS(AK4="NMA",VLOOKUP(AH4,'Primary - GRADING'!$A$4:$BG997,51,),AK4="DIRECT",VLOOKUP(AH4,'Primary - GRADING'!$A$4:$BG997,8,),AK4="INDIRECT",VLOOKUP(AH4,'Primary - GRADING'!$A$4:$BG997,23,))</f>
        <v>#N/A</v>
      </c>
      <c r="AM4" s="153" t="str">
        <f>IFS(AK4="NMA",VLOOKUP(AH4,'Primary - GRADING'!$A$4:$BG997,52,),AK4="DIRECT",VLOOKUP(AH4,'Primary - GRADING'!$A$4:$BG997,9,),AK4="INDIRECT",VLOOKUP(AH4,'Primary - GRADING'!$A$4:$BG997,24,))</f>
        <v>#N/A</v>
      </c>
      <c r="AN4" s="153" t="str">
        <f>IFS(AK4="NMA",VLOOKUP(AH4,'Primary - GRADING'!$A$4:$BG997,53,),AK4="DIRECT",VLOOKUP(AH4,'Primary - GRADING'!$A$4:$BG997,10,),AK4="INDIRECT",VLOOKUP(AH4,'Primary - GRADING'!$A$4:$BG997,25,))</f>
        <v>#N/A</v>
      </c>
      <c r="AO4" s="153" t="str">
        <f t="shared" si="8"/>
        <v>#N/A</v>
      </c>
      <c r="AT4" s="153" t="str">
        <f t="shared" si="9"/>
        <v>#N/A</v>
      </c>
      <c r="AV4" s="153" t="str">
        <f>VLOOKUP(AU4,'Primary - GRADING'!$A$4:$C997,2,)</f>
        <v>#N/A</v>
      </c>
      <c r="AW4" s="153" t="str">
        <f>VLOOKUP(AU4,'Primary - GRADING'!$A$4:$C997,3,)</f>
        <v>#N/A</v>
      </c>
      <c r="AX4" s="153" t="str">
        <f>VLOOKUP(AU4,'Primary - GRADING'!$A$4:$BG997,59,)</f>
        <v>#N/A</v>
      </c>
      <c r="AY4" s="153" t="str">
        <f>IFS(AX4="NMA",VLOOKUP(AU4,'Primary - GRADING'!$A$4:$BG997,51,),AX4="DIRECT",VLOOKUP(AU4,'Primary - GRADING'!$A$4:$BG997,8,),AX4="INDIRECT",VLOOKUP(AU4,'Primary - GRADING'!$A$4:$BG997,23,))</f>
        <v>#N/A</v>
      </c>
      <c r="AZ4" s="153" t="str">
        <f>IFS(AX4="NMA",VLOOKUP(AU4,'Primary - GRADING'!$A$4:$BG997,52,),AX4="DIRECT",VLOOKUP(AU4,'Primary - GRADING'!$A$4:$BG997,9,),AX4="INDIRECT",VLOOKUP(AU4,'Primary - GRADING'!$A$4:$BG997,24,))</f>
        <v>#N/A</v>
      </c>
      <c r="BA4" s="153" t="str">
        <f>IFS(AX4="NMA",VLOOKUP(AU4,'Primary - GRADING'!$A$4:$BG997,53,),AX4="DIRECT",VLOOKUP(AU4,'Primary - GRADING'!$A$4:$BG997,10,),AX4="INDIRECT",VLOOKUP(AU4,'Primary - GRADING'!$A$4:$BG997,25,))</f>
        <v>#N/A</v>
      </c>
      <c r="BB4" s="153" t="str">
        <f t="shared" si="10"/>
        <v>#N/A</v>
      </c>
      <c r="BE4" s="153" t="str">
        <f t="shared" si="11"/>
        <v/>
      </c>
      <c r="BG4" s="153" t="str">
        <f t="shared" si="12"/>
        <v>#N/A</v>
      </c>
      <c r="BH4" s="153" t="str">
        <f>IFERROR(__xludf.DUMMYFUNCTION("""COMPUTED_VALUE"""),"C")</f>
        <v>C</v>
      </c>
      <c r="BI4" s="153">
        <f t="shared" si="13"/>
        <v>4</v>
      </c>
      <c r="BK4" s="153" t="str">
        <f t="shared" si="14"/>
        <v>#N/A</v>
      </c>
      <c r="BM4" s="153" t="str">
        <f t="shared" si="15"/>
        <v>#N/A</v>
      </c>
    </row>
    <row r="5" ht="15.75" customHeight="1">
      <c r="A5" s="90" t="str">
        <f>IFERROR(__xludf.DUMMYFUNCTION("""COMPUTED_VALUE"""),"C")</f>
        <v>C</v>
      </c>
      <c r="B5" s="160" t="str">
        <f t="shared" si="1"/>
        <v>NOT DIFFERENT THAN SOC</v>
      </c>
      <c r="C5" s="160" t="str">
        <f t="shared" si="2"/>
        <v>VERY LOW</v>
      </c>
      <c r="D5" s="160">
        <f t="shared" si="3"/>
        <v>4</v>
      </c>
      <c r="E5" s="161" t="str">
        <f t="shared" si="4"/>
        <v>STAY</v>
      </c>
      <c r="F5" s="153" t="str">
        <f t="shared" si="5"/>
        <v>1.49 (0.69 to 3.41)</v>
      </c>
      <c r="G5" s="153" t="str">
        <f t="shared" si="6"/>
        <v>18.54 (-9.83 to 67.39)</v>
      </c>
      <c r="H5" s="156" t="str">
        <f t="array" ref="H5">INDEX('Primary - GRADING'!$A$1:$CP997,MATCH($A5,'Primary - GRADING'!$CP:$CP,0),59)</f>
        <v>NMA</v>
      </c>
      <c r="I5" s="162">
        <f t="array" ref="I5">INDEX('Primary - GRADING'!$A$1:$CP997,MATCH($A5,'Primary - GRADING'!$CP:$CP,0),48)</f>
        <v>1.490736063</v>
      </c>
      <c r="J5" s="162">
        <f t="array" ref="J5">INDEX('Primary - GRADING'!$A$1:$CP997,MATCH($A5,'Primary - GRADING'!$CP:$CP,0),49)</f>
        <v>0.686636664</v>
      </c>
      <c r="K5" s="162">
        <f t="array" ref="K5">INDEX('Primary - GRADING'!$A$1:$CP997,MATCH($A5,'Primary - GRADING'!$CP:$CP,0),50)</f>
        <v>3.408117207</v>
      </c>
      <c r="L5" s="163">
        <f t="array" ref="L5">INDEX('Primary - GRADING'!$A$1:$CP997,MATCH($A5,'Primary - GRADING'!$CP:$CP,0),51)</f>
        <v>18.544654</v>
      </c>
      <c r="M5" s="163">
        <f t="array" ref="M5">INDEX('Primary - GRADING'!$A$1:$CP997,MATCH($A5,'Primary - GRADING'!$CP:$CP,0),52)</f>
        <v>-9.826442944</v>
      </c>
      <c r="N5" s="163">
        <f t="array" ref="N5">INDEX('Primary - GRADING'!$A$1:$CP997,MATCH($A5,'Primary - GRADING'!$CP:$CP,0),53)</f>
        <v>67.39237485</v>
      </c>
      <c r="O5" s="164" t="str">
        <f t="array" ref="O5">INDEX('Primary - GRADING'!$A$1:$CP997,MATCH($A5,'Primary - GRADING'!$CP:$CP,0),58)</f>
        <v>VERY LOW</v>
      </c>
      <c r="P5" s="163">
        <f t="array" ref="P5">INDEX('Primary - GRADING'!$A$1:$CP997,MATCH($A5,'Primary - GRADING'!$CP:$CP,0),5)</f>
        <v>1.166666667</v>
      </c>
      <c r="Q5" s="163">
        <f t="array" ref="Q5">INDEX('Primary - GRADING'!$A$1:$CP997,MATCH($A5,'Primary - GRADING'!$CP:$CP,0),6)</f>
        <v>0.2254589283</v>
      </c>
      <c r="R5" s="163">
        <f t="array" ref="R5">INDEX('Primary - GRADING'!$A$1:$CP997,MATCH($A5,'Primary - GRADING'!$CP:$CP,0),7)</f>
        <v>6.036829773</v>
      </c>
      <c r="S5" s="164">
        <f t="array" ref="S5">INDEX('Primary - GRADING'!$A$1:$CP997,MATCH($A5,'Primary - GRADING'!$CP:$CP,0),8)</f>
        <v>5.17391622</v>
      </c>
      <c r="T5" s="164">
        <f t="array" ref="T5">INDEX('Primary - GRADING'!$A$1:$CP997,MATCH($A5,'Primary - GRADING'!$CP:$CP,0),9)</f>
        <v>-24.79301663</v>
      </c>
      <c r="U5" s="164">
        <f t="array" ref="U5">INDEX('Primary - GRADING'!$A$1:$CP997,MATCH($A5,'Primary - GRADING'!$CP:$CP,0),10)</f>
        <v>135.2338693</v>
      </c>
      <c r="V5" s="163" t="str">
        <f t="array" ref="V5">INDEX('Primary - GRADING'!$A$1:$CP997,MATCH($A5,'Primary - GRADING'!$CP:$CP,0),18)</f>
        <v>VERY LOW</v>
      </c>
      <c r="W5" s="163">
        <f t="array" ref="W5">INDEX('Primary - GRADING'!$A$1:$CP997,MATCH($A5,'Primary - GRADING'!$CP:$CP,0),20)</f>
        <v>1.721099551</v>
      </c>
      <c r="X5" s="163">
        <f t="array" ref="X5">INDEX('Primary - GRADING'!$A$1:$CP997,MATCH($A5,'Primary - GRADING'!$CP:$CP,0),21)</f>
        <v>0.6307816552</v>
      </c>
      <c r="Y5" s="163">
        <f t="array" ref="Y5">INDEX('Primary - GRADING'!$A$1:$CP997,MATCH($A5,'Primary - GRADING'!$CP:$CP,0),22)</f>
        <v>5.32198652</v>
      </c>
      <c r="Z5" s="165">
        <f t="array" ref="Z5">INDEX('Primary - GRADING'!$A$1:$CP997,MATCH($A5,'Primary - GRADING'!$CP:$CP,0),23)</f>
        <v>21.9942812</v>
      </c>
      <c r="AA5" s="163">
        <f t="array" ref="AA5">INDEX('Primary - GRADING'!$A$1:$CP997,MATCH($A5,'Primary - GRADING'!$CP:$CP,0),24)</f>
        <v>-11.66230529</v>
      </c>
      <c r="AB5" s="163">
        <f t="array" ref="AB5">INDEX('Primary - GRADING'!$A$1:$CP997,MATCH($A5,'Primary - GRADING'!$CP:$CP,0),25)</f>
        <v>118.3889808</v>
      </c>
      <c r="AC5" s="163" t="str">
        <f t="array" ref="AC5">INDEX('Primary - GRADING'!$A$1:$CP997,MATCH($A5,'Primary - GRADING'!$CP:$CP,0),46)</f>
        <v>VERY LOW</v>
      </c>
      <c r="AE5" s="153">
        <f>IFERROR(__xludf.DUMMYFUNCTION("""COMPUTED_VALUE"""),9.0)</f>
        <v>9</v>
      </c>
      <c r="AG5" s="153" t="str">
        <f t="shared" si="7"/>
        <v>#N/A</v>
      </c>
      <c r="AI5" s="153" t="str">
        <f>VLOOKUP(AH5,'Primary - GRADING'!$A$4:$C997,2,)</f>
        <v>#N/A</v>
      </c>
      <c r="AJ5" s="153" t="str">
        <f>VLOOKUP(AH5,'Primary - GRADING'!$A$4:$C997,3,)</f>
        <v>#N/A</v>
      </c>
      <c r="AK5" s="153" t="str">
        <f>VLOOKUP(AH5,'Primary - GRADING'!$A$4:$BG997,59,)</f>
        <v>#N/A</v>
      </c>
      <c r="AL5" s="153" t="str">
        <f>IFS(AK5="NMA",VLOOKUP(AH5,'Primary - GRADING'!$A$4:$BG997,51,),AK5="DIRECT",VLOOKUP(AH5,'Primary - GRADING'!$A$4:$BG997,8,),AK5="INDIRECT",VLOOKUP(AH5,'Primary - GRADING'!$A$4:$BG997,23,))</f>
        <v>#N/A</v>
      </c>
      <c r="AM5" s="153" t="str">
        <f>IFS(AK5="NMA",VLOOKUP(AH5,'Primary - GRADING'!$A$4:$BG997,52,),AK5="DIRECT",VLOOKUP(AH5,'Primary - GRADING'!$A$4:$BG997,9,),AK5="INDIRECT",VLOOKUP(AH5,'Primary - GRADING'!$A$4:$BG997,24,))</f>
        <v>#N/A</v>
      </c>
      <c r="AN5" s="153" t="str">
        <f>IFS(AK5="NMA",VLOOKUP(AH5,'Primary - GRADING'!$A$4:$BG997,53,),AK5="DIRECT",VLOOKUP(AH5,'Primary - GRADING'!$A$4:$BG997,10,),AK5="INDIRECT",VLOOKUP(AH5,'Primary - GRADING'!$A$4:$BG997,25,))</f>
        <v>#N/A</v>
      </c>
      <c r="AO5" s="153" t="str">
        <f t="shared" si="8"/>
        <v>#N/A</v>
      </c>
      <c r="AT5" s="153" t="str">
        <f t="shared" si="9"/>
        <v>#N/A</v>
      </c>
      <c r="AV5" s="153" t="str">
        <f>VLOOKUP(AU5,'Primary - GRADING'!$A$4:$C997,2,)</f>
        <v>#N/A</v>
      </c>
      <c r="AW5" s="153" t="str">
        <f>VLOOKUP(AU5,'Primary - GRADING'!$A$4:$C997,3,)</f>
        <v>#N/A</v>
      </c>
      <c r="AX5" s="153" t="str">
        <f>VLOOKUP(AU5,'Primary - GRADING'!$A$4:$BG997,59,)</f>
        <v>#N/A</v>
      </c>
      <c r="AY5" s="153" t="str">
        <f>IFS(AX5="NMA",VLOOKUP(AU5,'Primary - GRADING'!$A$4:$BG997,51,),AX5="DIRECT",VLOOKUP(AU5,'Primary - GRADING'!$A$4:$BG997,8,),AX5="INDIRECT",VLOOKUP(AU5,'Primary - GRADING'!$A$4:$BG997,23,))</f>
        <v>#N/A</v>
      </c>
      <c r="AZ5" s="153" t="str">
        <f>IFS(AX5="NMA",VLOOKUP(AU5,'Primary - GRADING'!$A$4:$BG997,52,),AX5="DIRECT",VLOOKUP(AU5,'Primary - GRADING'!$A$4:$BG997,9,),AX5="INDIRECT",VLOOKUP(AU5,'Primary - GRADING'!$A$4:$BG997,24,))</f>
        <v>#N/A</v>
      </c>
      <c r="BA5" s="153" t="str">
        <f>IFS(AX5="NMA",VLOOKUP(AU5,'Primary - GRADING'!$A$4:$BG997,53,),AX5="DIRECT",VLOOKUP(AU5,'Primary - GRADING'!$A$4:$BG997,10,),AX5="INDIRECT",VLOOKUP(AU5,'Primary - GRADING'!$A$4:$BG997,25,))</f>
        <v>#N/A</v>
      </c>
      <c r="BB5" s="153" t="str">
        <f t="shared" si="10"/>
        <v>#N/A</v>
      </c>
      <c r="BE5" s="153" t="str">
        <f t="shared" si="11"/>
        <v/>
      </c>
      <c r="BG5" s="153" t="str">
        <f t="shared" si="12"/>
        <v>#N/A</v>
      </c>
      <c r="BH5" s="153" t="str">
        <f>IFERROR(__xludf.DUMMYFUNCTION("""COMPUTED_VALUE"""),"D")</f>
        <v>D</v>
      </c>
      <c r="BI5" s="153">
        <f t="shared" si="13"/>
        <v>4</v>
      </c>
      <c r="BK5" s="153" t="str">
        <f t="shared" si="14"/>
        <v>#N/A</v>
      </c>
      <c r="BM5" s="153" t="str">
        <f t="shared" si="15"/>
        <v>#N/A</v>
      </c>
    </row>
    <row r="6" ht="15.75" customHeight="1">
      <c r="A6" s="160" t="str">
        <f>IFERROR(__xludf.DUMMYFUNCTION("""COMPUTED_VALUE"""),"D")</f>
        <v>D</v>
      </c>
      <c r="B6" s="160" t="str">
        <f t="shared" si="1"/>
        <v>NOT DIFFERENT THAN SOC</v>
      </c>
      <c r="C6" s="160" t="str">
        <f t="shared" si="2"/>
        <v>VERY LOW</v>
      </c>
      <c r="D6" s="160">
        <f t="shared" si="3"/>
        <v>4</v>
      </c>
      <c r="E6" s="161" t="str">
        <f t="shared" si="4"/>
        <v>STAY</v>
      </c>
      <c r="F6" s="167" t="str">
        <f t="shared" si="5"/>
        <v>1.01 (0.1 to 10.17)</v>
      </c>
      <c r="G6" s="167" t="str">
        <f t="shared" si="6"/>
        <v>0.41 (-28.9 to 220.88)</v>
      </c>
      <c r="H6" s="156" t="str">
        <f t="array" ref="H6">INDEX('Primary - GRADING'!$A$1:$CP997,MATCH($A6,'Primary - GRADING'!$CP:$CP,0),59)</f>
        <v>NMA</v>
      </c>
      <c r="I6" s="162">
        <f t="array" ref="I6">INDEX('Primary - GRADING'!$A$1:$CP997,MATCH($A6,'Primary - GRADING'!$CP:$CP,0),48)</f>
        <v>1.013071895</v>
      </c>
      <c r="J6" s="162">
        <f t="array" ref="J6">INDEX('Primary - GRADING'!$A$1:$CP997,MATCH($A6,'Primary - GRADING'!$CP:$CP,0),49)</f>
        <v>0.1009147277</v>
      </c>
      <c r="K6" s="162">
        <f t="array" ref="K6">INDEX('Primary - GRADING'!$A$1:$CP997,MATCH($A6,'Primary - GRADING'!$CP:$CP,0),50)</f>
        <v>10.17017255</v>
      </c>
      <c r="L6" s="163">
        <f t="array" ref="L6">INDEX('Primary - GRADING'!$A$1:$CP997,MATCH($A6,'Primary - GRADING'!$CP:$CP,0),51)</f>
        <v>0.4078066209</v>
      </c>
      <c r="M6" s="163">
        <f t="array" ref="M6">INDEX('Primary - GRADING'!$A$1:$CP997,MATCH($A6,'Primary - GRADING'!$CP:$CP,0),52)</f>
        <v>-28.8987181</v>
      </c>
      <c r="N6" s="163">
        <f t="array" ref="N6">INDEX('Primary - GRADING'!$A$1:$CP997,MATCH($A6,'Primary - GRADING'!$CP:$CP,0),53)</f>
        <v>220.8806462</v>
      </c>
      <c r="O6" s="164" t="str">
        <f t="array" ref="O6">INDEX('Primary - GRADING'!$A$1:$CP997,MATCH($A6,'Primary - GRADING'!$CP:$CP,0),58)</f>
        <v>VERY LOW</v>
      </c>
      <c r="P6" s="163">
        <f t="array" ref="P6">INDEX('Primary - GRADING'!$A$1:$CP997,MATCH($A6,'Primary - GRADING'!$CP:$CP,0),5)</f>
        <v>1.013071895</v>
      </c>
      <c r="Q6" s="163">
        <f t="array" ref="Q6">INDEX('Primary - GRADING'!$A$1:$CP997,MATCH($A6,'Primary - GRADING'!$CP:$CP,0),6)</f>
        <v>0.1009147277</v>
      </c>
      <c r="R6" s="163">
        <f t="array" ref="R6">INDEX('Primary - GRADING'!$A$1:$CP997,MATCH($A6,'Primary - GRADING'!$CP:$CP,0),7)</f>
        <v>10.17017255</v>
      </c>
      <c r="S6" s="164">
        <f t="array" ref="S6">INDEX('Primary - GRADING'!$A$1:$CP997,MATCH($A6,'Primary - GRADING'!$CP:$CP,0),8)</f>
        <v>0.4078066209</v>
      </c>
      <c r="T6" s="164">
        <f t="array" ref="T6">INDEX('Primary - GRADING'!$A$1:$CP997,MATCH($A6,'Primary - GRADING'!$CP:$CP,0),9)</f>
        <v>-28.8987181</v>
      </c>
      <c r="U6" s="164">
        <f t="array" ref="U6">INDEX('Primary - GRADING'!$A$1:$CP997,MATCH($A6,'Primary - GRADING'!$CP:$CP,0),10)</f>
        <v>220.8806462</v>
      </c>
      <c r="V6" s="163" t="str">
        <f t="array" ref="V6">INDEX('Primary - GRADING'!$A$1:$CP997,MATCH($A6,'Primary - GRADING'!$CP:$CP,0),18)</f>
        <v>VERY LOW</v>
      </c>
      <c r="W6" s="163" t="str">
        <f t="array" ref="W6">INDEX('Primary - GRADING'!$A$1:$CP997,MATCH($A6,'Primary - GRADING'!$CP:$CP,0),20)</f>
        <v>NA</v>
      </c>
      <c r="X6" s="163" t="str">
        <f t="array" ref="X6">INDEX('Primary - GRADING'!$A$1:$CP997,MATCH($A6,'Primary - GRADING'!$CP:$CP,0),21)</f>
        <v>NA</v>
      </c>
      <c r="Y6" s="163" t="str">
        <f t="array" ref="Y6">INDEX('Primary - GRADING'!$A$1:$CP997,MATCH($A6,'Primary - GRADING'!$CP:$CP,0),22)</f>
        <v>NA</v>
      </c>
      <c r="Z6" s="165" t="str">
        <f t="array" ref="Z6">INDEX('Primary - GRADING'!$A$1:$CP997,MATCH($A6,'Primary - GRADING'!$CP:$CP,0),23)</f>
        <v>NA</v>
      </c>
      <c r="AA6" s="163" t="str">
        <f t="array" ref="AA6">INDEX('Primary - GRADING'!$A$1:$CP997,MATCH($A6,'Primary - GRADING'!$CP:$CP,0),24)</f>
        <v>NA</v>
      </c>
      <c r="AB6" s="163" t="str">
        <f t="array" ref="AB6">INDEX('Primary - GRADING'!$A$1:$CP997,MATCH($A6,'Primary - GRADING'!$CP:$CP,0),25)</f>
        <v>NA</v>
      </c>
      <c r="AC6" s="163" t="str">
        <f t="array" ref="AC6">INDEX('Primary - GRADING'!$A$1:$CP997,MATCH($A6,'Primary - GRADING'!$CP:$CP,0),46)</f>
        <v>NA</v>
      </c>
      <c r="AG6" s="153" t="str">
        <f t="shared" si="7"/>
        <v>#N/A</v>
      </c>
      <c r="AI6" s="153" t="str">
        <f>VLOOKUP(AH6,'Primary - GRADING'!$A$4:$C997,2,)</f>
        <v>#N/A</v>
      </c>
      <c r="AJ6" s="153" t="str">
        <f>VLOOKUP(AH6,'Primary - GRADING'!$A$4:$C997,3,)</f>
        <v>#N/A</v>
      </c>
      <c r="AK6" s="153" t="str">
        <f>VLOOKUP(AH6,'Primary - GRADING'!$A$4:$BG997,59,)</f>
        <v>#N/A</v>
      </c>
      <c r="AL6" s="153" t="str">
        <f>IFS(AK6="NMA",VLOOKUP(AH6,'Primary - GRADING'!$A$4:$BG997,51,),AK6="DIRECT",VLOOKUP(AH6,'Primary - GRADING'!$A$4:$BG997,8,),AK6="INDIRECT",VLOOKUP(AH6,'Primary - GRADING'!$A$4:$BG997,23,))</f>
        <v>#N/A</v>
      </c>
      <c r="AM6" s="153" t="str">
        <f>IFS(AK6="NMA",VLOOKUP(AH6,'Primary - GRADING'!$A$4:$BG997,52,),AK6="DIRECT",VLOOKUP(AH6,'Primary - GRADING'!$A$4:$BG997,9,),AK6="INDIRECT",VLOOKUP(AH6,'Primary - GRADING'!$A$4:$BG997,24,))</f>
        <v>#N/A</v>
      </c>
      <c r="AN6" s="153" t="str">
        <f>IFS(AK6="NMA",VLOOKUP(AH6,'Primary - GRADING'!$A$4:$BG997,53,),AK6="DIRECT",VLOOKUP(AH6,'Primary - GRADING'!$A$4:$BG997,10,),AK6="INDIRECT",VLOOKUP(AH6,'Primary - GRADING'!$A$4:$BG997,25,))</f>
        <v>#N/A</v>
      </c>
      <c r="AO6" s="153" t="str">
        <f t="shared" si="8"/>
        <v>#N/A</v>
      </c>
      <c r="AT6" s="153" t="str">
        <f t="shared" si="9"/>
        <v>#N/A</v>
      </c>
      <c r="AV6" s="153" t="str">
        <f>VLOOKUP(AU6,'Primary - GRADING'!$A$4:$C997,2,)</f>
        <v>#N/A</v>
      </c>
      <c r="AW6" s="153" t="str">
        <f>VLOOKUP(AU6,'Primary - GRADING'!$A$4:$C997,3,)</f>
        <v>#N/A</v>
      </c>
      <c r="AX6" s="153" t="str">
        <f>VLOOKUP(AU6,'Primary - GRADING'!$A$4:$BG997,59,)</f>
        <v>#N/A</v>
      </c>
      <c r="AY6" s="153" t="str">
        <f>IFS(AX6="NMA",VLOOKUP(AU6,'Primary - GRADING'!$A$4:$BG997,51,),AX6="DIRECT",VLOOKUP(AU6,'Primary - GRADING'!$A$4:$BG997,8,),AX6="INDIRECT",VLOOKUP(AU6,'Primary - GRADING'!$A$4:$BG997,23,))</f>
        <v>#N/A</v>
      </c>
      <c r="AZ6" s="153" t="str">
        <f>IFS(AX6="NMA",VLOOKUP(AU6,'Primary - GRADING'!$A$4:$BG997,52,),AX6="DIRECT",VLOOKUP(AU6,'Primary - GRADING'!$A$4:$BG997,9,),AX6="INDIRECT",VLOOKUP(AU6,'Primary - GRADING'!$A$4:$BG997,24,))</f>
        <v>#N/A</v>
      </c>
      <c r="BA6" s="153" t="str">
        <f>IFS(AX6="NMA",VLOOKUP(AU6,'Primary - GRADING'!$A$4:$BG997,53,),AX6="DIRECT",VLOOKUP(AU6,'Primary - GRADING'!$A$4:$BG997,10,),AX6="INDIRECT",VLOOKUP(AU6,'Primary - GRADING'!$A$4:$BG997,25,))</f>
        <v>#N/A</v>
      </c>
      <c r="BB6" s="153" t="str">
        <f t="shared" si="10"/>
        <v>#N/A</v>
      </c>
      <c r="BE6" s="153" t="str">
        <f t="shared" si="11"/>
        <v/>
      </c>
      <c r="BG6" s="153" t="str">
        <f t="shared" si="12"/>
        <v>#N/A</v>
      </c>
      <c r="BI6" s="153" t="str">
        <f t="shared" si="13"/>
        <v>#N/A</v>
      </c>
      <c r="BK6" s="153" t="str">
        <f t="shared" si="14"/>
        <v>#N/A</v>
      </c>
      <c r="BM6" s="153" t="str">
        <f t="shared" si="15"/>
        <v>#N/A</v>
      </c>
    </row>
    <row r="7" ht="15.75" customHeight="1">
      <c r="A7" s="64"/>
      <c r="B7" s="160" t="str">
        <f t="shared" si="1"/>
        <v>#N/A</v>
      </c>
      <c r="C7" s="160" t="str">
        <f t="shared" si="2"/>
        <v>#N/A</v>
      </c>
      <c r="D7" s="160" t="str">
        <f t="shared" si="3"/>
        <v>#N/A</v>
      </c>
      <c r="E7" s="161" t="str">
        <f t="shared" si="4"/>
        <v>#N/A</v>
      </c>
      <c r="F7" s="153" t="str">
        <f t="shared" ref="F7:F8" si="16">IFS(H:H="NMA",CONCATENATE(ROUND(I7, 2)," (",ROUND(J7, 2), " to ",ROUND(K7, 2), ")"),H:H="Direct",CONCATENATE(ROUND(P7, 2), " (",ROUND(Q7, 2), " to ",ROUND(R7, 2), ")"),H:H="Indirect",CONCATENATE(ROUND(W7, 2), " (",ROUND(X7, 2), " to ",ROUND(Y7, 2), ")"))</f>
        <v>#N/A</v>
      </c>
      <c r="G7" s="153" t="str">
        <f t="shared" si="6"/>
        <v>#N/A</v>
      </c>
      <c r="H7" s="156" t="str">
        <f t="array" ref="H7">INDEX('Primary - GRADING'!$A$1:$CP997,MATCH($A7,'Primary - GRADING'!$CP:$CP,0),59)</f>
        <v>#N/A</v>
      </c>
      <c r="I7" s="153" t="str">
        <f t="array" ref="I7">INDEX('Primary - GRADING'!$A$1:$CP997,MATCH($A7,'Primary - GRADING'!$CP:$CP,0),48)</f>
        <v>#N/A</v>
      </c>
      <c r="J7" s="153" t="str">
        <f t="array" ref="J7">INDEX('Primary - GRADING'!$A$1:$CP997,MATCH($A7,'Primary - GRADING'!$CP:$CP,0),49)</f>
        <v>#N/A</v>
      </c>
      <c r="K7" s="153" t="str">
        <f t="array" ref="K7">INDEX('Primary - GRADING'!$A$1:$CP997,MATCH($A7,'Primary - GRADING'!$CP:$CP,0),50)</f>
        <v>#N/A</v>
      </c>
      <c r="L7" s="153" t="str">
        <f t="array" ref="L7">INDEX('Primary - GRADING'!$A$1:$CP997,MATCH($A7,'Primary - GRADING'!$CP:$CP,0),51)</f>
        <v>#N/A</v>
      </c>
      <c r="M7" s="153" t="str">
        <f t="array" ref="M7">INDEX('Primary - GRADING'!$A$1:$CP997,MATCH($A7,'Primary - GRADING'!$CP:$CP,0),52)</f>
        <v>#N/A</v>
      </c>
      <c r="N7" s="153" t="str">
        <f t="array" ref="N7">INDEX('Primary - GRADING'!$A$1:$CP997,MATCH($A7,'Primary - GRADING'!$CP:$CP,0),53)</f>
        <v>#N/A</v>
      </c>
      <c r="O7" s="153" t="str">
        <f t="array" ref="O7">INDEX('Primary - GRADING'!$A$1:$CP997,MATCH($A7,'Primary - GRADING'!$CP:$CP,0),58)</f>
        <v>#N/A</v>
      </c>
      <c r="P7" s="153" t="str">
        <f t="array" ref="P7">INDEX('Primary - GRADING'!$A$1:$CP997,MATCH($A7,'Primary - GRADING'!$CP:$CP,0),5)</f>
        <v>#N/A</v>
      </c>
      <c r="Q7" s="153" t="str">
        <f t="array" ref="Q7">INDEX('Primary - GRADING'!$A$1:$CP997,MATCH($A7,'Primary - GRADING'!$CP:$CP,0),6)</f>
        <v>#N/A</v>
      </c>
      <c r="R7" s="153" t="str">
        <f t="array" ref="R7">INDEX('Primary - GRADING'!$A$1:$CP997,MATCH($A7,'Primary - GRADING'!$CP:$CP,0),7)</f>
        <v>#N/A</v>
      </c>
      <c r="S7" s="153" t="str">
        <f t="array" ref="S7">INDEX('Primary - GRADING'!$A$1:$CP997,MATCH($A7,'Primary - GRADING'!$CP:$CP,0),8)</f>
        <v>#N/A</v>
      </c>
      <c r="T7" s="153" t="str">
        <f t="array" ref="T7">INDEX('Primary - GRADING'!$A$1:$CP997,MATCH($A7,'Primary - GRADING'!$CP:$CP,0),9)</f>
        <v>#N/A</v>
      </c>
      <c r="U7" s="153" t="str">
        <f t="array" ref="U7">INDEX('Primary - GRADING'!$A$1:$CP997,MATCH($A7,'Primary - GRADING'!$CP:$CP,0),10)</f>
        <v>#N/A</v>
      </c>
      <c r="V7" s="153" t="str">
        <f t="array" ref="V7">INDEX('Primary - GRADING'!$A$1:$CP997,MATCH($A7,'Primary - GRADING'!$CP:$CP,0),18)</f>
        <v>#N/A</v>
      </c>
      <c r="W7" s="153" t="str">
        <f t="array" ref="W7">INDEX('Primary - GRADING'!$A$1:$CP997,MATCH($A7,'Primary - GRADING'!$CP:$CP,0),20)</f>
        <v>#N/A</v>
      </c>
      <c r="X7" s="153" t="str">
        <f t="array" ref="X7">INDEX('Primary - GRADING'!$A$1:$CP997,MATCH($A7,'Primary - GRADING'!$CP:$CP,0),21)</f>
        <v>#N/A</v>
      </c>
      <c r="Y7" s="153" t="str">
        <f t="array" ref="Y7">INDEX('Primary - GRADING'!$A$1:$CP997,MATCH($A7,'Primary - GRADING'!$CP:$CP,0),22)</f>
        <v>#N/A</v>
      </c>
      <c r="Z7" s="165" t="str">
        <f t="array" ref="Z7">INDEX('Primary - GRADING'!$A$1:$CP997,MATCH($A7,'Primary - GRADING'!$CP:$CP,0),23)</f>
        <v>#N/A</v>
      </c>
      <c r="AA7" s="153" t="str">
        <f t="array" ref="AA7">INDEX('Primary - GRADING'!$A$1:$CP997,MATCH($A7,'Primary - GRADING'!$CP:$CP,0),24)</f>
        <v>#N/A</v>
      </c>
      <c r="AB7" s="153" t="str">
        <f t="array" ref="AB7">INDEX('Primary - GRADING'!$A$1:$CP997,MATCH($A7,'Primary - GRADING'!$CP:$CP,0),25)</f>
        <v>#N/A</v>
      </c>
      <c r="AC7" s="153" t="str">
        <f t="array" ref="AC7">INDEX('Primary - GRADING'!$A$1:$CP997,MATCH($A7,'Primary - GRADING'!$CP:$CP,0),46)</f>
        <v>#N/A</v>
      </c>
      <c r="AG7" s="153" t="str">
        <f t="shared" si="7"/>
        <v>#N/A</v>
      </c>
      <c r="AI7" s="153" t="str">
        <f>VLOOKUP(AH7,'Primary - GRADING'!$A$4:$C997,2,)</f>
        <v>#N/A</v>
      </c>
      <c r="AJ7" s="153" t="str">
        <f>VLOOKUP(AH7,'Primary - GRADING'!$A$4:$C997,3,)</f>
        <v>#N/A</v>
      </c>
      <c r="AK7" s="153" t="str">
        <f>VLOOKUP(AH7,'Primary - GRADING'!$A$4:$BG997,59,)</f>
        <v>#N/A</v>
      </c>
      <c r="AL7" s="153" t="str">
        <f>IFS(AK7="NMA",VLOOKUP(AH7,'Primary - GRADING'!$A$4:$BG997,51,),AK7="DIRECT",VLOOKUP(AH7,'Primary - GRADING'!$A$4:$BG997,8,),AK7="INDIRECT",VLOOKUP(AH7,'Primary - GRADING'!$A$4:$BG997,23,))</f>
        <v>#N/A</v>
      </c>
      <c r="AM7" s="153" t="str">
        <f>IFS(AK7="NMA",VLOOKUP(AH7,'Primary - GRADING'!$A$4:$BG997,52,),AK7="DIRECT",VLOOKUP(AH7,'Primary - GRADING'!$A$4:$BG997,9,),AK7="INDIRECT",VLOOKUP(AH7,'Primary - GRADING'!$A$4:$BG997,24,))</f>
        <v>#N/A</v>
      </c>
      <c r="AN7" s="153" t="str">
        <f>IFS(AK7="NMA",VLOOKUP(AH7,'Primary - GRADING'!$A$4:$BG997,53,),AK7="DIRECT",VLOOKUP(AH7,'Primary - GRADING'!$A$4:$BG997,10,),AK7="INDIRECT",VLOOKUP(AH7,'Primary - GRADING'!$A$4:$BG997,25,))</f>
        <v>#N/A</v>
      </c>
      <c r="AO7" s="153" t="str">
        <f t="shared" si="8"/>
        <v>#N/A</v>
      </c>
      <c r="AT7" s="153" t="str">
        <f t="shared" si="9"/>
        <v>#N/A</v>
      </c>
      <c r="AV7" s="153" t="str">
        <f>VLOOKUP(AU7,'Primary - GRADING'!$A$4:$C997,2,)</f>
        <v>#N/A</v>
      </c>
      <c r="AW7" s="153" t="str">
        <f>VLOOKUP(AU7,'Primary - GRADING'!$A$4:$C997,3,)</f>
        <v>#N/A</v>
      </c>
      <c r="AX7" s="153" t="str">
        <f>VLOOKUP(AU7,'Primary - GRADING'!$A$4:$BG997,59,)</f>
        <v>#N/A</v>
      </c>
      <c r="AY7" s="153" t="str">
        <f>IFS(AX7="NMA",VLOOKUP(AU7,'Primary - GRADING'!$A$4:$BG997,51,),AX7="DIRECT",VLOOKUP(AU7,'Primary - GRADING'!$A$4:$BG997,8,),AX7="INDIRECT",VLOOKUP(AU7,'Primary - GRADING'!$A$4:$BG997,23,))</f>
        <v>#N/A</v>
      </c>
      <c r="AZ7" s="153" t="str">
        <f>IFS(AX7="NMA",VLOOKUP(AU7,'Primary - GRADING'!$A$4:$BG997,52,),AX7="DIRECT",VLOOKUP(AU7,'Primary - GRADING'!$A$4:$BG997,9,),AX7="INDIRECT",VLOOKUP(AU7,'Primary - GRADING'!$A$4:$BG997,24,))</f>
        <v>#N/A</v>
      </c>
      <c r="BA7" s="153" t="str">
        <f>IFS(AX7="NMA",VLOOKUP(AU7,'Primary - GRADING'!$A$4:$BG997,53,),AX7="DIRECT",VLOOKUP(AU7,'Primary - GRADING'!$A$4:$BG997,10,),AX7="INDIRECT",VLOOKUP(AU7,'Primary - GRADING'!$A$4:$BG997,25,))</f>
        <v>#N/A</v>
      </c>
      <c r="BB7" s="153" t="str">
        <f t="shared" si="10"/>
        <v>#N/A</v>
      </c>
      <c r="BE7" s="153" t="str">
        <f t="shared" si="11"/>
        <v/>
      </c>
      <c r="BG7" s="153" t="str">
        <f t="shared" si="12"/>
        <v>#N/A</v>
      </c>
      <c r="BI7" s="153" t="str">
        <f t="shared" si="13"/>
        <v>#N/A</v>
      </c>
      <c r="BK7" s="153" t="str">
        <f t="shared" si="14"/>
        <v>#N/A</v>
      </c>
      <c r="BM7" s="153" t="str">
        <f t="shared" si="15"/>
        <v>#N/A</v>
      </c>
    </row>
    <row r="8" ht="15.75" customHeight="1">
      <c r="A8" s="90" t="str">
        <f>IFERROR(__xludf.DUMMYFUNCTION("""COMPUTED_VALUE"""),"Plac")</f>
        <v>Plac</v>
      </c>
      <c r="B8" s="160" t="str">
        <f t="shared" si="1"/>
        <v>#N/A</v>
      </c>
      <c r="C8" s="160" t="str">
        <f t="shared" si="2"/>
        <v>#N/A</v>
      </c>
      <c r="D8" s="160" t="str">
        <f t="shared" si="3"/>
        <v>#N/A</v>
      </c>
      <c r="E8" s="161" t="str">
        <f t="shared" si="4"/>
        <v>#N/A</v>
      </c>
      <c r="F8" s="153" t="str">
        <f t="shared" si="16"/>
        <v>#N/A</v>
      </c>
      <c r="G8" s="153" t="str">
        <f t="shared" si="6"/>
        <v>#N/A</v>
      </c>
      <c r="H8" s="156" t="str">
        <f t="array" ref="H8">INDEX('Primary - GRADING'!$A$1:$CP997,MATCH($A8,'Primary - GRADING'!$CP:$CP,0),59)</f>
        <v>#N/A</v>
      </c>
      <c r="I8" s="153" t="str">
        <f t="array" ref="I8">INDEX('Primary - GRADING'!$A$1:$CP997,MATCH($A8,'Primary - GRADING'!$CP:$CP,0),48)</f>
        <v>#N/A</v>
      </c>
      <c r="J8" s="153" t="str">
        <f t="array" ref="J8">INDEX('Primary - GRADING'!$A$1:$CP997,MATCH($A8,'Primary - GRADING'!$CP:$CP,0),49)</f>
        <v>#N/A</v>
      </c>
      <c r="K8" s="153" t="str">
        <f t="array" ref="K8">INDEX('Primary - GRADING'!$A$1:$CP997,MATCH($A8,'Primary - GRADING'!$CP:$CP,0),50)</f>
        <v>#N/A</v>
      </c>
      <c r="L8" s="153" t="str">
        <f t="array" ref="L8">INDEX('Primary - GRADING'!$A$1:$CP997,MATCH($A8,'Primary - GRADING'!$CP:$CP,0),51)</f>
        <v>#N/A</v>
      </c>
      <c r="M8" s="153" t="str">
        <f t="array" ref="M8">INDEX('Primary - GRADING'!$A$1:$CP997,MATCH($A8,'Primary - GRADING'!$CP:$CP,0),52)</f>
        <v>#N/A</v>
      </c>
      <c r="N8" s="153" t="str">
        <f t="array" ref="N8">INDEX('Primary - GRADING'!$A$1:$CP997,MATCH($A8,'Primary - GRADING'!$CP:$CP,0),53)</f>
        <v>#N/A</v>
      </c>
      <c r="O8" s="153" t="str">
        <f t="array" ref="O8">INDEX('Primary - GRADING'!$A$1:$CP997,MATCH($A8,'Primary - GRADING'!$CP:$CP,0),58)</f>
        <v>#N/A</v>
      </c>
      <c r="P8" s="153" t="str">
        <f t="array" ref="P8">INDEX('Primary - GRADING'!$A$1:$CP997,MATCH($A8,'Primary - GRADING'!$CP:$CP,0),5)</f>
        <v>#N/A</v>
      </c>
      <c r="Q8" s="153" t="str">
        <f t="array" ref="Q8">INDEX('Primary - GRADING'!$A$1:$CP997,MATCH($A8,'Primary - GRADING'!$CP:$CP,0),6)</f>
        <v>#N/A</v>
      </c>
      <c r="R8" s="153" t="str">
        <f t="array" ref="R8">INDEX('Primary - GRADING'!$A$1:$CP997,MATCH($A8,'Primary - GRADING'!$CP:$CP,0),7)</f>
        <v>#N/A</v>
      </c>
      <c r="S8" s="153" t="str">
        <f t="array" ref="S8">INDEX('Primary - GRADING'!$A$1:$CP997,MATCH($A8,'Primary - GRADING'!$CP:$CP,0),8)</f>
        <v>#N/A</v>
      </c>
      <c r="T8" s="153" t="str">
        <f t="array" ref="T8">INDEX('Primary - GRADING'!$A$1:$CP997,MATCH($A8,'Primary - GRADING'!$CP:$CP,0),9)</f>
        <v>#N/A</v>
      </c>
      <c r="U8" s="153" t="str">
        <f t="array" ref="U8">INDEX('Primary - GRADING'!$A$1:$CP997,MATCH($A8,'Primary - GRADING'!$CP:$CP,0),10)</f>
        <v>#N/A</v>
      </c>
      <c r="V8" s="153" t="str">
        <f t="array" ref="V8">INDEX('Primary - GRADING'!$A$1:$CP997,MATCH($A8,'Primary - GRADING'!$CP:$CP,0),18)</f>
        <v>#N/A</v>
      </c>
      <c r="W8" s="153" t="str">
        <f t="array" ref="W8">INDEX('Primary - GRADING'!$A$1:$CP997,MATCH($A8,'Primary - GRADING'!$CP:$CP,0),20)</f>
        <v>#N/A</v>
      </c>
      <c r="X8" s="153" t="str">
        <f t="array" ref="X8">INDEX('Primary - GRADING'!$A$1:$CP997,MATCH($A8,'Primary - GRADING'!$CP:$CP,0),21)</f>
        <v>#N/A</v>
      </c>
      <c r="Y8" s="153" t="str">
        <f t="array" ref="Y8">INDEX('Primary - GRADING'!$A$1:$CP997,MATCH($A8,'Primary - GRADING'!$CP:$CP,0),22)</f>
        <v>#N/A</v>
      </c>
      <c r="Z8" s="165" t="str">
        <f t="array" ref="Z8">INDEX('Primary - GRADING'!$A$1:$CP997,MATCH($A8,'Primary - GRADING'!$CP:$CP,0),23)</f>
        <v>#N/A</v>
      </c>
      <c r="AA8" s="153" t="str">
        <f t="array" ref="AA8">INDEX('Primary - GRADING'!$A$1:$CP997,MATCH($A8,'Primary - GRADING'!$CP:$CP,0),24)</f>
        <v>#N/A</v>
      </c>
      <c r="AB8" s="153" t="str">
        <f t="array" ref="AB8">INDEX('Primary - GRADING'!$A$1:$CP997,MATCH($A8,'Primary - GRADING'!$CP:$CP,0),25)</f>
        <v>#N/A</v>
      </c>
      <c r="AC8" s="153" t="str">
        <f t="array" ref="AC8">INDEX('Primary - GRADING'!$A$1:$CP997,MATCH($A8,'Primary - GRADING'!$CP:$CP,0),46)</f>
        <v>#N/A</v>
      </c>
      <c r="AG8" s="153" t="str">
        <f t="shared" si="7"/>
        <v>#N/A</v>
      </c>
      <c r="AI8" s="153" t="str">
        <f>VLOOKUP(AH8,'Primary - GRADING'!$A$4:$C997,2,)</f>
        <v>#N/A</v>
      </c>
      <c r="AJ8" s="153" t="str">
        <f>VLOOKUP(AH8,'Primary - GRADING'!$A$4:$C997,3,)</f>
        <v>#N/A</v>
      </c>
      <c r="AK8" s="153" t="str">
        <f>VLOOKUP(AH8,'Primary - GRADING'!$A$4:$BG997,59,)</f>
        <v>#N/A</v>
      </c>
      <c r="AL8" s="153" t="str">
        <f>IFS(AK8="NMA",VLOOKUP(AH8,'Primary - GRADING'!$A$4:$BG997,51,),AK8="DIRECT",VLOOKUP(AH8,'Primary - GRADING'!$A$4:$BG997,8,),AK8="INDIRECT",VLOOKUP(AH8,'Primary - GRADING'!$A$4:$BG997,23,))</f>
        <v>#N/A</v>
      </c>
      <c r="AM8" s="153" t="str">
        <f>IFS(AK8="NMA",VLOOKUP(AH8,'Primary - GRADING'!$A$4:$BG997,52,),AK8="DIRECT",VLOOKUP(AH8,'Primary - GRADING'!$A$4:$BG997,9,),AK8="INDIRECT",VLOOKUP(AH8,'Primary - GRADING'!$A$4:$BG997,24,))</f>
        <v>#N/A</v>
      </c>
      <c r="AN8" s="153" t="str">
        <f>IFS(AK8="NMA",VLOOKUP(AH8,'Primary - GRADING'!$A$4:$BG997,53,),AK8="DIRECT",VLOOKUP(AH8,'Primary - GRADING'!$A$4:$BG997,10,),AK8="INDIRECT",VLOOKUP(AH8,'Primary - GRADING'!$A$4:$BG997,25,))</f>
        <v>#N/A</v>
      </c>
      <c r="AO8" s="153" t="str">
        <f t="shared" si="8"/>
        <v>#N/A</v>
      </c>
      <c r="AT8" s="153" t="str">
        <f t="shared" si="9"/>
        <v>#N/A</v>
      </c>
      <c r="AV8" s="153" t="str">
        <f>VLOOKUP(AU8,'Primary - GRADING'!$A$4:$C997,2,)</f>
        <v>#N/A</v>
      </c>
      <c r="AW8" s="153" t="str">
        <f>VLOOKUP(AU8,'Primary - GRADING'!$A$4:$C997,3,)</f>
        <v>#N/A</v>
      </c>
      <c r="AX8" s="153" t="str">
        <f>VLOOKUP(AU8,'Primary - GRADING'!$A$4:$BG997,59,)</f>
        <v>#N/A</v>
      </c>
      <c r="AY8" s="153" t="str">
        <f>IFS(AX8="NMA",VLOOKUP(AU8,'Primary - GRADING'!$A$4:$BG997,51,),AX8="DIRECT",VLOOKUP(AU8,'Primary - GRADING'!$A$4:$BG997,8,),AX8="INDIRECT",VLOOKUP(AU8,'Primary - GRADING'!$A$4:$BG997,23,))</f>
        <v>#N/A</v>
      </c>
      <c r="AZ8" s="153" t="str">
        <f>IFS(AX8="NMA",VLOOKUP(AU8,'Primary - GRADING'!$A$4:$BG997,52,),AX8="DIRECT",VLOOKUP(AU8,'Primary - GRADING'!$A$4:$BG997,9,),AX8="INDIRECT",VLOOKUP(AU8,'Primary - GRADING'!$A$4:$BG997,24,))</f>
        <v>#N/A</v>
      </c>
      <c r="BA8" s="153" t="str">
        <f>IFS(AX8="NMA",VLOOKUP(AU8,'Primary - GRADING'!$A$4:$BG997,53,),AX8="DIRECT",VLOOKUP(AU8,'Primary - GRADING'!$A$4:$BG997,10,),AX8="INDIRECT",VLOOKUP(AU8,'Primary - GRADING'!$A$4:$BG997,25,))</f>
        <v>#N/A</v>
      </c>
      <c r="BB8" s="153" t="str">
        <f t="shared" si="10"/>
        <v>#N/A</v>
      </c>
      <c r="BE8" s="153" t="str">
        <f t="shared" si="11"/>
        <v/>
      </c>
      <c r="BG8" s="153" t="str">
        <f t="shared" si="12"/>
        <v>#N/A</v>
      </c>
      <c r="BI8" s="153" t="str">
        <f t="shared" si="13"/>
        <v>#N/A</v>
      </c>
      <c r="BK8" s="153" t="str">
        <f t="shared" si="14"/>
        <v>#N/A</v>
      </c>
      <c r="BM8" s="153" t="str">
        <f t="shared" si="15"/>
        <v>#N/A</v>
      </c>
    </row>
    <row r="9" ht="15.75" customHeight="1">
      <c r="A9" s="64"/>
      <c r="B9" s="160" t="str">
        <f t="shared" si="1"/>
        <v>#N/A</v>
      </c>
      <c r="C9" s="160" t="str">
        <f t="shared" si="2"/>
        <v>#N/A</v>
      </c>
      <c r="D9" s="160" t="str">
        <f t="shared" si="3"/>
        <v>#N/A</v>
      </c>
      <c r="E9" s="161" t="str">
        <f t="shared" si="4"/>
        <v>#N/A</v>
      </c>
      <c r="F9" s="153" t="str">
        <f t="shared" ref="F9:F253" si="17">IFS(H:H="NMA",CONCATENATE(ROUND(I9, 2)," (",ROUND(J9, 2), " to ",ROUND(K9, 2), ")"),H:H="Direct",CONCATENATE(ROUND(P9, 2), " (",ROUND(Q9, 2), " to ",ROUND(R9, 2), ")"),H:H="Indirect",CONCATENATE(ROUND(W9, 2), " (",ROUND(X9, 2), " to ",ROUND(Y9, 2), ")"))</f>
        <v>#N/A</v>
      </c>
      <c r="G9" s="153" t="str">
        <f t="shared" si="6"/>
        <v>#N/A</v>
      </c>
      <c r="H9" s="156" t="str">
        <f t="array" ref="H9">INDEX('Primary - GRADING'!$A$1:$CP997,MATCH($A9,'Primary - GRADING'!$CP:$CP,0),59)</f>
        <v>#N/A</v>
      </c>
      <c r="I9" s="153" t="str">
        <f t="array" ref="I9">INDEX('Primary - GRADING'!$A$1:$CP997,MATCH($A9,'Primary - GRADING'!$CP:$CP,0),48)</f>
        <v>#N/A</v>
      </c>
      <c r="J9" s="153" t="str">
        <f t="array" ref="J9">INDEX('Primary - GRADING'!$A$1:$CP997,MATCH($A9,'Primary - GRADING'!$CP:$CP,0),49)</f>
        <v>#N/A</v>
      </c>
      <c r="K9" s="153" t="str">
        <f t="array" ref="K9">INDEX('Primary - GRADING'!$A$1:$CP997,MATCH($A9,'Primary - GRADING'!$CP:$CP,0),50)</f>
        <v>#N/A</v>
      </c>
      <c r="L9" s="153" t="str">
        <f t="array" ref="L9">INDEX('Primary - GRADING'!$A$1:$CP997,MATCH($A9,'Primary - GRADING'!$CP:$CP,0),51)</f>
        <v>#N/A</v>
      </c>
      <c r="M9" s="153" t="str">
        <f t="array" ref="M9">INDEX('Primary - GRADING'!$A$1:$CP997,MATCH($A9,'Primary - GRADING'!$CP:$CP,0),52)</f>
        <v>#N/A</v>
      </c>
      <c r="N9" s="153" t="str">
        <f t="array" ref="N9">INDEX('Primary - GRADING'!$A$1:$CP997,MATCH($A9,'Primary - GRADING'!$CP:$CP,0),53)</f>
        <v>#N/A</v>
      </c>
      <c r="O9" s="153" t="str">
        <f t="array" ref="O9">INDEX('Primary - GRADING'!$A$1:$CP997,MATCH($A9,'Primary - GRADING'!$CP:$CP,0),58)</f>
        <v>#N/A</v>
      </c>
      <c r="P9" s="153" t="str">
        <f t="array" ref="P9">INDEX('Primary - GRADING'!$A$1:$CP997,MATCH($A9,'Primary - GRADING'!$CP:$CP,0),5)</f>
        <v>#N/A</v>
      </c>
      <c r="Q9" s="153" t="str">
        <f t="array" ref="Q9">INDEX('Primary - GRADING'!$A$1:$CP997,MATCH($A9,'Primary - GRADING'!$CP:$CP,0),6)</f>
        <v>#N/A</v>
      </c>
      <c r="R9" s="153" t="str">
        <f t="array" ref="R9">INDEX('Primary - GRADING'!$A$1:$CP997,MATCH($A9,'Primary - GRADING'!$CP:$CP,0),7)</f>
        <v>#N/A</v>
      </c>
      <c r="S9" s="153" t="str">
        <f t="array" ref="S9">INDEX('Primary - GRADING'!$A$1:$CP997,MATCH($A9,'Primary - GRADING'!$CP:$CP,0),8)</f>
        <v>#N/A</v>
      </c>
      <c r="T9" s="153" t="str">
        <f t="array" ref="T9">INDEX('Primary - GRADING'!$A$1:$CP997,MATCH($A9,'Primary - GRADING'!$CP:$CP,0),9)</f>
        <v>#N/A</v>
      </c>
      <c r="U9" s="153" t="str">
        <f t="array" ref="U9">INDEX('Primary - GRADING'!$A$1:$CP997,MATCH($A9,'Primary - GRADING'!$CP:$CP,0),10)</f>
        <v>#N/A</v>
      </c>
      <c r="V9" s="153" t="str">
        <f t="array" ref="V9">INDEX('Primary - GRADING'!$A$1:$CP997,MATCH($A9,'Primary - GRADING'!$CP:$CP,0),18)</f>
        <v>#N/A</v>
      </c>
      <c r="W9" s="153" t="str">
        <f t="array" ref="W9">INDEX('Primary - GRADING'!$A$1:$CP997,MATCH($A9,'Primary - GRADING'!$CP:$CP,0),20)</f>
        <v>#N/A</v>
      </c>
      <c r="X9" s="153" t="str">
        <f t="array" ref="X9">INDEX('Primary - GRADING'!$A$1:$CP997,MATCH($A9,'Primary - GRADING'!$CP:$CP,0),21)</f>
        <v>#N/A</v>
      </c>
      <c r="Y9" s="153" t="str">
        <f t="array" ref="Y9">INDEX('Primary - GRADING'!$A$1:$CP997,MATCH($A9,'Primary - GRADING'!$CP:$CP,0),22)</f>
        <v>#N/A</v>
      </c>
      <c r="Z9" s="165" t="str">
        <f t="array" ref="Z9">INDEX('Primary - GRADING'!$A$1:$CP997,MATCH($A9,'Primary - GRADING'!$CP:$CP,0),23)</f>
        <v>#N/A</v>
      </c>
      <c r="AA9" s="153" t="str">
        <f t="array" ref="AA9">INDEX('Primary - GRADING'!$A$1:$CP997,MATCH($A9,'Primary - GRADING'!$CP:$CP,0),24)</f>
        <v>#N/A</v>
      </c>
      <c r="AB9" s="153" t="str">
        <f t="array" ref="AB9">INDEX('Primary - GRADING'!$A$1:$CP997,MATCH($A9,'Primary - GRADING'!$CP:$CP,0),25)</f>
        <v>#N/A</v>
      </c>
      <c r="AC9" s="153" t="str">
        <f t="array" ref="AC9">INDEX('Primary - GRADING'!$A$1:$CP997,MATCH($A9,'Primary - GRADING'!$CP:$CP,0),46)</f>
        <v>#N/A</v>
      </c>
      <c r="AG9" s="153" t="str">
        <f t="shared" si="7"/>
        <v>#N/A</v>
      </c>
      <c r="AI9" s="153" t="str">
        <f>VLOOKUP(AH9,'Primary - GRADING'!$A$4:$C997,2,)</f>
        <v>#N/A</v>
      </c>
      <c r="AJ9" s="153" t="str">
        <f>VLOOKUP(AH9,'Primary - GRADING'!$A$4:$C997,3,)</f>
        <v>#N/A</v>
      </c>
      <c r="AK9" s="153" t="str">
        <f>VLOOKUP(AH9,'Primary - GRADING'!$A$4:$BG997,59,)</f>
        <v>#N/A</v>
      </c>
      <c r="AL9" s="153" t="str">
        <f>IFS(AK9="NMA",VLOOKUP(AH9,'Primary - GRADING'!$A$4:$BG997,51,),AK9="DIRECT",VLOOKUP(AH9,'Primary - GRADING'!$A$4:$BG997,8,),AK9="INDIRECT",VLOOKUP(AH9,'Primary - GRADING'!$A$4:$BG997,23,))</f>
        <v>#N/A</v>
      </c>
      <c r="AM9" s="153" t="str">
        <f>IFS(AK9="NMA",VLOOKUP(AH9,'Primary - GRADING'!$A$4:$BG997,52,),AK9="DIRECT",VLOOKUP(AH9,'Primary - GRADING'!$A$4:$BG997,9,),AK9="INDIRECT",VLOOKUP(AH9,'Primary - GRADING'!$A$4:$BG997,24,))</f>
        <v>#N/A</v>
      </c>
      <c r="AN9" s="153" t="str">
        <f>IFS(AK9="NMA",VLOOKUP(AH9,'Primary - GRADING'!$A$4:$BG997,53,),AK9="DIRECT",VLOOKUP(AH9,'Primary - GRADING'!$A$4:$BG997,10,),AK9="INDIRECT",VLOOKUP(AH9,'Primary - GRADING'!$A$4:$BG997,25,))</f>
        <v>#N/A</v>
      </c>
      <c r="AO9" s="153" t="str">
        <f t="shared" si="8"/>
        <v>#N/A</v>
      </c>
      <c r="AT9" s="153" t="str">
        <f t="shared" si="9"/>
        <v>#N/A</v>
      </c>
      <c r="AV9" s="153" t="str">
        <f>VLOOKUP(AU9,'Primary - GRADING'!$A$4:$C997,2,)</f>
        <v>#N/A</v>
      </c>
      <c r="AW9" s="153" t="str">
        <f>VLOOKUP(AU9,'Primary - GRADING'!$A$4:$C997,3,)</f>
        <v>#N/A</v>
      </c>
      <c r="AX9" s="153" t="str">
        <f>VLOOKUP(AU9,'Primary - GRADING'!$A$4:$BG997,59,)</f>
        <v>#N/A</v>
      </c>
      <c r="AY9" s="153" t="str">
        <f>IFS(AX9="NMA",VLOOKUP(AU9,'Primary - GRADING'!$A$4:$BG997,51,),AX9="DIRECT",VLOOKUP(AU9,'Primary - GRADING'!$A$4:$BG997,8,),AX9="INDIRECT",VLOOKUP(AU9,'Primary - GRADING'!$A$4:$BG997,23,))</f>
        <v>#N/A</v>
      </c>
      <c r="AZ9" s="153" t="str">
        <f>IFS(AX9="NMA",VLOOKUP(AU9,'Primary - GRADING'!$A$4:$BG997,52,),AX9="DIRECT",VLOOKUP(AU9,'Primary - GRADING'!$A$4:$BG997,9,),AX9="INDIRECT",VLOOKUP(AU9,'Primary - GRADING'!$A$4:$BG997,24,))</f>
        <v>#N/A</v>
      </c>
      <c r="BA9" s="153" t="str">
        <f>IFS(AX9="NMA",VLOOKUP(AU9,'Primary - GRADING'!$A$4:$BG997,53,),AX9="DIRECT",VLOOKUP(AU9,'Primary - GRADING'!$A$4:$BG997,10,),AX9="INDIRECT",VLOOKUP(AU9,'Primary - GRADING'!$A$4:$BG997,25,))</f>
        <v>#N/A</v>
      </c>
      <c r="BB9" s="153" t="str">
        <f t="shared" si="10"/>
        <v>#N/A</v>
      </c>
      <c r="BE9" s="153" t="str">
        <f t="shared" si="11"/>
        <v/>
      </c>
      <c r="BG9" s="153" t="str">
        <f t="shared" si="12"/>
        <v>#N/A</v>
      </c>
      <c r="BI9" s="153" t="str">
        <f t="shared" si="13"/>
        <v>#N/A</v>
      </c>
      <c r="BK9" s="153" t="str">
        <f t="shared" si="14"/>
        <v>#N/A</v>
      </c>
      <c r="BM9" s="153" t="str">
        <f t="shared" si="15"/>
        <v>#N/A</v>
      </c>
    </row>
    <row r="10" ht="15.75" customHeight="1">
      <c r="A10" s="64"/>
      <c r="B10" s="160" t="str">
        <f t="shared" si="1"/>
        <v>#N/A</v>
      </c>
      <c r="C10" s="160" t="str">
        <f t="shared" si="2"/>
        <v>#N/A</v>
      </c>
      <c r="D10" s="160" t="str">
        <f t="shared" si="3"/>
        <v>#N/A</v>
      </c>
      <c r="E10" s="161" t="str">
        <f t="shared" si="4"/>
        <v>#N/A</v>
      </c>
      <c r="F10" s="153" t="str">
        <f t="shared" si="17"/>
        <v>#N/A</v>
      </c>
      <c r="G10" s="153" t="str">
        <f t="shared" si="6"/>
        <v>#N/A</v>
      </c>
      <c r="H10" s="156" t="str">
        <f t="array" ref="H10">INDEX('Primary - GRADING'!$A$1:$CP997,MATCH($A10,'Primary - GRADING'!$CP:$CP,0),59)</f>
        <v>#N/A</v>
      </c>
      <c r="I10" s="153" t="str">
        <f t="array" ref="I10">INDEX('Primary - GRADING'!$A$1:$CP997,MATCH($A10,'Primary - GRADING'!$CP:$CP,0),48)</f>
        <v>#N/A</v>
      </c>
      <c r="J10" s="153" t="str">
        <f t="array" ref="J10">INDEX('Primary - GRADING'!$A$1:$CP997,MATCH($A10,'Primary - GRADING'!$CP:$CP,0),49)</f>
        <v>#N/A</v>
      </c>
      <c r="K10" s="153" t="str">
        <f t="array" ref="K10">INDEX('Primary - GRADING'!$A$1:$CP997,MATCH($A10,'Primary - GRADING'!$CP:$CP,0),50)</f>
        <v>#N/A</v>
      </c>
      <c r="L10" s="153" t="str">
        <f t="array" ref="L10">INDEX('Primary - GRADING'!$A$1:$CP997,MATCH($A10,'Primary - GRADING'!$CP:$CP,0),51)</f>
        <v>#N/A</v>
      </c>
      <c r="M10" s="153" t="str">
        <f t="array" ref="M10">INDEX('Primary - GRADING'!$A$1:$CP997,MATCH($A10,'Primary - GRADING'!$CP:$CP,0),52)</f>
        <v>#N/A</v>
      </c>
      <c r="N10" s="153" t="str">
        <f t="array" ref="N10">INDEX('Primary - GRADING'!$A$1:$CP997,MATCH($A10,'Primary - GRADING'!$CP:$CP,0),53)</f>
        <v>#N/A</v>
      </c>
      <c r="O10" s="153" t="str">
        <f t="array" ref="O10">INDEX('Primary - GRADING'!$A$1:$CP997,MATCH($A10,'Primary - GRADING'!$CP:$CP,0),58)</f>
        <v>#N/A</v>
      </c>
      <c r="P10" s="153" t="str">
        <f t="array" ref="P10">INDEX('Primary - GRADING'!$A$1:$CP997,MATCH($A10,'Primary - GRADING'!$CP:$CP,0),5)</f>
        <v>#N/A</v>
      </c>
      <c r="Q10" s="153" t="str">
        <f t="array" ref="Q10">INDEX('Primary - GRADING'!$A$1:$CP997,MATCH($A10,'Primary - GRADING'!$CP:$CP,0),6)</f>
        <v>#N/A</v>
      </c>
      <c r="R10" s="153" t="str">
        <f t="array" ref="R10">INDEX('Primary - GRADING'!$A$1:$CP997,MATCH($A10,'Primary - GRADING'!$CP:$CP,0),7)</f>
        <v>#N/A</v>
      </c>
      <c r="S10" s="153" t="str">
        <f t="array" ref="S10">INDEX('Primary - GRADING'!$A$1:$CP997,MATCH($A10,'Primary - GRADING'!$CP:$CP,0),8)</f>
        <v>#N/A</v>
      </c>
      <c r="T10" s="153" t="str">
        <f t="array" ref="T10">INDEX('Primary - GRADING'!$A$1:$CP997,MATCH($A10,'Primary - GRADING'!$CP:$CP,0),9)</f>
        <v>#N/A</v>
      </c>
      <c r="U10" s="153" t="str">
        <f t="array" ref="U10">INDEX('Primary - GRADING'!$A$1:$CP997,MATCH($A10,'Primary - GRADING'!$CP:$CP,0),10)</f>
        <v>#N/A</v>
      </c>
      <c r="V10" s="153" t="str">
        <f t="array" ref="V10">INDEX('Primary - GRADING'!$A$1:$CP997,MATCH($A10,'Primary - GRADING'!$CP:$CP,0),18)</f>
        <v>#N/A</v>
      </c>
      <c r="W10" s="153" t="str">
        <f t="array" ref="W10">INDEX('Primary - GRADING'!$A$1:$CP997,MATCH($A10,'Primary - GRADING'!$CP:$CP,0),20)</f>
        <v>#N/A</v>
      </c>
      <c r="X10" s="153" t="str">
        <f t="array" ref="X10">INDEX('Primary - GRADING'!$A$1:$CP997,MATCH($A10,'Primary - GRADING'!$CP:$CP,0),21)</f>
        <v>#N/A</v>
      </c>
      <c r="Y10" s="153" t="str">
        <f t="array" ref="Y10">INDEX('Primary - GRADING'!$A$1:$CP997,MATCH($A10,'Primary - GRADING'!$CP:$CP,0),22)</f>
        <v>#N/A</v>
      </c>
      <c r="Z10" s="165" t="str">
        <f t="array" ref="Z10">INDEX('Primary - GRADING'!$A$1:$CP997,MATCH($A10,'Primary - GRADING'!$CP:$CP,0),23)</f>
        <v>#N/A</v>
      </c>
      <c r="AA10" s="153" t="str">
        <f t="array" ref="AA10">INDEX('Primary - GRADING'!$A$1:$CP997,MATCH($A10,'Primary - GRADING'!$CP:$CP,0),24)</f>
        <v>#N/A</v>
      </c>
      <c r="AB10" s="153" t="str">
        <f t="array" ref="AB10">INDEX('Primary - GRADING'!$A$1:$CP997,MATCH($A10,'Primary - GRADING'!$CP:$CP,0),25)</f>
        <v>#N/A</v>
      </c>
      <c r="AC10" s="153" t="str">
        <f t="array" ref="AC10">INDEX('Primary - GRADING'!$A$1:$CP997,MATCH($A10,'Primary - GRADING'!$CP:$CP,0),46)</f>
        <v>#N/A</v>
      </c>
      <c r="AG10" s="153" t="str">
        <f t="shared" si="7"/>
        <v>#N/A</v>
      </c>
      <c r="AI10" s="153" t="str">
        <f>VLOOKUP(AH10,'Primary - GRADING'!$A$4:$C997,2,)</f>
        <v>#N/A</v>
      </c>
      <c r="AJ10" s="153" t="str">
        <f>VLOOKUP(AH10,'Primary - GRADING'!$A$4:$C997,3,)</f>
        <v>#N/A</v>
      </c>
      <c r="AK10" s="153" t="str">
        <f>VLOOKUP(AH10,'Primary - GRADING'!$A$4:$BG997,59,)</f>
        <v>#N/A</v>
      </c>
      <c r="AL10" s="153" t="str">
        <f>IFS(AK10="NMA",VLOOKUP(AH10,'Primary - GRADING'!$A$4:$BG997,51,),AK10="DIRECT",VLOOKUP(AH10,'Primary - GRADING'!$A$4:$BG997,8,),AK10="INDIRECT",VLOOKUP(AH10,'Primary - GRADING'!$A$4:$BG997,23,))</f>
        <v>#N/A</v>
      </c>
      <c r="AM10" s="153" t="str">
        <f>IFS(AK10="NMA",VLOOKUP(AH10,'Primary - GRADING'!$A$4:$BG997,52,),AK10="DIRECT",VLOOKUP(AH10,'Primary - GRADING'!$A$4:$BG997,9,),AK10="INDIRECT",VLOOKUP(AH10,'Primary - GRADING'!$A$4:$BG997,24,))</f>
        <v>#N/A</v>
      </c>
      <c r="AN10" s="153" t="str">
        <f>IFS(AK10="NMA",VLOOKUP(AH10,'Primary - GRADING'!$A$4:$BG997,53,),AK10="DIRECT",VLOOKUP(AH10,'Primary - GRADING'!$A$4:$BG997,10,),AK10="INDIRECT",VLOOKUP(AH10,'Primary - GRADING'!$A$4:$BG997,25,))</f>
        <v>#N/A</v>
      </c>
      <c r="AO10" s="153" t="str">
        <f t="shared" si="8"/>
        <v>#N/A</v>
      </c>
      <c r="AT10" s="153" t="str">
        <f t="shared" si="9"/>
        <v>#N/A</v>
      </c>
      <c r="AV10" s="153" t="str">
        <f>VLOOKUP(AU10,'Primary - GRADING'!$A$4:$C997,2,)</f>
        <v>#N/A</v>
      </c>
      <c r="AW10" s="153" t="str">
        <f>VLOOKUP(AU10,'Primary - GRADING'!$A$4:$C997,3,)</f>
        <v>#N/A</v>
      </c>
      <c r="AX10" s="153" t="str">
        <f>VLOOKUP(AU10,'Primary - GRADING'!$A$4:$BG997,59,)</f>
        <v>#N/A</v>
      </c>
      <c r="AY10" s="153" t="str">
        <f>IFS(AX10="NMA",VLOOKUP(AU10,'Primary - GRADING'!$A$4:$BG997,51,),AX10="DIRECT",VLOOKUP(AU10,'Primary - GRADING'!$A$4:$BG997,8,),AX10="INDIRECT",VLOOKUP(AU10,'Primary - GRADING'!$A$4:$BG997,23,))</f>
        <v>#N/A</v>
      </c>
      <c r="AZ10" s="153" t="str">
        <f>IFS(AX10="NMA",VLOOKUP(AU10,'Primary - GRADING'!$A$4:$BG997,52,),AX10="DIRECT",VLOOKUP(AU10,'Primary - GRADING'!$A$4:$BG997,9,),AX10="INDIRECT",VLOOKUP(AU10,'Primary - GRADING'!$A$4:$BG997,24,))</f>
        <v>#N/A</v>
      </c>
      <c r="BA10" s="153" t="str">
        <f>IFS(AX10="NMA",VLOOKUP(AU10,'Primary - GRADING'!$A$4:$BG997,53,),AX10="DIRECT",VLOOKUP(AU10,'Primary - GRADING'!$A$4:$BG997,10,),AX10="INDIRECT",VLOOKUP(AU10,'Primary - GRADING'!$A$4:$BG997,25,))</f>
        <v>#N/A</v>
      </c>
      <c r="BB10" s="153" t="str">
        <f t="shared" si="10"/>
        <v>#N/A</v>
      </c>
      <c r="BE10" s="153" t="str">
        <f t="shared" si="11"/>
        <v/>
      </c>
      <c r="BG10" s="153" t="str">
        <f t="shared" si="12"/>
        <v>#N/A</v>
      </c>
      <c r="BI10" s="153" t="str">
        <f t="shared" si="13"/>
        <v>#N/A</v>
      </c>
      <c r="BK10" s="153" t="str">
        <f t="shared" si="14"/>
        <v>#N/A</v>
      </c>
      <c r="BM10" s="153" t="str">
        <f t="shared" si="15"/>
        <v>#N/A</v>
      </c>
    </row>
    <row r="11" ht="15.75" customHeight="1">
      <c r="B11" s="160" t="str">
        <f t="shared" si="1"/>
        <v>#N/A</v>
      </c>
      <c r="C11" s="160" t="str">
        <f t="shared" si="2"/>
        <v>#N/A</v>
      </c>
      <c r="D11" s="160" t="str">
        <f t="shared" si="3"/>
        <v>#N/A</v>
      </c>
      <c r="E11" s="161" t="str">
        <f t="shared" si="4"/>
        <v>#N/A</v>
      </c>
      <c r="F11" s="153" t="str">
        <f t="shared" si="17"/>
        <v>#N/A</v>
      </c>
      <c r="G11" s="153" t="str">
        <f t="shared" si="6"/>
        <v>#N/A</v>
      </c>
      <c r="H11" s="156" t="str">
        <f t="array" ref="H11">INDEX('Primary - GRADING'!$A$1:$CP997,MATCH($A11,'Primary - GRADING'!$CP:$CP,0),59)</f>
        <v>#N/A</v>
      </c>
      <c r="I11" s="153" t="str">
        <f t="array" ref="I11">INDEX('Primary - GRADING'!$A$1:$CP997,MATCH($A11,'Primary - GRADING'!$CP:$CP,0),48)</f>
        <v>#N/A</v>
      </c>
      <c r="J11" s="153" t="str">
        <f t="array" ref="J11">INDEX('Primary - GRADING'!$A$1:$CP997,MATCH($A11,'Primary - GRADING'!$CP:$CP,0),49)</f>
        <v>#N/A</v>
      </c>
      <c r="K11" s="153" t="str">
        <f t="array" ref="K11">INDEX('Primary - GRADING'!$A$1:$CP997,MATCH($A11,'Primary - GRADING'!$CP:$CP,0),50)</f>
        <v>#N/A</v>
      </c>
      <c r="L11" s="153" t="str">
        <f t="array" ref="L11">INDEX('Primary - GRADING'!$A$1:$CP997,MATCH($A11,'Primary - GRADING'!$CP:$CP,0),51)</f>
        <v>#N/A</v>
      </c>
      <c r="M11" s="153" t="str">
        <f t="array" ref="M11">INDEX('Primary - GRADING'!$A$1:$CP997,MATCH($A11,'Primary - GRADING'!$CP:$CP,0),52)</f>
        <v>#N/A</v>
      </c>
      <c r="N11" s="153" t="str">
        <f t="array" ref="N11">INDEX('Primary - GRADING'!$A$1:$CP997,MATCH($A11,'Primary - GRADING'!$CP:$CP,0),53)</f>
        <v>#N/A</v>
      </c>
      <c r="O11" s="153" t="str">
        <f t="array" ref="O11">INDEX('Primary - GRADING'!$A$1:$CP997,MATCH($A11,'Primary - GRADING'!$CP:$CP,0),58)</f>
        <v>#N/A</v>
      </c>
      <c r="P11" s="153" t="str">
        <f t="array" ref="P11">INDEX('Primary - GRADING'!$A$1:$CP997,MATCH($A11,'Primary - GRADING'!$CP:$CP,0),5)</f>
        <v>#N/A</v>
      </c>
      <c r="Q11" s="153" t="str">
        <f t="array" ref="Q11">INDEX('Primary - GRADING'!$A$1:$CP997,MATCH($A11,'Primary - GRADING'!$CP:$CP,0),6)</f>
        <v>#N/A</v>
      </c>
      <c r="R11" s="153" t="str">
        <f t="array" ref="R11">INDEX('Primary - GRADING'!$A$1:$CP997,MATCH($A11,'Primary - GRADING'!$CP:$CP,0),7)</f>
        <v>#N/A</v>
      </c>
      <c r="S11" s="153" t="str">
        <f t="array" ref="S11">INDEX('Primary - GRADING'!$A$1:$CP997,MATCH($A11,'Primary - GRADING'!$CP:$CP,0),8)</f>
        <v>#N/A</v>
      </c>
      <c r="T11" s="153" t="str">
        <f t="array" ref="T11">INDEX('Primary - GRADING'!$A$1:$CP997,MATCH($A11,'Primary - GRADING'!$CP:$CP,0),9)</f>
        <v>#N/A</v>
      </c>
      <c r="U11" s="153" t="str">
        <f t="array" ref="U11">INDEX('Primary - GRADING'!$A$1:$CP997,MATCH($A11,'Primary - GRADING'!$CP:$CP,0),10)</f>
        <v>#N/A</v>
      </c>
      <c r="V11" s="153" t="str">
        <f t="array" ref="V11">INDEX('Primary - GRADING'!$A$1:$CP997,MATCH($A11,'Primary - GRADING'!$CP:$CP,0),18)</f>
        <v>#N/A</v>
      </c>
      <c r="W11" s="153" t="str">
        <f t="array" ref="W11">INDEX('Primary - GRADING'!$A$1:$CP997,MATCH($A11,'Primary - GRADING'!$CP:$CP,0),20)</f>
        <v>#N/A</v>
      </c>
      <c r="X11" s="153" t="str">
        <f t="array" ref="X11">INDEX('Primary - GRADING'!$A$1:$CP997,MATCH($A11,'Primary - GRADING'!$CP:$CP,0),21)</f>
        <v>#N/A</v>
      </c>
      <c r="Y11" s="153" t="str">
        <f t="array" ref="Y11">INDEX('Primary - GRADING'!$A$1:$CP997,MATCH($A11,'Primary - GRADING'!$CP:$CP,0),22)</f>
        <v>#N/A</v>
      </c>
      <c r="Z11" s="165" t="str">
        <f t="array" ref="Z11">INDEX('Primary - GRADING'!$A$1:$CP997,MATCH($A11,'Primary - GRADING'!$CP:$CP,0),23)</f>
        <v>#N/A</v>
      </c>
      <c r="AA11" s="153" t="str">
        <f t="array" ref="AA11">INDEX('Primary - GRADING'!$A$1:$CP997,MATCH($A11,'Primary - GRADING'!$CP:$CP,0),24)</f>
        <v>#N/A</v>
      </c>
      <c r="AB11" s="153" t="str">
        <f t="array" ref="AB11">INDEX('Primary - GRADING'!$A$1:$CP997,MATCH($A11,'Primary - GRADING'!$CP:$CP,0),25)</f>
        <v>#N/A</v>
      </c>
      <c r="AC11" s="153" t="str">
        <f t="array" ref="AC11">INDEX('Primary - GRADING'!$A$1:$CP997,MATCH($A11,'Primary - GRADING'!$CP:$CP,0),46)</f>
        <v>#N/A</v>
      </c>
      <c r="AG11" s="153" t="str">
        <f t="shared" si="7"/>
        <v>#N/A</v>
      </c>
      <c r="AI11" s="153" t="str">
        <f>VLOOKUP(AH11,'Primary - GRADING'!$A$4:$C997,2,)</f>
        <v>#N/A</v>
      </c>
      <c r="AJ11" s="153" t="str">
        <f>VLOOKUP(AH11,'Primary - GRADING'!$A$4:$C997,3,)</f>
        <v>#N/A</v>
      </c>
      <c r="AK11" s="153" t="str">
        <f>VLOOKUP(AH11,'Primary - GRADING'!$A$4:$BG997,59,)</f>
        <v>#N/A</v>
      </c>
      <c r="AL11" s="153" t="str">
        <f>IFS(AK11="NMA",VLOOKUP(AH11,'Primary - GRADING'!$A$4:$BG997,51,),AK11="DIRECT",VLOOKUP(AH11,'Primary - GRADING'!$A$4:$BG997,8,),AK11="INDIRECT",VLOOKUP(AH11,'Primary - GRADING'!$A$4:$BG997,23,))</f>
        <v>#N/A</v>
      </c>
      <c r="AM11" s="153" t="str">
        <f>IFS(AK11="NMA",VLOOKUP(AH11,'Primary - GRADING'!$A$4:$BG997,52,),AK11="DIRECT",VLOOKUP(AH11,'Primary - GRADING'!$A$4:$BG997,9,),AK11="INDIRECT",VLOOKUP(AH11,'Primary - GRADING'!$A$4:$BG997,24,))</f>
        <v>#N/A</v>
      </c>
      <c r="AN11" s="153" t="str">
        <f>IFS(AK11="NMA",VLOOKUP(AH11,'Primary - GRADING'!$A$4:$BG997,53,),AK11="DIRECT",VLOOKUP(AH11,'Primary - GRADING'!$A$4:$BG997,10,),AK11="INDIRECT",VLOOKUP(AH11,'Primary - GRADING'!$A$4:$BG997,25,))</f>
        <v>#N/A</v>
      </c>
      <c r="AO11" s="153" t="str">
        <f t="shared" si="8"/>
        <v>#N/A</v>
      </c>
      <c r="AT11" s="153" t="str">
        <f t="shared" si="9"/>
        <v>#N/A</v>
      </c>
      <c r="AV11" s="153" t="str">
        <f>VLOOKUP(AU11,'Primary - GRADING'!$A$4:$C997,2,)</f>
        <v>#N/A</v>
      </c>
      <c r="AW11" s="153" t="str">
        <f>VLOOKUP(AU11,'Primary - GRADING'!$A$4:$C997,3,)</f>
        <v>#N/A</v>
      </c>
      <c r="AX11" s="153" t="str">
        <f>VLOOKUP(AU11,'Primary - GRADING'!$A$4:$BG997,59,)</f>
        <v>#N/A</v>
      </c>
      <c r="AY11" s="153" t="str">
        <f>IFS(AX11="NMA",VLOOKUP(AU11,'Primary - GRADING'!$A$4:$BG997,51,),AX11="DIRECT",VLOOKUP(AU11,'Primary - GRADING'!$A$4:$BG997,8,),AX11="INDIRECT",VLOOKUP(AU11,'Primary - GRADING'!$A$4:$BG997,23,))</f>
        <v>#N/A</v>
      </c>
      <c r="AZ11" s="153" t="str">
        <f>IFS(AX11="NMA",VLOOKUP(AU11,'Primary - GRADING'!$A$4:$BG997,52,),AX11="DIRECT",VLOOKUP(AU11,'Primary - GRADING'!$A$4:$BG997,9,),AX11="INDIRECT",VLOOKUP(AU11,'Primary - GRADING'!$A$4:$BG997,24,))</f>
        <v>#N/A</v>
      </c>
      <c r="BA11" s="153" t="str">
        <f>IFS(AX11="NMA",VLOOKUP(AU11,'Primary - GRADING'!$A$4:$BG997,53,),AX11="DIRECT",VLOOKUP(AU11,'Primary - GRADING'!$A$4:$BG997,10,),AX11="INDIRECT",VLOOKUP(AU11,'Primary - GRADING'!$A$4:$BG997,25,))</f>
        <v>#N/A</v>
      </c>
      <c r="BB11" s="153" t="str">
        <f t="shared" si="10"/>
        <v>#N/A</v>
      </c>
      <c r="BE11" s="153" t="str">
        <f t="shared" si="11"/>
        <v/>
      </c>
      <c r="BG11" s="153" t="str">
        <f t="shared" si="12"/>
        <v>#N/A</v>
      </c>
      <c r="BI11" s="153" t="str">
        <f t="shared" si="13"/>
        <v>#N/A</v>
      </c>
      <c r="BK11" s="153" t="str">
        <f t="shared" si="14"/>
        <v>#N/A</v>
      </c>
      <c r="BM11" s="153" t="str">
        <f t="shared" si="15"/>
        <v>#N/A</v>
      </c>
    </row>
    <row r="12" ht="15.75" customHeight="1">
      <c r="A12" s="64"/>
      <c r="B12" s="160" t="str">
        <f t="shared" si="1"/>
        <v>#N/A</v>
      </c>
      <c r="C12" s="160" t="str">
        <f t="shared" si="2"/>
        <v>#N/A</v>
      </c>
      <c r="D12" s="160" t="str">
        <f t="shared" si="3"/>
        <v>#N/A</v>
      </c>
      <c r="E12" s="161" t="str">
        <f t="shared" si="4"/>
        <v>#N/A</v>
      </c>
      <c r="F12" s="153" t="str">
        <f t="shared" si="17"/>
        <v>#N/A</v>
      </c>
      <c r="G12" s="153" t="str">
        <f t="shared" si="6"/>
        <v>#N/A</v>
      </c>
      <c r="H12" s="156" t="str">
        <f t="array" ref="H12">INDEX('Primary - GRADING'!$A$1:$CP997,MATCH($A12,'Primary - GRADING'!$CP:$CP,0),59)</f>
        <v>#N/A</v>
      </c>
      <c r="I12" s="153" t="str">
        <f t="array" ref="I12">INDEX('Primary - GRADING'!$A$1:$CP997,MATCH($A12,'Primary - GRADING'!$CP:$CP,0),48)</f>
        <v>#N/A</v>
      </c>
      <c r="J12" s="153" t="str">
        <f t="array" ref="J12">INDEX('Primary - GRADING'!$A$1:$CP997,MATCH($A12,'Primary - GRADING'!$CP:$CP,0),49)</f>
        <v>#N/A</v>
      </c>
      <c r="K12" s="153" t="str">
        <f t="array" ref="K12">INDEX('Primary - GRADING'!$A$1:$CP997,MATCH($A12,'Primary - GRADING'!$CP:$CP,0),50)</f>
        <v>#N/A</v>
      </c>
      <c r="L12" s="153" t="str">
        <f t="array" ref="L12">INDEX('Primary - GRADING'!$A$1:$CP997,MATCH($A12,'Primary - GRADING'!$CP:$CP,0),51)</f>
        <v>#N/A</v>
      </c>
      <c r="M12" s="153" t="str">
        <f t="array" ref="M12">INDEX('Primary - GRADING'!$A$1:$CP997,MATCH($A12,'Primary - GRADING'!$CP:$CP,0),52)</f>
        <v>#N/A</v>
      </c>
      <c r="N12" s="153" t="str">
        <f t="array" ref="N12">INDEX('Primary - GRADING'!$A$1:$CP997,MATCH($A12,'Primary - GRADING'!$CP:$CP,0),53)</f>
        <v>#N/A</v>
      </c>
      <c r="O12" s="153" t="str">
        <f t="array" ref="O12">INDEX('Primary - GRADING'!$A$1:$CP997,MATCH($A12,'Primary - GRADING'!$CP:$CP,0),58)</f>
        <v>#N/A</v>
      </c>
      <c r="P12" s="153" t="str">
        <f t="array" ref="P12">INDEX('Primary - GRADING'!$A$1:$CP997,MATCH($A12,'Primary - GRADING'!$CP:$CP,0),5)</f>
        <v>#N/A</v>
      </c>
      <c r="Q12" s="153" t="str">
        <f t="array" ref="Q12">INDEX('Primary - GRADING'!$A$1:$CP997,MATCH($A12,'Primary - GRADING'!$CP:$CP,0),6)</f>
        <v>#N/A</v>
      </c>
      <c r="R12" s="153" t="str">
        <f t="array" ref="R12">INDEX('Primary - GRADING'!$A$1:$CP997,MATCH($A12,'Primary - GRADING'!$CP:$CP,0),7)</f>
        <v>#N/A</v>
      </c>
      <c r="S12" s="153" t="str">
        <f t="array" ref="S12">INDEX('Primary - GRADING'!$A$1:$CP997,MATCH($A12,'Primary - GRADING'!$CP:$CP,0),8)</f>
        <v>#N/A</v>
      </c>
      <c r="T12" s="153" t="str">
        <f t="array" ref="T12">INDEX('Primary - GRADING'!$A$1:$CP997,MATCH($A12,'Primary - GRADING'!$CP:$CP,0),9)</f>
        <v>#N/A</v>
      </c>
      <c r="U12" s="153" t="str">
        <f t="array" ref="U12">INDEX('Primary - GRADING'!$A$1:$CP997,MATCH($A12,'Primary - GRADING'!$CP:$CP,0),10)</f>
        <v>#N/A</v>
      </c>
      <c r="V12" s="153" t="str">
        <f t="array" ref="V12">INDEX('Primary - GRADING'!$A$1:$CP997,MATCH($A12,'Primary - GRADING'!$CP:$CP,0),18)</f>
        <v>#N/A</v>
      </c>
      <c r="W12" s="153" t="str">
        <f t="array" ref="W12">INDEX('Primary - GRADING'!$A$1:$CP997,MATCH($A12,'Primary - GRADING'!$CP:$CP,0),20)</f>
        <v>#N/A</v>
      </c>
      <c r="X12" s="153" t="str">
        <f t="array" ref="X12">INDEX('Primary - GRADING'!$A$1:$CP997,MATCH($A12,'Primary - GRADING'!$CP:$CP,0),21)</f>
        <v>#N/A</v>
      </c>
      <c r="Y12" s="153" t="str">
        <f t="array" ref="Y12">INDEX('Primary - GRADING'!$A$1:$CP997,MATCH($A12,'Primary - GRADING'!$CP:$CP,0),22)</f>
        <v>#N/A</v>
      </c>
      <c r="Z12" s="165" t="str">
        <f t="array" ref="Z12">INDEX('Primary - GRADING'!$A$1:$CP997,MATCH($A12,'Primary - GRADING'!$CP:$CP,0),23)</f>
        <v>#N/A</v>
      </c>
      <c r="AA12" s="153" t="str">
        <f t="array" ref="AA12">INDEX('Primary - GRADING'!$A$1:$CP997,MATCH($A12,'Primary - GRADING'!$CP:$CP,0),24)</f>
        <v>#N/A</v>
      </c>
      <c r="AB12" s="153" t="str">
        <f t="array" ref="AB12">INDEX('Primary - GRADING'!$A$1:$CP997,MATCH($A12,'Primary - GRADING'!$CP:$CP,0),25)</f>
        <v>#N/A</v>
      </c>
      <c r="AC12" s="153" t="str">
        <f t="array" ref="AC12">INDEX('Primary - GRADING'!$A$1:$CP997,MATCH($A12,'Primary - GRADING'!$CP:$CP,0),46)</f>
        <v>#N/A</v>
      </c>
      <c r="AG12" s="153" t="str">
        <f t="shared" si="7"/>
        <v>#N/A</v>
      </c>
      <c r="AI12" s="153" t="str">
        <f>VLOOKUP(AH12,'Primary - GRADING'!$A$4:$C997,2,)</f>
        <v>#N/A</v>
      </c>
      <c r="AJ12" s="153" t="str">
        <f>VLOOKUP(AH12,'Primary - GRADING'!$A$4:$C997,3,)</f>
        <v>#N/A</v>
      </c>
      <c r="AK12" s="153" t="str">
        <f>VLOOKUP(AH12,'Primary - GRADING'!$A$4:$BG997,59,)</f>
        <v>#N/A</v>
      </c>
      <c r="AL12" s="153" t="str">
        <f>IFS(AK12="NMA",VLOOKUP(AH12,'Primary - GRADING'!$A$4:$BG997,51,),AK12="DIRECT",VLOOKUP(AH12,'Primary - GRADING'!$A$4:$BG997,8,),AK12="INDIRECT",VLOOKUP(AH12,'Primary - GRADING'!$A$4:$BG997,23,))</f>
        <v>#N/A</v>
      </c>
      <c r="AM12" s="153" t="str">
        <f>IFS(AK12="NMA",VLOOKUP(AH12,'Primary - GRADING'!$A$4:$BG997,52,),AK12="DIRECT",VLOOKUP(AH12,'Primary - GRADING'!$A$4:$BG997,9,),AK12="INDIRECT",VLOOKUP(AH12,'Primary - GRADING'!$A$4:$BG997,24,))</f>
        <v>#N/A</v>
      </c>
      <c r="AN12" s="153" t="str">
        <f>IFS(AK12="NMA",VLOOKUP(AH12,'Primary - GRADING'!$A$4:$BG997,53,),AK12="DIRECT",VLOOKUP(AH12,'Primary - GRADING'!$A$4:$BG997,10,),AK12="INDIRECT",VLOOKUP(AH12,'Primary - GRADING'!$A$4:$BG997,25,))</f>
        <v>#N/A</v>
      </c>
      <c r="AO12" s="153" t="str">
        <f t="shared" si="8"/>
        <v>#N/A</v>
      </c>
      <c r="AT12" s="153" t="str">
        <f t="shared" si="9"/>
        <v>#N/A</v>
      </c>
      <c r="AV12" s="153" t="str">
        <f>VLOOKUP(AU12,'Primary - GRADING'!$A$4:$C997,2,)</f>
        <v>#N/A</v>
      </c>
      <c r="AW12" s="153" t="str">
        <f>VLOOKUP(AU12,'Primary - GRADING'!$A$4:$C997,3,)</f>
        <v>#N/A</v>
      </c>
      <c r="AX12" s="153" t="str">
        <f>VLOOKUP(AU12,'Primary - GRADING'!$A$4:$BG997,59,)</f>
        <v>#N/A</v>
      </c>
      <c r="AY12" s="153" t="str">
        <f>IFS(AX12="NMA",VLOOKUP(AU12,'Primary - GRADING'!$A$4:$BG997,51,),AX12="DIRECT",VLOOKUP(AU12,'Primary - GRADING'!$A$4:$BG997,8,),AX12="INDIRECT",VLOOKUP(AU12,'Primary - GRADING'!$A$4:$BG997,23,))</f>
        <v>#N/A</v>
      </c>
      <c r="AZ12" s="153" t="str">
        <f>IFS(AX12="NMA",VLOOKUP(AU12,'Primary - GRADING'!$A$4:$BG997,52,),AX12="DIRECT",VLOOKUP(AU12,'Primary - GRADING'!$A$4:$BG997,9,),AX12="INDIRECT",VLOOKUP(AU12,'Primary - GRADING'!$A$4:$BG997,24,))</f>
        <v>#N/A</v>
      </c>
      <c r="BA12" s="153" t="str">
        <f>IFS(AX12="NMA",VLOOKUP(AU12,'Primary - GRADING'!$A$4:$BG997,53,),AX12="DIRECT",VLOOKUP(AU12,'Primary - GRADING'!$A$4:$BG997,10,),AX12="INDIRECT",VLOOKUP(AU12,'Primary - GRADING'!$A$4:$BG997,25,))</f>
        <v>#N/A</v>
      </c>
      <c r="BB12" s="153" t="str">
        <f t="shared" si="10"/>
        <v>#N/A</v>
      </c>
      <c r="BE12" s="153" t="str">
        <f t="shared" si="11"/>
        <v/>
      </c>
      <c r="BG12" s="153" t="str">
        <f t="shared" si="12"/>
        <v>#N/A</v>
      </c>
      <c r="BI12" s="153" t="str">
        <f t="shared" si="13"/>
        <v>#N/A</v>
      </c>
      <c r="BK12" s="153" t="str">
        <f t="shared" si="14"/>
        <v>#N/A</v>
      </c>
      <c r="BM12" s="153" t="str">
        <f t="shared" si="15"/>
        <v>#N/A</v>
      </c>
    </row>
    <row r="13" ht="15.75" customHeight="1">
      <c r="A13" s="64"/>
      <c r="B13" s="160" t="str">
        <f t="shared" si="1"/>
        <v>#N/A</v>
      </c>
      <c r="C13" s="160" t="str">
        <f t="shared" si="2"/>
        <v>#N/A</v>
      </c>
      <c r="D13" s="160" t="str">
        <f t="shared" si="3"/>
        <v>#N/A</v>
      </c>
      <c r="E13" s="161" t="str">
        <f t="shared" si="4"/>
        <v>#N/A</v>
      </c>
      <c r="F13" s="153" t="str">
        <f t="shared" si="17"/>
        <v>#N/A</v>
      </c>
      <c r="G13" s="153" t="str">
        <f t="shared" si="6"/>
        <v>#N/A</v>
      </c>
      <c r="H13" s="156" t="str">
        <f t="array" ref="H13">INDEX('Primary - GRADING'!$A$1:$BG997,MATCH($A13,'Primary - GRADING'!$B:$B,0),59)</f>
        <v>#N/A</v>
      </c>
      <c r="I13" s="153" t="str">
        <f t="array" ref="I13">INDEX('Primary - GRADING'!$A$1:$CP997,MATCH($A13,'Primary - GRADING'!$CP:$CP,0),48)</f>
        <v>#N/A</v>
      </c>
      <c r="J13" s="153" t="str">
        <f t="array" ref="J13">INDEX('Primary - GRADING'!$A$1:$CP997,MATCH($A13,'Primary - GRADING'!$CP:$CP,0),49)</f>
        <v>#N/A</v>
      </c>
      <c r="K13" s="153" t="str">
        <f t="array" ref="K13">INDEX('Primary - GRADING'!$A$1:$CP997,MATCH($A13,'Primary - GRADING'!$CP:$CP,0),50)</f>
        <v>#N/A</v>
      </c>
      <c r="L13" s="153" t="str">
        <f t="array" ref="L13">INDEX('Primary - GRADING'!$A$1:$CP997,MATCH($A13,'Primary - GRADING'!$CP:$CP,0),51)</f>
        <v>#N/A</v>
      </c>
      <c r="M13" s="153" t="str">
        <f t="array" ref="M13">INDEX('Primary - GRADING'!$A$1:$CP997,MATCH($A13,'Primary - GRADING'!$CP:$CP,0),52)</f>
        <v>#N/A</v>
      </c>
      <c r="N13" s="153" t="str">
        <f t="array" ref="N13">INDEX('Primary - GRADING'!$A$1:$CP997,MATCH($A13,'Primary - GRADING'!$CP:$CP,0),53)</f>
        <v>#N/A</v>
      </c>
      <c r="O13" s="153" t="str">
        <f t="array" ref="O13">INDEX('Primary - GRADING'!$A$1:$CP997,MATCH($A13,'Primary - GRADING'!$CP:$CP,0),58)</f>
        <v>#N/A</v>
      </c>
      <c r="P13" s="153" t="str">
        <f t="array" ref="P13">INDEX('Primary - GRADING'!$A$1:$CP997,MATCH($A13,'Primary - GRADING'!$CP:$CP,0),5)</f>
        <v>#N/A</v>
      </c>
      <c r="Q13" s="153" t="str">
        <f t="array" ref="Q13">INDEX('Primary - GRADING'!$A$1:$CP997,MATCH($A13,'Primary - GRADING'!$CP:$CP,0),6)</f>
        <v>#N/A</v>
      </c>
      <c r="R13" s="153" t="str">
        <f t="array" ref="R13">INDEX('Primary - GRADING'!$A$1:$CP997,MATCH($A13,'Primary - GRADING'!$CP:$CP,0),7)</f>
        <v>#N/A</v>
      </c>
      <c r="S13" s="153" t="str">
        <f t="array" ref="S13">INDEX('Primary - GRADING'!$A$1:$CP997,MATCH($A13,'Primary - GRADING'!$CP:$CP,0),8)</f>
        <v>#N/A</v>
      </c>
      <c r="T13" s="153" t="str">
        <f t="array" ref="T13">INDEX('Primary - GRADING'!$A$1:$CP997,MATCH($A13,'Primary - GRADING'!$CP:$CP,0),9)</f>
        <v>#N/A</v>
      </c>
      <c r="U13" s="153" t="str">
        <f t="array" ref="U13">INDEX('Primary - GRADING'!$A$1:$CP997,MATCH($A13,'Primary - GRADING'!$CP:$CP,0),10)</f>
        <v>#N/A</v>
      </c>
      <c r="V13" s="153" t="str">
        <f t="array" ref="V13">INDEX('Primary - GRADING'!$A$1:$CP997,MATCH($A13,'Primary - GRADING'!$CP:$CP,0),18)</f>
        <v>#N/A</v>
      </c>
      <c r="W13" s="153" t="str">
        <f t="array" ref="W13">INDEX('Primary - GRADING'!$A$1:$CP997,MATCH($A13,'Primary - GRADING'!$CP:$CP,0),20)</f>
        <v>#N/A</v>
      </c>
      <c r="X13" s="153" t="str">
        <f t="array" ref="X13">INDEX('Primary - GRADING'!$A$1:$CP997,MATCH($A13,'Primary - GRADING'!$CP:$CP,0),21)</f>
        <v>#N/A</v>
      </c>
      <c r="Y13" s="153" t="str">
        <f t="array" ref="Y13">INDEX('Primary - GRADING'!$A$1:$CP997,MATCH($A13,'Primary - GRADING'!$CP:$CP,0),22)</f>
        <v>#N/A</v>
      </c>
      <c r="Z13" s="165" t="str">
        <f t="array" ref="Z13">INDEX('Primary - GRADING'!$A$1:$CP997,MATCH($A13,'Primary - GRADING'!$CP:$CP,0),23)</f>
        <v>#N/A</v>
      </c>
      <c r="AA13" s="153" t="str">
        <f t="array" ref="AA13">INDEX('Primary - GRADING'!$A$1:$CP997,MATCH($A13,'Primary - GRADING'!$CP:$CP,0),24)</f>
        <v>#N/A</v>
      </c>
      <c r="AB13" s="153" t="str">
        <f t="array" ref="AB13">INDEX('Primary - GRADING'!$A$1:$CP997,MATCH($A13,'Primary - GRADING'!$CP:$CP,0),25)</f>
        <v>#N/A</v>
      </c>
      <c r="AC13" s="153" t="str">
        <f t="array" ref="AC13">INDEX('Primary - GRADING'!$A$1:$CP997,MATCH($A13,'Primary - GRADING'!$CP:$CP,0),46)</f>
        <v>#N/A</v>
      </c>
      <c r="AG13" s="153" t="str">
        <f t="shared" si="7"/>
        <v>#N/A</v>
      </c>
      <c r="AI13" s="153" t="str">
        <f>VLOOKUP(AH13,'Primary - GRADING'!$A$4:$C997,2,)</f>
        <v>#N/A</v>
      </c>
      <c r="AJ13" s="153" t="str">
        <f>VLOOKUP(AH13,'Primary - GRADING'!$A$4:$C997,3,)</f>
        <v>#N/A</v>
      </c>
      <c r="AK13" s="153" t="str">
        <f>VLOOKUP(AH13,'Primary - GRADING'!$A$4:$BG997,59,)</f>
        <v>#N/A</v>
      </c>
      <c r="AL13" s="153" t="str">
        <f>IFS(AK13="NMA",VLOOKUP(AH13,'Primary - GRADING'!$A$4:$BG997,51,),AK13="DIRECT",VLOOKUP(AH13,'Primary - GRADING'!$A$4:$BG997,8,),AK13="INDIRECT",VLOOKUP(AH13,'Primary - GRADING'!$A$4:$BG997,23,))</f>
        <v>#N/A</v>
      </c>
      <c r="AM13" s="153" t="str">
        <f>IFS(AK13="NMA",VLOOKUP(AH13,'Primary - GRADING'!$A$4:$BG997,52,),AK13="DIRECT",VLOOKUP(AH13,'Primary - GRADING'!$A$4:$BG997,9,),AK13="INDIRECT",VLOOKUP(AH13,'Primary - GRADING'!$A$4:$BG997,24,))</f>
        <v>#N/A</v>
      </c>
      <c r="AN13" s="153" t="str">
        <f>IFS(AK13="NMA",VLOOKUP(AH13,'Primary - GRADING'!$A$4:$BG997,53,),AK13="DIRECT",VLOOKUP(AH13,'Primary - GRADING'!$A$4:$BG997,10,),AK13="INDIRECT",VLOOKUP(AH13,'Primary - GRADING'!$A$4:$BG997,25,))</f>
        <v>#N/A</v>
      </c>
      <c r="AO13" s="153" t="str">
        <f t="shared" si="8"/>
        <v>#N/A</v>
      </c>
      <c r="AT13" s="153" t="str">
        <f t="shared" si="9"/>
        <v>#N/A</v>
      </c>
      <c r="AV13" s="153" t="str">
        <f>VLOOKUP(AU13,'Primary - GRADING'!$A$4:$C997,2,)</f>
        <v>#N/A</v>
      </c>
      <c r="AW13" s="153" t="str">
        <f>VLOOKUP(AU13,'Primary - GRADING'!$A$4:$C997,3,)</f>
        <v>#N/A</v>
      </c>
      <c r="AX13" s="153" t="str">
        <f>VLOOKUP(AU13,'Primary - GRADING'!$A$4:$BG997,59,)</f>
        <v>#N/A</v>
      </c>
      <c r="AY13" s="153" t="str">
        <f>IFS(AX13="NMA",VLOOKUP(AU13,'Primary - GRADING'!$A$4:$BG997,51,),AX13="DIRECT",VLOOKUP(AU13,'Primary - GRADING'!$A$4:$BG997,8,),AX13="INDIRECT",VLOOKUP(AU13,'Primary - GRADING'!$A$4:$BG997,23,))</f>
        <v>#N/A</v>
      </c>
      <c r="AZ13" s="153" t="str">
        <f>IFS(AX13="NMA",VLOOKUP(AU13,'Primary - GRADING'!$A$4:$BG997,52,),AX13="DIRECT",VLOOKUP(AU13,'Primary - GRADING'!$A$4:$BG997,9,),AX13="INDIRECT",VLOOKUP(AU13,'Primary - GRADING'!$A$4:$BG997,24,))</f>
        <v>#N/A</v>
      </c>
      <c r="BA13" s="153" t="str">
        <f>IFS(AX13="NMA",VLOOKUP(AU13,'Primary - GRADING'!$A$4:$BG997,53,),AX13="DIRECT",VLOOKUP(AU13,'Primary - GRADING'!$A$4:$BG997,10,),AX13="INDIRECT",VLOOKUP(AU13,'Primary - GRADING'!$A$4:$BG997,25,))</f>
        <v>#N/A</v>
      </c>
      <c r="BB13" s="153" t="str">
        <f t="shared" si="10"/>
        <v>#N/A</v>
      </c>
      <c r="BE13" s="153" t="str">
        <f t="shared" si="11"/>
        <v/>
      </c>
      <c r="BG13" s="153" t="str">
        <f t="shared" si="12"/>
        <v>#N/A</v>
      </c>
      <c r="BI13" s="153" t="str">
        <f t="shared" si="13"/>
        <v>#N/A</v>
      </c>
      <c r="BK13" s="153" t="str">
        <f t="shared" si="14"/>
        <v>#N/A</v>
      </c>
      <c r="BM13" s="153" t="str">
        <f t="shared" si="15"/>
        <v>#N/A</v>
      </c>
    </row>
    <row r="14" ht="15.75" customHeight="1">
      <c r="A14" s="64"/>
      <c r="B14" s="160" t="str">
        <f t="shared" si="1"/>
        <v>#N/A</v>
      </c>
      <c r="C14" s="160" t="str">
        <f t="shared" si="2"/>
        <v>#N/A</v>
      </c>
      <c r="D14" s="160" t="str">
        <f t="shared" si="3"/>
        <v>#N/A</v>
      </c>
      <c r="E14" s="161" t="str">
        <f t="shared" si="4"/>
        <v>#N/A</v>
      </c>
      <c r="F14" s="153" t="str">
        <f t="shared" si="17"/>
        <v>#N/A</v>
      </c>
      <c r="G14" s="153" t="str">
        <f t="shared" si="6"/>
        <v>#N/A</v>
      </c>
      <c r="H14" s="156" t="str">
        <f t="array" ref="H14">INDEX('Primary - GRADING'!$A$1:$BG997,MATCH($A14,'Primary - GRADING'!$B:$B,0),59)</f>
        <v>#N/A</v>
      </c>
      <c r="I14" s="153" t="str">
        <f t="array" ref="I14">INDEX('Primary - GRADING'!$A$1:$CP997,MATCH($A14,'Primary - GRADING'!$CP:$CP,0),48)</f>
        <v>#N/A</v>
      </c>
      <c r="J14" s="153" t="str">
        <f t="array" ref="J14">INDEX('Primary - GRADING'!$A$1:$CP997,MATCH($A14,'Primary - GRADING'!$CP:$CP,0),49)</f>
        <v>#N/A</v>
      </c>
      <c r="K14" s="153" t="str">
        <f t="array" ref="K14">INDEX('Primary - GRADING'!$A$1:$CP997,MATCH($A14,'Primary - GRADING'!$CP:$CP,0),50)</f>
        <v>#N/A</v>
      </c>
      <c r="L14" s="153" t="str">
        <f t="array" ref="L14">INDEX('Primary - GRADING'!$A$1:$CP997,MATCH($A14,'Primary - GRADING'!$CP:$CP,0),51)</f>
        <v>#N/A</v>
      </c>
      <c r="M14" s="153" t="str">
        <f t="array" ref="M14">INDEX('Primary - GRADING'!$A$1:$CP997,MATCH($A14,'Primary - GRADING'!$CP:$CP,0),52)</f>
        <v>#N/A</v>
      </c>
      <c r="N14" s="153" t="str">
        <f t="array" ref="N14">INDEX('Primary - GRADING'!$A$1:$CP997,MATCH($A14,'Primary - GRADING'!$CP:$CP,0),53)</f>
        <v>#N/A</v>
      </c>
      <c r="O14" s="153" t="str">
        <f t="array" ref="O14">INDEX('Primary - GRADING'!$A$1:$CP997,MATCH($A14,'Primary - GRADING'!$CP:$CP,0),58)</f>
        <v>#N/A</v>
      </c>
      <c r="P14" s="153" t="str">
        <f t="array" ref="P14">INDEX('Primary - GRADING'!$A$1:$CP997,MATCH($A14,'Primary - GRADING'!$CP:$CP,0),5)</f>
        <v>#N/A</v>
      </c>
      <c r="Q14" s="153" t="str">
        <f t="array" ref="Q14">INDEX('Primary - GRADING'!$A$1:$CP997,MATCH($A14,'Primary - GRADING'!$CP:$CP,0),6)</f>
        <v>#N/A</v>
      </c>
      <c r="R14" s="153" t="str">
        <f t="array" ref="R14">INDEX('Primary - GRADING'!$A$1:$CP997,MATCH($A14,'Primary - GRADING'!$CP:$CP,0),7)</f>
        <v>#N/A</v>
      </c>
      <c r="S14" s="153" t="str">
        <f t="array" ref="S14">INDEX('Primary - GRADING'!$A$1:$CP997,MATCH($A14,'Primary - GRADING'!$CP:$CP,0),8)</f>
        <v>#N/A</v>
      </c>
      <c r="T14" s="153" t="str">
        <f t="array" ref="T14">INDEX('Primary - GRADING'!$A$1:$CP997,MATCH($A14,'Primary - GRADING'!$CP:$CP,0),9)</f>
        <v>#N/A</v>
      </c>
      <c r="U14" s="153" t="str">
        <f t="array" ref="U14">INDEX('Primary - GRADING'!$A$1:$CP997,MATCH($A14,'Primary - GRADING'!$CP:$CP,0),10)</f>
        <v>#N/A</v>
      </c>
      <c r="V14" s="153" t="str">
        <f t="array" ref="V14">INDEX('Primary - GRADING'!$A$1:$CP997,MATCH($A14,'Primary - GRADING'!$CP:$CP,0),18)</f>
        <v>#N/A</v>
      </c>
      <c r="W14" s="153" t="str">
        <f t="array" ref="W14">INDEX('Primary - GRADING'!$A$1:$CP997,MATCH($A14,'Primary - GRADING'!$CP:$CP,0),20)</f>
        <v>#N/A</v>
      </c>
      <c r="X14" s="153" t="str">
        <f t="array" ref="X14">INDEX('Primary - GRADING'!$A$1:$CP997,MATCH($A14,'Primary - GRADING'!$CP:$CP,0),21)</f>
        <v>#N/A</v>
      </c>
      <c r="Y14" s="153" t="str">
        <f t="array" ref="Y14">INDEX('Primary - GRADING'!$A$1:$CP997,MATCH($A14,'Primary - GRADING'!$CP:$CP,0),22)</f>
        <v>#N/A</v>
      </c>
      <c r="Z14" s="165" t="str">
        <f t="array" ref="Z14">INDEX('Primary - GRADING'!$A$1:$CP997,MATCH($A14,'Primary - GRADING'!$CP:$CP,0),23)</f>
        <v>#N/A</v>
      </c>
      <c r="AA14" s="153" t="str">
        <f t="array" ref="AA14">INDEX('Primary - GRADING'!$A$1:$CP997,MATCH($A14,'Primary - GRADING'!$CP:$CP,0),24)</f>
        <v>#N/A</v>
      </c>
      <c r="AB14" s="153" t="str">
        <f t="array" ref="AB14">INDEX('Primary - GRADING'!$A$1:$CP997,MATCH($A14,'Primary - GRADING'!$CP:$CP,0),25)</f>
        <v>#N/A</v>
      </c>
      <c r="AC14" s="153" t="str">
        <f t="array" ref="AC14">INDEX('Primary - GRADING'!$A$1:$CP997,MATCH($A14,'Primary - GRADING'!$CP:$CP,0),46)</f>
        <v>#N/A</v>
      </c>
      <c r="AG14" s="153" t="str">
        <f t="shared" si="7"/>
        <v>#N/A</v>
      </c>
      <c r="AI14" s="153" t="str">
        <f>VLOOKUP(AH14,'Primary - GRADING'!$A$4:$C997,2,)</f>
        <v>#N/A</v>
      </c>
      <c r="AJ14" s="153" t="str">
        <f>VLOOKUP(AH14,'Primary - GRADING'!$A$4:$C997,3,)</f>
        <v>#N/A</v>
      </c>
      <c r="AK14" s="153" t="str">
        <f>VLOOKUP(AH14,'Primary - GRADING'!$A$4:$BG997,59,)</f>
        <v>#N/A</v>
      </c>
      <c r="AL14" s="153" t="str">
        <f>IFS(AK14="NMA",VLOOKUP(AH14,'Primary - GRADING'!$A$4:$BG997,51,),AK14="DIRECT",VLOOKUP(AH14,'Primary - GRADING'!$A$4:$BG997,8,),AK14="INDIRECT",VLOOKUP(AH14,'Primary - GRADING'!$A$4:$BG997,23,))</f>
        <v>#N/A</v>
      </c>
      <c r="AM14" s="153" t="str">
        <f>IFS(AK14="NMA",VLOOKUP(AH14,'Primary - GRADING'!$A$4:$BG997,52,),AK14="DIRECT",VLOOKUP(AH14,'Primary - GRADING'!$A$4:$BG997,9,),AK14="INDIRECT",VLOOKUP(AH14,'Primary - GRADING'!$A$4:$BG997,24,))</f>
        <v>#N/A</v>
      </c>
      <c r="AN14" s="153" t="str">
        <f>IFS(AK14="NMA",VLOOKUP(AH14,'Primary - GRADING'!$A$4:$BG997,53,),AK14="DIRECT",VLOOKUP(AH14,'Primary - GRADING'!$A$4:$BG997,10,),AK14="INDIRECT",VLOOKUP(AH14,'Primary - GRADING'!$A$4:$BG997,25,))</f>
        <v>#N/A</v>
      </c>
      <c r="AO14" s="153" t="str">
        <f t="shared" si="8"/>
        <v>#N/A</v>
      </c>
      <c r="AT14" s="153" t="str">
        <f t="shared" si="9"/>
        <v>#N/A</v>
      </c>
      <c r="AV14" s="153" t="str">
        <f>VLOOKUP(AU14,'Primary - GRADING'!$A$4:$C997,2,)</f>
        <v>#N/A</v>
      </c>
      <c r="AW14" s="153" t="str">
        <f>VLOOKUP(AU14,'Primary - GRADING'!$A$4:$C997,3,)</f>
        <v>#N/A</v>
      </c>
      <c r="AX14" s="153" t="str">
        <f>VLOOKUP(AU14,'Primary - GRADING'!$A$4:$BG997,59,)</f>
        <v>#N/A</v>
      </c>
      <c r="AY14" s="153" t="str">
        <f>IFS(AX14="NMA",VLOOKUP(AU14,'Primary - GRADING'!$A$4:$BG997,51,),AX14="DIRECT",VLOOKUP(AU14,'Primary - GRADING'!$A$4:$BG997,8,),AX14="INDIRECT",VLOOKUP(AU14,'Primary - GRADING'!$A$4:$BG997,23,))</f>
        <v>#N/A</v>
      </c>
      <c r="AZ14" s="153" t="str">
        <f>IFS(AX14="NMA",VLOOKUP(AU14,'Primary - GRADING'!$A$4:$BG997,52,),AX14="DIRECT",VLOOKUP(AU14,'Primary - GRADING'!$A$4:$BG997,9,),AX14="INDIRECT",VLOOKUP(AU14,'Primary - GRADING'!$A$4:$BG997,24,))</f>
        <v>#N/A</v>
      </c>
      <c r="BA14" s="153" t="str">
        <f>IFS(AX14="NMA",VLOOKUP(AU14,'Primary - GRADING'!$A$4:$BG997,53,),AX14="DIRECT",VLOOKUP(AU14,'Primary - GRADING'!$A$4:$BG997,10,),AX14="INDIRECT",VLOOKUP(AU14,'Primary - GRADING'!$A$4:$BG997,25,))</f>
        <v>#N/A</v>
      </c>
      <c r="BB14" s="153" t="str">
        <f t="shared" si="10"/>
        <v>#N/A</v>
      </c>
      <c r="BE14" s="153" t="str">
        <f t="shared" si="11"/>
        <v/>
      </c>
      <c r="BG14" s="153" t="str">
        <f t="shared" si="12"/>
        <v>#N/A</v>
      </c>
      <c r="BI14" s="153" t="str">
        <f t="shared" si="13"/>
        <v>#N/A</v>
      </c>
      <c r="BK14" s="153" t="str">
        <f t="shared" si="14"/>
        <v>#N/A</v>
      </c>
      <c r="BM14" s="153" t="str">
        <f t="shared" si="15"/>
        <v>#N/A</v>
      </c>
    </row>
    <row r="15" ht="15.75" customHeight="1">
      <c r="A15" s="64"/>
      <c r="B15" s="160" t="str">
        <f t="shared" si="1"/>
        <v>#N/A</v>
      </c>
      <c r="C15" s="160" t="str">
        <f t="shared" si="2"/>
        <v>#N/A</v>
      </c>
      <c r="D15" s="160" t="str">
        <f t="shared" si="3"/>
        <v>#N/A</v>
      </c>
      <c r="E15" s="161" t="str">
        <f t="shared" si="4"/>
        <v>#N/A</v>
      </c>
      <c r="F15" s="153" t="str">
        <f t="shared" si="17"/>
        <v>#N/A</v>
      </c>
      <c r="G15" s="153" t="str">
        <f t="shared" si="6"/>
        <v>#N/A</v>
      </c>
      <c r="H15" s="156" t="str">
        <f t="array" ref="H15">INDEX('Primary - GRADING'!$A$1:$BG997,MATCH($A15,'Primary - GRADING'!$B:$B,0),59)</f>
        <v>#N/A</v>
      </c>
      <c r="I15" s="153" t="str">
        <f t="array" ref="I15">INDEX('Primary - GRADING'!$A$1:$CP997,MATCH($A15,'Primary - GRADING'!$CP:$CP,0),48)</f>
        <v>#N/A</v>
      </c>
      <c r="J15" s="153" t="str">
        <f t="array" ref="J15">INDEX('Primary - GRADING'!$A$1:$CP997,MATCH($A15,'Primary - GRADING'!$CP:$CP,0),49)</f>
        <v>#N/A</v>
      </c>
      <c r="K15" s="153" t="str">
        <f t="array" ref="K15">INDEX('Primary - GRADING'!$A$1:$CP997,MATCH($A15,'Primary - GRADING'!$CP:$CP,0),50)</f>
        <v>#N/A</v>
      </c>
      <c r="L15" s="153" t="str">
        <f t="array" ref="L15">INDEX('Primary - GRADING'!$A$1:$CP997,MATCH($A15,'Primary - GRADING'!$CP:$CP,0),51)</f>
        <v>#N/A</v>
      </c>
      <c r="M15" s="153" t="str">
        <f t="array" ref="M15">INDEX('Primary - GRADING'!$A$1:$CP997,MATCH($A15,'Primary - GRADING'!$CP:$CP,0),52)</f>
        <v>#N/A</v>
      </c>
      <c r="N15" s="153" t="str">
        <f t="array" ref="N15">INDEX('Primary - GRADING'!$A$1:$CP997,MATCH($A15,'Primary - GRADING'!$CP:$CP,0),53)</f>
        <v>#N/A</v>
      </c>
      <c r="O15" s="153" t="str">
        <f t="array" ref="O15">INDEX('Primary - GRADING'!$A$1:$CP997,MATCH($A15,'Primary - GRADING'!$CP:$CP,0),58)</f>
        <v>#N/A</v>
      </c>
      <c r="P15" s="153" t="str">
        <f t="array" ref="P15">INDEX('Primary - GRADING'!$A$1:$CP997,MATCH($A15,'Primary - GRADING'!$CP:$CP,0),5)</f>
        <v>#N/A</v>
      </c>
      <c r="Q15" s="153" t="str">
        <f t="array" ref="Q15">INDEX('Primary - GRADING'!$A$1:$CP997,MATCH($A15,'Primary - GRADING'!$CP:$CP,0),6)</f>
        <v>#N/A</v>
      </c>
      <c r="R15" s="153" t="str">
        <f t="array" ref="R15">INDEX('Primary - GRADING'!$A$1:$CP997,MATCH($A15,'Primary - GRADING'!$CP:$CP,0),7)</f>
        <v>#N/A</v>
      </c>
      <c r="S15" s="153" t="str">
        <f t="array" ref="S15">INDEX('Primary - GRADING'!$A$1:$CP997,MATCH($A15,'Primary - GRADING'!$CP:$CP,0),8)</f>
        <v>#N/A</v>
      </c>
      <c r="T15" s="153" t="str">
        <f t="array" ref="T15">INDEX('Primary - GRADING'!$A$1:$CP997,MATCH($A15,'Primary - GRADING'!$CP:$CP,0),9)</f>
        <v>#N/A</v>
      </c>
      <c r="U15" s="153" t="str">
        <f t="array" ref="U15">INDEX('Primary - GRADING'!$A$1:$CP997,MATCH($A15,'Primary - GRADING'!$CP:$CP,0),10)</f>
        <v>#N/A</v>
      </c>
      <c r="V15" s="153" t="str">
        <f t="array" ref="V15">INDEX('Primary - GRADING'!$A$1:$CP997,MATCH($A15,'Primary - GRADING'!$CP:$CP,0),18)</f>
        <v>#N/A</v>
      </c>
      <c r="W15" s="153" t="str">
        <f t="array" ref="W15">INDEX('Primary - GRADING'!$A$1:$CP997,MATCH($A15,'Primary - GRADING'!$CP:$CP,0),20)</f>
        <v>#N/A</v>
      </c>
      <c r="X15" s="153" t="str">
        <f t="array" ref="X15">INDEX('Primary - GRADING'!$A$1:$CP997,MATCH($A15,'Primary - GRADING'!$CP:$CP,0),21)</f>
        <v>#N/A</v>
      </c>
      <c r="Y15" s="153" t="str">
        <f t="array" ref="Y15">INDEX('Primary - GRADING'!$A$1:$CP997,MATCH($A15,'Primary - GRADING'!$CP:$CP,0),22)</f>
        <v>#N/A</v>
      </c>
      <c r="Z15" s="165" t="str">
        <f t="array" ref="Z15">INDEX('Primary - GRADING'!$A$1:$CP997,MATCH($A15,'Primary - GRADING'!$CP:$CP,0),23)</f>
        <v>#N/A</v>
      </c>
      <c r="AA15" s="153" t="str">
        <f t="array" ref="AA15">INDEX('Primary - GRADING'!$A$1:$CP997,MATCH($A15,'Primary - GRADING'!$CP:$CP,0),24)</f>
        <v>#N/A</v>
      </c>
      <c r="AB15" s="153" t="str">
        <f t="array" ref="AB15">INDEX('Primary - GRADING'!$A$1:$CP997,MATCH($A15,'Primary - GRADING'!$CP:$CP,0),25)</f>
        <v>#N/A</v>
      </c>
      <c r="AC15" s="153" t="str">
        <f t="array" ref="AC15">INDEX('Primary - GRADING'!$A$1:$CP997,MATCH($A15,'Primary - GRADING'!$CP:$CP,0),46)</f>
        <v>#N/A</v>
      </c>
      <c r="AG15" s="153" t="str">
        <f t="shared" si="7"/>
        <v>#N/A</v>
      </c>
      <c r="AI15" s="153" t="str">
        <f>VLOOKUP(AH15,'Primary - GRADING'!$A$4:$C997,2,)</f>
        <v>#N/A</v>
      </c>
      <c r="AJ15" s="153" t="str">
        <f>VLOOKUP(AH15,'Primary - GRADING'!$A$4:$C997,3,)</f>
        <v>#N/A</v>
      </c>
      <c r="AK15" s="153" t="str">
        <f>VLOOKUP(AH15,'Primary - GRADING'!$A$4:$BG997,59,)</f>
        <v>#N/A</v>
      </c>
      <c r="AL15" s="153" t="str">
        <f>IFS(AK15="NMA",VLOOKUP(AH15,'Primary - GRADING'!$A$4:$BG997,51,),AK15="DIRECT",VLOOKUP(AH15,'Primary - GRADING'!$A$4:$BG997,8,),AK15="INDIRECT",VLOOKUP(AH15,'Primary - GRADING'!$A$4:$BG997,23,))</f>
        <v>#N/A</v>
      </c>
      <c r="AM15" s="153" t="str">
        <f>IFS(AK15="NMA",VLOOKUP(AH15,'Primary - GRADING'!$A$4:$BG997,52,),AK15="DIRECT",VLOOKUP(AH15,'Primary - GRADING'!$A$4:$BG997,9,),AK15="INDIRECT",VLOOKUP(AH15,'Primary - GRADING'!$A$4:$BG997,24,))</f>
        <v>#N/A</v>
      </c>
      <c r="AN15" s="153" t="str">
        <f>IFS(AK15="NMA",VLOOKUP(AH15,'Primary - GRADING'!$A$4:$BG997,53,),AK15="DIRECT",VLOOKUP(AH15,'Primary - GRADING'!$A$4:$BG997,10,),AK15="INDIRECT",VLOOKUP(AH15,'Primary - GRADING'!$A$4:$BG997,25,))</f>
        <v>#N/A</v>
      </c>
      <c r="AO15" s="153" t="str">
        <f t="shared" si="8"/>
        <v>#N/A</v>
      </c>
      <c r="AT15" s="153" t="str">
        <f t="shared" si="9"/>
        <v>#N/A</v>
      </c>
      <c r="AV15" s="153" t="str">
        <f>VLOOKUP(AU15,'Primary - GRADING'!$A$4:$C997,2,)</f>
        <v>#N/A</v>
      </c>
      <c r="AW15" s="153" t="str">
        <f>VLOOKUP(AU15,'Primary - GRADING'!$A$4:$C997,3,)</f>
        <v>#N/A</v>
      </c>
      <c r="AX15" s="153" t="str">
        <f>VLOOKUP(AU15,'Primary - GRADING'!$A$4:$BG997,59,)</f>
        <v>#N/A</v>
      </c>
      <c r="AY15" s="153" t="str">
        <f>IFS(AX15="NMA",VLOOKUP(AU15,'Primary - GRADING'!$A$4:$BG997,51,),AX15="DIRECT",VLOOKUP(AU15,'Primary - GRADING'!$A$4:$BG997,8,),AX15="INDIRECT",VLOOKUP(AU15,'Primary - GRADING'!$A$4:$BG997,23,))</f>
        <v>#N/A</v>
      </c>
      <c r="AZ15" s="153" t="str">
        <f>IFS(AX15="NMA",VLOOKUP(AU15,'Primary - GRADING'!$A$4:$BG997,52,),AX15="DIRECT",VLOOKUP(AU15,'Primary - GRADING'!$A$4:$BG997,9,),AX15="INDIRECT",VLOOKUP(AU15,'Primary - GRADING'!$A$4:$BG997,24,))</f>
        <v>#N/A</v>
      </c>
      <c r="BA15" s="153" t="str">
        <f>IFS(AX15="NMA",VLOOKUP(AU15,'Primary - GRADING'!$A$4:$BG997,53,),AX15="DIRECT",VLOOKUP(AU15,'Primary - GRADING'!$A$4:$BG997,10,),AX15="INDIRECT",VLOOKUP(AU15,'Primary - GRADING'!$A$4:$BG997,25,))</f>
        <v>#N/A</v>
      </c>
      <c r="BB15" s="153" t="str">
        <f t="shared" si="10"/>
        <v>#N/A</v>
      </c>
      <c r="BE15" s="153" t="str">
        <f t="shared" si="11"/>
        <v/>
      </c>
      <c r="BG15" s="153" t="str">
        <f t="shared" si="12"/>
        <v>#N/A</v>
      </c>
      <c r="BI15" s="153" t="str">
        <f t="shared" si="13"/>
        <v>#N/A</v>
      </c>
      <c r="BK15" s="153" t="str">
        <f t="shared" si="14"/>
        <v>#N/A</v>
      </c>
      <c r="BM15" s="153" t="str">
        <f t="shared" si="15"/>
        <v>#N/A</v>
      </c>
    </row>
    <row r="16" ht="15.75" customHeight="1">
      <c r="A16" s="166"/>
      <c r="B16" s="160" t="str">
        <f t="shared" si="1"/>
        <v>#N/A</v>
      </c>
      <c r="C16" s="160" t="str">
        <f t="shared" si="2"/>
        <v>#N/A</v>
      </c>
      <c r="D16" s="160" t="str">
        <f t="shared" si="3"/>
        <v>#N/A</v>
      </c>
      <c r="E16" s="161" t="str">
        <f t="shared" si="4"/>
        <v>#N/A</v>
      </c>
      <c r="F16" s="153" t="str">
        <f t="shared" si="17"/>
        <v>#N/A</v>
      </c>
      <c r="G16" s="153" t="str">
        <f t="shared" si="6"/>
        <v>#N/A</v>
      </c>
      <c r="H16" s="156" t="str">
        <f t="array" ref="H16">INDEX('Primary - GRADING'!$A$1:$BG997,MATCH($A16,'Primary - GRADING'!$B:$B,0),59)</f>
        <v>#N/A</v>
      </c>
      <c r="I16" s="153" t="str">
        <f t="array" ref="I16">INDEX('Primary - GRADING'!$A$1:$CP997,MATCH($A16,'Primary - GRADING'!$CP:$CP,0),48)</f>
        <v>#N/A</v>
      </c>
      <c r="J16" s="153" t="str">
        <f t="array" ref="J16">INDEX('Primary - GRADING'!$A$1:$CP997,MATCH($A16,'Primary - GRADING'!$CP:$CP,0),49)</f>
        <v>#N/A</v>
      </c>
      <c r="K16" s="153" t="str">
        <f t="array" ref="K16">INDEX('Primary - GRADING'!$A$1:$CP997,MATCH($A16,'Primary - GRADING'!$CP:$CP,0),50)</f>
        <v>#N/A</v>
      </c>
      <c r="L16" s="153" t="str">
        <f t="array" ref="L16">INDEX('Primary - GRADING'!$A$1:$CP997,MATCH($A16,'Primary - GRADING'!$CP:$CP,0),51)</f>
        <v>#N/A</v>
      </c>
      <c r="M16" s="153" t="str">
        <f t="array" ref="M16">INDEX('Primary - GRADING'!$A$1:$CP997,MATCH($A16,'Primary - GRADING'!$CP:$CP,0),52)</f>
        <v>#N/A</v>
      </c>
      <c r="N16" s="153" t="str">
        <f t="array" ref="N16">INDEX('Primary - GRADING'!$A$1:$CP997,MATCH($A16,'Primary - GRADING'!$CP:$CP,0),53)</f>
        <v>#N/A</v>
      </c>
      <c r="O16" s="153" t="str">
        <f t="array" ref="O16">INDEX('Primary - GRADING'!$A$1:$CP997,MATCH($A16,'Primary - GRADING'!$CP:$CP,0),58)</f>
        <v>#N/A</v>
      </c>
      <c r="P16" s="153" t="str">
        <f t="array" ref="P16">INDEX('Primary - GRADING'!$A$1:$CP997,MATCH($A16,'Primary - GRADING'!$CP:$CP,0),5)</f>
        <v>#N/A</v>
      </c>
      <c r="Q16" s="153" t="str">
        <f t="array" ref="Q16">INDEX('Primary - GRADING'!$A$1:$CP997,MATCH($A16,'Primary - GRADING'!$CP:$CP,0),6)</f>
        <v>#N/A</v>
      </c>
      <c r="R16" s="153" t="str">
        <f t="array" ref="R16">INDEX('Primary - GRADING'!$A$1:$CP997,MATCH($A16,'Primary - GRADING'!$CP:$CP,0),7)</f>
        <v>#N/A</v>
      </c>
      <c r="S16" s="153" t="str">
        <f t="array" ref="S16">INDEX('Primary - GRADING'!$A$1:$CP997,MATCH($A16,'Primary - GRADING'!$CP:$CP,0),8)</f>
        <v>#N/A</v>
      </c>
      <c r="T16" s="153" t="str">
        <f t="array" ref="T16">INDEX('Primary - GRADING'!$A$1:$CP997,MATCH($A16,'Primary - GRADING'!$CP:$CP,0),9)</f>
        <v>#N/A</v>
      </c>
      <c r="U16" s="153" t="str">
        <f t="array" ref="U16">INDEX('Primary - GRADING'!$A$1:$CP997,MATCH($A16,'Primary - GRADING'!$CP:$CP,0),10)</f>
        <v>#N/A</v>
      </c>
      <c r="V16" s="153" t="str">
        <f t="array" ref="V16">INDEX('Primary - GRADING'!$A$1:$CP997,MATCH($A16,'Primary - GRADING'!$CP:$CP,0),18)</f>
        <v>#N/A</v>
      </c>
      <c r="W16" s="153" t="str">
        <f t="array" ref="W16">INDEX('Primary - GRADING'!$A$1:$CP997,MATCH($A16,'Primary - GRADING'!$CP:$CP,0),20)</f>
        <v>#N/A</v>
      </c>
      <c r="X16" s="153" t="str">
        <f t="array" ref="X16">INDEX('Primary - GRADING'!$A$1:$CP997,MATCH($A16,'Primary - GRADING'!$CP:$CP,0),21)</f>
        <v>#N/A</v>
      </c>
      <c r="Y16" s="153" t="str">
        <f t="array" ref="Y16">INDEX('Primary - GRADING'!$A$1:$CP997,MATCH($A16,'Primary - GRADING'!$CP:$CP,0),22)</f>
        <v>#N/A</v>
      </c>
      <c r="Z16" s="165" t="str">
        <f t="array" ref="Z16">INDEX('Primary - GRADING'!$A$1:$CP997,MATCH($A16,'Primary - GRADING'!$CP:$CP,0),23)</f>
        <v>#N/A</v>
      </c>
      <c r="AA16" s="153" t="str">
        <f t="array" ref="AA16">INDEX('Primary - GRADING'!$A$1:$CP997,MATCH($A16,'Primary - GRADING'!$CP:$CP,0),24)</f>
        <v>#N/A</v>
      </c>
      <c r="AB16" s="153" t="str">
        <f t="array" ref="AB16">INDEX('Primary - GRADING'!$A$1:$CP997,MATCH($A16,'Primary - GRADING'!$CP:$CP,0),25)</f>
        <v>#N/A</v>
      </c>
      <c r="AC16" s="153" t="str">
        <f t="array" ref="AC16">INDEX('Primary - GRADING'!$A$1:$CP997,MATCH($A16,'Primary - GRADING'!$CP:$CP,0),46)</f>
        <v>#N/A</v>
      </c>
      <c r="AG16" s="153" t="str">
        <f t="shared" si="7"/>
        <v>#N/A</v>
      </c>
      <c r="AI16" s="153" t="str">
        <f>VLOOKUP(AH16,'Primary - GRADING'!$A$4:$C997,2,)</f>
        <v>#N/A</v>
      </c>
      <c r="AJ16" s="153" t="str">
        <f>VLOOKUP(AH16,'Primary - GRADING'!$A$4:$C997,3,)</f>
        <v>#N/A</v>
      </c>
      <c r="AK16" s="153" t="str">
        <f>VLOOKUP(AH16,'Primary - GRADING'!$A$4:$BG997,59,)</f>
        <v>#N/A</v>
      </c>
      <c r="AL16" s="153" t="str">
        <f>IFS(AK16="NMA",VLOOKUP(AH16,'Primary - GRADING'!$A$4:$BG997,51,),AK16="DIRECT",VLOOKUP(AH16,'Primary - GRADING'!$A$4:$BG997,8,),AK16="INDIRECT",VLOOKUP(AH16,'Primary - GRADING'!$A$4:$BG997,23,))</f>
        <v>#N/A</v>
      </c>
      <c r="AM16" s="153" t="str">
        <f>IFS(AK16="NMA",VLOOKUP(AH16,'Primary - GRADING'!$A$4:$BG997,52,),AK16="DIRECT",VLOOKUP(AH16,'Primary - GRADING'!$A$4:$BG997,9,),AK16="INDIRECT",VLOOKUP(AH16,'Primary - GRADING'!$A$4:$BG997,24,))</f>
        <v>#N/A</v>
      </c>
      <c r="AN16" s="153" t="str">
        <f>IFS(AK16="NMA",VLOOKUP(AH16,'Primary - GRADING'!$A$4:$BG997,53,),AK16="DIRECT",VLOOKUP(AH16,'Primary - GRADING'!$A$4:$BG997,10,),AK16="INDIRECT",VLOOKUP(AH16,'Primary - GRADING'!$A$4:$BG997,25,))</f>
        <v>#N/A</v>
      </c>
      <c r="AO16" s="153" t="str">
        <f t="shared" si="8"/>
        <v>#N/A</v>
      </c>
      <c r="AT16" s="153" t="str">
        <f t="shared" si="9"/>
        <v>#N/A</v>
      </c>
      <c r="AV16" s="153" t="str">
        <f>VLOOKUP(AU16,'Primary - GRADING'!$A$4:$C997,2,)</f>
        <v>#N/A</v>
      </c>
      <c r="AW16" s="153" t="str">
        <f>VLOOKUP(AU16,'Primary - GRADING'!$A$4:$C997,3,)</f>
        <v>#N/A</v>
      </c>
      <c r="AX16" s="153" t="str">
        <f>VLOOKUP(AU16,'Primary - GRADING'!$A$4:$BG997,59,)</f>
        <v>#N/A</v>
      </c>
      <c r="AY16" s="153" t="str">
        <f>IFS(AX16="NMA",VLOOKUP(AU16,'Primary - GRADING'!$A$4:$BG997,51,),AX16="DIRECT",VLOOKUP(AU16,'Primary - GRADING'!$A$4:$BG997,8,),AX16="INDIRECT",VLOOKUP(AU16,'Primary - GRADING'!$A$4:$BG997,23,))</f>
        <v>#N/A</v>
      </c>
      <c r="AZ16" s="153" t="str">
        <f>IFS(AX16="NMA",VLOOKUP(AU16,'Primary - GRADING'!$A$4:$BG997,52,),AX16="DIRECT",VLOOKUP(AU16,'Primary - GRADING'!$A$4:$BG997,9,),AX16="INDIRECT",VLOOKUP(AU16,'Primary - GRADING'!$A$4:$BG997,24,))</f>
        <v>#N/A</v>
      </c>
      <c r="BA16" s="153" t="str">
        <f>IFS(AX16="NMA",VLOOKUP(AU16,'Primary - GRADING'!$A$4:$BG997,53,),AX16="DIRECT",VLOOKUP(AU16,'Primary - GRADING'!$A$4:$BG997,10,),AX16="INDIRECT",VLOOKUP(AU16,'Primary - GRADING'!$A$4:$BG997,25,))</f>
        <v>#N/A</v>
      </c>
      <c r="BB16" s="153" t="str">
        <f t="shared" si="10"/>
        <v>#N/A</v>
      </c>
      <c r="BE16" s="153" t="str">
        <f t="shared" si="11"/>
        <v/>
      </c>
      <c r="BG16" s="153" t="str">
        <f t="shared" si="12"/>
        <v>#N/A</v>
      </c>
      <c r="BI16" s="153" t="str">
        <f t="shared" si="13"/>
        <v>#N/A</v>
      </c>
      <c r="BK16" s="153" t="str">
        <f t="shared" si="14"/>
        <v>#N/A</v>
      </c>
      <c r="BM16" s="153" t="str">
        <f t="shared" si="15"/>
        <v>#N/A</v>
      </c>
    </row>
    <row r="17" ht="15.75" customHeight="1">
      <c r="A17" s="64"/>
      <c r="B17" s="160" t="str">
        <f t="shared" si="1"/>
        <v>#N/A</v>
      </c>
      <c r="C17" s="160" t="str">
        <f t="shared" si="2"/>
        <v>#N/A</v>
      </c>
      <c r="D17" s="160" t="str">
        <f t="shared" si="3"/>
        <v>#N/A</v>
      </c>
      <c r="E17" s="161" t="str">
        <f t="shared" si="4"/>
        <v>#N/A</v>
      </c>
      <c r="F17" s="153" t="str">
        <f t="shared" si="17"/>
        <v>#N/A</v>
      </c>
      <c r="G17" s="153" t="str">
        <f t="shared" si="6"/>
        <v>#N/A</v>
      </c>
      <c r="H17" s="156" t="str">
        <f t="array" ref="H17">INDEX('Primary - GRADING'!$A$1:$BG997,MATCH($A17,'Primary - GRADING'!$B:$B,0),59)</f>
        <v>#N/A</v>
      </c>
      <c r="I17" s="153" t="str">
        <f t="array" ref="I17">INDEX('Primary - GRADING'!$A$1:$CP997,MATCH($A17,'Primary - GRADING'!$CP:$CP,0),48)</f>
        <v>#N/A</v>
      </c>
      <c r="J17" s="153" t="str">
        <f t="array" ref="J17">INDEX('Primary - GRADING'!$A$1:$CP997,MATCH($A17,'Primary - GRADING'!$CP:$CP,0),49)</f>
        <v>#N/A</v>
      </c>
      <c r="K17" s="153" t="str">
        <f t="array" ref="K17">INDEX('Primary - GRADING'!$A$1:$CP997,MATCH($A17,'Primary - GRADING'!$CP:$CP,0),50)</f>
        <v>#N/A</v>
      </c>
      <c r="L17" s="153" t="str">
        <f t="array" ref="L17">INDEX('Primary - GRADING'!$A$1:$CP997,MATCH($A17,'Primary - GRADING'!$CP:$CP,0),51)</f>
        <v>#N/A</v>
      </c>
      <c r="M17" s="153" t="str">
        <f t="array" ref="M17">INDEX('Primary - GRADING'!$A$1:$CP997,MATCH($A17,'Primary - GRADING'!$CP:$CP,0),52)</f>
        <v>#N/A</v>
      </c>
      <c r="N17" s="153" t="str">
        <f t="array" ref="N17">INDEX('Primary - GRADING'!$A$1:$CP997,MATCH($A17,'Primary - GRADING'!$CP:$CP,0),53)</f>
        <v>#N/A</v>
      </c>
      <c r="O17" s="153" t="str">
        <f t="array" ref="O17">INDEX('Primary - GRADING'!$A$1:$CP997,MATCH($A17,'Primary - GRADING'!$CP:$CP,0),58)</f>
        <v>#N/A</v>
      </c>
      <c r="P17" s="153" t="str">
        <f t="array" ref="P17">INDEX('Primary - GRADING'!$A$1:$CP997,MATCH($A17,'Primary - GRADING'!$CP:$CP,0),5)</f>
        <v>#N/A</v>
      </c>
      <c r="Q17" s="153" t="str">
        <f t="array" ref="Q17">INDEX('Primary - GRADING'!$A$1:$CP997,MATCH($A17,'Primary - GRADING'!$CP:$CP,0),6)</f>
        <v>#N/A</v>
      </c>
      <c r="R17" s="153" t="str">
        <f t="array" ref="R17">INDEX('Primary - GRADING'!$A$1:$CP997,MATCH($A17,'Primary - GRADING'!$CP:$CP,0),7)</f>
        <v>#N/A</v>
      </c>
      <c r="S17" s="153" t="str">
        <f t="array" ref="S17">INDEX('Primary - GRADING'!$A$1:$CP997,MATCH($A17,'Primary - GRADING'!$CP:$CP,0),8)</f>
        <v>#N/A</v>
      </c>
      <c r="T17" s="153" t="str">
        <f t="array" ref="T17">INDEX('Primary - GRADING'!$A$1:$CP997,MATCH($A17,'Primary - GRADING'!$CP:$CP,0),9)</f>
        <v>#N/A</v>
      </c>
      <c r="U17" s="153" t="str">
        <f t="array" ref="U17">INDEX('Primary - GRADING'!$A$1:$CP997,MATCH($A17,'Primary - GRADING'!$CP:$CP,0),10)</f>
        <v>#N/A</v>
      </c>
      <c r="V17" s="153" t="str">
        <f t="array" ref="V17">INDEX('Primary - GRADING'!$A$1:$CP997,MATCH($A17,'Primary - GRADING'!$CP:$CP,0),18)</f>
        <v>#N/A</v>
      </c>
      <c r="W17" s="153" t="str">
        <f t="array" ref="W17">INDEX('Primary - GRADING'!$A$1:$CP997,MATCH($A17,'Primary - GRADING'!$CP:$CP,0),20)</f>
        <v>#N/A</v>
      </c>
      <c r="X17" s="153" t="str">
        <f t="array" ref="X17">INDEX('Primary - GRADING'!$A$1:$CP997,MATCH($A17,'Primary - GRADING'!$CP:$CP,0),21)</f>
        <v>#N/A</v>
      </c>
      <c r="Y17" s="153" t="str">
        <f t="array" ref="Y17">INDEX('Primary - GRADING'!$A$1:$CP997,MATCH($A17,'Primary - GRADING'!$CP:$CP,0),22)</f>
        <v>#N/A</v>
      </c>
      <c r="Z17" s="165" t="str">
        <f t="array" ref="Z17">INDEX('Primary - GRADING'!$A$1:$CP997,MATCH($A17,'Primary - GRADING'!$CP:$CP,0),23)</f>
        <v>#N/A</v>
      </c>
      <c r="AA17" s="153" t="str">
        <f t="array" ref="AA17">INDEX('Primary - GRADING'!$A$1:$CP997,MATCH($A17,'Primary - GRADING'!$CP:$CP,0),24)</f>
        <v>#N/A</v>
      </c>
      <c r="AB17" s="153" t="str">
        <f t="array" ref="AB17">INDEX('Primary - GRADING'!$A$1:$CP997,MATCH($A17,'Primary - GRADING'!$CP:$CP,0),25)</f>
        <v>#N/A</v>
      </c>
      <c r="AC17" s="153" t="str">
        <f t="array" ref="AC17">INDEX('Primary - GRADING'!$A$1:$CP997,MATCH($A17,'Primary - GRADING'!$CP:$CP,0),46)</f>
        <v>#N/A</v>
      </c>
      <c r="AG17" s="153" t="str">
        <f t="shared" si="7"/>
        <v>#N/A</v>
      </c>
      <c r="AI17" s="153" t="str">
        <f>VLOOKUP(AH17,'Primary - GRADING'!$A$4:$C997,2,)</f>
        <v>#N/A</v>
      </c>
      <c r="AJ17" s="153" t="str">
        <f>VLOOKUP(AH17,'Primary - GRADING'!$A$4:$C997,3,)</f>
        <v>#N/A</v>
      </c>
      <c r="AK17" s="153" t="str">
        <f>VLOOKUP(AH17,'Primary - GRADING'!$A$4:$BG997,59,)</f>
        <v>#N/A</v>
      </c>
      <c r="AL17" s="153" t="str">
        <f>IFS(AK17="NMA",VLOOKUP(AH17,'Primary - GRADING'!$A$4:$BG997,51,),AK17="DIRECT",VLOOKUP(AH17,'Primary - GRADING'!$A$4:$BG997,8,),AK17="INDIRECT",VLOOKUP(AH17,'Primary - GRADING'!$A$4:$BG997,23,))</f>
        <v>#N/A</v>
      </c>
      <c r="AM17" s="153" t="str">
        <f>IFS(AK17="NMA",VLOOKUP(AH17,'Primary - GRADING'!$A$4:$BG997,52,),AK17="DIRECT",VLOOKUP(AH17,'Primary - GRADING'!$A$4:$BG997,9,),AK17="INDIRECT",VLOOKUP(AH17,'Primary - GRADING'!$A$4:$BG997,24,))</f>
        <v>#N/A</v>
      </c>
      <c r="AN17" s="153" t="str">
        <f>IFS(AK17="NMA",VLOOKUP(AH17,'Primary - GRADING'!$A$4:$BG997,53,),AK17="DIRECT",VLOOKUP(AH17,'Primary - GRADING'!$A$4:$BG997,10,),AK17="INDIRECT",VLOOKUP(AH17,'Primary - GRADING'!$A$4:$BG997,25,))</f>
        <v>#N/A</v>
      </c>
      <c r="AO17" s="153" t="str">
        <f t="shared" si="8"/>
        <v>#N/A</v>
      </c>
      <c r="AT17" s="153" t="str">
        <f t="shared" si="9"/>
        <v>#N/A</v>
      </c>
      <c r="AV17" s="153" t="str">
        <f>VLOOKUP(AU17,'Primary - GRADING'!$A$4:$C997,2,)</f>
        <v>#N/A</v>
      </c>
      <c r="AW17" s="153" t="str">
        <f>VLOOKUP(AU17,'Primary - GRADING'!$A$4:$C997,3,)</f>
        <v>#N/A</v>
      </c>
      <c r="AX17" s="153" t="str">
        <f>VLOOKUP(AU17,'Primary - GRADING'!$A$4:$BG997,59,)</f>
        <v>#N/A</v>
      </c>
      <c r="AY17" s="153" t="str">
        <f>IFS(AX17="NMA",VLOOKUP(AU17,'Primary - GRADING'!$A$4:$BG997,51,),AX17="DIRECT",VLOOKUP(AU17,'Primary - GRADING'!$A$4:$BG997,8,),AX17="INDIRECT",VLOOKUP(AU17,'Primary - GRADING'!$A$4:$BG997,23,))</f>
        <v>#N/A</v>
      </c>
      <c r="AZ17" s="153" t="str">
        <f>IFS(AX17="NMA",VLOOKUP(AU17,'Primary - GRADING'!$A$4:$BG997,52,),AX17="DIRECT",VLOOKUP(AU17,'Primary - GRADING'!$A$4:$BG997,9,),AX17="INDIRECT",VLOOKUP(AU17,'Primary - GRADING'!$A$4:$BG997,24,))</f>
        <v>#N/A</v>
      </c>
      <c r="BA17" s="153" t="str">
        <f>IFS(AX17="NMA",VLOOKUP(AU17,'Primary - GRADING'!$A$4:$BG997,53,),AX17="DIRECT",VLOOKUP(AU17,'Primary - GRADING'!$A$4:$BG997,10,),AX17="INDIRECT",VLOOKUP(AU17,'Primary - GRADING'!$A$4:$BG997,25,))</f>
        <v>#N/A</v>
      </c>
      <c r="BB17" s="153" t="str">
        <f t="shared" si="10"/>
        <v>#N/A</v>
      </c>
      <c r="BE17" s="153" t="str">
        <f t="shared" si="11"/>
        <v/>
      </c>
      <c r="BG17" s="153" t="str">
        <f t="shared" si="12"/>
        <v>#N/A</v>
      </c>
      <c r="BI17" s="153" t="str">
        <f t="shared" si="13"/>
        <v>#N/A</v>
      </c>
      <c r="BK17" s="153" t="str">
        <f t="shared" si="14"/>
        <v>#N/A</v>
      </c>
      <c r="BM17" s="153" t="str">
        <f t="shared" si="15"/>
        <v>#N/A</v>
      </c>
    </row>
    <row r="18" ht="15.75" customHeight="1">
      <c r="A18" s="64"/>
      <c r="B18" s="160" t="str">
        <f t="shared" si="1"/>
        <v>#N/A</v>
      </c>
      <c r="C18" s="160" t="str">
        <f t="shared" si="2"/>
        <v>#N/A</v>
      </c>
      <c r="D18" s="160" t="str">
        <f t="shared" si="3"/>
        <v>#N/A</v>
      </c>
      <c r="E18" s="161" t="str">
        <f t="shared" si="4"/>
        <v>#N/A</v>
      </c>
      <c r="F18" s="153" t="str">
        <f t="shared" si="17"/>
        <v>#N/A</v>
      </c>
      <c r="G18" s="153" t="str">
        <f t="shared" si="6"/>
        <v>#N/A</v>
      </c>
      <c r="H18" s="156" t="str">
        <f t="array" ref="H18">INDEX('Primary - GRADING'!$A$1:$BG997,MATCH($A18,'Primary - GRADING'!$B:$B,0),59)</f>
        <v>#N/A</v>
      </c>
      <c r="I18" s="153" t="str">
        <f t="array" ref="I18">INDEX('Primary - GRADING'!$A$1:$CP997,MATCH($A18,'Primary - GRADING'!$CP:$CP,0),48)</f>
        <v>#N/A</v>
      </c>
      <c r="J18" s="153" t="str">
        <f t="array" ref="J18">INDEX('Primary - GRADING'!$A$1:$CP997,MATCH($A18,'Primary - GRADING'!$CP:$CP,0),49)</f>
        <v>#N/A</v>
      </c>
      <c r="K18" s="153" t="str">
        <f t="array" ref="K18">INDEX('Primary - GRADING'!$A$1:$CP997,MATCH($A18,'Primary - GRADING'!$CP:$CP,0),50)</f>
        <v>#N/A</v>
      </c>
      <c r="L18" s="153" t="str">
        <f t="array" ref="L18">INDEX('Primary - GRADING'!$A$1:$CP997,MATCH($A18,'Primary - GRADING'!$CP:$CP,0),51)</f>
        <v>#N/A</v>
      </c>
      <c r="M18" s="153" t="str">
        <f t="array" ref="M18">INDEX('Primary - GRADING'!$A$1:$CP997,MATCH($A18,'Primary - GRADING'!$CP:$CP,0),52)</f>
        <v>#N/A</v>
      </c>
      <c r="N18" s="153" t="str">
        <f t="array" ref="N18">INDEX('Primary - GRADING'!$A$1:$CP997,MATCH($A18,'Primary - GRADING'!$CP:$CP,0),53)</f>
        <v>#N/A</v>
      </c>
      <c r="O18" s="153" t="str">
        <f t="array" ref="O18">INDEX('Primary - GRADING'!$A$1:$CP997,MATCH($A18,'Primary - GRADING'!$CP:$CP,0),58)</f>
        <v>#N/A</v>
      </c>
      <c r="P18" s="153" t="str">
        <f t="array" ref="P18">INDEX('Primary - GRADING'!$A$1:$CP997,MATCH($A18,'Primary - GRADING'!$CP:$CP,0),5)</f>
        <v>#N/A</v>
      </c>
      <c r="Q18" s="153" t="str">
        <f t="array" ref="Q18">INDEX('Primary - GRADING'!$A$1:$CP997,MATCH($A18,'Primary - GRADING'!$CP:$CP,0),6)</f>
        <v>#N/A</v>
      </c>
      <c r="R18" s="153" t="str">
        <f t="array" ref="R18">INDEX('Primary - GRADING'!$A$1:$CP997,MATCH($A18,'Primary - GRADING'!$CP:$CP,0),7)</f>
        <v>#N/A</v>
      </c>
      <c r="S18" s="153" t="str">
        <f t="array" ref="S18">INDEX('Primary - GRADING'!$A$1:$CP997,MATCH($A18,'Primary - GRADING'!$CP:$CP,0),8)</f>
        <v>#N/A</v>
      </c>
      <c r="T18" s="153" t="str">
        <f t="array" ref="T18">INDEX('Primary - GRADING'!$A$1:$CP997,MATCH($A18,'Primary - GRADING'!$CP:$CP,0),9)</f>
        <v>#N/A</v>
      </c>
      <c r="U18" s="153" t="str">
        <f t="array" ref="U18">INDEX('Primary - GRADING'!$A$1:$CP997,MATCH($A18,'Primary - GRADING'!$CP:$CP,0),10)</f>
        <v>#N/A</v>
      </c>
      <c r="V18" s="153" t="str">
        <f t="array" ref="V18">INDEX('Primary - GRADING'!$A$1:$CP997,MATCH($A18,'Primary - GRADING'!$CP:$CP,0),18)</f>
        <v>#N/A</v>
      </c>
      <c r="W18" s="153" t="str">
        <f t="array" ref="W18">INDEX('Primary - GRADING'!$A$1:$CP997,MATCH($A18,'Primary - GRADING'!$CP:$CP,0),20)</f>
        <v>#N/A</v>
      </c>
      <c r="X18" s="153" t="str">
        <f t="array" ref="X18">INDEX('Primary - GRADING'!$A$1:$CP997,MATCH($A18,'Primary - GRADING'!$CP:$CP,0),21)</f>
        <v>#N/A</v>
      </c>
      <c r="Y18" s="153" t="str">
        <f t="array" ref="Y18">INDEX('Primary - GRADING'!$A$1:$CP997,MATCH($A18,'Primary - GRADING'!$CP:$CP,0),22)</f>
        <v>#N/A</v>
      </c>
      <c r="Z18" s="165" t="str">
        <f t="array" ref="Z18">INDEX('Primary - GRADING'!$A$1:$CP997,MATCH($A18,'Primary - GRADING'!$CP:$CP,0),23)</f>
        <v>#N/A</v>
      </c>
      <c r="AA18" s="153" t="str">
        <f t="array" ref="AA18">INDEX('Primary - GRADING'!$A$1:$CP997,MATCH($A18,'Primary - GRADING'!$CP:$CP,0),24)</f>
        <v>#N/A</v>
      </c>
      <c r="AB18" s="153" t="str">
        <f t="array" ref="AB18">INDEX('Primary - GRADING'!$A$1:$CP997,MATCH($A18,'Primary - GRADING'!$CP:$CP,0),25)</f>
        <v>#N/A</v>
      </c>
      <c r="AC18" s="153" t="str">
        <f t="array" ref="AC18">INDEX('Primary - GRADING'!$A$1:$CP997,MATCH($A18,'Primary - GRADING'!$CP:$CP,0),46)</f>
        <v>#N/A</v>
      </c>
      <c r="AG18" s="153" t="str">
        <f t="shared" si="7"/>
        <v>#N/A</v>
      </c>
      <c r="AI18" s="153" t="str">
        <f>VLOOKUP(AH18,'Primary - GRADING'!$A$4:$C997,2,)</f>
        <v>#N/A</v>
      </c>
      <c r="AJ18" s="153" t="str">
        <f>VLOOKUP(AH18,'Primary - GRADING'!$A$4:$C997,3,)</f>
        <v>#N/A</v>
      </c>
      <c r="AK18" s="153" t="str">
        <f>VLOOKUP(AH18,'Primary - GRADING'!$A$4:$BG997,59,)</f>
        <v>#N/A</v>
      </c>
      <c r="AL18" s="153" t="str">
        <f>IFS(AK18="NMA",VLOOKUP(AH18,'Primary - GRADING'!$A$4:$BG997,51,),AK18="DIRECT",VLOOKUP(AH18,'Primary - GRADING'!$A$4:$BG997,8,),AK18="INDIRECT",VLOOKUP(AH18,'Primary - GRADING'!$A$4:$BG997,23,))</f>
        <v>#N/A</v>
      </c>
      <c r="AM18" s="153" t="str">
        <f>IFS(AK18="NMA",VLOOKUP(AH18,'Primary - GRADING'!$A$4:$BG997,52,),AK18="DIRECT",VLOOKUP(AH18,'Primary - GRADING'!$A$4:$BG997,9,),AK18="INDIRECT",VLOOKUP(AH18,'Primary - GRADING'!$A$4:$BG997,24,))</f>
        <v>#N/A</v>
      </c>
      <c r="AN18" s="153" t="str">
        <f>IFS(AK18="NMA",VLOOKUP(AH18,'Primary - GRADING'!$A$4:$BG997,53,),AK18="DIRECT",VLOOKUP(AH18,'Primary - GRADING'!$A$4:$BG997,10,),AK18="INDIRECT",VLOOKUP(AH18,'Primary - GRADING'!$A$4:$BG997,25,))</f>
        <v>#N/A</v>
      </c>
      <c r="AO18" s="153" t="str">
        <f t="shared" si="8"/>
        <v>#N/A</v>
      </c>
      <c r="AT18" s="153" t="str">
        <f t="shared" si="9"/>
        <v>#N/A</v>
      </c>
      <c r="AV18" s="153" t="str">
        <f>VLOOKUP(AU18,'Primary - GRADING'!$A$4:$C997,2,)</f>
        <v>#N/A</v>
      </c>
      <c r="AW18" s="153" t="str">
        <f>VLOOKUP(AU18,'Primary - GRADING'!$A$4:$C997,3,)</f>
        <v>#N/A</v>
      </c>
      <c r="AX18" s="153" t="str">
        <f>VLOOKUP(AU18,'Primary - GRADING'!$A$4:$BG997,59,)</f>
        <v>#N/A</v>
      </c>
      <c r="AY18" s="153" t="str">
        <f>IFS(AX18="NMA",VLOOKUP(AU18,'Primary - GRADING'!$A$4:$BG997,51,),AX18="DIRECT",VLOOKUP(AU18,'Primary - GRADING'!$A$4:$BG997,8,),AX18="INDIRECT",VLOOKUP(AU18,'Primary - GRADING'!$A$4:$BG997,23,))</f>
        <v>#N/A</v>
      </c>
      <c r="AZ18" s="153" t="str">
        <f>IFS(AX18="NMA",VLOOKUP(AU18,'Primary - GRADING'!$A$4:$BG997,52,),AX18="DIRECT",VLOOKUP(AU18,'Primary - GRADING'!$A$4:$BG997,9,),AX18="INDIRECT",VLOOKUP(AU18,'Primary - GRADING'!$A$4:$BG997,24,))</f>
        <v>#N/A</v>
      </c>
      <c r="BA18" s="153" t="str">
        <f>IFS(AX18="NMA",VLOOKUP(AU18,'Primary - GRADING'!$A$4:$BG997,53,),AX18="DIRECT",VLOOKUP(AU18,'Primary - GRADING'!$A$4:$BG997,10,),AX18="INDIRECT",VLOOKUP(AU18,'Primary - GRADING'!$A$4:$BG997,25,))</f>
        <v>#N/A</v>
      </c>
      <c r="BB18" s="153" t="str">
        <f t="shared" si="10"/>
        <v>#N/A</v>
      </c>
      <c r="BE18" s="153" t="str">
        <f t="shared" si="11"/>
        <v/>
      </c>
      <c r="BG18" s="153" t="str">
        <f t="shared" si="12"/>
        <v>#N/A</v>
      </c>
      <c r="BI18" s="153" t="str">
        <f t="shared" si="13"/>
        <v>#N/A</v>
      </c>
      <c r="BK18" s="153" t="str">
        <f t="shared" si="14"/>
        <v>#N/A</v>
      </c>
      <c r="BM18" s="153" t="str">
        <f t="shared" si="15"/>
        <v>#N/A</v>
      </c>
    </row>
    <row r="19" ht="15.75" customHeight="1">
      <c r="A19" s="64"/>
      <c r="B19" s="160" t="str">
        <f t="shared" si="1"/>
        <v>#N/A</v>
      </c>
      <c r="C19" s="160" t="str">
        <f t="shared" si="2"/>
        <v>#N/A</v>
      </c>
      <c r="D19" s="160" t="str">
        <f t="shared" si="3"/>
        <v>#N/A</v>
      </c>
      <c r="E19" s="161" t="str">
        <f t="shared" si="4"/>
        <v>#N/A</v>
      </c>
      <c r="F19" s="153" t="str">
        <f t="shared" si="17"/>
        <v>#N/A</v>
      </c>
      <c r="G19" s="153" t="str">
        <f t="shared" si="6"/>
        <v>#N/A</v>
      </c>
      <c r="H19" s="156" t="str">
        <f t="array" ref="H19">INDEX('Primary - GRADING'!$A$1:$BG997,MATCH($A19,'Primary - GRADING'!$B:$B,0),59)</f>
        <v>#N/A</v>
      </c>
      <c r="I19" s="153" t="str">
        <f t="array" ref="I19">INDEX('Primary - GRADING'!$A$1:$CP997,MATCH($A19,'Primary - GRADING'!$CP:$CP,0),48)</f>
        <v>#N/A</v>
      </c>
      <c r="J19" s="153" t="str">
        <f t="array" ref="J19">INDEX('Primary - GRADING'!$A$1:$CP997,MATCH($A19,'Primary - GRADING'!$CP:$CP,0),49)</f>
        <v>#N/A</v>
      </c>
      <c r="K19" s="153" t="str">
        <f t="array" ref="K19">INDEX('Primary - GRADING'!$A$1:$CP997,MATCH($A19,'Primary - GRADING'!$CP:$CP,0),50)</f>
        <v>#N/A</v>
      </c>
      <c r="L19" s="153" t="str">
        <f t="array" ref="L19">INDEX('Primary - GRADING'!$A$1:$CP997,MATCH($A19,'Primary - GRADING'!$CP:$CP,0),51)</f>
        <v>#N/A</v>
      </c>
      <c r="M19" s="153" t="str">
        <f t="array" ref="M19">INDEX('Primary - GRADING'!$A$1:$CP997,MATCH($A19,'Primary - GRADING'!$CP:$CP,0),52)</f>
        <v>#N/A</v>
      </c>
      <c r="N19" s="153" t="str">
        <f t="array" ref="N19">INDEX('Primary - GRADING'!$A$1:$CP997,MATCH($A19,'Primary - GRADING'!$CP:$CP,0),53)</f>
        <v>#N/A</v>
      </c>
      <c r="O19" s="153" t="str">
        <f t="array" ref="O19">INDEX('Primary - GRADING'!$A$1:$CP997,MATCH($A19,'Primary - GRADING'!$CP:$CP,0),58)</f>
        <v>#N/A</v>
      </c>
      <c r="P19" s="153" t="str">
        <f t="array" ref="P19">INDEX('Primary - GRADING'!$A$1:$CP997,MATCH($A19,'Primary - GRADING'!$CP:$CP,0),5)</f>
        <v>#N/A</v>
      </c>
      <c r="Q19" s="153" t="str">
        <f t="array" ref="Q19">INDEX('Primary - GRADING'!$A$1:$CP997,MATCH($A19,'Primary - GRADING'!$CP:$CP,0),6)</f>
        <v>#N/A</v>
      </c>
      <c r="R19" s="153" t="str">
        <f t="array" ref="R19">INDEX('Primary - GRADING'!$A$1:$CP997,MATCH($A19,'Primary - GRADING'!$CP:$CP,0),7)</f>
        <v>#N/A</v>
      </c>
      <c r="S19" s="153" t="str">
        <f t="array" ref="S19">INDEX('Primary - GRADING'!$A$1:$CP997,MATCH($A19,'Primary - GRADING'!$CP:$CP,0),8)</f>
        <v>#N/A</v>
      </c>
      <c r="T19" s="153" t="str">
        <f t="array" ref="T19">INDEX('Primary - GRADING'!$A$1:$CP997,MATCH($A19,'Primary - GRADING'!$CP:$CP,0),9)</f>
        <v>#N/A</v>
      </c>
      <c r="U19" s="153" t="str">
        <f t="array" ref="U19">INDEX('Primary - GRADING'!$A$1:$CP997,MATCH($A19,'Primary - GRADING'!$CP:$CP,0),10)</f>
        <v>#N/A</v>
      </c>
      <c r="V19" s="153" t="str">
        <f t="array" ref="V19">INDEX('Primary - GRADING'!$A$1:$CP997,MATCH($A19,'Primary - GRADING'!$CP:$CP,0),18)</f>
        <v>#N/A</v>
      </c>
      <c r="W19" s="153" t="str">
        <f t="array" ref="W19">INDEX('Primary - GRADING'!$A$1:$CP997,MATCH($A19,'Primary - GRADING'!$CP:$CP,0),20)</f>
        <v>#N/A</v>
      </c>
      <c r="X19" s="153" t="str">
        <f t="array" ref="X19">INDEX('Primary - GRADING'!$A$1:$CP997,MATCH($A19,'Primary - GRADING'!$CP:$CP,0),21)</f>
        <v>#N/A</v>
      </c>
      <c r="Y19" s="153" t="str">
        <f t="array" ref="Y19">INDEX('Primary - GRADING'!$A$1:$CP997,MATCH($A19,'Primary - GRADING'!$CP:$CP,0),22)</f>
        <v>#N/A</v>
      </c>
      <c r="Z19" s="165" t="str">
        <f t="array" ref="Z19">INDEX('Primary - GRADING'!$A$1:$CP997,MATCH($A19,'Primary - GRADING'!$CP:$CP,0),23)</f>
        <v>#N/A</v>
      </c>
      <c r="AA19" s="153" t="str">
        <f t="array" ref="AA19">INDEX('Primary - GRADING'!$A$1:$CP997,MATCH($A19,'Primary - GRADING'!$CP:$CP,0),24)</f>
        <v>#N/A</v>
      </c>
      <c r="AB19" s="153" t="str">
        <f t="array" ref="AB19">INDEX('Primary - GRADING'!$A$1:$CP997,MATCH($A19,'Primary - GRADING'!$CP:$CP,0),25)</f>
        <v>#N/A</v>
      </c>
      <c r="AC19" s="153" t="str">
        <f t="array" ref="AC19">INDEX('Primary - GRADING'!$A$1:$CP997,MATCH($A19,'Primary - GRADING'!$CP:$CP,0),46)</f>
        <v>#N/A</v>
      </c>
      <c r="AG19" s="153" t="str">
        <f t="shared" si="7"/>
        <v>#N/A</v>
      </c>
      <c r="AI19" s="153" t="str">
        <f>VLOOKUP(AH19,'Primary - GRADING'!$A$4:$C997,2,)</f>
        <v>#N/A</v>
      </c>
      <c r="AJ19" s="153" t="str">
        <f>VLOOKUP(AH19,'Primary - GRADING'!$A$4:$C997,3,)</f>
        <v>#N/A</v>
      </c>
      <c r="AK19" s="153" t="str">
        <f>VLOOKUP(AH19,'Primary - GRADING'!$A$4:$BG997,59,)</f>
        <v>#N/A</v>
      </c>
      <c r="AL19" s="153" t="str">
        <f>IFS(AK19="NMA",VLOOKUP(AH19,'Primary - GRADING'!$A$4:$BG997,51,),AK19="DIRECT",VLOOKUP(AH19,'Primary - GRADING'!$A$4:$BG997,8,),AK19="INDIRECT",VLOOKUP(AH19,'Primary - GRADING'!$A$4:$BG997,23,))</f>
        <v>#N/A</v>
      </c>
      <c r="AM19" s="153" t="str">
        <f>IFS(AK19="NMA",VLOOKUP(AH19,'Primary - GRADING'!$A$4:$BG997,52,),AK19="DIRECT",VLOOKUP(AH19,'Primary - GRADING'!$A$4:$BG997,9,),AK19="INDIRECT",VLOOKUP(AH19,'Primary - GRADING'!$A$4:$BG997,24,))</f>
        <v>#N/A</v>
      </c>
      <c r="AN19" s="153" t="str">
        <f>IFS(AK19="NMA",VLOOKUP(AH19,'Primary - GRADING'!$A$4:$BG997,53,),AK19="DIRECT",VLOOKUP(AH19,'Primary - GRADING'!$A$4:$BG997,10,),AK19="INDIRECT",VLOOKUP(AH19,'Primary - GRADING'!$A$4:$BG997,25,))</f>
        <v>#N/A</v>
      </c>
      <c r="AO19" s="153" t="str">
        <f t="shared" si="8"/>
        <v>#N/A</v>
      </c>
      <c r="AT19" s="153" t="str">
        <f t="shared" si="9"/>
        <v>#N/A</v>
      </c>
      <c r="AV19" s="153" t="str">
        <f>VLOOKUP(AU19,'Primary - GRADING'!$A$4:$C997,2,)</f>
        <v>#N/A</v>
      </c>
      <c r="AW19" s="153" t="str">
        <f>VLOOKUP(AU19,'Primary - GRADING'!$A$4:$C997,3,)</f>
        <v>#N/A</v>
      </c>
      <c r="AX19" s="153" t="str">
        <f>VLOOKUP(AU19,'Primary - GRADING'!$A$4:$BG997,59,)</f>
        <v>#N/A</v>
      </c>
      <c r="AY19" s="153" t="str">
        <f>IFS(AX19="NMA",VLOOKUP(AU19,'Primary - GRADING'!$A$4:$BG997,51,),AX19="DIRECT",VLOOKUP(AU19,'Primary - GRADING'!$A$4:$BG997,8,),AX19="INDIRECT",VLOOKUP(AU19,'Primary - GRADING'!$A$4:$BG997,23,))</f>
        <v>#N/A</v>
      </c>
      <c r="AZ19" s="153" t="str">
        <f>IFS(AX19="NMA",VLOOKUP(AU19,'Primary - GRADING'!$A$4:$BG997,52,),AX19="DIRECT",VLOOKUP(AU19,'Primary - GRADING'!$A$4:$BG997,9,),AX19="INDIRECT",VLOOKUP(AU19,'Primary - GRADING'!$A$4:$BG997,24,))</f>
        <v>#N/A</v>
      </c>
      <c r="BA19" s="153" t="str">
        <f>IFS(AX19="NMA",VLOOKUP(AU19,'Primary - GRADING'!$A$4:$BG997,53,),AX19="DIRECT",VLOOKUP(AU19,'Primary - GRADING'!$A$4:$BG997,10,),AX19="INDIRECT",VLOOKUP(AU19,'Primary - GRADING'!$A$4:$BG997,25,))</f>
        <v>#N/A</v>
      </c>
      <c r="BB19" s="153" t="str">
        <f t="shared" si="10"/>
        <v>#N/A</v>
      </c>
      <c r="BE19" s="153" t="str">
        <f t="shared" si="11"/>
        <v/>
      </c>
      <c r="BG19" s="153" t="str">
        <f t="shared" si="12"/>
        <v>#N/A</v>
      </c>
      <c r="BI19" s="153" t="str">
        <f t="shared" si="13"/>
        <v>#N/A</v>
      </c>
      <c r="BK19" s="153" t="str">
        <f t="shared" si="14"/>
        <v>#N/A</v>
      </c>
      <c r="BM19" s="153" t="str">
        <f t="shared" si="15"/>
        <v>#N/A</v>
      </c>
    </row>
    <row r="20" ht="15.75" customHeight="1">
      <c r="A20" s="64"/>
      <c r="B20" s="160" t="str">
        <f t="shared" si="1"/>
        <v>#N/A</v>
      </c>
      <c r="C20" s="160" t="str">
        <f t="shared" si="2"/>
        <v>#N/A</v>
      </c>
      <c r="D20" s="160" t="str">
        <f t="shared" si="3"/>
        <v>#N/A</v>
      </c>
      <c r="E20" s="161" t="str">
        <f t="shared" si="4"/>
        <v>#N/A</v>
      </c>
      <c r="F20" s="153" t="str">
        <f t="shared" si="17"/>
        <v>#N/A</v>
      </c>
      <c r="G20" s="153" t="str">
        <f t="shared" si="6"/>
        <v>#N/A</v>
      </c>
      <c r="H20" s="156" t="str">
        <f t="array" ref="H20">INDEX('Primary - GRADING'!$A$1:$BG997,MATCH($A20,'Primary - GRADING'!$B:$B,0),59)</f>
        <v>#N/A</v>
      </c>
      <c r="I20" s="153" t="str">
        <f t="array" ref="I20">INDEX('Primary - GRADING'!$A$1:$CP997,MATCH($A20,'Primary - GRADING'!$CP:$CP,0),48)</f>
        <v>#N/A</v>
      </c>
      <c r="J20" s="153" t="str">
        <f t="array" ref="J20">INDEX('Primary - GRADING'!$A$1:$CP997,MATCH($A20,'Primary - GRADING'!$CP:$CP,0),49)</f>
        <v>#N/A</v>
      </c>
      <c r="K20" s="153" t="str">
        <f t="array" ref="K20">INDEX('Primary - GRADING'!$A$1:$CP997,MATCH($A20,'Primary - GRADING'!$CP:$CP,0),50)</f>
        <v>#N/A</v>
      </c>
      <c r="L20" s="153" t="str">
        <f t="array" ref="L20">INDEX('Primary - GRADING'!$A$1:$CP997,MATCH($A20,'Primary - GRADING'!$CP:$CP,0),51)</f>
        <v>#N/A</v>
      </c>
      <c r="M20" s="153" t="str">
        <f t="array" ref="M20">INDEX('Primary - GRADING'!$A$1:$CP997,MATCH($A20,'Primary - GRADING'!$CP:$CP,0),52)</f>
        <v>#N/A</v>
      </c>
      <c r="N20" s="153" t="str">
        <f t="array" ref="N20">INDEX('Primary - GRADING'!$A$1:$CP997,MATCH($A20,'Primary - GRADING'!$CP:$CP,0),53)</f>
        <v>#N/A</v>
      </c>
      <c r="O20" s="153" t="str">
        <f t="array" ref="O20">INDEX('Primary - GRADING'!$A$1:$CP997,MATCH($A20,'Primary - GRADING'!$CP:$CP,0),58)</f>
        <v>#N/A</v>
      </c>
      <c r="P20" s="153" t="str">
        <f t="array" ref="P20">INDEX('Primary - GRADING'!$A$1:$CP997,MATCH($A20,'Primary - GRADING'!$CP:$CP,0),5)</f>
        <v>#N/A</v>
      </c>
      <c r="Q20" s="153" t="str">
        <f t="array" ref="Q20">INDEX('Primary - GRADING'!$A$1:$CP997,MATCH($A20,'Primary - GRADING'!$CP:$CP,0),6)</f>
        <v>#N/A</v>
      </c>
      <c r="R20" s="153" t="str">
        <f t="array" ref="R20">INDEX('Primary - GRADING'!$A$1:$CP997,MATCH($A20,'Primary - GRADING'!$CP:$CP,0),7)</f>
        <v>#N/A</v>
      </c>
      <c r="S20" s="153" t="str">
        <f t="array" ref="S20">INDEX('Primary - GRADING'!$A$1:$CP997,MATCH($A20,'Primary - GRADING'!$CP:$CP,0),8)</f>
        <v>#N/A</v>
      </c>
      <c r="T20" s="153" t="str">
        <f t="array" ref="T20">INDEX('Primary - GRADING'!$A$1:$CP997,MATCH($A20,'Primary - GRADING'!$CP:$CP,0),9)</f>
        <v>#N/A</v>
      </c>
      <c r="U20" s="153" t="str">
        <f t="array" ref="U20">INDEX('Primary - GRADING'!$A$1:$CP997,MATCH($A20,'Primary - GRADING'!$CP:$CP,0),10)</f>
        <v>#N/A</v>
      </c>
      <c r="V20" s="153" t="str">
        <f t="array" ref="V20">INDEX('Primary - GRADING'!$A$1:$CP997,MATCH($A20,'Primary - GRADING'!$CP:$CP,0),18)</f>
        <v>#N/A</v>
      </c>
      <c r="W20" s="153" t="str">
        <f t="array" ref="W20">INDEX('Primary - GRADING'!$A$1:$CP997,MATCH($A20,'Primary - GRADING'!$CP:$CP,0),20)</f>
        <v>#N/A</v>
      </c>
      <c r="X20" s="153" t="str">
        <f t="array" ref="X20">INDEX('Primary - GRADING'!$A$1:$CP997,MATCH($A20,'Primary - GRADING'!$CP:$CP,0),21)</f>
        <v>#N/A</v>
      </c>
      <c r="Y20" s="153" t="str">
        <f t="array" ref="Y20">INDEX('Primary - GRADING'!$A$1:$CP997,MATCH($A20,'Primary - GRADING'!$CP:$CP,0),22)</f>
        <v>#N/A</v>
      </c>
      <c r="Z20" s="165" t="str">
        <f t="array" ref="Z20">INDEX('Primary - GRADING'!$A$1:$CP997,MATCH($A20,'Primary - GRADING'!$CP:$CP,0),23)</f>
        <v>#N/A</v>
      </c>
      <c r="AA20" s="153" t="str">
        <f t="array" ref="AA20">INDEX('Primary - GRADING'!$A$1:$CP997,MATCH($A20,'Primary - GRADING'!$CP:$CP,0),24)</f>
        <v>#N/A</v>
      </c>
      <c r="AB20" s="153" t="str">
        <f t="array" ref="AB20">INDEX('Primary - GRADING'!$A$1:$CP997,MATCH($A20,'Primary - GRADING'!$CP:$CP,0),25)</f>
        <v>#N/A</v>
      </c>
      <c r="AC20" s="153" t="str">
        <f t="array" ref="AC20">INDEX('Primary - GRADING'!$A$1:$CP997,MATCH($A20,'Primary - GRADING'!$CP:$CP,0),46)</f>
        <v>#N/A</v>
      </c>
      <c r="AG20" s="153" t="str">
        <f t="shared" si="7"/>
        <v>#N/A</v>
      </c>
      <c r="AI20" s="153" t="str">
        <f>VLOOKUP(AH20,'Primary - GRADING'!$A$4:$C997,2,)</f>
        <v>#N/A</v>
      </c>
      <c r="AJ20" s="153" t="str">
        <f>VLOOKUP(AH20,'Primary - GRADING'!$A$4:$C997,3,)</f>
        <v>#N/A</v>
      </c>
      <c r="AK20" s="153" t="str">
        <f>VLOOKUP(AH20,'Primary - GRADING'!$A$4:$BG997,59,)</f>
        <v>#N/A</v>
      </c>
      <c r="AL20" s="153" t="str">
        <f>IFS(AK20="NMA",VLOOKUP(AH20,'Primary - GRADING'!$A$4:$BG997,51,),AK20="DIRECT",VLOOKUP(AH20,'Primary - GRADING'!$A$4:$BG997,8,),AK20="INDIRECT",VLOOKUP(AH20,'Primary - GRADING'!$A$4:$BG997,23,))</f>
        <v>#N/A</v>
      </c>
      <c r="AM20" s="153" t="str">
        <f>IFS(AK20="NMA",VLOOKUP(AH20,'Primary - GRADING'!$A$4:$BG997,52,),AK20="DIRECT",VLOOKUP(AH20,'Primary - GRADING'!$A$4:$BG997,9,),AK20="INDIRECT",VLOOKUP(AH20,'Primary - GRADING'!$A$4:$BG997,24,))</f>
        <v>#N/A</v>
      </c>
      <c r="AN20" s="153" t="str">
        <f>IFS(AK20="NMA",VLOOKUP(AH20,'Primary - GRADING'!$A$4:$BG997,53,),AK20="DIRECT",VLOOKUP(AH20,'Primary - GRADING'!$A$4:$BG997,10,),AK20="INDIRECT",VLOOKUP(AH20,'Primary - GRADING'!$A$4:$BG997,25,))</f>
        <v>#N/A</v>
      </c>
      <c r="AO20" s="153" t="str">
        <f t="shared" si="8"/>
        <v>#N/A</v>
      </c>
      <c r="AT20" s="153" t="str">
        <f t="shared" si="9"/>
        <v>#N/A</v>
      </c>
      <c r="AV20" s="153" t="str">
        <f>VLOOKUP(AU20,'Primary - GRADING'!$A$4:$C997,2,)</f>
        <v>#N/A</v>
      </c>
      <c r="AW20" s="153" t="str">
        <f>VLOOKUP(AU20,'Primary - GRADING'!$A$4:$C997,3,)</f>
        <v>#N/A</v>
      </c>
      <c r="AX20" s="153" t="str">
        <f>VLOOKUP(AU20,'Primary - GRADING'!$A$4:$BG997,59,)</f>
        <v>#N/A</v>
      </c>
      <c r="AY20" s="153" t="str">
        <f>IFS(AX20="NMA",VLOOKUP(AU20,'Primary - GRADING'!$A$4:$BG997,51,),AX20="DIRECT",VLOOKUP(AU20,'Primary - GRADING'!$A$4:$BG997,8,),AX20="INDIRECT",VLOOKUP(AU20,'Primary - GRADING'!$A$4:$BG997,23,))</f>
        <v>#N/A</v>
      </c>
      <c r="AZ20" s="153" t="str">
        <f>IFS(AX20="NMA",VLOOKUP(AU20,'Primary - GRADING'!$A$4:$BG997,52,),AX20="DIRECT",VLOOKUP(AU20,'Primary - GRADING'!$A$4:$BG997,9,),AX20="INDIRECT",VLOOKUP(AU20,'Primary - GRADING'!$A$4:$BG997,24,))</f>
        <v>#N/A</v>
      </c>
      <c r="BA20" s="153" t="str">
        <f>IFS(AX20="NMA",VLOOKUP(AU20,'Primary - GRADING'!$A$4:$BG997,53,),AX20="DIRECT",VLOOKUP(AU20,'Primary - GRADING'!$A$4:$BG997,10,),AX20="INDIRECT",VLOOKUP(AU20,'Primary - GRADING'!$A$4:$BG997,25,))</f>
        <v>#N/A</v>
      </c>
      <c r="BB20" s="153" t="str">
        <f t="shared" si="10"/>
        <v>#N/A</v>
      </c>
      <c r="BE20" s="153" t="str">
        <f t="shared" si="11"/>
        <v/>
      </c>
      <c r="BG20" s="153" t="str">
        <f t="shared" si="12"/>
        <v>#N/A</v>
      </c>
      <c r="BI20" s="153" t="str">
        <f t="shared" si="13"/>
        <v>#N/A</v>
      </c>
      <c r="BK20" s="153" t="str">
        <f t="shared" si="14"/>
        <v>#N/A</v>
      </c>
      <c r="BM20" s="153" t="str">
        <f t="shared" si="15"/>
        <v>#N/A</v>
      </c>
    </row>
    <row r="21" ht="15.75" customHeight="1">
      <c r="A21" s="64"/>
      <c r="B21" s="160" t="str">
        <f t="shared" si="1"/>
        <v>#N/A</v>
      </c>
      <c r="C21" s="160" t="str">
        <f t="shared" si="2"/>
        <v>#N/A</v>
      </c>
      <c r="D21" s="160" t="str">
        <f t="shared" si="3"/>
        <v>#N/A</v>
      </c>
      <c r="E21" s="161" t="str">
        <f t="shared" si="4"/>
        <v>#N/A</v>
      </c>
      <c r="F21" s="153" t="str">
        <f t="shared" si="17"/>
        <v>#N/A</v>
      </c>
      <c r="G21" s="153" t="str">
        <f t="shared" si="6"/>
        <v>#N/A</v>
      </c>
      <c r="H21" s="156" t="str">
        <f t="array" ref="H21">INDEX('Primary - GRADING'!$A$1:$BG997,MATCH($A21,'Primary - GRADING'!$B:$B,0),59)</f>
        <v>#N/A</v>
      </c>
      <c r="I21" s="153" t="str">
        <f t="array" ref="I21">INDEX('Primary - GRADING'!$A$1:$CP997,MATCH($A21,'Primary - GRADING'!$CP:$CP,0),48)</f>
        <v>#N/A</v>
      </c>
      <c r="J21" s="153" t="str">
        <f t="array" ref="J21">INDEX('Primary - GRADING'!$A$1:$CP997,MATCH($A21,'Primary - GRADING'!$CP:$CP,0),49)</f>
        <v>#N/A</v>
      </c>
      <c r="K21" s="153" t="str">
        <f t="array" ref="K21">INDEX('Primary - GRADING'!$A$1:$CP997,MATCH($A21,'Primary - GRADING'!$CP:$CP,0),50)</f>
        <v>#N/A</v>
      </c>
      <c r="L21" s="153" t="str">
        <f t="array" ref="L21">INDEX('Primary - GRADING'!$A$1:$CP997,MATCH($A21,'Primary - GRADING'!$CP:$CP,0),51)</f>
        <v>#N/A</v>
      </c>
      <c r="M21" s="153" t="str">
        <f t="array" ref="M21">INDEX('Primary - GRADING'!$A$1:$CP997,MATCH($A21,'Primary - GRADING'!$CP:$CP,0),52)</f>
        <v>#N/A</v>
      </c>
      <c r="N21" s="153" t="str">
        <f t="array" ref="N21">INDEX('Primary - GRADING'!$A$1:$CP997,MATCH($A21,'Primary - GRADING'!$CP:$CP,0),53)</f>
        <v>#N/A</v>
      </c>
      <c r="O21" s="153" t="str">
        <f t="array" ref="O21">INDEX('Primary - GRADING'!$A$1:$CP997,MATCH($A21,'Primary - GRADING'!$CP:$CP,0),58)</f>
        <v>#N/A</v>
      </c>
      <c r="P21" s="153" t="str">
        <f t="array" ref="P21">INDEX('Primary - GRADING'!$A$1:$CP997,MATCH($A21,'Primary - GRADING'!$CP:$CP,0),5)</f>
        <v>#N/A</v>
      </c>
      <c r="Q21" s="153" t="str">
        <f t="array" ref="Q21">INDEX('Primary - GRADING'!$A$1:$CP997,MATCH($A21,'Primary - GRADING'!$CP:$CP,0),6)</f>
        <v>#N/A</v>
      </c>
      <c r="R21" s="153" t="str">
        <f t="array" ref="R21">INDEX('Primary - GRADING'!$A$1:$CP997,MATCH($A21,'Primary - GRADING'!$CP:$CP,0),7)</f>
        <v>#N/A</v>
      </c>
      <c r="S21" s="153" t="str">
        <f t="array" ref="S21">INDEX('Primary - GRADING'!$A$1:$CP997,MATCH($A21,'Primary - GRADING'!$CP:$CP,0),8)</f>
        <v>#N/A</v>
      </c>
      <c r="T21" s="153" t="str">
        <f t="array" ref="T21">INDEX('Primary - GRADING'!$A$1:$CP997,MATCH($A21,'Primary - GRADING'!$CP:$CP,0),9)</f>
        <v>#N/A</v>
      </c>
      <c r="U21" s="153" t="str">
        <f t="array" ref="U21">INDEX('Primary - GRADING'!$A$1:$CP997,MATCH($A21,'Primary - GRADING'!$CP:$CP,0),10)</f>
        <v>#N/A</v>
      </c>
      <c r="V21" s="153" t="str">
        <f t="array" ref="V21">INDEX('Primary - GRADING'!$A$1:$CP997,MATCH($A21,'Primary - GRADING'!$CP:$CP,0),18)</f>
        <v>#N/A</v>
      </c>
      <c r="W21" s="153" t="str">
        <f t="array" ref="W21">INDEX('Primary - GRADING'!$A$1:$CP997,MATCH($A21,'Primary - GRADING'!$CP:$CP,0),20)</f>
        <v>#N/A</v>
      </c>
      <c r="X21" s="153" t="str">
        <f t="array" ref="X21">INDEX('Primary - GRADING'!$A$1:$CP997,MATCH($A21,'Primary - GRADING'!$CP:$CP,0),21)</f>
        <v>#N/A</v>
      </c>
      <c r="Y21" s="153" t="str">
        <f t="array" ref="Y21">INDEX('Primary - GRADING'!$A$1:$CP997,MATCH($A21,'Primary - GRADING'!$CP:$CP,0),22)</f>
        <v>#N/A</v>
      </c>
      <c r="Z21" s="165" t="str">
        <f t="array" ref="Z21">INDEX('Primary - GRADING'!$A$1:$CP997,MATCH($A21,'Primary - GRADING'!$CP:$CP,0),23)</f>
        <v>#N/A</v>
      </c>
      <c r="AA21" s="153" t="str">
        <f t="array" ref="AA21">INDEX('Primary - GRADING'!$A$1:$CP997,MATCH($A21,'Primary - GRADING'!$CP:$CP,0),24)</f>
        <v>#N/A</v>
      </c>
      <c r="AB21" s="153" t="str">
        <f t="array" ref="AB21">INDEX('Primary - GRADING'!$A$1:$CP997,MATCH($A21,'Primary - GRADING'!$CP:$CP,0),25)</f>
        <v>#N/A</v>
      </c>
      <c r="AC21" s="153" t="str">
        <f t="array" ref="AC21">INDEX('Primary - GRADING'!$A$1:$CP997,MATCH($A21,'Primary - GRADING'!$CP:$CP,0),46)</f>
        <v>#N/A</v>
      </c>
      <c r="AG21" s="153" t="str">
        <f t="shared" si="7"/>
        <v>#N/A</v>
      </c>
      <c r="AI21" s="153" t="str">
        <f>VLOOKUP(AH21,'Primary - GRADING'!$A$4:$C997,2,)</f>
        <v>#N/A</v>
      </c>
      <c r="AJ21" s="153" t="str">
        <f>VLOOKUP(AH21,'Primary - GRADING'!$A$4:$C997,3,)</f>
        <v>#N/A</v>
      </c>
      <c r="AK21" s="153" t="str">
        <f>VLOOKUP(AH21,'Primary - GRADING'!$A$4:$BG997,59,)</f>
        <v>#N/A</v>
      </c>
      <c r="AL21" s="153" t="str">
        <f>IFS(AK21="NMA",VLOOKUP(AH21,'Primary - GRADING'!$A$4:$BG997,51,),AK21="DIRECT",VLOOKUP(AH21,'Primary - GRADING'!$A$4:$BG997,8,),AK21="INDIRECT",VLOOKUP(AH21,'Primary - GRADING'!$A$4:$BG997,23,))</f>
        <v>#N/A</v>
      </c>
      <c r="AM21" s="153" t="str">
        <f>IFS(AK21="NMA",VLOOKUP(AH21,'Primary - GRADING'!$A$4:$BG997,52,),AK21="DIRECT",VLOOKUP(AH21,'Primary - GRADING'!$A$4:$BG997,9,),AK21="INDIRECT",VLOOKUP(AH21,'Primary - GRADING'!$A$4:$BG997,24,))</f>
        <v>#N/A</v>
      </c>
      <c r="AN21" s="153" t="str">
        <f>IFS(AK21="NMA",VLOOKUP(AH21,'Primary - GRADING'!$A$4:$BG997,53,),AK21="DIRECT",VLOOKUP(AH21,'Primary - GRADING'!$A$4:$BG997,10,),AK21="INDIRECT",VLOOKUP(AH21,'Primary - GRADING'!$A$4:$BG997,25,))</f>
        <v>#N/A</v>
      </c>
      <c r="AO21" s="153" t="str">
        <f t="shared" si="8"/>
        <v>#N/A</v>
      </c>
      <c r="AT21" s="153" t="str">
        <f t="shared" si="9"/>
        <v>#N/A</v>
      </c>
      <c r="AV21" s="153" t="str">
        <f>VLOOKUP(AU21,'Primary - GRADING'!$A$4:$C997,2,)</f>
        <v>#N/A</v>
      </c>
      <c r="AW21" s="153" t="str">
        <f>VLOOKUP(AU21,'Primary - GRADING'!$A$4:$C997,3,)</f>
        <v>#N/A</v>
      </c>
      <c r="AX21" s="153" t="str">
        <f>VLOOKUP(AU21,'Primary - GRADING'!$A$4:$BG997,59,)</f>
        <v>#N/A</v>
      </c>
      <c r="AY21" s="153" t="str">
        <f>IFS(AX21="NMA",VLOOKUP(AU21,'Primary - GRADING'!$A$4:$BG997,51,),AX21="DIRECT",VLOOKUP(AU21,'Primary - GRADING'!$A$4:$BG997,8,),AX21="INDIRECT",VLOOKUP(AU21,'Primary - GRADING'!$A$4:$BG997,23,))</f>
        <v>#N/A</v>
      </c>
      <c r="AZ21" s="153" t="str">
        <f>IFS(AX21="NMA",VLOOKUP(AU21,'Primary - GRADING'!$A$4:$BG997,52,),AX21="DIRECT",VLOOKUP(AU21,'Primary - GRADING'!$A$4:$BG997,9,),AX21="INDIRECT",VLOOKUP(AU21,'Primary - GRADING'!$A$4:$BG997,24,))</f>
        <v>#N/A</v>
      </c>
      <c r="BA21" s="153" t="str">
        <f>IFS(AX21="NMA",VLOOKUP(AU21,'Primary - GRADING'!$A$4:$BG997,53,),AX21="DIRECT",VLOOKUP(AU21,'Primary - GRADING'!$A$4:$BG997,10,),AX21="INDIRECT",VLOOKUP(AU21,'Primary - GRADING'!$A$4:$BG997,25,))</f>
        <v>#N/A</v>
      </c>
      <c r="BB21" s="153" t="str">
        <f t="shared" si="10"/>
        <v>#N/A</v>
      </c>
      <c r="BE21" s="153" t="str">
        <f t="shared" si="11"/>
        <v/>
      </c>
      <c r="BG21" s="153" t="str">
        <f t="shared" si="12"/>
        <v>#N/A</v>
      </c>
      <c r="BI21" s="153" t="str">
        <f t="shared" si="13"/>
        <v>#N/A</v>
      </c>
      <c r="BK21" s="153" t="str">
        <f t="shared" si="14"/>
        <v>#N/A</v>
      </c>
      <c r="BM21" s="153" t="str">
        <f t="shared" si="15"/>
        <v>#N/A</v>
      </c>
    </row>
    <row r="22" ht="15.75" customHeight="1">
      <c r="A22" s="90"/>
      <c r="B22" s="160" t="str">
        <f t="shared" si="1"/>
        <v>#N/A</v>
      </c>
      <c r="C22" s="160" t="str">
        <f t="shared" si="2"/>
        <v>#N/A</v>
      </c>
      <c r="D22" s="160" t="str">
        <f t="shared" si="3"/>
        <v>#N/A</v>
      </c>
      <c r="E22" s="161" t="str">
        <f t="shared" si="4"/>
        <v>#N/A</v>
      </c>
      <c r="F22" s="153" t="str">
        <f t="shared" si="17"/>
        <v>#N/A</v>
      </c>
      <c r="G22" s="153" t="str">
        <f t="shared" si="6"/>
        <v>#N/A</v>
      </c>
      <c r="H22" s="156" t="str">
        <f t="array" ref="H22">INDEX('Primary - GRADING'!$A$1:$BG997,MATCH($A22,'Primary - GRADING'!$B:$B,0),59)</f>
        <v>#N/A</v>
      </c>
      <c r="I22" s="153" t="str">
        <f t="array" ref="I22">INDEX('Primary - GRADING'!$A$1:$CP997,MATCH($A22,'Primary - GRADING'!$CP:$CP,0),48)</f>
        <v>#N/A</v>
      </c>
      <c r="J22" s="153" t="str">
        <f t="array" ref="J22">INDEX('Primary - GRADING'!$A$1:$CP997,MATCH($A22,'Primary - GRADING'!$CP:$CP,0),49)</f>
        <v>#N/A</v>
      </c>
      <c r="K22" s="153" t="str">
        <f t="array" ref="K22">INDEX('Primary - GRADING'!$A$1:$CP997,MATCH($A22,'Primary - GRADING'!$CP:$CP,0),50)</f>
        <v>#N/A</v>
      </c>
      <c r="L22" s="153" t="str">
        <f t="array" ref="L22">INDEX('Primary - GRADING'!$A$1:$CP997,MATCH($A22,'Primary - GRADING'!$CP:$CP,0),51)</f>
        <v>#N/A</v>
      </c>
      <c r="M22" s="153" t="str">
        <f t="array" ref="M22">INDEX('Primary - GRADING'!$A$1:$CP997,MATCH($A22,'Primary - GRADING'!$CP:$CP,0),52)</f>
        <v>#N/A</v>
      </c>
      <c r="N22" s="153" t="str">
        <f t="array" ref="N22">INDEX('Primary - GRADING'!$A$1:$CP997,MATCH($A22,'Primary - GRADING'!$CP:$CP,0),53)</f>
        <v>#N/A</v>
      </c>
      <c r="O22" s="153" t="str">
        <f t="array" ref="O22">INDEX('Primary - GRADING'!$A$1:$CP997,MATCH($A22,'Primary - GRADING'!$CP:$CP,0),58)</f>
        <v>#N/A</v>
      </c>
      <c r="P22" s="153" t="str">
        <f t="array" ref="P22">INDEX('Primary - GRADING'!$A$1:$CP997,MATCH($A22,'Primary - GRADING'!$CP:$CP,0),5)</f>
        <v>#N/A</v>
      </c>
      <c r="Q22" s="153" t="str">
        <f t="array" ref="Q22">INDEX('Primary - GRADING'!$A$1:$CP997,MATCH($A22,'Primary - GRADING'!$CP:$CP,0),6)</f>
        <v>#N/A</v>
      </c>
      <c r="R22" s="153" t="str">
        <f t="array" ref="R22">INDEX('Primary - GRADING'!$A$1:$CP997,MATCH($A22,'Primary - GRADING'!$CP:$CP,0),7)</f>
        <v>#N/A</v>
      </c>
      <c r="S22" s="153" t="str">
        <f t="array" ref="S22">INDEX('Primary - GRADING'!$A$1:$CP997,MATCH($A22,'Primary - GRADING'!$CP:$CP,0),8)</f>
        <v>#N/A</v>
      </c>
      <c r="T22" s="153" t="str">
        <f t="array" ref="T22">INDEX('Primary - GRADING'!$A$1:$CP997,MATCH($A22,'Primary - GRADING'!$CP:$CP,0),9)</f>
        <v>#N/A</v>
      </c>
      <c r="U22" s="153" t="str">
        <f t="array" ref="U22">INDEX('Primary - GRADING'!$A$1:$CP997,MATCH($A22,'Primary - GRADING'!$CP:$CP,0),10)</f>
        <v>#N/A</v>
      </c>
      <c r="V22" s="153" t="str">
        <f t="array" ref="V22">INDEX('Primary - GRADING'!$A$1:$CP997,MATCH($A22,'Primary - GRADING'!$CP:$CP,0),18)</f>
        <v>#N/A</v>
      </c>
      <c r="W22" s="153" t="str">
        <f t="array" ref="W22">INDEX('Primary - GRADING'!$A$1:$CP997,MATCH($A22,'Primary - GRADING'!$CP:$CP,0),20)</f>
        <v>#N/A</v>
      </c>
      <c r="X22" s="153" t="str">
        <f t="array" ref="X22">INDEX('Primary - GRADING'!$A$1:$CP997,MATCH($A22,'Primary - GRADING'!$CP:$CP,0),21)</f>
        <v>#N/A</v>
      </c>
      <c r="Y22" s="153" t="str">
        <f t="array" ref="Y22">INDEX('Primary - GRADING'!$A$1:$CP997,MATCH($A22,'Primary - GRADING'!$CP:$CP,0),22)</f>
        <v>#N/A</v>
      </c>
      <c r="Z22" s="165" t="str">
        <f t="array" ref="Z22">INDEX('Primary - GRADING'!$A$1:$CP997,MATCH($A22,'Primary - GRADING'!$CP:$CP,0),23)</f>
        <v>#N/A</v>
      </c>
      <c r="AA22" s="153" t="str">
        <f t="array" ref="AA22">INDEX('Primary - GRADING'!$A$1:$CP997,MATCH($A22,'Primary - GRADING'!$CP:$CP,0),24)</f>
        <v>#N/A</v>
      </c>
      <c r="AB22" s="153" t="str">
        <f t="array" ref="AB22">INDEX('Primary - GRADING'!$A$1:$CP997,MATCH($A22,'Primary - GRADING'!$CP:$CP,0),25)</f>
        <v>#N/A</v>
      </c>
      <c r="AC22" s="153" t="str">
        <f t="array" ref="AC22">INDEX('Primary - GRADING'!$A$1:$CP997,MATCH($A22,'Primary - GRADING'!$CP:$CP,0),46)</f>
        <v>#N/A</v>
      </c>
      <c r="AG22" s="153" t="str">
        <f t="shared" si="7"/>
        <v>#N/A</v>
      </c>
      <c r="AI22" s="153" t="str">
        <f>VLOOKUP(AH22,'Primary - GRADING'!$A$4:$C997,2,)</f>
        <v>#N/A</v>
      </c>
      <c r="AJ22" s="153" t="str">
        <f>VLOOKUP(AH22,'Primary - GRADING'!$A$4:$C997,3,)</f>
        <v>#N/A</v>
      </c>
      <c r="AK22" s="153" t="str">
        <f>VLOOKUP(AH22,'Primary - GRADING'!$A$4:$BG997,59,)</f>
        <v>#N/A</v>
      </c>
      <c r="AL22" s="153" t="str">
        <f>IFS(AK22="NMA",VLOOKUP(AH22,'Primary - GRADING'!$A$4:$BG997,51,),AK22="DIRECT",VLOOKUP(AH22,'Primary - GRADING'!$A$4:$BG997,8,),AK22="INDIRECT",VLOOKUP(AH22,'Primary - GRADING'!$A$4:$BG997,23,))</f>
        <v>#N/A</v>
      </c>
      <c r="AM22" s="153" t="str">
        <f>IFS(AK22="NMA",VLOOKUP(AH22,'Primary - GRADING'!$A$4:$BG997,52,),AK22="DIRECT",VLOOKUP(AH22,'Primary - GRADING'!$A$4:$BG997,9,),AK22="INDIRECT",VLOOKUP(AH22,'Primary - GRADING'!$A$4:$BG997,24,))</f>
        <v>#N/A</v>
      </c>
      <c r="AN22" s="153" t="str">
        <f>IFS(AK22="NMA",VLOOKUP(AH22,'Primary - GRADING'!$A$4:$BG997,53,),AK22="DIRECT",VLOOKUP(AH22,'Primary - GRADING'!$A$4:$BG997,10,),AK22="INDIRECT",VLOOKUP(AH22,'Primary - GRADING'!$A$4:$BG997,25,))</f>
        <v>#N/A</v>
      </c>
      <c r="AO22" s="153" t="str">
        <f t="shared" si="8"/>
        <v>#N/A</v>
      </c>
      <c r="AT22" s="153" t="str">
        <f t="shared" si="9"/>
        <v>#N/A</v>
      </c>
      <c r="AV22" s="153" t="str">
        <f>VLOOKUP(AU22,'Primary - GRADING'!$A$4:$C997,2,)</f>
        <v>#N/A</v>
      </c>
      <c r="AW22" s="153" t="str">
        <f>VLOOKUP(AU22,'Primary - GRADING'!$A$4:$C997,3,)</f>
        <v>#N/A</v>
      </c>
      <c r="AX22" s="153" t="str">
        <f>VLOOKUP(AU22,'Primary - GRADING'!$A$4:$BG997,59,)</f>
        <v>#N/A</v>
      </c>
      <c r="AY22" s="153" t="str">
        <f>IFS(AX22="NMA",VLOOKUP(AU22,'Primary - GRADING'!$A$4:$BG997,51,),AX22="DIRECT",VLOOKUP(AU22,'Primary - GRADING'!$A$4:$BG997,8,),AX22="INDIRECT",VLOOKUP(AU22,'Primary - GRADING'!$A$4:$BG997,23,))</f>
        <v>#N/A</v>
      </c>
      <c r="AZ22" s="153" t="str">
        <f>IFS(AX22="NMA",VLOOKUP(AU22,'Primary - GRADING'!$A$4:$BG997,52,),AX22="DIRECT",VLOOKUP(AU22,'Primary - GRADING'!$A$4:$BG997,9,),AX22="INDIRECT",VLOOKUP(AU22,'Primary - GRADING'!$A$4:$BG997,24,))</f>
        <v>#N/A</v>
      </c>
      <c r="BA22" s="153" t="str">
        <f>IFS(AX22="NMA",VLOOKUP(AU22,'Primary - GRADING'!$A$4:$BG997,53,),AX22="DIRECT",VLOOKUP(AU22,'Primary - GRADING'!$A$4:$BG997,10,),AX22="INDIRECT",VLOOKUP(AU22,'Primary - GRADING'!$A$4:$BG997,25,))</f>
        <v>#N/A</v>
      </c>
      <c r="BB22" s="153" t="str">
        <f t="shared" si="10"/>
        <v>#N/A</v>
      </c>
      <c r="BE22" s="153" t="str">
        <f t="shared" si="11"/>
        <v/>
      </c>
      <c r="BG22" s="153" t="str">
        <f t="shared" si="12"/>
        <v>#N/A</v>
      </c>
      <c r="BI22" s="153" t="str">
        <f t="shared" si="13"/>
        <v>#N/A</v>
      </c>
      <c r="BK22" s="153" t="str">
        <f t="shared" si="14"/>
        <v>#N/A</v>
      </c>
      <c r="BM22" s="153" t="str">
        <f t="shared" si="15"/>
        <v>#N/A</v>
      </c>
    </row>
    <row r="23" ht="15.75" customHeight="1">
      <c r="A23" s="64"/>
      <c r="B23" s="160" t="str">
        <f t="shared" si="1"/>
        <v>#N/A</v>
      </c>
      <c r="C23" s="160" t="str">
        <f t="shared" si="2"/>
        <v>#N/A</v>
      </c>
      <c r="D23" s="160" t="str">
        <f t="shared" si="3"/>
        <v>#N/A</v>
      </c>
      <c r="E23" s="161" t="str">
        <f t="shared" si="4"/>
        <v>#N/A</v>
      </c>
      <c r="F23" s="153" t="str">
        <f t="shared" si="17"/>
        <v>#N/A</v>
      </c>
      <c r="G23" s="153" t="str">
        <f t="shared" si="6"/>
        <v>#N/A</v>
      </c>
      <c r="H23" s="156" t="str">
        <f t="array" ref="H23">INDEX('Primary - GRADING'!$A$1:$BG997,MATCH($A23,'Primary - GRADING'!$B:$B,0),59)</f>
        <v>#N/A</v>
      </c>
      <c r="I23" s="153" t="str">
        <f t="array" ref="I23">INDEX('Primary - GRADING'!$A$1:$CP997,MATCH($A23,'Primary - GRADING'!$CP:$CP,0),48)</f>
        <v>#N/A</v>
      </c>
      <c r="J23" s="153" t="str">
        <f t="array" ref="J23">INDEX('Primary - GRADING'!$A$1:$CP997,MATCH($A23,'Primary - GRADING'!$CP:$CP,0),49)</f>
        <v>#N/A</v>
      </c>
      <c r="K23" s="153" t="str">
        <f t="array" ref="K23">INDEX('Primary - GRADING'!$A$1:$CP997,MATCH($A23,'Primary - GRADING'!$CP:$CP,0),50)</f>
        <v>#N/A</v>
      </c>
      <c r="L23" s="153" t="str">
        <f t="array" ref="L23">INDEX('Primary - GRADING'!$A$1:$CP997,MATCH($A23,'Primary - GRADING'!$CP:$CP,0),51)</f>
        <v>#N/A</v>
      </c>
      <c r="M23" s="153" t="str">
        <f t="array" ref="M23">INDEX('Primary - GRADING'!$A$1:$CP997,MATCH($A23,'Primary - GRADING'!$CP:$CP,0),52)</f>
        <v>#N/A</v>
      </c>
      <c r="N23" s="153" t="str">
        <f t="array" ref="N23">INDEX('Primary - GRADING'!$A$1:$CP997,MATCH($A23,'Primary - GRADING'!$CP:$CP,0),53)</f>
        <v>#N/A</v>
      </c>
      <c r="O23" s="153" t="str">
        <f t="array" ref="O23">INDEX('Primary - GRADING'!$A$1:$CP997,MATCH($A23,'Primary - GRADING'!$CP:$CP,0),58)</f>
        <v>#N/A</v>
      </c>
      <c r="P23" s="153" t="str">
        <f t="array" ref="P23">INDEX('Primary - GRADING'!$A$1:$CP997,MATCH($A23,'Primary - GRADING'!$CP:$CP,0),5)</f>
        <v>#N/A</v>
      </c>
      <c r="Q23" s="153" t="str">
        <f t="array" ref="Q23">INDEX('Primary - GRADING'!$A$1:$CP997,MATCH($A23,'Primary - GRADING'!$CP:$CP,0),6)</f>
        <v>#N/A</v>
      </c>
      <c r="R23" s="153" t="str">
        <f t="array" ref="R23">INDEX('Primary - GRADING'!$A$1:$CP997,MATCH($A23,'Primary - GRADING'!$CP:$CP,0),7)</f>
        <v>#N/A</v>
      </c>
      <c r="S23" s="153" t="str">
        <f t="array" ref="S23">INDEX('Primary - GRADING'!$A$1:$CP997,MATCH($A23,'Primary - GRADING'!$CP:$CP,0),8)</f>
        <v>#N/A</v>
      </c>
      <c r="T23" s="153" t="str">
        <f t="array" ref="T23">INDEX('Primary - GRADING'!$A$1:$CP997,MATCH($A23,'Primary - GRADING'!$CP:$CP,0),9)</f>
        <v>#N/A</v>
      </c>
      <c r="U23" s="153" t="str">
        <f t="array" ref="U23">INDEX('Primary - GRADING'!$A$1:$CP997,MATCH($A23,'Primary - GRADING'!$CP:$CP,0),10)</f>
        <v>#N/A</v>
      </c>
      <c r="V23" s="153" t="str">
        <f t="array" ref="V23">INDEX('Primary - GRADING'!$A$1:$CP997,MATCH($A23,'Primary - GRADING'!$CP:$CP,0),18)</f>
        <v>#N/A</v>
      </c>
      <c r="W23" s="153" t="str">
        <f t="array" ref="W23">INDEX('Primary - GRADING'!$A$1:$CP997,MATCH($A23,'Primary - GRADING'!$CP:$CP,0),20)</f>
        <v>#N/A</v>
      </c>
      <c r="X23" s="153" t="str">
        <f t="array" ref="X23">INDEX('Primary - GRADING'!$A$1:$CP997,MATCH($A23,'Primary - GRADING'!$CP:$CP,0),21)</f>
        <v>#N/A</v>
      </c>
      <c r="Y23" s="153" t="str">
        <f t="array" ref="Y23">INDEX('Primary - GRADING'!$A$1:$CP997,MATCH($A23,'Primary - GRADING'!$CP:$CP,0),22)</f>
        <v>#N/A</v>
      </c>
      <c r="Z23" s="165" t="str">
        <f t="array" ref="Z23">INDEX('Primary - GRADING'!$A$1:$CP997,MATCH($A23,'Primary - GRADING'!$CP:$CP,0),23)</f>
        <v>#N/A</v>
      </c>
      <c r="AA23" s="153" t="str">
        <f t="array" ref="AA23">INDEX('Primary - GRADING'!$A$1:$CP997,MATCH($A23,'Primary - GRADING'!$CP:$CP,0),24)</f>
        <v>#N/A</v>
      </c>
      <c r="AB23" s="153" t="str">
        <f t="array" ref="AB23">INDEX('Primary - GRADING'!$A$1:$CP997,MATCH($A23,'Primary - GRADING'!$CP:$CP,0),25)</f>
        <v>#N/A</v>
      </c>
      <c r="AC23" s="153" t="str">
        <f t="array" ref="AC23">INDEX('Primary - GRADING'!$A$1:$CP997,MATCH($A23,'Primary - GRADING'!$CP:$CP,0),46)</f>
        <v>#N/A</v>
      </c>
      <c r="AG23" s="153" t="str">
        <f t="shared" si="7"/>
        <v>#N/A</v>
      </c>
      <c r="AI23" s="153" t="str">
        <f>VLOOKUP(AH23,'Primary - GRADING'!$A$4:$C997,2,)</f>
        <v>#N/A</v>
      </c>
      <c r="AJ23" s="153" t="str">
        <f>VLOOKUP(AH23,'Primary - GRADING'!$A$4:$C997,3,)</f>
        <v>#N/A</v>
      </c>
      <c r="AK23" s="153" t="str">
        <f>VLOOKUP(AH23,'Primary - GRADING'!$A$4:$BG997,59,)</f>
        <v>#N/A</v>
      </c>
      <c r="AL23" s="153" t="str">
        <f>IFS(AK23="NMA",VLOOKUP(AH23,'Primary - GRADING'!$A$4:$BG997,51,),AK23="DIRECT",VLOOKUP(AH23,'Primary - GRADING'!$A$4:$BG997,8,),AK23="INDIRECT",VLOOKUP(AH23,'Primary - GRADING'!$A$4:$BG997,23,))</f>
        <v>#N/A</v>
      </c>
      <c r="AM23" s="153" t="str">
        <f>IFS(AK23="NMA",VLOOKUP(AH23,'Primary - GRADING'!$A$4:$BG997,52,),AK23="DIRECT",VLOOKUP(AH23,'Primary - GRADING'!$A$4:$BG997,9,),AK23="INDIRECT",VLOOKUP(AH23,'Primary - GRADING'!$A$4:$BG997,24,))</f>
        <v>#N/A</v>
      </c>
      <c r="AN23" s="153" t="str">
        <f>IFS(AK23="NMA",VLOOKUP(AH23,'Primary - GRADING'!$A$4:$BG997,53,),AK23="DIRECT",VLOOKUP(AH23,'Primary - GRADING'!$A$4:$BG997,10,),AK23="INDIRECT",VLOOKUP(AH23,'Primary - GRADING'!$A$4:$BG997,25,))</f>
        <v>#N/A</v>
      </c>
      <c r="AO23" s="153" t="str">
        <f t="shared" si="8"/>
        <v>#N/A</v>
      </c>
      <c r="AT23" s="153" t="str">
        <f t="shared" si="9"/>
        <v>#N/A</v>
      </c>
      <c r="AV23" s="153" t="str">
        <f>VLOOKUP(AU23,'Primary - GRADING'!$A$4:$C997,2,)</f>
        <v>#N/A</v>
      </c>
      <c r="AW23" s="153" t="str">
        <f>VLOOKUP(AU23,'Primary - GRADING'!$A$4:$C997,3,)</f>
        <v>#N/A</v>
      </c>
      <c r="AX23" s="153" t="str">
        <f>VLOOKUP(AU23,'Primary - GRADING'!$A$4:$BG997,59,)</f>
        <v>#N/A</v>
      </c>
      <c r="AY23" s="153" t="str">
        <f>IFS(AX23="NMA",VLOOKUP(AU23,'Primary - GRADING'!$A$4:$BG997,51,),AX23="DIRECT",VLOOKUP(AU23,'Primary - GRADING'!$A$4:$BG997,8,),AX23="INDIRECT",VLOOKUP(AU23,'Primary - GRADING'!$A$4:$BG997,23,))</f>
        <v>#N/A</v>
      </c>
      <c r="AZ23" s="153" t="str">
        <f>IFS(AX23="NMA",VLOOKUP(AU23,'Primary - GRADING'!$A$4:$BG997,52,),AX23="DIRECT",VLOOKUP(AU23,'Primary - GRADING'!$A$4:$BG997,9,),AX23="INDIRECT",VLOOKUP(AU23,'Primary - GRADING'!$A$4:$BG997,24,))</f>
        <v>#N/A</v>
      </c>
      <c r="BA23" s="153" t="str">
        <f>IFS(AX23="NMA",VLOOKUP(AU23,'Primary - GRADING'!$A$4:$BG997,53,),AX23="DIRECT",VLOOKUP(AU23,'Primary - GRADING'!$A$4:$BG997,10,),AX23="INDIRECT",VLOOKUP(AU23,'Primary - GRADING'!$A$4:$BG997,25,))</f>
        <v>#N/A</v>
      </c>
      <c r="BB23" s="153" t="str">
        <f t="shared" si="10"/>
        <v>#N/A</v>
      </c>
      <c r="BE23" s="153" t="str">
        <f t="shared" si="11"/>
        <v/>
      </c>
      <c r="BG23" s="153" t="str">
        <f t="shared" si="12"/>
        <v>#N/A</v>
      </c>
      <c r="BI23" s="153" t="str">
        <f t="shared" si="13"/>
        <v>#N/A</v>
      </c>
      <c r="BK23" s="153" t="str">
        <f t="shared" si="14"/>
        <v>#N/A</v>
      </c>
      <c r="BM23" s="153" t="str">
        <f t="shared" si="15"/>
        <v>#N/A</v>
      </c>
    </row>
    <row r="24" ht="15.75" customHeight="1">
      <c r="A24" s="64"/>
      <c r="B24" s="160" t="str">
        <f t="shared" si="1"/>
        <v>#N/A</v>
      </c>
      <c r="C24" s="160" t="str">
        <f t="shared" si="2"/>
        <v>#N/A</v>
      </c>
      <c r="D24" s="160" t="str">
        <f t="shared" si="3"/>
        <v>#N/A</v>
      </c>
      <c r="E24" s="161" t="str">
        <f t="shared" si="4"/>
        <v>#N/A</v>
      </c>
      <c r="F24" s="153" t="str">
        <f t="shared" si="17"/>
        <v>#N/A</v>
      </c>
      <c r="G24" s="153" t="str">
        <f t="shared" si="6"/>
        <v>#N/A</v>
      </c>
      <c r="H24" s="156" t="str">
        <f t="array" ref="H24">INDEX('Primary - GRADING'!$A$1:$BG997,MATCH($A24,'Primary - GRADING'!$B:$B,0),59)</f>
        <v>#N/A</v>
      </c>
      <c r="I24" s="153" t="str">
        <f t="array" ref="I24">INDEX('Primary - GRADING'!$A$1:$CP997,MATCH($A24,'Primary - GRADING'!$CP:$CP,0),48)</f>
        <v>#N/A</v>
      </c>
      <c r="J24" s="153" t="str">
        <f t="array" ref="J24">INDEX('Primary - GRADING'!$A$1:$CP997,MATCH($A24,'Primary - GRADING'!$CP:$CP,0),49)</f>
        <v>#N/A</v>
      </c>
      <c r="K24" s="153" t="str">
        <f t="array" ref="K24">INDEX('Primary - GRADING'!$A$1:$CP997,MATCH($A24,'Primary - GRADING'!$CP:$CP,0),50)</f>
        <v>#N/A</v>
      </c>
      <c r="L24" s="153" t="str">
        <f t="array" ref="L24">INDEX('Primary - GRADING'!$A$1:$CP997,MATCH($A24,'Primary - GRADING'!$CP:$CP,0),51)</f>
        <v>#N/A</v>
      </c>
      <c r="M24" s="153" t="str">
        <f t="array" ref="M24">INDEX('Primary - GRADING'!$A$1:$CP997,MATCH($A24,'Primary - GRADING'!$CP:$CP,0),52)</f>
        <v>#N/A</v>
      </c>
      <c r="N24" s="153" t="str">
        <f t="array" ref="N24">INDEX('Primary - GRADING'!$A$1:$CP997,MATCH($A24,'Primary - GRADING'!$CP:$CP,0),53)</f>
        <v>#N/A</v>
      </c>
      <c r="O24" s="153" t="str">
        <f t="array" ref="O24">INDEX('Primary - GRADING'!$A$1:$CP997,MATCH($A24,'Primary - GRADING'!$CP:$CP,0),58)</f>
        <v>#N/A</v>
      </c>
      <c r="P24" s="153" t="str">
        <f t="array" ref="P24">INDEX('Primary - GRADING'!$A$1:$CP997,MATCH($A24,'Primary - GRADING'!$CP:$CP,0),5)</f>
        <v>#N/A</v>
      </c>
      <c r="Q24" s="153" t="str">
        <f t="array" ref="Q24">INDEX('Primary - GRADING'!$A$1:$CP997,MATCH($A24,'Primary - GRADING'!$CP:$CP,0),6)</f>
        <v>#N/A</v>
      </c>
      <c r="R24" s="153" t="str">
        <f t="array" ref="R24">INDEX('Primary - GRADING'!$A$1:$CP997,MATCH($A24,'Primary - GRADING'!$CP:$CP,0),7)</f>
        <v>#N/A</v>
      </c>
      <c r="S24" s="153" t="str">
        <f t="array" ref="S24">INDEX('Primary - GRADING'!$A$1:$CP997,MATCH($A24,'Primary - GRADING'!$CP:$CP,0),8)</f>
        <v>#N/A</v>
      </c>
      <c r="T24" s="153" t="str">
        <f t="array" ref="T24">INDEX('Primary - GRADING'!$A$1:$CP997,MATCH($A24,'Primary - GRADING'!$CP:$CP,0),9)</f>
        <v>#N/A</v>
      </c>
      <c r="U24" s="153" t="str">
        <f t="array" ref="U24">INDEX('Primary - GRADING'!$A$1:$CP997,MATCH($A24,'Primary - GRADING'!$CP:$CP,0),10)</f>
        <v>#N/A</v>
      </c>
      <c r="V24" s="153" t="str">
        <f t="array" ref="V24">INDEX('Primary - GRADING'!$A$1:$CP997,MATCH($A24,'Primary - GRADING'!$CP:$CP,0),18)</f>
        <v>#N/A</v>
      </c>
      <c r="W24" s="153" t="str">
        <f t="array" ref="W24">INDEX('Primary - GRADING'!$A$1:$CP997,MATCH($A24,'Primary - GRADING'!$CP:$CP,0),20)</f>
        <v>#N/A</v>
      </c>
      <c r="X24" s="153" t="str">
        <f t="array" ref="X24">INDEX('Primary - GRADING'!$A$1:$CP997,MATCH($A24,'Primary - GRADING'!$CP:$CP,0),21)</f>
        <v>#N/A</v>
      </c>
      <c r="Y24" s="153" t="str">
        <f t="array" ref="Y24">INDEX('Primary - GRADING'!$A$1:$CP997,MATCH($A24,'Primary - GRADING'!$CP:$CP,0),22)</f>
        <v>#N/A</v>
      </c>
      <c r="Z24" s="165" t="str">
        <f t="array" ref="Z24">INDEX('Primary - GRADING'!$A$1:$CP997,MATCH($A24,'Primary - GRADING'!$CP:$CP,0),23)</f>
        <v>#N/A</v>
      </c>
      <c r="AA24" s="153" t="str">
        <f t="array" ref="AA24">INDEX('Primary - GRADING'!$A$1:$CP997,MATCH($A24,'Primary - GRADING'!$CP:$CP,0),24)</f>
        <v>#N/A</v>
      </c>
      <c r="AB24" s="153" t="str">
        <f t="array" ref="AB24">INDEX('Primary - GRADING'!$A$1:$CP997,MATCH($A24,'Primary - GRADING'!$CP:$CP,0),25)</f>
        <v>#N/A</v>
      </c>
      <c r="AC24" s="153" t="str">
        <f t="array" ref="AC24">INDEX('Primary - GRADING'!$A$1:$CP997,MATCH($A24,'Primary - GRADING'!$CP:$CP,0),46)</f>
        <v>#N/A</v>
      </c>
      <c r="AG24" s="153" t="str">
        <f t="shared" si="7"/>
        <v>#N/A</v>
      </c>
      <c r="AI24" s="153" t="str">
        <f>VLOOKUP(AH24,'Primary - GRADING'!$A$4:$C997,2,)</f>
        <v>#N/A</v>
      </c>
      <c r="AJ24" s="153" t="str">
        <f>VLOOKUP(AH24,'Primary - GRADING'!$A$4:$C997,3,)</f>
        <v>#N/A</v>
      </c>
      <c r="AK24" s="153" t="str">
        <f>VLOOKUP(AH24,'Primary - GRADING'!$A$4:$BG997,59,)</f>
        <v>#N/A</v>
      </c>
      <c r="AL24" s="153" t="str">
        <f>IFS(AK24="NMA",VLOOKUP(AH24,'Primary - GRADING'!$A$4:$BG997,51,),AK24="DIRECT",VLOOKUP(AH24,'Primary - GRADING'!$A$4:$BG997,8,),AK24="INDIRECT",VLOOKUP(AH24,'Primary - GRADING'!$A$4:$BG997,23,))</f>
        <v>#N/A</v>
      </c>
      <c r="AM24" s="153" t="str">
        <f>IFS(AK24="NMA",VLOOKUP(AH24,'Primary - GRADING'!$A$4:$BG997,52,),AK24="DIRECT",VLOOKUP(AH24,'Primary - GRADING'!$A$4:$BG997,9,),AK24="INDIRECT",VLOOKUP(AH24,'Primary - GRADING'!$A$4:$BG997,24,))</f>
        <v>#N/A</v>
      </c>
      <c r="AN24" s="153" t="str">
        <f>IFS(AK24="NMA",VLOOKUP(AH24,'Primary - GRADING'!$A$4:$BG997,53,),AK24="DIRECT",VLOOKUP(AH24,'Primary - GRADING'!$A$4:$BG997,10,),AK24="INDIRECT",VLOOKUP(AH24,'Primary - GRADING'!$A$4:$BG997,25,))</f>
        <v>#N/A</v>
      </c>
      <c r="AO24" s="153" t="str">
        <f t="shared" si="8"/>
        <v>#N/A</v>
      </c>
      <c r="AT24" s="153" t="str">
        <f t="shared" si="9"/>
        <v>#N/A</v>
      </c>
      <c r="AV24" s="153" t="str">
        <f>VLOOKUP(AU24,'Primary - GRADING'!$A$4:$C997,2,)</f>
        <v>#N/A</v>
      </c>
      <c r="AW24" s="153" t="str">
        <f>VLOOKUP(AU24,'Primary - GRADING'!$A$4:$C997,3,)</f>
        <v>#N/A</v>
      </c>
      <c r="AX24" s="153" t="str">
        <f>VLOOKUP(AU24,'Primary - GRADING'!$A$4:$BG997,59,)</f>
        <v>#N/A</v>
      </c>
      <c r="AY24" s="153" t="str">
        <f>IFS(AX24="NMA",VLOOKUP(AU24,'Primary - GRADING'!$A$4:$BG997,51,),AX24="DIRECT",VLOOKUP(AU24,'Primary - GRADING'!$A$4:$BG997,8,),AX24="INDIRECT",VLOOKUP(AU24,'Primary - GRADING'!$A$4:$BG997,23,))</f>
        <v>#N/A</v>
      </c>
      <c r="AZ24" s="153" t="str">
        <f>IFS(AX24="NMA",VLOOKUP(AU24,'Primary - GRADING'!$A$4:$BG997,52,),AX24="DIRECT",VLOOKUP(AU24,'Primary - GRADING'!$A$4:$BG997,9,),AX24="INDIRECT",VLOOKUP(AU24,'Primary - GRADING'!$A$4:$BG997,24,))</f>
        <v>#N/A</v>
      </c>
      <c r="BA24" s="153" t="str">
        <f>IFS(AX24="NMA",VLOOKUP(AU24,'Primary - GRADING'!$A$4:$BG997,53,),AX24="DIRECT",VLOOKUP(AU24,'Primary - GRADING'!$A$4:$BG997,10,),AX24="INDIRECT",VLOOKUP(AU24,'Primary - GRADING'!$A$4:$BG997,25,))</f>
        <v>#N/A</v>
      </c>
      <c r="BB24" s="153" t="str">
        <f t="shared" si="10"/>
        <v>#N/A</v>
      </c>
      <c r="BE24" s="153" t="str">
        <f t="shared" si="11"/>
        <v/>
      </c>
      <c r="BG24" s="153" t="str">
        <f t="shared" si="12"/>
        <v>#N/A</v>
      </c>
      <c r="BI24" s="153" t="str">
        <f t="shared" si="13"/>
        <v>#N/A</v>
      </c>
      <c r="BK24" s="153" t="str">
        <f t="shared" si="14"/>
        <v>#N/A</v>
      </c>
      <c r="BM24" s="153" t="str">
        <f t="shared" si="15"/>
        <v>#N/A</v>
      </c>
    </row>
    <row r="25" ht="15.75" customHeight="1">
      <c r="A25" s="64"/>
      <c r="B25" s="160" t="str">
        <f t="shared" si="1"/>
        <v>#N/A</v>
      </c>
      <c r="C25" s="160" t="str">
        <f t="shared" si="2"/>
        <v>#N/A</v>
      </c>
      <c r="D25" s="160" t="str">
        <f t="shared" si="3"/>
        <v>#N/A</v>
      </c>
      <c r="E25" s="161" t="str">
        <f t="shared" si="4"/>
        <v>#N/A</v>
      </c>
      <c r="F25" s="153" t="str">
        <f t="shared" si="17"/>
        <v>#N/A</v>
      </c>
      <c r="G25" s="153" t="str">
        <f t="shared" si="6"/>
        <v>#N/A</v>
      </c>
      <c r="H25" s="156" t="str">
        <f t="array" ref="H25">INDEX('Primary - GRADING'!$A$1:$BG997,MATCH($A25,'Primary - GRADING'!$B:$B,0),59)</f>
        <v>#N/A</v>
      </c>
      <c r="I25" s="153" t="str">
        <f t="array" ref="I25">INDEX('Primary - GRADING'!$A$1:$CP997,MATCH($A25,'Primary - GRADING'!$CP:$CP,0),48)</f>
        <v>#N/A</v>
      </c>
      <c r="J25" s="153" t="str">
        <f t="array" ref="J25">INDEX('Primary - GRADING'!$A$1:$CP997,MATCH($A25,'Primary - GRADING'!$CP:$CP,0),49)</f>
        <v>#N/A</v>
      </c>
      <c r="K25" s="153" t="str">
        <f t="array" ref="K25">INDEX('Primary - GRADING'!$A$1:$CP997,MATCH($A25,'Primary - GRADING'!$CP:$CP,0),50)</f>
        <v>#N/A</v>
      </c>
      <c r="L25" s="153" t="str">
        <f t="array" ref="L25">INDEX('Primary - GRADING'!$A$1:$CP997,MATCH($A25,'Primary - GRADING'!$CP:$CP,0),51)</f>
        <v>#N/A</v>
      </c>
      <c r="M25" s="153" t="str">
        <f t="array" ref="M25">INDEX('Primary - GRADING'!$A$1:$CP997,MATCH($A25,'Primary - GRADING'!$CP:$CP,0),52)</f>
        <v>#N/A</v>
      </c>
      <c r="N25" s="153" t="str">
        <f t="array" ref="N25">INDEX('Primary - GRADING'!$A$1:$CP997,MATCH($A25,'Primary - GRADING'!$CP:$CP,0),53)</f>
        <v>#N/A</v>
      </c>
      <c r="O25" s="153" t="str">
        <f t="array" ref="O25">INDEX('Primary - GRADING'!$A$1:$CP997,MATCH($A25,'Primary - GRADING'!$CP:$CP,0),58)</f>
        <v>#N/A</v>
      </c>
      <c r="P25" s="153" t="str">
        <f t="array" ref="P25">INDEX('Primary - GRADING'!$A$1:$CP997,MATCH($A25,'Primary - GRADING'!$CP:$CP,0),5)</f>
        <v>#N/A</v>
      </c>
      <c r="Q25" s="153" t="str">
        <f t="array" ref="Q25">INDEX('Primary - GRADING'!$A$1:$CP997,MATCH($A25,'Primary - GRADING'!$CP:$CP,0),6)</f>
        <v>#N/A</v>
      </c>
      <c r="R25" s="153" t="str">
        <f t="array" ref="R25">INDEX('Primary - GRADING'!$A$1:$CP997,MATCH($A25,'Primary - GRADING'!$CP:$CP,0),7)</f>
        <v>#N/A</v>
      </c>
      <c r="S25" s="153" t="str">
        <f t="array" ref="S25">INDEX('Primary - GRADING'!$A$1:$CP997,MATCH($A25,'Primary - GRADING'!$CP:$CP,0),8)</f>
        <v>#N/A</v>
      </c>
      <c r="T25" s="153" t="str">
        <f t="array" ref="T25">INDEX('Primary - GRADING'!$A$1:$CP997,MATCH($A25,'Primary - GRADING'!$CP:$CP,0),9)</f>
        <v>#N/A</v>
      </c>
      <c r="U25" s="153" t="str">
        <f t="array" ref="U25">INDEX('Primary - GRADING'!$A$1:$CP997,MATCH($A25,'Primary - GRADING'!$CP:$CP,0),10)</f>
        <v>#N/A</v>
      </c>
      <c r="V25" s="153" t="str">
        <f t="array" ref="V25">INDEX('Primary - GRADING'!$A$1:$CP997,MATCH($A25,'Primary - GRADING'!$CP:$CP,0),18)</f>
        <v>#N/A</v>
      </c>
      <c r="W25" s="153" t="str">
        <f t="array" ref="W25">INDEX('Primary - GRADING'!$A$1:$CP997,MATCH($A25,'Primary - GRADING'!$CP:$CP,0),20)</f>
        <v>#N/A</v>
      </c>
      <c r="X25" s="153" t="str">
        <f t="array" ref="X25">INDEX('Primary - GRADING'!$A$1:$CP997,MATCH($A25,'Primary - GRADING'!$CP:$CP,0),21)</f>
        <v>#N/A</v>
      </c>
      <c r="Y25" s="153" t="str">
        <f t="array" ref="Y25">INDEX('Primary - GRADING'!$A$1:$CP997,MATCH($A25,'Primary - GRADING'!$CP:$CP,0),22)</f>
        <v>#N/A</v>
      </c>
      <c r="Z25" s="165" t="str">
        <f t="array" ref="Z25">INDEX('Primary - GRADING'!$A$1:$CP997,MATCH($A25,'Primary - GRADING'!$CP:$CP,0),23)</f>
        <v>#N/A</v>
      </c>
      <c r="AA25" s="153" t="str">
        <f t="array" ref="AA25">INDEX('Primary - GRADING'!$A$1:$CP997,MATCH($A25,'Primary - GRADING'!$CP:$CP,0),24)</f>
        <v>#N/A</v>
      </c>
      <c r="AB25" s="153" t="str">
        <f t="array" ref="AB25">INDEX('Primary - GRADING'!$A$1:$CP997,MATCH($A25,'Primary - GRADING'!$CP:$CP,0),25)</f>
        <v>#N/A</v>
      </c>
      <c r="AC25" s="153" t="str">
        <f t="array" ref="AC25">INDEX('Primary - GRADING'!$A$1:$CP997,MATCH($A25,'Primary - GRADING'!$CP:$CP,0),46)</f>
        <v>#N/A</v>
      </c>
      <c r="AG25" s="153" t="str">
        <f t="shared" si="7"/>
        <v>#N/A</v>
      </c>
      <c r="AI25" s="153" t="str">
        <f>VLOOKUP(AH25,'Primary - GRADING'!$A$4:$C997,2,)</f>
        <v>#N/A</v>
      </c>
      <c r="AJ25" s="153" t="str">
        <f>VLOOKUP(AH25,'Primary - GRADING'!$A$4:$C997,3,)</f>
        <v>#N/A</v>
      </c>
      <c r="AK25" s="153" t="str">
        <f>VLOOKUP(AH25,'Primary - GRADING'!$A$4:$BG997,59,)</f>
        <v>#N/A</v>
      </c>
      <c r="AL25" s="153" t="str">
        <f>IFS(AK25="NMA",VLOOKUP(AH25,'Primary - GRADING'!$A$4:$BG997,51,),AK25="DIRECT",VLOOKUP(AH25,'Primary - GRADING'!$A$4:$BG997,8,),AK25="INDIRECT",VLOOKUP(AH25,'Primary - GRADING'!$A$4:$BG997,23,))</f>
        <v>#N/A</v>
      </c>
      <c r="AM25" s="153" t="str">
        <f>IFS(AK25="NMA",VLOOKUP(AH25,'Primary - GRADING'!$A$4:$BG997,52,),AK25="DIRECT",VLOOKUP(AH25,'Primary - GRADING'!$A$4:$BG997,9,),AK25="INDIRECT",VLOOKUP(AH25,'Primary - GRADING'!$A$4:$BG997,24,))</f>
        <v>#N/A</v>
      </c>
      <c r="AN25" s="153" t="str">
        <f>IFS(AK25="NMA",VLOOKUP(AH25,'Primary - GRADING'!$A$4:$BG997,53,),AK25="DIRECT",VLOOKUP(AH25,'Primary - GRADING'!$A$4:$BG997,10,),AK25="INDIRECT",VLOOKUP(AH25,'Primary - GRADING'!$A$4:$BG997,25,))</f>
        <v>#N/A</v>
      </c>
      <c r="AO25" s="153" t="str">
        <f t="shared" si="8"/>
        <v>#N/A</v>
      </c>
      <c r="AT25" s="153" t="str">
        <f t="shared" si="9"/>
        <v>#N/A</v>
      </c>
      <c r="AV25" s="153" t="str">
        <f>VLOOKUP(AU25,'Primary - GRADING'!$A$4:$C997,2,)</f>
        <v>#N/A</v>
      </c>
      <c r="AW25" s="153" t="str">
        <f>VLOOKUP(AU25,'Primary - GRADING'!$A$4:$C997,3,)</f>
        <v>#N/A</v>
      </c>
      <c r="AX25" s="153" t="str">
        <f>VLOOKUP(AU25,'Primary - GRADING'!$A$4:$BG997,59,)</f>
        <v>#N/A</v>
      </c>
      <c r="AY25" s="153" t="str">
        <f>IFS(AX25="NMA",VLOOKUP(AU25,'Primary - GRADING'!$A$4:$BG997,51,),AX25="DIRECT",VLOOKUP(AU25,'Primary - GRADING'!$A$4:$BG997,8,),AX25="INDIRECT",VLOOKUP(AU25,'Primary - GRADING'!$A$4:$BG997,23,))</f>
        <v>#N/A</v>
      </c>
      <c r="AZ25" s="153" t="str">
        <f>IFS(AX25="NMA",VLOOKUP(AU25,'Primary - GRADING'!$A$4:$BG997,52,),AX25="DIRECT",VLOOKUP(AU25,'Primary - GRADING'!$A$4:$BG997,9,),AX25="INDIRECT",VLOOKUP(AU25,'Primary - GRADING'!$A$4:$BG997,24,))</f>
        <v>#N/A</v>
      </c>
      <c r="BA25" s="153" t="str">
        <f>IFS(AX25="NMA",VLOOKUP(AU25,'Primary - GRADING'!$A$4:$BG997,53,),AX25="DIRECT",VLOOKUP(AU25,'Primary - GRADING'!$A$4:$BG997,10,),AX25="INDIRECT",VLOOKUP(AU25,'Primary - GRADING'!$A$4:$BG997,25,))</f>
        <v>#N/A</v>
      </c>
      <c r="BB25" s="153" t="str">
        <f t="shared" si="10"/>
        <v>#N/A</v>
      </c>
      <c r="BE25" s="153" t="str">
        <f t="shared" si="11"/>
        <v/>
      </c>
      <c r="BG25" s="153" t="str">
        <f t="shared" si="12"/>
        <v>#N/A</v>
      </c>
      <c r="BI25" s="153" t="str">
        <f t="shared" si="13"/>
        <v>#N/A</v>
      </c>
      <c r="BK25" s="153" t="str">
        <f t="shared" si="14"/>
        <v>#N/A</v>
      </c>
      <c r="BM25" s="153" t="str">
        <f t="shared" si="15"/>
        <v>#N/A</v>
      </c>
    </row>
    <row r="26" ht="15.75" customHeight="1">
      <c r="A26" s="64"/>
      <c r="B26" s="160" t="str">
        <f t="shared" si="1"/>
        <v>#N/A</v>
      </c>
      <c r="C26" s="160" t="str">
        <f t="shared" si="2"/>
        <v>#N/A</v>
      </c>
      <c r="D26" s="160" t="str">
        <f t="shared" si="3"/>
        <v>#N/A</v>
      </c>
      <c r="E26" s="161" t="str">
        <f t="shared" si="4"/>
        <v>#N/A</v>
      </c>
      <c r="F26" s="153" t="str">
        <f t="shared" si="17"/>
        <v>#N/A</v>
      </c>
      <c r="G26" s="153" t="str">
        <f t="shared" si="6"/>
        <v>#N/A</v>
      </c>
      <c r="H26" s="156" t="str">
        <f t="array" ref="H26">INDEX('Primary - GRADING'!$A$1:$BG997,MATCH($A26,'Primary - GRADING'!$B:$B,0),59)</f>
        <v>#N/A</v>
      </c>
      <c r="I26" s="153" t="str">
        <f t="array" ref="I26">INDEX('Primary - GRADING'!$A$1:$CP997,MATCH($A26,'Primary - GRADING'!$CP:$CP,0),48)</f>
        <v>#N/A</v>
      </c>
      <c r="J26" s="153" t="str">
        <f t="array" ref="J26">INDEX('Primary - GRADING'!$A$1:$CP997,MATCH($A26,'Primary - GRADING'!$CP:$CP,0),49)</f>
        <v>#N/A</v>
      </c>
      <c r="K26" s="153" t="str">
        <f t="array" ref="K26">INDEX('Primary - GRADING'!$A$1:$CP997,MATCH($A26,'Primary - GRADING'!$CP:$CP,0),50)</f>
        <v>#N/A</v>
      </c>
      <c r="L26" s="153" t="str">
        <f t="array" ref="L26">INDEX('Primary - GRADING'!$A$1:$CP997,MATCH($A26,'Primary - GRADING'!$CP:$CP,0),51)</f>
        <v>#N/A</v>
      </c>
      <c r="M26" s="153" t="str">
        <f t="array" ref="M26">INDEX('Primary - GRADING'!$A$1:$CP997,MATCH($A26,'Primary - GRADING'!$CP:$CP,0),52)</f>
        <v>#N/A</v>
      </c>
      <c r="N26" s="153" t="str">
        <f t="array" ref="N26">INDEX('Primary - GRADING'!$A$1:$CP997,MATCH($A26,'Primary - GRADING'!$CP:$CP,0),53)</f>
        <v>#N/A</v>
      </c>
      <c r="O26" s="153" t="str">
        <f t="array" ref="O26">INDEX('Primary - GRADING'!$A$1:$CP997,MATCH($A26,'Primary - GRADING'!$CP:$CP,0),58)</f>
        <v>#N/A</v>
      </c>
      <c r="P26" s="153" t="str">
        <f t="array" ref="P26">INDEX('Primary - GRADING'!$A$1:$CP997,MATCH($A26,'Primary - GRADING'!$CP:$CP,0),5)</f>
        <v>#N/A</v>
      </c>
      <c r="Q26" s="153" t="str">
        <f t="array" ref="Q26">INDEX('Primary - GRADING'!$A$1:$CP997,MATCH($A26,'Primary - GRADING'!$CP:$CP,0),6)</f>
        <v>#N/A</v>
      </c>
      <c r="R26" s="153" t="str">
        <f t="array" ref="R26">INDEX('Primary - GRADING'!$A$1:$CP997,MATCH($A26,'Primary - GRADING'!$CP:$CP,0),7)</f>
        <v>#N/A</v>
      </c>
      <c r="S26" s="153" t="str">
        <f t="array" ref="S26">INDEX('Primary - GRADING'!$A$1:$CP997,MATCH($A26,'Primary - GRADING'!$CP:$CP,0),8)</f>
        <v>#N/A</v>
      </c>
      <c r="T26" s="153" t="str">
        <f t="array" ref="T26">INDEX('Primary - GRADING'!$A$1:$CP997,MATCH($A26,'Primary - GRADING'!$CP:$CP,0),9)</f>
        <v>#N/A</v>
      </c>
      <c r="U26" s="153" t="str">
        <f t="array" ref="U26">INDEX('Primary - GRADING'!$A$1:$CP997,MATCH($A26,'Primary - GRADING'!$CP:$CP,0),10)</f>
        <v>#N/A</v>
      </c>
      <c r="V26" s="153" t="str">
        <f t="array" ref="V26">INDEX('Primary - GRADING'!$A$1:$CP997,MATCH($A26,'Primary - GRADING'!$CP:$CP,0),18)</f>
        <v>#N/A</v>
      </c>
      <c r="W26" s="153" t="str">
        <f t="array" ref="W26">INDEX('Primary - GRADING'!$A$1:$CP997,MATCH($A26,'Primary - GRADING'!$CP:$CP,0),20)</f>
        <v>#N/A</v>
      </c>
      <c r="X26" s="153" t="str">
        <f t="array" ref="X26">INDEX('Primary - GRADING'!$A$1:$CP997,MATCH($A26,'Primary - GRADING'!$CP:$CP,0),21)</f>
        <v>#N/A</v>
      </c>
      <c r="Y26" s="153" t="str">
        <f t="array" ref="Y26">INDEX('Primary - GRADING'!$A$1:$CP997,MATCH($A26,'Primary - GRADING'!$CP:$CP,0),22)</f>
        <v>#N/A</v>
      </c>
      <c r="Z26" s="165" t="str">
        <f t="array" ref="Z26">INDEX('Primary - GRADING'!$A$1:$CP997,MATCH($A26,'Primary - GRADING'!$CP:$CP,0),23)</f>
        <v>#N/A</v>
      </c>
      <c r="AA26" s="153" t="str">
        <f t="array" ref="AA26">INDEX('Primary - GRADING'!$A$1:$CP997,MATCH($A26,'Primary - GRADING'!$CP:$CP,0),24)</f>
        <v>#N/A</v>
      </c>
      <c r="AB26" s="153" t="str">
        <f t="array" ref="AB26">INDEX('Primary - GRADING'!$A$1:$CP997,MATCH($A26,'Primary - GRADING'!$CP:$CP,0),25)</f>
        <v>#N/A</v>
      </c>
      <c r="AC26" s="153" t="str">
        <f t="array" ref="AC26">INDEX('Primary - GRADING'!$A$1:$CP997,MATCH($A26,'Primary - GRADING'!$CP:$CP,0),46)</f>
        <v>#N/A</v>
      </c>
      <c r="AG26" s="153" t="str">
        <f t="shared" si="7"/>
        <v>#N/A</v>
      </c>
      <c r="AI26" s="153" t="str">
        <f>VLOOKUP(AH26,'Primary - GRADING'!$A$4:$C997,2,)</f>
        <v>#N/A</v>
      </c>
      <c r="AJ26" s="153" t="str">
        <f>VLOOKUP(AH26,'Primary - GRADING'!$A$4:$C997,3,)</f>
        <v>#N/A</v>
      </c>
      <c r="AK26" s="153" t="str">
        <f>VLOOKUP(AH26,'Primary - GRADING'!$A$4:$BG997,59,)</f>
        <v>#N/A</v>
      </c>
      <c r="AL26" s="153" t="str">
        <f>IFS(AK26="NMA",VLOOKUP(AH26,'Primary - GRADING'!$A$4:$BG997,51,),AK26="DIRECT",VLOOKUP(AH26,'Primary - GRADING'!$A$4:$BG997,8,),AK26="INDIRECT",VLOOKUP(AH26,'Primary - GRADING'!$A$4:$BG997,23,))</f>
        <v>#N/A</v>
      </c>
      <c r="AM26" s="153" t="str">
        <f>IFS(AK26="NMA",VLOOKUP(AH26,'Primary - GRADING'!$A$4:$BG997,52,),AK26="DIRECT",VLOOKUP(AH26,'Primary - GRADING'!$A$4:$BG997,9,),AK26="INDIRECT",VLOOKUP(AH26,'Primary - GRADING'!$A$4:$BG997,24,))</f>
        <v>#N/A</v>
      </c>
      <c r="AN26" s="153" t="str">
        <f>IFS(AK26="NMA",VLOOKUP(AH26,'Primary - GRADING'!$A$4:$BG997,53,),AK26="DIRECT",VLOOKUP(AH26,'Primary - GRADING'!$A$4:$BG997,10,),AK26="INDIRECT",VLOOKUP(AH26,'Primary - GRADING'!$A$4:$BG997,25,))</f>
        <v>#N/A</v>
      </c>
      <c r="AO26" s="153" t="str">
        <f t="shared" si="8"/>
        <v>#N/A</v>
      </c>
      <c r="AT26" s="153" t="str">
        <f t="shared" si="9"/>
        <v>#N/A</v>
      </c>
      <c r="AV26" s="153" t="str">
        <f>VLOOKUP(AU26,'Primary - GRADING'!$A$4:$C997,2,)</f>
        <v>#N/A</v>
      </c>
      <c r="AW26" s="153" t="str">
        <f>VLOOKUP(AU26,'Primary - GRADING'!$A$4:$C997,3,)</f>
        <v>#N/A</v>
      </c>
      <c r="AX26" s="153" t="str">
        <f>VLOOKUP(AU26,'Primary - GRADING'!$A$4:$BG997,59,)</f>
        <v>#N/A</v>
      </c>
      <c r="AY26" s="153" t="str">
        <f>IFS(AX26="NMA",VLOOKUP(AU26,'Primary - GRADING'!$A$4:$BG997,51,),AX26="DIRECT",VLOOKUP(AU26,'Primary - GRADING'!$A$4:$BG997,8,),AX26="INDIRECT",VLOOKUP(AU26,'Primary - GRADING'!$A$4:$BG997,23,))</f>
        <v>#N/A</v>
      </c>
      <c r="AZ26" s="153" t="str">
        <f>IFS(AX26="NMA",VLOOKUP(AU26,'Primary - GRADING'!$A$4:$BG997,52,),AX26="DIRECT",VLOOKUP(AU26,'Primary - GRADING'!$A$4:$BG997,9,),AX26="INDIRECT",VLOOKUP(AU26,'Primary - GRADING'!$A$4:$BG997,24,))</f>
        <v>#N/A</v>
      </c>
      <c r="BA26" s="153" t="str">
        <f>IFS(AX26="NMA",VLOOKUP(AU26,'Primary - GRADING'!$A$4:$BG997,53,),AX26="DIRECT",VLOOKUP(AU26,'Primary - GRADING'!$A$4:$BG997,10,),AX26="INDIRECT",VLOOKUP(AU26,'Primary - GRADING'!$A$4:$BG997,25,))</f>
        <v>#N/A</v>
      </c>
      <c r="BB26" s="153" t="str">
        <f t="shared" si="10"/>
        <v>#N/A</v>
      </c>
      <c r="BE26" s="153" t="str">
        <f t="shared" si="11"/>
        <v/>
      </c>
      <c r="BG26" s="153" t="str">
        <f t="shared" si="12"/>
        <v>#N/A</v>
      </c>
      <c r="BI26" s="153" t="str">
        <f t="shared" si="13"/>
        <v>#N/A</v>
      </c>
      <c r="BK26" s="153" t="str">
        <f t="shared" si="14"/>
        <v>#N/A</v>
      </c>
      <c r="BM26" s="153" t="str">
        <f t="shared" si="15"/>
        <v>#N/A</v>
      </c>
    </row>
    <row r="27" ht="15.75" customHeight="1">
      <c r="A27" s="90"/>
      <c r="B27" s="160" t="str">
        <f t="shared" si="1"/>
        <v>#N/A</v>
      </c>
      <c r="C27" s="160" t="str">
        <f t="shared" si="2"/>
        <v>#N/A</v>
      </c>
      <c r="D27" s="160" t="str">
        <f t="shared" si="3"/>
        <v>#N/A</v>
      </c>
      <c r="E27" s="161" t="str">
        <f t="shared" si="4"/>
        <v>#N/A</v>
      </c>
      <c r="F27" s="153" t="str">
        <f t="shared" si="17"/>
        <v>#N/A</v>
      </c>
      <c r="G27" s="153" t="str">
        <f t="shared" si="6"/>
        <v>#N/A</v>
      </c>
      <c r="H27" s="156" t="str">
        <f t="array" ref="H27">INDEX('Primary - GRADING'!$A$1:$BG997,MATCH($A27,'Primary - GRADING'!$B:$B,0),59)</f>
        <v>#N/A</v>
      </c>
      <c r="I27" s="153" t="str">
        <f t="array" ref="I27">INDEX('Primary - GRADING'!$A$1:$CP997,MATCH($A27,'Primary - GRADING'!$CP:$CP,0),48)</f>
        <v>#N/A</v>
      </c>
      <c r="J27" s="153" t="str">
        <f t="array" ref="J27">INDEX('Primary - GRADING'!$A$1:$CP997,MATCH($A27,'Primary - GRADING'!$CP:$CP,0),49)</f>
        <v>#N/A</v>
      </c>
      <c r="K27" s="153" t="str">
        <f t="array" ref="K27">INDEX('Primary - GRADING'!$A$1:$CP997,MATCH($A27,'Primary - GRADING'!$CP:$CP,0),50)</f>
        <v>#N/A</v>
      </c>
      <c r="L27" s="153" t="str">
        <f t="array" ref="L27">INDEX('Primary - GRADING'!$A$1:$CP997,MATCH($A27,'Primary - GRADING'!$CP:$CP,0),51)</f>
        <v>#N/A</v>
      </c>
      <c r="M27" s="153" t="str">
        <f t="array" ref="M27">INDEX('Primary - GRADING'!$A$1:$CP997,MATCH($A27,'Primary - GRADING'!$CP:$CP,0),52)</f>
        <v>#N/A</v>
      </c>
      <c r="N27" s="153" t="str">
        <f t="array" ref="N27">INDEX('Primary - GRADING'!$A$1:$CP997,MATCH($A27,'Primary - GRADING'!$CP:$CP,0),53)</f>
        <v>#N/A</v>
      </c>
      <c r="O27" s="153" t="str">
        <f t="array" ref="O27">INDEX('Primary - GRADING'!$A$1:$CP997,MATCH($A27,'Primary - GRADING'!$CP:$CP,0),58)</f>
        <v>#N/A</v>
      </c>
      <c r="P27" s="153" t="str">
        <f t="array" ref="P27">INDEX('Primary - GRADING'!$A$1:$CP997,MATCH($A27,'Primary - GRADING'!$CP:$CP,0),5)</f>
        <v>#N/A</v>
      </c>
      <c r="Q27" s="153" t="str">
        <f t="array" ref="Q27">INDEX('Primary - GRADING'!$A$1:$CP997,MATCH($A27,'Primary - GRADING'!$CP:$CP,0),6)</f>
        <v>#N/A</v>
      </c>
      <c r="R27" s="153" t="str">
        <f t="array" ref="R27">INDEX('Primary - GRADING'!$A$1:$CP997,MATCH($A27,'Primary - GRADING'!$CP:$CP,0),7)</f>
        <v>#N/A</v>
      </c>
      <c r="S27" s="153" t="str">
        <f t="array" ref="S27">INDEX('Primary - GRADING'!$A$1:$CP997,MATCH($A27,'Primary - GRADING'!$CP:$CP,0),8)</f>
        <v>#N/A</v>
      </c>
      <c r="T27" s="153" t="str">
        <f t="array" ref="T27">INDEX('Primary - GRADING'!$A$1:$CP997,MATCH($A27,'Primary - GRADING'!$CP:$CP,0),9)</f>
        <v>#N/A</v>
      </c>
      <c r="U27" s="153" t="str">
        <f t="array" ref="U27">INDEX('Primary - GRADING'!$A$1:$CP997,MATCH($A27,'Primary - GRADING'!$CP:$CP,0),10)</f>
        <v>#N/A</v>
      </c>
      <c r="V27" s="153" t="str">
        <f t="array" ref="V27">INDEX('Primary - GRADING'!$A$1:$CP997,MATCH($A27,'Primary - GRADING'!$CP:$CP,0),18)</f>
        <v>#N/A</v>
      </c>
      <c r="W27" s="153" t="str">
        <f t="array" ref="W27">INDEX('Primary - GRADING'!$A$1:$CP997,MATCH($A27,'Primary - GRADING'!$CP:$CP,0),20)</f>
        <v>#N/A</v>
      </c>
      <c r="X27" s="153" t="str">
        <f t="array" ref="X27">INDEX('Primary - GRADING'!$A$1:$CP997,MATCH($A27,'Primary - GRADING'!$CP:$CP,0),21)</f>
        <v>#N/A</v>
      </c>
      <c r="Y27" s="153" t="str">
        <f t="array" ref="Y27">INDEX('Primary - GRADING'!$A$1:$CP997,MATCH($A27,'Primary - GRADING'!$CP:$CP,0),22)</f>
        <v>#N/A</v>
      </c>
      <c r="Z27" s="165" t="str">
        <f t="array" ref="Z27">INDEX('Primary - GRADING'!$A$1:$CP997,MATCH($A27,'Primary - GRADING'!$CP:$CP,0),23)</f>
        <v>#N/A</v>
      </c>
      <c r="AA27" s="153" t="str">
        <f t="array" ref="AA27">INDEX('Primary - GRADING'!$A$1:$CP997,MATCH($A27,'Primary - GRADING'!$CP:$CP,0),24)</f>
        <v>#N/A</v>
      </c>
      <c r="AB27" s="153" t="str">
        <f t="array" ref="AB27">INDEX('Primary - GRADING'!$A$1:$CP997,MATCH($A27,'Primary - GRADING'!$CP:$CP,0),25)</f>
        <v>#N/A</v>
      </c>
      <c r="AC27" s="153" t="str">
        <f t="array" ref="AC27">INDEX('Primary - GRADING'!$A$1:$CP997,MATCH($A27,'Primary - GRADING'!$CP:$CP,0),46)</f>
        <v>#N/A</v>
      </c>
      <c r="AG27" s="153" t="str">
        <f t="shared" si="7"/>
        <v>#N/A</v>
      </c>
      <c r="AI27" s="153" t="str">
        <f>VLOOKUP(AH27,'Primary - GRADING'!$A$4:$C997,2,)</f>
        <v>#N/A</v>
      </c>
      <c r="AJ27" s="153" t="str">
        <f>VLOOKUP(AH27,'Primary - GRADING'!$A$4:$C997,3,)</f>
        <v>#N/A</v>
      </c>
      <c r="AK27" s="153" t="str">
        <f>VLOOKUP(AH27,'Primary - GRADING'!$A$4:$BG997,59,)</f>
        <v>#N/A</v>
      </c>
      <c r="AL27" s="153" t="str">
        <f>IFS(AK27="NMA",VLOOKUP(AH27,'Primary - GRADING'!$A$4:$BG997,51,),AK27="DIRECT",VLOOKUP(AH27,'Primary - GRADING'!$A$4:$BG997,8,),AK27="INDIRECT",VLOOKUP(AH27,'Primary - GRADING'!$A$4:$BG997,23,))</f>
        <v>#N/A</v>
      </c>
      <c r="AM27" s="153" t="str">
        <f>IFS(AK27="NMA",VLOOKUP(AH27,'Primary - GRADING'!$A$4:$BG997,52,),AK27="DIRECT",VLOOKUP(AH27,'Primary - GRADING'!$A$4:$BG997,9,),AK27="INDIRECT",VLOOKUP(AH27,'Primary - GRADING'!$A$4:$BG997,24,))</f>
        <v>#N/A</v>
      </c>
      <c r="AN27" s="153" t="str">
        <f>IFS(AK27="NMA",VLOOKUP(AH27,'Primary - GRADING'!$A$4:$BG997,53,),AK27="DIRECT",VLOOKUP(AH27,'Primary - GRADING'!$A$4:$BG997,10,),AK27="INDIRECT",VLOOKUP(AH27,'Primary - GRADING'!$A$4:$BG997,25,))</f>
        <v>#N/A</v>
      </c>
      <c r="AO27" s="153" t="str">
        <f t="shared" si="8"/>
        <v>#N/A</v>
      </c>
      <c r="AT27" s="153" t="str">
        <f t="shared" si="9"/>
        <v>#N/A</v>
      </c>
      <c r="AV27" s="153" t="str">
        <f>VLOOKUP(AU27,'Primary - GRADING'!$A$4:$C997,2,)</f>
        <v>#N/A</v>
      </c>
      <c r="AW27" s="153" t="str">
        <f>VLOOKUP(AU27,'Primary - GRADING'!$A$4:$C997,3,)</f>
        <v>#N/A</v>
      </c>
      <c r="AX27" s="153" t="str">
        <f>VLOOKUP(AU27,'Primary - GRADING'!$A$4:$BG997,59,)</f>
        <v>#N/A</v>
      </c>
      <c r="AY27" s="153" t="str">
        <f>IFS(AX27="NMA",VLOOKUP(AU27,'Primary - GRADING'!$A$4:$BG997,51,),AX27="DIRECT",VLOOKUP(AU27,'Primary - GRADING'!$A$4:$BG997,8,),AX27="INDIRECT",VLOOKUP(AU27,'Primary - GRADING'!$A$4:$BG997,23,))</f>
        <v>#N/A</v>
      </c>
      <c r="AZ27" s="153" t="str">
        <f>IFS(AX27="NMA",VLOOKUP(AU27,'Primary - GRADING'!$A$4:$BG997,52,),AX27="DIRECT",VLOOKUP(AU27,'Primary - GRADING'!$A$4:$BG997,9,),AX27="INDIRECT",VLOOKUP(AU27,'Primary - GRADING'!$A$4:$BG997,24,))</f>
        <v>#N/A</v>
      </c>
      <c r="BA27" s="153" t="str">
        <f>IFS(AX27="NMA",VLOOKUP(AU27,'Primary - GRADING'!$A$4:$BG997,53,),AX27="DIRECT",VLOOKUP(AU27,'Primary - GRADING'!$A$4:$BG997,10,),AX27="INDIRECT",VLOOKUP(AU27,'Primary - GRADING'!$A$4:$BG997,25,))</f>
        <v>#N/A</v>
      </c>
      <c r="BB27" s="153" t="str">
        <f t="shared" si="10"/>
        <v>#N/A</v>
      </c>
      <c r="BE27" s="153" t="str">
        <f t="shared" si="11"/>
        <v/>
      </c>
      <c r="BG27" s="153" t="str">
        <f t="shared" si="12"/>
        <v>#N/A</v>
      </c>
      <c r="BI27" s="153" t="str">
        <f t="shared" si="13"/>
        <v>#N/A</v>
      </c>
      <c r="BK27" s="153" t="str">
        <f t="shared" si="14"/>
        <v>#N/A</v>
      </c>
      <c r="BM27" s="153" t="str">
        <f t="shared" si="15"/>
        <v>#N/A</v>
      </c>
    </row>
    <row r="28" ht="15.75" customHeight="1">
      <c r="A28" s="64"/>
      <c r="B28" s="160" t="str">
        <f t="shared" si="1"/>
        <v>#N/A</v>
      </c>
      <c r="C28" s="160" t="str">
        <f t="shared" si="2"/>
        <v>#N/A</v>
      </c>
      <c r="D28" s="160" t="str">
        <f t="shared" si="3"/>
        <v>#N/A</v>
      </c>
      <c r="E28" s="161" t="str">
        <f t="shared" si="4"/>
        <v>#N/A</v>
      </c>
      <c r="F28" s="153" t="str">
        <f t="shared" si="17"/>
        <v>#N/A</v>
      </c>
      <c r="G28" s="153" t="str">
        <f t="shared" si="6"/>
        <v>#N/A</v>
      </c>
      <c r="H28" s="156" t="str">
        <f t="array" ref="H28">INDEX('Primary - GRADING'!$A$1:$BG997,MATCH($A28,'Primary - GRADING'!$B:$B,0),59)</f>
        <v>#N/A</v>
      </c>
      <c r="I28" s="153" t="str">
        <f t="array" ref="I28">INDEX('Primary - GRADING'!$A$1:$CP997,MATCH($A28,'Primary - GRADING'!$CP:$CP,0),48)</f>
        <v>#N/A</v>
      </c>
      <c r="J28" s="153" t="str">
        <f t="array" ref="J28">INDEX('Primary - GRADING'!$A$1:$CP997,MATCH($A28,'Primary - GRADING'!$CP:$CP,0),49)</f>
        <v>#N/A</v>
      </c>
      <c r="K28" s="153" t="str">
        <f t="array" ref="K28">INDEX('Primary - GRADING'!$A$1:$CP997,MATCH($A28,'Primary - GRADING'!$CP:$CP,0),50)</f>
        <v>#N/A</v>
      </c>
      <c r="L28" s="153" t="str">
        <f t="array" ref="L28">INDEX('Primary - GRADING'!$A$1:$CP997,MATCH($A28,'Primary - GRADING'!$CP:$CP,0),51)</f>
        <v>#N/A</v>
      </c>
      <c r="M28" s="153" t="str">
        <f t="array" ref="M28">INDEX('Primary - GRADING'!$A$1:$CP997,MATCH($A28,'Primary - GRADING'!$CP:$CP,0),52)</f>
        <v>#N/A</v>
      </c>
      <c r="N28" s="153" t="str">
        <f t="array" ref="N28">INDEX('Primary - GRADING'!$A$1:$CP997,MATCH($A28,'Primary - GRADING'!$CP:$CP,0),53)</f>
        <v>#N/A</v>
      </c>
      <c r="O28" s="153" t="str">
        <f t="array" ref="O28">INDEX('Primary - GRADING'!$A$1:$CP997,MATCH($A28,'Primary - GRADING'!$CP:$CP,0),58)</f>
        <v>#N/A</v>
      </c>
      <c r="P28" s="153" t="str">
        <f t="array" ref="P28">INDEX('Primary - GRADING'!$A$1:$CP997,MATCH($A28,'Primary - GRADING'!$CP:$CP,0),5)</f>
        <v>#N/A</v>
      </c>
      <c r="Q28" s="153" t="str">
        <f t="array" ref="Q28">INDEX('Primary - GRADING'!$A$1:$CP997,MATCH($A28,'Primary - GRADING'!$CP:$CP,0),6)</f>
        <v>#N/A</v>
      </c>
      <c r="R28" s="153" t="str">
        <f t="array" ref="R28">INDEX('Primary - GRADING'!$A$1:$CP997,MATCH($A28,'Primary - GRADING'!$CP:$CP,0),7)</f>
        <v>#N/A</v>
      </c>
      <c r="S28" s="153" t="str">
        <f t="array" ref="S28">INDEX('Primary - GRADING'!$A$1:$CP997,MATCH($A28,'Primary - GRADING'!$CP:$CP,0),8)</f>
        <v>#N/A</v>
      </c>
      <c r="T28" s="153" t="str">
        <f t="array" ref="T28">INDEX('Primary - GRADING'!$A$1:$CP997,MATCH($A28,'Primary - GRADING'!$CP:$CP,0),9)</f>
        <v>#N/A</v>
      </c>
      <c r="U28" s="153" t="str">
        <f t="array" ref="U28">INDEX('Primary - GRADING'!$A$1:$CP997,MATCH($A28,'Primary - GRADING'!$CP:$CP,0),10)</f>
        <v>#N/A</v>
      </c>
      <c r="V28" s="153" t="str">
        <f t="array" ref="V28">INDEX('Primary - GRADING'!$A$1:$CP997,MATCH($A28,'Primary - GRADING'!$CP:$CP,0),18)</f>
        <v>#N/A</v>
      </c>
      <c r="W28" s="153" t="str">
        <f t="array" ref="W28">INDEX('Primary - GRADING'!$A$1:$CP997,MATCH($A28,'Primary - GRADING'!$CP:$CP,0),20)</f>
        <v>#N/A</v>
      </c>
      <c r="X28" s="153" t="str">
        <f t="array" ref="X28">INDEX('Primary - GRADING'!$A$1:$CP997,MATCH($A28,'Primary - GRADING'!$CP:$CP,0),21)</f>
        <v>#N/A</v>
      </c>
      <c r="Y28" s="153" t="str">
        <f t="array" ref="Y28">INDEX('Primary - GRADING'!$A$1:$CP997,MATCH($A28,'Primary - GRADING'!$CP:$CP,0),22)</f>
        <v>#N/A</v>
      </c>
      <c r="Z28" s="165" t="str">
        <f t="array" ref="Z28">INDEX('Primary - GRADING'!$A$1:$CP997,MATCH($A28,'Primary - GRADING'!$CP:$CP,0),23)</f>
        <v>#N/A</v>
      </c>
      <c r="AA28" s="153" t="str">
        <f t="array" ref="AA28">INDEX('Primary - GRADING'!$A$1:$CP997,MATCH($A28,'Primary - GRADING'!$CP:$CP,0),24)</f>
        <v>#N/A</v>
      </c>
      <c r="AB28" s="153" t="str">
        <f t="array" ref="AB28">INDEX('Primary - GRADING'!$A$1:$CP997,MATCH($A28,'Primary - GRADING'!$CP:$CP,0),25)</f>
        <v>#N/A</v>
      </c>
      <c r="AC28" s="153" t="str">
        <f t="array" ref="AC28">INDEX('Primary - GRADING'!$A$1:$CP997,MATCH($A28,'Primary - GRADING'!$CP:$CP,0),46)</f>
        <v>#N/A</v>
      </c>
      <c r="AG28" s="153" t="str">
        <f t="shared" si="7"/>
        <v>#N/A</v>
      </c>
      <c r="AI28" s="153" t="str">
        <f>VLOOKUP(AH28,'Primary - GRADING'!$A$4:$C997,2,)</f>
        <v>#N/A</v>
      </c>
      <c r="AJ28" s="153" t="str">
        <f>VLOOKUP(AH28,'Primary - GRADING'!$A$4:$C997,3,)</f>
        <v>#N/A</v>
      </c>
      <c r="AK28" s="153" t="str">
        <f>VLOOKUP(AH28,'Primary - GRADING'!$A$4:$BG997,59,)</f>
        <v>#N/A</v>
      </c>
      <c r="AL28" s="153" t="str">
        <f>IFS(AK28="NMA",VLOOKUP(AH28,'Primary - GRADING'!$A$4:$BG997,51,),AK28="DIRECT",VLOOKUP(AH28,'Primary - GRADING'!$A$4:$BG997,8,),AK28="INDIRECT",VLOOKUP(AH28,'Primary - GRADING'!$A$4:$BG997,23,))</f>
        <v>#N/A</v>
      </c>
      <c r="AM28" s="153" t="str">
        <f>IFS(AK28="NMA",VLOOKUP(AH28,'Primary - GRADING'!$A$4:$BG997,52,),AK28="DIRECT",VLOOKUP(AH28,'Primary - GRADING'!$A$4:$BG997,9,),AK28="INDIRECT",VLOOKUP(AH28,'Primary - GRADING'!$A$4:$BG997,24,))</f>
        <v>#N/A</v>
      </c>
      <c r="AN28" s="153" t="str">
        <f>IFS(AK28="NMA",VLOOKUP(AH28,'Primary - GRADING'!$A$4:$BG997,53,),AK28="DIRECT",VLOOKUP(AH28,'Primary - GRADING'!$A$4:$BG997,10,),AK28="INDIRECT",VLOOKUP(AH28,'Primary - GRADING'!$A$4:$BG997,25,))</f>
        <v>#N/A</v>
      </c>
      <c r="AO28" s="153" t="str">
        <f t="shared" si="8"/>
        <v>#N/A</v>
      </c>
      <c r="AT28" s="153" t="str">
        <f t="shared" si="9"/>
        <v>#N/A</v>
      </c>
      <c r="AV28" s="153" t="str">
        <f>VLOOKUP(AU28,'Primary - GRADING'!$A$4:$C997,2,)</f>
        <v>#N/A</v>
      </c>
      <c r="AW28" s="153" t="str">
        <f>VLOOKUP(AU28,'Primary - GRADING'!$A$4:$C997,3,)</f>
        <v>#N/A</v>
      </c>
      <c r="AX28" s="153" t="str">
        <f>VLOOKUP(AU28,'Primary - GRADING'!$A$4:$BG997,59,)</f>
        <v>#N/A</v>
      </c>
      <c r="AY28" s="153" t="str">
        <f>IFS(AX28="NMA",VLOOKUP(AU28,'Primary - GRADING'!$A$4:$BG997,51,),AX28="DIRECT",VLOOKUP(AU28,'Primary - GRADING'!$A$4:$BG997,8,),AX28="INDIRECT",VLOOKUP(AU28,'Primary - GRADING'!$A$4:$BG997,23,))</f>
        <v>#N/A</v>
      </c>
      <c r="AZ28" s="153" t="str">
        <f>IFS(AX28="NMA",VLOOKUP(AU28,'Primary - GRADING'!$A$4:$BG997,52,),AX28="DIRECT",VLOOKUP(AU28,'Primary - GRADING'!$A$4:$BG997,9,),AX28="INDIRECT",VLOOKUP(AU28,'Primary - GRADING'!$A$4:$BG997,24,))</f>
        <v>#N/A</v>
      </c>
      <c r="BA28" s="153" t="str">
        <f>IFS(AX28="NMA",VLOOKUP(AU28,'Primary - GRADING'!$A$4:$BG997,53,),AX28="DIRECT",VLOOKUP(AU28,'Primary - GRADING'!$A$4:$BG997,10,),AX28="INDIRECT",VLOOKUP(AU28,'Primary - GRADING'!$A$4:$BG997,25,))</f>
        <v>#N/A</v>
      </c>
      <c r="BB28" s="153" t="str">
        <f t="shared" si="10"/>
        <v>#N/A</v>
      </c>
      <c r="BE28" s="153" t="str">
        <f t="shared" si="11"/>
        <v/>
      </c>
      <c r="BG28" s="153" t="str">
        <f t="shared" si="12"/>
        <v>#N/A</v>
      </c>
      <c r="BI28" s="153" t="str">
        <f t="shared" si="13"/>
        <v>#N/A</v>
      </c>
      <c r="BK28" s="153" t="str">
        <f t="shared" si="14"/>
        <v>#N/A</v>
      </c>
      <c r="BM28" s="153" t="str">
        <f t="shared" si="15"/>
        <v>#N/A</v>
      </c>
    </row>
    <row r="29" ht="15.75" customHeight="1">
      <c r="A29" s="64"/>
      <c r="B29" s="160" t="str">
        <f t="shared" si="1"/>
        <v>#N/A</v>
      </c>
      <c r="C29" s="160" t="str">
        <f t="shared" si="2"/>
        <v>#N/A</v>
      </c>
      <c r="D29" s="160" t="str">
        <f t="shared" si="3"/>
        <v>#N/A</v>
      </c>
      <c r="E29" s="161" t="str">
        <f t="shared" si="4"/>
        <v>#N/A</v>
      </c>
      <c r="F29" s="153" t="str">
        <f t="shared" si="17"/>
        <v>#N/A</v>
      </c>
      <c r="G29" s="153" t="str">
        <f t="shared" si="6"/>
        <v>#N/A</v>
      </c>
      <c r="H29" s="156" t="str">
        <f t="array" ref="H29">INDEX('Primary - GRADING'!$A$1:$BG997,MATCH($A29,'Primary - GRADING'!$B:$B,0),59)</f>
        <v>#N/A</v>
      </c>
      <c r="I29" s="153" t="str">
        <f t="array" ref="I29">INDEX('Primary - GRADING'!$A$1:$CP997,MATCH($A29,'Primary - GRADING'!$CP:$CP,0),48)</f>
        <v>#N/A</v>
      </c>
      <c r="J29" s="153" t="str">
        <f t="array" ref="J29">INDEX('Primary - GRADING'!$A$1:$CP997,MATCH($A29,'Primary - GRADING'!$CP:$CP,0),49)</f>
        <v>#N/A</v>
      </c>
      <c r="K29" s="153" t="str">
        <f t="array" ref="K29">INDEX('Primary - GRADING'!$A$1:$CP997,MATCH($A29,'Primary - GRADING'!$CP:$CP,0),50)</f>
        <v>#N/A</v>
      </c>
      <c r="L29" s="153" t="str">
        <f t="array" ref="L29">INDEX('Primary - GRADING'!$A$1:$CP997,MATCH($A29,'Primary - GRADING'!$CP:$CP,0),51)</f>
        <v>#N/A</v>
      </c>
      <c r="M29" s="153" t="str">
        <f t="array" ref="M29">INDEX('Primary - GRADING'!$A$1:$CP997,MATCH($A29,'Primary - GRADING'!$CP:$CP,0),52)</f>
        <v>#N/A</v>
      </c>
      <c r="N29" s="153" t="str">
        <f t="array" ref="N29">INDEX('Primary - GRADING'!$A$1:$CP997,MATCH($A29,'Primary - GRADING'!$CP:$CP,0),53)</f>
        <v>#N/A</v>
      </c>
      <c r="O29" s="153" t="str">
        <f t="array" ref="O29">INDEX('Primary - GRADING'!$A$1:$CP997,MATCH($A29,'Primary - GRADING'!$CP:$CP,0),58)</f>
        <v>#N/A</v>
      </c>
      <c r="P29" s="153" t="str">
        <f t="array" ref="P29">INDEX('Primary - GRADING'!$A$1:$CP997,MATCH($A29,'Primary - GRADING'!$CP:$CP,0),5)</f>
        <v>#N/A</v>
      </c>
      <c r="Q29" s="153" t="str">
        <f t="array" ref="Q29">INDEX('Primary - GRADING'!$A$1:$CP997,MATCH($A29,'Primary - GRADING'!$CP:$CP,0),6)</f>
        <v>#N/A</v>
      </c>
      <c r="R29" s="153" t="str">
        <f t="array" ref="R29">INDEX('Primary - GRADING'!$A$1:$CP997,MATCH($A29,'Primary - GRADING'!$CP:$CP,0),7)</f>
        <v>#N/A</v>
      </c>
      <c r="S29" s="153" t="str">
        <f t="array" ref="S29">INDEX('Primary - GRADING'!$A$1:$CP997,MATCH($A29,'Primary - GRADING'!$CP:$CP,0),8)</f>
        <v>#N/A</v>
      </c>
      <c r="T29" s="153" t="str">
        <f t="array" ref="T29">INDEX('Primary - GRADING'!$A$1:$CP997,MATCH($A29,'Primary - GRADING'!$CP:$CP,0),9)</f>
        <v>#N/A</v>
      </c>
      <c r="U29" s="153" t="str">
        <f t="array" ref="U29">INDEX('Primary - GRADING'!$A$1:$CP997,MATCH($A29,'Primary - GRADING'!$CP:$CP,0),10)</f>
        <v>#N/A</v>
      </c>
      <c r="V29" s="153" t="str">
        <f t="array" ref="V29">INDEX('Primary - GRADING'!$A$1:$CP997,MATCH($A29,'Primary - GRADING'!$CP:$CP,0),18)</f>
        <v>#N/A</v>
      </c>
      <c r="W29" s="153" t="str">
        <f t="array" ref="W29">INDEX('Primary - GRADING'!$A$1:$CP997,MATCH($A29,'Primary - GRADING'!$CP:$CP,0),20)</f>
        <v>#N/A</v>
      </c>
      <c r="X29" s="153" t="str">
        <f t="array" ref="X29">INDEX('Primary - GRADING'!$A$1:$CP997,MATCH($A29,'Primary - GRADING'!$CP:$CP,0),21)</f>
        <v>#N/A</v>
      </c>
      <c r="Y29" s="153" t="str">
        <f t="array" ref="Y29">INDEX('Primary - GRADING'!$A$1:$CP997,MATCH($A29,'Primary - GRADING'!$CP:$CP,0),22)</f>
        <v>#N/A</v>
      </c>
      <c r="Z29" s="165" t="str">
        <f t="array" ref="Z29">INDEX('Primary - GRADING'!$A$1:$CP997,MATCH($A29,'Primary - GRADING'!$CP:$CP,0),23)</f>
        <v>#N/A</v>
      </c>
      <c r="AA29" s="153" t="str">
        <f t="array" ref="AA29">INDEX('Primary - GRADING'!$A$1:$CP997,MATCH($A29,'Primary - GRADING'!$CP:$CP,0),24)</f>
        <v>#N/A</v>
      </c>
      <c r="AB29" s="153" t="str">
        <f t="array" ref="AB29">INDEX('Primary - GRADING'!$A$1:$CP997,MATCH($A29,'Primary - GRADING'!$CP:$CP,0),25)</f>
        <v>#N/A</v>
      </c>
      <c r="AC29" s="153" t="str">
        <f t="array" ref="AC29">INDEX('Primary - GRADING'!$A$1:$CP997,MATCH($A29,'Primary - GRADING'!$CP:$CP,0),46)</f>
        <v>#N/A</v>
      </c>
      <c r="AG29" s="153" t="str">
        <f t="shared" si="7"/>
        <v>#N/A</v>
      </c>
      <c r="AI29" s="153" t="str">
        <f>VLOOKUP(AH29,'Primary - GRADING'!$A$4:$C997,2,)</f>
        <v>#N/A</v>
      </c>
      <c r="AJ29" s="153" t="str">
        <f>VLOOKUP(AH29,'Primary - GRADING'!$A$4:$C997,3,)</f>
        <v>#N/A</v>
      </c>
      <c r="AK29" s="153" t="str">
        <f>VLOOKUP(AH29,'Primary - GRADING'!$A$4:$BG997,59,)</f>
        <v>#N/A</v>
      </c>
      <c r="AL29" s="153" t="str">
        <f>IFS(AK29="NMA",VLOOKUP(AH29,'Primary - GRADING'!$A$4:$BG997,51,),AK29="DIRECT",VLOOKUP(AH29,'Primary - GRADING'!$A$4:$BG997,8,),AK29="INDIRECT",VLOOKUP(AH29,'Primary - GRADING'!$A$4:$BG997,23,))</f>
        <v>#N/A</v>
      </c>
      <c r="AM29" s="153" t="str">
        <f>IFS(AK29="NMA",VLOOKUP(AH29,'Primary - GRADING'!$A$4:$BG997,52,),AK29="DIRECT",VLOOKUP(AH29,'Primary - GRADING'!$A$4:$BG997,9,),AK29="INDIRECT",VLOOKUP(AH29,'Primary - GRADING'!$A$4:$BG997,24,))</f>
        <v>#N/A</v>
      </c>
      <c r="AN29" s="153" t="str">
        <f>IFS(AK29="NMA",VLOOKUP(AH29,'Primary - GRADING'!$A$4:$BG997,53,),AK29="DIRECT",VLOOKUP(AH29,'Primary - GRADING'!$A$4:$BG997,10,),AK29="INDIRECT",VLOOKUP(AH29,'Primary - GRADING'!$A$4:$BG997,25,))</f>
        <v>#N/A</v>
      </c>
      <c r="AO29" s="153" t="str">
        <f t="shared" si="8"/>
        <v>#N/A</v>
      </c>
      <c r="AT29" s="153" t="str">
        <f t="shared" si="9"/>
        <v>#N/A</v>
      </c>
      <c r="AV29" s="153" t="str">
        <f>VLOOKUP(AU29,'Primary - GRADING'!$A$4:$C997,2,)</f>
        <v>#N/A</v>
      </c>
      <c r="AW29" s="153" t="str">
        <f>VLOOKUP(AU29,'Primary - GRADING'!$A$4:$C997,3,)</f>
        <v>#N/A</v>
      </c>
      <c r="AX29" s="153" t="str">
        <f>VLOOKUP(AU29,'Primary - GRADING'!$A$4:$BG997,59,)</f>
        <v>#N/A</v>
      </c>
      <c r="AY29" s="153" t="str">
        <f>IFS(AX29="NMA",VLOOKUP(AU29,'Primary - GRADING'!$A$4:$BG997,51,),AX29="DIRECT",VLOOKUP(AU29,'Primary - GRADING'!$A$4:$BG997,8,),AX29="INDIRECT",VLOOKUP(AU29,'Primary - GRADING'!$A$4:$BG997,23,))</f>
        <v>#N/A</v>
      </c>
      <c r="AZ29" s="153" t="str">
        <f>IFS(AX29="NMA",VLOOKUP(AU29,'Primary - GRADING'!$A$4:$BG997,52,),AX29="DIRECT",VLOOKUP(AU29,'Primary - GRADING'!$A$4:$BG997,9,),AX29="INDIRECT",VLOOKUP(AU29,'Primary - GRADING'!$A$4:$BG997,24,))</f>
        <v>#N/A</v>
      </c>
      <c r="BA29" s="153" t="str">
        <f>IFS(AX29="NMA",VLOOKUP(AU29,'Primary - GRADING'!$A$4:$BG997,53,),AX29="DIRECT",VLOOKUP(AU29,'Primary - GRADING'!$A$4:$BG997,10,),AX29="INDIRECT",VLOOKUP(AU29,'Primary - GRADING'!$A$4:$BG997,25,))</f>
        <v>#N/A</v>
      </c>
      <c r="BB29" s="153" t="str">
        <f t="shared" si="10"/>
        <v>#N/A</v>
      </c>
      <c r="BE29" s="153" t="str">
        <f t="shared" si="11"/>
        <v/>
      </c>
      <c r="BG29" s="153" t="str">
        <f t="shared" si="12"/>
        <v>#N/A</v>
      </c>
      <c r="BI29" s="153" t="str">
        <f t="shared" si="13"/>
        <v>#N/A</v>
      </c>
      <c r="BK29" s="153" t="str">
        <f t="shared" si="14"/>
        <v>#N/A</v>
      </c>
      <c r="BM29" s="153" t="str">
        <f t="shared" si="15"/>
        <v>#N/A</v>
      </c>
    </row>
    <row r="30" ht="15.75" customHeight="1">
      <c r="A30" s="64"/>
      <c r="B30" s="160" t="str">
        <f t="shared" si="1"/>
        <v>#N/A</v>
      </c>
      <c r="C30" s="160" t="str">
        <f t="shared" si="2"/>
        <v>#N/A</v>
      </c>
      <c r="D30" s="160" t="str">
        <f t="shared" si="3"/>
        <v>#N/A</v>
      </c>
      <c r="E30" s="161" t="str">
        <f t="shared" si="4"/>
        <v>#N/A</v>
      </c>
      <c r="F30" s="153" t="str">
        <f t="shared" si="17"/>
        <v>#N/A</v>
      </c>
      <c r="G30" s="153" t="str">
        <f t="shared" si="6"/>
        <v>#N/A</v>
      </c>
      <c r="H30" s="156" t="str">
        <f t="array" ref="H30">INDEX('Primary - GRADING'!$A$1:$BG997,MATCH($A30,'Primary - GRADING'!$B:$B,0),59)</f>
        <v>#N/A</v>
      </c>
      <c r="I30" s="153" t="str">
        <f t="array" ref="I30">INDEX('Primary - GRADING'!$A$1:$CP997,MATCH($A30,'Primary - GRADING'!$CP:$CP,0),48)</f>
        <v>#N/A</v>
      </c>
      <c r="J30" s="153" t="str">
        <f t="array" ref="J30">INDEX('Primary - GRADING'!$A$1:$CP997,MATCH($A30,'Primary - GRADING'!$CP:$CP,0),49)</f>
        <v>#N/A</v>
      </c>
      <c r="K30" s="153" t="str">
        <f t="array" ref="K30">INDEX('Primary - GRADING'!$A$1:$CP997,MATCH($A30,'Primary - GRADING'!$CP:$CP,0),50)</f>
        <v>#N/A</v>
      </c>
      <c r="L30" s="153" t="str">
        <f t="array" ref="L30">INDEX('Primary - GRADING'!$A$1:$CP997,MATCH($A30,'Primary - GRADING'!$CP:$CP,0),51)</f>
        <v>#N/A</v>
      </c>
      <c r="M30" s="153" t="str">
        <f t="array" ref="M30">INDEX('Primary - GRADING'!$A$1:$CP997,MATCH($A30,'Primary - GRADING'!$CP:$CP,0),52)</f>
        <v>#N/A</v>
      </c>
      <c r="N30" s="153" t="str">
        <f t="array" ref="N30">INDEX('Primary - GRADING'!$A$1:$CP997,MATCH($A30,'Primary - GRADING'!$CP:$CP,0),53)</f>
        <v>#N/A</v>
      </c>
      <c r="O30" s="153" t="str">
        <f t="array" ref="O30">INDEX('Primary - GRADING'!$A$1:$CP997,MATCH($A30,'Primary - GRADING'!$CP:$CP,0),58)</f>
        <v>#N/A</v>
      </c>
      <c r="P30" s="153" t="str">
        <f t="array" ref="P30">INDEX('Primary - GRADING'!$A$1:$CP997,MATCH($A30,'Primary - GRADING'!$CP:$CP,0),5)</f>
        <v>#N/A</v>
      </c>
      <c r="Q30" s="153" t="str">
        <f t="array" ref="Q30">INDEX('Primary - GRADING'!$A$1:$CP997,MATCH($A30,'Primary - GRADING'!$CP:$CP,0),6)</f>
        <v>#N/A</v>
      </c>
      <c r="R30" s="153" t="str">
        <f t="array" ref="R30">INDEX('Primary - GRADING'!$A$1:$CP997,MATCH($A30,'Primary - GRADING'!$CP:$CP,0),7)</f>
        <v>#N/A</v>
      </c>
      <c r="S30" s="153" t="str">
        <f t="array" ref="S30">INDEX('Primary - GRADING'!$A$1:$CP997,MATCH($A30,'Primary - GRADING'!$CP:$CP,0),8)</f>
        <v>#N/A</v>
      </c>
      <c r="T30" s="153" t="str">
        <f t="array" ref="T30">INDEX('Primary - GRADING'!$A$1:$CP997,MATCH($A30,'Primary - GRADING'!$CP:$CP,0),9)</f>
        <v>#N/A</v>
      </c>
      <c r="U30" s="153" t="str">
        <f t="array" ref="U30">INDEX('Primary - GRADING'!$A$1:$CP997,MATCH($A30,'Primary - GRADING'!$CP:$CP,0),10)</f>
        <v>#N/A</v>
      </c>
      <c r="V30" s="153" t="str">
        <f t="array" ref="V30">INDEX('Primary - GRADING'!$A$1:$CP997,MATCH($A30,'Primary - GRADING'!$CP:$CP,0),18)</f>
        <v>#N/A</v>
      </c>
      <c r="W30" s="153" t="str">
        <f t="array" ref="W30">INDEX('Primary - GRADING'!$A$1:$CP997,MATCH($A30,'Primary - GRADING'!$CP:$CP,0),20)</f>
        <v>#N/A</v>
      </c>
      <c r="X30" s="153" t="str">
        <f t="array" ref="X30">INDEX('Primary - GRADING'!$A$1:$CP997,MATCH($A30,'Primary - GRADING'!$CP:$CP,0),21)</f>
        <v>#N/A</v>
      </c>
      <c r="Y30" s="153" t="str">
        <f t="array" ref="Y30">INDEX('Primary - GRADING'!$A$1:$CP997,MATCH($A30,'Primary - GRADING'!$CP:$CP,0),22)</f>
        <v>#N/A</v>
      </c>
      <c r="Z30" s="165" t="str">
        <f t="array" ref="Z30">INDEX('Primary - GRADING'!$A$1:$CP997,MATCH($A30,'Primary - GRADING'!$CP:$CP,0),23)</f>
        <v>#N/A</v>
      </c>
      <c r="AA30" s="153" t="str">
        <f t="array" ref="AA30">INDEX('Primary - GRADING'!$A$1:$CP997,MATCH($A30,'Primary - GRADING'!$CP:$CP,0),24)</f>
        <v>#N/A</v>
      </c>
      <c r="AB30" s="153" t="str">
        <f t="array" ref="AB30">INDEX('Primary - GRADING'!$A$1:$CP997,MATCH($A30,'Primary - GRADING'!$CP:$CP,0),25)</f>
        <v>#N/A</v>
      </c>
      <c r="AC30" s="153" t="str">
        <f t="array" ref="AC30">INDEX('Primary - GRADING'!$A$1:$CP997,MATCH($A30,'Primary - GRADING'!$CP:$CP,0),46)</f>
        <v>#N/A</v>
      </c>
      <c r="AG30" s="153" t="str">
        <f t="shared" si="7"/>
        <v>#N/A</v>
      </c>
      <c r="AI30" s="153" t="str">
        <f>VLOOKUP(AH30,'Primary - GRADING'!$A$4:$C997,2,)</f>
        <v>#N/A</v>
      </c>
      <c r="AJ30" s="153" t="str">
        <f>VLOOKUP(AH30,'Primary - GRADING'!$A$4:$C997,3,)</f>
        <v>#N/A</v>
      </c>
      <c r="AK30" s="153" t="str">
        <f>VLOOKUP(AH30,'Primary - GRADING'!$A$4:$BG997,59,)</f>
        <v>#N/A</v>
      </c>
      <c r="AL30" s="153" t="str">
        <f>IFS(AK30="NMA",VLOOKUP(AH30,'Primary - GRADING'!$A$4:$BG997,51,),AK30="DIRECT",VLOOKUP(AH30,'Primary - GRADING'!$A$4:$BG997,8,),AK30="INDIRECT",VLOOKUP(AH30,'Primary - GRADING'!$A$4:$BG997,23,))</f>
        <v>#N/A</v>
      </c>
      <c r="AM30" s="153" t="str">
        <f>IFS(AK30="NMA",VLOOKUP(AH30,'Primary - GRADING'!$A$4:$BG997,52,),AK30="DIRECT",VLOOKUP(AH30,'Primary - GRADING'!$A$4:$BG997,9,),AK30="INDIRECT",VLOOKUP(AH30,'Primary - GRADING'!$A$4:$BG997,24,))</f>
        <v>#N/A</v>
      </c>
      <c r="AN30" s="153" t="str">
        <f>IFS(AK30="NMA",VLOOKUP(AH30,'Primary - GRADING'!$A$4:$BG997,53,),AK30="DIRECT",VLOOKUP(AH30,'Primary - GRADING'!$A$4:$BG997,10,),AK30="INDIRECT",VLOOKUP(AH30,'Primary - GRADING'!$A$4:$BG997,25,))</f>
        <v>#N/A</v>
      </c>
      <c r="AO30" s="153" t="str">
        <f t="shared" si="8"/>
        <v>#N/A</v>
      </c>
      <c r="AT30" s="153" t="str">
        <f t="shared" si="9"/>
        <v>#N/A</v>
      </c>
      <c r="AV30" s="153" t="str">
        <f>VLOOKUP(AU30,'Primary - GRADING'!$A$4:$C997,2,)</f>
        <v>#N/A</v>
      </c>
      <c r="AW30" s="153" t="str">
        <f>VLOOKUP(AU30,'Primary - GRADING'!$A$4:$C997,3,)</f>
        <v>#N/A</v>
      </c>
      <c r="AX30" s="153" t="str">
        <f>VLOOKUP(AU30,'Primary - GRADING'!$A$4:$BG997,59,)</f>
        <v>#N/A</v>
      </c>
      <c r="AY30" s="153" t="str">
        <f>IFS(AX30="NMA",VLOOKUP(AU30,'Primary - GRADING'!$A$4:$BG997,51,),AX30="DIRECT",VLOOKUP(AU30,'Primary - GRADING'!$A$4:$BG997,8,),AX30="INDIRECT",VLOOKUP(AU30,'Primary - GRADING'!$A$4:$BG997,23,))</f>
        <v>#N/A</v>
      </c>
      <c r="AZ30" s="153" t="str">
        <f>IFS(AX30="NMA",VLOOKUP(AU30,'Primary - GRADING'!$A$4:$BG997,52,),AX30="DIRECT",VLOOKUP(AU30,'Primary - GRADING'!$A$4:$BG997,9,),AX30="INDIRECT",VLOOKUP(AU30,'Primary - GRADING'!$A$4:$BG997,24,))</f>
        <v>#N/A</v>
      </c>
      <c r="BA30" s="153" t="str">
        <f>IFS(AX30="NMA",VLOOKUP(AU30,'Primary - GRADING'!$A$4:$BG997,53,),AX30="DIRECT",VLOOKUP(AU30,'Primary - GRADING'!$A$4:$BG997,10,),AX30="INDIRECT",VLOOKUP(AU30,'Primary - GRADING'!$A$4:$BG997,25,))</f>
        <v>#N/A</v>
      </c>
      <c r="BB30" s="153" t="str">
        <f t="shared" si="10"/>
        <v>#N/A</v>
      </c>
      <c r="BE30" s="153" t="str">
        <f t="shared" si="11"/>
        <v/>
      </c>
      <c r="BG30" s="153" t="str">
        <f t="shared" si="12"/>
        <v>#N/A</v>
      </c>
      <c r="BI30" s="153" t="str">
        <f t="shared" si="13"/>
        <v>#N/A</v>
      </c>
      <c r="BK30" s="153" t="str">
        <f t="shared" si="14"/>
        <v>#N/A</v>
      </c>
      <c r="BM30" s="153" t="str">
        <f t="shared" si="15"/>
        <v>#N/A</v>
      </c>
    </row>
    <row r="31" ht="15.75" customHeight="1">
      <c r="A31" s="64"/>
      <c r="B31" s="160" t="str">
        <f t="shared" si="1"/>
        <v>#N/A</v>
      </c>
      <c r="C31" s="160" t="str">
        <f t="shared" si="2"/>
        <v>#N/A</v>
      </c>
      <c r="D31" s="160" t="str">
        <f t="shared" si="3"/>
        <v>#N/A</v>
      </c>
      <c r="E31" s="161" t="str">
        <f t="shared" si="4"/>
        <v>#N/A</v>
      </c>
      <c r="F31" s="153" t="str">
        <f t="shared" si="17"/>
        <v>#N/A</v>
      </c>
      <c r="G31" s="153" t="str">
        <f t="shared" si="6"/>
        <v>#N/A</v>
      </c>
      <c r="H31" s="156" t="str">
        <f t="array" ref="H31">INDEX('Primary - GRADING'!$A$1:$BG997,MATCH($A31,'Primary - GRADING'!$B:$B,0),59)</f>
        <v>#N/A</v>
      </c>
      <c r="I31" s="153" t="str">
        <f t="array" ref="I31">INDEX('Primary - GRADING'!$A$1:$CP997,MATCH($A31,'Primary - GRADING'!$CP:$CP,0),48)</f>
        <v>#N/A</v>
      </c>
      <c r="J31" s="153" t="str">
        <f t="array" ref="J31">INDEX('Primary - GRADING'!$A$1:$CP997,MATCH($A31,'Primary - GRADING'!$CP:$CP,0),49)</f>
        <v>#N/A</v>
      </c>
      <c r="K31" s="153" t="str">
        <f t="array" ref="K31">INDEX('Primary - GRADING'!$A$1:$CP997,MATCH($A31,'Primary - GRADING'!$CP:$CP,0),50)</f>
        <v>#N/A</v>
      </c>
      <c r="L31" s="153" t="str">
        <f t="array" ref="L31">INDEX('Primary - GRADING'!$A$1:$CP997,MATCH($A31,'Primary - GRADING'!$CP:$CP,0),51)</f>
        <v>#N/A</v>
      </c>
      <c r="M31" s="153" t="str">
        <f t="array" ref="M31">INDEX('Primary - GRADING'!$A$1:$CP997,MATCH($A31,'Primary - GRADING'!$CP:$CP,0),52)</f>
        <v>#N/A</v>
      </c>
      <c r="N31" s="153" t="str">
        <f t="array" ref="N31">INDEX('Primary - GRADING'!$A$1:$CP997,MATCH($A31,'Primary - GRADING'!$CP:$CP,0),53)</f>
        <v>#N/A</v>
      </c>
      <c r="O31" s="153" t="str">
        <f t="array" ref="O31">INDEX('Primary - GRADING'!$A$1:$CP997,MATCH($A31,'Primary - GRADING'!$CP:$CP,0),58)</f>
        <v>#N/A</v>
      </c>
      <c r="P31" s="153" t="str">
        <f t="array" ref="P31">INDEX('Primary - GRADING'!$A$1:$CP997,MATCH($A31,'Primary - GRADING'!$CP:$CP,0),5)</f>
        <v>#N/A</v>
      </c>
      <c r="Q31" s="153" t="str">
        <f t="array" ref="Q31">INDEX('Primary - GRADING'!$A$1:$CP997,MATCH($A31,'Primary - GRADING'!$CP:$CP,0),6)</f>
        <v>#N/A</v>
      </c>
      <c r="R31" s="153" t="str">
        <f t="array" ref="R31">INDEX('Primary - GRADING'!$A$1:$CP997,MATCH($A31,'Primary - GRADING'!$CP:$CP,0),7)</f>
        <v>#N/A</v>
      </c>
      <c r="S31" s="153" t="str">
        <f t="array" ref="S31">INDEX('Primary - GRADING'!$A$1:$CP997,MATCH($A31,'Primary - GRADING'!$CP:$CP,0),8)</f>
        <v>#N/A</v>
      </c>
      <c r="T31" s="153" t="str">
        <f t="array" ref="T31">INDEX('Primary - GRADING'!$A$1:$CP997,MATCH($A31,'Primary - GRADING'!$CP:$CP,0),9)</f>
        <v>#N/A</v>
      </c>
      <c r="U31" s="153" t="str">
        <f t="array" ref="U31">INDEX('Primary - GRADING'!$A$1:$CP997,MATCH($A31,'Primary - GRADING'!$CP:$CP,0),10)</f>
        <v>#N/A</v>
      </c>
      <c r="V31" s="153" t="str">
        <f t="array" ref="V31">INDEX('Primary - GRADING'!$A$1:$CP997,MATCH($A31,'Primary - GRADING'!$CP:$CP,0),18)</f>
        <v>#N/A</v>
      </c>
      <c r="W31" s="153" t="str">
        <f t="array" ref="W31">INDEX('Primary - GRADING'!$A$1:$CP997,MATCH($A31,'Primary - GRADING'!$CP:$CP,0),20)</f>
        <v>#N/A</v>
      </c>
      <c r="X31" s="153" t="str">
        <f t="array" ref="X31">INDEX('Primary - GRADING'!$A$1:$CP997,MATCH($A31,'Primary - GRADING'!$CP:$CP,0),21)</f>
        <v>#N/A</v>
      </c>
      <c r="Y31" s="153" t="str">
        <f t="array" ref="Y31">INDEX('Primary - GRADING'!$A$1:$CP997,MATCH($A31,'Primary - GRADING'!$CP:$CP,0),22)</f>
        <v>#N/A</v>
      </c>
      <c r="Z31" s="165" t="str">
        <f t="array" ref="Z31">INDEX('Primary - GRADING'!$A$1:$CP997,MATCH($A31,'Primary - GRADING'!$CP:$CP,0),23)</f>
        <v>#N/A</v>
      </c>
      <c r="AA31" s="153" t="str">
        <f t="array" ref="AA31">INDEX('Primary - GRADING'!$A$1:$CP997,MATCH($A31,'Primary - GRADING'!$CP:$CP,0),24)</f>
        <v>#N/A</v>
      </c>
      <c r="AB31" s="153" t="str">
        <f t="array" ref="AB31">INDEX('Primary - GRADING'!$A$1:$CP997,MATCH($A31,'Primary - GRADING'!$CP:$CP,0),25)</f>
        <v>#N/A</v>
      </c>
      <c r="AC31" s="153" t="str">
        <f t="array" ref="AC31">INDEX('Primary - GRADING'!$A$1:$CP997,MATCH($A31,'Primary - GRADING'!$CP:$CP,0),46)</f>
        <v>#N/A</v>
      </c>
      <c r="AG31" s="153" t="str">
        <f t="shared" si="7"/>
        <v>#N/A</v>
      </c>
      <c r="AI31" s="153" t="str">
        <f>VLOOKUP(AH31,'Primary - GRADING'!$A$4:$C997,2,)</f>
        <v>#N/A</v>
      </c>
      <c r="AJ31" s="153" t="str">
        <f>VLOOKUP(AH31,'Primary - GRADING'!$A$4:$C997,3,)</f>
        <v>#N/A</v>
      </c>
      <c r="AK31" s="153" t="str">
        <f>VLOOKUP(AH31,'Primary - GRADING'!$A$4:$BG997,59,)</f>
        <v>#N/A</v>
      </c>
      <c r="AL31" s="153" t="str">
        <f>IFS(AK31="NMA",VLOOKUP(AH31,'Primary - GRADING'!$A$4:$BG997,51,),AK31="DIRECT",VLOOKUP(AH31,'Primary - GRADING'!$A$4:$BG997,8,),AK31="INDIRECT",VLOOKUP(AH31,'Primary - GRADING'!$A$4:$BG997,23,))</f>
        <v>#N/A</v>
      </c>
      <c r="AM31" s="153" t="str">
        <f>IFS(AK31="NMA",VLOOKUP(AH31,'Primary - GRADING'!$A$4:$BG997,52,),AK31="DIRECT",VLOOKUP(AH31,'Primary - GRADING'!$A$4:$BG997,9,),AK31="INDIRECT",VLOOKUP(AH31,'Primary - GRADING'!$A$4:$BG997,24,))</f>
        <v>#N/A</v>
      </c>
      <c r="AN31" s="153" t="str">
        <f>IFS(AK31="NMA",VLOOKUP(AH31,'Primary - GRADING'!$A$4:$BG997,53,),AK31="DIRECT",VLOOKUP(AH31,'Primary - GRADING'!$A$4:$BG997,10,),AK31="INDIRECT",VLOOKUP(AH31,'Primary - GRADING'!$A$4:$BG997,25,))</f>
        <v>#N/A</v>
      </c>
      <c r="AO31" s="153" t="str">
        <f t="shared" si="8"/>
        <v>#N/A</v>
      </c>
      <c r="AT31" s="153" t="str">
        <f t="shared" si="9"/>
        <v>#N/A</v>
      </c>
      <c r="AV31" s="153" t="str">
        <f>VLOOKUP(AU31,'Primary - GRADING'!$A$4:$C997,2,)</f>
        <v>#N/A</v>
      </c>
      <c r="AW31" s="153" t="str">
        <f>VLOOKUP(AU31,'Primary - GRADING'!$A$4:$C997,3,)</f>
        <v>#N/A</v>
      </c>
      <c r="AX31" s="153" t="str">
        <f>VLOOKUP(AU31,'Primary - GRADING'!$A$4:$BG997,59,)</f>
        <v>#N/A</v>
      </c>
      <c r="AY31" s="153" t="str">
        <f>IFS(AX31="NMA",VLOOKUP(AU31,'Primary - GRADING'!$A$4:$BG997,51,),AX31="DIRECT",VLOOKUP(AU31,'Primary - GRADING'!$A$4:$BG997,8,),AX31="INDIRECT",VLOOKUP(AU31,'Primary - GRADING'!$A$4:$BG997,23,))</f>
        <v>#N/A</v>
      </c>
      <c r="AZ31" s="153" t="str">
        <f>IFS(AX31="NMA",VLOOKUP(AU31,'Primary - GRADING'!$A$4:$BG997,52,),AX31="DIRECT",VLOOKUP(AU31,'Primary - GRADING'!$A$4:$BG997,9,),AX31="INDIRECT",VLOOKUP(AU31,'Primary - GRADING'!$A$4:$BG997,24,))</f>
        <v>#N/A</v>
      </c>
      <c r="BA31" s="153" t="str">
        <f>IFS(AX31="NMA",VLOOKUP(AU31,'Primary - GRADING'!$A$4:$BG997,53,),AX31="DIRECT",VLOOKUP(AU31,'Primary - GRADING'!$A$4:$BG997,10,),AX31="INDIRECT",VLOOKUP(AU31,'Primary - GRADING'!$A$4:$BG997,25,))</f>
        <v>#N/A</v>
      </c>
      <c r="BB31" s="153" t="str">
        <f t="shared" si="10"/>
        <v>#N/A</v>
      </c>
      <c r="BE31" s="153" t="str">
        <f t="shared" si="11"/>
        <v/>
      </c>
      <c r="BG31" s="153" t="str">
        <f t="shared" si="12"/>
        <v>#N/A</v>
      </c>
      <c r="BI31" s="153" t="str">
        <f t="shared" si="13"/>
        <v>#N/A</v>
      </c>
      <c r="BK31" s="153" t="str">
        <f t="shared" si="14"/>
        <v>#N/A</v>
      </c>
      <c r="BM31" s="153" t="str">
        <f t="shared" si="15"/>
        <v>#N/A</v>
      </c>
    </row>
    <row r="32" ht="15.75" customHeight="1">
      <c r="A32" s="64"/>
      <c r="B32" s="160" t="str">
        <f t="shared" si="1"/>
        <v>#N/A</v>
      </c>
      <c r="C32" s="160" t="str">
        <f t="shared" si="2"/>
        <v>#N/A</v>
      </c>
      <c r="D32" s="160" t="str">
        <f t="shared" si="3"/>
        <v>#N/A</v>
      </c>
      <c r="E32" s="161" t="str">
        <f t="shared" si="4"/>
        <v>#N/A</v>
      </c>
      <c r="F32" s="153" t="str">
        <f t="shared" si="17"/>
        <v>#N/A</v>
      </c>
      <c r="G32" s="153" t="str">
        <f t="shared" si="6"/>
        <v>#N/A</v>
      </c>
      <c r="H32" s="156" t="str">
        <f t="array" ref="H32">INDEX('Primary - GRADING'!$A$1:$BG997,MATCH($A32,'Primary - GRADING'!$B:$B,0),59)</f>
        <v>#N/A</v>
      </c>
      <c r="I32" s="153" t="str">
        <f t="array" ref="I32">INDEX('Primary - GRADING'!$A$1:$CP997,MATCH($A32,'Primary - GRADING'!$CP:$CP,0),48)</f>
        <v>#N/A</v>
      </c>
      <c r="J32" s="153" t="str">
        <f t="array" ref="J32">INDEX('Primary - GRADING'!$A$1:$CP997,MATCH($A32,'Primary - GRADING'!$CP:$CP,0),49)</f>
        <v>#N/A</v>
      </c>
      <c r="K32" s="153" t="str">
        <f t="array" ref="K32">INDEX('Primary - GRADING'!$A$1:$CP997,MATCH($A32,'Primary - GRADING'!$CP:$CP,0),50)</f>
        <v>#N/A</v>
      </c>
      <c r="L32" s="153" t="str">
        <f t="array" ref="L32">INDEX('Primary - GRADING'!$A$1:$CP997,MATCH($A32,'Primary - GRADING'!$CP:$CP,0),51)</f>
        <v>#N/A</v>
      </c>
      <c r="M32" s="153" t="str">
        <f t="array" ref="M32">INDEX('Primary - GRADING'!$A$1:$CP997,MATCH($A32,'Primary - GRADING'!$CP:$CP,0),52)</f>
        <v>#N/A</v>
      </c>
      <c r="N32" s="153" t="str">
        <f t="array" ref="N32">INDEX('Primary - GRADING'!$A$1:$CP997,MATCH($A32,'Primary - GRADING'!$CP:$CP,0),53)</f>
        <v>#N/A</v>
      </c>
      <c r="O32" s="153" t="str">
        <f t="array" ref="O32">INDEX('Primary - GRADING'!$A$1:$CP997,MATCH($A32,'Primary - GRADING'!$CP:$CP,0),58)</f>
        <v>#N/A</v>
      </c>
      <c r="P32" s="153" t="str">
        <f t="array" ref="P32">INDEX('Primary - GRADING'!$A$1:$CP997,MATCH($A32,'Primary - GRADING'!$CP:$CP,0),5)</f>
        <v>#N/A</v>
      </c>
      <c r="Q32" s="153" t="str">
        <f t="array" ref="Q32">INDEX('Primary - GRADING'!$A$1:$CP997,MATCH($A32,'Primary - GRADING'!$CP:$CP,0),6)</f>
        <v>#N/A</v>
      </c>
      <c r="R32" s="153" t="str">
        <f t="array" ref="R32">INDEX('Primary - GRADING'!$A$1:$CP997,MATCH($A32,'Primary - GRADING'!$CP:$CP,0),7)</f>
        <v>#N/A</v>
      </c>
      <c r="S32" s="153" t="str">
        <f t="array" ref="S32">INDEX('Primary - GRADING'!$A$1:$CP997,MATCH($A32,'Primary - GRADING'!$CP:$CP,0),8)</f>
        <v>#N/A</v>
      </c>
      <c r="T32" s="153" t="str">
        <f t="array" ref="T32">INDEX('Primary - GRADING'!$A$1:$CP997,MATCH($A32,'Primary - GRADING'!$CP:$CP,0),9)</f>
        <v>#N/A</v>
      </c>
      <c r="U32" s="153" t="str">
        <f t="array" ref="U32">INDEX('Primary - GRADING'!$A$1:$CP997,MATCH($A32,'Primary - GRADING'!$CP:$CP,0),10)</f>
        <v>#N/A</v>
      </c>
      <c r="V32" s="153" t="str">
        <f t="array" ref="V32">INDEX('Primary - GRADING'!$A$1:$CP997,MATCH($A32,'Primary - GRADING'!$CP:$CP,0),18)</f>
        <v>#N/A</v>
      </c>
      <c r="W32" s="153" t="str">
        <f t="array" ref="W32">INDEX('Primary - GRADING'!$A$1:$CP997,MATCH($A32,'Primary - GRADING'!$CP:$CP,0),20)</f>
        <v>#N/A</v>
      </c>
      <c r="X32" s="153" t="str">
        <f t="array" ref="X32">INDEX('Primary - GRADING'!$A$1:$CP997,MATCH($A32,'Primary - GRADING'!$CP:$CP,0),21)</f>
        <v>#N/A</v>
      </c>
      <c r="Y32" s="153" t="str">
        <f t="array" ref="Y32">INDEX('Primary - GRADING'!$A$1:$CP997,MATCH($A32,'Primary - GRADING'!$CP:$CP,0),22)</f>
        <v>#N/A</v>
      </c>
      <c r="Z32" s="165" t="str">
        <f t="array" ref="Z32">INDEX('Primary - GRADING'!$A$1:$CP997,MATCH($A32,'Primary - GRADING'!$CP:$CP,0),23)</f>
        <v>#N/A</v>
      </c>
      <c r="AA32" s="153" t="str">
        <f t="array" ref="AA32">INDEX('Primary - GRADING'!$A$1:$CP997,MATCH($A32,'Primary - GRADING'!$CP:$CP,0),24)</f>
        <v>#N/A</v>
      </c>
      <c r="AB32" s="153" t="str">
        <f t="array" ref="AB32">INDEX('Primary - GRADING'!$A$1:$CP997,MATCH($A32,'Primary - GRADING'!$CP:$CP,0),25)</f>
        <v>#N/A</v>
      </c>
      <c r="AC32" s="153" t="str">
        <f t="array" ref="AC32">INDEX('Primary - GRADING'!$A$1:$CP997,MATCH($A32,'Primary - GRADING'!$CP:$CP,0),46)</f>
        <v>#N/A</v>
      </c>
      <c r="AG32" s="153" t="str">
        <f t="shared" si="7"/>
        <v>#N/A</v>
      </c>
      <c r="AI32" s="153" t="str">
        <f>VLOOKUP(AH32,'Primary - GRADING'!$A$4:$C997,2,)</f>
        <v>#N/A</v>
      </c>
      <c r="AJ32" s="153" t="str">
        <f>VLOOKUP(AH32,'Primary - GRADING'!$A$4:$C997,3,)</f>
        <v>#N/A</v>
      </c>
      <c r="AK32" s="153" t="str">
        <f>VLOOKUP(AH32,'Primary - GRADING'!$A$4:$BG997,59,)</f>
        <v>#N/A</v>
      </c>
      <c r="AL32" s="153" t="str">
        <f>IFS(AK32="NMA",VLOOKUP(AH32,'Primary - GRADING'!$A$4:$BG997,51,),AK32="DIRECT",VLOOKUP(AH32,'Primary - GRADING'!$A$4:$BG997,8,),AK32="INDIRECT",VLOOKUP(AH32,'Primary - GRADING'!$A$4:$BG997,23,))</f>
        <v>#N/A</v>
      </c>
      <c r="AM32" s="153" t="str">
        <f>IFS(AK32="NMA",VLOOKUP(AH32,'Primary - GRADING'!$A$4:$BG997,52,),AK32="DIRECT",VLOOKUP(AH32,'Primary - GRADING'!$A$4:$BG997,9,),AK32="INDIRECT",VLOOKUP(AH32,'Primary - GRADING'!$A$4:$BG997,24,))</f>
        <v>#N/A</v>
      </c>
      <c r="AN32" s="153" t="str">
        <f>IFS(AK32="NMA",VLOOKUP(AH32,'Primary - GRADING'!$A$4:$BG997,53,),AK32="DIRECT",VLOOKUP(AH32,'Primary - GRADING'!$A$4:$BG997,10,),AK32="INDIRECT",VLOOKUP(AH32,'Primary - GRADING'!$A$4:$BG997,25,))</f>
        <v>#N/A</v>
      </c>
      <c r="AO32" s="153" t="str">
        <f t="shared" si="8"/>
        <v>#N/A</v>
      </c>
      <c r="AT32" s="153" t="str">
        <f t="shared" si="9"/>
        <v>#N/A</v>
      </c>
      <c r="AV32" s="153" t="str">
        <f>VLOOKUP(AU32,'Primary - GRADING'!$A$4:$C997,2,)</f>
        <v>#N/A</v>
      </c>
      <c r="AW32" s="153" t="str">
        <f>VLOOKUP(AU32,'Primary - GRADING'!$A$4:$C997,3,)</f>
        <v>#N/A</v>
      </c>
      <c r="AX32" s="153" t="str">
        <f>VLOOKUP(AU32,'Primary - GRADING'!$A$4:$BG997,59,)</f>
        <v>#N/A</v>
      </c>
      <c r="AY32" s="153" t="str">
        <f>IFS(AX32="NMA",VLOOKUP(AU32,'Primary - GRADING'!$A$4:$BG997,51,),AX32="DIRECT",VLOOKUP(AU32,'Primary - GRADING'!$A$4:$BG997,8,),AX32="INDIRECT",VLOOKUP(AU32,'Primary - GRADING'!$A$4:$BG997,23,))</f>
        <v>#N/A</v>
      </c>
      <c r="AZ32" s="153" t="str">
        <f>IFS(AX32="NMA",VLOOKUP(AU32,'Primary - GRADING'!$A$4:$BG997,52,),AX32="DIRECT",VLOOKUP(AU32,'Primary - GRADING'!$A$4:$BG997,9,),AX32="INDIRECT",VLOOKUP(AU32,'Primary - GRADING'!$A$4:$BG997,24,))</f>
        <v>#N/A</v>
      </c>
      <c r="BA32" s="153" t="str">
        <f>IFS(AX32="NMA",VLOOKUP(AU32,'Primary - GRADING'!$A$4:$BG997,53,),AX32="DIRECT",VLOOKUP(AU32,'Primary - GRADING'!$A$4:$BG997,10,),AX32="INDIRECT",VLOOKUP(AU32,'Primary - GRADING'!$A$4:$BG997,25,))</f>
        <v>#N/A</v>
      </c>
      <c r="BB32" s="153" t="str">
        <f t="shared" si="10"/>
        <v>#N/A</v>
      </c>
      <c r="BE32" s="153" t="str">
        <f t="shared" si="11"/>
        <v/>
      </c>
      <c r="BG32" s="153" t="str">
        <f t="shared" si="12"/>
        <v>#N/A</v>
      </c>
      <c r="BI32" s="153" t="str">
        <f t="shared" si="13"/>
        <v>#N/A</v>
      </c>
      <c r="BK32" s="153" t="str">
        <f t="shared" si="14"/>
        <v>#N/A</v>
      </c>
      <c r="BM32" s="153" t="str">
        <f t="shared" si="15"/>
        <v>#N/A</v>
      </c>
    </row>
    <row r="33" ht="15.75" customHeight="1">
      <c r="A33" s="64"/>
      <c r="B33" s="160" t="str">
        <f t="shared" si="1"/>
        <v>#N/A</v>
      </c>
      <c r="C33" s="160" t="str">
        <f t="shared" si="2"/>
        <v>#N/A</v>
      </c>
      <c r="D33" s="160" t="str">
        <f t="shared" si="3"/>
        <v>#N/A</v>
      </c>
      <c r="E33" s="161" t="str">
        <f t="shared" si="4"/>
        <v>#N/A</v>
      </c>
      <c r="F33" s="153" t="str">
        <f t="shared" si="17"/>
        <v>#N/A</v>
      </c>
      <c r="G33" s="153" t="str">
        <f t="shared" si="6"/>
        <v>#N/A</v>
      </c>
      <c r="H33" s="156" t="str">
        <f t="array" ref="H33">INDEX('Primary - GRADING'!$A$1:$BG997,MATCH($A33,'Primary - GRADING'!$B:$B,0),59)</f>
        <v>#N/A</v>
      </c>
      <c r="I33" s="153" t="str">
        <f t="array" ref="I33">INDEX('Primary - GRADING'!$A$1:$CP997,MATCH($A33,'Primary - GRADING'!$CP:$CP,0),48)</f>
        <v>#N/A</v>
      </c>
      <c r="J33" s="153" t="str">
        <f t="array" ref="J33">INDEX('Primary - GRADING'!$A$1:$CP997,MATCH($A33,'Primary - GRADING'!$CP:$CP,0),49)</f>
        <v>#N/A</v>
      </c>
      <c r="K33" s="153" t="str">
        <f t="array" ref="K33">INDEX('Primary - GRADING'!$A$1:$CP997,MATCH($A33,'Primary - GRADING'!$CP:$CP,0),50)</f>
        <v>#N/A</v>
      </c>
      <c r="L33" s="153" t="str">
        <f t="array" ref="L33">INDEX('Primary - GRADING'!$A$1:$CP997,MATCH($A33,'Primary - GRADING'!$CP:$CP,0),51)</f>
        <v>#N/A</v>
      </c>
      <c r="M33" s="153" t="str">
        <f t="array" ref="M33">INDEX('Primary - GRADING'!$A$1:$CP997,MATCH($A33,'Primary - GRADING'!$CP:$CP,0),52)</f>
        <v>#N/A</v>
      </c>
      <c r="N33" s="153" t="str">
        <f t="array" ref="N33">INDEX('Primary - GRADING'!$A$1:$CP997,MATCH($A33,'Primary - GRADING'!$CP:$CP,0),53)</f>
        <v>#N/A</v>
      </c>
      <c r="O33" s="153" t="str">
        <f t="array" ref="O33">INDEX('Primary - GRADING'!$A$1:$CP997,MATCH($A33,'Primary - GRADING'!$CP:$CP,0),58)</f>
        <v>#N/A</v>
      </c>
      <c r="P33" s="153" t="str">
        <f t="array" ref="P33">INDEX('Primary - GRADING'!$A$1:$CP997,MATCH($A33,'Primary - GRADING'!$CP:$CP,0),5)</f>
        <v>#N/A</v>
      </c>
      <c r="Q33" s="153" t="str">
        <f t="array" ref="Q33">INDEX('Primary - GRADING'!$A$1:$CP997,MATCH($A33,'Primary - GRADING'!$CP:$CP,0),6)</f>
        <v>#N/A</v>
      </c>
      <c r="R33" s="153" t="str">
        <f t="array" ref="R33">INDEX('Primary - GRADING'!$A$1:$CP997,MATCH($A33,'Primary - GRADING'!$CP:$CP,0),7)</f>
        <v>#N/A</v>
      </c>
      <c r="S33" s="153" t="str">
        <f t="array" ref="S33">INDEX('Primary - GRADING'!$A$1:$CP997,MATCH($A33,'Primary - GRADING'!$CP:$CP,0),8)</f>
        <v>#N/A</v>
      </c>
      <c r="T33" s="153" t="str">
        <f t="array" ref="T33">INDEX('Primary - GRADING'!$A$1:$CP997,MATCH($A33,'Primary - GRADING'!$CP:$CP,0),9)</f>
        <v>#N/A</v>
      </c>
      <c r="U33" s="153" t="str">
        <f t="array" ref="U33">INDEX('Primary - GRADING'!$A$1:$CP997,MATCH($A33,'Primary - GRADING'!$CP:$CP,0),10)</f>
        <v>#N/A</v>
      </c>
      <c r="V33" s="153" t="str">
        <f t="array" ref="V33">INDEX('Primary - GRADING'!$A$1:$CP997,MATCH($A33,'Primary - GRADING'!$CP:$CP,0),18)</f>
        <v>#N/A</v>
      </c>
      <c r="W33" s="153" t="str">
        <f t="array" ref="W33">INDEX('Primary - GRADING'!$A$1:$CP997,MATCH($A33,'Primary - GRADING'!$CP:$CP,0),20)</f>
        <v>#N/A</v>
      </c>
      <c r="X33" s="153" t="str">
        <f t="array" ref="X33">INDEX('Primary - GRADING'!$A$1:$CP997,MATCH($A33,'Primary - GRADING'!$CP:$CP,0),21)</f>
        <v>#N/A</v>
      </c>
      <c r="Y33" s="153" t="str">
        <f t="array" ref="Y33">INDEX('Primary - GRADING'!$A$1:$CP997,MATCH($A33,'Primary - GRADING'!$CP:$CP,0),22)</f>
        <v>#N/A</v>
      </c>
      <c r="Z33" s="165" t="str">
        <f t="array" ref="Z33">INDEX('Primary - GRADING'!$A$1:$CP997,MATCH($A33,'Primary - GRADING'!$CP:$CP,0),23)</f>
        <v>#N/A</v>
      </c>
      <c r="AA33" s="153" t="str">
        <f t="array" ref="AA33">INDEX('Primary - GRADING'!$A$1:$CP997,MATCH($A33,'Primary - GRADING'!$CP:$CP,0),24)</f>
        <v>#N/A</v>
      </c>
      <c r="AB33" s="153" t="str">
        <f t="array" ref="AB33">INDEX('Primary - GRADING'!$A$1:$CP997,MATCH($A33,'Primary - GRADING'!$CP:$CP,0),25)</f>
        <v>#N/A</v>
      </c>
      <c r="AC33" s="153" t="str">
        <f t="array" ref="AC33">INDEX('Primary - GRADING'!$A$1:$CP997,MATCH($A33,'Primary - GRADING'!$CP:$CP,0),46)</f>
        <v>#N/A</v>
      </c>
      <c r="AG33" s="153" t="str">
        <f t="shared" si="7"/>
        <v>#N/A</v>
      </c>
      <c r="AI33" s="153" t="str">
        <f>VLOOKUP(AH33,'Primary - GRADING'!$A$4:$C997,2,)</f>
        <v>#N/A</v>
      </c>
      <c r="AJ33" s="153" t="str">
        <f>VLOOKUP(AH33,'Primary - GRADING'!$A$4:$C997,3,)</f>
        <v>#N/A</v>
      </c>
      <c r="AK33" s="153" t="str">
        <f>VLOOKUP(AH33,'Primary - GRADING'!$A$4:$BG997,59,)</f>
        <v>#N/A</v>
      </c>
      <c r="AL33" s="153" t="str">
        <f>IFS(AK33="NMA",VLOOKUP(AH33,'Primary - GRADING'!$A$4:$BG997,51,),AK33="DIRECT",VLOOKUP(AH33,'Primary - GRADING'!$A$4:$BG997,8,),AK33="INDIRECT",VLOOKUP(AH33,'Primary - GRADING'!$A$4:$BG997,23,))</f>
        <v>#N/A</v>
      </c>
      <c r="AM33" s="153" t="str">
        <f>IFS(AK33="NMA",VLOOKUP(AH33,'Primary - GRADING'!$A$4:$BG997,52,),AK33="DIRECT",VLOOKUP(AH33,'Primary - GRADING'!$A$4:$BG997,9,),AK33="INDIRECT",VLOOKUP(AH33,'Primary - GRADING'!$A$4:$BG997,24,))</f>
        <v>#N/A</v>
      </c>
      <c r="AN33" s="153" t="str">
        <f>IFS(AK33="NMA",VLOOKUP(AH33,'Primary - GRADING'!$A$4:$BG997,53,),AK33="DIRECT",VLOOKUP(AH33,'Primary - GRADING'!$A$4:$BG997,10,),AK33="INDIRECT",VLOOKUP(AH33,'Primary - GRADING'!$A$4:$BG997,25,))</f>
        <v>#N/A</v>
      </c>
      <c r="AO33" s="153" t="str">
        <f t="shared" si="8"/>
        <v>#N/A</v>
      </c>
      <c r="AT33" s="153" t="str">
        <f t="shared" si="9"/>
        <v>#N/A</v>
      </c>
      <c r="AV33" s="153" t="str">
        <f>VLOOKUP(AU33,'Primary - GRADING'!$A$4:$C997,2,)</f>
        <v>#N/A</v>
      </c>
      <c r="AW33" s="153" t="str">
        <f>VLOOKUP(AU33,'Primary - GRADING'!$A$4:$C997,3,)</f>
        <v>#N/A</v>
      </c>
      <c r="AX33" s="153" t="str">
        <f>VLOOKUP(AU33,'Primary - GRADING'!$A$4:$BG997,59,)</f>
        <v>#N/A</v>
      </c>
      <c r="AY33" s="153" t="str">
        <f>IFS(AX33="NMA",VLOOKUP(AU33,'Primary - GRADING'!$A$4:$BG997,51,),AX33="DIRECT",VLOOKUP(AU33,'Primary - GRADING'!$A$4:$BG997,8,),AX33="INDIRECT",VLOOKUP(AU33,'Primary - GRADING'!$A$4:$BG997,23,))</f>
        <v>#N/A</v>
      </c>
      <c r="AZ33" s="153" t="str">
        <f>IFS(AX33="NMA",VLOOKUP(AU33,'Primary - GRADING'!$A$4:$BG997,52,),AX33="DIRECT",VLOOKUP(AU33,'Primary - GRADING'!$A$4:$BG997,9,),AX33="INDIRECT",VLOOKUP(AU33,'Primary - GRADING'!$A$4:$BG997,24,))</f>
        <v>#N/A</v>
      </c>
      <c r="BA33" s="153" t="str">
        <f>IFS(AX33="NMA",VLOOKUP(AU33,'Primary - GRADING'!$A$4:$BG997,53,),AX33="DIRECT",VLOOKUP(AU33,'Primary - GRADING'!$A$4:$BG997,10,),AX33="INDIRECT",VLOOKUP(AU33,'Primary - GRADING'!$A$4:$BG997,25,))</f>
        <v>#N/A</v>
      </c>
      <c r="BB33" s="153" t="str">
        <f t="shared" si="10"/>
        <v>#N/A</v>
      </c>
      <c r="BE33" s="153" t="str">
        <f t="shared" si="11"/>
        <v/>
      </c>
      <c r="BG33" s="153" t="str">
        <f t="shared" si="12"/>
        <v>#N/A</v>
      </c>
      <c r="BI33" s="153" t="str">
        <f t="shared" si="13"/>
        <v>#N/A</v>
      </c>
      <c r="BK33" s="153" t="str">
        <f t="shared" si="14"/>
        <v>#N/A</v>
      </c>
      <c r="BM33" s="153" t="str">
        <f t="shared" si="15"/>
        <v>#N/A</v>
      </c>
    </row>
    <row r="34" ht="15.75" customHeight="1">
      <c r="A34" s="64"/>
      <c r="B34" s="160" t="str">
        <f t="shared" si="1"/>
        <v>#N/A</v>
      </c>
      <c r="C34" s="160" t="str">
        <f t="shared" si="2"/>
        <v>#N/A</v>
      </c>
      <c r="D34" s="160" t="str">
        <f t="shared" si="3"/>
        <v>#N/A</v>
      </c>
      <c r="E34" s="161" t="str">
        <f t="shared" si="4"/>
        <v>#N/A</v>
      </c>
      <c r="F34" s="153" t="str">
        <f t="shared" si="17"/>
        <v>#N/A</v>
      </c>
      <c r="G34" s="153" t="str">
        <f t="shared" si="6"/>
        <v>#N/A</v>
      </c>
      <c r="H34" s="156" t="str">
        <f t="array" ref="H34">INDEX('Primary - GRADING'!$A$1:$BG997,MATCH($A34,'Primary - GRADING'!$B:$B,0),59)</f>
        <v>#N/A</v>
      </c>
      <c r="I34" s="153" t="str">
        <f t="array" ref="I34">INDEX('Primary - GRADING'!$A$1:$CP997,MATCH($A34,'Primary - GRADING'!$CP:$CP,0),48)</f>
        <v>#N/A</v>
      </c>
      <c r="J34" s="153" t="str">
        <f t="array" ref="J34">INDEX('Primary - GRADING'!$A$1:$CP997,MATCH($A34,'Primary - GRADING'!$CP:$CP,0),49)</f>
        <v>#N/A</v>
      </c>
      <c r="K34" s="153" t="str">
        <f t="array" ref="K34">INDEX('Primary - GRADING'!$A$1:$CP997,MATCH($A34,'Primary - GRADING'!$CP:$CP,0),50)</f>
        <v>#N/A</v>
      </c>
      <c r="L34" s="153" t="str">
        <f t="array" ref="L34">INDEX('Primary - GRADING'!$A$1:$CP997,MATCH($A34,'Primary - GRADING'!$CP:$CP,0),51)</f>
        <v>#N/A</v>
      </c>
      <c r="M34" s="153" t="str">
        <f t="array" ref="M34">INDEX('Primary - GRADING'!$A$1:$CP997,MATCH($A34,'Primary - GRADING'!$CP:$CP,0),52)</f>
        <v>#N/A</v>
      </c>
      <c r="N34" s="153" t="str">
        <f t="array" ref="N34">INDEX('Primary - GRADING'!$A$1:$CP997,MATCH($A34,'Primary - GRADING'!$CP:$CP,0),53)</f>
        <v>#N/A</v>
      </c>
      <c r="O34" s="153" t="str">
        <f t="array" ref="O34">INDEX('Primary - GRADING'!$A$1:$CP997,MATCH($A34,'Primary - GRADING'!$CP:$CP,0),58)</f>
        <v>#N/A</v>
      </c>
      <c r="P34" s="153" t="str">
        <f t="array" ref="P34">INDEX('Primary - GRADING'!$A$1:$CP997,MATCH($A34,'Primary - GRADING'!$CP:$CP,0),5)</f>
        <v>#N/A</v>
      </c>
      <c r="Q34" s="153" t="str">
        <f t="array" ref="Q34">INDEX('Primary - GRADING'!$A$1:$CP997,MATCH($A34,'Primary - GRADING'!$CP:$CP,0),6)</f>
        <v>#N/A</v>
      </c>
      <c r="R34" s="153" t="str">
        <f t="array" ref="R34">INDEX('Primary - GRADING'!$A$1:$CP997,MATCH($A34,'Primary - GRADING'!$CP:$CP,0),7)</f>
        <v>#N/A</v>
      </c>
      <c r="S34" s="153" t="str">
        <f t="array" ref="S34">INDEX('Primary - GRADING'!$A$1:$CP997,MATCH($A34,'Primary - GRADING'!$CP:$CP,0),8)</f>
        <v>#N/A</v>
      </c>
      <c r="T34" s="153" t="str">
        <f t="array" ref="T34">INDEX('Primary - GRADING'!$A$1:$CP997,MATCH($A34,'Primary - GRADING'!$CP:$CP,0),9)</f>
        <v>#N/A</v>
      </c>
      <c r="U34" s="153" t="str">
        <f t="array" ref="U34">INDEX('Primary - GRADING'!$A$1:$CP997,MATCH($A34,'Primary - GRADING'!$CP:$CP,0),10)</f>
        <v>#N/A</v>
      </c>
      <c r="V34" s="153" t="str">
        <f t="array" ref="V34">INDEX('Primary - GRADING'!$A$1:$CP997,MATCH($A34,'Primary - GRADING'!$CP:$CP,0),18)</f>
        <v>#N/A</v>
      </c>
      <c r="W34" s="153" t="str">
        <f t="array" ref="W34">INDEX('Primary - GRADING'!$A$1:$CP997,MATCH($A34,'Primary - GRADING'!$CP:$CP,0),20)</f>
        <v>#N/A</v>
      </c>
      <c r="X34" s="153" t="str">
        <f t="array" ref="X34">INDEX('Primary - GRADING'!$A$1:$CP997,MATCH($A34,'Primary - GRADING'!$CP:$CP,0),21)</f>
        <v>#N/A</v>
      </c>
      <c r="Y34" s="153" t="str">
        <f t="array" ref="Y34">INDEX('Primary - GRADING'!$A$1:$CP997,MATCH($A34,'Primary - GRADING'!$CP:$CP,0),22)</f>
        <v>#N/A</v>
      </c>
      <c r="Z34" s="165" t="str">
        <f t="array" ref="Z34">INDEX('Primary - GRADING'!$A$1:$CP997,MATCH($A34,'Primary - GRADING'!$CP:$CP,0),23)</f>
        <v>#N/A</v>
      </c>
      <c r="AA34" s="153" t="str">
        <f t="array" ref="AA34">INDEX('Primary - GRADING'!$A$1:$CP997,MATCH($A34,'Primary - GRADING'!$CP:$CP,0),24)</f>
        <v>#N/A</v>
      </c>
      <c r="AB34" s="153" t="str">
        <f t="array" ref="AB34">INDEX('Primary - GRADING'!$A$1:$CP997,MATCH($A34,'Primary - GRADING'!$CP:$CP,0),25)</f>
        <v>#N/A</v>
      </c>
      <c r="AC34" s="153" t="str">
        <f t="array" ref="AC34">INDEX('Primary - GRADING'!$A$1:$CP997,MATCH($A34,'Primary - GRADING'!$CP:$CP,0),46)</f>
        <v>#N/A</v>
      </c>
      <c r="AG34" s="153" t="str">
        <f t="shared" si="7"/>
        <v>#N/A</v>
      </c>
      <c r="AI34" s="153" t="str">
        <f>VLOOKUP(AH34,'Primary - GRADING'!$A$4:$C997,2,)</f>
        <v>#N/A</v>
      </c>
      <c r="AJ34" s="153" t="str">
        <f>VLOOKUP(AH34,'Primary - GRADING'!$A$4:$C997,3,)</f>
        <v>#N/A</v>
      </c>
      <c r="AK34" s="153" t="str">
        <f>VLOOKUP(AH34,'Primary - GRADING'!$A$4:$BG997,59,)</f>
        <v>#N/A</v>
      </c>
      <c r="AL34" s="153" t="str">
        <f>IFS(AK34="NMA",VLOOKUP(AH34,'Primary - GRADING'!$A$4:$BG997,51,),AK34="DIRECT",VLOOKUP(AH34,'Primary - GRADING'!$A$4:$BG997,8,),AK34="INDIRECT",VLOOKUP(AH34,'Primary - GRADING'!$A$4:$BG997,23,))</f>
        <v>#N/A</v>
      </c>
      <c r="AM34" s="153" t="str">
        <f>IFS(AK34="NMA",VLOOKUP(AH34,'Primary - GRADING'!$A$4:$BG997,52,),AK34="DIRECT",VLOOKUP(AH34,'Primary - GRADING'!$A$4:$BG997,9,),AK34="INDIRECT",VLOOKUP(AH34,'Primary - GRADING'!$A$4:$BG997,24,))</f>
        <v>#N/A</v>
      </c>
      <c r="AN34" s="153" t="str">
        <f>IFS(AK34="NMA",VLOOKUP(AH34,'Primary - GRADING'!$A$4:$BG997,53,),AK34="DIRECT",VLOOKUP(AH34,'Primary - GRADING'!$A$4:$BG997,10,),AK34="INDIRECT",VLOOKUP(AH34,'Primary - GRADING'!$A$4:$BG997,25,))</f>
        <v>#N/A</v>
      </c>
      <c r="AO34" s="153" t="str">
        <f t="shared" si="8"/>
        <v>#N/A</v>
      </c>
      <c r="AT34" s="153" t="str">
        <f t="shared" si="9"/>
        <v>#N/A</v>
      </c>
      <c r="AV34" s="153" t="str">
        <f>VLOOKUP(AU34,'Primary - GRADING'!$A$4:$C997,2,)</f>
        <v>#N/A</v>
      </c>
      <c r="AW34" s="153" t="str">
        <f>VLOOKUP(AU34,'Primary - GRADING'!$A$4:$C997,3,)</f>
        <v>#N/A</v>
      </c>
      <c r="AX34" s="153" t="str">
        <f>VLOOKUP(AU34,'Primary - GRADING'!$A$4:$BG997,59,)</f>
        <v>#N/A</v>
      </c>
      <c r="AY34" s="153" t="str">
        <f>IFS(AX34="NMA",VLOOKUP(AU34,'Primary - GRADING'!$A$4:$BG997,51,),AX34="DIRECT",VLOOKUP(AU34,'Primary - GRADING'!$A$4:$BG997,8,),AX34="INDIRECT",VLOOKUP(AU34,'Primary - GRADING'!$A$4:$BG997,23,))</f>
        <v>#N/A</v>
      </c>
      <c r="AZ34" s="153" t="str">
        <f>IFS(AX34="NMA",VLOOKUP(AU34,'Primary - GRADING'!$A$4:$BG997,52,),AX34="DIRECT",VLOOKUP(AU34,'Primary - GRADING'!$A$4:$BG997,9,),AX34="INDIRECT",VLOOKUP(AU34,'Primary - GRADING'!$A$4:$BG997,24,))</f>
        <v>#N/A</v>
      </c>
      <c r="BA34" s="153" t="str">
        <f>IFS(AX34="NMA",VLOOKUP(AU34,'Primary - GRADING'!$A$4:$BG997,53,),AX34="DIRECT",VLOOKUP(AU34,'Primary - GRADING'!$A$4:$BG997,10,),AX34="INDIRECT",VLOOKUP(AU34,'Primary - GRADING'!$A$4:$BG997,25,))</f>
        <v>#N/A</v>
      </c>
      <c r="BB34" s="153" t="str">
        <f t="shared" si="10"/>
        <v>#N/A</v>
      </c>
      <c r="BE34" s="153" t="str">
        <f t="shared" si="11"/>
        <v/>
      </c>
      <c r="BG34" s="153" t="str">
        <f t="shared" si="12"/>
        <v>#N/A</v>
      </c>
      <c r="BI34" s="153" t="str">
        <f t="shared" si="13"/>
        <v>#N/A</v>
      </c>
      <c r="BK34" s="153" t="str">
        <f t="shared" si="14"/>
        <v>#N/A</v>
      </c>
      <c r="BM34" s="153" t="str">
        <f t="shared" si="15"/>
        <v>#N/A</v>
      </c>
    </row>
    <row r="35" ht="15.75" customHeight="1">
      <c r="A35" s="64"/>
      <c r="B35" s="160" t="str">
        <f t="shared" si="1"/>
        <v>#N/A</v>
      </c>
      <c r="C35" s="160" t="str">
        <f t="shared" si="2"/>
        <v>#N/A</v>
      </c>
      <c r="D35" s="160" t="str">
        <f t="shared" si="3"/>
        <v>#N/A</v>
      </c>
      <c r="E35" s="161" t="str">
        <f t="shared" si="4"/>
        <v>#N/A</v>
      </c>
      <c r="F35" s="153" t="str">
        <f t="shared" si="17"/>
        <v>#N/A</v>
      </c>
      <c r="G35" s="153" t="str">
        <f t="shared" si="6"/>
        <v>#N/A</v>
      </c>
      <c r="H35" s="156" t="str">
        <f t="array" ref="H35">INDEX('Primary - GRADING'!$A$1:$BG997,MATCH($A35,'Primary - GRADING'!$B:$B,0),59)</f>
        <v>#N/A</v>
      </c>
      <c r="I35" s="153" t="str">
        <f t="array" ref="I35">INDEX('Primary - GRADING'!$A$1:$CP997,MATCH($A35,'Primary - GRADING'!$CP:$CP,0),48)</f>
        <v>#N/A</v>
      </c>
      <c r="J35" s="153" t="str">
        <f t="array" ref="J35">INDEX('Primary - GRADING'!$A$1:$CP997,MATCH($A35,'Primary - GRADING'!$CP:$CP,0),49)</f>
        <v>#N/A</v>
      </c>
      <c r="K35" s="153" t="str">
        <f t="array" ref="K35">INDEX('Primary - GRADING'!$A$1:$CP997,MATCH($A35,'Primary - GRADING'!$CP:$CP,0),50)</f>
        <v>#N/A</v>
      </c>
      <c r="L35" s="153" t="str">
        <f t="array" ref="L35">INDEX('Primary - GRADING'!$A$1:$CP997,MATCH($A35,'Primary - GRADING'!$CP:$CP,0),51)</f>
        <v>#N/A</v>
      </c>
      <c r="M35" s="153" t="str">
        <f t="array" ref="M35">INDEX('Primary - GRADING'!$A$1:$CP997,MATCH($A35,'Primary - GRADING'!$CP:$CP,0),52)</f>
        <v>#N/A</v>
      </c>
      <c r="N35" s="153" t="str">
        <f t="array" ref="N35">INDEX('Primary - GRADING'!$A$1:$CP997,MATCH($A35,'Primary - GRADING'!$CP:$CP,0),53)</f>
        <v>#N/A</v>
      </c>
      <c r="O35" s="153" t="str">
        <f t="array" ref="O35">INDEX('Primary - GRADING'!$A$1:$CP997,MATCH($A35,'Primary - GRADING'!$CP:$CP,0),58)</f>
        <v>#N/A</v>
      </c>
      <c r="P35" s="153" t="str">
        <f t="array" ref="P35">INDEX('Primary - GRADING'!$A$1:$CP997,MATCH($A35,'Primary - GRADING'!$CP:$CP,0),5)</f>
        <v>#N/A</v>
      </c>
      <c r="Q35" s="153" t="str">
        <f t="array" ref="Q35">INDEX('Primary - GRADING'!$A$1:$CP997,MATCH($A35,'Primary - GRADING'!$CP:$CP,0),6)</f>
        <v>#N/A</v>
      </c>
      <c r="R35" s="153" t="str">
        <f t="array" ref="R35">INDEX('Primary - GRADING'!$A$1:$CP997,MATCH($A35,'Primary - GRADING'!$CP:$CP,0),7)</f>
        <v>#N/A</v>
      </c>
      <c r="S35" s="153" t="str">
        <f t="array" ref="S35">INDEX('Primary - GRADING'!$A$1:$CP997,MATCH($A35,'Primary - GRADING'!$CP:$CP,0),8)</f>
        <v>#N/A</v>
      </c>
      <c r="T35" s="153" t="str">
        <f t="array" ref="T35">INDEX('Primary - GRADING'!$A$1:$CP997,MATCH($A35,'Primary - GRADING'!$CP:$CP,0),9)</f>
        <v>#N/A</v>
      </c>
      <c r="U35" s="153" t="str">
        <f t="array" ref="U35">INDEX('Primary - GRADING'!$A$1:$CP997,MATCH($A35,'Primary - GRADING'!$CP:$CP,0),10)</f>
        <v>#N/A</v>
      </c>
      <c r="V35" s="153" t="str">
        <f t="array" ref="V35">INDEX('Primary - GRADING'!$A$1:$CP997,MATCH($A35,'Primary - GRADING'!$CP:$CP,0),18)</f>
        <v>#N/A</v>
      </c>
      <c r="W35" s="153" t="str">
        <f t="array" ref="W35">INDEX('Primary - GRADING'!$A$1:$CP997,MATCH($A35,'Primary - GRADING'!$CP:$CP,0),20)</f>
        <v>#N/A</v>
      </c>
      <c r="X35" s="153" t="str">
        <f t="array" ref="X35">INDEX('Primary - GRADING'!$A$1:$CP997,MATCH($A35,'Primary - GRADING'!$CP:$CP,0),21)</f>
        <v>#N/A</v>
      </c>
      <c r="Y35" s="153" t="str">
        <f t="array" ref="Y35">INDEX('Primary - GRADING'!$A$1:$CP997,MATCH($A35,'Primary - GRADING'!$CP:$CP,0),22)</f>
        <v>#N/A</v>
      </c>
      <c r="Z35" s="165" t="str">
        <f t="array" ref="Z35">INDEX('Primary - GRADING'!$A$1:$CP997,MATCH($A35,'Primary - GRADING'!$CP:$CP,0),23)</f>
        <v>#N/A</v>
      </c>
      <c r="AA35" s="153" t="str">
        <f t="array" ref="AA35">INDEX('Primary - GRADING'!$A$1:$CP997,MATCH($A35,'Primary - GRADING'!$CP:$CP,0),24)</f>
        <v>#N/A</v>
      </c>
      <c r="AB35" s="153" t="str">
        <f t="array" ref="AB35">INDEX('Primary - GRADING'!$A$1:$CP997,MATCH($A35,'Primary - GRADING'!$CP:$CP,0),25)</f>
        <v>#N/A</v>
      </c>
      <c r="AC35" s="153" t="str">
        <f t="array" ref="AC35">INDEX('Primary - GRADING'!$A$1:$CP997,MATCH($A35,'Primary - GRADING'!$CP:$CP,0),46)</f>
        <v>#N/A</v>
      </c>
      <c r="AG35" s="153" t="str">
        <f t="shared" si="7"/>
        <v>#N/A</v>
      </c>
      <c r="AI35" s="153" t="str">
        <f>VLOOKUP(AH35,'Primary - GRADING'!$A$4:$C997,2,)</f>
        <v>#N/A</v>
      </c>
      <c r="AJ35" s="153" t="str">
        <f>VLOOKUP(AH35,'Primary - GRADING'!$A$4:$C997,3,)</f>
        <v>#N/A</v>
      </c>
      <c r="AK35" s="153" t="str">
        <f>VLOOKUP(AH35,'Primary - GRADING'!$A$4:$BG997,59,)</f>
        <v>#N/A</v>
      </c>
      <c r="AL35" s="153" t="str">
        <f>IFS(AK35="NMA",VLOOKUP(AH35,'Primary - GRADING'!$A$4:$BG997,51,),AK35="DIRECT",VLOOKUP(AH35,'Primary - GRADING'!$A$4:$BG997,8,),AK35="INDIRECT",VLOOKUP(AH35,'Primary - GRADING'!$A$4:$BG997,23,))</f>
        <v>#N/A</v>
      </c>
      <c r="AM35" s="153" t="str">
        <f>IFS(AK35="NMA",VLOOKUP(AH35,'Primary - GRADING'!$A$4:$BG997,52,),AK35="DIRECT",VLOOKUP(AH35,'Primary - GRADING'!$A$4:$BG997,9,),AK35="INDIRECT",VLOOKUP(AH35,'Primary - GRADING'!$A$4:$BG997,24,))</f>
        <v>#N/A</v>
      </c>
      <c r="AN35" s="153" t="str">
        <f>IFS(AK35="NMA",VLOOKUP(AH35,'Primary - GRADING'!$A$4:$BG997,53,),AK35="DIRECT",VLOOKUP(AH35,'Primary - GRADING'!$A$4:$BG997,10,),AK35="INDIRECT",VLOOKUP(AH35,'Primary - GRADING'!$A$4:$BG997,25,))</f>
        <v>#N/A</v>
      </c>
      <c r="AO35" s="153" t="str">
        <f t="shared" si="8"/>
        <v>#N/A</v>
      </c>
      <c r="AT35" s="153" t="str">
        <f t="shared" si="9"/>
        <v>#N/A</v>
      </c>
      <c r="AV35" s="153" t="str">
        <f>VLOOKUP(AU35,'Primary - GRADING'!$A$4:$C997,2,)</f>
        <v>#N/A</v>
      </c>
      <c r="AW35" s="153" t="str">
        <f>VLOOKUP(AU35,'Primary - GRADING'!$A$4:$C997,3,)</f>
        <v>#N/A</v>
      </c>
      <c r="AX35" s="153" t="str">
        <f>VLOOKUP(AU35,'Primary - GRADING'!$A$4:$BG997,59,)</f>
        <v>#N/A</v>
      </c>
      <c r="AY35" s="153" t="str">
        <f>IFS(AX35="NMA",VLOOKUP(AU35,'Primary - GRADING'!$A$4:$BG997,51,),AX35="DIRECT",VLOOKUP(AU35,'Primary - GRADING'!$A$4:$BG997,8,),AX35="INDIRECT",VLOOKUP(AU35,'Primary - GRADING'!$A$4:$BG997,23,))</f>
        <v>#N/A</v>
      </c>
      <c r="AZ35" s="153" t="str">
        <f>IFS(AX35="NMA",VLOOKUP(AU35,'Primary - GRADING'!$A$4:$BG997,52,),AX35="DIRECT",VLOOKUP(AU35,'Primary - GRADING'!$A$4:$BG997,9,),AX35="INDIRECT",VLOOKUP(AU35,'Primary - GRADING'!$A$4:$BG997,24,))</f>
        <v>#N/A</v>
      </c>
      <c r="BA35" s="153" t="str">
        <f>IFS(AX35="NMA",VLOOKUP(AU35,'Primary - GRADING'!$A$4:$BG997,53,),AX35="DIRECT",VLOOKUP(AU35,'Primary - GRADING'!$A$4:$BG997,10,),AX35="INDIRECT",VLOOKUP(AU35,'Primary - GRADING'!$A$4:$BG997,25,))</f>
        <v>#N/A</v>
      </c>
      <c r="BB35" s="153" t="str">
        <f t="shared" si="10"/>
        <v>#N/A</v>
      </c>
      <c r="BE35" s="153" t="str">
        <f t="shared" si="11"/>
        <v/>
      </c>
      <c r="BG35" s="153" t="str">
        <f t="shared" si="12"/>
        <v>#N/A</v>
      </c>
      <c r="BI35" s="153" t="str">
        <f t="shared" si="13"/>
        <v>#N/A</v>
      </c>
      <c r="BK35" s="153" t="str">
        <f t="shared" si="14"/>
        <v>#N/A</v>
      </c>
      <c r="BM35" s="153" t="str">
        <f t="shared" si="15"/>
        <v>#N/A</v>
      </c>
    </row>
    <row r="36" ht="15.75" customHeight="1">
      <c r="A36" s="64"/>
      <c r="B36" s="160" t="str">
        <f t="shared" si="1"/>
        <v>#N/A</v>
      </c>
      <c r="C36" s="160" t="str">
        <f t="shared" si="2"/>
        <v>#N/A</v>
      </c>
      <c r="D36" s="160" t="str">
        <f t="shared" si="3"/>
        <v>#N/A</v>
      </c>
      <c r="E36" s="161" t="str">
        <f t="shared" si="4"/>
        <v>#N/A</v>
      </c>
      <c r="F36" s="153" t="str">
        <f t="shared" si="17"/>
        <v>#N/A</v>
      </c>
      <c r="G36" s="153" t="str">
        <f t="shared" si="6"/>
        <v>#N/A</v>
      </c>
      <c r="H36" s="156" t="str">
        <f t="array" ref="H36">INDEX('Primary - GRADING'!$A$1:$BG997,MATCH($A36,'Primary - GRADING'!$B:$B,0),59)</f>
        <v>#N/A</v>
      </c>
      <c r="I36" s="153" t="str">
        <f t="array" ref="I36">INDEX('Primary - GRADING'!$A$1:$CP997,MATCH($A36,'Primary - GRADING'!$CP:$CP,0),48)</f>
        <v>#N/A</v>
      </c>
      <c r="J36" s="153" t="str">
        <f t="array" ref="J36">INDEX('Primary - GRADING'!$A$1:$CP997,MATCH($A36,'Primary - GRADING'!$CP:$CP,0),49)</f>
        <v>#N/A</v>
      </c>
      <c r="K36" s="153" t="str">
        <f t="array" ref="K36">INDEX('Primary - GRADING'!$A$1:$CP997,MATCH($A36,'Primary - GRADING'!$CP:$CP,0),50)</f>
        <v>#N/A</v>
      </c>
      <c r="L36" s="153" t="str">
        <f t="array" ref="L36">INDEX('Primary - GRADING'!$A$1:$CP997,MATCH($A36,'Primary - GRADING'!$CP:$CP,0),51)</f>
        <v>#N/A</v>
      </c>
      <c r="M36" s="153" t="str">
        <f t="array" ref="M36">INDEX('Primary - GRADING'!$A$1:$CP997,MATCH($A36,'Primary - GRADING'!$CP:$CP,0),52)</f>
        <v>#N/A</v>
      </c>
      <c r="N36" s="153" t="str">
        <f t="array" ref="N36">INDEX('Primary - GRADING'!$A$1:$CP997,MATCH($A36,'Primary - GRADING'!$CP:$CP,0),53)</f>
        <v>#N/A</v>
      </c>
      <c r="O36" s="153" t="str">
        <f t="array" ref="O36">INDEX('Primary - GRADING'!$A$1:$CP997,MATCH($A36,'Primary - GRADING'!$CP:$CP,0),58)</f>
        <v>#N/A</v>
      </c>
      <c r="P36" s="153" t="str">
        <f t="array" ref="P36">INDEX('Primary - GRADING'!$A$1:$CP997,MATCH($A36,'Primary - GRADING'!$CP:$CP,0),5)</f>
        <v>#N/A</v>
      </c>
      <c r="Q36" s="153" t="str">
        <f t="array" ref="Q36">INDEX('Primary - GRADING'!$A$1:$CP997,MATCH($A36,'Primary - GRADING'!$CP:$CP,0),6)</f>
        <v>#N/A</v>
      </c>
      <c r="R36" s="153" t="str">
        <f t="array" ref="R36">INDEX('Primary - GRADING'!$A$1:$CP997,MATCH($A36,'Primary - GRADING'!$CP:$CP,0),7)</f>
        <v>#N/A</v>
      </c>
      <c r="S36" s="153" t="str">
        <f t="array" ref="S36">INDEX('Primary - GRADING'!$A$1:$CP997,MATCH($A36,'Primary - GRADING'!$CP:$CP,0),8)</f>
        <v>#N/A</v>
      </c>
      <c r="T36" s="153" t="str">
        <f t="array" ref="T36">INDEX('Primary - GRADING'!$A$1:$CP997,MATCH($A36,'Primary - GRADING'!$CP:$CP,0),9)</f>
        <v>#N/A</v>
      </c>
      <c r="U36" s="153" t="str">
        <f t="array" ref="U36">INDEX('Primary - GRADING'!$A$1:$CP997,MATCH($A36,'Primary - GRADING'!$CP:$CP,0),10)</f>
        <v>#N/A</v>
      </c>
      <c r="V36" s="153" t="str">
        <f t="array" ref="V36">INDEX('Primary - GRADING'!$A$1:$CP997,MATCH($A36,'Primary - GRADING'!$CP:$CP,0),18)</f>
        <v>#N/A</v>
      </c>
      <c r="W36" s="153" t="str">
        <f t="array" ref="W36">INDEX('Primary - GRADING'!$A$1:$CP997,MATCH($A36,'Primary - GRADING'!$CP:$CP,0),20)</f>
        <v>#N/A</v>
      </c>
      <c r="X36" s="153" t="str">
        <f t="array" ref="X36">INDEX('Primary - GRADING'!$A$1:$CP997,MATCH($A36,'Primary - GRADING'!$CP:$CP,0),21)</f>
        <v>#N/A</v>
      </c>
      <c r="Y36" s="153" t="str">
        <f t="array" ref="Y36">INDEX('Primary - GRADING'!$A$1:$CP997,MATCH($A36,'Primary - GRADING'!$CP:$CP,0),22)</f>
        <v>#N/A</v>
      </c>
      <c r="Z36" s="165" t="str">
        <f t="array" ref="Z36">INDEX('Primary - GRADING'!$A$1:$CP997,MATCH($A36,'Primary - GRADING'!$CP:$CP,0),23)</f>
        <v>#N/A</v>
      </c>
      <c r="AA36" s="153" t="str">
        <f t="array" ref="AA36">INDEX('Primary - GRADING'!$A$1:$CP997,MATCH($A36,'Primary - GRADING'!$CP:$CP,0),24)</f>
        <v>#N/A</v>
      </c>
      <c r="AB36" s="153" t="str">
        <f t="array" ref="AB36">INDEX('Primary - GRADING'!$A$1:$CP997,MATCH($A36,'Primary - GRADING'!$CP:$CP,0),25)</f>
        <v>#N/A</v>
      </c>
      <c r="AC36" s="153" t="str">
        <f t="array" ref="AC36">INDEX('Primary - GRADING'!$A$1:$CP997,MATCH($A36,'Primary - GRADING'!$CP:$CP,0),46)</f>
        <v>#N/A</v>
      </c>
      <c r="AG36" s="153" t="str">
        <f t="shared" si="7"/>
        <v>#N/A</v>
      </c>
      <c r="AI36" s="153" t="str">
        <f>VLOOKUP(AH36,'Primary - GRADING'!$A$4:$C997,2,)</f>
        <v>#N/A</v>
      </c>
      <c r="AJ36" s="153" t="str">
        <f>VLOOKUP(AH36,'Primary - GRADING'!$A$4:$C997,3,)</f>
        <v>#N/A</v>
      </c>
      <c r="AK36" s="153" t="str">
        <f>VLOOKUP(AH36,'Primary - GRADING'!$A$4:$BG997,59,)</f>
        <v>#N/A</v>
      </c>
      <c r="AL36" s="153" t="str">
        <f>IFS(AK36="NMA",VLOOKUP(AH36,'Primary - GRADING'!$A$4:$BG997,51,),AK36="DIRECT",VLOOKUP(AH36,'Primary - GRADING'!$A$4:$BG997,8,),AK36="INDIRECT",VLOOKUP(AH36,'Primary - GRADING'!$A$4:$BG997,23,))</f>
        <v>#N/A</v>
      </c>
      <c r="AM36" s="153" t="str">
        <f>IFS(AK36="NMA",VLOOKUP(AH36,'Primary - GRADING'!$A$4:$BG997,52,),AK36="DIRECT",VLOOKUP(AH36,'Primary - GRADING'!$A$4:$BG997,9,),AK36="INDIRECT",VLOOKUP(AH36,'Primary - GRADING'!$A$4:$BG997,24,))</f>
        <v>#N/A</v>
      </c>
      <c r="AN36" s="153" t="str">
        <f>IFS(AK36="NMA",VLOOKUP(AH36,'Primary - GRADING'!$A$4:$BG997,53,),AK36="DIRECT",VLOOKUP(AH36,'Primary - GRADING'!$A$4:$BG997,10,),AK36="INDIRECT",VLOOKUP(AH36,'Primary - GRADING'!$A$4:$BG997,25,))</f>
        <v>#N/A</v>
      </c>
      <c r="AO36" s="153" t="str">
        <f t="shared" si="8"/>
        <v>#N/A</v>
      </c>
      <c r="AT36" s="153" t="str">
        <f t="shared" si="9"/>
        <v>#N/A</v>
      </c>
      <c r="AV36" s="153" t="str">
        <f>VLOOKUP(AU36,'Primary - GRADING'!$A$4:$C997,2,)</f>
        <v>#N/A</v>
      </c>
      <c r="AW36" s="153" t="str">
        <f>VLOOKUP(AU36,'Primary - GRADING'!$A$4:$C997,3,)</f>
        <v>#N/A</v>
      </c>
      <c r="AX36" s="153" t="str">
        <f>VLOOKUP(AU36,'Primary - GRADING'!$A$4:$BG997,59,)</f>
        <v>#N/A</v>
      </c>
      <c r="AY36" s="153" t="str">
        <f>IFS(AX36="NMA",VLOOKUP(AU36,'Primary - GRADING'!$A$4:$BG997,51,),AX36="DIRECT",VLOOKUP(AU36,'Primary - GRADING'!$A$4:$BG997,8,),AX36="INDIRECT",VLOOKUP(AU36,'Primary - GRADING'!$A$4:$BG997,23,))</f>
        <v>#N/A</v>
      </c>
      <c r="AZ36" s="153" t="str">
        <f>IFS(AX36="NMA",VLOOKUP(AU36,'Primary - GRADING'!$A$4:$BG997,52,),AX36="DIRECT",VLOOKUP(AU36,'Primary - GRADING'!$A$4:$BG997,9,),AX36="INDIRECT",VLOOKUP(AU36,'Primary - GRADING'!$A$4:$BG997,24,))</f>
        <v>#N/A</v>
      </c>
      <c r="BA36" s="153" t="str">
        <f>IFS(AX36="NMA",VLOOKUP(AU36,'Primary - GRADING'!$A$4:$BG997,53,),AX36="DIRECT",VLOOKUP(AU36,'Primary - GRADING'!$A$4:$BG997,10,),AX36="INDIRECT",VLOOKUP(AU36,'Primary - GRADING'!$A$4:$BG997,25,))</f>
        <v>#N/A</v>
      </c>
      <c r="BB36" s="153" t="str">
        <f t="shared" si="10"/>
        <v>#N/A</v>
      </c>
      <c r="BE36" s="153" t="str">
        <f t="shared" si="11"/>
        <v/>
      </c>
      <c r="BG36" s="153" t="str">
        <f t="shared" si="12"/>
        <v>#N/A</v>
      </c>
      <c r="BI36" s="153" t="str">
        <f t="shared" si="13"/>
        <v>#N/A</v>
      </c>
      <c r="BK36" s="153" t="str">
        <f t="shared" si="14"/>
        <v>#N/A</v>
      </c>
      <c r="BM36" s="153" t="str">
        <f t="shared" si="15"/>
        <v>#N/A</v>
      </c>
    </row>
    <row r="37" ht="15.75" customHeight="1">
      <c r="A37" s="64"/>
      <c r="B37" s="160" t="str">
        <f t="shared" si="1"/>
        <v>#N/A</v>
      </c>
      <c r="C37" s="160" t="str">
        <f t="shared" si="2"/>
        <v>#N/A</v>
      </c>
      <c r="D37" s="160" t="str">
        <f t="shared" si="3"/>
        <v>#N/A</v>
      </c>
      <c r="E37" s="161" t="str">
        <f t="shared" si="4"/>
        <v>#N/A</v>
      </c>
      <c r="F37" s="153" t="str">
        <f t="shared" si="17"/>
        <v>#N/A</v>
      </c>
      <c r="G37" s="153" t="str">
        <f t="shared" si="6"/>
        <v>#N/A</v>
      </c>
      <c r="H37" s="156" t="str">
        <f t="array" ref="H37">INDEX('Primary - GRADING'!$A$1:$BG997,MATCH($A37,'Primary - GRADING'!$B:$B,0),59)</f>
        <v>#N/A</v>
      </c>
      <c r="I37" s="153" t="str">
        <f t="array" ref="I37">INDEX('Primary - GRADING'!$A$1:$CP997,MATCH($A37,'Primary - GRADING'!$CP:$CP,0),48)</f>
        <v>#N/A</v>
      </c>
      <c r="J37" s="153" t="str">
        <f t="array" ref="J37">INDEX('Primary - GRADING'!$A$1:$CP997,MATCH($A37,'Primary - GRADING'!$CP:$CP,0),49)</f>
        <v>#N/A</v>
      </c>
      <c r="K37" s="153" t="str">
        <f t="array" ref="K37">INDEX('Primary - GRADING'!$A$1:$CP997,MATCH($A37,'Primary - GRADING'!$CP:$CP,0),50)</f>
        <v>#N/A</v>
      </c>
      <c r="L37" s="153" t="str">
        <f t="array" ref="L37">INDEX('Primary - GRADING'!$A$1:$CP997,MATCH($A37,'Primary - GRADING'!$CP:$CP,0),51)</f>
        <v>#N/A</v>
      </c>
      <c r="M37" s="153" t="str">
        <f t="array" ref="M37">INDEX('Primary - GRADING'!$A$1:$CP997,MATCH($A37,'Primary - GRADING'!$CP:$CP,0),52)</f>
        <v>#N/A</v>
      </c>
      <c r="N37" s="153" t="str">
        <f t="array" ref="N37">INDEX('Primary - GRADING'!$A$1:$CP997,MATCH($A37,'Primary - GRADING'!$CP:$CP,0),53)</f>
        <v>#N/A</v>
      </c>
      <c r="O37" s="153" t="str">
        <f t="array" ref="O37">INDEX('Primary - GRADING'!$A$1:$CP997,MATCH($A37,'Primary - GRADING'!$CP:$CP,0),58)</f>
        <v>#N/A</v>
      </c>
      <c r="P37" s="153" t="str">
        <f t="array" ref="P37">INDEX('Primary - GRADING'!$A$1:$CP997,MATCH($A37,'Primary - GRADING'!$CP:$CP,0),5)</f>
        <v>#N/A</v>
      </c>
      <c r="Q37" s="153" t="str">
        <f t="array" ref="Q37">INDEX('Primary - GRADING'!$A$1:$CP997,MATCH($A37,'Primary - GRADING'!$CP:$CP,0),6)</f>
        <v>#N/A</v>
      </c>
      <c r="R37" s="153" t="str">
        <f t="array" ref="R37">INDEX('Primary - GRADING'!$A$1:$CP997,MATCH($A37,'Primary - GRADING'!$CP:$CP,0),7)</f>
        <v>#N/A</v>
      </c>
      <c r="S37" s="153" t="str">
        <f t="array" ref="S37">INDEX('Primary - GRADING'!$A$1:$CP997,MATCH($A37,'Primary - GRADING'!$CP:$CP,0),8)</f>
        <v>#N/A</v>
      </c>
      <c r="T37" s="153" t="str">
        <f t="array" ref="T37">INDEX('Primary - GRADING'!$A$1:$CP997,MATCH($A37,'Primary - GRADING'!$CP:$CP,0),9)</f>
        <v>#N/A</v>
      </c>
      <c r="U37" s="153" t="str">
        <f t="array" ref="U37">INDEX('Primary - GRADING'!$A$1:$CP997,MATCH($A37,'Primary - GRADING'!$CP:$CP,0),10)</f>
        <v>#N/A</v>
      </c>
      <c r="V37" s="153" t="str">
        <f t="array" ref="V37">INDEX('Primary - GRADING'!$A$1:$CP997,MATCH($A37,'Primary - GRADING'!$CP:$CP,0),18)</f>
        <v>#N/A</v>
      </c>
      <c r="W37" s="153" t="str">
        <f t="array" ref="W37">INDEX('Primary - GRADING'!$A$1:$CP997,MATCH($A37,'Primary - GRADING'!$CP:$CP,0),20)</f>
        <v>#N/A</v>
      </c>
      <c r="X37" s="153" t="str">
        <f t="array" ref="X37">INDEX('Primary - GRADING'!$A$1:$CP997,MATCH($A37,'Primary - GRADING'!$CP:$CP,0),21)</f>
        <v>#N/A</v>
      </c>
      <c r="Y37" s="153" t="str">
        <f t="array" ref="Y37">INDEX('Primary - GRADING'!$A$1:$CP997,MATCH($A37,'Primary - GRADING'!$CP:$CP,0),22)</f>
        <v>#N/A</v>
      </c>
      <c r="Z37" s="165" t="str">
        <f t="array" ref="Z37">INDEX('Primary - GRADING'!$A$1:$CP997,MATCH($A37,'Primary - GRADING'!$CP:$CP,0),23)</f>
        <v>#N/A</v>
      </c>
      <c r="AA37" s="153" t="str">
        <f t="array" ref="AA37">INDEX('Primary - GRADING'!$A$1:$CP997,MATCH($A37,'Primary - GRADING'!$CP:$CP,0),24)</f>
        <v>#N/A</v>
      </c>
      <c r="AB37" s="153" t="str">
        <f t="array" ref="AB37">INDEX('Primary - GRADING'!$A$1:$CP997,MATCH($A37,'Primary - GRADING'!$CP:$CP,0),25)</f>
        <v>#N/A</v>
      </c>
      <c r="AC37" s="153" t="str">
        <f t="array" ref="AC37">INDEX('Primary - GRADING'!$A$1:$CP997,MATCH($A37,'Primary - GRADING'!$CP:$CP,0),46)</f>
        <v>#N/A</v>
      </c>
      <c r="AG37" s="153" t="str">
        <f t="shared" si="7"/>
        <v>#N/A</v>
      </c>
      <c r="AI37" s="153" t="str">
        <f>VLOOKUP(AH37,'Primary - GRADING'!$A$4:$C997,2,)</f>
        <v>#N/A</v>
      </c>
      <c r="AJ37" s="153" t="str">
        <f>VLOOKUP(AH37,'Primary - GRADING'!$A$4:$C997,3,)</f>
        <v>#N/A</v>
      </c>
      <c r="AK37" s="153" t="str">
        <f>VLOOKUP(AH37,'Primary - GRADING'!$A$4:$BG997,59,)</f>
        <v>#N/A</v>
      </c>
      <c r="AL37" s="153" t="str">
        <f>IFS(AK37="NMA",VLOOKUP(AH37,'Primary - GRADING'!$A$4:$BG997,51,),AK37="DIRECT",VLOOKUP(AH37,'Primary - GRADING'!$A$4:$BG997,8,),AK37="INDIRECT",VLOOKUP(AH37,'Primary - GRADING'!$A$4:$BG997,23,))</f>
        <v>#N/A</v>
      </c>
      <c r="AM37" s="153" t="str">
        <f>IFS(AK37="NMA",VLOOKUP(AH37,'Primary - GRADING'!$A$4:$BG997,52,),AK37="DIRECT",VLOOKUP(AH37,'Primary - GRADING'!$A$4:$BG997,9,),AK37="INDIRECT",VLOOKUP(AH37,'Primary - GRADING'!$A$4:$BG997,24,))</f>
        <v>#N/A</v>
      </c>
      <c r="AN37" s="153" t="str">
        <f>IFS(AK37="NMA",VLOOKUP(AH37,'Primary - GRADING'!$A$4:$BG997,53,),AK37="DIRECT",VLOOKUP(AH37,'Primary - GRADING'!$A$4:$BG997,10,),AK37="INDIRECT",VLOOKUP(AH37,'Primary - GRADING'!$A$4:$BG997,25,))</f>
        <v>#N/A</v>
      </c>
      <c r="AO37" s="153" t="str">
        <f t="shared" si="8"/>
        <v>#N/A</v>
      </c>
      <c r="AT37" s="153" t="str">
        <f t="shared" si="9"/>
        <v>#N/A</v>
      </c>
      <c r="AV37" s="153" t="str">
        <f>VLOOKUP(AU37,'Primary - GRADING'!$A$4:$C997,2,)</f>
        <v>#N/A</v>
      </c>
      <c r="AW37" s="153" t="str">
        <f>VLOOKUP(AU37,'Primary - GRADING'!$A$4:$C997,3,)</f>
        <v>#N/A</v>
      </c>
      <c r="AX37" s="153" t="str">
        <f>VLOOKUP(AU37,'Primary - GRADING'!$A$4:$BG997,59,)</f>
        <v>#N/A</v>
      </c>
      <c r="AY37" s="153" t="str">
        <f>IFS(AX37="NMA",VLOOKUP(AU37,'Primary - GRADING'!$A$4:$BG997,51,),AX37="DIRECT",VLOOKUP(AU37,'Primary - GRADING'!$A$4:$BG997,8,),AX37="INDIRECT",VLOOKUP(AU37,'Primary - GRADING'!$A$4:$BG997,23,))</f>
        <v>#N/A</v>
      </c>
      <c r="AZ37" s="153" t="str">
        <f>IFS(AX37="NMA",VLOOKUP(AU37,'Primary - GRADING'!$A$4:$BG997,52,),AX37="DIRECT",VLOOKUP(AU37,'Primary - GRADING'!$A$4:$BG997,9,),AX37="INDIRECT",VLOOKUP(AU37,'Primary - GRADING'!$A$4:$BG997,24,))</f>
        <v>#N/A</v>
      </c>
      <c r="BA37" s="153" t="str">
        <f>IFS(AX37="NMA",VLOOKUP(AU37,'Primary - GRADING'!$A$4:$BG997,53,),AX37="DIRECT",VLOOKUP(AU37,'Primary - GRADING'!$A$4:$BG997,10,),AX37="INDIRECT",VLOOKUP(AU37,'Primary - GRADING'!$A$4:$BG997,25,))</f>
        <v>#N/A</v>
      </c>
      <c r="BB37" s="153" t="str">
        <f t="shared" si="10"/>
        <v>#N/A</v>
      </c>
      <c r="BE37" s="153" t="str">
        <f t="shared" si="11"/>
        <v/>
      </c>
      <c r="BG37" s="153" t="str">
        <f t="shared" si="12"/>
        <v>#N/A</v>
      </c>
      <c r="BI37" s="153" t="str">
        <f t="shared" si="13"/>
        <v>#N/A</v>
      </c>
      <c r="BK37" s="153" t="str">
        <f t="shared" si="14"/>
        <v>#N/A</v>
      </c>
      <c r="BM37" s="153" t="str">
        <f t="shared" si="15"/>
        <v>#N/A</v>
      </c>
    </row>
    <row r="38" ht="15.75" customHeight="1">
      <c r="A38" s="64"/>
      <c r="B38" s="160" t="str">
        <f t="shared" si="1"/>
        <v>#N/A</v>
      </c>
      <c r="C38" s="160" t="str">
        <f t="shared" si="2"/>
        <v>#N/A</v>
      </c>
      <c r="D38" s="160" t="str">
        <f t="shared" si="3"/>
        <v>#N/A</v>
      </c>
      <c r="E38" s="161" t="str">
        <f t="shared" si="4"/>
        <v>#N/A</v>
      </c>
      <c r="F38" s="153" t="str">
        <f t="shared" si="17"/>
        <v>#N/A</v>
      </c>
      <c r="G38" s="153" t="str">
        <f t="shared" si="6"/>
        <v>#N/A</v>
      </c>
      <c r="H38" s="156" t="str">
        <f t="array" ref="H38">INDEX('Primary - GRADING'!$A$1:$BG997,MATCH($A38,'Primary - GRADING'!$B:$B,0),59)</f>
        <v>#N/A</v>
      </c>
      <c r="I38" s="153" t="str">
        <f t="array" ref="I38">INDEX('Primary - GRADING'!$A$1:$CP997,MATCH($A38,'Primary - GRADING'!$CP:$CP,0),48)</f>
        <v>#N/A</v>
      </c>
      <c r="J38" s="153" t="str">
        <f t="array" ref="J38">INDEX('Primary - GRADING'!$A$1:$CP997,MATCH($A38,'Primary - GRADING'!$CP:$CP,0),49)</f>
        <v>#N/A</v>
      </c>
      <c r="K38" s="153" t="str">
        <f t="array" ref="K38">INDEX('Primary - GRADING'!$A$1:$CP997,MATCH($A38,'Primary - GRADING'!$CP:$CP,0),50)</f>
        <v>#N/A</v>
      </c>
      <c r="L38" s="153" t="str">
        <f t="array" ref="L38">INDEX('Primary - GRADING'!$A$1:$CP997,MATCH($A38,'Primary - GRADING'!$CP:$CP,0),51)</f>
        <v>#N/A</v>
      </c>
      <c r="M38" s="153" t="str">
        <f t="array" ref="M38">INDEX('Primary - GRADING'!$A$1:$CP997,MATCH($A38,'Primary - GRADING'!$CP:$CP,0),52)</f>
        <v>#N/A</v>
      </c>
      <c r="N38" s="153" t="str">
        <f t="array" ref="N38">INDEX('Primary - GRADING'!$A$1:$CP997,MATCH($A38,'Primary - GRADING'!$CP:$CP,0),53)</f>
        <v>#N/A</v>
      </c>
      <c r="O38" s="153" t="str">
        <f t="array" ref="O38">INDEX('Primary - GRADING'!$A$1:$CP997,MATCH($A38,'Primary - GRADING'!$CP:$CP,0),58)</f>
        <v>#N/A</v>
      </c>
      <c r="P38" s="153" t="str">
        <f t="array" ref="P38">INDEX('Primary - GRADING'!$A$1:$CP997,MATCH($A38,'Primary - GRADING'!$CP:$CP,0),5)</f>
        <v>#N/A</v>
      </c>
      <c r="Q38" s="153" t="str">
        <f t="array" ref="Q38">INDEX('Primary - GRADING'!$A$1:$CP997,MATCH($A38,'Primary - GRADING'!$CP:$CP,0),6)</f>
        <v>#N/A</v>
      </c>
      <c r="R38" s="153" t="str">
        <f t="array" ref="R38">INDEX('Primary - GRADING'!$A$1:$CP997,MATCH($A38,'Primary - GRADING'!$CP:$CP,0),7)</f>
        <v>#N/A</v>
      </c>
      <c r="S38" s="153" t="str">
        <f t="array" ref="S38">INDEX('Primary - GRADING'!$A$1:$CP997,MATCH($A38,'Primary - GRADING'!$CP:$CP,0),8)</f>
        <v>#N/A</v>
      </c>
      <c r="T38" s="153" t="str">
        <f t="array" ref="T38">INDEX('Primary - GRADING'!$A$1:$CP997,MATCH($A38,'Primary - GRADING'!$CP:$CP,0),9)</f>
        <v>#N/A</v>
      </c>
      <c r="U38" s="153" t="str">
        <f t="array" ref="U38">INDEX('Primary - GRADING'!$A$1:$CP997,MATCH($A38,'Primary - GRADING'!$CP:$CP,0),10)</f>
        <v>#N/A</v>
      </c>
      <c r="V38" s="153" t="str">
        <f t="array" ref="V38">INDEX('Primary - GRADING'!$A$1:$CP997,MATCH($A38,'Primary - GRADING'!$CP:$CP,0),18)</f>
        <v>#N/A</v>
      </c>
      <c r="W38" s="153" t="str">
        <f t="array" ref="W38">INDEX('Primary - GRADING'!$A$1:$CP997,MATCH($A38,'Primary - GRADING'!$CP:$CP,0),20)</f>
        <v>#N/A</v>
      </c>
      <c r="X38" s="153" t="str">
        <f t="array" ref="X38">INDEX('Primary - GRADING'!$A$1:$CP997,MATCH($A38,'Primary - GRADING'!$CP:$CP,0),21)</f>
        <v>#N/A</v>
      </c>
      <c r="Y38" s="153" t="str">
        <f t="array" ref="Y38">INDEX('Primary - GRADING'!$A$1:$CP997,MATCH($A38,'Primary - GRADING'!$CP:$CP,0),22)</f>
        <v>#N/A</v>
      </c>
      <c r="Z38" s="165" t="str">
        <f t="array" ref="Z38">INDEX('Primary - GRADING'!$A$1:$CP997,MATCH($A38,'Primary - GRADING'!$CP:$CP,0),23)</f>
        <v>#N/A</v>
      </c>
      <c r="AA38" s="153" t="str">
        <f t="array" ref="AA38">INDEX('Primary - GRADING'!$A$1:$CP997,MATCH($A38,'Primary - GRADING'!$CP:$CP,0),24)</f>
        <v>#N/A</v>
      </c>
      <c r="AB38" s="153" t="str">
        <f t="array" ref="AB38">INDEX('Primary - GRADING'!$A$1:$CP997,MATCH($A38,'Primary - GRADING'!$CP:$CP,0),25)</f>
        <v>#N/A</v>
      </c>
      <c r="AC38" s="153" t="str">
        <f t="array" ref="AC38">INDEX('Primary - GRADING'!$A$1:$CP997,MATCH($A38,'Primary - GRADING'!$CP:$CP,0),46)</f>
        <v>#N/A</v>
      </c>
      <c r="AG38" s="153" t="str">
        <f t="shared" si="7"/>
        <v>#N/A</v>
      </c>
      <c r="AI38" s="153" t="str">
        <f>VLOOKUP(AH38,'Primary - GRADING'!$A$4:$C997,2,)</f>
        <v>#N/A</v>
      </c>
      <c r="AJ38" s="153" t="str">
        <f>VLOOKUP(AH38,'Primary - GRADING'!$A$4:$C997,3,)</f>
        <v>#N/A</v>
      </c>
      <c r="AK38" s="153" t="str">
        <f>VLOOKUP(AH38,'Primary - GRADING'!$A$4:$BG997,59,)</f>
        <v>#N/A</v>
      </c>
      <c r="AL38" s="153" t="str">
        <f>IFS(AK38="NMA",VLOOKUP(AH38,'Primary - GRADING'!$A$4:$BG997,51,),AK38="DIRECT",VLOOKUP(AH38,'Primary - GRADING'!$A$4:$BG997,8,),AK38="INDIRECT",VLOOKUP(AH38,'Primary - GRADING'!$A$4:$BG997,23,))</f>
        <v>#N/A</v>
      </c>
      <c r="AM38" s="153" t="str">
        <f>IFS(AK38="NMA",VLOOKUP(AH38,'Primary - GRADING'!$A$4:$BG997,52,),AK38="DIRECT",VLOOKUP(AH38,'Primary - GRADING'!$A$4:$BG997,9,),AK38="INDIRECT",VLOOKUP(AH38,'Primary - GRADING'!$A$4:$BG997,24,))</f>
        <v>#N/A</v>
      </c>
      <c r="AN38" s="153" t="str">
        <f>IFS(AK38="NMA",VLOOKUP(AH38,'Primary - GRADING'!$A$4:$BG997,53,),AK38="DIRECT",VLOOKUP(AH38,'Primary - GRADING'!$A$4:$BG997,10,),AK38="INDIRECT",VLOOKUP(AH38,'Primary - GRADING'!$A$4:$BG997,25,))</f>
        <v>#N/A</v>
      </c>
      <c r="AO38" s="153" t="str">
        <f t="shared" si="8"/>
        <v>#N/A</v>
      </c>
      <c r="AT38" s="153" t="str">
        <f t="shared" si="9"/>
        <v>#N/A</v>
      </c>
      <c r="AV38" s="153" t="str">
        <f>VLOOKUP(AU38,'Primary - GRADING'!$A$4:$C997,2,)</f>
        <v>#N/A</v>
      </c>
      <c r="AW38" s="153" t="str">
        <f>VLOOKUP(AU38,'Primary - GRADING'!$A$4:$C997,3,)</f>
        <v>#N/A</v>
      </c>
      <c r="AX38" s="153" t="str">
        <f>VLOOKUP(AU38,'Primary - GRADING'!$A$4:$BG997,59,)</f>
        <v>#N/A</v>
      </c>
      <c r="AY38" s="153" t="str">
        <f>IFS(AX38="NMA",VLOOKUP(AU38,'Primary - GRADING'!$A$4:$BG997,51,),AX38="DIRECT",VLOOKUP(AU38,'Primary - GRADING'!$A$4:$BG997,8,),AX38="INDIRECT",VLOOKUP(AU38,'Primary - GRADING'!$A$4:$BG997,23,))</f>
        <v>#N/A</v>
      </c>
      <c r="AZ38" s="153" t="str">
        <f>IFS(AX38="NMA",VLOOKUP(AU38,'Primary - GRADING'!$A$4:$BG997,52,),AX38="DIRECT",VLOOKUP(AU38,'Primary - GRADING'!$A$4:$BG997,9,),AX38="INDIRECT",VLOOKUP(AU38,'Primary - GRADING'!$A$4:$BG997,24,))</f>
        <v>#N/A</v>
      </c>
      <c r="BA38" s="153" t="str">
        <f>IFS(AX38="NMA",VLOOKUP(AU38,'Primary - GRADING'!$A$4:$BG997,53,),AX38="DIRECT",VLOOKUP(AU38,'Primary - GRADING'!$A$4:$BG997,10,),AX38="INDIRECT",VLOOKUP(AU38,'Primary - GRADING'!$A$4:$BG997,25,))</f>
        <v>#N/A</v>
      </c>
      <c r="BB38" s="153" t="str">
        <f t="shared" si="10"/>
        <v>#N/A</v>
      </c>
      <c r="BE38" s="153" t="str">
        <f t="shared" si="11"/>
        <v/>
      </c>
      <c r="BG38" s="153" t="str">
        <f t="shared" si="12"/>
        <v>#N/A</v>
      </c>
      <c r="BI38" s="153" t="str">
        <f t="shared" si="13"/>
        <v>#N/A</v>
      </c>
      <c r="BK38" s="153" t="str">
        <f t="shared" si="14"/>
        <v>#N/A</v>
      </c>
      <c r="BM38" s="153" t="str">
        <f t="shared" si="15"/>
        <v>#N/A</v>
      </c>
    </row>
    <row r="39" ht="15.75" customHeight="1">
      <c r="A39" s="64"/>
      <c r="B39" s="160" t="str">
        <f t="shared" si="1"/>
        <v>#N/A</v>
      </c>
      <c r="C39" s="160" t="str">
        <f t="shared" si="2"/>
        <v>#N/A</v>
      </c>
      <c r="D39" s="160" t="str">
        <f t="shared" si="3"/>
        <v>#N/A</v>
      </c>
      <c r="E39" s="161" t="str">
        <f t="shared" si="4"/>
        <v>#N/A</v>
      </c>
      <c r="F39" s="153" t="str">
        <f t="shared" si="17"/>
        <v>#N/A</v>
      </c>
      <c r="G39" s="153" t="str">
        <f t="shared" si="6"/>
        <v>#N/A</v>
      </c>
      <c r="H39" s="156" t="str">
        <f t="array" ref="H39">INDEX('Primary - GRADING'!$A$1:$BG997,MATCH($A39,'Primary - GRADING'!$B:$B,0),59)</f>
        <v>#N/A</v>
      </c>
      <c r="I39" s="153" t="str">
        <f t="array" ref="I39">INDEX('Primary - GRADING'!$A$1:$CP997,MATCH($A39,'Primary - GRADING'!$CP:$CP,0),48)</f>
        <v>#N/A</v>
      </c>
      <c r="J39" s="153" t="str">
        <f t="array" ref="J39">INDEX('Primary - GRADING'!$A$1:$CP997,MATCH($A39,'Primary - GRADING'!$CP:$CP,0),49)</f>
        <v>#N/A</v>
      </c>
      <c r="K39" s="153" t="str">
        <f t="array" ref="K39">INDEX('Primary - GRADING'!$A$1:$CP997,MATCH($A39,'Primary - GRADING'!$CP:$CP,0),50)</f>
        <v>#N/A</v>
      </c>
      <c r="L39" s="153" t="str">
        <f t="array" ref="L39">INDEX('Primary - GRADING'!$A$1:$CP997,MATCH($A39,'Primary - GRADING'!$CP:$CP,0),51)</f>
        <v>#N/A</v>
      </c>
      <c r="M39" s="153" t="str">
        <f t="array" ref="M39">INDEX('Primary - GRADING'!$A$1:$CP997,MATCH($A39,'Primary - GRADING'!$CP:$CP,0),52)</f>
        <v>#N/A</v>
      </c>
      <c r="N39" s="153" t="str">
        <f t="array" ref="N39">INDEX('Primary - GRADING'!$A$1:$CP997,MATCH($A39,'Primary - GRADING'!$CP:$CP,0),53)</f>
        <v>#N/A</v>
      </c>
      <c r="O39" s="153" t="str">
        <f t="array" ref="O39">INDEX('Primary - GRADING'!$A$1:$CP997,MATCH($A39,'Primary - GRADING'!$CP:$CP,0),58)</f>
        <v>#N/A</v>
      </c>
      <c r="P39" s="153" t="str">
        <f t="array" ref="P39">INDEX('Primary - GRADING'!$A$1:$CP997,MATCH($A39,'Primary - GRADING'!$CP:$CP,0),5)</f>
        <v>#N/A</v>
      </c>
      <c r="Q39" s="153" t="str">
        <f t="array" ref="Q39">INDEX('Primary - GRADING'!$A$1:$CP997,MATCH($A39,'Primary - GRADING'!$CP:$CP,0),6)</f>
        <v>#N/A</v>
      </c>
      <c r="R39" s="153" t="str">
        <f t="array" ref="R39">INDEX('Primary - GRADING'!$A$1:$CP997,MATCH($A39,'Primary - GRADING'!$CP:$CP,0),7)</f>
        <v>#N/A</v>
      </c>
      <c r="S39" s="153" t="str">
        <f t="array" ref="S39">INDEX('Primary - GRADING'!$A$1:$CP997,MATCH($A39,'Primary - GRADING'!$CP:$CP,0),8)</f>
        <v>#N/A</v>
      </c>
      <c r="T39" s="153" t="str">
        <f t="array" ref="T39">INDEX('Primary - GRADING'!$A$1:$CP997,MATCH($A39,'Primary - GRADING'!$CP:$CP,0),9)</f>
        <v>#N/A</v>
      </c>
      <c r="U39" s="153" t="str">
        <f t="array" ref="U39">INDEX('Primary - GRADING'!$A$1:$CP997,MATCH($A39,'Primary - GRADING'!$CP:$CP,0),10)</f>
        <v>#N/A</v>
      </c>
      <c r="V39" s="153" t="str">
        <f t="array" ref="V39">INDEX('Primary - GRADING'!$A$1:$CP997,MATCH($A39,'Primary - GRADING'!$CP:$CP,0),18)</f>
        <v>#N/A</v>
      </c>
      <c r="W39" s="153" t="str">
        <f t="array" ref="W39">INDEX('Primary - GRADING'!$A$1:$CP997,MATCH($A39,'Primary - GRADING'!$CP:$CP,0),20)</f>
        <v>#N/A</v>
      </c>
      <c r="X39" s="153" t="str">
        <f t="array" ref="X39">INDEX('Primary - GRADING'!$A$1:$CP997,MATCH($A39,'Primary - GRADING'!$CP:$CP,0),21)</f>
        <v>#N/A</v>
      </c>
      <c r="Y39" s="153" t="str">
        <f t="array" ref="Y39">INDEX('Primary - GRADING'!$A$1:$CP997,MATCH($A39,'Primary - GRADING'!$CP:$CP,0),22)</f>
        <v>#N/A</v>
      </c>
      <c r="Z39" s="165" t="str">
        <f t="array" ref="Z39">INDEX('Primary - GRADING'!$A$1:$CP997,MATCH($A39,'Primary - GRADING'!$CP:$CP,0),23)</f>
        <v>#N/A</v>
      </c>
      <c r="AA39" s="153" t="str">
        <f t="array" ref="AA39">INDEX('Primary - GRADING'!$A$1:$CP997,MATCH($A39,'Primary - GRADING'!$CP:$CP,0),24)</f>
        <v>#N/A</v>
      </c>
      <c r="AB39" s="153" t="str">
        <f t="array" ref="AB39">INDEX('Primary - GRADING'!$A$1:$CP997,MATCH($A39,'Primary - GRADING'!$CP:$CP,0),25)</f>
        <v>#N/A</v>
      </c>
      <c r="AC39" s="153" t="str">
        <f t="array" ref="AC39">INDEX('Primary - GRADING'!$A$1:$CP997,MATCH($A39,'Primary - GRADING'!$CP:$CP,0),46)</f>
        <v>#N/A</v>
      </c>
      <c r="AG39" s="153" t="str">
        <f t="shared" si="7"/>
        <v>#N/A</v>
      </c>
      <c r="AI39" s="153" t="str">
        <f>VLOOKUP(AH39,'Primary - GRADING'!$A$4:$C997,2,)</f>
        <v>#N/A</v>
      </c>
      <c r="AJ39" s="153" t="str">
        <f>VLOOKUP(AH39,'Primary - GRADING'!$A$4:$C997,3,)</f>
        <v>#N/A</v>
      </c>
      <c r="AK39" s="153" t="str">
        <f>VLOOKUP(AH39,'Primary - GRADING'!$A$4:$BG997,59,)</f>
        <v>#N/A</v>
      </c>
      <c r="AL39" s="153" t="str">
        <f>IFS(AK39="NMA",VLOOKUP(AH39,'Primary - GRADING'!$A$4:$BG997,51,),AK39="DIRECT",VLOOKUP(AH39,'Primary - GRADING'!$A$4:$BG997,8,),AK39="INDIRECT",VLOOKUP(AH39,'Primary - GRADING'!$A$4:$BG997,23,))</f>
        <v>#N/A</v>
      </c>
      <c r="AM39" s="153" t="str">
        <f>IFS(AK39="NMA",VLOOKUP(AH39,'Primary - GRADING'!$A$4:$BG997,52,),AK39="DIRECT",VLOOKUP(AH39,'Primary - GRADING'!$A$4:$BG997,9,),AK39="INDIRECT",VLOOKUP(AH39,'Primary - GRADING'!$A$4:$BG997,24,))</f>
        <v>#N/A</v>
      </c>
      <c r="AN39" s="153" t="str">
        <f>IFS(AK39="NMA",VLOOKUP(AH39,'Primary - GRADING'!$A$4:$BG997,53,),AK39="DIRECT",VLOOKUP(AH39,'Primary - GRADING'!$A$4:$BG997,10,),AK39="INDIRECT",VLOOKUP(AH39,'Primary - GRADING'!$A$4:$BG997,25,))</f>
        <v>#N/A</v>
      </c>
      <c r="AO39" s="153" t="str">
        <f t="shared" si="8"/>
        <v>#N/A</v>
      </c>
      <c r="AT39" s="153" t="str">
        <f t="shared" si="9"/>
        <v>#N/A</v>
      </c>
      <c r="AV39" s="153" t="str">
        <f>VLOOKUP(AU39,'Primary - GRADING'!$A$4:$C997,2,)</f>
        <v>#N/A</v>
      </c>
      <c r="AW39" s="153" t="str">
        <f>VLOOKUP(AU39,'Primary - GRADING'!$A$4:$C997,3,)</f>
        <v>#N/A</v>
      </c>
      <c r="AX39" s="153" t="str">
        <f>VLOOKUP(AU39,'Primary - GRADING'!$A$4:$BG997,59,)</f>
        <v>#N/A</v>
      </c>
      <c r="AY39" s="153" t="str">
        <f>IFS(AX39="NMA",VLOOKUP(AU39,'Primary - GRADING'!$A$4:$BG997,51,),AX39="DIRECT",VLOOKUP(AU39,'Primary - GRADING'!$A$4:$BG997,8,),AX39="INDIRECT",VLOOKUP(AU39,'Primary - GRADING'!$A$4:$BG997,23,))</f>
        <v>#N/A</v>
      </c>
      <c r="AZ39" s="153" t="str">
        <f>IFS(AX39="NMA",VLOOKUP(AU39,'Primary - GRADING'!$A$4:$BG997,52,),AX39="DIRECT",VLOOKUP(AU39,'Primary - GRADING'!$A$4:$BG997,9,),AX39="INDIRECT",VLOOKUP(AU39,'Primary - GRADING'!$A$4:$BG997,24,))</f>
        <v>#N/A</v>
      </c>
      <c r="BA39" s="153" t="str">
        <f>IFS(AX39="NMA",VLOOKUP(AU39,'Primary - GRADING'!$A$4:$BG997,53,),AX39="DIRECT",VLOOKUP(AU39,'Primary - GRADING'!$A$4:$BG997,10,),AX39="INDIRECT",VLOOKUP(AU39,'Primary - GRADING'!$A$4:$BG997,25,))</f>
        <v>#N/A</v>
      </c>
      <c r="BB39" s="153" t="str">
        <f t="shared" si="10"/>
        <v>#N/A</v>
      </c>
      <c r="BE39" s="153" t="str">
        <f t="shared" si="11"/>
        <v/>
      </c>
      <c r="BG39" s="153" t="str">
        <f t="shared" si="12"/>
        <v>#N/A</v>
      </c>
      <c r="BI39" s="153" t="str">
        <f t="shared" si="13"/>
        <v>#N/A</v>
      </c>
      <c r="BK39" s="153" t="str">
        <f t="shared" si="14"/>
        <v>#N/A</v>
      </c>
      <c r="BM39" s="153" t="str">
        <f t="shared" si="15"/>
        <v>#N/A</v>
      </c>
    </row>
    <row r="40" ht="15.75" customHeight="1">
      <c r="A40" s="64"/>
      <c r="B40" s="160" t="str">
        <f t="shared" si="1"/>
        <v>#N/A</v>
      </c>
      <c r="C40" s="160" t="str">
        <f t="shared" si="2"/>
        <v>#N/A</v>
      </c>
      <c r="D40" s="160" t="str">
        <f t="shared" si="3"/>
        <v>#N/A</v>
      </c>
      <c r="E40" s="161" t="str">
        <f t="shared" si="4"/>
        <v>#N/A</v>
      </c>
      <c r="F40" s="153" t="str">
        <f t="shared" si="17"/>
        <v>#N/A</v>
      </c>
      <c r="G40" s="153" t="str">
        <f t="shared" si="6"/>
        <v>#N/A</v>
      </c>
      <c r="H40" s="156" t="str">
        <f t="array" ref="H40">INDEX('Primary - GRADING'!$A$1:$BG997,MATCH($A40,'Primary - GRADING'!$B:$B,0),59)</f>
        <v>#N/A</v>
      </c>
      <c r="I40" s="153" t="str">
        <f t="array" ref="I40">INDEX('Primary - GRADING'!$A$1:$CP997,MATCH($A40,'Primary - GRADING'!$CP:$CP,0),48)</f>
        <v>#N/A</v>
      </c>
      <c r="J40" s="153" t="str">
        <f t="array" ref="J40">INDEX('Primary - GRADING'!$A$1:$CP997,MATCH($A40,'Primary - GRADING'!$CP:$CP,0),49)</f>
        <v>#N/A</v>
      </c>
      <c r="K40" s="153" t="str">
        <f t="array" ref="K40">INDEX('Primary - GRADING'!$A$1:$CP997,MATCH($A40,'Primary - GRADING'!$CP:$CP,0),50)</f>
        <v>#N/A</v>
      </c>
      <c r="L40" s="153" t="str">
        <f t="array" ref="L40">INDEX('Primary - GRADING'!$A$1:$CP997,MATCH($A40,'Primary - GRADING'!$CP:$CP,0),51)</f>
        <v>#N/A</v>
      </c>
      <c r="M40" s="153" t="str">
        <f t="array" ref="M40">INDEX('Primary - GRADING'!$A$1:$CP997,MATCH($A40,'Primary - GRADING'!$CP:$CP,0),52)</f>
        <v>#N/A</v>
      </c>
      <c r="N40" s="153" t="str">
        <f t="array" ref="N40">INDEX('Primary - GRADING'!$A$1:$CP997,MATCH($A40,'Primary - GRADING'!$CP:$CP,0),53)</f>
        <v>#N/A</v>
      </c>
      <c r="O40" s="153" t="str">
        <f t="array" ref="O40">INDEX('Primary - GRADING'!$A$1:$CP997,MATCH($A40,'Primary - GRADING'!$CP:$CP,0),58)</f>
        <v>#N/A</v>
      </c>
      <c r="P40" s="153" t="str">
        <f t="array" ref="P40">INDEX('Primary - GRADING'!$A$1:$CP997,MATCH($A40,'Primary - GRADING'!$CP:$CP,0),5)</f>
        <v>#N/A</v>
      </c>
      <c r="Q40" s="153" t="str">
        <f t="array" ref="Q40">INDEX('Primary - GRADING'!$A$1:$CP997,MATCH($A40,'Primary - GRADING'!$CP:$CP,0),6)</f>
        <v>#N/A</v>
      </c>
      <c r="R40" s="153" t="str">
        <f t="array" ref="R40">INDEX('Primary - GRADING'!$A$1:$CP997,MATCH($A40,'Primary - GRADING'!$CP:$CP,0),7)</f>
        <v>#N/A</v>
      </c>
      <c r="S40" s="153" t="str">
        <f t="array" ref="S40">INDEX('Primary - GRADING'!$A$1:$CP997,MATCH($A40,'Primary - GRADING'!$CP:$CP,0),8)</f>
        <v>#N/A</v>
      </c>
      <c r="T40" s="153" t="str">
        <f t="array" ref="T40">INDEX('Primary - GRADING'!$A$1:$CP997,MATCH($A40,'Primary - GRADING'!$CP:$CP,0),9)</f>
        <v>#N/A</v>
      </c>
      <c r="U40" s="153" t="str">
        <f t="array" ref="U40">INDEX('Primary - GRADING'!$A$1:$CP997,MATCH($A40,'Primary - GRADING'!$CP:$CP,0),10)</f>
        <v>#N/A</v>
      </c>
      <c r="V40" s="153" t="str">
        <f t="array" ref="V40">INDEX('Primary - GRADING'!$A$1:$CP997,MATCH($A40,'Primary - GRADING'!$CP:$CP,0),18)</f>
        <v>#N/A</v>
      </c>
      <c r="W40" s="153" t="str">
        <f t="array" ref="W40">INDEX('Primary - GRADING'!$A$1:$CP997,MATCH($A40,'Primary - GRADING'!$CP:$CP,0),20)</f>
        <v>#N/A</v>
      </c>
      <c r="X40" s="153" t="str">
        <f t="array" ref="X40">INDEX('Primary - GRADING'!$A$1:$CP997,MATCH($A40,'Primary - GRADING'!$CP:$CP,0),21)</f>
        <v>#N/A</v>
      </c>
      <c r="Y40" s="153" t="str">
        <f t="array" ref="Y40">INDEX('Primary - GRADING'!$A$1:$CP997,MATCH($A40,'Primary - GRADING'!$CP:$CP,0),22)</f>
        <v>#N/A</v>
      </c>
      <c r="Z40" s="165" t="str">
        <f t="array" ref="Z40">INDEX('Primary - GRADING'!$A$1:$CP997,MATCH($A40,'Primary - GRADING'!$CP:$CP,0),23)</f>
        <v>#N/A</v>
      </c>
      <c r="AA40" s="153" t="str">
        <f t="array" ref="AA40">INDEX('Primary - GRADING'!$A$1:$CP997,MATCH($A40,'Primary - GRADING'!$CP:$CP,0),24)</f>
        <v>#N/A</v>
      </c>
      <c r="AB40" s="153" t="str">
        <f t="array" ref="AB40">INDEX('Primary - GRADING'!$A$1:$CP997,MATCH($A40,'Primary - GRADING'!$CP:$CP,0),25)</f>
        <v>#N/A</v>
      </c>
      <c r="AC40" s="153" t="str">
        <f t="array" ref="AC40">INDEX('Primary - GRADING'!$A$1:$CP997,MATCH($A40,'Primary - GRADING'!$CP:$CP,0),46)</f>
        <v>#N/A</v>
      </c>
      <c r="AG40" s="153" t="str">
        <f t="shared" si="7"/>
        <v>#N/A</v>
      </c>
      <c r="AI40" s="153" t="str">
        <f>VLOOKUP(AH40,'Primary - GRADING'!$A$4:$C997,2,)</f>
        <v>#N/A</v>
      </c>
      <c r="AJ40" s="153" t="str">
        <f>VLOOKUP(AH40,'Primary - GRADING'!$A$4:$C997,3,)</f>
        <v>#N/A</v>
      </c>
      <c r="AK40" s="153" t="str">
        <f>VLOOKUP(AH40,'Primary - GRADING'!$A$4:$BG997,59,)</f>
        <v>#N/A</v>
      </c>
      <c r="AL40" s="153" t="str">
        <f>IFS(AK40="NMA",VLOOKUP(AH40,'Primary - GRADING'!$A$4:$BG997,51,),AK40="DIRECT",VLOOKUP(AH40,'Primary - GRADING'!$A$4:$BG997,8,),AK40="INDIRECT",VLOOKUP(AH40,'Primary - GRADING'!$A$4:$BG997,23,))</f>
        <v>#N/A</v>
      </c>
      <c r="AM40" s="153" t="str">
        <f>IFS(AK40="NMA",VLOOKUP(AH40,'Primary - GRADING'!$A$4:$BG997,52,),AK40="DIRECT",VLOOKUP(AH40,'Primary - GRADING'!$A$4:$BG997,9,),AK40="INDIRECT",VLOOKUP(AH40,'Primary - GRADING'!$A$4:$BG997,24,))</f>
        <v>#N/A</v>
      </c>
      <c r="AN40" s="153" t="str">
        <f>IFS(AK40="NMA",VLOOKUP(AH40,'Primary - GRADING'!$A$4:$BG997,53,),AK40="DIRECT",VLOOKUP(AH40,'Primary - GRADING'!$A$4:$BG997,10,),AK40="INDIRECT",VLOOKUP(AH40,'Primary - GRADING'!$A$4:$BG997,25,))</f>
        <v>#N/A</v>
      </c>
      <c r="AO40" s="153" t="str">
        <f t="shared" si="8"/>
        <v>#N/A</v>
      </c>
      <c r="AT40" s="153" t="str">
        <f t="shared" si="9"/>
        <v>#N/A</v>
      </c>
      <c r="AV40" s="153" t="str">
        <f>VLOOKUP(AU40,'Primary - GRADING'!$A$4:$C997,2,)</f>
        <v>#N/A</v>
      </c>
      <c r="AW40" s="153" t="str">
        <f>VLOOKUP(AU40,'Primary - GRADING'!$A$4:$C997,3,)</f>
        <v>#N/A</v>
      </c>
      <c r="AX40" s="153" t="str">
        <f>VLOOKUP(AU40,'Primary - GRADING'!$A$4:$BG997,59,)</f>
        <v>#N/A</v>
      </c>
      <c r="AY40" s="153" t="str">
        <f>IFS(AX40="NMA",VLOOKUP(AU40,'Primary - GRADING'!$A$4:$BG997,51,),AX40="DIRECT",VLOOKUP(AU40,'Primary - GRADING'!$A$4:$BG997,8,),AX40="INDIRECT",VLOOKUP(AU40,'Primary - GRADING'!$A$4:$BG997,23,))</f>
        <v>#N/A</v>
      </c>
      <c r="AZ40" s="153" t="str">
        <f>IFS(AX40="NMA",VLOOKUP(AU40,'Primary - GRADING'!$A$4:$BG997,52,),AX40="DIRECT",VLOOKUP(AU40,'Primary - GRADING'!$A$4:$BG997,9,),AX40="INDIRECT",VLOOKUP(AU40,'Primary - GRADING'!$A$4:$BG997,24,))</f>
        <v>#N/A</v>
      </c>
      <c r="BA40" s="153" t="str">
        <f>IFS(AX40="NMA",VLOOKUP(AU40,'Primary - GRADING'!$A$4:$BG997,53,),AX40="DIRECT",VLOOKUP(AU40,'Primary - GRADING'!$A$4:$BG997,10,),AX40="INDIRECT",VLOOKUP(AU40,'Primary - GRADING'!$A$4:$BG997,25,))</f>
        <v>#N/A</v>
      </c>
      <c r="BB40" s="153" t="str">
        <f t="shared" si="10"/>
        <v>#N/A</v>
      </c>
      <c r="BE40" s="153" t="str">
        <f t="shared" si="11"/>
        <v/>
      </c>
      <c r="BG40" s="153" t="str">
        <f t="shared" si="12"/>
        <v>#N/A</v>
      </c>
      <c r="BI40" s="153" t="str">
        <f t="shared" si="13"/>
        <v>#N/A</v>
      </c>
      <c r="BK40" s="153" t="str">
        <f t="shared" si="14"/>
        <v>#N/A</v>
      </c>
      <c r="BM40" s="153" t="str">
        <f t="shared" si="15"/>
        <v>#N/A</v>
      </c>
    </row>
    <row r="41" ht="15.75" customHeight="1">
      <c r="A41" s="64"/>
      <c r="B41" s="160" t="str">
        <f t="shared" si="1"/>
        <v>#N/A</v>
      </c>
      <c r="C41" s="160" t="str">
        <f t="shared" si="2"/>
        <v>#N/A</v>
      </c>
      <c r="D41" s="160" t="str">
        <f t="shared" si="3"/>
        <v>#N/A</v>
      </c>
      <c r="E41" s="161" t="str">
        <f t="shared" si="4"/>
        <v>#N/A</v>
      </c>
      <c r="F41" s="153" t="str">
        <f t="shared" si="17"/>
        <v>#N/A</v>
      </c>
      <c r="G41" s="153" t="str">
        <f t="shared" si="6"/>
        <v>#N/A</v>
      </c>
      <c r="H41" s="156" t="str">
        <f t="array" ref="H41">INDEX('Primary - GRADING'!$A$1:$BG997,MATCH($A41,'Primary - GRADING'!$B:$B,0),59)</f>
        <v>#N/A</v>
      </c>
      <c r="I41" s="153" t="str">
        <f t="array" ref="I41">INDEX('Primary - GRADING'!$A$1:$CP997,MATCH($A41,'Primary - GRADING'!$CP:$CP,0),48)</f>
        <v>#N/A</v>
      </c>
      <c r="J41" s="153" t="str">
        <f t="array" ref="J41">INDEX('Primary - GRADING'!$A$1:$CP997,MATCH($A41,'Primary - GRADING'!$CP:$CP,0),49)</f>
        <v>#N/A</v>
      </c>
      <c r="K41" s="153" t="str">
        <f t="array" ref="K41">INDEX('Primary - GRADING'!$A$1:$CP997,MATCH($A41,'Primary - GRADING'!$CP:$CP,0),50)</f>
        <v>#N/A</v>
      </c>
      <c r="L41" s="153" t="str">
        <f t="array" ref="L41">INDEX('Primary - GRADING'!$A$1:$CP997,MATCH($A41,'Primary - GRADING'!$CP:$CP,0),51)</f>
        <v>#N/A</v>
      </c>
      <c r="M41" s="153" t="str">
        <f t="array" ref="M41">INDEX('Primary - GRADING'!$A$1:$CP997,MATCH($A41,'Primary - GRADING'!$CP:$CP,0),52)</f>
        <v>#N/A</v>
      </c>
      <c r="N41" s="153" t="str">
        <f t="array" ref="N41">INDEX('Primary - GRADING'!$A$1:$CP997,MATCH($A41,'Primary - GRADING'!$CP:$CP,0),53)</f>
        <v>#N/A</v>
      </c>
      <c r="O41" s="153" t="str">
        <f t="array" ref="O41">INDEX('Primary - GRADING'!$A$1:$CP997,MATCH($A41,'Primary - GRADING'!$CP:$CP,0),58)</f>
        <v>#N/A</v>
      </c>
      <c r="P41" s="153" t="str">
        <f t="array" ref="P41">INDEX('Primary - GRADING'!$A$1:$CP997,MATCH($A41,'Primary - GRADING'!$CP:$CP,0),5)</f>
        <v>#N/A</v>
      </c>
      <c r="Q41" s="153" t="str">
        <f t="array" ref="Q41">INDEX('Primary - GRADING'!$A$1:$CP997,MATCH($A41,'Primary - GRADING'!$CP:$CP,0),6)</f>
        <v>#N/A</v>
      </c>
      <c r="R41" s="153" t="str">
        <f t="array" ref="R41">INDEX('Primary - GRADING'!$A$1:$CP997,MATCH($A41,'Primary - GRADING'!$CP:$CP,0),7)</f>
        <v>#N/A</v>
      </c>
      <c r="S41" s="153" t="str">
        <f t="array" ref="S41">INDEX('Primary - GRADING'!$A$1:$CP997,MATCH($A41,'Primary - GRADING'!$CP:$CP,0),8)</f>
        <v>#N/A</v>
      </c>
      <c r="T41" s="153" t="str">
        <f t="array" ref="T41">INDEX('Primary - GRADING'!$A$1:$CP997,MATCH($A41,'Primary - GRADING'!$CP:$CP,0),9)</f>
        <v>#N/A</v>
      </c>
      <c r="U41" s="153" t="str">
        <f t="array" ref="U41">INDEX('Primary - GRADING'!$A$1:$CP997,MATCH($A41,'Primary - GRADING'!$CP:$CP,0),10)</f>
        <v>#N/A</v>
      </c>
      <c r="V41" s="153" t="str">
        <f t="array" ref="V41">INDEX('Primary - GRADING'!$A$1:$CP997,MATCH($A41,'Primary - GRADING'!$CP:$CP,0),18)</f>
        <v>#N/A</v>
      </c>
      <c r="W41" s="153" t="str">
        <f t="array" ref="W41">INDEX('Primary - GRADING'!$A$1:$CP997,MATCH($A41,'Primary - GRADING'!$CP:$CP,0),20)</f>
        <v>#N/A</v>
      </c>
      <c r="X41" s="153" t="str">
        <f t="array" ref="X41">INDEX('Primary - GRADING'!$A$1:$CP997,MATCH($A41,'Primary - GRADING'!$CP:$CP,0),21)</f>
        <v>#N/A</v>
      </c>
      <c r="Y41" s="153" t="str">
        <f t="array" ref="Y41">INDEX('Primary - GRADING'!$A$1:$CP997,MATCH($A41,'Primary - GRADING'!$CP:$CP,0),22)</f>
        <v>#N/A</v>
      </c>
      <c r="Z41" s="165" t="str">
        <f t="array" ref="Z41">INDEX('Primary - GRADING'!$A$1:$CP997,MATCH($A41,'Primary - GRADING'!$CP:$CP,0),23)</f>
        <v>#N/A</v>
      </c>
      <c r="AA41" s="153" t="str">
        <f t="array" ref="AA41">INDEX('Primary - GRADING'!$A$1:$CP997,MATCH($A41,'Primary - GRADING'!$CP:$CP,0),24)</f>
        <v>#N/A</v>
      </c>
      <c r="AB41" s="153" t="str">
        <f t="array" ref="AB41">INDEX('Primary - GRADING'!$A$1:$CP997,MATCH($A41,'Primary - GRADING'!$CP:$CP,0),25)</f>
        <v>#N/A</v>
      </c>
      <c r="AC41" s="153" t="str">
        <f t="array" ref="AC41">INDEX('Primary - GRADING'!$A$1:$CP997,MATCH($A41,'Primary - GRADING'!$CP:$CP,0),46)</f>
        <v>#N/A</v>
      </c>
      <c r="AG41" s="153" t="str">
        <f t="shared" si="7"/>
        <v>#N/A</v>
      </c>
      <c r="AI41" s="153" t="str">
        <f>VLOOKUP(AH41,'Primary - GRADING'!$A$4:$C997,2,)</f>
        <v>#N/A</v>
      </c>
      <c r="AJ41" s="153" t="str">
        <f>VLOOKUP(AH41,'Primary - GRADING'!$A$4:$C997,3,)</f>
        <v>#N/A</v>
      </c>
      <c r="AK41" s="153" t="str">
        <f>VLOOKUP(AH41,'Primary - GRADING'!$A$4:$BG997,59,)</f>
        <v>#N/A</v>
      </c>
      <c r="AL41" s="153" t="str">
        <f>IFS(AK41="NMA",VLOOKUP(AH41,'Primary - GRADING'!$A$4:$BG997,51,),AK41="DIRECT",VLOOKUP(AH41,'Primary - GRADING'!$A$4:$BG997,8,),AK41="INDIRECT",VLOOKUP(AH41,'Primary - GRADING'!$A$4:$BG997,23,))</f>
        <v>#N/A</v>
      </c>
      <c r="AM41" s="153" t="str">
        <f>IFS(AK41="NMA",VLOOKUP(AH41,'Primary - GRADING'!$A$4:$BG997,52,),AK41="DIRECT",VLOOKUP(AH41,'Primary - GRADING'!$A$4:$BG997,9,),AK41="INDIRECT",VLOOKUP(AH41,'Primary - GRADING'!$A$4:$BG997,24,))</f>
        <v>#N/A</v>
      </c>
      <c r="AN41" s="153" t="str">
        <f>IFS(AK41="NMA",VLOOKUP(AH41,'Primary - GRADING'!$A$4:$BG997,53,),AK41="DIRECT",VLOOKUP(AH41,'Primary - GRADING'!$A$4:$BG997,10,),AK41="INDIRECT",VLOOKUP(AH41,'Primary - GRADING'!$A$4:$BG997,25,))</f>
        <v>#N/A</v>
      </c>
      <c r="AO41" s="153" t="str">
        <f t="shared" si="8"/>
        <v>#N/A</v>
      </c>
      <c r="AT41" s="153" t="str">
        <f t="shared" si="9"/>
        <v>#N/A</v>
      </c>
      <c r="AV41" s="153" t="str">
        <f>VLOOKUP(AU41,'Primary - GRADING'!$A$4:$C997,2,)</f>
        <v>#N/A</v>
      </c>
      <c r="AW41" s="153" t="str">
        <f>VLOOKUP(AU41,'Primary - GRADING'!$A$4:$C997,3,)</f>
        <v>#N/A</v>
      </c>
      <c r="AX41" s="153" t="str">
        <f>VLOOKUP(AU41,'Primary - GRADING'!$A$4:$BG997,59,)</f>
        <v>#N/A</v>
      </c>
      <c r="AY41" s="153" t="str">
        <f>IFS(AX41="NMA",VLOOKUP(AU41,'Primary - GRADING'!$A$4:$BG997,51,),AX41="DIRECT",VLOOKUP(AU41,'Primary - GRADING'!$A$4:$BG997,8,),AX41="INDIRECT",VLOOKUP(AU41,'Primary - GRADING'!$A$4:$BG997,23,))</f>
        <v>#N/A</v>
      </c>
      <c r="AZ41" s="153" t="str">
        <f>IFS(AX41="NMA",VLOOKUP(AU41,'Primary - GRADING'!$A$4:$BG997,52,),AX41="DIRECT",VLOOKUP(AU41,'Primary - GRADING'!$A$4:$BG997,9,),AX41="INDIRECT",VLOOKUP(AU41,'Primary - GRADING'!$A$4:$BG997,24,))</f>
        <v>#N/A</v>
      </c>
      <c r="BA41" s="153" t="str">
        <f>IFS(AX41="NMA",VLOOKUP(AU41,'Primary - GRADING'!$A$4:$BG997,53,),AX41="DIRECT",VLOOKUP(AU41,'Primary - GRADING'!$A$4:$BG997,10,),AX41="INDIRECT",VLOOKUP(AU41,'Primary - GRADING'!$A$4:$BG997,25,))</f>
        <v>#N/A</v>
      </c>
      <c r="BB41" s="153" t="str">
        <f t="shared" si="10"/>
        <v>#N/A</v>
      </c>
      <c r="BE41" s="153" t="str">
        <f t="shared" si="11"/>
        <v/>
      </c>
      <c r="BG41" s="153" t="str">
        <f t="shared" si="12"/>
        <v>#N/A</v>
      </c>
      <c r="BI41" s="153" t="str">
        <f t="shared" si="13"/>
        <v>#N/A</v>
      </c>
      <c r="BK41" s="153" t="str">
        <f t="shared" si="14"/>
        <v>#N/A</v>
      </c>
      <c r="BM41" s="153" t="str">
        <f t="shared" si="15"/>
        <v>#N/A</v>
      </c>
    </row>
    <row r="42" ht="15.75" customHeight="1">
      <c r="A42" s="64"/>
      <c r="B42" s="160" t="str">
        <f t="shared" si="1"/>
        <v>#N/A</v>
      </c>
      <c r="C42" s="160" t="str">
        <f t="shared" si="2"/>
        <v>#N/A</v>
      </c>
      <c r="D42" s="160" t="str">
        <f t="shared" si="3"/>
        <v>#N/A</v>
      </c>
      <c r="E42" s="161" t="str">
        <f t="shared" si="4"/>
        <v>#N/A</v>
      </c>
      <c r="F42" s="153" t="str">
        <f t="shared" si="17"/>
        <v>#N/A</v>
      </c>
      <c r="G42" s="153" t="str">
        <f t="shared" si="6"/>
        <v>#N/A</v>
      </c>
      <c r="H42" s="156" t="str">
        <f t="array" ref="H42">INDEX('Primary - GRADING'!$A$1:$BG997,MATCH($A42,'Primary - GRADING'!$B:$B,0),59)</f>
        <v>#N/A</v>
      </c>
      <c r="I42" s="153" t="str">
        <f t="array" ref="I42">INDEX('Primary - GRADING'!$A$1:$CP997,MATCH($A42,'Primary - GRADING'!$CP:$CP,0),48)</f>
        <v>#N/A</v>
      </c>
      <c r="J42" s="153" t="str">
        <f t="array" ref="J42">INDEX('Primary - GRADING'!$A$1:$CP997,MATCH($A42,'Primary - GRADING'!$CP:$CP,0),49)</f>
        <v>#N/A</v>
      </c>
      <c r="K42" s="153" t="str">
        <f t="array" ref="K42">INDEX('Primary - GRADING'!$A$1:$CP997,MATCH($A42,'Primary - GRADING'!$CP:$CP,0),50)</f>
        <v>#N/A</v>
      </c>
      <c r="L42" s="153" t="str">
        <f t="array" ref="L42">INDEX('Primary - GRADING'!$A$1:$CP997,MATCH($A42,'Primary - GRADING'!$CP:$CP,0),51)</f>
        <v>#N/A</v>
      </c>
      <c r="M42" s="153" t="str">
        <f t="array" ref="M42">INDEX('Primary - GRADING'!$A$1:$CP997,MATCH($A42,'Primary - GRADING'!$CP:$CP,0),52)</f>
        <v>#N/A</v>
      </c>
      <c r="N42" s="153" t="str">
        <f t="array" ref="N42">INDEX('Primary - GRADING'!$A$1:$CP997,MATCH($A42,'Primary - GRADING'!$CP:$CP,0),53)</f>
        <v>#N/A</v>
      </c>
      <c r="O42" s="153" t="str">
        <f t="array" ref="O42">INDEX('Primary - GRADING'!$A$1:$CP997,MATCH($A42,'Primary - GRADING'!$CP:$CP,0),58)</f>
        <v>#N/A</v>
      </c>
      <c r="P42" s="153" t="str">
        <f t="array" ref="P42">INDEX('Primary - GRADING'!$A$1:$CP997,MATCH($A42,'Primary - GRADING'!$CP:$CP,0),5)</f>
        <v>#N/A</v>
      </c>
      <c r="Q42" s="153" t="str">
        <f t="array" ref="Q42">INDEX('Primary - GRADING'!$A$1:$CP997,MATCH($A42,'Primary - GRADING'!$CP:$CP,0),6)</f>
        <v>#N/A</v>
      </c>
      <c r="R42" s="153" t="str">
        <f t="array" ref="R42">INDEX('Primary - GRADING'!$A$1:$CP997,MATCH($A42,'Primary - GRADING'!$CP:$CP,0),7)</f>
        <v>#N/A</v>
      </c>
      <c r="S42" s="153" t="str">
        <f t="array" ref="S42">INDEX('Primary - GRADING'!$A$1:$CP997,MATCH($A42,'Primary - GRADING'!$CP:$CP,0),8)</f>
        <v>#N/A</v>
      </c>
      <c r="T42" s="153" t="str">
        <f t="array" ref="T42">INDEX('Primary - GRADING'!$A$1:$CP997,MATCH($A42,'Primary - GRADING'!$CP:$CP,0),9)</f>
        <v>#N/A</v>
      </c>
      <c r="U42" s="153" t="str">
        <f t="array" ref="U42">INDEX('Primary - GRADING'!$A$1:$CP997,MATCH($A42,'Primary - GRADING'!$CP:$CP,0),10)</f>
        <v>#N/A</v>
      </c>
      <c r="V42" s="153" t="str">
        <f t="array" ref="V42">INDEX('Primary - GRADING'!$A$1:$CP997,MATCH($A42,'Primary - GRADING'!$CP:$CP,0),18)</f>
        <v>#N/A</v>
      </c>
      <c r="W42" s="153" t="str">
        <f t="array" ref="W42">INDEX('Primary - GRADING'!$A$1:$CP997,MATCH($A42,'Primary - GRADING'!$CP:$CP,0),20)</f>
        <v>#N/A</v>
      </c>
      <c r="X42" s="153" t="str">
        <f t="array" ref="X42">INDEX('Primary - GRADING'!$A$1:$CP997,MATCH($A42,'Primary - GRADING'!$CP:$CP,0),21)</f>
        <v>#N/A</v>
      </c>
      <c r="Y42" s="153" t="str">
        <f t="array" ref="Y42">INDEX('Primary - GRADING'!$A$1:$CP997,MATCH($A42,'Primary - GRADING'!$CP:$CP,0),22)</f>
        <v>#N/A</v>
      </c>
      <c r="Z42" s="165" t="str">
        <f t="array" ref="Z42">INDEX('Primary - GRADING'!$A$1:$CP997,MATCH($A42,'Primary - GRADING'!$CP:$CP,0),23)</f>
        <v>#N/A</v>
      </c>
      <c r="AA42" s="153" t="str">
        <f t="array" ref="AA42">INDEX('Primary - GRADING'!$A$1:$CP997,MATCH($A42,'Primary - GRADING'!$CP:$CP,0),24)</f>
        <v>#N/A</v>
      </c>
      <c r="AB42" s="153" t="str">
        <f t="array" ref="AB42">INDEX('Primary - GRADING'!$A$1:$CP997,MATCH($A42,'Primary - GRADING'!$CP:$CP,0),25)</f>
        <v>#N/A</v>
      </c>
      <c r="AC42" s="153" t="str">
        <f t="array" ref="AC42">INDEX('Primary - GRADING'!$A$1:$CP997,MATCH($A42,'Primary - GRADING'!$CP:$CP,0),46)</f>
        <v>#N/A</v>
      </c>
      <c r="AG42" s="153" t="str">
        <f t="shared" si="7"/>
        <v>#N/A</v>
      </c>
      <c r="AI42" s="153" t="str">
        <f>VLOOKUP(AH42,'Primary - GRADING'!$A$4:$C997,2,)</f>
        <v>#N/A</v>
      </c>
      <c r="AJ42" s="153" t="str">
        <f>VLOOKUP(AH42,'Primary - GRADING'!$A$4:$C997,3,)</f>
        <v>#N/A</v>
      </c>
      <c r="AK42" s="153" t="str">
        <f>VLOOKUP(AH42,'Primary - GRADING'!$A$4:$BG997,59,)</f>
        <v>#N/A</v>
      </c>
      <c r="AL42" s="153" t="str">
        <f>IFS(AK42="NMA",VLOOKUP(AH42,'Primary - GRADING'!$A$4:$BG997,51,),AK42="DIRECT",VLOOKUP(AH42,'Primary - GRADING'!$A$4:$BG997,8,),AK42="INDIRECT",VLOOKUP(AH42,'Primary - GRADING'!$A$4:$BG997,23,))</f>
        <v>#N/A</v>
      </c>
      <c r="AM42" s="153" t="str">
        <f>IFS(AK42="NMA",VLOOKUP(AH42,'Primary - GRADING'!$A$4:$BG997,52,),AK42="DIRECT",VLOOKUP(AH42,'Primary - GRADING'!$A$4:$BG997,9,),AK42="INDIRECT",VLOOKUP(AH42,'Primary - GRADING'!$A$4:$BG997,24,))</f>
        <v>#N/A</v>
      </c>
      <c r="AN42" s="153" t="str">
        <f>IFS(AK42="NMA",VLOOKUP(AH42,'Primary - GRADING'!$A$4:$BG997,53,),AK42="DIRECT",VLOOKUP(AH42,'Primary - GRADING'!$A$4:$BG997,10,),AK42="INDIRECT",VLOOKUP(AH42,'Primary - GRADING'!$A$4:$BG997,25,))</f>
        <v>#N/A</v>
      </c>
      <c r="AO42" s="153" t="str">
        <f t="shared" si="8"/>
        <v>#N/A</v>
      </c>
      <c r="AT42" s="153" t="str">
        <f t="shared" si="9"/>
        <v>#N/A</v>
      </c>
      <c r="AV42" s="153" t="str">
        <f>VLOOKUP(AU42,'Primary - GRADING'!$A$4:$C997,2,)</f>
        <v>#N/A</v>
      </c>
      <c r="AW42" s="153" t="str">
        <f>VLOOKUP(AU42,'Primary - GRADING'!$A$4:$C997,3,)</f>
        <v>#N/A</v>
      </c>
      <c r="AX42" s="153" t="str">
        <f>VLOOKUP(AU42,'Primary - GRADING'!$A$4:$BG997,59,)</f>
        <v>#N/A</v>
      </c>
      <c r="AY42" s="153" t="str">
        <f>IFS(AX42="NMA",VLOOKUP(AU42,'Primary - GRADING'!$A$4:$BG997,51,),AX42="DIRECT",VLOOKUP(AU42,'Primary - GRADING'!$A$4:$BG997,8,),AX42="INDIRECT",VLOOKUP(AU42,'Primary - GRADING'!$A$4:$BG997,23,))</f>
        <v>#N/A</v>
      </c>
      <c r="AZ42" s="153" t="str">
        <f>IFS(AX42="NMA",VLOOKUP(AU42,'Primary - GRADING'!$A$4:$BG997,52,),AX42="DIRECT",VLOOKUP(AU42,'Primary - GRADING'!$A$4:$BG997,9,),AX42="INDIRECT",VLOOKUP(AU42,'Primary - GRADING'!$A$4:$BG997,24,))</f>
        <v>#N/A</v>
      </c>
      <c r="BA42" s="153" t="str">
        <f>IFS(AX42="NMA",VLOOKUP(AU42,'Primary - GRADING'!$A$4:$BG997,53,),AX42="DIRECT",VLOOKUP(AU42,'Primary - GRADING'!$A$4:$BG997,10,),AX42="INDIRECT",VLOOKUP(AU42,'Primary - GRADING'!$A$4:$BG997,25,))</f>
        <v>#N/A</v>
      </c>
      <c r="BB42" s="153" t="str">
        <f t="shared" si="10"/>
        <v>#N/A</v>
      </c>
      <c r="BE42" s="153" t="str">
        <f t="shared" si="11"/>
        <v/>
      </c>
      <c r="BG42" s="153" t="str">
        <f t="shared" si="12"/>
        <v>#N/A</v>
      </c>
      <c r="BI42" s="153" t="str">
        <f t="shared" si="13"/>
        <v>#N/A</v>
      </c>
      <c r="BK42" s="153" t="str">
        <f t="shared" si="14"/>
        <v>#N/A</v>
      </c>
      <c r="BM42" s="153" t="str">
        <f t="shared" si="15"/>
        <v>#N/A</v>
      </c>
    </row>
    <row r="43" ht="15.75" customHeight="1">
      <c r="A43" s="64"/>
      <c r="B43" s="160" t="str">
        <f t="shared" si="1"/>
        <v>#N/A</v>
      </c>
      <c r="C43" s="160" t="str">
        <f t="shared" si="2"/>
        <v>#N/A</v>
      </c>
      <c r="D43" s="160" t="str">
        <f t="shared" si="3"/>
        <v>#N/A</v>
      </c>
      <c r="E43" s="161" t="str">
        <f t="shared" si="4"/>
        <v>#N/A</v>
      </c>
      <c r="F43" s="153" t="str">
        <f t="shared" si="17"/>
        <v>#N/A</v>
      </c>
      <c r="G43" s="153" t="str">
        <f t="shared" si="6"/>
        <v>#N/A</v>
      </c>
      <c r="H43" s="156" t="str">
        <f t="array" ref="H43">INDEX('Primary - GRADING'!$A$1:$BG997,MATCH($A43,'Primary - GRADING'!$B:$B,0),59)</f>
        <v>#N/A</v>
      </c>
      <c r="I43" s="153" t="str">
        <f t="array" ref="I43">INDEX('Primary - GRADING'!$A$1:$CP997,MATCH($A43,'Primary - GRADING'!$CP:$CP,0),48)</f>
        <v>#N/A</v>
      </c>
      <c r="J43" s="153" t="str">
        <f t="array" ref="J43">INDEX('Primary - GRADING'!$A$1:$CP997,MATCH($A43,'Primary - GRADING'!$CP:$CP,0),49)</f>
        <v>#N/A</v>
      </c>
      <c r="K43" s="153" t="str">
        <f t="array" ref="K43">INDEX('Primary - GRADING'!$A$1:$CP997,MATCH($A43,'Primary - GRADING'!$CP:$CP,0),50)</f>
        <v>#N/A</v>
      </c>
      <c r="L43" s="153" t="str">
        <f t="array" ref="L43">INDEX('Primary - GRADING'!$A$1:$CP997,MATCH($A43,'Primary - GRADING'!$CP:$CP,0),51)</f>
        <v>#N/A</v>
      </c>
      <c r="M43" s="153" t="str">
        <f t="array" ref="M43">INDEX('Primary - GRADING'!$A$1:$CP997,MATCH($A43,'Primary - GRADING'!$CP:$CP,0),52)</f>
        <v>#N/A</v>
      </c>
      <c r="N43" s="153" t="str">
        <f t="array" ref="N43">INDEX('Primary - GRADING'!$A$1:$CP997,MATCH($A43,'Primary - GRADING'!$CP:$CP,0),53)</f>
        <v>#N/A</v>
      </c>
      <c r="O43" s="153" t="str">
        <f t="array" ref="O43">INDEX('Primary - GRADING'!$A$1:$CP997,MATCH($A43,'Primary - GRADING'!$CP:$CP,0),58)</f>
        <v>#N/A</v>
      </c>
      <c r="P43" s="153" t="str">
        <f t="array" ref="P43">INDEX('Primary - GRADING'!$A$1:$CP997,MATCH($A43,'Primary - GRADING'!$CP:$CP,0),5)</f>
        <v>#N/A</v>
      </c>
      <c r="Q43" s="153" t="str">
        <f t="array" ref="Q43">INDEX('Primary - GRADING'!$A$1:$CP997,MATCH($A43,'Primary - GRADING'!$CP:$CP,0),6)</f>
        <v>#N/A</v>
      </c>
      <c r="R43" s="153" t="str">
        <f t="array" ref="R43">INDEX('Primary - GRADING'!$A$1:$CP997,MATCH($A43,'Primary - GRADING'!$CP:$CP,0),7)</f>
        <v>#N/A</v>
      </c>
      <c r="S43" s="153" t="str">
        <f t="array" ref="S43">INDEX('Primary - GRADING'!$A$1:$CP997,MATCH($A43,'Primary - GRADING'!$CP:$CP,0),8)</f>
        <v>#N/A</v>
      </c>
      <c r="T43" s="153" t="str">
        <f t="array" ref="T43">INDEX('Primary - GRADING'!$A$1:$CP997,MATCH($A43,'Primary - GRADING'!$CP:$CP,0),9)</f>
        <v>#N/A</v>
      </c>
      <c r="U43" s="153" t="str">
        <f t="array" ref="U43">INDEX('Primary - GRADING'!$A$1:$CP997,MATCH($A43,'Primary - GRADING'!$CP:$CP,0),10)</f>
        <v>#N/A</v>
      </c>
      <c r="V43" s="153" t="str">
        <f t="array" ref="V43">INDEX('Primary - GRADING'!$A$1:$CP997,MATCH($A43,'Primary - GRADING'!$CP:$CP,0),18)</f>
        <v>#N/A</v>
      </c>
      <c r="W43" s="153" t="str">
        <f t="array" ref="W43">INDEX('Primary - GRADING'!$A$1:$CP997,MATCH($A43,'Primary - GRADING'!$CP:$CP,0),20)</f>
        <v>#N/A</v>
      </c>
      <c r="X43" s="153" t="str">
        <f t="array" ref="X43">INDEX('Primary - GRADING'!$A$1:$CP997,MATCH($A43,'Primary - GRADING'!$CP:$CP,0),21)</f>
        <v>#N/A</v>
      </c>
      <c r="Y43" s="153" t="str">
        <f t="array" ref="Y43">INDEX('Primary - GRADING'!$A$1:$CP997,MATCH($A43,'Primary - GRADING'!$CP:$CP,0),22)</f>
        <v>#N/A</v>
      </c>
      <c r="Z43" s="165" t="str">
        <f t="array" ref="Z43">INDEX('Primary - GRADING'!$A$1:$CP997,MATCH($A43,'Primary - GRADING'!$CP:$CP,0),23)</f>
        <v>#N/A</v>
      </c>
      <c r="AA43" s="153" t="str">
        <f t="array" ref="AA43">INDEX('Primary - GRADING'!$A$1:$CP997,MATCH($A43,'Primary - GRADING'!$CP:$CP,0),24)</f>
        <v>#N/A</v>
      </c>
      <c r="AB43" s="153" t="str">
        <f t="array" ref="AB43">INDEX('Primary - GRADING'!$A$1:$CP997,MATCH($A43,'Primary - GRADING'!$CP:$CP,0),25)</f>
        <v>#N/A</v>
      </c>
      <c r="AC43" s="153" t="str">
        <f t="array" ref="AC43">INDEX('Primary - GRADING'!$A$1:$CP997,MATCH($A43,'Primary - GRADING'!$CP:$CP,0),46)</f>
        <v>#N/A</v>
      </c>
      <c r="AG43" s="153" t="str">
        <f t="shared" si="7"/>
        <v>#N/A</v>
      </c>
      <c r="AI43" s="153" t="str">
        <f>VLOOKUP(AH43,'Primary - GRADING'!$A$4:$C997,2,)</f>
        <v>#N/A</v>
      </c>
      <c r="AJ43" s="153" t="str">
        <f>VLOOKUP(AH43,'Primary - GRADING'!$A$4:$C997,3,)</f>
        <v>#N/A</v>
      </c>
      <c r="AK43" s="153" t="str">
        <f>VLOOKUP(AH43,'Primary - GRADING'!$A$4:$BG997,59,)</f>
        <v>#N/A</v>
      </c>
      <c r="AL43" s="153" t="str">
        <f>IFS(AK43="NMA",VLOOKUP(AH43,'Primary - GRADING'!$A$4:$BG997,51,),AK43="DIRECT",VLOOKUP(AH43,'Primary - GRADING'!$A$4:$BG997,8,),AK43="INDIRECT",VLOOKUP(AH43,'Primary - GRADING'!$A$4:$BG997,23,))</f>
        <v>#N/A</v>
      </c>
      <c r="AM43" s="153" t="str">
        <f>IFS(AK43="NMA",VLOOKUP(AH43,'Primary - GRADING'!$A$4:$BG997,52,),AK43="DIRECT",VLOOKUP(AH43,'Primary - GRADING'!$A$4:$BG997,9,),AK43="INDIRECT",VLOOKUP(AH43,'Primary - GRADING'!$A$4:$BG997,24,))</f>
        <v>#N/A</v>
      </c>
      <c r="AN43" s="153" t="str">
        <f>IFS(AK43="NMA",VLOOKUP(AH43,'Primary - GRADING'!$A$4:$BG997,53,),AK43="DIRECT",VLOOKUP(AH43,'Primary - GRADING'!$A$4:$BG997,10,),AK43="INDIRECT",VLOOKUP(AH43,'Primary - GRADING'!$A$4:$BG997,25,))</f>
        <v>#N/A</v>
      </c>
      <c r="AO43" s="153" t="str">
        <f t="shared" si="8"/>
        <v>#N/A</v>
      </c>
      <c r="AT43" s="153" t="str">
        <f t="shared" si="9"/>
        <v>#N/A</v>
      </c>
      <c r="AV43" s="153" t="str">
        <f>VLOOKUP(AU43,'Primary - GRADING'!$A$4:$C997,2,)</f>
        <v>#N/A</v>
      </c>
      <c r="AW43" s="153" t="str">
        <f>VLOOKUP(AU43,'Primary - GRADING'!$A$4:$C997,3,)</f>
        <v>#N/A</v>
      </c>
      <c r="AX43" s="153" t="str">
        <f>VLOOKUP(AU43,'Primary - GRADING'!$A$4:$BG997,59,)</f>
        <v>#N/A</v>
      </c>
      <c r="AY43" s="153" t="str">
        <f>IFS(AX43="NMA",VLOOKUP(AU43,'Primary - GRADING'!$A$4:$BG997,51,),AX43="DIRECT",VLOOKUP(AU43,'Primary - GRADING'!$A$4:$BG997,8,),AX43="INDIRECT",VLOOKUP(AU43,'Primary - GRADING'!$A$4:$BG997,23,))</f>
        <v>#N/A</v>
      </c>
      <c r="AZ43" s="153" t="str">
        <f>IFS(AX43="NMA",VLOOKUP(AU43,'Primary - GRADING'!$A$4:$BG997,52,),AX43="DIRECT",VLOOKUP(AU43,'Primary - GRADING'!$A$4:$BG997,9,),AX43="INDIRECT",VLOOKUP(AU43,'Primary - GRADING'!$A$4:$BG997,24,))</f>
        <v>#N/A</v>
      </c>
      <c r="BA43" s="153" t="str">
        <f>IFS(AX43="NMA",VLOOKUP(AU43,'Primary - GRADING'!$A$4:$BG997,53,),AX43="DIRECT",VLOOKUP(AU43,'Primary - GRADING'!$A$4:$BG997,10,),AX43="INDIRECT",VLOOKUP(AU43,'Primary - GRADING'!$A$4:$BG997,25,))</f>
        <v>#N/A</v>
      </c>
      <c r="BB43" s="153" t="str">
        <f t="shared" si="10"/>
        <v>#N/A</v>
      </c>
      <c r="BE43" s="153" t="str">
        <f t="shared" si="11"/>
        <v/>
      </c>
      <c r="BG43" s="153" t="str">
        <f t="shared" si="12"/>
        <v>#N/A</v>
      </c>
      <c r="BI43" s="153" t="str">
        <f t="shared" si="13"/>
        <v>#N/A</v>
      </c>
      <c r="BK43" s="153" t="str">
        <f t="shared" si="14"/>
        <v>#N/A</v>
      </c>
      <c r="BM43" s="153" t="str">
        <f t="shared" si="15"/>
        <v>#N/A</v>
      </c>
    </row>
    <row r="44" ht="15.75" customHeight="1">
      <c r="B44" s="160" t="str">
        <f t="shared" si="1"/>
        <v>#N/A</v>
      </c>
      <c r="C44" s="160" t="str">
        <f t="shared" si="2"/>
        <v>#N/A</v>
      </c>
      <c r="D44" s="160" t="str">
        <f t="shared" si="3"/>
        <v>#N/A</v>
      </c>
      <c r="E44" s="161" t="str">
        <f t="shared" si="4"/>
        <v>#N/A</v>
      </c>
      <c r="F44" s="153" t="str">
        <f t="shared" si="17"/>
        <v>#N/A</v>
      </c>
      <c r="G44" s="153" t="str">
        <f t="shared" si="6"/>
        <v>#N/A</v>
      </c>
      <c r="H44" s="156" t="str">
        <f t="array" ref="H44">INDEX('Primary - GRADING'!$A$1:$BG997,MATCH($A44,'Primary - GRADING'!$B:$B,0),59)</f>
        <v>#N/A</v>
      </c>
      <c r="I44" s="153" t="str">
        <f t="array" ref="I44">INDEX('Primary - GRADING'!$A$1:$CP997,MATCH($A44,'Primary - GRADING'!$CP:$CP,0),48)</f>
        <v>#N/A</v>
      </c>
      <c r="J44" s="153" t="str">
        <f t="array" ref="J44">INDEX('Primary - GRADING'!$A$1:$CP997,MATCH($A44,'Primary - GRADING'!$CP:$CP,0),49)</f>
        <v>#N/A</v>
      </c>
      <c r="K44" s="153" t="str">
        <f t="array" ref="K44">INDEX('Primary - GRADING'!$A$1:$CP997,MATCH($A44,'Primary - GRADING'!$CP:$CP,0),50)</f>
        <v>#N/A</v>
      </c>
      <c r="L44" s="153" t="str">
        <f t="array" ref="L44">INDEX('Primary - GRADING'!$A$1:$CP997,MATCH($A44,'Primary - GRADING'!$CP:$CP,0),51)</f>
        <v>#N/A</v>
      </c>
      <c r="M44" s="153" t="str">
        <f t="array" ref="M44">INDEX('Primary - GRADING'!$A$1:$CP997,MATCH($A44,'Primary - GRADING'!$CP:$CP,0),52)</f>
        <v>#N/A</v>
      </c>
      <c r="N44" s="153" t="str">
        <f t="array" ref="N44">INDEX('Primary - GRADING'!$A$1:$CP997,MATCH($A44,'Primary - GRADING'!$CP:$CP,0),53)</f>
        <v>#N/A</v>
      </c>
      <c r="O44" s="153" t="str">
        <f t="array" ref="O44">INDEX('Primary - GRADING'!$A$1:$CP997,MATCH($A44,'Primary - GRADING'!$CP:$CP,0),58)</f>
        <v>#N/A</v>
      </c>
      <c r="P44" s="153" t="str">
        <f t="array" ref="P44">INDEX('Primary - GRADING'!$A$1:$CP997,MATCH($A44,'Primary - GRADING'!$CP:$CP,0),5)</f>
        <v>#N/A</v>
      </c>
      <c r="Q44" s="153" t="str">
        <f t="array" ref="Q44">INDEX('Primary - GRADING'!$A$1:$CP997,MATCH($A44,'Primary - GRADING'!$CP:$CP,0),6)</f>
        <v>#N/A</v>
      </c>
      <c r="R44" s="153" t="str">
        <f t="array" ref="R44">INDEX('Primary - GRADING'!$A$1:$CP997,MATCH($A44,'Primary - GRADING'!$CP:$CP,0),7)</f>
        <v>#N/A</v>
      </c>
      <c r="S44" s="153" t="str">
        <f t="array" ref="S44">INDEX('Primary - GRADING'!$A$1:$CP997,MATCH($A44,'Primary - GRADING'!$CP:$CP,0),8)</f>
        <v>#N/A</v>
      </c>
      <c r="T44" s="153" t="str">
        <f t="array" ref="T44">INDEX('Primary - GRADING'!$A$1:$CP997,MATCH($A44,'Primary - GRADING'!$CP:$CP,0),9)</f>
        <v>#N/A</v>
      </c>
      <c r="U44" s="153" t="str">
        <f t="array" ref="U44">INDEX('Primary - GRADING'!$A$1:$CP997,MATCH($A44,'Primary - GRADING'!$CP:$CP,0),10)</f>
        <v>#N/A</v>
      </c>
      <c r="V44" s="153" t="str">
        <f t="array" ref="V44">INDEX('Primary - GRADING'!$A$1:$CP997,MATCH($A44,'Primary - GRADING'!$CP:$CP,0),18)</f>
        <v>#N/A</v>
      </c>
      <c r="W44" s="153" t="str">
        <f t="array" ref="W44">INDEX('Primary - GRADING'!$A$1:$CP997,MATCH($A44,'Primary - GRADING'!$CP:$CP,0),20)</f>
        <v>#N/A</v>
      </c>
      <c r="X44" s="153" t="str">
        <f t="array" ref="X44">INDEX('Primary - GRADING'!$A$1:$CP997,MATCH($A44,'Primary - GRADING'!$CP:$CP,0),21)</f>
        <v>#N/A</v>
      </c>
      <c r="Y44" s="153" t="str">
        <f t="array" ref="Y44">INDEX('Primary - GRADING'!$A$1:$CP997,MATCH($A44,'Primary - GRADING'!$CP:$CP,0),22)</f>
        <v>#N/A</v>
      </c>
      <c r="Z44" s="165" t="str">
        <f t="array" ref="Z44">INDEX('Primary - GRADING'!$A$1:$CP997,MATCH($A44,'Primary - GRADING'!$CP:$CP,0),23)</f>
        <v>#N/A</v>
      </c>
      <c r="AA44" s="153" t="str">
        <f t="array" ref="AA44">INDEX('Primary - GRADING'!$A$1:$CP997,MATCH($A44,'Primary - GRADING'!$CP:$CP,0),24)</f>
        <v>#N/A</v>
      </c>
      <c r="AB44" s="153" t="str">
        <f t="array" ref="AB44">INDEX('Primary - GRADING'!$A$1:$CP997,MATCH($A44,'Primary - GRADING'!$CP:$CP,0),25)</f>
        <v>#N/A</v>
      </c>
      <c r="AC44" s="153" t="str">
        <f t="array" ref="AC44">INDEX('Primary - GRADING'!$A$1:$CP997,MATCH($A44,'Primary - GRADING'!$CP:$CP,0),46)</f>
        <v>#N/A</v>
      </c>
      <c r="AG44" s="153" t="str">
        <f t="shared" si="7"/>
        <v>#N/A</v>
      </c>
      <c r="AI44" s="153" t="str">
        <f>VLOOKUP(AH44,'Primary - GRADING'!$A$4:$C997,2,)</f>
        <v>#N/A</v>
      </c>
      <c r="AJ44" s="153" t="str">
        <f>VLOOKUP(AH44,'Primary - GRADING'!$A$4:$C997,3,)</f>
        <v>#N/A</v>
      </c>
      <c r="AK44" s="153" t="str">
        <f>VLOOKUP(AH44,'Primary - GRADING'!$A$4:$BG997,59,)</f>
        <v>#N/A</v>
      </c>
      <c r="AL44" s="153" t="str">
        <f>IFS(AK44="NMA",VLOOKUP(AH44,'Primary - GRADING'!$A$4:$BG997,51,),AK44="DIRECT",VLOOKUP(AH44,'Primary - GRADING'!$A$4:$BG997,8,),AK44="INDIRECT",VLOOKUP(AH44,'Primary - GRADING'!$A$4:$BG997,23,))</f>
        <v>#N/A</v>
      </c>
      <c r="AM44" s="153" t="str">
        <f>IFS(AK44="NMA",VLOOKUP(AH44,'Primary - GRADING'!$A$4:$BG997,52,),AK44="DIRECT",VLOOKUP(AH44,'Primary - GRADING'!$A$4:$BG997,9,),AK44="INDIRECT",VLOOKUP(AH44,'Primary - GRADING'!$A$4:$BG997,24,))</f>
        <v>#N/A</v>
      </c>
      <c r="AN44" s="153" t="str">
        <f>IFS(AK44="NMA",VLOOKUP(AH44,'Primary - GRADING'!$A$4:$BG997,53,),AK44="DIRECT",VLOOKUP(AH44,'Primary - GRADING'!$A$4:$BG997,10,),AK44="INDIRECT",VLOOKUP(AH44,'Primary - GRADING'!$A$4:$BG997,25,))</f>
        <v>#N/A</v>
      </c>
      <c r="AO44" s="153" t="str">
        <f t="shared" si="8"/>
        <v>#N/A</v>
      </c>
      <c r="AT44" s="153" t="str">
        <f t="shared" si="9"/>
        <v>#N/A</v>
      </c>
      <c r="AV44" s="153" t="str">
        <f>VLOOKUP(AU44,'Primary - GRADING'!$A$4:$C997,2,)</f>
        <v>#N/A</v>
      </c>
      <c r="AW44" s="153" t="str">
        <f>VLOOKUP(AU44,'Primary - GRADING'!$A$4:$C997,3,)</f>
        <v>#N/A</v>
      </c>
      <c r="AX44" s="153" t="str">
        <f>VLOOKUP(AU44,'Primary - GRADING'!$A$4:$BG997,59,)</f>
        <v>#N/A</v>
      </c>
      <c r="AY44" s="153" t="str">
        <f>IFS(AX44="NMA",VLOOKUP(AU44,'Primary - GRADING'!$A$4:$BG997,51,),AX44="DIRECT",VLOOKUP(AU44,'Primary - GRADING'!$A$4:$BG997,8,),AX44="INDIRECT",VLOOKUP(AU44,'Primary - GRADING'!$A$4:$BG997,23,))</f>
        <v>#N/A</v>
      </c>
      <c r="AZ44" s="153" t="str">
        <f>IFS(AX44="NMA",VLOOKUP(AU44,'Primary - GRADING'!$A$4:$BG997,52,),AX44="DIRECT",VLOOKUP(AU44,'Primary - GRADING'!$A$4:$BG997,9,),AX44="INDIRECT",VLOOKUP(AU44,'Primary - GRADING'!$A$4:$BG997,24,))</f>
        <v>#N/A</v>
      </c>
      <c r="BA44" s="153" t="str">
        <f>IFS(AX44="NMA",VLOOKUP(AU44,'Primary - GRADING'!$A$4:$BG997,53,),AX44="DIRECT",VLOOKUP(AU44,'Primary - GRADING'!$A$4:$BG997,10,),AX44="INDIRECT",VLOOKUP(AU44,'Primary - GRADING'!$A$4:$BG997,25,))</f>
        <v>#N/A</v>
      </c>
      <c r="BB44" s="153" t="str">
        <f t="shared" si="10"/>
        <v>#N/A</v>
      </c>
      <c r="BE44" s="153" t="str">
        <f t="shared" si="11"/>
        <v/>
      </c>
      <c r="BG44" s="153" t="str">
        <f t="shared" si="12"/>
        <v>#N/A</v>
      </c>
      <c r="BI44" s="153" t="str">
        <f t="shared" si="13"/>
        <v>#N/A</v>
      </c>
      <c r="BK44" s="153" t="str">
        <f t="shared" si="14"/>
        <v>#N/A</v>
      </c>
      <c r="BM44" s="153" t="str">
        <f t="shared" si="15"/>
        <v>#N/A</v>
      </c>
    </row>
    <row r="45" ht="15.75" customHeight="1">
      <c r="B45" s="160" t="str">
        <f t="shared" si="1"/>
        <v>#N/A</v>
      </c>
      <c r="C45" s="160" t="str">
        <f t="shared" si="2"/>
        <v>#N/A</v>
      </c>
      <c r="D45" s="160" t="str">
        <f t="shared" si="3"/>
        <v>#N/A</v>
      </c>
      <c r="E45" s="161" t="str">
        <f t="shared" si="4"/>
        <v>#N/A</v>
      </c>
      <c r="F45" s="153" t="str">
        <f t="shared" si="17"/>
        <v>#N/A</v>
      </c>
      <c r="G45" s="153" t="str">
        <f t="shared" si="6"/>
        <v>#N/A</v>
      </c>
      <c r="H45" s="156" t="str">
        <f t="array" ref="H45">INDEX('Primary - GRADING'!$A$1:$BG997,MATCH($A45,'Primary - GRADING'!$B:$B,0),59)</f>
        <v>#N/A</v>
      </c>
      <c r="I45" s="153" t="str">
        <f t="array" ref="I45">INDEX('Primary - GRADING'!$A$1:$CP997,MATCH($A45,'Primary - GRADING'!$CP:$CP,0),48)</f>
        <v>#N/A</v>
      </c>
      <c r="J45" s="153" t="str">
        <f t="array" ref="J45">INDEX('Primary - GRADING'!$A$1:$CP997,MATCH($A45,'Primary - GRADING'!$CP:$CP,0),49)</f>
        <v>#N/A</v>
      </c>
      <c r="K45" s="153" t="str">
        <f t="array" ref="K45">INDEX('Primary - GRADING'!$A$1:$CP997,MATCH($A45,'Primary - GRADING'!$CP:$CP,0),50)</f>
        <v>#N/A</v>
      </c>
      <c r="L45" s="153" t="str">
        <f t="array" ref="L45">INDEX('Primary - GRADING'!$A$1:$CP997,MATCH($A45,'Primary - GRADING'!$CP:$CP,0),51)</f>
        <v>#N/A</v>
      </c>
      <c r="M45" s="153" t="str">
        <f t="array" ref="M45">INDEX('Primary - GRADING'!$A$1:$CP997,MATCH($A45,'Primary - GRADING'!$CP:$CP,0),52)</f>
        <v>#N/A</v>
      </c>
      <c r="N45" s="153" t="str">
        <f t="array" ref="N45">INDEX('Primary - GRADING'!$A$1:$CP997,MATCH($A45,'Primary - GRADING'!$CP:$CP,0),53)</f>
        <v>#N/A</v>
      </c>
      <c r="O45" s="153" t="str">
        <f t="array" ref="O45">INDEX('Primary - GRADING'!$A$1:$CP997,MATCH($A45,'Primary - GRADING'!$CP:$CP,0),58)</f>
        <v>#N/A</v>
      </c>
      <c r="P45" s="153" t="str">
        <f t="array" ref="P45">INDEX('Primary - GRADING'!$A$1:$CP997,MATCH($A45,'Primary - GRADING'!$CP:$CP,0),5)</f>
        <v>#N/A</v>
      </c>
      <c r="Q45" s="153" t="str">
        <f t="array" ref="Q45">INDEX('Primary - GRADING'!$A$1:$CP997,MATCH($A45,'Primary - GRADING'!$CP:$CP,0),6)</f>
        <v>#N/A</v>
      </c>
      <c r="R45" s="153" t="str">
        <f t="array" ref="R45">INDEX('Primary - GRADING'!$A$1:$CP997,MATCH($A45,'Primary - GRADING'!$CP:$CP,0),7)</f>
        <v>#N/A</v>
      </c>
      <c r="S45" s="153" t="str">
        <f t="array" ref="S45">INDEX('Primary - GRADING'!$A$1:$CP997,MATCH($A45,'Primary - GRADING'!$CP:$CP,0),8)</f>
        <v>#N/A</v>
      </c>
      <c r="T45" s="153" t="str">
        <f t="array" ref="T45">INDEX('Primary - GRADING'!$A$1:$CP997,MATCH($A45,'Primary - GRADING'!$CP:$CP,0),9)</f>
        <v>#N/A</v>
      </c>
      <c r="U45" s="153" t="str">
        <f t="array" ref="U45">INDEX('Primary - GRADING'!$A$1:$CP997,MATCH($A45,'Primary - GRADING'!$CP:$CP,0),10)</f>
        <v>#N/A</v>
      </c>
      <c r="V45" s="153" t="str">
        <f t="array" ref="V45">INDEX('Primary - GRADING'!$A$1:$CP997,MATCH($A45,'Primary - GRADING'!$CP:$CP,0),18)</f>
        <v>#N/A</v>
      </c>
      <c r="W45" s="153" t="str">
        <f t="array" ref="W45">INDEX('Primary - GRADING'!$A$1:$CP997,MATCH($A45,'Primary - GRADING'!$CP:$CP,0),20)</f>
        <v>#N/A</v>
      </c>
      <c r="X45" s="153" t="str">
        <f t="array" ref="X45">INDEX('Primary - GRADING'!$A$1:$CP997,MATCH($A45,'Primary - GRADING'!$CP:$CP,0),21)</f>
        <v>#N/A</v>
      </c>
      <c r="Y45" s="153" t="str">
        <f t="array" ref="Y45">INDEX('Primary - GRADING'!$A$1:$CP997,MATCH($A45,'Primary - GRADING'!$CP:$CP,0),22)</f>
        <v>#N/A</v>
      </c>
      <c r="Z45" s="165" t="str">
        <f t="array" ref="Z45">INDEX('Primary - GRADING'!$A$1:$CP997,MATCH($A45,'Primary - GRADING'!$CP:$CP,0),23)</f>
        <v>#N/A</v>
      </c>
      <c r="AA45" s="153" t="str">
        <f t="array" ref="AA45">INDEX('Primary - GRADING'!$A$1:$CP997,MATCH($A45,'Primary - GRADING'!$CP:$CP,0),24)</f>
        <v>#N/A</v>
      </c>
      <c r="AB45" s="153" t="str">
        <f t="array" ref="AB45">INDEX('Primary - GRADING'!$A$1:$CP997,MATCH($A45,'Primary - GRADING'!$CP:$CP,0),25)</f>
        <v>#N/A</v>
      </c>
      <c r="AC45" s="153" t="str">
        <f t="array" ref="AC45">INDEX('Primary - GRADING'!$A$1:$CP997,MATCH($A45,'Primary - GRADING'!$CP:$CP,0),46)</f>
        <v>#N/A</v>
      </c>
      <c r="AG45" s="153" t="str">
        <f t="shared" si="7"/>
        <v>#N/A</v>
      </c>
      <c r="AI45" s="153" t="str">
        <f>VLOOKUP(AH45,'Primary - GRADING'!$A$4:$C997,2,)</f>
        <v>#N/A</v>
      </c>
      <c r="AJ45" s="153" t="str">
        <f>VLOOKUP(AH45,'Primary - GRADING'!$A$4:$C997,3,)</f>
        <v>#N/A</v>
      </c>
      <c r="AK45" s="153" t="str">
        <f>VLOOKUP(AH45,'Primary - GRADING'!$A$4:$BG997,59,)</f>
        <v>#N/A</v>
      </c>
      <c r="AL45" s="153" t="str">
        <f>IFS(AK45="NMA",VLOOKUP(AH45,'Primary - GRADING'!$A$4:$BG997,51,),AK45="DIRECT",VLOOKUP(AH45,'Primary - GRADING'!$A$4:$BG997,8,),AK45="INDIRECT",VLOOKUP(AH45,'Primary - GRADING'!$A$4:$BG997,23,))</f>
        <v>#N/A</v>
      </c>
      <c r="AM45" s="153" t="str">
        <f>IFS(AK45="NMA",VLOOKUP(AH45,'Primary - GRADING'!$A$4:$BG997,52,),AK45="DIRECT",VLOOKUP(AH45,'Primary - GRADING'!$A$4:$BG997,9,),AK45="INDIRECT",VLOOKUP(AH45,'Primary - GRADING'!$A$4:$BG997,24,))</f>
        <v>#N/A</v>
      </c>
      <c r="AN45" s="153" t="str">
        <f>IFS(AK45="NMA",VLOOKUP(AH45,'Primary - GRADING'!$A$4:$BG997,53,),AK45="DIRECT",VLOOKUP(AH45,'Primary - GRADING'!$A$4:$BG997,10,),AK45="INDIRECT",VLOOKUP(AH45,'Primary - GRADING'!$A$4:$BG997,25,))</f>
        <v>#N/A</v>
      </c>
      <c r="AO45" s="153" t="str">
        <f t="shared" si="8"/>
        <v>#N/A</v>
      </c>
      <c r="AT45" s="153" t="str">
        <f t="shared" si="9"/>
        <v>#N/A</v>
      </c>
      <c r="AV45" s="153" t="str">
        <f>VLOOKUP(AU45,'Primary - GRADING'!$A$4:$C997,2,)</f>
        <v>#N/A</v>
      </c>
      <c r="AW45" s="153" t="str">
        <f>VLOOKUP(AU45,'Primary - GRADING'!$A$4:$C997,3,)</f>
        <v>#N/A</v>
      </c>
      <c r="AX45" s="153" t="str">
        <f>VLOOKUP(AU45,'Primary - GRADING'!$A$4:$BG997,59,)</f>
        <v>#N/A</v>
      </c>
      <c r="AY45" s="153" t="str">
        <f>IFS(AX45="NMA",VLOOKUP(AU45,'Primary - GRADING'!$A$4:$BG997,51,),AX45="DIRECT",VLOOKUP(AU45,'Primary - GRADING'!$A$4:$BG997,8,),AX45="INDIRECT",VLOOKUP(AU45,'Primary - GRADING'!$A$4:$BG997,23,))</f>
        <v>#N/A</v>
      </c>
      <c r="AZ45" s="153" t="str">
        <f>IFS(AX45="NMA",VLOOKUP(AU45,'Primary - GRADING'!$A$4:$BG997,52,),AX45="DIRECT",VLOOKUP(AU45,'Primary - GRADING'!$A$4:$BG997,9,),AX45="INDIRECT",VLOOKUP(AU45,'Primary - GRADING'!$A$4:$BG997,24,))</f>
        <v>#N/A</v>
      </c>
      <c r="BA45" s="153" t="str">
        <f>IFS(AX45="NMA",VLOOKUP(AU45,'Primary - GRADING'!$A$4:$BG997,53,),AX45="DIRECT",VLOOKUP(AU45,'Primary - GRADING'!$A$4:$BG997,10,),AX45="INDIRECT",VLOOKUP(AU45,'Primary - GRADING'!$A$4:$BG997,25,))</f>
        <v>#N/A</v>
      </c>
      <c r="BB45" s="153" t="str">
        <f t="shared" si="10"/>
        <v>#N/A</v>
      </c>
      <c r="BE45" s="153" t="str">
        <f t="shared" si="11"/>
        <v/>
      </c>
      <c r="BG45" s="153" t="str">
        <f t="shared" si="12"/>
        <v>#N/A</v>
      </c>
      <c r="BI45" s="153" t="str">
        <f t="shared" si="13"/>
        <v>#N/A</v>
      </c>
      <c r="BK45" s="153" t="str">
        <f t="shared" si="14"/>
        <v>#N/A</v>
      </c>
      <c r="BM45" s="153" t="str">
        <f t="shared" si="15"/>
        <v>#N/A</v>
      </c>
    </row>
    <row r="46" ht="15.75" customHeight="1">
      <c r="B46" s="160" t="str">
        <f t="shared" si="1"/>
        <v>#N/A</v>
      </c>
      <c r="C46" s="160" t="str">
        <f t="shared" si="2"/>
        <v>#N/A</v>
      </c>
      <c r="D46" s="160" t="str">
        <f t="shared" si="3"/>
        <v>#N/A</v>
      </c>
      <c r="E46" s="161" t="str">
        <f t="shared" si="4"/>
        <v>#N/A</v>
      </c>
      <c r="F46" s="153" t="str">
        <f t="shared" si="17"/>
        <v>#N/A</v>
      </c>
      <c r="G46" s="153" t="str">
        <f t="shared" si="6"/>
        <v>#N/A</v>
      </c>
      <c r="H46" s="156" t="str">
        <f t="array" ref="H46">INDEX('Primary - GRADING'!$A$1:$BG997,MATCH($A46,'Primary - GRADING'!$B:$B,0),59)</f>
        <v>#N/A</v>
      </c>
      <c r="I46" s="153" t="str">
        <f t="array" ref="I46">INDEX('Primary - GRADING'!$A$1:$CP997,MATCH($A46,'Primary - GRADING'!$CP:$CP,0),48)</f>
        <v>#N/A</v>
      </c>
      <c r="J46" s="153" t="str">
        <f t="array" ref="J46">INDEX('Primary - GRADING'!$A$1:$CP997,MATCH($A46,'Primary - GRADING'!$CP:$CP,0),49)</f>
        <v>#N/A</v>
      </c>
      <c r="K46" s="153" t="str">
        <f t="array" ref="K46">INDEX('Primary - GRADING'!$A$1:$CP997,MATCH($A46,'Primary - GRADING'!$CP:$CP,0),50)</f>
        <v>#N/A</v>
      </c>
      <c r="L46" s="153" t="str">
        <f t="array" ref="L46">INDEX('Primary - GRADING'!$A$1:$CP997,MATCH($A46,'Primary - GRADING'!$CP:$CP,0),51)</f>
        <v>#N/A</v>
      </c>
      <c r="M46" s="153" t="str">
        <f t="array" ref="M46">INDEX('Primary - GRADING'!$A$1:$CP997,MATCH($A46,'Primary - GRADING'!$CP:$CP,0),52)</f>
        <v>#N/A</v>
      </c>
      <c r="N46" s="153" t="str">
        <f t="array" ref="N46">INDEX('Primary - GRADING'!$A$1:$CP997,MATCH($A46,'Primary - GRADING'!$CP:$CP,0),53)</f>
        <v>#N/A</v>
      </c>
      <c r="O46" s="153" t="str">
        <f t="array" ref="O46">INDEX('Primary - GRADING'!$A$1:$CP997,MATCH($A46,'Primary - GRADING'!$CP:$CP,0),58)</f>
        <v>#N/A</v>
      </c>
      <c r="P46" s="153" t="str">
        <f t="array" ref="P46">INDEX('Primary - GRADING'!$A$1:$CP997,MATCH($A46,'Primary - GRADING'!$CP:$CP,0),5)</f>
        <v>#N/A</v>
      </c>
      <c r="Q46" s="153" t="str">
        <f t="array" ref="Q46">INDEX('Primary - GRADING'!$A$1:$CP997,MATCH($A46,'Primary - GRADING'!$CP:$CP,0),6)</f>
        <v>#N/A</v>
      </c>
      <c r="R46" s="153" t="str">
        <f t="array" ref="R46">INDEX('Primary - GRADING'!$A$1:$CP997,MATCH($A46,'Primary - GRADING'!$CP:$CP,0),7)</f>
        <v>#N/A</v>
      </c>
      <c r="S46" s="153" t="str">
        <f t="array" ref="S46">INDEX('Primary - GRADING'!$A$1:$CP997,MATCH($A46,'Primary - GRADING'!$CP:$CP,0),8)</f>
        <v>#N/A</v>
      </c>
      <c r="T46" s="153" t="str">
        <f t="array" ref="T46">INDEX('Primary - GRADING'!$A$1:$CP997,MATCH($A46,'Primary - GRADING'!$CP:$CP,0),9)</f>
        <v>#N/A</v>
      </c>
      <c r="U46" s="153" t="str">
        <f t="array" ref="U46">INDEX('Primary - GRADING'!$A$1:$CP997,MATCH($A46,'Primary - GRADING'!$CP:$CP,0),10)</f>
        <v>#N/A</v>
      </c>
      <c r="V46" s="153" t="str">
        <f t="array" ref="V46">INDEX('Primary - GRADING'!$A$1:$CP997,MATCH($A46,'Primary - GRADING'!$CP:$CP,0),18)</f>
        <v>#N/A</v>
      </c>
      <c r="W46" s="153" t="str">
        <f t="array" ref="W46">INDEX('Primary - GRADING'!$A$1:$CP997,MATCH($A46,'Primary - GRADING'!$CP:$CP,0),20)</f>
        <v>#N/A</v>
      </c>
      <c r="X46" s="153" t="str">
        <f t="array" ref="X46">INDEX('Primary - GRADING'!$A$1:$CP997,MATCH($A46,'Primary - GRADING'!$CP:$CP,0),21)</f>
        <v>#N/A</v>
      </c>
      <c r="Y46" s="153" t="str">
        <f t="array" ref="Y46">INDEX('Primary - GRADING'!$A$1:$CP997,MATCH($A46,'Primary - GRADING'!$CP:$CP,0),22)</f>
        <v>#N/A</v>
      </c>
      <c r="Z46" s="165" t="str">
        <f t="array" ref="Z46">INDEX('Primary - GRADING'!$A$1:$CP997,MATCH($A46,'Primary - GRADING'!$CP:$CP,0),23)</f>
        <v>#N/A</v>
      </c>
      <c r="AA46" s="153" t="str">
        <f t="array" ref="AA46">INDEX('Primary - GRADING'!$A$1:$CP997,MATCH($A46,'Primary - GRADING'!$CP:$CP,0),24)</f>
        <v>#N/A</v>
      </c>
      <c r="AB46" s="153" t="str">
        <f t="array" ref="AB46">INDEX('Primary - GRADING'!$A$1:$CP997,MATCH($A46,'Primary - GRADING'!$CP:$CP,0),25)</f>
        <v>#N/A</v>
      </c>
      <c r="AC46" s="153" t="str">
        <f t="array" ref="AC46">INDEX('Primary - GRADING'!$A$1:$CP997,MATCH($A46,'Primary - GRADING'!$CP:$CP,0),46)</f>
        <v>#N/A</v>
      </c>
      <c r="AG46" s="153" t="str">
        <f t="shared" si="7"/>
        <v>#N/A</v>
      </c>
      <c r="AI46" s="153" t="str">
        <f>VLOOKUP(AH46,'Primary - GRADING'!$A$4:$C997,2,)</f>
        <v>#N/A</v>
      </c>
      <c r="AJ46" s="153" t="str">
        <f>VLOOKUP(AH46,'Primary - GRADING'!$A$4:$C997,3,)</f>
        <v>#N/A</v>
      </c>
      <c r="AK46" s="153" t="str">
        <f>VLOOKUP(AH46,'Primary - GRADING'!$A$4:$BG997,59,)</f>
        <v>#N/A</v>
      </c>
      <c r="AL46" s="153" t="str">
        <f>IFS(AK46="NMA",VLOOKUP(AH46,'Primary - GRADING'!$A$4:$BG997,51,),AK46="DIRECT",VLOOKUP(AH46,'Primary - GRADING'!$A$4:$BG997,8,),AK46="INDIRECT",VLOOKUP(AH46,'Primary - GRADING'!$A$4:$BG997,23,))</f>
        <v>#N/A</v>
      </c>
      <c r="AM46" s="153" t="str">
        <f>IFS(AK46="NMA",VLOOKUP(AH46,'Primary - GRADING'!$A$4:$BG997,52,),AK46="DIRECT",VLOOKUP(AH46,'Primary - GRADING'!$A$4:$BG997,9,),AK46="INDIRECT",VLOOKUP(AH46,'Primary - GRADING'!$A$4:$BG997,24,))</f>
        <v>#N/A</v>
      </c>
      <c r="AN46" s="153" t="str">
        <f>IFS(AK46="NMA",VLOOKUP(AH46,'Primary - GRADING'!$A$4:$BG997,53,),AK46="DIRECT",VLOOKUP(AH46,'Primary - GRADING'!$A$4:$BG997,10,),AK46="INDIRECT",VLOOKUP(AH46,'Primary - GRADING'!$A$4:$BG997,25,))</f>
        <v>#N/A</v>
      </c>
      <c r="AO46" s="153" t="str">
        <f t="shared" si="8"/>
        <v>#N/A</v>
      </c>
      <c r="AT46" s="153" t="str">
        <f t="shared" si="9"/>
        <v>#N/A</v>
      </c>
      <c r="AV46" s="153" t="str">
        <f>VLOOKUP(AU46,'Primary - GRADING'!$A$4:$C997,2,)</f>
        <v>#N/A</v>
      </c>
      <c r="AW46" s="153" t="str">
        <f>VLOOKUP(AU46,'Primary - GRADING'!$A$4:$C997,3,)</f>
        <v>#N/A</v>
      </c>
      <c r="AX46" s="153" t="str">
        <f>VLOOKUP(AU46,'Primary - GRADING'!$A$4:$BG997,59,)</f>
        <v>#N/A</v>
      </c>
      <c r="AY46" s="153" t="str">
        <f>IFS(AX46="NMA",VLOOKUP(AU46,'Primary - GRADING'!$A$4:$BG997,51,),AX46="DIRECT",VLOOKUP(AU46,'Primary - GRADING'!$A$4:$BG997,8,),AX46="INDIRECT",VLOOKUP(AU46,'Primary - GRADING'!$A$4:$BG997,23,))</f>
        <v>#N/A</v>
      </c>
      <c r="AZ46" s="153" t="str">
        <f>IFS(AX46="NMA",VLOOKUP(AU46,'Primary - GRADING'!$A$4:$BG997,52,),AX46="DIRECT",VLOOKUP(AU46,'Primary - GRADING'!$A$4:$BG997,9,),AX46="INDIRECT",VLOOKUP(AU46,'Primary - GRADING'!$A$4:$BG997,24,))</f>
        <v>#N/A</v>
      </c>
      <c r="BA46" s="153" t="str">
        <f>IFS(AX46="NMA",VLOOKUP(AU46,'Primary - GRADING'!$A$4:$BG997,53,),AX46="DIRECT",VLOOKUP(AU46,'Primary - GRADING'!$A$4:$BG997,10,),AX46="INDIRECT",VLOOKUP(AU46,'Primary - GRADING'!$A$4:$BG997,25,))</f>
        <v>#N/A</v>
      </c>
      <c r="BB46" s="153" t="str">
        <f t="shared" si="10"/>
        <v>#N/A</v>
      </c>
      <c r="BE46" s="153" t="str">
        <f t="shared" si="11"/>
        <v/>
      </c>
      <c r="BG46" s="153" t="str">
        <f t="shared" si="12"/>
        <v>#N/A</v>
      </c>
      <c r="BI46" s="153" t="str">
        <f t="shared" si="13"/>
        <v>#N/A</v>
      </c>
      <c r="BK46" s="153" t="str">
        <f t="shared" si="14"/>
        <v>#N/A</v>
      </c>
      <c r="BM46" s="153" t="str">
        <f t="shared" si="15"/>
        <v>#N/A</v>
      </c>
    </row>
    <row r="47" ht="15.75" customHeight="1">
      <c r="B47" s="160" t="str">
        <f t="shared" si="1"/>
        <v>#N/A</v>
      </c>
      <c r="C47" s="160" t="str">
        <f t="shared" si="2"/>
        <v>#N/A</v>
      </c>
      <c r="D47" s="160" t="str">
        <f t="shared" si="3"/>
        <v>#N/A</v>
      </c>
      <c r="E47" s="161" t="str">
        <f t="shared" si="4"/>
        <v>#N/A</v>
      </c>
      <c r="F47" s="153" t="str">
        <f t="shared" si="17"/>
        <v>#N/A</v>
      </c>
      <c r="G47" s="153" t="str">
        <f t="shared" si="6"/>
        <v>#N/A</v>
      </c>
      <c r="H47" s="156" t="str">
        <f t="array" ref="H47">INDEX('Primary - GRADING'!$A$1:$BG997,MATCH($A47,'Primary - GRADING'!$B:$B,0),59)</f>
        <v>#N/A</v>
      </c>
      <c r="I47" s="153" t="str">
        <f t="array" ref="I47">INDEX('Primary - GRADING'!$A$1:$CP997,MATCH($A47,'Primary - GRADING'!$CP:$CP,0),48)</f>
        <v>#N/A</v>
      </c>
      <c r="J47" s="153" t="str">
        <f t="array" ref="J47">INDEX('Primary - GRADING'!$A$1:$CP997,MATCH($A47,'Primary - GRADING'!$CP:$CP,0),49)</f>
        <v>#N/A</v>
      </c>
      <c r="K47" s="153" t="str">
        <f t="array" ref="K47">INDEX('Primary - GRADING'!$A$1:$CP997,MATCH($A47,'Primary - GRADING'!$CP:$CP,0),50)</f>
        <v>#N/A</v>
      </c>
      <c r="L47" s="153" t="str">
        <f t="array" ref="L47">INDEX('Primary - GRADING'!$A$1:$CP997,MATCH($A47,'Primary - GRADING'!$CP:$CP,0),51)</f>
        <v>#N/A</v>
      </c>
      <c r="M47" s="153" t="str">
        <f t="array" ref="M47">INDEX('Primary - GRADING'!$A$1:$CP997,MATCH($A47,'Primary - GRADING'!$CP:$CP,0),52)</f>
        <v>#N/A</v>
      </c>
      <c r="N47" s="153" t="str">
        <f t="array" ref="N47">INDEX('Primary - GRADING'!$A$1:$CP997,MATCH($A47,'Primary - GRADING'!$CP:$CP,0),53)</f>
        <v>#N/A</v>
      </c>
      <c r="O47" s="153" t="str">
        <f t="array" ref="O47">INDEX('Primary - GRADING'!$A$1:$CP997,MATCH($A47,'Primary - GRADING'!$CP:$CP,0),58)</f>
        <v>#N/A</v>
      </c>
      <c r="P47" s="153" t="str">
        <f t="array" ref="P47">INDEX('Primary - GRADING'!$A$1:$CP997,MATCH($A47,'Primary - GRADING'!$CP:$CP,0),5)</f>
        <v>#N/A</v>
      </c>
      <c r="Q47" s="153" t="str">
        <f t="array" ref="Q47">INDEX('Primary - GRADING'!$A$1:$CP997,MATCH($A47,'Primary - GRADING'!$CP:$CP,0),6)</f>
        <v>#N/A</v>
      </c>
      <c r="R47" s="153" t="str">
        <f t="array" ref="R47">INDEX('Primary - GRADING'!$A$1:$CP997,MATCH($A47,'Primary - GRADING'!$CP:$CP,0),7)</f>
        <v>#N/A</v>
      </c>
      <c r="S47" s="153" t="str">
        <f t="array" ref="S47">INDEX('Primary - GRADING'!$A$1:$CP997,MATCH($A47,'Primary - GRADING'!$CP:$CP,0),8)</f>
        <v>#N/A</v>
      </c>
      <c r="T47" s="153" t="str">
        <f t="array" ref="T47">INDEX('Primary - GRADING'!$A$1:$CP997,MATCH($A47,'Primary - GRADING'!$CP:$CP,0),9)</f>
        <v>#N/A</v>
      </c>
      <c r="U47" s="153" t="str">
        <f t="array" ref="U47">INDEX('Primary - GRADING'!$A$1:$CP997,MATCH($A47,'Primary - GRADING'!$CP:$CP,0),10)</f>
        <v>#N/A</v>
      </c>
      <c r="V47" s="153" t="str">
        <f t="array" ref="V47">INDEX('Primary - GRADING'!$A$1:$CP997,MATCH($A47,'Primary - GRADING'!$CP:$CP,0),18)</f>
        <v>#N/A</v>
      </c>
      <c r="W47" s="153" t="str">
        <f t="array" ref="W47">INDEX('Primary - GRADING'!$A$1:$CP997,MATCH($A47,'Primary - GRADING'!$CP:$CP,0),20)</f>
        <v>#N/A</v>
      </c>
      <c r="X47" s="153" t="str">
        <f t="array" ref="X47">INDEX('Primary - GRADING'!$A$1:$CP997,MATCH($A47,'Primary - GRADING'!$CP:$CP,0),21)</f>
        <v>#N/A</v>
      </c>
      <c r="Y47" s="153" t="str">
        <f t="array" ref="Y47">INDEX('Primary - GRADING'!$A$1:$CP997,MATCH($A47,'Primary - GRADING'!$CP:$CP,0),22)</f>
        <v>#N/A</v>
      </c>
      <c r="Z47" s="165" t="str">
        <f t="array" ref="Z47">INDEX('Primary - GRADING'!$A$1:$CP997,MATCH($A47,'Primary - GRADING'!$CP:$CP,0),23)</f>
        <v>#N/A</v>
      </c>
      <c r="AA47" s="153" t="str">
        <f t="array" ref="AA47">INDEX('Primary - GRADING'!$A$1:$CP997,MATCH($A47,'Primary - GRADING'!$CP:$CP,0),24)</f>
        <v>#N/A</v>
      </c>
      <c r="AB47" s="153" t="str">
        <f t="array" ref="AB47">INDEX('Primary - GRADING'!$A$1:$CP997,MATCH($A47,'Primary - GRADING'!$CP:$CP,0),25)</f>
        <v>#N/A</v>
      </c>
      <c r="AC47" s="153" t="str">
        <f t="array" ref="AC47">INDEX('Primary - GRADING'!$A$1:$CP997,MATCH($A47,'Primary - GRADING'!$CP:$CP,0),46)</f>
        <v>#N/A</v>
      </c>
      <c r="AG47" s="153" t="str">
        <f t="shared" si="7"/>
        <v>#N/A</v>
      </c>
      <c r="AI47" s="153" t="str">
        <f>VLOOKUP(AH47,'Primary - GRADING'!$A$4:$C997,2,)</f>
        <v>#N/A</v>
      </c>
      <c r="AJ47" s="153" t="str">
        <f>VLOOKUP(AH47,'Primary - GRADING'!$A$4:$C997,3,)</f>
        <v>#N/A</v>
      </c>
      <c r="AK47" s="153" t="str">
        <f>VLOOKUP(AH47,'Primary - GRADING'!$A$4:$BG997,59,)</f>
        <v>#N/A</v>
      </c>
      <c r="AL47" s="153" t="str">
        <f>IFS(AK47="NMA",VLOOKUP(AH47,'Primary - GRADING'!$A$4:$BG997,51,),AK47="DIRECT",VLOOKUP(AH47,'Primary - GRADING'!$A$4:$BG997,8,),AK47="INDIRECT",VLOOKUP(AH47,'Primary - GRADING'!$A$4:$BG997,23,))</f>
        <v>#N/A</v>
      </c>
      <c r="AM47" s="153" t="str">
        <f>IFS(AK47="NMA",VLOOKUP(AH47,'Primary - GRADING'!$A$4:$BG997,52,),AK47="DIRECT",VLOOKUP(AH47,'Primary - GRADING'!$A$4:$BG997,9,),AK47="INDIRECT",VLOOKUP(AH47,'Primary - GRADING'!$A$4:$BG997,24,))</f>
        <v>#N/A</v>
      </c>
      <c r="AN47" s="153" t="str">
        <f>IFS(AK47="NMA",VLOOKUP(AH47,'Primary - GRADING'!$A$4:$BG997,53,),AK47="DIRECT",VLOOKUP(AH47,'Primary - GRADING'!$A$4:$BG997,10,),AK47="INDIRECT",VLOOKUP(AH47,'Primary - GRADING'!$A$4:$BG997,25,))</f>
        <v>#N/A</v>
      </c>
      <c r="AO47" s="153" t="str">
        <f t="shared" si="8"/>
        <v>#N/A</v>
      </c>
      <c r="AT47" s="153" t="str">
        <f t="shared" si="9"/>
        <v>#N/A</v>
      </c>
      <c r="AV47" s="153" t="str">
        <f>VLOOKUP(AU47,'Primary - GRADING'!$A$4:$C997,2,)</f>
        <v>#N/A</v>
      </c>
      <c r="AW47" s="153" t="str">
        <f>VLOOKUP(AU47,'Primary - GRADING'!$A$4:$C997,3,)</f>
        <v>#N/A</v>
      </c>
      <c r="AX47" s="153" t="str">
        <f>VLOOKUP(AU47,'Primary - GRADING'!$A$4:$BG997,59,)</f>
        <v>#N/A</v>
      </c>
      <c r="AY47" s="153" t="str">
        <f>IFS(AX47="NMA",VLOOKUP(AU47,'Primary - GRADING'!$A$4:$BG997,51,),AX47="DIRECT",VLOOKUP(AU47,'Primary - GRADING'!$A$4:$BG997,8,),AX47="INDIRECT",VLOOKUP(AU47,'Primary - GRADING'!$A$4:$BG997,23,))</f>
        <v>#N/A</v>
      </c>
      <c r="AZ47" s="153" t="str">
        <f>IFS(AX47="NMA",VLOOKUP(AU47,'Primary - GRADING'!$A$4:$BG997,52,),AX47="DIRECT",VLOOKUP(AU47,'Primary - GRADING'!$A$4:$BG997,9,),AX47="INDIRECT",VLOOKUP(AU47,'Primary - GRADING'!$A$4:$BG997,24,))</f>
        <v>#N/A</v>
      </c>
      <c r="BA47" s="153" t="str">
        <f>IFS(AX47="NMA",VLOOKUP(AU47,'Primary - GRADING'!$A$4:$BG997,53,),AX47="DIRECT",VLOOKUP(AU47,'Primary - GRADING'!$A$4:$BG997,10,),AX47="INDIRECT",VLOOKUP(AU47,'Primary - GRADING'!$A$4:$BG997,25,))</f>
        <v>#N/A</v>
      </c>
      <c r="BB47" s="153" t="str">
        <f t="shared" si="10"/>
        <v>#N/A</v>
      </c>
      <c r="BE47" s="153" t="str">
        <f t="shared" si="11"/>
        <v/>
      </c>
      <c r="BG47" s="153" t="str">
        <f t="shared" si="12"/>
        <v>#N/A</v>
      </c>
      <c r="BI47" s="153" t="str">
        <f t="shared" si="13"/>
        <v>#N/A</v>
      </c>
      <c r="BK47" s="153" t="str">
        <f t="shared" si="14"/>
        <v>#N/A</v>
      </c>
      <c r="BM47" s="153" t="str">
        <f t="shared" si="15"/>
        <v>#N/A</v>
      </c>
    </row>
    <row r="48" ht="15.75" customHeight="1">
      <c r="A48" s="64"/>
      <c r="B48" s="160" t="str">
        <f t="shared" si="1"/>
        <v>#N/A</v>
      </c>
      <c r="C48" s="160" t="str">
        <f t="shared" si="2"/>
        <v>#N/A</v>
      </c>
      <c r="D48" s="160" t="str">
        <f t="shared" si="3"/>
        <v>#N/A</v>
      </c>
      <c r="E48" s="161" t="str">
        <f t="shared" si="4"/>
        <v>#N/A</v>
      </c>
      <c r="F48" s="153" t="str">
        <f t="shared" si="17"/>
        <v>#N/A</v>
      </c>
      <c r="G48" s="153" t="str">
        <f t="shared" si="6"/>
        <v>#N/A</v>
      </c>
      <c r="H48" s="156" t="str">
        <f t="array" ref="H48">INDEX('Primary - GRADING'!$A$1:$BG997,MATCH($A48,'Primary - GRADING'!$B:$B,0),59)</f>
        <v>#N/A</v>
      </c>
      <c r="I48" s="153" t="str">
        <f t="array" ref="I48">INDEX('Primary - GRADING'!$A$1:$CP997,MATCH($A48,'Primary - GRADING'!$CP:$CP,0),48)</f>
        <v>#N/A</v>
      </c>
      <c r="J48" s="153" t="str">
        <f t="array" ref="J48">INDEX('Primary - GRADING'!$A$1:$CP997,MATCH($A48,'Primary - GRADING'!$CP:$CP,0),49)</f>
        <v>#N/A</v>
      </c>
      <c r="K48" s="153" t="str">
        <f t="array" ref="K48">INDEX('Primary - GRADING'!$A$1:$CP997,MATCH($A48,'Primary - GRADING'!$CP:$CP,0),50)</f>
        <v>#N/A</v>
      </c>
      <c r="L48" s="153" t="str">
        <f t="array" ref="L48">INDEX('Primary - GRADING'!$A$1:$CP997,MATCH($A48,'Primary - GRADING'!$CP:$CP,0),51)</f>
        <v>#N/A</v>
      </c>
      <c r="M48" s="153" t="str">
        <f t="array" ref="M48">INDEX('Primary - GRADING'!$A$1:$CP997,MATCH($A48,'Primary - GRADING'!$CP:$CP,0),52)</f>
        <v>#N/A</v>
      </c>
      <c r="N48" s="153" t="str">
        <f t="array" ref="N48">INDEX('Primary - GRADING'!$A$1:$CP997,MATCH($A48,'Primary - GRADING'!$CP:$CP,0),53)</f>
        <v>#N/A</v>
      </c>
      <c r="O48" s="153" t="str">
        <f t="array" ref="O48">INDEX('Primary - GRADING'!$A$1:$CP997,MATCH($A48,'Primary - GRADING'!$CP:$CP,0),58)</f>
        <v>#N/A</v>
      </c>
      <c r="P48" s="153" t="str">
        <f t="array" ref="P48">INDEX('Primary - GRADING'!$A$1:$CP997,MATCH($A48,'Primary - GRADING'!$CP:$CP,0),5)</f>
        <v>#N/A</v>
      </c>
      <c r="Q48" s="153" t="str">
        <f t="array" ref="Q48">INDEX('Primary - GRADING'!$A$1:$CP997,MATCH($A48,'Primary - GRADING'!$CP:$CP,0),6)</f>
        <v>#N/A</v>
      </c>
      <c r="R48" s="153" t="str">
        <f t="array" ref="R48">INDEX('Primary - GRADING'!$A$1:$CP997,MATCH($A48,'Primary - GRADING'!$CP:$CP,0),7)</f>
        <v>#N/A</v>
      </c>
      <c r="S48" s="153" t="str">
        <f t="array" ref="S48">INDEX('Primary - GRADING'!$A$1:$CP997,MATCH($A48,'Primary - GRADING'!$CP:$CP,0),8)</f>
        <v>#N/A</v>
      </c>
      <c r="T48" s="153" t="str">
        <f t="array" ref="T48">INDEX('Primary - GRADING'!$A$1:$CP997,MATCH($A48,'Primary - GRADING'!$CP:$CP,0),9)</f>
        <v>#N/A</v>
      </c>
      <c r="U48" s="153" t="str">
        <f t="array" ref="U48">INDEX('Primary - GRADING'!$A$1:$CP997,MATCH($A48,'Primary - GRADING'!$CP:$CP,0),10)</f>
        <v>#N/A</v>
      </c>
      <c r="V48" s="153" t="str">
        <f t="array" ref="V48">INDEX('Primary - GRADING'!$A$1:$CP997,MATCH($A48,'Primary - GRADING'!$CP:$CP,0),18)</f>
        <v>#N/A</v>
      </c>
      <c r="W48" s="153" t="str">
        <f t="array" ref="W48">INDEX('Primary - GRADING'!$A$1:$CP997,MATCH($A48,'Primary - GRADING'!$CP:$CP,0),20)</f>
        <v>#N/A</v>
      </c>
      <c r="X48" s="153" t="str">
        <f t="array" ref="X48">INDEX('Primary - GRADING'!$A$1:$CP997,MATCH($A48,'Primary - GRADING'!$CP:$CP,0),21)</f>
        <v>#N/A</v>
      </c>
      <c r="Y48" s="153" t="str">
        <f t="array" ref="Y48">INDEX('Primary - GRADING'!$A$1:$CP997,MATCH($A48,'Primary - GRADING'!$CP:$CP,0),22)</f>
        <v>#N/A</v>
      </c>
      <c r="Z48" s="165" t="str">
        <f t="array" ref="Z48">INDEX('Primary - GRADING'!$A$1:$CP997,MATCH($A48,'Primary - GRADING'!$CP:$CP,0),23)</f>
        <v>#N/A</v>
      </c>
      <c r="AA48" s="153" t="str">
        <f t="array" ref="AA48">INDEX('Primary - GRADING'!$A$1:$CP997,MATCH($A48,'Primary - GRADING'!$CP:$CP,0),24)</f>
        <v>#N/A</v>
      </c>
      <c r="AB48" s="153" t="str">
        <f t="array" ref="AB48">INDEX('Primary - GRADING'!$A$1:$CP997,MATCH($A48,'Primary - GRADING'!$CP:$CP,0),25)</f>
        <v>#N/A</v>
      </c>
      <c r="AC48" s="153" t="str">
        <f t="array" ref="AC48">INDEX('Primary - GRADING'!$A$1:$CP997,MATCH($A48,'Primary - GRADING'!$CP:$CP,0),46)</f>
        <v>#N/A</v>
      </c>
      <c r="AG48" s="153" t="str">
        <f t="shared" si="7"/>
        <v>#N/A</v>
      </c>
      <c r="AI48" s="153" t="str">
        <f>VLOOKUP(AH48,'Primary - GRADING'!$A$4:$C997,2,)</f>
        <v>#N/A</v>
      </c>
      <c r="AJ48" s="153" t="str">
        <f>VLOOKUP(AH48,'Primary - GRADING'!$A$4:$C997,3,)</f>
        <v>#N/A</v>
      </c>
      <c r="AK48" s="153" t="str">
        <f>VLOOKUP(AH48,'Primary - GRADING'!$A$4:$BG997,59,)</f>
        <v>#N/A</v>
      </c>
      <c r="AL48" s="153" t="str">
        <f>IFS(AK48="NMA",VLOOKUP(AH48,'Primary - GRADING'!$A$4:$BG997,51,),AK48="DIRECT",VLOOKUP(AH48,'Primary - GRADING'!$A$4:$BG997,8,),AK48="INDIRECT",VLOOKUP(AH48,'Primary - GRADING'!$A$4:$BG997,23,))</f>
        <v>#N/A</v>
      </c>
      <c r="AM48" s="153" t="str">
        <f>IFS(AK48="NMA",VLOOKUP(AH48,'Primary - GRADING'!$A$4:$BG997,52,),AK48="DIRECT",VLOOKUP(AH48,'Primary - GRADING'!$A$4:$BG997,9,),AK48="INDIRECT",VLOOKUP(AH48,'Primary - GRADING'!$A$4:$BG997,24,))</f>
        <v>#N/A</v>
      </c>
      <c r="AN48" s="153" t="str">
        <f>IFS(AK48="NMA",VLOOKUP(AH48,'Primary - GRADING'!$A$4:$BG997,53,),AK48="DIRECT",VLOOKUP(AH48,'Primary - GRADING'!$A$4:$BG997,10,),AK48="INDIRECT",VLOOKUP(AH48,'Primary - GRADING'!$A$4:$BG997,25,))</f>
        <v>#N/A</v>
      </c>
      <c r="AO48" s="153" t="str">
        <f t="shared" si="8"/>
        <v>#N/A</v>
      </c>
      <c r="AT48" s="153" t="str">
        <f t="shared" si="9"/>
        <v>#N/A</v>
      </c>
      <c r="AV48" s="153" t="str">
        <f>VLOOKUP(AU48,'Primary - GRADING'!$A$4:$C997,2,)</f>
        <v>#N/A</v>
      </c>
      <c r="AW48" s="153" t="str">
        <f>VLOOKUP(AU48,'Primary - GRADING'!$A$4:$C997,3,)</f>
        <v>#N/A</v>
      </c>
      <c r="AX48" s="153" t="str">
        <f>VLOOKUP(AU48,'Primary - GRADING'!$A$4:$BG997,59,)</f>
        <v>#N/A</v>
      </c>
      <c r="AY48" s="153" t="str">
        <f>IFS(AX48="NMA",VLOOKUP(AU48,'Primary - GRADING'!$A$4:$BG997,51,),AX48="DIRECT",VLOOKUP(AU48,'Primary - GRADING'!$A$4:$BG997,8,),AX48="INDIRECT",VLOOKUP(AU48,'Primary - GRADING'!$A$4:$BG997,23,))</f>
        <v>#N/A</v>
      </c>
      <c r="AZ48" s="153" t="str">
        <f>IFS(AX48="NMA",VLOOKUP(AU48,'Primary - GRADING'!$A$4:$BG997,52,),AX48="DIRECT",VLOOKUP(AU48,'Primary - GRADING'!$A$4:$BG997,9,),AX48="INDIRECT",VLOOKUP(AU48,'Primary - GRADING'!$A$4:$BG997,24,))</f>
        <v>#N/A</v>
      </c>
      <c r="BA48" s="153" t="str">
        <f>IFS(AX48="NMA",VLOOKUP(AU48,'Primary - GRADING'!$A$4:$BG997,53,),AX48="DIRECT",VLOOKUP(AU48,'Primary - GRADING'!$A$4:$BG997,10,),AX48="INDIRECT",VLOOKUP(AU48,'Primary - GRADING'!$A$4:$BG997,25,))</f>
        <v>#N/A</v>
      </c>
      <c r="BB48" s="153" t="str">
        <f t="shared" si="10"/>
        <v>#N/A</v>
      </c>
      <c r="BE48" s="153" t="str">
        <f t="shared" si="11"/>
        <v/>
      </c>
      <c r="BG48" s="153" t="str">
        <f t="shared" si="12"/>
        <v>#N/A</v>
      </c>
      <c r="BI48" s="153" t="str">
        <f t="shared" si="13"/>
        <v>#N/A</v>
      </c>
      <c r="BK48" s="153" t="str">
        <f t="shared" si="14"/>
        <v>#N/A</v>
      </c>
      <c r="BM48" s="153" t="str">
        <f t="shared" si="15"/>
        <v>#N/A</v>
      </c>
    </row>
    <row r="49" ht="15.75" customHeight="1">
      <c r="B49" s="160" t="str">
        <f t="shared" si="1"/>
        <v>#N/A</v>
      </c>
      <c r="C49" s="160" t="str">
        <f t="shared" si="2"/>
        <v>#N/A</v>
      </c>
      <c r="D49" s="160" t="str">
        <f t="shared" si="3"/>
        <v>#N/A</v>
      </c>
      <c r="E49" s="161" t="str">
        <f t="shared" si="4"/>
        <v>#N/A</v>
      </c>
      <c r="F49" s="153" t="str">
        <f t="shared" si="17"/>
        <v>#N/A</v>
      </c>
      <c r="G49" s="153" t="str">
        <f t="shared" si="6"/>
        <v>#N/A</v>
      </c>
      <c r="H49" s="156" t="str">
        <f t="array" ref="H49">INDEX('Primary - GRADING'!$A$1:$BG997,MATCH($A49,'Primary - GRADING'!$B:$B,0),59)</f>
        <v>#N/A</v>
      </c>
      <c r="I49" s="153" t="str">
        <f t="array" ref="I49">INDEX('Primary - GRADING'!$A$1:$CP997,MATCH($A49,'Primary - GRADING'!$CP:$CP,0),48)</f>
        <v>#N/A</v>
      </c>
      <c r="J49" s="153" t="str">
        <f t="array" ref="J49">INDEX('Primary - GRADING'!$A$1:$CP997,MATCH($A49,'Primary - GRADING'!$CP:$CP,0),49)</f>
        <v>#N/A</v>
      </c>
      <c r="K49" s="153" t="str">
        <f t="array" ref="K49">INDEX('Primary - GRADING'!$A$1:$CP997,MATCH($A49,'Primary - GRADING'!$CP:$CP,0),50)</f>
        <v>#N/A</v>
      </c>
      <c r="L49" s="153" t="str">
        <f t="array" ref="L49">INDEX('Primary - GRADING'!$A$1:$CP997,MATCH($A49,'Primary - GRADING'!$CP:$CP,0),51)</f>
        <v>#N/A</v>
      </c>
      <c r="M49" s="153" t="str">
        <f t="array" ref="M49">INDEX('Primary - GRADING'!$A$1:$CP997,MATCH($A49,'Primary - GRADING'!$CP:$CP,0),52)</f>
        <v>#N/A</v>
      </c>
      <c r="N49" s="153" t="str">
        <f t="array" ref="N49">INDEX('Primary - GRADING'!$A$1:$CP997,MATCH($A49,'Primary - GRADING'!$CP:$CP,0),53)</f>
        <v>#N/A</v>
      </c>
      <c r="O49" s="153" t="str">
        <f t="array" ref="O49">INDEX('Primary - GRADING'!$A$1:$CP997,MATCH($A49,'Primary - GRADING'!$CP:$CP,0),58)</f>
        <v>#N/A</v>
      </c>
      <c r="P49" s="153" t="str">
        <f t="array" ref="P49">INDEX('Primary - GRADING'!$A$1:$CP997,MATCH($A49,'Primary - GRADING'!$CP:$CP,0),5)</f>
        <v>#N/A</v>
      </c>
      <c r="Q49" s="153" t="str">
        <f t="array" ref="Q49">INDEX('Primary - GRADING'!$A$1:$CP997,MATCH($A49,'Primary - GRADING'!$CP:$CP,0),6)</f>
        <v>#N/A</v>
      </c>
      <c r="R49" s="153" t="str">
        <f t="array" ref="R49">INDEX('Primary - GRADING'!$A$1:$CP997,MATCH($A49,'Primary - GRADING'!$CP:$CP,0),7)</f>
        <v>#N/A</v>
      </c>
      <c r="S49" s="153" t="str">
        <f t="array" ref="S49">INDEX('Primary - GRADING'!$A$1:$CP997,MATCH($A49,'Primary - GRADING'!$CP:$CP,0),8)</f>
        <v>#N/A</v>
      </c>
      <c r="T49" s="153" t="str">
        <f t="array" ref="T49">INDEX('Primary - GRADING'!$A$1:$CP997,MATCH($A49,'Primary - GRADING'!$CP:$CP,0),9)</f>
        <v>#N/A</v>
      </c>
      <c r="U49" s="153" t="str">
        <f t="array" ref="U49">INDEX('Primary - GRADING'!$A$1:$CP997,MATCH($A49,'Primary - GRADING'!$CP:$CP,0),10)</f>
        <v>#N/A</v>
      </c>
      <c r="V49" s="153" t="str">
        <f t="array" ref="V49">INDEX('Primary - GRADING'!$A$1:$CP997,MATCH($A49,'Primary - GRADING'!$CP:$CP,0),18)</f>
        <v>#N/A</v>
      </c>
      <c r="W49" s="153" t="str">
        <f t="array" ref="W49">INDEX('Primary - GRADING'!$A$1:$CP997,MATCH($A49,'Primary - GRADING'!$CP:$CP,0),20)</f>
        <v>#N/A</v>
      </c>
      <c r="X49" s="153" t="str">
        <f t="array" ref="X49">INDEX('Primary - GRADING'!$A$1:$CP997,MATCH($A49,'Primary - GRADING'!$CP:$CP,0),21)</f>
        <v>#N/A</v>
      </c>
      <c r="Y49" s="153" t="str">
        <f t="array" ref="Y49">INDEX('Primary - GRADING'!$A$1:$CP997,MATCH($A49,'Primary - GRADING'!$CP:$CP,0),22)</f>
        <v>#N/A</v>
      </c>
      <c r="Z49" s="165" t="str">
        <f t="array" ref="Z49">INDEX('Primary - GRADING'!$A$1:$CP997,MATCH($A49,'Primary - GRADING'!$CP:$CP,0),23)</f>
        <v>#N/A</v>
      </c>
      <c r="AA49" s="153" t="str">
        <f t="array" ref="AA49">INDEX('Primary - GRADING'!$A$1:$CP997,MATCH($A49,'Primary - GRADING'!$CP:$CP,0),24)</f>
        <v>#N/A</v>
      </c>
      <c r="AB49" s="153" t="str">
        <f t="array" ref="AB49">INDEX('Primary - GRADING'!$A$1:$CP997,MATCH($A49,'Primary - GRADING'!$CP:$CP,0),25)</f>
        <v>#N/A</v>
      </c>
      <c r="AC49" s="153" t="str">
        <f t="array" ref="AC49">INDEX('Primary - GRADING'!$A$1:$CP997,MATCH($A49,'Primary - GRADING'!$CP:$CP,0),46)</f>
        <v>#N/A</v>
      </c>
      <c r="AG49" s="153" t="str">
        <f t="shared" si="7"/>
        <v>#N/A</v>
      </c>
      <c r="AI49" s="153" t="str">
        <f>VLOOKUP(AH49,'Primary - GRADING'!$A$4:$C997,2,)</f>
        <v>#N/A</v>
      </c>
      <c r="AJ49" s="153" t="str">
        <f>VLOOKUP(AH49,'Primary - GRADING'!$A$4:$C997,3,)</f>
        <v>#N/A</v>
      </c>
      <c r="AK49" s="153" t="str">
        <f>VLOOKUP(AH49,'Primary - GRADING'!$A$4:$BG997,59,)</f>
        <v>#N/A</v>
      </c>
      <c r="AL49" s="153" t="str">
        <f>IFS(AK49="NMA",VLOOKUP(AH49,'Primary - GRADING'!$A$4:$BG997,51,),AK49="DIRECT",VLOOKUP(AH49,'Primary - GRADING'!$A$4:$BG997,8,),AK49="INDIRECT",VLOOKUP(AH49,'Primary - GRADING'!$A$4:$BG997,23,))</f>
        <v>#N/A</v>
      </c>
      <c r="AM49" s="153" t="str">
        <f>IFS(AK49="NMA",VLOOKUP(AH49,'Primary - GRADING'!$A$4:$BG997,52,),AK49="DIRECT",VLOOKUP(AH49,'Primary - GRADING'!$A$4:$BG997,9,),AK49="INDIRECT",VLOOKUP(AH49,'Primary - GRADING'!$A$4:$BG997,24,))</f>
        <v>#N/A</v>
      </c>
      <c r="AN49" s="153" t="str">
        <f>IFS(AK49="NMA",VLOOKUP(AH49,'Primary - GRADING'!$A$4:$BG997,53,),AK49="DIRECT",VLOOKUP(AH49,'Primary - GRADING'!$A$4:$BG997,10,),AK49="INDIRECT",VLOOKUP(AH49,'Primary - GRADING'!$A$4:$BG997,25,))</f>
        <v>#N/A</v>
      </c>
      <c r="AO49" s="153" t="str">
        <f t="shared" si="8"/>
        <v>#N/A</v>
      </c>
      <c r="AT49" s="153" t="str">
        <f t="shared" si="9"/>
        <v>#N/A</v>
      </c>
      <c r="AV49" s="153" t="str">
        <f>VLOOKUP(AU49,'Primary - GRADING'!$A$4:$C997,2,)</f>
        <v>#N/A</v>
      </c>
      <c r="AW49" s="153" t="str">
        <f>VLOOKUP(AU49,'Primary - GRADING'!$A$4:$C997,3,)</f>
        <v>#N/A</v>
      </c>
      <c r="AX49" s="153" t="str">
        <f>VLOOKUP(AU49,'Primary - GRADING'!$A$4:$BG997,59,)</f>
        <v>#N/A</v>
      </c>
      <c r="AY49" s="153" t="str">
        <f>IFS(AX49="NMA",VLOOKUP(AU49,'Primary - GRADING'!$A$4:$BG997,51,),AX49="DIRECT",VLOOKUP(AU49,'Primary - GRADING'!$A$4:$BG997,8,),AX49="INDIRECT",VLOOKUP(AU49,'Primary - GRADING'!$A$4:$BG997,23,))</f>
        <v>#N/A</v>
      </c>
      <c r="AZ49" s="153" t="str">
        <f>IFS(AX49="NMA",VLOOKUP(AU49,'Primary - GRADING'!$A$4:$BG997,52,),AX49="DIRECT",VLOOKUP(AU49,'Primary - GRADING'!$A$4:$BG997,9,),AX49="INDIRECT",VLOOKUP(AU49,'Primary - GRADING'!$A$4:$BG997,24,))</f>
        <v>#N/A</v>
      </c>
      <c r="BA49" s="153" t="str">
        <f>IFS(AX49="NMA",VLOOKUP(AU49,'Primary - GRADING'!$A$4:$BG997,53,),AX49="DIRECT",VLOOKUP(AU49,'Primary - GRADING'!$A$4:$BG997,10,),AX49="INDIRECT",VLOOKUP(AU49,'Primary - GRADING'!$A$4:$BG997,25,))</f>
        <v>#N/A</v>
      </c>
      <c r="BB49" s="153" t="str">
        <f t="shared" si="10"/>
        <v>#N/A</v>
      </c>
      <c r="BE49" s="153" t="str">
        <f t="shared" si="11"/>
        <v/>
      </c>
      <c r="BG49" s="153" t="str">
        <f t="shared" si="12"/>
        <v>#N/A</v>
      </c>
      <c r="BI49" s="153" t="str">
        <f t="shared" si="13"/>
        <v>#N/A</v>
      </c>
      <c r="BK49" s="153" t="str">
        <f t="shared" si="14"/>
        <v>#N/A</v>
      </c>
      <c r="BM49" s="153" t="str">
        <f t="shared" si="15"/>
        <v>#N/A</v>
      </c>
    </row>
    <row r="50" ht="15.75" customHeight="1">
      <c r="B50" s="160" t="str">
        <f t="shared" si="1"/>
        <v>#N/A</v>
      </c>
      <c r="C50" s="160" t="str">
        <f t="shared" si="2"/>
        <v>#N/A</v>
      </c>
      <c r="D50" s="160" t="str">
        <f t="shared" si="3"/>
        <v>#N/A</v>
      </c>
      <c r="E50" s="161" t="str">
        <f t="shared" si="4"/>
        <v>#N/A</v>
      </c>
      <c r="F50" s="153" t="str">
        <f t="shared" si="17"/>
        <v>#N/A</v>
      </c>
      <c r="G50" s="153" t="str">
        <f t="shared" si="6"/>
        <v>#N/A</v>
      </c>
      <c r="H50" s="156" t="str">
        <f t="array" ref="H50">INDEX('Primary - GRADING'!$A$1:$BG997,MATCH($A50,'Primary - GRADING'!$B:$B,0),59)</f>
        <v>#N/A</v>
      </c>
      <c r="I50" s="153" t="str">
        <f t="array" ref="I50">INDEX('Primary - GRADING'!$A$1:$CP997,MATCH($A50,'Primary - GRADING'!$CP:$CP,0),48)</f>
        <v>#N/A</v>
      </c>
      <c r="J50" s="153" t="str">
        <f t="array" ref="J50">INDEX('Primary - GRADING'!$A$1:$CP997,MATCH($A50,'Primary - GRADING'!$CP:$CP,0),49)</f>
        <v>#N/A</v>
      </c>
      <c r="K50" s="153" t="str">
        <f t="array" ref="K50">INDEX('Primary - GRADING'!$A$1:$CP997,MATCH($A50,'Primary - GRADING'!$CP:$CP,0),50)</f>
        <v>#N/A</v>
      </c>
      <c r="L50" s="153" t="str">
        <f t="array" ref="L50">INDEX('Primary - GRADING'!$A$1:$CP997,MATCH($A50,'Primary - GRADING'!$CP:$CP,0),51)</f>
        <v>#N/A</v>
      </c>
      <c r="M50" s="153" t="str">
        <f t="array" ref="M50">INDEX('Primary - GRADING'!$A$1:$CP997,MATCH($A50,'Primary - GRADING'!$CP:$CP,0),52)</f>
        <v>#N/A</v>
      </c>
      <c r="N50" s="153" t="str">
        <f t="array" ref="N50">INDEX('Primary - GRADING'!$A$1:$CP997,MATCH($A50,'Primary - GRADING'!$CP:$CP,0),53)</f>
        <v>#N/A</v>
      </c>
      <c r="O50" s="153" t="str">
        <f t="array" ref="O50">INDEX('Primary - GRADING'!$A$1:$CP997,MATCH($A50,'Primary - GRADING'!$CP:$CP,0),58)</f>
        <v>#N/A</v>
      </c>
      <c r="P50" s="153" t="str">
        <f t="array" ref="P50">INDEX('Primary - GRADING'!$A$1:$CP997,MATCH($A50,'Primary - GRADING'!$CP:$CP,0),5)</f>
        <v>#N/A</v>
      </c>
      <c r="Q50" s="153" t="str">
        <f t="array" ref="Q50">INDEX('Primary - GRADING'!$A$1:$CP997,MATCH($A50,'Primary - GRADING'!$CP:$CP,0),6)</f>
        <v>#N/A</v>
      </c>
      <c r="R50" s="153" t="str">
        <f t="array" ref="R50">INDEX('Primary - GRADING'!$A$1:$CP997,MATCH($A50,'Primary - GRADING'!$CP:$CP,0),7)</f>
        <v>#N/A</v>
      </c>
      <c r="S50" s="153" t="str">
        <f t="array" ref="S50">INDEX('Primary - GRADING'!$A$1:$CP997,MATCH($A50,'Primary - GRADING'!$CP:$CP,0),8)</f>
        <v>#N/A</v>
      </c>
      <c r="T50" s="153" t="str">
        <f t="array" ref="T50">INDEX('Primary - GRADING'!$A$1:$CP997,MATCH($A50,'Primary - GRADING'!$CP:$CP,0),9)</f>
        <v>#N/A</v>
      </c>
      <c r="U50" s="153" t="str">
        <f t="array" ref="U50">INDEX('Primary - GRADING'!$A$1:$CP997,MATCH($A50,'Primary - GRADING'!$CP:$CP,0),10)</f>
        <v>#N/A</v>
      </c>
      <c r="V50" s="153" t="str">
        <f t="array" ref="V50">INDEX('Primary - GRADING'!$A$1:$CP997,MATCH($A50,'Primary - GRADING'!$CP:$CP,0),18)</f>
        <v>#N/A</v>
      </c>
      <c r="W50" s="153" t="str">
        <f t="array" ref="W50">INDEX('Primary - GRADING'!$A$1:$CP997,MATCH($A50,'Primary - GRADING'!$CP:$CP,0),20)</f>
        <v>#N/A</v>
      </c>
      <c r="X50" s="153" t="str">
        <f t="array" ref="X50">INDEX('Primary - GRADING'!$A$1:$CP997,MATCH($A50,'Primary - GRADING'!$CP:$CP,0),21)</f>
        <v>#N/A</v>
      </c>
      <c r="Y50" s="153" t="str">
        <f t="array" ref="Y50">INDEX('Primary - GRADING'!$A$1:$CP997,MATCH($A50,'Primary - GRADING'!$CP:$CP,0),22)</f>
        <v>#N/A</v>
      </c>
      <c r="Z50" s="165" t="str">
        <f t="array" ref="Z50">INDEX('Primary - GRADING'!$A$1:$CP997,MATCH($A50,'Primary - GRADING'!$CP:$CP,0),23)</f>
        <v>#N/A</v>
      </c>
      <c r="AA50" s="153" t="str">
        <f t="array" ref="AA50">INDEX('Primary - GRADING'!$A$1:$CP997,MATCH($A50,'Primary - GRADING'!$CP:$CP,0),24)</f>
        <v>#N/A</v>
      </c>
      <c r="AB50" s="153" t="str">
        <f t="array" ref="AB50">INDEX('Primary - GRADING'!$A$1:$CP997,MATCH($A50,'Primary - GRADING'!$CP:$CP,0),25)</f>
        <v>#N/A</v>
      </c>
      <c r="AC50" s="153" t="str">
        <f t="array" ref="AC50">INDEX('Primary - GRADING'!$A$1:$CP997,MATCH($A50,'Primary - GRADING'!$CP:$CP,0),46)</f>
        <v>#N/A</v>
      </c>
      <c r="AG50" s="153" t="str">
        <f t="shared" si="7"/>
        <v>#N/A</v>
      </c>
      <c r="AI50" s="153" t="str">
        <f>VLOOKUP(AH50,'Primary - GRADING'!$A$4:$C997,2,)</f>
        <v>#N/A</v>
      </c>
      <c r="AJ50" s="153" t="str">
        <f>VLOOKUP(AH50,'Primary - GRADING'!$A$4:$C997,3,)</f>
        <v>#N/A</v>
      </c>
      <c r="AK50" s="153" t="str">
        <f>VLOOKUP(AH50,'Primary - GRADING'!$A$4:$BG997,59,)</f>
        <v>#N/A</v>
      </c>
      <c r="AL50" s="153" t="str">
        <f>IFS(AK50="NMA",VLOOKUP(AH50,'Primary - GRADING'!$A$4:$BG997,51,),AK50="DIRECT",VLOOKUP(AH50,'Primary - GRADING'!$A$4:$BG997,8,),AK50="INDIRECT",VLOOKUP(AH50,'Primary - GRADING'!$A$4:$BG997,23,))</f>
        <v>#N/A</v>
      </c>
      <c r="AM50" s="153" t="str">
        <f>IFS(AK50="NMA",VLOOKUP(AH50,'Primary - GRADING'!$A$4:$BG997,52,),AK50="DIRECT",VLOOKUP(AH50,'Primary - GRADING'!$A$4:$BG997,9,),AK50="INDIRECT",VLOOKUP(AH50,'Primary - GRADING'!$A$4:$BG997,24,))</f>
        <v>#N/A</v>
      </c>
      <c r="AN50" s="153" t="str">
        <f>IFS(AK50="NMA",VLOOKUP(AH50,'Primary - GRADING'!$A$4:$BG997,53,),AK50="DIRECT",VLOOKUP(AH50,'Primary - GRADING'!$A$4:$BG997,10,),AK50="INDIRECT",VLOOKUP(AH50,'Primary - GRADING'!$A$4:$BG997,25,))</f>
        <v>#N/A</v>
      </c>
      <c r="AO50" s="153" t="str">
        <f t="shared" si="8"/>
        <v>#N/A</v>
      </c>
      <c r="AT50" s="153" t="str">
        <f t="shared" si="9"/>
        <v>#N/A</v>
      </c>
      <c r="AV50" s="153" t="str">
        <f>VLOOKUP(AU50,'Primary - GRADING'!$A$4:$C997,2,)</f>
        <v>#N/A</v>
      </c>
      <c r="AW50" s="153" t="str">
        <f>VLOOKUP(AU50,'Primary - GRADING'!$A$4:$C997,3,)</f>
        <v>#N/A</v>
      </c>
      <c r="AX50" s="153" t="str">
        <f>VLOOKUP(AU50,'Primary - GRADING'!$A$4:$BG997,59,)</f>
        <v>#N/A</v>
      </c>
      <c r="AY50" s="153" t="str">
        <f>IFS(AX50="NMA",VLOOKUP(AU50,'Primary - GRADING'!$A$4:$BG997,51,),AX50="DIRECT",VLOOKUP(AU50,'Primary - GRADING'!$A$4:$BG997,8,),AX50="INDIRECT",VLOOKUP(AU50,'Primary - GRADING'!$A$4:$BG997,23,))</f>
        <v>#N/A</v>
      </c>
      <c r="AZ50" s="153" t="str">
        <f>IFS(AX50="NMA",VLOOKUP(AU50,'Primary - GRADING'!$A$4:$BG997,52,),AX50="DIRECT",VLOOKUP(AU50,'Primary - GRADING'!$A$4:$BG997,9,),AX50="INDIRECT",VLOOKUP(AU50,'Primary - GRADING'!$A$4:$BG997,24,))</f>
        <v>#N/A</v>
      </c>
      <c r="BA50" s="153" t="str">
        <f>IFS(AX50="NMA",VLOOKUP(AU50,'Primary - GRADING'!$A$4:$BG997,53,),AX50="DIRECT",VLOOKUP(AU50,'Primary - GRADING'!$A$4:$BG997,10,),AX50="INDIRECT",VLOOKUP(AU50,'Primary - GRADING'!$A$4:$BG997,25,))</f>
        <v>#N/A</v>
      </c>
      <c r="BB50" s="153" t="str">
        <f t="shared" si="10"/>
        <v>#N/A</v>
      </c>
      <c r="BE50" s="153" t="str">
        <f t="shared" si="11"/>
        <v/>
      </c>
      <c r="BG50" s="153" t="str">
        <f t="shared" si="12"/>
        <v>#N/A</v>
      </c>
      <c r="BI50" s="153" t="str">
        <f t="shared" si="13"/>
        <v>#N/A</v>
      </c>
      <c r="BK50" s="153" t="str">
        <f t="shared" si="14"/>
        <v>#N/A</v>
      </c>
      <c r="BM50" s="153" t="str">
        <f t="shared" si="15"/>
        <v>#N/A</v>
      </c>
    </row>
    <row r="51" ht="15.75" customHeight="1">
      <c r="B51" s="160" t="str">
        <f t="shared" si="1"/>
        <v>#N/A</v>
      </c>
      <c r="C51" s="160" t="str">
        <f t="shared" si="2"/>
        <v>#N/A</v>
      </c>
      <c r="D51" s="160" t="str">
        <f t="shared" si="3"/>
        <v>#N/A</v>
      </c>
      <c r="E51" s="161" t="str">
        <f t="shared" si="4"/>
        <v>#N/A</v>
      </c>
      <c r="F51" s="153" t="str">
        <f t="shared" si="17"/>
        <v>#N/A</v>
      </c>
      <c r="G51" s="153" t="str">
        <f t="shared" si="6"/>
        <v>#N/A</v>
      </c>
      <c r="H51" s="156" t="str">
        <f t="array" ref="H51">INDEX('Primary - GRADING'!$A$1:$BG997,MATCH($A51,'Primary - GRADING'!$B:$B,0),59)</f>
        <v>#N/A</v>
      </c>
      <c r="I51" s="153" t="str">
        <f t="array" ref="I51">INDEX('Primary - GRADING'!$A$1:$CP997,MATCH($A51,'Primary - GRADING'!$CP:$CP,0),48)</f>
        <v>#N/A</v>
      </c>
      <c r="J51" s="153" t="str">
        <f t="array" ref="J51">INDEX('Primary - GRADING'!$A$1:$CP997,MATCH($A51,'Primary - GRADING'!$CP:$CP,0),49)</f>
        <v>#N/A</v>
      </c>
      <c r="K51" s="153" t="str">
        <f t="array" ref="K51">INDEX('Primary - GRADING'!$A$1:$CP997,MATCH($A51,'Primary - GRADING'!$CP:$CP,0),50)</f>
        <v>#N/A</v>
      </c>
      <c r="L51" s="153" t="str">
        <f t="array" ref="L51">INDEX('Primary - GRADING'!$A$1:$CP997,MATCH($A51,'Primary - GRADING'!$CP:$CP,0),51)</f>
        <v>#N/A</v>
      </c>
      <c r="M51" s="153" t="str">
        <f t="array" ref="M51">INDEX('Primary - GRADING'!$A$1:$CP997,MATCH($A51,'Primary - GRADING'!$CP:$CP,0),52)</f>
        <v>#N/A</v>
      </c>
      <c r="N51" s="153" t="str">
        <f t="array" ref="N51">INDEX('Primary - GRADING'!$A$1:$CP997,MATCH($A51,'Primary - GRADING'!$CP:$CP,0),53)</f>
        <v>#N/A</v>
      </c>
      <c r="O51" s="153" t="str">
        <f t="array" ref="O51">INDEX('Primary - GRADING'!$A$1:$CP997,MATCH($A51,'Primary - GRADING'!$CP:$CP,0),58)</f>
        <v>#N/A</v>
      </c>
      <c r="P51" s="153" t="str">
        <f t="array" ref="P51">INDEX('Primary - GRADING'!$A$1:$CP997,MATCH($A51,'Primary - GRADING'!$CP:$CP,0),5)</f>
        <v>#N/A</v>
      </c>
      <c r="Q51" s="153" t="str">
        <f t="array" ref="Q51">INDEX('Primary - GRADING'!$A$1:$CP997,MATCH($A51,'Primary - GRADING'!$CP:$CP,0),6)</f>
        <v>#N/A</v>
      </c>
      <c r="R51" s="153" t="str">
        <f t="array" ref="R51">INDEX('Primary - GRADING'!$A$1:$CP997,MATCH($A51,'Primary - GRADING'!$CP:$CP,0),7)</f>
        <v>#N/A</v>
      </c>
      <c r="S51" s="153" t="str">
        <f t="array" ref="S51">INDEX('Primary - GRADING'!$A$1:$CP997,MATCH($A51,'Primary - GRADING'!$CP:$CP,0),8)</f>
        <v>#N/A</v>
      </c>
      <c r="T51" s="153" t="str">
        <f t="array" ref="T51">INDEX('Primary - GRADING'!$A$1:$CP997,MATCH($A51,'Primary - GRADING'!$CP:$CP,0),9)</f>
        <v>#N/A</v>
      </c>
      <c r="U51" s="153" t="str">
        <f t="array" ref="U51">INDEX('Primary - GRADING'!$A$1:$CP997,MATCH($A51,'Primary - GRADING'!$CP:$CP,0),10)</f>
        <v>#N/A</v>
      </c>
      <c r="V51" s="153" t="str">
        <f t="array" ref="V51">INDEX('Primary - GRADING'!$A$1:$CP997,MATCH($A51,'Primary - GRADING'!$CP:$CP,0),18)</f>
        <v>#N/A</v>
      </c>
      <c r="W51" s="153" t="str">
        <f t="array" ref="W51">INDEX('Primary - GRADING'!$A$1:$CP997,MATCH($A51,'Primary - GRADING'!$CP:$CP,0),20)</f>
        <v>#N/A</v>
      </c>
      <c r="X51" s="153" t="str">
        <f t="array" ref="X51">INDEX('Primary - GRADING'!$A$1:$CP997,MATCH($A51,'Primary - GRADING'!$CP:$CP,0),21)</f>
        <v>#N/A</v>
      </c>
      <c r="Y51" s="153" t="str">
        <f t="array" ref="Y51">INDEX('Primary - GRADING'!$A$1:$CP997,MATCH($A51,'Primary - GRADING'!$CP:$CP,0),22)</f>
        <v>#N/A</v>
      </c>
      <c r="Z51" s="165" t="str">
        <f t="array" ref="Z51">INDEX('Primary - GRADING'!$A$1:$CP997,MATCH($A51,'Primary - GRADING'!$CP:$CP,0),23)</f>
        <v>#N/A</v>
      </c>
      <c r="AA51" s="153" t="str">
        <f t="array" ref="AA51">INDEX('Primary - GRADING'!$A$1:$CP997,MATCH($A51,'Primary - GRADING'!$CP:$CP,0),24)</f>
        <v>#N/A</v>
      </c>
      <c r="AB51" s="153" t="str">
        <f t="array" ref="AB51">INDEX('Primary - GRADING'!$A$1:$CP997,MATCH($A51,'Primary - GRADING'!$CP:$CP,0),25)</f>
        <v>#N/A</v>
      </c>
      <c r="AC51" s="153" t="str">
        <f t="array" ref="AC51">INDEX('Primary - GRADING'!$A$1:$CP997,MATCH($A51,'Primary - GRADING'!$CP:$CP,0),46)</f>
        <v>#N/A</v>
      </c>
      <c r="AG51" s="153" t="str">
        <f t="shared" si="7"/>
        <v>#N/A</v>
      </c>
      <c r="AI51" s="153" t="str">
        <f>VLOOKUP(AH51,'Primary - GRADING'!$A$4:$C997,2,)</f>
        <v>#N/A</v>
      </c>
      <c r="AJ51" s="153" t="str">
        <f>VLOOKUP(AH51,'Primary - GRADING'!$A$4:$C997,3,)</f>
        <v>#N/A</v>
      </c>
      <c r="AK51" s="153" t="str">
        <f>VLOOKUP(AH51,'Primary - GRADING'!$A$4:$BG997,59,)</f>
        <v>#N/A</v>
      </c>
      <c r="AL51" s="153" t="str">
        <f>IFS(AK51="NMA",VLOOKUP(AH51,'Primary - GRADING'!$A$4:$BG997,51,),AK51="DIRECT",VLOOKUP(AH51,'Primary - GRADING'!$A$4:$BG997,8,),AK51="INDIRECT",VLOOKUP(AH51,'Primary - GRADING'!$A$4:$BG997,23,))</f>
        <v>#N/A</v>
      </c>
      <c r="AM51" s="153" t="str">
        <f>IFS(AK51="NMA",VLOOKUP(AH51,'Primary - GRADING'!$A$4:$BG997,52,),AK51="DIRECT",VLOOKUP(AH51,'Primary - GRADING'!$A$4:$BG997,9,),AK51="INDIRECT",VLOOKUP(AH51,'Primary - GRADING'!$A$4:$BG997,24,))</f>
        <v>#N/A</v>
      </c>
      <c r="AN51" s="153" t="str">
        <f>IFS(AK51="NMA",VLOOKUP(AH51,'Primary - GRADING'!$A$4:$BG997,53,),AK51="DIRECT",VLOOKUP(AH51,'Primary - GRADING'!$A$4:$BG997,10,),AK51="INDIRECT",VLOOKUP(AH51,'Primary - GRADING'!$A$4:$BG997,25,))</f>
        <v>#N/A</v>
      </c>
      <c r="AO51" s="153" t="str">
        <f t="shared" si="8"/>
        <v>#N/A</v>
      </c>
      <c r="AT51" s="153" t="str">
        <f t="shared" si="9"/>
        <v>#N/A</v>
      </c>
      <c r="AV51" s="153" t="str">
        <f>VLOOKUP(AU51,'Primary - GRADING'!$A$4:$C997,2,)</f>
        <v>#N/A</v>
      </c>
      <c r="AW51" s="153" t="str">
        <f>VLOOKUP(AU51,'Primary - GRADING'!$A$4:$C997,3,)</f>
        <v>#N/A</v>
      </c>
      <c r="AX51" s="153" t="str">
        <f>VLOOKUP(AU51,'Primary - GRADING'!$A$4:$BG997,59,)</f>
        <v>#N/A</v>
      </c>
      <c r="AY51" s="153" t="str">
        <f>IFS(AX51="NMA",VLOOKUP(AU51,'Primary - GRADING'!$A$4:$BG997,51,),AX51="DIRECT",VLOOKUP(AU51,'Primary - GRADING'!$A$4:$BG997,8,),AX51="INDIRECT",VLOOKUP(AU51,'Primary - GRADING'!$A$4:$BG997,23,))</f>
        <v>#N/A</v>
      </c>
      <c r="AZ51" s="153" t="str">
        <f>IFS(AX51="NMA",VLOOKUP(AU51,'Primary - GRADING'!$A$4:$BG997,52,),AX51="DIRECT",VLOOKUP(AU51,'Primary - GRADING'!$A$4:$BG997,9,),AX51="INDIRECT",VLOOKUP(AU51,'Primary - GRADING'!$A$4:$BG997,24,))</f>
        <v>#N/A</v>
      </c>
      <c r="BA51" s="153" t="str">
        <f>IFS(AX51="NMA",VLOOKUP(AU51,'Primary - GRADING'!$A$4:$BG997,53,),AX51="DIRECT",VLOOKUP(AU51,'Primary - GRADING'!$A$4:$BG997,10,),AX51="INDIRECT",VLOOKUP(AU51,'Primary - GRADING'!$A$4:$BG997,25,))</f>
        <v>#N/A</v>
      </c>
      <c r="BB51" s="153" t="str">
        <f t="shared" si="10"/>
        <v>#N/A</v>
      </c>
      <c r="BE51" s="153" t="str">
        <f t="shared" si="11"/>
        <v/>
      </c>
      <c r="BG51" s="153" t="str">
        <f t="shared" si="12"/>
        <v>#N/A</v>
      </c>
      <c r="BI51" s="153" t="str">
        <f t="shared" si="13"/>
        <v>#N/A</v>
      </c>
      <c r="BK51" s="153" t="str">
        <f t="shared" si="14"/>
        <v>#N/A</v>
      </c>
      <c r="BM51" s="153" t="str">
        <f t="shared" si="15"/>
        <v>#N/A</v>
      </c>
    </row>
    <row r="52" ht="15.75" customHeight="1">
      <c r="B52" s="160" t="str">
        <f t="shared" si="1"/>
        <v>#N/A</v>
      </c>
      <c r="C52" s="160" t="str">
        <f t="shared" si="2"/>
        <v>#N/A</v>
      </c>
      <c r="D52" s="160" t="str">
        <f t="shared" si="3"/>
        <v>#N/A</v>
      </c>
      <c r="E52" s="161" t="str">
        <f t="shared" si="4"/>
        <v>#N/A</v>
      </c>
      <c r="F52" s="153" t="str">
        <f t="shared" si="17"/>
        <v>#N/A</v>
      </c>
      <c r="G52" s="153" t="str">
        <f t="shared" si="6"/>
        <v>#N/A</v>
      </c>
      <c r="H52" s="156" t="str">
        <f t="array" ref="H52">INDEX('Primary - GRADING'!$A$1:$BG997,MATCH($A52,'Primary - GRADING'!$B:$B,0),59)</f>
        <v>#N/A</v>
      </c>
      <c r="I52" s="153" t="str">
        <f t="array" ref="I52">INDEX('Primary - GRADING'!$A$1:$CP997,MATCH($A52,'Primary - GRADING'!$CP:$CP,0),48)</f>
        <v>#N/A</v>
      </c>
      <c r="J52" s="153" t="str">
        <f t="array" ref="J52">INDEX('Primary - GRADING'!$A$1:$CP997,MATCH($A52,'Primary - GRADING'!$CP:$CP,0),49)</f>
        <v>#N/A</v>
      </c>
      <c r="K52" s="153" t="str">
        <f t="array" ref="K52">INDEX('Primary - GRADING'!$A$1:$CP997,MATCH($A52,'Primary - GRADING'!$CP:$CP,0),50)</f>
        <v>#N/A</v>
      </c>
      <c r="L52" s="153" t="str">
        <f t="array" ref="L52">INDEX('Primary - GRADING'!$A$1:$CP997,MATCH($A52,'Primary - GRADING'!$CP:$CP,0),51)</f>
        <v>#N/A</v>
      </c>
      <c r="M52" s="153" t="str">
        <f t="array" ref="M52">INDEX('Primary - GRADING'!$A$1:$CP997,MATCH($A52,'Primary - GRADING'!$CP:$CP,0),52)</f>
        <v>#N/A</v>
      </c>
      <c r="N52" s="153" t="str">
        <f t="array" ref="N52">INDEX('Primary - GRADING'!$A$1:$CP997,MATCH($A52,'Primary - GRADING'!$CP:$CP,0),53)</f>
        <v>#N/A</v>
      </c>
      <c r="O52" s="153" t="str">
        <f t="array" ref="O52">INDEX('Primary - GRADING'!$A$1:$CP997,MATCH($A52,'Primary - GRADING'!$CP:$CP,0),58)</f>
        <v>#N/A</v>
      </c>
      <c r="P52" s="153" t="str">
        <f t="array" ref="P52">INDEX('Primary - GRADING'!$A$1:$CP997,MATCH($A52,'Primary - GRADING'!$CP:$CP,0),5)</f>
        <v>#N/A</v>
      </c>
      <c r="Q52" s="153" t="str">
        <f t="array" ref="Q52">INDEX('Primary - GRADING'!$A$1:$CP997,MATCH($A52,'Primary - GRADING'!$CP:$CP,0),6)</f>
        <v>#N/A</v>
      </c>
      <c r="R52" s="153" t="str">
        <f t="array" ref="R52">INDEX('Primary - GRADING'!$A$1:$CP997,MATCH($A52,'Primary - GRADING'!$CP:$CP,0),7)</f>
        <v>#N/A</v>
      </c>
      <c r="S52" s="153" t="str">
        <f t="array" ref="S52">INDEX('Primary - GRADING'!$A$1:$CP997,MATCH($A52,'Primary - GRADING'!$CP:$CP,0),8)</f>
        <v>#N/A</v>
      </c>
      <c r="T52" s="153" t="str">
        <f t="array" ref="T52">INDEX('Primary - GRADING'!$A$1:$CP997,MATCH($A52,'Primary - GRADING'!$CP:$CP,0),9)</f>
        <v>#N/A</v>
      </c>
      <c r="U52" s="153" t="str">
        <f t="array" ref="U52">INDEX('Primary - GRADING'!$A$1:$CP997,MATCH($A52,'Primary - GRADING'!$CP:$CP,0),10)</f>
        <v>#N/A</v>
      </c>
      <c r="V52" s="153" t="str">
        <f t="array" ref="V52">INDEX('Primary - GRADING'!$A$1:$CP997,MATCH($A52,'Primary - GRADING'!$CP:$CP,0),18)</f>
        <v>#N/A</v>
      </c>
      <c r="W52" s="153" t="str">
        <f t="array" ref="W52">INDEX('Primary - GRADING'!$A$1:$CP997,MATCH($A52,'Primary - GRADING'!$CP:$CP,0),20)</f>
        <v>#N/A</v>
      </c>
      <c r="X52" s="153" t="str">
        <f t="array" ref="X52">INDEX('Primary - GRADING'!$A$1:$CP997,MATCH($A52,'Primary - GRADING'!$CP:$CP,0),21)</f>
        <v>#N/A</v>
      </c>
      <c r="Y52" s="153" t="str">
        <f t="array" ref="Y52">INDEX('Primary - GRADING'!$A$1:$CP997,MATCH($A52,'Primary - GRADING'!$CP:$CP,0),22)</f>
        <v>#N/A</v>
      </c>
      <c r="Z52" s="165" t="str">
        <f t="array" ref="Z52">INDEX('Primary - GRADING'!$A$1:$CP997,MATCH($A52,'Primary - GRADING'!$CP:$CP,0),23)</f>
        <v>#N/A</v>
      </c>
      <c r="AA52" s="153" t="str">
        <f t="array" ref="AA52">INDEX('Primary - GRADING'!$A$1:$CP997,MATCH($A52,'Primary - GRADING'!$CP:$CP,0),24)</f>
        <v>#N/A</v>
      </c>
      <c r="AB52" s="153" t="str">
        <f t="array" ref="AB52">INDEX('Primary - GRADING'!$A$1:$CP997,MATCH($A52,'Primary - GRADING'!$CP:$CP,0),25)</f>
        <v>#N/A</v>
      </c>
      <c r="AC52" s="153" t="str">
        <f t="array" ref="AC52">INDEX('Primary - GRADING'!$A$1:$CP997,MATCH($A52,'Primary - GRADING'!$CP:$CP,0),46)</f>
        <v>#N/A</v>
      </c>
      <c r="AG52" s="153" t="str">
        <f t="shared" si="7"/>
        <v>#N/A</v>
      </c>
      <c r="AI52" s="153" t="str">
        <f>VLOOKUP(AH52,'Primary - GRADING'!$A$4:$C997,2,)</f>
        <v>#N/A</v>
      </c>
      <c r="AJ52" s="153" t="str">
        <f>VLOOKUP(AH52,'Primary - GRADING'!$A$4:$C997,3,)</f>
        <v>#N/A</v>
      </c>
      <c r="AK52" s="153" t="str">
        <f>VLOOKUP(AH52,'Primary - GRADING'!$A$4:$BG997,59,)</f>
        <v>#N/A</v>
      </c>
      <c r="AL52" s="153" t="str">
        <f>IFS(AK52="NMA",VLOOKUP(AH52,'Primary - GRADING'!$A$4:$BG997,51,),AK52="DIRECT",VLOOKUP(AH52,'Primary - GRADING'!$A$4:$BG997,8,),AK52="INDIRECT",VLOOKUP(AH52,'Primary - GRADING'!$A$4:$BG997,23,))</f>
        <v>#N/A</v>
      </c>
      <c r="AM52" s="153" t="str">
        <f>IFS(AK52="NMA",VLOOKUP(AH52,'Primary - GRADING'!$A$4:$BG997,52,),AK52="DIRECT",VLOOKUP(AH52,'Primary - GRADING'!$A$4:$BG997,9,),AK52="INDIRECT",VLOOKUP(AH52,'Primary - GRADING'!$A$4:$BG997,24,))</f>
        <v>#N/A</v>
      </c>
      <c r="AN52" s="153" t="str">
        <f>IFS(AK52="NMA",VLOOKUP(AH52,'Primary - GRADING'!$A$4:$BG997,53,),AK52="DIRECT",VLOOKUP(AH52,'Primary - GRADING'!$A$4:$BG997,10,),AK52="INDIRECT",VLOOKUP(AH52,'Primary - GRADING'!$A$4:$BG997,25,))</f>
        <v>#N/A</v>
      </c>
      <c r="AO52" s="153" t="str">
        <f t="shared" si="8"/>
        <v>#N/A</v>
      </c>
      <c r="AT52" s="153" t="str">
        <f t="shared" si="9"/>
        <v>#N/A</v>
      </c>
      <c r="AV52" s="153" t="str">
        <f>VLOOKUP(AU52,'Primary - GRADING'!$A$4:$C997,2,)</f>
        <v>#N/A</v>
      </c>
      <c r="AW52" s="153" t="str">
        <f>VLOOKUP(AU52,'Primary - GRADING'!$A$4:$C997,3,)</f>
        <v>#N/A</v>
      </c>
      <c r="AX52" s="153" t="str">
        <f>VLOOKUP(AU52,'Primary - GRADING'!$A$4:$BG997,59,)</f>
        <v>#N/A</v>
      </c>
      <c r="AY52" s="153" t="str">
        <f>IFS(AX52="NMA",VLOOKUP(AU52,'Primary - GRADING'!$A$4:$BG997,51,),AX52="DIRECT",VLOOKUP(AU52,'Primary - GRADING'!$A$4:$BG997,8,),AX52="INDIRECT",VLOOKUP(AU52,'Primary - GRADING'!$A$4:$BG997,23,))</f>
        <v>#N/A</v>
      </c>
      <c r="AZ52" s="153" t="str">
        <f>IFS(AX52="NMA",VLOOKUP(AU52,'Primary - GRADING'!$A$4:$BG997,52,),AX52="DIRECT",VLOOKUP(AU52,'Primary - GRADING'!$A$4:$BG997,9,),AX52="INDIRECT",VLOOKUP(AU52,'Primary - GRADING'!$A$4:$BG997,24,))</f>
        <v>#N/A</v>
      </c>
      <c r="BA52" s="153" t="str">
        <f>IFS(AX52="NMA",VLOOKUP(AU52,'Primary - GRADING'!$A$4:$BG997,53,),AX52="DIRECT",VLOOKUP(AU52,'Primary - GRADING'!$A$4:$BG997,10,),AX52="INDIRECT",VLOOKUP(AU52,'Primary - GRADING'!$A$4:$BG997,25,))</f>
        <v>#N/A</v>
      </c>
      <c r="BB52" s="153" t="str">
        <f t="shared" si="10"/>
        <v>#N/A</v>
      </c>
      <c r="BE52" s="153" t="str">
        <f t="shared" si="11"/>
        <v/>
      </c>
      <c r="BG52" s="153" t="str">
        <f t="shared" si="12"/>
        <v>#N/A</v>
      </c>
      <c r="BI52" s="153" t="str">
        <f t="shared" si="13"/>
        <v>#N/A</v>
      </c>
      <c r="BK52" s="153" t="str">
        <f t="shared" si="14"/>
        <v>#N/A</v>
      </c>
      <c r="BM52" s="153" t="str">
        <f t="shared" si="15"/>
        <v>#N/A</v>
      </c>
    </row>
    <row r="53" ht="15.75" customHeight="1">
      <c r="B53" s="160" t="str">
        <f t="shared" si="1"/>
        <v>#N/A</v>
      </c>
      <c r="C53" s="160" t="str">
        <f t="shared" si="2"/>
        <v>#N/A</v>
      </c>
      <c r="D53" s="160" t="str">
        <f t="shared" si="3"/>
        <v>#N/A</v>
      </c>
      <c r="E53" s="161" t="str">
        <f t="shared" si="4"/>
        <v>#N/A</v>
      </c>
      <c r="F53" s="153" t="str">
        <f t="shared" si="17"/>
        <v>#N/A</v>
      </c>
      <c r="G53" s="153" t="str">
        <f t="shared" si="6"/>
        <v>#N/A</v>
      </c>
      <c r="H53" s="156" t="str">
        <f t="array" ref="H53">INDEX('Primary - GRADING'!$A$1:$BG997,MATCH($A53,'Primary - GRADING'!$B:$B,0),59)</f>
        <v>#N/A</v>
      </c>
      <c r="I53" s="153" t="str">
        <f t="array" ref="I53">INDEX('Primary - GRADING'!$A$1:$CP997,MATCH($A53,'Primary - GRADING'!$CP:$CP,0),48)</f>
        <v>#N/A</v>
      </c>
      <c r="J53" s="153" t="str">
        <f t="array" ref="J53">INDEX('Primary - GRADING'!$A$1:$CP997,MATCH($A53,'Primary - GRADING'!$CP:$CP,0),49)</f>
        <v>#N/A</v>
      </c>
      <c r="K53" s="153" t="str">
        <f t="array" ref="K53">INDEX('Primary - GRADING'!$A$1:$CP997,MATCH($A53,'Primary - GRADING'!$CP:$CP,0),50)</f>
        <v>#N/A</v>
      </c>
      <c r="L53" s="153" t="str">
        <f t="array" ref="L53">INDEX('Primary - GRADING'!$A$1:$CP997,MATCH($A53,'Primary - GRADING'!$CP:$CP,0),51)</f>
        <v>#N/A</v>
      </c>
      <c r="M53" s="153" t="str">
        <f t="array" ref="M53">INDEX('Primary - GRADING'!$A$1:$CP997,MATCH($A53,'Primary - GRADING'!$CP:$CP,0),52)</f>
        <v>#N/A</v>
      </c>
      <c r="N53" s="153" t="str">
        <f t="array" ref="N53">INDEX('Primary - GRADING'!$A$1:$CP997,MATCH($A53,'Primary - GRADING'!$CP:$CP,0),53)</f>
        <v>#N/A</v>
      </c>
      <c r="O53" s="153" t="str">
        <f t="array" ref="O53">INDEX('Primary - GRADING'!$A$1:$CP997,MATCH($A53,'Primary - GRADING'!$CP:$CP,0),58)</f>
        <v>#N/A</v>
      </c>
      <c r="P53" s="153" t="str">
        <f t="array" ref="P53">INDEX('Primary - GRADING'!$A$1:$CP997,MATCH($A53,'Primary - GRADING'!$CP:$CP,0),5)</f>
        <v>#N/A</v>
      </c>
      <c r="Q53" s="153" t="str">
        <f t="array" ref="Q53">INDEX('Primary - GRADING'!$A$1:$CP997,MATCH($A53,'Primary - GRADING'!$CP:$CP,0),6)</f>
        <v>#N/A</v>
      </c>
      <c r="R53" s="153" t="str">
        <f t="array" ref="R53">INDEX('Primary - GRADING'!$A$1:$CP997,MATCH($A53,'Primary - GRADING'!$CP:$CP,0),7)</f>
        <v>#N/A</v>
      </c>
      <c r="S53" s="153" t="str">
        <f t="array" ref="S53">INDEX('Primary - GRADING'!$A$1:$CP997,MATCH($A53,'Primary - GRADING'!$CP:$CP,0),8)</f>
        <v>#N/A</v>
      </c>
      <c r="T53" s="153" t="str">
        <f t="array" ref="T53">INDEX('Primary - GRADING'!$A$1:$CP997,MATCH($A53,'Primary - GRADING'!$CP:$CP,0),9)</f>
        <v>#N/A</v>
      </c>
      <c r="U53" s="153" t="str">
        <f t="array" ref="U53">INDEX('Primary - GRADING'!$A$1:$CP997,MATCH($A53,'Primary - GRADING'!$CP:$CP,0),10)</f>
        <v>#N/A</v>
      </c>
      <c r="V53" s="153" t="str">
        <f t="array" ref="V53">INDEX('Primary - GRADING'!$A$1:$CP997,MATCH($A53,'Primary - GRADING'!$CP:$CP,0),18)</f>
        <v>#N/A</v>
      </c>
      <c r="W53" s="153" t="str">
        <f t="array" ref="W53">INDEX('Primary - GRADING'!$A$1:$CP997,MATCH($A53,'Primary - GRADING'!$CP:$CP,0),20)</f>
        <v>#N/A</v>
      </c>
      <c r="X53" s="153" t="str">
        <f t="array" ref="X53">INDEX('Primary - GRADING'!$A$1:$CP997,MATCH($A53,'Primary - GRADING'!$CP:$CP,0),21)</f>
        <v>#N/A</v>
      </c>
      <c r="Y53" s="153" t="str">
        <f t="array" ref="Y53">INDEX('Primary - GRADING'!$A$1:$CP997,MATCH($A53,'Primary - GRADING'!$CP:$CP,0),22)</f>
        <v>#N/A</v>
      </c>
      <c r="Z53" s="165" t="str">
        <f t="array" ref="Z53">INDEX('Primary - GRADING'!$A$1:$CP997,MATCH($A53,'Primary - GRADING'!$CP:$CP,0),23)</f>
        <v>#N/A</v>
      </c>
      <c r="AA53" s="153" t="str">
        <f t="array" ref="AA53">INDEX('Primary - GRADING'!$A$1:$CP997,MATCH($A53,'Primary - GRADING'!$CP:$CP,0),24)</f>
        <v>#N/A</v>
      </c>
      <c r="AB53" s="153" t="str">
        <f t="array" ref="AB53">INDEX('Primary - GRADING'!$A$1:$CP997,MATCH($A53,'Primary - GRADING'!$CP:$CP,0),25)</f>
        <v>#N/A</v>
      </c>
      <c r="AC53" s="153" t="str">
        <f t="array" ref="AC53">INDEX('Primary - GRADING'!$A$1:$CP997,MATCH($A53,'Primary - GRADING'!$CP:$CP,0),46)</f>
        <v>#N/A</v>
      </c>
      <c r="AG53" s="153" t="str">
        <f t="shared" si="7"/>
        <v>#N/A</v>
      </c>
      <c r="AI53" s="153" t="str">
        <f>VLOOKUP(AH53,'Primary - GRADING'!$A$4:$C997,2,)</f>
        <v>#N/A</v>
      </c>
      <c r="AJ53" s="153" t="str">
        <f>VLOOKUP(AH53,'Primary - GRADING'!$A$4:$C997,3,)</f>
        <v>#N/A</v>
      </c>
      <c r="AK53" s="153" t="str">
        <f>VLOOKUP(AH53,'Primary - GRADING'!$A$4:$BG997,59,)</f>
        <v>#N/A</v>
      </c>
      <c r="AL53" s="153" t="str">
        <f>IFS(AK53="NMA",VLOOKUP(AH53,'Primary - GRADING'!$A$4:$BG997,51,),AK53="DIRECT",VLOOKUP(AH53,'Primary - GRADING'!$A$4:$BG997,8,),AK53="INDIRECT",VLOOKUP(AH53,'Primary - GRADING'!$A$4:$BG997,23,))</f>
        <v>#N/A</v>
      </c>
      <c r="AM53" s="153" t="str">
        <f>IFS(AK53="NMA",VLOOKUP(AH53,'Primary - GRADING'!$A$4:$BG997,52,),AK53="DIRECT",VLOOKUP(AH53,'Primary - GRADING'!$A$4:$BG997,9,),AK53="INDIRECT",VLOOKUP(AH53,'Primary - GRADING'!$A$4:$BG997,24,))</f>
        <v>#N/A</v>
      </c>
      <c r="AN53" s="153" t="str">
        <f>IFS(AK53="NMA",VLOOKUP(AH53,'Primary - GRADING'!$A$4:$BG997,53,),AK53="DIRECT",VLOOKUP(AH53,'Primary - GRADING'!$A$4:$BG997,10,),AK53="INDIRECT",VLOOKUP(AH53,'Primary - GRADING'!$A$4:$BG997,25,))</f>
        <v>#N/A</v>
      </c>
      <c r="AO53" s="153" t="str">
        <f t="shared" si="8"/>
        <v>#N/A</v>
      </c>
      <c r="AT53" s="153" t="str">
        <f t="shared" si="9"/>
        <v>#N/A</v>
      </c>
      <c r="AV53" s="153" t="str">
        <f>VLOOKUP(AU53,'Primary - GRADING'!$A$4:$C997,2,)</f>
        <v>#N/A</v>
      </c>
      <c r="AW53" s="153" t="str">
        <f>VLOOKUP(AU53,'Primary - GRADING'!$A$4:$C997,3,)</f>
        <v>#N/A</v>
      </c>
      <c r="AX53" s="153" t="str">
        <f>VLOOKUP(AU53,'Primary - GRADING'!$A$4:$BG997,59,)</f>
        <v>#N/A</v>
      </c>
      <c r="AY53" s="153" t="str">
        <f>IFS(AX53="NMA",VLOOKUP(AU53,'Primary - GRADING'!$A$4:$BG997,51,),AX53="DIRECT",VLOOKUP(AU53,'Primary - GRADING'!$A$4:$BG997,8,),AX53="INDIRECT",VLOOKUP(AU53,'Primary - GRADING'!$A$4:$BG997,23,))</f>
        <v>#N/A</v>
      </c>
      <c r="AZ53" s="153" t="str">
        <f>IFS(AX53="NMA",VLOOKUP(AU53,'Primary - GRADING'!$A$4:$BG997,52,),AX53="DIRECT",VLOOKUP(AU53,'Primary - GRADING'!$A$4:$BG997,9,),AX53="INDIRECT",VLOOKUP(AU53,'Primary - GRADING'!$A$4:$BG997,24,))</f>
        <v>#N/A</v>
      </c>
      <c r="BA53" s="153" t="str">
        <f>IFS(AX53="NMA",VLOOKUP(AU53,'Primary - GRADING'!$A$4:$BG997,53,),AX53="DIRECT",VLOOKUP(AU53,'Primary - GRADING'!$A$4:$BG997,10,),AX53="INDIRECT",VLOOKUP(AU53,'Primary - GRADING'!$A$4:$BG997,25,))</f>
        <v>#N/A</v>
      </c>
      <c r="BB53" s="153" t="str">
        <f t="shared" si="10"/>
        <v>#N/A</v>
      </c>
      <c r="BE53" s="153" t="str">
        <f t="shared" si="11"/>
        <v/>
      </c>
      <c r="BG53" s="153" t="str">
        <f t="shared" si="12"/>
        <v>#N/A</v>
      </c>
      <c r="BI53" s="153" t="str">
        <f t="shared" si="13"/>
        <v>#N/A</v>
      </c>
      <c r="BK53" s="153" t="str">
        <f t="shared" si="14"/>
        <v>#N/A</v>
      </c>
      <c r="BM53" s="153" t="str">
        <f t="shared" si="15"/>
        <v>#N/A</v>
      </c>
    </row>
    <row r="54" ht="15.75" customHeight="1">
      <c r="B54" s="160" t="str">
        <f t="shared" si="1"/>
        <v>#N/A</v>
      </c>
      <c r="C54" s="160" t="str">
        <f t="shared" si="2"/>
        <v>#N/A</v>
      </c>
      <c r="D54" s="160" t="str">
        <f t="shared" si="3"/>
        <v>#N/A</v>
      </c>
      <c r="E54" s="161" t="str">
        <f t="shared" si="4"/>
        <v>#N/A</v>
      </c>
      <c r="F54" s="153" t="str">
        <f t="shared" si="17"/>
        <v>#N/A</v>
      </c>
      <c r="G54" s="153" t="str">
        <f t="shared" si="6"/>
        <v>#N/A</v>
      </c>
      <c r="H54" s="156" t="str">
        <f t="array" ref="H54">INDEX('Primary - GRADING'!$A$1:$BG997,MATCH($A54,'Primary - GRADING'!$B:$B,0),59)</f>
        <v>#N/A</v>
      </c>
      <c r="I54" s="153" t="str">
        <f t="array" ref="I54">INDEX('Primary - GRADING'!$A$1:$CP997,MATCH($A54,'Primary - GRADING'!$CP:$CP,0),48)</f>
        <v>#N/A</v>
      </c>
      <c r="J54" s="153" t="str">
        <f t="array" ref="J54">INDEX('Primary - GRADING'!$A$1:$CP997,MATCH($A54,'Primary - GRADING'!$CP:$CP,0),49)</f>
        <v>#N/A</v>
      </c>
      <c r="K54" s="153" t="str">
        <f t="array" ref="K54">INDEX('Primary - GRADING'!$A$1:$CP997,MATCH($A54,'Primary - GRADING'!$CP:$CP,0),50)</f>
        <v>#N/A</v>
      </c>
      <c r="L54" s="153" t="str">
        <f t="array" ref="L54">INDEX('Primary - GRADING'!$A$1:$CP997,MATCH($A54,'Primary - GRADING'!$CP:$CP,0),51)</f>
        <v>#N/A</v>
      </c>
      <c r="M54" s="153" t="str">
        <f t="array" ref="M54">INDEX('Primary - GRADING'!$A$1:$CP997,MATCH($A54,'Primary - GRADING'!$CP:$CP,0),52)</f>
        <v>#N/A</v>
      </c>
      <c r="N54" s="153" t="str">
        <f t="array" ref="N54">INDEX('Primary - GRADING'!$A$1:$CP997,MATCH($A54,'Primary - GRADING'!$CP:$CP,0),53)</f>
        <v>#N/A</v>
      </c>
      <c r="O54" s="153" t="str">
        <f t="array" ref="O54">INDEX('Primary - GRADING'!$A$1:$CP997,MATCH($A54,'Primary - GRADING'!$CP:$CP,0),58)</f>
        <v>#N/A</v>
      </c>
      <c r="P54" s="153" t="str">
        <f t="array" ref="P54">INDEX('Primary - GRADING'!$A$1:$CP997,MATCH($A54,'Primary - GRADING'!$CP:$CP,0),5)</f>
        <v>#N/A</v>
      </c>
      <c r="Q54" s="153" t="str">
        <f t="array" ref="Q54">INDEX('Primary - GRADING'!$A$1:$CP997,MATCH($A54,'Primary - GRADING'!$CP:$CP,0),6)</f>
        <v>#N/A</v>
      </c>
      <c r="R54" s="153" t="str">
        <f t="array" ref="R54">INDEX('Primary - GRADING'!$A$1:$CP997,MATCH($A54,'Primary - GRADING'!$CP:$CP,0),7)</f>
        <v>#N/A</v>
      </c>
      <c r="S54" s="153" t="str">
        <f t="array" ref="S54">INDEX('Primary - GRADING'!$A$1:$CP997,MATCH($A54,'Primary - GRADING'!$CP:$CP,0),8)</f>
        <v>#N/A</v>
      </c>
      <c r="T54" s="153" t="str">
        <f t="array" ref="T54">INDEX('Primary - GRADING'!$A$1:$CP997,MATCH($A54,'Primary - GRADING'!$CP:$CP,0),9)</f>
        <v>#N/A</v>
      </c>
      <c r="U54" s="153" t="str">
        <f t="array" ref="U54">INDEX('Primary - GRADING'!$A$1:$CP997,MATCH($A54,'Primary - GRADING'!$CP:$CP,0),10)</f>
        <v>#N/A</v>
      </c>
      <c r="V54" s="153" t="str">
        <f t="array" ref="V54">INDEX('Primary - GRADING'!$A$1:$CP997,MATCH($A54,'Primary - GRADING'!$CP:$CP,0),18)</f>
        <v>#N/A</v>
      </c>
      <c r="W54" s="153" t="str">
        <f t="array" ref="W54">INDEX('Primary - GRADING'!$A$1:$CP997,MATCH($A54,'Primary - GRADING'!$CP:$CP,0),20)</f>
        <v>#N/A</v>
      </c>
      <c r="X54" s="153" t="str">
        <f t="array" ref="X54">INDEX('Primary - GRADING'!$A$1:$CP997,MATCH($A54,'Primary - GRADING'!$CP:$CP,0),21)</f>
        <v>#N/A</v>
      </c>
      <c r="Y54" s="153" t="str">
        <f t="array" ref="Y54">INDEX('Primary - GRADING'!$A$1:$CP997,MATCH($A54,'Primary - GRADING'!$CP:$CP,0),22)</f>
        <v>#N/A</v>
      </c>
      <c r="Z54" s="165" t="str">
        <f t="array" ref="Z54">INDEX('Primary - GRADING'!$A$1:$CP997,MATCH($A54,'Primary - GRADING'!$CP:$CP,0),23)</f>
        <v>#N/A</v>
      </c>
      <c r="AA54" s="153" t="str">
        <f t="array" ref="AA54">INDEX('Primary - GRADING'!$A$1:$CP997,MATCH($A54,'Primary - GRADING'!$CP:$CP,0),24)</f>
        <v>#N/A</v>
      </c>
      <c r="AB54" s="153" t="str">
        <f t="array" ref="AB54">INDEX('Primary - GRADING'!$A$1:$CP997,MATCH($A54,'Primary - GRADING'!$CP:$CP,0),25)</f>
        <v>#N/A</v>
      </c>
      <c r="AC54" s="153" t="str">
        <f t="array" ref="AC54">INDEX('Primary - GRADING'!$A$1:$CP997,MATCH($A54,'Primary - GRADING'!$CP:$CP,0),46)</f>
        <v>#N/A</v>
      </c>
      <c r="AG54" s="153" t="str">
        <f t="shared" si="7"/>
        <v>#N/A</v>
      </c>
      <c r="AI54" s="153" t="str">
        <f>VLOOKUP(AH54,'Primary - GRADING'!$A$4:$C997,2,)</f>
        <v>#N/A</v>
      </c>
      <c r="AJ54" s="153" t="str">
        <f>VLOOKUP(AH54,'Primary - GRADING'!$A$4:$C997,3,)</f>
        <v>#N/A</v>
      </c>
      <c r="AK54" s="153" t="str">
        <f>VLOOKUP(AH54,'Primary - GRADING'!$A$4:$BG997,59,)</f>
        <v>#N/A</v>
      </c>
      <c r="AL54" s="153" t="str">
        <f>IFS(AK54="NMA",VLOOKUP(AH54,'Primary - GRADING'!$A$4:$BG997,51,),AK54="DIRECT",VLOOKUP(AH54,'Primary - GRADING'!$A$4:$BG997,8,),AK54="INDIRECT",VLOOKUP(AH54,'Primary - GRADING'!$A$4:$BG997,23,))</f>
        <v>#N/A</v>
      </c>
      <c r="AM54" s="153" t="str">
        <f>IFS(AK54="NMA",VLOOKUP(AH54,'Primary - GRADING'!$A$4:$BG997,52,),AK54="DIRECT",VLOOKUP(AH54,'Primary - GRADING'!$A$4:$BG997,9,),AK54="INDIRECT",VLOOKUP(AH54,'Primary - GRADING'!$A$4:$BG997,24,))</f>
        <v>#N/A</v>
      </c>
      <c r="AN54" s="153" t="str">
        <f>IFS(AK54="NMA",VLOOKUP(AH54,'Primary - GRADING'!$A$4:$BG997,53,),AK54="DIRECT",VLOOKUP(AH54,'Primary - GRADING'!$A$4:$BG997,10,),AK54="INDIRECT",VLOOKUP(AH54,'Primary - GRADING'!$A$4:$BG997,25,))</f>
        <v>#N/A</v>
      </c>
      <c r="AO54" s="153" t="str">
        <f t="shared" si="8"/>
        <v>#N/A</v>
      </c>
      <c r="AT54" s="153" t="str">
        <f t="shared" si="9"/>
        <v>#N/A</v>
      </c>
      <c r="AV54" s="153" t="str">
        <f>VLOOKUP(AU54,'Primary - GRADING'!$A$4:$C997,2,)</f>
        <v>#N/A</v>
      </c>
      <c r="AW54" s="153" t="str">
        <f>VLOOKUP(AU54,'Primary - GRADING'!$A$4:$C997,3,)</f>
        <v>#N/A</v>
      </c>
      <c r="AX54" s="153" t="str">
        <f>VLOOKUP(AU54,'Primary - GRADING'!$A$4:$BG997,59,)</f>
        <v>#N/A</v>
      </c>
      <c r="AY54" s="153" t="str">
        <f>IFS(AX54="NMA",VLOOKUP(AU54,'Primary - GRADING'!$A$4:$BG997,51,),AX54="DIRECT",VLOOKUP(AU54,'Primary - GRADING'!$A$4:$BG997,8,),AX54="INDIRECT",VLOOKUP(AU54,'Primary - GRADING'!$A$4:$BG997,23,))</f>
        <v>#N/A</v>
      </c>
      <c r="AZ54" s="153" t="str">
        <f>IFS(AX54="NMA",VLOOKUP(AU54,'Primary - GRADING'!$A$4:$BG997,52,),AX54="DIRECT",VLOOKUP(AU54,'Primary - GRADING'!$A$4:$BG997,9,),AX54="INDIRECT",VLOOKUP(AU54,'Primary - GRADING'!$A$4:$BG997,24,))</f>
        <v>#N/A</v>
      </c>
      <c r="BA54" s="153" t="str">
        <f>IFS(AX54="NMA",VLOOKUP(AU54,'Primary - GRADING'!$A$4:$BG997,53,),AX54="DIRECT",VLOOKUP(AU54,'Primary - GRADING'!$A$4:$BG997,10,),AX54="INDIRECT",VLOOKUP(AU54,'Primary - GRADING'!$A$4:$BG997,25,))</f>
        <v>#N/A</v>
      </c>
      <c r="BB54" s="153" t="str">
        <f t="shared" si="10"/>
        <v>#N/A</v>
      </c>
      <c r="BE54" s="153" t="str">
        <f t="shared" si="11"/>
        <v/>
      </c>
      <c r="BG54" s="153" t="str">
        <f t="shared" si="12"/>
        <v>#N/A</v>
      </c>
      <c r="BI54" s="153" t="str">
        <f t="shared" si="13"/>
        <v>#N/A</v>
      </c>
      <c r="BK54" s="153" t="str">
        <f t="shared" si="14"/>
        <v>#N/A</v>
      </c>
      <c r="BM54" s="153" t="str">
        <f t="shared" si="15"/>
        <v>#N/A</v>
      </c>
    </row>
    <row r="55" ht="15.75" customHeight="1">
      <c r="B55" s="160" t="str">
        <f t="shared" si="1"/>
        <v>#N/A</v>
      </c>
      <c r="C55" s="160" t="str">
        <f t="shared" si="2"/>
        <v>#N/A</v>
      </c>
      <c r="D55" s="160" t="str">
        <f t="shared" si="3"/>
        <v>#N/A</v>
      </c>
      <c r="E55" s="161" t="str">
        <f t="shared" si="4"/>
        <v>#N/A</v>
      </c>
      <c r="F55" s="153" t="str">
        <f t="shared" si="17"/>
        <v>#N/A</v>
      </c>
      <c r="G55" s="153" t="str">
        <f t="shared" si="6"/>
        <v>#N/A</v>
      </c>
      <c r="H55" s="156" t="str">
        <f t="array" ref="H55">INDEX('Primary - GRADING'!$A$1:$BG997,MATCH($A55,'Primary - GRADING'!$B:$B,0),59)</f>
        <v>#N/A</v>
      </c>
      <c r="I55" s="153" t="str">
        <f t="array" ref="I55">INDEX('Primary - GRADING'!$A$1:$CP997,MATCH($A55,'Primary - GRADING'!$CP:$CP,0),48)</f>
        <v>#N/A</v>
      </c>
      <c r="J55" s="153" t="str">
        <f t="array" ref="J55">INDEX('Primary - GRADING'!$A$1:$CP997,MATCH($A55,'Primary - GRADING'!$CP:$CP,0),49)</f>
        <v>#N/A</v>
      </c>
      <c r="K55" s="153" t="str">
        <f t="array" ref="K55">INDEX('Primary - GRADING'!$A$1:$CP997,MATCH($A55,'Primary - GRADING'!$CP:$CP,0),50)</f>
        <v>#N/A</v>
      </c>
      <c r="L55" s="153" t="str">
        <f t="array" ref="L55">INDEX('Primary - GRADING'!$A$1:$CP997,MATCH($A55,'Primary - GRADING'!$CP:$CP,0),51)</f>
        <v>#N/A</v>
      </c>
      <c r="M55" s="153" t="str">
        <f t="array" ref="M55">INDEX('Primary - GRADING'!$A$1:$CP997,MATCH($A55,'Primary - GRADING'!$CP:$CP,0),52)</f>
        <v>#N/A</v>
      </c>
      <c r="N55" s="153" t="str">
        <f t="array" ref="N55">INDEX('Primary - GRADING'!$A$1:$CP997,MATCH($A55,'Primary - GRADING'!$CP:$CP,0),53)</f>
        <v>#N/A</v>
      </c>
      <c r="O55" s="153" t="str">
        <f t="array" ref="O55">INDEX('Primary - GRADING'!$A$1:$CP997,MATCH($A55,'Primary - GRADING'!$CP:$CP,0),58)</f>
        <v>#N/A</v>
      </c>
      <c r="P55" s="153" t="str">
        <f t="array" ref="P55">INDEX('Primary - GRADING'!$A$1:$CP997,MATCH($A55,'Primary - GRADING'!$CP:$CP,0),5)</f>
        <v>#N/A</v>
      </c>
      <c r="Q55" s="153" t="str">
        <f t="array" ref="Q55">INDEX('Primary - GRADING'!$A$1:$CP997,MATCH($A55,'Primary - GRADING'!$CP:$CP,0),6)</f>
        <v>#N/A</v>
      </c>
      <c r="R55" s="153" t="str">
        <f t="array" ref="R55">INDEX('Primary - GRADING'!$A$1:$CP997,MATCH($A55,'Primary - GRADING'!$CP:$CP,0),7)</f>
        <v>#N/A</v>
      </c>
      <c r="S55" s="153" t="str">
        <f t="array" ref="S55">INDEX('Primary - GRADING'!$A$1:$CP997,MATCH($A55,'Primary - GRADING'!$CP:$CP,0),8)</f>
        <v>#N/A</v>
      </c>
      <c r="T55" s="153" t="str">
        <f t="array" ref="T55">INDEX('Primary - GRADING'!$A$1:$CP997,MATCH($A55,'Primary - GRADING'!$CP:$CP,0),9)</f>
        <v>#N/A</v>
      </c>
      <c r="U55" s="153" t="str">
        <f t="array" ref="U55">INDEX('Primary - GRADING'!$A$1:$CP997,MATCH($A55,'Primary - GRADING'!$CP:$CP,0),10)</f>
        <v>#N/A</v>
      </c>
      <c r="V55" s="153" t="str">
        <f t="array" ref="V55">INDEX('Primary - GRADING'!$A$1:$CP997,MATCH($A55,'Primary - GRADING'!$CP:$CP,0),18)</f>
        <v>#N/A</v>
      </c>
      <c r="W55" s="153" t="str">
        <f t="array" ref="W55">INDEX('Primary - GRADING'!$A$1:$CP997,MATCH($A55,'Primary - GRADING'!$CP:$CP,0),20)</f>
        <v>#N/A</v>
      </c>
      <c r="X55" s="153" t="str">
        <f t="array" ref="X55">INDEX('Primary - GRADING'!$A$1:$CP997,MATCH($A55,'Primary - GRADING'!$CP:$CP,0),21)</f>
        <v>#N/A</v>
      </c>
      <c r="Y55" s="153" t="str">
        <f t="array" ref="Y55">INDEX('Primary - GRADING'!$A$1:$CP997,MATCH($A55,'Primary - GRADING'!$CP:$CP,0),22)</f>
        <v>#N/A</v>
      </c>
      <c r="Z55" s="165" t="str">
        <f t="array" ref="Z55">INDEX('Primary - GRADING'!$A$1:$CP997,MATCH($A55,'Primary - GRADING'!$CP:$CP,0),23)</f>
        <v>#N/A</v>
      </c>
      <c r="AA55" s="153" t="str">
        <f t="array" ref="AA55">INDEX('Primary - GRADING'!$A$1:$CP997,MATCH($A55,'Primary - GRADING'!$CP:$CP,0),24)</f>
        <v>#N/A</v>
      </c>
      <c r="AB55" s="153" t="str">
        <f t="array" ref="AB55">INDEX('Primary - GRADING'!$A$1:$CP997,MATCH($A55,'Primary - GRADING'!$CP:$CP,0),25)</f>
        <v>#N/A</v>
      </c>
      <c r="AC55" s="153" t="str">
        <f t="array" ref="AC55">INDEX('Primary - GRADING'!$A$1:$CP997,MATCH($A55,'Primary - GRADING'!$CP:$CP,0),46)</f>
        <v>#N/A</v>
      </c>
      <c r="AG55" s="153" t="str">
        <f t="shared" si="7"/>
        <v>#N/A</v>
      </c>
      <c r="AI55" s="153" t="str">
        <f>VLOOKUP(AH55,'Primary - GRADING'!$A$4:$C997,2,)</f>
        <v>#N/A</v>
      </c>
      <c r="AJ55" s="153" t="str">
        <f>VLOOKUP(AH55,'Primary - GRADING'!$A$4:$C997,3,)</f>
        <v>#N/A</v>
      </c>
      <c r="AK55" s="153" t="str">
        <f>VLOOKUP(AH55,'Primary - GRADING'!$A$4:$BG997,59,)</f>
        <v>#N/A</v>
      </c>
      <c r="AL55" s="153" t="str">
        <f>IFS(AK55="NMA",VLOOKUP(AH55,'Primary - GRADING'!$A$4:$BG997,51,),AK55="DIRECT",VLOOKUP(AH55,'Primary - GRADING'!$A$4:$BG997,8,),AK55="INDIRECT",VLOOKUP(AH55,'Primary - GRADING'!$A$4:$BG997,23,))</f>
        <v>#N/A</v>
      </c>
      <c r="AM55" s="153" t="str">
        <f>IFS(AK55="NMA",VLOOKUP(AH55,'Primary - GRADING'!$A$4:$BG997,52,),AK55="DIRECT",VLOOKUP(AH55,'Primary - GRADING'!$A$4:$BG997,9,),AK55="INDIRECT",VLOOKUP(AH55,'Primary - GRADING'!$A$4:$BG997,24,))</f>
        <v>#N/A</v>
      </c>
      <c r="AN55" s="153" t="str">
        <f>IFS(AK55="NMA",VLOOKUP(AH55,'Primary - GRADING'!$A$4:$BG997,53,),AK55="DIRECT",VLOOKUP(AH55,'Primary - GRADING'!$A$4:$BG997,10,),AK55="INDIRECT",VLOOKUP(AH55,'Primary - GRADING'!$A$4:$BG997,25,))</f>
        <v>#N/A</v>
      </c>
      <c r="AO55" s="153" t="str">
        <f t="shared" si="8"/>
        <v>#N/A</v>
      </c>
      <c r="AT55" s="153" t="str">
        <f t="shared" si="9"/>
        <v>#N/A</v>
      </c>
      <c r="AV55" s="153" t="str">
        <f>VLOOKUP(AU55,'Primary - GRADING'!$A$4:$C997,2,)</f>
        <v>#N/A</v>
      </c>
      <c r="AW55" s="153" t="str">
        <f>VLOOKUP(AU55,'Primary - GRADING'!$A$4:$C997,3,)</f>
        <v>#N/A</v>
      </c>
      <c r="AX55" s="153" t="str">
        <f>VLOOKUP(AU55,'Primary - GRADING'!$A$4:$BG997,59,)</f>
        <v>#N/A</v>
      </c>
      <c r="AY55" s="153" t="str">
        <f>IFS(AX55="NMA",VLOOKUP(AU55,'Primary - GRADING'!$A$4:$BG997,51,),AX55="DIRECT",VLOOKUP(AU55,'Primary - GRADING'!$A$4:$BG997,8,),AX55="INDIRECT",VLOOKUP(AU55,'Primary - GRADING'!$A$4:$BG997,23,))</f>
        <v>#N/A</v>
      </c>
      <c r="AZ55" s="153" t="str">
        <f>IFS(AX55="NMA",VLOOKUP(AU55,'Primary - GRADING'!$A$4:$BG997,52,),AX55="DIRECT",VLOOKUP(AU55,'Primary - GRADING'!$A$4:$BG997,9,),AX55="INDIRECT",VLOOKUP(AU55,'Primary - GRADING'!$A$4:$BG997,24,))</f>
        <v>#N/A</v>
      </c>
      <c r="BA55" s="153" t="str">
        <f>IFS(AX55="NMA",VLOOKUP(AU55,'Primary - GRADING'!$A$4:$BG997,53,),AX55="DIRECT",VLOOKUP(AU55,'Primary - GRADING'!$A$4:$BG997,10,),AX55="INDIRECT",VLOOKUP(AU55,'Primary - GRADING'!$A$4:$BG997,25,))</f>
        <v>#N/A</v>
      </c>
      <c r="BB55" s="153" t="str">
        <f t="shared" si="10"/>
        <v>#N/A</v>
      </c>
      <c r="BE55" s="153" t="str">
        <f t="shared" si="11"/>
        <v/>
      </c>
      <c r="BG55" s="153" t="str">
        <f t="shared" si="12"/>
        <v>#N/A</v>
      </c>
      <c r="BI55" s="153" t="str">
        <f t="shared" si="13"/>
        <v>#N/A</v>
      </c>
      <c r="BK55" s="153" t="str">
        <f t="shared" si="14"/>
        <v>#N/A</v>
      </c>
      <c r="BM55" s="153" t="str">
        <f t="shared" si="15"/>
        <v>#N/A</v>
      </c>
    </row>
    <row r="56" ht="15.75" customHeight="1">
      <c r="B56" s="160" t="str">
        <f t="shared" si="1"/>
        <v>#N/A</v>
      </c>
      <c r="C56" s="160" t="str">
        <f t="shared" si="2"/>
        <v>#N/A</v>
      </c>
      <c r="D56" s="160" t="str">
        <f t="shared" si="3"/>
        <v>#N/A</v>
      </c>
      <c r="E56" s="161" t="str">
        <f t="shared" si="4"/>
        <v>#N/A</v>
      </c>
      <c r="F56" s="153" t="str">
        <f t="shared" si="17"/>
        <v>#N/A</v>
      </c>
      <c r="G56" s="153" t="str">
        <f t="shared" si="6"/>
        <v>#N/A</v>
      </c>
      <c r="H56" s="156" t="str">
        <f t="array" ref="H56">INDEX('Primary - GRADING'!$A$1:$BG997,MATCH($A56,'Primary - GRADING'!$B:$B,0),59)</f>
        <v>#N/A</v>
      </c>
      <c r="I56" s="153" t="str">
        <f t="array" ref="I56">INDEX('Primary - GRADING'!$A$1:$CP997,MATCH($A56,'Primary - GRADING'!$CP:$CP,0),48)</f>
        <v>#N/A</v>
      </c>
      <c r="J56" s="153" t="str">
        <f t="array" ref="J56">INDEX('Primary - GRADING'!$A$1:$CP997,MATCH($A56,'Primary - GRADING'!$CP:$CP,0),49)</f>
        <v>#N/A</v>
      </c>
      <c r="K56" s="153" t="str">
        <f t="array" ref="K56">INDEX('Primary - GRADING'!$A$1:$CP997,MATCH($A56,'Primary - GRADING'!$CP:$CP,0),50)</f>
        <v>#N/A</v>
      </c>
      <c r="L56" s="153" t="str">
        <f t="array" ref="L56">INDEX('Primary - GRADING'!$A$1:$CP997,MATCH($A56,'Primary - GRADING'!$CP:$CP,0),51)</f>
        <v>#N/A</v>
      </c>
      <c r="M56" s="153" t="str">
        <f t="array" ref="M56">INDEX('Primary - GRADING'!$A$1:$CP997,MATCH($A56,'Primary - GRADING'!$CP:$CP,0),52)</f>
        <v>#N/A</v>
      </c>
      <c r="N56" s="153" t="str">
        <f t="array" ref="N56">INDEX('Primary - GRADING'!$A$1:$CP997,MATCH($A56,'Primary - GRADING'!$CP:$CP,0),53)</f>
        <v>#N/A</v>
      </c>
      <c r="O56" s="153" t="str">
        <f t="array" ref="O56">INDEX('Primary - GRADING'!$A$1:$CP997,MATCH($A56,'Primary - GRADING'!$CP:$CP,0),58)</f>
        <v>#N/A</v>
      </c>
      <c r="P56" s="153" t="str">
        <f t="array" ref="P56">INDEX('Primary - GRADING'!$A$1:$CP997,MATCH($A56,'Primary - GRADING'!$CP:$CP,0),5)</f>
        <v>#N/A</v>
      </c>
      <c r="Q56" s="153" t="str">
        <f t="array" ref="Q56">INDEX('Primary - GRADING'!$A$1:$CP997,MATCH($A56,'Primary - GRADING'!$CP:$CP,0),6)</f>
        <v>#N/A</v>
      </c>
      <c r="R56" s="153" t="str">
        <f t="array" ref="R56">INDEX('Primary - GRADING'!$A$1:$CP997,MATCH($A56,'Primary - GRADING'!$CP:$CP,0),7)</f>
        <v>#N/A</v>
      </c>
      <c r="S56" s="153" t="str">
        <f t="array" ref="S56">INDEX('Primary - GRADING'!$A$1:$CP997,MATCH($A56,'Primary - GRADING'!$CP:$CP,0),8)</f>
        <v>#N/A</v>
      </c>
      <c r="T56" s="153" t="str">
        <f t="array" ref="T56">INDEX('Primary - GRADING'!$A$1:$CP997,MATCH($A56,'Primary - GRADING'!$CP:$CP,0),9)</f>
        <v>#N/A</v>
      </c>
      <c r="U56" s="153" t="str">
        <f t="array" ref="U56">INDEX('Primary - GRADING'!$A$1:$CP997,MATCH($A56,'Primary - GRADING'!$CP:$CP,0),10)</f>
        <v>#N/A</v>
      </c>
      <c r="V56" s="153" t="str">
        <f t="array" ref="V56">INDEX('Primary - GRADING'!$A$1:$CP997,MATCH($A56,'Primary - GRADING'!$CP:$CP,0),18)</f>
        <v>#N/A</v>
      </c>
      <c r="W56" s="153" t="str">
        <f t="array" ref="W56">INDEX('Primary - GRADING'!$A$1:$CP997,MATCH($A56,'Primary - GRADING'!$CP:$CP,0),20)</f>
        <v>#N/A</v>
      </c>
      <c r="X56" s="153" t="str">
        <f t="array" ref="X56">INDEX('Primary - GRADING'!$A$1:$CP997,MATCH($A56,'Primary - GRADING'!$CP:$CP,0),21)</f>
        <v>#N/A</v>
      </c>
      <c r="Y56" s="153" t="str">
        <f t="array" ref="Y56">INDEX('Primary - GRADING'!$A$1:$CP997,MATCH($A56,'Primary - GRADING'!$CP:$CP,0),22)</f>
        <v>#N/A</v>
      </c>
      <c r="Z56" s="165" t="str">
        <f t="array" ref="Z56">INDEX('Primary - GRADING'!$A$1:$CP997,MATCH($A56,'Primary - GRADING'!$CP:$CP,0),23)</f>
        <v>#N/A</v>
      </c>
      <c r="AA56" s="153" t="str">
        <f t="array" ref="AA56">INDEX('Primary - GRADING'!$A$1:$CP997,MATCH($A56,'Primary - GRADING'!$CP:$CP,0),24)</f>
        <v>#N/A</v>
      </c>
      <c r="AB56" s="153" t="str">
        <f t="array" ref="AB56">INDEX('Primary - GRADING'!$A$1:$CP997,MATCH($A56,'Primary - GRADING'!$CP:$CP,0),25)</f>
        <v>#N/A</v>
      </c>
      <c r="AC56" s="153" t="str">
        <f t="array" ref="AC56">INDEX('Primary - GRADING'!$A$1:$CP997,MATCH($A56,'Primary - GRADING'!$CP:$CP,0),46)</f>
        <v>#N/A</v>
      </c>
      <c r="AG56" s="153" t="str">
        <f t="shared" si="7"/>
        <v>#N/A</v>
      </c>
      <c r="AI56" s="153" t="str">
        <f>VLOOKUP(AH56,'Primary - GRADING'!$A$4:$C997,2,)</f>
        <v>#N/A</v>
      </c>
      <c r="AJ56" s="153" t="str">
        <f>VLOOKUP(AH56,'Primary - GRADING'!$A$4:$C997,3,)</f>
        <v>#N/A</v>
      </c>
      <c r="AK56" s="153" t="str">
        <f>VLOOKUP(AH56,'Primary - GRADING'!$A$4:$BG997,59,)</f>
        <v>#N/A</v>
      </c>
      <c r="AL56" s="153" t="str">
        <f>IFS(AK56="NMA",VLOOKUP(AH56,'Primary - GRADING'!$A$4:$BG997,51,),AK56="DIRECT",VLOOKUP(AH56,'Primary - GRADING'!$A$4:$BG997,8,),AK56="INDIRECT",VLOOKUP(AH56,'Primary - GRADING'!$A$4:$BG997,23,))</f>
        <v>#N/A</v>
      </c>
      <c r="AM56" s="153" t="str">
        <f>IFS(AK56="NMA",VLOOKUP(AH56,'Primary - GRADING'!$A$4:$BG997,52,),AK56="DIRECT",VLOOKUP(AH56,'Primary - GRADING'!$A$4:$BG997,9,),AK56="INDIRECT",VLOOKUP(AH56,'Primary - GRADING'!$A$4:$BG997,24,))</f>
        <v>#N/A</v>
      </c>
      <c r="AN56" s="153" t="str">
        <f>IFS(AK56="NMA",VLOOKUP(AH56,'Primary - GRADING'!$A$4:$BG997,53,),AK56="DIRECT",VLOOKUP(AH56,'Primary - GRADING'!$A$4:$BG997,10,),AK56="INDIRECT",VLOOKUP(AH56,'Primary - GRADING'!$A$4:$BG997,25,))</f>
        <v>#N/A</v>
      </c>
      <c r="AO56" s="153" t="str">
        <f t="shared" si="8"/>
        <v>#N/A</v>
      </c>
      <c r="AT56" s="153" t="str">
        <f t="shared" si="9"/>
        <v>#N/A</v>
      </c>
      <c r="AV56" s="153" t="str">
        <f>VLOOKUP(AU56,'Primary - GRADING'!$A$4:$C997,2,)</f>
        <v>#N/A</v>
      </c>
      <c r="AW56" s="153" t="str">
        <f>VLOOKUP(AU56,'Primary - GRADING'!$A$4:$C997,3,)</f>
        <v>#N/A</v>
      </c>
      <c r="AX56" s="153" t="str">
        <f>VLOOKUP(AU56,'Primary - GRADING'!$A$4:$BG997,59,)</f>
        <v>#N/A</v>
      </c>
      <c r="AY56" s="153" t="str">
        <f>IFS(AX56="NMA",VLOOKUP(AU56,'Primary - GRADING'!$A$4:$BG997,51,),AX56="DIRECT",VLOOKUP(AU56,'Primary - GRADING'!$A$4:$BG997,8,),AX56="INDIRECT",VLOOKUP(AU56,'Primary - GRADING'!$A$4:$BG997,23,))</f>
        <v>#N/A</v>
      </c>
      <c r="AZ56" s="153" t="str">
        <f>IFS(AX56="NMA",VLOOKUP(AU56,'Primary - GRADING'!$A$4:$BG997,52,),AX56="DIRECT",VLOOKUP(AU56,'Primary - GRADING'!$A$4:$BG997,9,),AX56="INDIRECT",VLOOKUP(AU56,'Primary - GRADING'!$A$4:$BG997,24,))</f>
        <v>#N/A</v>
      </c>
      <c r="BA56" s="153" t="str">
        <f>IFS(AX56="NMA",VLOOKUP(AU56,'Primary - GRADING'!$A$4:$BG997,53,),AX56="DIRECT",VLOOKUP(AU56,'Primary - GRADING'!$A$4:$BG997,10,),AX56="INDIRECT",VLOOKUP(AU56,'Primary - GRADING'!$A$4:$BG997,25,))</f>
        <v>#N/A</v>
      </c>
      <c r="BB56" s="153" t="str">
        <f t="shared" si="10"/>
        <v>#N/A</v>
      </c>
      <c r="BE56" s="153" t="str">
        <f t="shared" si="11"/>
        <v/>
      </c>
      <c r="BG56" s="153" t="str">
        <f t="shared" si="12"/>
        <v>#N/A</v>
      </c>
      <c r="BI56" s="153" t="str">
        <f t="shared" si="13"/>
        <v>#N/A</v>
      </c>
      <c r="BK56" s="153" t="str">
        <f t="shared" si="14"/>
        <v>#N/A</v>
      </c>
      <c r="BM56" s="153" t="str">
        <f t="shared" si="15"/>
        <v>#N/A</v>
      </c>
    </row>
    <row r="57" ht="15.75" customHeight="1">
      <c r="B57" s="160" t="str">
        <f t="shared" si="1"/>
        <v>#N/A</v>
      </c>
      <c r="C57" s="160" t="str">
        <f t="shared" si="2"/>
        <v>#N/A</v>
      </c>
      <c r="D57" s="160" t="str">
        <f t="shared" si="3"/>
        <v>#N/A</v>
      </c>
      <c r="E57" s="161" t="str">
        <f t="shared" si="4"/>
        <v>#N/A</v>
      </c>
      <c r="F57" s="153" t="str">
        <f t="shared" si="17"/>
        <v>#N/A</v>
      </c>
      <c r="G57" s="153" t="str">
        <f t="shared" si="6"/>
        <v>#N/A</v>
      </c>
      <c r="H57" s="156" t="str">
        <f t="array" ref="H57">INDEX('Primary - GRADING'!$A$1:$BG997,MATCH($A57,'Primary - GRADING'!$B:$B,0),59)</f>
        <v>#N/A</v>
      </c>
      <c r="I57" s="153" t="str">
        <f t="array" ref="I57">INDEX('Primary - GRADING'!$A$1:$CP997,MATCH($A57,'Primary - GRADING'!$CP:$CP,0),48)</f>
        <v>#N/A</v>
      </c>
      <c r="J57" s="153" t="str">
        <f t="array" ref="J57">INDEX('Primary - GRADING'!$A$1:$CP997,MATCH($A57,'Primary - GRADING'!$CP:$CP,0),49)</f>
        <v>#N/A</v>
      </c>
      <c r="K57" s="153" t="str">
        <f t="array" ref="K57">INDEX('Primary - GRADING'!$A$1:$CP997,MATCH($A57,'Primary - GRADING'!$CP:$CP,0),50)</f>
        <v>#N/A</v>
      </c>
      <c r="L57" s="153" t="str">
        <f t="array" ref="L57">INDEX('Primary - GRADING'!$A$1:$CP997,MATCH($A57,'Primary - GRADING'!$CP:$CP,0),51)</f>
        <v>#N/A</v>
      </c>
      <c r="M57" s="153" t="str">
        <f t="array" ref="M57">INDEX('Primary - GRADING'!$A$1:$CP997,MATCH($A57,'Primary - GRADING'!$CP:$CP,0),52)</f>
        <v>#N/A</v>
      </c>
      <c r="N57" s="153" t="str">
        <f t="array" ref="N57">INDEX('Primary - GRADING'!$A$1:$CP997,MATCH($A57,'Primary - GRADING'!$CP:$CP,0),53)</f>
        <v>#N/A</v>
      </c>
      <c r="O57" s="153" t="str">
        <f t="array" ref="O57">INDEX('Primary - GRADING'!$A$1:$CP997,MATCH($A57,'Primary - GRADING'!$CP:$CP,0),58)</f>
        <v>#N/A</v>
      </c>
      <c r="P57" s="153" t="str">
        <f t="array" ref="P57">INDEX('Primary - GRADING'!$A$1:$CP997,MATCH($A57,'Primary - GRADING'!$CP:$CP,0),5)</f>
        <v>#N/A</v>
      </c>
      <c r="Q57" s="153" t="str">
        <f t="array" ref="Q57">INDEX('Primary - GRADING'!$A$1:$CP997,MATCH($A57,'Primary - GRADING'!$CP:$CP,0),6)</f>
        <v>#N/A</v>
      </c>
      <c r="R57" s="153" t="str">
        <f t="array" ref="R57">INDEX('Primary - GRADING'!$A$1:$CP997,MATCH($A57,'Primary - GRADING'!$CP:$CP,0),7)</f>
        <v>#N/A</v>
      </c>
      <c r="S57" s="153" t="str">
        <f t="array" ref="S57">INDEX('Primary - GRADING'!$A$1:$CP997,MATCH($A57,'Primary - GRADING'!$CP:$CP,0),8)</f>
        <v>#N/A</v>
      </c>
      <c r="T57" s="153" t="str">
        <f t="array" ref="T57">INDEX('Primary - GRADING'!$A$1:$CP997,MATCH($A57,'Primary - GRADING'!$CP:$CP,0),9)</f>
        <v>#N/A</v>
      </c>
      <c r="U57" s="153" t="str">
        <f t="array" ref="U57">INDEX('Primary - GRADING'!$A$1:$CP997,MATCH($A57,'Primary - GRADING'!$CP:$CP,0),10)</f>
        <v>#N/A</v>
      </c>
      <c r="V57" s="153" t="str">
        <f t="array" ref="V57">INDEX('Primary - GRADING'!$A$1:$CP997,MATCH($A57,'Primary - GRADING'!$CP:$CP,0),18)</f>
        <v>#N/A</v>
      </c>
      <c r="W57" s="153" t="str">
        <f t="array" ref="W57">INDEX('Primary - GRADING'!$A$1:$CP997,MATCH($A57,'Primary - GRADING'!$CP:$CP,0),20)</f>
        <v>#N/A</v>
      </c>
      <c r="X57" s="153" t="str">
        <f t="array" ref="X57">INDEX('Primary - GRADING'!$A$1:$CP997,MATCH($A57,'Primary - GRADING'!$CP:$CP,0),21)</f>
        <v>#N/A</v>
      </c>
      <c r="Y57" s="153" t="str">
        <f t="array" ref="Y57">INDEX('Primary - GRADING'!$A$1:$CP997,MATCH($A57,'Primary - GRADING'!$CP:$CP,0),22)</f>
        <v>#N/A</v>
      </c>
      <c r="Z57" s="165" t="str">
        <f t="array" ref="Z57">INDEX('Primary - GRADING'!$A$1:$CP997,MATCH($A57,'Primary - GRADING'!$CP:$CP,0),23)</f>
        <v>#N/A</v>
      </c>
      <c r="AA57" s="153" t="str">
        <f t="array" ref="AA57">INDEX('Primary - GRADING'!$A$1:$CP997,MATCH($A57,'Primary - GRADING'!$CP:$CP,0),24)</f>
        <v>#N/A</v>
      </c>
      <c r="AB57" s="153" t="str">
        <f t="array" ref="AB57">INDEX('Primary - GRADING'!$A$1:$CP997,MATCH($A57,'Primary - GRADING'!$CP:$CP,0),25)</f>
        <v>#N/A</v>
      </c>
      <c r="AC57" s="153" t="str">
        <f t="array" ref="AC57">INDEX('Primary - GRADING'!$A$1:$CP997,MATCH($A57,'Primary - GRADING'!$CP:$CP,0),46)</f>
        <v>#N/A</v>
      </c>
      <c r="AG57" s="153" t="str">
        <f t="shared" si="7"/>
        <v>#N/A</v>
      </c>
      <c r="AI57" s="153" t="str">
        <f>VLOOKUP(AH57,'Primary - GRADING'!$A$4:$C997,2,)</f>
        <v>#N/A</v>
      </c>
      <c r="AJ57" s="153" t="str">
        <f>VLOOKUP(AH57,'Primary - GRADING'!$A$4:$C997,3,)</f>
        <v>#N/A</v>
      </c>
      <c r="AK57" s="153" t="str">
        <f>VLOOKUP(AH57,'Primary - GRADING'!$A$4:$BG997,59,)</f>
        <v>#N/A</v>
      </c>
      <c r="AL57" s="153" t="str">
        <f>IFS(AK57="NMA",VLOOKUP(AH57,'Primary - GRADING'!$A$4:$BG997,51,),AK57="DIRECT",VLOOKUP(AH57,'Primary - GRADING'!$A$4:$BG997,8,),AK57="INDIRECT",VLOOKUP(AH57,'Primary - GRADING'!$A$4:$BG997,23,))</f>
        <v>#N/A</v>
      </c>
      <c r="AM57" s="153" t="str">
        <f>IFS(AK57="NMA",VLOOKUP(AH57,'Primary - GRADING'!$A$4:$BG997,52,),AK57="DIRECT",VLOOKUP(AH57,'Primary - GRADING'!$A$4:$BG997,9,),AK57="INDIRECT",VLOOKUP(AH57,'Primary - GRADING'!$A$4:$BG997,24,))</f>
        <v>#N/A</v>
      </c>
      <c r="AN57" s="153" t="str">
        <f>IFS(AK57="NMA",VLOOKUP(AH57,'Primary - GRADING'!$A$4:$BG997,53,),AK57="DIRECT",VLOOKUP(AH57,'Primary - GRADING'!$A$4:$BG997,10,),AK57="INDIRECT",VLOOKUP(AH57,'Primary - GRADING'!$A$4:$BG997,25,))</f>
        <v>#N/A</v>
      </c>
      <c r="AO57" s="153" t="str">
        <f t="shared" si="8"/>
        <v>#N/A</v>
      </c>
      <c r="AT57" s="153" t="str">
        <f t="shared" si="9"/>
        <v>#N/A</v>
      </c>
      <c r="AV57" s="153" t="str">
        <f>VLOOKUP(AU57,'Primary - GRADING'!$A$4:$C997,2,)</f>
        <v>#N/A</v>
      </c>
      <c r="AW57" s="153" t="str">
        <f>VLOOKUP(AU57,'Primary - GRADING'!$A$4:$C997,3,)</f>
        <v>#N/A</v>
      </c>
      <c r="AX57" s="153" t="str">
        <f>VLOOKUP(AU57,'Primary - GRADING'!$A$4:$BG997,59,)</f>
        <v>#N/A</v>
      </c>
      <c r="AY57" s="153" t="str">
        <f>IFS(AX57="NMA",VLOOKUP(AU57,'Primary - GRADING'!$A$4:$BG997,51,),AX57="DIRECT",VLOOKUP(AU57,'Primary - GRADING'!$A$4:$BG997,8,),AX57="INDIRECT",VLOOKUP(AU57,'Primary - GRADING'!$A$4:$BG997,23,))</f>
        <v>#N/A</v>
      </c>
      <c r="AZ57" s="153" t="str">
        <f>IFS(AX57="NMA",VLOOKUP(AU57,'Primary - GRADING'!$A$4:$BG997,52,),AX57="DIRECT",VLOOKUP(AU57,'Primary - GRADING'!$A$4:$BG997,9,),AX57="INDIRECT",VLOOKUP(AU57,'Primary - GRADING'!$A$4:$BG997,24,))</f>
        <v>#N/A</v>
      </c>
      <c r="BA57" s="153" t="str">
        <f>IFS(AX57="NMA",VLOOKUP(AU57,'Primary - GRADING'!$A$4:$BG997,53,),AX57="DIRECT",VLOOKUP(AU57,'Primary - GRADING'!$A$4:$BG997,10,),AX57="INDIRECT",VLOOKUP(AU57,'Primary - GRADING'!$A$4:$BG997,25,))</f>
        <v>#N/A</v>
      </c>
      <c r="BB57" s="153" t="str">
        <f t="shared" si="10"/>
        <v>#N/A</v>
      </c>
      <c r="BE57" s="153" t="str">
        <f t="shared" si="11"/>
        <v/>
      </c>
      <c r="BG57" s="153" t="str">
        <f t="shared" si="12"/>
        <v>#N/A</v>
      </c>
      <c r="BI57" s="153" t="str">
        <f t="shared" si="13"/>
        <v>#N/A</v>
      </c>
      <c r="BK57" s="153" t="str">
        <f t="shared" si="14"/>
        <v>#N/A</v>
      </c>
      <c r="BM57" s="153" t="str">
        <f t="shared" si="15"/>
        <v>#N/A</v>
      </c>
    </row>
    <row r="58" ht="15.75" customHeight="1">
      <c r="B58" s="160" t="str">
        <f t="shared" si="1"/>
        <v>#N/A</v>
      </c>
      <c r="C58" s="160" t="str">
        <f t="shared" si="2"/>
        <v>#N/A</v>
      </c>
      <c r="D58" s="160" t="str">
        <f t="shared" si="3"/>
        <v>#N/A</v>
      </c>
      <c r="E58" s="161" t="str">
        <f t="shared" si="4"/>
        <v>#N/A</v>
      </c>
      <c r="F58" s="153" t="str">
        <f t="shared" si="17"/>
        <v>#N/A</v>
      </c>
      <c r="G58" s="153" t="str">
        <f t="shared" si="6"/>
        <v>#N/A</v>
      </c>
      <c r="H58" s="156" t="str">
        <f t="array" ref="H58">INDEX('Primary - GRADING'!$A$1:$BG997,MATCH($A58,'Primary - GRADING'!$B:$B,0),59)</f>
        <v>#N/A</v>
      </c>
      <c r="I58" s="153" t="str">
        <f t="array" ref="I58">INDEX('Primary - GRADING'!$A$1:$CP997,MATCH($A58,'Primary - GRADING'!$CP:$CP,0),48)</f>
        <v>#N/A</v>
      </c>
      <c r="J58" s="153" t="str">
        <f t="array" ref="J58">INDEX('Primary - GRADING'!$A$1:$CP997,MATCH($A58,'Primary - GRADING'!$CP:$CP,0),49)</f>
        <v>#N/A</v>
      </c>
      <c r="K58" s="153" t="str">
        <f t="array" ref="K58">INDEX('Primary - GRADING'!$A$1:$CP997,MATCH($A58,'Primary - GRADING'!$CP:$CP,0),50)</f>
        <v>#N/A</v>
      </c>
      <c r="L58" s="153" t="str">
        <f t="array" ref="L58">INDEX('Primary - GRADING'!$A$1:$CP997,MATCH($A58,'Primary - GRADING'!$CP:$CP,0),51)</f>
        <v>#N/A</v>
      </c>
      <c r="M58" s="153" t="str">
        <f t="array" ref="M58">INDEX('Primary - GRADING'!$A$1:$CP997,MATCH($A58,'Primary - GRADING'!$CP:$CP,0),52)</f>
        <v>#N/A</v>
      </c>
      <c r="N58" s="153" t="str">
        <f t="array" ref="N58">INDEX('Primary - GRADING'!$A$1:$CP997,MATCH($A58,'Primary - GRADING'!$CP:$CP,0),53)</f>
        <v>#N/A</v>
      </c>
      <c r="O58" s="153" t="str">
        <f t="array" ref="O58">INDEX('Primary - GRADING'!$A$1:$CP997,MATCH($A58,'Primary - GRADING'!$CP:$CP,0),58)</f>
        <v>#N/A</v>
      </c>
      <c r="P58" s="153" t="str">
        <f t="array" ref="P58">INDEX('Primary - GRADING'!$A$1:$CP997,MATCH($A58,'Primary - GRADING'!$CP:$CP,0),5)</f>
        <v>#N/A</v>
      </c>
      <c r="Q58" s="153" t="str">
        <f t="array" ref="Q58">INDEX('Primary - GRADING'!$A$1:$CP997,MATCH($A58,'Primary - GRADING'!$CP:$CP,0),6)</f>
        <v>#N/A</v>
      </c>
      <c r="R58" s="153" t="str">
        <f t="array" ref="R58">INDEX('Primary - GRADING'!$A$1:$CP997,MATCH($A58,'Primary - GRADING'!$CP:$CP,0),7)</f>
        <v>#N/A</v>
      </c>
      <c r="S58" s="153" t="str">
        <f t="array" ref="S58">INDEX('Primary - GRADING'!$A$1:$CP997,MATCH($A58,'Primary - GRADING'!$CP:$CP,0),8)</f>
        <v>#N/A</v>
      </c>
      <c r="T58" s="153" t="str">
        <f t="array" ref="T58">INDEX('Primary - GRADING'!$A$1:$CP997,MATCH($A58,'Primary - GRADING'!$CP:$CP,0),9)</f>
        <v>#N/A</v>
      </c>
      <c r="U58" s="153" t="str">
        <f t="array" ref="U58">INDEX('Primary - GRADING'!$A$1:$CP997,MATCH($A58,'Primary - GRADING'!$CP:$CP,0),10)</f>
        <v>#N/A</v>
      </c>
      <c r="V58" s="153" t="str">
        <f t="array" ref="V58">INDEX('Primary - GRADING'!$A$1:$CP997,MATCH($A58,'Primary - GRADING'!$CP:$CP,0),18)</f>
        <v>#N/A</v>
      </c>
      <c r="W58" s="153" t="str">
        <f t="array" ref="W58">INDEX('Primary - GRADING'!$A$1:$CP997,MATCH($A58,'Primary - GRADING'!$CP:$CP,0),20)</f>
        <v>#N/A</v>
      </c>
      <c r="X58" s="153" t="str">
        <f t="array" ref="X58">INDEX('Primary - GRADING'!$A$1:$CP997,MATCH($A58,'Primary - GRADING'!$CP:$CP,0),21)</f>
        <v>#N/A</v>
      </c>
      <c r="Y58" s="153" t="str">
        <f t="array" ref="Y58">INDEX('Primary - GRADING'!$A$1:$CP997,MATCH($A58,'Primary - GRADING'!$CP:$CP,0),22)</f>
        <v>#N/A</v>
      </c>
      <c r="Z58" s="165" t="str">
        <f t="array" ref="Z58">INDEX('Primary - GRADING'!$A$1:$CP997,MATCH($A58,'Primary - GRADING'!$CP:$CP,0),23)</f>
        <v>#N/A</v>
      </c>
      <c r="AA58" s="153" t="str">
        <f t="array" ref="AA58">INDEX('Primary - GRADING'!$A$1:$CP997,MATCH($A58,'Primary - GRADING'!$CP:$CP,0),24)</f>
        <v>#N/A</v>
      </c>
      <c r="AB58" s="153" t="str">
        <f t="array" ref="AB58">INDEX('Primary - GRADING'!$A$1:$CP997,MATCH($A58,'Primary - GRADING'!$CP:$CP,0),25)</f>
        <v>#N/A</v>
      </c>
      <c r="AC58" s="153" t="str">
        <f t="array" ref="AC58">INDEX('Primary - GRADING'!$A$1:$CP997,MATCH($A58,'Primary - GRADING'!$CP:$CP,0),46)</f>
        <v>#N/A</v>
      </c>
      <c r="AG58" s="153" t="str">
        <f t="shared" si="7"/>
        <v>#N/A</v>
      </c>
      <c r="AI58" s="153" t="str">
        <f>VLOOKUP(AH58,'Primary - GRADING'!$A$4:$C997,2,)</f>
        <v>#N/A</v>
      </c>
      <c r="AJ58" s="153" t="str">
        <f>VLOOKUP(AH58,'Primary - GRADING'!$A$4:$C997,3,)</f>
        <v>#N/A</v>
      </c>
      <c r="AK58" s="153" t="str">
        <f>VLOOKUP(AH58,'Primary - GRADING'!$A$4:$BG997,59,)</f>
        <v>#N/A</v>
      </c>
      <c r="AL58" s="153" t="str">
        <f>IFS(AK58="NMA",VLOOKUP(AH58,'Primary - GRADING'!$A$4:$BG997,51,),AK58="DIRECT",VLOOKUP(AH58,'Primary - GRADING'!$A$4:$BG997,8,),AK58="INDIRECT",VLOOKUP(AH58,'Primary - GRADING'!$A$4:$BG997,23,))</f>
        <v>#N/A</v>
      </c>
      <c r="AM58" s="153" t="str">
        <f>IFS(AK58="NMA",VLOOKUP(AH58,'Primary - GRADING'!$A$4:$BG997,52,),AK58="DIRECT",VLOOKUP(AH58,'Primary - GRADING'!$A$4:$BG997,9,),AK58="INDIRECT",VLOOKUP(AH58,'Primary - GRADING'!$A$4:$BG997,24,))</f>
        <v>#N/A</v>
      </c>
      <c r="AN58" s="153" t="str">
        <f>IFS(AK58="NMA",VLOOKUP(AH58,'Primary - GRADING'!$A$4:$BG997,53,),AK58="DIRECT",VLOOKUP(AH58,'Primary - GRADING'!$A$4:$BG997,10,),AK58="INDIRECT",VLOOKUP(AH58,'Primary - GRADING'!$A$4:$BG997,25,))</f>
        <v>#N/A</v>
      </c>
      <c r="AO58" s="153" t="str">
        <f t="shared" si="8"/>
        <v>#N/A</v>
      </c>
      <c r="AT58" s="153" t="str">
        <f t="shared" si="9"/>
        <v>#N/A</v>
      </c>
      <c r="AV58" s="153" t="str">
        <f>VLOOKUP(AU58,'Primary - GRADING'!$A$4:$C997,2,)</f>
        <v>#N/A</v>
      </c>
      <c r="AW58" s="153" t="str">
        <f>VLOOKUP(AU58,'Primary - GRADING'!$A$4:$C997,3,)</f>
        <v>#N/A</v>
      </c>
      <c r="AX58" s="153" t="str">
        <f>VLOOKUP(AU58,'Primary - GRADING'!$A$4:$BG997,59,)</f>
        <v>#N/A</v>
      </c>
      <c r="AY58" s="153" t="str">
        <f>IFS(AX58="NMA",VLOOKUP(AU58,'Primary - GRADING'!$A$4:$BG997,51,),AX58="DIRECT",VLOOKUP(AU58,'Primary - GRADING'!$A$4:$BG997,8,),AX58="INDIRECT",VLOOKUP(AU58,'Primary - GRADING'!$A$4:$BG997,23,))</f>
        <v>#N/A</v>
      </c>
      <c r="AZ58" s="153" t="str">
        <f>IFS(AX58="NMA",VLOOKUP(AU58,'Primary - GRADING'!$A$4:$BG997,52,),AX58="DIRECT",VLOOKUP(AU58,'Primary - GRADING'!$A$4:$BG997,9,),AX58="INDIRECT",VLOOKUP(AU58,'Primary - GRADING'!$A$4:$BG997,24,))</f>
        <v>#N/A</v>
      </c>
      <c r="BA58" s="153" t="str">
        <f>IFS(AX58="NMA",VLOOKUP(AU58,'Primary - GRADING'!$A$4:$BG997,53,),AX58="DIRECT",VLOOKUP(AU58,'Primary - GRADING'!$A$4:$BG997,10,),AX58="INDIRECT",VLOOKUP(AU58,'Primary - GRADING'!$A$4:$BG997,25,))</f>
        <v>#N/A</v>
      </c>
      <c r="BB58" s="153" t="str">
        <f t="shared" si="10"/>
        <v>#N/A</v>
      </c>
      <c r="BE58" s="153" t="str">
        <f t="shared" si="11"/>
        <v/>
      </c>
      <c r="BG58" s="153" t="str">
        <f t="shared" si="12"/>
        <v>#N/A</v>
      </c>
      <c r="BI58" s="153" t="str">
        <f t="shared" si="13"/>
        <v>#N/A</v>
      </c>
      <c r="BK58" s="153" t="str">
        <f t="shared" si="14"/>
        <v>#N/A</v>
      </c>
      <c r="BM58" s="153" t="str">
        <f t="shared" si="15"/>
        <v>#N/A</v>
      </c>
    </row>
    <row r="59" ht="15.75" customHeight="1">
      <c r="B59" s="160" t="str">
        <f t="shared" si="1"/>
        <v>#N/A</v>
      </c>
      <c r="C59" s="160" t="str">
        <f t="shared" si="2"/>
        <v>#N/A</v>
      </c>
      <c r="D59" s="160" t="str">
        <f t="shared" si="3"/>
        <v>#N/A</v>
      </c>
      <c r="E59" s="161" t="str">
        <f t="shared" si="4"/>
        <v>#N/A</v>
      </c>
      <c r="F59" s="153" t="str">
        <f t="shared" si="17"/>
        <v>#N/A</v>
      </c>
      <c r="G59" s="153" t="str">
        <f t="shared" si="6"/>
        <v>#N/A</v>
      </c>
      <c r="H59" s="156" t="str">
        <f t="array" ref="H59">INDEX('Primary - GRADING'!$A$1:$BG997,MATCH($A59,'Primary - GRADING'!$B:$B,0),59)</f>
        <v>#N/A</v>
      </c>
      <c r="I59" s="153" t="str">
        <f t="array" ref="I59">INDEX('Primary - GRADING'!$A$1:$CP997,MATCH($A59,'Primary - GRADING'!$CP:$CP,0),48)</f>
        <v>#N/A</v>
      </c>
      <c r="J59" s="153" t="str">
        <f t="array" ref="J59">INDEX('Primary - GRADING'!$A$1:$CP997,MATCH($A59,'Primary - GRADING'!$CP:$CP,0),49)</f>
        <v>#N/A</v>
      </c>
      <c r="K59" s="153" t="str">
        <f t="array" ref="K59">INDEX('Primary - GRADING'!$A$1:$CP997,MATCH($A59,'Primary - GRADING'!$CP:$CP,0),50)</f>
        <v>#N/A</v>
      </c>
      <c r="L59" s="153" t="str">
        <f t="array" ref="L59">INDEX('Primary - GRADING'!$A$1:$CP997,MATCH($A59,'Primary - GRADING'!$CP:$CP,0),51)</f>
        <v>#N/A</v>
      </c>
      <c r="M59" s="153" t="str">
        <f t="array" ref="M59">INDEX('Primary - GRADING'!$A$1:$CP997,MATCH($A59,'Primary - GRADING'!$CP:$CP,0),52)</f>
        <v>#N/A</v>
      </c>
      <c r="N59" s="153" t="str">
        <f t="array" ref="N59">INDEX('Primary - GRADING'!$A$1:$CP997,MATCH($A59,'Primary - GRADING'!$CP:$CP,0),53)</f>
        <v>#N/A</v>
      </c>
      <c r="O59" s="153" t="str">
        <f t="array" ref="O59">INDEX('Primary - GRADING'!$A$1:$CP997,MATCH($A59,'Primary - GRADING'!$CP:$CP,0),58)</f>
        <v>#N/A</v>
      </c>
      <c r="P59" s="153" t="str">
        <f t="array" ref="P59">INDEX('Primary - GRADING'!$A$1:$CP997,MATCH($A59,'Primary - GRADING'!$CP:$CP,0),5)</f>
        <v>#N/A</v>
      </c>
      <c r="Q59" s="153" t="str">
        <f t="array" ref="Q59">INDEX('Primary - GRADING'!$A$1:$CP997,MATCH($A59,'Primary - GRADING'!$CP:$CP,0),6)</f>
        <v>#N/A</v>
      </c>
      <c r="R59" s="153" t="str">
        <f t="array" ref="R59">INDEX('Primary - GRADING'!$A$1:$CP997,MATCH($A59,'Primary - GRADING'!$CP:$CP,0),7)</f>
        <v>#N/A</v>
      </c>
      <c r="S59" s="153" t="str">
        <f t="array" ref="S59">INDEX('Primary - GRADING'!$A$1:$CP997,MATCH($A59,'Primary - GRADING'!$CP:$CP,0),8)</f>
        <v>#N/A</v>
      </c>
      <c r="T59" s="153" t="str">
        <f t="array" ref="T59">INDEX('Primary - GRADING'!$A$1:$CP997,MATCH($A59,'Primary - GRADING'!$CP:$CP,0),9)</f>
        <v>#N/A</v>
      </c>
      <c r="U59" s="153" t="str">
        <f t="array" ref="U59">INDEX('Primary - GRADING'!$A$1:$CP997,MATCH($A59,'Primary - GRADING'!$CP:$CP,0),10)</f>
        <v>#N/A</v>
      </c>
      <c r="V59" s="153" t="str">
        <f t="array" ref="V59">INDEX('Primary - GRADING'!$A$1:$CP997,MATCH($A59,'Primary - GRADING'!$CP:$CP,0),18)</f>
        <v>#N/A</v>
      </c>
      <c r="W59" s="153" t="str">
        <f t="array" ref="W59">INDEX('Primary - GRADING'!$A$1:$CP997,MATCH($A59,'Primary - GRADING'!$CP:$CP,0),20)</f>
        <v>#N/A</v>
      </c>
      <c r="X59" s="153" t="str">
        <f t="array" ref="X59">INDEX('Primary - GRADING'!$A$1:$CP997,MATCH($A59,'Primary - GRADING'!$CP:$CP,0),21)</f>
        <v>#N/A</v>
      </c>
      <c r="Y59" s="153" t="str">
        <f t="array" ref="Y59">INDEX('Primary - GRADING'!$A$1:$CP997,MATCH($A59,'Primary - GRADING'!$CP:$CP,0),22)</f>
        <v>#N/A</v>
      </c>
      <c r="Z59" s="165" t="str">
        <f t="array" ref="Z59">INDEX('Primary - GRADING'!$A$1:$CP997,MATCH($A59,'Primary - GRADING'!$CP:$CP,0),23)</f>
        <v>#N/A</v>
      </c>
      <c r="AA59" s="153" t="str">
        <f t="array" ref="AA59">INDEX('Primary - GRADING'!$A$1:$CP997,MATCH($A59,'Primary - GRADING'!$CP:$CP,0),24)</f>
        <v>#N/A</v>
      </c>
      <c r="AB59" s="153" t="str">
        <f t="array" ref="AB59">INDEX('Primary - GRADING'!$A$1:$CP997,MATCH($A59,'Primary - GRADING'!$CP:$CP,0),25)</f>
        <v>#N/A</v>
      </c>
      <c r="AC59" s="153" t="str">
        <f t="array" ref="AC59">INDEX('Primary - GRADING'!$A$1:$CP997,MATCH($A59,'Primary - GRADING'!$CP:$CP,0),46)</f>
        <v>#N/A</v>
      </c>
      <c r="AG59" s="153" t="str">
        <f t="shared" si="7"/>
        <v>#N/A</v>
      </c>
      <c r="AI59" s="153" t="str">
        <f>VLOOKUP(AH59,'Primary - GRADING'!$A$4:$C997,2,)</f>
        <v>#N/A</v>
      </c>
      <c r="AJ59" s="153" t="str">
        <f>VLOOKUP(AH59,'Primary - GRADING'!$A$4:$C997,3,)</f>
        <v>#N/A</v>
      </c>
      <c r="AK59" s="153" t="str">
        <f>VLOOKUP(AH59,'Primary - GRADING'!$A$4:$BG997,59,)</f>
        <v>#N/A</v>
      </c>
      <c r="AL59" s="153" t="str">
        <f>IFS(AK59="NMA",VLOOKUP(AH59,'Primary - GRADING'!$A$4:$BG997,51,),AK59="DIRECT",VLOOKUP(AH59,'Primary - GRADING'!$A$4:$BG997,8,),AK59="INDIRECT",VLOOKUP(AH59,'Primary - GRADING'!$A$4:$BG997,23,))</f>
        <v>#N/A</v>
      </c>
      <c r="AM59" s="153" t="str">
        <f>IFS(AK59="NMA",VLOOKUP(AH59,'Primary - GRADING'!$A$4:$BG997,52,),AK59="DIRECT",VLOOKUP(AH59,'Primary - GRADING'!$A$4:$BG997,9,),AK59="INDIRECT",VLOOKUP(AH59,'Primary - GRADING'!$A$4:$BG997,24,))</f>
        <v>#N/A</v>
      </c>
      <c r="AN59" s="153" t="str">
        <f>IFS(AK59="NMA",VLOOKUP(AH59,'Primary - GRADING'!$A$4:$BG997,53,),AK59="DIRECT",VLOOKUP(AH59,'Primary - GRADING'!$A$4:$BG997,10,),AK59="INDIRECT",VLOOKUP(AH59,'Primary - GRADING'!$A$4:$BG997,25,))</f>
        <v>#N/A</v>
      </c>
      <c r="AO59" s="153" t="str">
        <f t="shared" si="8"/>
        <v>#N/A</v>
      </c>
      <c r="AT59" s="153" t="str">
        <f t="shared" si="9"/>
        <v>#N/A</v>
      </c>
      <c r="AV59" s="153" t="str">
        <f>VLOOKUP(AU59,'Primary - GRADING'!$A$4:$C997,2,)</f>
        <v>#N/A</v>
      </c>
      <c r="AW59" s="153" t="str">
        <f>VLOOKUP(AU59,'Primary - GRADING'!$A$4:$C997,3,)</f>
        <v>#N/A</v>
      </c>
      <c r="AX59" s="153" t="str">
        <f>VLOOKUP(AU59,'Primary - GRADING'!$A$4:$BG997,59,)</f>
        <v>#N/A</v>
      </c>
      <c r="AY59" s="153" t="str">
        <f>IFS(AX59="NMA",VLOOKUP(AU59,'Primary - GRADING'!$A$4:$BG997,51,),AX59="DIRECT",VLOOKUP(AU59,'Primary - GRADING'!$A$4:$BG997,8,),AX59="INDIRECT",VLOOKUP(AU59,'Primary - GRADING'!$A$4:$BG997,23,))</f>
        <v>#N/A</v>
      </c>
      <c r="AZ59" s="153" t="str">
        <f>IFS(AX59="NMA",VLOOKUP(AU59,'Primary - GRADING'!$A$4:$BG997,52,),AX59="DIRECT",VLOOKUP(AU59,'Primary - GRADING'!$A$4:$BG997,9,),AX59="INDIRECT",VLOOKUP(AU59,'Primary - GRADING'!$A$4:$BG997,24,))</f>
        <v>#N/A</v>
      </c>
      <c r="BA59" s="153" t="str">
        <f>IFS(AX59="NMA",VLOOKUP(AU59,'Primary - GRADING'!$A$4:$BG997,53,),AX59="DIRECT",VLOOKUP(AU59,'Primary - GRADING'!$A$4:$BG997,10,),AX59="INDIRECT",VLOOKUP(AU59,'Primary - GRADING'!$A$4:$BG997,25,))</f>
        <v>#N/A</v>
      </c>
      <c r="BB59" s="153" t="str">
        <f t="shared" si="10"/>
        <v>#N/A</v>
      </c>
      <c r="BE59" s="153" t="str">
        <f t="shared" si="11"/>
        <v/>
      </c>
      <c r="BG59" s="153" t="str">
        <f t="shared" si="12"/>
        <v>#N/A</v>
      </c>
      <c r="BI59" s="153" t="str">
        <f t="shared" si="13"/>
        <v>#N/A</v>
      </c>
      <c r="BK59" s="153" t="str">
        <f t="shared" si="14"/>
        <v>#N/A</v>
      </c>
      <c r="BM59" s="153" t="str">
        <f t="shared" si="15"/>
        <v>#N/A</v>
      </c>
    </row>
    <row r="60" ht="15.75" customHeight="1">
      <c r="B60" s="160" t="str">
        <f t="shared" si="1"/>
        <v>#N/A</v>
      </c>
      <c r="C60" s="160" t="str">
        <f t="shared" si="2"/>
        <v>#N/A</v>
      </c>
      <c r="D60" s="160" t="str">
        <f t="shared" si="3"/>
        <v>#N/A</v>
      </c>
      <c r="E60" s="161" t="str">
        <f t="shared" si="4"/>
        <v>#N/A</v>
      </c>
      <c r="F60" s="153" t="str">
        <f t="shared" si="17"/>
        <v>#N/A</v>
      </c>
      <c r="G60" s="153" t="str">
        <f t="shared" si="6"/>
        <v>#N/A</v>
      </c>
      <c r="H60" s="156" t="str">
        <f t="array" ref="H60">INDEX('Primary - GRADING'!$A$1:$BG997,MATCH($A60,'Primary - GRADING'!$B:$B,0),59)</f>
        <v>#N/A</v>
      </c>
      <c r="I60" s="153" t="str">
        <f t="array" ref="I60">INDEX('Primary - GRADING'!$A$1:$CP997,MATCH($A60,'Primary - GRADING'!$CP:$CP,0),48)</f>
        <v>#N/A</v>
      </c>
      <c r="J60" s="153" t="str">
        <f t="array" ref="J60">INDEX('Primary - GRADING'!$A$1:$CP997,MATCH($A60,'Primary - GRADING'!$CP:$CP,0),49)</f>
        <v>#N/A</v>
      </c>
      <c r="K60" s="153" t="str">
        <f t="array" ref="K60">INDEX('Primary - GRADING'!$A$1:$CP997,MATCH($A60,'Primary - GRADING'!$CP:$CP,0),50)</f>
        <v>#N/A</v>
      </c>
      <c r="L60" s="153" t="str">
        <f t="array" ref="L60">INDEX('Primary - GRADING'!$A$1:$CP997,MATCH($A60,'Primary - GRADING'!$CP:$CP,0),51)</f>
        <v>#N/A</v>
      </c>
      <c r="M60" s="153" t="str">
        <f t="array" ref="M60">INDEX('Primary - GRADING'!$A$1:$CP997,MATCH($A60,'Primary - GRADING'!$CP:$CP,0),52)</f>
        <v>#N/A</v>
      </c>
      <c r="N60" s="153" t="str">
        <f t="array" ref="N60">INDEX('Primary - GRADING'!$A$1:$CP997,MATCH($A60,'Primary - GRADING'!$CP:$CP,0),53)</f>
        <v>#N/A</v>
      </c>
      <c r="O60" s="153" t="str">
        <f t="array" ref="O60">INDEX('Primary - GRADING'!$A$1:$CP997,MATCH($A60,'Primary - GRADING'!$CP:$CP,0),58)</f>
        <v>#N/A</v>
      </c>
      <c r="P60" s="153" t="str">
        <f t="array" ref="P60">INDEX('Primary - GRADING'!$A$1:$CP997,MATCH($A60,'Primary - GRADING'!$CP:$CP,0),5)</f>
        <v>#N/A</v>
      </c>
      <c r="Q60" s="153" t="str">
        <f t="array" ref="Q60">INDEX('Primary - GRADING'!$A$1:$CP997,MATCH($A60,'Primary - GRADING'!$CP:$CP,0),6)</f>
        <v>#N/A</v>
      </c>
      <c r="R60" s="153" t="str">
        <f t="array" ref="R60">INDEX('Primary - GRADING'!$A$1:$CP997,MATCH($A60,'Primary - GRADING'!$CP:$CP,0),7)</f>
        <v>#N/A</v>
      </c>
      <c r="S60" s="153" t="str">
        <f t="array" ref="S60">INDEX('Primary - GRADING'!$A$1:$CP997,MATCH($A60,'Primary - GRADING'!$CP:$CP,0),8)</f>
        <v>#N/A</v>
      </c>
      <c r="T60" s="153" t="str">
        <f t="array" ref="T60">INDEX('Primary - GRADING'!$A$1:$CP997,MATCH($A60,'Primary - GRADING'!$CP:$CP,0),9)</f>
        <v>#N/A</v>
      </c>
      <c r="U60" s="153" t="str">
        <f t="array" ref="U60">INDEX('Primary - GRADING'!$A$1:$CP997,MATCH($A60,'Primary - GRADING'!$CP:$CP,0),10)</f>
        <v>#N/A</v>
      </c>
      <c r="V60" s="153" t="str">
        <f t="array" ref="V60">INDEX('Primary - GRADING'!$A$1:$CP997,MATCH($A60,'Primary - GRADING'!$CP:$CP,0),18)</f>
        <v>#N/A</v>
      </c>
      <c r="W60" s="153" t="str">
        <f t="array" ref="W60">INDEX('Primary - GRADING'!$A$1:$CP997,MATCH($A60,'Primary - GRADING'!$CP:$CP,0),20)</f>
        <v>#N/A</v>
      </c>
      <c r="X60" s="153" t="str">
        <f t="array" ref="X60">INDEX('Primary - GRADING'!$A$1:$CP997,MATCH($A60,'Primary - GRADING'!$CP:$CP,0),21)</f>
        <v>#N/A</v>
      </c>
      <c r="Y60" s="153" t="str">
        <f t="array" ref="Y60">INDEX('Primary - GRADING'!$A$1:$CP997,MATCH($A60,'Primary - GRADING'!$CP:$CP,0),22)</f>
        <v>#N/A</v>
      </c>
      <c r="Z60" s="165" t="str">
        <f t="array" ref="Z60">INDEX('Primary - GRADING'!$A$1:$CP997,MATCH($A60,'Primary - GRADING'!$CP:$CP,0),23)</f>
        <v>#N/A</v>
      </c>
      <c r="AA60" s="153" t="str">
        <f t="array" ref="AA60">INDEX('Primary - GRADING'!$A$1:$CP997,MATCH($A60,'Primary - GRADING'!$CP:$CP,0),24)</f>
        <v>#N/A</v>
      </c>
      <c r="AB60" s="153" t="str">
        <f t="array" ref="AB60">INDEX('Primary - GRADING'!$A$1:$CP997,MATCH($A60,'Primary - GRADING'!$CP:$CP,0),25)</f>
        <v>#N/A</v>
      </c>
      <c r="AC60" s="153" t="str">
        <f t="array" ref="AC60">INDEX('Primary - GRADING'!$A$1:$CP997,MATCH($A60,'Primary - GRADING'!$CP:$CP,0),46)</f>
        <v>#N/A</v>
      </c>
      <c r="AG60" s="153" t="str">
        <f t="shared" si="7"/>
        <v>#N/A</v>
      </c>
      <c r="AI60" s="153" t="str">
        <f>VLOOKUP(AH60,'Primary - GRADING'!$A$4:$C997,2,)</f>
        <v>#N/A</v>
      </c>
      <c r="AJ60" s="153" t="str">
        <f>VLOOKUP(AH60,'Primary - GRADING'!$A$4:$C997,3,)</f>
        <v>#N/A</v>
      </c>
      <c r="AK60" s="153" t="str">
        <f>VLOOKUP(AH60,'Primary - GRADING'!$A$4:$BG997,59,)</f>
        <v>#N/A</v>
      </c>
      <c r="AL60" s="153" t="str">
        <f>IFS(AK60="NMA",VLOOKUP(AH60,'Primary - GRADING'!$A$4:$BG997,51,),AK60="DIRECT",VLOOKUP(AH60,'Primary - GRADING'!$A$4:$BG997,8,),AK60="INDIRECT",VLOOKUP(AH60,'Primary - GRADING'!$A$4:$BG997,23,))</f>
        <v>#N/A</v>
      </c>
      <c r="AM60" s="153" t="str">
        <f>IFS(AK60="NMA",VLOOKUP(AH60,'Primary - GRADING'!$A$4:$BG997,52,),AK60="DIRECT",VLOOKUP(AH60,'Primary - GRADING'!$A$4:$BG997,9,),AK60="INDIRECT",VLOOKUP(AH60,'Primary - GRADING'!$A$4:$BG997,24,))</f>
        <v>#N/A</v>
      </c>
      <c r="AN60" s="153" t="str">
        <f>IFS(AK60="NMA",VLOOKUP(AH60,'Primary - GRADING'!$A$4:$BG997,53,),AK60="DIRECT",VLOOKUP(AH60,'Primary - GRADING'!$A$4:$BG997,10,),AK60="INDIRECT",VLOOKUP(AH60,'Primary - GRADING'!$A$4:$BG997,25,))</f>
        <v>#N/A</v>
      </c>
      <c r="AO60" s="153" t="str">
        <f t="shared" si="8"/>
        <v>#N/A</v>
      </c>
      <c r="AT60" s="153" t="str">
        <f t="shared" si="9"/>
        <v>#N/A</v>
      </c>
      <c r="AV60" s="153" t="str">
        <f>VLOOKUP(AU60,'Primary - GRADING'!$A$4:$C997,2,)</f>
        <v>#N/A</v>
      </c>
      <c r="AW60" s="153" t="str">
        <f>VLOOKUP(AU60,'Primary - GRADING'!$A$4:$C997,3,)</f>
        <v>#N/A</v>
      </c>
      <c r="AX60" s="153" t="str">
        <f>VLOOKUP(AU60,'Primary - GRADING'!$A$4:$BG997,59,)</f>
        <v>#N/A</v>
      </c>
      <c r="AY60" s="153" t="str">
        <f>IFS(AX60="NMA",VLOOKUP(AU60,'Primary - GRADING'!$A$4:$BG997,51,),AX60="DIRECT",VLOOKUP(AU60,'Primary - GRADING'!$A$4:$BG997,8,),AX60="INDIRECT",VLOOKUP(AU60,'Primary - GRADING'!$A$4:$BG997,23,))</f>
        <v>#N/A</v>
      </c>
      <c r="AZ60" s="153" t="str">
        <f>IFS(AX60="NMA",VLOOKUP(AU60,'Primary - GRADING'!$A$4:$BG997,52,),AX60="DIRECT",VLOOKUP(AU60,'Primary - GRADING'!$A$4:$BG997,9,),AX60="INDIRECT",VLOOKUP(AU60,'Primary - GRADING'!$A$4:$BG997,24,))</f>
        <v>#N/A</v>
      </c>
      <c r="BA60" s="153" t="str">
        <f>IFS(AX60="NMA",VLOOKUP(AU60,'Primary - GRADING'!$A$4:$BG997,53,),AX60="DIRECT",VLOOKUP(AU60,'Primary - GRADING'!$A$4:$BG997,10,),AX60="INDIRECT",VLOOKUP(AU60,'Primary - GRADING'!$A$4:$BG997,25,))</f>
        <v>#N/A</v>
      </c>
      <c r="BB60" s="153" t="str">
        <f t="shared" si="10"/>
        <v>#N/A</v>
      </c>
      <c r="BE60" s="153" t="str">
        <f t="shared" si="11"/>
        <v/>
      </c>
      <c r="BG60" s="153" t="str">
        <f t="shared" si="12"/>
        <v>#N/A</v>
      </c>
      <c r="BI60" s="153" t="str">
        <f t="shared" si="13"/>
        <v>#N/A</v>
      </c>
      <c r="BK60" s="153" t="str">
        <f t="shared" si="14"/>
        <v>#N/A</v>
      </c>
      <c r="BM60" s="153" t="str">
        <f t="shared" si="15"/>
        <v>#N/A</v>
      </c>
    </row>
    <row r="61" ht="15.75" customHeight="1">
      <c r="B61" s="160" t="str">
        <f t="shared" si="1"/>
        <v>#N/A</v>
      </c>
      <c r="C61" s="160" t="str">
        <f t="shared" si="2"/>
        <v>#N/A</v>
      </c>
      <c r="D61" s="160" t="str">
        <f t="shared" si="3"/>
        <v>#N/A</v>
      </c>
      <c r="E61" s="161" t="str">
        <f t="shared" si="4"/>
        <v>#N/A</v>
      </c>
      <c r="F61" s="153" t="str">
        <f t="shared" si="17"/>
        <v>#N/A</v>
      </c>
      <c r="G61" s="153" t="str">
        <f t="shared" si="6"/>
        <v>#N/A</v>
      </c>
      <c r="H61" s="156" t="str">
        <f t="array" ref="H61">INDEX('Primary - GRADING'!$A$1:$BG997,MATCH($A61,'Primary - GRADING'!$B:$B,0),59)</f>
        <v>#N/A</v>
      </c>
      <c r="I61" s="153" t="str">
        <f t="array" ref="I61">INDEX('Primary - GRADING'!$A$1:$CP997,MATCH($A61,'Primary - GRADING'!$CP:$CP,0),48)</f>
        <v>#N/A</v>
      </c>
      <c r="J61" s="153" t="str">
        <f t="array" ref="J61">INDEX('Primary - GRADING'!$A$1:$CP997,MATCH($A61,'Primary - GRADING'!$CP:$CP,0),49)</f>
        <v>#N/A</v>
      </c>
      <c r="K61" s="153" t="str">
        <f t="array" ref="K61">INDEX('Primary - GRADING'!$A$1:$CP997,MATCH($A61,'Primary - GRADING'!$CP:$CP,0),50)</f>
        <v>#N/A</v>
      </c>
      <c r="L61" s="153" t="str">
        <f t="array" ref="L61">INDEX('Primary - GRADING'!$A$1:$CP997,MATCH($A61,'Primary - GRADING'!$CP:$CP,0),51)</f>
        <v>#N/A</v>
      </c>
      <c r="M61" s="153" t="str">
        <f t="array" ref="M61">INDEX('Primary - GRADING'!$A$1:$CP997,MATCH($A61,'Primary - GRADING'!$CP:$CP,0),52)</f>
        <v>#N/A</v>
      </c>
      <c r="N61" s="153" t="str">
        <f t="array" ref="N61">INDEX('Primary - GRADING'!$A$1:$CP997,MATCH($A61,'Primary - GRADING'!$CP:$CP,0),53)</f>
        <v>#N/A</v>
      </c>
      <c r="O61" s="153" t="str">
        <f t="array" ref="O61">INDEX('Primary - GRADING'!$A$1:$CP997,MATCH($A61,'Primary - GRADING'!$CP:$CP,0),58)</f>
        <v>#N/A</v>
      </c>
      <c r="P61" s="153" t="str">
        <f t="array" ref="P61">INDEX('Primary - GRADING'!$A$1:$CP997,MATCH($A61,'Primary - GRADING'!$CP:$CP,0),5)</f>
        <v>#N/A</v>
      </c>
      <c r="Q61" s="153" t="str">
        <f t="array" ref="Q61">INDEX('Primary - GRADING'!$A$1:$CP997,MATCH($A61,'Primary - GRADING'!$CP:$CP,0),6)</f>
        <v>#N/A</v>
      </c>
      <c r="R61" s="153" t="str">
        <f t="array" ref="R61">INDEX('Primary - GRADING'!$A$1:$CP997,MATCH($A61,'Primary - GRADING'!$CP:$CP,0),7)</f>
        <v>#N/A</v>
      </c>
      <c r="S61" s="153" t="str">
        <f t="array" ref="S61">INDEX('Primary - GRADING'!$A$1:$CP997,MATCH($A61,'Primary - GRADING'!$CP:$CP,0),8)</f>
        <v>#N/A</v>
      </c>
      <c r="T61" s="153" t="str">
        <f t="array" ref="T61">INDEX('Primary - GRADING'!$A$1:$CP997,MATCH($A61,'Primary - GRADING'!$CP:$CP,0),9)</f>
        <v>#N/A</v>
      </c>
      <c r="U61" s="153" t="str">
        <f t="array" ref="U61">INDEX('Primary - GRADING'!$A$1:$CP997,MATCH($A61,'Primary - GRADING'!$CP:$CP,0),10)</f>
        <v>#N/A</v>
      </c>
      <c r="V61" s="153" t="str">
        <f t="array" ref="V61">INDEX('Primary - GRADING'!$A$1:$CP997,MATCH($A61,'Primary - GRADING'!$CP:$CP,0),18)</f>
        <v>#N/A</v>
      </c>
      <c r="W61" s="153" t="str">
        <f t="array" ref="W61">INDEX('Primary - GRADING'!$A$1:$CP997,MATCH($A61,'Primary - GRADING'!$CP:$CP,0),20)</f>
        <v>#N/A</v>
      </c>
      <c r="X61" s="153" t="str">
        <f t="array" ref="X61">INDEX('Primary - GRADING'!$A$1:$CP997,MATCH($A61,'Primary - GRADING'!$CP:$CP,0),21)</f>
        <v>#N/A</v>
      </c>
      <c r="Y61" s="153" t="str">
        <f t="array" ref="Y61">INDEX('Primary - GRADING'!$A$1:$CP997,MATCH($A61,'Primary - GRADING'!$CP:$CP,0),22)</f>
        <v>#N/A</v>
      </c>
      <c r="Z61" s="165" t="str">
        <f t="array" ref="Z61">INDEX('Primary - GRADING'!$A$1:$CP997,MATCH($A61,'Primary - GRADING'!$CP:$CP,0),23)</f>
        <v>#N/A</v>
      </c>
      <c r="AA61" s="153" t="str">
        <f t="array" ref="AA61">INDEX('Primary - GRADING'!$A$1:$CP997,MATCH($A61,'Primary - GRADING'!$CP:$CP,0),24)</f>
        <v>#N/A</v>
      </c>
      <c r="AB61" s="153" t="str">
        <f t="array" ref="AB61">INDEX('Primary - GRADING'!$A$1:$CP997,MATCH($A61,'Primary - GRADING'!$CP:$CP,0),25)</f>
        <v>#N/A</v>
      </c>
      <c r="AC61" s="153" t="str">
        <f t="array" ref="AC61">INDEX('Primary - GRADING'!$A$1:$CP997,MATCH($A61,'Primary - GRADING'!$CP:$CP,0),46)</f>
        <v>#N/A</v>
      </c>
      <c r="AG61" s="153" t="str">
        <f t="shared" si="7"/>
        <v>#N/A</v>
      </c>
      <c r="AI61" s="153" t="str">
        <f>VLOOKUP(AH61,'Primary - GRADING'!$A$4:$C997,2,)</f>
        <v>#N/A</v>
      </c>
      <c r="AJ61" s="153" t="str">
        <f>VLOOKUP(AH61,'Primary - GRADING'!$A$4:$C997,3,)</f>
        <v>#N/A</v>
      </c>
      <c r="AK61" s="153" t="str">
        <f>VLOOKUP(AH61,'Primary - GRADING'!$A$4:$BG997,59,)</f>
        <v>#N/A</v>
      </c>
      <c r="AL61" s="153" t="str">
        <f>IFS(AK61="NMA",VLOOKUP(AH61,'Primary - GRADING'!$A$4:$BG997,51,),AK61="DIRECT",VLOOKUP(AH61,'Primary - GRADING'!$A$4:$BG997,8,),AK61="INDIRECT",VLOOKUP(AH61,'Primary - GRADING'!$A$4:$BG997,23,))</f>
        <v>#N/A</v>
      </c>
      <c r="AM61" s="153" t="str">
        <f>IFS(AK61="NMA",VLOOKUP(AH61,'Primary - GRADING'!$A$4:$BG997,52,),AK61="DIRECT",VLOOKUP(AH61,'Primary - GRADING'!$A$4:$BG997,9,),AK61="INDIRECT",VLOOKUP(AH61,'Primary - GRADING'!$A$4:$BG997,24,))</f>
        <v>#N/A</v>
      </c>
      <c r="AN61" s="153" t="str">
        <f>IFS(AK61="NMA",VLOOKUP(AH61,'Primary - GRADING'!$A$4:$BG997,53,),AK61="DIRECT",VLOOKUP(AH61,'Primary - GRADING'!$A$4:$BG997,10,),AK61="INDIRECT",VLOOKUP(AH61,'Primary - GRADING'!$A$4:$BG997,25,))</f>
        <v>#N/A</v>
      </c>
      <c r="AO61" s="153" t="str">
        <f t="shared" si="8"/>
        <v>#N/A</v>
      </c>
      <c r="AT61" s="153" t="str">
        <f t="shared" si="9"/>
        <v>#N/A</v>
      </c>
      <c r="AV61" s="153" t="str">
        <f>VLOOKUP(AU61,'Primary - GRADING'!$A$4:$C997,2,)</f>
        <v>#N/A</v>
      </c>
      <c r="AW61" s="153" t="str">
        <f>VLOOKUP(AU61,'Primary - GRADING'!$A$4:$C997,3,)</f>
        <v>#N/A</v>
      </c>
      <c r="AX61" s="153" t="str">
        <f>VLOOKUP(AU61,'Primary - GRADING'!$A$4:$BG997,59,)</f>
        <v>#N/A</v>
      </c>
      <c r="AY61" s="153" t="str">
        <f>IFS(AX61="NMA",VLOOKUP(AU61,'Primary - GRADING'!$A$4:$BG997,51,),AX61="DIRECT",VLOOKUP(AU61,'Primary - GRADING'!$A$4:$BG997,8,),AX61="INDIRECT",VLOOKUP(AU61,'Primary - GRADING'!$A$4:$BG997,23,))</f>
        <v>#N/A</v>
      </c>
      <c r="AZ61" s="153" t="str">
        <f>IFS(AX61="NMA",VLOOKUP(AU61,'Primary - GRADING'!$A$4:$BG997,52,),AX61="DIRECT",VLOOKUP(AU61,'Primary - GRADING'!$A$4:$BG997,9,),AX61="INDIRECT",VLOOKUP(AU61,'Primary - GRADING'!$A$4:$BG997,24,))</f>
        <v>#N/A</v>
      </c>
      <c r="BA61" s="153" t="str">
        <f>IFS(AX61="NMA",VLOOKUP(AU61,'Primary - GRADING'!$A$4:$BG997,53,),AX61="DIRECT",VLOOKUP(AU61,'Primary - GRADING'!$A$4:$BG997,10,),AX61="INDIRECT",VLOOKUP(AU61,'Primary - GRADING'!$A$4:$BG997,25,))</f>
        <v>#N/A</v>
      </c>
      <c r="BB61" s="153" t="str">
        <f t="shared" si="10"/>
        <v>#N/A</v>
      </c>
      <c r="BE61" s="153" t="str">
        <f t="shared" si="11"/>
        <v/>
      </c>
      <c r="BG61" s="153" t="str">
        <f t="shared" si="12"/>
        <v>#N/A</v>
      </c>
      <c r="BI61" s="153" t="str">
        <f t="shared" si="13"/>
        <v>#N/A</v>
      </c>
      <c r="BK61" s="153" t="str">
        <f t="shared" si="14"/>
        <v>#N/A</v>
      </c>
      <c r="BM61" s="153" t="str">
        <f t="shared" si="15"/>
        <v>#N/A</v>
      </c>
    </row>
    <row r="62" ht="15.75" customHeight="1">
      <c r="B62" s="160" t="str">
        <f t="shared" si="1"/>
        <v>#N/A</v>
      </c>
      <c r="C62" s="160" t="str">
        <f t="shared" si="2"/>
        <v>#N/A</v>
      </c>
      <c r="D62" s="160" t="str">
        <f t="shared" si="3"/>
        <v>#N/A</v>
      </c>
      <c r="E62" s="161" t="str">
        <f t="shared" si="4"/>
        <v>#N/A</v>
      </c>
      <c r="F62" s="153" t="str">
        <f t="shared" si="17"/>
        <v>#N/A</v>
      </c>
      <c r="G62" s="153" t="str">
        <f t="shared" si="6"/>
        <v>#N/A</v>
      </c>
      <c r="H62" s="156" t="str">
        <f t="array" ref="H62">INDEX('Primary - GRADING'!$A$1:$BG997,MATCH($A62,'Primary - GRADING'!$B:$B,0),59)</f>
        <v>#N/A</v>
      </c>
      <c r="I62" s="153" t="str">
        <f t="array" ref="I62">INDEX('Primary - GRADING'!$A$1:$CP997,MATCH($A62,'Primary - GRADING'!$CP:$CP,0),48)</f>
        <v>#N/A</v>
      </c>
      <c r="J62" s="153" t="str">
        <f t="array" ref="J62">INDEX('Primary - GRADING'!$A$1:$CP997,MATCH($A62,'Primary - GRADING'!$CP:$CP,0),49)</f>
        <v>#N/A</v>
      </c>
      <c r="K62" s="153" t="str">
        <f t="array" ref="K62">INDEX('Primary - GRADING'!$A$1:$CP997,MATCH($A62,'Primary - GRADING'!$CP:$CP,0),50)</f>
        <v>#N/A</v>
      </c>
      <c r="L62" s="153" t="str">
        <f t="array" ref="L62">INDEX('Primary - GRADING'!$A$1:$CP997,MATCH($A62,'Primary - GRADING'!$CP:$CP,0),51)</f>
        <v>#N/A</v>
      </c>
      <c r="M62" s="153" t="str">
        <f t="array" ref="M62">INDEX('Primary - GRADING'!$A$1:$CP997,MATCH($A62,'Primary - GRADING'!$CP:$CP,0),52)</f>
        <v>#N/A</v>
      </c>
      <c r="N62" s="153" t="str">
        <f t="array" ref="N62">INDEX('Primary - GRADING'!$A$1:$CP997,MATCH($A62,'Primary - GRADING'!$CP:$CP,0),53)</f>
        <v>#N/A</v>
      </c>
      <c r="O62" s="153" t="str">
        <f t="array" ref="O62">INDEX('Primary - GRADING'!$A$1:$CP997,MATCH($A62,'Primary - GRADING'!$CP:$CP,0),58)</f>
        <v>#N/A</v>
      </c>
      <c r="P62" s="153" t="str">
        <f t="array" ref="P62">INDEX('Primary - GRADING'!$A$1:$CP997,MATCH($A62,'Primary - GRADING'!$CP:$CP,0),5)</f>
        <v>#N/A</v>
      </c>
      <c r="Q62" s="153" t="str">
        <f t="array" ref="Q62">INDEX('Primary - GRADING'!$A$1:$CP997,MATCH($A62,'Primary - GRADING'!$CP:$CP,0),6)</f>
        <v>#N/A</v>
      </c>
      <c r="R62" s="153" t="str">
        <f t="array" ref="R62">INDEX('Primary - GRADING'!$A$1:$CP997,MATCH($A62,'Primary - GRADING'!$CP:$CP,0),7)</f>
        <v>#N/A</v>
      </c>
      <c r="S62" s="153" t="str">
        <f t="array" ref="S62">INDEX('Primary - GRADING'!$A$1:$CP997,MATCH($A62,'Primary - GRADING'!$CP:$CP,0),8)</f>
        <v>#N/A</v>
      </c>
      <c r="T62" s="153" t="str">
        <f t="array" ref="T62">INDEX('Primary - GRADING'!$A$1:$CP997,MATCH($A62,'Primary - GRADING'!$CP:$CP,0),9)</f>
        <v>#N/A</v>
      </c>
      <c r="U62" s="153" t="str">
        <f t="array" ref="U62">INDEX('Primary - GRADING'!$A$1:$CP997,MATCH($A62,'Primary - GRADING'!$CP:$CP,0),10)</f>
        <v>#N/A</v>
      </c>
      <c r="V62" s="153" t="str">
        <f t="array" ref="V62">INDEX('Primary - GRADING'!$A$1:$CP997,MATCH($A62,'Primary - GRADING'!$CP:$CP,0),18)</f>
        <v>#N/A</v>
      </c>
      <c r="W62" s="153" t="str">
        <f t="array" ref="W62">INDEX('Primary - GRADING'!$A$1:$CP997,MATCH($A62,'Primary - GRADING'!$CP:$CP,0),20)</f>
        <v>#N/A</v>
      </c>
      <c r="X62" s="153" t="str">
        <f t="array" ref="X62">INDEX('Primary - GRADING'!$A$1:$CP997,MATCH($A62,'Primary - GRADING'!$CP:$CP,0),21)</f>
        <v>#N/A</v>
      </c>
      <c r="Y62" s="153" t="str">
        <f t="array" ref="Y62">INDEX('Primary - GRADING'!$A$1:$CP997,MATCH($A62,'Primary - GRADING'!$CP:$CP,0),22)</f>
        <v>#N/A</v>
      </c>
      <c r="Z62" s="165" t="str">
        <f t="array" ref="Z62">INDEX('Primary - GRADING'!$A$1:$CP997,MATCH($A62,'Primary - GRADING'!$CP:$CP,0),23)</f>
        <v>#N/A</v>
      </c>
      <c r="AA62" s="153" t="str">
        <f t="array" ref="AA62">INDEX('Primary - GRADING'!$A$1:$CP997,MATCH($A62,'Primary - GRADING'!$CP:$CP,0),24)</f>
        <v>#N/A</v>
      </c>
      <c r="AB62" s="153" t="str">
        <f t="array" ref="AB62">INDEX('Primary - GRADING'!$A$1:$CP997,MATCH($A62,'Primary - GRADING'!$CP:$CP,0),25)</f>
        <v>#N/A</v>
      </c>
      <c r="AC62" s="153" t="str">
        <f t="array" ref="AC62">INDEX('Primary - GRADING'!$A$1:$CP997,MATCH($A62,'Primary - GRADING'!$CP:$CP,0),46)</f>
        <v>#N/A</v>
      </c>
      <c r="AG62" s="153" t="str">
        <f t="shared" si="7"/>
        <v>#N/A</v>
      </c>
      <c r="AI62" s="153" t="str">
        <f>VLOOKUP(AH62,'Primary - GRADING'!$A$4:$C997,2,)</f>
        <v>#N/A</v>
      </c>
      <c r="AJ62" s="153" t="str">
        <f>VLOOKUP(AH62,'Primary - GRADING'!$A$4:$C997,3,)</f>
        <v>#N/A</v>
      </c>
      <c r="AK62" s="153" t="str">
        <f>VLOOKUP(AH62,'Primary - GRADING'!$A$4:$BG997,59,)</f>
        <v>#N/A</v>
      </c>
      <c r="AL62" s="153" t="str">
        <f>IFS(AK62="NMA",VLOOKUP(AH62,'Primary - GRADING'!$A$4:$BG997,51,),AK62="DIRECT",VLOOKUP(AH62,'Primary - GRADING'!$A$4:$BG997,8,),AK62="INDIRECT",VLOOKUP(AH62,'Primary - GRADING'!$A$4:$BG997,23,))</f>
        <v>#N/A</v>
      </c>
      <c r="AM62" s="153" t="str">
        <f>IFS(AK62="NMA",VLOOKUP(AH62,'Primary - GRADING'!$A$4:$BG997,52,),AK62="DIRECT",VLOOKUP(AH62,'Primary - GRADING'!$A$4:$BG997,9,),AK62="INDIRECT",VLOOKUP(AH62,'Primary - GRADING'!$A$4:$BG997,24,))</f>
        <v>#N/A</v>
      </c>
      <c r="AN62" s="153" t="str">
        <f>IFS(AK62="NMA",VLOOKUP(AH62,'Primary - GRADING'!$A$4:$BG997,53,),AK62="DIRECT",VLOOKUP(AH62,'Primary - GRADING'!$A$4:$BG997,10,),AK62="INDIRECT",VLOOKUP(AH62,'Primary - GRADING'!$A$4:$BG997,25,))</f>
        <v>#N/A</v>
      </c>
      <c r="AO62" s="153" t="str">
        <f t="shared" si="8"/>
        <v>#N/A</v>
      </c>
      <c r="AT62" s="153" t="str">
        <f t="shared" si="9"/>
        <v>#N/A</v>
      </c>
      <c r="AV62" s="153" t="str">
        <f>VLOOKUP(AU62,'Primary - GRADING'!$A$4:$C997,2,)</f>
        <v>#N/A</v>
      </c>
      <c r="AW62" s="153" t="str">
        <f>VLOOKUP(AU62,'Primary - GRADING'!$A$4:$C997,3,)</f>
        <v>#N/A</v>
      </c>
      <c r="AX62" s="153" t="str">
        <f>VLOOKUP(AU62,'Primary - GRADING'!$A$4:$BG997,59,)</f>
        <v>#N/A</v>
      </c>
      <c r="AY62" s="153" t="str">
        <f>IFS(AX62="NMA",VLOOKUP(AU62,'Primary - GRADING'!$A$4:$BG997,51,),AX62="DIRECT",VLOOKUP(AU62,'Primary - GRADING'!$A$4:$BG997,8,),AX62="INDIRECT",VLOOKUP(AU62,'Primary - GRADING'!$A$4:$BG997,23,))</f>
        <v>#N/A</v>
      </c>
      <c r="AZ62" s="153" t="str">
        <f>IFS(AX62="NMA",VLOOKUP(AU62,'Primary - GRADING'!$A$4:$BG997,52,),AX62="DIRECT",VLOOKUP(AU62,'Primary - GRADING'!$A$4:$BG997,9,),AX62="INDIRECT",VLOOKUP(AU62,'Primary - GRADING'!$A$4:$BG997,24,))</f>
        <v>#N/A</v>
      </c>
      <c r="BA62" s="153" t="str">
        <f>IFS(AX62="NMA",VLOOKUP(AU62,'Primary - GRADING'!$A$4:$BG997,53,),AX62="DIRECT",VLOOKUP(AU62,'Primary - GRADING'!$A$4:$BG997,10,),AX62="INDIRECT",VLOOKUP(AU62,'Primary - GRADING'!$A$4:$BG997,25,))</f>
        <v>#N/A</v>
      </c>
      <c r="BB62" s="153" t="str">
        <f t="shared" si="10"/>
        <v>#N/A</v>
      </c>
      <c r="BE62" s="153" t="str">
        <f t="shared" si="11"/>
        <v/>
      </c>
      <c r="BG62" s="153" t="str">
        <f t="shared" si="12"/>
        <v>#N/A</v>
      </c>
      <c r="BI62" s="153" t="str">
        <f t="shared" si="13"/>
        <v>#N/A</v>
      </c>
      <c r="BK62" s="153" t="str">
        <f t="shared" si="14"/>
        <v>#N/A</v>
      </c>
      <c r="BM62" s="153" t="str">
        <f t="shared" si="15"/>
        <v>#N/A</v>
      </c>
    </row>
    <row r="63" ht="15.75" customHeight="1">
      <c r="B63" s="160" t="str">
        <f t="shared" si="1"/>
        <v>#N/A</v>
      </c>
      <c r="C63" s="160" t="str">
        <f t="shared" si="2"/>
        <v>#N/A</v>
      </c>
      <c r="D63" s="160" t="str">
        <f t="shared" si="3"/>
        <v>#N/A</v>
      </c>
      <c r="E63" s="161" t="str">
        <f t="shared" si="4"/>
        <v>#N/A</v>
      </c>
      <c r="F63" s="153" t="str">
        <f t="shared" si="17"/>
        <v>#N/A</v>
      </c>
      <c r="G63" s="153" t="str">
        <f t="shared" si="6"/>
        <v>#N/A</v>
      </c>
      <c r="H63" s="156" t="str">
        <f t="array" ref="H63">INDEX('Primary - GRADING'!$A$1:$BG997,MATCH($A63,'Primary - GRADING'!$B:$B,0),59)</f>
        <v>#N/A</v>
      </c>
      <c r="I63" s="153" t="str">
        <f t="array" ref="I63">INDEX('Primary - GRADING'!$A$1:$CP997,MATCH($A63,'Primary - GRADING'!$CP:$CP,0),48)</f>
        <v>#N/A</v>
      </c>
      <c r="J63" s="153" t="str">
        <f t="array" ref="J63">INDEX('Primary - GRADING'!$A$1:$CP997,MATCH($A63,'Primary - GRADING'!$CP:$CP,0),49)</f>
        <v>#N/A</v>
      </c>
      <c r="K63" s="153" t="str">
        <f t="array" ref="K63">INDEX('Primary - GRADING'!$A$1:$CP997,MATCH($A63,'Primary - GRADING'!$CP:$CP,0),50)</f>
        <v>#N/A</v>
      </c>
      <c r="L63" s="153" t="str">
        <f t="array" ref="L63">INDEX('Primary - GRADING'!$A$1:$CP997,MATCH($A63,'Primary - GRADING'!$CP:$CP,0),51)</f>
        <v>#N/A</v>
      </c>
      <c r="M63" s="153" t="str">
        <f t="array" ref="M63">INDEX('Primary - GRADING'!$A$1:$CP997,MATCH($A63,'Primary - GRADING'!$CP:$CP,0),52)</f>
        <v>#N/A</v>
      </c>
      <c r="N63" s="153" t="str">
        <f t="array" ref="N63">INDEX('Primary - GRADING'!$A$1:$CP997,MATCH($A63,'Primary - GRADING'!$CP:$CP,0),53)</f>
        <v>#N/A</v>
      </c>
      <c r="O63" s="153" t="str">
        <f t="array" ref="O63">INDEX('Primary - GRADING'!$A$1:$CP997,MATCH($A63,'Primary - GRADING'!$CP:$CP,0),58)</f>
        <v>#N/A</v>
      </c>
      <c r="P63" s="153" t="str">
        <f t="array" ref="P63">INDEX('Primary - GRADING'!$A$1:$CP997,MATCH($A63,'Primary - GRADING'!$CP:$CP,0),5)</f>
        <v>#N/A</v>
      </c>
      <c r="Q63" s="153" t="str">
        <f t="array" ref="Q63">INDEX('Primary - GRADING'!$A$1:$CP997,MATCH($A63,'Primary - GRADING'!$CP:$CP,0),6)</f>
        <v>#N/A</v>
      </c>
      <c r="R63" s="153" t="str">
        <f t="array" ref="R63">INDEX('Primary - GRADING'!$A$1:$CP997,MATCH($A63,'Primary - GRADING'!$CP:$CP,0),7)</f>
        <v>#N/A</v>
      </c>
      <c r="S63" s="153" t="str">
        <f t="array" ref="S63">INDEX('Primary - GRADING'!$A$1:$CP997,MATCH($A63,'Primary - GRADING'!$CP:$CP,0),8)</f>
        <v>#N/A</v>
      </c>
      <c r="T63" s="153" t="str">
        <f t="array" ref="T63">INDEX('Primary - GRADING'!$A$1:$CP997,MATCH($A63,'Primary - GRADING'!$CP:$CP,0),9)</f>
        <v>#N/A</v>
      </c>
      <c r="U63" s="153" t="str">
        <f t="array" ref="U63">INDEX('Primary - GRADING'!$A$1:$CP997,MATCH($A63,'Primary - GRADING'!$CP:$CP,0),10)</f>
        <v>#N/A</v>
      </c>
      <c r="V63" s="153" t="str">
        <f t="array" ref="V63">INDEX('Primary - GRADING'!$A$1:$CP997,MATCH($A63,'Primary - GRADING'!$CP:$CP,0),18)</f>
        <v>#N/A</v>
      </c>
      <c r="W63" s="153" t="str">
        <f t="array" ref="W63">INDEX('Primary - GRADING'!$A$1:$CP997,MATCH($A63,'Primary - GRADING'!$CP:$CP,0),20)</f>
        <v>#N/A</v>
      </c>
      <c r="X63" s="153" t="str">
        <f t="array" ref="X63">INDEX('Primary - GRADING'!$A$1:$CP997,MATCH($A63,'Primary - GRADING'!$CP:$CP,0),21)</f>
        <v>#N/A</v>
      </c>
      <c r="Y63" s="153" t="str">
        <f t="array" ref="Y63">INDEX('Primary - GRADING'!$A$1:$CP997,MATCH($A63,'Primary - GRADING'!$CP:$CP,0),22)</f>
        <v>#N/A</v>
      </c>
      <c r="Z63" s="165" t="str">
        <f t="array" ref="Z63">INDEX('Primary - GRADING'!$A$1:$CP997,MATCH($A63,'Primary - GRADING'!$CP:$CP,0),23)</f>
        <v>#N/A</v>
      </c>
      <c r="AA63" s="153" t="str">
        <f t="array" ref="AA63">INDEX('Primary - GRADING'!$A$1:$CP997,MATCH($A63,'Primary - GRADING'!$CP:$CP,0),24)</f>
        <v>#N/A</v>
      </c>
      <c r="AB63" s="153" t="str">
        <f t="array" ref="AB63">INDEX('Primary - GRADING'!$A$1:$CP997,MATCH($A63,'Primary - GRADING'!$CP:$CP,0),25)</f>
        <v>#N/A</v>
      </c>
      <c r="AC63" s="153" t="str">
        <f t="array" ref="AC63">INDEX('Primary - GRADING'!$A$1:$CP997,MATCH($A63,'Primary - GRADING'!$CP:$CP,0),46)</f>
        <v>#N/A</v>
      </c>
      <c r="AG63" s="153" t="str">
        <f t="shared" si="7"/>
        <v>#N/A</v>
      </c>
      <c r="AI63" s="153" t="str">
        <f>VLOOKUP(AH63,'Primary - GRADING'!$A$4:$C997,2,)</f>
        <v>#N/A</v>
      </c>
      <c r="AJ63" s="153" t="str">
        <f>VLOOKUP(AH63,'Primary - GRADING'!$A$4:$C997,3,)</f>
        <v>#N/A</v>
      </c>
      <c r="AK63" s="153" t="str">
        <f>VLOOKUP(AH63,'Primary - GRADING'!$A$4:$BG997,59,)</f>
        <v>#N/A</v>
      </c>
      <c r="AL63" s="153" t="str">
        <f>IFS(AK63="NMA",VLOOKUP(AH63,'Primary - GRADING'!$A$4:$BG997,51,),AK63="DIRECT",VLOOKUP(AH63,'Primary - GRADING'!$A$4:$BG997,8,),AK63="INDIRECT",VLOOKUP(AH63,'Primary - GRADING'!$A$4:$BG997,23,))</f>
        <v>#N/A</v>
      </c>
      <c r="AM63" s="153" t="str">
        <f>IFS(AK63="NMA",VLOOKUP(AH63,'Primary - GRADING'!$A$4:$BG997,52,),AK63="DIRECT",VLOOKUP(AH63,'Primary - GRADING'!$A$4:$BG997,9,),AK63="INDIRECT",VLOOKUP(AH63,'Primary - GRADING'!$A$4:$BG997,24,))</f>
        <v>#N/A</v>
      </c>
      <c r="AN63" s="153" t="str">
        <f>IFS(AK63="NMA",VLOOKUP(AH63,'Primary - GRADING'!$A$4:$BG997,53,),AK63="DIRECT",VLOOKUP(AH63,'Primary - GRADING'!$A$4:$BG997,10,),AK63="INDIRECT",VLOOKUP(AH63,'Primary - GRADING'!$A$4:$BG997,25,))</f>
        <v>#N/A</v>
      </c>
      <c r="AO63" s="153" t="str">
        <f t="shared" si="8"/>
        <v>#N/A</v>
      </c>
      <c r="AT63" s="153" t="str">
        <f t="shared" si="9"/>
        <v>#N/A</v>
      </c>
      <c r="AV63" s="153" t="str">
        <f>VLOOKUP(AU63,'Primary - GRADING'!$A$4:$C997,2,)</f>
        <v>#N/A</v>
      </c>
      <c r="AW63" s="153" t="str">
        <f>VLOOKUP(AU63,'Primary - GRADING'!$A$4:$C997,3,)</f>
        <v>#N/A</v>
      </c>
      <c r="AX63" s="153" t="str">
        <f>VLOOKUP(AU63,'Primary - GRADING'!$A$4:$BG997,59,)</f>
        <v>#N/A</v>
      </c>
      <c r="AY63" s="153" t="str">
        <f>IFS(AX63="NMA",VLOOKUP(AU63,'Primary - GRADING'!$A$4:$BG997,51,),AX63="DIRECT",VLOOKUP(AU63,'Primary - GRADING'!$A$4:$BG997,8,),AX63="INDIRECT",VLOOKUP(AU63,'Primary - GRADING'!$A$4:$BG997,23,))</f>
        <v>#N/A</v>
      </c>
      <c r="AZ63" s="153" t="str">
        <f>IFS(AX63="NMA",VLOOKUP(AU63,'Primary - GRADING'!$A$4:$BG997,52,),AX63="DIRECT",VLOOKUP(AU63,'Primary - GRADING'!$A$4:$BG997,9,),AX63="INDIRECT",VLOOKUP(AU63,'Primary - GRADING'!$A$4:$BG997,24,))</f>
        <v>#N/A</v>
      </c>
      <c r="BA63" s="153" t="str">
        <f>IFS(AX63="NMA",VLOOKUP(AU63,'Primary - GRADING'!$A$4:$BG997,53,),AX63="DIRECT",VLOOKUP(AU63,'Primary - GRADING'!$A$4:$BG997,10,),AX63="INDIRECT",VLOOKUP(AU63,'Primary - GRADING'!$A$4:$BG997,25,))</f>
        <v>#N/A</v>
      </c>
      <c r="BB63" s="153" t="str">
        <f t="shared" si="10"/>
        <v>#N/A</v>
      </c>
      <c r="BE63" s="153" t="str">
        <f t="shared" si="11"/>
        <v/>
      </c>
      <c r="BG63" s="153" t="str">
        <f t="shared" si="12"/>
        <v>#N/A</v>
      </c>
      <c r="BI63" s="153" t="str">
        <f t="shared" si="13"/>
        <v>#N/A</v>
      </c>
      <c r="BK63" s="153" t="str">
        <f t="shared" si="14"/>
        <v>#N/A</v>
      </c>
      <c r="BM63" s="153" t="str">
        <f t="shared" si="15"/>
        <v>#N/A</v>
      </c>
    </row>
    <row r="64" ht="15.75" customHeight="1">
      <c r="B64" s="160" t="str">
        <f t="shared" si="1"/>
        <v>#N/A</v>
      </c>
      <c r="C64" s="160" t="str">
        <f t="shared" si="2"/>
        <v>#N/A</v>
      </c>
      <c r="D64" s="160" t="str">
        <f t="shared" si="3"/>
        <v>#N/A</v>
      </c>
      <c r="E64" s="161" t="str">
        <f t="shared" si="4"/>
        <v>#N/A</v>
      </c>
      <c r="F64" s="153" t="str">
        <f t="shared" si="17"/>
        <v>#N/A</v>
      </c>
      <c r="G64" s="153" t="str">
        <f t="shared" si="6"/>
        <v>#N/A</v>
      </c>
      <c r="H64" s="156" t="str">
        <f t="array" ref="H64">INDEX('Primary - GRADING'!$A$1:$BG997,MATCH($A64,'Primary - GRADING'!$B:$B,0),59)</f>
        <v>#N/A</v>
      </c>
      <c r="I64" s="153" t="str">
        <f t="array" ref="I64">INDEX('Primary - GRADING'!$A$1:$CP997,MATCH($A64,'Primary - GRADING'!$CP:$CP,0),48)</f>
        <v>#N/A</v>
      </c>
      <c r="J64" s="153" t="str">
        <f t="array" ref="J64">INDEX('Primary - GRADING'!$A$1:$CP997,MATCH($A64,'Primary - GRADING'!$CP:$CP,0),49)</f>
        <v>#N/A</v>
      </c>
      <c r="K64" s="153" t="str">
        <f t="array" ref="K64">INDEX('Primary - GRADING'!$A$1:$CP997,MATCH($A64,'Primary - GRADING'!$CP:$CP,0),50)</f>
        <v>#N/A</v>
      </c>
      <c r="L64" s="153" t="str">
        <f t="array" ref="L64">INDEX('Primary - GRADING'!$A$1:$CP997,MATCH($A64,'Primary - GRADING'!$CP:$CP,0),51)</f>
        <v>#N/A</v>
      </c>
      <c r="M64" s="153" t="str">
        <f t="array" ref="M64">INDEX('Primary - GRADING'!$A$1:$CP997,MATCH($A64,'Primary - GRADING'!$CP:$CP,0),52)</f>
        <v>#N/A</v>
      </c>
      <c r="N64" s="153" t="str">
        <f t="array" ref="N64">INDEX('Primary - GRADING'!$A$1:$CP997,MATCH($A64,'Primary - GRADING'!$CP:$CP,0),53)</f>
        <v>#N/A</v>
      </c>
      <c r="O64" s="153" t="str">
        <f t="array" ref="O64">INDEX('Primary - GRADING'!$A$1:$CP997,MATCH($A64,'Primary - GRADING'!$CP:$CP,0),58)</f>
        <v>#N/A</v>
      </c>
      <c r="P64" s="153" t="str">
        <f t="array" ref="P64">INDEX('Primary - GRADING'!$A$1:$CP997,MATCH($A64,'Primary - GRADING'!$CP:$CP,0),5)</f>
        <v>#N/A</v>
      </c>
      <c r="Q64" s="153" t="str">
        <f t="array" ref="Q64">INDEX('Primary - GRADING'!$A$1:$CP997,MATCH($A64,'Primary - GRADING'!$CP:$CP,0),6)</f>
        <v>#N/A</v>
      </c>
      <c r="R64" s="153" t="str">
        <f t="array" ref="R64">INDEX('Primary - GRADING'!$A$1:$CP997,MATCH($A64,'Primary - GRADING'!$CP:$CP,0),7)</f>
        <v>#N/A</v>
      </c>
      <c r="S64" s="153" t="str">
        <f t="array" ref="S64">INDEX('Primary - GRADING'!$A$1:$CP997,MATCH($A64,'Primary - GRADING'!$CP:$CP,0),8)</f>
        <v>#N/A</v>
      </c>
      <c r="T64" s="153" t="str">
        <f t="array" ref="T64">INDEX('Primary - GRADING'!$A$1:$CP997,MATCH($A64,'Primary - GRADING'!$CP:$CP,0),9)</f>
        <v>#N/A</v>
      </c>
      <c r="U64" s="153" t="str">
        <f t="array" ref="U64">INDEX('Primary - GRADING'!$A$1:$CP997,MATCH($A64,'Primary - GRADING'!$CP:$CP,0),10)</f>
        <v>#N/A</v>
      </c>
      <c r="V64" s="153" t="str">
        <f t="array" ref="V64">INDEX('Primary - GRADING'!$A$1:$CP997,MATCH($A64,'Primary - GRADING'!$CP:$CP,0),18)</f>
        <v>#N/A</v>
      </c>
      <c r="W64" s="153" t="str">
        <f t="array" ref="W64">INDEX('Primary - GRADING'!$A$1:$CP997,MATCH($A64,'Primary - GRADING'!$CP:$CP,0),20)</f>
        <v>#N/A</v>
      </c>
      <c r="X64" s="153" t="str">
        <f t="array" ref="X64">INDEX('Primary - GRADING'!$A$1:$CP997,MATCH($A64,'Primary - GRADING'!$CP:$CP,0),21)</f>
        <v>#N/A</v>
      </c>
      <c r="Y64" s="153" t="str">
        <f t="array" ref="Y64">INDEX('Primary - GRADING'!$A$1:$CP997,MATCH($A64,'Primary - GRADING'!$CP:$CP,0),22)</f>
        <v>#N/A</v>
      </c>
      <c r="Z64" s="165" t="str">
        <f t="array" ref="Z64">INDEX('Primary - GRADING'!$A$1:$CP997,MATCH($A64,'Primary - GRADING'!$CP:$CP,0),23)</f>
        <v>#N/A</v>
      </c>
      <c r="AA64" s="153" t="str">
        <f t="array" ref="AA64">INDEX('Primary - GRADING'!$A$1:$CP997,MATCH($A64,'Primary - GRADING'!$CP:$CP,0),24)</f>
        <v>#N/A</v>
      </c>
      <c r="AB64" s="153" t="str">
        <f t="array" ref="AB64">INDEX('Primary - GRADING'!$A$1:$CP997,MATCH($A64,'Primary - GRADING'!$CP:$CP,0),25)</f>
        <v>#N/A</v>
      </c>
      <c r="AC64" s="153" t="str">
        <f t="array" ref="AC64">INDEX('Primary - GRADING'!$A$1:$CP997,MATCH($A64,'Primary - GRADING'!$CP:$CP,0),46)</f>
        <v>#N/A</v>
      </c>
      <c r="AG64" s="153" t="str">
        <f t="shared" si="7"/>
        <v>#N/A</v>
      </c>
      <c r="AI64" s="153" t="str">
        <f>VLOOKUP(AH64,'Primary - GRADING'!$A$4:$C997,2,)</f>
        <v>#N/A</v>
      </c>
      <c r="AJ64" s="153" t="str">
        <f>VLOOKUP(AH64,'Primary - GRADING'!$A$4:$C997,3,)</f>
        <v>#N/A</v>
      </c>
      <c r="AK64" s="153" t="str">
        <f>VLOOKUP(AH64,'Primary - GRADING'!$A$4:$BG997,59,)</f>
        <v>#N/A</v>
      </c>
      <c r="AL64" s="153" t="str">
        <f>IFS(AK64="NMA",VLOOKUP(AH64,'Primary - GRADING'!$A$4:$BG997,51,),AK64="DIRECT",VLOOKUP(AH64,'Primary - GRADING'!$A$4:$BG997,8,),AK64="INDIRECT",VLOOKUP(AH64,'Primary - GRADING'!$A$4:$BG997,23,))</f>
        <v>#N/A</v>
      </c>
      <c r="AM64" s="153" t="str">
        <f>IFS(AK64="NMA",VLOOKUP(AH64,'Primary - GRADING'!$A$4:$BG997,52,),AK64="DIRECT",VLOOKUP(AH64,'Primary - GRADING'!$A$4:$BG997,9,),AK64="INDIRECT",VLOOKUP(AH64,'Primary - GRADING'!$A$4:$BG997,24,))</f>
        <v>#N/A</v>
      </c>
      <c r="AN64" s="153" t="str">
        <f>IFS(AK64="NMA",VLOOKUP(AH64,'Primary - GRADING'!$A$4:$BG997,53,),AK64="DIRECT",VLOOKUP(AH64,'Primary - GRADING'!$A$4:$BG997,10,),AK64="INDIRECT",VLOOKUP(AH64,'Primary - GRADING'!$A$4:$BG997,25,))</f>
        <v>#N/A</v>
      </c>
      <c r="AO64" s="153" t="str">
        <f t="shared" si="8"/>
        <v>#N/A</v>
      </c>
      <c r="AT64" s="153" t="str">
        <f t="shared" si="9"/>
        <v>#N/A</v>
      </c>
      <c r="AV64" s="153" t="str">
        <f>VLOOKUP(AU64,'Primary - GRADING'!$A$4:$C997,2,)</f>
        <v>#N/A</v>
      </c>
      <c r="AW64" s="153" t="str">
        <f>VLOOKUP(AU64,'Primary - GRADING'!$A$4:$C997,3,)</f>
        <v>#N/A</v>
      </c>
      <c r="AX64" s="153" t="str">
        <f>VLOOKUP(AU64,'Primary - GRADING'!$A$4:$BG997,59,)</f>
        <v>#N/A</v>
      </c>
      <c r="AY64" s="153" t="str">
        <f>IFS(AX64="NMA",VLOOKUP(AU64,'Primary - GRADING'!$A$4:$BG997,51,),AX64="DIRECT",VLOOKUP(AU64,'Primary - GRADING'!$A$4:$BG997,8,),AX64="INDIRECT",VLOOKUP(AU64,'Primary - GRADING'!$A$4:$BG997,23,))</f>
        <v>#N/A</v>
      </c>
      <c r="AZ64" s="153" t="str">
        <f>IFS(AX64="NMA",VLOOKUP(AU64,'Primary - GRADING'!$A$4:$BG997,52,),AX64="DIRECT",VLOOKUP(AU64,'Primary - GRADING'!$A$4:$BG997,9,),AX64="INDIRECT",VLOOKUP(AU64,'Primary - GRADING'!$A$4:$BG997,24,))</f>
        <v>#N/A</v>
      </c>
      <c r="BA64" s="153" t="str">
        <f>IFS(AX64="NMA",VLOOKUP(AU64,'Primary - GRADING'!$A$4:$BG997,53,),AX64="DIRECT",VLOOKUP(AU64,'Primary - GRADING'!$A$4:$BG997,10,),AX64="INDIRECT",VLOOKUP(AU64,'Primary - GRADING'!$A$4:$BG997,25,))</f>
        <v>#N/A</v>
      </c>
      <c r="BB64" s="153" t="str">
        <f t="shared" si="10"/>
        <v>#N/A</v>
      </c>
      <c r="BE64" s="153" t="str">
        <f t="shared" si="11"/>
        <v/>
      </c>
      <c r="BG64" s="153" t="str">
        <f t="shared" si="12"/>
        <v>#N/A</v>
      </c>
      <c r="BI64" s="153" t="str">
        <f t="shared" si="13"/>
        <v>#N/A</v>
      </c>
      <c r="BK64" s="153" t="str">
        <f t="shared" si="14"/>
        <v>#N/A</v>
      </c>
      <c r="BM64" s="153" t="str">
        <f t="shared" si="15"/>
        <v>#N/A</v>
      </c>
    </row>
    <row r="65" ht="15.75" customHeight="1">
      <c r="B65" s="160" t="str">
        <f t="shared" si="1"/>
        <v>#N/A</v>
      </c>
      <c r="C65" s="160" t="str">
        <f t="shared" si="2"/>
        <v>#N/A</v>
      </c>
      <c r="D65" s="160" t="str">
        <f t="shared" si="3"/>
        <v>#N/A</v>
      </c>
      <c r="E65" s="161" t="str">
        <f t="shared" si="4"/>
        <v>#N/A</v>
      </c>
      <c r="F65" s="153" t="str">
        <f t="shared" si="17"/>
        <v>#N/A</v>
      </c>
      <c r="G65" s="153" t="str">
        <f t="shared" si="6"/>
        <v>#N/A</v>
      </c>
      <c r="H65" s="156" t="str">
        <f t="array" ref="H65">INDEX('Primary - GRADING'!$A$1:$BG997,MATCH($A65,'Primary - GRADING'!$B:$B,0),59)</f>
        <v>#N/A</v>
      </c>
      <c r="I65" s="153" t="str">
        <f t="array" ref="I65">INDEX('Primary - GRADING'!$A$1:$CP997,MATCH($A65,'Primary - GRADING'!$CP:$CP,0),48)</f>
        <v>#N/A</v>
      </c>
      <c r="J65" s="153" t="str">
        <f t="array" ref="J65">INDEX('Primary - GRADING'!$A$1:$CP997,MATCH($A65,'Primary - GRADING'!$CP:$CP,0),49)</f>
        <v>#N/A</v>
      </c>
      <c r="K65" s="153" t="str">
        <f t="array" ref="K65">INDEX('Primary - GRADING'!$A$1:$CP997,MATCH($A65,'Primary - GRADING'!$CP:$CP,0),50)</f>
        <v>#N/A</v>
      </c>
      <c r="L65" s="153" t="str">
        <f t="array" ref="L65">INDEX('Primary - GRADING'!$A$1:$CP997,MATCH($A65,'Primary - GRADING'!$CP:$CP,0),51)</f>
        <v>#N/A</v>
      </c>
      <c r="M65" s="153" t="str">
        <f t="array" ref="M65">INDEX('Primary - GRADING'!$A$1:$CP997,MATCH($A65,'Primary - GRADING'!$CP:$CP,0),52)</f>
        <v>#N/A</v>
      </c>
      <c r="N65" s="153" t="str">
        <f t="array" ref="N65">INDEX('Primary - GRADING'!$A$1:$CP997,MATCH($A65,'Primary - GRADING'!$CP:$CP,0),53)</f>
        <v>#N/A</v>
      </c>
      <c r="O65" s="153" t="str">
        <f t="array" ref="O65">INDEX('Primary - GRADING'!$A$1:$CP997,MATCH($A65,'Primary - GRADING'!$CP:$CP,0),58)</f>
        <v>#N/A</v>
      </c>
      <c r="P65" s="153" t="str">
        <f t="array" ref="P65">INDEX('Primary - GRADING'!$A$1:$CP997,MATCH($A65,'Primary - GRADING'!$CP:$CP,0),5)</f>
        <v>#N/A</v>
      </c>
      <c r="Q65" s="153" t="str">
        <f t="array" ref="Q65">INDEX('Primary - GRADING'!$A$1:$CP997,MATCH($A65,'Primary - GRADING'!$CP:$CP,0),6)</f>
        <v>#N/A</v>
      </c>
      <c r="R65" s="153" t="str">
        <f t="array" ref="R65">INDEX('Primary - GRADING'!$A$1:$CP997,MATCH($A65,'Primary - GRADING'!$CP:$CP,0),7)</f>
        <v>#N/A</v>
      </c>
      <c r="S65" s="153" t="str">
        <f t="array" ref="S65">INDEX('Primary - GRADING'!$A$1:$CP997,MATCH($A65,'Primary - GRADING'!$CP:$CP,0),8)</f>
        <v>#N/A</v>
      </c>
      <c r="T65" s="153" t="str">
        <f t="array" ref="T65">INDEX('Primary - GRADING'!$A$1:$CP997,MATCH($A65,'Primary - GRADING'!$CP:$CP,0),9)</f>
        <v>#N/A</v>
      </c>
      <c r="U65" s="153" t="str">
        <f t="array" ref="U65">INDEX('Primary - GRADING'!$A$1:$CP997,MATCH($A65,'Primary - GRADING'!$CP:$CP,0),10)</f>
        <v>#N/A</v>
      </c>
      <c r="V65" s="153" t="str">
        <f t="array" ref="V65">INDEX('Primary - GRADING'!$A$1:$CP997,MATCH($A65,'Primary - GRADING'!$CP:$CP,0),18)</f>
        <v>#N/A</v>
      </c>
      <c r="W65" s="153" t="str">
        <f t="array" ref="W65">INDEX('Primary - GRADING'!$A$1:$CP997,MATCH($A65,'Primary - GRADING'!$CP:$CP,0),20)</f>
        <v>#N/A</v>
      </c>
      <c r="X65" s="153" t="str">
        <f t="array" ref="X65">INDEX('Primary - GRADING'!$A$1:$CP997,MATCH($A65,'Primary - GRADING'!$CP:$CP,0),21)</f>
        <v>#N/A</v>
      </c>
      <c r="Y65" s="153" t="str">
        <f t="array" ref="Y65">INDEX('Primary - GRADING'!$A$1:$CP997,MATCH($A65,'Primary - GRADING'!$CP:$CP,0),22)</f>
        <v>#N/A</v>
      </c>
      <c r="Z65" s="165" t="str">
        <f t="array" ref="Z65">INDEX('Primary - GRADING'!$A$1:$CP997,MATCH($A65,'Primary - GRADING'!$CP:$CP,0),23)</f>
        <v>#N/A</v>
      </c>
      <c r="AA65" s="153" t="str">
        <f t="array" ref="AA65">INDEX('Primary - GRADING'!$A$1:$CP997,MATCH($A65,'Primary - GRADING'!$CP:$CP,0),24)</f>
        <v>#N/A</v>
      </c>
      <c r="AB65" s="153" t="str">
        <f t="array" ref="AB65">INDEX('Primary - GRADING'!$A$1:$CP997,MATCH($A65,'Primary - GRADING'!$CP:$CP,0),25)</f>
        <v>#N/A</v>
      </c>
      <c r="AC65" s="153" t="str">
        <f t="array" ref="AC65">INDEX('Primary - GRADING'!$A$1:$CP997,MATCH($A65,'Primary - GRADING'!$CP:$CP,0),46)</f>
        <v>#N/A</v>
      </c>
      <c r="AG65" s="153" t="str">
        <f t="shared" si="7"/>
        <v>#N/A</v>
      </c>
      <c r="AI65" s="153" t="str">
        <f>VLOOKUP(AH65,'Primary - GRADING'!$A$4:$C997,2,)</f>
        <v>#N/A</v>
      </c>
      <c r="AJ65" s="153" t="str">
        <f>VLOOKUP(AH65,'Primary - GRADING'!$A$4:$C997,3,)</f>
        <v>#N/A</v>
      </c>
      <c r="AK65" s="153" t="str">
        <f>VLOOKUP(AH65,'Primary - GRADING'!$A$4:$BG997,59,)</f>
        <v>#N/A</v>
      </c>
      <c r="AL65" s="153" t="str">
        <f>IFS(AK65="NMA",VLOOKUP(AH65,'Primary - GRADING'!$A$4:$BG997,51,),AK65="DIRECT",VLOOKUP(AH65,'Primary - GRADING'!$A$4:$BG997,8,),AK65="INDIRECT",VLOOKUP(AH65,'Primary - GRADING'!$A$4:$BG997,23,))</f>
        <v>#N/A</v>
      </c>
      <c r="AM65" s="153" t="str">
        <f>IFS(AK65="NMA",VLOOKUP(AH65,'Primary - GRADING'!$A$4:$BG997,52,),AK65="DIRECT",VLOOKUP(AH65,'Primary - GRADING'!$A$4:$BG997,9,),AK65="INDIRECT",VLOOKUP(AH65,'Primary - GRADING'!$A$4:$BG997,24,))</f>
        <v>#N/A</v>
      </c>
      <c r="AN65" s="153" t="str">
        <f>IFS(AK65="NMA",VLOOKUP(AH65,'Primary - GRADING'!$A$4:$BG997,53,),AK65="DIRECT",VLOOKUP(AH65,'Primary - GRADING'!$A$4:$BG997,10,),AK65="INDIRECT",VLOOKUP(AH65,'Primary - GRADING'!$A$4:$BG997,25,))</f>
        <v>#N/A</v>
      </c>
      <c r="AO65" s="153" t="str">
        <f t="shared" si="8"/>
        <v>#N/A</v>
      </c>
      <c r="AT65" s="153" t="str">
        <f t="shared" si="9"/>
        <v>#N/A</v>
      </c>
      <c r="AV65" s="153" t="str">
        <f>VLOOKUP(AU65,'Primary - GRADING'!$A$4:$C997,2,)</f>
        <v>#N/A</v>
      </c>
      <c r="AW65" s="153" t="str">
        <f>VLOOKUP(AU65,'Primary - GRADING'!$A$4:$C997,3,)</f>
        <v>#N/A</v>
      </c>
      <c r="AX65" s="153" t="str">
        <f>VLOOKUP(AU65,'Primary - GRADING'!$A$4:$BG997,59,)</f>
        <v>#N/A</v>
      </c>
      <c r="AY65" s="153" t="str">
        <f>IFS(AX65="NMA",VLOOKUP(AU65,'Primary - GRADING'!$A$4:$BG997,51,),AX65="DIRECT",VLOOKUP(AU65,'Primary - GRADING'!$A$4:$BG997,8,),AX65="INDIRECT",VLOOKUP(AU65,'Primary - GRADING'!$A$4:$BG997,23,))</f>
        <v>#N/A</v>
      </c>
      <c r="AZ65" s="153" t="str">
        <f>IFS(AX65="NMA",VLOOKUP(AU65,'Primary - GRADING'!$A$4:$BG997,52,),AX65="DIRECT",VLOOKUP(AU65,'Primary - GRADING'!$A$4:$BG997,9,),AX65="INDIRECT",VLOOKUP(AU65,'Primary - GRADING'!$A$4:$BG997,24,))</f>
        <v>#N/A</v>
      </c>
      <c r="BA65" s="153" t="str">
        <f>IFS(AX65="NMA",VLOOKUP(AU65,'Primary - GRADING'!$A$4:$BG997,53,),AX65="DIRECT",VLOOKUP(AU65,'Primary - GRADING'!$A$4:$BG997,10,),AX65="INDIRECT",VLOOKUP(AU65,'Primary - GRADING'!$A$4:$BG997,25,))</f>
        <v>#N/A</v>
      </c>
      <c r="BB65" s="153" t="str">
        <f t="shared" si="10"/>
        <v>#N/A</v>
      </c>
      <c r="BE65" s="153" t="str">
        <f t="shared" si="11"/>
        <v/>
      </c>
      <c r="BG65" s="153" t="str">
        <f t="shared" si="12"/>
        <v>#N/A</v>
      </c>
      <c r="BI65" s="153" t="str">
        <f t="shared" si="13"/>
        <v>#N/A</v>
      </c>
      <c r="BK65" s="153" t="str">
        <f t="shared" si="14"/>
        <v>#N/A</v>
      </c>
      <c r="BM65" s="153" t="str">
        <f t="shared" si="15"/>
        <v>#N/A</v>
      </c>
    </row>
    <row r="66" ht="15.75" customHeight="1">
      <c r="B66" s="160" t="str">
        <f t="shared" si="1"/>
        <v>#N/A</v>
      </c>
      <c r="C66" s="160" t="str">
        <f t="shared" si="2"/>
        <v>#N/A</v>
      </c>
      <c r="D66" s="160" t="str">
        <f t="shared" si="3"/>
        <v>#N/A</v>
      </c>
      <c r="E66" s="161" t="str">
        <f t="shared" si="4"/>
        <v>#N/A</v>
      </c>
      <c r="F66" s="153" t="str">
        <f t="shared" si="17"/>
        <v>#N/A</v>
      </c>
      <c r="G66" s="153" t="str">
        <f t="shared" si="6"/>
        <v>#N/A</v>
      </c>
      <c r="H66" s="156" t="str">
        <f t="array" ref="H66">INDEX('Primary - GRADING'!$A$1:$BG997,MATCH($A66,'Primary - GRADING'!$B:$B,0),59)</f>
        <v>#N/A</v>
      </c>
      <c r="I66" s="153" t="str">
        <f t="array" ref="I66">INDEX('Primary - GRADING'!$A$1:$CP997,MATCH($A66,'Primary - GRADING'!$CP:$CP,0),48)</f>
        <v>#N/A</v>
      </c>
      <c r="J66" s="153" t="str">
        <f t="array" ref="J66">INDEX('Primary - GRADING'!$A$1:$CP997,MATCH($A66,'Primary - GRADING'!$CP:$CP,0),49)</f>
        <v>#N/A</v>
      </c>
      <c r="K66" s="153" t="str">
        <f t="array" ref="K66">INDEX('Primary - GRADING'!$A$1:$CP997,MATCH($A66,'Primary - GRADING'!$CP:$CP,0),50)</f>
        <v>#N/A</v>
      </c>
      <c r="L66" s="153" t="str">
        <f t="array" ref="L66">INDEX('Primary - GRADING'!$A$1:$CP997,MATCH($A66,'Primary - GRADING'!$CP:$CP,0),51)</f>
        <v>#N/A</v>
      </c>
      <c r="M66" s="153" t="str">
        <f t="array" ref="M66">INDEX('Primary - GRADING'!$A$1:$CP997,MATCH($A66,'Primary - GRADING'!$CP:$CP,0),52)</f>
        <v>#N/A</v>
      </c>
      <c r="N66" s="153" t="str">
        <f t="array" ref="N66">INDEX('Primary - GRADING'!$A$1:$CP997,MATCH($A66,'Primary - GRADING'!$CP:$CP,0),53)</f>
        <v>#N/A</v>
      </c>
      <c r="O66" s="153" t="str">
        <f t="array" ref="O66">INDEX('Primary - GRADING'!$A$1:$CP997,MATCH($A66,'Primary - GRADING'!$CP:$CP,0),58)</f>
        <v>#N/A</v>
      </c>
      <c r="P66" s="153" t="str">
        <f t="array" ref="P66">INDEX('Primary - GRADING'!$A$1:$CP997,MATCH($A66,'Primary - GRADING'!$CP:$CP,0),5)</f>
        <v>#N/A</v>
      </c>
      <c r="Q66" s="153" t="str">
        <f t="array" ref="Q66">INDEX('Primary - GRADING'!$A$1:$CP997,MATCH($A66,'Primary - GRADING'!$CP:$CP,0),6)</f>
        <v>#N/A</v>
      </c>
      <c r="R66" s="153" t="str">
        <f t="array" ref="R66">INDEX('Primary - GRADING'!$A$1:$CP997,MATCH($A66,'Primary - GRADING'!$CP:$CP,0),7)</f>
        <v>#N/A</v>
      </c>
      <c r="S66" s="153" t="str">
        <f t="array" ref="S66">INDEX('Primary - GRADING'!$A$1:$CP997,MATCH($A66,'Primary - GRADING'!$CP:$CP,0),8)</f>
        <v>#N/A</v>
      </c>
      <c r="T66" s="153" t="str">
        <f t="array" ref="T66">INDEX('Primary - GRADING'!$A$1:$CP997,MATCH($A66,'Primary - GRADING'!$CP:$CP,0),9)</f>
        <v>#N/A</v>
      </c>
      <c r="U66" s="153" t="str">
        <f t="array" ref="U66">INDEX('Primary - GRADING'!$A$1:$CP997,MATCH($A66,'Primary - GRADING'!$CP:$CP,0),10)</f>
        <v>#N/A</v>
      </c>
      <c r="V66" s="153" t="str">
        <f t="array" ref="V66">INDEX('Primary - GRADING'!$A$1:$CP997,MATCH($A66,'Primary - GRADING'!$CP:$CP,0),18)</f>
        <v>#N/A</v>
      </c>
      <c r="W66" s="153" t="str">
        <f t="array" ref="W66">INDEX('Primary - GRADING'!$A$1:$CP997,MATCH($A66,'Primary - GRADING'!$CP:$CP,0),20)</f>
        <v>#N/A</v>
      </c>
      <c r="X66" s="153" t="str">
        <f t="array" ref="X66">INDEX('Primary - GRADING'!$A$1:$CP997,MATCH($A66,'Primary - GRADING'!$CP:$CP,0),21)</f>
        <v>#N/A</v>
      </c>
      <c r="Y66" s="153" t="str">
        <f t="array" ref="Y66">INDEX('Primary - GRADING'!$A$1:$CP997,MATCH($A66,'Primary - GRADING'!$CP:$CP,0),22)</f>
        <v>#N/A</v>
      </c>
      <c r="Z66" s="165" t="str">
        <f t="array" ref="Z66">INDEX('Primary - GRADING'!$A$1:$CP997,MATCH($A66,'Primary - GRADING'!$CP:$CP,0),23)</f>
        <v>#N/A</v>
      </c>
      <c r="AA66" s="153" t="str">
        <f t="array" ref="AA66">INDEX('Primary - GRADING'!$A$1:$CP997,MATCH($A66,'Primary - GRADING'!$CP:$CP,0),24)</f>
        <v>#N/A</v>
      </c>
      <c r="AB66" s="153" t="str">
        <f t="array" ref="AB66">INDEX('Primary - GRADING'!$A$1:$CP997,MATCH($A66,'Primary - GRADING'!$CP:$CP,0),25)</f>
        <v>#N/A</v>
      </c>
      <c r="AC66" s="153" t="str">
        <f t="array" ref="AC66">INDEX('Primary - GRADING'!$A$1:$CP997,MATCH($A66,'Primary - GRADING'!$CP:$CP,0),46)</f>
        <v>#N/A</v>
      </c>
      <c r="AG66" s="153" t="str">
        <f t="shared" si="7"/>
        <v>#N/A</v>
      </c>
      <c r="AI66" s="153" t="str">
        <f>VLOOKUP(AH66,'Primary - GRADING'!$A$4:$C997,2,)</f>
        <v>#N/A</v>
      </c>
      <c r="AJ66" s="153" t="str">
        <f>VLOOKUP(AH66,'Primary - GRADING'!$A$4:$C997,3,)</f>
        <v>#N/A</v>
      </c>
      <c r="AK66" s="153" t="str">
        <f>VLOOKUP(AH66,'Primary - GRADING'!$A$4:$BG997,59,)</f>
        <v>#N/A</v>
      </c>
      <c r="AL66" s="153" t="str">
        <f>IFS(AK66="NMA",VLOOKUP(AH66,'Primary - GRADING'!$A$4:$BG997,51,),AK66="DIRECT",VLOOKUP(AH66,'Primary - GRADING'!$A$4:$BG997,8,),AK66="INDIRECT",VLOOKUP(AH66,'Primary - GRADING'!$A$4:$BG997,23,))</f>
        <v>#N/A</v>
      </c>
      <c r="AM66" s="153" t="str">
        <f>IFS(AK66="NMA",VLOOKUP(AH66,'Primary - GRADING'!$A$4:$BG997,52,),AK66="DIRECT",VLOOKUP(AH66,'Primary - GRADING'!$A$4:$BG997,9,),AK66="INDIRECT",VLOOKUP(AH66,'Primary - GRADING'!$A$4:$BG997,24,))</f>
        <v>#N/A</v>
      </c>
      <c r="AN66" s="153" t="str">
        <f>IFS(AK66="NMA",VLOOKUP(AH66,'Primary - GRADING'!$A$4:$BG997,53,),AK66="DIRECT",VLOOKUP(AH66,'Primary - GRADING'!$A$4:$BG997,10,),AK66="INDIRECT",VLOOKUP(AH66,'Primary - GRADING'!$A$4:$BG997,25,))</f>
        <v>#N/A</v>
      </c>
      <c r="AO66" s="153" t="str">
        <f t="shared" si="8"/>
        <v>#N/A</v>
      </c>
      <c r="AT66" s="153" t="str">
        <f t="shared" si="9"/>
        <v>#N/A</v>
      </c>
      <c r="AV66" s="153" t="str">
        <f>VLOOKUP(AU66,'Primary - GRADING'!$A$4:$C997,2,)</f>
        <v>#N/A</v>
      </c>
      <c r="AW66" s="153" t="str">
        <f>VLOOKUP(AU66,'Primary - GRADING'!$A$4:$C997,3,)</f>
        <v>#N/A</v>
      </c>
      <c r="AX66" s="153" t="str">
        <f>VLOOKUP(AU66,'Primary - GRADING'!$A$4:$BG997,59,)</f>
        <v>#N/A</v>
      </c>
      <c r="AY66" s="153" t="str">
        <f>IFS(AX66="NMA",VLOOKUP(AU66,'Primary - GRADING'!$A$4:$BG997,51,),AX66="DIRECT",VLOOKUP(AU66,'Primary - GRADING'!$A$4:$BG997,8,),AX66="INDIRECT",VLOOKUP(AU66,'Primary - GRADING'!$A$4:$BG997,23,))</f>
        <v>#N/A</v>
      </c>
      <c r="AZ66" s="153" t="str">
        <f>IFS(AX66="NMA",VLOOKUP(AU66,'Primary - GRADING'!$A$4:$BG997,52,),AX66="DIRECT",VLOOKUP(AU66,'Primary - GRADING'!$A$4:$BG997,9,),AX66="INDIRECT",VLOOKUP(AU66,'Primary - GRADING'!$A$4:$BG997,24,))</f>
        <v>#N/A</v>
      </c>
      <c r="BA66" s="153" t="str">
        <f>IFS(AX66="NMA",VLOOKUP(AU66,'Primary - GRADING'!$A$4:$BG997,53,),AX66="DIRECT",VLOOKUP(AU66,'Primary - GRADING'!$A$4:$BG997,10,),AX66="INDIRECT",VLOOKUP(AU66,'Primary - GRADING'!$A$4:$BG997,25,))</f>
        <v>#N/A</v>
      </c>
      <c r="BB66" s="153" t="str">
        <f t="shared" si="10"/>
        <v>#N/A</v>
      </c>
      <c r="BE66" s="153" t="str">
        <f t="shared" si="11"/>
        <v/>
      </c>
      <c r="BG66" s="153" t="str">
        <f t="shared" si="12"/>
        <v>#N/A</v>
      </c>
      <c r="BI66" s="153" t="str">
        <f t="shared" si="13"/>
        <v>#N/A</v>
      </c>
      <c r="BK66" s="153" t="str">
        <f t="shared" si="14"/>
        <v>#N/A</v>
      </c>
      <c r="BM66" s="153" t="str">
        <f t="shared" si="15"/>
        <v>#N/A</v>
      </c>
    </row>
    <row r="67" ht="15.75" customHeight="1">
      <c r="B67" s="160" t="str">
        <f t="shared" si="1"/>
        <v>#N/A</v>
      </c>
      <c r="C67" s="160" t="str">
        <f t="shared" si="2"/>
        <v>#N/A</v>
      </c>
      <c r="D67" s="160" t="str">
        <f t="shared" si="3"/>
        <v>#N/A</v>
      </c>
      <c r="E67" s="161" t="str">
        <f t="shared" si="4"/>
        <v>#N/A</v>
      </c>
      <c r="F67" s="153" t="str">
        <f t="shared" si="17"/>
        <v>#N/A</v>
      </c>
      <c r="G67" s="153" t="str">
        <f t="shared" si="6"/>
        <v>#N/A</v>
      </c>
      <c r="H67" s="156" t="str">
        <f t="array" ref="H67">INDEX('Primary - GRADING'!$A$1:$BG997,MATCH($A67,'Primary - GRADING'!$B:$B,0),59)</f>
        <v>#N/A</v>
      </c>
      <c r="I67" s="153" t="str">
        <f t="array" ref="I67">INDEX('Primary - GRADING'!$A$1:$CP997,MATCH($A67,'Primary - GRADING'!$CP:$CP,0),48)</f>
        <v>#N/A</v>
      </c>
      <c r="J67" s="153" t="str">
        <f t="array" ref="J67">INDEX('Primary - GRADING'!$A$1:$CP997,MATCH($A67,'Primary - GRADING'!$CP:$CP,0),49)</f>
        <v>#N/A</v>
      </c>
      <c r="K67" s="153" t="str">
        <f t="array" ref="K67">INDEX('Primary - GRADING'!$A$1:$CP997,MATCH($A67,'Primary - GRADING'!$CP:$CP,0),50)</f>
        <v>#N/A</v>
      </c>
      <c r="L67" s="153" t="str">
        <f t="array" ref="L67">INDEX('Primary - GRADING'!$A$1:$CP997,MATCH($A67,'Primary - GRADING'!$CP:$CP,0),51)</f>
        <v>#N/A</v>
      </c>
      <c r="M67" s="153" t="str">
        <f t="array" ref="M67">INDEX('Primary - GRADING'!$A$1:$CP997,MATCH($A67,'Primary - GRADING'!$CP:$CP,0),52)</f>
        <v>#N/A</v>
      </c>
      <c r="N67" s="153" t="str">
        <f t="array" ref="N67">INDEX('Primary - GRADING'!$A$1:$CP997,MATCH($A67,'Primary - GRADING'!$CP:$CP,0),53)</f>
        <v>#N/A</v>
      </c>
      <c r="O67" s="153" t="str">
        <f t="array" ref="O67">INDEX('Primary - GRADING'!$A$1:$CP997,MATCH($A67,'Primary - GRADING'!$CP:$CP,0),58)</f>
        <v>#N/A</v>
      </c>
      <c r="P67" s="153" t="str">
        <f t="array" ref="P67">INDEX('Primary - GRADING'!$A$1:$CP997,MATCH($A67,'Primary - GRADING'!$CP:$CP,0),5)</f>
        <v>#N/A</v>
      </c>
      <c r="Q67" s="153" t="str">
        <f t="array" ref="Q67">INDEX('Primary - GRADING'!$A$1:$CP997,MATCH($A67,'Primary - GRADING'!$CP:$CP,0),6)</f>
        <v>#N/A</v>
      </c>
      <c r="R67" s="153" t="str">
        <f t="array" ref="R67">INDEX('Primary - GRADING'!$A$1:$CP997,MATCH($A67,'Primary - GRADING'!$CP:$CP,0),7)</f>
        <v>#N/A</v>
      </c>
      <c r="S67" s="153" t="str">
        <f t="array" ref="S67">INDEX('Primary - GRADING'!$A$1:$CP997,MATCH($A67,'Primary - GRADING'!$CP:$CP,0),8)</f>
        <v>#N/A</v>
      </c>
      <c r="T67" s="153" t="str">
        <f t="array" ref="T67">INDEX('Primary - GRADING'!$A$1:$CP997,MATCH($A67,'Primary - GRADING'!$CP:$CP,0),9)</f>
        <v>#N/A</v>
      </c>
      <c r="U67" s="153" t="str">
        <f t="array" ref="U67">INDEX('Primary - GRADING'!$A$1:$CP997,MATCH($A67,'Primary - GRADING'!$CP:$CP,0),10)</f>
        <v>#N/A</v>
      </c>
      <c r="V67" s="153" t="str">
        <f t="array" ref="V67">INDEX('Primary - GRADING'!$A$1:$CP997,MATCH($A67,'Primary - GRADING'!$CP:$CP,0),18)</f>
        <v>#N/A</v>
      </c>
      <c r="W67" s="153" t="str">
        <f t="array" ref="W67">INDEX('Primary - GRADING'!$A$1:$CP997,MATCH($A67,'Primary - GRADING'!$CP:$CP,0),20)</f>
        <v>#N/A</v>
      </c>
      <c r="X67" s="153" t="str">
        <f t="array" ref="X67">INDEX('Primary - GRADING'!$A$1:$CP997,MATCH($A67,'Primary - GRADING'!$CP:$CP,0),21)</f>
        <v>#N/A</v>
      </c>
      <c r="Y67" s="153" t="str">
        <f t="array" ref="Y67">INDEX('Primary - GRADING'!$A$1:$CP997,MATCH($A67,'Primary - GRADING'!$CP:$CP,0),22)</f>
        <v>#N/A</v>
      </c>
      <c r="Z67" s="165" t="str">
        <f t="array" ref="Z67">INDEX('Primary - GRADING'!$A$1:$CP997,MATCH($A67,'Primary - GRADING'!$CP:$CP,0),23)</f>
        <v>#N/A</v>
      </c>
      <c r="AA67" s="153" t="str">
        <f t="array" ref="AA67">INDEX('Primary - GRADING'!$A$1:$CP997,MATCH($A67,'Primary - GRADING'!$CP:$CP,0),24)</f>
        <v>#N/A</v>
      </c>
      <c r="AB67" s="153" t="str">
        <f t="array" ref="AB67">INDEX('Primary - GRADING'!$A$1:$CP997,MATCH($A67,'Primary - GRADING'!$CP:$CP,0),25)</f>
        <v>#N/A</v>
      </c>
      <c r="AC67" s="153" t="str">
        <f t="array" ref="AC67">INDEX('Primary - GRADING'!$A$1:$CP997,MATCH($A67,'Primary - GRADING'!$CP:$CP,0),46)</f>
        <v>#N/A</v>
      </c>
      <c r="AG67" s="153" t="str">
        <f t="shared" si="7"/>
        <v>#N/A</v>
      </c>
      <c r="AI67" s="153" t="str">
        <f>VLOOKUP(AH67,'Primary - GRADING'!$A$4:$C997,2,)</f>
        <v>#N/A</v>
      </c>
      <c r="AJ67" s="153" t="str">
        <f>VLOOKUP(AH67,'Primary - GRADING'!$A$4:$C997,3,)</f>
        <v>#N/A</v>
      </c>
      <c r="AK67" s="153" t="str">
        <f>VLOOKUP(AH67,'Primary - GRADING'!$A$4:$BG997,59,)</f>
        <v>#N/A</v>
      </c>
      <c r="AL67" s="153" t="str">
        <f>IFS(AK67="NMA",VLOOKUP(AH67,'Primary - GRADING'!$A$4:$BG997,51,),AK67="DIRECT",VLOOKUP(AH67,'Primary - GRADING'!$A$4:$BG997,8,),AK67="INDIRECT",VLOOKUP(AH67,'Primary - GRADING'!$A$4:$BG997,23,))</f>
        <v>#N/A</v>
      </c>
      <c r="AM67" s="153" t="str">
        <f>IFS(AK67="NMA",VLOOKUP(AH67,'Primary - GRADING'!$A$4:$BG997,52,),AK67="DIRECT",VLOOKUP(AH67,'Primary - GRADING'!$A$4:$BG997,9,),AK67="INDIRECT",VLOOKUP(AH67,'Primary - GRADING'!$A$4:$BG997,24,))</f>
        <v>#N/A</v>
      </c>
      <c r="AN67" s="153" t="str">
        <f>IFS(AK67="NMA",VLOOKUP(AH67,'Primary - GRADING'!$A$4:$BG997,53,),AK67="DIRECT",VLOOKUP(AH67,'Primary - GRADING'!$A$4:$BG997,10,),AK67="INDIRECT",VLOOKUP(AH67,'Primary - GRADING'!$A$4:$BG997,25,))</f>
        <v>#N/A</v>
      </c>
      <c r="AO67" s="153" t="str">
        <f t="shared" si="8"/>
        <v>#N/A</v>
      </c>
      <c r="AT67" s="153" t="str">
        <f t="shared" si="9"/>
        <v>#N/A</v>
      </c>
      <c r="AV67" s="153" t="str">
        <f>VLOOKUP(AU67,'Primary - GRADING'!$A$4:$C997,2,)</f>
        <v>#N/A</v>
      </c>
      <c r="AW67" s="153" t="str">
        <f>VLOOKUP(AU67,'Primary - GRADING'!$A$4:$C997,3,)</f>
        <v>#N/A</v>
      </c>
      <c r="AX67" s="153" t="str">
        <f>VLOOKUP(AU67,'Primary - GRADING'!$A$4:$BG997,59,)</f>
        <v>#N/A</v>
      </c>
      <c r="AY67" s="153" t="str">
        <f>IFS(AX67="NMA",VLOOKUP(AU67,'Primary - GRADING'!$A$4:$BG997,51,),AX67="DIRECT",VLOOKUP(AU67,'Primary - GRADING'!$A$4:$BG997,8,),AX67="INDIRECT",VLOOKUP(AU67,'Primary - GRADING'!$A$4:$BG997,23,))</f>
        <v>#N/A</v>
      </c>
      <c r="AZ67" s="153" t="str">
        <f>IFS(AX67="NMA",VLOOKUP(AU67,'Primary - GRADING'!$A$4:$BG997,52,),AX67="DIRECT",VLOOKUP(AU67,'Primary - GRADING'!$A$4:$BG997,9,),AX67="INDIRECT",VLOOKUP(AU67,'Primary - GRADING'!$A$4:$BG997,24,))</f>
        <v>#N/A</v>
      </c>
      <c r="BA67" s="153" t="str">
        <f>IFS(AX67="NMA",VLOOKUP(AU67,'Primary - GRADING'!$A$4:$BG997,53,),AX67="DIRECT",VLOOKUP(AU67,'Primary - GRADING'!$A$4:$BG997,10,),AX67="INDIRECT",VLOOKUP(AU67,'Primary - GRADING'!$A$4:$BG997,25,))</f>
        <v>#N/A</v>
      </c>
      <c r="BB67" s="153" t="str">
        <f t="shared" si="10"/>
        <v>#N/A</v>
      </c>
      <c r="BE67" s="153" t="str">
        <f t="shared" si="11"/>
        <v/>
      </c>
      <c r="BG67" s="153" t="str">
        <f t="shared" si="12"/>
        <v>#N/A</v>
      </c>
      <c r="BI67" s="153" t="str">
        <f t="shared" si="13"/>
        <v>#N/A</v>
      </c>
      <c r="BK67" s="153" t="str">
        <f t="shared" si="14"/>
        <v>#N/A</v>
      </c>
      <c r="BM67" s="153" t="str">
        <f t="shared" si="15"/>
        <v>#N/A</v>
      </c>
    </row>
    <row r="68" ht="15.75" customHeight="1">
      <c r="B68" s="160" t="str">
        <f t="shared" si="1"/>
        <v>#N/A</v>
      </c>
      <c r="C68" s="160" t="str">
        <f t="shared" si="2"/>
        <v>#N/A</v>
      </c>
      <c r="D68" s="160" t="str">
        <f t="shared" si="3"/>
        <v>#N/A</v>
      </c>
      <c r="E68" s="161" t="str">
        <f t="shared" si="4"/>
        <v>#N/A</v>
      </c>
      <c r="F68" s="153" t="str">
        <f t="shared" si="17"/>
        <v>#N/A</v>
      </c>
      <c r="G68" s="153" t="str">
        <f t="shared" si="6"/>
        <v>#N/A</v>
      </c>
      <c r="H68" s="156" t="str">
        <f t="array" ref="H68">INDEX('Primary - GRADING'!$A$1:$BG997,MATCH($A68,'Primary - GRADING'!$B:$B,0),59)</f>
        <v>#N/A</v>
      </c>
      <c r="I68" s="153" t="str">
        <f t="array" ref="I68">INDEX('Primary - GRADING'!$A$1:$CP997,MATCH($A68,'Primary - GRADING'!$CP:$CP,0),48)</f>
        <v>#N/A</v>
      </c>
      <c r="J68" s="153" t="str">
        <f t="array" ref="J68">INDEX('Primary - GRADING'!$A$1:$CP997,MATCH($A68,'Primary - GRADING'!$CP:$CP,0),49)</f>
        <v>#N/A</v>
      </c>
      <c r="K68" s="153" t="str">
        <f t="array" ref="K68">INDEX('Primary - GRADING'!$A$1:$CP997,MATCH($A68,'Primary - GRADING'!$CP:$CP,0),50)</f>
        <v>#N/A</v>
      </c>
      <c r="L68" s="153" t="str">
        <f t="array" ref="L68">INDEX('Primary - GRADING'!$A$1:$CP997,MATCH($A68,'Primary - GRADING'!$CP:$CP,0),51)</f>
        <v>#N/A</v>
      </c>
      <c r="M68" s="153" t="str">
        <f t="array" ref="M68">INDEX('Primary - GRADING'!$A$1:$CP997,MATCH($A68,'Primary - GRADING'!$CP:$CP,0),52)</f>
        <v>#N/A</v>
      </c>
      <c r="N68" s="153" t="str">
        <f t="array" ref="N68">INDEX('Primary - GRADING'!$A$1:$CP997,MATCH($A68,'Primary - GRADING'!$CP:$CP,0),53)</f>
        <v>#N/A</v>
      </c>
      <c r="O68" s="153" t="str">
        <f t="array" ref="O68">INDEX('Primary - GRADING'!$A$1:$CP997,MATCH($A68,'Primary - GRADING'!$CP:$CP,0),58)</f>
        <v>#N/A</v>
      </c>
      <c r="P68" s="153" t="str">
        <f t="array" ref="P68">INDEX('Primary - GRADING'!$A$1:$CP997,MATCH($A68,'Primary - GRADING'!$CP:$CP,0),5)</f>
        <v>#N/A</v>
      </c>
      <c r="Q68" s="153" t="str">
        <f t="array" ref="Q68">INDEX('Primary - GRADING'!$A$1:$CP997,MATCH($A68,'Primary - GRADING'!$CP:$CP,0),6)</f>
        <v>#N/A</v>
      </c>
      <c r="R68" s="153" t="str">
        <f t="array" ref="R68">INDEX('Primary - GRADING'!$A$1:$CP997,MATCH($A68,'Primary - GRADING'!$CP:$CP,0),7)</f>
        <v>#N/A</v>
      </c>
      <c r="S68" s="153" t="str">
        <f t="array" ref="S68">INDEX('Primary - GRADING'!$A$1:$CP997,MATCH($A68,'Primary - GRADING'!$CP:$CP,0),8)</f>
        <v>#N/A</v>
      </c>
      <c r="T68" s="153" t="str">
        <f t="array" ref="T68">INDEX('Primary - GRADING'!$A$1:$CP997,MATCH($A68,'Primary - GRADING'!$CP:$CP,0),9)</f>
        <v>#N/A</v>
      </c>
      <c r="U68" s="153" t="str">
        <f t="array" ref="U68">INDEX('Primary - GRADING'!$A$1:$CP997,MATCH($A68,'Primary - GRADING'!$CP:$CP,0),10)</f>
        <v>#N/A</v>
      </c>
      <c r="V68" s="153" t="str">
        <f t="array" ref="V68">INDEX('Primary - GRADING'!$A$1:$CP997,MATCH($A68,'Primary - GRADING'!$CP:$CP,0),18)</f>
        <v>#N/A</v>
      </c>
      <c r="W68" s="153" t="str">
        <f t="array" ref="W68">INDEX('Primary - GRADING'!$A$1:$CP997,MATCH($A68,'Primary - GRADING'!$CP:$CP,0),20)</f>
        <v>#N/A</v>
      </c>
      <c r="X68" s="153" t="str">
        <f t="array" ref="X68">INDEX('Primary - GRADING'!$A$1:$CP997,MATCH($A68,'Primary - GRADING'!$CP:$CP,0),21)</f>
        <v>#N/A</v>
      </c>
      <c r="Y68" s="153" t="str">
        <f t="array" ref="Y68">INDEX('Primary - GRADING'!$A$1:$CP997,MATCH($A68,'Primary - GRADING'!$CP:$CP,0),22)</f>
        <v>#N/A</v>
      </c>
      <c r="Z68" s="165" t="str">
        <f t="array" ref="Z68">INDEX('Primary - GRADING'!$A$1:$CP997,MATCH($A68,'Primary - GRADING'!$CP:$CP,0),23)</f>
        <v>#N/A</v>
      </c>
      <c r="AA68" s="153" t="str">
        <f t="array" ref="AA68">INDEX('Primary - GRADING'!$A$1:$CP997,MATCH($A68,'Primary - GRADING'!$CP:$CP,0),24)</f>
        <v>#N/A</v>
      </c>
      <c r="AB68" s="153" t="str">
        <f t="array" ref="AB68">INDEX('Primary - GRADING'!$A$1:$CP997,MATCH($A68,'Primary - GRADING'!$CP:$CP,0),25)</f>
        <v>#N/A</v>
      </c>
      <c r="AC68" s="153" t="str">
        <f t="array" ref="AC68">INDEX('Primary - GRADING'!$A$1:$CP997,MATCH($A68,'Primary - GRADING'!$CP:$CP,0),46)</f>
        <v>#N/A</v>
      </c>
      <c r="AG68" s="153" t="str">
        <f t="shared" si="7"/>
        <v>#N/A</v>
      </c>
      <c r="AI68" s="153" t="str">
        <f>VLOOKUP(AH68,'Primary - GRADING'!$A$4:$C997,2,)</f>
        <v>#N/A</v>
      </c>
      <c r="AJ68" s="153" t="str">
        <f>VLOOKUP(AH68,'Primary - GRADING'!$A$4:$C997,3,)</f>
        <v>#N/A</v>
      </c>
      <c r="AK68" s="153" t="str">
        <f>VLOOKUP(AH68,'Primary - GRADING'!$A$4:$BG997,59,)</f>
        <v>#N/A</v>
      </c>
      <c r="AL68" s="153" t="str">
        <f>IFS(AK68="NMA",VLOOKUP(AH68,'Primary - GRADING'!$A$4:$BG997,51,),AK68="DIRECT",VLOOKUP(AH68,'Primary - GRADING'!$A$4:$BG997,8,),AK68="INDIRECT",VLOOKUP(AH68,'Primary - GRADING'!$A$4:$BG997,23,))</f>
        <v>#N/A</v>
      </c>
      <c r="AM68" s="153" t="str">
        <f>IFS(AK68="NMA",VLOOKUP(AH68,'Primary - GRADING'!$A$4:$BG997,52,),AK68="DIRECT",VLOOKUP(AH68,'Primary - GRADING'!$A$4:$BG997,9,),AK68="INDIRECT",VLOOKUP(AH68,'Primary - GRADING'!$A$4:$BG997,24,))</f>
        <v>#N/A</v>
      </c>
      <c r="AN68" s="153" t="str">
        <f>IFS(AK68="NMA",VLOOKUP(AH68,'Primary - GRADING'!$A$4:$BG997,53,),AK68="DIRECT",VLOOKUP(AH68,'Primary - GRADING'!$A$4:$BG997,10,),AK68="INDIRECT",VLOOKUP(AH68,'Primary - GRADING'!$A$4:$BG997,25,))</f>
        <v>#N/A</v>
      </c>
      <c r="AO68" s="153" t="str">
        <f t="shared" si="8"/>
        <v>#N/A</v>
      </c>
      <c r="AT68" s="153" t="str">
        <f t="shared" si="9"/>
        <v>#N/A</v>
      </c>
      <c r="AV68" s="153" t="str">
        <f>VLOOKUP(AU68,'Primary - GRADING'!$A$4:$C997,2,)</f>
        <v>#N/A</v>
      </c>
      <c r="AW68" s="153" t="str">
        <f>VLOOKUP(AU68,'Primary - GRADING'!$A$4:$C997,3,)</f>
        <v>#N/A</v>
      </c>
      <c r="AX68" s="153" t="str">
        <f>VLOOKUP(AU68,'Primary - GRADING'!$A$4:$BG997,59,)</f>
        <v>#N/A</v>
      </c>
      <c r="AY68" s="153" t="str">
        <f>IFS(AX68="NMA",VLOOKUP(AU68,'Primary - GRADING'!$A$4:$BG997,51,),AX68="DIRECT",VLOOKUP(AU68,'Primary - GRADING'!$A$4:$BG997,8,),AX68="INDIRECT",VLOOKUP(AU68,'Primary - GRADING'!$A$4:$BG997,23,))</f>
        <v>#N/A</v>
      </c>
      <c r="AZ68" s="153" t="str">
        <f>IFS(AX68="NMA",VLOOKUP(AU68,'Primary - GRADING'!$A$4:$BG997,52,),AX68="DIRECT",VLOOKUP(AU68,'Primary - GRADING'!$A$4:$BG997,9,),AX68="INDIRECT",VLOOKUP(AU68,'Primary - GRADING'!$A$4:$BG997,24,))</f>
        <v>#N/A</v>
      </c>
      <c r="BA68" s="153" t="str">
        <f>IFS(AX68="NMA",VLOOKUP(AU68,'Primary - GRADING'!$A$4:$BG997,53,),AX68="DIRECT",VLOOKUP(AU68,'Primary - GRADING'!$A$4:$BG997,10,),AX68="INDIRECT",VLOOKUP(AU68,'Primary - GRADING'!$A$4:$BG997,25,))</f>
        <v>#N/A</v>
      </c>
      <c r="BB68" s="153" t="str">
        <f t="shared" si="10"/>
        <v>#N/A</v>
      </c>
      <c r="BE68" s="153" t="str">
        <f t="shared" si="11"/>
        <v/>
      </c>
      <c r="BG68" s="153" t="str">
        <f t="shared" si="12"/>
        <v>#N/A</v>
      </c>
      <c r="BI68" s="153" t="str">
        <f t="shared" si="13"/>
        <v>#N/A</v>
      </c>
      <c r="BK68" s="153" t="str">
        <f t="shared" si="14"/>
        <v>#N/A</v>
      </c>
      <c r="BM68" s="153" t="str">
        <f t="shared" si="15"/>
        <v>#N/A</v>
      </c>
    </row>
    <row r="69" ht="15.75" customHeight="1">
      <c r="B69" s="160" t="str">
        <f t="shared" si="1"/>
        <v>#N/A</v>
      </c>
      <c r="C69" s="160" t="str">
        <f t="shared" si="2"/>
        <v>#N/A</v>
      </c>
      <c r="D69" s="160" t="str">
        <f t="shared" si="3"/>
        <v>#N/A</v>
      </c>
      <c r="E69" s="161" t="str">
        <f t="shared" si="4"/>
        <v>#N/A</v>
      </c>
      <c r="F69" s="153" t="str">
        <f t="shared" si="17"/>
        <v>#N/A</v>
      </c>
      <c r="G69" s="153" t="str">
        <f t="shared" si="6"/>
        <v>#N/A</v>
      </c>
      <c r="H69" s="156" t="str">
        <f t="array" ref="H69">INDEX('Primary - GRADING'!$A$1:$BG997,MATCH($A69,'Primary - GRADING'!$B:$B,0),59)</f>
        <v>#N/A</v>
      </c>
      <c r="I69" s="153" t="str">
        <f t="array" ref="I69">INDEX('Primary - GRADING'!$A$1:$CP997,MATCH($A69,'Primary - GRADING'!$CP:$CP,0),48)</f>
        <v>#N/A</v>
      </c>
      <c r="J69" s="153" t="str">
        <f t="array" ref="J69">INDEX('Primary - GRADING'!$A$1:$CP997,MATCH($A69,'Primary - GRADING'!$CP:$CP,0),49)</f>
        <v>#N/A</v>
      </c>
      <c r="K69" s="153" t="str">
        <f t="array" ref="K69">INDEX('Primary - GRADING'!$A$1:$CP997,MATCH($A69,'Primary - GRADING'!$CP:$CP,0),50)</f>
        <v>#N/A</v>
      </c>
      <c r="L69" s="153" t="str">
        <f t="array" ref="L69">INDEX('Primary - GRADING'!$A$1:$CP997,MATCH($A69,'Primary - GRADING'!$CP:$CP,0),51)</f>
        <v>#N/A</v>
      </c>
      <c r="M69" s="153" t="str">
        <f t="array" ref="M69">INDEX('Primary - GRADING'!$A$1:$CP997,MATCH($A69,'Primary - GRADING'!$CP:$CP,0),52)</f>
        <v>#N/A</v>
      </c>
      <c r="N69" s="153" t="str">
        <f t="array" ref="N69">INDEX('Primary - GRADING'!$A$1:$CP997,MATCH($A69,'Primary - GRADING'!$CP:$CP,0),53)</f>
        <v>#N/A</v>
      </c>
      <c r="O69" s="153" t="str">
        <f t="array" ref="O69">INDEX('Primary - GRADING'!$A$1:$CP997,MATCH($A69,'Primary - GRADING'!$CP:$CP,0),58)</f>
        <v>#N/A</v>
      </c>
      <c r="P69" s="153" t="str">
        <f t="array" ref="P69">INDEX('Primary - GRADING'!$A$1:$CP997,MATCH($A69,'Primary - GRADING'!$CP:$CP,0),5)</f>
        <v>#N/A</v>
      </c>
      <c r="Q69" s="153" t="str">
        <f t="array" ref="Q69">INDEX('Primary - GRADING'!$A$1:$CP997,MATCH($A69,'Primary - GRADING'!$CP:$CP,0),6)</f>
        <v>#N/A</v>
      </c>
      <c r="R69" s="153" t="str">
        <f t="array" ref="R69">INDEX('Primary - GRADING'!$A$1:$CP997,MATCH($A69,'Primary - GRADING'!$CP:$CP,0),7)</f>
        <v>#N/A</v>
      </c>
      <c r="S69" s="153" t="str">
        <f t="array" ref="S69">INDEX('Primary - GRADING'!$A$1:$CP997,MATCH($A69,'Primary - GRADING'!$CP:$CP,0),8)</f>
        <v>#N/A</v>
      </c>
      <c r="T69" s="153" t="str">
        <f t="array" ref="T69">INDEX('Primary - GRADING'!$A$1:$CP997,MATCH($A69,'Primary - GRADING'!$CP:$CP,0),9)</f>
        <v>#N/A</v>
      </c>
      <c r="U69" s="153" t="str">
        <f t="array" ref="U69">INDEX('Primary - GRADING'!$A$1:$CP997,MATCH($A69,'Primary - GRADING'!$CP:$CP,0),10)</f>
        <v>#N/A</v>
      </c>
      <c r="V69" s="153" t="str">
        <f t="array" ref="V69">INDEX('Primary - GRADING'!$A$1:$CP997,MATCH($A69,'Primary - GRADING'!$CP:$CP,0),18)</f>
        <v>#N/A</v>
      </c>
      <c r="W69" s="153" t="str">
        <f t="array" ref="W69">INDEX('Primary - GRADING'!$A$1:$CP997,MATCH($A69,'Primary - GRADING'!$CP:$CP,0),20)</f>
        <v>#N/A</v>
      </c>
      <c r="X69" s="153" t="str">
        <f t="array" ref="X69">INDEX('Primary - GRADING'!$A$1:$CP997,MATCH($A69,'Primary - GRADING'!$CP:$CP,0),21)</f>
        <v>#N/A</v>
      </c>
      <c r="Y69" s="153" t="str">
        <f t="array" ref="Y69">INDEX('Primary - GRADING'!$A$1:$CP997,MATCH($A69,'Primary - GRADING'!$CP:$CP,0),22)</f>
        <v>#N/A</v>
      </c>
      <c r="Z69" s="165" t="str">
        <f t="array" ref="Z69">INDEX('Primary - GRADING'!$A$1:$CP997,MATCH($A69,'Primary - GRADING'!$CP:$CP,0),23)</f>
        <v>#N/A</v>
      </c>
      <c r="AA69" s="153" t="str">
        <f t="array" ref="AA69">INDEX('Primary - GRADING'!$A$1:$CP997,MATCH($A69,'Primary - GRADING'!$CP:$CP,0),24)</f>
        <v>#N/A</v>
      </c>
      <c r="AB69" s="153" t="str">
        <f t="array" ref="AB69">INDEX('Primary - GRADING'!$A$1:$CP997,MATCH($A69,'Primary - GRADING'!$CP:$CP,0),25)</f>
        <v>#N/A</v>
      </c>
      <c r="AC69" s="153" t="str">
        <f t="array" ref="AC69">INDEX('Primary - GRADING'!$A$1:$CP997,MATCH($A69,'Primary - GRADING'!$CP:$CP,0),46)</f>
        <v>#N/A</v>
      </c>
      <c r="AG69" s="153" t="str">
        <f t="shared" si="7"/>
        <v>#N/A</v>
      </c>
      <c r="AI69" s="153" t="str">
        <f>VLOOKUP(AH69,'Primary - GRADING'!$A$4:$C997,2,)</f>
        <v>#N/A</v>
      </c>
      <c r="AJ69" s="153" t="str">
        <f>VLOOKUP(AH69,'Primary - GRADING'!$A$4:$C997,3,)</f>
        <v>#N/A</v>
      </c>
      <c r="AK69" s="153" t="str">
        <f>VLOOKUP(AH69,'Primary - GRADING'!$A$4:$BG997,59,)</f>
        <v>#N/A</v>
      </c>
      <c r="AL69" s="153" t="str">
        <f>IFS(AK69="NMA",VLOOKUP(AH69,'Primary - GRADING'!$A$4:$BG997,51,),AK69="DIRECT",VLOOKUP(AH69,'Primary - GRADING'!$A$4:$BG997,8,),AK69="INDIRECT",VLOOKUP(AH69,'Primary - GRADING'!$A$4:$BG997,23,))</f>
        <v>#N/A</v>
      </c>
      <c r="AM69" s="153" t="str">
        <f>IFS(AK69="NMA",VLOOKUP(AH69,'Primary - GRADING'!$A$4:$BG997,52,),AK69="DIRECT",VLOOKUP(AH69,'Primary - GRADING'!$A$4:$BG997,9,),AK69="INDIRECT",VLOOKUP(AH69,'Primary - GRADING'!$A$4:$BG997,24,))</f>
        <v>#N/A</v>
      </c>
      <c r="AN69" s="153" t="str">
        <f>IFS(AK69="NMA",VLOOKUP(AH69,'Primary - GRADING'!$A$4:$BG997,53,),AK69="DIRECT",VLOOKUP(AH69,'Primary - GRADING'!$A$4:$BG997,10,),AK69="INDIRECT",VLOOKUP(AH69,'Primary - GRADING'!$A$4:$BG997,25,))</f>
        <v>#N/A</v>
      </c>
      <c r="AO69" s="153" t="str">
        <f t="shared" si="8"/>
        <v>#N/A</v>
      </c>
      <c r="AT69" s="153" t="str">
        <f t="shared" si="9"/>
        <v>#N/A</v>
      </c>
      <c r="AV69" s="153" t="str">
        <f>VLOOKUP(AU69,'Primary - GRADING'!$A$4:$C997,2,)</f>
        <v>#N/A</v>
      </c>
      <c r="AW69" s="153" t="str">
        <f>VLOOKUP(AU69,'Primary - GRADING'!$A$4:$C997,3,)</f>
        <v>#N/A</v>
      </c>
      <c r="AX69" s="153" t="str">
        <f>VLOOKUP(AU69,'Primary - GRADING'!$A$4:$BG997,59,)</f>
        <v>#N/A</v>
      </c>
      <c r="AY69" s="153" t="str">
        <f>IFS(AX69="NMA",VLOOKUP(AU69,'Primary - GRADING'!$A$4:$BG997,51,),AX69="DIRECT",VLOOKUP(AU69,'Primary - GRADING'!$A$4:$BG997,8,),AX69="INDIRECT",VLOOKUP(AU69,'Primary - GRADING'!$A$4:$BG997,23,))</f>
        <v>#N/A</v>
      </c>
      <c r="AZ69" s="153" t="str">
        <f>IFS(AX69="NMA",VLOOKUP(AU69,'Primary - GRADING'!$A$4:$BG997,52,),AX69="DIRECT",VLOOKUP(AU69,'Primary - GRADING'!$A$4:$BG997,9,),AX69="INDIRECT",VLOOKUP(AU69,'Primary - GRADING'!$A$4:$BG997,24,))</f>
        <v>#N/A</v>
      </c>
      <c r="BA69" s="153" t="str">
        <f>IFS(AX69="NMA",VLOOKUP(AU69,'Primary - GRADING'!$A$4:$BG997,53,),AX69="DIRECT",VLOOKUP(AU69,'Primary - GRADING'!$A$4:$BG997,10,),AX69="INDIRECT",VLOOKUP(AU69,'Primary - GRADING'!$A$4:$BG997,25,))</f>
        <v>#N/A</v>
      </c>
      <c r="BB69" s="153" t="str">
        <f t="shared" si="10"/>
        <v>#N/A</v>
      </c>
      <c r="BE69" s="153" t="str">
        <f t="shared" si="11"/>
        <v/>
      </c>
      <c r="BG69" s="153" t="str">
        <f t="shared" si="12"/>
        <v>#N/A</v>
      </c>
      <c r="BI69" s="153" t="str">
        <f t="shared" si="13"/>
        <v>#N/A</v>
      </c>
      <c r="BK69" s="153" t="str">
        <f t="shared" si="14"/>
        <v>#N/A</v>
      </c>
      <c r="BM69" s="153" t="str">
        <f t="shared" si="15"/>
        <v>#N/A</v>
      </c>
    </row>
    <row r="70" ht="15.75" customHeight="1">
      <c r="B70" s="160" t="str">
        <f t="shared" si="1"/>
        <v>#N/A</v>
      </c>
      <c r="C70" s="160" t="str">
        <f t="shared" si="2"/>
        <v>#N/A</v>
      </c>
      <c r="D70" s="160" t="str">
        <f t="shared" si="3"/>
        <v>#N/A</v>
      </c>
      <c r="E70" s="161" t="str">
        <f t="shared" si="4"/>
        <v>#N/A</v>
      </c>
      <c r="F70" s="153" t="str">
        <f t="shared" si="17"/>
        <v>#N/A</v>
      </c>
      <c r="G70" s="153" t="str">
        <f t="shared" si="6"/>
        <v>#N/A</v>
      </c>
      <c r="H70" s="156" t="str">
        <f t="array" ref="H70">INDEX('Primary - GRADING'!$A$1:$BG997,MATCH($A70,'Primary - GRADING'!$B:$B,0),59)</f>
        <v>#N/A</v>
      </c>
      <c r="I70" s="153" t="str">
        <f t="array" ref="I70">INDEX('Primary - GRADING'!$A$1:$CP997,MATCH($A70,'Primary - GRADING'!$CP:$CP,0),48)</f>
        <v>#N/A</v>
      </c>
      <c r="J70" s="153" t="str">
        <f t="array" ref="J70">INDEX('Primary - GRADING'!$A$1:$CP997,MATCH($A70,'Primary - GRADING'!$CP:$CP,0),49)</f>
        <v>#N/A</v>
      </c>
      <c r="K70" s="153" t="str">
        <f t="array" ref="K70">INDEX('Primary - GRADING'!$A$1:$CP997,MATCH($A70,'Primary - GRADING'!$CP:$CP,0),50)</f>
        <v>#N/A</v>
      </c>
      <c r="L70" s="153" t="str">
        <f t="array" ref="L70">INDEX('Primary - GRADING'!$A$1:$CP997,MATCH($A70,'Primary - GRADING'!$CP:$CP,0),51)</f>
        <v>#N/A</v>
      </c>
      <c r="M70" s="153" t="str">
        <f t="array" ref="M70">INDEX('Primary - GRADING'!$A$1:$CP997,MATCH($A70,'Primary - GRADING'!$CP:$CP,0),52)</f>
        <v>#N/A</v>
      </c>
      <c r="N70" s="153" t="str">
        <f t="array" ref="N70">INDEX('Primary - GRADING'!$A$1:$CP997,MATCH($A70,'Primary - GRADING'!$CP:$CP,0),53)</f>
        <v>#N/A</v>
      </c>
      <c r="O70" s="153" t="str">
        <f t="array" ref="O70">INDEX('Primary - GRADING'!$A$1:$CP997,MATCH($A70,'Primary - GRADING'!$CP:$CP,0),58)</f>
        <v>#N/A</v>
      </c>
      <c r="P70" s="153" t="str">
        <f t="array" ref="P70">INDEX('Primary - GRADING'!$A$1:$CP997,MATCH($A70,'Primary - GRADING'!$CP:$CP,0),5)</f>
        <v>#N/A</v>
      </c>
      <c r="Q70" s="153" t="str">
        <f t="array" ref="Q70">INDEX('Primary - GRADING'!$A$1:$CP997,MATCH($A70,'Primary - GRADING'!$CP:$CP,0),6)</f>
        <v>#N/A</v>
      </c>
      <c r="R70" s="153" t="str">
        <f t="array" ref="R70">INDEX('Primary - GRADING'!$A$1:$CP997,MATCH($A70,'Primary - GRADING'!$CP:$CP,0),7)</f>
        <v>#N/A</v>
      </c>
      <c r="S70" s="153" t="str">
        <f t="array" ref="S70">INDEX('Primary - GRADING'!$A$1:$CP997,MATCH($A70,'Primary - GRADING'!$CP:$CP,0),8)</f>
        <v>#N/A</v>
      </c>
      <c r="T70" s="153" t="str">
        <f t="array" ref="T70">INDEX('Primary - GRADING'!$A$1:$CP997,MATCH($A70,'Primary - GRADING'!$CP:$CP,0),9)</f>
        <v>#N/A</v>
      </c>
      <c r="U70" s="153" t="str">
        <f t="array" ref="U70">INDEX('Primary - GRADING'!$A$1:$CP997,MATCH($A70,'Primary - GRADING'!$CP:$CP,0),10)</f>
        <v>#N/A</v>
      </c>
      <c r="V70" s="153" t="str">
        <f t="array" ref="V70">INDEX('Primary - GRADING'!$A$1:$CP997,MATCH($A70,'Primary - GRADING'!$CP:$CP,0),18)</f>
        <v>#N/A</v>
      </c>
      <c r="W70" s="153" t="str">
        <f t="array" ref="W70">INDEX('Primary - GRADING'!$A$1:$CP997,MATCH($A70,'Primary - GRADING'!$CP:$CP,0),20)</f>
        <v>#N/A</v>
      </c>
      <c r="X70" s="153" t="str">
        <f t="array" ref="X70">INDEX('Primary - GRADING'!$A$1:$CP997,MATCH($A70,'Primary - GRADING'!$CP:$CP,0),21)</f>
        <v>#N/A</v>
      </c>
      <c r="Y70" s="153" t="str">
        <f t="array" ref="Y70">INDEX('Primary - GRADING'!$A$1:$CP997,MATCH($A70,'Primary - GRADING'!$CP:$CP,0),22)</f>
        <v>#N/A</v>
      </c>
      <c r="Z70" s="165" t="str">
        <f t="array" ref="Z70">INDEX('Primary - GRADING'!$A$1:$CP997,MATCH($A70,'Primary - GRADING'!$CP:$CP,0),23)</f>
        <v>#N/A</v>
      </c>
      <c r="AA70" s="153" t="str">
        <f t="array" ref="AA70">INDEX('Primary - GRADING'!$A$1:$CP997,MATCH($A70,'Primary - GRADING'!$CP:$CP,0),24)</f>
        <v>#N/A</v>
      </c>
      <c r="AB70" s="153" t="str">
        <f t="array" ref="AB70">INDEX('Primary - GRADING'!$A$1:$CP997,MATCH($A70,'Primary - GRADING'!$CP:$CP,0),25)</f>
        <v>#N/A</v>
      </c>
      <c r="AC70" s="153" t="str">
        <f t="array" ref="AC70">INDEX('Primary - GRADING'!$A$1:$CP997,MATCH($A70,'Primary - GRADING'!$CP:$CP,0),46)</f>
        <v>#N/A</v>
      </c>
      <c r="AG70" s="153" t="str">
        <f t="shared" si="7"/>
        <v>#N/A</v>
      </c>
      <c r="AI70" s="153" t="str">
        <f>VLOOKUP(AH70,'Primary - GRADING'!$A$4:$C997,2,)</f>
        <v>#N/A</v>
      </c>
      <c r="AJ70" s="153" t="str">
        <f>VLOOKUP(AH70,'Primary - GRADING'!$A$4:$C997,3,)</f>
        <v>#N/A</v>
      </c>
      <c r="AK70" s="153" t="str">
        <f>VLOOKUP(AH70,'Primary - GRADING'!$A$4:$BG997,59,)</f>
        <v>#N/A</v>
      </c>
      <c r="AL70" s="153" t="str">
        <f>IFS(AK70="NMA",VLOOKUP(AH70,'Primary - GRADING'!$A$4:$BG997,51,),AK70="DIRECT",VLOOKUP(AH70,'Primary - GRADING'!$A$4:$BG997,8,),AK70="INDIRECT",VLOOKUP(AH70,'Primary - GRADING'!$A$4:$BG997,23,))</f>
        <v>#N/A</v>
      </c>
      <c r="AM70" s="153" t="str">
        <f>IFS(AK70="NMA",VLOOKUP(AH70,'Primary - GRADING'!$A$4:$BG997,52,),AK70="DIRECT",VLOOKUP(AH70,'Primary - GRADING'!$A$4:$BG997,9,),AK70="INDIRECT",VLOOKUP(AH70,'Primary - GRADING'!$A$4:$BG997,24,))</f>
        <v>#N/A</v>
      </c>
      <c r="AN70" s="153" t="str">
        <f>IFS(AK70="NMA",VLOOKUP(AH70,'Primary - GRADING'!$A$4:$BG997,53,),AK70="DIRECT",VLOOKUP(AH70,'Primary - GRADING'!$A$4:$BG997,10,),AK70="INDIRECT",VLOOKUP(AH70,'Primary - GRADING'!$A$4:$BG997,25,))</f>
        <v>#N/A</v>
      </c>
      <c r="AO70" s="153" t="str">
        <f t="shared" si="8"/>
        <v>#N/A</v>
      </c>
      <c r="AT70" s="153" t="str">
        <f t="shared" si="9"/>
        <v>#N/A</v>
      </c>
      <c r="AV70" s="153" t="str">
        <f>VLOOKUP(AU70,'Primary - GRADING'!$A$4:$C997,2,)</f>
        <v>#N/A</v>
      </c>
      <c r="AW70" s="153" t="str">
        <f>VLOOKUP(AU70,'Primary - GRADING'!$A$4:$C997,3,)</f>
        <v>#N/A</v>
      </c>
      <c r="AX70" s="153" t="str">
        <f>VLOOKUP(AU70,'Primary - GRADING'!$A$4:$BG997,59,)</f>
        <v>#N/A</v>
      </c>
      <c r="AY70" s="153" t="str">
        <f>IFS(AX70="NMA",VLOOKUP(AU70,'Primary - GRADING'!$A$4:$BG997,51,),AX70="DIRECT",VLOOKUP(AU70,'Primary - GRADING'!$A$4:$BG997,8,),AX70="INDIRECT",VLOOKUP(AU70,'Primary - GRADING'!$A$4:$BG997,23,))</f>
        <v>#N/A</v>
      </c>
      <c r="AZ70" s="153" t="str">
        <f>IFS(AX70="NMA",VLOOKUP(AU70,'Primary - GRADING'!$A$4:$BG997,52,),AX70="DIRECT",VLOOKUP(AU70,'Primary - GRADING'!$A$4:$BG997,9,),AX70="INDIRECT",VLOOKUP(AU70,'Primary - GRADING'!$A$4:$BG997,24,))</f>
        <v>#N/A</v>
      </c>
      <c r="BA70" s="153" t="str">
        <f>IFS(AX70="NMA",VLOOKUP(AU70,'Primary - GRADING'!$A$4:$BG997,53,),AX70="DIRECT",VLOOKUP(AU70,'Primary - GRADING'!$A$4:$BG997,10,),AX70="INDIRECT",VLOOKUP(AU70,'Primary - GRADING'!$A$4:$BG997,25,))</f>
        <v>#N/A</v>
      </c>
      <c r="BB70" s="153" t="str">
        <f t="shared" si="10"/>
        <v>#N/A</v>
      </c>
      <c r="BE70" s="153" t="str">
        <f t="shared" si="11"/>
        <v/>
      </c>
      <c r="BG70" s="153" t="str">
        <f t="shared" si="12"/>
        <v>#N/A</v>
      </c>
      <c r="BI70" s="153" t="str">
        <f t="shared" si="13"/>
        <v>#N/A</v>
      </c>
      <c r="BK70" s="153" t="str">
        <f t="shared" si="14"/>
        <v>#N/A</v>
      </c>
      <c r="BM70" s="153" t="str">
        <f t="shared" si="15"/>
        <v>#N/A</v>
      </c>
    </row>
    <row r="71" ht="15.75" customHeight="1">
      <c r="B71" s="160" t="str">
        <f t="shared" si="1"/>
        <v>#N/A</v>
      </c>
      <c r="C71" s="160" t="str">
        <f t="shared" si="2"/>
        <v>#N/A</v>
      </c>
      <c r="D71" s="160" t="str">
        <f t="shared" si="3"/>
        <v>#N/A</v>
      </c>
      <c r="E71" s="161" t="str">
        <f t="shared" si="4"/>
        <v>#N/A</v>
      </c>
      <c r="F71" s="153" t="str">
        <f t="shared" si="17"/>
        <v>#N/A</v>
      </c>
      <c r="G71" s="153" t="str">
        <f t="shared" si="6"/>
        <v>#N/A</v>
      </c>
      <c r="H71" s="156" t="str">
        <f t="array" ref="H71">INDEX('Primary - GRADING'!$A$1:$BG997,MATCH($A71,'Primary - GRADING'!$B:$B,0),59)</f>
        <v>#N/A</v>
      </c>
      <c r="I71" s="153" t="str">
        <f t="array" ref="I71">INDEX('Primary - GRADING'!$A$1:$CP997,MATCH($A71,'Primary - GRADING'!$CP:$CP,0),48)</f>
        <v>#N/A</v>
      </c>
      <c r="J71" s="153" t="str">
        <f t="array" ref="J71">INDEX('Primary - GRADING'!$A$1:$CP997,MATCH($A71,'Primary - GRADING'!$CP:$CP,0),49)</f>
        <v>#N/A</v>
      </c>
      <c r="K71" s="153" t="str">
        <f t="array" ref="K71">INDEX('Primary - GRADING'!$A$1:$CP997,MATCH($A71,'Primary - GRADING'!$CP:$CP,0),50)</f>
        <v>#N/A</v>
      </c>
      <c r="L71" s="153" t="str">
        <f t="array" ref="L71">INDEX('Primary - GRADING'!$A$1:$CP997,MATCH($A71,'Primary - GRADING'!$CP:$CP,0),51)</f>
        <v>#N/A</v>
      </c>
      <c r="M71" s="153" t="str">
        <f t="array" ref="M71">INDEX('Primary - GRADING'!$A$1:$CP997,MATCH($A71,'Primary - GRADING'!$CP:$CP,0),52)</f>
        <v>#N/A</v>
      </c>
      <c r="N71" s="153" t="str">
        <f t="array" ref="N71">INDEX('Primary - GRADING'!$A$1:$CP997,MATCH($A71,'Primary - GRADING'!$CP:$CP,0),53)</f>
        <v>#N/A</v>
      </c>
      <c r="O71" s="153" t="str">
        <f t="array" ref="O71">INDEX('Primary - GRADING'!$A$1:$CP997,MATCH($A71,'Primary - GRADING'!$CP:$CP,0),58)</f>
        <v>#N/A</v>
      </c>
      <c r="P71" s="153" t="str">
        <f t="array" ref="P71">INDEX('Primary - GRADING'!$A$1:$CP997,MATCH($A71,'Primary - GRADING'!$CP:$CP,0),5)</f>
        <v>#N/A</v>
      </c>
      <c r="Q71" s="153" t="str">
        <f t="array" ref="Q71">INDEX('Primary - GRADING'!$A$1:$CP997,MATCH($A71,'Primary - GRADING'!$CP:$CP,0),6)</f>
        <v>#N/A</v>
      </c>
      <c r="R71" s="153" t="str">
        <f t="array" ref="R71">INDEX('Primary - GRADING'!$A$1:$CP997,MATCH($A71,'Primary - GRADING'!$CP:$CP,0),7)</f>
        <v>#N/A</v>
      </c>
      <c r="S71" s="153" t="str">
        <f t="array" ref="S71">INDEX('Primary - GRADING'!$A$1:$CP997,MATCH($A71,'Primary - GRADING'!$CP:$CP,0),8)</f>
        <v>#N/A</v>
      </c>
      <c r="T71" s="153" t="str">
        <f t="array" ref="T71">INDEX('Primary - GRADING'!$A$1:$CP997,MATCH($A71,'Primary - GRADING'!$CP:$CP,0),9)</f>
        <v>#N/A</v>
      </c>
      <c r="U71" s="153" t="str">
        <f t="array" ref="U71">INDEX('Primary - GRADING'!$A$1:$CP997,MATCH($A71,'Primary - GRADING'!$CP:$CP,0),10)</f>
        <v>#N/A</v>
      </c>
      <c r="V71" s="153" t="str">
        <f t="array" ref="V71">INDEX('Primary - GRADING'!$A$1:$CP997,MATCH($A71,'Primary - GRADING'!$CP:$CP,0),18)</f>
        <v>#N/A</v>
      </c>
      <c r="W71" s="153" t="str">
        <f t="array" ref="W71">INDEX('Primary - GRADING'!$A$1:$CP997,MATCH($A71,'Primary - GRADING'!$CP:$CP,0),20)</f>
        <v>#N/A</v>
      </c>
      <c r="X71" s="153" t="str">
        <f t="array" ref="X71">INDEX('Primary - GRADING'!$A$1:$CP997,MATCH($A71,'Primary - GRADING'!$CP:$CP,0),21)</f>
        <v>#N/A</v>
      </c>
      <c r="Y71" s="153" t="str">
        <f t="array" ref="Y71">INDEX('Primary - GRADING'!$A$1:$CP997,MATCH($A71,'Primary - GRADING'!$CP:$CP,0),22)</f>
        <v>#N/A</v>
      </c>
      <c r="Z71" s="165" t="str">
        <f t="array" ref="Z71">INDEX('Primary - GRADING'!$A$1:$CP997,MATCH($A71,'Primary - GRADING'!$CP:$CP,0),23)</f>
        <v>#N/A</v>
      </c>
      <c r="AA71" s="153" t="str">
        <f t="array" ref="AA71">INDEX('Primary - GRADING'!$A$1:$CP997,MATCH($A71,'Primary - GRADING'!$CP:$CP,0),24)</f>
        <v>#N/A</v>
      </c>
      <c r="AB71" s="153" t="str">
        <f t="array" ref="AB71">INDEX('Primary - GRADING'!$A$1:$CP997,MATCH($A71,'Primary - GRADING'!$CP:$CP,0),25)</f>
        <v>#N/A</v>
      </c>
      <c r="AC71" s="153" t="str">
        <f t="array" ref="AC71">INDEX('Primary - GRADING'!$A$1:$CP997,MATCH($A71,'Primary - GRADING'!$CP:$CP,0),46)</f>
        <v>#N/A</v>
      </c>
      <c r="AG71" s="153" t="str">
        <f t="shared" si="7"/>
        <v>#N/A</v>
      </c>
      <c r="AI71" s="153" t="str">
        <f>VLOOKUP(AH71,'Primary - GRADING'!$A$4:$C997,2,)</f>
        <v>#N/A</v>
      </c>
      <c r="AJ71" s="153" t="str">
        <f>VLOOKUP(AH71,'Primary - GRADING'!$A$4:$C997,3,)</f>
        <v>#N/A</v>
      </c>
      <c r="AK71" s="153" t="str">
        <f>VLOOKUP(AH71,'Primary - GRADING'!$A$4:$BG997,59,)</f>
        <v>#N/A</v>
      </c>
      <c r="AL71" s="153" t="str">
        <f>IFS(AK71="NMA",VLOOKUP(AH71,'Primary - GRADING'!$A$4:$BG997,51,),AK71="DIRECT",VLOOKUP(AH71,'Primary - GRADING'!$A$4:$BG997,8,),AK71="INDIRECT",VLOOKUP(AH71,'Primary - GRADING'!$A$4:$BG997,23,))</f>
        <v>#N/A</v>
      </c>
      <c r="AM71" s="153" t="str">
        <f>IFS(AK71="NMA",VLOOKUP(AH71,'Primary - GRADING'!$A$4:$BG997,52,),AK71="DIRECT",VLOOKUP(AH71,'Primary - GRADING'!$A$4:$BG997,9,),AK71="INDIRECT",VLOOKUP(AH71,'Primary - GRADING'!$A$4:$BG997,24,))</f>
        <v>#N/A</v>
      </c>
      <c r="AN71" s="153" t="str">
        <f>IFS(AK71="NMA",VLOOKUP(AH71,'Primary - GRADING'!$A$4:$BG997,53,),AK71="DIRECT",VLOOKUP(AH71,'Primary - GRADING'!$A$4:$BG997,10,),AK71="INDIRECT",VLOOKUP(AH71,'Primary - GRADING'!$A$4:$BG997,25,))</f>
        <v>#N/A</v>
      </c>
      <c r="AO71" s="153" t="str">
        <f t="shared" si="8"/>
        <v>#N/A</v>
      </c>
      <c r="AT71" s="153" t="str">
        <f t="shared" si="9"/>
        <v>#N/A</v>
      </c>
      <c r="AV71" s="153" t="str">
        <f>VLOOKUP(AU71,'Primary - GRADING'!$A$4:$C997,2,)</f>
        <v>#N/A</v>
      </c>
      <c r="AW71" s="153" t="str">
        <f>VLOOKUP(AU71,'Primary - GRADING'!$A$4:$C997,3,)</f>
        <v>#N/A</v>
      </c>
      <c r="AX71" s="153" t="str">
        <f>VLOOKUP(AU71,'Primary - GRADING'!$A$4:$BG997,59,)</f>
        <v>#N/A</v>
      </c>
      <c r="AY71" s="153" t="str">
        <f>IFS(AX71="NMA",VLOOKUP(AU71,'Primary - GRADING'!$A$4:$BG997,51,),AX71="DIRECT",VLOOKUP(AU71,'Primary - GRADING'!$A$4:$BG997,8,),AX71="INDIRECT",VLOOKUP(AU71,'Primary - GRADING'!$A$4:$BG997,23,))</f>
        <v>#N/A</v>
      </c>
      <c r="AZ71" s="153" t="str">
        <f>IFS(AX71="NMA",VLOOKUP(AU71,'Primary - GRADING'!$A$4:$BG997,52,),AX71="DIRECT",VLOOKUP(AU71,'Primary - GRADING'!$A$4:$BG997,9,),AX71="INDIRECT",VLOOKUP(AU71,'Primary - GRADING'!$A$4:$BG997,24,))</f>
        <v>#N/A</v>
      </c>
      <c r="BA71" s="153" t="str">
        <f>IFS(AX71="NMA",VLOOKUP(AU71,'Primary - GRADING'!$A$4:$BG997,53,),AX71="DIRECT",VLOOKUP(AU71,'Primary - GRADING'!$A$4:$BG997,10,),AX71="INDIRECT",VLOOKUP(AU71,'Primary - GRADING'!$A$4:$BG997,25,))</f>
        <v>#N/A</v>
      </c>
      <c r="BB71" s="153" t="str">
        <f t="shared" si="10"/>
        <v>#N/A</v>
      </c>
      <c r="BE71" s="153" t="str">
        <f t="shared" si="11"/>
        <v/>
      </c>
      <c r="BG71" s="153" t="str">
        <f t="shared" si="12"/>
        <v>#N/A</v>
      </c>
      <c r="BI71" s="153" t="str">
        <f t="shared" si="13"/>
        <v>#N/A</v>
      </c>
      <c r="BK71" s="153" t="str">
        <f t="shared" si="14"/>
        <v>#N/A</v>
      </c>
      <c r="BM71" s="153" t="str">
        <f t="shared" si="15"/>
        <v>#N/A</v>
      </c>
    </row>
    <row r="72" ht="15.75" customHeight="1">
      <c r="B72" s="160" t="str">
        <f t="shared" si="1"/>
        <v>#N/A</v>
      </c>
      <c r="C72" s="160" t="str">
        <f t="shared" si="2"/>
        <v>#N/A</v>
      </c>
      <c r="D72" s="160" t="str">
        <f t="shared" si="3"/>
        <v>#N/A</v>
      </c>
      <c r="E72" s="161" t="str">
        <f t="shared" si="4"/>
        <v>#N/A</v>
      </c>
      <c r="F72" s="153" t="str">
        <f t="shared" si="17"/>
        <v>#N/A</v>
      </c>
      <c r="G72" s="153" t="str">
        <f t="shared" si="6"/>
        <v>#N/A</v>
      </c>
      <c r="H72" s="156" t="str">
        <f t="array" ref="H72">INDEX('Primary - GRADING'!$A$1:$BG997,MATCH($A72,'Primary - GRADING'!$B:$B,0),59)</f>
        <v>#N/A</v>
      </c>
      <c r="I72" s="153" t="str">
        <f t="array" ref="I72">INDEX('Primary - GRADING'!$A$1:$CP997,MATCH($A72,'Primary - GRADING'!$CP:$CP,0),48)</f>
        <v>#N/A</v>
      </c>
      <c r="J72" s="153" t="str">
        <f t="array" ref="J72">INDEX('Primary - GRADING'!$A$1:$CP997,MATCH($A72,'Primary - GRADING'!$CP:$CP,0),49)</f>
        <v>#N/A</v>
      </c>
      <c r="K72" s="153" t="str">
        <f t="array" ref="K72">INDEX('Primary - GRADING'!$A$1:$CP997,MATCH($A72,'Primary - GRADING'!$CP:$CP,0),50)</f>
        <v>#N/A</v>
      </c>
      <c r="L72" s="153" t="str">
        <f t="array" ref="L72">INDEX('Primary - GRADING'!$A$1:$CP997,MATCH($A72,'Primary - GRADING'!$CP:$CP,0),51)</f>
        <v>#N/A</v>
      </c>
      <c r="M72" s="153" t="str">
        <f t="array" ref="M72">INDEX('Primary - GRADING'!$A$1:$CP997,MATCH($A72,'Primary - GRADING'!$CP:$CP,0),52)</f>
        <v>#N/A</v>
      </c>
      <c r="N72" s="153" t="str">
        <f t="array" ref="N72">INDEX('Primary - GRADING'!$A$1:$CP997,MATCH($A72,'Primary - GRADING'!$CP:$CP,0),53)</f>
        <v>#N/A</v>
      </c>
      <c r="O72" s="153" t="str">
        <f t="array" ref="O72">INDEX('Primary - GRADING'!$A$1:$CP997,MATCH($A72,'Primary - GRADING'!$CP:$CP,0),58)</f>
        <v>#N/A</v>
      </c>
      <c r="P72" s="153" t="str">
        <f t="array" ref="P72">INDEX('Primary - GRADING'!$A$1:$CP997,MATCH($A72,'Primary - GRADING'!$CP:$CP,0),5)</f>
        <v>#N/A</v>
      </c>
      <c r="Q72" s="153" t="str">
        <f t="array" ref="Q72">INDEX('Primary - GRADING'!$A$1:$CP997,MATCH($A72,'Primary - GRADING'!$CP:$CP,0),6)</f>
        <v>#N/A</v>
      </c>
      <c r="R72" s="153" t="str">
        <f t="array" ref="R72">INDEX('Primary - GRADING'!$A$1:$CP997,MATCH($A72,'Primary - GRADING'!$CP:$CP,0),7)</f>
        <v>#N/A</v>
      </c>
      <c r="S72" s="153" t="str">
        <f t="array" ref="S72">INDEX('Primary - GRADING'!$A$1:$CP997,MATCH($A72,'Primary - GRADING'!$CP:$CP,0),8)</f>
        <v>#N/A</v>
      </c>
      <c r="T72" s="153" t="str">
        <f t="array" ref="T72">INDEX('Primary - GRADING'!$A$1:$CP997,MATCH($A72,'Primary - GRADING'!$CP:$CP,0),9)</f>
        <v>#N/A</v>
      </c>
      <c r="U72" s="153" t="str">
        <f t="array" ref="U72">INDEX('Primary - GRADING'!$A$1:$CP997,MATCH($A72,'Primary - GRADING'!$CP:$CP,0),10)</f>
        <v>#N/A</v>
      </c>
      <c r="V72" s="153" t="str">
        <f t="array" ref="V72">INDEX('Primary - GRADING'!$A$1:$CP997,MATCH($A72,'Primary - GRADING'!$CP:$CP,0),18)</f>
        <v>#N/A</v>
      </c>
      <c r="W72" s="153" t="str">
        <f t="array" ref="W72">INDEX('Primary - GRADING'!$A$1:$CP997,MATCH($A72,'Primary - GRADING'!$CP:$CP,0),20)</f>
        <v>#N/A</v>
      </c>
      <c r="X72" s="153" t="str">
        <f t="array" ref="X72">INDEX('Primary - GRADING'!$A$1:$CP997,MATCH($A72,'Primary - GRADING'!$CP:$CP,0),21)</f>
        <v>#N/A</v>
      </c>
      <c r="Y72" s="153" t="str">
        <f t="array" ref="Y72">INDEX('Primary - GRADING'!$A$1:$CP997,MATCH($A72,'Primary - GRADING'!$CP:$CP,0),22)</f>
        <v>#N/A</v>
      </c>
      <c r="Z72" s="165" t="str">
        <f t="array" ref="Z72">INDEX('Primary - GRADING'!$A$1:$CP997,MATCH($A72,'Primary - GRADING'!$CP:$CP,0),23)</f>
        <v>#N/A</v>
      </c>
      <c r="AA72" s="153" t="str">
        <f t="array" ref="AA72">INDEX('Primary - GRADING'!$A$1:$CP997,MATCH($A72,'Primary - GRADING'!$CP:$CP,0),24)</f>
        <v>#N/A</v>
      </c>
      <c r="AB72" s="153" t="str">
        <f t="array" ref="AB72">INDEX('Primary - GRADING'!$A$1:$CP997,MATCH($A72,'Primary - GRADING'!$CP:$CP,0),25)</f>
        <v>#N/A</v>
      </c>
      <c r="AC72" s="153" t="str">
        <f t="array" ref="AC72">INDEX('Primary - GRADING'!$A$1:$CP997,MATCH($A72,'Primary - GRADING'!$CP:$CP,0),46)</f>
        <v>#N/A</v>
      </c>
      <c r="AG72" s="153" t="str">
        <f t="shared" si="7"/>
        <v>#N/A</v>
      </c>
      <c r="AI72" s="153" t="str">
        <f>VLOOKUP(AH72,'Primary - GRADING'!$A$4:$C997,2,)</f>
        <v>#N/A</v>
      </c>
      <c r="AJ72" s="153" t="str">
        <f>VLOOKUP(AH72,'Primary - GRADING'!$A$4:$C997,3,)</f>
        <v>#N/A</v>
      </c>
      <c r="AK72" s="153" t="str">
        <f>VLOOKUP(AH72,'Primary - GRADING'!$A$4:$BG997,59,)</f>
        <v>#N/A</v>
      </c>
      <c r="AL72" s="153" t="str">
        <f>IFS(AK72="NMA",VLOOKUP(AH72,'Primary - GRADING'!$A$4:$BG997,51,),AK72="DIRECT",VLOOKUP(AH72,'Primary - GRADING'!$A$4:$BG997,8,),AK72="INDIRECT",VLOOKUP(AH72,'Primary - GRADING'!$A$4:$BG997,23,))</f>
        <v>#N/A</v>
      </c>
      <c r="AM72" s="153" t="str">
        <f>IFS(AK72="NMA",VLOOKUP(AH72,'Primary - GRADING'!$A$4:$BG997,52,),AK72="DIRECT",VLOOKUP(AH72,'Primary - GRADING'!$A$4:$BG997,9,),AK72="INDIRECT",VLOOKUP(AH72,'Primary - GRADING'!$A$4:$BG997,24,))</f>
        <v>#N/A</v>
      </c>
      <c r="AN72" s="153" t="str">
        <f>IFS(AK72="NMA",VLOOKUP(AH72,'Primary - GRADING'!$A$4:$BG997,53,),AK72="DIRECT",VLOOKUP(AH72,'Primary - GRADING'!$A$4:$BG997,10,),AK72="INDIRECT",VLOOKUP(AH72,'Primary - GRADING'!$A$4:$BG997,25,))</f>
        <v>#N/A</v>
      </c>
      <c r="AO72" s="153" t="str">
        <f t="shared" si="8"/>
        <v>#N/A</v>
      </c>
      <c r="AT72" s="153" t="str">
        <f t="shared" si="9"/>
        <v>#N/A</v>
      </c>
      <c r="AV72" s="153" t="str">
        <f>VLOOKUP(AU72,'Primary - GRADING'!$A$4:$C997,2,)</f>
        <v>#N/A</v>
      </c>
      <c r="AW72" s="153" t="str">
        <f>VLOOKUP(AU72,'Primary - GRADING'!$A$4:$C997,3,)</f>
        <v>#N/A</v>
      </c>
      <c r="AX72" s="153" t="str">
        <f>VLOOKUP(AU72,'Primary - GRADING'!$A$4:$BG997,59,)</f>
        <v>#N/A</v>
      </c>
      <c r="AY72" s="153" t="str">
        <f>IFS(AX72="NMA",VLOOKUP(AU72,'Primary - GRADING'!$A$4:$BG997,51,),AX72="DIRECT",VLOOKUP(AU72,'Primary - GRADING'!$A$4:$BG997,8,),AX72="INDIRECT",VLOOKUP(AU72,'Primary - GRADING'!$A$4:$BG997,23,))</f>
        <v>#N/A</v>
      </c>
      <c r="AZ72" s="153" t="str">
        <f>IFS(AX72="NMA",VLOOKUP(AU72,'Primary - GRADING'!$A$4:$BG997,52,),AX72="DIRECT",VLOOKUP(AU72,'Primary - GRADING'!$A$4:$BG997,9,),AX72="INDIRECT",VLOOKUP(AU72,'Primary - GRADING'!$A$4:$BG997,24,))</f>
        <v>#N/A</v>
      </c>
      <c r="BA72" s="153" t="str">
        <f>IFS(AX72="NMA",VLOOKUP(AU72,'Primary - GRADING'!$A$4:$BG997,53,),AX72="DIRECT",VLOOKUP(AU72,'Primary - GRADING'!$A$4:$BG997,10,),AX72="INDIRECT",VLOOKUP(AU72,'Primary - GRADING'!$A$4:$BG997,25,))</f>
        <v>#N/A</v>
      </c>
      <c r="BB72" s="153" t="str">
        <f t="shared" si="10"/>
        <v>#N/A</v>
      </c>
      <c r="BE72" s="153" t="str">
        <f t="shared" si="11"/>
        <v/>
      </c>
      <c r="BG72" s="153" t="str">
        <f t="shared" si="12"/>
        <v>#N/A</v>
      </c>
      <c r="BI72" s="153" t="str">
        <f t="shared" si="13"/>
        <v>#N/A</v>
      </c>
      <c r="BK72" s="153" t="str">
        <f t="shared" si="14"/>
        <v>#N/A</v>
      </c>
      <c r="BM72" s="153" t="str">
        <f t="shared" si="15"/>
        <v>#N/A</v>
      </c>
    </row>
    <row r="73" ht="15.75" customHeight="1">
      <c r="B73" s="160" t="str">
        <f t="shared" si="1"/>
        <v>#N/A</v>
      </c>
      <c r="C73" s="160" t="str">
        <f t="shared" si="2"/>
        <v>#N/A</v>
      </c>
      <c r="D73" s="160" t="str">
        <f t="shared" si="3"/>
        <v>#N/A</v>
      </c>
      <c r="E73" s="161" t="str">
        <f t="shared" si="4"/>
        <v>#N/A</v>
      </c>
      <c r="F73" s="153" t="str">
        <f t="shared" si="17"/>
        <v>#N/A</v>
      </c>
      <c r="G73" s="153" t="str">
        <f t="shared" si="6"/>
        <v>#N/A</v>
      </c>
      <c r="H73" s="156" t="str">
        <f t="array" ref="H73">INDEX('Primary - GRADING'!$A$1:$BG997,MATCH($A73,'Primary - GRADING'!$B:$B,0),59)</f>
        <v>#N/A</v>
      </c>
      <c r="I73" s="153" t="str">
        <f t="array" ref="I73">INDEX('Primary - GRADING'!$A$1:$CP997,MATCH($A73,'Primary - GRADING'!$CP:$CP,0),48)</f>
        <v>#N/A</v>
      </c>
      <c r="J73" s="153" t="str">
        <f t="array" ref="J73">INDEX('Primary - GRADING'!$A$1:$CP997,MATCH($A73,'Primary - GRADING'!$CP:$CP,0),49)</f>
        <v>#N/A</v>
      </c>
      <c r="K73" s="153" t="str">
        <f t="array" ref="K73">INDEX('Primary - GRADING'!$A$1:$CP997,MATCH($A73,'Primary - GRADING'!$CP:$CP,0),50)</f>
        <v>#N/A</v>
      </c>
      <c r="L73" s="153" t="str">
        <f t="array" ref="L73">INDEX('Primary - GRADING'!$A$1:$CP997,MATCH($A73,'Primary - GRADING'!$CP:$CP,0),51)</f>
        <v>#N/A</v>
      </c>
      <c r="M73" s="153" t="str">
        <f t="array" ref="M73">INDEX('Primary - GRADING'!$A$1:$CP997,MATCH($A73,'Primary - GRADING'!$CP:$CP,0),52)</f>
        <v>#N/A</v>
      </c>
      <c r="N73" s="153" t="str">
        <f t="array" ref="N73">INDEX('Primary - GRADING'!$A$1:$CP997,MATCH($A73,'Primary - GRADING'!$CP:$CP,0),53)</f>
        <v>#N/A</v>
      </c>
      <c r="O73" s="153" t="str">
        <f t="array" ref="O73">INDEX('Primary - GRADING'!$A$1:$CP997,MATCH($A73,'Primary - GRADING'!$CP:$CP,0),58)</f>
        <v>#N/A</v>
      </c>
      <c r="P73" s="153" t="str">
        <f t="array" ref="P73">INDEX('Primary - GRADING'!$A$1:$CP997,MATCH($A73,'Primary - GRADING'!$CP:$CP,0),5)</f>
        <v>#N/A</v>
      </c>
      <c r="Q73" s="153" t="str">
        <f t="array" ref="Q73">INDEX('Primary - GRADING'!$A$1:$CP997,MATCH($A73,'Primary - GRADING'!$CP:$CP,0),6)</f>
        <v>#N/A</v>
      </c>
      <c r="R73" s="153" t="str">
        <f t="array" ref="R73">INDEX('Primary - GRADING'!$A$1:$CP997,MATCH($A73,'Primary - GRADING'!$CP:$CP,0),7)</f>
        <v>#N/A</v>
      </c>
      <c r="S73" s="153" t="str">
        <f t="array" ref="S73">INDEX('Primary - GRADING'!$A$1:$CP997,MATCH($A73,'Primary - GRADING'!$CP:$CP,0),8)</f>
        <v>#N/A</v>
      </c>
      <c r="T73" s="153" t="str">
        <f t="array" ref="T73">INDEX('Primary - GRADING'!$A$1:$CP997,MATCH($A73,'Primary - GRADING'!$CP:$CP,0),9)</f>
        <v>#N/A</v>
      </c>
      <c r="U73" s="153" t="str">
        <f t="array" ref="U73">INDEX('Primary - GRADING'!$A$1:$CP997,MATCH($A73,'Primary - GRADING'!$CP:$CP,0),10)</f>
        <v>#N/A</v>
      </c>
      <c r="V73" s="153" t="str">
        <f t="array" ref="V73">INDEX('Primary - GRADING'!$A$1:$CP997,MATCH($A73,'Primary - GRADING'!$CP:$CP,0),18)</f>
        <v>#N/A</v>
      </c>
      <c r="W73" s="153" t="str">
        <f t="array" ref="W73">INDEX('Primary - GRADING'!$A$1:$CP997,MATCH($A73,'Primary - GRADING'!$CP:$CP,0),20)</f>
        <v>#N/A</v>
      </c>
      <c r="X73" s="153" t="str">
        <f t="array" ref="X73">INDEX('Primary - GRADING'!$A$1:$CP997,MATCH($A73,'Primary - GRADING'!$CP:$CP,0),21)</f>
        <v>#N/A</v>
      </c>
      <c r="Y73" s="153" t="str">
        <f t="array" ref="Y73">INDEX('Primary - GRADING'!$A$1:$CP997,MATCH($A73,'Primary - GRADING'!$CP:$CP,0),22)</f>
        <v>#N/A</v>
      </c>
      <c r="Z73" s="165" t="str">
        <f t="array" ref="Z73">INDEX('Primary - GRADING'!$A$1:$CP997,MATCH($A73,'Primary - GRADING'!$CP:$CP,0),23)</f>
        <v>#N/A</v>
      </c>
      <c r="AA73" s="153" t="str">
        <f t="array" ref="AA73">INDEX('Primary - GRADING'!$A$1:$CP997,MATCH($A73,'Primary - GRADING'!$CP:$CP,0),24)</f>
        <v>#N/A</v>
      </c>
      <c r="AB73" s="153" t="str">
        <f t="array" ref="AB73">INDEX('Primary - GRADING'!$A$1:$CP997,MATCH($A73,'Primary - GRADING'!$CP:$CP,0),25)</f>
        <v>#N/A</v>
      </c>
      <c r="AC73" s="153" t="str">
        <f t="array" ref="AC73">INDEX('Primary - GRADING'!$A$1:$CP997,MATCH($A73,'Primary - GRADING'!$CP:$CP,0),46)</f>
        <v>#N/A</v>
      </c>
      <c r="AG73" s="153" t="str">
        <f t="shared" si="7"/>
        <v>#N/A</v>
      </c>
      <c r="AI73" s="153" t="str">
        <f>VLOOKUP(AH73,'Primary - GRADING'!$A$4:$C997,2,)</f>
        <v>#N/A</v>
      </c>
      <c r="AJ73" s="153" t="str">
        <f>VLOOKUP(AH73,'Primary - GRADING'!$A$4:$C997,3,)</f>
        <v>#N/A</v>
      </c>
      <c r="AK73" s="153" t="str">
        <f>VLOOKUP(AH73,'Primary - GRADING'!$A$4:$BG997,59,)</f>
        <v>#N/A</v>
      </c>
      <c r="AL73" s="153" t="str">
        <f>IFS(AK73="NMA",VLOOKUP(AH73,'Primary - GRADING'!$A$4:$BG997,51,),AK73="DIRECT",VLOOKUP(AH73,'Primary - GRADING'!$A$4:$BG997,8,),AK73="INDIRECT",VLOOKUP(AH73,'Primary - GRADING'!$A$4:$BG997,23,))</f>
        <v>#N/A</v>
      </c>
      <c r="AM73" s="153" t="str">
        <f>IFS(AK73="NMA",VLOOKUP(AH73,'Primary - GRADING'!$A$4:$BG997,52,),AK73="DIRECT",VLOOKUP(AH73,'Primary - GRADING'!$A$4:$BG997,9,),AK73="INDIRECT",VLOOKUP(AH73,'Primary - GRADING'!$A$4:$BG997,24,))</f>
        <v>#N/A</v>
      </c>
      <c r="AN73" s="153" t="str">
        <f>IFS(AK73="NMA",VLOOKUP(AH73,'Primary - GRADING'!$A$4:$BG997,53,),AK73="DIRECT",VLOOKUP(AH73,'Primary - GRADING'!$A$4:$BG997,10,),AK73="INDIRECT",VLOOKUP(AH73,'Primary - GRADING'!$A$4:$BG997,25,))</f>
        <v>#N/A</v>
      </c>
      <c r="AO73" s="153" t="str">
        <f t="shared" si="8"/>
        <v>#N/A</v>
      </c>
      <c r="AT73" s="153" t="str">
        <f t="shared" si="9"/>
        <v>#N/A</v>
      </c>
      <c r="AV73" s="153" t="str">
        <f>VLOOKUP(AU73,'Primary - GRADING'!$A$4:$C997,2,)</f>
        <v>#N/A</v>
      </c>
      <c r="AW73" s="153" t="str">
        <f>VLOOKUP(AU73,'Primary - GRADING'!$A$4:$C997,3,)</f>
        <v>#N/A</v>
      </c>
      <c r="AX73" s="153" t="str">
        <f>VLOOKUP(AU73,'Primary - GRADING'!$A$4:$BG997,59,)</f>
        <v>#N/A</v>
      </c>
      <c r="AY73" s="153" t="str">
        <f>IFS(AX73="NMA",VLOOKUP(AU73,'Primary - GRADING'!$A$4:$BG997,51,),AX73="DIRECT",VLOOKUP(AU73,'Primary - GRADING'!$A$4:$BG997,8,),AX73="INDIRECT",VLOOKUP(AU73,'Primary - GRADING'!$A$4:$BG997,23,))</f>
        <v>#N/A</v>
      </c>
      <c r="AZ73" s="153" t="str">
        <f>IFS(AX73="NMA",VLOOKUP(AU73,'Primary - GRADING'!$A$4:$BG997,52,),AX73="DIRECT",VLOOKUP(AU73,'Primary - GRADING'!$A$4:$BG997,9,),AX73="INDIRECT",VLOOKUP(AU73,'Primary - GRADING'!$A$4:$BG997,24,))</f>
        <v>#N/A</v>
      </c>
      <c r="BA73" s="153" t="str">
        <f>IFS(AX73="NMA",VLOOKUP(AU73,'Primary - GRADING'!$A$4:$BG997,53,),AX73="DIRECT",VLOOKUP(AU73,'Primary - GRADING'!$A$4:$BG997,10,),AX73="INDIRECT",VLOOKUP(AU73,'Primary - GRADING'!$A$4:$BG997,25,))</f>
        <v>#N/A</v>
      </c>
      <c r="BB73" s="153" t="str">
        <f t="shared" si="10"/>
        <v>#N/A</v>
      </c>
      <c r="BE73" s="153" t="str">
        <f t="shared" si="11"/>
        <v/>
      </c>
      <c r="BG73" s="153" t="str">
        <f t="shared" si="12"/>
        <v>#N/A</v>
      </c>
      <c r="BI73" s="153" t="str">
        <f t="shared" si="13"/>
        <v>#N/A</v>
      </c>
      <c r="BK73" s="153" t="str">
        <f t="shared" si="14"/>
        <v>#N/A</v>
      </c>
      <c r="BM73" s="153" t="str">
        <f t="shared" si="15"/>
        <v>#N/A</v>
      </c>
    </row>
    <row r="74" ht="15.75" customHeight="1">
      <c r="B74" s="160" t="str">
        <f t="shared" si="1"/>
        <v>#N/A</v>
      </c>
      <c r="C74" s="160" t="str">
        <f t="shared" si="2"/>
        <v>#N/A</v>
      </c>
      <c r="D74" s="160" t="str">
        <f t="shared" si="3"/>
        <v>#N/A</v>
      </c>
      <c r="E74" s="161" t="str">
        <f t="shared" si="4"/>
        <v>#N/A</v>
      </c>
      <c r="F74" s="153" t="str">
        <f t="shared" si="17"/>
        <v>#N/A</v>
      </c>
      <c r="G74" s="153" t="str">
        <f t="shared" si="6"/>
        <v>#N/A</v>
      </c>
      <c r="H74" s="156" t="str">
        <f t="array" ref="H74">INDEX('Primary - GRADING'!$A$1:$BG997,MATCH($A74,'Primary - GRADING'!$B:$B,0),59)</f>
        <v>#N/A</v>
      </c>
      <c r="I74" s="153" t="str">
        <f t="array" ref="I74">INDEX('Primary - GRADING'!$A$1:$CP997,MATCH($A74,'Primary - GRADING'!$CP:$CP,0),48)</f>
        <v>#N/A</v>
      </c>
      <c r="J74" s="153" t="str">
        <f t="array" ref="J74">INDEX('Primary - GRADING'!$A$1:$CP997,MATCH($A74,'Primary - GRADING'!$CP:$CP,0),49)</f>
        <v>#N/A</v>
      </c>
      <c r="K74" s="153" t="str">
        <f t="array" ref="K74">INDEX('Primary - GRADING'!$A$1:$CP997,MATCH($A74,'Primary - GRADING'!$CP:$CP,0),50)</f>
        <v>#N/A</v>
      </c>
      <c r="L74" s="153" t="str">
        <f t="array" ref="L74">INDEX('Primary - GRADING'!$A$1:$CP997,MATCH($A74,'Primary - GRADING'!$CP:$CP,0),51)</f>
        <v>#N/A</v>
      </c>
      <c r="M74" s="153" t="str">
        <f t="array" ref="M74">INDEX('Primary - GRADING'!$A$1:$CP997,MATCH($A74,'Primary - GRADING'!$CP:$CP,0),52)</f>
        <v>#N/A</v>
      </c>
      <c r="N74" s="153" t="str">
        <f t="array" ref="N74">INDEX('Primary - GRADING'!$A$1:$CP997,MATCH($A74,'Primary - GRADING'!$CP:$CP,0),53)</f>
        <v>#N/A</v>
      </c>
      <c r="O74" s="153" t="str">
        <f t="array" ref="O74">INDEX('Primary - GRADING'!$A$1:$CP997,MATCH($A74,'Primary - GRADING'!$CP:$CP,0),58)</f>
        <v>#N/A</v>
      </c>
      <c r="P74" s="153" t="str">
        <f t="array" ref="P74">INDEX('Primary - GRADING'!$A$1:$CP997,MATCH($A74,'Primary - GRADING'!$CP:$CP,0),5)</f>
        <v>#N/A</v>
      </c>
      <c r="Q74" s="153" t="str">
        <f t="array" ref="Q74">INDEX('Primary - GRADING'!$A$1:$CP997,MATCH($A74,'Primary - GRADING'!$CP:$CP,0),6)</f>
        <v>#N/A</v>
      </c>
      <c r="R74" s="153" t="str">
        <f t="array" ref="R74">INDEX('Primary - GRADING'!$A$1:$CP997,MATCH($A74,'Primary - GRADING'!$CP:$CP,0),7)</f>
        <v>#N/A</v>
      </c>
      <c r="S74" s="153" t="str">
        <f t="array" ref="S74">INDEX('Primary - GRADING'!$A$1:$CP997,MATCH($A74,'Primary - GRADING'!$CP:$CP,0),8)</f>
        <v>#N/A</v>
      </c>
      <c r="T74" s="153" t="str">
        <f t="array" ref="T74">INDEX('Primary - GRADING'!$A$1:$CP997,MATCH($A74,'Primary - GRADING'!$CP:$CP,0),9)</f>
        <v>#N/A</v>
      </c>
      <c r="U74" s="153" t="str">
        <f t="array" ref="U74">INDEX('Primary - GRADING'!$A$1:$CP997,MATCH($A74,'Primary - GRADING'!$CP:$CP,0),10)</f>
        <v>#N/A</v>
      </c>
      <c r="V74" s="153" t="str">
        <f t="array" ref="V74">INDEX('Primary - GRADING'!$A$1:$CP997,MATCH($A74,'Primary - GRADING'!$CP:$CP,0),18)</f>
        <v>#N/A</v>
      </c>
      <c r="W74" s="153" t="str">
        <f t="array" ref="W74">INDEX('Primary - GRADING'!$A$1:$CP997,MATCH($A74,'Primary - GRADING'!$CP:$CP,0),20)</f>
        <v>#N/A</v>
      </c>
      <c r="X74" s="153" t="str">
        <f t="array" ref="X74">INDEX('Primary - GRADING'!$A$1:$CP997,MATCH($A74,'Primary - GRADING'!$CP:$CP,0),21)</f>
        <v>#N/A</v>
      </c>
      <c r="Y74" s="153" t="str">
        <f t="array" ref="Y74">INDEX('Primary - GRADING'!$A$1:$CP997,MATCH($A74,'Primary - GRADING'!$CP:$CP,0),22)</f>
        <v>#N/A</v>
      </c>
      <c r="Z74" s="165" t="str">
        <f t="array" ref="Z74">INDEX('Primary - GRADING'!$A$1:$CP997,MATCH($A74,'Primary - GRADING'!$CP:$CP,0),23)</f>
        <v>#N/A</v>
      </c>
      <c r="AA74" s="153" t="str">
        <f t="array" ref="AA74">INDEX('Primary - GRADING'!$A$1:$CP997,MATCH($A74,'Primary - GRADING'!$CP:$CP,0),24)</f>
        <v>#N/A</v>
      </c>
      <c r="AB74" s="153" t="str">
        <f t="array" ref="AB74">INDEX('Primary - GRADING'!$A$1:$CP997,MATCH($A74,'Primary - GRADING'!$CP:$CP,0),25)</f>
        <v>#N/A</v>
      </c>
      <c r="AC74" s="153" t="str">
        <f t="array" ref="AC74">INDEX('Primary - GRADING'!$A$1:$CP997,MATCH($A74,'Primary - GRADING'!$CP:$CP,0),46)</f>
        <v>#N/A</v>
      </c>
      <c r="AG74" s="153" t="str">
        <f t="shared" si="7"/>
        <v>#N/A</v>
      </c>
      <c r="AI74" s="153" t="str">
        <f>VLOOKUP(AH74,'Primary - GRADING'!$A$4:$C997,2,)</f>
        <v>#N/A</v>
      </c>
      <c r="AJ74" s="153" t="str">
        <f>VLOOKUP(AH74,'Primary - GRADING'!$A$4:$C997,3,)</f>
        <v>#N/A</v>
      </c>
      <c r="AK74" s="153" t="str">
        <f>VLOOKUP(AH74,'Primary - GRADING'!$A$4:$BG997,59,)</f>
        <v>#N/A</v>
      </c>
      <c r="AL74" s="153" t="str">
        <f>IFS(AK74="NMA",VLOOKUP(AH74,'Primary - GRADING'!$A$4:$BG997,51,),AK74="DIRECT",VLOOKUP(AH74,'Primary - GRADING'!$A$4:$BG997,8,),AK74="INDIRECT",VLOOKUP(AH74,'Primary - GRADING'!$A$4:$BG997,23,))</f>
        <v>#N/A</v>
      </c>
      <c r="AM74" s="153" t="str">
        <f>IFS(AK74="NMA",VLOOKUP(AH74,'Primary - GRADING'!$A$4:$BG997,52,),AK74="DIRECT",VLOOKUP(AH74,'Primary - GRADING'!$A$4:$BG997,9,),AK74="INDIRECT",VLOOKUP(AH74,'Primary - GRADING'!$A$4:$BG997,24,))</f>
        <v>#N/A</v>
      </c>
      <c r="AN74" s="153" t="str">
        <f>IFS(AK74="NMA",VLOOKUP(AH74,'Primary - GRADING'!$A$4:$BG997,53,),AK74="DIRECT",VLOOKUP(AH74,'Primary - GRADING'!$A$4:$BG997,10,),AK74="INDIRECT",VLOOKUP(AH74,'Primary - GRADING'!$A$4:$BG997,25,))</f>
        <v>#N/A</v>
      </c>
      <c r="AO74" s="153" t="str">
        <f t="shared" si="8"/>
        <v>#N/A</v>
      </c>
      <c r="AT74" s="153" t="str">
        <f t="shared" si="9"/>
        <v>#N/A</v>
      </c>
      <c r="AV74" s="153" t="str">
        <f>VLOOKUP(AU74,'Primary - GRADING'!$A$4:$C997,2,)</f>
        <v>#N/A</v>
      </c>
      <c r="AW74" s="153" t="str">
        <f>VLOOKUP(AU74,'Primary - GRADING'!$A$4:$C997,3,)</f>
        <v>#N/A</v>
      </c>
      <c r="AX74" s="153" t="str">
        <f>VLOOKUP(AU74,'Primary - GRADING'!$A$4:$BG997,59,)</f>
        <v>#N/A</v>
      </c>
      <c r="AY74" s="153" t="str">
        <f>IFS(AX74="NMA",VLOOKUP(AU74,'Primary - GRADING'!$A$4:$BG997,51,),AX74="DIRECT",VLOOKUP(AU74,'Primary - GRADING'!$A$4:$BG997,8,),AX74="INDIRECT",VLOOKUP(AU74,'Primary - GRADING'!$A$4:$BG997,23,))</f>
        <v>#N/A</v>
      </c>
      <c r="AZ74" s="153" t="str">
        <f>IFS(AX74="NMA",VLOOKUP(AU74,'Primary - GRADING'!$A$4:$BG997,52,),AX74="DIRECT",VLOOKUP(AU74,'Primary - GRADING'!$A$4:$BG997,9,),AX74="INDIRECT",VLOOKUP(AU74,'Primary - GRADING'!$A$4:$BG997,24,))</f>
        <v>#N/A</v>
      </c>
      <c r="BA74" s="153" t="str">
        <f>IFS(AX74="NMA",VLOOKUP(AU74,'Primary - GRADING'!$A$4:$BG997,53,),AX74="DIRECT",VLOOKUP(AU74,'Primary - GRADING'!$A$4:$BG997,10,),AX74="INDIRECT",VLOOKUP(AU74,'Primary - GRADING'!$A$4:$BG997,25,))</f>
        <v>#N/A</v>
      </c>
      <c r="BB74" s="153" t="str">
        <f t="shared" si="10"/>
        <v>#N/A</v>
      </c>
      <c r="BE74" s="153" t="str">
        <f t="shared" si="11"/>
        <v/>
      </c>
      <c r="BG74" s="153" t="str">
        <f t="shared" si="12"/>
        <v>#N/A</v>
      </c>
      <c r="BI74" s="153" t="str">
        <f t="shared" si="13"/>
        <v>#N/A</v>
      </c>
      <c r="BK74" s="153" t="str">
        <f t="shared" si="14"/>
        <v>#N/A</v>
      </c>
      <c r="BM74" s="153" t="str">
        <f t="shared" si="15"/>
        <v>#N/A</v>
      </c>
    </row>
    <row r="75" ht="15.75" customHeight="1">
      <c r="B75" s="160" t="str">
        <f t="shared" si="1"/>
        <v>#N/A</v>
      </c>
      <c r="C75" s="160" t="str">
        <f t="shared" si="2"/>
        <v>#N/A</v>
      </c>
      <c r="D75" s="160" t="str">
        <f t="shared" si="3"/>
        <v>#N/A</v>
      </c>
      <c r="E75" s="161" t="str">
        <f t="shared" si="4"/>
        <v>#N/A</v>
      </c>
      <c r="F75" s="153" t="str">
        <f t="shared" si="17"/>
        <v>#N/A</v>
      </c>
      <c r="G75" s="153" t="str">
        <f t="shared" si="6"/>
        <v>#N/A</v>
      </c>
      <c r="H75" s="156" t="str">
        <f t="array" ref="H75">INDEX('Primary - GRADING'!$A$1:$BG997,MATCH($A75,'Primary - GRADING'!$B:$B,0),59)</f>
        <v>#N/A</v>
      </c>
      <c r="I75" s="153" t="str">
        <f t="array" ref="I75">INDEX('Primary - GRADING'!$A$1:$CP997,MATCH($A75,'Primary - GRADING'!$CP:$CP,0),48)</f>
        <v>#N/A</v>
      </c>
      <c r="J75" s="153" t="str">
        <f t="array" ref="J75">INDEX('Primary - GRADING'!$A$1:$CP997,MATCH($A75,'Primary - GRADING'!$CP:$CP,0),49)</f>
        <v>#N/A</v>
      </c>
      <c r="K75" s="153" t="str">
        <f t="array" ref="K75">INDEX('Primary - GRADING'!$A$1:$CP997,MATCH($A75,'Primary - GRADING'!$CP:$CP,0),50)</f>
        <v>#N/A</v>
      </c>
      <c r="L75" s="153" t="str">
        <f t="array" ref="L75">INDEX('Primary - GRADING'!$A$1:$CP997,MATCH($A75,'Primary - GRADING'!$CP:$CP,0),51)</f>
        <v>#N/A</v>
      </c>
      <c r="M75" s="153" t="str">
        <f t="array" ref="M75">INDEX('Primary - GRADING'!$A$1:$CP997,MATCH($A75,'Primary - GRADING'!$CP:$CP,0),52)</f>
        <v>#N/A</v>
      </c>
      <c r="N75" s="153" t="str">
        <f t="array" ref="N75">INDEX('Primary - GRADING'!$A$1:$CP997,MATCH($A75,'Primary - GRADING'!$CP:$CP,0),53)</f>
        <v>#N/A</v>
      </c>
      <c r="O75" s="153" t="str">
        <f t="array" ref="O75">INDEX('Primary - GRADING'!$A$1:$CP997,MATCH($A75,'Primary - GRADING'!$CP:$CP,0),58)</f>
        <v>#N/A</v>
      </c>
      <c r="P75" s="153" t="str">
        <f t="array" ref="P75">INDEX('Primary - GRADING'!$A$1:$CP997,MATCH($A75,'Primary - GRADING'!$CP:$CP,0),5)</f>
        <v>#N/A</v>
      </c>
      <c r="Q75" s="153" t="str">
        <f t="array" ref="Q75">INDEX('Primary - GRADING'!$A$1:$CP997,MATCH($A75,'Primary - GRADING'!$CP:$CP,0),6)</f>
        <v>#N/A</v>
      </c>
      <c r="R75" s="153" t="str">
        <f t="array" ref="R75">INDEX('Primary - GRADING'!$A$1:$CP997,MATCH($A75,'Primary - GRADING'!$CP:$CP,0),7)</f>
        <v>#N/A</v>
      </c>
      <c r="S75" s="153" t="str">
        <f t="array" ref="S75">INDEX('Primary - GRADING'!$A$1:$CP997,MATCH($A75,'Primary - GRADING'!$CP:$CP,0),8)</f>
        <v>#N/A</v>
      </c>
      <c r="T75" s="153" t="str">
        <f t="array" ref="T75">INDEX('Primary - GRADING'!$A$1:$CP997,MATCH($A75,'Primary - GRADING'!$CP:$CP,0),9)</f>
        <v>#N/A</v>
      </c>
      <c r="U75" s="153" t="str">
        <f t="array" ref="U75">INDEX('Primary - GRADING'!$A$1:$CP997,MATCH($A75,'Primary - GRADING'!$CP:$CP,0),10)</f>
        <v>#N/A</v>
      </c>
      <c r="V75" s="153" t="str">
        <f t="array" ref="V75">INDEX('Primary - GRADING'!$A$1:$CP997,MATCH($A75,'Primary - GRADING'!$CP:$CP,0),18)</f>
        <v>#N/A</v>
      </c>
      <c r="W75" s="153" t="str">
        <f t="array" ref="W75">INDEX('Primary - GRADING'!$A$1:$CP997,MATCH($A75,'Primary - GRADING'!$CP:$CP,0),20)</f>
        <v>#N/A</v>
      </c>
      <c r="X75" s="153" t="str">
        <f t="array" ref="X75">INDEX('Primary - GRADING'!$A$1:$CP997,MATCH($A75,'Primary - GRADING'!$CP:$CP,0),21)</f>
        <v>#N/A</v>
      </c>
      <c r="Y75" s="153" t="str">
        <f t="array" ref="Y75">INDEX('Primary - GRADING'!$A$1:$CP997,MATCH($A75,'Primary - GRADING'!$CP:$CP,0),22)</f>
        <v>#N/A</v>
      </c>
      <c r="Z75" s="165" t="str">
        <f t="array" ref="Z75">INDEX('Primary - GRADING'!$A$1:$CP997,MATCH($A75,'Primary - GRADING'!$CP:$CP,0),23)</f>
        <v>#N/A</v>
      </c>
      <c r="AA75" s="153" t="str">
        <f t="array" ref="AA75">INDEX('Primary - GRADING'!$A$1:$CP997,MATCH($A75,'Primary - GRADING'!$CP:$CP,0),24)</f>
        <v>#N/A</v>
      </c>
      <c r="AB75" s="153" t="str">
        <f t="array" ref="AB75">INDEX('Primary - GRADING'!$A$1:$CP997,MATCH($A75,'Primary - GRADING'!$CP:$CP,0),25)</f>
        <v>#N/A</v>
      </c>
      <c r="AC75" s="153" t="str">
        <f t="array" ref="AC75">INDEX('Primary - GRADING'!$A$1:$CP997,MATCH($A75,'Primary - GRADING'!$CP:$CP,0),46)</f>
        <v>#N/A</v>
      </c>
      <c r="AG75" s="153" t="str">
        <f t="shared" si="7"/>
        <v>#N/A</v>
      </c>
      <c r="AI75" s="153" t="str">
        <f>VLOOKUP(AH75,'Primary - GRADING'!$A$4:$C997,2,)</f>
        <v>#N/A</v>
      </c>
      <c r="AJ75" s="153" t="str">
        <f>VLOOKUP(AH75,'Primary - GRADING'!$A$4:$C997,3,)</f>
        <v>#N/A</v>
      </c>
      <c r="AK75" s="153" t="str">
        <f>VLOOKUP(AH75,'Primary - GRADING'!$A$4:$BG997,59,)</f>
        <v>#N/A</v>
      </c>
      <c r="AL75" s="153" t="str">
        <f>IFS(AK75="NMA",VLOOKUP(AH75,'Primary - GRADING'!$A$4:$BG997,51,),AK75="DIRECT",VLOOKUP(AH75,'Primary - GRADING'!$A$4:$BG997,8,),AK75="INDIRECT",VLOOKUP(AH75,'Primary - GRADING'!$A$4:$BG997,23,))</f>
        <v>#N/A</v>
      </c>
      <c r="AM75" s="153" t="str">
        <f>IFS(AK75="NMA",VLOOKUP(AH75,'Primary - GRADING'!$A$4:$BG997,52,),AK75="DIRECT",VLOOKUP(AH75,'Primary - GRADING'!$A$4:$BG997,9,),AK75="INDIRECT",VLOOKUP(AH75,'Primary - GRADING'!$A$4:$BG997,24,))</f>
        <v>#N/A</v>
      </c>
      <c r="AN75" s="153" t="str">
        <f>IFS(AK75="NMA",VLOOKUP(AH75,'Primary - GRADING'!$A$4:$BG997,53,),AK75="DIRECT",VLOOKUP(AH75,'Primary - GRADING'!$A$4:$BG997,10,),AK75="INDIRECT",VLOOKUP(AH75,'Primary - GRADING'!$A$4:$BG997,25,))</f>
        <v>#N/A</v>
      </c>
      <c r="AO75" s="153" t="str">
        <f t="shared" si="8"/>
        <v>#N/A</v>
      </c>
      <c r="AT75" s="153" t="str">
        <f t="shared" si="9"/>
        <v>#N/A</v>
      </c>
      <c r="AV75" s="153" t="str">
        <f>VLOOKUP(AU75,'Primary - GRADING'!$A$4:$C997,2,)</f>
        <v>#N/A</v>
      </c>
      <c r="AW75" s="153" t="str">
        <f>VLOOKUP(AU75,'Primary - GRADING'!$A$4:$C997,3,)</f>
        <v>#N/A</v>
      </c>
      <c r="AX75" s="153" t="str">
        <f>VLOOKUP(AU75,'Primary - GRADING'!$A$4:$BG997,59,)</f>
        <v>#N/A</v>
      </c>
      <c r="AY75" s="153" t="str">
        <f>IFS(AX75="NMA",VLOOKUP(AU75,'Primary - GRADING'!$A$4:$BG997,51,),AX75="DIRECT",VLOOKUP(AU75,'Primary - GRADING'!$A$4:$BG997,8,),AX75="INDIRECT",VLOOKUP(AU75,'Primary - GRADING'!$A$4:$BG997,23,))</f>
        <v>#N/A</v>
      </c>
      <c r="AZ75" s="153" t="str">
        <f>IFS(AX75="NMA",VLOOKUP(AU75,'Primary - GRADING'!$A$4:$BG997,52,),AX75="DIRECT",VLOOKUP(AU75,'Primary - GRADING'!$A$4:$BG997,9,),AX75="INDIRECT",VLOOKUP(AU75,'Primary - GRADING'!$A$4:$BG997,24,))</f>
        <v>#N/A</v>
      </c>
      <c r="BA75" s="153" t="str">
        <f>IFS(AX75="NMA",VLOOKUP(AU75,'Primary - GRADING'!$A$4:$BG997,53,),AX75="DIRECT",VLOOKUP(AU75,'Primary - GRADING'!$A$4:$BG997,10,),AX75="INDIRECT",VLOOKUP(AU75,'Primary - GRADING'!$A$4:$BG997,25,))</f>
        <v>#N/A</v>
      </c>
      <c r="BB75" s="153" t="str">
        <f t="shared" si="10"/>
        <v>#N/A</v>
      </c>
      <c r="BE75" s="153" t="str">
        <f t="shared" si="11"/>
        <v/>
      </c>
      <c r="BG75" s="153" t="str">
        <f t="shared" si="12"/>
        <v>#N/A</v>
      </c>
      <c r="BI75" s="153" t="str">
        <f t="shared" si="13"/>
        <v>#N/A</v>
      </c>
      <c r="BK75" s="153" t="str">
        <f t="shared" si="14"/>
        <v>#N/A</v>
      </c>
      <c r="BM75" s="153" t="str">
        <f t="shared" si="15"/>
        <v>#N/A</v>
      </c>
    </row>
    <row r="76" ht="15.75" customHeight="1">
      <c r="B76" s="160" t="str">
        <f t="shared" si="1"/>
        <v>#N/A</v>
      </c>
      <c r="C76" s="160" t="str">
        <f t="shared" si="2"/>
        <v>#N/A</v>
      </c>
      <c r="D76" s="160" t="str">
        <f t="shared" si="3"/>
        <v>#N/A</v>
      </c>
      <c r="E76" s="161" t="str">
        <f t="shared" si="4"/>
        <v>#N/A</v>
      </c>
      <c r="F76" s="153" t="str">
        <f t="shared" si="17"/>
        <v>#N/A</v>
      </c>
      <c r="G76" s="153" t="str">
        <f t="shared" si="6"/>
        <v>#N/A</v>
      </c>
      <c r="H76" s="156" t="str">
        <f t="array" ref="H76">INDEX('Primary - GRADING'!$A$1:$BG997,MATCH($A76,'Primary - GRADING'!$B:$B,0),59)</f>
        <v>#N/A</v>
      </c>
      <c r="I76" s="153" t="str">
        <f t="array" ref="I76">INDEX('Primary - GRADING'!$A$1:$CP997,MATCH($A76,'Primary - GRADING'!$CP:$CP,0),48)</f>
        <v>#N/A</v>
      </c>
      <c r="J76" s="153" t="str">
        <f t="array" ref="J76">INDEX('Primary - GRADING'!$A$1:$CP997,MATCH($A76,'Primary - GRADING'!$CP:$CP,0),49)</f>
        <v>#N/A</v>
      </c>
      <c r="K76" s="153" t="str">
        <f t="array" ref="K76">INDEX('Primary - GRADING'!$A$1:$CP997,MATCH($A76,'Primary - GRADING'!$CP:$CP,0),50)</f>
        <v>#N/A</v>
      </c>
      <c r="L76" s="153" t="str">
        <f t="array" ref="L76">INDEX('Primary - GRADING'!$A$1:$CP997,MATCH($A76,'Primary - GRADING'!$CP:$CP,0),51)</f>
        <v>#N/A</v>
      </c>
      <c r="M76" s="153" t="str">
        <f t="array" ref="M76">INDEX('Primary - GRADING'!$A$1:$CP997,MATCH($A76,'Primary - GRADING'!$CP:$CP,0),52)</f>
        <v>#N/A</v>
      </c>
      <c r="N76" s="153" t="str">
        <f t="array" ref="N76">INDEX('Primary - GRADING'!$A$1:$CP997,MATCH($A76,'Primary - GRADING'!$CP:$CP,0),53)</f>
        <v>#N/A</v>
      </c>
      <c r="O76" s="153" t="str">
        <f t="array" ref="O76">INDEX('Primary - GRADING'!$A$1:$CP997,MATCH($A76,'Primary - GRADING'!$CP:$CP,0),58)</f>
        <v>#N/A</v>
      </c>
      <c r="P76" s="153" t="str">
        <f t="array" ref="P76">INDEX('Primary - GRADING'!$A$1:$CP997,MATCH($A76,'Primary - GRADING'!$CP:$CP,0),5)</f>
        <v>#N/A</v>
      </c>
      <c r="Q76" s="153" t="str">
        <f t="array" ref="Q76">INDEX('Primary - GRADING'!$A$1:$CP997,MATCH($A76,'Primary - GRADING'!$CP:$CP,0),6)</f>
        <v>#N/A</v>
      </c>
      <c r="R76" s="153" t="str">
        <f t="array" ref="R76">INDEX('Primary - GRADING'!$A$1:$CP997,MATCH($A76,'Primary - GRADING'!$CP:$CP,0),7)</f>
        <v>#N/A</v>
      </c>
      <c r="S76" s="153" t="str">
        <f t="array" ref="S76">INDEX('Primary - GRADING'!$A$1:$CP997,MATCH($A76,'Primary - GRADING'!$CP:$CP,0),8)</f>
        <v>#N/A</v>
      </c>
      <c r="T76" s="153" t="str">
        <f t="array" ref="T76">INDEX('Primary - GRADING'!$A$1:$CP997,MATCH($A76,'Primary - GRADING'!$CP:$CP,0),9)</f>
        <v>#N/A</v>
      </c>
      <c r="U76" s="153" t="str">
        <f t="array" ref="U76">INDEX('Primary - GRADING'!$A$1:$CP997,MATCH($A76,'Primary - GRADING'!$CP:$CP,0),10)</f>
        <v>#N/A</v>
      </c>
      <c r="V76" s="153" t="str">
        <f t="array" ref="V76">INDEX('Primary - GRADING'!$A$1:$CP997,MATCH($A76,'Primary - GRADING'!$CP:$CP,0),18)</f>
        <v>#N/A</v>
      </c>
      <c r="W76" s="153" t="str">
        <f t="array" ref="W76">INDEX('Primary - GRADING'!$A$1:$CP997,MATCH($A76,'Primary - GRADING'!$CP:$CP,0),20)</f>
        <v>#N/A</v>
      </c>
      <c r="X76" s="153" t="str">
        <f t="array" ref="X76">INDEX('Primary - GRADING'!$A$1:$CP997,MATCH($A76,'Primary - GRADING'!$CP:$CP,0),21)</f>
        <v>#N/A</v>
      </c>
      <c r="Y76" s="153" t="str">
        <f t="array" ref="Y76">INDEX('Primary - GRADING'!$A$1:$CP997,MATCH($A76,'Primary - GRADING'!$CP:$CP,0),22)</f>
        <v>#N/A</v>
      </c>
      <c r="Z76" s="165" t="str">
        <f t="array" ref="Z76">INDEX('Primary - GRADING'!$A$1:$CP997,MATCH($A76,'Primary - GRADING'!$CP:$CP,0),23)</f>
        <v>#N/A</v>
      </c>
      <c r="AA76" s="153" t="str">
        <f t="array" ref="AA76">INDEX('Primary - GRADING'!$A$1:$CP997,MATCH($A76,'Primary - GRADING'!$CP:$CP,0),24)</f>
        <v>#N/A</v>
      </c>
      <c r="AB76" s="153" t="str">
        <f t="array" ref="AB76">INDEX('Primary - GRADING'!$A$1:$CP997,MATCH($A76,'Primary - GRADING'!$CP:$CP,0),25)</f>
        <v>#N/A</v>
      </c>
      <c r="AC76" s="153" t="str">
        <f t="array" ref="AC76">INDEX('Primary - GRADING'!$A$1:$CP997,MATCH($A76,'Primary - GRADING'!$CP:$CP,0),46)</f>
        <v>#N/A</v>
      </c>
      <c r="AG76" s="153" t="str">
        <f t="shared" si="7"/>
        <v>#N/A</v>
      </c>
      <c r="AI76" s="153" t="str">
        <f>VLOOKUP(AH76,'Primary - GRADING'!$A$4:$C997,2,)</f>
        <v>#N/A</v>
      </c>
      <c r="AJ76" s="153" t="str">
        <f>VLOOKUP(AH76,'Primary - GRADING'!$A$4:$C997,3,)</f>
        <v>#N/A</v>
      </c>
      <c r="AK76" s="153" t="str">
        <f>VLOOKUP(AH76,'Primary - GRADING'!$A$4:$BG997,59,)</f>
        <v>#N/A</v>
      </c>
      <c r="AL76" s="153" t="str">
        <f>IFS(AK76="NMA",VLOOKUP(AH76,'Primary - GRADING'!$A$4:$BG997,51,),AK76="DIRECT",VLOOKUP(AH76,'Primary - GRADING'!$A$4:$BG997,8,),AK76="INDIRECT",VLOOKUP(AH76,'Primary - GRADING'!$A$4:$BG997,23,))</f>
        <v>#N/A</v>
      </c>
      <c r="AM76" s="153" t="str">
        <f>IFS(AK76="NMA",VLOOKUP(AH76,'Primary - GRADING'!$A$4:$BG997,52,),AK76="DIRECT",VLOOKUP(AH76,'Primary - GRADING'!$A$4:$BG997,9,),AK76="INDIRECT",VLOOKUP(AH76,'Primary - GRADING'!$A$4:$BG997,24,))</f>
        <v>#N/A</v>
      </c>
      <c r="AN76" s="153" t="str">
        <f>IFS(AK76="NMA",VLOOKUP(AH76,'Primary - GRADING'!$A$4:$BG997,53,),AK76="DIRECT",VLOOKUP(AH76,'Primary - GRADING'!$A$4:$BG997,10,),AK76="INDIRECT",VLOOKUP(AH76,'Primary - GRADING'!$A$4:$BG997,25,))</f>
        <v>#N/A</v>
      </c>
      <c r="AO76" s="153" t="str">
        <f t="shared" si="8"/>
        <v>#N/A</v>
      </c>
      <c r="AT76" s="153" t="str">
        <f t="shared" si="9"/>
        <v>#N/A</v>
      </c>
      <c r="AV76" s="153" t="str">
        <f>VLOOKUP(AU76,'Primary - GRADING'!$A$4:$C997,2,)</f>
        <v>#N/A</v>
      </c>
      <c r="AW76" s="153" t="str">
        <f>VLOOKUP(AU76,'Primary - GRADING'!$A$4:$C997,3,)</f>
        <v>#N/A</v>
      </c>
      <c r="AX76" s="153" t="str">
        <f>VLOOKUP(AU76,'Primary - GRADING'!$A$4:$BG997,59,)</f>
        <v>#N/A</v>
      </c>
      <c r="AY76" s="153" t="str">
        <f>IFS(AX76="NMA",VLOOKUP(AU76,'Primary - GRADING'!$A$4:$BG997,51,),AX76="DIRECT",VLOOKUP(AU76,'Primary - GRADING'!$A$4:$BG997,8,),AX76="INDIRECT",VLOOKUP(AU76,'Primary - GRADING'!$A$4:$BG997,23,))</f>
        <v>#N/A</v>
      </c>
      <c r="AZ76" s="153" t="str">
        <f>IFS(AX76="NMA",VLOOKUP(AU76,'Primary - GRADING'!$A$4:$BG997,52,),AX76="DIRECT",VLOOKUP(AU76,'Primary - GRADING'!$A$4:$BG997,9,),AX76="INDIRECT",VLOOKUP(AU76,'Primary - GRADING'!$A$4:$BG997,24,))</f>
        <v>#N/A</v>
      </c>
      <c r="BA76" s="153" t="str">
        <f>IFS(AX76="NMA",VLOOKUP(AU76,'Primary - GRADING'!$A$4:$BG997,53,),AX76="DIRECT",VLOOKUP(AU76,'Primary - GRADING'!$A$4:$BG997,10,),AX76="INDIRECT",VLOOKUP(AU76,'Primary - GRADING'!$A$4:$BG997,25,))</f>
        <v>#N/A</v>
      </c>
      <c r="BB76" s="153" t="str">
        <f t="shared" si="10"/>
        <v>#N/A</v>
      </c>
      <c r="BE76" s="153" t="str">
        <f t="shared" si="11"/>
        <v/>
      </c>
      <c r="BG76" s="153" t="str">
        <f t="shared" si="12"/>
        <v>#N/A</v>
      </c>
      <c r="BI76" s="153" t="str">
        <f t="shared" si="13"/>
        <v>#N/A</v>
      </c>
      <c r="BK76" s="153" t="str">
        <f t="shared" si="14"/>
        <v>#N/A</v>
      </c>
      <c r="BM76" s="153" t="str">
        <f t="shared" si="15"/>
        <v>#N/A</v>
      </c>
    </row>
    <row r="77" ht="15.75" customHeight="1">
      <c r="B77" s="160" t="str">
        <f t="shared" si="1"/>
        <v>#N/A</v>
      </c>
      <c r="C77" s="160" t="str">
        <f t="shared" si="2"/>
        <v>#N/A</v>
      </c>
      <c r="D77" s="160" t="str">
        <f t="shared" si="3"/>
        <v>#N/A</v>
      </c>
      <c r="E77" s="161" t="str">
        <f t="shared" si="4"/>
        <v>#N/A</v>
      </c>
      <c r="F77" s="153" t="str">
        <f t="shared" si="17"/>
        <v>#N/A</v>
      </c>
      <c r="G77" s="153" t="str">
        <f t="shared" si="6"/>
        <v>#N/A</v>
      </c>
      <c r="H77" s="156" t="str">
        <f t="array" ref="H77">INDEX('Primary - GRADING'!$A$1:$BG997,MATCH($A77,'Primary - GRADING'!$B:$B,0),59)</f>
        <v>#N/A</v>
      </c>
      <c r="I77" s="153" t="str">
        <f t="array" ref="I77">INDEX('Primary - GRADING'!$A$1:$CP997,MATCH($A77,'Primary - GRADING'!$CP:$CP,0),48)</f>
        <v>#N/A</v>
      </c>
      <c r="J77" s="153" t="str">
        <f t="array" ref="J77">INDEX('Primary - GRADING'!$A$1:$CP997,MATCH($A77,'Primary - GRADING'!$CP:$CP,0),49)</f>
        <v>#N/A</v>
      </c>
      <c r="K77" s="153" t="str">
        <f t="array" ref="K77">INDEX('Primary - GRADING'!$A$1:$CP997,MATCH($A77,'Primary - GRADING'!$CP:$CP,0),50)</f>
        <v>#N/A</v>
      </c>
      <c r="L77" s="153" t="str">
        <f t="array" ref="L77">INDEX('Primary - GRADING'!$A$1:$CP997,MATCH($A77,'Primary - GRADING'!$CP:$CP,0),51)</f>
        <v>#N/A</v>
      </c>
      <c r="M77" s="153" t="str">
        <f t="array" ref="M77">INDEX('Primary - GRADING'!$A$1:$CP997,MATCH($A77,'Primary - GRADING'!$CP:$CP,0),52)</f>
        <v>#N/A</v>
      </c>
      <c r="N77" s="153" t="str">
        <f t="array" ref="N77">INDEX('Primary - GRADING'!$A$1:$CP997,MATCH($A77,'Primary - GRADING'!$CP:$CP,0),53)</f>
        <v>#N/A</v>
      </c>
      <c r="O77" s="153" t="str">
        <f t="array" ref="O77">INDEX('Primary - GRADING'!$A$1:$CP997,MATCH($A77,'Primary - GRADING'!$CP:$CP,0),58)</f>
        <v>#N/A</v>
      </c>
      <c r="P77" s="153" t="str">
        <f t="array" ref="P77">INDEX('Primary - GRADING'!$A$1:$CP997,MATCH($A77,'Primary - GRADING'!$CP:$CP,0),5)</f>
        <v>#N/A</v>
      </c>
      <c r="Q77" s="153" t="str">
        <f t="array" ref="Q77">INDEX('Primary - GRADING'!$A$1:$CP997,MATCH($A77,'Primary - GRADING'!$CP:$CP,0),6)</f>
        <v>#N/A</v>
      </c>
      <c r="R77" s="153" t="str">
        <f t="array" ref="R77">INDEX('Primary - GRADING'!$A$1:$CP997,MATCH($A77,'Primary - GRADING'!$CP:$CP,0),7)</f>
        <v>#N/A</v>
      </c>
      <c r="S77" s="153" t="str">
        <f t="array" ref="S77">INDEX('Primary - GRADING'!$A$1:$CP997,MATCH($A77,'Primary - GRADING'!$CP:$CP,0),8)</f>
        <v>#N/A</v>
      </c>
      <c r="T77" s="153" t="str">
        <f t="array" ref="T77">INDEX('Primary - GRADING'!$A$1:$CP997,MATCH($A77,'Primary - GRADING'!$CP:$CP,0),9)</f>
        <v>#N/A</v>
      </c>
      <c r="U77" s="153" t="str">
        <f t="array" ref="U77">INDEX('Primary - GRADING'!$A$1:$CP997,MATCH($A77,'Primary - GRADING'!$CP:$CP,0),10)</f>
        <v>#N/A</v>
      </c>
      <c r="V77" s="153" t="str">
        <f t="array" ref="V77">INDEX('Primary - GRADING'!$A$1:$CP997,MATCH($A77,'Primary - GRADING'!$CP:$CP,0),18)</f>
        <v>#N/A</v>
      </c>
      <c r="W77" s="153" t="str">
        <f t="array" ref="W77">INDEX('Primary - GRADING'!$A$1:$CP997,MATCH($A77,'Primary - GRADING'!$CP:$CP,0),20)</f>
        <v>#N/A</v>
      </c>
      <c r="X77" s="153" t="str">
        <f t="array" ref="X77">INDEX('Primary - GRADING'!$A$1:$CP997,MATCH($A77,'Primary - GRADING'!$CP:$CP,0),21)</f>
        <v>#N/A</v>
      </c>
      <c r="Y77" s="153" t="str">
        <f t="array" ref="Y77">INDEX('Primary - GRADING'!$A$1:$CP997,MATCH($A77,'Primary - GRADING'!$CP:$CP,0),22)</f>
        <v>#N/A</v>
      </c>
      <c r="Z77" s="165" t="str">
        <f t="array" ref="Z77">INDEX('Primary - GRADING'!$A$1:$CP997,MATCH($A77,'Primary - GRADING'!$CP:$CP,0),23)</f>
        <v>#N/A</v>
      </c>
      <c r="AA77" s="153" t="str">
        <f t="array" ref="AA77">INDEX('Primary - GRADING'!$A$1:$CP997,MATCH($A77,'Primary - GRADING'!$CP:$CP,0),24)</f>
        <v>#N/A</v>
      </c>
      <c r="AB77" s="153" t="str">
        <f t="array" ref="AB77">INDEX('Primary - GRADING'!$A$1:$CP997,MATCH($A77,'Primary - GRADING'!$CP:$CP,0),25)</f>
        <v>#N/A</v>
      </c>
      <c r="AC77" s="153" t="str">
        <f t="array" ref="AC77">INDEX('Primary - GRADING'!$A$1:$CP997,MATCH($A77,'Primary - GRADING'!$CP:$CP,0),46)</f>
        <v>#N/A</v>
      </c>
      <c r="AG77" s="153" t="str">
        <f t="shared" si="7"/>
        <v>#N/A</v>
      </c>
      <c r="AI77" s="153" t="str">
        <f>VLOOKUP(AH77,'Primary - GRADING'!$A$4:$C997,2,)</f>
        <v>#N/A</v>
      </c>
      <c r="AJ77" s="153" t="str">
        <f>VLOOKUP(AH77,'Primary - GRADING'!$A$4:$C997,3,)</f>
        <v>#N/A</v>
      </c>
      <c r="AK77" s="153" t="str">
        <f>VLOOKUP(AH77,'Primary - GRADING'!$A$4:$BG997,59,)</f>
        <v>#N/A</v>
      </c>
      <c r="AL77" s="153" t="str">
        <f>IFS(AK77="NMA",VLOOKUP(AH77,'Primary - GRADING'!$A$4:$BG997,51,),AK77="DIRECT",VLOOKUP(AH77,'Primary - GRADING'!$A$4:$BG997,8,),AK77="INDIRECT",VLOOKUP(AH77,'Primary - GRADING'!$A$4:$BG997,23,))</f>
        <v>#N/A</v>
      </c>
      <c r="AM77" s="153" t="str">
        <f>IFS(AK77="NMA",VLOOKUP(AH77,'Primary - GRADING'!$A$4:$BG997,52,),AK77="DIRECT",VLOOKUP(AH77,'Primary - GRADING'!$A$4:$BG997,9,),AK77="INDIRECT",VLOOKUP(AH77,'Primary - GRADING'!$A$4:$BG997,24,))</f>
        <v>#N/A</v>
      </c>
      <c r="AN77" s="153" t="str">
        <f>IFS(AK77="NMA",VLOOKUP(AH77,'Primary - GRADING'!$A$4:$BG997,53,),AK77="DIRECT",VLOOKUP(AH77,'Primary - GRADING'!$A$4:$BG997,10,),AK77="INDIRECT",VLOOKUP(AH77,'Primary - GRADING'!$A$4:$BG997,25,))</f>
        <v>#N/A</v>
      </c>
      <c r="AO77" s="153" t="str">
        <f t="shared" si="8"/>
        <v>#N/A</v>
      </c>
      <c r="AT77" s="153" t="str">
        <f t="shared" si="9"/>
        <v>#N/A</v>
      </c>
      <c r="AV77" s="153" t="str">
        <f>VLOOKUP(AU77,'Primary - GRADING'!$A$4:$C997,2,)</f>
        <v>#N/A</v>
      </c>
      <c r="AW77" s="153" t="str">
        <f>VLOOKUP(AU77,'Primary - GRADING'!$A$4:$C997,3,)</f>
        <v>#N/A</v>
      </c>
      <c r="AX77" s="153" t="str">
        <f>VLOOKUP(AU77,'Primary - GRADING'!$A$4:$BG997,59,)</f>
        <v>#N/A</v>
      </c>
      <c r="AY77" s="153" t="str">
        <f>IFS(AX77="NMA",VLOOKUP(AU77,'Primary - GRADING'!$A$4:$BG997,51,),AX77="DIRECT",VLOOKUP(AU77,'Primary - GRADING'!$A$4:$BG997,8,),AX77="INDIRECT",VLOOKUP(AU77,'Primary - GRADING'!$A$4:$BG997,23,))</f>
        <v>#N/A</v>
      </c>
      <c r="AZ77" s="153" t="str">
        <f>IFS(AX77="NMA",VLOOKUP(AU77,'Primary - GRADING'!$A$4:$BG997,52,),AX77="DIRECT",VLOOKUP(AU77,'Primary - GRADING'!$A$4:$BG997,9,),AX77="INDIRECT",VLOOKUP(AU77,'Primary - GRADING'!$A$4:$BG997,24,))</f>
        <v>#N/A</v>
      </c>
      <c r="BA77" s="153" t="str">
        <f>IFS(AX77="NMA",VLOOKUP(AU77,'Primary - GRADING'!$A$4:$BG997,53,),AX77="DIRECT",VLOOKUP(AU77,'Primary - GRADING'!$A$4:$BG997,10,),AX77="INDIRECT",VLOOKUP(AU77,'Primary - GRADING'!$A$4:$BG997,25,))</f>
        <v>#N/A</v>
      </c>
      <c r="BB77" s="153" t="str">
        <f t="shared" si="10"/>
        <v>#N/A</v>
      </c>
      <c r="BE77" s="153" t="str">
        <f t="shared" si="11"/>
        <v/>
      </c>
      <c r="BG77" s="153" t="str">
        <f t="shared" si="12"/>
        <v>#N/A</v>
      </c>
      <c r="BI77" s="153" t="str">
        <f t="shared" si="13"/>
        <v>#N/A</v>
      </c>
      <c r="BK77" s="153" t="str">
        <f t="shared" si="14"/>
        <v>#N/A</v>
      </c>
      <c r="BM77" s="153" t="str">
        <f t="shared" si="15"/>
        <v>#N/A</v>
      </c>
    </row>
    <row r="78" ht="15.75" customHeight="1">
      <c r="B78" s="160" t="str">
        <f t="shared" si="1"/>
        <v>#N/A</v>
      </c>
      <c r="C78" s="160" t="str">
        <f t="shared" si="2"/>
        <v>#N/A</v>
      </c>
      <c r="D78" s="160" t="str">
        <f t="shared" si="3"/>
        <v>#N/A</v>
      </c>
      <c r="E78" s="161" t="str">
        <f t="shared" si="4"/>
        <v>#N/A</v>
      </c>
      <c r="F78" s="153" t="str">
        <f t="shared" si="17"/>
        <v>#N/A</v>
      </c>
      <c r="G78" s="153" t="str">
        <f t="shared" si="6"/>
        <v>#N/A</v>
      </c>
      <c r="H78" s="156" t="str">
        <f t="array" ref="H78">INDEX('Primary - GRADING'!$A$1:$BG997,MATCH($A78,'Primary - GRADING'!$B:$B,0),59)</f>
        <v>#N/A</v>
      </c>
      <c r="I78" s="153" t="str">
        <f t="array" ref="I78">INDEX('Primary - GRADING'!$A$1:$CP997,MATCH($A78,'Primary - GRADING'!$CP:$CP,0),48)</f>
        <v>#N/A</v>
      </c>
      <c r="J78" s="153" t="str">
        <f t="array" ref="J78">INDEX('Primary - GRADING'!$A$1:$CP997,MATCH($A78,'Primary - GRADING'!$CP:$CP,0),49)</f>
        <v>#N/A</v>
      </c>
      <c r="K78" s="153" t="str">
        <f t="array" ref="K78">INDEX('Primary - GRADING'!$A$1:$CP997,MATCH($A78,'Primary - GRADING'!$CP:$CP,0),50)</f>
        <v>#N/A</v>
      </c>
      <c r="L78" s="153" t="str">
        <f t="array" ref="L78">INDEX('Primary - GRADING'!$A$1:$CP997,MATCH($A78,'Primary - GRADING'!$CP:$CP,0),51)</f>
        <v>#N/A</v>
      </c>
      <c r="M78" s="153" t="str">
        <f t="array" ref="M78">INDEX('Primary - GRADING'!$A$1:$CP997,MATCH($A78,'Primary - GRADING'!$CP:$CP,0),52)</f>
        <v>#N/A</v>
      </c>
      <c r="N78" s="153" t="str">
        <f t="array" ref="N78">INDEX('Primary - GRADING'!$A$1:$CP997,MATCH($A78,'Primary - GRADING'!$CP:$CP,0),53)</f>
        <v>#N/A</v>
      </c>
      <c r="O78" s="153" t="str">
        <f t="array" ref="O78">INDEX('Primary - GRADING'!$A$1:$CP997,MATCH($A78,'Primary - GRADING'!$CP:$CP,0),58)</f>
        <v>#N/A</v>
      </c>
      <c r="P78" s="153" t="str">
        <f t="array" ref="P78">INDEX('Primary - GRADING'!$A$1:$CP997,MATCH($A78,'Primary - GRADING'!$CP:$CP,0),5)</f>
        <v>#N/A</v>
      </c>
      <c r="Q78" s="153" t="str">
        <f t="array" ref="Q78">INDEX('Primary - GRADING'!$A$1:$CP997,MATCH($A78,'Primary - GRADING'!$CP:$CP,0),6)</f>
        <v>#N/A</v>
      </c>
      <c r="R78" s="153" t="str">
        <f t="array" ref="R78">INDEX('Primary - GRADING'!$A$1:$CP997,MATCH($A78,'Primary - GRADING'!$CP:$CP,0),7)</f>
        <v>#N/A</v>
      </c>
      <c r="S78" s="153" t="str">
        <f t="array" ref="S78">INDEX('Primary - GRADING'!$A$1:$CP997,MATCH($A78,'Primary - GRADING'!$CP:$CP,0),8)</f>
        <v>#N/A</v>
      </c>
      <c r="T78" s="153" t="str">
        <f t="array" ref="T78">INDEX('Primary - GRADING'!$A$1:$CP997,MATCH($A78,'Primary - GRADING'!$CP:$CP,0),9)</f>
        <v>#N/A</v>
      </c>
      <c r="U78" s="153" t="str">
        <f t="array" ref="U78">INDEX('Primary - GRADING'!$A$1:$CP997,MATCH($A78,'Primary - GRADING'!$CP:$CP,0),10)</f>
        <v>#N/A</v>
      </c>
      <c r="V78" s="153" t="str">
        <f t="array" ref="V78">INDEX('Primary - GRADING'!$A$1:$CP997,MATCH($A78,'Primary - GRADING'!$CP:$CP,0),18)</f>
        <v>#N/A</v>
      </c>
      <c r="W78" s="153" t="str">
        <f t="array" ref="W78">INDEX('Primary - GRADING'!$A$1:$CP997,MATCH($A78,'Primary - GRADING'!$CP:$CP,0),20)</f>
        <v>#N/A</v>
      </c>
      <c r="X78" s="153" t="str">
        <f t="array" ref="X78">INDEX('Primary - GRADING'!$A$1:$CP997,MATCH($A78,'Primary - GRADING'!$CP:$CP,0),21)</f>
        <v>#N/A</v>
      </c>
      <c r="Y78" s="153" t="str">
        <f t="array" ref="Y78">INDEX('Primary - GRADING'!$A$1:$CP997,MATCH($A78,'Primary - GRADING'!$CP:$CP,0),22)</f>
        <v>#N/A</v>
      </c>
      <c r="Z78" s="165" t="str">
        <f t="array" ref="Z78">INDEX('Primary - GRADING'!$A$1:$CP997,MATCH($A78,'Primary - GRADING'!$CP:$CP,0),23)</f>
        <v>#N/A</v>
      </c>
      <c r="AA78" s="153" t="str">
        <f t="array" ref="AA78">INDEX('Primary - GRADING'!$A$1:$CP997,MATCH($A78,'Primary - GRADING'!$CP:$CP,0),24)</f>
        <v>#N/A</v>
      </c>
      <c r="AB78" s="153" t="str">
        <f t="array" ref="AB78">INDEX('Primary - GRADING'!$A$1:$CP997,MATCH($A78,'Primary - GRADING'!$CP:$CP,0),25)</f>
        <v>#N/A</v>
      </c>
      <c r="AC78" s="153" t="str">
        <f t="array" ref="AC78">INDEX('Primary - GRADING'!$A$1:$CP997,MATCH($A78,'Primary - GRADING'!$CP:$CP,0),46)</f>
        <v>#N/A</v>
      </c>
      <c r="AG78" s="153" t="str">
        <f t="shared" si="7"/>
        <v>#N/A</v>
      </c>
      <c r="AI78" s="153" t="str">
        <f>VLOOKUP(AH78,'Primary - GRADING'!$A$4:$C997,2,)</f>
        <v>#N/A</v>
      </c>
      <c r="AJ78" s="153" t="str">
        <f>VLOOKUP(AH78,'Primary - GRADING'!$A$4:$C997,3,)</f>
        <v>#N/A</v>
      </c>
      <c r="AK78" s="153" t="str">
        <f>VLOOKUP(AH78,'Primary - GRADING'!$A$4:$BG997,59,)</f>
        <v>#N/A</v>
      </c>
      <c r="AL78" s="153" t="str">
        <f>IFS(AK78="NMA",VLOOKUP(AH78,'Primary - GRADING'!$A$4:$BG997,51,),AK78="DIRECT",VLOOKUP(AH78,'Primary - GRADING'!$A$4:$BG997,8,),AK78="INDIRECT",VLOOKUP(AH78,'Primary - GRADING'!$A$4:$BG997,23,))</f>
        <v>#N/A</v>
      </c>
      <c r="AM78" s="153" t="str">
        <f>IFS(AK78="NMA",VLOOKUP(AH78,'Primary - GRADING'!$A$4:$BG997,52,),AK78="DIRECT",VLOOKUP(AH78,'Primary - GRADING'!$A$4:$BG997,9,),AK78="INDIRECT",VLOOKUP(AH78,'Primary - GRADING'!$A$4:$BG997,24,))</f>
        <v>#N/A</v>
      </c>
      <c r="AN78" s="153" t="str">
        <f>IFS(AK78="NMA",VLOOKUP(AH78,'Primary - GRADING'!$A$4:$BG997,53,),AK78="DIRECT",VLOOKUP(AH78,'Primary - GRADING'!$A$4:$BG997,10,),AK78="INDIRECT",VLOOKUP(AH78,'Primary - GRADING'!$A$4:$BG997,25,))</f>
        <v>#N/A</v>
      </c>
      <c r="AO78" s="153" t="str">
        <f t="shared" si="8"/>
        <v>#N/A</v>
      </c>
      <c r="AT78" s="153" t="str">
        <f t="shared" si="9"/>
        <v>#N/A</v>
      </c>
      <c r="AV78" s="153" t="str">
        <f>VLOOKUP(AU78,'Primary - GRADING'!$A$4:$C997,2,)</f>
        <v>#N/A</v>
      </c>
      <c r="AW78" s="153" t="str">
        <f>VLOOKUP(AU78,'Primary - GRADING'!$A$4:$C997,3,)</f>
        <v>#N/A</v>
      </c>
      <c r="AX78" s="153" t="str">
        <f>VLOOKUP(AU78,'Primary - GRADING'!$A$4:$BG997,59,)</f>
        <v>#N/A</v>
      </c>
      <c r="AY78" s="153" t="str">
        <f>IFS(AX78="NMA",VLOOKUP(AU78,'Primary - GRADING'!$A$4:$BG997,51,),AX78="DIRECT",VLOOKUP(AU78,'Primary - GRADING'!$A$4:$BG997,8,),AX78="INDIRECT",VLOOKUP(AU78,'Primary - GRADING'!$A$4:$BG997,23,))</f>
        <v>#N/A</v>
      </c>
      <c r="AZ78" s="153" t="str">
        <f>IFS(AX78="NMA",VLOOKUP(AU78,'Primary - GRADING'!$A$4:$BG997,52,),AX78="DIRECT",VLOOKUP(AU78,'Primary - GRADING'!$A$4:$BG997,9,),AX78="INDIRECT",VLOOKUP(AU78,'Primary - GRADING'!$A$4:$BG997,24,))</f>
        <v>#N/A</v>
      </c>
      <c r="BA78" s="153" t="str">
        <f>IFS(AX78="NMA",VLOOKUP(AU78,'Primary - GRADING'!$A$4:$BG997,53,),AX78="DIRECT",VLOOKUP(AU78,'Primary - GRADING'!$A$4:$BG997,10,),AX78="INDIRECT",VLOOKUP(AU78,'Primary - GRADING'!$A$4:$BG997,25,))</f>
        <v>#N/A</v>
      </c>
      <c r="BB78" s="153" t="str">
        <f t="shared" si="10"/>
        <v>#N/A</v>
      </c>
      <c r="BE78" s="153" t="str">
        <f t="shared" si="11"/>
        <v/>
      </c>
      <c r="BG78" s="153" t="str">
        <f t="shared" si="12"/>
        <v>#N/A</v>
      </c>
      <c r="BI78" s="153" t="str">
        <f t="shared" si="13"/>
        <v>#N/A</v>
      </c>
      <c r="BK78" s="153" t="str">
        <f t="shared" si="14"/>
        <v>#N/A</v>
      </c>
      <c r="BM78" s="153" t="str">
        <f t="shared" si="15"/>
        <v>#N/A</v>
      </c>
    </row>
    <row r="79" ht="15.75" customHeight="1">
      <c r="B79" s="160" t="str">
        <f t="shared" si="1"/>
        <v>#N/A</v>
      </c>
      <c r="C79" s="160" t="str">
        <f t="shared" si="2"/>
        <v>#N/A</v>
      </c>
      <c r="D79" s="160" t="str">
        <f t="shared" si="3"/>
        <v>#N/A</v>
      </c>
      <c r="E79" s="161" t="str">
        <f t="shared" si="4"/>
        <v>#N/A</v>
      </c>
      <c r="F79" s="153" t="str">
        <f t="shared" si="17"/>
        <v>#N/A</v>
      </c>
      <c r="G79" s="153" t="str">
        <f t="shared" si="6"/>
        <v>#N/A</v>
      </c>
      <c r="H79" s="156" t="str">
        <f t="array" ref="H79">INDEX('Primary - GRADING'!$A$1:$BG997,MATCH($A79,'Primary - GRADING'!$B:$B,0),59)</f>
        <v>#N/A</v>
      </c>
      <c r="I79" s="153" t="str">
        <f t="array" ref="I79">INDEX('Primary - GRADING'!$A$1:$CP997,MATCH($A79,'Primary - GRADING'!$CP:$CP,0),48)</f>
        <v>#N/A</v>
      </c>
      <c r="J79" s="153" t="str">
        <f t="array" ref="J79">INDEX('Primary - GRADING'!$A$1:$CP997,MATCH($A79,'Primary - GRADING'!$CP:$CP,0),49)</f>
        <v>#N/A</v>
      </c>
      <c r="K79" s="153" t="str">
        <f t="array" ref="K79">INDEX('Primary - GRADING'!$A$1:$CP997,MATCH($A79,'Primary - GRADING'!$CP:$CP,0),50)</f>
        <v>#N/A</v>
      </c>
      <c r="L79" s="153" t="str">
        <f t="array" ref="L79">INDEX('Primary - GRADING'!$A$1:$CP997,MATCH($A79,'Primary - GRADING'!$CP:$CP,0),51)</f>
        <v>#N/A</v>
      </c>
      <c r="M79" s="153" t="str">
        <f t="array" ref="M79">INDEX('Primary - GRADING'!$A$1:$CP997,MATCH($A79,'Primary - GRADING'!$CP:$CP,0),52)</f>
        <v>#N/A</v>
      </c>
      <c r="N79" s="153" t="str">
        <f t="array" ref="N79">INDEX('Primary - GRADING'!$A$1:$CP997,MATCH($A79,'Primary - GRADING'!$CP:$CP,0),53)</f>
        <v>#N/A</v>
      </c>
      <c r="O79" s="153" t="str">
        <f t="array" ref="O79">INDEX('Primary - GRADING'!$A$1:$CP997,MATCH($A79,'Primary - GRADING'!$CP:$CP,0),58)</f>
        <v>#N/A</v>
      </c>
      <c r="P79" s="153" t="str">
        <f t="array" ref="P79">INDEX('Primary - GRADING'!$A$1:$CP997,MATCH($A79,'Primary - GRADING'!$CP:$CP,0),5)</f>
        <v>#N/A</v>
      </c>
      <c r="Q79" s="153" t="str">
        <f t="array" ref="Q79">INDEX('Primary - GRADING'!$A$1:$CP997,MATCH($A79,'Primary - GRADING'!$CP:$CP,0),6)</f>
        <v>#N/A</v>
      </c>
      <c r="R79" s="153" t="str">
        <f t="array" ref="R79">INDEX('Primary - GRADING'!$A$1:$CP997,MATCH($A79,'Primary - GRADING'!$CP:$CP,0),7)</f>
        <v>#N/A</v>
      </c>
      <c r="S79" s="153" t="str">
        <f t="array" ref="S79">INDEX('Primary - GRADING'!$A$1:$CP997,MATCH($A79,'Primary - GRADING'!$CP:$CP,0),8)</f>
        <v>#N/A</v>
      </c>
      <c r="T79" s="153" t="str">
        <f t="array" ref="T79">INDEX('Primary - GRADING'!$A$1:$CP997,MATCH($A79,'Primary - GRADING'!$CP:$CP,0),9)</f>
        <v>#N/A</v>
      </c>
      <c r="U79" s="153" t="str">
        <f t="array" ref="U79">INDEX('Primary - GRADING'!$A$1:$CP997,MATCH($A79,'Primary - GRADING'!$CP:$CP,0),10)</f>
        <v>#N/A</v>
      </c>
      <c r="V79" s="153" t="str">
        <f t="array" ref="V79">INDEX('Primary - GRADING'!$A$1:$CP997,MATCH($A79,'Primary - GRADING'!$CP:$CP,0),18)</f>
        <v>#N/A</v>
      </c>
      <c r="W79" s="153" t="str">
        <f t="array" ref="W79">INDEX('Primary - GRADING'!$A$1:$CP997,MATCH($A79,'Primary - GRADING'!$CP:$CP,0),20)</f>
        <v>#N/A</v>
      </c>
      <c r="X79" s="153" t="str">
        <f t="array" ref="X79">INDEX('Primary - GRADING'!$A$1:$CP997,MATCH($A79,'Primary - GRADING'!$CP:$CP,0),21)</f>
        <v>#N/A</v>
      </c>
      <c r="Y79" s="153" t="str">
        <f t="array" ref="Y79">INDEX('Primary - GRADING'!$A$1:$CP997,MATCH($A79,'Primary - GRADING'!$CP:$CP,0),22)</f>
        <v>#N/A</v>
      </c>
      <c r="Z79" s="165" t="str">
        <f t="array" ref="Z79">INDEX('Primary - GRADING'!$A$1:$CP997,MATCH($A79,'Primary - GRADING'!$CP:$CP,0),23)</f>
        <v>#N/A</v>
      </c>
      <c r="AA79" s="153" t="str">
        <f t="array" ref="AA79">INDEX('Primary - GRADING'!$A$1:$CP997,MATCH($A79,'Primary - GRADING'!$CP:$CP,0),24)</f>
        <v>#N/A</v>
      </c>
      <c r="AB79" s="153" t="str">
        <f t="array" ref="AB79">INDEX('Primary - GRADING'!$A$1:$CP997,MATCH($A79,'Primary - GRADING'!$CP:$CP,0),25)</f>
        <v>#N/A</v>
      </c>
      <c r="AC79" s="153" t="str">
        <f t="array" ref="AC79">INDEX('Primary - GRADING'!$A$1:$CP997,MATCH($A79,'Primary - GRADING'!$CP:$CP,0),46)</f>
        <v>#N/A</v>
      </c>
      <c r="AG79" s="153" t="str">
        <f t="shared" si="7"/>
        <v>#N/A</v>
      </c>
      <c r="AI79" s="153" t="str">
        <f>VLOOKUP(AH79,'Primary - GRADING'!$A$4:$C997,2,)</f>
        <v>#N/A</v>
      </c>
      <c r="AJ79" s="153" t="str">
        <f>VLOOKUP(AH79,'Primary - GRADING'!$A$4:$C997,3,)</f>
        <v>#N/A</v>
      </c>
      <c r="AK79" s="153" t="str">
        <f>VLOOKUP(AH79,'Primary - GRADING'!$A$4:$BG997,59,)</f>
        <v>#N/A</v>
      </c>
      <c r="AL79" s="153" t="str">
        <f>IFS(AK79="NMA",VLOOKUP(AH79,'Primary - GRADING'!$A$4:$BG997,51,),AK79="DIRECT",VLOOKUP(AH79,'Primary - GRADING'!$A$4:$BG997,8,),AK79="INDIRECT",VLOOKUP(AH79,'Primary - GRADING'!$A$4:$BG997,23,))</f>
        <v>#N/A</v>
      </c>
      <c r="AM79" s="153" t="str">
        <f>IFS(AK79="NMA",VLOOKUP(AH79,'Primary - GRADING'!$A$4:$BG997,52,),AK79="DIRECT",VLOOKUP(AH79,'Primary - GRADING'!$A$4:$BG997,9,),AK79="INDIRECT",VLOOKUP(AH79,'Primary - GRADING'!$A$4:$BG997,24,))</f>
        <v>#N/A</v>
      </c>
      <c r="AN79" s="153" t="str">
        <f>IFS(AK79="NMA",VLOOKUP(AH79,'Primary - GRADING'!$A$4:$BG997,53,),AK79="DIRECT",VLOOKUP(AH79,'Primary - GRADING'!$A$4:$BG997,10,),AK79="INDIRECT",VLOOKUP(AH79,'Primary - GRADING'!$A$4:$BG997,25,))</f>
        <v>#N/A</v>
      </c>
      <c r="AO79" s="153" t="str">
        <f t="shared" si="8"/>
        <v>#N/A</v>
      </c>
      <c r="AT79" s="153" t="str">
        <f t="shared" si="9"/>
        <v>#N/A</v>
      </c>
      <c r="AV79" s="153" t="str">
        <f>VLOOKUP(AU79,'Primary - GRADING'!$A$4:$C997,2,)</f>
        <v>#N/A</v>
      </c>
      <c r="AW79" s="153" t="str">
        <f>VLOOKUP(AU79,'Primary - GRADING'!$A$4:$C997,3,)</f>
        <v>#N/A</v>
      </c>
      <c r="AX79" s="153" t="str">
        <f>VLOOKUP(AU79,'Primary - GRADING'!$A$4:$BG997,59,)</f>
        <v>#N/A</v>
      </c>
      <c r="AY79" s="153" t="str">
        <f>IFS(AX79="NMA",VLOOKUP(AU79,'Primary - GRADING'!$A$4:$BG997,51,),AX79="DIRECT",VLOOKUP(AU79,'Primary - GRADING'!$A$4:$BG997,8,),AX79="INDIRECT",VLOOKUP(AU79,'Primary - GRADING'!$A$4:$BG997,23,))</f>
        <v>#N/A</v>
      </c>
      <c r="AZ79" s="153" t="str">
        <f>IFS(AX79="NMA",VLOOKUP(AU79,'Primary - GRADING'!$A$4:$BG997,52,),AX79="DIRECT",VLOOKUP(AU79,'Primary - GRADING'!$A$4:$BG997,9,),AX79="INDIRECT",VLOOKUP(AU79,'Primary - GRADING'!$A$4:$BG997,24,))</f>
        <v>#N/A</v>
      </c>
      <c r="BA79" s="153" t="str">
        <f>IFS(AX79="NMA",VLOOKUP(AU79,'Primary - GRADING'!$A$4:$BG997,53,),AX79="DIRECT",VLOOKUP(AU79,'Primary - GRADING'!$A$4:$BG997,10,),AX79="INDIRECT",VLOOKUP(AU79,'Primary - GRADING'!$A$4:$BG997,25,))</f>
        <v>#N/A</v>
      </c>
      <c r="BB79" s="153" t="str">
        <f t="shared" si="10"/>
        <v>#N/A</v>
      </c>
      <c r="BE79" s="153" t="str">
        <f t="shared" si="11"/>
        <v/>
      </c>
      <c r="BG79" s="153" t="str">
        <f t="shared" si="12"/>
        <v>#N/A</v>
      </c>
      <c r="BI79" s="153" t="str">
        <f t="shared" si="13"/>
        <v>#N/A</v>
      </c>
      <c r="BK79" s="153" t="str">
        <f t="shared" si="14"/>
        <v>#N/A</v>
      </c>
      <c r="BM79" s="153" t="str">
        <f t="shared" si="15"/>
        <v>#N/A</v>
      </c>
    </row>
    <row r="80" ht="15.75" customHeight="1">
      <c r="B80" s="160" t="str">
        <f t="shared" si="1"/>
        <v>#N/A</v>
      </c>
      <c r="C80" s="160" t="str">
        <f t="shared" si="2"/>
        <v>#N/A</v>
      </c>
      <c r="D80" s="160" t="str">
        <f t="shared" si="3"/>
        <v>#N/A</v>
      </c>
      <c r="E80" s="161" t="str">
        <f t="shared" si="4"/>
        <v>#N/A</v>
      </c>
      <c r="F80" s="153" t="str">
        <f t="shared" si="17"/>
        <v>#N/A</v>
      </c>
      <c r="G80" s="153" t="str">
        <f t="shared" si="6"/>
        <v>#N/A</v>
      </c>
      <c r="H80" s="156" t="str">
        <f t="array" ref="H80">INDEX('Primary - GRADING'!$A$1:$BG997,MATCH($A80,'Primary - GRADING'!$B:$B,0),59)</f>
        <v>#N/A</v>
      </c>
      <c r="I80" s="153" t="str">
        <f t="array" ref="I80">INDEX('Primary - GRADING'!$A$1:$CP997,MATCH($A80,'Primary - GRADING'!$CP:$CP,0),48)</f>
        <v>#N/A</v>
      </c>
      <c r="J80" s="153" t="str">
        <f t="array" ref="J80">INDEX('Primary - GRADING'!$A$1:$CP997,MATCH($A80,'Primary - GRADING'!$CP:$CP,0),49)</f>
        <v>#N/A</v>
      </c>
      <c r="K80" s="153" t="str">
        <f t="array" ref="K80">INDEX('Primary - GRADING'!$A$1:$CP997,MATCH($A80,'Primary - GRADING'!$CP:$CP,0),50)</f>
        <v>#N/A</v>
      </c>
      <c r="L80" s="153" t="str">
        <f t="array" ref="L80">INDEX('Primary - GRADING'!$A$1:$CP997,MATCH($A80,'Primary - GRADING'!$CP:$CP,0),51)</f>
        <v>#N/A</v>
      </c>
      <c r="M80" s="153" t="str">
        <f t="array" ref="M80">INDEX('Primary - GRADING'!$A$1:$CP997,MATCH($A80,'Primary - GRADING'!$CP:$CP,0),52)</f>
        <v>#N/A</v>
      </c>
      <c r="N80" s="153" t="str">
        <f t="array" ref="N80">INDEX('Primary - GRADING'!$A$1:$CP997,MATCH($A80,'Primary - GRADING'!$CP:$CP,0),53)</f>
        <v>#N/A</v>
      </c>
      <c r="O80" s="153" t="str">
        <f t="array" ref="O80">INDEX('Primary - GRADING'!$A$1:$CP997,MATCH($A80,'Primary - GRADING'!$CP:$CP,0),58)</f>
        <v>#N/A</v>
      </c>
      <c r="P80" s="153" t="str">
        <f t="array" ref="P80">INDEX('Primary - GRADING'!$A$1:$CP997,MATCH($A80,'Primary - GRADING'!$CP:$CP,0),5)</f>
        <v>#N/A</v>
      </c>
      <c r="Q80" s="153" t="str">
        <f t="array" ref="Q80">INDEX('Primary - GRADING'!$A$1:$CP997,MATCH($A80,'Primary - GRADING'!$CP:$CP,0),6)</f>
        <v>#N/A</v>
      </c>
      <c r="R80" s="153" t="str">
        <f t="array" ref="R80">INDEX('Primary - GRADING'!$A$1:$CP997,MATCH($A80,'Primary - GRADING'!$CP:$CP,0),7)</f>
        <v>#N/A</v>
      </c>
      <c r="S80" s="153" t="str">
        <f t="array" ref="S80">INDEX('Primary - GRADING'!$A$1:$CP997,MATCH($A80,'Primary - GRADING'!$CP:$CP,0),8)</f>
        <v>#N/A</v>
      </c>
      <c r="T80" s="153" t="str">
        <f t="array" ref="T80">INDEX('Primary - GRADING'!$A$1:$CP997,MATCH($A80,'Primary - GRADING'!$CP:$CP,0),9)</f>
        <v>#N/A</v>
      </c>
      <c r="U80" s="153" t="str">
        <f t="array" ref="U80">INDEX('Primary - GRADING'!$A$1:$CP997,MATCH($A80,'Primary - GRADING'!$CP:$CP,0),10)</f>
        <v>#N/A</v>
      </c>
      <c r="V80" s="153" t="str">
        <f t="array" ref="V80">INDEX('Primary - GRADING'!$A$1:$CP997,MATCH($A80,'Primary - GRADING'!$CP:$CP,0),18)</f>
        <v>#N/A</v>
      </c>
      <c r="W80" s="153" t="str">
        <f t="array" ref="W80">INDEX('Primary - GRADING'!$A$1:$CP997,MATCH($A80,'Primary - GRADING'!$CP:$CP,0),20)</f>
        <v>#N/A</v>
      </c>
      <c r="X80" s="153" t="str">
        <f t="array" ref="X80">INDEX('Primary - GRADING'!$A$1:$CP997,MATCH($A80,'Primary - GRADING'!$CP:$CP,0),21)</f>
        <v>#N/A</v>
      </c>
      <c r="Y80" s="153" t="str">
        <f t="array" ref="Y80">INDEX('Primary - GRADING'!$A$1:$CP997,MATCH($A80,'Primary - GRADING'!$CP:$CP,0),22)</f>
        <v>#N/A</v>
      </c>
      <c r="Z80" s="165" t="str">
        <f t="array" ref="Z80">INDEX('Primary - GRADING'!$A$1:$CP997,MATCH($A80,'Primary - GRADING'!$CP:$CP,0),23)</f>
        <v>#N/A</v>
      </c>
      <c r="AA80" s="153" t="str">
        <f t="array" ref="AA80">INDEX('Primary - GRADING'!$A$1:$CP997,MATCH($A80,'Primary - GRADING'!$CP:$CP,0),24)</f>
        <v>#N/A</v>
      </c>
      <c r="AB80" s="153" t="str">
        <f t="array" ref="AB80">INDEX('Primary - GRADING'!$A$1:$CP997,MATCH($A80,'Primary - GRADING'!$CP:$CP,0),25)</f>
        <v>#N/A</v>
      </c>
      <c r="AC80" s="153" t="str">
        <f t="array" ref="AC80">INDEX('Primary - GRADING'!$A$1:$CP997,MATCH($A80,'Primary - GRADING'!$CP:$CP,0),46)</f>
        <v>#N/A</v>
      </c>
      <c r="AG80" s="153" t="str">
        <f t="shared" si="7"/>
        <v>#N/A</v>
      </c>
      <c r="AI80" s="153" t="str">
        <f>VLOOKUP(AH80,'Primary - GRADING'!$A$4:$C997,2,)</f>
        <v>#N/A</v>
      </c>
      <c r="AJ80" s="153" t="str">
        <f>VLOOKUP(AH80,'Primary - GRADING'!$A$4:$C997,3,)</f>
        <v>#N/A</v>
      </c>
      <c r="AK80" s="153" t="str">
        <f>VLOOKUP(AH80,'Primary - GRADING'!$A$4:$BG997,59,)</f>
        <v>#N/A</v>
      </c>
      <c r="AL80" s="153" t="str">
        <f>IFS(AK80="NMA",VLOOKUP(AH80,'Primary - GRADING'!$A$4:$BG997,51,),AK80="DIRECT",VLOOKUP(AH80,'Primary - GRADING'!$A$4:$BG997,8,),AK80="INDIRECT",VLOOKUP(AH80,'Primary - GRADING'!$A$4:$BG997,23,))</f>
        <v>#N/A</v>
      </c>
      <c r="AM80" s="153" t="str">
        <f>IFS(AK80="NMA",VLOOKUP(AH80,'Primary - GRADING'!$A$4:$BG997,52,),AK80="DIRECT",VLOOKUP(AH80,'Primary - GRADING'!$A$4:$BG997,9,),AK80="INDIRECT",VLOOKUP(AH80,'Primary - GRADING'!$A$4:$BG997,24,))</f>
        <v>#N/A</v>
      </c>
      <c r="AN80" s="153" t="str">
        <f>IFS(AK80="NMA",VLOOKUP(AH80,'Primary - GRADING'!$A$4:$BG997,53,),AK80="DIRECT",VLOOKUP(AH80,'Primary - GRADING'!$A$4:$BG997,10,),AK80="INDIRECT",VLOOKUP(AH80,'Primary - GRADING'!$A$4:$BG997,25,))</f>
        <v>#N/A</v>
      </c>
      <c r="AO80" s="153" t="str">
        <f t="shared" si="8"/>
        <v>#N/A</v>
      </c>
      <c r="AT80" s="153" t="str">
        <f t="shared" si="9"/>
        <v>#N/A</v>
      </c>
      <c r="AV80" s="153" t="str">
        <f>VLOOKUP(AU80,'Primary - GRADING'!$A$4:$C997,2,)</f>
        <v>#N/A</v>
      </c>
      <c r="AW80" s="153" t="str">
        <f>VLOOKUP(AU80,'Primary - GRADING'!$A$4:$C997,3,)</f>
        <v>#N/A</v>
      </c>
      <c r="AX80" s="153" t="str">
        <f>VLOOKUP(AU80,'Primary - GRADING'!$A$4:$BG997,59,)</f>
        <v>#N/A</v>
      </c>
      <c r="AY80" s="153" t="str">
        <f>IFS(AX80="NMA",VLOOKUP(AU80,'Primary - GRADING'!$A$4:$BG997,51,),AX80="DIRECT",VLOOKUP(AU80,'Primary - GRADING'!$A$4:$BG997,8,),AX80="INDIRECT",VLOOKUP(AU80,'Primary - GRADING'!$A$4:$BG997,23,))</f>
        <v>#N/A</v>
      </c>
      <c r="AZ80" s="153" t="str">
        <f>IFS(AX80="NMA",VLOOKUP(AU80,'Primary - GRADING'!$A$4:$BG997,52,),AX80="DIRECT",VLOOKUP(AU80,'Primary - GRADING'!$A$4:$BG997,9,),AX80="INDIRECT",VLOOKUP(AU80,'Primary - GRADING'!$A$4:$BG997,24,))</f>
        <v>#N/A</v>
      </c>
      <c r="BA80" s="153" t="str">
        <f>IFS(AX80="NMA",VLOOKUP(AU80,'Primary - GRADING'!$A$4:$BG997,53,),AX80="DIRECT",VLOOKUP(AU80,'Primary - GRADING'!$A$4:$BG997,10,),AX80="INDIRECT",VLOOKUP(AU80,'Primary - GRADING'!$A$4:$BG997,25,))</f>
        <v>#N/A</v>
      </c>
      <c r="BB80" s="153" t="str">
        <f t="shared" si="10"/>
        <v>#N/A</v>
      </c>
      <c r="BE80" s="153" t="str">
        <f t="shared" si="11"/>
        <v/>
      </c>
      <c r="BG80" s="153" t="str">
        <f t="shared" si="12"/>
        <v>#N/A</v>
      </c>
      <c r="BI80" s="153" t="str">
        <f t="shared" si="13"/>
        <v>#N/A</v>
      </c>
      <c r="BK80" s="153" t="str">
        <f t="shared" si="14"/>
        <v>#N/A</v>
      </c>
      <c r="BM80" s="153" t="str">
        <f t="shared" si="15"/>
        <v>#N/A</v>
      </c>
    </row>
    <row r="81" ht="15.75" customHeight="1">
      <c r="B81" s="160" t="str">
        <f t="shared" si="1"/>
        <v>#N/A</v>
      </c>
      <c r="C81" s="160" t="str">
        <f t="shared" si="2"/>
        <v>#N/A</v>
      </c>
      <c r="D81" s="160" t="str">
        <f t="shared" si="3"/>
        <v>#N/A</v>
      </c>
      <c r="E81" s="161" t="str">
        <f t="shared" si="4"/>
        <v>#N/A</v>
      </c>
      <c r="F81" s="153" t="str">
        <f t="shared" si="17"/>
        <v>#N/A</v>
      </c>
      <c r="G81" s="153" t="str">
        <f t="shared" si="6"/>
        <v>#N/A</v>
      </c>
      <c r="H81" s="156" t="str">
        <f t="array" ref="H81">INDEX('Primary - GRADING'!$A$1:$BG997,MATCH($A81,'Primary - GRADING'!$B:$B,0),59)</f>
        <v>#N/A</v>
      </c>
      <c r="I81" s="153" t="str">
        <f t="array" ref="I81">INDEX('Primary - GRADING'!$A$1:$CP997,MATCH($A81,'Primary - GRADING'!$CP:$CP,0),48)</f>
        <v>#N/A</v>
      </c>
      <c r="J81" s="153" t="str">
        <f t="array" ref="J81">INDEX('Primary - GRADING'!$A$1:$CP997,MATCH($A81,'Primary - GRADING'!$CP:$CP,0),49)</f>
        <v>#N/A</v>
      </c>
      <c r="K81" s="153" t="str">
        <f t="array" ref="K81">INDEX('Primary - GRADING'!$A$1:$CP997,MATCH($A81,'Primary - GRADING'!$CP:$CP,0),50)</f>
        <v>#N/A</v>
      </c>
      <c r="L81" s="153" t="str">
        <f t="array" ref="L81">INDEX('Primary - GRADING'!$A$1:$CP997,MATCH($A81,'Primary - GRADING'!$CP:$CP,0),51)</f>
        <v>#N/A</v>
      </c>
      <c r="M81" s="153" t="str">
        <f t="array" ref="M81">INDEX('Primary - GRADING'!$A$1:$CP997,MATCH($A81,'Primary - GRADING'!$CP:$CP,0),52)</f>
        <v>#N/A</v>
      </c>
      <c r="N81" s="153" t="str">
        <f t="array" ref="N81">INDEX('Primary - GRADING'!$A$1:$CP997,MATCH($A81,'Primary - GRADING'!$CP:$CP,0),53)</f>
        <v>#N/A</v>
      </c>
      <c r="O81" s="153" t="str">
        <f t="array" ref="O81">INDEX('Primary - GRADING'!$A$1:$CP997,MATCH($A81,'Primary - GRADING'!$CP:$CP,0),58)</f>
        <v>#N/A</v>
      </c>
      <c r="P81" s="153" t="str">
        <f t="array" ref="P81">INDEX('Primary - GRADING'!$A$1:$CP997,MATCH($A81,'Primary - GRADING'!$CP:$CP,0),5)</f>
        <v>#N/A</v>
      </c>
      <c r="Q81" s="153" t="str">
        <f t="array" ref="Q81">INDEX('Primary - GRADING'!$A$1:$CP997,MATCH($A81,'Primary - GRADING'!$CP:$CP,0),6)</f>
        <v>#N/A</v>
      </c>
      <c r="R81" s="153" t="str">
        <f t="array" ref="R81">INDEX('Primary - GRADING'!$A$1:$CP997,MATCH($A81,'Primary - GRADING'!$CP:$CP,0),7)</f>
        <v>#N/A</v>
      </c>
      <c r="S81" s="153" t="str">
        <f t="array" ref="S81">INDEX('Primary - GRADING'!$A$1:$CP997,MATCH($A81,'Primary - GRADING'!$CP:$CP,0),8)</f>
        <v>#N/A</v>
      </c>
      <c r="T81" s="153" t="str">
        <f t="array" ref="T81">INDEX('Primary - GRADING'!$A$1:$CP997,MATCH($A81,'Primary - GRADING'!$CP:$CP,0),9)</f>
        <v>#N/A</v>
      </c>
      <c r="U81" s="153" t="str">
        <f t="array" ref="U81">INDEX('Primary - GRADING'!$A$1:$CP997,MATCH($A81,'Primary - GRADING'!$CP:$CP,0),10)</f>
        <v>#N/A</v>
      </c>
      <c r="V81" s="153" t="str">
        <f t="array" ref="V81">INDEX('Primary - GRADING'!$A$1:$CP997,MATCH($A81,'Primary - GRADING'!$CP:$CP,0),18)</f>
        <v>#N/A</v>
      </c>
      <c r="W81" s="153" t="str">
        <f t="array" ref="W81">INDEX('Primary - GRADING'!$A$1:$CP997,MATCH($A81,'Primary - GRADING'!$CP:$CP,0),20)</f>
        <v>#N/A</v>
      </c>
      <c r="X81" s="153" t="str">
        <f t="array" ref="X81">INDEX('Primary - GRADING'!$A$1:$CP997,MATCH($A81,'Primary - GRADING'!$CP:$CP,0),21)</f>
        <v>#N/A</v>
      </c>
      <c r="Y81" s="153" t="str">
        <f t="array" ref="Y81">INDEX('Primary - GRADING'!$A$1:$CP997,MATCH($A81,'Primary - GRADING'!$CP:$CP,0),22)</f>
        <v>#N/A</v>
      </c>
      <c r="Z81" s="165" t="str">
        <f t="array" ref="Z81">INDEX('Primary - GRADING'!$A$1:$CP997,MATCH($A81,'Primary - GRADING'!$CP:$CP,0),23)</f>
        <v>#N/A</v>
      </c>
      <c r="AA81" s="153" t="str">
        <f t="array" ref="AA81">INDEX('Primary - GRADING'!$A$1:$CP997,MATCH($A81,'Primary - GRADING'!$CP:$CP,0),24)</f>
        <v>#N/A</v>
      </c>
      <c r="AB81" s="153" t="str">
        <f t="array" ref="AB81">INDEX('Primary - GRADING'!$A$1:$CP997,MATCH($A81,'Primary - GRADING'!$CP:$CP,0),25)</f>
        <v>#N/A</v>
      </c>
      <c r="AC81" s="153" t="str">
        <f t="array" ref="AC81">INDEX('Primary - GRADING'!$A$1:$CP997,MATCH($A81,'Primary - GRADING'!$CP:$CP,0),46)</f>
        <v>#N/A</v>
      </c>
      <c r="AG81" s="153" t="str">
        <f t="shared" si="7"/>
        <v>#N/A</v>
      </c>
      <c r="AI81" s="153" t="str">
        <f>VLOOKUP(AH81,'Primary - GRADING'!$A$4:$C997,2,)</f>
        <v>#N/A</v>
      </c>
      <c r="AJ81" s="153" t="str">
        <f>VLOOKUP(AH81,'Primary - GRADING'!$A$4:$C997,3,)</f>
        <v>#N/A</v>
      </c>
      <c r="AK81" s="153" t="str">
        <f>VLOOKUP(AH81,'Primary - GRADING'!$A$4:$BG997,59,)</f>
        <v>#N/A</v>
      </c>
      <c r="AL81" s="153" t="str">
        <f>IFS(AK81="NMA",VLOOKUP(AH81,'Primary - GRADING'!$A$4:$BG997,51,),AK81="DIRECT",VLOOKUP(AH81,'Primary - GRADING'!$A$4:$BG997,8,),AK81="INDIRECT",VLOOKUP(AH81,'Primary - GRADING'!$A$4:$BG997,23,))</f>
        <v>#N/A</v>
      </c>
      <c r="AM81" s="153" t="str">
        <f>IFS(AK81="NMA",VLOOKUP(AH81,'Primary - GRADING'!$A$4:$BG997,52,),AK81="DIRECT",VLOOKUP(AH81,'Primary - GRADING'!$A$4:$BG997,9,),AK81="INDIRECT",VLOOKUP(AH81,'Primary - GRADING'!$A$4:$BG997,24,))</f>
        <v>#N/A</v>
      </c>
      <c r="AN81" s="153" t="str">
        <f>IFS(AK81="NMA",VLOOKUP(AH81,'Primary - GRADING'!$A$4:$BG997,53,),AK81="DIRECT",VLOOKUP(AH81,'Primary - GRADING'!$A$4:$BG997,10,),AK81="INDIRECT",VLOOKUP(AH81,'Primary - GRADING'!$A$4:$BG997,25,))</f>
        <v>#N/A</v>
      </c>
      <c r="AO81" s="153" t="str">
        <f t="shared" si="8"/>
        <v>#N/A</v>
      </c>
      <c r="AT81" s="153" t="str">
        <f t="shared" si="9"/>
        <v>#N/A</v>
      </c>
      <c r="AV81" s="153" t="str">
        <f>VLOOKUP(AU81,'Primary - GRADING'!$A$4:$C997,2,)</f>
        <v>#N/A</v>
      </c>
      <c r="AW81" s="153" t="str">
        <f>VLOOKUP(AU81,'Primary - GRADING'!$A$4:$C997,3,)</f>
        <v>#N/A</v>
      </c>
      <c r="AX81" s="153" t="str">
        <f>VLOOKUP(AU81,'Primary - GRADING'!$A$4:$BG997,59,)</f>
        <v>#N/A</v>
      </c>
      <c r="AY81" s="153" t="str">
        <f>IFS(AX81="NMA",VLOOKUP(AU81,'Primary - GRADING'!$A$4:$BG997,51,),AX81="DIRECT",VLOOKUP(AU81,'Primary - GRADING'!$A$4:$BG997,8,),AX81="INDIRECT",VLOOKUP(AU81,'Primary - GRADING'!$A$4:$BG997,23,))</f>
        <v>#N/A</v>
      </c>
      <c r="AZ81" s="153" t="str">
        <f>IFS(AX81="NMA",VLOOKUP(AU81,'Primary - GRADING'!$A$4:$BG997,52,),AX81="DIRECT",VLOOKUP(AU81,'Primary - GRADING'!$A$4:$BG997,9,),AX81="INDIRECT",VLOOKUP(AU81,'Primary - GRADING'!$A$4:$BG997,24,))</f>
        <v>#N/A</v>
      </c>
      <c r="BA81" s="153" t="str">
        <f>IFS(AX81="NMA",VLOOKUP(AU81,'Primary - GRADING'!$A$4:$BG997,53,),AX81="DIRECT",VLOOKUP(AU81,'Primary - GRADING'!$A$4:$BG997,10,),AX81="INDIRECT",VLOOKUP(AU81,'Primary - GRADING'!$A$4:$BG997,25,))</f>
        <v>#N/A</v>
      </c>
      <c r="BB81" s="153" t="str">
        <f t="shared" si="10"/>
        <v>#N/A</v>
      </c>
      <c r="BE81" s="153" t="str">
        <f t="shared" si="11"/>
        <v/>
      </c>
      <c r="BG81" s="153" t="str">
        <f t="shared" si="12"/>
        <v>#N/A</v>
      </c>
      <c r="BI81" s="153" t="str">
        <f t="shared" si="13"/>
        <v>#N/A</v>
      </c>
      <c r="BK81" s="153" t="str">
        <f t="shared" si="14"/>
        <v>#N/A</v>
      </c>
      <c r="BM81" s="153" t="str">
        <f t="shared" si="15"/>
        <v>#N/A</v>
      </c>
    </row>
    <row r="82" ht="15.75" customHeight="1">
      <c r="B82" s="160" t="str">
        <f t="shared" si="1"/>
        <v>#N/A</v>
      </c>
      <c r="C82" s="160" t="str">
        <f t="shared" si="2"/>
        <v>#N/A</v>
      </c>
      <c r="D82" s="160" t="str">
        <f t="shared" si="3"/>
        <v>#N/A</v>
      </c>
      <c r="E82" s="161" t="str">
        <f t="shared" si="4"/>
        <v>#N/A</v>
      </c>
      <c r="F82" s="153" t="str">
        <f t="shared" si="17"/>
        <v>#N/A</v>
      </c>
      <c r="G82" s="153" t="str">
        <f t="shared" si="6"/>
        <v>#N/A</v>
      </c>
      <c r="H82" s="156" t="str">
        <f t="array" ref="H82">INDEX('Primary - GRADING'!$A$1:$BG997,MATCH($A82,'Primary - GRADING'!$B:$B,0),59)</f>
        <v>#N/A</v>
      </c>
      <c r="I82" s="153" t="str">
        <f t="array" ref="I82">INDEX('Primary - GRADING'!$A$1:$CP997,MATCH($A82,'Primary - GRADING'!$CP:$CP,0),48)</f>
        <v>#N/A</v>
      </c>
      <c r="J82" s="153" t="str">
        <f t="array" ref="J82">INDEX('Primary - GRADING'!$A$1:$CP997,MATCH($A82,'Primary - GRADING'!$CP:$CP,0),49)</f>
        <v>#N/A</v>
      </c>
      <c r="K82" s="153" t="str">
        <f t="array" ref="K82">INDEX('Primary - GRADING'!$A$1:$CP997,MATCH($A82,'Primary - GRADING'!$CP:$CP,0),50)</f>
        <v>#N/A</v>
      </c>
      <c r="L82" s="153" t="str">
        <f t="array" ref="L82">INDEX('Primary - GRADING'!$A$1:$CP997,MATCH($A82,'Primary - GRADING'!$CP:$CP,0),51)</f>
        <v>#N/A</v>
      </c>
      <c r="M82" s="153" t="str">
        <f t="array" ref="M82">INDEX('Primary - GRADING'!$A$1:$CP997,MATCH($A82,'Primary - GRADING'!$CP:$CP,0),52)</f>
        <v>#N/A</v>
      </c>
      <c r="N82" s="153" t="str">
        <f t="array" ref="N82">INDEX('Primary - GRADING'!$A$1:$CP997,MATCH($A82,'Primary - GRADING'!$CP:$CP,0),53)</f>
        <v>#N/A</v>
      </c>
      <c r="O82" s="153" t="str">
        <f t="array" ref="O82">INDEX('Primary - GRADING'!$A$1:$CP997,MATCH($A82,'Primary - GRADING'!$CP:$CP,0),58)</f>
        <v>#N/A</v>
      </c>
      <c r="P82" s="153" t="str">
        <f t="array" ref="P82">INDEX('Primary - GRADING'!$A$1:$CP997,MATCH($A82,'Primary - GRADING'!$CP:$CP,0),5)</f>
        <v>#N/A</v>
      </c>
      <c r="Q82" s="153" t="str">
        <f t="array" ref="Q82">INDEX('Primary - GRADING'!$A$1:$CP997,MATCH($A82,'Primary - GRADING'!$CP:$CP,0),6)</f>
        <v>#N/A</v>
      </c>
      <c r="R82" s="153" t="str">
        <f t="array" ref="R82">INDEX('Primary - GRADING'!$A$1:$CP997,MATCH($A82,'Primary - GRADING'!$CP:$CP,0),7)</f>
        <v>#N/A</v>
      </c>
      <c r="S82" s="153" t="str">
        <f t="array" ref="S82">INDEX('Primary - GRADING'!$A$1:$CP997,MATCH($A82,'Primary - GRADING'!$CP:$CP,0),8)</f>
        <v>#N/A</v>
      </c>
      <c r="T82" s="153" t="str">
        <f t="array" ref="T82">INDEX('Primary - GRADING'!$A$1:$CP997,MATCH($A82,'Primary - GRADING'!$CP:$CP,0),9)</f>
        <v>#N/A</v>
      </c>
      <c r="U82" s="153" t="str">
        <f t="array" ref="U82">INDEX('Primary - GRADING'!$A$1:$CP997,MATCH($A82,'Primary - GRADING'!$CP:$CP,0),10)</f>
        <v>#N/A</v>
      </c>
      <c r="V82" s="153" t="str">
        <f t="array" ref="V82">INDEX('Primary - GRADING'!$A$1:$CP997,MATCH($A82,'Primary - GRADING'!$CP:$CP,0),18)</f>
        <v>#N/A</v>
      </c>
      <c r="W82" s="153" t="str">
        <f t="array" ref="W82">INDEX('Primary - GRADING'!$A$1:$CP997,MATCH($A82,'Primary - GRADING'!$CP:$CP,0),20)</f>
        <v>#N/A</v>
      </c>
      <c r="X82" s="153" t="str">
        <f t="array" ref="X82">INDEX('Primary - GRADING'!$A$1:$CP997,MATCH($A82,'Primary - GRADING'!$CP:$CP,0),21)</f>
        <v>#N/A</v>
      </c>
      <c r="Y82" s="153" t="str">
        <f t="array" ref="Y82">INDEX('Primary - GRADING'!$A$1:$CP997,MATCH($A82,'Primary - GRADING'!$CP:$CP,0),22)</f>
        <v>#N/A</v>
      </c>
      <c r="Z82" s="165" t="str">
        <f t="array" ref="Z82">INDEX('Primary - GRADING'!$A$1:$CP997,MATCH($A82,'Primary - GRADING'!$CP:$CP,0),23)</f>
        <v>#N/A</v>
      </c>
      <c r="AA82" s="153" t="str">
        <f t="array" ref="AA82">INDEX('Primary - GRADING'!$A$1:$CP997,MATCH($A82,'Primary - GRADING'!$CP:$CP,0),24)</f>
        <v>#N/A</v>
      </c>
      <c r="AB82" s="153" t="str">
        <f t="array" ref="AB82">INDEX('Primary - GRADING'!$A$1:$CP997,MATCH($A82,'Primary - GRADING'!$CP:$CP,0),25)</f>
        <v>#N/A</v>
      </c>
      <c r="AC82" s="153" t="str">
        <f t="array" ref="AC82">INDEX('Primary - GRADING'!$A$1:$CP997,MATCH($A82,'Primary - GRADING'!$CP:$CP,0),46)</f>
        <v>#N/A</v>
      </c>
      <c r="AG82" s="153" t="str">
        <f t="shared" si="7"/>
        <v>#N/A</v>
      </c>
      <c r="AI82" s="153" t="str">
        <f>VLOOKUP(AH82,'Primary - GRADING'!$A$4:$C997,2,)</f>
        <v>#N/A</v>
      </c>
      <c r="AJ82" s="153" t="str">
        <f>VLOOKUP(AH82,'Primary - GRADING'!$A$4:$C997,3,)</f>
        <v>#N/A</v>
      </c>
      <c r="AK82" s="153" t="str">
        <f>VLOOKUP(AH82,'Primary - GRADING'!$A$4:$BG997,59,)</f>
        <v>#N/A</v>
      </c>
      <c r="AL82" s="153" t="str">
        <f>IFS(AK82="NMA",VLOOKUP(AH82,'Primary - GRADING'!$A$4:$BG997,51,),AK82="DIRECT",VLOOKUP(AH82,'Primary - GRADING'!$A$4:$BG997,8,),AK82="INDIRECT",VLOOKUP(AH82,'Primary - GRADING'!$A$4:$BG997,23,))</f>
        <v>#N/A</v>
      </c>
      <c r="AM82" s="153" t="str">
        <f>IFS(AK82="NMA",VLOOKUP(AH82,'Primary - GRADING'!$A$4:$BG997,52,),AK82="DIRECT",VLOOKUP(AH82,'Primary - GRADING'!$A$4:$BG997,9,),AK82="INDIRECT",VLOOKUP(AH82,'Primary - GRADING'!$A$4:$BG997,24,))</f>
        <v>#N/A</v>
      </c>
      <c r="AN82" s="153" t="str">
        <f>IFS(AK82="NMA",VLOOKUP(AH82,'Primary - GRADING'!$A$4:$BG997,53,),AK82="DIRECT",VLOOKUP(AH82,'Primary - GRADING'!$A$4:$BG997,10,),AK82="INDIRECT",VLOOKUP(AH82,'Primary - GRADING'!$A$4:$BG997,25,))</f>
        <v>#N/A</v>
      </c>
      <c r="AO82" s="153" t="str">
        <f t="shared" si="8"/>
        <v>#N/A</v>
      </c>
      <c r="AT82" s="153" t="str">
        <f t="shared" si="9"/>
        <v>#N/A</v>
      </c>
      <c r="AV82" s="153" t="str">
        <f>VLOOKUP(AU82,'Primary - GRADING'!$A$4:$C997,2,)</f>
        <v>#N/A</v>
      </c>
      <c r="AW82" s="153" t="str">
        <f>VLOOKUP(AU82,'Primary - GRADING'!$A$4:$C997,3,)</f>
        <v>#N/A</v>
      </c>
      <c r="AX82" s="153" t="str">
        <f>VLOOKUP(AU82,'Primary - GRADING'!$A$4:$BG997,59,)</f>
        <v>#N/A</v>
      </c>
      <c r="AY82" s="153" t="str">
        <f>IFS(AX82="NMA",VLOOKUP(AU82,'Primary - GRADING'!$A$4:$BG997,51,),AX82="DIRECT",VLOOKUP(AU82,'Primary - GRADING'!$A$4:$BG997,8,),AX82="INDIRECT",VLOOKUP(AU82,'Primary - GRADING'!$A$4:$BG997,23,))</f>
        <v>#N/A</v>
      </c>
      <c r="AZ82" s="153" t="str">
        <f>IFS(AX82="NMA",VLOOKUP(AU82,'Primary - GRADING'!$A$4:$BG997,52,),AX82="DIRECT",VLOOKUP(AU82,'Primary - GRADING'!$A$4:$BG997,9,),AX82="INDIRECT",VLOOKUP(AU82,'Primary - GRADING'!$A$4:$BG997,24,))</f>
        <v>#N/A</v>
      </c>
      <c r="BA82" s="153" t="str">
        <f>IFS(AX82="NMA",VLOOKUP(AU82,'Primary - GRADING'!$A$4:$BG997,53,),AX82="DIRECT",VLOOKUP(AU82,'Primary - GRADING'!$A$4:$BG997,10,),AX82="INDIRECT",VLOOKUP(AU82,'Primary - GRADING'!$A$4:$BG997,25,))</f>
        <v>#N/A</v>
      </c>
      <c r="BB82" s="153" t="str">
        <f t="shared" si="10"/>
        <v>#N/A</v>
      </c>
      <c r="BE82" s="153" t="str">
        <f t="shared" si="11"/>
        <v/>
      </c>
      <c r="BG82" s="153" t="str">
        <f t="shared" si="12"/>
        <v>#N/A</v>
      </c>
      <c r="BI82" s="153" t="str">
        <f t="shared" si="13"/>
        <v>#N/A</v>
      </c>
      <c r="BK82" s="153" t="str">
        <f t="shared" si="14"/>
        <v>#N/A</v>
      </c>
      <c r="BM82" s="153" t="str">
        <f t="shared" si="15"/>
        <v>#N/A</v>
      </c>
    </row>
    <row r="83" ht="15.75" customHeight="1">
      <c r="B83" s="160" t="str">
        <f t="shared" si="1"/>
        <v>#N/A</v>
      </c>
      <c r="C83" s="160" t="str">
        <f t="shared" si="2"/>
        <v>#N/A</v>
      </c>
      <c r="D83" s="160" t="str">
        <f t="shared" si="3"/>
        <v>#N/A</v>
      </c>
      <c r="E83" s="161" t="str">
        <f t="shared" si="4"/>
        <v>#N/A</v>
      </c>
      <c r="F83" s="153" t="str">
        <f t="shared" si="17"/>
        <v>#N/A</v>
      </c>
      <c r="G83" s="153" t="str">
        <f t="shared" si="6"/>
        <v>#N/A</v>
      </c>
      <c r="H83" s="156" t="str">
        <f t="array" ref="H83">INDEX('Primary - GRADING'!$A$1:$BG997,MATCH($A83,'Primary - GRADING'!$B:$B,0),59)</f>
        <v>#N/A</v>
      </c>
      <c r="I83" s="153" t="str">
        <f t="array" ref="I83">INDEX('Primary - GRADING'!$A$1:$CP997,MATCH($A83,'Primary - GRADING'!$CP:$CP,0),48)</f>
        <v>#N/A</v>
      </c>
      <c r="J83" s="153" t="str">
        <f t="array" ref="J83">INDEX('Primary - GRADING'!$A$1:$CP997,MATCH($A83,'Primary - GRADING'!$CP:$CP,0),49)</f>
        <v>#N/A</v>
      </c>
      <c r="K83" s="153" t="str">
        <f t="array" ref="K83">INDEX('Primary - GRADING'!$A$1:$CP997,MATCH($A83,'Primary - GRADING'!$CP:$CP,0),50)</f>
        <v>#N/A</v>
      </c>
      <c r="L83" s="153" t="str">
        <f t="array" ref="L83">INDEX('Primary - GRADING'!$A$1:$CP997,MATCH($A83,'Primary - GRADING'!$CP:$CP,0),51)</f>
        <v>#N/A</v>
      </c>
      <c r="M83" s="153" t="str">
        <f t="array" ref="M83">INDEX('Primary - GRADING'!$A$1:$CP997,MATCH($A83,'Primary - GRADING'!$CP:$CP,0),52)</f>
        <v>#N/A</v>
      </c>
      <c r="N83" s="153" t="str">
        <f t="array" ref="N83">INDEX('Primary - GRADING'!$A$1:$CP997,MATCH($A83,'Primary - GRADING'!$CP:$CP,0),53)</f>
        <v>#N/A</v>
      </c>
      <c r="O83" s="153" t="str">
        <f t="array" ref="O83">INDEX('Primary - GRADING'!$A$1:$CP997,MATCH($A83,'Primary - GRADING'!$CP:$CP,0),58)</f>
        <v>#N/A</v>
      </c>
      <c r="P83" s="153" t="str">
        <f t="array" ref="P83">INDEX('Primary - GRADING'!$A$1:$CP997,MATCH($A83,'Primary - GRADING'!$CP:$CP,0),5)</f>
        <v>#N/A</v>
      </c>
      <c r="Q83" s="153" t="str">
        <f t="array" ref="Q83">INDEX('Primary - GRADING'!$A$1:$CP997,MATCH($A83,'Primary - GRADING'!$CP:$CP,0),6)</f>
        <v>#N/A</v>
      </c>
      <c r="R83" s="153" t="str">
        <f t="array" ref="R83">INDEX('Primary - GRADING'!$A$1:$CP997,MATCH($A83,'Primary - GRADING'!$CP:$CP,0),7)</f>
        <v>#N/A</v>
      </c>
      <c r="S83" s="153" t="str">
        <f t="array" ref="S83">INDEX('Primary - GRADING'!$A$1:$CP997,MATCH($A83,'Primary - GRADING'!$CP:$CP,0),8)</f>
        <v>#N/A</v>
      </c>
      <c r="T83" s="153" t="str">
        <f t="array" ref="T83">INDEX('Primary - GRADING'!$A$1:$CP997,MATCH($A83,'Primary - GRADING'!$CP:$CP,0),9)</f>
        <v>#N/A</v>
      </c>
      <c r="U83" s="153" t="str">
        <f t="array" ref="U83">INDEX('Primary - GRADING'!$A$1:$CP997,MATCH($A83,'Primary - GRADING'!$CP:$CP,0),10)</f>
        <v>#N/A</v>
      </c>
      <c r="V83" s="153" t="str">
        <f t="array" ref="V83">INDEX('Primary - GRADING'!$A$1:$CP997,MATCH($A83,'Primary - GRADING'!$CP:$CP,0),18)</f>
        <v>#N/A</v>
      </c>
      <c r="W83" s="153" t="str">
        <f t="array" ref="W83">INDEX('Primary - GRADING'!$A$1:$CP997,MATCH($A83,'Primary - GRADING'!$CP:$CP,0),20)</f>
        <v>#N/A</v>
      </c>
      <c r="X83" s="153" t="str">
        <f t="array" ref="X83">INDEX('Primary - GRADING'!$A$1:$CP997,MATCH($A83,'Primary - GRADING'!$CP:$CP,0),21)</f>
        <v>#N/A</v>
      </c>
      <c r="Y83" s="153" t="str">
        <f t="array" ref="Y83">INDEX('Primary - GRADING'!$A$1:$CP997,MATCH($A83,'Primary - GRADING'!$CP:$CP,0),22)</f>
        <v>#N/A</v>
      </c>
      <c r="Z83" s="165" t="str">
        <f t="array" ref="Z83">INDEX('Primary - GRADING'!$A$1:$CP997,MATCH($A83,'Primary - GRADING'!$CP:$CP,0),23)</f>
        <v>#N/A</v>
      </c>
      <c r="AA83" s="153" t="str">
        <f t="array" ref="AA83">INDEX('Primary - GRADING'!$A$1:$CP997,MATCH($A83,'Primary - GRADING'!$CP:$CP,0),24)</f>
        <v>#N/A</v>
      </c>
      <c r="AB83" s="153" t="str">
        <f t="array" ref="AB83">INDEX('Primary - GRADING'!$A$1:$CP997,MATCH($A83,'Primary - GRADING'!$CP:$CP,0),25)</f>
        <v>#N/A</v>
      </c>
      <c r="AC83" s="153" t="str">
        <f t="array" ref="AC83">INDEX('Primary - GRADING'!$A$1:$CP997,MATCH($A83,'Primary - GRADING'!$CP:$CP,0),46)</f>
        <v>#N/A</v>
      </c>
      <c r="AG83" s="153" t="str">
        <f t="shared" si="7"/>
        <v>#N/A</v>
      </c>
      <c r="AI83" s="153" t="str">
        <f>VLOOKUP(AH83,'Primary - GRADING'!$A$4:$C997,2,)</f>
        <v>#N/A</v>
      </c>
      <c r="AJ83" s="153" t="str">
        <f>VLOOKUP(AH83,'Primary - GRADING'!$A$4:$C997,3,)</f>
        <v>#N/A</v>
      </c>
      <c r="AK83" s="153" t="str">
        <f>VLOOKUP(AH83,'Primary - GRADING'!$A$4:$BG997,59,)</f>
        <v>#N/A</v>
      </c>
      <c r="AL83" s="153" t="str">
        <f>IFS(AK83="NMA",VLOOKUP(AH83,'Primary - GRADING'!$A$4:$BG997,51,),AK83="DIRECT",VLOOKUP(AH83,'Primary - GRADING'!$A$4:$BG997,8,),AK83="INDIRECT",VLOOKUP(AH83,'Primary - GRADING'!$A$4:$BG997,23,))</f>
        <v>#N/A</v>
      </c>
      <c r="AM83" s="153" t="str">
        <f>IFS(AK83="NMA",VLOOKUP(AH83,'Primary - GRADING'!$A$4:$BG997,52,),AK83="DIRECT",VLOOKUP(AH83,'Primary - GRADING'!$A$4:$BG997,9,),AK83="INDIRECT",VLOOKUP(AH83,'Primary - GRADING'!$A$4:$BG997,24,))</f>
        <v>#N/A</v>
      </c>
      <c r="AN83" s="153" t="str">
        <f>IFS(AK83="NMA",VLOOKUP(AH83,'Primary - GRADING'!$A$4:$BG997,53,),AK83="DIRECT",VLOOKUP(AH83,'Primary - GRADING'!$A$4:$BG997,10,),AK83="INDIRECT",VLOOKUP(AH83,'Primary - GRADING'!$A$4:$BG997,25,))</f>
        <v>#N/A</v>
      </c>
      <c r="AO83" s="153" t="str">
        <f t="shared" si="8"/>
        <v>#N/A</v>
      </c>
      <c r="AT83" s="153" t="str">
        <f t="shared" si="9"/>
        <v>#N/A</v>
      </c>
      <c r="AV83" s="153" t="str">
        <f>VLOOKUP(AU83,'Primary - GRADING'!$A$4:$C997,2,)</f>
        <v>#N/A</v>
      </c>
      <c r="AW83" s="153" t="str">
        <f>VLOOKUP(AU83,'Primary - GRADING'!$A$4:$C997,3,)</f>
        <v>#N/A</v>
      </c>
      <c r="AX83" s="153" t="str">
        <f>VLOOKUP(AU83,'Primary - GRADING'!$A$4:$BG997,59,)</f>
        <v>#N/A</v>
      </c>
      <c r="AY83" s="153" t="str">
        <f>IFS(AX83="NMA",VLOOKUP(AU83,'Primary - GRADING'!$A$4:$BG997,51,),AX83="DIRECT",VLOOKUP(AU83,'Primary - GRADING'!$A$4:$BG997,8,),AX83="INDIRECT",VLOOKUP(AU83,'Primary - GRADING'!$A$4:$BG997,23,))</f>
        <v>#N/A</v>
      </c>
      <c r="AZ83" s="153" t="str">
        <f>IFS(AX83="NMA",VLOOKUP(AU83,'Primary - GRADING'!$A$4:$BG997,52,),AX83="DIRECT",VLOOKUP(AU83,'Primary - GRADING'!$A$4:$BG997,9,),AX83="INDIRECT",VLOOKUP(AU83,'Primary - GRADING'!$A$4:$BG997,24,))</f>
        <v>#N/A</v>
      </c>
      <c r="BA83" s="153" t="str">
        <f>IFS(AX83="NMA",VLOOKUP(AU83,'Primary - GRADING'!$A$4:$BG997,53,),AX83="DIRECT",VLOOKUP(AU83,'Primary - GRADING'!$A$4:$BG997,10,),AX83="INDIRECT",VLOOKUP(AU83,'Primary - GRADING'!$A$4:$BG997,25,))</f>
        <v>#N/A</v>
      </c>
      <c r="BB83" s="153" t="str">
        <f t="shared" si="10"/>
        <v>#N/A</v>
      </c>
      <c r="BE83" s="153" t="str">
        <f t="shared" si="11"/>
        <v/>
      </c>
      <c r="BG83" s="153" t="str">
        <f t="shared" si="12"/>
        <v>#N/A</v>
      </c>
      <c r="BI83" s="153" t="str">
        <f t="shared" si="13"/>
        <v>#N/A</v>
      </c>
      <c r="BK83" s="153" t="str">
        <f t="shared" si="14"/>
        <v>#N/A</v>
      </c>
      <c r="BM83" s="153" t="str">
        <f t="shared" si="15"/>
        <v>#N/A</v>
      </c>
    </row>
    <row r="84" ht="15.75" customHeight="1">
      <c r="B84" s="160" t="str">
        <f t="shared" si="1"/>
        <v>#N/A</v>
      </c>
      <c r="C84" s="160" t="str">
        <f t="shared" si="2"/>
        <v>#N/A</v>
      </c>
      <c r="D84" s="160" t="str">
        <f t="shared" si="3"/>
        <v>#N/A</v>
      </c>
      <c r="E84" s="161" t="str">
        <f t="shared" si="4"/>
        <v>#N/A</v>
      </c>
      <c r="F84" s="153" t="str">
        <f t="shared" si="17"/>
        <v>#N/A</v>
      </c>
      <c r="G84" s="153" t="str">
        <f t="shared" si="6"/>
        <v>#N/A</v>
      </c>
      <c r="H84" s="156" t="str">
        <f t="array" ref="H84">INDEX('Primary - GRADING'!$A$1:$BG997,MATCH($A84,'Primary - GRADING'!$B:$B,0),59)</f>
        <v>#N/A</v>
      </c>
      <c r="I84" s="153" t="str">
        <f t="array" ref="I84">INDEX('Primary - GRADING'!$A$1:$CP997,MATCH($A84,'Primary - GRADING'!$CP:$CP,0),48)</f>
        <v>#N/A</v>
      </c>
      <c r="J84" s="153" t="str">
        <f t="array" ref="J84">INDEX('Primary - GRADING'!$A$1:$CP997,MATCH($A84,'Primary - GRADING'!$CP:$CP,0),49)</f>
        <v>#N/A</v>
      </c>
      <c r="K84" s="153" t="str">
        <f t="array" ref="K84">INDEX('Primary - GRADING'!$A$1:$CP997,MATCH($A84,'Primary - GRADING'!$CP:$CP,0),50)</f>
        <v>#N/A</v>
      </c>
      <c r="L84" s="153" t="str">
        <f t="array" ref="L84">INDEX('Primary - GRADING'!$A$1:$CP997,MATCH($A84,'Primary - GRADING'!$CP:$CP,0),51)</f>
        <v>#N/A</v>
      </c>
      <c r="M84" s="153" t="str">
        <f t="array" ref="M84">INDEX('Primary - GRADING'!$A$1:$CP997,MATCH($A84,'Primary - GRADING'!$CP:$CP,0),52)</f>
        <v>#N/A</v>
      </c>
      <c r="N84" s="153" t="str">
        <f t="array" ref="N84">INDEX('Primary - GRADING'!$A$1:$CP997,MATCH($A84,'Primary - GRADING'!$CP:$CP,0),53)</f>
        <v>#N/A</v>
      </c>
      <c r="O84" s="153" t="str">
        <f t="array" ref="O84">INDEX('Primary - GRADING'!$A$1:$CP997,MATCH($A84,'Primary - GRADING'!$CP:$CP,0),58)</f>
        <v>#N/A</v>
      </c>
      <c r="P84" s="153" t="str">
        <f t="array" ref="P84">INDEX('Primary - GRADING'!$A$1:$CP997,MATCH($A84,'Primary - GRADING'!$CP:$CP,0),5)</f>
        <v>#N/A</v>
      </c>
      <c r="Q84" s="153" t="str">
        <f t="array" ref="Q84">INDEX('Primary - GRADING'!$A$1:$CP997,MATCH($A84,'Primary - GRADING'!$CP:$CP,0),6)</f>
        <v>#N/A</v>
      </c>
      <c r="R84" s="153" t="str">
        <f t="array" ref="R84">INDEX('Primary - GRADING'!$A$1:$CP997,MATCH($A84,'Primary - GRADING'!$CP:$CP,0),7)</f>
        <v>#N/A</v>
      </c>
      <c r="S84" s="153" t="str">
        <f t="array" ref="S84">INDEX('Primary - GRADING'!$A$1:$CP997,MATCH($A84,'Primary - GRADING'!$CP:$CP,0),8)</f>
        <v>#N/A</v>
      </c>
      <c r="T84" s="153" t="str">
        <f t="array" ref="T84">INDEX('Primary - GRADING'!$A$1:$CP997,MATCH($A84,'Primary - GRADING'!$CP:$CP,0),9)</f>
        <v>#N/A</v>
      </c>
      <c r="U84" s="153" t="str">
        <f t="array" ref="U84">INDEX('Primary - GRADING'!$A$1:$CP997,MATCH($A84,'Primary - GRADING'!$CP:$CP,0),10)</f>
        <v>#N/A</v>
      </c>
      <c r="V84" s="153" t="str">
        <f t="array" ref="V84">INDEX('Primary - GRADING'!$A$1:$CP997,MATCH($A84,'Primary - GRADING'!$CP:$CP,0),18)</f>
        <v>#N/A</v>
      </c>
      <c r="W84" s="153" t="str">
        <f t="array" ref="W84">INDEX('Primary - GRADING'!$A$1:$CP997,MATCH($A84,'Primary - GRADING'!$CP:$CP,0),20)</f>
        <v>#N/A</v>
      </c>
      <c r="X84" s="153" t="str">
        <f t="array" ref="X84">INDEX('Primary - GRADING'!$A$1:$CP997,MATCH($A84,'Primary - GRADING'!$CP:$CP,0),21)</f>
        <v>#N/A</v>
      </c>
      <c r="Y84" s="153" t="str">
        <f t="array" ref="Y84">INDEX('Primary - GRADING'!$A$1:$CP997,MATCH($A84,'Primary - GRADING'!$CP:$CP,0),22)</f>
        <v>#N/A</v>
      </c>
      <c r="Z84" s="165" t="str">
        <f t="array" ref="Z84">INDEX('Primary - GRADING'!$A$1:$CP997,MATCH($A84,'Primary - GRADING'!$CP:$CP,0),23)</f>
        <v>#N/A</v>
      </c>
      <c r="AA84" s="153" t="str">
        <f t="array" ref="AA84">INDEX('Primary - GRADING'!$A$1:$CP997,MATCH($A84,'Primary - GRADING'!$CP:$CP,0),24)</f>
        <v>#N/A</v>
      </c>
      <c r="AB84" s="153" t="str">
        <f t="array" ref="AB84">INDEX('Primary - GRADING'!$A$1:$CP997,MATCH($A84,'Primary - GRADING'!$CP:$CP,0),25)</f>
        <v>#N/A</v>
      </c>
      <c r="AC84" s="153" t="str">
        <f t="array" ref="AC84">INDEX('Primary - GRADING'!$A$1:$CP997,MATCH($A84,'Primary - GRADING'!$CP:$CP,0),46)</f>
        <v>#N/A</v>
      </c>
      <c r="AG84" s="153" t="str">
        <f t="shared" si="7"/>
        <v>#N/A</v>
      </c>
      <c r="AI84" s="153" t="str">
        <f>VLOOKUP(AH84,'Primary - GRADING'!$A$4:$C997,2,)</f>
        <v>#N/A</v>
      </c>
      <c r="AJ84" s="153" t="str">
        <f>VLOOKUP(AH84,'Primary - GRADING'!$A$4:$C997,3,)</f>
        <v>#N/A</v>
      </c>
      <c r="AK84" s="153" t="str">
        <f>VLOOKUP(AH84,'Primary - GRADING'!$A$4:$BG997,59,)</f>
        <v>#N/A</v>
      </c>
      <c r="AL84" s="153" t="str">
        <f>IFS(AK84="NMA",VLOOKUP(AH84,'Primary - GRADING'!$A$4:$BG997,51,),AK84="DIRECT",VLOOKUP(AH84,'Primary - GRADING'!$A$4:$BG997,8,),AK84="INDIRECT",VLOOKUP(AH84,'Primary - GRADING'!$A$4:$BG997,23,))</f>
        <v>#N/A</v>
      </c>
      <c r="AM84" s="153" t="str">
        <f>IFS(AK84="NMA",VLOOKUP(AH84,'Primary - GRADING'!$A$4:$BG997,52,),AK84="DIRECT",VLOOKUP(AH84,'Primary - GRADING'!$A$4:$BG997,9,),AK84="INDIRECT",VLOOKUP(AH84,'Primary - GRADING'!$A$4:$BG997,24,))</f>
        <v>#N/A</v>
      </c>
      <c r="AN84" s="153" t="str">
        <f>IFS(AK84="NMA",VLOOKUP(AH84,'Primary - GRADING'!$A$4:$BG997,53,),AK84="DIRECT",VLOOKUP(AH84,'Primary - GRADING'!$A$4:$BG997,10,),AK84="INDIRECT",VLOOKUP(AH84,'Primary - GRADING'!$A$4:$BG997,25,))</f>
        <v>#N/A</v>
      </c>
      <c r="AO84" s="153" t="str">
        <f t="shared" si="8"/>
        <v>#N/A</v>
      </c>
      <c r="AT84" s="153" t="str">
        <f t="shared" si="9"/>
        <v>#N/A</v>
      </c>
      <c r="AV84" s="153" t="str">
        <f>VLOOKUP(AU84,'Primary - GRADING'!$A$4:$C997,2,)</f>
        <v>#N/A</v>
      </c>
      <c r="AW84" s="153" t="str">
        <f>VLOOKUP(AU84,'Primary - GRADING'!$A$4:$C997,3,)</f>
        <v>#N/A</v>
      </c>
      <c r="AX84" s="153" t="str">
        <f>VLOOKUP(AU84,'Primary - GRADING'!$A$4:$BG997,59,)</f>
        <v>#N/A</v>
      </c>
      <c r="AY84" s="153" t="str">
        <f>IFS(AX84="NMA",VLOOKUP(AU84,'Primary - GRADING'!$A$4:$BG997,51,),AX84="DIRECT",VLOOKUP(AU84,'Primary - GRADING'!$A$4:$BG997,8,),AX84="INDIRECT",VLOOKUP(AU84,'Primary - GRADING'!$A$4:$BG997,23,))</f>
        <v>#N/A</v>
      </c>
      <c r="AZ84" s="153" t="str">
        <f>IFS(AX84="NMA",VLOOKUP(AU84,'Primary - GRADING'!$A$4:$BG997,52,),AX84="DIRECT",VLOOKUP(AU84,'Primary - GRADING'!$A$4:$BG997,9,),AX84="INDIRECT",VLOOKUP(AU84,'Primary - GRADING'!$A$4:$BG997,24,))</f>
        <v>#N/A</v>
      </c>
      <c r="BA84" s="153" t="str">
        <f>IFS(AX84="NMA",VLOOKUP(AU84,'Primary - GRADING'!$A$4:$BG997,53,),AX84="DIRECT",VLOOKUP(AU84,'Primary - GRADING'!$A$4:$BG997,10,),AX84="INDIRECT",VLOOKUP(AU84,'Primary - GRADING'!$A$4:$BG997,25,))</f>
        <v>#N/A</v>
      </c>
      <c r="BB84" s="153" t="str">
        <f t="shared" si="10"/>
        <v>#N/A</v>
      </c>
      <c r="BE84" s="153" t="str">
        <f t="shared" si="11"/>
        <v/>
      </c>
      <c r="BG84" s="153" t="str">
        <f t="shared" si="12"/>
        <v>#N/A</v>
      </c>
      <c r="BI84" s="153" t="str">
        <f t="shared" si="13"/>
        <v>#N/A</v>
      </c>
      <c r="BK84" s="153" t="str">
        <f t="shared" si="14"/>
        <v>#N/A</v>
      </c>
      <c r="BM84" s="153" t="str">
        <f t="shared" si="15"/>
        <v>#N/A</v>
      </c>
    </row>
    <row r="85" ht="15.75" customHeight="1">
      <c r="B85" s="160" t="str">
        <f t="shared" si="1"/>
        <v>#N/A</v>
      </c>
      <c r="C85" s="160" t="str">
        <f t="shared" si="2"/>
        <v>#N/A</v>
      </c>
      <c r="D85" s="160" t="str">
        <f t="shared" si="3"/>
        <v>#N/A</v>
      </c>
      <c r="E85" s="161" t="str">
        <f t="shared" si="4"/>
        <v>#N/A</v>
      </c>
      <c r="F85" s="153" t="str">
        <f t="shared" si="17"/>
        <v>#N/A</v>
      </c>
      <c r="G85" s="153" t="str">
        <f t="shared" si="6"/>
        <v>#N/A</v>
      </c>
      <c r="H85" s="156" t="str">
        <f t="array" ref="H85">INDEX('Primary - GRADING'!$A$1:$BG997,MATCH($A85,'Primary - GRADING'!$B:$B,0),59)</f>
        <v>#N/A</v>
      </c>
      <c r="I85" s="153" t="str">
        <f t="array" ref="I85">INDEX('Primary - GRADING'!$A$1:$CP997,MATCH($A85,'Primary - GRADING'!$CP:$CP,0),48)</f>
        <v>#N/A</v>
      </c>
      <c r="J85" s="153" t="str">
        <f t="array" ref="J85">INDEX('Primary - GRADING'!$A$1:$CP997,MATCH($A85,'Primary - GRADING'!$CP:$CP,0),49)</f>
        <v>#N/A</v>
      </c>
      <c r="K85" s="153" t="str">
        <f t="array" ref="K85">INDEX('Primary - GRADING'!$A$1:$CP997,MATCH($A85,'Primary - GRADING'!$CP:$CP,0),50)</f>
        <v>#N/A</v>
      </c>
      <c r="L85" s="153" t="str">
        <f t="array" ref="L85">INDEX('Primary - GRADING'!$A$1:$CP997,MATCH($A85,'Primary - GRADING'!$CP:$CP,0),51)</f>
        <v>#N/A</v>
      </c>
      <c r="M85" s="153" t="str">
        <f t="array" ref="M85">INDEX('Primary - GRADING'!$A$1:$CP997,MATCH($A85,'Primary - GRADING'!$CP:$CP,0),52)</f>
        <v>#N/A</v>
      </c>
      <c r="N85" s="153" t="str">
        <f t="array" ref="N85">INDEX('Primary - GRADING'!$A$1:$CP997,MATCH($A85,'Primary - GRADING'!$CP:$CP,0),53)</f>
        <v>#N/A</v>
      </c>
      <c r="O85" s="153" t="str">
        <f t="array" ref="O85">INDEX('Primary - GRADING'!$A$1:$CP997,MATCH($A85,'Primary - GRADING'!$CP:$CP,0),58)</f>
        <v>#N/A</v>
      </c>
      <c r="P85" s="153" t="str">
        <f t="array" ref="P85">INDEX('Primary - GRADING'!$A$1:$CP997,MATCH($A85,'Primary - GRADING'!$CP:$CP,0),5)</f>
        <v>#N/A</v>
      </c>
      <c r="Q85" s="153" t="str">
        <f t="array" ref="Q85">INDEX('Primary - GRADING'!$A$1:$CP997,MATCH($A85,'Primary - GRADING'!$CP:$CP,0),6)</f>
        <v>#N/A</v>
      </c>
      <c r="R85" s="153" t="str">
        <f t="array" ref="R85">INDEX('Primary - GRADING'!$A$1:$CP997,MATCH($A85,'Primary - GRADING'!$CP:$CP,0),7)</f>
        <v>#N/A</v>
      </c>
      <c r="S85" s="153" t="str">
        <f t="array" ref="S85">INDEX('Primary - GRADING'!$A$1:$CP997,MATCH($A85,'Primary - GRADING'!$CP:$CP,0),8)</f>
        <v>#N/A</v>
      </c>
      <c r="T85" s="153" t="str">
        <f t="array" ref="T85">INDEX('Primary - GRADING'!$A$1:$CP997,MATCH($A85,'Primary - GRADING'!$CP:$CP,0),9)</f>
        <v>#N/A</v>
      </c>
      <c r="U85" s="153" t="str">
        <f t="array" ref="U85">INDEX('Primary - GRADING'!$A$1:$CP997,MATCH($A85,'Primary - GRADING'!$CP:$CP,0),10)</f>
        <v>#N/A</v>
      </c>
      <c r="V85" s="153" t="str">
        <f t="array" ref="V85">INDEX('Primary - GRADING'!$A$1:$CP997,MATCH($A85,'Primary - GRADING'!$CP:$CP,0),18)</f>
        <v>#N/A</v>
      </c>
      <c r="W85" s="153" t="str">
        <f t="array" ref="W85">INDEX('Primary - GRADING'!$A$1:$CP997,MATCH($A85,'Primary - GRADING'!$CP:$CP,0),20)</f>
        <v>#N/A</v>
      </c>
      <c r="X85" s="153" t="str">
        <f t="array" ref="X85">INDEX('Primary - GRADING'!$A$1:$CP997,MATCH($A85,'Primary - GRADING'!$CP:$CP,0),21)</f>
        <v>#N/A</v>
      </c>
      <c r="Y85" s="153" t="str">
        <f t="array" ref="Y85">INDEX('Primary - GRADING'!$A$1:$CP997,MATCH($A85,'Primary - GRADING'!$CP:$CP,0),22)</f>
        <v>#N/A</v>
      </c>
      <c r="Z85" s="165" t="str">
        <f t="array" ref="Z85">INDEX('Primary - GRADING'!$A$1:$CP997,MATCH($A85,'Primary - GRADING'!$CP:$CP,0),23)</f>
        <v>#N/A</v>
      </c>
      <c r="AA85" s="153" t="str">
        <f t="array" ref="AA85">INDEX('Primary - GRADING'!$A$1:$CP997,MATCH($A85,'Primary - GRADING'!$CP:$CP,0),24)</f>
        <v>#N/A</v>
      </c>
      <c r="AB85" s="153" t="str">
        <f t="array" ref="AB85">INDEX('Primary - GRADING'!$A$1:$CP997,MATCH($A85,'Primary - GRADING'!$CP:$CP,0),25)</f>
        <v>#N/A</v>
      </c>
      <c r="AC85" s="153" t="str">
        <f t="array" ref="AC85">INDEX('Primary - GRADING'!$A$1:$CP997,MATCH($A85,'Primary - GRADING'!$CP:$CP,0),46)</f>
        <v>#N/A</v>
      </c>
      <c r="AG85" s="153" t="str">
        <f t="shared" si="7"/>
        <v>#N/A</v>
      </c>
      <c r="AI85" s="153" t="str">
        <f>VLOOKUP(AH85,'Primary - GRADING'!$A$4:$C997,2,)</f>
        <v>#N/A</v>
      </c>
      <c r="AJ85" s="153" t="str">
        <f>VLOOKUP(AH85,'Primary - GRADING'!$A$4:$C997,3,)</f>
        <v>#N/A</v>
      </c>
      <c r="AK85" s="153" t="str">
        <f>VLOOKUP(AH85,'Primary - GRADING'!$A$4:$BG997,59,)</f>
        <v>#N/A</v>
      </c>
      <c r="AL85" s="153" t="str">
        <f>IFS(AK85="NMA",VLOOKUP(AH85,'Primary - GRADING'!$A$4:$BG997,51,),AK85="DIRECT",VLOOKUP(AH85,'Primary - GRADING'!$A$4:$BG997,8,),AK85="INDIRECT",VLOOKUP(AH85,'Primary - GRADING'!$A$4:$BG997,23,))</f>
        <v>#N/A</v>
      </c>
      <c r="AM85" s="153" t="str">
        <f>IFS(AK85="NMA",VLOOKUP(AH85,'Primary - GRADING'!$A$4:$BG997,52,),AK85="DIRECT",VLOOKUP(AH85,'Primary - GRADING'!$A$4:$BG997,9,),AK85="INDIRECT",VLOOKUP(AH85,'Primary - GRADING'!$A$4:$BG997,24,))</f>
        <v>#N/A</v>
      </c>
      <c r="AN85" s="153" t="str">
        <f>IFS(AK85="NMA",VLOOKUP(AH85,'Primary - GRADING'!$A$4:$BG997,53,),AK85="DIRECT",VLOOKUP(AH85,'Primary - GRADING'!$A$4:$BG997,10,),AK85="INDIRECT",VLOOKUP(AH85,'Primary - GRADING'!$A$4:$BG997,25,))</f>
        <v>#N/A</v>
      </c>
      <c r="AO85" s="153" t="str">
        <f t="shared" si="8"/>
        <v>#N/A</v>
      </c>
      <c r="AT85" s="153" t="str">
        <f t="shared" si="9"/>
        <v>#N/A</v>
      </c>
      <c r="AV85" s="153" t="str">
        <f>VLOOKUP(AU85,'Primary - GRADING'!$A$4:$C997,2,)</f>
        <v>#N/A</v>
      </c>
      <c r="AW85" s="153" t="str">
        <f>VLOOKUP(AU85,'Primary - GRADING'!$A$4:$C997,3,)</f>
        <v>#N/A</v>
      </c>
      <c r="AX85" s="153" t="str">
        <f>VLOOKUP(AU85,'Primary - GRADING'!$A$4:$BG997,59,)</f>
        <v>#N/A</v>
      </c>
      <c r="AY85" s="153" t="str">
        <f>IFS(AX85="NMA",VLOOKUP(AU85,'Primary - GRADING'!$A$4:$BG997,51,),AX85="DIRECT",VLOOKUP(AU85,'Primary - GRADING'!$A$4:$BG997,8,),AX85="INDIRECT",VLOOKUP(AU85,'Primary - GRADING'!$A$4:$BG997,23,))</f>
        <v>#N/A</v>
      </c>
      <c r="AZ85" s="153" t="str">
        <f>IFS(AX85="NMA",VLOOKUP(AU85,'Primary - GRADING'!$A$4:$BG997,52,),AX85="DIRECT",VLOOKUP(AU85,'Primary - GRADING'!$A$4:$BG997,9,),AX85="INDIRECT",VLOOKUP(AU85,'Primary - GRADING'!$A$4:$BG997,24,))</f>
        <v>#N/A</v>
      </c>
      <c r="BA85" s="153" t="str">
        <f>IFS(AX85="NMA",VLOOKUP(AU85,'Primary - GRADING'!$A$4:$BG997,53,),AX85="DIRECT",VLOOKUP(AU85,'Primary - GRADING'!$A$4:$BG997,10,),AX85="INDIRECT",VLOOKUP(AU85,'Primary - GRADING'!$A$4:$BG997,25,))</f>
        <v>#N/A</v>
      </c>
      <c r="BB85" s="153" t="str">
        <f t="shared" si="10"/>
        <v>#N/A</v>
      </c>
      <c r="BE85" s="153" t="str">
        <f t="shared" si="11"/>
        <v/>
      </c>
      <c r="BG85" s="153" t="str">
        <f t="shared" si="12"/>
        <v>#N/A</v>
      </c>
      <c r="BI85" s="153" t="str">
        <f t="shared" si="13"/>
        <v>#N/A</v>
      </c>
      <c r="BK85" s="153" t="str">
        <f t="shared" si="14"/>
        <v>#N/A</v>
      </c>
      <c r="BM85" s="153" t="str">
        <f t="shared" si="15"/>
        <v>#N/A</v>
      </c>
    </row>
    <row r="86" ht="15.75" customHeight="1">
      <c r="B86" s="160" t="str">
        <f t="shared" si="1"/>
        <v>#N/A</v>
      </c>
      <c r="C86" s="160" t="str">
        <f t="shared" si="2"/>
        <v>#N/A</v>
      </c>
      <c r="D86" s="160" t="str">
        <f t="shared" si="3"/>
        <v>#N/A</v>
      </c>
      <c r="E86" s="161" t="str">
        <f t="shared" si="4"/>
        <v>#N/A</v>
      </c>
      <c r="F86" s="153" t="str">
        <f t="shared" si="17"/>
        <v>#N/A</v>
      </c>
      <c r="G86" s="153" t="str">
        <f t="shared" si="6"/>
        <v>#N/A</v>
      </c>
      <c r="H86" s="156" t="str">
        <f t="array" ref="H86">INDEX('Primary - GRADING'!$A$1:$BG997,MATCH($A86,'Primary - GRADING'!$B:$B,0),59)</f>
        <v>#N/A</v>
      </c>
      <c r="I86" s="153" t="str">
        <f t="array" ref="I86">INDEX('Primary - GRADING'!$A$1:$CP997,MATCH($A86,'Primary - GRADING'!$CP:$CP,0),48)</f>
        <v>#N/A</v>
      </c>
      <c r="J86" s="153" t="str">
        <f t="array" ref="J86">INDEX('Primary - GRADING'!$A$1:$CP997,MATCH($A86,'Primary - GRADING'!$CP:$CP,0),49)</f>
        <v>#N/A</v>
      </c>
      <c r="K86" s="153" t="str">
        <f t="array" ref="K86">INDEX('Primary - GRADING'!$A$1:$CP997,MATCH($A86,'Primary - GRADING'!$CP:$CP,0),50)</f>
        <v>#N/A</v>
      </c>
      <c r="L86" s="153" t="str">
        <f t="array" ref="L86">INDEX('Primary - GRADING'!$A$1:$CP997,MATCH($A86,'Primary - GRADING'!$CP:$CP,0),51)</f>
        <v>#N/A</v>
      </c>
      <c r="M86" s="153" t="str">
        <f t="array" ref="M86">INDEX('Primary - GRADING'!$A$1:$CP997,MATCH($A86,'Primary - GRADING'!$CP:$CP,0),52)</f>
        <v>#N/A</v>
      </c>
      <c r="N86" s="153" t="str">
        <f t="array" ref="N86">INDEX('Primary - GRADING'!$A$1:$CP997,MATCH($A86,'Primary - GRADING'!$CP:$CP,0),53)</f>
        <v>#N/A</v>
      </c>
      <c r="O86" s="153" t="str">
        <f t="array" ref="O86">INDEX('Primary - GRADING'!$A$1:$CP997,MATCH($A86,'Primary - GRADING'!$CP:$CP,0),58)</f>
        <v>#N/A</v>
      </c>
      <c r="P86" s="153" t="str">
        <f t="array" ref="P86">INDEX('Primary - GRADING'!$A$1:$CP997,MATCH($A86,'Primary - GRADING'!$CP:$CP,0),5)</f>
        <v>#N/A</v>
      </c>
      <c r="Q86" s="153" t="str">
        <f t="array" ref="Q86">INDEX('Primary - GRADING'!$A$1:$CP997,MATCH($A86,'Primary - GRADING'!$CP:$CP,0),6)</f>
        <v>#N/A</v>
      </c>
      <c r="R86" s="153" t="str">
        <f t="array" ref="R86">INDEX('Primary - GRADING'!$A$1:$CP997,MATCH($A86,'Primary - GRADING'!$CP:$CP,0),7)</f>
        <v>#N/A</v>
      </c>
      <c r="S86" s="153" t="str">
        <f t="array" ref="S86">INDEX('Primary - GRADING'!$A$1:$CP997,MATCH($A86,'Primary - GRADING'!$CP:$CP,0),8)</f>
        <v>#N/A</v>
      </c>
      <c r="T86" s="153" t="str">
        <f t="array" ref="T86">INDEX('Primary - GRADING'!$A$1:$CP997,MATCH($A86,'Primary - GRADING'!$CP:$CP,0),9)</f>
        <v>#N/A</v>
      </c>
      <c r="U86" s="153" t="str">
        <f t="array" ref="U86">INDEX('Primary - GRADING'!$A$1:$CP997,MATCH($A86,'Primary - GRADING'!$CP:$CP,0),10)</f>
        <v>#N/A</v>
      </c>
      <c r="V86" s="153" t="str">
        <f t="array" ref="V86">INDEX('Primary - GRADING'!$A$1:$CP997,MATCH($A86,'Primary - GRADING'!$CP:$CP,0),18)</f>
        <v>#N/A</v>
      </c>
      <c r="W86" s="153" t="str">
        <f t="array" ref="W86">INDEX('Primary - GRADING'!$A$1:$CP997,MATCH($A86,'Primary - GRADING'!$CP:$CP,0),20)</f>
        <v>#N/A</v>
      </c>
      <c r="X86" s="153" t="str">
        <f t="array" ref="X86">INDEX('Primary - GRADING'!$A$1:$CP997,MATCH($A86,'Primary - GRADING'!$CP:$CP,0),21)</f>
        <v>#N/A</v>
      </c>
      <c r="Y86" s="153" t="str">
        <f t="array" ref="Y86">INDEX('Primary - GRADING'!$A$1:$CP997,MATCH($A86,'Primary - GRADING'!$CP:$CP,0),22)</f>
        <v>#N/A</v>
      </c>
      <c r="Z86" s="165" t="str">
        <f t="array" ref="Z86">INDEX('Primary - GRADING'!$A$1:$CP997,MATCH($A86,'Primary - GRADING'!$CP:$CP,0),23)</f>
        <v>#N/A</v>
      </c>
      <c r="AA86" s="153" t="str">
        <f t="array" ref="AA86">INDEX('Primary - GRADING'!$A$1:$CP997,MATCH($A86,'Primary - GRADING'!$CP:$CP,0),24)</f>
        <v>#N/A</v>
      </c>
      <c r="AB86" s="153" t="str">
        <f t="array" ref="AB86">INDEX('Primary - GRADING'!$A$1:$CP997,MATCH($A86,'Primary - GRADING'!$CP:$CP,0),25)</f>
        <v>#N/A</v>
      </c>
      <c r="AC86" s="153" t="str">
        <f t="array" ref="AC86">INDEX('Primary - GRADING'!$A$1:$CP997,MATCH($A86,'Primary - GRADING'!$CP:$CP,0),46)</f>
        <v>#N/A</v>
      </c>
      <c r="AG86" s="153" t="str">
        <f t="shared" si="7"/>
        <v>#N/A</v>
      </c>
      <c r="AI86" s="153" t="str">
        <f>VLOOKUP(AH86,'Primary - GRADING'!$A$4:$C997,2,)</f>
        <v>#N/A</v>
      </c>
      <c r="AJ86" s="153" t="str">
        <f>VLOOKUP(AH86,'Primary - GRADING'!$A$4:$C997,3,)</f>
        <v>#N/A</v>
      </c>
      <c r="AK86" s="153" t="str">
        <f>VLOOKUP(AH86,'Primary - GRADING'!$A$4:$BG997,59,)</f>
        <v>#N/A</v>
      </c>
      <c r="AL86" s="153" t="str">
        <f>IFS(AK86="NMA",VLOOKUP(AH86,'Primary - GRADING'!$A$4:$BG997,51,),AK86="DIRECT",VLOOKUP(AH86,'Primary - GRADING'!$A$4:$BG997,8,),AK86="INDIRECT",VLOOKUP(AH86,'Primary - GRADING'!$A$4:$BG997,23,))</f>
        <v>#N/A</v>
      </c>
      <c r="AM86" s="153" t="str">
        <f>IFS(AK86="NMA",VLOOKUP(AH86,'Primary - GRADING'!$A$4:$BG997,52,),AK86="DIRECT",VLOOKUP(AH86,'Primary - GRADING'!$A$4:$BG997,9,),AK86="INDIRECT",VLOOKUP(AH86,'Primary - GRADING'!$A$4:$BG997,24,))</f>
        <v>#N/A</v>
      </c>
      <c r="AN86" s="153" t="str">
        <f>IFS(AK86="NMA",VLOOKUP(AH86,'Primary - GRADING'!$A$4:$BG997,53,),AK86="DIRECT",VLOOKUP(AH86,'Primary - GRADING'!$A$4:$BG997,10,),AK86="INDIRECT",VLOOKUP(AH86,'Primary - GRADING'!$A$4:$BG997,25,))</f>
        <v>#N/A</v>
      </c>
      <c r="AO86" s="153" t="str">
        <f t="shared" si="8"/>
        <v>#N/A</v>
      </c>
      <c r="AT86" s="153" t="str">
        <f t="shared" si="9"/>
        <v>#N/A</v>
      </c>
      <c r="AV86" s="153" t="str">
        <f>VLOOKUP(AU86,'Primary - GRADING'!$A$4:$C997,2,)</f>
        <v>#N/A</v>
      </c>
      <c r="AW86" s="153" t="str">
        <f>VLOOKUP(AU86,'Primary - GRADING'!$A$4:$C997,3,)</f>
        <v>#N/A</v>
      </c>
      <c r="AX86" s="153" t="str">
        <f>VLOOKUP(AU86,'Primary - GRADING'!$A$4:$BG997,59,)</f>
        <v>#N/A</v>
      </c>
      <c r="AY86" s="153" t="str">
        <f>IFS(AX86="NMA",VLOOKUP(AU86,'Primary - GRADING'!$A$4:$BG997,51,),AX86="DIRECT",VLOOKUP(AU86,'Primary - GRADING'!$A$4:$BG997,8,),AX86="INDIRECT",VLOOKUP(AU86,'Primary - GRADING'!$A$4:$BG997,23,))</f>
        <v>#N/A</v>
      </c>
      <c r="AZ86" s="153" t="str">
        <f>IFS(AX86="NMA",VLOOKUP(AU86,'Primary - GRADING'!$A$4:$BG997,52,),AX86="DIRECT",VLOOKUP(AU86,'Primary - GRADING'!$A$4:$BG997,9,),AX86="INDIRECT",VLOOKUP(AU86,'Primary - GRADING'!$A$4:$BG997,24,))</f>
        <v>#N/A</v>
      </c>
      <c r="BA86" s="153" t="str">
        <f>IFS(AX86="NMA",VLOOKUP(AU86,'Primary - GRADING'!$A$4:$BG997,53,),AX86="DIRECT",VLOOKUP(AU86,'Primary - GRADING'!$A$4:$BG997,10,),AX86="INDIRECT",VLOOKUP(AU86,'Primary - GRADING'!$A$4:$BG997,25,))</f>
        <v>#N/A</v>
      </c>
      <c r="BB86" s="153" t="str">
        <f t="shared" si="10"/>
        <v>#N/A</v>
      </c>
      <c r="BE86" s="153" t="str">
        <f t="shared" si="11"/>
        <v/>
      </c>
      <c r="BG86" s="153" t="str">
        <f t="shared" si="12"/>
        <v>#N/A</v>
      </c>
      <c r="BI86" s="153" t="str">
        <f t="shared" si="13"/>
        <v>#N/A</v>
      </c>
      <c r="BK86" s="153" t="str">
        <f t="shared" si="14"/>
        <v>#N/A</v>
      </c>
      <c r="BM86" s="153" t="str">
        <f t="shared" si="15"/>
        <v>#N/A</v>
      </c>
    </row>
    <row r="87" ht="15.75" customHeight="1">
      <c r="B87" s="160" t="str">
        <f t="shared" si="1"/>
        <v>#N/A</v>
      </c>
      <c r="C87" s="160" t="str">
        <f t="shared" si="2"/>
        <v>#N/A</v>
      </c>
      <c r="D87" s="160" t="str">
        <f t="shared" si="3"/>
        <v>#N/A</v>
      </c>
      <c r="E87" s="161" t="str">
        <f t="shared" si="4"/>
        <v>#N/A</v>
      </c>
      <c r="F87" s="153" t="str">
        <f t="shared" si="17"/>
        <v>#N/A</v>
      </c>
      <c r="G87" s="153" t="str">
        <f t="shared" si="6"/>
        <v>#N/A</v>
      </c>
      <c r="H87" s="156" t="str">
        <f t="array" ref="H87">INDEX('Primary - GRADING'!$A$1:$BG997,MATCH($A87,'Primary - GRADING'!$B:$B,0),59)</f>
        <v>#N/A</v>
      </c>
      <c r="I87" s="153" t="str">
        <f t="array" ref="I87">INDEX('Primary - GRADING'!$A$1:$CP997,MATCH($A87,'Primary - GRADING'!$CP:$CP,0),48)</f>
        <v>#N/A</v>
      </c>
      <c r="J87" s="153" t="str">
        <f t="array" ref="J87">INDEX('Primary - GRADING'!$A$1:$CP997,MATCH($A87,'Primary - GRADING'!$CP:$CP,0),49)</f>
        <v>#N/A</v>
      </c>
      <c r="K87" s="153" t="str">
        <f t="array" ref="K87">INDEX('Primary - GRADING'!$A$1:$CP997,MATCH($A87,'Primary - GRADING'!$CP:$CP,0),50)</f>
        <v>#N/A</v>
      </c>
      <c r="L87" s="153" t="str">
        <f t="array" ref="L87">INDEX('Primary - GRADING'!$A$1:$CP997,MATCH($A87,'Primary - GRADING'!$CP:$CP,0),51)</f>
        <v>#N/A</v>
      </c>
      <c r="M87" s="153" t="str">
        <f t="array" ref="M87">INDEX('Primary - GRADING'!$A$1:$CP997,MATCH($A87,'Primary - GRADING'!$CP:$CP,0),52)</f>
        <v>#N/A</v>
      </c>
      <c r="N87" s="153" t="str">
        <f t="array" ref="N87">INDEX('Primary - GRADING'!$A$1:$CP997,MATCH($A87,'Primary - GRADING'!$CP:$CP,0),53)</f>
        <v>#N/A</v>
      </c>
      <c r="O87" s="153" t="str">
        <f t="array" ref="O87">INDEX('Primary - GRADING'!$A$1:$CP997,MATCH($A87,'Primary - GRADING'!$CP:$CP,0),58)</f>
        <v>#N/A</v>
      </c>
      <c r="P87" s="153" t="str">
        <f t="array" ref="P87">INDEX('Primary - GRADING'!$A$1:$CP997,MATCH($A87,'Primary - GRADING'!$CP:$CP,0),5)</f>
        <v>#N/A</v>
      </c>
      <c r="Q87" s="153" t="str">
        <f t="array" ref="Q87">INDEX('Primary - GRADING'!$A$1:$CP997,MATCH($A87,'Primary - GRADING'!$CP:$CP,0),6)</f>
        <v>#N/A</v>
      </c>
      <c r="R87" s="153" t="str">
        <f t="array" ref="R87">INDEX('Primary - GRADING'!$A$1:$CP997,MATCH($A87,'Primary - GRADING'!$CP:$CP,0),7)</f>
        <v>#N/A</v>
      </c>
      <c r="S87" s="153" t="str">
        <f t="array" ref="S87">INDEX('Primary - GRADING'!$A$1:$CP997,MATCH($A87,'Primary - GRADING'!$CP:$CP,0),8)</f>
        <v>#N/A</v>
      </c>
      <c r="T87" s="153" t="str">
        <f t="array" ref="T87">INDEX('Primary - GRADING'!$A$1:$CP997,MATCH($A87,'Primary - GRADING'!$CP:$CP,0),9)</f>
        <v>#N/A</v>
      </c>
      <c r="U87" s="153" t="str">
        <f t="array" ref="U87">INDEX('Primary - GRADING'!$A$1:$CP997,MATCH($A87,'Primary - GRADING'!$CP:$CP,0),10)</f>
        <v>#N/A</v>
      </c>
      <c r="V87" s="153" t="str">
        <f t="array" ref="V87">INDEX('Primary - GRADING'!$A$1:$CP997,MATCH($A87,'Primary - GRADING'!$CP:$CP,0),18)</f>
        <v>#N/A</v>
      </c>
      <c r="W87" s="153" t="str">
        <f t="array" ref="W87">INDEX('Primary - GRADING'!$A$1:$CP997,MATCH($A87,'Primary - GRADING'!$CP:$CP,0),20)</f>
        <v>#N/A</v>
      </c>
      <c r="X87" s="153" t="str">
        <f t="array" ref="X87">INDEX('Primary - GRADING'!$A$1:$CP997,MATCH($A87,'Primary - GRADING'!$CP:$CP,0),21)</f>
        <v>#N/A</v>
      </c>
      <c r="Y87" s="153" t="str">
        <f t="array" ref="Y87">INDEX('Primary - GRADING'!$A$1:$CP997,MATCH($A87,'Primary - GRADING'!$CP:$CP,0),22)</f>
        <v>#N/A</v>
      </c>
      <c r="Z87" s="165" t="str">
        <f t="array" ref="Z87">INDEX('Primary - GRADING'!$A$1:$CP997,MATCH($A87,'Primary - GRADING'!$CP:$CP,0),23)</f>
        <v>#N/A</v>
      </c>
      <c r="AA87" s="153" t="str">
        <f t="array" ref="AA87">INDEX('Primary - GRADING'!$A$1:$CP997,MATCH($A87,'Primary - GRADING'!$CP:$CP,0),24)</f>
        <v>#N/A</v>
      </c>
      <c r="AB87" s="153" t="str">
        <f t="array" ref="AB87">INDEX('Primary - GRADING'!$A$1:$CP997,MATCH($A87,'Primary - GRADING'!$CP:$CP,0),25)</f>
        <v>#N/A</v>
      </c>
      <c r="AC87" s="153" t="str">
        <f t="array" ref="AC87">INDEX('Primary - GRADING'!$A$1:$CP997,MATCH($A87,'Primary - GRADING'!$CP:$CP,0),46)</f>
        <v>#N/A</v>
      </c>
      <c r="AG87" s="153" t="str">
        <f t="shared" si="7"/>
        <v>#N/A</v>
      </c>
      <c r="AI87" s="153" t="str">
        <f>VLOOKUP(AH87,'Primary - GRADING'!$A$4:$C997,2,)</f>
        <v>#N/A</v>
      </c>
      <c r="AJ87" s="153" t="str">
        <f>VLOOKUP(AH87,'Primary - GRADING'!$A$4:$C997,3,)</f>
        <v>#N/A</v>
      </c>
      <c r="AK87" s="153" t="str">
        <f>VLOOKUP(AH87,'Primary - GRADING'!$A$4:$BG997,59,)</f>
        <v>#N/A</v>
      </c>
      <c r="AL87" s="153" t="str">
        <f>IFS(AK87="NMA",VLOOKUP(AH87,'Primary - GRADING'!$A$4:$BG997,51,),AK87="DIRECT",VLOOKUP(AH87,'Primary - GRADING'!$A$4:$BG997,8,),AK87="INDIRECT",VLOOKUP(AH87,'Primary - GRADING'!$A$4:$BG997,23,))</f>
        <v>#N/A</v>
      </c>
      <c r="AM87" s="153" t="str">
        <f>IFS(AK87="NMA",VLOOKUP(AH87,'Primary - GRADING'!$A$4:$BG997,52,),AK87="DIRECT",VLOOKUP(AH87,'Primary - GRADING'!$A$4:$BG997,9,),AK87="INDIRECT",VLOOKUP(AH87,'Primary - GRADING'!$A$4:$BG997,24,))</f>
        <v>#N/A</v>
      </c>
      <c r="AN87" s="153" t="str">
        <f>IFS(AK87="NMA",VLOOKUP(AH87,'Primary - GRADING'!$A$4:$BG997,53,),AK87="DIRECT",VLOOKUP(AH87,'Primary - GRADING'!$A$4:$BG997,10,),AK87="INDIRECT",VLOOKUP(AH87,'Primary - GRADING'!$A$4:$BG997,25,))</f>
        <v>#N/A</v>
      </c>
      <c r="AO87" s="153" t="str">
        <f t="shared" si="8"/>
        <v>#N/A</v>
      </c>
      <c r="AT87" s="153" t="str">
        <f t="shared" si="9"/>
        <v>#N/A</v>
      </c>
      <c r="AV87" s="153" t="str">
        <f>VLOOKUP(AU87,'Primary - GRADING'!$A$4:$C997,2,)</f>
        <v>#N/A</v>
      </c>
      <c r="AW87" s="153" t="str">
        <f>VLOOKUP(AU87,'Primary - GRADING'!$A$4:$C997,3,)</f>
        <v>#N/A</v>
      </c>
      <c r="AX87" s="153" t="str">
        <f>VLOOKUP(AU87,'Primary - GRADING'!$A$4:$BG997,59,)</f>
        <v>#N/A</v>
      </c>
      <c r="AY87" s="153" t="str">
        <f>IFS(AX87="NMA",VLOOKUP(AU87,'Primary - GRADING'!$A$4:$BG997,51,),AX87="DIRECT",VLOOKUP(AU87,'Primary - GRADING'!$A$4:$BG997,8,),AX87="INDIRECT",VLOOKUP(AU87,'Primary - GRADING'!$A$4:$BG997,23,))</f>
        <v>#N/A</v>
      </c>
      <c r="AZ87" s="153" t="str">
        <f>IFS(AX87="NMA",VLOOKUP(AU87,'Primary - GRADING'!$A$4:$BG997,52,),AX87="DIRECT",VLOOKUP(AU87,'Primary - GRADING'!$A$4:$BG997,9,),AX87="INDIRECT",VLOOKUP(AU87,'Primary - GRADING'!$A$4:$BG997,24,))</f>
        <v>#N/A</v>
      </c>
      <c r="BA87" s="153" t="str">
        <f>IFS(AX87="NMA",VLOOKUP(AU87,'Primary - GRADING'!$A$4:$BG997,53,),AX87="DIRECT",VLOOKUP(AU87,'Primary - GRADING'!$A$4:$BG997,10,),AX87="INDIRECT",VLOOKUP(AU87,'Primary - GRADING'!$A$4:$BG997,25,))</f>
        <v>#N/A</v>
      </c>
      <c r="BB87" s="153" t="str">
        <f t="shared" si="10"/>
        <v>#N/A</v>
      </c>
      <c r="BE87" s="153" t="str">
        <f t="shared" si="11"/>
        <v/>
      </c>
      <c r="BG87" s="153" t="str">
        <f t="shared" si="12"/>
        <v>#N/A</v>
      </c>
      <c r="BI87" s="153" t="str">
        <f t="shared" si="13"/>
        <v>#N/A</v>
      </c>
      <c r="BK87" s="153" t="str">
        <f t="shared" si="14"/>
        <v>#N/A</v>
      </c>
      <c r="BM87" s="153" t="str">
        <f t="shared" si="15"/>
        <v>#N/A</v>
      </c>
    </row>
    <row r="88" ht="15.75" customHeight="1">
      <c r="B88" s="160" t="str">
        <f t="shared" si="1"/>
        <v>#N/A</v>
      </c>
      <c r="C88" s="160" t="str">
        <f t="shared" si="2"/>
        <v>#N/A</v>
      </c>
      <c r="D88" s="160" t="str">
        <f t="shared" si="3"/>
        <v>#N/A</v>
      </c>
      <c r="E88" s="161" t="str">
        <f t="shared" si="4"/>
        <v>#N/A</v>
      </c>
      <c r="F88" s="153" t="str">
        <f t="shared" si="17"/>
        <v>#N/A</v>
      </c>
      <c r="G88" s="153" t="str">
        <f t="shared" si="6"/>
        <v>#N/A</v>
      </c>
      <c r="H88" s="156" t="str">
        <f t="array" ref="H88">INDEX('Primary - GRADING'!$A$1:$BG997,MATCH($A88,'Primary - GRADING'!$B:$B,0),59)</f>
        <v>#N/A</v>
      </c>
      <c r="I88" s="153" t="str">
        <f t="array" ref="I88">INDEX('Primary - GRADING'!$A$1:$CP997,MATCH($A88,'Primary - GRADING'!$CP:$CP,0),48)</f>
        <v>#N/A</v>
      </c>
      <c r="J88" s="153" t="str">
        <f t="array" ref="J88">INDEX('Primary - GRADING'!$A$1:$CP997,MATCH($A88,'Primary - GRADING'!$CP:$CP,0),49)</f>
        <v>#N/A</v>
      </c>
      <c r="K88" s="153" t="str">
        <f t="array" ref="K88">INDEX('Primary - GRADING'!$A$1:$CP997,MATCH($A88,'Primary - GRADING'!$CP:$CP,0),50)</f>
        <v>#N/A</v>
      </c>
      <c r="L88" s="153" t="str">
        <f t="array" ref="L88">INDEX('Primary - GRADING'!$A$1:$CP997,MATCH($A88,'Primary - GRADING'!$CP:$CP,0),51)</f>
        <v>#N/A</v>
      </c>
      <c r="M88" s="153" t="str">
        <f t="array" ref="M88">INDEX('Primary - GRADING'!$A$1:$CP997,MATCH($A88,'Primary - GRADING'!$CP:$CP,0),52)</f>
        <v>#N/A</v>
      </c>
      <c r="N88" s="153" t="str">
        <f t="array" ref="N88">INDEX('Primary - GRADING'!$A$1:$CP997,MATCH($A88,'Primary - GRADING'!$CP:$CP,0),53)</f>
        <v>#N/A</v>
      </c>
      <c r="O88" s="153" t="str">
        <f t="array" ref="O88">INDEX('Primary - GRADING'!$A$1:$CP997,MATCH($A88,'Primary - GRADING'!$CP:$CP,0),58)</f>
        <v>#N/A</v>
      </c>
      <c r="P88" s="153" t="str">
        <f t="array" ref="P88">INDEX('Primary - GRADING'!$A$1:$CP997,MATCH($A88,'Primary - GRADING'!$CP:$CP,0),5)</f>
        <v>#N/A</v>
      </c>
      <c r="Q88" s="153" t="str">
        <f t="array" ref="Q88">INDEX('Primary - GRADING'!$A$1:$CP997,MATCH($A88,'Primary - GRADING'!$CP:$CP,0),6)</f>
        <v>#N/A</v>
      </c>
      <c r="R88" s="153" t="str">
        <f t="array" ref="R88">INDEX('Primary - GRADING'!$A$1:$CP997,MATCH($A88,'Primary - GRADING'!$CP:$CP,0),7)</f>
        <v>#N/A</v>
      </c>
      <c r="S88" s="153" t="str">
        <f t="array" ref="S88">INDEX('Primary - GRADING'!$A$1:$CP997,MATCH($A88,'Primary - GRADING'!$CP:$CP,0),8)</f>
        <v>#N/A</v>
      </c>
      <c r="T88" s="153" t="str">
        <f t="array" ref="T88">INDEX('Primary - GRADING'!$A$1:$CP997,MATCH($A88,'Primary - GRADING'!$CP:$CP,0),9)</f>
        <v>#N/A</v>
      </c>
      <c r="U88" s="153" t="str">
        <f t="array" ref="U88">INDEX('Primary - GRADING'!$A$1:$CP997,MATCH($A88,'Primary - GRADING'!$CP:$CP,0),10)</f>
        <v>#N/A</v>
      </c>
      <c r="V88" s="153" t="str">
        <f t="array" ref="V88">INDEX('Primary - GRADING'!$A$1:$CP997,MATCH($A88,'Primary - GRADING'!$CP:$CP,0),18)</f>
        <v>#N/A</v>
      </c>
      <c r="W88" s="153" t="str">
        <f t="array" ref="W88">INDEX('Primary - GRADING'!$A$1:$CP997,MATCH($A88,'Primary - GRADING'!$CP:$CP,0),20)</f>
        <v>#N/A</v>
      </c>
      <c r="X88" s="153" t="str">
        <f t="array" ref="X88">INDEX('Primary - GRADING'!$A$1:$CP997,MATCH($A88,'Primary - GRADING'!$CP:$CP,0),21)</f>
        <v>#N/A</v>
      </c>
      <c r="Y88" s="153" t="str">
        <f t="array" ref="Y88">INDEX('Primary - GRADING'!$A$1:$CP997,MATCH($A88,'Primary - GRADING'!$CP:$CP,0),22)</f>
        <v>#N/A</v>
      </c>
      <c r="Z88" s="165" t="str">
        <f t="array" ref="Z88">INDEX('Primary - GRADING'!$A$1:$CP997,MATCH($A88,'Primary - GRADING'!$CP:$CP,0),23)</f>
        <v>#N/A</v>
      </c>
      <c r="AA88" s="153" t="str">
        <f t="array" ref="AA88">INDEX('Primary - GRADING'!$A$1:$CP997,MATCH($A88,'Primary - GRADING'!$CP:$CP,0),24)</f>
        <v>#N/A</v>
      </c>
      <c r="AB88" s="153" t="str">
        <f t="array" ref="AB88">INDEX('Primary - GRADING'!$A$1:$CP997,MATCH($A88,'Primary - GRADING'!$CP:$CP,0),25)</f>
        <v>#N/A</v>
      </c>
      <c r="AC88" s="153" t="str">
        <f t="array" ref="AC88">INDEX('Primary - GRADING'!$A$1:$CP997,MATCH($A88,'Primary - GRADING'!$CP:$CP,0),46)</f>
        <v>#N/A</v>
      </c>
      <c r="AG88" s="153" t="str">
        <f t="shared" si="7"/>
        <v>#N/A</v>
      </c>
      <c r="AI88" s="153" t="str">
        <f>VLOOKUP(AH88,'Primary - GRADING'!$A$4:$C997,2,)</f>
        <v>#N/A</v>
      </c>
      <c r="AJ88" s="153" t="str">
        <f>VLOOKUP(AH88,'Primary - GRADING'!$A$4:$C997,3,)</f>
        <v>#N/A</v>
      </c>
      <c r="AK88" s="153" t="str">
        <f>VLOOKUP(AH88,'Primary - GRADING'!$A$4:$BG997,59,)</f>
        <v>#N/A</v>
      </c>
      <c r="AL88" s="153" t="str">
        <f>IFS(AK88="NMA",VLOOKUP(AH88,'Primary - GRADING'!$A$4:$BG997,51,),AK88="DIRECT",VLOOKUP(AH88,'Primary - GRADING'!$A$4:$BG997,8,),AK88="INDIRECT",VLOOKUP(AH88,'Primary - GRADING'!$A$4:$BG997,23,))</f>
        <v>#N/A</v>
      </c>
      <c r="AM88" s="153" t="str">
        <f>IFS(AK88="NMA",VLOOKUP(AH88,'Primary - GRADING'!$A$4:$BG997,52,),AK88="DIRECT",VLOOKUP(AH88,'Primary - GRADING'!$A$4:$BG997,9,),AK88="INDIRECT",VLOOKUP(AH88,'Primary - GRADING'!$A$4:$BG997,24,))</f>
        <v>#N/A</v>
      </c>
      <c r="AN88" s="153" t="str">
        <f>IFS(AK88="NMA",VLOOKUP(AH88,'Primary - GRADING'!$A$4:$BG997,53,),AK88="DIRECT",VLOOKUP(AH88,'Primary - GRADING'!$A$4:$BG997,10,),AK88="INDIRECT",VLOOKUP(AH88,'Primary - GRADING'!$A$4:$BG997,25,))</f>
        <v>#N/A</v>
      </c>
      <c r="AO88" s="153" t="str">
        <f t="shared" si="8"/>
        <v>#N/A</v>
      </c>
      <c r="AT88" s="153" t="str">
        <f t="shared" si="9"/>
        <v>#N/A</v>
      </c>
      <c r="AV88" s="153" t="str">
        <f>VLOOKUP(AU88,'Primary - GRADING'!$A$4:$C997,2,)</f>
        <v>#N/A</v>
      </c>
      <c r="AW88" s="153" t="str">
        <f>VLOOKUP(AU88,'Primary - GRADING'!$A$4:$C997,3,)</f>
        <v>#N/A</v>
      </c>
      <c r="AX88" s="153" t="str">
        <f>VLOOKUP(AU88,'Primary - GRADING'!$A$4:$BG997,59,)</f>
        <v>#N/A</v>
      </c>
      <c r="AY88" s="153" t="str">
        <f>IFS(AX88="NMA",VLOOKUP(AU88,'Primary - GRADING'!$A$4:$BG997,51,),AX88="DIRECT",VLOOKUP(AU88,'Primary - GRADING'!$A$4:$BG997,8,),AX88="INDIRECT",VLOOKUP(AU88,'Primary - GRADING'!$A$4:$BG997,23,))</f>
        <v>#N/A</v>
      </c>
      <c r="AZ88" s="153" t="str">
        <f>IFS(AX88="NMA",VLOOKUP(AU88,'Primary - GRADING'!$A$4:$BG997,52,),AX88="DIRECT",VLOOKUP(AU88,'Primary - GRADING'!$A$4:$BG997,9,),AX88="INDIRECT",VLOOKUP(AU88,'Primary - GRADING'!$A$4:$BG997,24,))</f>
        <v>#N/A</v>
      </c>
      <c r="BA88" s="153" t="str">
        <f>IFS(AX88="NMA",VLOOKUP(AU88,'Primary - GRADING'!$A$4:$BG997,53,),AX88="DIRECT",VLOOKUP(AU88,'Primary - GRADING'!$A$4:$BG997,10,),AX88="INDIRECT",VLOOKUP(AU88,'Primary - GRADING'!$A$4:$BG997,25,))</f>
        <v>#N/A</v>
      </c>
      <c r="BB88" s="153" t="str">
        <f t="shared" si="10"/>
        <v>#N/A</v>
      </c>
      <c r="BE88" s="153" t="str">
        <f t="shared" si="11"/>
        <v/>
      </c>
      <c r="BG88" s="153" t="str">
        <f t="shared" si="12"/>
        <v>#N/A</v>
      </c>
      <c r="BI88" s="153" t="str">
        <f t="shared" si="13"/>
        <v>#N/A</v>
      </c>
      <c r="BK88" s="153" t="str">
        <f t="shared" si="14"/>
        <v>#N/A</v>
      </c>
      <c r="BM88" s="153" t="str">
        <f t="shared" si="15"/>
        <v>#N/A</v>
      </c>
    </row>
    <row r="89" ht="15.75" customHeight="1">
      <c r="B89" s="160" t="str">
        <f t="shared" si="1"/>
        <v>#N/A</v>
      </c>
      <c r="C89" s="160" t="str">
        <f t="shared" si="2"/>
        <v>#N/A</v>
      </c>
      <c r="D89" s="160" t="str">
        <f t="shared" si="3"/>
        <v>#N/A</v>
      </c>
      <c r="E89" s="161" t="str">
        <f t="shared" si="4"/>
        <v>#N/A</v>
      </c>
      <c r="F89" s="153" t="str">
        <f t="shared" si="17"/>
        <v>#N/A</v>
      </c>
      <c r="G89" s="153" t="str">
        <f t="shared" si="6"/>
        <v>#N/A</v>
      </c>
      <c r="H89" s="156" t="str">
        <f t="array" ref="H89">INDEX('Primary - GRADING'!$A$1:$BG997,MATCH($A89,'Primary - GRADING'!$B:$B,0),59)</f>
        <v>#N/A</v>
      </c>
      <c r="I89" s="153" t="str">
        <f t="array" ref="I89">INDEX('Primary - GRADING'!$A$1:$CP997,MATCH($A89,'Primary - GRADING'!$CP:$CP,0),48)</f>
        <v>#N/A</v>
      </c>
      <c r="J89" s="153" t="str">
        <f t="array" ref="J89">INDEX('Primary - GRADING'!$A$1:$CP997,MATCH($A89,'Primary - GRADING'!$CP:$CP,0),49)</f>
        <v>#N/A</v>
      </c>
      <c r="K89" s="153" t="str">
        <f t="array" ref="K89">INDEX('Primary - GRADING'!$A$1:$CP997,MATCH($A89,'Primary - GRADING'!$CP:$CP,0),50)</f>
        <v>#N/A</v>
      </c>
      <c r="L89" s="153" t="str">
        <f t="array" ref="L89">INDEX('Primary - GRADING'!$A$1:$CP997,MATCH($A89,'Primary - GRADING'!$CP:$CP,0),51)</f>
        <v>#N/A</v>
      </c>
      <c r="M89" s="153" t="str">
        <f t="array" ref="M89">INDEX('Primary - GRADING'!$A$1:$CP997,MATCH($A89,'Primary - GRADING'!$CP:$CP,0),52)</f>
        <v>#N/A</v>
      </c>
      <c r="N89" s="153" t="str">
        <f t="array" ref="N89">INDEX('Primary - GRADING'!$A$1:$CP997,MATCH($A89,'Primary - GRADING'!$CP:$CP,0),53)</f>
        <v>#N/A</v>
      </c>
      <c r="O89" s="153" t="str">
        <f t="array" ref="O89">INDEX('Primary - GRADING'!$A$1:$CP997,MATCH($A89,'Primary - GRADING'!$CP:$CP,0),58)</f>
        <v>#N/A</v>
      </c>
      <c r="P89" s="153" t="str">
        <f t="array" ref="P89">INDEX('Primary - GRADING'!$A$1:$CP997,MATCH($A89,'Primary - GRADING'!$CP:$CP,0),5)</f>
        <v>#N/A</v>
      </c>
      <c r="Q89" s="153" t="str">
        <f t="array" ref="Q89">INDEX('Primary - GRADING'!$A$1:$CP997,MATCH($A89,'Primary - GRADING'!$CP:$CP,0),6)</f>
        <v>#N/A</v>
      </c>
      <c r="R89" s="153" t="str">
        <f t="array" ref="R89">INDEX('Primary - GRADING'!$A$1:$CP997,MATCH($A89,'Primary - GRADING'!$CP:$CP,0),7)</f>
        <v>#N/A</v>
      </c>
      <c r="S89" s="153" t="str">
        <f t="array" ref="S89">INDEX('Primary - GRADING'!$A$1:$CP997,MATCH($A89,'Primary - GRADING'!$CP:$CP,0),8)</f>
        <v>#N/A</v>
      </c>
      <c r="T89" s="153" t="str">
        <f t="array" ref="T89">INDEX('Primary - GRADING'!$A$1:$CP997,MATCH($A89,'Primary - GRADING'!$CP:$CP,0),9)</f>
        <v>#N/A</v>
      </c>
      <c r="U89" s="153" t="str">
        <f t="array" ref="U89">INDEX('Primary - GRADING'!$A$1:$CP997,MATCH($A89,'Primary - GRADING'!$CP:$CP,0),10)</f>
        <v>#N/A</v>
      </c>
      <c r="V89" s="153" t="str">
        <f t="array" ref="V89">INDEX('Primary - GRADING'!$A$1:$CP997,MATCH($A89,'Primary - GRADING'!$CP:$CP,0),18)</f>
        <v>#N/A</v>
      </c>
      <c r="W89" s="153" t="str">
        <f t="array" ref="W89">INDEX('Primary - GRADING'!$A$1:$CP997,MATCH($A89,'Primary - GRADING'!$CP:$CP,0),20)</f>
        <v>#N/A</v>
      </c>
      <c r="X89" s="153" t="str">
        <f t="array" ref="X89">INDEX('Primary - GRADING'!$A$1:$CP997,MATCH($A89,'Primary - GRADING'!$CP:$CP,0),21)</f>
        <v>#N/A</v>
      </c>
      <c r="Y89" s="153" t="str">
        <f t="array" ref="Y89">INDEX('Primary - GRADING'!$A$1:$CP997,MATCH($A89,'Primary - GRADING'!$CP:$CP,0),22)</f>
        <v>#N/A</v>
      </c>
      <c r="Z89" s="165" t="str">
        <f t="array" ref="Z89">INDEX('Primary - GRADING'!$A$1:$CP997,MATCH($A89,'Primary - GRADING'!$CP:$CP,0),23)</f>
        <v>#N/A</v>
      </c>
      <c r="AA89" s="153" t="str">
        <f t="array" ref="AA89">INDEX('Primary - GRADING'!$A$1:$CP997,MATCH($A89,'Primary - GRADING'!$CP:$CP,0),24)</f>
        <v>#N/A</v>
      </c>
      <c r="AB89" s="153" t="str">
        <f t="array" ref="AB89">INDEX('Primary - GRADING'!$A$1:$CP997,MATCH($A89,'Primary - GRADING'!$CP:$CP,0),25)</f>
        <v>#N/A</v>
      </c>
      <c r="AC89" s="153" t="str">
        <f t="array" ref="AC89">INDEX('Primary - GRADING'!$A$1:$CP997,MATCH($A89,'Primary - GRADING'!$CP:$CP,0),46)</f>
        <v>#N/A</v>
      </c>
      <c r="AG89" s="153" t="str">
        <f t="shared" si="7"/>
        <v>#N/A</v>
      </c>
      <c r="AI89" s="153" t="str">
        <f>VLOOKUP(AH89,'Primary - GRADING'!$A$4:$C997,2,)</f>
        <v>#N/A</v>
      </c>
      <c r="AJ89" s="153" t="str">
        <f>VLOOKUP(AH89,'Primary - GRADING'!$A$4:$C997,3,)</f>
        <v>#N/A</v>
      </c>
      <c r="AK89" s="153" t="str">
        <f>VLOOKUP(AH89,'Primary - GRADING'!$A$4:$BG997,59,)</f>
        <v>#N/A</v>
      </c>
      <c r="AL89" s="153" t="str">
        <f>IFS(AK89="NMA",VLOOKUP(AH89,'Primary - GRADING'!$A$4:$BG997,51,),AK89="DIRECT",VLOOKUP(AH89,'Primary - GRADING'!$A$4:$BG997,8,),AK89="INDIRECT",VLOOKUP(AH89,'Primary - GRADING'!$A$4:$BG997,23,))</f>
        <v>#N/A</v>
      </c>
      <c r="AM89" s="153" t="str">
        <f>IFS(AK89="NMA",VLOOKUP(AH89,'Primary - GRADING'!$A$4:$BG997,52,),AK89="DIRECT",VLOOKUP(AH89,'Primary - GRADING'!$A$4:$BG997,9,),AK89="INDIRECT",VLOOKUP(AH89,'Primary - GRADING'!$A$4:$BG997,24,))</f>
        <v>#N/A</v>
      </c>
      <c r="AN89" s="153" t="str">
        <f>IFS(AK89="NMA",VLOOKUP(AH89,'Primary - GRADING'!$A$4:$BG997,53,),AK89="DIRECT",VLOOKUP(AH89,'Primary - GRADING'!$A$4:$BG997,10,),AK89="INDIRECT",VLOOKUP(AH89,'Primary - GRADING'!$A$4:$BG997,25,))</f>
        <v>#N/A</v>
      </c>
      <c r="AO89" s="153" t="str">
        <f t="shared" si="8"/>
        <v>#N/A</v>
      </c>
      <c r="AT89" s="153" t="str">
        <f t="shared" si="9"/>
        <v>#N/A</v>
      </c>
      <c r="AV89" s="153" t="str">
        <f>VLOOKUP(AU89,'Primary - GRADING'!$A$4:$C997,2,)</f>
        <v>#N/A</v>
      </c>
      <c r="AW89" s="153" t="str">
        <f>VLOOKUP(AU89,'Primary - GRADING'!$A$4:$C997,3,)</f>
        <v>#N/A</v>
      </c>
      <c r="AX89" s="153" t="str">
        <f>VLOOKUP(AU89,'Primary - GRADING'!$A$4:$BG997,59,)</f>
        <v>#N/A</v>
      </c>
      <c r="AY89" s="153" t="str">
        <f>IFS(AX89="NMA",VLOOKUP(AU89,'Primary - GRADING'!$A$4:$BG997,51,),AX89="DIRECT",VLOOKUP(AU89,'Primary - GRADING'!$A$4:$BG997,8,),AX89="INDIRECT",VLOOKUP(AU89,'Primary - GRADING'!$A$4:$BG997,23,))</f>
        <v>#N/A</v>
      </c>
      <c r="AZ89" s="153" t="str">
        <f>IFS(AX89="NMA",VLOOKUP(AU89,'Primary - GRADING'!$A$4:$BG997,52,),AX89="DIRECT",VLOOKUP(AU89,'Primary - GRADING'!$A$4:$BG997,9,),AX89="INDIRECT",VLOOKUP(AU89,'Primary - GRADING'!$A$4:$BG997,24,))</f>
        <v>#N/A</v>
      </c>
      <c r="BA89" s="153" t="str">
        <f>IFS(AX89="NMA",VLOOKUP(AU89,'Primary - GRADING'!$A$4:$BG997,53,),AX89="DIRECT",VLOOKUP(AU89,'Primary - GRADING'!$A$4:$BG997,10,),AX89="INDIRECT",VLOOKUP(AU89,'Primary - GRADING'!$A$4:$BG997,25,))</f>
        <v>#N/A</v>
      </c>
      <c r="BB89" s="153" t="str">
        <f t="shared" si="10"/>
        <v>#N/A</v>
      </c>
      <c r="BE89" s="153" t="str">
        <f t="shared" si="11"/>
        <v/>
      </c>
      <c r="BG89" s="153" t="str">
        <f t="shared" si="12"/>
        <v>#N/A</v>
      </c>
      <c r="BI89" s="153" t="str">
        <f t="shared" si="13"/>
        <v>#N/A</v>
      </c>
      <c r="BK89" s="153" t="str">
        <f t="shared" si="14"/>
        <v>#N/A</v>
      </c>
      <c r="BM89" s="153" t="str">
        <f t="shared" si="15"/>
        <v>#N/A</v>
      </c>
    </row>
    <row r="90" ht="15.75" customHeight="1">
      <c r="B90" s="160" t="str">
        <f t="shared" si="1"/>
        <v>#N/A</v>
      </c>
      <c r="C90" s="160" t="str">
        <f t="shared" si="2"/>
        <v>#N/A</v>
      </c>
      <c r="D90" s="160" t="str">
        <f t="shared" si="3"/>
        <v>#N/A</v>
      </c>
      <c r="E90" s="161" t="str">
        <f t="shared" si="4"/>
        <v>#N/A</v>
      </c>
      <c r="F90" s="153" t="str">
        <f t="shared" si="17"/>
        <v>#N/A</v>
      </c>
      <c r="G90" s="153" t="str">
        <f t="shared" si="6"/>
        <v>#N/A</v>
      </c>
      <c r="H90" s="156" t="str">
        <f t="array" ref="H90">INDEX('Primary - GRADING'!$A$1:$BG997,MATCH($A90,'Primary - GRADING'!$B:$B,0),59)</f>
        <v>#N/A</v>
      </c>
      <c r="I90" s="153" t="str">
        <f t="array" ref="I90">INDEX('Primary - GRADING'!$A$1:$CP997,MATCH($A90,'Primary - GRADING'!$CP:$CP,0),48)</f>
        <v>#N/A</v>
      </c>
      <c r="J90" s="153" t="str">
        <f t="array" ref="J90">INDEX('Primary - GRADING'!$A$1:$CP997,MATCH($A90,'Primary - GRADING'!$CP:$CP,0),49)</f>
        <v>#N/A</v>
      </c>
      <c r="K90" s="153" t="str">
        <f t="array" ref="K90">INDEX('Primary - GRADING'!$A$1:$CP997,MATCH($A90,'Primary - GRADING'!$CP:$CP,0),50)</f>
        <v>#N/A</v>
      </c>
      <c r="L90" s="153" t="str">
        <f t="array" ref="L90">INDEX('Primary - GRADING'!$A$1:$CP997,MATCH($A90,'Primary - GRADING'!$CP:$CP,0),51)</f>
        <v>#N/A</v>
      </c>
      <c r="M90" s="153" t="str">
        <f t="array" ref="M90">INDEX('Primary - GRADING'!$A$1:$CP997,MATCH($A90,'Primary - GRADING'!$CP:$CP,0),52)</f>
        <v>#N/A</v>
      </c>
      <c r="N90" s="153" t="str">
        <f t="array" ref="N90">INDEX('Primary - GRADING'!$A$1:$CP997,MATCH($A90,'Primary - GRADING'!$CP:$CP,0),53)</f>
        <v>#N/A</v>
      </c>
      <c r="O90" s="153" t="str">
        <f t="array" ref="O90">INDEX('Primary - GRADING'!$A$1:$CP997,MATCH($A90,'Primary - GRADING'!$CP:$CP,0),58)</f>
        <v>#N/A</v>
      </c>
      <c r="P90" s="153" t="str">
        <f t="array" ref="P90">INDEX('Primary - GRADING'!$A$1:$CP997,MATCH($A90,'Primary - GRADING'!$CP:$CP,0),5)</f>
        <v>#N/A</v>
      </c>
      <c r="Q90" s="153" t="str">
        <f t="array" ref="Q90">INDEX('Primary - GRADING'!$A$1:$CP997,MATCH($A90,'Primary - GRADING'!$CP:$CP,0),6)</f>
        <v>#N/A</v>
      </c>
      <c r="R90" s="153" t="str">
        <f t="array" ref="R90">INDEX('Primary - GRADING'!$A$1:$CP997,MATCH($A90,'Primary - GRADING'!$CP:$CP,0),7)</f>
        <v>#N/A</v>
      </c>
      <c r="S90" s="153" t="str">
        <f t="array" ref="S90">INDEX('Primary - GRADING'!$A$1:$CP997,MATCH($A90,'Primary - GRADING'!$CP:$CP,0),8)</f>
        <v>#N/A</v>
      </c>
      <c r="T90" s="153" t="str">
        <f t="array" ref="T90">INDEX('Primary - GRADING'!$A$1:$CP997,MATCH($A90,'Primary - GRADING'!$CP:$CP,0),9)</f>
        <v>#N/A</v>
      </c>
      <c r="U90" s="153" t="str">
        <f t="array" ref="U90">INDEX('Primary - GRADING'!$A$1:$CP997,MATCH($A90,'Primary - GRADING'!$CP:$CP,0),10)</f>
        <v>#N/A</v>
      </c>
      <c r="V90" s="153" t="str">
        <f t="array" ref="V90">INDEX('Primary - GRADING'!$A$1:$CP997,MATCH($A90,'Primary - GRADING'!$CP:$CP,0),18)</f>
        <v>#N/A</v>
      </c>
      <c r="W90" s="153" t="str">
        <f t="array" ref="W90">INDEX('Primary - GRADING'!$A$1:$CP997,MATCH($A90,'Primary - GRADING'!$CP:$CP,0),20)</f>
        <v>#N/A</v>
      </c>
      <c r="X90" s="153" t="str">
        <f t="array" ref="X90">INDEX('Primary - GRADING'!$A$1:$CP997,MATCH($A90,'Primary - GRADING'!$CP:$CP,0),21)</f>
        <v>#N/A</v>
      </c>
      <c r="Y90" s="153" t="str">
        <f t="array" ref="Y90">INDEX('Primary - GRADING'!$A$1:$CP997,MATCH($A90,'Primary - GRADING'!$CP:$CP,0),22)</f>
        <v>#N/A</v>
      </c>
      <c r="Z90" s="165" t="str">
        <f t="array" ref="Z90">INDEX('Primary - GRADING'!$A$1:$CP997,MATCH($A90,'Primary - GRADING'!$CP:$CP,0),23)</f>
        <v>#N/A</v>
      </c>
      <c r="AA90" s="153" t="str">
        <f t="array" ref="AA90">INDEX('Primary - GRADING'!$A$1:$CP997,MATCH($A90,'Primary - GRADING'!$CP:$CP,0),24)</f>
        <v>#N/A</v>
      </c>
      <c r="AB90" s="153" t="str">
        <f t="array" ref="AB90">INDEX('Primary - GRADING'!$A$1:$CP997,MATCH($A90,'Primary - GRADING'!$CP:$CP,0),25)</f>
        <v>#N/A</v>
      </c>
      <c r="AC90" s="153" t="str">
        <f t="array" ref="AC90">INDEX('Primary - GRADING'!$A$1:$CP997,MATCH($A90,'Primary - GRADING'!$CP:$CP,0),46)</f>
        <v>#N/A</v>
      </c>
      <c r="AG90" s="153" t="str">
        <f t="shared" si="7"/>
        <v>#N/A</v>
      </c>
      <c r="AI90" s="153" t="str">
        <f>VLOOKUP(AH90,'Primary - GRADING'!$A$4:$C997,2,)</f>
        <v>#N/A</v>
      </c>
      <c r="AJ90" s="153" t="str">
        <f>VLOOKUP(AH90,'Primary - GRADING'!$A$4:$C997,3,)</f>
        <v>#N/A</v>
      </c>
      <c r="AK90" s="153" t="str">
        <f>VLOOKUP(AH90,'Primary - GRADING'!$A$4:$BG997,59,)</f>
        <v>#N/A</v>
      </c>
      <c r="AL90" s="153" t="str">
        <f>IFS(AK90="NMA",VLOOKUP(AH90,'Primary - GRADING'!$A$4:$BG997,51,),AK90="DIRECT",VLOOKUP(AH90,'Primary - GRADING'!$A$4:$BG997,8,),AK90="INDIRECT",VLOOKUP(AH90,'Primary - GRADING'!$A$4:$BG997,23,))</f>
        <v>#N/A</v>
      </c>
      <c r="AM90" s="153" t="str">
        <f>IFS(AK90="NMA",VLOOKUP(AH90,'Primary - GRADING'!$A$4:$BG997,52,),AK90="DIRECT",VLOOKUP(AH90,'Primary - GRADING'!$A$4:$BG997,9,),AK90="INDIRECT",VLOOKUP(AH90,'Primary - GRADING'!$A$4:$BG997,24,))</f>
        <v>#N/A</v>
      </c>
      <c r="AN90" s="153" t="str">
        <f>IFS(AK90="NMA",VLOOKUP(AH90,'Primary - GRADING'!$A$4:$BG997,53,),AK90="DIRECT",VLOOKUP(AH90,'Primary - GRADING'!$A$4:$BG997,10,),AK90="INDIRECT",VLOOKUP(AH90,'Primary - GRADING'!$A$4:$BG997,25,))</f>
        <v>#N/A</v>
      </c>
      <c r="AO90" s="153" t="str">
        <f t="shared" si="8"/>
        <v>#N/A</v>
      </c>
      <c r="AT90" s="153" t="str">
        <f t="shared" si="9"/>
        <v>#N/A</v>
      </c>
      <c r="AV90" s="153" t="str">
        <f>VLOOKUP(AU90,'Primary - GRADING'!$A$4:$C997,2,)</f>
        <v>#N/A</v>
      </c>
      <c r="AW90" s="153" t="str">
        <f>VLOOKUP(AU90,'Primary - GRADING'!$A$4:$C997,3,)</f>
        <v>#N/A</v>
      </c>
      <c r="AX90" s="153" t="str">
        <f>VLOOKUP(AU90,'Primary - GRADING'!$A$4:$BG997,59,)</f>
        <v>#N/A</v>
      </c>
      <c r="AY90" s="153" t="str">
        <f>IFS(AX90="NMA",VLOOKUP(AU90,'Primary - GRADING'!$A$4:$BG997,51,),AX90="DIRECT",VLOOKUP(AU90,'Primary - GRADING'!$A$4:$BG997,8,),AX90="INDIRECT",VLOOKUP(AU90,'Primary - GRADING'!$A$4:$BG997,23,))</f>
        <v>#N/A</v>
      </c>
      <c r="AZ90" s="153" t="str">
        <f>IFS(AX90="NMA",VLOOKUP(AU90,'Primary - GRADING'!$A$4:$BG997,52,),AX90="DIRECT",VLOOKUP(AU90,'Primary - GRADING'!$A$4:$BG997,9,),AX90="INDIRECT",VLOOKUP(AU90,'Primary - GRADING'!$A$4:$BG997,24,))</f>
        <v>#N/A</v>
      </c>
      <c r="BA90" s="153" t="str">
        <f>IFS(AX90="NMA",VLOOKUP(AU90,'Primary - GRADING'!$A$4:$BG997,53,),AX90="DIRECT",VLOOKUP(AU90,'Primary - GRADING'!$A$4:$BG997,10,),AX90="INDIRECT",VLOOKUP(AU90,'Primary - GRADING'!$A$4:$BG997,25,))</f>
        <v>#N/A</v>
      </c>
      <c r="BB90" s="153" t="str">
        <f t="shared" si="10"/>
        <v>#N/A</v>
      </c>
      <c r="BE90" s="153" t="str">
        <f t="shared" si="11"/>
        <v/>
      </c>
      <c r="BG90" s="153" t="str">
        <f t="shared" si="12"/>
        <v>#N/A</v>
      </c>
      <c r="BI90" s="153" t="str">
        <f t="shared" si="13"/>
        <v>#N/A</v>
      </c>
      <c r="BK90" s="153" t="str">
        <f t="shared" si="14"/>
        <v>#N/A</v>
      </c>
      <c r="BM90" s="153" t="str">
        <f t="shared" si="15"/>
        <v>#N/A</v>
      </c>
    </row>
    <row r="91" ht="15.75" customHeight="1">
      <c r="B91" s="160" t="str">
        <f t="shared" si="1"/>
        <v>#N/A</v>
      </c>
      <c r="C91" s="160" t="str">
        <f t="shared" si="2"/>
        <v>#N/A</v>
      </c>
      <c r="D91" s="160" t="str">
        <f t="shared" si="3"/>
        <v>#N/A</v>
      </c>
      <c r="E91" s="161" t="str">
        <f t="shared" si="4"/>
        <v>#N/A</v>
      </c>
      <c r="F91" s="153" t="str">
        <f t="shared" si="17"/>
        <v>#N/A</v>
      </c>
      <c r="G91" s="153" t="str">
        <f t="shared" si="6"/>
        <v>#N/A</v>
      </c>
      <c r="H91" s="156" t="str">
        <f t="array" ref="H91">INDEX('Primary - GRADING'!$A$1:$BG997,MATCH($A91,'Primary - GRADING'!$B:$B,0),59)</f>
        <v>#N/A</v>
      </c>
      <c r="I91" s="153" t="str">
        <f t="array" ref="I91">INDEX('Primary - GRADING'!$A$1:$CP997,MATCH($A91,'Primary - GRADING'!$CP:$CP,0),48)</f>
        <v>#N/A</v>
      </c>
      <c r="J91" s="153" t="str">
        <f t="array" ref="J91">INDEX('Primary - GRADING'!$A$1:$CP997,MATCH($A91,'Primary - GRADING'!$CP:$CP,0),49)</f>
        <v>#N/A</v>
      </c>
      <c r="K91" s="153" t="str">
        <f t="array" ref="K91">INDEX('Primary - GRADING'!$A$1:$CP997,MATCH($A91,'Primary - GRADING'!$CP:$CP,0),50)</f>
        <v>#N/A</v>
      </c>
      <c r="L91" s="153" t="str">
        <f t="array" ref="L91">INDEX('Primary - GRADING'!$A$1:$CP997,MATCH($A91,'Primary - GRADING'!$CP:$CP,0),51)</f>
        <v>#N/A</v>
      </c>
      <c r="M91" s="153" t="str">
        <f t="array" ref="M91">INDEX('Primary - GRADING'!$A$1:$CP997,MATCH($A91,'Primary - GRADING'!$CP:$CP,0),52)</f>
        <v>#N/A</v>
      </c>
      <c r="N91" s="153" t="str">
        <f t="array" ref="N91">INDEX('Primary - GRADING'!$A$1:$CP997,MATCH($A91,'Primary - GRADING'!$CP:$CP,0),53)</f>
        <v>#N/A</v>
      </c>
      <c r="O91" s="153" t="str">
        <f t="array" ref="O91">INDEX('Primary - GRADING'!$A$1:$CP997,MATCH($A91,'Primary - GRADING'!$CP:$CP,0),58)</f>
        <v>#N/A</v>
      </c>
      <c r="P91" s="153" t="str">
        <f t="array" ref="P91">INDEX('Primary - GRADING'!$A$1:$CP997,MATCH($A91,'Primary - GRADING'!$CP:$CP,0),5)</f>
        <v>#N/A</v>
      </c>
      <c r="Q91" s="153" t="str">
        <f t="array" ref="Q91">INDEX('Primary - GRADING'!$A$1:$CP997,MATCH($A91,'Primary - GRADING'!$CP:$CP,0),6)</f>
        <v>#N/A</v>
      </c>
      <c r="R91" s="153" t="str">
        <f t="array" ref="R91">INDEX('Primary - GRADING'!$A$1:$CP997,MATCH($A91,'Primary - GRADING'!$CP:$CP,0),7)</f>
        <v>#N/A</v>
      </c>
      <c r="S91" s="153" t="str">
        <f t="array" ref="S91">INDEX('Primary - GRADING'!$A$1:$CP997,MATCH($A91,'Primary - GRADING'!$CP:$CP,0),8)</f>
        <v>#N/A</v>
      </c>
      <c r="T91" s="153" t="str">
        <f t="array" ref="T91">INDEX('Primary - GRADING'!$A$1:$CP997,MATCH($A91,'Primary - GRADING'!$CP:$CP,0),9)</f>
        <v>#N/A</v>
      </c>
      <c r="U91" s="153" t="str">
        <f t="array" ref="U91">INDEX('Primary - GRADING'!$A$1:$CP997,MATCH($A91,'Primary - GRADING'!$CP:$CP,0),10)</f>
        <v>#N/A</v>
      </c>
      <c r="V91" s="153" t="str">
        <f t="array" ref="V91">INDEX('Primary - GRADING'!$A$1:$CP997,MATCH($A91,'Primary - GRADING'!$CP:$CP,0),18)</f>
        <v>#N/A</v>
      </c>
      <c r="W91" s="153" t="str">
        <f t="array" ref="W91">INDEX('Primary - GRADING'!$A$1:$CP997,MATCH($A91,'Primary - GRADING'!$CP:$CP,0),20)</f>
        <v>#N/A</v>
      </c>
      <c r="X91" s="153" t="str">
        <f t="array" ref="X91">INDEX('Primary - GRADING'!$A$1:$CP997,MATCH($A91,'Primary - GRADING'!$CP:$CP,0),21)</f>
        <v>#N/A</v>
      </c>
      <c r="Y91" s="153" t="str">
        <f t="array" ref="Y91">INDEX('Primary - GRADING'!$A$1:$CP997,MATCH($A91,'Primary - GRADING'!$CP:$CP,0),22)</f>
        <v>#N/A</v>
      </c>
      <c r="Z91" s="165" t="str">
        <f t="array" ref="Z91">INDEX('Primary - GRADING'!$A$1:$CP997,MATCH($A91,'Primary - GRADING'!$CP:$CP,0),23)</f>
        <v>#N/A</v>
      </c>
      <c r="AA91" s="153" t="str">
        <f t="array" ref="AA91">INDEX('Primary - GRADING'!$A$1:$CP997,MATCH($A91,'Primary - GRADING'!$CP:$CP,0),24)</f>
        <v>#N/A</v>
      </c>
      <c r="AB91" s="153" t="str">
        <f t="array" ref="AB91">INDEX('Primary - GRADING'!$A$1:$CP997,MATCH($A91,'Primary - GRADING'!$CP:$CP,0),25)</f>
        <v>#N/A</v>
      </c>
      <c r="AC91" s="153" t="str">
        <f t="array" ref="AC91">INDEX('Primary - GRADING'!$A$1:$CP997,MATCH($A91,'Primary - GRADING'!$CP:$CP,0),46)</f>
        <v>#N/A</v>
      </c>
      <c r="AG91" s="153" t="str">
        <f t="shared" si="7"/>
        <v>#N/A</v>
      </c>
      <c r="AI91" s="153" t="str">
        <f>VLOOKUP(AH91,'Primary - GRADING'!$A$4:$C997,2,)</f>
        <v>#N/A</v>
      </c>
      <c r="AJ91" s="153" t="str">
        <f>VLOOKUP(AH91,'Primary - GRADING'!$A$4:$C997,3,)</f>
        <v>#N/A</v>
      </c>
      <c r="AK91" s="153" t="str">
        <f>VLOOKUP(AH91,'Primary - GRADING'!$A$4:$BG997,59,)</f>
        <v>#N/A</v>
      </c>
      <c r="AL91" s="153" t="str">
        <f>IFS(AK91="NMA",VLOOKUP(AH91,'Primary - GRADING'!$A$4:$BG997,51,),AK91="DIRECT",VLOOKUP(AH91,'Primary - GRADING'!$A$4:$BG997,8,),AK91="INDIRECT",VLOOKUP(AH91,'Primary - GRADING'!$A$4:$BG997,23,))</f>
        <v>#N/A</v>
      </c>
      <c r="AM91" s="153" t="str">
        <f>IFS(AK91="NMA",VLOOKUP(AH91,'Primary - GRADING'!$A$4:$BG997,52,),AK91="DIRECT",VLOOKUP(AH91,'Primary - GRADING'!$A$4:$BG997,9,),AK91="INDIRECT",VLOOKUP(AH91,'Primary - GRADING'!$A$4:$BG997,24,))</f>
        <v>#N/A</v>
      </c>
      <c r="AN91" s="153" t="str">
        <f>IFS(AK91="NMA",VLOOKUP(AH91,'Primary - GRADING'!$A$4:$BG997,53,),AK91="DIRECT",VLOOKUP(AH91,'Primary - GRADING'!$A$4:$BG997,10,),AK91="INDIRECT",VLOOKUP(AH91,'Primary - GRADING'!$A$4:$BG997,25,))</f>
        <v>#N/A</v>
      </c>
      <c r="AO91" s="153" t="str">
        <f t="shared" si="8"/>
        <v>#N/A</v>
      </c>
      <c r="AT91" s="153" t="str">
        <f t="shared" si="9"/>
        <v>#N/A</v>
      </c>
      <c r="AV91" s="153" t="str">
        <f>VLOOKUP(AU91,'Primary - GRADING'!$A$4:$C997,2,)</f>
        <v>#N/A</v>
      </c>
      <c r="AW91" s="153" t="str">
        <f>VLOOKUP(AU91,'Primary - GRADING'!$A$4:$C997,3,)</f>
        <v>#N/A</v>
      </c>
      <c r="AX91" s="153" t="str">
        <f>VLOOKUP(AU91,'Primary - GRADING'!$A$4:$BG997,59,)</f>
        <v>#N/A</v>
      </c>
      <c r="AY91" s="153" t="str">
        <f>IFS(AX91="NMA",VLOOKUP(AU91,'Primary - GRADING'!$A$4:$BG997,51,),AX91="DIRECT",VLOOKUP(AU91,'Primary - GRADING'!$A$4:$BG997,8,),AX91="INDIRECT",VLOOKUP(AU91,'Primary - GRADING'!$A$4:$BG997,23,))</f>
        <v>#N/A</v>
      </c>
      <c r="AZ91" s="153" t="str">
        <f>IFS(AX91="NMA",VLOOKUP(AU91,'Primary - GRADING'!$A$4:$BG997,52,),AX91="DIRECT",VLOOKUP(AU91,'Primary - GRADING'!$A$4:$BG997,9,),AX91="INDIRECT",VLOOKUP(AU91,'Primary - GRADING'!$A$4:$BG997,24,))</f>
        <v>#N/A</v>
      </c>
      <c r="BA91" s="153" t="str">
        <f>IFS(AX91="NMA",VLOOKUP(AU91,'Primary - GRADING'!$A$4:$BG997,53,),AX91="DIRECT",VLOOKUP(AU91,'Primary - GRADING'!$A$4:$BG997,10,),AX91="INDIRECT",VLOOKUP(AU91,'Primary - GRADING'!$A$4:$BG997,25,))</f>
        <v>#N/A</v>
      </c>
      <c r="BB91" s="153" t="str">
        <f t="shared" si="10"/>
        <v>#N/A</v>
      </c>
      <c r="BE91" s="153" t="str">
        <f t="shared" si="11"/>
        <v/>
      </c>
      <c r="BG91" s="153" t="str">
        <f t="shared" si="12"/>
        <v>#N/A</v>
      </c>
      <c r="BI91" s="153" t="str">
        <f t="shared" si="13"/>
        <v>#N/A</v>
      </c>
      <c r="BK91" s="153" t="str">
        <f t="shared" si="14"/>
        <v>#N/A</v>
      </c>
      <c r="BM91" s="153" t="str">
        <f t="shared" si="15"/>
        <v>#N/A</v>
      </c>
    </row>
    <row r="92" ht="15.75" customHeight="1">
      <c r="B92" s="160" t="str">
        <f t="shared" si="1"/>
        <v>#N/A</v>
      </c>
      <c r="C92" s="160" t="str">
        <f t="shared" si="2"/>
        <v>#N/A</v>
      </c>
      <c r="D92" s="160" t="str">
        <f t="shared" si="3"/>
        <v>#N/A</v>
      </c>
      <c r="E92" s="161" t="str">
        <f t="shared" si="4"/>
        <v>#N/A</v>
      </c>
      <c r="F92" s="153" t="str">
        <f t="shared" si="17"/>
        <v>#N/A</v>
      </c>
      <c r="G92" s="153" t="str">
        <f t="shared" si="6"/>
        <v>#N/A</v>
      </c>
      <c r="H92" s="156" t="str">
        <f t="array" ref="H92">INDEX('Primary - GRADING'!$A$1:$BG997,MATCH($A92,'Primary - GRADING'!$B:$B,0),59)</f>
        <v>#N/A</v>
      </c>
      <c r="I92" s="153" t="str">
        <f t="array" ref="I92">INDEX('Primary - GRADING'!$A$1:$CP997,MATCH($A92,'Primary - GRADING'!$CP:$CP,0),48)</f>
        <v>#N/A</v>
      </c>
      <c r="J92" s="153" t="str">
        <f t="array" ref="J92">INDEX('Primary - GRADING'!$A$1:$CP997,MATCH($A92,'Primary - GRADING'!$CP:$CP,0),49)</f>
        <v>#N/A</v>
      </c>
      <c r="K92" s="153" t="str">
        <f t="array" ref="K92">INDEX('Primary - GRADING'!$A$1:$CP997,MATCH($A92,'Primary - GRADING'!$CP:$CP,0),50)</f>
        <v>#N/A</v>
      </c>
      <c r="L92" s="153" t="str">
        <f t="array" ref="L92">INDEX('Primary - GRADING'!$A$1:$CP997,MATCH($A92,'Primary - GRADING'!$CP:$CP,0),51)</f>
        <v>#N/A</v>
      </c>
      <c r="M92" s="153" t="str">
        <f t="array" ref="M92">INDEX('Primary - GRADING'!$A$1:$CP997,MATCH($A92,'Primary - GRADING'!$CP:$CP,0),52)</f>
        <v>#N/A</v>
      </c>
      <c r="N92" s="153" t="str">
        <f t="array" ref="N92">INDEX('Primary - GRADING'!$A$1:$CP997,MATCH($A92,'Primary - GRADING'!$CP:$CP,0),53)</f>
        <v>#N/A</v>
      </c>
      <c r="O92" s="153" t="str">
        <f t="array" ref="O92">INDEX('Primary - GRADING'!$A$1:$CP997,MATCH($A92,'Primary - GRADING'!$CP:$CP,0),58)</f>
        <v>#N/A</v>
      </c>
      <c r="P92" s="153" t="str">
        <f t="array" ref="P92">INDEX('Primary - GRADING'!$A$1:$CP997,MATCH($A92,'Primary - GRADING'!$CP:$CP,0),5)</f>
        <v>#N/A</v>
      </c>
      <c r="Q92" s="153" t="str">
        <f t="array" ref="Q92">INDEX('Primary - GRADING'!$A$1:$CP997,MATCH($A92,'Primary - GRADING'!$CP:$CP,0),6)</f>
        <v>#N/A</v>
      </c>
      <c r="R92" s="153" t="str">
        <f t="array" ref="R92">INDEX('Primary - GRADING'!$A$1:$CP997,MATCH($A92,'Primary - GRADING'!$CP:$CP,0),7)</f>
        <v>#N/A</v>
      </c>
      <c r="S92" s="153" t="str">
        <f t="array" ref="S92">INDEX('Primary - GRADING'!$A$1:$CP997,MATCH($A92,'Primary - GRADING'!$CP:$CP,0),8)</f>
        <v>#N/A</v>
      </c>
      <c r="T92" s="153" t="str">
        <f t="array" ref="T92">INDEX('Primary - GRADING'!$A$1:$CP997,MATCH($A92,'Primary - GRADING'!$CP:$CP,0),9)</f>
        <v>#N/A</v>
      </c>
      <c r="U92" s="153" t="str">
        <f t="array" ref="U92">INDEX('Primary - GRADING'!$A$1:$CP997,MATCH($A92,'Primary - GRADING'!$CP:$CP,0),10)</f>
        <v>#N/A</v>
      </c>
      <c r="V92" s="153" t="str">
        <f t="array" ref="V92">INDEX('Primary - GRADING'!$A$1:$CP997,MATCH($A92,'Primary - GRADING'!$CP:$CP,0),18)</f>
        <v>#N/A</v>
      </c>
      <c r="W92" s="153" t="str">
        <f t="array" ref="W92">INDEX('Primary - GRADING'!$A$1:$CP997,MATCH($A92,'Primary - GRADING'!$CP:$CP,0),20)</f>
        <v>#N/A</v>
      </c>
      <c r="X92" s="153" t="str">
        <f t="array" ref="X92">INDEX('Primary - GRADING'!$A$1:$CP997,MATCH($A92,'Primary - GRADING'!$CP:$CP,0),21)</f>
        <v>#N/A</v>
      </c>
      <c r="Y92" s="153" t="str">
        <f t="array" ref="Y92">INDEX('Primary - GRADING'!$A$1:$CP997,MATCH($A92,'Primary - GRADING'!$CP:$CP,0),22)</f>
        <v>#N/A</v>
      </c>
      <c r="Z92" s="165" t="str">
        <f t="array" ref="Z92">INDEX('Primary - GRADING'!$A$1:$CP997,MATCH($A92,'Primary - GRADING'!$CP:$CP,0),23)</f>
        <v>#N/A</v>
      </c>
      <c r="AA92" s="153" t="str">
        <f t="array" ref="AA92">INDEX('Primary - GRADING'!$A$1:$CP997,MATCH($A92,'Primary - GRADING'!$CP:$CP,0),24)</f>
        <v>#N/A</v>
      </c>
      <c r="AB92" s="153" t="str">
        <f t="array" ref="AB92">INDEX('Primary - GRADING'!$A$1:$CP997,MATCH($A92,'Primary - GRADING'!$CP:$CP,0),25)</f>
        <v>#N/A</v>
      </c>
      <c r="AC92" s="153" t="str">
        <f t="array" ref="AC92">INDEX('Primary - GRADING'!$A$1:$CP997,MATCH($A92,'Primary - GRADING'!$CP:$CP,0),46)</f>
        <v>#N/A</v>
      </c>
      <c r="AG92" s="153" t="str">
        <f t="shared" si="7"/>
        <v>#N/A</v>
      </c>
      <c r="AI92" s="153" t="str">
        <f>VLOOKUP(AH92,'Primary - GRADING'!$A$4:$C997,2,)</f>
        <v>#N/A</v>
      </c>
      <c r="AJ92" s="153" t="str">
        <f>VLOOKUP(AH92,'Primary - GRADING'!$A$4:$C997,3,)</f>
        <v>#N/A</v>
      </c>
      <c r="AK92" s="153" t="str">
        <f>VLOOKUP(AH92,'Primary - GRADING'!$A$4:$BG997,59,)</f>
        <v>#N/A</v>
      </c>
      <c r="AL92" s="153" t="str">
        <f>IFS(AK92="NMA",VLOOKUP(AH92,'Primary - GRADING'!$A$4:$BG997,51,),AK92="DIRECT",VLOOKUP(AH92,'Primary - GRADING'!$A$4:$BG997,8,),AK92="INDIRECT",VLOOKUP(AH92,'Primary - GRADING'!$A$4:$BG997,23,))</f>
        <v>#N/A</v>
      </c>
      <c r="AM92" s="153" t="str">
        <f>IFS(AK92="NMA",VLOOKUP(AH92,'Primary - GRADING'!$A$4:$BG997,52,),AK92="DIRECT",VLOOKUP(AH92,'Primary - GRADING'!$A$4:$BG997,9,),AK92="INDIRECT",VLOOKUP(AH92,'Primary - GRADING'!$A$4:$BG997,24,))</f>
        <v>#N/A</v>
      </c>
      <c r="AN92" s="153" t="str">
        <f>IFS(AK92="NMA",VLOOKUP(AH92,'Primary - GRADING'!$A$4:$BG997,53,),AK92="DIRECT",VLOOKUP(AH92,'Primary - GRADING'!$A$4:$BG997,10,),AK92="INDIRECT",VLOOKUP(AH92,'Primary - GRADING'!$A$4:$BG997,25,))</f>
        <v>#N/A</v>
      </c>
      <c r="AO92" s="153" t="str">
        <f t="shared" si="8"/>
        <v>#N/A</v>
      </c>
      <c r="AT92" s="153" t="str">
        <f t="shared" si="9"/>
        <v>#N/A</v>
      </c>
      <c r="AV92" s="153" t="str">
        <f>VLOOKUP(AU92,'Primary - GRADING'!$A$4:$C997,2,)</f>
        <v>#N/A</v>
      </c>
      <c r="AW92" s="153" t="str">
        <f>VLOOKUP(AU92,'Primary - GRADING'!$A$4:$C997,3,)</f>
        <v>#N/A</v>
      </c>
      <c r="AX92" s="153" t="str">
        <f>VLOOKUP(AU92,'Primary - GRADING'!$A$4:$BG997,59,)</f>
        <v>#N/A</v>
      </c>
      <c r="AY92" s="153" t="str">
        <f>IFS(AX92="NMA",VLOOKUP(AU92,'Primary - GRADING'!$A$4:$BG997,51,),AX92="DIRECT",VLOOKUP(AU92,'Primary - GRADING'!$A$4:$BG997,8,),AX92="INDIRECT",VLOOKUP(AU92,'Primary - GRADING'!$A$4:$BG997,23,))</f>
        <v>#N/A</v>
      </c>
      <c r="AZ92" s="153" t="str">
        <f>IFS(AX92="NMA",VLOOKUP(AU92,'Primary - GRADING'!$A$4:$BG997,52,),AX92="DIRECT",VLOOKUP(AU92,'Primary - GRADING'!$A$4:$BG997,9,),AX92="INDIRECT",VLOOKUP(AU92,'Primary - GRADING'!$A$4:$BG997,24,))</f>
        <v>#N/A</v>
      </c>
      <c r="BA92" s="153" t="str">
        <f>IFS(AX92="NMA",VLOOKUP(AU92,'Primary - GRADING'!$A$4:$BG997,53,),AX92="DIRECT",VLOOKUP(AU92,'Primary - GRADING'!$A$4:$BG997,10,),AX92="INDIRECT",VLOOKUP(AU92,'Primary - GRADING'!$A$4:$BG997,25,))</f>
        <v>#N/A</v>
      </c>
      <c r="BB92" s="153" t="str">
        <f t="shared" si="10"/>
        <v>#N/A</v>
      </c>
      <c r="BE92" s="153" t="str">
        <f t="shared" si="11"/>
        <v/>
      </c>
      <c r="BG92" s="153" t="str">
        <f t="shared" si="12"/>
        <v>#N/A</v>
      </c>
      <c r="BI92" s="153" t="str">
        <f t="shared" si="13"/>
        <v>#N/A</v>
      </c>
      <c r="BK92" s="153" t="str">
        <f t="shared" si="14"/>
        <v>#N/A</v>
      </c>
      <c r="BM92" s="153" t="str">
        <f t="shared" si="15"/>
        <v>#N/A</v>
      </c>
    </row>
    <row r="93" ht="15.75" customHeight="1">
      <c r="B93" s="160" t="str">
        <f t="shared" si="1"/>
        <v>#N/A</v>
      </c>
      <c r="C93" s="160" t="str">
        <f t="shared" si="2"/>
        <v>#N/A</v>
      </c>
      <c r="D93" s="160" t="str">
        <f t="shared" si="3"/>
        <v>#N/A</v>
      </c>
      <c r="E93" s="161" t="str">
        <f t="shared" si="4"/>
        <v>#N/A</v>
      </c>
      <c r="F93" s="153" t="str">
        <f t="shared" si="17"/>
        <v>#N/A</v>
      </c>
      <c r="G93" s="153" t="str">
        <f t="shared" si="6"/>
        <v>#N/A</v>
      </c>
      <c r="H93" s="156" t="str">
        <f t="array" ref="H93">INDEX('Primary - GRADING'!$A$1:$BG997,MATCH($A93,'Primary - GRADING'!$B:$B,0),59)</f>
        <v>#N/A</v>
      </c>
      <c r="I93" s="153" t="str">
        <f t="array" ref="I93">INDEX('Primary - GRADING'!$A$1:$CP997,MATCH($A93,'Primary - GRADING'!$CP:$CP,0),48)</f>
        <v>#N/A</v>
      </c>
      <c r="J93" s="153" t="str">
        <f t="array" ref="J93">INDEX('Primary - GRADING'!$A$1:$CP997,MATCH($A93,'Primary - GRADING'!$CP:$CP,0),49)</f>
        <v>#N/A</v>
      </c>
      <c r="K93" s="153" t="str">
        <f t="array" ref="K93">INDEX('Primary - GRADING'!$A$1:$CP997,MATCH($A93,'Primary - GRADING'!$CP:$CP,0),50)</f>
        <v>#N/A</v>
      </c>
      <c r="L93" s="153" t="str">
        <f t="array" ref="L93">INDEX('Primary - GRADING'!$A$1:$CP997,MATCH($A93,'Primary - GRADING'!$CP:$CP,0),51)</f>
        <v>#N/A</v>
      </c>
      <c r="M93" s="153" t="str">
        <f t="array" ref="M93">INDEX('Primary - GRADING'!$A$1:$CP997,MATCH($A93,'Primary - GRADING'!$CP:$CP,0),52)</f>
        <v>#N/A</v>
      </c>
      <c r="N93" s="153" t="str">
        <f t="array" ref="N93">INDEX('Primary - GRADING'!$A$1:$CP997,MATCH($A93,'Primary - GRADING'!$CP:$CP,0),53)</f>
        <v>#N/A</v>
      </c>
      <c r="O93" s="153" t="str">
        <f t="array" ref="O93">INDEX('Primary - GRADING'!$A$1:$CP997,MATCH($A93,'Primary - GRADING'!$CP:$CP,0),58)</f>
        <v>#N/A</v>
      </c>
      <c r="P93" s="153" t="str">
        <f t="array" ref="P93">INDEX('Primary - GRADING'!$A$1:$CP997,MATCH($A93,'Primary - GRADING'!$CP:$CP,0),5)</f>
        <v>#N/A</v>
      </c>
      <c r="Q93" s="153" t="str">
        <f t="array" ref="Q93">INDEX('Primary - GRADING'!$A$1:$CP997,MATCH($A93,'Primary - GRADING'!$CP:$CP,0),6)</f>
        <v>#N/A</v>
      </c>
      <c r="R93" s="153" t="str">
        <f t="array" ref="R93">INDEX('Primary - GRADING'!$A$1:$CP997,MATCH($A93,'Primary - GRADING'!$CP:$CP,0),7)</f>
        <v>#N/A</v>
      </c>
      <c r="S93" s="153" t="str">
        <f t="array" ref="S93">INDEX('Primary - GRADING'!$A$1:$CP997,MATCH($A93,'Primary - GRADING'!$CP:$CP,0),8)</f>
        <v>#N/A</v>
      </c>
      <c r="T93" s="153" t="str">
        <f t="array" ref="T93">INDEX('Primary - GRADING'!$A$1:$CP997,MATCH($A93,'Primary - GRADING'!$CP:$CP,0),9)</f>
        <v>#N/A</v>
      </c>
      <c r="U93" s="153" t="str">
        <f t="array" ref="U93">INDEX('Primary - GRADING'!$A$1:$CP997,MATCH($A93,'Primary - GRADING'!$CP:$CP,0),10)</f>
        <v>#N/A</v>
      </c>
      <c r="V93" s="153" t="str">
        <f t="array" ref="V93">INDEX('Primary - GRADING'!$A$1:$CP997,MATCH($A93,'Primary - GRADING'!$CP:$CP,0),18)</f>
        <v>#N/A</v>
      </c>
      <c r="W93" s="153" t="str">
        <f t="array" ref="W93">INDEX('Primary - GRADING'!$A$1:$CP997,MATCH($A93,'Primary - GRADING'!$CP:$CP,0),20)</f>
        <v>#N/A</v>
      </c>
      <c r="X93" s="153" t="str">
        <f t="array" ref="X93">INDEX('Primary - GRADING'!$A$1:$CP997,MATCH($A93,'Primary - GRADING'!$CP:$CP,0),21)</f>
        <v>#N/A</v>
      </c>
      <c r="Y93" s="153" t="str">
        <f t="array" ref="Y93">INDEX('Primary - GRADING'!$A$1:$CP997,MATCH($A93,'Primary - GRADING'!$CP:$CP,0),22)</f>
        <v>#N/A</v>
      </c>
      <c r="Z93" s="165" t="str">
        <f t="array" ref="Z93">INDEX('Primary - GRADING'!$A$1:$CP997,MATCH($A93,'Primary - GRADING'!$CP:$CP,0),23)</f>
        <v>#N/A</v>
      </c>
      <c r="AA93" s="153" t="str">
        <f t="array" ref="AA93">INDEX('Primary - GRADING'!$A$1:$CP997,MATCH($A93,'Primary - GRADING'!$CP:$CP,0),24)</f>
        <v>#N/A</v>
      </c>
      <c r="AB93" s="153" t="str">
        <f t="array" ref="AB93">INDEX('Primary - GRADING'!$A$1:$CP997,MATCH($A93,'Primary - GRADING'!$CP:$CP,0),25)</f>
        <v>#N/A</v>
      </c>
      <c r="AC93" s="153" t="str">
        <f t="array" ref="AC93">INDEX('Primary - GRADING'!$A$1:$CP997,MATCH($A93,'Primary - GRADING'!$CP:$CP,0),46)</f>
        <v>#N/A</v>
      </c>
      <c r="AG93" s="153" t="str">
        <f t="shared" si="7"/>
        <v>#N/A</v>
      </c>
      <c r="AI93" s="153" t="str">
        <f>VLOOKUP(AH93,'Primary - GRADING'!$A$4:$C997,2,)</f>
        <v>#N/A</v>
      </c>
      <c r="AJ93" s="153" t="str">
        <f>VLOOKUP(AH93,'Primary - GRADING'!$A$4:$C997,3,)</f>
        <v>#N/A</v>
      </c>
      <c r="AK93" s="153" t="str">
        <f>VLOOKUP(AH93,'Primary - GRADING'!$A$4:$BG997,59,)</f>
        <v>#N/A</v>
      </c>
      <c r="AL93" s="153" t="str">
        <f>IFS(AK93="NMA",VLOOKUP(AH93,'Primary - GRADING'!$A$4:$BG997,51,),AK93="DIRECT",VLOOKUP(AH93,'Primary - GRADING'!$A$4:$BG997,8,),AK93="INDIRECT",VLOOKUP(AH93,'Primary - GRADING'!$A$4:$BG997,23,))</f>
        <v>#N/A</v>
      </c>
      <c r="AM93" s="153" t="str">
        <f>IFS(AK93="NMA",VLOOKUP(AH93,'Primary - GRADING'!$A$4:$BG997,52,),AK93="DIRECT",VLOOKUP(AH93,'Primary - GRADING'!$A$4:$BG997,9,),AK93="INDIRECT",VLOOKUP(AH93,'Primary - GRADING'!$A$4:$BG997,24,))</f>
        <v>#N/A</v>
      </c>
      <c r="AN93" s="153" t="str">
        <f>IFS(AK93="NMA",VLOOKUP(AH93,'Primary - GRADING'!$A$4:$BG997,53,),AK93="DIRECT",VLOOKUP(AH93,'Primary - GRADING'!$A$4:$BG997,10,),AK93="INDIRECT",VLOOKUP(AH93,'Primary - GRADING'!$A$4:$BG997,25,))</f>
        <v>#N/A</v>
      </c>
      <c r="AO93" s="153" t="str">
        <f t="shared" si="8"/>
        <v>#N/A</v>
      </c>
      <c r="AT93" s="153" t="str">
        <f t="shared" si="9"/>
        <v>#N/A</v>
      </c>
      <c r="AV93" s="153" t="str">
        <f>VLOOKUP(AU93,'Primary - GRADING'!$A$4:$C997,2,)</f>
        <v>#N/A</v>
      </c>
      <c r="AW93" s="153" t="str">
        <f>VLOOKUP(AU93,'Primary - GRADING'!$A$4:$C997,3,)</f>
        <v>#N/A</v>
      </c>
      <c r="AX93" s="153" t="str">
        <f>VLOOKUP(AU93,'Primary - GRADING'!$A$4:$BG997,59,)</f>
        <v>#N/A</v>
      </c>
      <c r="AY93" s="153" t="str">
        <f>IFS(AX93="NMA",VLOOKUP(AU93,'Primary - GRADING'!$A$4:$BG997,51,),AX93="DIRECT",VLOOKUP(AU93,'Primary - GRADING'!$A$4:$BG997,8,),AX93="INDIRECT",VLOOKUP(AU93,'Primary - GRADING'!$A$4:$BG997,23,))</f>
        <v>#N/A</v>
      </c>
      <c r="AZ93" s="153" t="str">
        <f>IFS(AX93="NMA",VLOOKUP(AU93,'Primary - GRADING'!$A$4:$BG997,52,),AX93="DIRECT",VLOOKUP(AU93,'Primary - GRADING'!$A$4:$BG997,9,),AX93="INDIRECT",VLOOKUP(AU93,'Primary - GRADING'!$A$4:$BG997,24,))</f>
        <v>#N/A</v>
      </c>
      <c r="BA93" s="153" t="str">
        <f>IFS(AX93="NMA",VLOOKUP(AU93,'Primary - GRADING'!$A$4:$BG997,53,),AX93="DIRECT",VLOOKUP(AU93,'Primary - GRADING'!$A$4:$BG997,10,),AX93="INDIRECT",VLOOKUP(AU93,'Primary - GRADING'!$A$4:$BG997,25,))</f>
        <v>#N/A</v>
      </c>
      <c r="BB93" s="153" t="str">
        <f t="shared" si="10"/>
        <v>#N/A</v>
      </c>
      <c r="BE93" s="153" t="str">
        <f t="shared" si="11"/>
        <v/>
      </c>
      <c r="BG93" s="153" t="str">
        <f t="shared" si="12"/>
        <v>#N/A</v>
      </c>
      <c r="BI93" s="153" t="str">
        <f t="shared" si="13"/>
        <v>#N/A</v>
      </c>
      <c r="BK93" s="153" t="str">
        <f t="shared" si="14"/>
        <v>#N/A</v>
      </c>
      <c r="BM93" s="153" t="str">
        <f t="shared" si="15"/>
        <v>#N/A</v>
      </c>
    </row>
    <row r="94" ht="15.75" customHeight="1">
      <c r="B94" s="160" t="str">
        <f t="shared" si="1"/>
        <v>#N/A</v>
      </c>
      <c r="C94" s="160" t="str">
        <f t="shared" si="2"/>
        <v>#N/A</v>
      </c>
      <c r="D94" s="160" t="str">
        <f t="shared" si="3"/>
        <v>#N/A</v>
      </c>
      <c r="E94" s="161" t="str">
        <f t="shared" si="4"/>
        <v>#N/A</v>
      </c>
      <c r="F94" s="153" t="str">
        <f t="shared" si="17"/>
        <v>#N/A</v>
      </c>
      <c r="G94" s="153" t="str">
        <f t="shared" si="6"/>
        <v>#N/A</v>
      </c>
      <c r="H94" s="156" t="str">
        <f t="array" ref="H94">INDEX('Primary - GRADING'!$A$1:$BG997,MATCH($A94,'Primary - GRADING'!$B:$B,0),59)</f>
        <v>#N/A</v>
      </c>
      <c r="I94" s="153" t="str">
        <f t="array" ref="I94">INDEX('Primary - GRADING'!$A$1:$CP997,MATCH($A94,'Primary - GRADING'!$CP:$CP,0),48)</f>
        <v>#N/A</v>
      </c>
      <c r="J94" s="153" t="str">
        <f t="array" ref="J94">INDEX('Primary - GRADING'!$A$1:$CP997,MATCH($A94,'Primary - GRADING'!$CP:$CP,0),49)</f>
        <v>#N/A</v>
      </c>
      <c r="K94" s="153" t="str">
        <f t="array" ref="K94">INDEX('Primary - GRADING'!$A$1:$CP997,MATCH($A94,'Primary - GRADING'!$CP:$CP,0),50)</f>
        <v>#N/A</v>
      </c>
      <c r="L94" s="153" t="str">
        <f t="array" ref="L94">INDEX('Primary - GRADING'!$A$1:$CP997,MATCH($A94,'Primary - GRADING'!$CP:$CP,0),51)</f>
        <v>#N/A</v>
      </c>
      <c r="M94" s="153" t="str">
        <f t="array" ref="M94">INDEX('Primary - GRADING'!$A$1:$CP997,MATCH($A94,'Primary - GRADING'!$CP:$CP,0),52)</f>
        <v>#N/A</v>
      </c>
      <c r="N94" s="153" t="str">
        <f t="array" ref="N94">INDEX('Primary - GRADING'!$A$1:$CP997,MATCH($A94,'Primary - GRADING'!$CP:$CP,0),53)</f>
        <v>#N/A</v>
      </c>
      <c r="O94" s="153" t="str">
        <f t="array" ref="O94">INDEX('Primary - GRADING'!$A$1:$CP997,MATCH($A94,'Primary - GRADING'!$CP:$CP,0),58)</f>
        <v>#N/A</v>
      </c>
      <c r="P94" s="153" t="str">
        <f t="array" ref="P94">INDEX('Primary - GRADING'!$A$1:$CP997,MATCH($A94,'Primary - GRADING'!$CP:$CP,0),5)</f>
        <v>#N/A</v>
      </c>
      <c r="Q94" s="153" t="str">
        <f t="array" ref="Q94">INDEX('Primary - GRADING'!$A$1:$CP997,MATCH($A94,'Primary - GRADING'!$CP:$CP,0),6)</f>
        <v>#N/A</v>
      </c>
      <c r="R94" s="153" t="str">
        <f t="array" ref="R94">INDEX('Primary - GRADING'!$A$1:$CP997,MATCH($A94,'Primary - GRADING'!$CP:$CP,0),7)</f>
        <v>#N/A</v>
      </c>
      <c r="S94" s="153" t="str">
        <f t="array" ref="S94">INDEX('Primary - GRADING'!$A$1:$CP997,MATCH($A94,'Primary - GRADING'!$CP:$CP,0),8)</f>
        <v>#N/A</v>
      </c>
      <c r="T94" s="153" t="str">
        <f t="array" ref="T94">INDEX('Primary - GRADING'!$A$1:$CP997,MATCH($A94,'Primary - GRADING'!$CP:$CP,0),9)</f>
        <v>#N/A</v>
      </c>
      <c r="U94" s="153" t="str">
        <f t="array" ref="U94">INDEX('Primary - GRADING'!$A$1:$CP997,MATCH($A94,'Primary - GRADING'!$CP:$CP,0),10)</f>
        <v>#N/A</v>
      </c>
      <c r="V94" s="153" t="str">
        <f t="array" ref="V94">INDEX('Primary - GRADING'!$A$1:$CP997,MATCH($A94,'Primary - GRADING'!$CP:$CP,0),18)</f>
        <v>#N/A</v>
      </c>
      <c r="W94" s="153" t="str">
        <f t="array" ref="W94">INDEX('Primary - GRADING'!$A$1:$CP997,MATCH($A94,'Primary - GRADING'!$CP:$CP,0),20)</f>
        <v>#N/A</v>
      </c>
      <c r="X94" s="153" t="str">
        <f t="array" ref="X94">INDEX('Primary - GRADING'!$A$1:$CP997,MATCH($A94,'Primary - GRADING'!$CP:$CP,0),21)</f>
        <v>#N/A</v>
      </c>
      <c r="Y94" s="153" t="str">
        <f t="array" ref="Y94">INDEX('Primary - GRADING'!$A$1:$CP997,MATCH($A94,'Primary - GRADING'!$CP:$CP,0),22)</f>
        <v>#N/A</v>
      </c>
      <c r="Z94" s="165" t="str">
        <f t="array" ref="Z94">INDEX('Primary - GRADING'!$A$1:$CP997,MATCH($A94,'Primary - GRADING'!$CP:$CP,0),23)</f>
        <v>#N/A</v>
      </c>
      <c r="AA94" s="153" t="str">
        <f t="array" ref="AA94">INDEX('Primary - GRADING'!$A$1:$CP997,MATCH($A94,'Primary - GRADING'!$CP:$CP,0),24)</f>
        <v>#N/A</v>
      </c>
      <c r="AB94" s="153" t="str">
        <f t="array" ref="AB94">INDEX('Primary - GRADING'!$A$1:$CP997,MATCH($A94,'Primary - GRADING'!$CP:$CP,0),25)</f>
        <v>#N/A</v>
      </c>
      <c r="AC94" s="153" t="str">
        <f t="array" ref="AC94">INDEX('Primary - GRADING'!$A$1:$CP997,MATCH($A94,'Primary - GRADING'!$CP:$CP,0),46)</f>
        <v>#N/A</v>
      </c>
      <c r="AG94" s="153" t="str">
        <f t="shared" si="7"/>
        <v>#N/A</v>
      </c>
      <c r="AI94" s="153" t="str">
        <f>VLOOKUP(AH94,'Primary - GRADING'!$A$4:$C997,2,)</f>
        <v>#N/A</v>
      </c>
      <c r="AJ94" s="153" t="str">
        <f>VLOOKUP(AH94,'Primary - GRADING'!$A$4:$C997,3,)</f>
        <v>#N/A</v>
      </c>
      <c r="AK94" s="153" t="str">
        <f>VLOOKUP(AH94,'Primary - GRADING'!$A$4:$BG997,59,)</f>
        <v>#N/A</v>
      </c>
      <c r="AL94" s="153" t="str">
        <f>IFS(AK94="NMA",VLOOKUP(AH94,'Primary - GRADING'!$A$4:$BG997,51,),AK94="DIRECT",VLOOKUP(AH94,'Primary - GRADING'!$A$4:$BG997,8,),AK94="INDIRECT",VLOOKUP(AH94,'Primary - GRADING'!$A$4:$BG997,23,))</f>
        <v>#N/A</v>
      </c>
      <c r="AM94" s="153" t="str">
        <f>IFS(AK94="NMA",VLOOKUP(AH94,'Primary - GRADING'!$A$4:$BG997,52,),AK94="DIRECT",VLOOKUP(AH94,'Primary - GRADING'!$A$4:$BG997,9,),AK94="INDIRECT",VLOOKUP(AH94,'Primary - GRADING'!$A$4:$BG997,24,))</f>
        <v>#N/A</v>
      </c>
      <c r="AN94" s="153" t="str">
        <f>IFS(AK94="NMA",VLOOKUP(AH94,'Primary - GRADING'!$A$4:$BG997,53,),AK94="DIRECT",VLOOKUP(AH94,'Primary - GRADING'!$A$4:$BG997,10,),AK94="INDIRECT",VLOOKUP(AH94,'Primary - GRADING'!$A$4:$BG997,25,))</f>
        <v>#N/A</v>
      </c>
      <c r="AO94" s="153" t="str">
        <f t="shared" si="8"/>
        <v>#N/A</v>
      </c>
      <c r="AT94" s="153" t="str">
        <f t="shared" si="9"/>
        <v>#N/A</v>
      </c>
      <c r="AV94" s="153" t="str">
        <f>VLOOKUP(AU94,'Primary - GRADING'!$A$4:$C997,2,)</f>
        <v>#N/A</v>
      </c>
      <c r="AW94" s="153" t="str">
        <f>VLOOKUP(AU94,'Primary - GRADING'!$A$4:$C997,3,)</f>
        <v>#N/A</v>
      </c>
      <c r="AX94" s="153" t="str">
        <f>VLOOKUP(AU94,'Primary - GRADING'!$A$4:$BG997,59,)</f>
        <v>#N/A</v>
      </c>
      <c r="AY94" s="153" t="str">
        <f>IFS(AX94="NMA",VLOOKUP(AU94,'Primary - GRADING'!$A$4:$BG997,51,),AX94="DIRECT",VLOOKUP(AU94,'Primary - GRADING'!$A$4:$BG997,8,),AX94="INDIRECT",VLOOKUP(AU94,'Primary - GRADING'!$A$4:$BG997,23,))</f>
        <v>#N/A</v>
      </c>
      <c r="AZ94" s="153" t="str">
        <f>IFS(AX94="NMA",VLOOKUP(AU94,'Primary - GRADING'!$A$4:$BG997,52,),AX94="DIRECT",VLOOKUP(AU94,'Primary - GRADING'!$A$4:$BG997,9,),AX94="INDIRECT",VLOOKUP(AU94,'Primary - GRADING'!$A$4:$BG997,24,))</f>
        <v>#N/A</v>
      </c>
      <c r="BA94" s="153" t="str">
        <f>IFS(AX94="NMA",VLOOKUP(AU94,'Primary - GRADING'!$A$4:$BG997,53,),AX94="DIRECT",VLOOKUP(AU94,'Primary - GRADING'!$A$4:$BG997,10,),AX94="INDIRECT",VLOOKUP(AU94,'Primary - GRADING'!$A$4:$BG997,25,))</f>
        <v>#N/A</v>
      </c>
      <c r="BB94" s="153" t="str">
        <f t="shared" si="10"/>
        <v>#N/A</v>
      </c>
      <c r="BE94" s="153" t="str">
        <f t="shared" si="11"/>
        <v/>
      </c>
      <c r="BG94" s="153" t="str">
        <f t="shared" si="12"/>
        <v>#N/A</v>
      </c>
      <c r="BI94" s="153" t="str">
        <f t="shared" si="13"/>
        <v>#N/A</v>
      </c>
      <c r="BK94" s="153" t="str">
        <f t="shared" si="14"/>
        <v>#N/A</v>
      </c>
      <c r="BM94" s="153" t="str">
        <f t="shared" si="15"/>
        <v>#N/A</v>
      </c>
    </row>
    <row r="95" ht="15.75" customHeight="1">
      <c r="B95" s="160" t="str">
        <f t="shared" si="1"/>
        <v>#N/A</v>
      </c>
      <c r="C95" s="160" t="str">
        <f t="shared" si="2"/>
        <v>#N/A</v>
      </c>
      <c r="D95" s="160" t="str">
        <f t="shared" si="3"/>
        <v>#N/A</v>
      </c>
      <c r="E95" s="161" t="str">
        <f t="shared" si="4"/>
        <v>#N/A</v>
      </c>
      <c r="F95" s="153" t="str">
        <f t="shared" si="17"/>
        <v>#N/A</v>
      </c>
      <c r="G95" s="153" t="str">
        <f t="shared" si="6"/>
        <v>#N/A</v>
      </c>
      <c r="H95" s="156" t="str">
        <f t="array" ref="H95">INDEX('Primary - GRADING'!$A$1:$BG997,MATCH($A95,'Primary - GRADING'!$B:$B,0),59)</f>
        <v>#N/A</v>
      </c>
      <c r="I95" s="153" t="str">
        <f t="array" ref="I95">INDEX('Primary - GRADING'!$A$1:$CP997,MATCH($A95,'Primary - GRADING'!$CP:$CP,0),48)</f>
        <v>#N/A</v>
      </c>
      <c r="J95" s="153" t="str">
        <f t="array" ref="J95">INDEX('Primary - GRADING'!$A$1:$CP997,MATCH($A95,'Primary - GRADING'!$CP:$CP,0),49)</f>
        <v>#N/A</v>
      </c>
      <c r="K95" s="153" t="str">
        <f t="array" ref="K95">INDEX('Primary - GRADING'!$A$1:$CP997,MATCH($A95,'Primary - GRADING'!$CP:$CP,0),50)</f>
        <v>#N/A</v>
      </c>
      <c r="L95" s="153" t="str">
        <f t="array" ref="L95">INDEX('Primary - GRADING'!$A$1:$CP997,MATCH($A95,'Primary - GRADING'!$CP:$CP,0),51)</f>
        <v>#N/A</v>
      </c>
      <c r="M95" s="153" t="str">
        <f t="array" ref="M95">INDEX('Primary - GRADING'!$A$1:$CP997,MATCH($A95,'Primary - GRADING'!$CP:$CP,0),52)</f>
        <v>#N/A</v>
      </c>
      <c r="N95" s="153" t="str">
        <f t="array" ref="N95">INDEX('Primary - GRADING'!$A$1:$CP997,MATCH($A95,'Primary - GRADING'!$CP:$CP,0),53)</f>
        <v>#N/A</v>
      </c>
      <c r="O95" s="153" t="str">
        <f t="array" ref="O95">INDEX('Primary - GRADING'!$A$1:$CP997,MATCH($A95,'Primary - GRADING'!$CP:$CP,0),58)</f>
        <v>#N/A</v>
      </c>
      <c r="P95" s="153" t="str">
        <f t="array" ref="P95">INDEX('Primary - GRADING'!$A$1:$CP997,MATCH($A95,'Primary - GRADING'!$CP:$CP,0),5)</f>
        <v>#N/A</v>
      </c>
      <c r="Q95" s="153" t="str">
        <f t="array" ref="Q95">INDEX('Primary - GRADING'!$A$1:$CP997,MATCH($A95,'Primary - GRADING'!$CP:$CP,0),6)</f>
        <v>#N/A</v>
      </c>
      <c r="R95" s="153" t="str">
        <f t="array" ref="R95">INDEX('Primary - GRADING'!$A$1:$CP997,MATCH($A95,'Primary - GRADING'!$CP:$CP,0),7)</f>
        <v>#N/A</v>
      </c>
      <c r="S95" s="153" t="str">
        <f t="array" ref="S95">INDEX('Primary - GRADING'!$A$1:$CP997,MATCH($A95,'Primary - GRADING'!$CP:$CP,0),8)</f>
        <v>#N/A</v>
      </c>
      <c r="T95" s="153" t="str">
        <f t="array" ref="T95">INDEX('Primary - GRADING'!$A$1:$CP997,MATCH($A95,'Primary - GRADING'!$CP:$CP,0),9)</f>
        <v>#N/A</v>
      </c>
      <c r="U95" s="153" t="str">
        <f t="array" ref="U95">INDEX('Primary - GRADING'!$A$1:$CP997,MATCH($A95,'Primary - GRADING'!$CP:$CP,0),10)</f>
        <v>#N/A</v>
      </c>
      <c r="V95" s="153" t="str">
        <f t="array" ref="V95">INDEX('Primary - GRADING'!$A$1:$CP997,MATCH($A95,'Primary - GRADING'!$CP:$CP,0),18)</f>
        <v>#N/A</v>
      </c>
      <c r="W95" s="153" t="str">
        <f t="array" ref="W95">INDEX('Primary - GRADING'!$A$1:$CP997,MATCH($A95,'Primary - GRADING'!$CP:$CP,0),20)</f>
        <v>#N/A</v>
      </c>
      <c r="X95" s="153" t="str">
        <f t="array" ref="X95">INDEX('Primary - GRADING'!$A$1:$CP997,MATCH($A95,'Primary - GRADING'!$CP:$CP,0),21)</f>
        <v>#N/A</v>
      </c>
      <c r="Y95" s="153" t="str">
        <f t="array" ref="Y95">INDEX('Primary - GRADING'!$A$1:$CP997,MATCH($A95,'Primary - GRADING'!$CP:$CP,0),22)</f>
        <v>#N/A</v>
      </c>
      <c r="Z95" s="165" t="str">
        <f t="array" ref="Z95">INDEX('Primary - GRADING'!$A$1:$CP997,MATCH($A95,'Primary - GRADING'!$CP:$CP,0),23)</f>
        <v>#N/A</v>
      </c>
      <c r="AA95" s="153" t="str">
        <f t="array" ref="AA95">INDEX('Primary - GRADING'!$A$1:$CP997,MATCH($A95,'Primary - GRADING'!$CP:$CP,0),24)</f>
        <v>#N/A</v>
      </c>
      <c r="AB95" s="153" t="str">
        <f t="array" ref="AB95">INDEX('Primary - GRADING'!$A$1:$CP997,MATCH($A95,'Primary - GRADING'!$CP:$CP,0),25)</f>
        <v>#N/A</v>
      </c>
      <c r="AC95" s="153" t="str">
        <f t="array" ref="AC95">INDEX('Primary - GRADING'!$A$1:$CP997,MATCH($A95,'Primary - GRADING'!$CP:$CP,0),46)</f>
        <v>#N/A</v>
      </c>
      <c r="AG95" s="153" t="str">
        <f t="shared" si="7"/>
        <v>#N/A</v>
      </c>
      <c r="AI95" s="153" t="str">
        <f>VLOOKUP(AH95,'Primary - GRADING'!$A$4:$C997,2,)</f>
        <v>#N/A</v>
      </c>
      <c r="AJ95" s="153" t="str">
        <f>VLOOKUP(AH95,'Primary - GRADING'!$A$4:$C997,3,)</f>
        <v>#N/A</v>
      </c>
      <c r="AK95" s="153" t="str">
        <f>VLOOKUP(AH95,'Primary - GRADING'!$A$4:$BG997,59,)</f>
        <v>#N/A</v>
      </c>
      <c r="AL95" s="153" t="str">
        <f>IFS(AK95="NMA",VLOOKUP(AH95,'Primary - GRADING'!$A$4:$BG997,51,),AK95="DIRECT",VLOOKUP(AH95,'Primary - GRADING'!$A$4:$BG997,8,),AK95="INDIRECT",VLOOKUP(AH95,'Primary - GRADING'!$A$4:$BG997,23,))</f>
        <v>#N/A</v>
      </c>
      <c r="AM95" s="153" t="str">
        <f>IFS(AK95="NMA",VLOOKUP(AH95,'Primary - GRADING'!$A$4:$BG997,52,),AK95="DIRECT",VLOOKUP(AH95,'Primary - GRADING'!$A$4:$BG997,9,),AK95="INDIRECT",VLOOKUP(AH95,'Primary - GRADING'!$A$4:$BG997,24,))</f>
        <v>#N/A</v>
      </c>
      <c r="AN95" s="153" t="str">
        <f>IFS(AK95="NMA",VLOOKUP(AH95,'Primary - GRADING'!$A$4:$BG997,53,),AK95="DIRECT",VLOOKUP(AH95,'Primary - GRADING'!$A$4:$BG997,10,),AK95="INDIRECT",VLOOKUP(AH95,'Primary - GRADING'!$A$4:$BG997,25,))</f>
        <v>#N/A</v>
      </c>
      <c r="AO95" s="153" t="str">
        <f t="shared" si="8"/>
        <v>#N/A</v>
      </c>
      <c r="AT95" s="153" t="str">
        <f t="shared" si="9"/>
        <v>#N/A</v>
      </c>
      <c r="AV95" s="153" t="str">
        <f>VLOOKUP(AU95,'Primary - GRADING'!$A$4:$C997,2,)</f>
        <v>#N/A</v>
      </c>
      <c r="AW95" s="153" t="str">
        <f>VLOOKUP(AU95,'Primary - GRADING'!$A$4:$C997,3,)</f>
        <v>#N/A</v>
      </c>
      <c r="AX95" s="153" t="str">
        <f>VLOOKUP(AU95,'Primary - GRADING'!$A$4:$BG997,59,)</f>
        <v>#N/A</v>
      </c>
      <c r="AY95" s="153" t="str">
        <f>IFS(AX95="NMA",VLOOKUP(AU95,'Primary - GRADING'!$A$4:$BG997,51,),AX95="DIRECT",VLOOKUP(AU95,'Primary - GRADING'!$A$4:$BG997,8,),AX95="INDIRECT",VLOOKUP(AU95,'Primary - GRADING'!$A$4:$BG997,23,))</f>
        <v>#N/A</v>
      </c>
      <c r="AZ95" s="153" t="str">
        <f>IFS(AX95="NMA",VLOOKUP(AU95,'Primary - GRADING'!$A$4:$BG997,52,),AX95="DIRECT",VLOOKUP(AU95,'Primary - GRADING'!$A$4:$BG997,9,),AX95="INDIRECT",VLOOKUP(AU95,'Primary - GRADING'!$A$4:$BG997,24,))</f>
        <v>#N/A</v>
      </c>
      <c r="BA95" s="153" t="str">
        <f>IFS(AX95="NMA",VLOOKUP(AU95,'Primary - GRADING'!$A$4:$BG997,53,),AX95="DIRECT",VLOOKUP(AU95,'Primary - GRADING'!$A$4:$BG997,10,),AX95="INDIRECT",VLOOKUP(AU95,'Primary - GRADING'!$A$4:$BG997,25,))</f>
        <v>#N/A</v>
      </c>
      <c r="BB95" s="153" t="str">
        <f t="shared" si="10"/>
        <v>#N/A</v>
      </c>
      <c r="BE95" s="153" t="str">
        <f t="shared" si="11"/>
        <v/>
      </c>
      <c r="BG95" s="153" t="str">
        <f t="shared" si="12"/>
        <v>#N/A</v>
      </c>
      <c r="BI95" s="153" t="str">
        <f t="shared" si="13"/>
        <v>#N/A</v>
      </c>
      <c r="BK95" s="153" t="str">
        <f t="shared" si="14"/>
        <v>#N/A</v>
      </c>
      <c r="BM95" s="153" t="str">
        <f t="shared" si="15"/>
        <v>#N/A</v>
      </c>
    </row>
    <row r="96" ht="15.75" customHeight="1">
      <c r="B96" s="160" t="str">
        <f t="shared" si="1"/>
        <v>#N/A</v>
      </c>
      <c r="C96" s="160" t="str">
        <f t="shared" si="2"/>
        <v>#N/A</v>
      </c>
      <c r="D96" s="160" t="str">
        <f t="shared" si="3"/>
        <v>#N/A</v>
      </c>
      <c r="E96" s="161" t="str">
        <f t="shared" si="4"/>
        <v>#N/A</v>
      </c>
      <c r="F96" s="153" t="str">
        <f t="shared" si="17"/>
        <v>#N/A</v>
      </c>
      <c r="G96" s="153" t="str">
        <f t="shared" si="6"/>
        <v>#N/A</v>
      </c>
      <c r="H96" s="156" t="str">
        <f t="array" ref="H96">INDEX('Primary - GRADING'!$A$1:$BG997,MATCH($A96,'Primary - GRADING'!$B:$B,0),59)</f>
        <v>#N/A</v>
      </c>
      <c r="I96" s="153" t="str">
        <f t="array" ref="I96">INDEX('Primary - GRADING'!$A$1:$CP997,MATCH($A96,'Primary - GRADING'!$CP:$CP,0),48)</f>
        <v>#N/A</v>
      </c>
      <c r="J96" s="153" t="str">
        <f t="array" ref="J96">INDEX('Primary - GRADING'!$A$1:$CP997,MATCH($A96,'Primary - GRADING'!$CP:$CP,0),49)</f>
        <v>#N/A</v>
      </c>
      <c r="K96" s="153" t="str">
        <f t="array" ref="K96">INDEX('Primary - GRADING'!$A$1:$CP997,MATCH($A96,'Primary - GRADING'!$CP:$CP,0),50)</f>
        <v>#N/A</v>
      </c>
      <c r="L96" s="153" t="str">
        <f t="array" ref="L96">INDEX('Primary - GRADING'!$A$1:$CP997,MATCH($A96,'Primary - GRADING'!$CP:$CP,0),51)</f>
        <v>#N/A</v>
      </c>
      <c r="M96" s="153" t="str">
        <f t="array" ref="M96">INDEX('Primary - GRADING'!$A$1:$CP997,MATCH($A96,'Primary - GRADING'!$CP:$CP,0),52)</f>
        <v>#N/A</v>
      </c>
      <c r="N96" s="153" t="str">
        <f t="array" ref="N96">INDEX('Primary - GRADING'!$A$1:$CP997,MATCH($A96,'Primary - GRADING'!$CP:$CP,0),53)</f>
        <v>#N/A</v>
      </c>
      <c r="O96" s="153" t="str">
        <f t="array" ref="O96">INDEX('Primary - GRADING'!$A$1:$CP997,MATCH($A96,'Primary - GRADING'!$CP:$CP,0),58)</f>
        <v>#N/A</v>
      </c>
      <c r="P96" s="153" t="str">
        <f t="array" ref="P96">INDEX('Primary - GRADING'!$A$1:$CP997,MATCH($A96,'Primary - GRADING'!$CP:$CP,0),5)</f>
        <v>#N/A</v>
      </c>
      <c r="Q96" s="153" t="str">
        <f t="array" ref="Q96">INDEX('Primary - GRADING'!$A$1:$CP997,MATCH($A96,'Primary - GRADING'!$CP:$CP,0),6)</f>
        <v>#N/A</v>
      </c>
      <c r="R96" s="153" t="str">
        <f t="array" ref="R96">INDEX('Primary - GRADING'!$A$1:$CP997,MATCH($A96,'Primary - GRADING'!$CP:$CP,0),7)</f>
        <v>#N/A</v>
      </c>
      <c r="S96" s="153" t="str">
        <f t="array" ref="S96">INDEX('Primary - GRADING'!$A$1:$CP997,MATCH($A96,'Primary - GRADING'!$CP:$CP,0),8)</f>
        <v>#N/A</v>
      </c>
      <c r="T96" s="153" t="str">
        <f t="array" ref="T96">INDEX('Primary - GRADING'!$A$1:$CP997,MATCH($A96,'Primary - GRADING'!$CP:$CP,0),9)</f>
        <v>#N/A</v>
      </c>
      <c r="U96" s="153" t="str">
        <f t="array" ref="U96">INDEX('Primary - GRADING'!$A$1:$CP997,MATCH($A96,'Primary - GRADING'!$CP:$CP,0),10)</f>
        <v>#N/A</v>
      </c>
      <c r="V96" s="153" t="str">
        <f t="array" ref="V96">INDEX('Primary - GRADING'!$A$1:$CP997,MATCH($A96,'Primary - GRADING'!$CP:$CP,0),18)</f>
        <v>#N/A</v>
      </c>
      <c r="W96" s="153" t="str">
        <f t="array" ref="W96">INDEX('Primary - GRADING'!$A$1:$CP997,MATCH($A96,'Primary - GRADING'!$CP:$CP,0),20)</f>
        <v>#N/A</v>
      </c>
      <c r="X96" s="153" t="str">
        <f t="array" ref="X96">INDEX('Primary - GRADING'!$A$1:$CP997,MATCH($A96,'Primary - GRADING'!$CP:$CP,0),21)</f>
        <v>#N/A</v>
      </c>
      <c r="Y96" s="153" t="str">
        <f t="array" ref="Y96">INDEX('Primary - GRADING'!$A$1:$CP997,MATCH($A96,'Primary - GRADING'!$CP:$CP,0),22)</f>
        <v>#N/A</v>
      </c>
      <c r="Z96" s="165" t="str">
        <f t="array" ref="Z96">INDEX('Primary - GRADING'!$A$1:$CP997,MATCH($A96,'Primary - GRADING'!$CP:$CP,0),23)</f>
        <v>#N/A</v>
      </c>
      <c r="AA96" s="153" t="str">
        <f t="array" ref="AA96">INDEX('Primary - GRADING'!$A$1:$CP997,MATCH($A96,'Primary - GRADING'!$CP:$CP,0),24)</f>
        <v>#N/A</v>
      </c>
      <c r="AB96" s="153" t="str">
        <f t="array" ref="AB96">INDEX('Primary - GRADING'!$A$1:$CP997,MATCH($A96,'Primary - GRADING'!$CP:$CP,0),25)</f>
        <v>#N/A</v>
      </c>
      <c r="AC96" s="153" t="str">
        <f t="array" ref="AC96">INDEX('Primary - GRADING'!$A$1:$CP997,MATCH($A96,'Primary - GRADING'!$CP:$CP,0),46)</f>
        <v>#N/A</v>
      </c>
      <c r="AG96" s="153" t="str">
        <f t="shared" si="7"/>
        <v>#N/A</v>
      </c>
      <c r="AI96" s="153" t="str">
        <f>VLOOKUP(AH96,'Primary - GRADING'!$A$4:$C997,2,)</f>
        <v>#N/A</v>
      </c>
      <c r="AJ96" s="153" t="str">
        <f>VLOOKUP(AH96,'Primary - GRADING'!$A$4:$C997,3,)</f>
        <v>#N/A</v>
      </c>
      <c r="AK96" s="153" t="str">
        <f>VLOOKUP(AH96,'Primary - GRADING'!$A$4:$BG997,59,)</f>
        <v>#N/A</v>
      </c>
      <c r="AL96" s="153" t="str">
        <f>IFS(AK96="NMA",VLOOKUP(AH96,'Primary - GRADING'!$A$4:$BG997,51,),AK96="DIRECT",VLOOKUP(AH96,'Primary - GRADING'!$A$4:$BG997,8,),AK96="INDIRECT",VLOOKUP(AH96,'Primary - GRADING'!$A$4:$BG997,23,))</f>
        <v>#N/A</v>
      </c>
      <c r="AM96" s="153" t="str">
        <f>IFS(AK96="NMA",VLOOKUP(AH96,'Primary - GRADING'!$A$4:$BG997,52,),AK96="DIRECT",VLOOKUP(AH96,'Primary - GRADING'!$A$4:$BG997,9,),AK96="INDIRECT",VLOOKUP(AH96,'Primary - GRADING'!$A$4:$BG997,24,))</f>
        <v>#N/A</v>
      </c>
      <c r="AN96" s="153" t="str">
        <f>IFS(AK96="NMA",VLOOKUP(AH96,'Primary - GRADING'!$A$4:$BG997,53,),AK96="DIRECT",VLOOKUP(AH96,'Primary - GRADING'!$A$4:$BG997,10,),AK96="INDIRECT",VLOOKUP(AH96,'Primary - GRADING'!$A$4:$BG997,25,))</f>
        <v>#N/A</v>
      </c>
      <c r="AO96" s="153" t="str">
        <f t="shared" si="8"/>
        <v>#N/A</v>
      </c>
      <c r="AT96" s="153" t="str">
        <f t="shared" si="9"/>
        <v>#N/A</v>
      </c>
      <c r="AV96" s="153" t="str">
        <f>VLOOKUP(AU96,'Primary - GRADING'!$A$4:$C997,2,)</f>
        <v>#N/A</v>
      </c>
      <c r="AW96" s="153" t="str">
        <f>VLOOKUP(AU96,'Primary - GRADING'!$A$4:$C997,3,)</f>
        <v>#N/A</v>
      </c>
      <c r="AX96" s="153" t="str">
        <f>VLOOKUP(AU96,'Primary - GRADING'!$A$4:$BG997,59,)</f>
        <v>#N/A</v>
      </c>
      <c r="AY96" s="153" t="str">
        <f>IFS(AX96="NMA",VLOOKUP(AU96,'Primary - GRADING'!$A$4:$BG997,51,),AX96="DIRECT",VLOOKUP(AU96,'Primary - GRADING'!$A$4:$BG997,8,),AX96="INDIRECT",VLOOKUP(AU96,'Primary - GRADING'!$A$4:$BG997,23,))</f>
        <v>#N/A</v>
      </c>
      <c r="AZ96" s="153" t="str">
        <f>IFS(AX96="NMA",VLOOKUP(AU96,'Primary - GRADING'!$A$4:$BG997,52,),AX96="DIRECT",VLOOKUP(AU96,'Primary - GRADING'!$A$4:$BG997,9,),AX96="INDIRECT",VLOOKUP(AU96,'Primary - GRADING'!$A$4:$BG997,24,))</f>
        <v>#N/A</v>
      </c>
      <c r="BA96" s="153" t="str">
        <f>IFS(AX96="NMA",VLOOKUP(AU96,'Primary - GRADING'!$A$4:$BG997,53,),AX96="DIRECT",VLOOKUP(AU96,'Primary - GRADING'!$A$4:$BG997,10,),AX96="INDIRECT",VLOOKUP(AU96,'Primary - GRADING'!$A$4:$BG997,25,))</f>
        <v>#N/A</v>
      </c>
      <c r="BB96" s="153" t="str">
        <f t="shared" si="10"/>
        <v>#N/A</v>
      </c>
      <c r="BE96" s="153" t="str">
        <f t="shared" si="11"/>
        <v/>
      </c>
      <c r="BG96" s="153" t="str">
        <f t="shared" si="12"/>
        <v>#N/A</v>
      </c>
      <c r="BI96" s="153" t="str">
        <f t="shared" si="13"/>
        <v>#N/A</v>
      </c>
      <c r="BK96" s="153" t="str">
        <f t="shared" si="14"/>
        <v>#N/A</v>
      </c>
      <c r="BM96" s="153" t="str">
        <f t="shared" si="15"/>
        <v>#N/A</v>
      </c>
    </row>
    <row r="97" ht="15.75" customHeight="1">
      <c r="B97" s="160" t="str">
        <f t="shared" si="1"/>
        <v>#N/A</v>
      </c>
      <c r="C97" s="160" t="str">
        <f t="shared" si="2"/>
        <v>#N/A</v>
      </c>
      <c r="D97" s="160" t="str">
        <f t="shared" si="3"/>
        <v>#N/A</v>
      </c>
      <c r="E97" s="161" t="str">
        <f t="shared" si="4"/>
        <v>#N/A</v>
      </c>
      <c r="F97" s="153" t="str">
        <f t="shared" si="17"/>
        <v>#N/A</v>
      </c>
      <c r="G97" s="153" t="str">
        <f t="shared" si="6"/>
        <v>#N/A</v>
      </c>
      <c r="H97" s="156" t="str">
        <f t="array" ref="H97">INDEX('Primary - GRADING'!$A$1:$BG997,MATCH($A97,'Primary - GRADING'!$B:$B,0),59)</f>
        <v>#N/A</v>
      </c>
      <c r="I97" s="153" t="str">
        <f t="array" ref="I97">INDEX('Primary - GRADING'!$A$1:$CP997,MATCH($A97,'Primary - GRADING'!$CP:$CP,0),48)</f>
        <v>#N/A</v>
      </c>
      <c r="J97" s="153" t="str">
        <f t="array" ref="J97">INDEX('Primary - GRADING'!$A$1:$CP997,MATCH($A97,'Primary - GRADING'!$CP:$CP,0),49)</f>
        <v>#N/A</v>
      </c>
      <c r="K97" s="153" t="str">
        <f t="array" ref="K97">INDEX('Primary - GRADING'!$A$1:$CP997,MATCH($A97,'Primary - GRADING'!$CP:$CP,0),50)</f>
        <v>#N/A</v>
      </c>
      <c r="L97" s="153" t="str">
        <f t="array" ref="L97">INDEX('Primary - GRADING'!$A$1:$CP997,MATCH($A97,'Primary - GRADING'!$CP:$CP,0),51)</f>
        <v>#N/A</v>
      </c>
      <c r="M97" s="153" t="str">
        <f t="array" ref="M97">INDEX('Primary - GRADING'!$A$1:$CP997,MATCH($A97,'Primary - GRADING'!$CP:$CP,0),52)</f>
        <v>#N/A</v>
      </c>
      <c r="N97" s="153" t="str">
        <f t="array" ref="N97">INDEX('Primary - GRADING'!$A$1:$CP997,MATCH($A97,'Primary - GRADING'!$CP:$CP,0),53)</f>
        <v>#N/A</v>
      </c>
      <c r="O97" s="153" t="str">
        <f t="array" ref="O97">INDEX('Primary - GRADING'!$A$1:$CP997,MATCH($A97,'Primary - GRADING'!$CP:$CP,0),58)</f>
        <v>#N/A</v>
      </c>
      <c r="P97" s="153" t="str">
        <f t="array" ref="P97">INDEX('Primary - GRADING'!$A$1:$CP997,MATCH($A97,'Primary - GRADING'!$CP:$CP,0),5)</f>
        <v>#N/A</v>
      </c>
      <c r="Q97" s="153" t="str">
        <f t="array" ref="Q97">INDEX('Primary - GRADING'!$A$1:$CP997,MATCH($A97,'Primary - GRADING'!$CP:$CP,0),6)</f>
        <v>#N/A</v>
      </c>
      <c r="R97" s="153" t="str">
        <f t="array" ref="R97">INDEX('Primary - GRADING'!$A$1:$CP997,MATCH($A97,'Primary - GRADING'!$CP:$CP,0),7)</f>
        <v>#N/A</v>
      </c>
      <c r="S97" s="153" t="str">
        <f t="array" ref="S97">INDEX('Primary - GRADING'!$A$1:$CP997,MATCH($A97,'Primary - GRADING'!$CP:$CP,0),8)</f>
        <v>#N/A</v>
      </c>
      <c r="T97" s="153" t="str">
        <f t="array" ref="T97">INDEX('Primary - GRADING'!$A$1:$CP997,MATCH($A97,'Primary - GRADING'!$CP:$CP,0),9)</f>
        <v>#N/A</v>
      </c>
      <c r="U97" s="153" t="str">
        <f t="array" ref="U97">INDEX('Primary - GRADING'!$A$1:$CP997,MATCH($A97,'Primary - GRADING'!$CP:$CP,0),10)</f>
        <v>#N/A</v>
      </c>
      <c r="V97" s="153" t="str">
        <f t="array" ref="V97">INDEX('Primary - GRADING'!$A$1:$CP997,MATCH($A97,'Primary - GRADING'!$CP:$CP,0),18)</f>
        <v>#N/A</v>
      </c>
      <c r="W97" s="153" t="str">
        <f t="array" ref="W97">INDEX('Primary - GRADING'!$A$1:$CP997,MATCH($A97,'Primary - GRADING'!$CP:$CP,0),20)</f>
        <v>#N/A</v>
      </c>
      <c r="X97" s="153" t="str">
        <f t="array" ref="X97">INDEX('Primary - GRADING'!$A$1:$CP997,MATCH($A97,'Primary - GRADING'!$CP:$CP,0),21)</f>
        <v>#N/A</v>
      </c>
      <c r="Y97" s="153" t="str">
        <f t="array" ref="Y97">INDEX('Primary - GRADING'!$A$1:$CP997,MATCH($A97,'Primary - GRADING'!$CP:$CP,0),22)</f>
        <v>#N/A</v>
      </c>
      <c r="Z97" s="165" t="str">
        <f t="array" ref="Z97">INDEX('Primary - GRADING'!$A$1:$CP997,MATCH($A97,'Primary - GRADING'!$CP:$CP,0),23)</f>
        <v>#N/A</v>
      </c>
      <c r="AA97" s="153" t="str">
        <f t="array" ref="AA97">INDEX('Primary - GRADING'!$A$1:$CP997,MATCH($A97,'Primary - GRADING'!$CP:$CP,0),24)</f>
        <v>#N/A</v>
      </c>
      <c r="AB97" s="153" t="str">
        <f t="array" ref="AB97">INDEX('Primary - GRADING'!$A$1:$CP997,MATCH($A97,'Primary - GRADING'!$CP:$CP,0),25)</f>
        <v>#N/A</v>
      </c>
      <c r="AC97" s="153" t="str">
        <f t="array" ref="AC97">INDEX('Primary - GRADING'!$A$1:$CP997,MATCH($A97,'Primary - GRADING'!$CP:$CP,0),46)</f>
        <v>#N/A</v>
      </c>
      <c r="AG97" s="153" t="str">
        <f t="shared" si="7"/>
        <v>#N/A</v>
      </c>
      <c r="AI97" s="153" t="str">
        <f>VLOOKUP(AH97,'Primary - GRADING'!$A$4:$C997,2,)</f>
        <v>#N/A</v>
      </c>
      <c r="AJ97" s="153" t="str">
        <f>VLOOKUP(AH97,'Primary - GRADING'!$A$4:$C997,3,)</f>
        <v>#N/A</v>
      </c>
      <c r="AK97" s="153" t="str">
        <f>VLOOKUP(AH97,'Primary - GRADING'!$A$4:$BG997,59,)</f>
        <v>#N/A</v>
      </c>
      <c r="AL97" s="153" t="str">
        <f>IFS(AK97="NMA",VLOOKUP(AH97,'Primary - GRADING'!$A$4:$BG997,51,),AK97="DIRECT",VLOOKUP(AH97,'Primary - GRADING'!$A$4:$BG997,8,),AK97="INDIRECT",VLOOKUP(AH97,'Primary - GRADING'!$A$4:$BG997,23,))</f>
        <v>#N/A</v>
      </c>
      <c r="AM97" s="153" t="str">
        <f>IFS(AK97="NMA",VLOOKUP(AH97,'Primary - GRADING'!$A$4:$BG997,52,),AK97="DIRECT",VLOOKUP(AH97,'Primary - GRADING'!$A$4:$BG997,9,),AK97="INDIRECT",VLOOKUP(AH97,'Primary - GRADING'!$A$4:$BG997,24,))</f>
        <v>#N/A</v>
      </c>
      <c r="AN97" s="153" t="str">
        <f>IFS(AK97="NMA",VLOOKUP(AH97,'Primary - GRADING'!$A$4:$BG997,53,),AK97="DIRECT",VLOOKUP(AH97,'Primary - GRADING'!$A$4:$BG997,10,),AK97="INDIRECT",VLOOKUP(AH97,'Primary - GRADING'!$A$4:$BG997,25,))</f>
        <v>#N/A</v>
      </c>
      <c r="AO97" s="153" t="str">
        <f t="shared" si="8"/>
        <v>#N/A</v>
      </c>
      <c r="AT97" s="153" t="str">
        <f t="shared" si="9"/>
        <v>#N/A</v>
      </c>
      <c r="AV97" s="153" t="str">
        <f>VLOOKUP(AU97,'Primary - GRADING'!$A$4:$C997,2,)</f>
        <v>#N/A</v>
      </c>
      <c r="AW97" s="153" t="str">
        <f>VLOOKUP(AU97,'Primary - GRADING'!$A$4:$C997,3,)</f>
        <v>#N/A</v>
      </c>
      <c r="AX97" s="153" t="str">
        <f>VLOOKUP(AU97,'Primary - GRADING'!$A$4:$BG997,59,)</f>
        <v>#N/A</v>
      </c>
      <c r="AY97" s="153" t="str">
        <f>IFS(AX97="NMA",VLOOKUP(AU97,'Primary - GRADING'!$A$4:$BG997,51,),AX97="DIRECT",VLOOKUP(AU97,'Primary - GRADING'!$A$4:$BG997,8,),AX97="INDIRECT",VLOOKUP(AU97,'Primary - GRADING'!$A$4:$BG997,23,))</f>
        <v>#N/A</v>
      </c>
      <c r="AZ97" s="153" t="str">
        <f>IFS(AX97="NMA",VLOOKUP(AU97,'Primary - GRADING'!$A$4:$BG997,52,),AX97="DIRECT",VLOOKUP(AU97,'Primary - GRADING'!$A$4:$BG997,9,),AX97="INDIRECT",VLOOKUP(AU97,'Primary - GRADING'!$A$4:$BG997,24,))</f>
        <v>#N/A</v>
      </c>
      <c r="BA97" s="153" t="str">
        <f>IFS(AX97="NMA",VLOOKUP(AU97,'Primary - GRADING'!$A$4:$BG997,53,),AX97="DIRECT",VLOOKUP(AU97,'Primary - GRADING'!$A$4:$BG997,10,),AX97="INDIRECT",VLOOKUP(AU97,'Primary - GRADING'!$A$4:$BG997,25,))</f>
        <v>#N/A</v>
      </c>
      <c r="BB97" s="153" t="str">
        <f t="shared" si="10"/>
        <v>#N/A</v>
      </c>
      <c r="BE97" s="153" t="str">
        <f t="shared" si="11"/>
        <v/>
      </c>
      <c r="BG97" s="153" t="str">
        <f t="shared" si="12"/>
        <v>#N/A</v>
      </c>
      <c r="BI97" s="153" t="str">
        <f t="shared" si="13"/>
        <v>#N/A</v>
      </c>
      <c r="BK97" s="153" t="str">
        <f t="shared" si="14"/>
        <v>#N/A</v>
      </c>
      <c r="BM97" s="153" t="str">
        <f t="shared" si="15"/>
        <v>#N/A</v>
      </c>
    </row>
    <row r="98" ht="15.75" customHeight="1">
      <c r="B98" s="160" t="str">
        <f t="shared" si="1"/>
        <v>#N/A</v>
      </c>
      <c r="C98" s="160" t="str">
        <f t="shared" si="2"/>
        <v>#N/A</v>
      </c>
      <c r="D98" s="160" t="str">
        <f t="shared" si="3"/>
        <v>#N/A</v>
      </c>
      <c r="E98" s="161" t="str">
        <f t="shared" si="4"/>
        <v>#N/A</v>
      </c>
      <c r="F98" s="153" t="str">
        <f t="shared" si="17"/>
        <v>#N/A</v>
      </c>
      <c r="G98" s="153" t="str">
        <f t="shared" si="6"/>
        <v>#N/A</v>
      </c>
      <c r="H98" s="156" t="str">
        <f t="array" ref="H98">INDEX('Primary - GRADING'!$A$1:$BG997,MATCH($A98,'Primary - GRADING'!$B:$B,0),59)</f>
        <v>#N/A</v>
      </c>
      <c r="I98" s="153" t="str">
        <f t="array" ref="I98">INDEX('Primary - GRADING'!$A$1:$CP997,MATCH($A98,'Primary - GRADING'!$CP:$CP,0),48)</f>
        <v>#N/A</v>
      </c>
      <c r="J98" s="153" t="str">
        <f t="array" ref="J98">INDEX('Primary - GRADING'!$A$1:$CP997,MATCH($A98,'Primary - GRADING'!$CP:$CP,0),49)</f>
        <v>#N/A</v>
      </c>
      <c r="K98" s="153" t="str">
        <f t="array" ref="K98">INDEX('Primary - GRADING'!$A$1:$CP997,MATCH($A98,'Primary - GRADING'!$CP:$CP,0),50)</f>
        <v>#N/A</v>
      </c>
      <c r="L98" s="153" t="str">
        <f t="array" ref="L98">INDEX('Primary - GRADING'!$A$1:$CP997,MATCH($A98,'Primary - GRADING'!$CP:$CP,0),51)</f>
        <v>#N/A</v>
      </c>
      <c r="M98" s="153" t="str">
        <f t="array" ref="M98">INDEX('Primary - GRADING'!$A$1:$CP997,MATCH($A98,'Primary - GRADING'!$CP:$CP,0),52)</f>
        <v>#N/A</v>
      </c>
      <c r="N98" s="153" t="str">
        <f t="array" ref="N98">INDEX('Primary - GRADING'!$A$1:$CP997,MATCH($A98,'Primary - GRADING'!$CP:$CP,0),53)</f>
        <v>#N/A</v>
      </c>
      <c r="O98" s="153" t="str">
        <f t="array" ref="O98">INDEX('Primary - GRADING'!$A$1:$CP997,MATCH($A98,'Primary - GRADING'!$CP:$CP,0),58)</f>
        <v>#N/A</v>
      </c>
      <c r="P98" s="153" t="str">
        <f t="array" ref="P98">INDEX('Primary - GRADING'!$A$1:$CP997,MATCH($A98,'Primary - GRADING'!$CP:$CP,0),5)</f>
        <v>#N/A</v>
      </c>
      <c r="Q98" s="153" t="str">
        <f t="array" ref="Q98">INDEX('Primary - GRADING'!$A$1:$CP997,MATCH($A98,'Primary - GRADING'!$CP:$CP,0),6)</f>
        <v>#N/A</v>
      </c>
      <c r="R98" s="153" t="str">
        <f t="array" ref="R98">INDEX('Primary - GRADING'!$A$1:$CP997,MATCH($A98,'Primary - GRADING'!$CP:$CP,0),7)</f>
        <v>#N/A</v>
      </c>
      <c r="S98" s="153" t="str">
        <f t="array" ref="S98">INDEX('Primary - GRADING'!$A$1:$CP997,MATCH($A98,'Primary - GRADING'!$CP:$CP,0),8)</f>
        <v>#N/A</v>
      </c>
      <c r="T98" s="153" t="str">
        <f t="array" ref="T98">INDEX('Primary - GRADING'!$A$1:$CP997,MATCH($A98,'Primary - GRADING'!$CP:$CP,0),9)</f>
        <v>#N/A</v>
      </c>
      <c r="U98" s="153" t="str">
        <f t="array" ref="U98">INDEX('Primary - GRADING'!$A$1:$CP997,MATCH($A98,'Primary - GRADING'!$CP:$CP,0),10)</f>
        <v>#N/A</v>
      </c>
      <c r="V98" s="153" t="str">
        <f t="array" ref="V98">INDEX('Primary - GRADING'!$A$1:$CP997,MATCH($A98,'Primary - GRADING'!$CP:$CP,0),18)</f>
        <v>#N/A</v>
      </c>
      <c r="W98" s="153" t="str">
        <f t="array" ref="W98">INDEX('Primary - GRADING'!$A$1:$CP997,MATCH($A98,'Primary - GRADING'!$CP:$CP,0),20)</f>
        <v>#N/A</v>
      </c>
      <c r="X98" s="153" t="str">
        <f t="array" ref="X98">INDEX('Primary - GRADING'!$A$1:$CP997,MATCH($A98,'Primary - GRADING'!$CP:$CP,0),21)</f>
        <v>#N/A</v>
      </c>
      <c r="Y98" s="153" t="str">
        <f t="array" ref="Y98">INDEX('Primary - GRADING'!$A$1:$CP997,MATCH($A98,'Primary - GRADING'!$CP:$CP,0),22)</f>
        <v>#N/A</v>
      </c>
      <c r="Z98" s="165" t="str">
        <f t="array" ref="Z98">INDEX('Primary - GRADING'!$A$1:$CP997,MATCH($A98,'Primary - GRADING'!$CP:$CP,0),23)</f>
        <v>#N/A</v>
      </c>
      <c r="AA98" s="153" t="str">
        <f t="array" ref="AA98">INDEX('Primary - GRADING'!$A$1:$CP997,MATCH($A98,'Primary - GRADING'!$CP:$CP,0),24)</f>
        <v>#N/A</v>
      </c>
      <c r="AB98" s="153" t="str">
        <f t="array" ref="AB98">INDEX('Primary - GRADING'!$A$1:$CP997,MATCH($A98,'Primary - GRADING'!$CP:$CP,0),25)</f>
        <v>#N/A</v>
      </c>
      <c r="AC98" s="153" t="str">
        <f t="array" ref="AC98">INDEX('Primary - GRADING'!$A$1:$CP997,MATCH($A98,'Primary - GRADING'!$CP:$CP,0),46)</f>
        <v>#N/A</v>
      </c>
      <c r="AG98" s="153" t="str">
        <f t="shared" si="7"/>
        <v>#N/A</v>
      </c>
      <c r="AI98" s="153" t="str">
        <f>VLOOKUP(AH98,'Primary - GRADING'!$A$4:$C997,2,)</f>
        <v>#N/A</v>
      </c>
      <c r="AJ98" s="153" t="str">
        <f>VLOOKUP(AH98,'Primary - GRADING'!$A$4:$C997,3,)</f>
        <v>#N/A</v>
      </c>
      <c r="AK98" s="153" t="str">
        <f>VLOOKUP(AH98,'Primary - GRADING'!$A$4:$BG997,59,)</f>
        <v>#N/A</v>
      </c>
      <c r="AL98" s="153" t="str">
        <f>IFS(AK98="NMA",VLOOKUP(AH98,'Primary - GRADING'!$A$4:$BG997,51,),AK98="DIRECT",VLOOKUP(AH98,'Primary - GRADING'!$A$4:$BG997,8,),AK98="INDIRECT",VLOOKUP(AH98,'Primary - GRADING'!$A$4:$BG997,23,))</f>
        <v>#N/A</v>
      </c>
      <c r="AM98" s="153" t="str">
        <f>IFS(AK98="NMA",VLOOKUP(AH98,'Primary - GRADING'!$A$4:$BG997,52,),AK98="DIRECT",VLOOKUP(AH98,'Primary - GRADING'!$A$4:$BG997,9,),AK98="INDIRECT",VLOOKUP(AH98,'Primary - GRADING'!$A$4:$BG997,24,))</f>
        <v>#N/A</v>
      </c>
      <c r="AN98" s="153" t="str">
        <f>IFS(AK98="NMA",VLOOKUP(AH98,'Primary - GRADING'!$A$4:$BG997,53,),AK98="DIRECT",VLOOKUP(AH98,'Primary - GRADING'!$A$4:$BG997,10,),AK98="INDIRECT",VLOOKUP(AH98,'Primary - GRADING'!$A$4:$BG997,25,))</f>
        <v>#N/A</v>
      </c>
      <c r="AO98" s="153" t="str">
        <f t="shared" si="8"/>
        <v>#N/A</v>
      </c>
      <c r="AT98" s="153" t="str">
        <f t="shared" si="9"/>
        <v>#N/A</v>
      </c>
      <c r="AV98" s="153" t="str">
        <f>VLOOKUP(AU98,'Primary - GRADING'!$A$4:$C997,2,)</f>
        <v>#N/A</v>
      </c>
      <c r="AW98" s="153" t="str">
        <f>VLOOKUP(AU98,'Primary - GRADING'!$A$4:$C997,3,)</f>
        <v>#N/A</v>
      </c>
      <c r="AX98" s="153" t="str">
        <f>VLOOKUP(AU98,'Primary - GRADING'!$A$4:$BG997,59,)</f>
        <v>#N/A</v>
      </c>
      <c r="AY98" s="153" t="str">
        <f>IFS(AX98="NMA",VLOOKUP(AU98,'Primary - GRADING'!$A$4:$BG997,51,),AX98="DIRECT",VLOOKUP(AU98,'Primary - GRADING'!$A$4:$BG997,8,),AX98="INDIRECT",VLOOKUP(AU98,'Primary - GRADING'!$A$4:$BG997,23,))</f>
        <v>#N/A</v>
      </c>
      <c r="AZ98" s="153" t="str">
        <f>IFS(AX98="NMA",VLOOKUP(AU98,'Primary - GRADING'!$A$4:$BG997,52,),AX98="DIRECT",VLOOKUP(AU98,'Primary - GRADING'!$A$4:$BG997,9,),AX98="INDIRECT",VLOOKUP(AU98,'Primary - GRADING'!$A$4:$BG997,24,))</f>
        <v>#N/A</v>
      </c>
      <c r="BA98" s="153" t="str">
        <f>IFS(AX98="NMA",VLOOKUP(AU98,'Primary - GRADING'!$A$4:$BG997,53,),AX98="DIRECT",VLOOKUP(AU98,'Primary - GRADING'!$A$4:$BG997,10,),AX98="INDIRECT",VLOOKUP(AU98,'Primary - GRADING'!$A$4:$BG997,25,))</f>
        <v>#N/A</v>
      </c>
      <c r="BB98" s="153" t="str">
        <f t="shared" si="10"/>
        <v>#N/A</v>
      </c>
      <c r="BE98" s="153" t="str">
        <f t="shared" si="11"/>
        <v/>
      </c>
      <c r="BG98" s="153" t="str">
        <f t="shared" si="12"/>
        <v>#N/A</v>
      </c>
      <c r="BI98" s="153" t="str">
        <f t="shared" si="13"/>
        <v>#N/A</v>
      </c>
      <c r="BK98" s="153" t="str">
        <f t="shared" si="14"/>
        <v>#N/A</v>
      </c>
      <c r="BM98" s="153" t="str">
        <f t="shared" si="15"/>
        <v>#N/A</v>
      </c>
    </row>
    <row r="99" ht="15.75" customHeight="1">
      <c r="B99" s="160" t="str">
        <f t="shared" si="1"/>
        <v>#N/A</v>
      </c>
      <c r="C99" s="160" t="str">
        <f t="shared" si="2"/>
        <v>#N/A</v>
      </c>
      <c r="D99" s="160" t="str">
        <f t="shared" si="3"/>
        <v>#N/A</v>
      </c>
      <c r="E99" s="161" t="str">
        <f t="shared" si="4"/>
        <v>#N/A</v>
      </c>
      <c r="F99" s="153" t="str">
        <f t="shared" si="17"/>
        <v>#N/A</v>
      </c>
      <c r="G99" s="153" t="str">
        <f t="shared" si="6"/>
        <v>#N/A</v>
      </c>
      <c r="H99" s="156" t="str">
        <f t="array" ref="H99">INDEX('Primary - GRADING'!$A$1:$BG997,MATCH($A99,'Primary - GRADING'!$B:$B,0),59)</f>
        <v>#N/A</v>
      </c>
      <c r="I99" s="153" t="str">
        <f t="array" ref="I99">INDEX('Primary - GRADING'!$A$1:$CP997,MATCH($A99,'Primary - GRADING'!$CP:$CP,0),48)</f>
        <v>#N/A</v>
      </c>
      <c r="J99" s="153" t="str">
        <f t="array" ref="J99">INDEX('Primary - GRADING'!$A$1:$CP997,MATCH($A99,'Primary - GRADING'!$CP:$CP,0),49)</f>
        <v>#N/A</v>
      </c>
      <c r="K99" s="153" t="str">
        <f t="array" ref="K99">INDEX('Primary - GRADING'!$A$1:$CP997,MATCH($A99,'Primary - GRADING'!$CP:$CP,0),50)</f>
        <v>#N/A</v>
      </c>
      <c r="L99" s="153" t="str">
        <f t="array" ref="L99">INDEX('Primary - GRADING'!$A$1:$CP997,MATCH($A99,'Primary - GRADING'!$CP:$CP,0),51)</f>
        <v>#N/A</v>
      </c>
      <c r="M99" s="153" t="str">
        <f t="array" ref="M99">INDEX('Primary - GRADING'!$A$1:$CP997,MATCH($A99,'Primary - GRADING'!$CP:$CP,0),52)</f>
        <v>#N/A</v>
      </c>
      <c r="N99" s="153" t="str">
        <f t="array" ref="N99">INDEX('Primary - GRADING'!$A$1:$CP997,MATCH($A99,'Primary - GRADING'!$CP:$CP,0),53)</f>
        <v>#N/A</v>
      </c>
      <c r="O99" s="153" t="str">
        <f t="array" ref="O99">INDEX('Primary - GRADING'!$A$1:$CP997,MATCH($A99,'Primary - GRADING'!$CP:$CP,0),58)</f>
        <v>#N/A</v>
      </c>
      <c r="P99" s="153" t="str">
        <f t="array" ref="P99">INDEX('Primary - GRADING'!$A$1:$CP997,MATCH($A99,'Primary - GRADING'!$CP:$CP,0),5)</f>
        <v>#N/A</v>
      </c>
      <c r="Q99" s="153" t="str">
        <f t="array" ref="Q99">INDEX('Primary - GRADING'!$A$1:$CP997,MATCH($A99,'Primary - GRADING'!$CP:$CP,0),6)</f>
        <v>#N/A</v>
      </c>
      <c r="R99" s="153" t="str">
        <f t="array" ref="R99">INDEX('Primary - GRADING'!$A$1:$CP997,MATCH($A99,'Primary - GRADING'!$CP:$CP,0),7)</f>
        <v>#N/A</v>
      </c>
      <c r="S99" s="153" t="str">
        <f t="array" ref="S99">INDEX('Primary - GRADING'!$A$1:$CP997,MATCH($A99,'Primary - GRADING'!$CP:$CP,0),8)</f>
        <v>#N/A</v>
      </c>
      <c r="T99" s="153" t="str">
        <f t="array" ref="T99">INDEX('Primary - GRADING'!$A$1:$CP997,MATCH($A99,'Primary - GRADING'!$CP:$CP,0),9)</f>
        <v>#N/A</v>
      </c>
      <c r="U99" s="153" t="str">
        <f t="array" ref="U99">INDEX('Primary - GRADING'!$A$1:$CP997,MATCH($A99,'Primary - GRADING'!$CP:$CP,0),10)</f>
        <v>#N/A</v>
      </c>
      <c r="V99" s="153" t="str">
        <f t="array" ref="V99">INDEX('Primary - GRADING'!$A$1:$CP997,MATCH($A99,'Primary - GRADING'!$CP:$CP,0),18)</f>
        <v>#N/A</v>
      </c>
      <c r="W99" s="153" t="str">
        <f t="array" ref="W99">INDEX('Primary - GRADING'!$A$1:$CP997,MATCH($A99,'Primary - GRADING'!$CP:$CP,0),20)</f>
        <v>#N/A</v>
      </c>
      <c r="X99" s="153" t="str">
        <f t="array" ref="X99">INDEX('Primary - GRADING'!$A$1:$CP997,MATCH($A99,'Primary - GRADING'!$CP:$CP,0),21)</f>
        <v>#N/A</v>
      </c>
      <c r="Y99" s="153" t="str">
        <f t="array" ref="Y99">INDEX('Primary - GRADING'!$A$1:$CP997,MATCH($A99,'Primary - GRADING'!$CP:$CP,0),22)</f>
        <v>#N/A</v>
      </c>
      <c r="Z99" s="165" t="str">
        <f t="array" ref="Z99">INDEX('Primary - GRADING'!$A$1:$CP997,MATCH($A99,'Primary - GRADING'!$CP:$CP,0),23)</f>
        <v>#N/A</v>
      </c>
      <c r="AA99" s="153" t="str">
        <f t="array" ref="AA99">INDEX('Primary - GRADING'!$A$1:$CP997,MATCH($A99,'Primary - GRADING'!$CP:$CP,0),24)</f>
        <v>#N/A</v>
      </c>
      <c r="AB99" s="153" t="str">
        <f t="array" ref="AB99">INDEX('Primary - GRADING'!$A$1:$CP997,MATCH($A99,'Primary - GRADING'!$CP:$CP,0),25)</f>
        <v>#N/A</v>
      </c>
      <c r="AC99" s="153" t="str">
        <f t="array" ref="AC99">INDEX('Primary - GRADING'!$A$1:$CP997,MATCH($A99,'Primary - GRADING'!$CP:$CP,0),46)</f>
        <v>#N/A</v>
      </c>
      <c r="AG99" s="153" t="str">
        <f t="shared" si="7"/>
        <v>#N/A</v>
      </c>
      <c r="AI99" s="153" t="str">
        <f>VLOOKUP(AH99,'Primary - GRADING'!$A$4:$C997,2,)</f>
        <v>#N/A</v>
      </c>
      <c r="AJ99" s="153" t="str">
        <f>VLOOKUP(AH99,'Primary - GRADING'!$A$4:$C997,3,)</f>
        <v>#N/A</v>
      </c>
      <c r="AK99" s="153" t="str">
        <f>VLOOKUP(AH99,'Primary - GRADING'!$A$4:$BG997,59,)</f>
        <v>#N/A</v>
      </c>
      <c r="AL99" s="153" t="str">
        <f>IFS(AK99="NMA",VLOOKUP(AH99,'Primary - GRADING'!$A$4:$BG997,51,),AK99="DIRECT",VLOOKUP(AH99,'Primary - GRADING'!$A$4:$BG997,8,),AK99="INDIRECT",VLOOKUP(AH99,'Primary - GRADING'!$A$4:$BG997,23,))</f>
        <v>#N/A</v>
      </c>
      <c r="AM99" s="153" t="str">
        <f>IFS(AK99="NMA",VLOOKUP(AH99,'Primary - GRADING'!$A$4:$BG997,52,),AK99="DIRECT",VLOOKUP(AH99,'Primary - GRADING'!$A$4:$BG997,9,),AK99="INDIRECT",VLOOKUP(AH99,'Primary - GRADING'!$A$4:$BG997,24,))</f>
        <v>#N/A</v>
      </c>
      <c r="AN99" s="153" t="str">
        <f>IFS(AK99="NMA",VLOOKUP(AH99,'Primary - GRADING'!$A$4:$BG997,53,),AK99="DIRECT",VLOOKUP(AH99,'Primary - GRADING'!$A$4:$BG997,10,),AK99="INDIRECT",VLOOKUP(AH99,'Primary - GRADING'!$A$4:$BG997,25,))</f>
        <v>#N/A</v>
      </c>
      <c r="AO99" s="153" t="str">
        <f t="shared" si="8"/>
        <v>#N/A</v>
      </c>
      <c r="AT99" s="153" t="str">
        <f t="shared" si="9"/>
        <v>#N/A</v>
      </c>
      <c r="AV99" s="153" t="str">
        <f>VLOOKUP(AU99,'Primary - GRADING'!$A$4:$C997,2,)</f>
        <v>#N/A</v>
      </c>
      <c r="AW99" s="153" t="str">
        <f>VLOOKUP(AU99,'Primary - GRADING'!$A$4:$C997,3,)</f>
        <v>#N/A</v>
      </c>
      <c r="AX99" s="153" t="str">
        <f>VLOOKUP(AU99,'Primary - GRADING'!$A$4:$BG997,59,)</f>
        <v>#N/A</v>
      </c>
      <c r="AY99" s="153" t="str">
        <f>IFS(AX99="NMA",VLOOKUP(AU99,'Primary - GRADING'!$A$4:$BG997,51,),AX99="DIRECT",VLOOKUP(AU99,'Primary - GRADING'!$A$4:$BG997,8,),AX99="INDIRECT",VLOOKUP(AU99,'Primary - GRADING'!$A$4:$BG997,23,))</f>
        <v>#N/A</v>
      </c>
      <c r="AZ99" s="153" t="str">
        <f>IFS(AX99="NMA",VLOOKUP(AU99,'Primary - GRADING'!$A$4:$BG997,52,),AX99="DIRECT",VLOOKUP(AU99,'Primary - GRADING'!$A$4:$BG997,9,),AX99="INDIRECT",VLOOKUP(AU99,'Primary - GRADING'!$A$4:$BG997,24,))</f>
        <v>#N/A</v>
      </c>
      <c r="BA99" s="153" t="str">
        <f>IFS(AX99="NMA",VLOOKUP(AU99,'Primary - GRADING'!$A$4:$BG997,53,),AX99="DIRECT",VLOOKUP(AU99,'Primary - GRADING'!$A$4:$BG997,10,),AX99="INDIRECT",VLOOKUP(AU99,'Primary - GRADING'!$A$4:$BG997,25,))</f>
        <v>#N/A</v>
      </c>
      <c r="BB99" s="153" t="str">
        <f t="shared" si="10"/>
        <v>#N/A</v>
      </c>
      <c r="BE99" s="153" t="str">
        <f t="shared" si="11"/>
        <v/>
      </c>
      <c r="BG99" s="153" t="str">
        <f t="shared" si="12"/>
        <v>#N/A</v>
      </c>
      <c r="BI99" s="153" t="str">
        <f t="shared" si="13"/>
        <v>#N/A</v>
      </c>
      <c r="BK99" s="153" t="str">
        <f t="shared" si="14"/>
        <v>#N/A</v>
      </c>
      <c r="BM99" s="153" t="str">
        <f t="shared" si="15"/>
        <v>#N/A</v>
      </c>
    </row>
    <row r="100" ht="15.75" customHeight="1">
      <c r="B100" s="160" t="str">
        <f t="shared" si="1"/>
        <v>#N/A</v>
      </c>
      <c r="C100" s="160" t="str">
        <f t="shared" si="2"/>
        <v>#N/A</v>
      </c>
      <c r="D100" s="160" t="str">
        <f t="shared" si="3"/>
        <v>#N/A</v>
      </c>
      <c r="E100" s="161" t="str">
        <f t="shared" si="4"/>
        <v>#N/A</v>
      </c>
      <c r="F100" s="153" t="str">
        <f t="shared" si="17"/>
        <v>#N/A</v>
      </c>
      <c r="G100" s="153" t="str">
        <f t="shared" si="6"/>
        <v>#N/A</v>
      </c>
      <c r="H100" s="156" t="str">
        <f t="array" ref="H100">INDEX('Primary - GRADING'!$A$1:$BG997,MATCH($A100,'Primary - GRADING'!$B:$B,0),59)</f>
        <v>#N/A</v>
      </c>
      <c r="I100" s="153" t="str">
        <f t="array" ref="I100">INDEX('Primary - GRADING'!$A$1:$CP997,MATCH($A100,'Primary - GRADING'!$CP:$CP,0),48)</f>
        <v>#N/A</v>
      </c>
      <c r="J100" s="153" t="str">
        <f t="array" ref="J100">INDEX('Primary - GRADING'!$A$1:$CP997,MATCH($A100,'Primary - GRADING'!$CP:$CP,0),49)</f>
        <v>#N/A</v>
      </c>
      <c r="K100" s="153" t="str">
        <f t="array" ref="K100">INDEX('Primary - GRADING'!$A$1:$CP997,MATCH($A100,'Primary - GRADING'!$CP:$CP,0),50)</f>
        <v>#N/A</v>
      </c>
      <c r="L100" s="153" t="str">
        <f t="array" ref="L100">INDEX('Primary - GRADING'!$A$1:$CP997,MATCH($A100,'Primary - GRADING'!$CP:$CP,0),51)</f>
        <v>#N/A</v>
      </c>
      <c r="M100" s="153" t="str">
        <f t="array" ref="M100">INDEX('Primary - GRADING'!$A$1:$CP997,MATCH($A100,'Primary - GRADING'!$CP:$CP,0),52)</f>
        <v>#N/A</v>
      </c>
      <c r="N100" s="153" t="str">
        <f t="array" ref="N100">INDEX('Primary - GRADING'!$A$1:$CP997,MATCH($A100,'Primary - GRADING'!$CP:$CP,0),53)</f>
        <v>#N/A</v>
      </c>
      <c r="O100" s="153" t="str">
        <f t="array" ref="O100">INDEX('Primary - GRADING'!$A$1:$CP997,MATCH($A100,'Primary - GRADING'!$CP:$CP,0),58)</f>
        <v>#N/A</v>
      </c>
      <c r="P100" s="153" t="str">
        <f t="array" ref="P100">INDEX('Primary - GRADING'!$A$1:$CP997,MATCH($A100,'Primary - GRADING'!$CP:$CP,0),5)</f>
        <v>#N/A</v>
      </c>
      <c r="Q100" s="153" t="str">
        <f t="array" ref="Q100">INDEX('Primary - GRADING'!$A$1:$CP997,MATCH($A100,'Primary - GRADING'!$CP:$CP,0),6)</f>
        <v>#N/A</v>
      </c>
      <c r="R100" s="153" t="str">
        <f t="array" ref="R100">INDEX('Primary - GRADING'!$A$1:$CP997,MATCH($A100,'Primary - GRADING'!$CP:$CP,0),7)</f>
        <v>#N/A</v>
      </c>
      <c r="S100" s="153" t="str">
        <f t="array" ref="S100">INDEX('Primary - GRADING'!$A$1:$CP997,MATCH($A100,'Primary - GRADING'!$CP:$CP,0),8)</f>
        <v>#N/A</v>
      </c>
      <c r="T100" s="153" t="str">
        <f t="array" ref="T100">INDEX('Primary - GRADING'!$A$1:$CP997,MATCH($A100,'Primary - GRADING'!$CP:$CP,0),9)</f>
        <v>#N/A</v>
      </c>
      <c r="U100" s="153" t="str">
        <f t="array" ref="U100">INDEX('Primary - GRADING'!$A$1:$CP997,MATCH($A100,'Primary - GRADING'!$CP:$CP,0),10)</f>
        <v>#N/A</v>
      </c>
      <c r="V100" s="153" t="str">
        <f t="array" ref="V100">INDEX('Primary - GRADING'!$A$1:$CP997,MATCH($A100,'Primary - GRADING'!$CP:$CP,0),18)</f>
        <v>#N/A</v>
      </c>
      <c r="W100" s="153" t="str">
        <f t="array" ref="W100">INDEX('Primary - GRADING'!$A$1:$CP997,MATCH($A100,'Primary - GRADING'!$CP:$CP,0),20)</f>
        <v>#N/A</v>
      </c>
      <c r="X100" s="153" t="str">
        <f t="array" ref="X100">INDEX('Primary - GRADING'!$A$1:$CP997,MATCH($A100,'Primary - GRADING'!$CP:$CP,0),21)</f>
        <v>#N/A</v>
      </c>
      <c r="Y100" s="153" t="str">
        <f t="array" ref="Y100">INDEX('Primary - GRADING'!$A$1:$CP997,MATCH($A100,'Primary - GRADING'!$CP:$CP,0),22)</f>
        <v>#N/A</v>
      </c>
      <c r="Z100" s="165" t="str">
        <f t="array" ref="Z100">INDEX('Primary - GRADING'!$A$1:$CP997,MATCH($A100,'Primary - GRADING'!$CP:$CP,0),23)</f>
        <v>#N/A</v>
      </c>
      <c r="AA100" s="153" t="str">
        <f t="array" ref="AA100">INDEX('Primary - GRADING'!$A$1:$CP997,MATCH($A100,'Primary - GRADING'!$CP:$CP,0),24)</f>
        <v>#N/A</v>
      </c>
      <c r="AB100" s="153" t="str">
        <f t="array" ref="AB100">INDEX('Primary - GRADING'!$A$1:$CP997,MATCH($A100,'Primary - GRADING'!$CP:$CP,0),25)</f>
        <v>#N/A</v>
      </c>
      <c r="AC100" s="153" t="str">
        <f t="array" ref="AC100">INDEX('Primary - GRADING'!$A$1:$CP997,MATCH($A100,'Primary - GRADING'!$CP:$CP,0),46)</f>
        <v>#N/A</v>
      </c>
      <c r="AG100" s="153" t="str">
        <f t="shared" si="7"/>
        <v>#N/A</v>
      </c>
      <c r="AI100" s="153" t="str">
        <f>VLOOKUP(AH100,'Primary - GRADING'!$A$4:$C997,2,)</f>
        <v>#N/A</v>
      </c>
      <c r="AJ100" s="153" t="str">
        <f>VLOOKUP(AH100,'Primary - GRADING'!$A$4:$C997,3,)</f>
        <v>#N/A</v>
      </c>
      <c r="AK100" s="153" t="str">
        <f>VLOOKUP(AH100,'Primary - GRADING'!$A$4:$BG997,59,)</f>
        <v>#N/A</v>
      </c>
      <c r="AL100" s="153" t="str">
        <f>IFS(AK100="NMA",VLOOKUP(AH100,'Primary - GRADING'!$A$4:$BG997,51,),AK100="DIRECT",VLOOKUP(AH100,'Primary - GRADING'!$A$4:$BG997,8,),AK100="INDIRECT",VLOOKUP(AH100,'Primary - GRADING'!$A$4:$BG997,23,))</f>
        <v>#N/A</v>
      </c>
      <c r="AM100" s="153" t="str">
        <f>IFS(AK100="NMA",VLOOKUP(AH100,'Primary - GRADING'!$A$4:$BG997,52,),AK100="DIRECT",VLOOKUP(AH100,'Primary - GRADING'!$A$4:$BG997,9,),AK100="INDIRECT",VLOOKUP(AH100,'Primary - GRADING'!$A$4:$BG997,24,))</f>
        <v>#N/A</v>
      </c>
      <c r="AN100" s="153" t="str">
        <f>IFS(AK100="NMA",VLOOKUP(AH100,'Primary - GRADING'!$A$4:$BG997,53,),AK100="DIRECT",VLOOKUP(AH100,'Primary - GRADING'!$A$4:$BG997,10,),AK100="INDIRECT",VLOOKUP(AH100,'Primary - GRADING'!$A$4:$BG997,25,))</f>
        <v>#N/A</v>
      </c>
      <c r="AO100" s="153" t="str">
        <f t="shared" si="8"/>
        <v>#N/A</v>
      </c>
      <c r="AT100" s="153" t="str">
        <f t="shared" si="9"/>
        <v>#N/A</v>
      </c>
      <c r="AV100" s="153" t="str">
        <f>VLOOKUP(AU100,'Primary - GRADING'!$A$4:$C997,2,)</f>
        <v>#N/A</v>
      </c>
      <c r="AW100" s="153" t="str">
        <f>VLOOKUP(AU100,'Primary - GRADING'!$A$4:$C997,3,)</f>
        <v>#N/A</v>
      </c>
      <c r="AX100" s="153" t="str">
        <f>VLOOKUP(AU100,'Primary - GRADING'!$A$4:$BG997,59,)</f>
        <v>#N/A</v>
      </c>
      <c r="AY100" s="153" t="str">
        <f>IFS(AX100="NMA",VLOOKUP(AU100,'Primary - GRADING'!$A$4:$BG997,51,),AX100="DIRECT",VLOOKUP(AU100,'Primary - GRADING'!$A$4:$BG997,8,),AX100="INDIRECT",VLOOKUP(AU100,'Primary - GRADING'!$A$4:$BG997,23,))</f>
        <v>#N/A</v>
      </c>
      <c r="AZ100" s="153" t="str">
        <f>IFS(AX100="NMA",VLOOKUP(AU100,'Primary - GRADING'!$A$4:$BG997,52,),AX100="DIRECT",VLOOKUP(AU100,'Primary - GRADING'!$A$4:$BG997,9,),AX100="INDIRECT",VLOOKUP(AU100,'Primary - GRADING'!$A$4:$BG997,24,))</f>
        <v>#N/A</v>
      </c>
      <c r="BA100" s="153" t="str">
        <f>IFS(AX100="NMA",VLOOKUP(AU100,'Primary - GRADING'!$A$4:$BG997,53,),AX100="DIRECT",VLOOKUP(AU100,'Primary - GRADING'!$A$4:$BG997,10,),AX100="INDIRECT",VLOOKUP(AU100,'Primary - GRADING'!$A$4:$BG997,25,))</f>
        <v>#N/A</v>
      </c>
      <c r="BB100" s="153" t="str">
        <f t="shared" si="10"/>
        <v>#N/A</v>
      </c>
      <c r="BE100" s="153" t="str">
        <f t="shared" si="11"/>
        <v/>
      </c>
      <c r="BG100" s="153" t="str">
        <f t="shared" si="12"/>
        <v>#N/A</v>
      </c>
      <c r="BI100" s="153" t="str">
        <f t="shared" si="13"/>
        <v>#N/A</v>
      </c>
      <c r="BK100" s="153" t="str">
        <f t="shared" si="14"/>
        <v>#N/A</v>
      </c>
      <c r="BM100" s="153" t="str">
        <f t="shared" si="15"/>
        <v>#N/A</v>
      </c>
    </row>
    <row r="101" ht="15.75" customHeight="1">
      <c r="B101" s="160" t="str">
        <f t="shared" si="1"/>
        <v>#N/A</v>
      </c>
      <c r="C101" s="160" t="str">
        <f t="shared" si="2"/>
        <v>#N/A</v>
      </c>
      <c r="D101" s="160" t="str">
        <f t="shared" si="3"/>
        <v>#N/A</v>
      </c>
      <c r="E101" s="161" t="str">
        <f t="shared" si="4"/>
        <v>#N/A</v>
      </c>
      <c r="F101" s="153" t="str">
        <f t="shared" si="17"/>
        <v>#N/A</v>
      </c>
      <c r="G101" s="153" t="str">
        <f t="shared" si="6"/>
        <v>#N/A</v>
      </c>
      <c r="H101" s="156" t="str">
        <f t="array" ref="H101">INDEX('Primary - GRADING'!$A$1:$BG997,MATCH($A101,'Primary - GRADING'!$B:$B,0),59)</f>
        <v>#N/A</v>
      </c>
      <c r="I101" s="153" t="str">
        <f t="array" ref="I101">INDEX('Primary - GRADING'!$A$1:$CP997,MATCH($A101,'Primary - GRADING'!$CP:$CP,0),48)</f>
        <v>#N/A</v>
      </c>
      <c r="J101" s="153" t="str">
        <f t="array" ref="J101">INDEX('Primary - GRADING'!$A$1:$CP997,MATCH($A101,'Primary - GRADING'!$CP:$CP,0),49)</f>
        <v>#N/A</v>
      </c>
      <c r="K101" s="153" t="str">
        <f t="array" ref="K101">INDEX('Primary - GRADING'!$A$1:$CP997,MATCH($A101,'Primary - GRADING'!$CP:$CP,0),50)</f>
        <v>#N/A</v>
      </c>
      <c r="L101" s="153" t="str">
        <f t="array" ref="L101">INDEX('Primary - GRADING'!$A$1:$CP997,MATCH($A101,'Primary - GRADING'!$CP:$CP,0),51)</f>
        <v>#N/A</v>
      </c>
      <c r="M101" s="153" t="str">
        <f t="array" ref="M101">INDEX('Primary - GRADING'!$A$1:$CP997,MATCH($A101,'Primary - GRADING'!$CP:$CP,0),52)</f>
        <v>#N/A</v>
      </c>
      <c r="N101" s="153" t="str">
        <f t="array" ref="N101">INDEX('Primary - GRADING'!$A$1:$CP997,MATCH($A101,'Primary - GRADING'!$CP:$CP,0),53)</f>
        <v>#N/A</v>
      </c>
      <c r="O101" s="153" t="str">
        <f t="array" ref="O101">INDEX('Primary - GRADING'!$A$1:$CP997,MATCH($A101,'Primary - GRADING'!$CP:$CP,0),58)</f>
        <v>#N/A</v>
      </c>
      <c r="P101" s="153" t="str">
        <f t="array" ref="P101">INDEX('Primary - GRADING'!$A$1:$CP997,MATCH($A101,'Primary - GRADING'!$CP:$CP,0),5)</f>
        <v>#N/A</v>
      </c>
      <c r="Q101" s="153" t="str">
        <f t="array" ref="Q101">INDEX('Primary - GRADING'!$A$1:$CP997,MATCH($A101,'Primary - GRADING'!$CP:$CP,0),6)</f>
        <v>#N/A</v>
      </c>
      <c r="R101" s="153" t="str">
        <f t="array" ref="R101">INDEX('Primary - GRADING'!$A$1:$CP997,MATCH($A101,'Primary - GRADING'!$CP:$CP,0),7)</f>
        <v>#N/A</v>
      </c>
      <c r="S101" s="153" t="str">
        <f t="array" ref="S101">INDEX('Primary - GRADING'!$A$1:$CP997,MATCH($A101,'Primary - GRADING'!$CP:$CP,0),8)</f>
        <v>#N/A</v>
      </c>
      <c r="T101" s="153" t="str">
        <f t="array" ref="T101">INDEX('Primary - GRADING'!$A$1:$CP997,MATCH($A101,'Primary - GRADING'!$CP:$CP,0),9)</f>
        <v>#N/A</v>
      </c>
      <c r="U101" s="153" t="str">
        <f t="array" ref="U101">INDEX('Primary - GRADING'!$A$1:$CP997,MATCH($A101,'Primary - GRADING'!$CP:$CP,0),10)</f>
        <v>#N/A</v>
      </c>
      <c r="V101" s="153" t="str">
        <f t="array" ref="V101">INDEX('Primary - GRADING'!$A$1:$CP997,MATCH($A101,'Primary - GRADING'!$CP:$CP,0),18)</f>
        <v>#N/A</v>
      </c>
      <c r="W101" s="153" t="str">
        <f t="array" ref="W101">INDEX('Primary - GRADING'!$A$1:$CP997,MATCH($A101,'Primary - GRADING'!$CP:$CP,0),20)</f>
        <v>#N/A</v>
      </c>
      <c r="X101" s="153" t="str">
        <f t="array" ref="X101">INDEX('Primary - GRADING'!$A$1:$CP997,MATCH($A101,'Primary - GRADING'!$CP:$CP,0),21)</f>
        <v>#N/A</v>
      </c>
      <c r="Y101" s="153" t="str">
        <f t="array" ref="Y101">INDEX('Primary - GRADING'!$A$1:$CP997,MATCH($A101,'Primary - GRADING'!$CP:$CP,0),22)</f>
        <v>#N/A</v>
      </c>
      <c r="Z101" s="165" t="str">
        <f t="array" ref="Z101">INDEX('Primary - GRADING'!$A$1:$CP997,MATCH($A101,'Primary - GRADING'!$CP:$CP,0),23)</f>
        <v>#N/A</v>
      </c>
      <c r="AA101" s="153" t="str">
        <f t="array" ref="AA101">INDEX('Primary - GRADING'!$A$1:$CP997,MATCH($A101,'Primary - GRADING'!$CP:$CP,0),24)</f>
        <v>#N/A</v>
      </c>
      <c r="AB101" s="153" t="str">
        <f t="array" ref="AB101">INDEX('Primary - GRADING'!$A$1:$CP997,MATCH($A101,'Primary - GRADING'!$CP:$CP,0),25)</f>
        <v>#N/A</v>
      </c>
      <c r="AC101" s="153" t="str">
        <f t="array" ref="AC101">INDEX('Primary - GRADING'!$A$1:$CP997,MATCH($A101,'Primary - GRADING'!$CP:$CP,0),46)</f>
        <v>#N/A</v>
      </c>
      <c r="AG101" s="153" t="str">
        <f t="shared" si="7"/>
        <v>#N/A</v>
      </c>
      <c r="AI101" s="153" t="str">
        <f>VLOOKUP(AH101,'Primary - GRADING'!$A$4:$C997,2,)</f>
        <v>#N/A</v>
      </c>
      <c r="AJ101" s="153" t="str">
        <f>VLOOKUP(AH101,'Primary - GRADING'!$A$4:$C997,3,)</f>
        <v>#N/A</v>
      </c>
      <c r="AK101" s="153" t="str">
        <f>VLOOKUP(AH101,'Primary - GRADING'!$A$4:$BG997,59,)</f>
        <v>#N/A</v>
      </c>
      <c r="AL101" s="153" t="str">
        <f>IFS(AK101="NMA",VLOOKUP(AH101,'Primary - GRADING'!$A$4:$BG997,51,),AK101="DIRECT",VLOOKUP(AH101,'Primary - GRADING'!$A$4:$BG997,8,),AK101="INDIRECT",VLOOKUP(AH101,'Primary - GRADING'!$A$4:$BG997,23,))</f>
        <v>#N/A</v>
      </c>
      <c r="AM101" s="153" t="str">
        <f>IFS(AK101="NMA",VLOOKUP(AH101,'Primary - GRADING'!$A$4:$BG997,52,),AK101="DIRECT",VLOOKUP(AH101,'Primary - GRADING'!$A$4:$BG997,9,),AK101="INDIRECT",VLOOKUP(AH101,'Primary - GRADING'!$A$4:$BG997,24,))</f>
        <v>#N/A</v>
      </c>
      <c r="AN101" s="153" t="str">
        <f>IFS(AK101="NMA",VLOOKUP(AH101,'Primary - GRADING'!$A$4:$BG997,53,),AK101="DIRECT",VLOOKUP(AH101,'Primary - GRADING'!$A$4:$BG997,10,),AK101="INDIRECT",VLOOKUP(AH101,'Primary - GRADING'!$A$4:$BG997,25,))</f>
        <v>#N/A</v>
      </c>
      <c r="AO101" s="153" t="str">
        <f t="shared" si="8"/>
        <v>#N/A</v>
      </c>
      <c r="AT101" s="153" t="str">
        <f t="shared" si="9"/>
        <v>#N/A</v>
      </c>
      <c r="AV101" s="153" t="str">
        <f>VLOOKUP(AU101,'Primary - GRADING'!$A$4:$C997,2,)</f>
        <v>#N/A</v>
      </c>
      <c r="AW101" s="153" t="str">
        <f>VLOOKUP(AU101,'Primary - GRADING'!$A$4:$C997,3,)</f>
        <v>#N/A</v>
      </c>
      <c r="AX101" s="153" t="str">
        <f>VLOOKUP(AU101,'Primary - GRADING'!$A$4:$BG997,59,)</f>
        <v>#N/A</v>
      </c>
      <c r="AY101" s="153" t="str">
        <f>IFS(AX101="NMA",VLOOKUP(AU101,'Primary - GRADING'!$A$4:$BG997,51,),AX101="DIRECT",VLOOKUP(AU101,'Primary - GRADING'!$A$4:$BG997,8,),AX101="INDIRECT",VLOOKUP(AU101,'Primary - GRADING'!$A$4:$BG997,23,))</f>
        <v>#N/A</v>
      </c>
      <c r="AZ101" s="153" t="str">
        <f>IFS(AX101="NMA",VLOOKUP(AU101,'Primary - GRADING'!$A$4:$BG997,52,),AX101="DIRECT",VLOOKUP(AU101,'Primary - GRADING'!$A$4:$BG997,9,),AX101="INDIRECT",VLOOKUP(AU101,'Primary - GRADING'!$A$4:$BG997,24,))</f>
        <v>#N/A</v>
      </c>
      <c r="BA101" s="153" t="str">
        <f>IFS(AX101="NMA",VLOOKUP(AU101,'Primary - GRADING'!$A$4:$BG997,53,),AX101="DIRECT",VLOOKUP(AU101,'Primary - GRADING'!$A$4:$BG997,10,),AX101="INDIRECT",VLOOKUP(AU101,'Primary - GRADING'!$A$4:$BG997,25,))</f>
        <v>#N/A</v>
      </c>
      <c r="BB101" s="153" t="str">
        <f t="shared" si="10"/>
        <v>#N/A</v>
      </c>
      <c r="BE101" s="153" t="str">
        <f t="shared" si="11"/>
        <v/>
      </c>
      <c r="BG101" s="153" t="str">
        <f t="shared" si="12"/>
        <v>#N/A</v>
      </c>
      <c r="BI101" s="153" t="str">
        <f t="shared" si="13"/>
        <v>#N/A</v>
      </c>
      <c r="BK101" s="153" t="str">
        <f t="shared" si="14"/>
        <v>#N/A</v>
      </c>
      <c r="BM101" s="153" t="str">
        <f t="shared" si="15"/>
        <v>#N/A</v>
      </c>
    </row>
    <row r="102" ht="15.75" customHeight="1">
      <c r="B102" s="160" t="str">
        <f t="shared" si="1"/>
        <v>#N/A</v>
      </c>
      <c r="C102" s="160" t="str">
        <f t="shared" si="2"/>
        <v>#N/A</v>
      </c>
      <c r="D102" s="160" t="str">
        <f t="shared" si="3"/>
        <v>#N/A</v>
      </c>
      <c r="E102" s="161" t="str">
        <f t="shared" si="4"/>
        <v>#N/A</v>
      </c>
      <c r="F102" s="153" t="str">
        <f t="shared" si="17"/>
        <v>#N/A</v>
      </c>
      <c r="G102" s="153" t="str">
        <f t="shared" si="6"/>
        <v>#N/A</v>
      </c>
      <c r="H102" s="156" t="str">
        <f t="array" ref="H102">INDEX('Primary - GRADING'!$A$1:$BG997,MATCH($A102,'Primary - GRADING'!$B:$B,0),59)</f>
        <v>#N/A</v>
      </c>
      <c r="I102" s="153" t="str">
        <f t="array" ref="I102">INDEX('Primary - GRADING'!$A$1:$CP997,MATCH($A102,'Primary - GRADING'!$CP:$CP,0),48)</f>
        <v>#N/A</v>
      </c>
      <c r="J102" s="153" t="str">
        <f t="array" ref="J102">INDEX('Primary - GRADING'!$A$1:$CP997,MATCH($A102,'Primary - GRADING'!$CP:$CP,0),49)</f>
        <v>#N/A</v>
      </c>
      <c r="K102" s="153" t="str">
        <f t="array" ref="K102">INDEX('Primary - GRADING'!$A$1:$CP997,MATCH($A102,'Primary - GRADING'!$CP:$CP,0),50)</f>
        <v>#N/A</v>
      </c>
      <c r="L102" s="153" t="str">
        <f t="array" ref="L102">INDEX('Primary - GRADING'!$A$1:$CP997,MATCH($A102,'Primary - GRADING'!$CP:$CP,0),51)</f>
        <v>#N/A</v>
      </c>
      <c r="M102" s="153" t="str">
        <f t="array" ref="M102">INDEX('Primary - GRADING'!$A$1:$CP997,MATCH($A102,'Primary - GRADING'!$CP:$CP,0),52)</f>
        <v>#N/A</v>
      </c>
      <c r="N102" s="153" t="str">
        <f t="array" ref="N102">INDEX('Primary - GRADING'!$A$1:$CP997,MATCH($A102,'Primary - GRADING'!$CP:$CP,0),53)</f>
        <v>#N/A</v>
      </c>
      <c r="O102" s="153" t="str">
        <f t="array" ref="O102">INDEX('Primary - GRADING'!$A$1:$CP997,MATCH($A102,'Primary - GRADING'!$CP:$CP,0),58)</f>
        <v>#N/A</v>
      </c>
      <c r="P102" s="153" t="str">
        <f t="array" ref="P102">INDEX('Primary - GRADING'!$A$1:$CP997,MATCH($A102,'Primary - GRADING'!$CP:$CP,0),5)</f>
        <v>#N/A</v>
      </c>
      <c r="Q102" s="153" t="str">
        <f t="array" ref="Q102">INDEX('Primary - GRADING'!$A$1:$CP997,MATCH($A102,'Primary - GRADING'!$CP:$CP,0),6)</f>
        <v>#N/A</v>
      </c>
      <c r="R102" s="153" t="str">
        <f t="array" ref="R102">INDEX('Primary - GRADING'!$A$1:$CP997,MATCH($A102,'Primary - GRADING'!$CP:$CP,0),7)</f>
        <v>#N/A</v>
      </c>
      <c r="S102" s="153" t="str">
        <f t="array" ref="S102">INDEX('Primary - GRADING'!$A$1:$CP997,MATCH($A102,'Primary - GRADING'!$CP:$CP,0),8)</f>
        <v>#N/A</v>
      </c>
      <c r="T102" s="153" t="str">
        <f t="array" ref="T102">INDEX('Primary - GRADING'!$A$1:$CP997,MATCH($A102,'Primary - GRADING'!$CP:$CP,0),9)</f>
        <v>#N/A</v>
      </c>
      <c r="U102" s="153" t="str">
        <f t="array" ref="U102">INDEX('Primary - GRADING'!$A$1:$CP997,MATCH($A102,'Primary - GRADING'!$CP:$CP,0),10)</f>
        <v>#N/A</v>
      </c>
      <c r="V102" s="153" t="str">
        <f t="array" ref="V102">INDEX('Primary - GRADING'!$A$1:$CP997,MATCH($A102,'Primary - GRADING'!$CP:$CP,0),18)</f>
        <v>#N/A</v>
      </c>
      <c r="W102" s="153" t="str">
        <f t="array" ref="W102">INDEX('Primary - GRADING'!$A$1:$CP997,MATCH($A102,'Primary - GRADING'!$CP:$CP,0),20)</f>
        <v>#N/A</v>
      </c>
      <c r="X102" s="153" t="str">
        <f t="array" ref="X102">INDEX('Primary - GRADING'!$A$1:$CP997,MATCH($A102,'Primary - GRADING'!$CP:$CP,0),21)</f>
        <v>#N/A</v>
      </c>
      <c r="Y102" s="153" t="str">
        <f t="array" ref="Y102">INDEX('Primary - GRADING'!$A$1:$CP997,MATCH($A102,'Primary - GRADING'!$CP:$CP,0),22)</f>
        <v>#N/A</v>
      </c>
      <c r="Z102" s="165" t="str">
        <f t="array" ref="Z102">INDEX('Primary - GRADING'!$A$1:$CP997,MATCH($A102,'Primary - GRADING'!$CP:$CP,0),23)</f>
        <v>#N/A</v>
      </c>
      <c r="AA102" s="153" t="str">
        <f t="array" ref="AA102">INDEX('Primary - GRADING'!$A$1:$CP997,MATCH($A102,'Primary - GRADING'!$CP:$CP,0),24)</f>
        <v>#N/A</v>
      </c>
      <c r="AB102" s="153" t="str">
        <f t="array" ref="AB102">INDEX('Primary - GRADING'!$A$1:$CP997,MATCH($A102,'Primary - GRADING'!$CP:$CP,0),25)</f>
        <v>#N/A</v>
      </c>
      <c r="AC102" s="153" t="str">
        <f t="array" ref="AC102">INDEX('Primary - GRADING'!$A$1:$CP997,MATCH($A102,'Primary - GRADING'!$CP:$CP,0),46)</f>
        <v>#N/A</v>
      </c>
      <c r="AG102" s="153" t="str">
        <f t="shared" si="7"/>
        <v>#N/A</v>
      </c>
      <c r="AI102" s="153" t="str">
        <f>VLOOKUP(AH102,'Primary - GRADING'!$A$4:$C997,2,)</f>
        <v>#N/A</v>
      </c>
      <c r="AJ102" s="153" t="str">
        <f>VLOOKUP(AH102,'Primary - GRADING'!$A$4:$C997,3,)</f>
        <v>#N/A</v>
      </c>
      <c r="AK102" s="153" t="str">
        <f>VLOOKUP(AH102,'Primary - GRADING'!$A$4:$BG997,59,)</f>
        <v>#N/A</v>
      </c>
      <c r="AL102" s="153" t="str">
        <f>IFS(AK102="NMA",VLOOKUP(AH102,'Primary - GRADING'!$A$4:$BG997,51,),AK102="DIRECT",VLOOKUP(AH102,'Primary - GRADING'!$A$4:$BG997,8,),AK102="INDIRECT",VLOOKUP(AH102,'Primary - GRADING'!$A$4:$BG997,23,))</f>
        <v>#N/A</v>
      </c>
      <c r="AM102" s="153" t="str">
        <f>IFS(AK102="NMA",VLOOKUP(AH102,'Primary - GRADING'!$A$4:$BG997,52,),AK102="DIRECT",VLOOKUP(AH102,'Primary - GRADING'!$A$4:$BG997,9,),AK102="INDIRECT",VLOOKUP(AH102,'Primary - GRADING'!$A$4:$BG997,24,))</f>
        <v>#N/A</v>
      </c>
      <c r="AN102" s="153" t="str">
        <f>IFS(AK102="NMA",VLOOKUP(AH102,'Primary - GRADING'!$A$4:$BG997,53,),AK102="DIRECT",VLOOKUP(AH102,'Primary - GRADING'!$A$4:$BG997,10,),AK102="INDIRECT",VLOOKUP(AH102,'Primary - GRADING'!$A$4:$BG997,25,))</f>
        <v>#N/A</v>
      </c>
      <c r="AO102" s="153" t="str">
        <f t="shared" si="8"/>
        <v>#N/A</v>
      </c>
      <c r="AT102" s="153" t="str">
        <f t="shared" si="9"/>
        <v>#N/A</v>
      </c>
      <c r="AV102" s="153" t="str">
        <f>VLOOKUP(AU102,'Primary - GRADING'!$A$4:$C997,2,)</f>
        <v>#N/A</v>
      </c>
      <c r="AW102" s="153" t="str">
        <f>VLOOKUP(AU102,'Primary - GRADING'!$A$4:$C997,3,)</f>
        <v>#N/A</v>
      </c>
      <c r="AX102" s="153" t="str">
        <f>VLOOKUP(AU102,'Primary - GRADING'!$A$4:$BG997,59,)</f>
        <v>#N/A</v>
      </c>
      <c r="AY102" s="153" t="str">
        <f>IFS(AX102="NMA",VLOOKUP(AU102,'Primary - GRADING'!$A$4:$BG997,51,),AX102="DIRECT",VLOOKUP(AU102,'Primary - GRADING'!$A$4:$BG997,8,),AX102="INDIRECT",VLOOKUP(AU102,'Primary - GRADING'!$A$4:$BG997,23,))</f>
        <v>#N/A</v>
      </c>
      <c r="AZ102" s="153" t="str">
        <f>IFS(AX102="NMA",VLOOKUP(AU102,'Primary - GRADING'!$A$4:$BG997,52,),AX102="DIRECT",VLOOKUP(AU102,'Primary - GRADING'!$A$4:$BG997,9,),AX102="INDIRECT",VLOOKUP(AU102,'Primary - GRADING'!$A$4:$BG997,24,))</f>
        <v>#N/A</v>
      </c>
      <c r="BA102" s="153" t="str">
        <f>IFS(AX102="NMA",VLOOKUP(AU102,'Primary - GRADING'!$A$4:$BG997,53,),AX102="DIRECT",VLOOKUP(AU102,'Primary - GRADING'!$A$4:$BG997,10,),AX102="INDIRECT",VLOOKUP(AU102,'Primary - GRADING'!$A$4:$BG997,25,))</f>
        <v>#N/A</v>
      </c>
      <c r="BB102" s="153" t="str">
        <f t="shared" si="10"/>
        <v>#N/A</v>
      </c>
      <c r="BE102" s="153" t="str">
        <f t="shared" si="11"/>
        <v/>
      </c>
      <c r="BG102" s="153" t="str">
        <f t="shared" si="12"/>
        <v>#N/A</v>
      </c>
      <c r="BI102" s="153" t="str">
        <f t="shared" si="13"/>
        <v>#N/A</v>
      </c>
      <c r="BK102" s="153" t="str">
        <f t="shared" si="14"/>
        <v>#N/A</v>
      </c>
      <c r="BM102" s="153" t="str">
        <f t="shared" si="15"/>
        <v>#N/A</v>
      </c>
    </row>
    <row r="103" ht="15.75" customHeight="1">
      <c r="B103" s="160" t="str">
        <f t="shared" si="1"/>
        <v>#N/A</v>
      </c>
      <c r="C103" s="160" t="str">
        <f t="shared" si="2"/>
        <v>#N/A</v>
      </c>
      <c r="D103" s="160" t="str">
        <f t="shared" si="3"/>
        <v>#N/A</v>
      </c>
      <c r="E103" s="161" t="str">
        <f t="shared" si="4"/>
        <v>#N/A</v>
      </c>
      <c r="F103" s="153" t="str">
        <f t="shared" si="17"/>
        <v>#N/A</v>
      </c>
      <c r="G103" s="153" t="str">
        <f t="shared" si="6"/>
        <v>#N/A</v>
      </c>
      <c r="H103" s="156" t="str">
        <f t="array" ref="H103">INDEX('Primary - GRADING'!$A$1:$BG997,MATCH($A103,'Primary - GRADING'!$B:$B,0),59)</f>
        <v>#N/A</v>
      </c>
      <c r="I103" s="153" t="str">
        <f t="array" ref="I103">INDEX('Primary - GRADING'!$A$1:$CP997,MATCH($A103,'Primary - GRADING'!$CP:$CP,0),48)</f>
        <v>#N/A</v>
      </c>
      <c r="J103" s="153" t="str">
        <f t="array" ref="J103">INDEX('Primary - GRADING'!$A$1:$CP997,MATCH($A103,'Primary - GRADING'!$CP:$CP,0),49)</f>
        <v>#N/A</v>
      </c>
      <c r="K103" s="153" t="str">
        <f t="array" ref="K103">INDEX('Primary - GRADING'!$A$1:$CP997,MATCH($A103,'Primary - GRADING'!$CP:$CP,0),50)</f>
        <v>#N/A</v>
      </c>
      <c r="L103" s="153" t="str">
        <f t="array" ref="L103">INDEX('Primary - GRADING'!$A$1:$CP997,MATCH($A103,'Primary - GRADING'!$CP:$CP,0),51)</f>
        <v>#N/A</v>
      </c>
      <c r="M103" s="153" t="str">
        <f t="array" ref="M103">INDEX('Primary - GRADING'!$A$1:$CP997,MATCH($A103,'Primary - GRADING'!$CP:$CP,0),52)</f>
        <v>#N/A</v>
      </c>
      <c r="N103" s="153" t="str">
        <f t="array" ref="N103">INDEX('Primary - GRADING'!$A$1:$CP997,MATCH($A103,'Primary - GRADING'!$CP:$CP,0),53)</f>
        <v>#N/A</v>
      </c>
      <c r="O103" s="153" t="str">
        <f t="array" ref="O103">INDEX('Primary - GRADING'!$A$1:$CP997,MATCH($A103,'Primary - GRADING'!$CP:$CP,0),58)</f>
        <v>#N/A</v>
      </c>
      <c r="P103" s="153" t="str">
        <f t="array" ref="P103">INDEX('Primary - GRADING'!$A$1:$CP997,MATCH($A103,'Primary - GRADING'!$CP:$CP,0),5)</f>
        <v>#N/A</v>
      </c>
      <c r="Q103" s="153" t="str">
        <f t="array" ref="Q103">INDEX('Primary - GRADING'!$A$1:$CP997,MATCH($A103,'Primary - GRADING'!$CP:$CP,0),6)</f>
        <v>#N/A</v>
      </c>
      <c r="R103" s="153" t="str">
        <f t="array" ref="R103">INDEX('Primary - GRADING'!$A$1:$CP997,MATCH($A103,'Primary - GRADING'!$CP:$CP,0),7)</f>
        <v>#N/A</v>
      </c>
      <c r="S103" s="153" t="str">
        <f t="array" ref="S103">INDEX('Primary - GRADING'!$A$1:$CP997,MATCH($A103,'Primary - GRADING'!$CP:$CP,0),8)</f>
        <v>#N/A</v>
      </c>
      <c r="T103" s="153" t="str">
        <f t="array" ref="T103">INDEX('Primary - GRADING'!$A$1:$CP997,MATCH($A103,'Primary - GRADING'!$CP:$CP,0),9)</f>
        <v>#N/A</v>
      </c>
      <c r="U103" s="153" t="str">
        <f t="array" ref="U103">INDEX('Primary - GRADING'!$A$1:$CP997,MATCH($A103,'Primary - GRADING'!$CP:$CP,0),10)</f>
        <v>#N/A</v>
      </c>
      <c r="V103" s="153" t="str">
        <f t="array" ref="V103">INDEX('Primary - GRADING'!$A$1:$CP997,MATCH($A103,'Primary - GRADING'!$CP:$CP,0),18)</f>
        <v>#N/A</v>
      </c>
      <c r="W103" s="153" t="str">
        <f t="array" ref="W103">INDEX('Primary - GRADING'!$A$1:$CP997,MATCH($A103,'Primary - GRADING'!$CP:$CP,0),20)</f>
        <v>#N/A</v>
      </c>
      <c r="X103" s="153" t="str">
        <f t="array" ref="X103">INDEX('Primary - GRADING'!$A$1:$CP997,MATCH($A103,'Primary - GRADING'!$CP:$CP,0),21)</f>
        <v>#N/A</v>
      </c>
      <c r="Y103" s="153" t="str">
        <f t="array" ref="Y103">INDEX('Primary - GRADING'!$A$1:$CP997,MATCH($A103,'Primary - GRADING'!$CP:$CP,0),22)</f>
        <v>#N/A</v>
      </c>
      <c r="Z103" s="165" t="str">
        <f t="array" ref="Z103">INDEX('Primary - GRADING'!$A$1:$CP997,MATCH($A103,'Primary - GRADING'!$CP:$CP,0),23)</f>
        <v>#N/A</v>
      </c>
      <c r="AA103" s="153" t="str">
        <f t="array" ref="AA103">INDEX('Primary - GRADING'!$A$1:$CP997,MATCH($A103,'Primary - GRADING'!$CP:$CP,0),24)</f>
        <v>#N/A</v>
      </c>
      <c r="AB103" s="153" t="str">
        <f t="array" ref="AB103">INDEX('Primary - GRADING'!$A$1:$CP997,MATCH($A103,'Primary - GRADING'!$CP:$CP,0),25)</f>
        <v>#N/A</v>
      </c>
      <c r="AC103" s="153" t="str">
        <f t="array" ref="AC103">INDEX('Primary - GRADING'!$A$1:$CP997,MATCH($A103,'Primary - GRADING'!$CP:$CP,0),46)</f>
        <v>#N/A</v>
      </c>
      <c r="AG103" s="153" t="str">
        <f t="shared" si="7"/>
        <v>#N/A</v>
      </c>
      <c r="AI103" s="153" t="str">
        <f>VLOOKUP(AH103,'Primary - GRADING'!$A$4:$C997,2,)</f>
        <v>#N/A</v>
      </c>
      <c r="AJ103" s="153" t="str">
        <f>VLOOKUP(AH103,'Primary - GRADING'!$A$4:$C997,3,)</f>
        <v>#N/A</v>
      </c>
      <c r="AK103" s="153" t="str">
        <f>VLOOKUP(AH103,'Primary - GRADING'!$A$4:$BG997,59,)</f>
        <v>#N/A</v>
      </c>
      <c r="AL103" s="153" t="str">
        <f>IFS(AK103="NMA",VLOOKUP(AH103,'Primary - GRADING'!$A$4:$BG997,51,),AK103="DIRECT",VLOOKUP(AH103,'Primary - GRADING'!$A$4:$BG997,8,),AK103="INDIRECT",VLOOKUP(AH103,'Primary - GRADING'!$A$4:$BG997,23,))</f>
        <v>#N/A</v>
      </c>
      <c r="AM103" s="153" t="str">
        <f>IFS(AK103="NMA",VLOOKUP(AH103,'Primary - GRADING'!$A$4:$BG997,52,),AK103="DIRECT",VLOOKUP(AH103,'Primary - GRADING'!$A$4:$BG997,9,),AK103="INDIRECT",VLOOKUP(AH103,'Primary - GRADING'!$A$4:$BG997,24,))</f>
        <v>#N/A</v>
      </c>
      <c r="AN103" s="153" t="str">
        <f>IFS(AK103="NMA",VLOOKUP(AH103,'Primary - GRADING'!$A$4:$BG997,53,),AK103="DIRECT",VLOOKUP(AH103,'Primary - GRADING'!$A$4:$BG997,10,),AK103="INDIRECT",VLOOKUP(AH103,'Primary - GRADING'!$A$4:$BG997,25,))</f>
        <v>#N/A</v>
      </c>
      <c r="AO103" s="153" t="str">
        <f t="shared" si="8"/>
        <v>#N/A</v>
      </c>
      <c r="AT103" s="153" t="str">
        <f t="shared" si="9"/>
        <v>#N/A</v>
      </c>
      <c r="AV103" s="153" t="str">
        <f>VLOOKUP(AU103,'Primary - GRADING'!$A$4:$C997,2,)</f>
        <v>#N/A</v>
      </c>
      <c r="AW103" s="153" t="str">
        <f>VLOOKUP(AU103,'Primary - GRADING'!$A$4:$C997,3,)</f>
        <v>#N/A</v>
      </c>
      <c r="AX103" s="153" t="str">
        <f>VLOOKUP(AU103,'Primary - GRADING'!$A$4:$BG997,59,)</f>
        <v>#N/A</v>
      </c>
      <c r="AY103" s="153" t="str">
        <f>IFS(AX103="NMA",VLOOKUP(AU103,'Primary - GRADING'!$A$4:$BG997,51,),AX103="DIRECT",VLOOKUP(AU103,'Primary - GRADING'!$A$4:$BG997,8,),AX103="INDIRECT",VLOOKUP(AU103,'Primary - GRADING'!$A$4:$BG997,23,))</f>
        <v>#N/A</v>
      </c>
      <c r="AZ103" s="153" t="str">
        <f>IFS(AX103="NMA",VLOOKUP(AU103,'Primary - GRADING'!$A$4:$BG997,52,),AX103="DIRECT",VLOOKUP(AU103,'Primary - GRADING'!$A$4:$BG997,9,),AX103="INDIRECT",VLOOKUP(AU103,'Primary - GRADING'!$A$4:$BG997,24,))</f>
        <v>#N/A</v>
      </c>
      <c r="BA103" s="153" t="str">
        <f>IFS(AX103="NMA",VLOOKUP(AU103,'Primary - GRADING'!$A$4:$BG997,53,),AX103="DIRECT",VLOOKUP(AU103,'Primary - GRADING'!$A$4:$BG997,10,),AX103="INDIRECT",VLOOKUP(AU103,'Primary - GRADING'!$A$4:$BG997,25,))</f>
        <v>#N/A</v>
      </c>
      <c r="BB103" s="153" t="str">
        <f t="shared" si="10"/>
        <v>#N/A</v>
      </c>
      <c r="BE103" s="153" t="str">
        <f t="shared" si="11"/>
        <v/>
      </c>
      <c r="BG103" s="153" t="str">
        <f t="shared" si="12"/>
        <v>#N/A</v>
      </c>
      <c r="BI103" s="153" t="str">
        <f t="shared" si="13"/>
        <v>#N/A</v>
      </c>
      <c r="BK103" s="153" t="str">
        <f t="shared" si="14"/>
        <v>#N/A</v>
      </c>
      <c r="BM103" s="153" t="str">
        <f t="shared" si="15"/>
        <v>#N/A</v>
      </c>
    </row>
    <row r="104" ht="15.75" customHeight="1">
      <c r="B104" s="160" t="str">
        <f t="shared" si="1"/>
        <v>#N/A</v>
      </c>
      <c r="C104" s="160" t="str">
        <f t="shared" si="2"/>
        <v>#N/A</v>
      </c>
      <c r="D104" s="160" t="str">
        <f t="shared" si="3"/>
        <v>#N/A</v>
      </c>
      <c r="E104" s="161" t="str">
        <f t="shared" si="4"/>
        <v>#N/A</v>
      </c>
      <c r="F104" s="153" t="str">
        <f t="shared" si="17"/>
        <v>#N/A</v>
      </c>
      <c r="G104" s="153" t="str">
        <f t="shared" si="6"/>
        <v>#N/A</v>
      </c>
      <c r="H104" s="156" t="str">
        <f t="array" ref="H104">INDEX('Primary - GRADING'!$A$1:$BG997,MATCH($A104,'Primary - GRADING'!$B:$B,0),59)</f>
        <v>#N/A</v>
      </c>
      <c r="I104" s="153" t="str">
        <f t="array" ref="I104">INDEX('Primary - GRADING'!$A$1:$CP997,MATCH($A104,'Primary - GRADING'!$CP:$CP,0),48)</f>
        <v>#N/A</v>
      </c>
      <c r="J104" s="153" t="str">
        <f t="array" ref="J104">INDEX('Primary - GRADING'!$A$1:$CP997,MATCH($A104,'Primary - GRADING'!$CP:$CP,0),49)</f>
        <v>#N/A</v>
      </c>
      <c r="K104" s="153" t="str">
        <f t="array" ref="K104">INDEX('Primary - GRADING'!$A$1:$CP997,MATCH($A104,'Primary - GRADING'!$CP:$CP,0),50)</f>
        <v>#N/A</v>
      </c>
      <c r="L104" s="153" t="str">
        <f t="array" ref="L104">INDEX('Primary - GRADING'!$A$1:$CP997,MATCH($A104,'Primary - GRADING'!$CP:$CP,0),51)</f>
        <v>#N/A</v>
      </c>
      <c r="M104" s="153" t="str">
        <f t="array" ref="M104">INDEX('Primary - GRADING'!$A$1:$CP997,MATCH($A104,'Primary - GRADING'!$CP:$CP,0),52)</f>
        <v>#N/A</v>
      </c>
      <c r="N104" s="153" t="str">
        <f t="array" ref="N104">INDEX('Primary - GRADING'!$A$1:$CP997,MATCH($A104,'Primary - GRADING'!$CP:$CP,0),53)</f>
        <v>#N/A</v>
      </c>
      <c r="O104" s="153" t="str">
        <f t="array" ref="O104">INDEX('Primary - GRADING'!$A$1:$CP997,MATCH($A104,'Primary - GRADING'!$CP:$CP,0),58)</f>
        <v>#N/A</v>
      </c>
      <c r="P104" s="153" t="str">
        <f t="array" ref="P104">INDEX('Primary - GRADING'!$A$1:$CP997,MATCH($A104,'Primary - GRADING'!$CP:$CP,0),5)</f>
        <v>#N/A</v>
      </c>
      <c r="Q104" s="153" t="str">
        <f t="array" ref="Q104">INDEX('Primary - GRADING'!$A$1:$CP997,MATCH($A104,'Primary - GRADING'!$CP:$CP,0),6)</f>
        <v>#N/A</v>
      </c>
      <c r="R104" s="153" t="str">
        <f t="array" ref="R104">INDEX('Primary - GRADING'!$A$1:$CP997,MATCH($A104,'Primary - GRADING'!$CP:$CP,0),7)</f>
        <v>#N/A</v>
      </c>
      <c r="S104" s="153" t="str">
        <f t="array" ref="S104">INDEX('Primary - GRADING'!$A$1:$CP997,MATCH($A104,'Primary - GRADING'!$CP:$CP,0),8)</f>
        <v>#N/A</v>
      </c>
      <c r="T104" s="153" t="str">
        <f t="array" ref="T104">INDEX('Primary - GRADING'!$A$1:$CP997,MATCH($A104,'Primary - GRADING'!$CP:$CP,0),9)</f>
        <v>#N/A</v>
      </c>
      <c r="U104" s="153" t="str">
        <f t="array" ref="U104">INDEX('Primary - GRADING'!$A$1:$CP997,MATCH($A104,'Primary - GRADING'!$CP:$CP,0),10)</f>
        <v>#N/A</v>
      </c>
      <c r="V104" s="153" t="str">
        <f t="array" ref="V104">INDEX('Primary - GRADING'!$A$1:$CP997,MATCH($A104,'Primary - GRADING'!$CP:$CP,0),18)</f>
        <v>#N/A</v>
      </c>
      <c r="W104" s="153" t="str">
        <f t="array" ref="W104">INDEX('Primary - GRADING'!$A$1:$CP997,MATCH($A104,'Primary - GRADING'!$CP:$CP,0),20)</f>
        <v>#N/A</v>
      </c>
      <c r="X104" s="153" t="str">
        <f t="array" ref="X104">INDEX('Primary - GRADING'!$A$1:$CP997,MATCH($A104,'Primary - GRADING'!$CP:$CP,0),21)</f>
        <v>#N/A</v>
      </c>
      <c r="Y104" s="153" t="str">
        <f t="array" ref="Y104">INDEX('Primary - GRADING'!$A$1:$CP997,MATCH($A104,'Primary - GRADING'!$CP:$CP,0),22)</f>
        <v>#N/A</v>
      </c>
      <c r="Z104" s="165" t="str">
        <f t="array" ref="Z104">INDEX('Primary - GRADING'!$A$1:$CP997,MATCH($A104,'Primary - GRADING'!$CP:$CP,0),23)</f>
        <v>#N/A</v>
      </c>
      <c r="AA104" s="153" t="str">
        <f t="array" ref="AA104">INDEX('Primary - GRADING'!$A$1:$CP997,MATCH($A104,'Primary - GRADING'!$CP:$CP,0),24)</f>
        <v>#N/A</v>
      </c>
      <c r="AB104" s="153" t="str">
        <f t="array" ref="AB104">INDEX('Primary - GRADING'!$A$1:$CP997,MATCH($A104,'Primary - GRADING'!$CP:$CP,0),25)</f>
        <v>#N/A</v>
      </c>
      <c r="AC104" s="153" t="str">
        <f t="array" ref="AC104">INDEX('Primary - GRADING'!$A$1:$CP997,MATCH($A104,'Primary - GRADING'!$CP:$CP,0),46)</f>
        <v>#N/A</v>
      </c>
      <c r="AG104" s="153" t="str">
        <f t="shared" si="7"/>
        <v>#N/A</v>
      </c>
      <c r="AI104" s="153" t="str">
        <f>VLOOKUP(AH104,'Primary - GRADING'!$A$4:$C997,2,)</f>
        <v>#N/A</v>
      </c>
      <c r="AJ104" s="153" t="str">
        <f>VLOOKUP(AH104,'Primary - GRADING'!$A$4:$C997,3,)</f>
        <v>#N/A</v>
      </c>
      <c r="AK104" s="153" t="str">
        <f>VLOOKUP(AH104,'Primary - GRADING'!$A$4:$BG997,59,)</f>
        <v>#N/A</v>
      </c>
      <c r="AL104" s="153" t="str">
        <f>IFS(AK104="NMA",VLOOKUP(AH104,'Primary - GRADING'!$A$4:$BG997,51,),AK104="DIRECT",VLOOKUP(AH104,'Primary - GRADING'!$A$4:$BG997,8,),AK104="INDIRECT",VLOOKUP(AH104,'Primary - GRADING'!$A$4:$BG997,23,))</f>
        <v>#N/A</v>
      </c>
      <c r="AM104" s="153" t="str">
        <f>IFS(AK104="NMA",VLOOKUP(AH104,'Primary - GRADING'!$A$4:$BG997,52,),AK104="DIRECT",VLOOKUP(AH104,'Primary - GRADING'!$A$4:$BG997,9,),AK104="INDIRECT",VLOOKUP(AH104,'Primary - GRADING'!$A$4:$BG997,24,))</f>
        <v>#N/A</v>
      </c>
      <c r="AN104" s="153" t="str">
        <f>IFS(AK104="NMA",VLOOKUP(AH104,'Primary - GRADING'!$A$4:$BG997,53,),AK104="DIRECT",VLOOKUP(AH104,'Primary - GRADING'!$A$4:$BG997,10,),AK104="INDIRECT",VLOOKUP(AH104,'Primary - GRADING'!$A$4:$BG997,25,))</f>
        <v>#N/A</v>
      </c>
      <c r="AO104" s="153" t="str">
        <f t="shared" si="8"/>
        <v>#N/A</v>
      </c>
      <c r="AT104" s="153" t="str">
        <f t="shared" si="9"/>
        <v>#N/A</v>
      </c>
      <c r="AV104" s="153" t="str">
        <f>VLOOKUP(AU104,'Primary - GRADING'!$A$4:$C997,2,)</f>
        <v>#N/A</v>
      </c>
      <c r="AW104" s="153" t="str">
        <f>VLOOKUP(AU104,'Primary - GRADING'!$A$4:$C997,3,)</f>
        <v>#N/A</v>
      </c>
      <c r="AX104" s="153" t="str">
        <f>VLOOKUP(AU104,'Primary - GRADING'!$A$4:$BG997,59,)</f>
        <v>#N/A</v>
      </c>
      <c r="AY104" s="153" t="str">
        <f>IFS(AX104="NMA",VLOOKUP(AU104,'Primary - GRADING'!$A$4:$BG997,51,),AX104="DIRECT",VLOOKUP(AU104,'Primary - GRADING'!$A$4:$BG997,8,),AX104="INDIRECT",VLOOKUP(AU104,'Primary - GRADING'!$A$4:$BG997,23,))</f>
        <v>#N/A</v>
      </c>
      <c r="AZ104" s="153" t="str">
        <f>IFS(AX104="NMA",VLOOKUP(AU104,'Primary - GRADING'!$A$4:$BG997,52,),AX104="DIRECT",VLOOKUP(AU104,'Primary - GRADING'!$A$4:$BG997,9,),AX104="INDIRECT",VLOOKUP(AU104,'Primary - GRADING'!$A$4:$BG997,24,))</f>
        <v>#N/A</v>
      </c>
      <c r="BA104" s="153" t="str">
        <f>IFS(AX104="NMA",VLOOKUP(AU104,'Primary - GRADING'!$A$4:$BG997,53,),AX104="DIRECT",VLOOKUP(AU104,'Primary - GRADING'!$A$4:$BG997,10,),AX104="INDIRECT",VLOOKUP(AU104,'Primary - GRADING'!$A$4:$BG997,25,))</f>
        <v>#N/A</v>
      </c>
      <c r="BB104" s="153" t="str">
        <f t="shared" si="10"/>
        <v>#N/A</v>
      </c>
      <c r="BE104" s="153" t="str">
        <f t="shared" si="11"/>
        <v/>
      </c>
      <c r="BG104" s="153" t="str">
        <f t="shared" si="12"/>
        <v>#N/A</v>
      </c>
      <c r="BI104" s="153" t="str">
        <f t="shared" si="13"/>
        <v>#N/A</v>
      </c>
      <c r="BK104" s="153" t="str">
        <f t="shared" si="14"/>
        <v>#N/A</v>
      </c>
      <c r="BM104" s="153" t="str">
        <f t="shared" si="15"/>
        <v>#N/A</v>
      </c>
    </row>
    <row r="105" ht="15.75" customHeight="1">
      <c r="B105" s="160" t="str">
        <f t="shared" si="1"/>
        <v>#N/A</v>
      </c>
      <c r="C105" s="160" t="str">
        <f t="shared" si="2"/>
        <v>#N/A</v>
      </c>
      <c r="D105" s="160" t="str">
        <f t="shared" si="3"/>
        <v>#N/A</v>
      </c>
      <c r="E105" s="161" t="str">
        <f t="shared" si="4"/>
        <v>#N/A</v>
      </c>
      <c r="F105" s="153" t="str">
        <f t="shared" si="17"/>
        <v>#N/A</v>
      </c>
      <c r="G105" s="153" t="str">
        <f t="shared" si="6"/>
        <v>#N/A</v>
      </c>
      <c r="H105" s="156" t="str">
        <f t="array" ref="H105">INDEX('Primary - GRADING'!$A$1:$BG997,MATCH($A105,'Primary - GRADING'!$B:$B,0),59)</f>
        <v>#N/A</v>
      </c>
      <c r="I105" s="153" t="str">
        <f t="array" ref="I105">INDEX('Primary - GRADING'!$A$1:$CP997,MATCH($A105,'Primary - GRADING'!$CP:$CP,0),48)</f>
        <v>#N/A</v>
      </c>
      <c r="J105" s="153" t="str">
        <f t="array" ref="J105">INDEX('Primary - GRADING'!$A$1:$CP997,MATCH($A105,'Primary - GRADING'!$CP:$CP,0),49)</f>
        <v>#N/A</v>
      </c>
      <c r="K105" s="153" t="str">
        <f t="array" ref="K105">INDEX('Primary - GRADING'!$A$1:$CP997,MATCH($A105,'Primary - GRADING'!$CP:$CP,0),50)</f>
        <v>#N/A</v>
      </c>
      <c r="L105" s="153" t="str">
        <f t="array" ref="L105">INDEX('Primary - GRADING'!$A$1:$CP997,MATCH($A105,'Primary - GRADING'!$CP:$CP,0),51)</f>
        <v>#N/A</v>
      </c>
      <c r="M105" s="153" t="str">
        <f t="array" ref="M105">INDEX('Primary - GRADING'!$A$1:$CP997,MATCH($A105,'Primary - GRADING'!$CP:$CP,0),52)</f>
        <v>#N/A</v>
      </c>
      <c r="N105" s="153" t="str">
        <f t="array" ref="N105">INDEX('Primary - GRADING'!$A$1:$CP997,MATCH($A105,'Primary - GRADING'!$CP:$CP,0),53)</f>
        <v>#N/A</v>
      </c>
      <c r="O105" s="153" t="str">
        <f t="array" ref="O105">INDEX('Primary - GRADING'!$A$1:$CP997,MATCH($A105,'Primary - GRADING'!$CP:$CP,0),58)</f>
        <v>#N/A</v>
      </c>
      <c r="P105" s="153" t="str">
        <f t="array" ref="P105">INDEX('Primary - GRADING'!$A$1:$CP997,MATCH($A105,'Primary - GRADING'!$CP:$CP,0),5)</f>
        <v>#N/A</v>
      </c>
      <c r="Q105" s="153" t="str">
        <f t="array" ref="Q105">INDEX('Primary - GRADING'!$A$1:$CP997,MATCH($A105,'Primary - GRADING'!$CP:$CP,0),6)</f>
        <v>#N/A</v>
      </c>
      <c r="R105" s="153" t="str">
        <f t="array" ref="R105">INDEX('Primary - GRADING'!$A$1:$CP997,MATCH($A105,'Primary - GRADING'!$CP:$CP,0),7)</f>
        <v>#N/A</v>
      </c>
      <c r="S105" s="153" t="str">
        <f t="array" ref="S105">INDEX('Primary - GRADING'!$A$1:$CP997,MATCH($A105,'Primary - GRADING'!$CP:$CP,0),8)</f>
        <v>#N/A</v>
      </c>
      <c r="T105" s="153" t="str">
        <f t="array" ref="T105">INDEX('Primary - GRADING'!$A$1:$CP997,MATCH($A105,'Primary - GRADING'!$CP:$CP,0),9)</f>
        <v>#N/A</v>
      </c>
      <c r="U105" s="153" t="str">
        <f t="array" ref="U105">INDEX('Primary - GRADING'!$A$1:$CP997,MATCH($A105,'Primary - GRADING'!$CP:$CP,0),10)</f>
        <v>#N/A</v>
      </c>
      <c r="V105" s="153" t="str">
        <f t="array" ref="V105">INDEX('Primary - GRADING'!$A$1:$CP997,MATCH($A105,'Primary - GRADING'!$CP:$CP,0),18)</f>
        <v>#N/A</v>
      </c>
      <c r="W105" s="153" t="str">
        <f t="array" ref="W105">INDEX('Primary - GRADING'!$A$1:$CP997,MATCH($A105,'Primary - GRADING'!$CP:$CP,0),20)</f>
        <v>#N/A</v>
      </c>
      <c r="X105" s="153" t="str">
        <f t="array" ref="X105">INDEX('Primary - GRADING'!$A$1:$CP997,MATCH($A105,'Primary - GRADING'!$CP:$CP,0),21)</f>
        <v>#N/A</v>
      </c>
      <c r="Y105" s="153" t="str">
        <f t="array" ref="Y105">INDEX('Primary - GRADING'!$A$1:$CP997,MATCH($A105,'Primary - GRADING'!$CP:$CP,0),22)</f>
        <v>#N/A</v>
      </c>
      <c r="Z105" s="165" t="str">
        <f t="array" ref="Z105">INDEX('Primary - GRADING'!$A$1:$CP997,MATCH($A105,'Primary - GRADING'!$CP:$CP,0),23)</f>
        <v>#N/A</v>
      </c>
      <c r="AA105" s="153" t="str">
        <f t="array" ref="AA105">INDEX('Primary - GRADING'!$A$1:$CP997,MATCH($A105,'Primary - GRADING'!$CP:$CP,0),24)</f>
        <v>#N/A</v>
      </c>
      <c r="AB105" s="153" t="str">
        <f t="array" ref="AB105">INDEX('Primary - GRADING'!$A$1:$CP997,MATCH($A105,'Primary - GRADING'!$CP:$CP,0),25)</f>
        <v>#N/A</v>
      </c>
      <c r="AC105" s="153" t="str">
        <f t="array" ref="AC105">INDEX('Primary - GRADING'!$A$1:$CP997,MATCH($A105,'Primary - GRADING'!$CP:$CP,0),46)</f>
        <v>#N/A</v>
      </c>
      <c r="AG105" s="153" t="str">
        <f t="shared" si="7"/>
        <v>#N/A</v>
      </c>
      <c r="AI105" s="153" t="str">
        <f>VLOOKUP(AH105,'Primary - GRADING'!$A$4:$C997,2,)</f>
        <v>#N/A</v>
      </c>
      <c r="AJ105" s="153" t="str">
        <f>VLOOKUP(AH105,'Primary - GRADING'!$A$4:$C997,3,)</f>
        <v>#N/A</v>
      </c>
      <c r="AK105" s="153" t="str">
        <f>VLOOKUP(AH105,'Primary - GRADING'!$A$4:$BG997,59,)</f>
        <v>#N/A</v>
      </c>
      <c r="AL105" s="153" t="str">
        <f>IFS(AK105="NMA",VLOOKUP(AH105,'Primary - GRADING'!$A$4:$BG997,51,),AK105="DIRECT",VLOOKUP(AH105,'Primary - GRADING'!$A$4:$BG997,8,),AK105="INDIRECT",VLOOKUP(AH105,'Primary - GRADING'!$A$4:$BG997,23,))</f>
        <v>#N/A</v>
      </c>
      <c r="AM105" s="153" t="str">
        <f>IFS(AK105="NMA",VLOOKUP(AH105,'Primary - GRADING'!$A$4:$BG997,52,),AK105="DIRECT",VLOOKUP(AH105,'Primary - GRADING'!$A$4:$BG997,9,),AK105="INDIRECT",VLOOKUP(AH105,'Primary - GRADING'!$A$4:$BG997,24,))</f>
        <v>#N/A</v>
      </c>
      <c r="AN105" s="153" t="str">
        <f>IFS(AK105="NMA",VLOOKUP(AH105,'Primary - GRADING'!$A$4:$BG997,53,),AK105="DIRECT",VLOOKUP(AH105,'Primary - GRADING'!$A$4:$BG997,10,),AK105="INDIRECT",VLOOKUP(AH105,'Primary - GRADING'!$A$4:$BG997,25,))</f>
        <v>#N/A</v>
      </c>
      <c r="AO105" s="153" t="str">
        <f t="shared" si="8"/>
        <v>#N/A</v>
      </c>
      <c r="AT105" s="153" t="str">
        <f t="shared" si="9"/>
        <v>#N/A</v>
      </c>
      <c r="AV105" s="153" t="str">
        <f>VLOOKUP(AU105,'Primary - GRADING'!$A$4:$C997,2,)</f>
        <v>#N/A</v>
      </c>
      <c r="AW105" s="153" t="str">
        <f>VLOOKUP(AU105,'Primary - GRADING'!$A$4:$C997,3,)</f>
        <v>#N/A</v>
      </c>
      <c r="AX105" s="153" t="str">
        <f>VLOOKUP(AU105,'Primary - GRADING'!$A$4:$BG997,59,)</f>
        <v>#N/A</v>
      </c>
      <c r="AY105" s="153" t="str">
        <f>IFS(AX105="NMA",VLOOKUP(AU105,'Primary - GRADING'!$A$4:$BG997,51,),AX105="DIRECT",VLOOKUP(AU105,'Primary - GRADING'!$A$4:$BG997,8,),AX105="INDIRECT",VLOOKUP(AU105,'Primary - GRADING'!$A$4:$BG997,23,))</f>
        <v>#N/A</v>
      </c>
      <c r="AZ105" s="153" t="str">
        <f>IFS(AX105="NMA",VLOOKUP(AU105,'Primary - GRADING'!$A$4:$BG997,52,),AX105="DIRECT",VLOOKUP(AU105,'Primary - GRADING'!$A$4:$BG997,9,),AX105="INDIRECT",VLOOKUP(AU105,'Primary - GRADING'!$A$4:$BG997,24,))</f>
        <v>#N/A</v>
      </c>
      <c r="BA105" s="153" t="str">
        <f>IFS(AX105="NMA",VLOOKUP(AU105,'Primary - GRADING'!$A$4:$BG997,53,),AX105="DIRECT",VLOOKUP(AU105,'Primary - GRADING'!$A$4:$BG997,10,),AX105="INDIRECT",VLOOKUP(AU105,'Primary - GRADING'!$A$4:$BG997,25,))</f>
        <v>#N/A</v>
      </c>
      <c r="BB105" s="153" t="str">
        <f t="shared" si="10"/>
        <v>#N/A</v>
      </c>
      <c r="BE105" s="153" t="str">
        <f t="shared" si="11"/>
        <v/>
      </c>
      <c r="BG105" s="153" t="str">
        <f t="shared" si="12"/>
        <v>#N/A</v>
      </c>
      <c r="BI105" s="153" t="str">
        <f t="shared" si="13"/>
        <v>#N/A</v>
      </c>
      <c r="BK105" s="153" t="str">
        <f t="shared" si="14"/>
        <v>#N/A</v>
      </c>
      <c r="BM105" s="153" t="str">
        <f t="shared" si="15"/>
        <v>#N/A</v>
      </c>
    </row>
    <row r="106" ht="15.75" customHeight="1">
      <c r="B106" s="160" t="str">
        <f t="shared" si="1"/>
        <v>#N/A</v>
      </c>
      <c r="C106" s="160" t="str">
        <f t="shared" si="2"/>
        <v>#N/A</v>
      </c>
      <c r="D106" s="160" t="str">
        <f t="shared" si="3"/>
        <v>#N/A</v>
      </c>
      <c r="E106" s="161" t="str">
        <f t="shared" si="4"/>
        <v>#N/A</v>
      </c>
      <c r="F106" s="153" t="str">
        <f t="shared" si="17"/>
        <v>#N/A</v>
      </c>
      <c r="G106" s="153" t="str">
        <f t="shared" si="6"/>
        <v>#N/A</v>
      </c>
      <c r="H106" s="156" t="str">
        <f t="array" ref="H106">INDEX('Primary - GRADING'!$A$1:$BG997,MATCH($A106,'Primary - GRADING'!$B:$B,0),59)</f>
        <v>#N/A</v>
      </c>
      <c r="I106" s="153" t="str">
        <f t="array" ref="I106">INDEX('Primary - GRADING'!$A$1:$CP997,MATCH($A106,'Primary - GRADING'!$CP:$CP,0),48)</f>
        <v>#N/A</v>
      </c>
      <c r="J106" s="153" t="str">
        <f t="array" ref="J106">INDEX('Primary - GRADING'!$A$1:$CP997,MATCH($A106,'Primary - GRADING'!$CP:$CP,0),49)</f>
        <v>#N/A</v>
      </c>
      <c r="K106" s="153" t="str">
        <f t="array" ref="K106">INDEX('Primary - GRADING'!$A$1:$CP997,MATCH($A106,'Primary - GRADING'!$CP:$CP,0),50)</f>
        <v>#N/A</v>
      </c>
      <c r="L106" s="153" t="str">
        <f t="array" ref="L106">INDEX('Primary - GRADING'!$A$1:$CP997,MATCH($A106,'Primary - GRADING'!$CP:$CP,0),51)</f>
        <v>#N/A</v>
      </c>
      <c r="M106" s="153" t="str">
        <f t="array" ref="M106">INDEX('Primary - GRADING'!$A$1:$CP997,MATCH($A106,'Primary - GRADING'!$CP:$CP,0),52)</f>
        <v>#N/A</v>
      </c>
      <c r="N106" s="153" t="str">
        <f t="array" ref="N106">INDEX('Primary - GRADING'!$A$1:$CP997,MATCH($A106,'Primary - GRADING'!$CP:$CP,0),53)</f>
        <v>#N/A</v>
      </c>
      <c r="O106" s="153" t="str">
        <f t="array" ref="O106">INDEX('Primary - GRADING'!$A$1:$CP997,MATCH($A106,'Primary - GRADING'!$CP:$CP,0),58)</f>
        <v>#N/A</v>
      </c>
      <c r="P106" s="153" t="str">
        <f t="array" ref="P106">INDEX('Primary - GRADING'!$A$1:$CP997,MATCH($A106,'Primary - GRADING'!$CP:$CP,0),5)</f>
        <v>#N/A</v>
      </c>
      <c r="Q106" s="153" t="str">
        <f t="array" ref="Q106">INDEX('Primary - GRADING'!$A$1:$CP997,MATCH($A106,'Primary - GRADING'!$CP:$CP,0),6)</f>
        <v>#N/A</v>
      </c>
      <c r="R106" s="153" t="str">
        <f t="array" ref="R106">INDEX('Primary - GRADING'!$A$1:$CP997,MATCH($A106,'Primary - GRADING'!$CP:$CP,0),7)</f>
        <v>#N/A</v>
      </c>
      <c r="S106" s="153" t="str">
        <f t="array" ref="S106">INDEX('Primary - GRADING'!$A$1:$CP997,MATCH($A106,'Primary - GRADING'!$CP:$CP,0),8)</f>
        <v>#N/A</v>
      </c>
      <c r="T106" s="153" t="str">
        <f t="array" ref="T106">INDEX('Primary - GRADING'!$A$1:$CP997,MATCH($A106,'Primary - GRADING'!$CP:$CP,0),9)</f>
        <v>#N/A</v>
      </c>
      <c r="U106" s="153" t="str">
        <f t="array" ref="U106">INDEX('Primary - GRADING'!$A$1:$CP997,MATCH($A106,'Primary - GRADING'!$CP:$CP,0),10)</f>
        <v>#N/A</v>
      </c>
      <c r="V106" s="153" t="str">
        <f t="array" ref="V106">INDEX('Primary - GRADING'!$A$1:$CP997,MATCH($A106,'Primary - GRADING'!$CP:$CP,0),18)</f>
        <v>#N/A</v>
      </c>
      <c r="W106" s="153" t="str">
        <f t="array" ref="W106">INDEX('Primary - GRADING'!$A$1:$CP997,MATCH($A106,'Primary - GRADING'!$CP:$CP,0),20)</f>
        <v>#N/A</v>
      </c>
      <c r="X106" s="153" t="str">
        <f t="array" ref="X106">INDEX('Primary - GRADING'!$A$1:$CP997,MATCH($A106,'Primary - GRADING'!$CP:$CP,0),21)</f>
        <v>#N/A</v>
      </c>
      <c r="Y106" s="153" t="str">
        <f t="array" ref="Y106">INDEX('Primary - GRADING'!$A$1:$CP997,MATCH($A106,'Primary - GRADING'!$CP:$CP,0),22)</f>
        <v>#N/A</v>
      </c>
      <c r="Z106" s="165" t="str">
        <f t="array" ref="Z106">INDEX('Primary - GRADING'!$A$1:$CP997,MATCH($A106,'Primary - GRADING'!$CP:$CP,0),23)</f>
        <v>#N/A</v>
      </c>
      <c r="AA106" s="153" t="str">
        <f t="array" ref="AA106">INDEX('Primary - GRADING'!$A$1:$CP997,MATCH($A106,'Primary - GRADING'!$CP:$CP,0),24)</f>
        <v>#N/A</v>
      </c>
      <c r="AB106" s="153" t="str">
        <f t="array" ref="AB106">INDEX('Primary - GRADING'!$A$1:$CP997,MATCH($A106,'Primary - GRADING'!$CP:$CP,0),25)</f>
        <v>#N/A</v>
      </c>
      <c r="AC106" s="153" t="str">
        <f t="array" ref="AC106">INDEX('Primary - GRADING'!$A$1:$CP997,MATCH($A106,'Primary - GRADING'!$CP:$CP,0),46)</f>
        <v>#N/A</v>
      </c>
      <c r="AG106" s="153" t="str">
        <f t="shared" si="7"/>
        <v>#N/A</v>
      </c>
      <c r="AI106" s="153" t="str">
        <f>VLOOKUP(AH106,'Primary - GRADING'!$A$4:$C997,2,)</f>
        <v>#N/A</v>
      </c>
      <c r="AJ106" s="153" t="str">
        <f>VLOOKUP(AH106,'Primary - GRADING'!$A$4:$C997,3,)</f>
        <v>#N/A</v>
      </c>
      <c r="AK106" s="153" t="str">
        <f>VLOOKUP(AH106,'Primary - GRADING'!$A$4:$BG997,59,)</f>
        <v>#N/A</v>
      </c>
      <c r="AL106" s="153" t="str">
        <f>IFS(AK106="NMA",VLOOKUP(AH106,'Primary - GRADING'!$A$4:$BG997,51,),AK106="DIRECT",VLOOKUP(AH106,'Primary - GRADING'!$A$4:$BG997,8,),AK106="INDIRECT",VLOOKUP(AH106,'Primary - GRADING'!$A$4:$BG997,23,))</f>
        <v>#N/A</v>
      </c>
      <c r="AM106" s="153" t="str">
        <f>IFS(AK106="NMA",VLOOKUP(AH106,'Primary - GRADING'!$A$4:$BG997,52,),AK106="DIRECT",VLOOKUP(AH106,'Primary - GRADING'!$A$4:$BG997,9,),AK106="INDIRECT",VLOOKUP(AH106,'Primary - GRADING'!$A$4:$BG997,24,))</f>
        <v>#N/A</v>
      </c>
      <c r="AN106" s="153" t="str">
        <f>IFS(AK106="NMA",VLOOKUP(AH106,'Primary - GRADING'!$A$4:$BG997,53,),AK106="DIRECT",VLOOKUP(AH106,'Primary - GRADING'!$A$4:$BG997,10,),AK106="INDIRECT",VLOOKUP(AH106,'Primary - GRADING'!$A$4:$BG997,25,))</f>
        <v>#N/A</v>
      </c>
      <c r="AO106" s="153" t="str">
        <f t="shared" si="8"/>
        <v>#N/A</v>
      </c>
      <c r="AT106" s="153" t="str">
        <f t="shared" si="9"/>
        <v>#N/A</v>
      </c>
      <c r="AV106" s="153" t="str">
        <f>VLOOKUP(AU106,'Primary - GRADING'!$A$4:$C997,2,)</f>
        <v>#N/A</v>
      </c>
      <c r="AW106" s="153" t="str">
        <f>VLOOKUP(AU106,'Primary - GRADING'!$A$4:$C997,3,)</f>
        <v>#N/A</v>
      </c>
      <c r="AX106" s="153" t="str">
        <f>VLOOKUP(AU106,'Primary - GRADING'!$A$4:$BG997,59,)</f>
        <v>#N/A</v>
      </c>
      <c r="AY106" s="153" t="str">
        <f>IFS(AX106="NMA",VLOOKUP(AU106,'Primary - GRADING'!$A$4:$BG997,51,),AX106="DIRECT",VLOOKUP(AU106,'Primary - GRADING'!$A$4:$BG997,8,),AX106="INDIRECT",VLOOKUP(AU106,'Primary - GRADING'!$A$4:$BG997,23,))</f>
        <v>#N/A</v>
      </c>
      <c r="AZ106" s="153" t="str">
        <f>IFS(AX106="NMA",VLOOKUP(AU106,'Primary - GRADING'!$A$4:$BG997,52,),AX106="DIRECT",VLOOKUP(AU106,'Primary - GRADING'!$A$4:$BG997,9,),AX106="INDIRECT",VLOOKUP(AU106,'Primary - GRADING'!$A$4:$BG997,24,))</f>
        <v>#N/A</v>
      </c>
      <c r="BA106" s="153" t="str">
        <f>IFS(AX106="NMA",VLOOKUP(AU106,'Primary - GRADING'!$A$4:$BG997,53,),AX106="DIRECT",VLOOKUP(AU106,'Primary - GRADING'!$A$4:$BG997,10,),AX106="INDIRECT",VLOOKUP(AU106,'Primary - GRADING'!$A$4:$BG997,25,))</f>
        <v>#N/A</v>
      </c>
      <c r="BB106" s="153" t="str">
        <f t="shared" si="10"/>
        <v>#N/A</v>
      </c>
      <c r="BE106" s="153" t="str">
        <f t="shared" si="11"/>
        <v/>
      </c>
      <c r="BG106" s="153" t="str">
        <f t="shared" si="12"/>
        <v>#N/A</v>
      </c>
      <c r="BI106" s="153" t="str">
        <f t="shared" si="13"/>
        <v>#N/A</v>
      </c>
      <c r="BK106" s="153" t="str">
        <f t="shared" si="14"/>
        <v>#N/A</v>
      </c>
      <c r="BM106" s="153" t="str">
        <f t="shared" si="15"/>
        <v>#N/A</v>
      </c>
    </row>
    <row r="107" ht="15.75" customHeight="1">
      <c r="B107" s="160" t="str">
        <f t="shared" si="1"/>
        <v>#N/A</v>
      </c>
      <c r="C107" s="160" t="str">
        <f t="shared" si="2"/>
        <v>#N/A</v>
      </c>
      <c r="D107" s="160" t="str">
        <f t="shared" si="3"/>
        <v>#N/A</v>
      </c>
      <c r="E107" s="161" t="str">
        <f t="shared" si="4"/>
        <v>#N/A</v>
      </c>
      <c r="F107" s="153" t="str">
        <f t="shared" si="17"/>
        <v>#N/A</v>
      </c>
      <c r="G107" s="153" t="str">
        <f t="shared" si="6"/>
        <v>#N/A</v>
      </c>
      <c r="H107" s="156" t="str">
        <f t="array" ref="H107">INDEX('Primary - GRADING'!$A$1:$BG997,MATCH($A107,'Primary - GRADING'!$B:$B,0),59)</f>
        <v>#N/A</v>
      </c>
      <c r="I107" s="153" t="str">
        <f t="array" ref="I107">INDEX('Primary - GRADING'!$A$1:$CP997,MATCH($A107,'Primary - GRADING'!$CP:$CP,0),48)</f>
        <v>#N/A</v>
      </c>
      <c r="J107" s="153" t="str">
        <f t="array" ref="J107">INDEX('Primary - GRADING'!$A$1:$CP997,MATCH($A107,'Primary - GRADING'!$CP:$CP,0),49)</f>
        <v>#N/A</v>
      </c>
      <c r="K107" s="153" t="str">
        <f t="array" ref="K107">INDEX('Primary - GRADING'!$A$1:$CP997,MATCH($A107,'Primary - GRADING'!$CP:$CP,0),50)</f>
        <v>#N/A</v>
      </c>
      <c r="L107" s="153" t="str">
        <f t="array" ref="L107">INDEX('Primary - GRADING'!$A$1:$CP997,MATCH($A107,'Primary - GRADING'!$CP:$CP,0),51)</f>
        <v>#N/A</v>
      </c>
      <c r="M107" s="153" t="str">
        <f t="array" ref="M107">INDEX('Primary - GRADING'!$A$1:$CP997,MATCH($A107,'Primary - GRADING'!$CP:$CP,0),52)</f>
        <v>#N/A</v>
      </c>
      <c r="N107" s="153" t="str">
        <f t="array" ref="N107">INDEX('Primary - GRADING'!$A$1:$CP997,MATCH($A107,'Primary - GRADING'!$CP:$CP,0),53)</f>
        <v>#N/A</v>
      </c>
      <c r="O107" s="153" t="str">
        <f t="array" ref="O107">INDEX('Primary - GRADING'!$A$1:$CP997,MATCH($A107,'Primary - GRADING'!$CP:$CP,0),58)</f>
        <v>#N/A</v>
      </c>
      <c r="P107" s="153" t="str">
        <f t="array" ref="P107">INDEX('Primary - GRADING'!$A$1:$CP997,MATCH($A107,'Primary - GRADING'!$CP:$CP,0),5)</f>
        <v>#N/A</v>
      </c>
      <c r="Q107" s="153" t="str">
        <f t="array" ref="Q107">INDEX('Primary - GRADING'!$A$1:$CP997,MATCH($A107,'Primary - GRADING'!$CP:$CP,0),6)</f>
        <v>#N/A</v>
      </c>
      <c r="R107" s="153" t="str">
        <f t="array" ref="R107">INDEX('Primary - GRADING'!$A$1:$CP997,MATCH($A107,'Primary - GRADING'!$CP:$CP,0),7)</f>
        <v>#N/A</v>
      </c>
      <c r="S107" s="153" t="str">
        <f t="array" ref="S107">INDEX('Primary - GRADING'!$A$1:$CP997,MATCH($A107,'Primary - GRADING'!$CP:$CP,0),8)</f>
        <v>#N/A</v>
      </c>
      <c r="T107" s="153" t="str">
        <f t="array" ref="T107">INDEX('Primary - GRADING'!$A$1:$CP997,MATCH($A107,'Primary - GRADING'!$CP:$CP,0),9)</f>
        <v>#N/A</v>
      </c>
      <c r="U107" s="153" t="str">
        <f t="array" ref="U107">INDEX('Primary - GRADING'!$A$1:$CP997,MATCH($A107,'Primary - GRADING'!$CP:$CP,0),10)</f>
        <v>#N/A</v>
      </c>
      <c r="V107" s="153" t="str">
        <f t="array" ref="V107">INDEX('Primary - GRADING'!$A$1:$CP997,MATCH($A107,'Primary - GRADING'!$CP:$CP,0),18)</f>
        <v>#N/A</v>
      </c>
      <c r="W107" s="153" t="str">
        <f t="array" ref="W107">INDEX('Primary - GRADING'!$A$1:$CP997,MATCH($A107,'Primary - GRADING'!$CP:$CP,0),20)</f>
        <v>#N/A</v>
      </c>
      <c r="X107" s="153" t="str">
        <f t="array" ref="X107">INDEX('Primary - GRADING'!$A$1:$CP997,MATCH($A107,'Primary - GRADING'!$CP:$CP,0),21)</f>
        <v>#N/A</v>
      </c>
      <c r="Y107" s="153" t="str">
        <f t="array" ref="Y107">INDEX('Primary - GRADING'!$A$1:$CP997,MATCH($A107,'Primary - GRADING'!$CP:$CP,0),22)</f>
        <v>#N/A</v>
      </c>
      <c r="Z107" s="165" t="str">
        <f t="array" ref="Z107">INDEX('Primary - GRADING'!$A$1:$CP997,MATCH($A107,'Primary - GRADING'!$CP:$CP,0),23)</f>
        <v>#N/A</v>
      </c>
      <c r="AA107" s="153" t="str">
        <f t="array" ref="AA107">INDEX('Primary - GRADING'!$A$1:$CP997,MATCH($A107,'Primary - GRADING'!$CP:$CP,0),24)</f>
        <v>#N/A</v>
      </c>
      <c r="AB107" s="153" t="str">
        <f t="array" ref="AB107">INDEX('Primary - GRADING'!$A$1:$CP997,MATCH($A107,'Primary - GRADING'!$CP:$CP,0),25)</f>
        <v>#N/A</v>
      </c>
      <c r="AC107" s="153" t="str">
        <f t="array" ref="AC107">INDEX('Primary - GRADING'!$A$1:$CP997,MATCH($A107,'Primary - GRADING'!$CP:$CP,0),46)</f>
        <v>#N/A</v>
      </c>
      <c r="AG107" s="153" t="str">
        <f t="shared" si="7"/>
        <v>#N/A</v>
      </c>
      <c r="AI107" s="153" t="str">
        <f>VLOOKUP(AH107,'Primary - GRADING'!$A$4:$C997,2,)</f>
        <v>#N/A</v>
      </c>
      <c r="AJ107" s="153" t="str">
        <f>VLOOKUP(AH107,'Primary - GRADING'!$A$4:$C997,3,)</f>
        <v>#N/A</v>
      </c>
      <c r="AK107" s="153" t="str">
        <f>VLOOKUP(AH107,'Primary - GRADING'!$A$4:$BG997,59,)</f>
        <v>#N/A</v>
      </c>
      <c r="AL107" s="153" t="str">
        <f>IFS(AK107="NMA",VLOOKUP(AH107,'Primary - GRADING'!$A$4:$BG997,51,),AK107="DIRECT",VLOOKUP(AH107,'Primary - GRADING'!$A$4:$BG997,8,),AK107="INDIRECT",VLOOKUP(AH107,'Primary - GRADING'!$A$4:$BG997,23,))</f>
        <v>#N/A</v>
      </c>
      <c r="AM107" s="153" t="str">
        <f>IFS(AK107="NMA",VLOOKUP(AH107,'Primary - GRADING'!$A$4:$BG997,52,),AK107="DIRECT",VLOOKUP(AH107,'Primary - GRADING'!$A$4:$BG997,9,),AK107="INDIRECT",VLOOKUP(AH107,'Primary - GRADING'!$A$4:$BG997,24,))</f>
        <v>#N/A</v>
      </c>
      <c r="AN107" s="153" t="str">
        <f>IFS(AK107="NMA",VLOOKUP(AH107,'Primary - GRADING'!$A$4:$BG997,53,),AK107="DIRECT",VLOOKUP(AH107,'Primary - GRADING'!$A$4:$BG997,10,),AK107="INDIRECT",VLOOKUP(AH107,'Primary - GRADING'!$A$4:$BG997,25,))</f>
        <v>#N/A</v>
      </c>
      <c r="AO107" s="153" t="str">
        <f t="shared" si="8"/>
        <v>#N/A</v>
      </c>
      <c r="AT107" s="153" t="str">
        <f t="shared" si="9"/>
        <v>#N/A</v>
      </c>
      <c r="AV107" s="153" t="str">
        <f>VLOOKUP(AU107,'Primary - GRADING'!$A$4:$C997,2,)</f>
        <v>#N/A</v>
      </c>
      <c r="AW107" s="153" t="str">
        <f>VLOOKUP(AU107,'Primary - GRADING'!$A$4:$C997,3,)</f>
        <v>#N/A</v>
      </c>
      <c r="AX107" s="153" t="str">
        <f>VLOOKUP(AU107,'Primary - GRADING'!$A$4:$BG997,59,)</f>
        <v>#N/A</v>
      </c>
      <c r="AY107" s="153" t="str">
        <f>IFS(AX107="NMA",VLOOKUP(AU107,'Primary - GRADING'!$A$4:$BG997,51,),AX107="DIRECT",VLOOKUP(AU107,'Primary - GRADING'!$A$4:$BG997,8,),AX107="INDIRECT",VLOOKUP(AU107,'Primary - GRADING'!$A$4:$BG997,23,))</f>
        <v>#N/A</v>
      </c>
      <c r="AZ107" s="153" t="str">
        <f>IFS(AX107="NMA",VLOOKUP(AU107,'Primary - GRADING'!$A$4:$BG997,52,),AX107="DIRECT",VLOOKUP(AU107,'Primary - GRADING'!$A$4:$BG997,9,),AX107="INDIRECT",VLOOKUP(AU107,'Primary - GRADING'!$A$4:$BG997,24,))</f>
        <v>#N/A</v>
      </c>
      <c r="BA107" s="153" t="str">
        <f>IFS(AX107="NMA",VLOOKUP(AU107,'Primary - GRADING'!$A$4:$BG997,53,),AX107="DIRECT",VLOOKUP(AU107,'Primary - GRADING'!$A$4:$BG997,10,),AX107="INDIRECT",VLOOKUP(AU107,'Primary - GRADING'!$A$4:$BG997,25,))</f>
        <v>#N/A</v>
      </c>
      <c r="BB107" s="153" t="str">
        <f t="shared" si="10"/>
        <v>#N/A</v>
      </c>
      <c r="BE107" s="153" t="str">
        <f t="shared" si="11"/>
        <v/>
      </c>
      <c r="BG107" s="153" t="str">
        <f t="shared" si="12"/>
        <v>#N/A</v>
      </c>
      <c r="BI107" s="153" t="str">
        <f t="shared" si="13"/>
        <v>#N/A</v>
      </c>
      <c r="BK107" s="153" t="str">
        <f t="shared" si="14"/>
        <v>#N/A</v>
      </c>
      <c r="BM107" s="153" t="str">
        <f t="shared" si="15"/>
        <v>#N/A</v>
      </c>
    </row>
    <row r="108" ht="15.75" customHeight="1">
      <c r="B108" s="160" t="str">
        <f t="shared" si="1"/>
        <v>#N/A</v>
      </c>
      <c r="C108" s="160" t="str">
        <f t="shared" si="2"/>
        <v>#N/A</v>
      </c>
      <c r="D108" s="160" t="str">
        <f t="shared" si="3"/>
        <v>#N/A</v>
      </c>
      <c r="E108" s="161" t="str">
        <f t="shared" si="4"/>
        <v>#N/A</v>
      </c>
      <c r="F108" s="153" t="str">
        <f t="shared" si="17"/>
        <v>#N/A</v>
      </c>
      <c r="G108" s="153" t="str">
        <f t="shared" si="6"/>
        <v>#N/A</v>
      </c>
      <c r="H108" s="156" t="str">
        <f t="array" ref="H108">INDEX('Primary - GRADING'!$A$1:$BG997,MATCH($A108,'Primary - GRADING'!$B:$B,0),59)</f>
        <v>#N/A</v>
      </c>
      <c r="I108" s="153" t="str">
        <f t="array" ref="I108">INDEX('Primary - GRADING'!$A$1:$CP997,MATCH($A108,'Primary - GRADING'!$CP:$CP,0),48)</f>
        <v>#N/A</v>
      </c>
      <c r="J108" s="153" t="str">
        <f t="array" ref="J108">INDEX('Primary - GRADING'!$A$1:$CP997,MATCH($A108,'Primary - GRADING'!$CP:$CP,0),49)</f>
        <v>#N/A</v>
      </c>
      <c r="K108" s="153" t="str">
        <f t="array" ref="K108">INDEX('Primary - GRADING'!$A$1:$CP997,MATCH($A108,'Primary - GRADING'!$CP:$CP,0),50)</f>
        <v>#N/A</v>
      </c>
      <c r="L108" s="153" t="str">
        <f t="array" ref="L108">INDEX('Primary - GRADING'!$A$1:$CP997,MATCH($A108,'Primary - GRADING'!$CP:$CP,0),51)</f>
        <v>#N/A</v>
      </c>
      <c r="M108" s="153" t="str">
        <f t="array" ref="M108">INDEX('Primary - GRADING'!$A$1:$CP997,MATCH($A108,'Primary - GRADING'!$CP:$CP,0),52)</f>
        <v>#N/A</v>
      </c>
      <c r="N108" s="153" t="str">
        <f t="array" ref="N108">INDEX('Primary - GRADING'!$A$1:$CP997,MATCH($A108,'Primary - GRADING'!$CP:$CP,0),53)</f>
        <v>#N/A</v>
      </c>
      <c r="O108" s="153" t="str">
        <f t="array" ref="O108">INDEX('Primary - GRADING'!$A$1:$CP997,MATCH($A108,'Primary - GRADING'!$CP:$CP,0),58)</f>
        <v>#N/A</v>
      </c>
      <c r="P108" s="153" t="str">
        <f t="array" ref="P108">INDEX('Primary - GRADING'!$A$1:$CP997,MATCH($A108,'Primary - GRADING'!$CP:$CP,0),5)</f>
        <v>#N/A</v>
      </c>
      <c r="Q108" s="153" t="str">
        <f t="array" ref="Q108">INDEX('Primary - GRADING'!$A$1:$CP997,MATCH($A108,'Primary - GRADING'!$CP:$CP,0),6)</f>
        <v>#N/A</v>
      </c>
      <c r="R108" s="153" t="str">
        <f t="array" ref="R108">INDEX('Primary - GRADING'!$A$1:$CP997,MATCH($A108,'Primary - GRADING'!$CP:$CP,0),7)</f>
        <v>#N/A</v>
      </c>
      <c r="S108" s="153" t="str">
        <f t="array" ref="S108">INDEX('Primary - GRADING'!$A$1:$CP997,MATCH($A108,'Primary - GRADING'!$CP:$CP,0),8)</f>
        <v>#N/A</v>
      </c>
      <c r="T108" s="153" t="str">
        <f t="array" ref="T108">INDEX('Primary - GRADING'!$A$1:$CP997,MATCH($A108,'Primary - GRADING'!$CP:$CP,0),9)</f>
        <v>#N/A</v>
      </c>
      <c r="U108" s="153" t="str">
        <f t="array" ref="U108">INDEX('Primary - GRADING'!$A$1:$CP997,MATCH($A108,'Primary - GRADING'!$CP:$CP,0),10)</f>
        <v>#N/A</v>
      </c>
      <c r="V108" s="153" t="str">
        <f t="array" ref="V108">INDEX('Primary - GRADING'!$A$1:$CP997,MATCH($A108,'Primary - GRADING'!$CP:$CP,0),18)</f>
        <v>#N/A</v>
      </c>
      <c r="W108" s="153" t="str">
        <f t="array" ref="W108">INDEX('Primary - GRADING'!$A$1:$CP997,MATCH($A108,'Primary - GRADING'!$CP:$CP,0),20)</f>
        <v>#N/A</v>
      </c>
      <c r="X108" s="153" t="str">
        <f t="array" ref="X108">INDEX('Primary - GRADING'!$A$1:$CP997,MATCH($A108,'Primary - GRADING'!$CP:$CP,0),21)</f>
        <v>#N/A</v>
      </c>
      <c r="Y108" s="153" t="str">
        <f t="array" ref="Y108">INDEX('Primary - GRADING'!$A$1:$CP997,MATCH($A108,'Primary - GRADING'!$CP:$CP,0),22)</f>
        <v>#N/A</v>
      </c>
      <c r="Z108" s="165" t="str">
        <f t="array" ref="Z108">INDEX('Primary - GRADING'!$A$1:$CP997,MATCH($A108,'Primary - GRADING'!$CP:$CP,0),23)</f>
        <v>#N/A</v>
      </c>
      <c r="AA108" s="153" t="str">
        <f t="array" ref="AA108">INDEX('Primary - GRADING'!$A$1:$CP997,MATCH($A108,'Primary - GRADING'!$CP:$CP,0),24)</f>
        <v>#N/A</v>
      </c>
      <c r="AB108" s="153" t="str">
        <f t="array" ref="AB108">INDEX('Primary - GRADING'!$A$1:$CP997,MATCH($A108,'Primary - GRADING'!$CP:$CP,0),25)</f>
        <v>#N/A</v>
      </c>
      <c r="AC108" s="153" t="str">
        <f t="array" ref="AC108">INDEX('Primary - GRADING'!$A$1:$CP997,MATCH($A108,'Primary - GRADING'!$CP:$CP,0),46)</f>
        <v>#N/A</v>
      </c>
      <c r="AG108" s="153" t="str">
        <f t="shared" si="7"/>
        <v>#N/A</v>
      </c>
      <c r="AI108" s="153" t="str">
        <f>VLOOKUP(AH108,'Primary - GRADING'!$A$4:$C997,2,)</f>
        <v>#N/A</v>
      </c>
      <c r="AJ108" s="153" t="str">
        <f>VLOOKUP(AH108,'Primary - GRADING'!$A$4:$C997,3,)</f>
        <v>#N/A</v>
      </c>
      <c r="AK108" s="153" t="str">
        <f>VLOOKUP(AH108,'Primary - GRADING'!$A$4:$BG997,59,)</f>
        <v>#N/A</v>
      </c>
      <c r="AL108" s="153" t="str">
        <f>IFS(AK108="NMA",VLOOKUP(AH108,'Primary - GRADING'!$A$4:$BG997,51,),AK108="DIRECT",VLOOKUP(AH108,'Primary - GRADING'!$A$4:$BG997,8,),AK108="INDIRECT",VLOOKUP(AH108,'Primary - GRADING'!$A$4:$BG997,23,))</f>
        <v>#N/A</v>
      </c>
      <c r="AM108" s="153" t="str">
        <f>IFS(AK108="NMA",VLOOKUP(AH108,'Primary - GRADING'!$A$4:$BG997,52,),AK108="DIRECT",VLOOKUP(AH108,'Primary - GRADING'!$A$4:$BG997,9,),AK108="INDIRECT",VLOOKUP(AH108,'Primary - GRADING'!$A$4:$BG997,24,))</f>
        <v>#N/A</v>
      </c>
      <c r="AN108" s="153" t="str">
        <f>IFS(AK108="NMA",VLOOKUP(AH108,'Primary - GRADING'!$A$4:$BG997,53,),AK108="DIRECT",VLOOKUP(AH108,'Primary - GRADING'!$A$4:$BG997,10,),AK108="INDIRECT",VLOOKUP(AH108,'Primary - GRADING'!$A$4:$BG997,25,))</f>
        <v>#N/A</v>
      </c>
      <c r="AO108" s="153" t="str">
        <f t="shared" si="8"/>
        <v>#N/A</v>
      </c>
      <c r="AT108" s="153" t="str">
        <f t="shared" si="9"/>
        <v>#N/A</v>
      </c>
      <c r="AV108" s="153" t="str">
        <f>VLOOKUP(AU108,'Primary - GRADING'!$A$4:$C997,2,)</f>
        <v>#N/A</v>
      </c>
      <c r="AW108" s="153" t="str">
        <f>VLOOKUP(AU108,'Primary - GRADING'!$A$4:$C997,3,)</f>
        <v>#N/A</v>
      </c>
      <c r="AX108" s="153" t="str">
        <f>VLOOKUP(AU108,'Primary - GRADING'!$A$4:$BG997,59,)</f>
        <v>#N/A</v>
      </c>
      <c r="AY108" s="153" t="str">
        <f>IFS(AX108="NMA",VLOOKUP(AU108,'Primary - GRADING'!$A$4:$BG997,51,),AX108="DIRECT",VLOOKUP(AU108,'Primary - GRADING'!$A$4:$BG997,8,),AX108="INDIRECT",VLOOKUP(AU108,'Primary - GRADING'!$A$4:$BG997,23,))</f>
        <v>#N/A</v>
      </c>
      <c r="AZ108" s="153" t="str">
        <f>IFS(AX108="NMA",VLOOKUP(AU108,'Primary - GRADING'!$A$4:$BG997,52,),AX108="DIRECT",VLOOKUP(AU108,'Primary - GRADING'!$A$4:$BG997,9,),AX108="INDIRECT",VLOOKUP(AU108,'Primary - GRADING'!$A$4:$BG997,24,))</f>
        <v>#N/A</v>
      </c>
      <c r="BA108" s="153" t="str">
        <f>IFS(AX108="NMA",VLOOKUP(AU108,'Primary - GRADING'!$A$4:$BG997,53,),AX108="DIRECT",VLOOKUP(AU108,'Primary - GRADING'!$A$4:$BG997,10,),AX108="INDIRECT",VLOOKUP(AU108,'Primary - GRADING'!$A$4:$BG997,25,))</f>
        <v>#N/A</v>
      </c>
      <c r="BB108" s="153" t="str">
        <f t="shared" si="10"/>
        <v>#N/A</v>
      </c>
      <c r="BE108" s="153" t="str">
        <f t="shared" si="11"/>
        <v/>
      </c>
      <c r="BG108" s="153" t="str">
        <f t="shared" si="12"/>
        <v>#N/A</v>
      </c>
      <c r="BI108" s="153" t="str">
        <f t="shared" si="13"/>
        <v>#N/A</v>
      </c>
      <c r="BK108" s="153" t="str">
        <f t="shared" si="14"/>
        <v>#N/A</v>
      </c>
      <c r="BM108" s="153" t="str">
        <f t="shared" si="15"/>
        <v>#N/A</v>
      </c>
    </row>
    <row r="109" ht="15.75" customHeight="1">
      <c r="B109" s="160" t="str">
        <f t="shared" si="1"/>
        <v>#N/A</v>
      </c>
      <c r="C109" s="160" t="str">
        <f t="shared" si="2"/>
        <v>#N/A</v>
      </c>
      <c r="D109" s="160" t="str">
        <f t="shared" si="3"/>
        <v>#N/A</v>
      </c>
      <c r="E109" s="161" t="str">
        <f t="shared" si="4"/>
        <v>#N/A</v>
      </c>
      <c r="F109" s="153" t="str">
        <f t="shared" si="17"/>
        <v>#N/A</v>
      </c>
      <c r="G109" s="153" t="str">
        <f t="shared" si="6"/>
        <v>#N/A</v>
      </c>
      <c r="H109" s="156" t="str">
        <f t="array" ref="H109">INDEX('Primary - GRADING'!$A$1:$BG997,MATCH($A109,'Primary - GRADING'!$B:$B,0),59)</f>
        <v>#N/A</v>
      </c>
      <c r="I109" s="153" t="str">
        <f t="array" ref="I109">INDEX('Primary - GRADING'!$A$1:$CP997,MATCH($A109,'Primary - GRADING'!$CP:$CP,0),48)</f>
        <v>#N/A</v>
      </c>
      <c r="J109" s="153" t="str">
        <f t="array" ref="J109">INDEX('Primary - GRADING'!$A$1:$CP997,MATCH($A109,'Primary - GRADING'!$CP:$CP,0),49)</f>
        <v>#N/A</v>
      </c>
      <c r="K109" s="153" t="str">
        <f t="array" ref="K109">INDEX('Primary - GRADING'!$A$1:$CP997,MATCH($A109,'Primary - GRADING'!$CP:$CP,0),50)</f>
        <v>#N/A</v>
      </c>
      <c r="L109" s="153" t="str">
        <f t="array" ref="L109">INDEX('Primary - GRADING'!$A$1:$CP997,MATCH($A109,'Primary - GRADING'!$CP:$CP,0),51)</f>
        <v>#N/A</v>
      </c>
      <c r="M109" s="153" t="str">
        <f t="array" ref="M109">INDEX('Primary - GRADING'!$A$1:$CP997,MATCH($A109,'Primary - GRADING'!$CP:$CP,0),52)</f>
        <v>#N/A</v>
      </c>
      <c r="N109" s="153" t="str">
        <f t="array" ref="N109">INDEX('Primary - GRADING'!$A$1:$CP997,MATCH($A109,'Primary - GRADING'!$CP:$CP,0),53)</f>
        <v>#N/A</v>
      </c>
      <c r="O109" s="153" t="str">
        <f t="array" ref="O109">INDEX('Primary - GRADING'!$A$1:$CP997,MATCH($A109,'Primary - GRADING'!$CP:$CP,0),58)</f>
        <v>#N/A</v>
      </c>
      <c r="P109" s="153" t="str">
        <f t="array" ref="P109">INDEX('Primary - GRADING'!$A$1:$CP997,MATCH($A109,'Primary - GRADING'!$CP:$CP,0),5)</f>
        <v>#N/A</v>
      </c>
      <c r="Q109" s="153" t="str">
        <f t="array" ref="Q109">INDEX('Primary - GRADING'!$A$1:$CP997,MATCH($A109,'Primary - GRADING'!$CP:$CP,0),6)</f>
        <v>#N/A</v>
      </c>
      <c r="R109" s="153" t="str">
        <f t="array" ref="R109">INDEX('Primary - GRADING'!$A$1:$CP997,MATCH($A109,'Primary - GRADING'!$CP:$CP,0),7)</f>
        <v>#N/A</v>
      </c>
      <c r="S109" s="153" t="str">
        <f t="array" ref="S109">INDEX('Primary - GRADING'!$A$1:$CP997,MATCH($A109,'Primary - GRADING'!$CP:$CP,0),8)</f>
        <v>#N/A</v>
      </c>
      <c r="T109" s="153" t="str">
        <f t="array" ref="T109">INDEX('Primary - GRADING'!$A$1:$CP997,MATCH($A109,'Primary - GRADING'!$CP:$CP,0),9)</f>
        <v>#N/A</v>
      </c>
      <c r="U109" s="153" t="str">
        <f t="array" ref="U109">INDEX('Primary - GRADING'!$A$1:$CP997,MATCH($A109,'Primary - GRADING'!$CP:$CP,0),10)</f>
        <v>#N/A</v>
      </c>
      <c r="V109" s="153" t="str">
        <f t="array" ref="V109">INDEX('Primary - GRADING'!$A$1:$CP997,MATCH($A109,'Primary - GRADING'!$CP:$CP,0),18)</f>
        <v>#N/A</v>
      </c>
      <c r="W109" s="153" t="str">
        <f t="array" ref="W109">INDEX('Primary - GRADING'!$A$1:$CP997,MATCH($A109,'Primary - GRADING'!$CP:$CP,0),20)</f>
        <v>#N/A</v>
      </c>
      <c r="X109" s="153" t="str">
        <f t="array" ref="X109">INDEX('Primary - GRADING'!$A$1:$CP997,MATCH($A109,'Primary - GRADING'!$CP:$CP,0),21)</f>
        <v>#N/A</v>
      </c>
      <c r="Y109" s="153" t="str">
        <f t="array" ref="Y109">INDEX('Primary - GRADING'!$A$1:$CP997,MATCH($A109,'Primary - GRADING'!$CP:$CP,0),22)</f>
        <v>#N/A</v>
      </c>
      <c r="Z109" s="165" t="str">
        <f t="array" ref="Z109">INDEX('Primary - GRADING'!$A$1:$CP997,MATCH($A109,'Primary - GRADING'!$CP:$CP,0),23)</f>
        <v>#N/A</v>
      </c>
      <c r="AA109" s="153" t="str">
        <f t="array" ref="AA109">INDEX('Primary - GRADING'!$A$1:$CP997,MATCH($A109,'Primary - GRADING'!$CP:$CP,0),24)</f>
        <v>#N/A</v>
      </c>
      <c r="AB109" s="153" t="str">
        <f t="array" ref="AB109">INDEX('Primary - GRADING'!$A$1:$CP997,MATCH($A109,'Primary - GRADING'!$CP:$CP,0),25)</f>
        <v>#N/A</v>
      </c>
      <c r="AC109" s="153" t="str">
        <f t="array" ref="AC109">INDEX('Primary - GRADING'!$A$1:$CP997,MATCH($A109,'Primary - GRADING'!$CP:$CP,0),46)</f>
        <v>#N/A</v>
      </c>
      <c r="AG109" s="153" t="str">
        <f t="shared" si="7"/>
        <v>#N/A</v>
      </c>
      <c r="AI109" s="153" t="str">
        <f>VLOOKUP(AH109,'Primary - GRADING'!$A$4:$C997,2,)</f>
        <v>#N/A</v>
      </c>
      <c r="AJ109" s="153" t="str">
        <f>VLOOKUP(AH109,'Primary - GRADING'!$A$4:$C997,3,)</f>
        <v>#N/A</v>
      </c>
      <c r="AK109" s="153" t="str">
        <f>VLOOKUP(AH109,'Primary - GRADING'!$A$4:$BG997,59,)</f>
        <v>#N/A</v>
      </c>
      <c r="AL109" s="153" t="str">
        <f>IFS(AK109="NMA",VLOOKUP(AH109,'Primary - GRADING'!$A$4:$BG997,51,),AK109="DIRECT",VLOOKUP(AH109,'Primary - GRADING'!$A$4:$BG997,8,),AK109="INDIRECT",VLOOKUP(AH109,'Primary - GRADING'!$A$4:$BG997,23,))</f>
        <v>#N/A</v>
      </c>
      <c r="AM109" s="153" t="str">
        <f>IFS(AK109="NMA",VLOOKUP(AH109,'Primary - GRADING'!$A$4:$BG997,52,),AK109="DIRECT",VLOOKUP(AH109,'Primary - GRADING'!$A$4:$BG997,9,),AK109="INDIRECT",VLOOKUP(AH109,'Primary - GRADING'!$A$4:$BG997,24,))</f>
        <v>#N/A</v>
      </c>
      <c r="AN109" s="153" t="str">
        <f>IFS(AK109="NMA",VLOOKUP(AH109,'Primary - GRADING'!$A$4:$BG997,53,),AK109="DIRECT",VLOOKUP(AH109,'Primary - GRADING'!$A$4:$BG997,10,),AK109="INDIRECT",VLOOKUP(AH109,'Primary - GRADING'!$A$4:$BG997,25,))</f>
        <v>#N/A</v>
      </c>
      <c r="AO109" s="153" t="str">
        <f t="shared" si="8"/>
        <v>#N/A</v>
      </c>
      <c r="AT109" s="153" t="str">
        <f t="shared" si="9"/>
        <v>#N/A</v>
      </c>
      <c r="AV109" s="153" t="str">
        <f>VLOOKUP(AU109,'Primary - GRADING'!$A$4:$C997,2,)</f>
        <v>#N/A</v>
      </c>
      <c r="AW109" s="153" t="str">
        <f>VLOOKUP(AU109,'Primary - GRADING'!$A$4:$C997,3,)</f>
        <v>#N/A</v>
      </c>
      <c r="AX109" s="153" t="str">
        <f>VLOOKUP(AU109,'Primary - GRADING'!$A$4:$BG997,59,)</f>
        <v>#N/A</v>
      </c>
      <c r="AY109" s="153" t="str">
        <f>IFS(AX109="NMA",VLOOKUP(AU109,'Primary - GRADING'!$A$4:$BG997,51,),AX109="DIRECT",VLOOKUP(AU109,'Primary - GRADING'!$A$4:$BG997,8,),AX109="INDIRECT",VLOOKUP(AU109,'Primary - GRADING'!$A$4:$BG997,23,))</f>
        <v>#N/A</v>
      </c>
      <c r="AZ109" s="153" t="str">
        <f>IFS(AX109="NMA",VLOOKUP(AU109,'Primary - GRADING'!$A$4:$BG997,52,),AX109="DIRECT",VLOOKUP(AU109,'Primary - GRADING'!$A$4:$BG997,9,),AX109="INDIRECT",VLOOKUP(AU109,'Primary - GRADING'!$A$4:$BG997,24,))</f>
        <v>#N/A</v>
      </c>
      <c r="BA109" s="153" t="str">
        <f>IFS(AX109="NMA",VLOOKUP(AU109,'Primary - GRADING'!$A$4:$BG997,53,),AX109="DIRECT",VLOOKUP(AU109,'Primary - GRADING'!$A$4:$BG997,10,),AX109="INDIRECT",VLOOKUP(AU109,'Primary - GRADING'!$A$4:$BG997,25,))</f>
        <v>#N/A</v>
      </c>
      <c r="BB109" s="153" t="str">
        <f t="shared" si="10"/>
        <v>#N/A</v>
      </c>
      <c r="BE109" s="153" t="str">
        <f t="shared" si="11"/>
        <v/>
      </c>
      <c r="BG109" s="153" t="str">
        <f t="shared" si="12"/>
        <v>#N/A</v>
      </c>
      <c r="BI109" s="153" t="str">
        <f t="shared" si="13"/>
        <v>#N/A</v>
      </c>
      <c r="BK109" s="153" t="str">
        <f t="shared" si="14"/>
        <v>#N/A</v>
      </c>
      <c r="BM109" s="153" t="str">
        <f t="shared" si="15"/>
        <v>#N/A</v>
      </c>
    </row>
    <row r="110" ht="15.75" customHeight="1">
      <c r="B110" s="160" t="str">
        <f t="shared" si="1"/>
        <v>#N/A</v>
      </c>
      <c r="C110" s="160" t="str">
        <f t="shared" si="2"/>
        <v>#N/A</v>
      </c>
      <c r="D110" s="160" t="str">
        <f t="shared" si="3"/>
        <v>#N/A</v>
      </c>
      <c r="E110" s="161" t="str">
        <f t="shared" si="4"/>
        <v>#N/A</v>
      </c>
      <c r="F110" s="153" t="str">
        <f t="shared" si="17"/>
        <v>#N/A</v>
      </c>
      <c r="G110" s="153" t="str">
        <f t="shared" si="6"/>
        <v>#N/A</v>
      </c>
      <c r="H110" s="156" t="str">
        <f t="array" ref="H110">INDEX('Primary - GRADING'!$A$1:$BG997,MATCH($A110,'Primary - GRADING'!$B:$B,0),59)</f>
        <v>#N/A</v>
      </c>
      <c r="I110" s="153" t="str">
        <f t="array" ref="I110">INDEX('Primary - GRADING'!$A$1:$CP997,MATCH($A110,'Primary - GRADING'!$CP:$CP,0),48)</f>
        <v>#N/A</v>
      </c>
      <c r="J110" s="153" t="str">
        <f t="array" ref="J110">INDEX('Primary - GRADING'!$A$1:$CP997,MATCH($A110,'Primary - GRADING'!$CP:$CP,0),49)</f>
        <v>#N/A</v>
      </c>
      <c r="K110" s="153" t="str">
        <f t="array" ref="K110">INDEX('Primary - GRADING'!$A$1:$CP997,MATCH($A110,'Primary - GRADING'!$CP:$CP,0),50)</f>
        <v>#N/A</v>
      </c>
      <c r="L110" s="153" t="str">
        <f t="array" ref="L110">INDEX('Primary - GRADING'!$A$1:$CP997,MATCH($A110,'Primary - GRADING'!$CP:$CP,0),51)</f>
        <v>#N/A</v>
      </c>
      <c r="M110" s="153" t="str">
        <f t="array" ref="M110">INDEX('Primary - GRADING'!$A$1:$CP997,MATCH($A110,'Primary - GRADING'!$CP:$CP,0),52)</f>
        <v>#N/A</v>
      </c>
      <c r="N110" s="153" t="str">
        <f t="array" ref="N110">INDEX('Primary - GRADING'!$A$1:$CP997,MATCH($A110,'Primary - GRADING'!$CP:$CP,0),53)</f>
        <v>#N/A</v>
      </c>
      <c r="O110" s="153" t="str">
        <f t="array" ref="O110">INDEX('Primary - GRADING'!$A$1:$CP997,MATCH($A110,'Primary - GRADING'!$CP:$CP,0),58)</f>
        <v>#N/A</v>
      </c>
      <c r="P110" s="153" t="str">
        <f t="array" ref="P110">INDEX('Primary - GRADING'!$A$1:$CP997,MATCH($A110,'Primary - GRADING'!$CP:$CP,0),5)</f>
        <v>#N/A</v>
      </c>
      <c r="Q110" s="153" t="str">
        <f t="array" ref="Q110">INDEX('Primary - GRADING'!$A$1:$CP997,MATCH($A110,'Primary - GRADING'!$CP:$CP,0),6)</f>
        <v>#N/A</v>
      </c>
      <c r="R110" s="153" t="str">
        <f t="array" ref="R110">INDEX('Primary - GRADING'!$A$1:$CP997,MATCH($A110,'Primary - GRADING'!$CP:$CP,0),7)</f>
        <v>#N/A</v>
      </c>
      <c r="S110" s="153" t="str">
        <f t="array" ref="S110">INDEX('Primary - GRADING'!$A$1:$CP997,MATCH($A110,'Primary - GRADING'!$CP:$CP,0),8)</f>
        <v>#N/A</v>
      </c>
      <c r="T110" s="153" t="str">
        <f t="array" ref="T110">INDEX('Primary - GRADING'!$A$1:$CP997,MATCH($A110,'Primary - GRADING'!$CP:$CP,0),9)</f>
        <v>#N/A</v>
      </c>
      <c r="U110" s="153" t="str">
        <f t="array" ref="U110">INDEX('Primary - GRADING'!$A$1:$CP997,MATCH($A110,'Primary - GRADING'!$CP:$CP,0),10)</f>
        <v>#N/A</v>
      </c>
      <c r="V110" s="153" t="str">
        <f t="array" ref="V110">INDEX('Primary - GRADING'!$A$1:$CP997,MATCH($A110,'Primary - GRADING'!$CP:$CP,0),18)</f>
        <v>#N/A</v>
      </c>
      <c r="W110" s="153" t="str">
        <f t="array" ref="W110">INDEX('Primary - GRADING'!$A$1:$CP997,MATCH($A110,'Primary - GRADING'!$CP:$CP,0),20)</f>
        <v>#N/A</v>
      </c>
      <c r="X110" s="153" t="str">
        <f t="array" ref="X110">INDEX('Primary - GRADING'!$A$1:$CP997,MATCH($A110,'Primary - GRADING'!$CP:$CP,0),21)</f>
        <v>#N/A</v>
      </c>
      <c r="Y110" s="153" t="str">
        <f t="array" ref="Y110">INDEX('Primary - GRADING'!$A$1:$CP997,MATCH($A110,'Primary - GRADING'!$CP:$CP,0),22)</f>
        <v>#N/A</v>
      </c>
      <c r="Z110" s="165" t="str">
        <f t="array" ref="Z110">INDEX('Primary - GRADING'!$A$1:$CP997,MATCH($A110,'Primary - GRADING'!$CP:$CP,0),23)</f>
        <v>#N/A</v>
      </c>
      <c r="AA110" s="153" t="str">
        <f t="array" ref="AA110">INDEX('Primary - GRADING'!$A$1:$CP997,MATCH($A110,'Primary - GRADING'!$CP:$CP,0),24)</f>
        <v>#N/A</v>
      </c>
      <c r="AB110" s="153" t="str">
        <f t="array" ref="AB110">INDEX('Primary - GRADING'!$A$1:$CP997,MATCH($A110,'Primary - GRADING'!$CP:$CP,0),25)</f>
        <v>#N/A</v>
      </c>
      <c r="AC110" s="153" t="str">
        <f t="array" ref="AC110">INDEX('Primary - GRADING'!$A$1:$CP997,MATCH($A110,'Primary - GRADING'!$CP:$CP,0),46)</f>
        <v>#N/A</v>
      </c>
      <c r="AG110" s="153" t="str">
        <f t="shared" si="7"/>
        <v>#N/A</v>
      </c>
      <c r="AI110" s="153" t="str">
        <f>VLOOKUP(AH110,'Primary - GRADING'!$A$4:$C997,2,)</f>
        <v>#N/A</v>
      </c>
      <c r="AJ110" s="153" t="str">
        <f>VLOOKUP(AH110,'Primary - GRADING'!$A$4:$C997,3,)</f>
        <v>#N/A</v>
      </c>
      <c r="AK110" s="153" t="str">
        <f>VLOOKUP(AH110,'Primary - GRADING'!$A$4:$BG997,59,)</f>
        <v>#N/A</v>
      </c>
      <c r="AL110" s="153" t="str">
        <f>IFS(AK110="NMA",VLOOKUP(AH110,'Primary - GRADING'!$A$4:$BG997,51,),AK110="DIRECT",VLOOKUP(AH110,'Primary - GRADING'!$A$4:$BG997,8,),AK110="INDIRECT",VLOOKUP(AH110,'Primary - GRADING'!$A$4:$BG997,23,))</f>
        <v>#N/A</v>
      </c>
      <c r="AM110" s="153" t="str">
        <f>IFS(AK110="NMA",VLOOKUP(AH110,'Primary - GRADING'!$A$4:$BG997,52,),AK110="DIRECT",VLOOKUP(AH110,'Primary - GRADING'!$A$4:$BG997,9,),AK110="INDIRECT",VLOOKUP(AH110,'Primary - GRADING'!$A$4:$BG997,24,))</f>
        <v>#N/A</v>
      </c>
      <c r="AN110" s="153" t="str">
        <f>IFS(AK110="NMA",VLOOKUP(AH110,'Primary - GRADING'!$A$4:$BG997,53,),AK110="DIRECT",VLOOKUP(AH110,'Primary - GRADING'!$A$4:$BG997,10,),AK110="INDIRECT",VLOOKUP(AH110,'Primary - GRADING'!$A$4:$BG997,25,))</f>
        <v>#N/A</v>
      </c>
      <c r="AO110" s="153" t="str">
        <f t="shared" si="8"/>
        <v>#N/A</v>
      </c>
      <c r="AT110" s="153" t="str">
        <f t="shared" si="9"/>
        <v>#N/A</v>
      </c>
      <c r="AV110" s="153" t="str">
        <f>VLOOKUP(AU110,'Primary - GRADING'!$A$4:$C997,2,)</f>
        <v>#N/A</v>
      </c>
      <c r="AW110" s="153" t="str">
        <f>VLOOKUP(AU110,'Primary - GRADING'!$A$4:$C997,3,)</f>
        <v>#N/A</v>
      </c>
      <c r="AX110" s="153" t="str">
        <f>VLOOKUP(AU110,'Primary - GRADING'!$A$4:$BG997,59,)</f>
        <v>#N/A</v>
      </c>
      <c r="AY110" s="153" t="str">
        <f>IFS(AX110="NMA",VLOOKUP(AU110,'Primary - GRADING'!$A$4:$BG997,51,),AX110="DIRECT",VLOOKUP(AU110,'Primary - GRADING'!$A$4:$BG997,8,),AX110="INDIRECT",VLOOKUP(AU110,'Primary - GRADING'!$A$4:$BG997,23,))</f>
        <v>#N/A</v>
      </c>
      <c r="AZ110" s="153" t="str">
        <f>IFS(AX110="NMA",VLOOKUP(AU110,'Primary - GRADING'!$A$4:$BG997,52,),AX110="DIRECT",VLOOKUP(AU110,'Primary - GRADING'!$A$4:$BG997,9,),AX110="INDIRECT",VLOOKUP(AU110,'Primary - GRADING'!$A$4:$BG997,24,))</f>
        <v>#N/A</v>
      </c>
      <c r="BA110" s="153" t="str">
        <f>IFS(AX110="NMA",VLOOKUP(AU110,'Primary - GRADING'!$A$4:$BG997,53,),AX110="DIRECT",VLOOKUP(AU110,'Primary - GRADING'!$A$4:$BG997,10,),AX110="INDIRECT",VLOOKUP(AU110,'Primary - GRADING'!$A$4:$BG997,25,))</f>
        <v>#N/A</v>
      </c>
      <c r="BB110" s="153" t="str">
        <f t="shared" si="10"/>
        <v>#N/A</v>
      </c>
      <c r="BE110" s="153" t="str">
        <f t="shared" si="11"/>
        <v/>
      </c>
      <c r="BG110" s="153" t="str">
        <f t="shared" si="12"/>
        <v>#N/A</v>
      </c>
      <c r="BI110" s="153" t="str">
        <f t="shared" si="13"/>
        <v>#N/A</v>
      </c>
      <c r="BK110" s="153" t="str">
        <f t="shared" si="14"/>
        <v>#N/A</v>
      </c>
      <c r="BM110" s="153" t="str">
        <f t="shared" si="15"/>
        <v>#N/A</v>
      </c>
    </row>
    <row r="111" ht="15.75" customHeight="1">
      <c r="B111" s="160" t="str">
        <f t="shared" si="1"/>
        <v>#N/A</v>
      </c>
      <c r="C111" s="160" t="str">
        <f t="shared" si="2"/>
        <v>#N/A</v>
      </c>
      <c r="D111" s="160" t="str">
        <f t="shared" si="3"/>
        <v>#N/A</v>
      </c>
      <c r="E111" s="161" t="str">
        <f t="shared" si="4"/>
        <v>#N/A</v>
      </c>
      <c r="F111" s="153" t="str">
        <f t="shared" si="17"/>
        <v>#N/A</v>
      </c>
      <c r="G111" s="153" t="str">
        <f t="shared" si="6"/>
        <v>#N/A</v>
      </c>
      <c r="H111" s="156" t="str">
        <f t="array" ref="H111">INDEX('Primary - GRADING'!$A$1:$BG997,MATCH($A111,'Primary - GRADING'!$B:$B,0),59)</f>
        <v>#N/A</v>
      </c>
      <c r="I111" s="153" t="str">
        <f t="array" ref="I111">INDEX('Primary - GRADING'!$A$1:$CP997,MATCH($A111,'Primary - GRADING'!$CP:$CP,0),48)</f>
        <v>#N/A</v>
      </c>
      <c r="J111" s="153" t="str">
        <f t="array" ref="J111">INDEX('Primary - GRADING'!$A$1:$CP997,MATCH($A111,'Primary - GRADING'!$CP:$CP,0),49)</f>
        <v>#N/A</v>
      </c>
      <c r="K111" s="153" t="str">
        <f t="array" ref="K111">INDEX('Primary - GRADING'!$A$1:$CP997,MATCH($A111,'Primary - GRADING'!$CP:$CP,0),50)</f>
        <v>#N/A</v>
      </c>
      <c r="L111" s="153" t="str">
        <f t="array" ref="L111">INDEX('Primary - GRADING'!$A$1:$CP997,MATCH($A111,'Primary - GRADING'!$CP:$CP,0),51)</f>
        <v>#N/A</v>
      </c>
      <c r="M111" s="153" t="str">
        <f t="array" ref="M111">INDEX('Primary - GRADING'!$A$1:$CP997,MATCH($A111,'Primary - GRADING'!$CP:$CP,0),52)</f>
        <v>#N/A</v>
      </c>
      <c r="N111" s="153" t="str">
        <f t="array" ref="N111">INDEX('Primary - GRADING'!$A$1:$CP997,MATCH($A111,'Primary - GRADING'!$CP:$CP,0),53)</f>
        <v>#N/A</v>
      </c>
      <c r="O111" s="153" t="str">
        <f t="array" ref="O111">INDEX('Primary - GRADING'!$A$1:$CP997,MATCH($A111,'Primary - GRADING'!$CP:$CP,0),58)</f>
        <v>#N/A</v>
      </c>
      <c r="P111" s="153" t="str">
        <f t="array" ref="P111">INDEX('Primary - GRADING'!$A$1:$CP997,MATCH($A111,'Primary - GRADING'!$CP:$CP,0),5)</f>
        <v>#N/A</v>
      </c>
      <c r="Q111" s="153" t="str">
        <f t="array" ref="Q111">INDEX('Primary - GRADING'!$A$1:$CP997,MATCH($A111,'Primary - GRADING'!$CP:$CP,0),6)</f>
        <v>#N/A</v>
      </c>
      <c r="R111" s="153" t="str">
        <f t="array" ref="R111">INDEX('Primary - GRADING'!$A$1:$CP997,MATCH($A111,'Primary - GRADING'!$CP:$CP,0),7)</f>
        <v>#N/A</v>
      </c>
      <c r="S111" s="153" t="str">
        <f t="array" ref="S111">INDEX('Primary - GRADING'!$A$1:$CP997,MATCH($A111,'Primary - GRADING'!$CP:$CP,0),8)</f>
        <v>#N/A</v>
      </c>
      <c r="T111" s="153" t="str">
        <f t="array" ref="T111">INDEX('Primary - GRADING'!$A$1:$CP997,MATCH($A111,'Primary - GRADING'!$CP:$CP,0),9)</f>
        <v>#N/A</v>
      </c>
      <c r="U111" s="153" t="str">
        <f t="array" ref="U111">INDEX('Primary - GRADING'!$A$1:$CP997,MATCH($A111,'Primary - GRADING'!$CP:$CP,0),10)</f>
        <v>#N/A</v>
      </c>
      <c r="V111" s="153" t="str">
        <f t="array" ref="V111">INDEX('Primary - GRADING'!$A$1:$CP997,MATCH($A111,'Primary - GRADING'!$CP:$CP,0),18)</f>
        <v>#N/A</v>
      </c>
      <c r="W111" s="153" t="str">
        <f t="array" ref="W111">INDEX('Primary - GRADING'!$A$1:$CP997,MATCH($A111,'Primary - GRADING'!$CP:$CP,0),20)</f>
        <v>#N/A</v>
      </c>
      <c r="X111" s="153" t="str">
        <f t="array" ref="X111">INDEX('Primary - GRADING'!$A$1:$CP997,MATCH($A111,'Primary - GRADING'!$CP:$CP,0),21)</f>
        <v>#N/A</v>
      </c>
      <c r="Y111" s="153" t="str">
        <f t="array" ref="Y111">INDEX('Primary - GRADING'!$A$1:$CP997,MATCH($A111,'Primary - GRADING'!$CP:$CP,0),22)</f>
        <v>#N/A</v>
      </c>
      <c r="Z111" s="165" t="str">
        <f t="array" ref="Z111">INDEX('Primary - GRADING'!$A$1:$CP997,MATCH($A111,'Primary - GRADING'!$CP:$CP,0),23)</f>
        <v>#N/A</v>
      </c>
      <c r="AA111" s="153" t="str">
        <f t="array" ref="AA111">INDEX('Primary - GRADING'!$A$1:$CP997,MATCH($A111,'Primary - GRADING'!$CP:$CP,0),24)</f>
        <v>#N/A</v>
      </c>
      <c r="AB111" s="153" t="str">
        <f t="array" ref="AB111">INDEX('Primary - GRADING'!$A$1:$CP997,MATCH($A111,'Primary - GRADING'!$CP:$CP,0),25)</f>
        <v>#N/A</v>
      </c>
      <c r="AC111" s="153" t="str">
        <f t="array" ref="AC111">INDEX('Primary - GRADING'!$A$1:$CP997,MATCH($A111,'Primary - GRADING'!$CP:$CP,0),46)</f>
        <v>#N/A</v>
      </c>
      <c r="AG111" s="153" t="str">
        <f t="shared" si="7"/>
        <v>#N/A</v>
      </c>
      <c r="AI111" s="153" t="str">
        <f>VLOOKUP(AH111,'Primary - GRADING'!$A$4:$C997,2,)</f>
        <v>#N/A</v>
      </c>
      <c r="AJ111" s="153" t="str">
        <f>VLOOKUP(AH111,'Primary - GRADING'!$A$4:$C997,3,)</f>
        <v>#N/A</v>
      </c>
      <c r="AK111" s="153" t="str">
        <f>VLOOKUP(AH111,'Primary - GRADING'!$A$4:$BG997,59,)</f>
        <v>#N/A</v>
      </c>
      <c r="AL111" s="153" t="str">
        <f>IFS(AK111="NMA",VLOOKUP(AH111,'Primary - GRADING'!$A$4:$BG997,51,),AK111="DIRECT",VLOOKUP(AH111,'Primary - GRADING'!$A$4:$BG997,8,),AK111="INDIRECT",VLOOKUP(AH111,'Primary - GRADING'!$A$4:$BG997,23,))</f>
        <v>#N/A</v>
      </c>
      <c r="AM111" s="153" t="str">
        <f>IFS(AK111="NMA",VLOOKUP(AH111,'Primary - GRADING'!$A$4:$BG997,52,),AK111="DIRECT",VLOOKUP(AH111,'Primary - GRADING'!$A$4:$BG997,9,),AK111="INDIRECT",VLOOKUP(AH111,'Primary - GRADING'!$A$4:$BG997,24,))</f>
        <v>#N/A</v>
      </c>
      <c r="AN111" s="153" t="str">
        <f>IFS(AK111="NMA",VLOOKUP(AH111,'Primary - GRADING'!$A$4:$BG997,53,),AK111="DIRECT",VLOOKUP(AH111,'Primary - GRADING'!$A$4:$BG997,10,),AK111="INDIRECT",VLOOKUP(AH111,'Primary - GRADING'!$A$4:$BG997,25,))</f>
        <v>#N/A</v>
      </c>
      <c r="AO111" s="153" t="str">
        <f t="shared" si="8"/>
        <v>#N/A</v>
      </c>
      <c r="AT111" s="153" t="str">
        <f t="shared" si="9"/>
        <v>#N/A</v>
      </c>
      <c r="AV111" s="153" t="str">
        <f>VLOOKUP(AU111,'Primary - GRADING'!$A$4:$C997,2,)</f>
        <v>#N/A</v>
      </c>
      <c r="AW111" s="153" t="str">
        <f>VLOOKUP(AU111,'Primary - GRADING'!$A$4:$C997,3,)</f>
        <v>#N/A</v>
      </c>
      <c r="AX111" s="153" t="str">
        <f>VLOOKUP(AU111,'Primary - GRADING'!$A$4:$BG997,59,)</f>
        <v>#N/A</v>
      </c>
      <c r="AY111" s="153" t="str">
        <f>IFS(AX111="NMA",VLOOKUP(AU111,'Primary - GRADING'!$A$4:$BG997,51,),AX111="DIRECT",VLOOKUP(AU111,'Primary - GRADING'!$A$4:$BG997,8,),AX111="INDIRECT",VLOOKUP(AU111,'Primary - GRADING'!$A$4:$BG997,23,))</f>
        <v>#N/A</v>
      </c>
      <c r="AZ111" s="153" t="str">
        <f>IFS(AX111="NMA",VLOOKUP(AU111,'Primary - GRADING'!$A$4:$BG997,52,),AX111="DIRECT",VLOOKUP(AU111,'Primary - GRADING'!$A$4:$BG997,9,),AX111="INDIRECT",VLOOKUP(AU111,'Primary - GRADING'!$A$4:$BG997,24,))</f>
        <v>#N/A</v>
      </c>
      <c r="BA111" s="153" t="str">
        <f>IFS(AX111="NMA",VLOOKUP(AU111,'Primary - GRADING'!$A$4:$BG997,53,),AX111="DIRECT",VLOOKUP(AU111,'Primary - GRADING'!$A$4:$BG997,10,),AX111="INDIRECT",VLOOKUP(AU111,'Primary - GRADING'!$A$4:$BG997,25,))</f>
        <v>#N/A</v>
      </c>
      <c r="BB111" s="153" t="str">
        <f t="shared" si="10"/>
        <v>#N/A</v>
      </c>
      <c r="BE111" s="153" t="str">
        <f t="shared" si="11"/>
        <v/>
      </c>
      <c r="BG111" s="153" t="str">
        <f t="shared" si="12"/>
        <v>#N/A</v>
      </c>
      <c r="BI111" s="153" t="str">
        <f t="shared" si="13"/>
        <v>#N/A</v>
      </c>
      <c r="BK111" s="153" t="str">
        <f t="shared" si="14"/>
        <v>#N/A</v>
      </c>
      <c r="BM111" s="153" t="str">
        <f t="shared" si="15"/>
        <v>#N/A</v>
      </c>
    </row>
    <row r="112" ht="15.75" customHeight="1">
      <c r="B112" s="160" t="str">
        <f t="shared" si="1"/>
        <v>#N/A</v>
      </c>
      <c r="C112" s="160" t="str">
        <f t="shared" si="2"/>
        <v>#N/A</v>
      </c>
      <c r="D112" s="160" t="str">
        <f t="shared" si="3"/>
        <v>#N/A</v>
      </c>
      <c r="E112" s="161" t="str">
        <f t="shared" si="4"/>
        <v>#N/A</v>
      </c>
      <c r="F112" s="153" t="str">
        <f t="shared" si="17"/>
        <v>#N/A</v>
      </c>
      <c r="G112" s="153" t="str">
        <f t="shared" si="6"/>
        <v>#N/A</v>
      </c>
      <c r="H112" s="156" t="str">
        <f t="array" ref="H112">INDEX('Primary - GRADING'!$A$1:$BG997,MATCH($A112,'Primary - GRADING'!$B:$B,0),59)</f>
        <v>#N/A</v>
      </c>
      <c r="I112" s="153" t="str">
        <f t="array" ref="I112">INDEX('Primary - GRADING'!$A$1:$CP997,MATCH($A112,'Primary - GRADING'!$CP:$CP,0),48)</f>
        <v>#N/A</v>
      </c>
      <c r="J112" s="153" t="str">
        <f t="array" ref="J112">INDEX('Primary - GRADING'!$A$1:$CP997,MATCH($A112,'Primary - GRADING'!$CP:$CP,0),49)</f>
        <v>#N/A</v>
      </c>
      <c r="K112" s="153" t="str">
        <f t="array" ref="K112">INDEX('Primary - GRADING'!$A$1:$CP997,MATCH($A112,'Primary - GRADING'!$CP:$CP,0),50)</f>
        <v>#N/A</v>
      </c>
      <c r="L112" s="153" t="str">
        <f t="array" ref="L112">INDEX('Primary - GRADING'!$A$1:$CP997,MATCH($A112,'Primary - GRADING'!$CP:$CP,0),51)</f>
        <v>#N/A</v>
      </c>
      <c r="M112" s="153" t="str">
        <f t="array" ref="M112">INDEX('Primary - GRADING'!$A$1:$CP997,MATCH($A112,'Primary - GRADING'!$CP:$CP,0),52)</f>
        <v>#N/A</v>
      </c>
      <c r="N112" s="153" t="str">
        <f t="array" ref="N112">INDEX('Primary - GRADING'!$A$1:$CP997,MATCH($A112,'Primary - GRADING'!$CP:$CP,0),53)</f>
        <v>#N/A</v>
      </c>
      <c r="O112" s="153" t="str">
        <f t="array" ref="O112">INDEX('Primary - GRADING'!$A$1:$CP997,MATCH($A112,'Primary - GRADING'!$CP:$CP,0),58)</f>
        <v>#N/A</v>
      </c>
      <c r="P112" s="153" t="str">
        <f t="array" ref="P112">INDEX('Primary - GRADING'!$A$1:$CP997,MATCH($A112,'Primary - GRADING'!$CP:$CP,0),5)</f>
        <v>#N/A</v>
      </c>
      <c r="Q112" s="153" t="str">
        <f t="array" ref="Q112">INDEX('Primary - GRADING'!$A$1:$CP997,MATCH($A112,'Primary - GRADING'!$CP:$CP,0),6)</f>
        <v>#N/A</v>
      </c>
      <c r="R112" s="153" t="str">
        <f t="array" ref="R112">INDEX('Primary - GRADING'!$A$1:$CP997,MATCH($A112,'Primary - GRADING'!$CP:$CP,0),7)</f>
        <v>#N/A</v>
      </c>
      <c r="S112" s="153" t="str">
        <f t="array" ref="S112">INDEX('Primary - GRADING'!$A$1:$CP997,MATCH($A112,'Primary - GRADING'!$CP:$CP,0),8)</f>
        <v>#N/A</v>
      </c>
      <c r="T112" s="153" t="str">
        <f t="array" ref="T112">INDEX('Primary - GRADING'!$A$1:$CP997,MATCH($A112,'Primary - GRADING'!$CP:$CP,0),9)</f>
        <v>#N/A</v>
      </c>
      <c r="U112" s="153" t="str">
        <f t="array" ref="U112">INDEX('Primary - GRADING'!$A$1:$CP997,MATCH($A112,'Primary - GRADING'!$CP:$CP,0),10)</f>
        <v>#N/A</v>
      </c>
      <c r="V112" s="153" t="str">
        <f t="array" ref="V112">INDEX('Primary - GRADING'!$A$1:$CP997,MATCH($A112,'Primary - GRADING'!$CP:$CP,0),18)</f>
        <v>#N/A</v>
      </c>
      <c r="W112" s="153" t="str">
        <f t="array" ref="W112">INDEX('Primary - GRADING'!$A$1:$CP997,MATCH($A112,'Primary - GRADING'!$CP:$CP,0),20)</f>
        <v>#N/A</v>
      </c>
      <c r="X112" s="153" t="str">
        <f t="array" ref="X112">INDEX('Primary - GRADING'!$A$1:$CP997,MATCH($A112,'Primary - GRADING'!$CP:$CP,0),21)</f>
        <v>#N/A</v>
      </c>
      <c r="Y112" s="153" t="str">
        <f t="array" ref="Y112">INDEX('Primary - GRADING'!$A$1:$CP997,MATCH($A112,'Primary - GRADING'!$CP:$CP,0),22)</f>
        <v>#N/A</v>
      </c>
      <c r="Z112" s="165" t="str">
        <f t="array" ref="Z112">INDEX('Primary - GRADING'!$A$1:$CP997,MATCH($A112,'Primary - GRADING'!$CP:$CP,0),23)</f>
        <v>#N/A</v>
      </c>
      <c r="AA112" s="153" t="str">
        <f t="array" ref="AA112">INDEX('Primary - GRADING'!$A$1:$CP997,MATCH($A112,'Primary - GRADING'!$CP:$CP,0),24)</f>
        <v>#N/A</v>
      </c>
      <c r="AB112" s="153" t="str">
        <f t="array" ref="AB112">INDEX('Primary - GRADING'!$A$1:$CP997,MATCH($A112,'Primary - GRADING'!$CP:$CP,0),25)</f>
        <v>#N/A</v>
      </c>
      <c r="AC112" s="153" t="str">
        <f t="array" ref="AC112">INDEX('Primary - GRADING'!$A$1:$CP997,MATCH($A112,'Primary - GRADING'!$CP:$CP,0),46)</f>
        <v>#N/A</v>
      </c>
      <c r="AG112" s="153" t="str">
        <f t="shared" si="7"/>
        <v>#N/A</v>
      </c>
      <c r="AI112" s="153" t="str">
        <f>VLOOKUP(AH112,'Primary - GRADING'!$A$4:$C997,2,)</f>
        <v>#N/A</v>
      </c>
      <c r="AJ112" s="153" t="str">
        <f>VLOOKUP(AH112,'Primary - GRADING'!$A$4:$C997,3,)</f>
        <v>#N/A</v>
      </c>
      <c r="AK112" s="153" t="str">
        <f>VLOOKUP(AH112,'Primary - GRADING'!$A$4:$BG997,59,)</f>
        <v>#N/A</v>
      </c>
      <c r="AL112" s="153" t="str">
        <f>IFS(AK112="NMA",VLOOKUP(AH112,'Primary - GRADING'!$A$4:$BG997,51,),AK112="DIRECT",VLOOKUP(AH112,'Primary - GRADING'!$A$4:$BG997,8,),AK112="INDIRECT",VLOOKUP(AH112,'Primary - GRADING'!$A$4:$BG997,23,))</f>
        <v>#N/A</v>
      </c>
      <c r="AM112" s="153" t="str">
        <f>IFS(AK112="NMA",VLOOKUP(AH112,'Primary - GRADING'!$A$4:$BG997,52,),AK112="DIRECT",VLOOKUP(AH112,'Primary - GRADING'!$A$4:$BG997,9,),AK112="INDIRECT",VLOOKUP(AH112,'Primary - GRADING'!$A$4:$BG997,24,))</f>
        <v>#N/A</v>
      </c>
      <c r="AN112" s="153" t="str">
        <f>IFS(AK112="NMA",VLOOKUP(AH112,'Primary - GRADING'!$A$4:$BG997,53,),AK112="DIRECT",VLOOKUP(AH112,'Primary - GRADING'!$A$4:$BG997,10,),AK112="INDIRECT",VLOOKUP(AH112,'Primary - GRADING'!$A$4:$BG997,25,))</f>
        <v>#N/A</v>
      </c>
      <c r="AO112" s="153" t="str">
        <f t="shared" si="8"/>
        <v>#N/A</v>
      </c>
      <c r="AT112" s="153" t="str">
        <f t="shared" si="9"/>
        <v>#N/A</v>
      </c>
      <c r="AV112" s="153" t="str">
        <f>VLOOKUP(AU112,'Primary - GRADING'!$A$4:$C997,2,)</f>
        <v>#N/A</v>
      </c>
      <c r="AW112" s="153" t="str">
        <f>VLOOKUP(AU112,'Primary - GRADING'!$A$4:$C997,3,)</f>
        <v>#N/A</v>
      </c>
      <c r="AX112" s="153" t="str">
        <f>VLOOKUP(AU112,'Primary - GRADING'!$A$4:$BG997,59,)</f>
        <v>#N/A</v>
      </c>
      <c r="AY112" s="153" t="str">
        <f>IFS(AX112="NMA",VLOOKUP(AU112,'Primary - GRADING'!$A$4:$BG997,51,),AX112="DIRECT",VLOOKUP(AU112,'Primary - GRADING'!$A$4:$BG997,8,),AX112="INDIRECT",VLOOKUP(AU112,'Primary - GRADING'!$A$4:$BG997,23,))</f>
        <v>#N/A</v>
      </c>
      <c r="AZ112" s="153" t="str">
        <f>IFS(AX112="NMA",VLOOKUP(AU112,'Primary - GRADING'!$A$4:$BG997,52,),AX112="DIRECT",VLOOKUP(AU112,'Primary - GRADING'!$A$4:$BG997,9,),AX112="INDIRECT",VLOOKUP(AU112,'Primary - GRADING'!$A$4:$BG997,24,))</f>
        <v>#N/A</v>
      </c>
      <c r="BA112" s="153" t="str">
        <f>IFS(AX112="NMA",VLOOKUP(AU112,'Primary - GRADING'!$A$4:$BG997,53,),AX112="DIRECT",VLOOKUP(AU112,'Primary - GRADING'!$A$4:$BG997,10,),AX112="INDIRECT",VLOOKUP(AU112,'Primary - GRADING'!$A$4:$BG997,25,))</f>
        <v>#N/A</v>
      </c>
      <c r="BB112" s="153" t="str">
        <f t="shared" si="10"/>
        <v>#N/A</v>
      </c>
      <c r="BE112" s="153" t="str">
        <f t="shared" si="11"/>
        <v/>
      </c>
      <c r="BG112" s="153" t="str">
        <f t="shared" si="12"/>
        <v>#N/A</v>
      </c>
      <c r="BI112" s="153" t="str">
        <f t="shared" si="13"/>
        <v>#N/A</v>
      </c>
      <c r="BK112" s="153" t="str">
        <f t="shared" si="14"/>
        <v>#N/A</v>
      </c>
      <c r="BM112" s="153" t="str">
        <f t="shared" si="15"/>
        <v>#N/A</v>
      </c>
    </row>
    <row r="113" ht="15.75" customHeight="1">
      <c r="B113" s="160" t="str">
        <f t="shared" si="1"/>
        <v>#N/A</v>
      </c>
      <c r="C113" s="160" t="str">
        <f t="shared" si="2"/>
        <v>#N/A</v>
      </c>
      <c r="D113" s="160" t="str">
        <f t="shared" si="3"/>
        <v>#N/A</v>
      </c>
      <c r="E113" s="161" t="str">
        <f t="shared" si="4"/>
        <v>#N/A</v>
      </c>
      <c r="F113" s="153" t="str">
        <f t="shared" si="17"/>
        <v>#N/A</v>
      </c>
      <c r="G113" s="153" t="str">
        <f t="shared" si="6"/>
        <v>#N/A</v>
      </c>
      <c r="H113" s="156" t="str">
        <f t="array" ref="H113">INDEX('Primary - GRADING'!$A$1:$BG997,MATCH($A113,'Primary - GRADING'!$B:$B,0),59)</f>
        <v>#N/A</v>
      </c>
      <c r="I113" s="153" t="str">
        <f t="array" ref="I113">INDEX('Primary - GRADING'!$A$1:$CP997,MATCH($A113,'Primary - GRADING'!$CP:$CP,0),48)</f>
        <v>#N/A</v>
      </c>
      <c r="J113" s="153" t="str">
        <f t="array" ref="J113">INDEX('Primary - GRADING'!$A$1:$CP997,MATCH($A113,'Primary - GRADING'!$CP:$CP,0),49)</f>
        <v>#N/A</v>
      </c>
      <c r="K113" s="153" t="str">
        <f t="array" ref="K113">INDEX('Primary - GRADING'!$A$1:$CP997,MATCH($A113,'Primary - GRADING'!$CP:$CP,0),50)</f>
        <v>#N/A</v>
      </c>
      <c r="L113" s="153" t="str">
        <f t="array" ref="L113">INDEX('Primary - GRADING'!$A$1:$CP997,MATCH($A113,'Primary - GRADING'!$CP:$CP,0),51)</f>
        <v>#N/A</v>
      </c>
      <c r="M113" s="153" t="str">
        <f t="array" ref="M113">INDEX('Primary - GRADING'!$A$1:$CP997,MATCH($A113,'Primary - GRADING'!$CP:$CP,0),52)</f>
        <v>#N/A</v>
      </c>
      <c r="N113" s="153" t="str">
        <f t="array" ref="N113">INDEX('Primary - GRADING'!$A$1:$CP997,MATCH($A113,'Primary - GRADING'!$CP:$CP,0),53)</f>
        <v>#N/A</v>
      </c>
      <c r="O113" s="153" t="str">
        <f t="array" ref="O113">INDEX('Primary - GRADING'!$A$1:$CP997,MATCH($A113,'Primary - GRADING'!$CP:$CP,0),58)</f>
        <v>#N/A</v>
      </c>
      <c r="P113" s="153" t="str">
        <f t="array" ref="P113">INDEX('Primary - GRADING'!$A$1:$CP997,MATCH($A113,'Primary - GRADING'!$CP:$CP,0),5)</f>
        <v>#N/A</v>
      </c>
      <c r="Q113" s="153" t="str">
        <f t="array" ref="Q113">INDEX('Primary - GRADING'!$A$1:$CP997,MATCH($A113,'Primary - GRADING'!$CP:$CP,0),6)</f>
        <v>#N/A</v>
      </c>
      <c r="R113" s="153" t="str">
        <f t="array" ref="R113">INDEX('Primary - GRADING'!$A$1:$CP997,MATCH($A113,'Primary - GRADING'!$CP:$CP,0),7)</f>
        <v>#N/A</v>
      </c>
      <c r="S113" s="153" t="str">
        <f t="array" ref="S113">INDEX('Primary - GRADING'!$A$1:$CP997,MATCH($A113,'Primary - GRADING'!$CP:$CP,0),8)</f>
        <v>#N/A</v>
      </c>
      <c r="T113" s="153" t="str">
        <f t="array" ref="T113">INDEX('Primary - GRADING'!$A$1:$CP997,MATCH($A113,'Primary - GRADING'!$CP:$CP,0),9)</f>
        <v>#N/A</v>
      </c>
      <c r="U113" s="153" t="str">
        <f t="array" ref="U113">INDEX('Primary - GRADING'!$A$1:$CP997,MATCH($A113,'Primary - GRADING'!$CP:$CP,0),10)</f>
        <v>#N/A</v>
      </c>
      <c r="V113" s="153" t="str">
        <f t="array" ref="V113">INDEX('Primary - GRADING'!$A$1:$CP997,MATCH($A113,'Primary - GRADING'!$CP:$CP,0),18)</f>
        <v>#N/A</v>
      </c>
      <c r="W113" s="153" t="str">
        <f t="array" ref="W113">INDEX('Primary - GRADING'!$A$1:$CP997,MATCH($A113,'Primary - GRADING'!$CP:$CP,0),20)</f>
        <v>#N/A</v>
      </c>
      <c r="X113" s="153" t="str">
        <f t="array" ref="X113">INDEX('Primary - GRADING'!$A$1:$CP997,MATCH($A113,'Primary - GRADING'!$CP:$CP,0),21)</f>
        <v>#N/A</v>
      </c>
      <c r="Y113" s="153" t="str">
        <f t="array" ref="Y113">INDEX('Primary - GRADING'!$A$1:$CP997,MATCH($A113,'Primary - GRADING'!$CP:$CP,0),22)</f>
        <v>#N/A</v>
      </c>
      <c r="Z113" s="165" t="str">
        <f t="array" ref="Z113">INDEX('Primary - GRADING'!$A$1:$CP997,MATCH($A113,'Primary - GRADING'!$CP:$CP,0),23)</f>
        <v>#N/A</v>
      </c>
      <c r="AA113" s="153" t="str">
        <f t="array" ref="AA113">INDEX('Primary - GRADING'!$A$1:$CP997,MATCH($A113,'Primary - GRADING'!$CP:$CP,0),24)</f>
        <v>#N/A</v>
      </c>
      <c r="AB113" s="153" t="str">
        <f t="array" ref="AB113">INDEX('Primary - GRADING'!$A$1:$CP997,MATCH($A113,'Primary - GRADING'!$CP:$CP,0),25)</f>
        <v>#N/A</v>
      </c>
      <c r="AC113" s="153" t="str">
        <f t="array" ref="AC113">INDEX('Primary - GRADING'!$A$1:$CP997,MATCH($A113,'Primary - GRADING'!$CP:$CP,0),46)</f>
        <v>#N/A</v>
      </c>
      <c r="AG113" s="153" t="str">
        <f t="shared" si="7"/>
        <v>#N/A</v>
      </c>
      <c r="AI113" s="153" t="str">
        <f>VLOOKUP(AH113,'Primary - GRADING'!$A$4:$C997,2,)</f>
        <v>#N/A</v>
      </c>
      <c r="AJ113" s="153" t="str">
        <f>VLOOKUP(AH113,'Primary - GRADING'!$A$4:$C997,3,)</f>
        <v>#N/A</v>
      </c>
      <c r="AK113" s="153" t="str">
        <f>VLOOKUP(AH113,'Primary - GRADING'!$A$4:$BG997,59,)</f>
        <v>#N/A</v>
      </c>
      <c r="AL113" s="153" t="str">
        <f>IFS(AK113="NMA",VLOOKUP(AH113,'Primary - GRADING'!$A$4:$BG997,51,),AK113="DIRECT",VLOOKUP(AH113,'Primary - GRADING'!$A$4:$BG997,8,),AK113="INDIRECT",VLOOKUP(AH113,'Primary - GRADING'!$A$4:$BG997,23,))</f>
        <v>#N/A</v>
      </c>
      <c r="AM113" s="153" t="str">
        <f>IFS(AK113="NMA",VLOOKUP(AH113,'Primary - GRADING'!$A$4:$BG997,52,),AK113="DIRECT",VLOOKUP(AH113,'Primary - GRADING'!$A$4:$BG997,9,),AK113="INDIRECT",VLOOKUP(AH113,'Primary - GRADING'!$A$4:$BG997,24,))</f>
        <v>#N/A</v>
      </c>
      <c r="AN113" s="153" t="str">
        <f>IFS(AK113="NMA",VLOOKUP(AH113,'Primary - GRADING'!$A$4:$BG997,53,),AK113="DIRECT",VLOOKUP(AH113,'Primary - GRADING'!$A$4:$BG997,10,),AK113="INDIRECT",VLOOKUP(AH113,'Primary - GRADING'!$A$4:$BG997,25,))</f>
        <v>#N/A</v>
      </c>
      <c r="AO113" s="153" t="str">
        <f t="shared" si="8"/>
        <v>#N/A</v>
      </c>
      <c r="AT113" s="153" t="str">
        <f t="shared" si="9"/>
        <v>#N/A</v>
      </c>
      <c r="AV113" s="153" t="str">
        <f>VLOOKUP(AU113,'Primary - GRADING'!$A$4:$C997,2,)</f>
        <v>#N/A</v>
      </c>
      <c r="AW113" s="153" t="str">
        <f>VLOOKUP(AU113,'Primary - GRADING'!$A$4:$C997,3,)</f>
        <v>#N/A</v>
      </c>
      <c r="AX113" s="153" t="str">
        <f>VLOOKUP(AU113,'Primary - GRADING'!$A$4:$BG997,59,)</f>
        <v>#N/A</v>
      </c>
      <c r="AY113" s="153" t="str">
        <f>IFS(AX113="NMA",VLOOKUP(AU113,'Primary - GRADING'!$A$4:$BG997,51,),AX113="DIRECT",VLOOKUP(AU113,'Primary - GRADING'!$A$4:$BG997,8,),AX113="INDIRECT",VLOOKUP(AU113,'Primary - GRADING'!$A$4:$BG997,23,))</f>
        <v>#N/A</v>
      </c>
      <c r="AZ113" s="153" t="str">
        <f>IFS(AX113="NMA",VLOOKUP(AU113,'Primary - GRADING'!$A$4:$BG997,52,),AX113="DIRECT",VLOOKUP(AU113,'Primary - GRADING'!$A$4:$BG997,9,),AX113="INDIRECT",VLOOKUP(AU113,'Primary - GRADING'!$A$4:$BG997,24,))</f>
        <v>#N/A</v>
      </c>
      <c r="BA113" s="153" t="str">
        <f>IFS(AX113="NMA",VLOOKUP(AU113,'Primary - GRADING'!$A$4:$BG997,53,),AX113="DIRECT",VLOOKUP(AU113,'Primary - GRADING'!$A$4:$BG997,10,),AX113="INDIRECT",VLOOKUP(AU113,'Primary - GRADING'!$A$4:$BG997,25,))</f>
        <v>#N/A</v>
      </c>
      <c r="BB113" s="153" t="str">
        <f t="shared" si="10"/>
        <v>#N/A</v>
      </c>
      <c r="BE113" s="153" t="str">
        <f t="shared" si="11"/>
        <v/>
      </c>
      <c r="BG113" s="153" t="str">
        <f t="shared" si="12"/>
        <v>#N/A</v>
      </c>
      <c r="BI113" s="153" t="str">
        <f t="shared" si="13"/>
        <v>#N/A</v>
      </c>
      <c r="BK113" s="153" t="str">
        <f t="shared" si="14"/>
        <v>#N/A</v>
      </c>
      <c r="BM113" s="153" t="str">
        <f t="shared" si="15"/>
        <v>#N/A</v>
      </c>
    </row>
    <row r="114" ht="15.75" customHeight="1">
      <c r="B114" s="160" t="str">
        <f t="shared" si="1"/>
        <v>#N/A</v>
      </c>
      <c r="C114" s="160" t="str">
        <f t="shared" si="2"/>
        <v>#N/A</v>
      </c>
      <c r="D114" s="160" t="str">
        <f t="shared" si="3"/>
        <v>#N/A</v>
      </c>
      <c r="E114" s="161" t="str">
        <f t="shared" si="4"/>
        <v>#N/A</v>
      </c>
      <c r="F114" s="153" t="str">
        <f t="shared" si="17"/>
        <v>#N/A</v>
      </c>
      <c r="G114" s="153" t="str">
        <f t="shared" si="6"/>
        <v>#N/A</v>
      </c>
      <c r="H114" s="156" t="str">
        <f t="array" ref="H114">INDEX('Primary - GRADING'!$A$1:$BG997,MATCH($A114,'Primary - GRADING'!$B:$B,0),59)</f>
        <v>#N/A</v>
      </c>
      <c r="I114" s="153" t="str">
        <f t="array" ref="I114">INDEX('Primary - GRADING'!$A$1:$CP997,MATCH($A114,'Primary - GRADING'!$CP:$CP,0),48)</f>
        <v>#N/A</v>
      </c>
      <c r="J114" s="153" t="str">
        <f t="array" ref="J114">INDEX('Primary - GRADING'!$A$1:$CP997,MATCH($A114,'Primary - GRADING'!$CP:$CP,0),49)</f>
        <v>#N/A</v>
      </c>
      <c r="K114" s="153" t="str">
        <f t="array" ref="K114">INDEX('Primary - GRADING'!$A$1:$CP997,MATCH($A114,'Primary - GRADING'!$CP:$CP,0),50)</f>
        <v>#N/A</v>
      </c>
      <c r="L114" s="153" t="str">
        <f t="array" ref="L114">INDEX('Primary - GRADING'!$A$1:$CP997,MATCH($A114,'Primary - GRADING'!$CP:$CP,0),51)</f>
        <v>#N/A</v>
      </c>
      <c r="M114" s="153" t="str">
        <f t="array" ref="M114">INDEX('Primary - GRADING'!$A$1:$CP997,MATCH($A114,'Primary - GRADING'!$CP:$CP,0),52)</f>
        <v>#N/A</v>
      </c>
      <c r="N114" s="153" t="str">
        <f t="array" ref="N114">INDEX('Primary - GRADING'!$A$1:$CP997,MATCH($A114,'Primary - GRADING'!$CP:$CP,0),53)</f>
        <v>#N/A</v>
      </c>
      <c r="O114" s="153" t="str">
        <f t="array" ref="O114">INDEX('Primary - GRADING'!$A$1:$CP997,MATCH($A114,'Primary - GRADING'!$CP:$CP,0),58)</f>
        <v>#N/A</v>
      </c>
      <c r="P114" s="153" t="str">
        <f t="array" ref="P114">INDEX('Primary - GRADING'!$A$1:$CP997,MATCH($A114,'Primary - GRADING'!$CP:$CP,0),5)</f>
        <v>#N/A</v>
      </c>
      <c r="Q114" s="153" t="str">
        <f t="array" ref="Q114">INDEX('Primary - GRADING'!$A$1:$CP997,MATCH($A114,'Primary - GRADING'!$CP:$CP,0),6)</f>
        <v>#N/A</v>
      </c>
      <c r="R114" s="153" t="str">
        <f t="array" ref="R114">INDEX('Primary - GRADING'!$A$1:$CP997,MATCH($A114,'Primary - GRADING'!$CP:$CP,0),7)</f>
        <v>#N/A</v>
      </c>
      <c r="S114" s="153" t="str">
        <f t="array" ref="S114">INDEX('Primary - GRADING'!$A$1:$CP997,MATCH($A114,'Primary - GRADING'!$CP:$CP,0),8)</f>
        <v>#N/A</v>
      </c>
      <c r="T114" s="153" t="str">
        <f t="array" ref="T114">INDEX('Primary - GRADING'!$A$1:$CP997,MATCH($A114,'Primary - GRADING'!$CP:$CP,0),9)</f>
        <v>#N/A</v>
      </c>
      <c r="U114" s="153" t="str">
        <f t="array" ref="U114">INDEX('Primary - GRADING'!$A$1:$CP997,MATCH($A114,'Primary - GRADING'!$CP:$CP,0),10)</f>
        <v>#N/A</v>
      </c>
      <c r="V114" s="153" t="str">
        <f t="array" ref="V114">INDEX('Primary - GRADING'!$A$1:$CP997,MATCH($A114,'Primary - GRADING'!$CP:$CP,0),18)</f>
        <v>#N/A</v>
      </c>
      <c r="W114" s="153" t="str">
        <f t="array" ref="W114">INDEX('Primary - GRADING'!$A$1:$CP997,MATCH($A114,'Primary - GRADING'!$CP:$CP,0),20)</f>
        <v>#N/A</v>
      </c>
      <c r="X114" s="153" t="str">
        <f t="array" ref="X114">INDEX('Primary - GRADING'!$A$1:$CP997,MATCH($A114,'Primary - GRADING'!$CP:$CP,0),21)</f>
        <v>#N/A</v>
      </c>
      <c r="Y114" s="153" t="str">
        <f t="array" ref="Y114">INDEX('Primary - GRADING'!$A$1:$CP997,MATCH($A114,'Primary - GRADING'!$CP:$CP,0),22)</f>
        <v>#N/A</v>
      </c>
      <c r="Z114" s="165" t="str">
        <f t="array" ref="Z114">INDEX('Primary - GRADING'!$A$1:$CP997,MATCH($A114,'Primary - GRADING'!$CP:$CP,0),23)</f>
        <v>#N/A</v>
      </c>
      <c r="AA114" s="153" t="str">
        <f t="array" ref="AA114">INDEX('Primary - GRADING'!$A$1:$CP997,MATCH($A114,'Primary - GRADING'!$CP:$CP,0),24)</f>
        <v>#N/A</v>
      </c>
      <c r="AB114" s="153" t="str">
        <f t="array" ref="AB114">INDEX('Primary - GRADING'!$A$1:$CP997,MATCH($A114,'Primary - GRADING'!$CP:$CP,0),25)</f>
        <v>#N/A</v>
      </c>
      <c r="AC114" s="153" t="str">
        <f t="array" ref="AC114">INDEX('Primary - GRADING'!$A$1:$CP997,MATCH($A114,'Primary - GRADING'!$CP:$CP,0),46)</f>
        <v>#N/A</v>
      </c>
      <c r="AG114" s="153" t="str">
        <f t="shared" si="7"/>
        <v>#N/A</v>
      </c>
      <c r="AI114" s="153" t="str">
        <f>VLOOKUP(AH114,'Primary - GRADING'!$A$4:$C997,2,)</f>
        <v>#N/A</v>
      </c>
      <c r="AJ114" s="153" t="str">
        <f>VLOOKUP(AH114,'Primary - GRADING'!$A$4:$C997,3,)</f>
        <v>#N/A</v>
      </c>
      <c r="AK114" s="153" t="str">
        <f>VLOOKUP(AH114,'Primary - GRADING'!$A$4:$BG997,59,)</f>
        <v>#N/A</v>
      </c>
      <c r="AL114" s="153" t="str">
        <f>IFS(AK114="NMA",VLOOKUP(AH114,'Primary - GRADING'!$A$4:$BG997,51,),AK114="DIRECT",VLOOKUP(AH114,'Primary - GRADING'!$A$4:$BG997,8,),AK114="INDIRECT",VLOOKUP(AH114,'Primary - GRADING'!$A$4:$BG997,23,))</f>
        <v>#N/A</v>
      </c>
      <c r="AM114" s="153" t="str">
        <f>IFS(AK114="NMA",VLOOKUP(AH114,'Primary - GRADING'!$A$4:$BG997,52,),AK114="DIRECT",VLOOKUP(AH114,'Primary - GRADING'!$A$4:$BG997,9,),AK114="INDIRECT",VLOOKUP(AH114,'Primary - GRADING'!$A$4:$BG997,24,))</f>
        <v>#N/A</v>
      </c>
      <c r="AN114" s="153" t="str">
        <f>IFS(AK114="NMA",VLOOKUP(AH114,'Primary - GRADING'!$A$4:$BG997,53,),AK114="DIRECT",VLOOKUP(AH114,'Primary - GRADING'!$A$4:$BG997,10,),AK114="INDIRECT",VLOOKUP(AH114,'Primary - GRADING'!$A$4:$BG997,25,))</f>
        <v>#N/A</v>
      </c>
      <c r="AO114" s="153" t="str">
        <f t="shared" si="8"/>
        <v>#N/A</v>
      </c>
      <c r="AT114" s="153" t="str">
        <f t="shared" si="9"/>
        <v>#N/A</v>
      </c>
      <c r="AV114" s="153" t="str">
        <f>VLOOKUP(AU114,'Primary - GRADING'!$A$4:$C997,2,)</f>
        <v>#N/A</v>
      </c>
      <c r="AW114" s="153" t="str">
        <f>VLOOKUP(AU114,'Primary - GRADING'!$A$4:$C997,3,)</f>
        <v>#N/A</v>
      </c>
      <c r="AX114" s="153" t="str">
        <f>VLOOKUP(AU114,'Primary - GRADING'!$A$4:$BG997,59,)</f>
        <v>#N/A</v>
      </c>
      <c r="AY114" s="153" t="str">
        <f>IFS(AX114="NMA",VLOOKUP(AU114,'Primary - GRADING'!$A$4:$BG997,51,),AX114="DIRECT",VLOOKUP(AU114,'Primary - GRADING'!$A$4:$BG997,8,),AX114="INDIRECT",VLOOKUP(AU114,'Primary - GRADING'!$A$4:$BG997,23,))</f>
        <v>#N/A</v>
      </c>
      <c r="AZ114" s="153" t="str">
        <f>IFS(AX114="NMA",VLOOKUP(AU114,'Primary - GRADING'!$A$4:$BG997,52,),AX114="DIRECT",VLOOKUP(AU114,'Primary - GRADING'!$A$4:$BG997,9,),AX114="INDIRECT",VLOOKUP(AU114,'Primary - GRADING'!$A$4:$BG997,24,))</f>
        <v>#N/A</v>
      </c>
      <c r="BA114" s="153" t="str">
        <f>IFS(AX114="NMA",VLOOKUP(AU114,'Primary - GRADING'!$A$4:$BG997,53,),AX114="DIRECT",VLOOKUP(AU114,'Primary - GRADING'!$A$4:$BG997,10,),AX114="INDIRECT",VLOOKUP(AU114,'Primary - GRADING'!$A$4:$BG997,25,))</f>
        <v>#N/A</v>
      </c>
      <c r="BB114" s="153" t="str">
        <f t="shared" si="10"/>
        <v>#N/A</v>
      </c>
      <c r="BE114" s="153" t="str">
        <f t="shared" si="11"/>
        <v/>
      </c>
      <c r="BG114" s="153" t="str">
        <f t="shared" si="12"/>
        <v>#N/A</v>
      </c>
      <c r="BI114" s="153" t="str">
        <f t="shared" si="13"/>
        <v>#N/A</v>
      </c>
      <c r="BK114" s="153" t="str">
        <f t="shared" si="14"/>
        <v>#N/A</v>
      </c>
      <c r="BM114" s="153" t="str">
        <f t="shared" si="15"/>
        <v>#N/A</v>
      </c>
    </row>
    <row r="115" ht="15.75" customHeight="1">
      <c r="B115" s="160" t="str">
        <f t="shared" si="1"/>
        <v>#N/A</v>
      </c>
      <c r="C115" s="160" t="str">
        <f t="shared" si="2"/>
        <v>#N/A</v>
      </c>
      <c r="D115" s="160" t="str">
        <f t="shared" si="3"/>
        <v>#N/A</v>
      </c>
      <c r="E115" s="161" t="str">
        <f t="shared" si="4"/>
        <v>#N/A</v>
      </c>
      <c r="F115" s="153" t="str">
        <f t="shared" si="17"/>
        <v>#N/A</v>
      </c>
      <c r="G115" s="153" t="str">
        <f t="shared" si="6"/>
        <v>#N/A</v>
      </c>
      <c r="H115" s="156" t="str">
        <f t="array" ref="H115">INDEX('Primary - GRADING'!$A$1:$BG997,MATCH($A115,'Primary - GRADING'!$B:$B,0),59)</f>
        <v>#N/A</v>
      </c>
      <c r="I115" s="153" t="str">
        <f t="array" ref="I115">INDEX('Primary - GRADING'!$A$1:$CP997,MATCH($A115,'Primary - GRADING'!$CP:$CP,0),48)</f>
        <v>#N/A</v>
      </c>
      <c r="J115" s="153" t="str">
        <f t="array" ref="J115">INDEX('Primary - GRADING'!$A$1:$CP997,MATCH($A115,'Primary - GRADING'!$CP:$CP,0),49)</f>
        <v>#N/A</v>
      </c>
      <c r="K115" s="153" t="str">
        <f t="array" ref="K115">INDEX('Primary - GRADING'!$A$1:$CP997,MATCH($A115,'Primary - GRADING'!$CP:$CP,0),50)</f>
        <v>#N/A</v>
      </c>
      <c r="L115" s="153" t="str">
        <f t="array" ref="L115">INDEX('Primary - GRADING'!$A$1:$CP997,MATCH($A115,'Primary - GRADING'!$CP:$CP,0),51)</f>
        <v>#N/A</v>
      </c>
      <c r="M115" s="153" t="str">
        <f t="array" ref="M115">INDEX('Primary - GRADING'!$A$1:$CP997,MATCH($A115,'Primary - GRADING'!$CP:$CP,0),52)</f>
        <v>#N/A</v>
      </c>
      <c r="N115" s="153" t="str">
        <f t="array" ref="N115">INDEX('Primary - GRADING'!$A$1:$CP997,MATCH($A115,'Primary - GRADING'!$CP:$CP,0),53)</f>
        <v>#N/A</v>
      </c>
      <c r="O115" s="153" t="str">
        <f t="array" ref="O115">INDEX('Primary - GRADING'!$A$1:$CP997,MATCH($A115,'Primary - GRADING'!$CP:$CP,0),58)</f>
        <v>#N/A</v>
      </c>
      <c r="P115" s="153" t="str">
        <f t="array" ref="P115">INDEX('Primary - GRADING'!$A$1:$CP997,MATCH($A115,'Primary - GRADING'!$CP:$CP,0),5)</f>
        <v>#N/A</v>
      </c>
      <c r="Q115" s="153" t="str">
        <f t="array" ref="Q115">INDEX('Primary - GRADING'!$A$1:$CP997,MATCH($A115,'Primary - GRADING'!$CP:$CP,0),6)</f>
        <v>#N/A</v>
      </c>
      <c r="R115" s="153" t="str">
        <f t="array" ref="R115">INDEX('Primary - GRADING'!$A$1:$CP997,MATCH($A115,'Primary - GRADING'!$CP:$CP,0),7)</f>
        <v>#N/A</v>
      </c>
      <c r="S115" s="153" t="str">
        <f t="array" ref="S115">INDEX('Primary - GRADING'!$A$1:$CP997,MATCH($A115,'Primary - GRADING'!$CP:$CP,0),8)</f>
        <v>#N/A</v>
      </c>
      <c r="T115" s="153" t="str">
        <f t="array" ref="T115">INDEX('Primary - GRADING'!$A$1:$CP997,MATCH($A115,'Primary - GRADING'!$CP:$CP,0),9)</f>
        <v>#N/A</v>
      </c>
      <c r="U115" s="153" t="str">
        <f t="array" ref="U115">INDEX('Primary - GRADING'!$A$1:$CP997,MATCH($A115,'Primary - GRADING'!$CP:$CP,0),10)</f>
        <v>#N/A</v>
      </c>
      <c r="V115" s="153" t="str">
        <f t="array" ref="V115">INDEX('Primary - GRADING'!$A$1:$CP997,MATCH($A115,'Primary - GRADING'!$CP:$CP,0),18)</f>
        <v>#N/A</v>
      </c>
      <c r="W115" s="153" t="str">
        <f t="array" ref="W115">INDEX('Primary - GRADING'!$A$1:$CP997,MATCH($A115,'Primary - GRADING'!$CP:$CP,0),20)</f>
        <v>#N/A</v>
      </c>
      <c r="X115" s="153" t="str">
        <f t="array" ref="X115">INDEX('Primary - GRADING'!$A$1:$CP997,MATCH($A115,'Primary - GRADING'!$CP:$CP,0),21)</f>
        <v>#N/A</v>
      </c>
      <c r="Y115" s="153" t="str">
        <f t="array" ref="Y115">INDEX('Primary - GRADING'!$A$1:$CP997,MATCH($A115,'Primary - GRADING'!$CP:$CP,0),22)</f>
        <v>#N/A</v>
      </c>
      <c r="Z115" s="165" t="str">
        <f t="array" ref="Z115">INDEX('Primary - GRADING'!$A$1:$CP997,MATCH($A115,'Primary - GRADING'!$CP:$CP,0),23)</f>
        <v>#N/A</v>
      </c>
      <c r="AA115" s="153" t="str">
        <f t="array" ref="AA115">INDEX('Primary - GRADING'!$A$1:$CP997,MATCH($A115,'Primary - GRADING'!$CP:$CP,0),24)</f>
        <v>#N/A</v>
      </c>
      <c r="AB115" s="153" t="str">
        <f t="array" ref="AB115">INDEX('Primary - GRADING'!$A$1:$CP997,MATCH($A115,'Primary - GRADING'!$CP:$CP,0),25)</f>
        <v>#N/A</v>
      </c>
      <c r="AC115" s="153" t="str">
        <f t="array" ref="AC115">INDEX('Primary - GRADING'!$A$1:$CP997,MATCH($A115,'Primary - GRADING'!$CP:$CP,0),46)</f>
        <v>#N/A</v>
      </c>
      <c r="AG115" s="153" t="str">
        <f t="shared" si="7"/>
        <v>#N/A</v>
      </c>
      <c r="AI115" s="153" t="str">
        <f>VLOOKUP(AH115,'Primary - GRADING'!$A$4:$C997,2,)</f>
        <v>#N/A</v>
      </c>
      <c r="AJ115" s="153" t="str">
        <f>VLOOKUP(AH115,'Primary - GRADING'!$A$4:$C997,3,)</f>
        <v>#N/A</v>
      </c>
      <c r="AK115" s="153" t="str">
        <f>VLOOKUP(AH115,'Primary - GRADING'!$A$4:$BG997,59,)</f>
        <v>#N/A</v>
      </c>
      <c r="AL115" s="153" t="str">
        <f>IFS(AK115="NMA",VLOOKUP(AH115,'Primary - GRADING'!$A$4:$BG997,51,),AK115="DIRECT",VLOOKUP(AH115,'Primary - GRADING'!$A$4:$BG997,8,),AK115="INDIRECT",VLOOKUP(AH115,'Primary - GRADING'!$A$4:$BG997,23,))</f>
        <v>#N/A</v>
      </c>
      <c r="AM115" s="153" t="str">
        <f>IFS(AK115="NMA",VLOOKUP(AH115,'Primary - GRADING'!$A$4:$BG997,52,),AK115="DIRECT",VLOOKUP(AH115,'Primary - GRADING'!$A$4:$BG997,9,),AK115="INDIRECT",VLOOKUP(AH115,'Primary - GRADING'!$A$4:$BG997,24,))</f>
        <v>#N/A</v>
      </c>
      <c r="AN115" s="153" t="str">
        <f>IFS(AK115="NMA",VLOOKUP(AH115,'Primary - GRADING'!$A$4:$BG997,53,),AK115="DIRECT",VLOOKUP(AH115,'Primary - GRADING'!$A$4:$BG997,10,),AK115="INDIRECT",VLOOKUP(AH115,'Primary - GRADING'!$A$4:$BG997,25,))</f>
        <v>#N/A</v>
      </c>
      <c r="AO115" s="153" t="str">
        <f t="shared" si="8"/>
        <v>#N/A</v>
      </c>
      <c r="AT115" s="153" t="str">
        <f t="shared" si="9"/>
        <v>#N/A</v>
      </c>
      <c r="AV115" s="153" t="str">
        <f>VLOOKUP(AU115,'Primary - GRADING'!$A$4:$C997,2,)</f>
        <v>#N/A</v>
      </c>
      <c r="AW115" s="153" t="str">
        <f>VLOOKUP(AU115,'Primary - GRADING'!$A$4:$C997,3,)</f>
        <v>#N/A</v>
      </c>
      <c r="AX115" s="153" t="str">
        <f>VLOOKUP(AU115,'Primary - GRADING'!$A$4:$BG997,59,)</f>
        <v>#N/A</v>
      </c>
      <c r="AY115" s="153" t="str">
        <f>IFS(AX115="NMA",VLOOKUP(AU115,'Primary - GRADING'!$A$4:$BG997,51,),AX115="DIRECT",VLOOKUP(AU115,'Primary - GRADING'!$A$4:$BG997,8,),AX115="INDIRECT",VLOOKUP(AU115,'Primary - GRADING'!$A$4:$BG997,23,))</f>
        <v>#N/A</v>
      </c>
      <c r="AZ115" s="153" t="str">
        <f>IFS(AX115="NMA",VLOOKUP(AU115,'Primary - GRADING'!$A$4:$BG997,52,),AX115="DIRECT",VLOOKUP(AU115,'Primary - GRADING'!$A$4:$BG997,9,),AX115="INDIRECT",VLOOKUP(AU115,'Primary - GRADING'!$A$4:$BG997,24,))</f>
        <v>#N/A</v>
      </c>
      <c r="BA115" s="153" t="str">
        <f>IFS(AX115="NMA",VLOOKUP(AU115,'Primary - GRADING'!$A$4:$BG997,53,),AX115="DIRECT",VLOOKUP(AU115,'Primary - GRADING'!$A$4:$BG997,10,),AX115="INDIRECT",VLOOKUP(AU115,'Primary - GRADING'!$A$4:$BG997,25,))</f>
        <v>#N/A</v>
      </c>
      <c r="BB115" s="153" t="str">
        <f t="shared" si="10"/>
        <v>#N/A</v>
      </c>
      <c r="BE115" s="153" t="str">
        <f t="shared" si="11"/>
        <v/>
      </c>
      <c r="BG115" s="153" t="str">
        <f t="shared" si="12"/>
        <v>#N/A</v>
      </c>
      <c r="BI115" s="153" t="str">
        <f t="shared" si="13"/>
        <v>#N/A</v>
      </c>
      <c r="BK115" s="153" t="str">
        <f t="shared" si="14"/>
        <v>#N/A</v>
      </c>
      <c r="BM115" s="153" t="str">
        <f t="shared" si="15"/>
        <v>#N/A</v>
      </c>
    </row>
    <row r="116" ht="15.75" customHeight="1">
      <c r="B116" s="160" t="str">
        <f t="shared" si="1"/>
        <v>#N/A</v>
      </c>
      <c r="C116" s="160" t="str">
        <f t="shared" si="2"/>
        <v>#N/A</v>
      </c>
      <c r="D116" s="160" t="str">
        <f t="shared" si="3"/>
        <v>#N/A</v>
      </c>
      <c r="E116" s="161" t="str">
        <f t="shared" si="4"/>
        <v>#N/A</v>
      </c>
      <c r="F116" s="153" t="str">
        <f t="shared" si="17"/>
        <v>#N/A</v>
      </c>
      <c r="G116" s="153" t="str">
        <f t="shared" si="6"/>
        <v>#N/A</v>
      </c>
      <c r="H116" s="156" t="str">
        <f t="array" ref="H116">INDEX('Primary - GRADING'!$A$1:$BG997,MATCH($A116,'Primary - GRADING'!$B:$B,0),59)</f>
        <v>#N/A</v>
      </c>
      <c r="I116" s="153" t="str">
        <f t="array" ref="I116">INDEX('Primary - GRADING'!$A$1:$CP997,MATCH($A116,'Primary - GRADING'!$CP:$CP,0),48)</f>
        <v>#N/A</v>
      </c>
      <c r="J116" s="153" t="str">
        <f t="array" ref="J116">INDEX('Primary - GRADING'!$A$1:$CP997,MATCH($A116,'Primary - GRADING'!$CP:$CP,0),49)</f>
        <v>#N/A</v>
      </c>
      <c r="K116" s="153" t="str">
        <f t="array" ref="K116">INDEX('Primary - GRADING'!$A$1:$CP997,MATCH($A116,'Primary - GRADING'!$CP:$CP,0),50)</f>
        <v>#N/A</v>
      </c>
      <c r="L116" s="153" t="str">
        <f t="array" ref="L116">INDEX('Primary - GRADING'!$A$1:$CP997,MATCH($A116,'Primary - GRADING'!$CP:$CP,0),51)</f>
        <v>#N/A</v>
      </c>
      <c r="M116" s="153" t="str">
        <f t="array" ref="M116">INDEX('Primary - GRADING'!$A$1:$CP997,MATCH($A116,'Primary - GRADING'!$CP:$CP,0),52)</f>
        <v>#N/A</v>
      </c>
      <c r="N116" s="153" t="str">
        <f t="array" ref="N116">INDEX('Primary - GRADING'!$A$1:$CP997,MATCH($A116,'Primary - GRADING'!$CP:$CP,0),53)</f>
        <v>#N/A</v>
      </c>
      <c r="O116" s="153" t="str">
        <f t="array" ref="O116">INDEX('Primary - GRADING'!$A$1:$CP997,MATCH($A116,'Primary - GRADING'!$CP:$CP,0),58)</f>
        <v>#N/A</v>
      </c>
      <c r="P116" s="153" t="str">
        <f t="array" ref="P116">INDEX('Primary - GRADING'!$A$1:$CP997,MATCH($A116,'Primary - GRADING'!$CP:$CP,0),5)</f>
        <v>#N/A</v>
      </c>
      <c r="Q116" s="153" t="str">
        <f t="array" ref="Q116">INDEX('Primary - GRADING'!$A$1:$CP997,MATCH($A116,'Primary - GRADING'!$CP:$CP,0),6)</f>
        <v>#N/A</v>
      </c>
      <c r="R116" s="153" t="str">
        <f t="array" ref="R116">INDEX('Primary - GRADING'!$A$1:$CP997,MATCH($A116,'Primary - GRADING'!$CP:$CP,0),7)</f>
        <v>#N/A</v>
      </c>
      <c r="S116" s="153" t="str">
        <f t="array" ref="S116">INDEX('Primary - GRADING'!$A$1:$CP997,MATCH($A116,'Primary - GRADING'!$CP:$CP,0),8)</f>
        <v>#N/A</v>
      </c>
      <c r="T116" s="153" t="str">
        <f t="array" ref="T116">INDEX('Primary - GRADING'!$A$1:$CP997,MATCH($A116,'Primary - GRADING'!$CP:$CP,0),9)</f>
        <v>#N/A</v>
      </c>
      <c r="U116" s="153" t="str">
        <f t="array" ref="U116">INDEX('Primary - GRADING'!$A$1:$CP997,MATCH($A116,'Primary - GRADING'!$CP:$CP,0),10)</f>
        <v>#N/A</v>
      </c>
      <c r="V116" s="153" t="str">
        <f t="array" ref="V116">INDEX('Primary - GRADING'!$A$1:$CP997,MATCH($A116,'Primary - GRADING'!$CP:$CP,0),18)</f>
        <v>#N/A</v>
      </c>
      <c r="W116" s="153" t="str">
        <f t="array" ref="W116">INDEX('Primary - GRADING'!$A$1:$CP997,MATCH($A116,'Primary - GRADING'!$CP:$CP,0),20)</f>
        <v>#N/A</v>
      </c>
      <c r="X116" s="153" t="str">
        <f t="array" ref="X116">INDEX('Primary - GRADING'!$A$1:$CP997,MATCH($A116,'Primary - GRADING'!$CP:$CP,0),21)</f>
        <v>#N/A</v>
      </c>
      <c r="Y116" s="153" t="str">
        <f t="array" ref="Y116">INDEX('Primary - GRADING'!$A$1:$CP997,MATCH($A116,'Primary - GRADING'!$CP:$CP,0),22)</f>
        <v>#N/A</v>
      </c>
      <c r="Z116" s="165" t="str">
        <f t="array" ref="Z116">INDEX('Primary - GRADING'!$A$1:$CP997,MATCH($A116,'Primary - GRADING'!$CP:$CP,0),23)</f>
        <v>#N/A</v>
      </c>
      <c r="AA116" s="153" t="str">
        <f t="array" ref="AA116">INDEX('Primary - GRADING'!$A$1:$CP997,MATCH($A116,'Primary - GRADING'!$CP:$CP,0),24)</f>
        <v>#N/A</v>
      </c>
      <c r="AB116" s="153" t="str">
        <f t="array" ref="AB116">INDEX('Primary - GRADING'!$A$1:$CP997,MATCH($A116,'Primary - GRADING'!$CP:$CP,0),25)</f>
        <v>#N/A</v>
      </c>
      <c r="AC116" s="153" t="str">
        <f t="array" ref="AC116">INDEX('Primary - GRADING'!$A$1:$CP997,MATCH($A116,'Primary - GRADING'!$CP:$CP,0),46)</f>
        <v>#N/A</v>
      </c>
      <c r="AG116" s="153" t="str">
        <f t="shared" si="7"/>
        <v>#N/A</v>
      </c>
      <c r="AI116" s="153" t="str">
        <f>VLOOKUP(AH116,'Primary - GRADING'!$A$4:$C997,2,)</f>
        <v>#N/A</v>
      </c>
      <c r="AJ116" s="153" t="str">
        <f>VLOOKUP(AH116,'Primary - GRADING'!$A$4:$C997,3,)</f>
        <v>#N/A</v>
      </c>
      <c r="AK116" s="153" t="str">
        <f>VLOOKUP(AH116,'Primary - GRADING'!$A$4:$BG997,59,)</f>
        <v>#N/A</v>
      </c>
      <c r="AL116" s="153" t="str">
        <f>IFS(AK116="NMA",VLOOKUP(AH116,'Primary - GRADING'!$A$4:$BG997,51,),AK116="DIRECT",VLOOKUP(AH116,'Primary - GRADING'!$A$4:$BG997,8,),AK116="INDIRECT",VLOOKUP(AH116,'Primary - GRADING'!$A$4:$BG997,23,))</f>
        <v>#N/A</v>
      </c>
      <c r="AM116" s="153" t="str">
        <f>IFS(AK116="NMA",VLOOKUP(AH116,'Primary - GRADING'!$A$4:$BG997,52,),AK116="DIRECT",VLOOKUP(AH116,'Primary - GRADING'!$A$4:$BG997,9,),AK116="INDIRECT",VLOOKUP(AH116,'Primary - GRADING'!$A$4:$BG997,24,))</f>
        <v>#N/A</v>
      </c>
      <c r="AN116" s="153" t="str">
        <f>IFS(AK116="NMA",VLOOKUP(AH116,'Primary - GRADING'!$A$4:$BG997,53,),AK116="DIRECT",VLOOKUP(AH116,'Primary - GRADING'!$A$4:$BG997,10,),AK116="INDIRECT",VLOOKUP(AH116,'Primary - GRADING'!$A$4:$BG997,25,))</f>
        <v>#N/A</v>
      </c>
      <c r="AO116" s="153" t="str">
        <f t="shared" si="8"/>
        <v>#N/A</v>
      </c>
      <c r="AT116" s="153" t="str">
        <f t="shared" si="9"/>
        <v>#N/A</v>
      </c>
      <c r="AV116" s="153" t="str">
        <f>VLOOKUP(AU116,'Primary - GRADING'!$A$4:$C997,2,)</f>
        <v>#N/A</v>
      </c>
      <c r="AW116" s="153" t="str">
        <f>VLOOKUP(AU116,'Primary - GRADING'!$A$4:$C997,3,)</f>
        <v>#N/A</v>
      </c>
      <c r="AX116" s="153" t="str">
        <f>VLOOKUP(AU116,'Primary - GRADING'!$A$4:$BG997,59,)</f>
        <v>#N/A</v>
      </c>
      <c r="AY116" s="153" t="str">
        <f>IFS(AX116="NMA",VLOOKUP(AU116,'Primary - GRADING'!$A$4:$BG997,51,),AX116="DIRECT",VLOOKUP(AU116,'Primary - GRADING'!$A$4:$BG997,8,),AX116="INDIRECT",VLOOKUP(AU116,'Primary - GRADING'!$A$4:$BG997,23,))</f>
        <v>#N/A</v>
      </c>
      <c r="AZ116" s="153" t="str">
        <f>IFS(AX116="NMA",VLOOKUP(AU116,'Primary - GRADING'!$A$4:$BG997,52,),AX116="DIRECT",VLOOKUP(AU116,'Primary - GRADING'!$A$4:$BG997,9,),AX116="INDIRECT",VLOOKUP(AU116,'Primary - GRADING'!$A$4:$BG997,24,))</f>
        <v>#N/A</v>
      </c>
      <c r="BA116" s="153" t="str">
        <f>IFS(AX116="NMA",VLOOKUP(AU116,'Primary - GRADING'!$A$4:$BG997,53,),AX116="DIRECT",VLOOKUP(AU116,'Primary - GRADING'!$A$4:$BG997,10,),AX116="INDIRECT",VLOOKUP(AU116,'Primary - GRADING'!$A$4:$BG997,25,))</f>
        <v>#N/A</v>
      </c>
      <c r="BB116" s="153" t="str">
        <f t="shared" si="10"/>
        <v>#N/A</v>
      </c>
      <c r="BE116" s="153" t="str">
        <f t="shared" si="11"/>
        <v/>
      </c>
      <c r="BG116" s="153" t="str">
        <f t="shared" si="12"/>
        <v>#N/A</v>
      </c>
      <c r="BI116" s="153" t="str">
        <f t="shared" si="13"/>
        <v>#N/A</v>
      </c>
      <c r="BK116" s="153" t="str">
        <f t="shared" si="14"/>
        <v>#N/A</v>
      </c>
      <c r="BM116" s="153" t="str">
        <f t="shared" si="15"/>
        <v>#N/A</v>
      </c>
    </row>
    <row r="117" ht="15.75" customHeight="1">
      <c r="B117" s="160" t="str">
        <f t="shared" si="1"/>
        <v>#N/A</v>
      </c>
      <c r="C117" s="160" t="str">
        <f t="shared" si="2"/>
        <v>#N/A</v>
      </c>
      <c r="D117" s="160" t="str">
        <f t="shared" si="3"/>
        <v>#N/A</v>
      </c>
      <c r="E117" s="161" t="str">
        <f t="shared" si="4"/>
        <v>#N/A</v>
      </c>
      <c r="F117" s="153" t="str">
        <f t="shared" si="17"/>
        <v>#N/A</v>
      </c>
      <c r="G117" s="153" t="str">
        <f t="shared" si="6"/>
        <v>#N/A</v>
      </c>
      <c r="H117" s="156" t="str">
        <f t="array" ref="H117">INDEX('Primary - GRADING'!$A$1:$BG997,MATCH($A117,'Primary - GRADING'!$B:$B,0),59)</f>
        <v>#N/A</v>
      </c>
      <c r="I117" s="153" t="str">
        <f t="array" ref="I117">INDEX('Primary - GRADING'!$A$1:$CP997,MATCH($A117,'Primary - GRADING'!$CP:$CP,0),48)</f>
        <v>#N/A</v>
      </c>
      <c r="J117" s="153" t="str">
        <f t="array" ref="J117">INDEX('Primary - GRADING'!$A$1:$CP997,MATCH($A117,'Primary - GRADING'!$CP:$CP,0),49)</f>
        <v>#N/A</v>
      </c>
      <c r="K117" s="153" t="str">
        <f t="array" ref="K117">INDEX('Primary - GRADING'!$A$1:$CP997,MATCH($A117,'Primary - GRADING'!$CP:$CP,0),50)</f>
        <v>#N/A</v>
      </c>
      <c r="L117" s="153" t="str">
        <f t="array" ref="L117">INDEX('Primary - GRADING'!$A$1:$CP997,MATCH($A117,'Primary - GRADING'!$CP:$CP,0),51)</f>
        <v>#N/A</v>
      </c>
      <c r="M117" s="153" t="str">
        <f t="array" ref="M117">INDEX('Primary - GRADING'!$A$1:$CP997,MATCH($A117,'Primary - GRADING'!$CP:$CP,0),52)</f>
        <v>#N/A</v>
      </c>
      <c r="N117" s="153" t="str">
        <f t="array" ref="N117">INDEX('Primary - GRADING'!$A$1:$CP997,MATCH($A117,'Primary - GRADING'!$CP:$CP,0),53)</f>
        <v>#N/A</v>
      </c>
      <c r="O117" s="153" t="str">
        <f t="array" ref="O117">INDEX('Primary - GRADING'!$A$1:$CP997,MATCH($A117,'Primary - GRADING'!$CP:$CP,0),58)</f>
        <v>#N/A</v>
      </c>
      <c r="P117" s="153" t="str">
        <f t="array" ref="P117">INDEX('Primary - GRADING'!$A$1:$CP997,MATCH($A117,'Primary - GRADING'!$CP:$CP,0),5)</f>
        <v>#N/A</v>
      </c>
      <c r="Q117" s="153" t="str">
        <f t="array" ref="Q117">INDEX('Primary - GRADING'!$A$1:$CP997,MATCH($A117,'Primary - GRADING'!$CP:$CP,0),6)</f>
        <v>#N/A</v>
      </c>
      <c r="R117" s="153" t="str">
        <f t="array" ref="R117">INDEX('Primary - GRADING'!$A$1:$CP997,MATCH($A117,'Primary - GRADING'!$CP:$CP,0),7)</f>
        <v>#N/A</v>
      </c>
      <c r="S117" s="153" t="str">
        <f t="array" ref="S117">INDEX('Primary - GRADING'!$A$1:$CP997,MATCH($A117,'Primary - GRADING'!$CP:$CP,0),8)</f>
        <v>#N/A</v>
      </c>
      <c r="T117" s="153" t="str">
        <f t="array" ref="T117">INDEX('Primary - GRADING'!$A$1:$CP997,MATCH($A117,'Primary - GRADING'!$CP:$CP,0),9)</f>
        <v>#N/A</v>
      </c>
      <c r="U117" s="153" t="str">
        <f t="array" ref="U117">INDEX('Primary - GRADING'!$A$1:$CP997,MATCH($A117,'Primary - GRADING'!$CP:$CP,0),10)</f>
        <v>#N/A</v>
      </c>
      <c r="V117" s="153" t="str">
        <f t="array" ref="V117">INDEX('Primary - GRADING'!$A$1:$CP997,MATCH($A117,'Primary - GRADING'!$CP:$CP,0),18)</f>
        <v>#N/A</v>
      </c>
      <c r="W117" s="153" t="str">
        <f t="array" ref="W117">INDEX('Primary - GRADING'!$A$1:$CP997,MATCH($A117,'Primary - GRADING'!$CP:$CP,0),20)</f>
        <v>#N/A</v>
      </c>
      <c r="X117" s="153" t="str">
        <f t="array" ref="X117">INDEX('Primary - GRADING'!$A$1:$CP997,MATCH($A117,'Primary - GRADING'!$CP:$CP,0),21)</f>
        <v>#N/A</v>
      </c>
      <c r="Y117" s="153" t="str">
        <f t="array" ref="Y117">INDEX('Primary - GRADING'!$A$1:$CP997,MATCH($A117,'Primary - GRADING'!$CP:$CP,0),22)</f>
        <v>#N/A</v>
      </c>
      <c r="Z117" s="165" t="str">
        <f t="array" ref="Z117">INDEX('Primary - GRADING'!$A$1:$CP997,MATCH($A117,'Primary - GRADING'!$CP:$CP,0),23)</f>
        <v>#N/A</v>
      </c>
      <c r="AA117" s="153" t="str">
        <f t="array" ref="AA117">INDEX('Primary - GRADING'!$A$1:$CP997,MATCH($A117,'Primary - GRADING'!$CP:$CP,0),24)</f>
        <v>#N/A</v>
      </c>
      <c r="AB117" s="153" t="str">
        <f t="array" ref="AB117">INDEX('Primary - GRADING'!$A$1:$CP997,MATCH($A117,'Primary - GRADING'!$CP:$CP,0),25)</f>
        <v>#N/A</v>
      </c>
      <c r="AC117" s="153" t="str">
        <f t="array" ref="AC117">INDEX('Primary - GRADING'!$A$1:$CP997,MATCH($A117,'Primary - GRADING'!$CP:$CP,0),46)</f>
        <v>#N/A</v>
      </c>
      <c r="AG117" s="153" t="str">
        <f t="shared" si="7"/>
        <v>#N/A</v>
      </c>
      <c r="AI117" s="153" t="str">
        <f>VLOOKUP(AH117,'Primary - GRADING'!$A$4:$C997,2,)</f>
        <v>#N/A</v>
      </c>
      <c r="AJ117" s="153" t="str">
        <f>VLOOKUP(AH117,'Primary - GRADING'!$A$4:$C997,3,)</f>
        <v>#N/A</v>
      </c>
      <c r="AK117" s="153" t="str">
        <f>VLOOKUP(AH117,'Primary - GRADING'!$A$4:$BG997,59,)</f>
        <v>#N/A</v>
      </c>
      <c r="AL117" s="153" t="str">
        <f>IFS(AK117="NMA",VLOOKUP(AH117,'Primary - GRADING'!$A$4:$BG997,51,),AK117="DIRECT",VLOOKUP(AH117,'Primary - GRADING'!$A$4:$BG997,8,),AK117="INDIRECT",VLOOKUP(AH117,'Primary - GRADING'!$A$4:$BG997,23,))</f>
        <v>#N/A</v>
      </c>
      <c r="AM117" s="153" t="str">
        <f>IFS(AK117="NMA",VLOOKUP(AH117,'Primary - GRADING'!$A$4:$BG997,52,),AK117="DIRECT",VLOOKUP(AH117,'Primary - GRADING'!$A$4:$BG997,9,),AK117="INDIRECT",VLOOKUP(AH117,'Primary - GRADING'!$A$4:$BG997,24,))</f>
        <v>#N/A</v>
      </c>
      <c r="AN117" s="153" t="str">
        <f>IFS(AK117="NMA",VLOOKUP(AH117,'Primary - GRADING'!$A$4:$BG997,53,),AK117="DIRECT",VLOOKUP(AH117,'Primary - GRADING'!$A$4:$BG997,10,),AK117="INDIRECT",VLOOKUP(AH117,'Primary - GRADING'!$A$4:$BG997,25,))</f>
        <v>#N/A</v>
      </c>
      <c r="AO117" s="153" t="str">
        <f t="shared" si="8"/>
        <v>#N/A</v>
      </c>
      <c r="AT117" s="153" t="str">
        <f t="shared" si="9"/>
        <v>#N/A</v>
      </c>
      <c r="AV117" s="153" t="str">
        <f>VLOOKUP(AU117,'Primary - GRADING'!$A$4:$C997,2,)</f>
        <v>#N/A</v>
      </c>
      <c r="AW117" s="153" t="str">
        <f>VLOOKUP(AU117,'Primary - GRADING'!$A$4:$C997,3,)</f>
        <v>#N/A</v>
      </c>
      <c r="AX117" s="153" t="str">
        <f>VLOOKUP(AU117,'Primary - GRADING'!$A$4:$BG997,59,)</f>
        <v>#N/A</v>
      </c>
      <c r="AY117" s="153" t="str">
        <f>IFS(AX117="NMA",VLOOKUP(AU117,'Primary - GRADING'!$A$4:$BG997,51,),AX117="DIRECT",VLOOKUP(AU117,'Primary - GRADING'!$A$4:$BG997,8,),AX117="INDIRECT",VLOOKUP(AU117,'Primary - GRADING'!$A$4:$BG997,23,))</f>
        <v>#N/A</v>
      </c>
      <c r="AZ117" s="153" t="str">
        <f>IFS(AX117="NMA",VLOOKUP(AU117,'Primary - GRADING'!$A$4:$BG997,52,),AX117="DIRECT",VLOOKUP(AU117,'Primary - GRADING'!$A$4:$BG997,9,),AX117="INDIRECT",VLOOKUP(AU117,'Primary - GRADING'!$A$4:$BG997,24,))</f>
        <v>#N/A</v>
      </c>
      <c r="BA117" s="153" t="str">
        <f>IFS(AX117="NMA",VLOOKUP(AU117,'Primary - GRADING'!$A$4:$BG997,53,),AX117="DIRECT",VLOOKUP(AU117,'Primary - GRADING'!$A$4:$BG997,10,),AX117="INDIRECT",VLOOKUP(AU117,'Primary - GRADING'!$A$4:$BG997,25,))</f>
        <v>#N/A</v>
      </c>
      <c r="BB117" s="153" t="str">
        <f t="shared" si="10"/>
        <v>#N/A</v>
      </c>
      <c r="BE117" s="153" t="str">
        <f t="shared" si="11"/>
        <v/>
      </c>
      <c r="BG117" s="153" t="str">
        <f t="shared" si="12"/>
        <v>#N/A</v>
      </c>
      <c r="BI117" s="153" t="str">
        <f t="shared" si="13"/>
        <v>#N/A</v>
      </c>
      <c r="BK117" s="153" t="str">
        <f t="shared" si="14"/>
        <v>#N/A</v>
      </c>
      <c r="BM117" s="153" t="str">
        <f t="shared" si="15"/>
        <v>#N/A</v>
      </c>
    </row>
    <row r="118" ht="15.75" customHeight="1">
      <c r="B118" s="160" t="str">
        <f t="shared" si="1"/>
        <v>#N/A</v>
      </c>
      <c r="C118" s="160" t="str">
        <f t="shared" si="2"/>
        <v>#N/A</v>
      </c>
      <c r="D118" s="160" t="str">
        <f t="shared" si="3"/>
        <v>#N/A</v>
      </c>
      <c r="E118" s="161" t="str">
        <f t="shared" si="4"/>
        <v>#N/A</v>
      </c>
      <c r="F118" s="153" t="str">
        <f t="shared" si="17"/>
        <v>#N/A</v>
      </c>
      <c r="G118" s="153" t="str">
        <f t="shared" si="6"/>
        <v>#N/A</v>
      </c>
      <c r="H118" s="156" t="str">
        <f t="array" ref="H118">INDEX('Primary - GRADING'!$A$1:$BG997,MATCH($A118,'Primary - GRADING'!$B:$B,0),59)</f>
        <v>#N/A</v>
      </c>
      <c r="I118" s="153" t="str">
        <f t="array" ref="I118">INDEX('Primary - GRADING'!$A$1:$CP997,MATCH($A118,'Primary - GRADING'!$CP:$CP,0),48)</f>
        <v>#N/A</v>
      </c>
      <c r="J118" s="153" t="str">
        <f t="array" ref="J118">INDEX('Primary - GRADING'!$A$1:$CP997,MATCH($A118,'Primary - GRADING'!$CP:$CP,0),49)</f>
        <v>#N/A</v>
      </c>
      <c r="K118" s="153" t="str">
        <f t="array" ref="K118">INDEX('Primary - GRADING'!$A$1:$CP997,MATCH($A118,'Primary - GRADING'!$CP:$CP,0),50)</f>
        <v>#N/A</v>
      </c>
      <c r="L118" s="153" t="str">
        <f t="array" ref="L118">INDEX('Primary - GRADING'!$A$1:$CP997,MATCH($A118,'Primary - GRADING'!$CP:$CP,0),51)</f>
        <v>#N/A</v>
      </c>
      <c r="M118" s="153" t="str">
        <f t="array" ref="M118">INDEX('Primary - GRADING'!$A$1:$CP997,MATCH($A118,'Primary - GRADING'!$CP:$CP,0),52)</f>
        <v>#N/A</v>
      </c>
      <c r="N118" s="153" t="str">
        <f t="array" ref="N118">INDEX('Primary - GRADING'!$A$1:$CP997,MATCH($A118,'Primary - GRADING'!$CP:$CP,0),53)</f>
        <v>#N/A</v>
      </c>
      <c r="O118" s="153" t="str">
        <f t="array" ref="O118">INDEX('Primary - GRADING'!$A$1:$CP997,MATCH($A118,'Primary - GRADING'!$CP:$CP,0),58)</f>
        <v>#N/A</v>
      </c>
      <c r="P118" s="153" t="str">
        <f t="array" ref="P118">INDEX('Primary - GRADING'!$A$1:$CP997,MATCH($A118,'Primary - GRADING'!$CP:$CP,0),5)</f>
        <v>#N/A</v>
      </c>
      <c r="Q118" s="153" t="str">
        <f t="array" ref="Q118">INDEX('Primary - GRADING'!$A$1:$CP997,MATCH($A118,'Primary - GRADING'!$CP:$CP,0),6)</f>
        <v>#N/A</v>
      </c>
      <c r="R118" s="153" t="str">
        <f t="array" ref="R118">INDEX('Primary - GRADING'!$A$1:$CP997,MATCH($A118,'Primary - GRADING'!$CP:$CP,0),7)</f>
        <v>#N/A</v>
      </c>
      <c r="S118" s="153" t="str">
        <f t="array" ref="S118">INDEX('Primary - GRADING'!$A$1:$CP997,MATCH($A118,'Primary - GRADING'!$CP:$CP,0),8)</f>
        <v>#N/A</v>
      </c>
      <c r="T118" s="153" t="str">
        <f t="array" ref="T118">INDEX('Primary - GRADING'!$A$1:$CP997,MATCH($A118,'Primary - GRADING'!$CP:$CP,0),9)</f>
        <v>#N/A</v>
      </c>
      <c r="U118" s="153" t="str">
        <f t="array" ref="U118">INDEX('Primary - GRADING'!$A$1:$CP997,MATCH($A118,'Primary - GRADING'!$CP:$CP,0),10)</f>
        <v>#N/A</v>
      </c>
      <c r="V118" s="153" t="str">
        <f t="array" ref="V118">INDEX('Primary - GRADING'!$A$1:$CP997,MATCH($A118,'Primary - GRADING'!$CP:$CP,0),18)</f>
        <v>#N/A</v>
      </c>
      <c r="W118" s="153" t="str">
        <f t="array" ref="W118">INDEX('Primary - GRADING'!$A$1:$CP997,MATCH($A118,'Primary - GRADING'!$CP:$CP,0),20)</f>
        <v>#N/A</v>
      </c>
      <c r="X118" s="153" t="str">
        <f t="array" ref="X118">INDEX('Primary - GRADING'!$A$1:$CP997,MATCH($A118,'Primary - GRADING'!$CP:$CP,0),21)</f>
        <v>#N/A</v>
      </c>
      <c r="Y118" s="153" t="str">
        <f t="array" ref="Y118">INDEX('Primary - GRADING'!$A$1:$CP997,MATCH($A118,'Primary - GRADING'!$CP:$CP,0),22)</f>
        <v>#N/A</v>
      </c>
      <c r="Z118" s="165" t="str">
        <f t="array" ref="Z118">INDEX('Primary - GRADING'!$A$1:$CP997,MATCH($A118,'Primary - GRADING'!$CP:$CP,0),23)</f>
        <v>#N/A</v>
      </c>
      <c r="AA118" s="153" t="str">
        <f t="array" ref="AA118">INDEX('Primary - GRADING'!$A$1:$CP997,MATCH($A118,'Primary - GRADING'!$CP:$CP,0),24)</f>
        <v>#N/A</v>
      </c>
      <c r="AB118" s="153" t="str">
        <f t="array" ref="AB118">INDEX('Primary - GRADING'!$A$1:$CP997,MATCH($A118,'Primary - GRADING'!$CP:$CP,0),25)</f>
        <v>#N/A</v>
      </c>
      <c r="AC118" s="153" t="str">
        <f t="array" ref="AC118">INDEX('Primary - GRADING'!$A$1:$CP997,MATCH($A118,'Primary - GRADING'!$CP:$CP,0),46)</f>
        <v>#N/A</v>
      </c>
      <c r="AG118" s="153" t="str">
        <f t="shared" si="7"/>
        <v>#N/A</v>
      </c>
      <c r="AI118" s="153" t="str">
        <f>VLOOKUP(AH118,'Primary - GRADING'!$A$4:$C997,2,)</f>
        <v>#N/A</v>
      </c>
      <c r="AJ118" s="153" t="str">
        <f>VLOOKUP(AH118,'Primary - GRADING'!$A$4:$C997,3,)</f>
        <v>#N/A</v>
      </c>
      <c r="AK118" s="153" t="str">
        <f>VLOOKUP(AH118,'Primary - GRADING'!$A$4:$BG997,59,)</f>
        <v>#N/A</v>
      </c>
      <c r="AL118" s="153" t="str">
        <f>IFS(AK118="NMA",VLOOKUP(AH118,'Primary - GRADING'!$A$4:$BG997,51,),AK118="DIRECT",VLOOKUP(AH118,'Primary - GRADING'!$A$4:$BG997,8,),AK118="INDIRECT",VLOOKUP(AH118,'Primary - GRADING'!$A$4:$BG997,23,))</f>
        <v>#N/A</v>
      </c>
      <c r="AM118" s="153" t="str">
        <f>IFS(AK118="NMA",VLOOKUP(AH118,'Primary - GRADING'!$A$4:$BG997,52,),AK118="DIRECT",VLOOKUP(AH118,'Primary - GRADING'!$A$4:$BG997,9,),AK118="INDIRECT",VLOOKUP(AH118,'Primary - GRADING'!$A$4:$BG997,24,))</f>
        <v>#N/A</v>
      </c>
      <c r="AN118" s="153" t="str">
        <f>IFS(AK118="NMA",VLOOKUP(AH118,'Primary - GRADING'!$A$4:$BG997,53,),AK118="DIRECT",VLOOKUP(AH118,'Primary - GRADING'!$A$4:$BG997,10,),AK118="INDIRECT",VLOOKUP(AH118,'Primary - GRADING'!$A$4:$BG997,25,))</f>
        <v>#N/A</v>
      </c>
      <c r="AO118" s="153" t="str">
        <f t="shared" si="8"/>
        <v>#N/A</v>
      </c>
      <c r="AT118" s="153" t="str">
        <f t="shared" si="9"/>
        <v>#N/A</v>
      </c>
      <c r="AV118" s="153" t="str">
        <f>VLOOKUP(AU118,'Primary - GRADING'!$A$4:$C997,2,)</f>
        <v>#N/A</v>
      </c>
      <c r="AW118" s="153" t="str">
        <f>VLOOKUP(AU118,'Primary - GRADING'!$A$4:$C997,3,)</f>
        <v>#N/A</v>
      </c>
      <c r="AX118" s="153" t="str">
        <f>VLOOKUP(AU118,'Primary - GRADING'!$A$4:$BG997,59,)</f>
        <v>#N/A</v>
      </c>
      <c r="AY118" s="153" t="str">
        <f>IFS(AX118="NMA",VLOOKUP(AU118,'Primary - GRADING'!$A$4:$BG997,51,),AX118="DIRECT",VLOOKUP(AU118,'Primary - GRADING'!$A$4:$BG997,8,),AX118="INDIRECT",VLOOKUP(AU118,'Primary - GRADING'!$A$4:$BG997,23,))</f>
        <v>#N/A</v>
      </c>
      <c r="AZ118" s="153" t="str">
        <f>IFS(AX118="NMA",VLOOKUP(AU118,'Primary - GRADING'!$A$4:$BG997,52,),AX118="DIRECT",VLOOKUP(AU118,'Primary - GRADING'!$A$4:$BG997,9,),AX118="INDIRECT",VLOOKUP(AU118,'Primary - GRADING'!$A$4:$BG997,24,))</f>
        <v>#N/A</v>
      </c>
      <c r="BA118" s="153" t="str">
        <f>IFS(AX118="NMA",VLOOKUP(AU118,'Primary - GRADING'!$A$4:$BG997,53,),AX118="DIRECT",VLOOKUP(AU118,'Primary - GRADING'!$A$4:$BG997,10,),AX118="INDIRECT",VLOOKUP(AU118,'Primary - GRADING'!$A$4:$BG997,25,))</f>
        <v>#N/A</v>
      </c>
      <c r="BB118" s="153" t="str">
        <f t="shared" si="10"/>
        <v>#N/A</v>
      </c>
      <c r="BE118" s="153" t="str">
        <f t="shared" si="11"/>
        <v/>
      </c>
      <c r="BG118" s="153" t="str">
        <f t="shared" si="12"/>
        <v>#N/A</v>
      </c>
      <c r="BI118" s="153" t="str">
        <f t="shared" si="13"/>
        <v>#N/A</v>
      </c>
      <c r="BK118" s="153" t="str">
        <f t="shared" si="14"/>
        <v>#N/A</v>
      </c>
      <c r="BM118" s="153" t="str">
        <f t="shared" si="15"/>
        <v>#N/A</v>
      </c>
    </row>
    <row r="119" ht="15.75" customHeight="1">
      <c r="B119" s="160" t="str">
        <f t="shared" si="1"/>
        <v>#N/A</v>
      </c>
      <c r="C119" s="160" t="str">
        <f t="shared" si="2"/>
        <v>#N/A</v>
      </c>
      <c r="D119" s="160" t="str">
        <f t="shared" si="3"/>
        <v>#N/A</v>
      </c>
      <c r="E119" s="161" t="str">
        <f t="shared" si="4"/>
        <v>#N/A</v>
      </c>
      <c r="F119" s="153" t="str">
        <f t="shared" si="17"/>
        <v>#N/A</v>
      </c>
      <c r="G119" s="153" t="str">
        <f t="shared" si="6"/>
        <v>#N/A</v>
      </c>
      <c r="H119" s="156" t="str">
        <f t="array" ref="H119">INDEX('Primary - GRADING'!$A$1:$BG997,MATCH($A119,'Primary - GRADING'!$B:$B,0),59)</f>
        <v>#N/A</v>
      </c>
      <c r="I119" s="153" t="str">
        <f t="array" ref="I119">INDEX('Primary - GRADING'!$A$1:$CP997,MATCH($A119,'Primary - GRADING'!$CP:$CP,0),48)</f>
        <v>#N/A</v>
      </c>
      <c r="J119" s="153" t="str">
        <f t="array" ref="J119">INDEX('Primary - GRADING'!$A$1:$CP997,MATCH($A119,'Primary - GRADING'!$CP:$CP,0),49)</f>
        <v>#N/A</v>
      </c>
      <c r="K119" s="153" t="str">
        <f t="array" ref="K119">INDEX('Primary - GRADING'!$A$1:$CP997,MATCH($A119,'Primary - GRADING'!$CP:$CP,0),50)</f>
        <v>#N/A</v>
      </c>
      <c r="L119" s="153" t="str">
        <f t="array" ref="L119">INDEX('Primary - GRADING'!$A$1:$CP997,MATCH($A119,'Primary - GRADING'!$CP:$CP,0),51)</f>
        <v>#N/A</v>
      </c>
      <c r="M119" s="153" t="str">
        <f t="array" ref="M119">INDEX('Primary - GRADING'!$A$1:$CP997,MATCH($A119,'Primary - GRADING'!$CP:$CP,0),52)</f>
        <v>#N/A</v>
      </c>
      <c r="N119" s="153" t="str">
        <f t="array" ref="N119">INDEX('Primary - GRADING'!$A$1:$CP997,MATCH($A119,'Primary - GRADING'!$CP:$CP,0),53)</f>
        <v>#N/A</v>
      </c>
      <c r="O119" s="153" t="str">
        <f t="array" ref="O119">INDEX('Primary - GRADING'!$A$1:$CP997,MATCH($A119,'Primary - GRADING'!$CP:$CP,0),58)</f>
        <v>#N/A</v>
      </c>
      <c r="P119" s="153" t="str">
        <f t="array" ref="P119">INDEX('Primary - GRADING'!$A$1:$CP997,MATCH($A119,'Primary - GRADING'!$CP:$CP,0),5)</f>
        <v>#N/A</v>
      </c>
      <c r="Q119" s="153" t="str">
        <f t="array" ref="Q119">INDEX('Primary - GRADING'!$A$1:$CP997,MATCH($A119,'Primary - GRADING'!$CP:$CP,0),6)</f>
        <v>#N/A</v>
      </c>
      <c r="R119" s="153" t="str">
        <f t="array" ref="R119">INDEX('Primary - GRADING'!$A$1:$CP997,MATCH($A119,'Primary - GRADING'!$CP:$CP,0),7)</f>
        <v>#N/A</v>
      </c>
      <c r="S119" s="153" t="str">
        <f t="array" ref="S119">INDEX('Primary - GRADING'!$A$1:$CP997,MATCH($A119,'Primary - GRADING'!$CP:$CP,0),8)</f>
        <v>#N/A</v>
      </c>
      <c r="T119" s="153" t="str">
        <f t="array" ref="T119">INDEX('Primary - GRADING'!$A$1:$CP997,MATCH($A119,'Primary - GRADING'!$CP:$CP,0),9)</f>
        <v>#N/A</v>
      </c>
      <c r="U119" s="153" t="str">
        <f t="array" ref="U119">INDEX('Primary - GRADING'!$A$1:$CP997,MATCH($A119,'Primary - GRADING'!$CP:$CP,0),10)</f>
        <v>#N/A</v>
      </c>
      <c r="V119" s="153" t="str">
        <f t="array" ref="V119">INDEX('Primary - GRADING'!$A$1:$CP997,MATCH($A119,'Primary - GRADING'!$CP:$CP,0),18)</f>
        <v>#N/A</v>
      </c>
      <c r="W119" s="153" t="str">
        <f t="array" ref="W119">INDEX('Primary - GRADING'!$A$1:$CP997,MATCH($A119,'Primary - GRADING'!$CP:$CP,0),20)</f>
        <v>#N/A</v>
      </c>
      <c r="X119" s="153" t="str">
        <f t="array" ref="X119">INDEX('Primary - GRADING'!$A$1:$CP997,MATCH($A119,'Primary - GRADING'!$CP:$CP,0),21)</f>
        <v>#N/A</v>
      </c>
      <c r="Y119" s="153" t="str">
        <f t="array" ref="Y119">INDEX('Primary - GRADING'!$A$1:$CP997,MATCH($A119,'Primary - GRADING'!$CP:$CP,0),22)</f>
        <v>#N/A</v>
      </c>
      <c r="Z119" s="165" t="str">
        <f t="array" ref="Z119">INDEX('Primary - GRADING'!$A$1:$CP997,MATCH($A119,'Primary - GRADING'!$CP:$CP,0),23)</f>
        <v>#N/A</v>
      </c>
      <c r="AA119" s="153" t="str">
        <f t="array" ref="AA119">INDEX('Primary - GRADING'!$A$1:$CP997,MATCH($A119,'Primary - GRADING'!$CP:$CP,0),24)</f>
        <v>#N/A</v>
      </c>
      <c r="AB119" s="153" t="str">
        <f t="array" ref="AB119">INDEX('Primary - GRADING'!$A$1:$CP997,MATCH($A119,'Primary - GRADING'!$CP:$CP,0),25)</f>
        <v>#N/A</v>
      </c>
      <c r="AC119" s="153" t="str">
        <f t="array" ref="AC119">INDEX('Primary - GRADING'!$A$1:$CP997,MATCH($A119,'Primary - GRADING'!$CP:$CP,0),46)</f>
        <v>#N/A</v>
      </c>
      <c r="AG119" s="153" t="str">
        <f t="shared" si="7"/>
        <v>#N/A</v>
      </c>
      <c r="AI119" s="153" t="str">
        <f>VLOOKUP(AH119,'Primary - GRADING'!$A$4:$C997,2,)</f>
        <v>#N/A</v>
      </c>
      <c r="AJ119" s="153" t="str">
        <f>VLOOKUP(AH119,'Primary - GRADING'!$A$4:$C997,3,)</f>
        <v>#N/A</v>
      </c>
      <c r="AK119" s="153" t="str">
        <f>VLOOKUP(AH119,'Primary - GRADING'!$A$4:$BG997,59,)</f>
        <v>#N/A</v>
      </c>
      <c r="AL119" s="153" t="str">
        <f>IFS(AK119="NMA",VLOOKUP(AH119,'Primary - GRADING'!$A$4:$BG997,51,),AK119="DIRECT",VLOOKUP(AH119,'Primary - GRADING'!$A$4:$BG997,8,),AK119="INDIRECT",VLOOKUP(AH119,'Primary - GRADING'!$A$4:$BG997,23,))</f>
        <v>#N/A</v>
      </c>
      <c r="AM119" s="153" t="str">
        <f>IFS(AK119="NMA",VLOOKUP(AH119,'Primary - GRADING'!$A$4:$BG997,52,),AK119="DIRECT",VLOOKUP(AH119,'Primary - GRADING'!$A$4:$BG997,9,),AK119="INDIRECT",VLOOKUP(AH119,'Primary - GRADING'!$A$4:$BG997,24,))</f>
        <v>#N/A</v>
      </c>
      <c r="AN119" s="153" t="str">
        <f>IFS(AK119="NMA",VLOOKUP(AH119,'Primary - GRADING'!$A$4:$BG997,53,),AK119="DIRECT",VLOOKUP(AH119,'Primary - GRADING'!$A$4:$BG997,10,),AK119="INDIRECT",VLOOKUP(AH119,'Primary - GRADING'!$A$4:$BG997,25,))</f>
        <v>#N/A</v>
      </c>
      <c r="AO119" s="153" t="str">
        <f t="shared" si="8"/>
        <v>#N/A</v>
      </c>
      <c r="AT119" s="153" t="str">
        <f t="shared" si="9"/>
        <v>#N/A</v>
      </c>
      <c r="AV119" s="153" t="str">
        <f>VLOOKUP(AU119,'Primary - GRADING'!$A$4:$C997,2,)</f>
        <v>#N/A</v>
      </c>
      <c r="AW119" s="153" t="str">
        <f>VLOOKUP(AU119,'Primary - GRADING'!$A$4:$C997,3,)</f>
        <v>#N/A</v>
      </c>
      <c r="AX119" s="153" t="str">
        <f>VLOOKUP(AU119,'Primary - GRADING'!$A$4:$BG997,59,)</f>
        <v>#N/A</v>
      </c>
      <c r="AY119" s="153" t="str">
        <f>IFS(AX119="NMA",VLOOKUP(AU119,'Primary - GRADING'!$A$4:$BG997,51,),AX119="DIRECT",VLOOKUP(AU119,'Primary - GRADING'!$A$4:$BG997,8,),AX119="INDIRECT",VLOOKUP(AU119,'Primary - GRADING'!$A$4:$BG997,23,))</f>
        <v>#N/A</v>
      </c>
      <c r="AZ119" s="153" t="str">
        <f>IFS(AX119="NMA",VLOOKUP(AU119,'Primary - GRADING'!$A$4:$BG997,52,),AX119="DIRECT",VLOOKUP(AU119,'Primary - GRADING'!$A$4:$BG997,9,),AX119="INDIRECT",VLOOKUP(AU119,'Primary - GRADING'!$A$4:$BG997,24,))</f>
        <v>#N/A</v>
      </c>
      <c r="BA119" s="153" t="str">
        <f>IFS(AX119="NMA",VLOOKUP(AU119,'Primary - GRADING'!$A$4:$BG997,53,),AX119="DIRECT",VLOOKUP(AU119,'Primary - GRADING'!$A$4:$BG997,10,),AX119="INDIRECT",VLOOKUP(AU119,'Primary - GRADING'!$A$4:$BG997,25,))</f>
        <v>#N/A</v>
      </c>
      <c r="BB119" s="153" t="str">
        <f t="shared" si="10"/>
        <v>#N/A</v>
      </c>
      <c r="BE119" s="153" t="str">
        <f t="shared" si="11"/>
        <v/>
      </c>
      <c r="BG119" s="153" t="str">
        <f t="shared" si="12"/>
        <v>#N/A</v>
      </c>
      <c r="BI119" s="153" t="str">
        <f t="shared" si="13"/>
        <v>#N/A</v>
      </c>
      <c r="BK119" s="153" t="str">
        <f t="shared" si="14"/>
        <v>#N/A</v>
      </c>
      <c r="BM119" s="153" t="str">
        <f t="shared" si="15"/>
        <v>#N/A</v>
      </c>
    </row>
    <row r="120" ht="15.75" customHeight="1">
      <c r="B120" s="160" t="str">
        <f t="shared" si="1"/>
        <v>#N/A</v>
      </c>
      <c r="C120" s="160" t="str">
        <f t="shared" si="2"/>
        <v>#N/A</v>
      </c>
      <c r="D120" s="160" t="str">
        <f t="shared" si="3"/>
        <v>#N/A</v>
      </c>
      <c r="E120" s="161" t="str">
        <f t="shared" si="4"/>
        <v>#N/A</v>
      </c>
      <c r="F120" s="153" t="str">
        <f t="shared" si="17"/>
        <v>#N/A</v>
      </c>
      <c r="G120" s="153" t="str">
        <f t="shared" si="6"/>
        <v>#N/A</v>
      </c>
      <c r="H120" s="156" t="str">
        <f t="array" ref="H120">INDEX('Primary - GRADING'!$A$1:$BG997,MATCH($A120,'Primary - GRADING'!$B:$B,0),59)</f>
        <v>#N/A</v>
      </c>
      <c r="I120" s="153" t="str">
        <f t="array" ref="I120">INDEX('Primary - GRADING'!$A$1:$CP997,MATCH($A120,'Primary - GRADING'!$CP:$CP,0),48)</f>
        <v>#N/A</v>
      </c>
      <c r="J120" s="153" t="str">
        <f t="array" ref="J120">INDEX('Primary - GRADING'!$A$1:$CP997,MATCH($A120,'Primary - GRADING'!$CP:$CP,0),49)</f>
        <v>#N/A</v>
      </c>
      <c r="K120" s="153" t="str">
        <f t="array" ref="K120">INDEX('Primary - GRADING'!$A$1:$CP997,MATCH($A120,'Primary - GRADING'!$CP:$CP,0),50)</f>
        <v>#N/A</v>
      </c>
      <c r="L120" s="153" t="str">
        <f t="array" ref="L120">INDEX('Primary - GRADING'!$A$1:$CP997,MATCH($A120,'Primary - GRADING'!$CP:$CP,0),51)</f>
        <v>#N/A</v>
      </c>
      <c r="M120" s="153" t="str">
        <f t="array" ref="M120">INDEX('Primary - GRADING'!$A$1:$CP997,MATCH($A120,'Primary - GRADING'!$CP:$CP,0),52)</f>
        <v>#N/A</v>
      </c>
      <c r="N120" s="153" t="str">
        <f t="array" ref="N120">INDEX('Primary - GRADING'!$A$1:$CP997,MATCH($A120,'Primary - GRADING'!$CP:$CP,0),53)</f>
        <v>#N/A</v>
      </c>
      <c r="O120" s="153" t="str">
        <f t="array" ref="O120">INDEX('Primary - GRADING'!$A$1:$CP997,MATCH($A120,'Primary - GRADING'!$CP:$CP,0),58)</f>
        <v>#N/A</v>
      </c>
      <c r="P120" s="153" t="str">
        <f t="array" ref="P120">INDEX('Primary - GRADING'!$A$1:$CP997,MATCH($A120,'Primary - GRADING'!$CP:$CP,0),5)</f>
        <v>#N/A</v>
      </c>
      <c r="Q120" s="153" t="str">
        <f t="array" ref="Q120">INDEX('Primary - GRADING'!$A$1:$CP997,MATCH($A120,'Primary - GRADING'!$CP:$CP,0),6)</f>
        <v>#N/A</v>
      </c>
      <c r="R120" s="153" t="str">
        <f t="array" ref="R120">INDEX('Primary - GRADING'!$A$1:$CP997,MATCH($A120,'Primary - GRADING'!$CP:$CP,0),7)</f>
        <v>#N/A</v>
      </c>
      <c r="S120" s="153" t="str">
        <f t="array" ref="S120">INDEX('Primary - GRADING'!$A$1:$CP997,MATCH($A120,'Primary - GRADING'!$CP:$CP,0),8)</f>
        <v>#N/A</v>
      </c>
      <c r="T120" s="153" t="str">
        <f t="array" ref="T120">INDEX('Primary - GRADING'!$A$1:$CP997,MATCH($A120,'Primary - GRADING'!$CP:$CP,0),9)</f>
        <v>#N/A</v>
      </c>
      <c r="U120" s="153" t="str">
        <f t="array" ref="U120">INDEX('Primary - GRADING'!$A$1:$CP997,MATCH($A120,'Primary - GRADING'!$CP:$CP,0),10)</f>
        <v>#N/A</v>
      </c>
      <c r="V120" s="153" t="str">
        <f t="array" ref="V120">INDEX('Primary - GRADING'!$A$1:$CP997,MATCH($A120,'Primary - GRADING'!$CP:$CP,0),18)</f>
        <v>#N/A</v>
      </c>
      <c r="W120" s="153" t="str">
        <f t="array" ref="W120">INDEX('Primary - GRADING'!$A$1:$CP997,MATCH($A120,'Primary - GRADING'!$CP:$CP,0),20)</f>
        <v>#N/A</v>
      </c>
      <c r="X120" s="153" t="str">
        <f t="array" ref="X120">INDEX('Primary - GRADING'!$A$1:$CP997,MATCH($A120,'Primary - GRADING'!$CP:$CP,0),21)</f>
        <v>#N/A</v>
      </c>
      <c r="Y120" s="153" t="str">
        <f t="array" ref="Y120">INDEX('Primary - GRADING'!$A$1:$CP997,MATCH($A120,'Primary - GRADING'!$CP:$CP,0),22)</f>
        <v>#N/A</v>
      </c>
      <c r="Z120" s="165" t="str">
        <f t="array" ref="Z120">INDEX('Primary - GRADING'!$A$1:$CP997,MATCH($A120,'Primary - GRADING'!$CP:$CP,0),23)</f>
        <v>#N/A</v>
      </c>
      <c r="AA120" s="153" t="str">
        <f t="array" ref="AA120">INDEX('Primary - GRADING'!$A$1:$CP997,MATCH($A120,'Primary - GRADING'!$CP:$CP,0),24)</f>
        <v>#N/A</v>
      </c>
      <c r="AB120" s="153" t="str">
        <f t="array" ref="AB120">INDEX('Primary - GRADING'!$A$1:$CP997,MATCH($A120,'Primary - GRADING'!$CP:$CP,0),25)</f>
        <v>#N/A</v>
      </c>
      <c r="AC120" s="153" t="str">
        <f t="array" ref="AC120">INDEX('Primary - GRADING'!$A$1:$CP997,MATCH($A120,'Primary - GRADING'!$CP:$CP,0),46)</f>
        <v>#N/A</v>
      </c>
      <c r="AG120" s="153" t="str">
        <f t="shared" si="7"/>
        <v>#N/A</v>
      </c>
      <c r="AI120" s="153" t="str">
        <f>VLOOKUP(AH120,'Primary - GRADING'!$A$4:$C997,2,)</f>
        <v>#N/A</v>
      </c>
      <c r="AJ120" s="153" t="str">
        <f>VLOOKUP(AH120,'Primary - GRADING'!$A$4:$C997,3,)</f>
        <v>#N/A</v>
      </c>
      <c r="AK120" s="153" t="str">
        <f>VLOOKUP(AH120,'Primary - GRADING'!$A$4:$BG997,59,)</f>
        <v>#N/A</v>
      </c>
      <c r="AL120" s="153" t="str">
        <f>IFS(AK120="NMA",VLOOKUP(AH120,'Primary - GRADING'!$A$4:$BG997,51,),AK120="DIRECT",VLOOKUP(AH120,'Primary - GRADING'!$A$4:$BG997,8,),AK120="INDIRECT",VLOOKUP(AH120,'Primary - GRADING'!$A$4:$BG997,23,))</f>
        <v>#N/A</v>
      </c>
      <c r="AM120" s="153" t="str">
        <f>IFS(AK120="NMA",VLOOKUP(AH120,'Primary - GRADING'!$A$4:$BG997,52,),AK120="DIRECT",VLOOKUP(AH120,'Primary - GRADING'!$A$4:$BG997,9,),AK120="INDIRECT",VLOOKUP(AH120,'Primary - GRADING'!$A$4:$BG997,24,))</f>
        <v>#N/A</v>
      </c>
      <c r="AN120" s="153" t="str">
        <f>IFS(AK120="NMA",VLOOKUP(AH120,'Primary - GRADING'!$A$4:$BG997,53,),AK120="DIRECT",VLOOKUP(AH120,'Primary - GRADING'!$A$4:$BG997,10,),AK120="INDIRECT",VLOOKUP(AH120,'Primary - GRADING'!$A$4:$BG997,25,))</f>
        <v>#N/A</v>
      </c>
      <c r="AO120" s="153" t="str">
        <f t="shared" si="8"/>
        <v>#N/A</v>
      </c>
      <c r="AT120" s="153" t="str">
        <f t="shared" si="9"/>
        <v>#N/A</v>
      </c>
      <c r="AV120" s="153" t="str">
        <f>VLOOKUP(AU120,'Primary - GRADING'!$A$4:$C997,2,)</f>
        <v>#N/A</v>
      </c>
      <c r="AW120" s="153" t="str">
        <f>VLOOKUP(AU120,'Primary - GRADING'!$A$4:$C997,3,)</f>
        <v>#N/A</v>
      </c>
      <c r="AX120" s="153" t="str">
        <f>VLOOKUP(AU120,'Primary - GRADING'!$A$4:$BG997,59,)</f>
        <v>#N/A</v>
      </c>
      <c r="AY120" s="153" t="str">
        <f>IFS(AX120="NMA",VLOOKUP(AU120,'Primary - GRADING'!$A$4:$BG997,51,),AX120="DIRECT",VLOOKUP(AU120,'Primary - GRADING'!$A$4:$BG997,8,),AX120="INDIRECT",VLOOKUP(AU120,'Primary - GRADING'!$A$4:$BG997,23,))</f>
        <v>#N/A</v>
      </c>
      <c r="AZ120" s="153" t="str">
        <f>IFS(AX120="NMA",VLOOKUP(AU120,'Primary - GRADING'!$A$4:$BG997,52,),AX120="DIRECT",VLOOKUP(AU120,'Primary - GRADING'!$A$4:$BG997,9,),AX120="INDIRECT",VLOOKUP(AU120,'Primary - GRADING'!$A$4:$BG997,24,))</f>
        <v>#N/A</v>
      </c>
      <c r="BA120" s="153" t="str">
        <f>IFS(AX120="NMA",VLOOKUP(AU120,'Primary - GRADING'!$A$4:$BG997,53,),AX120="DIRECT",VLOOKUP(AU120,'Primary - GRADING'!$A$4:$BG997,10,),AX120="INDIRECT",VLOOKUP(AU120,'Primary - GRADING'!$A$4:$BG997,25,))</f>
        <v>#N/A</v>
      </c>
      <c r="BB120" s="153" t="str">
        <f t="shared" si="10"/>
        <v>#N/A</v>
      </c>
      <c r="BE120" s="153" t="str">
        <f t="shared" si="11"/>
        <v/>
      </c>
      <c r="BG120" s="153" t="str">
        <f t="shared" si="12"/>
        <v>#N/A</v>
      </c>
      <c r="BI120" s="153" t="str">
        <f t="shared" si="13"/>
        <v>#N/A</v>
      </c>
      <c r="BK120" s="153" t="str">
        <f t="shared" si="14"/>
        <v>#N/A</v>
      </c>
      <c r="BM120" s="153" t="str">
        <f t="shared" si="15"/>
        <v>#N/A</v>
      </c>
    </row>
    <row r="121" ht="15.75" customHeight="1">
      <c r="B121" s="160" t="str">
        <f t="shared" si="1"/>
        <v>#N/A</v>
      </c>
      <c r="C121" s="160" t="str">
        <f t="shared" si="2"/>
        <v>#N/A</v>
      </c>
      <c r="D121" s="160" t="str">
        <f t="shared" si="3"/>
        <v>#N/A</v>
      </c>
      <c r="E121" s="161" t="str">
        <f t="shared" si="4"/>
        <v>#N/A</v>
      </c>
      <c r="F121" s="153" t="str">
        <f t="shared" si="17"/>
        <v>#N/A</v>
      </c>
      <c r="G121" s="153" t="str">
        <f t="shared" si="6"/>
        <v>#N/A</v>
      </c>
      <c r="H121" s="156" t="str">
        <f t="array" ref="H121">INDEX('Primary - GRADING'!$A$1:$BG997,MATCH($A121,'Primary - GRADING'!$B:$B,0),59)</f>
        <v>#N/A</v>
      </c>
      <c r="I121" s="153" t="str">
        <f t="array" ref="I121">INDEX('Primary - GRADING'!$A$1:$CP997,MATCH($A121,'Primary - GRADING'!$CP:$CP,0),48)</f>
        <v>#N/A</v>
      </c>
      <c r="J121" s="153" t="str">
        <f t="array" ref="J121">INDEX('Primary - GRADING'!$A$1:$CP997,MATCH($A121,'Primary - GRADING'!$CP:$CP,0),49)</f>
        <v>#N/A</v>
      </c>
      <c r="K121" s="153" t="str">
        <f t="array" ref="K121">INDEX('Primary - GRADING'!$A$1:$CP997,MATCH($A121,'Primary - GRADING'!$CP:$CP,0),50)</f>
        <v>#N/A</v>
      </c>
      <c r="L121" s="153" t="str">
        <f t="array" ref="L121">INDEX('Primary - GRADING'!$A$1:$CP997,MATCH($A121,'Primary - GRADING'!$CP:$CP,0),51)</f>
        <v>#N/A</v>
      </c>
      <c r="M121" s="153" t="str">
        <f t="array" ref="M121">INDEX('Primary - GRADING'!$A$1:$CP997,MATCH($A121,'Primary - GRADING'!$CP:$CP,0),52)</f>
        <v>#N/A</v>
      </c>
      <c r="N121" s="153" t="str">
        <f t="array" ref="N121">INDEX('Primary - GRADING'!$A$1:$CP997,MATCH($A121,'Primary - GRADING'!$CP:$CP,0),53)</f>
        <v>#N/A</v>
      </c>
      <c r="O121" s="153" t="str">
        <f t="array" ref="O121">INDEX('Primary - GRADING'!$A$1:$CP997,MATCH($A121,'Primary - GRADING'!$CP:$CP,0),58)</f>
        <v>#N/A</v>
      </c>
      <c r="P121" s="153" t="str">
        <f t="array" ref="P121">INDEX('Primary - GRADING'!$A$1:$CP997,MATCH($A121,'Primary - GRADING'!$CP:$CP,0),5)</f>
        <v>#N/A</v>
      </c>
      <c r="Q121" s="153" t="str">
        <f t="array" ref="Q121">INDEX('Primary - GRADING'!$A$1:$CP997,MATCH($A121,'Primary - GRADING'!$CP:$CP,0),6)</f>
        <v>#N/A</v>
      </c>
      <c r="R121" s="153" t="str">
        <f t="array" ref="R121">INDEX('Primary - GRADING'!$A$1:$CP997,MATCH($A121,'Primary - GRADING'!$CP:$CP,0),7)</f>
        <v>#N/A</v>
      </c>
      <c r="S121" s="153" t="str">
        <f t="array" ref="S121">INDEX('Primary - GRADING'!$A$1:$CP997,MATCH($A121,'Primary - GRADING'!$CP:$CP,0),8)</f>
        <v>#N/A</v>
      </c>
      <c r="T121" s="153" t="str">
        <f t="array" ref="T121">INDEX('Primary - GRADING'!$A$1:$CP997,MATCH($A121,'Primary - GRADING'!$CP:$CP,0),9)</f>
        <v>#N/A</v>
      </c>
      <c r="U121" s="153" t="str">
        <f t="array" ref="U121">INDEX('Primary - GRADING'!$A$1:$CP997,MATCH($A121,'Primary - GRADING'!$CP:$CP,0),10)</f>
        <v>#N/A</v>
      </c>
      <c r="V121" s="153" t="str">
        <f t="array" ref="V121">INDEX('Primary - GRADING'!$A$1:$CP997,MATCH($A121,'Primary - GRADING'!$CP:$CP,0),18)</f>
        <v>#N/A</v>
      </c>
      <c r="W121" s="153" t="str">
        <f t="array" ref="W121">INDEX('Primary - GRADING'!$A$1:$CP997,MATCH($A121,'Primary - GRADING'!$CP:$CP,0),20)</f>
        <v>#N/A</v>
      </c>
      <c r="X121" s="153" t="str">
        <f t="array" ref="X121">INDEX('Primary - GRADING'!$A$1:$CP997,MATCH($A121,'Primary - GRADING'!$CP:$CP,0),21)</f>
        <v>#N/A</v>
      </c>
      <c r="Y121" s="153" t="str">
        <f t="array" ref="Y121">INDEX('Primary - GRADING'!$A$1:$CP997,MATCH($A121,'Primary - GRADING'!$CP:$CP,0),22)</f>
        <v>#N/A</v>
      </c>
      <c r="Z121" s="165" t="str">
        <f t="array" ref="Z121">INDEX('Primary - GRADING'!$A$1:$CP997,MATCH($A121,'Primary - GRADING'!$CP:$CP,0),23)</f>
        <v>#N/A</v>
      </c>
      <c r="AA121" s="153" t="str">
        <f t="array" ref="AA121">INDEX('Primary - GRADING'!$A$1:$CP997,MATCH($A121,'Primary - GRADING'!$CP:$CP,0),24)</f>
        <v>#N/A</v>
      </c>
      <c r="AB121" s="153" t="str">
        <f t="array" ref="AB121">INDEX('Primary - GRADING'!$A$1:$CP997,MATCH($A121,'Primary - GRADING'!$CP:$CP,0),25)</f>
        <v>#N/A</v>
      </c>
      <c r="AC121" s="153" t="str">
        <f t="array" ref="AC121">INDEX('Primary - GRADING'!$A$1:$CP997,MATCH($A121,'Primary - GRADING'!$CP:$CP,0),46)</f>
        <v>#N/A</v>
      </c>
      <c r="AG121" s="153" t="str">
        <f t="shared" si="7"/>
        <v>#N/A</v>
      </c>
      <c r="AI121" s="153" t="str">
        <f>VLOOKUP(AH121,'Primary - GRADING'!$A$4:$C997,2,)</f>
        <v>#N/A</v>
      </c>
      <c r="AJ121" s="153" t="str">
        <f>VLOOKUP(AH121,'Primary - GRADING'!$A$4:$C997,3,)</f>
        <v>#N/A</v>
      </c>
      <c r="AK121" s="153" t="str">
        <f>VLOOKUP(AH121,'Primary - GRADING'!$A$4:$BG997,59,)</f>
        <v>#N/A</v>
      </c>
      <c r="AL121" s="153" t="str">
        <f>IFS(AK121="NMA",VLOOKUP(AH121,'Primary - GRADING'!$A$4:$BG997,51,),AK121="DIRECT",VLOOKUP(AH121,'Primary - GRADING'!$A$4:$BG997,8,),AK121="INDIRECT",VLOOKUP(AH121,'Primary - GRADING'!$A$4:$BG997,23,))</f>
        <v>#N/A</v>
      </c>
      <c r="AM121" s="153" t="str">
        <f>IFS(AK121="NMA",VLOOKUP(AH121,'Primary - GRADING'!$A$4:$BG997,52,),AK121="DIRECT",VLOOKUP(AH121,'Primary - GRADING'!$A$4:$BG997,9,),AK121="INDIRECT",VLOOKUP(AH121,'Primary - GRADING'!$A$4:$BG997,24,))</f>
        <v>#N/A</v>
      </c>
      <c r="AN121" s="153" t="str">
        <f>IFS(AK121="NMA",VLOOKUP(AH121,'Primary - GRADING'!$A$4:$BG997,53,),AK121="DIRECT",VLOOKUP(AH121,'Primary - GRADING'!$A$4:$BG997,10,),AK121="INDIRECT",VLOOKUP(AH121,'Primary - GRADING'!$A$4:$BG997,25,))</f>
        <v>#N/A</v>
      </c>
      <c r="AO121" s="153" t="str">
        <f t="shared" si="8"/>
        <v>#N/A</v>
      </c>
      <c r="AT121" s="153" t="str">
        <f t="shared" si="9"/>
        <v>#N/A</v>
      </c>
      <c r="AV121" s="153" t="str">
        <f>VLOOKUP(AU121,'Primary - GRADING'!$A$4:$C997,2,)</f>
        <v>#N/A</v>
      </c>
      <c r="AW121" s="153" t="str">
        <f>VLOOKUP(AU121,'Primary - GRADING'!$A$4:$C997,3,)</f>
        <v>#N/A</v>
      </c>
      <c r="AX121" s="153" t="str">
        <f>VLOOKUP(AU121,'Primary - GRADING'!$A$4:$BG997,59,)</f>
        <v>#N/A</v>
      </c>
      <c r="AY121" s="153" t="str">
        <f>IFS(AX121="NMA",VLOOKUP(AU121,'Primary - GRADING'!$A$4:$BG997,51,),AX121="DIRECT",VLOOKUP(AU121,'Primary - GRADING'!$A$4:$BG997,8,),AX121="INDIRECT",VLOOKUP(AU121,'Primary - GRADING'!$A$4:$BG997,23,))</f>
        <v>#N/A</v>
      </c>
      <c r="AZ121" s="153" t="str">
        <f>IFS(AX121="NMA",VLOOKUP(AU121,'Primary - GRADING'!$A$4:$BG997,52,),AX121="DIRECT",VLOOKUP(AU121,'Primary - GRADING'!$A$4:$BG997,9,),AX121="INDIRECT",VLOOKUP(AU121,'Primary - GRADING'!$A$4:$BG997,24,))</f>
        <v>#N/A</v>
      </c>
      <c r="BA121" s="153" t="str">
        <f>IFS(AX121="NMA",VLOOKUP(AU121,'Primary - GRADING'!$A$4:$BG997,53,),AX121="DIRECT",VLOOKUP(AU121,'Primary - GRADING'!$A$4:$BG997,10,),AX121="INDIRECT",VLOOKUP(AU121,'Primary - GRADING'!$A$4:$BG997,25,))</f>
        <v>#N/A</v>
      </c>
      <c r="BB121" s="153" t="str">
        <f t="shared" si="10"/>
        <v>#N/A</v>
      </c>
      <c r="BE121" s="153" t="str">
        <f t="shared" si="11"/>
        <v/>
      </c>
      <c r="BG121" s="153" t="str">
        <f t="shared" si="12"/>
        <v>#N/A</v>
      </c>
      <c r="BI121" s="153" t="str">
        <f t="shared" si="13"/>
        <v>#N/A</v>
      </c>
      <c r="BK121" s="153" t="str">
        <f t="shared" si="14"/>
        <v>#N/A</v>
      </c>
      <c r="BM121" s="153" t="str">
        <f t="shared" si="15"/>
        <v>#N/A</v>
      </c>
    </row>
    <row r="122" ht="15.75" customHeight="1">
      <c r="B122" s="160" t="str">
        <f t="shared" si="1"/>
        <v>#N/A</v>
      </c>
      <c r="C122" s="160" t="str">
        <f t="shared" si="2"/>
        <v>#N/A</v>
      </c>
      <c r="D122" s="160" t="str">
        <f t="shared" si="3"/>
        <v>#N/A</v>
      </c>
      <c r="E122" s="161" t="str">
        <f t="shared" si="4"/>
        <v>#N/A</v>
      </c>
      <c r="F122" s="153" t="str">
        <f t="shared" si="17"/>
        <v>#N/A</v>
      </c>
      <c r="G122" s="153" t="str">
        <f t="shared" si="6"/>
        <v>#N/A</v>
      </c>
      <c r="H122" s="156" t="str">
        <f t="array" ref="H122">INDEX('Primary - GRADING'!$A$1:$BG997,MATCH($A122,'Primary - GRADING'!$B:$B,0),59)</f>
        <v>#N/A</v>
      </c>
      <c r="I122" s="153" t="str">
        <f t="array" ref="I122">INDEX('Primary - GRADING'!$A$1:$CP997,MATCH($A122,'Primary - GRADING'!$CP:$CP,0),48)</f>
        <v>#N/A</v>
      </c>
      <c r="J122" s="153" t="str">
        <f t="array" ref="J122">INDEX('Primary - GRADING'!$A$1:$CP997,MATCH($A122,'Primary - GRADING'!$CP:$CP,0),49)</f>
        <v>#N/A</v>
      </c>
      <c r="K122" s="153" t="str">
        <f t="array" ref="K122">INDEX('Primary - GRADING'!$A$1:$CP997,MATCH($A122,'Primary - GRADING'!$CP:$CP,0),50)</f>
        <v>#N/A</v>
      </c>
      <c r="L122" s="153" t="str">
        <f t="array" ref="L122">INDEX('Primary - GRADING'!$A$1:$CP997,MATCH($A122,'Primary - GRADING'!$CP:$CP,0),51)</f>
        <v>#N/A</v>
      </c>
      <c r="M122" s="153" t="str">
        <f t="array" ref="M122">INDEX('Primary - GRADING'!$A$1:$CP997,MATCH($A122,'Primary - GRADING'!$CP:$CP,0),52)</f>
        <v>#N/A</v>
      </c>
      <c r="N122" s="153" t="str">
        <f t="array" ref="N122">INDEX('Primary - GRADING'!$A$1:$CP997,MATCH($A122,'Primary - GRADING'!$CP:$CP,0),53)</f>
        <v>#N/A</v>
      </c>
      <c r="O122" s="153" t="str">
        <f t="array" ref="O122">INDEX('Primary - GRADING'!$A$1:$CP997,MATCH($A122,'Primary - GRADING'!$CP:$CP,0),58)</f>
        <v>#N/A</v>
      </c>
      <c r="P122" s="153" t="str">
        <f t="array" ref="P122">INDEX('Primary - GRADING'!$A$1:$CP997,MATCH($A122,'Primary - GRADING'!$CP:$CP,0),5)</f>
        <v>#N/A</v>
      </c>
      <c r="Q122" s="153" t="str">
        <f t="array" ref="Q122">INDEX('Primary - GRADING'!$A$1:$CP997,MATCH($A122,'Primary - GRADING'!$CP:$CP,0),6)</f>
        <v>#N/A</v>
      </c>
      <c r="R122" s="153" t="str">
        <f t="array" ref="R122">INDEX('Primary - GRADING'!$A$1:$CP997,MATCH($A122,'Primary - GRADING'!$CP:$CP,0),7)</f>
        <v>#N/A</v>
      </c>
      <c r="S122" s="153" t="str">
        <f t="array" ref="S122">INDEX('Primary - GRADING'!$A$1:$CP997,MATCH($A122,'Primary - GRADING'!$CP:$CP,0),8)</f>
        <v>#N/A</v>
      </c>
      <c r="T122" s="153" t="str">
        <f t="array" ref="T122">INDEX('Primary - GRADING'!$A$1:$CP997,MATCH($A122,'Primary - GRADING'!$CP:$CP,0),9)</f>
        <v>#N/A</v>
      </c>
      <c r="U122" s="153" t="str">
        <f t="array" ref="U122">INDEX('Primary - GRADING'!$A$1:$CP997,MATCH($A122,'Primary - GRADING'!$CP:$CP,0),10)</f>
        <v>#N/A</v>
      </c>
      <c r="V122" s="153" t="str">
        <f t="array" ref="V122">INDEX('Primary - GRADING'!$A$1:$CP997,MATCH($A122,'Primary - GRADING'!$CP:$CP,0),18)</f>
        <v>#N/A</v>
      </c>
      <c r="W122" s="153" t="str">
        <f t="array" ref="W122">INDEX('Primary - GRADING'!$A$1:$CP997,MATCH($A122,'Primary - GRADING'!$CP:$CP,0),20)</f>
        <v>#N/A</v>
      </c>
      <c r="X122" s="153" t="str">
        <f t="array" ref="X122">INDEX('Primary - GRADING'!$A$1:$CP997,MATCH($A122,'Primary - GRADING'!$CP:$CP,0),21)</f>
        <v>#N/A</v>
      </c>
      <c r="Y122" s="153" t="str">
        <f t="array" ref="Y122">INDEX('Primary - GRADING'!$A$1:$CP997,MATCH($A122,'Primary - GRADING'!$CP:$CP,0),22)</f>
        <v>#N/A</v>
      </c>
      <c r="Z122" s="165" t="str">
        <f t="array" ref="Z122">INDEX('Primary - GRADING'!$A$1:$CP997,MATCH($A122,'Primary - GRADING'!$CP:$CP,0),23)</f>
        <v>#N/A</v>
      </c>
      <c r="AA122" s="153" t="str">
        <f t="array" ref="AA122">INDEX('Primary - GRADING'!$A$1:$CP997,MATCH($A122,'Primary - GRADING'!$CP:$CP,0),24)</f>
        <v>#N/A</v>
      </c>
      <c r="AB122" s="153" t="str">
        <f t="array" ref="AB122">INDEX('Primary - GRADING'!$A$1:$CP997,MATCH($A122,'Primary - GRADING'!$CP:$CP,0),25)</f>
        <v>#N/A</v>
      </c>
      <c r="AC122" s="153" t="str">
        <f t="array" ref="AC122">INDEX('Primary - GRADING'!$A$1:$CP997,MATCH($A122,'Primary - GRADING'!$CP:$CP,0),46)</f>
        <v>#N/A</v>
      </c>
      <c r="AG122" s="153" t="str">
        <f t="shared" si="7"/>
        <v>#N/A</v>
      </c>
      <c r="AI122" s="153" t="str">
        <f>VLOOKUP(AH122,'Primary - GRADING'!$A$4:$C997,2,)</f>
        <v>#N/A</v>
      </c>
      <c r="AJ122" s="153" t="str">
        <f>VLOOKUP(AH122,'Primary - GRADING'!$A$4:$C997,3,)</f>
        <v>#N/A</v>
      </c>
      <c r="AK122" s="153" t="str">
        <f>VLOOKUP(AH122,'Primary - GRADING'!$A$4:$BG997,59,)</f>
        <v>#N/A</v>
      </c>
      <c r="AL122" s="153" t="str">
        <f>IFS(AK122="NMA",VLOOKUP(AH122,'Primary - GRADING'!$A$4:$BG997,51,),AK122="DIRECT",VLOOKUP(AH122,'Primary - GRADING'!$A$4:$BG997,8,),AK122="INDIRECT",VLOOKUP(AH122,'Primary - GRADING'!$A$4:$BG997,23,))</f>
        <v>#N/A</v>
      </c>
      <c r="AM122" s="153" t="str">
        <f>IFS(AK122="NMA",VLOOKUP(AH122,'Primary - GRADING'!$A$4:$BG997,52,),AK122="DIRECT",VLOOKUP(AH122,'Primary - GRADING'!$A$4:$BG997,9,),AK122="INDIRECT",VLOOKUP(AH122,'Primary - GRADING'!$A$4:$BG997,24,))</f>
        <v>#N/A</v>
      </c>
      <c r="AN122" s="153" t="str">
        <f>IFS(AK122="NMA",VLOOKUP(AH122,'Primary - GRADING'!$A$4:$BG997,53,),AK122="DIRECT",VLOOKUP(AH122,'Primary - GRADING'!$A$4:$BG997,10,),AK122="INDIRECT",VLOOKUP(AH122,'Primary - GRADING'!$A$4:$BG997,25,))</f>
        <v>#N/A</v>
      </c>
      <c r="AO122" s="153" t="str">
        <f t="shared" si="8"/>
        <v>#N/A</v>
      </c>
      <c r="AT122" s="153" t="str">
        <f t="shared" si="9"/>
        <v>#N/A</v>
      </c>
      <c r="AV122" s="153" t="str">
        <f>VLOOKUP(AU122,'Primary - GRADING'!$A$4:$C997,2,)</f>
        <v>#N/A</v>
      </c>
      <c r="AW122" s="153" t="str">
        <f>VLOOKUP(AU122,'Primary - GRADING'!$A$4:$C997,3,)</f>
        <v>#N/A</v>
      </c>
      <c r="AX122" s="153" t="str">
        <f>VLOOKUP(AU122,'Primary - GRADING'!$A$4:$BG997,59,)</f>
        <v>#N/A</v>
      </c>
      <c r="AY122" s="153" t="str">
        <f>IFS(AX122="NMA",VLOOKUP(AU122,'Primary - GRADING'!$A$4:$BG997,51,),AX122="DIRECT",VLOOKUP(AU122,'Primary - GRADING'!$A$4:$BG997,8,),AX122="INDIRECT",VLOOKUP(AU122,'Primary - GRADING'!$A$4:$BG997,23,))</f>
        <v>#N/A</v>
      </c>
      <c r="AZ122" s="153" t="str">
        <f>IFS(AX122="NMA",VLOOKUP(AU122,'Primary - GRADING'!$A$4:$BG997,52,),AX122="DIRECT",VLOOKUP(AU122,'Primary - GRADING'!$A$4:$BG997,9,),AX122="INDIRECT",VLOOKUP(AU122,'Primary - GRADING'!$A$4:$BG997,24,))</f>
        <v>#N/A</v>
      </c>
      <c r="BA122" s="153" t="str">
        <f>IFS(AX122="NMA",VLOOKUP(AU122,'Primary - GRADING'!$A$4:$BG997,53,),AX122="DIRECT",VLOOKUP(AU122,'Primary - GRADING'!$A$4:$BG997,10,),AX122="INDIRECT",VLOOKUP(AU122,'Primary - GRADING'!$A$4:$BG997,25,))</f>
        <v>#N/A</v>
      </c>
      <c r="BB122" s="153" t="str">
        <f t="shared" si="10"/>
        <v>#N/A</v>
      </c>
      <c r="BE122" s="153" t="str">
        <f t="shared" si="11"/>
        <v/>
      </c>
      <c r="BG122" s="153" t="str">
        <f t="shared" si="12"/>
        <v>#N/A</v>
      </c>
      <c r="BI122" s="153" t="str">
        <f t="shared" si="13"/>
        <v>#N/A</v>
      </c>
      <c r="BK122" s="153" t="str">
        <f t="shared" si="14"/>
        <v>#N/A</v>
      </c>
      <c r="BM122" s="153" t="str">
        <f t="shared" si="15"/>
        <v>#N/A</v>
      </c>
    </row>
    <row r="123" ht="15.75" customHeight="1">
      <c r="B123" s="160" t="str">
        <f t="shared" si="1"/>
        <v>#N/A</v>
      </c>
      <c r="C123" s="160" t="str">
        <f t="shared" si="2"/>
        <v>#N/A</v>
      </c>
      <c r="D123" s="160" t="str">
        <f t="shared" si="3"/>
        <v>#N/A</v>
      </c>
      <c r="E123" s="161" t="str">
        <f t="shared" si="4"/>
        <v>#N/A</v>
      </c>
      <c r="F123" s="153" t="str">
        <f t="shared" si="17"/>
        <v>#N/A</v>
      </c>
      <c r="G123" s="153" t="str">
        <f t="shared" si="6"/>
        <v>#N/A</v>
      </c>
      <c r="H123" s="156" t="str">
        <f t="array" ref="H123">INDEX('Primary - GRADING'!$A$1:$BG997,MATCH($A123,'Primary - GRADING'!$B:$B,0),59)</f>
        <v>#N/A</v>
      </c>
      <c r="I123" s="153" t="str">
        <f t="array" ref="I123">INDEX('Primary - GRADING'!$A$1:$CP997,MATCH($A123,'Primary - GRADING'!$CP:$CP,0),48)</f>
        <v>#N/A</v>
      </c>
      <c r="J123" s="153" t="str">
        <f t="array" ref="J123">INDEX('Primary - GRADING'!$A$1:$CP997,MATCH($A123,'Primary - GRADING'!$CP:$CP,0),49)</f>
        <v>#N/A</v>
      </c>
      <c r="K123" s="153" t="str">
        <f t="array" ref="K123">INDEX('Primary - GRADING'!$A$1:$CP997,MATCH($A123,'Primary - GRADING'!$CP:$CP,0),50)</f>
        <v>#N/A</v>
      </c>
      <c r="L123" s="153" t="str">
        <f t="array" ref="L123">INDEX('Primary - GRADING'!$A$1:$CP997,MATCH($A123,'Primary - GRADING'!$CP:$CP,0),51)</f>
        <v>#N/A</v>
      </c>
      <c r="M123" s="153" t="str">
        <f t="array" ref="M123">INDEX('Primary - GRADING'!$A$1:$CP997,MATCH($A123,'Primary - GRADING'!$CP:$CP,0),52)</f>
        <v>#N/A</v>
      </c>
      <c r="N123" s="153" t="str">
        <f t="array" ref="N123">INDEX('Primary - GRADING'!$A$1:$CP997,MATCH($A123,'Primary - GRADING'!$CP:$CP,0),53)</f>
        <v>#N/A</v>
      </c>
      <c r="O123" s="153" t="str">
        <f t="array" ref="O123">INDEX('Primary - GRADING'!$A$1:$CP997,MATCH($A123,'Primary - GRADING'!$CP:$CP,0),58)</f>
        <v>#N/A</v>
      </c>
      <c r="P123" s="153" t="str">
        <f t="array" ref="P123">INDEX('Primary - GRADING'!$A$1:$CP997,MATCH($A123,'Primary - GRADING'!$CP:$CP,0),5)</f>
        <v>#N/A</v>
      </c>
      <c r="Q123" s="153" t="str">
        <f t="array" ref="Q123">INDEX('Primary - GRADING'!$A$1:$CP997,MATCH($A123,'Primary - GRADING'!$CP:$CP,0),6)</f>
        <v>#N/A</v>
      </c>
      <c r="R123" s="153" t="str">
        <f t="array" ref="R123">INDEX('Primary - GRADING'!$A$1:$CP997,MATCH($A123,'Primary - GRADING'!$CP:$CP,0),7)</f>
        <v>#N/A</v>
      </c>
      <c r="S123" s="153" t="str">
        <f t="array" ref="S123">INDEX('Primary - GRADING'!$A$1:$CP997,MATCH($A123,'Primary - GRADING'!$CP:$CP,0),8)</f>
        <v>#N/A</v>
      </c>
      <c r="T123" s="153" t="str">
        <f t="array" ref="T123">INDEX('Primary - GRADING'!$A$1:$CP997,MATCH($A123,'Primary - GRADING'!$CP:$CP,0),9)</f>
        <v>#N/A</v>
      </c>
      <c r="U123" s="153" t="str">
        <f t="array" ref="U123">INDEX('Primary - GRADING'!$A$1:$CP997,MATCH($A123,'Primary - GRADING'!$CP:$CP,0),10)</f>
        <v>#N/A</v>
      </c>
      <c r="V123" s="153" t="str">
        <f t="array" ref="V123">INDEX('Primary - GRADING'!$A$1:$CP997,MATCH($A123,'Primary - GRADING'!$CP:$CP,0),18)</f>
        <v>#N/A</v>
      </c>
      <c r="W123" s="153" t="str">
        <f t="array" ref="W123">INDEX('Primary - GRADING'!$A$1:$CP997,MATCH($A123,'Primary - GRADING'!$CP:$CP,0),20)</f>
        <v>#N/A</v>
      </c>
      <c r="X123" s="153" t="str">
        <f t="array" ref="X123">INDEX('Primary - GRADING'!$A$1:$CP997,MATCH($A123,'Primary - GRADING'!$CP:$CP,0),21)</f>
        <v>#N/A</v>
      </c>
      <c r="Y123" s="153" t="str">
        <f t="array" ref="Y123">INDEX('Primary - GRADING'!$A$1:$CP997,MATCH($A123,'Primary - GRADING'!$CP:$CP,0),22)</f>
        <v>#N/A</v>
      </c>
      <c r="Z123" s="165" t="str">
        <f t="array" ref="Z123">INDEX('Primary - GRADING'!$A$1:$CP997,MATCH($A123,'Primary - GRADING'!$CP:$CP,0),23)</f>
        <v>#N/A</v>
      </c>
      <c r="AA123" s="153" t="str">
        <f t="array" ref="AA123">INDEX('Primary - GRADING'!$A$1:$CP997,MATCH($A123,'Primary - GRADING'!$CP:$CP,0),24)</f>
        <v>#N/A</v>
      </c>
      <c r="AB123" s="153" t="str">
        <f t="array" ref="AB123">INDEX('Primary - GRADING'!$A$1:$CP997,MATCH($A123,'Primary - GRADING'!$CP:$CP,0),25)</f>
        <v>#N/A</v>
      </c>
      <c r="AC123" s="153" t="str">
        <f t="array" ref="AC123">INDEX('Primary - GRADING'!$A$1:$CP997,MATCH($A123,'Primary - GRADING'!$CP:$CP,0),46)</f>
        <v>#N/A</v>
      </c>
      <c r="AG123" s="153" t="str">
        <f t="shared" si="7"/>
        <v>#N/A</v>
      </c>
      <c r="AI123" s="153" t="str">
        <f>VLOOKUP(AH123,'Primary - GRADING'!$A$4:$C997,2,)</f>
        <v>#N/A</v>
      </c>
      <c r="AJ123" s="153" t="str">
        <f>VLOOKUP(AH123,'Primary - GRADING'!$A$4:$C997,3,)</f>
        <v>#N/A</v>
      </c>
      <c r="AK123" s="153" t="str">
        <f>VLOOKUP(AH123,'Primary - GRADING'!$A$4:$BG997,59,)</f>
        <v>#N/A</v>
      </c>
      <c r="AL123" s="153" t="str">
        <f>IFS(AK123="NMA",VLOOKUP(AH123,'Primary - GRADING'!$A$4:$BG997,51,),AK123="DIRECT",VLOOKUP(AH123,'Primary - GRADING'!$A$4:$BG997,8,),AK123="INDIRECT",VLOOKUP(AH123,'Primary - GRADING'!$A$4:$BG997,23,))</f>
        <v>#N/A</v>
      </c>
      <c r="AM123" s="153" t="str">
        <f>IFS(AK123="NMA",VLOOKUP(AH123,'Primary - GRADING'!$A$4:$BG997,52,),AK123="DIRECT",VLOOKUP(AH123,'Primary - GRADING'!$A$4:$BG997,9,),AK123="INDIRECT",VLOOKUP(AH123,'Primary - GRADING'!$A$4:$BG997,24,))</f>
        <v>#N/A</v>
      </c>
      <c r="AN123" s="153" t="str">
        <f>IFS(AK123="NMA",VLOOKUP(AH123,'Primary - GRADING'!$A$4:$BG997,53,),AK123="DIRECT",VLOOKUP(AH123,'Primary - GRADING'!$A$4:$BG997,10,),AK123="INDIRECT",VLOOKUP(AH123,'Primary - GRADING'!$A$4:$BG997,25,))</f>
        <v>#N/A</v>
      </c>
      <c r="AO123" s="153" t="str">
        <f t="shared" si="8"/>
        <v>#N/A</v>
      </c>
      <c r="AT123" s="153" t="str">
        <f t="shared" si="9"/>
        <v>#N/A</v>
      </c>
      <c r="AV123" s="153" t="str">
        <f>VLOOKUP(AU123,'Primary - GRADING'!$A$4:$C997,2,)</f>
        <v>#N/A</v>
      </c>
      <c r="AW123" s="153" t="str">
        <f>VLOOKUP(AU123,'Primary - GRADING'!$A$4:$C997,3,)</f>
        <v>#N/A</v>
      </c>
      <c r="AX123" s="153" t="str">
        <f>VLOOKUP(AU123,'Primary - GRADING'!$A$4:$BG997,59,)</f>
        <v>#N/A</v>
      </c>
      <c r="AY123" s="153" t="str">
        <f>IFS(AX123="NMA",VLOOKUP(AU123,'Primary - GRADING'!$A$4:$BG997,51,),AX123="DIRECT",VLOOKUP(AU123,'Primary - GRADING'!$A$4:$BG997,8,),AX123="INDIRECT",VLOOKUP(AU123,'Primary - GRADING'!$A$4:$BG997,23,))</f>
        <v>#N/A</v>
      </c>
      <c r="AZ123" s="153" t="str">
        <f>IFS(AX123="NMA",VLOOKUP(AU123,'Primary - GRADING'!$A$4:$BG997,52,),AX123="DIRECT",VLOOKUP(AU123,'Primary - GRADING'!$A$4:$BG997,9,),AX123="INDIRECT",VLOOKUP(AU123,'Primary - GRADING'!$A$4:$BG997,24,))</f>
        <v>#N/A</v>
      </c>
      <c r="BA123" s="153" t="str">
        <f>IFS(AX123="NMA",VLOOKUP(AU123,'Primary - GRADING'!$A$4:$BG997,53,),AX123="DIRECT",VLOOKUP(AU123,'Primary - GRADING'!$A$4:$BG997,10,),AX123="INDIRECT",VLOOKUP(AU123,'Primary - GRADING'!$A$4:$BG997,25,))</f>
        <v>#N/A</v>
      </c>
      <c r="BB123" s="153" t="str">
        <f t="shared" si="10"/>
        <v>#N/A</v>
      </c>
      <c r="BE123" s="153" t="str">
        <f t="shared" si="11"/>
        <v/>
      </c>
      <c r="BG123" s="153" t="str">
        <f t="shared" si="12"/>
        <v>#N/A</v>
      </c>
      <c r="BI123" s="153" t="str">
        <f t="shared" si="13"/>
        <v>#N/A</v>
      </c>
      <c r="BK123" s="153" t="str">
        <f t="shared" si="14"/>
        <v>#N/A</v>
      </c>
      <c r="BM123" s="153" t="str">
        <f t="shared" si="15"/>
        <v>#N/A</v>
      </c>
    </row>
    <row r="124" ht="15.75" customHeight="1">
      <c r="B124" s="160" t="str">
        <f t="shared" si="1"/>
        <v>#N/A</v>
      </c>
      <c r="C124" s="160" t="str">
        <f t="shared" si="2"/>
        <v>#N/A</v>
      </c>
      <c r="D124" s="160" t="str">
        <f t="shared" si="3"/>
        <v>#N/A</v>
      </c>
      <c r="E124" s="161" t="str">
        <f t="shared" si="4"/>
        <v>#N/A</v>
      </c>
      <c r="F124" s="153" t="str">
        <f t="shared" si="17"/>
        <v>#N/A</v>
      </c>
      <c r="G124" s="153" t="str">
        <f t="shared" si="6"/>
        <v>#N/A</v>
      </c>
      <c r="H124" s="156" t="str">
        <f t="array" ref="H124">INDEX('Primary - GRADING'!$A$1:$BG997,MATCH($A124,'Primary - GRADING'!$B:$B,0),59)</f>
        <v>#N/A</v>
      </c>
      <c r="I124" s="153" t="str">
        <f t="array" ref="I124">INDEX('Primary - GRADING'!$A$1:$CP997,MATCH($A124,'Primary - GRADING'!$CP:$CP,0),48)</f>
        <v>#N/A</v>
      </c>
      <c r="J124" s="153" t="str">
        <f t="array" ref="J124">INDEX('Primary - GRADING'!$A$1:$CP997,MATCH($A124,'Primary - GRADING'!$CP:$CP,0),49)</f>
        <v>#N/A</v>
      </c>
      <c r="K124" s="153" t="str">
        <f t="array" ref="K124">INDEX('Primary - GRADING'!$A$1:$CP997,MATCH($A124,'Primary - GRADING'!$CP:$CP,0),50)</f>
        <v>#N/A</v>
      </c>
      <c r="L124" s="153" t="str">
        <f t="array" ref="L124">INDEX('Primary - GRADING'!$A$1:$CP997,MATCH($A124,'Primary - GRADING'!$CP:$CP,0),51)</f>
        <v>#N/A</v>
      </c>
      <c r="M124" s="153" t="str">
        <f t="array" ref="M124">INDEX('Primary - GRADING'!$A$1:$CP997,MATCH($A124,'Primary - GRADING'!$CP:$CP,0),52)</f>
        <v>#N/A</v>
      </c>
      <c r="N124" s="153" t="str">
        <f t="array" ref="N124">INDEX('Primary - GRADING'!$A$1:$CP997,MATCH($A124,'Primary - GRADING'!$CP:$CP,0),53)</f>
        <v>#N/A</v>
      </c>
      <c r="O124" s="153" t="str">
        <f t="array" ref="O124">INDEX('Primary - GRADING'!$A$1:$CP997,MATCH($A124,'Primary - GRADING'!$CP:$CP,0),58)</f>
        <v>#N/A</v>
      </c>
      <c r="P124" s="153" t="str">
        <f t="array" ref="P124">INDEX('Primary - GRADING'!$A$1:$CP997,MATCH($A124,'Primary - GRADING'!$CP:$CP,0),5)</f>
        <v>#N/A</v>
      </c>
      <c r="Q124" s="153" t="str">
        <f t="array" ref="Q124">INDEX('Primary - GRADING'!$A$1:$CP997,MATCH($A124,'Primary - GRADING'!$CP:$CP,0),6)</f>
        <v>#N/A</v>
      </c>
      <c r="R124" s="153" t="str">
        <f t="array" ref="R124">INDEX('Primary - GRADING'!$A$1:$CP997,MATCH($A124,'Primary - GRADING'!$CP:$CP,0),7)</f>
        <v>#N/A</v>
      </c>
      <c r="S124" s="153" t="str">
        <f t="array" ref="S124">INDEX('Primary - GRADING'!$A$1:$CP997,MATCH($A124,'Primary - GRADING'!$CP:$CP,0),8)</f>
        <v>#N/A</v>
      </c>
      <c r="T124" s="153" t="str">
        <f t="array" ref="T124">INDEX('Primary - GRADING'!$A$1:$CP997,MATCH($A124,'Primary - GRADING'!$CP:$CP,0),9)</f>
        <v>#N/A</v>
      </c>
      <c r="U124" s="153" t="str">
        <f t="array" ref="U124">INDEX('Primary - GRADING'!$A$1:$CP997,MATCH($A124,'Primary - GRADING'!$CP:$CP,0),10)</f>
        <v>#N/A</v>
      </c>
      <c r="V124" s="153" t="str">
        <f t="array" ref="V124">INDEX('Primary - GRADING'!$A$1:$CP997,MATCH($A124,'Primary - GRADING'!$CP:$CP,0),18)</f>
        <v>#N/A</v>
      </c>
      <c r="W124" s="153" t="str">
        <f t="array" ref="W124">INDEX('Primary - GRADING'!$A$1:$CP997,MATCH($A124,'Primary - GRADING'!$CP:$CP,0),20)</f>
        <v>#N/A</v>
      </c>
      <c r="X124" s="153" t="str">
        <f t="array" ref="X124">INDEX('Primary - GRADING'!$A$1:$CP997,MATCH($A124,'Primary - GRADING'!$CP:$CP,0),21)</f>
        <v>#N/A</v>
      </c>
      <c r="Y124" s="153" t="str">
        <f t="array" ref="Y124">INDEX('Primary - GRADING'!$A$1:$CP997,MATCH($A124,'Primary - GRADING'!$CP:$CP,0),22)</f>
        <v>#N/A</v>
      </c>
      <c r="Z124" s="165" t="str">
        <f t="array" ref="Z124">INDEX('Primary - GRADING'!$A$1:$CP997,MATCH($A124,'Primary - GRADING'!$CP:$CP,0),23)</f>
        <v>#N/A</v>
      </c>
      <c r="AA124" s="153" t="str">
        <f t="array" ref="AA124">INDEX('Primary - GRADING'!$A$1:$CP997,MATCH($A124,'Primary - GRADING'!$CP:$CP,0),24)</f>
        <v>#N/A</v>
      </c>
      <c r="AB124" s="153" t="str">
        <f t="array" ref="AB124">INDEX('Primary - GRADING'!$A$1:$CP997,MATCH($A124,'Primary - GRADING'!$CP:$CP,0),25)</f>
        <v>#N/A</v>
      </c>
      <c r="AC124" s="153" t="str">
        <f t="array" ref="AC124">INDEX('Primary - GRADING'!$A$1:$CP997,MATCH($A124,'Primary - GRADING'!$CP:$CP,0),46)</f>
        <v>#N/A</v>
      </c>
      <c r="AG124" s="153" t="str">
        <f t="shared" si="7"/>
        <v>#N/A</v>
      </c>
      <c r="AI124" s="153" t="str">
        <f>VLOOKUP(AH124,'Primary - GRADING'!$A$4:$C997,2,)</f>
        <v>#N/A</v>
      </c>
      <c r="AJ124" s="153" t="str">
        <f>VLOOKUP(AH124,'Primary - GRADING'!$A$4:$C997,3,)</f>
        <v>#N/A</v>
      </c>
      <c r="AK124" s="153" t="str">
        <f>VLOOKUP(AH124,'Primary - GRADING'!$A$4:$BG997,59,)</f>
        <v>#N/A</v>
      </c>
      <c r="AL124" s="153" t="str">
        <f>IFS(AK124="NMA",VLOOKUP(AH124,'Primary - GRADING'!$A$4:$BG997,51,),AK124="DIRECT",VLOOKUP(AH124,'Primary - GRADING'!$A$4:$BG997,8,),AK124="INDIRECT",VLOOKUP(AH124,'Primary - GRADING'!$A$4:$BG997,23,))</f>
        <v>#N/A</v>
      </c>
      <c r="AM124" s="153" t="str">
        <f>IFS(AK124="NMA",VLOOKUP(AH124,'Primary - GRADING'!$A$4:$BG997,52,),AK124="DIRECT",VLOOKUP(AH124,'Primary - GRADING'!$A$4:$BG997,9,),AK124="INDIRECT",VLOOKUP(AH124,'Primary - GRADING'!$A$4:$BG997,24,))</f>
        <v>#N/A</v>
      </c>
      <c r="AN124" s="153" t="str">
        <f>IFS(AK124="NMA",VLOOKUP(AH124,'Primary - GRADING'!$A$4:$BG997,53,),AK124="DIRECT",VLOOKUP(AH124,'Primary - GRADING'!$A$4:$BG997,10,),AK124="INDIRECT",VLOOKUP(AH124,'Primary - GRADING'!$A$4:$BG997,25,))</f>
        <v>#N/A</v>
      </c>
      <c r="AO124" s="153" t="str">
        <f t="shared" si="8"/>
        <v>#N/A</v>
      </c>
      <c r="AT124" s="153" t="str">
        <f t="shared" si="9"/>
        <v>#N/A</v>
      </c>
      <c r="AV124" s="153" t="str">
        <f>VLOOKUP(AU124,'Primary - GRADING'!$A$4:$C997,2,)</f>
        <v>#N/A</v>
      </c>
      <c r="AW124" s="153" t="str">
        <f>VLOOKUP(AU124,'Primary - GRADING'!$A$4:$C997,3,)</f>
        <v>#N/A</v>
      </c>
      <c r="AX124" s="153" t="str">
        <f>VLOOKUP(AU124,'Primary - GRADING'!$A$4:$BG997,59,)</f>
        <v>#N/A</v>
      </c>
      <c r="AY124" s="153" t="str">
        <f>IFS(AX124="NMA",VLOOKUP(AU124,'Primary - GRADING'!$A$4:$BG997,51,),AX124="DIRECT",VLOOKUP(AU124,'Primary - GRADING'!$A$4:$BG997,8,),AX124="INDIRECT",VLOOKUP(AU124,'Primary - GRADING'!$A$4:$BG997,23,))</f>
        <v>#N/A</v>
      </c>
      <c r="AZ124" s="153" t="str">
        <f>IFS(AX124="NMA",VLOOKUP(AU124,'Primary - GRADING'!$A$4:$BG997,52,),AX124="DIRECT",VLOOKUP(AU124,'Primary - GRADING'!$A$4:$BG997,9,),AX124="INDIRECT",VLOOKUP(AU124,'Primary - GRADING'!$A$4:$BG997,24,))</f>
        <v>#N/A</v>
      </c>
      <c r="BA124" s="153" t="str">
        <f>IFS(AX124="NMA",VLOOKUP(AU124,'Primary - GRADING'!$A$4:$BG997,53,),AX124="DIRECT",VLOOKUP(AU124,'Primary - GRADING'!$A$4:$BG997,10,),AX124="INDIRECT",VLOOKUP(AU124,'Primary - GRADING'!$A$4:$BG997,25,))</f>
        <v>#N/A</v>
      </c>
      <c r="BB124" s="153" t="str">
        <f t="shared" si="10"/>
        <v>#N/A</v>
      </c>
      <c r="BE124" s="153" t="str">
        <f t="shared" si="11"/>
        <v/>
      </c>
      <c r="BG124" s="153" t="str">
        <f t="shared" si="12"/>
        <v>#N/A</v>
      </c>
      <c r="BI124" s="153" t="str">
        <f t="shared" si="13"/>
        <v>#N/A</v>
      </c>
      <c r="BK124" s="153" t="str">
        <f t="shared" si="14"/>
        <v>#N/A</v>
      </c>
      <c r="BM124" s="153" t="str">
        <f t="shared" si="15"/>
        <v>#N/A</v>
      </c>
    </row>
    <row r="125" ht="15.75" customHeight="1">
      <c r="B125" s="160" t="str">
        <f t="shared" si="1"/>
        <v>#N/A</v>
      </c>
      <c r="C125" s="160" t="str">
        <f t="shared" si="2"/>
        <v>#N/A</v>
      </c>
      <c r="D125" s="160" t="str">
        <f t="shared" si="3"/>
        <v>#N/A</v>
      </c>
      <c r="E125" s="161" t="str">
        <f t="shared" si="4"/>
        <v>#N/A</v>
      </c>
      <c r="F125" s="153" t="str">
        <f t="shared" si="17"/>
        <v>#N/A</v>
      </c>
      <c r="G125" s="153" t="str">
        <f t="shared" si="6"/>
        <v>#N/A</v>
      </c>
      <c r="H125" s="156" t="str">
        <f t="array" ref="H125">INDEX('Primary - GRADING'!$A$1:$BG997,MATCH($A125,'Primary - GRADING'!$B:$B,0),59)</f>
        <v>#N/A</v>
      </c>
      <c r="I125" s="153" t="str">
        <f t="array" ref="I125">INDEX('Primary - GRADING'!$A$1:$CP997,MATCH($A125,'Primary - GRADING'!$CP:$CP,0),48)</f>
        <v>#N/A</v>
      </c>
      <c r="J125" s="153" t="str">
        <f t="array" ref="J125">INDEX('Primary - GRADING'!$A$1:$CP997,MATCH($A125,'Primary - GRADING'!$CP:$CP,0),49)</f>
        <v>#N/A</v>
      </c>
      <c r="K125" s="153" t="str">
        <f t="array" ref="K125">INDEX('Primary - GRADING'!$A$1:$CP997,MATCH($A125,'Primary - GRADING'!$CP:$CP,0),50)</f>
        <v>#N/A</v>
      </c>
      <c r="L125" s="153" t="str">
        <f t="array" ref="L125">INDEX('Primary - GRADING'!$A$1:$CP997,MATCH($A125,'Primary - GRADING'!$CP:$CP,0),51)</f>
        <v>#N/A</v>
      </c>
      <c r="M125" s="153" t="str">
        <f t="array" ref="M125">INDEX('Primary - GRADING'!$A$1:$CP997,MATCH($A125,'Primary - GRADING'!$CP:$CP,0),52)</f>
        <v>#N/A</v>
      </c>
      <c r="N125" s="153" t="str">
        <f t="array" ref="N125">INDEX('Primary - GRADING'!$A$1:$CP997,MATCH($A125,'Primary - GRADING'!$CP:$CP,0),53)</f>
        <v>#N/A</v>
      </c>
      <c r="O125" s="153" t="str">
        <f t="array" ref="O125">INDEX('Primary - GRADING'!$A$1:$CP997,MATCH($A125,'Primary - GRADING'!$CP:$CP,0),58)</f>
        <v>#N/A</v>
      </c>
      <c r="P125" s="153" t="str">
        <f t="array" ref="P125">INDEX('Primary - GRADING'!$A$1:$CP997,MATCH($A125,'Primary - GRADING'!$CP:$CP,0),5)</f>
        <v>#N/A</v>
      </c>
      <c r="Q125" s="153" t="str">
        <f t="array" ref="Q125">INDEX('Primary - GRADING'!$A$1:$CP997,MATCH($A125,'Primary - GRADING'!$CP:$CP,0),6)</f>
        <v>#N/A</v>
      </c>
      <c r="R125" s="153" t="str">
        <f t="array" ref="R125">INDEX('Primary - GRADING'!$A$1:$CP997,MATCH($A125,'Primary - GRADING'!$CP:$CP,0),7)</f>
        <v>#N/A</v>
      </c>
      <c r="S125" s="153" t="str">
        <f t="array" ref="S125">INDEX('Primary - GRADING'!$A$1:$CP997,MATCH($A125,'Primary - GRADING'!$CP:$CP,0),8)</f>
        <v>#N/A</v>
      </c>
      <c r="T125" s="153" t="str">
        <f t="array" ref="T125">INDEX('Primary - GRADING'!$A$1:$CP997,MATCH($A125,'Primary - GRADING'!$CP:$CP,0),9)</f>
        <v>#N/A</v>
      </c>
      <c r="U125" s="153" t="str">
        <f t="array" ref="U125">INDEX('Primary - GRADING'!$A$1:$CP997,MATCH($A125,'Primary - GRADING'!$CP:$CP,0),10)</f>
        <v>#N/A</v>
      </c>
      <c r="V125" s="153" t="str">
        <f t="array" ref="V125">INDEX('Primary - GRADING'!$A$1:$CP997,MATCH($A125,'Primary - GRADING'!$CP:$CP,0),18)</f>
        <v>#N/A</v>
      </c>
      <c r="W125" s="153" t="str">
        <f t="array" ref="W125">INDEX('Primary - GRADING'!$A$1:$CP997,MATCH($A125,'Primary - GRADING'!$CP:$CP,0),20)</f>
        <v>#N/A</v>
      </c>
      <c r="X125" s="153" t="str">
        <f t="array" ref="X125">INDEX('Primary - GRADING'!$A$1:$CP997,MATCH($A125,'Primary - GRADING'!$CP:$CP,0),21)</f>
        <v>#N/A</v>
      </c>
      <c r="Y125" s="153" t="str">
        <f t="array" ref="Y125">INDEX('Primary - GRADING'!$A$1:$CP997,MATCH($A125,'Primary - GRADING'!$CP:$CP,0),22)</f>
        <v>#N/A</v>
      </c>
      <c r="Z125" s="165" t="str">
        <f t="array" ref="Z125">INDEX('Primary - GRADING'!$A$1:$CP997,MATCH($A125,'Primary - GRADING'!$CP:$CP,0),23)</f>
        <v>#N/A</v>
      </c>
      <c r="AA125" s="153" t="str">
        <f t="array" ref="AA125">INDEX('Primary - GRADING'!$A$1:$CP997,MATCH($A125,'Primary - GRADING'!$CP:$CP,0),24)</f>
        <v>#N/A</v>
      </c>
      <c r="AB125" s="153" t="str">
        <f t="array" ref="AB125">INDEX('Primary - GRADING'!$A$1:$CP997,MATCH($A125,'Primary - GRADING'!$CP:$CP,0),25)</f>
        <v>#N/A</v>
      </c>
      <c r="AC125" s="153" t="str">
        <f t="array" ref="AC125">INDEX('Primary - GRADING'!$A$1:$CP997,MATCH($A125,'Primary - GRADING'!$CP:$CP,0),46)</f>
        <v>#N/A</v>
      </c>
      <c r="AG125" s="153" t="str">
        <f t="shared" si="7"/>
        <v>#N/A</v>
      </c>
      <c r="AI125" s="153" t="str">
        <f>VLOOKUP(AH125,'Primary - GRADING'!$A$4:$C997,2,)</f>
        <v>#N/A</v>
      </c>
      <c r="AJ125" s="153" t="str">
        <f>VLOOKUP(AH125,'Primary - GRADING'!$A$4:$C997,3,)</f>
        <v>#N/A</v>
      </c>
      <c r="AK125" s="153" t="str">
        <f>VLOOKUP(AH125,'Primary - GRADING'!$A$4:$BG997,59,)</f>
        <v>#N/A</v>
      </c>
      <c r="AL125" s="153" t="str">
        <f>IFS(AK125="NMA",VLOOKUP(AH125,'Primary - GRADING'!$A$4:$BG997,51,),AK125="DIRECT",VLOOKUP(AH125,'Primary - GRADING'!$A$4:$BG997,8,),AK125="INDIRECT",VLOOKUP(AH125,'Primary - GRADING'!$A$4:$BG997,23,))</f>
        <v>#N/A</v>
      </c>
      <c r="AM125" s="153" t="str">
        <f>IFS(AK125="NMA",VLOOKUP(AH125,'Primary - GRADING'!$A$4:$BG997,52,),AK125="DIRECT",VLOOKUP(AH125,'Primary - GRADING'!$A$4:$BG997,9,),AK125="INDIRECT",VLOOKUP(AH125,'Primary - GRADING'!$A$4:$BG997,24,))</f>
        <v>#N/A</v>
      </c>
      <c r="AN125" s="153" t="str">
        <f>IFS(AK125="NMA",VLOOKUP(AH125,'Primary - GRADING'!$A$4:$BG997,53,),AK125="DIRECT",VLOOKUP(AH125,'Primary - GRADING'!$A$4:$BG997,10,),AK125="INDIRECT",VLOOKUP(AH125,'Primary - GRADING'!$A$4:$BG997,25,))</f>
        <v>#N/A</v>
      </c>
      <c r="AO125" s="153" t="str">
        <f t="shared" si="8"/>
        <v>#N/A</v>
      </c>
      <c r="AT125" s="153" t="str">
        <f t="shared" si="9"/>
        <v>#N/A</v>
      </c>
      <c r="AV125" s="153" t="str">
        <f>VLOOKUP(AU125,'Primary - GRADING'!$A$4:$C997,2,)</f>
        <v>#N/A</v>
      </c>
      <c r="AW125" s="153" t="str">
        <f>VLOOKUP(AU125,'Primary - GRADING'!$A$4:$C997,3,)</f>
        <v>#N/A</v>
      </c>
      <c r="AX125" s="153" t="str">
        <f>VLOOKUP(AU125,'Primary - GRADING'!$A$4:$BG997,59,)</f>
        <v>#N/A</v>
      </c>
      <c r="AY125" s="153" t="str">
        <f>IFS(AX125="NMA",VLOOKUP(AU125,'Primary - GRADING'!$A$4:$BG997,51,),AX125="DIRECT",VLOOKUP(AU125,'Primary - GRADING'!$A$4:$BG997,8,),AX125="INDIRECT",VLOOKUP(AU125,'Primary - GRADING'!$A$4:$BG997,23,))</f>
        <v>#N/A</v>
      </c>
      <c r="AZ125" s="153" t="str">
        <f>IFS(AX125="NMA",VLOOKUP(AU125,'Primary - GRADING'!$A$4:$BG997,52,),AX125="DIRECT",VLOOKUP(AU125,'Primary - GRADING'!$A$4:$BG997,9,),AX125="INDIRECT",VLOOKUP(AU125,'Primary - GRADING'!$A$4:$BG997,24,))</f>
        <v>#N/A</v>
      </c>
      <c r="BA125" s="153" t="str">
        <f>IFS(AX125="NMA",VLOOKUP(AU125,'Primary - GRADING'!$A$4:$BG997,53,),AX125="DIRECT",VLOOKUP(AU125,'Primary - GRADING'!$A$4:$BG997,10,),AX125="INDIRECT",VLOOKUP(AU125,'Primary - GRADING'!$A$4:$BG997,25,))</f>
        <v>#N/A</v>
      </c>
      <c r="BB125" s="153" t="str">
        <f t="shared" si="10"/>
        <v>#N/A</v>
      </c>
      <c r="BE125" s="153" t="str">
        <f t="shared" si="11"/>
        <v/>
      </c>
      <c r="BG125" s="153" t="str">
        <f t="shared" si="12"/>
        <v>#N/A</v>
      </c>
      <c r="BI125" s="153" t="str">
        <f t="shared" si="13"/>
        <v>#N/A</v>
      </c>
      <c r="BK125" s="153" t="str">
        <f t="shared" si="14"/>
        <v>#N/A</v>
      </c>
      <c r="BM125" s="153" t="str">
        <f t="shared" si="15"/>
        <v>#N/A</v>
      </c>
    </row>
    <row r="126" ht="15.75" customHeight="1">
      <c r="B126" s="160" t="str">
        <f t="shared" si="1"/>
        <v>#N/A</v>
      </c>
      <c r="C126" s="160" t="str">
        <f t="shared" si="2"/>
        <v>#N/A</v>
      </c>
      <c r="D126" s="160" t="str">
        <f t="shared" si="3"/>
        <v>#N/A</v>
      </c>
      <c r="E126" s="161" t="str">
        <f t="shared" si="4"/>
        <v>#N/A</v>
      </c>
      <c r="F126" s="153" t="str">
        <f t="shared" si="17"/>
        <v>#N/A</v>
      </c>
      <c r="G126" s="153" t="str">
        <f t="shared" si="6"/>
        <v>#N/A</v>
      </c>
      <c r="H126" s="156" t="str">
        <f t="array" ref="H126">INDEX('Primary - GRADING'!$A$1:$BG997,MATCH($A126,'Primary - GRADING'!$B:$B,0),59)</f>
        <v>#N/A</v>
      </c>
      <c r="I126" s="153" t="str">
        <f t="array" ref="I126">INDEX('Primary - GRADING'!$A$1:$CP997,MATCH($A126,'Primary - GRADING'!$CP:$CP,0),48)</f>
        <v>#N/A</v>
      </c>
      <c r="J126" s="153" t="str">
        <f t="array" ref="J126">INDEX('Primary - GRADING'!$A$1:$CP997,MATCH($A126,'Primary - GRADING'!$CP:$CP,0),49)</f>
        <v>#N/A</v>
      </c>
      <c r="K126" s="153" t="str">
        <f t="array" ref="K126">INDEX('Primary - GRADING'!$A$1:$CP997,MATCH($A126,'Primary - GRADING'!$CP:$CP,0),50)</f>
        <v>#N/A</v>
      </c>
      <c r="L126" s="153" t="str">
        <f t="array" ref="L126">INDEX('Primary - GRADING'!$A$1:$CP997,MATCH($A126,'Primary - GRADING'!$CP:$CP,0),51)</f>
        <v>#N/A</v>
      </c>
      <c r="M126" s="153" t="str">
        <f t="array" ref="M126">INDEX('Primary - GRADING'!$A$1:$CP997,MATCH($A126,'Primary - GRADING'!$CP:$CP,0),52)</f>
        <v>#N/A</v>
      </c>
      <c r="N126" s="153" t="str">
        <f t="array" ref="N126">INDEX('Primary - GRADING'!$A$1:$CP997,MATCH($A126,'Primary - GRADING'!$CP:$CP,0),53)</f>
        <v>#N/A</v>
      </c>
      <c r="O126" s="153" t="str">
        <f t="array" ref="O126">INDEX('Primary - GRADING'!$A$1:$CP997,MATCH($A126,'Primary - GRADING'!$CP:$CP,0),58)</f>
        <v>#N/A</v>
      </c>
      <c r="P126" s="153" t="str">
        <f t="array" ref="P126">INDEX('Primary - GRADING'!$A$1:$CP997,MATCH($A126,'Primary - GRADING'!$CP:$CP,0),5)</f>
        <v>#N/A</v>
      </c>
      <c r="Q126" s="153" t="str">
        <f t="array" ref="Q126">INDEX('Primary - GRADING'!$A$1:$CP997,MATCH($A126,'Primary - GRADING'!$CP:$CP,0),6)</f>
        <v>#N/A</v>
      </c>
      <c r="R126" s="153" t="str">
        <f t="array" ref="R126">INDEX('Primary - GRADING'!$A$1:$CP997,MATCH($A126,'Primary - GRADING'!$CP:$CP,0),7)</f>
        <v>#N/A</v>
      </c>
      <c r="S126" s="153" t="str">
        <f t="array" ref="S126">INDEX('Primary - GRADING'!$A$1:$CP997,MATCH($A126,'Primary - GRADING'!$CP:$CP,0),8)</f>
        <v>#N/A</v>
      </c>
      <c r="T126" s="153" t="str">
        <f t="array" ref="T126">INDEX('Primary - GRADING'!$A$1:$CP997,MATCH($A126,'Primary - GRADING'!$CP:$CP,0),9)</f>
        <v>#N/A</v>
      </c>
      <c r="U126" s="153" t="str">
        <f t="array" ref="U126">INDEX('Primary - GRADING'!$A$1:$CP997,MATCH($A126,'Primary - GRADING'!$CP:$CP,0),10)</f>
        <v>#N/A</v>
      </c>
      <c r="V126" s="153" t="str">
        <f t="array" ref="V126">INDEX('Primary - GRADING'!$A$1:$CP997,MATCH($A126,'Primary - GRADING'!$CP:$CP,0),18)</f>
        <v>#N/A</v>
      </c>
      <c r="W126" s="153" t="str">
        <f t="array" ref="W126">INDEX('Primary - GRADING'!$A$1:$CP997,MATCH($A126,'Primary - GRADING'!$CP:$CP,0),20)</f>
        <v>#N/A</v>
      </c>
      <c r="X126" s="153" t="str">
        <f t="array" ref="X126">INDEX('Primary - GRADING'!$A$1:$CP997,MATCH($A126,'Primary - GRADING'!$CP:$CP,0),21)</f>
        <v>#N/A</v>
      </c>
      <c r="Y126" s="153" t="str">
        <f t="array" ref="Y126">INDEX('Primary - GRADING'!$A$1:$CP997,MATCH($A126,'Primary - GRADING'!$CP:$CP,0),22)</f>
        <v>#N/A</v>
      </c>
      <c r="Z126" s="165" t="str">
        <f t="array" ref="Z126">INDEX('Primary - GRADING'!$A$1:$CP997,MATCH($A126,'Primary - GRADING'!$CP:$CP,0),23)</f>
        <v>#N/A</v>
      </c>
      <c r="AA126" s="153" t="str">
        <f t="array" ref="AA126">INDEX('Primary - GRADING'!$A$1:$CP997,MATCH($A126,'Primary - GRADING'!$CP:$CP,0),24)</f>
        <v>#N/A</v>
      </c>
      <c r="AB126" s="153" t="str">
        <f t="array" ref="AB126">INDEX('Primary - GRADING'!$A$1:$CP997,MATCH($A126,'Primary - GRADING'!$CP:$CP,0),25)</f>
        <v>#N/A</v>
      </c>
      <c r="AC126" s="153" t="str">
        <f t="array" ref="AC126">INDEX('Primary - GRADING'!$A$1:$CP997,MATCH($A126,'Primary - GRADING'!$CP:$CP,0),46)</f>
        <v>#N/A</v>
      </c>
      <c r="AG126" s="153" t="str">
        <f t="shared" si="7"/>
        <v>#N/A</v>
      </c>
      <c r="AI126" s="153" t="str">
        <f>VLOOKUP(AH126,'Primary - GRADING'!$A$4:$C997,2,)</f>
        <v>#N/A</v>
      </c>
      <c r="AJ126" s="153" t="str">
        <f>VLOOKUP(AH126,'Primary - GRADING'!$A$4:$C997,3,)</f>
        <v>#N/A</v>
      </c>
      <c r="AK126" s="153" t="str">
        <f>VLOOKUP(AH126,'Primary - GRADING'!$A$4:$BG997,59,)</f>
        <v>#N/A</v>
      </c>
      <c r="AL126" s="153" t="str">
        <f>IFS(AK126="NMA",VLOOKUP(AH126,'Primary - GRADING'!$A$4:$BG997,51,),AK126="DIRECT",VLOOKUP(AH126,'Primary - GRADING'!$A$4:$BG997,8,),AK126="INDIRECT",VLOOKUP(AH126,'Primary - GRADING'!$A$4:$BG997,23,))</f>
        <v>#N/A</v>
      </c>
      <c r="AM126" s="153" t="str">
        <f>IFS(AK126="NMA",VLOOKUP(AH126,'Primary - GRADING'!$A$4:$BG997,52,),AK126="DIRECT",VLOOKUP(AH126,'Primary - GRADING'!$A$4:$BG997,9,),AK126="INDIRECT",VLOOKUP(AH126,'Primary - GRADING'!$A$4:$BG997,24,))</f>
        <v>#N/A</v>
      </c>
      <c r="AN126" s="153" t="str">
        <f>IFS(AK126="NMA",VLOOKUP(AH126,'Primary - GRADING'!$A$4:$BG997,53,),AK126="DIRECT",VLOOKUP(AH126,'Primary - GRADING'!$A$4:$BG997,10,),AK126="INDIRECT",VLOOKUP(AH126,'Primary - GRADING'!$A$4:$BG997,25,))</f>
        <v>#N/A</v>
      </c>
      <c r="AO126" s="153" t="str">
        <f t="shared" si="8"/>
        <v>#N/A</v>
      </c>
      <c r="AT126" s="153" t="str">
        <f t="shared" si="9"/>
        <v>#N/A</v>
      </c>
      <c r="AV126" s="153" t="str">
        <f>VLOOKUP(AU126,'Primary - GRADING'!$A$4:$C997,2,)</f>
        <v>#N/A</v>
      </c>
      <c r="AW126" s="153" t="str">
        <f>VLOOKUP(AU126,'Primary - GRADING'!$A$4:$C997,3,)</f>
        <v>#N/A</v>
      </c>
      <c r="AX126" s="153" t="str">
        <f>VLOOKUP(AU126,'Primary - GRADING'!$A$4:$BG997,59,)</f>
        <v>#N/A</v>
      </c>
      <c r="AY126" s="153" t="str">
        <f>IFS(AX126="NMA",VLOOKUP(AU126,'Primary - GRADING'!$A$4:$BG997,51,),AX126="DIRECT",VLOOKUP(AU126,'Primary - GRADING'!$A$4:$BG997,8,),AX126="INDIRECT",VLOOKUP(AU126,'Primary - GRADING'!$A$4:$BG997,23,))</f>
        <v>#N/A</v>
      </c>
      <c r="AZ126" s="153" t="str">
        <f>IFS(AX126="NMA",VLOOKUP(AU126,'Primary - GRADING'!$A$4:$BG997,52,),AX126="DIRECT",VLOOKUP(AU126,'Primary - GRADING'!$A$4:$BG997,9,),AX126="INDIRECT",VLOOKUP(AU126,'Primary - GRADING'!$A$4:$BG997,24,))</f>
        <v>#N/A</v>
      </c>
      <c r="BA126" s="153" t="str">
        <f>IFS(AX126="NMA",VLOOKUP(AU126,'Primary - GRADING'!$A$4:$BG997,53,),AX126="DIRECT",VLOOKUP(AU126,'Primary - GRADING'!$A$4:$BG997,10,),AX126="INDIRECT",VLOOKUP(AU126,'Primary - GRADING'!$A$4:$BG997,25,))</f>
        <v>#N/A</v>
      </c>
      <c r="BB126" s="153" t="str">
        <f t="shared" si="10"/>
        <v>#N/A</v>
      </c>
      <c r="BE126" s="153" t="str">
        <f t="shared" si="11"/>
        <v/>
      </c>
      <c r="BG126" s="153" t="str">
        <f t="shared" si="12"/>
        <v>#N/A</v>
      </c>
      <c r="BI126" s="153" t="str">
        <f t="shared" si="13"/>
        <v>#N/A</v>
      </c>
      <c r="BK126" s="153" t="str">
        <f t="shared" si="14"/>
        <v>#N/A</v>
      </c>
      <c r="BM126" s="153" t="str">
        <f t="shared" si="15"/>
        <v>#N/A</v>
      </c>
    </row>
    <row r="127" ht="15.75" customHeight="1">
      <c r="B127" s="160" t="str">
        <f t="shared" si="1"/>
        <v>#N/A</v>
      </c>
      <c r="C127" s="160" t="str">
        <f t="shared" si="2"/>
        <v>#N/A</v>
      </c>
      <c r="D127" s="160" t="str">
        <f t="shared" si="3"/>
        <v>#N/A</v>
      </c>
      <c r="E127" s="161" t="str">
        <f t="shared" si="4"/>
        <v>#N/A</v>
      </c>
      <c r="F127" s="153" t="str">
        <f t="shared" si="17"/>
        <v>#N/A</v>
      </c>
      <c r="G127" s="153" t="str">
        <f t="shared" si="6"/>
        <v>#N/A</v>
      </c>
      <c r="H127" s="156" t="str">
        <f t="array" ref="H127">INDEX('Primary - GRADING'!$A$1:$BG997,MATCH($A127,'Primary - GRADING'!$B:$B,0),59)</f>
        <v>#N/A</v>
      </c>
      <c r="I127" s="153" t="str">
        <f t="array" ref="I127">INDEX('Primary - GRADING'!$A$1:$CP997,MATCH($A127,'Primary - GRADING'!$CP:$CP,0),48)</f>
        <v>#N/A</v>
      </c>
      <c r="J127" s="153" t="str">
        <f t="array" ref="J127">INDEX('Primary - GRADING'!$A$1:$CP997,MATCH($A127,'Primary - GRADING'!$CP:$CP,0),49)</f>
        <v>#N/A</v>
      </c>
      <c r="K127" s="153" t="str">
        <f t="array" ref="K127">INDEX('Primary - GRADING'!$A$1:$CP997,MATCH($A127,'Primary - GRADING'!$CP:$CP,0),50)</f>
        <v>#N/A</v>
      </c>
      <c r="L127" s="153" t="str">
        <f t="array" ref="L127">INDEX('Primary - GRADING'!$A$1:$CP997,MATCH($A127,'Primary - GRADING'!$CP:$CP,0),51)</f>
        <v>#N/A</v>
      </c>
      <c r="M127" s="153" t="str">
        <f t="array" ref="M127">INDEX('Primary - GRADING'!$A$1:$CP997,MATCH($A127,'Primary - GRADING'!$CP:$CP,0),52)</f>
        <v>#N/A</v>
      </c>
      <c r="N127" s="153" t="str">
        <f t="array" ref="N127">INDEX('Primary - GRADING'!$A$1:$CP997,MATCH($A127,'Primary - GRADING'!$CP:$CP,0),53)</f>
        <v>#N/A</v>
      </c>
      <c r="O127" s="153" t="str">
        <f t="array" ref="O127">INDEX('Primary - GRADING'!$A$1:$CP997,MATCH($A127,'Primary - GRADING'!$CP:$CP,0),58)</f>
        <v>#N/A</v>
      </c>
      <c r="P127" s="153" t="str">
        <f t="array" ref="P127">INDEX('Primary - GRADING'!$A$1:$CP997,MATCH($A127,'Primary - GRADING'!$CP:$CP,0),5)</f>
        <v>#N/A</v>
      </c>
      <c r="Q127" s="153" t="str">
        <f t="array" ref="Q127">INDEX('Primary - GRADING'!$A$1:$CP997,MATCH($A127,'Primary - GRADING'!$CP:$CP,0),6)</f>
        <v>#N/A</v>
      </c>
      <c r="R127" s="153" t="str">
        <f t="array" ref="R127">INDEX('Primary - GRADING'!$A$1:$CP997,MATCH($A127,'Primary - GRADING'!$CP:$CP,0),7)</f>
        <v>#N/A</v>
      </c>
      <c r="S127" s="153" t="str">
        <f t="array" ref="S127">INDEX('Primary - GRADING'!$A$1:$CP997,MATCH($A127,'Primary - GRADING'!$CP:$CP,0),8)</f>
        <v>#N/A</v>
      </c>
      <c r="T127" s="153" t="str">
        <f t="array" ref="T127">INDEX('Primary - GRADING'!$A$1:$CP997,MATCH($A127,'Primary - GRADING'!$CP:$CP,0),9)</f>
        <v>#N/A</v>
      </c>
      <c r="U127" s="153" t="str">
        <f t="array" ref="U127">INDEX('Primary - GRADING'!$A$1:$CP997,MATCH($A127,'Primary - GRADING'!$CP:$CP,0),10)</f>
        <v>#N/A</v>
      </c>
      <c r="V127" s="153" t="str">
        <f t="array" ref="V127">INDEX('Primary - GRADING'!$A$1:$CP997,MATCH($A127,'Primary - GRADING'!$CP:$CP,0),18)</f>
        <v>#N/A</v>
      </c>
      <c r="W127" s="153" t="str">
        <f t="array" ref="W127">INDEX('Primary - GRADING'!$A$1:$CP997,MATCH($A127,'Primary - GRADING'!$CP:$CP,0),20)</f>
        <v>#N/A</v>
      </c>
      <c r="X127" s="153" t="str">
        <f t="array" ref="X127">INDEX('Primary - GRADING'!$A$1:$CP997,MATCH($A127,'Primary - GRADING'!$CP:$CP,0),21)</f>
        <v>#N/A</v>
      </c>
      <c r="Y127" s="153" t="str">
        <f t="array" ref="Y127">INDEX('Primary - GRADING'!$A$1:$CP997,MATCH($A127,'Primary - GRADING'!$CP:$CP,0),22)</f>
        <v>#N/A</v>
      </c>
      <c r="Z127" s="165" t="str">
        <f t="array" ref="Z127">INDEX('Primary - GRADING'!$A$1:$CP997,MATCH($A127,'Primary - GRADING'!$CP:$CP,0),23)</f>
        <v>#N/A</v>
      </c>
      <c r="AA127" s="153" t="str">
        <f t="array" ref="AA127">INDEX('Primary - GRADING'!$A$1:$CP997,MATCH($A127,'Primary - GRADING'!$CP:$CP,0),24)</f>
        <v>#N/A</v>
      </c>
      <c r="AB127" s="153" t="str">
        <f t="array" ref="AB127">INDEX('Primary - GRADING'!$A$1:$CP997,MATCH($A127,'Primary - GRADING'!$CP:$CP,0),25)</f>
        <v>#N/A</v>
      </c>
      <c r="AC127" s="153" t="str">
        <f t="array" ref="AC127">INDEX('Primary - GRADING'!$A$1:$CP997,MATCH($A127,'Primary - GRADING'!$CP:$CP,0),46)</f>
        <v>#N/A</v>
      </c>
      <c r="AG127" s="153" t="str">
        <f t="shared" si="7"/>
        <v>#N/A</v>
      </c>
      <c r="AI127" s="153" t="str">
        <f>VLOOKUP(AH127,'Primary - GRADING'!$A$4:$C997,2,)</f>
        <v>#N/A</v>
      </c>
      <c r="AJ127" s="153" t="str">
        <f>VLOOKUP(AH127,'Primary - GRADING'!$A$4:$C997,3,)</f>
        <v>#N/A</v>
      </c>
      <c r="AK127" s="153" t="str">
        <f>VLOOKUP(AH127,'Primary - GRADING'!$A$4:$BG997,59,)</f>
        <v>#N/A</v>
      </c>
      <c r="AL127" s="153" t="str">
        <f>IFS(AK127="NMA",VLOOKUP(AH127,'Primary - GRADING'!$A$4:$BG997,51,),AK127="DIRECT",VLOOKUP(AH127,'Primary - GRADING'!$A$4:$BG997,8,),AK127="INDIRECT",VLOOKUP(AH127,'Primary - GRADING'!$A$4:$BG997,23,))</f>
        <v>#N/A</v>
      </c>
      <c r="AM127" s="153" t="str">
        <f>IFS(AK127="NMA",VLOOKUP(AH127,'Primary - GRADING'!$A$4:$BG997,52,),AK127="DIRECT",VLOOKUP(AH127,'Primary - GRADING'!$A$4:$BG997,9,),AK127="INDIRECT",VLOOKUP(AH127,'Primary - GRADING'!$A$4:$BG997,24,))</f>
        <v>#N/A</v>
      </c>
      <c r="AN127" s="153" t="str">
        <f>IFS(AK127="NMA",VLOOKUP(AH127,'Primary - GRADING'!$A$4:$BG997,53,),AK127="DIRECT",VLOOKUP(AH127,'Primary - GRADING'!$A$4:$BG997,10,),AK127="INDIRECT",VLOOKUP(AH127,'Primary - GRADING'!$A$4:$BG997,25,))</f>
        <v>#N/A</v>
      </c>
      <c r="AO127" s="153" t="str">
        <f t="shared" si="8"/>
        <v>#N/A</v>
      </c>
      <c r="AT127" s="153" t="str">
        <f t="shared" si="9"/>
        <v>#N/A</v>
      </c>
      <c r="AV127" s="153" t="str">
        <f>VLOOKUP(AU127,'Primary - GRADING'!$A$4:$C997,2,)</f>
        <v>#N/A</v>
      </c>
      <c r="AW127" s="153" t="str">
        <f>VLOOKUP(AU127,'Primary - GRADING'!$A$4:$C997,3,)</f>
        <v>#N/A</v>
      </c>
      <c r="AX127" s="153" t="str">
        <f>VLOOKUP(AU127,'Primary - GRADING'!$A$4:$BG997,59,)</f>
        <v>#N/A</v>
      </c>
      <c r="AY127" s="153" t="str">
        <f>IFS(AX127="NMA",VLOOKUP(AU127,'Primary - GRADING'!$A$4:$BG997,51,),AX127="DIRECT",VLOOKUP(AU127,'Primary - GRADING'!$A$4:$BG997,8,),AX127="INDIRECT",VLOOKUP(AU127,'Primary - GRADING'!$A$4:$BG997,23,))</f>
        <v>#N/A</v>
      </c>
      <c r="AZ127" s="153" t="str">
        <f>IFS(AX127="NMA",VLOOKUP(AU127,'Primary - GRADING'!$A$4:$BG997,52,),AX127="DIRECT",VLOOKUP(AU127,'Primary - GRADING'!$A$4:$BG997,9,),AX127="INDIRECT",VLOOKUP(AU127,'Primary - GRADING'!$A$4:$BG997,24,))</f>
        <v>#N/A</v>
      </c>
      <c r="BA127" s="153" t="str">
        <f>IFS(AX127="NMA",VLOOKUP(AU127,'Primary - GRADING'!$A$4:$BG997,53,),AX127="DIRECT",VLOOKUP(AU127,'Primary - GRADING'!$A$4:$BG997,10,),AX127="INDIRECT",VLOOKUP(AU127,'Primary - GRADING'!$A$4:$BG997,25,))</f>
        <v>#N/A</v>
      </c>
      <c r="BB127" s="153" t="str">
        <f t="shared" si="10"/>
        <v>#N/A</v>
      </c>
      <c r="BE127" s="153" t="str">
        <f t="shared" si="11"/>
        <v/>
      </c>
      <c r="BG127" s="153" t="str">
        <f t="shared" si="12"/>
        <v>#N/A</v>
      </c>
      <c r="BI127" s="153" t="str">
        <f t="shared" si="13"/>
        <v>#N/A</v>
      </c>
      <c r="BK127" s="153" t="str">
        <f t="shared" si="14"/>
        <v>#N/A</v>
      </c>
      <c r="BM127" s="153" t="str">
        <f t="shared" si="15"/>
        <v>#N/A</v>
      </c>
    </row>
    <row r="128" ht="15.75" customHeight="1">
      <c r="B128" s="160" t="str">
        <f t="shared" si="1"/>
        <v>#N/A</v>
      </c>
      <c r="C128" s="160" t="str">
        <f t="shared" si="2"/>
        <v>#N/A</v>
      </c>
      <c r="D128" s="160" t="str">
        <f t="shared" si="3"/>
        <v>#N/A</v>
      </c>
      <c r="E128" s="161" t="str">
        <f t="shared" si="4"/>
        <v>#N/A</v>
      </c>
      <c r="F128" s="153" t="str">
        <f t="shared" si="17"/>
        <v>#N/A</v>
      </c>
      <c r="G128" s="153" t="str">
        <f t="shared" si="6"/>
        <v>#N/A</v>
      </c>
      <c r="H128" s="156" t="str">
        <f t="array" ref="H128">INDEX('Primary - GRADING'!$A$1:$BG997,MATCH($A128,'Primary - GRADING'!$B:$B,0),59)</f>
        <v>#N/A</v>
      </c>
      <c r="I128" s="153" t="str">
        <f t="array" ref="I128">INDEX('Primary - GRADING'!$A$1:$CP997,MATCH($A128,'Primary - GRADING'!$CP:$CP,0),48)</f>
        <v>#N/A</v>
      </c>
      <c r="J128" s="153" t="str">
        <f t="array" ref="J128">INDEX('Primary - GRADING'!$A$1:$CP997,MATCH($A128,'Primary - GRADING'!$CP:$CP,0),49)</f>
        <v>#N/A</v>
      </c>
      <c r="K128" s="153" t="str">
        <f t="array" ref="K128">INDEX('Primary - GRADING'!$A$1:$CP997,MATCH($A128,'Primary - GRADING'!$CP:$CP,0),50)</f>
        <v>#N/A</v>
      </c>
      <c r="L128" s="153" t="str">
        <f t="array" ref="L128">INDEX('Primary - GRADING'!$A$1:$CP997,MATCH($A128,'Primary - GRADING'!$CP:$CP,0),51)</f>
        <v>#N/A</v>
      </c>
      <c r="M128" s="153" t="str">
        <f t="array" ref="M128">INDEX('Primary - GRADING'!$A$1:$CP997,MATCH($A128,'Primary - GRADING'!$CP:$CP,0),52)</f>
        <v>#N/A</v>
      </c>
      <c r="N128" s="153" t="str">
        <f t="array" ref="N128">INDEX('Primary - GRADING'!$A$1:$CP997,MATCH($A128,'Primary - GRADING'!$CP:$CP,0),53)</f>
        <v>#N/A</v>
      </c>
      <c r="O128" s="153" t="str">
        <f t="array" ref="O128">INDEX('Primary - GRADING'!$A$1:$CP997,MATCH($A128,'Primary - GRADING'!$CP:$CP,0),58)</f>
        <v>#N/A</v>
      </c>
      <c r="P128" s="153" t="str">
        <f t="array" ref="P128">INDEX('Primary - GRADING'!$A$1:$CP997,MATCH($A128,'Primary - GRADING'!$CP:$CP,0),5)</f>
        <v>#N/A</v>
      </c>
      <c r="Q128" s="153" t="str">
        <f t="array" ref="Q128">INDEX('Primary - GRADING'!$A$1:$CP997,MATCH($A128,'Primary - GRADING'!$CP:$CP,0),6)</f>
        <v>#N/A</v>
      </c>
      <c r="R128" s="153" t="str">
        <f t="array" ref="R128">INDEX('Primary - GRADING'!$A$1:$CP997,MATCH($A128,'Primary - GRADING'!$CP:$CP,0),7)</f>
        <v>#N/A</v>
      </c>
      <c r="S128" s="153" t="str">
        <f t="array" ref="S128">INDEX('Primary - GRADING'!$A$1:$CP997,MATCH($A128,'Primary - GRADING'!$CP:$CP,0),8)</f>
        <v>#N/A</v>
      </c>
      <c r="T128" s="153" t="str">
        <f t="array" ref="T128">INDEX('Primary - GRADING'!$A$1:$CP997,MATCH($A128,'Primary - GRADING'!$CP:$CP,0),9)</f>
        <v>#N/A</v>
      </c>
      <c r="U128" s="153" t="str">
        <f t="array" ref="U128">INDEX('Primary - GRADING'!$A$1:$CP997,MATCH($A128,'Primary - GRADING'!$CP:$CP,0),10)</f>
        <v>#N/A</v>
      </c>
      <c r="V128" s="153" t="str">
        <f t="array" ref="V128">INDEX('Primary - GRADING'!$A$1:$CP997,MATCH($A128,'Primary - GRADING'!$CP:$CP,0),18)</f>
        <v>#N/A</v>
      </c>
      <c r="W128" s="153" t="str">
        <f t="array" ref="W128">INDEX('Primary - GRADING'!$A$1:$CP997,MATCH($A128,'Primary - GRADING'!$CP:$CP,0),20)</f>
        <v>#N/A</v>
      </c>
      <c r="X128" s="153" t="str">
        <f t="array" ref="X128">INDEX('Primary - GRADING'!$A$1:$CP997,MATCH($A128,'Primary - GRADING'!$CP:$CP,0),21)</f>
        <v>#N/A</v>
      </c>
      <c r="Y128" s="153" t="str">
        <f t="array" ref="Y128">INDEX('Primary - GRADING'!$A$1:$CP997,MATCH($A128,'Primary - GRADING'!$CP:$CP,0),22)</f>
        <v>#N/A</v>
      </c>
      <c r="Z128" s="165" t="str">
        <f t="array" ref="Z128">INDEX('Primary - GRADING'!$A$1:$CP997,MATCH($A128,'Primary - GRADING'!$CP:$CP,0),23)</f>
        <v>#N/A</v>
      </c>
      <c r="AA128" s="153" t="str">
        <f t="array" ref="AA128">INDEX('Primary - GRADING'!$A$1:$CP997,MATCH($A128,'Primary - GRADING'!$CP:$CP,0),24)</f>
        <v>#N/A</v>
      </c>
      <c r="AB128" s="153" t="str">
        <f t="array" ref="AB128">INDEX('Primary - GRADING'!$A$1:$CP997,MATCH($A128,'Primary - GRADING'!$CP:$CP,0),25)</f>
        <v>#N/A</v>
      </c>
      <c r="AC128" s="153" t="str">
        <f t="array" ref="AC128">INDEX('Primary - GRADING'!$A$1:$CP997,MATCH($A128,'Primary - GRADING'!$CP:$CP,0),46)</f>
        <v>#N/A</v>
      </c>
      <c r="AG128" s="153" t="str">
        <f t="shared" si="7"/>
        <v>#N/A</v>
      </c>
      <c r="AI128" s="153" t="str">
        <f>VLOOKUP(AH128,'Primary - GRADING'!$A$4:$C997,2,)</f>
        <v>#N/A</v>
      </c>
      <c r="AJ128" s="153" t="str">
        <f>VLOOKUP(AH128,'Primary - GRADING'!$A$4:$C997,3,)</f>
        <v>#N/A</v>
      </c>
      <c r="AK128" s="153" t="str">
        <f>VLOOKUP(AH128,'Primary - GRADING'!$A$4:$BG997,59,)</f>
        <v>#N/A</v>
      </c>
      <c r="AL128" s="153" t="str">
        <f>IFS(AK128="NMA",VLOOKUP(AH128,'Primary - GRADING'!$A$4:$BG997,51,),AK128="DIRECT",VLOOKUP(AH128,'Primary - GRADING'!$A$4:$BG997,8,),AK128="INDIRECT",VLOOKUP(AH128,'Primary - GRADING'!$A$4:$BG997,23,))</f>
        <v>#N/A</v>
      </c>
      <c r="AM128" s="153" t="str">
        <f>IFS(AK128="NMA",VLOOKUP(AH128,'Primary - GRADING'!$A$4:$BG997,52,),AK128="DIRECT",VLOOKUP(AH128,'Primary - GRADING'!$A$4:$BG997,9,),AK128="INDIRECT",VLOOKUP(AH128,'Primary - GRADING'!$A$4:$BG997,24,))</f>
        <v>#N/A</v>
      </c>
      <c r="AN128" s="153" t="str">
        <f>IFS(AK128="NMA",VLOOKUP(AH128,'Primary - GRADING'!$A$4:$BG997,53,),AK128="DIRECT",VLOOKUP(AH128,'Primary - GRADING'!$A$4:$BG997,10,),AK128="INDIRECT",VLOOKUP(AH128,'Primary - GRADING'!$A$4:$BG997,25,))</f>
        <v>#N/A</v>
      </c>
      <c r="AO128" s="153" t="str">
        <f t="shared" si="8"/>
        <v>#N/A</v>
      </c>
      <c r="AT128" s="153" t="str">
        <f t="shared" si="9"/>
        <v>#N/A</v>
      </c>
      <c r="AV128" s="153" t="str">
        <f>VLOOKUP(AU128,'Primary - GRADING'!$A$4:$C997,2,)</f>
        <v>#N/A</v>
      </c>
      <c r="AW128" s="153" t="str">
        <f>VLOOKUP(AU128,'Primary - GRADING'!$A$4:$C997,3,)</f>
        <v>#N/A</v>
      </c>
      <c r="AX128" s="153" t="str">
        <f>VLOOKUP(AU128,'Primary - GRADING'!$A$4:$BG997,59,)</f>
        <v>#N/A</v>
      </c>
      <c r="AY128" s="153" t="str">
        <f>IFS(AX128="NMA",VLOOKUP(AU128,'Primary - GRADING'!$A$4:$BG997,51,),AX128="DIRECT",VLOOKUP(AU128,'Primary - GRADING'!$A$4:$BG997,8,),AX128="INDIRECT",VLOOKUP(AU128,'Primary - GRADING'!$A$4:$BG997,23,))</f>
        <v>#N/A</v>
      </c>
      <c r="AZ128" s="153" t="str">
        <f>IFS(AX128="NMA",VLOOKUP(AU128,'Primary - GRADING'!$A$4:$BG997,52,),AX128="DIRECT",VLOOKUP(AU128,'Primary - GRADING'!$A$4:$BG997,9,),AX128="INDIRECT",VLOOKUP(AU128,'Primary - GRADING'!$A$4:$BG997,24,))</f>
        <v>#N/A</v>
      </c>
      <c r="BA128" s="153" t="str">
        <f>IFS(AX128="NMA",VLOOKUP(AU128,'Primary - GRADING'!$A$4:$BG997,53,),AX128="DIRECT",VLOOKUP(AU128,'Primary - GRADING'!$A$4:$BG997,10,),AX128="INDIRECT",VLOOKUP(AU128,'Primary - GRADING'!$A$4:$BG997,25,))</f>
        <v>#N/A</v>
      </c>
      <c r="BB128" s="153" t="str">
        <f t="shared" si="10"/>
        <v>#N/A</v>
      </c>
      <c r="BE128" s="153" t="str">
        <f t="shared" si="11"/>
        <v/>
      </c>
      <c r="BG128" s="153" t="str">
        <f t="shared" si="12"/>
        <v>#N/A</v>
      </c>
      <c r="BI128" s="153" t="str">
        <f t="shared" si="13"/>
        <v>#N/A</v>
      </c>
      <c r="BK128" s="153" t="str">
        <f t="shared" si="14"/>
        <v>#N/A</v>
      </c>
      <c r="BM128" s="153" t="str">
        <f t="shared" si="15"/>
        <v>#N/A</v>
      </c>
    </row>
    <row r="129" ht="15.75" customHeight="1">
      <c r="B129" s="160" t="str">
        <f t="shared" si="1"/>
        <v>#N/A</v>
      </c>
      <c r="C129" s="160" t="str">
        <f t="shared" si="2"/>
        <v>#N/A</v>
      </c>
      <c r="D129" s="160" t="str">
        <f t="shared" si="3"/>
        <v>#N/A</v>
      </c>
      <c r="E129" s="161" t="str">
        <f t="shared" si="4"/>
        <v>#N/A</v>
      </c>
      <c r="F129" s="153" t="str">
        <f t="shared" si="17"/>
        <v>#N/A</v>
      </c>
      <c r="G129" s="153" t="str">
        <f t="shared" si="6"/>
        <v>#N/A</v>
      </c>
      <c r="H129" s="156" t="str">
        <f t="array" ref="H129">INDEX('Primary - GRADING'!$A$1:$BG997,MATCH($A129,'Primary - GRADING'!$B:$B,0),59)</f>
        <v>#N/A</v>
      </c>
      <c r="I129" s="153" t="str">
        <f t="array" ref="I129">INDEX('Primary - GRADING'!$A$1:$CP997,MATCH($A129,'Primary - GRADING'!$CP:$CP,0),48)</f>
        <v>#N/A</v>
      </c>
      <c r="J129" s="153" t="str">
        <f t="array" ref="J129">INDEX('Primary - GRADING'!$A$1:$CP997,MATCH($A129,'Primary - GRADING'!$CP:$CP,0),49)</f>
        <v>#N/A</v>
      </c>
      <c r="K129" s="153" t="str">
        <f t="array" ref="K129">INDEX('Primary - GRADING'!$A$1:$CP997,MATCH($A129,'Primary - GRADING'!$CP:$CP,0),50)</f>
        <v>#N/A</v>
      </c>
      <c r="L129" s="153" t="str">
        <f t="array" ref="L129">INDEX('Primary - GRADING'!$A$1:$CP997,MATCH($A129,'Primary - GRADING'!$CP:$CP,0),51)</f>
        <v>#N/A</v>
      </c>
      <c r="M129" s="153" t="str">
        <f t="array" ref="M129">INDEX('Primary - GRADING'!$A$1:$CP997,MATCH($A129,'Primary - GRADING'!$CP:$CP,0),52)</f>
        <v>#N/A</v>
      </c>
      <c r="N129" s="153" t="str">
        <f t="array" ref="N129">INDEX('Primary - GRADING'!$A$1:$CP997,MATCH($A129,'Primary - GRADING'!$CP:$CP,0),53)</f>
        <v>#N/A</v>
      </c>
      <c r="O129" s="153" t="str">
        <f t="array" ref="O129">INDEX('Primary - GRADING'!$A$1:$CP997,MATCH($A129,'Primary - GRADING'!$CP:$CP,0),58)</f>
        <v>#N/A</v>
      </c>
      <c r="P129" s="153" t="str">
        <f t="array" ref="P129">INDEX('Primary - GRADING'!$A$1:$CP997,MATCH($A129,'Primary - GRADING'!$CP:$CP,0),5)</f>
        <v>#N/A</v>
      </c>
      <c r="Q129" s="153" t="str">
        <f t="array" ref="Q129">INDEX('Primary - GRADING'!$A$1:$CP997,MATCH($A129,'Primary - GRADING'!$CP:$CP,0),6)</f>
        <v>#N/A</v>
      </c>
      <c r="R129" s="153" t="str">
        <f t="array" ref="R129">INDEX('Primary - GRADING'!$A$1:$CP997,MATCH($A129,'Primary - GRADING'!$CP:$CP,0),7)</f>
        <v>#N/A</v>
      </c>
      <c r="S129" s="153" t="str">
        <f t="array" ref="S129">INDEX('Primary - GRADING'!$A$1:$CP997,MATCH($A129,'Primary - GRADING'!$CP:$CP,0),8)</f>
        <v>#N/A</v>
      </c>
      <c r="T129" s="153" t="str">
        <f t="array" ref="T129">INDEX('Primary - GRADING'!$A$1:$CP997,MATCH($A129,'Primary - GRADING'!$CP:$CP,0),9)</f>
        <v>#N/A</v>
      </c>
      <c r="U129" s="153" t="str">
        <f t="array" ref="U129">INDEX('Primary - GRADING'!$A$1:$CP997,MATCH($A129,'Primary - GRADING'!$CP:$CP,0),10)</f>
        <v>#N/A</v>
      </c>
      <c r="V129" s="153" t="str">
        <f t="array" ref="V129">INDEX('Primary - GRADING'!$A$1:$CP997,MATCH($A129,'Primary - GRADING'!$CP:$CP,0),18)</f>
        <v>#N/A</v>
      </c>
      <c r="W129" s="153" t="str">
        <f t="array" ref="W129">INDEX('Primary - GRADING'!$A$1:$CP997,MATCH($A129,'Primary - GRADING'!$CP:$CP,0),20)</f>
        <v>#N/A</v>
      </c>
      <c r="X129" s="153" t="str">
        <f t="array" ref="X129">INDEX('Primary - GRADING'!$A$1:$CP997,MATCH($A129,'Primary - GRADING'!$CP:$CP,0),21)</f>
        <v>#N/A</v>
      </c>
      <c r="Y129" s="153" t="str">
        <f t="array" ref="Y129">INDEX('Primary - GRADING'!$A$1:$CP997,MATCH($A129,'Primary - GRADING'!$CP:$CP,0),22)</f>
        <v>#N/A</v>
      </c>
      <c r="Z129" s="165" t="str">
        <f t="array" ref="Z129">INDEX('Primary - GRADING'!$A$1:$CP997,MATCH($A129,'Primary - GRADING'!$CP:$CP,0),23)</f>
        <v>#N/A</v>
      </c>
      <c r="AA129" s="153" t="str">
        <f t="array" ref="AA129">INDEX('Primary - GRADING'!$A$1:$CP997,MATCH($A129,'Primary - GRADING'!$CP:$CP,0),24)</f>
        <v>#N/A</v>
      </c>
      <c r="AB129" s="153" t="str">
        <f t="array" ref="AB129">INDEX('Primary - GRADING'!$A$1:$CP997,MATCH($A129,'Primary - GRADING'!$CP:$CP,0),25)</f>
        <v>#N/A</v>
      </c>
      <c r="AC129" s="153" t="str">
        <f t="array" ref="AC129">INDEX('Primary - GRADING'!$A$1:$CP997,MATCH($A129,'Primary - GRADING'!$CP:$CP,0),46)</f>
        <v>#N/A</v>
      </c>
      <c r="AG129" s="153" t="str">
        <f t="shared" si="7"/>
        <v>#N/A</v>
      </c>
      <c r="AI129" s="153" t="str">
        <f>VLOOKUP(AH129,'Primary - GRADING'!$A$4:$C997,2,)</f>
        <v>#N/A</v>
      </c>
      <c r="AJ129" s="153" t="str">
        <f>VLOOKUP(AH129,'Primary - GRADING'!$A$4:$C997,3,)</f>
        <v>#N/A</v>
      </c>
      <c r="AK129" s="153" t="str">
        <f>VLOOKUP(AH129,'Primary - GRADING'!$A$4:$BG997,59,)</f>
        <v>#N/A</v>
      </c>
      <c r="AL129" s="153" t="str">
        <f>IFS(AK129="NMA",VLOOKUP(AH129,'Primary - GRADING'!$A$4:$BG997,51,),AK129="DIRECT",VLOOKUP(AH129,'Primary - GRADING'!$A$4:$BG997,8,),AK129="INDIRECT",VLOOKUP(AH129,'Primary - GRADING'!$A$4:$BG997,23,))</f>
        <v>#N/A</v>
      </c>
      <c r="AM129" s="153" t="str">
        <f>IFS(AK129="NMA",VLOOKUP(AH129,'Primary - GRADING'!$A$4:$BG997,52,),AK129="DIRECT",VLOOKUP(AH129,'Primary - GRADING'!$A$4:$BG997,9,),AK129="INDIRECT",VLOOKUP(AH129,'Primary - GRADING'!$A$4:$BG997,24,))</f>
        <v>#N/A</v>
      </c>
      <c r="AN129" s="153" t="str">
        <f>IFS(AK129="NMA",VLOOKUP(AH129,'Primary - GRADING'!$A$4:$BG997,53,),AK129="DIRECT",VLOOKUP(AH129,'Primary - GRADING'!$A$4:$BG997,10,),AK129="INDIRECT",VLOOKUP(AH129,'Primary - GRADING'!$A$4:$BG997,25,))</f>
        <v>#N/A</v>
      </c>
      <c r="AO129" s="153" t="str">
        <f t="shared" si="8"/>
        <v>#N/A</v>
      </c>
      <c r="AT129" s="153" t="str">
        <f t="shared" si="9"/>
        <v>#N/A</v>
      </c>
      <c r="AV129" s="153" t="str">
        <f>VLOOKUP(AU129,'Primary - GRADING'!$A$4:$C997,2,)</f>
        <v>#N/A</v>
      </c>
      <c r="AW129" s="153" t="str">
        <f>VLOOKUP(AU129,'Primary - GRADING'!$A$4:$C997,3,)</f>
        <v>#N/A</v>
      </c>
      <c r="AX129" s="153" t="str">
        <f>VLOOKUP(AU129,'Primary - GRADING'!$A$4:$BG997,59,)</f>
        <v>#N/A</v>
      </c>
      <c r="AY129" s="153" t="str">
        <f>IFS(AX129="NMA",VLOOKUP(AU129,'Primary - GRADING'!$A$4:$BG997,51,),AX129="DIRECT",VLOOKUP(AU129,'Primary - GRADING'!$A$4:$BG997,8,),AX129="INDIRECT",VLOOKUP(AU129,'Primary - GRADING'!$A$4:$BG997,23,))</f>
        <v>#N/A</v>
      </c>
      <c r="AZ129" s="153" t="str">
        <f>IFS(AX129="NMA",VLOOKUP(AU129,'Primary - GRADING'!$A$4:$BG997,52,),AX129="DIRECT",VLOOKUP(AU129,'Primary - GRADING'!$A$4:$BG997,9,),AX129="INDIRECT",VLOOKUP(AU129,'Primary - GRADING'!$A$4:$BG997,24,))</f>
        <v>#N/A</v>
      </c>
      <c r="BA129" s="153" t="str">
        <f>IFS(AX129="NMA",VLOOKUP(AU129,'Primary - GRADING'!$A$4:$BG997,53,),AX129="DIRECT",VLOOKUP(AU129,'Primary - GRADING'!$A$4:$BG997,10,),AX129="INDIRECT",VLOOKUP(AU129,'Primary - GRADING'!$A$4:$BG997,25,))</f>
        <v>#N/A</v>
      </c>
      <c r="BB129" s="153" t="str">
        <f t="shared" si="10"/>
        <v>#N/A</v>
      </c>
      <c r="BE129" s="153" t="str">
        <f t="shared" si="11"/>
        <v/>
      </c>
      <c r="BG129" s="153" t="str">
        <f t="shared" si="12"/>
        <v>#N/A</v>
      </c>
      <c r="BI129" s="153" t="str">
        <f t="shared" si="13"/>
        <v>#N/A</v>
      </c>
      <c r="BK129" s="153" t="str">
        <f t="shared" si="14"/>
        <v>#N/A</v>
      </c>
      <c r="BM129" s="153" t="str">
        <f t="shared" si="15"/>
        <v>#N/A</v>
      </c>
    </row>
    <row r="130" ht="15.75" customHeight="1">
      <c r="B130" s="160" t="str">
        <f t="shared" si="1"/>
        <v>#N/A</v>
      </c>
      <c r="C130" s="160" t="str">
        <f t="shared" si="2"/>
        <v>#N/A</v>
      </c>
      <c r="D130" s="160" t="str">
        <f t="shared" si="3"/>
        <v>#N/A</v>
      </c>
      <c r="E130" s="161" t="str">
        <f t="shared" si="4"/>
        <v>#N/A</v>
      </c>
      <c r="F130" s="153" t="str">
        <f t="shared" si="17"/>
        <v>#N/A</v>
      </c>
      <c r="G130" s="153" t="str">
        <f t="shared" si="6"/>
        <v>#N/A</v>
      </c>
      <c r="H130" s="156" t="str">
        <f t="array" ref="H130">INDEX('Primary - GRADING'!$A$1:$BG997,MATCH($A130,'Primary - GRADING'!$B:$B,0),59)</f>
        <v>#N/A</v>
      </c>
      <c r="I130" s="153" t="str">
        <f t="array" ref="I130">INDEX('Primary - GRADING'!$A$1:$CP997,MATCH($A130,'Primary - GRADING'!$CP:$CP,0),48)</f>
        <v>#N/A</v>
      </c>
      <c r="J130" s="153" t="str">
        <f t="array" ref="J130">INDEX('Primary - GRADING'!$A$1:$CP997,MATCH($A130,'Primary - GRADING'!$CP:$CP,0),49)</f>
        <v>#N/A</v>
      </c>
      <c r="K130" s="153" t="str">
        <f t="array" ref="K130">INDEX('Primary - GRADING'!$A$1:$CP997,MATCH($A130,'Primary - GRADING'!$CP:$CP,0),50)</f>
        <v>#N/A</v>
      </c>
      <c r="L130" s="153" t="str">
        <f t="array" ref="L130">INDEX('Primary - GRADING'!$A$1:$CP997,MATCH($A130,'Primary - GRADING'!$CP:$CP,0),51)</f>
        <v>#N/A</v>
      </c>
      <c r="M130" s="153" t="str">
        <f t="array" ref="M130">INDEX('Primary - GRADING'!$A$1:$CP997,MATCH($A130,'Primary - GRADING'!$CP:$CP,0),52)</f>
        <v>#N/A</v>
      </c>
      <c r="N130" s="153" t="str">
        <f t="array" ref="N130">INDEX('Primary - GRADING'!$A$1:$CP997,MATCH($A130,'Primary - GRADING'!$CP:$CP,0),53)</f>
        <v>#N/A</v>
      </c>
      <c r="O130" s="153" t="str">
        <f t="array" ref="O130">INDEX('Primary - GRADING'!$A$1:$CP997,MATCH($A130,'Primary - GRADING'!$CP:$CP,0),58)</f>
        <v>#N/A</v>
      </c>
      <c r="P130" s="153" t="str">
        <f t="array" ref="P130">INDEX('Primary - GRADING'!$A$1:$CP997,MATCH($A130,'Primary - GRADING'!$CP:$CP,0),5)</f>
        <v>#N/A</v>
      </c>
      <c r="Q130" s="153" t="str">
        <f t="array" ref="Q130">INDEX('Primary - GRADING'!$A$1:$CP997,MATCH($A130,'Primary - GRADING'!$CP:$CP,0),6)</f>
        <v>#N/A</v>
      </c>
      <c r="R130" s="153" t="str">
        <f t="array" ref="R130">INDEX('Primary - GRADING'!$A$1:$CP997,MATCH($A130,'Primary - GRADING'!$CP:$CP,0),7)</f>
        <v>#N/A</v>
      </c>
      <c r="S130" s="153" t="str">
        <f t="array" ref="S130">INDEX('Primary - GRADING'!$A$1:$CP997,MATCH($A130,'Primary - GRADING'!$CP:$CP,0),8)</f>
        <v>#N/A</v>
      </c>
      <c r="T130" s="153" t="str">
        <f t="array" ref="T130">INDEX('Primary - GRADING'!$A$1:$CP997,MATCH($A130,'Primary - GRADING'!$CP:$CP,0),9)</f>
        <v>#N/A</v>
      </c>
      <c r="U130" s="153" t="str">
        <f t="array" ref="U130">INDEX('Primary - GRADING'!$A$1:$CP997,MATCH($A130,'Primary - GRADING'!$CP:$CP,0),10)</f>
        <v>#N/A</v>
      </c>
      <c r="V130" s="153" t="str">
        <f t="array" ref="V130">INDEX('Primary - GRADING'!$A$1:$CP997,MATCH($A130,'Primary - GRADING'!$CP:$CP,0),18)</f>
        <v>#N/A</v>
      </c>
      <c r="W130" s="153" t="str">
        <f t="array" ref="W130">INDEX('Primary - GRADING'!$A$1:$CP997,MATCH($A130,'Primary - GRADING'!$CP:$CP,0),20)</f>
        <v>#N/A</v>
      </c>
      <c r="X130" s="153" t="str">
        <f t="array" ref="X130">INDEX('Primary - GRADING'!$A$1:$CP997,MATCH($A130,'Primary - GRADING'!$CP:$CP,0),21)</f>
        <v>#N/A</v>
      </c>
      <c r="Y130" s="153" t="str">
        <f t="array" ref="Y130">INDEX('Primary - GRADING'!$A$1:$CP997,MATCH($A130,'Primary - GRADING'!$CP:$CP,0),22)</f>
        <v>#N/A</v>
      </c>
      <c r="Z130" s="165" t="str">
        <f t="array" ref="Z130">INDEX('Primary - GRADING'!$A$1:$CP997,MATCH($A130,'Primary - GRADING'!$CP:$CP,0),23)</f>
        <v>#N/A</v>
      </c>
      <c r="AA130" s="153" t="str">
        <f t="array" ref="AA130">INDEX('Primary - GRADING'!$A$1:$CP997,MATCH($A130,'Primary - GRADING'!$CP:$CP,0),24)</f>
        <v>#N/A</v>
      </c>
      <c r="AB130" s="153" t="str">
        <f t="array" ref="AB130">INDEX('Primary - GRADING'!$A$1:$CP997,MATCH($A130,'Primary - GRADING'!$CP:$CP,0),25)</f>
        <v>#N/A</v>
      </c>
      <c r="AC130" s="153" t="str">
        <f t="array" ref="AC130">INDEX('Primary - GRADING'!$A$1:$CP997,MATCH($A130,'Primary - GRADING'!$CP:$CP,0),46)</f>
        <v>#N/A</v>
      </c>
      <c r="AG130" s="153" t="str">
        <f t="shared" si="7"/>
        <v>#N/A</v>
      </c>
      <c r="AI130" s="153" t="str">
        <f>VLOOKUP(AH130,'Primary - GRADING'!$A$4:$C997,2,)</f>
        <v>#N/A</v>
      </c>
      <c r="AJ130" s="153" t="str">
        <f>VLOOKUP(AH130,'Primary - GRADING'!$A$4:$C997,3,)</f>
        <v>#N/A</v>
      </c>
      <c r="AK130" s="153" t="str">
        <f>VLOOKUP(AH130,'Primary - GRADING'!$A$4:$BG997,59,)</f>
        <v>#N/A</v>
      </c>
      <c r="AL130" s="153" t="str">
        <f>IFS(AK130="NMA",VLOOKUP(AH130,'Primary - GRADING'!$A$4:$BG997,51,),AK130="DIRECT",VLOOKUP(AH130,'Primary - GRADING'!$A$4:$BG997,8,),AK130="INDIRECT",VLOOKUP(AH130,'Primary - GRADING'!$A$4:$BG997,23,))</f>
        <v>#N/A</v>
      </c>
      <c r="AM130" s="153" t="str">
        <f>IFS(AK130="NMA",VLOOKUP(AH130,'Primary - GRADING'!$A$4:$BG997,52,),AK130="DIRECT",VLOOKUP(AH130,'Primary - GRADING'!$A$4:$BG997,9,),AK130="INDIRECT",VLOOKUP(AH130,'Primary - GRADING'!$A$4:$BG997,24,))</f>
        <v>#N/A</v>
      </c>
      <c r="AN130" s="153" t="str">
        <f>IFS(AK130="NMA",VLOOKUP(AH130,'Primary - GRADING'!$A$4:$BG997,53,),AK130="DIRECT",VLOOKUP(AH130,'Primary - GRADING'!$A$4:$BG997,10,),AK130="INDIRECT",VLOOKUP(AH130,'Primary - GRADING'!$A$4:$BG997,25,))</f>
        <v>#N/A</v>
      </c>
      <c r="AO130" s="153" t="str">
        <f t="shared" si="8"/>
        <v>#N/A</v>
      </c>
      <c r="AT130" s="153" t="str">
        <f t="shared" si="9"/>
        <v>#N/A</v>
      </c>
      <c r="AV130" s="153" t="str">
        <f>VLOOKUP(AU130,'Primary - GRADING'!$A$4:$C997,2,)</f>
        <v>#N/A</v>
      </c>
      <c r="AW130" s="153" t="str">
        <f>VLOOKUP(AU130,'Primary - GRADING'!$A$4:$C997,3,)</f>
        <v>#N/A</v>
      </c>
      <c r="AX130" s="153" t="str">
        <f>VLOOKUP(AU130,'Primary - GRADING'!$A$4:$BG997,59,)</f>
        <v>#N/A</v>
      </c>
      <c r="AY130" s="153" t="str">
        <f>IFS(AX130="NMA",VLOOKUP(AU130,'Primary - GRADING'!$A$4:$BG997,51,),AX130="DIRECT",VLOOKUP(AU130,'Primary - GRADING'!$A$4:$BG997,8,),AX130="INDIRECT",VLOOKUP(AU130,'Primary - GRADING'!$A$4:$BG997,23,))</f>
        <v>#N/A</v>
      </c>
      <c r="AZ130" s="153" t="str">
        <f>IFS(AX130="NMA",VLOOKUP(AU130,'Primary - GRADING'!$A$4:$BG997,52,),AX130="DIRECT",VLOOKUP(AU130,'Primary - GRADING'!$A$4:$BG997,9,),AX130="INDIRECT",VLOOKUP(AU130,'Primary - GRADING'!$A$4:$BG997,24,))</f>
        <v>#N/A</v>
      </c>
      <c r="BA130" s="153" t="str">
        <f>IFS(AX130="NMA",VLOOKUP(AU130,'Primary - GRADING'!$A$4:$BG997,53,),AX130="DIRECT",VLOOKUP(AU130,'Primary - GRADING'!$A$4:$BG997,10,),AX130="INDIRECT",VLOOKUP(AU130,'Primary - GRADING'!$A$4:$BG997,25,))</f>
        <v>#N/A</v>
      </c>
      <c r="BB130" s="153" t="str">
        <f t="shared" si="10"/>
        <v>#N/A</v>
      </c>
      <c r="BE130" s="153" t="str">
        <f t="shared" si="11"/>
        <v/>
      </c>
      <c r="BG130" s="153" t="str">
        <f t="shared" si="12"/>
        <v>#N/A</v>
      </c>
      <c r="BI130" s="153" t="str">
        <f t="shared" si="13"/>
        <v>#N/A</v>
      </c>
      <c r="BK130" s="153" t="str">
        <f t="shared" si="14"/>
        <v>#N/A</v>
      </c>
      <c r="BM130" s="153" t="str">
        <f t="shared" si="15"/>
        <v>#N/A</v>
      </c>
    </row>
    <row r="131" ht="15.75" customHeight="1">
      <c r="B131" s="160" t="str">
        <f t="shared" si="1"/>
        <v>#N/A</v>
      </c>
      <c r="C131" s="160" t="str">
        <f t="shared" si="2"/>
        <v>#N/A</v>
      </c>
      <c r="D131" s="160" t="str">
        <f t="shared" si="3"/>
        <v>#N/A</v>
      </c>
      <c r="E131" s="161" t="str">
        <f t="shared" si="4"/>
        <v>#N/A</v>
      </c>
      <c r="F131" s="153" t="str">
        <f t="shared" si="17"/>
        <v>#N/A</v>
      </c>
      <c r="G131" s="153" t="str">
        <f t="shared" si="6"/>
        <v>#N/A</v>
      </c>
      <c r="H131" s="156" t="str">
        <f t="array" ref="H131">INDEX('Primary - GRADING'!$A$1:$BG997,MATCH($A131,'Primary - GRADING'!$B:$B,0),59)</f>
        <v>#N/A</v>
      </c>
      <c r="I131" s="153" t="str">
        <f t="array" ref="I131">INDEX('Primary - GRADING'!$A$1:$CP997,MATCH($A131,'Primary - GRADING'!$CP:$CP,0),48)</f>
        <v>#N/A</v>
      </c>
      <c r="J131" s="153" t="str">
        <f t="array" ref="J131">INDEX('Primary - GRADING'!$A$1:$CP997,MATCH($A131,'Primary - GRADING'!$CP:$CP,0),49)</f>
        <v>#N/A</v>
      </c>
      <c r="K131" s="153" t="str">
        <f t="array" ref="K131">INDEX('Primary - GRADING'!$A$1:$CP997,MATCH($A131,'Primary - GRADING'!$CP:$CP,0),50)</f>
        <v>#N/A</v>
      </c>
      <c r="L131" s="153" t="str">
        <f t="array" ref="L131">INDEX('Primary - GRADING'!$A$1:$CP997,MATCH($A131,'Primary - GRADING'!$CP:$CP,0),51)</f>
        <v>#N/A</v>
      </c>
      <c r="M131" s="153" t="str">
        <f t="array" ref="M131">INDEX('Primary - GRADING'!$A$1:$CP997,MATCH($A131,'Primary - GRADING'!$CP:$CP,0),52)</f>
        <v>#N/A</v>
      </c>
      <c r="N131" s="153" t="str">
        <f t="array" ref="N131">INDEX('Primary - GRADING'!$A$1:$CP997,MATCH($A131,'Primary - GRADING'!$CP:$CP,0),53)</f>
        <v>#N/A</v>
      </c>
      <c r="O131" s="153" t="str">
        <f t="array" ref="O131">INDEX('Primary - GRADING'!$A$1:$CP997,MATCH($A131,'Primary - GRADING'!$CP:$CP,0),58)</f>
        <v>#N/A</v>
      </c>
      <c r="P131" s="153" t="str">
        <f t="array" ref="P131">INDEX('Primary - GRADING'!$A$1:$CP997,MATCH($A131,'Primary - GRADING'!$CP:$CP,0),5)</f>
        <v>#N/A</v>
      </c>
      <c r="Q131" s="153" t="str">
        <f t="array" ref="Q131">INDEX('Primary - GRADING'!$A$1:$CP997,MATCH($A131,'Primary - GRADING'!$CP:$CP,0),6)</f>
        <v>#N/A</v>
      </c>
      <c r="R131" s="153" t="str">
        <f t="array" ref="R131">INDEX('Primary - GRADING'!$A$1:$CP997,MATCH($A131,'Primary - GRADING'!$CP:$CP,0),7)</f>
        <v>#N/A</v>
      </c>
      <c r="S131" s="153" t="str">
        <f t="array" ref="S131">INDEX('Primary - GRADING'!$A$1:$CP997,MATCH($A131,'Primary - GRADING'!$CP:$CP,0),8)</f>
        <v>#N/A</v>
      </c>
      <c r="T131" s="153" t="str">
        <f t="array" ref="T131">INDEX('Primary - GRADING'!$A$1:$CP997,MATCH($A131,'Primary - GRADING'!$CP:$CP,0),9)</f>
        <v>#N/A</v>
      </c>
      <c r="U131" s="153" t="str">
        <f t="array" ref="U131">INDEX('Primary - GRADING'!$A$1:$CP997,MATCH($A131,'Primary - GRADING'!$CP:$CP,0),10)</f>
        <v>#N/A</v>
      </c>
      <c r="V131" s="153" t="str">
        <f t="array" ref="V131">INDEX('Primary - GRADING'!$A$1:$CP997,MATCH($A131,'Primary - GRADING'!$CP:$CP,0),18)</f>
        <v>#N/A</v>
      </c>
      <c r="W131" s="153" t="str">
        <f t="array" ref="W131">INDEX('Primary - GRADING'!$A$1:$CP997,MATCH($A131,'Primary - GRADING'!$CP:$CP,0),20)</f>
        <v>#N/A</v>
      </c>
      <c r="X131" s="153" t="str">
        <f t="array" ref="X131">INDEX('Primary - GRADING'!$A$1:$CP997,MATCH($A131,'Primary - GRADING'!$CP:$CP,0),21)</f>
        <v>#N/A</v>
      </c>
      <c r="Y131" s="153" t="str">
        <f t="array" ref="Y131">INDEX('Primary - GRADING'!$A$1:$CP997,MATCH($A131,'Primary - GRADING'!$CP:$CP,0),22)</f>
        <v>#N/A</v>
      </c>
      <c r="Z131" s="165" t="str">
        <f t="array" ref="Z131">INDEX('Primary - GRADING'!$A$1:$CP997,MATCH($A131,'Primary - GRADING'!$CP:$CP,0),23)</f>
        <v>#N/A</v>
      </c>
      <c r="AA131" s="153" t="str">
        <f t="array" ref="AA131">INDEX('Primary - GRADING'!$A$1:$CP997,MATCH($A131,'Primary - GRADING'!$CP:$CP,0),24)</f>
        <v>#N/A</v>
      </c>
      <c r="AB131" s="153" t="str">
        <f t="array" ref="AB131">INDEX('Primary - GRADING'!$A$1:$CP997,MATCH($A131,'Primary - GRADING'!$CP:$CP,0),25)</f>
        <v>#N/A</v>
      </c>
      <c r="AC131" s="153" t="str">
        <f t="array" ref="AC131">INDEX('Primary - GRADING'!$A$1:$CP997,MATCH($A131,'Primary - GRADING'!$CP:$CP,0),46)</f>
        <v>#N/A</v>
      </c>
      <c r="AG131" s="153" t="str">
        <f t="shared" si="7"/>
        <v>#N/A</v>
      </c>
      <c r="AI131" s="153" t="str">
        <f>VLOOKUP(AH131,'Primary - GRADING'!$A$4:$C997,2,)</f>
        <v>#N/A</v>
      </c>
      <c r="AJ131" s="153" t="str">
        <f>VLOOKUP(AH131,'Primary - GRADING'!$A$4:$C997,3,)</f>
        <v>#N/A</v>
      </c>
      <c r="AK131" s="153" t="str">
        <f>VLOOKUP(AH131,'Primary - GRADING'!$A$4:$BG997,59,)</f>
        <v>#N/A</v>
      </c>
      <c r="AL131" s="153" t="str">
        <f>IFS(AK131="NMA",VLOOKUP(AH131,'Primary - GRADING'!$A$4:$BG997,51,),AK131="DIRECT",VLOOKUP(AH131,'Primary - GRADING'!$A$4:$BG997,8,),AK131="INDIRECT",VLOOKUP(AH131,'Primary - GRADING'!$A$4:$BG997,23,))</f>
        <v>#N/A</v>
      </c>
      <c r="AM131" s="153" t="str">
        <f>IFS(AK131="NMA",VLOOKUP(AH131,'Primary - GRADING'!$A$4:$BG997,52,),AK131="DIRECT",VLOOKUP(AH131,'Primary - GRADING'!$A$4:$BG997,9,),AK131="INDIRECT",VLOOKUP(AH131,'Primary - GRADING'!$A$4:$BG997,24,))</f>
        <v>#N/A</v>
      </c>
      <c r="AN131" s="153" t="str">
        <f>IFS(AK131="NMA",VLOOKUP(AH131,'Primary - GRADING'!$A$4:$BG997,53,),AK131="DIRECT",VLOOKUP(AH131,'Primary - GRADING'!$A$4:$BG997,10,),AK131="INDIRECT",VLOOKUP(AH131,'Primary - GRADING'!$A$4:$BG997,25,))</f>
        <v>#N/A</v>
      </c>
      <c r="AO131" s="153" t="str">
        <f t="shared" si="8"/>
        <v>#N/A</v>
      </c>
      <c r="AT131" s="153" t="str">
        <f t="shared" si="9"/>
        <v>#N/A</v>
      </c>
      <c r="AV131" s="153" t="str">
        <f>VLOOKUP(AU131,'Primary - GRADING'!$A$4:$C997,2,)</f>
        <v>#N/A</v>
      </c>
      <c r="AW131" s="153" t="str">
        <f>VLOOKUP(AU131,'Primary - GRADING'!$A$4:$C997,3,)</f>
        <v>#N/A</v>
      </c>
      <c r="AX131" s="153" t="str">
        <f>VLOOKUP(AU131,'Primary - GRADING'!$A$4:$BG997,59,)</f>
        <v>#N/A</v>
      </c>
      <c r="AY131" s="153" t="str">
        <f>IFS(AX131="NMA",VLOOKUP(AU131,'Primary - GRADING'!$A$4:$BG997,51,),AX131="DIRECT",VLOOKUP(AU131,'Primary - GRADING'!$A$4:$BG997,8,),AX131="INDIRECT",VLOOKUP(AU131,'Primary - GRADING'!$A$4:$BG997,23,))</f>
        <v>#N/A</v>
      </c>
      <c r="AZ131" s="153" t="str">
        <f>IFS(AX131="NMA",VLOOKUP(AU131,'Primary - GRADING'!$A$4:$BG997,52,),AX131="DIRECT",VLOOKUP(AU131,'Primary - GRADING'!$A$4:$BG997,9,),AX131="INDIRECT",VLOOKUP(AU131,'Primary - GRADING'!$A$4:$BG997,24,))</f>
        <v>#N/A</v>
      </c>
      <c r="BA131" s="153" t="str">
        <f>IFS(AX131="NMA",VLOOKUP(AU131,'Primary - GRADING'!$A$4:$BG997,53,),AX131="DIRECT",VLOOKUP(AU131,'Primary - GRADING'!$A$4:$BG997,10,),AX131="INDIRECT",VLOOKUP(AU131,'Primary - GRADING'!$A$4:$BG997,25,))</f>
        <v>#N/A</v>
      </c>
      <c r="BB131" s="153" t="str">
        <f t="shared" si="10"/>
        <v>#N/A</v>
      </c>
      <c r="BE131" s="153" t="str">
        <f t="shared" si="11"/>
        <v/>
      </c>
      <c r="BG131" s="153" t="str">
        <f t="shared" si="12"/>
        <v>#N/A</v>
      </c>
      <c r="BI131" s="153" t="str">
        <f t="shared" si="13"/>
        <v>#N/A</v>
      </c>
      <c r="BK131" s="153" t="str">
        <f t="shared" si="14"/>
        <v>#N/A</v>
      </c>
      <c r="BM131" s="153" t="str">
        <f t="shared" si="15"/>
        <v>#N/A</v>
      </c>
    </row>
    <row r="132" ht="15.75" customHeight="1">
      <c r="B132" s="160" t="str">
        <f t="shared" si="1"/>
        <v>#N/A</v>
      </c>
      <c r="C132" s="160" t="str">
        <f t="shared" si="2"/>
        <v>#N/A</v>
      </c>
      <c r="D132" s="160" t="str">
        <f t="shared" si="3"/>
        <v>#N/A</v>
      </c>
      <c r="E132" s="161" t="str">
        <f t="shared" si="4"/>
        <v>#N/A</v>
      </c>
      <c r="F132" s="153" t="str">
        <f t="shared" si="17"/>
        <v>#N/A</v>
      </c>
      <c r="G132" s="153" t="str">
        <f t="shared" si="6"/>
        <v>#N/A</v>
      </c>
      <c r="H132" s="156" t="str">
        <f t="array" ref="H132">INDEX('Primary - GRADING'!$A$1:$BG997,MATCH($A132,'Primary - GRADING'!$B:$B,0),59)</f>
        <v>#N/A</v>
      </c>
      <c r="I132" s="153" t="str">
        <f t="array" ref="I132">INDEX('Primary - GRADING'!$A$1:$CP997,MATCH($A132,'Primary - GRADING'!$CP:$CP,0),48)</f>
        <v>#N/A</v>
      </c>
      <c r="J132" s="153" t="str">
        <f t="array" ref="J132">INDEX('Primary - GRADING'!$A$1:$CP997,MATCH($A132,'Primary - GRADING'!$CP:$CP,0),49)</f>
        <v>#N/A</v>
      </c>
      <c r="K132" s="153" t="str">
        <f t="array" ref="K132">INDEX('Primary - GRADING'!$A$1:$CP997,MATCH($A132,'Primary - GRADING'!$CP:$CP,0),50)</f>
        <v>#N/A</v>
      </c>
      <c r="L132" s="153" t="str">
        <f t="array" ref="L132">INDEX('Primary - GRADING'!$A$1:$CP997,MATCH($A132,'Primary - GRADING'!$CP:$CP,0),51)</f>
        <v>#N/A</v>
      </c>
      <c r="M132" s="153" t="str">
        <f t="array" ref="M132">INDEX('Primary - GRADING'!$A$1:$CP997,MATCH($A132,'Primary - GRADING'!$CP:$CP,0),52)</f>
        <v>#N/A</v>
      </c>
      <c r="N132" s="153" t="str">
        <f t="array" ref="N132">INDEX('Primary - GRADING'!$A$1:$CP997,MATCH($A132,'Primary - GRADING'!$CP:$CP,0),53)</f>
        <v>#N/A</v>
      </c>
      <c r="O132" s="153" t="str">
        <f t="array" ref="O132">INDEX('Primary - GRADING'!$A$1:$CP997,MATCH($A132,'Primary - GRADING'!$CP:$CP,0),58)</f>
        <v>#N/A</v>
      </c>
      <c r="P132" s="153" t="str">
        <f t="array" ref="P132">INDEX('Primary - GRADING'!$A$1:$CP997,MATCH($A132,'Primary - GRADING'!$CP:$CP,0),5)</f>
        <v>#N/A</v>
      </c>
      <c r="Q132" s="153" t="str">
        <f t="array" ref="Q132">INDEX('Primary - GRADING'!$A$1:$CP997,MATCH($A132,'Primary - GRADING'!$CP:$CP,0),6)</f>
        <v>#N/A</v>
      </c>
      <c r="R132" s="153" t="str">
        <f t="array" ref="R132">INDEX('Primary - GRADING'!$A$1:$CP997,MATCH($A132,'Primary - GRADING'!$CP:$CP,0),7)</f>
        <v>#N/A</v>
      </c>
      <c r="S132" s="153" t="str">
        <f t="array" ref="S132">INDEX('Primary - GRADING'!$A$1:$CP997,MATCH($A132,'Primary - GRADING'!$CP:$CP,0),8)</f>
        <v>#N/A</v>
      </c>
      <c r="T132" s="153" t="str">
        <f t="array" ref="T132">INDEX('Primary - GRADING'!$A$1:$CP997,MATCH($A132,'Primary - GRADING'!$CP:$CP,0),9)</f>
        <v>#N/A</v>
      </c>
      <c r="U132" s="153" t="str">
        <f t="array" ref="U132">INDEX('Primary - GRADING'!$A$1:$CP997,MATCH($A132,'Primary - GRADING'!$CP:$CP,0),10)</f>
        <v>#N/A</v>
      </c>
      <c r="V132" s="153" t="str">
        <f t="array" ref="V132">INDEX('Primary - GRADING'!$A$1:$CP997,MATCH($A132,'Primary - GRADING'!$CP:$CP,0),18)</f>
        <v>#N/A</v>
      </c>
      <c r="W132" s="153" t="str">
        <f t="array" ref="W132">INDEX('Primary - GRADING'!$A$1:$CP997,MATCH($A132,'Primary - GRADING'!$CP:$CP,0),20)</f>
        <v>#N/A</v>
      </c>
      <c r="X132" s="153" t="str">
        <f t="array" ref="X132">INDEX('Primary - GRADING'!$A$1:$CP997,MATCH($A132,'Primary - GRADING'!$CP:$CP,0),21)</f>
        <v>#N/A</v>
      </c>
      <c r="Y132" s="153" t="str">
        <f t="array" ref="Y132">INDEX('Primary - GRADING'!$A$1:$CP997,MATCH($A132,'Primary - GRADING'!$CP:$CP,0),22)</f>
        <v>#N/A</v>
      </c>
      <c r="Z132" s="165" t="str">
        <f t="array" ref="Z132">INDEX('Primary - GRADING'!$A$1:$CP997,MATCH($A132,'Primary - GRADING'!$CP:$CP,0),23)</f>
        <v>#N/A</v>
      </c>
      <c r="AA132" s="153" t="str">
        <f t="array" ref="AA132">INDEX('Primary - GRADING'!$A$1:$CP997,MATCH($A132,'Primary - GRADING'!$CP:$CP,0),24)</f>
        <v>#N/A</v>
      </c>
      <c r="AB132" s="153" t="str">
        <f t="array" ref="AB132">INDEX('Primary - GRADING'!$A$1:$CP997,MATCH($A132,'Primary - GRADING'!$CP:$CP,0),25)</f>
        <v>#N/A</v>
      </c>
      <c r="AC132" s="153" t="str">
        <f t="array" ref="AC132">INDEX('Primary - GRADING'!$A$1:$CP997,MATCH($A132,'Primary - GRADING'!$CP:$CP,0),46)</f>
        <v>#N/A</v>
      </c>
      <c r="AG132" s="153" t="str">
        <f t="shared" si="7"/>
        <v>#N/A</v>
      </c>
      <c r="AI132" s="153" t="str">
        <f>VLOOKUP(AH132,'Primary - GRADING'!$A$4:$C997,2,)</f>
        <v>#N/A</v>
      </c>
      <c r="AJ132" s="153" t="str">
        <f>VLOOKUP(AH132,'Primary - GRADING'!$A$4:$C997,3,)</f>
        <v>#N/A</v>
      </c>
      <c r="AK132" s="153" t="str">
        <f>VLOOKUP(AH132,'Primary - GRADING'!$A$4:$BG997,59,)</f>
        <v>#N/A</v>
      </c>
      <c r="AL132" s="153" t="str">
        <f>IFS(AK132="NMA",VLOOKUP(AH132,'Primary - GRADING'!$A$4:$BG997,51,),AK132="DIRECT",VLOOKUP(AH132,'Primary - GRADING'!$A$4:$BG997,8,),AK132="INDIRECT",VLOOKUP(AH132,'Primary - GRADING'!$A$4:$BG997,23,))</f>
        <v>#N/A</v>
      </c>
      <c r="AM132" s="153" t="str">
        <f>IFS(AK132="NMA",VLOOKUP(AH132,'Primary - GRADING'!$A$4:$BG997,52,),AK132="DIRECT",VLOOKUP(AH132,'Primary - GRADING'!$A$4:$BG997,9,),AK132="INDIRECT",VLOOKUP(AH132,'Primary - GRADING'!$A$4:$BG997,24,))</f>
        <v>#N/A</v>
      </c>
      <c r="AN132" s="153" t="str">
        <f>IFS(AK132="NMA",VLOOKUP(AH132,'Primary - GRADING'!$A$4:$BG997,53,),AK132="DIRECT",VLOOKUP(AH132,'Primary - GRADING'!$A$4:$BG997,10,),AK132="INDIRECT",VLOOKUP(AH132,'Primary - GRADING'!$A$4:$BG997,25,))</f>
        <v>#N/A</v>
      </c>
      <c r="AO132" s="153" t="str">
        <f t="shared" si="8"/>
        <v>#N/A</v>
      </c>
      <c r="AT132" s="153" t="str">
        <f t="shared" si="9"/>
        <v>#N/A</v>
      </c>
      <c r="AV132" s="153" t="str">
        <f>VLOOKUP(AU132,'Primary - GRADING'!$A$4:$C997,2,)</f>
        <v>#N/A</v>
      </c>
      <c r="AW132" s="153" t="str">
        <f>VLOOKUP(AU132,'Primary - GRADING'!$A$4:$C997,3,)</f>
        <v>#N/A</v>
      </c>
      <c r="AX132" s="153" t="str">
        <f>VLOOKUP(AU132,'Primary - GRADING'!$A$4:$BG997,59,)</f>
        <v>#N/A</v>
      </c>
      <c r="AY132" s="153" t="str">
        <f>IFS(AX132="NMA",VLOOKUP(AU132,'Primary - GRADING'!$A$4:$BG997,51,),AX132="DIRECT",VLOOKUP(AU132,'Primary - GRADING'!$A$4:$BG997,8,),AX132="INDIRECT",VLOOKUP(AU132,'Primary - GRADING'!$A$4:$BG997,23,))</f>
        <v>#N/A</v>
      </c>
      <c r="AZ132" s="153" t="str">
        <f>IFS(AX132="NMA",VLOOKUP(AU132,'Primary - GRADING'!$A$4:$BG997,52,),AX132="DIRECT",VLOOKUP(AU132,'Primary - GRADING'!$A$4:$BG997,9,),AX132="INDIRECT",VLOOKUP(AU132,'Primary - GRADING'!$A$4:$BG997,24,))</f>
        <v>#N/A</v>
      </c>
      <c r="BA132" s="153" t="str">
        <f>IFS(AX132="NMA",VLOOKUP(AU132,'Primary - GRADING'!$A$4:$BG997,53,),AX132="DIRECT",VLOOKUP(AU132,'Primary - GRADING'!$A$4:$BG997,10,),AX132="INDIRECT",VLOOKUP(AU132,'Primary - GRADING'!$A$4:$BG997,25,))</f>
        <v>#N/A</v>
      </c>
      <c r="BB132" s="153" t="str">
        <f t="shared" si="10"/>
        <v>#N/A</v>
      </c>
      <c r="BE132" s="153" t="str">
        <f t="shared" si="11"/>
        <v/>
      </c>
      <c r="BG132" s="153" t="str">
        <f t="shared" si="12"/>
        <v>#N/A</v>
      </c>
      <c r="BI132" s="153" t="str">
        <f t="shared" si="13"/>
        <v>#N/A</v>
      </c>
      <c r="BK132" s="153" t="str">
        <f t="shared" si="14"/>
        <v>#N/A</v>
      </c>
      <c r="BM132" s="153" t="str">
        <f t="shared" si="15"/>
        <v>#N/A</v>
      </c>
    </row>
    <row r="133" ht="15.75" customHeight="1">
      <c r="B133" s="160" t="str">
        <f t="shared" si="1"/>
        <v>#N/A</v>
      </c>
      <c r="C133" s="160" t="str">
        <f t="shared" si="2"/>
        <v>#N/A</v>
      </c>
      <c r="D133" s="160" t="str">
        <f t="shared" si="3"/>
        <v>#N/A</v>
      </c>
      <c r="E133" s="161" t="str">
        <f t="shared" si="4"/>
        <v>#N/A</v>
      </c>
      <c r="F133" s="153" t="str">
        <f t="shared" si="17"/>
        <v>#N/A</v>
      </c>
      <c r="G133" s="153" t="str">
        <f t="shared" si="6"/>
        <v>#N/A</v>
      </c>
      <c r="H133" s="156" t="str">
        <f t="array" ref="H133">INDEX('Primary - GRADING'!$A$1:$BG997,MATCH($A133,'Primary - GRADING'!$B:$B,0),59)</f>
        <v>#N/A</v>
      </c>
      <c r="I133" s="153" t="str">
        <f t="array" ref="I133">INDEX('Primary - GRADING'!$A$1:$CP997,MATCH($A133,'Primary - GRADING'!$CP:$CP,0),48)</f>
        <v>#N/A</v>
      </c>
      <c r="J133" s="153" t="str">
        <f t="array" ref="J133">INDEX('Primary - GRADING'!$A$1:$CP997,MATCH($A133,'Primary - GRADING'!$CP:$CP,0),49)</f>
        <v>#N/A</v>
      </c>
      <c r="K133" s="153" t="str">
        <f t="array" ref="K133">INDEX('Primary - GRADING'!$A$1:$CP997,MATCH($A133,'Primary - GRADING'!$CP:$CP,0),50)</f>
        <v>#N/A</v>
      </c>
      <c r="L133" s="153" t="str">
        <f t="array" ref="L133">INDEX('Primary - GRADING'!$A$1:$CP997,MATCH($A133,'Primary - GRADING'!$CP:$CP,0),51)</f>
        <v>#N/A</v>
      </c>
      <c r="M133" s="153" t="str">
        <f t="array" ref="M133">INDEX('Primary - GRADING'!$A$1:$CP997,MATCH($A133,'Primary - GRADING'!$CP:$CP,0),52)</f>
        <v>#N/A</v>
      </c>
      <c r="N133" s="153" t="str">
        <f t="array" ref="N133">INDEX('Primary - GRADING'!$A$1:$CP997,MATCH($A133,'Primary - GRADING'!$CP:$CP,0),53)</f>
        <v>#N/A</v>
      </c>
      <c r="O133" s="153" t="str">
        <f t="array" ref="O133">INDEX('Primary - GRADING'!$A$1:$CP997,MATCH($A133,'Primary - GRADING'!$CP:$CP,0),58)</f>
        <v>#N/A</v>
      </c>
      <c r="P133" s="153" t="str">
        <f t="array" ref="P133">INDEX('Primary - GRADING'!$A$1:$CP997,MATCH($A133,'Primary - GRADING'!$CP:$CP,0),5)</f>
        <v>#N/A</v>
      </c>
      <c r="Q133" s="153" t="str">
        <f t="array" ref="Q133">INDEX('Primary - GRADING'!$A$1:$CP997,MATCH($A133,'Primary - GRADING'!$CP:$CP,0),6)</f>
        <v>#N/A</v>
      </c>
      <c r="R133" s="153" t="str">
        <f t="array" ref="R133">INDEX('Primary - GRADING'!$A$1:$CP997,MATCH($A133,'Primary - GRADING'!$CP:$CP,0),7)</f>
        <v>#N/A</v>
      </c>
      <c r="S133" s="153" t="str">
        <f t="array" ref="S133">INDEX('Primary - GRADING'!$A$1:$CP997,MATCH($A133,'Primary - GRADING'!$CP:$CP,0),8)</f>
        <v>#N/A</v>
      </c>
      <c r="T133" s="153" t="str">
        <f t="array" ref="T133">INDEX('Primary - GRADING'!$A$1:$CP997,MATCH($A133,'Primary - GRADING'!$CP:$CP,0),9)</f>
        <v>#N/A</v>
      </c>
      <c r="U133" s="153" t="str">
        <f t="array" ref="U133">INDEX('Primary - GRADING'!$A$1:$CP997,MATCH($A133,'Primary - GRADING'!$CP:$CP,0),10)</f>
        <v>#N/A</v>
      </c>
      <c r="V133" s="153" t="str">
        <f t="array" ref="V133">INDEX('Primary - GRADING'!$A$1:$CP997,MATCH($A133,'Primary - GRADING'!$CP:$CP,0),18)</f>
        <v>#N/A</v>
      </c>
      <c r="W133" s="153" t="str">
        <f t="array" ref="W133">INDEX('Primary - GRADING'!$A$1:$CP997,MATCH($A133,'Primary - GRADING'!$CP:$CP,0),20)</f>
        <v>#N/A</v>
      </c>
      <c r="X133" s="153" t="str">
        <f t="array" ref="X133">INDEX('Primary - GRADING'!$A$1:$CP997,MATCH($A133,'Primary - GRADING'!$CP:$CP,0),21)</f>
        <v>#N/A</v>
      </c>
      <c r="Y133" s="153" t="str">
        <f t="array" ref="Y133">INDEX('Primary - GRADING'!$A$1:$CP997,MATCH($A133,'Primary - GRADING'!$CP:$CP,0),22)</f>
        <v>#N/A</v>
      </c>
      <c r="Z133" s="165" t="str">
        <f t="array" ref="Z133">INDEX('Primary - GRADING'!$A$1:$CP997,MATCH($A133,'Primary - GRADING'!$CP:$CP,0),23)</f>
        <v>#N/A</v>
      </c>
      <c r="AA133" s="153" t="str">
        <f t="array" ref="AA133">INDEX('Primary - GRADING'!$A$1:$CP997,MATCH($A133,'Primary - GRADING'!$CP:$CP,0),24)</f>
        <v>#N/A</v>
      </c>
      <c r="AB133" s="153" t="str">
        <f t="array" ref="AB133">INDEX('Primary - GRADING'!$A$1:$CP997,MATCH($A133,'Primary - GRADING'!$CP:$CP,0),25)</f>
        <v>#N/A</v>
      </c>
      <c r="AC133" s="153" t="str">
        <f t="array" ref="AC133">INDEX('Primary - GRADING'!$A$1:$CP997,MATCH($A133,'Primary - GRADING'!$CP:$CP,0),46)</f>
        <v>#N/A</v>
      </c>
      <c r="AG133" s="153" t="str">
        <f t="shared" si="7"/>
        <v>#N/A</v>
      </c>
      <c r="AI133" s="153" t="str">
        <f>VLOOKUP(AH133,'Primary - GRADING'!$A$4:$C997,2,)</f>
        <v>#N/A</v>
      </c>
      <c r="AJ133" s="153" t="str">
        <f>VLOOKUP(AH133,'Primary - GRADING'!$A$4:$C997,3,)</f>
        <v>#N/A</v>
      </c>
      <c r="AK133" s="153" t="str">
        <f>VLOOKUP(AH133,'Primary - GRADING'!$A$4:$BG997,59,)</f>
        <v>#N/A</v>
      </c>
      <c r="AL133" s="153" t="str">
        <f>IFS(AK133="NMA",VLOOKUP(AH133,'Primary - GRADING'!$A$4:$BG997,51,),AK133="DIRECT",VLOOKUP(AH133,'Primary - GRADING'!$A$4:$BG997,8,),AK133="INDIRECT",VLOOKUP(AH133,'Primary - GRADING'!$A$4:$BG997,23,))</f>
        <v>#N/A</v>
      </c>
      <c r="AM133" s="153" t="str">
        <f>IFS(AK133="NMA",VLOOKUP(AH133,'Primary - GRADING'!$A$4:$BG997,52,),AK133="DIRECT",VLOOKUP(AH133,'Primary - GRADING'!$A$4:$BG997,9,),AK133="INDIRECT",VLOOKUP(AH133,'Primary - GRADING'!$A$4:$BG997,24,))</f>
        <v>#N/A</v>
      </c>
      <c r="AN133" s="153" t="str">
        <f>IFS(AK133="NMA",VLOOKUP(AH133,'Primary - GRADING'!$A$4:$BG997,53,),AK133="DIRECT",VLOOKUP(AH133,'Primary - GRADING'!$A$4:$BG997,10,),AK133="INDIRECT",VLOOKUP(AH133,'Primary - GRADING'!$A$4:$BG997,25,))</f>
        <v>#N/A</v>
      </c>
      <c r="AO133" s="153" t="str">
        <f t="shared" si="8"/>
        <v>#N/A</v>
      </c>
      <c r="AT133" s="153" t="str">
        <f t="shared" si="9"/>
        <v>#N/A</v>
      </c>
      <c r="AV133" s="153" t="str">
        <f>VLOOKUP(AU133,'Primary - GRADING'!$A$4:$C997,2,)</f>
        <v>#N/A</v>
      </c>
      <c r="AW133" s="153" t="str">
        <f>VLOOKUP(AU133,'Primary - GRADING'!$A$4:$C997,3,)</f>
        <v>#N/A</v>
      </c>
      <c r="AX133" s="153" t="str">
        <f>VLOOKUP(AU133,'Primary - GRADING'!$A$4:$BG997,59,)</f>
        <v>#N/A</v>
      </c>
      <c r="AY133" s="153" t="str">
        <f>IFS(AX133="NMA",VLOOKUP(AU133,'Primary - GRADING'!$A$4:$BG997,51,),AX133="DIRECT",VLOOKUP(AU133,'Primary - GRADING'!$A$4:$BG997,8,),AX133="INDIRECT",VLOOKUP(AU133,'Primary - GRADING'!$A$4:$BG997,23,))</f>
        <v>#N/A</v>
      </c>
      <c r="AZ133" s="153" t="str">
        <f>IFS(AX133="NMA",VLOOKUP(AU133,'Primary - GRADING'!$A$4:$BG997,52,),AX133="DIRECT",VLOOKUP(AU133,'Primary - GRADING'!$A$4:$BG997,9,),AX133="INDIRECT",VLOOKUP(AU133,'Primary - GRADING'!$A$4:$BG997,24,))</f>
        <v>#N/A</v>
      </c>
      <c r="BA133" s="153" t="str">
        <f>IFS(AX133="NMA",VLOOKUP(AU133,'Primary - GRADING'!$A$4:$BG997,53,),AX133="DIRECT",VLOOKUP(AU133,'Primary - GRADING'!$A$4:$BG997,10,),AX133="INDIRECT",VLOOKUP(AU133,'Primary - GRADING'!$A$4:$BG997,25,))</f>
        <v>#N/A</v>
      </c>
      <c r="BB133" s="153" t="str">
        <f t="shared" si="10"/>
        <v>#N/A</v>
      </c>
      <c r="BE133" s="153" t="str">
        <f t="shared" si="11"/>
        <v/>
      </c>
      <c r="BG133" s="153" t="str">
        <f t="shared" si="12"/>
        <v>#N/A</v>
      </c>
      <c r="BI133" s="153" t="str">
        <f t="shared" si="13"/>
        <v>#N/A</v>
      </c>
      <c r="BK133" s="153" t="str">
        <f t="shared" si="14"/>
        <v>#N/A</v>
      </c>
      <c r="BM133" s="153" t="str">
        <f t="shared" si="15"/>
        <v>#N/A</v>
      </c>
    </row>
    <row r="134" ht="15.75" customHeight="1">
      <c r="B134" s="160" t="str">
        <f t="shared" si="1"/>
        <v>#N/A</v>
      </c>
      <c r="C134" s="160" t="str">
        <f t="shared" si="2"/>
        <v>#N/A</v>
      </c>
      <c r="D134" s="160" t="str">
        <f t="shared" si="3"/>
        <v>#N/A</v>
      </c>
      <c r="E134" s="161" t="str">
        <f t="shared" si="4"/>
        <v>#N/A</v>
      </c>
      <c r="F134" s="153" t="str">
        <f t="shared" si="17"/>
        <v>#N/A</v>
      </c>
      <c r="G134" s="153" t="str">
        <f t="shared" si="6"/>
        <v>#N/A</v>
      </c>
      <c r="H134" s="156" t="str">
        <f t="array" ref="H134">INDEX('Primary - GRADING'!$A$1:$BG997,MATCH($A134,'Primary - GRADING'!$B:$B,0),59)</f>
        <v>#N/A</v>
      </c>
      <c r="I134" s="153" t="str">
        <f t="array" ref="I134">INDEX('Primary - GRADING'!$A$1:$CP997,MATCH($A134,'Primary - GRADING'!$CP:$CP,0),48)</f>
        <v>#N/A</v>
      </c>
      <c r="J134" s="153" t="str">
        <f t="array" ref="J134">INDEX('Primary - GRADING'!$A$1:$CP997,MATCH($A134,'Primary - GRADING'!$CP:$CP,0),49)</f>
        <v>#N/A</v>
      </c>
      <c r="K134" s="153" t="str">
        <f t="array" ref="K134">INDEX('Primary - GRADING'!$A$1:$CP997,MATCH($A134,'Primary - GRADING'!$CP:$CP,0),50)</f>
        <v>#N/A</v>
      </c>
      <c r="L134" s="153" t="str">
        <f t="array" ref="L134">INDEX('Primary - GRADING'!$A$1:$CP997,MATCH($A134,'Primary - GRADING'!$CP:$CP,0),51)</f>
        <v>#N/A</v>
      </c>
      <c r="M134" s="153" t="str">
        <f t="array" ref="M134">INDEX('Primary - GRADING'!$A$1:$CP997,MATCH($A134,'Primary - GRADING'!$CP:$CP,0),52)</f>
        <v>#N/A</v>
      </c>
      <c r="N134" s="153" t="str">
        <f t="array" ref="N134">INDEX('Primary - GRADING'!$A$1:$CP997,MATCH($A134,'Primary - GRADING'!$CP:$CP,0),53)</f>
        <v>#N/A</v>
      </c>
      <c r="O134" s="153" t="str">
        <f t="array" ref="O134">INDEX('Primary - GRADING'!$A$1:$CP997,MATCH($A134,'Primary - GRADING'!$CP:$CP,0),58)</f>
        <v>#N/A</v>
      </c>
      <c r="P134" s="153" t="str">
        <f t="array" ref="P134">INDEX('Primary - GRADING'!$A$1:$CP997,MATCH($A134,'Primary - GRADING'!$CP:$CP,0),5)</f>
        <v>#N/A</v>
      </c>
      <c r="Q134" s="153" t="str">
        <f t="array" ref="Q134">INDEX('Primary - GRADING'!$A$1:$CP997,MATCH($A134,'Primary - GRADING'!$CP:$CP,0),6)</f>
        <v>#N/A</v>
      </c>
      <c r="R134" s="153" t="str">
        <f t="array" ref="R134">INDEX('Primary - GRADING'!$A$1:$CP997,MATCH($A134,'Primary - GRADING'!$CP:$CP,0),7)</f>
        <v>#N/A</v>
      </c>
      <c r="S134" s="153" t="str">
        <f t="array" ref="S134">INDEX('Primary - GRADING'!$A$1:$CP997,MATCH($A134,'Primary - GRADING'!$CP:$CP,0),8)</f>
        <v>#N/A</v>
      </c>
      <c r="T134" s="153" t="str">
        <f t="array" ref="T134">INDEX('Primary - GRADING'!$A$1:$CP997,MATCH($A134,'Primary - GRADING'!$CP:$CP,0),9)</f>
        <v>#N/A</v>
      </c>
      <c r="U134" s="153" t="str">
        <f t="array" ref="U134">INDEX('Primary - GRADING'!$A$1:$CP997,MATCH($A134,'Primary - GRADING'!$CP:$CP,0),10)</f>
        <v>#N/A</v>
      </c>
      <c r="V134" s="153" t="str">
        <f t="array" ref="V134">INDEX('Primary - GRADING'!$A$1:$CP997,MATCH($A134,'Primary - GRADING'!$CP:$CP,0),18)</f>
        <v>#N/A</v>
      </c>
      <c r="W134" s="153" t="str">
        <f t="array" ref="W134">INDEX('Primary - GRADING'!$A$1:$CP997,MATCH($A134,'Primary - GRADING'!$CP:$CP,0),20)</f>
        <v>#N/A</v>
      </c>
      <c r="X134" s="153" t="str">
        <f t="array" ref="X134">INDEX('Primary - GRADING'!$A$1:$CP997,MATCH($A134,'Primary - GRADING'!$CP:$CP,0),21)</f>
        <v>#N/A</v>
      </c>
      <c r="Y134" s="153" t="str">
        <f t="array" ref="Y134">INDEX('Primary - GRADING'!$A$1:$CP997,MATCH($A134,'Primary - GRADING'!$CP:$CP,0),22)</f>
        <v>#N/A</v>
      </c>
      <c r="Z134" s="165" t="str">
        <f t="array" ref="Z134">INDEX('Primary - GRADING'!$A$1:$CP997,MATCH($A134,'Primary - GRADING'!$CP:$CP,0),23)</f>
        <v>#N/A</v>
      </c>
      <c r="AA134" s="153" t="str">
        <f t="array" ref="AA134">INDEX('Primary - GRADING'!$A$1:$CP997,MATCH($A134,'Primary - GRADING'!$CP:$CP,0),24)</f>
        <v>#N/A</v>
      </c>
      <c r="AB134" s="153" t="str">
        <f t="array" ref="AB134">INDEX('Primary - GRADING'!$A$1:$CP997,MATCH($A134,'Primary - GRADING'!$CP:$CP,0),25)</f>
        <v>#N/A</v>
      </c>
      <c r="AC134" s="153" t="str">
        <f t="array" ref="AC134">INDEX('Primary - GRADING'!$A$1:$CP997,MATCH($A134,'Primary - GRADING'!$CP:$CP,0),46)</f>
        <v>#N/A</v>
      </c>
      <c r="AG134" s="153" t="str">
        <f t="shared" si="7"/>
        <v>#N/A</v>
      </c>
      <c r="AI134" s="153" t="str">
        <f>VLOOKUP(AH134,'Primary - GRADING'!$A$4:$C997,2,)</f>
        <v>#N/A</v>
      </c>
      <c r="AJ134" s="153" t="str">
        <f>VLOOKUP(AH134,'Primary - GRADING'!$A$4:$C997,3,)</f>
        <v>#N/A</v>
      </c>
      <c r="AK134" s="153" t="str">
        <f>VLOOKUP(AH134,'Primary - GRADING'!$A$4:$BG997,59,)</f>
        <v>#N/A</v>
      </c>
      <c r="AL134" s="153" t="str">
        <f>IFS(AK134="NMA",VLOOKUP(AH134,'Primary - GRADING'!$A$4:$BG997,51,),AK134="DIRECT",VLOOKUP(AH134,'Primary - GRADING'!$A$4:$BG997,8,),AK134="INDIRECT",VLOOKUP(AH134,'Primary - GRADING'!$A$4:$BG997,23,))</f>
        <v>#N/A</v>
      </c>
      <c r="AM134" s="153" t="str">
        <f>IFS(AK134="NMA",VLOOKUP(AH134,'Primary - GRADING'!$A$4:$BG997,52,),AK134="DIRECT",VLOOKUP(AH134,'Primary - GRADING'!$A$4:$BG997,9,),AK134="INDIRECT",VLOOKUP(AH134,'Primary - GRADING'!$A$4:$BG997,24,))</f>
        <v>#N/A</v>
      </c>
      <c r="AN134" s="153" t="str">
        <f>IFS(AK134="NMA",VLOOKUP(AH134,'Primary - GRADING'!$A$4:$BG997,53,),AK134="DIRECT",VLOOKUP(AH134,'Primary - GRADING'!$A$4:$BG997,10,),AK134="INDIRECT",VLOOKUP(AH134,'Primary - GRADING'!$A$4:$BG997,25,))</f>
        <v>#N/A</v>
      </c>
      <c r="AO134" s="153" t="str">
        <f t="shared" si="8"/>
        <v>#N/A</v>
      </c>
      <c r="AT134" s="153" t="str">
        <f t="shared" si="9"/>
        <v>#N/A</v>
      </c>
      <c r="AV134" s="153" t="str">
        <f>VLOOKUP(AU134,'Primary - GRADING'!$A$4:$C997,2,)</f>
        <v>#N/A</v>
      </c>
      <c r="AW134" s="153" t="str">
        <f>VLOOKUP(AU134,'Primary - GRADING'!$A$4:$C997,3,)</f>
        <v>#N/A</v>
      </c>
      <c r="AX134" s="153" t="str">
        <f>VLOOKUP(AU134,'Primary - GRADING'!$A$4:$BG997,59,)</f>
        <v>#N/A</v>
      </c>
      <c r="AY134" s="153" t="str">
        <f>IFS(AX134="NMA",VLOOKUP(AU134,'Primary - GRADING'!$A$4:$BG997,51,),AX134="DIRECT",VLOOKUP(AU134,'Primary - GRADING'!$A$4:$BG997,8,),AX134="INDIRECT",VLOOKUP(AU134,'Primary - GRADING'!$A$4:$BG997,23,))</f>
        <v>#N/A</v>
      </c>
      <c r="AZ134" s="153" t="str">
        <f>IFS(AX134="NMA",VLOOKUP(AU134,'Primary - GRADING'!$A$4:$BG997,52,),AX134="DIRECT",VLOOKUP(AU134,'Primary - GRADING'!$A$4:$BG997,9,),AX134="INDIRECT",VLOOKUP(AU134,'Primary - GRADING'!$A$4:$BG997,24,))</f>
        <v>#N/A</v>
      </c>
      <c r="BA134" s="153" t="str">
        <f>IFS(AX134="NMA",VLOOKUP(AU134,'Primary - GRADING'!$A$4:$BG997,53,),AX134="DIRECT",VLOOKUP(AU134,'Primary - GRADING'!$A$4:$BG997,10,),AX134="INDIRECT",VLOOKUP(AU134,'Primary - GRADING'!$A$4:$BG997,25,))</f>
        <v>#N/A</v>
      </c>
      <c r="BB134" s="153" t="str">
        <f t="shared" si="10"/>
        <v>#N/A</v>
      </c>
      <c r="BE134" s="153" t="str">
        <f t="shared" si="11"/>
        <v/>
      </c>
      <c r="BG134" s="153" t="str">
        <f t="shared" si="12"/>
        <v>#N/A</v>
      </c>
      <c r="BI134" s="153" t="str">
        <f t="shared" si="13"/>
        <v>#N/A</v>
      </c>
      <c r="BK134" s="153" t="str">
        <f t="shared" si="14"/>
        <v>#N/A</v>
      </c>
      <c r="BM134" s="153" t="str">
        <f t="shared" si="15"/>
        <v>#N/A</v>
      </c>
    </row>
    <row r="135" ht="15.75" customHeight="1">
      <c r="B135" s="160" t="str">
        <f t="shared" si="1"/>
        <v>#N/A</v>
      </c>
      <c r="C135" s="160" t="str">
        <f t="shared" si="2"/>
        <v>#N/A</v>
      </c>
      <c r="D135" s="160" t="str">
        <f t="shared" si="3"/>
        <v>#N/A</v>
      </c>
      <c r="E135" s="161" t="str">
        <f t="shared" si="4"/>
        <v>#N/A</v>
      </c>
      <c r="F135" s="153" t="str">
        <f t="shared" si="17"/>
        <v>#N/A</v>
      </c>
      <c r="G135" s="153" t="str">
        <f t="shared" si="6"/>
        <v>#N/A</v>
      </c>
      <c r="H135" s="156" t="str">
        <f t="array" ref="H135">INDEX('Primary - GRADING'!$A$1:$BG997,MATCH($A135,'Primary - GRADING'!$B:$B,0),59)</f>
        <v>#N/A</v>
      </c>
      <c r="I135" s="153" t="str">
        <f t="array" ref="I135">INDEX('Primary - GRADING'!$A$1:$CP997,MATCH($A135,'Primary - GRADING'!$CP:$CP,0),48)</f>
        <v>#N/A</v>
      </c>
      <c r="J135" s="153" t="str">
        <f t="array" ref="J135">INDEX('Primary - GRADING'!$A$1:$CP997,MATCH($A135,'Primary - GRADING'!$CP:$CP,0),49)</f>
        <v>#N/A</v>
      </c>
      <c r="K135" s="153" t="str">
        <f t="array" ref="K135">INDEX('Primary - GRADING'!$A$1:$CP997,MATCH($A135,'Primary - GRADING'!$CP:$CP,0),50)</f>
        <v>#N/A</v>
      </c>
      <c r="L135" s="153" t="str">
        <f t="array" ref="L135">INDEX('Primary - GRADING'!$A$1:$CP997,MATCH($A135,'Primary - GRADING'!$CP:$CP,0),51)</f>
        <v>#N/A</v>
      </c>
      <c r="M135" s="153" t="str">
        <f t="array" ref="M135">INDEX('Primary - GRADING'!$A$1:$CP997,MATCH($A135,'Primary - GRADING'!$CP:$CP,0),52)</f>
        <v>#N/A</v>
      </c>
      <c r="N135" s="153" t="str">
        <f t="array" ref="N135">INDEX('Primary - GRADING'!$A$1:$CP997,MATCH($A135,'Primary - GRADING'!$CP:$CP,0),53)</f>
        <v>#N/A</v>
      </c>
      <c r="O135" s="153" t="str">
        <f t="array" ref="O135">INDEX('Primary - GRADING'!$A$1:$CP997,MATCH($A135,'Primary - GRADING'!$CP:$CP,0),58)</f>
        <v>#N/A</v>
      </c>
      <c r="P135" s="153" t="str">
        <f t="array" ref="P135">INDEX('Primary - GRADING'!$A$1:$CP997,MATCH($A135,'Primary - GRADING'!$CP:$CP,0),5)</f>
        <v>#N/A</v>
      </c>
      <c r="Q135" s="153" t="str">
        <f t="array" ref="Q135">INDEX('Primary - GRADING'!$A$1:$CP997,MATCH($A135,'Primary - GRADING'!$CP:$CP,0),6)</f>
        <v>#N/A</v>
      </c>
      <c r="R135" s="153" t="str">
        <f t="array" ref="R135">INDEX('Primary - GRADING'!$A$1:$CP997,MATCH($A135,'Primary - GRADING'!$CP:$CP,0),7)</f>
        <v>#N/A</v>
      </c>
      <c r="S135" s="153" t="str">
        <f t="array" ref="S135">INDEX('Primary - GRADING'!$A$1:$CP997,MATCH($A135,'Primary - GRADING'!$CP:$CP,0),8)</f>
        <v>#N/A</v>
      </c>
      <c r="T135" s="153" t="str">
        <f t="array" ref="T135">INDEX('Primary - GRADING'!$A$1:$CP997,MATCH($A135,'Primary - GRADING'!$CP:$CP,0),9)</f>
        <v>#N/A</v>
      </c>
      <c r="U135" s="153" t="str">
        <f t="array" ref="U135">INDEX('Primary - GRADING'!$A$1:$CP997,MATCH($A135,'Primary - GRADING'!$CP:$CP,0),10)</f>
        <v>#N/A</v>
      </c>
      <c r="V135" s="153" t="str">
        <f t="array" ref="V135">INDEX('Primary - GRADING'!$A$1:$CP997,MATCH($A135,'Primary - GRADING'!$CP:$CP,0),18)</f>
        <v>#N/A</v>
      </c>
      <c r="W135" s="153" t="str">
        <f t="array" ref="W135">INDEX('Primary - GRADING'!$A$1:$CP997,MATCH($A135,'Primary - GRADING'!$CP:$CP,0),20)</f>
        <v>#N/A</v>
      </c>
      <c r="X135" s="153" t="str">
        <f t="array" ref="X135">INDEX('Primary - GRADING'!$A$1:$CP997,MATCH($A135,'Primary - GRADING'!$CP:$CP,0),21)</f>
        <v>#N/A</v>
      </c>
      <c r="Y135" s="153" t="str">
        <f t="array" ref="Y135">INDEX('Primary - GRADING'!$A$1:$CP997,MATCH($A135,'Primary - GRADING'!$CP:$CP,0),22)</f>
        <v>#N/A</v>
      </c>
      <c r="Z135" s="165" t="str">
        <f t="array" ref="Z135">INDEX('Primary - GRADING'!$A$1:$CP997,MATCH($A135,'Primary - GRADING'!$CP:$CP,0),23)</f>
        <v>#N/A</v>
      </c>
      <c r="AA135" s="153" t="str">
        <f t="array" ref="AA135">INDEX('Primary - GRADING'!$A$1:$CP997,MATCH($A135,'Primary - GRADING'!$CP:$CP,0),24)</f>
        <v>#N/A</v>
      </c>
      <c r="AB135" s="153" t="str">
        <f t="array" ref="AB135">INDEX('Primary - GRADING'!$A$1:$CP997,MATCH($A135,'Primary - GRADING'!$CP:$CP,0),25)</f>
        <v>#N/A</v>
      </c>
      <c r="AC135" s="153" t="str">
        <f t="array" ref="AC135">INDEX('Primary - GRADING'!$A$1:$CP997,MATCH($A135,'Primary - GRADING'!$CP:$CP,0),46)</f>
        <v>#N/A</v>
      </c>
      <c r="AG135" s="153" t="str">
        <f t="shared" si="7"/>
        <v>#N/A</v>
      </c>
      <c r="AI135" s="153" t="str">
        <f>VLOOKUP(AH135,'Primary - GRADING'!$A$4:$C997,2,)</f>
        <v>#N/A</v>
      </c>
      <c r="AJ135" s="153" t="str">
        <f>VLOOKUP(AH135,'Primary - GRADING'!$A$4:$C997,3,)</f>
        <v>#N/A</v>
      </c>
      <c r="AK135" s="153" t="str">
        <f>VLOOKUP(AH135,'Primary - GRADING'!$A$4:$BG997,59,)</f>
        <v>#N/A</v>
      </c>
      <c r="AL135" s="153" t="str">
        <f>IFS(AK135="NMA",VLOOKUP(AH135,'Primary - GRADING'!$A$4:$BG997,51,),AK135="DIRECT",VLOOKUP(AH135,'Primary - GRADING'!$A$4:$BG997,8,),AK135="INDIRECT",VLOOKUP(AH135,'Primary - GRADING'!$A$4:$BG997,23,))</f>
        <v>#N/A</v>
      </c>
      <c r="AM135" s="153" t="str">
        <f>IFS(AK135="NMA",VLOOKUP(AH135,'Primary - GRADING'!$A$4:$BG997,52,),AK135="DIRECT",VLOOKUP(AH135,'Primary - GRADING'!$A$4:$BG997,9,),AK135="INDIRECT",VLOOKUP(AH135,'Primary - GRADING'!$A$4:$BG997,24,))</f>
        <v>#N/A</v>
      </c>
      <c r="AN135" s="153" t="str">
        <f>IFS(AK135="NMA",VLOOKUP(AH135,'Primary - GRADING'!$A$4:$BG997,53,),AK135="DIRECT",VLOOKUP(AH135,'Primary - GRADING'!$A$4:$BG997,10,),AK135="INDIRECT",VLOOKUP(AH135,'Primary - GRADING'!$A$4:$BG997,25,))</f>
        <v>#N/A</v>
      </c>
      <c r="AO135" s="153" t="str">
        <f t="shared" si="8"/>
        <v>#N/A</v>
      </c>
      <c r="AT135" s="153" t="str">
        <f t="shared" si="9"/>
        <v>#N/A</v>
      </c>
      <c r="AV135" s="153" t="str">
        <f>VLOOKUP(AU135,'Primary - GRADING'!$A$4:$C997,2,)</f>
        <v>#N/A</v>
      </c>
      <c r="AW135" s="153" t="str">
        <f>VLOOKUP(AU135,'Primary - GRADING'!$A$4:$C997,3,)</f>
        <v>#N/A</v>
      </c>
      <c r="AX135" s="153" t="str">
        <f>VLOOKUP(AU135,'Primary - GRADING'!$A$4:$BG997,59,)</f>
        <v>#N/A</v>
      </c>
      <c r="AY135" s="153" t="str">
        <f>IFS(AX135="NMA",VLOOKUP(AU135,'Primary - GRADING'!$A$4:$BG997,51,),AX135="DIRECT",VLOOKUP(AU135,'Primary - GRADING'!$A$4:$BG997,8,),AX135="INDIRECT",VLOOKUP(AU135,'Primary - GRADING'!$A$4:$BG997,23,))</f>
        <v>#N/A</v>
      </c>
      <c r="AZ135" s="153" t="str">
        <f>IFS(AX135="NMA",VLOOKUP(AU135,'Primary - GRADING'!$A$4:$BG997,52,),AX135="DIRECT",VLOOKUP(AU135,'Primary - GRADING'!$A$4:$BG997,9,),AX135="INDIRECT",VLOOKUP(AU135,'Primary - GRADING'!$A$4:$BG997,24,))</f>
        <v>#N/A</v>
      </c>
      <c r="BA135" s="153" t="str">
        <f>IFS(AX135="NMA",VLOOKUP(AU135,'Primary - GRADING'!$A$4:$BG997,53,),AX135="DIRECT",VLOOKUP(AU135,'Primary - GRADING'!$A$4:$BG997,10,),AX135="INDIRECT",VLOOKUP(AU135,'Primary - GRADING'!$A$4:$BG997,25,))</f>
        <v>#N/A</v>
      </c>
      <c r="BB135" s="153" t="str">
        <f t="shared" si="10"/>
        <v>#N/A</v>
      </c>
      <c r="BE135" s="153" t="str">
        <f t="shared" si="11"/>
        <v/>
      </c>
      <c r="BG135" s="153" t="str">
        <f t="shared" si="12"/>
        <v>#N/A</v>
      </c>
      <c r="BI135" s="153" t="str">
        <f t="shared" si="13"/>
        <v>#N/A</v>
      </c>
      <c r="BK135" s="153" t="str">
        <f t="shared" si="14"/>
        <v>#N/A</v>
      </c>
      <c r="BM135" s="153" t="str">
        <f t="shared" si="15"/>
        <v>#N/A</v>
      </c>
    </row>
    <row r="136" ht="15.75" customHeight="1">
      <c r="B136" s="160" t="str">
        <f t="shared" si="1"/>
        <v>#N/A</v>
      </c>
      <c r="C136" s="160" t="str">
        <f t="shared" si="2"/>
        <v>#N/A</v>
      </c>
      <c r="D136" s="160" t="str">
        <f t="shared" si="3"/>
        <v>#N/A</v>
      </c>
      <c r="E136" s="161" t="str">
        <f t="shared" si="4"/>
        <v>#N/A</v>
      </c>
      <c r="F136" s="153" t="str">
        <f t="shared" si="17"/>
        <v>#N/A</v>
      </c>
      <c r="G136" s="153" t="str">
        <f t="shared" si="6"/>
        <v>#N/A</v>
      </c>
      <c r="H136" s="156" t="str">
        <f t="array" ref="H136">INDEX('Primary - GRADING'!$A$1:$BG997,MATCH($A136,'Primary - GRADING'!$B:$B,0),59)</f>
        <v>#N/A</v>
      </c>
      <c r="I136" s="153" t="str">
        <f t="array" ref="I136">INDEX('Primary - GRADING'!$A$1:$CP997,MATCH($A136,'Primary - GRADING'!$CP:$CP,0),48)</f>
        <v>#N/A</v>
      </c>
      <c r="J136" s="153" t="str">
        <f t="array" ref="J136">INDEX('Primary - GRADING'!$A$1:$CP997,MATCH($A136,'Primary - GRADING'!$CP:$CP,0),49)</f>
        <v>#N/A</v>
      </c>
      <c r="K136" s="153" t="str">
        <f t="array" ref="K136">INDEX('Primary - GRADING'!$A$1:$CP997,MATCH($A136,'Primary - GRADING'!$CP:$CP,0),50)</f>
        <v>#N/A</v>
      </c>
      <c r="L136" s="153" t="str">
        <f t="array" ref="L136">INDEX('Primary - GRADING'!$A$1:$CP997,MATCH($A136,'Primary - GRADING'!$CP:$CP,0),51)</f>
        <v>#N/A</v>
      </c>
      <c r="M136" s="153" t="str">
        <f t="array" ref="M136">INDEX('Primary - GRADING'!$A$1:$CP997,MATCH($A136,'Primary - GRADING'!$CP:$CP,0),52)</f>
        <v>#N/A</v>
      </c>
      <c r="N136" s="153" t="str">
        <f t="array" ref="N136">INDEX('Primary - GRADING'!$A$1:$CP997,MATCH($A136,'Primary - GRADING'!$CP:$CP,0),53)</f>
        <v>#N/A</v>
      </c>
      <c r="O136" s="153" t="str">
        <f t="array" ref="O136">INDEX('Primary - GRADING'!$A$1:$CP997,MATCH($A136,'Primary - GRADING'!$CP:$CP,0),58)</f>
        <v>#N/A</v>
      </c>
      <c r="P136" s="153" t="str">
        <f t="array" ref="P136">INDEX('Primary - GRADING'!$A$1:$CP997,MATCH($A136,'Primary - GRADING'!$CP:$CP,0),5)</f>
        <v>#N/A</v>
      </c>
      <c r="Q136" s="153" t="str">
        <f t="array" ref="Q136">INDEX('Primary - GRADING'!$A$1:$CP997,MATCH($A136,'Primary - GRADING'!$CP:$CP,0),6)</f>
        <v>#N/A</v>
      </c>
      <c r="R136" s="153" t="str">
        <f t="array" ref="R136">INDEX('Primary - GRADING'!$A$1:$CP997,MATCH($A136,'Primary - GRADING'!$CP:$CP,0),7)</f>
        <v>#N/A</v>
      </c>
      <c r="S136" s="153" t="str">
        <f t="array" ref="S136">INDEX('Primary - GRADING'!$A$1:$CP997,MATCH($A136,'Primary - GRADING'!$CP:$CP,0),8)</f>
        <v>#N/A</v>
      </c>
      <c r="T136" s="153" t="str">
        <f t="array" ref="T136">INDEX('Primary - GRADING'!$A$1:$CP997,MATCH($A136,'Primary - GRADING'!$CP:$CP,0),9)</f>
        <v>#N/A</v>
      </c>
      <c r="U136" s="153" t="str">
        <f t="array" ref="U136">INDEX('Primary - GRADING'!$A$1:$CP997,MATCH($A136,'Primary - GRADING'!$CP:$CP,0),10)</f>
        <v>#N/A</v>
      </c>
      <c r="V136" s="153" t="str">
        <f t="array" ref="V136">INDEX('Primary - GRADING'!$A$1:$CP997,MATCH($A136,'Primary - GRADING'!$CP:$CP,0),18)</f>
        <v>#N/A</v>
      </c>
      <c r="W136" s="153" t="str">
        <f t="array" ref="W136">INDEX('Primary - GRADING'!$A$1:$CP997,MATCH($A136,'Primary - GRADING'!$CP:$CP,0),20)</f>
        <v>#N/A</v>
      </c>
      <c r="X136" s="153" t="str">
        <f t="array" ref="X136">INDEX('Primary - GRADING'!$A$1:$CP997,MATCH($A136,'Primary - GRADING'!$CP:$CP,0),21)</f>
        <v>#N/A</v>
      </c>
      <c r="Y136" s="153" t="str">
        <f t="array" ref="Y136">INDEX('Primary - GRADING'!$A$1:$CP997,MATCH($A136,'Primary - GRADING'!$CP:$CP,0),22)</f>
        <v>#N/A</v>
      </c>
      <c r="Z136" s="165" t="str">
        <f t="array" ref="Z136">INDEX('Primary - GRADING'!$A$1:$CP997,MATCH($A136,'Primary - GRADING'!$CP:$CP,0),23)</f>
        <v>#N/A</v>
      </c>
      <c r="AA136" s="153" t="str">
        <f t="array" ref="AA136">INDEX('Primary - GRADING'!$A$1:$CP997,MATCH($A136,'Primary - GRADING'!$CP:$CP,0),24)</f>
        <v>#N/A</v>
      </c>
      <c r="AB136" s="153" t="str">
        <f t="array" ref="AB136">INDEX('Primary - GRADING'!$A$1:$CP997,MATCH($A136,'Primary - GRADING'!$CP:$CP,0),25)</f>
        <v>#N/A</v>
      </c>
      <c r="AC136" s="153" t="str">
        <f t="array" ref="AC136">INDEX('Primary - GRADING'!$A$1:$CP997,MATCH($A136,'Primary - GRADING'!$CP:$CP,0),46)</f>
        <v>#N/A</v>
      </c>
      <c r="AG136" s="153" t="str">
        <f t="shared" si="7"/>
        <v>#N/A</v>
      </c>
      <c r="AI136" s="153" t="str">
        <f>VLOOKUP(AH136,'Primary - GRADING'!$A$4:$C997,2,)</f>
        <v>#N/A</v>
      </c>
      <c r="AJ136" s="153" t="str">
        <f>VLOOKUP(AH136,'Primary - GRADING'!$A$4:$C997,3,)</f>
        <v>#N/A</v>
      </c>
      <c r="AK136" s="153" t="str">
        <f>VLOOKUP(AH136,'Primary - GRADING'!$A$4:$BG997,59,)</f>
        <v>#N/A</v>
      </c>
      <c r="AL136" s="153" t="str">
        <f>IFS(AK136="NMA",VLOOKUP(AH136,'Primary - GRADING'!$A$4:$BG997,51,),AK136="DIRECT",VLOOKUP(AH136,'Primary - GRADING'!$A$4:$BG997,8,),AK136="INDIRECT",VLOOKUP(AH136,'Primary - GRADING'!$A$4:$BG997,23,))</f>
        <v>#N/A</v>
      </c>
      <c r="AM136" s="153" t="str">
        <f>IFS(AK136="NMA",VLOOKUP(AH136,'Primary - GRADING'!$A$4:$BG997,52,),AK136="DIRECT",VLOOKUP(AH136,'Primary - GRADING'!$A$4:$BG997,9,),AK136="INDIRECT",VLOOKUP(AH136,'Primary - GRADING'!$A$4:$BG997,24,))</f>
        <v>#N/A</v>
      </c>
      <c r="AN136" s="153" t="str">
        <f>IFS(AK136="NMA",VLOOKUP(AH136,'Primary - GRADING'!$A$4:$BG997,53,),AK136="DIRECT",VLOOKUP(AH136,'Primary - GRADING'!$A$4:$BG997,10,),AK136="INDIRECT",VLOOKUP(AH136,'Primary - GRADING'!$A$4:$BG997,25,))</f>
        <v>#N/A</v>
      </c>
      <c r="AO136" s="153" t="str">
        <f t="shared" si="8"/>
        <v>#N/A</v>
      </c>
      <c r="AT136" s="153" t="str">
        <f t="shared" si="9"/>
        <v>#N/A</v>
      </c>
      <c r="AV136" s="153" t="str">
        <f>VLOOKUP(AU136,'Primary - GRADING'!$A$4:$C997,2,)</f>
        <v>#N/A</v>
      </c>
      <c r="AW136" s="153" t="str">
        <f>VLOOKUP(AU136,'Primary - GRADING'!$A$4:$C997,3,)</f>
        <v>#N/A</v>
      </c>
      <c r="AX136" s="153" t="str">
        <f>VLOOKUP(AU136,'Primary - GRADING'!$A$4:$BG997,59,)</f>
        <v>#N/A</v>
      </c>
      <c r="AY136" s="153" t="str">
        <f>IFS(AX136="NMA",VLOOKUP(AU136,'Primary - GRADING'!$A$4:$BG997,51,),AX136="DIRECT",VLOOKUP(AU136,'Primary - GRADING'!$A$4:$BG997,8,),AX136="INDIRECT",VLOOKUP(AU136,'Primary - GRADING'!$A$4:$BG997,23,))</f>
        <v>#N/A</v>
      </c>
      <c r="AZ136" s="153" t="str">
        <f>IFS(AX136="NMA",VLOOKUP(AU136,'Primary - GRADING'!$A$4:$BG997,52,),AX136="DIRECT",VLOOKUP(AU136,'Primary - GRADING'!$A$4:$BG997,9,),AX136="INDIRECT",VLOOKUP(AU136,'Primary - GRADING'!$A$4:$BG997,24,))</f>
        <v>#N/A</v>
      </c>
      <c r="BA136" s="153" t="str">
        <f>IFS(AX136="NMA",VLOOKUP(AU136,'Primary - GRADING'!$A$4:$BG997,53,),AX136="DIRECT",VLOOKUP(AU136,'Primary - GRADING'!$A$4:$BG997,10,),AX136="INDIRECT",VLOOKUP(AU136,'Primary - GRADING'!$A$4:$BG997,25,))</f>
        <v>#N/A</v>
      </c>
      <c r="BB136" s="153" t="str">
        <f t="shared" si="10"/>
        <v>#N/A</v>
      </c>
      <c r="BE136" s="153" t="str">
        <f t="shared" si="11"/>
        <v/>
      </c>
      <c r="BG136" s="153" t="str">
        <f t="shared" si="12"/>
        <v>#N/A</v>
      </c>
      <c r="BI136" s="153" t="str">
        <f t="shared" si="13"/>
        <v>#N/A</v>
      </c>
      <c r="BK136" s="153" t="str">
        <f t="shared" si="14"/>
        <v>#N/A</v>
      </c>
      <c r="BM136" s="153" t="str">
        <f t="shared" si="15"/>
        <v>#N/A</v>
      </c>
    </row>
    <row r="137" ht="15.75" customHeight="1">
      <c r="B137" s="160" t="str">
        <f t="shared" si="1"/>
        <v>#N/A</v>
      </c>
      <c r="C137" s="160" t="str">
        <f t="shared" si="2"/>
        <v>#N/A</v>
      </c>
      <c r="D137" s="160" t="str">
        <f t="shared" si="3"/>
        <v>#N/A</v>
      </c>
      <c r="E137" s="161" t="str">
        <f t="shared" si="4"/>
        <v>#N/A</v>
      </c>
      <c r="F137" s="153" t="str">
        <f t="shared" si="17"/>
        <v>#N/A</v>
      </c>
      <c r="G137" s="153" t="str">
        <f t="shared" si="6"/>
        <v>#N/A</v>
      </c>
      <c r="H137" s="156" t="str">
        <f t="array" ref="H137">INDEX('Primary - GRADING'!$A$1:$BG997,MATCH($A137,'Primary - GRADING'!$B:$B,0),59)</f>
        <v>#N/A</v>
      </c>
      <c r="I137" s="153" t="str">
        <f t="array" ref="I137">INDEX('Primary - GRADING'!$A$1:$CP997,MATCH($A137,'Primary - GRADING'!$CP:$CP,0),48)</f>
        <v>#N/A</v>
      </c>
      <c r="J137" s="153" t="str">
        <f t="array" ref="J137">INDEX('Primary - GRADING'!$A$1:$CP997,MATCH($A137,'Primary - GRADING'!$CP:$CP,0),49)</f>
        <v>#N/A</v>
      </c>
      <c r="K137" s="153" t="str">
        <f t="array" ref="K137">INDEX('Primary - GRADING'!$A$1:$CP997,MATCH($A137,'Primary - GRADING'!$CP:$CP,0),50)</f>
        <v>#N/A</v>
      </c>
      <c r="L137" s="153" t="str">
        <f t="array" ref="L137">INDEX('Primary - GRADING'!$A$1:$CP997,MATCH($A137,'Primary - GRADING'!$CP:$CP,0),51)</f>
        <v>#N/A</v>
      </c>
      <c r="M137" s="153" t="str">
        <f t="array" ref="M137">INDEX('Primary - GRADING'!$A$1:$CP997,MATCH($A137,'Primary - GRADING'!$CP:$CP,0),52)</f>
        <v>#N/A</v>
      </c>
      <c r="N137" s="153" t="str">
        <f t="array" ref="N137">INDEX('Primary - GRADING'!$A$1:$CP997,MATCH($A137,'Primary - GRADING'!$CP:$CP,0),53)</f>
        <v>#N/A</v>
      </c>
      <c r="O137" s="153" t="str">
        <f t="array" ref="O137">INDEX('Primary - GRADING'!$A$1:$CP997,MATCH($A137,'Primary - GRADING'!$CP:$CP,0),58)</f>
        <v>#N/A</v>
      </c>
      <c r="P137" s="153" t="str">
        <f t="array" ref="P137">INDEX('Primary - GRADING'!$A$1:$CP997,MATCH($A137,'Primary - GRADING'!$CP:$CP,0),5)</f>
        <v>#N/A</v>
      </c>
      <c r="Q137" s="153" t="str">
        <f t="array" ref="Q137">INDEX('Primary - GRADING'!$A$1:$CP997,MATCH($A137,'Primary - GRADING'!$CP:$CP,0),6)</f>
        <v>#N/A</v>
      </c>
      <c r="R137" s="153" t="str">
        <f t="array" ref="R137">INDEX('Primary - GRADING'!$A$1:$CP997,MATCH($A137,'Primary - GRADING'!$CP:$CP,0),7)</f>
        <v>#N/A</v>
      </c>
      <c r="S137" s="153" t="str">
        <f t="array" ref="S137">INDEX('Primary - GRADING'!$A$1:$CP997,MATCH($A137,'Primary - GRADING'!$CP:$CP,0),8)</f>
        <v>#N/A</v>
      </c>
      <c r="T137" s="153" t="str">
        <f t="array" ref="T137">INDEX('Primary - GRADING'!$A$1:$CP997,MATCH($A137,'Primary - GRADING'!$CP:$CP,0),9)</f>
        <v>#N/A</v>
      </c>
      <c r="U137" s="153" t="str">
        <f t="array" ref="U137">INDEX('Primary - GRADING'!$A$1:$CP997,MATCH($A137,'Primary - GRADING'!$CP:$CP,0),10)</f>
        <v>#N/A</v>
      </c>
      <c r="V137" s="153" t="str">
        <f t="array" ref="V137">INDEX('Primary - GRADING'!$A$1:$CP997,MATCH($A137,'Primary - GRADING'!$CP:$CP,0),18)</f>
        <v>#N/A</v>
      </c>
      <c r="W137" s="153" t="str">
        <f t="array" ref="W137">INDEX('Primary - GRADING'!$A$1:$CP997,MATCH($A137,'Primary - GRADING'!$CP:$CP,0),20)</f>
        <v>#N/A</v>
      </c>
      <c r="X137" s="153" t="str">
        <f t="array" ref="X137">INDEX('Primary - GRADING'!$A$1:$CP997,MATCH($A137,'Primary - GRADING'!$CP:$CP,0),21)</f>
        <v>#N/A</v>
      </c>
      <c r="Y137" s="153" t="str">
        <f t="array" ref="Y137">INDEX('Primary - GRADING'!$A$1:$CP997,MATCH($A137,'Primary - GRADING'!$CP:$CP,0),22)</f>
        <v>#N/A</v>
      </c>
      <c r="Z137" s="165" t="str">
        <f t="array" ref="Z137">INDEX('Primary - GRADING'!$A$1:$CP997,MATCH($A137,'Primary - GRADING'!$CP:$CP,0),23)</f>
        <v>#N/A</v>
      </c>
      <c r="AA137" s="153" t="str">
        <f t="array" ref="AA137">INDEX('Primary - GRADING'!$A$1:$CP997,MATCH($A137,'Primary - GRADING'!$CP:$CP,0),24)</f>
        <v>#N/A</v>
      </c>
      <c r="AB137" s="153" t="str">
        <f t="array" ref="AB137">INDEX('Primary - GRADING'!$A$1:$CP997,MATCH($A137,'Primary - GRADING'!$CP:$CP,0),25)</f>
        <v>#N/A</v>
      </c>
      <c r="AC137" s="153" t="str">
        <f t="array" ref="AC137">INDEX('Primary - GRADING'!$A$1:$CP997,MATCH($A137,'Primary - GRADING'!$CP:$CP,0),46)</f>
        <v>#N/A</v>
      </c>
      <c r="AG137" s="153" t="str">
        <f t="shared" si="7"/>
        <v>#N/A</v>
      </c>
      <c r="AI137" s="153" t="str">
        <f>VLOOKUP(AH137,'Primary - GRADING'!$A$4:$C997,2,)</f>
        <v>#N/A</v>
      </c>
      <c r="AJ137" s="153" t="str">
        <f>VLOOKUP(AH137,'Primary - GRADING'!$A$4:$C997,3,)</f>
        <v>#N/A</v>
      </c>
      <c r="AK137" s="153" t="str">
        <f>VLOOKUP(AH137,'Primary - GRADING'!$A$4:$BG997,59,)</f>
        <v>#N/A</v>
      </c>
      <c r="AL137" s="153" t="str">
        <f>IFS(AK137="NMA",VLOOKUP(AH137,'Primary - GRADING'!$A$4:$BG997,51,),AK137="DIRECT",VLOOKUP(AH137,'Primary - GRADING'!$A$4:$BG997,8,),AK137="INDIRECT",VLOOKUP(AH137,'Primary - GRADING'!$A$4:$BG997,23,))</f>
        <v>#N/A</v>
      </c>
      <c r="AM137" s="153" t="str">
        <f>IFS(AK137="NMA",VLOOKUP(AH137,'Primary - GRADING'!$A$4:$BG997,52,),AK137="DIRECT",VLOOKUP(AH137,'Primary - GRADING'!$A$4:$BG997,9,),AK137="INDIRECT",VLOOKUP(AH137,'Primary - GRADING'!$A$4:$BG997,24,))</f>
        <v>#N/A</v>
      </c>
      <c r="AN137" s="153" t="str">
        <f>IFS(AK137="NMA",VLOOKUP(AH137,'Primary - GRADING'!$A$4:$BG997,53,),AK137="DIRECT",VLOOKUP(AH137,'Primary - GRADING'!$A$4:$BG997,10,),AK137="INDIRECT",VLOOKUP(AH137,'Primary - GRADING'!$A$4:$BG997,25,))</f>
        <v>#N/A</v>
      </c>
      <c r="AO137" s="153" t="str">
        <f t="shared" si="8"/>
        <v>#N/A</v>
      </c>
      <c r="AT137" s="153" t="str">
        <f t="shared" si="9"/>
        <v>#N/A</v>
      </c>
      <c r="AV137" s="153" t="str">
        <f>VLOOKUP(AU137,'Primary - GRADING'!$A$4:$C997,2,)</f>
        <v>#N/A</v>
      </c>
      <c r="AW137" s="153" t="str">
        <f>VLOOKUP(AU137,'Primary - GRADING'!$A$4:$C997,3,)</f>
        <v>#N/A</v>
      </c>
      <c r="AX137" s="153" t="str">
        <f>VLOOKUP(AU137,'Primary - GRADING'!$A$4:$BG997,59,)</f>
        <v>#N/A</v>
      </c>
      <c r="AY137" s="153" t="str">
        <f>IFS(AX137="NMA",VLOOKUP(AU137,'Primary - GRADING'!$A$4:$BG997,51,),AX137="DIRECT",VLOOKUP(AU137,'Primary - GRADING'!$A$4:$BG997,8,),AX137="INDIRECT",VLOOKUP(AU137,'Primary - GRADING'!$A$4:$BG997,23,))</f>
        <v>#N/A</v>
      </c>
      <c r="AZ137" s="153" t="str">
        <f>IFS(AX137="NMA",VLOOKUP(AU137,'Primary - GRADING'!$A$4:$BG997,52,),AX137="DIRECT",VLOOKUP(AU137,'Primary - GRADING'!$A$4:$BG997,9,),AX137="INDIRECT",VLOOKUP(AU137,'Primary - GRADING'!$A$4:$BG997,24,))</f>
        <v>#N/A</v>
      </c>
      <c r="BA137" s="153" t="str">
        <f>IFS(AX137="NMA",VLOOKUP(AU137,'Primary - GRADING'!$A$4:$BG997,53,),AX137="DIRECT",VLOOKUP(AU137,'Primary - GRADING'!$A$4:$BG997,10,),AX137="INDIRECT",VLOOKUP(AU137,'Primary - GRADING'!$A$4:$BG997,25,))</f>
        <v>#N/A</v>
      </c>
      <c r="BB137" s="153" t="str">
        <f t="shared" si="10"/>
        <v>#N/A</v>
      </c>
      <c r="BE137" s="153" t="str">
        <f t="shared" si="11"/>
        <v/>
      </c>
      <c r="BG137" s="153" t="str">
        <f t="shared" si="12"/>
        <v>#N/A</v>
      </c>
      <c r="BI137" s="153" t="str">
        <f t="shared" si="13"/>
        <v>#N/A</v>
      </c>
      <c r="BK137" s="153" t="str">
        <f t="shared" si="14"/>
        <v>#N/A</v>
      </c>
      <c r="BM137" s="153" t="str">
        <f t="shared" si="15"/>
        <v>#N/A</v>
      </c>
    </row>
    <row r="138" ht="15.75" customHeight="1">
      <c r="B138" s="160" t="str">
        <f t="shared" si="1"/>
        <v>#N/A</v>
      </c>
      <c r="C138" s="160" t="str">
        <f t="shared" si="2"/>
        <v>#N/A</v>
      </c>
      <c r="D138" s="160" t="str">
        <f t="shared" si="3"/>
        <v>#N/A</v>
      </c>
      <c r="E138" s="161" t="str">
        <f t="shared" si="4"/>
        <v>#N/A</v>
      </c>
      <c r="F138" s="153" t="str">
        <f t="shared" si="17"/>
        <v>#N/A</v>
      </c>
      <c r="G138" s="153" t="str">
        <f t="shared" si="6"/>
        <v>#N/A</v>
      </c>
      <c r="H138" s="156" t="str">
        <f t="array" ref="H138">INDEX('Primary - GRADING'!$A$1:$BG997,MATCH($A138,'Primary - GRADING'!$B:$B,0),59)</f>
        <v>#N/A</v>
      </c>
      <c r="I138" s="153" t="str">
        <f t="array" ref="I138">INDEX('Primary - GRADING'!$A$1:$CP997,MATCH($A138,'Primary - GRADING'!$CP:$CP,0),48)</f>
        <v>#N/A</v>
      </c>
      <c r="J138" s="153" t="str">
        <f t="array" ref="J138">INDEX('Primary - GRADING'!$A$1:$CP997,MATCH($A138,'Primary - GRADING'!$CP:$CP,0),49)</f>
        <v>#N/A</v>
      </c>
      <c r="K138" s="153" t="str">
        <f t="array" ref="K138">INDEX('Primary - GRADING'!$A$1:$CP997,MATCH($A138,'Primary - GRADING'!$CP:$CP,0),50)</f>
        <v>#N/A</v>
      </c>
      <c r="L138" s="153" t="str">
        <f t="array" ref="L138">INDEX('Primary - GRADING'!$A$1:$CP997,MATCH($A138,'Primary - GRADING'!$CP:$CP,0),51)</f>
        <v>#N/A</v>
      </c>
      <c r="M138" s="153" t="str">
        <f t="array" ref="M138">INDEX('Primary - GRADING'!$A$1:$CP997,MATCH($A138,'Primary - GRADING'!$CP:$CP,0),52)</f>
        <v>#N/A</v>
      </c>
      <c r="N138" s="153" t="str">
        <f t="array" ref="N138">INDEX('Primary - GRADING'!$A$1:$CP997,MATCH($A138,'Primary - GRADING'!$CP:$CP,0),53)</f>
        <v>#N/A</v>
      </c>
      <c r="O138" s="153" t="str">
        <f t="array" ref="O138">INDEX('Primary - GRADING'!$A$1:$CP997,MATCH($A138,'Primary - GRADING'!$CP:$CP,0),58)</f>
        <v>#N/A</v>
      </c>
      <c r="P138" s="153" t="str">
        <f t="array" ref="P138">INDEX('Primary - GRADING'!$A$1:$CP997,MATCH($A138,'Primary - GRADING'!$CP:$CP,0),5)</f>
        <v>#N/A</v>
      </c>
      <c r="Q138" s="153" t="str">
        <f t="array" ref="Q138">INDEX('Primary - GRADING'!$A$1:$CP997,MATCH($A138,'Primary - GRADING'!$CP:$CP,0),6)</f>
        <v>#N/A</v>
      </c>
      <c r="R138" s="153" t="str">
        <f t="array" ref="R138">INDEX('Primary - GRADING'!$A$1:$CP997,MATCH($A138,'Primary - GRADING'!$CP:$CP,0),7)</f>
        <v>#N/A</v>
      </c>
      <c r="S138" s="153" t="str">
        <f t="array" ref="S138">INDEX('Primary - GRADING'!$A$1:$CP997,MATCH($A138,'Primary - GRADING'!$CP:$CP,0),8)</f>
        <v>#N/A</v>
      </c>
      <c r="T138" s="153" t="str">
        <f t="array" ref="T138">INDEX('Primary - GRADING'!$A$1:$CP997,MATCH($A138,'Primary - GRADING'!$CP:$CP,0),9)</f>
        <v>#N/A</v>
      </c>
      <c r="U138" s="153" t="str">
        <f t="array" ref="U138">INDEX('Primary - GRADING'!$A$1:$CP997,MATCH($A138,'Primary - GRADING'!$CP:$CP,0),10)</f>
        <v>#N/A</v>
      </c>
      <c r="V138" s="153" t="str">
        <f t="array" ref="V138">INDEX('Primary - GRADING'!$A$1:$CP997,MATCH($A138,'Primary - GRADING'!$CP:$CP,0),18)</f>
        <v>#N/A</v>
      </c>
      <c r="W138" s="153" t="str">
        <f t="array" ref="W138">INDEX('Primary - GRADING'!$A$1:$CP997,MATCH($A138,'Primary - GRADING'!$CP:$CP,0),20)</f>
        <v>#N/A</v>
      </c>
      <c r="X138" s="153" t="str">
        <f t="array" ref="X138">INDEX('Primary - GRADING'!$A$1:$CP997,MATCH($A138,'Primary - GRADING'!$CP:$CP,0),21)</f>
        <v>#N/A</v>
      </c>
      <c r="Y138" s="153" t="str">
        <f t="array" ref="Y138">INDEX('Primary - GRADING'!$A$1:$CP997,MATCH($A138,'Primary - GRADING'!$CP:$CP,0),22)</f>
        <v>#N/A</v>
      </c>
      <c r="Z138" s="165" t="str">
        <f t="array" ref="Z138">INDEX('Primary - GRADING'!$A$1:$CP997,MATCH($A138,'Primary - GRADING'!$CP:$CP,0),23)</f>
        <v>#N/A</v>
      </c>
      <c r="AA138" s="153" t="str">
        <f t="array" ref="AA138">INDEX('Primary - GRADING'!$A$1:$CP997,MATCH($A138,'Primary - GRADING'!$CP:$CP,0),24)</f>
        <v>#N/A</v>
      </c>
      <c r="AB138" s="153" t="str">
        <f t="array" ref="AB138">INDEX('Primary - GRADING'!$A$1:$CP997,MATCH($A138,'Primary - GRADING'!$CP:$CP,0),25)</f>
        <v>#N/A</v>
      </c>
      <c r="AC138" s="153" t="str">
        <f t="array" ref="AC138">INDEX('Primary - GRADING'!$A$1:$CP997,MATCH($A138,'Primary - GRADING'!$CP:$CP,0),46)</f>
        <v>#N/A</v>
      </c>
      <c r="AG138" s="153" t="str">
        <f t="shared" si="7"/>
        <v>#N/A</v>
      </c>
      <c r="AI138" s="153" t="str">
        <f>VLOOKUP(AH138,'Primary - GRADING'!$A$4:$C997,2,)</f>
        <v>#N/A</v>
      </c>
      <c r="AJ138" s="153" t="str">
        <f>VLOOKUP(AH138,'Primary - GRADING'!$A$4:$C997,3,)</f>
        <v>#N/A</v>
      </c>
      <c r="AK138" s="153" t="str">
        <f>VLOOKUP(AH138,'Primary - GRADING'!$A$4:$BG997,59,)</f>
        <v>#N/A</v>
      </c>
      <c r="AL138" s="153" t="str">
        <f>IFS(AK138="NMA",VLOOKUP(AH138,'Primary - GRADING'!$A$4:$BG997,51,),AK138="DIRECT",VLOOKUP(AH138,'Primary - GRADING'!$A$4:$BG997,8,),AK138="INDIRECT",VLOOKUP(AH138,'Primary - GRADING'!$A$4:$BG997,23,))</f>
        <v>#N/A</v>
      </c>
      <c r="AM138" s="153" t="str">
        <f>IFS(AK138="NMA",VLOOKUP(AH138,'Primary - GRADING'!$A$4:$BG997,52,),AK138="DIRECT",VLOOKUP(AH138,'Primary - GRADING'!$A$4:$BG997,9,),AK138="INDIRECT",VLOOKUP(AH138,'Primary - GRADING'!$A$4:$BG997,24,))</f>
        <v>#N/A</v>
      </c>
      <c r="AN138" s="153" t="str">
        <f>IFS(AK138="NMA",VLOOKUP(AH138,'Primary - GRADING'!$A$4:$BG997,53,),AK138="DIRECT",VLOOKUP(AH138,'Primary - GRADING'!$A$4:$BG997,10,),AK138="INDIRECT",VLOOKUP(AH138,'Primary - GRADING'!$A$4:$BG997,25,))</f>
        <v>#N/A</v>
      </c>
      <c r="AO138" s="153" t="str">
        <f t="shared" si="8"/>
        <v>#N/A</v>
      </c>
      <c r="AT138" s="153" t="str">
        <f t="shared" si="9"/>
        <v>#N/A</v>
      </c>
      <c r="AV138" s="153" t="str">
        <f>VLOOKUP(AU138,'Primary - GRADING'!$A$4:$C997,2,)</f>
        <v>#N/A</v>
      </c>
      <c r="AW138" s="153" t="str">
        <f>VLOOKUP(AU138,'Primary - GRADING'!$A$4:$C997,3,)</f>
        <v>#N/A</v>
      </c>
      <c r="AX138" s="153" t="str">
        <f>VLOOKUP(AU138,'Primary - GRADING'!$A$4:$BG997,59,)</f>
        <v>#N/A</v>
      </c>
      <c r="AY138" s="153" t="str">
        <f>IFS(AX138="NMA",VLOOKUP(AU138,'Primary - GRADING'!$A$4:$BG997,51,),AX138="DIRECT",VLOOKUP(AU138,'Primary - GRADING'!$A$4:$BG997,8,),AX138="INDIRECT",VLOOKUP(AU138,'Primary - GRADING'!$A$4:$BG997,23,))</f>
        <v>#N/A</v>
      </c>
      <c r="AZ138" s="153" t="str">
        <f>IFS(AX138="NMA",VLOOKUP(AU138,'Primary - GRADING'!$A$4:$BG997,52,),AX138="DIRECT",VLOOKUP(AU138,'Primary - GRADING'!$A$4:$BG997,9,),AX138="INDIRECT",VLOOKUP(AU138,'Primary - GRADING'!$A$4:$BG997,24,))</f>
        <v>#N/A</v>
      </c>
      <c r="BA138" s="153" t="str">
        <f>IFS(AX138="NMA",VLOOKUP(AU138,'Primary - GRADING'!$A$4:$BG997,53,),AX138="DIRECT",VLOOKUP(AU138,'Primary - GRADING'!$A$4:$BG997,10,),AX138="INDIRECT",VLOOKUP(AU138,'Primary - GRADING'!$A$4:$BG997,25,))</f>
        <v>#N/A</v>
      </c>
      <c r="BB138" s="153" t="str">
        <f t="shared" si="10"/>
        <v>#N/A</v>
      </c>
      <c r="BE138" s="153" t="str">
        <f t="shared" si="11"/>
        <v/>
      </c>
      <c r="BG138" s="153" t="str">
        <f t="shared" si="12"/>
        <v>#N/A</v>
      </c>
      <c r="BI138" s="153" t="str">
        <f t="shared" si="13"/>
        <v>#N/A</v>
      </c>
      <c r="BK138" s="153" t="str">
        <f t="shared" si="14"/>
        <v>#N/A</v>
      </c>
      <c r="BM138" s="153" t="str">
        <f t="shared" si="15"/>
        <v>#N/A</v>
      </c>
    </row>
    <row r="139" ht="15.75" customHeight="1">
      <c r="B139" s="160" t="str">
        <f t="shared" si="1"/>
        <v>#N/A</v>
      </c>
      <c r="C139" s="160" t="str">
        <f t="shared" si="2"/>
        <v>#N/A</v>
      </c>
      <c r="D139" s="160" t="str">
        <f t="shared" si="3"/>
        <v>#N/A</v>
      </c>
      <c r="E139" s="161" t="str">
        <f t="shared" si="4"/>
        <v>#N/A</v>
      </c>
      <c r="F139" s="153" t="str">
        <f t="shared" si="17"/>
        <v>#N/A</v>
      </c>
      <c r="G139" s="153" t="str">
        <f t="shared" si="6"/>
        <v>#N/A</v>
      </c>
      <c r="H139" s="156" t="str">
        <f t="array" ref="H139">INDEX('Primary - GRADING'!$A$1:$BG997,MATCH($A139,'Primary - GRADING'!$B:$B,0),59)</f>
        <v>#N/A</v>
      </c>
      <c r="I139" s="153" t="str">
        <f t="array" ref="I139">INDEX('Primary - GRADING'!$A$1:$CP997,MATCH($A139,'Primary - GRADING'!$CP:$CP,0),48)</f>
        <v>#N/A</v>
      </c>
      <c r="J139" s="153" t="str">
        <f t="array" ref="J139">INDEX('Primary - GRADING'!$A$1:$CP997,MATCH($A139,'Primary - GRADING'!$CP:$CP,0),49)</f>
        <v>#N/A</v>
      </c>
      <c r="K139" s="153" t="str">
        <f t="array" ref="K139">INDEX('Primary - GRADING'!$A$1:$CP997,MATCH($A139,'Primary - GRADING'!$CP:$CP,0),50)</f>
        <v>#N/A</v>
      </c>
      <c r="L139" s="153" t="str">
        <f t="array" ref="L139">INDEX('Primary - GRADING'!$A$1:$CP997,MATCH($A139,'Primary - GRADING'!$CP:$CP,0),51)</f>
        <v>#N/A</v>
      </c>
      <c r="M139" s="153" t="str">
        <f t="array" ref="M139">INDEX('Primary - GRADING'!$A$1:$CP997,MATCH($A139,'Primary - GRADING'!$CP:$CP,0),52)</f>
        <v>#N/A</v>
      </c>
      <c r="N139" s="153" t="str">
        <f t="array" ref="N139">INDEX('Primary - GRADING'!$A$1:$CP997,MATCH($A139,'Primary - GRADING'!$CP:$CP,0),53)</f>
        <v>#N/A</v>
      </c>
      <c r="O139" s="153" t="str">
        <f t="array" ref="O139">INDEX('Primary - GRADING'!$A$1:$CP997,MATCH($A139,'Primary - GRADING'!$CP:$CP,0),58)</f>
        <v>#N/A</v>
      </c>
      <c r="P139" s="153" t="str">
        <f t="array" ref="P139">INDEX('Primary - GRADING'!$A$1:$CP997,MATCH($A139,'Primary - GRADING'!$CP:$CP,0),5)</f>
        <v>#N/A</v>
      </c>
      <c r="Q139" s="153" t="str">
        <f t="array" ref="Q139">INDEX('Primary - GRADING'!$A$1:$CP997,MATCH($A139,'Primary - GRADING'!$CP:$CP,0),6)</f>
        <v>#N/A</v>
      </c>
      <c r="R139" s="153" t="str">
        <f t="array" ref="R139">INDEX('Primary - GRADING'!$A$1:$CP997,MATCH($A139,'Primary - GRADING'!$CP:$CP,0),7)</f>
        <v>#N/A</v>
      </c>
      <c r="S139" s="153" t="str">
        <f t="array" ref="S139">INDEX('Primary - GRADING'!$A$1:$CP997,MATCH($A139,'Primary - GRADING'!$CP:$CP,0),8)</f>
        <v>#N/A</v>
      </c>
      <c r="T139" s="153" t="str">
        <f t="array" ref="T139">INDEX('Primary - GRADING'!$A$1:$CP997,MATCH($A139,'Primary - GRADING'!$CP:$CP,0),9)</f>
        <v>#N/A</v>
      </c>
      <c r="U139" s="153" t="str">
        <f t="array" ref="U139">INDEX('Primary - GRADING'!$A$1:$CP997,MATCH($A139,'Primary - GRADING'!$CP:$CP,0),10)</f>
        <v>#N/A</v>
      </c>
      <c r="V139" s="153" t="str">
        <f t="array" ref="V139">INDEX('Primary - GRADING'!$A$1:$CP997,MATCH($A139,'Primary - GRADING'!$CP:$CP,0),18)</f>
        <v>#N/A</v>
      </c>
      <c r="W139" s="153" t="str">
        <f t="array" ref="W139">INDEX('Primary - GRADING'!$A$1:$CP997,MATCH($A139,'Primary - GRADING'!$CP:$CP,0),20)</f>
        <v>#N/A</v>
      </c>
      <c r="X139" s="153" t="str">
        <f t="array" ref="X139">INDEX('Primary - GRADING'!$A$1:$CP997,MATCH($A139,'Primary - GRADING'!$CP:$CP,0),21)</f>
        <v>#N/A</v>
      </c>
      <c r="Y139" s="153" t="str">
        <f t="array" ref="Y139">INDEX('Primary - GRADING'!$A$1:$CP997,MATCH($A139,'Primary - GRADING'!$CP:$CP,0),22)</f>
        <v>#N/A</v>
      </c>
      <c r="Z139" s="165" t="str">
        <f t="array" ref="Z139">INDEX('Primary - GRADING'!$A$1:$CP997,MATCH($A139,'Primary - GRADING'!$CP:$CP,0),23)</f>
        <v>#N/A</v>
      </c>
      <c r="AA139" s="153" t="str">
        <f t="array" ref="AA139">INDEX('Primary - GRADING'!$A$1:$CP997,MATCH($A139,'Primary - GRADING'!$CP:$CP,0),24)</f>
        <v>#N/A</v>
      </c>
      <c r="AB139" s="153" t="str">
        <f t="array" ref="AB139">INDEX('Primary - GRADING'!$A$1:$CP997,MATCH($A139,'Primary - GRADING'!$CP:$CP,0),25)</f>
        <v>#N/A</v>
      </c>
      <c r="AC139" s="153" t="str">
        <f t="array" ref="AC139">INDEX('Primary - GRADING'!$A$1:$CP997,MATCH($A139,'Primary - GRADING'!$CP:$CP,0),46)</f>
        <v>#N/A</v>
      </c>
      <c r="AG139" s="153" t="str">
        <f t="shared" si="7"/>
        <v>#N/A</v>
      </c>
      <c r="AI139" s="153" t="str">
        <f>VLOOKUP(AH139,'Primary - GRADING'!$A$4:$C997,2,)</f>
        <v>#N/A</v>
      </c>
      <c r="AJ139" s="153" t="str">
        <f>VLOOKUP(AH139,'Primary - GRADING'!$A$4:$C997,3,)</f>
        <v>#N/A</v>
      </c>
      <c r="AK139" s="153" t="str">
        <f>VLOOKUP(AH139,'Primary - GRADING'!$A$4:$BG997,59,)</f>
        <v>#N/A</v>
      </c>
      <c r="AL139" s="153" t="str">
        <f>IFS(AK139="NMA",VLOOKUP(AH139,'Primary - GRADING'!$A$4:$BG997,51,),AK139="DIRECT",VLOOKUP(AH139,'Primary - GRADING'!$A$4:$BG997,8,),AK139="INDIRECT",VLOOKUP(AH139,'Primary - GRADING'!$A$4:$BG997,23,))</f>
        <v>#N/A</v>
      </c>
      <c r="AM139" s="153" t="str">
        <f>IFS(AK139="NMA",VLOOKUP(AH139,'Primary - GRADING'!$A$4:$BG997,52,),AK139="DIRECT",VLOOKUP(AH139,'Primary - GRADING'!$A$4:$BG997,9,),AK139="INDIRECT",VLOOKUP(AH139,'Primary - GRADING'!$A$4:$BG997,24,))</f>
        <v>#N/A</v>
      </c>
      <c r="AN139" s="153" t="str">
        <f>IFS(AK139="NMA",VLOOKUP(AH139,'Primary - GRADING'!$A$4:$BG997,53,),AK139="DIRECT",VLOOKUP(AH139,'Primary - GRADING'!$A$4:$BG997,10,),AK139="INDIRECT",VLOOKUP(AH139,'Primary - GRADING'!$A$4:$BG997,25,))</f>
        <v>#N/A</v>
      </c>
      <c r="AO139" s="153" t="str">
        <f t="shared" si="8"/>
        <v>#N/A</v>
      </c>
      <c r="AT139" s="153" t="str">
        <f t="shared" si="9"/>
        <v>#N/A</v>
      </c>
      <c r="AV139" s="153" t="str">
        <f>VLOOKUP(AU139,'Primary - GRADING'!$A$4:$C997,2,)</f>
        <v>#N/A</v>
      </c>
      <c r="AW139" s="153" t="str">
        <f>VLOOKUP(AU139,'Primary - GRADING'!$A$4:$C997,3,)</f>
        <v>#N/A</v>
      </c>
      <c r="AX139" s="153" t="str">
        <f>VLOOKUP(AU139,'Primary - GRADING'!$A$4:$BG997,59,)</f>
        <v>#N/A</v>
      </c>
      <c r="AY139" s="153" t="str">
        <f>IFS(AX139="NMA",VLOOKUP(AU139,'Primary - GRADING'!$A$4:$BG997,51,),AX139="DIRECT",VLOOKUP(AU139,'Primary - GRADING'!$A$4:$BG997,8,),AX139="INDIRECT",VLOOKUP(AU139,'Primary - GRADING'!$A$4:$BG997,23,))</f>
        <v>#N/A</v>
      </c>
      <c r="AZ139" s="153" t="str">
        <f>IFS(AX139="NMA",VLOOKUP(AU139,'Primary - GRADING'!$A$4:$BG997,52,),AX139="DIRECT",VLOOKUP(AU139,'Primary - GRADING'!$A$4:$BG997,9,),AX139="INDIRECT",VLOOKUP(AU139,'Primary - GRADING'!$A$4:$BG997,24,))</f>
        <v>#N/A</v>
      </c>
      <c r="BA139" s="153" t="str">
        <f>IFS(AX139="NMA",VLOOKUP(AU139,'Primary - GRADING'!$A$4:$BG997,53,),AX139="DIRECT",VLOOKUP(AU139,'Primary - GRADING'!$A$4:$BG997,10,),AX139="INDIRECT",VLOOKUP(AU139,'Primary - GRADING'!$A$4:$BG997,25,))</f>
        <v>#N/A</v>
      </c>
      <c r="BB139" s="153" t="str">
        <f t="shared" si="10"/>
        <v>#N/A</v>
      </c>
      <c r="BE139" s="153" t="str">
        <f t="shared" si="11"/>
        <v/>
      </c>
      <c r="BG139" s="153" t="str">
        <f t="shared" si="12"/>
        <v>#N/A</v>
      </c>
      <c r="BI139" s="153" t="str">
        <f t="shared" si="13"/>
        <v>#N/A</v>
      </c>
      <c r="BK139" s="153" t="str">
        <f t="shared" si="14"/>
        <v>#N/A</v>
      </c>
      <c r="BM139" s="153" t="str">
        <f t="shared" si="15"/>
        <v>#N/A</v>
      </c>
    </row>
    <row r="140" ht="15.75" customHeight="1">
      <c r="B140" s="160" t="str">
        <f t="shared" si="1"/>
        <v>#N/A</v>
      </c>
      <c r="C140" s="160" t="str">
        <f t="shared" si="2"/>
        <v>#N/A</v>
      </c>
      <c r="D140" s="160" t="str">
        <f t="shared" si="3"/>
        <v>#N/A</v>
      </c>
      <c r="E140" s="161" t="str">
        <f t="shared" si="4"/>
        <v>#N/A</v>
      </c>
      <c r="F140" s="153" t="str">
        <f t="shared" si="17"/>
        <v>#N/A</v>
      </c>
      <c r="G140" s="153" t="str">
        <f t="shared" si="6"/>
        <v>#N/A</v>
      </c>
      <c r="H140" s="156" t="str">
        <f t="array" ref="H140">INDEX('Primary - GRADING'!$A$1:$BG997,MATCH($A140,'Primary - GRADING'!$B:$B,0),59)</f>
        <v>#N/A</v>
      </c>
      <c r="I140" s="153" t="str">
        <f t="array" ref="I140">INDEX('Primary - GRADING'!$A$1:$CP997,MATCH($A140,'Primary - GRADING'!$CP:$CP,0),48)</f>
        <v>#N/A</v>
      </c>
      <c r="J140" s="153" t="str">
        <f t="array" ref="J140">INDEX('Primary - GRADING'!$A$1:$CP997,MATCH($A140,'Primary - GRADING'!$CP:$CP,0),49)</f>
        <v>#N/A</v>
      </c>
      <c r="K140" s="153" t="str">
        <f t="array" ref="K140">INDEX('Primary - GRADING'!$A$1:$CP997,MATCH($A140,'Primary - GRADING'!$CP:$CP,0),50)</f>
        <v>#N/A</v>
      </c>
      <c r="L140" s="153" t="str">
        <f t="array" ref="L140">INDEX('Primary - GRADING'!$A$1:$CP997,MATCH($A140,'Primary - GRADING'!$CP:$CP,0),51)</f>
        <v>#N/A</v>
      </c>
      <c r="M140" s="153" t="str">
        <f t="array" ref="M140">INDEX('Primary - GRADING'!$A$1:$CP997,MATCH($A140,'Primary - GRADING'!$CP:$CP,0),52)</f>
        <v>#N/A</v>
      </c>
      <c r="N140" s="153" t="str">
        <f t="array" ref="N140">INDEX('Primary - GRADING'!$A$1:$CP997,MATCH($A140,'Primary - GRADING'!$CP:$CP,0),53)</f>
        <v>#N/A</v>
      </c>
      <c r="O140" s="153" t="str">
        <f t="array" ref="O140">INDEX('Primary - GRADING'!$A$1:$CP997,MATCH($A140,'Primary - GRADING'!$CP:$CP,0),58)</f>
        <v>#N/A</v>
      </c>
      <c r="P140" s="153" t="str">
        <f t="array" ref="P140">INDEX('Primary - GRADING'!$A$1:$CP997,MATCH($A140,'Primary - GRADING'!$CP:$CP,0),5)</f>
        <v>#N/A</v>
      </c>
      <c r="Q140" s="153" t="str">
        <f t="array" ref="Q140">INDEX('Primary - GRADING'!$A$1:$CP997,MATCH($A140,'Primary - GRADING'!$CP:$CP,0),6)</f>
        <v>#N/A</v>
      </c>
      <c r="R140" s="153" t="str">
        <f t="array" ref="R140">INDEX('Primary - GRADING'!$A$1:$CP997,MATCH($A140,'Primary - GRADING'!$CP:$CP,0),7)</f>
        <v>#N/A</v>
      </c>
      <c r="S140" s="153" t="str">
        <f t="array" ref="S140">INDEX('Primary - GRADING'!$A$1:$CP997,MATCH($A140,'Primary - GRADING'!$CP:$CP,0),8)</f>
        <v>#N/A</v>
      </c>
      <c r="T140" s="153" t="str">
        <f t="array" ref="T140">INDEX('Primary - GRADING'!$A$1:$CP997,MATCH($A140,'Primary - GRADING'!$CP:$CP,0),9)</f>
        <v>#N/A</v>
      </c>
      <c r="U140" s="153" t="str">
        <f t="array" ref="U140">INDEX('Primary - GRADING'!$A$1:$CP997,MATCH($A140,'Primary - GRADING'!$CP:$CP,0),10)</f>
        <v>#N/A</v>
      </c>
      <c r="V140" s="153" t="str">
        <f t="array" ref="V140">INDEX('Primary - GRADING'!$A$1:$CP997,MATCH($A140,'Primary - GRADING'!$CP:$CP,0),18)</f>
        <v>#N/A</v>
      </c>
      <c r="W140" s="153" t="str">
        <f t="array" ref="W140">INDEX('Primary - GRADING'!$A$1:$CP997,MATCH($A140,'Primary - GRADING'!$CP:$CP,0),20)</f>
        <v>#N/A</v>
      </c>
      <c r="X140" s="153" t="str">
        <f t="array" ref="X140">INDEX('Primary - GRADING'!$A$1:$CP997,MATCH($A140,'Primary - GRADING'!$CP:$CP,0),21)</f>
        <v>#N/A</v>
      </c>
      <c r="Y140" s="153" t="str">
        <f t="array" ref="Y140">INDEX('Primary - GRADING'!$A$1:$CP997,MATCH($A140,'Primary - GRADING'!$CP:$CP,0),22)</f>
        <v>#N/A</v>
      </c>
      <c r="Z140" s="165" t="str">
        <f t="array" ref="Z140">INDEX('Primary - GRADING'!$A$1:$CP997,MATCH($A140,'Primary - GRADING'!$CP:$CP,0),23)</f>
        <v>#N/A</v>
      </c>
      <c r="AA140" s="153" t="str">
        <f t="array" ref="AA140">INDEX('Primary - GRADING'!$A$1:$CP997,MATCH($A140,'Primary - GRADING'!$CP:$CP,0),24)</f>
        <v>#N/A</v>
      </c>
      <c r="AB140" s="153" t="str">
        <f t="array" ref="AB140">INDEX('Primary - GRADING'!$A$1:$CP997,MATCH($A140,'Primary - GRADING'!$CP:$CP,0),25)</f>
        <v>#N/A</v>
      </c>
      <c r="AC140" s="153" t="str">
        <f t="array" ref="AC140">INDEX('Primary - GRADING'!$A$1:$CP997,MATCH($A140,'Primary - GRADING'!$CP:$CP,0),46)</f>
        <v>#N/A</v>
      </c>
      <c r="AG140" s="153" t="str">
        <f t="shared" si="7"/>
        <v>#N/A</v>
      </c>
      <c r="AI140" s="153" t="str">
        <f>VLOOKUP(AH140,'Primary - GRADING'!$A$4:$C997,2,)</f>
        <v>#N/A</v>
      </c>
      <c r="AJ140" s="153" t="str">
        <f>VLOOKUP(AH140,'Primary - GRADING'!$A$4:$C997,3,)</f>
        <v>#N/A</v>
      </c>
      <c r="AK140" s="153" t="str">
        <f>VLOOKUP(AH140,'Primary - GRADING'!$A$4:$BG997,59,)</f>
        <v>#N/A</v>
      </c>
      <c r="AL140" s="153" t="str">
        <f>IFS(AK140="NMA",VLOOKUP(AH140,'Primary - GRADING'!$A$4:$BG997,51,),AK140="DIRECT",VLOOKUP(AH140,'Primary - GRADING'!$A$4:$BG997,8,),AK140="INDIRECT",VLOOKUP(AH140,'Primary - GRADING'!$A$4:$BG997,23,))</f>
        <v>#N/A</v>
      </c>
      <c r="AM140" s="153" t="str">
        <f>IFS(AK140="NMA",VLOOKUP(AH140,'Primary - GRADING'!$A$4:$BG997,52,),AK140="DIRECT",VLOOKUP(AH140,'Primary - GRADING'!$A$4:$BG997,9,),AK140="INDIRECT",VLOOKUP(AH140,'Primary - GRADING'!$A$4:$BG997,24,))</f>
        <v>#N/A</v>
      </c>
      <c r="AN140" s="153" t="str">
        <f>IFS(AK140="NMA",VLOOKUP(AH140,'Primary - GRADING'!$A$4:$BG997,53,),AK140="DIRECT",VLOOKUP(AH140,'Primary - GRADING'!$A$4:$BG997,10,),AK140="INDIRECT",VLOOKUP(AH140,'Primary - GRADING'!$A$4:$BG997,25,))</f>
        <v>#N/A</v>
      </c>
      <c r="AO140" s="153" t="str">
        <f t="shared" si="8"/>
        <v>#N/A</v>
      </c>
      <c r="AT140" s="153" t="str">
        <f t="shared" si="9"/>
        <v>#N/A</v>
      </c>
      <c r="AV140" s="153" t="str">
        <f>VLOOKUP(AU140,'Primary - GRADING'!$A$4:$C997,2,)</f>
        <v>#N/A</v>
      </c>
      <c r="AW140" s="153" t="str">
        <f>VLOOKUP(AU140,'Primary - GRADING'!$A$4:$C997,3,)</f>
        <v>#N/A</v>
      </c>
      <c r="AX140" s="153" t="str">
        <f>VLOOKUP(AU140,'Primary - GRADING'!$A$4:$BG997,59,)</f>
        <v>#N/A</v>
      </c>
      <c r="AY140" s="153" t="str">
        <f>IFS(AX140="NMA",VLOOKUP(AU140,'Primary - GRADING'!$A$4:$BG997,51,),AX140="DIRECT",VLOOKUP(AU140,'Primary - GRADING'!$A$4:$BG997,8,),AX140="INDIRECT",VLOOKUP(AU140,'Primary - GRADING'!$A$4:$BG997,23,))</f>
        <v>#N/A</v>
      </c>
      <c r="AZ140" s="153" t="str">
        <f>IFS(AX140="NMA",VLOOKUP(AU140,'Primary - GRADING'!$A$4:$BG997,52,),AX140="DIRECT",VLOOKUP(AU140,'Primary - GRADING'!$A$4:$BG997,9,),AX140="INDIRECT",VLOOKUP(AU140,'Primary - GRADING'!$A$4:$BG997,24,))</f>
        <v>#N/A</v>
      </c>
      <c r="BA140" s="153" t="str">
        <f>IFS(AX140="NMA",VLOOKUP(AU140,'Primary - GRADING'!$A$4:$BG997,53,),AX140="DIRECT",VLOOKUP(AU140,'Primary - GRADING'!$A$4:$BG997,10,),AX140="INDIRECT",VLOOKUP(AU140,'Primary - GRADING'!$A$4:$BG997,25,))</f>
        <v>#N/A</v>
      </c>
      <c r="BB140" s="153" t="str">
        <f t="shared" si="10"/>
        <v>#N/A</v>
      </c>
      <c r="BE140" s="153" t="str">
        <f t="shared" si="11"/>
        <v/>
      </c>
      <c r="BG140" s="153" t="str">
        <f t="shared" si="12"/>
        <v>#N/A</v>
      </c>
      <c r="BI140" s="153" t="str">
        <f t="shared" si="13"/>
        <v>#N/A</v>
      </c>
      <c r="BK140" s="153" t="str">
        <f t="shared" si="14"/>
        <v>#N/A</v>
      </c>
      <c r="BM140" s="153" t="str">
        <f t="shared" si="15"/>
        <v>#N/A</v>
      </c>
    </row>
    <row r="141" ht="15.75" customHeight="1">
      <c r="B141" s="160" t="str">
        <f t="shared" si="1"/>
        <v>#N/A</v>
      </c>
      <c r="C141" s="160" t="str">
        <f t="shared" si="2"/>
        <v>#N/A</v>
      </c>
      <c r="D141" s="160" t="str">
        <f t="shared" si="3"/>
        <v>#N/A</v>
      </c>
      <c r="E141" s="161" t="str">
        <f t="shared" si="4"/>
        <v>#N/A</v>
      </c>
      <c r="F141" s="153" t="str">
        <f t="shared" si="17"/>
        <v>#N/A</v>
      </c>
      <c r="G141" s="153" t="str">
        <f t="shared" si="6"/>
        <v>#N/A</v>
      </c>
      <c r="H141" s="156" t="str">
        <f t="array" ref="H141">INDEX('Primary - GRADING'!$A$1:$BG997,MATCH($A141,'Primary - GRADING'!$B:$B,0),59)</f>
        <v>#N/A</v>
      </c>
      <c r="I141" s="153" t="str">
        <f t="array" ref="I141">INDEX('Primary - GRADING'!$A$1:$CP997,MATCH($A141,'Primary - GRADING'!$CP:$CP,0),48)</f>
        <v>#N/A</v>
      </c>
      <c r="J141" s="153" t="str">
        <f t="array" ref="J141">INDEX('Primary - GRADING'!$A$1:$CP997,MATCH($A141,'Primary - GRADING'!$CP:$CP,0),49)</f>
        <v>#N/A</v>
      </c>
      <c r="K141" s="153" t="str">
        <f t="array" ref="K141">INDEX('Primary - GRADING'!$A$1:$CP997,MATCH($A141,'Primary - GRADING'!$CP:$CP,0),50)</f>
        <v>#N/A</v>
      </c>
      <c r="L141" s="153" t="str">
        <f t="array" ref="L141">INDEX('Primary - GRADING'!$A$1:$CP997,MATCH($A141,'Primary - GRADING'!$CP:$CP,0),51)</f>
        <v>#N/A</v>
      </c>
      <c r="M141" s="153" t="str">
        <f t="array" ref="M141">INDEX('Primary - GRADING'!$A$1:$CP997,MATCH($A141,'Primary - GRADING'!$CP:$CP,0),52)</f>
        <v>#N/A</v>
      </c>
      <c r="N141" s="153" t="str">
        <f t="array" ref="N141">INDEX('Primary - GRADING'!$A$1:$CP997,MATCH($A141,'Primary - GRADING'!$CP:$CP,0),53)</f>
        <v>#N/A</v>
      </c>
      <c r="O141" s="153" t="str">
        <f t="array" ref="O141">INDEX('Primary - GRADING'!$A$1:$CP997,MATCH($A141,'Primary - GRADING'!$CP:$CP,0),58)</f>
        <v>#N/A</v>
      </c>
      <c r="P141" s="153" t="str">
        <f t="array" ref="P141">INDEX('Primary - GRADING'!$A$1:$CP997,MATCH($A141,'Primary - GRADING'!$CP:$CP,0),5)</f>
        <v>#N/A</v>
      </c>
      <c r="Q141" s="153" t="str">
        <f t="array" ref="Q141">INDEX('Primary - GRADING'!$A$1:$CP997,MATCH($A141,'Primary - GRADING'!$CP:$CP,0),6)</f>
        <v>#N/A</v>
      </c>
      <c r="R141" s="153" t="str">
        <f t="array" ref="R141">INDEX('Primary - GRADING'!$A$1:$CP997,MATCH($A141,'Primary - GRADING'!$CP:$CP,0),7)</f>
        <v>#N/A</v>
      </c>
      <c r="S141" s="153" t="str">
        <f t="array" ref="S141">INDEX('Primary - GRADING'!$A$1:$CP997,MATCH($A141,'Primary - GRADING'!$CP:$CP,0),8)</f>
        <v>#N/A</v>
      </c>
      <c r="T141" s="153" t="str">
        <f t="array" ref="T141">INDEX('Primary - GRADING'!$A$1:$CP997,MATCH($A141,'Primary - GRADING'!$CP:$CP,0),9)</f>
        <v>#N/A</v>
      </c>
      <c r="U141" s="153" t="str">
        <f t="array" ref="U141">INDEX('Primary - GRADING'!$A$1:$CP997,MATCH($A141,'Primary - GRADING'!$CP:$CP,0),10)</f>
        <v>#N/A</v>
      </c>
      <c r="V141" s="153" t="str">
        <f t="array" ref="V141">INDEX('Primary - GRADING'!$A$1:$CP997,MATCH($A141,'Primary - GRADING'!$CP:$CP,0),18)</f>
        <v>#N/A</v>
      </c>
      <c r="W141" s="153" t="str">
        <f t="array" ref="W141">INDEX('Primary - GRADING'!$A$1:$CP997,MATCH($A141,'Primary - GRADING'!$CP:$CP,0),20)</f>
        <v>#N/A</v>
      </c>
      <c r="X141" s="153" t="str">
        <f t="array" ref="X141">INDEX('Primary - GRADING'!$A$1:$CP997,MATCH($A141,'Primary - GRADING'!$CP:$CP,0),21)</f>
        <v>#N/A</v>
      </c>
      <c r="Y141" s="153" t="str">
        <f t="array" ref="Y141">INDEX('Primary - GRADING'!$A$1:$CP997,MATCH($A141,'Primary - GRADING'!$CP:$CP,0),22)</f>
        <v>#N/A</v>
      </c>
      <c r="Z141" s="165" t="str">
        <f t="array" ref="Z141">INDEX('Primary - GRADING'!$A$1:$CP997,MATCH($A141,'Primary - GRADING'!$CP:$CP,0),23)</f>
        <v>#N/A</v>
      </c>
      <c r="AA141" s="153" t="str">
        <f t="array" ref="AA141">INDEX('Primary - GRADING'!$A$1:$CP997,MATCH($A141,'Primary - GRADING'!$CP:$CP,0),24)</f>
        <v>#N/A</v>
      </c>
      <c r="AB141" s="153" t="str">
        <f t="array" ref="AB141">INDEX('Primary - GRADING'!$A$1:$CP997,MATCH($A141,'Primary - GRADING'!$CP:$CP,0),25)</f>
        <v>#N/A</v>
      </c>
      <c r="AC141" s="153" t="str">
        <f t="array" ref="AC141">INDEX('Primary - GRADING'!$A$1:$CP997,MATCH($A141,'Primary - GRADING'!$CP:$CP,0),46)</f>
        <v>#N/A</v>
      </c>
      <c r="AG141" s="153" t="str">
        <f t="shared" si="7"/>
        <v>#N/A</v>
      </c>
      <c r="AI141" s="153" t="str">
        <f>VLOOKUP(AH141,'Primary - GRADING'!$A$4:$C997,2,)</f>
        <v>#N/A</v>
      </c>
      <c r="AJ141" s="153" t="str">
        <f>VLOOKUP(AH141,'Primary - GRADING'!$A$4:$C997,3,)</f>
        <v>#N/A</v>
      </c>
      <c r="AK141" s="153" t="str">
        <f>VLOOKUP(AH141,'Primary - GRADING'!$A$4:$BG997,59,)</f>
        <v>#N/A</v>
      </c>
      <c r="AL141" s="153" t="str">
        <f>IFS(AK141="NMA",VLOOKUP(AH141,'Primary - GRADING'!$A$4:$BG997,51,),AK141="DIRECT",VLOOKUP(AH141,'Primary - GRADING'!$A$4:$BG997,8,),AK141="INDIRECT",VLOOKUP(AH141,'Primary - GRADING'!$A$4:$BG997,23,))</f>
        <v>#N/A</v>
      </c>
      <c r="AM141" s="153" t="str">
        <f>IFS(AK141="NMA",VLOOKUP(AH141,'Primary - GRADING'!$A$4:$BG997,52,),AK141="DIRECT",VLOOKUP(AH141,'Primary - GRADING'!$A$4:$BG997,9,),AK141="INDIRECT",VLOOKUP(AH141,'Primary - GRADING'!$A$4:$BG997,24,))</f>
        <v>#N/A</v>
      </c>
      <c r="AN141" s="153" t="str">
        <f>IFS(AK141="NMA",VLOOKUP(AH141,'Primary - GRADING'!$A$4:$BG997,53,),AK141="DIRECT",VLOOKUP(AH141,'Primary - GRADING'!$A$4:$BG997,10,),AK141="INDIRECT",VLOOKUP(AH141,'Primary - GRADING'!$A$4:$BG997,25,))</f>
        <v>#N/A</v>
      </c>
      <c r="AO141" s="153" t="str">
        <f t="shared" si="8"/>
        <v>#N/A</v>
      </c>
      <c r="AT141" s="153" t="str">
        <f t="shared" si="9"/>
        <v>#N/A</v>
      </c>
      <c r="AV141" s="153" t="str">
        <f>VLOOKUP(AU141,'Primary - GRADING'!$A$4:$C997,2,)</f>
        <v>#N/A</v>
      </c>
      <c r="AW141" s="153" t="str">
        <f>VLOOKUP(AU141,'Primary - GRADING'!$A$4:$C997,3,)</f>
        <v>#N/A</v>
      </c>
      <c r="AX141" s="153" t="str">
        <f>VLOOKUP(AU141,'Primary - GRADING'!$A$4:$BG997,59,)</f>
        <v>#N/A</v>
      </c>
      <c r="AY141" s="153" t="str">
        <f>IFS(AX141="NMA",VLOOKUP(AU141,'Primary - GRADING'!$A$4:$BG997,51,),AX141="DIRECT",VLOOKUP(AU141,'Primary - GRADING'!$A$4:$BG997,8,),AX141="INDIRECT",VLOOKUP(AU141,'Primary - GRADING'!$A$4:$BG997,23,))</f>
        <v>#N/A</v>
      </c>
      <c r="AZ141" s="153" t="str">
        <f>IFS(AX141="NMA",VLOOKUP(AU141,'Primary - GRADING'!$A$4:$BG997,52,),AX141="DIRECT",VLOOKUP(AU141,'Primary - GRADING'!$A$4:$BG997,9,),AX141="INDIRECT",VLOOKUP(AU141,'Primary - GRADING'!$A$4:$BG997,24,))</f>
        <v>#N/A</v>
      </c>
      <c r="BA141" s="153" t="str">
        <f>IFS(AX141="NMA",VLOOKUP(AU141,'Primary - GRADING'!$A$4:$BG997,53,),AX141="DIRECT",VLOOKUP(AU141,'Primary - GRADING'!$A$4:$BG997,10,),AX141="INDIRECT",VLOOKUP(AU141,'Primary - GRADING'!$A$4:$BG997,25,))</f>
        <v>#N/A</v>
      </c>
      <c r="BB141" s="153" t="str">
        <f t="shared" si="10"/>
        <v>#N/A</v>
      </c>
      <c r="BE141" s="153" t="str">
        <f t="shared" si="11"/>
        <v/>
      </c>
      <c r="BG141" s="153" t="str">
        <f t="shared" si="12"/>
        <v>#N/A</v>
      </c>
      <c r="BI141" s="153" t="str">
        <f t="shared" si="13"/>
        <v>#N/A</v>
      </c>
      <c r="BK141" s="153" t="str">
        <f t="shared" si="14"/>
        <v>#N/A</v>
      </c>
      <c r="BM141" s="153" t="str">
        <f t="shared" si="15"/>
        <v>#N/A</v>
      </c>
    </row>
    <row r="142" ht="15.75" customHeight="1">
      <c r="B142" s="160" t="str">
        <f t="shared" si="1"/>
        <v>#N/A</v>
      </c>
      <c r="C142" s="160" t="str">
        <f t="shared" si="2"/>
        <v>#N/A</v>
      </c>
      <c r="D142" s="160" t="str">
        <f t="shared" si="3"/>
        <v>#N/A</v>
      </c>
      <c r="E142" s="161" t="str">
        <f t="shared" si="4"/>
        <v>#N/A</v>
      </c>
      <c r="F142" s="153" t="str">
        <f t="shared" si="17"/>
        <v>#N/A</v>
      </c>
      <c r="G142" s="153" t="str">
        <f t="shared" si="6"/>
        <v>#N/A</v>
      </c>
      <c r="H142" s="156" t="str">
        <f t="array" ref="H142">INDEX('Primary - GRADING'!$A$1:$BG997,MATCH($A142,'Primary - GRADING'!$B:$B,0),59)</f>
        <v>#N/A</v>
      </c>
      <c r="I142" s="153" t="str">
        <f t="array" ref="I142">INDEX('Primary - GRADING'!$A$1:$CP997,MATCH($A142,'Primary - GRADING'!$CP:$CP,0),48)</f>
        <v>#N/A</v>
      </c>
      <c r="J142" s="153" t="str">
        <f t="array" ref="J142">INDEX('Primary - GRADING'!$A$1:$CP997,MATCH($A142,'Primary - GRADING'!$CP:$CP,0),49)</f>
        <v>#N/A</v>
      </c>
      <c r="K142" s="153" t="str">
        <f t="array" ref="K142">INDEX('Primary - GRADING'!$A$1:$CP997,MATCH($A142,'Primary - GRADING'!$CP:$CP,0),50)</f>
        <v>#N/A</v>
      </c>
      <c r="L142" s="153" t="str">
        <f t="array" ref="L142">INDEX('Primary - GRADING'!$A$1:$CP997,MATCH($A142,'Primary - GRADING'!$CP:$CP,0),51)</f>
        <v>#N/A</v>
      </c>
      <c r="M142" s="153" t="str">
        <f t="array" ref="M142">INDEX('Primary - GRADING'!$A$1:$CP997,MATCH($A142,'Primary - GRADING'!$CP:$CP,0),52)</f>
        <v>#N/A</v>
      </c>
      <c r="N142" s="153" t="str">
        <f t="array" ref="N142">INDEX('Primary - GRADING'!$A$1:$CP997,MATCH($A142,'Primary - GRADING'!$CP:$CP,0),53)</f>
        <v>#N/A</v>
      </c>
      <c r="O142" s="153" t="str">
        <f t="array" ref="O142">INDEX('Primary - GRADING'!$A$1:$CP997,MATCH($A142,'Primary - GRADING'!$CP:$CP,0),58)</f>
        <v>#N/A</v>
      </c>
      <c r="P142" s="153" t="str">
        <f t="array" ref="P142">INDEX('Primary - GRADING'!$A$1:$CP997,MATCH($A142,'Primary - GRADING'!$CP:$CP,0),5)</f>
        <v>#N/A</v>
      </c>
      <c r="Q142" s="153" t="str">
        <f t="array" ref="Q142">INDEX('Primary - GRADING'!$A$1:$CP997,MATCH($A142,'Primary - GRADING'!$CP:$CP,0),6)</f>
        <v>#N/A</v>
      </c>
      <c r="R142" s="153" t="str">
        <f t="array" ref="R142">INDEX('Primary - GRADING'!$A$1:$CP997,MATCH($A142,'Primary - GRADING'!$CP:$CP,0),7)</f>
        <v>#N/A</v>
      </c>
      <c r="S142" s="153" t="str">
        <f t="array" ref="S142">INDEX('Primary - GRADING'!$A$1:$CP997,MATCH($A142,'Primary - GRADING'!$CP:$CP,0),8)</f>
        <v>#N/A</v>
      </c>
      <c r="T142" s="153" t="str">
        <f t="array" ref="T142">INDEX('Primary - GRADING'!$A$1:$CP997,MATCH($A142,'Primary - GRADING'!$CP:$CP,0),9)</f>
        <v>#N/A</v>
      </c>
      <c r="U142" s="153" t="str">
        <f t="array" ref="U142">INDEX('Primary - GRADING'!$A$1:$CP997,MATCH($A142,'Primary - GRADING'!$CP:$CP,0),10)</f>
        <v>#N/A</v>
      </c>
      <c r="V142" s="153" t="str">
        <f t="array" ref="V142">INDEX('Primary - GRADING'!$A$1:$CP997,MATCH($A142,'Primary - GRADING'!$CP:$CP,0),18)</f>
        <v>#N/A</v>
      </c>
      <c r="W142" s="153" t="str">
        <f t="array" ref="W142">INDEX('Primary - GRADING'!$A$1:$CP997,MATCH($A142,'Primary - GRADING'!$CP:$CP,0),20)</f>
        <v>#N/A</v>
      </c>
      <c r="X142" s="153" t="str">
        <f t="array" ref="X142">INDEX('Primary - GRADING'!$A$1:$CP997,MATCH($A142,'Primary - GRADING'!$CP:$CP,0),21)</f>
        <v>#N/A</v>
      </c>
      <c r="Y142" s="153" t="str">
        <f t="array" ref="Y142">INDEX('Primary - GRADING'!$A$1:$CP997,MATCH($A142,'Primary - GRADING'!$CP:$CP,0),22)</f>
        <v>#N/A</v>
      </c>
      <c r="Z142" s="165" t="str">
        <f t="array" ref="Z142">INDEX('Primary - GRADING'!$A$1:$CP997,MATCH($A142,'Primary - GRADING'!$CP:$CP,0),23)</f>
        <v>#N/A</v>
      </c>
      <c r="AA142" s="153" t="str">
        <f t="array" ref="AA142">INDEX('Primary - GRADING'!$A$1:$CP997,MATCH($A142,'Primary - GRADING'!$CP:$CP,0),24)</f>
        <v>#N/A</v>
      </c>
      <c r="AB142" s="153" t="str">
        <f t="array" ref="AB142">INDEX('Primary - GRADING'!$A$1:$CP997,MATCH($A142,'Primary - GRADING'!$CP:$CP,0),25)</f>
        <v>#N/A</v>
      </c>
      <c r="AC142" s="153" t="str">
        <f t="array" ref="AC142">INDEX('Primary - GRADING'!$A$1:$CP997,MATCH($A142,'Primary - GRADING'!$CP:$CP,0),46)</f>
        <v>#N/A</v>
      </c>
      <c r="AG142" s="153" t="str">
        <f t="shared" si="7"/>
        <v>#N/A</v>
      </c>
      <c r="AI142" s="153" t="str">
        <f>VLOOKUP(AH142,'Primary - GRADING'!$A$4:$C997,2,)</f>
        <v>#N/A</v>
      </c>
      <c r="AJ142" s="153" t="str">
        <f>VLOOKUP(AH142,'Primary - GRADING'!$A$4:$C997,3,)</f>
        <v>#N/A</v>
      </c>
      <c r="AK142" s="153" t="str">
        <f>VLOOKUP(AH142,'Primary - GRADING'!$A$4:$BG997,59,)</f>
        <v>#N/A</v>
      </c>
      <c r="AL142" s="153" t="str">
        <f>IFS(AK142="NMA",VLOOKUP(AH142,'Primary - GRADING'!$A$4:$BG997,51,),AK142="DIRECT",VLOOKUP(AH142,'Primary - GRADING'!$A$4:$BG997,8,),AK142="INDIRECT",VLOOKUP(AH142,'Primary - GRADING'!$A$4:$BG997,23,))</f>
        <v>#N/A</v>
      </c>
      <c r="AM142" s="153" t="str">
        <f>IFS(AK142="NMA",VLOOKUP(AH142,'Primary - GRADING'!$A$4:$BG997,52,),AK142="DIRECT",VLOOKUP(AH142,'Primary - GRADING'!$A$4:$BG997,9,),AK142="INDIRECT",VLOOKUP(AH142,'Primary - GRADING'!$A$4:$BG997,24,))</f>
        <v>#N/A</v>
      </c>
      <c r="AN142" s="153" t="str">
        <f>IFS(AK142="NMA",VLOOKUP(AH142,'Primary - GRADING'!$A$4:$BG997,53,),AK142="DIRECT",VLOOKUP(AH142,'Primary - GRADING'!$A$4:$BG997,10,),AK142="INDIRECT",VLOOKUP(AH142,'Primary - GRADING'!$A$4:$BG997,25,))</f>
        <v>#N/A</v>
      </c>
      <c r="AO142" s="153" t="str">
        <f t="shared" si="8"/>
        <v>#N/A</v>
      </c>
      <c r="AT142" s="153" t="str">
        <f t="shared" si="9"/>
        <v>#N/A</v>
      </c>
      <c r="AV142" s="153" t="str">
        <f>VLOOKUP(AU142,'Primary - GRADING'!$A$4:$C997,2,)</f>
        <v>#N/A</v>
      </c>
      <c r="AW142" s="153" t="str">
        <f>VLOOKUP(AU142,'Primary - GRADING'!$A$4:$C997,3,)</f>
        <v>#N/A</v>
      </c>
      <c r="AX142" s="153" t="str">
        <f>VLOOKUP(AU142,'Primary - GRADING'!$A$4:$BG997,59,)</f>
        <v>#N/A</v>
      </c>
      <c r="AY142" s="153" t="str">
        <f>IFS(AX142="NMA",VLOOKUP(AU142,'Primary - GRADING'!$A$4:$BG997,51,),AX142="DIRECT",VLOOKUP(AU142,'Primary - GRADING'!$A$4:$BG997,8,),AX142="INDIRECT",VLOOKUP(AU142,'Primary - GRADING'!$A$4:$BG997,23,))</f>
        <v>#N/A</v>
      </c>
      <c r="AZ142" s="153" t="str">
        <f>IFS(AX142="NMA",VLOOKUP(AU142,'Primary - GRADING'!$A$4:$BG997,52,),AX142="DIRECT",VLOOKUP(AU142,'Primary - GRADING'!$A$4:$BG997,9,),AX142="INDIRECT",VLOOKUP(AU142,'Primary - GRADING'!$A$4:$BG997,24,))</f>
        <v>#N/A</v>
      </c>
      <c r="BA142" s="153" t="str">
        <f>IFS(AX142="NMA",VLOOKUP(AU142,'Primary - GRADING'!$A$4:$BG997,53,),AX142="DIRECT",VLOOKUP(AU142,'Primary - GRADING'!$A$4:$BG997,10,),AX142="INDIRECT",VLOOKUP(AU142,'Primary - GRADING'!$A$4:$BG997,25,))</f>
        <v>#N/A</v>
      </c>
      <c r="BB142" s="153" t="str">
        <f t="shared" si="10"/>
        <v>#N/A</v>
      </c>
      <c r="BE142" s="153" t="str">
        <f t="shared" si="11"/>
        <v/>
      </c>
      <c r="BG142" s="153" t="str">
        <f t="shared" si="12"/>
        <v>#N/A</v>
      </c>
      <c r="BI142" s="153" t="str">
        <f t="shared" si="13"/>
        <v>#N/A</v>
      </c>
      <c r="BK142" s="153" t="str">
        <f t="shared" si="14"/>
        <v>#N/A</v>
      </c>
      <c r="BM142" s="153" t="str">
        <f t="shared" si="15"/>
        <v>#N/A</v>
      </c>
    </row>
    <row r="143" ht="15.75" customHeight="1">
      <c r="B143" s="160" t="str">
        <f t="shared" si="1"/>
        <v>#N/A</v>
      </c>
      <c r="C143" s="160" t="str">
        <f t="shared" si="2"/>
        <v>#N/A</v>
      </c>
      <c r="D143" s="160" t="str">
        <f t="shared" si="3"/>
        <v>#N/A</v>
      </c>
      <c r="E143" s="161" t="str">
        <f t="shared" si="4"/>
        <v>#N/A</v>
      </c>
      <c r="F143" s="153" t="str">
        <f t="shared" si="17"/>
        <v>#N/A</v>
      </c>
      <c r="G143" s="153" t="str">
        <f t="shared" si="6"/>
        <v>#N/A</v>
      </c>
      <c r="H143" s="156" t="str">
        <f t="array" ref="H143">INDEX('Primary - GRADING'!$A$1:$BG997,MATCH($A143,'Primary - GRADING'!$B:$B,0),59)</f>
        <v>#N/A</v>
      </c>
      <c r="I143" s="153" t="str">
        <f t="array" ref="I143">INDEX('Primary - GRADING'!$A$1:$CP997,MATCH($A143,'Primary - GRADING'!$CP:$CP,0),48)</f>
        <v>#N/A</v>
      </c>
      <c r="J143" s="153" t="str">
        <f t="array" ref="J143">INDEX('Primary - GRADING'!$A$1:$CP997,MATCH($A143,'Primary - GRADING'!$CP:$CP,0),49)</f>
        <v>#N/A</v>
      </c>
      <c r="K143" s="153" t="str">
        <f t="array" ref="K143">INDEX('Primary - GRADING'!$A$1:$CP997,MATCH($A143,'Primary - GRADING'!$CP:$CP,0),50)</f>
        <v>#N/A</v>
      </c>
      <c r="L143" s="153" t="str">
        <f t="array" ref="L143">INDEX('Primary - GRADING'!$A$1:$CP997,MATCH($A143,'Primary - GRADING'!$CP:$CP,0),51)</f>
        <v>#N/A</v>
      </c>
      <c r="M143" s="153" t="str">
        <f t="array" ref="M143">INDEX('Primary - GRADING'!$A$1:$CP997,MATCH($A143,'Primary - GRADING'!$CP:$CP,0),52)</f>
        <v>#N/A</v>
      </c>
      <c r="N143" s="153" t="str">
        <f t="array" ref="N143">INDEX('Primary - GRADING'!$A$1:$CP997,MATCH($A143,'Primary - GRADING'!$CP:$CP,0),53)</f>
        <v>#N/A</v>
      </c>
      <c r="O143" s="153" t="str">
        <f t="array" ref="O143">INDEX('Primary - GRADING'!$A$1:$CP997,MATCH($A143,'Primary - GRADING'!$CP:$CP,0),58)</f>
        <v>#N/A</v>
      </c>
      <c r="P143" s="153" t="str">
        <f t="array" ref="P143">INDEX('Primary - GRADING'!$A$1:$CP997,MATCH($A143,'Primary - GRADING'!$CP:$CP,0),5)</f>
        <v>#N/A</v>
      </c>
      <c r="Q143" s="153" t="str">
        <f t="array" ref="Q143">INDEX('Primary - GRADING'!$A$1:$CP997,MATCH($A143,'Primary - GRADING'!$CP:$CP,0),6)</f>
        <v>#N/A</v>
      </c>
      <c r="R143" s="153" t="str">
        <f t="array" ref="R143">INDEX('Primary - GRADING'!$A$1:$CP997,MATCH($A143,'Primary - GRADING'!$CP:$CP,0),7)</f>
        <v>#N/A</v>
      </c>
      <c r="S143" s="153" t="str">
        <f t="array" ref="S143">INDEX('Primary - GRADING'!$A$1:$CP997,MATCH($A143,'Primary - GRADING'!$CP:$CP,0),8)</f>
        <v>#N/A</v>
      </c>
      <c r="T143" s="153" t="str">
        <f t="array" ref="T143">INDEX('Primary - GRADING'!$A$1:$CP997,MATCH($A143,'Primary - GRADING'!$CP:$CP,0),9)</f>
        <v>#N/A</v>
      </c>
      <c r="U143" s="153" t="str">
        <f t="array" ref="U143">INDEX('Primary - GRADING'!$A$1:$CP997,MATCH($A143,'Primary - GRADING'!$CP:$CP,0),10)</f>
        <v>#N/A</v>
      </c>
      <c r="V143" s="153" t="str">
        <f t="array" ref="V143">INDEX('Primary - GRADING'!$A$1:$CP997,MATCH($A143,'Primary - GRADING'!$CP:$CP,0),18)</f>
        <v>#N/A</v>
      </c>
      <c r="W143" s="153" t="str">
        <f t="array" ref="W143">INDEX('Primary - GRADING'!$A$1:$CP997,MATCH($A143,'Primary - GRADING'!$CP:$CP,0),20)</f>
        <v>#N/A</v>
      </c>
      <c r="X143" s="153" t="str">
        <f t="array" ref="X143">INDEX('Primary - GRADING'!$A$1:$CP997,MATCH($A143,'Primary - GRADING'!$CP:$CP,0),21)</f>
        <v>#N/A</v>
      </c>
      <c r="Y143" s="153" t="str">
        <f t="array" ref="Y143">INDEX('Primary - GRADING'!$A$1:$CP997,MATCH($A143,'Primary - GRADING'!$CP:$CP,0),22)</f>
        <v>#N/A</v>
      </c>
      <c r="Z143" s="165" t="str">
        <f t="array" ref="Z143">INDEX('Primary - GRADING'!$A$1:$CP997,MATCH($A143,'Primary - GRADING'!$CP:$CP,0),23)</f>
        <v>#N/A</v>
      </c>
      <c r="AA143" s="153" t="str">
        <f t="array" ref="AA143">INDEX('Primary - GRADING'!$A$1:$CP997,MATCH($A143,'Primary - GRADING'!$CP:$CP,0),24)</f>
        <v>#N/A</v>
      </c>
      <c r="AB143" s="153" t="str">
        <f t="array" ref="AB143">INDEX('Primary - GRADING'!$A$1:$CP997,MATCH($A143,'Primary - GRADING'!$CP:$CP,0),25)</f>
        <v>#N/A</v>
      </c>
      <c r="AC143" s="153" t="str">
        <f t="array" ref="AC143">INDEX('Primary - GRADING'!$A$1:$CP997,MATCH($A143,'Primary - GRADING'!$CP:$CP,0),46)</f>
        <v>#N/A</v>
      </c>
      <c r="AG143" s="153" t="str">
        <f t="shared" si="7"/>
        <v>#N/A</v>
      </c>
      <c r="AI143" s="153" t="str">
        <f>VLOOKUP(AH143,'Primary - GRADING'!$A$4:$C997,2,)</f>
        <v>#N/A</v>
      </c>
      <c r="AJ143" s="153" t="str">
        <f>VLOOKUP(AH143,'Primary - GRADING'!$A$4:$C997,3,)</f>
        <v>#N/A</v>
      </c>
      <c r="AK143" s="153" t="str">
        <f>VLOOKUP(AH143,'Primary - GRADING'!$A$4:$BG997,59,)</f>
        <v>#N/A</v>
      </c>
      <c r="AL143" s="153" t="str">
        <f>IFS(AK143="NMA",VLOOKUP(AH143,'Primary - GRADING'!$A$4:$BG997,51,),AK143="DIRECT",VLOOKUP(AH143,'Primary - GRADING'!$A$4:$BG997,8,),AK143="INDIRECT",VLOOKUP(AH143,'Primary - GRADING'!$A$4:$BG997,23,))</f>
        <v>#N/A</v>
      </c>
      <c r="AM143" s="153" t="str">
        <f>IFS(AK143="NMA",VLOOKUP(AH143,'Primary - GRADING'!$A$4:$BG997,52,),AK143="DIRECT",VLOOKUP(AH143,'Primary - GRADING'!$A$4:$BG997,9,),AK143="INDIRECT",VLOOKUP(AH143,'Primary - GRADING'!$A$4:$BG997,24,))</f>
        <v>#N/A</v>
      </c>
      <c r="AN143" s="153" t="str">
        <f>IFS(AK143="NMA",VLOOKUP(AH143,'Primary - GRADING'!$A$4:$BG997,53,),AK143="DIRECT",VLOOKUP(AH143,'Primary - GRADING'!$A$4:$BG997,10,),AK143="INDIRECT",VLOOKUP(AH143,'Primary - GRADING'!$A$4:$BG997,25,))</f>
        <v>#N/A</v>
      </c>
      <c r="AO143" s="153" t="str">
        <f t="shared" si="8"/>
        <v>#N/A</v>
      </c>
      <c r="AT143" s="153" t="str">
        <f t="shared" si="9"/>
        <v>#N/A</v>
      </c>
      <c r="AV143" s="153" t="str">
        <f>VLOOKUP(AU143,'Primary - GRADING'!$A$4:$C997,2,)</f>
        <v>#N/A</v>
      </c>
      <c r="AW143" s="153" t="str">
        <f>VLOOKUP(AU143,'Primary - GRADING'!$A$4:$C997,3,)</f>
        <v>#N/A</v>
      </c>
      <c r="AX143" s="153" t="str">
        <f>VLOOKUP(AU143,'Primary - GRADING'!$A$4:$BG997,59,)</f>
        <v>#N/A</v>
      </c>
      <c r="AY143" s="153" t="str">
        <f>IFS(AX143="NMA",VLOOKUP(AU143,'Primary - GRADING'!$A$4:$BG997,51,),AX143="DIRECT",VLOOKUP(AU143,'Primary - GRADING'!$A$4:$BG997,8,),AX143="INDIRECT",VLOOKUP(AU143,'Primary - GRADING'!$A$4:$BG997,23,))</f>
        <v>#N/A</v>
      </c>
      <c r="AZ143" s="153" t="str">
        <f>IFS(AX143="NMA",VLOOKUP(AU143,'Primary - GRADING'!$A$4:$BG997,52,),AX143="DIRECT",VLOOKUP(AU143,'Primary - GRADING'!$A$4:$BG997,9,),AX143="INDIRECT",VLOOKUP(AU143,'Primary - GRADING'!$A$4:$BG997,24,))</f>
        <v>#N/A</v>
      </c>
      <c r="BA143" s="153" t="str">
        <f>IFS(AX143="NMA",VLOOKUP(AU143,'Primary - GRADING'!$A$4:$BG997,53,),AX143="DIRECT",VLOOKUP(AU143,'Primary - GRADING'!$A$4:$BG997,10,),AX143="INDIRECT",VLOOKUP(AU143,'Primary - GRADING'!$A$4:$BG997,25,))</f>
        <v>#N/A</v>
      </c>
      <c r="BB143" s="153" t="str">
        <f t="shared" si="10"/>
        <v>#N/A</v>
      </c>
      <c r="BE143" s="153" t="str">
        <f t="shared" si="11"/>
        <v/>
      </c>
      <c r="BG143" s="153" t="str">
        <f t="shared" si="12"/>
        <v>#N/A</v>
      </c>
      <c r="BI143" s="153" t="str">
        <f t="shared" si="13"/>
        <v>#N/A</v>
      </c>
      <c r="BK143" s="153" t="str">
        <f t="shared" si="14"/>
        <v>#N/A</v>
      </c>
      <c r="BM143" s="153" t="str">
        <f t="shared" si="15"/>
        <v>#N/A</v>
      </c>
    </row>
    <row r="144" ht="15.75" customHeight="1">
      <c r="B144" s="160" t="str">
        <f t="shared" si="1"/>
        <v>#N/A</v>
      </c>
      <c r="C144" s="160" t="str">
        <f t="shared" si="2"/>
        <v>#N/A</v>
      </c>
      <c r="D144" s="160" t="str">
        <f t="shared" si="3"/>
        <v>#N/A</v>
      </c>
      <c r="E144" s="161" t="str">
        <f t="shared" si="4"/>
        <v>#N/A</v>
      </c>
      <c r="F144" s="153" t="str">
        <f t="shared" si="17"/>
        <v>#N/A</v>
      </c>
      <c r="G144" s="153" t="str">
        <f t="shared" si="6"/>
        <v>#N/A</v>
      </c>
      <c r="H144" s="156" t="str">
        <f t="array" ref="H144">INDEX('Primary - GRADING'!$A$1:$BG997,MATCH($A144,'Primary - GRADING'!$B:$B,0),59)</f>
        <v>#N/A</v>
      </c>
      <c r="I144" s="153" t="str">
        <f t="array" ref="I144">INDEX('Primary - GRADING'!$A$1:$CP997,MATCH($A144,'Primary - GRADING'!$CP:$CP,0),48)</f>
        <v>#N/A</v>
      </c>
      <c r="J144" s="153" t="str">
        <f t="array" ref="J144">INDEX('Primary - GRADING'!$A$1:$CP997,MATCH($A144,'Primary - GRADING'!$CP:$CP,0),49)</f>
        <v>#N/A</v>
      </c>
      <c r="K144" s="153" t="str">
        <f t="array" ref="K144">INDEX('Primary - GRADING'!$A$1:$CP997,MATCH($A144,'Primary - GRADING'!$CP:$CP,0),50)</f>
        <v>#N/A</v>
      </c>
      <c r="L144" s="153" t="str">
        <f t="array" ref="L144">INDEX('Primary - GRADING'!$A$1:$CP997,MATCH($A144,'Primary - GRADING'!$CP:$CP,0),51)</f>
        <v>#N/A</v>
      </c>
      <c r="M144" s="153" t="str">
        <f t="array" ref="M144">INDEX('Primary - GRADING'!$A$1:$CP997,MATCH($A144,'Primary - GRADING'!$CP:$CP,0),52)</f>
        <v>#N/A</v>
      </c>
      <c r="N144" s="153" t="str">
        <f t="array" ref="N144">INDEX('Primary - GRADING'!$A$1:$CP997,MATCH($A144,'Primary - GRADING'!$CP:$CP,0),53)</f>
        <v>#N/A</v>
      </c>
      <c r="O144" s="153" t="str">
        <f t="array" ref="O144">INDEX('Primary - GRADING'!$A$1:$CP997,MATCH($A144,'Primary - GRADING'!$CP:$CP,0),58)</f>
        <v>#N/A</v>
      </c>
      <c r="P144" s="153" t="str">
        <f t="array" ref="P144">INDEX('Primary - GRADING'!$A$1:$CP997,MATCH($A144,'Primary - GRADING'!$CP:$CP,0),5)</f>
        <v>#N/A</v>
      </c>
      <c r="Q144" s="153" t="str">
        <f t="array" ref="Q144">INDEX('Primary - GRADING'!$A$1:$CP997,MATCH($A144,'Primary - GRADING'!$CP:$CP,0),6)</f>
        <v>#N/A</v>
      </c>
      <c r="R144" s="153" t="str">
        <f t="array" ref="R144">INDEX('Primary - GRADING'!$A$1:$CP997,MATCH($A144,'Primary - GRADING'!$CP:$CP,0),7)</f>
        <v>#N/A</v>
      </c>
      <c r="S144" s="153" t="str">
        <f t="array" ref="S144">INDEX('Primary - GRADING'!$A$1:$CP997,MATCH($A144,'Primary - GRADING'!$CP:$CP,0),8)</f>
        <v>#N/A</v>
      </c>
      <c r="T144" s="153" t="str">
        <f t="array" ref="T144">INDEX('Primary - GRADING'!$A$1:$CP997,MATCH($A144,'Primary - GRADING'!$CP:$CP,0),9)</f>
        <v>#N/A</v>
      </c>
      <c r="U144" s="153" t="str">
        <f t="array" ref="U144">INDEX('Primary - GRADING'!$A$1:$CP997,MATCH($A144,'Primary - GRADING'!$CP:$CP,0),10)</f>
        <v>#N/A</v>
      </c>
      <c r="V144" s="153" t="str">
        <f t="array" ref="V144">INDEX('Primary - GRADING'!$A$1:$CP997,MATCH($A144,'Primary - GRADING'!$CP:$CP,0),18)</f>
        <v>#N/A</v>
      </c>
      <c r="W144" s="153" t="str">
        <f t="array" ref="W144">INDEX('Primary - GRADING'!$A$1:$CP997,MATCH($A144,'Primary - GRADING'!$CP:$CP,0),20)</f>
        <v>#N/A</v>
      </c>
      <c r="X144" s="153" t="str">
        <f t="array" ref="X144">INDEX('Primary - GRADING'!$A$1:$CP997,MATCH($A144,'Primary - GRADING'!$CP:$CP,0),21)</f>
        <v>#N/A</v>
      </c>
      <c r="Y144" s="153" t="str">
        <f t="array" ref="Y144">INDEX('Primary - GRADING'!$A$1:$CP997,MATCH($A144,'Primary - GRADING'!$CP:$CP,0),22)</f>
        <v>#N/A</v>
      </c>
      <c r="Z144" s="165" t="str">
        <f t="array" ref="Z144">INDEX('Primary - GRADING'!$A$1:$CP997,MATCH($A144,'Primary - GRADING'!$CP:$CP,0),23)</f>
        <v>#N/A</v>
      </c>
      <c r="AA144" s="153" t="str">
        <f t="array" ref="AA144">INDEX('Primary - GRADING'!$A$1:$CP997,MATCH($A144,'Primary - GRADING'!$CP:$CP,0),24)</f>
        <v>#N/A</v>
      </c>
      <c r="AB144" s="153" t="str">
        <f t="array" ref="AB144">INDEX('Primary - GRADING'!$A$1:$CP997,MATCH($A144,'Primary - GRADING'!$CP:$CP,0),25)</f>
        <v>#N/A</v>
      </c>
      <c r="AC144" s="153" t="str">
        <f t="array" ref="AC144">INDEX('Primary - GRADING'!$A$1:$CP997,MATCH($A144,'Primary - GRADING'!$CP:$CP,0),46)</f>
        <v>#N/A</v>
      </c>
      <c r="AG144" s="153" t="str">
        <f t="shared" si="7"/>
        <v>#N/A</v>
      </c>
      <c r="AI144" s="153" t="str">
        <f>VLOOKUP(AH144,'Primary - GRADING'!$A$4:$C997,2,)</f>
        <v>#N/A</v>
      </c>
      <c r="AJ144" s="153" t="str">
        <f>VLOOKUP(AH144,'Primary - GRADING'!$A$4:$C997,3,)</f>
        <v>#N/A</v>
      </c>
      <c r="AK144" s="153" t="str">
        <f>VLOOKUP(AH144,'Primary - GRADING'!$A$4:$BG997,59,)</f>
        <v>#N/A</v>
      </c>
      <c r="AL144" s="153" t="str">
        <f>IFS(AK144="NMA",VLOOKUP(AH144,'Primary - GRADING'!$A$4:$BG997,51,),AK144="DIRECT",VLOOKUP(AH144,'Primary - GRADING'!$A$4:$BG997,8,),AK144="INDIRECT",VLOOKUP(AH144,'Primary - GRADING'!$A$4:$BG997,23,))</f>
        <v>#N/A</v>
      </c>
      <c r="AM144" s="153" t="str">
        <f>IFS(AK144="NMA",VLOOKUP(AH144,'Primary - GRADING'!$A$4:$BG997,52,),AK144="DIRECT",VLOOKUP(AH144,'Primary - GRADING'!$A$4:$BG997,9,),AK144="INDIRECT",VLOOKUP(AH144,'Primary - GRADING'!$A$4:$BG997,24,))</f>
        <v>#N/A</v>
      </c>
      <c r="AN144" s="153" t="str">
        <f>IFS(AK144="NMA",VLOOKUP(AH144,'Primary - GRADING'!$A$4:$BG997,53,),AK144="DIRECT",VLOOKUP(AH144,'Primary - GRADING'!$A$4:$BG997,10,),AK144="INDIRECT",VLOOKUP(AH144,'Primary - GRADING'!$A$4:$BG997,25,))</f>
        <v>#N/A</v>
      </c>
      <c r="AO144" s="153" t="str">
        <f t="shared" si="8"/>
        <v>#N/A</v>
      </c>
      <c r="AT144" s="153" t="str">
        <f t="shared" si="9"/>
        <v>#N/A</v>
      </c>
      <c r="AV144" s="153" t="str">
        <f>VLOOKUP(AU144,'Primary - GRADING'!$A$4:$C997,2,)</f>
        <v>#N/A</v>
      </c>
      <c r="AW144" s="153" t="str">
        <f>VLOOKUP(AU144,'Primary - GRADING'!$A$4:$C997,3,)</f>
        <v>#N/A</v>
      </c>
      <c r="AX144" s="153" t="str">
        <f>VLOOKUP(AU144,'Primary - GRADING'!$A$4:$BG997,59,)</f>
        <v>#N/A</v>
      </c>
      <c r="AY144" s="153" t="str">
        <f>IFS(AX144="NMA",VLOOKUP(AU144,'Primary - GRADING'!$A$4:$BG997,51,),AX144="DIRECT",VLOOKUP(AU144,'Primary - GRADING'!$A$4:$BG997,8,),AX144="INDIRECT",VLOOKUP(AU144,'Primary - GRADING'!$A$4:$BG997,23,))</f>
        <v>#N/A</v>
      </c>
      <c r="AZ144" s="153" t="str">
        <f>IFS(AX144="NMA",VLOOKUP(AU144,'Primary - GRADING'!$A$4:$BG997,52,),AX144="DIRECT",VLOOKUP(AU144,'Primary - GRADING'!$A$4:$BG997,9,),AX144="INDIRECT",VLOOKUP(AU144,'Primary - GRADING'!$A$4:$BG997,24,))</f>
        <v>#N/A</v>
      </c>
      <c r="BA144" s="153" t="str">
        <f>IFS(AX144="NMA",VLOOKUP(AU144,'Primary - GRADING'!$A$4:$BG997,53,),AX144="DIRECT",VLOOKUP(AU144,'Primary - GRADING'!$A$4:$BG997,10,),AX144="INDIRECT",VLOOKUP(AU144,'Primary - GRADING'!$A$4:$BG997,25,))</f>
        <v>#N/A</v>
      </c>
      <c r="BB144" s="153" t="str">
        <f t="shared" si="10"/>
        <v>#N/A</v>
      </c>
      <c r="BE144" s="153" t="str">
        <f t="shared" si="11"/>
        <v/>
      </c>
      <c r="BG144" s="153" t="str">
        <f t="shared" si="12"/>
        <v>#N/A</v>
      </c>
      <c r="BI144" s="153" t="str">
        <f t="shared" si="13"/>
        <v>#N/A</v>
      </c>
      <c r="BK144" s="153" t="str">
        <f t="shared" si="14"/>
        <v>#N/A</v>
      </c>
      <c r="BM144" s="153" t="str">
        <f t="shared" si="15"/>
        <v>#N/A</v>
      </c>
    </row>
    <row r="145" ht="15.75" customHeight="1">
      <c r="B145" s="160" t="str">
        <f t="shared" si="1"/>
        <v>#N/A</v>
      </c>
      <c r="C145" s="160" t="str">
        <f t="shared" si="2"/>
        <v>#N/A</v>
      </c>
      <c r="D145" s="160" t="str">
        <f t="shared" si="3"/>
        <v>#N/A</v>
      </c>
      <c r="E145" s="161" t="str">
        <f t="shared" si="4"/>
        <v>#N/A</v>
      </c>
      <c r="F145" s="153" t="str">
        <f t="shared" si="17"/>
        <v>#N/A</v>
      </c>
      <c r="G145" s="153" t="str">
        <f t="shared" si="6"/>
        <v>#N/A</v>
      </c>
      <c r="H145" s="156" t="str">
        <f t="array" ref="H145">INDEX('Primary - GRADING'!$A$1:$BG997,MATCH($A145,'Primary - GRADING'!$B:$B,0),59)</f>
        <v>#N/A</v>
      </c>
      <c r="I145" s="153" t="str">
        <f t="array" ref="I145">INDEX('Primary - GRADING'!$A$1:$CP997,MATCH($A145,'Primary - GRADING'!$CP:$CP,0),48)</f>
        <v>#N/A</v>
      </c>
      <c r="J145" s="153" t="str">
        <f t="array" ref="J145">INDEX('Primary - GRADING'!$A$1:$CP997,MATCH($A145,'Primary - GRADING'!$CP:$CP,0),49)</f>
        <v>#N/A</v>
      </c>
      <c r="K145" s="153" t="str">
        <f t="array" ref="K145">INDEX('Primary - GRADING'!$A$1:$CP997,MATCH($A145,'Primary - GRADING'!$CP:$CP,0),50)</f>
        <v>#N/A</v>
      </c>
      <c r="L145" s="153" t="str">
        <f t="array" ref="L145">INDEX('Primary - GRADING'!$A$1:$CP997,MATCH($A145,'Primary - GRADING'!$CP:$CP,0),51)</f>
        <v>#N/A</v>
      </c>
      <c r="M145" s="153" t="str">
        <f t="array" ref="M145">INDEX('Primary - GRADING'!$A$1:$CP997,MATCH($A145,'Primary - GRADING'!$CP:$CP,0),52)</f>
        <v>#N/A</v>
      </c>
      <c r="N145" s="153" t="str">
        <f t="array" ref="N145">INDEX('Primary - GRADING'!$A$1:$CP997,MATCH($A145,'Primary - GRADING'!$CP:$CP,0),53)</f>
        <v>#N/A</v>
      </c>
      <c r="O145" s="153" t="str">
        <f t="array" ref="O145">INDEX('Primary - GRADING'!$A$1:$CP997,MATCH($A145,'Primary - GRADING'!$CP:$CP,0),58)</f>
        <v>#N/A</v>
      </c>
      <c r="P145" s="153" t="str">
        <f t="array" ref="P145">INDEX('Primary - GRADING'!$A$1:$CP997,MATCH($A145,'Primary - GRADING'!$CP:$CP,0),5)</f>
        <v>#N/A</v>
      </c>
      <c r="Q145" s="153" t="str">
        <f t="array" ref="Q145">INDEX('Primary - GRADING'!$A$1:$CP997,MATCH($A145,'Primary - GRADING'!$CP:$CP,0),6)</f>
        <v>#N/A</v>
      </c>
      <c r="R145" s="153" t="str">
        <f t="array" ref="R145">INDEX('Primary - GRADING'!$A$1:$CP997,MATCH($A145,'Primary - GRADING'!$CP:$CP,0),7)</f>
        <v>#N/A</v>
      </c>
      <c r="S145" s="153" t="str">
        <f t="array" ref="S145">INDEX('Primary - GRADING'!$A$1:$CP997,MATCH($A145,'Primary - GRADING'!$CP:$CP,0),8)</f>
        <v>#N/A</v>
      </c>
      <c r="T145" s="153" t="str">
        <f t="array" ref="T145">INDEX('Primary - GRADING'!$A$1:$CP997,MATCH($A145,'Primary - GRADING'!$CP:$CP,0),9)</f>
        <v>#N/A</v>
      </c>
      <c r="U145" s="153" t="str">
        <f t="array" ref="U145">INDEX('Primary - GRADING'!$A$1:$CP997,MATCH($A145,'Primary - GRADING'!$CP:$CP,0),10)</f>
        <v>#N/A</v>
      </c>
      <c r="V145" s="153" t="str">
        <f t="array" ref="V145">INDEX('Primary - GRADING'!$A$1:$CP997,MATCH($A145,'Primary - GRADING'!$CP:$CP,0),18)</f>
        <v>#N/A</v>
      </c>
      <c r="W145" s="153" t="str">
        <f t="array" ref="W145">INDEX('Primary - GRADING'!$A$1:$CP997,MATCH($A145,'Primary - GRADING'!$CP:$CP,0),20)</f>
        <v>#N/A</v>
      </c>
      <c r="X145" s="153" t="str">
        <f t="array" ref="X145">INDEX('Primary - GRADING'!$A$1:$CP997,MATCH($A145,'Primary - GRADING'!$CP:$CP,0),21)</f>
        <v>#N/A</v>
      </c>
      <c r="Y145" s="153" t="str">
        <f t="array" ref="Y145">INDEX('Primary - GRADING'!$A$1:$CP997,MATCH($A145,'Primary - GRADING'!$CP:$CP,0),22)</f>
        <v>#N/A</v>
      </c>
      <c r="Z145" s="165" t="str">
        <f t="array" ref="Z145">INDEX('Primary - GRADING'!$A$1:$CP997,MATCH($A145,'Primary - GRADING'!$CP:$CP,0),23)</f>
        <v>#N/A</v>
      </c>
      <c r="AA145" s="153" t="str">
        <f t="array" ref="AA145">INDEX('Primary - GRADING'!$A$1:$CP997,MATCH($A145,'Primary - GRADING'!$CP:$CP,0),24)</f>
        <v>#N/A</v>
      </c>
      <c r="AB145" s="153" t="str">
        <f t="array" ref="AB145">INDEX('Primary - GRADING'!$A$1:$CP997,MATCH($A145,'Primary - GRADING'!$CP:$CP,0),25)</f>
        <v>#N/A</v>
      </c>
      <c r="AC145" s="153" t="str">
        <f t="array" ref="AC145">INDEX('Primary - GRADING'!$A$1:$CP997,MATCH($A145,'Primary - GRADING'!$CP:$CP,0),46)</f>
        <v>#N/A</v>
      </c>
      <c r="AG145" s="153" t="str">
        <f t="shared" si="7"/>
        <v>#N/A</v>
      </c>
      <c r="AI145" s="153" t="str">
        <f>VLOOKUP(AH145,'Primary - GRADING'!$A$4:$C997,2,)</f>
        <v>#N/A</v>
      </c>
      <c r="AJ145" s="153" t="str">
        <f>VLOOKUP(AH145,'Primary - GRADING'!$A$4:$C997,3,)</f>
        <v>#N/A</v>
      </c>
      <c r="AK145" s="153" t="str">
        <f>VLOOKUP(AH145,'Primary - GRADING'!$A$4:$BG997,59,)</f>
        <v>#N/A</v>
      </c>
      <c r="AL145" s="153" t="str">
        <f>IFS(AK145="NMA",VLOOKUP(AH145,'Primary - GRADING'!$A$4:$BG997,51,),AK145="DIRECT",VLOOKUP(AH145,'Primary - GRADING'!$A$4:$BG997,8,),AK145="INDIRECT",VLOOKUP(AH145,'Primary - GRADING'!$A$4:$BG997,23,))</f>
        <v>#N/A</v>
      </c>
      <c r="AM145" s="153" t="str">
        <f>IFS(AK145="NMA",VLOOKUP(AH145,'Primary - GRADING'!$A$4:$BG997,52,),AK145="DIRECT",VLOOKUP(AH145,'Primary - GRADING'!$A$4:$BG997,9,),AK145="INDIRECT",VLOOKUP(AH145,'Primary - GRADING'!$A$4:$BG997,24,))</f>
        <v>#N/A</v>
      </c>
      <c r="AN145" s="153" t="str">
        <f>IFS(AK145="NMA",VLOOKUP(AH145,'Primary - GRADING'!$A$4:$BG997,53,),AK145="DIRECT",VLOOKUP(AH145,'Primary - GRADING'!$A$4:$BG997,10,),AK145="INDIRECT",VLOOKUP(AH145,'Primary - GRADING'!$A$4:$BG997,25,))</f>
        <v>#N/A</v>
      </c>
      <c r="AO145" s="153" t="str">
        <f t="shared" si="8"/>
        <v>#N/A</v>
      </c>
      <c r="AT145" s="153" t="str">
        <f t="shared" si="9"/>
        <v>#N/A</v>
      </c>
      <c r="AV145" s="153" t="str">
        <f>VLOOKUP(AU145,'Primary - GRADING'!$A$4:$C997,2,)</f>
        <v>#N/A</v>
      </c>
      <c r="AW145" s="153" t="str">
        <f>VLOOKUP(AU145,'Primary - GRADING'!$A$4:$C997,3,)</f>
        <v>#N/A</v>
      </c>
      <c r="AX145" s="153" t="str">
        <f>VLOOKUP(AU145,'Primary - GRADING'!$A$4:$BG997,59,)</f>
        <v>#N/A</v>
      </c>
      <c r="AY145" s="153" t="str">
        <f>IFS(AX145="NMA",VLOOKUP(AU145,'Primary - GRADING'!$A$4:$BG997,51,),AX145="DIRECT",VLOOKUP(AU145,'Primary - GRADING'!$A$4:$BG997,8,),AX145="INDIRECT",VLOOKUP(AU145,'Primary - GRADING'!$A$4:$BG997,23,))</f>
        <v>#N/A</v>
      </c>
      <c r="AZ145" s="153" t="str">
        <f>IFS(AX145="NMA",VLOOKUP(AU145,'Primary - GRADING'!$A$4:$BG997,52,),AX145="DIRECT",VLOOKUP(AU145,'Primary - GRADING'!$A$4:$BG997,9,),AX145="INDIRECT",VLOOKUP(AU145,'Primary - GRADING'!$A$4:$BG997,24,))</f>
        <v>#N/A</v>
      </c>
      <c r="BA145" s="153" t="str">
        <f>IFS(AX145="NMA",VLOOKUP(AU145,'Primary - GRADING'!$A$4:$BG997,53,),AX145="DIRECT",VLOOKUP(AU145,'Primary - GRADING'!$A$4:$BG997,10,),AX145="INDIRECT",VLOOKUP(AU145,'Primary - GRADING'!$A$4:$BG997,25,))</f>
        <v>#N/A</v>
      </c>
      <c r="BB145" s="153" t="str">
        <f t="shared" si="10"/>
        <v>#N/A</v>
      </c>
      <c r="BE145" s="153" t="str">
        <f t="shared" si="11"/>
        <v/>
      </c>
      <c r="BG145" s="153" t="str">
        <f t="shared" si="12"/>
        <v>#N/A</v>
      </c>
      <c r="BI145" s="153" t="str">
        <f t="shared" si="13"/>
        <v>#N/A</v>
      </c>
      <c r="BK145" s="153" t="str">
        <f t="shared" si="14"/>
        <v>#N/A</v>
      </c>
      <c r="BM145" s="153" t="str">
        <f t="shared" si="15"/>
        <v>#N/A</v>
      </c>
    </row>
    <row r="146" ht="15.75" customHeight="1">
      <c r="B146" s="160" t="str">
        <f t="shared" si="1"/>
        <v>#N/A</v>
      </c>
      <c r="C146" s="160" t="str">
        <f t="shared" si="2"/>
        <v>#N/A</v>
      </c>
      <c r="D146" s="160" t="str">
        <f t="shared" si="3"/>
        <v>#N/A</v>
      </c>
      <c r="E146" s="161" t="str">
        <f t="shared" si="4"/>
        <v>#N/A</v>
      </c>
      <c r="F146" s="153" t="str">
        <f t="shared" si="17"/>
        <v>#N/A</v>
      </c>
      <c r="G146" s="153" t="str">
        <f t="shared" si="6"/>
        <v>#N/A</v>
      </c>
      <c r="H146" s="156" t="str">
        <f t="array" ref="H146">INDEX('Primary - GRADING'!$A$1:$BG997,MATCH($A146,'Primary - GRADING'!$B:$B,0),59)</f>
        <v>#N/A</v>
      </c>
      <c r="I146" s="153" t="str">
        <f t="array" ref="I146">INDEX('Primary - GRADING'!$A$1:$CP997,MATCH($A146,'Primary - GRADING'!$CP:$CP,0),48)</f>
        <v>#N/A</v>
      </c>
      <c r="J146" s="153" t="str">
        <f t="array" ref="J146">INDEX('Primary - GRADING'!$A$1:$CP997,MATCH($A146,'Primary - GRADING'!$CP:$CP,0),49)</f>
        <v>#N/A</v>
      </c>
      <c r="K146" s="153" t="str">
        <f t="array" ref="K146">INDEX('Primary - GRADING'!$A$1:$CP997,MATCH($A146,'Primary - GRADING'!$CP:$CP,0),50)</f>
        <v>#N/A</v>
      </c>
      <c r="L146" s="153" t="str">
        <f t="array" ref="L146">INDEX('Primary - GRADING'!$A$1:$CP997,MATCH($A146,'Primary - GRADING'!$CP:$CP,0),51)</f>
        <v>#N/A</v>
      </c>
      <c r="M146" s="153" t="str">
        <f t="array" ref="M146">INDEX('Primary - GRADING'!$A$1:$CP997,MATCH($A146,'Primary - GRADING'!$CP:$CP,0),52)</f>
        <v>#N/A</v>
      </c>
      <c r="N146" s="153" t="str">
        <f t="array" ref="N146">INDEX('Primary - GRADING'!$A$1:$CP997,MATCH($A146,'Primary - GRADING'!$CP:$CP,0),53)</f>
        <v>#N/A</v>
      </c>
      <c r="O146" s="153" t="str">
        <f t="array" ref="O146">INDEX('Primary - GRADING'!$A$1:$CP997,MATCH($A146,'Primary - GRADING'!$CP:$CP,0),58)</f>
        <v>#N/A</v>
      </c>
      <c r="P146" s="153" t="str">
        <f t="array" ref="P146">INDEX('Primary - GRADING'!$A$1:$CP997,MATCH($A146,'Primary - GRADING'!$CP:$CP,0),5)</f>
        <v>#N/A</v>
      </c>
      <c r="Q146" s="153" t="str">
        <f t="array" ref="Q146">INDEX('Primary - GRADING'!$A$1:$CP997,MATCH($A146,'Primary - GRADING'!$CP:$CP,0),6)</f>
        <v>#N/A</v>
      </c>
      <c r="R146" s="153" t="str">
        <f t="array" ref="R146">INDEX('Primary - GRADING'!$A$1:$CP997,MATCH($A146,'Primary - GRADING'!$CP:$CP,0),7)</f>
        <v>#N/A</v>
      </c>
      <c r="S146" s="153" t="str">
        <f t="array" ref="S146">INDEX('Primary - GRADING'!$A$1:$CP997,MATCH($A146,'Primary - GRADING'!$CP:$CP,0),8)</f>
        <v>#N/A</v>
      </c>
      <c r="T146" s="153" t="str">
        <f t="array" ref="T146">INDEX('Primary - GRADING'!$A$1:$CP997,MATCH($A146,'Primary - GRADING'!$CP:$CP,0),9)</f>
        <v>#N/A</v>
      </c>
      <c r="U146" s="153" t="str">
        <f t="array" ref="U146">INDEX('Primary - GRADING'!$A$1:$CP997,MATCH($A146,'Primary - GRADING'!$CP:$CP,0),10)</f>
        <v>#N/A</v>
      </c>
      <c r="V146" s="153" t="str">
        <f t="array" ref="V146">INDEX('Primary - GRADING'!$A$1:$CP997,MATCH($A146,'Primary - GRADING'!$CP:$CP,0),18)</f>
        <v>#N/A</v>
      </c>
      <c r="W146" s="153" t="str">
        <f t="array" ref="W146">INDEX('Primary - GRADING'!$A$1:$CP997,MATCH($A146,'Primary - GRADING'!$CP:$CP,0),20)</f>
        <v>#N/A</v>
      </c>
      <c r="X146" s="153" t="str">
        <f t="array" ref="X146">INDEX('Primary - GRADING'!$A$1:$CP997,MATCH($A146,'Primary - GRADING'!$CP:$CP,0),21)</f>
        <v>#N/A</v>
      </c>
      <c r="Y146" s="153" t="str">
        <f t="array" ref="Y146">INDEX('Primary - GRADING'!$A$1:$CP997,MATCH($A146,'Primary - GRADING'!$CP:$CP,0),22)</f>
        <v>#N/A</v>
      </c>
      <c r="Z146" s="165" t="str">
        <f t="array" ref="Z146">INDEX('Primary - GRADING'!$A$1:$CP997,MATCH($A146,'Primary - GRADING'!$CP:$CP,0),23)</f>
        <v>#N/A</v>
      </c>
      <c r="AA146" s="153" t="str">
        <f t="array" ref="AA146">INDEX('Primary - GRADING'!$A$1:$CP997,MATCH($A146,'Primary - GRADING'!$CP:$CP,0),24)</f>
        <v>#N/A</v>
      </c>
      <c r="AB146" s="153" t="str">
        <f t="array" ref="AB146">INDEX('Primary - GRADING'!$A$1:$CP997,MATCH($A146,'Primary - GRADING'!$CP:$CP,0),25)</f>
        <v>#N/A</v>
      </c>
      <c r="AC146" s="153" t="str">
        <f t="array" ref="AC146">INDEX('Primary - GRADING'!$A$1:$CP997,MATCH($A146,'Primary - GRADING'!$CP:$CP,0),46)</f>
        <v>#N/A</v>
      </c>
      <c r="AG146" s="153" t="str">
        <f t="shared" si="7"/>
        <v>#N/A</v>
      </c>
      <c r="AI146" s="153" t="str">
        <f>VLOOKUP(AH146,'Primary - GRADING'!$A$4:$C997,2,)</f>
        <v>#N/A</v>
      </c>
      <c r="AJ146" s="153" t="str">
        <f>VLOOKUP(AH146,'Primary - GRADING'!$A$4:$C997,3,)</f>
        <v>#N/A</v>
      </c>
      <c r="AK146" s="153" t="str">
        <f>VLOOKUP(AH146,'Primary - GRADING'!$A$4:$BG997,59,)</f>
        <v>#N/A</v>
      </c>
      <c r="AL146" s="153" t="str">
        <f>IFS(AK146="NMA",VLOOKUP(AH146,'Primary - GRADING'!$A$4:$BG997,51,),AK146="DIRECT",VLOOKUP(AH146,'Primary - GRADING'!$A$4:$BG997,8,),AK146="INDIRECT",VLOOKUP(AH146,'Primary - GRADING'!$A$4:$BG997,23,))</f>
        <v>#N/A</v>
      </c>
      <c r="AM146" s="153" t="str">
        <f>IFS(AK146="NMA",VLOOKUP(AH146,'Primary - GRADING'!$A$4:$BG997,52,),AK146="DIRECT",VLOOKUP(AH146,'Primary - GRADING'!$A$4:$BG997,9,),AK146="INDIRECT",VLOOKUP(AH146,'Primary - GRADING'!$A$4:$BG997,24,))</f>
        <v>#N/A</v>
      </c>
      <c r="AN146" s="153" t="str">
        <f>IFS(AK146="NMA",VLOOKUP(AH146,'Primary - GRADING'!$A$4:$BG997,53,),AK146="DIRECT",VLOOKUP(AH146,'Primary - GRADING'!$A$4:$BG997,10,),AK146="INDIRECT",VLOOKUP(AH146,'Primary - GRADING'!$A$4:$BG997,25,))</f>
        <v>#N/A</v>
      </c>
      <c r="AO146" s="153" t="str">
        <f t="shared" si="8"/>
        <v>#N/A</v>
      </c>
      <c r="AT146" s="153" t="str">
        <f t="shared" si="9"/>
        <v>#N/A</v>
      </c>
      <c r="AV146" s="153" t="str">
        <f>VLOOKUP(AU146,'Primary - GRADING'!$A$4:$C997,2,)</f>
        <v>#N/A</v>
      </c>
      <c r="AW146" s="153" t="str">
        <f>VLOOKUP(AU146,'Primary - GRADING'!$A$4:$C997,3,)</f>
        <v>#N/A</v>
      </c>
      <c r="AX146" s="153" t="str">
        <f>VLOOKUP(AU146,'Primary - GRADING'!$A$4:$BG997,59,)</f>
        <v>#N/A</v>
      </c>
      <c r="AY146" s="153" t="str">
        <f>IFS(AX146="NMA",VLOOKUP(AU146,'Primary - GRADING'!$A$4:$BG997,51,),AX146="DIRECT",VLOOKUP(AU146,'Primary - GRADING'!$A$4:$BG997,8,),AX146="INDIRECT",VLOOKUP(AU146,'Primary - GRADING'!$A$4:$BG997,23,))</f>
        <v>#N/A</v>
      </c>
      <c r="AZ146" s="153" t="str">
        <f>IFS(AX146="NMA",VLOOKUP(AU146,'Primary - GRADING'!$A$4:$BG997,52,),AX146="DIRECT",VLOOKUP(AU146,'Primary - GRADING'!$A$4:$BG997,9,),AX146="INDIRECT",VLOOKUP(AU146,'Primary - GRADING'!$A$4:$BG997,24,))</f>
        <v>#N/A</v>
      </c>
      <c r="BA146" s="153" t="str">
        <f>IFS(AX146="NMA",VLOOKUP(AU146,'Primary - GRADING'!$A$4:$BG997,53,),AX146="DIRECT",VLOOKUP(AU146,'Primary - GRADING'!$A$4:$BG997,10,),AX146="INDIRECT",VLOOKUP(AU146,'Primary - GRADING'!$A$4:$BG997,25,))</f>
        <v>#N/A</v>
      </c>
      <c r="BB146" s="153" t="str">
        <f t="shared" si="10"/>
        <v>#N/A</v>
      </c>
      <c r="BE146" s="153" t="str">
        <f t="shared" si="11"/>
        <v/>
      </c>
      <c r="BG146" s="153" t="str">
        <f t="shared" si="12"/>
        <v>#N/A</v>
      </c>
      <c r="BI146" s="153" t="str">
        <f t="shared" si="13"/>
        <v>#N/A</v>
      </c>
      <c r="BK146" s="153" t="str">
        <f t="shared" si="14"/>
        <v>#N/A</v>
      </c>
      <c r="BM146" s="153" t="str">
        <f t="shared" si="15"/>
        <v>#N/A</v>
      </c>
    </row>
    <row r="147" ht="15.75" customHeight="1">
      <c r="B147" s="160" t="str">
        <f t="shared" si="1"/>
        <v>#N/A</v>
      </c>
      <c r="C147" s="160" t="str">
        <f t="shared" si="2"/>
        <v>#N/A</v>
      </c>
      <c r="D147" s="160" t="str">
        <f t="shared" si="3"/>
        <v>#N/A</v>
      </c>
      <c r="E147" s="161" t="str">
        <f t="shared" si="4"/>
        <v>#N/A</v>
      </c>
      <c r="F147" s="153" t="str">
        <f t="shared" si="17"/>
        <v>#N/A</v>
      </c>
      <c r="G147" s="153" t="str">
        <f t="shared" si="6"/>
        <v>#N/A</v>
      </c>
      <c r="H147" s="156" t="str">
        <f t="array" ref="H147">INDEX('Primary - GRADING'!$A$1:$BG997,MATCH($A147,'Primary - GRADING'!$B:$B,0),59)</f>
        <v>#N/A</v>
      </c>
      <c r="I147" s="153" t="str">
        <f t="array" ref="I147">INDEX('Primary - GRADING'!$A$1:$CP997,MATCH($A147,'Primary - GRADING'!$CP:$CP,0),48)</f>
        <v>#N/A</v>
      </c>
      <c r="J147" s="153" t="str">
        <f t="array" ref="J147">INDEX('Primary - GRADING'!$A$1:$CP997,MATCH($A147,'Primary - GRADING'!$CP:$CP,0),49)</f>
        <v>#N/A</v>
      </c>
      <c r="K147" s="153" t="str">
        <f t="array" ref="K147">INDEX('Primary - GRADING'!$A$1:$CP997,MATCH($A147,'Primary - GRADING'!$CP:$CP,0),50)</f>
        <v>#N/A</v>
      </c>
      <c r="L147" s="153" t="str">
        <f t="array" ref="L147">INDEX('Primary - GRADING'!$A$1:$CP997,MATCH($A147,'Primary - GRADING'!$CP:$CP,0),51)</f>
        <v>#N/A</v>
      </c>
      <c r="M147" s="153" t="str">
        <f t="array" ref="M147">INDEX('Primary - GRADING'!$A$1:$CP997,MATCH($A147,'Primary - GRADING'!$CP:$CP,0),52)</f>
        <v>#N/A</v>
      </c>
      <c r="N147" s="153" t="str">
        <f t="array" ref="N147">INDEX('Primary - GRADING'!$A$1:$CP997,MATCH($A147,'Primary - GRADING'!$CP:$CP,0),53)</f>
        <v>#N/A</v>
      </c>
      <c r="O147" s="153" t="str">
        <f t="array" ref="O147">INDEX('Primary - GRADING'!$A$1:$CP997,MATCH($A147,'Primary - GRADING'!$CP:$CP,0),58)</f>
        <v>#N/A</v>
      </c>
      <c r="P147" s="153" t="str">
        <f t="array" ref="P147">INDEX('Primary - GRADING'!$A$1:$CP997,MATCH($A147,'Primary - GRADING'!$CP:$CP,0),5)</f>
        <v>#N/A</v>
      </c>
      <c r="Q147" s="153" t="str">
        <f t="array" ref="Q147">INDEX('Primary - GRADING'!$A$1:$CP997,MATCH($A147,'Primary - GRADING'!$CP:$CP,0),6)</f>
        <v>#N/A</v>
      </c>
      <c r="R147" s="153" t="str">
        <f t="array" ref="R147">INDEX('Primary - GRADING'!$A$1:$CP997,MATCH($A147,'Primary - GRADING'!$CP:$CP,0),7)</f>
        <v>#N/A</v>
      </c>
      <c r="S147" s="153" t="str">
        <f t="array" ref="S147">INDEX('Primary - GRADING'!$A$1:$CP997,MATCH($A147,'Primary - GRADING'!$CP:$CP,0),8)</f>
        <v>#N/A</v>
      </c>
      <c r="T147" s="153" t="str">
        <f t="array" ref="T147">INDEX('Primary - GRADING'!$A$1:$CP997,MATCH($A147,'Primary - GRADING'!$CP:$CP,0),9)</f>
        <v>#N/A</v>
      </c>
      <c r="U147" s="153" t="str">
        <f t="array" ref="U147">INDEX('Primary - GRADING'!$A$1:$CP997,MATCH($A147,'Primary - GRADING'!$CP:$CP,0),10)</f>
        <v>#N/A</v>
      </c>
      <c r="V147" s="153" t="str">
        <f t="array" ref="V147">INDEX('Primary - GRADING'!$A$1:$CP997,MATCH($A147,'Primary - GRADING'!$CP:$CP,0),18)</f>
        <v>#N/A</v>
      </c>
      <c r="W147" s="153" t="str">
        <f t="array" ref="W147">INDEX('Primary - GRADING'!$A$1:$CP997,MATCH($A147,'Primary - GRADING'!$CP:$CP,0),20)</f>
        <v>#N/A</v>
      </c>
      <c r="X147" s="153" t="str">
        <f t="array" ref="X147">INDEX('Primary - GRADING'!$A$1:$CP997,MATCH($A147,'Primary - GRADING'!$CP:$CP,0),21)</f>
        <v>#N/A</v>
      </c>
      <c r="Y147" s="153" t="str">
        <f t="array" ref="Y147">INDEX('Primary - GRADING'!$A$1:$CP997,MATCH($A147,'Primary - GRADING'!$CP:$CP,0),22)</f>
        <v>#N/A</v>
      </c>
      <c r="Z147" s="165" t="str">
        <f t="array" ref="Z147">INDEX('Primary - GRADING'!$A$1:$CP997,MATCH($A147,'Primary - GRADING'!$CP:$CP,0),23)</f>
        <v>#N/A</v>
      </c>
      <c r="AA147" s="153" t="str">
        <f t="array" ref="AA147">INDEX('Primary - GRADING'!$A$1:$CP997,MATCH($A147,'Primary - GRADING'!$CP:$CP,0),24)</f>
        <v>#N/A</v>
      </c>
      <c r="AB147" s="153" t="str">
        <f t="array" ref="AB147">INDEX('Primary - GRADING'!$A$1:$CP997,MATCH($A147,'Primary - GRADING'!$CP:$CP,0),25)</f>
        <v>#N/A</v>
      </c>
      <c r="AC147" s="153" t="str">
        <f t="array" ref="AC147">INDEX('Primary - GRADING'!$A$1:$CP997,MATCH($A147,'Primary - GRADING'!$CP:$CP,0),46)</f>
        <v>#N/A</v>
      </c>
      <c r="AG147" s="153" t="str">
        <f t="shared" si="7"/>
        <v>#N/A</v>
      </c>
      <c r="AI147" s="153" t="str">
        <f>VLOOKUP(AH147,'Primary - GRADING'!$A$4:$C997,2,)</f>
        <v>#N/A</v>
      </c>
      <c r="AJ147" s="153" t="str">
        <f>VLOOKUP(AH147,'Primary - GRADING'!$A$4:$C997,3,)</f>
        <v>#N/A</v>
      </c>
      <c r="AK147" s="153" t="str">
        <f>VLOOKUP(AH147,'Primary - GRADING'!$A$4:$BG997,59,)</f>
        <v>#N/A</v>
      </c>
      <c r="AL147" s="153" t="str">
        <f>IFS(AK147="NMA",VLOOKUP(AH147,'Primary - GRADING'!$A$4:$BG997,51,),AK147="DIRECT",VLOOKUP(AH147,'Primary - GRADING'!$A$4:$BG997,8,),AK147="INDIRECT",VLOOKUP(AH147,'Primary - GRADING'!$A$4:$BG997,23,))</f>
        <v>#N/A</v>
      </c>
      <c r="AM147" s="153" t="str">
        <f>IFS(AK147="NMA",VLOOKUP(AH147,'Primary - GRADING'!$A$4:$BG997,52,),AK147="DIRECT",VLOOKUP(AH147,'Primary - GRADING'!$A$4:$BG997,9,),AK147="INDIRECT",VLOOKUP(AH147,'Primary - GRADING'!$A$4:$BG997,24,))</f>
        <v>#N/A</v>
      </c>
      <c r="AN147" s="153" t="str">
        <f>IFS(AK147="NMA",VLOOKUP(AH147,'Primary - GRADING'!$A$4:$BG997,53,),AK147="DIRECT",VLOOKUP(AH147,'Primary - GRADING'!$A$4:$BG997,10,),AK147="INDIRECT",VLOOKUP(AH147,'Primary - GRADING'!$A$4:$BG997,25,))</f>
        <v>#N/A</v>
      </c>
      <c r="AO147" s="153" t="str">
        <f t="shared" si="8"/>
        <v>#N/A</v>
      </c>
      <c r="AT147" s="153" t="str">
        <f t="shared" si="9"/>
        <v>#N/A</v>
      </c>
      <c r="AV147" s="153" t="str">
        <f>VLOOKUP(AU147,'Primary - GRADING'!$A$4:$C997,2,)</f>
        <v>#N/A</v>
      </c>
      <c r="AW147" s="153" t="str">
        <f>VLOOKUP(AU147,'Primary - GRADING'!$A$4:$C997,3,)</f>
        <v>#N/A</v>
      </c>
      <c r="AX147" s="153" t="str">
        <f>VLOOKUP(AU147,'Primary - GRADING'!$A$4:$BG997,59,)</f>
        <v>#N/A</v>
      </c>
      <c r="AY147" s="153" t="str">
        <f>IFS(AX147="NMA",VLOOKUP(AU147,'Primary - GRADING'!$A$4:$BG997,51,),AX147="DIRECT",VLOOKUP(AU147,'Primary - GRADING'!$A$4:$BG997,8,),AX147="INDIRECT",VLOOKUP(AU147,'Primary - GRADING'!$A$4:$BG997,23,))</f>
        <v>#N/A</v>
      </c>
      <c r="AZ147" s="153" t="str">
        <f>IFS(AX147="NMA",VLOOKUP(AU147,'Primary - GRADING'!$A$4:$BG997,52,),AX147="DIRECT",VLOOKUP(AU147,'Primary - GRADING'!$A$4:$BG997,9,),AX147="INDIRECT",VLOOKUP(AU147,'Primary - GRADING'!$A$4:$BG997,24,))</f>
        <v>#N/A</v>
      </c>
      <c r="BA147" s="153" t="str">
        <f>IFS(AX147="NMA",VLOOKUP(AU147,'Primary - GRADING'!$A$4:$BG997,53,),AX147="DIRECT",VLOOKUP(AU147,'Primary - GRADING'!$A$4:$BG997,10,),AX147="INDIRECT",VLOOKUP(AU147,'Primary - GRADING'!$A$4:$BG997,25,))</f>
        <v>#N/A</v>
      </c>
      <c r="BB147" s="153" t="str">
        <f t="shared" si="10"/>
        <v>#N/A</v>
      </c>
      <c r="BE147" s="153" t="str">
        <f t="shared" si="11"/>
        <v/>
      </c>
      <c r="BG147" s="153" t="str">
        <f t="shared" si="12"/>
        <v>#N/A</v>
      </c>
      <c r="BI147" s="153" t="str">
        <f t="shared" si="13"/>
        <v>#N/A</v>
      </c>
      <c r="BK147" s="153" t="str">
        <f t="shared" si="14"/>
        <v>#N/A</v>
      </c>
      <c r="BM147" s="153" t="str">
        <f t="shared" si="15"/>
        <v>#N/A</v>
      </c>
    </row>
    <row r="148" ht="15.75" customHeight="1">
      <c r="B148" s="160" t="str">
        <f t="shared" si="1"/>
        <v>#N/A</v>
      </c>
      <c r="C148" s="160" t="str">
        <f t="shared" si="2"/>
        <v>#N/A</v>
      </c>
      <c r="D148" s="160" t="str">
        <f t="shared" si="3"/>
        <v>#N/A</v>
      </c>
      <c r="E148" s="161" t="str">
        <f t="shared" si="4"/>
        <v>#N/A</v>
      </c>
      <c r="F148" s="153" t="str">
        <f t="shared" si="17"/>
        <v>#N/A</v>
      </c>
      <c r="G148" s="153" t="str">
        <f t="shared" si="6"/>
        <v>#N/A</v>
      </c>
      <c r="H148" s="156" t="str">
        <f t="array" ref="H148">INDEX('Primary - GRADING'!$A$1:$BG997,MATCH($A148,'Primary - GRADING'!$B:$B,0),59)</f>
        <v>#N/A</v>
      </c>
      <c r="I148" s="153" t="str">
        <f t="array" ref="I148">INDEX('Primary - GRADING'!$A$1:$CP997,MATCH($A148,'Primary - GRADING'!$CP:$CP,0),48)</f>
        <v>#N/A</v>
      </c>
      <c r="J148" s="153" t="str">
        <f t="array" ref="J148">INDEX('Primary - GRADING'!$A$1:$CP997,MATCH($A148,'Primary - GRADING'!$CP:$CP,0),49)</f>
        <v>#N/A</v>
      </c>
      <c r="K148" s="153" t="str">
        <f t="array" ref="K148">INDEX('Primary - GRADING'!$A$1:$CP997,MATCH($A148,'Primary - GRADING'!$CP:$CP,0),50)</f>
        <v>#N/A</v>
      </c>
      <c r="L148" s="153" t="str">
        <f t="array" ref="L148">INDEX('Primary - GRADING'!$A$1:$CP997,MATCH($A148,'Primary - GRADING'!$CP:$CP,0),51)</f>
        <v>#N/A</v>
      </c>
      <c r="M148" s="153" t="str">
        <f t="array" ref="M148">INDEX('Primary - GRADING'!$A$1:$CP997,MATCH($A148,'Primary - GRADING'!$CP:$CP,0),52)</f>
        <v>#N/A</v>
      </c>
      <c r="N148" s="153" t="str">
        <f t="array" ref="N148">INDEX('Primary - GRADING'!$A$1:$CP997,MATCH($A148,'Primary - GRADING'!$CP:$CP,0),53)</f>
        <v>#N/A</v>
      </c>
      <c r="O148" s="153" t="str">
        <f t="array" ref="O148">INDEX('Primary - GRADING'!$A$1:$CP997,MATCH($A148,'Primary - GRADING'!$CP:$CP,0),58)</f>
        <v>#N/A</v>
      </c>
      <c r="P148" s="153" t="str">
        <f t="array" ref="P148">INDEX('Primary - GRADING'!$A$1:$CP997,MATCH($A148,'Primary - GRADING'!$CP:$CP,0),5)</f>
        <v>#N/A</v>
      </c>
      <c r="Q148" s="153" t="str">
        <f t="array" ref="Q148">INDEX('Primary - GRADING'!$A$1:$CP997,MATCH($A148,'Primary - GRADING'!$CP:$CP,0),6)</f>
        <v>#N/A</v>
      </c>
      <c r="R148" s="153" t="str">
        <f t="array" ref="R148">INDEX('Primary - GRADING'!$A$1:$CP997,MATCH($A148,'Primary - GRADING'!$CP:$CP,0),7)</f>
        <v>#N/A</v>
      </c>
      <c r="S148" s="153" t="str">
        <f t="array" ref="S148">INDEX('Primary - GRADING'!$A$1:$CP997,MATCH($A148,'Primary - GRADING'!$CP:$CP,0),8)</f>
        <v>#N/A</v>
      </c>
      <c r="T148" s="153" t="str">
        <f t="array" ref="T148">INDEX('Primary - GRADING'!$A$1:$CP997,MATCH($A148,'Primary - GRADING'!$CP:$CP,0),9)</f>
        <v>#N/A</v>
      </c>
      <c r="U148" s="153" t="str">
        <f t="array" ref="U148">INDEX('Primary - GRADING'!$A$1:$CP997,MATCH($A148,'Primary - GRADING'!$CP:$CP,0),10)</f>
        <v>#N/A</v>
      </c>
      <c r="V148" s="153" t="str">
        <f t="array" ref="V148">INDEX('Primary - GRADING'!$A$1:$CP997,MATCH($A148,'Primary - GRADING'!$CP:$CP,0),18)</f>
        <v>#N/A</v>
      </c>
      <c r="W148" s="153" t="str">
        <f t="array" ref="W148">INDEX('Primary - GRADING'!$A$1:$CP997,MATCH($A148,'Primary - GRADING'!$CP:$CP,0),20)</f>
        <v>#N/A</v>
      </c>
      <c r="X148" s="153" t="str">
        <f t="array" ref="X148">INDEX('Primary - GRADING'!$A$1:$CP997,MATCH($A148,'Primary - GRADING'!$CP:$CP,0),21)</f>
        <v>#N/A</v>
      </c>
      <c r="Y148" s="153" t="str">
        <f t="array" ref="Y148">INDEX('Primary - GRADING'!$A$1:$CP997,MATCH($A148,'Primary - GRADING'!$CP:$CP,0),22)</f>
        <v>#N/A</v>
      </c>
      <c r="Z148" s="165" t="str">
        <f t="array" ref="Z148">INDEX('Primary - GRADING'!$A$1:$CP997,MATCH($A148,'Primary - GRADING'!$CP:$CP,0),23)</f>
        <v>#N/A</v>
      </c>
      <c r="AA148" s="153" t="str">
        <f t="array" ref="AA148">INDEX('Primary - GRADING'!$A$1:$CP997,MATCH($A148,'Primary - GRADING'!$CP:$CP,0),24)</f>
        <v>#N/A</v>
      </c>
      <c r="AB148" s="153" t="str">
        <f t="array" ref="AB148">INDEX('Primary - GRADING'!$A$1:$CP997,MATCH($A148,'Primary - GRADING'!$CP:$CP,0),25)</f>
        <v>#N/A</v>
      </c>
      <c r="AC148" s="153" t="str">
        <f t="array" ref="AC148">INDEX('Primary - GRADING'!$A$1:$CP997,MATCH($A148,'Primary - GRADING'!$CP:$CP,0),46)</f>
        <v>#N/A</v>
      </c>
      <c r="AG148" s="153" t="str">
        <f t="shared" si="7"/>
        <v>#N/A</v>
      </c>
      <c r="AI148" s="153" t="str">
        <f>VLOOKUP(AH148,'Primary - GRADING'!$A$4:$C997,2,)</f>
        <v>#N/A</v>
      </c>
      <c r="AJ148" s="153" t="str">
        <f>VLOOKUP(AH148,'Primary - GRADING'!$A$4:$C997,3,)</f>
        <v>#N/A</v>
      </c>
      <c r="AK148" s="153" t="str">
        <f>VLOOKUP(AH148,'Primary - GRADING'!$A$4:$BG997,59,)</f>
        <v>#N/A</v>
      </c>
      <c r="AL148" s="153" t="str">
        <f>IFS(AK148="NMA",VLOOKUP(AH148,'Primary - GRADING'!$A$4:$BG997,51,),AK148="DIRECT",VLOOKUP(AH148,'Primary - GRADING'!$A$4:$BG997,8,),AK148="INDIRECT",VLOOKUP(AH148,'Primary - GRADING'!$A$4:$BG997,23,))</f>
        <v>#N/A</v>
      </c>
      <c r="AM148" s="153" t="str">
        <f>IFS(AK148="NMA",VLOOKUP(AH148,'Primary - GRADING'!$A$4:$BG997,52,),AK148="DIRECT",VLOOKUP(AH148,'Primary - GRADING'!$A$4:$BG997,9,),AK148="INDIRECT",VLOOKUP(AH148,'Primary - GRADING'!$A$4:$BG997,24,))</f>
        <v>#N/A</v>
      </c>
      <c r="AN148" s="153" t="str">
        <f>IFS(AK148="NMA",VLOOKUP(AH148,'Primary - GRADING'!$A$4:$BG997,53,),AK148="DIRECT",VLOOKUP(AH148,'Primary - GRADING'!$A$4:$BG997,10,),AK148="INDIRECT",VLOOKUP(AH148,'Primary - GRADING'!$A$4:$BG997,25,))</f>
        <v>#N/A</v>
      </c>
      <c r="AO148" s="153" t="str">
        <f t="shared" si="8"/>
        <v>#N/A</v>
      </c>
      <c r="AT148" s="153" t="str">
        <f t="shared" si="9"/>
        <v>#N/A</v>
      </c>
      <c r="AV148" s="153" t="str">
        <f>VLOOKUP(AU148,'Primary - GRADING'!$A$4:$C997,2,)</f>
        <v>#N/A</v>
      </c>
      <c r="AW148" s="153" t="str">
        <f>VLOOKUP(AU148,'Primary - GRADING'!$A$4:$C997,3,)</f>
        <v>#N/A</v>
      </c>
      <c r="AX148" s="153" t="str">
        <f>VLOOKUP(AU148,'Primary - GRADING'!$A$4:$BG997,59,)</f>
        <v>#N/A</v>
      </c>
      <c r="AY148" s="153" t="str">
        <f>IFS(AX148="NMA",VLOOKUP(AU148,'Primary - GRADING'!$A$4:$BG997,51,),AX148="DIRECT",VLOOKUP(AU148,'Primary - GRADING'!$A$4:$BG997,8,),AX148="INDIRECT",VLOOKUP(AU148,'Primary - GRADING'!$A$4:$BG997,23,))</f>
        <v>#N/A</v>
      </c>
      <c r="AZ148" s="153" t="str">
        <f>IFS(AX148="NMA",VLOOKUP(AU148,'Primary - GRADING'!$A$4:$BG997,52,),AX148="DIRECT",VLOOKUP(AU148,'Primary - GRADING'!$A$4:$BG997,9,),AX148="INDIRECT",VLOOKUP(AU148,'Primary - GRADING'!$A$4:$BG997,24,))</f>
        <v>#N/A</v>
      </c>
      <c r="BA148" s="153" t="str">
        <f>IFS(AX148="NMA",VLOOKUP(AU148,'Primary - GRADING'!$A$4:$BG997,53,),AX148="DIRECT",VLOOKUP(AU148,'Primary - GRADING'!$A$4:$BG997,10,),AX148="INDIRECT",VLOOKUP(AU148,'Primary - GRADING'!$A$4:$BG997,25,))</f>
        <v>#N/A</v>
      </c>
      <c r="BB148" s="153" t="str">
        <f t="shared" si="10"/>
        <v>#N/A</v>
      </c>
      <c r="BE148" s="153" t="str">
        <f t="shared" si="11"/>
        <v/>
      </c>
      <c r="BG148" s="153" t="str">
        <f t="shared" si="12"/>
        <v>#N/A</v>
      </c>
      <c r="BI148" s="153" t="str">
        <f t="shared" si="13"/>
        <v>#N/A</v>
      </c>
      <c r="BK148" s="153" t="str">
        <f t="shared" si="14"/>
        <v>#N/A</v>
      </c>
      <c r="BM148" s="153" t="str">
        <f t="shared" si="15"/>
        <v>#N/A</v>
      </c>
    </row>
    <row r="149" ht="15.75" customHeight="1">
      <c r="B149" s="160" t="str">
        <f t="shared" si="1"/>
        <v>#N/A</v>
      </c>
      <c r="C149" s="160" t="str">
        <f t="shared" si="2"/>
        <v>#N/A</v>
      </c>
      <c r="D149" s="160" t="str">
        <f t="shared" si="3"/>
        <v>#N/A</v>
      </c>
      <c r="E149" s="161" t="str">
        <f t="shared" si="4"/>
        <v>#N/A</v>
      </c>
      <c r="F149" s="153" t="str">
        <f t="shared" si="17"/>
        <v>#N/A</v>
      </c>
      <c r="G149" s="153" t="str">
        <f t="shared" si="6"/>
        <v>#N/A</v>
      </c>
      <c r="H149" s="156" t="str">
        <f t="array" ref="H149">INDEX('Primary - GRADING'!$A$1:$BG997,MATCH($A149,'Primary - GRADING'!$B:$B,0),59)</f>
        <v>#N/A</v>
      </c>
      <c r="I149" s="153" t="str">
        <f t="array" ref="I149">INDEX('Primary - GRADING'!$A$1:$CP997,MATCH($A149,'Primary - GRADING'!$CP:$CP,0),48)</f>
        <v>#N/A</v>
      </c>
      <c r="J149" s="153" t="str">
        <f t="array" ref="J149">INDEX('Primary - GRADING'!$A$1:$CP997,MATCH($A149,'Primary - GRADING'!$CP:$CP,0),49)</f>
        <v>#N/A</v>
      </c>
      <c r="K149" s="153" t="str">
        <f t="array" ref="K149">INDEX('Primary - GRADING'!$A$1:$CP997,MATCH($A149,'Primary - GRADING'!$CP:$CP,0),50)</f>
        <v>#N/A</v>
      </c>
      <c r="L149" s="153" t="str">
        <f t="array" ref="L149">INDEX('Primary - GRADING'!$A$1:$CP997,MATCH($A149,'Primary - GRADING'!$CP:$CP,0),51)</f>
        <v>#N/A</v>
      </c>
      <c r="M149" s="153" t="str">
        <f t="array" ref="M149">INDEX('Primary - GRADING'!$A$1:$CP997,MATCH($A149,'Primary - GRADING'!$CP:$CP,0),52)</f>
        <v>#N/A</v>
      </c>
      <c r="N149" s="153" t="str">
        <f t="array" ref="N149">INDEX('Primary - GRADING'!$A$1:$CP997,MATCH($A149,'Primary - GRADING'!$CP:$CP,0),53)</f>
        <v>#N/A</v>
      </c>
      <c r="O149" s="153" t="str">
        <f t="array" ref="O149">INDEX('Primary - GRADING'!$A$1:$CP997,MATCH($A149,'Primary - GRADING'!$CP:$CP,0),58)</f>
        <v>#N/A</v>
      </c>
      <c r="P149" s="153" t="str">
        <f t="array" ref="P149">INDEX('Primary - GRADING'!$A$1:$CP997,MATCH($A149,'Primary - GRADING'!$CP:$CP,0),5)</f>
        <v>#N/A</v>
      </c>
      <c r="Q149" s="153" t="str">
        <f t="array" ref="Q149">INDEX('Primary - GRADING'!$A$1:$CP997,MATCH($A149,'Primary - GRADING'!$CP:$CP,0),6)</f>
        <v>#N/A</v>
      </c>
      <c r="R149" s="153" t="str">
        <f t="array" ref="R149">INDEX('Primary - GRADING'!$A$1:$CP997,MATCH($A149,'Primary - GRADING'!$CP:$CP,0),7)</f>
        <v>#N/A</v>
      </c>
      <c r="S149" s="153" t="str">
        <f t="array" ref="S149">INDEX('Primary - GRADING'!$A$1:$CP997,MATCH($A149,'Primary - GRADING'!$CP:$CP,0),8)</f>
        <v>#N/A</v>
      </c>
      <c r="T149" s="153" t="str">
        <f t="array" ref="T149">INDEX('Primary - GRADING'!$A$1:$CP997,MATCH($A149,'Primary - GRADING'!$CP:$CP,0),9)</f>
        <v>#N/A</v>
      </c>
      <c r="U149" s="153" t="str">
        <f t="array" ref="U149">INDEX('Primary - GRADING'!$A$1:$CP997,MATCH($A149,'Primary - GRADING'!$CP:$CP,0),10)</f>
        <v>#N/A</v>
      </c>
      <c r="V149" s="153" t="str">
        <f t="array" ref="V149">INDEX('Primary - GRADING'!$A$1:$CP997,MATCH($A149,'Primary - GRADING'!$CP:$CP,0),18)</f>
        <v>#N/A</v>
      </c>
      <c r="W149" s="153" t="str">
        <f t="array" ref="W149">INDEX('Primary - GRADING'!$A$1:$CP997,MATCH($A149,'Primary - GRADING'!$CP:$CP,0),20)</f>
        <v>#N/A</v>
      </c>
      <c r="X149" s="153" t="str">
        <f t="array" ref="X149">INDEX('Primary - GRADING'!$A$1:$CP997,MATCH($A149,'Primary - GRADING'!$CP:$CP,0),21)</f>
        <v>#N/A</v>
      </c>
      <c r="Y149" s="153" t="str">
        <f t="array" ref="Y149">INDEX('Primary - GRADING'!$A$1:$CP997,MATCH($A149,'Primary - GRADING'!$CP:$CP,0),22)</f>
        <v>#N/A</v>
      </c>
      <c r="Z149" s="165" t="str">
        <f t="array" ref="Z149">INDEX('Primary - GRADING'!$A$1:$CP997,MATCH($A149,'Primary - GRADING'!$CP:$CP,0),23)</f>
        <v>#N/A</v>
      </c>
      <c r="AA149" s="153" t="str">
        <f t="array" ref="AA149">INDEX('Primary - GRADING'!$A$1:$CP997,MATCH($A149,'Primary - GRADING'!$CP:$CP,0),24)</f>
        <v>#N/A</v>
      </c>
      <c r="AB149" s="153" t="str">
        <f t="array" ref="AB149">INDEX('Primary - GRADING'!$A$1:$CP997,MATCH($A149,'Primary - GRADING'!$CP:$CP,0),25)</f>
        <v>#N/A</v>
      </c>
      <c r="AC149" s="153" t="str">
        <f t="array" ref="AC149">INDEX('Primary - GRADING'!$A$1:$CP997,MATCH($A149,'Primary - GRADING'!$CP:$CP,0),46)</f>
        <v>#N/A</v>
      </c>
      <c r="AG149" s="153" t="str">
        <f t="shared" si="7"/>
        <v>#N/A</v>
      </c>
      <c r="AI149" s="153" t="str">
        <f>VLOOKUP(AH149,'Primary - GRADING'!$A$4:$C997,2,)</f>
        <v>#N/A</v>
      </c>
      <c r="AJ149" s="153" t="str">
        <f>VLOOKUP(AH149,'Primary - GRADING'!$A$4:$C997,3,)</f>
        <v>#N/A</v>
      </c>
      <c r="AK149" s="153" t="str">
        <f>VLOOKUP(AH149,'Primary - GRADING'!$A$4:$BG997,59,)</f>
        <v>#N/A</v>
      </c>
      <c r="AL149" s="153" t="str">
        <f>IFS(AK149="NMA",VLOOKUP(AH149,'Primary - GRADING'!$A$4:$BG997,51,),AK149="DIRECT",VLOOKUP(AH149,'Primary - GRADING'!$A$4:$BG997,8,),AK149="INDIRECT",VLOOKUP(AH149,'Primary - GRADING'!$A$4:$BG997,23,))</f>
        <v>#N/A</v>
      </c>
      <c r="AM149" s="153" t="str">
        <f>IFS(AK149="NMA",VLOOKUP(AH149,'Primary - GRADING'!$A$4:$BG997,52,),AK149="DIRECT",VLOOKUP(AH149,'Primary - GRADING'!$A$4:$BG997,9,),AK149="INDIRECT",VLOOKUP(AH149,'Primary - GRADING'!$A$4:$BG997,24,))</f>
        <v>#N/A</v>
      </c>
      <c r="AN149" s="153" t="str">
        <f>IFS(AK149="NMA",VLOOKUP(AH149,'Primary - GRADING'!$A$4:$BG997,53,),AK149="DIRECT",VLOOKUP(AH149,'Primary - GRADING'!$A$4:$BG997,10,),AK149="INDIRECT",VLOOKUP(AH149,'Primary - GRADING'!$A$4:$BG997,25,))</f>
        <v>#N/A</v>
      </c>
      <c r="AO149" s="153" t="str">
        <f t="shared" si="8"/>
        <v>#N/A</v>
      </c>
      <c r="AT149" s="153" t="str">
        <f t="shared" si="9"/>
        <v>#N/A</v>
      </c>
      <c r="AV149" s="153" t="str">
        <f>VLOOKUP(AU149,'Primary - GRADING'!$A$4:$C997,2,)</f>
        <v>#N/A</v>
      </c>
      <c r="AW149" s="153" t="str">
        <f>VLOOKUP(AU149,'Primary - GRADING'!$A$4:$C997,3,)</f>
        <v>#N/A</v>
      </c>
      <c r="AX149" s="153" t="str">
        <f>VLOOKUP(AU149,'Primary - GRADING'!$A$4:$BG997,59,)</f>
        <v>#N/A</v>
      </c>
      <c r="AY149" s="153" t="str">
        <f>IFS(AX149="NMA",VLOOKUP(AU149,'Primary - GRADING'!$A$4:$BG997,51,),AX149="DIRECT",VLOOKUP(AU149,'Primary - GRADING'!$A$4:$BG997,8,),AX149="INDIRECT",VLOOKUP(AU149,'Primary - GRADING'!$A$4:$BG997,23,))</f>
        <v>#N/A</v>
      </c>
      <c r="AZ149" s="153" t="str">
        <f>IFS(AX149="NMA",VLOOKUP(AU149,'Primary - GRADING'!$A$4:$BG997,52,),AX149="DIRECT",VLOOKUP(AU149,'Primary - GRADING'!$A$4:$BG997,9,),AX149="INDIRECT",VLOOKUP(AU149,'Primary - GRADING'!$A$4:$BG997,24,))</f>
        <v>#N/A</v>
      </c>
      <c r="BA149" s="153" t="str">
        <f>IFS(AX149="NMA",VLOOKUP(AU149,'Primary - GRADING'!$A$4:$BG997,53,),AX149="DIRECT",VLOOKUP(AU149,'Primary - GRADING'!$A$4:$BG997,10,),AX149="INDIRECT",VLOOKUP(AU149,'Primary - GRADING'!$A$4:$BG997,25,))</f>
        <v>#N/A</v>
      </c>
      <c r="BB149" s="153" t="str">
        <f t="shared" si="10"/>
        <v>#N/A</v>
      </c>
      <c r="BE149" s="153" t="str">
        <f t="shared" si="11"/>
        <v/>
      </c>
      <c r="BG149" s="153" t="str">
        <f t="shared" si="12"/>
        <v>#N/A</v>
      </c>
      <c r="BI149" s="153" t="str">
        <f t="shared" si="13"/>
        <v>#N/A</v>
      </c>
      <c r="BK149" s="153" t="str">
        <f t="shared" si="14"/>
        <v>#N/A</v>
      </c>
      <c r="BM149" s="153" t="str">
        <f t="shared" si="15"/>
        <v>#N/A</v>
      </c>
    </row>
    <row r="150" ht="15.75" customHeight="1">
      <c r="B150" s="160" t="str">
        <f t="shared" si="1"/>
        <v>#N/A</v>
      </c>
      <c r="C150" s="160" t="str">
        <f t="shared" si="2"/>
        <v>#N/A</v>
      </c>
      <c r="D150" s="160" t="str">
        <f t="shared" si="3"/>
        <v>#N/A</v>
      </c>
      <c r="E150" s="161" t="str">
        <f t="shared" si="4"/>
        <v>#N/A</v>
      </c>
      <c r="F150" s="153" t="str">
        <f t="shared" si="17"/>
        <v>#N/A</v>
      </c>
      <c r="G150" s="153" t="str">
        <f t="shared" si="6"/>
        <v>#N/A</v>
      </c>
      <c r="H150" s="156" t="str">
        <f t="array" ref="H150">INDEX('Primary - GRADING'!$A$1:$BG997,MATCH($A150,'Primary - GRADING'!$B:$B,0),59)</f>
        <v>#N/A</v>
      </c>
      <c r="I150" s="153" t="str">
        <f t="array" ref="I150">INDEX('Primary - GRADING'!$A$1:$CP997,MATCH($A150,'Primary - GRADING'!$CP:$CP,0),48)</f>
        <v>#N/A</v>
      </c>
      <c r="J150" s="153" t="str">
        <f t="array" ref="J150">INDEX('Primary - GRADING'!$A$1:$CP997,MATCH($A150,'Primary - GRADING'!$CP:$CP,0),49)</f>
        <v>#N/A</v>
      </c>
      <c r="K150" s="153" t="str">
        <f t="array" ref="K150">INDEX('Primary - GRADING'!$A$1:$CP997,MATCH($A150,'Primary - GRADING'!$CP:$CP,0),50)</f>
        <v>#N/A</v>
      </c>
      <c r="L150" s="153" t="str">
        <f t="array" ref="L150">INDEX('Primary - GRADING'!$A$1:$CP997,MATCH($A150,'Primary - GRADING'!$CP:$CP,0),51)</f>
        <v>#N/A</v>
      </c>
      <c r="M150" s="153" t="str">
        <f t="array" ref="M150">INDEX('Primary - GRADING'!$A$1:$CP997,MATCH($A150,'Primary - GRADING'!$CP:$CP,0),52)</f>
        <v>#N/A</v>
      </c>
      <c r="N150" s="153" t="str">
        <f t="array" ref="N150">INDEX('Primary - GRADING'!$A$1:$CP997,MATCH($A150,'Primary - GRADING'!$CP:$CP,0),53)</f>
        <v>#N/A</v>
      </c>
      <c r="O150" s="153" t="str">
        <f t="array" ref="O150">INDEX('Primary - GRADING'!$A$1:$CP997,MATCH($A150,'Primary - GRADING'!$CP:$CP,0),58)</f>
        <v>#N/A</v>
      </c>
      <c r="P150" s="153" t="str">
        <f t="array" ref="P150">INDEX('Primary - GRADING'!$A$1:$CP997,MATCH($A150,'Primary - GRADING'!$CP:$CP,0),5)</f>
        <v>#N/A</v>
      </c>
      <c r="Q150" s="153" t="str">
        <f t="array" ref="Q150">INDEX('Primary - GRADING'!$A$1:$CP997,MATCH($A150,'Primary - GRADING'!$CP:$CP,0),6)</f>
        <v>#N/A</v>
      </c>
      <c r="R150" s="153" t="str">
        <f t="array" ref="R150">INDEX('Primary - GRADING'!$A$1:$CP997,MATCH($A150,'Primary - GRADING'!$CP:$CP,0),7)</f>
        <v>#N/A</v>
      </c>
      <c r="S150" s="153" t="str">
        <f t="array" ref="S150">INDEX('Primary - GRADING'!$A$1:$CP997,MATCH($A150,'Primary - GRADING'!$CP:$CP,0),8)</f>
        <v>#N/A</v>
      </c>
      <c r="T150" s="153" t="str">
        <f t="array" ref="T150">INDEX('Primary - GRADING'!$A$1:$CP997,MATCH($A150,'Primary - GRADING'!$CP:$CP,0),9)</f>
        <v>#N/A</v>
      </c>
      <c r="U150" s="153" t="str">
        <f t="array" ref="U150">INDEX('Primary - GRADING'!$A$1:$CP997,MATCH($A150,'Primary - GRADING'!$CP:$CP,0),10)</f>
        <v>#N/A</v>
      </c>
      <c r="V150" s="153" t="str">
        <f t="array" ref="V150">INDEX('Primary - GRADING'!$A$1:$CP997,MATCH($A150,'Primary - GRADING'!$CP:$CP,0),18)</f>
        <v>#N/A</v>
      </c>
      <c r="W150" s="153" t="str">
        <f t="array" ref="W150">INDEX('Primary - GRADING'!$A$1:$CP997,MATCH($A150,'Primary - GRADING'!$CP:$CP,0),20)</f>
        <v>#N/A</v>
      </c>
      <c r="X150" s="153" t="str">
        <f t="array" ref="X150">INDEX('Primary - GRADING'!$A$1:$CP997,MATCH($A150,'Primary - GRADING'!$CP:$CP,0),21)</f>
        <v>#N/A</v>
      </c>
      <c r="Y150" s="153" t="str">
        <f t="array" ref="Y150">INDEX('Primary - GRADING'!$A$1:$CP997,MATCH($A150,'Primary - GRADING'!$CP:$CP,0),22)</f>
        <v>#N/A</v>
      </c>
      <c r="Z150" s="165" t="str">
        <f t="array" ref="Z150">INDEX('Primary - GRADING'!$A$1:$CP997,MATCH($A150,'Primary - GRADING'!$CP:$CP,0),23)</f>
        <v>#N/A</v>
      </c>
      <c r="AA150" s="153" t="str">
        <f t="array" ref="AA150">INDEX('Primary - GRADING'!$A$1:$CP997,MATCH($A150,'Primary - GRADING'!$CP:$CP,0),24)</f>
        <v>#N/A</v>
      </c>
      <c r="AB150" s="153" t="str">
        <f t="array" ref="AB150">INDEX('Primary - GRADING'!$A$1:$CP997,MATCH($A150,'Primary - GRADING'!$CP:$CP,0),25)</f>
        <v>#N/A</v>
      </c>
      <c r="AC150" s="153" t="str">
        <f t="array" ref="AC150">INDEX('Primary - GRADING'!$A$1:$CP997,MATCH($A150,'Primary - GRADING'!$CP:$CP,0),46)</f>
        <v>#N/A</v>
      </c>
      <c r="AG150" s="153" t="str">
        <f t="shared" si="7"/>
        <v>#N/A</v>
      </c>
      <c r="AI150" s="153" t="str">
        <f>VLOOKUP(AH150,'Primary - GRADING'!$A$4:$C997,2,)</f>
        <v>#N/A</v>
      </c>
      <c r="AJ150" s="153" t="str">
        <f>VLOOKUP(AH150,'Primary - GRADING'!$A$4:$C997,3,)</f>
        <v>#N/A</v>
      </c>
      <c r="AK150" s="153" t="str">
        <f>VLOOKUP(AH150,'Primary - GRADING'!$A$4:$BG997,59,)</f>
        <v>#N/A</v>
      </c>
      <c r="AL150" s="153" t="str">
        <f>IFS(AK150="NMA",VLOOKUP(AH150,'Primary - GRADING'!$A$4:$BG997,51,),AK150="DIRECT",VLOOKUP(AH150,'Primary - GRADING'!$A$4:$BG997,8,),AK150="INDIRECT",VLOOKUP(AH150,'Primary - GRADING'!$A$4:$BG997,23,))</f>
        <v>#N/A</v>
      </c>
      <c r="AM150" s="153" t="str">
        <f>IFS(AK150="NMA",VLOOKUP(AH150,'Primary - GRADING'!$A$4:$BG997,52,),AK150="DIRECT",VLOOKUP(AH150,'Primary - GRADING'!$A$4:$BG997,9,),AK150="INDIRECT",VLOOKUP(AH150,'Primary - GRADING'!$A$4:$BG997,24,))</f>
        <v>#N/A</v>
      </c>
      <c r="AN150" s="153" t="str">
        <f>IFS(AK150="NMA",VLOOKUP(AH150,'Primary - GRADING'!$A$4:$BG997,53,),AK150="DIRECT",VLOOKUP(AH150,'Primary - GRADING'!$A$4:$BG997,10,),AK150="INDIRECT",VLOOKUP(AH150,'Primary - GRADING'!$A$4:$BG997,25,))</f>
        <v>#N/A</v>
      </c>
      <c r="AO150" s="153" t="str">
        <f t="shared" si="8"/>
        <v>#N/A</v>
      </c>
      <c r="AT150" s="153" t="str">
        <f t="shared" si="9"/>
        <v>#N/A</v>
      </c>
      <c r="AV150" s="153" t="str">
        <f>VLOOKUP(AU150,'Primary - GRADING'!$A$4:$C997,2,)</f>
        <v>#N/A</v>
      </c>
      <c r="AW150" s="153" t="str">
        <f>VLOOKUP(AU150,'Primary - GRADING'!$A$4:$C997,3,)</f>
        <v>#N/A</v>
      </c>
      <c r="AX150" s="153" t="str">
        <f>VLOOKUP(AU150,'Primary - GRADING'!$A$4:$BG997,59,)</f>
        <v>#N/A</v>
      </c>
      <c r="AY150" s="153" t="str">
        <f>IFS(AX150="NMA",VLOOKUP(AU150,'Primary - GRADING'!$A$4:$BG997,51,),AX150="DIRECT",VLOOKUP(AU150,'Primary - GRADING'!$A$4:$BG997,8,),AX150="INDIRECT",VLOOKUP(AU150,'Primary - GRADING'!$A$4:$BG997,23,))</f>
        <v>#N/A</v>
      </c>
      <c r="AZ150" s="153" t="str">
        <f>IFS(AX150="NMA",VLOOKUP(AU150,'Primary - GRADING'!$A$4:$BG997,52,),AX150="DIRECT",VLOOKUP(AU150,'Primary - GRADING'!$A$4:$BG997,9,),AX150="INDIRECT",VLOOKUP(AU150,'Primary - GRADING'!$A$4:$BG997,24,))</f>
        <v>#N/A</v>
      </c>
      <c r="BA150" s="153" t="str">
        <f>IFS(AX150="NMA",VLOOKUP(AU150,'Primary - GRADING'!$A$4:$BG997,53,),AX150="DIRECT",VLOOKUP(AU150,'Primary - GRADING'!$A$4:$BG997,10,),AX150="INDIRECT",VLOOKUP(AU150,'Primary - GRADING'!$A$4:$BG997,25,))</f>
        <v>#N/A</v>
      </c>
      <c r="BB150" s="153" t="str">
        <f t="shared" si="10"/>
        <v>#N/A</v>
      </c>
      <c r="BE150" s="153" t="str">
        <f t="shared" si="11"/>
        <v/>
      </c>
      <c r="BG150" s="153" t="str">
        <f t="shared" si="12"/>
        <v>#N/A</v>
      </c>
      <c r="BI150" s="153" t="str">
        <f t="shared" si="13"/>
        <v>#N/A</v>
      </c>
      <c r="BK150" s="153" t="str">
        <f t="shared" si="14"/>
        <v>#N/A</v>
      </c>
      <c r="BM150" s="153" t="str">
        <f t="shared" si="15"/>
        <v>#N/A</v>
      </c>
    </row>
    <row r="151" ht="15.75" customHeight="1">
      <c r="B151" s="160" t="str">
        <f t="shared" si="1"/>
        <v>#N/A</v>
      </c>
      <c r="C151" s="160" t="str">
        <f t="shared" si="2"/>
        <v>#N/A</v>
      </c>
      <c r="D151" s="160" t="str">
        <f t="shared" si="3"/>
        <v>#N/A</v>
      </c>
      <c r="E151" s="161" t="str">
        <f t="shared" si="4"/>
        <v>#N/A</v>
      </c>
      <c r="F151" s="153" t="str">
        <f t="shared" si="17"/>
        <v>#N/A</v>
      </c>
      <c r="G151" s="153" t="str">
        <f t="shared" si="6"/>
        <v>#N/A</v>
      </c>
      <c r="H151" s="156" t="str">
        <f t="array" ref="H151">INDEX('Primary - GRADING'!$A$1:$BG997,MATCH($A151,'Primary - GRADING'!$B:$B,0),59)</f>
        <v>#N/A</v>
      </c>
      <c r="I151" s="153" t="str">
        <f t="array" ref="I151">INDEX('Primary - GRADING'!$A$1:$CP997,MATCH($A151,'Primary - GRADING'!$CP:$CP,0),48)</f>
        <v>#N/A</v>
      </c>
      <c r="J151" s="153" t="str">
        <f t="array" ref="J151">INDEX('Primary - GRADING'!$A$1:$CP997,MATCH($A151,'Primary - GRADING'!$CP:$CP,0),49)</f>
        <v>#N/A</v>
      </c>
      <c r="K151" s="153" t="str">
        <f t="array" ref="K151">INDEX('Primary - GRADING'!$A$1:$CP997,MATCH($A151,'Primary - GRADING'!$CP:$CP,0),50)</f>
        <v>#N/A</v>
      </c>
      <c r="L151" s="153" t="str">
        <f t="array" ref="L151">INDEX('Primary - GRADING'!$A$1:$CP997,MATCH($A151,'Primary - GRADING'!$CP:$CP,0),51)</f>
        <v>#N/A</v>
      </c>
      <c r="M151" s="153" t="str">
        <f t="array" ref="M151">INDEX('Primary - GRADING'!$A$1:$CP997,MATCH($A151,'Primary - GRADING'!$CP:$CP,0),52)</f>
        <v>#N/A</v>
      </c>
      <c r="N151" s="153" t="str">
        <f t="array" ref="N151">INDEX('Primary - GRADING'!$A$1:$CP997,MATCH($A151,'Primary - GRADING'!$CP:$CP,0),53)</f>
        <v>#N/A</v>
      </c>
      <c r="O151" s="153" t="str">
        <f t="array" ref="O151">INDEX('Primary - GRADING'!$A$1:$CP997,MATCH($A151,'Primary - GRADING'!$CP:$CP,0),58)</f>
        <v>#N/A</v>
      </c>
      <c r="P151" s="153" t="str">
        <f t="array" ref="P151">INDEX('Primary - GRADING'!$A$1:$CP997,MATCH($A151,'Primary - GRADING'!$CP:$CP,0),5)</f>
        <v>#N/A</v>
      </c>
      <c r="Q151" s="153" t="str">
        <f t="array" ref="Q151">INDEX('Primary - GRADING'!$A$1:$CP997,MATCH($A151,'Primary - GRADING'!$CP:$CP,0),6)</f>
        <v>#N/A</v>
      </c>
      <c r="R151" s="153" t="str">
        <f t="array" ref="R151">INDEX('Primary - GRADING'!$A$1:$CP997,MATCH($A151,'Primary - GRADING'!$CP:$CP,0),7)</f>
        <v>#N/A</v>
      </c>
      <c r="S151" s="153" t="str">
        <f t="array" ref="S151">INDEX('Primary - GRADING'!$A$1:$CP997,MATCH($A151,'Primary - GRADING'!$CP:$CP,0),8)</f>
        <v>#N/A</v>
      </c>
      <c r="T151" s="153" t="str">
        <f t="array" ref="T151">INDEX('Primary - GRADING'!$A$1:$CP997,MATCH($A151,'Primary - GRADING'!$CP:$CP,0),9)</f>
        <v>#N/A</v>
      </c>
      <c r="U151" s="153" t="str">
        <f t="array" ref="U151">INDEX('Primary - GRADING'!$A$1:$CP997,MATCH($A151,'Primary - GRADING'!$CP:$CP,0),10)</f>
        <v>#N/A</v>
      </c>
      <c r="V151" s="153" t="str">
        <f t="array" ref="V151">INDEX('Primary - GRADING'!$A$1:$CP997,MATCH($A151,'Primary - GRADING'!$CP:$CP,0),18)</f>
        <v>#N/A</v>
      </c>
      <c r="W151" s="153" t="str">
        <f t="array" ref="W151">INDEX('Primary - GRADING'!$A$1:$CP997,MATCH($A151,'Primary - GRADING'!$CP:$CP,0),20)</f>
        <v>#N/A</v>
      </c>
      <c r="X151" s="153" t="str">
        <f t="array" ref="X151">INDEX('Primary - GRADING'!$A$1:$CP997,MATCH($A151,'Primary - GRADING'!$CP:$CP,0),21)</f>
        <v>#N/A</v>
      </c>
      <c r="Y151" s="153" t="str">
        <f t="array" ref="Y151">INDEX('Primary - GRADING'!$A$1:$CP997,MATCH($A151,'Primary - GRADING'!$CP:$CP,0),22)</f>
        <v>#N/A</v>
      </c>
      <c r="Z151" s="165" t="str">
        <f t="array" ref="Z151">INDEX('Primary - GRADING'!$A$1:$CP997,MATCH($A151,'Primary - GRADING'!$CP:$CP,0),23)</f>
        <v>#N/A</v>
      </c>
      <c r="AA151" s="153" t="str">
        <f t="array" ref="AA151">INDEX('Primary - GRADING'!$A$1:$CP997,MATCH($A151,'Primary - GRADING'!$CP:$CP,0),24)</f>
        <v>#N/A</v>
      </c>
      <c r="AB151" s="153" t="str">
        <f t="array" ref="AB151">INDEX('Primary - GRADING'!$A$1:$CP997,MATCH($A151,'Primary - GRADING'!$CP:$CP,0),25)</f>
        <v>#N/A</v>
      </c>
      <c r="AC151" s="153" t="str">
        <f t="array" ref="AC151">INDEX('Primary - GRADING'!$A$1:$CP997,MATCH($A151,'Primary - GRADING'!$CP:$CP,0),46)</f>
        <v>#N/A</v>
      </c>
      <c r="AG151" s="153" t="str">
        <f t="shared" si="7"/>
        <v>#N/A</v>
      </c>
      <c r="AI151" s="153" t="str">
        <f>VLOOKUP(AH151,'Primary - GRADING'!$A$4:$C997,2,)</f>
        <v>#N/A</v>
      </c>
      <c r="AJ151" s="153" t="str">
        <f>VLOOKUP(AH151,'Primary - GRADING'!$A$4:$C997,3,)</f>
        <v>#N/A</v>
      </c>
      <c r="AK151" s="153" t="str">
        <f>VLOOKUP(AH151,'Primary - GRADING'!$A$4:$BG997,59,)</f>
        <v>#N/A</v>
      </c>
      <c r="AL151" s="153" t="str">
        <f>IFS(AK151="NMA",VLOOKUP(AH151,'Primary - GRADING'!$A$4:$BG997,51,),AK151="DIRECT",VLOOKUP(AH151,'Primary - GRADING'!$A$4:$BG997,8,),AK151="INDIRECT",VLOOKUP(AH151,'Primary - GRADING'!$A$4:$BG997,23,))</f>
        <v>#N/A</v>
      </c>
      <c r="AM151" s="153" t="str">
        <f>IFS(AK151="NMA",VLOOKUP(AH151,'Primary - GRADING'!$A$4:$BG997,52,),AK151="DIRECT",VLOOKUP(AH151,'Primary - GRADING'!$A$4:$BG997,9,),AK151="INDIRECT",VLOOKUP(AH151,'Primary - GRADING'!$A$4:$BG997,24,))</f>
        <v>#N/A</v>
      </c>
      <c r="AN151" s="153" t="str">
        <f>IFS(AK151="NMA",VLOOKUP(AH151,'Primary - GRADING'!$A$4:$BG997,53,),AK151="DIRECT",VLOOKUP(AH151,'Primary - GRADING'!$A$4:$BG997,10,),AK151="INDIRECT",VLOOKUP(AH151,'Primary - GRADING'!$A$4:$BG997,25,))</f>
        <v>#N/A</v>
      </c>
      <c r="AO151" s="153" t="str">
        <f t="shared" si="8"/>
        <v>#N/A</v>
      </c>
      <c r="AT151" s="153" t="str">
        <f t="shared" si="9"/>
        <v>#N/A</v>
      </c>
      <c r="AV151" s="153" t="str">
        <f>VLOOKUP(AU151,'Primary - GRADING'!$A$4:$C997,2,)</f>
        <v>#N/A</v>
      </c>
      <c r="AW151" s="153" t="str">
        <f>VLOOKUP(AU151,'Primary - GRADING'!$A$4:$C997,3,)</f>
        <v>#N/A</v>
      </c>
      <c r="AX151" s="153" t="str">
        <f>VLOOKUP(AU151,'Primary - GRADING'!$A$4:$BG997,59,)</f>
        <v>#N/A</v>
      </c>
      <c r="AY151" s="153" t="str">
        <f>IFS(AX151="NMA",VLOOKUP(AU151,'Primary - GRADING'!$A$4:$BG997,51,),AX151="DIRECT",VLOOKUP(AU151,'Primary - GRADING'!$A$4:$BG997,8,),AX151="INDIRECT",VLOOKUP(AU151,'Primary - GRADING'!$A$4:$BG997,23,))</f>
        <v>#N/A</v>
      </c>
      <c r="AZ151" s="153" t="str">
        <f>IFS(AX151="NMA",VLOOKUP(AU151,'Primary - GRADING'!$A$4:$BG997,52,),AX151="DIRECT",VLOOKUP(AU151,'Primary - GRADING'!$A$4:$BG997,9,),AX151="INDIRECT",VLOOKUP(AU151,'Primary - GRADING'!$A$4:$BG997,24,))</f>
        <v>#N/A</v>
      </c>
      <c r="BA151" s="153" t="str">
        <f>IFS(AX151="NMA",VLOOKUP(AU151,'Primary - GRADING'!$A$4:$BG997,53,),AX151="DIRECT",VLOOKUP(AU151,'Primary - GRADING'!$A$4:$BG997,10,),AX151="INDIRECT",VLOOKUP(AU151,'Primary - GRADING'!$A$4:$BG997,25,))</f>
        <v>#N/A</v>
      </c>
      <c r="BB151" s="153" t="str">
        <f t="shared" si="10"/>
        <v>#N/A</v>
      </c>
      <c r="BE151" s="153" t="str">
        <f t="shared" si="11"/>
        <v/>
      </c>
      <c r="BG151" s="153" t="str">
        <f t="shared" si="12"/>
        <v>#N/A</v>
      </c>
      <c r="BI151" s="153" t="str">
        <f t="shared" si="13"/>
        <v>#N/A</v>
      </c>
      <c r="BK151" s="153" t="str">
        <f t="shared" si="14"/>
        <v>#N/A</v>
      </c>
      <c r="BM151" s="153" t="str">
        <f t="shared" si="15"/>
        <v>#N/A</v>
      </c>
    </row>
    <row r="152" ht="15.75" customHeight="1">
      <c r="B152" s="160" t="str">
        <f t="shared" si="1"/>
        <v>#N/A</v>
      </c>
      <c r="C152" s="160" t="str">
        <f t="shared" si="2"/>
        <v>#N/A</v>
      </c>
      <c r="D152" s="160" t="str">
        <f t="shared" si="3"/>
        <v>#N/A</v>
      </c>
      <c r="E152" s="161" t="str">
        <f t="shared" si="4"/>
        <v>#N/A</v>
      </c>
      <c r="F152" s="153" t="str">
        <f t="shared" si="17"/>
        <v>#N/A</v>
      </c>
      <c r="G152" s="153" t="str">
        <f t="shared" si="6"/>
        <v>#N/A</v>
      </c>
      <c r="H152" s="156" t="str">
        <f t="array" ref="H152">INDEX('Primary - GRADING'!$A$1:$BG997,MATCH($A152,'Primary - GRADING'!$B:$B,0),59)</f>
        <v>#N/A</v>
      </c>
      <c r="I152" s="153" t="str">
        <f t="array" ref="I152">INDEX('Primary - GRADING'!$A$1:$CP997,MATCH($A152,'Primary - GRADING'!$CP:$CP,0),48)</f>
        <v>#N/A</v>
      </c>
      <c r="J152" s="153" t="str">
        <f t="array" ref="J152">INDEX('Primary - GRADING'!$A$1:$CP997,MATCH($A152,'Primary - GRADING'!$CP:$CP,0),49)</f>
        <v>#N/A</v>
      </c>
      <c r="K152" s="153" t="str">
        <f t="array" ref="K152">INDEX('Primary - GRADING'!$A$1:$CP997,MATCH($A152,'Primary - GRADING'!$CP:$CP,0),50)</f>
        <v>#N/A</v>
      </c>
      <c r="L152" s="153" t="str">
        <f t="array" ref="L152">INDEX('Primary - GRADING'!$A$1:$CP997,MATCH($A152,'Primary - GRADING'!$CP:$CP,0),51)</f>
        <v>#N/A</v>
      </c>
      <c r="M152" s="153" t="str">
        <f t="array" ref="M152">INDEX('Primary - GRADING'!$A$1:$CP997,MATCH($A152,'Primary - GRADING'!$CP:$CP,0),52)</f>
        <v>#N/A</v>
      </c>
      <c r="N152" s="153" t="str">
        <f t="array" ref="N152">INDEX('Primary - GRADING'!$A$1:$CP997,MATCH($A152,'Primary - GRADING'!$CP:$CP,0),53)</f>
        <v>#N/A</v>
      </c>
      <c r="O152" s="153" t="str">
        <f t="array" ref="O152">INDEX('Primary - GRADING'!$A$1:$CP997,MATCH($A152,'Primary - GRADING'!$CP:$CP,0),58)</f>
        <v>#N/A</v>
      </c>
      <c r="P152" s="153" t="str">
        <f t="array" ref="P152">INDEX('Primary - GRADING'!$A$1:$CP997,MATCH($A152,'Primary - GRADING'!$CP:$CP,0),5)</f>
        <v>#N/A</v>
      </c>
      <c r="Q152" s="153" t="str">
        <f t="array" ref="Q152">INDEX('Primary - GRADING'!$A$1:$CP997,MATCH($A152,'Primary - GRADING'!$CP:$CP,0),6)</f>
        <v>#N/A</v>
      </c>
      <c r="R152" s="153" t="str">
        <f t="array" ref="R152">INDEX('Primary - GRADING'!$A$1:$CP997,MATCH($A152,'Primary - GRADING'!$CP:$CP,0),7)</f>
        <v>#N/A</v>
      </c>
      <c r="S152" s="153" t="str">
        <f t="array" ref="S152">INDEX('Primary - GRADING'!$A$1:$CP997,MATCH($A152,'Primary - GRADING'!$CP:$CP,0),8)</f>
        <v>#N/A</v>
      </c>
      <c r="T152" s="153" t="str">
        <f t="array" ref="T152">INDEX('Primary - GRADING'!$A$1:$CP997,MATCH($A152,'Primary - GRADING'!$CP:$CP,0),9)</f>
        <v>#N/A</v>
      </c>
      <c r="U152" s="153" t="str">
        <f t="array" ref="U152">INDEX('Primary - GRADING'!$A$1:$CP997,MATCH($A152,'Primary - GRADING'!$CP:$CP,0),10)</f>
        <v>#N/A</v>
      </c>
      <c r="V152" s="153" t="str">
        <f t="array" ref="V152">INDEX('Primary - GRADING'!$A$1:$CP997,MATCH($A152,'Primary - GRADING'!$CP:$CP,0),18)</f>
        <v>#N/A</v>
      </c>
      <c r="W152" s="153" t="str">
        <f t="array" ref="W152">INDEX('Primary - GRADING'!$A$1:$CP997,MATCH($A152,'Primary - GRADING'!$CP:$CP,0),20)</f>
        <v>#N/A</v>
      </c>
      <c r="X152" s="153" t="str">
        <f t="array" ref="X152">INDEX('Primary - GRADING'!$A$1:$CP997,MATCH($A152,'Primary - GRADING'!$CP:$CP,0),21)</f>
        <v>#N/A</v>
      </c>
      <c r="Y152" s="153" t="str">
        <f t="array" ref="Y152">INDEX('Primary - GRADING'!$A$1:$CP997,MATCH($A152,'Primary - GRADING'!$CP:$CP,0),22)</f>
        <v>#N/A</v>
      </c>
      <c r="Z152" s="165" t="str">
        <f t="array" ref="Z152">INDEX('Primary - GRADING'!$A$1:$CP997,MATCH($A152,'Primary - GRADING'!$CP:$CP,0),23)</f>
        <v>#N/A</v>
      </c>
      <c r="AA152" s="153" t="str">
        <f t="array" ref="AA152">INDEX('Primary - GRADING'!$A$1:$CP997,MATCH($A152,'Primary - GRADING'!$CP:$CP,0),24)</f>
        <v>#N/A</v>
      </c>
      <c r="AB152" s="153" t="str">
        <f t="array" ref="AB152">INDEX('Primary - GRADING'!$A$1:$CP997,MATCH($A152,'Primary - GRADING'!$CP:$CP,0),25)</f>
        <v>#N/A</v>
      </c>
      <c r="AC152" s="153" t="str">
        <f t="array" ref="AC152">INDEX('Primary - GRADING'!$A$1:$CP997,MATCH($A152,'Primary - GRADING'!$CP:$CP,0),46)</f>
        <v>#N/A</v>
      </c>
      <c r="AG152" s="153" t="str">
        <f t="shared" si="7"/>
        <v>#N/A</v>
      </c>
      <c r="AI152" s="153" t="str">
        <f>VLOOKUP(AH152,'Primary - GRADING'!$A$4:$C997,2,)</f>
        <v>#N/A</v>
      </c>
      <c r="AJ152" s="153" t="str">
        <f>VLOOKUP(AH152,'Primary - GRADING'!$A$4:$C997,3,)</f>
        <v>#N/A</v>
      </c>
      <c r="AK152" s="153" t="str">
        <f>VLOOKUP(AH152,'Primary - GRADING'!$A$4:$BG997,59,)</f>
        <v>#N/A</v>
      </c>
      <c r="AL152" s="153" t="str">
        <f>IFS(AK152="NMA",VLOOKUP(AH152,'Primary - GRADING'!$A$4:$BG997,51,),AK152="DIRECT",VLOOKUP(AH152,'Primary - GRADING'!$A$4:$BG997,8,),AK152="INDIRECT",VLOOKUP(AH152,'Primary - GRADING'!$A$4:$BG997,23,))</f>
        <v>#N/A</v>
      </c>
      <c r="AM152" s="153" t="str">
        <f>IFS(AK152="NMA",VLOOKUP(AH152,'Primary - GRADING'!$A$4:$BG997,52,),AK152="DIRECT",VLOOKUP(AH152,'Primary - GRADING'!$A$4:$BG997,9,),AK152="INDIRECT",VLOOKUP(AH152,'Primary - GRADING'!$A$4:$BG997,24,))</f>
        <v>#N/A</v>
      </c>
      <c r="AN152" s="153" t="str">
        <f>IFS(AK152="NMA",VLOOKUP(AH152,'Primary - GRADING'!$A$4:$BG997,53,),AK152="DIRECT",VLOOKUP(AH152,'Primary - GRADING'!$A$4:$BG997,10,),AK152="INDIRECT",VLOOKUP(AH152,'Primary - GRADING'!$A$4:$BG997,25,))</f>
        <v>#N/A</v>
      </c>
      <c r="AO152" s="153" t="str">
        <f t="shared" si="8"/>
        <v>#N/A</v>
      </c>
      <c r="AT152" s="153" t="str">
        <f t="shared" si="9"/>
        <v>#N/A</v>
      </c>
      <c r="AV152" s="153" t="str">
        <f>VLOOKUP(AU152,'Primary - GRADING'!$A$4:$C997,2,)</f>
        <v>#N/A</v>
      </c>
      <c r="AW152" s="153" t="str">
        <f>VLOOKUP(AU152,'Primary - GRADING'!$A$4:$C997,3,)</f>
        <v>#N/A</v>
      </c>
      <c r="AX152" s="153" t="str">
        <f>VLOOKUP(AU152,'Primary - GRADING'!$A$4:$BG997,59,)</f>
        <v>#N/A</v>
      </c>
      <c r="AY152" s="153" t="str">
        <f>IFS(AX152="NMA",VLOOKUP(AU152,'Primary - GRADING'!$A$4:$BG997,51,),AX152="DIRECT",VLOOKUP(AU152,'Primary - GRADING'!$A$4:$BG997,8,),AX152="INDIRECT",VLOOKUP(AU152,'Primary - GRADING'!$A$4:$BG997,23,))</f>
        <v>#N/A</v>
      </c>
      <c r="AZ152" s="153" t="str">
        <f>IFS(AX152="NMA",VLOOKUP(AU152,'Primary - GRADING'!$A$4:$BG997,52,),AX152="DIRECT",VLOOKUP(AU152,'Primary - GRADING'!$A$4:$BG997,9,),AX152="INDIRECT",VLOOKUP(AU152,'Primary - GRADING'!$A$4:$BG997,24,))</f>
        <v>#N/A</v>
      </c>
      <c r="BA152" s="153" t="str">
        <f>IFS(AX152="NMA",VLOOKUP(AU152,'Primary - GRADING'!$A$4:$BG997,53,),AX152="DIRECT",VLOOKUP(AU152,'Primary - GRADING'!$A$4:$BG997,10,),AX152="INDIRECT",VLOOKUP(AU152,'Primary - GRADING'!$A$4:$BG997,25,))</f>
        <v>#N/A</v>
      </c>
      <c r="BB152" s="153" t="str">
        <f t="shared" si="10"/>
        <v>#N/A</v>
      </c>
      <c r="BE152" s="153" t="str">
        <f t="shared" si="11"/>
        <v/>
      </c>
      <c r="BG152" s="153" t="str">
        <f t="shared" si="12"/>
        <v>#N/A</v>
      </c>
      <c r="BI152" s="153" t="str">
        <f t="shared" si="13"/>
        <v>#N/A</v>
      </c>
      <c r="BK152" s="153" t="str">
        <f t="shared" si="14"/>
        <v>#N/A</v>
      </c>
      <c r="BM152" s="153" t="str">
        <f t="shared" si="15"/>
        <v>#N/A</v>
      </c>
    </row>
    <row r="153" ht="15.75" customHeight="1">
      <c r="B153" s="160" t="str">
        <f t="shared" si="1"/>
        <v>#N/A</v>
      </c>
      <c r="C153" s="160" t="str">
        <f t="shared" si="2"/>
        <v>#N/A</v>
      </c>
      <c r="D153" s="160" t="str">
        <f t="shared" si="3"/>
        <v>#N/A</v>
      </c>
      <c r="E153" s="161" t="str">
        <f t="shared" si="4"/>
        <v>#N/A</v>
      </c>
      <c r="F153" s="153" t="str">
        <f t="shared" si="17"/>
        <v>#N/A</v>
      </c>
      <c r="G153" s="153" t="str">
        <f t="shared" si="6"/>
        <v>#N/A</v>
      </c>
      <c r="H153" s="156" t="str">
        <f t="array" ref="H153">INDEX('Primary - GRADING'!$A$1:$BG997,MATCH($A153,'Primary - GRADING'!$B:$B,0),59)</f>
        <v>#N/A</v>
      </c>
      <c r="I153" s="153" t="str">
        <f t="array" ref="I153">INDEX('Primary - GRADING'!$A$1:$CP997,MATCH($A153,'Primary - GRADING'!$CP:$CP,0),48)</f>
        <v>#N/A</v>
      </c>
      <c r="J153" s="153" t="str">
        <f t="array" ref="J153">INDEX('Primary - GRADING'!$A$1:$CP997,MATCH($A153,'Primary - GRADING'!$CP:$CP,0),49)</f>
        <v>#N/A</v>
      </c>
      <c r="K153" s="153" t="str">
        <f t="array" ref="K153">INDEX('Primary - GRADING'!$A$1:$CP997,MATCH($A153,'Primary - GRADING'!$CP:$CP,0),50)</f>
        <v>#N/A</v>
      </c>
      <c r="L153" s="153" t="str">
        <f t="array" ref="L153">INDEX('Primary - GRADING'!$A$1:$CP997,MATCH($A153,'Primary - GRADING'!$CP:$CP,0),51)</f>
        <v>#N/A</v>
      </c>
      <c r="M153" s="153" t="str">
        <f t="array" ref="M153">INDEX('Primary - GRADING'!$A$1:$CP997,MATCH($A153,'Primary - GRADING'!$CP:$CP,0),52)</f>
        <v>#N/A</v>
      </c>
      <c r="N153" s="153" t="str">
        <f t="array" ref="N153">INDEX('Primary - GRADING'!$A$1:$CP997,MATCH($A153,'Primary - GRADING'!$CP:$CP,0),53)</f>
        <v>#N/A</v>
      </c>
      <c r="O153" s="153" t="str">
        <f t="array" ref="O153">INDEX('Primary - GRADING'!$A$1:$CP997,MATCH($A153,'Primary - GRADING'!$CP:$CP,0),58)</f>
        <v>#N/A</v>
      </c>
      <c r="P153" s="153" t="str">
        <f t="array" ref="P153">INDEX('Primary - GRADING'!$A$1:$CP997,MATCH($A153,'Primary - GRADING'!$CP:$CP,0),5)</f>
        <v>#N/A</v>
      </c>
      <c r="Q153" s="153" t="str">
        <f t="array" ref="Q153">INDEX('Primary - GRADING'!$A$1:$CP997,MATCH($A153,'Primary - GRADING'!$CP:$CP,0),6)</f>
        <v>#N/A</v>
      </c>
      <c r="R153" s="153" t="str">
        <f t="array" ref="R153">INDEX('Primary - GRADING'!$A$1:$CP997,MATCH($A153,'Primary - GRADING'!$CP:$CP,0),7)</f>
        <v>#N/A</v>
      </c>
      <c r="S153" s="153" t="str">
        <f t="array" ref="S153">INDEX('Primary - GRADING'!$A$1:$CP997,MATCH($A153,'Primary - GRADING'!$CP:$CP,0),8)</f>
        <v>#N/A</v>
      </c>
      <c r="T153" s="153" t="str">
        <f t="array" ref="T153">INDEX('Primary - GRADING'!$A$1:$CP997,MATCH($A153,'Primary - GRADING'!$CP:$CP,0),9)</f>
        <v>#N/A</v>
      </c>
      <c r="U153" s="153" t="str">
        <f t="array" ref="U153">INDEX('Primary - GRADING'!$A$1:$CP997,MATCH($A153,'Primary - GRADING'!$CP:$CP,0),10)</f>
        <v>#N/A</v>
      </c>
      <c r="V153" s="153" t="str">
        <f t="array" ref="V153">INDEX('Primary - GRADING'!$A$1:$CP997,MATCH($A153,'Primary - GRADING'!$CP:$CP,0),18)</f>
        <v>#N/A</v>
      </c>
      <c r="W153" s="153" t="str">
        <f t="array" ref="W153">INDEX('Primary - GRADING'!$A$1:$CP997,MATCH($A153,'Primary - GRADING'!$CP:$CP,0),20)</f>
        <v>#N/A</v>
      </c>
      <c r="X153" s="153" t="str">
        <f t="array" ref="X153">INDEX('Primary - GRADING'!$A$1:$CP997,MATCH($A153,'Primary - GRADING'!$CP:$CP,0),21)</f>
        <v>#N/A</v>
      </c>
      <c r="Y153" s="153" t="str">
        <f t="array" ref="Y153">INDEX('Primary - GRADING'!$A$1:$CP997,MATCH($A153,'Primary - GRADING'!$CP:$CP,0),22)</f>
        <v>#N/A</v>
      </c>
      <c r="Z153" s="165" t="str">
        <f t="array" ref="Z153">INDEX('Primary - GRADING'!$A$1:$CP997,MATCH($A153,'Primary - GRADING'!$CP:$CP,0),23)</f>
        <v>#N/A</v>
      </c>
      <c r="AA153" s="153" t="str">
        <f t="array" ref="AA153">INDEX('Primary - GRADING'!$A$1:$CP997,MATCH($A153,'Primary - GRADING'!$CP:$CP,0),24)</f>
        <v>#N/A</v>
      </c>
      <c r="AB153" s="153" t="str">
        <f t="array" ref="AB153">INDEX('Primary - GRADING'!$A$1:$CP997,MATCH($A153,'Primary - GRADING'!$CP:$CP,0),25)</f>
        <v>#N/A</v>
      </c>
      <c r="AC153" s="153" t="str">
        <f t="array" ref="AC153">INDEX('Primary - GRADING'!$A$1:$CP997,MATCH($A153,'Primary - GRADING'!$CP:$CP,0),46)</f>
        <v>#N/A</v>
      </c>
      <c r="AG153" s="153" t="str">
        <f t="shared" si="7"/>
        <v>#N/A</v>
      </c>
      <c r="AI153" s="153" t="str">
        <f>VLOOKUP(AH153,'Primary - GRADING'!$A$4:$C997,2,)</f>
        <v>#N/A</v>
      </c>
      <c r="AJ153" s="153" t="str">
        <f>VLOOKUP(AH153,'Primary - GRADING'!$A$4:$C997,3,)</f>
        <v>#N/A</v>
      </c>
      <c r="AK153" s="153" t="str">
        <f>VLOOKUP(AH153,'Primary - GRADING'!$A$4:$BG997,59,)</f>
        <v>#N/A</v>
      </c>
      <c r="AL153" s="153" t="str">
        <f>IFS(AK153="NMA",VLOOKUP(AH153,'Primary - GRADING'!$A$4:$BG997,51,),AK153="DIRECT",VLOOKUP(AH153,'Primary - GRADING'!$A$4:$BG997,8,),AK153="INDIRECT",VLOOKUP(AH153,'Primary - GRADING'!$A$4:$BG997,23,))</f>
        <v>#N/A</v>
      </c>
      <c r="AM153" s="153" t="str">
        <f>IFS(AK153="NMA",VLOOKUP(AH153,'Primary - GRADING'!$A$4:$BG997,52,),AK153="DIRECT",VLOOKUP(AH153,'Primary - GRADING'!$A$4:$BG997,9,),AK153="INDIRECT",VLOOKUP(AH153,'Primary - GRADING'!$A$4:$BG997,24,))</f>
        <v>#N/A</v>
      </c>
      <c r="AN153" s="153" t="str">
        <f>IFS(AK153="NMA",VLOOKUP(AH153,'Primary - GRADING'!$A$4:$BG997,53,),AK153="DIRECT",VLOOKUP(AH153,'Primary - GRADING'!$A$4:$BG997,10,),AK153="INDIRECT",VLOOKUP(AH153,'Primary - GRADING'!$A$4:$BG997,25,))</f>
        <v>#N/A</v>
      </c>
      <c r="AO153" s="153" t="str">
        <f t="shared" si="8"/>
        <v>#N/A</v>
      </c>
      <c r="AT153" s="153" t="str">
        <f t="shared" si="9"/>
        <v>#N/A</v>
      </c>
      <c r="AV153" s="153" t="str">
        <f>VLOOKUP(AU153,'Primary - GRADING'!$A$4:$C997,2,)</f>
        <v>#N/A</v>
      </c>
      <c r="AW153" s="153" t="str">
        <f>VLOOKUP(AU153,'Primary - GRADING'!$A$4:$C997,3,)</f>
        <v>#N/A</v>
      </c>
      <c r="AX153" s="153" t="str">
        <f>VLOOKUP(AU153,'Primary - GRADING'!$A$4:$BG997,59,)</f>
        <v>#N/A</v>
      </c>
      <c r="AY153" s="153" t="str">
        <f>IFS(AX153="NMA",VLOOKUP(AU153,'Primary - GRADING'!$A$4:$BG997,51,),AX153="DIRECT",VLOOKUP(AU153,'Primary - GRADING'!$A$4:$BG997,8,),AX153="INDIRECT",VLOOKUP(AU153,'Primary - GRADING'!$A$4:$BG997,23,))</f>
        <v>#N/A</v>
      </c>
      <c r="AZ153" s="153" t="str">
        <f>IFS(AX153="NMA",VLOOKUP(AU153,'Primary - GRADING'!$A$4:$BG997,52,),AX153="DIRECT",VLOOKUP(AU153,'Primary - GRADING'!$A$4:$BG997,9,),AX153="INDIRECT",VLOOKUP(AU153,'Primary - GRADING'!$A$4:$BG997,24,))</f>
        <v>#N/A</v>
      </c>
      <c r="BA153" s="153" t="str">
        <f>IFS(AX153="NMA",VLOOKUP(AU153,'Primary - GRADING'!$A$4:$BG997,53,),AX153="DIRECT",VLOOKUP(AU153,'Primary - GRADING'!$A$4:$BG997,10,),AX153="INDIRECT",VLOOKUP(AU153,'Primary - GRADING'!$A$4:$BG997,25,))</f>
        <v>#N/A</v>
      </c>
      <c r="BB153" s="153" t="str">
        <f t="shared" si="10"/>
        <v>#N/A</v>
      </c>
      <c r="BE153" s="153" t="str">
        <f t="shared" si="11"/>
        <v/>
      </c>
      <c r="BG153" s="153" t="str">
        <f t="shared" si="12"/>
        <v>#N/A</v>
      </c>
      <c r="BI153" s="153" t="str">
        <f t="shared" si="13"/>
        <v>#N/A</v>
      </c>
      <c r="BK153" s="153" t="str">
        <f t="shared" si="14"/>
        <v>#N/A</v>
      </c>
      <c r="BM153" s="153" t="str">
        <f t="shared" si="15"/>
        <v>#N/A</v>
      </c>
    </row>
    <row r="154" ht="15.75" customHeight="1">
      <c r="B154" s="160" t="str">
        <f t="shared" si="1"/>
        <v>#N/A</v>
      </c>
      <c r="C154" s="160" t="str">
        <f t="shared" si="2"/>
        <v>#N/A</v>
      </c>
      <c r="D154" s="160" t="str">
        <f t="shared" si="3"/>
        <v>#N/A</v>
      </c>
      <c r="E154" s="161" t="str">
        <f t="shared" si="4"/>
        <v>#N/A</v>
      </c>
      <c r="F154" s="153" t="str">
        <f t="shared" si="17"/>
        <v>#N/A</v>
      </c>
      <c r="G154" s="153" t="str">
        <f t="shared" si="6"/>
        <v>#N/A</v>
      </c>
      <c r="H154" s="156" t="str">
        <f t="array" ref="H154">INDEX('Primary - GRADING'!$A$1:$BG997,MATCH($A154,'Primary - GRADING'!$B:$B,0),59)</f>
        <v>#N/A</v>
      </c>
      <c r="I154" s="153" t="str">
        <f t="array" ref="I154">INDEX('Primary - GRADING'!$A$1:$CP997,MATCH($A154,'Primary - GRADING'!$CP:$CP,0),48)</f>
        <v>#N/A</v>
      </c>
      <c r="J154" s="153" t="str">
        <f t="array" ref="J154">INDEX('Primary - GRADING'!$A$1:$CP997,MATCH($A154,'Primary - GRADING'!$CP:$CP,0),49)</f>
        <v>#N/A</v>
      </c>
      <c r="K154" s="153" t="str">
        <f t="array" ref="K154">INDEX('Primary - GRADING'!$A$1:$CP997,MATCH($A154,'Primary - GRADING'!$CP:$CP,0),50)</f>
        <v>#N/A</v>
      </c>
      <c r="L154" s="153" t="str">
        <f t="array" ref="L154">INDEX('Primary - GRADING'!$A$1:$CP997,MATCH($A154,'Primary - GRADING'!$CP:$CP,0),51)</f>
        <v>#N/A</v>
      </c>
      <c r="M154" s="153" t="str">
        <f t="array" ref="M154">INDEX('Primary - GRADING'!$A$1:$CP997,MATCH($A154,'Primary - GRADING'!$CP:$CP,0),52)</f>
        <v>#N/A</v>
      </c>
      <c r="N154" s="153" t="str">
        <f t="array" ref="N154">INDEX('Primary - GRADING'!$A$1:$CP997,MATCH($A154,'Primary - GRADING'!$CP:$CP,0),53)</f>
        <v>#N/A</v>
      </c>
      <c r="O154" s="153" t="str">
        <f t="array" ref="O154">INDEX('Primary - GRADING'!$A$1:$CP997,MATCH($A154,'Primary - GRADING'!$CP:$CP,0),58)</f>
        <v>#N/A</v>
      </c>
      <c r="P154" s="153" t="str">
        <f t="array" ref="P154">INDEX('Primary - GRADING'!$A$1:$CP997,MATCH($A154,'Primary - GRADING'!$CP:$CP,0),5)</f>
        <v>#N/A</v>
      </c>
      <c r="Q154" s="153" t="str">
        <f t="array" ref="Q154">INDEX('Primary - GRADING'!$A$1:$CP997,MATCH($A154,'Primary - GRADING'!$CP:$CP,0),6)</f>
        <v>#N/A</v>
      </c>
      <c r="R154" s="153" t="str">
        <f t="array" ref="R154">INDEX('Primary - GRADING'!$A$1:$CP997,MATCH($A154,'Primary - GRADING'!$CP:$CP,0),7)</f>
        <v>#N/A</v>
      </c>
      <c r="S154" s="153" t="str">
        <f t="array" ref="S154">INDEX('Primary - GRADING'!$A$1:$CP997,MATCH($A154,'Primary - GRADING'!$CP:$CP,0),8)</f>
        <v>#N/A</v>
      </c>
      <c r="T154" s="153" t="str">
        <f t="array" ref="T154">INDEX('Primary - GRADING'!$A$1:$CP997,MATCH($A154,'Primary - GRADING'!$CP:$CP,0),9)</f>
        <v>#N/A</v>
      </c>
      <c r="U154" s="153" t="str">
        <f t="array" ref="U154">INDEX('Primary - GRADING'!$A$1:$CP997,MATCH($A154,'Primary - GRADING'!$CP:$CP,0),10)</f>
        <v>#N/A</v>
      </c>
      <c r="V154" s="153" t="str">
        <f t="array" ref="V154">INDEX('Primary - GRADING'!$A$1:$CP997,MATCH($A154,'Primary - GRADING'!$CP:$CP,0),18)</f>
        <v>#N/A</v>
      </c>
      <c r="W154" s="153" t="str">
        <f t="array" ref="W154">INDEX('Primary - GRADING'!$A$1:$CP997,MATCH($A154,'Primary - GRADING'!$CP:$CP,0),20)</f>
        <v>#N/A</v>
      </c>
      <c r="X154" s="153" t="str">
        <f t="array" ref="X154">INDEX('Primary - GRADING'!$A$1:$CP997,MATCH($A154,'Primary - GRADING'!$CP:$CP,0),21)</f>
        <v>#N/A</v>
      </c>
      <c r="Y154" s="153" t="str">
        <f t="array" ref="Y154">INDEX('Primary - GRADING'!$A$1:$CP997,MATCH($A154,'Primary - GRADING'!$CP:$CP,0),22)</f>
        <v>#N/A</v>
      </c>
      <c r="Z154" s="165" t="str">
        <f t="array" ref="Z154">INDEX('Primary - GRADING'!$A$1:$CP997,MATCH($A154,'Primary - GRADING'!$CP:$CP,0),23)</f>
        <v>#N/A</v>
      </c>
      <c r="AA154" s="153" t="str">
        <f t="array" ref="AA154">INDEX('Primary - GRADING'!$A$1:$CP997,MATCH($A154,'Primary - GRADING'!$CP:$CP,0),24)</f>
        <v>#N/A</v>
      </c>
      <c r="AB154" s="153" t="str">
        <f t="array" ref="AB154">INDEX('Primary - GRADING'!$A$1:$CP997,MATCH($A154,'Primary - GRADING'!$CP:$CP,0),25)</f>
        <v>#N/A</v>
      </c>
      <c r="AC154" s="153" t="str">
        <f t="array" ref="AC154">INDEX('Primary - GRADING'!$A$1:$CP997,MATCH($A154,'Primary - GRADING'!$CP:$CP,0),46)</f>
        <v>#N/A</v>
      </c>
      <c r="AG154" s="153" t="str">
        <f t="shared" si="7"/>
        <v>#N/A</v>
      </c>
      <c r="AI154" s="153" t="str">
        <f>VLOOKUP(AH154,'Primary - GRADING'!$A$4:$C997,2,)</f>
        <v>#N/A</v>
      </c>
      <c r="AJ154" s="153" t="str">
        <f>VLOOKUP(AH154,'Primary - GRADING'!$A$4:$C997,3,)</f>
        <v>#N/A</v>
      </c>
      <c r="AK154" s="153" t="str">
        <f>VLOOKUP(AH154,'Primary - GRADING'!$A$4:$BG997,59,)</f>
        <v>#N/A</v>
      </c>
      <c r="AL154" s="153" t="str">
        <f>IFS(AK154="NMA",VLOOKUP(AH154,'Primary - GRADING'!$A$4:$BG997,51,),AK154="DIRECT",VLOOKUP(AH154,'Primary - GRADING'!$A$4:$BG997,8,),AK154="INDIRECT",VLOOKUP(AH154,'Primary - GRADING'!$A$4:$BG997,23,))</f>
        <v>#N/A</v>
      </c>
      <c r="AM154" s="153" t="str">
        <f>IFS(AK154="NMA",VLOOKUP(AH154,'Primary - GRADING'!$A$4:$BG997,52,),AK154="DIRECT",VLOOKUP(AH154,'Primary - GRADING'!$A$4:$BG997,9,),AK154="INDIRECT",VLOOKUP(AH154,'Primary - GRADING'!$A$4:$BG997,24,))</f>
        <v>#N/A</v>
      </c>
      <c r="AN154" s="153" t="str">
        <f>IFS(AK154="NMA",VLOOKUP(AH154,'Primary - GRADING'!$A$4:$BG997,53,),AK154="DIRECT",VLOOKUP(AH154,'Primary - GRADING'!$A$4:$BG997,10,),AK154="INDIRECT",VLOOKUP(AH154,'Primary - GRADING'!$A$4:$BG997,25,))</f>
        <v>#N/A</v>
      </c>
      <c r="AO154" s="153" t="str">
        <f t="shared" si="8"/>
        <v>#N/A</v>
      </c>
      <c r="AT154" s="153" t="str">
        <f t="shared" si="9"/>
        <v>#N/A</v>
      </c>
      <c r="AV154" s="153" t="str">
        <f>VLOOKUP(AU154,'Primary - GRADING'!$A$4:$C997,2,)</f>
        <v>#N/A</v>
      </c>
      <c r="AW154" s="153" t="str">
        <f>VLOOKUP(AU154,'Primary - GRADING'!$A$4:$C997,3,)</f>
        <v>#N/A</v>
      </c>
      <c r="AX154" s="153" t="str">
        <f>VLOOKUP(AU154,'Primary - GRADING'!$A$4:$BG997,59,)</f>
        <v>#N/A</v>
      </c>
      <c r="AY154" s="153" t="str">
        <f>IFS(AX154="NMA",VLOOKUP(AU154,'Primary - GRADING'!$A$4:$BG997,51,),AX154="DIRECT",VLOOKUP(AU154,'Primary - GRADING'!$A$4:$BG997,8,),AX154="INDIRECT",VLOOKUP(AU154,'Primary - GRADING'!$A$4:$BG997,23,))</f>
        <v>#N/A</v>
      </c>
      <c r="AZ154" s="153" t="str">
        <f>IFS(AX154="NMA",VLOOKUP(AU154,'Primary - GRADING'!$A$4:$BG997,52,),AX154="DIRECT",VLOOKUP(AU154,'Primary - GRADING'!$A$4:$BG997,9,),AX154="INDIRECT",VLOOKUP(AU154,'Primary - GRADING'!$A$4:$BG997,24,))</f>
        <v>#N/A</v>
      </c>
      <c r="BA154" s="153" t="str">
        <f>IFS(AX154="NMA",VLOOKUP(AU154,'Primary - GRADING'!$A$4:$BG997,53,),AX154="DIRECT",VLOOKUP(AU154,'Primary - GRADING'!$A$4:$BG997,10,),AX154="INDIRECT",VLOOKUP(AU154,'Primary - GRADING'!$A$4:$BG997,25,))</f>
        <v>#N/A</v>
      </c>
      <c r="BB154" s="153" t="str">
        <f t="shared" si="10"/>
        <v>#N/A</v>
      </c>
      <c r="BE154" s="153" t="str">
        <f t="shared" si="11"/>
        <v/>
      </c>
      <c r="BG154" s="153" t="str">
        <f t="shared" si="12"/>
        <v>#N/A</v>
      </c>
      <c r="BI154" s="153" t="str">
        <f t="shared" si="13"/>
        <v>#N/A</v>
      </c>
      <c r="BK154" s="153" t="str">
        <f t="shared" si="14"/>
        <v>#N/A</v>
      </c>
      <c r="BM154" s="153" t="str">
        <f t="shared" si="15"/>
        <v>#N/A</v>
      </c>
    </row>
    <row r="155" ht="15.75" customHeight="1">
      <c r="B155" s="160" t="str">
        <f t="shared" si="1"/>
        <v>#N/A</v>
      </c>
      <c r="C155" s="160" t="str">
        <f t="shared" si="2"/>
        <v>#N/A</v>
      </c>
      <c r="D155" s="160" t="str">
        <f t="shared" si="3"/>
        <v>#N/A</v>
      </c>
      <c r="E155" s="161" t="str">
        <f t="shared" si="4"/>
        <v>#N/A</v>
      </c>
      <c r="F155" s="153" t="str">
        <f t="shared" si="17"/>
        <v>#N/A</v>
      </c>
      <c r="G155" s="153" t="str">
        <f t="shared" si="6"/>
        <v>#N/A</v>
      </c>
      <c r="H155" s="156" t="str">
        <f t="array" ref="H155">INDEX('Primary - GRADING'!$A$1:$BG997,MATCH($A155,'Primary - GRADING'!$B:$B,0),59)</f>
        <v>#N/A</v>
      </c>
      <c r="I155" s="153" t="str">
        <f t="array" ref="I155">INDEX('Primary - GRADING'!$A$1:$CP997,MATCH($A155,'Primary - GRADING'!$CP:$CP,0),48)</f>
        <v>#N/A</v>
      </c>
      <c r="J155" s="153" t="str">
        <f t="array" ref="J155">INDEX('Primary - GRADING'!$A$1:$CP997,MATCH($A155,'Primary - GRADING'!$CP:$CP,0),49)</f>
        <v>#N/A</v>
      </c>
      <c r="K155" s="153" t="str">
        <f t="array" ref="K155">INDEX('Primary - GRADING'!$A$1:$CP997,MATCH($A155,'Primary - GRADING'!$CP:$CP,0),50)</f>
        <v>#N/A</v>
      </c>
      <c r="L155" s="153" t="str">
        <f t="array" ref="L155">INDEX('Primary - GRADING'!$A$1:$CP997,MATCH($A155,'Primary - GRADING'!$CP:$CP,0),51)</f>
        <v>#N/A</v>
      </c>
      <c r="M155" s="153" t="str">
        <f t="array" ref="M155">INDEX('Primary - GRADING'!$A$1:$CP997,MATCH($A155,'Primary - GRADING'!$CP:$CP,0),52)</f>
        <v>#N/A</v>
      </c>
      <c r="N155" s="153" t="str">
        <f t="array" ref="N155">INDEX('Primary - GRADING'!$A$1:$CP997,MATCH($A155,'Primary - GRADING'!$CP:$CP,0),53)</f>
        <v>#N/A</v>
      </c>
      <c r="O155" s="153" t="str">
        <f t="array" ref="O155">INDEX('Primary - GRADING'!$A$1:$CP997,MATCH($A155,'Primary - GRADING'!$CP:$CP,0),58)</f>
        <v>#N/A</v>
      </c>
      <c r="P155" s="153" t="str">
        <f t="array" ref="P155">INDEX('Primary - GRADING'!$A$1:$CP997,MATCH($A155,'Primary - GRADING'!$CP:$CP,0),5)</f>
        <v>#N/A</v>
      </c>
      <c r="Q155" s="153" t="str">
        <f t="array" ref="Q155">INDEX('Primary - GRADING'!$A$1:$CP997,MATCH($A155,'Primary - GRADING'!$CP:$CP,0),6)</f>
        <v>#N/A</v>
      </c>
      <c r="R155" s="153" t="str">
        <f t="array" ref="R155">INDEX('Primary - GRADING'!$A$1:$CP997,MATCH($A155,'Primary - GRADING'!$CP:$CP,0),7)</f>
        <v>#N/A</v>
      </c>
      <c r="S155" s="153" t="str">
        <f t="array" ref="S155">INDEX('Primary - GRADING'!$A$1:$CP997,MATCH($A155,'Primary - GRADING'!$CP:$CP,0),8)</f>
        <v>#N/A</v>
      </c>
      <c r="T155" s="153" t="str">
        <f t="array" ref="T155">INDEX('Primary - GRADING'!$A$1:$CP997,MATCH($A155,'Primary - GRADING'!$CP:$CP,0),9)</f>
        <v>#N/A</v>
      </c>
      <c r="U155" s="153" t="str">
        <f t="array" ref="U155">INDEX('Primary - GRADING'!$A$1:$CP997,MATCH($A155,'Primary - GRADING'!$CP:$CP,0),10)</f>
        <v>#N/A</v>
      </c>
      <c r="V155" s="153" t="str">
        <f t="array" ref="V155">INDEX('Primary - GRADING'!$A$1:$CP997,MATCH($A155,'Primary - GRADING'!$CP:$CP,0),18)</f>
        <v>#N/A</v>
      </c>
      <c r="W155" s="153" t="str">
        <f t="array" ref="W155">INDEX('Primary - GRADING'!$A$1:$CP997,MATCH($A155,'Primary - GRADING'!$CP:$CP,0),20)</f>
        <v>#N/A</v>
      </c>
      <c r="X155" s="153" t="str">
        <f t="array" ref="X155">INDEX('Primary - GRADING'!$A$1:$CP997,MATCH($A155,'Primary - GRADING'!$CP:$CP,0),21)</f>
        <v>#N/A</v>
      </c>
      <c r="Y155" s="153" t="str">
        <f t="array" ref="Y155">INDEX('Primary - GRADING'!$A$1:$CP997,MATCH($A155,'Primary - GRADING'!$CP:$CP,0),22)</f>
        <v>#N/A</v>
      </c>
      <c r="Z155" s="165" t="str">
        <f t="array" ref="Z155">INDEX('Primary - GRADING'!$A$1:$CP997,MATCH($A155,'Primary - GRADING'!$CP:$CP,0),23)</f>
        <v>#N/A</v>
      </c>
      <c r="AA155" s="153" t="str">
        <f t="array" ref="AA155">INDEX('Primary - GRADING'!$A$1:$CP997,MATCH($A155,'Primary - GRADING'!$CP:$CP,0),24)</f>
        <v>#N/A</v>
      </c>
      <c r="AB155" s="153" t="str">
        <f t="array" ref="AB155">INDEX('Primary - GRADING'!$A$1:$CP997,MATCH($A155,'Primary - GRADING'!$CP:$CP,0),25)</f>
        <v>#N/A</v>
      </c>
      <c r="AC155" s="153" t="str">
        <f t="array" ref="AC155">INDEX('Primary - GRADING'!$A$1:$CP997,MATCH($A155,'Primary - GRADING'!$CP:$CP,0),46)</f>
        <v>#N/A</v>
      </c>
      <c r="AG155" s="153" t="str">
        <f t="shared" si="7"/>
        <v>#N/A</v>
      </c>
      <c r="AI155" s="153" t="str">
        <f>VLOOKUP(AH155,'Primary - GRADING'!$A$4:$C997,2,)</f>
        <v>#N/A</v>
      </c>
      <c r="AJ155" s="153" t="str">
        <f>VLOOKUP(AH155,'Primary - GRADING'!$A$4:$C997,3,)</f>
        <v>#N/A</v>
      </c>
      <c r="AK155" s="153" t="str">
        <f>VLOOKUP(AH155,'Primary - GRADING'!$A$4:$BG997,59,)</f>
        <v>#N/A</v>
      </c>
      <c r="AL155" s="153" t="str">
        <f>IFS(AK155="NMA",VLOOKUP(AH155,'Primary - GRADING'!$A$4:$BG997,51,),AK155="DIRECT",VLOOKUP(AH155,'Primary - GRADING'!$A$4:$BG997,8,),AK155="INDIRECT",VLOOKUP(AH155,'Primary - GRADING'!$A$4:$BG997,23,))</f>
        <v>#N/A</v>
      </c>
      <c r="AM155" s="153" t="str">
        <f>IFS(AK155="NMA",VLOOKUP(AH155,'Primary - GRADING'!$A$4:$BG997,52,),AK155="DIRECT",VLOOKUP(AH155,'Primary - GRADING'!$A$4:$BG997,9,),AK155="INDIRECT",VLOOKUP(AH155,'Primary - GRADING'!$A$4:$BG997,24,))</f>
        <v>#N/A</v>
      </c>
      <c r="AN155" s="153" t="str">
        <f>IFS(AK155="NMA",VLOOKUP(AH155,'Primary - GRADING'!$A$4:$BG997,53,),AK155="DIRECT",VLOOKUP(AH155,'Primary - GRADING'!$A$4:$BG997,10,),AK155="INDIRECT",VLOOKUP(AH155,'Primary - GRADING'!$A$4:$BG997,25,))</f>
        <v>#N/A</v>
      </c>
      <c r="AO155" s="153" t="str">
        <f t="shared" si="8"/>
        <v>#N/A</v>
      </c>
      <c r="AT155" s="153" t="str">
        <f t="shared" si="9"/>
        <v>#N/A</v>
      </c>
      <c r="AV155" s="153" t="str">
        <f>VLOOKUP(AU155,'Primary - GRADING'!$A$4:$C997,2,)</f>
        <v>#N/A</v>
      </c>
      <c r="AW155" s="153" t="str">
        <f>VLOOKUP(AU155,'Primary - GRADING'!$A$4:$C997,3,)</f>
        <v>#N/A</v>
      </c>
      <c r="AX155" s="153" t="str">
        <f>VLOOKUP(AU155,'Primary - GRADING'!$A$4:$BG997,59,)</f>
        <v>#N/A</v>
      </c>
      <c r="AY155" s="153" t="str">
        <f>IFS(AX155="NMA",VLOOKUP(AU155,'Primary - GRADING'!$A$4:$BG997,51,),AX155="DIRECT",VLOOKUP(AU155,'Primary - GRADING'!$A$4:$BG997,8,),AX155="INDIRECT",VLOOKUP(AU155,'Primary - GRADING'!$A$4:$BG997,23,))</f>
        <v>#N/A</v>
      </c>
      <c r="AZ155" s="153" t="str">
        <f>IFS(AX155="NMA",VLOOKUP(AU155,'Primary - GRADING'!$A$4:$BG997,52,),AX155="DIRECT",VLOOKUP(AU155,'Primary - GRADING'!$A$4:$BG997,9,),AX155="INDIRECT",VLOOKUP(AU155,'Primary - GRADING'!$A$4:$BG997,24,))</f>
        <v>#N/A</v>
      </c>
      <c r="BA155" s="153" t="str">
        <f>IFS(AX155="NMA",VLOOKUP(AU155,'Primary - GRADING'!$A$4:$BG997,53,),AX155="DIRECT",VLOOKUP(AU155,'Primary - GRADING'!$A$4:$BG997,10,),AX155="INDIRECT",VLOOKUP(AU155,'Primary - GRADING'!$A$4:$BG997,25,))</f>
        <v>#N/A</v>
      </c>
      <c r="BB155" s="153" t="str">
        <f t="shared" si="10"/>
        <v>#N/A</v>
      </c>
      <c r="BE155" s="153" t="str">
        <f t="shared" si="11"/>
        <v/>
      </c>
      <c r="BG155" s="153" t="str">
        <f t="shared" si="12"/>
        <v>#N/A</v>
      </c>
      <c r="BI155" s="153" t="str">
        <f t="shared" si="13"/>
        <v>#N/A</v>
      </c>
      <c r="BK155" s="153" t="str">
        <f t="shared" si="14"/>
        <v>#N/A</v>
      </c>
      <c r="BM155" s="153" t="str">
        <f t="shared" si="15"/>
        <v>#N/A</v>
      </c>
    </row>
    <row r="156" ht="15.75" customHeight="1">
      <c r="B156" s="160" t="str">
        <f t="shared" si="1"/>
        <v>#N/A</v>
      </c>
      <c r="C156" s="160" t="str">
        <f t="shared" si="2"/>
        <v>#N/A</v>
      </c>
      <c r="D156" s="160" t="str">
        <f t="shared" si="3"/>
        <v>#N/A</v>
      </c>
      <c r="E156" s="161" t="str">
        <f t="shared" si="4"/>
        <v>#N/A</v>
      </c>
      <c r="F156" s="153" t="str">
        <f t="shared" si="17"/>
        <v>#N/A</v>
      </c>
      <c r="G156" s="153" t="str">
        <f t="shared" si="6"/>
        <v>#N/A</v>
      </c>
      <c r="H156" s="156" t="str">
        <f t="array" ref="H156">INDEX('Primary - GRADING'!$A$1:$BG997,MATCH($A156,'Primary - GRADING'!$B:$B,0),59)</f>
        <v>#N/A</v>
      </c>
      <c r="I156" s="153" t="str">
        <f t="array" ref="I156">INDEX('Primary - GRADING'!$A$1:$CP997,MATCH($A156,'Primary - GRADING'!$CP:$CP,0),48)</f>
        <v>#N/A</v>
      </c>
      <c r="J156" s="153" t="str">
        <f t="array" ref="J156">INDEX('Primary - GRADING'!$A$1:$CP997,MATCH($A156,'Primary - GRADING'!$CP:$CP,0),49)</f>
        <v>#N/A</v>
      </c>
      <c r="K156" s="153" t="str">
        <f t="array" ref="K156">INDEX('Primary - GRADING'!$A$1:$CP997,MATCH($A156,'Primary - GRADING'!$CP:$CP,0),50)</f>
        <v>#N/A</v>
      </c>
      <c r="L156" s="153" t="str">
        <f t="array" ref="L156">INDEX('Primary - GRADING'!$A$1:$CP997,MATCH($A156,'Primary - GRADING'!$CP:$CP,0),51)</f>
        <v>#N/A</v>
      </c>
      <c r="M156" s="153" t="str">
        <f t="array" ref="M156">INDEX('Primary - GRADING'!$A$1:$CP997,MATCH($A156,'Primary - GRADING'!$CP:$CP,0),52)</f>
        <v>#N/A</v>
      </c>
      <c r="N156" s="153" t="str">
        <f t="array" ref="N156">INDEX('Primary - GRADING'!$A$1:$CP997,MATCH($A156,'Primary - GRADING'!$CP:$CP,0),53)</f>
        <v>#N/A</v>
      </c>
      <c r="O156" s="153" t="str">
        <f t="array" ref="O156">INDEX('Primary - GRADING'!$A$1:$CP997,MATCH($A156,'Primary - GRADING'!$CP:$CP,0),58)</f>
        <v>#N/A</v>
      </c>
      <c r="P156" s="153" t="str">
        <f t="array" ref="P156">INDEX('Primary - GRADING'!$A$1:$CP997,MATCH($A156,'Primary - GRADING'!$CP:$CP,0),5)</f>
        <v>#N/A</v>
      </c>
      <c r="Q156" s="153" t="str">
        <f t="array" ref="Q156">INDEX('Primary - GRADING'!$A$1:$CP997,MATCH($A156,'Primary - GRADING'!$CP:$CP,0),6)</f>
        <v>#N/A</v>
      </c>
      <c r="R156" s="153" t="str">
        <f t="array" ref="R156">INDEX('Primary - GRADING'!$A$1:$CP997,MATCH($A156,'Primary - GRADING'!$CP:$CP,0),7)</f>
        <v>#N/A</v>
      </c>
      <c r="S156" s="153" t="str">
        <f t="array" ref="S156">INDEX('Primary - GRADING'!$A$1:$CP997,MATCH($A156,'Primary - GRADING'!$CP:$CP,0),8)</f>
        <v>#N/A</v>
      </c>
      <c r="T156" s="153" t="str">
        <f t="array" ref="T156">INDEX('Primary - GRADING'!$A$1:$CP997,MATCH($A156,'Primary - GRADING'!$CP:$CP,0),9)</f>
        <v>#N/A</v>
      </c>
      <c r="U156" s="153" t="str">
        <f t="array" ref="U156">INDEX('Primary - GRADING'!$A$1:$CP997,MATCH($A156,'Primary - GRADING'!$CP:$CP,0),10)</f>
        <v>#N/A</v>
      </c>
      <c r="V156" s="153" t="str">
        <f t="array" ref="V156">INDEX('Primary - GRADING'!$A$1:$CP997,MATCH($A156,'Primary - GRADING'!$CP:$CP,0),18)</f>
        <v>#N/A</v>
      </c>
      <c r="W156" s="153" t="str">
        <f t="array" ref="W156">INDEX('Primary - GRADING'!$A$1:$CP997,MATCH($A156,'Primary - GRADING'!$CP:$CP,0),20)</f>
        <v>#N/A</v>
      </c>
      <c r="X156" s="153" t="str">
        <f t="array" ref="X156">INDEX('Primary - GRADING'!$A$1:$CP997,MATCH($A156,'Primary - GRADING'!$CP:$CP,0),21)</f>
        <v>#N/A</v>
      </c>
      <c r="Y156" s="153" t="str">
        <f t="array" ref="Y156">INDEX('Primary - GRADING'!$A$1:$CP997,MATCH($A156,'Primary - GRADING'!$CP:$CP,0),22)</f>
        <v>#N/A</v>
      </c>
      <c r="Z156" s="165" t="str">
        <f t="array" ref="Z156">INDEX('Primary - GRADING'!$A$1:$CP997,MATCH($A156,'Primary - GRADING'!$CP:$CP,0),23)</f>
        <v>#N/A</v>
      </c>
      <c r="AA156" s="153" t="str">
        <f t="array" ref="AA156">INDEX('Primary - GRADING'!$A$1:$CP997,MATCH($A156,'Primary - GRADING'!$CP:$CP,0),24)</f>
        <v>#N/A</v>
      </c>
      <c r="AB156" s="153" t="str">
        <f t="array" ref="AB156">INDEX('Primary - GRADING'!$A$1:$CP997,MATCH($A156,'Primary - GRADING'!$CP:$CP,0),25)</f>
        <v>#N/A</v>
      </c>
      <c r="AC156" s="153" t="str">
        <f t="array" ref="AC156">INDEX('Primary - GRADING'!$A$1:$CP997,MATCH($A156,'Primary - GRADING'!$CP:$CP,0),46)</f>
        <v>#N/A</v>
      </c>
      <c r="AG156" s="153" t="str">
        <f t="shared" si="7"/>
        <v>#N/A</v>
      </c>
      <c r="AI156" s="153" t="str">
        <f>VLOOKUP(AH156,'Primary - GRADING'!$A$4:$C997,2,)</f>
        <v>#N/A</v>
      </c>
      <c r="AJ156" s="153" t="str">
        <f>VLOOKUP(AH156,'Primary - GRADING'!$A$4:$C997,3,)</f>
        <v>#N/A</v>
      </c>
      <c r="AK156" s="153" t="str">
        <f>VLOOKUP(AH156,'Primary - GRADING'!$A$4:$BG997,59,)</f>
        <v>#N/A</v>
      </c>
      <c r="AL156" s="153" t="str">
        <f>IFS(AK156="NMA",VLOOKUP(AH156,'Primary - GRADING'!$A$4:$BG997,51,),AK156="DIRECT",VLOOKUP(AH156,'Primary - GRADING'!$A$4:$BG997,8,),AK156="INDIRECT",VLOOKUP(AH156,'Primary - GRADING'!$A$4:$BG997,23,))</f>
        <v>#N/A</v>
      </c>
      <c r="AM156" s="153" t="str">
        <f>IFS(AK156="NMA",VLOOKUP(AH156,'Primary - GRADING'!$A$4:$BG997,52,),AK156="DIRECT",VLOOKUP(AH156,'Primary - GRADING'!$A$4:$BG997,9,),AK156="INDIRECT",VLOOKUP(AH156,'Primary - GRADING'!$A$4:$BG997,24,))</f>
        <v>#N/A</v>
      </c>
      <c r="AN156" s="153" t="str">
        <f>IFS(AK156="NMA",VLOOKUP(AH156,'Primary - GRADING'!$A$4:$BG997,53,),AK156="DIRECT",VLOOKUP(AH156,'Primary - GRADING'!$A$4:$BG997,10,),AK156="INDIRECT",VLOOKUP(AH156,'Primary - GRADING'!$A$4:$BG997,25,))</f>
        <v>#N/A</v>
      </c>
      <c r="AO156" s="153" t="str">
        <f t="shared" si="8"/>
        <v>#N/A</v>
      </c>
      <c r="AT156" s="153" t="str">
        <f t="shared" si="9"/>
        <v>#N/A</v>
      </c>
      <c r="AV156" s="153" t="str">
        <f>VLOOKUP(AU156,'Primary - GRADING'!$A$4:$C997,2,)</f>
        <v>#N/A</v>
      </c>
      <c r="AW156" s="153" t="str">
        <f>VLOOKUP(AU156,'Primary - GRADING'!$A$4:$C997,3,)</f>
        <v>#N/A</v>
      </c>
      <c r="AX156" s="153" t="str">
        <f>VLOOKUP(AU156,'Primary - GRADING'!$A$4:$BG997,59,)</f>
        <v>#N/A</v>
      </c>
      <c r="AY156" s="153" t="str">
        <f>IFS(AX156="NMA",VLOOKUP(AU156,'Primary - GRADING'!$A$4:$BG997,51,),AX156="DIRECT",VLOOKUP(AU156,'Primary - GRADING'!$A$4:$BG997,8,),AX156="INDIRECT",VLOOKUP(AU156,'Primary - GRADING'!$A$4:$BG997,23,))</f>
        <v>#N/A</v>
      </c>
      <c r="AZ156" s="153" t="str">
        <f>IFS(AX156="NMA",VLOOKUP(AU156,'Primary - GRADING'!$A$4:$BG997,52,),AX156="DIRECT",VLOOKUP(AU156,'Primary - GRADING'!$A$4:$BG997,9,),AX156="INDIRECT",VLOOKUP(AU156,'Primary - GRADING'!$A$4:$BG997,24,))</f>
        <v>#N/A</v>
      </c>
      <c r="BA156" s="153" t="str">
        <f>IFS(AX156="NMA",VLOOKUP(AU156,'Primary - GRADING'!$A$4:$BG997,53,),AX156="DIRECT",VLOOKUP(AU156,'Primary - GRADING'!$A$4:$BG997,10,),AX156="INDIRECT",VLOOKUP(AU156,'Primary - GRADING'!$A$4:$BG997,25,))</f>
        <v>#N/A</v>
      </c>
      <c r="BB156" s="153" t="str">
        <f t="shared" si="10"/>
        <v>#N/A</v>
      </c>
      <c r="BE156" s="153" t="str">
        <f t="shared" si="11"/>
        <v/>
      </c>
      <c r="BG156" s="153" t="str">
        <f t="shared" si="12"/>
        <v>#N/A</v>
      </c>
      <c r="BI156" s="153" t="str">
        <f t="shared" si="13"/>
        <v>#N/A</v>
      </c>
      <c r="BK156" s="153" t="str">
        <f t="shared" si="14"/>
        <v>#N/A</v>
      </c>
      <c r="BM156" s="153" t="str">
        <f t="shared" si="15"/>
        <v>#N/A</v>
      </c>
    </row>
    <row r="157" ht="15.75" customHeight="1">
      <c r="B157" s="160" t="str">
        <f t="shared" si="1"/>
        <v>#N/A</v>
      </c>
      <c r="C157" s="160" t="str">
        <f t="shared" si="2"/>
        <v>#N/A</v>
      </c>
      <c r="D157" s="160" t="str">
        <f t="shared" si="3"/>
        <v>#N/A</v>
      </c>
      <c r="E157" s="161" t="str">
        <f t="shared" si="4"/>
        <v>#N/A</v>
      </c>
      <c r="F157" s="153" t="str">
        <f t="shared" si="17"/>
        <v>#N/A</v>
      </c>
      <c r="G157" s="153" t="str">
        <f t="shared" si="6"/>
        <v>#N/A</v>
      </c>
      <c r="H157" s="156" t="str">
        <f t="array" ref="H157">INDEX('Primary - GRADING'!$A$1:$BG997,MATCH($A157,'Primary - GRADING'!$B:$B,0),59)</f>
        <v>#N/A</v>
      </c>
      <c r="I157" s="153" t="str">
        <f t="array" ref="I157">INDEX('Primary - GRADING'!$A$1:$CP997,MATCH($A157,'Primary - GRADING'!$CP:$CP,0),48)</f>
        <v>#N/A</v>
      </c>
      <c r="J157" s="153" t="str">
        <f t="array" ref="J157">INDEX('Primary - GRADING'!$A$1:$CP997,MATCH($A157,'Primary - GRADING'!$CP:$CP,0),49)</f>
        <v>#N/A</v>
      </c>
      <c r="K157" s="153" t="str">
        <f t="array" ref="K157">INDEX('Primary - GRADING'!$A$1:$CP997,MATCH($A157,'Primary - GRADING'!$CP:$CP,0),50)</f>
        <v>#N/A</v>
      </c>
      <c r="L157" s="153" t="str">
        <f t="array" ref="L157">INDEX('Primary - GRADING'!$A$1:$CP997,MATCH($A157,'Primary - GRADING'!$CP:$CP,0),51)</f>
        <v>#N/A</v>
      </c>
      <c r="M157" s="153" t="str">
        <f t="array" ref="M157">INDEX('Primary - GRADING'!$A$1:$CP997,MATCH($A157,'Primary - GRADING'!$CP:$CP,0),52)</f>
        <v>#N/A</v>
      </c>
      <c r="N157" s="153" t="str">
        <f t="array" ref="N157">INDEX('Primary - GRADING'!$A$1:$CP997,MATCH($A157,'Primary - GRADING'!$CP:$CP,0),53)</f>
        <v>#N/A</v>
      </c>
      <c r="O157" s="153" t="str">
        <f t="array" ref="O157">INDEX('Primary - GRADING'!$A$1:$CP997,MATCH($A157,'Primary - GRADING'!$CP:$CP,0),58)</f>
        <v>#N/A</v>
      </c>
      <c r="P157" s="153" t="str">
        <f t="array" ref="P157">INDEX('Primary - GRADING'!$A$1:$CP997,MATCH($A157,'Primary - GRADING'!$CP:$CP,0),5)</f>
        <v>#N/A</v>
      </c>
      <c r="Q157" s="153" t="str">
        <f t="array" ref="Q157">INDEX('Primary - GRADING'!$A$1:$CP997,MATCH($A157,'Primary - GRADING'!$CP:$CP,0),6)</f>
        <v>#N/A</v>
      </c>
      <c r="R157" s="153" t="str">
        <f t="array" ref="R157">INDEX('Primary - GRADING'!$A$1:$CP997,MATCH($A157,'Primary - GRADING'!$CP:$CP,0),7)</f>
        <v>#N/A</v>
      </c>
      <c r="S157" s="153" t="str">
        <f t="array" ref="S157">INDEX('Primary - GRADING'!$A$1:$CP997,MATCH($A157,'Primary - GRADING'!$CP:$CP,0),8)</f>
        <v>#N/A</v>
      </c>
      <c r="T157" s="153" t="str">
        <f t="array" ref="T157">INDEX('Primary - GRADING'!$A$1:$CP997,MATCH($A157,'Primary - GRADING'!$CP:$CP,0),9)</f>
        <v>#N/A</v>
      </c>
      <c r="U157" s="153" t="str">
        <f t="array" ref="U157">INDEX('Primary - GRADING'!$A$1:$CP997,MATCH($A157,'Primary - GRADING'!$CP:$CP,0),10)</f>
        <v>#N/A</v>
      </c>
      <c r="V157" s="153" t="str">
        <f t="array" ref="V157">INDEX('Primary - GRADING'!$A$1:$CP997,MATCH($A157,'Primary - GRADING'!$CP:$CP,0),18)</f>
        <v>#N/A</v>
      </c>
      <c r="W157" s="153" t="str">
        <f t="array" ref="W157">INDEX('Primary - GRADING'!$A$1:$CP997,MATCH($A157,'Primary - GRADING'!$CP:$CP,0),20)</f>
        <v>#N/A</v>
      </c>
      <c r="X157" s="153" t="str">
        <f t="array" ref="X157">INDEX('Primary - GRADING'!$A$1:$CP997,MATCH($A157,'Primary - GRADING'!$CP:$CP,0),21)</f>
        <v>#N/A</v>
      </c>
      <c r="Y157" s="153" t="str">
        <f t="array" ref="Y157">INDEX('Primary - GRADING'!$A$1:$CP997,MATCH($A157,'Primary - GRADING'!$CP:$CP,0),22)</f>
        <v>#N/A</v>
      </c>
      <c r="Z157" s="165" t="str">
        <f t="array" ref="Z157">INDEX('Primary - GRADING'!$A$1:$CP997,MATCH($A157,'Primary - GRADING'!$CP:$CP,0),23)</f>
        <v>#N/A</v>
      </c>
      <c r="AA157" s="153" t="str">
        <f t="array" ref="AA157">INDEX('Primary - GRADING'!$A$1:$CP997,MATCH($A157,'Primary - GRADING'!$CP:$CP,0),24)</f>
        <v>#N/A</v>
      </c>
      <c r="AB157" s="153" t="str">
        <f t="array" ref="AB157">INDEX('Primary - GRADING'!$A$1:$CP997,MATCH($A157,'Primary - GRADING'!$CP:$CP,0),25)</f>
        <v>#N/A</v>
      </c>
      <c r="AC157" s="153" t="str">
        <f t="array" ref="AC157">INDEX('Primary - GRADING'!$A$1:$CP997,MATCH($A157,'Primary - GRADING'!$CP:$CP,0),46)</f>
        <v>#N/A</v>
      </c>
      <c r="AG157" s="153" t="str">
        <f t="shared" si="7"/>
        <v>#N/A</v>
      </c>
      <c r="AI157" s="153" t="str">
        <f>VLOOKUP(AH157,'Primary - GRADING'!$A$4:$C997,2,)</f>
        <v>#N/A</v>
      </c>
      <c r="AJ157" s="153" t="str">
        <f>VLOOKUP(AH157,'Primary - GRADING'!$A$4:$C997,3,)</f>
        <v>#N/A</v>
      </c>
      <c r="AK157" s="153" t="str">
        <f>VLOOKUP(AH157,'Primary - GRADING'!$A$4:$BG997,59,)</f>
        <v>#N/A</v>
      </c>
      <c r="AL157" s="153" t="str">
        <f>IFS(AK157="NMA",VLOOKUP(AH157,'Primary - GRADING'!$A$4:$BG997,51,),AK157="DIRECT",VLOOKUP(AH157,'Primary - GRADING'!$A$4:$BG997,8,),AK157="INDIRECT",VLOOKUP(AH157,'Primary - GRADING'!$A$4:$BG997,23,))</f>
        <v>#N/A</v>
      </c>
      <c r="AM157" s="153" t="str">
        <f>IFS(AK157="NMA",VLOOKUP(AH157,'Primary - GRADING'!$A$4:$BG997,52,),AK157="DIRECT",VLOOKUP(AH157,'Primary - GRADING'!$A$4:$BG997,9,),AK157="INDIRECT",VLOOKUP(AH157,'Primary - GRADING'!$A$4:$BG997,24,))</f>
        <v>#N/A</v>
      </c>
      <c r="AN157" s="153" t="str">
        <f>IFS(AK157="NMA",VLOOKUP(AH157,'Primary - GRADING'!$A$4:$BG997,53,),AK157="DIRECT",VLOOKUP(AH157,'Primary - GRADING'!$A$4:$BG997,10,),AK157="INDIRECT",VLOOKUP(AH157,'Primary - GRADING'!$A$4:$BG997,25,))</f>
        <v>#N/A</v>
      </c>
      <c r="AO157" s="153" t="str">
        <f t="shared" si="8"/>
        <v>#N/A</v>
      </c>
      <c r="AT157" s="153" t="str">
        <f t="shared" si="9"/>
        <v>#N/A</v>
      </c>
      <c r="AV157" s="153" t="str">
        <f>VLOOKUP(AU157,'Primary - GRADING'!$A$4:$C997,2,)</f>
        <v>#N/A</v>
      </c>
      <c r="AW157" s="153" t="str">
        <f>VLOOKUP(AU157,'Primary - GRADING'!$A$4:$C997,3,)</f>
        <v>#N/A</v>
      </c>
      <c r="AX157" s="153" t="str">
        <f>VLOOKUP(AU157,'Primary - GRADING'!$A$4:$BG997,59,)</f>
        <v>#N/A</v>
      </c>
      <c r="AY157" s="153" t="str">
        <f>IFS(AX157="NMA",VLOOKUP(AU157,'Primary - GRADING'!$A$4:$BG997,51,),AX157="DIRECT",VLOOKUP(AU157,'Primary - GRADING'!$A$4:$BG997,8,),AX157="INDIRECT",VLOOKUP(AU157,'Primary - GRADING'!$A$4:$BG997,23,))</f>
        <v>#N/A</v>
      </c>
      <c r="AZ157" s="153" t="str">
        <f>IFS(AX157="NMA",VLOOKUP(AU157,'Primary - GRADING'!$A$4:$BG997,52,),AX157="DIRECT",VLOOKUP(AU157,'Primary - GRADING'!$A$4:$BG997,9,),AX157="INDIRECT",VLOOKUP(AU157,'Primary - GRADING'!$A$4:$BG997,24,))</f>
        <v>#N/A</v>
      </c>
      <c r="BA157" s="153" t="str">
        <f>IFS(AX157="NMA",VLOOKUP(AU157,'Primary - GRADING'!$A$4:$BG997,53,),AX157="DIRECT",VLOOKUP(AU157,'Primary - GRADING'!$A$4:$BG997,10,),AX157="INDIRECT",VLOOKUP(AU157,'Primary - GRADING'!$A$4:$BG997,25,))</f>
        <v>#N/A</v>
      </c>
      <c r="BB157" s="153" t="str">
        <f t="shared" si="10"/>
        <v>#N/A</v>
      </c>
      <c r="BE157" s="153" t="str">
        <f t="shared" si="11"/>
        <v/>
      </c>
      <c r="BG157" s="153" t="str">
        <f t="shared" si="12"/>
        <v>#N/A</v>
      </c>
      <c r="BI157" s="153" t="str">
        <f t="shared" si="13"/>
        <v>#N/A</v>
      </c>
      <c r="BK157" s="153" t="str">
        <f t="shared" si="14"/>
        <v>#N/A</v>
      </c>
      <c r="BM157" s="153" t="str">
        <f t="shared" si="15"/>
        <v>#N/A</v>
      </c>
    </row>
    <row r="158" ht="15.75" customHeight="1">
      <c r="B158" s="160" t="str">
        <f t="shared" si="1"/>
        <v>#N/A</v>
      </c>
      <c r="C158" s="160" t="str">
        <f t="shared" si="2"/>
        <v>#N/A</v>
      </c>
      <c r="D158" s="160" t="str">
        <f t="shared" si="3"/>
        <v>#N/A</v>
      </c>
      <c r="E158" s="161" t="str">
        <f t="shared" si="4"/>
        <v>#N/A</v>
      </c>
      <c r="F158" s="153" t="str">
        <f t="shared" si="17"/>
        <v>#N/A</v>
      </c>
      <c r="G158" s="153" t="str">
        <f t="shared" si="6"/>
        <v>#N/A</v>
      </c>
      <c r="H158" s="156" t="str">
        <f t="array" ref="H158">INDEX('Primary - GRADING'!$A$1:$BG997,MATCH($A158,'Primary - GRADING'!$B:$B,0),59)</f>
        <v>#N/A</v>
      </c>
      <c r="I158" s="153" t="str">
        <f t="array" ref="I158">INDEX('Primary - GRADING'!$A$1:$CP997,MATCH($A158,'Primary - GRADING'!$CP:$CP,0),48)</f>
        <v>#N/A</v>
      </c>
      <c r="J158" s="153" t="str">
        <f t="array" ref="J158">INDEX('Primary - GRADING'!$A$1:$CP997,MATCH($A158,'Primary - GRADING'!$CP:$CP,0),49)</f>
        <v>#N/A</v>
      </c>
      <c r="K158" s="153" t="str">
        <f t="array" ref="K158">INDEX('Primary - GRADING'!$A$1:$CP997,MATCH($A158,'Primary - GRADING'!$CP:$CP,0),50)</f>
        <v>#N/A</v>
      </c>
      <c r="L158" s="153" t="str">
        <f t="array" ref="L158">INDEX('Primary - GRADING'!$A$1:$CP997,MATCH($A158,'Primary - GRADING'!$CP:$CP,0),51)</f>
        <v>#N/A</v>
      </c>
      <c r="M158" s="153" t="str">
        <f t="array" ref="M158">INDEX('Primary - GRADING'!$A$1:$CP997,MATCH($A158,'Primary - GRADING'!$CP:$CP,0),52)</f>
        <v>#N/A</v>
      </c>
      <c r="N158" s="153" t="str">
        <f t="array" ref="N158">INDEX('Primary - GRADING'!$A$1:$CP997,MATCH($A158,'Primary - GRADING'!$CP:$CP,0),53)</f>
        <v>#N/A</v>
      </c>
      <c r="O158" s="153" t="str">
        <f t="array" ref="O158">INDEX('Primary - GRADING'!$A$1:$CP997,MATCH($A158,'Primary - GRADING'!$CP:$CP,0),58)</f>
        <v>#N/A</v>
      </c>
      <c r="P158" s="153" t="str">
        <f t="array" ref="P158">INDEX('Primary - GRADING'!$A$1:$CP997,MATCH($A158,'Primary - GRADING'!$CP:$CP,0),5)</f>
        <v>#N/A</v>
      </c>
      <c r="Q158" s="153" t="str">
        <f t="array" ref="Q158">INDEX('Primary - GRADING'!$A$1:$CP997,MATCH($A158,'Primary - GRADING'!$CP:$CP,0),6)</f>
        <v>#N/A</v>
      </c>
      <c r="R158" s="153" t="str">
        <f t="array" ref="R158">INDEX('Primary - GRADING'!$A$1:$CP997,MATCH($A158,'Primary - GRADING'!$CP:$CP,0),7)</f>
        <v>#N/A</v>
      </c>
      <c r="S158" s="153" t="str">
        <f t="array" ref="S158">INDEX('Primary - GRADING'!$A$1:$CP997,MATCH($A158,'Primary - GRADING'!$CP:$CP,0),8)</f>
        <v>#N/A</v>
      </c>
      <c r="T158" s="153" t="str">
        <f t="array" ref="T158">INDEX('Primary - GRADING'!$A$1:$CP997,MATCH($A158,'Primary - GRADING'!$CP:$CP,0),9)</f>
        <v>#N/A</v>
      </c>
      <c r="U158" s="153" t="str">
        <f t="array" ref="U158">INDEX('Primary - GRADING'!$A$1:$CP997,MATCH($A158,'Primary - GRADING'!$CP:$CP,0),10)</f>
        <v>#N/A</v>
      </c>
      <c r="V158" s="153" t="str">
        <f t="array" ref="V158">INDEX('Primary - GRADING'!$A$1:$CP997,MATCH($A158,'Primary - GRADING'!$CP:$CP,0),18)</f>
        <v>#N/A</v>
      </c>
      <c r="W158" s="153" t="str">
        <f t="array" ref="W158">INDEX('Primary - GRADING'!$A$1:$CP997,MATCH($A158,'Primary - GRADING'!$CP:$CP,0),20)</f>
        <v>#N/A</v>
      </c>
      <c r="X158" s="153" t="str">
        <f t="array" ref="X158">INDEX('Primary - GRADING'!$A$1:$CP997,MATCH($A158,'Primary - GRADING'!$CP:$CP,0),21)</f>
        <v>#N/A</v>
      </c>
      <c r="Y158" s="153" t="str">
        <f t="array" ref="Y158">INDEX('Primary - GRADING'!$A$1:$CP997,MATCH($A158,'Primary - GRADING'!$CP:$CP,0),22)</f>
        <v>#N/A</v>
      </c>
      <c r="Z158" s="165" t="str">
        <f t="array" ref="Z158">INDEX('Primary - GRADING'!$A$1:$CP997,MATCH($A158,'Primary - GRADING'!$CP:$CP,0),23)</f>
        <v>#N/A</v>
      </c>
      <c r="AA158" s="153" t="str">
        <f t="array" ref="AA158">INDEX('Primary - GRADING'!$A$1:$CP997,MATCH($A158,'Primary - GRADING'!$CP:$CP,0),24)</f>
        <v>#N/A</v>
      </c>
      <c r="AB158" s="153" t="str">
        <f t="array" ref="AB158">INDEX('Primary - GRADING'!$A$1:$CP997,MATCH($A158,'Primary - GRADING'!$CP:$CP,0),25)</f>
        <v>#N/A</v>
      </c>
      <c r="AC158" s="153" t="str">
        <f t="array" ref="AC158">INDEX('Primary - GRADING'!$A$1:$CP997,MATCH($A158,'Primary - GRADING'!$CP:$CP,0),46)</f>
        <v>#N/A</v>
      </c>
      <c r="AG158" s="153" t="str">
        <f t="shared" si="7"/>
        <v>#N/A</v>
      </c>
      <c r="AI158" s="153" t="str">
        <f>VLOOKUP(AH158,'Primary - GRADING'!$A$4:$C997,2,)</f>
        <v>#N/A</v>
      </c>
      <c r="AJ158" s="153" t="str">
        <f>VLOOKUP(AH158,'Primary - GRADING'!$A$4:$C997,3,)</f>
        <v>#N/A</v>
      </c>
      <c r="AK158" s="153" t="str">
        <f>VLOOKUP(AH158,'Primary - GRADING'!$A$4:$BG997,59,)</f>
        <v>#N/A</v>
      </c>
      <c r="AL158" s="153" t="str">
        <f>IFS(AK158="NMA",VLOOKUP(AH158,'Primary - GRADING'!$A$4:$BG997,51,),AK158="DIRECT",VLOOKUP(AH158,'Primary - GRADING'!$A$4:$BG997,8,),AK158="INDIRECT",VLOOKUP(AH158,'Primary - GRADING'!$A$4:$BG997,23,))</f>
        <v>#N/A</v>
      </c>
      <c r="AM158" s="153" t="str">
        <f>IFS(AK158="NMA",VLOOKUP(AH158,'Primary - GRADING'!$A$4:$BG997,52,),AK158="DIRECT",VLOOKUP(AH158,'Primary - GRADING'!$A$4:$BG997,9,),AK158="INDIRECT",VLOOKUP(AH158,'Primary - GRADING'!$A$4:$BG997,24,))</f>
        <v>#N/A</v>
      </c>
      <c r="AN158" s="153" t="str">
        <f>IFS(AK158="NMA",VLOOKUP(AH158,'Primary - GRADING'!$A$4:$BG997,53,),AK158="DIRECT",VLOOKUP(AH158,'Primary - GRADING'!$A$4:$BG997,10,),AK158="INDIRECT",VLOOKUP(AH158,'Primary - GRADING'!$A$4:$BG997,25,))</f>
        <v>#N/A</v>
      </c>
      <c r="AO158" s="153" t="str">
        <f t="shared" si="8"/>
        <v>#N/A</v>
      </c>
      <c r="AT158" s="153" t="str">
        <f t="shared" si="9"/>
        <v>#N/A</v>
      </c>
      <c r="AV158" s="153" t="str">
        <f>VLOOKUP(AU158,'Primary - GRADING'!$A$4:$C997,2,)</f>
        <v>#N/A</v>
      </c>
      <c r="AW158" s="153" t="str">
        <f>VLOOKUP(AU158,'Primary - GRADING'!$A$4:$C997,3,)</f>
        <v>#N/A</v>
      </c>
      <c r="AX158" s="153" t="str">
        <f>VLOOKUP(AU158,'Primary - GRADING'!$A$4:$BG997,59,)</f>
        <v>#N/A</v>
      </c>
      <c r="AY158" s="153" t="str">
        <f>IFS(AX158="NMA",VLOOKUP(AU158,'Primary - GRADING'!$A$4:$BG997,51,),AX158="DIRECT",VLOOKUP(AU158,'Primary - GRADING'!$A$4:$BG997,8,),AX158="INDIRECT",VLOOKUP(AU158,'Primary - GRADING'!$A$4:$BG997,23,))</f>
        <v>#N/A</v>
      </c>
      <c r="AZ158" s="153" t="str">
        <f>IFS(AX158="NMA",VLOOKUP(AU158,'Primary - GRADING'!$A$4:$BG997,52,),AX158="DIRECT",VLOOKUP(AU158,'Primary - GRADING'!$A$4:$BG997,9,),AX158="INDIRECT",VLOOKUP(AU158,'Primary - GRADING'!$A$4:$BG997,24,))</f>
        <v>#N/A</v>
      </c>
      <c r="BA158" s="153" t="str">
        <f>IFS(AX158="NMA",VLOOKUP(AU158,'Primary - GRADING'!$A$4:$BG997,53,),AX158="DIRECT",VLOOKUP(AU158,'Primary - GRADING'!$A$4:$BG997,10,),AX158="INDIRECT",VLOOKUP(AU158,'Primary - GRADING'!$A$4:$BG997,25,))</f>
        <v>#N/A</v>
      </c>
      <c r="BB158" s="153" t="str">
        <f t="shared" si="10"/>
        <v>#N/A</v>
      </c>
      <c r="BE158" s="153" t="str">
        <f t="shared" si="11"/>
        <v/>
      </c>
      <c r="BG158" s="153" t="str">
        <f t="shared" si="12"/>
        <v>#N/A</v>
      </c>
      <c r="BI158" s="153" t="str">
        <f t="shared" si="13"/>
        <v>#N/A</v>
      </c>
      <c r="BK158" s="153" t="str">
        <f t="shared" si="14"/>
        <v>#N/A</v>
      </c>
      <c r="BM158" s="153" t="str">
        <f t="shared" si="15"/>
        <v>#N/A</v>
      </c>
    </row>
    <row r="159" ht="15.75" customHeight="1">
      <c r="B159" s="160" t="str">
        <f t="shared" si="1"/>
        <v>#N/A</v>
      </c>
      <c r="C159" s="160" t="str">
        <f t="shared" si="2"/>
        <v>#N/A</v>
      </c>
      <c r="D159" s="160" t="str">
        <f t="shared" si="3"/>
        <v>#N/A</v>
      </c>
      <c r="E159" s="161" t="str">
        <f t="shared" si="4"/>
        <v>#N/A</v>
      </c>
      <c r="F159" s="153" t="str">
        <f t="shared" si="17"/>
        <v>#N/A</v>
      </c>
      <c r="G159" s="153" t="str">
        <f t="shared" si="6"/>
        <v>#N/A</v>
      </c>
      <c r="H159" s="156" t="str">
        <f t="array" ref="H159">INDEX('Primary - GRADING'!$A$1:$BG997,MATCH($A159,'Primary - GRADING'!$B:$B,0),59)</f>
        <v>#N/A</v>
      </c>
      <c r="I159" s="153" t="str">
        <f t="array" ref="I159">INDEX('Primary - GRADING'!$A$1:$CP997,MATCH($A159,'Primary - GRADING'!$CP:$CP,0),48)</f>
        <v>#N/A</v>
      </c>
      <c r="J159" s="153" t="str">
        <f t="array" ref="J159">INDEX('Primary - GRADING'!$A$1:$CP997,MATCH($A159,'Primary - GRADING'!$CP:$CP,0),49)</f>
        <v>#N/A</v>
      </c>
      <c r="K159" s="153" t="str">
        <f t="array" ref="K159">INDEX('Primary - GRADING'!$A$1:$CP997,MATCH($A159,'Primary - GRADING'!$CP:$CP,0),50)</f>
        <v>#N/A</v>
      </c>
      <c r="L159" s="153" t="str">
        <f t="array" ref="L159">INDEX('Primary - GRADING'!$A$1:$CP997,MATCH($A159,'Primary - GRADING'!$CP:$CP,0),51)</f>
        <v>#N/A</v>
      </c>
      <c r="M159" s="153" t="str">
        <f t="array" ref="M159">INDEX('Primary - GRADING'!$A$1:$CP997,MATCH($A159,'Primary - GRADING'!$CP:$CP,0),52)</f>
        <v>#N/A</v>
      </c>
      <c r="N159" s="153" t="str">
        <f t="array" ref="N159">INDEX('Primary - GRADING'!$A$1:$CP997,MATCH($A159,'Primary - GRADING'!$CP:$CP,0),53)</f>
        <v>#N/A</v>
      </c>
      <c r="O159" s="153" t="str">
        <f t="array" ref="O159">INDEX('Primary - GRADING'!$A$1:$CP997,MATCH($A159,'Primary - GRADING'!$CP:$CP,0),58)</f>
        <v>#N/A</v>
      </c>
      <c r="P159" s="153" t="str">
        <f t="array" ref="P159">INDEX('Primary - GRADING'!$A$1:$CP997,MATCH($A159,'Primary - GRADING'!$CP:$CP,0),5)</f>
        <v>#N/A</v>
      </c>
      <c r="Q159" s="153" t="str">
        <f t="array" ref="Q159">INDEX('Primary - GRADING'!$A$1:$CP997,MATCH($A159,'Primary - GRADING'!$CP:$CP,0),6)</f>
        <v>#N/A</v>
      </c>
      <c r="R159" s="153" t="str">
        <f t="array" ref="R159">INDEX('Primary - GRADING'!$A$1:$CP997,MATCH($A159,'Primary - GRADING'!$CP:$CP,0),7)</f>
        <v>#N/A</v>
      </c>
      <c r="S159" s="153" t="str">
        <f t="array" ref="S159">INDEX('Primary - GRADING'!$A$1:$CP997,MATCH($A159,'Primary - GRADING'!$CP:$CP,0),8)</f>
        <v>#N/A</v>
      </c>
      <c r="T159" s="153" t="str">
        <f t="array" ref="T159">INDEX('Primary - GRADING'!$A$1:$CP997,MATCH($A159,'Primary - GRADING'!$CP:$CP,0),9)</f>
        <v>#N/A</v>
      </c>
      <c r="U159" s="153" t="str">
        <f t="array" ref="U159">INDEX('Primary - GRADING'!$A$1:$CP997,MATCH($A159,'Primary - GRADING'!$CP:$CP,0),10)</f>
        <v>#N/A</v>
      </c>
      <c r="V159" s="153" t="str">
        <f t="array" ref="V159">INDEX('Primary - GRADING'!$A$1:$CP997,MATCH($A159,'Primary - GRADING'!$CP:$CP,0),18)</f>
        <v>#N/A</v>
      </c>
      <c r="W159" s="153" t="str">
        <f t="array" ref="W159">INDEX('Primary - GRADING'!$A$1:$CP997,MATCH($A159,'Primary - GRADING'!$CP:$CP,0),20)</f>
        <v>#N/A</v>
      </c>
      <c r="X159" s="153" t="str">
        <f t="array" ref="X159">INDEX('Primary - GRADING'!$A$1:$CP997,MATCH($A159,'Primary - GRADING'!$CP:$CP,0),21)</f>
        <v>#N/A</v>
      </c>
      <c r="Y159" s="153" t="str">
        <f t="array" ref="Y159">INDEX('Primary - GRADING'!$A$1:$CP997,MATCH($A159,'Primary - GRADING'!$CP:$CP,0),22)</f>
        <v>#N/A</v>
      </c>
      <c r="Z159" s="165" t="str">
        <f t="array" ref="Z159">INDEX('Primary - GRADING'!$A$1:$CP997,MATCH($A159,'Primary - GRADING'!$CP:$CP,0),23)</f>
        <v>#N/A</v>
      </c>
      <c r="AA159" s="153" t="str">
        <f t="array" ref="AA159">INDEX('Primary - GRADING'!$A$1:$CP997,MATCH($A159,'Primary - GRADING'!$CP:$CP,0),24)</f>
        <v>#N/A</v>
      </c>
      <c r="AB159" s="153" t="str">
        <f t="array" ref="AB159">INDEX('Primary - GRADING'!$A$1:$CP997,MATCH($A159,'Primary - GRADING'!$CP:$CP,0),25)</f>
        <v>#N/A</v>
      </c>
      <c r="AC159" s="153" t="str">
        <f t="array" ref="AC159">INDEX('Primary - GRADING'!$A$1:$CP997,MATCH($A159,'Primary - GRADING'!$CP:$CP,0),46)</f>
        <v>#N/A</v>
      </c>
      <c r="AG159" s="153" t="str">
        <f t="shared" si="7"/>
        <v>#N/A</v>
      </c>
      <c r="AI159" s="153" t="str">
        <f>VLOOKUP(AH159,'Primary - GRADING'!$A$4:$C997,2,)</f>
        <v>#N/A</v>
      </c>
      <c r="AJ159" s="153" t="str">
        <f>VLOOKUP(AH159,'Primary - GRADING'!$A$4:$C997,3,)</f>
        <v>#N/A</v>
      </c>
      <c r="AK159" s="153" t="str">
        <f>VLOOKUP(AH159,'Primary - GRADING'!$A$4:$BG997,59,)</f>
        <v>#N/A</v>
      </c>
      <c r="AL159" s="153" t="str">
        <f>IFS(AK159="NMA",VLOOKUP(AH159,'Primary - GRADING'!$A$4:$BG997,51,),AK159="DIRECT",VLOOKUP(AH159,'Primary - GRADING'!$A$4:$BG997,8,),AK159="INDIRECT",VLOOKUP(AH159,'Primary - GRADING'!$A$4:$BG997,23,))</f>
        <v>#N/A</v>
      </c>
      <c r="AM159" s="153" t="str">
        <f>IFS(AK159="NMA",VLOOKUP(AH159,'Primary - GRADING'!$A$4:$BG997,52,),AK159="DIRECT",VLOOKUP(AH159,'Primary - GRADING'!$A$4:$BG997,9,),AK159="INDIRECT",VLOOKUP(AH159,'Primary - GRADING'!$A$4:$BG997,24,))</f>
        <v>#N/A</v>
      </c>
      <c r="AN159" s="153" t="str">
        <f>IFS(AK159="NMA",VLOOKUP(AH159,'Primary - GRADING'!$A$4:$BG997,53,),AK159="DIRECT",VLOOKUP(AH159,'Primary - GRADING'!$A$4:$BG997,10,),AK159="INDIRECT",VLOOKUP(AH159,'Primary - GRADING'!$A$4:$BG997,25,))</f>
        <v>#N/A</v>
      </c>
      <c r="AO159" s="153" t="str">
        <f t="shared" si="8"/>
        <v>#N/A</v>
      </c>
      <c r="AT159" s="153" t="str">
        <f t="shared" si="9"/>
        <v>#N/A</v>
      </c>
      <c r="AV159" s="153" t="str">
        <f>VLOOKUP(AU159,'Primary - GRADING'!$A$4:$C997,2,)</f>
        <v>#N/A</v>
      </c>
      <c r="AW159" s="153" t="str">
        <f>VLOOKUP(AU159,'Primary - GRADING'!$A$4:$C997,3,)</f>
        <v>#N/A</v>
      </c>
      <c r="AX159" s="153" t="str">
        <f>VLOOKUP(AU159,'Primary - GRADING'!$A$4:$BG997,59,)</f>
        <v>#N/A</v>
      </c>
      <c r="AY159" s="153" t="str">
        <f>IFS(AX159="NMA",VLOOKUP(AU159,'Primary - GRADING'!$A$4:$BG997,51,),AX159="DIRECT",VLOOKUP(AU159,'Primary - GRADING'!$A$4:$BG997,8,),AX159="INDIRECT",VLOOKUP(AU159,'Primary - GRADING'!$A$4:$BG997,23,))</f>
        <v>#N/A</v>
      </c>
      <c r="AZ159" s="153" t="str">
        <f>IFS(AX159="NMA",VLOOKUP(AU159,'Primary - GRADING'!$A$4:$BG997,52,),AX159="DIRECT",VLOOKUP(AU159,'Primary - GRADING'!$A$4:$BG997,9,),AX159="INDIRECT",VLOOKUP(AU159,'Primary - GRADING'!$A$4:$BG997,24,))</f>
        <v>#N/A</v>
      </c>
      <c r="BA159" s="153" t="str">
        <f>IFS(AX159="NMA",VLOOKUP(AU159,'Primary - GRADING'!$A$4:$BG997,53,),AX159="DIRECT",VLOOKUP(AU159,'Primary - GRADING'!$A$4:$BG997,10,),AX159="INDIRECT",VLOOKUP(AU159,'Primary - GRADING'!$A$4:$BG997,25,))</f>
        <v>#N/A</v>
      </c>
      <c r="BB159" s="153" t="str">
        <f t="shared" si="10"/>
        <v>#N/A</v>
      </c>
      <c r="BE159" s="153" t="str">
        <f t="shared" si="11"/>
        <v/>
      </c>
      <c r="BG159" s="153" t="str">
        <f t="shared" si="12"/>
        <v>#N/A</v>
      </c>
      <c r="BI159" s="153" t="str">
        <f t="shared" si="13"/>
        <v>#N/A</v>
      </c>
      <c r="BK159" s="153" t="str">
        <f t="shared" si="14"/>
        <v>#N/A</v>
      </c>
      <c r="BM159" s="153" t="str">
        <f t="shared" si="15"/>
        <v>#N/A</v>
      </c>
    </row>
    <row r="160" ht="15.75" customHeight="1">
      <c r="B160" s="160" t="str">
        <f t="shared" si="1"/>
        <v>#N/A</v>
      </c>
      <c r="C160" s="160" t="str">
        <f t="shared" si="2"/>
        <v>#N/A</v>
      </c>
      <c r="D160" s="160" t="str">
        <f t="shared" si="3"/>
        <v>#N/A</v>
      </c>
      <c r="E160" s="161" t="str">
        <f t="shared" si="4"/>
        <v>#N/A</v>
      </c>
      <c r="F160" s="153" t="str">
        <f t="shared" si="17"/>
        <v>#N/A</v>
      </c>
      <c r="G160" s="153" t="str">
        <f t="shared" si="6"/>
        <v>#N/A</v>
      </c>
      <c r="H160" s="156" t="str">
        <f t="array" ref="H160">INDEX('Primary - GRADING'!$A$1:$BG997,MATCH($A160,'Primary - GRADING'!$B:$B,0),59)</f>
        <v>#N/A</v>
      </c>
      <c r="I160" s="153" t="str">
        <f t="array" ref="I160">INDEX('Primary - GRADING'!$A$1:$CP997,MATCH($A160,'Primary - GRADING'!$CP:$CP,0),48)</f>
        <v>#N/A</v>
      </c>
      <c r="J160" s="153" t="str">
        <f t="array" ref="J160">INDEX('Primary - GRADING'!$A$1:$CP997,MATCH($A160,'Primary - GRADING'!$CP:$CP,0),49)</f>
        <v>#N/A</v>
      </c>
      <c r="K160" s="153" t="str">
        <f t="array" ref="K160">INDEX('Primary - GRADING'!$A$1:$CP997,MATCH($A160,'Primary - GRADING'!$CP:$CP,0),50)</f>
        <v>#N/A</v>
      </c>
      <c r="L160" s="153" t="str">
        <f t="array" ref="L160">INDEX('Primary - GRADING'!$A$1:$CP997,MATCH($A160,'Primary - GRADING'!$CP:$CP,0),51)</f>
        <v>#N/A</v>
      </c>
      <c r="M160" s="153" t="str">
        <f t="array" ref="M160">INDEX('Primary - GRADING'!$A$1:$CP997,MATCH($A160,'Primary - GRADING'!$CP:$CP,0),52)</f>
        <v>#N/A</v>
      </c>
      <c r="N160" s="153" t="str">
        <f t="array" ref="N160">INDEX('Primary - GRADING'!$A$1:$CP997,MATCH($A160,'Primary - GRADING'!$CP:$CP,0),53)</f>
        <v>#N/A</v>
      </c>
      <c r="O160" s="153" t="str">
        <f t="array" ref="O160">INDEX('Primary - GRADING'!$A$1:$CP997,MATCH($A160,'Primary - GRADING'!$CP:$CP,0),58)</f>
        <v>#N/A</v>
      </c>
      <c r="P160" s="153" t="str">
        <f t="array" ref="P160">INDEX('Primary - GRADING'!$A$1:$CP997,MATCH($A160,'Primary - GRADING'!$CP:$CP,0),5)</f>
        <v>#N/A</v>
      </c>
      <c r="Q160" s="153" t="str">
        <f t="array" ref="Q160">INDEX('Primary - GRADING'!$A$1:$CP997,MATCH($A160,'Primary - GRADING'!$CP:$CP,0),6)</f>
        <v>#N/A</v>
      </c>
      <c r="R160" s="153" t="str">
        <f t="array" ref="R160">INDEX('Primary - GRADING'!$A$1:$CP997,MATCH($A160,'Primary - GRADING'!$CP:$CP,0),7)</f>
        <v>#N/A</v>
      </c>
      <c r="S160" s="153" t="str">
        <f t="array" ref="S160">INDEX('Primary - GRADING'!$A$1:$CP997,MATCH($A160,'Primary - GRADING'!$CP:$CP,0),8)</f>
        <v>#N/A</v>
      </c>
      <c r="T160" s="153" t="str">
        <f t="array" ref="T160">INDEX('Primary - GRADING'!$A$1:$CP997,MATCH($A160,'Primary - GRADING'!$CP:$CP,0),9)</f>
        <v>#N/A</v>
      </c>
      <c r="U160" s="153" t="str">
        <f t="array" ref="U160">INDEX('Primary - GRADING'!$A$1:$CP997,MATCH($A160,'Primary - GRADING'!$CP:$CP,0),10)</f>
        <v>#N/A</v>
      </c>
      <c r="V160" s="153" t="str">
        <f t="array" ref="V160">INDEX('Primary - GRADING'!$A$1:$CP997,MATCH($A160,'Primary - GRADING'!$CP:$CP,0),18)</f>
        <v>#N/A</v>
      </c>
      <c r="W160" s="153" t="str">
        <f t="array" ref="W160">INDEX('Primary - GRADING'!$A$1:$CP997,MATCH($A160,'Primary - GRADING'!$CP:$CP,0),20)</f>
        <v>#N/A</v>
      </c>
      <c r="X160" s="153" t="str">
        <f t="array" ref="X160">INDEX('Primary - GRADING'!$A$1:$CP997,MATCH($A160,'Primary - GRADING'!$CP:$CP,0),21)</f>
        <v>#N/A</v>
      </c>
      <c r="Y160" s="153" t="str">
        <f t="array" ref="Y160">INDEX('Primary - GRADING'!$A$1:$CP997,MATCH($A160,'Primary - GRADING'!$CP:$CP,0),22)</f>
        <v>#N/A</v>
      </c>
      <c r="Z160" s="165" t="str">
        <f t="array" ref="Z160">INDEX('Primary - GRADING'!$A$1:$CP997,MATCH($A160,'Primary - GRADING'!$CP:$CP,0),23)</f>
        <v>#N/A</v>
      </c>
      <c r="AA160" s="153" t="str">
        <f t="array" ref="AA160">INDEX('Primary - GRADING'!$A$1:$CP997,MATCH($A160,'Primary - GRADING'!$CP:$CP,0),24)</f>
        <v>#N/A</v>
      </c>
      <c r="AB160" s="153" t="str">
        <f t="array" ref="AB160">INDEX('Primary - GRADING'!$A$1:$CP997,MATCH($A160,'Primary - GRADING'!$CP:$CP,0),25)</f>
        <v>#N/A</v>
      </c>
      <c r="AC160" s="153" t="str">
        <f t="array" ref="AC160">INDEX('Primary - GRADING'!$A$1:$CP997,MATCH($A160,'Primary - GRADING'!$CP:$CP,0),46)</f>
        <v>#N/A</v>
      </c>
      <c r="AG160" s="153" t="str">
        <f t="shared" si="7"/>
        <v>#N/A</v>
      </c>
      <c r="AI160" s="153" t="str">
        <f>VLOOKUP(AH160,'Primary - GRADING'!$A$4:$C997,2,)</f>
        <v>#N/A</v>
      </c>
      <c r="AJ160" s="153" t="str">
        <f>VLOOKUP(AH160,'Primary - GRADING'!$A$4:$C997,3,)</f>
        <v>#N/A</v>
      </c>
      <c r="AK160" s="153" t="str">
        <f>VLOOKUP(AH160,'Primary - GRADING'!$A$4:$BG997,59,)</f>
        <v>#N/A</v>
      </c>
      <c r="AL160" s="153" t="str">
        <f>IFS(AK160="NMA",VLOOKUP(AH160,'Primary - GRADING'!$A$4:$BG997,51,),AK160="DIRECT",VLOOKUP(AH160,'Primary - GRADING'!$A$4:$BG997,8,),AK160="INDIRECT",VLOOKUP(AH160,'Primary - GRADING'!$A$4:$BG997,23,))</f>
        <v>#N/A</v>
      </c>
      <c r="AM160" s="153" t="str">
        <f>IFS(AK160="NMA",VLOOKUP(AH160,'Primary - GRADING'!$A$4:$BG997,52,),AK160="DIRECT",VLOOKUP(AH160,'Primary - GRADING'!$A$4:$BG997,9,),AK160="INDIRECT",VLOOKUP(AH160,'Primary - GRADING'!$A$4:$BG997,24,))</f>
        <v>#N/A</v>
      </c>
      <c r="AN160" s="153" t="str">
        <f>IFS(AK160="NMA",VLOOKUP(AH160,'Primary - GRADING'!$A$4:$BG997,53,),AK160="DIRECT",VLOOKUP(AH160,'Primary - GRADING'!$A$4:$BG997,10,),AK160="INDIRECT",VLOOKUP(AH160,'Primary - GRADING'!$A$4:$BG997,25,))</f>
        <v>#N/A</v>
      </c>
      <c r="AO160" s="153" t="str">
        <f t="shared" si="8"/>
        <v>#N/A</v>
      </c>
      <c r="AT160" s="153" t="str">
        <f t="shared" si="9"/>
        <v>#N/A</v>
      </c>
      <c r="AV160" s="153" t="str">
        <f>VLOOKUP(AU160,'Primary - GRADING'!$A$4:$C997,2,)</f>
        <v>#N/A</v>
      </c>
      <c r="AW160" s="153" t="str">
        <f>VLOOKUP(AU160,'Primary - GRADING'!$A$4:$C997,3,)</f>
        <v>#N/A</v>
      </c>
      <c r="AX160" s="153" t="str">
        <f>VLOOKUP(AU160,'Primary - GRADING'!$A$4:$BG997,59,)</f>
        <v>#N/A</v>
      </c>
      <c r="AY160" s="153" t="str">
        <f>IFS(AX160="NMA",VLOOKUP(AU160,'Primary - GRADING'!$A$4:$BG997,51,),AX160="DIRECT",VLOOKUP(AU160,'Primary - GRADING'!$A$4:$BG997,8,),AX160="INDIRECT",VLOOKUP(AU160,'Primary - GRADING'!$A$4:$BG997,23,))</f>
        <v>#N/A</v>
      </c>
      <c r="AZ160" s="153" t="str">
        <f>IFS(AX160="NMA",VLOOKUP(AU160,'Primary - GRADING'!$A$4:$BG997,52,),AX160="DIRECT",VLOOKUP(AU160,'Primary - GRADING'!$A$4:$BG997,9,),AX160="INDIRECT",VLOOKUP(AU160,'Primary - GRADING'!$A$4:$BG997,24,))</f>
        <v>#N/A</v>
      </c>
      <c r="BA160" s="153" t="str">
        <f>IFS(AX160="NMA",VLOOKUP(AU160,'Primary - GRADING'!$A$4:$BG997,53,),AX160="DIRECT",VLOOKUP(AU160,'Primary - GRADING'!$A$4:$BG997,10,),AX160="INDIRECT",VLOOKUP(AU160,'Primary - GRADING'!$A$4:$BG997,25,))</f>
        <v>#N/A</v>
      </c>
      <c r="BB160" s="153" t="str">
        <f t="shared" si="10"/>
        <v>#N/A</v>
      </c>
      <c r="BE160" s="153" t="str">
        <f t="shared" si="11"/>
        <v/>
      </c>
      <c r="BG160" s="153" t="str">
        <f t="shared" si="12"/>
        <v>#N/A</v>
      </c>
      <c r="BI160" s="153" t="str">
        <f t="shared" si="13"/>
        <v>#N/A</v>
      </c>
      <c r="BK160" s="153" t="str">
        <f t="shared" si="14"/>
        <v>#N/A</v>
      </c>
      <c r="BM160" s="153" t="str">
        <f t="shared" si="15"/>
        <v>#N/A</v>
      </c>
    </row>
    <row r="161" ht="15.75" customHeight="1">
      <c r="B161" s="160" t="str">
        <f t="shared" si="1"/>
        <v>#N/A</v>
      </c>
      <c r="C161" s="160" t="str">
        <f t="shared" si="2"/>
        <v>#N/A</v>
      </c>
      <c r="D161" s="160" t="str">
        <f t="shared" si="3"/>
        <v>#N/A</v>
      </c>
      <c r="E161" s="161" t="str">
        <f t="shared" si="4"/>
        <v>#N/A</v>
      </c>
      <c r="F161" s="153" t="str">
        <f t="shared" si="17"/>
        <v>#N/A</v>
      </c>
      <c r="G161" s="153" t="str">
        <f t="shared" si="6"/>
        <v>#N/A</v>
      </c>
      <c r="H161" s="156" t="str">
        <f t="array" ref="H161">INDEX('Primary - GRADING'!$A$1:$BG997,MATCH($A161,'Primary - GRADING'!$B:$B,0),59)</f>
        <v>#N/A</v>
      </c>
      <c r="I161" s="153" t="str">
        <f t="array" ref="I161">INDEX('Primary - GRADING'!$A$1:$CP997,MATCH($A161,'Primary - GRADING'!$CP:$CP,0),48)</f>
        <v>#N/A</v>
      </c>
      <c r="J161" s="153" t="str">
        <f t="array" ref="J161">INDEX('Primary - GRADING'!$A$1:$CP997,MATCH($A161,'Primary - GRADING'!$CP:$CP,0),49)</f>
        <v>#N/A</v>
      </c>
      <c r="K161" s="153" t="str">
        <f t="array" ref="K161">INDEX('Primary - GRADING'!$A$1:$CP997,MATCH($A161,'Primary - GRADING'!$CP:$CP,0),50)</f>
        <v>#N/A</v>
      </c>
      <c r="L161" s="153" t="str">
        <f t="array" ref="L161">INDEX('Primary - GRADING'!$A$1:$CP997,MATCH($A161,'Primary - GRADING'!$CP:$CP,0),51)</f>
        <v>#N/A</v>
      </c>
      <c r="M161" s="153" t="str">
        <f t="array" ref="M161">INDEX('Primary - GRADING'!$A$1:$CP997,MATCH($A161,'Primary - GRADING'!$CP:$CP,0),52)</f>
        <v>#N/A</v>
      </c>
      <c r="N161" s="153" t="str">
        <f t="array" ref="N161">INDEX('Primary - GRADING'!$A$1:$CP997,MATCH($A161,'Primary - GRADING'!$CP:$CP,0),53)</f>
        <v>#N/A</v>
      </c>
      <c r="O161" s="153" t="str">
        <f t="array" ref="O161">INDEX('Primary - GRADING'!$A$1:$CP997,MATCH($A161,'Primary - GRADING'!$CP:$CP,0),58)</f>
        <v>#N/A</v>
      </c>
      <c r="P161" s="153" t="str">
        <f t="array" ref="P161">INDEX('Primary - GRADING'!$A$1:$CP997,MATCH($A161,'Primary - GRADING'!$CP:$CP,0),5)</f>
        <v>#N/A</v>
      </c>
      <c r="Q161" s="153" t="str">
        <f t="array" ref="Q161">INDEX('Primary - GRADING'!$A$1:$CP997,MATCH($A161,'Primary - GRADING'!$CP:$CP,0),6)</f>
        <v>#N/A</v>
      </c>
      <c r="R161" s="153" t="str">
        <f t="array" ref="R161">INDEX('Primary - GRADING'!$A$1:$CP997,MATCH($A161,'Primary - GRADING'!$CP:$CP,0),7)</f>
        <v>#N/A</v>
      </c>
      <c r="S161" s="153" t="str">
        <f t="array" ref="S161">INDEX('Primary - GRADING'!$A$1:$CP997,MATCH($A161,'Primary - GRADING'!$CP:$CP,0),8)</f>
        <v>#N/A</v>
      </c>
      <c r="T161" s="153" t="str">
        <f t="array" ref="T161">INDEX('Primary - GRADING'!$A$1:$CP997,MATCH($A161,'Primary - GRADING'!$CP:$CP,0),9)</f>
        <v>#N/A</v>
      </c>
      <c r="U161" s="153" t="str">
        <f t="array" ref="U161">INDEX('Primary - GRADING'!$A$1:$CP997,MATCH($A161,'Primary - GRADING'!$CP:$CP,0),10)</f>
        <v>#N/A</v>
      </c>
      <c r="V161" s="153" t="str">
        <f t="array" ref="V161">INDEX('Primary - GRADING'!$A$1:$CP997,MATCH($A161,'Primary - GRADING'!$CP:$CP,0),18)</f>
        <v>#N/A</v>
      </c>
      <c r="W161" s="153" t="str">
        <f t="array" ref="W161">INDEX('Primary - GRADING'!$A$1:$CP997,MATCH($A161,'Primary - GRADING'!$CP:$CP,0),20)</f>
        <v>#N/A</v>
      </c>
      <c r="X161" s="153" t="str">
        <f t="array" ref="X161">INDEX('Primary - GRADING'!$A$1:$CP997,MATCH($A161,'Primary - GRADING'!$CP:$CP,0),21)</f>
        <v>#N/A</v>
      </c>
      <c r="Y161" s="153" t="str">
        <f t="array" ref="Y161">INDEX('Primary - GRADING'!$A$1:$CP997,MATCH($A161,'Primary - GRADING'!$CP:$CP,0),22)</f>
        <v>#N/A</v>
      </c>
      <c r="Z161" s="165" t="str">
        <f t="array" ref="Z161">INDEX('Primary - GRADING'!$A$1:$CP997,MATCH($A161,'Primary - GRADING'!$CP:$CP,0),23)</f>
        <v>#N/A</v>
      </c>
      <c r="AA161" s="153" t="str">
        <f t="array" ref="AA161">INDEX('Primary - GRADING'!$A$1:$CP997,MATCH($A161,'Primary - GRADING'!$CP:$CP,0),24)</f>
        <v>#N/A</v>
      </c>
      <c r="AB161" s="153" t="str">
        <f t="array" ref="AB161">INDEX('Primary - GRADING'!$A$1:$CP997,MATCH($A161,'Primary - GRADING'!$CP:$CP,0),25)</f>
        <v>#N/A</v>
      </c>
      <c r="AC161" s="153" t="str">
        <f t="array" ref="AC161">INDEX('Primary - GRADING'!$A$1:$CP997,MATCH($A161,'Primary - GRADING'!$CP:$CP,0),46)</f>
        <v>#N/A</v>
      </c>
      <c r="AG161" s="153" t="str">
        <f t="shared" si="7"/>
        <v>#N/A</v>
      </c>
      <c r="AI161" s="153" t="str">
        <f>VLOOKUP(AH161,'Primary - GRADING'!$A$4:$C997,2,)</f>
        <v>#N/A</v>
      </c>
      <c r="AJ161" s="153" t="str">
        <f>VLOOKUP(AH161,'Primary - GRADING'!$A$4:$C997,3,)</f>
        <v>#N/A</v>
      </c>
      <c r="AK161" s="153" t="str">
        <f>VLOOKUP(AH161,'Primary - GRADING'!$A$4:$BG997,59,)</f>
        <v>#N/A</v>
      </c>
      <c r="AL161" s="153" t="str">
        <f>IFS(AK161="NMA",VLOOKUP(AH161,'Primary - GRADING'!$A$4:$BG997,51,),AK161="DIRECT",VLOOKUP(AH161,'Primary - GRADING'!$A$4:$BG997,8,),AK161="INDIRECT",VLOOKUP(AH161,'Primary - GRADING'!$A$4:$BG997,23,))</f>
        <v>#N/A</v>
      </c>
      <c r="AM161" s="153" t="str">
        <f>IFS(AK161="NMA",VLOOKUP(AH161,'Primary - GRADING'!$A$4:$BG997,52,),AK161="DIRECT",VLOOKUP(AH161,'Primary - GRADING'!$A$4:$BG997,9,),AK161="INDIRECT",VLOOKUP(AH161,'Primary - GRADING'!$A$4:$BG997,24,))</f>
        <v>#N/A</v>
      </c>
      <c r="AN161" s="153" t="str">
        <f>IFS(AK161="NMA",VLOOKUP(AH161,'Primary - GRADING'!$A$4:$BG997,53,),AK161="DIRECT",VLOOKUP(AH161,'Primary - GRADING'!$A$4:$BG997,10,),AK161="INDIRECT",VLOOKUP(AH161,'Primary - GRADING'!$A$4:$BG997,25,))</f>
        <v>#N/A</v>
      </c>
      <c r="AO161" s="153" t="str">
        <f t="shared" si="8"/>
        <v>#N/A</v>
      </c>
      <c r="AT161" s="153" t="str">
        <f t="shared" si="9"/>
        <v>#N/A</v>
      </c>
      <c r="AV161" s="153" t="str">
        <f>VLOOKUP(AU161,'Primary - GRADING'!$A$4:$C997,2,)</f>
        <v>#N/A</v>
      </c>
      <c r="AW161" s="153" t="str">
        <f>VLOOKUP(AU161,'Primary - GRADING'!$A$4:$C997,3,)</f>
        <v>#N/A</v>
      </c>
      <c r="AX161" s="153" t="str">
        <f>VLOOKUP(AU161,'Primary - GRADING'!$A$4:$BG997,59,)</f>
        <v>#N/A</v>
      </c>
      <c r="AY161" s="153" t="str">
        <f>IFS(AX161="NMA",VLOOKUP(AU161,'Primary - GRADING'!$A$4:$BG997,51,),AX161="DIRECT",VLOOKUP(AU161,'Primary - GRADING'!$A$4:$BG997,8,),AX161="INDIRECT",VLOOKUP(AU161,'Primary - GRADING'!$A$4:$BG997,23,))</f>
        <v>#N/A</v>
      </c>
      <c r="AZ161" s="153" t="str">
        <f>IFS(AX161="NMA",VLOOKUP(AU161,'Primary - GRADING'!$A$4:$BG997,52,),AX161="DIRECT",VLOOKUP(AU161,'Primary - GRADING'!$A$4:$BG997,9,),AX161="INDIRECT",VLOOKUP(AU161,'Primary - GRADING'!$A$4:$BG997,24,))</f>
        <v>#N/A</v>
      </c>
      <c r="BA161" s="153" t="str">
        <f>IFS(AX161="NMA",VLOOKUP(AU161,'Primary - GRADING'!$A$4:$BG997,53,),AX161="DIRECT",VLOOKUP(AU161,'Primary - GRADING'!$A$4:$BG997,10,),AX161="INDIRECT",VLOOKUP(AU161,'Primary - GRADING'!$A$4:$BG997,25,))</f>
        <v>#N/A</v>
      </c>
      <c r="BB161" s="153" t="str">
        <f t="shared" si="10"/>
        <v>#N/A</v>
      </c>
      <c r="BE161" s="153" t="str">
        <f t="shared" si="11"/>
        <v/>
      </c>
      <c r="BG161" s="153" t="str">
        <f t="shared" si="12"/>
        <v>#N/A</v>
      </c>
      <c r="BI161" s="153" t="str">
        <f t="shared" si="13"/>
        <v>#N/A</v>
      </c>
      <c r="BK161" s="153" t="str">
        <f t="shared" si="14"/>
        <v>#N/A</v>
      </c>
      <c r="BM161" s="153" t="str">
        <f t="shared" si="15"/>
        <v>#N/A</v>
      </c>
    </row>
    <row r="162" ht="15.75" customHeight="1">
      <c r="B162" s="160" t="str">
        <f t="shared" si="1"/>
        <v>#N/A</v>
      </c>
      <c r="C162" s="160" t="str">
        <f t="shared" si="2"/>
        <v>#N/A</v>
      </c>
      <c r="D162" s="160" t="str">
        <f t="shared" si="3"/>
        <v>#N/A</v>
      </c>
      <c r="E162" s="161" t="str">
        <f t="shared" si="4"/>
        <v>#N/A</v>
      </c>
      <c r="F162" s="153" t="str">
        <f t="shared" si="17"/>
        <v>#N/A</v>
      </c>
      <c r="G162" s="153" t="str">
        <f t="shared" si="6"/>
        <v>#N/A</v>
      </c>
      <c r="H162" s="156" t="str">
        <f t="array" ref="H162">INDEX('Primary - GRADING'!$A$1:$BG997,MATCH($A162,'Primary - GRADING'!$B:$B,0),59)</f>
        <v>#N/A</v>
      </c>
      <c r="I162" s="153" t="str">
        <f t="array" ref="I162">INDEX('Primary - GRADING'!$A$1:$CP997,MATCH($A162,'Primary - GRADING'!$CP:$CP,0),48)</f>
        <v>#N/A</v>
      </c>
      <c r="J162" s="153" t="str">
        <f t="array" ref="J162">INDEX('Primary - GRADING'!$A$1:$CP997,MATCH($A162,'Primary - GRADING'!$CP:$CP,0),49)</f>
        <v>#N/A</v>
      </c>
      <c r="K162" s="153" t="str">
        <f t="array" ref="K162">INDEX('Primary - GRADING'!$A$1:$CP997,MATCH($A162,'Primary - GRADING'!$CP:$CP,0),50)</f>
        <v>#N/A</v>
      </c>
      <c r="L162" s="153" t="str">
        <f t="array" ref="L162">INDEX('Primary - GRADING'!$A$1:$CP997,MATCH($A162,'Primary - GRADING'!$CP:$CP,0),51)</f>
        <v>#N/A</v>
      </c>
      <c r="M162" s="153" t="str">
        <f t="array" ref="M162">INDEX('Primary - GRADING'!$A$1:$CP997,MATCH($A162,'Primary - GRADING'!$CP:$CP,0),52)</f>
        <v>#N/A</v>
      </c>
      <c r="N162" s="153" t="str">
        <f t="array" ref="N162">INDEX('Primary - GRADING'!$A$1:$CP997,MATCH($A162,'Primary - GRADING'!$CP:$CP,0),53)</f>
        <v>#N/A</v>
      </c>
      <c r="O162" s="153" t="str">
        <f t="array" ref="O162">INDEX('Primary - GRADING'!$A$1:$CP997,MATCH($A162,'Primary - GRADING'!$CP:$CP,0),58)</f>
        <v>#N/A</v>
      </c>
      <c r="P162" s="153" t="str">
        <f t="array" ref="P162">INDEX('Primary - GRADING'!$A$1:$CP997,MATCH($A162,'Primary - GRADING'!$CP:$CP,0),5)</f>
        <v>#N/A</v>
      </c>
      <c r="Q162" s="153" t="str">
        <f t="array" ref="Q162">INDEX('Primary - GRADING'!$A$1:$CP997,MATCH($A162,'Primary - GRADING'!$CP:$CP,0),6)</f>
        <v>#N/A</v>
      </c>
      <c r="R162" s="153" t="str">
        <f t="array" ref="R162">INDEX('Primary - GRADING'!$A$1:$CP997,MATCH($A162,'Primary - GRADING'!$CP:$CP,0),7)</f>
        <v>#N/A</v>
      </c>
      <c r="S162" s="153" t="str">
        <f t="array" ref="S162">INDEX('Primary - GRADING'!$A$1:$CP997,MATCH($A162,'Primary - GRADING'!$CP:$CP,0),8)</f>
        <v>#N/A</v>
      </c>
      <c r="T162" s="153" t="str">
        <f t="array" ref="T162">INDEX('Primary - GRADING'!$A$1:$CP997,MATCH($A162,'Primary - GRADING'!$CP:$CP,0),9)</f>
        <v>#N/A</v>
      </c>
      <c r="U162" s="153" t="str">
        <f t="array" ref="U162">INDEX('Primary - GRADING'!$A$1:$CP997,MATCH($A162,'Primary - GRADING'!$CP:$CP,0),10)</f>
        <v>#N/A</v>
      </c>
      <c r="V162" s="153" t="str">
        <f t="array" ref="V162">INDEX('Primary - GRADING'!$A$1:$CP997,MATCH($A162,'Primary - GRADING'!$CP:$CP,0),18)</f>
        <v>#N/A</v>
      </c>
      <c r="W162" s="153" t="str">
        <f t="array" ref="W162">INDEX('Primary - GRADING'!$A$1:$CP997,MATCH($A162,'Primary - GRADING'!$CP:$CP,0),20)</f>
        <v>#N/A</v>
      </c>
      <c r="X162" s="153" t="str">
        <f t="array" ref="X162">INDEX('Primary - GRADING'!$A$1:$CP997,MATCH($A162,'Primary - GRADING'!$CP:$CP,0),21)</f>
        <v>#N/A</v>
      </c>
      <c r="Y162" s="153" t="str">
        <f t="array" ref="Y162">INDEX('Primary - GRADING'!$A$1:$CP997,MATCH($A162,'Primary - GRADING'!$CP:$CP,0),22)</f>
        <v>#N/A</v>
      </c>
      <c r="Z162" s="165" t="str">
        <f t="array" ref="Z162">INDEX('Primary - GRADING'!$A$1:$CP997,MATCH($A162,'Primary - GRADING'!$CP:$CP,0),23)</f>
        <v>#N/A</v>
      </c>
      <c r="AA162" s="153" t="str">
        <f t="array" ref="AA162">INDEX('Primary - GRADING'!$A$1:$CP997,MATCH($A162,'Primary - GRADING'!$CP:$CP,0),24)</f>
        <v>#N/A</v>
      </c>
      <c r="AB162" s="153" t="str">
        <f t="array" ref="AB162">INDEX('Primary - GRADING'!$A$1:$CP997,MATCH($A162,'Primary - GRADING'!$CP:$CP,0),25)</f>
        <v>#N/A</v>
      </c>
      <c r="AC162" s="153" t="str">
        <f t="array" ref="AC162">INDEX('Primary - GRADING'!$A$1:$CP997,MATCH($A162,'Primary - GRADING'!$CP:$CP,0),46)</f>
        <v>#N/A</v>
      </c>
      <c r="AG162" s="153" t="str">
        <f t="shared" si="7"/>
        <v>#N/A</v>
      </c>
      <c r="AI162" s="153" t="str">
        <f>VLOOKUP(AH162,'Primary - GRADING'!$A$4:$C997,2,)</f>
        <v>#N/A</v>
      </c>
      <c r="AJ162" s="153" t="str">
        <f>VLOOKUP(AH162,'Primary - GRADING'!$A$4:$C997,3,)</f>
        <v>#N/A</v>
      </c>
      <c r="AK162" s="153" t="str">
        <f>VLOOKUP(AH162,'Primary - GRADING'!$A$4:$BG997,59,)</f>
        <v>#N/A</v>
      </c>
      <c r="AL162" s="153" t="str">
        <f>IFS(AK162="NMA",VLOOKUP(AH162,'Primary - GRADING'!$A$4:$BG997,51,),AK162="DIRECT",VLOOKUP(AH162,'Primary - GRADING'!$A$4:$BG997,8,),AK162="INDIRECT",VLOOKUP(AH162,'Primary - GRADING'!$A$4:$BG997,23,))</f>
        <v>#N/A</v>
      </c>
      <c r="AM162" s="153" t="str">
        <f>IFS(AK162="NMA",VLOOKUP(AH162,'Primary - GRADING'!$A$4:$BG997,52,),AK162="DIRECT",VLOOKUP(AH162,'Primary - GRADING'!$A$4:$BG997,9,),AK162="INDIRECT",VLOOKUP(AH162,'Primary - GRADING'!$A$4:$BG997,24,))</f>
        <v>#N/A</v>
      </c>
      <c r="AN162" s="153" t="str">
        <f>IFS(AK162="NMA",VLOOKUP(AH162,'Primary - GRADING'!$A$4:$BG997,53,),AK162="DIRECT",VLOOKUP(AH162,'Primary - GRADING'!$A$4:$BG997,10,),AK162="INDIRECT",VLOOKUP(AH162,'Primary - GRADING'!$A$4:$BG997,25,))</f>
        <v>#N/A</v>
      </c>
      <c r="AO162" s="153" t="str">
        <f t="shared" si="8"/>
        <v>#N/A</v>
      </c>
      <c r="AT162" s="153" t="str">
        <f t="shared" si="9"/>
        <v>#N/A</v>
      </c>
      <c r="AV162" s="153" t="str">
        <f>VLOOKUP(AU162,'Primary - GRADING'!$A$4:$C997,2,)</f>
        <v>#N/A</v>
      </c>
      <c r="AW162" s="153" t="str">
        <f>VLOOKUP(AU162,'Primary - GRADING'!$A$4:$C997,3,)</f>
        <v>#N/A</v>
      </c>
      <c r="AX162" s="153" t="str">
        <f>VLOOKUP(AU162,'Primary - GRADING'!$A$4:$BG997,59,)</f>
        <v>#N/A</v>
      </c>
      <c r="AY162" s="153" t="str">
        <f>IFS(AX162="NMA",VLOOKUP(AU162,'Primary - GRADING'!$A$4:$BG997,51,),AX162="DIRECT",VLOOKUP(AU162,'Primary - GRADING'!$A$4:$BG997,8,),AX162="INDIRECT",VLOOKUP(AU162,'Primary - GRADING'!$A$4:$BG997,23,))</f>
        <v>#N/A</v>
      </c>
      <c r="AZ162" s="153" t="str">
        <f>IFS(AX162="NMA",VLOOKUP(AU162,'Primary - GRADING'!$A$4:$BG997,52,),AX162="DIRECT",VLOOKUP(AU162,'Primary - GRADING'!$A$4:$BG997,9,),AX162="INDIRECT",VLOOKUP(AU162,'Primary - GRADING'!$A$4:$BG997,24,))</f>
        <v>#N/A</v>
      </c>
      <c r="BA162" s="153" t="str">
        <f>IFS(AX162="NMA",VLOOKUP(AU162,'Primary - GRADING'!$A$4:$BG997,53,),AX162="DIRECT",VLOOKUP(AU162,'Primary - GRADING'!$A$4:$BG997,10,),AX162="INDIRECT",VLOOKUP(AU162,'Primary - GRADING'!$A$4:$BG997,25,))</f>
        <v>#N/A</v>
      </c>
      <c r="BB162" s="153" t="str">
        <f t="shared" si="10"/>
        <v>#N/A</v>
      </c>
      <c r="BE162" s="153" t="str">
        <f t="shared" si="11"/>
        <v/>
      </c>
      <c r="BG162" s="153" t="str">
        <f t="shared" si="12"/>
        <v>#N/A</v>
      </c>
      <c r="BI162" s="153" t="str">
        <f t="shared" si="13"/>
        <v>#N/A</v>
      </c>
      <c r="BK162" s="153" t="str">
        <f t="shared" si="14"/>
        <v>#N/A</v>
      </c>
      <c r="BM162" s="153" t="str">
        <f t="shared" si="15"/>
        <v>#N/A</v>
      </c>
    </row>
    <row r="163" ht="15.75" customHeight="1">
      <c r="B163" s="160" t="str">
        <f t="shared" si="1"/>
        <v>#N/A</v>
      </c>
      <c r="C163" s="160" t="str">
        <f t="shared" si="2"/>
        <v>#N/A</v>
      </c>
      <c r="D163" s="160" t="str">
        <f t="shared" si="3"/>
        <v>#N/A</v>
      </c>
      <c r="E163" s="161" t="str">
        <f t="shared" si="4"/>
        <v>#N/A</v>
      </c>
      <c r="F163" s="153" t="str">
        <f t="shared" si="17"/>
        <v>#N/A</v>
      </c>
      <c r="G163" s="153" t="str">
        <f t="shared" si="6"/>
        <v>#N/A</v>
      </c>
      <c r="H163" s="156" t="str">
        <f t="array" ref="H163">INDEX('Primary - GRADING'!$A$1:$BG997,MATCH($A163,'Primary - GRADING'!$B:$B,0),59)</f>
        <v>#N/A</v>
      </c>
      <c r="I163" s="153" t="str">
        <f t="array" ref="I163">INDEX('Primary - GRADING'!$A$1:$CP997,MATCH($A163,'Primary - GRADING'!$CP:$CP,0),48)</f>
        <v>#N/A</v>
      </c>
      <c r="J163" s="153" t="str">
        <f t="array" ref="J163">INDEX('Primary - GRADING'!$A$1:$CP997,MATCH($A163,'Primary - GRADING'!$CP:$CP,0),49)</f>
        <v>#N/A</v>
      </c>
      <c r="K163" s="153" t="str">
        <f t="array" ref="K163">INDEX('Primary - GRADING'!$A$1:$CP997,MATCH($A163,'Primary - GRADING'!$CP:$CP,0),50)</f>
        <v>#N/A</v>
      </c>
      <c r="L163" s="153" t="str">
        <f t="array" ref="L163">INDEX('Primary - GRADING'!$A$1:$CP997,MATCH($A163,'Primary - GRADING'!$CP:$CP,0),51)</f>
        <v>#N/A</v>
      </c>
      <c r="M163" s="153" t="str">
        <f t="array" ref="M163">INDEX('Primary - GRADING'!$A$1:$CP997,MATCH($A163,'Primary - GRADING'!$CP:$CP,0),52)</f>
        <v>#N/A</v>
      </c>
      <c r="N163" s="153" t="str">
        <f t="array" ref="N163">INDEX('Primary - GRADING'!$A$1:$CP997,MATCH($A163,'Primary - GRADING'!$CP:$CP,0),53)</f>
        <v>#N/A</v>
      </c>
      <c r="O163" s="153" t="str">
        <f t="array" ref="O163">INDEX('Primary - GRADING'!$A$1:$CP997,MATCH($A163,'Primary - GRADING'!$CP:$CP,0),58)</f>
        <v>#N/A</v>
      </c>
      <c r="P163" s="153" t="str">
        <f t="array" ref="P163">INDEX('Primary - GRADING'!$A$1:$CP997,MATCH($A163,'Primary - GRADING'!$CP:$CP,0),5)</f>
        <v>#N/A</v>
      </c>
      <c r="Q163" s="153" t="str">
        <f t="array" ref="Q163">INDEX('Primary - GRADING'!$A$1:$CP997,MATCH($A163,'Primary - GRADING'!$CP:$CP,0),6)</f>
        <v>#N/A</v>
      </c>
      <c r="R163" s="153" t="str">
        <f t="array" ref="R163">INDEX('Primary - GRADING'!$A$1:$CP997,MATCH($A163,'Primary - GRADING'!$CP:$CP,0),7)</f>
        <v>#N/A</v>
      </c>
      <c r="S163" s="153" t="str">
        <f t="array" ref="S163">INDEX('Primary - GRADING'!$A$1:$CP997,MATCH($A163,'Primary - GRADING'!$CP:$CP,0),8)</f>
        <v>#N/A</v>
      </c>
      <c r="T163" s="153" t="str">
        <f t="array" ref="T163">INDEX('Primary - GRADING'!$A$1:$CP997,MATCH($A163,'Primary - GRADING'!$CP:$CP,0),9)</f>
        <v>#N/A</v>
      </c>
      <c r="U163" s="153" t="str">
        <f t="array" ref="U163">INDEX('Primary - GRADING'!$A$1:$CP997,MATCH($A163,'Primary - GRADING'!$CP:$CP,0),10)</f>
        <v>#N/A</v>
      </c>
      <c r="V163" s="153" t="str">
        <f t="array" ref="V163">INDEX('Primary - GRADING'!$A$1:$CP997,MATCH($A163,'Primary - GRADING'!$CP:$CP,0),18)</f>
        <v>#N/A</v>
      </c>
      <c r="W163" s="153" t="str">
        <f t="array" ref="W163">INDEX('Primary - GRADING'!$A$1:$CP997,MATCH($A163,'Primary - GRADING'!$CP:$CP,0),20)</f>
        <v>#N/A</v>
      </c>
      <c r="X163" s="153" t="str">
        <f t="array" ref="X163">INDEX('Primary - GRADING'!$A$1:$CP997,MATCH($A163,'Primary - GRADING'!$CP:$CP,0),21)</f>
        <v>#N/A</v>
      </c>
      <c r="Y163" s="153" t="str">
        <f t="array" ref="Y163">INDEX('Primary - GRADING'!$A$1:$CP997,MATCH($A163,'Primary - GRADING'!$CP:$CP,0),22)</f>
        <v>#N/A</v>
      </c>
      <c r="Z163" s="165" t="str">
        <f t="array" ref="Z163">INDEX('Primary - GRADING'!$A$1:$CP997,MATCH($A163,'Primary - GRADING'!$CP:$CP,0),23)</f>
        <v>#N/A</v>
      </c>
      <c r="AA163" s="153" t="str">
        <f t="array" ref="AA163">INDEX('Primary - GRADING'!$A$1:$CP997,MATCH($A163,'Primary - GRADING'!$CP:$CP,0),24)</f>
        <v>#N/A</v>
      </c>
      <c r="AB163" s="153" t="str">
        <f t="array" ref="AB163">INDEX('Primary - GRADING'!$A$1:$CP997,MATCH($A163,'Primary - GRADING'!$CP:$CP,0),25)</f>
        <v>#N/A</v>
      </c>
      <c r="AC163" s="153" t="str">
        <f t="array" ref="AC163">INDEX('Primary - GRADING'!$A$1:$CP997,MATCH($A163,'Primary - GRADING'!$CP:$CP,0),46)</f>
        <v>#N/A</v>
      </c>
      <c r="AG163" s="153" t="str">
        <f t="shared" si="7"/>
        <v>#N/A</v>
      </c>
      <c r="AI163" s="153" t="str">
        <f>VLOOKUP(AH163,'Primary - GRADING'!$A$4:$C997,2,)</f>
        <v>#N/A</v>
      </c>
      <c r="AJ163" s="153" t="str">
        <f>VLOOKUP(AH163,'Primary - GRADING'!$A$4:$C997,3,)</f>
        <v>#N/A</v>
      </c>
      <c r="AK163" s="153" t="str">
        <f>VLOOKUP(AH163,'Primary - GRADING'!$A$4:$BG997,59,)</f>
        <v>#N/A</v>
      </c>
      <c r="AL163" s="153" t="str">
        <f>IFS(AK163="NMA",VLOOKUP(AH163,'Primary - GRADING'!$A$4:$BG997,51,),AK163="DIRECT",VLOOKUP(AH163,'Primary - GRADING'!$A$4:$BG997,8,),AK163="INDIRECT",VLOOKUP(AH163,'Primary - GRADING'!$A$4:$BG997,23,))</f>
        <v>#N/A</v>
      </c>
      <c r="AM163" s="153" t="str">
        <f>IFS(AK163="NMA",VLOOKUP(AH163,'Primary - GRADING'!$A$4:$BG997,52,),AK163="DIRECT",VLOOKUP(AH163,'Primary - GRADING'!$A$4:$BG997,9,),AK163="INDIRECT",VLOOKUP(AH163,'Primary - GRADING'!$A$4:$BG997,24,))</f>
        <v>#N/A</v>
      </c>
      <c r="AN163" s="153" t="str">
        <f>IFS(AK163="NMA",VLOOKUP(AH163,'Primary - GRADING'!$A$4:$BG997,53,),AK163="DIRECT",VLOOKUP(AH163,'Primary - GRADING'!$A$4:$BG997,10,),AK163="INDIRECT",VLOOKUP(AH163,'Primary - GRADING'!$A$4:$BG997,25,))</f>
        <v>#N/A</v>
      </c>
      <c r="AO163" s="153" t="str">
        <f t="shared" si="8"/>
        <v>#N/A</v>
      </c>
      <c r="AT163" s="153" t="str">
        <f t="shared" si="9"/>
        <v>#N/A</v>
      </c>
      <c r="AV163" s="153" t="str">
        <f>VLOOKUP(AU163,'Primary - GRADING'!$A$4:$C997,2,)</f>
        <v>#N/A</v>
      </c>
      <c r="AW163" s="153" t="str">
        <f>VLOOKUP(AU163,'Primary - GRADING'!$A$4:$C997,3,)</f>
        <v>#N/A</v>
      </c>
      <c r="AX163" s="153" t="str">
        <f>VLOOKUP(AU163,'Primary - GRADING'!$A$4:$BG997,59,)</f>
        <v>#N/A</v>
      </c>
      <c r="AY163" s="153" t="str">
        <f>IFS(AX163="NMA",VLOOKUP(AU163,'Primary - GRADING'!$A$4:$BG997,51,),AX163="DIRECT",VLOOKUP(AU163,'Primary - GRADING'!$A$4:$BG997,8,),AX163="INDIRECT",VLOOKUP(AU163,'Primary - GRADING'!$A$4:$BG997,23,))</f>
        <v>#N/A</v>
      </c>
      <c r="AZ163" s="153" t="str">
        <f>IFS(AX163="NMA",VLOOKUP(AU163,'Primary - GRADING'!$A$4:$BG997,52,),AX163="DIRECT",VLOOKUP(AU163,'Primary - GRADING'!$A$4:$BG997,9,),AX163="INDIRECT",VLOOKUP(AU163,'Primary - GRADING'!$A$4:$BG997,24,))</f>
        <v>#N/A</v>
      </c>
      <c r="BA163" s="153" t="str">
        <f>IFS(AX163="NMA",VLOOKUP(AU163,'Primary - GRADING'!$A$4:$BG997,53,),AX163="DIRECT",VLOOKUP(AU163,'Primary - GRADING'!$A$4:$BG997,10,),AX163="INDIRECT",VLOOKUP(AU163,'Primary - GRADING'!$A$4:$BG997,25,))</f>
        <v>#N/A</v>
      </c>
      <c r="BB163" s="153" t="str">
        <f t="shared" si="10"/>
        <v>#N/A</v>
      </c>
      <c r="BE163" s="153" t="str">
        <f t="shared" si="11"/>
        <v/>
      </c>
      <c r="BG163" s="153" t="str">
        <f t="shared" si="12"/>
        <v>#N/A</v>
      </c>
      <c r="BI163" s="153" t="str">
        <f t="shared" si="13"/>
        <v>#N/A</v>
      </c>
      <c r="BK163" s="153" t="str">
        <f t="shared" si="14"/>
        <v>#N/A</v>
      </c>
      <c r="BM163" s="153" t="str">
        <f t="shared" si="15"/>
        <v>#N/A</v>
      </c>
    </row>
    <row r="164" ht="15.75" customHeight="1">
      <c r="B164" s="160" t="str">
        <f t="shared" si="1"/>
        <v>#N/A</v>
      </c>
      <c r="C164" s="160" t="str">
        <f t="shared" si="2"/>
        <v>#N/A</v>
      </c>
      <c r="D164" s="160" t="str">
        <f t="shared" si="3"/>
        <v>#N/A</v>
      </c>
      <c r="E164" s="161" t="str">
        <f t="shared" si="4"/>
        <v>#N/A</v>
      </c>
      <c r="F164" s="153" t="str">
        <f t="shared" si="17"/>
        <v>#N/A</v>
      </c>
      <c r="G164" s="153" t="str">
        <f t="shared" si="6"/>
        <v>#N/A</v>
      </c>
      <c r="H164" s="156" t="str">
        <f t="array" ref="H164">INDEX('Primary - GRADING'!$A$1:$BG997,MATCH($A164,'Primary - GRADING'!$B:$B,0),59)</f>
        <v>#N/A</v>
      </c>
      <c r="I164" s="153" t="str">
        <f t="array" ref="I164">INDEX('Primary - GRADING'!$A$1:$CP997,MATCH($A164,'Primary - GRADING'!$CP:$CP,0),48)</f>
        <v>#N/A</v>
      </c>
      <c r="J164" s="153" t="str">
        <f t="array" ref="J164">INDEX('Primary - GRADING'!$A$1:$CP997,MATCH($A164,'Primary - GRADING'!$CP:$CP,0),49)</f>
        <v>#N/A</v>
      </c>
      <c r="K164" s="153" t="str">
        <f t="array" ref="K164">INDEX('Primary - GRADING'!$A$1:$CP997,MATCH($A164,'Primary - GRADING'!$CP:$CP,0),50)</f>
        <v>#N/A</v>
      </c>
      <c r="L164" s="153" t="str">
        <f t="array" ref="L164">INDEX('Primary - GRADING'!$A$1:$CP997,MATCH($A164,'Primary - GRADING'!$CP:$CP,0),51)</f>
        <v>#N/A</v>
      </c>
      <c r="M164" s="153" t="str">
        <f t="array" ref="M164">INDEX('Primary - GRADING'!$A$1:$CP997,MATCH($A164,'Primary - GRADING'!$CP:$CP,0),52)</f>
        <v>#N/A</v>
      </c>
      <c r="N164" s="153" t="str">
        <f t="array" ref="N164">INDEX('Primary - GRADING'!$A$1:$CP997,MATCH($A164,'Primary - GRADING'!$CP:$CP,0),53)</f>
        <v>#N/A</v>
      </c>
      <c r="O164" s="153" t="str">
        <f t="array" ref="O164">INDEX('Primary - GRADING'!$A$1:$CP997,MATCH($A164,'Primary - GRADING'!$CP:$CP,0),58)</f>
        <v>#N/A</v>
      </c>
      <c r="P164" s="153" t="str">
        <f t="array" ref="P164">INDEX('Primary - GRADING'!$A$1:$CP997,MATCH($A164,'Primary - GRADING'!$CP:$CP,0),5)</f>
        <v>#N/A</v>
      </c>
      <c r="Q164" s="153" t="str">
        <f t="array" ref="Q164">INDEX('Primary - GRADING'!$A$1:$CP997,MATCH($A164,'Primary - GRADING'!$CP:$CP,0),6)</f>
        <v>#N/A</v>
      </c>
      <c r="R164" s="153" t="str">
        <f t="array" ref="R164">INDEX('Primary - GRADING'!$A$1:$CP997,MATCH($A164,'Primary - GRADING'!$CP:$CP,0),7)</f>
        <v>#N/A</v>
      </c>
      <c r="S164" s="153" t="str">
        <f t="array" ref="S164">INDEX('Primary - GRADING'!$A$1:$CP997,MATCH($A164,'Primary - GRADING'!$CP:$CP,0),8)</f>
        <v>#N/A</v>
      </c>
      <c r="T164" s="153" t="str">
        <f t="array" ref="T164">INDEX('Primary - GRADING'!$A$1:$CP997,MATCH($A164,'Primary - GRADING'!$CP:$CP,0),9)</f>
        <v>#N/A</v>
      </c>
      <c r="U164" s="153" t="str">
        <f t="array" ref="U164">INDEX('Primary - GRADING'!$A$1:$CP997,MATCH($A164,'Primary - GRADING'!$CP:$CP,0),10)</f>
        <v>#N/A</v>
      </c>
      <c r="V164" s="153" t="str">
        <f t="array" ref="V164">INDEX('Primary - GRADING'!$A$1:$CP997,MATCH($A164,'Primary - GRADING'!$CP:$CP,0),18)</f>
        <v>#N/A</v>
      </c>
      <c r="W164" s="153" t="str">
        <f t="array" ref="W164">INDEX('Primary - GRADING'!$A$1:$CP997,MATCH($A164,'Primary - GRADING'!$CP:$CP,0),20)</f>
        <v>#N/A</v>
      </c>
      <c r="X164" s="153" t="str">
        <f t="array" ref="X164">INDEX('Primary - GRADING'!$A$1:$CP997,MATCH($A164,'Primary - GRADING'!$CP:$CP,0),21)</f>
        <v>#N/A</v>
      </c>
      <c r="Y164" s="153" t="str">
        <f t="array" ref="Y164">INDEX('Primary - GRADING'!$A$1:$CP997,MATCH($A164,'Primary - GRADING'!$CP:$CP,0),22)</f>
        <v>#N/A</v>
      </c>
      <c r="Z164" s="165" t="str">
        <f t="array" ref="Z164">INDEX('Primary - GRADING'!$A$1:$CP997,MATCH($A164,'Primary - GRADING'!$CP:$CP,0),23)</f>
        <v>#N/A</v>
      </c>
      <c r="AA164" s="153" t="str">
        <f t="array" ref="AA164">INDEX('Primary - GRADING'!$A$1:$CP997,MATCH($A164,'Primary - GRADING'!$CP:$CP,0),24)</f>
        <v>#N/A</v>
      </c>
      <c r="AB164" s="153" t="str">
        <f t="array" ref="AB164">INDEX('Primary - GRADING'!$A$1:$CP997,MATCH($A164,'Primary - GRADING'!$CP:$CP,0),25)</f>
        <v>#N/A</v>
      </c>
      <c r="AC164" s="153" t="str">
        <f t="array" ref="AC164">INDEX('Primary - GRADING'!$A$1:$CP997,MATCH($A164,'Primary - GRADING'!$CP:$CP,0),46)</f>
        <v>#N/A</v>
      </c>
      <c r="AG164" s="153" t="str">
        <f t="shared" si="7"/>
        <v>#N/A</v>
      </c>
      <c r="AI164" s="153" t="str">
        <f>VLOOKUP(AH164,'Primary - GRADING'!$A$4:$C997,2,)</f>
        <v>#N/A</v>
      </c>
      <c r="AJ164" s="153" t="str">
        <f>VLOOKUP(AH164,'Primary - GRADING'!$A$4:$C997,3,)</f>
        <v>#N/A</v>
      </c>
      <c r="AK164" s="153" t="str">
        <f>VLOOKUP(AH164,'Primary - GRADING'!$A$4:$BG997,59,)</f>
        <v>#N/A</v>
      </c>
      <c r="AL164" s="153" t="str">
        <f>IFS(AK164="NMA",VLOOKUP(AH164,'Primary - GRADING'!$A$4:$BG997,51,),AK164="DIRECT",VLOOKUP(AH164,'Primary - GRADING'!$A$4:$BG997,8,),AK164="INDIRECT",VLOOKUP(AH164,'Primary - GRADING'!$A$4:$BG997,23,))</f>
        <v>#N/A</v>
      </c>
      <c r="AM164" s="153" t="str">
        <f>IFS(AK164="NMA",VLOOKUP(AH164,'Primary - GRADING'!$A$4:$BG997,52,),AK164="DIRECT",VLOOKUP(AH164,'Primary - GRADING'!$A$4:$BG997,9,),AK164="INDIRECT",VLOOKUP(AH164,'Primary - GRADING'!$A$4:$BG997,24,))</f>
        <v>#N/A</v>
      </c>
      <c r="AN164" s="153" t="str">
        <f>IFS(AK164="NMA",VLOOKUP(AH164,'Primary - GRADING'!$A$4:$BG997,53,),AK164="DIRECT",VLOOKUP(AH164,'Primary - GRADING'!$A$4:$BG997,10,),AK164="INDIRECT",VLOOKUP(AH164,'Primary - GRADING'!$A$4:$BG997,25,))</f>
        <v>#N/A</v>
      </c>
      <c r="AO164" s="153" t="str">
        <f t="shared" si="8"/>
        <v>#N/A</v>
      </c>
      <c r="AT164" s="153" t="str">
        <f t="shared" si="9"/>
        <v>#N/A</v>
      </c>
      <c r="AV164" s="153" t="str">
        <f>VLOOKUP(AU164,'Primary - GRADING'!$A$4:$C997,2,)</f>
        <v>#N/A</v>
      </c>
      <c r="AW164" s="153" t="str">
        <f>VLOOKUP(AU164,'Primary - GRADING'!$A$4:$C997,3,)</f>
        <v>#N/A</v>
      </c>
      <c r="AX164" s="153" t="str">
        <f>VLOOKUP(AU164,'Primary - GRADING'!$A$4:$BG997,59,)</f>
        <v>#N/A</v>
      </c>
      <c r="AY164" s="153" t="str">
        <f>IFS(AX164="NMA",VLOOKUP(AU164,'Primary - GRADING'!$A$4:$BG997,51,),AX164="DIRECT",VLOOKUP(AU164,'Primary - GRADING'!$A$4:$BG997,8,),AX164="INDIRECT",VLOOKUP(AU164,'Primary - GRADING'!$A$4:$BG997,23,))</f>
        <v>#N/A</v>
      </c>
      <c r="AZ164" s="153" t="str">
        <f>IFS(AX164="NMA",VLOOKUP(AU164,'Primary - GRADING'!$A$4:$BG997,52,),AX164="DIRECT",VLOOKUP(AU164,'Primary - GRADING'!$A$4:$BG997,9,),AX164="INDIRECT",VLOOKUP(AU164,'Primary - GRADING'!$A$4:$BG997,24,))</f>
        <v>#N/A</v>
      </c>
      <c r="BA164" s="153" t="str">
        <f>IFS(AX164="NMA",VLOOKUP(AU164,'Primary - GRADING'!$A$4:$BG997,53,),AX164="DIRECT",VLOOKUP(AU164,'Primary - GRADING'!$A$4:$BG997,10,),AX164="INDIRECT",VLOOKUP(AU164,'Primary - GRADING'!$A$4:$BG997,25,))</f>
        <v>#N/A</v>
      </c>
      <c r="BB164" s="153" t="str">
        <f t="shared" si="10"/>
        <v>#N/A</v>
      </c>
      <c r="BE164" s="153" t="str">
        <f t="shared" si="11"/>
        <v/>
      </c>
      <c r="BG164" s="153" t="str">
        <f t="shared" si="12"/>
        <v>#N/A</v>
      </c>
      <c r="BI164" s="153" t="str">
        <f t="shared" si="13"/>
        <v>#N/A</v>
      </c>
      <c r="BK164" s="153" t="str">
        <f t="shared" si="14"/>
        <v>#N/A</v>
      </c>
      <c r="BM164" s="153" t="str">
        <f t="shared" si="15"/>
        <v>#N/A</v>
      </c>
    </row>
    <row r="165" ht="15.75" customHeight="1">
      <c r="B165" s="160" t="str">
        <f t="shared" si="1"/>
        <v>#N/A</v>
      </c>
      <c r="C165" s="160" t="str">
        <f t="shared" si="2"/>
        <v>#N/A</v>
      </c>
      <c r="D165" s="160" t="str">
        <f t="shared" si="3"/>
        <v>#N/A</v>
      </c>
      <c r="E165" s="161" t="str">
        <f t="shared" si="4"/>
        <v>#N/A</v>
      </c>
      <c r="F165" s="153" t="str">
        <f t="shared" si="17"/>
        <v>#N/A</v>
      </c>
      <c r="G165" s="153" t="str">
        <f t="shared" si="6"/>
        <v>#N/A</v>
      </c>
      <c r="H165" s="156" t="str">
        <f t="array" ref="H165">INDEX('Primary - GRADING'!$A$1:$BG997,MATCH($A165,'Primary - GRADING'!$B:$B,0),59)</f>
        <v>#N/A</v>
      </c>
      <c r="I165" s="153" t="str">
        <f t="array" ref="I165">INDEX('Primary - GRADING'!$A$1:$CP997,MATCH($A165,'Primary - GRADING'!$CP:$CP,0),48)</f>
        <v>#N/A</v>
      </c>
      <c r="J165" s="153" t="str">
        <f t="array" ref="J165">INDEX('Primary - GRADING'!$A$1:$CP997,MATCH($A165,'Primary - GRADING'!$CP:$CP,0),49)</f>
        <v>#N/A</v>
      </c>
      <c r="K165" s="153" t="str">
        <f t="array" ref="K165">INDEX('Primary - GRADING'!$A$1:$CP997,MATCH($A165,'Primary - GRADING'!$CP:$CP,0),50)</f>
        <v>#N/A</v>
      </c>
      <c r="L165" s="153" t="str">
        <f t="array" ref="L165">INDEX('Primary - GRADING'!$A$1:$CP997,MATCH($A165,'Primary - GRADING'!$CP:$CP,0),51)</f>
        <v>#N/A</v>
      </c>
      <c r="M165" s="153" t="str">
        <f t="array" ref="M165">INDEX('Primary - GRADING'!$A$1:$CP997,MATCH($A165,'Primary - GRADING'!$CP:$CP,0),52)</f>
        <v>#N/A</v>
      </c>
      <c r="N165" s="153" t="str">
        <f t="array" ref="N165">INDEX('Primary - GRADING'!$A$1:$CP997,MATCH($A165,'Primary - GRADING'!$CP:$CP,0),53)</f>
        <v>#N/A</v>
      </c>
      <c r="O165" s="153" t="str">
        <f t="array" ref="O165">INDEX('Primary - GRADING'!$A$1:$CP997,MATCH($A165,'Primary - GRADING'!$CP:$CP,0),58)</f>
        <v>#N/A</v>
      </c>
      <c r="P165" s="153" t="str">
        <f t="array" ref="P165">INDEX('Primary - GRADING'!$A$1:$CP997,MATCH($A165,'Primary - GRADING'!$CP:$CP,0),5)</f>
        <v>#N/A</v>
      </c>
      <c r="Q165" s="153" t="str">
        <f t="array" ref="Q165">INDEX('Primary - GRADING'!$A$1:$CP997,MATCH($A165,'Primary - GRADING'!$CP:$CP,0),6)</f>
        <v>#N/A</v>
      </c>
      <c r="R165" s="153" t="str">
        <f t="array" ref="R165">INDEX('Primary - GRADING'!$A$1:$CP997,MATCH($A165,'Primary - GRADING'!$CP:$CP,0),7)</f>
        <v>#N/A</v>
      </c>
      <c r="S165" s="153" t="str">
        <f t="array" ref="S165">INDEX('Primary - GRADING'!$A$1:$CP997,MATCH($A165,'Primary - GRADING'!$CP:$CP,0),8)</f>
        <v>#N/A</v>
      </c>
      <c r="T165" s="153" t="str">
        <f t="array" ref="T165">INDEX('Primary - GRADING'!$A$1:$CP997,MATCH($A165,'Primary - GRADING'!$CP:$CP,0),9)</f>
        <v>#N/A</v>
      </c>
      <c r="U165" s="153" t="str">
        <f t="array" ref="U165">INDEX('Primary - GRADING'!$A$1:$CP997,MATCH($A165,'Primary - GRADING'!$CP:$CP,0),10)</f>
        <v>#N/A</v>
      </c>
      <c r="V165" s="153" t="str">
        <f t="array" ref="V165">INDEX('Primary - GRADING'!$A$1:$CP997,MATCH($A165,'Primary - GRADING'!$CP:$CP,0),18)</f>
        <v>#N/A</v>
      </c>
      <c r="W165" s="153" t="str">
        <f t="array" ref="W165">INDEX('Primary - GRADING'!$A$1:$CP997,MATCH($A165,'Primary - GRADING'!$CP:$CP,0),20)</f>
        <v>#N/A</v>
      </c>
      <c r="X165" s="153" t="str">
        <f t="array" ref="X165">INDEX('Primary - GRADING'!$A$1:$CP997,MATCH($A165,'Primary - GRADING'!$CP:$CP,0),21)</f>
        <v>#N/A</v>
      </c>
      <c r="Y165" s="153" t="str">
        <f t="array" ref="Y165">INDEX('Primary - GRADING'!$A$1:$CP997,MATCH($A165,'Primary - GRADING'!$CP:$CP,0),22)</f>
        <v>#N/A</v>
      </c>
      <c r="Z165" s="165" t="str">
        <f t="array" ref="Z165">INDEX('Primary - GRADING'!$A$1:$CP997,MATCH($A165,'Primary - GRADING'!$CP:$CP,0),23)</f>
        <v>#N/A</v>
      </c>
      <c r="AA165" s="153" t="str">
        <f t="array" ref="AA165">INDEX('Primary - GRADING'!$A$1:$CP997,MATCH($A165,'Primary - GRADING'!$CP:$CP,0),24)</f>
        <v>#N/A</v>
      </c>
      <c r="AB165" s="153" t="str">
        <f t="array" ref="AB165">INDEX('Primary - GRADING'!$A$1:$CP997,MATCH($A165,'Primary - GRADING'!$CP:$CP,0),25)</f>
        <v>#N/A</v>
      </c>
      <c r="AC165" s="153" t="str">
        <f t="array" ref="AC165">INDEX('Primary - GRADING'!$A$1:$CP997,MATCH($A165,'Primary - GRADING'!$CP:$CP,0),46)</f>
        <v>#N/A</v>
      </c>
      <c r="AG165" s="153" t="str">
        <f t="shared" si="7"/>
        <v>#N/A</v>
      </c>
      <c r="AI165" s="153" t="str">
        <f>VLOOKUP(AH165,'Primary - GRADING'!$A$4:$C997,2,)</f>
        <v>#N/A</v>
      </c>
      <c r="AJ165" s="153" t="str">
        <f>VLOOKUP(AH165,'Primary - GRADING'!$A$4:$C997,3,)</f>
        <v>#N/A</v>
      </c>
      <c r="AK165" s="153" t="str">
        <f>VLOOKUP(AH165,'Primary - GRADING'!$A$4:$BG997,59,)</f>
        <v>#N/A</v>
      </c>
      <c r="AL165" s="153" t="str">
        <f>IFS(AK165="NMA",VLOOKUP(AH165,'Primary - GRADING'!$A$4:$BG997,51,),AK165="DIRECT",VLOOKUP(AH165,'Primary - GRADING'!$A$4:$BG997,8,),AK165="INDIRECT",VLOOKUP(AH165,'Primary - GRADING'!$A$4:$BG997,23,))</f>
        <v>#N/A</v>
      </c>
      <c r="AM165" s="153" t="str">
        <f>IFS(AK165="NMA",VLOOKUP(AH165,'Primary - GRADING'!$A$4:$BG997,52,),AK165="DIRECT",VLOOKUP(AH165,'Primary - GRADING'!$A$4:$BG997,9,),AK165="INDIRECT",VLOOKUP(AH165,'Primary - GRADING'!$A$4:$BG997,24,))</f>
        <v>#N/A</v>
      </c>
      <c r="AN165" s="153" t="str">
        <f>IFS(AK165="NMA",VLOOKUP(AH165,'Primary - GRADING'!$A$4:$BG997,53,),AK165="DIRECT",VLOOKUP(AH165,'Primary - GRADING'!$A$4:$BG997,10,),AK165="INDIRECT",VLOOKUP(AH165,'Primary - GRADING'!$A$4:$BG997,25,))</f>
        <v>#N/A</v>
      </c>
      <c r="AO165" s="153" t="str">
        <f t="shared" si="8"/>
        <v>#N/A</v>
      </c>
      <c r="AT165" s="153" t="str">
        <f t="shared" si="9"/>
        <v>#N/A</v>
      </c>
      <c r="AV165" s="153" t="str">
        <f>VLOOKUP(AU165,'Primary - GRADING'!$A$4:$C997,2,)</f>
        <v>#N/A</v>
      </c>
      <c r="AW165" s="153" t="str">
        <f>VLOOKUP(AU165,'Primary - GRADING'!$A$4:$C997,3,)</f>
        <v>#N/A</v>
      </c>
      <c r="AX165" s="153" t="str">
        <f>VLOOKUP(AU165,'Primary - GRADING'!$A$4:$BG997,59,)</f>
        <v>#N/A</v>
      </c>
      <c r="AY165" s="153" t="str">
        <f>IFS(AX165="NMA",VLOOKUP(AU165,'Primary - GRADING'!$A$4:$BG997,51,),AX165="DIRECT",VLOOKUP(AU165,'Primary - GRADING'!$A$4:$BG997,8,),AX165="INDIRECT",VLOOKUP(AU165,'Primary - GRADING'!$A$4:$BG997,23,))</f>
        <v>#N/A</v>
      </c>
      <c r="AZ165" s="153" t="str">
        <f>IFS(AX165="NMA",VLOOKUP(AU165,'Primary - GRADING'!$A$4:$BG997,52,),AX165="DIRECT",VLOOKUP(AU165,'Primary - GRADING'!$A$4:$BG997,9,),AX165="INDIRECT",VLOOKUP(AU165,'Primary - GRADING'!$A$4:$BG997,24,))</f>
        <v>#N/A</v>
      </c>
      <c r="BA165" s="153" t="str">
        <f>IFS(AX165="NMA",VLOOKUP(AU165,'Primary - GRADING'!$A$4:$BG997,53,),AX165="DIRECT",VLOOKUP(AU165,'Primary - GRADING'!$A$4:$BG997,10,),AX165="INDIRECT",VLOOKUP(AU165,'Primary - GRADING'!$A$4:$BG997,25,))</f>
        <v>#N/A</v>
      </c>
      <c r="BB165" s="153" t="str">
        <f t="shared" si="10"/>
        <v>#N/A</v>
      </c>
      <c r="BE165" s="153" t="str">
        <f t="shared" si="11"/>
        <v/>
      </c>
      <c r="BG165" s="153" t="str">
        <f t="shared" si="12"/>
        <v>#N/A</v>
      </c>
      <c r="BI165" s="153" t="str">
        <f t="shared" si="13"/>
        <v>#N/A</v>
      </c>
      <c r="BK165" s="153" t="str">
        <f t="shared" si="14"/>
        <v>#N/A</v>
      </c>
      <c r="BM165" s="153" t="str">
        <f t="shared" si="15"/>
        <v>#N/A</v>
      </c>
    </row>
    <row r="166" ht="15.75" customHeight="1">
      <c r="B166" s="160" t="str">
        <f t="shared" si="1"/>
        <v>#N/A</v>
      </c>
      <c r="C166" s="160" t="str">
        <f t="shared" si="2"/>
        <v>#N/A</v>
      </c>
      <c r="D166" s="160" t="str">
        <f t="shared" si="3"/>
        <v>#N/A</v>
      </c>
      <c r="E166" s="161" t="str">
        <f t="shared" si="4"/>
        <v>#N/A</v>
      </c>
      <c r="F166" s="153" t="str">
        <f t="shared" si="17"/>
        <v>#N/A</v>
      </c>
      <c r="G166" s="153" t="str">
        <f t="shared" si="6"/>
        <v>#N/A</v>
      </c>
      <c r="H166" s="156" t="str">
        <f t="array" ref="H166">INDEX('Primary - GRADING'!$A$1:$BG997,MATCH($A166,'Primary - GRADING'!$B:$B,0),59)</f>
        <v>#N/A</v>
      </c>
      <c r="I166" s="153" t="str">
        <f t="array" ref="I166">INDEX('Primary - GRADING'!$A$1:$CP997,MATCH($A166,'Primary - GRADING'!$CP:$CP,0),48)</f>
        <v>#N/A</v>
      </c>
      <c r="J166" s="153" t="str">
        <f t="array" ref="J166">INDEX('Primary - GRADING'!$A$1:$CP997,MATCH($A166,'Primary - GRADING'!$CP:$CP,0),49)</f>
        <v>#N/A</v>
      </c>
      <c r="K166" s="153" t="str">
        <f t="array" ref="K166">INDEX('Primary - GRADING'!$A$1:$CP997,MATCH($A166,'Primary - GRADING'!$CP:$CP,0),50)</f>
        <v>#N/A</v>
      </c>
      <c r="L166" s="153" t="str">
        <f t="array" ref="L166">INDEX('Primary - GRADING'!$A$1:$CP997,MATCH($A166,'Primary - GRADING'!$CP:$CP,0),51)</f>
        <v>#N/A</v>
      </c>
      <c r="M166" s="153" t="str">
        <f t="array" ref="M166">INDEX('Primary - GRADING'!$A$1:$CP997,MATCH($A166,'Primary - GRADING'!$CP:$CP,0),52)</f>
        <v>#N/A</v>
      </c>
      <c r="N166" s="153" t="str">
        <f t="array" ref="N166">INDEX('Primary - GRADING'!$A$1:$CP997,MATCH($A166,'Primary - GRADING'!$CP:$CP,0),53)</f>
        <v>#N/A</v>
      </c>
      <c r="O166" s="153" t="str">
        <f t="array" ref="O166">INDEX('Primary - GRADING'!$A$1:$CP997,MATCH($A166,'Primary - GRADING'!$CP:$CP,0),58)</f>
        <v>#N/A</v>
      </c>
      <c r="P166" s="153" t="str">
        <f t="array" ref="P166">INDEX('Primary - GRADING'!$A$1:$CP997,MATCH($A166,'Primary - GRADING'!$CP:$CP,0),5)</f>
        <v>#N/A</v>
      </c>
      <c r="Q166" s="153" t="str">
        <f t="array" ref="Q166">INDEX('Primary - GRADING'!$A$1:$CP997,MATCH($A166,'Primary - GRADING'!$CP:$CP,0),6)</f>
        <v>#N/A</v>
      </c>
      <c r="R166" s="153" t="str">
        <f t="array" ref="R166">INDEX('Primary - GRADING'!$A$1:$CP997,MATCH($A166,'Primary - GRADING'!$CP:$CP,0),7)</f>
        <v>#N/A</v>
      </c>
      <c r="S166" s="153" t="str">
        <f t="array" ref="S166">INDEX('Primary - GRADING'!$A$1:$CP997,MATCH($A166,'Primary - GRADING'!$CP:$CP,0),8)</f>
        <v>#N/A</v>
      </c>
      <c r="T166" s="153" t="str">
        <f t="array" ref="T166">INDEX('Primary - GRADING'!$A$1:$CP997,MATCH($A166,'Primary - GRADING'!$CP:$CP,0),9)</f>
        <v>#N/A</v>
      </c>
      <c r="U166" s="153" t="str">
        <f t="array" ref="U166">INDEX('Primary - GRADING'!$A$1:$CP997,MATCH($A166,'Primary - GRADING'!$CP:$CP,0),10)</f>
        <v>#N/A</v>
      </c>
      <c r="V166" s="153" t="str">
        <f t="array" ref="V166">INDEX('Primary - GRADING'!$A$1:$CP997,MATCH($A166,'Primary - GRADING'!$CP:$CP,0),18)</f>
        <v>#N/A</v>
      </c>
      <c r="W166" s="153" t="str">
        <f t="array" ref="W166">INDEX('Primary - GRADING'!$A$1:$CP997,MATCH($A166,'Primary - GRADING'!$CP:$CP,0),20)</f>
        <v>#N/A</v>
      </c>
      <c r="X166" s="153" t="str">
        <f t="array" ref="X166">INDEX('Primary - GRADING'!$A$1:$CP997,MATCH($A166,'Primary - GRADING'!$CP:$CP,0),21)</f>
        <v>#N/A</v>
      </c>
      <c r="Y166" s="153" t="str">
        <f t="array" ref="Y166">INDEX('Primary - GRADING'!$A$1:$CP997,MATCH($A166,'Primary - GRADING'!$CP:$CP,0),22)</f>
        <v>#N/A</v>
      </c>
      <c r="Z166" s="165" t="str">
        <f t="array" ref="Z166">INDEX('Primary - GRADING'!$A$1:$CP997,MATCH($A166,'Primary - GRADING'!$CP:$CP,0),23)</f>
        <v>#N/A</v>
      </c>
      <c r="AA166" s="153" t="str">
        <f t="array" ref="AA166">INDEX('Primary - GRADING'!$A$1:$CP997,MATCH($A166,'Primary - GRADING'!$CP:$CP,0),24)</f>
        <v>#N/A</v>
      </c>
      <c r="AB166" s="153" t="str">
        <f t="array" ref="AB166">INDEX('Primary - GRADING'!$A$1:$CP997,MATCH($A166,'Primary - GRADING'!$CP:$CP,0),25)</f>
        <v>#N/A</v>
      </c>
      <c r="AC166" s="153" t="str">
        <f t="array" ref="AC166">INDEX('Primary - GRADING'!$A$1:$CP997,MATCH($A166,'Primary - GRADING'!$CP:$CP,0),46)</f>
        <v>#N/A</v>
      </c>
      <c r="AG166" s="153" t="str">
        <f t="shared" si="7"/>
        <v>#N/A</v>
      </c>
      <c r="AI166" s="153" t="str">
        <f>VLOOKUP(AH166,'Primary - GRADING'!$A$4:$C997,2,)</f>
        <v>#N/A</v>
      </c>
      <c r="AJ166" s="153" t="str">
        <f>VLOOKUP(AH166,'Primary - GRADING'!$A$4:$C997,3,)</f>
        <v>#N/A</v>
      </c>
      <c r="AK166" s="153" t="str">
        <f>VLOOKUP(AH166,'Primary - GRADING'!$A$4:$BG997,59,)</f>
        <v>#N/A</v>
      </c>
      <c r="AL166" s="153" t="str">
        <f>IFS(AK166="NMA",VLOOKUP(AH166,'Primary - GRADING'!$A$4:$BG997,51,),AK166="DIRECT",VLOOKUP(AH166,'Primary - GRADING'!$A$4:$BG997,8,),AK166="INDIRECT",VLOOKUP(AH166,'Primary - GRADING'!$A$4:$BG997,23,))</f>
        <v>#N/A</v>
      </c>
      <c r="AM166" s="153" t="str">
        <f>IFS(AK166="NMA",VLOOKUP(AH166,'Primary - GRADING'!$A$4:$BG997,52,),AK166="DIRECT",VLOOKUP(AH166,'Primary - GRADING'!$A$4:$BG997,9,),AK166="INDIRECT",VLOOKUP(AH166,'Primary - GRADING'!$A$4:$BG997,24,))</f>
        <v>#N/A</v>
      </c>
      <c r="AN166" s="153" t="str">
        <f>IFS(AK166="NMA",VLOOKUP(AH166,'Primary - GRADING'!$A$4:$BG997,53,),AK166="DIRECT",VLOOKUP(AH166,'Primary - GRADING'!$A$4:$BG997,10,),AK166="INDIRECT",VLOOKUP(AH166,'Primary - GRADING'!$A$4:$BG997,25,))</f>
        <v>#N/A</v>
      </c>
      <c r="AO166" s="153" t="str">
        <f t="shared" si="8"/>
        <v>#N/A</v>
      </c>
      <c r="AT166" s="153" t="str">
        <f t="shared" si="9"/>
        <v>#N/A</v>
      </c>
      <c r="AV166" s="153" t="str">
        <f>VLOOKUP(AU166,'Primary - GRADING'!$A$4:$C997,2,)</f>
        <v>#N/A</v>
      </c>
      <c r="AW166" s="153" t="str">
        <f>VLOOKUP(AU166,'Primary - GRADING'!$A$4:$C997,3,)</f>
        <v>#N/A</v>
      </c>
      <c r="AX166" s="153" t="str">
        <f>VLOOKUP(AU166,'Primary - GRADING'!$A$4:$BG997,59,)</f>
        <v>#N/A</v>
      </c>
      <c r="AY166" s="153" t="str">
        <f>IFS(AX166="NMA",VLOOKUP(AU166,'Primary - GRADING'!$A$4:$BG997,51,),AX166="DIRECT",VLOOKUP(AU166,'Primary - GRADING'!$A$4:$BG997,8,),AX166="INDIRECT",VLOOKUP(AU166,'Primary - GRADING'!$A$4:$BG997,23,))</f>
        <v>#N/A</v>
      </c>
      <c r="AZ166" s="153" t="str">
        <f>IFS(AX166="NMA",VLOOKUP(AU166,'Primary - GRADING'!$A$4:$BG997,52,),AX166="DIRECT",VLOOKUP(AU166,'Primary - GRADING'!$A$4:$BG997,9,),AX166="INDIRECT",VLOOKUP(AU166,'Primary - GRADING'!$A$4:$BG997,24,))</f>
        <v>#N/A</v>
      </c>
      <c r="BA166" s="153" t="str">
        <f>IFS(AX166="NMA",VLOOKUP(AU166,'Primary - GRADING'!$A$4:$BG997,53,),AX166="DIRECT",VLOOKUP(AU166,'Primary - GRADING'!$A$4:$BG997,10,),AX166="INDIRECT",VLOOKUP(AU166,'Primary - GRADING'!$A$4:$BG997,25,))</f>
        <v>#N/A</v>
      </c>
      <c r="BB166" s="153" t="str">
        <f t="shared" si="10"/>
        <v>#N/A</v>
      </c>
      <c r="BE166" s="153" t="str">
        <f t="shared" si="11"/>
        <v/>
      </c>
      <c r="BG166" s="153" t="str">
        <f t="shared" si="12"/>
        <v>#N/A</v>
      </c>
      <c r="BI166" s="153" t="str">
        <f t="shared" si="13"/>
        <v>#N/A</v>
      </c>
      <c r="BK166" s="153" t="str">
        <f t="shared" si="14"/>
        <v>#N/A</v>
      </c>
      <c r="BM166" s="153" t="str">
        <f t="shared" si="15"/>
        <v>#N/A</v>
      </c>
    </row>
    <row r="167" ht="15.75" customHeight="1">
      <c r="B167" s="160" t="str">
        <f t="shared" si="1"/>
        <v>#N/A</v>
      </c>
      <c r="C167" s="160" t="str">
        <f t="shared" si="2"/>
        <v>#N/A</v>
      </c>
      <c r="D167" s="160" t="str">
        <f t="shared" si="3"/>
        <v>#N/A</v>
      </c>
      <c r="E167" s="161" t="str">
        <f t="shared" si="4"/>
        <v>#N/A</v>
      </c>
      <c r="F167" s="153" t="str">
        <f t="shared" si="17"/>
        <v>#N/A</v>
      </c>
      <c r="G167" s="153" t="str">
        <f t="shared" si="6"/>
        <v>#N/A</v>
      </c>
      <c r="H167" s="156" t="str">
        <f t="array" ref="H167">INDEX('Primary - GRADING'!$A$1:$BG997,MATCH($A167,'Primary - GRADING'!$B:$B,0),59)</f>
        <v>#N/A</v>
      </c>
      <c r="I167" s="153" t="str">
        <f t="array" ref="I167">INDEX('Primary - GRADING'!$A$1:$CP997,MATCH($A167,'Primary - GRADING'!$CP:$CP,0),48)</f>
        <v>#N/A</v>
      </c>
      <c r="J167" s="153" t="str">
        <f t="array" ref="J167">INDEX('Primary - GRADING'!$A$1:$CP997,MATCH($A167,'Primary - GRADING'!$CP:$CP,0),49)</f>
        <v>#N/A</v>
      </c>
      <c r="K167" s="153" t="str">
        <f t="array" ref="K167">INDEX('Primary - GRADING'!$A$1:$CP997,MATCH($A167,'Primary - GRADING'!$CP:$CP,0),50)</f>
        <v>#N/A</v>
      </c>
      <c r="L167" s="153" t="str">
        <f t="array" ref="L167">INDEX('Primary - GRADING'!$A$1:$CP997,MATCH($A167,'Primary - GRADING'!$CP:$CP,0),51)</f>
        <v>#N/A</v>
      </c>
      <c r="M167" s="153" t="str">
        <f t="array" ref="M167">INDEX('Primary - GRADING'!$A$1:$CP997,MATCH($A167,'Primary - GRADING'!$CP:$CP,0),52)</f>
        <v>#N/A</v>
      </c>
      <c r="N167" s="153" t="str">
        <f t="array" ref="N167">INDEX('Primary - GRADING'!$A$1:$CP997,MATCH($A167,'Primary - GRADING'!$CP:$CP,0),53)</f>
        <v>#N/A</v>
      </c>
      <c r="O167" s="153" t="str">
        <f t="array" ref="O167">INDEX('Primary - GRADING'!$A$1:$CP997,MATCH($A167,'Primary - GRADING'!$CP:$CP,0),58)</f>
        <v>#N/A</v>
      </c>
      <c r="P167" s="153" t="str">
        <f t="array" ref="P167">INDEX('Primary - GRADING'!$A$1:$CP997,MATCH($A167,'Primary - GRADING'!$CP:$CP,0),5)</f>
        <v>#N/A</v>
      </c>
      <c r="Q167" s="153" t="str">
        <f t="array" ref="Q167">INDEX('Primary - GRADING'!$A$1:$CP997,MATCH($A167,'Primary - GRADING'!$CP:$CP,0),6)</f>
        <v>#N/A</v>
      </c>
      <c r="R167" s="153" t="str">
        <f t="array" ref="R167">INDEX('Primary - GRADING'!$A$1:$CP997,MATCH($A167,'Primary - GRADING'!$CP:$CP,0),7)</f>
        <v>#N/A</v>
      </c>
      <c r="S167" s="153" t="str">
        <f t="array" ref="S167">INDEX('Primary - GRADING'!$A$1:$CP997,MATCH($A167,'Primary - GRADING'!$CP:$CP,0),8)</f>
        <v>#N/A</v>
      </c>
      <c r="T167" s="153" t="str">
        <f t="array" ref="T167">INDEX('Primary - GRADING'!$A$1:$CP997,MATCH($A167,'Primary - GRADING'!$CP:$CP,0),9)</f>
        <v>#N/A</v>
      </c>
      <c r="U167" s="153" t="str">
        <f t="array" ref="U167">INDEX('Primary - GRADING'!$A$1:$CP997,MATCH($A167,'Primary - GRADING'!$CP:$CP,0),10)</f>
        <v>#N/A</v>
      </c>
      <c r="V167" s="153" t="str">
        <f t="array" ref="V167">INDEX('Primary - GRADING'!$A$1:$CP997,MATCH($A167,'Primary - GRADING'!$CP:$CP,0),18)</f>
        <v>#N/A</v>
      </c>
      <c r="W167" s="153" t="str">
        <f t="array" ref="W167">INDEX('Primary - GRADING'!$A$1:$CP997,MATCH($A167,'Primary - GRADING'!$CP:$CP,0),20)</f>
        <v>#N/A</v>
      </c>
      <c r="X167" s="153" t="str">
        <f t="array" ref="X167">INDEX('Primary - GRADING'!$A$1:$CP997,MATCH($A167,'Primary - GRADING'!$CP:$CP,0),21)</f>
        <v>#N/A</v>
      </c>
      <c r="Y167" s="153" t="str">
        <f t="array" ref="Y167">INDEX('Primary - GRADING'!$A$1:$CP997,MATCH($A167,'Primary - GRADING'!$CP:$CP,0),22)</f>
        <v>#N/A</v>
      </c>
      <c r="Z167" s="165" t="str">
        <f t="array" ref="Z167">INDEX('Primary - GRADING'!$A$1:$CP997,MATCH($A167,'Primary - GRADING'!$CP:$CP,0),23)</f>
        <v>#N/A</v>
      </c>
      <c r="AA167" s="153" t="str">
        <f t="array" ref="AA167">INDEX('Primary - GRADING'!$A$1:$CP997,MATCH($A167,'Primary - GRADING'!$CP:$CP,0),24)</f>
        <v>#N/A</v>
      </c>
      <c r="AB167" s="153" t="str">
        <f t="array" ref="AB167">INDEX('Primary - GRADING'!$A$1:$CP997,MATCH($A167,'Primary - GRADING'!$CP:$CP,0),25)</f>
        <v>#N/A</v>
      </c>
      <c r="AC167" s="153" t="str">
        <f t="array" ref="AC167">INDEX('Primary - GRADING'!$A$1:$CP997,MATCH($A167,'Primary - GRADING'!$CP:$CP,0),46)</f>
        <v>#N/A</v>
      </c>
      <c r="AG167" s="153" t="str">
        <f t="shared" si="7"/>
        <v>#N/A</v>
      </c>
      <c r="AI167" s="153" t="str">
        <f>VLOOKUP(AH167,'Primary - GRADING'!$A$4:$C997,2,)</f>
        <v>#N/A</v>
      </c>
      <c r="AJ167" s="153" t="str">
        <f>VLOOKUP(AH167,'Primary - GRADING'!$A$4:$C997,3,)</f>
        <v>#N/A</v>
      </c>
      <c r="AK167" s="153" t="str">
        <f>VLOOKUP(AH167,'Primary - GRADING'!$A$4:$BG997,59,)</f>
        <v>#N/A</v>
      </c>
      <c r="AL167" s="153" t="str">
        <f>IFS(AK167="NMA",VLOOKUP(AH167,'Primary - GRADING'!$A$4:$BG997,51,),AK167="DIRECT",VLOOKUP(AH167,'Primary - GRADING'!$A$4:$BG997,8,),AK167="INDIRECT",VLOOKUP(AH167,'Primary - GRADING'!$A$4:$BG997,23,))</f>
        <v>#N/A</v>
      </c>
      <c r="AM167" s="153" t="str">
        <f>IFS(AK167="NMA",VLOOKUP(AH167,'Primary - GRADING'!$A$4:$BG997,52,),AK167="DIRECT",VLOOKUP(AH167,'Primary - GRADING'!$A$4:$BG997,9,),AK167="INDIRECT",VLOOKUP(AH167,'Primary - GRADING'!$A$4:$BG997,24,))</f>
        <v>#N/A</v>
      </c>
      <c r="AN167" s="153" t="str">
        <f>IFS(AK167="NMA",VLOOKUP(AH167,'Primary - GRADING'!$A$4:$BG997,53,),AK167="DIRECT",VLOOKUP(AH167,'Primary - GRADING'!$A$4:$BG997,10,),AK167="INDIRECT",VLOOKUP(AH167,'Primary - GRADING'!$A$4:$BG997,25,))</f>
        <v>#N/A</v>
      </c>
      <c r="AO167" s="153" t="str">
        <f t="shared" si="8"/>
        <v>#N/A</v>
      </c>
      <c r="AT167" s="153" t="str">
        <f t="shared" si="9"/>
        <v>#N/A</v>
      </c>
      <c r="AV167" s="153" t="str">
        <f>VLOOKUP(AU167,'Primary - GRADING'!$A$4:$C997,2,)</f>
        <v>#N/A</v>
      </c>
      <c r="AW167" s="153" t="str">
        <f>VLOOKUP(AU167,'Primary - GRADING'!$A$4:$C997,3,)</f>
        <v>#N/A</v>
      </c>
      <c r="AX167" s="153" t="str">
        <f>VLOOKUP(AU167,'Primary - GRADING'!$A$4:$BG997,59,)</f>
        <v>#N/A</v>
      </c>
      <c r="AY167" s="153" t="str">
        <f>IFS(AX167="NMA",VLOOKUP(AU167,'Primary - GRADING'!$A$4:$BG997,51,),AX167="DIRECT",VLOOKUP(AU167,'Primary - GRADING'!$A$4:$BG997,8,),AX167="INDIRECT",VLOOKUP(AU167,'Primary - GRADING'!$A$4:$BG997,23,))</f>
        <v>#N/A</v>
      </c>
      <c r="AZ167" s="153" t="str">
        <f>IFS(AX167="NMA",VLOOKUP(AU167,'Primary - GRADING'!$A$4:$BG997,52,),AX167="DIRECT",VLOOKUP(AU167,'Primary - GRADING'!$A$4:$BG997,9,),AX167="INDIRECT",VLOOKUP(AU167,'Primary - GRADING'!$A$4:$BG997,24,))</f>
        <v>#N/A</v>
      </c>
      <c r="BA167" s="153" t="str">
        <f>IFS(AX167="NMA",VLOOKUP(AU167,'Primary - GRADING'!$A$4:$BG997,53,),AX167="DIRECT",VLOOKUP(AU167,'Primary - GRADING'!$A$4:$BG997,10,),AX167="INDIRECT",VLOOKUP(AU167,'Primary - GRADING'!$A$4:$BG997,25,))</f>
        <v>#N/A</v>
      </c>
      <c r="BB167" s="153" t="str">
        <f t="shared" si="10"/>
        <v>#N/A</v>
      </c>
      <c r="BE167" s="153" t="str">
        <f t="shared" si="11"/>
        <v/>
      </c>
      <c r="BG167" s="153" t="str">
        <f t="shared" si="12"/>
        <v>#N/A</v>
      </c>
      <c r="BI167" s="153" t="str">
        <f t="shared" si="13"/>
        <v>#N/A</v>
      </c>
      <c r="BK167" s="153" t="str">
        <f t="shared" si="14"/>
        <v>#N/A</v>
      </c>
      <c r="BM167" s="153" t="str">
        <f t="shared" si="15"/>
        <v>#N/A</v>
      </c>
    </row>
    <row r="168" ht="15.75" customHeight="1">
      <c r="B168" s="160" t="str">
        <f t="shared" si="1"/>
        <v>#N/A</v>
      </c>
      <c r="C168" s="160" t="str">
        <f t="shared" si="2"/>
        <v>#N/A</v>
      </c>
      <c r="D168" s="160" t="str">
        <f t="shared" si="3"/>
        <v>#N/A</v>
      </c>
      <c r="E168" s="161" t="str">
        <f t="shared" si="4"/>
        <v>#N/A</v>
      </c>
      <c r="F168" s="153" t="str">
        <f t="shared" si="17"/>
        <v>#N/A</v>
      </c>
      <c r="G168" s="153" t="str">
        <f t="shared" si="6"/>
        <v>#N/A</v>
      </c>
      <c r="H168" s="156" t="str">
        <f t="array" ref="H168">INDEX('Primary - GRADING'!$A$1:$BG997,MATCH($A168,'Primary - GRADING'!$B:$B,0),59)</f>
        <v>#N/A</v>
      </c>
      <c r="I168" s="153" t="str">
        <f t="array" ref="I168">INDEX('Primary - GRADING'!$A$1:$CP997,MATCH($A168,'Primary - GRADING'!$CP:$CP,0),48)</f>
        <v>#N/A</v>
      </c>
      <c r="J168" s="153" t="str">
        <f t="array" ref="J168">INDEX('Primary - GRADING'!$A$1:$CP997,MATCH($A168,'Primary - GRADING'!$CP:$CP,0),49)</f>
        <v>#N/A</v>
      </c>
      <c r="K168" s="153" t="str">
        <f t="array" ref="K168">INDEX('Primary - GRADING'!$A$1:$CP997,MATCH($A168,'Primary - GRADING'!$CP:$CP,0),50)</f>
        <v>#N/A</v>
      </c>
      <c r="L168" s="153" t="str">
        <f t="array" ref="L168">INDEX('Primary - GRADING'!$A$1:$CP997,MATCH($A168,'Primary - GRADING'!$CP:$CP,0),51)</f>
        <v>#N/A</v>
      </c>
      <c r="M168" s="153" t="str">
        <f t="array" ref="M168">INDEX('Primary - GRADING'!$A$1:$CP997,MATCH($A168,'Primary - GRADING'!$CP:$CP,0),52)</f>
        <v>#N/A</v>
      </c>
      <c r="N168" s="153" t="str">
        <f t="array" ref="N168">INDEX('Primary - GRADING'!$A$1:$CP997,MATCH($A168,'Primary - GRADING'!$CP:$CP,0),53)</f>
        <v>#N/A</v>
      </c>
      <c r="O168" s="153" t="str">
        <f t="array" ref="O168">INDEX('Primary - GRADING'!$A$1:$CP997,MATCH($A168,'Primary - GRADING'!$CP:$CP,0),58)</f>
        <v>#N/A</v>
      </c>
      <c r="P168" s="153" t="str">
        <f t="array" ref="P168">INDEX('Primary - GRADING'!$A$1:$CP997,MATCH($A168,'Primary - GRADING'!$CP:$CP,0),5)</f>
        <v>#N/A</v>
      </c>
      <c r="Q168" s="153" t="str">
        <f t="array" ref="Q168">INDEX('Primary - GRADING'!$A$1:$CP997,MATCH($A168,'Primary - GRADING'!$CP:$CP,0),6)</f>
        <v>#N/A</v>
      </c>
      <c r="R168" s="153" t="str">
        <f t="array" ref="R168">INDEX('Primary - GRADING'!$A$1:$CP997,MATCH($A168,'Primary - GRADING'!$CP:$CP,0),7)</f>
        <v>#N/A</v>
      </c>
      <c r="S168" s="153" t="str">
        <f t="array" ref="S168">INDEX('Primary - GRADING'!$A$1:$CP997,MATCH($A168,'Primary - GRADING'!$CP:$CP,0),8)</f>
        <v>#N/A</v>
      </c>
      <c r="T168" s="153" t="str">
        <f t="array" ref="T168">INDEX('Primary - GRADING'!$A$1:$CP997,MATCH($A168,'Primary - GRADING'!$CP:$CP,0),9)</f>
        <v>#N/A</v>
      </c>
      <c r="U168" s="153" t="str">
        <f t="array" ref="U168">INDEX('Primary - GRADING'!$A$1:$CP997,MATCH($A168,'Primary - GRADING'!$CP:$CP,0),10)</f>
        <v>#N/A</v>
      </c>
      <c r="V168" s="153" t="str">
        <f t="array" ref="V168">INDEX('Primary - GRADING'!$A$1:$CP997,MATCH($A168,'Primary - GRADING'!$CP:$CP,0),18)</f>
        <v>#N/A</v>
      </c>
      <c r="W168" s="153" t="str">
        <f t="array" ref="W168">INDEX('Primary - GRADING'!$A$1:$CP997,MATCH($A168,'Primary - GRADING'!$CP:$CP,0),20)</f>
        <v>#N/A</v>
      </c>
      <c r="X168" s="153" t="str">
        <f t="array" ref="X168">INDEX('Primary - GRADING'!$A$1:$CP997,MATCH($A168,'Primary - GRADING'!$CP:$CP,0),21)</f>
        <v>#N/A</v>
      </c>
      <c r="Y168" s="153" t="str">
        <f t="array" ref="Y168">INDEX('Primary - GRADING'!$A$1:$CP997,MATCH($A168,'Primary - GRADING'!$CP:$CP,0),22)</f>
        <v>#N/A</v>
      </c>
      <c r="Z168" s="165" t="str">
        <f t="array" ref="Z168">INDEX('Primary - GRADING'!$A$1:$CP997,MATCH($A168,'Primary - GRADING'!$CP:$CP,0),23)</f>
        <v>#N/A</v>
      </c>
      <c r="AA168" s="153" t="str">
        <f t="array" ref="AA168">INDEX('Primary - GRADING'!$A$1:$CP997,MATCH($A168,'Primary - GRADING'!$CP:$CP,0),24)</f>
        <v>#N/A</v>
      </c>
      <c r="AB168" s="153" t="str">
        <f t="array" ref="AB168">INDEX('Primary - GRADING'!$A$1:$CP997,MATCH($A168,'Primary - GRADING'!$CP:$CP,0),25)</f>
        <v>#N/A</v>
      </c>
      <c r="AC168" s="153" t="str">
        <f t="array" ref="AC168">INDEX('Primary - GRADING'!$A$1:$CP997,MATCH($A168,'Primary - GRADING'!$CP:$CP,0),46)</f>
        <v>#N/A</v>
      </c>
      <c r="AG168" s="153" t="str">
        <f t="shared" si="7"/>
        <v>#N/A</v>
      </c>
      <c r="AI168" s="153" t="str">
        <f>VLOOKUP(AH168,'Primary - GRADING'!$A$4:$C997,2,)</f>
        <v>#N/A</v>
      </c>
      <c r="AJ168" s="153" t="str">
        <f>VLOOKUP(AH168,'Primary - GRADING'!$A$4:$C997,3,)</f>
        <v>#N/A</v>
      </c>
      <c r="AK168" s="153" t="str">
        <f>VLOOKUP(AH168,'Primary - GRADING'!$A$4:$BG997,59,)</f>
        <v>#N/A</v>
      </c>
      <c r="AL168" s="153" t="str">
        <f>IFS(AK168="NMA",VLOOKUP(AH168,'Primary - GRADING'!$A$4:$BG997,51,),AK168="DIRECT",VLOOKUP(AH168,'Primary - GRADING'!$A$4:$BG997,8,),AK168="INDIRECT",VLOOKUP(AH168,'Primary - GRADING'!$A$4:$BG997,23,))</f>
        <v>#N/A</v>
      </c>
      <c r="AM168" s="153" t="str">
        <f>IFS(AK168="NMA",VLOOKUP(AH168,'Primary - GRADING'!$A$4:$BG997,52,),AK168="DIRECT",VLOOKUP(AH168,'Primary - GRADING'!$A$4:$BG997,9,),AK168="INDIRECT",VLOOKUP(AH168,'Primary - GRADING'!$A$4:$BG997,24,))</f>
        <v>#N/A</v>
      </c>
      <c r="AN168" s="153" t="str">
        <f>IFS(AK168="NMA",VLOOKUP(AH168,'Primary - GRADING'!$A$4:$BG997,53,),AK168="DIRECT",VLOOKUP(AH168,'Primary - GRADING'!$A$4:$BG997,10,),AK168="INDIRECT",VLOOKUP(AH168,'Primary - GRADING'!$A$4:$BG997,25,))</f>
        <v>#N/A</v>
      </c>
      <c r="AO168" s="153" t="str">
        <f t="shared" si="8"/>
        <v>#N/A</v>
      </c>
      <c r="AT168" s="153" t="str">
        <f t="shared" si="9"/>
        <v>#N/A</v>
      </c>
      <c r="AV168" s="153" t="str">
        <f>VLOOKUP(AU168,'Primary - GRADING'!$A$4:$C997,2,)</f>
        <v>#N/A</v>
      </c>
      <c r="AW168" s="153" t="str">
        <f>VLOOKUP(AU168,'Primary - GRADING'!$A$4:$C997,3,)</f>
        <v>#N/A</v>
      </c>
      <c r="AX168" s="153" t="str">
        <f>VLOOKUP(AU168,'Primary - GRADING'!$A$4:$BG997,59,)</f>
        <v>#N/A</v>
      </c>
      <c r="AY168" s="153" t="str">
        <f>IFS(AX168="NMA",VLOOKUP(AU168,'Primary - GRADING'!$A$4:$BG997,51,),AX168="DIRECT",VLOOKUP(AU168,'Primary - GRADING'!$A$4:$BG997,8,),AX168="INDIRECT",VLOOKUP(AU168,'Primary - GRADING'!$A$4:$BG997,23,))</f>
        <v>#N/A</v>
      </c>
      <c r="AZ168" s="153" t="str">
        <f>IFS(AX168="NMA",VLOOKUP(AU168,'Primary - GRADING'!$A$4:$BG997,52,),AX168="DIRECT",VLOOKUP(AU168,'Primary - GRADING'!$A$4:$BG997,9,),AX168="INDIRECT",VLOOKUP(AU168,'Primary - GRADING'!$A$4:$BG997,24,))</f>
        <v>#N/A</v>
      </c>
      <c r="BA168" s="153" t="str">
        <f>IFS(AX168="NMA",VLOOKUP(AU168,'Primary - GRADING'!$A$4:$BG997,53,),AX168="DIRECT",VLOOKUP(AU168,'Primary - GRADING'!$A$4:$BG997,10,),AX168="INDIRECT",VLOOKUP(AU168,'Primary - GRADING'!$A$4:$BG997,25,))</f>
        <v>#N/A</v>
      </c>
      <c r="BB168" s="153" t="str">
        <f t="shared" si="10"/>
        <v>#N/A</v>
      </c>
      <c r="BE168" s="153" t="str">
        <f t="shared" si="11"/>
        <v/>
      </c>
      <c r="BG168" s="153" t="str">
        <f t="shared" si="12"/>
        <v>#N/A</v>
      </c>
      <c r="BI168" s="153" t="str">
        <f t="shared" si="13"/>
        <v>#N/A</v>
      </c>
      <c r="BK168" s="153" t="str">
        <f t="shared" si="14"/>
        <v>#N/A</v>
      </c>
      <c r="BM168" s="153" t="str">
        <f t="shared" si="15"/>
        <v>#N/A</v>
      </c>
    </row>
    <row r="169" ht="15.75" customHeight="1">
      <c r="B169" s="160" t="str">
        <f t="shared" si="1"/>
        <v>#N/A</v>
      </c>
      <c r="C169" s="160" t="str">
        <f t="shared" si="2"/>
        <v>#N/A</v>
      </c>
      <c r="D169" s="160" t="str">
        <f t="shared" si="3"/>
        <v>#N/A</v>
      </c>
      <c r="E169" s="161" t="str">
        <f t="shared" si="4"/>
        <v>#N/A</v>
      </c>
      <c r="F169" s="153" t="str">
        <f t="shared" si="17"/>
        <v>#N/A</v>
      </c>
      <c r="G169" s="153" t="str">
        <f t="shared" si="6"/>
        <v>#N/A</v>
      </c>
      <c r="H169" s="156" t="str">
        <f t="array" ref="H169">INDEX('Primary - GRADING'!$A$1:$BG997,MATCH($A169,'Primary - GRADING'!$B:$B,0),59)</f>
        <v>#N/A</v>
      </c>
      <c r="I169" s="153" t="str">
        <f t="array" ref="I169">INDEX('Primary - GRADING'!$A$1:$CP997,MATCH($A169,'Primary - GRADING'!$CP:$CP,0),48)</f>
        <v>#N/A</v>
      </c>
      <c r="J169" s="153" t="str">
        <f t="array" ref="J169">INDEX('Primary - GRADING'!$A$1:$CP997,MATCH($A169,'Primary - GRADING'!$CP:$CP,0),49)</f>
        <v>#N/A</v>
      </c>
      <c r="K169" s="153" t="str">
        <f t="array" ref="K169">INDEX('Primary - GRADING'!$A$1:$CP997,MATCH($A169,'Primary - GRADING'!$CP:$CP,0),50)</f>
        <v>#N/A</v>
      </c>
      <c r="L169" s="153" t="str">
        <f t="array" ref="L169">INDEX('Primary - GRADING'!$A$1:$CP997,MATCH($A169,'Primary - GRADING'!$CP:$CP,0),51)</f>
        <v>#N/A</v>
      </c>
      <c r="M169" s="153" t="str">
        <f t="array" ref="M169">INDEX('Primary - GRADING'!$A$1:$CP997,MATCH($A169,'Primary - GRADING'!$CP:$CP,0),52)</f>
        <v>#N/A</v>
      </c>
      <c r="N169" s="153" t="str">
        <f t="array" ref="N169">INDEX('Primary - GRADING'!$A$1:$CP997,MATCH($A169,'Primary - GRADING'!$CP:$CP,0),53)</f>
        <v>#N/A</v>
      </c>
      <c r="O169" s="153" t="str">
        <f t="array" ref="O169">INDEX('Primary - GRADING'!$A$1:$CP997,MATCH($A169,'Primary - GRADING'!$CP:$CP,0),58)</f>
        <v>#N/A</v>
      </c>
      <c r="P169" s="153" t="str">
        <f t="array" ref="P169">INDEX('Primary - GRADING'!$A$1:$CP997,MATCH($A169,'Primary - GRADING'!$CP:$CP,0),5)</f>
        <v>#N/A</v>
      </c>
      <c r="Q169" s="153" t="str">
        <f t="array" ref="Q169">INDEX('Primary - GRADING'!$A$1:$CP997,MATCH($A169,'Primary - GRADING'!$CP:$CP,0),6)</f>
        <v>#N/A</v>
      </c>
      <c r="R169" s="153" t="str">
        <f t="array" ref="R169">INDEX('Primary - GRADING'!$A$1:$CP997,MATCH($A169,'Primary - GRADING'!$CP:$CP,0),7)</f>
        <v>#N/A</v>
      </c>
      <c r="S169" s="153" t="str">
        <f t="array" ref="S169">INDEX('Primary - GRADING'!$A$1:$CP997,MATCH($A169,'Primary - GRADING'!$CP:$CP,0),8)</f>
        <v>#N/A</v>
      </c>
      <c r="T169" s="153" t="str">
        <f t="array" ref="T169">INDEX('Primary - GRADING'!$A$1:$CP997,MATCH($A169,'Primary - GRADING'!$CP:$CP,0),9)</f>
        <v>#N/A</v>
      </c>
      <c r="U169" s="153" t="str">
        <f t="array" ref="U169">INDEX('Primary - GRADING'!$A$1:$CP997,MATCH($A169,'Primary - GRADING'!$CP:$CP,0),10)</f>
        <v>#N/A</v>
      </c>
      <c r="V169" s="153" t="str">
        <f t="array" ref="V169">INDEX('Primary - GRADING'!$A$1:$CP997,MATCH($A169,'Primary - GRADING'!$CP:$CP,0),18)</f>
        <v>#N/A</v>
      </c>
      <c r="W169" s="153" t="str">
        <f t="array" ref="W169">INDEX('Primary - GRADING'!$A$1:$CP997,MATCH($A169,'Primary - GRADING'!$CP:$CP,0),20)</f>
        <v>#N/A</v>
      </c>
      <c r="X169" s="153" t="str">
        <f t="array" ref="X169">INDEX('Primary - GRADING'!$A$1:$CP997,MATCH($A169,'Primary - GRADING'!$CP:$CP,0),21)</f>
        <v>#N/A</v>
      </c>
      <c r="Y169" s="153" t="str">
        <f t="array" ref="Y169">INDEX('Primary - GRADING'!$A$1:$CP997,MATCH($A169,'Primary - GRADING'!$CP:$CP,0),22)</f>
        <v>#N/A</v>
      </c>
      <c r="Z169" s="165" t="str">
        <f t="array" ref="Z169">INDEX('Primary - GRADING'!$A$1:$CP997,MATCH($A169,'Primary - GRADING'!$CP:$CP,0),23)</f>
        <v>#N/A</v>
      </c>
      <c r="AA169" s="153" t="str">
        <f t="array" ref="AA169">INDEX('Primary - GRADING'!$A$1:$CP997,MATCH($A169,'Primary - GRADING'!$CP:$CP,0),24)</f>
        <v>#N/A</v>
      </c>
      <c r="AB169" s="153" t="str">
        <f t="array" ref="AB169">INDEX('Primary - GRADING'!$A$1:$CP997,MATCH($A169,'Primary - GRADING'!$CP:$CP,0),25)</f>
        <v>#N/A</v>
      </c>
      <c r="AC169" s="153" t="str">
        <f t="array" ref="AC169">INDEX('Primary - GRADING'!$A$1:$CP997,MATCH($A169,'Primary - GRADING'!$CP:$CP,0),46)</f>
        <v>#N/A</v>
      </c>
      <c r="AG169" s="153" t="str">
        <f t="shared" si="7"/>
        <v>#N/A</v>
      </c>
      <c r="AI169" s="153" t="str">
        <f>VLOOKUP(AH169,'Primary - GRADING'!$A$4:$C997,2,)</f>
        <v>#N/A</v>
      </c>
      <c r="AJ169" s="153" t="str">
        <f>VLOOKUP(AH169,'Primary - GRADING'!$A$4:$C997,3,)</f>
        <v>#N/A</v>
      </c>
      <c r="AK169" s="153" t="str">
        <f>VLOOKUP(AH169,'Primary - GRADING'!$A$4:$BG997,59,)</f>
        <v>#N/A</v>
      </c>
      <c r="AL169" s="153" t="str">
        <f>IFS(AK169="NMA",VLOOKUP(AH169,'Primary - GRADING'!$A$4:$BG997,51,),AK169="DIRECT",VLOOKUP(AH169,'Primary - GRADING'!$A$4:$BG997,8,),AK169="INDIRECT",VLOOKUP(AH169,'Primary - GRADING'!$A$4:$BG997,23,))</f>
        <v>#N/A</v>
      </c>
      <c r="AM169" s="153" t="str">
        <f>IFS(AK169="NMA",VLOOKUP(AH169,'Primary - GRADING'!$A$4:$BG997,52,),AK169="DIRECT",VLOOKUP(AH169,'Primary - GRADING'!$A$4:$BG997,9,),AK169="INDIRECT",VLOOKUP(AH169,'Primary - GRADING'!$A$4:$BG997,24,))</f>
        <v>#N/A</v>
      </c>
      <c r="AN169" s="153" t="str">
        <f>IFS(AK169="NMA",VLOOKUP(AH169,'Primary - GRADING'!$A$4:$BG997,53,),AK169="DIRECT",VLOOKUP(AH169,'Primary - GRADING'!$A$4:$BG997,10,),AK169="INDIRECT",VLOOKUP(AH169,'Primary - GRADING'!$A$4:$BG997,25,))</f>
        <v>#N/A</v>
      </c>
      <c r="AO169" s="153" t="str">
        <f t="shared" si="8"/>
        <v>#N/A</v>
      </c>
      <c r="AT169" s="153" t="str">
        <f t="shared" si="9"/>
        <v>#N/A</v>
      </c>
      <c r="AV169" s="153" t="str">
        <f>VLOOKUP(AU169,'Primary - GRADING'!$A$4:$C997,2,)</f>
        <v>#N/A</v>
      </c>
      <c r="AW169" s="153" t="str">
        <f>VLOOKUP(AU169,'Primary - GRADING'!$A$4:$C997,3,)</f>
        <v>#N/A</v>
      </c>
      <c r="AX169" s="153" t="str">
        <f>VLOOKUP(AU169,'Primary - GRADING'!$A$4:$BG997,59,)</f>
        <v>#N/A</v>
      </c>
      <c r="AY169" s="153" t="str">
        <f>IFS(AX169="NMA",VLOOKUP(AU169,'Primary - GRADING'!$A$4:$BG997,51,),AX169="DIRECT",VLOOKUP(AU169,'Primary - GRADING'!$A$4:$BG997,8,),AX169="INDIRECT",VLOOKUP(AU169,'Primary - GRADING'!$A$4:$BG997,23,))</f>
        <v>#N/A</v>
      </c>
      <c r="AZ169" s="153" t="str">
        <f>IFS(AX169="NMA",VLOOKUP(AU169,'Primary - GRADING'!$A$4:$BG997,52,),AX169="DIRECT",VLOOKUP(AU169,'Primary - GRADING'!$A$4:$BG997,9,),AX169="INDIRECT",VLOOKUP(AU169,'Primary - GRADING'!$A$4:$BG997,24,))</f>
        <v>#N/A</v>
      </c>
      <c r="BA169" s="153" t="str">
        <f>IFS(AX169="NMA",VLOOKUP(AU169,'Primary - GRADING'!$A$4:$BG997,53,),AX169="DIRECT",VLOOKUP(AU169,'Primary - GRADING'!$A$4:$BG997,10,),AX169="INDIRECT",VLOOKUP(AU169,'Primary - GRADING'!$A$4:$BG997,25,))</f>
        <v>#N/A</v>
      </c>
      <c r="BB169" s="153" t="str">
        <f t="shared" si="10"/>
        <v>#N/A</v>
      </c>
      <c r="BE169" s="153" t="str">
        <f t="shared" si="11"/>
        <v/>
      </c>
      <c r="BG169" s="153" t="str">
        <f t="shared" si="12"/>
        <v>#N/A</v>
      </c>
      <c r="BI169" s="153" t="str">
        <f t="shared" si="13"/>
        <v>#N/A</v>
      </c>
      <c r="BK169" s="153" t="str">
        <f t="shared" si="14"/>
        <v>#N/A</v>
      </c>
      <c r="BM169" s="153" t="str">
        <f t="shared" si="15"/>
        <v>#N/A</v>
      </c>
    </row>
    <row r="170" ht="15.75" customHeight="1">
      <c r="B170" s="160" t="str">
        <f t="shared" si="1"/>
        <v>#N/A</v>
      </c>
      <c r="C170" s="160" t="str">
        <f t="shared" si="2"/>
        <v>#N/A</v>
      </c>
      <c r="D170" s="160" t="str">
        <f t="shared" si="3"/>
        <v>#N/A</v>
      </c>
      <c r="E170" s="161" t="str">
        <f t="shared" si="4"/>
        <v>#N/A</v>
      </c>
      <c r="F170" s="153" t="str">
        <f t="shared" si="17"/>
        <v>#N/A</v>
      </c>
      <c r="G170" s="153" t="str">
        <f t="shared" si="6"/>
        <v>#N/A</v>
      </c>
      <c r="H170" s="156" t="str">
        <f t="array" ref="H170">INDEX('Primary - GRADING'!$A$1:$BG997,MATCH($A170,'Primary - GRADING'!$B:$B,0),59)</f>
        <v>#N/A</v>
      </c>
      <c r="I170" s="153" t="str">
        <f t="array" ref="I170">INDEX('Primary - GRADING'!$A$1:$CP997,MATCH($A170,'Primary - GRADING'!$CP:$CP,0),48)</f>
        <v>#N/A</v>
      </c>
      <c r="J170" s="153" t="str">
        <f t="array" ref="J170">INDEX('Primary - GRADING'!$A$1:$CP997,MATCH($A170,'Primary - GRADING'!$CP:$CP,0),49)</f>
        <v>#N/A</v>
      </c>
      <c r="K170" s="153" t="str">
        <f t="array" ref="K170">INDEX('Primary - GRADING'!$A$1:$CP997,MATCH($A170,'Primary - GRADING'!$CP:$CP,0),50)</f>
        <v>#N/A</v>
      </c>
      <c r="L170" s="153" t="str">
        <f t="array" ref="L170">INDEX('Primary - GRADING'!$A$1:$CP997,MATCH($A170,'Primary - GRADING'!$CP:$CP,0),51)</f>
        <v>#N/A</v>
      </c>
      <c r="M170" s="153" t="str">
        <f t="array" ref="M170">INDEX('Primary - GRADING'!$A$1:$CP997,MATCH($A170,'Primary - GRADING'!$CP:$CP,0),52)</f>
        <v>#N/A</v>
      </c>
      <c r="N170" s="153" t="str">
        <f t="array" ref="N170">INDEX('Primary - GRADING'!$A$1:$CP997,MATCH($A170,'Primary - GRADING'!$CP:$CP,0),53)</f>
        <v>#N/A</v>
      </c>
      <c r="O170" s="153" t="str">
        <f t="array" ref="O170">INDEX('Primary - GRADING'!$A$1:$CP997,MATCH($A170,'Primary - GRADING'!$CP:$CP,0),58)</f>
        <v>#N/A</v>
      </c>
      <c r="P170" s="153" t="str">
        <f t="array" ref="P170">INDEX('Primary - GRADING'!$A$1:$CP997,MATCH($A170,'Primary - GRADING'!$CP:$CP,0),5)</f>
        <v>#N/A</v>
      </c>
      <c r="Q170" s="153" t="str">
        <f t="array" ref="Q170">INDEX('Primary - GRADING'!$A$1:$CP997,MATCH($A170,'Primary - GRADING'!$CP:$CP,0),6)</f>
        <v>#N/A</v>
      </c>
      <c r="R170" s="153" t="str">
        <f t="array" ref="R170">INDEX('Primary - GRADING'!$A$1:$CP997,MATCH($A170,'Primary - GRADING'!$CP:$CP,0),7)</f>
        <v>#N/A</v>
      </c>
      <c r="S170" s="153" t="str">
        <f t="array" ref="S170">INDEX('Primary - GRADING'!$A$1:$CP997,MATCH($A170,'Primary - GRADING'!$CP:$CP,0),8)</f>
        <v>#N/A</v>
      </c>
      <c r="T170" s="153" t="str">
        <f t="array" ref="T170">INDEX('Primary - GRADING'!$A$1:$CP997,MATCH($A170,'Primary - GRADING'!$CP:$CP,0),9)</f>
        <v>#N/A</v>
      </c>
      <c r="U170" s="153" t="str">
        <f t="array" ref="U170">INDEX('Primary - GRADING'!$A$1:$CP997,MATCH($A170,'Primary - GRADING'!$CP:$CP,0),10)</f>
        <v>#N/A</v>
      </c>
      <c r="V170" s="153" t="str">
        <f t="array" ref="V170">INDEX('Primary - GRADING'!$A$1:$CP997,MATCH($A170,'Primary - GRADING'!$CP:$CP,0),18)</f>
        <v>#N/A</v>
      </c>
      <c r="W170" s="153" t="str">
        <f t="array" ref="W170">INDEX('Primary - GRADING'!$A$1:$CP997,MATCH($A170,'Primary - GRADING'!$CP:$CP,0),20)</f>
        <v>#N/A</v>
      </c>
      <c r="X170" s="153" t="str">
        <f t="array" ref="X170">INDEX('Primary - GRADING'!$A$1:$CP997,MATCH($A170,'Primary - GRADING'!$CP:$CP,0),21)</f>
        <v>#N/A</v>
      </c>
      <c r="Y170" s="153" t="str">
        <f t="array" ref="Y170">INDEX('Primary - GRADING'!$A$1:$CP997,MATCH($A170,'Primary - GRADING'!$CP:$CP,0),22)</f>
        <v>#N/A</v>
      </c>
      <c r="Z170" s="165" t="str">
        <f t="array" ref="Z170">INDEX('Primary - GRADING'!$A$1:$CP997,MATCH($A170,'Primary - GRADING'!$CP:$CP,0),23)</f>
        <v>#N/A</v>
      </c>
      <c r="AA170" s="153" t="str">
        <f t="array" ref="AA170">INDEX('Primary - GRADING'!$A$1:$CP997,MATCH($A170,'Primary - GRADING'!$CP:$CP,0),24)</f>
        <v>#N/A</v>
      </c>
      <c r="AB170" s="153" t="str">
        <f t="array" ref="AB170">INDEX('Primary - GRADING'!$A$1:$CP997,MATCH($A170,'Primary - GRADING'!$CP:$CP,0),25)</f>
        <v>#N/A</v>
      </c>
      <c r="AC170" s="153" t="str">
        <f t="array" ref="AC170">INDEX('Primary - GRADING'!$A$1:$CP997,MATCH($A170,'Primary - GRADING'!$CP:$CP,0),46)</f>
        <v>#N/A</v>
      </c>
      <c r="AG170" s="153" t="str">
        <f t="shared" si="7"/>
        <v>#N/A</v>
      </c>
      <c r="AI170" s="153" t="str">
        <f>VLOOKUP(AH170,'Primary - GRADING'!$A$4:$C997,2,)</f>
        <v>#N/A</v>
      </c>
      <c r="AJ170" s="153" t="str">
        <f>VLOOKUP(AH170,'Primary - GRADING'!$A$4:$C997,3,)</f>
        <v>#N/A</v>
      </c>
      <c r="AK170" s="153" t="str">
        <f>VLOOKUP(AH170,'Primary - GRADING'!$A$4:$BG997,59,)</f>
        <v>#N/A</v>
      </c>
      <c r="AL170" s="153" t="str">
        <f>IFS(AK170="NMA",VLOOKUP(AH170,'Primary - GRADING'!$A$4:$BG997,51,),AK170="DIRECT",VLOOKUP(AH170,'Primary - GRADING'!$A$4:$BG997,8,),AK170="INDIRECT",VLOOKUP(AH170,'Primary - GRADING'!$A$4:$BG997,23,))</f>
        <v>#N/A</v>
      </c>
      <c r="AM170" s="153" t="str">
        <f>IFS(AK170="NMA",VLOOKUP(AH170,'Primary - GRADING'!$A$4:$BG997,52,),AK170="DIRECT",VLOOKUP(AH170,'Primary - GRADING'!$A$4:$BG997,9,),AK170="INDIRECT",VLOOKUP(AH170,'Primary - GRADING'!$A$4:$BG997,24,))</f>
        <v>#N/A</v>
      </c>
      <c r="AN170" s="153" t="str">
        <f>IFS(AK170="NMA",VLOOKUP(AH170,'Primary - GRADING'!$A$4:$BG997,53,),AK170="DIRECT",VLOOKUP(AH170,'Primary - GRADING'!$A$4:$BG997,10,),AK170="INDIRECT",VLOOKUP(AH170,'Primary - GRADING'!$A$4:$BG997,25,))</f>
        <v>#N/A</v>
      </c>
      <c r="AO170" s="153" t="str">
        <f t="shared" si="8"/>
        <v>#N/A</v>
      </c>
      <c r="AT170" s="153" t="str">
        <f t="shared" si="9"/>
        <v>#N/A</v>
      </c>
      <c r="AV170" s="153" t="str">
        <f>VLOOKUP(AU170,'Primary - GRADING'!$A$4:$C997,2,)</f>
        <v>#N/A</v>
      </c>
      <c r="AW170" s="153" t="str">
        <f>VLOOKUP(AU170,'Primary - GRADING'!$A$4:$C997,3,)</f>
        <v>#N/A</v>
      </c>
      <c r="AX170" s="153" t="str">
        <f>VLOOKUP(AU170,'Primary - GRADING'!$A$4:$BG997,59,)</f>
        <v>#N/A</v>
      </c>
      <c r="AY170" s="153" t="str">
        <f>IFS(AX170="NMA",VLOOKUP(AU170,'Primary - GRADING'!$A$4:$BG997,51,),AX170="DIRECT",VLOOKUP(AU170,'Primary - GRADING'!$A$4:$BG997,8,),AX170="INDIRECT",VLOOKUP(AU170,'Primary - GRADING'!$A$4:$BG997,23,))</f>
        <v>#N/A</v>
      </c>
      <c r="AZ170" s="153" t="str">
        <f>IFS(AX170="NMA",VLOOKUP(AU170,'Primary - GRADING'!$A$4:$BG997,52,),AX170="DIRECT",VLOOKUP(AU170,'Primary - GRADING'!$A$4:$BG997,9,),AX170="INDIRECT",VLOOKUP(AU170,'Primary - GRADING'!$A$4:$BG997,24,))</f>
        <v>#N/A</v>
      </c>
      <c r="BA170" s="153" t="str">
        <f>IFS(AX170="NMA",VLOOKUP(AU170,'Primary - GRADING'!$A$4:$BG997,53,),AX170="DIRECT",VLOOKUP(AU170,'Primary - GRADING'!$A$4:$BG997,10,),AX170="INDIRECT",VLOOKUP(AU170,'Primary - GRADING'!$A$4:$BG997,25,))</f>
        <v>#N/A</v>
      </c>
      <c r="BB170" s="153" t="str">
        <f t="shared" si="10"/>
        <v>#N/A</v>
      </c>
      <c r="BE170" s="153" t="str">
        <f t="shared" si="11"/>
        <v/>
      </c>
      <c r="BG170" s="153" t="str">
        <f t="shared" si="12"/>
        <v>#N/A</v>
      </c>
      <c r="BI170" s="153" t="str">
        <f t="shared" si="13"/>
        <v>#N/A</v>
      </c>
      <c r="BK170" s="153" t="str">
        <f t="shared" si="14"/>
        <v>#N/A</v>
      </c>
      <c r="BM170" s="153" t="str">
        <f t="shared" si="15"/>
        <v>#N/A</v>
      </c>
    </row>
    <row r="171" ht="15.75" customHeight="1">
      <c r="B171" s="160" t="str">
        <f t="shared" si="1"/>
        <v>#N/A</v>
      </c>
      <c r="C171" s="160" t="str">
        <f t="shared" si="2"/>
        <v>#N/A</v>
      </c>
      <c r="D171" s="160" t="str">
        <f t="shared" si="3"/>
        <v>#N/A</v>
      </c>
      <c r="E171" s="161" t="str">
        <f t="shared" si="4"/>
        <v>#N/A</v>
      </c>
      <c r="F171" s="153" t="str">
        <f t="shared" si="17"/>
        <v>#N/A</v>
      </c>
      <c r="G171" s="153" t="str">
        <f t="shared" si="6"/>
        <v>#N/A</v>
      </c>
      <c r="H171" s="156" t="str">
        <f t="array" ref="H171">INDEX('Primary - GRADING'!$A$1:$BG997,MATCH($A171,'Primary - GRADING'!$B:$B,0),59)</f>
        <v>#N/A</v>
      </c>
      <c r="I171" s="153" t="str">
        <f t="array" ref="I171">INDEX('Primary - GRADING'!$A$1:$CP997,MATCH($A171,'Primary - GRADING'!$CP:$CP,0),48)</f>
        <v>#N/A</v>
      </c>
      <c r="J171" s="153" t="str">
        <f t="array" ref="J171">INDEX('Primary - GRADING'!$A$1:$CP997,MATCH($A171,'Primary - GRADING'!$CP:$CP,0),49)</f>
        <v>#N/A</v>
      </c>
      <c r="K171" s="153" t="str">
        <f t="array" ref="K171">INDEX('Primary - GRADING'!$A$1:$CP997,MATCH($A171,'Primary - GRADING'!$CP:$CP,0),50)</f>
        <v>#N/A</v>
      </c>
      <c r="L171" s="153" t="str">
        <f t="array" ref="L171">INDEX('Primary - GRADING'!$A$1:$CP997,MATCH($A171,'Primary - GRADING'!$CP:$CP,0),51)</f>
        <v>#N/A</v>
      </c>
      <c r="M171" s="153" t="str">
        <f t="array" ref="M171">INDEX('Primary - GRADING'!$A$1:$CP997,MATCH($A171,'Primary - GRADING'!$CP:$CP,0),52)</f>
        <v>#N/A</v>
      </c>
      <c r="N171" s="153" t="str">
        <f t="array" ref="N171">INDEX('Primary - GRADING'!$A$1:$CP997,MATCH($A171,'Primary - GRADING'!$CP:$CP,0),53)</f>
        <v>#N/A</v>
      </c>
      <c r="O171" s="153" t="str">
        <f t="array" ref="O171">INDEX('Primary - GRADING'!$A$1:$CP997,MATCH($A171,'Primary - GRADING'!$CP:$CP,0),58)</f>
        <v>#N/A</v>
      </c>
      <c r="P171" s="153" t="str">
        <f t="array" ref="P171">INDEX('Primary - GRADING'!$A$1:$CP997,MATCH($A171,'Primary - GRADING'!$CP:$CP,0),5)</f>
        <v>#N/A</v>
      </c>
      <c r="Q171" s="153" t="str">
        <f t="array" ref="Q171">INDEX('Primary - GRADING'!$A$1:$CP997,MATCH($A171,'Primary - GRADING'!$CP:$CP,0),6)</f>
        <v>#N/A</v>
      </c>
      <c r="R171" s="153" t="str">
        <f t="array" ref="R171">INDEX('Primary - GRADING'!$A$1:$CP997,MATCH($A171,'Primary - GRADING'!$CP:$CP,0),7)</f>
        <v>#N/A</v>
      </c>
      <c r="S171" s="153" t="str">
        <f t="array" ref="S171">INDEX('Primary - GRADING'!$A$1:$CP997,MATCH($A171,'Primary - GRADING'!$CP:$CP,0),8)</f>
        <v>#N/A</v>
      </c>
      <c r="T171" s="153" t="str">
        <f t="array" ref="T171">INDEX('Primary - GRADING'!$A$1:$CP997,MATCH($A171,'Primary - GRADING'!$CP:$CP,0),9)</f>
        <v>#N/A</v>
      </c>
      <c r="U171" s="153" t="str">
        <f t="array" ref="U171">INDEX('Primary - GRADING'!$A$1:$CP997,MATCH($A171,'Primary - GRADING'!$CP:$CP,0),10)</f>
        <v>#N/A</v>
      </c>
      <c r="V171" s="153" t="str">
        <f t="array" ref="V171">INDEX('Primary - GRADING'!$A$1:$CP997,MATCH($A171,'Primary - GRADING'!$CP:$CP,0),18)</f>
        <v>#N/A</v>
      </c>
      <c r="W171" s="153" t="str">
        <f t="array" ref="W171">INDEX('Primary - GRADING'!$A$1:$CP997,MATCH($A171,'Primary - GRADING'!$CP:$CP,0),20)</f>
        <v>#N/A</v>
      </c>
      <c r="X171" s="153" t="str">
        <f t="array" ref="X171">INDEX('Primary - GRADING'!$A$1:$CP997,MATCH($A171,'Primary - GRADING'!$CP:$CP,0),21)</f>
        <v>#N/A</v>
      </c>
      <c r="Y171" s="153" t="str">
        <f t="array" ref="Y171">INDEX('Primary - GRADING'!$A$1:$CP997,MATCH($A171,'Primary - GRADING'!$CP:$CP,0),22)</f>
        <v>#N/A</v>
      </c>
      <c r="Z171" s="165" t="str">
        <f t="array" ref="Z171">INDEX('Primary - GRADING'!$A$1:$CP997,MATCH($A171,'Primary - GRADING'!$CP:$CP,0),23)</f>
        <v>#N/A</v>
      </c>
      <c r="AA171" s="153" t="str">
        <f t="array" ref="AA171">INDEX('Primary - GRADING'!$A$1:$CP997,MATCH($A171,'Primary - GRADING'!$CP:$CP,0),24)</f>
        <v>#N/A</v>
      </c>
      <c r="AB171" s="153" t="str">
        <f t="array" ref="AB171">INDEX('Primary - GRADING'!$A$1:$CP997,MATCH($A171,'Primary - GRADING'!$CP:$CP,0),25)</f>
        <v>#N/A</v>
      </c>
      <c r="AC171" s="153" t="str">
        <f t="array" ref="AC171">INDEX('Primary - GRADING'!$A$1:$CP997,MATCH($A171,'Primary - GRADING'!$CP:$CP,0),46)</f>
        <v>#N/A</v>
      </c>
      <c r="AG171" s="153" t="str">
        <f t="shared" si="7"/>
        <v>#N/A</v>
      </c>
      <c r="AI171" s="153" t="str">
        <f>VLOOKUP(AH171,'Primary - GRADING'!$A$4:$C997,2,)</f>
        <v>#N/A</v>
      </c>
      <c r="AJ171" s="153" t="str">
        <f>VLOOKUP(AH171,'Primary - GRADING'!$A$4:$C997,3,)</f>
        <v>#N/A</v>
      </c>
      <c r="AK171" s="153" t="str">
        <f>VLOOKUP(AH171,'Primary - GRADING'!$A$4:$BG997,59,)</f>
        <v>#N/A</v>
      </c>
      <c r="AL171" s="153" t="str">
        <f>IFS(AK171="NMA",VLOOKUP(AH171,'Primary - GRADING'!$A$4:$BG997,51,),AK171="DIRECT",VLOOKUP(AH171,'Primary - GRADING'!$A$4:$BG997,8,),AK171="INDIRECT",VLOOKUP(AH171,'Primary - GRADING'!$A$4:$BG997,23,))</f>
        <v>#N/A</v>
      </c>
      <c r="AM171" s="153" t="str">
        <f>IFS(AK171="NMA",VLOOKUP(AH171,'Primary - GRADING'!$A$4:$BG997,52,),AK171="DIRECT",VLOOKUP(AH171,'Primary - GRADING'!$A$4:$BG997,9,),AK171="INDIRECT",VLOOKUP(AH171,'Primary - GRADING'!$A$4:$BG997,24,))</f>
        <v>#N/A</v>
      </c>
      <c r="AN171" s="153" t="str">
        <f>IFS(AK171="NMA",VLOOKUP(AH171,'Primary - GRADING'!$A$4:$BG997,53,),AK171="DIRECT",VLOOKUP(AH171,'Primary - GRADING'!$A$4:$BG997,10,),AK171="INDIRECT",VLOOKUP(AH171,'Primary - GRADING'!$A$4:$BG997,25,))</f>
        <v>#N/A</v>
      </c>
      <c r="AO171" s="153" t="str">
        <f t="shared" si="8"/>
        <v>#N/A</v>
      </c>
      <c r="AT171" s="153" t="str">
        <f t="shared" si="9"/>
        <v>#N/A</v>
      </c>
      <c r="AV171" s="153" t="str">
        <f>VLOOKUP(AU171,'Primary - GRADING'!$A$4:$C997,2,)</f>
        <v>#N/A</v>
      </c>
      <c r="AW171" s="153" t="str">
        <f>VLOOKUP(AU171,'Primary - GRADING'!$A$4:$C997,3,)</f>
        <v>#N/A</v>
      </c>
      <c r="AX171" s="153" t="str">
        <f>VLOOKUP(AU171,'Primary - GRADING'!$A$4:$BG997,59,)</f>
        <v>#N/A</v>
      </c>
      <c r="AY171" s="153" t="str">
        <f>IFS(AX171="NMA",VLOOKUP(AU171,'Primary - GRADING'!$A$4:$BG997,51,),AX171="DIRECT",VLOOKUP(AU171,'Primary - GRADING'!$A$4:$BG997,8,),AX171="INDIRECT",VLOOKUP(AU171,'Primary - GRADING'!$A$4:$BG997,23,))</f>
        <v>#N/A</v>
      </c>
      <c r="AZ171" s="153" t="str">
        <f>IFS(AX171="NMA",VLOOKUP(AU171,'Primary - GRADING'!$A$4:$BG997,52,),AX171="DIRECT",VLOOKUP(AU171,'Primary - GRADING'!$A$4:$BG997,9,),AX171="INDIRECT",VLOOKUP(AU171,'Primary - GRADING'!$A$4:$BG997,24,))</f>
        <v>#N/A</v>
      </c>
      <c r="BA171" s="153" t="str">
        <f>IFS(AX171="NMA",VLOOKUP(AU171,'Primary - GRADING'!$A$4:$BG997,53,),AX171="DIRECT",VLOOKUP(AU171,'Primary - GRADING'!$A$4:$BG997,10,),AX171="INDIRECT",VLOOKUP(AU171,'Primary - GRADING'!$A$4:$BG997,25,))</f>
        <v>#N/A</v>
      </c>
      <c r="BB171" s="153" t="str">
        <f t="shared" si="10"/>
        <v>#N/A</v>
      </c>
      <c r="BE171" s="153" t="str">
        <f t="shared" si="11"/>
        <v/>
      </c>
      <c r="BG171" s="153" t="str">
        <f t="shared" si="12"/>
        <v>#N/A</v>
      </c>
      <c r="BI171" s="153" t="str">
        <f t="shared" si="13"/>
        <v>#N/A</v>
      </c>
      <c r="BK171" s="153" t="str">
        <f t="shared" si="14"/>
        <v>#N/A</v>
      </c>
      <c r="BM171" s="153" t="str">
        <f t="shared" si="15"/>
        <v>#N/A</v>
      </c>
    </row>
    <row r="172" ht="15.75" customHeight="1">
      <c r="B172" s="160" t="str">
        <f t="shared" si="1"/>
        <v>#N/A</v>
      </c>
      <c r="C172" s="160" t="str">
        <f t="shared" si="2"/>
        <v>#N/A</v>
      </c>
      <c r="D172" s="160" t="str">
        <f t="shared" si="3"/>
        <v>#N/A</v>
      </c>
      <c r="E172" s="161" t="str">
        <f t="shared" si="4"/>
        <v>#N/A</v>
      </c>
      <c r="F172" s="153" t="str">
        <f t="shared" si="17"/>
        <v>#N/A</v>
      </c>
      <c r="G172" s="153" t="str">
        <f t="shared" si="6"/>
        <v>#N/A</v>
      </c>
      <c r="H172" s="156" t="str">
        <f t="array" ref="H172">INDEX('Primary - GRADING'!$A$1:$BG997,MATCH($A172,'Primary - GRADING'!$B:$B,0),59)</f>
        <v>#N/A</v>
      </c>
      <c r="I172" s="153" t="str">
        <f t="array" ref="I172">INDEX('Primary - GRADING'!$A$1:$CP997,MATCH($A172,'Primary - GRADING'!$CP:$CP,0),48)</f>
        <v>#N/A</v>
      </c>
      <c r="J172" s="153" t="str">
        <f t="array" ref="J172">INDEX('Primary - GRADING'!$A$1:$CP997,MATCH($A172,'Primary - GRADING'!$CP:$CP,0),49)</f>
        <v>#N/A</v>
      </c>
      <c r="K172" s="153" t="str">
        <f t="array" ref="K172">INDEX('Primary - GRADING'!$A$1:$CP997,MATCH($A172,'Primary - GRADING'!$CP:$CP,0),50)</f>
        <v>#N/A</v>
      </c>
      <c r="L172" s="153" t="str">
        <f t="array" ref="L172">INDEX('Primary - GRADING'!$A$1:$CP997,MATCH($A172,'Primary - GRADING'!$CP:$CP,0),51)</f>
        <v>#N/A</v>
      </c>
      <c r="M172" s="153" t="str">
        <f t="array" ref="M172">INDEX('Primary - GRADING'!$A$1:$CP997,MATCH($A172,'Primary - GRADING'!$CP:$CP,0),52)</f>
        <v>#N/A</v>
      </c>
      <c r="N172" s="153" t="str">
        <f t="array" ref="N172">INDEX('Primary - GRADING'!$A$1:$CP997,MATCH($A172,'Primary - GRADING'!$CP:$CP,0),53)</f>
        <v>#N/A</v>
      </c>
      <c r="O172" s="153" t="str">
        <f t="array" ref="O172">INDEX('Primary - GRADING'!$A$1:$CP997,MATCH($A172,'Primary - GRADING'!$CP:$CP,0),58)</f>
        <v>#N/A</v>
      </c>
      <c r="P172" s="153" t="str">
        <f t="array" ref="P172">INDEX('Primary - GRADING'!$A$1:$CP997,MATCH($A172,'Primary - GRADING'!$CP:$CP,0),5)</f>
        <v>#N/A</v>
      </c>
      <c r="Q172" s="153" t="str">
        <f t="array" ref="Q172">INDEX('Primary - GRADING'!$A$1:$CP997,MATCH($A172,'Primary - GRADING'!$CP:$CP,0),6)</f>
        <v>#N/A</v>
      </c>
      <c r="R172" s="153" t="str">
        <f t="array" ref="R172">INDEX('Primary - GRADING'!$A$1:$CP997,MATCH($A172,'Primary - GRADING'!$CP:$CP,0),7)</f>
        <v>#N/A</v>
      </c>
      <c r="S172" s="153" t="str">
        <f t="array" ref="S172">INDEX('Primary - GRADING'!$A$1:$CP997,MATCH($A172,'Primary - GRADING'!$CP:$CP,0),8)</f>
        <v>#N/A</v>
      </c>
      <c r="T172" s="153" t="str">
        <f t="array" ref="T172">INDEX('Primary - GRADING'!$A$1:$CP997,MATCH($A172,'Primary - GRADING'!$CP:$CP,0),9)</f>
        <v>#N/A</v>
      </c>
      <c r="U172" s="153" t="str">
        <f t="array" ref="U172">INDEX('Primary - GRADING'!$A$1:$CP997,MATCH($A172,'Primary - GRADING'!$CP:$CP,0),10)</f>
        <v>#N/A</v>
      </c>
      <c r="V172" s="153" t="str">
        <f t="array" ref="V172">INDEX('Primary - GRADING'!$A$1:$CP997,MATCH($A172,'Primary - GRADING'!$CP:$CP,0),18)</f>
        <v>#N/A</v>
      </c>
      <c r="W172" s="153" t="str">
        <f t="array" ref="W172">INDEX('Primary - GRADING'!$A$1:$CP997,MATCH($A172,'Primary - GRADING'!$CP:$CP,0),20)</f>
        <v>#N/A</v>
      </c>
      <c r="X172" s="153" t="str">
        <f t="array" ref="X172">INDEX('Primary - GRADING'!$A$1:$CP997,MATCH($A172,'Primary - GRADING'!$CP:$CP,0),21)</f>
        <v>#N/A</v>
      </c>
      <c r="Y172" s="153" t="str">
        <f t="array" ref="Y172">INDEX('Primary - GRADING'!$A$1:$CP997,MATCH($A172,'Primary - GRADING'!$CP:$CP,0),22)</f>
        <v>#N/A</v>
      </c>
      <c r="Z172" s="165" t="str">
        <f t="array" ref="Z172">INDEX('Primary - GRADING'!$A$1:$CP997,MATCH($A172,'Primary - GRADING'!$CP:$CP,0),23)</f>
        <v>#N/A</v>
      </c>
      <c r="AA172" s="153" t="str">
        <f t="array" ref="AA172">INDEX('Primary - GRADING'!$A$1:$CP997,MATCH($A172,'Primary - GRADING'!$CP:$CP,0),24)</f>
        <v>#N/A</v>
      </c>
      <c r="AB172" s="153" t="str">
        <f t="array" ref="AB172">INDEX('Primary - GRADING'!$A$1:$CP997,MATCH($A172,'Primary - GRADING'!$CP:$CP,0),25)</f>
        <v>#N/A</v>
      </c>
      <c r="AC172" s="153" t="str">
        <f t="array" ref="AC172">INDEX('Primary - GRADING'!$A$1:$CP997,MATCH($A172,'Primary - GRADING'!$CP:$CP,0),46)</f>
        <v>#N/A</v>
      </c>
      <c r="AG172" s="153" t="str">
        <f t="shared" si="7"/>
        <v>#N/A</v>
      </c>
      <c r="AI172" s="153" t="str">
        <f>VLOOKUP(AH172,'Primary - GRADING'!$A$4:$C997,2,)</f>
        <v>#N/A</v>
      </c>
      <c r="AJ172" s="153" t="str">
        <f>VLOOKUP(AH172,'Primary - GRADING'!$A$4:$C997,3,)</f>
        <v>#N/A</v>
      </c>
      <c r="AK172" s="153" t="str">
        <f>VLOOKUP(AH172,'Primary - GRADING'!$A$4:$BG997,59,)</f>
        <v>#N/A</v>
      </c>
      <c r="AL172" s="153" t="str">
        <f>IFS(AK172="NMA",VLOOKUP(AH172,'Primary - GRADING'!$A$4:$BG997,51,),AK172="DIRECT",VLOOKUP(AH172,'Primary - GRADING'!$A$4:$BG997,8,),AK172="INDIRECT",VLOOKUP(AH172,'Primary - GRADING'!$A$4:$BG997,23,))</f>
        <v>#N/A</v>
      </c>
      <c r="AM172" s="153" t="str">
        <f>IFS(AK172="NMA",VLOOKUP(AH172,'Primary - GRADING'!$A$4:$BG997,52,),AK172="DIRECT",VLOOKUP(AH172,'Primary - GRADING'!$A$4:$BG997,9,),AK172="INDIRECT",VLOOKUP(AH172,'Primary - GRADING'!$A$4:$BG997,24,))</f>
        <v>#N/A</v>
      </c>
      <c r="AN172" s="153" t="str">
        <f>IFS(AK172="NMA",VLOOKUP(AH172,'Primary - GRADING'!$A$4:$BG997,53,),AK172="DIRECT",VLOOKUP(AH172,'Primary - GRADING'!$A$4:$BG997,10,),AK172="INDIRECT",VLOOKUP(AH172,'Primary - GRADING'!$A$4:$BG997,25,))</f>
        <v>#N/A</v>
      </c>
      <c r="AO172" s="153" t="str">
        <f t="shared" si="8"/>
        <v>#N/A</v>
      </c>
      <c r="AT172" s="153" t="str">
        <f t="shared" si="9"/>
        <v>#N/A</v>
      </c>
      <c r="AV172" s="153" t="str">
        <f>VLOOKUP(AU172,'Primary - GRADING'!$A$4:$C997,2,)</f>
        <v>#N/A</v>
      </c>
      <c r="AW172" s="153" t="str">
        <f>VLOOKUP(AU172,'Primary - GRADING'!$A$4:$C997,3,)</f>
        <v>#N/A</v>
      </c>
      <c r="AX172" s="153" t="str">
        <f>VLOOKUP(AU172,'Primary - GRADING'!$A$4:$BG997,59,)</f>
        <v>#N/A</v>
      </c>
      <c r="AY172" s="153" t="str">
        <f>IFS(AX172="NMA",VLOOKUP(AU172,'Primary - GRADING'!$A$4:$BG997,51,),AX172="DIRECT",VLOOKUP(AU172,'Primary - GRADING'!$A$4:$BG997,8,),AX172="INDIRECT",VLOOKUP(AU172,'Primary - GRADING'!$A$4:$BG997,23,))</f>
        <v>#N/A</v>
      </c>
      <c r="AZ172" s="153" t="str">
        <f>IFS(AX172="NMA",VLOOKUP(AU172,'Primary - GRADING'!$A$4:$BG997,52,),AX172="DIRECT",VLOOKUP(AU172,'Primary - GRADING'!$A$4:$BG997,9,),AX172="INDIRECT",VLOOKUP(AU172,'Primary - GRADING'!$A$4:$BG997,24,))</f>
        <v>#N/A</v>
      </c>
      <c r="BA172" s="153" t="str">
        <f>IFS(AX172="NMA",VLOOKUP(AU172,'Primary - GRADING'!$A$4:$BG997,53,),AX172="DIRECT",VLOOKUP(AU172,'Primary - GRADING'!$A$4:$BG997,10,),AX172="INDIRECT",VLOOKUP(AU172,'Primary - GRADING'!$A$4:$BG997,25,))</f>
        <v>#N/A</v>
      </c>
      <c r="BB172" s="153" t="str">
        <f t="shared" si="10"/>
        <v>#N/A</v>
      </c>
      <c r="BE172" s="153" t="str">
        <f t="shared" si="11"/>
        <v/>
      </c>
      <c r="BG172" s="153" t="str">
        <f t="shared" si="12"/>
        <v>#N/A</v>
      </c>
      <c r="BI172" s="153" t="str">
        <f t="shared" si="13"/>
        <v>#N/A</v>
      </c>
      <c r="BK172" s="153" t="str">
        <f t="shared" si="14"/>
        <v>#N/A</v>
      </c>
      <c r="BM172" s="153" t="str">
        <f t="shared" si="15"/>
        <v>#N/A</v>
      </c>
    </row>
    <row r="173" ht="15.75" customHeight="1">
      <c r="B173" s="160" t="str">
        <f t="shared" si="1"/>
        <v>#N/A</v>
      </c>
      <c r="C173" s="160" t="str">
        <f t="shared" si="2"/>
        <v>#N/A</v>
      </c>
      <c r="D173" s="160" t="str">
        <f t="shared" si="3"/>
        <v>#N/A</v>
      </c>
      <c r="E173" s="161" t="str">
        <f t="shared" si="4"/>
        <v>#N/A</v>
      </c>
      <c r="F173" s="153" t="str">
        <f t="shared" si="17"/>
        <v>#N/A</v>
      </c>
      <c r="G173" s="153" t="str">
        <f t="shared" si="6"/>
        <v>#N/A</v>
      </c>
      <c r="H173" s="156" t="str">
        <f t="array" ref="H173">INDEX('Primary - GRADING'!$A$1:$BG997,MATCH($A173,'Primary - GRADING'!$B:$B,0),59)</f>
        <v>#N/A</v>
      </c>
      <c r="I173" s="153" t="str">
        <f t="array" ref="I173">INDEX('Primary - GRADING'!$A$1:$CP997,MATCH($A173,'Primary - GRADING'!$CP:$CP,0),48)</f>
        <v>#N/A</v>
      </c>
      <c r="J173" s="153" t="str">
        <f t="array" ref="J173">INDEX('Primary - GRADING'!$A$1:$CP997,MATCH($A173,'Primary - GRADING'!$CP:$CP,0),49)</f>
        <v>#N/A</v>
      </c>
      <c r="K173" s="153" t="str">
        <f t="array" ref="K173">INDEX('Primary - GRADING'!$A$1:$CP997,MATCH($A173,'Primary - GRADING'!$CP:$CP,0),50)</f>
        <v>#N/A</v>
      </c>
      <c r="L173" s="153" t="str">
        <f t="array" ref="L173">INDEX('Primary - GRADING'!$A$1:$CP997,MATCH($A173,'Primary - GRADING'!$CP:$CP,0),51)</f>
        <v>#N/A</v>
      </c>
      <c r="M173" s="153" t="str">
        <f t="array" ref="M173">INDEX('Primary - GRADING'!$A$1:$CP997,MATCH($A173,'Primary - GRADING'!$CP:$CP,0),52)</f>
        <v>#N/A</v>
      </c>
      <c r="N173" s="153" t="str">
        <f t="array" ref="N173">INDEX('Primary - GRADING'!$A$1:$CP997,MATCH($A173,'Primary - GRADING'!$CP:$CP,0),53)</f>
        <v>#N/A</v>
      </c>
      <c r="O173" s="153" t="str">
        <f t="array" ref="O173">INDEX('Primary - GRADING'!$A$1:$CP997,MATCH($A173,'Primary - GRADING'!$CP:$CP,0),58)</f>
        <v>#N/A</v>
      </c>
      <c r="P173" s="153" t="str">
        <f t="array" ref="P173">INDEX('Primary - GRADING'!$A$1:$CP997,MATCH($A173,'Primary - GRADING'!$CP:$CP,0),5)</f>
        <v>#N/A</v>
      </c>
      <c r="Q173" s="153" t="str">
        <f t="array" ref="Q173">INDEX('Primary - GRADING'!$A$1:$CP997,MATCH($A173,'Primary - GRADING'!$CP:$CP,0),6)</f>
        <v>#N/A</v>
      </c>
      <c r="R173" s="153" t="str">
        <f t="array" ref="R173">INDEX('Primary - GRADING'!$A$1:$CP997,MATCH($A173,'Primary - GRADING'!$CP:$CP,0),7)</f>
        <v>#N/A</v>
      </c>
      <c r="S173" s="153" t="str">
        <f t="array" ref="S173">INDEX('Primary - GRADING'!$A$1:$CP997,MATCH($A173,'Primary - GRADING'!$CP:$CP,0),8)</f>
        <v>#N/A</v>
      </c>
      <c r="T173" s="153" t="str">
        <f t="array" ref="T173">INDEX('Primary - GRADING'!$A$1:$CP997,MATCH($A173,'Primary - GRADING'!$CP:$CP,0),9)</f>
        <v>#N/A</v>
      </c>
      <c r="U173" s="153" t="str">
        <f t="array" ref="U173">INDEX('Primary - GRADING'!$A$1:$CP997,MATCH($A173,'Primary - GRADING'!$CP:$CP,0),10)</f>
        <v>#N/A</v>
      </c>
      <c r="V173" s="153" t="str">
        <f t="array" ref="V173">INDEX('Primary - GRADING'!$A$1:$CP997,MATCH($A173,'Primary - GRADING'!$CP:$CP,0),18)</f>
        <v>#N/A</v>
      </c>
      <c r="W173" s="153" t="str">
        <f t="array" ref="W173">INDEX('Primary - GRADING'!$A$1:$CP997,MATCH($A173,'Primary - GRADING'!$CP:$CP,0),20)</f>
        <v>#N/A</v>
      </c>
      <c r="X173" s="153" t="str">
        <f t="array" ref="X173">INDEX('Primary - GRADING'!$A$1:$CP997,MATCH($A173,'Primary - GRADING'!$CP:$CP,0),21)</f>
        <v>#N/A</v>
      </c>
      <c r="Y173" s="153" t="str">
        <f t="array" ref="Y173">INDEX('Primary - GRADING'!$A$1:$CP997,MATCH($A173,'Primary - GRADING'!$CP:$CP,0),22)</f>
        <v>#N/A</v>
      </c>
      <c r="Z173" s="165" t="str">
        <f t="array" ref="Z173">INDEX('Primary - GRADING'!$A$1:$CP997,MATCH($A173,'Primary - GRADING'!$CP:$CP,0),23)</f>
        <v>#N/A</v>
      </c>
      <c r="AA173" s="153" t="str">
        <f t="array" ref="AA173">INDEX('Primary - GRADING'!$A$1:$CP997,MATCH($A173,'Primary - GRADING'!$CP:$CP,0),24)</f>
        <v>#N/A</v>
      </c>
      <c r="AB173" s="153" t="str">
        <f t="array" ref="AB173">INDEX('Primary - GRADING'!$A$1:$CP997,MATCH($A173,'Primary - GRADING'!$CP:$CP,0),25)</f>
        <v>#N/A</v>
      </c>
      <c r="AC173" s="153" t="str">
        <f t="array" ref="AC173">INDEX('Primary - GRADING'!$A$1:$CP997,MATCH($A173,'Primary - GRADING'!$CP:$CP,0),46)</f>
        <v>#N/A</v>
      </c>
      <c r="AG173" s="153" t="str">
        <f t="shared" si="7"/>
        <v>#N/A</v>
      </c>
      <c r="AI173" s="153" t="str">
        <f>VLOOKUP(AH173,'Primary - GRADING'!$A$4:$C997,2,)</f>
        <v>#N/A</v>
      </c>
      <c r="AJ173" s="153" t="str">
        <f>VLOOKUP(AH173,'Primary - GRADING'!$A$4:$C997,3,)</f>
        <v>#N/A</v>
      </c>
      <c r="AK173" s="153" t="str">
        <f>VLOOKUP(AH173,'Primary - GRADING'!$A$4:$BG997,59,)</f>
        <v>#N/A</v>
      </c>
      <c r="AL173" s="153" t="str">
        <f>IFS(AK173="NMA",VLOOKUP(AH173,'Primary - GRADING'!$A$4:$BG997,51,),AK173="DIRECT",VLOOKUP(AH173,'Primary - GRADING'!$A$4:$BG997,8,),AK173="INDIRECT",VLOOKUP(AH173,'Primary - GRADING'!$A$4:$BG997,23,))</f>
        <v>#N/A</v>
      </c>
      <c r="AM173" s="153" t="str">
        <f>IFS(AK173="NMA",VLOOKUP(AH173,'Primary - GRADING'!$A$4:$BG997,52,),AK173="DIRECT",VLOOKUP(AH173,'Primary - GRADING'!$A$4:$BG997,9,),AK173="INDIRECT",VLOOKUP(AH173,'Primary - GRADING'!$A$4:$BG997,24,))</f>
        <v>#N/A</v>
      </c>
      <c r="AN173" s="153" t="str">
        <f>IFS(AK173="NMA",VLOOKUP(AH173,'Primary - GRADING'!$A$4:$BG997,53,),AK173="DIRECT",VLOOKUP(AH173,'Primary - GRADING'!$A$4:$BG997,10,),AK173="INDIRECT",VLOOKUP(AH173,'Primary - GRADING'!$A$4:$BG997,25,))</f>
        <v>#N/A</v>
      </c>
      <c r="AO173" s="153" t="str">
        <f t="shared" si="8"/>
        <v>#N/A</v>
      </c>
      <c r="AT173" s="153" t="str">
        <f t="shared" si="9"/>
        <v>#N/A</v>
      </c>
      <c r="AV173" s="153" t="str">
        <f>VLOOKUP(AU173,'Primary - GRADING'!$A$4:$C997,2,)</f>
        <v>#N/A</v>
      </c>
      <c r="AW173" s="153" t="str">
        <f>VLOOKUP(AU173,'Primary - GRADING'!$A$4:$C997,3,)</f>
        <v>#N/A</v>
      </c>
      <c r="AX173" s="153" t="str">
        <f>VLOOKUP(AU173,'Primary - GRADING'!$A$4:$BG997,59,)</f>
        <v>#N/A</v>
      </c>
      <c r="AY173" s="153" t="str">
        <f>IFS(AX173="NMA",VLOOKUP(AU173,'Primary - GRADING'!$A$4:$BG997,51,),AX173="DIRECT",VLOOKUP(AU173,'Primary - GRADING'!$A$4:$BG997,8,),AX173="INDIRECT",VLOOKUP(AU173,'Primary - GRADING'!$A$4:$BG997,23,))</f>
        <v>#N/A</v>
      </c>
      <c r="AZ173" s="153" t="str">
        <f>IFS(AX173="NMA",VLOOKUP(AU173,'Primary - GRADING'!$A$4:$BG997,52,),AX173="DIRECT",VLOOKUP(AU173,'Primary - GRADING'!$A$4:$BG997,9,),AX173="INDIRECT",VLOOKUP(AU173,'Primary - GRADING'!$A$4:$BG997,24,))</f>
        <v>#N/A</v>
      </c>
      <c r="BA173" s="153" t="str">
        <f>IFS(AX173="NMA",VLOOKUP(AU173,'Primary - GRADING'!$A$4:$BG997,53,),AX173="DIRECT",VLOOKUP(AU173,'Primary - GRADING'!$A$4:$BG997,10,),AX173="INDIRECT",VLOOKUP(AU173,'Primary - GRADING'!$A$4:$BG997,25,))</f>
        <v>#N/A</v>
      </c>
      <c r="BB173" s="153" t="str">
        <f t="shared" si="10"/>
        <v>#N/A</v>
      </c>
      <c r="BE173" s="153" t="str">
        <f t="shared" si="11"/>
        <v/>
      </c>
      <c r="BG173" s="153" t="str">
        <f t="shared" si="12"/>
        <v>#N/A</v>
      </c>
      <c r="BI173" s="153" t="str">
        <f t="shared" si="13"/>
        <v>#N/A</v>
      </c>
      <c r="BK173" s="153" t="str">
        <f t="shared" si="14"/>
        <v>#N/A</v>
      </c>
      <c r="BM173" s="153" t="str">
        <f t="shared" si="15"/>
        <v>#N/A</v>
      </c>
    </row>
    <row r="174" ht="15.75" customHeight="1">
      <c r="B174" s="160" t="str">
        <f t="shared" si="1"/>
        <v>#N/A</v>
      </c>
      <c r="C174" s="160" t="str">
        <f t="shared" si="2"/>
        <v>#N/A</v>
      </c>
      <c r="D174" s="160" t="str">
        <f t="shared" si="3"/>
        <v>#N/A</v>
      </c>
      <c r="E174" s="161" t="str">
        <f t="shared" si="4"/>
        <v>#N/A</v>
      </c>
      <c r="F174" s="153" t="str">
        <f t="shared" si="17"/>
        <v>#N/A</v>
      </c>
      <c r="G174" s="153" t="str">
        <f t="shared" si="6"/>
        <v>#N/A</v>
      </c>
      <c r="H174" s="156" t="str">
        <f t="array" ref="H174">INDEX('Primary - GRADING'!$A$1:$BG997,MATCH($A174,'Primary - GRADING'!$B:$B,0),59)</f>
        <v>#N/A</v>
      </c>
      <c r="I174" s="153" t="str">
        <f t="array" ref="I174">INDEX('Primary - GRADING'!$A$1:$CP997,MATCH($A174,'Primary - GRADING'!$CP:$CP,0),48)</f>
        <v>#N/A</v>
      </c>
      <c r="J174" s="153" t="str">
        <f t="array" ref="J174">INDEX('Primary - GRADING'!$A$1:$CP997,MATCH($A174,'Primary - GRADING'!$CP:$CP,0),49)</f>
        <v>#N/A</v>
      </c>
      <c r="K174" s="153" t="str">
        <f t="array" ref="K174">INDEX('Primary - GRADING'!$A$1:$CP997,MATCH($A174,'Primary - GRADING'!$CP:$CP,0),50)</f>
        <v>#N/A</v>
      </c>
      <c r="L174" s="153" t="str">
        <f t="array" ref="L174">INDEX('Primary - GRADING'!$A$1:$CP997,MATCH($A174,'Primary - GRADING'!$CP:$CP,0),51)</f>
        <v>#N/A</v>
      </c>
      <c r="M174" s="153" t="str">
        <f t="array" ref="M174">INDEX('Primary - GRADING'!$A$1:$CP997,MATCH($A174,'Primary - GRADING'!$CP:$CP,0),52)</f>
        <v>#N/A</v>
      </c>
      <c r="N174" s="153" t="str">
        <f t="array" ref="N174">INDEX('Primary - GRADING'!$A$1:$CP997,MATCH($A174,'Primary - GRADING'!$CP:$CP,0),53)</f>
        <v>#N/A</v>
      </c>
      <c r="O174" s="153" t="str">
        <f t="array" ref="O174">INDEX('Primary - GRADING'!$A$1:$CP997,MATCH($A174,'Primary - GRADING'!$CP:$CP,0),58)</f>
        <v>#N/A</v>
      </c>
      <c r="P174" s="153" t="str">
        <f t="array" ref="P174">INDEX('Primary - GRADING'!$A$1:$CP997,MATCH($A174,'Primary - GRADING'!$CP:$CP,0),5)</f>
        <v>#N/A</v>
      </c>
      <c r="Q174" s="153" t="str">
        <f t="array" ref="Q174">INDEX('Primary - GRADING'!$A$1:$CP997,MATCH($A174,'Primary - GRADING'!$CP:$CP,0),6)</f>
        <v>#N/A</v>
      </c>
      <c r="R174" s="153" t="str">
        <f t="array" ref="R174">INDEX('Primary - GRADING'!$A$1:$CP997,MATCH($A174,'Primary - GRADING'!$CP:$CP,0),7)</f>
        <v>#N/A</v>
      </c>
      <c r="S174" s="153" t="str">
        <f t="array" ref="S174">INDEX('Primary - GRADING'!$A$1:$CP997,MATCH($A174,'Primary - GRADING'!$CP:$CP,0),8)</f>
        <v>#N/A</v>
      </c>
      <c r="T174" s="153" t="str">
        <f t="array" ref="T174">INDEX('Primary - GRADING'!$A$1:$CP997,MATCH($A174,'Primary - GRADING'!$CP:$CP,0),9)</f>
        <v>#N/A</v>
      </c>
      <c r="U174" s="153" t="str">
        <f t="array" ref="U174">INDEX('Primary - GRADING'!$A$1:$CP997,MATCH($A174,'Primary - GRADING'!$CP:$CP,0),10)</f>
        <v>#N/A</v>
      </c>
      <c r="V174" s="153" t="str">
        <f t="array" ref="V174">INDEX('Primary - GRADING'!$A$1:$CP997,MATCH($A174,'Primary - GRADING'!$CP:$CP,0),18)</f>
        <v>#N/A</v>
      </c>
      <c r="W174" s="153" t="str">
        <f t="array" ref="W174">INDEX('Primary - GRADING'!$A$1:$CP997,MATCH($A174,'Primary - GRADING'!$CP:$CP,0),20)</f>
        <v>#N/A</v>
      </c>
      <c r="X174" s="153" t="str">
        <f t="array" ref="X174">INDEX('Primary - GRADING'!$A$1:$CP997,MATCH($A174,'Primary - GRADING'!$CP:$CP,0),21)</f>
        <v>#N/A</v>
      </c>
      <c r="Y174" s="153" t="str">
        <f t="array" ref="Y174">INDEX('Primary - GRADING'!$A$1:$CP997,MATCH($A174,'Primary - GRADING'!$CP:$CP,0),22)</f>
        <v>#N/A</v>
      </c>
      <c r="Z174" s="165" t="str">
        <f t="array" ref="Z174">INDEX('Primary - GRADING'!$A$1:$CP997,MATCH($A174,'Primary - GRADING'!$CP:$CP,0),23)</f>
        <v>#N/A</v>
      </c>
      <c r="AA174" s="153" t="str">
        <f t="array" ref="AA174">INDEX('Primary - GRADING'!$A$1:$CP997,MATCH($A174,'Primary - GRADING'!$CP:$CP,0),24)</f>
        <v>#N/A</v>
      </c>
      <c r="AB174" s="153" t="str">
        <f t="array" ref="AB174">INDEX('Primary - GRADING'!$A$1:$CP997,MATCH($A174,'Primary - GRADING'!$CP:$CP,0),25)</f>
        <v>#N/A</v>
      </c>
      <c r="AC174" s="153" t="str">
        <f t="array" ref="AC174">INDEX('Primary - GRADING'!$A$1:$CP997,MATCH($A174,'Primary - GRADING'!$CP:$CP,0),46)</f>
        <v>#N/A</v>
      </c>
      <c r="AG174" s="153" t="str">
        <f t="shared" si="7"/>
        <v>#N/A</v>
      </c>
      <c r="AI174" s="153" t="str">
        <f>VLOOKUP(AH174,'Primary - GRADING'!$A$4:$C997,2,)</f>
        <v>#N/A</v>
      </c>
      <c r="AJ174" s="153" t="str">
        <f>VLOOKUP(AH174,'Primary - GRADING'!$A$4:$C997,3,)</f>
        <v>#N/A</v>
      </c>
      <c r="AK174" s="153" t="str">
        <f>VLOOKUP(AH174,'Primary - GRADING'!$A$4:$BG997,59,)</f>
        <v>#N/A</v>
      </c>
      <c r="AL174" s="153" t="str">
        <f>IFS(AK174="NMA",VLOOKUP(AH174,'Primary - GRADING'!$A$4:$BG997,51,),AK174="DIRECT",VLOOKUP(AH174,'Primary - GRADING'!$A$4:$BG997,8,),AK174="INDIRECT",VLOOKUP(AH174,'Primary - GRADING'!$A$4:$BG997,23,))</f>
        <v>#N/A</v>
      </c>
      <c r="AM174" s="153" t="str">
        <f>IFS(AK174="NMA",VLOOKUP(AH174,'Primary - GRADING'!$A$4:$BG997,52,),AK174="DIRECT",VLOOKUP(AH174,'Primary - GRADING'!$A$4:$BG997,9,),AK174="INDIRECT",VLOOKUP(AH174,'Primary - GRADING'!$A$4:$BG997,24,))</f>
        <v>#N/A</v>
      </c>
      <c r="AN174" s="153" t="str">
        <f>IFS(AK174="NMA",VLOOKUP(AH174,'Primary - GRADING'!$A$4:$BG997,53,),AK174="DIRECT",VLOOKUP(AH174,'Primary - GRADING'!$A$4:$BG997,10,),AK174="INDIRECT",VLOOKUP(AH174,'Primary - GRADING'!$A$4:$BG997,25,))</f>
        <v>#N/A</v>
      </c>
      <c r="AO174" s="153" t="str">
        <f t="shared" si="8"/>
        <v>#N/A</v>
      </c>
      <c r="AT174" s="153" t="str">
        <f t="shared" si="9"/>
        <v>#N/A</v>
      </c>
      <c r="AV174" s="153" t="str">
        <f>VLOOKUP(AU174,'Primary - GRADING'!$A$4:$C997,2,)</f>
        <v>#N/A</v>
      </c>
      <c r="AW174" s="153" t="str">
        <f>VLOOKUP(AU174,'Primary - GRADING'!$A$4:$C997,3,)</f>
        <v>#N/A</v>
      </c>
      <c r="AX174" s="153" t="str">
        <f>VLOOKUP(AU174,'Primary - GRADING'!$A$4:$BG997,59,)</f>
        <v>#N/A</v>
      </c>
      <c r="AY174" s="153" t="str">
        <f>IFS(AX174="NMA",VLOOKUP(AU174,'Primary - GRADING'!$A$4:$BG997,51,),AX174="DIRECT",VLOOKUP(AU174,'Primary - GRADING'!$A$4:$BG997,8,),AX174="INDIRECT",VLOOKUP(AU174,'Primary - GRADING'!$A$4:$BG997,23,))</f>
        <v>#N/A</v>
      </c>
      <c r="AZ174" s="153" t="str">
        <f>IFS(AX174="NMA",VLOOKUP(AU174,'Primary - GRADING'!$A$4:$BG997,52,),AX174="DIRECT",VLOOKUP(AU174,'Primary - GRADING'!$A$4:$BG997,9,),AX174="INDIRECT",VLOOKUP(AU174,'Primary - GRADING'!$A$4:$BG997,24,))</f>
        <v>#N/A</v>
      </c>
      <c r="BA174" s="153" t="str">
        <f>IFS(AX174="NMA",VLOOKUP(AU174,'Primary - GRADING'!$A$4:$BG997,53,),AX174="DIRECT",VLOOKUP(AU174,'Primary - GRADING'!$A$4:$BG997,10,),AX174="INDIRECT",VLOOKUP(AU174,'Primary - GRADING'!$A$4:$BG997,25,))</f>
        <v>#N/A</v>
      </c>
      <c r="BB174" s="153" t="str">
        <f t="shared" si="10"/>
        <v>#N/A</v>
      </c>
      <c r="BE174" s="153" t="str">
        <f t="shared" si="11"/>
        <v/>
      </c>
      <c r="BG174" s="153" t="str">
        <f t="shared" si="12"/>
        <v>#N/A</v>
      </c>
      <c r="BI174" s="153" t="str">
        <f t="shared" si="13"/>
        <v>#N/A</v>
      </c>
      <c r="BK174" s="153" t="str">
        <f t="shared" si="14"/>
        <v>#N/A</v>
      </c>
      <c r="BM174" s="153" t="str">
        <f t="shared" si="15"/>
        <v>#N/A</v>
      </c>
    </row>
    <row r="175" ht="15.75" customHeight="1">
      <c r="B175" s="160" t="str">
        <f t="shared" si="1"/>
        <v>#N/A</v>
      </c>
      <c r="C175" s="160" t="str">
        <f t="shared" si="2"/>
        <v>#N/A</v>
      </c>
      <c r="D175" s="160" t="str">
        <f t="shared" si="3"/>
        <v>#N/A</v>
      </c>
      <c r="E175" s="161" t="str">
        <f t="shared" si="4"/>
        <v>#N/A</v>
      </c>
      <c r="F175" s="153" t="str">
        <f t="shared" si="17"/>
        <v>#N/A</v>
      </c>
      <c r="G175" s="153" t="str">
        <f t="shared" si="6"/>
        <v>#N/A</v>
      </c>
      <c r="H175" s="156" t="str">
        <f t="array" ref="H175">INDEX('Primary - GRADING'!$A$1:$BG997,MATCH($A175,'Primary - GRADING'!$B:$B,0),59)</f>
        <v>#N/A</v>
      </c>
      <c r="I175" s="153" t="str">
        <f t="array" ref="I175">INDEX('Primary - GRADING'!$A$1:$CP997,MATCH($A175,'Primary - GRADING'!$CP:$CP,0),48)</f>
        <v>#N/A</v>
      </c>
      <c r="J175" s="153" t="str">
        <f t="array" ref="J175">INDEX('Primary - GRADING'!$A$1:$CP997,MATCH($A175,'Primary - GRADING'!$CP:$CP,0),49)</f>
        <v>#N/A</v>
      </c>
      <c r="K175" s="153" t="str">
        <f t="array" ref="K175">INDEX('Primary - GRADING'!$A$1:$CP997,MATCH($A175,'Primary - GRADING'!$CP:$CP,0),50)</f>
        <v>#N/A</v>
      </c>
      <c r="L175" s="153" t="str">
        <f t="array" ref="L175">INDEX('Primary - GRADING'!$A$1:$CP997,MATCH($A175,'Primary - GRADING'!$CP:$CP,0),51)</f>
        <v>#N/A</v>
      </c>
      <c r="M175" s="153" t="str">
        <f t="array" ref="M175">INDEX('Primary - GRADING'!$A$1:$CP997,MATCH($A175,'Primary - GRADING'!$CP:$CP,0),52)</f>
        <v>#N/A</v>
      </c>
      <c r="N175" s="153" t="str">
        <f t="array" ref="N175">INDEX('Primary - GRADING'!$A$1:$CP997,MATCH($A175,'Primary - GRADING'!$CP:$CP,0),53)</f>
        <v>#N/A</v>
      </c>
      <c r="O175" s="153" t="str">
        <f t="array" ref="O175">INDEX('Primary - GRADING'!$A$1:$CP997,MATCH($A175,'Primary - GRADING'!$CP:$CP,0),58)</f>
        <v>#N/A</v>
      </c>
      <c r="P175" s="153" t="str">
        <f t="array" ref="P175">INDEX('Primary - GRADING'!$A$1:$CP997,MATCH($A175,'Primary - GRADING'!$CP:$CP,0),5)</f>
        <v>#N/A</v>
      </c>
      <c r="Q175" s="153" t="str">
        <f t="array" ref="Q175">INDEX('Primary - GRADING'!$A$1:$CP997,MATCH($A175,'Primary - GRADING'!$CP:$CP,0),6)</f>
        <v>#N/A</v>
      </c>
      <c r="R175" s="153" t="str">
        <f t="array" ref="R175">INDEX('Primary - GRADING'!$A$1:$CP997,MATCH($A175,'Primary - GRADING'!$CP:$CP,0),7)</f>
        <v>#N/A</v>
      </c>
      <c r="S175" s="153" t="str">
        <f t="array" ref="S175">INDEX('Primary - GRADING'!$A$1:$CP997,MATCH($A175,'Primary - GRADING'!$CP:$CP,0),8)</f>
        <v>#N/A</v>
      </c>
      <c r="T175" s="153" t="str">
        <f t="array" ref="T175">INDEX('Primary - GRADING'!$A$1:$CP997,MATCH($A175,'Primary - GRADING'!$CP:$CP,0),9)</f>
        <v>#N/A</v>
      </c>
      <c r="U175" s="153" t="str">
        <f t="array" ref="U175">INDEX('Primary - GRADING'!$A$1:$CP997,MATCH($A175,'Primary - GRADING'!$CP:$CP,0),10)</f>
        <v>#N/A</v>
      </c>
      <c r="V175" s="153" t="str">
        <f t="array" ref="V175">INDEX('Primary - GRADING'!$A$1:$CP997,MATCH($A175,'Primary - GRADING'!$CP:$CP,0),18)</f>
        <v>#N/A</v>
      </c>
      <c r="W175" s="153" t="str">
        <f t="array" ref="W175">INDEX('Primary - GRADING'!$A$1:$CP997,MATCH($A175,'Primary - GRADING'!$CP:$CP,0),20)</f>
        <v>#N/A</v>
      </c>
      <c r="X175" s="153" t="str">
        <f t="array" ref="X175">INDEX('Primary - GRADING'!$A$1:$CP997,MATCH($A175,'Primary - GRADING'!$CP:$CP,0),21)</f>
        <v>#N/A</v>
      </c>
      <c r="Y175" s="153" t="str">
        <f t="array" ref="Y175">INDEX('Primary - GRADING'!$A$1:$CP997,MATCH($A175,'Primary - GRADING'!$CP:$CP,0),22)</f>
        <v>#N/A</v>
      </c>
      <c r="Z175" s="165" t="str">
        <f t="array" ref="Z175">INDEX('Primary - GRADING'!$A$1:$CP997,MATCH($A175,'Primary - GRADING'!$CP:$CP,0),23)</f>
        <v>#N/A</v>
      </c>
      <c r="AA175" s="153" t="str">
        <f t="array" ref="AA175">INDEX('Primary - GRADING'!$A$1:$CP997,MATCH($A175,'Primary - GRADING'!$CP:$CP,0),24)</f>
        <v>#N/A</v>
      </c>
      <c r="AB175" s="153" t="str">
        <f t="array" ref="AB175">INDEX('Primary - GRADING'!$A$1:$CP997,MATCH($A175,'Primary - GRADING'!$CP:$CP,0),25)</f>
        <v>#N/A</v>
      </c>
      <c r="AC175" s="153" t="str">
        <f t="array" ref="AC175">INDEX('Primary - GRADING'!$A$1:$CP997,MATCH($A175,'Primary - GRADING'!$CP:$CP,0),46)</f>
        <v>#N/A</v>
      </c>
      <c r="AG175" s="153" t="str">
        <f t="shared" si="7"/>
        <v>#N/A</v>
      </c>
      <c r="AI175" s="153" t="str">
        <f>VLOOKUP(AH175,'Primary - GRADING'!$A$4:$C997,2,)</f>
        <v>#N/A</v>
      </c>
      <c r="AJ175" s="153" t="str">
        <f>VLOOKUP(AH175,'Primary - GRADING'!$A$4:$C997,3,)</f>
        <v>#N/A</v>
      </c>
      <c r="AK175" s="153" t="str">
        <f>VLOOKUP(AH175,'Primary - GRADING'!$A$4:$BG997,59,)</f>
        <v>#N/A</v>
      </c>
      <c r="AL175" s="153" t="str">
        <f>IFS(AK175="NMA",VLOOKUP(AH175,'Primary - GRADING'!$A$4:$BG997,51,),AK175="DIRECT",VLOOKUP(AH175,'Primary - GRADING'!$A$4:$BG997,8,),AK175="INDIRECT",VLOOKUP(AH175,'Primary - GRADING'!$A$4:$BG997,23,))</f>
        <v>#N/A</v>
      </c>
      <c r="AM175" s="153" t="str">
        <f>IFS(AK175="NMA",VLOOKUP(AH175,'Primary - GRADING'!$A$4:$BG997,52,),AK175="DIRECT",VLOOKUP(AH175,'Primary - GRADING'!$A$4:$BG997,9,),AK175="INDIRECT",VLOOKUP(AH175,'Primary - GRADING'!$A$4:$BG997,24,))</f>
        <v>#N/A</v>
      </c>
      <c r="AN175" s="153" t="str">
        <f>IFS(AK175="NMA",VLOOKUP(AH175,'Primary - GRADING'!$A$4:$BG997,53,),AK175="DIRECT",VLOOKUP(AH175,'Primary - GRADING'!$A$4:$BG997,10,),AK175="INDIRECT",VLOOKUP(AH175,'Primary - GRADING'!$A$4:$BG997,25,))</f>
        <v>#N/A</v>
      </c>
      <c r="AO175" s="153" t="str">
        <f t="shared" si="8"/>
        <v>#N/A</v>
      </c>
      <c r="AT175" s="153" t="str">
        <f t="shared" si="9"/>
        <v>#N/A</v>
      </c>
      <c r="AV175" s="153" t="str">
        <f>VLOOKUP(AU175,'Primary - GRADING'!$A$4:$C997,2,)</f>
        <v>#N/A</v>
      </c>
      <c r="AW175" s="153" t="str">
        <f>VLOOKUP(AU175,'Primary - GRADING'!$A$4:$C997,3,)</f>
        <v>#N/A</v>
      </c>
      <c r="AX175" s="153" t="str">
        <f>VLOOKUP(AU175,'Primary - GRADING'!$A$4:$BG997,59,)</f>
        <v>#N/A</v>
      </c>
      <c r="AY175" s="153" t="str">
        <f>IFS(AX175="NMA",VLOOKUP(AU175,'Primary - GRADING'!$A$4:$BG997,51,),AX175="DIRECT",VLOOKUP(AU175,'Primary - GRADING'!$A$4:$BG997,8,),AX175="INDIRECT",VLOOKUP(AU175,'Primary - GRADING'!$A$4:$BG997,23,))</f>
        <v>#N/A</v>
      </c>
      <c r="AZ175" s="153" t="str">
        <f>IFS(AX175="NMA",VLOOKUP(AU175,'Primary - GRADING'!$A$4:$BG997,52,),AX175="DIRECT",VLOOKUP(AU175,'Primary - GRADING'!$A$4:$BG997,9,),AX175="INDIRECT",VLOOKUP(AU175,'Primary - GRADING'!$A$4:$BG997,24,))</f>
        <v>#N/A</v>
      </c>
      <c r="BA175" s="153" t="str">
        <f>IFS(AX175="NMA",VLOOKUP(AU175,'Primary - GRADING'!$A$4:$BG997,53,),AX175="DIRECT",VLOOKUP(AU175,'Primary - GRADING'!$A$4:$BG997,10,),AX175="INDIRECT",VLOOKUP(AU175,'Primary - GRADING'!$A$4:$BG997,25,))</f>
        <v>#N/A</v>
      </c>
      <c r="BB175" s="153" t="str">
        <f t="shared" si="10"/>
        <v>#N/A</v>
      </c>
      <c r="BE175" s="153" t="str">
        <f t="shared" si="11"/>
        <v/>
      </c>
      <c r="BG175" s="153" t="str">
        <f t="shared" si="12"/>
        <v>#N/A</v>
      </c>
      <c r="BI175" s="153" t="str">
        <f t="shared" si="13"/>
        <v>#N/A</v>
      </c>
      <c r="BK175" s="153" t="str">
        <f t="shared" si="14"/>
        <v>#N/A</v>
      </c>
      <c r="BM175" s="153" t="str">
        <f t="shared" si="15"/>
        <v>#N/A</v>
      </c>
    </row>
    <row r="176" ht="15.75" customHeight="1">
      <c r="B176" s="160" t="str">
        <f t="shared" si="1"/>
        <v>#N/A</v>
      </c>
      <c r="C176" s="160" t="str">
        <f t="shared" si="2"/>
        <v>#N/A</v>
      </c>
      <c r="D176" s="160" t="str">
        <f t="shared" si="3"/>
        <v>#N/A</v>
      </c>
      <c r="E176" s="161" t="str">
        <f t="shared" si="4"/>
        <v>#N/A</v>
      </c>
      <c r="F176" s="153" t="str">
        <f t="shared" si="17"/>
        <v>#N/A</v>
      </c>
      <c r="G176" s="153" t="str">
        <f t="shared" si="6"/>
        <v>#N/A</v>
      </c>
      <c r="H176" s="156" t="str">
        <f t="array" ref="H176">INDEX('Primary - GRADING'!$A$1:$BG997,MATCH($A176,'Primary - GRADING'!$B:$B,0),59)</f>
        <v>#N/A</v>
      </c>
      <c r="I176" s="153" t="str">
        <f t="array" ref="I176">INDEX('Primary - GRADING'!$A$1:$CP997,MATCH($A176,'Primary - GRADING'!$CP:$CP,0),48)</f>
        <v>#N/A</v>
      </c>
      <c r="J176" s="153" t="str">
        <f t="array" ref="J176">INDEX('Primary - GRADING'!$A$1:$CP997,MATCH($A176,'Primary - GRADING'!$CP:$CP,0),49)</f>
        <v>#N/A</v>
      </c>
      <c r="K176" s="153" t="str">
        <f t="array" ref="K176">INDEX('Primary - GRADING'!$A$1:$CP997,MATCH($A176,'Primary - GRADING'!$CP:$CP,0),50)</f>
        <v>#N/A</v>
      </c>
      <c r="L176" s="153" t="str">
        <f t="array" ref="L176">INDEX('Primary - GRADING'!$A$1:$CP997,MATCH($A176,'Primary - GRADING'!$CP:$CP,0),51)</f>
        <v>#N/A</v>
      </c>
      <c r="M176" s="153" t="str">
        <f t="array" ref="M176">INDEX('Primary - GRADING'!$A$1:$CP997,MATCH($A176,'Primary - GRADING'!$CP:$CP,0),52)</f>
        <v>#N/A</v>
      </c>
      <c r="N176" s="153" t="str">
        <f t="array" ref="N176">INDEX('Primary - GRADING'!$A$1:$CP997,MATCH($A176,'Primary - GRADING'!$CP:$CP,0),53)</f>
        <v>#N/A</v>
      </c>
      <c r="O176" s="153" t="str">
        <f t="array" ref="O176">INDEX('Primary - GRADING'!$A$1:$CP997,MATCH($A176,'Primary - GRADING'!$CP:$CP,0),58)</f>
        <v>#N/A</v>
      </c>
      <c r="P176" s="153" t="str">
        <f t="array" ref="P176">INDEX('Primary - GRADING'!$A$1:$CP997,MATCH($A176,'Primary - GRADING'!$CP:$CP,0),5)</f>
        <v>#N/A</v>
      </c>
      <c r="Q176" s="153" t="str">
        <f t="array" ref="Q176">INDEX('Primary - GRADING'!$A$1:$CP997,MATCH($A176,'Primary - GRADING'!$CP:$CP,0),6)</f>
        <v>#N/A</v>
      </c>
      <c r="R176" s="153" t="str">
        <f t="array" ref="R176">INDEX('Primary - GRADING'!$A$1:$CP997,MATCH($A176,'Primary - GRADING'!$CP:$CP,0),7)</f>
        <v>#N/A</v>
      </c>
      <c r="S176" s="153" t="str">
        <f t="array" ref="S176">INDEX('Primary - GRADING'!$A$1:$CP997,MATCH($A176,'Primary - GRADING'!$CP:$CP,0),8)</f>
        <v>#N/A</v>
      </c>
      <c r="T176" s="153" t="str">
        <f t="array" ref="T176">INDEX('Primary - GRADING'!$A$1:$CP997,MATCH($A176,'Primary - GRADING'!$CP:$CP,0),9)</f>
        <v>#N/A</v>
      </c>
      <c r="U176" s="153" t="str">
        <f t="array" ref="U176">INDEX('Primary - GRADING'!$A$1:$CP997,MATCH($A176,'Primary - GRADING'!$CP:$CP,0),10)</f>
        <v>#N/A</v>
      </c>
      <c r="V176" s="153" t="str">
        <f t="array" ref="V176">INDEX('Primary - GRADING'!$A$1:$CP997,MATCH($A176,'Primary - GRADING'!$CP:$CP,0),18)</f>
        <v>#N/A</v>
      </c>
      <c r="W176" s="153" t="str">
        <f t="array" ref="W176">INDEX('Primary - GRADING'!$A$1:$CP997,MATCH($A176,'Primary - GRADING'!$CP:$CP,0),20)</f>
        <v>#N/A</v>
      </c>
      <c r="X176" s="153" t="str">
        <f t="array" ref="X176">INDEX('Primary - GRADING'!$A$1:$CP997,MATCH($A176,'Primary - GRADING'!$CP:$CP,0),21)</f>
        <v>#N/A</v>
      </c>
      <c r="Y176" s="153" t="str">
        <f t="array" ref="Y176">INDEX('Primary - GRADING'!$A$1:$CP997,MATCH($A176,'Primary - GRADING'!$CP:$CP,0),22)</f>
        <v>#N/A</v>
      </c>
      <c r="Z176" s="165" t="str">
        <f t="array" ref="Z176">INDEX('Primary - GRADING'!$A$1:$CP997,MATCH($A176,'Primary - GRADING'!$CP:$CP,0),23)</f>
        <v>#N/A</v>
      </c>
      <c r="AA176" s="153" t="str">
        <f t="array" ref="AA176">INDEX('Primary - GRADING'!$A$1:$CP997,MATCH($A176,'Primary - GRADING'!$CP:$CP,0),24)</f>
        <v>#N/A</v>
      </c>
      <c r="AB176" s="153" t="str">
        <f t="array" ref="AB176">INDEX('Primary - GRADING'!$A$1:$CP997,MATCH($A176,'Primary - GRADING'!$CP:$CP,0),25)</f>
        <v>#N/A</v>
      </c>
      <c r="AC176" s="153" t="str">
        <f t="array" ref="AC176">INDEX('Primary - GRADING'!$A$1:$CP997,MATCH($A176,'Primary - GRADING'!$CP:$CP,0),46)</f>
        <v>#N/A</v>
      </c>
      <c r="AG176" s="153" t="str">
        <f t="shared" si="7"/>
        <v>#N/A</v>
      </c>
      <c r="AI176" s="153" t="str">
        <f>VLOOKUP(AH176,'Primary - GRADING'!$A$4:$C997,2,)</f>
        <v>#N/A</v>
      </c>
      <c r="AJ176" s="153" t="str">
        <f>VLOOKUP(AH176,'Primary - GRADING'!$A$4:$C997,3,)</f>
        <v>#N/A</v>
      </c>
      <c r="AK176" s="153" t="str">
        <f>VLOOKUP(AH176,'Primary - GRADING'!$A$4:$BG997,59,)</f>
        <v>#N/A</v>
      </c>
      <c r="AL176" s="153" t="str">
        <f>IFS(AK176="NMA",VLOOKUP(AH176,'Primary - GRADING'!$A$4:$BG997,51,),AK176="DIRECT",VLOOKUP(AH176,'Primary - GRADING'!$A$4:$BG997,8,),AK176="INDIRECT",VLOOKUP(AH176,'Primary - GRADING'!$A$4:$BG997,23,))</f>
        <v>#N/A</v>
      </c>
      <c r="AM176" s="153" t="str">
        <f>IFS(AK176="NMA",VLOOKUP(AH176,'Primary - GRADING'!$A$4:$BG997,52,),AK176="DIRECT",VLOOKUP(AH176,'Primary - GRADING'!$A$4:$BG997,9,),AK176="INDIRECT",VLOOKUP(AH176,'Primary - GRADING'!$A$4:$BG997,24,))</f>
        <v>#N/A</v>
      </c>
      <c r="AN176" s="153" t="str">
        <f>IFS(AK176="NMA",VLOOKUP(AH176,'Primary - GRADING'!$A$4:$BG997,53,),AK176="DIRECT",VLOOKUP(AH176,'Primary - GRADING'!$A$4:$BG997,10,),AK176="INDIRECT",VLOOKUP(AH176,'Primary - GRADING'!$A$4:$BG997,25,))</f>
        <v>#N/A</v>
      </c>
      <c r="AO176" s="153" t="str">
        <f t="shared" si="8"/>
        <v>#N/A</v>
      </c>
      <c r="AT176" s="153" t="str">
        <f t="shared" si="9"/>
        <v>#N/A</v>
      </c>
      <c r="AV176" s="153" t="str">
        <f>VLOOKUP(AU176,'Primary - GRADING'!$A$4:$C997,2,)</f>
        <v>#N/A</v>
      </c>
      <c r="AW176" s="153" t="str">
        <f>VLOOKUP(AU176,'Primary - GRADING'!$A$4:$C997,3,)</f>
        <v>#N/A</v>
      </c>
      <c r="AX176" s="153" t="str">
        <f>VLOOKUP(AU176,'Primary - GRADING'!$A$4:$BG997,59,)</f>
        <v>#N/A</v>
      </c>
      <c r="AY176" s="153" t="str">
        <f>IFS(AX176="NMA",VLOOKUP(AU176,'Primary - GRADING'!$A$4:$BG997,51,),AX176="DIRECT",VLOOKUP(AU176,'Primary - GRADING'!$A$4:$BG997,8,),AX176="INDIRECT",VLOOKUP(AU176,'Primary - GRADING'!$A$4:$BG997,23,))</f>
        <v>#N/A</v>
      </c>
      <c r="AZ176" s="153" t="str">
        <f>IFS(AX176="NMA",VLOOKUP(AU176,'Primary - GRADING'!$A$4:$BG997,52,),AX176="DIRECT",VLOOKUP(AU176,'Primary - GRADING'!$A$4:$BG997,9,),AX176="INDIRECT",VLOOKUP(AU176,'Primary - GRADING'!$A$4:$BG997,24,))</f>
        <v>#N/A</v>
      </c>
      <c r="BA176" s="153" t="str">
        <f>IFS(AX176="NMA",VLOOKUP(AU176,'Primary - GRADING'!$A$4:$BG997,53,),AX176="DIRECT",VLOOKUP(AU176,'Primary - GRADING'!$A$4:$BG997,10,),AX176="INDIRECT",VLOOKUP(AU176,'Primary - GRADING'!$A$4:$BG997,25,))</f>
        <v>#N/A</v>
      </c>
      <c r="BB176" s="153" t="str">
        <f t="shared" si="10"/>
        <v>#N/A</v>
      </c>
      <c r="BE176" s="153" t="str">
        <f t="shared" si="11"/>
        <v/>
      </c>
      <c r="BG176" s="153" t="str">
        <f t="shared" si="12"/>
        <v>#N/A</v>
      </c>
      <c r="BI176" s="153" t="str">
        <f t="shared" si="13"/>
        <v>#N/A</v>
      </c>
      <c r="BK176" s="153" t="str">
        <f t="shared" si="14"/>
        <v>#N/A</v>
      </c>
      <c r="BM176" s="153" t="str">
        <f t="shared" si="15"/>
        <v>#N/A</v>
      </c>
    </row>
    <row r="177" ht="15.75" customHeight="1">
      <c r="B177" s="160" t="str">
        <f t="shared" si="1"/>
        <v>#N/A</v>
      </c>
      <c r="C177" s="160" t="str">
        <f t="shared" si="2"/>
        <v>#N/A</v>
      </c>
      <c r="D177" s="160" t="str">
        <f t="shared" si="3"/>
        <v>#N/A</v>
      </c>
      <c r="E177" s="161" t="str">
        <f t="shared" si="4"/>
        <v>#N/A</v>
      </c>
      <c r="F177" s="153" t="str">
        <f t="shared" si="17"/>
        <v>#N/A</v>
      </c>
      <c r="G177" s="153" t="str">
        <f t="shared" si="6"/>
        <v>#N/A</v>
      </c>
      <c r="H177" s="156" t="str">
        <f t="array" ref="H177">INDEX('Primary - GRADING'!$A$1:$BG997,MATCH($A177,'Primary - GRADING'!$B:$B,0),59)</f>
        <v>#N/A</v>
      </c>
      <c r="I177" s="153" t="str">
        <f t="array" ref="I177">INDEX('Primary - GRADING'!$A$1:$CP997,MATCH($A177,'Primary - GRADING'!$CP:$CP,0),48)</f>
        <v>#N/A</v>
      </c>
      <c r="J177" s="153" t="str">
        <f t="array" ref="J177">INDEX('Primary - GRADING'!$A$1:$CP997,MATCH($A177,'Primary - GRADING'!$CP:$CP,0),49)</f>
        <v>#N/A</v>
      </c>
      <c r="K177" s="153" t="str">
        <f t="array" ref="K177">INDEX('Primary - GRADING'!$A$1:$CP997,MATCH($A177,'Primary - GRADING'!$CP:$CP,0),50)</f>
        <v>#N/A</v>
      </c>
      <c r="L177" s="153" t="str">
        <f t="array" ref="L177">INDEX('Primary - GRADING'!$A$1:$CP997,MATCH($A177,'Primary - GRADING'!$CP:$CP,0),51)</f>
        <v>#N/A</v>
      </c>
      <c r="M177" s="153" t="str">
        <f t="array" ref="M177">INDEX('Primary - GRADING'!$A$1:$CP997,MATCH($A177,'Primary - GRADING'!$CP:$CP,0),52)</f>
        <v>#N/A</v>
      </c>
      <c r="N177" s="153" t="str">
        <f t="array" ref="N177">INDEX('Primary - GRADING'!$A$1:$CP997,MATCH($A177,'Primary - GRADING'!$CP:$CP,0),53)</f>
        <v>#N/A</v>
      </c>
      <c r="O177" s="153" t="str">
        <f t="array" ref="O177">INDEX('Primary - GRADING'!$A$1:$CP997,MATCH($A177,'Primary - GRADING'!$CP:$CP,0),58)</f>
        <v>#N/A</v>
      </c>
      <c r="P177" s="153" t="str">
        <f t="array" ref="P177">INDEX('Primary - GRADING'!$A$1:$CP997,MATCH($A177,'Primary - GRADING'!$CP:$CP,0),5)</f>
        <v>#N/A</v>
      </c>
      <c r="Q177" s="153" t="str">
        <f t="array" ref="Q177">INDEX('Primary - GRADING'!$A$1:$CP997,MATCH($A177,'Primary - GRADING'!$CP:$CP,0),6)</f>
        <v>#N/A</v>
      </c>
      <c r="R177" s="153" t="str">
        <f t="array" ref="R177">INDEX('Primary - GRADING'!$A$1:$CP997,MATCH($A177,'Primary - GRADING'!$CP:$CP,0),7)</f>
        <v>#N/A</v>
      </c>
      <c r="S177" s="153" t="str">
        <f t="array" ref="S177">INDEX('Primary - GRADING'!$A$1:$CP997,MATCH($A177,'Primary - GRADING'!$CP:$CP,0),8)</f>
        <v>#N/A</v>
      </c>
      <c r="T177" s="153" t="str">
        <f t="array" ref="T177">INDEX('Primary - GRADING'!$A$1:$CP997,MATCH($A177,'Primary - GRADING'!$CP:$CP,0),9)</f>
        <v>#N/A</v>
      </c>
      <c r="U177" s="153" t="str">
        <f t="array" ref="U177">INDEX('Primary - GRADING'!$A$1:$CP997,MATCH($A177,'Primary - GRADING'!$CP:$CP,0),10)</f>
        <v>#N/A</v>
      </c>
      <c r="V177" s="153" t="str">
        <f t="array" ref="V177">INDEX('Primary - GRADING'!$A$1:$CP997,MATCH($A177,'Primary - GRADING'!$CP:$CP,0),18)</f>
        <v>#N/A</v>
      </c>
      <c r="W177" s="153" t="str">
        <f t="array" ref="W177">INDEX('Primary - GRADING'!$A$1:$CP997,MATCH($A177,'Primary - GRADING'!$CP:$CP,0),20)</f>
        <v>#N/A</v>
      </c>
      <c r="X177" s="153" t="str">
        <f t="array" ref="X177">INDEX('Primary - GRADING'!$A$1:$CP997,MATCH($A177,'Primary - GRADING'!$CP:$CP,0),21)</f>
        <v>#N/A</v>
      </c>
      <c r="Y177" s="153" t="str">
        <f t="array" ref="Y177">INDEX('Primary - GRADING'!$A$1:$CP997,MATCH($A177,'Primary - GRADING'!$CP:$CP,0),22)</f>
        <v>#N/A</v>
      </c>
      <c r="Z177" s="165" t="str">
        <f t="array" ref="Z177">INDEX('Primary - GRADING'!$A$1:$CP997,MATCH($A177,'Primary - GRADING'!$CP:$CP,0),23)</f>
        <v>#N/A</v>
      </c>
      <c r="AA177" s="153" t="str">
        <f t="array" ref="AA177">INDEX('Primary - GRADING'!$A$1:$CP997,MATCH($A177,'Primary - GRADING'!$CP:$CP,0),24)</f>
        <v>#N/A</v>
      </c>
      <c r="AB177" s="153" t="str">
        <f t="array" ref="AB177">INDEX('Primary - GRADING'!$A$1:$CP997,MATCH($A177,'Primary - GRADING'!$CP:$CP,0),25)</f>
        <v>#N/A</v>
      </c>
      <c r="AC177" s="153" t="str">
        <f t="array" ref="AC177">INDEX('Primary - GRADING'!$A$1:$CP997,MATCH($A177,'Primary - GRADING'!$CP:$CP,0),46)</f>
        <v>#N/A</v>
      </c>
      <c r="AG177" s="153" t="str">
        <f t="shared" si="7"/>
        <v>#N/A</v>
      </c>
      <c r="AI177" s="153" t="str">
        <f>VLOOKUP(AH177,'Primary - GRADING'!$A$4:$C997,2,)</f>
        <v>#N/A</v>
      </c>
      <c r="AJ177" s="153" t="str">
        <f>VLOOKUP(AH177,'Primary - GRADING'!$A$4:$C997,3,)</f>
        <v>#N/A</v>
      </c>
      <c r="AK177" s="153" t="str">
        <f>VLOOKUP(AH177,'Primary - GRADING'!$A$4:$BG997,59,)</f>
        <v>#N/A</v>
      </c>
      <c r="AL177" s="153" t="str">
        <f>IFS(AK177="NMA",VLOOKUP(AH177,'Primary - GRADING'!$A$4:$BG997,51,),AK177="DIRECT",VLOOKUP(AH177,'Primary - GRADING'!$A$4:$BG997,8,),AK177="INDIRECT",VLOOKUP(AH177,'Primary - GRADING'!$A$4:$BG997,23,))</f>
        <v>#N/A</v>
      </c>
      <c r="AM177" s="153" t="str">
        <f>IFS(AK177="NMA",VLOOKUP(AH177,'Primary - GRADING'!$A$4:$BG997,52,),AK177="DIRECT",VLOOKUP(AH177,'Primary - GRADING'!$A$4:$BG997,9,),AK177="INDIRECT",VLOOKUP(AH177,'Primary - GRADING'!$A$4:$BG997,24,))</f>
        <v>#N/A</v>
      </c>
      <c r="AN177" s="153" t="str">
        <f>IFS(AK177="NMA",VLOOKUP(AH177,'Primary - GRADING'!$A$4:$BG997,53,),AK177="DIRECT",VLOOKUP(AH177,'Primary - GRADING'!$A$4:$BG997,10,),AK177="INDIRECT",VLOOKUP(AH177,'Primary - GRADING'!$A$4:$BG997,25,))</f>
        <v>#N/A</v>
      </c>
      <c r="AO177" s="153" t="str">
        <f t="shared" si="8"/>
        <v>#N/A</v>
      </c>
      <c r="AT177" s="153" t="str">
        <f t="shared" si="9"/>
        <v>#N/A</v>
      </c>
      <c r="AV177" s="153" t="str">
        <f>VLOOKUP(AU177,'Primary - GRADING'!$A$4:$C997,2,)</f>
        <v>#N/A</v>
      </c>
      <c r="AW177" s="153" t="str">
        <f>VLOOKUP(AU177,'Primary - GRADING'!$A$4:$C997,3,)</f>
        <v>#N/A</v>
      </c>
      <c r="AX177" s="153" t="str">
        <f>VLOOKUP(AU177,'Primary - GRADING'!$A$4:$BG997,59,)</f>
        <v>#N/A</v>
      </c>
      <c r="AY177" s="153" t="str">
        <f>IFS(AX177="NMA",VLOOKUP(AU177,'Primary - GRADING'!$A$4:$BG997,51,),AX177="DIRECT",VLOOKUP(AU177,'Primary - GRADING'!$A$4:$BG997,8,),AX177="INDIRECT",VLOOKUP(AU177,'Primary - GRADING'!$A$4:$BG997,23,))</f>
        <v>#N/A</v>
      </c>
      <c r="AZ177" s="153" t="str">
        <f>IFS(AX177="NMA",VLOOKUP(AU177,'Primary - GRADING'!$A$4:$BG997,52,),AX177="DIRECT",VLOOKUP(AU177,'Primary - GRADING'!$A$4:$BG997,9,),AX177="INDIRECT",VLOOKUP(AU177,'Primary - GRADING'!$A$4:$BG997,24,))</f>
        <v>#N/A</v>
      </c>
      <c r="BA177" s="153" t="str">
        <f>IFS(AX177="NMA",VLOOKUP(AU177,'Primary - GRADING'!$A$4:$BG997,53,),AX177="DIRECT",VLOOKUP(AU177,'Primary - GRADING'!$A$4:$BG997,10,),AX177="INDIRECT",VLOOKUP(AU177,'Primary - GRADING'!$A$4:$BG997,25,))</f>
        <v>#N/A</v>
      </c>
      <c r="BB177" s="153" t="str">
        <f t="shared" si="10"/>
        <v>#N/A</v>
      </c>
      <c r="BE177" s="153" t="str">
        <f t="shared" si="11"/>
        <v/>
      </c>
      <c r="BG177" s="153" t="str">
        <f t="shared" si="12"/>
        <v>#N/A</v>
      </c>
      <c r="BI177" s="153" t="str">
        <f t="shared" si="13"/>
        <v>#N/A</v>
      </c>
      <c r="BK177" s="153" t="str">
        <f t="shared" si="14"/>
        <v>#N/A</v>
      </c>
      <c r="BM177" s="153" t="str">
        <f t="shared" si="15"/>
        <v>#N/A</v>
      </c>
    </row>
    <row r="178" ht="15.75" customHeight="1">
      <c r="B178" s="160" t="str">
        <f t="shared" si="1"/>
        <v>#N/A</v>
      </c>
      <c r="C178" s="160" t="str">
        <f t="shared" si="2"/>
        <v>#N/A</v>
      </c>
      <c r="D178" s="160" t="str">
        <f t="shared" si="3"/>
        <v>#N/A</v>
      </c>
      <c r="E178" s="161" t="str">
        <f t="shared" si="4"/>
        <v>#N/A</v>
      </c>
      <c r="F178" s="153" t="str">
        <f t="shared" si="17"/>
        <v>#N/A</v>
      </c>
      <c r="G178" s="153" t="str">
        <f t="shared" si="6"/>
        <v>#N/A</v>
      </c>
      <c r="H178" s="156" t="str">
        <f t="array" ref="H178">INDEX('Primary - GRADING'!$A$1:$BG997,MATCH($A178,'Primary - GRADING'!$B:$B,0),59)</f>
        <v>#N/A</v>
      </c>
      <c r="I178" s="153" t="str">
        <f t="array" ref="I178">INDEX('Primary - GRADING'!$A$1:$CP997,MATCH($A178,'Primary - GRADING'!$CP:$CP,0),48)</f>
        <v>#N/A</v>
      </c>
      <c r="J178" s="153" t="str">
        <f t="array" ref="J178">INDEX('Primary - GRADING'!$A$1:$CP997,MATCH($A178,'Primary - GRADING'!$CP:$CP,0),49)</f>
        <v>#N/A</v>
      </c>
      <c r="K178" s="153" t="str">
        <f t="array" ref="K178">INDEX('Primary - GRADING'!$A$1:$CP997,MATCH($A178,'Primary - GRADING'!$CP:$CP,0),50)</f>
        <v>#N/A</v>
      </c>
      <c r="L178" s="153" t="str">
        <f t="array" ref="L178">INDEX('Primary - GRADING'!$A$1:$CP997,MATCH($A178,'Primary - GRADING'!$CP:$CP,0),51)</f>
        <v>#N/A</v>
      </c>
      <c r="M178" s="153" t="str">
        <f t="array" ref="M178">INDEX('Primary - GRADING'!$A$1:$CP997,MATCH($A178,'Primary - GRADING'!$CP:$CP,0),52)</f>
        <v>#N/A</v>
      </c>
      <c r="N178" s="153" t="str">
        <f t="array" ref="N178">INDEX('Primary - GRADING'!$A$1:$CP997,MATCH($A178,'Primary - GRADING'!$CP:$CP,0),53)</f>
        <v>#N/A</v>
      </c>
      <c r="O178" s="153" t="str">
        <f t="array" ref="O178">INDEX('Primary - GRADING'!$A$1:$CP997,MATCH($A178,'Primary - GRADING'!$CP:$CP,0),58)</f>
        <v>#N/A</v>
      </c>
      <c r="P178" s="153" t="str">
        <f t="array" ref="P178">INDEX('Primary - GRADING'!$A$1:$CP997,MATCH($A178,'Primary - GRADING'!$CP:$CP,0),5)</f>
        <v>#N/A</v>
      </c>
      <c r="Q178" s="153" t="str">
        <f t="array" ref="Q178">INDEX('Primary - GRADING'!$A$1:$CP997,MATCH($A178,'Primary - GRADING'!$CP:$CP,0),6)</f>
        <v>#N/A</v>
      </c>
      <c r="R178" s="153" t="str">
        <f t="array" ref="R178">INDEX('Primary - GRADING'!$A$1:$CP997,MATCH($A178,'Primary - GRADING'!$CP:$CP,0),7)</f>
        <v>#N/A</v>
      </c>
      <c r="S178" s="153" t="str">
        <f t="array" ref="S178">INDEX('Primary - GRADING'!$A$1:$CP997,MATCH($A178,'Primary - GRADING'!$CP:$CP,0),8)</f>
        <v>#N/A</v>
      </c>
      <c r="T178" s="153" t="str">
        <f t="array" ref="T178">INDEX('Primary - GRADING'!$A$1:$CP997,MATCH($A178,'Primary - GRADING'!$CP:$CP,0),9)</f>
        <v>#N/A</v>
      </c>
      <c r="U178" s="153" t="str">
        <f t="array" ref="U178">INDEX('Primary - GRADING'!$A$1:$CP997,MATCH($A178,'Primary - GRADING'!$CP:$CP,0),10)</f>
        <v>#N/A</v>
      </c>
      <c r="V178" s="153" t="str">
        <f t="array" ref="V178">INDEX('Primary - GRADING'!$A$1:$CP997,MATCH($A178,'Primary - GRADING'!$CP:$CP,0),18)</f>
        <v>#N/A</v>
      </c>
      <c r="W178" s="153" t="str">
        <f t="array" ref="W178">INDEX('Primary - GRADING'!$A$1:$CP997,MATCH($A178,'Primary - GRADING'!$CP:$CP,0),20)</f>
        <v>#N/A</v>
      </c>
      <c r="X178" s="153" t="str">
        <f t="array" ref="X178">INDEX('Primary - GRADING'!$A$1:$CP997,MATCH($A178,'Primary - GRADING'!$CP:$CP,0),21)</f>
        <v>#N/A</v>
      </c>
      <c r="Y178" s="153" t="str">
        <f t="array" ref="Y178">INDEX('Primary - GRADING'!$A$1:$CP997,MATCH($A178,'Primary - GRADING'!$CP:$CP,0),22)</f>
        <v>#N/A</v>
      </c>
      <c r="Z178" s="165" t="str">
        <f t="array" ref="Z178">INDEX('Primary - GRADING'!$A$1:$CP997,MATCH($A178,'Primary - GRADING'!$CP:$CP,0),23)</f>
        <v>#N/A</v>
      </c>
      <c r="AA178" s="153" t="str">
        <f t="array" ref="AA178">INDEX('Primary - GRADING'!$A$1:$CP997,MATCH($A178,'Primary - GRADING'!$CP:$CP,0),24)</f>
        <v>#N/A</v>
      </c>
      <c r="AB178" s="153" t="str">
        <f t="array" ref="AB178">INDEX('Primary - GRADING'!$A$1:$CP997,MATCH($A178,'Primary - GRADING'!$CP:$CP,0),25)</f>
        <v>#N/A</v>
      </c>
      <c r="AC178" s="153" t="str">
        <f t="array" ref="AC178">INDEX('Primary - GRADING'!$A$1:$CP997,MATCH($A178,'Primary - GRADING'!$CP:$CP,0),46)</f>
        <v>#N/A</v>
      </c>
      <c r="AG178" s="153" t="str">
        <f t="shared" si="7"/>
        <v>#N/A</v>
      </c>
      <c r="AI178" s="153" t="str">
        <f>VLOOKUP(AH178,'Primary - GRADING'!$A$4:$C997,2,)</f>
        <v>#N/A</v>
      </c>
      <c r="AJ178" s="153" t="str">
        <f>VLOOKUP(AH178,'Primary - GRADING'!$A$4:$C997,3,)</f>
        <v>#N/A</v>
      </c>
      <c r="AK178" s="153" t="str">
        <f>VLOOKUP(AH178,'Primary - GRADING'!$A$4:$BG997,59,)</f>
        <v>#N/A</v>
      </c>
      <c r="AL178" s="153" t="str">
        <f>IFS(AK178="NMA",VLOOKUP(AH178,'Primary - GRADING'!$A$4:$BG997,51,),AK178="DIRECT",VLOOKUP(AH178,'Primary - GRADING'!$A$4:$BG997,8,),AK178="INDIRECT",VLOOKUP(AH178,'Primary - GRADING'!$A$4:$BG997,23,))</f>
        <v>#N/A</v>
      </c>
      <c r="AM178" s="153" t="str">
        <f>IFS(AK178="NMA",VLOOKUP(AH178,'Primary - GRADING'!$A$4:$BG997,52,),AK178="DIRECT",VLOOKUP(AH178,'Primary - GRADING'!$A$4:$BG997,9,),AK178="INDIRECT",VLOOKUP(AH178,'Primary - GRADING'!$A$4:$BG997,24,))</f>
        <v>#N/A</v>
      </c>
      <c r="AN178" s="153" t="str">
        <f>IFS(AK178="NMA",VLOOKUP(AH178,'Primary - GRADING'!$A$4:$BG997,53,),AK178="DIRECT",VLOOKUP(AH178,'Primary - GRADING'!$A$4:$BG997,10,),AK178="INDIRECT",VLOOKUP(AH178,'Primary - GRADING'!$A$4:$BG997,25,))</f>
        <v>#N/A</v>
      </c>
      <c r="AO178" s="153" t="str">
        <f t="shared" si="8"/>
        <v>#N/A</v>
      </c>
      <c r="AT178" s="153" t="str">
        <f t="shared" si="9"/>
        <v>#N/A</v>
      </c>
      <c r="AV178" s="153" t="str">
        <f>VLOOKUP(AU178,'Primary - GRADING'!$A$4:$C997,2,)</f>
        <v>#N/A</v>
      </c>
      <c r="AW178" s="153" t="str">
        <f>VLOOKUP(AU178,'Primary - GRADING'!$A$4:$C997,3,)</f>
        <v>#N/A</v>
      </c>
      <c r="AX178" s="153" t="str">
        <f>VLOOKUP(AU178,'Primary - GRADING'!$A$4:$BG997,59,)</f>
        <v>#N/A</v>
      </c>
      <c r="AY178" s="153" t="str">
        <f>IFS(AX178="NMA",VLOOKUP(AU178,'Primary - GRADING'!$A$4:$BG997,51,),AX178="DIRECT",VLOOKUP(AU178,'Primary - GRADING'!$A$4:$BG997,8,),AX178="INDIRECT",VLOOKUP(AU178,'Primary - GRADING'!$A$4:$BG997,23,))</f>
        <v>#N/A</v>
      </c>
      <c r="AZ178" s="153" t="str">
        <f>IFS(AX178="NMA",VLOOKUP(AU178,'Primary - GRADING'!$A$4:$BG997,52,),AX178="DIRECT",VLOOKUP(AU178,'Primary - GRADING'!$A$4:$BG997,9,),AX178="INDIRECT",VLOOKUP(AU178,'Primary - GRADING'!$A$4:$BG997,24,))</f>
        <v>#N/A</v>
      </c>
      <c r="BA178" s="153" t="str">
        <f>IFS(AX178="NMA",VLOOKUP(AU178,'Primary - GRADING'!$A$4:$BG997,53,),AX178="DIRECT",VLOOKUP(AU178,'Primary - GRADING'!$A$4:$BG997,10,),AX178="INDIRECT",VLOOKUP(AU178,'Primary - GRADING'!$A$4:$BG997,25,))</f>
        <v>#N/A</v>
      </c>
      <c r="BB178" s="153" t="str">
        <f t="shared" si="10"/>
        <v>#N/A</v>
      </c>
      <c r="BE178" s="153" t="str">
        <f t="shared" si="11"/>
        <v/>
      </c>
      <c r="BG178" s="153" t="str">
        <f t="shared" si="12"/>
        <v>#N/A</v>
      </c>
      <c r="BI178" s="153" t="str">
        <f t="shared" si="13"/>
        <v>#N/A</v>
      </c>
      <c r="BK178" s="153" t="str">
        <f t="shared" si="14"/>
        <v>#N/A</v>
      </c>
      <c r="BM178" s="153" t="str">
        <f t="shared" si="15"/>
        <v>#N/A</v>
      </c>
    </row>
    <row r="179" ht="15.75" customHeight="1">
      <c r="B179" s="160" t="str">
        <f t="shared" si="1"/>
        <v>#N/A</v>
      </c>
      <c r="C179" s="160" t="str">
        <f t="shared" si="2"/>
        <v>#N/A</v>
      </c>
      <c r="D179" s="160" t="str">
        <f t="shared" si="3"/>
        <v>#N/A</v>
      </c>
      <c r="E179" s="161" t="str">
        <f t="shared" si="4"/>
        <v>#N/A</v>
      </c>
      <c r="F179" s="153" t="str">
        <f t="shared" si="17"/>
        <v>#N/A</v>
      </c>
      <c r="G179" s="153" t="str">
        <f t="shared" si="6"/>
        <v>#N/A</v>
      </c>
      <c r="H179" s="156" t="str">
        <f t="array" ref="H179">INDEX('Primary - GRADING'!$A$1:$BG997,MATCH($A179,'Primary - GRADING'!$B:$B,0),59)</f>
        <v>#N/A</v>
      </c>
      <c r="I179" s="153" t="str">
        <f t="array" ref="I179">INDEX('Primary - GRADING'!$A$1:$CP997,MATCH($A179,'Primary - GRADING'!$CP:$CP,0),48)</f>
        <v>#N/A</v>
      </c>
      <c r="J179" s="153" t="str">
        <f t="array" ref="J179">INDEX('Primary - GRADING'!$A$1:$CP997,MATCH($A179,'Primary - GRADING'!$CP:$CP,0),49)</f>
        <v>#N/A</v>
      </c>
      <c r="K179" s="153" t="str">
        <f t="array" ref="K179">INDEX('Primary - GRADING'!$A$1:$CP997,MATCH($A179,'Primary - GRADING'!$CP:$CP,0),50)</f>
        <v>#N/A</v>
      </c>
      <c r="L179" s="153" t="str">
        <f t="array" ref="L179">INDEX('Primary - GRADING'!$A$1:$CP997,MATCH($A179,'Primary - GRADING'!$CP:$CP,0),51)</f>
        <v>#N/A</v>
      </c>
      <c r="M179" s="153" t="str">
        <f t="array" ref="M179">INDEX('Primary - GRADING'!$A$1:$CP997,MATCH($A179,'Primary - GRADING'!$CP:$CP,0),52)</f>
        <v>#N/A</v>
      </c>
      <c r="N179" s="153" t="str">
        <f t="array" ref="N179">INDEX('Primary - GRADING'!$A$1:$CP997,MATCH($A179,'Primary - GRADING'!$CP:$CP,0),53)</f>
        <v>#N/A</v>
      </c>
      <c r="O179" s="153" t="str">
        <f t="array" ref="O179">INDEX('Primary - GRADING'!$A$1:$CP997,MATCH($A179,'Primary - GRADING'!$CP:$CP,0),58)</f>
        <v>#N/A</v>
      </c>
      <c r="P179" s="153" t="str">
        <f t="array" ref="P179">INDEX('Primary - GRADING'!$A$1:$CP997,MATCH($A179,'Primary - GRADING'!$CP:$CP,0),5)</f>
        <v>#N/A</v>
      </c>
      <c r="Q179" s="153" t="str">
        <f t="array" ref="Q179">INDEX('Primary - GRADING'!$A$1:$CP997,MATCH($A179,'Primary - GRADING'!$CP:$CP,0),6)</f>
        <v>#N/A</v>
      </c>
      <c r="R179" s="153" t="str">
        <f t="array" ref="R179">INDEX('Primary - GRADING'!$A$1:$CP997,MATCH($A179,'Primary - GRADING'!$CP:$CP,0),7)</f>
        <v>#N/A</v>
      </c>
      <c r="S179" s="153" t="str">
        <f t="array" ref="S179">INDEX('Primary - GRADING'!$A$1:$CP997,MATCH($A179,'Primary - GRADING'!$CP:$CP,0),8)</f>
        <v>#N/A</v>
      </c>
      <c r="T179" s="153" t="str">
        <f t="array" ref="T179">INDEX('Primary - GRADING'!$A$1:$CP997,MATCH($A179,'Primary - GRADING'!$CP:$CP,0),9)</f>
        <v>#N/A</v>
      </c>
      <c r="U179" s="153" t="str">
        <f t="array" ref="U179">INDEX('Primary - GRADING'!$A$1:$CP997,MATCH($A179,'Primary - GRADING'!$CP:$CP,0),10)</f>
        <v>#N/A</v>
      </c>
      <c r="V179" s="153" t="str">
        <f t="array" ref="V179">INDEX('Primary - GRADING'!$A$1:$CP997,MATCH($A179,'Primary - GRADING'!$CP:$CP,0),18)</f>
        <v>#N/A</v>
      </c>
      <c r="W179" s="153" t="str">
        <f t="array" ref="W179">INDEX('Primary - GRADING'!$A$1:$CP997,MATCH($A179,'Primary - GRADING'!$CP:$CP,0),20)</f>
        <v>#N/A</v>
      </c>
      <c r="X179" s="153" t="str">
        <f t="array" ref="X179">INDEX('Primary - GRADING'!$A$1:$CP997,MATCH($A179,'Primary - GRADING'!$CP:$CP,0),21)</f>
        <v>#N/A</v>
      </c>
      <c r="Y179" s="153" t="str">
        <f t="array" ref="Y179">INDEX('Primary - GRADING'!$A$1:$CP997,MATCH($A179,'Primary - GRADING'!$CP:$CP,0),22)</f>
        <v>#N/A</v>
      </c>
      <c r="Z179" s="165" t="str">
        <f t="array" ref="Z179">INDEX('Primary - GRADING'!$A$1:$CP997,MATCH($A179,'Primary - GRADING'!$CP:$CP,0),23)</f>
        <v>#N/A</v>
      </c>
      <c r="AA179" s="153" t="str">
        <f t="array" ref="AA179">INDEX('Primary - GRADING'!$A$1:$CP997,MATCH($A179,'Primary - GRADING'!$CP:$CP,0),24)</f>
        <v>#N/A</v>
      </c>
      <c r="AB179" s="153" t="str">
        <f t="array" ref="AB179">INDEX('Primary - GRADING'!$A$1:$CP997,MATCH($A179,'Primary - GRADING'!$CP:$CP,0),25)</f>
        <v>#N/A</v>
      </c>
      <c r="AC179" s="153" t="str">
        <f t="array" ref="AC179">INDEX('Primary - GRADING'!$A$1:$CP997,MATCH($A179,'Primary - GRADING'!$CP:$CP,0),46)</f>
        <v>#N/A</v>
      </c>
      <c r="AG179" s="153" t="str">
        <f t="shared" si="7"/>
        <v>#N/A</v>
      </c>
      <c r="AI179" s="153" t="str">
        <f>VLOOKUP(AH179,'Primary - GRADING'!$A$4:$C997,2,)</f>
        <v>#N/A</v>
      </c>
      <c r="AJ179" s="153" t="str">
        <f>VLOOKUP(AH179,'Primary - GRADING'!$A$4:$C997,3,)</f>
        <v>#N/A</v>
      </c>
      <c r="AK179" s="153" t="str">
        <f>VLOOKUP(AH179,'Primary - GRADING'!$A$4:$BG997,59,)</f>
        <v>#N/A</v>
      </c>
      <c r="AL179" s="153" t="str">
        <f>IFS(AK179="NMA",VLOOKUP(AH179,'Primary - GRADING'!$A$4:$BG997,51,),AK179="DIRECT",VLOOKUP(AH179,'Primary - GRADING'!$A$4:$BG997,8,),AK179="INDIRECT",VLOOKUP(AH179,'Primary - GRADING'!$A$4:$BG997,23,))</f>
        <v>#N/A</v>
      </c>
      <c r="AM179" s="153" t="str">
        <f>IFS(AK179="NMA",VLOOKUP(AH179,'Primary - GRADING'!$A$4:$BG997,52,),AK179="DIRECT",VLOOKUP(AH179,'Primary - GRADING'!$A$4:$BG997,9,),AK179="INDIRECT",VLOOKUP(AH179,'Primary - GRADING'!$A$4:$BG997,24,))</f>
        <v>#N/A</v>
      </c>
      <c r="AN179" s="153" t="str">
        <f>IFS(AK179="NMA",VLOOKUP(AH179,'Primary - GRADING'!$A$4:$BG997,53,),AK179="DIRECT",VLOOKUP(AH179,'Primary - GRADING'!$A$4:$BG997,10,),AK179="INDIRECT",VLOOKUP(AH179,'Primary - GRADING'!$A$4:$BG997,25,))</f>
        <v>#N/A</v>
      </c>
      <c r="AO179" s="153" t="str">
        <f t="shared" si="8"/>
        <v>#N/A</v>
      </c>
      <c r="AT179" s="153" t="str">
        <f t="shared" si="9"/>
        <v>#N/A</v>
      </c>
      <c r="AV179" s="153" t="str">
        <f>VLOOKUP(AU179,'Primary - GRADING'!$A$4:$C997,2,)</f>
        <v>#N/A</v>
      </c>
      <c r="AW179" s="153" t="str">
        <f>VLOOKUP(AU179,'Primary - GRADING'!$A$4:$C997,3,)</f>
        <v>#N/A</v>
      </c>
      <c r="AX179" s="153" t="str">
        <f>VLOOKUP(AU179,'Primary - GRADING'!$A$4:$BG997,59,)</f>
        <v>#N/A</v>
      </c>
      <c r="AY179" s="153" t="str">
        <f>IFS(AX179="NMA",VLOOKUP(AU179,'Primary - GRADING'!$A$4:$BG997,51,),AX179="DIRECT",VLOOKUP(AU179,'Primary - GRADING'!$A$4:$BG997,8,),AX179="INDIRECT",VLOOKUP(AU179,'Primary - GRADING'!$A$4:$BG997,23,))</f>
        <v>#N/A</v>
      </c>
      <c r="AZ179" s="153" t="str">
        <f>IFS(AX179="NMA",VLOOKUP(AU179,'Primary - GRADING'!$A$4:$BG997,52,),AX179="DIRECT",VLOOKUP(AU179,'Primary - GRADING'!$A$4:$BG997,9,),AX179="INDIRECT",VLOOKUP(AU179,'Primary - GRADING'!$A$4:$BG997,24,))</f>
        <v>#N/A</v>
      </c>
      <c r="BA179" s="153" t="str">
        <f>IFS(AX179="NMA",VLOOKUP(AU179,'Primary - GRADING'!$A$4:$BG997,53,),AX179="DIRECT",VLOOKUP(AU179,'Primary - GRADING'!$A$4:$BG997,10,),AX179="INDIRECT",VLOOKUP(AU179,'Primary - GRADING'!$A$4:$BG997,25,))</f>
        <v>#N/A</v>
      </c>
      <c r="BB179" s="153" t="str">
        <f t="shared" si="10"/>
        <v>#N/A</v>
      </c>
      <c r="BE179" s="153" t="str">
        <f t="shared" si="11"/>
        <v/>
      </c>
      <c r="BG179" s="153" t="str">
        <f t="shared" si="12"/>
        <v>#N/A</v>
      </c>
      <c r="BI179" s="153" t="str">
        <f t="shared" si="13"/>
        <v>#N/A</v>
      </c>
      <c r="BK179" s="153" t="str">
        <f t="shared" si="14"/>
        <v>#N/A</v>
      </c>
      <c r="BM179" s="153" t="str">
        <f t="shared" si="15"/>
        <v>#N/A</v>
      </c>
    </row>
    <row r="180" ht="15.75" customHeight="1">
      <c r="B180" s="160" t="str">
        <f t="shared" si="1"/>
        <v>#N/A</v>
      </c>
      <c r="C180" s="160" t="str">
        <f t="shared" si="2"/>
        <v>#N/A</v>
      </c>
      <c r="D180" s="160" t="str">
        <f t="shared" si="3"/>
        <v>#N/A</v>
      </c>
      <c r="E180" s="161" t="str">
        <f t="shared" si="4"/>
        <v>#N/A</v>
      </c>
      <c r="F180" s="153" t="str">
        <f t="shared" si="17"/>
        <v>#N/A</v>
      </c>
      <c r="G180" s="153" t="str">
        <f t="shared" si="6"/>
        <v>#N/A</v>
      </c>
      <c r="H180" s="156" t="str">
        <f t="array" ref="H180">INDEX('Primary - GRADING'!$A$1:$BG997,MATCH($A180,'Primary - GRADING'!$B:$B,0),59)</f>
        <v>#N/A</v>
      </c>
      <c r="I180" s="153" t="str">
        <f t="array" ref="I180">INDEX('Primary - GRADING'!$A$1:$CP997,MATCH($A180,'Primary - GRADING'!$CP:$CP,0),48)</f>
        <v>#N/A</v>
      </c>
      <c r="J180" s="153" t="str">
        <f t="array" ref="J180">INDEX('Primary - GRADING'!$A$1:$CP997,MATCH($A180,'Primary - GRADING'!$CP:$CP,0),49)</f>
        <v>#N/A</v>
      </c>
      <c r="K180" s="153" t="str">
        <f t="array" ref="K180">INDEX('Primary - GRADING'!$A$1:$CP997,MATCH($A180,'Primary - GRADING'!$CP:$CP,0),50)</f>
        <v>#N/A</v>
      </c>
      <c r="L180" s="153" t="str">
        <f t="array" ref="L180">INDEX('Primary - GRADING'!$A$1:$CP997,MATCH($A180,'Primary - GRADING'!$CP:$CP,0),51)</f>
        <v>#N/A</v>
      </c>
      <c r="M180" s="153" t="str">
        <f t="array" ref="M180">INDEX('Primary - GRADING'!$A$1:$CP997,MATCH($A180,'Primary - GRADING'!$CP:$CP,0),52)</f>
        <v>#N/A</v>
      </c>
      <c r="N180" s="153" t="str">
        <f t="array" ref="N180">INDEX('Primary - GRADING'!$A$1:$CP997,MATCH($A180,'Primary - GRADING'!$CP:$CP,0),53)</f>
        <v>#N/A</v>
      </c>
      <c r="O180" s="153" t="str">
        <f t="array" ref="O180">INDEX('Primary - GRADING'!$A$1:$CP997,MATCH($A180,'Primary - GRADING'!$CP:$CP,0),58)</f>
        <v>#N/A</v>
      </c>
      <c r="P180" s="153" t="str">
        <f t="array" ref="P180">INDEX('Primary - GRADING'!$A$1:$CP997,MATCH($A180,'Primary - GRADING'!$CP:$CP,0),5)</f>
        <v>#N/A</v>
      </c>
      <c r="Q180" s="153" t="str">
        <f t="array" ref="Q180">INDEX('Primary - GRADING'!$A$1:$CP997,MATCH($A180,'Primary - GRADING'!$CP:$CP,0),6)</f>
        <v>#N/A</v>
      </c>
      <c r="R180" s="153" t="str">
        <f t="array" ref="R180">INDEX('Primary - GRADING'!$A$1:$CP997,MATCH($A180,'Primary - GRADING'!$CP:$CP,0),7)</f>
        <v>#N/A</v>
      </c>
      <c r="S180" s="153" t="str">
        <f t="array" ref="S180">INDEX('Primary - GRADING'!$A$1:$CP997,MATCH($A180,'Primary - GRADING'!$CP:$CP,0),8)</f>
        <v>#N/A</v>
      </c>
      <c r="T180" s="153" t="str">
        <f t="array" ref="T180">INDEX('Primary - GRADING'!$A$1:$CP997,MATCH($A180,'Primary - GRADING'!$CP:$CP,0),9)</f>
        <v>#N/A</v>
      </c>
      <c r="U180" s="153" t="str">
        <f t="array" ref="U180">INDEX('Primary - GRADING'!$A$1:$CP997,MATCH($A180,'Primary - GRADING'!$CP:$CP,0),10)</f>
        <v>#N/A</v>
      </c>
      <c r="V180" s="153" t="str">
        <f t="array" ref="V180">INDEX('Primary - GRADING'!$A$1:$CP997,MATCH($A180,'Primary - GRADING'!$CP:$CP,0),18)</f>
        <v>#N/A</v>
      </c>
      <c r="W180" s="153" t="str">
        <f t="array" ref="W180">INDEX('Primary - GRADING'!$A$1:$CP997,MATCH($A180,'Primary - GRADING'!$CP:$CP,0),20)</f>
        <v>#N/A</v>
      </c>
      <c r="X180" s="153" t="str">
        <f t="array" ref="X180">INDEX('Primary - GRADING'!$A$1:$CP997,MATCH($A180,'Primary - GRADING'!$CP:$CP,0),21)</f>
        <v>#N/A</v>
      </c>
      <c r="Y180" s="153" t="str">
        <f t="array" ref="Y180">INDEX('Primary - GRADING'!$A$1:$CP997,MATCH($A180,'Primary - GRADING'!$CP:$CP,0),22)</f>
        <v>#N/A</v>
      </c>
      <c r="Z180" s="165" t="str">
        <f t="array" ref="Z180">INDEX('Primary - GRADING'!$A$1:$CP997,MATCH($A180,'Primary - GRADING'!$CP:$CP,0),23)</f>
        <v>#N/A</v>
      </c>
      <c r="AA180" s="153" t="str">
        <f t="array" ref="AA180">INDEX('Primary - GRADING'!$A$1:$CP997,MATCH($A180,'Primary - GRADING'!$CP:$CP,0),24)</f>
        <v>#N/A</v>
      </c>
      <c r="AB180" s="153" t="str">
        <f t="array" ref="AB180">INDEX('Primary - GRADING'!$A$1:$CP997,MATCH($A180,'Primary - GRADING'!$CP:$CP,0),25)</f>
        <v>#N/A</v>
      </c>
      <c r="AC180" s="153" t="str">
        <f t="array" ref="AC180">INDEX('Primary - GRADING'!$A$1:$CP997,MATCH($A180,'Primary - GRADING'!$CP:$CP,0),46)</f>
        <v>#N/A</v>
      </c>
      <c r="AG180" s="153" t="str">
        <f t="shared" si="7"/>
        <v>#N/A</v>
      </c>
      <c r="AI180" s="153" t="str">
        <f>VLOOKUP(AH180,'Primary - GRADING'!$A$4:$C997,2,)</f>
        <v>#N/A</v>
      </c>
      <c r="AJ180" s="153" t="str">
        <f>VLOOKUP(AH180,'Primary - GRADING'!$A$4:$C997,3,)</f>
        <v>#N/A</v>
      </c>
      <c r="AK180" s="153" t="str">
        <f>VLOOKUP(AH180,'Primary - GRADING'!$A$4:$BG997,59,)</f>
        <v>#N/A</v>
      </c>
      <c r="AL180" s="153" t="str">
        <f>IFS(AK180="NMA",VLOOKUP(AH180,'Primary - GRADING'!$A$4:$BG997,51,),AK180="DIRECT",VLOOKUP(AH180,'Primary - GRADING'!$A$4:$BG997,8,),AK180="INDIRECT",VLOOKUP(AH180,'Primary - GRADING'!$A$4:$BG997,23,))</f>
        <v>#N/A</v>
      </c>
      <c r="AM180" s="153" t="str">
        <f>IFS(AK180="NMA",VLOOKUP(AH180,'Primary - GRADING'!$A$4:$BG997,52,),AK180="DIRECT",VLOOKUP(AH180,'Primary - GRADING'!$A$4:$BG997,9,),AK180="INDIRECT",VLOOKUP(AH180,'Primary - GRADING'!$A$4:$BG997,24,))</f>
        <v>#N/A</v>
      </c>
      <c r="AN180" s="153" t="str">
        <f>IFS(AK180="NMA",VLOOKUP(AH180,'Primary - GRADING'!$A$4:$BG997,53,),AK180="DIRECT",VLOOKUP(AH180,'Primary - GRADING'!$A$4:$BG997,10,),AK180="INDIRECT",VLOOKUP(AH180,'Primary - GRADING'!$A$4:$BG997,25,))</f>
        <v>#N/A</v>
      </c>
      <c r="AO180" s="153" t="str">
        <f t="shared" si="8"/>
        <v>#N/A</v>
      </c>
      <c r="AT180" s="153" t="str">
        <f t="shared" si="9"/>
        <v>#N/A</v>
      </c>
      <c r="AV180" s="153" t="str">
        <f>VLOOKUP(AU180,'Primary - GRADING'!$A$4:$C997,2,)</f>
        <v>#N/A</v>
      </c>
      <c r="AW180" s="153" t="str">
        <f>VLOOKUP(AU180,'Primary - GRADING'!$A$4:$C997,3,)</f>
        <v>#N/A</v>
      </c>
      <c r="AX180" s="153" t="str">
        <f>VLOOKUP(AU180,'Primary - GRADING'!$A$4:$BG997,59,)</f>
        <v>#N/A</v>
      </c>
      <c r="AY180" s="153" t="str">
        <f>IFS(AX180="NMA",VLOOKUP(AU180,'Primary - GRADING'!$A$4:$BG997,51,),AX180="DIRECT",VLOOKUP(AU180,'Primary - GRADING'!$A$4:$BG997,8,),AX180="INDIRECT",VLOOKUP(AU180,'Primary - GRADING'!$A$4:$BG997,23,))</f>
        <v>#N/A</v>
      </c>
      <c r="AZ180" s="153" t="str">
        <f>IFS(AX180="NMA",VLOOKUP(AU180,'Primary - GRADING'!$A$4:$BG997,52,),AX180="DIRECT",VLOOKUP(AU180,'Primary - GRADING'!$A$4:$BG997,9,),AX180="INDIRECT",VLOOKUP(AU180,'Primary - GRADING'!$A$4:$BG997,24,))</f>
        <v>#N/A</v>
      </c>
      <c r="BA180" s="153" t="str">
        <f>IFS(AX180="NMA",VLOOKUP(AU180,'Primary - GRADING'!$A$4:$BG997,53,),AX180="DIRECT",VLOOKUP(AU180,'Primary - GRADING'!$A$4:$BG997,10,),AX180="INDIRECT",VLOOKUP(AU180,'Primary - GRADING'!$A$4:$BG997,25,))</f>
        <v>#N/A</v>
      </c>
      <c r="BB180" s="153" t="str">
        <f t="shared" si="10"/>
        <v>#N/A</v>
      </c>
      <c r="BE180" s="153" t="str">
        <f t="shared" si="11"/>
        <v/>
      </c>
      <c r="BG180" s="153" t="str">
        <f t="shared" si="12"/>
        <v>#N/A</v>
      </c>
      <c r="BI180" s="153" t="str">
        <f t="shared" si="13"/>
        <v>#N/A</v>
      </c>
      <c r="BK180" s="153" t="str">
        <f t="shared" si="14"/>
        <v>#N/A</v>
      </c>
      <c r="BM180" s="153" t="str">
        <f t="shared" si="15"/>
        <v>#N/A</v>
      </c>
    </row>
    <row r="181" ht="15.75" customHeight="1">
      <c r="B181" s="160" t="str">
        <f t="shared" si="1"/>
        <v>#N/A</v>
      </c>
      <c r="C181" s="160" t="str">
        <f t="shared" si="2"/>
        <v>#N/A</v>
      </c>
      <c r="D181" s="160" t="str">
        <f t="shared" si="3"/>
        <v>#N/A</v>
      </c>
      <c r="E181" s="161" t="str">
        <f t="shared" si="4"/>
        <v>#N/A</v>
      </c>
      <c r="F181" s="153" t="str">
        <f t="shared" si="17"/>
        <v>#N/A</v>
      </c>
      <c r="G181" s="153" t="str">
        <f t="shared" si="6"/>
        <v>#N/A</v>
      </c>
      <c r="H181" s="156" t="str">
        <f t="array" ref="H181">INDEX('Primary - GRADING'!$A$1:$BG997,MATCH($A181,'Primary - GRADING'!$B:$B,0),59)</f>
        <v>#N/A</v>
      </c>
      <c r="I181" s="153" t="str">
        <f t="array" ref="I181">INDEX('Primary - GRADING'!$A$1:$CP997,MATCH($A181,'Primary - GRADING'!$CP:$CP,0),48)</f>
        <v>#N/A</v>
      </c>
      <c r="J181" s="153" t="str">
        <f t="array" ref="J181">INDEX('Primary - GRADING'!$A$1:$CP997,MATCH($A181,'Primary - GRADING'!$CP:$CP,0),49)</f>
        <v>#N/A</v>
      </c>
      <c r="K181" s="153" t="str">
        <f t="array" ref="K181">INDEX('Primary - GRADING'!$A$1:$CP997,MATCH($A181,'Primary - GRADING'!$CP:$CP,0),50)</f>
        <v>#N/A</v>
      </c>
      <c r="L181" s="153" t="str">
        <f t="array" ref="L181">INDEX('Primary - GRADING'!$A$1:$CP997,MATCH($A181,'Primary - GRADING'!$CP:$CP,0),51)</f>
        <v>#N/A</v>
      </c>
      <c r="M181" s="153" t="str">
        <f t="array" ref="M181">INDEX('Primary - GRADING'!$A$1:$CP997,MATCH($A181,'Primary - GRADING'!$CP:$CP,0),52)</f>
        <v>#N/A</v>
      </c>
      <c r="N181" s="153" t="str">
        <f t="array" ref="N181">INDEX('Primary - GRADING'!$A$1:$CP997,MATCH($A181,'Primary - GRADING'!$CP:$CP,0),53)</f>
        <v>#N/A</v>
      </c>
      <c r="O181" s="153" t="str">
        <f t="array" ref="O181">INDEX('Primary - GRADING'!$A$1:$CP997,MATCH($A181,'Primary - GRADING'!$CP:$CP,0),58)</f>
        <v>#N/A</v>
      </c>
      <c r="P181" s="153" t="str">
        <f t="array" ref="P181">INDEX('Primary - GRADING'!$A$1:$CP997,MATCH($A181,'Primary - GRADING'!$CP:$CP,0),5)</f>
        <v>#N/A</v>
      </c>
      <c r="Q181" s="153" t="str">
        <f t="array" ref="Q181">INDEX('Primary - GRADING'!$A$1:$CP997,MATCH($A181,'Primary - GRADING'!$CP:$CP,0),6)</f>
        <v>#N/A</v>
      </c>
      <c r="R181" s="153" t="str">
        <f t="array" ref="R181">INDEX('Primary - GRADING'!$A$1:$CP997,MATCH($A181,'Primary - GRADING'!$CP:$CP,0),7)</f>
        <v>#N/A</v>
      </c>
      <c r="S181" s="153" t="str">
        <f t="array" ref="S181">INDEX('Primary - GRADING'!$A$1:$CP997,MATCH($A181,'Primary - GRADING'!$CP:$CP,0),8)</f>
        <v>#N/A</v>
      </c>
      <c r="T181" s="153" t="str">
        <f t="array" ref="T181">INDEX('Primary - GRADING'!$A$1:$CP997,MATCH($A181,'Primary - GRADING'!$CP:$CP,0),9)</f>
        <v>#N/A</v>
      </c>
      <c r="U181" s="153" t="str">
        <f t="array" ref="U181">INDEX('Primary - GRADING'!$A$1:$CP997,MATCH($A181,'Primary - GRADING'!$CP:$CP,0),10)</f>
        <v>#N/A</v>
      </c>
      <c r="V181" s="153" t="str">
        <f t="array" ref="V181">INDEX('Primary - GRADING'!$A$1:$CP997,MATCH($A181,'Primary - GRADING'!$CP:$CP,0),18)</f>
        <v>#N/A</v>
      </c>
      <c r="W181" s="153" t="str">
        <f t="array" ref="W181">INDEX('Primary - GRADING'!$A$1:$CP997,MATCH($A181,'Primary - GRADING'!$CP:$CP,0),20)</f>
        <v>#N/A</v>
      </c>
      <c r="X181" s="153" t="str">
        <f t="array" ref="X181">INDEX('Primary - GRADING'!$A$1:$CP997,MATCH($A181,'Primary - GRADING'!$CP:$CP,0),21)</f>
        <v>#N/A</v>
      </c>
      <c r="Y181" s="153" t="str">
        <f t="array" ref="Y181">INDEX('Primary - GRADING'!$A$1:$CP997,MATCH($A181,'Primary - GRADING'!$CP:$CP,0),22)</f>
        <v>#N/A</v>
      </c>
      <c r="Z181" s="165" t="str">
        <f t="array" ref="Z181">INDEX('Primary - GRADING'!$A$1:$CP997,MATCH($A181,'Primary - GRADING'!$CP:$CP,0),23)</f>
        <v>#N/A</v>
      </c>
      <c r="AA181" s="153" t="str">
        <f t="array" ref="AA181">INDEX('Primary - GRADING'!$A$1:$CP997,MATCH($A181,'Primary - GRADING'!$CP:$CP,0),24)</f>
        <v>#N/A</v>
      </c>
      <c r="AB181" s="153" t="str">
        <f t="array" ref="AB181">INDEX('Primary - GRADING'!$A$1:$CP997,MATCH($A181,'Primary - GRADING'!$CP:$CP,0),25)</f>
        <v>#N/A</v>
      </c>
      <c r="AC181" s="153" t="str">
        <f t="array" ref="AC181">INDEX('Primary - GRADING'!$A$1:$CP997,MATCH($A181,'Primary - GRADING'!$CP:$CP,0),46)</f>
        <v>#N/A</v>
      </c>
      <c r="AG181" s="153" t="str">
        <f t="shared" si="7"/>
        <v>#N/A</v>
      </c>
      <c r="AI181" s="153" t="str">
        <f>VLOOKUP(AH181,'Primary - GRADING'!$A$4:$C997,2,)</f>
        <v>#N/A</v>
      </c>
      <c r="AJ181" s="153" t="str">
        <f>VLOOKUP(AH181,'Primary - GRADING'!$A$4:$C997,3,)</f>
        <v>#N/A</v>
      </c>
      <c r="AK181" s="153" t="str">
        <f>VLOOKUP(AH181,'Primary - GRADING'!$A$4:$BG997,59,)</f>
        <v>#N/A</v>
      </c>
      <c r="AL181" s="153" t="str">
        <f>IFS(AK181="NMA",VLOOKUP(AH181,'Primary - GRADING'!$A$4:$BG997,51,),AK181="DIRECT",VLOOKUP(AH181,'Primary - GRADING'!$A$4:$BG997,8,),AK181="INDIRECT",VLOOKUP(AH181,'Primary - GRADING'!$A$4:$BG997,23,))</f>
        <v>#N/A</v>
      </c>
      <c r="AM181" s="153" t="str">
        <f>IFS(AK181="NMA",VLOOKUP(AH181,'Primary - GRADING'!$A$4:$BG997,52,),AK181="DIRECT",VLOOKUP(AH181,'Primary - GRADING'!$A$4:$BG997,9,),AK181="INDIRECT",VLOOKUP(AH181,'Primary - GRADING'!$A$4:$BG997,24,))</f>
        <v>#N/A</v>
      </c>
      <c r="AN181" s="153" t="str">
        <f>IFS(AK181="NMA",VLOOKUP(AH181,'Primary - GRADING'!$A$4:$BG997,53,),AK181="DIRECT",VLOOKUP(AH181,'Primary - GRADING'!$A$4:$BG997,10,),AK181="INDIRECT",VLOOKUP(AH181,'Primary - GRADING'!$A$4:$BG997,25,))</f>
        <v>#N/A</v>
      </c>
      <c r="AO181" s="153" t="str">
        <f t="shared" si="8"/>
        <v>#N/A</v>
      </c>
      <c r="AT181" s="153" t="str">
        <f t="shared" si="9"/>
        <v>#N/A</v>
      </c>
      <c r="AV181" s="153" t="str">
        <f>VLOOKUP(AU181,'Primary - GRADING'!$A$4:$C997,2,)</f>
        <v>#N/A</v>
      </c>
      <c r="AW181" s="153" t="str">
        <f>VLOOKUP(AU181,'Primary - GRADING'!$A$4:$C997,3,)</f>
        <v>#N/A</v>
      </c>
      <c r="AX181" s="153" t="str">
        <f>VLOOKUP(AU181,'Primary - GRADING'!$A$4:$BG997,59,)</f>
        <v>#N/A</v>
      </c>
      <c r="AY181" s="153" t="str">
        <f>IFS(AX181="NMA",VLOOKUP(AU181,'Primary - GRADING'!$A$4:$BG997,51,),AX181="DIRECT",VLOOKUP(AU181,'Primary - GRADING'!$A$4:$BG997,8,),AX181="INDIRECT",VLOOKUP(AU181,'Primary - GRADING'!$A$4:$BG997,23,))</f>
        <v>#N/A</v>
      </c>
      <c r="AZ181" s="153" t="str">
        <f>IFS(AX181="NMA",VLOOKUP(AU181,'Primary - GRADING'!$A$4:$BG997,52,),AX181="DIRECT",VLOOKUP(AU181,'Primary - GRADING'!$A$4:$BG997,9,),AX181="INDIRECT",VLOOKUP(AU181,'Primary - GRADING'!$A$4:$BG997,24,))</f>
        <v>#N/A</v>
      </c>
      <c r="BA181" s="153" t="str">
        <f>IFS(AX181="NMA",VLOOKUP(AU181,'Primary - GRADING'!$A$4:$BG997,53,),AX181="DIRECT",VLOOKUP(AU181,'Primary - GRADING'!$A$4:$BG997,10,),AX181="INDIRECT",VLOOKUP(AU181,'Primary - GRADING'!$A$4:$BG997,25,))</f>
        <v>#N/A</v>
      </c>
      <c r="BB181" s="153" t="str">
        <f t="shared" si="10"/>
        <v>#N/A</v>
      </c>
      <c r="BE181" s="153" t="str">
        <f t="shared" si="11"/>
        <v/>
      </c>
      <c r="BG181" s="153" t="str">
        <f t="shared" si="12"/>
        <v>#N/A</v>
      </c>
      <c r="BI181" s="153" t="str">
        <f t="shared" si="13"/>
        <v>#N/A</v>
      </c>
      <c r="BK181" s="153" t="str">
        <f t="shared" si="14"/>
        <v>#N/A</v>
      </c>
      <c r="BM181" s="153" t="str">
        <f t="shared" si="15"/>
        <v>#N/A</v>
      </c>
    </row>
    <row r="182" ht="15.75" customHeight="1">
      <c r="B182" s="160" t="str">
        <f t="shared" si="1"/>
        <v>#N/A</v>
      </c>
      <c r="C182" s="160" t="str">
        <f t="shared" si="2"/>
        <v>#N/A</v>
      </c>
      <c r="D182" s="160" t="str">
        <f t="shared" si="3"/>
        <v>#N/A</v>
      </c>
      <c r="E182" s="161" t="str">
        <f t="shared" si="4"/>
        <v>#N/A</v>
      </c>
      <c r="F182" s="153" t="str">
        <f t="shared" si="17"/>
        <v>#N/A</v>
      </c>
      <c r="G182" s="153" t="str">
        <f t="shared" si="6"/>
        <v>#N/A</v>
      </c>
      <c r="H182" s="156" t="str">
        <f t="array" ref="H182">INDEX('Primary - GRADING'!$A$1:$BG997,MATCH($A182,'Primary - GRADING'!$B:$B,0),59)</f>
        <v>#N/A</v>
      </c>
      <c r="I182" s="153" t="str">
        <f t="array" ref="I182">INDEX('Primary - GRADING'!$A$1:$CP997,MATCH($A182,'Primary - GRADING'!$CP:$CP,0),48)</f>
        <v>#N/A</v>
      </c>
      <c r="J182" s="153" t="str">
        <f t="array" ref="J182">INDEX('Primary - GRADING'!$A$1:$CP997,MATCH($A182,'Primary - GRADING'!$CP:$CP,0),49)</f>
        <v>#N/A</v>
      </c>
      <c r="K182" s="153" t="str">
        <f t="array" ref="K182">INDEX('Primary - GRADING'!$A$1:$CP997,MATCH($A182,'Primary - GRADING'!$CP:$CP,0),50)</f>
        <v>#N/A</v>
      </c>
      <c r="L182" s="153" t="str">
        <f t="array" ref="L182">INDEX('Primary - GRADING'!$A$1:$CP997,MATCH($A182,'Primary - GRADING'!$CP:$CP,0),51)</f>
        <v>#N/A</v>
      </c>
      <c r="M182" s="153" t="str">
        <f t="array" ref="M182">INDEX('Primary - GRADING'!$A$1:$CP997,MATCH($A182,'Primary - GRADING'!$CP:$CP,0),52)</f>
        <v>#N/A</v>
      </c>
      <c r="N182" s="153" t="str">
        <f t="array" ref="N182">INDEX('Primary - GRADING'!$A$1:$CP997,MATCH($A182,'Primary - GRADING'!$CP:$CP,0),53)</f>
        <v>#N/A</v>
      </c>
      <c r="O182" s="153" t="str">
        <f t="array" ref="O182">INDEX('Primary - GRADING'!$A$1:$CP997,MATCH($A182,'Primary - GRADING'!$CP:$CP,0),58)</f>
        <v>#N/A</v>
      </c>
      <c r="P182" s="153" t="str">
        <f t="array" ref="P182">INDEX('Primary - GRADING'!$A$1:$CP997,MATCH($A182,'Primary - GRADING'!$CP:$CP,0),5)</f>
        <v>#N/A</v>
      </c>
      <c r="Q182" s="153" t="str">
        <f t="array" ref="Q182">INDEX('Primary - GRADING'!$A$1:$CP997,MATCH($A182,'Primary - GRADING'!$CP:$CP,0),6)</f>
        <v>#N/A</v>
      </c>
      <c r="R182" s="153" t="str">
        <f t="array" ref="R182">INDEX('Primary - GRADING'!$A$1:$CP997,MATCH($A182,'Primary - GRADING'!$CP:$CP,0),7)</f>
        <v>#N/A</v>
      </c>
      <c r="S182" s="153" t="str">
        <f t="array" ref="S182">INDEX('Primary - GRADING'!$A$1:$CP997,MATCH($A182,'Primary - GRADING'!$CP:$CP,0),8)</f>
        <v>#N/A</v>
      </c>
      <c r="T182" s="153" t="str">
        <f t="array" ref="T182">INDEX('Primary - GRADING'!$A$1:$CP997,MATCH($A182,'Primary - GRADING'!$CP:$CP,0),9)</f>
        <v>#N/A</v>
      </c>
      <c r="U182" s="153" t="str">
        <f t="array" ref="U182">INDEX('Primary - GRADING'!$A$1:$CP997,MATCH($A182,'Primary - GRADING'!$CP:$CP,0),10)</f>
        <v>#N/A</v>
      </c>
      <c r="V182" s="153" t="str">
        <f t="array" ref="V182">INDEX('Primary - GRADING'!$A$1:$CP997,MATCH($A182,'Primary - GRADING'!$CP:$CP,0),18)</f>
        <v>#N/A</v>
      </c>
      <c r="W182" s="153" t="str">
        <f t="array" ref="W182">INDEX('Primary - GRADING'!$A$1:$CP997,MATCH($A182,'Primary - GRADING'!$CP:$CP,0),20)</f>
        <v>#N/A</v>
      </c>
      <c r="X182" s="153" t="str">
        <f t="array" ref="X182">INDEX('Primary - GRADING'!$A$1:$CP997,MATCH($A182,'Primary - GRADING'!$CP:$CP,0),21)</f>
        <v>#N/A</v>
      </c>
      <c r="Y182" s="153" t="str">
        <f t="array" ref="Y182">INDEX('Primary - GRADING'!$A$1:$CP997,MATCH($A182,'Primary - GRADING'!$CP:$CP,0),22)</f>
        <v>#N/A</v>
      </c>
      <c r="Z182" s="165" t="str">
        <f t="array" ref="Z182">INDEX('Primary - GRADING'!$A$1:$CP997,MATCH($A182,'Primary - GRADING'!$CP:$CP,0),23)</f>
        <v>#N/A</v>
      </c>
      <c r="AA182" s="153" t="str">
        <f t="array" ref="AA182">INDEX('Primary - GRADING'!$A$1:$CP997,MATCH($A182,'Primary - GRADING'!$CP:$CP,0),24)</f>
        <v>#N/A</v>
      </c>
      <c r="AB182" s="153" t="str">
        <f t="array" ref="AB182">INDEX('Primary - GRADING'!$A$1:$CP997,MATCH($A182,'Primary - GRADING'!$CP:$CP,0),25)</f>
        <v>#N/A</v>
      </c>
      <c r="AC182" s="153" t="str">
        <f t="array" ref="AC182">INDEX('Primary - GRADING'!$A$1:$CP997,MATCH($A182,'Primary - GRADING'!$CP:$CP,0),46)</f>
        <v>#N/A</v>
      </c>
      <c r="AG182" s="153" t="str">
        <f t="shared" si="7"/>
        <v>#N/A</v>
      </c>
      <c r="AI182" s="153" t="str">
        <f>VLOOKUP(AH182,'Primary - GRADING'!$A$4:$C997,2,)</f>
        <v>#N/A</v>
      </c>
      <c r="AJ182" s="153" t="str">
        <f>VLOOKUP(AH182,'Primary - GRADING'!$A$4:$C997,3,)</f>
        <v>#N/A</v>
      </c>
      <c r="AK182" s="153" t="str">
        <f>VLOOKUP(AH182,'Primary - GRADING'!$A$4:$BG997,59,)</f>
        <v>#N/A</v>
      </c>
      <c r="AL182" s="153" t="str">
        <f>IFS(AK182="NMA",VLOOKUP(AH182,'Primary - GRADING'!$A$4:$BG997,51,),AK182="DIRECT",VLOOKUP(AH182,'Primary - GRADING'!$A$4:$BG997,8,),AK182="INDIRECT",VLOOKUP(AH182,'Primary - GRADING'!$A$4:$BG997,23,))</f>
        <v>#N/A</v>
      </c>
      <c r="AM182" s="153" t="str">
        <f>IFS(AK182="NMA",VLOOKUP(AH182,'Primary - GRADING'!$A$4:$BG997,52,),AK182="DIRECT",VLOOKUP(AH182,'Primary - GRADING'!$A$4:$BG997,9,),AK182="INDIRECT",VLOOKUP(AH182,'Primary - GRADING'!$A$4:$BG997,24,))</f>
        <v>#N/A</v>
      </c>
      <c r="AN182" s="153" t="str">
        <f>IFS(AK182="NMA",VLOOKUP(AH182,'Primary - GRADING'!$A$4:$BG997,53,),AK182="DIRECT",VLOOKUP(AH182,'Primary - GRADING'!$A$4:$BG997,10,),AK182="INDIRECT",VLOOKUP(AH182,'Primary - GRADING'!$A$4:$BG997,25,))</f>
        <v>#N/A</v>
      </c>
      <c r="AO182" s="153" t="str">
        <f t="shared" si="8"/>
        <v>#N/A</v>
      </c>
      <c r="AT182" s="153" t="str">
        <f t="shared" si="9"/>
        <v>#N/A</v>
      </c>
      <c r="AV182" s="153" t="str">
        <f>VLOOKUP(AU182,'Primary - GRADING'!$A$4:$C997,2,)</f>
        <v>#N/A</v>
      </c>
      <c r="AW182" s="153" t="str">
        <f>VLOOKUP(AU182,'Primary - GRADING'!$A$4:$C997,3,)</f>
        <v>#N/A</v>
      </c>
      <c r="AX182" s="153" t="str">
        <f>VLOOKUP(AU182,'Primary - GRADING'!$A$4:$BG997,59,)</f>
        <v>#N/A</v>
      </c>
      <c r="AY182" s="153" t="str">
        <f>IFS(AX182="NMA",VLOOKUP(AU182,'Primary - GRADING'!$A$4:$BG997,51,),AX182="DIRECT",VLOOKUP(AU182,'Primary - GRADING'!$A$4:$BG997,8,),AX182="INDIRECT",VLOOKUP(AU182,'Primary - GRADING'!$A$4:$BG997,23,))</f>
        <v>#N/A</v>
      </c>
      <c r="AZ182" s="153" t="str">
        <f>IFS(AX182="NMA",VLOOKUP(AU182,'Primary - GRADING'!$A$4:$BG997,52,),AX182="DIRECT",VLOOKUP(AU182,'Primary - GRADING'!$A$4:$BG997,9,),AX182="INDIRECT",VLOOKUP(AU182,'Primary - GRADING'!$A$4:$BG997,24,))</f>
        <v>#N/A</v>
      </c>
      <c r="BA182" s="153" t="str">
        <f>IFS(AX182="NMA",VLOOKUP(AU182,'Primary - GRADING'!$A$4:$BG997,53,),AX182="DIRECT",VLOOKUP(AU182,'Primary - GRADING'!$A$4:$BG997,10,),AX182="INDIRECT",VLOOKUP(AU182,'Primary - GRADING'!$A$4:$BG997,25,))</f>
        <v>#N/A</v>
      </c>
      <c r="BB182" s="153" t="str">
        <f t="shared" si="10"/>
        <v>#N/A</v>
      </c>
      <c r="BE182" s="153" t="str">
        <f t="shared" si="11"/>
        <v/>
      </c>
      <c r="BG182" s="153" t="str">
        <f t="shared" si="12"/>
        <v>#N/A</v>
      </c>
      <c r="BI182" s="153" t="str">
        <f t="shared" si="13"/>
        <v>#N/A</v>
      </c>
      <c r="BK182" s="153" t="str">
        <f t="shared" si="14"/>
        <v>#N/A</v>
      </c>
      <c r="BM182" s="153" t="str">
        <f t="shared" si="15"/>
        <v>#N/A</v>
      </c>
    </row>
    <row r="183" ht="15.75" customHeight="1">
      <c r="B183" s="160" t="str">
        <f t="shared" si="1"/>
        <v>#N/A</v>
      </c>
      <c r="C183" s="160" t="str">
        <f t="shared" si="2"/>
        <v>#N/A</v>
      </c>
      <c r="D183" s="160" t="str">
        <f t="shared" si="3"/>
        <v>#N/A</v>
      </c>
      <c r="E183" s="161" t="str">
        <f t="shared" si="4"/>
        <v>#N/A</v>
      </c>
      <c r="F183" s="153" t="str">
        <f t="shared" si="17"/>
        <v>#N/A</v>
      </c>
      <c r="G183" s="153" t="str">
        <f t="shared" si="6"/>
        <v>#N/A</v>
      </c>
      <c r="H183" s="156" t="str">
        <f t="array" ref="H183">INDEX('Primary - GRADING'!$A$1:$BG997,MATCH($A183,'Primary - GRADING'!$B:$B,0),59)</f>
        <v>#N/A</v>
      </c>
      <c r="I183" s="153" t="str">
        <f t="array" ref="I183">INDEX('Primary - GRADING'!$A$1:$CP997,MATCH($A183,'Primary - GRADING'!$CP:$CP,0),48)</f>
        <v>#N/A</v>
      </c>
      <c r="J183" s="153" t="str">
        <f t="array" ref="J183">INDEX('Primary - GRADING'!$A$1:$CP997,MATCH($A183,'Primary - GRADING'!$CP:$CP,0),49)</f>
        <v>#N/A</v>
      </c>
      <c r="K183" s="153" t="str">
        <f t="array" ref="K183">INDEX('Primary - GRADING'!$A$1:$CP997,MATCH($A183,'Primary - GRADING'!$CP:$CP,0),50)</f>
        <v>#N/A</v>
      </c>
      <c r="L183" s="153" t="str">
        <f t="array" ref="L183">INDEX('Primary - GRADING'!$A$1:$CP997,MATCH($A183,'Primary - GRADING'!$CP:$CP,0),51)</f>
        <v>#N/A</v>
      </c>
      <c r="M183" s="153" t="str">
        <f t="array" ref="M183">INDEX('Primary - GRADING'!$A$1:$CP997,MATCH($A183,'Primary - GRADING'!$CP:$CP,0),52)</f>
        <v>#N/A</v>
      </c>
      <c r="N183" s="153" t="str">
        <f t="array" ref="N183">INDEX('Primary - GRADING'!$A$1:$CP997,MATCH($A183,'Primary - GRADING'!$CP:$CP,0),53)</f>
        <v>#N/A</v>
      </c>
      <c r="O183" s="153" t="str">
        <f t="array" ref="O183">INDEX('Primary - GRADING'!$A$1:$CP997,MATCH($A183,'Primary - GRADING'!$CP:$CP,0),58)</f>
        <v>#N/A</v>
      </c>
      <c r="P183" s="153" t="str">
        <f t="array" ref="P183">INDEX('Primary - GRADING'!$A$1:$CP997,MATCH($A183,'Primary - GRADING'!$CP:$CP,0),5)</f>
        <v>#N/A</v>
      </c>
      <c r="Q183" s="153" t="str">
        <f t="array" ref="Q183">INDEX('Primary - GRADING'!$A$1:$CP997,MATCH($A183,'Primary - GRADING'!$CP:$CP,0),6)</f>
        <v>#N/A</v>
      </c>
      <c r="R183" s="153" t="str">
        <f t="array" ref="R183">INDEX('Primary - GRADING'!$A$1:$CP997,MATCH($A183,'Primary - GRADING'!$CP:$CP,0),7)</f>
        <v>#N/A</v>
      </c>
      <c r="S183" s="153" t="str">
        <f t="array" ref="S183">INDEX('Primary - GRADING'!$A$1:$CP997,MATCH($A183,'Primary - GRADING'!$CP:$CP,0),8)</f>
        <v>#N/A</v>
      </c>
      <c r="T183" s="153" t="str">
        <f t="array" ref="T183">INDEX('Primary - GRADING'!$A$1:$CP997,MATCH($A183,'Primary - GRADING'!$CP:$CP,0),9)</f>
        <v>#N/A</v>
      </c>
      <c r="U183" s="153" t="str">
        <f t="array" ref="U183">INDEX('Primary - GRADING'!$A$1:$CP997,MATCH($A183,'Primary - GRADING'!$CP:$CP,0),10)</f>
        <v>#N/A</v>
      </c>
      <c r="V183" s="153" t="str">
        <f t="array" ref="V183">INDEX('Primary - GRADING'!$A$1:$CP997,MATCH($A183,'Primary - GRADING'!$CP:$CP,0),18)</f>
        <v>#N/A</v>
      </c>
      <c r="W183" s="153" t="str">
        <f t="array" ref="W183">INDEX('Primary - GRADING'!$A$1:$CP997,MATCH($A183,'Primary - GRADING'!$CP:$CP,0),20)</f>
        <v>#N/A</v>
      </c>
      <c r="X183" s="153" t="str">
        <f t="array" ref="X183">INDEX('Primary - GRADING'!$A$1:$CP997,MATCH($A183,'Primary - GRADING'!$CP:$CP,0),21)</f>
        <v>#N/A</v>
      </c>
      <c r="Y183" s="153" t="str">
        <f t="array" ref="Y183">INDEX('Primary - GRADING'!$A$1:$CP997,MATCH($A183,'Primary - GRADING'!$CP:$CP,0),22)</f>
        <v>#N/A</v>
      </c>
      <c r="Z183" s="165" t="str">
        <f t="array" ref="Z183">INDEX('Primary - GRADING'!$A$1:$CP997,MATCH($A183,'Primary - GRADING'!$CP:$CP,0),23)</f>
        <v>#N/A</v>
      </c>
      <c r="AA183" s="153" t="str">
        <f t="array" ref="AA183">INDEX('Primary - GRADING'!$A$1:$CP997,MATCH($A183,'Primary - GRADING'!$CP:$CP,0),24)</f>
        <v>#N/A</v>
      </c>
      <c r="AB183" s="153" t="str">
        <f t="array" ref="AB183">INDEX('Primary - GRADING'!$A$1:$CP997,MATCH($A183,'Primary - GRADING'!$CP:$CP,0),25)</f>
        <v>#N/A</v>
      </c>
      <c r="AC183" s="153" t="str">
        <f t="array" ref="AC183">INDEX('Primary - GRADING'!$A$1:$CP997,MATCH($A183,'Primary - GRADING'!$CP:$CP,0),46)</f>
        <v>#N/A</v>
      </c>
      <c r="AG183" s="153" t="str">
        <f t="shared" si="7"/>
        <v>#N/A</v>
      </c>
      <c r="AI183" s="153" t="str">
        <f>VLOOKUP(AH183,'Primary - GRADING'!$A$4:$C997,2,)</f>
        <v>#N/A</v>
      </c>
      <c r="AJ183" s="153" t="str">
        <f>VLOOKUP(AH183,'Primary - GRADING'!$A$4:$C997,3,)</f>
        <v>#N/A</v>
      </c>
      <c r="AK183" s="153" t="str">
        <f>VLOOKUP(AH183,'Primary - GRADING'!$A$4:$BG997,59,)</f>
        <v>#N/A</v>
      </c>
      <c r="AL183" s="153" t="str">
        <f>IFS(AK183="NMA",VLOOKUP(AH183,'Primary - GRADING'!$A$4:$BG997,51,),AK183="DIRECT",VLOOKUP(AH183,'Primary - GRADING'!$A$4:$BG997,8,),AK183="INDIRECT",VLOOKUP(AH183,'Primary - GRADING'!$A$4:$BG997,23,))</f>
        <v>#N/A</v>
      </c>
      <c r="AM183" s="153" t="str">
        <f>IFS(AK183="NMA",VLOOKUP(AH183,'Primary - GRADING'!$A$4:$BG997,52,),AK183="DIRECT",VLOOKUP(AH183,'Primary - GRADING'!$A$4:$BG997,9,),AK183="INDIRECT",VLOOKUP(AH183,'Primary - GRADING'!$A$4:$BG997,24,))</f>
        <v>#N/A</v>
      </c>
      <c r="AN183" s="153" t="str">
        <f>IFS(AK183="NMA",VLOOKUP(AH183,'Primary - GRADING'!$A$4:$BG997,53,),AK183="DIRECT",VLOOKUP(AH183,'Primary - GRADING'!$A$4:$BG997,10,),AK183="INDIRECT",VLOOKUP(AH183,'Primary - GRADING'!$A$4:$BG997,25,))</f>
        <v>#N/A</v>
      </c>
      <c r="AO183" s="153" t="str">
        <f t="shared" si="8"/>
        <v>#N/A</v>
      </c>
      <c r="AT183" s="153" t="str">
        <f t="shared" si="9"/>
        <v>#N/A</v>
      </c>
      <c r="AV183" s="153" t="str">
        <f>VLOOKUP(AU183,'Primary - GRADING'!$A$4:$C997,2,)</f>
        <v>#N/A</v>
      </c>
      <c r="AW183" s="153" t="str">
        <f>VLOOKUP(AU183,'Primary - GRADING'!$A$4:$C997,3,)</f>
        <v>#N/A</v>
      </c>
      <c r="AX183" s="153" t="str">
        <f>VLOOKUP(AU183,'Primary - GRADING'!$A$4:$BG997,59,)</f>
        <v>#N/A</v>
      </c>
      <c r="AY183" s="153" t="str">
        <f>IFS(AX183="NMA",VLOOKUP(AU183,'Primary - GRADING'!$A$4:$BG997,51,),AX183="DIRECT",VLOOKUP(AU183,'Primary - GRADING'!$A$4:$BG997,8,),AX183="INDIRECT",VLOOKUP(AU183,'Primary - GRADING'!$A$4:$BG997,23,))</f>
        <v>#N/A</v>
      </c>
      <c r="AZ183" s="153" t="str">
        <f>IFS(AX183="NMA",VLOOKUP(AU183,'Primary - GRADING'!$A$4:$BG997,52,),AX183="DIRECT",VLOOKUP(AU183,'Primary - GRADING'!$A$4:$BG997,9,),AX183="INDIRECT",VLOOKUP(AU183,'Primary - GRADING'!$A$4:$BG997,24,))</f>
        <v>#N/A</v>
      </c>
      <c r="BA183" s="153" t="str">
        <f>IFS(AX183="NMA",VLOOKUP(AU183,'Primary - GRADING'!$A$4:$BG997,53,),AX183="DIRECT",VLOOKUP(AU183,'Primary - GRADING'!$A$4:$BG997,10,),AX183="INDIRECT",VLOOKUP(AU183,'Primary - GRADING'!$A$4:$BG997,25,))</f>
        <v>#N/A</v>
      </c>
      <c r="BB183" s="153" t="str">
        <f t="shared" si="10"/>
        <v>#N/A</v>
      </c>
      <c r="BE183" s="153" t="str">
        <f t="shared" si="11"/>
        <v/>
      </c>
      <c r="BG183" s="153" t="str">
        <f t="shared" si="12"/>
        <v>#N/A</v>
      </c>
      <c r="BI183" s="153" t="str">
        <f t="shared" si="13"/>
        <v>#N/A</v>
      </c>
      <c r="BK183" s="153" t="str">
        <f t="shared" si="14"/>
        <v>#N/A</v>
      </c>
      <c r="BM183" s="153" t="str">
        <f t="shared" si="15"/>
        <v>#N/A</v>
      </c>
    </row>
    <row r="184" ht="15.75" customHeight="1">
      <c r="B184" s="160" t="str">
        <f t="shared" si="1"/>
        <v>#N/A</v>
      </c>
      <c r="C184" s="160" t="str">
        <f t="shared" si="2"/>
        <v>#N/A</v>
      </c>
      <c r="D184" s="160" t="str">
        <f t="shared" si="3"/>
        <v>#N/A</v>
      </c>
      <c r="E184" s="161" t="str">
        <f t="shared" si="4"/>
        <v>#N/A</v>
      </c>
      <c r="F184" s="153" t="str">
        <f t="shared" si="17"/>
        <v>#N/A</v>
      </c>
      <c r="G184" s="153" t="str">
        <f t="shared" si="6"/>
        <v>#N/A</v>
      </c>
      <c r="H184" s="156" t="str">
        <f t="array" ref="H184">INDEX('Primary - GRADING'!$A$1:$BG997,MATCH($A184,'Primary - GRADING'!$B:$B,0),59)</f>
        <v>#N/A</v>
      </c>
      <c r="I184" s="153" t="str">
        <f t="array" ref="I184">INDEX('Primary - GRADING'!$A$1:$CP997,MATCH($A184,'Primary - GRADING'!$CP:$CP,0),48)</f>
        <v>#N/A</v>
      </c>
      <c r="J184" s="153" t="str">
        <f t="array" ref="J184">INDEX('Primary - GRADING'!$A$1:$CP997,MATCH($A184,'Primary - GRADING'!$CP:$CP,0),49)</f>
        <v>#N/A</v>
      </c>
      <c r="K184" s="153" t="str">
        <f t="array" ref="K184">INDEX('Primary - GRADING'!$A$1:$CP997,MATCH($A184,'Primary - GRADING'!$CP:$CP,0),50)</f>
        <v>#N/A</v>
      </c>
      <c r="L184" s="153" t="str">
        <f t="array" ref="L184">INDEX('Primary - GRADING'!$A$1:$CP997,MATCH($A184,'Primary - GRADING'!$CP:$CP,0),51)</f>
        <v>#N/A</v>
      </c>
      <c r="M184" s="153" t="str">
        <f t="array" ref="M184">INDEX('Primary - GRADING'!$A$1:$CP997,MATCH($A184,'Primary - GRADING'!$CP:$CP,0),52)</f>
        <v>#N/A</v>
      </c>
      <c r="N184" s="153" t="str">
        <f t="array" ref="N184">INDEX('Primary - GRADING'!$A$1:$CP997,MATCH($A184,'Primary - GRADING'!$CP:$CP,0),53)</f>
        <v>#N/A</v>
      </c>
      <c r="O184" s="153" t="str">
        <f t="array" ref="O184">INDEX('Primary - GRADING'!$A$1:$CP997,MATCH($A184,'Primary - GRADING'!$CP:$CP,0),58)</f>
        <v>#N/A</v>
      </c>
      <c r="P184" s="153" t="str">
        <f t="array" ref="P184">INDEX('Primary - GRADING'!$A$1:$CP997,MATCH($A184,'Primary - GRADING'!$CP:$CP,0),5)</f>
        <v>#N/A</v>
      </c>
      <c r="Q184" s="153" t="str">
        <f t="array" ref="Q184">INDEX('Primary - GRADING'!$A$1:$CP997,MATCH($A184,'Primary - GRADING'!$CP:$CP,0),6)</f>
        <v>#N/A</v>
      </c>
      <c r="R184" s="153" t="str">
        <f t="array" ref="R184">INDEX('Primary - GRADING'!$A$1:$CP997,MATCH($A184,'Primary - GRADING'!$CP:$CP,0),7)</f>
        <v>#N/A</v>
      </c>
      <c r="S184" s="153" t="str">
        <f t="array" ref="S184">INDEX('Primary - GRADING'!$A$1:$CP997,MATCH($A184,'Primary - GRADING'!$CP:$CP,0),8)</f>
        <v>#N/A</v>
      </c>
      <c r="T184" s="153" t="str">
        <f t="array" ref="T184">INDEX('Primary - GRADING'!$A$1:$CP997,MATCH($A184,'Primary - GRADING'!$CP:$CP,0),9)</f>
        <v>#N/A</v>
      </c>
      <c r="U184" s="153" t="str">
        <f t="array" ref="U184">INDEX('Primary - GRADING'!$A$1:$CP997,MATCH($A184,'Primary - GRADING'!$CP:$CP,0),10)</f>
        <v>#N/A</v>
      </c>
      <c r="V184" s="153" t="str">
        <f t="array" ref="V184">INDEX('Primary - GRADING'!$A$1:$CP997,MATCH($A184,'Primary - GRADING'!$CP:$CP,0),18)</f>
        <v>#N/A</v>
      </c>
      <c r="W184" s="153" t="str">
        <f t="array" ref="W184">INDEX('Primary - GRADING'!$A$1:$CP997,MATCH($A184,'Primary - GRADING'!$CP:$CP,0),20)</f>
        <v>#N/A</v>
      </c>
      <c r="X184" s="153" t="str">
        <f t="array" ref="X184">INDEX('Primary - GRADING'!$A$1:$CP997,MATCH($A184,'Primary - GRADING'!$CP:$CP,0),21)</f>
        <v>#N/A</v>
      </c>
      <c r="Y184" s="153" t="str">
        <f t="array" ref="Y184">INDEX('Primary - GRADING'!$A$1:$CP997,MATCH($A184,'Primary - GRADING'!$CP:$CP,0),22)</f>
        <v>#N/A</v>
      </c>
      <c r="Z184" s="165" t="str">
        <f t="array" ref="Z184">INDEX('Primary - GRADING'!$A$1:$CP997,MATCH($A184,'Primary - GRADING'!$CP:$CP,0),23)</f>
        <v>#N/A</v>
      </c>
      <c r="AA184" s="153" t="str">
        <f t="array" ref="AA184">INDEX('Primary - GRADING'!$A$1:$CP997,MATCH($A184,'Primary - GRADING'!$CP:$CP,0),24)</f>
        <v>#N/A</v>
      </c>
      <c r="AB184" s="153" t="str">
        <f t="array" ref="AB184">INDEX('Primary - GRADING'!$A$1:$CP997,MATCH($A184,'Primary - GRADING'!$CP:$CP,0),25)</f>
        <v>#N/A</v>
      </c>
      <c r="AC184" s="153" t="str">
        <f t="array" ref="AC184">INDEX('Primary - GRADING'!$A$1:$CP997,MATCH($A184,'Primary - GRADING'!$CP:$CP,0),46)</f>
        <v>#N/A</v>
      </c>
      <c r="AG184" s="153" t="str">
        <f t="shared" si="7"/>
        <v>#N/A</v>
      </c>
      <c r="AI184" s="153" t="str">
        <f>VLOOKUP(AH184,'Primary - GRADING'!$A$4:$C997,2,)</f>
        <v>#N/A</v>
      </c>
      <c r="AJ184" s="153" t="str">
        <f>VLOOKUP(AH184,'Primary - GRADING'!$A$4:$C997,3,)</f>
        <v>#N/A</v>
      </c>
      <c r="AK184" s="153" t="str">
        <f>VLOOKUP(AH184,'Primary - GRADING'!$A$4:$BG997,59,)</f>
        <v>#N/A</v>
      </c>
      <c r="AL184" s="153" t="str">
        <f>IFS(AK184="NMA",VLOOKUP(AH184,'Primary - GRADING'!$A$4:$BG997,51,),AK184="DIRECT",VLOOKUP(AH184,'Primary - GRADING'!$A$4:$BG997,8,),AK184="INDIRECT",VLOOKUP(AH184,'Primary - GRADING'!$A$4:$BG997,23,))</f>
        <v>#N/A</v>
      </c>
      <c r="AM184" s="153" t="str">
        <f>IFS(AK184="NMA",VLOOKUP(AH184,'Primary - GRADING'!$A$4:$BG997,52,),AK184="DIRECT",VLOOKUP(AH184,'Primary - GRADING'!$A$4:$BG997,9,),AK184="INDIRECT",VLOOKUP(AH184,'Primary - GRADING'!$A$4:$BG997,24,))</f>
        <v>#N/A</v>
      </c>
      <c r="AN184" s="153" t="str">
        <f>IFS(AK184="NMA",VLOOKUP(AH184,'Primary - GRADING'!$A$4:$BG997,53,),AK184="DIRECT",VLOOKUP(AH184,'Primary - GRADING'!$A$4:$BG997,10,),AK184="INDIRECT",VLOOKUP(AH184,'Primary - GRADING'!$A$4:$BG997,25,))</f>
        <v>#N/A</v>
      </c>
      <c r="AO184" s="153" t="str">
        <f t="shared" si="8"/>
        <v>#N/A</v>
      </c>
      <c r="AT184" s="153" t="str">
        <f t="shared" si="9"/>
        <v>#N/A</v>
      </c>
      <c r="AV184" s="153" t="str">
        <f>VLOOKUP(AU184,'Primary - GRADING'!$A$4:$C997,2,)</f>
        <v>#N/A</v>
      </c>
      <c r="AW184" s="153" t="str">
        <f>VLOOKUP(AU184,'Primary - GRADING'!$A$4:$C997,3,)</f>
        <v>#N/A</v>
      </c>
      <c r="AX184" s="153" t="str">
        <f>VLOOKUP(AU184,'Primary - GRADING'!$A$4:$BG997,59,)</f>
        <v>#N/A</v>
      </c>
      <c r="AY184" s="153" t="str">
        <f>IFS(AX184="NMA",VLOOKUP(AU184,'Primary - GRADING'!$A$4:$BG997,51,),AX184="DIRECT",VLOOKUP(AU184,'Primary - GRADING'!$A$4:$BG997,8,),AX184="INDIRECT",VLOOKUP(AU184,'Primary - GRADING'!$A$4:$BG997,23,))</f>
        <v>#N/A</v>
      </c>
      <c r="AZ184" s="153" t="str">
        <f>IFS(AX184="NMA",VLOOKUP(AU184,'Primary - GRADING'!$A$4:$BG997,52,),AX184="DIRECT",VLOOKUP(AU184,'Primary - GRADING'!$A$4:$BG997,9,),AX184="INDIRECT",VLOOKUP(AU184,'Primary - GRADING'!$A$4:$BG997,24,))</f>
        <v>#N/A</v>
      </c>
      <c r="BA184" s="153" t="str">
        <f>IFS(AX184="NMA",VLOOKUP(AU184,'Primary - GRADING'!$A$4:$BG997,53,),AX184="DIRECT",VLOOKUP(AU184,'Primary - GRADING'!$A$4:$BG997,10,),AX184="INDIRECT",VLOOKUP(AU184,'Primary - GRADING'!$A$4:$BG997,25,))</f>
        <v>#N/A</v>
      </c>
      <c r="BB184" s="153" t="str">
        <f t="shared" si="10"/>
        <v>#N/A</v>
      </c>
      <c r="BE184" s="153" t="str">
        <f t="shared" si="11"/>
        <v/>
      </c>
      <c r="BG184" s="153" t="str">
        <f t="shared" si="12"/>
        <v>#N/A</v>
      </c>
      <c r="BI184" s="153" t="str">
        <f t="shared" si="13"/>
        <v>#N/A</v>
      </c>
      <c r="BK184" s="153" t="str">
        <f t="shared" si="14"/>
        <v>#N/A</v>
      </c>
      <c r="BM184" s="153" t="str">
        <f t="shared" si="15"/>
        <v>#N/A</v>
      </c>
    </row>
    <row r="185" ht="15.75" customHeight="1">
      <c r="B185" s="160" t="str">
        <f t="shared" si="1"/>
        <v>#N/A</v>
      </c>
      <c r="C185" s="160" t="str">
        <f t="shared" si="2"/>
        <v>#N/A</v>
      </c>
      <c r="D185" s="160" t="str">
        <f t="shared" si="3"/>
        <v>#N/A</v>
      </c>
      <c r="E185" s="161" t="str">
        <f t="shared" si="4"/>
        <v>#N/A</v>
      </c>
      <c r="F185" s="153" t="str">
        <f t="shared" si="17"/>
        <v>#N/A</v>
      </c>
      <c r="G185" s="153" t="str">
        <f t="shared" si="6"/>
        <v>#N/A</v>
      </c>
      <c r="H185" s="156" t="str">
        <f t="array" ref="H185">INDEX('Primary - GRADING'!$A$1:$BG997,MATCH($A185,'Primary - GRADING'!$B:$B,0),59)</f>
        <v>#N/A</v>
      </c>
      <c r="I185" s="153" t="str">
        <f t="array" ref="I185">INDEX('Primary - GRADING'!$A$1:$CP997,MATCH($A185,'Primary - GRADING'!$CP:$CP,0),48)</f>
        <v>#N/A</v>
      </c>
      <c r="J185" s="153" t="str">
        <f t="array" ref="J185">INDEX('Primary - GRADING'!$A$1:$CP997,MATCH($A185,'Primary - GRADING'!$CP:$CP,0),49)</f>
        <v>#N/A</v>
      </c>
      <c r="K185" s="153" t="str">
        <f t="array" ref="K185">INDEX('Primary - GRADING'!$A$1:$CP997,MATCH($A185,'Primary - GRADING'!$CP:$CP,0),50)</f>
        <v>#N/A</v>
      </c>
      <c r="L185" s="153" t="str">
        <f t="array" ref="L185">INDEX('Primary - GRADING'!$A$1:$CP997,MATCH($A185,'Primary - GRADING'!$CP:$CP,0),51)</f>
        <v>#N/A</v>
      </c>
      <c r="M185" s="153" t="str">
        <f t="array" ref="M185">INDEX('Primary - GRADING'!$A$1:$CP997,MATCH($A185,'Primary - GRADING'!$CP:$CP,0),52)</f>
        <v>#N/A</v>
      </c>
      <c r="N185" s="153" t="str">
        <f t="array" ref="N185">INDEX('Primary - GRADING'!$A$1:$CP997,MATCH($A185,'Primary - GRADING'!$CP:$CP,0),53)</f>
        <v>#N/A</v>
      </c>
      <c r="O185" s="153" t="str">
        <f t="array" ref="O185">INDEX('Primary - GRADING'!$A$1:$CP997,MATCH($A185,'Primary - GRADING'!$CP:$CP,0),58)</f>
        <v>#N/A</v>
      </c>
      <c r="P185" s="153" t="str">
        <f t="array" ref="P185">INDEX('Primary - GRADING'!$A$1:$CP997,MATCH($A185,'Primary - GRADING'!$CP:$CP,0),5)</f>
        <v>#N/A</v>
      </c>
      <c r="Q185" s="153" t="str">
        <f t="array" ref="Q185">INDEX('Primary - GRADING'!$A$1:$CP997,MATCH($A185,'Primary - GRADING'!$CP:$CP,0),6)</f>
        <v>#N/A</v>
      </c>
      <c r="R185" s="153" t="str">
        <f t="array" ref="R185">INDEX('Primary - GRADING'!$A$1:$CP997,MATCH($A185,'Primary - GRADING'!$CP:$CP,0),7)</f>
        <v>#N/A</v>
      </c>
      <c r="S185" s="153" t="str">
        <f t="array" ref="S185">INDEX('Primary - GRADING'!$A$1:$CP997,MATCH($A185,'Primary - GRADING'!$CP:$CP,0),8)</f>
        <v>#N/A</v>
      </c>
      <c r="T185" s="153" t="str">
        <f t="array" ref="T185">INDEX('Primary - GRADING'!$A$1:$CP997,MATCH($A185,'Primary - GRADING'!$CP:$CP,0),9)</f>
        <v>#N/A</v>
      </c>
      <c r="U185" s="153" t="str">
        <f t="array" ref="U185">INDEX('Primary - GRADING'!$A$1:$CP997,MATCH($A185,'Primary - GRADING'!$CP:$CP,0),10)</f>
        <v>#N/A</v>
      </c>
      <c r="V185" s="153" t="str">
        <f t="array" ref="V185">INDEX('Primary - GRADING'!$A$1:$CP997,MATCH($A185,'Primary - GRADING'!$CP:$CP,0),18)</f>
        <v>#N/A</v>
      </c>
      <c r="W185" s="153" t="str">
        <f t="array" ref="W185">INDEX('Primary - GRADING'!$A$1:$CP997,MATCH($A185,'Primary - GRADING'!$CP:$CP,0),20)</f>
        <v>#N/A</v>
      </c>
      <c r="X185" s="153" t="str">
        <f t="array" ref="X185">INDEX('Primary - GRADING'!$A$1:$CP997,MATCH($A185,'Primary - GRADING'!$CP:$CP,0),21)</f>
        <v>#N/A</v>
      </c>
      <c r="Y185" s="153" t="str">
        <f t="array" ref="Y185">INDEX('Primary - GRADING'!$A$1:$CP997,MATCH($A185,'Primary - GRADING'!$CP:$CP,0),22)</f>
        <v>#N/A</v>
      </c>
      <c r="Z185" s="165" t="str">
        <f t="array" ref="Z185">INDEX('Primary - GRADING'!$A$1:$CP997,MATCH($A185,'Primary - GRADING'!$CP:$CP,0),23)</f>
        <v>#N/A</v>
      </c>
      <c r="AA185" s="153" t="str">
        <f t="array" ref="AA185">INDEX('Primary - GRADING'!$A$1:$CP997,MATCH($A185,'Primary - GRADING'!$CP:$CP,0),24)</f>
        <v>#N/A</v>
      </c>
      <c r="AB185" s="153" t="str">
        <f t="array" ref="AB185">INDEX('Primary - GRADING'!$A$1:$CP997,MATCH($A185,'Primary - GRADING'!$CP:$CP,0),25)</f>
        <v>#N/A</v>
      </c>
      <c r="AC185" s="153" t="str">
        <f t="array" ref="AC185">INDEX('Primary - GRADING'!$A$1:$CP997,MATCH($A185,'Primary - GRADING'!$CP:$CP,0),46)</f>
        <v>#N/A</v>
      </c>
      <c r="AG185" s="153" t="str">
        <f t="shared" si="7"/>
        <v>#N/A</v>
      </c>
      <c r="AI185" s="153" t="str">
        <f>VLOOKUP(AH185,'Primary - GRADING'!$A$4:$C997,2,)</f>
        <v>#N/A</v>
      </c>
      <c r="AJ185" s="153" t="str">
        <f>VLOOKUP(AH185,'Primary - GRADING'!$A$4:$C997,3,)</f>
        <v>#N/A</v>
      </c>
      <c r="AK185" s="153" t="str">
        <f>VLOOKUP(AH185,'Primary - GRADING'!$A$4:$BG997,59,)</f>
        <v>#N/A</v>
      </c>
      <c r="AL185" s="153" t="str">
        <f>IFS(AK185="NMA",VLOOKUP(AH185,'Primary - GRADING'!$A$4:$BG997,51,),AK185="DIRECT",VLOOKUP(AH185,'Primary - GRADING'!$A$4:$BG997,8,),AK185="INDIRECT",VLOOKUP(AH185,'Primary - GRADING'!$A$4:$BG997,23,))</f>
        <v>#N/A</v>
      </c>
      <c r="AM185" s="153" t="str">
        <f>IFS(AK185="NMA",VLOOKUP(AH185,'Primary - GRADING'!$A$4:$BG997,52,),AK185="DIRECT",VLOOKUP(AH185,'Primary - GRADING'!$A$4:$BG997,9,),AK185="INDIRECT",VLOOKUP(AH185,'Primary - GRADING'!$A$4:$BG997,24,))</f>
        <v>#N/A</v>
      </c>
      <c r="AN185" s="153" t="str">
        <f>IFS(AK185="NMA",VLOOKUP(AH185,'Primary - GRADING'!$A$4:$BG997,53,),AK185="DIRECT",VLOOKUP(AH185,'Primary - GRADING'!$A$4:$BG997,10,),AK185="INDIRECT",VLOOKUP(AH185,'Primary - GRADING'!$A$4:$BG997,25,))</f>
        <v>#N/A</v>
      </c>
      <c r="AO185" s="153" t="str">
        <f t="shared" si="8"/>
        <v>#N/A</v>
      </c>
      <c r="AT185" s="153" t="str">
        <f t="shared" si="9"/>
        <v>#N/A</v>
      </c>
      <c r="AV185" s="153" t="str">
        <f>VLOOKUP(AU185,'Primary - GRADING'!$A$4:$C997,2,)</f>
        <v>#N/A</v>
      </c>
      <c r="AW185" s="153" t="str">
        <f>VLOOKUP(AU185,'Primary - GRADING'!$A$4:$C997,3,)</f>
        <v>#N/A</v>
      </c>
      <c r="AX185" s="153" t="str">
        <f>VLOOKUP(AU185,'Primary - GRADING'!$A$4:$BG997,59,)</f>
        <v>#N/A</v>
      </c>
      <c r="AY185" s="153" t="str">
        <f>IFS(AX185="NMA",VLOOKUP(AU185,'Primary - GRADING'!$A$4:$BG997,51,),AX185="DIRECT",VLOOKUP(AU185,'Primary - GRADING'!$A$4:$BG997,8,),AX185="INDIRECT",VLOOKUP(AU185,'Primary - GRADING'!$A$4:$BG997,23,))</f>
        <v>#N/A</v>
      </c>
      <c r="AZ185" s="153" t="str">
        <f>IFS(AX185="NMA",VLOOKUP(AU185,'Primary - GRADING'!$A$4:$BG997,52,),AX185="DIRECT",VLOOKUP(AU185,'Primary - GRADING'!$A$4:$BG997,9,),AX185="INDIRECT",VLOOKUP(AU185,'Primary - GRADING'!$A$4:$BG997,24,))</f>
        <v>#N/A</v>
      </c>
      <c r="BA185" s="153" t="str">
        <f>IFS(AX185="NMA",VLOOKUP(AU185,'Primary - GRADING'!$A$4:$BG997,53,),AX185="DIRECT",VLOOKUP(AU185,'Primary - GRADING'!$A$4:$BG997,10,),AX185="INDIRECT",VLOOKUP(AU185,'Primary - GRADING'!$A$4:$BG997,25,))</f>
        <v>#N/A</v>
      </c>
      <c r="BB185" s="153" t="str">
        <f t="shared" si="10"/>
        <v>#N/A</v>
      </c>
      <c r="BE185" s="153" t="str">
        <f t="shared" si="11"/>
        <v/>
      </c>
      <c r="BG185" s="153" t="str">
        <f t="shared" si="12"/>
        <v>#N/A</v>
      </c>
      <c r="BI185" s="153" t="str">
        <f t="shared" si="13"/>
        <v>#N/A</v>
      </c>
      <c r="BK185" s="153" t="str">
        <f t="shared" si="14"/>
        <v>#N/A</v>
      </c>
      <c r="BM185" s="153" t="str">
        <f t="shared" si="15"/>
        <v>#N/A</v>
      </c>
    </row>
    <row r="186" ht="15.75" customHeight="1">
      <c r="B186" s="160" t="str">
        <f t="shared" si="1"/>
        <v>#N/A</v>
      </c>
      <c r="C186" s="160" t="str">
        <f t="shared" si="2"/>
        <v>#N/A</v>
      </c>
      <c r="D186" s="160" t="str">
        <f t="shared" si="3"/>
        <v>#N/A</v>
      </c>
      <c r="E186" s="161" t="str">
        <f t="shared" si="4"/>
        <v>#N/A</v>
      </c>
      <c r="F186" s="153" t="str">
        <f t="shared" si="17"/>
        <v>#N/A</v>
      </c>
      <c r="G186" s="153" t="str">
        <f t="shared" si="6"/>
        <v>#N/A</v>
      </c>
      <c r="H186" s="156" t="str">
        <f t="array" ref="H186">INDEX('Primary - GRADING'!$A$1:$BG997,MATCH($A186,'Primary - GRADING'!$B:$B,0),59)</f>
        <v>#N/A</v>
      </c>
      <c r="I186" s="153" t="str">
        <f t="array" ref="I186">INDEX('Primary - GRADING'!$A$1:$CP997,MATCH($A186,'Primary - GRADING'!$CP:$CP,0),48)</f>
        <v>#N/A</v>
      </c>
      <c r="J186" s="153" t="str">
        <f t="array" ref="J186">INDEX('Primary - GRADING'!$A$1:$CP997,MATCH($A186,'Primary - GRADING'!$CP:$CP,0),49)</f>
        <v>#N/A</v>
      </c>
      <c r="K186" s="153" t="str">
        <f t="array" ref="K186">INDEX('Primary - GRADING'!$A$1:$CP997,MATCH($A186,'Primary - GRADING'!$CP:$CP,0),50)</f>
        <v>#N/A</v>
      </c>
      <c r="L186" s="153" t="str">
        <f t="array" ref="L186">INDEX('Primary - GRADING'!$A$1:$CP997,MATCH($A186,'Primary - GRADING'!$CP:$CP,0),51)</f>
        <v>#N/A</v>
      </c>
      <c r="M186" s="153" t="str">
        <f t="array" ref="M186">INDEX('Primary - GRADING'!$A$1:$CP997,MATCH($A186,'Primary - GRADING'!$CP:$CP,0),52)</f>
        <v>#N/A</v>
      </c>
      <c r="N186" s="153" t="str">
        <f t="array" ref="N186">INDEX('Primary - GRADING'!$A$1:$CP997,MATCH($A186,'Primary - GRADING'!$CP:$CP,0),53)</f>
        <v>#N/A</v>
      </c>
      <c r="O186" s="153" t="str">
        <f t="array" ref="O186">INDEX('Primary - GRADING'!$A$1:$CP997,MATCH($A186,'Primary - GRADING'!$CP:$CP,0),58)</f>
        <v>#N/A</v>
      </c>
      <c r="P186" s="153" t="str">
        <f t="array" ref="P186">INDEX('Primary - GRADING'!$A$1:$CP997,MATCH($A186,'Primary - GRADING'!$CP:$CP,0),5)</f>
        <v>#N/A</v>
      </c>
      <c r="Q186" s="153" t="str">
        <f t="array" ref="Q186">INDEX('Primary - GRADING'!$A$1:$CP997,MATCH($A186,'Primary - GRADING'!$CP:$CP,0),6)</f>
        <v>#N/A</v>
      </c>
      <c r="R186" s="153" t="str">
        <f t="array" ref="R186">INDEX('Primary - GRADING'!$A$1:$CP997,MATCH($A186,'Primary - GRADING'!$CP:$CP,0),7)</f>
        <v>#N/A</v>
      </c>
      <c r="S186" s="153" t="str">
        <f t="array" ref="S186">INDEX('Primary - GRADING'!$A$1:$CP997,MATCH($A186,'Primary - GRADING'!$CP:$CP,0),8)</f>
        <v>#N/A</v>
      </c>
      <c r="T186" s="153" t="str">
        <f t="array" ref="T186">INDEX('Primary - GRADING'!$A$1:$CP997,MATCH($A186,'Primary - GRADING'!$CP:$CP,0),9)</f>
        <v>#N/A</v>
      </c>
      <c r="U186" s="153" t="str">
        <f t="array" ref="U186">INDEX('Primary - GRADING'!$A$1:$CP997,MATCH($A186,'Primary - GRADING'!$CP:$CP,0),10)</f>
        <v>#N/A</v>
      </c>
      <c r="V186" s="153" t="str">
        <f t="array" ref="V186">INDEX('Primary - GRADING'!$A$1:$CP997,MATCH($A186,'Primary - GRADING'!$CP:$CP,0),18)</f>
        <v>#N/A</v>
      </c>
      <c r="W186" s="153" t="str">
        <f t="array" ref="W186">INDEX('Primary - GRADING'!$A$1:$CP997,MATCH($A186,'Primary - GRADING'!$CP:$CP,0),20)</f>
        <v>#N/A</v>
      </c>
      <c r="X186" s="153" t="str">
        <f t="array" ref="X186">INDEX('Primary - GRADING'!$A$1:$CP997,MATCH($A186,'Primary - GRADING'!$CP:$CP,0),21)</f>
        <v>#N/A</v>
      </c>
      <c r="Y186" s="153" t="str">
        <f t="array" ref="Y186">INDEX('Primary - GRADING'!$A$1:$CP997,MATCH($A186,'Primary - GRADING'!$CP:$CP,0),22)</f>
        <v>#N/A</v>
      </c>
      <c r="Z186" s="165" t="str">
        <f t="array" ref="Z186">INDEX('Primary - GRADING'!$A$1:$CP997,MATCH($A186,'Primary - GRADING'!$CP:$CP,0),23)</f>
        <v>#N/A</v>
      </c>
      <c r="AA186" s="153" t="str">
        <f t="array" ref="AA186">INDEX('Primary - GRADING'!$A$1:$CP997,MATCH($A186,'Primary - GRADING'!$CP:$CP,0),24)</f>
        <v>#N/A</v>
      </c>
      <c r="AB186" s="153" t="str">
        <f t="array" ref="AB186">INDEX('Primary - GRADING'!$A$1:$CP997,MATCH($A186,'Primary - GRADING'!$CP:$CP,0),25)</f>
        <v>#N/A</v>
      </c>
      <c r="AC186" s="153" t="str">
        <f t="array" ref="AC186">INDEX('Primary - GRADING'!$A$1:$CP997,MATCH($A186,'Primary - GRADING'!$CP:$CP,0),46)</f>
        <v>#N/A</v>
      </c>
      <c r="AG186" s="153" t="str">
        <f t="shared" si="7"/>
        <v>#N/A</v>
      </c>
      <c r="AI186" s="153" t="str">
        <f>VLOOKUP(AH186,'Primary - GRADING'!$A$4:$C997,2,)</f>
        <v>#N/A</v>
      </c>
      <c r="AJ186" s="153" t="str">
        <f>VLOOKUP(AH186,'Primary - GRADING'!$A$4:$C997,3,)</f>
        <v>#N/A</v>
      </c>
      <c r="AK186" s="153" t="str">
        <f>VLOOKUP(AH186,'Primary - GRADING'!$A$4:$BG997,59,)</f>
        <v>#N/A</v>
      </c>
      <c r="AL186" s="153" t="str">
        <f>IFS(AK186="NMA",VLOOKUP(AH186,'Primary - GRADING'!$A$4:$BG997,51,),AK186="DIRECT",VLOOKUP(AH186,'Primary - GRADING'!$A$4:$BG997,8,),AK186="INDIRECT",VLOOKUP(AH186,'Primary - GRADING'!$A$4:$BG997,23,))</f>
        <v>#N/A</v>
      </c>
      <c r="AM186" s="153" t="str">
        <f>IFS(AK186="NMA",VLOOKUP(AH186,'Primary - GRADING'!$A$4:$BG997,52,),AK186="DIRECT",VLOOKUP(AH186,'Primary - GRADING'!$A$4:$BG997,9,),AK186="INDIRECT",VLOOKUP(AH186,'Primary - GRADING'!$A$4:$BG997,24,))</f>
        <v>#N/A</v>
      </c>
      <c r="AN186" s="153" t="str">
        <f>IFS(AK186="NMA",VLOOKUP(AH186,'Primary - GRADING'!$A$4:$BG997,53,),AK186="DIRECT",VLOOKUP(AH186,'Primary - GRADING'!$A$4:$BG997,10,),AK186="INDIRECT",VLOOKUP(AH186,'Primary - GRADING'!$A$4:$BG997,25,))</f>
        <v>#N/A</v>
      </c>
      <c r="AO186" s="153" t="str">
        <f t="shared" si="8"/>
        <v>#N/A</v>
      </c>
      <c r="AT186" s="153" t="str">
        <f t="shared" si="9"/>
        <v>#N/A</v>
      </c>
      <c r="AV186" s="153" t="str">
        <f>VLOOKUP(AU186,'Primary - GRADING'!$A$4:$C997,2,)</f>
        <v>#N/A</v>
      </c>
      <c r="AW186" s="153" t="str">
        <f>VLOOKUP(AU186,'Primary - GRADING'!$A$4:$C997,3,)</f>
        <v>#N/A</v>
      </c>
      <c r="AX186" s="153" t="str">
        <f>VLOOKUP(AU186,'Primary - GRADING'!$A$4:$BG997,59,)</f>
        <v>#N/A</v>
      </c>
      <c r="AY186" s="153" t="str">
        <f>IFS(AX186="NMA",VLOOKUP(AU186,'Primary - GRADING'!$A$4:$BG997,51,),AX186="DIRECT",VLOOKUP(AU186,'Primary - GRADING'!$A$4:$BG997,8,),AX186="INDIRECT",VLOOKUP(AU186,'Primary - GRADING'!$A$4:$BG997,23,))</f>
        <v>#N/A</v>
      </c>
      <c r="AZ186" s="153" t="str">
        <f>IFS(AX186="NMA",VLOOKUP(AU186,'Primary - GRADING'!$A$4:$BG997,52,),AX186="DIRECT",VLOOKUP(AU186,'Primary - GRADING'!$A$4:$BG997,9,),AX186="INDIRECT",VLOOKUP(AU186,'Primary - GRADING'!$A$4:$BG997,24,))</f>
        <v>#N/A</v>
      </c>
      <c r="BA186" s="153" t="str">
        <f>IFS(AX186="NMA",VLOOKUP(AU186,'Primary - GRADING'!$A$4:$BG997,53,),AX186="DIRECT",VLOOKUP(AU186,'Primary - GRADING'!$A$4:$BG997,10,),AX186="INDIRECT",VLOOKUP(AU186,'Primary - GRADING'!$A$4:$BG997,25,))</f>
        <v>#N/A</v>
      </c>
      <c r="BB186" s="153" t="str">
        <f t="shared" si="10"/>
        <v>#N/A</v>
      </c>
      <c r="BE186" s="153" t="str">
        <f t="shared" si="11"/>
        <v/>
      </c>
      <c r="BG186" s="153" t="str">
        <f t="shared" si="12"/>
        <v>#N/A</v>
      </c>
      <c r="BI186" s="153" t="str">
        <f t="shared" si="13"/>
        <v>#N/A</v>
      </c>
      <c r="BK186" s="153" t="str">
        <f t="shared" si="14"/>
        <v>#N/A</v>
      </c>
      <c r="BM186" s="153" t="str">
        <f t="shared" si="15"/>
        <v>#N/A</v>
      </c>
    </row>
    <row r="187" ht="15.75" customHeight="1">
      <c r="B187" s="160" t="str">
        <f t="shared" si="1"/>
        <v>#N/A</v>
      </c>
      <c r="C187" s="160" t="str">
        <f t="shared" si="2"/>
        <v>#N/A</v>
      </c>
      <c r="D187" s="160" t="str">
        <f t="shared" si="3"/>
        <v>#N/A</v>
      </c>
      <c r="E187" s="161" t="str">
        <f t="shared" si="4"/>
        <v>#N/A</v>
      </c>
      <c r="F187" s="153" t="str">
        <f t="shared" si="17"/>
        <v>#N/A</v>
      </c>
      <c r="G187" s="153" t="str">
        <f t="shared" si="6"/>
        <v>#N/A</v>
      </c>
      <c r="H187" s="156" t="str">
        <f t="array" ref="H187">INDEX('Primary - GRADING'!$A$1:$BG997,MATCH($A187,'Primary - GRADING'!$B:$B,0),59)</f>
        <v>#N/A</v>
      </c>
      <c r="I187" s="153" t="str">
        <f t="array" ref="I187">INDEX('Primary - GRADING'!$A$1:$CP997,MATCH($A187,'Primary - GRADING'!$CP:$CP,0),48)</f>
        <v>#N/A</v>
      </c>
      <c r="J187" s="153" t="str">
        <f t="array" ref="J187">INDEX('Primary - GRADING'!$A$1:$CP997,MATCH($A187,'Primary - GRADING'!$CP:$CP,0),49)</f>
        <v>#N/A</v>
      </c>
      <c r="K187" s="153" t="str">
        <f t="array" ref="K187">INDEX('Primary - GRADING'!$A$1:$CP997,MATCH($A187,'Primary - GRADING'!$CP:$CP,0),50)</f>
        <v>#N/A</v>
      </c>
      <c r="L187" s="153" t="str">
        <f t="array" ref="L187">INDEX('Primary - GRADING'!$A$1:$CP997,MATCH($A187,'Primary - GRADING'!$CP:$CP,0),51)</f>
        <v>#N/A</v>
      </c>
      <c r="M187" s="153" t="str">
        <f t="array" ref="M187">INDEX('Primary - GRADING'!$A$1:$CP997,MATCH($A187,'Primary - GRADING'!$CP:$CP,0),52)</f>
        <v>#N/A</v>
      </c>
      <c r="N187" s="153" t="str">
        <f t="array" ref="N187">INDEX('Primary - GRADING'!$A$1:$CP997,MATCH($A187,'Primary - GRADING'!$CP:$CP,0),53)</f>
        <v>#N/A</v>
      </c>
      <c r="O187" s="153" t="str">
        <f t="array" ref="O187">INDEX('Primary - GRADING'!$A$1:$CP997,MATCH($A187,'Primary - GRADING'!$CP:$CP,0),58)</f>
        <v>#N/A</v>
      </c>
      <c r="P187" s="153" t="str">
        <f t="array" ref="P187">INDEX('Primary - GRADING'!$A$1:$CP997,MATCH($A187,'Primary - GRADING'!$CP:$CP,0),5)</f>
        <v>#N/A</v>
      </c>
      <c r="Q187" s="153" t="str">
        <f t="array" ref="Q187">INDEX('Primary - GRADING'!$A$1:$CP997,MATCH($A187,'Primary - GRADING'!$CP:$CP,0),6)</f>
        <v>#N/A</v>
      </c>
      <c r="R187" s="153" t="str">
        <f t="array" ref="R187">INDEX('Primary - GRADING'!$A$1:$CP997,MATCH($A187,'Primary - GRADING'!$CP:$CP,0),7)</f>
        <v>#N/A</v>
      </c>
      <c r="S187" s="153" t="str">
        <f t="array" ref="S187">INDEX('Primary - GRADING'!$A$1:$CP997,MATCH($A187,'Primary - GRADING'!$CP:$CP,0),8)</f>
        <v>#N/A</v>
      </c>
      <c r="T187" s="153" t="str">
        <f t="array" ref="T187">INDEX('Primary - GRADING'!$A$1:$CP997,MATCH($A187,'Primary - GRADING'!$CP:$CP,0),9)</f>
        <v>#N/A</v>
      </c>
      <c r="U187" s="153" t="str">
        <f t="array" ref="U187">INDEX('Primary - GRADING'!$A$1:$CP997,MATCH($A187,'Primary - GRADING'!$CP:$CP,0),10)</f>
        <v>#N/A</v>
      </c>
      <c r="V187" s="153" t="str">
        <f t="array" ref="V187">INDEX('Primary - GRADING'!$A$1:$CP997,MATCH($A187,'Primary - GRADING'!$CP:$CP,0),18)</f>
        <v>#N/A</v>
      </c>
      <c r="W187" s="153" t="str">
        <f t="array" ref="W187">INDEX('Primary - GRADING'!$A$1:$CP997,MATCH($A187,'Primary - GRADING'!$CP:$CP,0),20)</f>
        <v>#N/A</v>
      </c>
      <c r="X187" s="153" t="str">
        <f t="array" ref="X187">INDEX('Primary - GRADING'!$A$1:$CP997,MATCH($A187,'Primary - GRADING'!$CP:$CP,0),21)</f>
        <v>#N/A</v>
      </c>
      <c r="Y187" s="153" t="str">
        <f t="array" ref="Y187">INDEX('Primary - GRADING'!$A$1:$CP997,MATCH($A187,'Primary - GRADING'!$CP:$CP,0),22)</f>
        <v>#N/A</v>
      </c>
      <c r="Z187" s="165" t="str">
        <f t="array" ref="Z187">INDEX('Primary - GRADING'!$A$1:$CP997,MATCH($A187,'Primary - GRADING'!$CP:$CP,0),23)</f>
        <v>#N/A</v>
      </c>
      <c r="AA187" s="153" t="str">
        <f t="array" ref="AA187">INDEX('Primary - GRADING'!$A$1:$CP997,MATCH($A187,'Primary - GRADING'!$CP:$CP,0),24)</f>
        <v>#N/A</v>
      </c>
      <c r="AB187" s="153" t="str">
        <f t="array" ref="AB187">INDEX('Primary - GRADING'!$A$1:$CP997,MATCH($A187,'Primary - GRADING'!$CP:$CP,0),25)</f>
        <v>#N/A</v>
      </c>
      <c r="AC187" s="153" t="str">
        <f t="array" ref="AC187">INDEX('Primary - GRADING'!$A$1:$CP997,MATCH($A187,'Primary - GRADING'!$CP:$CP,0),46)</f>
        <v>#N/A</v>
      </c>
      <c r="AG187" s="153" t="str">
        <f t="shared" si="7"/>
        <v>#N/A</v>
      </c>
      <c r="AI187" s="153" t="str">
        <f>VLOOKUP(AH187,'Primary - GRADING'!$A$4:$C997,2,)</f>
        <v>#N/A</v>
      </c>
      <c r="AJ187" s="153" t="str">
        <f>VLOOKUP(AH187,'Primary - GRADING'!$A$4:$C997,3,)</f>
        <v>#N/A</v>
      </c>
      <c r="AK187" s="153" t="str">
        <f>VLOOKUP(AH187,'Primary - GRADING'!$A$4:$BG997,59,)</f>
        <v>#N/A</v>
      </c>
      <c r="AL187" s="153" t="str">
        <f>IFS(AK187="NMA",VLOOKUP(AH187,'Primary - GRADING'!$A$4:$BG997,51,),AK187="DIRECT",VLOOKUP(AH187,'Primary - GRADING'!$A$4:$BG997,8,),AK187="INDIRECT",VLOOKUP(AH187,'Primary - GRADING'!$A$4:$BG997,23,))</f>
        <v>#N/A</v>
      </c>
      <c r="AM187" s="153" t="str">
        <f>IFS(AK187="NMA",VLOOKUP(AH187,'Primary - GRADING'!$A$4:$BG997,52,),AK187="DIRECT",VLOOKUP(AH187,'Primary - GRADING'!$A$4:$BG997,9,),AK187="INDIRECT",VLOOKUP(AH187,'Primary - GRADING'!$A$4:$BG997,24,))</f>
        <v>#N/A</v>
      </c>
      <c r="AN187" s="153" t="str">
        <f>IFS(AK187="NMA",VLOOKUP(AH187,'Primary - GRADING'!$A$4:$BG997,53,),AK187="DIRECT",VLOOKUP(AH187,'Primary - GRADING'!$A$4:$BG997,10,),AK187="INDIRECT",VLOOKUP(AH187,'Primary - GRADING'!$A$4:$BG997,25,))</f>
        <v>#N/A</v>
      </c>
      <c r="AO187" s="153" t="str">
        <f t="shared" si="8"/>
        <v>#N/A</v>
      </c>
      <c r="AT187" s="153" t="str">
        <f t="shared" si="9"/>
        <v>#N/A</v>
      </c>
      <c r="AV187" s="153" t="str">
        <f>VLOOKUP(AU187,'Primary - GRADING'!$A$4:$C997,2,)</f>
        <v>#N/A</v>
      </c>
      <c r="AW187" s="153" t="str">
        <f>VLOOKUP(AU187,'Primary - GRADING'!$A$4:$C997,3,)</f>
        <v>#N/A</v>
      </c>
      <c r="AX187" s="153" t="str">
        <f>VLOOKUP(AU187,'Primary - GRADING'!$A$4:$BG997,59,)</f>
        <v>#N/A</v>
      </c>
      <c r="AY187" s="153" t="str">
        <f>IFS(AX187="NMA",VLOOKUP(AU187,'Primary - GRADING'!$A$4:$BG997,51,),AX187="DIRECT",VLOOKUP(AU187,'Primary - GRADING'!$A$4:$BG997,8,),AX187="INDIRECT",VLOOKUP(AU187,'Primary - GRADING'!$A$4:$BG997,23,))</f>
        <v>#N/A</v>
      </c>
      <c r="AZ187" s="153" t="str">
        <f>IFS(AX187="NMA",VLOOKUP(AU187,'Primary - GRADING'!$A$4:$BG997,52,),AX187="DIRECT",VLOOKUP(AU187,'Primary - GRADING'!$A$4:$BG997,9,),AX187="INDIRECT",VLOOKUP(AU187,'Primary - GRADING'!$A$4:$BG997,24,))</f>
        <v>#N/A</v>
      </c>
      <c r="BA187" s="153" t="str">
        <f>IFS(AX187="NMA",VLOOKUP(AU187,'Primary - GRADING'!$A$4:$BG997,53,),AX187="DIRECT",VLOOKUP(AU187,'Primary - GRADING'!$A$4:$BG997,10,),AX187="INDIRECT",VLOOKUP(AU187,'Primary - GRADING'!$A$4:$BG997,25,))</f>
        <v>#N/A</v>
      </c>
      <c r="BB187" s="153" t="str">
        <f t="shared" si="10"/>
        <v>#N/A</v>
      </c>
      <c r="BE187" s="153" t="str">
        <f t="shared" si="11"/>
        <v/>
      </c>
      <c r="BG187" s="153" t="str">
        <f t="shared" si="12"/>
        <v>#N/A</v>
      </c>
      <c r="BI187" s="153" t="str">
        <f t="shared" si="13"/>
        <v>#N/A</v>
      </c>
      <c r="BK187" s="153" t="str">
        <f t="shared" si="14"/>
        <v>#N/A</v>
      </c>
      <c r="BM187" s="153" t="str">
        <f t="shared" si="15"/>
        <v>#N/A</v>
      </c>
    </row>
    <row r="188" ht="15.75" customHeight="1">
      <c r="B188" s="160" t="str">
        <f t="shared" si="1"/>
        <v>#N/A</v>
      </c>
      <c r="C188" s="160" t="str">
        <f t="shared" si="2"/>
        <v>#N/A</v>
      </c>
      <c r="D188" s="160" t="str">
        <f t="shared" si="3"/>
        <v>#N/A</v>
      </c>
      <c r="E188" s="161" t="str">
        <f t="shared" si="4"/>
        <v>#N/A</v>
      </c>
      <c r="F188" s="153" t="str">
        <f t="shared" si="17"/>
        <v>#N/A</v>
      </c>
      <c r="G188" s="153" t="str">
        <f t="shared" si="6"/>
        <v>#N/A</v>
      </c>
      <c r="H188" s="156" t="str">
        <f t="array" ref="H188">INDEX('Primary - GRADING'!$A$1:$BG997,MATCH($A188,'Primary - GRADING'!$B:$B,0),59)</f>
        <v>#N/A</v>
      </c>
      <c r="I188" s="153" t="str">
        <f t="array" ref="I188">INDEX('Primary - GRADING'!$A$1:$CP997,MATCH($A188,'Primary - GRADING'!$CP:$CP,0),48)</f>
        <v>#N/A</v>
      </c>
      <c r="J188" s="153" t="str">
        <f t="array" ref="J188">INDEX('Primary - GRADING'!$A$1:$CP997,MATCH($A188,'Primary - GRADING'!$CP:$CP,0),49)</f>
        <v>#N/A</v>
      </c>
      <c r="K188" s="153" t="str">
        <f t="array" ref="K188">INDEX('Primary - GRADING'!$A$1:$CP997,MATCH($A188,'Primary - GRADING'!$CP:$CP,0),50)</f>
        <v>#N/A</v>
      </c>
      <c r="L188" s="153" t="str">
        <f t="array" ref="L188">INDEX('Primary - GRADING'!$A$1:$CP997,MATCH($A188,'Primary - GRADING'!$CP:$CP,0),51)</f>
        <v>#N/A</v>
      </c>
      <c r="M188" s="153" t="str">
        <f t="array" ref="M188">INDEX('Primary - GRADING'!$A$1:$CP997,MATCH($A188,'Primary - GRADING'!$CP:$CP,0),52)</f>
        <v>#N/A</v>
      </c>
      <c r="N188" s="153" t="str">
        <f t="array" ref="N188">INDEX('Primary - GRADING'!$A$1:$CP997,MATCH($A188,'Primary - GRADING'!$CP:$CP,0),53)</f>
        <v>#N/A</v>
      </c>
      <c r="O188" s="153" t="str">
        <f t="array" ref="O188">INDEX('Primary - GRADING'!$A$1:$CP997,MATCH($A188,'Primary - GRADING'!$CP:$CP,0),58)</f>
        <v>#N/A</v>
      </c>
      <c r="P188" s="153" t="str">
        <f t="array" ref="P188">INDEX('Primary - GRADING'!$A$1:$CP997,MATCH($A188,'Primary - GRADING'!$CP:$CP,0),5)</f>
        <v>#N/A</v>
      </c>
      <c r="Q188" s="153" t="str">
        <f t="array" ref="Q188">INDEX('Primary - GRADING'!$A$1:$CP997,MATCH($A188,'Primary - GRADING'!$CP:$CP,0),6)</f>
        <v>#N/A</v>
      </c>
      <c r="R188" s="153" t="str">
        <f t="array" ref="R188">INDEX('Primary - GRADING'!$A$1:$CP997,MATCH($A188,'Primary - GRADING'!$CP:$CP,0),7)</f>
        <v>#N/A</v>
      </c>
      <c r="S188" s="153" t="str">
        <f t="array" ref="S188">INDEX('Primary - GRADING'!$A$1:$CP997,MATCH($A188,'Primary - GRADING'!$CP:$CP,0),8)</f>
        <v>#N/A</v>
      </c>
      <c r="T188" s="153" t="str">
        <f t="array" ref="T188">INDEX('Primary - GRADING'!$A$1:$CP997,MATCH($A188,'Primary - GRADING'!$CP:$CP,0),9)</f>
        <v>#N/A</v>
      </c>
      <c r="U188" s="153" t="str">
        <f t="array" ref="U188">INDEX('Primary - GRADING'!$A$1:$CP997,MATCH($A188,'Primary - GRADING'!$CP:$CP,0),10)</f>
        <v>#N/A</v>
      </c>
      <c r="V188" s="153" t="str">
        <f t="array" ref="V188">INDEX('Primary - GRADING'!$A$1:$CP997,MATCH($A188,'Primary - GRADING'!$CP:$CP,0),18)</f>
        <v>#N/A</v>
      </c>
      <c r="W188" s="153" t="str">
        <f t="array" ref="W188">INDEX('Primary - GRADING'!$A$1:$CP997,MATCH($A188,'Primary - GRADING'!$CP:$CP,0),20)</f>
        <v>#N/A</v>
      </c>
      <c r="X188" s="153" t="str">
        <f t="array" ref="X188">INDEX('Primary - GRADING'!$A$1:$CP997,MATCH($A188,'Primary - GRADING'!$CP:$CP,0),21)</f>
        <v>#N/A</v>
      </c>
      <c r="Y188" s="153" t="str">
        <f t="array" ref="Y188">INDEX('Primary - GRADING'!$A$1:$CP997,MATCH($A188,'Primary - GRADING'!$CP:$CP,0),22)</f>
        <v>#N/A</v>
      </c>
      <c r="Z188" s="165" t="str">
        <f t="array" ref="Z188">INDEX('Primary - GRADING'!$A$1:$CP997,MATCH($A188,'Primary - GRADING'!$CP:$CP,0),23)</f>
        <v>#N/A</v>
      </c>
      <c r="AA188" s="153" t="str">
        <f t="array" ref="AA188">INDEX('Primary - GRADING'!$A$1:$CP997,MATCH($A188,'Primary - GRADING'!$CP:$CP,0),24)</f>
        <v>#N/A</v>
      </c>
      <c r="AB188" s="153" t="str">
        <f t="array" ref="AB188">INDEX('Primary - GRADING'!$A$1:$CP997,MATCH($A188,'Primary - GRADING'!$CP:$CP,0),25)</f>
        <v>#N/A</v>
      </c>
      <c r="AC188" s="153" t="str">
        <f t="array" ref="AC188">INDEX('Primary - GRADING'!$A$1:$CP997,MATCH($A188,'Primary - GRADING'!$CP:$CP,0),46)</f>
        <v>#N/A</v>
      </c>
      <c r="AG188" s="153" t="str">
        <f t="shared" si="7"/>
        <v>#N/A</v>
      </c>
      <c r="AI188" s="153" t="str">
        <f>VLOOKUP(AH188,'Primary - GRADING'!$A$4:$C997,2,)</f>
        <v>#N/A</v>
      </c>
      <c r="AJ188" s="153" t="str">
        <f>VLOOKUP(AH188,'Primary - GRADING'!$A$4:$C997,3,)</f>
        <v>#N/A</v>
      </c>
      <c r="AK188" s="153" t="str">
        <f>VLOOKUP(AH188,'Primary - GRADING'!$A$4:$BG997,59,)</f>
        <v>#N/A</v>
      </c>
      <c r="AL188" s="153" t="str">
        <f>IFS(AK188="NMA",VLOOKUP(AH188,'Primary - GRADING'!$A$4:$BG997,51,),AK188="DIRECT",VLOOKUP(AH188,'Primary - GRADING'!$A$4:$BG997,8,),AK188="INDIRECT",VLOOKUP(AH188,'Primary - GRADING'!$A$4:$BG997,23,))</f>
        <v>#N/A</v>
      </c>
      <c r="AM188" s="153" t="str">
        <f>IFS(AK188="NMA",VLOOKUP(AH188,'Primary - GRADING'!$A$4:$BG997,52,),AK188="DIRECT",VLOOKUP(AH188,'Primary - GRADING'!$A$4:$BG997,9,),AK188="INDIRECT",VLOOKUP(AH188,'Primary - GRADING'!$A$4:$BG997,24,))</f>
        <v>#N/A</v>
      </c>
      <c r="AN188" s="153" t="str">
        <f>IFS(AK188="NMA",VLOOKUP(AH188,'Primary - GRADING'!$A$4:$BG997,53,),AK188="DIRECT",VLOOKUP(AH188,'Primary - GRADING'!$A$4:$BG997,10,),AK188="INDIRECT",VLOOKUP(AH188,'Primary - GRADING'!$A$4:$BG997,25,))</f>
        <v>#N/A</v>
      </c>
      <c r="AO188" s="153" t="str">
        <f t="shared" si="8"/>
        <v>#N/A</v>
      </c>
      <c r="AT188" s="153" t="str">
        <f t="shared" si="9"/>
        <v>#N/A</v>
      </c>
      <c r="AV188" s="153" t="str">
        <f>VLOOKUP(AU188,'Primary - GRADING'!$A$4:$C997,2,)</f>
        <v>#N/A</v>
      </c>
      <c r="AW188" s="153" t="str">
        <f>VLOOKUP(AU188,'Primary - GRADING'!$A$4:$C997,3,)</f>
        <v>#N/A</v>
      </c>
      <c r="AX188" s="153" t="str">
        <f>VLOOKUP(AU188,'Primary - GRADING'!$A$4:$BG997,59,)</f>
        <v>#N/A</v>
      </c>
      <c r="AY188" s="153" t="str">
        <f>IFS(AX188="NMA",VLOOKUP(AU188,'Primary - GRADING'!$A$4:$BG997,51,),AX188="DIRECT",VLOOKUP(AU188,'Primary - GRADING'!$A$4:$BG997,8,),AX188="INDIRECT",VLOOKUP(AU188,'Primary - GRADING'!$A$4:$BG997,23,))</f>
        <v>#N/A</v>
      </c>
      <c r="AZ188" s="153" t="str">
        <f>IFS(AX188="NMA",VLOOKUP(AU188,'Primary - GRADING'!$A$4:$BG997,52,),AX188="DIRECT",VLOOKUP(AU188,'Primary - GRADING'!$A$4:$BG997,9,),AX188="INDIRECT",VLOOKUP(AU188,'Primary - GRADING'!$A$4:$BG997,24,))</f>
        <v>#N/A</v>
      </c>
      <c r="BA188" s="153" t="str">
        <f>IFS(AX188="NMA",VLOOKUP(AU188,'Primary - GRADING'!$A$4:$BG997,53,),AX188="DIRECT",VLOOKUP(AU188,'Primary - GRADING'!$A$4:$BG997,10,),AX188="INDIRECT",VLOOKUP(AU188,'Primary - GRADING'!$A$4:$BG997,25,))</f>
        <v>#N/A</v>
      </c>
      <c r="BB188" s="153" t="str">
        <f t="shared" si="10"/>
        <v>#N/A</v>
      </c>
      <c r="BE188" s="153" t="str">
        <f t="shared" si="11"/>
        <v/>
      </c>
      <c r="BG188" s="153" t="str">
        <f t="shared" si="12"/>
        <v>#N/A</v>
      </c>
      <c r="BI188" s="153" t="str">
        <f t="shared" si="13"/>
        <v>#N/A</v>
      </c>
      <c r="BK188" s="153" t="str">
        <f t="shared" si="14"/>
        <v>#N/A</v>
      </c>
      <c r="BM188" s="153" t="str">
        <f t="shared" si="15"/>
        <v>#N/A</v>
      </c>
    </row>
    <row r="189" ht="15.75" customHeight="1">
      <c r="B189" s="160" t="str">
        <f t="shared" si="1"/>
        <v>#N/A</v>
      </c>
      <c r="C189" s="160" t="str">
        <f t="shared" si="2"/>
        <v>#N/A</v>
      </c>
      <c r="D189" s="160" t="str">
        <f t="shared" si="3"/>
        <v>#N/A</v>
      </c>
      <c r="E189" s="161" t="str">
        <f t="shared" si="4"/>
        <v>#N/A</v>
      </c>
      <c r="F189" s="153" t="str">
        <f t="shared" si="17"/>
        <v>#N/A</v>
      </c>
      <c r="G189" s="153" t="str">
        <f t="shared" si="6"/>
        <v>#N/A</v>
      </c>
      <c r="H189" s="156" t="str">
        <f t="array" ref="H189">INDEX('Primary - GRADING'!$A$1:$BG997,MATCH($A189,'Primary - GRADING'!$B:$B,0),59)</f>
        <v>#N/A</v>
      </c>
      <c r="I189" s="153" t="str">
        <f t="array" ref="I189">INDEX('Primary - GRADING'!$A$1:$CP997,MATCH($A189,'Primary - GRADING'!$CP:$CP,0),48)</f>
        <v>#N/A</v>
      </c>
      <c r="J189" s="153" t="str">
        <f t="array" ref="J189">INDEX('Primary - GRADING'!$A$1:$CP997,MATCH($A189,'Primary - GRADING'!$CP:$CP,0),49)</f>
        <v>#N/A</v>
      </c>
      <c r="K189" s="153" t="str">
        <f t="array" ref="K189">INDEX('Primary - GRADING'!$A$1:$CP997,MATCH($A189,'Primary - GRADING'!$CP:$CP,0),50)</f>
        <v>#N/A</v>
      </c>
      <c r="L189" s="153" t="str">
        <f t="array" ref="L189">INDEX('Primary - GRADING'!$A$1:$CP997,MATCH($A189,'Primary - GRADING'!$CP:$CP,0),51)</f>
        <v>#N/A</v>
      </c>
      <c r="M189" s="153" t="str">
        <f t="array" ref="M189">INDEX('Primary - GRADING'!$A$1:$CP997,MATCH($A189,'Primary - GRADING'!$CP:$CP,0),52)</f>
        <v>#N/A</v>
      </c>
      <c r="N189" s="153" t="str">
        <f t="array" ref="N189">INDEX('Primary - GRADING'!$A$1:$CP997,MATCH($A189,'Primary - GRADING'!$CP:$CP,0),53)</f>
        <v>#N/A</v>
      </c>
      <c r="O189" s="153" t="str">
        <f t="array" ref="O189">INDEX('Primary - GRADING'!$A$1:$CP997,MATCH($A189,'Primary - GRADING'!$CP:$CP,0),58)</f>
        <v>#N/A</v>
      </c>
      <c r="P189" s="153" t="str">
        <f t="array" ref="P189">INDEX('Primary - GRADING'!$A$1:$CP997,MATCH($A189,'Primary - GRADING'!$CP:$CP,0),5)</f>
        <v>#N/A</v>
      </c>
      <c r="Q189" s="153" t="str">
        <f t="array" ref="Q189">INDEX('Primary - GRADING'!$A$1:$CP997,MATCH($A189,'Primary - GRADING'!$CP:$CP,0),6)</f>
        <v>#N/A</v>
      </c>
      <c r="R189" s="153" t="str">
        <f t="array" ref="R189">INDEX('Primary - GRADING'!$A$1:$CP997,MATCH($A189,'Primary - GRADING'!$CP:$CP,0),7)</f>
        <v>#N/A</v>
      </c>
      <c r="S189" s="153" t="str">
        <f t="array" ref="S189">INDEX('Primary - GRADING'!$A$1:$CP997,MATCH($A189,'Primary - GRADING'!$CP:$CP,0),8)</f>
        <v>#N/A</v>
      </c>
      <c r="T189" s="153" t="str">
        <f t="array" ref="T189">INDEX('Primary - GRADING'!$A$1:$CP997,MATCH($A189,'Primary - GRADING'!$CP:$CP,0),9)</f>
        <v>#N/A</v>
      </c>
      <c r="U189" s="153" t="str">
        <f t="array" ref="U189">INDEX('Primary - GRADING'!$A$1:$CP997,MATCH($A189,'Primary - GRADING'!$CP:$CP,0),10)</f>
        <v>#N/A</v>
      </c>
      <c r="V189" s="153" t="str">
        <f t="array" ref="V189">INDEX('Primary - GRADING'!$A$1:$CP997,MATCH($A189,'Primary - GRADING'!$CP:$CP,0),18)</f>
        <v>#N/A</v>
      </c>
      <c r="W189" s="153" t="str">
        <f t="array" ref="W189">INDEX('Primary - GRADING'!$A$1:$CP997,MATCH($A189,'Primary - GRADING'!$CP:$CP,0),20)</f>
        <v>#N/A</v>
      </c>
      <c r="X189" s="153" t="str">
        <f t="array" ref="X189">INDEX('Primary - GRADING'!$A$1:$CP997,MATCH($A189,'Primary - GRADING'!$CP:$CP,0),21)</f>
        <v>#N/A</v>
      </c>
      <c r="Y189" s="153" t="str">
        <f t="array" ref="Y189">INDEX('Primary - GRADING'!$A$1:$CP997,MATCH($A189,'Primary - GRADING'!$CP:$CP,0),22)</f>
        <v>#N/A</v>
      </c>
      <c r="Z189" s="165" t="str">
        <f t="array" ref="Z189">INDEX('Primary - GRADING'!$A$1:$CP997,MATCH($A189,'Primary - GRADING'!$CP:$CP,0),23)</f>
        <v>#N/A</v>
      </c>
      <c r="AA189" s="153" t="str">
        <f t="array" ref="AA189">INDEX('Primary - GRADING'!$A$1:$CP997,MATCH($A189,'Primary - GRADING'!$CP:$CP,0),24)</f>
        <v>#N/A</v>
      </c>
      <c r="AB189" s="153" t="str">
        <f t="array" ref="AB189">INDEX('Primary - GRADING'!$A$1:$CP997,MATCH($A189,'Primary - GRADING'!$CP:$CP,0),25)</f>
        <v>#N/A</v>
      </c>
      <c r="AC189" s="153" t="str">
        <f t="array" ref="AC189">INDEX('Primary - GRADING'!$A$1:$CP997,MATCH($A189,'Primary - GRADING'!$CP:$CP,0),46)</f>
        <v>#N/A</v>
      </c>
      <c r="AG189" s="153" t="str">
        <f t="shared" si="7"/>
        <v>#N/A</v>
      </c>
      <c r="AI189" s="153" t="str">
        <f>VLOOKUP(AH189,'Primary - GRADING'!$A$4:$C997,2,)</f>
        <v>#N/A</v>
      </c>
      <c r="AJ189" s="153" t="str">
        <f>VLOOKUP(AH189,'Primary - GRADING'!$A$4:$C997,3,)</f>
        <v>#N/A</v>
      </c>
      <c r="AK189" s="153" t="str">
        <f>VLOOKUP(AH189,'Primary - GRADING'!$A$4:$BG997,59,)</f>
        <v>#N/A</v>
      </c>
      <c r="AL189" s="153" t="str">
        <f>IFS(AK189="NMA",VLOOKUP(AH189,'Primary - GRADING'!$A$4:$BG997,51,),AK189="DIRECT",VLOOKUP(AH189,'Primary - GRADING'!$A$4:$BG997,8,),AK189="INDIRECT",VLOOKUP(AH189,'Primary - GRADING'!$A$4:$BG997,23,))</f>
        <v>#N/A</v>
      </c>
      <c r="AM189" s="153" t="str">
        <f>IFS(AK189="NMA",VLOOKUP(AH189,'Primary - GRADING'!$A$4:$BG997,52,),AK189="DIRECT",VLOOKUP(AH189,'Primary - GRADING'!$A$4:$BG997,9,),AK189="INDIRECT",VLOOKUP(AH189,'Primary - GRADING'!$A$4:$BG997,24,))</f>
        <v>#N/A</v>
      </c>
      <c r="AN189" s="153" t="str">
        <f>IFS(AK189="NMA",VLOOKUP(AH189,'Primary - GRADING'!$A$4:$BG997,53,),AK189="DIRECT",VLOOKUP(AH189,'Primary - GRADING'!$A$4:$BG997,10,),AK189="INDIRECT",VLOOKUP(AH189,'Primary - GRADING'!$A$4:$BG997,25,))</f>
        <v>#N/A</v>
      </c>
      <c r="AO189" s="153" t="str">
        <f t="shared" si="8"/>
        <v>#N/A</v>
      </c>
      <c r="AT189" s="153" t="str">
        <f t="shared" si="9"/>
        <v>#N/A</v>
      </c>
      <c r="AV189" s="153" t="str">
        <f>VLOOKUP(AU189,'Primary - GRADING'!$A$4:$C997,2,)</f>
        <v>#N/A</v>
      </c>
      <c r="AW189" s="153" t="str">
        <f>VLOOKUP(AU189,'Primary - GRADING'!$A$4:$C997,3,)</f>
        <v>#N/A</v>
      </c>
      <c r="AX189" s="153" t="str">
        <f>VLOOKUP(AU189,'Primary - GRADING'!$A$4:$BG997,59,)</f>
        <v>#N/A</v>
      </c>
      <c r="AY189" s="153" t="str">
        <f>IFS(AX189="NMA",VLOOKUP(AU189,'Primary - GRADING'!$A$4:$BG997,51,),AX189="DIRECT",VLOOKUP(AU189,'Primary - GRADING'!$A$4:$BG997,8,),AX189="INDIRECT",VLOOKUP(AU189,'Primary - GRADING'!$A$4:$BG997,23,))</f>
        <v>#N/A</v>
      </c>
      <c r="AZ189" s="153" t="str">
        <f>IFS(AX189="NMA",VLOOKUP(AU189,'Primary - GRADING'!$A$4:$BG997,52,),AX189="DIRECT",VLOOKUP(AU189,'Primary - GRADING'!$A$4:$BG997,9,),AX189="INDIRECT",VLOOKUP(AU189,'Primary - GRADING'!$A$4:$BG997,24,))</f>
        <v>#N/A</v>
      </c>
      <c r="BA189" s="153" t="str">
        <f>IFS(AX189="NMA",VLOOKUP(AU189,'Primary - GRADING'!$A$4:$BG997,53,),AX189="DIRECT",VLOOKUP(AU189,'Primary - GRADING'!$A$4:$BG997,10,),AX189="INDIRECT",VLOOKUP(AU189,'Primary - GRADING'!$A$4:$BG997,25,))</f>
        <v>#N/A</v>
      </c>
      <c r="BB189" s="153" t="str">
        <f t="shared" si="10"/>
        <v>#N/A</v>
      </c>
      <c r="BE189" s="153" t="str">
        <f t="shared" si="11"/>
        <v/>
      </c>
      <c r="BG189" s="153" t="str">
        <f t="shared" si="12"/>
        <v>#N/A</v>
      </c>
      <c r="BI189" s="153" t="str">
        <f t="shared" si="13"/>
        <v>#N/A</v>
      </c>
      <c r="BK189" s="153" t="str">
        <f t="shared" si="14"/>
        <v>#N/A</v>
      </c>
      <c r="BM189" s="153" t="str">
        <f t="shared" si="15"/>
        <v>#N/A</v>
      </c>
    </row>
    <row r="190" ht="15.75" customHeight="1">
      <c r="B190" s="160" t="str">
        <f t="shared" si="1"/>
        <v>#N/A</v>
      </c>
      <c r="C190" s="160" t="str">
        <f t="shared" si="2"/>
        <v>#N/A</v>
      </c>
      <c r="D190" s="160" t="str">
        <f t="shared" si="3"/>
        <v>#N/A</v>
      </c>
      <c r="E190" s="161" t="str">
        <f t="shared" si="4"/>
        <v>#N/A</v>
      </c>
      <c r="F190" s="153" t="str">
        <f t="shared" si="17"/>
        <v>#N/A</v>
      </c>
      <c r="G190" s="153" t="str">
        <f t="shared" si="6"/>
        <v>#N/A</v>
      </c>
      <c r="H190" s="156" t="str">
        <f t="array" ref="H190">INDEX('Primary - GRADING'!$A$1:$BG997,MATCH($A190,'Primary - GRADING'!$B:$B,0),59)</f>
        <v>#N/A</v>
      </c>
      <c r="I190" s="153" t="str">
        <f t="array" ref="I190">INDEX('Primary - GRADING'!$A$1:$CP997,MATCH($A190,'Primary - GRADING'!$CP:$CP,0),48)</f>
        <v>#N/A</v>
      </c>
      <c r="J190" s="153" t="str">
        <f t="array" ref="J190">INDEX('Primary - GRADING'!$A$1:$CP997,MATCH($A190,'Primary - GRADING'!$CP:$CP,0),49)</f>
        <v>#N/A</v>
      </c>
      <c r="K190" s="153" t="str">
        <f t="array" ref="K190">INDEX('Primary - GRADING'!$A$1:$CP997,MATCH($A190,'Primary - GRADING'!$CP:$CP,0),50)</f>
        <v>#N/A</v>
      </c>
      <c r="L190" s="153" t="str">
        <f t="array" ref="L190">INDEX('Primary - GRADING'!$A$1:$CP997,MATCH($A190,'Primary - GRADING'!$CP:$CP,0),51)</f>
        <v>#N/A</v>
      </c>
      <c r="M190" s="153" t="str">
        <f t="array" ref="M190">INDEX('Primary - GRADING'!$A$1:$CP997,MATCH($A190,'Primary - GRADING'!$CP:$CP,0),52)</f>
        <v>#N/A</v>
      </c>
      <c r="N190" s="153" t="str">
        <f t="array" ref="N190">INDEX('Primary - GRADING'!$A$1:$CP997,MATCH($A190,'Primary - GRADING'!$CP:$CP,0),53)</f>
        <v>#N/A</v>
      </c>
      <c r="O190" s="153" t="str">
        <f t="array" ref="O190">INDEX('Primary - GRADING'!$A$1:$CP997,MATCH($A190,'Primary - GRADING'!$CP:$CP,0),58)</f>
        <v>#N/A</v>
      </c>
      <c r="P190" s="153" t="str">
        <f t="array" ref="P190">INDEX('Primary - GRADING'!$A$1:$CP997,MATCH($A190,'Primary - GRADING'!$CP:$CP,0),5)</f>
        <v>#N/A</v>
      </c>
      <c r="Q190" s="153" t="str">
        <f t="array" ref="Q190">INDEX('Primary - GRADING'!$A$1:$CP997,MATCH($A190,'Primary - GRADING'!$CP:$CP,0),6)</f>
        <v>#N/A</v>
      </c>
      <c r="R190" s="153" t="str">
        <f t="array" ref="R190">INDEX('Primary - GRADING'!$A$1:$CP997,MATCH($A190,'Primary - GRADING'!$CP:$CP,0),7)</f>
        <v>#N/A</v>
      </c>
      <c r="S190" s="153" t="str">
        <f t="array" ref="S190">INDEX('Primary - GRADING'!$A$1:$CP997,MATCH($A190,'Primary - GRADING'!$CP:$CP,0),8)</f>
        <v>#N/A</v>
      </c>
      <c r="T190" s="153" t="str">
        <f t="array" ref="T190">INDEX('Primary - GRADING'!$A$1:$CP997,MATCH($A190,'Primary - GRADING'!$CP:$CP,0),9)</f>
        <v>#N/A</v>
      </c>
      <c r="U190" s="153" t="str">
        <f t="array" ref="U190">INDEX('Primary - GRADING'!$A$1:$CP997,MATCH($A190,'Primary - GRADING'!$CP:$CP,0),10)</f>
        <v>#N/A</v>
      </c>
      <c r="V190" s="153" t="str">
        <f t="array" ref="V190">INDEX('Primary - GRADING'!$A$1:$CP997,MATCH($A190,'Primary - GRADING'!$CP:$CP,0),18)</f>
        <v>#N/A</v>
      </c>
      <c r="W190" s="153" t="str">
        <f t="array" ref="W190">INDEX('Primary - GRADING'!$A$1:$CP997,MATCH($A190,'Primary - GRADING'!$CP:$CP,0),20)</f>
        <v>#N/A</v>
      </c>
      <c r="X190" s="153" t="str">
        <f t="array" ref="X190">INDEX('Primary - GRADING'!$A$1:$CP997,MATCH($A190,'Primary - GRADING'!$CP:$CP,0),21)</f>
        <v>#N/A</v>
      </c>
      <c r="Y190" s="153" t="str">
        <f t="array" ref="Y190">INDEX('Primary - GRADING'!$A$1:$CP997,MATCH($A190,'Primary - GRADING'!$CP:$CP,0),22)</f>
        <v>#N/A</v>
      </c>
      <c r="Z190" s="165" t="str">
        <f t="array" ref="Z190">INDEX('Primary - GRADING'!$A$1:$CP997,MATCH($A190,'Primary - GRADING'!$CP:$CP,0),23)</f>
        <v>#N/A</v>
      </c>
      <c r="AA190" s="153" t="str">
        <f t="array" ref="AA190">INDEX('Primary - GRADING'!$A$1:$CP997,MATCH($A190,'Primary - GRADING'!$CP:$CP,0),24)</f>
        <v>#N/A</v>
      </c>
      <c r="AB190" s="153" t="str">
        <f t="array" ref="AB190">INDEX('Primary - GRADING'!$A$1:$CP997,MATCH($A190,'Primary - GRADING'!$CP:$CP,0),25)</f>
        <v>#N/A</v>
      </c>
      <c r="AC190" s="153" t="str">
        <f t="array" ref="AC190">INDEX('Primary - GRADING'!$A$1:$CP997,MATCH($A190,'Primary - GRADING'!$CP:$CP,0),46)</f>
        <v>#N/A</v>
      </c>
      <c r="AG190" s="153" t="str">
        <f t="shared" si="7"/>
        <v>#N/A</v>
      </c>
      <c r="AI190" s="153" t="str">
        <f>VLOOKUP(AH190,'Primary - GRADING'!$A$4:$C997,2,)</f>
        <v>#N/A</v>
      </c>
      <c r="AJ190" s="153" t="str">
        <f>VLOOKUP(AH190,'Primary - GRADING'!$A$4:$C997,3,)</f>
        <v>#N/A</v>
      </c>
      <c r="AK190" s="153" t="str">
        <f>VLOOKUP(AH190,'Primary - GRADING'!$A$4:$BG997,59,)</f>
        <v>#N/A</v>
      </c>
      <c r="AL190" s="153" t="str">
        <f>IFS(AK190="NMA",VLOOKUP(AH190,'Primary - GRADING'!$A$4:$BG997,51,),AK190="DIRECT",VLOOKUP(AH190,'Primary - GRADING'!$A$4:$BG997,8,),AK190="INDIRECT",VLOOKUP(AH190,'Primary - GRADING'!$A$4:$BG997,23,))</f>
        <v>#N/A</v>
      </c>
      <c r="AM190" s="153" t="str">
        <f>IFS(AK190="NMA",VLOOKUP(AH190,'Primary - GRADING'!$A$4:$BG997,52,),AK190="DIRECT",VLOOKUP(AH190,'Primary - GRADING'!$A$4:$BG997,9,),AK190="INDIRECT",VLOOKUP(AH190,'Primary - GRADING'!$A$4:$BG997,24,))</f>
        <v>#N/A</v>
      </c>
      <c r="AN190" s="153" t="str">
        <f>IFS(AK190="NMA",VLOOKUP(AH190,'Primary - GRADING'!$A$4:$BG997,53,),AK190="DIRECT",VLOOKUP(AH190,'Primary - GRADING'!$A$4:$BG997,10,),AK190="INDIRECT",VLOOKUP(AH190,'Primary - GRADING'!$A$4:$BG997,25,))</f>
        <v>#N/A</v>
      </c>
      <c r="AO190" s="153" t="str">
        <f t="shared" si="8"/>
        <v>#N/A</v>
      </c>
      <c r="AT190" s="153" t="str">
        <f t="shared" si="9"/>
        <v>#N/A</v>
      </c>
      <c r="AV190" s="153" t="str">
        <f>VLOOKUP(AU190,'Primary - GRADING'!$A$4:$C997,2,)</f>
        <v>#N/A</v>
      </c>
      <c r="AW190" s="153" t="str">
        <f>VLOOKUP(AU190,'Primary - GRADING'!$A$4:$C997,3,)</f>
        <v>#N/A</v>
      </c>
      <c r="AX190" s="153" t="str">
        <f>VLOOKUP(AU190,'Primary - GRADING'!$A$4:$BG997,59,)</f>
        <v>#N/A</v>
      </c>
      <c r="AY190" s="153" t="str">
        <f>IFS(AX190="NMA",VLOOKUP(AU190,'Primary - GRADING'!$A$4:$BG997,51,),AX190="DIRECT",VLOOKUP(AU190,'Primary - GRADING'!$A$4:$BG997,8,),AX190="INDIRECT",VLOOKUP(AU190,'Primary - GRADING'!$A$4:$BG997,23,))</f>
        <v>#N/A</v>
      </c>
      <c r="AZ190" s="153" t="str">
        <f>IFS(AX190="NMA",VLOOKUP(AU190,'Primary - GRADING'!$A$4:$BG997,52,),AX190="DIRECT",VLOOKUP(AU190,'Primary - GRADING'!$A$4:$BG997,9,),AX190="INDIRECT",VLOOKUP(AU190,'Primary - GRADING'!$A$4:$BG997,24,))</f>
        <v>#N/A</v>
      </c>
      <c r="BA190" s="153" t="str">
        <f>IFS(AX190="NMA",VLOOKUP(AU190,'Primary - GRADING'!$A$4:$BG997,53,),AX190="DIRECT",VLOOKUP(AU190,'Primary - GRADING'!$A$4:$BG997,10,),AX190="INDIRECT",VLOOKUP(AU190,'Primary - GRADING'!$A$4:$BG997,25,))</f>
        <v>#N/A</v>
      </c>
      <c r="BB190" s="153" t="str">
        <f t="shared" si="10"/>
        <v>#N/A</v>
      </c>
      <c r="BE190" s="153" t="str">
        <f t="shared" si="11"/>
        <v/>
      </c>
      <c r="BG190" s="153" t="str">
        <f t="shared" si="12"/>
        <v>#N/A</v>
      </c>
      <c r="BI190" s="153" t="str">
        <f t="shared" si="13"/>
        <v>#N/A</v>
      </c>
      <c r="BK190" s="153" t="str">
        <f t="shared" si="14"/>
        <v>#N/A</v>
      </c>
      <c r="BM190" s="153" t="str">
        <f t="shared" si="15"/>
        <v>#N/A</v>
      </c>
    </row>
    <row r="191" ht="15.75" customHeight="1">
      <c r="B191" s="160" t="str">
        <f t="shared" si="1"/>
        <v>#N/A</v>
      </c>
      <c r="C191" s="160" t="str">
        <f t="shared" si="2"/>
        <v>#N/A</v>
      </c>
      <c r="D191" s="160" t="str">
        <f t="shared" si="3"/>
        <v>#N/A</v>
      </c>
      <c r="E191" s="161" t="str">
        <f t="shared" si="4"/>
        <v>#N/A</v>
      </c>
      <c r="F191" s="153" t="str">
        <f t="shared" si="17"/>
        <v>#N/A</v>
      </c>
      <c r="G191" s="153" t="str">
        <f t="shared" si="6"/>
        <v>#N/A</v>
      </c>
      <c r="H191" s="156" t="str">
        <f t="array" ref="H191">INDEX('Primary - GRADING'!$A$1:$BG997,MATCH($A191,'Primary - GRADING'!$B:$B,0),59)</f>
        <v>#N/A</v>
      </c>
      <c r="I191" s="153" t="str">
        <f t="array" ref="I191">INDEX('Primary - GRADING'!$A$1:$CP997,MATCH($A191,'Primary - GRADING'!$CP:$CP,0),48)</f>
        <v>#N/A</v>
      </c>
      <c r="J191" s="153" t="str">
        <f t="array" ref="J191">INDEX('Primary - GRADING'!$A$1:$CP997,MATCH($A191,'Primary - GRADING'!$CP:$CP,0),49)</f>
        <v>#N/A</v>
      </c>
      <c r="K191" s="153" t="str">
        <f t="array" ref="K191">INDEX('Primary - GRADING'!$A$1:$CP997,MATCH($A191,'Primary - GRADING'!$CP:$CP,0),50)</f>
        <v>#N/A</v>
      </c>
      <c r="L191" s="153" t="str">
        <f t="array" ref="L191">INDEX('Primary - GRADING'!$A$1:$CP997,MATCH($A191,'Primary - GRADING'!$CP:$CP,0),51)</f>
        <v>#N/A</v>
      </c>
      <c r="M191" s="153" t="str">
        <f t="array" ref="M191">INDEX('Primary - GRADING'!$A$1:$CP997,MATCH($A191,'Primary - GRADING'!$CP:$CP,0),52)</f>
        <v>#N/A</v>
      </c>
      <c r="N191" s="153" t="str">
        <f t="array" ref="N191">INDEX('Primary - GRADING'!$A$1:$CP997,MATCH($A191,'Primary - GRADING'!$CP:$CP,0),53)</f>
        <v>#N/A</v>
      </c>
      <c r="O191" s="153" t="str">
        <f t="array" ref="O191">INDEX('Primary - GRADING'!$A$1:$CP997,MATCH($A191,'Primary - GRADING'!$CP:$CP,0),58)</f>
        <v>#N/A</v>
      </c>
      <c r="P191" s="153" t="str">
        <f t="array" ref="P191">INDEX('Primary - GRADING'!$A$1:$CP997,MATCH($A191,'Primary - GRADING'!$CP:$CP,0),5)</f>
        <v>#N/A</v>
      </c>
      <c r="Q191" s="153" t="str">
        <f t="array" ref="Q191">INDEX('Primary - GRADING'!$A$1:$CP997,MATCH($A191,'Primary - GRADING'!$CP:$CP,0),6)</f>
        <v>#N/A</v>
      </c>
      <c r="R191" s="153" t="str">
        <f t="array" ref="R191">INDEX('Primary - GRADING'!$A$1:$CP997,MATCH($A191,'Primary - GRADING'!$CP:$CP,0),7)</f>
        <v>#N/A</v>
      </c>
      <c r="S191" s="153" t="str">
        <f t="array" ref="S191">INDEX('Primary - GRADING'!$A$1:$CP997,MATCH($A191,'Primary - GRADING'!$CP:$CP,0),8)</f>
        <v>#N/A</v>
      </c>
      <c r="T191" s="153" t="str">
        <f t="array" ref="T191">INDEX('Primary - GRADING'!$A$1:$CP997,MATCH($A191,'Primary - GRADING'!$CP:$CP,0),9)</f>
        <v>#N/A</v>
      </c>
      <c r="U191" s="153" t="str">
        <f t="array" ref="U191">INDEX('Primary - GRADING'!$A$1:$CP997,MATCH($A191,'Primary - GRADING'!$CP:$CP,0),10)</f>
        <v>#N/A</v>
      </c>
      <c r="V191" s="153" t="str">
        <f t="array" ref="V191">INDEX('Primary - GRADING'!$A$1:$CP997,MATCH($A191,'Primary - GRADING'!$CP:$CP,0),18)</f>
        <v>#N/A</v>
      </c>
      <c r="W191" s="153" t="str">
        <f t="array" ref="W191">INDEX('Primary - GRADING'!$A$1:$CP997,MATCH($A191,'Primary - GRADING'!$CP:$CP,0),20)</f>
        <v>#N/A</v>
      </c>
      <c r="X191" s="153" t="str">
        <f t="array" ref="X191">INDEX('Primary - GRADING'!$A$1:$CP997,MATCH($A191,'Primary - GRADING'!$CP:$CP,0),21)</f>
        <v>#N/A</v>
      </c>
      <c r="Y191" s="153" t="str">
        <f t="array" ref="Y191">INDEX('Primary - GRADING'!$A$1:$CP997,MATCH($A191,'Primary - GRADING'!$CP:$CP,0),22)</f>
        <v>#N/A</v>
      </c>
      <c r="Z191" s="165" t="str">
        <f t="array" ref="Z191">INDEX('Primary - GRADING'!$A$1:$CP997,MATCH($A191,'Primary - GRADING'!$CP:$CP,0),23)</f>
        <v>#N/A</v>
      </c>
      <c r="AA191" s="153" t="str">
        <f t="array" ref="AA191">INDEX('Primary - GRADING'!$A$1:$CP997,MATCH($A191,'Primary - GRADING'!$CP:$CP,0),24)</f>
        <v>#N/A</v>
      </c>
      <c r="AB191" s="153" t="str">
        <f t="array" ref="AB191">INDEX('Primary - GRADING'!$A$1:$CP997,MATCH($A191,'Primary - GRADING'!$CP:$CP,0),25)</f>
        <v>#N/A</v>
      </c>
      <c r="AC191" s="153" t="str">
        <f t="array" ref="AC191">INDEX('Primary - GRADING'!$A$1:$CP997,MATCH($A191,'Primary - GRADING'!$CP:$CP,0),46)</f>
        <v>#N/A</v>
      </c>
      <c r="AG191" s="153" t="str">
        <f t="shared" si="7"/>
        <v>#N/A</v>
      </c>
      <c r="AI191" s="153" t="str">
        <f>VLOOKUP(AH191,'Primary - GRADING'!$A$4:$C997,2,)</f>
        <v>#N/A</v>
      </c>
      <c r="AJ191" s="153" t="str">
        <f>VLOOKUP(AH191,'Primary - GRADING'!$A$4:$C997,3,)</f>
        <v>#N/A</v>
      </c>
      <c r="AK191" s="153" t="str">
        <f>VLOOKUP(AH191,'Primary - GRADING'!$A$4:$BG997,59,)</f>
        <v>#N/A</v>
      </c>
      <c r="AL191" s="153" t="str">
        <f>IFS(AK191="NMA",VLOOKUP(AH191,'Primary - GRADING'!$A$4:$BG997,51,),AK191="DIRECT",VLOOKUP(AH191,'Primary - GRADING'!$A$4:$BG997,8,),AK191="INDIRECT",VLOOKUP(AH191,'Primary - GRADING'!$A$4:$BG997,23,))</f>
        <v>#N/A</v>
      </c>
      <c r="AM191" s="153" t="str">
        <f>IFS(AK191="NMA",VLOOKUP(AH191,'Primary - GRADING'!$A$4:$BG997,52,),AK191="DIRECT",VLOOKUP(AH191,'Primary - GRADING'!$A$4:$BG997,9,),AK191="INDIRECT",VLOOKUP(AH191,'Primary - GRADING'!$A$4:$BG997,24,))</f>
        <v>#N/A</v>
      </c>
      <c r="AN191" s="153" t="str">
        <f>IFS(AK191="NMA",VLOOKUP(AH191,'Primary - GRADING'!$A$4:$BG997,53,),AK191="DIRECT",VLOOKUP(AH191,'Primary - GRADING'!$A$4:$BG997,10,),AK191="INDIRECT",VLOOKUP(AH191,'Primary - GRADING'!$A$4:$BG997,25,))</f>
        <v>#N/A</v>
      </c>
      <c r="AO191" s="153" t="str">
        <f t="shared" si="8"/>
        <v>#N/A</v>
      </c>
      <c r="AT191" s="153" t="str">
        <f t="shared" si="9"/>
        <v>#N/A</v>
      </c>
      <c r="AV191" s="153" t="str">
        <f>VLOOKUP(AU191,'Primary - GRADING'!$A$4:$C997,2,)</f>
        <v>#N/A</v>
      </c>
      <c r="AW191" s="153" t="str">
        <f>VLOOKUP(AU191,'Primary - GRADING'!$A$4:$C997,3,)</f>
        <v>#N/A</v>
      </c>
      <c r="AX191" s="153" t="str">
        <f>VLOOKUP(AU191,'Primary - GRADING'!$A$4:$BG997,59,)</f>
        <v>#N/A</v>
      </c>
      <c r="AY191" s="153" t="str">
        <f>IFS(AX191="NMA",VLOOKUP(AU191,'Primary - GRADING'!$A$4:$BG997,51,),AX191="DIRECT",VLOOKUP(AU191,'Primary - GRADING'!$A$4:$BG997,8,),AX191="INDIRECT",VLOOKUP(AU191,'Primary - GRADING'!$A$4:$BG997,23,))</f>
        <v>#N/A</v>
      </c>
      <c r="AZ191" s="153" t="str">
        <f>IFS(AX191="NMA",VLOOKUP(AU191,'Primary - GRADING'!$A$4:$BG997,52,),AX191="DIRECT",VLOOKUP(AU191,'Primary - GRADING'!$A$4:$BG997,9,),AX191="INDIRECT",VLOOKUP(AU191,'Primary - GRADING'!$A$4:$BG997,24,))</f>
        <v>#N/A</v>
      </c>
      <c r="BA191" s="153" t="str">
        <f>IFS(AX191="NMA",VLOOKUP(AU191,'Primary - GRADING'!$A$4:$BG997,53,),AX191="DIRECT",VLOOKUP(AU191,'Primary - GRADING'!$A$4:$BG997,10,),AX191="INDIRECT",VLOOKUP(AU191,'Primary - GRADING'!$A$4:$BG997,25,))</f>
        <v>#N/A</v>
      </c>
      <c r="BB191" s="153" t="str">
        <f t="shared" si="10"/>
        <v>#N/A</v>
      </c>
      <c r="BE191" s="153" t="str">
        <f t="shared" si="11"/>
        <v/>
      </c>
      <c r="BG191" s="153" t="str">
        <f t="shared" si="12"/>
        <v>#N/A</v>
      </c>
      <c r="BI191" s="153" t="str">
        <f t="shared" si="13"/>
        <v>#N/A</v>
      </c>
      <c r="BK191" s="153" t="str">
        <f t="shared" si="14"/>
        <v>#N/A</v>
      </c>
      <c r="BM191" s="153" t="str">
        <f t="shared" si="15"/>
        <v>#N/A</v>
      </c>
    </row>
    <row r="192" ht="15.75" customHeight="1">
      <c r="B192" s="160" t="str">
        <f t="shared" si="1"/>
        <v>#N/A</v>
      </c>
      <c r="C192" s="160" t="str">
        <f t="shared" si="2"/>
        <v>#N/A</v>
      </c>
      <c r="D192" s="160" t="str">
        <f t="shared" si="3"/>
        <v>#N/A</v>
      </c>
      <c r="E192" s="161" t="str">
        <f t="shared" si="4"/>
        <v>#N/A</v>
      </c>
      <c r="F192" s="153" t="str">
        <f t="shared" si="17"/>
        <v>#N/A</v>
      </c>
      <c r="G192" s="153" t="str">
        <f t="shared" si="6"/>
        <v>#N/A</v>
      </c>
      <c r="H192" s="156" t="str">
        <f t="array" ref="H192">INDEX('Primary - GRADING'!$A$1:$BG997,MATCH($A192,'Primary - GRADING'!$B:$B,0),59)</f>
        <v>#N/A</v>
      </c>
      <c r="I192" s="153" t="str">
        <f t="array" ref="I192">INDEX('Primary - GRADING'!$A$1:$CP997,MATCH($A192,'Primary - GRADING'!$CP:$CP,0),48)</f>
        <v>#N/A</v>
      </c>
      <c r="J192" s="153" t="str">
        <f t="array" ref="J192">INDEX('Primary - GRADING'!$A$1:$CP997,MATCH($A192,'Primary - GRADING'!$CP:$CP,0),49)</f>
        <v>#N/A</v>
      </c>
      <c r="K192" s="153" t="str">
        <f t="array" ref="K192">INDEX('Primary - GRADING'!$A$1:$CP997,MATCH($A192,'Primary - GRADING'!$CP:$CP,0),50)</f>
        <v>#N/A</v>
      </c>
      <c r="L192" s="153" t="str">
        <f t="array" ref="L192">INDEX('Primary - GRADING'!$A$1:$CP997,MATCH($A192,'Primary - GRADING'!$CP:$CP,0),51)</f>
        <v>#N/A</v>
      </c>
      <c r="M192" s="153" t="str">
        <f t="array" ref="M192">INDEX('Primary - GRADING'!$A$1:$CP997,MATCH($A192,'Primary - GRADING'!$CP:$CP,0),52)</f>
        <v>#N/A</v>
      </c>
      <c r="N192" s="153" t="str">
        <f t="array" ref="N192">INDEX('Primary - GRADING'!$A$1:$CP997,MATCH($A192,'Primary - GRADING'!$CP:$CP,0),53)</f>
        <v>#N/A</v>
      </c>
      <c r="O192" s="153" t="str">
        <f t="array" ref="O192">INDEX('Primary - GRADING'!$A$1:$CP997,MATCH($A192,'Primary - GRADING'!$CP:$CP,0),58)</f>
        <v>#N/A</v>
      </c>
      <c r="P192" s="153" t="str">
        <f t="array" ref="P192">INDEX('Primary - GRADING'!$A$1:$CP997,MATCH($A192,'Primary - GRADING'!$CP:$CP,0),5)</f>
        <v>#N/A</v>
      </c>
      <c r="Q192" s="153" t="str">
        <f t="array" ref="Q192">INDEX('Primary - GRADING'!$A$1:$CP997,MATCH($A192,'Primary - GRADING'!$CP:$CP,0),6)</f>
        <v>#N/A</v>
      </c>
      <c r="R192" s="153" t="str">
        <f t="array" ref="R192">INDEX('Primary - GRADING'!$A$1:$CP997,MATCH($A192,'Primary - GRADING'!$CP:$CP,0),7)</f>
        <v>#N/A</v>
      </c>
      <c r="S192" s="153" t="str">
        <f t="array" ref="S192">INDEX('Primary - GRADING'!$A$1:$CP997,MATCH($A192,'Primary - GRADING'!$CP:$CP,0),8)</f>
        <v>#N/A</v>
      </c>
      <c r="T192" s="153" t="str">
        <f t="array" ref="T192">INDEX('Primary - GRADING'!$A$1:$CP997,MATCH($A192,'Primary - GRADING'!$CP:$CP,0),9)</f>
        <v>#N/A</v>
      </c>
      <c r="U192" s="153" t="str">
        <f t="array" ref="U192">INDEX('Primary - GRADING'!$A$1:$CP997,MATCH($A192,'Primary - GRADING'!$CP:$CP,0),10)</f>
        <v>#N/A</v>
      </c>
      <c r="V192" s="153" t="str">
        <f t="array" ref="V192">INDEX('Primary - GRADING'!$A$1:$CP997,MATCH($A192,'Primary - GRADING'!$CP:$CP,0),18)</f>
        <v>#N/A</v>
      </c>
      <c r="W192" s="153" t="str">
        <f t="array" ref="W192">INDEX('Primary - GRADING'!$A$1:$CP997,MATCH($A192,'Primary - GRADING'!$CP:$CP,0),20)</f>
        <v>#N/A</v>
      </c>
      <c r="X192" s="153" t="str">
        <f t="array" ref="X192">INDEX('Primary - GRADING'!$A$1:$CP997,MATCH($A192,'Primary - GRADING'!$CP:$CP,0),21)</f>
        <v>#N/A</v>
      </c>
      <c r="Y192" s="153" t="str">
        <f t="array" ref="Y192">INDEX('Primary - GRADING'!$A$1:$CP997,MATCH($A192,'Primary - GRADING'!$CP:$CP,0),22)</f>
        <v>#N/A</v>
      </c>
      <c r="Z192" s="165" t="str">
        <f t="array" ref="Z192">INDEX('Primary - GRADING'!$A$1:$CP997,MATCH($A192,'Primary - GRADING'!$CP:$CP,0),23)</f>
        <v>#N/A</v>
      </c>
      <c r="AA192" s="153" t="str">
        <f t="array" ref="AA192">INDEX('Primary - GRADING'!$A$1:$CP997,MATCH($A192,'Primary - GRADING'!$CP:$CP,0),24)</f>
        <v>#N/A</v>
      </c>
      <c r="AB192" s="153" t="str">
        <f t="array" ref="AB192">INDEX('Primary - GRADING'!$A$1:$CP997,MATCH($A192,'Primary - GRADING'!$CP:$CP,0),25)</f>
        <v>#N/A</v>
      </c>
      <c r="AC192" s="153" t="str">
        <f t="array" ref="AC192">INDEX('Primary - GRADING'!$A$1:$CP997,MATCH($A192,'Primary - GRADING'!$CP:$CP,0),46)</f>
        <v>#N/A</v>
      </c>
      <c r="AG192" s="153" t="str">
        <f t="shared" si="7"/>
        <v>#N/A</v>
      </c>
      <c r="AI192" s="153" t="str">
        <f>VLOOKUP(AH192,'Primary - GRADING'!$A$4:$C997,2,)</f>
        <v>#N/A</v>
      </c>
      <c r="AJ192" s="153" t="str">
        <f>VLOOKUP(AH192,'Primary - GRADING'!$A$4:$C997,3,)</f>
        <v>#N/A</v>
      </c>
      <c r="AK192" s="153" t="str">
        <f>VLOOKUP(AH192,'Primary - GRADING'!$A$4:$BG997,59,)</f>
        <v>#N/A</v>
      </c>
      <c r="AL192" s="153" t="str">
        <f>IFS(AK192="NMA",VLOOKUP(AH192,'Primary - GRADING'!$A$4:$BG997,51,),AK192="DIRECT",VLOOKUP(AH192,'Primary - GRADING'!$A$4:$BG997,8,),AK192="INDIRECT",VLOOKUP(AH192,'Primary - GRADING'!$A$4:$BG997,23,))</f>
        <v>#N/A</v>
      </c>
      <c r="AM192" s="153" t="str">
        <f>IFS(AK192="NMA",VLOOKUP(AH192,'Primary - GRADING'!$A$4:$BG997,52,),AK192="DIRECT",VLOOKUP(AH192,'Primary - GRADING'!$A$4:$BG997,9,),AK192="INDIRECT",VLOOKUP(AH192,'Primary - GRADING'!$A$4:$BG997,24,))</f>
        <v>#N/A</v>
      </c>
      <c r="AN192" s="153" t="str">
        <f>IFS(AK192="NMA",VLOOKUP(AH192,'Primary - GRADING'!$A$4:$BG997,53,),AK192="DIRECT",VLOOKUP(AH192,'Primary - GRADING'!$A$4:$BG997,10,),AK192="INDIRECT",VLOOKUP(AH192,'Primary - GRADING'!$A$4:$BG997,25,))</f>
        <v>#N/A</v>
      </c>
      <c r="AO192" s="153" t="str">
        <f t="shared" si="8"/>
        <v>#N/A</v>
      </c>
      <c r="AT192" s="153" t="str">
        <f t="shared" si="9"/>
        <v>#N/A</v>
      </c>
      <c r="AV192" s="153" t="str">
        <f>VLOOKUP(AU192,'Primary - GRADING'!$A$4:$C997,2,)</f>
        <v>#N/A</v>
      </c>
      <c r="AW192" s="153" t="str">
        <f>VLOOKUP(AU192,'Primary - GRADING'!$A$4:$C997,3,)</f>
        <v>#N/A</v>
      </c>
      <c r="AX192" s="153" t="str">
        <f>VLOOKUP(AU192,'Primary - GRADING'!$A$4:$BG997,59,)</f>
        <v>#N/A</v>
      </c>
      <c r="AY192" s="153" t="str">
        <f>IFS(AX192="NMA",VLOOKUP(AU192,'Primary - GRADING'!$A$4:$BG997,51,),AX192="DIRECT",VLOOKUP(AU192,'Primary - GRADING'!$A$4:$BG997,8,),AX192="INDIRECT",VLOOKUP(AU192,'Primary - GRADING'!$A$4:$BG997,23,))</f>
        <v>#N/A</v>
      </c>
      <c r="AZ192" s="153" t="str">
        <f>IFS(AX192="NMA",VLOOKUP(AU192,'Primary - GRADING'!$A$4:$BG997,52,),AX192="DIRECT",VLOOKUP(AU192,'Primary - GRADING'!$A$4:$BG997,9,),AX192="INDIRECT",VLOOKUP(AU192,'Primary - GRADING'!$A$4:$BG997,24,))</f>
        <v>#N/A</v>
      </c>
      <c r="BA192" s="153" t="str">
        <f>IFS(AX192="NMA",VLOOKUP(AU192,'Primary - GRADING'!$A$4:$BG997,53,),AX192="DIRECT",VLOOKUP(AU192,'Primary - GRADING'!$A$4:$BG997,10,),AX192="INDIRECT",VLOOKUP(AU192,'Primary - GRADING'!$A$4:$BG997,25,))</f>
        <v>#N/A</v>
      </c>
      <c r="BB192" s="153" t="str">
        <f t="shared" si="10"/>
        <v>#N/A</v>
      </c>
      <c r="BE192" s="153" t="str">
        <f t="shared" si="11"/>
        <v/>
      </c>
      <c r="BG192" s="153" t="str">
        <f t="shared" si="12"/>
        <v>#N/A</v>
      </c>
      <c r="BI192" s="153" t="str">
        <f t="shared" si="13"/>
        <v>#N/A</v>
      </c>
      <c r="BK192" s="153" t="str">
        <f t="shared" si="14"/>
        <v>#N/A</v>
      </c>
      <c r="BM192" s="153" t="str">
        <f t="shared" si="15"/>
        <v>#N/A</v>
      </c>
    </row>
    <row r="193" ht="15.75" customHeight="1">
      <c r="B193" s="160" t="str">
        <f t="shared" si="1"/>
        <v>#N/A</v>
      </c>
      <c r="C193" s="160" t="str">
        <f t="shared" si="2"/>
        <v>#N/A</v>
      </c>
      <c r="D193" s="160" t="str">
        <f t="shared" si="3"/>
        <v>#N/A</v>
      </c>
      <c r="E193" s="161" t="str">
        <f t="shared" si="4"/>
        <v>#N/A</v>
      </c>
      <c r="F193" s="153" t="str">
        <f t="shared" si="17"/>
        <v>#N/A</v>
      </c>
      <c r="G193" s="153" t="str">
        <f t="shared" si="6"/>
        <v>#N/A</v>
      </c>
      <c r="H193" s="156" t="str">
        <f t="array" ref="H193">INDEX('Primary - GRADING'!$A$1:$BG997,MATCH($A193,'Primary - GRADING'!$B:$B,0),59)</f>
        <v>#N/A</v>
      </c>
      <c r="I193" s="153" t="str">
        <f t="array" ref="I193">INDEX('Primary - GRADING'!$A$1:$CP997,MATCH($A193,'Primary - GRADING'!$CP:$CP,0),48)</f>
        <v>#N/A</v>
      </c>
      <c r="J193" s="153" t="str">
        <f t="array" ref="J193">INDEX('Primary - GRADING'!$A$1:$CP997,MATCH($A193,'Primary - GRADING'!$CP:$CP,0),49)</f>
        <v>#N/A</v>
      </c>
      <c r="K193" s="153" t="str">
        <f t="array" ref="K193">INDEX('Primary - GRADING'!$A$1:$CP997,MATCH($A193,'Primary - GRADING'!$CP:$CP,0),50)</f>
        <v>#N/A</v>
      </c>
      <c r="L193" s="153" t="str">
        <f t="array" ref="L193">INDEX('Primary - GRADING'!$A$1:$CP997,MATCH($A193,'Primary - GRADING'!$CP:$CP,0),51)</f>
        <v>#N/A</v>
      </c>
      <c r="M193" s="153" t="str">
        <f t="array" ref="M193">INDEX('Primary - GRADING'!$A$1:$CP997,MATCH($A193,'Primary - GRADING'!$CP:$CP,0),52)</f>
        <v>#N/A</v>
      </c>
      <c r="N193" s="153" t="str">
        <f t="array" ref="N193">INDEX('Primary - GRADING'!$A$1:$CP997,MATCH($A193,'Primary - GRADING'!$CP:$CP,0),53)</f>
        <v>#N/A</v>
      </c>
      <c r="O193" s="153" t="str">
        <f t="array" ref="O193">INDEX('Primary - GRADING'!$A$1:$CP997,MATCH($A193,'Primary - GRADING'!$CP:$CP,0),58)</f>
        <v>#N/A</v>
      </c>
      <c r="P193" s="153" t="str">
        <f t="array" ref="P193">INDEX('Primary - GRADING'!$A$1:$CP997,MATCH($A193,'Primary - GRADING'!$CP:$CP,0),5)</f>
        <v>#N/A</v>
      </c>
      <c r="Q193" s="153" t="str">
        <f t="array" ref="Q193">INDEX('Primary - GRADING'!$A$1:$CP997,MATCH($A193,'Primary - GRADING'!$CP:$CP,0),6)</f>
        <v>#N/A</v>
      </c>
      <c r="R193" s="153" t="str">
        <f t="array" ref="R193">INDEX('Primary - GRADING'!$A$1:$CP997,MATCH($A193,'Primary - GRADING'!$CP:$CP,0),7)</f>
        <v>#N/A</v>
      </c>
      <c r="S193" s="153" t="str">
        <f t="array" ref="S193">INDEX('Primary - GRADING'!$A$1:$CP997,MATCH($A193,'Primary - GRADING'!$CP:$CP,0),8)</f>
        <v>#N/A</v>
      </c>
      <c r="T193" s="153" t="str">
        <f t="array" ref="T193">INDEX('Primary - GRADING'!$A$1:$CP997,MATCH($A193,'Primary - GRADING'!$CP:$CP,0),9)</f>
        <v>#N/A</v>
      </c>
      <c r="U193" s="153" t="str">
        <f t="array" ref="U193">INDEX('Primary - GRADING'!$A$1:$CP997,MATCH($A193,'Primary - GRADING'!$CP:$CP,0),10)</f>
        <v>#N/A</v>
      </c>
      <c r="V193" s="153" t="str">
        <f t="array" ref="V193">INDEX('Primary - GRADING'!$A$1:$CP997,MATCH($A193,'Primary - GRADING'!$CP:$CP,0),18)</f>
        <v>#N/A</v>
      </c>
      <c r="W193" s="153" t="str">
        <f t="array" ref="W193">INDEX('Primary - GRADING'!$A$1:$CP997,MATCH($A193,'Primary - GRADING'!$CP:$CP,0),20)</f>
        <v>#N/A</v>
      </c>
      <c r="X193" s="153" t="str">
        <f t="array" ref="X193">INDEX('Primary - GRADING'!$A$1:$CP997,MATCH($A193,'Primary - GRADING'!$CP:$CP,0),21)</f>
        <v>#N/A</v>
      </c>
      <c r="Y193" s="153" t="str">
        <f t="array" ref="Y193">INDEX('Primary - GRADING'!$A$1:$CP997,MATCH($A193,'Primary - GRADING'!$CP:$CP,0),22)</f>
        <v>#N/A</v>
      </c>
      <c r="Z193" s="165" t="str">
        <f t="array" ref="Z193">INDEX('Primary - GRADING'!$A$1:$CP997,MATCH($A193,'Primary - GRADING'!$CP:$CP,0),23)</f>
        <v>#N/A</v>
      </c>
      <c r="AA193" s="153" t="str">
        <f t="array" ref="AA193">INDEX('Primary - GRADING'!$A$1:$CP997,MATCH($A193,'Primary - GRADING'!$CP:$CP,0),24)</f>
        <v>#N/A</v>
      </c>
      <c r="AB193" s="153" t="str">
        <f t="array" ref="AB193">INDEX('Primary - GRADING'!$A$1:$CP997,MATCH($A193,'Primary - GRADING'!$CP:$CP,0),25)</f>
        <v>#N/A</v>
      </c>
      <c r="AC193" s="153" t="str">
        <f t="array" ref="AC193">INDEX('Primary - GRADING'!$A$1:$CP997,MATCH($A193,'Primary - GRADING'!$CP:$CP,0),46)</f>
        <v>#N/A</v>
      </c>
      <c r="AG193" s="153" t="str">
        <f t="shared" si="7"/>
        <v>#N/A</v>
      </c>
      <c r="AI193" s="153" t="str">
        <f>VLOOKUP(AH193,'Primary - GRADING'!$A$4:$C997,2,)</f>
        <v>#N/A</v>
      </c>
      <c r="AJ193" s="153" t="str">
        <f>VLOOKUP(AH193,'Primary - GRADING'!$A$4:$C997,3,)</f>
        <v>#N/A</v>
      </c>
      <c r="AK193" s="153" t="str">
        <f>VLOOKUP(AH193,'Primary - GRADING'!$A$4:$BG997,59,)</f>
        <v>#N/A</v>
      </c>
      <c r="AL193" s="153" t="str">
        <f>IFS(AK193="NMA",VLOOKUP(AH193,'Primary - GRADING'!$A$4:$BG997,51,),AK193="DIRECT",VLOOKUP(AH193,'Primary - GRADING'!$A$4:$BG997,8,),AK193="INDIRECT",VLOOKUP(AH193,'Primary - GRADING'!$A$4:$BG997,23,))</f>
        <v>#N/A</v>
      </c>
      <c r="AM193" s="153" t="str">
        <f>IFS(AK193="NMA",VLOOKUP(AH193,'Primary - GRADING'!$A$4:$BG997,52,),AK193="DIRECT",VLOOKUP(AH193,'Primary - GRADING'!$A$4:$BG997,9,),AK193="INDIRECT",VLOOKUP(AH193,'Primary - GRADING'!$A$4:$BG997,24,))</f>
        <v>#N/A</v>
      </c>
      <c r="AN193" s="153" t="str">
        <f>IFS(AK193="NMA",VLOOKUP(AH193,'Primary - GRADING'!$A$4:$BG997,53,),AK193="DIRECT",VLOOKUP(AH193,'Primary - GRADING'!$A$4:$BG997,10,),AK193="INDIRECT",VLOOKUP(AH193,'Primary - GRADING'!$A$4:$BG997,25,))</f>
        <v>#N/A</v>
      </c>
      <c r="AO193" s="153" t="str">
        <f t="shared" si="8"/>
        <v>#N/A</v>
      </c>
      <c r="AT193" s="153" t="str">
        <f t="shared" si="9"/>
        <v>#N/A</v>
      </c>
      <c r="AV193" s="153" t="str">
        <f>VLOOKUP(AU193,'Primary - GRADING'!$A$4:$C997,2,)</f>
        <v>#N/A</v>
      </c>
      <c r="AW193" s="153" t="str">
        <f>VLOOKUP(AU193,'Primary - GRADING'!$A$4:$C997,3,)</f>
        <v>#N/A</v>
      </c>
      <c r="AX193" s="153" t="str">
        <f>VLOOKUP(AU193,'Primary - GRADING'!$A$4:$BG997,59,)</f>
        <v>#N/A</v>
      </c>
      <c r="AY193" s="153" t="str">
        <f>IFS(AX193="NMA",VLOOKUP(AU193,'Primary - GRADING'!$A$4:$BG997,51,),AX193="DIRECT",VLOOKUP(AU193,'Primary - GRADING'!$A$4:$BG997,8,),AX193="INDIRECT",VLOOKUP(AU193,'Primary - GRADING'!$A$4:$BG997,23,))</f>
        <v>#N/A</v>
      </c>
      <c r="AZ193" s="153" t="str">
        <f>IFS(AX193="NMA",VLOOKUP(AU193,'Primary - GRADING'!$A$4:$BG997,52,),AX193="DIRECT",VLOOKUP(AU193,'Primary - GRADING'!$A$4:$BG997,9,),AX193="INDIRECT",VLOOKUP(AU193,'Primary - GRADING'!$A$4:$BG997,24,))</f>
        <v>#N/A</v>
      </c>
      <c r="BA193" s="153" t="str">
        <f>IFS(AX193="NMA",VLOOKUP(AU193,'Primary - GRADING'!$A$4:$BG997,53,),AX193="DIRECT",VLOOKUP(AU193,'Primary - GRADING'!$A$4:$BG997,10,),AX193="INDIRECT",VLOOKUP(AU193,'Primary - GRADING'!$A$4:$BG997,25,))</f>
        <v>#N/A</v>
      </c>
      <c r="BB193" s="153" t="str">
        <f t="shared" si="10"/>
        <v>#N/A</v>
      </c>
      <c r="BE193" s="153" t="str">
        <f t="shared" si="11"/>
        <v/>
      </c>
      <c r="BG193" s="153" t="str">
        <f t="shared" si="12"/>
        <v>#N/A</v>
      </c>
      <c r="BI193" s="153" t="str">
        <f t="shared" si="13"/>
        <v>#N/A</v>
      </c>
      <c r="BK193" s="153" t="str">
        <f t="shared" si="14"/>
        <v>#N/A</v>
      </c>
      <c r="BM193" s="153" t="str">
        <f t="shared" si="15"/>
        <v>#N/A</v>
      </c>
    </row>
    <row r="194" ht="15.75" customHeight="1">
      <c r="B194" s="160" t="str">
        <f t="shared" si="1"/>
        <v>#N/A</v>
      </c>
      <c r="C194" s="160" t="str">
        <f t="shared" si="2"/>
        <v>#N/A</v>
      </c>
      <c r="D194" s="160" t="str">
        <f t="shared" si="3"/>
        <v>#N/A</v>
      </c>
      <c r="E194" s="161" t="str">
        <f t="shared" si="4"/>
        <v>#N/A</v>
      </c>
      <c r="F194" s="153" t="str">
        <f t="shared" si="17"/>
        <v>#N/A</v>
      </c>
      <c r="G194" s="153" t="str">
        <f t="shared" si="6"/>
        <v>#N/A</v>
      </c>
      <c r="H194" s="156" t="str">
        <f t="array" ref="H194">INDEX('Primary - GRADING'!$A$1:$BG997,MATCH($A194,'Primary - GRADING'!$B:$B,0),59)</f>
        <v>#N/A</v>
      </c>
      <c r="I194" s="153" t="str">
        <f t="array" ref="I194">INDEX('Primary - GRADING'!$A$1:$CP997,MATCH($A194,'Primary - GRADING'!$CP:$CP,0),48)</f>
        <v>#N/A</v>
      </c>
      <c r="J194" s="153" t="str">
        <f t="array" ref="J194">INDEX('Primary - GRADING'!$A$1:$CP997,MATCH($A194,'Primary - GRADING'!$CP:$CP,0),49)</f>
        <v>#N/A</v>
      </c>
      <c r="K194" s="153" t="str">
        <f t="array" ref="K194">INDEX('Primary - GRADING'!$A$1:$CP997,MATCH($A194,'Primary - GRADING'!$CP:$CP,0),50)</f>
        <v>#N/A</v>
      </c>
      <c r="L194" s="153" t="str">
        <f t="array" ref="L194">INDEX('Primary - GRADING'!$A$1:$CP997,MATCH($A194,'Primary - GRADING'!$CP:$CP,0),51)</f>
        <v>#N/A</v>
      </c>
      <c r="M194" s="153" t="str">
        <f t="array" ref="M194">INDEX('Primary - GRADING'!$A$1:$CP997,MATCH($A194,'Primary - GRADING'!$CP:$CP,0),52)</f>
        <v>#N/A</v>
      </c>
      <c r="N194" s="153" t="str">
        <f t="array" ref="N194">INDEX('Primary - GRADING'!$A$1:$CP997,MATCH($A194,'Primary - GRADING'!$CP:$CP,0),53)</f>
        <v>#N/A</v>
      </c>
      <c r="O194" s="153" t="str">
        <f t="array" ref="O194">INDEX('Primary - GRADING'!$A$1:$CP997,MATCH($A194,'Primary - GRADING'!$CP:$CP,0),58)</f>
        <v>#N/A</v>
      </c>
      <c r="P194" s="153" t="str">
        <f t="array" ref="P194">INDEX('Primary - GRADING'!$A$1:$CP997,MATCH($A194,'Primary - GRADING'!$CP:$CP,0),5)</f>
        <v>#N/A</v>
      </c>
      <c r="Q194" s="153" t="str">
        <f t="array" ref="Q194">INDEX('Primary - GRADING'!$A$1:$CP997,MATCH($A194,'Primary - GRADING'!$CP:$CP,0),6)</f>
        <v>#N/A</v>
      </c>
      <c r="R194" s="153" t="str">
        <f t="array" ref="R194">INDEX('Primary - GRADING'!$A$1:$CP997,MATCH($A194,'Primary - GRADING'!$CP:$CP,0),7)</f>
        <v>#N/A</v>
      </c>
      <c r="S194" s="153" t="str">
        <f t="array" ref="S194">INDEX('Primary - GRADING'!$A$1:$CP997,MATCH($A194,'Primary - GRADING'!$CP:$CP,0),8)</f>
        <v>#N/A</v>
      </c>
      <c r="T194" s="153" t="str">
        <f t="array" ref="T194">INDEX('Primary - GRADING'!$A$1:$CP997,MATCH($A194,'Primary - GRADING'!$CP:$CP,0),9)</f>
        <v>#N/A</v>
      </c>
      <c r="U194" s="153" t="str">
        <f t="array" ref="U194">INDEX('Primary - GRADING'!$A$1:$CP997,MATCH($A194,'Primary - GRADING'!$CP:$CP,0),10)</f>
        <v>#N/A</v>
      </c>
      <c r="V194" s="153" t="str">
        <f t="array" ref="V194">INDEX('Primary - GRADING'!$A$1:$CP997,MATCH($A194,'Primary - GRADING'!$CP:$CP,0),18)</f>
        <v>#N/A</v>
      </c>
      <c r="W194" s="153" t="str">
        <f t="array" ref="W194">INDEX('Primary - GRADING'!$A$1:$CP997,MATCH($A194,'Primary - GRADING'!$CP:$CP,0),20)</f>
        <v>#N/A</v>
      </c>
      <c r="X194" s="153" t="str">
        <f t="array" ref="X194">INDEX('Primary - GRADING'!$A$1:$CP997,MATCH($A194,'Primary - GRADING'!$CP:$CP,0),21)</f>
        <v>#N/A</v>
      </c>
      <c r="Y194" s="153" t="str">
        <f t="array" ref="Y194">INDEX('Primary - GRADING'!$A$1:$CP997,MATCH($A194,'Primary - GRADING'!$CP:$CP,0),22)</f>
        <v>#N/A</v>
      </c>
      <c r="Z194" s="165" t="str">
        <f t="array" ref="Z194">INDEX('Primary - GRADING'!$A$1:$CP997,MATCH($A194,'Primary - GRADING'!$CP:$CP,0),23)</f>
        <v>#N/A</v>
      </c>
      <c r="AA194" s="153" t="str">
        <f t="array" ref="AA194">INDEX('Primary - GRADING'!$A$1:$CP997,MATCH($A194,'Primary - GRADING'!$CP:$CP,0),24)</f>
        <v>#N/A</v>
      </c>
      <c r="AB194" s="153" t="str">
        <f t="array" ref="AB194">INDEX('Primary - GRADING'!$A$1:$CP997,MATCH($A194,'Primary - GRADING'!$CP:$CP,0),25)</f>
        <v>#N/A</v>
      </c>
      <c r="AC194" s="153" t="str">
        <f t="array" ref="AC194">INDEX('Primary - GRADING'!$A$1:$CP997,MATCH($A194,'Primary - GRADING'!$CP:$CP,0),46)</f>
        <v>#N/A</v>
      </c>
      <c r="AG194" s="153" t="str">
        <f t="shared" si="7"/>
        <v>#N/A</v>
      </c>
      <c r="AI194" s="153" t="str">
        <f>VLOOKUP(AH194,'Primary - GRADING'!$A$4:$C997,2,)</f>
        <v>#N/A</v>
      </c>
      <c r="AJ194" s="153" t="str">
        <f>VLOOKUP(AH194,'Primary - GRADING'!$A$4:$C997,3,)</f>
        <v>#N/A</v>
      </c>
      <c r="AK194" s="153" t="str">
        <f>VLOOKUP(AH194,'Primary - GRADING'!$A$4:$BG997,59,)</f>
        <v>#N/A</v>
      </c>
      <c r="AL194" s="153" t="str">
        <f>IFS(AK194="NMA",VLOOKUP(AH194,'Primary - GRADING'!$A$4:$BG997,51,),AK194="DIRECT",VLOOKUP(AH194,'Primary - GRADING'!$A$4:$BG997,8,),AK194="INDIRECT",VLOOKUP(AH194,'Primary - GRADING'!$A$4:$BG997,23,))</f>
        <v>#N/A</v>
      </c>
      <c r="AM194" s="153" t="str">
        <f>IFS(AK194="NMA",VLOOKUP(AH194,'Primary - GRADING'!$A$4:$BG997,52,),AK194="DIRECT",VLOOKUP(AH194,'Primary - GRADING'!$A$4:$BG997,9,),AK194="INDIRECT",VLOOKUP(AH194,'Primary - GRADING'!$A$4:$BG997,24,))</f>
        <v>#N/A</v>
      </c>
      <c r="AN194" s="153" t="str">
        <f>IFS(AK194="NMA",VLOOKUP(AH194,'Primary - GRADING'!$A$4:$BG997,53,),AK194="DIRECT",VLOOKUP(AH194,'Primary - GRADING'!$A$4:$BG997,10,),AK194="INDIRECT",VLOOKUP(AH194,'Primary - GRADING'!$A$4:$BG997,25,))</f>
        <v>#N/A</v>
      </c>
      <c r="AO194" s="153" t="str">
        <f t="shared" si="8"/>
        <v>#N/A</v>
      </c>
      <c r="AT194" s="153" t="str">
        <f t="shared" si="9"/>
        <v>#N/A</v>
      </c>
      <c r="AV194" s="153" t="str">
        <f>VLOOKUP(AU194,'Primary - GRADING'!$A$4:$C997,2,)</f>
        <v>#N/A</v>
      </c>
      <c r="AW194" s="153" t="str">
        <f>VLOOKUP(AU194,'Primary - GRADING'!$A$4:$C997,3,)</f>
        <v>#N/A</v>
      </c>
      <c r="AX194" s="153" t="str">
        <f>VLOOKUP(AU194,'Primary - GRADING'!$A$4:$BG997,59,)</f>
        <v>#N/A</v>
      </c>
      <c r="AY194" s="153" t="str">
        <f>IFS(AX194="NMA",VLOOKUP(AU194,'Primary - GRADING'!$A$4:$BG997,51,),AX194="DIRECT",VLOOKUP(AU194,'Primary - GRADING'!$A$4:$BG997,8,),AX194="INDIRECT",VLOOKUP(AU194,'Primary - GRADING'!$A$4:$BG997,23,))</f>
        <v>#N/A</v>
      </c>
      <c r="AZ194" s="153" t="str">
        <f>IFS(AX194="NMA",VLOOKUP(AU194,'Primary - GRADING'!$A$4:$BG997,52,),AX194="DIRECT",VLOOKUP(AU194,'Primary - GRADING'!$A$4:$BG997,9,),AX194="INDIRECT",VLOOKUP(AU194,'Primary - GRADING'!$A$4:$BG997,24,))</f>
        <v>#N/A</v>
      </c>
      <c r="BA194" s="153" t="str">
        <f>IFS(AX194="NMA",VLOOKUP(AU194,'Primary - GRADING'!$A$4:$BG997,53,),AX194="DIRECT",VLOOKUP(AU194,'Primary - GRADING'!$A$4:$BG997,10,),AX194="INDIRECT",VLOOKUP(AU194,'Primary - GRADING'!$A$4:$BG997,25,))</f>
        <v>#N/A</v>
      </c>
      <c r="BB194" s="153" t="str">
        <f t="shared" si="10"/>
        <v>#N/A</v>
      </c>
      <c r="BE194" s="153" t="str">
        <f t="shared" si="11"/>
        <v/>
      </c>
      <c r="BG194" s="153" t="str">
        <f t="shared" si="12"/>
        <v>#N/A</v>
      </c>
      <c r="BI194" s="153" t="str">
        <f t="shared" si="13"/>
        <v>#N/A</v>
      </c>
      <c r="BK194" s="153" t="str">
        <f t="shared" si="14"/>
        <v>#N/A</v>
      </c>
      <c r="BM194" s="153" t="str">
        <f t="shared" si="15"/>
        <v>#N/A</v>
      </c>
    </row>
    <row r="195" ht="15.75" customHeight="1">
      <c r="B195" s="160" t="str">
        <f t="shared" si="1"/>
        <v>#N/A</v>
      </c>
      <c r="C195" s="160" t="str">
        <f t="shared" si="2"/>
        <v>#N/A</v>
      </c>
      <c r="D195" s="160" t="str">
        <f t="shared" si="3"/>
        <v>#N/A</v>
      </c>
      <c r="E195" s="161" t="str">
        <f t="shared" si="4"/>
        <v>#N/A</v>
      </c>
      <c r="F195" s="153" t="str">
        <f t="shared" si="17"/>
        <v>#N/A</v>
      </c>
      <c r="G195" s="153" t="str">
        <f t="shared" si="6"/>
        <v>#N/A</v>
      </c>
      <c r="H195" s="156" t="str">
        <f t="array" ref="H195">INDEX('Primary - GRADING'!$A$1:$BG997,MATCH($A195,'Primary - GRADING'!$B:$B,0),59)</f>
        <v>#N/A</v>
      </c>
      <c r="I195" s="153" t="str">
        <f t="array" ref="I195">INDEX('Primary - GRADING'!$A$1:$CP997,MATCH($A195,'Primary - GRADING'!$CP:$CP,0),48)</f>
        <v>#N/A</v>
      </c>
      <c r="J195" s="153" t="str">
        <f t="array" ref="J195">INDEX('Primary - GRADING'!$A$1:$CP997,MATCH($A195,'Primary - GRADING'!$CP:$CP,0),49)</f>
        <v>#N/A</v>
      </c>
      <c r="K195" s="153" t="str">
        <f t="array" ref="K195">INDEX('Primary - GRADING'!$A$1:$CP997,MATCH($A195,'Primary - GRADING'!$CP:$CP,0),50)</f>
        <v>#N/A</v>
      </c>
      <c r="L195" s="153" t="str">
        <f t="array" ref="L195">INDEX('Primary - GRADING'!$A$1:$CP997,MATCH($A195,'Primary - GRADING'!$CP:$CP,0),51)</f>
        <v>#N/A</v>
      </c>
      <c r="M195" s="153" t="str">
        <f t="array" ref="M195">INDEX('Primary - GRADING'!$A$1:$CP997,MATCH($A195,'Primary - GRADING'!$CP:$CP,0),52)</f>
        <v>#N/A</v>
      </c>
      <c r="N195" s="153" t="str">
        <f t="array" ref="N195">INDEX('Primary - GRADING'!$A$1:$CP997,MATCH($A195,'Primary - GRADING'!$CP:$CP,0),53)</f>
        <v>#N/A</v>
      </c>
      <c r="O195" s="153" t="str">
        <f t="array" ref="O195">INDEX('Primary - GRADING'!$A$1:$CP997,MATCH($A195,'Primary - GRADING'!$CP:$CP,0),58)</f>
        <v>#N/A</v>
      </c>
      <c r="P195" s="153" t="str">
        <f t="array" ref="P195">INDEX('Primary - GRADING'!$A$1:$CP997,MATCH($A195,'Primary - GRADING'!$CP:$CP,0),5)</f>
        <v>#N/A</v>
      </c>
      <c r="Q195" s="153" t="str">
        <f t="array" ref="Q195">INDEX('Primary - GRADING'!$A$1:$CP997,MATCH($A195,'Primary - GRADING'!$CP:$CP,0),6)</f>
        <v>#N/A</v>
      </c>
      <c r="R195" s="153" t="str">
        <f t="array" ref="R195">INDEX('Primary - GRADING'!$A$1:$CP997,MATCH($A195,'Primary - GRADING'!$CP:$CP,0),7)</f>
        <v>#N/A</v>
      </c>
      <c r="S195" s="153" t="str">
        <f t="array" ref="S195">INDEX('Primary - GRADING'!$A$1:$CP997,MATCH($A195,'Primary - GRADING'!$CP:$CP,0),8)</f>
        <v>#N/A</v>
      </c>
      <c r="T195" s="153" t="str">
        <f t="array" ref="T195">INDEX('Primary - GRADING'!$A$1:$CP997,MATCH($A195,'Primary - GRADING'!$CP:$CP,0),9)</f>
        <v>#N/A</v>
      </c>
      <c r="U195" s="153" t="str">
        <f t="array" ref="U195">INDEX('Primary - GRADING'!$A$1:$CP997,MATCH($A195,'Primary - GRADING'!$CP:$CP,0),10)</f>
        <v>#N/A</v>
      </c>
      <c r="V195" s="153" t="str">
        <f t="array" ref="V195">INDEX('Primary - GRADING'!$A$1:$CP997,MATCH($A195,'Primary - GRADING'!$CP:$CP,0),18)</f>
        <v>#N/A</v>
      </c>
      <c r="W195" s="153" t="str">
        <f t="array" ref="W195">INDEX('Primary - GRADING'!$A$1:$CP997,MATCH($A195,'Primary - GRADING'!$CP:$CP,0),20)</f>
        <v>#N/A</v>
      </c>
      <c r="X195" s="153" t="str">
        <f t="array" ref="X195">INDEX('Primary - GRADING'!$A$1:$CP997,MATCH($A195,'Primary - GRADING'!$CP:$CP,0),21)</f>
        <v>#N/A</v>
      </c>
      <c r="Y195" s="153" t="str">
        <f t="array" ref="Y195">INDEX('Primary - GRADING'!$A$1:$CP997,MATCH($A195,'Primary - GRADING'!$CP:$CP,0),22)</f>
        <v>#N/A</v>
      </c>
      <c r="Z195" s="165" t="str">
        <f t="array" ref="Z195">INDEX('Primary - GRADING'!$A$1:$CP997,MATCH($A195,'Primary - GRADING'!$CP:$CP,0),23)</f>
        <v>#N/A</v>
      </c>
      <c r="AA195" s="153" t="str">
        <f t="array" ref="AA195">INDEX('Primary - GRADING'!$A$1:$CP997,MATCH($A195,'Primary - GRADING'!$CP:$CP,0),24)</f>
        <v>#N/A</v>
      </c>
      <c r="AB195" s="153" t="str">
        <f t="array" ref="AB195">INDEX('Primary - GRADING'!$A$1:$CP997,MATCH($A195,'Primary - GRADING'!$CP:$CP,0),25)</f>
        <v>#N/A</v>
      </c>
      <c r="AC195" s="153" t="str">
        <f t="array" ref="AC195">INDEX('Primary - GRADING'!$A$1:$CP997,MATCH($A195,'Primary - GRADING'!$CP:$CP,0),46)</f>
        <v>#N/A</v>
      </c>
      <c r="AG195" s="153" t="str">
        <f t="shared" si="7"/>
        <v>#N/A</v>
      </c>
      <c r="AI195" s="153" t="str">
        <f>VLOOKUP(AH195,'Primary - GRADING'!$A$4:$C997,2,)</f>
        <v>#N/A</v>
      </c>
      <c r="AJ195" s="153" t="str">
        <f>VLOOKUP(AH195,'Primary - GRADING'!$A$4:$C997,3,)</f>
        <v>#N/A</v>
      </c>
      <c r="AK195" s="153" t="str">
        <f>VLOOKUP(AH195,'Primary - GRADING'!$A$4:$BG997,59,)</f>
        <v>#N/A</v>
      </c>
      <c r="AL195" s="153" t="str">
        <f>IFS(AK195="NMA",VLOOKUP(AH195,'Primary - GRADING'!$A$4:$BG997,51,),AK195="DIRECT",VLOOKUP(AH195,'Primary - GRADING'!$A$4:$BG997,8,),AK195="INDIRECT",VLOOKUP(AH195,'Primary - GRADING'!$A$4:$BG997,23,))</f>
        <v>#N/A</v>
      </c>
      <c r="AM195" s="153" t="str">
        <f>IFS(AK195="NMA",VLOOKUP(AH195,'Primary - GRADING'!$A$4:$BG997,52,),AK195="DIRECT",VLOOKUP(AH195,'Primary - GRADING'!$A$4:$BG997,9,),AK195="INDIRECT",VLOOKUP(AH195,'Primary - GRADING'!$A$4:$BG997,24,))</f>
        <v>#N/A</v>
      </c>
      <c r="AN195" s="153" t="str">
        <f>IFS(AK195="NMA",VLOOKUP(AH195,'Primary - GRADING'!$A$4:$BG997,53,),AK195="DIRECT",VLOOKUP(AH195,'Primary - GRADING'!$A$4:$BG997,10,),AK195="INDIRECT",VLOOKUP(AH195,'Primary - GRADING'!$A$4:$BG997,25,))</f>
        <v>#N/A</v>
      </c>
      <c r="AO195" s="153" t="str">
        <f t="shared" si="8"/>
        <v>#N/A</v>
      </c>
      <c r="AT195" s="153" t="str">
        <f t="shared" si="9"/>
        <v>#N/A</v>
      </c>
      <c r="AV195" s="153" t="str">
        <f>VLOOKUP(AU195,'Primary - GRADING'!$A$4:$C997,2,)</f>
        <v>#N/A</v>
      </c>
      <c r="AW195" s="153" t="str">
        <f>VLOOKUP(AU195,'Primary - GRADING'!$A$4:$C997,3,)</f>
        <v>#N/A</v>
      </c>
      <c r="AX195" s="153" t="str">
        <f>VLOOKUP(AU195,'Primary - GRADING'!$A$4:$BG997,59,)</f>
        <v>#N/A</v>
      </c>
      <c r="AY195" s="153" t="str">
        <f>IFS(AX195="NMA",VLOOKUP(AU195,'Primary - GRADING'!$A$4:$BG997,51,),AX195="DIRECT",VLOOKUP(AU195,'Primary - GRADING'!$A$4:$BG997,8,),AX195="INDIRECT",VLOOKUP(AU195,'Primary - GRADING'!$A$4:$BG997,23,))</f>
        <v>#N/A</v>
      </c>
      <c r="AZ195" s="153" t="str">
        <f>IFS(AX195="NMA",VLOOKUP(AU195,'Primary - GRADING'!$A$4:$BG997,52,),AX195="DIRECT",VLOOKUP(AU195,'Primary - GRADING'!$A$4:$BG997,9,),AX195="INDIRECT",VLOOKUP(AU195,'Primary - GRADING'!$A$4:$BG997,24,))</f>
        <v>#N/A</v>
      </c>
      <c r="BA195" s="153" t="str">
        <f>IFS(AX195="NMA",VLOOKUP(AU195,'Primary - GRADING'!$A$4:$BG997,53,),AX195="DIRECT",VLOOKUP(AU195,'Primary - GRADING'!$A$4:$BG997,10,),AX195="INDIRECT",VLOOKUP(AU195,'Primary - GRADING'!$A$4:$BG997,25,))</f>
        <v>#N/A</v>
      </c>
      <c r="BB195" s="153" t="str">
        <f t="shared" si="10"/>
        <v>#N/A</v>
      </c>
      <c r="BE195" s="153" t="str">
        <f t="shared" si="11"/>
        <v/>
      </c>
      <c r="BG195" s="153" t="str">
        <f t="shared" si="12"/>
        <v>#N/A</v>
      </c>
      <c r="BI195" s="153" t="str">
        <f t="shared" si="13"/>
        <v>#N/A</v>
      </c>
      <c r="BK195" s="153" t="str">
        <f t="shared" si="14"/>
        <v>#N/A</v>
      </c>
      <c r="BM195" s="153" t="str">
        <f t="shared" si="15"/>
        <v>#N/A</v>
      </c>
    </row>
    <row r="196" ht="15.75" customHeight="1">
      <c r="B196" s="160" t="str">
        <f t="shared" si="1"/>
        <v>#N/A</v>
      </c>
      <c r="C196" s="160" t="str">
        <f t="shared" si="2"/>
        <v>#N/A</v>
      </c>
      <c r="D196" s="160" t="str">
        <f t="shared" si="3"/>
        <v>#N/A</v>
      </c>
      <c r="E196" s="161" t="str">
        <f t="shared" si="4"/>
        <v>#N/A</v>
      </c>
      <c r="F196" s="153" t="str">
        <f t="shared" si="17"/>
        <v>#N/A</v>
      </c>
      <c r="G196" s="153" t="str">
        <f t="shared" si="6"/>
        <v>#N/A</v>
      </c>
      <c r="H196" s="156" t="str">
        <f t="array" ref="H196">INDEX('Primary - GRADING'!$A$1:$BG997,MATCH($A196,'Primary - GRADING'!$B:$B,0),59)</f>
        <v>#N/A</v>
      </c>
      <c r="I196" s="153" t="str">
        <f t="array" ref="I196">INDEX('Primary - GRADING'!$A$1:$CP997,MATCH($A196,'Primary - GRADING'!$CP:$CP,0),48)</f>
        <v>#N/A</v>
      </c>
      <c r="J196" s="153" t="str">
        <f t="array" ref="J196">INDEX('Primary - GRADING'!$A$1:$CP997,MATCH($A196,'Primary - GRADING'!$CP:$CP,0),49)</f>
        <v>#N/A</v>
      </c>
      <c r="K196" s="153" t="str">
        <f t="array" ref="K196">INDEX('Primary - GRADING'!$A$1:$CP997,MATCH($A196,'Primary - GRADING'!$CP:$CP,0),50)</f>
        <v>#N/A</v>
      </c>
      <c r="L196" s="153" t="str">
        <f t="array" ref="L196">INDEX('Primary - GRADING'!$A$1:$CP997,MATCH($A196,'Primary - GRADING'!$CP:$CP,0),51)</f>
        <v>#N/A</v>
      </c>
      <c r="M196" s="153" t="str">
        <f t="array" ref="M196">INDEX('Primary - GRADING'!$A$1:$CP997,MATCH($A196,'Primary - GRADING'!$CP:$CP,0),52)</f>
        <v>#N/A</v>
      </c>
      <c r="N196" s="153" t="str">
        <f t="array" ref="N196">INDEX('Primary - GRADING'!$A$1:$CP997,MATCH($A196,'Primary - GRADING'!$CP:$CP,0),53)</f>
        <v>#N/A</v>
      </c>
      <c r="O196" s="153" t="str">
        <f t="array" ref="O196">INDEX('Primary - GRADING'!$A$1:$CP997,MATCH($A196,'Primary - GRADING'!$CP:$CP,0),58)</f>
        <v>#N/A</v>
      </c>
      <c r="P196" s="153" t="str">
        <f t="array" ref="P196">INDEX('Primary - GRADING'!$A$1:$CP997,MATCH($A196,'Primary - GRADING'!$CP:$CP,0),5)</f>
        <v>#N/A</v>
      </c>
      <c r="Q196" s="153" t="str">
        <f t="array" ref="Q196">INDEX('Primary - GRADING'!$A$1:$CP997,MATCH($A196,'Primary - GRADING'!$CP:$CP,0),6)</f>
        <v>#N/A</v>
      </c>
      <c r="R196" s="153" t="str">
        <f t="array" ref="R196">INDEX('Primary - GRADING'!$A$1:$CP997,MATCH($A196,'Primary - GRADING'!$CP:$CP,0),7)</f>
        <v>#N/A</v>
      </c>
      <c r="S196" s="153" t="str">
        <f t="array" ref="S196">INDEX('Primary - GRADING'!$A$1:$CP997,MATCH($A196,'Primary - GRADING'!$CP:$CP,0),8)</f>
        <v>#N/A</v>
      </c>
      <c r="T196" s="153" t="str">
        <f t="array" ref="T196">INDEX('Primary - GRADING'!$A$1:$CP997,MATCH($A196,'Primary - GRADING'!$CP:$CP,0),9)</f>
        <v>#N/A</v>
      </c>
      <c r="U196" s="153" t="str">
        <f t="array" ref="U196">INDEX('Primary - GRADING'!$A$1:$CP997,MATCH($A196,'Primary - GRADING'!$CP:$CP,0),10)</f>
        <v>#N/A</v>
      </c>
      <c r="V196" s="153" t="str">
        <f t="array" ref="V196">INDEX('Primary - GRADING'!$A$1:$CP997,MATCH($A196,'Primary - GRADING'!$CP:$CP,0),18)</f>
        <v>#N/A</v>
      </c>
      <c r="W196" s="153" t="str">
        <f t="array" ref="W196">INDEX('Primary - GRADING'!$A$1:$CP997,MATCH($A196,'Primary - GRADING'!$CP:$CP,0),20)</f>
        <v>#N/A</v>
      </c>
      <c r="X196" s="153" t="str">
        <f t="array" ref="X196">INDEX('Primary - GRADING'!$A$1:$CP997,MATCH($A196,'Primary - GRADING'!$CP:$CP,0),21)</f>
        <v>#N/A</v>
      </c>
      <c r="Y196" s="153" t="str">
        <f t="array" ref="Y196">INDEX('Primary - GRADING'!$A$1:$CP997,MATCH($A196,'Primary - GRADING'!$CP:$CP,0),22)</f>
        <v>#N/A</v>
      </c>
      <c r="Z196" s="165" t="str">
        <f t="array" ref="Z196">INDEX('Primary - GRADING'!$A$1:$CP997,MATCH($A196,'Primary - GRADING'!$CP:$CP,0),23)</f>
        <v>#N/A</v>
      </c>
      <c r="AA196" s="153" t="str">
        <f t="array" ref="AA196">INDEX('Primary - GRADING'!$A$1:$CP997,MATCH($A196,'Primary - GRADING'!$CP:$CP,0),24)</f>
        <v>#N/A</v>
      </c>
      <c r="AB196" s="153" t="str">
        <f t="array" ref="AB196">INDEX('Primary - GRADING'!$A$1:$CP997,MATCH($A196,'Primary - GRADING'!$CP:$CP,0),25)</f>
        <v>#N/A</v>
      </c>
      <c r="AC196" s="153" t="str">
        <f t="array" ref="AC196">INDEX('Primary - GRADING'!$A$1:$CP997,MATCH($A196,'Primary - GRADING'!$CP:$CP,0),46)</f>
        <v>#N/A</v>
      </c>
      <c r="AG196" s="153" t="str">
        <f t="shared" si="7"/>
        <v>#N/A</v>
      </c>
      <c r="AI196" s="153" t="str">
        <f>VLOOKUP(AH196,'Primary - GRADING'!$A$4:$C997,2,)</f>
        <v>#N/A</v>
      </c>
      <c r="AJ196" s="153" t="str">
        <f>VLOOKUP(AH196,'Primary - GRADING'!$A$4:$C997,3,)</f>
        <v>#N/A</v>
      </c>
      <c r="AK196" s="153" t="str">
        <f>VLOOKUP(AH196,'Primary - GRADING'!$A$4:$BG997,59,)</f>
        <v>#N/A</v>
      </c>
      <c r="AL196" s="153" t="str">
        <f>IFS(AK196="NMA",VLOOKUP(AH196,'Primary - GRADING'!$A$4:$BG997,51,),AK196="DIRECT",VLOOKUP(AH196,'Primary - GRADING'!$A$4:$BG997,8,),AK196="INDIRECT",VLOOKUP(AH196,'Primary - GRADING'!$A$4:$BG997,23,))</f>
        <v>#N/A</v>
      </c>
      <c r="AM196" s="153" t="str">
        <f>IFS(AK196="NMA",VLOOKUP(AH196,'Primary - GRADING'!$A$4:$BG997,52,),AK196="DIRECT",VLOOKUP(AH196,'Primary - GRADING'!$A$4:$BG997,9,),AK196="INDIRECT",VLOOKUP(AH196,'Primary - GRADING'!$A$4:$BG997,24,))</f>
        <v>#N/A</v>
      </c>
      <c r="AN196" s="153" t="str">
        <f>IFS(AK196="NMA",VLOOKUP(AH196,'Primary - GRADING'!$A$4:$BG997,53,),AK196="DIRECT",VLOOKUP(AH196,'Primary - GRADING'!$A$4:$BG997,10,),AK196="INDIRECT",VLOOKUP(AH196,'Primary - GRADING'!$A$4:$BG997,25,))</f>
        <v>#N/A</v>
      </c>
      <c r="AO196" s="153" t="str">
        <f t="shared" si="8"/>
        <v>#N/A</v>
      </c>
      <c r="AT196" s="153" t="str">
        <f t="shared" si="9"/>
        <v>#N/A</v>
      </c>
      <c r="AV196" s="153" t="str">
        <f>VLOOKUP(AU196,'Primary - GRADING'!$A$4:$C997,2,)</f>
        <v>#N/A</v>
      </c>
      <c r="AW196" s="153" t="str">
        <f>VLOOKUP(AU196,'Primary - GRADING'!$A$4:$C997,3,)</f>
        <v>#N/A</v>
      </c>
      <c r="AX196" s="153" t="str">
        <f>VLOOKUP(AU196,'Primary - GRADING'!$A$4:$BG997,59,)</f>
        <v>#N/A</v>
      </c>
      <c r="AY196" s="153" t="str">
        <f>IFS(AX196="NMA",VLOOKUP(AU196,'Primary - GRADING'!$A$4:$BG997,51,),AX196="DIRECT",VLOOKUP(AU196,'Primary - GRADING'!$A$4:$BG997,8,),AX196="INDIRECT",VLOOKUP(AU196,'Primary - GRADING'!$A$4:$BG997,23,))</f>
        <v>#N/A</v>
      </c>
      <c r="AZ196" s="153" t="str">
        <f>IFS(AX196="NMA",VLOOKUP(AU196,'Primary - GRADING'!$A$4:$BG997,52,),AX196="DIRECT",VLOOKUP(AU196,'Primary - GRADING'!$A$4:$BG997,9,),AX196="INDIRECT",VLOOKUP(AU196,'Primary - GRADING'!$A$4:$BG997,24,))</f>
        <v>#N/A</v>
      </c>
      <c r="BA196" s="153" t="str">
        <f>IFS(AX196="NMA",VLOOKUP(AU196,'Primary - GRADING'!$A$4:$BG997,53,),AX196="DIRECT",VLOOKUP(AU196,'Primary - GRADING'!$A$4:$BG997,10,),AX196="INDIRECT",VLOOKUP(AU196,'Primary - GRADING'!$A$4:$BG997,25,))</f>
        <v>#N/A</v>
      </c>
      <c r="BB196" s="153" t="str">
        <f t="shared" si="10"/>
        <v>#N/A</v>
      </c>
      <c r="BE196" s="153" t="str">
        <f t="shared" si="11"/>
        <v/>
      </c>
      <c r="BG196" s="153" t="str">
        <f t="shared" si="12"/>
        <v>#N/A</v>
      </c>
      <c r="BI196" s="153" t="str">
        <f t="shared" si="13"/>
        <v>#N/A</v>
      </c>
      <c r="BK196" s="153" t="str">
        <f t="shared" si="14"/>
        <v>#N/A</v>
      </c>
      <c r="BM196" s="153" t="str">
        <f t="shared" si="15"/>
        <v>#N/A</v>
      </c>
    </row>
    <row r="197" ht="15.75" customHeight="1">
      <c r="B197" s="160" t="str">
        <f t="shared" si="1"/>
        <v>#N/A</v>
      </c>
      <c r="C197" s="160" t="str">
        <f t="shared" si="2"/>
        <v>#N/A</v>
      </c>
      <c r="D197" s="160" t="str">
        <f t="shared" si="3"/>
        <v>#N/A</v>
      </c>
      <c r="E197" s="161" t="str">
        <f t="shared" si="4"/>
        <v>#N/A</v>
      </c>
      <c r="F197" s="153" t="str">
        <f t="shared" si="17"/>
        <v>#N/A</v>
      </c>
      <c r="G197" s="153" t="str">
        <f t="shared" si="6"/>
        <v>#N/A</v>
      </c>
      <c r="H197" s="156" t="str">
        <f t="array" ref="H197">INDEX('Primary - GRADING'!$A$1:$BG997,MATCH($A197,'Primary - GRADING'!$B:$B,0),59)</f>
        <v>#N/A</v>
      </c>
      <c r="I197" s="153" t="str">
        <f t="array" ref="I197">INDEX('Primary - GRADING'!$A$1:$CP997,MATCH($A197,'Primary - GRADING'!$CP:$CP,0),48)</f>
        <v>#N/A</v>
      </c>
      <c r="J197" s="153" t="str">
        <f t="array" ref="J197">INDEX('Primary - GRADING'!$A$1:$CP997,MATCH($A197,'Primary - GRADING'!$CP:$CP,0),49)</f>
        <v>#N/A</v>
      </c>
      <c r="K197" s="153" t="str">
        <f t="array" ref="K197">INDEX('Primary - GRADING'!$A$1:$CP997,MATCH($A197,'Primary - GRADING'!$CP:$CP,0),50)</f>
        <v>#N/A</v>
      </c>
      <c r="L197" s="153" t="str">
        <f t="array" ref="L197">INDEX('Primary - GRADING'!$A$1:$CP997,MATCH($A197,'Primary - GRADING'!$CP:$CP,0),51)</f>
        <v>#N/A</v>
      </c>
      <c r="M197" s="153" t="str">
        <f t="array" ref="M197">INDEX('Primary - GRADING'!$A$1:$CP997,MATCH($A197,'Primary - GRADING'!$CP:$CP,0),52)</f>
        <v>#N/A</v>
      </c>
      <c r="N197" s="153" t="str">
        <f t="array" ref="N197">INDEX('Primary - GRADING'!$A$1:$CP997,MATCH($A197,'Primary - GRADING'!$CP:$CP,0),53)</f>
        <v>#N/A</v>
      </c>
      <c r="O197" s="153" t="str">
        <f t="array" ref="O197">INDEX('Primary - GRADING'!$A$1:$CP997,MATCH($A197,'Primary - GRADING'!$CP:$CP,0),58)</f>
        <v>#N/A</v>
      </c>
      <c r="P197" s="153" t="str">
        <f t="array" ref="P197">INDEX('Primary - GRADING'!$A$1:$CP997,MATCH($A197,'Primary - GRADING'!$CP:$CP,0),5)</f>
        <v>#N/A</v>
      </c>
      <c r="Q197" s="153" t="str">
        <f t="array" ref="Q197">INDEX('Primary - GRADING'!$A$1:$CP997,MATCH($A197,'Primary - GRADING'!$CP:$CP,0),6)</f>
        <v>#N/A</v>
      </c>
      <c r="R197" s="153" t="str">
        <f t="array" ref="R197">INDEX('Primary - GRADING'!$A$1:$CP997,MATCH($A197,'Primary - GRADING'!$CP:$CP,0),7)</f>
        <v>#N/A</v>
      </c>
      <c r="S197" s="153" t="str">
        <f t="array" ref="S197">INDEX('Primary - GRADING'!$A$1:$CP997,MATCH($A197,'Primary - GRADING'!$CP:$CP,0),8)</f>
        <v>#N/A</v>
      </c>
      <c r="T197" s="153" t="str">
        <f t="array" ref="T197">INDEX('Primary - GRADING'!$A$1:$CP997,MATCH($A197,'Primary - GRADING'!$CP:$CP,0),9)</f>
        <v>#N/A</v>
      </c>
      <c r="U197" s="153" t="str">
        <f t="array" ref="U197">INDEX('Primary - GRADING'!$A$1:$CP997,MATCH($A197,'Primary - GRADING'!$CP:$CP,0),10)</f>
        <v>#N/A</v>
      </c>
      <c r="V197" s="153" t="str">
        <f t="array" ref="V197">INDEX('Primary - GRADING'!$A$1:$CP997,MATCH($A197,'Primary - GRADING'!$CP:$CP,0),18)</f>
        <v>#N/A</v>
      </c>
      <c r="W197" s="153" t="str">
        <f t="array" ref="W197">INDEX('Primary - GRADING'!$A$1:$CP997,MATCH($A197,'Primary - GRADING'!$CP:$CP,0),20)</f>
        <v>#N/A</v>
      </c>
      <c r="X197" s="153" t="str">
        <f t="array" ref="X197">INDEX('Primary - GRADING'!$A$1:$CP997,MATCH($A197,'Primary - GRADING'!$CP:$CP,0),21)</f>
        <v>#N/A</v>
      </c>
      <c r="Y197" s="153" t="str">
        <f t="array" ref="Y197">INDEX('Primary - GRADING'!$A$1:$CP997,MATCH($A197,'Primary - GRADING'!$CP:$CP,0),22)</f>
        <v>#N/A</v>
      </c>
      <c r="Z197" s="165" t="str">
        <f t="array" ref="Z197">INDEX('Primary - GRADING'!$A$1:$CP997,MATCH($A197,'Primary - GRADING'!$CP:$CP,0),23)</f>
        <v>#N/A</v>
      </c>
      <c r="AA197" s="153" t="str">
        <f t="array" ref="AA197">INDEX('Primary - GRADING'!$A$1:$CP997,MATCH($A197,'Primary - GRADING'!$CP:$CP,0),24)</f>
        <v>#N/A</v>
      </c>
      <c r="AB197" s="153" t="str">
        <f t="array" ref="AB197">INDEX('Primary - GRADING'!$A$1:$CP997,MATCH($A197,'Primary - GRADING'!$CP:$CP,0),25)</f>
        <v>#N/A</v>
      </c>
      <c r="AC197" s="153" t="str">
        <f t="array" ref="AC197">INDEX('Primary - GRADING'!$A$1:$CP997,MATCH($A197,'Primary - GRADING'!$CP:$CP,0),46)</f>
        <v>#N/A</v>
      </c>
      <c r="AG197" s="153" t="str">
        <f t="shared" si="7"/>
        <v>#N/A</v>
      </c>
      <c r="AI197" s="153" t="str">
        <f>VLOOKUP(AH197,'Primary - GRADING'!$A$4:$C997,2,)</f>
        <v>#N/A</v>
      </c>
      <c r="AJ197" s="153" t="str">
        <f>VLOOKUP(AH197,'Primary - GRADING'!$A$4:$C997,3,)</f>
        <v>#N/A</v>
      </c>
      <c r="AK197" s="153" t="str">
        <f>VLOOKUP(AH197,'Primary - GRADING'!$A$4:$BG997,59,)</f>
        <v>#N/A</v>
      </c>
      <c r="AL197" s="153" t="str">
        <f>IFS(AK197="NMA",VLOOKUP(AH197,'Primary - GRADING'!$A$4:$BG997,51,),AK197="DIRECT",VLOOKUP(AH197,'Primary - GRADING'!$A$4:$BG997,8,),AK197="INDIRECT",VLOOKUP(AH197,'Primary - GRADING'!$A$4:$BG997,23,))</f>
        <v>#N/A</v>
      </c>
      <c r="AM197" s="153" t="str">
        <f>IFS(AK197="NMA",VLOOKUP(AH197,'Primary - GRADING'!$A$4:$BG997,52,),AK197="DIRECT",VLOOKUP(AH197,'Primary - GRADING'!$A$4:$BG997,9,),AK197="INDIRECT",VLOOKUP(AH197,'Primary - GRADING'!$A$4:$BG997,24,))</f>
        <v>#N/A</v>
      </c>
      <c r="AN197" s="153" t="str">
        <f>IFS(AK197="NMA",VLOOKUP(AH197,'Primary - GRADING'!$A$4:$BG997,53,),AK197="DIRECT",VLOOKUP(AH197,'Primary - GRADING'!$A$4:$BG997,10,),AK197="INDIRECT",VLOOKUP(AH197,'Primary - GRADING'!$A$4:$BG997,25,))</f>
        <v>#N/A</v>
      </c>
      <c r="AO197" s="153" t="str">
        <f t="shared" si="8"/>
        <v>#N/A</v>
      </c>
      <c r="AT197" s="153" t="str">
        <f t="shared" si="9"/>
        <v>#N/A</v>
      </c>
      <c r="AV197" s="153" t="str">
        <f>VLOOKUP(AU197,'Primary - GRADING'!$A$4:$C997,2,)</f>
        <v>#N/A</v>
      </c>
      <c r="AW197" s="153" t="str">
        <f>VLOOKUP(AU197,'Primary - GRADING'!$A$4:$C997,3,)</f>
        <v>#N/A</v>
      </c>
      <c r="AX197" s="153" t="str">
        <f>VLOOKUP(AU197,'Primary - GRADING'!$A$4:$BG997,59,)</f>
        <v>#N/A</v>
      </c>
      <c r="AY197" s="153" t="str">
        <f>IFS(AX197="NMA",VLOOKUP(AU197,'Primary - GRADING'!$A$4:$BG997,51,),AX197="DIRECT",VLOOKUP(AU197,'Primary - GRADING'!$A$4:$BG997,8,),AX197="INDIRECT",VLOOKUP(AU197,'Primary - GRADING'!$A$4:$BG997,23,))</f>
        <v>#N/A</v>
      </c>
      <c r="AZ197" s="153" t="str">
        <f>IFS(AX197="NMA",VLOOKUP(AU197,'Primary - GRADING'!$A$4:$BG997,52,),AX197="DIRECT",VLOOKUP(AU197,'Primary - GRADING'!$A$4:$BG997,9,),AX197="INDIRECT",VLOOKUP(AU197,'Primary - GRADING'!$A$4:$BG997,24,))</f>
        <v>#N/A</v>
      </c>
      <c r="BA197" s="153" t="str">
        <f>IFS(AX197="NMA",VLOOKUP(AU197,'Primary - GRADING'!$A$4:$BG997,53,),AX197="DIRECT",VLOOKUP(AU197,'Primary - GRADING'!$A$4:$BG997,10,),AX197="INDIRECT",VLOOKUP(AU197,'Primary - GRADING'!$A$4:$BG997,25,))</f>
        <v>#N/A</v>
      </c>
      <c r="BB197" s="153" t="str">
        <f t="shared" si="10"/>
        <v>#N/A</v>
      </c>
      <c r="BE197" s="153" t="str">
        <f t="shared" si="11"/>
        <v/>
      </c>
      <c r="BG197" s="153" t="str">
        <f t="shared" si="12"/>
        <v>#N/A</v>
      </c>
      <c r="BI197" s="153" t="str">
        <f t="shared" si="13"/>
        <v>#N/A</v>
      </c>
      <c r="BK197" s="153" t="str">
        <f t="shared" si="14"/>
        <v>#N/A</v>
      </c>
      <c r="BM197" s="153" t="str">
        <f t="shared" si="15"/>
        <v>#N/A</v>
      </c>
    </row>
    <row r="198" ht="15.75" customHeight="1">
      <c r="B198" s="160" t="str">
        <f t="shared" si="1"/>
        <v>#N/A</v>
      </c>
      <c r="C198" s="160" t="str">
        <f t="shared" si="2"/>
        <v>#N/A</v>
      </c>
      <c r="D198" s="160" t="str">
        <f t="shared" si="3"/>
        <v>#N/A</v>
      </c>
      <c r="E198" s="161" t="str">
        <f t="shared" si="4"/>
        <v>#N/A</v>
      </c>
      <c r="F198" s="153" t="str">
        <f t="shared" si="17"/>
        <v>#N/A</v>
      </c>
      <c r="G198" s="153" t="str">
        <f t="shared" si="6"/>
        <v>#N/A</v>
      </c>
      <c r="H198" s="156" t="str">
        <f t="array" ref="H198">INDEX('Primary - GRADING'!$A$1:$BG997,MATCH($A198,'Primary - GRADING'!$B:$B,0),59)</f>
        <v>#N/A</v>
      </c>
      <c r="I198" s="153" t="str">
        <f t="array" ref="I198">INDEX('Primary - GRADING'!$A$1:$CP997,MATCH($A198,'Primary - GRADING'!$CP:$CP,0),48)</f>
        <v>#N/A</v>
      </c>
      <c r="J198" s="153" t="str">
        <f t="array" ref="J198">INDEX('Primary - GRADING'!$A$1:$CP997,MATCH($A198,'Primary - GRADING'!$CP:$CP,0),49)</f>
        <v>#N/A</v>
      </c>
      <c r="K198" s="153" t="str">
        <f t="array" ref="K198">INDEX('Primary - GRADING'!$A$1:$CP997,MATCH($A198,'Primary - GRADING'!$CP:$CP,0),50)</f>
        <v>#N/A</v>
      </c>
      <c r="L198" s="153" t="str">
        <f t="array" ref="L198">INDEX('Primary - GRADING'!$A$1:$CP997,MATCH($A198,'Primary - GRADING'!$CP:$CP,0),51)</f>
        <v>#N/A</v>
      </c>
      <c r="M198" s="153" t="str">
        <f t="array" ref="M198">INDEX('Primary - GRADING'!$A$1:$CP997,MATCH($A198,'Primary - GRADING'!$CP:$CP,0),52)</f>
        <v>#N/A</v>
      </c>
      <c r="N198" s="153" t="str">
        <f t="array" ref="N198">INDEX('Primary - GRADING'!$A$1:$CP997,MATCH($A198,'Primary - GRADING'!$CP:$CP,0),53)</f>
        <v>#N/A</v>
      </c>
      <c r="O198" s="153" t="str">
        <f t="array" ref="O198">INDEX('Primary - GRADING'!$A$1:$CP997,MATCH($A198,'Primary - GRADING'!$CP:$CP,0),58)</f>
        <v>#N/A</v>
      </c>
      <c r="P198" s="153" t="str">
        <f t="array" ref="P198">INDEX('Primary - GRADING'!$A$1:$CP997,MATCH($A198,'Primary - GRADING'!$CP:$CP,0),5)</f>
        <v>#N/A</v>
      </c>
      <c r="Q198" s="153" t="str">
        <f t="array" ref="Q198">INDEX('Primary - GRADING'!$A$1:$CP997,MATCH($A198,'Primary - GRADING'!$CP:$CP,0),6)</f>
        <v>#N/A</v>
      </c>
      <c r="R198" s="153" t="str">
        <f t="array" ref="R198">INDEX('Primary - GRADING'!$A$1:$CP997,MATCH($A198,'Primary - GRADING'!$CP:$CP,0),7)</f>
        <v>#N/A</v>
      </c>
      <c r="S198" s="153" t="str">
        <f t="array" ref="S198">INDEX('Primary - GRADING'!$A$1:$CP997,MATCH($A198,'Primary - GRADING'!$CP:$CP,0),8)</f>
        <v>#N/A</v>
      </c>
      <c r="T198" s="153" t="str">
        <f t="array" ref="T198">INDEX('Primary - GRADING'!$A$1:$CP997,MATCH($A198,'Primary - GRADING'!$CP:$CP,0),9)</f>
        <v>#N/A</v>
      </c>
      <c r="U198" s="153" t="str">
        <f t="array" ref="U198">INDEX('Primary - GRADING'!$A$1:$CP997,MATCH($A198,'Primary - GRADING'!$CP:$CP,0),10)</f>
        <v>#N/A</v>
      </c>
      <c r="V198" s="153" t="str">
        <f t="array" ref="V198">INDEX('Primary - GRADING'!$A$1:$CP997,MATCH($A198,'Primary - GRADING'!$CP:$CP,0),18)</f>
        <v>#N/A</v>
      </c>
      <c r="W198" s="153" t="str">
        <f t="array" ref="W198">INDEX('Primary - GRADING'!$A$1:$CP997,MATCH($A198,'Primary - GRADING'!$CP:$CP,0),20)</f>
        <v>#N/A</v>
      </c>
      <c r="X198" s="153" t="str">
        <f t="array" ref="X198">INDEX('Primary - GRADING'!$A$1:$CP997,MATCH($A198,'Primary - GRADING'!$CP:$CP,0),21)</f>
        <v>#N/A</v>
      </c>
      <c r="Y198" s="153" t="str">
        <f t="array" ref="Y198">INDEX('Primary - GRADING'!$A$1:$CP997,MATCH($A198,'Primary - GRADING'!$CP:$CP,0),22)</f>
        <v>#N/A</v>
      </c>
      <c r="Z198" s="165" t="str">
        <f t="array" ref="Z198">INDEX('Primary - GRADING'!$A$1:$CP997,MATCH($A198,'Primary - GRADING'!$CP:$CP,0),23)</f>
        <v>#N/A</v>
      </c>
      <c r="AA198" s="153" t="str">
        <f t="array" ref="AA198">INDEX('Primary - GRADING'!$A$1:$CP997,MATCH($A198,'Primary - GRADING'!$CP:$CP,0),24)</f>
        <v>#N/A</v>
      </c>
      <c r="AB198" s="153" t="str">
        <f t="array" ref="AB198">INDEX('Primary - GRADING'!$A$1:$CP997,MATCH($A198,'Primary - GRADING'!$CP:$CP,0),25)</f>
        <v>#N/A</v>
      </c>
      <c r="AC198" s="153" t="str">
        <f t="array" ref="AC198">INDEX('Primary - GRADING'!$A$1:$CP997,MATCH($A198,'Primary - GRADING'!$CP:$CP,0),46)</f>
        <v>#N/A</v>
      </c>
      <c r="AG198" s="153" t="str">
        <f t="shared" si="7"/>
        <v>#N/A</v>
      </c>
      <c r="AI198" s="153" t="str">
        <f>VLOOKUP(AH198,'Primary - GRADING'!$A$4:$C997,2,)</f>
        <v>#N/A</v>
      </c>
      <c r="AJ198" s="153" t="str">
        <f>VLOOKUP(AH198,'Primary - GRADING'!$A$4:$C997,3,)</f>
        <v>#N/A</v>
      </c>
      <c r="AK198" s="153" t="str">
        <f>VLOOKUP(AH198,'Primary - GRADING'!$A$4:$BG997,59,)</f>
        <v>#N/A</v>
      </c>
      <c r="AL198" s="153" t="str">
        <f>IFS(AK198="NMA",VLOOKUP(AH198,'Primary - GRADING'!$A$4:$BG997,51,),AK198="DIRECT",VLOOKUP(AH198,'Primary - GRADING'!$A$4:$BG997,8,),AK198="INDIRECT",VLOOKUP(AH198,'Primary - GRADING'!$A$4:$BG997,23,))</f>
        <v>#N/A</v>
      </c>
      <c r="AM198" s="153" t="str">
        <f>IFS(AK198="NMA",VLOOKUP(AH198,'Primary - GRADING'!$A$4:$BG997,52,),AK198="DIRECT",VLOOKUP(AH198,'Primary - GRADING'!$A$4:$BG997,9,),AK198="INDIRECT",VLOOKUP(AH198,'Primary - GRADING'!$A$4:$BG997,24,))</f>
        <v>#N/A</v>
      </c>
      <c r="AN198" s="153" t="str">
        <f>IFS(AK198="NMA",VLOOKUP(AH198,'Primary - GRADING'!$A$4:$BG997,53,),AK198="DIRECT",VLOOKUP(AH198,'Primary - GRADING'!$A$4:$BG997,10,),AK198="INDIRECT",VLOOKUP(AH198,'Primary - GRADING'!$A$4:$BG997,25,))</f>
        <v>#N/A</v>
      </c>
      <c r="AO198" s="153" t="str">
        <f t="shared" si="8"/>
        <v>#N/A</v>
      </c>
      <c r="AT198" s="153" t="str">
        <f t="shared" si="9"/>
        <v>#N/A</v>
      </c>
      <c r="AV198" s="153" t="str">
        <f>VLOOKUP(AU198,'Primary - GRADING'!$A$4:$C997,2,)</f>
        <v>#N/A</v>
      </c>
      <c r="AW198" s="153" t="str">
        <f>VLOOKUP(AU198,'Primary - GRADING'!$A$4:$C997,3,)</f>
        <v>#N/A</v>
      </c>
      <c r="AX198" s="153" t="str">
        <f>VLOOKUP(AU198,'Primary - GRADING'!$A$4:$BG997,59,)</f>
        <v>#N/A</v>
      </c>
      <c r="AY198" s="153" t="str">
        <f>IFS(AX198="NMA",VLOOKUP(AU198,'Primary - GRADING'!$A$4:$BG997,51,),AX198="DIRECT",VLOOKUP(AU198,'Primary - GRADING'!$A$4:$BG997,8,),AX198="INDIRECT",VLOOKUP(AU198,'Primary - GRADING'!$A$4:$BG997,23,))</f>
        <v>#N/A</v>
      </c>
      <c r="AZ198" s="153" t="str">
        <f>IFS(AX198="NMA",VLOOKUP(AU198,'Primary - GRADING'!$A$4:$BG997,52,),AX198="DIRECT",VLOOKUP(AU198,'Primary - GRADING'!$A$4:$BG997,9,),AX198="INDIRECT",VLOOKUP(AU198,'Primary - GRADING'!$A$4:$BG997,24,))</f>
        <v>#N/A</v>
      </c>
      <c r="BA198" s="153" t="str">
        <f>IFS(AX198="NMA",VLOOKUP(AU198,'Primary - GRADING'!$A$4:$BG997,53,),AX198="DIRECT",VLOOKUP(AU198,'Primary - GRADING'!$A$4:$BG997,10,),AX198="INDIRECT",VLOOKUP(AU198,'Primary - GRADING'!$A$4:$BG997,25,))</f>
        <v>#N/A</v>
      </c>
      <c r="BB198" s="153" t="str">
        <f t="shared" si="10"/>
        <v>#N/A</v>
      </c>
      <c r="BE198" s="153" t="str">
        <f t="shared" si="11"/>
        <v/>
      </c>
      <c r="BG198" s="153" t="str">
        <f t="shared" si="12"/>
        <v>#N/A</v>
      </c>
      <c r="BI198" s="153" t="str">
        <f t="shared" si="13"/>
        <v>#N/A</v>
      </c>
      <c r="BK198" s="153" t="str">
        <f t="shared" si="14"/>
        <v>#N/A</v>
      </c>
      <c r="BM198" s="153" t="str">
        <f t="shared" si="15"/>
        <v>#N/A</v>
      </c>
    </row>
    <row r="199" ht="15.75" customHeight="1">
      <c r="B199" s="160" t="str">
        <f t="shared" si="1"/>
        <v>#N/A</v>
      </c>
      <c r="C199" s="160" t="str">
        <f t="shared" si="2"/>
        <v>#N/A</v>
      </c>
      <c r="D199" s="160" t="str">
        <f t="shared" si="3"/>
        <v>#N/A</v>
      </c>
      <c r="E199" s="161" t="str">
        <f t="shared" si="4"/>
        <v>#N/A</v>
      </c>
      <c r="F199" s="153" t="str">
        <f t="shared" si="17"/>
        <v>#N/A</v>
      </c>
      <c r="G199" s="153" t="str">
        <f t="shared" si="6"/>
        <v>#N/A</v>
      </c>
      <c r="H199" s="156" t="str">
        <f t="array" ref="H199">INDEX('Primary - GRADING'!$A$1:$BG997,MATCH($A199,'Primary - GRADING'!$B:$B,0),59)</f>
        <v>#N/A</v>
      </c>
      <c r="I199" s="153" t="str">
        <f t="array" ref="I199">INDEX('Primary - GRADING'!$A$1:$CP997,MATCH($A199,'Primary - GRADING'!$CP:$CP,0),48)</f>
        <v>#N/A</v>
      </c>
      <c r="J199" s="153" t="str">
        <f t="array" ref="J199">INDEX('Primary - GRADING'!$A$1:$CP997,MATCH($A199,'Primary - GRADING'!$CP:$CP,0),49)</f>
        <v>#N/A</v>
      </c>
      <c r="K199" s="153" t="str">
        <f t="array" ref="K199">INDEX('Primary - GRADING'!$A$1:$CP997,MATCH($A199,'Primary - GRADING'!$CP:$CP,0),50)</f>
        <v>#N/A</v>
      </c>
      <c r="L199" s="153" t="str">
        <f t="array" ref="L199">INDEX('Primary - GRADING'!$A$1:$CP997,MATCH($A199,'Primary - GRADING'!$CP:$CP,0),51)</f>
        <v>#N/A</v>
      </c>
      <c r="M199" s="153" t="str">
        <f t="array" ref="M199">INDEX('Primary - GRADING'!$A$1:$CP997,MATCH($A199,'Primary - GRADING'!$CP:$CP,0),52)</f>
        <v>#N/A</v>
      </c>
      <c r="N199" s="153" t="str">
        <f t="array" ref="N199">INDEX('Primary - GRADING'!$A$1:$CP997,MATCH($A199,'Primary - GRADING'!$CP:$CP,0),53)</f>
        <v>#N/A</v>
      </c>
      <c r="O199" s="153" t="str">
        <f t="array" ref="O199">INDEX('Primary - GRADING'!$A$1:$CP997,MATCH($A199,'Primary - GRADING'!$CP:$CP,0),58)</f>
        <v>#N/A</v>
      </c>
      <c r="P199" s="153" t="str">
        <f t="array" ref="P199">INDEX('Primary - GRADING'!$A$1:$CP997,MATCH($A199,'Primary - GRADING'!$CP:$CP,0),5)</f>
        <v>#N/A</v>
      </c>
      <c r="Q199" s="153" t="str">
        <f t="array" ref="Q199">INDEX('Primary - GRADING'!$A$1:$CP997,MATCH($A199,'Primary - GRADING'!$CP:$CP,0),6)</f>
        <v>#N/A</v>
      </c>
      <c r="R199" s="153" t="str">
        <f t="array" ref="R199">INDEX('Primary - GRADING'!$A$1:$CP997,MATCH($A199,'Primary - GRADING'!$CP:$CP,0),7)</f>
        <v>#N/A</v>
      </c>
      <c r="S199" s="153" t="str">
        <f t="array" ref="S199">INDEX('Primary - GRADING'!$A$1:$CP997,MATCH($A199,'Primary - GRADING'!$CP:$CP,0),8)</f>
        <v>#N/A</v>
      </c>
      <c r="T199" s="153" t="str">
        <f t="array" ref="T199">INDEX('Primary - GRADING'!$A$1:$CP997,MATCH($A199,'Primary - GRADING'!$CP:$CP,0),9)</f>
        <v>#N/A</v>
      </c>
      <c r="U199" s="153" t="str">
        <f t="array" ref="U199">INDEX('Primary - GRADING'!$A$1:$CP997,MATCH($A199,'Primary - GRADING'!$CP:$CP,0),10)</f>
        <v>#N/A</v>
      </c>
      <c r="V199" s="153" t="str">
        <f t="array" ref="V199">INDEX('Primary - GRADING'!$A$1:$CP997,MATCH($A199,'Primary - GRADING'!$CP:$CP,0),18)</f>
        <v>#N/A</v>
      </c>
      <c r="W199" s="153" t="str">
        <f t="array" ref="W199">INDEX('Primary - GRADING'!$A$1:$CP997,MATCH($A199,'Primary - GRADING'!$CP:$CP,0),20)</f>
        <v>#N/A</v>
      </c>
      <c r="X199" s="153" t="str">
        <f t="array" ref="X199">INDEX('Primary - GRADING'!$A$1:$CP997,MATCH($A199,'Primary - GRADING'!$CP:$CP,0),21)</f>
        <v>#N/A</v>
      </c>
      <c r="Y199" s="153" t="str">
        <f t="array" ref="Y199">INDEX('Primary - GRADING'!$A$1:$CP997,MATCH($A199,'Primary - GRADING'!$CP:$CP,0),22)</f>
        <v>#N/A</v>
      </c>
      <c r="Z199" s="165" t="str">
        <f t="array" ref="Z199">INDEX('Primary - GRADING'!$A$1:$CP997,MATCH($A199,'Primary - GRADING'!$CP:$CP,0),23)</f>
        <v>#N/A</v>
      </c>
      <c r="AA199" s="153" t="str">
        <f t="array" ref="AA199">INDEX('Primary - GRADING'!$A$1:$CP997,MATCH($A199,'Primary - GRADING'!$CP:$CP,0),24)</f>
        <v>#N/A</v>
      </c>
      <c r="AB199" s="153" t="str">
        <f t="array" ref="AB199">INDEX('Primary - GRADING'!$A$1:$CP997,MATCH($A199,'Primary - GRADING'!$CP:$CP,0),25)</f>
        <v>#N/A</v>
      </c>
      <c r="AC199" s="153" t="str">
        <f t="array" ref="AC199">INDEX('Primary - GRADING'!$A$1:$CP997,MATCH($A199,'Primary - GRADING'!$CP:$CP,0),46)</f>
        <v>#N/A</v>
      </c>
      <c r="AG199" s="153" t="str">
        <f t="shared" si="7"/>
        <v>#N/A</v>
      </c>
      <c r="AI199" s="153" t="str">
        <f>VLOOKUP(AH199,'Primary - GRADING'!$A$4:$C997,2,)</f>
        <v>#N/A</v>
      </c>
      <c r="AJ199" s="153" t="str">
        <f>VLOOKUP(AH199,'Primary - GRADING'!$A$4:$C997,3,)</f>
        <v>#N/A</v>
      </c>
      <c r="AK199" s="153" t="str">
        <f>VLOOKUP(AH199,'Primary - GRADING'!$A$4:$BG997,59,)</f>
        <v>#N/A</v>
      </c>
      <c r="AL199" s="153" t="str">
        <f>IFS(AK199="NMA",VLOOKUP(AH199,'Primary - GRADING'!$A$4:$BG997,51,),AK199="DIRECT",VLOOKUP(AH199,'Primary - GRADING'!$A$4:$BG997,8,),AK199="INDIRECT",VLOOKUP(AH199,'Primary - GRADING'!$A$4:$BG997,23,))</f>
        <v>#N/A</v>
      </c>
      <c r="AM199" s="153" t="str">
        <f>IFS(AK199="NMA",VLOOKUP(AH199,'Primary - GRADING'!$A$4:$BG997,52,),AK199="DIRECT",VLOOKUP(AH199,'Primary - GRADING'!$A$4:$BG997,9,),AK199="INDIRECT",VLOOKUP(AH199,'Primary - GRADING'!$A$4:$BG997,24,))</f>
        <v>#N/A</v>
      </c>
      <c r="AN199" s="153" t="str">
        <f>IFS(AK199="NMA",VLOOKUP(AH199,'Primary - GRADING'!$A$4:$BG997,53,),AK199="DIRECT",VLOOKUP(AH199,'Primary - GRADING'!$A$4:$BG997,10,),AK199="INDIRECT",VLOOKUP(AH199,'Primary - GRADING'!$A$4:$BG997,25,))</f>
        <v>#N/A</v>
      </c>
      <c r="AO199" s="153" t="str">
        <f t="shared" si="8"/>
        <v>#N/A</v>
      </c>
      <c r="AT199" s="153" t="str">
        <f t="shared" si="9"/>
        <v>#N/A</v>
      </c>
      <c r="AV199" s="153" t="str">
        <f>VLOOKUP(AU199,'Primary - GRADING'!$A$4:$C997,2,)</f>
        <v>#N/A</v>
      </c>
      <c r="AW199" s="153" t="str">
        <f>VLOOKUP(AU199,'Primary - GRADING'!$A$4:$C997,3,)</f>
        <v>#N/A</v>
      </c>
      <c r="AX199" s="153" t="str">
        <f>VLOOKUP(AU199,'Primary - GRADING'!$A$4:$BG997,59,)</f>
        <v>#N/A</v>
      </c>
      <c r="AY199" s="153" t="str">
        <f>IFS(AX199="NMA",VLOOKUP(AU199,'Primary - GRADING'!$A$4:$BG997,51,),AX199="DIRECT",VLOOKUP(AU199,'Primary - GRADING'!$A$4:$BG997,8,),AX199="INDIRECT",VLOOKUP(AU199,'Primary - GRADING'!$A$4:$BG997,23,))</f>
        <v>#N/A</v>
      </c>
      <c r="AZ199" s="153" t="str">
        <f>IFS(AX199="NMA",VLOOKUP(AU199,'Primary - GRADING'!$A$4:$BG997,52,),AX199="DIRECT",VLOOKUP(AU199,'Primary - GRADING'!$A$4:$BG997,9,),AX199="INDIRECT",VLOOKUP(AU199,'Primary - GRADING'!$A$4:$BG997,24,))</f>
        <v>#N/A</v>
      </c>
      <c r="BA199" s="153" t="str">
        <f>IFS(AX199="NMA",VLOOKUP(AU199,'Primary - GRADING'!$A$4:$BG997,53,),AX199="DIRECT",VLOOKUP(AU199,'Primary - GRADING'!$A$4:$BG997,10,),AX199="INDIRECT",VLOOKUP(AU199,'Primary - GRADING'!$A$4:$BG997,25,))</f>
        <v>#N/A</v>
      </c>
      <c r="BB199" s="153" t="str">
        <f t="shared" si="10"/>
        <v>#N/A</v>
      </c>
      <c r="BE199" s="153" t="str">
        <f t="shared" si="11"/>
        <v/>
      </c>
      <c r="BG199" s="153" t="str">
        <f t="shared" si="12"/>
        <v>#N/A</v>
      </c>
      <c r="BI199" s="153" t="str">
        <f t="shared" si="13"/>
        <v>#N/A</v>
      </c>
      <c r="BK199" s="153" t="str">
        <f t="shared" si="14"/>
        <v>#N/A</v>
      </c>
      <c r="BM199" s="153" t="str">
        <f t="shared" si="15"/>
        <v>#N/A</v>
      </c>
    </row>
    <row r="200" ht="15.75" customHeight="1">
      <c r="B200" s="160" t="str">
        <f t="shared" si="1"/>
        <v>#N/A</v>
      </c>
      <c r="C200" s="160" t="str">
        <f t="shared" si="2"/>
        <v>#N/A</v>
      </c>
      <c r="D200" s="160" t="str">
        <f t="shared" si="3"/>
        <v>#N/A</v>
      </c>
      <c r="E200" s="161" t="str">
        <f t="shared" si="4"/>
        <v>#N/A</v>
      </c>
      <c r="F200" s="153" t="str">
        <f t="shared" si="17"/>
        <v>#N/A</v>
      </c>
      <c r="G200" s="153" t="str">
        <f t="shared" si="6"/>
        <v>#N/A</v>
      </c>
      <c r="H200" s="156" t="str">
        <f t="array" ref="H200">INDEX('Primary - GRADING'!$A$1:$BG997,MATCH($A200,'Primary - GRADING'!$B:$B,0),59)</f>
        <v>#N/A</v>
      </c>
      <c r="I200" s="153" t="str">
        <f t="array" ref="I200">INDEX('Primary - GRADING'!$A$1:$CP997,MATCH($A200,'Primary - GRADING'!$CP:$CP,0),48)</f>
        <v>#N/A</v>
      </c>
      <c r="J200" s="153" t="str">
        <f t="array" ref="J200">INDEX('Primary - GRADING'!$A$1:$CP997,MATCH($A200,'Primary - GRADING'!$CP:$CP,0),49)</f>
        <v>#N/A</v>
      </c>
      <c r="K200" s="153" t="str">
        <f t="array" ref="K200">INDEX('Primary - GRADING'!$A$1:$CP997,MATCH($A200,'Primary - GRADING'!$CP:$CP,0),50)</f>
        <v>#N/A</v>
      </c>
      <c r="L200" s="153" t="str">
        <f t="array" ref="L200">INDEX('Primary - GRADING'!$A$1:$CP997,MATCH($A200,'Primary - GRADING'!$CP:$CP,0),51)</f>
        <v>#N/A</v>
      </c>
      <c r="M200" s="153" t="str">
        <f t="array" ref="M200">INDEX('Primary - GRADING'!$A$1:$CP997,MATCH($A200,'Primary - GRADING'!$CP:$CP,0),52)</f>
        <v>#N/A</v>
      </c>
      <c r="N200" s="153" t="str">
        <f t="array" ref="N200">INDEX('Primary - GRADING'!$A$1:$CP997,MATCH($A200,'Primary - GRADING'!$CP:$CP,0),53)</f>
        <v>#N/A</v>
      </c>
      <c r="O200" s="153" t="str">
        <f t="array" ref="O200">INDEX('Primary - GRADING'!$A$1:$CP997,MATCH($A200,'Primary - GRADING'!$CP:$CP,0),58)</f>
        <v>#N/A</v>
      </c>
      <c r="P200" s="153" t="str">
        <f t="array" ref="P200">INDEX('Primary - GRADING'!$A$1:$CP997,MATCH($A200,'Primary - GRADING'!$CP:$CP,0),5)</f>
        <v>#N/A</v>
      </c>
      <c r="Q200" s="153" t="str">
        <f t="array" ref="Q200">INDEX('Primary - GRADING'!$A$1:$CP997,MATCH($A200,'Primary - GRADING'!$CP:$CP,0),6)</f>
        <v>#N/A</v>
      </c>
      <c r="R200" s="153" t="str">
        <f t="array" ref="R200">INDEX('Primary - GRADING'!$A$1:$CP997,MATCH($A200,'Primary - GRADING'!$CP:$CP,0),7)</f>
        <v>#N/A</v>
      </c>
      <c r="S200" s="153" t="str">
        <f t="array" ref="S200">INDEX('Primary - GRADING'!$A$1:$CP997,MATCH($A200,'Primary - GRADING'!$CP:$CP,0),8)</f>
        <v>#N/A</v>
      </c>
      <c r="T200" s="153" t="str">
        <f t="array" ref="T200">INDEX('Primary - GRADING'!$A$1:$CP997,MATCH($A200,'Primary - GRADING'!$CP:$CP,0),9)</f>
        <v>#N/A</v>
      </c>
      <c r="U200" s="153" t="str">
        <f t="array" ref="U200">INDEX('Primary - GRADING'!$A$1:$CP997,MATCH($A200,'Primary - GRADING'!$CP:$CP,0),10)</f>
        <v>#N/A</v>
      </c>
      <c r="V200" s="153" t="str">
        <f t="array" ref="V200">INDEX('Primary - GRADING'!$A$1:$CP997,MATCH($A200,'Primary - GRADING'!$CP:$CP,0),18)</f>
        <v>#N/A</v>
      </c>
      <c r="W200" s="153" t="str">
        <f t="array" ref="W200">INDEX('Primary - GRADING'!$A$1:$CP997,MATCH($A200,'Primary - GRADING'!$CP:$CP,0),20)</f>
        <v>#N/A</v>
      </c>
      <c r="X200" s="153" t="str">
        <f t="array" ref="X200">INDEX('Primary - GRADING'!$A$1:$CP997,MATCH($A200,'Primary - GRADING'!$CP:$CP,0),21)</f>
        <v>#N/A</v>
      </c>
      <c r="Y200" s="153" t="str">
        <f t="array" ref="Y200">INDEX('Primary - GRADING'!$A$1:$CP997,MATCH($A200,'Primary - GRADING'!$CP:$CP,0),22)</f>
        <v>#N/A</v>
      </c>
      <c r="Z200" s="165" t="str">
        <f t="array" ref="Z200">INDEX('Primary - GRADING'!$A$1:$CP997,MATCH($A200,'Primary - GRADING'!$CP:$CP,0),23)</f>
        <v>#N/A</v>
      </c>
      <c r="AA200" s="153" t="str">
        <f t="array" ref="AA200">INDEX('Primary - GRADING'!$A$1:$CP997,MATCH($A200,'Primary - GRADING'!$CP:$CP,0),24)</f>
        <v>#N/A</v>
      </c>
      <c r="AB200" s="153" t="str">
        <f t="array" ref="AB200">INDEX('Primary - GRADING'!$A$1:$CP997,MATCH($A200,'Primary - GRADING'!$CP:$CP,0),25)</f>
        <v>#N/A</v>
      </c>
      <c r="AC200" s="153" t="str">
        <f t="array" ref="AC200">INDEX('Primary - GRADING'!$A$1:$CP997,MATCH($A200,'Primary - GRADING'!$CP:$CP,0),46)</f>
        <v>#N/A</v>
      </c>
      <c r="AG200" s="153" t="str">
        <f t="shared" si="7"/>
        <v>#N/A</v>
      </c>
      <c r="AI200" s="153" t="str">
        <f>VLOOKUP(AH200,'Primary - GRADING'!$A$4:$C997,2,)</f>
        <v>#N/A</v>
      </c>
      <c r="AJ200" s="153" t="str">
        <f>VLOOKUP(AH200,'Primary - GRADING'!$A$4:$C997,3,)</f>
        <v>#N/A</v>
      </c>
      <c r="AK200" s="153" t="str">
        <f>VLOOKUP(AH200,'Primary - GRADING'!$A$4:$BG997,59,)</f>
        <v>#N/A</v>
      </c>
      <c r="AL200" s="153" t="str">
        <f>IFS(AK200="NMA",VLOOKUP(AH200,'Primary - GRADING'!$A$4:$BG997,51,),AK200="DIRECT",VLOOKUP(AH200,'Primary - GRADING'!$A$4:$BG997,8,),AK200="INDIRECT",VLOOKUP(AH200,'Primary - GRADING'!$A$4:$BG997,23,))</f>
        <v>#N/A</v>
      </c>
      <c r="AM200" s="153" t="str">
        <f>IFS(AK200="NMA",VLOOKUP(AH200,'Primary - GRADING'!$A$4:$BG997,52,),AK200="DIRECT",VLOOKUP(AH200,'Primary - GRADING'!$A$4:$BG997,9,),AK200="INDIRECT",VLOOKUP(AH200,'Primary - GRADING'!$A$4:$BG997,24,))</f>
        <v>#N/A</v>
      </c>
      <c r="AN200" s="153" t="str">
        <f>IFS(AK200="NMA",VLOOKUP(AH200,'Primary - GRADING'!$A$4:$BG997,53,),AK200="DIRECT",VLOOKUP(AH200,'Primary - GRADING'!$A$4:$BG997,10,),AK200="INDIRECT",VLOOKUP(AH200,'Primary - GRADING'!$A$4:$BG997,25,))</f>
        <v>#N/A</v>
      </c>
      <c r="AO200" s="153" t="str">
        <f t="shared" si="8"/>
        <v>#N/A</v>
      </c>
      <c r="AT200" s="153" t="str">
        <f t="shared" si="9"/>
        <v>#N/A</v>
      </c>
      <c r="AV200" s="153" t="str">
        <f>VLOOKUP(AU200,'Primary - GRADING'!$A$4:$C997,2,)</f>
        <v>#N/A</v>
      </c>
      <c r="AW200" s="153" t="str">
        <f>VLOOKUP(AU200,'Primary - GRADING'!$A$4:$C997,3,)</f>
        <v>#N/A</v>
      </c>
      <c r="AX200" s="153" t="str">
        <f>VLOOKUP(AU200,'Primary - GRADING'!$A$4:$BG997,59,)</f>
        <v>#N/A</v>
      </c>
      <c r="AY200" s="153" t="str">
        <f>IFS(AX200="NMA",VLOOKUP(AU200,'Primary - GRADING'!$A$4:$BG997,51,),AX200="DIRECT",VLOOKUP(AU200,'Primary - GRADING'!$A$4:$BG997,8,),AX200="INDIRECT",VLOOKUP(AU200,'Primary - GRADING'!$A$4:$BG997,23,))</f>
        <v>#N/A</v>
      </c>
      <c r="AZ200" s="153" t="str">
        <f>IFS(AX200="NMA",VLOOKUP(AU200,'Primary - GRADING'!$A$4:$BG997,52,),AX200="DIRECT",VLOOKUP(AU200,'Primary - GRADING'!$A$4:$BG997,9,),AX200="INDIRECT",VLOOKUP(AU200,'Primary - GRADING'!$A$4:$BG997,24,))</f>
        <v>#N/A</v>
      </c>
      <c r="BA200" s="153" t="str">
        <f>IFS(AX200="NMA",VLOOKUP(AU200,'Primary - GRADING'!$A$4:$BG997,53,),AX200="DIRECT",VLOOKUP(AU200,'Primary - GRADING'!$A$4:$BG997,10,),AX200="INDIRECT",VLOOKUP(AU200,'Primary - GRADING'!$A$4:$BG997,25,))</f>
        <v>#N/A</v>
      </c>
      <c r="BB200" s="153" t="str">
        <f t="shared" si="10"/>
        <v>#N/A</v>
      </c>
      <c r="BE200" s="153" t="str">
        <f t="shared" si="11"/>
        <v/>
      </c>
      <c r="BG200" s="153" t="str">
        <f t="shared" si="12"/>
        <v>#N/A</v>
      </c>
      <c r="BI200" s="153" t="str">
        <f t="shared" si="13"/>
        <v>#N/A</v>
      </c>
      <c r="BK200" s="153" t="str">
        <f t="shared" si="14"/>
        <v>#N/A</v>
      </c>
      <c r="BM200" s="153" t="str">
        <f t="shared" si="15"/>
        <v>#N/A</v>
      </c>
    </row>
    <row r="201" ht="15.75" customHeight="1">
      <c r="B201" s="160" t="str">
        <f t="shared" si="1"/>
        <v>#N/A</v>
      </c>
      <c r="C201" s="160" t="str">
        <f t="shared" si="2"/>
        <v>#N/A</v>
      </c>
      <c r="D201" s="160" t="str">
        <f t="shared" si="3"/>
        <v>#N/A</v>
      </c>
      <c r="E201" s="161" t="str">
        <f t="shared" si="4"/>
        <v>#N/A</v>
      </c>
      <c r="F201" s="153" t="str">
        <f t="shared" si="17"/>
        <v>#N/A</v>
      </c>
      <c r="G201" s="153" t="str">
        <f t="shared" si="6"/>
        <v>#N/A</v>
      </c>
      <c r="H201" s="156" t="str">
        <f t="array" ref="H201">INDEX('Primary - GRADING'!$A$1:$BG997,MATCH($A201,'Primary - GRADING'!$B:$B,0),59)</f>
        <v>#N/A</v>
      </c>
      <c r="I201" s="153" t="str">
        <f t="array" ref="I201">INDEX('Primary - GRADING'!$A$1:$CP997,MATCH($A201,'Primary - GRADING'!$CP:$CP,0),48)</f>
        <v>#N/A</v>
      </c>
      <c r="J201" s="153" t="str">
        <f t="array" ref="J201">INDEX('Primary - GRADING'!$A$1:$CP997,MATCH($A201,'Primary - GRADING'!$CP:$CP,0),49)</f>
        <v>#N/A</v>
      </c>
      <c r="K201" s="153" t="str">
        <f t="array" ref="K201">INDEX('Primary - GRADING'!$A$1:$CP997,MATCH($A201,'Primary - GRADING'!$CP:$CP,0),50)</f>
        <v>#N/A</v>
      </c>
      <c r="L201" s="153" t="str">
        <f t="array" ref="L201">INDEX('Primary - GRADING'!$A$1:$CP997,MATCH($A201,'Primary - GRADING'!$CP:$CP,0),51)</f>
        <v>#N/A</v>
      </c>
      <c r="M201" s="153" t="str">
        <f t="array" ref="M201">INDEX('Primary - GRADING'!$A$1:$CP997,MATCH($A201,'Primary - GRADING'!$CP:$CP,0),52)</f>
        <v>#N/A</v>
      </c>
      <c r="N201" s="153" t="str">
        <f t="array" ref="N201">INDEX('Primary - GRADING'!$A$1:$CP997,MATCH($A201,'Primary - GRADING'!$CP:$CP,0),53)</f>
        <v>#N/A</v>
      </c>
      <c r="O201" s="153" t="str">
        <f t="array" ref="O201">INDEX('Primary - GRADING'!$A$1:$CP997,MATCH($A201,'Primary - GRADING'!$CP:$CP,0),58)</f>
        <v>#N/A</v>
      </c>
      <c r="P201" s="153" t="str">
        <f t="array" ref="P201">INDEX('Primary - GRADING'!$A$1:$CP997,MATCH($A201,'Primary - GRADING'!$CP:$CP,0),5)</f>
        <v>#N/A</v>
      </c>
      <c r="Q201" s="153" t="str">
        <f t="array" ref="Q201">INDEX('Primary - GRADING'!$A$1:$CP997,MATCH($A201,'Primary - GRADING'!$CP:$CP,0),6)</f>
        <v>#N/A</v>
      </c>
      <c r="R201" s="153" t="str">
        <f t="array" ref="R201">INDEX('Primary - GRADING'!$A$1:$CP997,MATCH($A201,'Primary - GRADING'!$CP:$CP,0),7)</f>
        <v>#N/A</v>
      </c>
      <c r="S201" s="153" t="str">
        <f t="array" ref="S201">INDEX('Primary - GRADING'!$A$1:$CP997,MATCH($A201,'Primary - GRADING'!$CP:$CP,0),8)</f>
        <v>#N/A</v>
      </c>
      <c r="T201" s="153" t="str">
        <f t="array" ref="T201">INDEX('Primary - GRADING'!$A$1:$CP997,MATCH($A201,'Primary - GRADING'!$CP:$CP,0),9)</f>
        <v>#N/A</v>
      </c>
      <c r="U201" s="153" t="str">
        <f t="array" ref="U201">INDEX('Primary - GRADING'!$A$1:$CP997,MATCH($A201,'Primary - GRADING'!$CP:$CP,0),10)</f>
        <v>#N/A</v>
      </c>
      <c r="V201" s="153" t="str">
        <f t="array" ref="V201">INDEX('Primary - GRADING'!$A$1:$CP997,MATCH($A201,'Primary - GRADING'!$CP:$CP,0),18)</f>
        <v>#N/A</v>
      </c>
      <c r="W201" s="153" t="str">
        <f t="array" ref="W201">INDEX('Primary - GRADING'!$A$1:$CP997,MATCH($A201,'Primary - GRADING'!$CP:$CP,0),20)</f>
        <v>#N/A</v>
      </c>
      <c r="X201" s="153" t="str">
        <f t="array" ref="X201">INDEX('Primary - GRADING'!$A$1:$CP997,MATCH($A201,'Primary - GRADING'!$CP:$CP,0),21)</f>
        <v>#N/A</v>
      </c>
      <c r="Y201" s="153" t="str">
        <f t="array" ref="Y201">INDEX('Primary - GRADING'!$A$1:$CP997,MATCH($A201,'Primary - GRADING'!$CP:$CP,0),22)</f>
        <v>#N/A</v>
      </c>
      <c r="Z201" s="165" t="str">
        <f t="array" ref="Z201">INDEX('Primary - GRADING'!$A$1:$CP997,MATCH($A201,'Primary - GRADING'!$CP:$CP,0),23)</f>
        <v>#N/A</v>
      </c>
      <c r="AA201" s="153" t="str">
        <f t="array" ref="AA201">INDEX('Primary - GRADING'!$A$1:$CP997,MATCH($A201,'Primary - GRADING'!$CP:$CP,0),24)</f>
        <v>#N/A</v>
      </c>
      <c r="AB201" s="153" t="str">
        <f t="array" ref="AB201">INDEX('Primary - GRADING'!$A$1:$CP997,MATCH($A201,'Primary - GRADING'!$CP:$CP,0),25)</f>
        <v>#N/A</v>
      </c>
      <c r="AC201" s="153" t="str">
        <f t="array" ref="AC201">INDEX('Primary - GRADING'!$A$1:$CP997,MATCH($A201,'Primary - GRADING'!$CP:$CP,0),46)</f>
        <v>#N/A</v>
      </c>
      <c r="AG201" s="153" t="str">
        <f t="shared" si="7"/>
        <v>#N/A</v>
      </c>
      <c r="AI201" s="153" t="str">
        <f>VLOOKUP(AH201,'Primary - GRADING'!$A$4:$C997,2,)</f>
        <v>#N/A</v>
      </c>
      <c r="AJ201" s="153" t="str">
        <f>VLOOKUP(AH201,'Primary - GRADING'!$A$4:$C997,3,)</f>
        <v>#N/A</v>
      </c>
      <c r="AK201" s="153" t="str">
        <f>VLOOKUP(AH201,'Primary - GRADING'!$A$4:$BG997,59,)</f>
        <v>#N/A</v>
      </c>
      <c r="AL201" s="153" t="str">
        <f>IFS(AK201="NMA",VLOOKUP(AH201,'Primary - GRADING'!$A$4:$BG997,51,),AK201="DIRECT",VLOOKUP(AH201,'Primary - GRADING'!$A$4:$BG997,8,),AK201="INDIRECT",VLOOKUP(AH201,'Primary - GRADING'!$A$4:$BG997,23,))</f>
        <v>#N/A</v>
      </c>
      <c r="AM201" s="153" t="str">
        <f>IFS(AK201="NMA",VLOOKUP(AH201,'Primary - GRADING'!$A$4:$BG997,52,),AK201="DIRECT",VLOOKUP(AH201,'Primary - GRADING'!$A$4:$BG997,9,),AK201="INDIRECT",VLOOKUP(AH201,'Primary - GRADING'!$A$4:$BG997,24,))</f>
        <v>#N/A</v>
      </c>
      <c r="AN201" s="153" t="str">
        <f>IFS(AK201="NMA",VLOOKUP(AH201,'Primary - GRADING'!$A$4:$BG997,53,),AK201="DIRECT",VLOOKUP(AH201,'Primary - GRADING'!$A$4:$BG997,10,),AK201="INDIRECT",VLOOKUP(AH201,'Primary - GRADING'!$A$4:$BG997,25,))</f>
        <v>#N/A</v>
      </c>
      <c r="AO201" s="153" t="str">
        <f t="shared" si="8"/>
        <v>#N/A</v>
      </c>
      <c r="AT201" s="153" t="str">
        <f t="shared" si="9"/>
        <v>#N/A</v>
      </c>
      <c r="AV201" s="153" t="str">
        <f>VLOOKUP(AU201,'Primary - GRADING'!$A$4:$C997,2,)</f>
        <v>#N/A</v>
      </c>
      <c r="AW201" s="153" t="str">
        <f>VLOOKUP(AU201,'Primary - GRADING'!$A$4:$C997,3,)</f>
        <v>#N/A</v>
      </c>
      <c r="AX201" s="153" t="str">
        <f>VLOOKUP(AU201,'Primary - GRADING'!$A$4:$BG997,59,)</f>
        <v>#N/A</v>
      </c>
      <c r="AY201" s="153" t="str">
        <f>IFS(AX201="NMA",VLOOKUP(AU201,'Primary - GRADING'!$A$4:$BG997,51,),AX201="DIRECT",VLOOKUP(AU201,'Primary - GRADING'!$A$4:$BG997,8,),AX201="INDIRECT",VLOOKUP(AU201,'Primary - GRADING'!$A$4:$BG997,23,))</f>
        <v>#N/A</v>
      </c>
      <c r="AZ201" s="153" t="str">
        <f>IFS(AX201="NMA",VLOOKUP(AU201,'Primary - GRADING'!$A$4:$BG997,52,),AX201="DIRECT",VLOOKUP(AU201,'Primary - GRADING'!$A$4:$BG997,9,),AX201="INDIRECT",VLOOKUP(AU201,'Primary - GRADING'!$A$4:$BG997,24,))</f>
        <v>#N/A</v>
      </c>
      <c r="BA201" s="153" t="str">
        <f>IFS(AX201="NMA",VLOOKUP(AU201,'Primary - GRADING'!$A$4:$BG997,53,),AX201="DIRECT",VLOOKUP(AU201,'Primary - GRADING'!$A$4:$BG997,10,),AX201="INDIRECT",VLOOKUP(AU201,'Primary - GRADING'!$A$4:$BG997,25,))</f>
        <v>#N/A</v>
      </c>
      <c r="BB201" s="153" t="str">
        <f t="shared" si="10"/>
        <v>#N/A</v>
      </c>
      <c r="BE201" s="153" t="str">
        <f t="shared" si="11"/>
        <v/>
      </c>
      <c r="BG201" s="153" t="str">
        <f t="shared" si="12"/>
        <v>#N/A</v>
      </c>
      <c r="BI201" s="153" t="str">
        <f t="shared" si="13"/>
        <v>#N/A</v>
      </c>
      <c r="BK201" s="153" t="str">
        <f t="shared" si="14"/>
        <v>#N/A</v>
      </c>
      <c r="BM201" s="153" t="str">
        <f t="shared" si="15"/>
        <v>#N/A</v>
      </c>
    </row>
    <row r="202" ht="15.75" customHeight="1">
      <c r="B202" s="160" t="str">
        <f t="shared" si="1"/>
        <v>#N/A</v>
      </c>
      <c r="C202" s="160" t="str">
        <f t="shared" si="2"/>
        <v>#N/A</v>
      </c>
      <c r="D202" s="160" t="str">
        <f t="shared" si="3"/>
        <v>#N/A</v>
      </c>
      <c r="E202" s="161" t="str">
        <f t="shared" si="4"/>
        <v>#N/A</v>
      </c>
      <c r="F202" s="153" t="str">
        <f t="shared" si="17"/>
        <v>#N/A</v>
      </c>
      <c r="G202" s="153" t="str">
        <f t="shared" si="6"/>
        <v>#N/A</v>
      </c>
      <c r="H202" s="156" t="str">
        <f t="array" ref="H202">INDEX('Primary - GRADING'!$A$1:$BG997,MATCH($A202,'Primary - GRADING'!$B:$B,0),59)</f>
        <v>#N/A</v>
      </c>
      <c r="I202" s="153" t="str">
        <f t="array" ref="I202">INDEX('Primary - GRADING'!$A$1:$CP997,MATCH($A202,'Primary - GRADING'!$CP:$CP,0),48)</f>
        <v>#N/A</v>
      </c>
      <c r="J202" s="153" t="str">
        <f t="array" ref="J202">INDEX('Primary - GRADING'!$A$1:$CP997,MATCH($A202,'Primary - GRADING'!$CP:$CP,0),49)</f>
        <v>#N/A</v>
      </c>
      <c r="K202" s="153" t="str">
        <f t="array" ref="K202">INDEX('Primary - GRADING'!$A$1:$CP997,MATCH($A202,'Primary - GRADING'!$CP:$CP,0),50)</f>
        <v>#N/A</v>
      </c>
      <c r="L202" s="153" t="str">
        <f t="array" ref="L202">INDEX('Primary - GRADING'!$A$1:$CP997,MATCH($A202,'Primary - GRADING'!$CP:$CP,0),51)</f>
        <v>#N/A</v>
      </c>
      <c r="M202" s="153" t="str">
        <f t="array" ref="M202">INDEX('Primary - GRADING'!$A$1:$CP997,MATCH($A202,'Primary - GRADING'!$CP:$CP,0),52)</f>
        <v>#N/A</v>
      </c>
      <c r="N202" s="153" t="str">
        <f t="array" ref="N202">INDEX('Primary - GRADING'!$A$1:$CP997,MATCH($A202,'Primary - GRADING'!$CP:$CP,0),53)</f>
        <v>#N/A</v>
      </c>
      <c r="O202" s="153" t="str">
        <f t="array" ref="O202">INDEX('Primary - GRADING'!$A$1:$CP997,MATCH($A202,'Primary - GRADING'!$CP:$CP,0),58)</f>
        <v>#N/A</v>
      </c>
      <c r="P202" s="153" t="str">
        <f t="array" ref="P202">INDEX('Primary - GRADING'!$A$1:$CP997,MATCH($A202,'Primary - GRADING'!$CP:$CP,0),5)</f>
        <v>#N/A</v>
      </c>
      <c r="Q202" s="153" t="str">
        <f t="array" ref="Q202">INDEX('Primary - GRADING'!$A$1:$CP997,MATCH($A202,'Primary - GRADING'!$CP:$CP,0),6)</f>
        <v>#N/A</v>
      </c>
      <c r="R202" s="153" t="str">
        <f t="array" ref="R202">INDEX('Primary - GRADING'!$A$1:$CP997,MATCH($A202,'Primary - GRADING'!$CP:$CP,0),7)</f>
        <v>#N/A</v>
      </c>
      <c r="S202" s="153" t="str">
        <f t="array" ref="S202">INDEX('Primary - GRADING'!$A$1:$CP997,MATCH($A202,'Primary - GRADING'!$CP:$CP,0),8)</f>
        <v>#N/A</v>
      </c>
      <c r="T202" s="153" t="str">
        <f t="array" ref="T202">INDEX('Primary - GRADING'!$A$1:$CP997,MATCH($A202,'Primary - GRADING'!$CP:$CP,0),9)</f>
        <v>#N/A</v>
      </c>
      <c r="U202" s="153" t="str">
        <f t="array" ref="U202">INDEX('Primary - GRADING'!$A$1:$CP997,MATCH($A202,'Primary - GRADING'!$CP:$CP,0),10)</f>
        <v>#N/A</v>
      </c>
      <c r="V202" s="153" t="str">
        <f t="array" ref="V202">INDEX('Primary - GRADING'!$A$1:$CP997,MATCH($A202,'Primary - GRADING'!$CP:$CP,0),18)</f>
        <v>#N/A</v>
      </c>
      <c r="W202" s="153" t="str">
        <f t="array" ref="W202">INDEX('Primary - GRADING'!$A$1:$CP997,MATCH($A202,'Primary - GRADING'!$CP:$CP,0),20)</f>
        <v>#N/A</v>
      </c>
      <c r="X202" s="153" t="str">
        <f t="array" ref="X202">INDEX('Primary - GRADING'!$A$1:$CP997,MATCH($A202,'Primary - GRADING'!$CP:$CP,0),21)</f>
        <v>#N/A</v>
      </c>
      <c r="Y202" s="153" t="str">
        <f t="array" ref="Y202">INDEX('Primary - GRADING'!$A$1:$CP997,MATCH($A202,'Primary - GRADING'!$CP:$CP,0),22)</f>
        <v>#N/A</v>
      </c>
      <c r="Z202" s="165" t="str">
        <f t="array" ref="Z202">INDEX('Primary - GRADING'!$A$1:$CP997,MATCH($A202,'Primary - GRADING'!$CP:$CP,0),23)</f>
        <v>#N/A</v>
      </c>
      <c r="AA202" s="153" t="str">
        <f t="array" ref="AA202">INDEX('Primary - GRADING'!$A$1:$CP997,MATCH($A202,'Primary - GRADING'!$CP:$CP,0),24)</f>
        <v>#N/A</v>
      </c>
      <c r="AB202" s="153" t="str">
        <f t="array" ref="AB202">INDEX('Primary - GRADING'!$A$1:$CP997,MATCH($A202,'Primary - GRADING'!$CP:$CP,0),25)</f>
        <v>#N/A</v>
      </c>
      <c r="AC202" s="153" t="str">
        <f t="array" ref="AC202">INDEX('Primary - GRADING'!$A$1:$CP997,MATCH($A202,'Primary - GRADING'!$CP:$CP,0),46)</f>
        <v>#N/A</v>
      </c>
      <c r="AG202" s="153" t="str">
        <f t="shared" si="7"/>
        <v>#N/A</v>
      </c>
      <c r="AI202" s="153" t="str">
        <f>VLOOKUP(AH202,'Primary - GRADING'!$A$4:$C997,2,)</f>
        <v>#N/A</v>
      </c>
      <c r="AJ202" s="153" t="str">
        <f>VLOOKUP(AH202,'Primary - GRADING'!$A$4:$C997,3,)</f>
        <v>#N/A</v>
      </c>
      <c r="AK202" s="153" t="str">
        <f>VLOOKUP(AH202,'Primary - GRADING'!$A$4:$BG997,59,)</f>
        <v>#N/A</v>
      </c>
      <c r="AL202" s="153" t="str">
        <f>IFS(AK202="NMA",VLOOKUP(AH202,'Primary - GRADING'!$A$4:$BG997,51,),AK202="DIRECT",VLOOKUP(AH202,'Primary - GRADING'!$A$4:$BG997,8,),AK202="INDIRECT",VLOOKUP(AH202,'Primary - GRADING'!$A$4:$BG997,23,))</f>
        <v>#N/A</v>
      </c>
      <c r="AM202" s="153" t="str">
        <f>IFS(AK202="NMA",VLOOKUP(AH202,'Primary - GRADING'!$A$4:$BG997,52,),AK202="DIRECT",VLOOKUP(AH202,'Primary - GRADING'!$A$4:$BG997,9,),AK202="INDIRECT",VLOOKUP(AH202,'Primary - GRADING'!$A$4:$BG997,24,))</f>
        <v>#N/A</v>
      </c>
      <c r="AN202" s="153" t="str">
        <f>IFS(AK202="NMA",VLOOKUP(AH202,'Primary - GRADING'!$A$4:$BG997,53,),AK202="DIRECT",VLOOKUP(AH202,'Primary - GRADING'!$A$4:$BG997,10,),AK202="INDIRECT",VLOOKUP(AH202,'Primary - GRADING'!$A$4:$BG997,25,))</f>
        <v>#N/A</v>
      </c>
      <c r="AO202" s="153" t="str">
        <f t="shared" si="8"/>
        <v>#N/A</v>
      </c>
      <c r="AT202" s="153" t="str">
        <f t="shared" si="9"/>
        <v>#N/A</v>
      </c>
      <c r="AV202" s="153" t="str">
        <f>VLOOKUP(AU202,'Primary - GRADING'!$A$4:$C997,2,)</f>
        <v>#N/A</v>
      </c>
      <c r="AW202" s="153" t="str">
        <f>VLOOKUP(AU202,'Primary - GRADING'!$A$4:$C997,3,)</f>
        <v>#N/A</v>
      </c>
      <c r="AX202" s="153" t="str">
        <f>VLOOKUP(AU202,'Primary - GRADING'!$A$4:$BG997,59,)</f>
        <v>#N/A</v>
      </c>
      <c r="AY202" s="153" t="str">
        <f>IFS(AX202="NMA",VLOOKUP(AU202,'Primary - GRADING'!$A$4:$BG997,51,),AX202="DIRECT",VLOOKUP(AU202,'Primary - GRADING'!$A$4:$BG997,8,),AX202="INDIRECT",VLOOKUP(AU202,'Primary - GRADING'!$A$4:$BG997,23,))</f>
        <v>#N/A</v>
      </c>
      <c r="AZ202" s="153" t="str">
        <f>IFS(AX202="NMA",VLOOKUP(AU202,'Primary - GRADING'!$A$4:$BG997,52,),AX202="DIRECT",VLOOKUP(AU202,'Primary - GRADING'!$A$4:$BG997,9,),AX202="INDIRECT",VLOOKUP(AU202,'Primary - GRADING'!$A$4:$BG997,24,))</f>
        <v>#N/A</v>
      </c>
      <c r="BA202" s="153" t="str">
        <f>IFS(AX202="NMA",VLOOKUP(AU202,'Primary - GRADING'!$A$4:$BG997,53,),AX202="DIRECT",VLOOKUP(AU202,'Primary - GRADING'!$A$4:$BG997,10,),AX202="INDIRECT",VLOOKUP(AU202,'Primary - GRADING'!$A$4:$BG997,25,))</f>
        <v>#N/A</v>
      </c>
      <c r="BB202" s="153" t="str">
        <f t="shared" si="10"/>
        <v>#N/A</v>
      </c>
      <c r="BE202" s="153" t="str">
        <f t="shared" si="11"/>
        <v/>
      </c>
      <c r="BG202" s="153" t="str">
        <f t="shared" si="12"/>
        <v>#N/A</v>
      </c>
      <c r="BI202" s="153" t="str">
        <f t="shared" si="13"/>
        <v>#N/A</v>
      </c>
      <c r="BK202" s="153" t="str">
        <f t="shared" si="14"/>
        <v>#N/A</v>
      </c>
      <c r="BM202" s="153" t="str">
        <f t="shared" si="15"/>
        <v>#N/A</v>
      </c>
    </row>
    <row r="203" ht="15.75" customHeight="1">
      <c r="B203" s="160" t="str">
        <f t="shared" si="1"/>
        <v>#N/A</v>
      </c>
      <c r="C203" s="160" t="str">
        <f t="shared" si="2"/>
        <v>#N/A</v>
      </c>
      <c r="D203" s="160" t="str">
        <f t="shared" si="3"/>
        <v>#N/A</v>
      </c>
      <c r="E203" s="161" t="str">
        <f t="shared" si="4"/>
        <v>#N/A</v>
      </c>
      <c r="F203" s="153" t="str">
        <f t="shared" si="17"/>
        <v>#N/A</v>
      </c>
      <c r="G203" s="153" t="str">
        <f t="shared" si="6"/>
        <v>#N/A</v>
      </c>
      <c r="H203" s="156" t="str">
        <f t="array" ref="H203">INDEX('Primary - GRADING'!$A$1:$BG997,MATCH($A203,'Primary - GRADING'!$B:$B,0),59)</f>
        <v>#N/A</v>
      </c>
      <c r="I203" s="153" t="str">
        <f t="array" ref="I203">INDEX('Primary - GRADING'!$A$1:$CP997,MATCH($A203,'Primary - GRADING'!$CP:$CP,0),48)</f>
        <v>#N/A</v>
      </c>
      <c r="J203" s="153" t="str">
        <f t="array" ref="J203">INDEX('Primary - GRADING'!$A$1:$CP997,MATCH($A203,'Primary - GRADING'!$CP:$CP,0),49)</f>
        <v>#N/A</v>
      </c>
      <c r="K203" s="153" t="str">
        <f t="array" ref="K203">INDEX('Primary - GRADING'!$A$1:$CP997,MATCH($A203,'Primary - GRADING'!$CP:$CP,0),50)</f>
        <v>#N/A</v>
      </c>
      <c r="L203" s="153" t="str">
        <f t="array" ref="L203">INDEX('Primary - GRADING'!$A$1:$CP997,MATCH($A203,'Primary - GRADING'!$CP:$CP,0),51)</f>
        <v>#N/A</v>
      </c>
      <c r="M203" s="153" t="str">
        <f t="array" ref="M203">INDEX('Primary - GRADING'!$A$1:$CP997,MATCH($A203,'Primary - GRADING'!$CP:$CP,0),52)</f>
        <v>#N/A</v>
      </c>
      <c r="N203" s="153" t="str">
        <f t="array" ref="N203">INDEX('Primary - GRADING'!$A$1:$CP997,MATCH($A203,'Primary - GRADING'!$CP:$CP,0),53)</f>
        <v>#N/A</v>
      </c>
      <c r="O203" s="153" t="str">
        <f t="array" ref="O203">INDEX('Primary - GRADING'!$A$1:$CP997,MATCH($A203,'Primary - GRADING'!$CP:$CP,0),58)</f>
        <v>#N/A</v>
      </c>
      <c r="P203" s="153" t="str">
        <f t="array" ref="P203">INDEX('Primary - GRADING'!$A$1:$CP997,MATCH($A203,'Primary - GRADING'!$CP:$CP,0),5)</f>
        <v>#N/A</v>
      </c>
      <c r="Q203" s="153" t="str">
        <f t="array" ref="Q203">INDEX('Primary - GRADING'!$A$1:$CP997,MATCH($A203,'Primary - GRADING'!$CP:$CP,0),6)</f>
        <v>#N/A</v>
      </c>
      <c r="R203" s="153" t="str">
        <f t="array" ref="R203">INDEX('Primary - GRADING'!$A$1:$CP997,MATCH($A203,'Primary - GRADING'!$CP:$CP,0),7)</f>
        <v>#N/A</v>
      </c>
      <c r="S203" s="153" t="str">
        <f t="array" ref="S203">INDEX('Primary - GRADING'!$A$1:$CP997,MATCH($A203,'Primary - GRADING'!$CP:$CP,0),8)</f>
        <v>#N/A</v>
      </c>
      <c r="T203" s="153" t="str">
        <f t="array" ref="T203">INDEX('Primary - GRADING'!$A$1:$CP997,MATCH($A203,'Primary - GRADING'!$CP:$CP,0),9)</f>
        <v>#N/A</v>
      </c>
      <c r="U203" s="153" t="str">
        <f t="array" ref="U203">INDEX('Primary - GRADING'!$A$1:$CP997,MATCH($A203,'Primary - GRADING'!$CP:$CP,0),10)</f>
        <v>#N/A</v>
      </c>
      <c r="V203" s="153" t="str">
        <f t="array" ref="V203">INDEX('Primary - GRADING'!$A$1:$CP997,MATCH($A203,'Primary - GRADING'!$CP:$CP,0),18)</f>
        <v>#N/A</v>
      </c>
      <c r="W203" s="153" t="str">
        <f t="array" ref="W203">INDEX('Primary - GRADING'!$A$1:$CP997,MATCH($A203,'Primary - GRADING'!$CP:$CP,0),20)</f>
        <v>#N/A</v>
      </c>
      <c r="X203" s="153" t="str">
        <f t="array" ref="X203">INDEX('Primary - GRADING'!$A$1:$CP997,MATCH($A203,'Primary - GRADING'!$CP:$CP,0),21)</f>
        <v>#N/A</v>
      </c>
      <c r="Y203" s="153" t="str">
        <f t="array" ref="Y203">INDEX('Primary - GRADING'!$A$1:$CP997,MATCH($A203,'Primary - GRADING'!$CP:$CP,0),22)</f>
        <v>#N/A</v>
      </c>
      <c r="Z203" s="165" t="str">
        <f t="array" ref="Z203">INDEX('Primary - GRADING'!$A$1:$CP997,MATCH($A203,'Primary - GRADING'!$CP:$CP,0),23)</f>
        <v>#N/A</v>
      </c>
      <c r="AA203" s="153" t="str">
        <f t="array" ref="AA203">INDEX('Primary - GRADING'!$A$1:$CP997,MATCH($A203,'Primary - GRADING'!$CP:$CP,0),24)</f>
        <v>#N/A</v>
      </c>
      <c r="AB203" s="153" t="str">
        <f t="array" ref="AB203">INDEX('Primary - GRADING'!$A$1:$CP997,MATCH($A203,'Primary - GRADING'!$CP:$CP,0),25)</f>
        <v>#N/A</v>
      </c>
      <c r="AC203" s="153" t="str">
        <f t="array" ref="AC203">INDEX('Primary - GRADING'!$A$1:$CP997,MATCH($A203,'Primary - GRADING'!$CP:$CP,0),46)</f>
        <v>#N/A</v>
      </c>
      <c r="AG203" s="153" t="str">
        <f t="shared" si="7"/>
        <v>#N/A</v>
      </c>
      <c r="AI203" s="153" t="str">
        <f>VLOOKUP(AH203,'Primary - GRADING'!$A$4:$C997,2,)</f>
        <v>#N/A</v>
      </c>
      <c r="AJ203" s="153" t="str">
        <f>VLOOKUP(AH203,'Primary - GRADING'!$A$4:$C997,3,)</f>
        <v>#N/A</v>
      </c>
      <c r="AK203" s="153" t="str">
        <f>VLOOKUP(AH203,'Primary - GRADING'!$A$4:$BG997,59,)</f>
        <v>#N/A</v>
      </c>
      <c r="AL203" s="153" t="str">
        <f>IFS(AK203="NMA",VLOOKUP(AH203,'Primary - GRADING'!$A$4:$BG997,51,),AK203="DIRECT",VLOOKUP(AH203,'Primary - GRADING'!$A$4:$BG997,8,),AK203="INDIRECT",VLOOKUP(AH203,'Primary - GRADING'!$A$4:$BG997,23,))</f>
        <v>#N/A</v>
      </c>
      <c r="AM203" s="153" t="str">
        <f>IFS(AK203="NMA",VLOOKUP(AH203,'Primary - GRADING'!$A$4:$BG997,52,),AK203="DIRECT",VLOOKUP(AH203,'Primary - GRADING'!$A$4:$BG997,9,),AK203="INDIRECT",VLOOKUP(AH203,'Primary - GRADING'!$A$4:$BG997,24,))</f>
        <v>#N/A</v>
      </c>
      <c r="AN203" s="153" t="str">
        <f>IFS(AK203="NMA",VLOOKUP(AH203,'Primary - GRADING'!$A$4:$BG997,53,),AK203="DIRECT",VLOOKUP(AH203,'Primary - GRADING'!$A$4:$BG997,10,),AK203="INDIRECT",VLOOKUP(AH203,'Primary - GRADING'!$A$4:$BG997,25,))</f>
        <v>#N/A</v>
      </c>
      <c r="AO203" s="153" t="str">
        <f t="shared" si="8"/>
        <v>#N/A</v>
      </c>
      <c r="AT203" s="153" t="str">
        <f t="shared" si="9"/>
        <v>#N/A</v>
      </c>
      <c r="AV203" s="153" t="str">
        <f>VLOOKUP(AU203,'Primary - GRADING'!$A$4:$C997,2,)</f>
        <v>#N/A</v>
      </c>
      <c r="AW203" s="153" t="str">
        <f>VLOOKUP(AU203,'Primary - GRADING'!$A$4:$C997,3,)</f>
        <v>#N/A</v>
      </c>
      <c r="AX203" s="153" t="str">
        <f>VLOOKUP(AU203,'Primary - GRADING'!$A$4:$BG997,59,)</f>
        <v>#N/A</v>
      </c>
      <c r="AY203" s="153" t="str">
        <f>IFS(AX203="NMA",VLOOKUP(AU203,'Primary - GRADING'!$A$4:$BG997,51,),AX203="DIRECT",VLOOKUP(AU203,'Primary - GRADING'!$A$4:$BG997,8,),AX203="INDIRECT",VLOOKUP(AU203,'Primary - GRADING'!$A$4:$BG997,23,))</f>
        <v>#N/A</v>
      </c>
      <c r="AZ203" s="153" t="str">
        <f>IFS(AX203="NMA",VLOOKUP(AU203,'Primary - GRADING'!$A$4:$BG997,52,),AX203="DIRECT",VLOOKUP(AU203,'Primary - GRADING'!$A$4:$BG997,9,),AX203="INDIRECT",VLOOKUP(AU203,'Primary - GRADING'!$A$4:$BG997,24,))</f>
        <v>#N/A</v>
      </c>
      <c r="BA203" s="153" t="str">
        <f>IFS(AX203="NMA",VLOOKUP(AU203,'Primary - GRADING'!$A$4:$BG997,53,),AX203="DIRECT",VLOOKUP(AU203,'Primary - GRADING'!$A$4:$BG997,10,),AX203="INDIRECT",VLOOKUP(AU203,'Primary - GRADING'!$A$4:$BG997,25,))</f>
        <v>#N/A</v>
      </c>
      <c r="BB203" s="153" t="str">
        <f t="shared" si="10"/>
        <v>#N/A</v>
      </c>
      <c r="BE203" s="153" t="str">
        <f t="shared" si="11"/>
        <v/>
      </c>
      <c r="BG203" s="153" t="str">
        <f t="shared" si="12"/>
        <v>#N/A</v>
      </c>
      <c r="BI203" s="153" t="str">
        <f t="shared" si="13"/>
        <v>#N/A</v>
      </c>
      <c r="BK203" s="153" t="str">
        <f t="shared" si="14"/>
        <v>#N/A</v>
      </c>
      <c r="BM203" s="153" t="str">
        <f t="shared" si="15"/>
        <v>#N/A</v>
      </c>
    </row>
    <row r="204" ht="15.75" customHeight="1">
      <c r="B204" s="160" t="str">
        <f t="shared" si="1"/>
        <v>#N/A</v>
      </c>
      <c r="C204" s="160" t="str">
        <f t="shared" si="2"/>
        <v>#N/A</v>
      </c>
      <c r="D204" s="160" t="str">
        <f t="shared" si="3"/>
        <v>#N/A</v>
      </c>
      <c r="E204" s="161" t="str">
        <f t="shared" si="4"/>
        <v>#N/A</v>
      </c>
      <c r="F204" s="153" t="str">
        <f t="shared" si="17"/>
        <v>#N/A</v>
      </c>
      <c r="G204" s="153" t="str">
        <f t="shared" si="6"/>
        <v>#N/A</v>
      </c>
      <c r="H204" s="156" t="str">
        <f t="array" ref="H204">INDEX('Primary - GRADING'!$A$1:$BG997,MATCH($A204,'Primary - GRADING'!$B:$B,0),59)</f>
        <v>#N/A</v>
      </c>
      <c r="I204" s="153" t="str">
        <f t="array" ref="I204">INDEX('Primary - GRADING'!$A$1:$CP997,MATCH($A204,'Primary - GRADING'!$CP:$CP,0),48)</f>
        <v>#N/A</v>
      </c>
      <c r="J204" s="153" t="str">
        <f t="array" ref="J204">INDEX('Primary - GRADING'!$A$1:$CP997,MATCH($A204,'Primary - GRADING'!$CP:$CP,0),49)</f>
        <v>#N/A</v>
      </c>
      <c r="K204" s="153" t="str">
        <f t="array" ref="K204">INDEX('Primary - GRADING'!$A$1:$CP997,MATCH($A204,'Primary - GRADING'!$CP:$CP,0),50)</f>
        <v>#N/A</v>
      </c>
      <c r="L204" s="153" t="str">
        <f t="array" ref="L204">INDEX('Primary - GRADING'!$A$1:$CP997,MATCH($A204,'Primary - GRADING'!$CP:$CP,0),51)</f>
        <v>#N/A</v>
      </c>
      <c r="M204" s="153" t="str">
        <f t="array" ref="M204">INDEX('Primary - GRADING'!$A$1:$CP997,MATCH($A204,'Primary - GRADING'!$CP:$CP,0),52)</f>
        <v>#N/A</v>
      </c>
      <c r="N204" s="153" t="str">
        <f t="array" ref="N204">INDEX('Primary - GRADING'!$A$1:$CP997,MATCH($A204,'Primary - GRADING'!$CP:$CP,0),53)</f>
        <v>#N/A</v>
      </c>
      <c r="O204" s="153" t="str">
        <f t="array" ref="O204">INDEX('Primary - GRADING'!$A$1:$CP997,MATCH($A204,'Primary - GRADING'!$CP:$CP,0),58)</f>
        <v>#N/A</v>
      </c>
      <c r="P204" s="153" t="str">
        <f t="array" ref="P204">INDEX('Primary - GRADING'!$A$1:$CP997,MATCH($A204,'Primary - GRADING'!$CP:$CP,0),5)</f>
        <v>#N/A</v>
      </c>
      <c r="Q204" s="153" t="str">
        <f t="array" ref="Q204">INDEX('Primary - GRADING'!$A$1:$CP997,MATCH($A204,'Primary - GRADING'!$CP:$CP,0),6)</f>
        <v>#N/A</v>
      </c>
      <c r="R204" s="153" t="str">
        <f t="array" ref="R204">INDEX('Primary - GRADING'!$A$1:$CP997,MATCH($A204,'Primary - GRADING'!$CP:$CP,0),7)</f>
        <v>#N/A</v>
      </c>
      <c r="S204" s="153" t="str">
        <f t="array" ref="S204">INDEX('Primary - GRADING'!$A$1:$CP997,MATCH($A204,'Primary - GRADING'!$CP:$CP,0),8)</f>
        <v>#N/A</v>
      </c>
      <c r="T204" s="153" t="str">
        <f t="array" ref="T204">INDEX('Primary - GRADING'!$A$1:$CP997,MATCH($A204,'Primary - GRADING'!$CP:$CP,0),9)</f>
        <v>#N/A</v>
      </c>
      <c r="U204" s="153" t="str">
        <f t="array" ref="U204">INDEX('Primary - GRADING'!$A$1:$CP997,MATCH($A204,'Primary - GRADING'!$CP:$CP,0),10)</f>
        <v>#N/A</v>
      </c>
      <c r="V204" s="153" t="str">
        <f t="array" ref="V204">INDEX('Primary - GRADING'!$A$1:$CP997,MATCH($A204,'Primary - GRADING'!$CP:$CP,0),18)</f>
        <v>#N/A</v>
      </c>
      <c r="W204" s="153" t="str">
        <f t="array" ref="W204">INDEX('Primary - GRADING'!$A$1:$CP997,MATCH($A204,'Primary - GRADING'!$CP:$CP,0),20)</f>
        <v>#N/A</v>
      </c>
      <c r="X204" s="153" t="str">
        <f t="array" ref="X204">INDEX('Primary - GRADING'!$A$1:$CP997,MATCH($A204,'Primary - GRADING'!$CP:$CP,0),21)</f>
        <v>#N/A</v>
      </c>
      <c r="Y204" s="153" t="str">
        <f t="array" ref="Y204">INDEX('Primary - GRADING'!$A$1:$CP997,MATCH($A204,'Primary - GRADING'!$CP:$CP,0),22)</f>
        <v>#N/A</v>
      </c>
      <c r="Z204" s="165" t="str">
        <f t="array" ref="Z204">INDEX('Primary - GRADING'!$A$1:$CP997,MATCH($A204,'Primary - GRADING'!$CP:$CP,0),23)</f>
        <v>#N/A</v>
      </c>
      <c r="AA204" s="153" t="str">
        <f t="array" ref="AA204">INDEX('Primary - GRADING'!$A$1:$CP997,MATCH($A204,'Primary - GRADING'!$CP:$CP,0),24)</f>
        <v>#N/A</v>
      </c>
      <c r="AB204" s="153" t="str">
        <f t="array" ref="AB204">INDEX('Primary - GRADING'!$A$1:$CP997,MATCH($A204,'Primary - GRADING'!$CP:$CP,0),25)</f>
        <v>#N/A</v>
      </c>
      <c r="AC204" s="153" t="str">
        <f t="array" ref="AC204">INDEX('Primary - GRADING'!$A$1:$CP997,MATCH($A204,'Primary - GRADING'!$CP:$CP,0),46)</f>
        <v>#N/A</v>
      </c>
      <c r="AG204" s="153" t="str">
        <f t="shared" si="7"/>
        <v>#N/A</v>
      </c>
      <c r="AI204" s="153" t="str">
        <f>VLOOKUP(AH204,'Primary - GRADING'!$A$4:$C997,2,)</f>
        <v>#N/A</v>
      </c>
      <c r="AJ204" s="153" t="str">
        <f>VLOOKUP(AH204,'Primary - GRADING'!$A$4:$C997,3,)</f>
        <v>#N/A</v>
      </c>
      <c r="AK204" s="153" t="str">
        <f>VLOOKUP(AH204,'Primary - GRADING'!$A$4:$BG997,59,)</f>
        <v>#N/A</v>
      </c>
      <c r="AL204" s="153" t="str">
        <f>IFS(AK204="NMA",VLOOKUP(AH204,'Primary - GRADING'!$A$4:$BG997,51,),AK204="DIRECT",VLOOKUP(AH204,'Primary - GRADING'!$A$4:$BG997,8,),AK204="INDIRECT",VLOOKUP(AH204,'Primary - GRADING'!$A$4:$BG997,23,))</f>
        <v>#N/A</v>
      </c>
      <c r="AM204" s="153" t="str">
        <f>IFS(AK204="NMA",VLOOKUP(AH204,'Primary - GRADING'!$A$4:$BG997,52,),AK204="DIRECT",VLOOKUP(AH204,'Primary - GRADING'!$A$4:$BG997,9,),AK204="INDIRECT",VLOOKUP(AH204,'Primary - GRADING'!$A$4:$BG997,24,))</f>
        <v>#N/A</v>
      </c>
      <c r="AN204" s="153" t="str">
        <f>IFS(AK204="NMA",VLOOKUP(AH204,'Primary - GRADING'!$A$4:$BG997,53,),AK204="DIRECT",VLOOKUP(AH204,'Primary - GRADING'!$A$4:$BG997,10,),AK204="INDIRECT",VLOOKUP(AH204,'Primary - GRADING'!$A$4:$BG997,25,))</f>
        <v>#N/A</v>
      </c>
      <c r="AO204" s="153" t="str">
        <f t="shared" si="8"/>
        <v>#N/A</v>
      </c>
      <c r="AT204" s="153" t="str">
        <f t="shared" si="9"/>
        <v>#N/A</v>
      </c>
      <c r="AV204" s="153" t="str">
        <f>VLOOKUP(AU204,'Primary - GRADING'!$A$4:$C997,2,)</f>
        <v>#N/A</v>
      </c>
      <c r="AW204" s="153" t="str">
        <f>VLOOKUP(AU204,'Primary - GRADING'!$A$4:$C997,3,)</f>
        <v>#N/A</v>
      </c>
      <c r="AX204" s="153" t="str">
        <f>VLOOKUP(AU204,'Primary - GRADING'!$A$4:$BG997,59,)</f>
        <v>#N/A</v>
      </c>
      <c r="AY204" s="153" t="str">
        <f>IFS(AX204="NMA",VLOOKUP(AU204,'Primary - GRADING'!$A$4:$BG997,51,),AX204="DIRECT",VLOOKUP(AU204,'Primary - GRADING'!$A$4:$BG997,8,),AX204="INDIRECT",VLOOKUP(AU204,'Primary - GRADING'!$A$4:$BG997,23,))</f>
        <v>#N/A</v>
      </c>
      <c r="AZ204" s="153" t="str">
        <f>IFS(AX204="NMA",VLOOKUP(AU204,'Primary - GRADING'!$A$4:$BG997,52,),AX204="DIRECT",VLOOKUP(AU204,'Primary - GRADING'!$A$4:$BG997,9,),AX204="INDIRECT",VLOOKUP(AU204,'Primary - GRADING'!$A$4:$BG997,24,))</f>
        <v>#N/A</v>
      </c>
      <c r="BA204" s="153" t="str">
        <f>IFS(AX204="NMA",VLOOKUP(AU204,'Primary - GRADING'!$A$4:$BG997,53,),AX204="DIRECT",VLOOKUP(AU204,'Primary - GRADING'!$A$4:$BG997,10,),AX204="INDIRECT",VLOOKUP(AU204,'Primary - GRADING'!$A$4:$BG997,25,))</f>
        <v>#N/A</v>
      </c>
      <c r="BB204" s="153" t="str">
        <f t="shared" si="10"/>
        <v>#N/A</v>
      </c>
      <c r="BE204" s="153" t="str">
        <f t="shared" si="11"/>
        <v/>
      </c>
      <c r="BG204" s="153" t="str">
        <f t="shared" si="12"/>
        <v>#N/A</v>
      </c>
      <c r="BI204" s="153" t="str">
        <f t="shared" si="13"/>
        <v>#N/A</v>
      </c>
      <c r="BK204" s="153" t="str">
        <f t="shared" si="14"/>
        <v>#N/A</v>
      </c>
      <c r="BM204" s="153" t="str">
        <f t="shared" si="15"/>
        <v>#N/A</v>
      </c>
    </row>
    <row r="205" ht="15.75" customHeight="1">
      <c r="B205" s="160" t="str">
        <f t="shared" si="1"/>
        <v>#N/A</v>
      </c>
      <c r="C205" s="160" t="str">
        <f t="shared" si="2"/>
        <v>#N/A</v>
      </c>
      <c r="D205" s="160" t="str">
        <f t="shared" si="3"/>
        <v>#N/A</v>
      </c>
      <c r="E205" s="161" t="str">
        <f t="shared" si="4"/>
        <v>#N/A</v>
      </c>
      <c r="F205" s="153" t="str">
        <f t="shared" si="17"/>
        <v>#N/A</v>
      </c>
      <c r="G205" s="153" t="str">
        <f t="shared" si="6"/>
        <v>#N/A</v>
      </c>
      <c r="H205" s="156" t="str">
        <f t="array" ref="H205">INDEX('Primary - GRADING'!$A$1:$BG997,MATCH($A205,'Primary - GRADING'!$B:$B,0),59)</f>
        <v>#N/A</v>
      </c>
      <c r="I205" s="153" t="str">
        <f t="array" ref="I205">INDEX('Primary - GRADING'!$A$1:$CP997,MATCH($A205,'Primary - GRADING'!$CP:$CP,0),48)</f>
        <v>#N/A</v>
      </c>
      <c r="J205" s="153" t="str">
        <f t="array" ref="J205">INDEX('Primary - GRADING'!$A$1:$CP997,MATCH($A205,'Primary - GRADING'!$CP:$CP,0),49)</f>
        <v>#N/A</v>
      </c>
      <c r="K205" s="153" t="str">
        <f t="array" ref="K205">INDEX('Primary - GRADING'!$A$1:$CP997,MATCH($A205,'Primary - GRADING'!$CP:$CP,0),50)</f>
        <v>#N/A</v>
      </c>
      <c r="L205" s="153" t="str">
        <f t="array" ref="L205">INDEX('Primary - GRADING'!$A$1:$CP997,MATCH($A205,'Primary - GRADING'!$CP:$CP,0),51)</f>
        <v>#N/A</v>
      </c>
      <c r="M205" s="153" t="str">
        <f t="array" ref="M205">INDEX('Primary - GRADING'!$A$1:$CP997,MATCH($A205,'Primary - GRADING'!$CP:$CP,0),52)</f>
        <v>#N/A</v>
      </c>
      <c r="N205" s="153" t="str">
        <f t="array" ref="N205">INDEX('Primary - GRADING'!$A$1:$CP997,MATCH($A205,'Primary - GRADING'!$CP:$CP,0),53)</f>
        <v>#N/A</v>
      </c>
      <c r="O205" s="153" t="str">
        <f t="array" ref="O205">INDEX('Primary - GRADING'!$A$1:$CP997,MATCH($A205,'Primary - GRADING'!$CP:$CP,0),58)</f>
        <v>#N/A</v>
      </c>
      <c r="P205" s="153" t="str">
        <f t="array" ref="P205">INDEX('Primary - GRADING'!$A$1:$CP997,MATCH($A205,'Primary - GRADING'!$CP:$CP,0),5)</f>
        <v>#N/A</v>
      </c>
      <c r="Q205" s="153" t="str">
        <f t="array" ref="Q205">INDEX('Primary - GRADING'!$A$1:$CP997,MATCH($A205,'Primary - GRADING'!$CP:$CP,0),6)</f>
        <v>#N/A</v>
      </c>
      <c r="R205" s="153" t="str">
        <f t="array" ref="R205">INDEX('Primary - GRADING'!$A$1:$CP997,MATCH($A205,'Primary - GRADING'!$CP:$CP,0),7)</f>
        <v>#N/A</v>
      </c>
      <c r="S205" s="153" t="str">
        <f t="array" ref="S205">INDEX('Primary - GRADING'!$A$1:$CP997,MATCH($A205,'Primary - GRADING'!$CP:$CP,0),8)</f>
        <v>#N/A</v>
      </c>
      <c r="T205" s="153" t="str">
        <f t="array" ref="T205">INDEX('Primary - GRADING'!$A$1:$CP997,MATCH($A205,'Primary - GRADING'!$CP:$CP,0),9)</f>
        <v>#N/A</v>
      </c>
      <c r="U205" s="153" t="str">
        <f t="array" ref="U205">INDEX('Primary - GRADING'!$A$1:$CP997,MATCH($A205,'Primary - GRADING'!$CP:$CP,0),10)</f>
        <v>#N/A</v>
      </c>
      <c r="V205" s="153" t="str">
        <f t="array" ref="V205">INDEX('Primary - GRADING'!$A$1:$CP997,MATCH($A205,'Primary - GRADING'!$CP:$CP,0),18)</f>
        <v>#N/A</v>
      </c>
      <c r="W205" s="153" t="str">
        <f t="array" ref="W205">INDEX('Primary - GRADING'!$A$1:$CP997,MATCH($A205,'Primary - GRADING'!$CP:$CP,0),20)</f>
        <v>#N/A</v>
      </c>
      <c r="X205" s="153" t="str">
        <f t="array" ref="X205">INDEX('Primary - GRADING'!$A$1:$CP997,MATCH($A205,'Primary - GRADING'!$CP:$CP,0),21)</f>
        <v>#N/A</v>
      </c>
      <c r="Y205" s="153" t="str">
        <f t="array" ref="Y205">INDEX('Primary - GRADING'!$A$1:$CP997,MATCH($A205,'Primary - GRADING'!$CP:$CP,0),22)</f>
        <v>#N/A</v>
      </c>
      <c r="Z205" s="165" t="str">
        <f t="array" ref="Z205">INDEX('Primary - GRADING'!$A$1:$CP997,MATCH($A205,'Primary - GRADING'!$CP:$CP,0),23)</f>
        <v>#N/A</v>
      </c>
      <c r="AA205" s="153" t="str">
        <f t="array" ref="AA205">INDEX('Primary - GRADING'!$A$1:$CP997,MATCH($A205,'Primary - GRADING'!$CP:$CP,0),24)</f>
        <v>#N/A</v>
      </c>
      <c r="AB205" s="153" t="str">
        <f t="array" ref="AB205">INDEX('Primary - GRADING'!$A$1:$CP997,MATCH($A205,'Primary - GRADING'!$CP:$CP,0),25)</f>
        <v>#N/A</v>
      </c>
      <c r="AC205" s="153" t="str">
        <f t="array" ref="AC205">INDEX('Primary - GRADING'!$A$1:$CP997,MATCH($A205,'Primary - GRADING'!$CP:$CP,0),46)</f>
        <v>#N/A</v>
      </c>
      <c r="AG205" s="153" t="str">
        <f t="shared" si="7"/>
        <v>#N/A</v>
      </c>
      <c r="AI205" s="153" t="str">
        <f>VLOOKUP(AH205,'Primary - GRADING'!$A$4:$C997,2,)</f>
        <v>#N/A</v>
      </c>
      <c r="AJ205" s="153" t="str">
        <f>VLOOKUP(AH205,'Primary - GRADING'!$A$4:$C997,3,)</f>
        <v>#N/A</v>
      </c>
      <c r="AK205" s="153" t="str">
        <f>VLOOKUP(AH205,'Primary - GRADING'!$A$4:$BG997,59,)</f>
        <v>#N/A</v>
      </c>
      <c r="AL205" s="153" t="str">
        <f>IFS(AK205="NMA",VLOOKUP(AH205,'Primary - GRADING'!$A$4:$BG997,51,),AK205="DIRECT",VLOOKUP(AH205,'Primary - GRADING'!$A$4:$BG997,8,),AK205="INDIRECT",VLOOKUP(AH205,'Primary - GRADING'!$A$4:$BG997,23,))</f>
        <v>#N/A</v>
      </c>
      <c r="AM205" s="153" t="str">
        <f>IFS(AK205="NMA",VLOOKUP(AH205,'Primary - GRADING'!$A$4:$BG997,52,),AK205="DIRECT",VLOOKUP(AH205,'Primary - GRADING'!$A$4:$BG997,9,),AK205="INDIRECT",VLOOKUP(AH205,'Primary - GRADING'!$A$4:$BG997,24,))</f>
        <v>#N/A</v>
      </c>
      <c r="AN205" s="153" t="str">
        <f>IFS(AK205="NMA",VLOOKUP(AH205,'Primary - GRADING'!$A$4:$BG997,53,),AK205="DIRECT",VLOOKUP(AH205,'Primary - GRADING'!$A$4:$BG997,10,),AK205="INDIRECT",VLOOKUP(AH205,'Primary - GRADING'!$A$4:$BG997,25,))</f>
        <v>#N/A</v>
      </c>
      <c r="AO205" s="153" t="str">
        <f t="shared" si="8"/>
        <v>#N/A</v>
      </c>
      <c r="AT205" s="153" t="str">
        <f t="shared" si="9"/>
        <v>#N/A</v>
      </c>
      <c r="AV205" s="153" t="str">
        <f>VLOOKUP(AU205,'Primary - GRADING'!$A$4:$C997,2,)</f>
        <v>#N/A</v>
      </c>
      <c r="AW205" s="153" t="str">
        <f>VLOOKUP(AU205,'Primary - GRADING'!$A$4:$C997,3,)</f>
        <v>#N/A</v>
      </c>
      <c r="AX205" s="153" t="str">
        <f>VLOOKUP(AU205,'Primary - GRADING'!$A$4:$BG997,59,)</f>
        <v>#N/A</v>
      </c>
      <c r="AY205" s="153" t="str">
        <f>IFS(AX205="NMA",VLOOKUP(AU205,'Primary - GRADING'!$A$4:$BG997,51,),AX205="DIRECT",VLOOKUP(AU205,'Primary - GRADING'!$A$4:$BG997,8,),AX205="INDIRECT",VLOOKUP(AU205,'Primary - GRADING'!$A$4:$BG997,23,))</f>
        <v>#N/A</v>
      </c>
      <c r="AZ205" s="153" t="str">
        <f>IFS(AX205="NMA",VLOOKUP(AU205,'Primary - GRADING'!$A$4:$BG997,52,),AX205="DIRECT",VLOOKUP(AU205,'Primary - GRADING'!$A$4:$BG997,9,),AX205="INDIRECT",VLOOKUP(AU205,'Primary - GRADING'!$A$4:$BG997,24,))</f>
        <v>#N/A</v>
      </c>
      <c r="BA205" s="153" t="str">
        <f>IFS(AX205="NMA",VLOOKUP(AU205,'Primary - GRADING'!$A$4:$BG997,53,),AX205="DIRECT",VLOOKUP(AU205,'Primary - GRADING'!$A$4:$BG997,10,),AX205="INDIRECT",VLOOKUP(AU205,'Primary - GRADING'!$A$4:$BG997,25,))</f>
        <v>#N/A</v>
      </c>
      <c r="BB205" s="153" t="str">
        <f t="shared" si="10"/>
        <v>#N/A</v>
      </c>
      <c r="BE205" s="153" t="str">
        <f t="shared" si="11"/>
        <v/>
      </c>
      <c r="BG205" s="153" t="str">
        <f t="shared" si="12"/>
        <v>#N/A</v>
      </c>
      <c r="BI205" s="153" t="str">
        <f t="shared" si="13"/>
        <v>#N/A</v>
      </c>
      <c r="BK205" s="153" t="str">
        <f t="shared" si="14"/>
        <v>#N/A</v>
      </c>
      <c r="BM205" s="153" t="str">
        <f t="shared" si="15"/>
        <v>#N/A</v>
      </c>
    </row>
    <row r="206" ht="15.75" customHeight="1">
      <c r="B206" s="160" t="str">
        <f t="shared" si="1"/>
        <v>#N/A</v>
      </c>
      <c r="C206" s="160" t="str">
        <f t="shared" si="2"/>
        <v>#N/A</v>
      </c>
      <c r="D206" s="160" t="str">
        <f t="shared" si="3"/>
        <v>#N/A</v>
      </c>
      <c r="E206" s="161" t="str">
        <f t="shared" si="4"/>
        <v>#N/A</v>
      </c>
      <c r="F206" s="153" t="str">
        <f t="shared" si="17"/>
        <v>#N/A</v>
      </c>
      <c r="G206" s="153" t="str">
        <f t="shared" si="6"/>
        <v>#N/A</v>
      </c>
      <c r="H206" s="156" t="str">
        <f t="array" ref="H206">INDEX('Primary - GRADING'!$A$1:$BG997,MATCH($A206,'Primary - GRADING'!$B:$B,0),59)</f>
        <v>#N/A</v>
      </c>
      <c r="I206" s="153" t="str">
        <f t="array" ref="I206">INDEX('Primary - GRADING'!$A$1:$CP997,MATCH($A206,'Primary - GRADING'!$CP:$CP,0),48)</f>
        <v>#N/A</v>
      </c>
      <c r="J206" s="153" t="str">
        <f t="array" ref="J206">INDEX('Primary - GRADING'!$A$1:$CP997,MATCH($A206,'Primary - GRADING'!$CP:$CP,0),49)</f>
        <v>#N/A</v>
      </c>
      <c r="K206" s="153" t="str">
        <f t="array" ref="K206">INDEX('Primary - GRADING'!$A$1:$CP997,MATCH($A206,'Primary - GRADING'!$CP:$CP,0),50)</f>
        <v>#N/A</v>
      </c>
      <c r="L206" s="153" t="str">
        <f t="array" ref="L206">INDEX('Primary - GRADING'!$A$1:$CP997,MATCH($A206,'Primary - GRADING'!$CP:$CP,0),51)</f>
        <v>#N/A</v>
      </c>
      <c r="M206" s="153" t="str">
        <f t="array" ref="M206">INDEX('Primary - GRADING'!$A$1:$CP997,MATCH($A206,'Primary - GRADING'!$CP:$CP,0),52)</f>
        <v>#N/A</v>
      </c>
      <c r="N206" s="153" t="str">
        <f t="array" ref="N206">INDEX('Primary - GRADING'!$A$1:$CP997,MATCH($A206,'Primary - GRADING'!$CP:$CP,0),53)</f>
        <v>#N/A</v>
      </c>
      <c r="O206" s="153" t="str">
        <f t="array" ref="O206">INDEX('Primary - GRADING'!$A$1:$CP997,MATCH($A206,'Primary - GRADING'!$CP:$CP,0),58)</f>
        <v>#N/A</v>
      </c>
      <c r="P206" s="153" t="str">
        <f t="array" ref="P206">INDEX('Primary - GRADING'!$A$1:$CP997,MATCH($A206,'Primary - GRADING'!$CP:$CP,0),5)</f>
        <v>#N/A</v>
      </c>
      <c r="Q206" s="153" t="str">
        <f t="array" ref="Q206">INDEX('Primary - GRADING'!$A$1:$CP997,MATCH($A206,'Primary - GRADING'!$CP:$CP,0),6)</f>
        <v>#N/A</v>
      </c>
      <c r="R206" s="153" t="str">
        <f t="array" ref="R206">INDEX('Primary - GRADING'!$A$1:$CP997,MATCH($A206,'Primary - GRADING'!$CP:$CP,0),7)</f>
        <v>#N/A</v>
      </c>
      <c r="S206" s="153" t="str">
        <f t="array" ref="S206">INDEX('Primary - GRADING'!$A$1:$CP997,MATCH($A206,'Primary - GRADING'!$CP:$CP,0),8)</f>
        <v>#N/A</v>
      </c>
      <c r="T206" s="153" t="str">
        <f t="array" ref="T206">INDEX('Primary - GRADING'!$A$1:$CP997,MATCH($A206,'Primary - GRADING'!$CP:$CP,0),9)</f>
        <v>#N/A</v>
      </c>
      <c r="U206" s="153" t="str">
        <f t="array" ref="U206">INDEX('Primary - GRADING'!$A$1:$CP997,MATCH($A206,'Primary - GRADING'!$CP:$CP,0),10)</f>
        <v>#N/A</v>
      </c>
      <c r="V206" s="153" t="str">
        <f t="array" ref="V206">INDEX('Primary - GRADING'!$A$1:$CP997,MATCH($A206,'Primary - GRADING'!$CP:$CP,0),18)</f>
        <v>#N/A</v>
      </c>
      <c r="W206" s="153" t="str">
        <f t="array" ref="W206">INDEX('Primary - GRADING'!$A$1:$CP997,MATCH($A206,'Primary - GRADING'!$CP:$CP,0),20)</f>
        <v>#N/A</v>
      </c>
      <c r="X206" s="153" t="str">
        <f t="array" ref="X206">INDEX('Primary - GRADING'!$A$1:$CP997,MATCH($A206,'Primary - GRADING'!$CP:$CP,0),21)</f>
        <v>#N/A</v>
      </c>
      <c r="Y206" s="153" t="str">
        <f t="array" ref="Y206">INDEX('Primary - GRADING'!$A$1:$CP997,MATCH($A206,'Primary - GRADING'!$CP:$CP,0),22)</f>
        <v>#N/A</v>
      </c>
      <c r="Z206" s="165" t="str">
        <f t="array" ref="Z206">INDEX('Primary - GRADING'!$A$1:$CP997,MATCH($A206,'Primary - GRADING'!$CP:$CP,0),23)</f>
        <v>#N/A</v>
      </c>
      <c r="AA206" s="153" t="str">
        <f t="array" ref="AA206">INDEX('Primary - GRADING'!$A$1:$CP997,MATCH($A206,'Primary - GRADING'!$CP:$CP,0),24)</f>
        <v>#N/A</v>
      </c>
      <c r="AB206" s="153" t="str">
        <f t="array" ref="AB206">INDEX('Primary - GRADING'!$A$1:$CP997,MATCH($A206,'Primary - GRADING'!$CP:$CP,0),25)</f>
        <v>#N/A</v>
      </c>
      <c r="AC206" s="153" t="str">
        <f t="array" ref="AC206">INDEX('Primary - GRADING'!$A$1:$CP997,MATCH($A206,'Primary - GRADING'!$CP:$CP,0),46)</f>
        <v>#N/A</v>
      </c>
      <c r="AG206" s="153" t="str">
        <f t="shared" si="7"/>
        <v>#N/A</v>
      </c>
      <c r="AI206" s="153" t="str">
        <f>VLOOKUP(AH206,'Primary - GRADING'!$A$4:$C997,2,)</f>
        <v>#N/A</v>
      </c>
      <c r="AJ206" s="153" t="str">
        <f>VLOOKUP(AH206,'Primary - GRADING'!$A$4:$C997,3,)</f>
        <v>#N/A</v>
      </c>
      <c r="AK206" s="153" t="str">
        <f>VLOOKUP(AH206,'Primary - GRADING'!$A$4:$BG997,59,)</f>
        <v>#N/A</v>
      </c>
      <c r="AL206" s="153" t="str">
        <f>IFS(AK206="NMA",VLOOKUP(AH206,'Primary - GRADING'!$A$4:$BG997,51,),AK206="DIRECT",VLOOKUP(AH206,'Primary - GRADING'!$A$4:$BG997,8,),AK206="INDIRECT",VLOOKUP(AH206,'Primary - GRADING'!$A$4:$BG997,23,))</f>
        <v>#N/A</v>
      </c>
      <c r="AM206" s="153" t="str">
        <f>IFS(AK206="NMA",VLOOKUP(AH206,'Primary - GRADING'!$A$4:$BG997,52,),AK206="DIRECT",VLOOKUP(AH206,'Primary - GRADING'!$A$4:$BG997,9,),AK206="INDIRECT",VLOOKUP(AH206,'Primary - GRADING'!$A$4:$BG997,24,))</f>
        <v>#N/A</v>
      </c>
      <c r="AN206" s="153" t="str">
        <f>IFS(AK206="NMA",VLOOKUP(AH206,'Primary - GRADING'!$A$4:$BG997,53,),AK206="DIRECT",VLOOKUP(AH206,'Primary - GRADING'!$A$4:$BG997,10,),AK206="INDIRECT",VLOOKUP(AH206,'Primary - GRADING'!$A$4:$BG997,25,))</f>
        <v>#N/A</v>
      </c>
      <c r="AO206" s="153" t="str">
        <f t="shared" si="8"/>
        <v>#N/A</v>
      </c>
      <c r="AT206" s="153" t="str">
        <f t="shared" si="9"/>
        <v>#N/A</v>
      </c>
      <c r="AV206" s="153" t="str">
        <f>VLOOKUP(AU206,'Primary - GRADING'!$A$4:$C997,2,)</f>
        <v>#N/A</v>
      </c>
      <c r="AW206" s="153" t="str">
        <f>VLOOKUP(AU206,'Primary - GRADING'!$A$4:$C997,3,)</f>
        <v>#N/A</v>
      </c>
      <c r="AX206" s="153" t="str">
        <f>VLOOKUP(AU206,'Primary - GRADING'!$A$4:$BG997,59,)</f>
        <v>#N/A</v>
      </c>
      <c r="AY206" s="153" t="str">
        <f>IFS(AX206="NMA",VLOOKUP(AU206,'Primary - GRADING'!$A$4:$BG997,51,),AX206="DIRECT",VLOOKUP(AU206,'Primary - GRADING'!$A$4:$BG997,8,),AX206="INDIRECT",VLOOKUP(AU206,'Primary - GRADING'!$A$4:$BG997,23,))</f>
        <v>#N/A</v>
      </c>
      <c r="AZ206" s="153" t="str">
        <f>IFS(AX206="NMA",VLOOKUP(AU206,'Primary - GRADING'!$A$4:$BG997,52,),AX206="DIRECT",VLOOKUP(AU206,'Primary - GRADING'!$A$4:$BG997,9,),AX206="INDIRECT",VLOOKUP(AU206,'Primary - GRADING'!$A$4:$BG997,24,))</f>
        <v>#N/A</v>
      </c>
      <c r="BA206" s="153" t="str">
        <f>IFS(AX206="NMA",VLOOKUP(AU206,'Primary - GRADING'!$A$4:$BG997,53,),AX206="DIRECT",VLOOKUP(AU206,'Primary - GRADING'!$A$4:$BG997,10,),AX206="INDIRECT",VLOOKUP(AU206,'Primary - GRADING'!$A$4:$BG997,25,))</f>
        <v>#N/A</v>
      </c>
      <c r="BB206" s="153" t="str">
        <f t="shared" si="10"/>
        <v>#N/A</v>
      </c>
      <c r="BE206" s="153" t="str">
        <f t="shared" si="11"/>
        <v/>
      </c>
      <c r="BG206" s="153" t="str">
        <f t="shared" si="12"/>
        <v>#N/A</v>
      </c>
      <c r="BI206" s="153" t="str">
        <f t="shared" si="13"/>
        <v>#N/A</v>
      </c>
      <c r="BK206" s="153" t="str">
        <f t="shared" si="14"/>
        <v>#N/A</v>
      </c>
      <c r="BM206" s="153" t="str">
        <f t="shared" si="15"/>
        <v>#N/A</v>
      </c>
    </row>
    <row r="207" ht="15.75" customHeight="1">
      <c r="B207" s="160" t="str">
        <f t="shared" si="1"/>
        <v>#N/A</v>
      </c>
      <c r="C207" s="160" t="str">
        <f t="shared" si="2"/>
        <v>#N/A</v>
      </c>
      <c r="D207" s="160" t="str">
        <f t="shared" si="3"/>
        <v>#N/A</v>
      </c>
      <c r="E207" s="161" t="str">
        <f t="shared" si="4"/>
        <v>#N/A</v>
      </c>
      <c r="F207" s="153" t="str">
        <f t="shared" si="17"/>
        <v>#N/A</v>
      </c>
      <c r="G207" s="153" t="str">
        <f t="shared" si="6"/>
        <v>#N/A</v>
      </c>
      <c r="H207" s="156" t="str">
        <f t="array" ref="H207">INDEX('Primary - GRADING'!$A$1:$BG997,MATCH($A207,'Primary - GRADING'!$B:$B,0),59)</f>
        <v>#N/A</v>
      </c>
      <c r="I207" s="153" t="str">
        <f t="array" ref="I207">INDEX('Primary - GRADING'!$A$1:$CP997,MATCH($A207,'Primary - GRADING'!$CP:$CP,0),48)</f>
        <v>#N/A</v>
      </c>
      <c r="J207" s="153" t="str">
        <f t="array" ref="J207">INDEX('Primary - GRADING'!$A$1:$CP997,MATCH($A207,'Primary - GRADING'!$CP:$CP,0),49)</f>
        <v>#N/A</v>
      </c>
      <c r="K207" s="153" t="str">
        <f t="array" ref="K207">INDEX('Primary - GRADING'!$A$1:$CP997,MATCH($A207,'Primary - GRADING'!$CP:$CP,0),50)</f>
        <v>#N/A</v>
      </c>
      <c r="L207" s="153" t="str">
        <f t="array" ref="L207">INDEX('Primary - GRADING'!$A$1:$CP997,MATCH($A207,'Primary - GRADING'!$CP:$CP,0),51)</f>
        <v>#N/A</v>
      </c>
      <c r="M207" s="153" t="str">
        <f t="array" ref="M207">INDEX('Primary - GRADING'!$A$1:$CP997,MATCH($A207,'Primary - GRADING'!$CP:$CP,0),52)</f>
        <v>#N/A</v>
      </c>
      <c r="N207" s="153" t="str">
        <f t="array" ref="N207">INDEX('Primary - GRADING'!$A$1:$CP997,MATCH($A207,'Primary - GRADING'!$CP:$CP,0),53)</f>
        <v>#N/A</v>
      </c>
      <c r="O207" s="153" t="str">
        <f t="array" ref="O207">INDEX('Primary - GRADING'!$A$1:$CP997,MATCH($A207,'Primary - GRADING'!$CP:$CP,0),58)</f>
        <v>#N/A</v>
      </c>
      <c r="P207" s="153" t="str">
        <f t="array" ref="P207">INDEX('Primary - GRADING'!$A$1:$CP997,MATCH($A207,'Primary - GRADING'!$CP:$CP,0),5)</f>
        <v>#N/A</v>
      </c>
      <c r="Q207" s="153" t="str">
        <f t="array" ref="Q207">INDEX('Primary - GRADING'!$A$1:$CP997,MATCH($A207,'Primary - GRADING'!$CP:$CP,0),6)</f>
        <v>#N/A</v>
      </c>
      <c r="R207" s="153" t="str">
        <f t="array" ref="R207">INDEX('Primary - GRADING'!$A$1:$CP997,MATCH($A207,'Primary - GRADING'!$CP:$CP,0),7)</f>
        <v>#N/A</v>
      </c>
      <c r="S207" s="153" t="str">
        <f t="array" ref="S207">INDEX('Primary - GRADING'!$A$1:$CP997,MATCH($A207,'Primary - GRADING'!$CP:$CP,0),8)</f>
        <v>#N/A</v>
      </c>
      <c r="T207" s="153" t="str">
        <f t="array" ref="T207">INDEX('Primary - GRADING'!$A$1:$CP997,MATCH($A207,'Primary - GRADING'!$CP:$CP,0),9)</f>
        <v>#N/A</v>
      </c>
      <c r="U207" s="153" t="str">
        <f t="array" ref="U207">INDEX('Primary - GRADING'!$A$1:$CP997,MATCH($A207,'Primary - GRADING'!$CP:$CP,0),10)</f>
        <v>#N/A</v>
      </c>
      <c r="V207" s="153" t="str">
        <f t="array" ref="V207">INDEX('Primary - GRADING'!$A$1:$CP997,MATCH($A207,'Primary - GRADING'!$CP:$CP,0),18)</f>
        <v>#N/A</v>
      </c>
      <c r="W207" s="153" t="str">
        <f t="array" ref="W207">INDEX('Primary - GRADING'!$A$1:$CP997,MATCH($A207,'Primary - GRADING'!$CP:$CP,0),20)</f>
        <v>#N/A</v>
      </c>
      <c r="X207" s="153" t="str">
        <f t="array" ref="X207">INDEX('Primary - GRADING'!$A$1:$CP997,MATCH($A207,'Primary - GRADING'!$CP:$CP,0),21)</f>
        <v>#N/A</v>
      </c>
      <c r="Y207" s="153" t="str">
        <f t="array" ref="Y207">INDEX('Primary - GRADING'!$A$1:$CP997,MATCH($A207,'Primary - GRADING'!$CP:$CP,0),22)</f>
        <v>#N/A</v>
      </c>
      <c r="Z207" s="165" t="str">
        <f t="array" ref="Z207">INDEX('Primary - GRADING'!$A$1:$CP997,MATCH($A207,'Primary - GRADING'!$CP:$CP,0),23)</f>
        <v>#N/A</v>
      </c>
      <c r="AA207" s="153" t="str">
        <f t="array" ref="AA207">INDEX('Primary - GRADING'!$A$1:$CP997,MATCH($A207,'Primary - GRADING'!$CP:$CP,0),24)</f>
        <v>#N/A</v>
      </c>
      <c r="AB207" s="153" t="str">
        <f t="array" ref="AB207">INDEX('Primary - GRADING'!$A$1:$CP997,MATCH($A207,'Primary - GRADING'!$CP:$CP,0),25)</f>
        <v>#N/A</v>
      </c>
      <c r="AC207" s="153" t="str">
        <f t="array" ref="AC207">INDEX('Primary - GRADING'!$A$1:$CP997,MATCH($A207,'Primary - GRADING'!$CP:$CP,0),46)</f>
        <v>#N/A</v>
      </c>
      <c r="AG207" s="153" t="str">
        <f t="shared" si="7"/>
        <v>#N/A</v>
      </c>
      <c r="AI207" s="153" t="str">
        <f>VLOOKUP(AH207,'Primary - GRADING'!$A$4:$C997,2,)</f>
        <v>#N/A</v>
      </c>
      <c r="AJ207" s="153" t="str">
        <f>VLOOKUP(AH207,'Primary - GRADING'!$A$4:$C997,3,)</f>
        <v>#N/A</v>
      </c>
      <c r="AK207" s="153" t="str">
        <f>VLOOKUP(AH207,'Primary - GRADING'!$A$4:$BG997,59,)</f>
        <v>#N/A</v>
      </c>
      <c r="AL207" s="153" t="str">
        <f>IFS(AK207="NMA",VLOOKUP(AH207,'Primary - GRADING'!$A$4:$BG997,51,),AK207="DIRECT",VLOOKUP(AH207,'Primary - GRADING'!$A$4:$BG997,8,),AK207="INDIRECT",VLOOKUP(AH207,'Primary - GRADING'!$A$4:$BG997,23,))</f>
        <v>#N/A</v>
      </c>
      <c r="AM207" s="153" t="str">
        <f>IFS(AK207="NMA",VLOOKUP(AH207,'Primary - GRADING'!$A$4:$BG997,52,),AK207="DIRECT",VLOOKUP(AH207,'Primary - GRADING'!$A$4:$BG997,9,),AK207="INDIRECT",VLOOKUP(AH207,'Primary - GRADING'!$A$4:$BG997,24,))</f>
        <v>#N/A</v>
      </c>
      <c r="AN207" s="153" t="str">
        <f>IFS(AK207="NMA",VLOOKUP(AH207,'Primary - GRADING'!$A$4:$BG997,53,),AK207="DIRECT",VLOOKUP(AH207,'Primary - GRADING'!$A$4:$BG997,10,),AK207="INDIRECT",VLOOKUP(AH207,'Primary - GRADING'!$A$4:$BG997,25,))</f>
        <v>#N/A</v>
      </c>
      <c r="AO207" s="153" t="str">
        <f t="shared" si="8"/>
        <v>#N/A</v>
      </c>
      <c r="AT207" s="153" t="str">
        <f t="shared" si="9"/>
        <v>#N/A</v>
      </c>
      <c r="AV207" s="153" t="str">
        <f>VLOOKUP(AU207,'Primary - GRADING'!$A$4:$C997,2,)</f>
        <v>#N/A</v>
      </c>
      <c r="AW207" s="153" t="str">
        <f>VLOOKUP(AU207,'Primary - GRADING'!$A$4:$C997,3,)</f>
        <v>#N/A</v>
      </c>
      <c r="AX207" s="153" t="str">
        <f>VLOOKUP(AU207,'Primary - GRADING'!$A$4:$BG997,59,)</f>
        <v>#N/A</v>
      </c>
      <c r="AY207" s="153" t="str">
        <f>IFS(AX207="NMA",VLOOKUP(AU207,'Primary - GRADING'!$A$4:$BG997,51,),AX207="DIRECT",VLOOKUP(AU207,'Primary - GRADING'!$A$4:$BG997,8,),AX207="INDIRECT",VLOOKUP(AU207,'Primary - GRADING'!$A$4:$BG997,23,))</f>
        <v>#N/A</v>
      </c>
      <c r="AZ207" s="153" t="str">
        <f>IFS(AX207="NMA",VLOOKUP(AU207,'Primary - GRADING'!$A$4:$BG997,52,),AX207="DIRECT",VLOOKUP(AU207,'Primary - GRADING'!$A$4:$BG997,9,),AX207="INDIRECT",VLOOKUP(AU207,'Primary - GRADING'!$A$4:$BG997,24,))</f>
        <v>#N/A</v>
      </c>
      <c r="BA207" s="153" t="str">
        <f>IFS(AX207="NMA",VLOOKUP(AU207,'Primary - GRADING'!$A$4:$BG997,53,),AX207="DIRECT",VLOOKUP(AU207,'Primary - GRADING'!$A$4:$BG997,10,),AX207="INDIRECT",VLOOKUP(AU207,'Primary - GRADING'!$A$4:$BG997,25,))</f>
        <v>#N/A</v>
      </c>
      <c r="BB207" s="153" t="str">
        <f t="shared" si="10"/>
        <v>#N/A</v>
      </c>
      <c r="BE207" s="153" t="str">
        <f t="shared" si="11"/>
        <v/>
      </c>
      <c r="BG207" s="153" t="str">
        <f t="shared" si="12"/>
        <v>#N/A</v>
      </c>
      <c r="BI207" s="153" t="str">
        <f t="shared" si="13"/>
        <v>#N/A</v>
      </c>
      <c r="BK207" s="153" t="str">
        <f t="shared" si="14"/>
        <v>#N/A</v>
      </c>
      <c r="BM207" s="153" t="str">
        <f t="shared" si="15"/>
        <v>#N/A</v>
      </c>
    </row>
    <row r="208" ht="15.75" customHeight="1">
      <c r="B208" s="160" t="str">
        <f t="shared" si="1"/>
        <v>#N/A</v>
      </c>
      <c r="C208" s="160" t="str">
        <f t="shared" si="2"/>
        <v>#N/A</v>
      </c>
      <c r="D208" s="160" t="str">
        <f t="shared" si="3"/>
        <v>#N/A</v>
      </c>
      <c r="E208" s="161" t="str">
        <f t="shared" si="4"/>
        <v>#N/A</v>
      </c>
      <c r="F208" s="153" t="str">
        <f t="shared" si="17"/>
        <v>#N/A</v>
      </c>
      <c r="G208" s="153" t="str">
        <f t="shared" si="6"/>
        <v>#N/A</v>
      </c>
      <c r="H208" s="156" t="str">
        <f t="array" ref="H208">INDEX('Primary - GRADING'!$A$1:$BG997,MATCH($A208,'Primary - GRADING'!$B:$B,0),59)</f>
        <v>#N/A</v>
      </c>
      <c r="I208" s="153" t="str">
        <f t="array" ref="I208">INDEX('Primary - GRADING'!$A$1:$CP997,MATCH($A208,'Primary - GRADING'!$CP:$CP,0),48)</f>
        <v>#N/A</v>
      </c>
      <c r="J208" s="153" t="str">
        <f t="array" ref="J208">INDEX('Primary - GRADING'!$A$1:$CP997,MATCH($A208,'Primary - GRADING'!$CP:$CP,0),49)</f>
        <v>#N/A</v>
      </c>
      <c r="K208" s="153" t="str">
        <f t="array" ref="K208">INDEX('Primary - GRADING'!$A$1:$CP997,MATCH($A208,'Primary - GRADING'!$CP:$CP,0),50)</f>
        <v>#N/A</v>
      </c>
      <c r="L208" s="153" t="str">
        <f t="array" ref="L208">INDEX('Primary - GRADING'!$A$1:$CP997,MATCH($A208,'Primary - GRADING'!$CP:$CP,0),51)</f>
        <v>#N/A</v>
      </c>
      <c r="M208" s="153" t="str">
        <f t="array" ref="M208">INDEX('Primary - GRADING'!$A$1:$CP997,MATCH($A208,'Primary - GRADING'!$CP:$CP,0),52)</f>
        <v>#N/A</v>
      </c>
      <c r="N208" s="153" t="str">
        <f t="array" ref="N208">INDEX('Primary - GRADING'!$A$1:$CP997,MATCH($A208,'Primary - GRADING'!$CP:$CP,0),53)</f>
        <v>#N/A</v>
      </c>
      <c r="O208" s="153" t="str">
        <f t="array" ref="O208">INDEX('Primary - GRADING'!$A$1:$CP997,MATCH($A208,'Primary - GRADING'!$CP:$CP,0),58)</f>
        <v>#N/A</v>
      </c>
      <c r="P208" s="153" t="str">
        <f t="array" ref="P208">INDEX('Primary - GRADING'!$A$1:$CP997,MATCH($A208,'Primary - GRADING'!$CP:$CP,0),5)</f>
        <v>#N/A</v>
      </c>
      <c r="Q208" s="153" t="str">
        <f t="array" ref="Q208">INDEX('Primary - GRADING'!$A$1:$CP997,MATCH($A208,'Primary - GRADING'!$CP:$CP,0),6)</f>
        <v>#N/A</v>
      </c>
      <c r="R208" s="153" t="str">
        <f t="array" ref="R208">INDEX('Primary - GRADING'!$A$1:$CP997,MATCH($A208,'Primary - GRADING'!$CP:$CP,0),7)</f>
        <v>#N/A</v>
      </c>
      <c r="S208" s="153" t="str">
        <f t="array" ref="S208">INDEX('Primary - GRADING'!$A$1:$CP997,MATCH($A208,'Primary - GRADING'!$CP:$CP,0),8)</f>
        <v>#N/A</v>
      </c>
      <c r="T208" s="153" t="str">
        <f t="array" ref="T208">INDEX('Primary - GRADING'!$A$1:$CP997,MATCH($A208,'Primary - GRADING'!$CP:$CP,0),9)</f>
        <v>#N/A</v>
      </c>
      <c r="U208" s="153" t="str">
        <f t="array" ref="U208">INDEX('Primary - GRADING'!$A$1:$CP997,MATCH($A208,'Primary - GRADING'!$CP:$CP,0),10)</f>
        <v>#N/A</v>
      </c>
      <c r="V208" s="153" t="str">
        <f t="array" ref="V208">INDEX('Primary - GRADING'!$A$1:$CP997,MATCH($A208,'Primary - GRADING'!$CP:$CP,0),18)</f>
        <v>#N/A</v>
      </c>
      <c r="W208" s="153" t="str">
        <f t="array" ref="W208">INDEX('Primary - GRADING'!$A$1:$CP997,MATCH($A208,'Primary - GRADING'!$CP:$CP,0),20)</f>
        <v>#N/A</v>
      </c>
      <c r="X208" s="153" t="str">
        <f t="array" ref="X208">INDEX('Primary - GRADING'!$A$1:$CP997,MATCH($A208,'Primary - GRADING'!$CP:$CP,0),21)</f>
        <v>#N/A</v>
      </c>
      <c r="Y208" s="153" t="str">
        <f t="array" ref="Y208">INDEX('Primary - GRADING'!$A$1:$CP997,MATCH($A208,'Primary - GRADING'!$CP:$CP,0),22)</f>
        <v>#N/A</v>
      </c>
      <c r="Z208" s="165" t="str">
        <f t="array" ref="Z208">INDEX('Primary - GRADING'!$A$1:$CP997,MATCH($A208,'Primary - GRADING'!$CP:$CP,0),23)</f>
        <v>#N/A</v>
      </c>
      <c r="AA208" s="153" t="str">
        <f t="array" ref="AA208">INDEX('Primary - GRADING'!$A$1:$CP997,MATCH($A208,'Primary - GRADING'!$CP:$CP,0),24)</f>
        <v>#N/A</v>
      </c>
      <c r="AB208" s="153" t="str">
        <f t="array" ref="AB208">INDEX('Primary - GRADING'!$A$1:$CP997,MATCH($A208,'Primary - GRADING'!$CP:$CP,0),25)</f>
        <v>#N/A</v>
      </c>
      <c r="AC208" s="153" t="str">
        <f t="array" ref="AC208">INDEX('Primary - GRADING'!$A$1:$CP997,MATCH($A208,'Primary - GRADING'!$CP:$CP,0),46)</f>
        <v>#N/A</v>
      </c>
      <c r="AG208" s="153" t="str">
        <f t="shared" si="7"/>
        <v>#N/A</v>
      </c>
      <c r="AI208" s="153" t="str">
        <f>VLOOKUP(AH208,'Primary - GRADING'!$A$4:$C997,2,)</f>
        <v>#N/A</v>
      </c>
      <c r="AJ208" s="153" t="str">
        <f>VLOOKUP(AH208,'Primary - GRADING'!$A$4:$C997,3,)</f>
        <v>#N/A</v>
      </c>
      <c r="AK208" s="153" t="str">
        <f>VLOOKUP(AH208,'Primary - GRADING'!$A$4:$BG997,59,)</f>
        <v>#N/A</v>
      </c>
      <c r="AL208" s="153" t="str">
        <f>IFS(AK208="NMA",VLOOKUP(AH208,'Primary - GRADING'!$A$4:$BG997,51,),AK208="DIRECT",VLOOKUP(AH208,'Primary - GRADING'!$A$4:$BG997,8,),AK208="INDIRECT",VLOOKUP(AH208,'Primary - GRADING'!$A$4:$BG997,23,))</f>
        <v>#N/A</v>
      </c>
      <c r="AM208" s="153" t="str">
        <f>IFS(AK208="NMA",VLOOKUP(AH208,'Primary - GRADING'!$A$4:$BG997,52,),AK208="DIRECT",VLOOKUP(AH208,'Primary - GRADING'!$A$4:$BG997,9,),AK208="INDIRECT",VLOOKUP(AH208,'Primary - GRADING'!$A$4:$BG997,24,))</f>
        <v>#N/A</v>
      </c>
      <c r="AN208" s="153" t="str">
        <f>IFS(AK208="NMA",VLOOKUP(AH208,'Primary - GRADING'!$A$4:$BG997,53,),AK208="DIRECT",VLOOKUP(AH208,'Primary - GRADING'!$A$4:$BG997,10,),AK208="INDIRECT",VLOOKUP(AH208,'Primary - GRADING'!$A$4:$BG997,25,))</f>
        <v>#N/A</v>
      </c>
      <c r="AO208" s="153" t="str">
        <f t="shared" si="8"/>
        <v>#N/A</v>
      </c>
      <c r="AT208" s="153" t="str">
        <f t="shared" si="9"/>
        <v>#N/A</v>
      </c>
      <c r="AV208" s="153" t="str">
        <f>VLOOKUP(AU208,'Primary - GRADING'!$A$4:$C997,2,)</f>
        <v>#N/A</v>
      </c>
      <c r="AW208" s="153" t="str">
        <f>VLOOKUP(AU208,'Primary - GRADING'!$A$4:$C997,3,)</f>
        <v>#N/A</v>
      </c>
      <c r="AX208" s="153" t="str">
        <f>VLOOKUP(AU208,'Primary - GRADING'!$A$4:$BG997,59,)</f>
        <v>#N/A</v>
      </c>
      <c r="AY208" s="153" t="str">
        <f>IFS(AX208="NMA",VLOOKUP(AU208,'Primary - GRADING'!$A$4:$BG997,51,),AX208="DIRECT",VLOOKUP(AU208,'Primary - GRADING'!$A$4:$BG997,8,),AX208="INDIRECT",VLOOKUP(AU208,'Primary - GRADING'!$A$4:$BG997,23,))</f>
        <v>#N/A</v>
      </c>
      <c r="AZ208" s="153" t="str">
        <f>IFS(AX208="NMA",VLOOKUP(AU208,'Primary - GRADING'!$A$4:$BG997,52,),AX208="DIRECT",VLOOKUP(AU208,'Primary - GRADING'!$A$4:$BG997,9,),AX208="INDIRECT",VLOOKUP(AU208,'Primary - GRADING'!$A$4:$BG997,24,))</f>
        <v>#N/A</v>
      </c>
      <c r="BA208" s="153" t="str">
        <f>IFS(AX208="NMA",VLOOKUP(AU208,'Primary - GRADING'!$A$4:$BG997,53,),AX208="DIRECT",VLOOKUP(AU208,'Primary - GRADING'!$A$4:$BG997,10,),AX208="INDIRECT",VLOOKUP(AU208,'Primary - GRADING'!$A$4:$BG997,25,))</f>
        <v>#N/A</v>
      </c>
      <c r="BB208" s="153" t="str">
        <f t="shared" si="10"/>
        <v>#N/A</v>
      </c>
      <c r="BE208" s="153" t="str">
        <f t="shared" si="11"/>
        <v/>
      </c>
      <c r="BG208" s="153" t="str">
        <f t="shared" si="12"/>
        <v>#N/A</v>
      </c>
      <c r="BI208" s="153" t="str">
        <f t="shared" si="13"/>
        <v>#N/A</v>
      </c>
      <c r="BK208" s="153" t="str">
        <f t="shared" si="14"/>
        <v>#N/A</v>
      </c>
      <c r="BM208" s="153" t="str">
        <f t="shared" si="15"/>
        <v>#N/A</v>
      </c>
    </row>
    <row r="209" ht="15.75" customHeight="1">
      <c r="B209" s="160" t="str">
        <f t="shared" si="1"/>
        <v>#N/A</v>
      </c>
      <c r="C209" s="160" t="str">
        <f t="shared" si="2"/>
        <v>#N/A</v>
      </c>
      <c r="D209" s="160" t="str">
        <f t="shared" si="3"/>
        <v>#N/A</v>
      </c>
      <c r="E209" s="161" t="str">
        <f t="shared" si="4"/>
        <v>#N/A</v>
      </c>
      <c r="F209" s="153" t="str">
        <f t="shared" si="17"/>
        <v>#N/A</v>
      </c>
      <c r="G209" s="153" t="str">
        <f t="shared" si="6"/>
        <v>#N/A</v>
      </c>
      <c r="H209" s="156" t="str">
        <f t="array" ref="H209">INDEX('Primary - GRADING'!$A$1:$BG997,MATCH($A209,'Primary - GRADING'!$B:$B,0),59)</f>
        <v>#N/A</v>
      </c>
      <c r="I209" s="153" t="str">
        <f t="array" ref="I209">INDEX('Primary - GRADING'!$A$1:$CP997,MATCH($A209,'Primary - GRADING'!$CP:$CP,0),48)</f>
        <v>#N/A</v>
      </c>
      <c r="J209" s="153" t="str">
        <f t="array" ref="J209">INDEX('Primary - GRADING'!$A$1:$CP997,MATCH($A209,'Primary - GRADING'!$CP:$CP,0),49)</f>
        <v>#N/A</v>
      </c>
      <c r="K209" s="153" t="str">
        <f t="array" ref="K209">INDEX('Primary - GRADING'!$A$1:$CP997,MATCH($A209,'Primary - GRADING'!$CP:$CP,0),50)</f>
        <v>#N/A</v>
      </c>
      <c r="L209" s="153" t="str">
        <f t="array" ref="L209">INDEX('Primary - GRADING'!$A$1:$CP997,MATCH($A209,'Primary - GRADING'!$CP:$CP,0),51)</f>
        <v>#N/A</v>
      </c>
      <c r="M209" s="153" t="str">
        <f t="array" ref="M209">INDEX('Primary - GRADING'!$A$1:$CP997,MATCH($A209,'Primary - GRADING'!$CP:$CP,0),52)</f>
        <v>#N/A</v>
      </c>
      <c r="N209" s="153" t="str">
        <f t="array" ref="N209">INDEX('Primary - GRADING'!$A$1:$CP997,MATCH($A209,'Primary - GRADING'!$CP:$CP,0),53)</f>
        <v>#N/A</v>
      </c>
      <c r="O209" s="153" t="str">
        <f t="array" ref="O209">INDEX('Primary - GRADING'!$A$1:$CP997,MATCH($A209,'Primary - GRADING'!$CP:$CP,0),58)</f>
        <v>#N/A</v>
      </c>
      <c r="P209" s="153" t="str">
        <f t="array" ref="P209">INDEX('Primary - GRADING'!$A$1:$CP997,MATCH($A209,'Primary - GRADING'!$CP:$CP,0),5)</f>
        <v>#N/A</v>
      </c>
      <c r="Q209" s="153" t="str">
        <f t="array" ref="Q209">INDEX('Primary - GRADING'!$A$1:$CP997,MATCH($A209,'Primary - GRADING'!$CP:$CP,0),6)</f>
        <v>#N/A</v>
      </c>
      <c r="R209" s="153" t="str">
        <f t="array" ref="R209">INDEX('Primary - GRADING'!$A$1:$CP997,MATCH($A209,'Primary - GRADING'!$CP:$CP,0),7)</f>
        <v>#N/A</v>
      </c>
      <c r="S209" s="153" t="str">
        <f t="array" ref="S209">INDEX('Primary - GRADING'!$A$1:$CP997,MATCH($A209,'Primary - GRADING'!$CP:$CP,0),8)</f>
        <v>#N/A</v>
      </c>
      <c r="T209" s="153" t="str">
        <f t="array" ref="T209">INDEX('Primary - GRADING'!$A$1:$CP997,MATCH($A209,'Primary - GRADING'!$CP:$CP,0),9)</f>
        <v>#N/A</v>
      </c>
      <c r="U209" s="153" t="str">
        <f t="array" ref="U209">INDEX('Primary - GRADING'!$A$1:$CP997,MATCH($A209,'Primary - GRADING'!$CP:$CP,0),10)</f>
        <v>#N/A</v>
      </c>
      <c r="V209" s="153" t="str">
        <f t="array" ref="V209">INDEX('Primary - GRADING'!$A$1:$CP997,MATCH($A209,'Primary - GRADING'!$CP:$CP,0),18)</f>
        <v>#N/A</v>
      </c>
      <c r="W209" s="153" t="str">
        <f t="array" ref="W209">INDEX('Primary - GRADING'!$A$1:$CP997,MATCH($A209,'Primary - GRADING'!$CP:$CP,0),20)</f>
        <v>#N/A</v>
      </c>
      <c r="X209" s="153" t="str">
        <f t="array" ref="X209">INDEX('Primary - GRADING'!$A$1:$CP997,MATCH($A209,'Primary - GRADING'!$CP:$CP,0),21)</f>
        <v>#N/A</v>
      </c>
      <c r="Y209" s="153" t="str">
        <f t="array" ref="Y209">INDEX('Primary - GRADING'!$A$1:$CP997,MATCH($A209,'Primary - GRADING'!$CP:$CP,0),22)</f>
        <v>#N/A</v>
      </c>
      <c r="Z209" s="165" t="str">
        <f t="array" ref="Z209">INDEX('Primary - GRADING'!$A$1:$CP997,MATCH($A209,'Primary - GRADING'!$CP:$CP,0),23)</f>
        <v>#N/A</v>
      </c>
      <c r="AA209" s="153" t="str">
        <f t="array" ref="AA209">INDEX('Primary - GRADING'!$A$1:$CP997,MATCH($A209,'Primary - GRADING'!$CP:$CP,0),24)</f>
        <v>#N/A</v>
      </c>
      <c r="AB209" s="153" t="str">
        <f t="array" ref="AB209">INDEX('Primary - GRADING'!$A$1:$CP997,MATCH($A209,'Primary - GRADING'!$CP:$CP,0),25)</f>
        <v>#N/A</v>
      </c>
      <c r="AC209" s="153" t="str">
        <f t="array" ref="AC209">INDEX('Primary - GRADING'!$A$1:$CP997,MATCH($A209,'Primary - GRADING'!$CP:$CP,0),46)</f>
        <v>#N/A</v>
      </c>
      <c r="AG209" s="153" t="str">
        <f t="shared" si="7"/>
        <v>#N/A</v>
      </c>
      <c r="AI209" s="153" t="str">
        <f>VLOOKUP(AH209,'Primary - GRADING'!$A$4:$C997,2,)</f>
        <v>#N/A</v>
      </c>
      <c r="AJ209" s="153" t="str">
        <f>VLOOKUP(AH209,'Primary - GRADING'!$A$4:$C997,3,)</f>
        <v>#N/A</v>
      </c>
      <c r="AK209" s="153" t="str">
        <f>VLOOKUP(AH209,'Primary - GRADING'!$A$4:$BG997,59,)</f>
        <v>#N/A</v>
      </c>
      <c r="AL209" s="153" t="str">
        <f>IFS(AK209="NMA",VLOOKUP(AH209,'Primary - GRADING'!$A$4:$BG997,51,),AK209="DIRECT",VLOOKUP(AH209,'Primary - GRADING'!$A$4:$BG997,8,),AK209="INDIRECT",VLOOKUP(AH209,'Primary - GRADING'!$A$4:$BG997,23,))</f>
        <v>#N/A</v>
      </c>
      <c r="AM209" s="153" t="str">
        <f>IFS(AK209="NMA",VLOOKUP(AH209,'Primary - GRADING'!$A$4:$BG997,52,),AK209="DIRECT",VLOOKUP(AH209,'Primary - GRADING'!$A$4:$BG997,9,),AK209="INDIRECT",VLOOKUP(AH209,'Primary - GRADING'!$A$4:$BG997,24,))</f>
        <v>#N/A</v>
      </c>
      <c r="AN209" s="153" t="str">
        <f>IFS(AK209="NMA",VLOOKUP(AH209,'Primary - GRADING'!$A$4:$BG997,53,),AK209="DIRECT",VLOOKUP(AH209,'Primary - GRADING'!$A$4:$BG997,10,),AK209="INDIRECT",VLOOKUP(AH209,'Primary - GRADING'!$A$4:$BG997,25,))</f>
        <v>#N/A</v>
      </c>
      <c r="AO209" s="153" t="str">
        <f t="shared" si="8"/>
        <v>#N/A</v>
      </c>
      <c r="AT209" s="153" t="str">
        <f t="shared" si="9"/>
        <v>#N/A</v>
      </c>
      <c r="AV209" s="153" t="str">
        <f>VLOOKUP(AU209,'Primary - GRADING'!$A$4:$C997,2,)</f>
        <v>#N/A</v>
      </c>
      <c r="AW209" s="153" t="str">
        <f>VLOOKUP(AU209,'Primary - GRADING'!$A$4:$C997,3,)</f>
        <v>#N/A</v>
      </c>
      <c r="AX209" s="153" t="str">
        <f>VLOOKUP(AU209,'Primary - GRADING'!$A$4:$BG997,59,)</f>
        <v>#N/A</v>
      </c>
      <c r="AY209" s="153" t="str">
        <f>IFS(AX209="NMA",VLOOKUP(AU209,'Primary - GRADING'!$A$4:$BG997,51,),AX209="DIRECT",VLOOKUP(AU209,'Primary - GRADING'!$A$4:$BG997,8,),AX209="INDIRECT",VLOOKUP(AU209,'Primary - GRADING'!$A$4:$BG997,23,))</f>
        <v>#N/A</v>
      </c>
      <c r="AZ209" s="153" t="str">
        <f>IFS(AX209="NMA",VLOOKUP(AU209,'Primary - GRADING'!$A$4:$BG997,52,),AX209="DIRECT",VLOOKUP(AU209,'Primary - GRADING'!$A$4:$BG997,9,),AX209="INDIRECT",VLOOKUP(AU209,'Primary - GRADING'!$A$4:$BG997,24,))</f>
        <v>#N/A</v>
      </c>
      <c r="BA209" s="153" t="str">
        <f>IFS(AX209="NMA",VLOOKUP(AU209,'Primary - GRADING'!$A$4:$BG997,53,),AX209="DIRECT",VLOOKUP(AU209,'Primary - GRADING'!$A$4:$BG997,10,),AX209="INDIRECT",VLOOKUP(AU209,'Primary - GRADING'!$A$4:$BG997,25,))</f>
        <v>#N/A</v>
      </c>
      <c r="BB209" s="153" t="str">
        <f t="shared" si="10"/>
        <v>#N/A</v>
      </c>
      <c r="BE209" s="153" t="str">
        <f t="shared" si="11"/>
        <v/>
      </c>
      <c r="BG209" s="153" t="str">
        <f t="shared" si="12"/>
        <v>#N/A</v>
      </c>
      <c r="BI209" s="153" t="str">
        <f t="shared" si="13"/>
        <v>#N/A</v>
      </c>
      <c r="BK209" s="153" t="str">
        <f t="shared" si="14"/>
        <v>#N/A</v>
      </c>
      <c r="BM209" s="153" t="str">
        <f t="shared" si="15"/>
        <v>#N/A</v>
      </c>
    </row>
    <row r="210" ht="15.75" customHeight="1">
      <c r="B210" s="160" t="str">
        <f t="shared" si="1"/>
        <v>#N/A</v>
      </c>
      <c r="C210" s="160" t="str">
        <f t="shared" si="2"/>
        <v>#N/A</v>
      </c>
      <c r="D210" s="160" t="str">
        <f t="shared" si="3"/>
        <v>#N/A</v>
      </c>
      <c r="E210" s="161" t="str">
        <f t="shared" si="4"/>
        <v>#N/A</v>
      </c>
      <c r="F210" s="153" t="str">
        <f t="shared" si="17"/>
        <v>#N/A</v>
      </c>
      <c r="G210" s="153" t="str">
        <f t="shared" si="6"/>
        <v>#N/A</v>
      </c>
      <c r="H210" s="156" t="str">
        <f t="array" ref="H210">INDEX('Primary - GRADING'!$A$1:$BG997,MATCH($A210,'Primary - GRADING'!$B:$B,0),59)</f>
        <v>#N/A</v>
      </c>
      <c r="I210" s="153" t="str">
        <f t="array" ref="I210">INDEX('Primary - GRADING'!$A$1:$CP997,MATCH($A210,'Primary - GRADING'!$CP:$CP,0),48)</f>
        <v>#N/A</v>
      </c>
      <c r="J210" s="153" t="str">
        <f t="array" ref="J210">INDEX('Primary - GRADING'!$A$1:$CP997,MATCH($A210,'Primary - GRADING'!$CP:$CP,0),49)</f>
        <v>#N/A</v>
      </c>
      <c r="K210" s="153" t="str">
        <f t="array" ref="K210">INDEX('Primary - GRADING'!$A$1:$CP997,MATCH($A210,'Primary - GRADING'!$CP:$CP,0),50)</f>
        <v>#N/A</v>
      </c>
      <c r="L210" s="153" t="str">
        <f t="array" ref="L210">INDEX('Primary - GRADING'!$A$1:$CP997,MATCH($A210,'Primary - GRADING'!$CP:$CP,0),51)</f>
        <v>#N/A</v>
      </c>
      <c r="M210" s="153" t="str">
        <f t="array" ref="M210">INDEX('Primary - GRADING'!$A$1:$CP997,MATCH($A210,'Primary - GRADING'!$CP:$CP,0),52)</f>
        <v>#N/A</v>
      </c>
      <c r="N210" s="153" t="str">
        <f t="array" ref="N210">INDEX('Primary - GRADING'!$A$1:$CP997,MATCH($A210,'Primary - GRADING'!$CP:$CP,0),53)</f>
        <v>#N/A</v>
      </c>
      <c r="O210" s="153" t="str">
        <f t="array" ref="O210">INDEX('Primary - GRADING'!$A$1:$CP997,MATCH($A210,'Primary - GRADING'!$CP:$CP,0),58)</f>
        <v>#N/A</v>
      </c>
      <c r="P210" s="153" t="str">
        <f t="array" ref="P210">INDEX('Primary - GRADING'!$A$1:$CP997,MATCH($A210,'Primary - GRADING'!$CP:$CP,0),5)</f>
        <v>#N/A</v>
      </c>
      <c r="Q210" s="153" t="str">
        <f t="array" ref="Q210">INDEX('Primary - GRADING'!$A$1:$CP997,MATCH($A210,'Primary - GRADING'!$CP:$CP,0),6)</f>
        <v>#N/A</v>
      </c>
      <c r="R210" s="153" t="str">
        <f t="array" ref="R210">INDEX('Primary - GRADING'!$A$1:$CP997,MATCH($A210,'Primary - GRADING'!$CP:$CP,0),7)</f>
        <v>#N/A</v>
      </c>
      <c r="S210" s="153" t="str">
        <f t="array" ref="S210">INDEX('Primary - GRADING'!$A$1:$CP997,MATCH($A210,'Primary - GRADING'!$CP:$CP,0),8)</f>
        <v>#N/A</v>
      </c>
      <c r="T210" s="153" t="str">
        <f t="array" ref="T210">INDEX('Primary - GRADING'!$A$1:$CP997,MATCH($A210,'Primary - GRADING'!$CP:$CP,0),9)</f>
        <v>#N/A</v>
      </c>
      <c r="U210" s="153" t="str">
        <f t="array" ref="U210">INDEX('Primary - GRADING'!$A$1:$CP997,MATCH($A210,'Primary - GRADING'!$CP:$CP,0),10)</f>
        <v>#N/A</v>
      </c>
      <c r="V210" s="153" t="str">
        <f t="array" ref="V210">INDEX('Primary - GRADING'!$A$1:$CP997,MATCH($A210,'Primary - GRADING'!$CP:$CP,0),18)</f>
        <v>#N/A</v>
      </c>
      <c r="W210" s="153" t="str">
        <f t="array" ref="W210">INDEX('Primary - GRADING'!$A$1:$CP997,MATCH($A210,'Primary - GRADING'!$CP:$CP,0),20)</f>
        <v>#N/A</v>
      </c>
      <c r="X210" s="153" t="str">
        <f t="array" ref="X210">INDEX('Primary - GRADING'!$A$1:$CP997,MATCH($A210,'Primary - GRADING'!$CP:$CP,0),21)</f>
        <v>#N/A</v>
      </c>
      <c r="Y210" s="153" t="str">
        <f t="array" ref="Y210">INDEX('Primary - GRADING'!$A$1:$CP997,MATCH($A210,'Primary - GRADING'!$CP:$CP,0),22)</f>
        <v>#N/A</v>
      </c>
      <c r="Z210" s="165" t="str">
        <f t="array" ref="Z210">INDEX('Primary - GRADING'!$A$1:$CP997,MATCH($A210,'Primary - GRADING'!$CP:$CP,0),23)</f>
        <v>#N/A</v>
      </c>
      <c r="AA210" s="153" t="str">
        <f t="array" ref="AA210">INDEX('Primary - GRADING'!$A$1:$CP997,MATCH($A210,'Primary - GRADING'!$CP:$CP,0),24)</f>
        <v>#N/A</v>
      </c>
      <c r="AB210" s="153" t="str">
        <f t="array" ref="AB210">INDEX('Primary - GRADING'!$A$1:$CP997,MATCH($A210,'Primary - GRADING'!$CP:$CP,0),25)</f>
        <v>#N/A</v>
      </c>
      <c r="AC210" s="153" t="str">
        <f t="array" ref="AC210">INDEX('Primary - GRADING'!$A$1:$CP997,MATCH($A210,'Primary - GRADING'!$CP:$CP,0),46)</f>
        <v>#N/A</v>
      </c>
      <c r="AG210" s="153" t="str">
        <f t="shared" si="7"/>
        <v>#N/A</v>
      </c>
      <c r="AI210" s="153" t="str">
        <f>VLOOKUP(AH210,'Primary - GRADING'!$A$4:$C997,2,)</f>
        <v>#N/A</v>
      </c>
      <c r="AJ210" s="153" t="str">
        <f>VLOOKUP(AH210,'Primary - GRADING'!$A$4:$C997,3,)</f>
        <v>#N/A</v>
      </c>
      <c r="AK210" s="153" t="str">
        <f>VLOOKUP(AH210,'Primary - GRADING'!$A$4:$BG997,59,)</f>
        <v>#N/A</v>
      </c>
      <c r="AL210" s="153" t="str">
        <f>IFS(AK210="NMA",VLOOKUP(AH210,'Primary - GRADING'!$A$4:$BG997,51,),AK210="DIRECT",VLOOKUP(AH210,'Primary - GRADING'!$A$4:$BG997,8,),AK210="INDIRECT",VLOOKUP(AH210,'Primary - GRADING'!$A$4:$BG997,23,))</f>
        <v>#N/A</v>
      </c>
      <c r="AM210" s="153" t="str">
        <f>IFS(AK210="NMA",VLOOKUP(AH210,'Primary - GRADING'!$A$4:$BG997,52,),AK210="DIRECT",VLOOKUP(AH210,'Primary - GRADING'!$A$4:$BG997,9,),AK210="INDIRECT",VLOOKUP(AH210,'Primary - GRADING'!$A$4:$BG997,24,))</f>
        <v>#N/A</v>
      </c>
      <c r="AN210" s="153" t="str">
        <f>IFS(AK210="NMA",VLOOKUP(AH210,'Primary - GRADING'!$A$4:$BG997,53,),AK210="DIRECT",VLOOKUP(AH210,'Primary - GRADING'!$A$4:$BG997,10,),AK210="INDIRECT",VLOOKUP(AH210,'Primary - GRADING'!$A$4:$BG997,25,))</f>
        <v>#N/A</v>
      </c>
      <c r="AO210" s="153" t="str">
        <f t="shared" si="8"/>
        <v>#N/A</v>
      </c>
      <c r="AT210" s="153" t="str">
        <f t="shared" si="9"/>
        <v>#N/A</v>
      </c>
      <c r="AV210" s="153" t="str">
        <f>VLOOKUP(AU210,'Primary - GRADING'!$A$4:$C997,2,)</f>
        <v>#N/A</v>
      </c>
      <c r="AW210" s="153" t="str">
        <f>VLOOKUP(AU210,'Primary - GRADING'!$A$4:$C997,3,)</f>
        <v>#N/A</v>
      </c>
      <c r="AX210" s="153" t="str">
        <f>VLOOKUP(AU210,'Primary - GRADING'!$A$4:$BG997,59,)</f>
        <v>#N/A</v>
      </c>
      <c r="AY210" s="153" t="str">
        <f>IFS(AX210="NMA",VLOOKUP(AU210,'Primary - GRADING'!$A$4:$BG997,51,),AX210="DIRECT",VLOOKUP(AU210,'Primary - GRADING'!$A$4:$BG997,8,),AX210="INDIRECT",VLOOKUP(AU210,'Primary - GRADING'!$A$4:$BG997,23,))</f>
        <v>#N/A</v>
      </c>
      <c r="AZ210" s="153" t="str">
        <f>IFS(AX210="NMA",VLOOKUP(AU210,'Primary - GRADING'!$A$4:$BG997,52,),AX210="DIRECT",VLOOKUP(AU210,'Primary - GRADING'!$A$4:$BG997,9,),AX210="INDIRECT",VLOOKUP(AU210,'Primary - GRADING'!$A$4:$BG997,24,))</f>
        <v>#N/A</v>
      </c>
      <c r="BA210" s="153" t="str">
        <f>IFS(AX210="NMA",VLOOKUP(AU210,'Primary - GRADING'!$A$4:$BG997,53,),AX210="DIRECT",VLOOKUP(AU210,'Primary - GRADING'!$A$4:$BG997,10,),AX210="INDIRECT",VLOOKUP(AU210,'Primary - GRADING'!$A$4:$BG997,25,))</f>
        <v>#N/A</v>
      </c>
      <c r="BB210" s="153" t="str">
        <f t="shared" si="10"/>
        <v>#N/A</v>
      </c>
      <c r="BE210" s="153" t="str">
        <f t="shared" si="11"/>
        <v/>
      </c>
      <c r="BG210" s="153" t="str">
        <f t="shared" si="12"/>
        <v>#N/A</v>
      </c>
      <c r="BI210" s="153" t="str">
        <f t="shared" si="13"/>
        <v>#N/A</v>
      </c>
      <c r="BK210" s="153" t="str">
        <f t="shared" si="14"/>
        <v>#N/A</v>
      </c>
      <c r="BM210" s="153" t="str">
        <f t="shared" si="15"/>
        <v>#N/A</v>
      </c>
    </row>
    <row r="211" ht="15.75" customHeight="1">
      <c r="B211" s="160" t="str">
        <f t="shared" si="1"/>
        <v>#N/A</v>
      </c>
      <c r="C211" s="160" t="str">
        <f t="shared" si="2"/>
        <v>#N/A</v>
      </c>
      <c r="D211" s="160" t="str">
        <f t="shared" si="3"/>
        <v>#N/A</v>
      </c>
      <c r="E211" s="161" t="str">
        <f t="shared" si="4"/>
        <v>#N/A</v>
      </c>
      <c r="F211" s="153" t="str">
        <f t="shared" si="17"/>
        <v>#N/A</v>
      </c>
      <c r="G211" s="153" t="str">
        <f t="shared" si="6"/>
        <v>#N/A</v>
      </c>
      <c r="H211" s="156" t="str">
        <f t="array" ref="H211">INDEX('Primary - GRADING'!$A$1:$BG997,MATCH($A211,'Primary - GRADING'!$B:$B,0),59)</f>
        <v>#N/A</v>
      </c>
      <c r="I211" s="153" t="str">
        <f t="array" ref="I211">INDEX('Primary - GRADING'!$A$1:$CP997,MATCH($A211,'Primary - GRADING'!$CP:$CP,0),48)</f>
        <v>#N/A</v>
      </c>
      <c r="J211" s="153" t="str">
        <f t="array" ref="J211">INDEX('Primary - GRADING'!$A$1:$CP997,MATCH($A211,'Primary - GRADING'!$CP:$CP,0),49)</f>
        <v>#N/A</v>
      </c>
      <c r="K211" s="153" t="str">
        <f t="array" ref="K211">INDEX('Primary - GRADING'!$A$1:$CP997,MATCH($A211,'Primary - GRADING'!$CP:$CP,0),50)</f>
        <v>#N/A</v>
      </c>
      <c r="L211" s="153" t="str">
        <f t="array" ref="L211">INDEX('Primary - GRADING'!$A$1:$CP997,MATCH($A211,'Primary - GRADING'!$CP:$CP,0),51)</f>
        <v>#N/A</v>
      </c>
      <c r="M211" s="153" t="str">
        <f t="array" ref="M211">INDEX('Primary - GRADING'!$A$1:$CP997,MATCH($A211,'Primary - GRADING'!$CP:$CP,0),52)</f>
        <v>#N/A</v>
      </c>
      <c r="N211" s="153" t="str">
        <f t="array" ref="N211">INDEX('Primary - GRADING'!$A$1:$CP997,MATCH($A211,'Primary - GRADING'!$CP:$CP,0),53)</f>
        <v>#N/A</v>
      </c>
      <c r="O211" s="153" t="str">
        <f t="array" ref="O211">INDEX('Primary - GRADING'!$A$1:$CP997,MATCH($A211,'Primary - GRADING'!$CP:$CP,0),58)</f>
        <v>#N/A</v>
      </c>
      <c r="P211" s="153" t="str">
        <f t="array" ref="P211">INDEX('Primary - GRADING'!$A$1:$CP997,MATCH($A211,'Primary - GRADING'!$CP:$CP,0),5)</f>
        <v>#N/A</v>
      </c>
      <c r="Q211" s="153" t="str">
        <f t="array" ref="Q211">INDEX('Primary - GRADING'!$A$1:$CP997,MATCH($A211,'Primary - GRADING'!$CP:$CP,0),6)</f>
        <v>#N/A</v>
      </c>
      <c r="R211" s="153" t="str">
        <f t="array" ref="R211">INDEX('Primary - GRADING'!$A$1:$CP997,MATCH($A211,'Primary - GRADING'!$CP:$CP,0),7)</f>
        <v>#N/A</v>
      </c>
      <c r="S211" s="153" t="str">
        <f t="array" ref="S211">INDEX('Primary - GRADING'!$A$1:$CP997,MATCH($A211,'Primary - GRADING'!$CP:$CP,0),8)</f>
        <v>#N/A</v>
      </c>
      <c r="T211" s="153" t="str">
        <f t="array" ref="T211">INDEX('Primary - GRADING'!$A$1:$CP997,MATCH($A211,'Primary - GRADING'!$CP:$CP,0),9)</f>
        <v>#N/A</v>
      </c>
      <c r="U211" s="153" t="str">
        <f t="array" ref="U211">INDEX('Primary - GRADING'!$A$1:$CP997,MATCH($A211,'Primary - GRADING'!$CP:$CP,0),10)</f>
        <v>#N/A</v>
      </c>
      <c r="V211" s="153" t="str">
        <f t="array" ref="V211">INDEX('Primary - GRADING'!$A$1:$CP997,MATCH($A211,'Primary - GRADING'!$CP:$CP,0),18)</f>
        <v>#N/A</v>
      </c>
      <c r="W211" s="153" t="str">
        <f t="array" ref="W211">INDEX('Primary - GRADING'!$A$1:$CP997,MATCH($A211,'Primary - GRADING'!$CP:$CP,0),20)</f>
        <v>#N/A</v>
      </c>
      <c r="X211" s="153" t="str">
        <f t="array" ref="X211">INDEX('Primary - GRADING'!$A$1:$CP997,MATCH($A211,'Primary - GRADING'!$CP:$CP,0),21)</f>
        <v>#N/A</v>
      </c>
      <c r="Y211" s="153" t="str">
        <f t="array" ref="Y211">INDEX('Primary - GRADING'!$A$1:$CP997,MATCH($A211,'Primary - GRADING'!$CP:$CP,0),22)</f>
        <v>#N/A</v>
      </c>
      <c r="Z211" s="165" t="str">
        <f t="array" ref="Z211">INDEX('Primary - GRADING'!$A$1:$CP997,MATCH($A211,'Primary - GRADING'!$CP:$CP,0),23)</f>
        <v>#N/A</v>
      </c>
      <c r="AA211" s="153" t="str">
        <f t="array" ref="AA211">INDEX('Primary - GRADING'!$A$1:$CP997,MATCH($A211,'Primary - GRADING'!$CP:$CP,0),24)</f>
        <v>#N/A</v>
      </c>
      <c r="AB211" s="153" t="str">
        <f t="array" ref="AB211">INDEX('Primary - GRADING'!$A$1:$CP997,MATCH($A211,'Primary - GRADING'!$CP:$CP,0),25)</f>
        <v>#N/A</v>
      </c>
      <c r="AC211" s="153" t="str">
        <f t="array" ref="AC211">INDEX('Primary - GRADING'!$A$1:$CP997,MATCH($A211,'Primary - GRADING'!$CP:$CP,0),46)</f>
        <v>#N/A</v>
      </c>
      <c r="AG211" s="153" t="str">
        <f t="shared" si="7"/>
        <v>#N/A</v>
      </c>
      <c r="AI211" s="153" t="str">
        <f>VLOOKUP(AH211,'Primary - GRADING'!$A$4:$C997,2,)</f>
        <v>#N/A</v>
      </c>
      <c r="AJ211" s="153" t="str">
        <f>VLOOKUP(AH211,'Primary - GRADING'!$A$4:$C997,3,)</f>
        <v>#N/A</v>
      </c>
      <c r="AK211" s="153" t="str">
        <f>VLOOKUP(AH211,'Primary - GRADING'!$A$4:$BG997,59,)</f>
        <v>#N/A</v>
      </c>
      <c r="AL211" s="153" t="str">
        <f>IFS(AK211="NMA",VLOOKUP(AH211,'Primary - GRADING'!$A$4:$BG997,51,),AK211="DIRECT",VLOOKUP(AH211,'Primary - GRADING'!$A$4:$BG997,8,),AK211="INDIRECT",VLOOKUP(AH211,'Primary - GRADING'!$A$4:$BG997,23,))</f>
        <v>#N/A</v>
      </c>
      <c r="AM211" s="153" t="str">
        <f>IFS(AK211="NMA",VLOOKUP(AH211,'Primary - GRADING'!$A$4:$BG997,52,),AK211="DIRECT",VLOOKUP(AH211,'Primary - GRADING'!$A$4:$BG997,9,),AK211="INDIRECT",VLOOKUP(AH211,'Primary - GRADING'!$A$4:$BG997,24,))</f>
        <v>#N/A</v>
      </c>
      <c r="AN211" s="153" t="str">
        <f>IFS(AK211="NMA",VLOOKUP(AH211,'Primary - GRADING'!$A$4:$BG997,53,),AK211="DIRECT",VLOOKUP(AH211,'Primary - GRADING'!$A$4:$BG997,10,),AK211="INDIRECT",VLOOKUP(AH211,'Primary - GRADING'!$A$4:$BG997,25,))</f>
        <v>#N/A</v>
      </c>
      <c r="AO211" s="153" t="str">
        <f t="shared" si="8"/>
        <v>#N/A</v>
      </c>
      <c r="AT211" s="153" t="str">
        <f t="shared" si="9"/>
        <v>#N/A</v>
      </c>
      <c r="AV211" s="153" t="str">
        <f>VLOOKUP(AU211,'Primary - GRADING'!$A$4:$C997,2,)</f>
        <v>#N/A</v>
      </c>
      <c r="AW211" s="153" t="str">
        <f>VLOOKUP(AU211,'Primary - GRADING'!$A$4:$C997,3,)</f>
        <v>#N/A</v>
      </c>
      <c r="AX211" s="153" t="str">
        <f>VLOOKUP(AU211,'Primary - GRADING'!$A$4:$BG997,59,)</f>
        <v>#N/A</v>
      </c>
      <c r="AY211" s="153" t="str">
        <f>IFS(AX211="NMA",VLOOKUP(AU211,'Primary - GRADING'!$A$4:$BG997,51,),AX211="DIRECT",VLOOKUP(AU211,'Primary - GRADING'!$A$4:$BG997,8,),AX211="INDIRECT",VLOOKUP(AU211,'Primary - GRADING'!$A$4:$BG997,23,))</f>
        <v>#N/A</v>
      </c>
      <c r="AZ211" s="153" t="str">
        <f>IFS(AX211="NMA",VLOOKUP(AU211,'Primary - GRADING'!$A$4:$BG997,52,),AX211="DIRECT",VLOOKUP(AU211,'Primary - GRADING'!$A$4:$BG997,9,),AX211="INDIRECT",VLOOKUP(AU211,'Primary - GRADING'!$A$4:$BG997,24,))</f>
        <v>#N/A</v>
      </c>
      <c r="BA211" s="153" t="str">
        <f>IFS(AX211="NMA",VLOOKUP(AU211,'Primary - GRADING'!$A$4:$BG997,53,),AX211="DIRECT",VLOOKUP(AU211,'Primary - GRADING'!$A$4:$BG997,10,),AX211="INDIRECT",VLOOKUP(AU211,'Primary - GRADING'!$A$4:$BG997,25,))</f>
        <v>#N/A</v>
      </c>
      <c r="BB211" s="153" t="str">
        <f t="shared" si="10"/>
        <v>#N/A</v>
      </c>
      <c r="BE211" s="153" t="str">
        <f t="shared" si="11"/>
        <v/>
      </c>
      <c r="BG211" s="153" t="str">
        <f t="shared" si="12"/>
        <v>#N/A</v>
      </c>
      <c r="BI211" s="153" t="str">
        <f t="shared" si="13"/>
        <v>#N/A</v>
      </c>
      <c r="BK211" s="153" t="str">
        <f t="shared" si="14"/>
        <v>#N/A</v>
      </c>
      <c r="BM211" s="153" t="str">
        <f t="shared" si="15"/>
        <v>#N/A</v>
      </c>
    </row>
    <row r="212" ht="15.75" customHeight="1">
      <c r="B212" s="160" t="str">
        <f t="shared" si="1"/>
        <v>#N/A</v>
      </c>
      <c r="C212" s="160" t="str">
        <f t="shared" si="2"/>
        <v>#N/A</v>
      </c>
      <c r="D212" s="160" t="str">
        <f t="shared" si="3"/>
        <v>#N/A</v>
      </c>
      <c r="E212" s="161" t="str">
        <f t="shared" si="4"/>
        <v>#N/A</v>
      </c>
      <c r="F212" s="153" t="str">
        <f t="shared" si="17"/>
        <v>#N/A</v>
      </c>
      <c r="G212" s="153" t="str">
        <f t="shared" si="6"/>
        <v>#N/A</v>
      </c>
      <c r="H212" s="156" t="str">
        <f t="array" ref="H212">INDEX('Primary - GRADING'!$A$1:$BG997,MATCH($A212,'Primary - GRADING'!$B:$B,0),59)</f>
        <v>#N/A</v>
      </c>
      <c r="I212" s="153" t="str">
        <f t="array" ref="I212">INDEX('Primary - GRADING'!$A$1:$CP997,MATCH($A212,'Primary - GRADING'!$CP:$CP,0),48)</f>
        <v>#N/A</v>
      </c>
      <c r="J212" s="153" t="str">
        <f t="array" ref="J212">INDEX('Primary - GRADING'!$A$1:$CP997,MATCH($A212,'Primary - GRADING'!$CP:$CP,0),49)</f>
        <v>#N/A</v>
      </c>
      <c r="K212" s="153" t="str">
        <f t="array" ref="K212">INDEX('Primary - GRADING'!$A$1:$CP997,MATCH($A212,'Primary - GRADING'!$CP:$CP,0),50)</f>
        <v>#N/A</v>
      </c>
      <c r="L212" s="153" t="str">
        <f t="array" ref="L212">INDEX('Primary - GRADING'!$A$1:$CP997,MATCH($A212,'Primary - GRADING'!$CP:$CP,0),51)</f>
        <v>#N/A</v>
      </c>
      <c r="M212" s="153" t="str">
        <f t="array" ref="M212">INDEX('Primary - GRADING'!$A$1:$CP997,MATCH($A212,'Primary - GRADING'!$CP:$CP,0),52)</f>
        <v>#N/A</v>
      </c>
      <c r="N212" s="153" t="str">
        <f t="array" ref="N212">INDEX('Primary - GRADING'!$A$1:$CP997,MATCH($A212,'Primary - GRADING'!$CP:$CP,0),53)</f>
        <v>#N/A</v>
      </c>
      <c r="O212" s="153" t="str">
        <f t="array" ref="O212">INDEX('Primary - GRADING'!$A$1:$CP997,MATCH($A212,'Primary - GRADING'!$CP:$CP,0),58)</f>
        <v>#N/A</v>
      </c>
      <c r="P212" s="153" t="str">
        <f t="array" ref="P212">INDEX('Primary - GRADING'!$A$1:$CP997,MATCH($A212,'Primary - GRADING'!$CP:$CP,0),5)</f>
        <v>#N/A</v>
      </c>
      <c r="Q212" s="153" t="str">
        <f t="array" ref="Q212">INDEX('Primary - GRADING'!$A$1:$CP997,MATCH($A212,'Primary - GRADING'!$CP:$CP,0),6)</f>
        <v>#N/A</v>
      </c>
      <c r="R212" s="153" t="str">
        <f t="array" ref="R212">INDEX('Primary - GRADING'!$A$1:$CP997,MATCH($A212,'Primary - GRADING'!$CP:$CP,0),7)</f>
        <v>#N/A</v>
      </c>
      <c r="S212" s="153" t="str">
        <f t="array" ref="S212">INDEX('Primary - GRADING'!$A$1:$CP997,MATCH($A212,'Primary - GRADING'!$CP:$CP,0),8)</f>
        <v>#N/A</v>
      </c>
      <c r="T212" s="153" t="str">
        <f t="array" ref="T212">INDEX('Primary - GRADING'!$A$1:$CP997,MATCH($A212,'Primary - GRADING'!$CP:$CP,0),9)</f>
        <v>#N/A</v>
      </c>
      <c r="U212" s="153" t="str">
        <f t="array" ref="U212">INDEX('Primary - GRADING'!$A$1:$CP997,MATCH($A212,'Primary - GRADING'!$CP:$CP,0),10)</f>
        <v>#N/A</v>
      </c>
      <c r="V212" s="153" t="str">
        <f t="array" ref="V212">INDEX('Primary - GRADING'!$A$1:$CP997,MATCH($A212,'Primary - GRADING'!$CP:$CP,0),18)</f>
        <v>#N/A</v>
      </c>
      <c r="W212" s="153" t="str">
        <f t="array" ref="W212">INDEX('Primary - GRADING'!$A$1:$CP997,MATCH($A212,'Primary - GRADING'!$CP:$CP,0),20)</f>
        <v>#N/A</v>
      </c>
      <c r="X212" s="153" t="str">
        <f t="array" ref="X212">INDEX('Primary - GRADING'!$A$1:$CP997,MATCH($A212,'Primary - GRADING'!$CP:$CP,0),21)</f>
        <v>#N/A</v>
      </c>
      <c r="Y212" s="153" t="str">
        <f t="array" ref="Y212">INDEX('Primary - GRADING'!$A$1:$CP997,MATCH($A212,'Primary - GRADING'!$CP:$CP,0),22)</f>
        <v>#N/A</v>
      </c>
      <c r="Z212" s="165" t="str">
        <f t="array" ref="Z212">INDEX('Primary - GRADING'!$A$1:$CP997,MATCH($A212,'Primary - GRADING'!$CP:$CP,0),23)</f>
        <v>#N/A</v>
      </c>
      <c r="AA212" s="153" t="str">
        <f t="array" ref="AA212">INDEX('Primary - GRADING'!$A$1:$CP997,MATCH($A212,'Primary - GRADING'!$CP:$CP,0),24)</f>
        <v>#N/A</v>
      </c>
      <c r="AB212" s="153" t="str">
        <f t="array" ref="AB212">INDEX('Primary - GRADING'!$A$1:$CP997,MATCH($A212,'Primary - GRADING'!$CP:$CP,0),25)</f>
        <v>#N/A</v>
      </c>
      <c r="AC212" s="153" t="str">
        <f t="array" ref="AC212">INDEX('Primary - GRADING'!$A$1:$CP997,MATCH($A212,'Primary - GRADING'!$CP:$CP,0),46)</f>
        <v>#N/A</v>
      </c>
      <c r="AG212" s="153" t="str">
        <f t="shared" si="7"/>
        <v>#N/A</v>
      </c>
      <c r="AI212" s="153" t="str">
        <f>VLOOKUP(AH212,'Primary - GRADING'!$A$4:$C997,2,)</f>
        <v>#N/A</v>
      </c>
      <c r="AJ212" s="153" t="str">
        <f>VLOOKUP(AH212,'Primary - GRADING'!$A$4:$C997,3,)</f>
        <v>#N/A</v>
      </c>
      <c r="AK212" s="153" t="str">
        <f>VLOOKUP(AH212,'Primary - GRADING'!$A$4:$BG997,59,)</f>
        <v>#N/A</v>
      </c>
      <c r="AL212" s="153" t="str">
        <f>IFS(AK212="NMA",VLOOKUP(AH212,'Primary - GRADING'!$A$4:$BG997,51,),AK212="DIRECT",VLOOKUP(AH212,'Primary - GRADING'!$A$4:$BG997,8,),AK212="INDIRECT",VLOOKUP(AH212,'Primary - GRADING'!$A$4:$BG997,23,))</f>
        <v>#N/A</v>
      </c>
      <c r="AM212" s="153" t="str">
        <f>IFS(AK212="NMA",VLOOKUP(AH212,'Primary - GRADING'!$A$4:$BG997,52,),AK212="DIRECT",VLOOKUP(AH212,'Primary - GRADING'!$A$4:$BG997,9,),AK212="INDIRECT",VLOOKUP(AH212,'Primary - GRADING'!$A$4:$BG997,24,))</f>
        <v>#N/A</v>
      </c>
      <c r="AN212" s="153" t="str">
        <f>IFS(AK212="NMA",VLOOKUP(AH212,'Primary - GRADING'!$A$4:$BG997,53,),AK212="DIRECT",VLOOKUP(AH212,'Primary - GRADING'!$A$4:$BG997,10,),AK212="INDIRECT",VLOOKUP(AH212,'Primary - GRADING'!$A$4:$BG997,25,))</f>
        <v>#N/A</v>
      </c>
      <c r="AO212" s="153" t="str">
        <f t="shared" si="8"/>
        <v>#N/A</v>
      </c>
      <c r="AT212" s="153" t="str">
        <f t="shared" si="9"/>
        <v>#N/A</v>
      </c>
      <c r="AV212" s="153" t="str">
        <f>VLOOKUP(AU212,'Primary - GRADING'!$A$4:$C997,2,)</f>
        <v>#N/A</v>
      </c>
      <c r="AW212" s="153" t="str">
        <f>VLOOKUP(AU212,'Primary - GRADING'!$A$4:$C997,3,)</f>
        <v>#N/A</v>
      </c>
      <c r="AX212" s="153" t="str">
        <f>VLOOKUP(AU212,'Primary - GRADING'!$A$4:$BG997,59,)</f>
        <v>#N/A</v>
      </c>
      <c r="AY212" s="153" t="str">
        <f>IFS(AX212="NMA",VLOOKUP(AU212,'Primary - GRADING'!$A$4:$BG997,51,),AX212="DIRECT",VLOOKUP(AU212,'Primary - GRADING'!$A$4:$BG997,8,),AX212="INDIRECT",VLOOKUP(AU212,'Primary - GRADING'!$A$4:$BG997,23,))</f>
        <v>#N/A</v>
      </c>
      <c r="AZ212" s="153" t="str">
        <f>IFS(AX212="NMA",VLOOKUP(AU212,'Primary - GRADING'!$A$4:$BG997,52,),AX212="DIRECT",VLOOKUP(AU212,'Primary - GRADING'!$A$4:$BG997,9,),AX212="INDIRECT",VLOOKUP(AU212,'Primary - GRADING'!$A$4:$BG997,24,))</f>
        <v>#N/A</v>
      </c>
      <c r="BA212" s="153" t="str">
        <f>IFS(AX212="NMA",VLOOKUP(AU212,'Primary - GRADING'!$A$4:$BG997,53,),AX212="DIRECT",VLOOKUP(AU212,'Primary - GRADING'!$A$4:$BG997,10,),AX212="INDIRECT",VLOOKUP(AU212,'Primary - GRADING'!$A$4:$BG997,25,))</f>
        <v>#N/A</v>
      </c>
      <c r="BB212" s="153" t="str">
        <f t="shared" si="10"/>
        <v>#N/A</v>
      </c>
      <c r="BE212" s="153" t="str">
        <f t="shared" si="11"/>
        <v/>
      </c>
      <c r="BG212" s="153" t="str">
        <f t="shared" si="12"/>
        <v>#N/A</v>
      </c>
      <c r="BI212" s="153" t="str">
        <f t="shared" si="13"/>
        <v>#N/A</v>
      </c>
      <c r="BK212" s="153" t="str">
        <f t="shared" si="14"/>
        <v>#N/A</v>
      </c>
      <c r="BM212" s="153" t="str">
        <f t="shared" si="15"/>
        <v>#N/A</v>
      </c>
    </row>
    <row r="213" ht="15.75" customHeight="1">
      <c r="B213" s="160" t="str">
        <f t="shared" si="1"/>
        <v>#N/A</v>
      </c>
      <c r="C213" s="160" t="str">
        <f t="shared" si="2"/>
        <v>#N/A</v>
      </c>
      <c r="D213" s="160" t="str">
        <f t="shared" si="3"/>
        <v>#N/A</v>
      </c>
      <c r="E213" s="161" t="str">
        <f t="shared" si="4"/>
        <v>#N/A</v>
      </c>
      <c r="F213" s="153" t="str">
        <f t="shared" si="17"/>
        <v>#N/A</v>
      </c>
      <c r="G213" s="153" t="str">
        <f t="shared" si="6"/>
        <v>#N/A</v>
      </c>
      <c r="H213" s="156" t="str">
        <f t="array" ref="H213">INDEX('Primary - GRADING'!$A$1:$BG997,MATCH($A213,'Primary - GRADING'!$B:$B,0),59)</f>
        <v>#N/A</v>
      </c>
      <c r="I213" s="153" t="str">
        <f t="array" ref="I213">INDEX('Primary - GRADING'!$A$1:$CP997,MATCH($A213,'Primary - GRADING'!$CP:$CP,0),48)</f>
        <v>#N/A</v>
      </c>
      <c r="J213" s="153" t="str">
        <f t="array" ref="J213">INDEX('Primary - GRADING'!$A$1:$CP997,MATCH($A213,'Primary - GRADING'!$CP:$CP,0),49)</f>
        <v>#N/A</v>
      </c>
      <c r="K213" s="153" t="str">
        <f t="array" ref="K213">INDEX('Primary - GRADING'!$A$1:$CP997,MATCH($A213,'Primary - GRADING'!$CP:$CP,0),50)</f>
        <v>#N/A</v>
      </c>
      <c r="L213" s="153" t="str">
        <f t="array" ref="L213">INDEX('Primary - GRADING'!$A$1:$CP997,MATCH($A213,'Primary - GRADING'!$CP:$CP,0),51)</f>
        <v>#N/A</v>
      </c>
      <c r="M213" s="153" t="str">
        <f t="array" ref="M213">INDEX('Primary - GRADING'!$A$1:$CP997,MATCH($A213,'Primary - GRADING'!$CP:$CP,0),52)</f>
        <v>#N/A</v>
      </c>
      <c r="N213" s="153" t="str">
        <f t="array" ref="N213">INDEX('Primary - GRADING'!$A$1:$CP997,MATCH($A213,'Primary - GRADING'!$CP:$CP,0),53)</f>
        <v>#N/A</v>
      </c>
      <c r="O213" s="153" t="str">
        <f t="array" ref="O213">INDEX('Primary - GRADING'!$A$1:$CP997,MATCH($A213,'Primary - GRADING'!$CP:$CP,0),58)</f>
        <v>#N/A</v>
      </c>
      <c r="P213" s="153" t="str">
        <f t="array" ref="P213">INDEX('Primary - GRADING'!$A$1:$CP997,MATCH($A213,'Primary - GRADING'!$CP:$CP,0),5)</f>
        <v>#N/A</v>
      </c>
      <c r="Q213" s="153" t="str">
        <f t="array" ref="Q213">INDEX('Primary - GRADING'!$A$1:$CP997,MATCH($A213,'Primary - GRADING'!$CP:$CP,0),6)</f>
        <v>#N/A</v>
      </c>
      <c r="R213" s="153" t="str">
        <f t="array" ref="R213">INDEX('Primary - GRADING'!$A$1:$CP997,MATCH($A213,'Primary - GRADING'!$CP:$CP,0),7)</f>
        <v>#N/A</v>
      </c>
      <c r="S213" s="153" t="str">
        <f t="array" ref="S213">INDEX('Primary - GRADING'!$A$1:$CP997,MATCH($A213,'Primary - GRADING'!$CP:$CP,0),8)</f>
        <v>#N/A</v>
      </c>
      <c r="T213" s="153" t="str">
        <f t="array" ref="T213">INDEX('Primary - GRADING'!$A$1:$CP997,MATCH($A213,'Primary - GRADING'!$CP:$CP,0),9)</f>
        <v>#N/A</v>
      </c>
      <c r="U213" s="153" t="str">
        <f t="array" ref="U213">INDEX('Primary - GRADING'!$A$1:$CP997,MATCH($A213,'Primary - GRADING'!$CP:$CP,0),10)</f>
        <v>#N/A</v>
      </c>
      <c r="V213" s="153" t="str">
        <f t="array" ref="V213">INDEX('Primary - GRADING'!$A$1:$CP997,MATCH($A213,'Primary - GRADING'!$CP:$CP,0),18)</f>
        <v>#N/A</v>
      </c>
      <c r="W213" s="153" t="str">
        <f t="array" ref="W213">INDEX('Primary - GRADING'!$A$1:$CP997,MATCH($A213,'Primary - GRADING'!$CP:$CP,0),20)</f>
        <v>#N/A</v>
      </c>
      <c r="X213" s="153" t="str">
        <f t="array" ref="X213">INDEX('Primary - GRADING'!$A$1:$CP997,MATCH($A213,'Primary - GRADING'!$CP:$CP,0),21)</f>
        <v>#N/A</v>
      </c>
      <c r="Y213" s="153" t="str">
        <f t="array" ref="Y213">INDEX('Primary - GRADING'!$A$1:$CP997,MATCH($A213,'Primary - GRADING'!$CP:$CP,0),22)</f>
        <v>#N/A</v>
      </c>
      <c r="Z213" s="165" t="str">
        <f t="array" ref="Z213">INDEX('Primary - GRADING'!$A$1:$CP997,MATCH($A213,'Primary - GRADING'!$CP:$CP,0),23)</f>
        <v>#N/A</v>
      </c>
      <c r="AA213" s="153" t="str">
        <f t="array" ref="AA213">INDEX('Primary - GRADING'!$A$1:$CP997,MATCH($A213,'Primary - GRADING'!$CP:$CP,0),24)</f>
        <v>#N/A</v>
      </c>
      <c r="AB213" s="153" t="str">
        <f t="array" ref="AB213">INDEX('Primary - GRADING'!$A$1:$CP997,MATCH($A213,'Primary - GRADING'!$CP:$CP,0),25)</f>
        <v>#N/A</v>
      </c>
      <c r="AC213" s="153" t="str">
        <f t="array" ref="AC213">INDEX('Primary - GRADING'!$A$1:$CP997,MATCH($A213,'Primary - GRADING'!$CP:$CP,0),46)</f>
        <v>#N/A</v>
      </c>
      <c r="AG213" s="153" t="str">
        <f t="shared" si="7"/>
        <v>#N/A</v>
      </c>
      <c r="AI213" s="153" t="str">
        <f>VLOOKUP(AH213,'Primary - GRADING'!$A$4:$C997,2,)</f>
        <v>#N/A</v>
      </c>
      <c r="AJ213" s="153" t="str">
        <f>VLOOKUP(AH213,'Primary - GRADING'!$A$4:$C997,3,)</f>
        <v>#N/A</v>
      </c>
      <c r="AK213" s="153" t="str">
        <f>VLOOKUP(AH213,'Primary - GRADING'!$A$4:$BG997,59,)</f>
        <v>#N/A</v>
      </c>
      <c r="AL213" s="153" t="str">
        <f>IFS(AK213="NMA",VLOOKUP(AH213,'Primary - GRADING'!$A$4:$BG997,51,),AK213="DIRECT",VLOOKUP(AH213,'Primary - GRADING'!$A$4:$BG997,8,),AK213="INDIRECT",VLOOKUP(AH213,'Primary - GRADING'!$A$4:$BG997,23,))</f>
        <v>#N/A</v>
      </c>
      <c r="AM213" s="153" t="str">
        <f>IFS(AK213="NMA",VLOOKUP(AH213,'Primary - GRADING'!$A$4:$BG997,52,),AK213="DIRECT",VLOOKUP(AH213,'Primary - GRADING'!$A$4:$BG997,9,),AK213="INDIRECT",VLOOKUP(AH213,'Primary - GRADING'!$A$4:$BG997,24,))</f>
        <v>#N/A</v>
      </c>
      <c r="AN213" s="153" t="str">
        <f>IFS(AK213="NMA",VLOOKUP(AH213,'Primary - GRADING'!$A$4:$BG997,53,),AK213="DIRECT",VLOOKUP(AH213,'Primary - GRADING'!$A$4:$BG997,10,),AK213="INDIRECT",VLOOKUP(AH213,'Primary - GRADING'!$A$4:$BG997,25,))</f>
        <v>#N/A</v>
      </c>
      <c r="AO213" s="153" t="str">
        <f t="shared" si="8"/>
        <v>#N/A</v>
      </c>
      <c r="AT213" s="153" t="str">
        <f t="shared" si="9"/>
        <v>#N/A</v>
      </c>
      <c r="AV213" s="153" t="str">
        <f>VLOOKUP(AU213,'Primary - GRADING'!$A$4:$C997,2,)</f>
        <v>#N/A</v>
      </c>
      <c r="AW213" s="153" t="str">
        <f>VLOOKUP(AU213,'Primary - GRADING'!$A$4:$C997,3,)</f>
        <v>#N/A</v>
      </c>
      <c r="AX213" s="153" t="str">
        <f>VLOOKUP(AU213,'Primary - GRADING'!$A$4:$BG997,59,)</f>
        <v>#N/A</v>
      </c>
      <c r="AY213" s="153" t="str">
        <f>IFS(AX213="NMA",VLOOKUP(AU213,'Primary - GRADING'!$A$4:$BG997,51,),AX213="DIRECT",VLOOKUP(AU213,'Primary - GRADING'!$A$4:$BG997,8,),AX213="INDIRECT",VLOOKUP(AU213,'Primary - GRADING'!$A$4:$BG997,23,))</f>
        <v>#N/A</v>
      </c>
      <c r="AZ213" s="153" t="str">
        <f>IFS(AX213="NMA",VLOOKUP(AU213,'Primary - GRADING'!$A$4:$BG997,52,),AX213="DIRECT",VLOOKUP(AU213,'Primary - GRADING'!$A$4:$BG997,9,),AX213="INDIRECT",VLOOKUP(AU213,'Primary - GRADING'!$A$4:$BG997,24,))</f>
        <v>#N/A</v>
      </c>
      <c r="BA213" s="153" t="str">
        <f>IFS(AX213="NMA",VLOOKUP(AU213,'Primary - GRADING'!$A$4:$BG997,53,),AX213="DIRECT",VLOOKUP(AU213,'Primary - GRADING'!$A$4:$BG997,10,),AX213="INDIRECT",VLOOKUP(AU213,'Primary - GRADING'!$A$4:$BG997,25,))</f>
        <v>#N/A</v>
      </c>
      <c r="BB213" s="153" t="str">
        <f t="shared" si="10"/>
        <v>#N/A</v>
      </c>
      <c r="BE213" s="153" t="str">
        <f t="shared" si="11"/>
        <v/>
      </c>
      <c r="BG213" s="153" t="str">
        <f t="shared" si="12"/>
        <v>#N/A</v>
      </c>
      <c r="BI213" s="153" t="str">
        <f t="shared" si="13"/>
        <v>#N/A</v>
      </c>
      <c r="BK213" s="153" t="str">
        <f t="shared" si="14"/>
        <v>#N/A</v>
      </c>
      <c r="BM213" s="153" t="str">
        <f t="shared" si="15"/>
        <v>#N/A</v>
      </c>
    </row>
    <row r="214" ht="15.75" customHeight="1">
      <c r="B214" s="160" t="str">
        <f t="shared" si="1"/>
        <v>#N/A</v>
      </c>
      <c r="C214" s="160" t="str">
        <f t="shared" si="2"/>
        <v>#N/A</v>
      </c>
      <c r="D214" s="160" t="str">
        <f t="shared" si="3"/>
        <v>#N/A</v>
      </c>
      <c r="E214" s="161" t="str">
        <f t="shared" si="4"/>
        <v>#N/A</v>
      </c>
      <c r="F214" s="153" t="str">
        <f t="shared" si="17"/>
        <v>#N/A</v>
      </c>
      <c r="G214" s="153" t="str">
        <f t="shared" si="6"/>
        <v>#N/A</v>
      </c>
      <c r="H214" s="156" t="str">
        <f t="array" ref="H214">INDEX('Primary - GRADING'!$A$1:$BG997,MATCH($A214,'Primary - GRADING'!$B:$B,0),59)</f>
        <v>#N/A</v>
      </c>
      <c r="I214" s="153" t="str">
        <f t="array" ref="I214">INDEX('Primary - GRADING'!$A$1:$CP997,MATCH($A214,'Primary - GRADING'!$CP:$CP,0),48)</f>
        <v>#N/A</v>
      </c>
      <c r="J214" s="153" t="str">
        <f t="array" ref="J214">INDEX('Primary - GRADING'!$A$1:$CP997,MATCH($A214,'Primary - GRADING'!$CP:$CP,0),49)</f>
        <v>#N/A</v>
      </c>
      <c r="K214" s="153" t="str">
        <f t="array" ref="K214">INDEX('Primary - GRADING'!$A$1:$CP997,MATCH($A214,'Primary - GRADING'!$CP:$CP,0),50)</f>
        <v>#N/A</v>
      </c>
      <c r="L214" s="153" t="str">
        <f t="array" ref="L214">INDEX('Primary - GRADING'!$A$1:$CP997,MATCH($A214,'Primary - GRADING'!$CP:$CP,0),51)</f>
        <v>#N/A</v>
      </c>
      <c r="M214" s="153" t="str">
        <f t="array" ref="M214">INDEX('Primary - GRADING'!$A$1:$CP997,MATCH($A214,'Primary - GRADING'!$CP:$CP,0),52)</f>
        <v>#N/A</v>
      </c>
      <c r="N214" s="153" t="str">
        <f t="array" ref="N214">INDEX('Primary - GRADING'!$A$1:$CP997,MATCH($A214,'Primary - GRADING'!$CP:$CP,0),53)</f>
        <v>#N/A</v>
      </c>
      <c r="O214" s="153" t="str">
        <f t="array" ref="O214">INDEX('Primary - GRADING'!$A$1:$CP997,MATCH($A214,'Primary - GRADING'!$CP:$CP,0),58)</f>
        <v>#N/A</v>
      </c>
      <c r="P214" s="153" t="str">
        <f t="array" ref="P214">INDEX('Primary - GRADING'!$A$1:$CP997,MATCH($A214,'Primary - GRADING'!$CP:$CP,0),5)</f>
        <v>#N/A</v>
      </c>
      <c r="Q214" s="153" t="str">
        <f t="array" ref="Q214">INDEX('Primary - GRADING'!$A$1:$CP997,MATCH($A214,'Primary - GRADING'!$CP:$CP,0),6)</f>
        <v>#N/A</v>
      </c>
      <c r="R214" s="153" t="str">
        <f t="array" ref="R214">INDEX('Primary - GRADING'!$A$1:$CP997,MATCH($A214,'Primary - GRADING'!$CP:$CP,0),7)</f>
        <v>#N/A</v>
      </c>
      <c r="S214" s="153" t="str">
        <f t="array" ref="S214">INDEX('Primary - GRADING'!$A$1:$CP997,MATCH($A214,'Primary - GRADING'!$CP:$CP,0),8)</f>
        <v>#N/A</v>
      </c>
      <c r="T214" s="153" t="str">
        <f t="array" ref="T214">INDEX('Primary - GRADING'!$A$1:$CP997,MATCH($A214,'Primary - GRADING'!$CP:$CP,0),9)</f>
        <v>#N/A</v>
      </c>
      <c r="U214" s="153" t="str">
        <f t="array" ref="U214">INDEX('Primary - GRADING'!$A$1:$CP997,MATCH($A214,'Primary - GRADING'!$CP:$CP,0),10)</f>
        <v>#N/A</v>
      </c>
      <c r="V214" s="153" t="str">
        <f t="array" ref="V214">INDEX('Primary - GRADING'!$A$1:$CP997,MATCH($A214,'Primary - GRADING'!$CP:$CP,0),18)</f>
        <v>#N/A</v>
      </c>
      <c r="W214" s="153" t="str">
        <f t="array" ref="W214">INDEX('Primary - GRADING'!$A$1:$CP997,MATCH($A214,'Primary - GRADING'!$CP:$CP,0),20)</f>
        <v>#N/A</v>
      </c>
      <c r="X214" s="153" t="str">
        <f t="array" ref="X214">INDEX('Primary - GRADING'!$A$1:$CP997,MATCH($A214,'Primary - GRADING'!$CP:$CP,0),21)</f>
        <v>#N/A</v>
      </c>
      <c r="Y214" s="153" t="str">
        <f t="array" ref="Y214">INDEX('Primary - GRADING'!$A$1:$CP997,MATCH($A214,'Primary - GRADING'!$CP:$CP,0),22)</f>
        <v>#N/A</v>
      </c>
      <c r="Z214" s="165" t="str">
        <f t="array" ref="Z214">INDEX('Primary - GRADING'!$A$1:$CP997,MATCH($A214,'Primary - GRADING'!$CP:$CP,0),23)</f>
        <v>#N/A</v>
      </c>
      <c r="AA214" s="153" t="str">
        <f t="array" ref="AA214">INDEX('Primary - GRADING'!$A$1:$CP997,MATCH($A214,'Primary - GRADING'!$CP:$CP,0),24)</f>
        <v>#N/A</v>
      </c>
      <c r="AB214" s="153" t="str">
        <f t="array" ref="AB214">INDEX('Primary - GRADING'!$A$1:$CP997,MATCH($A214,'Primary - GRADING'!$CP:$CP,0),25)</f>
        <v>#N/A</v>
      </c>
      <c r="AC214" s="153" t="str">
        <f t="array" ref="AC214">INDEX('Primary - GRADING'!$A$1:$CP997,MATCH($A214,'Primary - GRADING'!$CP:$CP,0),46)</f>
        <v>#N/A</v>
      </c>
      <c r="AG214" s="153" t="str">
        <f t="shared" si="7"/>
        <v>#N/A</v>
      </c>
      <c r="AI214" s="153" t="str">
        <f>VLOOKUP(AH214,'Primary - GRADING'!$A$4:$C997,2,)</f>
        <v>#N/A</v>
      </c>
      <c r="AJ214" s="153" t="str">
        <f>VLOOKUP(AH214,'Primary - GRADING'!$A$4:$C997,3,)</f>
        <v>#N/A</v>
      </c>
      <c r="AK214" s="153" t="str">
        <f>VLOOKUP(AH214,'Primary - GRADING'!$A$4:$BG997,59,)</f>
        <v>#N/A</v>
      </c>
      <c r="AL214" s="153" t="str">
        <f>IFS(AK214="NMA",VLOOKUP(AH214,'Primary - GRADING'!$A$4:$BG997,51,),AK214="DIRECT",VLOOKUP(AH214,'Primary - GRADING'!$A$4:$BG997,8,),AK214="INDIRECT",VLOOKUP(AH214,'Primary - GRADING'!$A$4:$BG997,23,))</f>
        <v>#N/A</v>
      </c>
      <c r="AM214" s="153" t="str">
        <f>IFS(AK214="NMA",VLOOKUP(AH214,'Primary - GRADING'!$A$4:$BG997,52,),AK214="DIRECT",VLOOKUP(AH214,'Primary - GRADING'!$A$4:$BG997,9,),AK214="INDIRECT",VLOOKUP(AH214,'Primary - GRADING'!$A$4:$BG997,24,))</f>
        <v>#N/A</v>
      </c>
      <c r="AN214" s="153" t="str">
        <f>IFS(AK214="NMA",VLOOKUP(AH214,'Primary - GRADING'!$A$4:$BG997,53,),AK214="DIRECT",VLOOKUP(AH214,'Primary - GRADING'!$A$4:$BG997,10,),AK214="INDIRECT",VLOOKUP(AH214,'Primary - GRADING'!$A$4:$BG997,25,))</f>
        <v>#N/A</v>
      </c>
      <c r="AO214" s="153" t="str">
        <f t="shared" si="8"/>
        <v>#N/A</v>
      </c>
      <c r="AT214" s="153" t="str">
        <f t="shared" si="9"/>
        <v>#N/A</v>
      </c>
      <c r="AV214" s="153" t="str">
        <f>VLOOKUP(AU214,'Primary - GRADING'!$A$4:$C997,2,)</f>
        <v>#N/A</v>
      </c>
      <c r="AW214" s="153" t="str">
        <f>VLOOKUP(AU214,'Primary - GRADING'!$A$4:$C997,3,)</f>
        <v>#N/A</v>
      </c>
      <c r="AX214" s="153" t="str">
        <f>VLOOKUP(AU214,'Primary - GRADING'!$A$4:$BG997,59,)</f>
        <v>#N/A</v>
      </c>
      <c r="AY214" s="153" t="str">
        <f>IFS(AX214="NMA",VLOOKUP(AU214,'Primary - GRADING'!$A$4:$BG997,51,),AX214="DIRECT",VLOOKUP(AU214,'Primary - GRADING'!$A$4:$BG997,8,),AX214="INDIRECT",VLOOKUP(AU214,'Primary - GRADING'!$A$4:$BG997,23,))</f>
        <v>#N/A</v>
      </c>
      <c r="AZ214" s="153" t="str">
        <f>IFS(AX214="NMA",VLOOKUP(AU214,'Primary - GRADING'!$A$4:$BG997,52,),AX214="DIRECT",VLOOKUP(AU214,'Primary - GRADING'!$A$4:$BG997,9,),AX214="INDIRECT",VLOOKUP(AU214,'Primary - GRADING'!$A$4:$BG997,24,))</f>
        <v>#N/A</v>
      </c>
      <c r="BA214" s="153" t="str">
        <f>IFS(AX214="NMA",VLOOKUP(AU214,'Primary - GRADING'!$A$4:$BG997,53,),AX214="DIRECT",VLOOKUP(AU214,'Primary - GRADING'!$A$4:$BG997,10,),AX214="INDIRECT",VLOOKUP(AU214,'Primary - GRADING'!$A$4:$BG997,25,))</f>
        <v>#N/A</v>
      </c>
      <c r="BB214" s="153" t="str">
        <f t="shared" si="10"/>
        <v>#N/A</v>
      </c>
      <c r="BE214" s="153" t="str">
        <f t="shared" si="11"/>
        <v/>
      </c>
      <c r="BG214" s="153" t="str">
        <f t="shared" si="12"/>
        <v>#N/A</v>
      </c>
      <c r="BI214" s="153" t="str">
        <f t="shared" si="13"/>
        <v>#N/A</v>
      </c>
      <c r="BK214" s="153" t="str">
        <f t="shared" si="14"/>
        <v>#N/A</v>
      </c>
      <c r="BM214" s="153" t="str">
        <f t="shared" si="15"/>
        <v>#N/A</v>
      </c>
    </row>
    <row r="215" ht="15.75" customHeight="1">
      <c r="B215" s="160" t="str">
        <f t="shared" si="1"/>
        <v>#N/A</v>
      </c>
      <c r="C215" s="160" t="str">
        <f t="shared" si="2"/>
        <v>#N/A</v>
      </c>
      <c r="D215" s="160" t="str">
        <f t="shared" si="3"/>
        <v>#N/A</v>
      </c>
      <c r="E215" s="161" t="str">
        <f t="shared" si="4"/>
        <v>#N/A</v>
      </c>
      <c r="F215" s="153" t="str">
        <f t="shared" si="17"/>
        <v>#N/A</v>
      </c>
      <c r="G215" s="153" t="str">
        <f t="shared" si="6"/>
        <v>#N/A</v>
      </c>
      <c r="H215" s="156" t="str">
        <f t="array" ref="H215">INDEX('Primary - GRADING'!$A$1:$BG997,MATCH($A215,'Primary - GRADING'!$B:$B,0),59)</f>
        <v>#N/A</v>
      </c>
      <c r="I215" s="153" t="str">
        <f t="array" ref="I215">INDEX('Primary - GRADING'!$A$1:$CP997,MATCH($A215,'Primary - GRADING'!$CP:$CP,0),48)</f>
        <v>#N/A</v>
      </c>
      <c r="J215" s="153" t="str">
        <f t="array" ref="J215">INDEX('Primary - GRADING'!$A$1:$CP997,MATCH($A215,'Primary - GRADING'!$CP:$CP,0),49)</f>
        <v>#N/A</v>
      </c>
      <c r="K215" s="153" t="str">
        <f t="array" ref="K215">INDEX('Primary - GRADING'!$A$1:$CP997,MATCH($A215,'Primary - GRADING'!$CP:$CP,0),50)</f>
        <v>#N/A</v>
      </c>
      <c r="L215" s="153" t="str">
        <f t="array" ref="L215">INDEX('Primary - GRADING'!$A$1:$CP997,MATCH($A215,'Primary - GRADING'!$CP:$CP,0),51)</f>
        <v>#N/A</v>
      </c>
      <c r="M215" s="153" t="str">
        <f t="array" ref="M215">INDEX('Primary - GRADING'!$A$1:$CP997,MATCH($A215,'Primary - GRADING'!$CP:$CP,0),52)</f>
        <v>#N/A</v>
      </c>
      <c r="N215" s="153" t="str">
        <f t="array" ref="N215">INDEX('Primary - GRADING'!$A$1:$CP997,MATCH($A215,'Primary - GRADING'!$CP:$CP,0),53)</f>
        <v>#N/A</v>
      </c>
      <c r="O215" s="153" t="str">
        <f t="array" ref="O215">INDEX('Primary - GRADING'!$A$1:$CP997,MATCH($A215,'Primary - GRADING'!$CP:$CP,0),58)</f>
        <v>#N/A</v>
      </c>
      <c r="P215" s="153" t="str">
        <f t="array" ref="P215">INDEX('Primary - GRADING'!$A$1:$CP997,MATCH($A215,'Primary - GRADING'!$CP:$CP,0),5)</f>
        <v>#N/A</v>
      </c>
      <c r="Q215" s="153" t="str">
        <f t="array" ref="Q215">INDEX('Primary - GRADING'!$A$1:$CP997,MATCH($A215,'Primary - GRADING'!$CP:$CP,0),6)</f>
        <v>#N/A</v>
      </c>
      <c r="R215" s="153" t="str">
        <f t="array" ref="R215">INDEX('Primary - GRADING'!$A$1:$CP997,MATCH($A215,'Primary - GRADING'!$CP:$CP,0),7)</f>
        <v>#N/A</v>
      </c>
      <c r="S215" s="153" t="str">
        <f t="array" ref="S215">INDEX('Primary - GRADING'!$A$1:$CP997,MATCH($A215,'Primary - GRADING'!$CP:$CP,0),8)</f>
        <v>#N/A</v>
      </c>
      <c r="T215" s="153" t="str">
        <f t="array" ref="T215">INDEX('Primary - GRADING'!$A$1:$CP997,MATCH($A215,'Primary - GRADING'!$CP:$CP,0),9)</f>
        <v>#N/A</v>
      </c>
      <c r="U215" s="153" t="str">
        <f t="array" ref="U215">INDEX('Primary - GRADING'!$A$1:$CP997,MATCH($A215,'Primary - GRADING'!$CP:$CP,0),10)</f>
        <v>#N/A</v>
      </c>
      <c r="V215" s="153" t="str">
        <f t="array" ref="V215">INDEX('Primary - GRADING'!$A$1:$CP997,MATCH($A215,'Primary - GRADING'!$CP:$CP,0),18)</f>
        <v>#N/A</v>
      </c>
      <c r="W215" s="153" t="str">
        <f t="array" ref="W215">INDEX('Primary - GRADING'!$A$1:$CP997,MATCH($A215,'Primary - GRADING'!$CP:$CP,0),20)</f>
        <v>#N/A</v>
      </c>
      <c r="X215" s="153" t="str">
        <f t="array" ref="X215">INDEX('Primary - GRADING'!$A$1:$CP997,MATCH($A215,'Primary - GRADING'!$CP:$CP,0),21)</f>
        <v>#N/A</v>
      </c>
      <c r="Y215" s="153" t="str">
        <f t="array" ref="Y215">INDEX('Primary - GRADING'!$A$1:$CP997,MATCH($A215,'Primary - GRADING'!$CP:$CP,0),22)</f>
        <v>#N/A</v>
      </c>
      <c r="Z215" s="165" t="str">
        <f t="array" ref="Z215">INDEX('Primary - GRADING'!$A$1:$CP997,MATCH($A215,'Primary - GRADING'!$CP:$CP,0),23)</f>
        <v>#N/A</v>
      </c>
      <c r="AA215" s="153" t="str">
        <f t="array" ref="AA215">INDEX('Primary - GRADING'!$A$1:$CP997,MATCH($A215,'Primary - GRADING'!$CP:$CP,0),24)</f>
        <v>#N/A</v>
      </c>
      <c r="AB215" s="153" t="str">
        <f t="array" ref="AB215">INDEX('Primary - GRADING'!$A$1:$CP997,MATCH($A215,'Primary - GRADING'!$CP:$CP,0),25)</f>
        <v>#N/A</v>
      </c>
      <c r="AC215" s="153" t="str">
        <f t="array" ref="AC215">INDEX('Primary - GRADING'!$A$1:$CP997,MATCH($A215,'Primary - GRADING'!$CP:$CP,0),46)</f>
        <v>#N/A</v>
      </c>
      <c r="AG215" s="153" t="str">
        <f t="shared" si="7"/>
        <v>#N/A</v>
      </c>
      <c r="AI215" s="153" t="str">
        <f>VLOOKUP(AH215,'Primary - GRADING'!$A$4:$C997,2,)</f>
        <v>#N/A</v>
      </c>
      <c r="AJ215" s="153" t="str">
        <f>VLOOKUP(AH215,'Primary - GRADING'!$A$4:$C997,3,)</f>
        <v>#N/A</v>
      </c>
      <c r="AK215" s="153" t="str">
        <f>VLOOKUP(AH215,'Primary - GRADING'!$A$4:$BG997,59,)</f>
        <v>#N/A</v>
      </c>
      <c r="AL215" s="153" t="str">
        <f>IFS(AK215="NMA",VLOOKUP(AH215,'Primary - GRADING'!$A$4:$BG997,51,),AK215="DIRECT",VLOOKUP(AH215,'Primary - GRADING'!$A$4:$BG997,8,),AK215="INDIRECT",VLOOKUP(AH215,'Primary - GRADING'!$A$4:$BG997,23,))</f>
        <v>#N/A</v>
      </c>
      <c r="AM215" s="153" t="str">
        <f>IFS(AK215="NMA",VLOOKUP(AH215,'Primary - GRADING'!$A$4:$BG997,52,),AK215="DIRECT",VLOOKUP(AH215,'Primary - GRADING'!$A$4:$BG997,9,),AK215="INDIRECT",VLOOKUP(AH215,'Primary - GRADING'!$A$4:$BG997,24,))</f>
        <v>#N/A</v>
      </c>
      <c r="AN215" s="153" t="str">
        <f>IFS(AK215="NMA",VLOOKUP(AH215,'Primary - GRADING'!$A$4:$BG997,53,),AK215="DIRECT",VLOOKUP(AH215,'Primary - GRADING'!$A$4:$BG997,10,),AK215="INDIRECT",VLOOKUP(AH215,'Primary - GRADING'!$A$4:$BG997,25,))</f>
        <v>#N/A</v>
      </c>
      <c r="AO215" s="153" t="str">
        <f t="shared" si="8"/>
        <v>#N/A</v>
      </c>
      <c r="AT215" s="153" t="str">
        <f t="shared" si="9"/>
        <v>#N/A</v>
      </c>
      <c r="AV215" s="153" t="str">
        <f>VLOOKUP(AU215,'Primary - GRADING'!$A$4:$C997,2,)</f>
        <v>#N/A</v>
      </c>
      <c r="AW215" s="153" t="str">
        <f>VLOOKUP(AU215,'Primary - GRADING'!$A$4:$C997,3,)</f>
        <v>#N/A</v>
      </c>
      <c r="AX215" s="153" t="str">
        <f>VLOOKUP(AU215,'Primary - GRADING'!$A$4:$BG997,59,)</f>
        <v>#N/A</v>
      </c>
      <c r="AY215" s="153" t="str">
        <f>IFS(AX215="NMA",VLOOKUP(AU215,'Primary - GRADING'!$A$4:$BG997,51,),AX215="DIRECT",VLOOKUP(AU215,'Primary - GRADING'!$A$4:$BG997,8,),AX215="INDIRECT",VLOOKUP(AU215,'Primary - GRADING'!$A$4:$BG997,23,))</f>
        <v>#N/A</v>
      </c>
      <c r="AZ215" s="153" t="str">
        <f>IFS(AX215="NMA",VLOOKUP(AU215,'Primary - GRADING'!$A$4:$BG997,52,),AX215="DIRECT",VLOOKUP(AU215,'Primary - GRADING'!$A$4:$BG997,9,),AX215="INDIRECT",VLOOKUP(AU215,'Primary - GRADING'!$A$4:$BG997,24,))</f>
        <v>#N/A</v>
      </c>
      <c r="BA215" s="153" t="str">
        <f>IFS(AX215="NMA",VLOOKUP(AU215,'Primary - GRADING'!$A$4:$BG997,53,),AX215="DIRECT",VLOOKUP(AU215,'Primary - GRADING'!$A$4:$BG997,10,),AX215="INDIRECT",VLOOKUP(AU215,'Primary - GRADING'!$A$4:$BG997,25,))</f>
        <v>#N/A</v>
      </c>
      <c r="BB215" s="153" t="str">
        <f t="shared" si="10"/>
        <v>#N/A</v>
      </c>
      <c r="BE215" s="153" t="str">
        <f t="shared" si="11"/>
        <v/>
      </c>
      <c r="BG215" s="153" t="str">
        <f t="shared" si="12"/>
        <v>#N/A</v>
      </c>
      <c r="BI215" s="153" t="str">
        <f t="shared" si="13"/>
        <v>#N/A</v>
      </c>
      <c r="BK215" s="153" t="str">
        <f t="shared" si="14"/>
        <v>#N/A</v>
      </c>
      <c r="BM215" s="153" t="str">
        <f t="shared" si="15"/>
        <v>#N/A</v>
      </c>
    </row>
    <row r="216" ht="15.75" customHeight="1">
      <c r="B216" s="160" t="str">
        <f t="shared" si="1"/>
        <v>#N/A</v>
      </c>
      <c r="C216" s="160" t="str">
        <f t="shared" si="2"/>
        <v>#N/A</v>
      </c>
      <c r="D216" s="160" t="str">
        <f t="shared" si="3"/>
        <v>#N/A</v>
      </c>
      <c r="E216" s="161" t="str">
        <f t="shared" si="4"/>
        <v>#N/A</v>
      </c>
      <c r="F216" s="153" t="str">
        <f t="shared" si="17"/>
        <v>#N/A</v>
      </c>
      <c r="G216" s="153" t="str">
        <f t="shared" si="6"/>
        <v>#N/A</v>
      </c>
      <c r="H216" s="156" t="str">
        <f t="array" ref="H216">INDEX('Primary - GRADING'!$A$1:$BG997,MATCH($A216,'Primary - GRADING'!$B:$B,0),59)</f>
        <v>#N/A</v>
      </c>
      <c r="I216" s="153" t="str">
        <f t="array" ref="I216">INDEX('Primary - GRADING'!$A$1:$CP997,MATCH($A216,'Primary - GRADING'!$CP:$CP,0),48)</f>
        <v>#N/A</v>
      </c>
      <c r="J216" s="153" t="str">
        <f t="array" ref="J216">INDEX('Primary - GRADING'!$A$1:$CP997,MATCH($A216,'Primary - GRADING'!$CP:$CP,0),49)</f>
        <v>#N/A</v>
      </c>
      <c r="K216" s="153" t="str">
        <f t="array" ref="K216">INDEX('Primary - GRADING'!$A$1:$CP997,MATCH($A216,'Primary - GRADING'!$CP:$CP,0),50)</f>
        <v>#N/A</v>
      </c>
      <c r="L216" s="153" t="str">
        <f t="array" ref="L216">INDEX('Primary - GRADING'!$A$1:$CP997,MATCH($A216,'Primary - GRADING'!$CP:$CP,0),51)</f>
        <v>#N/A</v>
      </c>
      <c r="M216" s="153" t="str">
        <f t="array" ref="M216">INDEX('Primary - GRADING'!$A$1:$CP997,MATCH($A216,'Primary - GRADING'!$CP:$CP,0),52)</f>
        <v>#N/A</v>
      </c>
      <c r="N216" s="153" t="str">
        <f t="array" ref="N216">INDEX('Primary - GRADING'!$A$1:$CP997,MATCH($A216,'Primary - GRADING'!$CP:$CP,0),53)</f>
        <v>#N/A</v>
      </c>
      <c r="O216" s="153" t="str">
        <f t="array" ref="O216">INDEX('Primary - GRADING'!$A$1:$CP997,MATCH($A216,'Primary - GRADING'!$CP:$CP,0),58)</f>
        <v>#N/A</v>
      </c>
      <c r="P216" s="153" t="str">
        <f t="array" ref="P216">INDEX('Primary - GRADING'!$A$1:$CP997,MATCH($A216,'Primary - GRADING'!$CP:$CP,0),5)</f>
        <v>#N/A</v>
      </c>
      <c r="Q216" s="153" t="str">
        <f t="array" ref="Q216">INDEX('Primary - GRADING'!$A$1:$CP997,MATCH($A216,'Primary - GRADING'!$CP:$CP,0),6)</f>
        <v>#N/A</v>
      </c>
      <c r="R216" s="153" t="str">
        <f t="array" ref="R216">INDEX('Primary - GRADING'!$A$1:$CP997,MATCH($A216,'Primary - GRADING'!$CP:$CP,0),7)</f>
        <v>#N/A</v>
      </c>
      <c r="S216" s="153" t="str">
        <f t="array" ref="S216">INDEX('Primary - GRADING'!$A$1:$CP997,MATCH($A216,'Primary - GRADING'!$CP:$CP,0),8)</f>
        <v>#N/A</v>
      </c>
      <c r="T216" s="153" t="str">
        <f t="array" ref="T216">INDEX('Primary - GRADING'!$A$1:$CP997,MATCH($A216,'Primary - GRADING'!$CP:$CP,0),9)</f>
        <v>#N/A</v>
      </c>
      <c r="U216" s="153" t="str">
        <f t="array" ref="U216">INDEX('Primary - GRADING'!$A$1:$CP997,MATCH($A216,'Primary - GRADING'!$CP:$CP,0),10)</f>
        <v>#N/A</v>
      </c>
      <c r="V216" s="153" t="str">
        <f t="array" ref="V216">INDEX('Primary - GRADING'!$A$1:$CP997,MATCH($A216,'Primary - GRADING'!$CP:$CP,0),18)</f>
        <v>#N/A</v>
      </c>
      <c r="W216" s="153" t="str">
        <f t="array" ref="W216">INDEX('Primary - GRADING'!$A$1:$CP997,MATCH($A216,'Primary - GRADING'!$CP:$CP,0),20)</f>
        <v>#N/A</v>
      </c>
      <c r="X216" s="153" t="str">
        <f t="array" ref="X216">INDEX('Primary - GRADING'!$A$1:$CP997,MATCH($A216,'Primary - GRADING'!$CP:$CP,0),21)</f>
        <v>#N/A</v>
      </c>
      <c r="Y216" s="153" t="str">
        <f t="array" ref="Y216">INDEX('Primary - GRADING'!$A$1:$CP997,MATCH($A216,'Primary - GRADING'!$CP:$CP,0),22)</f>
        <v>#N/A</v>
      </c>
      <c r="Z216" s="165" t="str">
        <f t="array" ref="Z216">INDEX('Primary - GRADING'!$A$1:$CP997,MATCH($A216,'Primary - GRADING'!$CP:$CP,0),23)</f>
        <v>#N/A</v>
      </c>
      <c r="AA216" s="153" t="str">
        <f t="array" ref="AA216">INDEX('Primary - GRADING'!$A$1:$CP997,MATCH($A216,'Primary - GRADING'!$CP:$CP,0),24)</f>
        <v>#N/A</v>
      </c>
      <c r="AB216" s="153" t="str">
        <f t="array" ref="AB216">INDEX('Primary - GRADING'!$A$1:$CP997,MATCH($A216,'Primary - GRADING'!$CP:$CP,0),25)</f>
        <v>#N/A</v>
      </c>
      <c r="AC216" s="153" t="str">
        <f t="array" ref="AC216">INDEX('Primary - GRADING'!$A$1:$CP997,MATCH($A216,'Primary - GRADING'!$CP:$CP,0),46)</f>
        <v>#N/A</v>
      </c>
      <c r="AG216" s="153" t="str">
        <f t="shared" si="7"/>
        <v>#N/A</v>
      </c>
      <c r="AI216" s="153" t="str">
        <f>VLOOKUP(AH216,'Primary - GRADING'!$A$4:$C997,2,)</f>
        <v>#N/A</v>
      </c>
      <c r="AJ216" s="153" t="str">
        <f>VLOOKUP(AH216,'Primary - GRADING'!$A$4:$C997,3,)</f>
        <v>#N/A</v>
      </c>
      <c r="AK216" s="153" t="str">
        <f>VLOOKUP(AH216,'Primary - GRADING'!$A$4:$BG997,59,)</f>
        <v>#N/A</v>
      </c>
      <c r="AL216" s="153" t="str">
        <f>IFS(AK216="NMA",VLOOKUP(AH216,'Primary - GRADING'!$A$4:$BG997,51,),AK216="DIRECT",VLOOKUP(AH216,'Primary - GRADING'!$A$4:$BG997,8,),AK216="INDIRECT",VLOOKUP(AH216,'Primary - GRADING'!$A$4:$BG997,23,))</f>
        <v>#N/A</v>
      </c>
      <c r="AM216" s="153" t="str">
        <f>IFS(AK216="NMA",VLOOKUP(AH216,'Primary - GRADING'!$A$4:$BG997,52,),AK216="DIRECT",VLOOKUP(AH216,'Primary - GRADING'!$A$4:$BG997,9,),AK216="INDIRECT",VLOOKUP(AH216,'Primary - GRADING'!$A$4:$BG997,24,))</f>
        <v>#N/A</v>
      </c>
      <c r="AN216" s="153" t="str">
        <f>IFS(AK216="NMA",VLOOKUP(AH216,'Primary - GRADING'!$A$4:$BG997,53,),AK216="DIRECT",VLOOKUP(AH216,'Primary - GRADING'!$A$4:$BG997,10,),AK216="INDIRECT",VLOOKUP(AH216,'Primary - GRADING'!$A$4:$BG997,25,))</f>
        <v>#N/A</v>
      </c>
      <c r="AO216" s="153" t="str">
        <f t="shared" si="8"/>
        <v>#N/A</v>
      </c>
      <c r="AT216" s="153" t="str">
        <f t="shared" si="9"/>
        <v>#N/A</v>
      </c>
      <c r="AV216" s="153" t="str">
        <f>VLOOKUP(AU216,'Primary - GRADING'!$A$4:$C997,2,)</f>
        <v>#N/A</v>
      </c>
      <c r="AW216" s="153" t="str">
        <f>VLOOKUP(AU216,'Primary - GRADING'!$A$4:$C997,3,)</f>
        <v>#N/A</v>
      </c>
      <c r="AX216" s="153" t="str">
        <f>VLOOKUP(AU216,'Primary - GRADING'!$A$4:$BG997,59,)</f>
        <v>#N/A</v>
      </c>
      <c r="AY216" s="153" t="str">
        <f>IFS(AX216="NMA",VLOOKUP(AU216,'Primary - GRADING'!$A$4:$BG997,51,),AX216="DIRECT",VLOOKUP(AU216,'Primary - GRADING'!$A$4:$BG997,8,),AX216="INDIRECT",VLOOKUP(AU216,'Primary - GRADING'!$A$4:$BG997,23,))</f>
        <v>#N/A</v>
      </c>
      <c r="AZ216" s="153" t="str">
        <f>IFS(AX216="NMA",VLOOKUP(AU216,'Primary - GRADING'!$A$4:$BG997,52,),AX216="DIRECT",VLOOKUP(AU216,'Primary - GRADING'!$A$4:$BG997,9,),AX216="INDIRECT",VLOOKUP(AU216,'Primary - GRADING'!$A$4:$BG997,24,))</f>
        <v>#N/A</v>
      </c>
      <c r="BA216" s="153" t="str">
        <f>IFS(AX216="NMA",VLOOKUP(AU216,'Primary - GRADING'!$A$4:$BG997,53,),AX216="DIRECT",VLOOKUP(AU216,'Primary - GRADING'!$A$4:$BG997,10,),AX216="INDIRECT",VLOOKUP(AU216,'Primary - GRADING'!$A$4:$BG997,25,))</f>
        <v>#N/A</v>
      </c>
      <c r="BB216" s="153" t="str">
        <f t="shared" si="10"/>
        <v>#N/A</v>
      </c>
      <c r="BE216" s="153" t="str">
        <f t="shared" si="11"/>
        <v/>
      </c>
      <c r="BG216" s="153" t="str">
        <f t="shared" si="12"/>
        <v>#N/A</v>
      </c>
      <c r="BI216" s="153" t="str">
        <f t="shared" si="13"/>
        <v>#N/A</v>
      </c>
      <c r="BK216" s="153" t="str">
        <f t="shared" si="14"/>
        <v>#N/A</v>
      </c>
      <c r="BM216" s="153" t="str">
        <f t="shared" si="15"/>
        <v>#N/A</v>
      </c>
    </row>
    <row r="217" ht="15.75" customHeight="1">
      <c r="B217" s="160" t="str">
        <f t="shared" si="1"/>
        <v>#N/A</v>
      </c>
      <c r="C217" s="160" t="str">
        <f t="shared" si="2"/>
        <v>#N/A</v>
      </c>
      <c r="D217" s="160" t="str">
        <f t="shared" si="3"/>
        <v>#N/A</v>
      </c>
      <c r="E217" s="161" t="str">
        <f t="shared" si="4"/>
        <v>#N/A</v>
      </c>
      <c r="F217" s="153" t="str">
        <f t="shared" si="17"/>
        <v>#N/A</v>
      </c>
      <c r="G217" s="153" t="str">
        <f t="shared" si="6"/>
        <v>#N/A</v>
      </c>
      <c r="H217" s="156" t="str">
        <f t="array" ref="H217">INDEX('Primary - GRADING'!$A$1:$BG997,MATCH($A217,'Primary - GRADING'!$B:$B,0),59)</f>
        <v>#N/A</v>
      </c>
      <c r="I217" s="153" t="str">
        <f t="array" ref="I217">INDEX('Primary - GRADING'!$A$1:$CP997,MATCH($A217,'Primary - GRADING'!$CP:$CP,0),48)</f>
        <v>#N/A</v>
      </c>
      <c r="J217" s="153" t="str">
        <f t="array" ref="J217">INDEX('Primary - GRADING'!$A$1:$CP997,MATCH($A217,'Primary - GRADING'!$CP:$CP,0),49)</f>
        <v>#N/A</v>
      </c>
      <c r="K217" s="153" t="str">
        <f t="array" ref="K217">INDEX('Primary - GRADING'!$A$1:$CP997,MATCH($A217,'Primary - GRADING'!$CP:$CP,0),50)</f>
        <v>#N/A</v>
      </c>
      <c r="L217" s="153" t="str">
        <f t="array" ref="L217">INDEX('Primary - GRADING'!$A$1:$CP997,MATCH($A217,'Primary - GRADING'!$CP:$CP,0),51)</f>
        <v>#N/A</v>
      </c>
      <c r="M217" s="153" t="str">
        <f t="array" ref="M217">INDEX('Primary - GRADING'!$A$1:$CP997,MATCH($A217,'Primary - GRADING'!$CP:$CP,0),52)</f>
        <v>#N/A</v>
      </c>
      <c r="N217" s="153" t="str">
        <f t="array" ref="N217">INDEX('Primary - GRADING'!$A$1:$CP997,MATCH($A217,'Primary - GRADING'!$CP:$CP,0),53)</f>
        <v>#N/A</v>
      </c>
      <c r="O217" s="153" t="str">
        <f t="array" ref="O217">INDEX('Primary - GRADING'!$A$1:$CP997,MATCH($A217,'Primary - GRADING'!$CP:$CP,0),58)</f>
        <v>#N/A</v>
      </c>
      <c r="P217" s="153" t="str">
        <f t="array" ref="P217">INDEX('Primary - GRADING'!$A$1:$CP997,MATCH($A217,'Primary - GRADING'!$CP:$CP,0),5)</f>
        <v>#N/A</v>
      </c>
      <c r="Q217" s="153" t="str">
        <f t="array" ref="Q217">INDEX('Primary - GRADING'!$A$1:$CP997,MATCH($A217,'Primary - GRADING'!$CP:$CP,0),6)</f>
        <v>#N/A</v>
      </c>
      <c r="R217" s="153" t="str">
        <f t="array" ref="R217">INDEX('Primary - GRADING'!$A$1:$CP997,MATCH($A217,'Primary - GRADING'!$CP:$CP,0),7)</f>
        <v>#N/A</v>
      </c>
      <c r="S217" s="153" t="str">
        <f t="array" ref="S217">INDEX('Primary - GRADING'!$A$1:$CP997,MATCH($A217,'Primary - GRADING'!$CP:$CP,0),8)</f>
        <v>#N/A</v>
      </c>
      <c r="T217" s="153" t="str">
        <f t="array" ref="T217">INDEX('Primary - GRADING'!$A$1:$CP997,MATCH($A217,'Primary - GRADING'!$CP:$CP,0),9)</f>
        <v>#N/A</v>
      </c>
      <c r="U217" s="153" t="str">
        <f t="array" ref="U217">INDEX('Primary - GRADING'!$A$1:$CP997,MATCH($A217,'Primary - GRADING'!$CP:$CP,0),10)</f>
        <v>#N/A</v>
      </c>
      <c r="V217" s="153" t="str">
        <f t="array" ref="V217">INDEX('Primary - GRADING'!$A$1:$CP997,MATCH($A217,'Primary - GRADING'!$CP:$CP,0),18)</f>
        <v>#N/A</v>
      </c>
      <c r="W217" s="153" t="str">
        <f t="array" ref="W217">INDEX('Primary - GRADING'!$A$1:$CP997,MATCH($A217,'Primary - GRADING'!$CP:$CP,0),20)</f>
        <v>#N/A</v>
      </c>
      <c r="X217" s="153" t="str">
        <f t="array" ref="X217">INDEX('Primary - GRADING'!$A$1:$CP997,MATCH($A217,'Primary - GRADING'!$CP:$CP,0),21)</f>
        <v>#N/A</v>
      </c>
      <c r="Y217" s="153" t="str">
        <f t="array" ref="Y217">INDEX('Primary - GRADING'!$A$1:$CP997,MATCH($A217,'Primary - GRADING'!$CP:$CP,0),22)</f>
        <v>#N/A</v>
      </c>
      <c r="Z217" s="165" t="str">
        <f t="array" ref="Z217">INDEX('Primary - GRADING'!$A$1:$CP997,MATCH($A217,'Primary - GRADING'!$CP:$CP,0),23)</f>
        <v>#N/A</v>
      </c>
      <c r="AA217" s="153" t="str">
        <f t="array" ref="AA217">INDEX('Primary - GRADING'!$A$1:$CP997,MATCH($A217,'Primary - GRADING'!$CP:$CP,0),24)</f>
        <v>#N/A</v>
      </c>
      <c r="AB217" s="153" t="str">
        <f t="array" ref="AB217">INDEX('Primary - GRADING'!$A$1:$CP997,MATCH($A217,'Primary - GRADING'!$CP:$CP,0),25)</f>
        <v>#N/A</v>
      </c>
      <c r="AC217" s="153" t="str">
        <f t="array" ref="AC217">INDEX('Primary - GRADING'!$A$1:$CP997,MATCH($A217,'Primary - GRADING'!$CP:$CP,0),46)</f>
        <v>#N/A</v>
      </c>
      <c r="AG217" s="153" t="str">
        <f t="shared" si="7"/>
        <v>#N/A</v>
      </c>
      <c r="AI217" s="153" t="str">
        <f>VLOOKUP(AH217,'Primary - GRADING'!$A$4:$C997,2,)</f>
        <v>#N/A</v>
      </c>
      <c r="AJ217" s="153" t="str">
        <f>VLOOKUP(AH217,'Primary - GRADING'!$A$4:$C997,3,)</f>
        <v>#N/A</v>
      </c>
      <c r="AK217" s="153" t="str">
        <f>VLOOKUP(AH217,'Primary - GRADING'!$A$4:$BG997,59,)</f>
        <v>#N/A</v>
      </c>
      <c r="AL217" s="153" t="str">
        <f>IFS(AK217="NMA",VLOOKUP(AH217,'Primary - GRADING'!$A$4:$BG997,51,),AK217="DIRECT",VLOOKUP(AH217,'Primary - GRADING'!$A$4:$BG997,8,),AK217="INDIRECT",VLOOKUP(AH217,'Primary - GRADING'!$A$4:$BG997,23,))</f>
        <v>#N/A</v>
      </c>
      <c r="AM217" s="153" t="str">
        <f>IFS(AK217="NMA",VLOOKUP(AH217,'Primary - GRADING'!$A$4:$BG997,52,),AK217="DIRECT",VLOOKUP(AH217,'Primary - GRADING'!$A$4:$BG997,9,),AK217="INDIRECT",VLOOKUP(AH217,'Primary - GRADING'!$A$4:$BG997,24,))</f>
        <v>#N/A</v>
      </c>
      <c r="AN217" s="153" t="str">
        <f>IFS(AK217="NMA",VLOOKUP(AH217,'Primary - GRADING'!$A$4:$BG997,53,),AK217="DIRECT",VLOOKUP(AH217,'Primary - GRADING'!$A$4:$BG997,10,),AK217="INDIRECT",VLOOKUP(AH217,'Primary - GRADING'!$A$4:$BG997,25,))</f>
        <v>#N/A</v>
      </c>
      <c r="AO217" s="153" t="str">
        <f t="shared" si="8"/>
        <v>#N/A</v>
      </c>
      <c r="AT217" s="153" t="str">
        <f t="shared" si="9"/>
        <v>#N/A</v>
      </c>
      <c r="AV217" s="153" t="str">
        <f>VLOOKUP(AU217,'Primary - GRADING'!$A$4:$C997,2,)</f>
        <v>#N/A</v>
      </c>
      <c r="AW217" s="153" t="str">
        <f>VLOOKUP(AU217,'Primary - GRADING'!$A$4:$C997,3,)</f>
        <v>#N/A</v>
      </c>
      <c r="AX217" s="153" t="str">
        <f>VLOOKUP(AU217,'Primary - GRADING'!$A$4:$BG997,59,)</f>
        <v>#N/A</v>
      </c>
      <c r="AY217" s="153" t="str">
        <f>IFS(AX217="NMA",VLOOKUP(AU217,'Primary - GRADING'!$A$4:$BG997,51,),AX217="DIRECT",VLOOKUP(AU217,'Primary - GRADING'!$A$4:$BG997,8,),AX217="INDIRECT",VLOOKUP(AU217,'Primary - GRADING'!$A$4:$BG997,23,))</f>
        <v>#N/A</v>
      </c>
      <c r="AZ217" s="153" t="str">
        <f>IFS(AX217="NMA",VLOOKUP(AU217,'Primary - GRADING'!$A$4:$BG997,52,),AX217="DIRECT",VLOOKUP(AU217,'Primary - GRADING'!$A$4:$BG997,9,),AX217="INDIRECT",VLOOKUP(AU217,'Primary - GRADING'!$A$4:$BG997,24,))</f>
        <v>#N/A</v>
      </c>
      <c r="BA217" s="153" t="str">
        <f>IFS(AX217="NMA",VLOOKUP(AU217,'Primary - GRADING'!$A$4:$BG997,53,),AX217="DIRECT",VLOOKUP(AU217,'Primary - GRADING'!$A$4:$BG997,10,),AX217="INDIRECT",VLOOKUP(AU217,'Primary - GRADING'!$A$4:$BG997,25,))</f>
        <v>#N/A</v>
      </c>
      <c r="BB217" s="153" t="str">
        <f t="shared" si="10"/>
        <v>#N/A</v>
      </c>
      <c r="BE217" s="153" t="str">
        <f t="shared" si="11"/>
        <v/>
      </c>
      <c r="BG217" s="153" t="str">
        <f t="shared" si="12"/>
        <v>#N/A</v>
      </c>
      <c r="BI217" s="153" t="str">
        <f t="shared" si="13"/>
        <v>#N/A</v>
      </c>
      <c r="BK217" s="153" t="str">
        <f t="shared" si="14"/>
        <v>#N/A</v>
      </c>
      <c r="BM217" s="153" t="str">
        <f t="shared" si="15"/>
        <v>#N/A</v>
      </c>
    </row>
    <row r="218" ht="15.75" customHeight="1">
      <c r="B218" s="160" t="str">
        <f t="shared" si="1"/>
        <v>#N/A</v>
      </c>
      <c r="C218" s="160" t="str">
        <f t="shared" si="2"/>
        <v>#N/A</v>
      </c>
      <c r="D218" s="160" t="str">
        <f t="shared" si="3"/>
        <v>#N/A</v>
      </c>
      <c r="E218" s="161" t="str">
        <f t="shared" si="4"/>
        <v>#N/A</v>
      </c>
      <c r="F218" s="153" t="str">
        <f t="shared" si="17"/>
        <v>#N/A</v>
      </c>
      <c r="G218" s="153" t="str">
        <f t="shared" si="6"/>
        <v>#N/A</v>
      </c>
      <c r="H218" s="156" t="str">
        <f t="array" ref="H218">INDEX('Primary - GRADING'!$A$1:$BG997,MATCH($A218,'Primary - GRADING'!$B:$B,0),59)</f>
        <v>#N/A</v>
      </c>
      <c r="I218" s="153" t="str">
        <f t="array" ref="I218">INDEX('Primary - GRADING'!$A$1:$CP997,MATCH($A218,'Primary - GRADING'!$CP:$CP,0),48)</f>
        <v>#N/A</v>
      </c>
      <c r="J218" s="153" t="str">
        <f t="array" ref="J218">INDEX('Primary - GRADING'!$A$1:$CP997,MATCH($A218,'Primary - GRADING'!$CP:$CP,0),49)</f>
        <v>#N/A</v>
      </c>
      <c r="K218" s="153" t="str">
        <f t="array" ref="K218">INDEX('Primary - GRADING'!$A$1:$CP997,MATCH($A218,'Primary - GRADING'!$CP:$CP,0),50)</f>
        <v>#N/A</v>
      </c>
      <c r="L218" s="153" t="str">
        <f t="array" ref="L218">INDEX('Primary - GRADING'!$A$1:$CP997,MATCH($A218,'Primary - GRADING'!$CP:$CP,0),51)</f>
        <v>#N/A</v>
      </c>
      <c r="M218" s="153" t="str">
        <f t="array" ref="M218">INDEX('Primary - GRADING'!$A$1:$CP997,MATCH($A218,'Primary - GRADING'!$CP:$CP,0),52)</f>
        <v>#N/A</v>
      </c>
      <c r="N218" s="153" t="str">
        <f t="array" ref="N218">INDEX('Primary - GRADING'!$A$1:$CP997,MATCH($A218,'Primary - GRADING'!$CP:$CP,0),53)</f>
        <v>#N/A</v>
      </c>
      <c r="O218" s="153" t="str">
        <f t="array" ref="O218">INDEX('Primary - GRADING'!$A$1:$CP997,MATCH($A218,'Primary - GRADING'!$CP:$CP,0),58)</f>
        <v>#N/A</v>
      </c>
      <c r="P218" s="153" t="str">
        <f t="array" ref="P218">INDEX('Primary - GRADING'!$A$1:$CP997,MATCH($A218,'Primary - GRADING'!$CP:$CP,0),5)</f>
        <v>#N/A</v>
      </c>
      <c r="Q218" s="153" t="str">
        <f t="array" ref="Q218">INDEX('Primary - GRADING'!$A$1:$CP997,MATCH($A218,'Primary - GRADING'!$CP:$CP,0),6)</f>
        <v>#N/A</v>
      </c>
      <c r="R218" s="153" t="str">
        <f t="array" ref="R218">INDEX('Primary - GRADING'!$A$1:$CP997,MATCH($A218,'Primary - GRADING'!$CP:$CP,0),7)</f>
        <v>#N/A</v>
      </c>
      <c r="S218" s="153" t="str">
        <f t="array" ref="S218">INDEX('Primary - GRADING'!$A$1:$CP997,MATCH($A218,'Primary - GRADING'!$CP:$CP,0),8)</f>
        <v>#N/A</v>
      </c>
      <c r="T218" s="153" t="str">
        <f t="array" ref="T218">INDEX('Primary - GRADING'!$A$1:$CP997,MATCH($A218,'Primary - GRADING'!$CP:$CP,0),9)</f>
        <v>#N/A</v>
      </c>
      <c r="U218" s="153" t="str">
        <f t="array" ref="U218">INDEX('Primary - GRADING'!$A$1:$CP997,MATCH($A218,'Primary - GRADING'!$CP:$CP,0),10)</f>
        <v>#N/A</v>
      </c>
      <c r="V218" s="153" t="str">
        <f t="array" ref="V218">INDEX('Primary - GRADING'!$A$1:$CP997,MATCH($A218,'Primary - GRADING'!$CP:$CP,0),18)</f>
        <v>#N/A</v>
      </c>
      <c r="W218" s="153" t="str">
        <f t="array" ref="W218">INDEX('Primary - GRADING'!$A$1:$CP997,MATCH($A218,'Primary - GRADING'!$CP:$CP,0),20)</f>
        <v>#N/A</v>
      </c>
      <c r="X218" s="153" t="str">
        <f t="array" ref="X218">INDEX('Primary - GRADING'!$A$1:$CP997,MATCH($A218,'Primary - GRADING'!$CP:$CP,0),21)</f>
        <v>#N/A</v>
      </c>
      <c r="Y218" s="153" t="str">
        <f t="array" ref="Y218">INDEX('Primary - GRADING'!$A$1:$CP997,MATCH($A218,'Primary - GRADING'!$CP:$CP,0),22)</f>
        <v>#N/A</v>
      </c>
      <c r="Z218" s="165" t="str">
        <f t="array" ref="Z218">INDEX('Primary - GRADING'!$A$1:$CP997,MATCH($A218,'Primary - GRADING'!$CP:$CP,0),23)</f>
        <v>#N/A</v>
      </c>
      <c r="AA218" s="153" t="str">
        <f t="array" ref="AA218">INDEX('Primary - GRADING'!$A$1:$CP997,MATCH($A218,'Primary - GRADING'!$CP:$CP,0),24)</f>
        <v>#N/A</v>
      </c>
      <c r="AB218" s="153" t="str">
        <f t="array" ref="AB218">INDEX('Primary - GRADING'!$A$1:$CP997,MATCH($A218,'Primary - GRADING'!$CP:$CP,0),25)</f>
        <v>#N/A</v>
      </c>
      <c r="AC218" s="153" t="str">
        <f t="array" ref="AC218">INDEX('Primary - GRADING'!$A$1:$CP997,MATCH($A218,'Primary - GRADING'!$CP:$CP,0),46)</f>
        <v>#N/A</v>
      </c>
      <c r="AG218" s="153" t="str">
        <f t="shared" si="7"/>
        <v>#N/A</v>
      </c>
      <c r="AI218" s="153" t="str">
        <f>VLOOKUP(AH218,'Primary - GRADING'!$A$4:$C997,2,)</f>
        <v>#N/A</v>
      </c>
      <c r="AJ218" s="153" t="str">
        <f>VLOOKUP(AH218,'Primary - GRADING'!$A$4:$C997,3,)</f>
        <v>#N/A</v>
      </c>
      <c r="AK218" s="153" t="str">
        <f>VLOOKUP(AH218,'Primary - GRADING'!$A$4:$BG997,59,)</f>
        <v>#N/A</v>
      </c>
      <c r="AL218" s="153" t="str">
        <f>IFS(AK218="NMA",VLOOKUP(AH218,'Primary - GRADING'!$A$4:$BG997,51,),AK218="DIRECT",VLOOKUP(AH218,'Primary - GRADING'!$A$4:$BG997,8,),AK218="INDIRECT",VLOOKUP(AH218,'Primary - GRADING'!$A$4:$BG997,23,))</f>
        <v>#N/A</v>
      </c>
      <c r="AM218" s="153" t="str">
        <f>IFS(AK218="NMA",VLOOKUP(AH218,'Primary - GRADING'!$A$4:$BG997,52,),AK218="DIRECT",VLOOKUP(AH218,'Primary - GRADING'!$A$4:$BG997,9,),AK218="INDIRECT",VLOOKUP(AH218,'Primary - GRADING'!$A$4:$BG997,24,))</f>
        <v>#N/A</v>
      </c>
      <c r="AN218" s="153" t="str">
        <f>IFS(AK218="NMA",VLOOKUP(AH218,'Primary - GRADING'!$A$4:$BG997,53,),AK218="DIRECT",VLOOKUP(AH218,'Primary - GRADING'!$A$4:$BG997,10,),AK218="INDIRECT",VLOOKUP(AH218,'Primary - GRADING'!$A$4:$BG997,25,))</f>
        <v>#N/A</v>
      </c>
      <c r="AO218" s="153" t="str">
        <f t="shared" si="8"/>
        <v>#N/A</v>
      </c>
      <c r="AT218" s="153" t="str">
        <f t="shared" si="9"/>
        <v>#N/A</v>
      </c>
      <c r="AV218" s="153" t="str">
        <f>VLOOKUP(AU218,'Primary - GRADING'!$A$4:$C997,2,)</f>
        <v>#N/A</v>
      </c>
      <c r="AW218" s="153" t="str">
        <f>VLOOKUP(AU218,'Primary - GRADING'!$A$4:$C997,3,)</f>
        <v>#N/A</v>
      </c>
      <c r="AX218" s="153" t="str">
        <f>VLOOKUP(AU218,'Primary - GRADING'!$A$4:$BG997,59,)</f>
        <v>#N/A</v>
      </c>
      <c r="AY218" s="153" t="str">
        <f>IFS(AX218="NMA",VLOOKUP(AU218,'Primary - GRADING'!$A$4:$BG997,51,),AX218="DIRECT",VLOOKUP(AU218,'Primary - GRADING'!$A$4:$BG997,8,),AX218="INDIRECT",VLOOKUP(AU218,'Primary - GRADING'!$A$4:$BG997,23,))</f>
        <v>#N/A</v>
      </c>
      <c r="AZ218" s="153" t="str">
        <f>IFS(AX218="NMA",VLOOKUP(AU218,'Primary - GRADING'!$A$4:$BG997,52,),AX218="DIRECT",VLOOKUP(AU218,'Primary - GRADING'!$A$4:$BG997,9,),AX218="INDIRECT",VLOOKUP(AU218,'Primary - GRADING'!$A$4:$BG997,24,))</f>
        <v>#N/A</v>
      </c>
      <c r="BA218" s="153" t="str">
        <f>IFS(AX218="NMA",VLOOKUP(AU218,'Primary - GRADING'!$A$4:$BG997,53,),AX218="DIRECT",VLOOKUP(AU218,'Primary - GRADING'!$A$4:$BG997,10,),AX218="INDIRECT",VLOOKUP(AU218,'Primary - GRADING'!$A$4:$BG997,25,))</f>
        <v>#N/A</v>
      </c>
      <c r="BB218" s="153" t="str">
        <f t="shared" si="10"/>
        <v>#N/A</v>
      </c>
      <c r="BE218" s="153" t="str">
        <f t="shared" si="11"/>
        <v/>
      </c>
      <c r="BG218" s="153" t="str">
        <f t="shared" si="12"/>
        <v>#N/A</v>
      </c>
      <c r="BI218" s="153" t="str">
        <f t="shared" si="13"/>
        <v>#N/A</v>
      </c>
      <c r="BK218" s="153" t="str">
        <f t="shared" si="14"/>
        <v>#N/A</v>
      </c>
      <c r="BM218" s="153" t="str">
        <f t="shared" si="15"/>
        <v>#N/A</v>
      </c>
    </row>
    <row r="219" ht="15.75" customHeight="1">
      <c r="B219" s="160" t="str">
        <f t="shared" si="1"/>
        <v>#N/A</v>
      </c>
      <c r="C219" s="160" t="str">
        <f t="shared" si="2"/>
        <v>#N/A</v>
      </c>
      <c r="D219" s="160" t="str">
        <f t="shared" si="3"/>
        <v>#N/A</v>
      </c>
      <c r="E219" s="161" t="str">
        <f t="shared" si="4"/>
        <v>#N/A</v>
      </c>
      <c r="F219" s="153" t="str">
        <f t="shared" si="17"/>
        <v>#N/A</v>
      </c>
      <c r="G219" s="153" t="str">
        <f t="shared" si="6"/>
        <v>#N/A</v>
      </c>
      <c r="H219" s="156" t="str">
        <f t="array" ref="H219">INDEX('Primary - GRADING'!$A$1:$BG997,MATCH($A219,'Primary - GRADING'!$B:$B,0),59)</f>
        <v>#N/A</v>
      </c>
      <c r="I219" s="153" t="str">
        <f t="array" ref="I219">INDEX('Primary - GRADING'!$A$1:$CP997,MATCH($A219,'Primary - GRADING'!$CP:$CP,0),48)</f>
        <v>#N/A</v>
      </c>
      <c r="J219" s="153" t="str">
        <f t="array" ref="J219">INDEX('Primary - GRADING'!$A$1:$CP997,MATCH($A219,'Primary - GRADING'!$CP:$CP,0),49)</f>
        <v>#N/A</v>
      </c>
      <c r="K219" s="153" t="str">
        <f t="array" ref="K219">INDEX('Primary - GRADING'!$A$1:$CP997,MATCH($A219,'Primary - GRADING'!$CP:$CP,0),50)</f>
        <v>#N/A</v>
      </c>
      <c r="L219" s="153" t="str">
        <f t="array" ref="L219">INDEX('Primary - GRADING'!$A$1:$CP997,MATCH($A219,'Primary - GRADING'!$CP:$CP,0),51)</f>
        <v>#N/A</v>
      </c>
      <c r="M219" s="153" t="str">
        <f t="array" ref="M219">INDEX('Primary - GRADING'!$A$1:$CP997,MATCH($A219,'Primary - GRADING'!$CP:$CP,0),52)</f>
        <v>#N/A</v>
      </c>
      <c r="N219" s="153" t="str">
        <f t="array" ref="N219">INDEX('Primary - GRADING'!$A$1:$CP997,MATCH($A219,'Primary - GRADING'!$CP:$CP,0),53)</f>
        <v>#N/A</v>
      </c>
      <c r="O219" s="153" t="str">
        <f t="array" ref="O219">INDEX('Primary - GRADING'!$A$1:$CP997,MATCH($A219,'Primary - GRADING'!$CP:$CP,0),58)</f>
        <v>#N/A</v>
      </c>
      <c r="P219" s="153" t="str">
        <f t="array" ref="P219">INDEX('Primary - GRADING'!$A$1:$CP997,MATCH($A219,'Primary - GRADING'!$CP:$CP,0),5)</f>
        <v>#N/A</v>
      </c>
      <c r="Q219" s="153" t="str">
        <f t="array" ref="Q219">INDEX('Primary - GRADING'!$A$1:$CP997,MATCH($A219,'Primary - GRADING'!$CP:$CP,0),6)</f>
        <v>#N/A</v>
      </c>
      <c r="R219" s="153" t="str">
        <f t="array" ref="R219">INDEX('Primary - GRADING'!$A$1:$CP997,MATCH($A219,'Primary - GRADING'!$CP:$CP,0),7)</f>
        <v>#N/A</v>
      </c>
      <c r="S219" s="153" t="str">
        <f t="array" ref="S219">INDEX('Primary - GRADING'!$A$1:$CP997,MATCH($A219,'Primary - GRADING'!$CP:$CP,0),8)</f>
        <v>#N/A</v>
      </c>
      <c r="T219" s="153" t="str">
        <f t="array" ref="T219">INDEX('Primary - GRADING'!$A$1:$CP997,MATCH($A219,'Primary - GRADING'!$CP:$CP,0),9)</f>
        <v>#N/A</v>
      </c>
      <c r="U219" s="153" t="str">
        <f t="array" ref="U219">INDEX('Primary - GRADING'!$A$1:$CP997,MATCH($A219,'Primary - GRADING'!$CP:$CP,0),10)</f>
        <v>#N/A</v>
      </c>
      <c r="V219" s="153" t="str">
        <f t="array" ref="V219">INDEX('Primary - GRADING'!$A$1:$CP997,MATCH($A219,'Primary - GRADING'!$CP:$CP,0),18)</f>
        <v>#N/A</v>
      </c>
      <c r="W219" s="153" t="str">
        <f t="array" ref="W219">INDEX('Primary - GRADING'!$A$1:$CP997,MATCH($A219,'Primary - GRADING'!$CP:$CP,0),20)</f>
        <v>#N/A</v>
      </c>
      <c r="X219" s="153" t="str">
        <f t="array" ref="X219">INDEX('Primary - GRADING'!$A$1:$CP997,MATCH($A219,'Primary - GRADING'!$CP:$CP,0),21)</f>
        <v>#N/A</v>
      </c>
      <c r="Y219" s="153" t="str">
        <f t="array" ref="Y219">INDEX('Primary - GRADING'!$A$1:$CP997,MATCH($A219,'Primary - GRADING'!$CP:$CP,0),22)</f>
        <v>#N/A</v>
      </c>
      <c r="Z219" s="165" t="str">
        <f t="array" ref="Z219">INDEX('Primary - GRADING'!$A$1:$CP997,MATCH($A219,'Primary - GRADING'!$CP:$CP,0),23)</f>
        <v>#N/A</v>
      </c>
      <c r="AA219" s="153" t="str">
        <f t="array" ref="AA219">INDEX('Primary - GRADING'!$A$1:$CP997,MATCH($A219,'Primary - GRADING'!$CP:$CP,0),24)</f>
        <v>#N/A</v>
      </c>
      <c r="AB219" s="153" t="str">
        <f t="array" ref="AB219">INDEX('Primary - GRADING'!$A$1:$CP997,MATCH($A219,'Primary - GRADING'!$CP:$CP,0),25)</f>
        <v>#N/A</v>
      </c>
      <c r="AC219" s="153" t="str">
        <f t="array" ref="AC219">INDEX('Primary - GRADING'!$A$1:$CP997,MATCH($A219,'Primary - GRADING'!$CP:$CP,0),46)</f>
        <v>#N/A</v>
      </c>
      <c r="AG219" s="153" t="str">
        <f t="shared" si="7"/>
        <v>#N/A</v>
      </c>
      <c r="AI219" s="153" t="str">
        <f>VLOOKUP(AH219,'Primary - GRADING'!$A$4:$C997,2,)</f>
        <v>#N/A</v>
      </c>
      <c r="AJ219" s="153" t="str">
        <f>VLOOKUP(AH219,'Primary - GRADING'!$A$4:$C997,3,)</f>
        <v>#N/A</v>
      </c>
      <c r="AK219" s="153" t="str">
        <f>VLOOKUP(AH219,'Primary - GRADING'!$A$4:$BG997,59,)</f>
        <v>#N/A</v>
      </c>
      <c r="AL219" s="153" t="str">
        <f>IFS(AK219="NMA",VLOOKUP(AH219,'Primary - GRADING'!$A$4:$BG997,51,),AK219="DIRECT",VLOOKUP(AH219,'Primary - GRADING'!$A$4:$BG997,8,),AK219="INDIRECT",VLOOKUP(AH219,'Primary - GRADING'!$A$4:$BG997,23,))</f>
        <v>#N/A</v>
      </c>
      <c r="AM219" s="153" t="str">
        <f>IFS(AK219="NMA",VLOOKUP(AH219,'Primary - GRADING'!$A$4:$BG997,52,),AK219="DIRECT",VLOOKUP(AH219,'Primary - GRADING'!$A$4:$BG997,9,),AK219="INDIRECT",VLOOKUP(AH219,'Primary - GRADING'!$A$4:$BG997,24,))</f>
        <v>#N/A</v>
      </c>
      <c r="AN219" s="153" t="str">
        <f>IFS(AK219="NMA",VLOOKUP(AH219,'Primary - GRADING'!$A$4:$BG997,53,),AK219="DIRECT",VLOOKUP(AH219,'Primary - GRADING'!$A$4:$BG997,10,),AK219="INDIRECT",VLOOKUP(AH219,'Primary - GRADING'!$A$4:$BG997,25,))</f>
        <v>#N/A</v>
      </c>
      <c r="AO219" s="153" t="str">
        <f t="shared" si="8"/>
        <v>#N/A</v>
      </c>
      <c r="AT219" s="153" t="str">
        <f t="shared" si="9"/>
        <v>#N/A</v>
      </c>
      <c r="AV219" s="153" t="str">
        <f>VLOOKUP(AU219,'Primary - GRADING'!$A$4:$C997,2,)</f>
        <v>#N/A</v>
      </c>
      <c r="AW219" s="153" t="str">
        <f>VLOOKUP(AU219,'Primary - GRADING'!$A$4:$C997,3,)</f>
        <v>#N/A</v>
      </c>
      <c r="AX219" s="153" t="str">
        <f>VLOOKUP(AU219,'Primary - GRADING'!$A$4:$BG997,59,)</f>
        <v>#N/A</v>
      </c>
      <c r="AY219" s="153" t="str">
        <f>IFS(AX219="NMA",VLOOKUP(AU219,'Primary - GRADING'!$A$4:$BG997,51,),AX219="DIRECT",VLOOKUP(AU219,'Primary - GRADING'!$A$4:$BG997,8,),AX219="INDIRECT",VLOOKUP(AU219,'Primary - GRADING'!$A$4:$BG997,23,))</f>
        <v>#N/A</v>
      </c>
      <c r="AZ219" s="153" t="str">
        <f>IFS(AX219="NMA",VLOOKUP(AU219,'Primary - GRADING'!$A$4:$BG997,52,),AX219="DIRECT",VLOOKUP(AU219,'Primary - GRADING'!$A$4:$BG997,9,),AX219="INDIRECT",VLOOKUP(AU219,'Primary - GRADING'!$A$4:$BG997,24,))</f>
        <v>#N/A</v>
      </c>
      <c r="BA219" s="153" t="str">
        <f>IFS(AX219="NMA",VLOOKUP(AU219,'Primary - GRADING'!$A$4:$BG997,53,),AX219="DIRECT",VLOOKUP(AU219,'Primary - GRADING'!$A$4:$BG997,10,),AX219="INDIRECT",VLOOKUP(AU219,'Primary - GRADING'!$A$4:$BG997,25,))</f>
        <v>#N/A</v>
      </c>
      <c r="BB219" s="153" t="str">
        <f t="shared" si="10"/>
        <v>#N/A</v>
      </c>
      <c r="BE219" s="153" t="str">
        <f t="shared" si="11"/>
        <v/>
      </c>
      <c r="BG219" s="153" t="str">
        <f t="shared" si="12"/>
        <v>#N/A</v>
      </c>
      <c r="BI219" s="153" t="str">
        <f t="shared" si="13"/>
        <v>#N/A</v>
      </c>
      <c r="BK219" s="153" t="str">
        <f t="shared" si="14"/>
        <v>#N/A</v>
      </c>
      <c r="BM219" s="153" t="str">
        <f t="shared" si="15"/>
        <v>#N/A</v>
      </c>
    </row>
    <row r="220" ht="15.75" customHeight="1">
      <c r="B220" s="160" t="str">
        <f t="shared" si="1"/>
        <v>#N/A</v>
      </c>
      <c r="C220" s="160" t="str">
        <f t="shared" si="2"/>
        <v>#N/A</v>
      </c>
      <c r="D220" s="160" t="str">
        <f t="shared" si="3"/>
        <v>#N/A</v>
      </c>
      <c r="E220" s="161" t="str">
        <f t="shared" si="4"/>
        <v>#N/A</v>
      </c>
      <c r="F220" s="153" t="str">
        <f t="shared" si="17"/>
        <v>#N/A</v>
      </c>
      <c r="G220" s="153" t="str">
        <f t="shared" si="6"/>
        <v>#N/A</v>
      </c>
      <c r="H220" s="156" t="str">
        <f t="array" ref="H220">INDEX('Primary - GRADING'!$A$1:$BG997,MATCH($A220,'Primary - GRADING'!$B:$B,0),59)</f>
        <v>#N/A</v>
      </c>
      <c r="I220" s="153" t="str">
        <f t="array" ref="I220">INDEX('Primary - GRADING'!$A$1:$CP997,MATCH($A220,'Primary - GRADING'!$CP:$CP,0),48)</f>
        <v>#N/A</v>
      </c>
      <c r="J220" s="153" t="str">
        <f t="array" ref="J220">INDEX('Primary - GRADING'!$A$1:$CP997,MATCH($A220,'Primary - GRADING'!$CP:$CP,0),49)</f>
        <v>#N/A</v>
      </c>
      <c r="K220" s="153" t="str">
        <f t="array" ref="K220">INDEX('Primary - GRADING'!$A$1:$CP997,MATCH($A220,'Primary - GRADING'!$CP:$CP,0),50)</f>
        <v>#N/A</v>
      </c>
      <c r="L220" s="153" t="str">
        <f t="array" ref="L220">INDEX('Primary - GRADING'!$A$1:$CP997,MATCH($A220,'Primary - GRADING'!$CP:$CP,0),51)</f>
        <v>#N/A</v>
      </c>
      <c r="M220" s="153" t="str">
        <f t="array" ref="M220">INDEX('Primary - GRADING'!$A$1:$CP997,MATCH($A220,'Primary - GRADING'!$CP:$CP,0),52)</f>
        <v>#N/A</v>
      </c>
      <c r="N220" s="153" t="str">
        <f t="array" ref="N220">INDEX('Primary - GRADING'!$A$1:$CP997,MATCH($A220,'Primary - GRADING'!$CP:$CP,0),53)</f>
        <v>#N/A</v>
      </c>
      <c r="O220" s="153" t="str">
        <f t="array" ref="O220">INDEX('Primary - GRADING'!$A$1:$CP997,MATCH($A220,'Primary - GRADING'!$CP:$CP,0),58)</f>
        <v>#N/A</v>
      </c>
      <c r="P220" s="153" t="str">
        <f t="array" ref="P220">INDEX('Primary - GRADING'!$A$1:$CP997,MATCH($A220,'Primary - GRADING'!$CP:$CP,0),5)</f>
        <v>#N/A</v>
      </c>
      <c r="Q220" s="153" t="str">
        <f t="array" ref="Q220">INDEX('Primary - GRADING'!$A$1:$CP997,MATCH($A220,'Primary - GRADING'!$CP:$CP,0),6)</f>
        <v>#N/A</v>
      </c>
      <c r="R220" s="153" t="str">
        <f t="array" ref="R220">INDEX('Primary - GRADING'!$A$1:$CP997,MATCH($A220,'Primary - GRADING'!$CP:$CP,0),7)</f>
        <v>#N/A</v>
      </c>
      <c r="S220" s="153" t="str">
        <f t="array" ref="S220">INDEX('Primary - GRADING'!$A$1:$CP997,MATCH($A220,'Primary - GRADING'!$CP:$CP,0),8)</f>
        <v>#N/A</v>
      </c>
      <c r="T220" s="153" t="str">
        <f t="array" ref="T220">INDEX('Primary - GRADING'!$A$1:$CP997,MATCH($A220,'Primary - GRADING'!$CP:$CP,0),9)</f>
        <v>#N/A</v>
      </c>
      <c r="U220" s="153" t="str">
        <f t="array" ref="U220">INDEX('Primary - GRADING'!$A$1:$CP997,MATCH($A220,'Primary - GRADING'!$CP:$CP,0),10)</f>
        <v>#N/A</v>
      </c>
      <c r="V220" s="153" t="str">
        <f t="array" ref="V220">INDEX('Primary - GRADING'!$A$1:$CP997,MATCH($A220,'Primary - GRADING'!$CP:$CP,0),18)</f>
        <v>#N/A</v>
      </c>
      <c r="W220" s="153" t="str">
        <f t="array" ref="W220">INDEX('Primary - GRADING'!$A$1:$CP997,MATCH($A220,'Primary - GRADING'!$CP:$CP,0),20)</f>
        <v>#N/A</v>
      </c>
      <c r="X220" s="153" t="str">
        <f t="array" ref="X220">INDEX('Primary - GRADING'!$A$1:$CP997,MATCH($A220,'Primary - GRADING'!$CP:$CP,0),21)</f>
        <v>#N/A</v>
      </c>
      <c r="Y220" s="153" t="str">
        <f t="array" ref="Y220">INDEX('Primary - GRADING'!$A$1:$CP997,MATCH($A220,'Primary - GRADING'!$CP:$CP,0),22)</f>
        <v>#N/A</v>
      </c>
      <c r="Z220" s="165" t="str">
        <f t="array" ref="Z220">INDEX('Primary - GRADING'!$A$1:$CP997,MATCH($A220,'Primary - GRADING'!$CP:$CP,0),23)</f>
        <v>#N/A</v>
      </c>
      <c r="AA220" s="153" t="str">
        <f t="array" ref="AA220">INDEX('Primary - GRADING'!$A$1:$CP997,MATCH($A220,'Primary - GRADING'!$CP:$CP,0),24)</f>
        <v>#N/A</v>
      </c>
      <c r="AB220" s="153" t="str">
        <f t="array" ref="AB220">INDEX('Primary - GRADING'!$A$1:$CP997,MATCH($A220,'Primary - GRADING'!$CP:$CP,0),25)</f>
        <v>#N/A</v>
      </c>
      <c r="AC220" s="153" t="str">
        <f t="array" ref="AC220">INDEX('Primary - GRADING'!$A$1:$CP997,MATCH($A220,'Primary - GRADING'!$CP:$CP,0),46)</f>
        <v>#N/A</v>
      </c>
      <c r="AG220" s="153" t="str">
        <f t="shared" si="7"/>
        <v>#N/A</v>
      </c>
      <c r="AI220" s="153" t="str">
        <f>VLOOKUP(AH220,'Primary - GRADING'!$A$4:$C997,2,)</f>
        <v>#N/A</v>
      </c>
      <c r="AJ220" s="153" t="str">
        <f>VLOOKUP(AH220,'Primary - GRADING'!$A$4:$C997,3,)</f>
        <v>#N/A</v>
      </c>
      <c r="AK220" s="153" t="str">
        <f>VLOOKUP(AH220,'Primary - GRADING'!$A$4:$BG997,59,)</f>
        <v>#N/A</v>
      </c>
      <c r="AL220" s="153" t="str">
        <f>IFS(AK220="NMA",VLOOKUP(AH220,'Primary - GRADING'!$A$4:$BG997,51,),AK220="DIRECT",VLOOKUP(AH220,'Primary - GRADING'!$A$4:$BG997,8,),AK220="INDIRECT",VLOOKUP(AH220,'Primary - GRADING'!$A$4:$BG997,23,))</f>
        <v>#N/A</v>
      </c>
      <c r="AM220" s="153" t="str">
        <f>IFS(AK220="NMA",VLOOKUP(AH220,'Primary - GRADING'!$A$4:$BG997,52,),AK220="DIRECT",VLOOKUP(AH220,'Primary - GRADING'!$A$4:$BG997,9,),AK220="INDIRECT",VLOOKUP(AH220,'Primary - GRADING'!$A$4:$BG997,24,))</f>
        <v>#N/A</v>
      </c>
      <c r="AN220" s="153" t="str">
        <f>IFS(AK220="NMA",VLOOKUP(AH220,'Primary - GRADING'!$A$4:$BG997,53,),AK220="DIRECT",VLOOKUP(AH220,'Primary - GRADING'!$A$4:$BG997,10,),AK220="INDIRECT",VLOOKUP(AH220,'Primary - GRADING'!$A$4:$BG997,25,))</f>
        <v>#N/A</v>
      </c>
      <c r="AO220" s="153" t="str">
        <f t="shared" si="8"/>
        <v>#N/A</v>
      </c>
      <c r="AT220" s="153" t="str">
        <f t="shared" si="9"/>
        <v>#N/A</v>
      </c>
      <c r="AV220" s="153" t="str">
        <f>VLOOKUP(AU220,'Primary - GRADING'!$A$4:$C997,2,)</f>
        <v>#N/A</v>
      </c>
      <c r="AW220" s="153" t="str">
        <f>VLOOKUP(AU220,'Primary - GRADING'!$A$4:$C997,3,)</f>
        <v>#N/A</v>
      </c>
      <c r="AX220" s="153" t="str">
        <f>VLOOKUP(AU220,'Primary - GRADING'!$A$4:$BG997,59,)</f>
        <v>#N/A</v>
      </c>
      <c r="AY220" s="153" t="str">
        <f>IFS(AX220="NMA",VLOOKUP(AU220,'Primary - GRADING'!$A$4:$BG997,51,),AX220="DIRECT",VLOOKUP(AU220,'Primary - GRADING'!$A$4:$BG997,8,),AX220="INDIRECT",VLOOKUP(AU220,'Primary - GRADING'!$A$4:$BG997,23,))</f>
        <v>#N/A</v>
      </c>
      <c r="AZ220" s="153" t="str">
        <f>IFS(AX220="NMA",VLOOKUP(AU220,'Primary - GRADING'!$A$4:$BG997,52,),AX220="DIRECT",VLOOKUP(AU220,'Primary - GRADING'!$A$4:$BG997,9,),AX220="INDIRECT",VLOOKUP(AU220,'Primary - GRADING'!$A$4:$BG997,24,))</f>
        <v>#N/A</v>
      </c>
      <c r="BA220" s="153" t="str">
        <f>IFS(AX220="NMA",VLOOKUP(AU220,'Primary - GRADING'!$A$4:$BG997,53,),AX220="DIRECT",VLOOKUP(AU220,'Primary - GRADING'!$A$4:$BG997,10,),AX220="INDIRECT",VLOOKUP(AU220,'Primary - GRADING'!$A$4:$BG997,25,))</f>
        <v>#N/A</v>
      </c>
      <c r="BB220" s="153" t="str">
        <f t="shared" si="10"/>
        <v>#N/A</v>
      </c>
      <c r="BE220" s="153" t="str">
        <f t="shared" si="11"/>
        <v/>
      </c>
      <c r="BG220" s="153" t="str">
        <f t="shared" si="12"/>
        <v>#N/A</v>
      </c>
      <c r="BI220" s="153" t="str">
        <f t="shared" si="13"/>
        <v>#N/A</v>
      </c>
      <c r="BK220" s="153" t="str">
        <f t="shared" si="14"/>
        <v>#N/A</v>
      </c>
      <c r="BM220" s="153" t="str">
        <f t="shared" si="15"/>
        <v>#N/A</v>
      </c>
    </row>
    <row r="221" ht="15.75" customHeight="1">
      <c r="B221" s="160" t="str">
        <f t="shared" si="1"/>
        <v>#N/A</v>
      </c>
      <c r="C221" s="160" t="str">
        <f t="shared" si="2"/>
        <v>#N/A</v>
      </c>
      <c r="D221" s="160" t="str">
        <f t="shared" si="3"/>
        <v>#N/A</v>
      </c>
      <c r="E221" s="161" t="str">
        <f t="shared" si="4"/>
        <v>#N/A</v>
      </c>
      <c r="F221" s="153" t="str">
        <f t="shared" si="17"/>
        <v>#N/A</v>
      </c>
      <c r="G221" s="153" t="str">
        <f t="shared" si="6"/>
        <v>#N/A</v>
      </c>
      <c r="H221" s="156" t="str">
        <f t="array" ref="H221">INDEX('Primary - GRADING'!$A$1:$BG997,MATCH($A221,'Primary - GRADING'!$B:$B,0),59)</f>
        <v>#N/A</v>
      </c>
      <c r="I221" s="153" t="str">
        <f t="array" ref="I221">INDEX('Primary - GRADING'!$A$1:$CP997,MATCH($A221,'Primary - GRADING'!$CP:$CP,0),48)</f>
        <v>#N/A</v>
      </c>
      <c r="J221" s="153" t="str">
        <f t="array" ref="J221">INDEX('Primary - GRADING'!$A$1:$CP997,MATCH($A221,'Primary - GRADING'!$CP:$CP,0),49)</f>
        <v>#N/A</v>
      </c>
      <c r="K221" s="153" t="str">
        <f t="array" ref="K221">INDEX('Primary - GRADING'!$A$1:$CP997,MATCH($A221,'Primary - GRADING'!$CP:$CP,0),50)</f>
        <v>#N/A</v>
      </c>
      <c r="L221" s="153" t="str">
        <f t="array" ref="L221">INDEX('Primary - GRADING'!$A$1:$CP997,MATCH($A221,'Primary - GRADING'!$CP:$CP,0),51)</f>
        <v>#N/A</v>
      </c>
      <c r="M221" s="153" t="str">
        <f t="array" ref="M221">INDEX('Primary - GRADING'!$A$1:$CP997,MATCH($A221,'Primary - GRADING'!$CP:$CP,0),52)</f>
        <v>#N/A</v>
      </c>
      <c r="N221" s="153" t="str">
        <f t="array" ref="N221">INDEX('Primary - GRADING'!$A$1:$CP997,MATCH($A221,'Primary - GRADING'!$CP:$CP,0),53)</f>
        <v>#N/A</v>
      </c>
      <c r="O221" s="153" t="str">
        <f t="array" ref="O221">INDEX('Primary - GRADING'!$A$1:$CP997,MATCH($A221,'Primary - GRADING'!$CP:$CP,0),58)</f>
        <v>#N/A</v>
      </c>
      <c r="P221" s="153" t="str">
        <f t="array" ref="P221">INDEX('Primary - GRADING'!$A$1:$CP997,MATCH($A221,'Primary - GRADING'!$CP:$CP,0),5)</f>
        <v>#N/A</v>
      </c>
      <c r="Q221" s="153" t="str">
        <f t="array" ref="Q221">INDEX('Primary - GRADING'!$A$1:$CP997,MATCH($A221,'Primary - GRADING'!$CP:$CP,0),6)</f>
        <v>#N/A</v>
      </c>
      <c r="R221" s="153" t="str">
        <f t="array" ref="R221">INDEX('Primary - GRADING'!$A$1:$CP997,MATCH($A221,'Primary - GRADING'!$CP:$CP,0),7)</f>
        <v>#N/A</v>
      </c>
      <c r="S221" s="153" t="str">
        <f t="array" ref="S221">INDEX('Primary - GRADING'!$A$1:$CP997,MATCH($A221,'Primary - GRADING'!$CP:$CP,0),8)</f>
        <v>#N/A</v>
      </c>
      <c r="T221" s="153" t="str">
        <f t="array" ref="T221">INDEX('Primary - GRADING'!$A$1:$CP997,MATCH($A221,'Primary - GRADING'!$CP:$CP,0),9)</f>
        <v>#N/A</v>
      </c>
      <c r="U221" s="153" t="str">
        <f t="array" ref="U221">INDEX('Primary - GRADING'!$A$1:$CP997,MATCH($A221,'Primary - GRADING'!$CP:$CP,0),10)</f>
        <v>#N/A</v>
      </c>
      <c r="V221" s="153" t="str">
        <f t="array" ref="V221">INDEX('Primary - GRADING'!$A$1:$CP997,MATCH($A221,'Primary - GRADING'!$CP:$CP,0),18)</f>
        <v>#N/A</v>
      </c>
      <c r="W221" s="153" t="str">
        <f t="array" ref="W221">INDEX('Primary - GRADING'!$A$1:$CP997,MATCH($A221,'Primary - GRADING'!$CP:$CP,0),20)</f>
        <v>#N/A</v>
      </c>
      <c r="X221" s="153" t="str">
        <f t="array" ref="X221">INDEX('Primary - GRADING'!$A$1:$CP997,MATCH($A221,'Primary - GRADING'!$CP:$CP,0),21)</f>
        <v>#N/A</v>
      </c>
      <c r="Y221" s="153" t="str">
        <f t="array" ref="Y221">INDEX('Primary - GRADING'!$A$1:$CP997,MATCH($A221,'Primary - GRADING'!$CP:$CP,0),22)</f>
        <v>#N/A</v>
      </c>
      <c r="Z221" s="165" t="str">
        <f t="array" ref="Z221">INDEX('Primary - GRADING'!$A$1:$CP997,MATCH($A221,'Primary - GRADING'!$CP:$CP,0),23)</f>
        <v>#N/A</v>
      </c>
      <c r="AA221" s="153" t="str">
        <f t="array" ref="AA221">INDEX('Primary - GRADING'!$A$1:$CP997,MATCH($A221,'Primary - GRADING'!$CP:$CP,0),24)</f>
        <v>#N/A</v>
      </c>
      <c r="AB221" s="153" t="str">
        <f t="array" ref="AB221">INDEX('Primary - GRADING'!$A$1:$CP997,MATCH($A221,'Primary - GRADING'!$CP:$CP,0),25)</f>
        <v>#N/A</v>
      </c>
      <c r="AC221" s="153" t="str">
        <f t="array" ref="AC221">INDEX('Primary - GRADING'!$A$1:$CP997,MATCH($A221,'Primary - GRADING'!$CP:$CP,0),46)</f>
        <v>#N/A</v>
      </c>
      <c r="AG221" s="153" t="str">
        <f t="shared" si="7"/>
        <v>#N/A</v>
      </c>
      <c r="AI221" s="153" t="str">
        <f>VLOOKUP(AH221,'Primary - GRADING'!$A$4:$C997,2,)</f>
        <v>#N/A</v>
      </c>
      <c r="AJ221" s="153" t="str">
        <f>VLOOKUP(AH221,'Primary - GRADING'!$A$4:$C997,3,)</f>
        <v>#N/A</v>
      </c>
      <c r="AK221" s="153" t="str">
        <f>VLOOKUP(AH221,'Primary - GRADING'!$A$4:$BG997,59,)</f>
        <v>#N/A</v>
      </c>
      <c r="AL221" s="153" t="str">
        <f>IFS(AK221="NMA",VLOOKUP(AH221,'Primary - GRADING'!$A$4:$BG997,51,),AK221="DIRECT",VLOOKUP(AH221,'Primary - GRADING'!$A$4:$BG997,8,),AK221="INDIRECT",VLOOKUP(AH221,'Primary - GRADING'!$A$4:$BG997,23,))</f>
        <v>#N/A</v>
      </c>
      <c r="AM221" s="153" t="str">
        <f>IFS(AK221="NMA",VLOOKUP(AH221,'Primary - GRADING'!$A$4:$BG997,52,),AK221="DIRECT",VLOOKUP(AH221,'Primary - GRADING'!$A$4:$BG997,9,),AK221="INDIRECT",VLOOKUP(AH221,'Primary - GRADING'!$A$4:$BG997,24,))</f>
        <v>#N/A</v>
      </c>
      <c r="AN221" s="153" t="str">
        <f>IFS(AK221="NMA",VLOOKUP(AH221,'Primary - GRADING'!$A$4:$BG997,53,),AK221="DIRECT",VLOOKUP(AH221,'Primary - GRADING'!$A$4:$BG997,10,),AK221="INDIRECT",VLOOKUP(AH221,'Primary - GRADING'!$A$4:$BG997,25,))</f>
        <v>#N/A</v>
      </c>
      <c r="AO221" s="153" t="str">
        <f t="shared" si="8"/>
        <v>#N/A</v>
      </c>
      <c r="AT221" s="153" t="str">
        <f t="shared" si="9"/>
        <v>#N/A</v>
      </c>
      <c r="AV221" s="153" t="str">
        <f>VLOOKUP(AU221,'Primary - GRADING'!$A$4:$C997,2,)</f>
        <v>#N/A</v>
      </c>
      <c r="AW221" s="153" t="str">
        <f>VLOOKUP(AU221,'Primary - GRADING'!$A$4:$C997,3,)</f>
        <v>#N/A</v>
      </c>
      <c r="AX221" s="153" t="str">
        <f>VLOOKUP(AU221,'Primary - GRADING'!$A$4:$BG997,59,)</f>
        <v>#N/A</v>
      </c>
      <c r="AY221" s="153" t="str">
        <f>IFS(AX221="NMA",VLOOKUP(AU221,'Primary - GRADING'!$A$4:$BG997,51,),AX221="DIRECT",VLOOKUP(AU221,'Primary - GRADING'!$A$4:$BG997,8,),AX221="INDIRECT",VLOOKUP(AU221,'Primary - GRADING'!$A$4:$BG997,23,))</f>
        <v>#N/A</v>
      </c>
      <c r="AZ221" s="153" t="str">
        <f>IFS(AX221="NMA",VLOOKUP(AU221,'Primary - GRADING'!$A$4:$BG997,52,),AX221="DIRECT",VLOOKUP(AU221,'Primary - GRADING'!$A$4:$BG997,9,),AX221="INDIRECT",VLOOKUP(AU221,'Primary - GRADING'!$A$4:$BG997,24,))</f>
        <v>#N/A</v>
      </c>
      <c r="BA221" s="153" t="str">
        <f>IFS(AX221="NMA",VLOOKUP(AU221,'Primary - GRADING'!$A$4:$BG997,53,),AX221="DIRECT",VLOOKUP(AU221,'Primary - GRADING'!$A$4:$BG997,10,),AX221="INDIRECT",VLOOKUP(AU221,'Primary - GRADING'!$A$4:$BG997,25,))</f>
        <v>#N/A</v>
      </c>
      <c r="BB221" s="153" t="str">
        <f t="shared" si="10"/>
        <v>#N/A</v>
      </c>
      <c r="BE221" s="153" t="str">
        <f t="shared" si="11"/>
        <v/>
      </c>
      <c r="BG221" s="153" t="str">
        <f t="shared" si="12"/>
        <v>#N/A</v>
      </c>
      <c r="BI221" s="153" t="str">
        <f t="shared" si="13"/>
        <v>#N/A</v>
      </c>
      <c r="BK221" s="153" t="str">
        <f t="shared" si="14"/>
        <v>#N/A</v>
      </c>
      <c r="BM221" s="153" t="str">
        <f t="shared" si="15"/>
        <v>#N/A</v>
      </c>
    </row>
    <row r="222" ht="15.75" customHeight="1">
      <c r="B222" s="160" t="str">
        <f t="shared" si="1"/>
        <v>#N/A</v>
      </c>
      <c r="C222" s="160" t="str">
        <f t="shared" si="2"/>
        <v>#N/A</v>
      </c>
      <c r="D222" s="160" t="str">
        <f t="shared" si="3"/>
        <v>#N/A</v>
      </c>
      <c r="E222" s="161" t="str">
        <f t="shared" si="4"/>
        <v>#N/A</v>
      </c>
      <c r="F222" s="153" t="str">
        <f t="shared" si="17"/>
        <v>#N/A</v>
      </c>
      <c r="G222" s="153" t="str">
        <f t="shared" si="6"/>
        <v>#N/A</v>
      </c>
      <c r="H222" s="156" t="str">
        <f t="array" ref="H222">INDEX('Primary - GRADING'!$A$1:$BG997,MATCH($A222,'Primary - GRADING'!$B:$B,0),59)</f>
        <v>#N/A</v>
      </c>
      <c r="I222" s="153" t="str">
        <f t="array" ref="I222">INDEX('Primary - GRADING'!$A$1:$CP997,MATCH($A222,'Primary - GRADING'!$CP:$CP,0),48)</f>
        <v>#N/A</v>
      </c>
      <c r="J222" s="153" t="str">
        <f t="array" ref="J222">INDEX('Primary - GRADING'!$A$1:$CP997,MATCH($A222,'Primary - GRADING'!$CP:$CP,0),49)</f>
        <v>#N/A</v>
      </c>
      <c r="K222" s="153" t="str">
        <f t="array" ref="K222">INDEX('Primary - GRADING'!$A$1:$CP997,MATCH($A222,'Primary - GRADING'!$CP:$CP,0),50)</f>
        <v>#N/A</v>
      </c>
      <c r="L222" s="153" t="str">
        <f t="array" ref="L222">INDEX('Primary - GRADING'!$A$1:$CP997,MATCH($A222,'Primary - GRADING'!$CP:$CP,0),51)</f>
        <v>#N/A</v>
      </c>
      <c r="M222" s="153" t="str">
        <f t="array" ref="M222">INDEX('Primary - GRADING'!$A$1:$CP997,MATCH($A222,'Primary - GRADING'!$CP:$CP,0),52)</f>
        <v>#N/A</v>
      </c>
      <c r="N222" s="153" t="str">
        <f t="array" ref="N222">INDEX('Primary - GRADING'!$A$1:$CP997,MATCH($A222,'Primary - GRADING'!$CP:$CP,0),53)</f>
        <v>#N/A</v>
      </c>
      <c r="O222" s="153" t="str">
        <f t="array" ref="O222">INDEX('Primary - GRADING'!$A$1:$CP997,MATCH($A222,'Primary - GRADING'!$CP:$CP,0),58)</f>
        <v>#N/A</v>
      </c>
      <c r="P222" s="153" t="str">
        <f t="array" ref="P222">INDEX('Primary - GRADING'!$A$1:$CP997,MATCH($A222,'Primary - GRADING'!$CP:$CP,0),5)</f>
        <v>#N/A</v>
      </c>
      <c r="Q222" s="153" t="str">
        <f t="array" ref="Q222">INDEX('Primary - GRADING'!$A$1:$CP997,MATCH($A222,'Primary - GRADING'!$CP:$CP,0),6)</f>
        <v>#N/A</v>
      </c>
      <c r="R222" s="153" t="str">
        <f t="array" ref="R222">INDEX('Primary - GRADING'!$A$1:$CP997,MATCH($A222,'Primary - GRADING'!$CP:$CP,0),7)</f>
        <v>#N/A</v>
      </c>
      <c r="S222" s="153" t="str">
        <f t="array" ref="S222">INDEX('Primary - GRADING'!$A$1:$CP997,MATCH($A222,'Primary - GRADING'!$CP:$CP,0),8)</f>
        <v>#N/A</v>
      </c>
      <c r="T222" s="153" t="str">
        <f t="array" ref="T222">INDEX('Primary - GRADING'!$A$1:$CP997,MATCH($A222,'Primary - GRADING'!$CP:$CP,0),9)</f>
        <v>#N/A</v>
      </c>
      <c r="U222" s="153" t="str">
        <f t="array" ref="U222">INDEX('Primary - GRADING'!$A$1:$CP997,MATCH($A222,'Primary - GRADING'!$CP:$CP,0),10)</f>
        <v>#N/A</v>
      </c>
      <c r="V222" s="153" t="str">
        <f t="array" ref="V222">INDEX('Primary - GRADING'!$A$1:$CP997,MATCH($A222,'Primary - GRADING'!$CP:$CP,0),18)</f>
        <v>#N/A</v>
      </c>
      <c r="W222" s="153" t="str">
        <f t="array" ref="W222">INDEX('Primary - GRADING'!$A$1:$CP997,MATCH($A222,'Primary - GRADING'!$CP:$CP,0),20)</f>
        <v>#N/A</v>
      </c>
      <c r="X222" s="153" t="str">
        <f t="array" ref="X222">INDEX('Primary - GRADING'!$A$1:$CP997,MATCH($A222,'Primary - GRADING'!$CP:$CP,0),21)</f>
        <v>#N/A</v>
      </c>
      <c r="Y222" s="153" t="str">
        <f t="array" ref="Y222">INDEX('Primary - GRADING'!$A$1:$CP997,MATCH($A222,'Primary - GRADING'!$CP:$CP,0),22)</f>
        <v>#N/A</v>
      </c>
      <c r="Z222" s="165" t="str">
        <f t="array" ref="Z222">INDEX('Primary - GRADING'!$A$1:$CP997,MATCH($A222,'Primary - GRADING'!$CP:$CP,0),23)</f>
        <v>#N/A</v>
      </c>
      <c r="AA222" s="153" t="str">
        <f t="array" ref="AA222">INDEX('Primary - GRADING'!$A$1:$CP997,MATCH($A222,'Primary - GRADING'!$CP:$CP,0),24)</f>
        <v>#N/A</v>
      </c>
      <c r="AB222" s="153" t="str">
        <f t="array" ref="AB222">INDEX('Primary - GRADING'!$A$1:$CP997,MATCH($A222,'Primary - GRADING'!$CP:$CP,0),25)</f>
        <v>#N/A</v>
      </c>
      <c r="AC222" s="153" t="str">
        <f t="array" ref="AC222">INDEX('Primary - GRADING'!$A$1:$CP997,MATCH($A222,'Primary - GRADING'!$CP:$CP,0),46)</f>
        <v>#N/A</v>
      </c>
      <c r="AG222" s="153" t="str">
        <f t="shared" si="7"/>
        <v>#N/A</v>
      </c>
      <c r="AI222" s="153" t="str">
        <f>VLOOKUP(AH222,'Primary - GRADING'!$A$4:$C997,2,)</f>
        <v>#N/A</v>
      </c>
      <c r="AJ222" s="153" t="str">
        <f>VLOOKUP(AH222,'Primary - GRADING'!$A$4:$C997,3,)</f>
        <v>#N/A</v>
      </c>
      <c r="AK222" s="153" t="str">
        <f>VLOOKUP(AH222,'Primary - GRADING'!$A$4:$BG997,59,)</f>
        <v>#N/A</v>
      </c>
      <c r="AL222" s="153" t="str">
        <f>IFS(AK222="NMA",VLOOKUP(AH222,'Primary - GRADING'!$A$4:$BG997,51,),AK222="DIRECT",VLOOKUP(AH222,'Primary - GRADING'!$A$4:$BG997,8,),AK222="INDIRECT",VLOOKUP(AH222,'Primary - GRADING'!$A$4:$BG997,23,))</f>
        <v>#N/A</v>
      </c>
      <c r="AM222" s="153" t="str">
        <f>IFS(AK222="NMA",VLOOKUP(AH222,'Primary - GRADING'!$A$4:$BG997,52,),AK222="DIRECT",VLOOKUP(AH222,'Primary - GRADING'!$A$4:$BG997,9,),AK222="INDIRECT",VLOOKUP(AH222,'Primary - GRADING'!$A$4:$BG997,24,))</f>
        <v>#N/A</v>
      </c>
      <c r="AN222" s="153" t="str">
        <f>IFS(AK222="NMA",VLOOKUP(AH222,'Primary - GRADING'!$A$4:$BG997,53,),AK222="DIRECT",VLOOKUP(AH222,'Primary - GRADING'!$A$4:$BG997,10,),AK222="INDIRECT",VLOOKUP(AH222,'Primary - GRADING'!$A$4:$BG997,25,))</f>
        <v>#N/A</v>
      </c>
      <c r="AO222" s="153" t="str">
        <f t="shared" si="8"/>
        <v>#N/A</v>
      </c>
      <c r="AT222" s="153" t="str">
        <f t="shared" si="9"/>
        <v>#N/A</v>
      </c>
      <c r="AV222" s="153" t="str">
        <f>VLOOKUP(AU222,'Primary - GRADING'!$A$4:$C997,2,)</f>
        <v>#N/A</v>
      </c>
      <c r="AW222" s="153" t="str">
        <f>VLOOKUP(AU222,'Primary - GRADING'!$A$4:$C997,3,)</f>
        <v>#N/A</v>
      </c>
      <c r="AX222" s="153" t="str">
        <f>VLOOKUP(AU222,'Primary - GRADING'!$A$4:$BG997,59,)</f>
        <v>#N/A</v>
      </c>
      <c r="AY222" s="153" t="str">
        <f>IFS(AX222="NMA",VLOOKUP(AU222,'Primary - GRADING'!$A$4:$BG997,51,),AX222="DIRECT",VLOOKUP(AU222,'Primary - GRADING'!$A$4:$BG997,8,),AX222="INDIRECT",VLOOKUP(AU222,'Primary - GRADING'!$A$4:$BG997,23,))</f>
        <v>#N/A</v>
      </c>
      <c r="AZ222" s="153" t="str">
        <f>IFS(AX222="NMA",VLOOKUP(AU222,'Primary - GRADING'!$A$4:$BG997,52,),AX222="DIRECT",VLOOKUP(AU222,'Primary - GRADING'!$A$4:$BG997,9,),AX222="INDIRECT",VLOOKUP(AU222,'Primary - GRADING'!$A$4:$BG997,24,))</f>
        <v>#N/A</v>
      </c>
      <c r="BA222" s="153" t="str">
        <f>IFS(AX222="NMA",VLOOKUP(AU222,'Primary - GRADING'!$A$4:$BG997,53,),AX222="DIRECT",VLOOKUP(AU222,'Primary - GRADING'!$A$4:$BG997,10,),AX222="INDIRECT",VLOOKUP(AU222,'Primary - GRADING'!$A$4:$BG997,25,))</f>
        <v>#N/A</v>
      </c>
      <c r="BB222" s="153" t="str">
        <f t="shared" si="10"/>
        <v>#N/A</v>
      </c>
      <c r="BE222" s="153" t="str">
        <f t="shared" si="11"/>
        <v/>
      </c>
      <c r="BG222" s="153" t="str">
        <f t="shared" si="12"/>
        <v>#N/A</v>
      </c>
      <c r="BI222" s="153" t="str">
        <f t="shared" si="13"/>
        <v>#N/A</v>
      </c>
      <c r="BK222" s="153" t="str">
        <f t="shared" si="14"/>
        <v>#N/A</v>
      </c>
      <c r="BM222" s="153" t="str">
        <f t="shared" si="15"/>
        <v>#N/A</v>
      </c>
    </row>
    <row r="223" ht="15.75" customHeight="1">
      <c r="B223" s="160" t="str">
        <f t="shared" si="1"/>
        <v>#N/A</v>
      </c>
      <c r="C223" s="160" t="str">
        <f t="shared" si="2"/>
        <v>#N/A</v>
      </c>
      <c r="D223" s="160" t="str">
        <f t="shared" si="3"/>
        <v>#N/A</v>
      </c>
      <c r="E223" s="161" t="str">
        <f t="shared" si="4"/>
        <v>#N/A</v>
      </c>
      <c r="F223" s="153" t="str">
        <f t="shared" si="17"/>
        <v>#N/A</v>
      </c>
      <c r="G223" s="153" t="str">
        <f t="shared" si="6"/>
        <v>#N/A</v>
      </c>
      <c r="H223" s="156" t="str">
        <f t="array" ref="H223">INDEX('Primary - GRADING'!$A$1:$BG997,MATCH($A223,'Primary - GRADING'!$B:$B,0),59)</f>
        <v>#N/A</v>
      </c>
      <c r="I223" s="153" t="str">
        <f t="array" ref="I223">INDEX('Primary - GRADING'!$A$1:$CP997,MATCH($A223,'Primary - GRADING'!$CP:$CP,0),48)</f>
        <v>#N/A</v>
      </c>
      <c r="J223" s="153" t="str">
        <f t="array" ref="J223">INDEX('Primary - GRADING'!$A$1:$CP997,MATCH($A223,'Primary - GRADING'!$CP:$CP,0),49)</f>
        <v>#N/A</v>
      </c>
      <c r="K223" s="153" t="str">
        <f t="array" ref="K223">INDEX('Primary - GRADING'!$A$1:$CP997,MATCH($A223,'Primary - GRADING'!$CP:$CP,0),50)</f>
        <v>#N/A</v>
      </c>
      <c r="L223" s="153" t="str">
        <f t="array" ref="L223">INDEX('Primary - GRADING'!$A$1:$CP997,MATCH($A223,'Primary - GRADING'!$CP:$CP,0),51)</f>
        <v>#N/A</v>
      </c>
      <c r="M223" s="153" t="str">
        <f t="array" ref="M223">INDEX('Primary - GRADING'!$A$1:$CP997,MATCH($A223,'Primary - GRADING'!$CP:$CP,0),52)</f>
        <v>#N/A</v>
      </c>
      <c r="N223" s="153" t="str">
        <f t="array" ref="N223">INDEX('Primary - GRADING'!$A$1:$CP997,MATCH($A223,'Primary - GRADING'!$CP:$CP,0),53)</f>
        <v>#N/A</v>
      </c>
      <c r="O223" s="153" t="str">
        <f t="array" ref="O223">INDEX('Primary - GRADING'!$A$1:$CP997,MATCH($A223,'Primary - GRADING'!$CP:$CP,0),58)</f>
        <v>#N/A</v>
      </c>
      <c r="P223" s="153" t="str">
        <f t="array" ref="P223">INDEX('Primary - GRADING'!$A$1:$CP997,MATCH($A223,'Primary - GRADING'!$CP:$CP,0),5)</f>
        <v>#N/A</v>
      </c>
      <c r="Q223" s="153" t="str">
        <f t="array" ref="Q223">INDEX('Primary - GRADING'!$A$1:$CP997,MATCH($A223,'Primary - GRADING'!$CP:$CP,0),6)</f>
        <v>#N/A</v>
      </c>
      <c r="R223" s="153" t="str">
        <f t="array" ref="R223">INDEX('Primary - GRADING'!$A$1:$CP997,MATCH($A223,'Primary - GRADING'!$CP:$CP,0),7)</f>
        <v>#N/A</v>
      </c>
      <c r="S223" s="153" t="str">
        <f t="array" ref="S223">INDEX('Primary - GRADING'!$A$1:$CP997,MATCH($A223,'Primary - GRADING'!$CP:$CP,0),8)</f>
        <v>#N/A</v>
      </c>
      <c r="T223" s="153" t="str">
        <f t="array" ref="T223">INDEX('Primary - GRADING'!$A$1:$CP997,MATCH($A223,'Primary - GRADING'!$CP:$CP,0),9)</f>
        <v>#N/A</v>
      </c>
      <c r="U223" s="153" t="str">
        <f t="array" ref="U223">INDEX('Primary - GRADING'!$A$1:$CP997,MATCH($A223,'Primary - GRADING'!$CP:$CP,0),10)</f>
        <v>#N/A</v>
      </c>
      <c r="V223" s="153" t="str">
        <f t="array" ref="V223">INDEX('Primary - GRADING'!$A$1:$CP997,MATCH($A223,'Primary - GRADING'!$CP:$CP,0),18)</f>
        <v>#N/A</v>
      </c>
      <c r="W223" s="153" t="str">
        <f t="array" ref="W223">INDEX('Primary - GRADING'!$A$1:$CP997,MATCH($A223,'Primary - GRADING'!$CP:$CP,0),20)</f>
        <v>#N/A</v>
      </c>
      <c r="X223" s="153" t="str">
        <f t="array" ref="X223">INDEX('Primary - GRADING'!$A$1:$CP997,MATCH($A223,'Primary - GRADING'!$CP:$CP,0),21)</f>
        <v>#N/A</v>
      </c>
      <c r="Y223" s="153" t="str">
        <f t="array" ref="Y223">INDEX('Primary - GRADING'!$A$1:$CP997,MATCH($A223,'Primary - GRADING'!$CP:$CP,0),22)</f>
        <v>#N/A</v>
      </c>
      <c r="Z223" s="165" t="str">
        <f t="array" ref="Z223">INDEX('Primary - GRADING'!$A$1:$CP997,MATCH($A223,'Primary - GRADING'!$CP:$CP,0),23)</f>
        <v>#N/A</v>
      </c>
      <c r="AA223" s="153" t="str">
        <f t="array" ref="AA223">INDEX('Primary - GRADING'!$A$1:$CP997,MATCH($A223,'Primary - GRADING'!$CP:$CP,0),24)</f>
        <v>#N/A</v>
      </c>
      <c r="AB223" s="153" t="str">
        <f t="array" ref="AB223">INDEX('Primary - GRADING'!$A$1:$CP997,MATCH($A223,'Primary - GRADING'!$CP:$CP,0),25)</f>
        <v>#N/A</v>
      </c>
      <c r="AC223" s="153" t="str">
        <f t="array" ref="AC223">INDEX('Primary - GRADING'!$A$1:$CP997,MATCH($A223,'Primary - GRADING'!$CP:$CP,0),46)</f>
        <v>#N/A</v>
      </c>
      <c r="AG223" s="153" t="str">
        <f t="shared" si="7"/>
        <v>#N/A</v>
      </c>
      <c r="AI223" s="153" t="str">
        <f>VLOOKUP(AH223,'Primary - GRADING'!$A$4:$C997,2,)</f>
        <v>#N/A</v>
      </c>
      <c r="AJ223" s="153" t="str">
        <f>VLOOKUP(AH223,'Primary - GRADING'!$A$4:$C997,3,)</f>
        <v>#N/A</v>
      </c>
      <c r="AK223" s="153" t="str">
        <f>VLOOKUP(AH223,'Primary - GRADING'!$A$4:$BG997,59,)</f>
        <v>#N/A</v>
      </c>
      <c r="AL223" s="153" t="str">
        <f>IFS(AK223="NMA",VLOOKUP(AH223,'Primary - GRADING'!$A$4:$BG997,51,),AK223="DIRECT",VLOOKUP(AH223,'Primary - GRADING'!$A$4:$BG997,8,),AK223="INDIRECT",VLOOKUP(AH223,'Primary - GRADING'!$A$4:$BG997,23,))</f>
        <v>#N/A</v>
      </c>
      <c r="AM223" s="153" t="str">
        <f>IFS(AK223="NMA",VLOOKUP(AH223,'Primary - GRADING'!$A$4:$BG997,52,),AK223="DIRECT",VLOOKUP(AH223,'Primary - GRADING'!$A$4:$BG997,9,),AK223="INDIRECT",VLOOKUP(AH223,'Primary - GRADING'!$A$4:$BG997,24,))</f>
        <v>#N/A</v>
      </c>
      <c r="AN223" s="153" t="str">
        <f>IFS(AK223="NMA",VLOOKUP(AH223,'Primary - GRADING'!$A$4:$BG997,53,),AK223="DIRECT",VLOOKUP(AH223,'Primary - GRADING'!$A$4:$BG997,10,),AK223="INDIRECT",VLOOKUP(AH223,'Primary - GRADING'!$A$4:$BG997,25,))</f>
        <v>#N/A</v>
      </c>
      <c r="AO223" s="153" t="str">
        <f t="shared" si="8"/>
        <v>#N/A</v>
      </c>
      <c r="AT223" s="153" t="str">
        <f t="shared" si="9"/>
        <v>#N/A</v>
      </c>
      <c r="AV223" s="153" t="str">
        <f>VLOOKUP(AU223,'Primary - GRADING'!$A$4:$C997,2,)</f>
        <v>#N/A</v>
      </c>
      <c r="AW223" s="153" t="str">
        <f>VLOOKUP(AU223,'Primary - GRADING'!$A$4:$C997,3,)</f>
        <v>#N/A</v>
      </c>
      <c r="AX223" s="153" t="str">
        <f>VLOOKUP(AU223,'Primary - GRADING'!$A$4:$BG997,59,)</f>
        <v>#N/A</v>
      </c>
      <c r="AY223" s="153" t="str">
        <f>IFS(AX223="NMA",VLOOKUP(AU223,'Primary - GRADING'!$A$4:$BG997,51,),AX223="DIRECT",VLOOKUP(AU223,'Primary - GRADING'!$A$4:$BG997,8,),AX223="INDIRECT",VLOOKUP(AU223,'Primary - GRADING'!$A$4:$BG997,23,))</f>
        <v>#N/A</v>
      </c>
      <c r="AZ223" s="153" t="str">
        <f>IFS(AX223="NMA",VLOOKUP(AU223,'Primary - GRADING'!$A$4:$BG997,52,),AX223="DIRECT",VLOOKUP(AU223,'Primary - GRADING'!$A$4:$BG997,9,),AX223="INDIRECT",VLOOKUP(AU223,'Primary - GRADING'!$A$4:$BG997,24,))</f>
        <v>#N/A</v>
      </c>
      <c r="BA223" s="153" t="str">
        <f>IFS(AX223="NMA",VLOOKUP(AU223,'Primary - GRADING'!$A$4:$BG997,53,),AX223="DIRECT",VLOOKUP(AU223,'Primary - GRADING'!$A$4:$BG997,10,),AX223="INDIRECT",VLOOKUP(AU223,'Primary - GRADING'!$A$4:$BG997,25,))</f>
        <v>#N/A</v>
      </c>
      <c r="BB223" s="153" t="str">
        <f t="shared" si="10"/>
        <v>#N/A</v>
      </c>
      <c r="BE223" s="153" t="str">
        <f t="shared" si="11"/>
        <v/>
      </c>
      <c r="BG223" s="153" t="str">
        <f t="shared" si="12"/>
        <v>#N/A</v>
      </c>
      <c r="BI223" s="153" t="str">
        <f t="shared" si="13"/>
        <v>#N/A</v>
      </c>
      <c r="BK223" s="153" t="str">
        <f t="shared" si="14"/>
        <v>#N/A</v>
      </c>
      <c r="BM223" s="153" t="str">
        <f t="shared" si="15"/>
        <v>#N/A</v>
      </c>
    </row>
    <row r="224" ht="15.75" customHeight="1">
      <c r="B224" s="160" t="str">
        <f t="shared" si="1"/>
        <v>#N/A</v>
      </c>
      <c r="C224" s="160" t="str">
        <f t="shared" si="2"/>
        <v>#N/A</v>
      </c>
      <c r="D224" s="160" t="str">
        <f t="shared" si="3"/>
        <v>#N/A</v>
      </c>
      <c r="E224" s="161" t="str">
        <f t="shared" si="4"/>
        <v>#N/A</v>
      </c>
      <c r="F224" s="153" t="str">
        <f t="shared" si="17"/>
        <v>#N/A</v>
      </c>
      <c r="G224" s="153" t="str">
        <f t="shared" si="6"/>
        <v>#N/A</v>
      </c>
      <c r="H224" s="156" t="str">
        <f t="array" ref="H224">INDEX('Primary - GRADING'!$A$1:$BG997,MATCH($A224,'Primary - GRADING'!$B:$B,0),59)</f>
        <v>#N/A</v>
      </c>
      <c r="I224" s="153" t="str">
        <f t="array" ref="I224">INDEX('Primary - GRADING'!$A$1:$CP997,MATCH($A224,'Primary - GRADING'!$CP:$CP,0),48)</f>
        <v>#N/A</v>
      </c>
      <c r="J224" s="153" t="str">
        <f t="array" ref="J224">INDEX('Primary - GRADING'!$A$1:$CP997,MATCH($A224,'Primary - GRADING'!$CP:$CP,0),49)</f>
        <v>#N/A</v>
      </c>
      <c r="K224" s="153" t="str">
        <f t="array" ref="K224">INDEX('Primary - GRADING'!$A$1:$CP997,MATCH($A224,'Primary - GRADING'!$CP:$CP,0),50)</f>
        <v>#N/A</v>
      </c>
      <c r="L224" s="153" t="str">
        <f t="array" ref="L224">INDEX('Primary - GRADING'!$A$1:$CP997,MATCH($A224,'Primary - GRADING'!$CP:$CP,0),51)</f>
        <v>#N/A</v>
      </c>
      <c r="M224" s="153" t="str">
        <f t="array" ref="M224">INDEX('Primary - GRADING'!$A$1:$CP997,MATCH($A224,'Primary - GRADING'!$CP:$CP,0),52)</f>
        <v>#N/A</v>
      </c>
      <c r="N224" s="153" t="str">
        <f t="array" ref="N224">INDEX('Primary - GRADING'!$A$1:$CP997,MATCH($A224,'Primary - GRADING'!$CP:$CP,0),53)</f>
        <v>#N/A</v>
      </c>
      <c r="O224" s="153" t="str">
        <f t="array" ref="O224">INDEX('Primary - GRADING'!$A$1:$CP997,MATCH($A224,'Primary - GRADING'!$CP:$CP,0),58)</f>
        <v>#N/A</v>
      </c>
      <c r="P224" s="153" t="str">
        <f t="array" ref="P224">INDEX('Primary - GRADING'!$A$1:$CP997,MATCH($A224,'Primary - GRADING'!$CP:$CP,0),5)</f>
        <v>#N/A</v>
      </c>
      <c r="Q224" s="153" t="str">
        <f t="array" ref="Q224">INDEX('Primary - GRADING'!$A$1:$CP997,MATCH($A224,'Primary - GRADING'!$CP:$CP,0),6)</f>
        <v>#N/A</v>
      </c>
      <c r="R224" s="153" t="str">
        <f t="array" ref="R224">INDEX('Primary - GRADING'!$A$1:$CP997,MATCH($A224,'Primary - GRADING'!$CP:$CP,0),7)</f>
        <v>#N/A</v>
      </c>
      <c r="S224" s="153" t="str">
        <f t="array" ref="S224">INDEX('Primary - GRADING'!$A$1:$CP997,MATCH($A224,'Primary - GRADING'!$CP:$CP,0),8)</f>
        <v>#N/A</v>
      </c>
      <c r="T224" s="153" t="str">
        <f t="array" ref="T224">INDEX('Primary - GRADING'!$A$1:$CP997,MATCH($A224,'Primary - GRADING'!$CP:$CP,0),9)</f>
        <v>#N/A</v>
      </c>
      <c r="U224" s="153" t="str">
        <f t="array" ref="U224">INDEX('Primary - GRADING'!$A$1:$CP997,MATCH($A224,'Primary - GRADING'!$CP:$CP,0),10)</f>
        <v>#N/A</v>
      </c>
      <c r="V224" s="153" t="str">
        <f t="array" ref="V224">INDEX('Primary - GRADING'!$A$1:$CP997,MATCH($A224,'Primary - GRADING'!$CP:$CP,0),18)</f>
        <v>#N/A</v>
      </c>
      <c r="W224" s="153" t="str">
        <f t="array" ref="W224">INDEX('Primary - GRADING'!$A$1:$CP997,MATCH($A224,'Primary - GRADING'!$CP:$CP,0),20)</f>
        <v>#N/A</v>
      </c>
      <c r="X224" s="153" t="str">
        <f t="array" ref="X224">INDEX('Primary - GRADING'!$A$1:$CP997,MATCH($A224,'Primary - GRADING'!$CP:$CP,0),21)</f>
        <v>#N/A</v>
      </c>
      <c r="Y224" s="153" t="str">
        <f t="array" ref="Y224">INDEX('Primary - GRADING'!$A$1:$CP997,MATCH($A224,'Primary - GRADING'!$CP:$CP,0),22)</f>
        <v>#N/A</v>
      </c>
      <c r="Z224" s="165" t="str">
        <f t="array" ref="Z224">INDEX('Primary - GRADING'!$A$1:$CP997,MATCH($A224,'Primary - GRADING'!$CP:$CP,0),23)</f>
        <v>#N/A</v>
      </c>
      <c r="AA224" s="153" t="str">
        <f t="array" ref="AA224">INDEX('Primary - GRADING'!$A$1:$CP997,MATCH($A224,'Primary - GRADING'!$CP:$CP,0),24)</f>
        <v>#N/A</v>
      </c>
      <c r="AB224" s="153" t="str">
        <f t="array" ref="AB224">INDEX('Primary - GRADING'!$A$1:$CP997,MATCH($A224,'Primary - GRADING'!$CP:$CP,0),25)</f>
        <v>#N/A</v>
      </c>
      <c r="AC224" s="153" t="str">
        <f t="array" ref="AC224">INDEX('Primary - GRADING'!$A$1:$CP997,MATCH($A224,'Primary - GRADING'!$CP:$CP,0),46)</f>
        <v>#N/A</v>
      </c>
      <c r="AG224" s="153" t="str">
        <f t="shared" si="7"/>
        <v>#N/A</v>
      </c>
      <c r="AI224" s="153" t="str">
        <f>VLOOKUP(AH224,'Primary - GRADING'!$A$4:$C997,2,)</f>
        <v>#N/A</v>
      </c>
      <c r="AJ224" s="153" t="str">
        <f>VLOOKUP(AH224,'Primary - GRADING'!$A$4:$C997,3,)</f>
        <v>#N/A</v>
      </c>
      <c r="AK224" s="153" t="str">
        <f>VLOOKUP(AH224,'Primary - GRADING'!$A$4:$BG997,59,)</f>
        <v>#N/A</v>
      </c>
      <c r="AL224" s="153" t="str">
        <f>IFS(AK224="NMA",VLOOKUP(AH224,'Primary - GRADING'!$A$4:$BG997,51,),AK224="DIRECT",VLOOKUP(AH224,'Primary - GRADING'!$A$4:$BG997,8,),AK224="INDIRECT",VLOOKUP(AH224,'Primary - GRADING'!$A$4:$BG997,23,))</f>
        <v>#N/A</v>
      </c>
      <c r="AM224" s="153" t="str">
        <f>IFS(AK224="NMA",VLOOKUP(AH224,'Primary - GRADING'!$A$4:$BG997,52,),AK224="DIRECT",VLOOKUP(AH224,'Primary - GRADING'!$A$4:$BG997,9,),AK224="INDIRECT",VLOOKUP(AH224,'Primary - GRADING'!$A$4:$BG997,24,))</f>
        <v>#N/A</v>
      </c>
      <c r="AN224" s="153" t="str">
        <f>IFS(AK224="NMA",VLOOKUP(AH224,'Primary - GRADING'!$A$4:$BG997,53,),AK224="DIRECT",VLOOKUP(AH224,'Primary - GRADING'!$A$4:$BG997,10,),AK224="INDIRECT",VLOOKUP(AH224,'Primary - GRADING'!$A$4:$BG997,25,))</f>
        <v>#N/A</v>
      </c>
      <c r="AO224" s="153" t="str">
        <f t="shared" si="8"/>
        <v>#N/A</v>
      </c>
      <c r="AT224" s="153" t="str">
        <f t="shared" si="9"/>
        <v>#N/A</v>
      </c>
      <c r="AV224" s="153" t="str">
        <f>VLOOKUP(AU224,'Primary - GRADING'!$A$4:$C997,2,)</f>
        <v>#N/A</v>
      </c>
      <c r="AW224" s="153" t="str">
        <f>VLOOKUP(AU224,'Primary - GRADING'!$A$4:$C997,3,)</f>
        <v>#N/A</v>
      </c>
      <c r="AX224" s="153" t="str">
        <f>VLOOKUP(AU224,'Primary - GRADING'!$A$4:$BG997,59,)</f>
        <v>#N/A</v>
      </c>
      <c r="AY224" s="153" t="str">
        <f>IFS(AX224="NMA",VLOOKUP(AU224,'Primary - GRADING'!$A$4:$BG997,51,),AX224="DIRECT",VLOOKUP(AU224,'Primary - GRADING'!$A$4:$BG997,8,),AX224="INDIRECT",VLOOKUP(AU224,'Primary - GRADING'!$A$4:$BG997,23,))</f>
        <v>#N/A</v>
      </c>
      <c r="AZ224" s="153" t="str">
        <f>IFS(AX224="NMA",VLOOKUP(AU224,'Primary - GRADING'!$A$4:$BG997,52,),AX224="DIRECT",VLOOKUP(AU224,'Primary - GRADING'!$A$4:$BG997,9,),AX224="INDIRECT",VLOOKUP(AU224,'Primary - GRADING'!$A$4:$BG997,24,))</f>
        <v>#N/A</v>
      </c>
      <c r="BA224" s="153" t="str">
        <f>IFS(AX224="NMA",VLOOKUP(AU224,'Primary - GRADING'!$A$4:$BG997,53,),AX224="DIRECT",VLOOKUP(AU224,'Primary - GRADING'!$A$4:$BG997,10,),AX224="INDIRECT",VLOOKUP(AU224,'Primary - GRADING'!$A$4:$BG997,25,))</f>
        <v>#N/A</v>
      </c>
      <c r="BB224" s="153" t="str">
        <f t="shared" si="10"/>
        <v>#N/A</v>
      </c>
      <c r="BE224" s="153" t="str">
        <f t="shared" si="11"/>
        <v/>
      </c>
      <c r="BG224" s="153" t="str">
        <f t="shared" si="12"/>
        <v>#N/A</v>
      </c>
      <c r="BI224" s="153" t="str">
        <f t="shared" si="13"/>
        <v>#N/A</v>
      </c>
      <c r="BK224" s="153" t="str">
        <f t="shared" si="14"/>
        <v>#N/A</v>
      </c>
      <c r="BM224" s="153" t="str">
        <f t="shared" si="15"/>
        <v>#N/A</v>
      </c>
    </row>
    <row r="225" ht="15.75" customHeight="1">
      <c r="B225" s="160" t="str">
        <f t="shared" si="1"/>
        <v>#N/A</v>
      </c>
      <c r="C225" s="160" t="str">
        <f t="shared" si="2"/>
        <v>#N/A</v>
      </c>
      <c r="D225" s="160" t="str">
        <f t="shared" si="3"/>
        <v>#N/A</v>
      </c>
      <c r="E225" s="161" t="str">
        <f t="shared" si="4"/>
        <v>#N/A</v>
      </c>
      <c r="F225" s="153" t="str">
        <f t="shared" si="17"/>
        <v>#N/A</v>
      </c>
      <c r="G225" s="153" t="str">
        <f t="shared" si="6"/>
        <v>#N/A</v>
      </c>
      <c r="H225" s="156" t="str">
        <f t="array" ref="H225">INDEX('Primary - GRADING'!$A$1:$BG997,MATCH($A225,'Primary - GRADING'!$B:$B,0),59)</f>
        <v>#N/A</v>
      </c>
      <c r="I225" s="153" t="str">
        <f t="array" ref="I225">INDEX('Primary - GRADING'!$A$1:$CP997,MATCH($A225,'Primary - GRADING'!$CP:$CP,0),48)</f>
        <v>#N/A</v>
      </c>
      <c r="J225" s="153" t="str">
        <f t="array" ref="J225">INDEX('Primary - GRADING'!$A$1:$CP997,MATCH($A225,'Primary - GRADING'!$CP:$CP,0),49)</f>
        <v>#N/A</v>
      </c>
      <c r="K225" s="153" t="str">
        <f t="array" ref="K225">INDEX('Primary - GRADING'!$A$1:$CP997,MATCH($A225,'Primary - GRADING'!$CP:$CP,0),50)</f>
        <v>#N/A</v>
      </c>
      <c r="L225" s="153" t="str">
        <f t="array" ref="L225">INDEX('Primary - GRADING'!$A$1:$CP997,MATCH($A225,'Primary - GRADING'!$CP:$CP,0),51)</f>
        <v>#N/A</v>
      </c>
      <c r="M225" s="153" t="str">
        <f t="array" ref="M225">INDEX('Primary - GRADING'!$A$1:$CP997,MATCH($A225,'Primary - GRADING'!$CP:$CP,0),52)</f>
        <v>#N/A</v>
      </c>
      <c r="N225" s="153" t="str">
        <f t="array" ref="N225">INDEX('Primary - GRADING'!$A$1:$CP997,MATCH($A225,'Primary - GRADING'!$CP:$CP,0),53)</f>
        <v>#N/A</v>
      </c>
      <c r="O225" s="153" t="str">
        <f t="array" ref="O225">INDEX('Primary - GRADING'!$A$1:$CP997,MATCH($A225,'Primary - GRADING'!$CP:$CP,0),58)</f>
        <v>#N/A</v>
      </c>
      <c r="P225" s="153" t="str">
        <f t="array" ref="P225">INDEX('Primary - GRADING'!$A$1:$CP997,MATCH($A225,'Primary - GRADING'!$CP:$CP,0),5)</f>
        <v>#N/A</v>
      </c>
      <c r="Q225" s="153" t="str">
        <f t="array" ref="Q225">INDEX('Primary - GRADING'!$A$1:$CP997,MATCH($A225,'Primary - GRADING'!$CP:$CP,0),6)</f>
        <v>#N/A</v>
      </c>
      <c r="R225" s="153" t="str">
        <f t="array" ref="R225">INDEX('Primary - GRADING'!$A$1:$CP997,MATCH($A225,'Primary - GRADING'!$CP:$CP,0),7)</f>
        <v>#N/A</v>
      </c>
      <c r="S225" s="153" t="str">
        <f t="array" ref="S225">INDEX('Primary - GRADING'!$A$1:$CP997,MATCH($A225,'Primary - GRADING'!$CP:$CP,0),8)</f>
        <v>#N/A</v>
      </c>
      <c r="T225" s="153" t="str">
        <f t="array" ref="T225">INDEX('Primary - GRADING'!$A$1:$CP997,MATCH($A225,'Primary - GRADING'!$CP:$CP,0),9)</f>
        <v>#N/A</v>
      </c>
      <c r="U225" s="153" t="str">
        <f t="array" ref="U225">INDEX('Primary - GRADING'!$A$1:$CP997,MATCH($A225,'Primary - GRADING'!$CP:$CP,0),10)</f>
        <v>#N/A</v>
      </c>
      <c r="V225" s="153" t="str">
        <f t="array" ref="V225">INDEX('Primary - GRADING'!$A$1:$CP997,MATCH($A225,'Primary - GRADING'!$CP:$CP,0),18)</f>
        <v>#N/A</v>
      </c>
      <c r="W225" s="153" t="str">
        <f t="array" ref="W225">INDEX('Primary - GRADING'!$A$1:$CP997,MATCH($A225,'Primary - GRADING'!$CP:$CP,0),20)</f>
        <v>#N/A</v>
      </c>
      <c r="X225" s="153" t="str">
        <f t="array" ref="X225">INDEX('Primary - GRADING'!$A$1:$CP997,MATCH($A225,'Primary - GRADING'!$CP:$CP,0),21)</f>
        <v>#N/A</v>
      </c>
      <c r="Y225" s="153" t="str">
        <f t="array" ref="Y225">INDEX('Primary - GRADING'!$A$1:$CP997,MATCH($A225,'Primary - GRADING'!$CP:$CP,0),22)</f>
        <v>#N/A</v>
      </c>
      <c r="Z225" s="165" t="str">
        <f t="array" ref="Z225">INDEX('Primary - GRADING'!$A$1:$CP997,MATCH($A225,'Primary - GRADING'!$CP:$CP,0),23)</f>
        <v>#N/A</v>
      </c>
      <c r="AA225" s="153" t="str">
        <f t="array" ref="AA225">INDEX('Primary - GRADING'!$A$1:$CP997,MATCH($A225,'Primary - GRADING'!$CP:$CP,0),24)</f>
        <v>#N/A</v>
      </c>
      <c r="AB225" s="153" t="str">
        <f t="array" ref="AB225">INDEX('Primary - GRADING'!$A$1:$CP997,MATCH($A225,'Primary - GRADING'!$CP:$CP,0),25)</f>
        <v>#N/A</v>
      </c>
      <c r="AC225" s="153" t="str">
        <f t="array" ref="AC225">INDEX('Primary - GRADING'!$A$1:$CP997,MATCH($A225,'Primary - GRADING'!$CP:$CP,0),46)</f>
        <v>#N/A</v>
      </c>
      <c r="AG225" s="153" t="str">
        <f t="shared" si="7"/>
        <v>#N/A</v>
      </c>
      <c r="AI225" s="153" t="str">
        <f>VLOOKUP(AH225,'Primary - GRADING'!$A$4:$C997,2,)</f>
        <v>#N/A</v>
      </c>
      <c r="AJ225" s="153" t="str">
        <f>VLOOKUP(AH225,'Primary - GRADING'!$A$4:$C997,3,)</f>
        <v>#N/A</v>
      </c>
      <c r="AK225" s="153" t="str">
        <f>VLOOKUP(AH225,'Primary - GRADING'!$A$4:$BG997,59,)</f>
        <v>#N/A</v>
      </c>
      <c r="AL225" s="153" t="str">
        <f>IFS(AK225="NMA",VLOOKUP(AH225,'Primary - GRADING'!$A$4:$BG997,51,),AK225="DIRECT",VLOOKUP(AH225,'Primary - GRADING'!$A$4:$BG997,8,),AK225="INDIRECT",VLOOKUP(AH225,'Primary - GRADING'!$A$4:$BG997,23,))</f>
        <v>#N/A</v>
      </c>
      <c r="AM225" s="153" t="str">
        <f>IFS(AK225="NMA",VLOOKUP(AH225,'Primary - GRADING'!$A$4:$BG997,52,),AK225="DIRECT",VLOOKUP(AH225,'Primary - GRADING'!$A$4:$BG997,9,),AK225="INDIRECT",VLOOKUP(AH225,'Primary - GRADING'!$A$4:$BG997,24,))</f>
        <v>#N/A</v>
      </c>
      <c r="AN225" s="153" t="str">
        <f>IFS(AK225="NMA",VLOOKUP(AH225,'Primary - GRADING'!$A$4:$BG997,53,),AK225="DIRECT",VLOOKUP(AH225,'Primary - GRADING'!$A$4:$BG997,10,),AK225="INDIRECT",VLOOKUP(AH225,'Primary - GRADING'!$A$4:$BG997,25,))</f>
        <v>#N/A</v>
      </c>
      <c r="AO225" s="153" t="str">
        <f t="shared" si="8"/>
        <v>#N/A</v>
      </c>
      <c r="AT225" s="153" t="str">
        <f t="shared" si="9"/>
        <v>#N/A</v>
      </c>
      <c r="AV225" s="153" t="str">
        <f>VLOOKUP(AU225,'Primary - GRADING'!$A$4:$C997,2,)</f>
        <v>#N/A</v>
      </c>
      <c r="AW225" s="153" t="str">
        <f>VLOOKUP(AU225,'Primary - GRADING'!$A$4:$C997,3,)</f>
        <v>#N/A</v>
      </c>
      <c r="AX225" s="153" t="str">
        <f>VLOOKUP(AU225,'Primary - GRADING'!$A$4:$BG997,59,)</f>
        <v>#N/A</v>
      </c>
      <c r="AY225" s="153" t="str">
        <f>IFS(AX225="NMA",VLOOKUP(AU225,'Primary - GRADING'!$A$4:$BG997,51,),AX225="DIRECT",VLOOKUP(AU225,'Primary - GRADING'!$A$4:$BG997,8,),AX225="INDIRECT",VLOOKUP(AU225,'Primary - GRADING'!$A$4:$BG997,23,))</f>
        <v>#N/A</v>
      </c>
      <c r="AZ225" s="153" t="str">
        <f>IFS(AX225="NMA",VLOOKUP(AU225,'Primary - GRADING'!$A$4:$BG997,52,),AX225="DIRECT",VLOOKUP(AU225,'Primary - GRADING'!$A$4:$BG997,9,),AX225="INDIRECT",VLOOKUP(AU225,'Primary - GRADING'!$A$4:$BG997,24,))</f>
        <v>#N/A</v>
      </c>
      <c r="BA225" s="153" t="str">
        <f>IFS(AX225="NMA",VLOOKUP(AU225,'Primary - GRADING'!$A$4:$BG997,53,),AX225="DIRECT",VLOOKUP(AU225,'Primary - GRADING'!$A$4:$BG997,10,),AX225="INDIRECT",VLOOKUP(AU225,'Primary - GRADING'!$A$4:$BG997,25,))</f>
        <v>#N/A</v>
      </c>
      <c r="BB225" s="153" t="str">
        <f t="shared" si="10"/>
        <v>#N/A</v>
      </c>
      <c r="BE225" s="153" t="str">
        <f t="shared" si="11"/>
        <v/>
      </c>
      <c r="BG225" s="153" t="str">
        <f t="shared" si="12"/>
        <v>#N/A</v>
      </c>
      <c r="BI225" s="153" t="str">
        <f t="shared" si="13"/>
        <v>#N/A</v>
      </c>
      <c r="BK225" s="153" t="str">
        <f t="shared" si="14"/>
        <v>#N/A</v>
      </c>
      <c r="BM225" s="153" t="str">
        <f t="shared" si="15"/>
        <v>#N/A</v>
      </c>
    </row>
    <row r="226" ht="15.75" customHeight="1">
      <c r="B226" s="160" t="str">
        <f t="shared" si="1"/>
        <v>#N/A</v>
      </c>
      <c r="C226" s="160" t="str">
        <f t="shared" si="2"/>
        <v>#N/A</v>
      </c>
      <c r="D226" s="160" t="str">
        <f t="shared" si="3"/>
        <v>#N/A</v>
      </c>
      <c r="E226" s="161" t="str">
        <f t="shared" si="4"/>
        <v>#N/A</v>
      </c>
      <c r="F226" s="153" t="str">
        <f t="shared" si="17"/>
        <v>#N/A</v>
      </c>
      <c r="G226" s="153" t="str">
        <f t="shared" si="6"/>
        <v>#N/A</v>
      </c>
      <c r="H226" s="156" t="str">
        <f t="array" ref="H226">INDEX('Primary - GRADING'!$A$1:$BG997,MATCH($A226,'Primary - GRADING'!$B:$B,0),59)</f>
        <v>#N/A</v>
      </c>
      <c r="I226" s="153" t="str">
        <f t="array" ref="I226">INDEX('Primary - GRADING'!$A$1:$CP997,MATCH($A226,'Primary - GRADING'!$CP:$CP,0),48)</f>
        <v>#N/A</v>
      </c>
      <c r="J226" s="153" t="str">
        <f t="array" ref="J226">INDEX('Primary - GRADING'!$A$1:$CP997,MATCH($A226,'Primary - GRADING'!$CP:$CP,0),49)</f>
        <v>#N/A</v>
      </c>
      <c r="K226" s="153" t="str">
        <f t="array" ref="K226">INDEX('Primary - GRADING'!$A$1:$CP997,MATCH($A226,'Primary - GRADING'!$CP:$CP,0),50)</f>
        <v>#N/A</v>
      </c>
      <c r="L226" s="153" t="str">
        <f t="array" ref="L226">INDEX('Primary - GRADING'!$A$1:$CP997,MATCH($A226,'Primary - GRADING'!$CP:$CP,0),51)</f>
        <v>#N/A</v>
      </c>
      <c r="M226" s="153" t="str">
        <f t="array" ref="M226">INDEX('Primary - GRADING'!$A$1:$CP997,MATCH($A226,'Primary - GRADING'!$CP:$CP,0),52)</f>
        <v>#N/A</v>
      </c>
      <c r="N226" s="153" t="str">
        <f t="array" ref="N226">INDEX('Primary - GRADING'!$A$1:$CP997,MATCH($A226,'Primary - GRADING'!$CP:$CP,0),53)</f>
        <v>#N/A</v>
      </c>
      <c r="O226" s="153" t="str">
        <f t="array" ref="O226">INDEX('Primary - GRADING'!$A$1:$CP997,MATCH($A226,'Primary - GRADING'!$CP:$CP,0),58)</f>
        <v>#N/A</v>
      </c>
      <c r="P226" s="153" t="str">
        <f t="array" ref="P226">INDEX('Primary - GRADING'!$A$1:$CP997,MATCH($A226,'Primary - GRADING'!$CP:$CP,0),5)</f>
        <v>#N/A</v>
      </c>
      <c r="Q226" s="153" t="str">
        <f t="array" ref="Q226">INDEX('Primary - GRADING'!$A$1:$CP997,MATCH($A226,'Primary - GRADING'!$CP:$CP,0),6)</f>
        <v>#N/A</v>
      </c>
      <c r="R226" s="153" t="str">
        <f t="array" ref="R226">INDEX('Primary - GRADING'!$A$1:$CP997,MATCH($A226,'Primary - GRADING'!$CP:$CP,0),7)</f>
        <v>#N/A</v>
      </c>
      <c r="S226" s="153" t="str">
        <f t="array" ref="S226">INDEX('Primary - GRADING'!$A$1:$CP997,MATCH($A226,'Primary - GRADING'!$CP:$CP,0),8)</f>
        <v>#N/A</v>
      </c>
      <c r="T226" s="153" t="str">
        <f t="array" ref="T226">INDEX('Primary - GRADING'!$A$1:$CP997,MATCH($A226,'Primary - GRADING'!$CP:$CP,0),9)</f>
        <v>#N/A</v>
      </c>
      <c r="U226" s="153" t="str">
        <f t="array" ref="U226">INDEX('Primary - GRADING'!$A$1:$CP997,MATCH($A226,'Primary - GRADING'!$CP:$CP,0),10)</f>
        <v>#N/A</v>
      </c>
      <c r="V226" s="153" t="str">
        <f t="array" ref="V226">INDEX('Primary - GRADING'!$A$1:$CP997,MATCH($A226,'Primary - GRADING'!$CP:$CP,0),18)</f>
        <v>#N/A</v>
      </c>
      <c r="W226" s="153" t="str">
        <f t="array" ref="W226">INDEX('Primary - GRADING'!$A$1:$CP997,MATCH($A226,'Primary - GRADING'!$CP:$CP,0),20)</f>
        <v>#N/A</v>
      </c>
      <c r="X226" s="153" t="str">
        <f t="array" ref="X226">INDEX('Primary - GRADING'!$A$1:$CP997,MATCH($A226,'Primary - GRADING'!$CP:$CP,0),21)</f>
        <v>#N/A</v>
      </c>
      <c r="Y226" s="153" t="str">
        <f t="array" ref="Y226">INDEX('Primary - GRADING'!$A$1:$CP997,MATCH($A226,'Primary - GRADING'!$CP:$CP,0),22)</f>
        <v>#N/A</v>
      </c>
      <c r="Z226" s="165" t="str">
        <f t="array" ref="Z226">INDEX('Primary - GRADING'!$A$1:$CP997,MATCH($A226,'Primary - GRADING'!$CP:$CP,0),23)</f>
        <v>#N/A</v>
      </c>
      <c r="AA226" s="153" t="str">
        <f t="array" ref="AA226">INDEX('Primary - GRADING'!$A$1:$CP997,MATCH($A226,'Primary - GRADING'!$CP:$CP,0),24)</f>
        <v>#N/A</v>
      </c>
      <c r="AB226" s="153" t="str">
        <f t="array" ref="AB226">INDEX('Primary - GRADING'!$A$1:$CP997,MATCH($A226,'Primary - GRADING'!$CP:$CP,0),25)</f>
        <v>#N/A</v>
      </c>
      <c r="AC226" s="153" t="str">
        <f t="array" ref="AC226">INDEX('Primary - GRADING'!$A$1:$CP997,MATCH($A226,'Primary - GRADING'!$CP:$CP,0),46)</f>
        <v>#N/A</v>
      </c>
      <c r="AG226" s="153" t="str">
        <f t="shared" si="7"/>
        <v>#N/A</v>
      </c>
      <c r="AI226" s="153" t="str">
        <f>VLOOKUP(AH226,'Primary - GRADING'!$A$4:$C997,2,)</f>
        <v>#N/A</v>
      </c>
      <c r="AJ226" s="153" t="str">
        <f>VLOOKUP(AH226,'Primary - GRADING'!$A$4:$C997,3,)</f>
        <v>#N/A</v>
      </c>
      <c r="AK226" s="153" t="str">
        <f>VLOOKUP(AH226,'Primary - GRADING'!$A$4:$BG997,59,)</f>
        <v>#N/A</v>
      </c>
      <c r="AL226" s="153" t="str">
        <f>IFS(AK226="NMA",VLOOKUP(AH226,'Primary - GRADING'!$A$4:$BG997,51,),AK226="DIRECT",VLOOKUP(AH226,'Primary - GRADING'!$A$4:$BG997,8,),AK226="INDIRECT",VLOOKUP(AH226,'Primary - GRADING'!$A$4:$BG997,23,))</f>
        <v>#N/A</v>
      </c>
      <c r="AM226" s="153" t="str">
        <f>IFS(AK226="NMA",VLOOKUP(AH226,'Primary - GRADING'!$A$4:$BG997,52,),AK226="DIRECT",VLOOKUP(AH226,'Primary - GRADING'!$A$4:$BG997,9,),AK226="INDIRECT",VLOOKUP(AH226,'Primary - GRADING'!$A$4:$BG997,24,))</f>
        <v>#N/A</v>
      </c>
      <c r="AN226" s="153" t="str">
        <f>IFS(AK226="NMA",VLOOKUP(AH226,'Primary - GRADING'!$A$4:$BG997,53,),AK226="DIRECT",VLOOKUP(AH226,'Primary - GRADING'!$A$4:$BG997,10,),AK226="INDIRECT",VLOOKUP(AH226,'Primary - GRADING'!$A$4:$BG997,25,))</f>
        <v>#N/A</v>
      </c>
      <c r="AO226" s="153" t="str">
        <f t="shared" si="8"/>
        <v>#N/A</v>
      </c>
      <c r="AT226" s="153" t="str">
        <f t="shared" si="9"/>
        <v>#N/A</v>
      </c>
      <c r="AV226" s="153" t="str">
        <f>VLOOKUP(AU226,'Primary - GRADING'!$A$4:$C997,2,)</f>
        <v>#N/A</v>
      </c>
      <c r="AW226" s="153" t="str">
        <f>VLOOKUP(AU226,'Primary - GRADING'!$A$4:$C997,3,)</f>
        <v>#N/A</v>
      </c>
      <c r="AX226" s="153" t="str">
        <f>VLOOKUP(AU226,'Primary - GRADING'!$A$4:$BG997,59,)</f>
        <v>#N/A</v>
      </c>
      <c r="AY226" s="153" t="str">
        <f>IFS(AX226="NMA",VLOOKUP(AU226,'Primary - GRADING'!$A$4:$BG997,51,),AX226="DIRECT",VLOOKUP(AU226,'Primary - GRADING'!$A$4:$BG997,8,),AX226="INDIRECT",VLOOKUP(AU226,'Primary - GRADING'!$A$4:$BG997,23,))</f>
        <v>#N/A</v>
      </c>
      <c r="AZ226" s="153" t="str">
        <f>IFS(AX226="NMA",VLOOKUP(AU226,'Primary - GRADING'!$A$4:$BG997,52,),AX226="DIRECT",VLOOKUP(AU226,'Primary - GRADING'!$A$4:$BG997,9,),AX226="INDIRECT",VLOOKUP(AU226,'Primary - GRADING'!$A$4:$BG997,24,))</f>
        <v>#N/A</v>
      </c>
      <c r="BA226" s="153" t="str">
        <f>IFS(AX226="NMA",VLOOKUP(AU226,'Primary - GRADING'!$A$4:$BG997,53,),AX226="DIRECT",VLOOKUP(AU226,'Primary - GRADING'!$A$4:$BG997,10,),AX226="INDIRECT",VLOOKUP(AU226,'Primary - GRADING'!$A$4:$BG997,25,))</f>
        <v>#N/A</v>
      </c>
      <c r="BB226" s="153" t="str">
        <f t="shared" si="10"/>
        <v>#N/A</v>
      </c>
      <c r="BE226" s="153" t="str">
        <f t="shared" si="11"/>
        <v/>
      </c>
      <c r="BG226" s="153" t="str">
        <f t="shared" si="12"/>
        <v>#N/A</v>
      </c>
      <c r="BI226" s="153" t="str">
        <f t="shared" si="13"/>
        <v>#N/A</v>
      </c>
      <c r="BK226" s="153" t="str">
        <f t="shared" si="14"/>
        <v>#N/A</v>
      </c>
      <c r="BM226" s="153" t="str">
        <f t="shared" si="15"/>
        <v>#N/A</v>
      </c>
    </row>
    <row r="227" ht="15.75" customHeight="1">
      <c r="B227" s="160" t="str">
        <f t="shared" si="1"/>
        <v>#N/A</v>
      </c>
      <c r="C227" s="160" t="str">
        <f t="shared" si="2"/>
        <v>#N/A</v>
      </c>
      <c r="D227" s="160" t="str">
        <f t="shared" si="3"/>
        <v>#N/A</v>
      </c>
      <c r="E227" s="161" t="str">
        <f t="shared" si="4"/>
        <v>#N/A</v>
      </c>
      <c r="F227" s="153" t="str">
        <f t="shared" si="17"/>
        <v>#N/A</v>
      </c>
      <c r="G227" s="153" t="str">
        <f t="shared" si="6"/>
        <v>#N/A</v>
      </c>
      <c r="H227" s="156" t="str">
        <f t="array" ref="H227">INDEX('Primary - GRADING'!$A$1:$BG997,MATCH($A227,'Primary - GRADING'!$B:$B,0),59)</f>
        <v>#N/A</v>
      </c>
      <c r="I227" s="153" t="str">
        <f t="array" ref="I227">INDEX('Primary - GRADING'!$A$1:$CP997,MATCH($A227,'Primary - GRADING'!$CP:$CP,0),48)</f>
        <v>#N/A</v>
      </c>
      <c r="J227" s="153" t="str">
        <f t="array" ref="J227">INDEX('Primary - GRADING'!$A$1:$CP997,MATCH($A227,'Primary - GRADING'!$CP:$CP,0),49)</f>
        <v>#N/A</v>
      </c>
      <c r="K227" s="153" t="str">
        <f t="array" ref="K227">INDEX('Primary - GRADING'!$A$1:$CP997,MATCH($A227,'Primary - GRADING'!$CP:$CP,0),50)</f>
        <v>#N/A</v>
      </c>
      <c r="L227" s="153" t="str">
        <f t="array" ref="L227">INDEX('Primary - GRADING'!$A$1:$CP997,MATCH($A227,'Primary - GRADING'!$CP:$CP,0),51)</f>
        <v>#N/A</v>
      </c>
      <c r="M227" s="153" t="str">
        <f t="array" ref="M227">INDEX('Primary - GRADING'!$A$1:$CP997,MATCH($A227,'Primary - GRADING'!$CP:$CP,0),52)</f>
        <v>#N/A</v>
      </c>
      <c r="N227" s="153" t="str">
        <f t="array" ref="N227">INDEX('Primary - GRADING'!$A$1:$CP997,MATCH($A227,'Primary - GRADING'!$CP:$CP,0),53)</f>
        <v>#N/A</v>
      </c>
      <c r="O227" s="153" t="str">
        <f t="array" ref="O227">INDEX('Primary - GRADING'!$A$1:$CP997,MATCH($A227,'Primary - GRADING'!$CP:$CP,0),58)</f>
        <v>#N/A</v>
      </c>
      <c r="P227" s="153" t="str">
        <f t="array" ref="P227">INDEX('Primary - GRADING'!$A$1:$CP997,MATCH($A227,'Primary - GRADING'!$CP:$CP,0),5)</f>
        <v>#N/A</v>
      </c>
      <c r="Q227" s="153" t="str">
        <f t="array" ref="Q227">INDEX('Primary - GRADING'!$A$1:$CP997,MATCH($A227,'Primary - GRADING'!$CP:$CP,0),6)</f>
        <v>#N/A</v>
      </c>
      <c r="R227" s="153" t="str">
        <f t="array" ref="R227">INDEX('Primary - GRADING'!$A$1:$CP997,MATCH($A227,'Primary - GRADING'!$CP:$CP,0),7)</f>
        <v>#N/A</v>
      </c>
      <c r="S227" s="153" t="str">
        <f t="array" ref="S227">INDEX('Primary - GRADING'!$A$1:$CP997,MATCH($A227,'Primary - GRADING'!$CP:$CP,0),8)</f>
        <v>#N/A</v>
      </c>
      <c r="T227" s="153" t="str">
        <f t="array" ref="T227">INDEX('Primary - GRADING'!$A$1:$CP997,MATCH($A227,'Primary - GRADING'!$CP:$CP,0),9)</f>
        <v>#N/A</v>
      </c>
      <c r="U227" s="153" t="str">
        <f t="array" ref="U227">INDEX('Primary - GRADING'!$A$1:$CP997,MATCH($A227,'Primary - GRADING'!$CP:$CP,0),10)</f>
        <v>#N/A</v>
      </c>
      <c r="V227" s="153" t="str">
        <f t="array" ref="V227">INDEX('Primary - GRADING'!$A$1:$CP997,MATCH($A227,'Primary - GRADING'!$CP:$CP,0),18)</f>
        <v>#N/A</v>
      </c>
      <c r="W227" s="153" t="str">
        <f t="array" ref="W227">INDEX('Primary - GRADING'!$A$1:$CP997,MATCH($A227,'Primary - GRADING'!$CP:$CP,0),20)</f>
        <v>#N/A</v>
      </c>
      <c r="X227" s="153" t="str">
        <f t="array" ref="X227">INDEX('Primary - GRADING'!$A$1:$CP997,MATCH($A227,'Primary - GRADING'!$CP:$CP,0),21)</f>
        <v>#N/A</v>
      </c>
      <c r="Y227" s="153" t="str">
        <f t="array" ref="Y227">INDEX('Primary - GRADING'!$A$1:$CP997,MATCH($A227,'Primary - GRADING'!$CP:$CP,0),22)</f>
        <v>#N/A</v>
      </c>
      <c r="Z227" s="165" t="str">
        <f t="array" ref="Z227">INDEX('Primary - GRADING'!$A$1:$CP997,MATCH($A227,'Primary - GRADING'!$CP:$CP,0),23)</f>
        <v>#N/A</v>
      </c>
      <c r="AA227" s="153" t="str">
        <f t="array" ref="AA227">INDEX('Primary - GRADING'!$A$1:$CP997,MATCH($A227,'Primary - GRADING'!$CP:$CP,0),24)</f>
        <v>#N/A</v>
      </c>
      <c r="AB227" s="153" t="str">
        <f t="array" ref="AB227">INDEX('Primary - GRADING'!$A$1:$CP997,MATCH($A227,'Primary - GRADING'!$CP:$CP,0),25)</f>
        <v>#N/A</v>
      </c>
      <c r="AC227" s="153" t="str">
        <f t="array" ref="AC227">INDEX('Primary - GRADING'!$A$1:$CP997,MATCH($A227,'Primary - GRADING'!$CP:$CP,0),46)</f>
        <v>#N/A</v>
      </c>
      <c r="AG227" s="153" t="str">
        <f t="shared" si="7"/>
        <v>#N/A</v>
      </c>
      <c r="AI227" s="153" t="str">
        <f>VLOOKUP(AH227,'Primary - GRADING'!$A$4:$C997,2,)</f>
        <v>#N/A</v>
      </c>
      <c r="AJ227" s="153" t="str">
        <f>VLOOKUP(AH227,'Primary - GRADING'!$A$4:$C997,3,)</f>
        <v>#N/A</v>
      </c>
      <c r="AK227" s="153" t="str">
        <f>VLOOKUP(AH227,'Primary - GRADING'!$A$4:$BG997,59,)</f>
        <v>#N/A</v>
      </c>
      <c r="AL227" s="153" t="str">
        <f>IFS(AK227="NMA",VLOOKUP(AH227,'Primary - GRADING'!$A$4:$BG997,51,),AK227="DIRECT",VLOOKUP(AH227,'Primary - GRADING'!$A$4:$BG997,8,),AK227="INDIRECT",VLOOKUP(AH227,'Primary - GRADING'!$A$4:$BG997,23,))</f>
        <v>#N/A</v>
      </c>
      <c r="AM227" s="153" t="str">
        <f>IFS(AK227="NMA",VLOOKUP(AH227,'Primary - GRADING'!$A$4:$BG997,52,),AK227="DIRECT",VLOOKUP(AH227,'Primary - GRADING'!$A$4:$BG997,9,),AK227="INDIRECT",VLOOKUP(AH227,'Primary - GRADING'!$A$4:$BG997,24,))</f>
        <v>#N/A</v>
      </c>
      <c r="AN227" s="153" t="str">
        <f>IFS(AK227="NMA",VLOOKUP(AH227,'Primary - GRADING'!$A$4:$BG997,53,),AK227="DIRECT",VLOOKUP(AH227,'Primary - GRADING'!$A$4:$BG997,10,),AK227="INDIRECT",VLOOKUP(AH227,'Primary - GRADING'!$A$4:$BG997,25,))</f>
        <v>#N/A</v>
      </c>
      <c r="AO227" s="153" t="str">
        <f t="shared" si="8"/>
        <v>#N/A</v>
      </c>
      <c r="AT227" s="153" t="str">
        <f t="shared" si="9"/>
        <v>#N/A</v>
      </c>
      <c r="AV227" s="153" t="str">
        <f>VLOOKUP(AU227,'Primary - GRADING'!$A$4:$C997,2,)</f>
        <v>#N/A</v>
      </c>
      <c r="AW227" s="153" t="str">
        <f>VLOOKUP(AU227,'Primary - GRADING'!$A$4:$C997,3,)</f>
        <v>#N/A</v>
      </c>
      <c r="AX227" s="153" t="str">
        <f>VLOOKUP(AU227,'Primary - GRADING'!$A$4:$BG997,59,)</f>
        <v>#N/A</v>
      </c>
      <c r="AY227" s="153" t="str">
        <f>IFS(AX227="NMA",VLOOKUP(AU227,'Primary - GRADING'!$A$4:$BG997,51,),AX227="DIRECT",VLOOKUP(AU227,'Primary - GRADING'!$A$4:$BG997,8,),AX227="INDIRECT",VLOOKUP(AU227,'Primary - GRADING'!$A$4:$BG997,23,))</f>
        <v>#N/A</v>
      </c>
      <c r="AZ227" s="153" t="str">
        <f>IFS(AX227="NMA",VLOOKUP(AU227,'Primary - GRADING'!$A$4:$BG997,52,),AX227="DIRECT",VLOOKUP(AU227,'Primary - GRADING'!$A$4:$BG997,9,),AX227="INDIRECT",VLOOKUP(AU227,'Primary - GRADING'!$A$4:$BG997,24,))</f>
        <v>#N/A</v>
      </c>
      <c r="BA227" s="153" t="str">
        <f>IFS(AX227="NMA",VLOOKUP(AU227,'Primary - GRADING'!$A$4:$BG997,53,),AX227="DIRECT",VLOOKUP(AU227,'Primary - GRADING'!$A$4:$BG997,10,),AX227="INDIRECT",VLOOKUP(AU227,'Primary - GRADING'!$A$4:$BG997,25,))</f>
        <v>#N/A</v>
      </c>
      <c r="BB227" s="153" t="str">
        <f t="shared" si="10"/>
        <v>#N/A</v>
      </c>
      <c r="BE227" s="153" t="str">
        <f t="shared" si="11"/>
        <v/>
      </c>
      <c r="BG227" s="153" t="str">
        <f t="shared" si="12"/>
        <v>#N/A</v>
      </c>
      <c r="BI227" s="153" t="str">
        <f t="shared" si="13"/>
        <v>#N/A</v>
      </c>
      <c r="BK227" s="153" t="str">
        <f t="shared" si="14"/>
        <v>#N/A</v>
      </c>
      <c r="BM227" s="153" t="str">
        <f t="shared" si="15"/>
        <v>#N/A</v>
      </c>
    </row>
    <row r="228" ht="15.75" customHeight="1">
      <c r="B228" s="160" t="str">
        <f t="shared" si="1"/>
        <v>#N/A</v>
      </c>
      <c r="C228" s="160" t="str">
        <f t="shared" si="2"/>
        <v>#N/A</v>
      </c>
      <c r="D228" s="160" t="str">
        <f t="shared" si="3"/>
        <v>#N/A</v>
      </c>
      <c r="E228" s="161" t="str">
        <f t="shared" si="4"/>
        <v>#N/A</v>
      </c>
      <c r="F228" s="153" t="str">
        <f t="shared" si="17"/>
        <v>#N/A</v>
      </c>
      <c r="G228" s="153" t="str">
        <f t="shared" si="6"/>
        <v>#N/A</v>
      </c>
      <c r="H228" s="156" t="str">
        <f t="array" ref="H228">INDEX('Primary - GRADING'!$A$1:$BG997,MATCH($A228,'Primary - GRADING'!$B:$B,0),59)</f>
        <v>#N/A</v>
      </c>
      <c r="I228" s="153" t="str">
        <f t="array" ref="I228">INDEX('Primary - GRADING'!$A$1:$CP997,MATCH($A228,'Primary - GRADING'!$CP:$CP,0),48)</f>
        <v>#N/A</v>
      </c>
      <c r="J228" s="153" t="str">
        <f t="array" ref="J228">INDEX('Primary - GRADING'!$A$1:$CP997,MATCH($A228,'Primary - GRADING'!$CP:$CP,0),49)</f>
        <v>#N/A</v>
      </c>
      <c r="K228" s="153" t="str">
        <f t="array" ref="K228">INDEX('Primary - GRADING'!$A$1:$CP997,MATCH($A228,'Primary - GRADING'!$CP:$CP,0),50)</f>
        <v>#N/A</v>
      </c>
      <c r="L228" s="153" t="str">
        <f t="array" ref="L228">INDEX('Primary - GRADING'!$A$1:$CP997,MATCH($A228,'Primary - GRADING'!$CP:$CP,0),51)</f>
        <v>#N/A</v>
      </c>
      <c r="M228" s="153" t="str">
        <f t="array" ref="M228">INDEX('Primary - GRADING'!$A$1:$CP997,MATCH($A228,'Primary - GRADING'!$CP:$CP,0),52)</f>
        <v>#N/A</v>
      </c>
      <c r="N228" s="153" t="str">
        <f t="array" ref="N228">INDEX('Primary - GRADING'!$A$1:$CP997,MATCH($A228,'Primary - GRADING'!$CP:$CP,0),53)</f>
        <v>#N/A</v>
      </c>
      <c r="O228" s="153" t="str">
        <f t="array" ref="O228">INDEX('Primary - GRADING'!$A$1:$CP997,MATCH($A228,'Primary - GRADING'!$CP:$CP,0),58)</f>
        <v>#N/A</v>
      </c>
      <c r="P228" s="153" t="str">
        <f t="array" ref="P228">INDEX('Primary - GRADING'!$A$1:$CP997,MATCH($A228,'Primary - GRADING'!$CP:$CP,0),5)</f>
        <v>#N/A</v>
      </c>
      <c r="Q228" s="153" t="str">
        <f t="array" ref="Q228">INDEX('Primary - GRADING'!$A$1:$CP997,MATCH($A228,'Primary - GRADING'!$CP:$CP,0),6)</f>
        <v>#N/A</v>
      </c>
      <c r="R228" s="153" t="str">
        <f t="array" ref="R228">INDEX('Primary - GRADING'!$A$1:$CP997,MATCH($A228,'Primary - GRADING'!$CP:$CP,0),7)</f>
        <v>#N/A</v>
      </c>
      <c r="S228" s="153" t="str">
        <f t="array" ref="S228">INDEX('Primary - GRADING'!$A$1:$CP997,MATCH($A228,'Primary - GRADING'!$CP:$CP,0),8)</f>
        <v>#N/A</v>
      </c>
      <c r="T228" s="153" t="str">
        <f t="array" ref="T228">INDEX('Primary - GRADING'!$A$1:$CP997,MATCH($A228,'Primary - GRADING'!$CP:$CP,0),9)</f>
        <v>#N/A</v>
      </c>
      <c r="U228" s="153" t="str">
        <f t="array" ref="U228">INDEX('Primary - GRADING'!$A$1:$CP997,MATCH($A228,'Primary - GRADING'!$CP:$CP,0),10)</f>
        <v>#N/A</v>
      </c>
      <c r="V228" s="153" t="str">
        <f t="array" ref="V228">INDEX('Primary - GRADING'!$A$1:$CP997,MATCH($A228,'Primary - GRADING'!$CP:$CP,0),18)</f>
        <v>#N/A</v>
      </c>
      <c r="W228" s="153" t="str">
        <f t="array" ref="W228">INDEX('Primary - GRADING'!$A$1:$CP997,MATCH($A228,'Primary - GRADING'!$CP:$CP,0),20)</f>
        <v>#N/A</v>
      </c>
      <c r="X228" s="153" t="str">
        <f t="array" ref="X228">INDEX('Primary - GRADING'!$A$1:$CP997,MATCH($A228,'Primary - GRADING'!$CP:$CP,0),21)</f>
        <v>#N/A</v>
      </c>
      <c r="Y228" s="153" t="str">
        <f t="array" ref="Y228">INDEX('Primary - GRADING'!$A$1:$CP997,MATCH($A228,'Primary - GRADING'!$CP:$CP,0),22)</f>
        <v>#N/A</v>
      </c>
      <c r="Z228" s="165" t="str">
        <f t="array" ref="Z228">INDEX('Primary - GRADING'!$A$1:$CP997,MATCH($A228,'Primary - GRADING'!$CP:$CP,0),23)</f>
        <v>#N/A</v>
      </c>
      <c r="AA228" s="153" t="str">
        <f t="array" ref="AA228">INDEX('Primary - GRADING'!$A$1:$CP997,MATCH($A228,'Primary - GRADING'!$CP:$CP,0),24)</f>
        <v>#N/A</v>
      </c>
      <c r="AB228" s="153" t="str">
        <f t="array" ref="AB228">INDEX('Primary - GRADING'!$A$1:$CP997,MATCH($A228,'Primary - GRADING'!$CP:$CP,0),25)</f>
        <v>#N/A</v>
      </c>
      <c r="AC228" s="153" t="str">
        <f t="array" ref="AC228">INDEX('Primary - GRADING'!$A$1:$CP997,MATCH($A228,'Primary - GRADING'!$CP:$CP,0),46)</f>
        <v>#N/A</v>
      </c>
      <c r="AG228" s="153" t="str">
        <f t="shared" si="7"/>
        <v>#N/A</v>
      </c>
      <c r="AI228" s="153" t="str">
        <f>VLOOKUP(AH228,'Primary - GRADING'!$A$4:$C997,2,)</f>
        <v>#N/A</v>
      </c>
      <c r="AJ228" s="153" t="str">
        <f>VLOOKUP(AH228,'Primary - GRADING'!$A$4:$C997,3,)</f>
        <v>#N/A</v>
      </c>
      <c r="AK228" s="153" t="str">
        <f>VLOOKUP(AH228,'Primary - GRADING'!$A$4:$BG997,59,)</f>
        <v>#N/A</v>
      </c>
      <c r="AL228" s="153" t="str">
        <f>IFS(AK228="NMA",VLOOKUP(AH228,'Primary - GRADING'!$A$4:$BG997,51,),AK228="DIRECT",VLOOKUP(AH228,'Primary - GRADING'!$A$4:$BG997,8,),AK228="INDIRECT",VLOOKUP(AH228,'Primary - GRADING'!$A$4:$BG997,23,))</f>
        <v>#N/A</v>
      </c>
      <c r="AM228" s="153" t="str">
        <f>IFS(AK228="NMA",VLOOKUP(AH228,'Primary - GRADING'!$A$4:$BG997,52,),AK228="DIRECT",VLOOKUP(AH228,'Primary - GRADING'!$A$4:$BG997,9,),AK228="INDIRECT",VLOOKUP(AH228,'Primary - GRADING'!$A$4:$BG997,24,))</f>
        <v>#N/A</v>
      </c>
      <c r="AN228" s="153" t="str">
        <f>IFS(AK228="NMA",VLOOKUP(AH228,'Primary - GRADING'!$A$4:$BG997,53,),AK228="DIRECT",VLOOKUP(AH228,'Primary - GRADING'!$A$4:$BG997,10,),AK228="INDIRECT",VLOOKUP(AH228,'Primary - GRADING'!$A$4:$BG997,25,))</f>
        <v>#N/A</v>
      </c>
      <c r="AO228" s="153" t="str">
        <f t="shared" si="8"/>
        <v>#N/A</v>
      </c>
      <c r="AT228" s="153" t="str">
        <f t="shared" si="9"/>
        <v>#N/A</v>
      </c>
      <c r="AV228" s="153" t="str">
        <f>VLOOKUP(AU228,'Primary - GRADING'!$A$4:$C997,2,)</f>
        <v>#N/A</v>
      </c>
      <c r="AW228" s="153" t="str">
        <f>VLOOKUP(AU228,'Primary - GRADING'!$A$4:$C997,3,)</f>
        <v>#N/A</v>
      </c>
      <c r="AX228" s="153" t="str">
        <f>VLOOKUP(AU228,'Primary - GRADING'!$A$4:$BG997,59,)</f>
        <v>#N/A</v>
      </c>
      <c r="AY228" s="153" t="str">
        <f>IFS(AX228="NMA",VLOOKUP(AU228,'Primary - GRADING'!$A$4:$BG997,51,),AX228="DIRECT",VLOOKUP(AU228,'Primary - GRADING'!$A$4:$BG997,8,),AX228="INDIRECT",VLOOKUP(AU228,'Primary - GRADING'!$A$4:$BG997,23,))</f>
        <v>#N/A</v>
      </c>
      <c r="AZ228" s="153" t="str">
        <f>IFS(AX228="NMA",VLOOKUP(AU228,'Primary - GRADING'!$A$4:$BG997,52,),AX228="DIRECT",VLOOKUP(AU228,'Primary - GRADING'!$A$4:$BG997,9,),AX228="INDIRECT",VLOOKUP(AU228,'Primary - GRADING'!$A$4:$BG997,24,))</f>
        <v>#N/A</v>
      </c>
      <c r="BA228" s="153" t="str">
        <f>IFS(AX228="NMA",VLOOKUP(AU228,'Primary - GRADING'!$A$4:$BG997,53,),AX228="DIRECT",VLOOKUP(AU228,'Primary - GRADING'!$A$4:$BG997,10,),AX228="INDIRECT",VLOOKUP(AU228,'Primary - GRADING'!$A$4:$BG997,25,))</f>
        <v>#N/A</v>
      </c>
      <c r="BB228" s="153" t="str">
        <f t="shared" si="10"/>
        <v>#N/A</v>
      </c>
      <c r="BE228" s="153" t="str">
        <f t="shared" si="11"/>
        <v/>
      </c>
      <c r="BG228" s="153" t="str">
        <f t="shared" si="12"/>
        <v>#N/A</v>
      </c>
      <c r="BI228" s="153" t="str">
        <f t="shared" si="13"/>
        <v>#N/A</v>
      </c>
      <c r="BK228" s="153" t="str">
        <f t="shared" si="14"/>
        <v>#N/A</v>
      </c>
      <c r="BM228" s="153" t="str">
        <f t="shared" si="15"/>
        <v>#N/A</v>
      </c>
    </row>
    <row r="229" ht="15.75" customHeight="1">
      <c r="B229" s="160" t="str">
        <f t="shared" si="1"/>
        <v>#N/A</v>
      </c>
      <c r="C229" s="160" t="str">
        <f t="shared" si="2"/>
        <v>#N/A</v>
      </c>
      <c r="D229" s="160" t="str">
        <f t="shared" si="3"/>
        <v>#N/A</v>
      </c>
      <c r="E229" s="161" t="str">
        <f t="shared" si="4"/>
        <v>#N/A</v>
      </c>
      <c r="F229" s="153" t="str">
        <f t="shared" si="17"/>
        <v>#N/A</v>
      </c>
      <c r="G229" s="153" t="str">
        <f t="shared" si="6"/>
        <v>#N/A</v>
      </c>
      <c r="H229" s="156" t="str">
        <f t="array" ref="H229">INDEX('Primary - GRADING'!$A$1:$BG997,MATCH($A229,'Primary - GRADING'!$B:$B,0),59)</f>
        <v>#N/A</v>
      </c>
      <c r="I229" s="153" t="str">
        <f t="array" ref="I229">INDEX('Primary - GRADING'!$A$1:$CP997,MATCH($A229,'Primary - GRADING'!$CP:$CP,0),48)</f>
        <v>#N/A</v>
      </c>
      <c r="J229" s="153" t="str">
        <f t="array" ref="J229">INDEX('Primary - GRADING'!$A$1:$CP997,MATCH($A229,'Primary - GRADING'!$CP:$CP,0),49)</f>
        <v>#N/A</v>
      </c>
      <c r="K229" s="153" t="str">
        <f t="array" ref="K229">INDEX('Primary - GRADING'!$A$1:$CP997,MATCH($A229,'Primary - GRADING'!$CP:$CP,0),50)</f>
        <v>#N/A</v>
      </c>
      <c r="L229" s="153" t="str">
        <f t="array" ref="L229">INDEX('Primary - GRADING'!$A$1:$CP997,MATCH($A229,'Primary - GRADING'!$CP:$CP,0),51)</f>
        <v>#N/A</v>
      </c>
      <c r="M229" s="153" t="str">
        <f t="array" ref="M229">INDEX('Primary - GRADING'!$A$1:$CP997,MATCH($A229,'Primary - GRADING'!$CP:$CP,0),52)</f>
        <v>#N/A</v>
      </c>
      <c r="N229" s="153" t="str">
        <f t="array" ref="N229">INDEX('Primary - GRADING'!$A$1:$CP997,MATCH($A229,'Primary - GRADING'!$CP:$CP,0),53)</f>
        <v>#N/A</v>
      </c>
      <c r="O229" s="153" t="str">
        <f t="array" ref="O229">INDEX('Primary - GRADING'!$A$1:$CP997,MATCH($A229,'Primary - GRADING'!$CP:$CP,0),58)</f>
        <v>#N/A</v>
      </c>
      <c r="P229" s="153" t="str">
        <f t="array" ref="P229">INDEX('Primary - GRADING'!$A$1:$CP997,MATCH($A229,'Primary - GRADING'!$CP:$CP,0),5)</f>
        <v>#N/A</v>
      </c>
      <c r="Q229" s="153" t="str">
        <f t="array" ref="Q229">INDEX('Primary - GRADING'!$A$1:$CP997,MATCH($A229,'Primary - GRADING'!$CP:$CP,0),6)</f>
        <v>#N/A</v>
      </c>
      <c r="R229" s="153" t="str">
        <f t="array" ref="R229">INDEX('Primary - GRADING'!$A$1:$CP997,MATCH($A229,'Primary - GRADING'!$CP:$CP,0),7)</f>
        <v>#N/A</v>
      </c>
      <c r="S229" s="153" t="str">
        <f t="array" ref="S229">INDEX('Primary - GRADING'!$A$1:$CP997,MATCH($A229,'Primary - GRADING'!$CP:$CP,0),8)</f>
        <v>#N/A</v>
      </c>
      <c r="T229" s="153" t="str">
        <f t="array" ref="T229">INDEX('Primary - GRADING'!$A$1:$CP997,MATCH($A229,'Primary - GRADING'!$CP:$CP,0),9)</f>
        <v>#N/A</v>
      </c>
      <c r="U229" s="153" t="str">
        <f t="array" ref="U229">INDEX('Primary - GRADING'!$A$1:$CP997,MATCH($A229,'Primary - GRADING'!$CP:$CP,0),10)</f>
        <v>#N/A</v>
      </c>
      <c r="V229" s="153" t="str">
        <f t="array" ref="V229">INDEX('Primary - GRADING'!$A$1:$CP997,MATCH($A229,'Primary - GRADING'!$CP:$CP,0),18)</f>
        <v>#N/A</v>
      </c>
      <c r="W229" s="153" t="str">
        <f t="array" ref="W229">INDEX('Primary - GRADING'!$A$1:$CP997,MATCH($A229,'Primary - GRADING'!$CP:$CP,0),20)</f>
        <v>#N/A</v>
      </c>
      <c r="X229" s="153" t="str">
        <f t="array" ref="X229">INDEX('Primary - GRADING'!$A$1:$CP997,MATCH($A229,'Primary - GRADING'!$CP:$CP,0),21)</f>
        <v>#N/A</v>
      </c>
      <c r="Y229" s="153" t="str">
        <f t="array" ref="Y229">INDEX('Primary - GRADING'!$A$1:$CP997,MATCH($A229,'Primary - GRADING'!$CP:$CP,0),22)</f>
        <v>#N/A</v>
      </c>
      <c r="Z229" s="165" t="str">
        <f t="array" ref="Z229">INDEX('Primary - GRADING'!$A$1:$CP997,MATCH($A229,'Primary - GRADING'!$CP:$CP,0),23)</f>
        <v>#N/A</v>
      </c>
      <c r="AA229" s="153" t="str">
        <f t="array" ref="AA229">INDEX('Primary - GRADING'!$A$1:$CP997,MATCH($A229,'Primary - GRADING'!$CP:$CP,0),24)</f>
        <v>#N/A</v>
      </c>
      <c r="AB229" s="153" t="str">
        <f t="array" ref="AB229">INDEX('Primary - GRADING'!$A$1:$CP997,MATCH($A229,'Primary - GRADING'!$CP:$CP,0),25)</f>
        <v>#N/A</v>
      </c>
      <c r="AC229" s="153" t="str">
        <f t="array" ref="AC229">INDEX('Primary - GRADING'!$A$1:$CP997,MATCH($A229,'Primary - GRADING'!$CP:$CP,0),46)</f>
        <v>#N/A</v>
      </c>
      <c r="AG229" s="153" t="str">
        <f t="shared" si="7"/>
        <v>#N/A</v>
      </c>
      <c r="AI229" s="153" t="str">
        <f>VLOOKUP(AH229,'Primary - GRADING'!$A$4:$C997,2,)</f>
        <v>#N/A</v>
      </c>
      <c r="AJ229" s="153" t="str">
        <f>VLOOKUP(AH229,'Primary - GRADING'!$A$4:$C997,3,)</f>
        <v>#N/A</v>
      </c>
      <c r="AK229" s="153" t="str">
        <f>VLOOKUP(AH229,'Primary - GRADING'!$A$4:$BG997,59,)</f>
        <v>#N/A</v>
      </c>
      <c r="AL229" s="153" t="str">
        <f>IFS(AK229="NMA",VLOOKUP(AH229,'Primary - GRADING'!$A$4:$BG997,51,),AK229="DIRECT",VLOOKUP(AH229,'Primary - GRADING'!$A$4:$BG997,8,),AK229="INDIRECT",VLOOKUP(AH229,'Primary - GRADING'!$A$4:$BG997,23,))</f>
        <v>#N/A</v>
      </c>
      <c r="AM229" s="153" t="str">
        <f>IFS(AK229="NMA",VLOOKUP(AH229,'Primary - GRADING'!$A$4:$BG997,52,),AK229="DIRECT",VLOOKUP(AH229,'Primary - GRADING'!$A$4:$BG997,9,),AK229="INDIRECT",VLOOKUP(AH229,'Primary - GRADING'!$A$4:$BG997,24,))</f>
        <v>#N/A</v>
      </c>
      <c r="AN229" s="153" t="str">
        <f>IFS(AK229="NMA",VLOOKUP(AH229,'Primary - GRADING'!$A$4:$BG997,53,),AK229="DIRECT",VLOOKUP(AH229,'Primary - GRADING'!$A$4:$BG997,10,),AK229="INDIRECT",VLOOKUP(AH229,'Primary - GRADING'!$A$4:$BG997,25,))</f>
        <v>#N/A</v>
      </c>
      <c r="AO229" s="153" t="str">
        <f t="shared" si="8"/>
        <v>#N/A</v>
      </c>
      <c r="AT229" s="153" t="str">
        <f t="shared" si="9"/>
        <v>#N/A</v>
      </c>
      <c r="AV229" s="153" t="str">
        <f>VLOOKUP(AU229,'Primary - GRADING'!$A$4:$C997,2,)</f>
        <v>#N/A</v>
      </c>
      <c r="AW229" s="153" t="str">
        <f>VLOOKUP(AU229,'Primary - GRADING'!$A$4:$C997,3,)</f>
        <v>#N/A</v>
      </c>
      <c r="AX229" s="153" t="str">
        <f>VLOOKUP(AU229,'Primary - GRADING'!$A$4:$BG997,59,)</f>
        <v>#N/A</v>
      </c>
      <c r="AY229" s="153" t="str">
        <f>IFS(AX229="NMA",VLOOKUP(AU229,'Primary - GRADING'!$A$4:$BG997,51,),AX229="DIRECT",VLOOKUP(AU229,'Primary - GRADING'!$A$4:$BG997,8,),AX229="INDIRECT",VLOOKUP(AU229,'Primary - GRADING'!$A$4:$BG997,23,))</f>
        <v>#N/A</v>
      </c>
      <c r="AZ229" s="153" t="str">
        <f>IFS(AX229="NMA",VLOOKUP(AU229,'Primary - GRADING'!$A$4:$BG997,52,),AX229="DIRECT",VLOOKUP(AU229,'Primary - GRADING'!$A$4:$BG997,9,),AX229="INDIRECT",VLOOKUP(AU229,'Primary - GRADING'!$A$4:$BG997,24,))</f>
        <v>#N/A</v>
      </c>
      <c r="BA229" s="153" t="str">
        <f>IFS(AX229="NMA",VLOOKUP(AU229,'Primary - GRADING'!$A$4:$BG997,53,),AX229="DIRECT",VLOOKUP(AU229,'Primary - GRADING'!$A$4:$BG997,10,),AX229="INDIRECT",VLOOKUP(AU229,'Primary - GRADING'!$A$4:$BG997,25,))</f>
        <v>#N/A</v>
      </c>
      <c r="BB229" s="153" t="str">
        <f t="shared" si="10"/>
        <v>#N/A</v>
      </c>
      <c r="BE229" s="153" t="str">
        <f t="shared" si="11"/>
        <v/>
      </c>
      <c r="BG229" s="153" t="str">
        <f t="shared" si="12"/>
        <v>#N/A</v>
      </c>
      <c r="BI229" s="153" t="str">
        <f t="shared" si="13"/>
        <v>#N/A</v>
      </c>
      <c r="BK229" s="153" t="str">
        <f t="shared" si="14"/>
        <v>#N/A</v>
      </c>
      <c r="BM229" s="153" t="str">
        <f t="shared" si="15"/>
        <v>#N/A</v>
      </c>
    </row>
    <row r="230" ht="15.75" customHeight="1">
      <c r="B230" s="160" t="str">
        <f t="shared" si="1"/>
        <v>#N/A</v>
      </c>
      <c r="C230" s="160" t="str">
        <f t="shared" si="2"/>
        <v>#N/A</v>
      </c>
      <c r="D230" s="160" t="str">
        <f t="shared" si="3"/>
        <v>#N/A</v>
      </c>
      <c r="E230" s="161" t="str">
        <f t="shared" si="4"/>
        <v>#N/A</v>
      </c>
      <c r="F230" s="153" t="str">
        <f t="shared" si="17"/>
        <v>#N/A</v>
      </c>
      <c r="G230" s="153" t="str">
        <f t="shared" si="6"/>
        <v>#N/A</v>
      </c>
      <c r="H230" s="156" t="str">
        <f t="array" ref="H230">INDEX('Primary - GRADING'!$A$1:$BG997,MATCH($A230,'Primary - GRADING'!$B:$B,0),59)</f>
        <v>#N/A</v>
      </c>
      <c r="I230" s="153" t="str">
        <f t="array" ref="I230">INDEX('Primary - GRADING'!$A$1:$CP997,MATCH($A230,'Primary - GRADING'!$CP:$CP,0),48)</f>
        <v>#N/A</v>
      </c>
      <c r="J230" s="153" t="str">
        <f t="array" ref="J230">INDEX('Primary - GRADING'!$A$1:$CP997,MATCH($A230,'Primary - GRADING'!$CP:$CP,0),49)</f>
        <v>#N/A</v>
      </c>
      <c r="K230" s="153" t="str">
        <f t="array" ref="K230">INDEX('Primary - GRADING'!$A$1:$CP997,MATCH($A230,'Primary - GRADING'!$CP:$CP,0),50)</f>
        <v>#N/A</v>
      </c>
      <c r="L230" s="153" t="str">
        <f t="array" ref="L230">INDEX('Primary - GRADING'!$A$1:$CP997,MATCH($A230,'Primary - GRADING'!$CP:$CP,0),51)</f>
        <v>#N/A</v>
      </c>
      <c r="M230" s="153" t="str">
        <f t="array" ref="M230">INDEX('Primary - GRADING'!$A$1:$CP997,MATCH($A230,'Primary - GRADING'!$CP:$CP,0),52)</f>
        <v>#N/A</v>
      </c>
      <c r="N230" s="153" t="str">
        <f t="array" ref="N230">INDEX('Primary - GRADING'!$A$1:$CP997,MATCH($A230,'Primary - GRADING'!$CP:$CP,0),53)</f>
        <v>#N/A</v>
      </c>
      <c r="O230" s="153" t="str">
        <f t="array" ref="O230">INDEX('Primary - GRADING'!$A$1:$CP997,MATCH($A230,'Primary - GRADING'!$CP:$CP,0),58)</f>
        <v>#N/A</v>
      </c>
      <c r="P230" s="153" t="str">
        <f t="array" ref="P230">INDEX('Primary - GRADING'!$A$1:$CP997,MATCH($A230,'Primary - GRADING'!$CP:$CP,0),5)</f>
        <v>#N/A</v>
      </c>
      <c r="Q230" s="153" t="str">
        <f t="array" ref="Q230">INDEX('Primary - GRADING'!$A$1:$CP997,MATCH($A230,'Primary - GRADING'!$CP:$CP,0),6)</f>
        <v>#N/A</v>
      </c>
      <c r="R230" s="153" t="str">
        <f t="array" ref="R230">INDEX('Primary - GRADING'!$A$1:$CP997,MATCH($A230,'Primary - GRADING'!$CP:$CP,0),7)</f>
        <v>#N/A</v>
      </c>
      <c r="S230" s="153" t="str">
        <f t="array" ref="S230">INDEX('Primary - GRADING'!$A$1:$CP997,MATCH($A230,'Primary - GRADING'!$CP:$CP,0),8)</f>
        <v>#N/A</v>
      </c>
      <c r="T230" s="153" t="str">
        <f t="array" ref="T230">INDEX('Primary - GRADING'!$A$1:$CP997,MATCH($A230,'Primary - GRADING'!$CP:$CP,0),9)</f>
        <v>#N/A</v>
      </c>
      <c r="U230" s="153" t="str">
        <f t="array" ref="U230">INDEX('Primary - GRADING'!$A$1:$CP997,MATCH($A230,'Primary - GRADING'!$CP:$CP,0),10)</f>
        <v>#N/A</v>
      </c>
      <c r="V230" s="153" t="str">
        <f t="array" ref="V230">INDEX('Primary - GRADING'!$A$1:$CP997,MATCH($A230,'Primary - GRADING'!$CP:$CP,0),18)</f>
        <v>#N/A</v>
      </c>
      <c r="W230" s="153" t="str">
        <f t="array" ref="W230">INDEX('Primary - GRADING'!$A$1:$CP997,MATCH($A230,'Primary - GRADING'!$CP:$CP,0),20)</f>
        <v>#N/A</v>
      </c>
      <c r="X230" s="153" t="str">
        <f t="array" ref="X230">INDEX('Primary - GRADING'!$A$1:$CP997,MATCH($A230,'Primary - GRADING'!$CP:$CP,0),21)</f>
        <v>#N/A</v>
      </c>
      <c r="Y230" s="153" t="str">
        <f t="array" ref="Y230">INDEX('Primary - GRADING'!$A$1:$CP997,MATCH($A230,'Primary - GRADING'!$CP:$CP,0),22)</f>
        <v>#N/A</v>
      </c>
      <c r="Z230" s="165" t="str">
        <f t="array" ref="Z230">INDEX('Primary - GRADING'!$A$1:$CP997,MATCH($A230,'Primary - GRADING'!$CP:$CP,0),23)</f>
        <v>#N/A</v>
      </c>
      <c r="AA230" s="153" t="str">
        <f t="array" ref="AA230">INDEX('Primary - GRADING'!$A$1:$CP997,MATCH($A230,'Primary - GRADING'!$CP:$CP,0),24)</f>
        <v>#N/A</v>
      </c>
      <c r="AB230" s="153" t="str">
        <f t="array" ref="AB230">INDEX('Primary - GRADING'!$A$1:$CP997,MATCH($A230,'Primary - GRADING'!$CP:$CP,0),25)</f>
        <v>#N/A</v>
      </c>
      <c r="AC230" s="153" t="str">
        <f t="array" ref="AC230">INDEX('Primary - GRADING'!$A$1:$CP997,MATCH($A230,'Primary - GRADING'!$CP:$CP,0),46)</f>
        <v>#N/A</v>
      </c>
      <c r="AG230" s="153" t="str">
        <f t="shared" si="7"/>
        <v>#N/A</v>
      </c>
      <c r="AI230" s="153" t="str">
        <f>VLOOKUP(AH230,'Primary - GRADING'!$A$4:$C997,2,)</f>
        <v>#N/A</v>
      </c>
      <c r="AJ230" s="153" t="str">
        <f>VLOOKUP(AH230,'Primary - GRADING'!$A$4:$C997,3,)</f>
        <v>#N/A</v>
      </c>
      <c r="AK230" s="153" t="str">
        <f>VLOOKUP(AH230,'Primary - GRADING'!$A$4:$BG997,59,)</f>
        <v>#N/A</v>
      </c>
      <c r="AL230" s="153" t="str">
        <f>IFS(AK230="NMA",VLOOKUP(AH230,'Primary - GRADING'!$A$4:$BG997,51,),AK230="DIRECT",VLOOKUP(AH230,'Primary - GRADING'!$A$4:$BG997,8,),AK230="INDIRECT",VLOOKUP(AH230,'Primary - GRADING'!$A$4:$BG997,23,))</f>
        <v>#N/A</v>
      </c>
      <c r="AM230" s="153" t="str">
        <f>IFS(AK230="NMA",VLOOKUP(AH230,'Primary - GRADING'!$A$4:$BG997,52,),AK230="DIRECT",VLOOKUP(AH230,'Primary - GRADING'!$A$4:$BG997,9,),AK230="INDIRECT",VLOOKUP(AH230,'Primary - GRADING'!$A$4:$BG997,24,))</f>
        <v>#N/A</v>
      </c>
      <c r="AN230" s="153" t="str">
        <f>IFS(AK230="NMA",VLOOKUP(AH230,'Primary - GRADING'!$A$4:$BG997,53,),AK230="DIRECT",VLOOKUP(AH230,'Primary - GRADING'!$A$4:$BG997,10,),AK230="INDIRECT",VLOOKUP(AH230,'Primary - GRADING'!$A$4:$BG997,25,))</f>
        <v>#N/A</v>
      </c>
      <c r="AO230" s="153" t="str">
        <f t="shared" si="8"/>
        <v>#N/A</v>
      </c>
      <c r="AT230" s="153" t="str">
        <f t="shared" si="9"/>
        <v>#N/A</v>
      </c>
      <c r="AV230" s="153" t="str">
        <f>VLOOKUP(AU230,'Primary - GRADING'!$A$4:$C997,2,)</f>
        <v>#N/A</v>
      </c>
      <c r="AW230" s="153" t="str">
        <f>VLOOKUP(AU230,'Primary - GRADING'!$A$4:$C997,3,)</f>
        <v>#N/A</v>
      </c>
      <c r="AX230" s="153" t="str">
        <f>VLOOKUP(AU230,'Primary - GRADING'!$A$4:$BG997,59,)</f>
        <v>#N/A</v>
      </c>
      <c r="AY230" s="153" t="str">
        <f>IFS(AX230="NMA",VLOOKUP(AU230,'Primary - GRADING'!$A$4:$BG997,51,),AX230="DIRECT",VLOOKUP(AU230,'Primary - GRADING'!$A$4:$BG997,8,),AX230="INDIRECT",VLOOKUP(AU230,'Primary - GRADING'!$A$4:$BG997,23,))</f>
        <v>#N/A</v>
      </c>
      <c r="AZ230" s="153" t="str">
        <f>IFS(AX230="NMA",VLOOKUP(AU230,'Primary - GRADING'!$A$4:$BG997,52,),AX230="DIRECT",VLOOKUP(AU230,'Primary - GRADING'!$A$4:$BG997,9,),AX230="INDIRECT",VLOOKUP(AU230,'Primary - GRADING'!$A$4:$BG997,24,))</f>
        <v>#N/A</v>
      </c>
      <c r="BA230" s="153" t="str">
        <f>IFS(AX230="NMA",VLOOKUP(AU230,'Primary - GRADING'!$A$4:$BG997,53,),AX230="DIRECT",VLOOKUP(AU230,'Primary - GRADING'!$A$4:$BG997,10,),AX230="INDIRECT",VLOOKUP(AU230,'Primary - GRADING'!$A$4:$BG997,25,))</f>
        <v>#N/A</v>
      </c>
      <c r="BB230" s="153" t="str">
        <f t="shared" si="10"/>
        <v>#N/A</v>
      </c>
      <c r="BE230" s="153" t="str">
        <f t="shared" si="11"/>
        <v/>
      </c>
      <c r="BG230" s="153" t="str">
        <f t="shared" si="12"/>
        <v>#N/A</v>
      </c>
      <c r="BI230" s="153" t="str">
        <f t="shared" si="13"/>
        <v>#N/A</v>
      </c>
      <c r="BK230" s="153" t="str">
        <f t="shared" si="14"/>
        <v>#N/A</v>
      </c>
      <c r="BM230" s="153" t="str">
        <f t="shared" si="15"/>
        <v>#N/A</v>
      </c>
    </row>
    <row r="231" ht="15.75" customHeight="1">
      <c r="B231" s="160" t="str">
        <f t="shared" si="1"/>
        <v>#N/A</v>
      </c>
      <c r="C231" s="160" t="str">
        <f t="shared" si="2"/>
        <v>#N/A</v>
      </c>
      <c r="D231" s="160" t="str">
        <f t="shared" si="3"/>
        <v>#N/A</v>
      </c>
      <c r="E231" s="161" t="str">
        <f t="shared" si="4"/>
        <v>#N/A</v>
      </c>
      <c r="F231" s="153" t="str">
        <f t="shared" si="17"/>
        <v>#N/A</v>
      </c>
      <c r="G231" s="153" t="str">
        <f t="shared" si="6"/>
        <v>#N/A</v>
      </c>
      <c r="H231" s="156" t="str">
        <f t="array" ref="H231">INDEX('Primary - GRADING'!$A$1:$BG997,MATCH($A231,'Primary - GRADING'!$B:$B,0),59)</f>
        <v>#N/A</v>
      </c>
      <c r="I231" s="153" t="str">
        <f t="array" ref="I231">INDEX('Primary - GRADING'!$A$1:$CP997,MATCH($A231,'Primary - GRADING'!$CP:$CP,0),48)</f>
        <v>#N/A</v>
      </c>
      <c r="J231" s="153" t="str">
        <f t="array" ref="J231">INDEX('Primary - GRADING'!$A$1:$CP997,MATCH($A231,'Primary - GRADING'!$CP:$CP,0),49)</f>
        <v>#N/A</v>
      </c>
      <c r="K231" s="153" t="str">
        <f t="array" ref="K231">INDEX('Primary - GRADING'!$A$1:$CP997,MATCH($A231,'Primary - GRADING'!$CP:$CP,0),50)</f>
        <v>#N/A</v>
      </c>
      <c r="L231" s="153" t="str">
        <f t="array" ref="L231">INDEX('Primary - GRADING'!$A$1:$CP997,MATCH($A231,'Primary - GRADING'!$CP:$CP,0),51)</f>
        <v>#N/A</v>
      </c>
      <c r="M231" s="153" t="str">
        <f t="array" ref="M231">INDEX('Primary - GRADING'!$A$1:$CP997,MATCH($A231,'Primary - GRADING'!$CP:$CP,0),52)</f>
        <v>#N/A</v>
      </c>
      <c r="N231" s="153" t="str">
        <f t="array" ref="N231">INDEX('Primary - GRADING'!$A$1:$CP997,MATCH($A231,'Primary - GRADING'!$CP:$CP,0),53)</f>
        <v>#N/A</v>
      </c>
      <c r="O231" s="153" t="str">
        <f t="array" ref="O231">INDEX('Primary - GRADING'!$A$1:$CP997,MATCH($A231,'Primary - GRADING'!$CP:$CP,0),58)</f>
        <v>#N/A</v>
      </c>
      <c r="P231" s="153" t="str">
        <f t="array" ref="P231">INDEX('Primary - GRADING'!$A$1:$CP997,MATCH($A231,'Primary - GRADING'!$CP:$CP,0),5)</f>
        <v>#N/A</v>
      </c>
      <c r="Q231" s="153" t="str">
        <f t="array" ref="Q231">INDEX('Primary - GRADING'!$A$1:$CP997,MATCH($A231,'Primary - GRADING'!$CP:$CP,0),6)</f>
        <v>#N/A</v>
      </c>
      <c r="R231" s="153" t="str">
        <f t="array" ref="R231">INDEX('Primary - GRADING'!$A$1:$CP997,MATCH($A231,'Primary - GRADING'!$CP:$CP,0),7)</f>
        <v>#N/A</v>
      </c>
      <c r="S231" s="153" t="str">
        <f t="array" ref="S231">INDEX('Primary - GRADING'!$A$1:$CP997,MATCH($A231,'Primary - GRADING'!$CP:$CP,0),8)</f>
        <v>#N/A</v>
      </c>
      <c r="T231" s="153" t="str">
        <f t="array" ref="T231">INDEX('Primary - GRADING'!$A$1:$CP997,MATCH($A231,'Primary - GRADING'!$CP:$CP,0),9)</f>
        <v>#N/A</v>
      </c>
      <c r="U231" s="153" t="str">
        <f t="array" ref="U231">INDEX('Primary - GRADING'!$A$1:$CP997,MATCH($A231,'Primary - GRADING'!$CP:$CP,0),10)</f>
        <v>#N/A</v>
      </c>
      <c r="V231" s="153" t="str">
        <f t="array" ref="V231">INDEX('Primary - GRADING'!$A$1:$CP997,MATCH($A231,'Primary - GRADING'!$CP:$CP,0),18)</f>
        <v>#N/A</v>
      </c>
      <c r="W231" s="153" t="str">
        <f t="array" ref="W231">INDEX('Primary - GRADING'!$A$1:$CP997,MATCH($A231,'Primary - GRADING'!$CP:$CP,0),20)</f>
        <v>#N/A</v>
      </c>
      <c r="X231" s="153" t="str">
        <f t="array" ref="X231">INDEX('Primary - GRADING'!$A$1:$CP997,MATCH($A231,'Primary - GRADING'!$CP:$CP,0),21)</f>
        <v>#N/A</v>
      </c>
      <c r="Y231" s="153" t="str">
        <f t="array" ref="Y231">INDEX('Primary - GRADING'!$A$1:$CP997,MATCH($A231,'Primary - GRADING'!$CP:$CP,0),22)</f>
        <v>#N/A</v>
      </c>
      <c r="Z231" s="165" t="str">
        <f t="array" ref="Z231">INDEX('Primary - GRADING'!$A$1:$CP997,MATCH($A231,'Primary - GRADING'!$CP:$CP,0),23)</f>
        <v>#N/A</v>
      </c>
      <c r="AA231" s="153" t="str">
        <f t="array" ref="AA231">INDEX('Primary - GRADING'!$A$1:$CP997,MATCH($A231,'Primary - GRADING'!$CP:$CP,0),24)</f>
        <v>#N/A</v>
      </c>
      <c r="AB231" s="153" t="str">
        <f t="array" ref="AB231">INDEX('Primary - GRADING'!$A$1:$CP997,MATCH($A231,'Primary - GRADING'!$CP:$CP,0),25)</f>
        <v>#N/A</v>
      </c>
      <c r="AC231" s="153" t="str">
        <f t="array" ref="AC231">INDEX('Primary - GRADING'!$A$1:$CP997,MATCH($A231,'Primary - GRADING'!$CP:$CP,0),46)</f>
        <v>#N/A</v>
      </c>
      <c r="AG231" s="153" t="str">
        <f t="shared" si="7"/>
        <v>#N/A</v>
      </c>
      <c r="AI231" s="153" t="str">
        <f>VLOOKUP(AH231,'Primary - GRADING'!$A$4:$C997,2,)</f>
        <v>#N/A</v>
      </c>
      <c r="AJ231" s="153" t="str">
        <f>VLOOKUP(AH231,'Primary - GRADING'!$A$4:$C997,3,)</f>
        <v>#N/A</v>
      </c>
      <c r="AK231" s="153" t="str">
        <f>VLOOKUP(AH231,'Primary - GRADING'!$A$4:$BG997,59,)</f>
        <v>#N/A</v>
      </c>
      <c r="AL231" s="153" t="str">
        <f>IFS(AK231="NMA",VLOOKUP(AH231,'Primary - GRADING'!$A$4:$BG997,51,),AK231="DIRECT",VLOOKUP(AH231,'Primary - GRADING'!$A$4:$BG997,8,),AK231="INDIRECT",VLOOKUP(AH231,'Primary - GRADING'!$A$4:$BG997,23,))</f>
        <v>#N/A</v>
      </c>
      <c r="AM231" s="153" t="str">
        <f>IFS(AK231="NMA",VLOOKUP(AH231,'Primary - GRADING'!$A$4:$BG997,52,),AK231="DIRECT",VLOOKUP(AH231,'Primary - GRADING'!$A$4:$BG997,9,),AK231="INDIRECT",VLOOKUP(AH231,'Primary - GRADING'!$A$4:$BG997,24,))</f>
        <v>#N/A</v>
      </c>
      <c r="AN231" s="153" t="str">
        <f>IFS(AK231="NMA",VLOOKUP(AH231,'Primary - GRADING'!$A$4:$BG997,53,),AK231="DIRECT",VLOOKUP(AH231,'Primary - GRADING'!$A$4:$BG997,10,),AK231="INDIRECT",VLOOKUP(AH231,'Primary - GRADING'!$A$4:$BG997,25,))</f>
        <v>#N/A</v>
      </c>
      <c r="AO231" s="153" t="str">
        <f t="shared" si="8"/>
        <v>#N/A</v>
      </c>
      <c r="AT231" s="153" t="str">
        <f t="shared" si="9"/>
        <v>#N/A</v>
      </c>
      <c r="AV231" s="153" t="str">
        <f>VLOOKUP(AU231,'Primary - GRADING'!$A$4:$C997,2,)</f>
        <v>#N/A</v>
      </c>
      <c r="AW231" s="153" t="str">
        <f>VLOOKUP(AU231,'Primary - GRADING'!$A$4:$C997,3,)</f>
        <v>#N/A</v>
      </c>
      <c r="AX231" s="153" t="str">
        <f>VLOOKUP(AU231,'Primary - GRADING'!$A$4:$BG997,59,)</f>
        <v>#N/A</v>
      </c>
      <c r="AY231" s="153" t="str">
        <f>IFS(AX231="NMA",VLOOKUP(AU231,'Primary - GRADING'!$A$4:$BG997,51,),AX231="DIRECT",VLOOKUP(AU231,'Primary - GRADING'!$A$4:$BG997,8,),AX231="INDIRECT",VLOOKUP(AU231,'Primary - GRADING'!$A$4:$BG997,23,))</f>
        <v>#N/A</v>
      </c>
      <c r="AZ231" s="153" t="str">
        <f>IFS(AX231="NMA",VLOOKUP(AU231,'Primary - GRADING'!$A$4:$BG997,52,),AX231="DIRECT",VLOOKUP(AU231,'Primary - GRADING'!$A$4:$BG997,9,),AX231="INDIRECT",VLOOKUP(AU231,'Primary - GRADING'!$A$4:$BG997,24,))</f>
        <v>#N/A</v>
      </c>
      <c r="BA231" s="153" t="str">
        <f>IFS(AX231="NMA",VLOOKUP(AU231,'Primary - GRADING'!$A$4:$BG997,53,),AX231="DIRECT",VLOOKUP(AU231,'Primary - GRADING'!$A$4:$BG997,10,),AX231="INDIRECT",VLOOKUP(AU231,'Primary - GRADING'!$A$4:$BG997,25,))</f>
        <v>#N/A</v>
      </c>
      <c r="BB231" s="153" t="str">
        <f t="shared" si="10"/>
        <v>#N/A</v>
      </c>
      <c r="BE231" s="153" t="str">
        <f t="shared" si="11"/>
        <v/>
      </c>
      <c r="BG231" s="153" t="str">
        <f t="shared" si="12"/>
        <v>#N/A</v>
      </c>
      <c r="BI231" s="153" t="str">
        <f t="shared" si="13"/>
        <v>#N/A</v>
      </c>
      <c r="BK231" s="153" t="str">
        <f t="shared" si="14"/>
        <v>#N/A</v>
      </c>
      <c r="BM231" s="153" t="str">
        <f t="shared" si="15"/>
        <v>#N/A</v>
      </c>
    </row>
    <row r="232" ht="15.75" customHeight="1">
      <c r="B232" s="160" t="str">
        <f t="shared" si="1"/>
        <v>#N/A</v>
      </c>
      <c r="C232" s="160" t="str">
        <f t="shared" si="2"/>
        <v>#N/A</v>
      </c>
      <c r="D232" s="160" t="str">
        <f t="shared" si="3"/>
        <v>#N/A</v>
      </c>
      <c r="E232" s="161" t="str">
        <f t="shared" si="4"/>
        <v>#N/A</v>
      </c>
      <c r="F232" s="153" t="str">
        <f t="shared" si="17"/>
        <v>#N/A</v>
      </c>
      <c r="G232" s="153" t="str">
        <f t="shared" si="6"/>
        <v>#N/A</v>
      </c>
      <c r="H232" s="156" t="str">
        <f t="array" ref="H232">INDEX('Primary - GRADING'!$A$1:$BG997,MATCH($A232,'Primary - GRADING'!$B:$B,0),59)</f>
        <v>#N/A</v>
      </c>
      <c r="I232" s="153" t="str">
        <f t="array" ref="I232">INDEX('Primary - GRADING'!$A$1:$CP997,MATCH($A232,'Primary - GRADING'!$CP:$CP,0),48)</f>
        <v>#N/A</v>
      </c>
      <c r="J232" s="153" t="str">
        <f t="array" ref="J232">INDEX('Primary - GRADING'!$A$1:$CP997,MATCH($A232,'Primary - GRADING'!$CP:$CP,0),49)</f>
        <v>#N/A</v>
      </c>
      <c r="K232" s="153" t="str">
        <f t="array" ref="K232">INDEX('Primary - GRADING'!$A$1:$CP997,MATCH($A232,'Primary - GRADING'!$CP:$CP,0),50)</f>
        <v>#N/A</v>
      </c>
      <c r="L232" s="153" t="str">
        <f t="array" ref="L232">INDEX('Primary - GRADING'!$A$1:$CP997,MATCH($A232,'Primary - GRADING'!$CP:$CP,0),51)</f>
        <v>#N/A</v>
      </c>
      <c r="M232" s="153" t="str">
        <f t="array" ref="M232">INDEX('Primary - GRADING'!$A$1:$CP997,MATCH($A232,'Primary - GRADING'!$CP:$CP,0),52)</f>
        <v>#N/A</v>
      </c>
      <c r="N232" s="153" t="str">
        <f t="array" ref="N232">INDEX('Primary - GRADING'!$A$1:$CP997,MATCH($A232,'Primary - GRADING'!$CP:$CP,0),53)</f>
        <v>#N/A</v>
      </c>
      <c r="O232" s="153" t="str">
        <f t="array" ref="O232">INDEX('Primary - GRADING'!$A$1:$CP997,MATCH($A232,'Primary - GRADING'!$CP:$CP,0),58)</f>
        <v>#N/A</v>
      </c>
      <c r="P232" s="153" t="str">
        <f t="array" ref="P232">INDEX('Primary - GRADING'!$A$1:$CP997,MATCH($A232,'Primary - GRADING'!$CP:$CP,0),5)</f>
        <v>#N/A</v>
      </c>
      <c r="Q232" s="153" t="str">
        <f t="array" ref="Q232">INDEX('Primary - GRADING'!$A$1:$CP997,MATCH($A232,'Primary - GRADING'!$CP:$CP,0),6)</f>
        <v>#N/A</v>
      </c>
      <c r="R232" s="153" t="str">
        <f t="array" ref="R232">INDEX('Primary - GRADING'!$A$1:$CP997,MATCH($A232,'Primary - GRADING'!$CP:$CP,0),7)</f>
        <v>#N/A</v>
      </c>
      <c r="S232" s="153" t="str">
        <f t="array" ref="S232">INDEX('Primary - GRADING'!$A$1:$CP997,MATCH($A232,'Primary - GRADING'!$CP:$CP,0),8)</f>
        <v>#N/A</v>
      </c>
      <c r="T232" s="153" t="str">
        <f t="array" ref="T232">INDEX('Primary - GRADING'!$A$1:$CP997,MATCH($A232,'Primary - GRADING'!$CP:$CP,0),9)</f>
        <v>#N/A</v>
      </c>
      <c r="U232" s="153" t="str">
        <f t="array" ref="U232">INDEX('Primary - GRADING'!$A$1:$CP997,MATCH($A232,'Primary - GRADING'!$CP:$CP,0),10)</f>
        <v>#N/A</v>
      </c>
      <c r="V232" s="153" t="str">
        <f t="array" ref="V232">INDEX('Primary - GRADING'!$A$1:$CP997,MATCH($A232,'Primary - GRADING'!$CP:$CP,0),18)</f>
        <v>#N/A</v>
      </c>
      <c r="W232" s="153" t="str">
        <f t="array" ref="W232">INDEX('Primary - GRADING'!$A$1:$CP997,MATCH($A232,'Primary - GRADING'!$CP:$CP,0),20)</f>
        <v>#N/A</v>
      </c>
      <c r="X232" s="153" t="str">
        <f t="array" ref="X232">INDEX('Primary - GRADING'!$A$1:$CP997,MATCH($A232,'Primary - GRADING'!$CP:$CP,0),21)</f>
        <v>#N/A</v>
      </c>
      <c r="Y232" s="153" t="str">
        <f t="array" ref="Y232">INDEX('Primary - GRADING'!$A$1:$CP997,MATCH($A232,'Primary - GRADING'!$CP:$CP,0),22)</f>
        <v>#N/A</v>
      </c>
      <c r="Z232" s="165" t="str">
        <f t="array" ref="Z232">INDEX('Primary - GRADING'!$A$1:$CP997,MATCH($A232,'Primary - GRADING'!$CP:$CP,0),23)</f>
        <v>#N/A</v>
      </c>
      <c r="AA232" s="153" t="str">
        <f t="array" ref="AA232">INDEX('Primary - GRADING'!$A$1:$CP997,MATCH($A232,'Primary - GRADING'!$CP:$CP,0),24)</f>
        <v>#N/A</v>
      </c>
      <c r="AB232" s="153" t="str">
        <f t="array" ref="AB232">INDEX('Primary - GRADING'!$A$1:$CP997,MATCH($A232,'Primary - GRADING'!$CP:$CP,0),25)</f>
        <v>#N/A</v>
      </c>
      <c r="AC232" s="153" t="str">
        <f t="array" ref="AC232">INDEX('Primary - GRADING'!$A$1:$CP997,MATCH($A232,'Primary - GRADING'!$CP:$CP,0),46)</f>
        <v>#N/A</v>
      </c>
      <c r="AG232" s="153" t="str">
        <f t="shared" si="7"/>
        <v>#N/A</v>
      </c>
      <c r="AI232" s="153" t="str">
        <f>VLOOKUP(AH232,'Primary - GRADING'!$A$4:$C997,2,)</f>
        <v>#N/A</v>
      </c>
      <c r="AJ232" s="153" t="str">
        <f>VLOOKUP(AH232,'Primary - GRADING'!$A$4:$C997,3,)</f>
        <v>#N/A</v>
      </c>
      <c r="AK232" s="153" t="str">
        <f>VLOOKUP(AH232,'Primary - GRADING'!$A$4:$BG997,59,)</f>
        <v>#N/A</v>
      </c>
      <c r="AL232" s="153" t="str">
        <f>IFS(AK232="NMA",VLOOKUP(AH232,'Primary - GRADING'!$A$4:$BG997,51,),AK232="DIRECT",VLOOKUP(AH232,'Primary - GRADING'!$A$4:$BG997,8,),AK232="INDIRECT",VLOOKUP(AH232,'Primary - GRADING'!$A$4:$BG997,23,))</f>
        <v>#N/A</v>
      </c>
      <c r="AM232" s="153" t="str">
        <f>IFS(AK232="NMA",VLOOKUP(AH232,'Primary - GRADING'!$A$4:$BG997,52,),AK232="DIRECT",VLOOKUP(AH232,'Primary - GRADING'!$A$4:$BG997,9,),AK232="INDIRECT",VLOOKUP(AH232,'Primary - GRADING'!$A$4:$BG997,24,))</f>
        <v>#N/A</v>
      </c>
      <c r="AN232" s="153" t="str">
        <f>IFS(AK232="NMA",VLOOKUP(AH232,'Primary - GRADING'!$A$4:$BG997,53,),AK232="DIRECT",VLOOKUP(AH232,'Primary - GRADING'!$A$4:$BG997,10,),AK232="INDIRECT",VLOOKUP(AH232,'Primary - GRADING'!$A$4:$BG997,25,))</f>
        <v>#N/A</v>
      </c>
      <c r="AO232" s="153" t="str">
        <f t="shared" si="8"/>
        <v>#N/A</v>
      </c>
      <c r="AT232" s="153" t="str">
        <f t="shared" si="9"/>
        <v>#N/A</v>
      </c>
      <c r="AV232" s="153" t="str">
        <f>VLOOKUP(AU232,'Primary - GRADING'!$A$4:$C997,2,)</f>
        <v>#N/A</v>
      </c>
      <c r="AW232" s="153" t="str">
        <f>VLOOKUP(AU232,'Primary - GRADING'!$A$4:$C997,3,)</f>
        <v>#N/A</v>
      </c>
      <c r="AX232" s="153" t="str">
        <f>VLOOKUP(AU232,'Primary - GRADING'!$A$4:$BG997,59,)</f>
        <v>#N/A</v>
      </c>
      <c r="AY232" s="153" t="str">
        <f>IFS(AX232="NMA",VLOOKUP(AU232,'Primary - GRADING'!$A$4:$BG997,51,),AX232="DIRECT",VLOOKUP(AU232,'Primary - GRADING'!$A$4:$BG997,8,),AX232="INDIRECT",VLOOKUP(AU232,'Primary - GRADING'!$A$4:$BG997,23,))</f>
        <v>#N/A</v>
      </c>
      <c r="AZ232" s="153" t="str">
        <f>IFS(AX232="NMA",VLOOKUP(AU232,'Primary - GRADING'!$A$4:$BG997,52,),AX232="DIRECT",VLOOKUP(AU232,'Primary - GRADING'!$A$4:$BG997,9,),AX232="INDIRECT",VLOOKUP(AU232,'Primary - GRADING'!$A$4:$BG997,24,))</f>
        <v>#N/A</v>
      </c>
      <c r="BA232" s="153" t="str">
        <f>IFS(AX232="NMA",VLOOKUP(AU232,'Primary - GRADING'!$A$4:$BG997,53,),AX232="DIRECT",VLOOKUP(AU232,'Primary - GRADING'!$A$4:$BG997,10,),AX232="INDIRECT",VLOOKUP(AU232,'Primary - GRADING'!$A$4:$BG997,25,))</f>
        <v>#N/A</v>
      </c>
      <c r="BB232" s="153" t="str">
        <f t="shared" si="10"/>
        <v>#N/A</v>
      </c>
      <c r="BE232" s="153" t="str">
        <f t="shared" si="11"/>
        <v/>
      </c>
      <c r="BG232" s="153" t="str">
        <f t="shared" si="12"/>
        <v>#N/A</v>
      </c>
      <c r="BI232" s="153" t="str">
        <f t="shared" si="13"/>
        <v>#N/A</v>
      </c>
      <c r="BK232" s="153" t="str">
        <f t="shared" si="14"/>
        <v>#N/A</v>
      </c>
      <c r="BM232" s="153" t="str">
        <f t="shared" si="15"/>
        <v>#N/A</v>
      </c>
    </row>
    <row r="233" ht="15.75" customHeight="1">
      <c r="B233" s="160" t="str">
        <f t="shared" si="1"/>
        <v>#N/A</v>
      </c>
      <c r="C233" s="160" t="str">
        <f t="shared" si="2"/>
        <v>#N/A</v>
      </c>
      <c r="D233" s="160" t="str">
        <f t="shared" si="3"/>
        <v>#N/A</v>
      </c>
      <c r="E233" s="161" t="str">
        <f t="shared" si="4"/>
        <v>#N/A</v>
      </c>
      <c r="F233" s="153" t="str">
        <f t="shared" si="17"/>
        <v>#N/A</v>
      </c>
      <c r="G233" s="153" t="str">
        <f t="shared" si="6"/>
        <v>#N/A</v>
      </c>
      <c r="H233" s="156" t="str">
        <f t="array" ref="H233">INDEX('Primary - GRADING'!$A$1:$BG997,MATCH($A233,'Primary - GRADING'!$B:$B,0),59)</f>
        <v>#N/A</v>
      </c>
      <c r="I233" s="153" t="str">
        <f t="array" ref="I233">INDEX('Primary - GRADING'!$A$1:$CP997,MATCH($A233,'Primary - GRADING'!$CP:$CP,0),48)</f>
        <v>#N/A</v>
      </c>
      <c r="J233" s="153" t="str">
        <f t="array" ref="J233">INDEX('Primary - GRADING'!$A$1:$CP997,MATCH($A233,'Primary - GRADING'!$CP:$CP,0),49)</f>
        <v>#N/A</v>
      </c>
      <c r="K233" s="153" t="str">
        <f t="array" ref="K233">INDEX('Primary - GRADING'!$A$1:$CP997,MATCH($A233,'Primary - GRADING'!$CP:$CP,0),50)</f>
        <v>#N/A</v>
      </c>
      <c r="L233" s="153" t="str">
        <f t="array" ref="L233">INDEX('Primary - GRADING'!$A$1:$CP997,MATCH($A233,'Primary - GRADING'!$CP:$CP,0),51)</f>
        <v>#N/A</v>
      </c>
      <c r="M233" s="153" t="str">
        <f t="array" ref="M233">INDEX('Primary - GRADING'!$A$1:$CP997,MATCH($A233,'Primary - GRADING'!$CP:$CP,0),52)</f>
        <v>#N/A</v>
      </c>
      <c r="N233" s="153" t="str">
        <f t="array" ref="N233">INDEX('Primary - GRADING'!$A$1:$CP997,MATCH($A233,'Primary - GRADING'!$CP:$CP,0),53)</f>
        <v>#N/A</v>
      </c>
      <c r="O233" s="153" t="str">
        <f t="array" ref="O233">INDEX('Primary - GRADING'!$A$1:$CP997,MATCH($A233,'Primary - GRADING'!$CP:$CP,0),58)</f>
        <v>#N/A</v>
      </c>
      <c r="P233" s="153" t="str">
        <f t="array" ref="P233">INDEX('Primary - GRADING'!$A$1:$CP997,MATCH($A233,'Primary - GRADING'!$CP:$CP,0),5)</f>
        <v>#N/A</v>
      </c>
      <c r="Q233" s="153" t="str">
        <f t="array" ref="Q233">INDEX('Primary - GRADING'!$A$1:$CP997,MATCH($A233,'Primary - GRADING'!$CP:$CP,0),6)</f>
        <v>#N/A</v>
      </c>
      <c r="R233" s="153" t="str">
        <f t="array" ref="R233">INDEX('Primary - GRADING'!$A$1:$CP997,MATCH($A233,'Primary - GRADING'!$CP:$CP,0),7)</f>
        <v>#N/A</v>
      </c>
      <c r="S233" s="153" t="str">
        <f t="array" ref="S233">INDEX('Primary - GRADING'!$A$1:$CP997,MATCH($A233,'Primary - GRADING'!$CP:$CP,0),8)</f>
        <v>#N/A</v>
      </c>
      <c r="T233" s="153" t="str">
        <f t="array" ref="T233">INDEX('Primary - GRADING'!$A$1:$CP997,MATCH($A233,'Primary - GRADING'!$CP:$CP,0),9)</f>
        <v>#N/A</v>
      </c>
      <c r="U233" s="153" t="str">
        <f t="array" ref="U233">INDEX('Primary - GRADING'!$A$1:$CP997,MATCH($A233,'Primary - GRADING'!$CP:$CP,0),10)</f>
        <v>#N/A</v>
      </c>
      <c r="V233" s="153" t="str">
        <f t="array" ref="V233">INDEX('Primary - GRADING'!$A$1:$CP997,MATCH($A233,'Primary - GRADING'!$CP:$CP,0),18)</f>
        <v>#N/A</v>
      </c>
      <c r="W233" s="153" t="str">
        <f t="array" ref="W233">INDEX('Primary - GRADING'!$A$1:$CP997,MATCH($A233,'Primary - GRADING'!$CP:$CP,0),20)</f>
        <v>#N/A</v>
      </c>
      <c r="X233" s="153" t="str">
        <f t="array" ref="X233">INDEX('Primary - GRADING'!$A$1:$CP997,MATCH($A233,'Primary - GRADING'!$CP:$CP,0),21)</f>
        <v>#N/A</v>
      </c>
      <c r="Y233" s="153" t="str">
        <f t="array" ref="Y233">INDEX('Primary - GRADING'!$A$1:$CP997,MATCH($A233,'Primary - GRADING'!$CP:$CP,0),22)</f>
        <v>#N/A</v>
      </c>
      <c r="Z233" s="165" t="str">
        <f t="array" ref="Z233">INDEX('Primary - GRADING'!$A$1:$CP997,MATCH($A233,'Primary - GRADING'!$CP:$CP,0),23)</f>
        <v>#N/A</v>
      </c>
      <c r="AA233" s="153" t="str">
        <f t="array" ref="AA233">INDEX('Primary - GRADING'!$A$1:$CP997,MATCH($A233,'Primary - GRADING'!$CP:$CP,0),24)</f>
        <v>#N/A</v>
      </c>
      <c r="AB233" s="153" t="str">
        <f t="array" ref="AB233">INDEX('Primary - GRADING'!$A$1:$CP997,MATCH($A233,'Primary - GRADING'!$CP:$CP,0),25)</f>
        <v>#N/A</v>
      </c>
      <c r="AC233" s="153" t="str">
        <f t="array" ref="AC233">INDEX('Primary - GRADING'!$A$1:$CP997,MATCH($A233,'Primary - GRADING'!$CP:$CP,0),46)</f>
        <v>#N/A</v>
      </c>
      <c r="AG233" s="153" t="str">
        <f t="shared" si="7"/>
        <v>#N/A</v>
      </c>
      <c r="AI233" s="153" t="str">
        <f>VLOOKUP(AH233,'Primary - GRADING'!$A$4:$C997,2,)</f>
        <v>#N/A</v>
      </c>
      <c r="AJ233" s="153" t="str">
        <f>VLOOKUP(AH233,'Primary - GRADING'!$A$4:$C997,3,)</f>
        <v>#N/A</v>
      </c>
      <c r="AK233" s="153" t="str">
        <f>VLOOKUP(AH233,'Primary - GRADING'!$A$4:$BG997,59,)</f>
        <v>#N/A</v>
      </c>
      <c r="AL233" s="153" t="str">
        <f>IFS(AK233="NMA",VLOOKUP(AH233,'Primary - GRADING'!$A$4:$BG997,51,),AK233="DIRECT",VLOOKUP(AH233,'Primary - GRADING'!$A$4:$BG997,8,),AK233="INDIRECT",VLOOKUP(AH233,'Primary - GRADING'!$A$4:$BG997,23,))</f>
        <v>#N/A</v>
      </c>
      <c r="AM233" s="153" t="str">
        <f>IFS(AK233="NMA",VLOOKUP(AH233,'Primary - GRADING'!$A$4:$BG997,52,),AK233="DIRECT",VLOOKUP(AH233,'Primary - GRADING'!$A$4:$BG997,9,),AK233="INDIRECT",VLOOKUP(AH233,'Primary - GRADING'!$A$4:$BG997,24,))</f>
        <v>#N/A</v>
      </c>
      <c r="AN233" s="153" t="str">
        <f>IFS(AK233="NMA",VLOOKUP(AH233,'Primary - GRADING'!$A$4:$BG997,53,),AK233="DIRECT",VLOOKUP(AH233,'Primary - GRADING'!$A$4:$BG997,10,),AK233="INDIRECT",VLOOKUP(AH233,'Primary - GRADING'!$A$4:$BG997,25,))</f>
        <v>#N/A</v>
      </c>
      <c r="AO233" s="153" t="str">
        <f t="shared" si="8"/>
        <v>#N/A</v>
      </c>
      <c r="AT233" s="153" t="str">
        <f t="shared" si="9"/>
        <v>#N/A</v>
      </c>
      <c r="AV233" s="153" t="str">
        <f>VLOOKUP(AU233,'Primary - GRADING'!$A$4:$C997,2,)</f>
        <v>#N/A</v>
      </c>
      <c r="AW233" s="153" t="str">
        <f>VLOOKUP(AU233,'Primary - GRADING'!$A$4:$C997,3,)</f>
        <v>#N/A</v>
      </c>
      <c r="AX233" s="153" t="str">
        <f>VLOOKUP(AU233,'Primary - GRADING'!$A$4:$BG997,59,)</f>
        <v>#N/A</v>
      </c>
      <c r="AY233" s="153" t="str">
        <f>IFS(AX233="NMA",VLOOKUP(AU233,'Primary - GRADING'!$A$4:$BG997,51,),AX233="DIRECT",VLOOKUP(AU233,'Primary - GRADING'!$A$4:$BG997,8,),AX233="INDIRECT",VLOOKUP(AU233,'Primary - GRADING'!$A$4:$BG997,23,))</f>
        <v>#N/A</v>
      </c>
      <c r="AZ233" s="153" t="str">
        <f>IFS(AX233="NMA",VLOOKUP(AU233,'Primary - GRADING'!$A$4:$BG997,52,),AX233="DIRECT",VLOOKUP(AU233,'Primary - GRADING'!$A$4:$BG997,9,),AX233="INDIRECT",VLOOKUP(AU233,'Primary - GRADING'!$A$4:$BG997,24,))</f>
        <v>#N/A</v>
      </c>
      <c r="BA233" s="153" t="str">
        <f>IFS(AX233="NMA",VLOOKUP(AU233,'Primary - GRADING'!$A$4:$BG997,53,),AX233="DIRECT",VLOOKUP(AU233,'Primary - GRADING'!$A$4:$BG997,10,),AX233="INDIRECT",VLOOKUP(AU233,'Primary - GRADING'!$A$4:$BG997,25,))</f>
        <v>#N/A</v>
      </c>
      <c r="BB233" s="153" t="str">
        <f t="shared" si="10"/>
        <v>#N/A</v>
      </c>
      <c r="BE233" s="153" t="str">
        <f t="shared" si="11"/>
        <v/>
      </c>
      <c r="BG233" s="153" t="str">
        <f t="shared" si="12"/>
        <v>#N/A</v>
      </c>
      <c r="BI233" s="153" t="str">
        <f t="shared" si="13"/>
        <v>#N/A</v>
      </c>
      <c r="BK233" s="153" t="str">
        <f t="shared" si="14"/>
        <v>#N/A</v>
      </c>
      <c r="BM233" s="153" t="str">
        <f t="shared" si="15"/>
        <v>#N/A</v>
      </c>
    </row>
    <row r="234" ht="15.75" customHeight="1">
      <c r="B234" s="160" t="str">
        <f t="shared" si="1"/>
        <v>#N/A</v>
      </c>
      <c r="C234" s="160" t="str">
        <f t="shared" si="2"/>
        <v>#N/A</v>
      </c>
      <c r="D234" s="160" t="str">
        <f t="shared" si="3"/>
        <v>#N/A</v>
      </c>
      <c r="E234" s="161" t="str">
        <f t="shared" si="4"/>
        <v>#N/A</v>
      </c>
      <c r="F234" s="153" t="str">
        <f t="shared" si="17"/>
        <v>#N/A</v>
      </c>
      <c r="G234" s="153" t="str">
        <f t="shared" si="6"/>
        <v>#N/A</v>
      </c>
      <c r="H234" s="156" t="str">
        <f t="array" ref="H234">INDEX('Primary - GRADING'!$A$1:$BG997,MATCH($A234,'Primary - GRADING'!$B:$B,0),59)</f>
        <v>#N/A</v>
      </c>
      <c r="I234" s="153" t="str">
        <f t="array" ref="I234">INDEX('Primary - GRADING'!$A$1:$CP997,MATCH($A234,'Primary - GRADING'!$CP:$CP,0),48)</f>
        <v>#N/A</v>
      </c>
      <c r="J234" s="153" t="str">
        <f t="array" ref="J234">INDEX('Primary - GRADING'!$A$1:$CP997,MATCH($A234,'Primary - GRADING'!$CP:$CP,0),49)</f>
        <v>#N/A</v>
      </c>
      <c r="K234" s="153" t="str">
        <f t="array" ref="K234">INDEX('Primary - GRADING'!$A$1:$CP997,MATCH($A234,'Primary - GRADING'!$CP:$CP,0),50)</f>
        <v>#N/A</v>
      </c>
      <c r="L234" s="153" t="str">
        <f t="array" ref="L234">INDEX('Primary - GRADING'!$A$1:$CP997,MATCH($A234,'Primary - GRADING'!$CP:$CP,0),51)</f>
        <v>#N/A</v>
      </c>
      <c r="M234" s="153" t="str">
        <f t="array" ref="M234">INDEX('Primary - GRADING'!$A$1:$CP997,MATCH($A234,'Primary - GRADING'!$CP:$CP,0),52)</f>
        <v>#N/A</v>
      </c>
      <c r="N234" s="153" t="str">
        <f t="array" ref="N234">INDEX('Primary - GRADING'!$A$1:$CP997,MATCH($A234,'Primary - GRADING'!$CP:$CP,0),53)</f>
        <v>#N/A</v>
      </c>
      <c r="O234" s="153" t="str">
        <f t="array" ref="O234">INDEX('Primary - GRADING'!$A$1:$CP997,MATCH($A234,'Primary - GRADING'!$CP:$CP,0),58)</f>
        <v>#N/A</v>
      </c>
      <c r="P234" s="153" t="str">
        <f t="array" ref="P234">INDEX('Primary - GRADING'!$A$1:$CP997,MATCH($A234,'Primary - GRADING'!$CP:$CP,0),5)</f>
        <v>#N/A</v>
      </c>
      <c r="Q234" s="153" t="str">
        <f t="array" ref="Q234">INDEX('Primary - GRADING'!$A$1:$CP997,MATCH($A234,'Primary - GRADING'!$CP:$CP,0),6)</f>
        <v>#N/A</v>
      </c>
      <c r="R234" s="153" t="str">
        <f t="array" ref="R234">INDEX('Primary - GRADING'!$A$1:$CP997,MATCH($A234,'Primary - GRADING'!$CP:$CP,0),7)</f>
        <v>#N/A</v>
      </c>
      <c r="S234" s="153" t="str">
        <f t="array" ref="S234">INDEX('Primary - GRADING'!$A$1:$CP997,MATCH($A234,'Primary - GRADING'!$CP:$CP,0),8)</f>
        <v>#N/A</v>
      </c>
      <c r="T234" s="153" t="str">
        <f t="array" ref="T234">INDEX('Primary - GRADING'!$A$1:$CP997,MATCH($A234,'Primary - GRADING'!$CP:$CP,0),9)</f>
        <v>#N/A</v>
      </c>
      <c r="U234" s="153" t="str">
        <f t="array" ref="U234">INDEX('Primary - GRADING'!$A$1:$CP997,MATCH($A234,'Primary - GRADING'!$CP:$CP,0),10)</f>
        <v>#N/A</v>
      </c>
      <c r="V234" s="153" t="str">
        <f t="array" ref="V234">INDEX('Primary - GRADING'!$A$1:$CP997,MATCH($A234,'Primary - GRADING'!$CP:$CP,0),18)</f>
        <v>#N/A</v>
      </c>
      <c r="W234" s="153" t="str">
        <f t="array" ref="W234">INDEX('Primary - GRADING'!$A$1:$CP997,MATCH($A234,'Primary - GRADING'!$CP:$CP,0),20)</f>
        <v>#N/A</v>
      </c>
      <c r="X234" s="153" t="str">
        <f t="array" ref="X234">INDEX('Primary - GRADING'!$A$1:$CP997,MATCH($A234,'Primary - GRADING'!$CP:$CP,0),21)</f>
        <v>#N/A</v>
      </c>
      <c r="Y234" s="153" t="str">
        <f t="array" ref="Y234">INDEX('Primary - GRADING'!$A$1:$CP997,MATCH($A234,'Primary - GRADING'!$CP:$CP,0),22)</f>
        <v>#N/A</v>
      </c>
      <c r="Z234" s="165" t="str">
        <f t="array" ref="Z234">INDEX('Primary - GRADING'!$A$1:$CP997,MATCH($A234,'Primary - GRADING'!$CP:$CP,0),23)</f>
        <v>#N/A</v>
      </c>
      <c r="AA234" s="153" t="str">
        <f t="array" ref="AA234">INDEX('Primary - GRADING'!$A$1:$CP997,MATCH($A234,'Primary - GRADING'!$CP:$CP,0),24)</f>
        <v>#N/A</v>
      </c>
      <c r="AB234" s="153" t="str">
        <f t="array" ref="AB234">INDEX('Primary - GRADING'!$A$1:$CP997,MATCH($A234,'Primary - GRADING'!$CP:$CP,0),25)</f>
        <v>#N/A</v>
      </c>
      <c r="AC234" s="153" t="str">
        <f t="array" ref="AC234">INDEX('Primary - GRADING'!$A$1:$CP997,MATCH($A234,'Primary - GRADING'!$CP:$CP,0),46)</f>
        <v>#N/A</v>
      </c>
      <c r="AG234" s="153" t="str">
        <f t="shared" si="7"/>
        <v>#N/A</v>
      </c>
      <c r="AI234" s="153" t="str">
        <f>VLOOKUP(AH234,'Primary - GRADING'!$A$4:$C997,2,)</f>
        <v>#N/A</v>
      </c>
      <c r="AJ234" s="153" t="str">
        <f>VLOOKUP(AH234,'Primary - GRADING'!$A$4:$C997,3,)</f>
        <v>#N/A</v>
      </c>
      <c r="AK234" s="153" t="str">
        <f>VLOOKUP(AH234,'Primary - GRADING'!$A$4:$BG997,59,)</f>
        <v>#N/A</v>
      </c>
      <c r="AL234" s="153" t="str">
        <f>IFS(AK234="NMA",VLOOKUP(AH234,'Primary - GRADING'!$A$4:$BG997,51,),AK234="DIRECT",VLOOKUP(AH234,'Primary - GRADING'!$A$4:$BG997,8,),AK234="INDIRECT",VLOOKUP(AH234,'Primary - GRADING'!$A$4:$BG997,23,))</f>
        <v>#N/A</v>
      </c>
      <c r="AM234" s="153" t="str">
        <f>IFS(AK234="NMA",VLOOKUP(AH234,'Primary - GRADING'!$A$4:$BG997,52,),AK234="DIRECT",VLOOKUP(AH234,'Primary - GRADING'!$A$4:$BG997,9,),AK234="INDIRECT",VLOOKUP(AH234,'Primary - GRADING'!$A$4:$BG997,24,))</f>
        <v>#N/A</v>
      </c>
      <c r="AN234" s="153" t="str">
        <f>IFS(AK234="NMA",VLOOKUP(AH234,'Primary - GRADING'!$A$4:$BG997,53,),AK234="DIRECT",VLOOKUP(AH234,'Primary - GRADING'!$A$4:$BG997,10,),AK234="INDIRECT",VLOOKUP(AH234,'Primary - GRADING'!$A$4:$BG997,25,))</f>
        <v>#N/A</v>
      </c>
      <c r="AO234" s="153" t="str">
        <f t="shared" si="8"/>
        <v>#N/A</v>
      </c>
      <c r="AT234" s="153" t="str">
        <f t="shared" si="9"/>
        <v>#N/A</v>
      </c>
      <c r="AV234" s="153" t="str">
        <f>VLOOKUP(AU234,'Primary - GRADING'!$A$4:$C997,2,)</f>
        <v>#N/A</v>
      </c>
      <c r="AW234" s="153" t="str">
        <f>VLOOKUP(AU234,'Primary - GRADING'!$A$4:$C997,3,)</f>
        <v>#N/A</v>
      </c>
      <c r="AX234" s="153" t="str">
        <f>VLOOKUP(AU234,'Primary - GRADING'!$A$4:$BG997,59,)</f>
        <v>#N/A</v>
      </c>
      <c r="AY234" s="153" t="str">
        <f>IFS(AX234="NMA",VLOOKUP(AU234,'Primary - GRADING'!$A$4:$BG997,51,),AX234="DIRECT",VLOOKUP(AU234,'Primary - GRADING'!$A$4:$BG997,8,),AX234="INDIRECT",VLOOKUP(AU234,'Primary - GRADING'!$A$4:$BG997,23,))</f>
        <v>#N/A</v>
      </c>
      <c r="AZ234" s="153" t="str">
        <f>IFS(AX234="NMA",VLOOKUP(AU234,'Primary - GRADING'!$A$4:$BG997,52,),AX234="DIRECT",VLOOKUP(AU234,'Primary - GRADING'!$A$4:$BG997,9,),AX234="INDIRECT",VLOOKUP(AU234,'Primary - GRADING'!$A$4:$BG997,24,))</f>
        <v>#N/A</v>
      </c>
      <c r="BA234" s="153" t="str">
        <f>IFS(AX234="NMA",VLOOKUP(AU234,'Primary - GRADING'!$A$4:$BG997,53,),AX234="DIRECT",VLOOKUP(AU234,'Primary - GRADING'!$A$4:$BG997,10,),AX234="INDIRECT",VLOOKUP(AU234,'Primary - GRADING'!$A$4:$BG997,25,))</f>
        <v>#N/A</v>
      </c>
      <c r="BB234" s="153" t="str">
        <f t="shared" si="10"/>
        <v>#N/A</v>
      </c>
      <c r="BE234" s="153" t="str">
        <f t="shared" si="11"/>
        <v/>
      </c>
      <c r="BG234" s="153" t="str">
        <f t="shared" si="12"/>
        <v>#N/A</v>
      </c>
      <c r="BI234" s="153" t="str">
        <f t="shared" si="13"/>
        <v>#N/A</v>
      </c>
      <c r="BK234" s="153" t="str">
        <f t="shared" si="14"/>
        <v>#N/A</v>
      </c>
      <c r="BM234" s="153" t="str">
        <f t="shared" si="15"/>
        <v>#N/A</v>
      </c>
    </row>
    <row r="235" ht="15.75" customHeight="1">
      <c r="B235" s="160" t="str">
        <f t="shared" si="1"/>
        <v>#N/A</v>
      </c>
      <c r="C235" s="160" t="str">
        <f t="shared" si="2"/>
        <v>#N/A</v>
      </c>
      <c r="D235" s="160" t="str">
        <f t="shared" si="3"/>
        <v>#N/A</v>
      </c>
      <c r="E235" s="161" t="str">
        <f t="shared" si="4"/>
        <v>#N/A</v>
      </c>
      <c r="F235" s="153" t="str">
        <f t="shared" si="17"/>
        <v>#N/A</v>
      </c>
      <c r="G235" s="153" t="str">
        <f t="shared" si="6"/>
        <v>#N/A</v>
      </c>
      <c r="H235" s="156" t="str">
        <f t="array" ref="H235">INDEX('Primary - GRADING'!$A$1:$BG997,MATCH($A235,'Primary - GRADING'!$B:$B,0),59)</f>
        <v>#N/A</v>
      </c>
      <c r="I235" s="153" t="str">
        <f t="array" ref="I235">INDEX('Primary - GRADING'!$A$1:$CP997,MATCH($A235,'Primary - GRADING'!$CP:$CP,0),48)</f>
        <v>#N/A</v>
      </c>
      <c r="J235" s="153" t="str">
        <f t="array" ref="J235">INDEX('Primary - GRADING'!$A$1:$CP997,MATCH($A235,'Primary - GRADING'!$CP:$CP,0),49)</f>
        <v>#N/A</v>
      </c>
      <c r="K235" s="153" t="str">
        <f t="array" ref="K235">INDEX('Primary - GRADING'!$A$1:$CP997,MATCH($A235,'Primary - GRADING'!$CP:$CP,0),50)</f>
        <v>#N/A</v>
      </c>
      <c r="L235" s="153" t="str">
        <f t="array" ref="L235">INDEX('Primary - GRADING'!$A$1:$CP997,MATCH($A235,'Primary - GRADING'!$CP:$CP,0),51)</f>
        <v>#N/A</v>
      </c>
      <c r="M235" s="153" t="str">
        <f t="array" ref="M235">INDEX('Primary - GRADING'!$A$1:$CP997,MATCH($A235,'Primary - GRADING'!$CP:$CP,0),52)</f>
        <v>#N/A</v>
      </c>
      <c r="N235" s="153" t="str">
        <f t="array" ref="N235">INDEX('Primary - GRADING'!$A$1:$CP997,MATCH($A235,'Primary - GRADING'!$CP:$CP,0),53)</f>
        <v>#N/A</v>
      </c>
      <c r="O235" s="153" t="str">
        <f t="array" ref="O235">INDEX('Primary - GRADING'!$A$1:$CP997,MATCH($A235,'Primary - GRADING'!$CP:$CP,0),58)</f>
        <v>#N/A</v>
      </c>
      <c r="P235" s="153" t="str">
        <f t="array" ref="P235">INDEX('Primary - GRADING'!$A$1:$CP997,MATCH($A235,'Primary - GRADING'!$CP:$CP,0),5)</f>
        <v>#N/A</v>
      </c>
      <c r="Q235" s="153" t="str">
        <f t="array" ref="Q235">INDEX('Primary - GRADING'!$A$1:$CP997,MATCH($A235,'Primary - GRADING'!$CP:$CP,0),6)</f>
        <v>#N/A</v>
      </c>
      <c r="R235" s="153" t="str">
        <f t="array" ref="R235">INDEX('Primary - GRADING'!$A$1:$CP997,MATCH($A235,'Primary - GRADING'!$CP:$CP,0),7)</f>
        <v>#N/A</v>
      </c>
      <c r="S235" s="153" t="str">
        <f t="array" ref="S235">INDEX('Primary - GRADING'!$A$1:$CP997,MATCH($A235,'Primary - GRADING'!$CP:$CP,0),8)</f>
        <v>#N/A</v>
      </c>
      <c r="T235" s="153" t="str">
        <f t="array" ref="T235">INDEX('Primary - GRADING'!$A$1:$CP997,MATCH($A235,'Primary - GRADING'!$CP:$CP,0),9)</f>
        <v>#N/A</v>
      </c>
      <c r="U235" s="153" t="str">
        <f t="array" ref="U235">INDEX('Primary - GRADING'!$A$1:$CP997,MATCH($A235,'Primary - GRADING'!$CP:$CP,0),10)</f>
        <v>#N/A</v>
      </c>
      <c r="V235" s="153" t="str">
        <f t="array" ref="V235">INDEX('Primary - GRADING'!$A$1:$CP997,MATCH($A235,'Primary - GRADING'!$CP:$CP,0),18)</f>
        <v>#N/A</v>
      </c>
      <c r="W235" s="153" t="str">
        <f t="array" ref="W235">INDEX('Primary - GRADING'!$A$1:$CP997,MATCH($A235,'Primary - GRADING'!$CP:$CP,0),20)</f>
        <v>#N/A</v>
      </c>
      <c r="X235" s="153" t="str">
        <f t="array" ref="X235">INDEX('Primary - GRADING'!$A$1:$CP997,MATCH($A235,'Primary - GRADING'!$CP:$CP,0),21)</f>
        <v>#N/A</v>
      </c>
      <c r="Y235" s="153" t="str">
        <f t="array" ref="Y235">INDEX('Primary - GRADING'!$A$1:$CP997,MATCH($A235,'Primary - GRADING'!$CP:$CP,0),22)</f>
        <v>#N/A</v>
      </c>
      <c r="Z235" s="165" t="str">
        <f t="array" ref="Z235">INDEX('Primary - GRADING'!$A$1:$CP997,MATCH($A235,'Primary - GRADING'!$CP:$CP,0),23)</f>
        <v>#N/A</v>
      </c>
      <c r="AA235" s="153" t="str">
        <f t="array" ref="AA235">INDEX('Primary - GRADING'!$A$1:$CP997,MATCH($A235,'Primary - GRADING'!$CP:$CP,0),24)</f>
        <v>#N/A</v>
      </c>
      <c r="AB235" s="153" t="str">
        <f t="array" ref="AB235">INDEX('Primary - GRADING'!$A$1:$CP997,MATCH($A235,'Primary - GRADING'!$CP:$CP,0),25)</f>
        <v>#N/A</v>
      </c>
      <c r="AC235" s="153" t="str">
        <f t="array" ref="AC235">INDEX('Primary - GRADING'!$A$1:$CP997,MATCH($A235,'Primary - GRADING'!$CP:$CP,0),46)</f>
        <v>#N/A</v>
      </c>
      <c r="AG235" s="153" t="str">
        <f t="shared" si="7"/>
        <v>#N/A</v>
      </c>
      <c r="AI235" s="153" t="str">
        <f>VLOOKUP(AH235,'Primary - GRADING'!$A$4:$C997,2,)</f>
        <v>#N/A</v>
      </c>
      <c r="AJ235" s="153" t="str">
        <f>VLOOKUP(AH235,'Primary - GRADING'!$A$4:$C997,3,)</f>
        <v>#N/A</v>
      </c>
      <c r="AK235" s="153" t="str">
        <f>VLOOKUP(AH235,'Primary - GRADING'!$A$4:$BG997,59,)</f>
        <v>#N/A</v>
      </c>
      <c r="AL235" s="153" t="str">
        <f>IFS(AK235="NMA",VLOOKUP(AH235,'Primary - GRADING'!$A$4:$BG997,51,),AK235="DIRECT",VLOOKUP(AH235,'Primary - GRADING'!$A$4:$BG997,8,),AK235="INDIRECT",VLOOKUP(AH235,'Primary - GRADING'!$A$4:$BG997,23,))</f>
        <v>#N/A</v>
      </c>
      <c r="AM235" s="153" t="str">
        <f>IFS(AK235="NMA",VLOOKUP(AH235,'Primary - GRADING'!$A$4:$BG997,52,),AK235="DIRECT",VLOOKUP(AH235,'Primary - GRADING'!$A$4:$BG997,9,),AK235="INDIRECT",VLOOKUP(AH235,'Primary - GRADING'!$A$4:$BG997,24,))</f>
        <v>#N/A</v>
      </c>
      <c r="AN235" s="153" t="str">
        <f>IFS(AK235="NMA",VLOOKUP(AH235,'Primary - GRADING'!$A$4:$BG997,53,),AK235="DIRECT",VLOOKUP(AH235,'Primary - GRADING'!$A$4:$BG997,10,),AK235="INDIRECT",VLOOKUP(AH235,'Primary - GRADING'!$A$4:$BG997,25,))</f>
        <v>#N/A</v>
      </c>
      <c r="AO235" s="153" t="str">
        <f t="shared" si="8"/>
        <v>#N/A</v>
      </c>
      <c r="AT235" s="153" t="str">
        <f t="shared" si="9"/>
        <v>#N/A</v>
      </c>
      <c r="AV235" s="153" t="str">
        <f>VLOOKUP(AU235,'Primary - GRADING'!$A$4:$C997,2,)</f>
        <v>#N/A</v>
      </c>
      <c r="AW235" s="153" t="str">
        <f>VLOOKUP(AU235,'Primary - GRADING'!$A$4:$C997,3,)</f>
        <v>#N/A</v>
      </c>
      <c r="AX235" s="153" t="str">
        <f>VLOOKUP(AU235,'Primary - GRADING'!$A$4:$BG997,59,)</f>
        <v>#N/A</v>
      </c>
      <c r="AY235" s="153" t="str">
        <f>IFS(AX235="NMA",VLOOKUP(AU235,'Primary - GRADING'!$A$4:$BG997,51,),AX235="DIRECT",VLOOKUP(AU235,'Primary - GRADING'!$A$4:$BG997,8,),AX235="INDIRECT",VLOOKUP(AU235,'Primary - GRADING'!$A$4:$BG997,23,))</f>
        <v>#N/A</v>
      </c>
      <c r="AZ235" s="153" t="str">
        <f>IFS(AX235="NMA",VLOOKUP(AU235,'Primary - GRADING'!$A$4:$BG997,52,),AX235="DIRECT",VLOOKUP(AU235,'Primary - GRADING'!$A$4:$BG997,9,),AX235="INDIRECT",VLOOKUP(AU235,'Primary - GRADING'!$A$4:$BG997,24,))</f>
        <v>#N/A</v>
      </c>
      <c r="BA235" s="153" t="str">
        <f>IFS(AX235="NMA",VLOOKUP(AU235,'Primary - GRADING'!$A$4:$BG997,53,),AX235="DIRECT",VLOOKUP(AU235,'Primary - GRADING'!$A$4:$BG997,10,),AX235="INDIRECT",VLOOKUP(AU235,'Primary - GRADING'!$A$4:$BG997,25,))</f>
        <v>#N/A</v>
      </c>
      <c r="BB235" s="153" t="str">
        <f t="shared" si="10"/>
        <v>#N/A</v>
      </c>
      <c r="BE235" s="153" t="str">
        <f t="shared" si="11"/>
        <v/>
      </c>
      <c r="BG235" s="153" t="str">
        <f t="shared" si="12"/>
        <v>#N/A</v>
      </c>
      <c r="BI235" s="153" t="str">
        <f t="shared" si="13"/>
        <v>#N/A</v>
      </c>
      <c r="BK235" s="153" t="str">
        <f t="shared" si="14"/>
        <v>#N/A</v>
      </c>
      <c r="BM235" s="153" t="str">
        <f t="shared" si="15"/>
        <v>#N/A</v>
      </c>
    </row>
    <row r="236" ht="15.75" customHeight="1">
      <c r="B236" s="160" t="str">
        <f t="shared" si="1"/>
        <v>#N/A</v>
      </c>
      <c r="C236" s="160" t="str">
        <f t="shared" si="2"/>
        <v>#N/A</v>
      </c>
      <c r="D236" s="160" t="str">
        <f t="shared" si="3"/>
        <v>#N/A</v>
      </c>
      <c r="E236" s="161" t="str">
        <f t="shared" si="4"/>
        <v>#N/A</v>
      </c>
      <c r="F236" s="153" t="str">
        <f t="shared" si="17"/>
        <v>#N/A</v>
      </c>
      <c r="G236" s="153" t="str">
        <f t="shared" si="6"/>
        <v>#N/A</v>
      </c>
      <c r="H236" s="156" t="str">
        <f t="array" ref="H236">INDEX('Primary - GRADING'!$A$1:$BG997,MATCH($A236,'Primary - GRADING'!$B:$B,0),59)</f>
        <v>#N/A</v>
      </c>
      <c r="I236" s="153" t="str">
        <f t="array" ref="I236">INDEX('Primary - GRADING'!$A$1:$CP997,MATCH($A236,'Primary - GRADING'!$CP:$CP,0),48)</f>
        <v>#N/A</v>
      </c>
      <c r="J236" s="153" t="str">
        <f t="array" ref="J236">INDEX('Primary - GRADING'!$A$1:$CP997,MATCH($A236,'Primary - GRADING'!$CP:$CP,0),49)</f>
        <v>#N/A</v>
      </c>
      <c r="K236" s="153" t="str">
        <f t="array" ref="K236">INDEX('Primary - GRADING'!$A$1:$CP997,MATCH($A236,'Primary - GRADING'!$CP:$CP,0),50)</f>
        <v>#N/A</v>
      </c>
      <c r="L236" s="153" t="str">
        <f t="array" ref="L236">INDEX('Primary - GRADING'!$A$1:$CP997,MATCH($A236,'Primary - GRADING'!$CP:$CP,0),51)</f>
        <v>#N/A</v>
      </c>
      <c r="M236" s="153" t="str">
        <f t="array" ref="M236">INDEX('Primary - GRADING'!$A$1:$CP997,MATCH($A236,'Primary - GRADING'!$CP:$CP,0),52)</f>
        <v>#N/A</v>
      </c>
      <c r="N236" s="153" t="str">
        <f t="array" ref="N236">INDEX('Primary - GRADING'!$A$1:$CP997,MATCH($A236,'Primary - GRADING'!$CP:$CP,0),53)</f>
        <v>#N/A</v>
      </c>
      <c r="O236" s="153" t="str">
        <f t="array" ref="O236">INDEX('Primary - GRADING'!$A$1:$CP997,MATCH($A236,'Primary - GRADING'!$CP:$CP,0),58)</f>
        <v>#N/A</v>
      </c>
      <c r="P236" s="153" t="str">
        <f t="array" ref="P236">INDEX('Primary - GRADING'!$A$1:$CP997,MATCH($A236,'Primary - GRADING'!$CP:$CP,0),5)</f>
        <v>#N/A</v>
      </c>
      <c r="Q236" s="153" t="str">
        <f t="array" ref="Q236">INDEX('Primary - GRADING'!$A$1:$CP997,MATCH($A236,'Primary - GRADING'!$CP:$CP,0),6)</f>
        <v>#N/A</v>
      </c>
      <c r="R236" s="153" t="str">
        <f t="array" ref="R236">INDEX('Primary - GRADING'!$A$1:$CP997,MATCH($A236,'Primary - GRADING'!$CP:$CP,0),7)</f>
        <v>#N/A</v>
      </c>
      <c r="S236" s="153" t="str">
        <f t="array" ref="S236">INDEX('Primary - GRADING'!$A$1:$CP997,MATCH($A236,'Primary - GRADING'!$CP:$CP,0),8)</f>
        <v>#N/A</v>
      </c>
      <c r="T236" s="153" t="str">
        <f t="array" ref="T236">INDEX('Primary - GRADING'!$A$1:$CP997,MATCH($A236,'Primary - GRADING'!$CP:$CP,0),9)</f>
        <v>#N/A</v>
      </c>
      <c r="U236" s="153" t="str">
        <f t="array" ref="U236">INDEX('Primary - GRADING'!$A$1:$CP997,MATCH($A236,'Primary - GRADING'!$CP:$CP,0),10)</f>
        <v>#N/A</v>
      </c>
      <c r="V236" s="153" t="str">
        <f t="array" ref="V236">INDEX('Primary - GRADING'!$A$1:$CP997,MATCH($A236,'Primary - GRADING'!$CP:$CP,0),18)</f>
        <v>#N/A</v>
      </c>
      <c r="W236" s="153" t="str">
        <f t="array" ref="W236">INDEX('Primary - GRADING'!$A$1:$CP997,MATCH($A236,'Primary - GRADING'!$CP:$CP,0),20)</f>
        <v>#N/A</v>
      </c>
      <c r="X236" s="153" t="str">
        <f t="array" ref="X236">INDEX('Primary - GRADING'!$A$1:$CP997,MATCH($A236,'Primary - GRADING'!$CP:$CP,0),21)</f>
        <v>#N/A</v>
      </c>
      <c r="Y236" s="153" t="str">
        <f t="array" ref="Y236">INDEX('Primary - GRADING'!$A$1:$CP997,MATCH($A236,'Primary - GRADING'!$CP:$CP,0),22)</f>
        <v>#N/A</v>
      </c>
      <c r="Z236" s="165" t="str">
        <f t="array" ref="Z236">INDEX('Primary - GRADING'!$A$1:$CP997,MATCH($A236,'Primary - GRADING'!$CP:$CP,0),23)</f>
        <v>#N/A</v>
      </c>
      <c r="AA236" s="153" t="str">
        <f t="array" ref="AA236">INDEX('Primary - GRADING'!$A$1:$CP997,MATCH($A236,'Primary - GRADING'!$CP:$CP,0),24)</f>
        <v>#N/A</v>
      </c>
      <c r="AB236" s="153" t="str">
        <f t="array" ref="AB236">INDEX('Primary - GRADING'!$A$1:$CP997,MATCH($A236,'Primary - GRADING'!$CP:$CP,0),25)</f>
        <v>#N/A</v>
      </c>
      <c r="AC236" s="153" t="str">
        <f t="array" ref="AC236">INDEX('Primary - GRADING'!$A$1:$CP997,MATCH($A236,'Primary - GRADING'!$CP:$CP,0),46)</f>
        <v>#N/A</v>
      </c>
      <c r="AG236" s="153" t="str">
        <f t="shared" si="7"/>
        <v>#N/A</v>
      </c>
      <c r="AI236" s="153" t="str">
        <f>VLOOKUP(AH236,'Primary - GRADING'!$A$4:$C997,2,)</f>
        <v>#N/A</v>
      </c>
      <c r="AJ236" s="153" t="str">
        <f>VLOOKUP(AH236,'Primary - GRADING'!$A$4:$C997,3,)</f>
        <v>#N/A</v>
      </c>
      <c r="AK236" s="153" t="str">
        <f>VLOOKUP(AH236,'Primary - GRADING'!$A$4:$BG997,59,)</f>
        <v>#N/A</v>
      </c>
      <c r="AL236" s="153" t="str">
        <f>IFS(AK236="NMA",VLOOKUP(AH236,'Primary - GRADING'!$A$4:$BG997,51,),AK236="DIRECT",VLOOKUP(AH236,'Primary - GRADING'!$A$4:$BG997,8,),AK236="INDIRECT",VLOOKUP(AH236,'Primary - GRADING'!$A$4:$BG997,23,))</f>
        <v>#N/A</v>
      </c>
      <c r="AM236" s="153" t="str">
        <f>IFS(AK236="NMA",VLOOKUP(AH236,'Primary - GRADING'!$A$4:$BG997,52,),AK236="DIRECT",VLOOKUP(AH236,'Primary - GRADING'!$A$4:$BG997,9,),AK236="INDIRECT",VLOOKUP(AH236,'Primary - GRADING'!$A$4:$BG997,24,))</f>
        <v>#N/A</v>
      </c>
      <c r="AN236" s="153" t="str">
        <f>IFS(AK236="NMA",VLOOKUP(AH236,'Primary - GRADING'!$A$4:$BG997,53,),AK236="DIRECT",VLOOKUP(AH236,'Primary - GRADING'!$A$4:$BG997,10,),AK236="INDIRECT",VLOOKUP(AH236,'Primary - GRADING'!$A$4:$BG997,25,))</f>
        <v>#N/A</v>
      </c>
      <c r="AO236" s="153" t="str">
        <f t="shared" si="8"/>
        <v>#N/A</v>
      </c>
      <c r="AT236" s="153" t="str">
        <f t="shared" si="9"/>
        <v>#N/A</v>
      </c>
      <c r="AV236" s="153" t="str">
        <f>VLOOKUP(AU236,'Primary - GRADING'!$A$4:$C997,2,)</f>
        <v>#N/A</v>
      </c>
      <c r="AW236" s="153" t="str">
        <f>VLOOKUP(AU236,'Primary - GRADING'!$A$4:$C997,3,)</f>
        <v>#N/A</v>
      </c>
      <c r="AX236" s="153" t="str">
        <f>VLOOKUP(AU236,'Primary - GRADING'!$A$4:$BG997,59,)</f>
        <v>#N/A</v>
      </c>
      <c r="AY236" s="153" t="str">
        <f>IFS(AX236="NMA",VLOOKUP(AU236,'Primary - GRADING'!$A$4:$BG997,51,),AX236="DIRECT",VLOOKUP(AU236,'Primary - GRADING'!$A$4:$BG997,8,),AX236="INDIRECT",VLOOKUP(AU236,'Primary - GRADING'!$A$4:$BG997,23,))</f>
        <v>#N/A</v>
      </c>
      <c r="AZ236" s="153" t="str">
        <f>IFS(AX236="NMA",VLOOKUP(AU236,'Primary - GRADING'!$A$4:$BG997,52,),AX236="DIRECT",VLOOKUP(AU236,'Primary - GRADING'!$A$4:$BG997,9,),AX236="INDIRECT",VLOOKUP(AU236,'Primary - GRADING'!$A$4:$BG997,24,))</f>
        <v>#N/A</v>
      </c>
      <c r="BA236" s="153" t="str">
        <f>IFS(AX236="NMA",VLOOKUP(AU236,'Primary - GRADING'!$A$4:$BG997,53,),AX236="DIRECT",VLOOKUP(AU236,'Primary - GRADING'!$A$4:$BG997,10,),AX236="INDIRECT",VLOOKUP(AU236,'Primary - GRADING'!$A$4:$BG997,25,))</f>
        <v>#N/A</v>
      </c>
      <c r="BB236" s="153" t="str">
        <f t="shared" si="10"/>
        <v>#N/A</v>
      </c>
      <c r="BE236" s="153" t="str">
        <f t="shared" si="11"/>
        <v/>
      </c>
      <c r="BG236" s="153" t="str">
        <f t="shared" si="12"/>
        <v>#N/A</v>
      </c>
      <c r="BI236" s="153" t="str">
        <f t="shared" si="13"/>
        <v>#N/A</v>
      </c>
      <c r="BK236" s="153" t="str">
        <f t="shared" si="14"/>
        <v>#N/A</v>
      </c>
      <c r="BM236" s="153" t="str">
        <f t="shared" si="15"/>
        <v>#N/A</v>
      </c>
    </row>
    <row r="237" ht="15.75" customHeight="1">
      <c r="B237" s="160" t="str">
        <f t="shared" si="1"/>
        <v>#N/A</v>
      </c>
      <c r="C237" s="160" t="str">
        <f t="shared" si="2"/>
        <v>#N/A</v>
      </c>
      <c r="D237" s="160" t="str">
        <f t="shared" si="3"/>
        <v>#N/A</v>
      </c>
      <c r="E237" s="161" t="str">
        <f t="shared" si="4"/>
        <v>#N/A</v>
      </c>
      <c r="F237" s="153" t="str">
        <f t="shared" si="17"/>
        <v>#N/A</v>
      </c>
      <c r="G237" s="153" t="str">
        <f t="shared" si="6"/>
        <v>#N/A</v>
      </c>
      <c r="H237" s="156" t="str">
        <f t="array" ref="H237">INDEX('Primary - GRADING'!$A$1:$BG997,MATCH($A237,'Primary - GRADING'!$B:$B,0),59)</f>
        <v>#N/A</v>
      </c>
      <c r="I237" s="153" t="str">
        <f t="array" ref="I237">INDEX('Primary - GRADING'!$A$1:$CP997,MATCH($A237,'Primary - GRADING'!$CP:$CP,0),48)</f>
        <v>#N/A</v>
      </c>
      <c r="J237" s="153" t="str">
        <f t="array" ref="J237">INDEX('Primary - GRADING'!$A$1:$CP997,MATCH($A237,'Primary - GRADING'!$CP:$CP,0),49)</f>
        <v>#N/A</v>
      </c>
      <c r="K237" s="153" t="str">
        <f t="array" ref="K237">INDEX('Primary - GRADING'!$A$1:$CP997,MATCH($A237,'Primary - GRADING'!$CP:$CP,0),50)</f>
        <v>#N/A</v>
      </c>
      <c r="L237" s="153" t="str">
        <f t="array" ref="L237">INDEX('Primary - GRADING'!$A$1:$CP997,MATCH($A237,'Primary - GRADING'!$CP:$CP,0),51)</f>
        <v>#N/A</v>
      </c>
      <c r="M237" s="153" t="str">
        <f t="array" ref="M237">INDEX('Primary - GRADING'!$A$1:$CP997,MATCH($A237,'Primary - GRADING'!$CP:$CP,0),52)</f>
        <v>#N/A</v>
      </c>
      <c r="N237" s="153" t="str">
        <f t="array" ref="N237">INDEX('Primary - GRADING'!$A$1:$CP997,MATCH($A237,'Primary - GRADING'!$CP:$CP,0),53)</f>
        <v>#N/A</v>
      </c>
      <c r="O237" s="153" t="str">
        <f t="array" ref="O237">INDEX('Primary - GRADING'!$A$1:$CP997,MATCH($A237,'Primary - GRADING'!$CP:$CP,0),58)</f>
        <v>#N/A</v>
      </c>
      <c r="P237" s="153" t="str">
        <f t="array" ref="P237">INDEX('Primary - GRADING'!$A$1:$CP997,MATCH($A237,'Primary - GRADING'!$CP:$CP,0),5)</f>
        <v>#N/A</v>
      </c>
      <c r="Q237" s="153" t="str">
        <f t="array" ref="Q237">INDEX('Primary - GRADING'!$A$1:$CP997,MATCH($A237,'Primary - GRADING'!$CP:$CP,0),6)</f>
        <v>#N/A</v>
      </c>
      <c r="R237" s="153" t="str">
        <f t="array" ref="R237">INDEX('Primary - GRADING'!$A$1:$CP997,MATCH($A237,'Primary - GRADING'!$CP:$CP,0),7)</f>
        <v>#N/A</v>
      </c>
      <c r="S237" s="153" t="str">
        <f t="array" ref="S237">INDEX('Primary - GRADING'!$A$1:$CP997,MATCH($A237,'Primary - GRADING'!$CP:$CP,0),8)</f>
        <v>#N/A</v>
      </c>
      <c r="T237" s="153" t="str">
        <f t="array" ref="T237">INDEX('Primary - GRADING'!$A$1:$CP997,MATCH($A237,'Primary - GRADING'!$CP:$CP,0),9)</f>
        <v>#N/A</v>
      </c>
      <c r="U237" s="153" t="str">
        <f t="array" ref="U237">INDEX('Primary - GRADING'!$A$1:$CP997,MATCH($A237,'Primary - GRADING'!$CP:$CP,0),10)</f>
        <v>#N/A</v>
      </c>
      <c r="V237" s="153" t="str">
        <f t="array" ref="V237">INDEX('Primary - GRADING'!$A$1:$CP997,MATCH($A237,'Primary - GRADING'!$CP:$CP,0),18)</f>
        <v>#N/A</v>
      </c>
      <c r="W237" s="153" t="str">
        <f t="array" ref="W237">INDEX('Primary - GRADING'!$A$1:$CP997,MATCH($A237,'Primary - GRADING'!$CP:$CP,0),20)</f>
        <v>#N/A</v>
      </c>
      <c r="X237" s="153" t="str">
        <f t="array" ref="X237">INDEX('Primary - GRADING'!$A$1:$CP997,MATCH($A237,'Primary - GRADING'!$CP:$CP,0),21)</f>
        <v>#N/A</v>
      </c>
      <c r="Y237" s="153" t="str">
        <f t="array" ref="Y237">INDEX('Primary - GRADING'!$A$1:$CP997,MATCH($A237,'Primary - GRADING'!$CP:$CP,0),22)</f>
        <v>#N/A</v>
      </c>
      <c r="Z237" s="165" t="str">
        <f t="array" ref="Z237">INDEX('Primary - GRADING'!$A$1:$CP997,MATCH($A237,'Primary - GRADING'!$CP:$CP,0),23)</f>
        <v>#N/A</v>
      </c>
      <c r="AA237" s="153" t="str">
        <f t="array" ref="AA237">INDEX('Primary - GRADING'!$A$1:$CP997,MATCH($A237,'Primary - GRADING'!$CP:$CP,0),24)</f>
        <v>#N/A</v>
      </c>
      <c r="AB237" s="153" t="str">
        <f t="array" ref="AB237">INDEX('Primary - GRADING'!$A$1:$CP997,MATCH($A237,'Primary - GRADING'!$CP:$CP,0),25)</f>
        <v>#N/A</v>
      </c>
      <c r="AC237" s="153" t="str">
        <f t="array" ref="AC237">INDEX('Primary - GRADING'!$A$1:$CP997,MATCH($A237,'Primary - GRADING'!$CP:$CP,0),46)</f>
        <v>#N/A</v>
      </c>
      <c r="AG237" s="153" t="str">
        <f t="shared" si="7"/>
        <v>#N/A</v>
      </c>
      <c r="AI237" s="153" t="str">
        <f>VLOOKUP(AH237,'Primary - GRADING'!$A$4:$C997,2,)</f>
        <v>#N/A</v>
      </c>
      <c r="AJ237" s="153" t="str">
        <f>VLOOKUP(AH237,'Primary - GRADING'!$A$4:$C997,3,)</f>
        <v>#N/A</v>
      </c>
      <c r="AK237" s="153" t="str">
        <f>VLOOKUP(AH237,'Primary - GRADING'!$A$4:$BG997,59,)</f>
        <v>#N/A</v>
      </c>
      <c r="AL237" s="153" t="str">
        <f>IFS(AK237="NMA",VLOOKUP(AH237,'Primary - GRADING'!$A$4:$BG997,51,),AK237="DIRECT",VLOOKUP(AH237,'Primary - GRADING'!$A$4:$BG997,8,),AK237="INDIRECT",VLOOKUP(AH237,'Primary - GRADING'!$A$4:$BG997,23,))</f>
        <v>#N/A</v>
      </c>
      <c r="AM237" s="153" t="str">
        <f>IFS(AK237="NMA",VLOOKUP(AH237,'Primary - GRADING'!$A$4:$BG997,52,),AK237="DIRECT",VLOOKUP(AH237,'Primary - GRADING'!$A$4:$BG997,9,),AK237="INDIRECT",VLOOKUP(AH237,'Primary - GRADING'!$A$4:$BG997,24,))</f>
        <v>#N/A</v>
      </c>
      <c r="AN237" s="153" t="str">
        <f>IFS(AK237="NMA",VLOOKUP(AH237,'Primary - GRADING'!$A$4:$BG997,53,),AK237="DIRECT",VLOOKUP(AH237,'Primary - GRADING'!$A$4:$BG997,10,),AK237="INDIRECT",VLOOKUP(AH237,'Primary - GRADING'!$A$4:$BG997,25,))</f>
        <v>#N/A</v>
      </c>
      <c r="AO237" s="153" t="str">
        <f t="shared" si="8"/>
        <v>#N/A</v>
      </c>
      <c r="AT237" s="153" t="str">
        <f t="shared" si="9"/>
        <v>#N/A</v>
      </c>
      <c r="AV237" s="153" t="str">
        <f>VLOOKUP(AU237,'Primary - GRADING'!$A$4:$C997,2,)</f>
        <v>#N/A</v>
      </c>
      <c r="AW237" s="153" t="str">
        <f>VLOOKUP(AU237,'Primary - GRADING'!$A$4:$C997,3,)</f>
        <v>#N/A</v>
      </c>
      <c r="AX237" s="153" t="str">
        <f>VLOOKUP(AU237,'Primary - GRADING'!$A$4:$BG997,59,)</f>
        <v>#N/A</v>
      </c>
      <c r="AY237" s="153" t="str">
        <f>IFS(AX237="NMA",VLOOKUP(AU237,'Primary - GRADING'!$A$4:$BG997,51,),AX237="DIRECT",VLOOKUP(AU237,'Primary - GRADING'!$A$4:$BG997,8,),AX237="INDIRECT",VLOOKUP(AU237,'Primary - GRADING'!$A$4:$BG997,23,))</f>
        <v>#N/A</v>
      </c>
      <c r="AZ237" s="153" t="str">
        <f>IFS(AX237="NMA",VLOOKUP(AU237,'Primary - GRADING'!$A$4:$BG997,52,),AX237="DIRECT",VLOOKUP(AU237,'Primary - GRADING'!$A$4:$BG997,9,),AX237="INDIRECT",VLOOKUP(AU237,'Primary - GRADING'!$A$4:$BG997,24,))</f>
        <v>#N/A</v>
      </c>
      <c r="BA237" s="153" t="str">
        <f>IFS(AX237="NMA",VLOOKUP(AU237,'Primary - GRADING'!$A$4:$BG997,53,),AX237="DIRECT",VLOOKUP(AU237,'Primary - GRADING'!$A$4:$BG997,10,),AX237="INDIRECT",VLOOKUP(AU237,'Primary - GRADING'!$A$4:$BG997,25,))</f>
        <v>#N/A</v>
      </c>
      <c r="BB237" s="153" t="str">
        <f t="shared" si="10"/>
        <v>#N/A</v>
      </c>
      <c r="BE237" s="153" t="str">
        <f t="shared" si="11"/>
        <v/>
      </c>
      <c r="BG237" s="153" t="str">
        <f t="shared" si="12"/>
        <v>#N/A</v>
      </c>
      <c r="BI237" s="153" t="str">
        <f t="shared" si="13"/>
        <v>#N/A</v>
      </c>
      <c r="BK237" s="153" t="str">
        <f t="shared" si="14"/>
        <v>#N/A</v>
      </c>
      <c r="BM237" s="153" t="str">
        <f t="shared" si="15"/>
        <v>#N/A</v>
      </c>
    </row>
    <row r="238" ht="15.75" customHeight="1">
      <c r="B238" s="160" t="str">
        <f t="shared" si="1"/>
        <v>#N/A</v>
      </c>
      <c r="C238" s="160" t="str">
        <f t="shared" si="2"/>
        <v>#N/A</v>
      </c>
      <c r="D238" s="160" t="str">
        <f t="shared" si="3"/>
        <v>#N/A</v>
      </c>
      <c r="E238" s="161" t="str">
        <f t="shared" si="4"/>
        <v>#N/A</v>
      </c>
      <c r="F238" s="153" t="str">
        <f t="shared" si="17"/>
        <v>#N/A</v>
      </c>
      <c r="G238" s="153" t="str">
        <f t="shared" si="6"/>
        <v>#N/A</v>
      </c>
      <c r="H238" s="156" t="str">
        <f t="array" ref="H238">INDEX('Primary - GRADING'!$A$1:$BG997,MATCH($A238,'Primary - GRADING'!$B:$B,0),59)</f>
        <v>#N/A</v>
      </c>
      <c r="I238" s="153" t="str">
        <f t="array" ref="I238">INDEX('Primary - GRADING'!$A$1:$CP997,MATCH($A238,'Primary - GRADING'!$CP:$CP,0),48)</f>
        <v>#N/A</v>
      </c>
      <c r="J238" s="153" t="str">
        <f t="array" ref="J238">INDEX('Primary - GRADING'!$A$1:$CP997,MATCH($A238,'Primary - GRADING'!$CP:$CP,0),49)</f>
        <v>#N/A</v>
      </c>
      <c r="K238" s="153" t="str">
        <f t="array" ref="K238">INDEX('Primary - GRADING'!$A$1:$CP997,MATCH($A238,'Primary - GRADING'!$CP:$CP,0),50)</f>
        <v>#N/A</v>
      </c>
      <c r="L238" s="153" t="str">
        <f t="array" ref="L238">INDEX('Primary - GRADING'!$A$1:$CP997,MATCH($A238,'Primary - GRADING'!$CP:$CP,0),51)</f>
        <v>#N/A</v>
      </c>
      <c r="M238" s="153" t="str">
        <f t="array" ref="M238">INDEX('Primary - GRADING'!$A$1:$CP997,MATCH($A238,'Primary - GRADING'!$CP:$CP,0),52)</f>
        <v>#N/A</v>
      </c>
      <c r="N238" s="153" t="str">
        <f t="array" ref="N238">INDEX('Primary - GRADING'!$A$1:$CP997,MATCH($A238,'Primary - GRADING'!$CP:$CP,0),53)</f>
        <v>#N/A</v>
      </c>
      <c r="O238" s="153" t="str">
        <f t="array" ref="O238">INDEX('Primary - GRADING'!$A$1:$CP997,MATCH($A238,'Primary - GRADING'!$CP:$CP,0),58)</f>
        <v>#N/A</v>
      </c>
      <c r="P238" s="153" t="str">
        <f t="array" ref="P238">INDEX('Primary - GRADING'!$A$1:$CP997,MATCH($A238,'Primary - GRADING'!$CP:$CP,0),5)</f>
        <v>#N/A</v>
      </c>
      <c r="Q238" s="153" t="str">
        <f t="array" ref="Q238">INDEX('Primary - GRADING'!$A$1:$CP997,MATCH($A238,'Primary - GRADING'!$CP:$CP,0),6)</f>
        <v>#N/A</v>
      </c>
      <c r="R238" s="153" t="str">
        <f t="array" ref="R238">INDEX('Primary - GRADING'!$A$1:$CP997,MATCH($A238,'Primary - GRADING'!$CP:$CP,0),7)</f>
        <v>#N/A</v>
      </c>
      <c r="S238" s="153" t="str">
        <f t="array" ref="S238">INDEX('Primary - GRADING'!$A$1:$CP997,MATCH($A238,'Primary - GRADING'!$CP:$CP,0),8)</f>
        <v>#N/A</v>
      </c>
      <c r="T238" s="153" t="str">
        <f t="array" ref="T238">INDEX('Primary - GRADING'!$A$1:$CP997,MATCH($A238,'Primary - GRADING'!$CP:$CP,0),9)</f>
        <v>#N/A</v>
      </c>
      <c r="U238" s="153" t="str">
        <f t="array" ref="U238">INDEX('Primary - GRADING'!$A$1:$CP997,MATCH($A238,'Primary - GRADING'!$CP:$CP,0),10)</f>
        <v>#N/A</v>
      </c>
      <c r="V238" s="153" t="str">
        <f t="array" ref="V238">INDEX('Primary - GRADING'!$A$1:$CP997,MATCH($A238,'Primary - GRADING'!$CP:$CP,0),18)</f>
        <v>#N/A</v>
      </c>
      <c r="W238" s="153" t="str">
        <f t="array" ref="W238">INDEX('Primary - GRADING'!$A$1:$CP997,MATCH($A238,'Primary - GRADING'!$CP:$CP,0),20)</f>
        <v>#N/A</v>
      </c>
      <c r="X238" s="153" t="str">
        <f t="array" ref="X238">INDEX('Primary - GRADING'!$A$1:$CP997,MATCH($A238,'Primary - GRADING'!$CP:$CP,0),21)</f>
        <v>#N/A</v>
      </c>
      <c r="Y238" s="153" t="str">
        <f t="array" ref="Y238">INDEX('Primary - GRADING'!$A$1:$CP997,MATCH($A238,'Primary - GRADING'!$CP:$CP,0),22)</f>
        <v>#N/A</v>
      </c>
      <c r="Z238" s="165" t="str">
        <f t="array" ref="Z238">INDEX('Primary - GRADING'!$A$1:$CP997,MATCH($A238,'Primary - GRADING'!$CP:$CP,0),23)</f>
        <v>#N/A</v>
      </c>
      <c r="AA238" s="153" t="str">
        <f t="array" ref="AA238">INDEX('Primary - GRADING'!$A$1:$CP997,MATCH($A238,'Primary - GRADING'!$CP:$CP,0),24)</f>
        <v>#N/A</v>
      </c>
      <c r="AB238" s="153" t="str">
        <f t="array" ref="AB238">INDEX('Primary - GRADING'!$A$1:$CP997,MATCH($A238,'Primary - GRADING'!$CP:$CP,0),25)</f>
        <v>#N/A</v>
      </c>
      <c r="AC238" s="153" t="str">
        <f t="array" ref="AC238">INDEX('Primary - GRADING'!$A$1:$CP997,MATCH($A238,'Primary - GRADING'!$CP:$CP,0),46)</f>
        <v>#N/A</v>
      </c>
      <c r="AG238" s="153" t="str">
        <f t="shared" si="7"/>
        <v>#N/A</v>
      </c>
      <c r="AI238" s="153" t="str">
        <f>VLOOKUP(AH238,'Primary - GRADING'!$A$4:$C997,2,)</f>
        <v>#N/A</v>
      </c>
      <c r="AJ238" s="153" t="str">
        <f>VLOOKUP(AH238,'Primary - GRADING'!$A$4:$C997,3,)</f>
        <v>#N/A</v>
      </c>
      <c r="AK238" s="153" t="str">
        <f>VLOOKUP(AH238,'Primary - GRADING'!$A$4:$BG997,59,)</f>
        <v>#N/A</v>
      </c>
      <c r="AL238" s="153" t="str">
        <f>IFS(AK238="NMA",VLOOKUP(AH238,'Primary - GRADING'!$A$4:$BG997,51,),AK238="DIRECT",VLOOKUP(AH238,'Primary - GRADING'!$A$4:$BG997,8,),AK238="INDIRECT",VLOOKUP(AH238,'Primary - GRADING'!$A$4:$BG997,23,))</f>
        <v>#N/A</v>
      </c>
      <c r="AM238" s="153" t="str">
        <f>IFS(AK238="NMA",VLOOKUP(AH238,'Primary - GRADING'!$A$4:$BG997,52,),AK238="DIRECT",VLOOKUP(AH238,'Primary - GRADING'!$A$4:$BG997,9,),AK238="INDIRECT",VLOOKUP(AH238,'Primary - GRADING'!$A$4:$BG997,24,))</f>
        <v>#N/A</v>
      </c>
      <c r="AN238" s="153" t="str">
        <f>IFS(AK238="NMA",VLOOKUP(AH238,'Primary - GRADING'!$A$4:$BG997,53,),AK238="DIRECT",VLOOKUP(AH238,'Primary - GRADING'!$A$4:$BG997,10,),AK238="INDIRECT",VLOOKUP(AH238,'Primary - GRADING'!$A$4:$BG997,25,))</f>
        <v>#N/A</v>
      </c>
      <c r="AO238" s="153" t="str">
        <f t="shared" si="8"/>
        <v>#N/A</v>
      </c>
      <c r="AT238" s="153" t="str">
        <f t="shared" si="9"/>
        <v>#N/A</v>
      </c>
      <c r="AV238" s="153" t="str">
        <f>VLOOKUP(AU238,'Primary - GRADING'!$A$4:$C997,2,)</f>
        <v>#N/A</v>
      </c>
      <c r="AW238" s="153" t="str">
        <f>VLOOKUP(AU238,'Primary - GRADING'!$A$4:$C997,3,)</f>
        <v>#N/A</v>
      </c>
      <c r="AX238" s="153" t="str">
        <f>VLOOKUP(AU238,'Primary - GRADING'!$A$4:$BG997,59,)</f>
        <v>#N/A</v>
      </c>
      <c r="AY238" s="153" t="str">
        <f>IFS(AX238="NMA",VLOOKUP(AU238,'Primary - GRADING'!$A$4:$BG997,51,),AX238="DIRECT",VLOOKUP(AU238,'Primary - GRADING'!$A$4:$BG997,8,),AX238="INDIRECT",VLOOKUP(AU238,'Primary - GRADING'!$A$4:$BG997,23,))</f>
        <v>#N/A</v>
      </c>
      <c r="AZ238" s="153" t="str">
        <f>IFS(AX238="NMA",VLOOKUP(AU238,'Primary - GRADING'!$A$4:$BG997,52,),AX238="DIRECT",VLOOKUP(AU238,'Primary - GRADING'!$A$4:$BG997,9,),AX238="INDIRECT",VLOOKUP(AU238,'Primary - GRADING'!$A$4:$BG997,24,))</f>
        <v>#N/A</v>
      </c>
      <c r="BA238" s="153" t="str">
        <f>IFS(AX238="NMA",VLOOKUP(AU238,'Primary - GRADING'!$A$4:$BG997,53,),AX238="DIRECT",VLOOKUP(AU238,'Primary - GRADING'!$A$4:$BG997,10,),AX238="INDIRECT",VLOOKUP(AU238,'Primary - GRADING'!$A$4:$BG997,25,))</f>
        <v>#N/A</v>
      </c>
      <c r="BB238" s="153" t="str">
        <f t="shared" si="10"/>
        <v>#N/A</v>
      </c>
      <c r="BE238" s="153" t="str">
        <f t="shared" si="11"/>
        <v/>
      </c>
      <c r="BG238" s="153" t="str">
        <f t="shared" si="12"/>
        <v>#N/A</v>
      </c>
      <c r="BI238" s="153" t="str">
        <f t="shared" si="13"/>
        <v>#N/A</v>
      </c>
      <c r="BK238" s="153" t="str">
        <f t="shared" si="14"/>
        <v>#N/A</v>
      </c>
      <c r="BM238" s="153" t="str">
        <f t="shared" si="15"/>
        <v>#N/A</v>
      </c>
    </row>
    <row r="239" ht="15.75" customHeight="1">
      <c r="B239" s="160" t="str">
        <f t="shared" si="1"/>
        <v>#N/A</v>
      </c>
      <c r="C239" s="160" t="str">
        <f t="shared" si="2"/>
        <v>#N/A</v>
      </c>
      <c r="D239" s="160" t="str">
        <f t="shared" si="3"/>
        <v>#N/A</v>
      </c>
      <c r="E239" s="161" t="str">
        <f t="shared" si="4"/>
        <v>#N/A</v>
      </c>
      <c r="F239" s="153" t="str">
        <f t="shared" si="17"/>
        <v>#N/A</v>
      </c>
      <c r="G239" s="153" t="str">
        <f t="shared" si="6"/>
        <v>#N/A</v>
      </c>
      <c r="H239" s="156" t="str">
        <f t="array" ref="H239">INDEX('Primary - GRADING'!$A$1:$BG997,MATCH($A239,'Primary - GRADING'!$B:$B,0),59)</f>
        <v>#N/A</v>
      </c>
      <c r="I239" s="153" t="str">
        <f t="array" ref="I239">INDEX('Primary - GRADING'!$A$1:$CP997,MATCH($A239,'Primary - GRADING'!$CP:$CP,0),48)</f>
        <v>#N/A</v>
      </c>
      <c r="J239" s="153" t="str">
        <f t="array" ref="J239">INDEX('Primary - GRADING'!$A$1:$CP997,MATCH($A239,'Primary - GRADING'!$CP:$CP,0),49)</f>
        <v>#N/A</v>
      </c>
      <c r="K239" s="153" t="str">
        <f t="array" ref="K239">INDEX('Primary - GRADING'!$A$1:$CP997,MATCH($A239,'Primary - GRADING'!$CP:$CP,0),50)</f>
        <v>#N/A</v>
      </c>
      <c r="L239" s="153" t="str">
        <f t="array" ref="L239">INDEX('Primary - GRADING'!$A$1:$CP997,MATCH($A239,'Primary - GRADING'!$CP:$CP,0),51)</f>
        <v>#N/A</v>
      </c>
      <c r="M239" s="153" t="str">
        <f t="array" ref="M239">INDEX('Primary - GRADING'!$A$1:$CP997,MATCH($A239,'Primary - GRADING'!$CP:$CP,0),52)</f>
        <v>#N/A</v>
      </c>
      <c r="N239" s="153" t="str">
        <f t="array" ref="N239">INDEX('Primary - GRADING'!$A$1:$CP997,MATCH($A239,'Primary - GRADING'!$CP:$CP,0),53)</f>
        <v>#N/A</v>
      </c>
      <c r="O239" s="153" t="str">
        <f t="array" ref="O239">INDEX('Primary - GRADING'!$A$1:$CP997,MATCH($A239,'Primary - GRADING'!$CP:$CP,0),58)</f>
        <v>#N/A</v>
      </c>
      <c r="P239" s="153" t="str">
        <f t="array" ref="P239">INDEX('Primary - GRADING'!$A$1:$CP997,MATCH($A239,'Primary - GRADING'!$CP:$CP,0),5)</f>
        <v>#N/A</v>
      </c>
      <c r="Q239" s="153" t="str">
        <f t="array" ref="Q239">INDEX('Primary - GRADING'!$A$1:$CP997,MATCH($A239,'Primary - GRADING'!$CP:$CP,0),6)</f>
        <v>#N/A</v>
      </c>
      <c r="R239" s="153" t="str">
        <f t="array" ref="R239">INDEX('Primary - GRADING'!$A$1:$CP997,MATCH($A239,'Primary - GRADING'!$CP:$CP,0),7)</f>
        <v>#N/A</v>
      </c>
      <c r="S239" s="153" t="str">
        <f t="array" ref="S239">INDEX('Primary - GRADING'!$A$1:$CP997,MATCH($A239,'Primary - GRADING'!$CP:$CP,0),8)</f>
        <v>#N/A</v>
      </c>
      <c r="T239" s="153" t="str">
        <f t="array" ref="T239">INDEX('Primary - GRADING'!$A$1:$CP997,MATCH($A239,'Primary - GRADING'!$CP:$CP,0),9)</f>
        <v>#N/A</v>
      </c>
      <c r="U239" s="153" t="str">
        <f t="array" ref="U239">INDEX('Primary - GRADING'!$A$1:$CP997,MATCH($A239,'Primary - GRADING'!$CP:$CP,0),10)</f>
        <v>#N/A</v>
      </c>
      <c r="V239" s="153" t="str">
        <f t="array" ref="V239">INDEX('Primary - GRADING'!$A$1:$CP997,MATCH($A239,'Primary - GRADING'!$CP:$CP,0),18)</f>
        <v>#N/A</v>
      </c>
      <c r="W239" s="153" t="str">
        <f t="array" ref="W239">INDEX('Primary - GRADING'!$A$1:$CP997,MATCH($A239,'Primary - GRADING'!$CP:$CP,0),20)</f>
        <v>#N/A</v>
      </c>
      <c r="X239" s="153" t="str">
        <f t="array" ref="X239">INDEX('Primary - GRADING'!$A$1:$CP997,MATCH($A239,'Primary - GRADING'!$CP:$CP,0),21)</f>
        <v>#N/A</v>
      </c>
      <c r="Y239" s="153" t="str">
        <f t="array" ref="Y239">INDEX('Primary - GRADING'!$A$1:$CP997,MATCH($A239,'Primary - GRADING'!$CP:$CP,0),22)</f>
        <v>#N/A</v>
      </c>
      <c r="Z239" s="165" t="str">
        <f t="array" ref="Z239">INDEX('Primary - GRADING'!$A$1:$CP997,MATCH($A239,'Primary - GRADING'!$CP:$CP,0),23)</f>
        <v>#N/A</v>
      </c>
      <c r="AA239" s="153" t="str">
        <f t="array" ref="AA239">INDEX('Primary - GRADING'!$A$1:$CP997,MATCH($A239,'Primary - GRADING'!$CP:$CP,0),24)</f>
        <v>#N/A</v>
      </c>
      <c r="AB239" s="153" t="str">
        <f t="array" ref="AB239">INDEX('Primary - GRADING'!$A$1:$CP997,MATCH($A239,'Primary - GRADING'!$CP:$CP,0),25)</f>
        <v>#N/A</v>
      </c>
      <c r="AC239" s="153" t="str">
        <f t="array" ref="AC239">INDEX('Primary - GRADING'!$A$1:$CP997,MATCH($A239,'Primary - GRADING'!$CP:$CP,0),46)</f>
        <v>#N/A</v>
      </c>
      <c r="AG239" s="153" t="str">
        <f t="shared" si="7"/>
        <v>#N/A</v>
      </c>
      <c r="AI239" s="153" t="str">
        <f>VLOOKUP(AH239,'Primary - GRADING'!$A$4:$C997,2,)</f>
        <v>#N/A</v>
      </c>
      <c r="AJ239" s="153" t="str">
        <f>VLOOKUP(AH239,'Primary - GRADING'!$A$4:$C997,3,)</f>
        <v>#N/A</v>
      </c>
      <c r="AK239" s="153" t="str">
        <f>VLOOKUP(AH239,'Primary - GRADING'!$A$4:$BG997,59,)</f>
        <v>#N/A</v>
      </c>
      <c r="AL239" s="153" t="str">
        <f>IFS(AK239="NMA",VLOOKUP(AH239,'Primary - GRADING'!$A$4:$BG997,51,),AK239="DIRECT",VLOOKUP(AH239,'Primary - GRADING'!$A$4:$BG997,8,),AK239="INDIRECT",VLOOKUP(AH239,'Primary - GRADING'!$A$4:$BG997,23,))</f>
        <v>#N/A</v>
      </c>
      <c r="AM239" s="153" t="str">
        <f>IFS(AK239="NMA",VLOOKUP(AH239,'Primary - GRADING'!$A$4:$BG997,52,),AK239="DIRECT",VLOOKUP(AH239,'Primary - GRADING'!$A$4:$BG997,9,),AK239="INDIRECT",VLOOKUP(AH239,'Primary - GRADING'!$A$4:$BG997,24,))</f>
        <v>#N/A</v>
      </c>
      <c r="AN239" s="153" t="str">
        <f>IFS(AK239="NMA",VLOOKUP(AH239,'Primary - GRADING'!$A$4:$BG997,53,),AK239="DIRECT",VLOOKUP(AH239,'Primary - GRADING'!$A$4:$BG997,10,),AK239="INDIRECT",VLOOKUP(AH239,'Primary - GRADING'!$A$4:$BG997,25,))</f>
        <v>#N/A</v>
      </c>
      <c r="AO239" s="153" t="str">
        <f t="shared" si="8"/>
        <v>#N/A</v>
      </c>
      <c r="AT239" s="153" t="str">
        <f t="shared" si="9"/>
        <v>#N/A</v>
      </c>
      <c r="AV239" s="153" t="str">
        <f>VLOOKUP(AU239,'Primary - GRADING'!$A$4:$C997,2,)</f>
        <v>#N/A</v>
      </c>
      <c r="AW239" s="153" t="str">
        <f>VLOOKUP(AU239,'Primary - GRADING'!$A$4:$C997,3,)</f>
        <v>#N/A</v>
      </c>
      <c r="AX239" s="153" t="str">
        <f>VLOOKUP(AU239,'Primary - GRADING'!$A$4:$BG997,59,)</f>
        <v>#N/A</v>
      </c>
      <c r="AY239" s="153" t="str">
        <f>IFS(AX239="NMA",VLOOKUP(AU239,'Primary - GRADING'!$A$4:$BG997,51,),AX239="DIRECT",VLOOKUP(AU239,'Primary - GRADING'!$A$4:$BG997,8,),AX239="INDIRECT",VLOOKUP(AU239,'Primary - GRADING'!$A$4:$BG997,23,))</f>
        <v>#N/A</v>
      </c>
      <c r="AZ239" s="153" t="str">
        <f>IFS(AX239="NMA",VLOOKUP(AU239,'Primary - GRADING'!$A$4:$BG997,52,),AX239="DIRECT",VLOOKUP(AU239,'Primary - GRADING'!$A$4:$BG997,9,),AX239="INDIRECT",VLOOKUP(AU239,'Primary - GRADING'!$A$4:$BG997,24,))</f>
        <v>#N/A</v>
      </c>
      <c r="BA239" s="153" t="str">
        <f>IFS(AX239="NMA",VLOOKUP(AU239,'Primary - GRADING'!$A$4:$BG997,53,),AX239="DIRECT",VLOOKUP(AU239,'Primary - GRADING'!$A$4:$BG997,10,),AX239="INDIRECT",VLOOKUP(AU239,'Primary - GRADING'!$A$4:$BG997,25,))</f>
        <v>#N/A</v>
      </c>
      <c r="BB239" s="153" t="str">
        <f t="shared" si="10"/>
        <v>#N/A</v>
      </c>
      <c r="BE239" s="153" t="str">
        <f t="shared" si="11"/>
        <v/>
      </c>
      <c r="BG239" s="153" t="str">
        <f t="shared" si="12"/>
        <v>#N/A</v>
      </c>
      <c r="BI239" s="153" t="str">
        <f t="shared" si="13"/>
        <v>#N/A</v>
      </c>
      <c r="BK239" s="153" t="str">
        <f t="shared" si="14"/>
        <v>#N/A</v>
      </c>
      <c r="BM239" s="153" t="str">
        <f t="shared" si="15"/>
        <v>#N/A</v>
      </c>
    </row>
    <row r="240" ht="15.75" customHeight="1">
      <c r="B240" s="160" t="str">
        <f t="shared" si="1"/>
        <v>#N/A</v>
      </c>
      <c r="C240" s="160" t="str">
        <f t="shared" si="2"/>
        <v>#N/A</v>
      </c>
      <c r="D240" s="160" t="str">
        <f t="shared" si="3"/>
        <v>#N/A</v>
      </c>
      <c r="E240" s="161" t="str">
        <f t="shared" si="4"/>
        <v>#N/A</v>
      </c>
      <c r="F240" s="153" t="str">
        <f t="shared" si="17"/>
        <v>#N/A</v>
      </c>
      <c r="G240" s="153" t="str">
        <f t="shared" si="6"/>
        <v>#N/A</v>
      </c>
      <c r="H240" s="156" t="str">
        <f t="array" ref="H240">INDEX('Primary - GRADING'!$A$1:$BG997,MATCH($A240,'Primary - GRADING'!$B:$B,0),59)</f>
        <v>#N/A</v>
      </c>
      <c r="I240" s="153" t="str">
        <f t="array" ref="I240">INDEX('Primary - GRADING'!$A$1:$CP997,MATCH($A240,'Primary - GRADING'!$CP:$CP,0),48)</f>
        <v>#N/A</v>
      </c>
      <c r="J240" s="153" t="str">
        <f t="array" ref="J240">INDEX('Primary - GRADING'!$A$1:$CP997,MATCH($A240,'Primary - GRADING'!$CP:$CP,0),49)</f>
        <v>#N/A</v>
      </c>
      <c r="K240" s="153" t="str">
        <f t="array" ref="K240">INDEX('Primary - GRADING'!$A$1:$CP997,MATCH($A240,'Primary - GRADING'!$CP:$CP,0),50)</f>
        <v>#N/A</v>
      </c>
      <c r="L240" s="153" t="str">
        <f t="array" ref="L240">INDEX('Primary - GRADING'!$A$1:$CP997,MATCH($A240,'Primary - GRADING'!$CP:$CP,0),51)</f>
        <v>#N/A</v>
      </c>
      <c r="M240" s="153" t="str">
        <f t="array" ref="M240">INDEX('Primary - GRADING'!$A$1:$CP997,MATCH($A240,'Primary - GRADING'!$CP:$CP,0),52)</f>
        <v>#N/A</v>
      </c>
      <c r="N240" s="153" t="str">
        <f t="array" ref="N240">INDEX('Primary - GRADING'!$A$1:$CP997,MATCH($A240,'Primary - GRADING'!$CP:$CP,0),53)</f>
        <v>#N/A</v>
      </c>
      <c r="O240" s="153" t="str">
        <f t="array" ref="O240">INDEX('Primary - GRADING'!$A$1:$CP997,MATCH($A240,'Primary - GRADING'!$CP:$CP,0),58)</f>
        <v>#N/A</v>
      </c>
      <c r="P240" s="153" t="str">
        <f t="array" ref="P240">INDEX('Primary - GRADING'!$A$1:$CP997,MATCH($A240,'Primary - GRADING'!$CP:$CP,0),5)</f>
        <v>#N/A</v>
      </c>
      <c r="Q240" s="153" t="str">
        <f t="array" ref="Q240">INDEX('Primary - GRADING'!$A$1:$CP997,MATCH($A240,'Primary - GRADING'!$CP:$CP,0),6)</f>
        <v>#N/A</v>
      </c>
      <c r="R240" s="153" t="str">
        <f t="array" ref="R240">INDEX('Primary - GRADING'!$A$1:$CP997,MATCH($A240,'Primary - GRADING'!$CP:$CP,0),7)</f>
        <v>#N/A</v>
      </c>
      <c r="S240" s="153" t="str">
        <f t="array" ref="S240">INDEX('Primary - GRADING'!$A$1:$CP997,MATCH($A240,'Primary - GRADING'!$CP:$CP,0),8)</f>
        <v>#N/A</v>
      </c>
      <c r="T240" s="153" t="str">
        <f t="array" ref="T240">INDEX('Primary - GRADING'!$A$1:$CP997,MATCH($A240,'Primary - GRADING'!$CP:$CP,0),9)</f>
        <v>#N/A</v>
      </c>
      <c r="U240" s="153" t="str">
        <f t="array" ref="U240">INDEX('Primary - GRADING'!$A$1:$CP997,MATCH($A240,'Primary - GRADING'!$CP:$CP,0),10)</f>
        <v>#N/A</v>
      </c>
      <c r="V240" s="153" t="str">
        <f t="array" ref="V240">INDEX('Primary - GRADING'!$A$1:$CP997,MATCH($A240,'Primary - GRADING'!$CP:$CP,0),18)</f>
        <v>#N/A</v>
      </c>
      <c r="W240" s="153" t="str">
        <f t="array" ref="W240">INDEX('Primary - GRADING'!$A$1:$CP997,MATCH($A240,'Primary - GRADING'!$CP:$CP,0),20)</f>
        <v>#N/A</v>
      </c>
      <c r="X240" s="153" t="str">
        <f t="array" ref="X240">INDEX('Primary - GRADING'!$A$1:$CP997,MATCH($A240,'Primary - GRADING'!$CP:$CP,0),21)</f>
        <v>#N/A</v>
      </c>
      <c r="Y240" s="153" t="str">
        <f t="array" ref="Y240">INDEX('Primary - GRADING'!$A$1:$CP997,MATCH($A240,'Primary - GRADING'!$CP:$CP,0),22)</f>
        <v>#N/A</v>
      </c>
      <c r="Z240" s="165" t="str">
        <f t="array" ref="Z240">INDEX('Primary - GRADING'!$A$1:$CP997,MATCH($A240,'Primary - GRADING'!$CP:$CP,0),23)</f>
        <v>#N/A</v>
      </c>
      <c r="AA240" s="153" t="str">
        <f t="array" ref="AA240">INDEX('Primary - GRADING'!$A$1:$CP997,MATCH($A240,'Primary - GRADING'!$CP:$CP,0),24)</f>
        <v>#N/A</v>
      </c>
      <c r="AB240" s="153" t="str">
        <f t="array" ref="AB240">INDEX('Primary - GRADING'!$A$1:$CP997,MATCH($A240,'Primary - GRADING'!$CP:$CP,0),25)</f>
        <v>#N/A</v>
      </c>
      <c r="AC240" s="153" t="str">
        <f t="array" ref="AC240">INDEX('Primary - GRADING'!$A$1:$CP997,MATCH($A240,'Primary - GRADING'!$CP:$CP,0),46)</f>
        <v>#N/A</v>
      </c>
      <c r="AG240" s="153" t="str">
        <f t="shared" si="7"/>
        <v>#N/A</v>
      </c>
      <c r="AI240" s="153" t="str">
        <f>VLOOKUP(AH240,'Primary - GRADING'!$A$4:$C997,2,)</f>
        <v>#N/A</v>
      </c>
      <c r="AJ240" s="153" t="str">
        <f>VLOOKUP(AH240,'Primary - GRADING'!$A$4:$C997,3,)</f>
        <v>#N/A</v>
      </c>
      <c r="AK240" s="153" t="str">
        <f>VLOOKUP(AH240,'Primary - GRADING'!$A$4:$BG997,59,)</f>
        <v>#N/A</v>
      </c>
      <c r="AL240" s="153" t="str">
        <f>IFS(AK240="NMA",VLOOKUP(AH240,'Primary - GRADING'!$A$4:$BG997,51,),AK240="DIRECT",VLOOKUP(AH240,'Primary - GRADING'!$A$4:$BG997,8,),AK240="INDIRECT",VLOOKUP(AH240,'Primary - GRADING'!$A$4:$BG997,23,))</f>
        <v>#N/A</v>
      </c>
      <c r="AM240" s="153" t="str">
        <f>IFS(AK240="NMA",VLOOKUP(AH240,'Primary - GRADING'!$A$4:$BG997,52,),AK240="DIRECT",VLOOKUP(AH240,'Primary - GRADING'!$A$4:$BG997,9,),AK240="INDIRECT",VLOOKUP(AH240,'Primary - GRADING'!$A$4:$BG997,24,))</f>
        <v>#N/A</v>
      </c>
      <c r="AN240" s="153" t="str">
        <f>IFS(AK240="NMA",VLOOKUP(AH240,'Primary - GRADING'!$A$4:$BG997,53,),AK240="DIRECT",VLOOKUP(AH240,'Primary - GRADING'!$A$4:$BG997,10,),AK240="INDIRECT",VLOOKUP(AH240,'Primary - GRADING'!$A$4:$BG997,25,))</f>
        <v>#N/A</v>
      </c>
      <c r="AO240" s="153" t="str">
        <f t="shared" si="8"/>
        <v>#N/A</v>
      </c>
      <c r="AT240" s="153" t="str">
        <f t="shared" si="9"/>
        <v>#N/A</v>
      </c>
      <c r="AV240" s="153" t="str">
        <f>VLOOKUP(AU240,'Primary - GRADING'!$A$4:$C997,2,)</f>
        <v>#N/A</v>
      </c>
      <c r="AW240" s="153" t="str">
        <f>VLOOKUP(AU240,'Primary - GRADING'!$A$4:$C997,3,)</f>
        <v>#N/A</v>
      </c>
      <c r="AX240" s="153" t="str">
        <f>VLOOKUP(AU240,'Primary - GRADING'!$A$4:$BG997,59,)</f>
        <v>#N/A</v>
      </c>
      <c r="AY240" s="153" t="str">
        <f>IFS(AX240="NMA",VLOOKUP(AU240,'Primary - GRADING'!$A$4:$BG997,51,),AX240="DIRECT",VLOOKUP(AU240,'Primary - GRADING'!$A$4:$BG997,8,),AX240="INDIRECT",VLOOKUP(AU240,'Primary - GRADING'!$A$4:$BG997,23,))</f>
        <v>#N/A</v>
      </c>
      <c r="AZ240" s="153" t="str">
        <f>IFS(AX240="NMA",VLOOKUP(AU240,'Primary - GRADING'!$A$4:$BG997,52,),AX240="DIRECT",VLOOKUP(AU240,'Primary - GRADING'!$A$4:$BG997,9,),AX240="INDIRECT",VLOOKUP(AU240,'Primary - GRADING'!$A$4:$BG997,24,))</f>
        <v>#N/A</v>
      </c>
      <c r="BA240" s="153" t="str">
        <f>IFS(AX240="NMA",VLOOKUP(AU240,'Primary - GRADING'!$A$4:$BG997,53,),AX240="DIRECT",VLOOKUP(AU240,'Primary - GRADING'!$A$4:$BG997,10,),AX240="INDIRECT",VLOOKUP(AU240,'Primary - GRADING'!$A$4:$BG997,25,))</f>
        <v>#N/A</v>
      </c>
      <c r="BB240" s="153" t="str">
        <f t="shared" si="10"/>
        <v>#N/A</v>
      </c>
      <c r="BE240" s="153" t="str">
        <f t="shared" si="11"/>
        <v/>
      </c>
      <c r="BG240" s="153" t="str">
        <f t="shared" si="12"/>
        <v>#N/A</v>
      </c>
      <c r="BI240" s="153" t="str">
        <f t="shared" si="13"/>
        <v>#N/A</v>
      </c>
      <c r="BK240" s="153" t="str">
        <f t="shared" si="14"/>
        <v>#N/A</v>
      </c>
      <c r="BM240" s="153" t="str">
        <f t="shared" si="15"/>
        <v>#N/A</v>
      </c>
    </row>
    <row r="241" ht="15.75" customHeight="1">
      <c r="B241" s="160" t="str">
        <f t="shared" si="1"/>
        <v>#N/A</v>
      </c>
      <c r="C241" s="160" t="str">
        <f t="shared" si="2"/>
        <v>#N/A</v>
      </c>
      <c r="D241" s="160" t="str">
        <f t="shared" si="3"/>
        <v>#N/A</v>
      </c>
      <c r="E241" s="161" t="str">
        <f t="shared" si="4"/>
        <v>#N/A</v>
      </c>
      <c r="F241" s="153" t="str">
        <f t="shared" si="17"/>
        <v>#N/A</v>
      </c>
      <c r="G241" s="153" t="str">
        <f t="shared" si="6"/>
        <v>#N/A</v>
      </c>
      <c r="H241" s="156" t="str">
        <f t="array" ref="H241">INDEX('Primary - GRADING'!$A$1:$BG997,MATCH($A241,'Primary - GRADING'!$B:$B,0),59)</f>
        <v>#N/A</v>
      </c>
      <c r="I241" s="153" t="str">
        <f t="array" ref="I241">INDEX('Primary - GRADING'!$A$1:$CP997,MATCH($A241,'Primary - GRADING'!$CP:$CP,0),48)</f>
        <v>#N/A</v>
      </c>
      <c r="J241" s="153" t="str">
        <f t="array" ref="J241">INDEX('Primary - GRADING'!$A$1:$CP997,MATCH($A241,'Primary - GRADING'!$CP:$CP,0),49)</f>
        <v>#N/A</v>
      </c>
      <c r="K241" s="153" t="str">
        <f t="array" ref="K241">INDEX('Primary - GRADING'!$A$1:$CP997,MATCH($A241,'Primary - GRADING'!$CP:$CP,0),50)</f>
        <v>#N/A</v>
      </c>
      <c r="L241" s="153" t="str">
        <f t="array" ref="L241">INDEX('Primary - GRADING'!$A$1:$CP997,MATCH($A241,'Primary - GRADING'!$CP:$CP,0),51)</f>
        <v>#N/A</v>
      </c>
      <c r="M241" s="153" t="str">
        <f t="array" ref="M241">INDEX('Primary - GRADING'!$A$1:$CP997,MATCH($A241,'Primary - GRADING'!$CP:$CP,0),52)</f>
        <v>#N/A</v>
      </c>
      <c r="N241" s="153" t="str">
        <f t="array" ref="N241">INDEX('Primary - GRADING'!$A$1:$CP997,MATCH($A241,'Primary - GRADING'!$CP:$CP,0),53)</f>
        <v>#N/A</v>
      </c>
      <c r="O241" s="153" t="str">
        <f t="array" ref="O241">INDEX('Primary - GRADING'!$A$1:$CP997,MATCH($A241,'Primary - GRADING'!$CP:$CP,0),58)</f>
        <v>#N/A</v>
      </c>
      <c r="P241" s="153" t="str">
        <f t="array" ref="P241">INDEX('Primary - GRADING'!$A$1:$CP997,MATCH($A241,'Primary - GRADING'!$CP:$CP,0),5)</f>
        <v>#N/A</v>
      </c>
      <c r="Q241" s="153" t="str">
        <f t="array" ref="Q241">INDEX('Primary - GRADING'!$A$1:$CP997,MATCH($A241,'Primary - GRADING'!$CP:$CP,0),6)</f>
        <v>#N/A</v>
      </c>
      <c r="R241" s="153" t="str">
        <f t="array" ref="R241">INDEX('Primary - GRADING'!$A$1:$CP997,MATCH($A241,'Primary - GRADING'!$CP:$CP,0),7)</f>
        <v>#N/A</v>
      </c>
      <c r="S241" s="153" t="str">
        <f t="array" ref="S241">INDEX('Primary - GRADING'!$A$1:$CP997,MATCH($A241,'Primary - GRADING'!$CP:$CP,0),8)</f>
        <v>#N/A</v>
      </c>
      <c r="T241" s="153" t="str">
        <f t="array" ref="T241">INDEX('Primary - GRADING'!$A$1:$CP997,MATCH($A241,'Primary - GRADING'!$CP:$CP,0),9)</f>
        <v>#N/A</v>
      </c>
      <c r="U241" s="153" t="str">
        <f t="array" ref="U241">INDEX('Primary - GRADING'!$A$1:$CP997,MATCH($A241,'Primary - GRADING'!$CP:$CP,0),10)</f>
        <v>#N/A</v>
      </c>
      <c r="V241" s="153" t="str">
        <f t="array" ref="V241">INDEX('Primary - GRADING'!$A$1:$CP997,MATCH($A241,'Primary - GRADING'!$CP:$CP,0),18)</f>
        <v>#N/A</v>
      </c>
      <c r="W241" s="153" t="str">
        <f t="array" ref="W241">INDEX('Primary - GRADING'!$A$1:$CP997,MATCH($A241,'Primary - GRADING'!$CP:$CP,0),20)</f>
        <v>#N/A</v>
      </c>
      <c r="X241" s="153" t="str">
        <f t="array" ref="X241">INDEX('Primary - GRADING'!$A$1:$CP997,MATCH($A241,'Primary - GRADING'!$CP:$CP,0),21)</f>
        <v>#N/A</v>
      </c>
      <c r="Y241" s="153" t="str">
        <f t="array" ref="Y241">INDEX('Primary - GRADING'!$A$1:$CP997,MATCH($A241,'Primary - GRADING'!$CP:$CP,0),22)</f>
        <v>#N/A</v>
      </c>
      <c r="Z241" s="165" t="str">
        <f t="array" ref="Z241">INDEX('Primary - GRADING'!$A$1:$CP997,MATCH($A241,'Primary - GRADING'!$CP:$CP,0),23)</f>
        <v>#N/A</v>
      </c>
      <c r="AA241" s="153" t="str">
        <f t="array" ref="AA241">INDEX('Primary - GRADING'!$A$1:$CP997,MATCH($A241,'Primary - GRADING'!$CP:$CP,0),24)</f>
        <v>#N/A</v>
      </c>
      <c r="AB241" s="153" t="str">
        <f t="array" ref="AB241">INDEX('Primary - GRADING'!$A$1:$CP997,MATCH($A241,'Primary - GRADING'!$CP:$CP,0),25)</f>
        <v>#N/A</v>
      </c>
      <c r="AC241" s="153" t="str">
        <f t="array" ref="AC241">INDEX('Primary - GRADING'!$A$1:$CP997,MATCH($A241,'Primary - GRADING'!$CP:$CP,0),46)</f>
        <v>#N/A</v>
      </c>
      <c r="AG241" s="153" t="str">
        <f t="shared" si="7"/>
        <v>#N/A</v>
      </c>
      <c r="AI241" s="153" t="str">
        <f>VLOOKUP(AH241,'Primary - GRADING'!$A$4:$C997,2,)</f>
        <v>#N/A</v>
      </c>
      <c r="AJ241" s="153" t="str">
        <f>VLOOKUP(AH241,'Primary - GRADING'!$A$4:$C997,3,)</f>
        <v>#N/A</v>
      </c>
      <c r="AK241" s="153" t="str">
        <f>VLOOKUP(AH241,'Primary - GRADING'!$A$4:$BG997,59,)</f>
        <v>#N/A</v>
      </c>
      <c r="AL241" s="153" t="str">
        <f>IFS(AK241="NMA",VLOOKUP(AH241,'Primary - GRADING'!$A$4:$BG997,51,),AK241="DIRECT",VLOOKUP(AH241,'Primary - GRADING'!$A$4:$BG997,8,),AK241="INDIRECT",VLOOKUP(AH241,'Primary - GRADING'!$A$4:$BG997,23,))</f>
        <v>#N/A</v>
      </c>
      <c r="AM241" s="153" t="str">
        <f>IFS(AK241="NMA",VLOOKUP(AH241,'Primary - GRADING'!$A$4:$BG997,52,),AK241="DIRECT",VLOOKUP(AH241,'Primary - GRADING'!$A$4:$BG997,9,),AK241="INDIRECT",VLOOKUP(AH241,'Primary - GRADING'!$A$4:$BG997,24,))</f>
        <v>#N/A</v>
      </c>
      <c r="AN241" s="153" t="str">
        <f>IFS(AK241="NMA",VLOOKUP(AH241,'Primary - GRADING'!$A$4:$BG997,53,),AK241="DIRECT",VLOOKUP(AH241,'Primary - GRADING'!$A$4:$BG997,10,),AK241="INDIRECT",VLOOKUP(AH241,'Primary - GRADING'!$A$4:$BG997,25,))</f>
        <v>#N/A</v>
      </c>
      <c r="AO241" s="153" t="str">
        <f t="shared" si="8"/>
        <v>#N/A</v>
      </c>
      <c r="AT241" s="153" t="str">
        <f t="shared" si="9"/>
        <v>#N/A</v>
      </c>
      <c r="AV241" s="153" t="str">
        <f>VLOOKUP(AU241,'Primary - GRADING'!$A$4:$C997,2,)</f>
        <v>#N/A</v>
      </c>
      <c r="AW241" s="153" t="str">
        <f>VLOOKUP(AU241,'Primary - GRADING'!$A$4:$C997,3,)</f>
        <v>#N/A</v>
      </c>
      <c r="AX241" s="153" t="str">
        <f>VLOOKUP(AU241,'Primary - GRADING'!$A$4:$BG997,59,)</f>
        <v>#N/A</v>
      </c>
      <c r="AY241" s="153" t="str">
        <f>IFS(AX241="NMA",VLOOKUP(AU241,'Primary - GRADING'!$A$4:$BG997,51,),AX241="DIRECT",VLOOKUP(AU241,'Primary - GRADING'!$A$4:$BG997,8,),AX241="INDIRECT",VLOOKUP(AU241,'Primary - GRADING'!$A$4:$BG997,23,))</f>
        <v>#N/A</v>
      </c>
      <c r="AZ241" s="153" t="str">
        <f>IFS(AX241="NMA",VLOOKUP(AU241,'Primary - GRADING'!$A$4:$BG997,52,),AX241="DIRECT",VLOOKUP(AU241,'Primary - GRADING'!$A$4:$BG997,9,),AX241="INDIRECT",VLOOKUP(AU241,'Primary - GRADING'!$A$4:$BG997,24,))</f>
        <v>#N/A</v>
      </c>
      <c r="BA241" s="153" t="str">
        <f>IFS(AX241="NMA",VLOOKUP(AU241,'Primary - GRADING'!$A$4:$BG997,53,),AX241="DIRECT",VLOOKUP(AU241,'Primary - GRADING'!$A$4:$BG997,10,),AX241="INDIRECT",VLOOKUP(AU241,'Primary - GRADING'!$A$4:$BG997,25,))</f>
        <v>#N/A</v>
      </c>
      <c r="BB241" s="153" t="str">
        <f t="shared" si="10"/>
        <v>#N/A</v>
      </c>
      <c r="BE241" s="153" t="str">
        <f t="shared" si="11"/>
        <v/>
      </c>
      <c r="BG241" s="153" t="str">
        <f t="shared" si="12"/>
        <v>#N/A</v>
      </c>
      <c r="BI241" s="153" t="str">
        <f t="shared" si="13"/>
        <v>#N/A</v>
      </c>
      <c r="BK241" s="153" t="str">
        <f t="shared" si="14"/>
        <v>#N/A</v>
      </c>
      <c r="BM241" s="153" t="str">
        <f t="shared" si="15"/>
        <v>#N/A</v>
      </c>
    </row>
    <row r="242" ht="15.75" customHeight="1">
      <c r="B242" s="160" t="str">
        <f t="shared" si="1"/>
        <v>#N/A</v>
      </c>
      <c r="C242" s="160" t="str">
        <f t="shared" si="2"/>
        <v>#N/A</v>
      </c>
      <c r="D242" s="160" t="str">
        <f t="shared" si="3"/>
        <v>#N/A</v>
      </c>
      <c r="E242" s="161" t="str">
        <f t="shared" si="4"/>
        <v>#N/A</v>
      </c>
      <c r="F242" s="153" t="str">
        <f t="shared" si="17"/>
        <v>#N/A</v>
      </c>
      <c r="G242" s="153" t="str">
        <f t="shared" si="6"/>
        <v>#N/A</v>
      </c>
      <c r="H242" s="156" t="str">
        <f t="array" ref="H242">INDEX('Primary - GRADING'!$A$1:$BG997,MATCH($A242,'Primary - GRADING'!$B:$B,0),59)</f>
        <v>#N/A</v>
      </c>
      <c r="I242" s="153" t="str">
        <f t="array" ref="I242">INDEX('Primary - GRADING'!$A$1:$CP997,MATCH($A242,'Primary - GRADING'!$CP:$CP,0),48)</f>
        <v>#N/A</v>
      </c>
      <c r="J242" s="153" t="str">
        <f t="array" ref="J242">INDEX('Primary - GRADING'!$A$1:$CP997,MATCH($A242,'Primary - GRADING'!$CP:$CP,0),49)</f>
        <v>#N/A</v>
      </c>
      <c r="K242" s="153" t="str">
        <f t="array" ref="K242">INDEX('Primary - GRADING'!$A$1:$CP997,MATCH($A242,'Primary - GRADING'!$CP:$CP,0),50)</f>
        <v>#N/A</v>
      </c>
      <c r="L242" s="153" t="str">
        <f t="array" ref="L242">INDEX('Primary - GRADING'!$A$1:$CP997,MATCH($A242,'Primary - GRADING'!$CP:$CP,0),51)</f>
        <v>#N/A</v>
      </c>
      <c r="M242" s="153" t="str">
        <f t="array" ref="M242">INDEX('Primary - GRADING'!$A$1:$CP997,MATCH($A242,'Primary - GRADING'!$CP:$CP,0),52)</f>
        <v>#N/A</v>
      </c>
      <c r="N242" s="153" t="str">
        <f t="array" ref="N242">INDEX('Primary - GRADING'!$A$1:$CP997,MATCH($A242,'Primary - GRADING'!$CP:$CP,0),53)</f>
        <v>#N/A</v>
      </c>
      <c r="O242" s="153" t="str">
        <f t="array" ref="O242">INDEX('Primary - GRADING'!$A$1:$CP997,MATCH($A242,'Primary - GRADING'!$CP:$CP,0),58)</f>
        <v>#N/A</v>
      </c>
      <c r="P242" s="153" t="str">
        <f t="array" ref="P242">INDEX('Primary - GRADING'!$A$1:$CP997,MATCH($A242,'Primary - GRADING'!$CP:$CP,0),5)</f>
        <v>#N/A</v>
      </c>
      <c r="Q242" s="153" t="str">
        <f t="array" ref="Q242">INDEX('Primary - GRADING'!$A$1:$CP997,MATCH($A242,'Primary - GRADING'!$CP:$CP,0),6)</f>
        <v>#N/A</v>
      </c>
      <c r="R242" s="153" t="str">
        <f t="array" ref="R242">INDEX('Primary - GRADING'!$A$1:$CP997,MATCH($A242,'Primary - GRADING'!$CP:$CP,0),7)</f>
        <v>#N/A</v>
      </c>
      <c r="S242" s="153" t="str">
        <f t="array" ref="S242">INDEX('Primary - GRADING'!$A$1:$CP997,MATCH($A242,'Primary - GRADING'!$CP:$CP,0),8)</f>
        <v>#N/A</v>
      </c>
      <c r="T242" s="153" t="str">
        <f t="array" ref="T242">INDEX('Primary - GRADING'!$A$1:$CP997,MATCH($A242,'Primary - GRADING'!$CP:$CP,0),9)</f>
        <v>#N/A</v>
      </c>
      <c r="U242" s="153" t="str">
        <f t="array" ref="U242">INDEX('Primary - GRADING'!$A$1:$CP997,MATCH($A242,'Primary - GRADING'!$CP:$CP,0),10)</f>
        <v>#N/A</v>
      </c>
      <c r="V242" s="153" t="str">
        <f t="array" ref="V242">INDEX('Primary - GRADING'!$A$1:$CP997,MATCH($A242,'Primary - GRADING'!$CP:$CP,0),18)</f>
        <v>#N/A</v>
      </c>
      <c r="W242" s="153" t="str">
        <f t="array" ref="W242">INDEX('Primary - GRADING'!$A$1:$CP997,MATCH($A242,'Primary - GRADING'!$CP:$CP,0),20)</f>
        <v>#N/A</v>
      </c>
      <c r="X242" s="153" t="str">
        <f t="array" ref="X242">INDEX('Primary - GRADING'!$A$1:$CP997,MATCH($A242,'Primary - GRADING'!$CP:$CP,0),21)</f>
        <v>#N/A</v>
      </c>
      <c r="Y242" s="153" t="str">
        <f t="array" ref="Y242">INDEX('Primary - GRADING'!$A$1:$CP997,MATCH($A242,'Primary - GRADING'!$CP:$CP,0),22)</f>
        <v>#N/A</v>
      </c>
      <c r="Z242" s="165" t="str">
        <f t="array" ref="Z242">INDEX('Primary - GRADING'!$A$1:$CP997,MATCH($A242,'Primary - GRADING'!$CP:$CP,0),23)</f>
        <v>#N/A</v>
      </c>
      <c r="AA242" s="153" t="str">
        <f t="array" ref="AA242">INDEX('Primary - GRADING'!$A$1:$CP997,MATCH($A242,'Primary - GRADING'!$CP:$CP,0),24)</f>
        <v>#N/A</v>
      </c>
      <c r="AB242" s="153" t="str">
        <f t="array" ref="AB242">INDEX('Primary - GRADING'!$A$1:$CP997,MATCH($A242,'Primary - GRADING'!$CP:$CP,0),25)</f>
        <v>#N/A</v>
      </c>
      <c r="AC242" s="153" t="str">
        <f t="array" ref="AC242">INDEX('Primary - GRADING'!$A$1:$CP997,MATCH($A242,'Primary - GRADING'!$CP:$CP,0),46)</f>
        <v>#N/A</v>
      </c>
      <c r="AG242" s="153" t="str">
        <f t="shared" si="7"/>
        <v>#N/A</v>
      </c>
      <c r="AI242" s="153" t="str">
        <f>VLOOKUP(AH242,'Primary - GRADING'!$A$4:$C997,2,)</f>
        <v>#N/A</v>
      </c>
      <c r="AJ242" s="153" t="str">
        <f>VLOOKUP(AH242,'Primary - GRADING'!$A$4:$C997,3,)</f>
        <v>#N/A</v>
      </c>
      <c r="AK242" s="153" t="str">
        <f>VLOOKUP(AH242,'Primary - GRADING'!$A$4:$BG997,59,)</f>
        <v>#N/A</v>
      </c>
      <c r="AL242" s="153" t="str">
        <f>IFS(AK242="NMA",VLOOKUP(AH242,'Primary - GRADING'!$A$4:$BG997,51,),AK242="DIRECT",VLOOKUP(AH242,'Primary - GRADING'!$A$4:$BG997,8,),AK242="INDIRECT",VLOOKUP(AH242,'Primary - GRADING'!$A$4:$BG997,23,))</f>
        <v>#N/A</v>
      </c>
      <c r="AM242" s="153" t="str">
        <f>IFS(AK242="NMA",VLOOKUP(AH242,'Primary - GRADING'!$A$4:$BG997,52,),AK242="DIRECT",VLOOKUP(AH242,'Primary - GRADING'!$A$4:$BG997,9,),AK242="INDIRECT",VLOOKUP(AH242,'Primary - GRADING'!$A$4:$BG997,24,))</f>
        <v>#N/A</v>
      </c>
      <c r="AN242" s="153" t="str">
        <f>IFS(AK242="NMA",VLOOKUP(AH242,'Primary - GRADING'!$A$4:$BG997,53,),AK242="DIRECT",VLOOKUP(AH242,'Primary - GRADING'!$A$4:$BG997,10,),AK242="INDIRECT",VLOOKUP(AH242,'Primary - GRADING'!$A$4:$BG997,25,))</f>
        <v>#N/A</v>
      </c>
      <c r="AO242" s="153" t="str">
        <f t="shared" si="8"/>
        <v>#N/A</v>
      </c>
      <c r="AT242" s="153" t="str">
        <f t="shared" si="9"/>
        <v>#N/A</v>
      </c>
      <c r="AV242" s="153" t="str">
        <f>VLOOKUP(AU242,'Primary - GRADING'!$A$4:$C997,2,)</f>
        <v>#N/A</v>
      </c>
      <c r="AW242" s="153" t="str">
        <f>VLOOKUP(AU242,'Primary - GRADING'!$A$4:$C997,3,)</f>
        <v>#N/A</v>
      </c>
      <c r="AX242" s="153" t="str">
        <f>VLOOKUP(AU242,'Primary - GRADING'!$A$4:$BG997,59,)</f>
        <v>#N/A</v>
      </c>
      <c r="AY242" s="153" t="str">
        <f>IFS(AX242="NMA",VLOOKUP(AU242,'Primary - GRADING'!$A$4:$BG997,51,),AX242="DIRECT",VLOOKUP(AU242,'Primary - GRADING'!$A$4:$BG997,8,),AX242="INDIRECT",VLOOKUP(AU242,'Primary - GRADING'!$A$4:$BG997,23,))</f>
        <v>#N/A</v>
      </c>
      <c r="AZ242" s="153" t="str">
        <f>IFS(AX242="NMA",VLOOKUP(AU242,'Primary - GRADING'!$A$4:$BG997,52,),AX242="DIRECT",VLOOKUP(AU242,'Primary - GRADING'!$A$4:$BG997,9,),AX242="INDIRECT",VLOOKUP(AU242,'Primary - GRADING'!$A$4:$BG997,24,))</f>
        <v>#N/A</v>
      </c>
      <c r="BA242" s="153" t="str">
        <f>IFS(AX242="NMA",VLOOKUP(AU242,'Primary - GRADING'!$A$4:$BG997,53,),AX242="DIRECT",VLOOKUP(AU242,'Primary - GRADING'!$A$4:$BG997,10,),AX242="INDIRECT",VLOOKUP(AU242,'Primary - GRADING'!$A$4:$BG997,25,))</f>
        <v>#N/A</v>
      </c>
      <c r="BB242" s="153" t="str">
        <f t="shared" si="10"/>
        <v>#N/A</v>
      </c>
      <c r="BE242" s="153" t="str">
        <f t="shared" si="11"/>
        <v/>
      </c>
      <c r="BG242" s="153" t="str">
        <f t="shared" si="12"/>
        <v>#N/A</v>
      </c>
      <c r="BI242" s="153" t="str">
        <f t="shared" si="13"/>
        <v>#N/A</v>
      </c>
      <c r="BK242" s="153" t="str">
        <f t="shared" si="14"/>
        <v>#N/A</v>
      </c>
      <c r="BM242" s="153" t="str">
        <f t="shared" si="15"/>
        <v>#N/A</v>
      </c>
    </row>
    <row r="243" ht="15.75" customHeight="1">
      <c r="B243" s="160" t="str">
        <f t="shared" si="1"/>
        <v>#N/A</v>
      </c>
      <c r="C243" s="160" t="str">
        <f t="shared" si="2"/>
        <v>#N/A</v>
      </c>
      <c r="D243" s="160" t="str">
        <f t="shared" si="3"/>
        <v>#N/A</v>
      </c>
      <c r="E243" s="161" t="str">
        <f t="shared" si="4"/>
        <v>#N/A</v>
      </c>
      <c r="F243" s="153" t="str">
        <f t="shared" si="17"/>
        <v>#N/A</v>
      </c>
      <c r="G243" s="153" t="str">
        <f t="shared" si="6"/>
        <v>#N/A</v>
      </c>
      <c r="H243" s="156" t="str">
        <f t="array" ref="H243">INDEX('Primary - GRADING'!$A$1:$BG997,MATCH($A243,'Primary - GRADING'!$B:$B,0),59)</f>
        <v>#N/A</v>
      </c>
      <c r="I243" s="153" t="str">
        <f t="array" ref="I243">INDEX('Primary - GRADING'!$A$1:$CP997,MATCH($A243,'Primary - GRADING'!$CP:$CP,0),48)</f>
        <v>#N/A</v>
      </c>
      <c r="J243" s="153" t="str">
        <f t="array" ref="J243">INDEX('Primary - GRADING'!$A$1:$CP997,MATCH($A243,'Primary - GRADING'!$CP:$CP,0),49)</f>
        <v>#N/A</v>
      </c>
      <c r="K243" s="153" t="str">
        <f t="array" ref="K243">INDEX('Primary - GRADING'!$A$1:$CP997,MATCH($A243,'Primary - GRADING'!$CP:$CP,0),50)</f>
        <v>#N/A</v>
      </c>
      <c r="L243" s="153" t="str">
        <f t="array" ref="L243">INDEX('Primary - GRADING'!$A$1:$CP997,MATCH($A243,'Primary - GRADING'!$CP:$CP,0),51)</f>
        <v>#N/A</v>
      </c>
      <c r="M243" s="153" t="str">
        <f t="array" ref="M243">INDEX('Primary - GRADING'!$A$1:$CP997,MATCH($A243,'Primary - GRADING'!$CP:$CP,0),52)</f>
        <v>#N/A</v>
      </c>
      <c r="N243" s="153" t="str">
        <f t="array" ref="N243">INDEX('Primary - GRADING'!$A$1:$CP997,MATCH($A243,'Primary - GRADING'!$CP:$CP,0),53)</f>
        <v>#N/A</v>
      </c>
      <c r="O243" s="153" t="str">
        <f t="array" ref="O243">INDEX('Primary - GRADING'!$A$1:$CP997,MATCH($A243,'Primary - GRADING'!$CP:$CP,0),58)</f>
        <v>#N/A</v>
      </c>
      <c r="P243" s="153" t="str">
        <f t="array" ref="P243">INDEX('Primary - GRADING'!$A$1:$CP997,MATCH($A243,'Primary - GRADING'!$CP:$CP,0),5)</f>
        <v>#N/A</v>
      </c>
      <c r="Q243" s="153" t="str">
        <f t="array" ref="Q243">INDEX('Primary - GRADING'!$A$1:$CP997,MATCH($A243,'Primary - GRADING'!$CP:$CP,0),6)</f>
        <v>#N/A</v>
      </c>
      <c r="R243" s="153" t="str">
        <f t="array" ref="R243">INDEX('Primary - GRADING'!$A$1:$CP997,MATCH($A243,'Primary - GRADING'!$CP:$CP,0),7)</f>
        <v>#N/A</v>
      </c>
      <c r="S243" s="153" t="str">
        <f t="array" ref="S243">INDEX('Primary - GRADING'!$A$1:$CP997,MATCH($A243,'Primary - GRADING'!$CP:$CP,0),8)</f>
        <v>#N/A</v>
      </c>
      <c r="T243" s="153" t="str">
        <f t="array" ref="T243">INDEX('Primary - GRADING'!$A$1:$CP997,MATCH($A243,'Primary - GRADING'!$CP:$CP,0),9)</f>
        <v>#N/A</v>
      </c>
      <c r="U243" s="153" t="str">
        <f t="array" ref="U243">INDEX('Primary - GRADING'!$A$1:$CP997,MATCH($A243,'Primary - GRADING'!$CP:$CP,0),10)</f>
        <v>#N/A</v>
      </c>
      <c r="V243" s="153" t="str">
        <f t="array" ref="V243">INDEX('Primary - GRADING'!$A$1:$CP997,MATCH($A243,'Primary - GRADING'!$CP:$CP,0),18)</f>
        <v>#N/A</v>
      </c>
      <c r="W243" s="153" t="str">
        <f t="array" ref="W243">INDEX('Primary - GRADING'!$A$1:$CP997,MATCH($A243,'Primary - GRADING'!$CP:$CP,0),20)</f>
        <v>#N/A</v>
      </c>
      <c r="X243" s="153" t="str">
        <f t="array" ref="X243">INDEX('Primary - GRADING'!$A$1:$CP997,MATCH($A243,'Primary - GRADING'!$CP:$CP,0),21)</f>
        <v>#N/A</v>
      </c>
      <c r="Y243" s="153" t="str">
        <f t="array" ref="Y243">INDEX('Primary - GRADING'!$A$1:$CP997,MATCH($A243,'Primary - GRADING'!$CP:$CP,0),22)</f>
        <v>#N/A</v>
      </c>
      <c r="Z243" s="165" t="str">
        <f t="array" ref="Z243">INDEX('Primary - GRADING'!$A$1:$CP997,MATCH($A243,'Primary - GRADING'!$CP:$CP,0),23)</f>
        <v>#N/A</v>
      </c>
      <c r="AA243" s="153" t="str">
        <f t="array" ref="AA243">INDEX('Primary - GRADING'!$A$1:$CP997,MATCH($A243,'Primary - GRADING'!$CP:$CP,0),24)</f>
        <v>#N/A</v>
      </c>
      <c r="AB243" s="153" t="str">
        <f t="array" ref="AB243">INDEX('Primary - GRADING'!$A$1:$CP997,MATCH($A243,'Primary - GRADING'!$CP:$CP,0),25)</f>
        <v>#N/A</v>
      </c>
      <c r="AC243" s="153" t="str">
        <f t="array" ref="AC243">INDEX('Primary - GRADING'!$A$1:$CP997,MATCH($A243,'Primary - GRADING'!$CP:$CP,0),46)</f>
        <v>#N/A</v>
      </c>
      <c r="AG243" s="153" t="str">
        <f t="shared" si="7"/>
        <v>#N/A</v>
      </c>
      <c r="AI243" s="153" t="str">
        <f>VLOOKUP(AH243,'Primary - GRADING'!$A$4:$C997,2,)</f>
        <v>#N/A</v>
      </c>
      <c r="AJ243" s="153" t="str">
        <f>VLOOKUP(AH243,'Primary - GRADING'!$A$4:$C997,3,)</f>
        <v>#N/A</v>
      </c>
      <c r="AK243" s="153" t="str">
        <f>VLOOKUP(AH243,'Primary - GRADING'!$A$4:$BG997,59,)</f>
        <v>#N/A</v>
      </c>
      <c r="AL243" s="153" t="str">
        <f>IFS(AK243="NMA",VLOOKUP(AH243,'Primary - GRADING'!$A$4:$BG997,51,),AK243="DIRECT",VLOOKUP(AH243,'Primary - GRADING'!$A$4:$BG997,8,),AK243="INDIRECT",VLOOKUP(AH243,'Primary - GRADING'!$A$4:$BG997,23,))</f>
        <v>#N/A</v>
      </c>
      <c r="AM243" s="153" t="str">
        <f>IFS(AK243="NMA",VLOOKUP(AH243,'Primary - GRADING'!$A$4:$BG997,52,),AK243="DIRECT",VLOOKUP(AH243,'Primary - GRADING'!$A$4:$BG997,9,),AK243="INDIRECT",VLOOKUP(AH243,'Primary - GRADING'!$A$4:$BG997,24,))</f>
        <v>#N/A</v>
      </c>
      <c r="AN243" s="153" t="str">
        <f>IFS(AK243="NMA",VLOOKUP(AH243,'Primary - GRADING'!$A$4:$BG997,53,),AK243="DIRECT",VLOOKUP(AH243,'Primary - GRADING'!$A$4:$BG997,10,),AK243="INDIRECT",VLOOKUP(AH243,'Primary - GRADING'!$A$4:$BG997,25,))</f>
        <v>#N/A</v>
      </c>
      <c r="AO243" s="153" t="str">
        <f t="shared" si="8"/>
        <v>#N/A</v>
      </c>
      <c r="AT243" s="153" t="str">
        <f t="shared" si="9"/>
        <v>#N/A</v>
      </c>
      <c r="AV243" s="153" t="str">
        <f>VLOOKUP(AU243,'Primary - GRADING'!$A$4:$C997,2,)</f>
        <v>#N/A</v>
      </c>
      <c r="AW243" s="153" t="str">
        <f>VLOOKUP(AU243,'Primary - GRADING'!$A$4:$C997,3,)</f>
        <v>#N/A</v>
      </c>
      <c r="AX243" s="153" t="str">
        <f>VLOOKUP(AU243,'Primary - GRADING'!$A$4:$BG997,59,)</f>
        <v>#N/A</v>
      </c>
      <c r="AY243" s="153" t="str">
        <f>IFS(AX243="NMA",VLOOKUP(AU243,'Primary - GRADING'!$A$4:$BG997,51,),AX243="DIRECT",VLOOKUP(AU243,'Primary - GRADING'!$A$4:$BG997,8,),AX243="INDIRECT",VLOOKUP(AU243,'Primary - GRADING'!$A$4:$BG997,23,))</f>
        <v>#N/A</v>
      </c>
      <c r="AZ243" s="153" t="str">
        <f>IFS(AX243="NMA",VLOOKUP(AU243,'Primary - GRADING'!$A$4:$BG997,52,),AX243="DIRECT",VLOOKUP(AU243,'Primary - GRADING'!$A$4:$BG997,9,),AX243="INDIRECT",VLOOKUP(AU243,'Primary - GRADING'!$A$4:$BG997,24,))</f>
        <v>#N/A</v>
      </c>
      <c r="BA243" s="153" t="str">
        <f>IFS(AX243="NMA",VLOOKUP(AU243,'Primary - GRADING'!$A$4:$BG997,53,),AX243="DIRECT",VLOOKUP(AU243,'Primary - GRADING'!$A$4:$BG997,10,),AX243="INDIRECT",VLOOKUP(AU243,'Primary - GRADING'!$A$4:$BG997,25,))</f>
        <v>#N/A</v>
      </c>
      <c r="BB243" s="153" t="str">
        <f t="shared" si="10"/>
        <v>#N/A</v>
      </c>
      <c r="BE243" s="153" t="str">
        <f t="shared" si="11"/>
        <v/>
      </c>
      <c r="BG243" s="153" t="str">
        <f t="shared" si="12"/>
        <v>#N/A</v>
      </c>
      <c r="BI243" s="153" t="str">
        <f t="shared" si="13"/>
        <v>#N/A</v>
      </c>
      <c r="BK243" s="153" t="str">
        <f t="shared" si="14"/>
        <v>#N/A</v>
      </c>
      <c r="BM243" s="153" t="str">
        <f t="shared" si="15"/>
        <v>#N/A</v>
      </c>
    </row>
    <row r="244" ht="15.75" customHeight="1">
      <c r="B244" s="160" t="str">
        <f t="shared" si="1"/>
        <v>#N/A</v>
      </c>
      <c r="C244" s="160" t="str">
        <f t="shared" si="2"/>
        <v>#N/A</v>
      </c>
      <c r="D244" s="160" t="str">
        <f t="shared" si="3"/>
        <v>#N/A</v>
      </c>
      <c r="E244" s="161" t="str">
        <f t="shared" si="4"/>
        <v>#N/A</v>
      </c>
      <c r="F244" s="153" t="str">
        <f t="shared" si="17"/>
        <v>#N/A</v>
      </c>
      <c r="G244" s="153" t="str">
        <f t="shared" si="6"/>
        <v>#N/A</v>
      </c>
      <c r="H244" s="156" t="str">
        <f t="array" ref="H244">INDEX('Primary - GRADING'!$A$1:$BG997,MATCH($A244,'Primary - GRADING'!$B:$B,0),59)</f>
        <v>#N/A</v>
      </c>
      <c r="I244" s="153" t="str">
        <f t="array" ref="I244">INDEX('Primary - GRADING'!$A$1:$CP997,MATCH($A244,'Primary - GRADING'!$CP:$CP,0),48)</f>
        <v>#N/A</v>
      </c>
      <c r="J244" s="153" t="str">
        <f t="array" ref="J244">INDEX('Primary - GRADING'!$A$1:$CP997,MATCH($A244,'Primary - GRADING'!$CP:$CP,0),49)</f>
        <v>#N/A</v>
      </c>
      <c r="K244" s="153" t="str">
        <f t="array" ref="K244">INDEX('Primary - GRADING'!$A$1:$CP997,MATCH($A244,'Primary - GRADING'!$CP:$CP,0),50)</f>
        <v>#N/A</v>
      </c>
      <c r="L244" s="153" t="str">
        <f t="array" ref="L244">INDEX('Primary - GRADING'!$A$1:$CP997,MATCH($A244,'Primary - GRADING'!$CP:$CP,0),51)</f>
        <v>#N/A</v>
      </c>
      <c r="M244" s="153" t="str">
        <f t="array" ref="M244">INDEX('Primary - GRADING'!$A$1:$CP997,MATCH($A244,'Primary - GRADING'!$CP:$CP,0),52)</f>
        <v>#N/A</v>
      </c>
      <c r="N244" s="153" t="str">
        <f t="array" ref="N244">INDEX('Primary - GRADING'!$A$1:$CP997,MATCH($A244,'Primary - GRADING'!$CP:$CP,0),53)</f>
        <v>#N/A</v>
      </c>
      <c r="O244" s="153" t="str">
        <f t="array" ref="O244">INDEX('Primary - GRADING'!$A$1:$CP997,MATCH($A244,'Primary - GRADING'!$CP:$CP,0),58)</f>
        <v>#N/A</v>
      </c>
      <c r="P244" s="153" t="str">
        <f t="array" ref="P244">INDEX('Primary - GRADING'!$A$1:$CP997,MATCH($A244,'Primary - GRADING'!$CP:$CP,0),5)</f>
        <v>#N/A</v>
      </c>
      <c r="Q244" s="153" t="str">
        <f t="array" ref="Q244">INDEX('Primary - GRADING'!$A$1:$CP997,MATCH($A244,'Primary - GRADING'!$CP:$CP,0),6)</f>
        <v>#N/A</v>
      </c>
      <c r="R244" s="153" t="str">
        <f t="array" ref="R244">INDEX('Primary - GRADING'!$A$1:$CP997,MATCH($A244,'Primary - GRADING'!$CP:$CP,0),7)</f>
        <v>#N/A</v>
      </c>
      <c r="S244" s="153" t="str">
        <f t="array" ref="S244">INDEX('Primary - GRADING'!$A$1:$CP997,MATCH($A244,'Primary - GRADING'!$CP:$CP,0),8)</f>
        <v>#N/A</v>
      </c>
      <c r="T244" s="153" t="str">
        <f t="array" ref="T244">INDEX('Primary - GRADING'!$A$1:$CP997,MATCH($A244,'Primary - GRADING'!$CP:$CP,0),9)</f>
        <v>#N/A</v>
      </c>
      <c r="U244" s="153" t="str">
        <f t="array" ref="U244">INDEX('Primary - GRADING'!$A$1:$CP997,MATCH($A244,'Primary - GRADING'!$CP:$CP,0),10)</f>
        <v>#N/A</v>
      </c>
      <c r="V244" s="153" t="str">
        <f t="array" ref="V244">INDEX('Primary - GRADING'!$A$1:$CP997,MATCH($A244,'Primary - GRADING'!$CP:$CP,0),18)</f>
        <v>#N/A</v>
      </c>
      <c r="W244" s="153" t="str">
        <f t="array" ref="W244">INDEX('Primary - GRADING'!$A$1:$CP997,MATCH($A244,'Primary - GRADING'!$CP:$CP,0),20)</f>
        <v>#N/A</v>
      </c>
      <c r="X244" s="153" t="str">
        <f t="array" ref="X244">INDEX('Primary - GRADING'!$A$1:$CP997,MATCH($A244,'Primary - GRADING'!$CP:$CP,0),21)</f>
        <v>#N/A</v>
      </c>
      <c r="Y244" s="153" t="str">
        <f t="array" ref="Y244">INDEX('Primary - GRADING'!$A$1:$CP997,MATCH($A244,'Primary - GRADING'!$CP:$CP,0),22)</f>
        <v>#N/A</v>
      </c>
      <c r="Z244" s="165" t="str">
        <f t="array" ref="Z244">INDEX('Primary - GRADING'!$A$1:$CP997,MATCH($A244,'Primary - GRADING'!$CP:$CP,0),23)</f>
        <v>#N/A</v>
      </c>
      <c r="AA244" s="153" t="str">
        <f t="array" ref="AA244">INDEX('Primary - GRADING'!$A$1:$CP997,MATCH($A244,'Primary - GRADING'!$CP:$CP,0),24)</f>
        <v>#N/A</v>
      </c>
      <c r="AB244" s="153" t="str">
        <f t="array" ref="AB244">INDEX('Primary - GRADING'!$A$1:$CP997,MATCH($A244,'Primary - GRADING'!$CP:$CP,0),25)</f>
        <v>#N/A</v>
      </c>
      <c r="AC244" s="153" t="str">
        <f t="array" ref="AC244">INDEX('Primary - GRADING'!$A$1:$CP997,MATCH($A244,'Primary - GRADING'!$CP:$CP,0),46)</f>
        <v>#N/A</v>
      </c>
      <c r="AG244" s="153" t="str">
        <f t="shared" si="7"/>
        <v>#N/A</v>
      </c>
      <c r="AI244" s="153" t="str">
        <f>VLOOKUP(AH244,'Primary - GRADING'!$A$4:$C997,2,)</f>
        <v>#N/A</v>
      </c>
      <c r="AJ244" s="153" t="str">
        <f>VLOOKUP(AH244,'Primary - GRADING'!$A$4:$C997,3,)</f>
        <v>#N/A</v>
      </c>
      <c r="AK244" s="153" t="str">
        <f>VLOOKUP(AH244,'Primary - GRADING'!$A$4:$BG997,59,)</f>
        <v>#N/A</v>
      </c>
      <c r="AL244" s="153" t="str">
        <f>IFS(AK244="NMA",VLOOKUP(AH244,'Primary - GRADING'!$A$4:$BG997,51,),AK244="DIRECT",VLOOKUP(AH244,'Primary - GRADING'!$A$4:$BG997,8,),AK244="INDIRECT",VLOOKUP(AH244,'Primary - GRADING'!$A$4:$BG997,23,))</f>
        <v>#N/A</v>
      </c>
      <c r="AM244" s="153" t="str">
        <f>IFS(AK244="NMA",VLOOKUP(AH244,'Primary - GRADING'!$A$4:$BG997,52,),AK244="DIRECT",VLOOKUP(AH244,'Primary - GRADING'!$A$4:$BG997,9,),AK244="INDIRECT",VLOOKUP(AH244,'Primary - GRADING'!$A$4:$BG997,24,))</f>
        <v>#N/A</v>
      </c>
      <c r="AN244" s="153" t="str">
        <f>IFS(AK244="NMA",VLOOKUP(AH244,'Primary - GRADING'!$A$4:$BG997,53,),AK244="DIRECT",VLOOKUP(AH244,'Primary - GRADING'!$A$4:$BG997,10,),AK244="INDIRECT",VLOOKUP(AH244,'Primary - GRADING'!$A$4:$BG997,25,))</f>
        <v>#N/A</v>
      </c>
      <c r="AO244" s="153" t="str">
        <f t="shared" si="8"/>
        <v>#N/A</v>
      </c>
      <c r="AT244" s="153" t="str">
        <f t="shared" si="9"/>
        <v>#N/A</v>
      </c>
      <c r="AV244" s="153" t="str">
        <f>VLOOKUP(AU244,'Primary - GRADING'!$A$4:$C997,2,)</f>
        <v>#N/A</v>
      </c>
      <c r="AW244" s="153" t="str">
        <f>VLOOKUP(AU244,'Primary - GRADING'!$A$4:$C997,3,)</f>
        <v>#N/A</v>
      </c>
      <c r="AX244" s="153" t="str">
        <f>VLOOKUP(AU244,'Primary - GRADING'!$A$4:$BG997,59,)</f>
        <v>#N/A</v>
      </c>
      <c r="AY244" s="153" t="str">
        <f>IFS(AX244="NMA",VLOOKUP(AU244,'Primary - GRADING'!$A$4:$BG997,51,),AX244="DIRECT",VLOOKUP(AU244,'Primary - GRADING'!$A$4:$BG997,8,),AX244="INDIRECT",VLOOKUP(AU244,'Primary - GRADING'!$A$4:$BG997,23,))</f>
        <v>#N/A</v>
      </c>
      <c r="AZ244" s="153" t="str">
        <f>IFS(AX244="NMA",VLOOKUP(AU244,'Primary - GRADING'!$A$4:$BG997,52,),AX244="DIRECT",VLOOKUP(AU244,'Primary - GRADING'!$A$4:$BG997,9,),AX244="INDIRECT",VLOOKUP(AU244,'Primary - GRADING'!$A$4:$BG997,24,))</f>
        <v>#N/A</v>
      </c>
      <c r="BA244" s="153" t="str">
        <f>IFS(AX244="NMA",VLOOKUP(AU244,'Primary - GRADING'!$A$4:$BG997,53,),AX244="DIRECT",VLOOKUP(AU244,'Primary - GRADING'!$A$4:$BG997,10,),AX244="INDIRECT",VLOOKUP(AU244,'Primary - GRADING'!$A$4:$BG997,25,))</f>
        <v>#N/A</v>
      </c>
      <c r="BB244" s="153" t="str">
        <f t="shared" si="10"/>
        <v>#N/A</v>
      </c>
      <c r="BE244" s="153" t="str">
        <f t="shared" si="11"/>
        <v/>
      </c>
      <c r="BG244" s="153" t="str">
        <f t="shared" si="12"/>
        <v>#N/A</v>
      </c>
      <c r="BI244" s="153" t="str">
        <f t="shared" si="13"/>
        <v>#N/A</v>
      </c>
      <c r="BK244" s="153" t="str">
        <f t="shared" si="14"/>
        <v>#N/A</v>
      </c>
      <c r="BM244" s="153" t="str">
        <f t="shared" si="15"/>
        <v>#N/A</v>
      </c>
    </row>
    <row r="245" ht="15.75" customHeight="1">
      <c r="B245" s="160" t="str">
        <f t="shared" si="1"/>
        <v>#N/A</v>
      </c>
      <c r="C245" s="160" t="str">
        <f t="shared" si="2"/>
        <v>#N/A</v>
      </c>
      <c r="D245" s="160" t="str">
        <f t="shared" si="3"/>
        <v>#N/A</v>
      </c>
      <c r="E245" s="161" t="str">
        <f t="shared" si="4"/>
        <v>#N/A</v>
      </c>
      <c r="F245" s="153" t="str">
        <f t="shared" si="17"/>
        <v>#N/A</v>
      </c>
      <c r="G245" s="153" t="str">
        <f t="shared" si="6"/>
        <v>#N/A</v>
      </c>
      <c r="H245" s="156" t="str">
        <f t="array" ref="H245">INDEX('Primary - GRADING'!$A$1:$BG997,MATCH($A245,'Primary - GRADING'!$B:$B,0),59)</f>
        <v>#N/A</v>
      </c>
      <c r="I245" s="153" t="str">
        <f t="array" ref="I245">INDEX('Primary - GRADING'!$A$1:$CP997,MATCH($A245,'Primary - GRADING'!$CP:$CP,0),48)</f>
        <v>#N/A</v>
      </c>
      <c r="J245" s="153" t="str">
        <f t="array" ref="J245">INDEX('Primary - GRADING'!$A$1:$CP997,MATCH($A245,'Primary - GRADING'!$CP:$CP,0),49)</f>
        <v>#N/A</v>
      </c>
      <c r="K245" s="153" t="str">
        <f t="array" ref="K245">INDEX('Primary - GRADING'!$A$1:$CP997,MATCH($A245,'Primary - GRADING'!$CP:$CP,0),50)</f>
        <v>#N/A</v>
      </c>
      <c r="L245" s="153" t="str">
        <f t="array" ref="L245">INDEX('Primary - GRADING'!$A$1:$CP997,MATCH($A245,'Primary - GRADING'!$CP:$CP,0),51)</f>
        <v>#N/A</v>
      </c>
      <c r="M245" s="153" t="str">
        <f t="array" ref="M245">INDEX('Primary - GRADING'!$A$1:$CP997,MATCH($A245,'Primary - GRADING'!$CP:$CP,0),52)</f>
        <v>#N/A</v>
      </c>
      <c r="N245" s="153" t="str">
        <f t="array" ref="N245">INDEX('Primary - GRADING'!$A$1:$CP997,MATCH($A245,'Primary - GRADING'!$CP:$CP,0),53)</f>
        <v>#N/A</v>
      </c>
      <c r="O245" s="153" t="str">
        <f t="array" ref="O245">INDEX('Primary - GRADING'!$A$1:$CP997,MATCH($A245,'Primary - GRADING'!$CP:$CP,0),58)</f>
        <v>#N/A</v>
      </c>
      <c r="P245" s="153" t="str">
        <f t="array" ref="P245">INDEX('Primary - GRADING'!$A$1:$CP997,MATCH($A245,'Primary - GRADING'!$CP:$CP,0),5)</f>
        <v>#N/A</v>
      </c>
      <c r="Q245" s="153" t="str">
        <f t="array" ref="Q245">INDEX('Primary - GRADING'!$A$1:$CP997,MATCH($A245,'Primary - GRADING'!$CP:$CP,0),6)</f>
        <v>#N/A</v>
      </c>
      <c r="R245" s="153" t="str">
        <f t="array" ref="R245">INDEX('Primary - GRADING'!$A$1:$CP997,MATCH($A245,'Primary - GRADING'!$CP:$CP,0),7)</f>
        <v>#N/A</v>
      </c>
      <c r="S245" s="153" t="str">
        <f t="array" ref="S245">INDEX('Primary - GRADING'!$A$1:$CP997,MATCH($A245,'Primary - GRADING'!$CP:$CP,0),8)</f>
        <v>#N/A</v>
      </c>
      <c r="T245" s="153" t="str">
        <f t="array" ref="T245">INDEX('Primary - GRADING'!$A$1:$CP997,MATCH($A245,'Primary - GRADING'!$CP:$CP,0),9)</f>
        <v>#N/A</v>
      </c>
      <c r="U245" s="153" t="str">
        <f t="array" ref="U245">INDEX('Primary - GRADING'!$A$1:$CP997,MATCH($A245,'Primary - GRADING'!$CP:$CP,0),10)</f>
        <v>#N/A</v>
      </c>
      <c r="V245" s="153" t="str">
        <f t="array" ref="V245">INDEX('Primary - GRADING'!$A$1:$CP997,MATCH($A245,'Primary - GRADING'!$CP:$CP,0),18)</f>
        <v>#N/A</v>
      </c>
      <c r="W245" s="153" t="str">
        <f t="array" ref="W245">INDEX('Primary - GRADING'!$A$1:$CP997,MATCH($A245,'Primary - GRADING'!$CP:$CP,0),20)</f>
        <v>#N/A</v>
      </c>
      <c r="X245" s="153" t="str">
        <f t="array" ref="X245">INDEX('Primary - GRADING'!$A$1:$CP997,MATCH($A245,'Primary - GRADING'!$CP:$CP,0),21)</f>
        <v>#N/A</v>
      </c>
      <c r="Y245" s="153" t="str">
        <f t="array" ref="Y245">INDEX('Primary - GRADING'!$A$1:$CP997,MATCH($A245,'Primary - GRADING'!$CP:$CP,0),22)</f>
        <v>#N/A</v>
      </c>
      <c r="Z245" s="165" t="str">
        <f t="array" ref="Z245">INDEX('Primary - GRADING'!$A$1:$CP997,MATCH($A245,'Primary - GRADING'!$CP:$CP,0),23)</f>
        <v>#N/A</v>
      </c>
      <c r="AA245" s="153" t="str">
        <f t="array" ref="AA245">INDEX('Primary - GRADING'!$A$1:$CP997,MATCH($A245,'Primary - GRADING'!$CP:$CP,0),24)</f>
        <v>#N/A</v>
      </c>
      <c r="AB245" s="153" t="str">
        <f t="array" ref="AB245">INDEX('Primary - GRADING'!$A$1:$CP997,MATCH($A245,'Primary - GRADING'!$CP:$CP,0),25)</f>
        <v>#N/A</v>
      </c>
      <c r="AC245" s="153" t="str">
        <f t="array" ref="AC245">INDEX('Primary - GRADING'!$A$1:$CP997,MATCH($A245,'Primary - GRADING'!$CP:$CP,0),46)</f>
        <v>#N/A</v>
      </c>
      <c r="AG245" s="153" t="str">
        <f t="shared" si="7"/>
        <v>#N/A</v>
      </c>
      <c r="AI245" s="153" t="str">
        <f>VLOOKUP(AH245,'Primary - GRADING'!$A$4:$C997,2,)</f>
        <v>#N/A</v>
      </c>
      <c r="AJ245" s="153" t="str">
        <f>VLOOKUP(AH245,'Primary - GRADING'!$A$4:$C997,3,)</f>
        <v>#N/A</v>
      </c>
      <c r="AK245" s="153" t="str">
        <f>VLOOKUP(AH245,'Primary - GRADING'!$A$4:$BG997,59,)</f>
        <v>#N/A</v>
      </c>
      <c r="AL245" s="153" t="str">
        <f>IFS(AK245="NMA",VLOOKUP(AH245,'Primary - GRADING'!$A$4:$BG997,51,),AK245="DIRECT",VLOOKUP(AH245,'Primary - GRADING'!$A$4:$BG997,8,),AK245="INDIRECT",VLOOKUP(AH245,'Primary - GRADING'!$A$4:$BG997,23,))</f>
        <v>#N/A</v>
      </c>
      <c r="AM245" s="153" t="str">
        <f>IFS(AK245="NMA",VLOOKUP(AH245,'Primary - GRADING'!$A$4:$BG997,52,),AK245="DIRECT",VLOOKUP(AH245,'Primary - GRADING'!$A$4:$BG997,9,),AK245="INDIRECT",VLOOKUP(AH245,'Primary - GRADING'!$A$4:$BG997,24,))</f>
        <v>#N/A</v>
      </c>
      <c r="AN245" s="153" t="str">
        <f>IFS(AK245="NMA",VLOOKUP(AH245,'Primary - GRADING'!$A$4:$BG997,53,),AK245="DIRECT",VLOOKUP(AH245,'Primary - GRADING'!$A$4:$BG997,10,),AK245="INDIRECT",VLOOKUP(AH245,'Primary - GRADING'!$A$4:$BG997,25,))</f>
        <v>#N/A</v>
      </c>
      <c r="AO245" s="153" t="str">
        <f t="shared" si="8"/>
        <v>#N/A</v>
      </c>
      <c r="AT245" s="153" t="str">
        <f t="shared" si="9"/>
        <v>#N/A</v>
      </c>
      <c r="AV245" s="153" t="str">
        <f>VLOOKUP(AU245,'Primary - GRADING'!$A$4:$C997,2,)</f>
        <v>#N/A</v>
      </c>
      <c r="AW245" s="153" t="str">
        <f>VLOOKUP(AU245,'Primary - GRADING'!$A$4:$C997,3,)</f>
        <v>#N/A</v>
      </c>
      <c r="AX245" s="153" t="str">
        <f>VLOOKUP(AU245,'Primary - GRADING'!$A$4:$BG997,59,)</f>
        <v>#N/A</v>
      </c>
      <c r="AY245" s="153" t="str">
        <f>IFS(AX245="NMA",VLOOKUP(AU245,'Primary - GRADING'!$A$4:$BG997,51,),AX245="DIRECT",VLOOKUP(AU245,'Primary - GRADING'!$A$4:$BG997,8,),AX245="INDIRECT",VLOOKUP(AU245,'Primary - GRADING'!$A$4:$BG997,23,))</f>
        <v>#N/A</v>
      </c>
      <c r="AZ245" s="153" t="str">
        <f>IFS(AX245="NMA",VLOOKUP(AU245,'Primary - GRADING'!$A$4:$BG997,52,),AX245="DIRECT",VLOOKUP(AU245,'Primary - GRADING'!$A$4:$BG997,9,),AX245="INDIRECT",VLOOKUP(AU245,'Primary - GRADING'!$A$4:$BG997,24,))</f>
        <v>#N/A</v>
      </c>
      <c r="BA245" s="153" t="str">
        <f>IFS(AX245="NMA",VLOOKUP(AU245,'Primary - GRADING'!$A$4:$BG997,53,),AX245="DIRECT",VLOOKUP(AU245,'Primary - GRADING'!$A$4:$BG997,10,),AX245="INDIRECT",VLOOKUP(AU245,'Primary - GRADING'!$A$4:$BG997,25,))</f>
        <v>#N/A</v>
      </c>
      <c r="BB245" s="153" t="str">
        <f t="shared" si="10"/>
        <v>#N/A</v>
      </c>
      <c r="BE245" s="153" t="str">
        <f t="shared" si="11"/>
        <v/>
      </c>
      <c r="BG245" s="153" t="str">
        <f t="shared" si="12"/>
        <v>#N/A</v>
      </c>
      <c r="BI245" s="153" t="str">
        <f t="shared" si="13"/>
        <v>#N/A</v>
      </c>
      <c r="BK245" s="153" t="str">
        <f t="shared" si="14"/>
        <v>#N/A</v>
      </c>
      <c r="BM245" s="153" t="str">
        <f t="shared" si="15"/>
        <v>#N/A</v>
      </c>
    </row>
    <row r="246" ht="15.75" customHeight="1">
      <c r="B246" s="160" t="str">
        <f t="shared" si="1"/>
        <v>#N/A</v>
      </c>
      <c r="C246" s="160" t="str">
        <f t="shared" si="2"/>
        <v>#N/A</v>
      </c>
      <c r="D246" s="160" t="str">
        <f t="shared" si="3"/>
        <v>#N/A</v>
      </c>
      <c r="E246" s="161" t="str">
        <f t="shared" si="4"/>
        <v>#N/A</v>
      </c>
      <c r="F246" s="153" t="str">
        <f t="shared" si="17"/>
        <v>#N/A</v>
      </c>
      <c r="G246" s="153" t="str">
        <f t="shared" si="6"/>
        <v>#N/A</v>
      </c>
      <c r="H246" s="156" t="str">
        <f t="array" ref="H246">INDEX('Primary - GRADING'!$A$1:$BG997,MATCH($A246,'Primary - GRADING'!$B:$B,0),59)</f>
        <v>#N/A</v>
      </c>
      <c r="I246" s="153" t="str">
        <f t="array" ref="I246">INDEX('Primary - GRADING'!$A$1:$CP997,MATCH($A246,'Primary - GRADING'!$CP:$CP,0),48)</f>
        <v>#N/A</v>
      </c>
      <c r="J246" s="153" t="str">
        <f t="array" ref="J246">INDEX('Primary - GRADING'!$A$1:$CP997,MATCH($A246,'Primary - GRADING'!$CP:$CP,0),49)</f>
        <v>#N/A</v>
      </c>
      <c r="K246" s="153" t="str">
        <f t="array" ref="K246">INDEX('Primary - GRADING'!$A$1:$CP997,MATCH($A246,'Primary - GRADING'!$CP:$CP,0),50)</f>
        <v>#N/A</v>
      </c>
      <c r="L246" s="153" t="str">
        <f t="array" ref="L246">INDEX('Primary - GRADING'!$A$1:$CP997,MATCH($A246,'Primary - GRADING'!$CP:$CP,0),51)</f>
        <v>#N/A</v>
      </c>
      <c r="M246" s="153" t="str">
        <f t="array" ref="M246">INDEX('Primary - GRADING'!$A$1:$CP997,MATCH($A246,'Primary - GRADING'!$CP:$CP,0),52)</f>
        <v>#N/A</v>
      </c>
      <c r="N246" s="153" t="str">
        <f t="array" ref="N246">INDEX('Primary - GRADING'!$A$1:$CP997,MATCH($A246,'Primary - GRADING'!$CP:$CP,0),53)</f>
        <v>#N/A</v>
      </c>
      <c r="O246" s="153" t="str">
        <f t="array" ref="O246">INDEX('Primary - GRADING'!$A$1:$CP997,MATCH($A246,'Primary - GRADING'!$CP:$CP,0),58)</f>
        <v>#N/A</v>
      </c>
      <c r="P246" s="153" t="str">
        <f t="array" ref="P246">INDEX('Primary - GRADING'!$A$1:$CP997,MATCH($A246,'Primary - GRADING'!$CP:$CP,0),5)</f>
        <v>#N/A</v>
      </c>
      <c r="Q246" s="153" t="str">
        <f t="array" ref="Q246">INDEX('Primary - GRADING'!$A$1:$CP997,MATCH($A246,'Primary - GRADING'!$CP:$CP,0),6)</f>
        <v>#N/A</v>
      </c>
      <c r="R246" s="153" t="str">
        <f t="array" ref="R246">INDEX('Primary - GRADING'!$A$1:$CP997,MATCH($A246,'Primary - GRADING'!$CP:$CP,0),7)</f>
        <v>#N/A</v>
      </c>
      <c r="S246" s="153" t="str">
        <f t="array" ref="S246">INDEX('Primary - GRADING'!$A$1:$CP997,MATCH($A246,'Primary - GRADING'!$CP:$CP,0),8)</f>
        <v>#N/A</v>
      </c>
      <c r="T246" s="153" t="str">
        <f t="array" ref="T246">INDEX('Primary - GRADING'!$A$1:$CP997,MATCH($A246,'Primary - GRADING'!$CP:$CP,0),9)</f>
        <v>#N/A</v>
      </c>
      <c r="U246" s="153" t="str">
        <f t="array" ref="U246">INDEX('Primary - GRADING'!$A$1:$CP997,MATCH($A246,'Primary - GRADING'!$CP:$CP,0),10)</f>
        <v>#N/A</v>
      </c>
      <c r="V246" s="153" t="str">
        <f t="array" ref="V246">INDEX('Primary - GRADING'!$A$1:$CP997,MATCH($A246,'Primary - GRADING'!$CP:$CP,0),18)</f>
        <v>#N/A</v>
      </c>
      <c r="W246" s="153" t="str">
        <f t="array" ref="W246">INDEX('Primary - GRADING'!$A$1:$CP997,MATCH($A246,'Primary - GRADING'!$CP:$CP,0),20)</f>
        <v>#N/A</v>
      </c>
      <c r="X246" s="153" t="str">
        <f t="array" ref="X246">INDEX('Primary - GRADING'!$A$1:$CP997,MATCH($A246,'Primary - GRADING'!$CP:$CP,0),21)</f>
        <v>#N/A</v>
      </c>
      <c r="Y246" s="153" t="str">
        <f t="array" ref="Y246">INDEX('Primary - GRADING'!$A$1:$CP997,MATCH($A246,'Primary - GRADING'!$CP:$CP,0),22)</f>
        <v>#N/A</v>
      </c>
      <c r="Z246" s="165" t="str">
        <f t="array" ref="Z246">INDEX('Primary - GRADING'!$A$1:$CP997,MATCH($A246,'Primary - GRADING'!$CP:$CP,0),23)</f>
        <v>#N/A</v>
      </c>
      <c r="AA246" s="153" t="str">
        <f t="array" ref="AA246">INDEX('Primary - GRADING'!$A$1:$CP997,MATCH($A246,'Primary - GRADING'!$CP:$CP,0),24)</f>
        <v>#N/A</v>
      </c>
      <c r="AB246" s="153" t="str">
        <f t="array" ref="AB246">INDEX('Primary - GRADING'!$A$1:$CP997,MATCH($A246,'Primary - GRADING'!$CP:$CP,0),25)</f>
        <v>#N/A</v>
      </c>
      <c r="AC246" s="153" t="str">
        <f t="array" ref="AC246">INDEX('Primary - GRADING'!$A$1:$CP997,MATCH($A246,'Primary - GRADING'!$CP:$CP,0),46)</f>
        <v>#N/A</v>
      </c>
      <c r="AG246" s="153" t="str">
        <f t="shared" si="7"/>
        <v>#N/A</v>
      </c>
      <c r="AI246" s="153" t="str">
        <f>VLOOKUP(AH246,'Primary - GRADING'!$A$4:$C997,2,)</f>
        <v>#N/A</v>
      </c>
      <c r="AJ246" s="153" t="str">
        <f>VLOOKUP(AH246,'Primary - GRADING'!$A$4:$C997,3,)</f>
        <v>#N/A</v>
      </c>
      <c r="AK246" s="153" t="str">
        <f>VLOOKUP(AH246,'Primary - GRADING'!$A$4:$BG997,59,)</f>
        <v>#N/A</v>
      </c>
      <c r="AL246" s="153" t="str">
        <f>IFS(AK246="NMA",VLOOKUP(AH246,'Primary - GRADING'!$A$4:$BG997,51,),AK246="DIRECT",VLOOKUP(AH246,'Primary - GRADING'!$A$4:$BG997,8,),AK246="INDIRECT",VLOOKUP(AH246,'Primary - GRADING'!$A$4:$BG997,23,))</f>
        <v>#N/A</v>
      </c>
      <c r="AM246" s="153" t="str">
        <f>IFS(AK246="NMA",VLOOKUP(AH246,'Primary - GRADING'!$A$4:$BG997,52,),AK246="DIRECT",VLOOKUP(AH246,'Primary - GRADING'!$A$4:$BG997,9,),AK246="INDIRECT",VLOOKUP(AH246,'Primary - GRADING'!$A$4:$BG997,24,))</f>
        <v>#N/A</v>
      </c>
      <c r="AN246" s="153" t="str">
        <f>IFS(AK246="NMA",VLOOKUP(AH246,'Primary - GRADING'!$A$4:$BG997,53,),AK246="DIRECT",VLOOKUP(AH246,'Primary - GRADING'!$A$4:$BG997,10,),AK246="INDIRECT",VLOOKUP(AH246,'Primary - GRADING'!$A$4:$BG997,25,))</f>
        <v>#N/A</v>
      </c>
      <c r="AO246" s="153" t="str">
        <f t="shared" si="8"/>
        <v>#N/A</v>
      </c>
      <c r="AT246" s="153" t="str">
        <f t="shared" si="9"/>
        <v>#N/A</v>
      </c>
      <c r="AV246" s="153" t="str">
        <f>VLOOKUP(AU246,'Primary - GRADING'!$A$4:$C997,2,)</f>
        <v>#N/A</v>
      </c>
      <c r="AW246" s="153" t="str">
        <f>VLOOKUP(AU246,'Primary - GRADING'!$A$4:$C997,3,)</f>
        <v>#N/A</v>
      </c>
      <c r="AX246" s="153" t="str">
        <f>VLOOKUP(AU246,'Primary - GRADING'!$A$4:$BG997,59,)</f>
        <v>#N/A</v>
      </c>
      <c r="AY246" s="153" t="str">
        <f>IFS(AX246="NMA",VLOOKUP(AU246,'Primary - GRADING'!$A$4:$BG997,51,),AX246="DIRECT",VLOOKUP(AU246,'Primary - GRADING'!$A$4:$BG997,8,),AX246="INDIRECT",VLOOKUP(AU246,'Primary - GRADING'!$A$4:$BG997,23,))</f>
        <v>#N/A</v>
      </c>
      <c r="AZ246" s="153" t="str">
        <f>IFS(AX246="NMA",VLOOKUP(AU246,'Primary - GRADING'!$A$4:$BG997,52,),AX246="DIRECT",VLOOKUP(AU246,'Primary - GRADING'!$A$4:$BG997,9,),AX246="INDIRECT",VLOOKUP(AU246,'Primary - GRADING'!$A$4:$BG997,24,))</f>
        <v>#N/A</v>
      </c>
      <c r="BA246" s="153" t="str">
        <f>IFS(AX246="NMA",VLOOKUP(AU246,'Primary - GRADING'!$A$4:$BG997,53,),AX246="DIRECT",VLOOKUP(AU246,'Primary - GRADING'!$A$4:$BG997,10,),AX246="INDIRECT",VLOOKUP(AU246,'Primary - GRADING'!$A$4:$BG997,25,))</f>
        <v>#N/A</v>
      </c>
      <c r="BB246" s="153" t="str">
        <f t="shared" si="10"/>
        <v>#N/A</v>
      </c>
      <c r="BE246" s="153" t="str">
        <f t="shared" si="11"/>
        <v/>
      </c>
      <c r="BG246" s="153" t="str">
        <f t="shared" si="12"/>
        <v>#N/A</v>
      </c>
      <c r="BI246" s="153" t="str">
        <f t="shared" si="13"/>
        <v>#N/A</v>
      </c>
      <c r="BK246" s="153" t="str">
        <f t="shared" si="14"/>
        <v>#N/A</v>
      </c>
      <c r="BM246" s="153" t="str">
        <f t="shared" si="15"/>
        <v>#N/A</v>
      </c>
    </row>
    <row r="247" ht="15.75" customHeight="1">
      <c r="B247" s="160" t="str">
        <f t="shared" si="1"/>
        <v>#N/A</v>
      </c>
      <c r="C247" s="160" t="str">
        <f t="shared" si="2"/>
        <v>#N/A</v>
      </c>
      <c r="D247" s="160" t="str">
        <f t="shared" si="3"/>
        <v>#N/A</v>
      </c>
      <c r="E247" s="161" t="str">
        <f t="shared" si="4"/>
        <v>#N/A</v>
      </c>
      <c r="F247" s="153" t="str">
        <f t="shared" si="17"/>
        <v>#N/A</v>
      </c>
      <c r="G247" s="153" t="str">
        <f t="shared" si="6"/>
        <v>#N/A</v>
      </c>
      <c r="H247" s="156" t="str">
        <f t="array" ref="H247">INDEX('Primary - GRADING'!$A$1:$BG997,MATCH($A247,'Primary - GRADING'!$B:$B,0),59)</f>
        <v>#N/A</v>
      </c>
      <c r="I247" s="153" t="str">
        <f t="array" ref="I247">INDEX('Primary - GRADING'!$A$1:$CP997,MATCH($A247,'Primary - GRADING'!$CP:$CP,0),48)</f>
        <v>#N/A</v>
      </c>
      <c r="J247" s="153" t="str">
        <f t="array" ref="J247">INDEX('Primary - GRADING'!$A$1:$CP997,MATCH($A247,'Primary - GRADING'!$CP:$CP,0),49)</f>
        <v>#N/A</v>
      </c>
      <c r="K247" s="153" t="str">
        <f t="array" ref="K247">INDEX('Primary - GRADING'!$A$1:$CP997,MATCH($A247,'Primary - GRADING'!$CP:$CP,0),50)</f>
        <v>#N/A</v>
      </c>
      <c r="L247" s="153" t="str">
        <f t="array" ref="L247">INDEX('Primary - GRADING'!$A$1:$CP997,MATCH($A247,'Primary - GRADING'!$CP:$CP,0),51)</f>
        <v>#N/A</v>
      </c>
      <c r="M247" s="153" t="str">
        <f t="array" ref="M247">INDEX('Primary - GRADING'!$A$1:$CP997,MATCH($A247,'Primary - GRADING'!$CP:$CP,0),52)</f>
        <v>#N/A</v>
      </c>
      <c r="N247" s="153" t="str">
        <f t="array" ref="N247">INDEX('Primary - GRADING'!$A$1:$CP997,MATCH($A247,'Primary - GRADING'!$CP:$CP,0),53)</f>
        <v>#N/A</v>
      </c>
      <c r="O247" s="153" t="str">
        <f t="array" ref="O247">INDEX('Primary - GRADING'!$A$1:$CP997,MATCH($A247,'Primary - GRADING'!$CP:$CP,0),58)</f>
        <v>#N/A</v>
      </c>
      <c r="P247" s="153" t="str">
        <f t="array" ref="P247">INDEX('Primary - GRADING'!$A$1:$CP997,MATCH($A247,'Primary - GRADING'!$CP:$CP,0),5)</f>
        <v>#N/A</v>
      </c>
      <c r="Q247" s="153" t="str">
        <f t="array" ref="Q247">INDEX('Primary - GRADING'!$A$1:$CP997,MATCH($A247,'Primary - GRADING'!$CP:$CP,0),6)</f>
        <v>#N/A</v>
      </c>
      <c r="R247" s="153" t="str">
        <f t="array" ref="R247">INDEX('Primary - GRADING'!$A$1:$CP997,MATCH($A247,'Primary - GRADING'!$CP:$CP,0),7)</f>
        <v>#N/A</v>
      </c>
      <c r="S247" s="153" t="str">
        <f t="array" ref="S247">INDEX('Primary - GRADING'!$A$1:$CP997,MATCH($A247,'Primary - GRADING'!$CP:$CP,0),8)</f>
        <v>#N/A</v>
      </c>
      <c r="T247" s="153" t="str">
        <f t="array" ref="T247">INDEX('Primary - GRADING'!$A$1:$CP997,MATCH($A247,'Primary - GRADING'!$CP:$CP,0),9)</f>
        <v>#N/A</v>
      </c>
      <c r="U247" s="153" t="str">
        <f t="array" ref="U247">INDEX('Primary - GRADING'!$A$1:$CP997,MATCH($A247,'Primary - GRADING'!$CP:$CP,0),10)</f>
        <v>#N/A</v>
      </c>
      <c r="V247" s="153" t="str">
        <f t="array" ref="V247">INDEX('Primary - GRADING'!$A$1:$CP997,MATCH($A247,'Primary - GRADING'!$CP:$CP,0),18)</f>
        <v>#N/A</v>
      </c>
      <c r="W247" s="153" t="str">
        <f t="array" ref="W247">INDEX('Primary - GRADING'!$A$1:$CP997,MATCH($A247,'Primary - GRADING'!$CP:$CP,0),20)</f>
        <v>#N/A</v>
      </c>
      <c r="X247" s="153" t="str">
        <f t="array" ref="X247">INDEX('Primary - GRADING'!$A$1:$CP997,MATCH($A247,'Primary - GRADING'!$CP:$CP,0),21)</f>
        <v>#N/A</v>
      </c>
      <c r="Y247" s="153" t="str">
        <f t="array" ref="Y247">INDEX('Primary - GRADING'!$A$1:$CP997,MATCH($A247,'Primary - GRADING'!$CP:$CP,0),22)</f>
        <v>#N/A</v>
      </c>
      <c r="Z247" s="165" t="str">
        <f t="array" ref="Z247">INDEX('Primary - GRADING'!$A$1:$CP997,MATCH($A247,'Primary - GRADING'!$CP:$CP,0),23)</f>
        <v>#N/A</v>
      </c>
      <c r="AA247" s="153" t="str">
        <f t="array" ref="AA247">INDEX('Primary - GRADING'!$A$1:$CP997,MATCH($A247,'Primary - GRADING'!$CP:$CP,0),24)</f>
        <v>#N/A</v>
      </c>
      <c r="AB247" s="153" t="str">
        <f t="array" ref="AB247">INDEX('Primary - GRADING'!$A$1:$CP997,MATCH($A247,'Primary - GRADING'!$CP:$CP,0),25)</f>
        <v>#N/A</v>
      </c>
      <c r="AC247" s="153" t="str">
        <f t="array" ref="AC247">INDEX('Primary - GRADING'!$A$1:$CP997,MATCH($A247,'Primary - GRADING'!$CP:$CP,0),46)</f>
        <v>#N/A</v>
      </c>
      <c r="AG247" s="153" t="str">
        <f t="shared" si="7"/>
        <v>#N/A</v>
      </c>
      <c r="AI247" s="153" t="str">
        <f>VLOOKUP(AH247,'Primary - GRADING'!$A$4:$C997,2,)</f>
        <v>#N/A</v>
      </c>
      <c r="AJ247" s="153" t="str">
        <f>VLOOKUP(AH247,'Primary - GRADING'!$A$4:$C997,3,)</f>
        <v>#N/A</v>
      </c>
      <c r="AK247" s="153" t="str">
        <f>VLOOKUP(AH247,'Primary - GRADING'!$A$4:$BG997,59,)</f>
        <v>#N/A</v>
      </c>
      <c r="AL247" s="153" t="str">
        <f>IFS(AK247="NMA",VLOOKUP(AH247,'Primary - GRADING'!$A$4:$BG997,51,),AK247="DIRECT",VLOOKUP(AH247,'Primary - GRADING'!$A$4:$BG997,8,),AK247="INDIRECT",VLOOKUP(AH247,'Primary - GRADING'!$A$4:$BG997,23,))</f>
        <v>#N/A</v>
      </c>
      <c r="AM247" s="153" t="str">
        <f>IFS(AK247="NMA",VLOOKUP(AH247,'Primary - GRADING'!$A$4:$BG997,52,),AK247="DIRECT",VLOOKUP(AH247,'Primary - GRADING'!$A$4:$BG997,9,),AK247="INDIRECT",VLOOKUP(AH247,'Primary - GRADING'!$A$4:$BG997,24,))</f>
        <v>#N/A</v>
      </c>
      <c r="AN247" s="153" t="str">
        <f>IFS(AK247="NMA",VLOOKUP(AH247,'Primary - GRADING'!$A$4:$BG997,53,),AK247="DIRECT",VLOOKUP(AH247,'Primary - GRADING'!$A$4:$BG997,10,),AK247="INDIRECT",VLOOKUP(AH247,'Primary - GRADING'!$A$4:$BG997,25,))</f>
        <v>#N/A</v>
      </c>
      <c r="AO247" s="153" t="str">
        <f t="shared" si="8"/>
        <v>#N/A</v>
      </c>
      <c r="AT247" s="153" t="str">
        <f t="shared" si="9"/>
        <v>#N/A</v>
      </c>
      <c r="AV247" s="153" t="str">
        <f>VLOOKUP(AU247,'Primary - GRADING'!$A$4:$C997,2,)</f>
        <v>#N/A</v>
      </c>
      <c r="AW247" s="153" t="str">
        <f>VLOOKUP(AU247,'Primary - GRADING'!$A$4:$C997,3,)</f>
        <v>#N/A</v>
      </c>
      <c r="AX247" s="153" t="str">
        <f>VLOOKUP(AU247,'Primary - GRADING'!$A$4:$BG997,59,)</f>
        <v>#N/A</v>
      </c>
      <c r="AY247" s="153" t="str">
        <f>IFS(AX247="NMA",VLOOKUP(AU247,'Primary - GRADING'!$A$4:$BG997,51,),AX247="DIRECT",VLOOKUP(AU247,'Primary - GRADING'!$A$4:$BG997,8,),AX247="INDIRECT",VLOOKUP(AU247,'Primary - GRADING'!$A$4:$BG997,23,))</f>
        <v>#N/A</v>
      </c>
      <c r="AZ247" s="153" t="str">
        <f>IFS(AX247="NMA",VLOOKUP(AU247,'Primary - GRADING'!$A$4:$BG997,52,),AX247="DIRECT",VLOOKUP(AU247,'Primary - GRADING'!$A$4:$BG997,9,),AX247="INDIRECT",VLOOKUP(AU247,'Primary - GRADING'!$A$4:$BG997,24,))</f>
        <v>#N/A</v>
      </c>
      <c r="BA247" s="153" t="str">
        <f>IFS(AX247="NMA",VLOOKUP(AU247,'Primary - GRADING'!$A$4:$BG997,53,),AX247="DIRECT",VLOOKUP(AU247,'Primary - GRADING'!$A$4:$BG997,10,),AX247="INDIRECT",VLOOKUP(AU247,'Primary - GRADING'!$A$4:$BG997,25,))</f>
        <v>#N/A</v>
      </c>
      <c r="BB247" s="153" t="str">
        <f t="shared" si="10"/>
        <v>#N/A</v>
      </c>
      <c r="BE247" s="153" t="str">
        <f t="shared" si="11"/>
        <v/>
      </c>
      <c r="BG247" s="153" t="str">
        <f t="shared" si="12"/>
        <v>#N/A</v>
      </c>
      <c r="BI247" s="153" t="str">
        <f t="shared" si="13"/>
        <v>#N/A</v>
      </c>
      <c r="BK247" s="153" t="str">
        <f t="shared" si="14"/>
        <v>#N/A</v>
      </c>
      <c r="BM247" s="153" t="str">
        <f t="shared" si="15"/>
        <v>#N/A</v>
      </c>
    </row>
    <row r="248" ht="15.75" customHeight="1">
      <c r="B248" s="160" t="str">
        <f t="shared" si="1"/>
        <v>#N/A</v>
      </c>
      <c r="C248" s="160" t="str">
        <f t="shared" si="2"/>
        <v>#N/A</v>
      </c>
      <c r="D248" s="160" t="str">
        <f t="shared" si="3"/>
        <v>#N/A</v>
      </c>
      <c r="E248" s="161" t="str">
        <f t="shared" si="4"/>
        <v>#N/A</v>
      </c>
      <c r="F248" s="153" t="str">
        <f t="shared" si="17"/>
        <v>#N/A</v>
      </c>
      <c r="G248" s="153" t="str">
        <f t="shared" si="6"/>
        <v>#N/A</v>
      </c>
      <c r="H248" s="156" t="str">
        <f t="array" ref="H248">INDEX('Primary - GRADING'!$A$1:$BG997,MATCH($A248,'Primary - GRADING'!$B:$B,0),59)</f>
        <v>#N/A</v>
      </c>
      <c r="I248" s="153" t="str">
        <f t="array" ref="I248">INDEX('Primary - GRADING'!$A$1:$CP997,MATCH($A248,'Primary - GRADING'!$CP:$CP,0),48)</f>
        <v>#N/A</v>
      </c>
      <c r="J248" s="153" t="str">
        <f t="array" ref="J248">INDEX('Primary - GRADING'!$A$1:$CP997,MATCH($A248,'Primary - GRADING'!$CP:$CP,0),49)</f>
        <v>#N/A</v>
      </c>
      <c r="K248" s="153" t="str">
        <f t="array" ref="K248">INDEX('Primary - GRADING'!$A$1:$CP997,MATCH($A248,'Primary - GRADING'!$CP:$CP,0),50)</f>
        <v>#N/A</v>
      </c>
      <c r="L248" s="153" t="str">
        <f t="array" ref="L248">INDEX('Primary - GRADING'!$A$1:$CP997,MATCH($A248,'Primary - GRADING'!$CP:$CP,0),51)</f>
        <v>#N/A</v>
      </c>
      <c r="M248" s="153" t="str">
        <f t="array" ref="M248">INDEX('Primary - GRADING'!$A$1:$CP997,MATCH($A248,'Primary - GRADING'!$CP:$CP,0),52)</f>
        <v>#N/A</v>
      </c>
      <c r="N248" s="153" t="str">
        <f t="array" ref="N248">INDEX('Primary - GRADING'!$A$1:$CP997,MATCH($A248,'Primary - GRADING'!$CP:$CP,0),53)</f>
        <v>#N/A</v>
      </c>
      <c r="O248" s="153" t="str">
        <f t="array" ref="O248">INDEX('Primary - GRADING'!$A$1:$CP997,MATCH($A248,'Primary - GRADING'!$CP:$CP,0),58)</f>
        <v>#N/A</v>
      </c>
      <c r="P248" s="153" t="str">
        <f t="array" ref="P248">INDEX('Primary - GRADING'!$A$1:$CP997,MATCH($A248,'Primary - GRADING'!$CP:$CP,0),5)</f>
        <v>#N/A</v>
      </c>
      <c r="Q248" s="153" t="str">
        <f t="array" ref="Q248">INDEX('Primary - GRADING'!$A$1:$CP997,MATCH($A248,'Primary - GRADING'!$CP:$CP,0),6)</f>
        <v>#N/A</v>
      </c>
      <c r="R248" s="153" t="str">
        <f t="array" ref="R248">INDEX('Primary - GRADING'!$A$1:$CP997,MATCH($A248,'Primary - GRADING'!$CP:$CP,0),7)</f>
        <v>#N/A</v>
      </c>
      <c r="S248" s="153" t="str">
        <f t="array" ref="S248">INDEX('Primary - GRADING'!$A$1:$CP997,MATCH($A248,'Primary - GRADING'!$CP:$CP,0),8)</f>
        <v>#N/A</v>
      </c>
      <c r="T248" s="153" t="str">
        <f t="array" ref="T248">INDEX('Primary - GRADING'!$A$1:$CP997,MATCH($A248,'Primary - GRADING'!$CP:$CP,0),9)</f>
        <v>#N/A</v>
      </c>
      <c r="U248" s="153" t="str">
        <f t="array" ref="U248">INDEX('Primary - GRADING'!$A$1:$CP997,MATCH($A248,'Primary - GRADING'!$CP:$CP,0),10)</f>
        <v>#N/A</v>
      </c>
      <c r="V248" s="153" t="str">
        <f t="array" ref="V248">INDEX('Primary - GRADING'!$A$1:$CP997,MATCH($A248,'Primary - GRADING'!$CP:$CP,0),18)</f>
        <v>#N/A</v>
      </c>
      <c r="W248" s="153" t="str">
        <f t="array" ref="W248">INDEX('Primary - GRADING'!$A$1:$CP997,MATCH($A248,'Primary - GRADING'!$CP:$CP,0),20)</f>
        <v>#N/A</v>
      </c>
      <c r="X248" s="153" t="str">
        <f t="array" ref="X248">INDEX('Primary - GRADING'!$A$1:$CP997,MATCH($A248,'Primary - GRADING'!$CP:$CP,0),21)</f>
        <v>#N/A</v>
      </c>
      <c r="Y248" s="153" t="str">
        <f t="array" ref="Y248">INDEX('Primary - GRADING'!$A$1:$CP997,MATCH($A248,'Primary - GRADING'!$CP:$CP,0),22)</f>
        <v>#N/A</v>
      </c>
      <c r="Z248" s="165" t="str">
        <f t="array" ref="Z248">INDEX('Primary - GRADING'!$A$1:$CP997,MATCH($A248,'Primary - GRADING'!$CP:$CP,0),23)</f>
        <v>#N/A</v>
      </c>
      <c r="AA248" s="153" t="str">
        <f t="array" ref="AA248">INDEX('Primary - GRADING'!$A$1:$CP997,MATCH($A248,'Primary - GRADING'!$CP:$CP,0),24)</f>
        <v>#N/A</v>
      </c>
      <c r="AB248" s="153" t="str">
        <f t="array" ref="AB248">INDEX('Primary - GRADING'!$A$1:$CP997,MATCH($A248,'Primary - GRADING'!$CP:$CP,0),25)</f>
        <v>#N/A</v>
      </c>
      <c r="AC248" s="153" t="str">
        <f t="array" ref="AC248">INDEX('Primary - GRADING'!$A$1:$CP997,MATCH($A248,'Primary - GRADING'!$CP:$CP,0),46)</f>
        <v>#N/A</v>
      </c>
      <c r="AG248" s="153" t="str">
        <f t="shared" si="7"/>
        <v>#N/A</v>
      </c>
      <c r="AI248" s="153" t="str">
        <f>VLOOKUP(AH248,'Primary - GRADING'!$A$4:$C997,2,)</f>
        <v>#N/A</v>
      </c>
      <c r="AJ248" s="153" t="str">
        <f>VLOOKUP(AH248,'Primary - GRADING'!$A$4:$C997,3,)</f>
        <v>#N/A</v>
      </c>
      <c r="AK248" s="153" t="str">
        <f>VLOOKUP(AH248,'Primary - GRADING'!$A$4:$BG997,59,)</f>
        <v>#N/A</v>
      </c>
      <c r="AL248" s="153" t="str">
        <f>IFS(AK248="NMA",VLOOKUP(AH248,'Primary - GRADING'!$A$4:$BG997,51,),AK248="DIRECT",VLOOKUP(AH248,'Primary - GRADING'!$A$4:$BG997,8,),AK248="INDIRECT",VLOOKUP(AH248,'Primary - GRADING'!$A$4:$BG997,23,))</f>
        <v>#N/A</v>
      </c>
      <c r="AM248" s="153" t="str">
        <f>IFS(AK248="NMA",VLOOKUP(AH248,'Primary - GRADING'!$A$4:$BG997,52,),AK248="DIRECT",VLOOKUP(AH248,'Primary - GRADING'!$A$4:$BG997,9,),AK248="INDIRECT",VLOOKUP(AH248,'Primary - GRADING'!$A$4:$BG997,24,))</f>
        <v>#N/A</v>
      </c>
      <c r="AN248" s="153" t="str">
        <f>IFS(AK248="NMA",VLOOKUP(AH248,'Primary - GRADING'!$A$4:$BG997,53,),AK248="DIRECT",VLOOKUP(AH248,'Primary - GRADING'!$A$4:$BG997,10,),AK248="INDIRECT",VLOOKUP(AH248,'Primary - GRADING'!$A$4:$BG997,25,))</f>
        <v>#N/A</v>
      </c>
      <c r="AO248" s="153" t="str">
        <f t="shared" si="8"/>
        <v>#N/A</v>
      </c>
      <c r="AT248" s="153" t="str">
        <f t="shared" si="9"/>
        <v>#N/A</v>
      </c>
      <c r="AV248" s="153" t="str">
        <f>VLOOKUP(AU248,'Primary - GRADING'!$A$4:$C997,2,)</f>
        <v>#N/A</v>
      </c>
      <c r="AW248" s="153" t="str">
        <f>VLOOKUP(AU248,'Primary - GRADING'!$A$4:$C997,3,)</f>
        <v>#N/A</v>
      </c>
      <c r="AX248" s="153" t="str">
        <f>VLOOKUP(AU248,'Primary - GRADING'!$A$4:$BG997,59,)</f>
        <v>#N/A</v>
      </c>
      <c r="AY248" s="153" t="str">
        <f>IFS(AX248="NMA",VLOOKUP(AU248,'Primary - GRADING'!$A$4:$BG997,51,),AX248="DIRECT",VLOOKUP(AU248,'Primary - GRADING'!$A$4:$BG997,8,),AX248="INDIRECT",VLOOKUP(AU248,'Primary - GRADING'!$A$4:$BG997,23,))</f>
        <v>#N/A</v>
      </c>
      <c r="AZ248" s="153" t="str">
        <f>IFS(AX248="NMA",VLOOKUP(AU248,'Primary - GRADING'!$A$4:$BG997,52,),AX248="DIRECT",VLOOKUP(AU248,'Primary - GRADING'!$A$4:$BG997,9,),AX248="INDIRECT",VLOOKUP(AU248,'Primary - GRADING'!$A$4:$BG997,24,))</f>
        <v>#N/A</v>
      </c>
      <c r="BA248" s="153" t="str">
        <f>IFS(AX248="NMA",VLOOKUP(AU248,'Primary - GRADING'!$A$4:$BG997,53,),AX248="DIRECT",VLOOKUP(AU248,'Primary - GRADING'!$A$4:$BG997,10,),AX248="INDIRECT",VLOOKUP(AU248,'Primary - GRADING'!$A$4:$BG997,25,))</f>
        <v>#N/A</v>
      </c>
      <c r="BB248" s="153" t="str">
        <f t="shared" si="10"/>
        <v>#N/A</v>
      </c>
      <c r="BE248" s="153" t="str">
        <f t="shared" si="11"/>
        <v/>
      </c>
      <c r="BG248" s="153" t="str">
        <f t="shared" si="12"/>
        <v>#N/A</v>
      </c>
      <c r="BI248" s="153" t="str">
        <f t="shared" si="13"/>
        <v>#N/A</v>
      </c>
      <c r="BK248" s="153" t="str">
        <f t="shared" si="14"/>
        <v>#N/A</v>
      </c>
      <c r="BM248" s="153" t="str">
        <f t="shared" si="15"/>
        <v>#N/A</v>
      </c>
    </row>
    <row r="249" ht="15.75" customHeight="1">
      <c r="B249" s="160" t="str">
        <f t="shared" si="1"/>
        <v>#N/A</v>
      </c>
      <c r="C249" s="160" t="str">
        <f t="shared" si="2"/>
        <v>#N/A</v>
      </c>
      <c r="D249" s="160" t="str">
        <f t="shared" si="3"/>
        <v>#N/A</v>
      </c>
      <c r="E249" s="161" t="str">
        <f t="shared" si="4"/>
        <v>#N/A</v>
      </c>
      <c r="F249" s="153" t="str">
        <f t="shared" si="17"/>
        <v>#N/A</v>
      </c>
      <c r="G249" s="153" t="str">
        <f t="shared" si="6"/>
        <v>#N/A</v>
      </c>
      <c r="H249" s="156" t="str">
        <f t="array" ref="H249">INDEX('Primary - GRADING'!$A$1:$BG997,MATCH($A249,'Primary - GRADING'!$B:$B,0),59)</f>
        <v>#N/A</v>
      </c>
      <c r="I249" s="153" t="str">
        <f t="array" ref="I249">INDEX('Primary - GRADING'!$A$1:$CP997,MATCH($A249,'Primary - GRADING'!$CP:$CP,0),48)</f>
        <v>#N/A</v>
      </c>
      <c r="J249" s="153" t="str">
        <f t="array" ref="J249">INDEX('Primary - GRADING'!$A$1:$CP997,MATCH($A249,'Primary - GRADING'!$CP:$CP,0),49)</f>
        <v>#N/A</v>
      </c>
      <c r="K249" s="153" t="str">
        <f t="array" ref="K249">INDEX('Primary - GRADING'!$A$1:$CP997,MATCH($A249,'Primary - GRADING'!$CP:$CP,0),50)</f>
        <v>#N/A</v>
      </c>
      <c r="L249" s="153" t="str">
        <f t="array" ref="L249">INDEX('Primary - GRADING'!$A$1:$CP997,MATCH($A249,'Primary - GRADING'!$CP:$CP,0),51)</f>
        <v>#N/A</v>
      </c>
      <c r="M249" s="153" t="str">
        <f t="array" ref="M249">INDEX('Primary - GRADING'!$A$1:$CP997,MATCH($A249,'Primary - GRADING'!$CP:$CP,0),52)</f>
        <v>#N/A</v>
      </c>
      <c r="N249" s="153" t="str">
        <f t="array" ref="N249">INDEX('Primary - GRADING'!$A$1:$CP997,MATCH($A249,'Primary - GRADING'!$CP:$CP,0),53)</f>
        <v>#N/A</v>
      </c>
      <c r="O249" s="153" t="str">
        <f t="array" ref="O249">INDEX('Primary - GRADING'!$A$1:$CP997,MATCH($A249,'Primary - GRADING'!$CP:$CP,0),58)</f>
        <v>#N/A</v>
      </c>
      <c r="P249" s="153" t="str">
        <f t="array" ref="P249">INDEX('Primary - GRADING'!$A$1:$CP997,MATCH($A249,'Primary - GRADING'!$CP:$CP,0),5)</f>
        <v>#N/A</v>
      </c>
      <c r="Q249" s="153" t="str">
        <f t="array" ref="Q249">INDEX('Primary - GRADING'!$A$1:$CP997,MATCH($A249,'Primary - GRADING'!$CP:$CP,0),6)</f>
        <v>#N/A</v>
      </c>
      <c r="R249" s="153" t="str">
        <f t="array" ref="R249">INDEX('Primary - GRADING'!$A$1:$CP997,MATCH($A249,'Primary - GRADING'!$CP:$CP,0),7)</f>
        <v>#N/A</v>
      </c>
      <c r="S249" s="153" t="str">
        <f t="array" ref="S249">INDEX('Primary - GRADING'!$A$1:$CP997,MATCH($A249,'Primary - GRADING'!$CP:$CP,0),8)</f>
        <v>#N/A</v>
      </c>
      <c r="T249" s="153" t="str">
        <f t="array" ref="T249">INDEX('Primary - GRADING'!$A$1:$CP997,MATCH($A249,'Primary - GRADING'!$CP:$CP,0),9)</f>
        <v>#N/A</v>
      </c>
      <c r="U249" s="153" t="str">
        <f t="array" ref="U249">INDEX('Primary - GRADING'!$A$1:$CP997,MATCH($A249,'Primary - GRADING'!$CP:$CP,0),10)</f>
        <v>#N/A</v>
      </c>
      <c r="V249" s="153" t="str">
        <f t="array" ref="V249">INDEX('Primary - GRADING'!$A$1:$CP997,MATCH($A249,'Primary - GRADING'!$CP:$CP,0),18)</f>
        <v>#N/A</v>
      </c>
      <c r="W249" s="153" t="str">
        <f t="array" ref="W249">INDEX('Primary - GRADING'!$A$1:$CP997,MATCH($A249,'Primary - GRADING'!$CP:$CP,0),20)</f>
        <v>#N/A</v>
      </c>
      <c r="X249" s="153" t="str">
        <f t="array" ref="X249">INDEX('Primary - GRADING'!$A$1:$CP997,MATCH($A249,'Primary - GRADING'!$CP:$CP,0),21)</f>
        <v>#N/A</v>
      </c>
      <c r="Y249" s="153" t="str">
        <f t="array" ref="Y249">INDEX('Primary - GRADING'!$A$1:$CP997,MATCH($A249,'Primary - GRADING'!$CP:$CP,0),22)</f>
        <v>#N/A</v>
      </c>
      <c r="Z249" s="165" t="str">
        <f t="array" ref="Z249">INDEX('Primary - GRADING'!$A$1:$CP997,MATCH($A249,'Primary - GRADING'!$CP:$CP,0),23)</f>
        <v>#N/A</v>
      </c>
      <c r="AA249" s="153" t="str">
        <f t="array" ref="AA249">INDEX('Primary - GRADING'!$A$1:$CP997,MATCH($A249,'Primary - GRADING'!$CP:$CP,0),24)</f>
        <v>#N/A</v>
      </c>
      <c r="AB249" s="153" t="str">
        <f t="array" ref="AB249">INDEX('Primary - GRADING'!$A$1:$CP997,MATCH($A249,'Primary - GRADING'!$CP:$CP,0),25)</f>
        <v>#N/A</v>
      </c>
      <c r="AC249" s="153" t="str">
        <f t="array" ref="AC249">INDEX('Primary - GRADING'!$A$1:$CP997,MATCH($A249,'Primary - GRADING'!$CP:$CP,0),46)</f>
        <v>#N/A</v>
      </c>
      <c r="AG249" s="153" t="str">
        <f t="shared" si="7"/>
        <v>#N/A</v>
      </c>
      <c r="AI249" s="153" t="str">
        <f>VLOOKUP(AH249,'Primary - GRADING'!$A$4:$C997,2,)</f>
        <v>#N/A</v>
      </c>
      <c r="AJ249" s="153" t="str">
        <f>VLOOKUP(AH249,'Primary - GRADING'!$A$4:$C997,3,)</f>
        <v>#N/A</v>
      </c>
      <c r="AK249" s="153" t="str">
        <f>VLOOKUP(AH249,'Primary - GRADING'!$A$4:$BG997,59,)</f>
        <v>#N/A</v>
      </c>
      <c r="AL249" s="153" t="str">
        <f>IFS(AK249="NMA",VLOOKUP(AH249,'Primary - GRADING'!$A$4:$BG997,51,),AK249="DIRECT",VLOOKUP(AH249,'Primary - GRADING'!$A$4:$BG997,8,),AK249="INDIRECT",VLOOKUP(AH249,'Primary - GRADING'!$A$4:$BG997,23,))</f>
        <v>#N/A</v>
      </c>
      <c r="AM249" s="153" t="str">
        <f>IFS(AK249="NMA",VLOOKUP(AH249,'Primary - GRADING'!$A$4:$BG997,52,),AK249="DIRECT",VLOOKUP(AH249,'Primary - GRADING'!$A$4:$BG997,9,),AK249="INDIRECT",VLOOKUP(AH249,'Primary - GRADING'!$A$4:$BG997,24,))</f>
        <v>#N/A</v>
      </c>
      <c r="AN249" s="153" t="str">
        <f>IFS(AK249="NMA",VLOOKUP(AH249,'Primary - GRADING'!$A$4:$BG997,53,),AK249="DIRECT",VLOOKUP(AH249,'Primary - GRADING'!$A$4:$BG997,10,),AK249="INDIRECT",VLOOKUP(AH249,'Primary - GRADING'!$A$4:$BG997,25,))</f>
        <v>#N/A</v>
      </c>
      <c r="AO249" s="153" t="str">
        <f t="shared" si="8"/>
        <v>#N/A</v>
      </c>
      <c r="AT249" s="153" t="str">
        <f t="shared" si="9"/>
        <v>#N/A</v>
      </c>
      <c r="AV249" s="153" t="str">
        <f>VLOOKUP(AU249,'Primary - GRADING'!$A$4:$C997,2,)</f>
        <v>#N/A</v>
      </c>
      <c r="AW249" s="153" t="str">
        <f>VLOOKUP(AU249,'Primary - GRADING'!$A$4:$C997,3,)</f>
        <v>#N/A</v>
      </c>
      <c r="AX249" s="153" t="str">
        <f>VLOOKUP(AU249,'Primary - GRADING'!$A$4:$BG997,59,)</f>
        <v>#N/A</v>
      </c>
      <c r="AY249" s="153" t="str">
        <f>IFS(AX249="NMA",VLOOKUP(AU249,'Primary - GRADING'!$A$4:$BG997,51,),AX249="DIRECT",VLOOKUP(AU249,'Primary - GRADING'!$A$4:$BG997,8,),AX249="INDIRECT",VLOOKUP(AU249,'Primary - GRADING'!$A$4:$BG997,23,))</f>
        <v>#N/A</v>
      </c>
      <c r="AZ249" s="153" t="str">
        <f>IFS(AX249="NMA",VLOOKUP(AU249,'Primary - GRADING'!$A$4:$BG997,52,),AX249="DIRECT",VLOOKUP(AU249,'Primary - GRADING'!$A$4:$BG997,9,),AX249="INDIRECT",VLOOKUP(AU249,'Primary - GRADING'!$A$4:$BG997,24,))</f>
        <v>#N/A</v>
      </c>
      <c r="BA249" s="153" t="str">
        <f>IFS(AX249="NMA",VLOOKUP(AU249,'Primary - GRADING'!$A$4:$BG997,53,),AX249="DIRECT",VLOOKUP(AU249,'Primary - GRADING'!$A$4:$BG997,10,),AX249="INDIRECT",VLOOKUP(AU249,'Primary - GRADING'!$A$4:$BG997,25,))</f>
        <v>#N/A</v>
      </c>
      <c r="BB249" s="153" t="str">
        <f t="shared" si="10"/>
        <v>#N/A</v>
      </c>
      <c r="BE249" s="153" t="str">
        <f t="shared" si="11"/>
        <v/>
      </c>
      <c r="BG249" s="153" t="str">
        <f t="shared" si="12"/>
        <v>#N/A</v>
      </c>
      <c r="BI249" s="153" t="str">
        <f t="shared" si="13"/>
        <v>#N/A</v>
      </c>
      <c r="BK249" s="153" t="str">
        <f t="shared" si="14"/>
        <v>#N/A</v>
      </c>
      <c r="BM249" s="153" t="str">
        <f t="shared" si="15"/>
        <v>#N/A</v>
      </c>
    </row>
    <row r="250" ht="15.75" customHeight="1">
      <c r="B250" s="160" t="str">
        <f t="shared" si="1"/>
        <v>#N/A</v>
      </c>
      <c r="C250" s="160" t="str">
        <f t="shared" si="2"/>
        <v>#N/A</v>
      </c>
      <c r="D250" s="160" t="str">
        <f t="shared" si="3"/>
        <v>#N/A</v>
      </c>
      <c r="E250" s="161" t="str">
        <f t="shared" si="4"/>
        <v>#N/A</v>
      </c>
      <c r="F250" s="153" t="str">
        <f t="shared" si="17"/>
        <v>#N/A</v>
      </c>
      <c r="G250" s="153" t="str">
        <f t="shared" si="6"/>
        <v>#N/A</v>
      </c>
      <c r="H250" s="156" t="str">
        <f t="array" ref="H250">INDEX('Primary - GRADING'!$A$1:$BG997,MATCH($A250,'Primary - GRADING'!$B:$B,0),59)</f>
        <v>#N/A</v>
      </c>
      <c r="I250" s="153" t="str">
        <f t="array" ref="I250">INDEX('Primary - GRADING'!$A$1:$CP997,MATCH($A250,'Primary - GRADING'!$CP:$CP,0),48)</f>
        <v>#N/A</v>
      </c>
      <c r="J250" s="153" t="str">
        <f t="array" ref="J250">INDEX('Primary - GRADING'!$A$1:$CP997,MATCH($A250,'Primary - GRADING'!$CP:$CP,0),49)</f>
        <v>#N/A</v>
      </c>
      <c r="K250" s="153" t="str">
        <f t="array" ref="K250">INDEX('Primary - GRADING'!$A$1:$CP997,MATCH($A250,'Primary - GRADING'!$CP:$CP,0),50)</f>
        <v>#N/A</v>
      </c>
      <c r="L250" s="153" t="str">
        <f t="array" ref="L250">INDEX('Primary - GRADING'!$A$1:$CP997,MATCH($A250,'Primary - GRADING'!$CP:$CP,0),51)</f>
        <v>#N/A</v>
      </c>
      <c r="M250" s="153" t="str">
        <f t="array" ref="M250">INDEX('Primary - GRADING'!$A$1:$CP997,MATCH($A250,'Primary - GRADING'!$CP:$CP,0),52)</f>
        <v>#N/A</v>
      </c>
      <c r="N250" s="153" t="str">
        <f t="array" ref="N250">INDEX('Primary - GRADING'!$A$1:$CP997,MATCH($A250,'Primary - GRADING'!$CP:$CP,0),53)</f>
        <v>#N/A</v>
      </c>
      <c r="O250" s="153" t="str">
        <f t="array" ref="O250">INDEX('Primary - GRADING'!$A$1:$CP997,MATCH($A250,'Primary - GRADING'!$CP:$CP,0),58)</f>
        <v>#N/A</v>
      </c>
      <c r="P250" s="153" t="str">
        <f t="array" ref="P250">INDEX('Primary - GRADING'!$A$1:$CP997,MATCH($A250,'Primary - GRADING'!$CP:$CP,0),5)</f>
        <v>#N/A</v>
      </c>
      <c r="Q250" s="153" t="str">
        <f t="array" ref="Q250">INDEX('Primary - GRADING'!$A$1:$CP997,MATCH($A250,'Primary - GRADING'!$CP:$CP,0),6)</f>
        <v>#N/A</v>
      </c>
      <c r="R250" s="153" t="str">
        <f t="array" ref="R250">INDEX('Primary - GRADING'!$A$1:$CP997,MATCH($A250,'Primary - GRADING'!$CP:$CP,0),7)</f>
        <v>#N/A</v>
      </c>
      <c r="S250" s="153" t="str">
        <f t="array" ref="S250">INDEX('Primary - GRADING'!$A$1:$CP997,MATCH($A250,'Primary - GRADING'!$CP:$CP,0),8)</f>
        <v>#N/A</v>
      </c>
      <c r="T250" s="153" t="str">
        <f t="array" ref="T250">INDEX('Primary - GRADING'!$A$1:$CP997,MATCH($A250,'Primary - GRADING'!$CP:$CP,0),9)</f>
        <v>#N/A</v>
      </c>
      <c r="U250" s="153" t="str">
        <f t="array" ref="U250">INDEX('Primary - GRADING'!$A$1:$CP997,MATCH($A250,'Primary - GRADING'!$CP:$CP,0),10)</f>
        <v>#N/A</v>
      </c>
      <c r="V250" s="153" t="str">
        <f t="array" ref="V250">INDEX('Primary - GRADING'!$A$1:$CP997,MATCH($A250,'Primary - GRADING'!$CP:$CP,0),18)</f>
        <v>#N/A</v>
      </c>
      <c r="W250" s="153" t="str">
        <f t="array" ref="W250">INDEX('Primary - GRADING'!$A$1:$CP997,MATCH($A250,'Primary - GRADING'!$CP:$CP,0),20)</f>
        <v>#N/A</v>
      </c>
      <c r="X250" s="153" t="str">
        <f t="array" ref="X250">INDEX('Primary - GRADING'!$A$1:$CP997,MATCH($A250,'Primary - GRADING'!$CP:$CP,0),21)</f>
        <v>#N/A</v>
      </c>
      <c r="Y250" s="153" t="str">
        <f t="array" ref="Y250">INDEX('Primary - GRADING'!$A$1:$CP997,MATCH($A250,'Primary - GRADING'!$CP:$CP,0),22)</f>
        <v>#N/A</v>
      </c>
      <c r="Z250" s="165" t="str">
        <f t="array" ref="Z250">INDEX('Primary - GRADING'!$A$1:$CP997,MATCH($A250,'Primary - GRADING'!$CP:$CP,0),23)</f>
        <v>#N/A</v>
      </c>
      <c r="AA250" s="153" t="str">
        <f t="array" ref="AA250">INDEX('Primary - GRADING'!$A$1:$CP997,MATCH($A250,'Primary - GRADING'!$CP:$CP,0),24)</f>
        <v>#N/A</v>
      </c>
      <c r="AB250" s="153" t="str">
        <f t="array" ref="AB250">INDEX('Primary - GRADING'!$A$1:$CP997,MATCH($A250,'Primary - GRADING'!$CP:$CP,0),25)</f>
        <v>#N/A</v>
      </c>
      <c r="AC250" s="153" t="str">
        <f t="array" ref="AC250">INDEX('Primary - GRADING'!$A$1:$CP997,MATCH($A250,'Primary - GRADING'!$CP:$CP,0),46)</f>
        <v>#N/A</v>
      </c>
      <c r="AG250" s="153" t="str">
        <f t="shared" si="7"/>
        <v>#N/A</v>
      </c>
      <c r="AI250" s="153" t="str">
        <f>VLOOKUP(AH250,'Primary - GRADING'!$A$4:$C997,2,)</f>
        <v>#N/A</v>
      </c>
      <c r="AJ250" s="153" t="str">
        <f>VLOOKUP(AH250,'Primary - GRADING'!$A$4:$C997,3,)</f>
        <v>#N/A</v>
      </c>
      <c r="AK250" s="153" t="str">
        <f>VLOOKUP(AH250,'Primary - GRADING'!$A$4:$BG997,59,)</f>
        <v>#N/A</v>
      </c>
      <c r="AL250" s="153" t="str">
        <f>IFS(AK250="NMA",VLOOKUP(AH250,'Primary - GRADING'!$A$4:$BG997,51,),AK250="DIRECT",VLOOKUP(AH250,'Primary - GRADING'!$A$4:$BG997,8,),AK250="INDIRECT",VLOOKUP(AH250,'Primary - GRADING'!$A$4:$BG997,23,))</f>
        <v>#N/A</v>
      </c>
      <c r="AM250" s="153" t="str">
        <f>IFS(AK250="NMA",VLOOKUP(AH250,'Primary - GRADING'!$A$4:$BG997,52,),AK250="DIRECT",VLOOKUP(AH250,'Primary - GRADING'!$A$4:$BG997,9,),AK250="INDIRECT",VLOOKUP(AH250,'Primary - GRADING'!$A$4:$BG997,24,))</f>
        <v>#N/A</v>
      </c>
      <c r="AN250" s="153" t="str">
        <f>IFS(AK250="NMA",VLOOKUP(AH250,'Primary - GRADING'!$A$4:$BG997,53,),AK250="DIRECT",VLOOKUP(AH250,'Primary - GRADING'!$A$4:$BG997,10,),AK250="INDIRECT",VLOOKUP(AH250,'Primary - GRADING'!$A$4:$BG997,25,))</f>
        <v>#N/A</v>
      </c>
      <c r="AO250" s="153" t="str">
        <f t="shared" si="8"/>
        <v>#N/A</v>
      </c>
      <c r="AT250" s="153" t="str">
        <f t="shared" si="9"/>
        <v>#N/A</v>
      </c>
      <c r="AV250" s="153" t="str">
        <f>VLOOKUP(AU250,'Primary - GRADING'!$A$4:$C997,2,)</f>
        <v>#N/A</v>
      </c>
      <c r="AW250" s="153" t="str">
        <f>VLOOKUP(AU250,'Primary - GRADING'!$A$4:$C997,3,)</f>
        <v>#N/A</v>
      </c>
      <c r="AX250" s="153" t="str">
        <f>VLOOKUP(AU250,'Primary - GRADING'!$A$4:$BG997,59,)</f>
        <v>#N/A</v>
      </c>
      <c r="AY250" s="153" t="str">
        <f>IFS(AX250="NMA",VLOOKUP(AU250,'Primary - GRADING'!$A$4:$BG997,51,),AX250="DIRECT",VLOOKUP(AU250,'Primary - GRADING'!$A$4:$BG997,8,),AX250="INDIRECT",VLOOKUP(AU250,'Primary - GRADING'!$A$4:$BG997,23,))</f>
        <v>#N/A</v>
      </c>
      <c r="AZ250" s="153" t="str">
        <f>IFS(AX250="NMA",VLOOKUP(AU250,'Primary - GRADING'!$A$4:$BG997,52,),AX250="DIRECT",VLOOKUP(AU250,'Primary - GRADING'!$A$4:$BG997,9,),AX250="INDIRECT",VLOOKUP(AU250,'Primary - GRADING'!$A$4:$BG997,24,))</f>
        <v>#N/A</v>
      </c>
      <c r="BA250" s="153" t="str">
        <f>IFS(AX250="NMA",VLOOKUP(AU250,'Primary - GRADING'!$A$4:$BG997,53,),AX250="DIRECT",VLOOKUP(AU250,'Primary - GRADING'!$A$4:$BG997,10,),AX250="INDIRECT",VLOOKUP(AU250,'Primary - GRADING'!$A$4:$BG997,25,))</f>
        <v>#N/A</v>
      </c>
      <c r="BB250" s="153" t="str">
        <f t="shared" si="10"/>
        <v>#N/A</v>
      </c>
      <c r="BE250" s="153" t="str">
        <f t="shared" si="11"/>
        <v/>
      </c>
      <c r="BG250" s="153" t="str">
        <f t="shared" si="12"/>
        <v>#N/A</v>
      </c>
      <c r="BI250" s="153" t="str">
        <f t="shared" si="13"/>
        <v>#N/A</v>
      </c>
      <c r="BK250" s="153" t="str">
        <f t="shared" si="14"/>
        <v>#N/A</v>
      </c>
      <c r="BM250" s="153" t="str">
        <f t="shared" si="15"/>
        <v>#N/A</v>
      </c>
    </row>
    <row r="251" ht="15.75" customHeight="1">
      <c r="B251" s="160" t="str">
        <f t="shared" si="1"/>
        <v>#N/A</v>
      </c>
      <c r="C251" s="160" t="str">
        <f t="shared" si="2"/>
        <v>#N/A</v>
      </c>
      <c r="D251" s="160" t="str">
        <f t="shared" si="3"/>
        <v>#N/A</v>
      </c>
      <c r="E251" s="161" t="str">
        <f t="shared" si="4"/>
        <v>#N/A</v>
      </c>
      <c r="F251" s="153" t="str">
        <f t="shared" si="17"/>
        <v>#N/A</v>
      </c>
      <c r="G251" s="153" t="str">
        <f t="shared" si="6"/>
        <v>#N/A</v>
      </c>
      <c r="H251" s="156" t="str">
        <f t="array" ref="H251">INDEX('Primary - GRADING'!$A$1:$BG997,MATCH($A251,'Primary - GRADING'!$B:$B,0),59)</f>
        <v>#N/A</v>
      </c>
      <c r="I251" s="153" t="str">
        <f t="array" ref="I251">INDEX('Primary - GRADING'!$A$1:$CP997,MATCH($A251,'Primary - GRADING'!$CP:$CP,0),48)</f>
        <v>#N/A</v>
      </c>
      <c r="J251" s="153" t="str">
        <f t="array" ref="J251">INDEX('Primary - GRADING'!$A$1:$CP997,MATCH($A251,'Primary - GRADING'!$CP:$CP,0),49)</f>
        <v>#N/A</v>
      </c>
      <c r="K251" s="153" t="str">
        <f t="array" ref="K251">INDEX('Primary - GRADING'!$A$1:$CP997,MATCH($A251,'Primary - GRADING'!$CP:$CP,0),50)</f>
        <v>#N/A</v>
      </c>
      <c r="L251" s="153" t="str">
        <f t="array" ref="L251">INDEX('Primary - GRADING'!$A$1:$CP997,MATCH($A251,'Primary - GRADING'!$CP:$CP,0),51)</f>
        <v>#N/A</v>
      </c>
      <c r="M251" s="153" t="str">
        <f t="array" ref="M251">INDEX('Primary - GRADING'!$A$1:$CP997,MATCH($A251,'Primary - GRADING'!$CP:$CP,0),52)</f>
        <v>#N/A</v>
      </c>
      <c r="N251" s="153" t="str">
        <f t="array" ref="N251">INDEX('Primary - GRADING'!$A$1:$CP997,MATCH($A251,'Primary - GRADING'!$CP:$CP,0),53)</f>
        <v>#N/A</v>
      </c>
      <c r="O251" s="153" t="str">
        <f t="array" ref="O251">INDEX('Primary - GRADING'!$A$1:$CP997,MATCH($A251,'Primary - GRADING'!$CP:$CP,0),58)</f>
        <v>#N/A</v>
      </c>
      <c r="P251" s="153" t="str">
        <f t="array" ref="P251">INDEX('Primary - GRADING'!$A$1:$CP997,MATCH($A251,'Primary - GRADING'!$CP:$CP,0),5)</f>
        <v>#N/A</v>
      </c>
      <c r="Q251" s="153" t="str">
        <f t="array" ref="Q251">INDEX('Primary - GRADING'!$A$1:$CP997,MATCH($A251,'Primary - GRADING'!$CP:$CP,0),6)</f>
        <v>#N/A</v>
      </c>
      <c r="R251" s="153" t="str">
        <f t="array" ref="R251">INDEX('Primary - GRADING'!$A$1:$CP997,MATCH($A251,'Primary - GRADING'!$CP:$CP,0),7)</f>
        <v>#N/A</v>
      </c>
      <c r="S251" s="153" t="str">
        <f t="array" ref="S251">INDEX('Primary - GRADING'!$A$1:$CP997,MATCH($A251,'Primary - GRADING'!$CP:$CP,0),8)</f>
        <v>#N/A</v>
      </c>
      <c r="T251" s="153" t="str">
        <f t="array" ref="T251">INDEX('Primary - GRADING'!$A$1:$CP997,MATCH($A251,'Primary - GRADING'!$CP:$CP,0),9)</f>
        <v>#N/A</v>
      </c>
      <c r="U251" s="153" t="str">
        <f t="array" ref="U251">INDEX('Primary - GRADING'!$A$1:$CP997,MATCH($A251,'Primary - GRADING'!$CP:$CP,0),10)</f>
        <v>#N/A</v>
      </c>
      <c r="V251" s="153" t="str">
        <f t="array" ref="V251">INDEX('Primary - GRADING'!$A$1:$CP997,MATCH($A251,'Primary - GRADING'!$CP:$CP,0),18)</f>
        <v>#N/A</v>
      </c>
      <c r="W251" s="153" t="str">
        <f t="array" ref="W251">INDEX('Primary - GRADING'!$A$1:$CP997,MATCH($A251,'Primary - GRADING'!$CP:$CP,0),20)</f>
        <v>#N/A</v>
      </c>
      <c r="X251" s="153" t="str">
        <f t="array" ref="X251">INDEX('Primary - GRADING'!$A$1:$CP997,MATCH($A251,'Primary - GRADING'!$CP:$CP,0),21)</f>
        <v>#N/A</v>
      </c>
      <c r="Y251" s="153" t="str">
        <f t="array" ref="Y251">INDEX('Primary - GRADING'!$A$1:$CP997,MATCH($A251,'Primary - GRADING'!$CP:$CP,0),22)</f>
        <v>#N/A</v>
      </c>
      <c r="Z251" s="165" t="str">
        <f t="array" ref="Z251">INDEX('Primary - GRADING'!$A$1:$CP997,MATCH($A251,'Primary - GRADING'!$CP:$CP,0),23)</f>
        <v>#N/A</v>
      </c>
      <c r="AA251" s="153" t="str">
        <f t="array" ref="AA251">INDEX('Primary - GRADING'!$A$1:$CP997,MATCH($A251,'Primary - GRADING'!$CP:$CP,0),24)</f>
        <v>#N/A</v>
      </c>
      <c r="AB251" s="153" t="str">
        <f t="array" ref="AB251">INDEX('Primary - GRADING'!$A$1:$CP997,MATCH($A251,'Primary - GRADING'!$CP:$CP,0),25)</f>
        <v>#N/A</v>
      </c>
      <c r="AC251" s="153" t="str">
        <f t="array" ref="AC251">INDEX('Primary - GRADING'!$A$1:$CP997,MATCH($A251,'Primary - GRADING'!$CP:$CP,0),46)</f>
        <v>#N/A</v>
      </c>
      <c r="AG251" s="153" t="str">
        <f t="shared" si="7"/>
        <v>#N/A</v>
      </c>
      <c r="AI251" s="153" t="str">
        <f>VLOOKUP(AH251,'Primary - GRADING'!$A$4:$C997,2,)</f>
        <v>#N/A</v>
      </c>
      <c r="AJ251" s="153" t="str">
        <f>VLOOKUP(AH251,'Primary - GRADING'!$A$4:$C997,3,)</f>
        <v>#N/A</v>
      </c>
      <c r="AK251" s="153" t="str">
        <f>VLOOKUP(AH251,'Primary - GRADING'!$A$4:$BG997,59,)</f>
        <v>#N/A</v>
      </c>
      <c r="AL251" s="153" t="str">
        <f>IFS(AK251="NMA",VLOOKUP(AH251,'Primary - GRADING'!$A$4:$BG997,51,),AK251="DIRECT",VLOOKUP(AH251,'Primary - GRADING'!$A$4:$BG997,8,),AK251="INDIRECT",VLOOKUP(AH251,'Primary - GRADING'!$A$4:$BG997,23,))</f>
        <v>#N/A</v>
      </c>
      <c r="AM251" s="153" t="str">
        <f>IFS(AK251="NMA",VLOOKUP(AH251,'Primary - GRADING'!$A$4:$BG997,52,),AK251="DIRECT",VLOOKUP(AH251,'Primary - GRADING'!$A$4:$BG997,9,),AK251="INDIRECT",VLOOKUP(AH251,'Primary - GRADING'!$A$4:$BG997,24,))</f>
        <v>#N/A</v>
      </c>
      <c r="AN251" s="153" t="str">
        <f>IFS(AK251="NMA",VLOOKUP(AH251,'Primary - GRADING'!$A$4:$BG997,53,),AK251="DIRECT",VLOOKUP(AH251,'Primary - GRADING'!$A$4:$BG997,10,),AK251="INDIRECT",VLOOKUP(AH251,'Primary - GRADING'!$A$4:$BG997,25,))</f>
        <v>#N/A</v>
      </c>
      <c r="AO251" s="153" t="str">
        <f t="shared" si="8"/>
        <v>#N/A</v>
      </c>
      <c r="AT251" s="153" t="str">
        <f t="shared" si="9"/>
        <v>#N/A</v>
      </c>
      <c r="AV251" s="153" t="str">
        <f>VLOOKUP(AU251,'Primary - GRADING'!$A$4:$C997,2,)</f>
        <v>#N/A</v>
      </c>
      <c r="AW251" s="153" t="str">
        <f>VLOOKUP(AU251,'Primary - GRADING'!$A$4:$C997,3,)</f>
        <v>#N/A</v>
      </c>
      <c r="AX251" s="153" t="str">
        <f>VLOOKUP(AU251,'Primary - GRADING'!$A$4:$BG997,59,)</f>
        <v>#N/A</v>
      </c>
      <c r="AY251" s="153" t="str">
        <f>IFS(AX251="NMA",VLOOKUP(AU251,'Primary - GRADING'!$A$4:$BG997,51,),AX251="DIRECT",VLOOKUP(AU251,'Primary - GRADING'!$A$4:$BG997,8,),AX251="INDIRECT",VLOOKUP(AU251,'Primary - GRADING'!$A$4:$BG997,23,))</f>
        <v>#N/A</v>
      </c>
      <c r="AZ251" s="153" t="str">
        <f>IFS(AX251="NMA",VLOOKUP(AU251,'Primary - GRADING'!$A$4:$BG997,52,),AX251="DIRECT",VLOOKUP(AU251,'Primary - GRADING'!$A$4:$BG997,9,),AX251="INDIRECT",VLOOKUP(AU251,'Primary - GRADING'!$A$4:$BG997,24,))</f>
        <v>#N/A</v>
      </c>
      <c r="BA251" s="153" t="str">
        <f>IFS(AX251="NMA",VLOOKUP(AU251,'Primary - GRADING'!$A$4:$BG997,53,),AX251="DIRECT",VLOOKUP(AU251,'Primary - GRADING'!$A$4:$BG997,10,),AX251="INDIRECT",VLOOKUP(AU251,'Primary - GRADING'!$A$4:$BG997,25,))</f>
        <v>#N/A</v>
      </c>
      <c r="BB251" s="153" t="str">
        <f t="shared" si="10"/>
        <v>#N/A</v>
      </c>
      <c r="BE251" s="153" t="str">
        <f t="shared" si="11"/>
        <v/>
      </c>
      <c r="BG251" s="153" t="str">
        <f t="shared" si="12"/>
        <v>#N/A</v>
      </c>
      <c r="BI251" s="153" t="str">
        <f t="shared" si="13"/>
        <v>#N/A</v>
      </c>
      <c r="BK251" s="153" t="str">
        <f t="shared" si="14"/>
        <v>#N/A</v>
      </c>
      <c r="BM251" s="153" t="str">
        <f t="shared" si="15"/>
        <v>#N/A</v>
      </c>
    </row>
    <row r="252" ht="15.75" customHeight="1">
      <c r="B252" s="160" t="str">
        <f t="shared" si="1"/>
        <v>#N/A</v>
      </c>
      <c r="C252" s="160" t="str">
        <f t="shared" si="2"/>
        <v>#N/A</v>
      </c>
      <c r="D252" s="160" t="str">
        <f t="shared" si="3"/>
        <v>#N/A</v>
      </c>
      <c r="E252" s="161" t="str">
        <f t="shared" si="4"/>
        <v>#N/A</v>
      </c>
      <c r="F252" s="153" t="str">
        <f t="shared" si="17"/>
        <v>#N/A</v>
      </c>
      <c r="G252" s="153" t="str">
        <f t="shared" si="6"/>
        <v>#N/A</v>
      </c>
      <c r="H252" s="156" t="str">
        <f t="array" ref="H252">INDEX('Primary - GRADING'!$A$1:$BG997,MATCH($A252,'Primary - GRADING'!$B:$B,0),59)</f>
        <v>#N/A</v>
      </c>
      <c r="I252" s="153" t="str">
        <f t="array" ref="I252">INDEX('Primary - GRADING'!$A$1:$CP997,MATCH($A252,'Primary - GRADING'!$CP:$CP,0),48)</f>
        <v>#N/A</v>
      </c>
      <c r="J252" s="153" t="str">
        <f t="array" ref="J252">INDEX('Primary - GRADING'!$A$1:$CP997,MATCH($A252,'Primary - GRADING'!$CP:$CP,0),49)</f>
        <v>#N/A</v>
      </c>
      <c r="K252" s="153" t="str">
        <f t="array" ref="K252">INDEX('Primary - GRADING'!$A$1:$CP997,MATCH($A252,'Primary - GRADING'!$CP:$CP,0),50)</f>
        <v>#N/A</v>
      </c>
      <c r="L252" s="153" t="str">
        <f t="array" ref="L252">INDEX('Primary - GRADING'!$A$1:$CP997,MATCH($A252,'Primary - GRADING'!$CP:$CP,0),51)</f>
        <v>#N/A</v>
      </c>
      <c r="M252" s="153" t="str">
        <f t="array" ref="M252">INDEX('Primary - GRADING'!$A$1:$CP997,MATCH($A252,'Primary - GRADING'!$CP:$CP,0),52)</f>
        <v>#N/A</v>
      </c>
      <c r="N252" s="153" t="str">
        <f t="array" ref="N252">INDEX('Primary - GRADING'!$A$1:$CP997,MATCH($A252,'Primary - GRADING'!$CP:$CP,0),53)</f>
        <v>#N/A</v>
      </c>
      <c r="O252" s="153" t="str">
        <f t="array" ref="O252">INDEX('Primary - GRADING'!$A$1:$CP997,MATCH($A252,'Primary - GRADING'!$CP:$CP,0),58)</f>
        <v>#N/A</v>
      </c>
      <c r="P252" s="153" t="str">
        <f t="array" ref="P252">INDEX('Primary - GRADING'!$A$1:$CP997,MATCH($A252,'Primary - GRADING'!$CP:$CP,0),5)</f>
        <v>#N/A</v>
      </c>
      <c r="Q252" s="153" t="str">
        <f t="array" ref="Q252">INDEX('Primary - GRADING'!$A$1:$CP997,MATCH($A252,'Primary - GRADING'!$CP:$CP,0),6)</f>
        <v>#N/A</v>
      </c>
      <c r="R252" s="153" t="str">
        <f t="array" ref="R252">INDEX('Primary - GRADING'!$A$1:$CP997,MATCH($A252,'Primary - GRADING'!$CP:$CP,0),7)</f>
        <v>#N/A</v>
      </c>
      <c r="S252" s="153" t="str">
        <f t="array" ref="S252">INDEX('Primary - GRADING'!$A$1:$CP997,MATCH($A252,'Primary - GRADING'!$CP:$CP,0),8)</f>
        <v>#N/A</v>
      </c>
      <c r="T252" s="153" t="str">
        <f t="array" ref="T252">INDEX('Primary - GRADING'!$A$1:$CP997,MATCH($A252,'Primary - GRADING'!$CP:$CP,0),9)</f>
        <v>#N/A</v>
      </c>
      <c r="U252" s="153" t="str">
        <f t="array" ref="U252">INDEX('Primary - GRADING'!$A$1:$CP997,MATCH($A252,'Primary - GRADING'!$CP:$CP,0),10)</f>
        <v>#N/A</v>
      </c>
      <c r="V252" s="153" t="str">
        <f t="array" ref="V252">INDEX('Primary - GRADING'!$A$1:$CP997,MATCH($A252,'Primary - GRADING'!$CP:$CP,0),18)</f>
        <v>#N/A</v>
      </c>
      <c r="W252" s="153" t="str">
        <f t="array" ref="W252">INDEX('Primary - GRADING'!$A$1:$CP997,MATCH($A252,'Primary - GRADING'!$CP:$CP,0),20)</f>
        <v>#N/A</v>
      </c>
      <c r="X252" s="153" t="str">
        <f t="array" ref="X252">INDEX('Primary - GRADING'!$A$1:$CP997,MATCH($A252,'Primary - GRADING'!$CP:$CP,0),21)</f>
        <v>#N/A</v>
      </c>
      <c r="Y252" s="153" t="str">
        <f t="array" ref="Y252">INDEX('Primary - GRADING'!$A$1:$CP997,MATCH($A252,'Primary - GRADING'!$CP:$CP,0),22)</f>
        <v>#N/A</v>
      </c>
      <c r="Z252" s="165" t="str">
        <f t="array" ref="Z252">INDEX('Primary - GRADING'!$A$1:$CP997,MATCH($A252,'Primary - GRADING'!$CP:$CP,0),23)</f>
        <v>#N/A</v>
      </c>
      <c r="AA252" s="153" t="str">
        <f t="array" ref="AA252">INDEX('Primary - GRADING'!$A$1:$CP997,MATCH($A252,'Primary - GRADING'!$CP:$CP,0),24)</f>
        <v>#N/A</v>
      </c>
      <c r="AB252" s="153" t="str">
        <f t="array" ref="AB252">INDEX('Primary - GRADING'!$A$1:$CP997,MATCH($A252,'Primary - GRADING'!$CP:$CP,0),25)</f>
        <v>#N/A</v>
      </c>
      <c r="AC252" s="153" t="str">
        <f t="array" ref="AC252">INDEX('Primary - GRADING'!$A$1:$CP997,MATCH($A252,'Primary - GRADING'!$CP:$CP,0),46)</f>
        <v>#N/A</v>
      </c>
      <c r="AG252" s="153" t="str">
        <f t="shared" si="7"/>
        <v>#N/A</v>
      </c>
      <c r="AI252" s="153" t="str">
        <f>VLOOKUP(AH252,'Primary - GRADING'!$A$4:$C997,2,)</f>
        <v>#N/A</v>
      </c>
      <c r="AJ252" s="153" t="str">
        <f>VLOOKUP(AH252,'Primary - GRADING'!$A$4:$C997,3,)</f>
        <v>#N/A</v>
      </c>
      <c r="AK252" s="153" t="str">
        <f>VLOOKUP(AH252,'Primary - GRADING'!$A$4:$BG997,59,)</f>
        <v>#N/A</v>
      </c>
      <c r="AL252" s="153" t="str">
        <f>IFS(AK252="NMA",VLOOKUP(AH252,'Primary - GRADING'!$A$4:$BG997,51,),AK252="DIRECT",VLOOKUP(AH252,'Primary - GRADING'!$A$4:$BG997,8,),AK252="INDIRECT",VLOOKUP(AH252,'Primary - GRADING'!$A$4:$BG997,23,))</f>
        <v>#N/A</v>
      </c>
      <c r="AM252" s="153" t="str">
        <f>IFS(AK252="NMA",VLOOKUP(AH252,'Primary - GRADING'!$A$4:$BG997,52,),AK252="DIRECT",VLOOKUP(AH252,'Primary - GRADING'!$A$4:$BG997,9,),AK252="INDIRECT",VLOOKUP(AH252,'Primary - GRADING'!$A$4:$BG997,24,))</f>
        <v>#N/A</v>
      </c>
      <c r="AN252" s="153" t="str">
        <f>IFS(AK252="NMA",VLOOKUP(AH252,'Primary - GRADING'!$A$4:$BG997,53,),AK252="DIRECT",VLOOKUP(AH252,'Primary - GRADING'!$A$4:$BG997,10,),AK252="INDIRECT",VLOOKUP(AH252,'Primary - GRADING'!$A$4:$BG997,25,))</f>
        <v>#N/A</v>
      </c>
      <c r="AO252" s="153" t="str">
        <f t="shared" si="8"/>
        <v>#N/A</v>
      </c>
      <c r="AT252" s="153" t="str">
        <f t="shared" si="9"/>
        <v>#N/A</v>
      </c>
      <c r="AV252" s="153" t="str">
        <f>VLOOKUP(AU252,'Primary - GRADING'!$A$4:$C997,2,)</f>
        <v>#N/A</v>
      </c>
      <c r="AW252" s="153" t="str">
        <f>VLOOKUP(AU252,'Primary - GRADING'!$A$4:$C997,3,)</f>
        <v>#N/A</v>
      </c>
      <c r="AX252" s="153" t="str">
        <f>VLOOKUP(AU252,'Primary - GRADING'!$A$4:$BG997,59,)</f>
        <v>#N/A</v>
      </c>
      <c r="AY252" s="153" t="str">
        <f>IFS(AX252="NMA",VLOOKUP(AU252,'Primary - GRADING'!$A$4:$BG997,51,),AX252="DIRECT",VLOOKUP(AU252,'Primary - GRADING'!$A$4:$BG997,8,),AX252="INDIRECT",VLOOKUP(AU252,'Primary - GRADING'!$A$4:$BG997,23,))</f>
        <v>#N/A</v>
      </c>
      <c r="AZ252" s="153" t="str">
        <f>IFS(AX252="NMA",VLOOKUP(AU252,'Primary - GRADING'!$A$4:$BG997,52,),AX252="DIRECT",VLOOKUP(AU252,'Primary - GRADING'!$A$4:$BG997,9,),AX252="INDIRECT",VLOOKUP(AU252,'Primary - GRADING'!$A$4:$BG997,24,))</f>
        <v>#N/A</v>
      </c>
      <c r="BA252" s="153" t="str">
        <f>IFS(AX252="NMA",VLOOKUP(AU252,'Primary - GRADING'!$A$4:$BG997,53,),AX252="DIRECT",VLOOKUP(AU252,'Primary - GRADING'!$A$4:$BG997,10,),AX252="INDIRECT",VLOOKUP(AU252,'Primary - GRADING'!$A$4:$BG997,25,))</f>
        <v>#N/A</v>
      </c>
      <c r="BB252" s="153" t="str">
        <f t="shared" si="10"/>
        <v>#N/A</v>
      </c>
      <c r="BE252" s="153" t="str">
        <f t="shared" si="11"/>
        <v/>
      </c>
      <c r="BG252" s="153" t="str">
        <f t="shared" si="12"/>
        <v>#N/A</v>
      </c>
      <c r="BI252" s="153" t="str">
        <f t="shared" si="13"/>
        <v>#N/A</v>
      </c>
      <c r="BK252" s="153" t="str">
        <f t="shared" si="14"/>
        <v>#N/A</v>
      </c>
      <c r="BM252" s="153" t="str">
        <f t="shared" si="15"/>
        <v>#N/A</v>
      </c>
    </row>
    <row r="253" ht="15.75" customHeight="1">
      <c r="B253" s="160" t="str">
        <f t="shared" si="1"/>
        <v>#N/A</v>
      </c>
      <c r="C253" s="160" t="str">
        <f t="shared" si="2"/>
        <v>#N/A</v>
      </c>
      <c r="D253" s="160" t="str">
        <f t="shared" si="3"/>
        <v>#N/A</v>
      </c>
      <c r="E253" s="161" t="str">
        <f t="shared" si="4"/>
        <v>#N/A</v>
      </c>
      <c r="F253" s="153" t="str">
        <f t="shared" si="17"/>
        <v>#N/A</v>
      </c>
      <c r="G253" s="153" t="str">
        <f t="shared" si="6"/>
        <v>#N/A</v>
      </c>
      <c r="H253" s="156" t="str">
        <f t="array" ref="H253">INDEX('Primary - GRADING'!$A$1:$BG997,MATCH($A253,'Primary - GRADING'!$B:$B,0),59)</f>
        <v>#N/A</v>
      </c>
      <c r="I253" s="153" t="str">
        <f t="array" ref="I253">INDEX('Primary - GRADING'!$A$1:$CP997,MATCH($A253,'Primary - GRADING'!$CP:$CP,0),48)</f>
        <v>#N/A</v>
      </c>
      <c r="J253" s="153" t="str">
        <f t="array" ref="J253">INDEX('Primary - GRADING'!$A$1:$CP997,MATCH($A253,'Primary - GRADING'!$CP:$CP,0),49)</f>
        <v>#N/A</v>
      </c>
      <c r="K253" s="153" t="str">
        <f t="array" ref="K253">INDEX('Primary - GRADING'!$A$1:$CP997,MATCH($A253,'Primary - GRADING'!$CP:$CP,0),50)</f>
        <v>#N/A</v>
      </c>
      <c r="L253" s="153" t="str">
        <f t="array" ref="L253">INDEX('Primary - GRADING'!$A$1:$CP997,MATCH($A253,'Primary - GRADING'!$CP:$CP,0),51)</f>
        <v>#N/A</v>
      </c>
      <c r="M253" s="153" t="str">
        <f t="array" ref="M253">INDEX('Primary - GRADING'!$A$1:$CP997,MATCH($A253,'Primary - GRADING'!$CP:$CP,0),52)</f>
        <v>#N/A</v>
      </c>
      <c r="N253" s="153" t="str">
        <f t="array" ref="N253">INDEX('Primary - GRADING'!$A$1:$CP997,MATCH($A253,'Primary - GRADING'!$CP:$CP,0),53)</f>
        <v>#N/A</v>
      </c>
      <c r="O253" s="153" t="str">
        <f t="array" ref="O253">INDEX('Primary - GRADING'!$A$1:$CP997,MATCH($A253,'Primary - GRADING'!$CP:$CP,0),58)</f>
        <v>#N/A</v>
      </c>
      <c r="P253" s="153" t="str">
        <f t="array" ref="P253">INDEX('Primary - GRADING'!$A$1:$CP997,MATCH($A253,'Primary - GRADING'!$CP:$CP,0),5)</f>
        <v>#N/A</v>
      </c>
      <c r="Q253" s="153" t="str">
        <f t="array" ref="Q253">INDEX('Primary - GRADING'!$A$1:$CP997,MATCH($A253,'Primary - GRADING'!$CP:$CP,0),6)</f>
        <v>#N/A</v>
      </c>
      <c r="R253" s="153" t="str">
        <f t="array" ref="R253">INDEX('Primary - GRADING'!$A$1:$CP997,MATCH($A253,'Primary - GRADING'!$CP:$CP,0),7)</f>
        <v>#N/A</v>
      </c>
      <c r="S253" s="153" t="str">
        <f t="array" ref="S253">INDEX('Primary - GRADING'!$A$1:$CP997,MATCH($A253,'Primary - GRADING'!$CP:$CP,0),8)</f>
        <v>#N/A</v>
      </c>
      <c r="T253" s="153" t="str">
        <f t="array" ref="T253">INDEX('Primary - GRADING'!$A$1:$CP997,MATCH($A253,'Primary - GRADING'!$CP:$CP,0),9)</f>
        <v>#N/A</v>
      </c>
      <c r="U253" s="153" t="str">
        <f t="array" ref="U253">INDEX('Primary - GRADING'!$A$1:$CP997,MATCH($A253,'Primary - GRADING'!$CP:$CP,0),10)</f>
        <v>#N/A</v>
      </c>
      <c r="V253" s="153" t="str">
        <f t="array" ref="V253">INDEX('Primary - GRADING'!$A$1:$CP997,MATCH($A253,'Primary - GRADING'!$CP:$CP,0),18)</f>
        <v>#N/A</v>
      </c>
      <c r="W253" s="153" t="str">
        <f t="array" ref="W253">INDEX('Primary - GRADING'!$A$1:$CP997,MATCH($A253,'Primary - GRADING'!$CP:$CP,0),20)</f>
        <v>#N/A</v>
      </c>
      <c r="X253" s="153" t="str">
        <f t="array" ref="X253">INDEX('Primary - GRADING'!$A$1:$CP997,MATCH($A253,'Primary - GRADING'!$CP:$CP,0),21)</f>
        <v>#N/A</v>
      </c>
      <c r="Y253" s="153" t="str">
        <f t="array" ref="Y253">INDEX('Primary - GRADING'!$A$1:$CP997,MATCH($A253,'Primary - GRADING'!$CP:$CP,0),22)</f>
        <v>#N/A</v>
      </c>
      <c r="Z253" s="165" t="str">
        <f t="array" ref="Z253">INDEX('Primary - GRADING'!$A$1:$CP997,MATCH($A253,'Primary - GRADING'!$CP:$CP,0),23)</f>
        <v>#N/A</v>
      </c>
      <c r="AA253" s="153" t="str">
        <f t="array" ref="AA253">INDEX('Primary - GRADING'!$A$1:$CP997,MATCH($A253,'Primary - GRADING'!$CP:$CP,0),24)</f>
        <v>#N/A</v>
      </c>
      <c r="AB253" s="153" t="str">
        <f t="array" ref="AB253">INDEX('Primary - GRADING'!$A$1:$CP997,MATCH($A253,'Primary - GRADING'!$CP:$CP,0),25)</f>
        <v>#N/A</v>
      </c>
      <c r="AC253" s="153" t="str">
        <f t="array" ref="AC253">INDEX('Primary - GRADING'!$A$1:$CP997,MATCH($A253,'Primary - GRADING'!$CP:$CP,0),46)</f>
        <v>#N/A</v>
      </c>
      <c r="AG253" s="153" t="str">
        <f t="shared" si="7"/>
        <v>#N/A</v>
      </c>
      <c r="AI253" s="153" t="str">
        <f>VLOOKUP(AH253,'Primary - GRADING'!$A$4:$C997,2,)</f>
        <v>#N/A</v>
      </c>
      <c r="AJ253" s="153" t="str">
        <f>VLOOKUP(AH253,'Primary - GRADING'!$A$4:$C997,3,)</f>
        <v>#N/A</v>
      </c>
      <c r="AK253" s="153" t="str">
        <f>VLOOKUP(AH253,'Primary - GRADING'!$A$4:$BG997,59,)</f>
        <v>#N/A</v>
      </c>
      <c r="AL253" s="153" t="str">
        <f>IFS(AK253="NMA",VLOOKUP(AH253,'Primary - GRADING'!$A$4:$BG997,51,),AK253="DIRECT",VLOOKUP(AH253,'Primary - GRADING'!$A$4:$BG997,8,),AK253="INDIRECT",VLOOKUP(AH253,'Primary - GRADING'!$A$4:$BG997,23,))</f>
        <v>#N/A</v>
      </c>
      <c r="AM253" s="153" t="str">
        <f>IFS(AK253="NMA",VLOOKUP(AH253,'Primary - GRADING'!$A$4:$BG997,52,),AK253="DIRECT",VLOOKUP(AH253,'Primary - GRADING'!$A$4:$BG997,9,),AK253="INDIRECT",VLOOKUP(AH253,'Primary - GRADING'!$A$4:$BG997,24,))</f>
        <v>#N/A</v>
      </c>
      <c r="AN253" s="153" t="str">
        <f>IFS(AK253="NMA",VLOOKUP(AH253,'Primary - GRADING'!$A$4:$BG997,53,),AK253="DIRECT",VLOOKUP(AH253,'Primary - GRADING'!$A$4:$BG997,10,),AK253="INDIRECT",VLOOKUP(AH253,'Primary - GRADING'!$A$4:$BG997,25,))</f>
        <v>#N/A</v>
      </c>
      <c r="AO253" s="153" t="str">
        <f t="shared" si="8"/>
        <v>#N/A</v>
      </c>
      <c r="AT253" s="153" t="str">
        <f t="shared" si="9"/>
        <v>#N/A</v>
      </c>
      <c r="AV253" s="153" t="str">
        <f>VLOOKUP(AU253,'Primary - GRADING'!$A$4:$C997,2,)</f>
        <v>#N/A</v>
      </c>
      <c r="AW253" s="153" t="str">
        <f>VLOOKUP(AU253,'Primary - GRADING'!$A$4:$C997,3,)</f>
        <v>#N/A</v>
      </c>
      <c r="AX253" s="153" t="str">
        <f>VLOOKUP(AU253,'Primary - GRADING'!$A$4:$BG997,59,)</f>
        <v>#N/A</v>
      </c>
      <c r="AY253" s="153" t="str">
        <f>IFS(AX253="NMA",VLOOKUP(AU253,'Primary - GRADING'!$A$4:$BG997,51,),AX253="DIRECT",VLOOKUP(AU253,'Primary - GRADING'!$A$4:$BG997,8,),AX253="INDIRECT",VLOOKUP(AU253,'Primary - GRADING'!$A$4:$BG997,23,))</f>
        <v>#N/A</v>
      </c>
      <c r="AZ253" s="153" t="str">
        <f>IFS(AX253="NMA",VLOOKUP(AU253,'Primary - GRADING'!$A$4:$BG997,52,),AX253="DIRECT",VLOOKUP(AU253,'Primary - GRADING'!$A$4:$BG997,9,),AX253="INDIRECT",VLOOKUP(AU253,'Primary - GRADING'!$A$4:$BG997,24,))</f>
        <v>#N/A</v>
      </c>
      <c r="BA253" s="153" t="str">
        <f>IFS(AX253="NMA",VLOOKUP(AU253,'Primary - GRADING'!$A$4:$BG997,53,),AX253="DIRECT",VLOOKUP(AU253,'Primary - GRADING'!$A$4:$BG997,10,),AX253="INDIRECT",VLOOKUP(AU253,'Primary - GRADING'!$A$4:$BG997,25,))</f>
        <v>#N/A</v>
      </c>
      <c r="BB253" s="153" t="str">
        <f t="shared" si="10"/>
        <v>#N/A</v>
      </c>
      <c r="BE253" s="153" t="str">
        <f t="shared" si="11"/>
        <v/>
      </c>
      <c r="BG253" s="153" t="str">
        <f t="shared" si="12"/>
        <v>#N/A</v>
      </c>
      <c r="BI253" s="153" t="str">
        <f t="shared" si="13"/>
        <v>#N/A</v>
      </c>
      <c r="BK253" s="153" t="str">
        <f t="shared" si="14"/>
        <v>#N/A</v>
      </c>
      <c r="BM253" s="153" t="str">
        <f t="shared" si="15"/>
        <v>#N/A</v>
      </c>
    </row>
    <row r="254" ht="15.75" customHeight="1">
      <c r="I254" s="153" t="str">
        <f t="array" ref="I254">INDEX('Primary - GRADING'!$A$1:$CP997,MATCH($A254,'Primary - GRADING'!$CP:$CP,0),48)</f>
        <v>#N/A</v>
      </c>
      <c r="J254" s="153" t="str">
        <f t="array" ref="J254">INDEX('Primary - GRADING'!$A$1:$CP997,MATCH($A254,'Primary - GRADING'!$CP:$CP,0),49)</f>
        <v>#N/A</v>
      </c>
      <c r="K254" s="153" t="str">
        <f t="array" ref="K254">INDEX('Primary - GRADING'!$A$1:$CP997,MATCH($A254,'Primary - GRADING'!$CP:$CP,0),50)</f>
        <v>#N/A</v>
      </c>
      <c r="L254" s="153" t="str">
        <f t="array" ref="L254">INDEX('Primary - GRADING'!$A$1:$CP997,MATCH($A254,'Primary - GRADING'!$CP:$CP,0),51)</f>
        <v>#N/A</v>
      </c>
      <c r="M254" s="153" t="str">
        <f t="array" ref="M254">INDEX('Primary - GRADING'!$A$1:$CP997,MATCH($A254,'Primary - GRADING'!$CP:$CP,0),52)</f>
        <v>#N/A</v>
      </c>
      <c r="N254" s="153" t="str">
        <f t="array" ref="N254">INDEX('Primary - GRADING'!$A$1:$CP997,MATCH($A254,'Primary - GRADING'!$CP:$CP,0),53)</f>
        <v>#N/A</v>
      </c>
      <c r="O254" s="153" t="str">
        <f t="array" ref="O254">INDEX('Primary - GRADING'!$A$1:$CP997,MATCH($A254,'Primary - GRADING'!$CP:$CP,0),58)</f>
        <v>#N/A</v>
      </c>
      <c r="P254" s="153" t="str">
        <f t="array" ref="P254">INDEX('Primary - GRADING'!$A$1:$CP997,MATCH($A254,'Primary - GRADING'!$CP:$CP,0),5)</f>
        <v>#N/A</v>
      </c>
      <c r="Q254" s="153" t="str">
        <f t="array" ref="Q254">INDEX('Primary - GRADING'!$A$1:$CP997,MATCH($A254,'Primary - GRADING'!$CP:$CP,0),6)</f>
        <v>#N/A</v>
      </c>
      <c r="R254" s="153" t="str">
        <f t="array" ref="R254">INDEX('Primary - GRADING'!$A$1:$CP997,MATCH($A254,'Primary - GRADING'!$CP:$CP,0),7)</f>
        <v>#N/A</v>
      </c>
      <c r="S254" s="153" t="str">
        <f t="array" ref="S254">INDEX('Primary - GRADING'!$A$1:$CP997,MATCH($A254,'Primary - GRADING'!$CP:$CP,0),8)</f>
        <v>#N/A</v>
      </c>
      <c r="T254" s="153" t="str">
        <f t="array" ref="T254">INDEX('Primary - GRADING'!$A$1:$CP997,MATCH($A254,'Primary - GRADING'!$CP:$CP,0),9)</f>
        <v>#N/A</v>
      </c>
      <c r="U254" s="153" t="str">
        <f t="array" ref="U254">INDEX('Primary - GRADING'!$A$1:$CP997,MATCH($A254,'Primary - GRADING'!$CP:$CP,0),10)</f>
        <v>#N/A</v>
      </c>
      <c r="V254" s="153" t="str">
        <f t="array" ref="V254">INDEX('Primary - GRADING'!$A$1:$CP997,MATCH($A254,'Primary - GRADING'!$CP:$CP,0),18)</f>
        <v>#N/A</v>
      </c>
      <c r="W254" s="153" t="str">
        <f t="array" ref="W254">INDEX('Primary - GRADING'!$A$1:$CP997,MATCH($A254,'Primary - GRADING'!$CP:$CP,0),20)</f>
        <v>#N/A</v>
      </c>
      <c r="X254" s="153" t="str">
        <f t="array" ref="X254">INDEX('Primary - GRADING'!$A$1:$CP997,MATCH($A254,'Primary - GRADING'!$CP:$CP,0),21)</f>
        <v>#N/A</v>
      </c>
      <c r="Y254" s="153" t="str">
        <f t="array" ref="Y254">INDEX('Primary - GRADING'!$A$1:$CP997,MATCH($A254,'Primary - GRADING'!$CP:$CP,0),22)</f>
        <v>#N/A</v>
      </c>
      <c r="Z254" s="165" t="str">
        <f t="array" ref="Z254">INDEX('Primary - GRADING'!$A$1:$CP997,MATCH($A254,'Primary - GRADING'!$CP:$CP,0),23)</f>
        <v>#N/A</v>
      </c>
      <c r="AA254" s="153" t="str">
        <f t="array" ref="AA254">INDEX('Primary - GRADING'!$A$1:$CP997,MATCH($A254,'Primary - GRADING'!$CP:$CP,0),24)</f>
        <v>#N/A</v>
      </c>
      <c r="AB254" s="153" t="str">
        <f t="array" ref="AB254">INDEX('Primary - GRADING'!$A$1:$CP997,MATCH($A254,'Primary - GRADING'!$CP:$CP,0),25)</f>
        <v>#N/A</v>
      </c>
      <c r="AC254" s="153" t="str">
        <f t="array" ref="AC254">INDEX('Primary - GRADING'!$A$1:$CP997,MATCH($A254,'Primary - GRADING'!$CP:$CP,0),46)</f>
        <v>#N/A</v>
      </c>
      <c r="AG254" s="153" t="str">
        <f t="shared" si="7"/>
        <v>#N/A</v>
      </c>
    </row>
    <row r="255" ht="15.75" customHeight="1">
      <c r="I255" s="153" t="str">
        <f t="array" ref="I255">INDEX('Primary - GRADING'!$A$1:$CP997,MATCH($A255,'Primary - GRADING'!$CP:$CP,0),48)</f>
        <v>#N/A</v>
      </c>
      <c r="J255" s="153" t="str">
        <f t="array" ref="J255">INDEX('Primary - GRADING'!$A$1:$CP997,MATCH($A255,'Primary - GRADING'!$CP:$CP,0),49)</f>
        <v>#N/A</v>
      </c>
      <c r="K255" s="153" t="str">
        <f t="array" ref="K255">INDEX('Primary - GRADING'!$A$1:$CP997,MATCH($A255,'Primary - GRADING'!$CP:$CP,0),50)</f>
        <v>#N/A</v>
      </c>
      <c r="L255" s="153" t="str">
        <f t="array" ref="L255">INDEX('Primary - GRADING'!$A$1:$CP997,MATCH($A255,'Primary - GRADING'!$CP:$CP,0),51)</f>
        <v>#N/A</v>
      </c>
      <c r="M255" s="153" t="str">
        <f t="array" ref="M255">INDEX('Primary - GRADING'!$A$1:$CP997,MATCH($A255,'Primary - GRADING'!$CP:$CP,0),52)</f>
        <v>#N/A</v>
      </c>
      <c r="N255" s="153" t="str">
        <f t="array" ref="N255">INDEX('Primary - GRADING'!$A$1:$CP997,MATCH($A255,'Primary - GRADING'!$CP:$CP,0),53)</f>
        <v>#N/A</v>
      </c>
      <c r="O255" s="153" t="str">
        <f t="array" ref="O255">INDEX('Primary - GRADING'!$A$1:$CP997,MATCH($A255,'Primary - GRADING'!$CP:$CP,0),58)</f>
        <v>#N/A</v>
      </c>
      <c r="P255" s="153" t="str">
        <f t="array" ref="P255">INDEX('Primary - GRADING'!$A$1:$CP997,MATCH($A255,'Primary - GRADING'!$CP:$CP,0),5)</f>
        <v>#N/A</v>
      </c>
      <c r="Q255" s="153" t="str">
        <f t="array" ref="Q255">INDEX('Primary - GRADING'!$A$1:$CP997,MATCH($A255,'Primary - GRADING'!$CP:$CP,0),6)</f>
        <v>#N/A</v>
      </c>
      <c r="R255" s="153" t="str">
        <f t="array" ref="R255">INDEX('Primary - GRADING'!$A$1:$CP997,MATCH($A255,'Primary - GRADING'!$CP:$CP,0),7)</f>
        <v>#N/A</v>
      </c>
      <c r="S255" s="153" t="str">
        <f t="array" ref="S255">INDEX('Primary - GRADING'!$A$1:$CP997,MATCH($A255,'Primary - GRADING'!$CP:$CP,0),8)</f>
        <v>#N/A</v>
      </c>
      <c r="T255" s="153" t="str">
        <f t="array" ref="T255">INDEX('Primary - GRADING'!$A$1:$CP997,MATCH($A255,'Primary - GRADING'!$CP:$CP,0),9)</f>
        <v>#N/A</v>
      </c>
      <c r="U255" s="153" t="str">
        <f t="array" ref="U255">INDEX('Primary - GRADING'!$A$1:$CP997,MATCH($A255,'Primary - GRADING'!$CP:$CP,0),10)</f>
        <v>#N/A</v>
      </c>
      <c r="V255" s="153" t="str">
        <f t="array" ref="V255">INDEX('Primary - GRADING'!$A$1:$CP997,MATCH($A255,'Primary - GRADING'!$CP:$CP,0),18)</f>
        <v>#N/A</v>
      </c>
      <c r="W255" s="153" t="str">
        <f t="array" ref="W255">INDEX('Primary - GRADING'!$A$1:$CP997,MATCH($A255,'Primary - GRADING'!$CP:$CP,0),20)</f>
        <v>#N/A</v>
      </c>
      <c r="X255" s="153" t="str">
        <f t="array" ref="X255">INDEX('Primary - GRADING'!$A$1:$CP997,MATCH($A255,'Primary - GRADING'!$CP:$CP,0),21)</f>
        <v>#N/A</v>
      </c>
      <c r="Y255" s="153" t="str">
        <f t="array" ref="Y255">INDEX('Primary - GRADING'!$A$1:$CP997,MATCH($A255,'Primary - GRADING'!$CP:$CP,0),22)</f>
        <v>#N/A</v>
      </c>
      <c r="Z255" s="165" t="str">
        <f t="array" ref="Z255">INDEX('Primary - GRADING'!$A$1:$CP997,MATCH($A255,'Primary - GRADING'!$CP:$CP,0),23)</f>
        <v>#N/A</v>
      </c>
      <c r="AA255" s="153" t="str">
        <f t="array" ref="AA255">INDEX('Primary - GRADING'!$A$1:$CP997,MATCH($A255,'Primary - GRADING'!$CP:$CP,0),24)</f>
        <v>#N/A</v>
      </c>
      <c r="AB255" s="153" t="str">
        <f t="array" ref="AB255">INDEX('Primary - GRADING'!$A$1:$CP997,MATCH($A255,'Primary - GRADING'!$CP:$CP,0),25)</f>
        <v>#N/A</v>
      </c>
      <c r="AC255" s="153" t="str">
        <f t="array" ref="AC255">INDEX('Primary - GRADING'!$A$1:$CP997,MATCH($A255,'Primary - GRADING'!$CP:$CP,0),46)</f>
        <v>#N/A</v>
      </c>
      <c r="AG255" s="153" t="str">
        <f t="shared" si="7"/>
        <v>#N/A</v>
      </c>
    </row>
    <row r="256" ht="15.75" customHeight="1">
      <c r="I256" s="153" t="str">
        <f t="array" ref="I256">INDEX('Primary - GRADING'!$A$1:$CP997,MATCH($A256,'Primary - GRADING'!$CP:$CP,0),48)</f>
        <v>#N/A</v>
      </c>
      <c r="J256" s="153" t="str">
        <f t="array" ref="J256">INDEX('Primary - GRADING'!$A$1:$CP997,MATCH($A256,'Primary - GRADING'!$CP:$CP,0),49)</f>
        <v>#N/A</v>
      </c>
      <c r="K256" s="153" t="str">
        <f t="array" ref="K256">INDEX('Primary - GRADING'!$A$1:$CP997,MATCH($A256,'Primary - GRADING'!$CP:$CP,0),50)</f>
        <v>#N/A</v>
      </c>
      <c r="L256" s="153" t="str">
        <f t="array" ref="L256">INDEX('Primary - GRADING'!$A$1:$CP997,MATCH($A256,'Primary - GRADING'!$CP:$CP,0),51)</f>
        <v>#N/A</v>
      </c>
      <c r="M256" s="153" t="str">
        <f t="array" ref="M256">INDEX('Primary - GRADING'!$A$1:$CP997,MATCH($A256,'Primary - GRADING'!$CP:$CP,0),52)</f>
        <v>#N/A</v>
      </c>
      <c r="N256" s="153" t="str">
        <f t="array" ref="N256">INDEX('Primary - GRADING'!$A$1:$CP997,MATCH($A256,'Primary - GRADING'!$CP:$CP,0),53)</f>
        <v>#N/A</v>
      </c>
      <c r="O256" s="153" t="str">
        <f t="array" ref="O256">INDEX('Primary - GRADING'!$A$1:$CP997,MATCH($A256,'Primary - GRADING'!$CP:$CP,0),58)</f>
        <v>#N/A</v>
      </c>
      <c r="P256" s="153" t="str">
        <f t="array" ref="P256">INDEX('Primary - GRADING'!$A$1:$CP997,MATCH($A256,'Primary - GRADING'!$CP:$CP,0),5)</f>
        <v>#N/A</v>
      </c>
      <c r="Q256" s="153" t="str">
        <f t="array" ref="Q256">INDEX('Primary - GRADING'!$A$1:$CP997,MATCH($A256,'Primary - GRADING'!$CP:$CP,0),6)</f>
        <v>#N/A</v>
      </c>
      <c r="R256" s="153" t="str">
        <f t="array" ref="R256">INDEX('Primary - GRADING'!$A$1:$CP997,MATCH($A256,'Primary - GRADING'!$CP:$CP,0),7)</f>
        <v>#N/A</v>
      </c>
      <c r="S256" s="153" t="str">
        <f t="array" ref="S256">INDEX('Primary - GRADING'!$A$1:$CP997,MATCH($A256,'Primary - GRADING'!$CP:$CP,0),8)</f>
        <v>#N/A</v>
      </c>
      <c r="T256" s="153" t="str">
        <f t="array" ref="T256">INDEX('Primary - GRADING'!$A$1:$CP997,MATCH($A256,'Primary - GRADING'!$CP:$CP,0),9)</f>
        <v>#N/A</v>
      </c>
      <c r="U256" s="153" t="str">
        <f t="array" ref="U256">INDEX('Primary - GRADING'!$A$1:$CP997,MATCH($A256,'Primary - GRADING'!$CP:$CP,0),10)</f>
        <v>#N/A</v>
      </c>
      <c r="V256" s="153" t="str">
        <f t="array" ref="V256">INDEX('Primary - GRADING'!$A$1:$CP997,MATCH($A256,'Primary - GRADING'!$CP:$CP,0),18)</f>
        <v>#N/A</v>
      </c>
      <c r="W256" s="153" t="str">
        <f t="array" ref="W256">INDEX('Primary - GRADING'!$A$1:$CP997,MATCH($A256,'Primary - GRADING'!$CP:$CP,0),20)</f>
        <v>#N/A</v>
      </c>
      <c r="X256" s="153" t="str">
        <f t="array" ref="X256">INDEX('Primary - GRADING'!$A$1:$CP997,MATCH($A256,'Primary - GRADING'!$CP:$CP,0),21)</f>
        <v>#N/A</v>
      </c>
      <c r="Y256" s="153" t="str">
        <f t="array" ref="Y256">INDEX('Primary - GRADING'!$A$1:$CP997,MATCH($A256,'Primary - GRADING'!$CP:$CP,0),22)</f>
        <v>#N/A</v>
      </c>
      <c r="Z256" s="165" t="str">
        <f t="array" ref="Z256">INDEX('Primary - GRADING'!$A$1:$CP997,MATCH($A256,'Primary - GRADING'!$CP:$CP,0),23)</f>
        <v>#N/A</v>
      </c>
      <c r="AA256" s="153" t="str">
        <f t="array" ref="AA256">INDEX('Primary - GRADING'!$A$1:$CP997,MATCH($A256,'Primary - GRADING'!$CP:$CP,0),24)</f>
        <v>#N/A</v>
      </c>
      <c r="AB256" s="153" t="str">
        <f t="array" ref="AB256">INDEX('Primary - GRADING'!$A$1:$CP997,MATCH($A256,'Primary - GRADING'!$CP:$CP,0),25)</f>
        <v>#N/A</v>
      </c>
      <c r="AC256" s="153" t="str">
        <f t="array" ref="AC256">INDEX('Primary - GRADING'!$A$1:$CP997,MATCH($A256,'Primary - GRADING'!$CP:$CP,0),46)</f>
        <v>#N/A</v>
      </c>
      <c r="AG256" s="153" t="str">
        <f t="shared" si="7"/>
        <v>#N/A</v>
      </c>
    </row>
    <row r="257" ht="15.75" customHeight="1">
      <c r="I257" s="153" t="str">
        <f t="array" ref="I257">INDEX('Primary - GRADING'!$A$1:$CP997,MATCH($A257,'Primary - GRADING'!$CP:$CP,0),48)</f>
        <v>#N/A</v>
      </c>
      <c r="J257" s="153" t="str">
        <f t="array" ref="J257">INDEX('Primary - GRADING'!$A$1:$CP997,MATCH($A257,'Primary - GRADING'!$CP:$CP,0),49)</f>
        <v>#N/A</v>
      </c>
      <c r="K257" s="153" t="str">
        <f t="array" ref="K257">INDEX('Primary - GRADING'!$A$1:$CP997,MATCH($A257,'Primary - GRADING'!$CP:$CP,0),50)</f>
        <v>#N/A</v>
      </c>
      <c r="L257" s="153" t="str">
        <f t="array" ref="L257">INDEX('Primary - GRADING'!$A$1:$CP997,MATCH($A257,'Primary - GRADING'!$CP:$CP,0),51)</f>
        <v>#N/A</v>
      </c>
      <c r="M257" s="153" t="str">
        <f t="array" ref="M257">INDEX('Primary - GRADING'!$A$1:$CP997,MATCH($A257,'Primary - GRADING'!$CP:$CP,0),52)</f>
        <v>#N/A</v>
      </c>
      <c r="N257" s="153" t="str">
        <f t="array" ref="N257">INDEX('Primary - GRADING'!$A$1:$CP997,MATCH($A257,'Primary - GRADING'!$CP:$CP,0),53)</f>
        <v>#N/A</v>
      </c>
      <c r="O257" s="153" t="str">
        <f t="array" ref="O257">INDEX('Primary - GRADING'!$A$1:$CP997,MATCH($A257,'Primary - GRADING'!$CP:$CP,0),58)</f>
        <v>#N/A</v>
      </c>
      <c r="P257" s="153" t="str">
        <f t="array" ref="P257">INDEX('Primary - GRADING'!$A$1:$CP997,MATCH($A257,'Primary - GRADING'!$CP:$CP,0),5)</f>
        <v>#N/A</v>
      </c>
      <c r="Q257" s="153" t="str">
        <f t="array" ref="Q257">INDEX('Primary - GRADING'!$A$1:$CP997,MATCH($A257,'Primary - GRADING'!$CP:$CP,0),6)</f>
        <v>#N/A</v>
      </c>
      <c r="R257" s="153" t="str">
        <f t="array" ref="R257">INDEX('Primary - GRADING'!$A$1:$CP997,MATCH($A257,'Primary - GRADING'!$CP:$CP,0),7)</f>
        <v>#N/A</v>
      </c>
      <c r="S257" s="153" t="str">
        <f t="array" ref="S257">INDEX('Primary - GRADING'!$A$1:$CP997,MATCH($A257,'Primary - GRADING'!$CP:$CP,0),8)</f>
        <v>#N/A</v>
      </c>
      <c r="T257" s="153" t="str">
        <f t="array" ref="T257">INDEX('Primary - GRADING'!$A$1:$CP997,MATCH($A257,'Primary - GRADING'!$CP:$CP,0),9)</f>
        <v>#N/A</v>
      </c>
      <c r="U257" s="153" t="str">
        <f t="array" ref="U257">INDEX('Primary - GRADING'!$A$1:$CP997,MATCH($A257,'Primary - GRADING'!$CP:$CP,0),10)</f>
        <v>#N/A</v>
      </c>
      <c r="V257" s="153" t="str">
        <f t="array" ref="V257">INDEX('Primary - GRADING'!$A$1:$CP997,MATCH($A257,'Primary - GRADING'!$CP:$CP,0),18)</f>
        <v>#N/A</v>
      </c>
      <c r="W257" s="153" t="str">
        <f t="array" ref="W257">INDEX('Primary - GRADING'!$A$1:$CP997,MATCH($A257,'Primary - GRADING'!$CP:$CP,0),20)</f>
        <v>#N/A</v>
      </c>
      <c r="X257" s="153" t="str">
        <f t="array" ref="X257">INDEX('Primary - GRADING'!$A$1:$CP997,MATCH($A257,'Primary - GRADING'!$CP:$CP,0),21)</f>
        <v>#N/A</v>
      </c>
      <c r="Y257" s="153" t="str">
        <f t="array" ref="Y257">INDEX('Primary - GRADING'!$A$1:$CP997,MATCH($A257,'Primary - GRADING'!$CP:$CP,0),22)</f>
        <v>#N/A</v>
      </c>
      <c r="Z257" s="165" t="str">
        <f t="array" ref="Z257">INDEX('Primary - GRADING'!$A$1:$CP997,MATCH($A257,'Primary - GRADING'!$CP:$CP,0),23)</f>
        <v>#N/A</v>
      </c>
      <c r="AA257" s="153" t="str">
        <f t="array" ref="AA257">INDEX('Primary - GRADING'!$A$1:$CP997,MATCH($A257,'Primary - GRADING'!$CP:$CP,0),24)</f>
        <v>#N/A</v>
      </c>
      <c r="AB257" s="153" t="str">
        <f t="array" ref="AB257">INDEX('Primary - GRADING'!$A$1:$CP997,MATCH($A257,'Primary - GRADING'!$CP:$CP,0),25)</f>
        <v>#N/A</v>
      </c>
      <c r="AC257" s="153" t="str">
        <f t="array" ref="AC257">INDEX('Primary - GRADING'!$A$1:$CP997,MATCH($A257,'Primary - GRADING'!$CP:$CP,0),46)</f>
        <v>#N/A</v>
      </c>
      <c r="AG257" s="153" t="str">
        <f t="shared" si="7"/>
        <v>#N/A</v>
      </c>
    </row>
    <row r="258" ht="15.75" customHeight="1">
      <c r="I258" s="153" t="str">
        <f t="array" ref="I258">INDEX('Primary - GRADING'!$A$1:$CP997,MATCH($A258,'Primary - GRADING'!$CP:$CP,0),48)</f>
        <v>#N/A</v>
      </c>
      <c r="J258" s="153" t="str">
        <f t="array" ref="J258">INDEX('Primary - GRADING'!$A$1:$CP997,MATCH($A258,'Primary - GRADING'!$CP:$CP,0),49)</f>
        <v>#N/A</v>
      </c>
      <c r="K258" s="153" t="str">
        <f t="array" ref="K258">INDEX('Primary - GRADING'!$A$1:$CP997,MATCH($A258,'Primary - GRADING'!$CP:$CP,0),50)</f>
        <v>#N/A</v>
      </c>
      <c r="L258" s="153" t="str">
        <f t="array" ref="L258">INDEX('Primary - GRADING'!$A$1:$CP997,MATCH($A258,'Primary - GRADING'!$CP:$CP,0),51)</f>
        <v>#N/A</v>
      </c>
      <c r="M258" s="153" t="str">
        <f t="array" ref="M258">INDEX('Primary - GRADING'!$A$1:$CP997,MATCH($A258,'Primary - GRADING'!$CP:$CP,0),52)</f>
        <v>#N/A</v>
      </c>
      <c r="N258" s="153" t="str">
        <f t="array" ref="N258">INDEX('Primary - GRADING'!$A$1:$CP997,MATCH($A258,'Primary - GRADING'!$CP:$CP,0),53)</f>
        <v>#N/A</v>
      </c>
      <c r="O258" s="153" t="str">
        <f t="array" ref="O258">INDEX('Primary - GRADING'!$A$1:$CP997,MATCH($A258,'Primary - GRADING'!$CP:$CP,0),58)</f>
        <v>#N/A</v>
      </c>
      <c r="P258" s="153" t="str">
        <f t="array" ref="P258">INDEX('Primary - GRADING'!$A$1:$CP997,MATCH($A258,'Primary - GRADING'!$CP:$CP,0),5)</f>
        <v>#N/A</v>
      </c>
      <c r="Q258" s="153" t="str">
        <f t="array" ref="Q258">INDEX('Primary - GRADING'!$A$1:$CP997,MATCH($A258,'Primary - GRADING'!$CP:$CP,0),6)</f>
        <v>#N/A</v>
      </c>
      <c r="R258" s="153" t="str">
        <f t="array" ref="R258">INDEX('Primary - GRADING'!$A$1:$CP997,MATCH($A258,'Primary - GRADING'!$CP:$CP,0),7)</f>
        <v>#N/A</v>
      </c>
      <c r="S258" s="153" t="str">
        <f t="array" ref="S258">INDEX('Primary - GRADING'!$A$1:$CP997,MATCH($A258,'Primary - GRADING'!$CP:$CP,0),8)</f>
        <v>#N/A</v>
      </c>
      <c r="T258" s="153" t="str">
        <f t="array" ref="T258">INDEX('Primary - GRADING'!$A$1:$CP997,MATCH($A258,'Primary - GRADING'!$CP:$CP,0),9)</f>
        <v>#N/A</v>
      </c>
      <c r="U258" s="153" t="str">
        <f t="array" ref="U258">INDEX('Primary - GRADING'!$A$1:$CP997,MATCH($A258,'Primary - GRADING'!$CP:$CP,0),10)</f>
        <v>#N/A</v>
      </c>
      <c r="V258" s="153" t="str">
        <f t="array" ref="V258">INDEX('Primary - GRADING'!$A$1:$CP997,MATCH($A258,'Primary - GRADING'!$CP:$CP,0),18)</f>
        <v>#N/A</v>
      </c>
      <c r="W258" s="153" t="str">
        <f t="array" ref="W258">INDEX('Primary - GRADING'!$A$1:$CP997,MATCH($A258,'Primary - GRADING'!$CP:$CP,0),20)</f>
        <v>#N/A</v>
      </c>
      <c r="X258" s="153" t="str">
        <f t="array" ref="X258">INDEX('Primary - GRADING'!$A$1:$CP997,MATCH($A258,'Primary - GRADING'!$CP:$CP,0),21)</f>
        <v>#N/A</v>
      </c>
      <c r="Y258" s="153" t="str">
        <f t="array" ref="Y258">INDEX('Primary - GRADING'!$A$1:$CP997,MATCH($A258,'Primary - GRADING'!$CP:$CP,0),22)</f>
        <v>#N/A</v>
      </c>
      <c r="Z258" s="165" t="str">
        <f t="array" ref="Z258">INDEX('Primary - GRADING'!$A$1:$CP997,MATCH($A258,'Primary - GRADING'!$CP:$CP,0),23)</f>
        <v>#N/A</v>
      </c>
      <c r="AA258" s="153" t="str">
        <f t="array" ref="AA258">INDEX('Primary - GRADING'!$A$1:$CP997,MATCH($A258,'Primary - GRADING'!$CP:$CP,0),24)</f>
        <v>#N/A</v>
      </c>
      <c r="AB258" s="153" t="str">
        <f t="array" ref="AB258">INDEX('Primary - GRADING'!$A$1:$CP997,MATCH($A258,'Primary - GRADING'!$CP:$CP,0),25)</f>
        <v>#N/A</v>
      </c>
      <c r="AC258" s="153" t="str">
        <f t="array" ref="AC258">INDEX('Primary - GRADING'!$A$1:$CP997,MATCH($A258,'Primary - GRADING'!$CP:$CP,0),46)</f>
        <v>#N/A</v>
      </c>
      <c r="AG258" s="153" t="str">
        <f t="shared" si="7"/>
        <v>#N/A</v>
      </c>
    </row>
    <row r="259" ht="15.75" customHeight="1">
      <c r="I259" s="153" t="str">
        <f t="array" ref="I259">INDEX('Primary - GRADING'!$A$1:$CP997,MATCH($A259,'Primary - GRADING'!$CP:$CP,0),48)</f>
        <v>#N/A</v>
      </c>
      <c r="J259" s="153" t="str">
        <f t="array" ref="J259">INDEX('Primary - GRADING'!$A$1:$CP997,MATCH($A259,'Primary - GRADING'!$CP:$CP,0),49)</f>
        <v>#N/A</v>
      </c>
      <c r="K259" s="153" t="str">
        <f t="array" ref="K259">INDEX('Primary - GRADING'!$A$1:$CP997,MATCH($A259,'Primary - GRADING'!$CP:$CP,0),50)</f>
        <v>#N/A</v>
      </c>
      <c r="L259" s="153" t="str">
        <f t="array" ref="L259">INDEX('Primary - GRADING'!$A$1:$CP997,MATCH($A259,'Primary - GRADING'!$CP:$CP,0),51)</f>
        <v>#N/A</v>
      </c>
      <c r="M259" s="153" t="str">
        <f t="array" ref="M259">INDEX('Primary - GRADING'!$A$1:$CP997,MATCH($A259,'Primary - GRADING'!$CP:$CP,0),52)</f>
        <v>#N/A</v>
      </c>
      <c r="N259" s="153" t="str">
        <f t="array" ref="N259">INDEX('Primary - GRADING'!$A$1:$CP997,MATCH($A259,'Primary - GRADING'!$CP:$CP,0),53)</f>
        <v>#N/A</v>
      </c>
      <c r="O259" s="153" t="str">
        <f t="array" ref="O259">INDEX('Primary - GRADING'!$A$1:$CP997,MATCH($A259,'Primary - GRADING'!$CP:$CP,0),58)</f>
        <v>#N/A</v>
      </c>
      <c r="P259" s="153" t="str">
        <f t="array" ref="P259">INDEX('Primary - GRADING'!$A$1:$CP997,MATCH($A259,'Primary - GRADING'!$CP:$CP,0),5)</f>
        <v>#N/A</v>
      </c>
      <c r="Q259" s="153" t="str">
        <f t="array" ref="Q259">INDEX('Primary - GRADING'!$A$1:$CP997,MATCH($A259,'Primary - GRADING'!$CP:$CP,0),6)</f>
        <v>#N/A</v>
      </c>
      <c r="R259" s="153" t="str">
        <f t="array" ref="R259">INDEX('Primary - GRADING'!$A$1:$CP997,MATCH($A259,'Primary - GRADING'!$CP:$CP,0),7)</f>
        <v>#N/A</v>
      </c>
      <c r="S259" s="153" t="str">
        <f t="array" ref="S259">INDEX('Primary - GRADING'!$A$1:$CP997,MATCH($A259,'Primary - GRADING'!$CP:$CP,0),8)</f>
        <v>#N/A</v>
      </c>
      <c r="T259" s="153" t="str">
        <f t="array" ref="T259">INDEX('Primary - GRADING'!$A$1:$CP997,MATCH($A259,'Primary - GRADING'!$CP:$CP,0),9)</f>
        <v>#N/A</v>
      </c>
      <c r="U259" s="153" t="str">
        <f t="array" ref="U259">INDEX('Primary - GRADING'!$A$1:$CP997,MATCH($A259,'Primary - GRADING'!$CP:$CP,0),10)</f>
        <v>#N/A</v>
      </c>
      <c r="V259" s="153" t="str">
        <f t="array" ref="V259">INDEX('Primary - GRADING'!$A$1:$CP997,MATCH($A259,'Primary - GRADING'!$CP:$CP,0),18)</f>
        <v>#N/A</v>
      </c>
      <c r="W259" s="153" t="str">
        <f t="array" ref="W259">INDEX('Primary - GRADING'!$A$1:$CP997,MATCH($A259,'Primary - GRADING'!$CP:$CP,0),20)</f>
        <v>#N/A</v>
      </c>
      <c r="X259" s="153" t="str">
        <f t="array" ref="X259">INDEX('Primary - GRADING'!$A$1:$CP997,MATCH($A259,'Primary - GRADING'!$CP:$CP,0),21)</f>
        <v>#N/A</v>
      </c>
      <c r="Y259" s="153" t="str">
        <f t="array" ref="Y259">INDEX('Primary - GRADING'!$A$1:$CP997,MATCH($A259,'Primary - GRADING'!$CP:$CP,0),22)</f>
        <v>#N/A</v>
      </c>
      <c r="Z259" s="165" t="str">
        <f t="array" ref="Z259">INDEX('Primary - GRADING'!$A$1:$CP997,MATCH($A259,'Primary - GRADING'!$CP:$CP,0),23)</f>
        <v>#N/A</v>
      </c>
      <c r="AA259" s="153" t="str">
        <f t="array" ref="AA259">INDEX('Primary - GRADING'!$A$1:$CP997,MATCH($A259,'Primary - GRADING'!$CP:$CP,0),24)</f>
        <v>#N/A</v>
      </c>
      <c r="AB259" s="153" t="str">
        <f t="array" ref="AB259">INDEX('Primary - GRADING'!$A$1:$CP997,MATCH($A259,'Primary - GRADING'!$CP:$CP,0),25)</f>
        <v>#N/A</v>
      </c>
      <c r="AC259" s="153" t="str">
        <f t="array" ref="AC259">INDEX('Primary - GRADING'!$A$1:$CP997,MATCH($A259,'Primary - GRADING'!$CP:$CP,0),46)</f>
        <v>#N/A</v>
      </c>
      <c r="AG259" s="153" t="str">
        <f t="shared" si="7"/>
        <v>#N/A</v>
      </c>
    </row>
    <row r="260" ht="15.75" customHeight="1">
      <c r="I260" s="153" t="str">
        <f t="array" ref="I260">INDEX('Primary - GRADING'!$A$1:$CP997,MATCH($A260,'Primary - GRADING'!$CP:$CP,0),48)</f>
        <v>#N/A</v>
      </c>
      <c r="J260" s="153" t="str">
        <f t="array" ref="J260">INDEX('Primary - GRADING'!$A$1:$CP997,MATCH($A260,'Primary - GRADING'!$CP:$CP,0),49)</f>
        <v>#N/A</v>
      </c>
      <c r="K260" s="153" t="str">
        <f t="array" ref="K260">INDEX('Primary - GRADING'!$A$1:$CP997,MATCH($A260,'Primary - GRADING'!$CP:$CP,0),50)</f>
        <v>#N/A</v>
      </c>
      <c r="L260" s="153" t="str">
        <f t="array" ref="L260">INDEX('Primary - GRADING'!$A$1:$CP997,MATCH($A260,'Primary - GRADING'!$CP:$CP,0),51)</f>
        <v>#N/A</v>
      </c>
      <c r="M260" s="153" t="str">
        <f t="array" ref="M260">INDEX('Primary - GRADING'!$A$1:$CP997,MATCH($A260,'Primary - GRADING'!$CP:$CP,0),52)</f>
        <v>#N/A</v>
      </c>
      <c r="N260" s="153" t="str">
        <f t="array" ref="N260">INDEX('Primary - GRADING'!$A$1:$CP997,MATCH($A260,'Primary - GRADING'!$CP:$CP,0),53)</f>
        <v>#N/A</v>
      </c>
      <c r="O260" s="153" t="str">
        <f t="array" ref="O260">INDEX('Primary - GRADING'!$A$1:$CP997,MATCH($A260,'Primary - GRADING'!$CP:$CP,0),58)</f>
        <v>#N/A</v>
      </c>
      <c r="P260" s="153" t="str">
        <f t="array" ref="P260">INDEX('Primary - GRADING'!$A$1:$CP997,MATCH($A260,'Primary - GRADING'!$CP:$CP,0),5)</f>
        <v>#N/A</v>
      </c>
      <c r="Q260" s="153" t="str">
        <f t="array" ref="Q260">INDEX('Primary - GRADING'!$A$1:$CP997,MATCH($A260,'Primary - GRADING'!$CP:$CP,0),6)</f>
        <v>#N/A</v>
      </c>
      <c r="R260" s="153" t="str">
        <f t="array" ref="R260">INDEX('Primary - GRADING'!$A$1:$CP997,MATCH($A260,'Primary - GRADING'!$CP:$CP,0),7)</f>
        <v>#N/A</v>
      </c>
      <c r="S260" s="153" t="str">
        <f t="array" ref="S260">INDEX('Primary - GRADING'!$A$1:$CP997,MATCH($A260,'Primary - GRADING'!$CP:$CP,0),8)</f>
        <v>#N/A</v>
      </c>
      <c r="T260" s="153" t="str">
        <f t="array" ref="T260">INDEX('Primary - GRADING'!$A$1:$CP997,MATCH($A260,'Primary - GRADING'!$CP:$CP,0),9)</f>
        <v>#N/A</v>
      </c>
      <c r="U260" s="153" t="str">
        <f t="array" ref="U260">INDEX('Primary - GRADING'!$A$1:$CP997,MATCH($A260,'Primary - GRADING'!$CP:$CP,0),10)</f>
        <v>#N/A</v>
      </c>
      <c r="V260" s="153" t="str">
        <f t="array" ref="V260">INDEX('Primary - GRADING'!$A$1:$CP997,MATCH($A260,'Primary - GRADING'!$CP:$CP,0),18)</f>
        <v>#N/A</v>
      </c>
      <c r="W260" s="153" t="str">
        <f t="array" ref="W260">INDEX('Primary - GRADING'!$A$1:$CP997,MATCH($A260,'Primary - GRADING'!$CP:$CP,0),20)</f>
        <v>#N/A</v>
      </c>
      <c r="X260" s="153" t="str">
        <f t="array" ref="X260">INDEX('Primary - GRADING'!$A$1:$CP997,MATCH($A260,'Primary - GRADING'!$CP:$CP,0),21)</f>
        <v>#N/A</v>
      </c>
      <c r="Y260" s="153" t="str">
        <f t="array" ref="Y260">INDEX('Primary - GRADING'!$A$1:$CP997,MATCH($A260,'Primary - GRADING'!$CP:$CP,0),22)</f>
        <v>#N/A</v>
      </c>
      <c r="Z260" s="165" t="str">
        <f t="array" ref="Z260">INDEX('Primary - GRADING'!$A$1:$CP997,MATCH($A260,'Primary - GRADING'!$CP:$CP,0),23)</f>
        <v>#N/A</v>
      </c>
      <c r="AA260" s="153" t="str">
        <f t="array" ref="AA260">INDEX('Primary - GRADING'!$A$1:$CP997,MATCH($A260,'Primary - GRADING'!$CP:$CP,0),24)</f>
        <v>#N/A</v>
      </c>
      <c r="AB260" s="153" t="str">
        <f t="array" ref="AB260">INDEX('Primary - GRADING'!$A$1:$CP997,MATCH($A260,'Primary - GRADING'!$CP:$CP,0),25)</f>
        <v>#N/A</v>
      </c>
      <c r="AC260" s="153" t="str">
        <f t="array" ref="AC260">INDEX('Primary - GRADING'!$A$1:$CP997,MATCH($A260,'Primary - GRADING'!$CP:$CP,0),46)</f>
        <v>#N/A</v>
      </c>
      <c r="AG260" s="153" t="str">
        <f t="shared" si="7"/>
        <v>#N/A</v>
      </c>
    </row>
    <row r="261" ht="15.75" customHeight="1">
      <c r="I261" s="153" t="str">
        <f t="array" ref="I261">INDEX('Primary - GRADING'!$A$1:$CP997,MATCH($A261,'Primary - GRADING'!$CP:$CP,0),48)</f>
        <v>#N/A</v>
      </c>
      <c r="J261" s="153" t="str">
        <f t="array" ref="J261">INDEX('Primary - GRADING'!$A$1:$CP997,MATCH($A261,'Primary - GRADING'!$CP:$CP,0),49)</f>
        <v>#N/A</v>
      </c>
      <c r="K261" s="153" t="str">
        <f t="array" ref="K261">INDEX('Primary - GRADING'!$A$1:$CP997,MATCH($A261,'Primary - GRADING'!$CP:$CP,0),50)</f>
        <v>#N/A</v>
      </c>
      <c r="L261" s="153" t="str">
        <f t="array" ref="L261">INDEX('Primary - GRADING'!$A$1:$CP997,MATCH($A261,'Primary - GRADING'!$CP:$CP,0),51)</f>
        <v>#N/A</v>
      </c>
      <c r="M261" s="153" t="str">
        <f t="array" ref="M261">INDEX('Primary - GRADING'!$A$1:$CP997,MATCH($A261,'Primary - GRADING'!$CP:$CP,0),52)</f>
        <v>#N/A</v>
      </c>
      <c r="N261" s="153" t="str">
        <f t="array" ref="N261">INDEX('Primary - GRADING'!$A$1:$CP997,MATCH($A261,'Primary - GRADING'!$CP:$CP,0),53)</f>
        <v>#N/A</v>
      </c>
      <c r="O261" s="153" t="str">
        <f t="array" ref="O261">INDEX('Primary - GRADING'!$A$1:$CP997,MATCH($A261,'Primary - GRADING'!$CP:$CP,0),58)</f>
        <v>#N/A</v>
      </c>
      <c r="P261" s="153" t="str">
        <f t="array" ref="P261">INDEX('Primary - GRADING'!$A$1:$CP997,MATCH($A261,'Primary - GRADING'!$CP:$CP,0),5)</f>
        <v>#N/A</v>
      </c>
      <c r="Q261" s="153" t="str">
        <f t="array" ref="Q261">INDEX('Primary - GRADING'!$A$1:$CP997,MATCH($A261,'Primary - GRADING'!$CP:$CP,0),6)</f>
        <v>#N/A</v>
      </c>
      <c r="R261" s="153" t="str">
        <f t="array" ref="R261">INDEX('Primary - GRADING'!$A$1:$CP997,MATCH($A261,'Primary - GRADING'!$CP:$CP,0),7)</f>
        <v>#N/A</v>
      </c>
      <c r="S261" s="153" t="str">
        <f t="array" ref="S261">INDEX('Primary - GRADING'!$A$1:$CP997,MATCH($A261,'Primary - GRADING'!$CP:$CP,0),8)</f>
        <v>#N/A</v>
      </c>
      <c r="T261" s="153" t="str">
        <f t="array" ref="T261">INDEX('Primary - GRADING'!$A$1:$CP997,MATCH($A261,'Primary - GRADING'!$CP:$CP,0),9)</f>
        <v>#N/A</v>
      </c>
      <c r="U261" s="153" t="str">
        <f t="array" ref="U261">INDEX('Primary - GRADING'!$A$1:$CP997,MATCH($A261,'Primary - GRADING'!$CP:$CP,0),10)</f>
        <v>#N/A</v>
      </c>
      <c r="V261" s="153" t="str">
        <f t="array" ref="V261">INDEX('Primary - GRADING'!$A$1:$CP997,MATCH($A261,'Primary - GRADING'!$CP:$CP,0),18)</f>
        <v>#N/A</v>
      </c>
      <c r="W261" s="153" t="str">
        <f t="array" ref="W261">INDEX('Primary - GRADING'!$A$1:$CP997,MATCH($A261,'Primary - GRADING'!$CP:$CP,0),20)</f>
        <v>#N/A</v>
      </c>
      <c r="X261" s="153" t="str">
        <f t="array" ref="X261">INDEX('Primary - GRADING'!$A$1:$CP997,MATCH($A261,'Primary - GRADING'!$CP:$CP,0),21)</f>
        <v>#N/A</v>
      </c>
      <c r="Y261" s="153" t="str">
        <f t="array" ref="Y261">INDEX('Primary - GRADING'!$A$1:$CP997,MATCH($A261,'Primary - GRADING'!$CP:$CP,0),22)</f>
        <v>#N/A</v>
      </c>
      <c r="Z261" s="165" t="str">
        <f t="array" ref="Z261">INDEX('Primary - GRADING'!$A$1:$CP997,MATCH($A261,'Primary - GRADING'!$CP:$CP,0),23)</f>
        <v>#N/A</v>
      </c>
      <c r="AA261" s="153" t="str">
        <f t="array" ref="AA261">INDEX('Primary - GRADING'!$A$1:$CP997,MATCH($A261,'Primary - GRADING'!$CP:$CP,0),24)</f>
        <v>#N/A</v>
      </c>
      <c r="AB261" s="153" t="str">
        <f t="array" ref="AB261">INDEX('Primary - GRADING'!$A$1:$CP997,MATCH($A261,'Primary - GRADING'!$CP:$CP,0),25)</f>
        <v>#N/A</v>
      </c>
      <c r="AC261" s="153" t="str">
        <f t="array" ref="AC261">INDEX('Primary - GRADING'!$A$1:$CP997,MATCH($A261,'Primary - GRADING'!$CP:$CP,0),46)</f>
        <v>#N/A</v>
      </c>
      <c r="AG261" s="153" t="str">
        <f t="shared" si="7"/>
        <v>#N/A</v>
      </c>
    </row>
    <row r="262" ht="15.75" customHeight="1">
      <c r="I262" s="153" t="str">
        <f t="array" ref="I262">INDEX('Primary - GRADING'!$A$1:$CP997,MATCH($A262,'Primary - GRADING'!$CP:$CP,0),48)</f>
        <v>#N/A</v>
      </c>
      <c r="J262" s="153" t="str">
        <f t="array" ref="J262">INDEX('Primary - GRADING'!$A$1:$CP997,MATCH($A262,'Primary - GRADING'!$CP:$CP,0),49)</f>
        <v>#N/A</v>
      </c>
      <c r="K262" s="153" t="str">
        <f t="array" ref="K262">INDEX('Primary - GRADING'!$A$1:$CP997,MATCH($A262,'Primary - GRADING'!$CP:$CP,0),50)</f>
        <v>#N/A</v>
      </c>
      <c r="L262" s="153" t="str">
        <f t="array" ref="L262">INDEX('Primary - GRADING'!$A$1:$CP997,MATCH($A262,'Primary - GRADING'!$CP:$CP,0),51)</f>
        <v>#N/A</v>
      </c>
      <c r="M262" s="153" t="str">
        <f t="array" ref="M262">INDEX('Primary - GRADING'!$A$1:$CP997,MATCH($A262,'Primary - GRADING'!$CP:$CP,0),52)</f>
        <v>#N/A</v>
      </c>
      <c r="N262" s="153" t="str">
        <f t="array" ref="N262">INDEX('Primary - GRADING'!$A$1:$CP997,MATCH($A262,'Primary - GRADING'!$CP:$CP,0),53)</f>
        <v>#N/A</v>
      </c>
      <c r="O262" s="153" t="str">
        <f t="array" ref="O262">INDEX('Primary - GRADING'!$A$1:$CP997,MATCH($A262,'Primary - GRADING'!$CP:$CP,0),58)</f>
        <v>#N/A</v>
      </c>
      <c r="P262" s="153" t="str">
        <f t="array" ref="P262">INDEX('Primary - GRADING'!$A$1:$CP997,MATCH($A262,'Primary - GRADING'!$CP:$CP,0),5)</f>
        <v>#N/A</v>
      </c>
      <c r="Q262" s="153" t="str">
        <f t="array" ref="Q262">INDEX('Primary - GRADING'!$A$1:$CP997,MATCH($A262,'Primary - GRADING'!$CP:$CP,0),6)</f>
        <v>#N/A</v>
      </c>
      <c r="R262" s="153" t="str">
        <f t="array" ref="R262">INDEX('Primary - GRADING'!$A$1:$CP997,MATCH($A262,'Primary - GRADING'!$CP:$CP,0),7)</f>
        <v>#N/A</v>
      </c>
      <c r="S262" s="153" t="str">
        <f t="array" ref="S262">INDEX('Primary - GRADING'!$A$1:$CP997,MATCH($A262,'Primary - GRADING'!$CP:$CP,0),8)</f>
        <v>#N/A</v>
      </c>
      <c r="T262" s="153" t="str">
        <f t="array" ref="T262">INDEX('Primary - GRADING'!$A$1:$CP997,MATCH($A262,'Primary - GRADING'!$CP:$CP,0),9)</f>
        <v>#N/A</v>
      </c>
      <c r="U262" s="153" t="str">
        <f t="array" ref="U262">INDEX('Primary - GRADING'!$A$1:$CP997,MATCH($A262,'Primary - GRADING'!$CP:$CP,0),10)</f>
        <v>#N/A</v>
      </c>
      <c r="V262" s="153" t="str">
        <f t="array" ref="V262">INDEX('Primary - GRADING'!$A$1:$CP997,MATCH($A262,'Primary - GRADING'!$CP:$CP,0),18)</f>
        <v>#N/A</v>
      </c>
      <c r="W262" s="153" t="str">
        <f t="array" ref="W262">INDEX('Primary - GRADING'!$A$1:$CP997,MATCH($A262,'Primary - GRADING'!$CP:$CP,0),20)</f>
        <v>#N/A</v>
      </c>
      <c r="X262" s="153" t="str">
        <f t="array" ref="X262">INDEX('Primary - GRADING'!$A$1:$CP997,MATCH($A262,'Primary - GRADING'!$CP:$CP,0),21)</f>
        <v>#N/A</v>
      </c>
      <c r="Y262" s="153" t="str">
        <f t="array" ref="Y262">INDEX('Primary - GRADING'!$A$1:$CP997,MATCH($A262,'Primary - GRADING'!$CP:$CP,0),22)</f>
        <v>#N/A</v>
      </c>
      <c r="Z262" s="165" t="str">
        <f t="array" ref="Z262">INDEX('Primary - GRADING'!$A$1:$CP997,MATCH($A262,'Primary - GRADING'!$CP:$CP,0),23)</f>
        <v>#N/A</v>
      </c>
      <c r="AA262" s="153" t="str">
        <f t="array" ref="AA262">INDEX('Primary - GRADING'!$A$1:$CP997,MATCH($A262,'Primary - GRADING'!$CP:$CP,0),24)</f>
        <v>#N/A</v>
      </c>
      <c r="AB262" s="153" t="str">
        <f t="array" ref="AB262">INDEX('Primary - GRADING'!$A$1:$CP997,MATCH($A262,'Primary - GRADING'!$CP:$CP,0),25)</f>
        <v>#N/A</v>
      </c>
      <c r="AC262" s="153" t="str">
        <f t="array" ref="AC262">INDEX('Primary - GRADING'!$A$1:$CP997,MATCH($A262,'Primary - GRADING'!$CP:$CP,0),46)</f>
        <v>#N/A</v>
      </c>
      <c r="AG262" s="153" t="str">
        <f t="shared" si="7"/>
        <v>#N/A</v>
      </c>
    </row>
    <row r="263" ht="15.75" customHeight="1">
      <c r="I263" s="153" t="str">
        <f t="array" ref="I263">INDEX('Primary - GRADING'!$A$1:$CP997,MATCH($A263,'Primary - GRADING'!$CP:$CP,0),48)</f>
        <v>#N/A</v>
      </c>
      <c r="J263" s="153" t="str">
        <f t="array" ref="J263">INDEX('Primary - GRADING'!$A$1:$CP997,MATCH($A263,'Primary - GRADING'!$CP:$CP,0),49)</f>
        <v>#N/A</v>
      </c>
      <c r="K263" s="153" t="str">
        <f t="array" ref="K263">INDEX('Primary - GRADING'!$A$1:$CP997,MATCH($A263,'Primary - GRADING'!$CP:$CP,0),50)</f>
        <v>#N/A</v>
      </c>
      <c r="L263" s="153" t="str">
        <f t="array" ref="L263">INDEX('Primary - GRADING'!$A$1:$CP997,MATCH($A263,'Primary - GRADING'!$CP:$CP,0),51)</f>
        <v>#N/A</v>
      </c>
      <c r="M263" s="153" t="str">
        <f t="array" ref="M263">INDEX('Primary - GRADING'!$A$1:$CP997,MATCH($A263,'Primary - GRADING'!$CP:$CP,0),52)</f>
        <v>#N/A</v>
      </c>
      <c r="N263" s="153" t="str">
        <f t="array" ref="N263">INDEX('Primary - GRADING'!$A$1:$CP997,MATCH($A263,'Primary - GRADING'!$CP:$CP,0),53)</f>
        <v>#N/A</v>
      </c>
      <c r="O263" s="153" t="str">
        <f t="array" ref="O263">INDEX('Primary - GRADING'!$A$1:$CP997,MATCH($A263,'Primary - GRADING'!$CP:$CP,0),58)</f>
        <v>#N/A</v>
      </c>
      <c r="P263" s="153" t="str">
        <f t="array" ref="P263">INDEX('Primary - GRADING'!$A$1:$CP997,MATCH($A263,'Primary - GRADING'!$CP:$CP,0),5)</f>
        <v>#N/A</v>
      </c>
      <c r="Q263" s="153" t="str">
        <f t="array" ref="Q263">INDEX('Primary - GRADING'!$A$1:$CP997,MATCH($A263,'Primary - GRADING'!$CP:$CP,0),6)</f>
        <v>#N/A</v>
      </c>
      <c r="R263" s="153" t="str">
        <f t="array" ref="R263">INDEX('Primary - GRADING'!$A$1:$CP997,MATCH($A263,'Primary - GRADING'!$CP:$CP,0),7)</f>
        <v>#N/A</v>
      </c>
      <c r="S263" s="153" t="str">
        <f t="array" ref="S263">INDEX('Primary - GRADING'!$A$1:$CP997,MATCH($A263,'Primary - GRADING'!$CP:$CP,0),8)</f>
        <v>#N/A</v>
      </c>
      <c r="T263" s="153" t="str">
        <f t="array" ref="T263">INDEX('Primary - GRADING'!$A$1:$CP997,MATCH($A263,'Primary - GRADING'!$CP:$CP,0),9)</f>
        <v>#N/A</v>
      </c>
      <c r="U263" s="153" t="str">
        <f t="array" ref="U263">INDEX('Primary - GRADING'!$A$1:$CP997,MATCH($A263,'Primary - GRADING'!$CP:$CP,0),10)</f>
        <v>#N/A</v>
      </c>
      <c r="V263" s="153" t="str">
        <f t="array" ref="V263">INDEX('Primary - GRADING'!$A$1:$CP997,MATCH($A263,'Primary - GRADING'!$CP:$CP,0),18)</f>
        <v>#N/A</v>
      </c>
      <c r="W263" s="153" t="str">
        <f t="array" ref="W263">INDEX('Primary - GRADING'!$A$1:$CP997,MATCH($A263,'Primary - GRADING'!$CP:$CP,0),20)</f>
        <v>#N/A</v>
      </c>
      <c r="X263" s="153" t="str">
        <f t="array" ref="X263">INDEX('Primary - GRADING'!$A$1:$CP997,MATCH($A263,'Primary - GRADING'!$CP:$CP,0),21)</f>
        <v>#N/A</v>
      </c>
      <c r="Y263" s="153" t="str">
        <f t="array" ref="Y263">INDEX('Primary - GRADING'!$A$1:$CP997,MATCH($A263,'Primary - GRADING'!$CP:$CP,0),22)</f>
        <v>#N/A</v>
      </c>
      <c r="Z263" s="165" t="str">
        <f t="array" ref="Z263">INDEX('Primary - GRADING'!$A$1:$CP997,MATCH($A263,'Primary - GRADING'!$CP:$CP,0),23)</f>
        <v>#N/A</v>
      </c>
      <c r="AA263" s="153" t="str">
        <f t="array" ref="AA263">INDEX('Primary - GRADING'!$A$1:$CP997,MATCH($A263,'Primary - GRADING'!$CP:$CP,0),24)</f>
        <v>#N/A</v>
      </c>
      <c r="AB263" s="153" t="str">
        <f t="array" ref="AB263">INDEX('Primary - GRADING'!$A$1:$CP997,MATCH($A263,'Primary - GRADING'!$CP:$CP,0),25)</f>
        <v>#N/A</v>
      </c>
      <c r="AC263" s="153" t="str">
        <f t="array" ref="AC263">INDEX('Primary - GRADING'!$A$1:$CP997,MATCH($A263,'Primary - GRADING'!$CP:$CP,0),46)</f>
        <v>#N/A</v>
      </c>
      <c r="AG263" s="153" t="str">
        <f t="shared" si="7"/>
        <v>#N/A</v>
      </c>
    </row>
    <row r="264" ht="15.75" customHeight="1">
      <c r="I264" s="153" t="str">
        <f t="array" ref="I264">INDEX('Primary - GRADING'!$A$1:$CP997,MATCH($A264,'Primary - GRADING'!$CP:$CP,0),48)</f>
        <v>#N/A</v>
      </c>
      <c r="J264" s="153" t="str">
        <f t="array" ref="J264">INDEX('Primary - GRADING'!$A$1:$CP997,MATCH($A264,'Primary - GRADING'!$CP:$CP,0),49)</f>
        <v>#N/A</v>
      </c>
      <c r="K264" s="153" t="str">
        <f t="array" ref="K264">INDEX('Primary - GRADING'!$A$1:$CP997,MATCH($A264,'Primary - GRADING'!$CP:$CP,0),50)</f>
        <v>#N/A</v>
      </c>
      <c r="L264" s="153" t="str">
        <f t="array" ref="L264">INDEX('Primary - GRADING'!$A$1:$CP997,MATCH($A264,'Primary - GRADING'!$CP:$CP,0),51)</f>
        <v>#N/A</v>
      </c>
      <c r="M264" s="153" t="str">
        <f t="array" ref="M264">INDEX('Primary - GRADING'!$A$1:$CP997,MATCH($A264,'Primary - GRADING'!$CP:$CP,0),52)</f>
        <v>#N/A</v>
      </c>
      <c r="N264" s="153" t="str">
        <f t="array" ref="N264">INDEX('Primary - GRADING'!$A$1:$CP997,MATCH($A264,'Primary - GRADING'!$CP:$CP,0),53)</f>
        <v>#N/A</v>
      </c>
      <c r="O264" s="153" t="str">
        <f t="array" ref="O264">INDEX('Primary - GRADING'!$A$1:$CP997,MATCH($A264,'Primary - GRADING'!$CP:$CP,0),58)</f>
        <v>#N/A</v>
      </c>
      <c r="P264" s="153" t="str">
        <f t="array" ref="P264">INDEX('Primary - GRADING'!$A$1:$CP997,MATCH($A264,'Primary - GRADING'!$CP:$CP,0),5)</f>
        <v>#N/A</v>
      </c>
      <c r="Q264" s="153" t="str">
        <f t="array" ref="Q264">INDEX('Primary - GRADING'!$A$1:$CP997,MATCH($A264,'Primary - GRADING'!$CP:$CP,0),6)</f>
        <v>#N/A</v>
      </c>
      <c r="R264" s="153" t="str">
        <f t="array" ref="R264">INDEX('Primary - GRADING'!$A$1:$CP997,MATCH($A264,'Primary - GRADING'!$CP:$CP,0),7)</f>
        <v>#N/A</v>
      </c>
      <c r="S264" s="153" t="str">
        <f t="array" ref="S264">INDEX('Primary - GRADING'!$A$1:$CP997,MATCH($A264,'Primary - GRADING'!$CP:$CP,0),8)</f>
        <v>#N/A</v>
      </c>
      <c r="T264" s="153" t="str">
        <f t="array" ref="T264">INDEX('Primary - GRADING'!$A$1:$CP997,MATCH($A264,'Primary - GRADING'!$CP:$CP,0),9)</f>
        <v>#N/A</v>
      </c>
      <c r="U264" s="153" t="str">
        <f t="array" ref="U264">INDEX('Primary - GRADING'!$A$1:$CP997,MATCH($A264,'Primary - GRADING'!$CP:$CP,0),10)</f>
        <v>#N/A</v>
      </c>
      <c r="V264" s="153" t="str">
        <f t="array" ref="V264">INDEX('Primary - GRADING'!$A$1:$CP997,MATCH($A264,'Primary - GRADING'!$CP:$CP,0),18)</f>
        <v>#N/A</v>
      </c>
      <c r="W264" s="153" t="str">
        <f t="array" ref="W264">INDEX('Primary - GRADING'!$A$1:$CP997,MATCH($A264,'Primary - GRADING'!$CP:$CP,0),20)</f>
        <v>#N/A</v>
      </c>
      <c r="X264" s="153" t="str">
        <f t="array" ref="X264">INDEX('Primary - GRADING'!$A$1:$CP997,MATCH($A264,'Primary - GRADING'!$CP:$CP,0),21)</f>
        <v>#N/A</v>
      </c>
      <c r="Y264" s="153" t="str">
        <f t="array" ref="Y264">INDEX('Primary - GRADING'!$A$1:$CP997,MATCH($A264,'Primary - GRADING'!$CP:$CP,0),22)</f>
        <v>#N/A</v>
      </c>
      <c r="Z264" s="165" t="str">
        <f t="array" ref="Z264">INDEX('Primary - GRADING'!$A$1:$CP997,MATCH($A264,'Primary - GRADING'!$CP:$CP,0),23)</f>
        <v>#N/A</v>
      </c>
      <c r="AA264" s="153" t="str">
        <f t="array" ref="AA264">INDEX('Primary - GRADING'!$A$1:$CP997,MATCH($A264,'Primary - GRADING'!$CP:$CP,0),24)</f>
        <v>#N/A</v>
      </c>
      <c r="AB264" s="153" t="str">
        <f t="array" ref="AB264">INDEX('Primary - GRADING'!$A$1:$CP997,MATCH($A264,'Primary - GRADING'!$CP:$CP,0),25)</f>
        <v>#N/A</v>
      </c>
      <c r="AC264" s="153" t="str">
        <f t="array" ref="AC264">INDEX('Primary - GRADING'!$A$1:$CP997,MATCH($A264,'Primary - GRADING'!$CP:$CP,0),46)</f>
        <v>#N/A</v>
      </c>
      <c r="AG264" s="153" t="str">
        <f t="shared" si="7"/>
        <v>#N/A</v>
      </c>
    </row>
    <row r="265" ht="15.75" customHeight="1">
      <c r="I265" s="153" t="str">
        <f t="array" ref="I265">INDEX('Primary - GRADING'!$A$1:$CP997,MATCH($A265,'Primary - GRADING'!$CP:$CP,0),48)</f>
        <v>#N/A</v>
      </c>
      <c r="J265" s="153" t="str">
        <f t="array" ref="J265">INDEX('Primary - GRADING'!$A$1:$CP997,MATCH($A265,'Primary - GRADING'!$CP:$CP,0),49)</f>
        <v>#N/A</v>
      </c>
      <c r="K265" s="153" t="str">
        <f t="array" ref="K265">INDEX('Primary - GRADING'!$A$1:$CP997,MATCH($A265,'Primary - GRADING'!$CP:$CP,0),50)</f>
        <v>#N/A</v>
      </c>
      <c r="L265" s="153" t="str">
        <f t="array" ref="L265">INDEX('Primary - GRADING'!$A$1:$CP997,MATCH($A265,'Primary - GRADING'!$CP:$CP,0),51)</f>
        <v>#N/A</v>
      </c>
      <c r="M265" s="153" t="str">
        <f t="array" ref="M265">INDEX('Primary - GRADING'!$A$1:$CP997,MATCH($A265,'Primary - GRADING'!$CP:$CP,0),52)</f>
        <v>#N/A</v>
      </c>
      <c r="N265" s="153" t="str">
        <f t="array" ref="N265">INDEX('Primary - GRADING'!$A$1:$CP997,MATCH($A265,'Primary - GRADING'!$CP:$CP,0),53)</f>
        <v>#N/A</v>
      </c>
      <c r="O265" s="153" t="str">
        <f t="array" ref="O265">INDEX('Primary - GRADING'!$A$1:$CP997,MATCH($A265,'Primary - GRADING'!$CP:$CP,0),58)</f>
        <v>#N/A</v>
      </c>
      <c r="P265" s="153" t="str">
        <f t="array" ref="P265">INDEX('Primary - GRADING'!$A$1:$CP997,MATCH($A265,'Primary - GRADING'!$CP:$CP,0),5)</f>
        <v>#N/A</v>
      </c>
      <c r="Q265" s="153" t="str">
        <f t="array" ref="Q265">INDEX('Primary - GRADING'!$A$1:$CP997,MATCH($A265,'Primary - GRADING'!$CP:$CP,0),6)</f>
        <v>#N/A</v>
      </c>
      <c r="R265" s="153" t="str">
        <f t="array" ref="R265">INDEX('Primary - GRADING'!$A$1:$CP997,MATCH($A265,'Primary - GRADING'!$CP:$CP,0),7)</f>
        <v>#N/A</v>
      </c>
      <c r="S265" s="153" t="str">
        <f t="array" ref="S265">INDEX('Primary - GRADING'!$A$1:$CP997,MATCH($A265,'Primary - GRADING'!$CP:$CP,0),8)</f>
        <v>#N/A</v>
      </c>
      <c r="T265" s="153" t="str">
        <f t="array" ref="T265">INDEX('Primary - GRADING'!$A$1:$CP997,MATCH($A265,'Primary - GRADING'!$CP:$CP,0),9)</f>
        <v>#N/A</v>
      </c>
      <c r="U265" s="153" t="str">
        <f t="array" ref="U265">INDEX('Primary - GRADING'!$A$1:$CP997,MATCH($A265,'Primary - GRADING'!$CP:$CP,0),10)</f>
        <v>#N/A</v>
      </c>
      <c r="V265" s="153" t="str">
        <f t="array" ref="V265">INDEX('Primary - GRADING'!$A$1:$CP997,MATCH($A265,'Primary - GRADING'!$CP:$CP,0),18)</f>
        <v>#N/A</v>
      </c>
      <c r="W265" s="153" t="str">
        <f t="array" ref="W265">INDEX('Primary - GRADING'!$A$1:$CP997,MATCH($A265,'Primary - GRADING'!$CP:$CP,0),20)</f>
        <v>#N/A</v>
      </c>
      <c r="X265" s="153" t="str">
        <f t="array" ref="X265">INDEX('Primary - GRADING'!$A$1:$CP997,MATCH($A265,'Primary - GRADING'!$CP:$CP,0),21)</f>
        <v>#N/A</v>
      </c>
      <c r="Y265" s="153" t="str">
        <f t="array" ref="Y265">INDEX('Primary - GRADING'!$A$1:$CP997,MATCH($A265,'Primary - GRADING'!$CP:$CP,0),22)</f>
        <v>#N/A</v>
      </c>
      <c r="Z265" s="165" t="str">
        <f t="array" ref="Z265">INDEX('Primary - GRADING'!$A$1:$CP997,MATCH($A265,'Primary - GRADING'!$CP:$CP,0),23)</f>
        <v>#N/A</v>
      </c>
      <c r="AA265" s="153" t="str">
        <f t="array" ref="AA265">INDEX('Primary - GRADING'!$A$1:$CP997,MATCH($A265,'Primary - GRADING'!$CP:$CP,0),24)</f>
        <v>#N/A</v>
      </c>
      <c r="AB265" s="153" t="str">
        <f t="array" ref="AB265">INDEX('Primary - GRADING'!$A$1:$CP997,MATCH($A265,'Primary - GRADING'!$CP:$CP,0),25)</f>
        <v>#N/A</v>
      </c>
      <c r="AC265" s="153" t="str">
        <f t="array" ref="AC265">INDEX('Primary - GRADING'!$A$1:$CP997,MATCH($A265,'Primary - GRADING'!$CP:$CP,0),46)</f>
        <v>#N/A</v>
      </c>
      <c r="AG265" s="153" t="str">
        <f t="shared" si="7"/>
        <v>#N/A</v>
      </c>
    </row>
    <row r="266" ht="15.75" customHeight="1">
      <c r="I266" s="153" t="str">
        <f t="array" ref="I266">INDEX('Primary - GRADING'!$A$1:$CP997,MATCH($A266,'Primary - GRADING'!$CP:$CP,0),48)</f>
        <v>#N/A</v>
      </c>
      <c r="J266" s="153" t="str">
        <f t="array" ref="J266">INDEX('Primary - GRADING'!$A$1:$CP997,MATCH($A266,'Primary - GRADING'!$CP:$CP,0),49)</f>
        <v>#N/A</v>
      </c>
      <c r="K266" s="153" t="str">
        <f t="array" ref="K266">INDEX('Primary - GRADING'!$A$1:$CP997,MATCH($A266,'Primary - GRADING'!$CP:$CP,0),50)</f>
        <v>#N/A</v>
      </c>
      <c r="L266" s="153" t="str">
        <f t="array" ref="L266">INDEX('Primary - GRADING'!$A$1:$CP997,MATCH($A266,'Primary - GRADING'!$CP:$CP,0),51)</f>
        <v>#N/A</v>
      </c>
      <c r="M266" s="153" t="str">
        <f t="array" ref="M266">INDEX('Primary - GRADING'!$A$1:$CP997,MATCH($A266,'Primary - GRADING'!$CP:$CP,0),52)</f>
        <v>#N/A</v>
      </c>
      <c r="N266" s="153" t="str">
        <f t="array" ref="N266">INDEX('Primary - GRADING'!$A$1:$CP997,MATCH($A266,'Primary - GRADING'!$CP:$CP,0),53)</f>
        <v>#N/A</v>
      </c>
      <c r="O266" s="153" t="str">
        <f t="array" ref="O266">INDEX('Primary - GRADING'!$A$1:$CP997,MATCH($A266,'Primary - GRADING'!$CP:$CP,0),58)</f>
        <v>#N/A</v>
      </c>
      <c r="P266" s="153" t="str">
        <f t="array" ref="P266">INDEX('Primary - GRADING'!$A$1:$CP997,MATCH($A266,'Primary - GRADING'!$CP:$CP,0),5)</f>
        <v>#N/A</v>
      </c>
      <c r="Q266" s="153" t="str">
        <f t="array" ref="Q266">INDEX('Primary - GRADING'!$A$1:$CP997,MATCH($A266,'Primary - GRADING'!$CP:$CP,0),6)</f>
        <v>#N/A</v>
      </c>
      <c r="R266" s="153" t="str">
        <f t="array" ref="R266">INDEX('Primary - GRADING'!$A$1:$CP997,MATCH($A266,'Primary - GRADING'!$CP:$CP,0),7)</f>
        <v>#N/A</v>
      </c>
      <c r="S266" s="153" t="str">
        <f t="array" ref="S266">INDEX('Primary - GRADING'!$A$1:$CP997,MATCH($A266,'Primary - GRADING'!$CP:$CP,0),8)</f>
        <v>#N/A</v>
      </c>
      <c r="T266" s="153" t="str">
        <f t="array" ref="T266">INDEX('Primary - GRADING'!$A$1:$CP997,MATCH($A266,'Primary - GRADING'!$CP:$CP,0),9)</f>
        <v>#N/A</v>
      </c>
      <c r="U266" s="153" t="str">
        <f t="array" ref="U266">INDEX('Primary - GRADING'!$A$1:$CP997,MATCH($A266,'Primary - GRADING'!$CP:$CP,0),10)</f>
        <v>#N/A</v>
      </c>
      <c r="V266" s="153" t="str">
        <f t="array" ref="V266">INDEX('Primary - GRADING'!$A$1:$CP997,MATCH($A266,'Primary - GRADING'!$CP:$CP,0),18)</f>
        <v>#N/A</v>
      </c>
      <c r="W266" s="153" t="str">
        <f t="array" ref="W266">INDEX('Primary - GRADING'!$A$1:$CP997,MATCH($A266,'Primary - GRADING'!$CP:$CP,0),20)</f>
        <v>#N/A</v>
      </c>
      <c r="X266" s="153" t="str">
        <f t="array" ref="X266">INDEX('Primary - GRADING'!$A$1:$CP997,MATCH($A266,'Primary - GRADING'!$CP:$CP,0),21)</f>
        <v>#N/A</v>
      </c>
      <c r="Y266" s="153" t="str">
        <f t="array" ref="Y266">INDEX('Primary - GRADING'!$A$1:$CP997,MATCH($A266,'Primary - GRADING'!$CP:$CP,0),22)</f>
        <v>#N/A</v>
      </c>
      <c r="Z266" s="165" t="str">
        <f t="array" ref="Z266">INDEX('Primary - GRADING'!$A$1:$CP997,MATCH($A266,'Primary - GRADING'!$CP:$CP,0),23)</f>
        <v>#N/A</v>
      </c>
      <c r="AA266" s="153" t="str">
        <f t="array" ref="AA266">INDEX('Primary - GRADING'!$A$1:$CP997,MATCH($A266,'Primary - GRADING'!$CP:$CP,0),24)</f>
        <v>#N/A</v>
      </c>
      <c r="AB266" s="153" t="str">
        <f t="array" ref="AB266">INDEX('Primary - GRADING'!$A$1:$CP997,MATCH($A266,'Primary - GRADING'!$CP:$CP,0),25)</f>
        <v>#N/A</v>
      </c>
      <c r="AC266" s="153" t="str">
        <f t="array" ref="AC266">INDEX('Primary - GRADING'!$A$1:$CP997,MATCH($A266,'Primary - GRADING'!$CP:$CP,0),46)</f>
        <v>#N/A</v>
      </c>
      <c r="AG266" s="153" t="str">
        <f t="shared" si="7"/>
        <v>#N/A</v>
      </c>
    </row>
    <row r="267" ht="15.75" customHeight="1">
      <c r="I267" s="153" t="str">
        <f t="array" ref="I267">INDEX('Primary - GRADING'!$A$1:$CP997,MATCH($A267,'Primary - GRADING'!$CP:$CP,0),48)</f>
        <v>#N/A</v>
      </c>
      <c r="J267" s="153" t="str">
        <f t="array" ref="J267">INDEX('Primary - GRADING'!$A$1:$CP997,MATCH($A267,'Primary - GRADING'!$CP:$CP,0),49)</f>
        <v>#N/A</v>
      </c>
      <c r="K267" s="153" t="str">
        <f t="array" ref="K267">INDEX('Primary - GRADING'!$A$1:$CP997,MATCH($A267,'Primary - GRADING'!$CP:$CP,0),50)</f>
        <v>#N/A</v>
      </c>
      <c r="L267" s="153" t="str">
        <f t="array" ref="L267">INDEX('Primary - GRADING'!$A$1:$CP997,MATCH($A267,'Primary - GRADING'!$CP:$CP,0),51)</f>
        <v>#N/A</v>
      </c>
      <c r="M267" s="153" t="str">
        <f t="array" ref="M267">INDEX('Primary - GRADING'!$A$1:$CP997,MATCH($A267,'Primary - GRADING'!$CP:$CP,0),52)</f>
        <v>#N/A</v>
      </c>
      <c r="N267" s="153" t="str">
        <f t="array" ref="N267">INDEX('Primary - GRADING'!$A$1:$CP997,MATCH($A267,'Primary - GRADING'!$CP:$CP,0),53)</f>
        <v>#N/A</v>
      </c>
      <c r="O267" s="153" t="str">
        <f t="array" ref="O267">INDEX('Primary - GRADING'!$A$1:$CP997,MATCH($A267,'Primary - GRADING'!$CP:$CP,0),58)</f>
        <v>#N/A</v>
      </c>
      <c r="P267" s="153" t="str">
        <f t="array" ref="P267">INDEX('Primary - GRADING'!$A$1:$CP997,MATCH($A267,'Primary - GRADING'!$CP:$CP,0),5)</f>
        <v>#N/A</v>
      </c>
      <c r="Q267" s="153" t="str">
        <f t="array" ref="Q267">INDEX('Primary - GRADING'!$A$1:$CP997,MATCH($A267,'Primary - GRADING'!$CP:$CP,0),6)</f>
        <v>#N/A</v>
      </c>
      <c r="R267" s="153" t="str">
        <f t="array" ref="R267">INDEX('Primary - GRADING'!$A$1:$CP997,MATCH($A267,'Primary - GRADING'!$CP:$CP,0),7)</f>
        <v>#N/A</v>
      </c>
      <c r="S267" s="153" t="str">
        <f t="array" ref="S267">INDEX('Primary - GRADING'!$A$1:$CP997,MATCH($A267,'Primary - GRADING'!$CP:$CP,0),8)</f>
        <v>#N/A</v>
      </c>
      <c r="T267" s="153" t="str">
        <f t="array" ref="T267">INDEX('Primary - GRADING'!$A$1:$CP997,MATCH($A267,'Primary - GRADING'!$CP:$CP,0),9)</f>
        <v>#N/A</v>
      </c>
      <c r="U267" s="153" t="str">
        <f t="array" ref="U267">INDEX('Primary - GRADING'!$A$1:$CP997,MATCH($A267,'Primary - GRADING'!$CP:$CP,0),10)</f>
        <v>#N/A</v>
      </c>
      <c r="V267" s="153" t="str">
        <f t="array" ref="V267">INDEX('Primary - GRADING'!$A$1:$CP997,MATCH($A267,'Primary - GRADING'!$CP:$CP,0),18)</f>
        <v>#N/A</v>
      </c>
      <c r="W267" s="153" t="str">
        <f t="array" ref="W267">INDEX('Primary - GRADING'!$A$1:$CP997,MATCH($A267,'Primary - GRADING'!$CP:$CP,0),20)</f>
        <v>#N/A</v>
      </c>
      <c r="X267" s="153" t="str">
        <f t="array" ref="X267">INDEX('Primary - GRADING'!$A$1:$CP997,MATCH($A267,'Primary - GRADING'!$CP:$CP,0),21)</f>
        <v>#N/A</v>
      </c>
      <c r="Y267" s="153" t="str">
        <f t="array" ref="Y267">INDEX('Primary - GRADING'!$A$1:$CP997,MATCH($A267,'Primary - GRADING'!$CP:$CP,0),22)</f>
        <v>#N/A</v>
      </c>
      <c r="Z267" s="165" t="str">
        <f t="array" ref="Z267">INDEX('Primary - GRADING'!$A$1:$CP997,MATCH($A267,'Primary - GRADING'!$CP:$CP,0),23)</f>
        <v>#N/A</v>
      </c>
      <c r="AA267" s="153" t="str">
        <f t="array" ref="AA267">INDEX('Primary - GRADING'!$A$1:$CP997,MATCH($A267,'Primary - GRADING'!$CP:$CP,0),24)</f>
        <v>#N/A</v>
      </c>
      <c r="AB267" s="153" t="str">
        <f t="array" ref="AB267">INDEX('Primary - GRADING'!$A$1:$CP997,MATCH($A267,'Primary - GRADING'!$CP:$CP,0),25)</f>
        <v>#N/A</v>
      </c>
      <c r="AC267" s="153" t="str">
        <f t="array" ref="AC267">INDEX('Primary - GRADING'!$A$1:$CP997,MATCH($A267,'Primary - GRADING'!$CP:$CP,0),46)</f>
        <v>#N/A</v>
      </c>
      <c r="AG267" s="153" t="str">
        <f t="shared" si="7"/>
        <v>#N/A</v>
      </c>
    </row>
    <row r="268" ht="15.75" customHeight="1">
      <c r="I268" s="153" t="str">
        <f t="array" ref="I268">INDEX('Primary - GRADING'!$A$1:$CP997,MATCH($A268,'Primary - GRADING'!$CP:$CP,0),48)</f>
        <v>#N/A</v>
      </c>
      <c r="J268" s="153" t="str">
        <f t="array" ref="J268">INDEX('Primary - GRADING'!$A$1:$CP997,MATCH($A268,'Primary - GRADING'!$CP:$CP,0),49)</f>
        <v>#N/A</v>
      </c>
      <c r="K268" s="153" t="str">
        <f t="array" ref="K268">INDEX('Primary - GRADING'!$A$1:$CP997,MATCH($A268,'Primary - GRADING'!$CP:$CP,0),50)</f>
        <v>#N/A</v>
      </c>
      <c r="L268" s="153" t="str">
        <f t="array" ref="L268">INDEX('Primary - GRADING'!$A$1:$CP997,MATCH($A268,'Primary - GRADING'!$CP:$CP,0),51)</f>
        <v>#N/A</v>
      </c>
      <c r="M268" s="153" t="str">
        <f t="array" ref="M268">INDEX('Primary - GRADING'!$A$1:$CP997,MATCH($A268,'Primary - GRADING'!$CP:$CP,0),52)</f>
        <v>#N/A</v>
      </c>
      <c r="N268" s="153" t="str">
        <f t="array" ref="N268">INDEX('Primary - GRADING'!$A$1:$CP997,MATCH($A268,'Primary - GRADING'!$CP:$CP,0),53)</f>
        <v>#N/A</v>
      </c>
      <c r="O268" s="153" t="str">
        <f t="array" ref="O268">INDEX('Primary - GRADING'!$A$1:$CP997,MATCH($A268,'Primary - GRADING'!$CP:$CP,0),58)</f>
        <v>#N/A</v>
      </c>
      <c r="P268" s="153" t="str">
        <f t="array" ref="P268">INDEX('Primary - GRADING'!$A$1:$CP997,MATCH($A268,'Primary - GRADING'!$CP:$CP,0),5)</f>
        <v>#N/A</v>
      </c>
      <c r="Q268" s="153" t="str">
        <f t="array" ref="Q268">INDEX('Primary - GRADING'!$A$1:$CP997,MATCH($A268,'Primary - GRADING'!$CP:$CP,0),6)</f>
        <v>#N/A</v>
      </c>
      <c r="R268" s="153" t="str">
        <f t="array" ref="R268">INDEX('Primary - GRADING'!$A$1:$CP997,MATCH($A268,'Primary - GRADING'!$CP:$CP,0),7)</f>
        <v>#N/A</v>
      </c>
      <c r="S268" s="153" t="str">
        <f t="array" ref="S268">INDEX('Primary - GRADING'!$A$1:$CP997,MATCH($A268,'Primary - GRADING'!$CP:$CP,0),8)</f>
        <v>#N/A</v>
      </c>
      <c r="T268" s="153" t="str">
        <f t="array" ref="T268">INDEX('Primary - GRADING'!$A$1:$CP997,MATCH($A268,'Primary - GRADING'!$CP:$CP,0),9)</f>
        <v>#N/A</v>
      </c>
      <c r="U268" s="153" t="str">
        <f t="array" ref="U268">INDEX('Primary - GRADING'!$A$1:$CP997,MATCH($A268,'Primary - GRADING'!$CP:$CP,0),10)</f>
        <v>#N/A</v>
      </c>
      <c r="V268" s="153" t="str">
        <f t="array" ref="V268">INDEX('Primary - GRADING'!$A$1:$CP997,MATCH($A268,'Primary - GRADING'!$CP:$CP,0),18)</f>
        <v>#N/A</v>
      </c>
      <c r="W268" s="153" t="str">
        <f t="array" ref="W268">INDEX('Primary - GRADING'!$A$1:$CP997,MATCH($A268,'Primary - GRADING'!$CP:$CP,0),20)</f>
        <v>#N/A</v>
      </c>
      <c r="X268" s="153" t="str">
        <f t="array" ref="X268">INDEX('Primary - GRADING'!$A$1:$CP997,MATCH($A268,'Primary - GRADING'!$CP:$CP,0),21)</f>
        <v>#N/A</v>
      </c>
      <c r="Y268" s="153" t="str">
        <f t="array" ref="Y268">INDEX('Primary - GRADING'!$A$1:$CP997,MATCH($A268,'Primary - GRADING'!$CP:$CP,0),22)</f>
        <v>#N/A</v>
      </c>
      <c r="Z268" s="165" t="str">
        <f t="array" ref="Z268">INDEX('Primary - GRADING'!$A$1:$CP997,MATCH($A268,'Primary - GRADING'!$CP:$CP,0),23)</f>
        <v>#N/A</v>
      </c>
      <c r="AA268" s="153" t="str">
        <f t="array" ref="AA268">INDEX('Primary - GRADING'!$A$1:$CP997,MATCH($A268,'Primary - GRADING'!$CP:$CP,0),24)</f>
        <v>#N/A</v>
      </c>
      <c r="AB268" s="153" t="str">
        <f t="array" ref="AB268">INDEX('Primary - GRADING'!$A$1:$CP997,MATCH($A268,'Primary - GRADING'!$CP:$CP,0),25)</f>
        <v>#N/A</v>
      </c>
      <c r="AC268" s="153" t="str">
        <f t="array" ref="AC268">INDEX('Primary - GRADING'!$A$1:$CP997,MATCH($A268,'Primary - GRADING'!$CP:$CP,0),46)</f>
        <v>#N/A</v>
      </c>
      <c r="AG268" s="153" t="str">
        <f t="shared" si="7"/>
        <v>#N/A</v>
      </c>
    </row>
    <row r="269" ht="15.75" customHeight="1">
      <c r="I269" s="153" t="str">
        <f t="array" ref="I269">INDEX('Primary - GRADING'!$A$1:$CP997,MATCH($A269,'Primary - GRADING'!$CP:$CP,0),48)</f>
        <v>#N/A</v>
      </c>
      <c r="J269" s="153" t="str">
        <f t="array" ref="J269">INDEX('Primary - GRADING'!$A$1:$CP997,MATCH($A269,'Primary - GRADING'!$CP:$CP,0),49)</f>
        <v>#N/A</v>
      </c>
      <c r="K269" s="153" t="str">
        <f t="array" ref="K269">INDEX('Primary - GRADING'!$A$1:$CP997,MATCH($A269,'Primary - GRADING'!$CP:$CP,0),50)</f>
        <v>#N/A</v>
      </c>
      <c r="L269" s="153" t="str">
        <f t="array" ref="L269">INDEX('Primary - GRADING'!$A$1:$CP997,MATCH($A269,'Primary - GRADING'!$CP:$CP,0),51)</f>
        <v>#N/A</v>
      </c>
      <c r="M269" s="153" t="str">
        <f t="array" ref="M269">INDEX('Primary - GRADING'!$A$1:$CP997,MATCH($A269,'Primary - GRADING'!$CP:$CP,0),52)</f>
        <v>#N/A</v>
      </c>
      <c r="N269" s="153" t="str">
        <f t="array" ref="N269">INDEX('Primary - GRADING'!$A$1:$CP997,MATCH($A269,'Primary - GRADING'!$CP:$CP,0),53)</f>
        <v>#N/A</v>
      </c>
      <c r="O269" s="153" t="str">
        <f t="array" ref="O269">INDEX('Primary - GRADING'!$A$1:$CP997,MATCH($A269,'Primary - GRADING'!$CP:$CP,0),58)</f>
        <v>#N/A</v>
      </c>
      <c r="P269" s="153" t="str">
        <f t="array" ref="P269">INDEX('Primary - GRADING'!$A$1:$CP997,MATCH($A269,'Primary - GRADING'!$CP:$CP,0),5)</f>
        <v>#N/A</v>
      </c>
      <c r="Q269" s="153" t="str">
        <f t="array" ref="Q269">INDEX('Primary - GRADING'!$A$1:$CP997,MATCH($A269,'Primary - GRADING'!$CP:$CP,0),6)</f>
        <v>#N/A</v>
      </c>
      <c r="R269" s="153" t="str">
        <f t="array" ref="R269">INDEX('Primary - GRADING'!$A$1:$CP997,MATCH($A269,'Primary - GRADING'!$CP:$CP,0),7)</f>
        <v>#N/A</v>
      </c>
      <c r="S269" s="153" t="str">
        <f t="array" ref="S269">INDEX('Primary - GRADING'!$A$1:$CP997,MATCH($A269,'Primary - GRADING'!$CP:$CP,0),8)</f>
        <v>#N/A</v>
      </c>
      <c r="T269" s="153" t="str">
        <f t="array" ref="T269">INDEX('Primary - GRADING'!$A$1:$CP997,MATCH($A269,'Primary - GRADING'!$CP:$CP,0),9)</f>
        <v>#N/A</v>
      </c>
      <c r="U269" s="153" t="str">
        <f t="array" ref="U269">INDEX('Primary - GRADING'!$A$1:$CP997,MATCH($A269,'Primary - GRADING'!$CP:$CP,0),10)</f>
        <v>#N/A</v>
      </c>
      <c r="V269" s="153" t="str">
        <f t="array" ref="V269">INDEX('Primary - GRADING'!$A$1:$CP997,MATCH($A269,'Primary - GRADING'!$CP:$CP,0),18)</f>
        <v>#N/A</v>
      </c>
      <c r="W269" s="153" t="str">
        <f t="array" ref="W269">INDEX('Primary - GRADING'!$A$1:$CP997,MATCH($A269,'Primary - GRADING'!$CP:$CP,0),20)</f>
        <v>#N/A</v>
      </c>
      <c r="X269" s="153" t="str">
        <f t="array" ref="X269">INDEX('Primary - GRADING'!$A$1:$CP997,MATCH($A269,'Primary - GRADING'!$CP:$CP,0),21)</f>
        <v>#N/A</v>
      </c>
      <c r="Y269" s="153" t="str">
        <f t="array" ref="Y269">INDEX('Primary - GRADING'!$A$1:$CP997,MATCH($A269,'Primary - GRADING'!$CP:$CP,0),22)</f>
        <v>#N/A</v>
      </c>
      <c r="Z269" s="165" t="str">
        <f t="array" ref="Z269">INDEX('Primary - GRADING'!$A$1:$CP997,MATCH($A269,'Primary - GRADING'!$CP:$CP,0),23)</f>
        <v>#N/A</v>
      </c>
      <c r="AA269" s="153" t="str">
        <f t="array" ref="AA269">INDEX('Primary - GRADING'!$A$1:$CP997,MATCH($A269,'Primary - GRADING'!$CP:$CP,0),24)</f>
        <v>#N/A</v>
      </c>
      <c r="AB269" s="153" t="str">
        <f t="array" ref="AB269">INDEX('Primary - GRADING'!$A$1:$CP997,MATCH($A269,'Primary - GRADING'!$CP:$CP,0),25)</f>
        <v>#N/A</v>
      </c>
      <c r="AC269" s="153" t="str">
        <f t="array" ref="AC269">INDEX('Primary - GRADING'!$A$1:$CP997,MATCH($A269,'Primary - GRADING'!$CP:$CP,0),46)</f>
        <v>#N/A</v>
      </c>
      <c r="AG269" s="153" t="str">
        <f t="shared" si="7"/>
        <v>#N/A</v>
      </c>
    </row>
    <row r="270" ht="15.75" customHeight="1">
      <c r="I270" s="153" t="str">
        <f t="array" ref="I270">INDEX('Primary - GRADING'!$A$1:$CP997,MATCH($A270,'Primary - GRADING'!$CP:$CP,0),48)</f>
        <v>#N/A</v>
      </c>
      <c r="J270" s="153" t="str">
        <f t="array" ref="J270">INDEX('Primary - GRADING'!$A$1:$CP997,MATCH($A270,'Primary - GRADING'!$CP:$CP,0),49)</f>
        <v>#N/A</v>
      </c>
      <c r="K270" s="153" t="str">
        <f t="array" ref="K270">INDEX('Primary - GRADING'!$A$1:$CP997,MATCH($A270,'Primary - GRADING'!$CP:$CP,0),50)</f>
        <v>#N/A</v>
      </c>
      <c r="L270" s="153" t="str">
        <f t="array" ref="L270">INDEX('Primary - GRADING'!$A$1:$CP997,MATCH($A270,'Primary - GRADING'!$CP:$CP,0),51)</f>
        <v>#N/A</v>
      </c>
      <c r="M270" s="153" t="str">
        <f t="array" ref="M270">INDEX('Primary - GRADING'!$A$1:$CP997,MATCH($A270,'Primary - GRADING'!$CP:$CP,0),52)</f>
        <v>#N/A</v>
      </c>
      <c r="N270" s="153" t="str">
        <f t="array" ref="N270">INDEX('Primary - GRADING'!$A$1:$CP997,MATCH($A270,'Primary - GRADING'!$CP:$CP,0),53)</f>
        <v>#N/A</v>
      </c>
      <c r="O270" s="153" t="str">
        <f t="array" ref="O270">INDEX('Primary - GRADING'!$A$1:$CP997,MATCH($A270,'Primary - GRADING'!$CP:$CP,0),58)</f>
        <v>#N/A</v>
      </c>
      <c r="P270" s="153" t="str">
        <f t="array" ref="P270">INDEX('Primary - GRADING'!$A$1:$CP997,MATCH($A270,'Primary - GRADING'!$CP:$CP,0),5)</f>
        <v>#N/A</v>
      </c>
      <c r="Q270" s="153" t="str">
        <f t="array" ref="Q270">INDEX('Primary - GRADING'!$A$1:$CP997,MATCH($A270,'Primary - GRADING'!$CP:$CP,0),6)</f>
        <v>#N/A</v>
      </c>
      <c r="R270" s="153" t="str">
        <f t="array" ref="R270">INDEX('Primary - GRADING'!$A$1:$CP997,MATCH($A270,'Primary - GRADING'!$CP:$CP,0),7)</f>
        <v>#N/A</v>
      </c>
      <c r="S270" s="153" t="str">
        <f t="array" ref="S270">INDEX('Primary - GRADING'!$A$1:$CP997,MATCH($A270,'Primary - GRADING'!$CP:$CP,0),8)</f>
        <v>#N/A</v>
      </c>
      <c r="T270" s="153" t="str">
        <f t="array" ref="T270">INDEX('Primary - GRADING'!$A$1:$CP997,MATCH($A270,'Primary - GRADING'!$CP:$CP,0),9)</f>
        <v>#N/A</v>
      </c>
      <c r="U270" s="153" t="str">
        <f t="array" ref="U270">INDEX('Primary - GRADING'!$A$1:$CP997,MATCH($A270,'Primary - GRADING'!$CP:$CP,0),10)</f>
        <v>#N/A</v>
      </c>
      <c r="V270" s="153" t="str">
        <f t="array" ref="V270">INDEX('Primary - GRADING'!$A$1:$CP997,MATCH($A270,'Primary - GRADING'!$CP:$CP,0),18)</f>
        <v>#N/A</v>
      </c>
      <c r="W270" s="153" t="str">
        <f t="array" ref="W270">INDEX('Primary - GRADING'!$A$1:$CP997,MATCH($A270,'Primary - GRADING'!$CP:$CP,0),20)</f>
        <v>#N/A</v>
      </c>
      <c r="X270" s="153" t="str">
        <f t="array" ref="X270">INDEX('Primary - GRADING'!$A$1:$CP997,MATCH($A270,'Primary - GRADING'!$CP:$CP,0),21)</f>
        <v>#N/A</v>
      </c>
      <c r="Y270" s="153" t="str">
        <f t="array" ref="Y270">INDEX('Primary - GRADING'!$A$1:$CP997,MATCH($A270,'Primary - GRADING'!$CP:$CP,0),22)</f>
        <v>#N/A</v>
      </c>
      <c r="Z270" s="165" t="str">
        <f t="array" ref="Z270">INDEX('Primary - GRADING'!$A$1:$CP997,MATCH($A270,'Primary - GRADING'!$CP:$CP,0),23)</f>
        <v>#N/A</v>
      </c>
      <c r="AA270" s="153" t="str">
        <f t="array" ref="AA270">INDEX('Primary - GRADING'!$A$1:$CP997,MATCH($A270,'Primary - GRADING'!$CP:$CP,0),24)</f>
        <v>#N/A</v>
      </c>
      <c r="AB270" s="153" t="str">
        <f t="array" ref="AB270">INDEX('Primary - GRADING'!$A$1:$CP997,MATCH($A270,'Primary - GRADING'!$CP:$CP,0),25)</f>
        <v>#N/A</v>
      </c>
      <c r="AC270" s="153" t="str">
        <f t="array" ref="AC270">INDEX('Primary - GRADING'!$A$1:$CP997,MATCH($A270,'Primary - GRADING'!$CP:$CP,0),46)</f>
        <v>#N/A</v>
      </c>
      <c r="AG270" s="153" t="str">
        <f t="shared" si="7"/>
        <v>#N/A</v>
      </c>
    </row>
    <row r="271" ht="15.75" customHeight="1">
      <c r="I271" s="153" t="str">
        <f t="array" ref="I271">INDEX('Primary - GRADING'!$A$1:$CP997,MATCH($A271,'Primary - GRADING'!$CP:$CP,0),48)</f>
        <v>#N/A</v>
      </c>
      <c r="J271" s="153" t="str">
        <f t="array" ref="J271">INDEX('Primary - GRADING'!$A$1:$CP997,MATCH($A271,'Primary - GRADING'!$CP:$CP,0),49)</f>
        <v>#N/A</v>
      </c>
      <c r="K271" s="153" t="str">
        <f t="array" ref="K271">INDEX('Primary - GRADING'!$A$1:$CP997,MATCH($A271,'Primary - GRADING'!$CP:$CP,0),50)</f>
        <v>#N/A</v>
      </c>
      <c r="L271" s="153" t="str">
        <f t="array" ref="L271">INDEX('Primary - GRADING'!$A$1:$CP997,MATCH($A271,'Primary - GRADING'!$CP:$CP,0),51)</f>
        <v>#N/A</v>
      </c>
      <c r="M271" s="153" t="str">
        <f t="array" ref="M271">INDEX('Primary - GRADING'!$A$1:$CP997,MATCH($A271,'Primary - GRADING'!$CP:$CP,0),52)</f>
        <v>#N/A</v>
      </c>
      <c r="N271" s="153" t="str">
        <f t="array" ref="N271">INDEX('Primary - GRADING'!$A$1:$CP997,MATCH($A271,'Primary - GRADING'!$CP:$CP,0),53)</f>
        <v>#N/A</v>
      </c>
      <c r="O271" s="153" t="str">
        <f t="array" ref="O271">INDEX('Primary - GRADING'!$A$1:$CP997,MATCH($A271,'Primary - GRADING'!$CP:$CP,0),58)</f>
        <v>#N/A</v>
      </c>
      <c r="P271" s="153" t="str">
        <f t="array" ref="P271">INDEX('Primary - GRADING'!$A$1:$CP997,MATCH($A271,'Primary - GRADING'!$CP:$CP,0),5)</f>
        <v>#N/A</v>
      </c>
      <c r="Q271" s="153" t="str">
        <f t="array" ref="Q271">INDEX('Primary - GRADING'!$A$1:$CP997,MATCH($A271,'Primary - GRADING'!$CP:$CP,0),6)</f>
        <v>#N/A</v>
      </c>
      <c r="R271" s="153" t="str">
        <f t="array" ref="R271">INDEX('Primary - GRADING'!$A$1:$CP997,MATCH($A271,'Primary - GRADING'!$CP:$CP,0),7)</f>
        <v>#N/A</v>
      </c>
      <c r="S271" s="153" t="str">
        <f t="array" ref="S271">INDEX('Primary - GRADING'!$A$1:$CP997,MATCH($A271,'Primary - GRADING'!$CP:$CP,0),8)</f>
        <v>#N/A</v>
      </c>
      <c r="T271" s="153" t="str">
        <f t="array" ref="T271">INDEX('Primary - GRADING'!$A$1:$CP997,MATCH($A271,'Primary - GRADING'!$CP:$CP,0),9)</f>
        <v>#N/A</v>
      </c>
      <c r="U271" s="153" t="str">
        <f t="array" ref="U271">INDEX('Primary - GRADING'!$A$1:$CP997,MATCH($A271,'Primary - GRADING'!$CP:$CP,0),10)</f>
        <v>#N/A</v>
      </c>
      <c r="V271" s="153" t="str">
        <f t="array" ref="V271">INDEX('Primary - GRADING'!$A$1:$CP997,MATCH($A271,'Primary - GRADING'!$CP:$CP,0),18)</f>
        <v>#N/A</v>
      </c>
      <c r="W271" s="153" t="str">
        <f t="array" ref="W271">INDEX('Primary - GRADING'!$A$1:$CP997,MATCH($A271,'Primary - GRADING'!$CP:$CP,0),20)</f>
        <v>#N/A</v>
      </c>
      <c r="X271" s="153" t="str">
        <f t="array" ref="X271">INDEX('Primary - GRADING'!$A$1:$CP997,MATCH($A271,'Primary - GRADING'!$CP:$CP,0),21)</f>
        <v>#N/A</v>
      </c>
      <c r="Y271" s="153" t="str">
        <f t="array" ref="Y271">INDEX('Primary - GRADING'!$A$1:$CP997,MATCH($A271,'Primary - GRADING'!$CP:$CP,0),22)</f>
        <v>#N/A</v>
      </c>
      <c r="Z271" s="165" t="str">
        <f t="array" ref="Z271">INDEX('Primary - GRADING'!$A$1:$CP997,MATCH($A271,'Primary - GRADING'!$CP:$CP,0),23)</f>
        <v>#N/A</v>
      </c>
      <c r="AA271" s="153" t="str">
        <f t="array" ref="AA271">INDEX('Primary - GRADING'!$A$1:$CP997,MATCH($A271,'Primary - GRADING'!$CP:$CP,0),24)</f>
        <v>#N/A</v>
      </c>
      <c r="AB271" s="153" t="str">
        <f t="array" ref="AB271">INDEX('Primary - GRADING'!$A$1:$CP997,MATCH($A271,'Primary - GRADING'!$CP:$CP,0),25)</f>
        <v>#N/A</v>
      </c>
      <c r="AC271" s="153" t="str">
        <f t="array" ref="AC271">INDEX('Primary - GRADING'!$A$1:$CP997,MATCH($A271,'Primary - GRADING'!$CP:$CP,0),46)</f>
        <v>#N/A</v>
      </c>
      <c r="AG271" s="153" t="str">
        <f t="shared" si="7"/>
        <v>#N/A</v>
      </c>
    </row>
    <row r="272" ht="15.75" customHeight="1">
      <c r="I272" s="153" t="str">
        <f t="array" ref="I272">INDEX('Primary - GRADING'!$A$1:$CP997,MATCH($A272,'Primary - GRADING'!$CP:$CP,0),48)</f>
        <v>#N/A</v>
      </c>
      <c r="J272" s="153" t="str">
        <f t="array" ref="J272">INDEX('Primary - GRADING'!$A$1:$CP997,MATCH($A272,'Primary - GRADING'!$CP:$CP,0),49)</f>
        <v>#N/A</v>
      </c>
      <c r="K272" s="153" t="str">
        <f t="array" ref="K272">INDEX('Primary - GRADING'!$A$1:$CP997,MATCH($A272,'Primary - GRADING'!$CP:$CP,0),50)</f>
        <v>#N/A</v>
      </c>
      <c r="L272" s="153" t="str">
        <f t="array" ref="L272">INDEX('Primary - GRADING'!$A$1:$CP997,MATCH($A272,'Primary - GRADING'!$CP:$CP,0),51)</f>
        <v>#N/A</v>
      </c>
      <c r="M272" s="153" t="str">
        <f t="array" ref="M272">INDEX('Primary - GRADING'!$A$1:$CP997,MATCH($A272,'Primary - GRADING'!$CP:$CP,0),52)</f>
        <v>#N/A</v>
      </c>
      <c r="N272" s="153" t="str">
        <f t="array" ref="N272">INDEX('Primary - GRADING'!$A$1:$CP997,MATCH($A272,'Primary - GRADING'!$CP:$CP,0),53)</f>
        <v>#N/A</v>
      </c>
      <c r="O272" s="153" t="str">
        <f t="array" ref="O272">INDEX('Primary - GRADING'!$A$1:$CP997,MATCH($A272,'Primary - GRADING'!$CP:$CP,0),58)</f>
        <v>#N/A</v>
      </c>
      <c r="P272" s="153" t="str">
        <f t="array" ref="P272">INDEX('Primary - GRADING'!$A$1:$CP997,MATCH($A272,'Primary - GRADING'!$CP:$CP,0),5)</f>
        <v>#N/A</v>
      </c>
      <c r="Q272" s="153" t="str">
        <f t="array" ref="Q272">INDEX('Primary - GRADING'!$A$1:$CP997,MATCH($A272,'Primary - GRADING'!$CP:$CP,0),6)</f>
        <v>#N/A</v>
      </c>
      <c r="R272" s="153" t="str">
        <f t="array" ref="R272">INDEX('Primary - GRADING'!$A$1:$CP997,MATCH($A272,'Primary - GRADING'!$CP:$CP,0),7)</f>
        <v>#N/A</v>
      </c>
      <c r="S272" s="153" t="str">
        <f t="array" ref="S272">INDEX('Primary - GRADING'!$A$1:$CP997,MATCH($A272,'Primary - GRADING'!$CP:$CP,0),8)</f>
        <v>#N/A</v>
      </c>
      <c r="T272" s="153" t="str">
        <f t="array" ref="T272">INDEX('Primary - GRADING'!$A$1:$CP997,MATCH($A272,'Primary - GRADING'!$CP:$CP,0),9)</f>
        <v>#N/A</v>
      </c>
      <c r="U272" s="153" t="str">
        <f t="array" ref="U272">INDEX('Primary - GRADING'!$A$1:$CP997,MATCH($A272,'Primary - GRADING'!$CP:$CP,0),10)</f>
        <v>#N/A</v>
      </c>
      <c r="V272" s="153" t="str">
        <f t="array" ref="V272">INDEX('Primary - GRADING'!$A$1:$CP997,MATCH($A272,'Primary - GRADING'!$CP:$CP,0),18)</f>
        <v>#N/A</v>
      </c>
      <c r="W272" s="153" t="str">
        <f t="array" ref="W272">INDEX('Primary - GRADING'!$A$1:$CP997,MATCH($A272,'Primary - GRADING'!$CP:$CP,0),20)</f>
        <v>#N/A</v>
      </c>
      <c r="X272" s="153" t="str">
        <f t="array" ref="X272">INDEX('Primary - GRADING'!$A$1:$CP997,MATCH($A272,'Primary - GRADING'!$CP:$CP,0),21)</f>
        <v>#N/A</v>
      </c>
      <c r="Y272" s="153" t="str">
        <f t="array" ref="Y272">INDEX('Primary - GRADING'!$A$1:$CP997,MATCH($A272,'Primary - GRADING'!$CP:$CP,0),22)</f>
        <v>#N/A</v>
      </c>
      <c r="Z272" s="165" t="str">
        <f t="array" ref="Z272">INDEX('Primary - GRADING'!$A$1:$CP997,MATCH($A272,'Primary - GRADING'!$CP:$CP,0),23)</f>
        <v>#N/A</v>
      </c>
      <c r="AA272" s="153" t="str">
        <f t="array" ref="AA272">INDEX('Primary - GRADING'!$A$1:$CP997,MATCH($A272,'Primary - GRADING'!$CP:$CP,0),24)</f>
        <v>#N/A</v>
      </c>
      <c r="AB272" s="153" t="str">
        <f t="array" ref="AB272">INDEX('Primary - GRADING'!$A$1:$CP997,MATCH($A272,'Primary - GRADING'!$CP:$CP,0),25)</f>
        <v>#N/A</v>
      </c>
      <c r="AC272" s="153" t="str">
        <f t="array" ref="AC272">INDEX('Primary - GRADING'!$A$1:$CP997,MATCH($A272,'Primary - GRADING'!$CP:$CP,0),46)</f>
        <v>#N/A</v>
      </c>
      <c r="AG272" s="153" t="str">
        <f t="shared" si="7"/>
        <v>#N/A</v>
      </c>
    </row>
    <row r="273" ht="15.75" customHeight="1">
      <c r="I273" s="153" t="str">
        <f t="array" ref="I273">INDEX('Primary - GRADING'!$A$1:$CP997,MATCH($A273,'Primary - GRADING'!$CP:$CP,0),48)</f>
        <v>#N/A</v>
      </c>
      <c r="J273" s="153" t="str">
        <f t="array" ref="J273">INDEX('Primary - GRADING'!$A$1:$CP997,MATCH($A273,'Primary - GRADING'!$CP:$CP,0),49)</f>
        <v>#N/A</v>
      </c>
      <c r="K273" s="153" t="str">
        <f t="array" ref="K273">INDEX('Primary - GRADING'!$A$1:$CP997,MATCH($A273,'Primary - GRADING'!$CP:$CP,0),50)</f>
        <v>#N/A</v>
      </c>
      <c r="L273" s="153" t="str">
        <f t="array" ref="L273">INDEX('Primary - GRADING'!$A$1:$CP997,MATCH($A273,'Primary - GRADING'!$CP:$CP,0),51)</f>
        <v>#N/A</v>
      </c>
      <c r="M273" s="153" t="str">
        <f t="array" ref="M273">INDEX('Primary - GRADING'!$A$1:$CP997,MATCH($A273,'Primary - GRADING'!$CP:$CP,0),52)</f>
        <v>#N/A</v>
      </c>
      <c r="N273" s="153" t="str">
        <f t="array" ref="N273">INDEX('Primary - GRADING'!$A$1:$CP997,MATCH($A273,'Primary - GRADING'!$CP:$CP,0),53)</f>
        <v>#N/A</v>
      </c>
      <c r="O273" s="153" t="str">
        <f t="array" ref="O273">INDEX('Primary - GRADING'!$A$1:$CP997,MATCH($A273,'Primary - GRADING'!$CP:$CP,0),58)</f>
        <v>#N/A</v>
      </c>
      <c r="P273" s="153" t="str">
        <f t="array" ref="P273">INDEX('Primary - GRADING'!$A$1:$CP997,MATCH($A273,'Primary - GRADING'!$CP:$CP,0),5)</f>
        <v>#N/A</v>
      </c>
      <c r="Q273" s="153" t="str">
        <f t="array" ref="Q273">INDEX('Primary - GRADING'!$A$1:$CP997,MATCH($A273,'Primary - GRADING'!$CP:$CP,0),6)</f>
        <v>#N/A</v>
      </c>
      <c r="R273" s="153" t="str">
        <f t="array" ref="R273">INDEX('Primary - GRADING'!$A$1:$CP997,MATCH($A273,'Primary - GRADING'!$CP:$CP,0),7)</f>
        <v>#N/A</v>
      </c>
      <c r="S273" s="153" t="str">
        <f t="array" ref="S273">INDEX('Primary - GRADING'!$A$1:$CP997,MATCH($A273,'Primary - GRADING'!$CP:$CP,0),8)</f>
        <v>#N/A</v>
      </c>
      <c r="T273" s="153" t="str">
        <f t="array" ref="T273">INDEX('Primary - GRADING'!$A$1:$CP997,MATCH($A273,'Primary - GRADING'!$CP:$CP,0),9)</f>
        <v>#N/A</v>
      </c>
      <c r="U273" s="153" t="str">
        <f t="array" ref="U273">INDEX('Primary - GRADING'!$A$1:$CP997,MATCH($A273,'Primary - GRADING'!$CP:$CP,0),10)</f>
        <v>#N/A</v>
      </c>
      <c r="V273" s="153" t="str">
        <f t="array" ref="V273">INDEX('Primary - GRADING'!$A$1:$CP997,MATCH($A273,'Primary - GRADING'!$CP:$CP,0),18)</f>
        <v>#N/A</v>
      </c>
      <c r="W273" s="153" t="str">
        <f t="array" ref="W273">INDEX('Primary - GRADING'!$A$1:$CP997,MATCH($A273,'Primary - GRADING'!$CP:$CP,0),20)</f>
        <v>#N/A</v>
      </c>
      <c r="X273" s="153" t="str">
        <f t="array" ref="X273">INDEX('Primary - GRADING'!$A$1:$CP997,MATCH($A273,'Primary - GRADING'!$CP:$CP,0),21)</f>
        <v>#N/A</v>
      </c>
      <c r="Y273" s="153" t="str">
        <f t="array" ref="Y273">INDEX('Primary - GRADING'!$A$1:$CP997,MATCH($A273,'Primary - GRADING'!$CP:$CP,0),22)</f>
        <v>#N/A</v>
      </c>
      <c r="Z273" s="165" t="str">
        <f t="array" ref="Z273">INDEX('Primary - GRADING'!$A$1:$CP997,MATCH($A273,'Primary - GRADING'!$CP:$CP,0),23)</f>
        <v>#N/A</v>
      </c>
      <c r="AA273" s="153" t="str">
        <f t="array" ref="AA273">INDEX('Primary - GRADING'!$A$1:$CP997,MATCH($A273,'Primary - GRADING'!$CP:$CP,0),24)</f>
        <v>#N/A</v>
      </c>
      <c r="AB273" s="153" t="str">
        <f t="array" ref="AB273">INDEX('Primary - GRADING'!$A$1:$CP997,MATCH($A273,'Primary - GRADING'!$CP:$CP,0),25)</f>
        <v>#N/A</v>
      </c>
      <c r="AC273" s="153" t="str">
        <f t="array" ref="AC273">INDEX('Primary - GRADING'!$A$1:$CP997,MATCH($A273,'Primary - GRADING'!$CP:$CP,0),46)</f>
        <v>#N/A</v>
      </c>
      <c r="AG273" s="153" t="str">
        <f t="shared" si="7"/>
        <v>#N/A</v>
      </c>
    </row>
    <row r="274" ht="15.75" customHeight="1">
      <c r="I274" s="153" t="str">
        <f t="array" ref="I274">INDEX('Primary - GRADING'!$A$1:$CP997,MATCH($A274,'Primary - GRADING'!$CP:$CP,0),48)</f>
        <v>#N/A</v>
      </c>
      <c r="J274" s="153" t="str">
        <f t="array" ref="J274">INDEX('Primary - GRADING'!$A$1:$CP997,MATCH($A274,'Primary - GRADING'!$CP:$CP,0),49)</f>
        <v>#N/A</v>
      </c>
      <c r="K274" s="153" t="str">
        <f t="array" ref="K274">INDEX('Primary - GRADING'!$A$1:$CP997,MATCH($A274,'Primary - GRADING'!$CP:$CP,0),50)</f>
        <v>#N/A</v>
      </c>
      <c r="L274" s="153" t="str">
        <f t="array" ref="L274">INDEX('Primary - GRADING'!$A$1:$CP997,MATCH($A274,'Primary - GRADING'!$CP:$CP,0),51)</f>
        <v>#N/A</v>
      </c>
      <c r="M274" s="153" t="str">
        <f t="array" ref="M274">INDEX('Primary - GRADING'!$A$1:$CP997,MATCH($A274,'Primary - GRADING'!$CP:$CP,0),52)</f>
        <v>#N/A</v>
      </c>
      <c r="N274" s="153" t="str">
        <f t="array" ref="N274">INDEX('Primary - GRADING'!$A$1:$CP997,MATCH($A274,'Primary - GRADING'!$CP:$CP,0),53)</f>
        <v>#N/A</v>
      </c>
      <c r="O274" s="153" t="str">
        <f t="array" ref="O274">INDEX('Primary - GRADING'!$A$1:$CP997,MATCH($A274,'Primary - GRADING'!$CP:$CP,0),58)</f>
        <v>#N/A</v>
      </c>
      <c r="P274" s="153" t="str">
        <f t="array" ref="P274">INDEX('Primary - GRADING'!$A$1:$CP997,MATCH($A274,'Primary - GRADING'!$CP:$CP,0),5)</f>
        <v>#N/A</v>
      </c>
      <c r="Q274" s="153" t="str">
        <f t="array" ref="Q274">INDEX('Primary - GRADING'!$A$1:$CP997,MATCH($A274,'Primary - GRADING'!$CP:$CP,0),6)</f>
        <v>#N/A</v>
      </c>
      <c r="R274" s="153" t="str">
        <f t="array" ref="R274">INDEX('Primary - GRADING'!$A$1:$CP997,MATCH($A274,'Primary - GRADING'!$CP:$CP,0),7)</f>
        <v>#N/A</v>
      </c>
      <c r="S274" s="153" t="str">
        <f t="array" ref="S274">INDEX('Primary - GRADING'!$A$1:$CP997,MATCH($A274,'Primary - GRADING'!$CP:$CP,0),8)</f>
        <v>#N/A</v>
      </c>
      <c r="T274" s="153" t="str">
        <f t="array" ref="T274">INDEX('Primary - GRADING'!$A$1:$CP997,MATCH($A274,'Primary - GRADING'!$CP:$CP,0),9)</f>
        <v>#N/A</v>
      </c>
      <c r="U274" s="153" t="str">
        <f t="array" ref="U274">INDEX('Primary - GRADING'!$A$1:$CP997,MATCH($A274,'Primary - GRADING'!$CP:$CP,0),10)</f>
        <v>#N/A</v>
      </c>
      <c r="V274" s="153" t="str">
        <f t="array" ref="V274">INDEX('Primary - GRADING'!$A$1:$CP997,MATCH($A274,'Primary - GRADING'!$CP:$CP,0),18)</f>
        <v>#N/A</v>
      </c>
      <c r="W274" s="153" t="str">
        <f t="array" ref="W274">INDEX('Primary - GRADING'!$A$1:$CP997,MATCH($A274,'Primary - GRADING'!$CP:$CP,0),20)</f>
        <v>#N/A</v>
      </c>
      <c r="X274" s="153" t="str">
        <f t="array" ref="X274">INDEX('Primary - GRADING'!$A$1:$CP997,MATCH($A274,'Primary - GRADING'!$CP:$CP,0),21)</f>
        <v>#N/A</v>
      </c>
      <c r="Y274" s="153" t="str">
        <f t="array" ref="Y274">INDEX('Primary - GRADING'!$A$1:$CP997,MATCH($A274,'Primary - GRADING'!$CP:$CP,0),22)</f>
        <v>#N/A</v>
      </c>
      <c r="Z274" s="165" t="str">
        <f t="array" ref="Z274">INDEX('Primary - GRADING'!$A$1:$CP997,MATCH($A274,'Primary - GRADING'!$CP:$CP,0),23)</f>
        <v>#N/A</v>
      </c>
      <c r="AA274" s="153" t="str">
        <f t="array" ref="AA274">INDEX('Primary - GRADING'!$A$1:$CP997,MATCH($A274,'Primary - GRADING'!$CP:$CP,0),24)</f>
        <v>#N/A</v>
      </c>
      <c r="AB274" s="153" t="str">
        <f t="array" ref="AB274">INDEX('Primary - GRADING'!$A$1:$CP997,MATCH($A274,'Primary - GRADING'!$CP:$CP,0),25)</f>
        <v>#N/A</v>
      </c>
      <c r="AC274" s="153" t="str">
        <f t="array" ref="AC274">INDEX('Primary - GRADING'!$A$1:$CP997,MATCH($A274,'Primary - GRADING'!$CP:$CP,0),46)</f>
        <v>#N/A</v>
      </c>
      <c r="AG274" s="153" t="str">
        <f t="shared" si="7"/>
        <v>#N/A</v>
      </c>
    </row>
    <row r="275" ht="15.75" customHeight="1">
      <c r="I275" s="153" t="str">
        <f t="array" ref="I275">INDEX('Primary - GRADING'!$A$1:$CP997,MATCH($A275,'Primary - GRADING'!$CP:$CP,0),48)</f>
        <v>#N/A</v>
      </c>
      <c r="J275" s="153" t="str">
        <f t="array" ref="J275">INDEX('Primary - GRADING'!$A$1:$CP997,MATCH($A275,'Primary - GRADING'!$CP:$CP,0),49)</f>
        <v>#N/A</v>
      </c>
      <c r="K275" s="153" t="str">
        <f t="array" ref="K275">INDEX('Primary - GRADING'!$A$1:$CP997,MATCH($A275,'Primary - GRADING'!$CP:$CP,0),50)</f>
        <v>#N/A</v>
      </c>
      <c r="L275" s="153" t="str">
        <f t="array" ref="L275">INDEX('Primary - GRADING'!$A$1:$CP997,MATCH($A275,'Primary - GRADING'!$CP:$CP,0),51)</f>
        <v>#N/A</v>
      </c>
      <c r="M275" s="153" t="str">
        <f t="array" ref="M275">INDEX('Primary - GRADING'!$A$1:$CP997,MATCH($A275,'Primary - GRADING'!$CP:$CP,0),52)</f>
        <v>#N/A</v>
      </c>
      <c r="N275" s="153" t="str">
        <f t="array" ref="N275">INDEX('Primary - GRADING'!$A$1:$CP997,MATCH($A275,'Primary - GRADING'!$CP:$CP,0),53)</f>
        <v>#N/A</v>
      </c>
      <c r="O275" s="153" t="str">
        <f t="array" ref="O275">INDEX('Primary - GRADING'!$A$1:$CP997,MATCH($A275,'Primary - GRADING'!$CP:$CP,0),58)</f>
        <v>#N/A</v>
      </c>
      <c r="P275" s="153" t="str">
        <f t="array" ref="P275">INDEX('Primary - GRADING'!$A$1:$CP997,MATCH($A275,'Primary - GRADING'!$CP:$CP,0),5)</f>
        <v>#N/A</v>
      </c>
      <c r="Q275" s="153" t="str">
        <f t="array" ref="Q275">INDEX('Primary - GRADING'!$A$1:$CP997,MATCH($A275,'Primary - GRADING'!$CP:$CP,0),6)</f>
        <v>#N/A</v>
      </c>
      <c r="R275" s="153" t="str">
        <f t="array" ref="R275">INDEX('Primary - GRADING'!$A$1:$CP997,MATCH($A275,'Primary - GRADING'!$CP:$CP,0),7)</f>
        <v>#N/A</v>
      </c>
      <c r="S275" s="153" t="str">
        <f t="array" ref="S275">INDEX('Primary - GRADING'!$A$1:$CP997,MATCH($A275,'Primary - GRADING'!$CP:$CP,0),8)</f>
        <v>#N/A</v>
      </c>
      <c r="T275" s="153" t="str">
        <f t="array" ref="T275">INDEX('Primary - GRADING'!$A$1:$CP997,MATCH($A275,'Primary - GRADING'!$CP:$CP,0),9)</f>
        <v>#N/A</v>
      </c>
      <c r="U275" s="153" t="str">
        <f t="array" ref="U275">INDEX('Primary - GRADING'!$A$1:$CP997,MATCH($A275,'Primary - GRADING'!$CP:$CP,0),10)</f>
        <v>#N/A</v>
      </c>
      <c r="V275" s="153" t="str">
        <f t="array" ref="V275">INDEX('Primary - GRADING'!$A$1:$CP997,MATCH($A275,'Primary - GRADING'!$CP:$CP,0),18)</f>
        <v>#N/A</v>
      </c>
      <c r="W275" s="153" t="str">
        <f t="array" ref="W275">INDEX('Primary - GRADING'!$A$1:$CP997,MATCH($A275,'Primary - GRADING'!$CP:$CP,0),20)</f>
        <v>#N/A</v>
      </c>
      <c r="X275" s="153" t="str">
        <f t="array" ref="X275">INDEX('Primary - GRADING'!$A$1:$CP997,MATCH($A275,'Primary - GRADING'!$CP:$CP,0),21)</f>
        <v>#N/A</v>
      </c>
      <c r="Y275" s="153" t="str">
        <f t="array" ref="Y275">INDEX('Primary - GRADING'!$A$1:$CP997,MATCH($A275,'Primary - GRADING'!$CP:$CP,0),22)</f>
        <v>#N/A</v>
      </c>
      <c r="Z275" s="165" t="str">
        <f t="array" ref="Z275">INDEX('Primary - GRADING'!$A$1:$CP997,MATCH($A275,'Primary - GRADING'!$CP:$CP,0),23)</f>
        <v>#N/A</v>
      </c>
      <c r="AA275" s="153" t="str">
        <f t="array" ref="AA275">INDEX('Primary - GRADING'!$A$1:$CP997,MATCH($A275,'Primary - GRADING'!$CP:$CP,0),24)</f>
        <v>#N/A</v>
      </c>
      <c r="AB275" s="153" t="str">
        <f t="array" ref="AB275">INDEX('Primary - GRADING'!$A$1:$CP997,MATCH($A275,'Primary - GRADING'!$CP:$CP,0),25)</f>
        <v>#N/A</v>
      </c>
      <c r="AC275" s="153" t="str">
        <f t="array" ref="AC275">INDEX('Primary - GRADING'!$A$1:$CP997,MATCH($A275,'Primary - GRADING'!$CP:$CP,0),46)</f>
        <v>#N/A</v>
      </c>
      <c r="AG275" s="153" t="str">
        <f t="shared" si="7"/>
        <v>#N/A</v>
      </c>
    </row>
    <row r="276" ht="15.75" customHeight="1">
      <c r="I276" s="153" t="str">
        <f t="array" ref="I276">INDEX('Primary - GRADING'!$A$1:$CP997,MATCH($A276,'Primary - GRADING'!$CP:$CP,0),48)</f>
        <v>#N/A</v>
      </c>
      <c r="J276" s="153" t="str">
        <f t="array" ref="J276">INDEX('Primary - GRADING'!$A$1:$CP997,MATCH($A276,'Primary - GRADING'!$CP:$CP,0),49)</f>
        <v>#N/A</v>
      </c>
      <c r="K276" s="153" t="str">
        <f t="array" ref="K276">INDEX('Primary - GRADING'!$A$1:$CP997,MATCH($A276,'Primary - GRADING'!$CP:$CP,0),50)</f>
        <v>#N/A</v>
      </c>
      <c r="L276" s="153" t="str">
        <f t="array" ref="L276">INDEX('Primary - GRADING'!$A$1:$CP997,MATCH($A276,'Primary - GRADING'!$CP:$CP,0),51)</f>
        <v>#N/A</v>
      </c>
      <c r="M276" s="153" t="str">
        <f t="array" ref="M276">INDEX('Primary - GRADING'!$A$1:$CP997,MATCH($A276,'Primary - GRADING'!$CP:$CP,0),52)</f>
        <v>#N/A</v>
      </c>
      <c r="N276" s="153" t="str">
        <f t="array" ref="N276">INDEX('Primary - GRADING'!$A$1:$CP997,MATCH($A276,'Primary - GRADING'!$CP:$CP,0),53)</f>
        <v>#N/A</v>
      </c>
      <c r="O276" s="153" t="str">
        <f t="array" ref="O276">INDEX('Primary - GRADING'!$A$1:$CP997,MATCH($A276,'Primary - GRADING'!$CP:$CP,0),58)</f>
        <v>#N/A</v>
      </c>
      <c r="P276" s="153" t="str">
        <f t="array" ref="P276">INDEX('Primary - GRADING'!$A$1:$CP997,MATCH($A276,'Primary - GRADING'!$CP:$CP,0),5)</f>
        <v>#N/A</v>
      </c>
      <c r="Q276" s="153" t="str">
        <f t="array" ref="Q276">INDEX('Primary - GRADING'!$A$1:$CP997,MATCH($A276,'Primary - GRADING'!$CP:$CP,0),6)</f>
        <v>#N/A</v>
      </c>
      <c r="R276" s="153" t="str">
        <f t="array" ref="R276">INDEX('Primary - GRADING'!$A$1:$CP997,MATCH($A276,'Primary - GRADING'!$CP:$CP,0),7)</f>
        <v>#N/A</v>
      </c>
      <c r="S276" s="153" t="str">
        <f t="array" ref="S276">INDEX('Primary - GRADING'!$A$1:$CP997,MATCH($A276,'Primary - GRADING'!$CP:$CP,0),8)</f>
        <v>#N/A</v>
      </c>
      <c r="T276" s="153" t="str">
        <f t="array" ref="T276">INDEX('Primary - GRADING'!$A$1:$CP997,MATCH($A276,'Primary - GRADING'!$CP:$CP,0),9)</f>
        <v>#N/A</v>
      </c>
      <c r="U276" s="153" t="str">
        <f t="array" ref="U276">INDEX('Primary - GRADING'!$A$1:$CP997,MATCH($A276,'Primary - GRADING'!$CP:$CP,0),10)</f>
        <v>#N/A</v>
      </c>
      <c r="V276" s="153" t="str">
        <f t="array" ref="V276">INDEX('Primary - GRADING'!$A$1:$CP997,MATCH($A276,'Primary - GRADING'!$CP:$CP,0),18)</f>
        <v>#N/A</v>
      </c>
      <c r="W276" s="153" t="str">
        <f t="array" ref="W276">INDEX('Primary - GRADING'!$A$1:$CP997,MATCH($A276,'Primary - GRADING'!$CP:$CP,0),20)</f>
        <v>#N/A</v>
      </c>
      <c r="X276" s="153" t="str">
        <f t="array" ref="X276">INDEX('Primary - GRADING'!$A$1:$CP997,MATCH($A276,'Primary - GRADING'!$CP:$CP,0),21)</f>
        <v>#N/A</v>
      </c>
      <c r="Y276" s="153" t="str">
        <f t="array" ref="Y276">INDEX('Primary - GRADING'!$A$1:$CP997,MATCH($A276,'Primary - GRADING'!$CP:$CP,0),22)</f>
        <v>#N/A</v>
      </c>
      <c r="Z276" s="165" t="str">
        <f t="array" ref="Z276">INDEX('Primary - GRADING'!$A$1:$CP997,MATCH($A276,'Primary - GRADING'!$CP:$CP,0),23)</f>
        <v>#N/A</v>
      </c>
      <c r="AA276" s="153" t="str">
        <f t="array" ref="AA276">INDEX('Primary - GRADING'!$A$1:$CP997,MATCH($A276,'Primary - GRADING'!$CP:$CP,0),24)</f>
        <v>#N/A</v>
      </c>
      <c r="AB276" s="153" t="str">
        <f t="array" ref="AB276">INDEX('Primary - GRADING'!$A$1:$CP997,MATCH($A276,'Primary - GRADING'!$CP:$CP,0),25)</f>
        <v>#N/A</v>
      </c>
      <c r="AC276" s="153" t="str">
        <f t="array" ref="AC276">INDEX('Primary - GRADING'!$A$1:$CP997,MATCH($A276,'Primary - GRADING'!$CP:$CP,0),46)</f>
        <v>#N/A</v>
      </c>
      <c r="AG276" s="153" t="str">
        <f t="shared" si="7"/>
        <v>#N/A</v>
      </c>
    </row>
    <row r="277" ht="15.75" customHeight="1">
      <c r="I277" s="153" t="str">
        <f t="array" ref="I277">INDEX('Primary - GRADING'!$A$1:$CP997,MATCH($A277,'Primary - GRADING'!$CP:$CP,0),48)</f>
        <v>#N/A</v>
      </c>
      <c r="J277" s="153" t="str">
        <f t="array" ref="J277">INDEX('Primary - GRADING'!$A$1:$CP997,MATCH($A277,'Primary - GRADING'!$CP:$CP,0),49)</f>
        <v>#N/A</v>
      </c>
      <c r="K277" s="153" t="str">
        <f t="array" ref="K277">INDEX('Primary - GRADING'!$A$1:$CP997,MATCH($A277,'Primary - GRADING'!$CP:$CP,0),50)</f>
        <v>#N/A</v>
      </c>
      <c r="L277" s="153" t="str">
        <f t="array" ref="L277">INDEX('Primary - GRADING'!$A$1:$CP997,MATCH($A277,'Primary - GRADING'!$CP:$CP,0),51)</f>
        <v>#N/A</v>
      </c>
      <c r="M277" s="153" t="str">
        <f t="array" ref="M277">INDEX('Primary - GRADING'!$A$1:$CP997,MATCH($A277,'Primary - GRADING'!$CP:$CP,0),52)</f>
        <v>#N/A</v>
      </c>
      <c r="N277" s="153" t="str">
        <f t="array" ref="N277">INDEX('Primary - GRADING'!$A$1:$CP997,MATCH($A277,'Primary - GRADING'!$CP:$CP,0),53)</f>
        <v>#N/A</v>
      </c>
      <c r="O277" s="153" t="str">
        <f t="array" ref="O277">INDEX('Primary - GRADING'!$A$1:$CP997,MATCH($A277,'Primary - GRADING'!$CP:$CP,0),58)</f>
        <v>#N/A</v>
      </c>
      <c r="P277" s="153" t="str">
        <f t="array" ref="P277">INDEX('Primary - GRADING'!$A$1:$CP997,MATCH($A277,'Primary - GRADING'!$CP:$CP,0),5)</f>
        <v>#N/A</v>
      </c>
      <c r="Q277" s="153" t="str">
        <f t="array" ref="Q277">INDEX('Primary - GRADING'!$A$1:$CP997,MATCH($A277,'Primary - GRADING'!$CP:$CP,0),6)</f>
        <v>#N/A</v>
      </c>
      <c r="R277" s="153" t="str">
        <f t="array" ref="R277">INDEX('Primary - GRADING'!$A$1:$CP997,MATCH($A277,'Primary - GRADING'!$CP:$CP,0),7)</f>
        <v>#N/A</v>
      </c>
      <c r="S277" s="153" t="str">
        <f t="array" ref="S277">INDEX('Primary - GRADING'!$A$1:$CP997,MATCH($A277,'Primary - GRADING'!$CP:$CP,0),8)</f>
        <v>#N/A</v>
      </c>
      <c r="T277" s="153" t="str">
        <f t="array" ref="T277">INDEX('Primary - GRADING'!$A$1:$CP997,MATCH($A277,'Primary - GRADING'!$CP:$CP,0),9)</f>
        <v>#N/A</v>
      </c>
      <c r="U277" s="153" t="str">
        <f t="array" ref="U277">INDEX('Primary - GRADING'!$A$1:$CP997,MATCH($A277,'Primary - GRADING'!$CP:$CP,0),10)</f>
        <v>#N/A</v>
      </c>
      <c r="V277" s="153" t="str">
        <f t="array" ref="V277">INDEX('Primary - GRADING'!$A$1:$CP997,MATCH($A277,'Primary - GRADING'!$CP:$CP,0),18)</f>
        <v>#N/A</v>
      </c>
      <c r="W277" s="153" t="str">
        <f t="array" ref="W277">INDEX('Primary - GRADING'!$A$1:$CP997,MATCH($A277,'Primary - GRADING'!$CP:$CP,0),20)</f>
        <v>#N/A</v>
      </c>
      <c r="X277" s="153" t="str">
        <f t="array" ref="X277">INDEX('Primary - GRADING'!$A$1:$CP997,MATCH($A277,'Primary - GRADING'!$CP:$CP,0),21)</f>
        <v>#N/A</v>
      </c>
      <c r="Y277" s="153" t="str">
        <f t="array" ref="Y277">INDEX('Primary - GRADING'!$A$1:$CP997,MATCH($A277,'Primary - GRADING'!$CP:$CP,0),22)</f>
        <v>#N/A</v>
      </c>
      <c r="Z277" s="165" t="str">
        <f t="array" ref="Z277">INDEX('Primary - GRADING'!$A$1:$CP997,MATCH($A277,'Primary - GRADING'!$CP:$CP,0),23)</f>
        <v>#N/A</v>
      </c>
      <c r="AA277" s="153" t="str">
        <f t="array" ref="AA277">INDEX('Primary - GRADING'!$A$1:$CP997,MATCH($A277,'Primary - GRADING'!$CP:$CP,0),24)</f>
        <v>#N/A</v>
      </c>
      <c r="AB277" s="153" t="str">
        <f t="array" ref="AB277">INDEX('Primary - GRADING'!$A$1:$CP997,MATCH($A277,'Primary - GRADING'!$CP:$CP,0),25)</f>
        <v>#N/A</v>
      </c>
      <c r="AC277" s="153" t="str">
        <f t="array" ref="AC277">INDEX('Primary - GRADING'!$A$1:$CP997,MATCH($A277,'Primary - GRADING'!$CP:$CP,0),46)</f>
        <v>#N/A</v>
      </c>
      <c r="AG277" s="153" t="str">
        <f t="shared" si="7"/>
        <v>#N/A</v>
      </c>
    </row>
    <row r="278" ht="15.75" customHeight="1">
      <c r="I278" s="153" t="str">
        <f t="array" ref="I278">INDEX('Primary - GRADING'!$A$1:$CP997,MATCH($A278,'Primary - GRADING'!$CP:$CP,0),48)</f>
        <v>#N/A</v>
      </c>
      <c r="J278" s="153" t="str">
        <f t="array" ref="J278">INDEX('Primary - GRADING'!$A$1:$CP997,MATCH($A278,'Primary - GRADING'!$CP:$CP,0),49)</f>
        <v>#N/A</v>
      </c>
      <c r="K278" s="153" t="str">
        <f t="array" ref="K278">INDEX('Primary - GRADING'!$A$1:$CP997,MATCH($A278,'Primary - GRADING'!$CP:$CP,0),50)</f>
        <v>#N/A</v>
      </c>
      <c r="L278" s="153" t="str">
        <f t="array" ref="L278">INDEX('Primary - GRADING'!$A$1:$CP997,MATCH($A278,'Primary - GRADING'!$CP:$CP,0),51)</f>
        <v>#N/A</v>
      </c>
      <c r="M278" s="153" t="str">
        <f t="array" ref="M278">INDEX('Primary - GRADING'!$A$1:$CP997,MATCH($A278,'Primary - GRADING'!$CP:$CP,0),52)</f>
        <v>#N/A</v>
      </c>
      <c r="N278" s="153" t="str">
        <f t="array" ref="N278">INDEX('Primary - GRADING'!$A$1:$CP997,MATCH($A278,'Primary - GRADING'!$CP:$CP,0),53)</f>
        <v>#N/A</v>
      </c>
      <c r="O278" s="153" t="str">
        <f t="array" ref="O278">INDEX('Primary - GRADING'!$A$1:$CP997,MATCH($A278,'Primary - GRADING'!$CP:$CP,0),58)</f>
        <v>#N/A</v>
      </c>
      <c r="P278" s="153" t="str">
        <f t="array" ref="P278">INDEX('Primary - GRADING'!$A$1:$CP997,MATCH($A278,'Primary - GRADING'!$CP:$CP,0),5)</f>
        <v>#N/A</v>
      </c>
      <c r="Q278" s="153" t="str">
        <f t="array" ref="Q278">INDEX('Primary - GRADING'!$A$1:$CP997,MATCH($A278,'Primary - GRADING'!$CP:$CP,0),6)</f>
        <v>#N/A</v>
      </c>
      <c r="R278" s="153" t="str">
        <f t="array" ref="R278">INDEX('Primary - GRADING'!$A$1:$CP997,MATCH($A278,'Primary - GRADING'!$CP:$CP,0),7)</f>
        <v>#N/A</v>
      </c>
      <c r="S278" s="153" t="str">
        <f t="array" ref="S278">INDEX('Primary - GRADING'!$A$1:$CP997,MATCH($A278,'Primary - GRADING'!$CP:$CP,0),8)</f>
        <v>#N/A</v>
      </c>
      <c r="T278" s="153" t="str">
        <f t="array" ref="T278">INDEX('Primary - GRADING'!$A$1:$CP997,MATCH($A278,'Primary - GRADING'!$CP:$CP,0),9)</f>
        <v>#N/A</v>
      </c>
      <c r="U278" s="153" t="str">
        <f t="array" ref="U278">INDEX('Primary - GRADING'!$A$1:$CP997,MATCH($A278,'Primary - GRADING'!$CP:$CP,0),10)</f>
        <v>#N/A</v>
      </c>
      <c r="V278" s="153" t="str">
        <f t="array" ref="V278">INDEX('Primary - GRADING'!$A$1:$CP997,MATCH($A278,'Primary - GRADING'!$CP:$CP,0),18)</f>
        <v>#N/A</v>
      </c>
      <c r="W278" s="153" t="str">
        <f t="array" ref="W278">INDEX('Primary - GRADING'!$A$1:$CP997,MATCH($A278,'Primary - GRADING'!$CP:$CP,0),20)</f>
        <v>#N/A</v>
      </c>
      <c r="X278" s="153" t="str">
        <f t="array" ref="X278">INDEX('Primary - GRADING'!$A$1:$CP997,MATCH($A278,'Primary - GRADING'!$CP:$CP,0),21)</f>
        <v>#N/A</v>
      </c>
      <c r="Y278" s="153" t="str">
        <f t="array" ref="Y278">INDEX('Primary - GRADING'!$A$1:$CP997,MATCH($A278,'Primary - GRADING'!$CP:$CP,0),22)</f>
        <v>#N/A</v>
      </c>
      <c r="Z278" s="165" t="str">
        <f t="array" ref="Z278">INDEX('Primary - GRADING'!$A$1:$CP997,MATCH($A278,'Primary - GRADING'!$CP:$CP,0),23)</f>
        <v>#N/A</v>
      </c>
      <c r="AA278" s="153" t="str">
        <f t="array" ref="AA278">INDEX('Primary - GRADING'!$A$1:$CP997,MATCH($A278,'Primary - GRADING'!$CP:$CP,0),24)</f>
        <v>#N/A</v>
      </c>
      <c r="AB278" s="153" t="str">
        <f t="array" ref="AB278">INDEX('Primary - GRADING'!$A$1:$CP997,MATCH($A278,'Primary - GRADING'!$CP:$CP,0),25)</f>
        <v>#N/A</v>
      </c>
      <c r="AC278" s="153" t="str">
        <f t="array" ref="AC278">INDEX('Primary - GRADING'!$A$1:$CP997,MATCH($A278,'Primary - GRADING'!$CP:$CP,0),46)</f>
        <v>#N/A</v>
      </c>
      <c r="AG278" s="153" t="str">
        <f t="shared" si="7"/>
        <v>#N/A</v>
      </c>
    </row>
    <row r="279" ht="15.75" customHeight="1">
      <c r="I279" s="153" t="str">
        <f t="array" ref="I279">INDEX('Primary - GRADING'!$A$1:$CP997,MATCH($A279,'Primary - GRADING'!$CP:$CP,0),48)</f>
        <v>#N/A</v>
      </c>
      <c r="J279" s="153" t="str">
        <f t="array" ref="J279">INDEX('Primary - GRADING'!$A$1:$CP997,MATCH($A279,'Primary - GRADING'!$CP:$CP,0),49)</f>
        <v>#N/A</v>
      </c>
      <c r="K279" s="153" t="str">
        <f t="array" ref="K279">INDEX('Primary - GRADING'!$A$1:$CP997,MATCH($A279,'Primary - GRADING'!$CP:$CP,0),50)</f>
        <v>#N/A</v>
      </c>
      <c r="L279" s="153" t="str">
        <f t="array" ref="L279">INDEX('Primary - GRADING'!$A$1:$CP997,MATCH($A279,'Primary - GRADING'!$CP:$CP,0),51)</f>
        <v>#N/A</v>
      </c>
      <c r="M279" s="153" t="str">
        <f t="array" ref="M279">INDEX('Primary - GRADING'!$A$1:$CP997,MATCH($A279,'Primary - GRADING'!$CP:$CP,0),52)</f>
        <v>#N/A</v>
      </c>
      <c r="N279" s="153" t="str">
        <f t="array" ref="N279">INDEX('Primary - GRADING'!$A$1:$CP997,MATCH($A279,'Primary - GRADING'!$CP:$CP,0),53)</f>
        <v>#N/A</v>
      </c>
      <c r="O279" s="153" t="str">
        <f t="array" ref="O279">INDEX('Primary - GRADING'!$A$1:$CP997,MATCH($A279,'Primary - GRADING'!$CP:$CP,0),58)</f>
        <v>#N/A</v>
      </c>
      <c r="P279" s="153" t="str">
        <f t="array" ref="P279">INDEX('Primary - GRADING'!$A$1:$CP997,MATCH($A279,'Primary - GRADING'!$CP:$CP,0),5)</f>
        <v>#N/A</v>
      </c>
      <c r="Q279" s="153" t="str">
        <f t="array" ref="Q279">INDEX('Primary - GRADING'!$A$1:$CP997,MATCH($A279,'Primary - GRADING'!$CP:$CP,0),6)</f>
        <v>#N/A</v>
      </c>
      <c r="R279" s="153" t="str">
        <f t="array" ref="R279">INDEX('Primary - GRADING'!$A$1:$CP997,MATCH($A279,'Primary - GRADING'!$CP:$CP,0),7)</f>
        <v>#N/A</v>
      </c>
      <c r="S279" s="153" t="str">
        <f t="array" ref="S279">INDEX('Primary - GRADING'!$A$1:$CP997,MATCH($A279,'Primary - GRADING'!$CP:$CP,0),8)</f>
        <v>#N/A</v>
      </c>
      <c r="T279" s="153" t="str">
        <f t="array" ref="T279">INDEX('Primary - GRADING'!$A$1:$CP997,MATCH($A279,'Primary - GRADING'!$CP:$CP,0),9)</f>
        <v>#N/A</v>
      </c>
      <c r="U279" s="153" t="str">
        <f t="array" ref="U279">INDEX('Primary - GRADING'!$A$1:$CP997,MATCH($A279,'Primary - GRADING'!$CP:$CP,0),10)</f>
        <v>#N/A</v>
      </c>
      <c r="V279" s="153" t="str">
        <f t="array" ref="V279">INDEX('Primary - GRADING'!$A$1:$CP997,MATCH($A279,'Primary - GRADING'!$CP:$CP,0),18)</f>
        <v>#N/A</v>
      </c>
      <c r="W279" s="153" t="str">
        <f t="array" ref="W279">INDEX('Primary - GRADING'!$A$1:$CP997,MATCH($A279,'Primary - GRADING'!$CP:$CP,0),20)</f>
        <v>#N/A</v>
      </c>
      <c r="X279" s="153" t="str">
        <f t="array" ref="X279">INDEX('Primary - GRADING'!$A$1:$CP997,MATCH($A279,'Primary - GRADING'!$CP:$CP,0),21)</f>
        <v>#N/A</v>
      </c>
      <c r="Y279" s="153" t="str">
        <f t="array" ref="Y279">INDEX('Primary - GRADING'!$A$1:$CP997,MATCH($A279,'Primary - GRADING'!$CP:$CP,0),22)</f>
        <v>#N/A</v>
      </c>
      <c r="Z279" s="165" t="str">
        <f t="array" ref="Z279">INDEX('Primary - GRADING'!$A$1:$CP997,MATCH($A279,'Primary - GRADING'!$CP:$CP,0),23)</f>
        <v>#N/A</v>
      </c>
      <c r="AA279" s="153" t="str">
        <f t="array" ref="AA279">INDEX('Primary - GRADING'!$A$1:$CP997,MATCH($A279,'Primary - GRADING'!$CP:$CP,0),24)</f>
        <v>#N/A</v>
      </c>
      <c r="AB279" s="153" t="str">
        <f t="array" ref="AB279">INDEX('Primary - GRADING'!$A$1:$CP997,MATCH($A279,'Primary - GRADING'!$CP:$CP,0),25)</f>
        <v>#N/A</v>
      </c>
      <c r="AC279" s="153" t="str">
        <f t="array" ref="AC279">INDEX('Primary - GRADING'!$A$1:$CP997,MATCH($A279,'Primary - GRADING'!$CP:$CP,0),46)</f>
        <v>#N/A</v>
      </c>
      <c r="AG279" s="153" t="str">
        <f t="shared" si="7"/>
        <v>#N/A</v>
      </c>
    </row>
    <row r="280" ht="15.75" customHeight="1">
      <c r="I280" s="153" t="str">
        <f t="array" ref="I280">INDEX('Primary - GRADING'!$A$1:$CP997,MATCH($A280,'Primary - GRADING'!$CP:$CP,0),48)</f>
        <v>#N/A</v>
      </c>
      <c r="J280" s="153" t="str">
        <f t="array" ref="J280">INDEX('Primary - GRADING'!$A$1:$CP997,MATCH($A280,'Primary - GRADING'!$CP:$CP,0),49)</f>
        <v>#N/A</v>
      </c>
      <c r="K280" s="153" t="str">
        <f t="array" ref="K280">INDEX('Primary - GRADING'!$A$1:$CP997,MATCH($A280,'Primary - GRADING'!$CP:$CP,0),50)</f>
        <v>#N/A</v>
      </c>
      <c r="L280" s="153" t="str">
        <f t="array" ref="L280">INDEX('Primary - GRADING'!$A$1:$CP997,MATCH($A280,'Primary - GRADING'!$CP:$CP,0),51)</f>
        <v>#N/A</v>
      </c>
      <c r="M280" s="153" t="str">
        <f t="array" ref="M280">INDEX('Primary - GRADING'!$A$1:$CP997,MATCH($A280,'Primary - GRADING'!$CP:$CP,0),52)</f>
        <v>#N/A</v>
      </c>
      <c r="N280" s="153" t="str">
        <f t="array" ref="N280">INDEX('Primary - GRADING'!$A$1:$CP997,MATCH($A280,'Primary - GRADING'!$CP:$CP,0),53)</f>
        <v>#N/A</v>
      </c>
      <c r="O280" s="153" t="str">
        <f t="array" ref="O280">INDEX('Primary - GRADING'!$A$1:$CP997,MATCH($A280,'Primary - GRADING'!$CP:$CP,0),58)</f>
        <v>#N/A</v>
      </c>
      <c r="P280" s="153" t="str">
        <f t="array" ref="P280">INDEX('Primary - GRADING'!$A$1:$CP997,MATCH($A280,'Primary - GRADING'!$CP:$CP,0),5)</f>
        <v>#N/A</v>
      </c>
      <c r="Q280" s="153" t="str">
        <f t="array" ref="Q280">INDEX('Primary - GRADING'!$A$1:$CP997,MATCH($A280,'Primary - GRADING'!$CP:$CP,0),6)</f>
        <v>#N/A</v>
      </c>
      <c r="R280" s="153" t="str">
        <f t="array" ref="R280">INDEX('Primary - GRADING'!$A$1:$CP997,MATCH($A280,'Primary - GRADING'!$CP:$CP,0),7)</f>
        <v>#N/A</v>
      </c>
      <c r="S280" s="153" t="str">
        <f t="array" ref="S280">INDEX('Primary - GRADING'!$A$1:$CP997,MATCH($A280,'Primary - GRADING'!$CP:$CP,0),8)</f>
        <v>#N/A</v>
      </c>
      <c r="T280" s="153" t="str">
        <f t="array" ref="T280">INDEX('Primary - GRADING'!$A$1:$CP997,MATCH($A280,'Primary - GRADING'!$CP:$CP,0),9)</f>
        <v>#N/A</v>
      </c>
      <c r="U280" s="153" t="str">
        <f t="array" ref="U280">INDEX('Primary - GRADING'!$A$1:$CP997,MATCH($A280,'Primary - GRADING'!$CP:$CP,0),10)</f>
        <v>#N/A</v>
      </c>
      <c r="V280" s="153" t="str">
        <f t="array" ref="V280">INDEX('Primary - GRADING'!$A$1:$CP997,MATCH($A280,'Primary - GRADING'!$CP:$CP,0),18)</f>
        <v>#N/A</v>
      </c>
      <c r="W280" s="153" t="str">
        <f t="array" ref="W280">INDEX('Primary - GRADING'!$A$1:$CP997,MATCH($A280,'Primary - GRADING'!$CP:$CP,0),20)</f>
        <v>#N/A</v>
      </c>
      <c r="X280" s="153" t="str">
        <f t="array" ref="X280">INDEX('Primary - GRADING'!$A$1:$CP997,MATCH($A280,'Primary - GRADING'!$CP:$CP,0),21)</f>
        <v>#N/A</v>
      </c>
      <c r="Y280" s="153" t="str">
        <f t="array" ref="Y280">INDEX('Primary - GRADING'!$A$1:$CP997,MATCH($A280,'Primary - GRADING'!$CP:$CP,0),22)</f>
        <v>#N/A</v>
      </c>
      <c r="Z280" s="165" t="str">
        <f t="array" ref="Z280">INDEX('Primary - GRADING'!$A$1:$CP997,MATCH($A280,'Primary - GRADING'!$CP:$CP,0),23)</f>
        <v>#N/A</v>
      </c>
      <c r="AA280" s="153" t="str">
        <f t="array" ref="AA280">INDEX('Primary - GRADING'!$A$1:$CP997,MATCH($A280,'Primary - GRADING'!$CP:$CP,0),24)</f>
        <v>#N/A</v>
      </c>
      <c r="AB280" s="153" t="str">
        <f t="array" ref="AB280">INDEX('Primary - GRADING'!$A$1:$CP997,MATCH($A280,'Primary - GRADING'!$CP:$CP,0),25)</f>
        <v>#N/A</v>
      </c>
      <c r="AC280" s="153" t="str">
        <f t="array" ref="AC280">INDEX('Primary - GRADING'!$A$1:$CP997,MATCH($A280,'Primary - GRADING'!$CP:$CP,0),46)</f>
        <v>#N/A</v>
      </c>
      <c r="AG280" s="153" t="str">
        <f t="shared" si="7"/>
        <v>#N/A</v>
      </c>
    </row>
    <row r="281" ht="15.75" customHeight="1">
      <c r="I281" s="153" t="str">
        <f t="array" ref="I281">INDEX('Primary - GRADING'!$A$1:$CP997,MATCH($A281,'Primary - GRADING'!$CP:$CP,0),48)</f>
        <v>#N/A</v>
      </c>
      <c r="J281" s="153" t="str">
        <f t="array" ref="J281">INDEX('Primary - GRADING'!$A$1:$CP997,MATCH($A281,'Primary - GRADING'!$CP:$CP,0),49)</f>
        <v>#N/A</v>
      </c>
      <c r="K281" s="153" t="str">
        <f t="array" ref="K281">INDEX('Primary - GRADING'!$A$1:$CP997,MATCH($A281,'Primary - GRADING'!$CP:$CP,0),50)</f>
        <v>#N/A</v>
      </c>
      <c r="L281" s="153" t="str">
        <f t="array" ref="L281">INDEX('Primary - GRADING'!$A$1:$CP997,MATCH($A281,'Primary - GRADING'!$CP:$CP,0),51)</f>
        <v>#N/A</v>
      </c>
      <c r="M281" s="153" t="str">
        <f t="array" ref="M281">INDEX('Primary - GRADING'!$A$1:$CP997,MATCH($A281,'Primary - GRADING'!$CP:$CP,0),52)</f>
        <v>#N/A</v>
      </c>
      <c r="N281" s="153" t="str">
        <f t="array" ref="N281">INDEX('Primary - GRADING'!$A$1:$CP997,MATCH($A281,'Primary - GRADING'!$CP:$CP,0),53)</f>
        <v>#N/A</v>
      </c>
      <c r="O281" s="153" t="str">
        <f t="array" ref="O281">INDEX('Primary - GRADING'!$A$1:$CP997,MATCH($A281,'Primary - GRADING'!$CP:$CP,0),58)</f>
        <v>#N/A</v>
      </c>
      <c r="P281" s="153" t="str">
        <f t="array" ref="P281">INDEX('Primary - GRADING'!$A$1:$CP997,MATCH($A281,'Primary - GRADING'!$CP:$CP,0),5)</f>
        <v>#N/A</v>
      </c>
      <c r="Q281" s="153" t="str">
        <f t="array" ref="Q281">INDEX('Primary - GRADING'!$A$1:$CP997,MATCH($A281,'Primary - GRADING'!$CP:$CP,0),6)</f>
        <v>#N/A</v>
      </c>
      <c r="R281" s="153" t="str">
        <f t="array" ref="R281">INDEX('Primary - GRADING'!$A$1:$CP997,MATCH($A281,'Primary - GRADING'!$CP:$CP,0),7)</f>
        <v>#N/A</v>
      </c>
      <c r="S281" s="153" t="str">
        <f t="array" ref="S281">INDEX('Primary - GRADING'!$A$1:$CP997,MATCH($A281,'Primary - GRADING'!$CP:$CP,0),8)</f>
        <v>#N/A</v>
      </c>
      <c r="T281" s="153" t="str">
        <f t="array" ref="T281">INDEX('Primary - GRADING'!$A$1:$CP997,MATCH($A281,'Primary - GRADING'!$CP:$CP,0),9)</f>
        <v>#N/A</v>
      </c>
      <c r="U281" s="153" t="str">
        <f t="array" ref="U281">INDEX('Primary - GRADING'!$A$1:$CP997,MATCH($A281,'Primary - GRADING'!$CP:$CP,0),10)</f>
        <v>#N/A</v>
      </c>
      <c r="V281" s="153" t="str">
        <f t="array" ref="V281">INDEX('Primary - GRADING'!$A$1:$CP997,MATCH($A281,'Primary - GRADING'!$CP:$CP,0),18)</f>
        <v>#N/A</v>
      </c>
      <c r="W281" s="153" t="str">
        <f t="array" ref="W281">INDEX('Primary - GRADING'!$A$1:$CP997,MATCH($A281,'Primary - GRADING'!$CP:$CP,0),20)</f>
        <v>#N/A</v>
      </c>
      <c r="X281" s="153" t="str">
        <f t="array" ref="X281">INDEX('Primary - GRADING'!$A$1:$CP997,MATCH($A281,'Primary - GRADING'!$CP:$CP,0),21)</f>
        <v>#N/A</v>
      </c>
      <c r="Y281" s="153" t="str">
        <f t="array" ref="Y281">INDEX('Primary - GRADING'!$A$1:$CP997,MATCH($A281,'Primary - GRADING'!$CP:$CP,0),22)</f>
        <v>#N/A</v>
      </c>
      <c r="Z281" s="165" t="str">
        <f t="array" ref="Z281">INDEX('Primary - GRADING'!$A$1:$CP997,MATCH($A281,'Primary - GRADING'!$CP:$CP,0),23)</f>
        <v>#N/A</v>
      </c>
      <c r="AA281" s="153" t="str">
        <f t="array" ref="AA281">INDEX('Primary - GRADING'!$A$1:$CP997,MATCH($A281,'Primary - GRADING'!$CP:$CP,0),24)</f>
        <v>#N/A</v>
      </c>
      <c r="AB281" s="153" t="str">
        <f t="array" ref="AB281">INDEX('Primary - GRADING'!$A$1:$CP997,MATCH($A281,'Primary - GRADING'!$CP:$CP,0),25)</f>
        <v>#N/A</v>
      </c>
      <c r="AC281" s="153" t="str">
        <f t="array" ref="AC281">INDEX('Primary - GRADING'!$A$1:$CP997,MATCH($A281,'Primary - GRADING'!$CP:$CP,0),46)</f>
        <v>#N/A</v>
      </c>
      <c r="AG281" s="153" t="str">
        <f t="shared" si="7"/>
        <v>#N/A</v>
      </c>
    </row>
    <row r="282" ht="15.75" customHeight="1">
      <c r="I282" s="153" t="str">
        <f t="array" ref="I282">INDEX('Primary - GRADING'!$A$1:$CP997,MATCH($A282,'Primary - GRADING'!$CP:$CP,0),48)</f>
        <v>#N/A</v>
      </c>
      <c r="J282" s="153" t="str">
        <f t="array" ref="J282">INDEX('Primary - GRADING'!$A$1:$CP997,MATCH($A282,'Primary - GRADING'!$CP:$CP,0),49)</f>
        <v>#N/A</v>
      </c>
      <c r="K282" s="153" t="str">
        <f t="array" ref="K282">INDEX('Primary - GRADING'!$A$1:$CP997,MATCH($A282,'Primary - GRADING'!$CP:$CP,0),50)</f>
        <v>#N/A</v>
      </c>
      <c r="L282" s="153" t="str">
        <f t="array" ref="L282">INDEX('Primary - GRADING'!$A$1:$CP997,MATCH($A282,'Primary - GRADING'!$CP:$CP,0),51)</f>
        <v>#N/A</v>
      </c>
      <c r="M282" s="153" t="str">
        <f t="array" ref="M282">INDEX('Primary - GRADING'!$A$1:$CP997,MATCH($A282,'Primary - GRADING'!$CP:$CP,0),52)</f>
        <v>#N/A</v>
      </c>
      <c r="N282" s="153" t="str">
        <f t="array" ref="N282">INDEX('Primary - GRADING'!$A$1:$CP997,MATCH($A282,'Primary - GRADING'!$CP:$CP,0),53)</f>
        <v>#N/A</v>
      </c>
      <c r="O282" s="153" t="str">
        <f t="array" ref="O282">INDEX('Primary - GRADING'!$A$1:$CP997,MATCH($A282,'Primary - GRADING'!$CP:$CP,0),58)</f>
        <v>#N/A</v>
      </c>
      <c r="P282" s="153" t="str">
        <f t="array" ref="P282">INDEX('Primary - GRADING'!$A$1:$CP997,MATCH($A282,'Primary - GRADING'!$CP:$CP,0),5)</f>
        <v>#N/A</v>
      </c>
      <c r="Q282" s="153" t="str">
        <f t="array" ref="Q282">INDEX('Primary - GRADING'!$A$1:$CP997,MATCH($A282,'Primary - GRADING'!$CP:$CP,0),6)</f>
        <v>#N/A</v>
      </c>
      <c r="R282" s="153" t="str">
        <f t="array" ref="R282">INDEX('Primary - GRADING'!$A$1:$CP997,MATCH($A282,'Primary - GRADING'!$CP:$CP,0),7)</f>
        <v>#N/A</v>
      </c>
      <c r="S282" s="153" t="str">
        <f t="array" ref="S282">INDEX('Primary - GRADING'!$A$1:$CP997,MATCH($A282,'Primary - GRADING'!$CP:$CP,0),8)</f>
        <v>#N/A</v>
      </c>
      <c r="T282" s="153" t="str">
        <f t="array" ref="T282">INDEX('Primary - GRADING'!$A$1:$CP997,MATCH($A282,'Primary - GRADING'!$CP:$CP,0),9)</f>
        <v>#N/A</v>
      </c>
      <c r="U282" s="153" t="str">
        <f t="array" ref="U282">INDEX('Primary - GRADING'!$A$1:$CP997,MATCH($A282,'Primary - GRADING'!$CP:$CP,0),10)</f>
        <v>#N/A</v>
      </c>
      <c r="V282" s="153" t="str">
        <f t="array" ref="V282">INDEX('Primary - GRADING'!$A$1:$CP997,MATCH($A282,'Primary - GRADING'!$CP:$CP,0),18)</f>
        <v>#N/A</v>
      </c>
      <c r="W282" s="153" t="str">
        <f t="array" ref="W282">INDEX('Primary - GRADING'!$A$1:$CP997,MATCH($A282,'Primary - GRADING'!$CP:$CP,0),20)</f>
        <v>#N/A</v>
      </c>
      <c r="X282" s="153" t="str">
        <f t="array" ref="X282">INDEX('Primary - GRADING'!$A$1:$CP997,MATCH($A282,'Primary - GRADING'!$CP:$CP,0),21)</f>
        <v>#N/A</v>
      </c>
      <c r="Y282" s="153" t="str">
        <f t="array" ref="Y282">INDEX('Primary - GRADING'!$A$1:$CP997,MATCH($A282,'Primary - GRADING'!$CP:$CP,0),22)</f>
        <v>#N/A</v>
      </c>
      <c r="Z282" s="165" t="str">
        <f t="array" ref="Z282">INDEX('Primary - GRADING'!$A$1:$CP997,MATCH($A282,'Primary - GRADING'!$CP:$CP,0),23)</f>
        <v>#N/A</v>
      </c>
      <c r="AA282" s="153" t="str">
        <f t="array" ref="AA282">INDEX('Primary - GRADING'!$A$1:$CP997,MATCH($A282,'Primary - GRADING'!$CP:$CP,0),24)</f>
        <v>#N/A</v>
      </c>
      <c r="AB282" s="153" t="str">
        <f t="array" ref="AB282">INDEX('Primary - GRADING'!$A$1:$CP997,MATCH($A282,'Primary - GRADING'!$CP:$CP,0),25)</f>
        <v>#N/A</v>
      </c>
      <c r="AC282" s="153" t="str">
        <f t="array" ref="AC282">INDEX('Primary - GRADING'!$A$1:$CP997,MATCH($A282,'Primary - GRADING'!$CP:$CP,0),46)</f>
        <v>#N/A</v>
      </c>
      <c r="AG282" s="153" t="str">
        <f t="shared" si="7"/>
        <v>#N/A</v>
      </c>
    </row>
    <row r="283" ht="15.75" customHeight="1">
      <c r="I283" s="153" t="str">
        <f t="array" ref="I283">INDEX('Primary - GRADING'!$A$1:$CP997,MATCH($A283,'Primary - GRADING'!$CP:$CP,0),48)</f>
        <v>#N/A</v>
      </c>
      <c r="J283" s="153" t="str">
        <f t="array" ref="J283">INDEX('Primary - GRADING'!$A$1:$CP997,MATCH($A283,'Primary - GRADING'!$CP:$CP,0),49)</f>
        <v>#N/A</v>
      </c>
      <c r="K283" s="153" t="str">
        <f t="array" ref="K283">INDEX('Primary - GRADING'!$A$1:$CP997,MATCH($A283,'Primary - GRADING'!$CP:$CP,0),50)</f>
        <v>#N/A</v>
      </c>
      <c r="L283" s="153" t="str">
        <f t="array" ref="L283">INDEX('Primary - GRADING'!$A$1:$CP997,MATCH($A283,'Primary - GRADING'!$CP:$CP,0),51)</f>
        <v>#N/A</v>
      </c>
      <c r="M283" s="153" t="str">
        <f t="array" ref="M283">INDEX('Primary - GRADING'!$A$1:$CP997,MATCH($A283,'Primary - GRADING'!$CP:$CP,0),52)</f>
        <v>#N/A</v>
      </c>
      <c r="N283" s="153" t="str">
        <f t="array" ref="N283">INDEX('Primary - GRADING'!$A$1:$CP997,MATCH($A283,'Primary - GRADING'!$CP:$CP,0),53)</f>
        <v>#N/A</v>
      </c>
      <c r="O283" s="153" t="str">
        <f t="array" ref="O283">INDEX('Primary - GRADING'!$A$1:$CP997,MATCH($A283,'Primary - GRADING'!$CP:$CP,0),58)</f>
        <v>#N/A</v>
      </c>
      <c r="P283" s="153" t="str">
        <f t="array" ref="P283">INDEX('Primary - GRADING'!$A$1:$CP997,MATCH($A283,'Primary - GRADING'!$CP:$CP,0),5)</f>
        <v>#N/A</v>
      </c>
      <c r="Q283" s="153" t="str">
        <f t="array" ref="Q283">INDEX('Primary - GRADING'!$A$1:$CP997,MATCH($A283,'Primary - GRADING'!$CP:$CP,0),6)</f>
        <v>#N/A</v>
      </c>
      <c r="R283" s="153" t="str">
        <f t="array" ref="R283">INDEX('Primary - GRADING'!$A$1:$CP997,MATCH($A283,'Primary - GRADING'!$CP:$CP,0),7)</f>
        <v>#N/A</v>
      </c>
      <c r="S283" s="153" t="str">
        <f t="array" ref="S283">INDEX('Primary - GRADING'!$A$1:$CP997,MATCH($A283,'Primary - GRADING'!$CP:$CP,0),8)</f>
        <v>#N/A</v>
      </c>
      <c r="T283" s="153" t="str">
        <f t="array" ref="T283">INDEX('Primary - GRADING'!$A$1:$CP997,MATCH($A283,'Primary - GRADING'!$CP:$CP,0),9)</f>
        <v>#N/A</v>
      </c>
      <c r="U283" s="153" t="str">
        <f t="array" ref="U283">INDEX('Primary - GRADING'!$A$1:$CP997,MATCH($A283,'Primary - GRADING'!$CP:$CP,0),10)</f>
        <v>#N/A</v>
      </c>
      <c r="V283" s="153" t="str">
        <f t="array" ref="V283">INDEX('Primary - GRADING'!$A$1:$CP997,MATCH($A283,'Primary - GRADING'!$CP:$CP,0),18)</f>
        <v>#N/A</v>
      </c>
      <c r="W283" s="153" t="str">
        <f t="array" ref="W283">INDEX('Primary - GRADING'!$A$1:$CP997,MATCH($A283,'Primary - GRADING'!$CP:$CP,0),20)</f>
        <v>#N/A</v>
      </c>
      <c r="X283" s="153" t="str">
        <f t="array" ref="X283">INDEX('Primary - GRADING'!$A$1:$CP997,MATCH($A283,'Primary - GRADING'!$CP:$CP,0),21)</f>
        <v>#N/A</v>
      </c>
      <c r="Y283" s="153" t="str">
        <f t="array" ref="Y283">INDEX('Primary - GRADING'!$A$1:$CP997,MATCH($A283,'Primary - GRADING'!$CP:$CP,0),22)</f>
        <v>#N/A</v>
      </c>
      <c r="Z283" s="165" t="str">
        <f t="array" ref="Z283">INDEX('Primary - GRADING'!$A$1:$CP997,MATCH($A283,'Primary - GRADING'!$CP:$CP,0),23)</f>
        <v>#N/A</v>
      </c>
      <c r="AA283" s="153" t="str">
        <f t="array" ref="AA283">INDEX('Primary - GRADING'!$A$1:$CP997,MATCH($A283,'Primary - GRADING'!$CP:$CP,0),24)</f>
        <v>#N/A</v>
      </c>
      <c r="AB283" s="153" t="str">
        <f t="array" ref="AB283">INDEX('Primary - GRADING'!$A$1:$CP997,MATCH($A283,'Primary - GRADING'!$CP:$CP,0),25)</f>
        <v>#N/A</v>
      </c>
      <c r="AC283" s="153" t="str">
        <f t="array" ref="AC283">INDEX('Primary - GRADING'!$A$1:$CP997,MATCH($A283,'Primary - GRADING'!$CP:$CP,0),46)</f>
        <v>#N/A</v>
      </c>
      <c r="AG283" s="153" t="str">
        <f t="shared" si="7"/>
        <v>#N/A</v>
      </c>
    </row>
    <row r="284" ht="15.75" customHeight="1">
      <c r="I284" s="153" t="str">
        <f t="array" ref="I284">INDEX('Primary - GRADING'!$A$1:$CP997,MATCH($A284,'Primary - GRADING'!$CP:$CP,0),48)</f>
        <v>#N/A</v>
      </c>
      <c r="J284" s="153" t="str">
        <f t="array" ref="J284">INDEX('Primary - GRADING'!$A$1:$CP997,MATCH($A284,'Primary - GRADING'!$CP:$CP,0),49)</f>
        <v>#N/A</v>
      </c>
      <c r="K284" s="153" t="str">
        <f t="array" ref="K284">INDEX('Primary - GRADING'!$A$1:$CP997,MATCH($A284,'Primary - GRADING'!$CP:$CP,0),50)</f>
        <v>#N/A</v>
      </c>
      <c r="L284" s="153" t="str">
        <f t="array" ref="L284">INDEX('Primary - GRADING'!$A$1:$CP997,MATCH($A284,'Primary - GRADING'!$CP:$CP,0),51)</f>
        <v>#N/A</v>
      </c>
      <c r="M284" s="153" t="str">
        <f t="array" ref="M284">INDEX('Primary - GRADING'!$A$1:$CP997,MATCH($A284,'Primary - GRADING'!$CP:$CP,0),52)</f>
        <v>#N/A</v>
      </c>
      <c r="N284" s="153" t="str">
        <f t="array" ref="N284">INDEX('Primary - GRADING'!$A$1:$CP997,MATCH($A284,'Primary - GRADING'!$CP:$CP,0),53)</f>
        <v>#N/A</v>
      </c>
      <c r="O284" s="153" t="str">
        <f t="array" ref="O284">INDEX('Primary - GRADING'!$A$1:$CP997,MATCH($A284,'Primary - GRADING'!$CP:$CP,0),58)</f>
        <v>#N/A</v>
      </c>
      <c r="P284" s="153" t="str">
        <f t="array" ref="P284">INDEX('Primary - GRADING'!$A$1:$CP997,MATCH($A284,'Primary - GRADING'!$CP:$CP,0),5)</f>
        <v>#N/A</v>
      </c>
      <c r="Q284" s="153" t="str">
        <f t="array" ref="Q284">INDEX('Primary - GRADING'!$A$1:$CP997,MATCH($A284,'Primary - GRADING'!$CP:$CP,0),6)</f>
        <v>#N/A</v>
      </c>
      <c r="R284" s="153" t="str">
        <f t="array" ref="R284">INDEX('Primary - GRADING'!$A$1:$CP997,MATCH($A284,'Primary - GRADING'!$CP:$CP,0),7)</f>
        <v>#N/A</v>
      </c>
      <c r="S284" s="153" t="str">
        <f t="array" ref="S284">INDEX('Primary - GRADING'!$A$1:$CP997,MATCH($A284,'Primary - GRADING'!$CP:$CP,0),8)</f>
        <v>#N/A</v>
      </c>
      <c r="T284" s="153" t="str">
        <f t="array" ref="T284">INDEX('Primary - GRADING'!$A$1:$CP997,MATCH($A284,'Primary - GRADING'!$CP:$CP,0),9)</f>
        <v>#N/A</v>
      </c>
      <c r="U284" s="153" t="str">
        <f t="array" ref="U284">INDEX('Primary - GRADING'!$A$1:$CP997,MATCH($A284,'Primary - GRADING'!$CP:$CP,0),10)</f>
        <v>#N/A</v>
      </c>
      <c r="V284" s="153" t="str">
        <f t="array" ref="V284">INDEX('Primary - GRADING'!$A$1:$CP997,MATCH($A284,'Primary - GRADING'!$CP:$CP,0),18)</f>
        <v>#N/A</v>
      </c>
      <c r="W284" s="153" t="str">
        <f t="array" ref="W284">INDEX('Primary - GRADING'!$A$1:$CP997,MATCH($A284,'Primary - GRADING'!$CP:$CP,0),20)</f>
        <v>#N/A</v>
      </c>
      <c r="X284" s="153" t="str">
        <f t="array" ref="X284">INDEX('Primary - GRADING'!$A$1:$CP997,MATCH($A284,'Primary - GRADING'!$CP:$CP,0),21)</f>
        <v>#N/A</v>
      </c>
      <c r="Y284" s="153" t="str">
        <f t="array" ref="Y284">INDEX('Primary - GRADING'!$A$1:$CP997,MATCH($A284,'Primary - GRADING'!$CP:$CP,0),22)</f>
        <v>#N/A</v>
      </c>
      <c r="Z284" s="165" t="str">
        <f t="array" ref="Z284">INDEX('Primary - GRADING'!$A$1:$CP997,MATCH($A284,'Primary - GRADING'!$CP:$CP,0),23)</f>
        <v>#N/A</v>
      </c>
      <c r="AA284" s="153" t="str">
        <f t="array" ref="AA284">INDEX('Primary - GRADING'!$A$1:$CP997,MATCH($A284,'Primary - GRADING'!$CP:$CP,0),24)</f>
        <v>#N/A</v>
      </c>
      <c r="AB284" s="153" t="str">
        <f t="array" ref="AB284">INDEX('Primary - GRADING'!$A$1:$CP997,MATCH($A284,'Primary - GRADING'!$CP:$CP,0),25)</f>
        <v>#N/A</v>
      </c>
      <c r="AC284" s="153" t="str">
        <f t="array" ref="AC284">INDEX('Primary - GRADING'!$A$1:$CP997,MATCH($A284,'Primary - GRADING'!$CP:$CP,0),46)</f>
        <v>#N/A</v>
      </c>
      <c r="AG284" s="153" t="str">
        <f t="shared" si="7"/>
        <v>#N/A</v>
      </c>
    </row>
    <row r="285" ht="15.75" customHeight="1">
      <c r="I285" s="153" t="str">
        <f t="array" ref="I285">INDEX('Primary - GRADING'!$A$1:$CP997,MATCH($A285,'Primary - GRADING'!$CP:$CP,0),48)</f>
        <v>#N/A</v>
      </c>
      <c r="J285" s="153" t="str">
        <f t="array" ref="J285">INDEX('Primary - GRADING'!$A$1:$CP997,MATCH($A285,'Primary - GRADING'!$CP:$CP,0),49)</f>
        <v>#N/A</v>
      </c>
      <c r="K285" s="153" t="str">
        <f t="array" ref="K285">INDEX('Primary - GRADING'!$A$1:$CP997,MATCH($A285,'Primary - GRADING'!$CP:$CP,0),50)</f>
        <v>#N/A</v>
      </c>
      <c r="L285" s="153" t="str">
        <f t="array" ref="L285">INDEX('Primary - GRADING'!$A$1:$CP997,MATCH($A285,'Primary - GRADING'!$CP:$CP,0),51)</f>
        <v>#N/A</v>
      </c>
      <c r="M285" s="153" t="str">
        <f t="array" ref="M285">INDEX('Primary - GRADING'!$A$1:$CP997,MATCH($A285,'Primary - GRADING'!$CP:$CP,0),52)</f>
        <v>#N/A</v>
      </c>
      <c r="N285" s="153" t="str">
        <f t="array" ref="N285">INDEX('Primary - GRADING'!$A$1:$CP997,MATCH($A285,'Primary - GRADING'!$CP:$CP,0),53)</f>
        <v>#N/A</v>
      </c>
      <c r="O285" s="153" t="str">
        <f t="array" ref="O285">INDEX('Primary - GRADING'!$A$1:$CP997,MATCH($A285,'Primary - GRADING'!$CP:$CP,0),58)</f>
        <v>#N/A</v>
      </c>
      <c r="P285" s="153" t="str">
        <f t="array" ref="P285">INDEX('Primary - GRADING'!$A$1:$CP997,MATCH($A285,'Primary - GRADING'!$CP:$CP,0),5)</f>
        <v>#N/A</v>
      </c>
      <c r="Q285" s="153" t="str">
        <f t="array" ref="Q285">INDEX('Primary - GRADING'!$A$1:$CP997,MATCH($A285,'Primary - GRADING'!$CP:$CP,0),6)</f>
        <v>#N/A</v>
      </c>
      <c r="R285" s="153" t="str">
        <f t="array" ref="R285">INDEX('Primary - GRADING'!$A$1:$CP997,MATCH($A285,'Primary - GRADING'!$CP:$CP,0),7)</f>
        <v>#N/A</v>
      </c>
      <c r="S285" s="153" t="str">
        <f t="array" ref="S285">INDEX('Primary - GRADING'!$A$1:$CP997,MATCH($A285,'Primary - GRADING'!$CP:$CP,0),8)</f>
        <v>#N/A</v>
      </c>
      <c r="T285" s="153" t="str">
        <f t="array" ref="T285">INDEX('Primary - GRADING'!$A$1:$CP997,MATCH($A285,'Primary - GRADING'!$CP:$CP,0),9)</f>
        <v>#N/A</v>
      </c>
      <c r="U285" s="153" t="str">
        <f t="array" ref="U285">INDEX('Primary - GRADING'!$A$1:$CP997,MATCH($A285,'Primary - GRADING'!$CP:$CP,0),10)</f>
        <v>#N/A</v>
      </c>
      <c r="V285" s="153" t="str">
        <f t="array" ref="V285">INDEX('Primary - GRADING'!$A$1:$CP997,MATCH($A285,'Primary - GRADING'!$CP:$CP,0),18)</f>
        <v>#N/A</v>
      </c>
      <c r="W285" s="153" t="str">
        <f t="array" ref="W285">INDEX('Primary - GRADING'!$A$1:$CP997,MATCH($A285,'Primary - GRADING'!$CP:$CP,0),20)</f>
        <v>#N/A</v>
      </c>
      <c r="X285" s="153" t="str">
        <f t="array" ref="X285">INDEX('Primary - GRADING'!$A$1:$CP997,MATCH($A285,'Primary - GRADING'!$CP:$CP,0),21)</f>
        <v>#N/A</v>
      </c>
      <c r="Y285" s="153" t="str">
        <f t="array" ref="Y285">INDEX('Primary - GRADING'!$A$1:$CP997,MATCH($A285,'Primary - GRADING'!$CP:$CP,0),22)</f>
        <v>#N/A</v>
      </c>
      <c r="Z285" s="165" t="str">
        <f t="array" ref="Z285">INDEX('Primary - GRADING'!$A$1:$CP997,MATCH($A285,'Primary - GRADING'!$CP:$CP,0),23)</f>
        <v>#N/A</v>
      </c>
      <c r="AA285" s="153" t="str">
        <f t="array" ref="AA285">INDEX('Primary - GRADING'!$A$1:$CP997,MATCH($A285,'Primary - GRADING'!$CP:$CP,0),24)</f>
        <v>#N/A</v>
      </c>
      <c r="AB285" s="153" t="str">
        <f t="array" ref="AB285">INDEX('Primary - GRADING'!$A$1:$CP997,MATCH($A285,'Primary - GRADING'!$CP:$CP,0),25)</f>
        <v>#N/A</v>
      </c>
      <c r="AC285" s="153" t="str">
        <f t="array" ref="AC285">INDEX('Primary - GRADING'!$A$1:$CP997,MATCH($A285,'Primary - GRADING'!$CP:$CP,0),46)</f>
        <v>#N/A</v>
      </c>
      <c r="AG285" s="153" t="str">
        <f t="shared" si="7"/>
        <v>#N/A</v>
      </c>
    </row>
    <row r="286" ht="15.75" customHeight="1">
      <c r="I286" s="153" t="str">
        <f t="array" ref="I286">INDEX('Primary - GRADING'!$A$1:$CP997,MATCH($A286,'Primary - GRADING'!$CP:$CP,0),48)</f>
        <v>#N/A</v>
      </c>
      <c r="J286" s="153" t="str">
        <f t="array" ref="J286">INDEX('Primary - GRADING'!$A$1:$CP997,MATCH($A286,'Primary - GRADING'!$CP:$CP,0),49)</f>
        <v>#N/A</v>
      </c>
      <c r="K286" s="153" t="str">
        <f t="array" ref="K286">INDEX('Primary - GRADING'!$A$1:$CP997,MATCH($A286,'Primary - GRADING'!$CP:$CP,0),50)</f>
        <v>#N/A</v>
      </c>
      <c r="L286" s="153" t="str">
        <f t="array" ref="L286">INDEX('Primary - GRADING'!$A$1:$CP997,MATCH($A286,'Primary - GRADING'!$CP:$CP,0),51)</f>
        <v>#N/A</v>
      </c>
      <c r="M286" s="153" t="str">
        <f t="array" ref="M286">INDEX('Primary - GRADING'!$A$1:$CP997,MATCH($A286,'Primary - GRADING'!$CP:$CP,0),52)</f>
        <v>#N/A</v>
      </c>
      <c r="N286" s="153" t="str">
        <f t="array" ref="N286">INDEX('Primary - GRADING'!$A$1:$CP997,MATCH($A286,'Primary - GRADING'!$CP:$CP,0),53)</f>
        <v>#N/A</v>
      </c>
      <c r="O286" s="153" t="str">
        <f t="array" ref="O286">INDEX('Primary - GRADING'!$A$1:$CP997,MATCH($A286,'Primary - GRADING'!$CP:$CP,0),58)</f>
        <v>#N/A</v>
      </c>
      <c r="P286" s="153" t="str">
        <f t="array" ref="P286">INDEX('Primary - GRADING'!$A$1:$CP997,MATCH($A286,'Primary - GRADING'!$CP:$CP,0),5)</f>
        <v>#N/A</v>
      </c>
      <c r="Q286" s="153" t="str">
        <f t="array" ref="Q286">INDEX('Primary - GRADING'!$A$1:$CP997,MATCH($A286,'Primary - GRADING'!$CP:$CP,0),6)</f>
        <v>#N/A</v>
      </c>
      <c r="R286" s="153" t="str">
        <f t="array" ref="R286">INDEX('Primary - GRADING'!$A$1:$CP997,MATCH($A286,'Primary - GRADING'!$CP:$CP,0),7)</f>
        <v>#N/A</v>
      </c>
      <c r="S286" s="153" t="str">
        <f t="array" ref="S286">INDEX('Primary - GRADING'!$A$1:$CP997,MATCH($A286,'Primary - GRADING'!$CP:$CP,0),8)</f>
        <v>#N/A</v>
      </c>
      <c r="T286" s="153" t="str">
        <f t="array" ref="T286">INDEX('Primary - GRADING'!$A$1:$CP997,MATCH($A286,'Primary - GRADING'!$CP:$CP,0),9)</f>
        <v>#N/A</v>
      </c>
      <c r="U286" s="153" t="str">
        <f t="array" ref="U286">INDEX('Primary - GRADING'!$A$1:$CP997,MATCH($A286,'Primary - GRADING'!$CP:$CP,0),10)</f>
        <v>#N/A</v>
      </c>
      <c r="V286" s="153" t="str">
        <f t="array" ref="V286">INDEX('Primary - GRADING'!$A$1:$CP997,MATCH($A286,'Primary - GRADING'!$CP:$CP,0),18)</f>
        <v>#N/A</v>
      </c>
      <c r="W286" s="153" t="str">
        <f t="array" ref="W286">INDEX('Primary - GRADING'!$A$1:$CP997,MATCH($A286,'Primary - GRADING'!$CP:$CP,0),20)</f>
        <v>#N/A</v>
      </c>
      <c r="X286" s="153" t="str">
        <f t="array" ref="X286">INDEX('Primary - GRADING'!$A$1:$CP997,MATCH($A286,'Primary - GRADING'!$CP:$CP,0),21)</f>
        <v>#N/A</v>
      </c>
      <c r="Y286" s="153" t="str">
        <f t="array" ref="Y286">INDEX('Primary - GRADING'!$A$1:$CP997,MATCH($A286,'Primary - GRADING'!$CP:$CP,0),22)</f>
        <v>#N/A</v>
      </c>
      <c r="Z286" s="165" t="str">
        <f t="array" ref="Z286">INDEX('Primary - GRADING'!$A$1:$CP997,MATCH($A286,'Primary - GRADING'!$CP:$CP,0),23)</f>
        <v>#N/A</v>
      </c>
      <c r="AA286" s="153" t="str">
        <f t="array" ref="AA286">INDEX('Primary - GRADING'!$A$1:$CP997,MATCH($A286,'Primary - GRADING'!$CP:$CP,0),24)</f>
        <v>#N/A</v>
      </c>
      <c r="AB286" s="153" t="str">
        <f t="array" ref="AB286">INDEX('Primary - GRADING'!$A$1:$CP997,MATCH($A286,'Primary - GRADING'!$CP:$CP,0),25)</f>
        <v>#N/A</v>
      </c>
      <c r="AC286" s="153" t="str">
        <f t="array" ref="AC286">INDEX('Primary - GRADING'!$A$1:$CP997,MATCH($A286,'Primary - GRADING'!$CP:$CP,0),46)</f>
        <v>#N/A</v>
      </c>
      <c r="AG286" s="153" t="str">
        <f t="shared" si="7"/>
        <v>#N/A</v>
      </c>
    </row>
    <row r="287" ht="15.75" customHeight="1">
      <c r="I287" s="153" t="str">
        <f t="array" ref="I287">INDEX('Primary - GRADING'!$A$1:$CP997,MATCH($A287,'Primary - GRADING'!$CP:$CP,0),48)</f>
        <v>#N/A</v>
      </c>
      <c r="J287" s="153" t="str">
        <f t="array" ref="J287">INDEX('Primary - GRADING'!$A$1:$CP997,MATCH($A287,'Primary - GRADING'!$CP:$CP,0),49)</f>
        <v>#N/A</v>
      </c>
      <c r="K287" s="153" t="str">
        <f t="array" ref="K287">INDEX('Primary - GRADING'!$A$1:$CP997,MATCH($A287,'Primary - GRADING'!$CP:$CP,0),50)</f>
        <v>#N/A</v>
      </c>
      <c r="L287" s="153" t="str">
        <f t="array" ref="L287">INDEX('Primary - GRADING'!$A$1:$CP997,MATCH($A287,'Primary - GRADING'!$CP:$CP,0),51)</f>
        <v>#N/A</v>
      </c>
      <c r="M287" s="153" t="str">
        <f t="array" ref="M287">INDEX('Primary - GRADING'!$A$1:$CP997,MATCH($A287,'Primary - GRADING'!$CP:$CP,0),52)</f>
        <v>#N/A</v>
      </c>
      <c r="N287" s="153" t="str">
        <f t="array" ref="N287">INDEX('Primary - GRADING'!$A$1:$CP997,MATCH($A287,'Primary - GRADING'!$CP:$CP,0),53)</f>
        <v>#N/A</v>
      </c>
      <c r="O287" s="153" t="str">
        <f t="array" ref="O287">INDEX('Primary - GRADING'!$A$1:$CP997,MATCH($A287,'Primary - GRADING'!$CP:$CP,0),58)</f>
        <v>#N/A</v>
      </c>
      <c r="P287" s="153" t="str">
        <f t="array" ref="P287">INDEX('Primary - GRADING'!$A$1:$CP997,MATCH($A287,'Primary - GRADING'!$CP:$CP,0),5)</f>
        <v>#N/A</v>
      </c>
      <c r="Q287" s="153" t="str">
        <f t="array" ref="Q287">INDEX('Primary - GRADING'!$A$1:$CP997,MATCH($A287,'Primary - GRADING'!$CP:$CP,0),6)</f>
        <v>#N/A</v>
      </c>
      <c r="R287" s="153" t="str">
        <f t="array" ref="R287">INDEX('Primary - GRADING'!$A$1:$CP997,MATCH($A287,'Primary - GRADING'!$CP:$CP,0),7)</f>
        <v>#N/A</v>
      </c>
      <c r="S287" s="153" t="str">
        <f t="array" ref="S287">INDEX('Primary - GRADING'!$A$1:$CP997,MATCH($A287,'Primary - GRADING'!$CP:$CP,0),8)</f>
        <v>#N/A</v>
      </c>
      <c r="T287" s="153" t="str">
        <f t="array" ref="T287">INDEX('Primary - GRADING'!$A$1:$CP997,MATCH($A287,'Primary - GRADING'!$CP:$CP,0),9)</f>
        <v>#N/A</v>
      </c>
      <c r="U287" s="153" t="str">
        <f t="array" ref="U287">INDEX('Primary - GRADING'!$A$1:$CP997,MATCH($A287,'Primary - GRADING'!$CP:$CP,0),10)</f>
        <v>#N/A</v>
      </c>
      <c r="V287" s="153" t="str">
        <f t="array" ref="V287">INDEX('Primary - GRADING'!$A$1:$CP997,MATCH($A287,'Primary - GRADING'!$CP:$CP,0),18)</f>
        <v>#N/A</v>
      </c>
      <c r="W287" s="153" t="str">
        <f t="array" ref="W287">INDEX('Primary - GRADING'!$A$1:$CP997,MATCH($A287,'Primary - GRADING'!$CP:$CP,0),20)</f>
        <v>#N/A</v>
      </c>
      <c r="X287" s="153" t="str">
        <f t="array" ref="X287">INDEX('Primary - GRADING'!$A$1:$CP997,MATCH($A287,'Primary - GRADING'!$CP:$CP,0),21)</f>
        <v>#N/A</v>
      </c>
      <c r="Y287" s="153" t="str">
        <f t="array" ref="Y287">INDEX('Primary - GRADING'!$A$1:$CP997,MATCH($A287,'Primary - GRADING'!$CP:$CP,0),22)</f>
        <v>#N/A</v>
      </c>
      <c r="Z287" s="165" t="str">
        <f t="array" ref="Z287">INDEX('Primary - GRADING'!$A$1:$CP997,MATCH($A287,'Primary - GRADING'!$CP:$CP,0),23)</f>
        <v>#N/A</v>
      </c>
      <c r="AA287" s="153" t="str">
        <f t="array" ref="AA287">INDEX('Primary - GRADING'!$A$1:$CP997,MATCH($A287,'Primary - GRADING'!$CP:$CP,0),24)</f>
        <v>#N/A</v>
      </c>
      <c r="AB287" s="153" t="str">
        <f t="array" ref="AB287">INDEX('Primary - GRADING'!$A$1:$CP997,MATCH($A287,'Primary - GRADING'!$CP:$CP,0),25)</f>
        <v>#N/A</v>
      </c>
      <c r="AC287" s="153" t="str">
        <f t="array" ref="AC287">INDEX('Primary - GRADING'!$A$1:$CP997,MATCH($A287,'Primary - GRADING'!$CP:$CP,0),46)</f>
        <v>#N/A</v>
      </c>
      <c r="AG287" s="153" t="str">
        <f t="shared" si="7"/>
        <v>#N/A</v>
      </c>
    </row>
    <row r="288" ht="15.75" customHeight="1">
      <c r="I288" s="153" t="str">
        <f t="array" ref="I288">INDEX('Primary - GRADING'!$A$1:$CP997,MATCH($A288,'Primary - GRADING'!$CP:$CP,0),48)</f>
        <v>#N/A</v>
      </c>
      <c r="J288" s="153" t="str">
        <f t="array" ref="J288">INDEX('Primary - GRADING'!$A$1:$CP997,MATCH($A288,'Primary - GRADING'!$CP:$CP,0),49)</f>
        <v>#N/A</v>
      </c>
      <c r="K288" s="153" t="str">
        <f t="array" ref="K288">INDEX('Primary - GRADING'!$A$1:$CP997,MATCH($A288,'Primary - GRADING'!$CP:$CP,0),50)</f>
        <v>#N/A</v>
      </c>
      <c r="L288" s="153" t="str">
        <f t="array" ref="L288">INDEX('Primary - GRADING'!$A$1:$CP997,MATCH($A288,'Primary - GRADING'!$CP:$CP,0),51)</f>
        <v>#N/A</v>
      </c>
      <c r="M288" s="153" t="str">
        <f t="array" ref="M288">INDEX('Primary - GRADING'!$A$1:$CP997,MATCH($A288,'Primary - GRADING'!$CP:$CP,0),52)</f>
        <v>#N/A</v>
      </c>
      <c r="N288" s="153" t="str">
        <f t="array" ref="N288">INDEX('Primary - GRADING'!$A$1:$CP997,MATCH($A288,'Primary - GRADING'!$CP:$CP,0),53)</f>
        <v>#N/A</v>
      </c>
      <c r="O288" s="153" t="str">
        <f t="array" ref="O288">INDEX('Primary - GRADING'!$A$1:$CP997,MATCH($A288,'Primary - GRADING'!$CP:$CP,0),58)</f>
        <v>#N/A</v>
      </c>
      <c r="P288" s="153" t="str">
        <f t="array" ref="P288">INDEX('Primary - GRADING'!$A$1:$CP997,MATCH($A288,'Primary - GRADING'!$CP:$CP,0),5)</f>
        <v>#N/A</v>
      </c>
      <c r="Q288" s="153" t="str">
        <f t="array" ref="Q288">INDEX('Primary - GRADING'!$A$1:$CP997,MATCH($A288,'Primary - GRADING'!$CP:$CP,0),6)</f>
        <v>#N/A</v>
      </c>
      <c r="R288" s="153" t="str">
        <f t="array" ref="R288">INDEX('Primary - GRADING'!$A$1:$CP997,MATCH($A288,'Primary - GRADING'!$CP:$CP,0),7)</f>
        <v>#N/A</v>
      </c>
      <c r="S288" s="153" t="str">
        <f t="array" ref="S288">INDEX('Primary - GRADING'!$A$1:$CP997,MATCH($A288,'Primary - GRADING'!$CP:$CP,0),8)</f>
        <v>#N/A</v>
      </c>
      <c r="T288" s="153" t="str">
        <f t="array" ref="T288">INDEX('Primary - GRADING'!$A$1:$CP997,MATCH($A288,'Primary - GRADING'!$CP:$CP,0),9)</f>
        <v>#N/A</v>
      </c>
      <c r="U288" s="153" t="str">
        <f t="array" ref="U288">INDEX('Primary - GRADING'!$A$1:$CP997,MATCH($A288,'Primary - GRADING'!$CP:$CP,0),10)</f>
        <v>#N/A</v>
      </c>
      <c r="V288" s="153" t="str">
        <f t="array" ref="V288">INDEX('Primary - GRADING'!$A$1:$CP997,MATCH($A288,'Primary - GRADING'!$CP:$CP,0),18)</f>
        <v>#N/A</v>
      </c>
      <c r="W288" s="153" t="str">
        <f t="array" ref="W288">INDEX('Primary - GRADING'!$A$1:$CP997,MATCH($A288,'Primary - GRADING'!$CP:$CP,0),20)</f>
        <v>#N/A</v>
      </c>
      <c r="X288" s="153" t="str">
        <f t="array" ref="X288">INDEX('Primary - GRADING'!$A$1:$CP997,MATCH($A288,'Primary - GRADING'!$CP:$CP,0),21)</f>
        <v>#N/A</v>
      </c>
      <c r="Y288" s="153" t="str">
        <f t="array" ref="Y288">INDEX('Primary - GRADING'!$A$1:$CP997,MATCH($A288,'Primary - GRADING'!$CP:$CP,0),22)</f>
        <v>#N/A</v>
      </c>
      <c r="Z288" s="165" t="str">
        <f t="array" ref="Z288">INDEX('Primary - GRADING'!$A$1:$CP997,MATCH($A288,'Primary - GRADING'!$CP:$CP,0),23)</f>
        <v>#N/A</v>
      </c>
      <c r="AA288" s="153" t="str">
        <f t="array" ref="AA288">INDEX('Primary - GRADING'!$A$1:$CP997,MATCH($A288,'Primary - GRADING'!$CP:$CP,0),24)</f>
        <v>#N/A</v>
      </c>
      <c r="AB288" s="153" t="str">
        <f t="array" ref="AB288">INDEX('Primary - GRADING'!$A$1:$CP997,MATCH($A288,'Primary - GRADING'!$CP:$CP,0),25)</f>
        <v>#N/A</v>
      </c>
      <c r="AC288" s="153" t="str">
        <f t="array" ref="AC288">INDEX('Primary - GRADING'!$A$1:$CP997,MATCH($A288,'Primary - GRADING'!$CP:$CP,0),46)</f>
        <v>#N/A</v>
      </c>
      <c r="AG288" s="153" t="str">
        <f t="shared" si="7"/>
        <v>#N/A</v>
      </c>
    </row>
    <row r="289" ht="15.75" customHeight="1">
      <c r="I289" s="153" t="str">
        <f t="array" ref="I289">INDEX('Primary - GRADING'!$A$1:$CP997,MATCH($A289,'Primary - GRADING'!$CP:$CP,0),48)</f>
        <v>#N/A</v>
      </c>
      <c r="J289" s="153" t="str">
        <f t="array" ref="J289">INDEX('Primary - GRADING'!$A$1:$CP997,MATCH($A289,'Primary - GRADING'!$CP:$CP,0),49)</f>
        <v>#N/A</v>
      </c>
      <c r="K289" s="153" t="str">
        <f t="array" ref="K289">INDEX('Primary - GRADING'!$A$1:$CP997,MATCH($A289,'Primary - GRADING'!$CP:$CP,0),50)</f>
        <v>#N/A</v>
      </c>
      <c r="L289" s="153" t="str">
        <f t="array" ref="L289">INDEX('Primary - GRADING'!$A$1:$CP997,MATCH($A289,'Primary - GRADING'!$CP:$CP,0),51)</f>
        <v>#N/A</v>
      </c>
      <c r="M289" s="153" t="str">
        <f t="array" ref="M289">INDEX('Primary - GRADING'!$A$1:$CP997,MATCH($A289,'Primary - GRADING'!$CP:$CP,0),52)</f>
        <v>#N/A</v>
      </c>
      <c r="N289" s="153" t="str">
        <f t="array" ref="N289">INDEX('Primary - GRADING'!$A$1:$CP997,MATCH($A289,'Primary - GRADING'!$CP:$CP,0),53)</f>
        <v>#N/A</v>
      </c>
      <c r="O289" s="153" t="str">
        <f t="array" ref="O289">INDEX('Primary - GRADING'!$A$1:$CP997,MATCH($A289,'Primary - GRADING'!$CP:$CP,0),58)</f>
        <v>#N/A</v>
      </c>
      <c r="P289" s="153" t="str">
        <f t="array" ref="P289">INDEX('Primary - GRADING'!$A$1:$CP997,MATCH($A289,'Primary - GRADING'!$CP:$CP,0),5)</f>
        <v>#N/A</v>
      </c>
      <c r="Q289" s="153" t="str">
        <f t="array" ref="Q289">INDEX('Primary - GRADING'!$A$1:$CP997,MATCH($A289,'Primary - GRADING'!$CP:$CP,0),6)</f>
        <v>#N/A</v>
      </c>
      <c r="R289" s="153" t="str">
        <f t="array" ref="R289">INDEX('Primary - GRADING'!$A$1:$CP997,MATCH($A289,'Primary - GRADING'!$CP:$CP,0),7)</f>
        <v>#N/A</v>
      </c>
      <c r="S289" s="153" t="str">
        <f t="array" ref="S289">INDEX('Primary - GRADING'!$A$1:$CP997,MATCH($A289,'Primary - GRADING'!$CP:$CP,0),8)</f>
        <v>#N/A</v>
      </c>
      <c r="T289" s="153" t="str">
        <f t="array" ref="T289">INDEX('Primary - GRADING'!$A$1:$CP997,MATCH($A289,'Primary - GRADING'!$CP:$CP,0),9)</f>
        <v>#N/A</v>
      </c>
      <c r="U289" s="153" t="str">
        <f t="array" ref="U289">INDEX('Primary - GRADING'!$A$1:$CP997,MATCH($A289,'Primary - GRADING'!$CP:$CP,0),10)</f>
        <v>#N/A</v>
      </c>
      <c r="V289" s="153" t="str">
        <f t="array" ref="V289">INDEX('Primary - GRADING'!$A$1:$CP997,MATCH($A289,'Primary - GRADING'!$CP:$CP,0),18)</f>
        <v>#N/A</v>
      </c>
      <c r="W289" s="153" t="str">
        <f t="array" ref="W289">INDEX('Primary - GRADING'!$A$1:$CP997,MATCH($A289,'Primary - GRADING'!$CP:$CP,0),20)</f>
        <v>#N/A</v>
      </c>
      <c r="X289" s="153" t="str">
        <f t="array" ref="X289">INDEX('Primary - GRADING'!$A$1:$CP997,MATCH($A289,'Primary - GRADING'!$CP:$CP,0),21)</f>
        <v>#N/A</v>
      </c>
      <c r="Y289" s="153" t="str">
        <f t="array" ref="Y289">INDEX('Primary - GRADING'!$A$1:$CP997,MATCH($A289,'Primary - GRADING'!$CP:$CP,0),22)</f>
        <v>#N/A</v>
      </c>
      <c r="Z289" s="165" t="str">
        <f t="array" ref="Z289">INDEX('Primary - GRADING'!$A$1:$CP997,MATCH($A289,'Primary - GRADING'!$CP:$CP,0),23)</f>
        <v>#N/A</v>
      </c>
      <c r="AA289" s="153" t="str">
        <f t="array" ref="AA289">INDEX('Primary - GRADING'!$A$1:$CP997,MATCH($A289,'Primary - GRADING'!$CP:$CP,0),24)</f>
        <v>#N/A</v>
      </c>
      <c r="AB289" s="153" t="str">
        <f t="array" ref="AB289">INDEX('Primary - GRADING'!$A$1:$CP997,MATCH($A289,'Primary - GRADING'!$CP:$CP,0),25)</f>
        <v>#N/A</v>
      </c>
      <c r="AC289" s="153" t="str">
        <f t="array" ref="AC289">INDEX('Primary - GRADING'!$A$1:$CP997,MATCH($A289,'Primary - GRADING'!$CP:$CP,0),46)</f>
        <v>#N/A</v>
      </c>
      <c r="AG289" s="153" t="str">
        <f t="shared" si="7"/>
        <v>#N/A</v>
      </c>
    </row>
    <row r="290" ht="15.75" customHeight="1">
      <c r="I290" s="153" t="str">
        <f t="array" ref="I290">INDEX('Primary - GRADING'!$A$1:$CP997,MATCH($A290,'Primary - GRADING'!$CP:$CP,0),48)</f>
        <v>#N/A</v>
      </c>
      <c r="J290" s="153" t="str">
        <f t="array" ref="J290">INDEX('Primary - GRADING'!$A$1:$CP997,MATCH($A290,'Primary - GRADING'!$CP:$CP,0),49)</f>
        <v>#N/A</v>
      </c>
      <c r="K290" s="153" t="str">
        <f t="array" ref="K290">INDEX('Primary - GRADING'!$A$1:$CP997,MATCH($A290,'Primary - GRADING'!$CP:$CP,0),50)</f>
        <v>#N/A</v>
      </c>
      <c r="L290" s="153" t="str">
        <f t="array" ref="L290">INDEX('Primary - GRADING'!$A$1:$CP997,MATCH($A290,'Primary - GRADING'!$CP:$CP,0),51)</f>
        <v>#N/A</v>
      </c>
      <c r="M290" s="153" t="str">
        <f t="array" ref="M290">INDEX('Primary - GRADING'!$A$1:$CP997,MATCH($A290,'Primary - GRADING'!$CP:$CP,0),52)</f>
        <v>#N/A</v>
      </c>
      <c r="N290" s="153" t="str">
        <f t="array" ref="N290">INDEX('Primary - GRADING'!$A$1:$CP997,MATCH($A290,'Primary - GRADING'!$CP:$CP,0),53)</f>
        <v>#N/A</v>
      </c>
      <c r="O290" s="153" t="str">
        <f t="array" ref="O290">INDEX('Primary - GRADING'!$A$1:$CP997,MATCH($A290,'Primary - GRADING'!$CP:$CP,0),58)</f>
        <v>#N/A</v>
      </c>
      <c r="P290" s="153" t="str">
        <f t="array" ref="P290">INDEX('Primary - GRADING'!$A$1:$CP997,MATCH($A290,'Primary - GRADING'!$CP:$CP,0),5)</f>
        <v>#N/A</v>
      </c>
      <c r="Q290" s="153" t="str">
        <f t="array" ref="Q290">INDEX('Primary - GRADING'!$A$1:$CP997,MATCH($A290,'Primary - GRADING'!$CP:$CP,0),6)</f>
        <v>#N/A</v>
      </c>
      <c r="R290" s="153" t="str">
        <f t="array" ref="R290">INDEX('Primary - GRADING'!$A$1:$CP997,MATCH($A290,'Primary - GRADING'!$CP:$CP,0),7)</f>
        <v>#N/A</v>
      </c>
      <c r="S290" s="153" t="str">
        <f t="array" ref="S290">INDEX('Primary - GRADING'!$A$1:$CP997,MATCH($A290,'Primary - GRADING'!$CP:$CP,0),8)</f>
        <v>#N/A</v>
      </c>
      <c r="T290" s="153" t="str">
        <f t="array" ref="T290">INDEX('Primary - GRADING'!$A$1:$CP997,MATCH($A290,'Primary - GRADING'!$CP:$CP,0),9)</f>
        <v>#N/A</v>
      </c>
      <c r="U290" s="153" t="str">
        <f t="array" ref="U290">INDEX('Primary - GRADING'!$A$1:$CP997,MATCH($A290,'Primary - GRADING'!$CP:$CP,0),10)</f>
        <v>#N/A</v>
      </c>
      <c r="V290" s="153" t="str">
        <f t="array" ref="V290">INDEX('Primary - GRADING'!$A$1:$CP997,MATCH($A290,'Primary - GRADING'!$CP:$CP,0),18)</f>
        <v>#N/A</v>
      </c>
      <c r="W290" s="153" t="str">
        <f t="array" ref="W290">INDEX('Primary - GRADING'!$A$1:$CP997,MATCH($A290,'Primary - GRADING'!$CP:$CP,0),20)</f>
        <v>#N/A</v>
      </c>
      <c r="X290" s="153" t="str">
        <f t="array" ref="X290">INDEX('Primary - GRADING'!$A$1:$CP997,MATCH($A290,'Primary - GRADING'!$CP:$CP,0),21)</f>
        <v>#N/A</v>
      </c>
      <c r="Y290" s="153" t="str">
        <f t="array" ref="Y290">INDEX('Primary - GRADING'!$A$1:$CP997,MATCH($A290,'Primary - GRADING'!$CP:$CP,0),22)</f>
        <v>#N/A</v>
      </c>
      <c r="Z290" s="165" t="str">
        <f t="array" ref="Z290">INDEX('Primary - GRADING'!$A$1:$CP997,MATCH($A290,'Primary - GRADING'!$CP:$CP,0),23)</f>
        <v>#N/A</v>
      </c>
      <c r="AA290" s="153" t="str">
        <f t="array" ref="AA290">INDEX('Primary - GRADING'!$A$1:$CP997,MATCH($A290,'Primary - GRADING'!$CP:$CP,0),24)</f>
        <v>#N/A</v>
      </c>
      <c r="AB290" s="153" t="str">
        <f t="array" ref="AB290">INDEX('Primary - GRADING'!$A$1:$CP997,MATCH($A290,'Primary - GRADING'!$CP:$CP,0),25)</f>
        <v>#N/A</v>
      </c>
      <c r="AC290" s="153" t="str">
        <f t="array" ref="AC290">INDEX('Primary - GRADING'!$A$1:$CP997,MATCH($A290,'Primary - GRADING'!$CP:$CP,0),46)</f>
        <v>#N/A</v>
      </c>
      <c r="AG290" s="153" t="str">
        <f t="shared" si="7"/>
        <v>#N/A</v>
      </c>
    </row>
    <row r="291" ht="15.75" customHeight="1">
      <c r="I291" s="153" t="str">
        <f t="array" ref="I291">INDEX('Primary - GRADING'!$A$1:$CP997,MATCH($A291,'Primary - GRADING'!$CP:$CP,0),48)</f>
        <v>#N/A</v>
      </c>
      <c r="J291" s="153" t="str">
        <f t="array" ref="J291">INDEX('Primary - GRADING'!$A$1:$CP997,MATCH($A291,'Primary - GRADING'!$CP:$CP,0),49)</f>
        <v>#N/A</v>
      </c>
      <c r="K291" s="153" t="str">
        <f t="array" ref="K291">INDEX('Primary - GRADING'!$A$1:$CP997,MATCH($A291,'Primary - GRADING'!$CP:$CP,0),50)</f>
        <v>#N/A</v>
      </c>
      <c r="L291" s="153" t="str">
        <f t="array" ref="L291">INDEX('Primary - GRADING'!$A$1:$CP997,MATCH($A291,'Primary - GRADING'!$CP:$CP,0),51)</f>
        <v>#N/A</v>
      </c>
      <c r="M291" s="153" t="str">
        <f t="array" ref="M291">INDEX('Primary - GRADING'!$A$1:$CP997,MATCH($A291,'Primary - GRADING'!$CP:$CP,0),52)</f>
        <v>#N/A</v>
      </c>
      <c r="N291" s="153" t="str">
        <f t="array" ref="N291">INDEX('Primary - GRADING'!$A$1:$CP997,MATCH($A291,'Primary - GRADING'!$CP:$CP,0),53)</f>
        <v>#N/A</v>
      </c>
      <c r="O291" s="153" t="str">
        <f t="array" ref="O291">INDEX('Primary - GRADING'!$A$1:$CP997,MATCH($A291,'Primary - GRADING'!$CP:$CP,0),58)</f>
        <v>#N/A</v>
      </c>
      <c r="P291" s="153" t="str">
        <f t="array" ref="P291">INDEX('Primary - GRADING'!$A$1:$CP997,MATCH($A291,'Primary - GRADING'!$CP:$CP,0),5)</f>
        <v>#N/A</v>
      </c>
      <c r="Q291" s="153" t="str">
        <f t="array" ref="Q291">INDEX('Primary - GRADING'!$A$1:$CP997,MATCH($A291,'Primary - GRADING'!$CP:$CP,0),6)</f>
        <v>#N/A</v>
      </c>
      <c r="R291" s="153" t="str">
        <f t="array" ref="R291">INDEX('Primary - GRADING'!$A$1:$CP997,MATCH($A291,'Primary - GRADING'!$CP:$CP,0),7)</f>
        <v>#N/A</v>
      </c>
      <c r="S291" s="153" t="str">
        <f t="array" ref="S291">INDEX('Primary - GRADING'!$A$1:$CP997,MATCH($A291,'Primary - GRADING'!$CP:$CP,0),8)</f>
        <v>#N/A</v>
      </c>
      <c r="T291" s="153" t="str">
        <f t="array" ref="T291">INDEX('Primary - GRADING'!$A$1:$CP997,MATCH($A291,'Primary - GRADING'!$CP:$CP,0),9)</f>
        <v>#N/A</v>
      </c>
      <c r="U291" s="153" t="str">
        <f t="array" ref="U291">INDEX('Primary - GRADING'!$A$1:$CP997,MATCH($A291,'Primary - GRADING'!$CP:$CP,0),10)</f>
        <v>#N/A</v>
      </c>
      <c r="V291" s="153" t="str">
        <f t="array" ref="V291">INDEX('Primary - GRADING'!$A$1:$CP997,MATCH($A291,'Primary - GRADING'!$CP:$CP,0),18)</f>
        <v>#N/A</v>
      </c>
      <c r="W291" s="153" t="str">
        <f t="array" ref="W291">INDEX('Primary - GRADING'!$A$1:$CP997,MATCH($A291,'Primary - GRADING'!$CP:$CP,0),20)</f>
        <v>#N/A</v>
      </c>
      <c r="X291" s="153" t="str">
        <f t="array" ref="X291">INDEX('Primary - GRADING'!$A$1:$CP997,MATCH($A291,'Primary - GRADING'!$CP:$CP,0),21)</f>
        <v>#N/A</v>
      </c>
      <c r="Y291" s="153" t="str">
        <f t="array" ref="Y291">INDEX('Primary - GRADING'!$A$1:$CP997,MATCH($A291,'Primary - GRADING'!$CP:$CP,0),22)</f>
        <v>#N/A</v>
      </c>
      <c r="Z291" s="165" t="str">
        <f t="array" ref="Z291">INDEX('Primary - GRADING'!$A$1:$CP997,MATCH($A291,'Primary - GRADING'!$CP:$CP,0),23)</f>
        <v>#N/A</v>
      </c>
      <c r="AA291" s="153" t="str">
        <f t="array" ref="AA291">INDEX('Primary - GRADING'!$A$1:$CP997,MATCH($A291,'Primary - GRADING'!$CP:$CP,0),24)</f>
        <v>#N/A</v>
      </c>
      <c r="AB291" s="153" t="str">
        <f t="array" ref="AB291">INDEX('Primary - GRADING'!$A$1:$CP997,MATCH($A291,'Primary - GRADING'!$CP:$CP,0),25)</f>
        <v>#N/A</v>
      </c>
      <c r="AC291" s="153" t="str">
        <f t="array" ref="AC291">INDEX('Primary - GRADING'!$A$1:$CP997,MATCH($A291,'Primary - GRADING'!$CP:$CP,0),46)</f>
        <v>#N/A</v>
      </c>
      <c r="AG291" s="153" t="str">
        <f t="shared" si="7"/>
        <v>#N/A</v>
      </c>
    </row>
    <row r="292" ht="15.75" customHeight="1">
      <c r="I292" s="153" t="str">
        <f t="array" ref="I292">INDEX('Primary - GRADING'!$A$1:$CP997,MATCH($A292,'Primary - GRADING'!$CP:$CP,0),48)</f>
        <v>#N/A</v>
      </c>
      <c r="J292" s="153" t="str">
        <f t="array" ref="J292">INDEX('Primary - GRADING'!$A$1:$CP997,MATCH($A292,'Primary - GRADING'!$CP:$CP,0),49)</f>
        <v>#N/A</v>
      </c>
      <c r="K292" s="153" t="str">
        <f t="array" ref="K292">INDEX('Primary - GRADING'!$A$1:$CP997,MATCH($A292,'Primary - GRADING'!$CP:$CP,0),50)</f>
        <v>#N/A</v>
      </c>
      <c r="L292" s="153" t="str">
        <f t="array" ref="L292">INDEX('Primary - GRADING'!$A$1:$CP997,MATCH($A292,'Primary - GRADING'!$CP:$CP,0),51)</f>
        <v>#N/A</v>
      </c>
      <c r="M292" s="153" t="str">
        <f t="array" ref="M292">INDEX('Primary - GRADING'!$A$1:$CP997,MATCH($A292,'Primary - GRADING'!$CP:$CP,0),52)</f>
        <v>#N/A</v>
      </c>
      <c r="N292" s="153" t="str">
        <f t="array" ref="N292">INDEX('Primary - GRADING'!$A$1:$CP997,MATCH($A292,'Primary - GRADING'!$CP:$CP,0),53)</f>
        <v>#N/A</v>
      </c>
      <c r="O292" s="153" t="str">
        <f t="array" ref="O292">INDEX('Primary - GRADING'!$A$1:$CP997,MATCH($A292,'Primary - GRADING'!$CP:$CP,0),58)</f>
        <v>#N/A</v>
      </c>
      <c r="P292" s="153" t="str">
        <f t="array" ref="P292">INDEX('Primary - GRADING'!$A$1:$CP997,MATCH($A292,'Primary - GRADING'!$CP:$CP,0),5)</f>
        <v>#N/A</v>
      </c>
      <c r="Q292" s="153" t="str">
        <f t="array" ref="Q292">INDEX('Primary - GRADING'!$A$1:$CP997,MATCH($A292,'Primary - GRADING'!$CP:$CP,0),6)</f>
        <v>#N/A</v>
      </c>
      <c r="R292" s="153" t="str">
        <f t="array" ref="R292">INDEX('Primary - GRADING'!$A$1:$CP997,MATCH($A292,'Primary - GRADING'!$CP:$CP,0),7)</f>
        <v>#N/A</v>
      </c>
      <c r="S292" s="153" t="str">
        <f t="array" ref="S292">INDEX('Primary - GRADING'!$A$1:$CP997,MATCH($A292,'Primary - GRADING'!$CP:$CP,0),8)</f>
        <v>#N/A</v>
      </c>
      <c r="T292" s="153" t="str">
        <f t="array" ref="T292">INDEX('Primary - GRADING'!$A$1:$CP997,MATCH($A292,'Primary - GRADING'!$CP:$CP,0),9)</f>
        <v>#N/A</v>
      </c>
      <c r="U292" s="153" t="str">
        <f t="array" ref="U292">INDEX('Primary - GRADING'!$A$1:$CP997,MATCH($A292,'Primary - GRADING'!$CP:$CP,0),10)</f>
        <v>#N/A</v>
      </c>
      <c r="V292" s="153" t="str">
        <f t="array" ref="V292">INDEX('Primary - GRADING'!$A$1:$CP997,MATCH($A292,'Primary - GRADING'!$CP:$CP,0),18)</f>
        <v>#N/A</v>
      </c>
      <c r="W292" s="153" t="str">
        <f t="array" ref="W292">INDEX('Primary - GRADING'!$A$1:$CP997,MATCH($A292,'Primary - GRADING'!$CP:$CP,0),20)</f>
        <v>#N/A</v>
      </c>
      <c r="X292" s="153" t="str">
        <f t="array" ref="X292">INDEX('Primary - GRADING'!$A$1:$CP997,MATCH($A292,'Primary - GRADING'!$CP:$CP,0),21)</f>
        <v>#N/A</v>
      </c>
      <c r="Y292" s="153" t="str">
        <f t="array" ref="Y292">INDEX('Primary - GRADING'!$A$1:$CP997,MATCH($A292,'Primary - GRADING'!$CP:$CP,0),22)</f>
        <v>#N/A</v>
      </c>
      <c r="Z292" s="165" t="str">
        <f t="array" ref="Z292">INDEX('Primary - GRADING'!$A$1:$CP997,MATCH($A292,'Primary - GRADING'!$CP:$CP,0),23)</f>
        <v>#N/A</v>
      </c>
      <c r="AA292" s="153" t="str">
        <f t="array" ref="AA292">INDEX('Primary - GRADING'!$A$1:$CP997,MATCH($A292,'Primary - GRADING'!$CP:$CP,0),24)</f>
        <v>#N/A</v>
      </c>
      <c r="AB292" s="153" t="str">
        <f t="array" ref="AB292">INDEX('Primary - GRADING'!$A$1:$CP997,MATCH($A292,'Primary - GRADING'!$CP:$CP,0),25)</f>
        <v>#N/A</v>
      </c>
      <c r="AC292" s="153" t="str">
        <f t="array" ref="AC292">INDEX('Primary - GRADING'!$A$1:$CP997,MATCH($A292,'Primary - GRADING'!$CP:$CP,0),46)</f>
        <v>#N/A</v>
      </c>
      <c r="AG292" s="153" t="str">
        <f t="shared" si="7"/>
        <v>#N/A</v>
      </c>
    </row>
    <row r="293" ht="15.75" customHeight="1">
      <c r="I293" s="153" t="str">
        <f t="array" ref="I293">INDEX('Primary - GRADING'!$A$1:$CP997,MATCH($A293,'Primary - GRADING'!$CP:$CP,0),48)</f>
        <v>#N/A</v>
      </c>
      <c r="J293" s="153" t="str">
        <f t="array" ref="J293">INDEX('Primary - GRADING'!$A$1:$CP997,MATCH($A293,'Primary - GRADING'!$CP:$CP,0),49)</f>
        <v>#N/A</v>
      </c>
      <c r="K293" s="153" t="str">
        <f t="array" ref="K293">INDEX('Primary - GRADING'!$A$1:$CP997,MATCH($A293,'Primary - GRADING'!$CP:$CP,0),50)</f>
        <v>#N/A</v>
      </c>
      <c r="L293" s="153" t="str">
        <f t="array" ref="L293">INDEX('Primary - GRADING'!$A$1:$CP997,MATCH($A293,'Primary - GRADING'!$CP:$CP,0),51)</f>
        <v>#N/A</v>
      </c>
      <c r="M293" s="153" t="str">
        <f t="array" ref="M293">INDEX('Primary - GRADING'!$A$1:$CP997,MATCH($A293,'Primary - GRADING'!$CP:$CP,0),52)</f>
        <v>#N/A</v>
      </c>
      <c r="N293" s="153" t="str">
        <f t="array" ref="N293">INDEX('Primary - GRADING'!$A$1:$CP997,MATCH($A293,'Primary - GRADING'!$CP:$CP,0),53)</f>
        <v>#N/A</v>
      </c>
      <c r="O293" s="153" t="str">
        <f t="array" ref="O293">INDEX('Primary - GRADING'!$A$1:$CP997,MATCH($A293,'Primary - GRADING'!$CP:$CP,0),58)</f>
        <v>#N/A</v>
      </c>
      <c r="V293" s="153" t="str">
        <f t="array" ref="V293">INDEX('Primary - GRADING'!$A$1:$CP997,MATCH($A293,'Primary - GRADING'!$CP:$CP,0),18)</f>
        <v>#N/A</v>
      </c>
      <c r="W293" s="153" t="str">
        <f t="array" ref="W293">INDEX('Primary - GRADING'!$A$1:$CP997,MATCH($A293,'Primary - GRADING'!$CP:$CP,0),20)</f>
        <v>#N/A</v>
      </c>
      <c r="X293" s="153" t="str">
        <f t="array" ref="X293">INDEX('Primary - GRADING'!$A$1:$CP997,MATCH($A293,'Primary - GRADING'!$CP:$CP,0),21)</f>
        <v>#N/A</v>
      </c>
      <c r="Y293" s="153" t="str">
        <f t="array" ref="Y293">INDEX('Primary - GRADING'!$A$1:$CP997,MATCH($A293,'Primary - GRADING'!$CP:$CP,0),22)</f>
        <v>#N/A</v>
      </c>
      <c r="Z293" s="165" t="str">
        <f t="array" ref="Z293">INDEX('Primary - GRADING'!$A$1:$CP997,MATCH($A293,'Primary - GRADING'!$CP:$CP,0),23)</f>
        <v>#N/A</v>
      </c>
      <c r="AA293" s="153" t="str">
        <f t="array" ref="AA293">INDEX('Primary - GRADING'!$A$1:$CP997,MATCH($A293,'Primary - GRADING'!$CP:$CP,0),24)</f>
        <v>#N/A</v>
      </c>
      <c r="AB293" s="153" t="str">
        <f t="array" ref="AB293">INDEX('Primary - GRADING'!$A$1:$CP997,MATCH($A293,'Primary - GRADING'!$CP:$CP,0),25)</f>
        <v>#N/A</v>
      </c>
      <c r="AC293" s="153" t="str">
        <f t="array" ref="AC293">INDEX('Primary - GRADING'!$A$1:$CP997,MATCH($A293,'Primary - GRADING'!$CP:$CP,0),46)</f>
        <v>#N/A</v>
      </c>
      <c r="AG293" s="153" t="str">
        <f t="shared" si="7"/>
        <v>#N/A</v>
      </c>
    </row>
    <row r="294" ht="15.75" customHeight="1">
      <c r="I294" s="153" t="str">
        <f t="array" ref="I294">INDEX('Primary - GRADING'!$A$1:$CP997,MATCH($A294,'Primary - GRADING'!$CP:$CP,0),48)</f>
        <v>#N/A</v>
      </c>
      <c r="J294" s="153" t="str">
        <f t="array" ref="J294">INDEX('Primary - GRADING'!$A$1:$CP997,MATCH($A294,'Primary - GRADING'!$CP:$CP,0),49)</f>
        <v>#N/A</v>
      </c>
      <c r="K294" s="153" t="str">
        <f t="array" ref="K294">INDEX('Primary - GRADING'!$A$1:$CP997,MATCH($A294,'Primary - GRADING'!$CP:$CP,0),50)</f>
        <v>#N/A</v>
      </c>
      <c r="L294" s="153" t="str">
        <f t="array" ref="L294">INDEX('Primary - GRADING'!$A$1:$CP997,MATCH($A294,'Primary - GRADING'!$CP:$CP,0),51)</f>
        <v>#N/A</v>
      </c>
      <c r="M294" s="153" t="str">
        <f t="array" ref="M294">INDEX('Primary - GRADING'!$A$1:$CP997,MATCH($A294,'Primary - GRADING'!$CP:$CP,0),52)</f>
        <v>#N/A</v>
      </c>
      <c r="N294" s="153" t="str">
        <f t="array" ref="N294">INDEX('Primary - GRADING'!$A$1:$CP997,MATCH($A294,'Primary - GRADING'!$CP:$CP,0),53)</f>
        <v>#N/A</v>
      </c>
      <c r="O294" s="153" t="str">
        <f t="array" ref="O294">INDEX('Primary - GRADING'!$A$1:$CP997,MATCH($A294,'Primary - GRADING'!$CP:$CP,0),58)</f>
        <v>#N/A</v>
      </c>
      <c r="V294" s="153" t="str">
        <f t="array" ref="V294">INDEX('Primary - GRADING'!$A$1:$CP997,MATCH($A294,'Primary - GRADING'!$CP:$CP,0),18)</f>
        <v>#N/A</v>
      </c>
      <c r="W294" s="153" t="str">
        <f t="array" ref="W294">INDEX('Primary - GRADING'!$A$1:$CP997,MATCH($A294,'Primary - GRADING'!$CP:$CP,0),20)</f>
        <v>#N/A</v>
      </c>
      <c r="X294" s="153" t="str">
        <f t="array" ref="X294">INDEX('Primary - GRADING'!$A$1:$CP997,MATCH($A294,'Primary - GRADING'!$CP:$CP,0),21)</f>
        <v>#N/A</v>
      </c>
      <c r="Y294" s="153" t="str">
        <f t="array" ref="Y294">INDEX('Primary - GRADING'!$A$1:$CP997,MATCH($A294,'Primary - GRADING'!$CP:$CP,0),22)</f>
        <v>#N/A</v>
      </c>
      <c r="Z294" s="165" t="str">
        <f t="array" ref="Z294">INDEX('Primary - GRADING'!$A$1:$CP997,MATCH($A294,'Primary - GRADING'!$CP:$CP,0),23)</f>
        <v>#N/A</v>
      </c>
      <c r="AA294" s="153" t="str">
        <f t="array" ref="AA294">INDEX('Primary - GRADING'!$A$1:$CP997,MATCH($A294,'Primary - GRADING'!$CP:$CP,0),24)</f>
        <v>#N/A</v>
      </c>
      <c r="AB294" s="153" t="str">
        <f t="array" ref="AB294">INDEX('Primary - GRADING'!$A$1:$CP997,MATCH($A294,'Primary - GRADING'!$CP:$CP,0),25)</f>
        <v>#N/A</v>
      </c>
      <c r="AC294" s="153" t="str">
        <f t="array" ref="AC294">INDEX('Primary - GRADING'!$A$1:$CP997,MATCH($A294,'Primary - GRADING'!$CP:$CP,0),46)</f>
        <v>#N/A</v>
      </c>
      <c r="AG294" s="153" t="str">
        <f t="shared" si="7"/>
        <v>#N/A</v>
      </c>
    </row>
    <row r="295" ht="15.75" customHeight="1">
      <c r="I295" s="153" t="str">
        <f t="array" ref="I295">INDEX('Primary - GRADING'!$A$1:$CP997,MATCH($A295,'Primary - GRADING'!$CP:$CP,0),48)</f>
        <v>#N/A</v>
      </c>
      <c r="J295" s="153" t="str">
        <f t="array" ref="J295">INDEX('Primary - GRADING'!$A$1:$CP997,MATCH($A295,'Primary - GRADING'!$CP:$CP,0),49)</f>
        <v>#N/A</v>
      </c>
      <c r="K295" s="153" t="str">
        <f t="array" ref="K295">INDEX('Primary - GRADING'!$A$1:$CP997,MATCH($A295,'Primary - GRADING'!$CP:$CP,0),50)</f>
        <v>#N/A</v>
      </c>
      <c r="L295" s="153" t="str">
        <f t="array" ref="L295">INDEX('Primary - GRADING'!$A$1:$CP997,MATCH($A295,'Primary - GRADING'!$CP:$CP,0),51)</f>
        <v>#N/A</v>
      </c>
      <c r="M295" s="153" t="str">
        <f t="array" ref="M295">INDEX('Primary - GRADING'!$A$1:$CP997,MATCH($A295,'Primary - GRADING'!$CP:$CP,0),52)</f>
        <v>#N/A</v>
      </c>
      <c r="N295" s="153" t="str">
        <f t="array" ref="N295">INDEX('Primary - GRADING'!$A$1:$CP997,MATCH($A295,'Primary - GRADING'!$CP:$CP,0),53)</f>
        <v>#N/A</v>
      </c>
      <c r="O295" s="153" t="str">
        <f t="array" ref="O295">INDEX('Primary - GRADING'!$A$1:$CP997,MATCH($A295,'Primary - GRADING'!$CP:$CP,0),58)</f>
        <v>#N/A</v>
      </c>
      <c r="V295" s="153" t="str">
        <f t="array" ref="V295">INDEX('Primary - GRADING'!$A$1:$CP997,MATCH($A295,'Primary - GRADING'!$CP:$CP,0),18)</f>
        <v>#N/A</v>
      </c>
      <c r="W295" s="153" t="str">
        <f t="array" ref="W295">INDEX('Primary - GRADING'!$A$1:$CP997,MATCH($A295,'Primary - GRADING'!$CP:$CP,0),20)</f>
        <v>#N/A</v>
      </c>
      <c r="X295" s="153" t="str">
        <f t="array" ref="X295">INDEX('Primary - GRADING'!$A$1:$CP997,MATCH($A295,'Primary - GRADING'!$CP:$CP,0),21)</f>
        <v>#N/A</v>
      </c>
      <c r="Y295" s="153" t="str">
        <f t="array" ref="Y295">INDEX('Primary - GRADING'!$A$1:$CP997,MATCH($A295,'Primary - GRADING'!$CP:$CP,0),22)</f>
        <v>#N/A</v>
      </c>
      <c r="Z295" s="165" t="str">
        <f t="array" ref="Z295">INDEX('Primary - GRADING'!$A$1:$CP997,MATCH($A295,'Primary - GRADING'!$CP:$CP,0),23)</f>
        <v>#N/A</v>
      </c>
      <c r="AA295" s="153" t="str">
        <f t="array" ref="AA295">INDEX('Primary - GRADING'!$A$1:$CP997,MATCH($A295,'Primary - GRADING'!$CP:$CP,0),24)</f>
        <v>#N/A</v>
      </c>
      <c r="AB295" s="153" t="str">
        <f t="array" ref="AB295">INDEX('Primary - GRADING'!$A$1:$CP997,MATCH($A295,'Primary - GRADING'!$CP:$CP,0),25)</f>
        <v>#N/A</v>
      </c>
      <c r="AC295" s="153" t="str">
        <f t="array" ref="AC295">INDEX('Primary - GRADING'!$A$1:$CP997,MATCH($A295,'Primary - GRADING'!$CP:$CP,0),46)</f>
        <v>#N/A</v>
      </c>
      <c r="AG295" s="153" t="str">
        <f t="shared" si="7"/>
        <v>#N/A</v>
      </c>
    </row>
    <row r="296" ht="15.75" customHeight="1">
      <c r="I296" s="153" t="str">
        <f t="array" ref="I296">INDEX('Primary - GRADING'!$A$1:$CP997,MATCH($A296,'Primary - GRADING'!$CP:$CP,0),48)</f>
        <v>#N/A</v>
      </c>
      <c r="J296" s="153" t="str">
        <f t="array" ref="J296">INDEX('Primary - GRADING'!$A$1:$CP997,MATCH($A296,'Primary - GRADING'!$CP:$CP,0),49)</f>
        <v>#N/A</v>
      </c>
      <c r="K296" s="153" t="str">
        <f t="array" ref="K296">INDEX('Primary - GRADING'!$A$1:$CP997,MATCH($A296,'Primary - GRADING'!$CP:$CP,0),50)</f>
        <v>#N/A</v>
      </c>
      <c r="L296" s="153" t="str">
        <f t="array" ref="L296">INDEX('Primary - GRADING'!$A$1:$CP997,MATCH($A296,'Primary - GRADING'!$CP:$CP,0),51)</f>
        <v>#N/A</v>
      </c>
      <c r="M296" s="153" t="str">
        <f t="array" ref="M296">INDEX('Primary - GRADING'!$A$1:$CP997,MATCH($A296,'Primary - GRADING'!$CP:$CP,0),52)</f>
        <v>#N/A</v>
      </c>
      <c r="N296" s="153" t="str">
        <f t="array" ref="N296">INDEX('Primary - GRADING'!$A$1:$CP997,MATCH($A296,'Primary - GRADING'!$CP:$CP,0),53)</f>
        <v>#N/A</v>
      </c>
      <c r="O296" s="153" t="str">
        <f t="array" ref="O296">INDEX('Primary - GRADING'!$A$1:$CP997,MATCH($A296,'Primary - GRADING'!$CP:$CP,0),58)</f>
        <v>#N/A</v>
      </c>
      <c r="V296" s="153" t="str">
        <f t="array" ref="V296">INDEX('Primary - GRADING'!$A$1:$CP997,MATCH($A296,'Primary - GRADING'!$CP:$CP,0),18)</f>
        <v>#N/A</v>
      </c>
      <c r="W296" s="153" t="str">
        <f t="array" ref="W296">INDEX('Primary - GRADING'!$A$1:$CP997,MATCH($A296,'Primary - GRADING'!$CP:$CP,0),20)</f>
        <v>#N/A</v>
      </c>
      <c r="X296" s="153" t="str">
        <f t="array" ref="X296">INDEX('Primary - GRADING'!$A$1:$CP997,MATCH($A296,'Primary - GRADING'!$CP:$CP,0),21)</f>
        <v>#N/A</v>
      </c>
      <c r="Y296" s="153" t="str">
        <f t="array" ref="Y296">INDEX('Primary - GRADING'!$A$1:$CP997,MATCH($A296,'Primary - GRADING'!$CP:$CP,0),22)</f>
        <v>#N/A</v>
      </c>
      <c r="Z296" s="165" t="str">
        <f t="array" ref="Z296">INDEX('Primary - GRADING'!$A$1:$CP997,MATCH($A296,'Primary - GRADING'!$CP:$CP,0),23)</f>
        <v>#N/A</v>
      </c>
      <c r="AA296" s="153" t="str">
        <f t="array" ref="AA296">INDEX('Primary - GRADING'!$A$1:$CP997,MATCH($A296,'Primary - GRADING'!$CP:$CP,0),24)</f>
        <v>#N/A</v>
      </c>
      <c r="AB296" s="153" t="str">
        <f t="array" ref="AB296">INDEX('Primary - GRADING'!$A$1:$CP997,MATCH($A296,'Primary - GRADING'!$CP:$CP,0),25)</f>
        <v>#N/A</v>
      </c>
      <c r="AC296" s="153" t="str">
        <f t="array" ref="AC296">INDEX('Primary - GRADING'!$A$1:$CP997,MATCH($A296,'Primary - GRADING'!$CP:$CP,0),46)</f>
        <v>#N/A</v>
      </c>
      <c r="AG296" s="153" t="str">
        <f t="shared" si="7"/>
        <v>#N/A</v>
      </c>
    </row>
    <row r="297" ht="15.75" customHeight="1">
      <c r="I297" s="153" t="str">
        <f t="array" ref="I297">INDEX('Primary - GRADING'!$A$1:$CP997,MATCH($A297,'Primary - GRADING'!$CP:$CP,0),48)</f>
        <v>#N/A</v>
      </c>
      <c r="J297" s="153" t="str">
        <f t="array" ref="J297">INDEX('Primary - GRADING'!$A$1:$CP997,MATCH($A297,'Primary - GRADING'!$CP:$CP,0),49)</f>
        <v>#N/A</v>
      </c>
      <c r="K297" s="153" t="str">
        <f t="array" ref="K297">INDEX('Primary - GRADING'!$A$1:$CP997,MATCH($A297,'Primary - GRADING'!$CP:$CP,0),50)</f>
        <v>#N/A</v>
      </c>
      <c r="L297" s="153" t="str">
        <f t="array" ref="L297">INDEX('Primary - GRADING'!$A$1:$CP997,MATCH($A297,'Primary - GRADING'!$CP:$CP,0),51)</f>
        <v>#N/A</v>
      </c>
      <c r="M297" s="153" t="str">
        <f t="array" ref="M297">INDEX('Primary - GRADING'!$A$1:$CP997,MATCH($A297,'Primary - GRADING'!$CP:$CP,0),52)</f>
        <v>#N/A</v>
      </c>
      <c r="N297" s="153" t="str">
        <f t="array" ref="N297">INDEX('Primary - GRADING'!$A$1:$CP997,MATCH($A297,'Primary - GRADING'!$CP:$CP,0),53)</f>
        <v>#N/A</v>
      </c>
      <c r="O297" s="153" t="str">
        <f t="array" ref="O297">INDEX('Primary - GRADING'!$A$1:$CP997,MATCH($A297,'Primary - GRADING'!$CP:$CP,0),58)</f>
        <v>#N/A</v>
      </c>
      <c r="V297" s="153" t="str">
        <f t="array" ref="V297">INDEX('Primary - GRADING'!$A$1:$CP997,MATCH($A297,'Primary - GRADING'!$CP:$CP,0),18)</f>
        <v>#N/A</v>
      </c>
      <c r="W297" s="153" t="str">
        <f t="array" ref="W297">INDEX('Primary - GRADING'!$A$1:$CP997,MATCH($A297,'Primary - GRADING'!$CP:$CP,0),20)</f>
        <v>#N/A</v>
      </c>
      <c r="X297" s="153" t="str">
        <f t="array" ref="X297">INDEX('Primary - GRADING'!$A$1:$CP997,MATCH($A297,'Primary - GRADING'!$CP:$CP,0),21)</f>
        <v>#N/A</v>
      </c>
      <c r="Y297" s="153" t="str">
        <f t="array" ref="Y297">INDEX('Primary - GRADING'!$A$1:$CP997,MATCH($A297,'Primary - GRADING'!$CP:$CP,0),22)</f>
        <v>#N/A</v>
      </c>
      <c r="Z297" s="165" t="str">
        <f t="array" ref="Z297">INDEX('Primary - GRADING'!$A$1:$CP997,MATCH($A297,'Primary - GRADING'!$CP:$CP,0),23)</f>
        <v>#N/A</v>
      </c>
      <c r="AA297" s="153" t="str">
        <f t="array" ref="AA297">INDEX('Primary - GRADING'!$A$1:$CP997,MATCH($A297,'Primary - GRADING'!$CP:$CP,0),24)</f>
        <v>#N/A</v>
      </c>
      <c r="AB297" s="153" t="str">
        <f t="array" ref="AB297">INDEX('Primary - GRADING'!$A$1:$CP997,MATCH($A297,'Primary - GRADING'!$CP:$CP,0),25)</f>
        <v>#N/A</v>
      </c>
      <c r="AC297" s="153" t="str">
        <f t="array" ref="AC297">INDEX('Primary - GRADING'!$A$1:$CP997,MATCH($A297,'Primary - GRADING'!$CP:$CP,0),46)</f>
        <v>#N/A</v>
      </c>
      <c r="AG297" s="153" t="str">
        <f t="shared" si="7"/>
        <v>#N/A</v>
      </c>
    </row>
    <row r="298" ht="15.75" customHeight="1">
      <c r="I298" s="153" t="str">
        <f t="array" ref="I298">INDEX('Primary - GRADING'!$A$1:$CP997,MATCH($A298,'Primary - GRADING'!$CP:$CP,0),48)</f>
        <v>#N/A</v>
      </c>
      <c r="J298" s="153" t="str">
        <f t="array" ref="J298">INDEX('Primary - GRADING'!$A$1:$CP997,MATCH($A298,'Primary - GRADING'!$CP:$CP,0),49)</f>
        <v>#N/A</v>
      </c>
      <c r="K298" s="153" t="str">
        <f t="array" ref="K298">INDEX('Primary - GRADING'!$A$1:$CP997,MATCH($A298,'Primary - GRADING'!$CP:$CP,0),50)</f>
        <v>#N/A</v>
      </c>
      <c r="L298" s="153" t="str">
        <f t="array" ref="L298">INDEX('Primary - GRADING'!$A$1:$CP997,MATCH($A298,'Primary - GRADING'!$CP:$CP,0),51)</f>
        <v>#N/A</v>
      </c>
      <c r="M298" s="153" t="str">
        <f t="array" ref="M298">INDEX('Primary - GRADING'!$A$1:$CP997,MATCH($A298,'Primary - GRADING'!$CP:$CP,0),52)</f>
        <v>#N/A</v>
      </c>
      <c r="N298" s="153" t="str">
        <f t="array" ref="N298">INDEX('Primary - GRADING'!$A$1:$CP997,MATCH($A298,'Primary - GRADING'!$CP:$CP,0),53)</f>
        <v>#N/A</v>
      </c>
      <c r="O298" s="153" t="str">
        <f t="array" ref="O298">INDEX('Primary - GRADING'!$A$1:$CP997,MATCH($A298,'Primary - GRADING'!$CP:$CP,0),58)</f>
        <v>#N/A</v>
      </c>
      <c r="V298" s="153" t="str">
        <f t="array" ref="V298">INDEX('Primary - GRADING'!$A$1:$CP997,MATCH($A298,'Primary - GRADING'!$CP:$CP,0),18)</f>
        <v>#N/A</v>
      </c>
      <c r="W298" s="153" t="str">
        <f t="array" ref="W298">INDEX('Primary - GRADING'!$A$1:$CP997,MATCH($A298,'Primary - GRADING'!$CP:$CP,0),20)</f>
        <v>#N/A</v>
      </c>
      <c r="X298" s="153" t="str">
        <f t="array" ref="X298">INDEX('Primary - GRADING'!$A$1:$CP997,MATCH($A298,'Primary - GRADING'!$CP:$CP,0),21)</f>
        <v>#N/A</v>
      </c>
      <c r="Y298" s="153" t="str">
        <f t="array" ref="Y298">INDEX('Primary - GRADING'!$A$1:$CP997,MATCH($A298,'Primary - GRADING'!$CP:$CP,0),22)</f>
        <v>#N/A</v>
      </c>
      <c r="Z298" s="165" t="str">
        <f t="array" ref="Z298">INDEX('Primary - GRADING'!$A$1:$CP997,MATCH($A298,'Primary - GRADING'!$CP:$CP,0),23)</f>
        <v>#N/A</v>
      </c>
      <c r="AA298" s="153" t="str">
        <f t="array" ref="AA298">INDEX('Primary - GRADING'!$A$1:$CP997,MATCH($A298,'Primary - GRADING'!$CP:$CP,0),24)</f>
        <v>#N/A</v>
      </c>
      <c r="AB298" s="153" t="str">
        <f t="array" ref="AB298">INDEX('Primary - GRADING'!$A$1:$CP997,MATCH($A298,'Primary - GRADING'!$CP:$CP,0),25)</f>
        <v>#N/A</v>
      </c>
      <c r="AC298" s="153" t="str">
        <f t="array" ref="AC298">INDEX('Primary - GRADING'!$A$1:$CP997,MATCH($A298,'Primary - GRADING'!$CP:$CP,0),46)</f>
        <v>#N/A</v>
      </c>
      <c r="AG298" s="153" t="str">
        <f t="shared" si="7"/>
        <v>#N/A</v>
      </c>
    </row>
    <row r="299" ht="15.75" customHeight="1">
      <c r="I299" s="153" t="str">
        <f t="array" ref="I299">INDEX('Primary - GRADING'!$A$1:$CP997,MATCH($A299,'Primary - GRADING'!$CP:$CP,0),48)</f>
        <v>#N/A</v>
      </c>
      <c r="J299" s="153" t="str">
        <f t="array" ref="J299">INDEX('Primary - GRADING'!$A$1:$CP997,MATCH($A299,'Primary - GRADING'!$CP:$CP,0),49)</f>
        <v>#N/A</v>
      </c>
      <c r="K299" s="153" t="str">
        <f t="array" ref="K299">INDEX('Primary - GRADING'!$A$1:$CP997,MATCH($A299,'Primary - GRADING'!$CP:$CP,0),50)</f>
        <v>#N/A</v>
      </c>
      <c r="L299" s="153" t="str">
        <f t="array" ref="L299">INDEX('Primary - GRADING'!$A$1:$CP997,MATCH($A299,'Primary - GRADING'!$CP:$CP,0),51)</f>
        <v>#N/A</v>
      </c>
      <c r="M299" s="153" t="str">
        <f t="array" ref="M299">INDEX('Primary - GRADING'!$A$1:$CP997,MATCH($A299,'Primary - GRADING'!$CP:$CP,0),52)</f>
        <v>#N/A</v>
      </c>
      <c r="N299" s="153" t="str">
        <f t="array" ref="N299">INDEX('Primary - GRADING'!$A$1:$CP997,MATCH($A299,'Primary - GRADING'!$CP:$CP,0),53)</f>
        <v>#N/A</v>
      </c>
      <c r="O299" s="153" t="str">
        <f t="array" ref="O299">INDEX('Primary - GRADING'!$A$1:$CP997,MATCH($A299,'Primary - GRADING'!$CP:$CP,0),58)</f>
        <v>#N/A</v>
      </c>
      <c r="V299" s="153" t="str">
        <f t="array" ref="V299">INDEX('Primary - GRADING'!$A$1:$CP997,MATCH($A299,'Primary - GRADING'!$CP:$CP,0),18)</f>
        <v>#N/A</v>
      </c>
      <c r="W299" s="153" t="str">
        <f t="array" ref="W299">INDEX('Primary - GRADING'!$A$1:$CP997,MATCH($A299,'Primary - GRADING'!$CP:$CP,0),20)</f>
        <v>#N/A</v>
      </c>
      <c r="X299" s="153" t="str">
        <f t="array" ref="X299">INDEX('Primary - GRADING'!$A$1:$CP997,MATCH($A299,'Primary - GRADING'!$CP:$CP,0),21)</f>
        <v>#N/A</v>
      </c>
      <c r="Y299" s="153" t="str">
        <f t="array" ref="Y299">INDEX('Primary - GRADING'!$A$1:$CP997,MATCH($A299,'Primary - GRADING'!$CP:$CP,0),22)</f>
        <v>#N/A</v>
      </c>
      <c r="Z299" s="165" t="str">
        <f t="array" ref="Z299">INDEX('Primary - GRADING'!$A$1:$CP997,MATCH($A299,'Primary - GRADING'!$CP:$CP,0),23)</f>
        <v>#N/A</v>
      </c>
      <c r="AA299" s="153" t="str">
        <f t="array" ref="AA299">INDEX('Primary - GRADING'!$A$1:$CP997,MATCH($A299,'Primary - GRADING'!$CP:$CP,0),24)</f>
        <v>#N/A</v>
      </c>
      <c r="AB299" s="153" t="str">
        <f t="array" ref="AB299">INDEX('Primary - GRADING'!$A$1:$CP997,MATCH($A299,'Primary - GRADING'!$CP:$CP,0),25)</f>
        <v>#N/A</v>
      </c>
      <c r="AC299" s="153" t="str">
        <f t="array" ref="AC299">INDEX('Primary - GRADING'!$A$1:$CP997,MATCH($A299,'Primary - GRADING'!$CP:$CP,0),46)</f>
        <v>#N/A</v>
      </c>
      <c r="AG299" s="153" t="str">
        <f t="shared" si="7"/>
        <v>#N/A</v>
      </c>
    </row>
    <row r="300" ht="15.75" customHeight="1">
      <c r="I300" s="153" t="str">
        <f t="array" ref="I300">INDEX('Primary - GRADING'!$A$1:$CP997,MATCH($A300,'Primary - GRADING'!$CP:$CP,0),48)</f>
        <v>#N/A</v>
      </c>
      <c r="J300" s="153" t="str">
        <f t="array" ref="J300">INDEX('Primary - GRADING'!$A$1:$CP997,MATCH($A300,'Primary - GRADING'!$CP:$CP,0),49)</f>
        <v>#N/A</v>
      </c>
      <c r="K300" s="153" t="str">
        <f t="array" ref="K300">INDEX('Primary - GRADING'!$A$1:$CP997,MATCH($A300,'Primary - GRADING'!$CP:$CP,0),50)</f>
        <v>#N/A</v>
      </c>
      <c r="L300" s="153" t="str">
        <f t="array" ref="L300">INDEX('Primary - GRADING'!$A$1:$CP997,MATCH($A300,'Primary - GRADING'!$CP:$CP,0),51)</f>
        <v>#N/A</v>
      </c>
      <c r="M300" s="153" t="str">
        <f t="array" ref="M300">INDEX('Primary - GRADING'!$A$1:$CP997,MATCH($A300,'Primary - GRADING'!$CP:$CP,0),52)</f>
        <v>#N/A</v>
      </c>
      <c r="N300" s="153" t="str">
        <f t="array" ref="N300">INDEX('Primary - GRADING'!$A$1:$CP997,MATCH($A300,'Primary - GRADING'!$CP:$CP,0),53)</f>
        <v>#N/A</v>
      </c>
      <c r="O300" s="153" t="str">
        <f t="array" ref="O300">INDEX('Primary - GRADING'!$A$1:$CP997,MATCH($A300,'Primary - GRADING'!$CP:$CP,0),58)</f>
        <v>#N/A</v>
      </c>
      <c r="V300" s="153" t="str">
        <f t="array" ref="V300">INDEX('Primary - GRADING'!$A$1:$CP997,MATCH($A300,'Primary - GRADING'!$CP:$CP,0),18)</f>
        <v>#N/A</v>
      </c>
      <c r="W300" s="153" t="str">
        <f t="array" ref="W300">INDEX('Primary - GRADING'!$A$1:$CP997,MATCH($A300,'Primary - GRADING'!$CP:$CP,0),20)</f>
        <v>#N/A</v>
      </c>
      <c r="X300" s="153" t="str">
        <f t="array" ref="X300">INDEX('Primary - GRADING'!$A$1:$CP997,MATCH($A300,'Primary - GRADING'!$CP:$CP,0),21)</f>
        <v>#N/A</v>
      </c>
      <c r="Y300" s="153" t="str">
        <f t="array" ref="Y300">INDEX('Primary - GRADING'!$A$1:$CP997,MATCH($A300,'Primary - GRADING'!$CP:$CP,0),22)</f>
        <v>#N/A</v>
      </c>
      <c r="Z300" s="165" t="str">
        <f t="array" ref="Z300">INDEX('Primary - GRADING'!$A$1:$CP997,MATCH($A300,'Primary - GRADING'!$CP:$CP,0),23)</f>
        <v>#N/A</v>
      </c>
      <c r="AA300" s="153" t="str">
        <f t="array" ref="AA300">INDEX('Primary - GRADING'!$A$1:$CP997,MATCH($A300,'Primary - GRADING'!$CP:$CP,0),24)</f>
        <v>#N/A</v>
      </c>
      <c r="AB300" s="153" t="str">
        <f t="array" ref="AB300">INDEX('Primary - GRADING'!$A$1:$CP997,MATCH($A300,'Primary - GRADING'!$CP:$CP,0),25)</f>
        <v>#N/A</v>
      </c>
      <c r="AC300" s="153" t="str">
        <f t="array" ref="AC300">INDEX('Primary - GRADING'!$A$1:$CP997,MATCH($A300,'Primary - GRADING'!$CP:$CP,0),46)</f>
        <v>#N/A</v>
      </c>
      <c r="AG300" s="153" t="str">
        <f t="shared" si="7"/>
        <v>#N/A</v>
      </c>
    </row>
    <row r="301" ht="15.75" customHeight="1">
      <c r="I301" s="153" t="str">
        <f t="array" ref="I301">INDEX('Primary - GRADING'!$A$1:$CP997,MATCH($A301,'Primary - GRADING'!$CP:$CP,0),48)</f>
        <v>#N/A</v>
      </c>
      <c r="J301" s="153" t="str">
        <f t="array" ref="J301">INDEX('Primary - GRADING'!$A$1:$CP997,MATCH($A301,'Primary - GRADING'!$CP:$CP,0),49)</f>
        <v>#N/A</v>
      </c>
      <c r="K301" s="153" t="str">
        <f t="array" ref="K301">INDEX('Primary - GRADING'!$A$1:$CP997,MATCH($A301,'Primary - GRADING'!$CP:$CP,0),50)</f>
        <v>#N/A</v>
      </c>
      <c r="L301" s="153" t="str">
        <f t="array" ref="L301">INDEX('Primary - GRADING'!$A$1:$CP997,MATCH($A301,'Primary - GRADING'!$CP:$CP,0),51)</f>
        <v>#N/A</v>
      </c>
      <c r="M301" s="153" t="str">
        <f t="array" ref="M301">INDEX('Primary - GRADING'!$A$1:$CP997,MATCH($A301,'Primary - GRADING'!$CP:$CP,0),52)</f>
        <v>#N/A</v>
      </c>
      <c r="N301" s="153" t="str">
        <f t="array" ref="N301">INDEX('Primary - GRADING'!$A$1:$CP997,MATCH($A301,'Primary - GRADING'!$CP:$CP,0),53)</f>
        <v>#N/A</v>
      </c>
      <c r="O301" s="153" t="str">
        <f t="array" ref="O301">INDEX('Primary - GRADING'!$A$1:$CP997,MATCH($A301,'Primary - GRADING'!$CP:$CP,0),58)</f>
        <v>#N/A</v>
      </c>
      <c r="V301" s="153" t="str">
        <f t="array" ref="V301">INDEX('Primary - GRADING'!$A$1:$CP997,MATCH($A301,'Primary - GRADING'!$CP:$CP,0),18)</f>
        <v>#N/A</v>
      </c>
      <c r="W301" s="153" t="str">
        <f t="array" ref="W301">INDEX('Primary - GRADING'!$A$1:$CP997,MATCH($A301,'Primary - GRADING'!$CP:$CP,0),20)</f>
        <v>#N/A</v>
      </c>
      <c r="X301" s="153" t="str">
        <f t="array" ref="X301">INDEX('Primary - GRADING'!$A$1:$CP997,MATCH($A301,'Primary - GRADING'!$CP:$CP,0),21)</f>
        <v>#N/A</v>
      </c>
      <c r="Y301" s="153" t="str">
        <f t="array" ref="Y301">INDEX('Primary - GRADING'!$A$1:$CP997,MATCH($A301,'Primary - GRADING'!$CP:$CP,0),22)</f>
        <v>#N/A</v>
      </c>
      <c r="Z301" s="165" t="str">
        <f t="array" ref="Z301">INDEX('Primary - GRADING'!$A$1:$CP997,MATCH($A301,'Primary - GRADING'!$CP:$CP,0),23)</f>
        <v>#N/A</v>
      </c>
      <c r="AA301" s="153" t="str">
        <f t="array" ref="AA301">INDEX('Primary - GRADING'!$A$1:$CP997,MATCH($A301,'Primary - GRADING'!$CP:$CP,0),24)</f>
        <v>#N/A</v>
      </c>
      <c r="AB301" s="153" t="str">
        <f t="array" ref="AB301">INDEX('Primary - GRADING'!$A$1:$CP997,MATCH($A301,'Primary - GRADING'!$CP:$CP,0),25)</f>
        <v>#N/A</v>
      </c>
      <c r="AC301" s="153" t="str">
        <f t="array" ref="AC301">INDEX('Primary - GRADING'!$A$1:$CP997,MATCH($A301,'Primary - GRADING'!$CP:$CP,0),46)</f>
        <v>#N/A</v>
      </c>
      <c r="AG301" s="153" t="str">
        <f t="shared" si="7"/>
        <v>#N/A</v>
      </c>
    </row>
    <row r="302" ht="15.75" customHeight="1">
      <c r="I302" s="153" t="str">
        <f t="array" ref="I302">INDEX('Primary - GRADING'!$A$1:$CP997,MATCH($A302,'Primary - GRADING'!$CP:$CP,0),48)</f>
        <v>#N/A</v>
      </c>
      <c r="J302" s="153" t="str">
        <f t="array" ref="J302">INDEX('Primary - GRADING'!$A$1:$CP997,MATCH($A302,'Primary - GRADING'!$CP:$CP,0),49)</f>
        <v>#N/A</v>
      </c>
      <c r="K302" s="153" t="str">
        <f t="array" ref="K302">INDEX('Primary - GRADING'!$A$1:$CP997,MATCH($A302,'Primary - GRADING'!$CP:$CP,0),50)</f>
        <v>#N/A</v>
      </c>
      <c r="L302" s="153" t="str">
        <f t="array" ref="L302">INDEX('Primary - GRADING'!$A$1:$CP997,MATCH($A302,'Primary - GRADING'!$CP:$CP,0),51)</f>
        <v>#N/A</v>
      </c>
      <c r="M302" s="153" t="str">
        <f t="array" ref="M302">INDEX('Primary - GRADING'!$A$1:$CP997,MATCH($A302,'Primary - GRADING'!$CP:$CP,0),52)</f>
        <v>#N/A</v>
      </c>
      <c r="N302" s="153" t="str">
        <f t="array" ref="N302">INDEX('Primary - GRADING'!$A$1:$CP997,MATCH($A302,'Primary - GRADING'!$CP:$CP,0),53)</f>
        <v>#N/A</v>
      </c>
      <c r="O302" s="153" t="str">
        <f t="array" ref="O302">INDEX('Primary - GRADING'!$A$1:$CP997,MATCH($A302,'Primary - GRADING'!$CP:$CP,0),58)</f>
        <v>#N/A</v>
      </c>
      <c r="V302" s="153" t="str">
        <f t="array" ref="V302">INDEX('Primary - GRADING'!$A$1:$CP997,MATCH($A302,'Primary - GRADING'!$CP:$CP,0),18)</f>
        <v>#N/A</v>
      </c>
      <c r="W302" s="153" t="str">
        <f t="array" ref="W302">INDEX('Primary - GRADING'!$A$1:$CP997,MATCH($A302,'Primary - GRADING'!$CP:$CP,0),20)</f>
        <v>#N/A</v>
      </c>
      <c r="X302" s="153" t="str">
        <f t="array" ref="X302">INDEX('Primary - GRADING'!$A$1:$CP997,MATCH($A302,'Primary - GRADING'!$CP:$CP,0),21)</f>
        <v>#N/A</v>
      </c>
      <c r="Y302" s="153" t="str">
        <f t="array" ref="Y302">INDEX('Primary - GRADING'!$A$1:$CP997,MATCH($A302,'Primary - GRADING'!$CP:$CP,0),22)</f>
        <v>#N/A</v>
      </c>
      <c r="Z302" s="165" t="str">
        <f t="array" ref="Z302">INDEX('Primary - GRADING'!$A$1:$CP997,MATCH($A302,'Primary - GRADING'!$CP:$CP,0),23)</f>
        <v>#N/A</v>
      </c>
      <c r="AA302" s="153" t="str">
        <f t="array" ref="AA302">INDEX('Primary - GRADING'!$A$1:$CP997,MATCH($A302,'Primary - GRADING'!$CP:$CP,0),24)</f>
        <v>#N/A</v>
      </c>
      <c r="AB302" s="153" t="str">
        <f t="array" ref="AB302">INDEX('Primary - GRADING'!$A$1:$CP997,MATCH($A302,'Primary - GRADING'!$CP:$CP,0),25)</f>
        <v>#N/A</v>
      </c>
      <c r="AC302" s="153" t="str">
        <f t="array" ref="AC302">INDEX('Primary - GRADING'!$A$1:$CP997,MATCH($A302,'Primary - GRADING'!$CP:$CP,0),46)</f>
        <v>#N/A</v>
      </c>
      <c r="AG302" s="153" t="str">
        <f t="shared" si="7"/>
        <v>#N/A</v>
      </c>
    </row>
    <row r="303" ht="15.75" customHeight="1">
      <c r="I303" s="153" t="str">
        <f t="array" ref="I303">INDEX('Primary - GRADING'!$A$1:$CP997,MATCH($A303,'Primary - GRADING'!$CP:$CP,0),48)</f>
        <v>#N/A</v>
      </c>
      <c r="J303" s="153" t="str">
        <f t="array" ref="J303">INDEX('Primary - GRADING'!$A$1:$CP997,MATCH($A303,'Primary - GRADING'!$CP:$CP,0),49)</f>
        <v>#N/A</v>
      </c>
      <c r="K303" s="153" t="str">
        <f t="array" ref="K303">INDEX('Primary - GRADING'!$A$1:$CP997,MATCH($A303,'Primary - GRADING'!$CP:$CP,0),50)</f>
        <v>#N/A</v>
      </c>
      <c r="L303" s="153" t="str">
        <f t="array" ref="L303">INDEX('Primary - GRADING'!$A$1:$CP997,MATCH($A303,'Primary - GRADING'!$CP:$CP,0),51)</f>
        <v>#N/A</v>
      </c>
      <c r="M303" s="153" t="str">
        <f t="array" ref="M303">INDEX('Primary - GRADING'!$A$1:$CP997,MATCH($A303,'Primary - GRADING'!$CP:$CP,0),52)</f>
        <v>#N/A</v>
      </c>
      <c r="N303" s="153" t="str">
        <f t="array" ref="N303">INDEX('Primary - GRADING'!$A$1:$CP997,MATCH($A303,'Primary - GRADING'!$CP:$CP,0),53)</f>
        <v>#N/A</v>
      </c>
      <c r="O303" s="153" t="str">
        <f t="array" ref="O303">INDEX('Primary - GRADING'!$A$1:$CP997,MATCH($A303,'Primary - GRADING'!$CP:$CP,0),58)</f>
        <v>#N/A</v>
      </c>
      <c r="V303" s="153" t="str">
        <f t="array" ref="V303">INDEX('Primary - GRADING'!$A$1:$CP997,MATCH($A303,'Primary - GRADING'!$CP:$CP,0),18)</f>
        <v>#N/A</v>
      </c>
      <c r="W303" s="153" t="str">
        <f t="array" ref="W303">INDEX('Primary - GRADING'!$A$1:$CP997,MATCH($A303,'Primary - GRADING'!$CP:$CP,0),20)</f>
        <v>#N/A</v>
      </c>
      <c r="X303" s="153" t="str">
        <f t="array" ref="X303">INDEX('Primary - GRADING'!$A$1:$CP997,MATCH($A303,'Primary - GRADING'!$CP:$CP,0),21)</f>
        <v>#N/A</v>
      </c>
      <c r="Y303" s="153" t="str">
        <f t="array" ref="Y303">INDEX('Primary - GRADING'!$A$1:$CP997,MATCH($A303,'Primary - GRADING'!$CP:$CP,0),22)</f>
        <v>#N/A</v>
      </c>
      <c r="Z303" s="165" t="str">
        <f t="array" ref="Z303">INDEX('Primary - GRADING'!$A$1:$CP997,MATCH($A303,'Primary - GRADING'!$CP:$CP,0),23)</f>
        <v>#N/A</v>
      </c>
      <c r="AA303" s="153" t="str">
        <f t="array" ref="AA303">INDEX('Primary - GRADING'!$A$1:$CP997,MATCH($A303,'Primary - GRADING'!$CP:$CP,0),24)</f>
        <v>#N/A</v>
      </c>
      <c r="AB303" s="153" t="str">
        <f t="array" ref="AB303">INDEX('Primary - GRADING'!$A$1:$CP997,MATCH($A303,'Primary - GRADING'!$CP:$CP,0),25)</f>
        <v>#N/A</v>
      </c>
      <c r="AC303" s="153" t="str">
        <f t="array" ref="AC303">INDEX('Primary - GRADING'!$A$1:$CP997,MATCH($A303,'Primary - GRADING'!$CP:$CP,0),46)</f>
        <v>#N/A</v>
      </c>
      <c r="AG303" s="153" t="str">
        <f t="shared" si="7"/>
        <v>#N/A</v>
      </c>
    </row>
    <row r="304" ht="15.75" customHeight="1">
      <c r="I304" s="153" t="str">
        <f t="array" ref="I304">INDEX('Primary - GRADING'!$A$1:$CP997,MATCH($A304,'Primary - GRADING'!$CP:$CP,0),48)</f>
        <v>#N/A</v>
      </c>
      <c r="J304" s="153" t="str">
        <f t="array" ref="J304">INDEX('Primary - GRADING'!$A$1:$CP997,MATCH($A304,'Primary - GRADING'!$CP:$CP,0),49)</f>
        <v>#N/A</v>
      </c>
      <c r="K304" s="153" t="str">
        <f t="array" ref="K304">INDEX('Primary - GRADING'!$A$1:$CP997,MATCH($A304,'Primary - GRADING'!$CP:$CP,0),50)</f>
        <v>#N/A</v>
      </c>
      <c r="L304" s="153" t="str">
        <f t="array" ref="L304">INDEX('Primary - GRADING'!$A$1:$CP997,MATCH($A304,'Primary - GRADING'!$CP:$CP,0),51)</f>
        <v>#N/A</v>
      </c>
      <c r="M304" s="153" t="str">
        <f t="array" ref="M304">INDEX('Primary - GRADING'!$A$1:$CP997,MATCH($A304,'Primary - GRADING'!$CP:$CP,0),52)</f>
        <v>#N/A</v>
      </c>
      <c r="N304" s="153" t="str">
        <f t="array" ref="N304">INDEX('Primary - GRADING'!$A$1:$CP997,MATCH($A304,'Primary - GRADING'!$CP:$CP,0),53)</f>
        <v>#N/A</v>
      </c>
      <c r="O304" s="153" t="str">
        <f t="array" ref="O304">INDEX('Primary - GRADING'!$A$1:$CP997,MATCH($A304,'Primary - GRADING'!$CP:$CP,0),58)</f>
        <v>#N/A</v>
      </c>
      <c r="V304" s="153" t="str">
        <f t="array" ref="V304">INDEX('Primary - GRADING'!$A$1:$CP997,MATCH($A304,'Primary - GRADING'!$CP:$CP,0),18)</f>
        <v>#N/A</v>
      </c>
      <c r="W304" s="153" t="str">
        <f t="array" ref="W304">INDEX('Primary - GRADING'!$A$1:$CP997,MATCH($A304,'Primary - GRADING'!$CP:$CP,0),20)</f>
        <v>#N/A</v>
      </c>
      <c r="X304" s="153" t="str">
        <f t="array" ref="X304">INDEX('Primary - GRADING'!$A$1:$CP997,MATCH($A304,'Primary - GRADING'!$CP:$CP,0),21)</f>
        <v>#N/A</v>
      </c>
      <c r="Y304" s="153" t="str">
        <f t="array" ref="Y304">INDEX('Primary - GRADING'!$A$1:$CP997,MATCH($A304,'Primary - GRADING'!$CP:$CP,0),22)</f>
        <v>#N/A</v>
      </c>
      <c r="Z304" s="165" t="str">
        <f t="array" ref="Z304">INDEX('Primary - GRADING'!$A$1:$CP997,MATCH($A304,'Primary - GRADING'!$CP:$CP,0),23)</f>
        <v>#N/A</v>
      </c>
      <c r="AA304" s="153" t="str">
        <f t="array" ref="AA304">INDEX('Primary - GRADING'!$A$1:$CP997,MATCH($A304,'Primary - GRADING'!$CP:$CP,0),24)</f>
        <v>#N/A</v>
      </c>
      <c r="AB304" s="153" t="str">
        <f t="array" ref="AB304">INDEX('Primary - GRADING'!$A$1:$CP997,MATCH($A304,'Primary - GRADING'!$CP:$CP,0),25)</f>
        <v>#N/A</v>
      </c>
      <c r="AC304" s="153" t="str">
        <f t="array" ref="AC304">INDEX('Primary - GRADING'!$A$1:$CP997,MATCH($A304,'Primary - GRADING'!$CP:$CP,0),46)</f>
        <v>#N/A</v>
      </c>
      <c r="AG304" s="153" t="str">
        <f t="shared" si="7"/>
        <v>#N/A</v>
      </c>
    </row>
    <row r="305" ht="15.75" customHeight="1">
      <c r="I305" s="153" t="str">
        <f t="array" ref="I305">INDEX('Primary - GRADING'!$A$1:$CP997,MATCH($A305,'Primary - GRADING'!$CP:$CP,0),48)</f>
        <v>#N/A</v>
      </c>
      <c r="J305" s="153" t="str">
        <f t="array" ref="J305">INDEX('Primary - GRADING'!$A$1:$CP997,MATCH($A305,'Primary - GRADING'!$CP:$CP,0),49)</f>
        <v>#N/A</v>
      </c>
      <c r="K305" s="153" t="str">
        <f t="array" ref="K305">INDEX('Primary - GRADING'!$A$1:$CP997,MATCH($A305,'Primary - GRADING'!$CP:$CP,0),50)</f>
        <v>#N/A</v>
      </c>
      <c r="L305" s="153" t="str">
        <f t="array" ref="L305">INDEX('Primary - GRADING'!$A$1:$CP997,MATCH($A305,'Primary - GRADING'!$CP:$CP,0),51)</f>
        <v>#N/A</v>
      </c>
      <c r="M305" s="153" t="str">
        <f t="array" ref="M305">INDEX('Primary - GRADING'!$A$1:$CP997,MATCH($A305,'Primary - GRADING'!$CP:$CP,0),52)</f>
        <v>#N/A</v>
      </c>
      <c r="N305" s="153" t="str">
        <f t="array" ref="N305">INDEX('Primary - GRADING'!$A$1:$CP997,MATCH($A305,'Primary - GRADING'!$CP:$CP,0),53)</f>
        <v>#N/A</v>
      </c>
      <c r="V305" s="153" t="str">
        <f t="array" ref="V305">INDEX('Primary - GRADING'!$A$1:$CP997,MATCH($A305,'Primary - GRADING'!$CP:$CP,0),18)</f>
        <v>#N/A</v>
      </c>
      <c r="W305" s="153" t="str">
        <f t="array" ref="W305">INDEX('Primary - GRADING'!$A$1:$CP997,MATCH($A305,'Primary - GRADING'!$CP:$CP,0),20)</f>
        <v>#N/A</v>
      </c>
      <c r="X305" s="153" t="str">
        <f t="array" ref="X305">INDEX('Primary - GRADING'!$A$1:$CP997,MATCH($A305,'Primary - GRADING'!$CP:$CP,0),21)</f>
        <v>#N/A</v>
      </c>
      <c r="Y305" s="153" t="str">
        <f t="array" ref="Y305">INDEX('Primary - GRADING'!$A$1:$CP997,MATCH($A305,'Primary - GRADING'!$CP:$CP,0),22)</f>
        <v>#N/A</v>
      </c>
      <c r="Z305" s="165" t="str">
        <f t="array" ref="Z305">INDEX('Primary - GRADING'!$A$1:$CP997,MATCH($A305,'Primary - GRADING'!$CP:$CP,0),23)</f>
        <v>#N/A</v>
      </c>
      <c r="AA305" s="153" t="str">
        <f t="array" ref="AA305">INDEX('Primary - GRADING'!$A$1:$CP997,MATCH($A305,'Primary - GRADING'!$CP:$CP,0),24)</f>
        <v>#N/A</v>
      </c>
      <c r="AB305" s="153" t="str">
        <f t="array" ref="AB305">INDEX('Primary - GRADING'!$A$1:$CP997,MATCH($A305,'Primary - GRADING'!$CP:$CP,0),25)</f>
        <v>#N/A</v>
      </c>
      <c r="AC305" s="153" t="str">
        <f t="array" ref="AC305">INDEX('Primary - GRADING'!$A$1:$CP997,MATCH($A305,'Primary - GRADING'!$CP:$CP,0),46)</f>
        <v>#N/A</v>
      </c>
      <c r="AG305" s="153" t="str">
        <f t="shared" si="7"/>
        <v>#N/A</v>
      </c>
    </row>
    <row r="306" ht="15.75" customHeight="1">
      <c r="I306" s="153" t="str">
        <f t="array" ref="I306">INDEX('Primary - GRADING'!$A$1:$CP997,MATCH($A306,'Primary - GRADING'!$CP:$CP,0),48)</f>
        <v>#N/A</v>
      </c>
      <c r="J306" s="153" t="str">
        <f t="array" ref="J306">INDEX('Primary - GRADING'!$A$1:$CP997,MATCH($A306,'Primary - GRADING'!$CP:$CP,0),49)</f>
        <v>#N/A</v>
      </c>
      <c r="K306" s="153" t="str">
        <f t="array" ref="K306">INDEX('Primary - GRADING'!$A$1:$CP997,MATCH($A306,'Primary - GRADING'!$CP:$CP,0),50)</f>
        <v>#N/A</v>
      </c>
      <c r="L306" s="153" t="str">
        <f t="array" ref="L306">INDEX('Primary - GRADING'!$A$1:$CP997,MATCH($A306,'Primary - GRADING'!$CP:$CP,0),51)</f>
        <v>#N/A</v>
      </c>
      <c r="M306" s="153" t="str">
        <f t="array" ref="M306">INDEX('Primary - GRADING'!$A$1:$CP997,MATCH($A306,'Primary - GRADING'!$CP:$CP,0),52)</f>
        <v>#N/A</v>
      </c>
      <c r="N306" s="153" t="str">
        <f t="array" ref="N306">INDEX('Primary - GRADING'!$A$1:$CP997,MATCH($A306,'Primary - GRADING'!$CP:$CP,0),53)</f>
        <v>#N/A</v>
      </c>
      <c r="V306" s="153" t="str">
        <f t="array" ref="V306">INDEX('Primary - GRADING'!$A$1:$CP997,MATCH($A306,'Primary - GRADING'!$CP:$CP,0),18)</f>
        <v>#N/A</v>
      </c>
      <c r="W306" s="153" t="str">
        <f t="array" ref="W306">INDEX('Primary - GRADING'!$A$1:$CP997,MATCH($A306,'Primary - GRADING'!$CP:$CP,0),20)</f>
        <v>#N/A</v>
      </c>
      <c r="X306" s="153" t="str">
        <f t="array" ref="X306">INDEX('Primary - GRADING'!$A$1:$CP997,MATCH($A306,'Primary - GRADING'!$CP:$CP,0),21)</f>
        <v>#N/A</v>
      </c>
      <c r="Y306" s="153" t="str">
        <f t="array" ref="Y306">INDEX('Primary - GRADING'!$A$1:$CP997,MATCH($A306,'Primary - GRADING'!$CP:$CP,0),22)</f>
        <v>#N/A</v>
      </c>
      <c r="Z306" s="165" t="str">
        <f t="array" ref="Z306">INDEX('Primary - GRADING'!$A$1:$CP997,MATCH($A306,'Primary - GRADING'!$CP:$CP,0),23)</f>
        <v>#N/A</v>
      </c>
      <c r="AA306" s="153" t="str">
        <f t="array" ref="AA306">INDEX('Primary - GRADING'!$A$1:$CP997,MATCH($A306,'Primary - GRADING'!$CP:$CP,0),24)</f>
        <v>#N/A</v>
      </c>
      <c r="AB306" s="153" t="str">
        <f t="array" ref="AB306">INDEX('Primary - GRADING'!$A$1:$CP997,MATCH($A306,'Primary - GRADING'!$CP:$CP,0),25)</f>
        <v>#N/A</v>
      </c>
      <c r="AC306" s="153" t="str">
        <f t="array" ref="AC306">INDEX('Primary - GRADING'!$A$1:$CP997,MATCH($A306,'Primary - GRADING'!$CP:$CP,0),46)</f>
        <v>#N/A</v>
      </c>
      <c r="AG306" s="153" t="str">
        <f t="shared" si="7"/>
        <v>#N/A</v>
      </c>
    </row>
    <row r="307" ht="15.75" customHeight="1">
      <c r="I307" s="153" t="str">
        <f t="array" ref="I307">INDEX('Primary - GRADING'!$A$1:$CP997,MATCH($A307,'Primary - GRADING'!$CP:$CP,0),48)</f>
        <v>#N/A</v>
      </c>
      <c r="J307" s="153" t="str">
        <f t="array" ref="J307">INDEX('Primary - GRADING'!$A$1:$CP997,MATCH($A307,'Primary - GRADING'!$CP:$CP,0),49)</f>
        <v>#N/A</v>
      </c>
      <c r="K307" s="153" t="str">
        <f t="array" ref="K307">INDEX('Primary - GRADING'!$A$1:$CP997,MATCH($A307,'Primary - GRADING'!$CP:$CP,0),50)</f>
        <v>#N/A</v>
      </c>
      <c r="L307" s="153" t="str">
        <f t="array" ref="L307">INDEX('Primary - GRADING'!$A$1:$CP997,MATCH($A307,'Primary - GRADING'!$CP:$CP,0),51)</f>
        <v>#N/A</v>
      </c>
      <c r="M307" s="153" t="str">
        <f t="array" ref="M307">INDEX('Primary - GRADING'!$A$1:$CP997,MATCH($A307,'Primary - GRADING'!$CP:$CP,0),52)</f>
        <v>#N/A</v>
      </c>
      <c r="N307" s="153" t="str">
        <f t="array" ref="N307">INDEX('Primary - GRADING'!$A$1:$CP997,MATCH($A307,'Primary - GRADING'!$CP:$CP,0),53)</f>
        <v>#N/A</v>
      </c>
      <c r="V307" s="153" t="str">
        <f t="array" ref="V307">INDEX('Primary - GRADING'!$A$1:$CP997,MATCH($A307,'Primary - GRADING'!$CP:$CP,0),18)</f>
        <v>#N/A</v>
      </c>
      <c r="W307" s="153" t="str">
        <f t="array" ref="W307">INDEX('Primary - GRADING'!$A$1:$CP997,MATCH($A307,'Primary - GRADING'!$CP:$CP,0),20)</f>
        <v>#N/A</v>
      </c>
      <c r="X307" s="153" t="str">
        <f t="array" ref="X307">INDEX('Primary - GRADING'!$A$1:$CP997,MATCH($A307,'Primary - GRADING'!$CP:$CP,0),21)</f>
        <v>#N/A</v>
      </c>
      <c r="Y307" s="153" t="str">
        <f t="array" ref="Y307">INDEX('Primary - GRADING'!$A$1:$CP997,MATCH($A307,'Primary - GRADING'!$CP:$CP,0),22)</f>
        <v>#N/A</v>
      </c>
      <c r="Z307" s="165" t="str">
        <f t="array" ref="Z307">INDEX('Primary - GRADING'!$A$1:$CP997,MATCH($A307,'Primary - GRADING'!$CP:$CP,0),23)</f>
        <v>#N/A</v>
      </c>
      <c r="AA307" s="153" t="str">
        <f t="array" ref="AA307">INDEX('Primary - GRADING'!$A$1:$CP997,MATCH($A307,'Primary - GRADING'!$CP:$CP,0),24)</f>
        <v>#N/A</v>
      </c>
      <c r="AB307" s="153" t="str">
        <f t="array" ref="AB307">INDEX('Primary - GRADING'!$A$1:$CP997,MATCH($A307,'Primary - GRADING'!$CP:$CP,0),25)</f>
        <v>#N/A</v>
      </c>
      <c r="AC307" s="153" t="str">
        <f t="array" ref="AC307">INDEX('Primary - GRADING'!$A$1:$CP997,MATCH($A307,'Primary - GRADING'!$CP:$CP,0),46)</f>
        <v>#N/A</v>
      </c>
      <c r="AG307" s="153" t="str">
        <f t="shared" si="7"/>
        <v>#N/A</v>
      </c>
    </row>
    <row r="308" ht="15.75" customHeight="1">
      <c r="I308" s="153" t="str">
        <f t="array" ref="I308">INDEX('Primary - GRADING'!$A$1:$CP997,MATCH($A308,'Primary - GRADING'!$CP:$CP,0),48)</f>
        <v>#N/A</v>
      </c>
      <c r="J308" s="153" t="str">
        <f t="array" ref="J308">INDEX('Primary - GRADING'!$A$1:$CP997,MATCH($A308,'Primary - GRADING'!$CP:$CP,0),49)</f>
        <v>#N/A</v>
      </c>
      <c r="K308" s="153" t="str">
        <f t="array" ref="K308">INDEX('Primary - GRADING'!$A$1:$CP997,MATCH($A308,'Primary - GRADING'!$CP:$CP,0),50)</f>
        <v>#N/A</v>
      </c>
      <c r="L308" s="153" t="str">
        <f t="array" ref="L308">INDEX('Primary - GRADING'!$A$1:$CP997,MATCH($A308,'Primary - GRADING'!$CP:$CP,0),51)</f>
        <v>#N/A</v>
      </c>
      <c r="M308" s="153" t="str">
        <f t="array" ref="M308">INDEX('Primary - GRADING'!$A$1:$CP997,MATCH($A308,'Primary - GRADING'!$CP:$CP,0),52)</f>
        <v>#N/A</v>
      </c>
      <c r="N308" s="153" t="str">
        <f t="array" ref="N308">INDEX('Primary - GRADING'!$A$1:$CP997,MATCH($A308,'Primary - GRADING'!$CP:$CP,0),53)</f>
        <v>#N/A</v>
      </c>
      <c r="V308" s="153" t="str">
        <f t="array" ref="V308">INDEX('Primary - GRADING'!$A$1:$CP997,MATCH($A308,'Primary - GRADING'!$CP:$CP,0),18)</f>
        <v>#N/A</v>
      </c>
      <c r="W308" s="153" t="str">
        <f t="array" ref="W308">INDEX('Primary - GRADING'!$A$1:$CP997,MATCH($A308,'Primary - GRADING'!$CP:$CP,0),20)</f>
        <v>#N/A</v>
      </c>
      <c r="X308" s="153" t="str">
        <f t="array" ref="X308">INDEX('Primary - GRADING'!$A$1:$CP997,MATCH($A308,'Primary - GRADING'!$CP:$CP,0),21)</f>
        <v>#N/A</v>
      </c>
      <c r="Y308" s="153" t="str">
        <f t="array" ref="Y308">INDEX('Primary - GRADING'!$A$1:$CP997,MATCH($A308,'Primary - GRADING'!$CP:$CP,0),22)</f>
        <v>#N/A</v>
      </c>
      <c r="Z308" s="165" t="str">
        <f t="array" ref="Z308">INDEX('Primary - GRADING'!$A$1:$CP997,MATCH($A308,'Primary - GRADING'!$CP:$CP,0),23)</f>
        <v>#N/A</v>
      </c>
      <c r="AA308" s="153" t="str">
        <f t="array" ref="AA308">INDEX('Primary - GRADING'!$A$1:$CP997,MATCH($A308,'Primary - GRADING'!$CP:$CP,0),24)</f>
        <v>#N/A</v>
      </c>
      <c r="AB308" s="153" t="str">
        <f t="array" ref="AB308">INDEX('Primary - GRADING'!$A$1:$CP997,MATCH($A308,'Primary - GRADING'!$CP:$CP,0),25)</f>
        <v>#N/A</v>
      </c>
      <c r="AC308" s="153" t="str">
        <f t="array" ref="AC308">INDEX('Primary - GRADING'!$A$1:$CP997,MATCH($A308,'Primary - GRADING'!$CP:$CP,0),46)</f>
        <v>#N/A</v>
      </c>
      <c r="AG308" s="153" t="str">
        <f t="shared" si="7"/>
        <v>#N/A</v>
      </c>
    </row>
    <row r="309" ht="15.75" customHeight="1">
      <c r="I309" s="153" t="str">
        <f t="array" ref="I309">INDEX('Primary - GRADING'!$A$1:$CP997,MATCH($A309,'Primary - GRADING'!$CP:$CP,0),48)</f>
        <v>#N/A</v>
      </c>
      <c r="J309" s="153" t="str">
        <f t="array" ref="J309">INDEX('Primary - GRADING'!$A$1:$CP997,MATCH($A309,'Primary - GRADING'!$CP:$CP,0),49)</f>
        <v>#N/A</v>
      </c>
      <c r="K309" s="153" t="str">
        <f t="array" ref="K309">INDEX('Primary - GRADING'!$A$1:$CP997,MATCH($A309,'Primary - GRADING'!$CP:$CP,0),50)</f>
        <v>#N/A</v>
      </c>
      <c r="L309" s="153" t="str">
        <f t="array" ref="L309">INDEX('Primary - GRADING'!$A$1:$CP997,MATCH($A309,'Primary - GRADING'!$CP:$CP,0),51)</f>
        <v>#N/A</v>
      </c>
      <c r="M309" s="153" t="str">
        <f t="array" ref="M309">INDEX('Primary - GRADING'!$A$1:$CP997,MATCH($A309,'Primary - GRADING'!$CP:$CP,0),52)</f>
        <v>#N/A</v>
      </c>
      <c r="N309" s="153" t="str">
        <f t="array" ref="N309">INDEX('Primary - GRADING'!$A$1:$CP997,MATCH($A309,'Primary - GRADING'!$CP:$CP,0),53)</f>
        <v>#N/A</v>
      </c>
      <c r="V309" s="153" t="str">
        <f t="array" ref="V309">INDEX('Primary - GRADING'!$A$1:$CP997,MATCH($A309,'Primary - GRADING'!$CP:$CP,0),18)</f>
        <v>#N/A</v>
      </c>
      <c r="W309" s="153" t="str">
        <f t="array" ref="W309">INDEX('Primary - GRADING'!$A$1:$CP997,MATCH($A309,'Primary - GRADING'!$CP:$CP,0),20)</f>
        <v>#N/A</v>
      </c>
      <c r="X309" s="153" t="str">
        <f t="array" ref="X309">INDEX('Primary - GRADING'!$A$1:$CP997,MATCH($A309,'Primary - GRADING'!$CP:$CP,0),21)</f>
        <v>#N/A</v>
      </c>
      <c r="Y309" s="153" t="str">
        <f t="array" ref="Y309">INDEX('Primary - GRADING'!$A$1:$CP997,MATCH($A309,'Primary - GRADING'!$CP:$CP,0),22)</f>
        <v>#N/A</v>
      </c>
      <c r="Z309" s="165" t="str">
        <f t="array" ref="Z309">INDEX('Primary - GRADING'!$A$1:$CP997,MATCH($A309,'Primary - GRADING'!$CP:$CP,0),23)</f>
        <v>#N/A</v>
      </c>
      <c r="AA309" s="153" t="str">
        <f t="array" ref="AA309">INDEX('Primary - GRADING'!$A$1:$CP997,MATCH($A309,'Primary - GRADING'!$CP:$CP,0),24)</f>
        <v>#N/A</v>
      </c>
      <c r="AB309" s="153" t="str">
        <f t="array" ref="AB309">INDEX('Primary - GRADING'!$A$1:$CP997,MATCH($A309,'Primary - GRADING'!$CP:$CP,0),25)</f>
        <v>#N/A</v>
      </c>
      <c r="AC309" s="153" t="str">
        <f t="array" ref="AC309">INDEX('Primary - GRADING'!$A$1:$CP997,MATCH($A309,'Primary - GRADING'!$CP:$CP,0),46)</f>
        <v>#N/A</v>
      </c>
      <c r="AG309" s="153" t="str">
        <f t="shared" si="7"/>
        <v>#N/A</v>
      </c>
    </row>
    <row r="310" ht="15.75" customHeight="1">
      <c r="I310" s="153" t="str">
        <f t="array" ref="I310">INDEX('Primary - GRADING'!$A$1:$CP997,MATCH($A310,'Primary - GRADING'!$CP:$CP,0),48)</f>
        <v>#N/A</v>
      </c>
      <c r="J310" s="153" t="str">
        <f t="array" ref="J310">INDEX('Primary - GRADING'!$A$1:$CP997,MATCH($A310,'Primary - GRADING'!$CP:$CP,0),49)</f>
        <v>#N/A</v>
      </c>
      <c r="K310" s="153" t="str">
        <f t="array" ref="K310">INDEX('Primary - GRADING'!$A$1:$CP997,MATCH($A310,'Primary - GRADING'!$CP:$CP,0),50)</f>
        <v>#N/A</v>
      </c>
      <c r="L310" s="153" t="str">
        <f t="array" ref="L310">INDEX('Primary - GRADING'!$A$1:$CP997,MATCH($A310,'Primary - GRADING'!$CP:$CP,0),51)</f>
        <v>#N/A</v>
      </c>
      <c r="M310" s="153" t="str">
        <f t="array" ref="M310">INDEX('Primary - GRADING'!$A$1:$CP997,MATCH($A310,'Primary - GRADING'!$CP:$CP,0),52)</f>
        <v>#N/A</v>
      </c>
      <c r="N310" s="153" t="str">
        <f t="array" ref="N310">INDEX('Primary - GRADING'!$A$1:$CP997,MATCH($A310,'Primary - GRADING'!$CP:$CP,0),53)</f>
        <v>#N/A</v>
      </c>
      <c r="V310" s="153" t="str">
        <f t="array" ref="V310">INDEX('Primary - GRADING'!$A$1:$CP997,MATCH($A310,'Primary - GRADING'!$CP:$CP,0),18)</f>
        <v>#N/A</v>
      </c>
      <c r="W310" s="153" t="str">
        <f t="array" ref="W310">INDEX('Primary - GRADING'!$A$1:$CP997,MATCH($A310,'Primary - GRADING'!$CP:$CP,0),20)</f>
        <v>#N/A</v>
      </c>
      <c r="X310" s="153" t="str">
        <f t="array" ref="X310">INDEX('Primary - GRADING'!$A$1:$CP997,MATCH($A310,'Primary - GRADING'!$CP:$CP,0),21)</f>
        <v>#N/A</v>
      </c>
      <c r="Y310" s="153" t="str">
        <f t="array" ref="Y310">INDEX('Primary - GRADING'!$A$1:$CP997,MATCH($A310,'Primary - GRADING'!$CP:$CP,0),22)</f>
        <v>#N/A</v>
      </c>
      <c r="Z310" s="165" t="str">
        <f t="array" ref="Z310">INDEX('Primary - GRADING'!$A$1:$CP997,MATCH($A310,'Primary - GRADING'!$CP:$CP,0),23)</f>
        <v>#N/A</v>
      </c>
      <c r="AA310" s="153" t="str">
        <f t="array" ref="AA310">INDEX('Primary - GRADING'!$A$1:$CP997,MATCH($A310,'Primary - GRADING'!$CP:$CP,0),24)</f>
        <v>#N/A</v>
      </c>
      <c r="AB310" s="153" t="str">
        <f t="array" ref="AB310">INDEX('Primary - GRADING'!$A$1:$CP997,MATCH($A310,'Primary - GRADING'!$CP:$CP,0),25)</f>
        <v>#N/A</v>
      </c>
      <c r="AC310" s="153" t="str">
        <f t="array" ref="AC310">INDEX('Primary - GRADING'!$A$1:$CP997,MATCH($A310,'Primary - GRADING'!$CP:$CP,0),46)</f>
        <v>#N/A</v>
      </c>
      <c r="AG310" s="153" t="str">
        <f t="shared" si="7"/>
        <v>#N/A</v>
      </c>
    </row>
    <row r="311" ht="15.75" customHeight="1">
      <c r="I311" s="153" t="str">
        <f t="array" ref="I311">INDEX('Primary - GRADING'!$A$1:$CP997,MATCH($A311,'Primary - GRADING'!$CP:$CP,0),48)</f>
        <v>#N/A</v>
      </c>
      <c r="J311" s="153" t="str">
        <f t="array" ref="J311">INDEX('Primary - GRADING'!$A$1:$CP997,MATCH($A311,'Primary - GRADING'!$CP:$CP,0),49)</f>
        <v>#N/A</v>
      </c>
      <c r="K311" s="153" t="str">
        <f t="array" ref="K311">INDEX('Primary - GRADING'!$A$1:$CP997,MATCH($A311,'Primary - GRADING'!$CP:$CP,0),50)</f>
        <v>#N/A</v>
      </c>
      <c r="L311" s="153" t="str">
        <f t="array" ref="L311">INDEX('Primary - GRADING'!$A$1:$CP997,MATCH($A311,'Primary - GRADING'!$CP:$CP,0),51)</f>
        <v>#N/A</v>
      </c>
      <c r="M311" s="153" t="str">
        <f t="array" ref="M311">INDEX('Primary - GRADING'!$A$1:$CP997,MATCH($A311,'Primary - GRADING'!$CP:$CP,0),52)</f>
        <v>#N/A</v>
      </c>
      <c r="N311" s="153" t="str">
        <f t="array" ref="N311">INDEX('Primary - GRADING'!$A$1:$CP997,MATCH($A311,'Primary - GRADING'!$CP:$CP,0),53)</f>
        <v>#N/A</v>
      </c>
      <c r="V311" s="153" t="str">
        <f t="array" ref="V311">INDEX('Primary - GRADING'!$A$1:$CP997,MATCH($A311,'Primary - GRADING'!$CP:$CP,0),18)</f>
        <v>#N/A</v>
      </c>
      <c r="W311" s="153" t="str">
        <f t="array" ref="W311">INDEX('Primary - GRADING'!$A$1:$CP997,MATCH($A311,'Primary - GRADING'!$CP:$CP,0),20)</f>
        <v>#N/A</v>
      </c>
      <c r="X311" s="153" t="str">
        <f t="array" ref="X311">INDEX('Primary - GRADING'!$A$1:$CP997,MATCH($A311,'Primary - GRADING'!$CP:$CP,0),21)</f>
        <v>#N/A</v>
      </c>
      <c r="Y311" s="153" t="str">
        <f t="array" ref="Y311">INDEX('Primary - GRADING'!$A$1:$CP997,MATCH($A311,'Primary - GRADING'!$CP:$CP,0),22)</f>
        <v>#N/A</v>
      </c>
      <c r="Z311" s="165" t="str">
        <f t="array" ref="Z311">INDEX('Primary - GRADING'!$A$1:$CP997,MATCH($A311,'Primary - GRADING'!$CP:$CP,0),23)</f>
        <v>#N/A</v>
      </c>
      <c r="AA311" s="153" t="str">
        <f t="array" ref="AA311">INDEX('Primary - GRADING'!$A$1:$CP997,MATCH($A311,'Primary - GRADING'!$CP:$CP,0),24)</f>
        <v>#N/A</v>
      </c>
      <c r="AB311" s="153" t="str">
        <f t="array" ref="AB311">INDEX('Primary - GRADING'!$A$1:$CP997,MATCH($A311,'Primary - GRADING'!$CP:$CP,0),25)</f>
        <v>#N/A</v>
      </c>
      <c r="AC311" s="153" t="str">
        <f t="array" ref="AC311">INDEX('Primary - GRADING'!$A$1:$CP997,MATCH($A311,'Primary - GRADING'!$CP:$CP,0),46)</f>
        <v>#N/A</v>
      </c>
      <c r="AG311" s="153" t="str">
        <f t="shared" si="7"/>
        <v>#N/A</v>
      </c>
    </row>
    <row r="312" ht="15.75" customHeight="1">
      <c r="I312" s="153" t="str">
        <f t="array" ref="I312">INDEX('Primary - GRADING'!$A$1:$CP997,MATCH($A312,'Primary - GRADING'!$CP:$CP,0),48)</f>
        <v>#N/A</v>
      </c>
      <c r="J312" s="153" t="str">
        <f t="array" ref="J312">INDEX('Primary - GRADING'!$A$1:$CP997,MATCH($A312,'Primary - GRADING'!$CP:$CP,0),49)</f>
        <v>#N/A</v>
      </c>
      <c r="K312" s="153" t="str">
        <f t="array" ref="K312">INDEX('Primary - GRADING'!$A$1:$CP997,MATCH($A312,'Primary - GRADING'!$CP:$CP,0),50)</f>
        <v>#N/A</v>
      </c>
      <c r="L312" s="153" t="str">
        <f t="array" ref="L312">INDEX('Primary - GRADING'!$A$1:$CP997,MATCH($A312,'Primary - GRADING'!$CP:$CP,0),51)</f>
        <v>#N/A</v>
      </c>
      <c r="M312" s="153" t="str">
        <f t="array" ref="M312">INDEX('Primary - GRADING'!$A$1:$CP997,MATCH($A312,'Primary - GRADING'!$CP:$CP,0),52)</f>
        <v>#N/A</v>
      </c>
      <c r="N312" s="153" t="str">
        <f t="array" ref="N312">INDEX('Primary - GRADING'!$A$1:$CP997,MATCH($A312,'Primary - GRADING'!$CP:$CP,0),53)</f>
        <v>#N/A</v>
      </c>
      <c r="V312" s="153" t="str">
        <f t="array" ref="V312">INDEX('Primary - GRADING'!$A$1:$CP997,MATCH($A312,'Primary - GRADING'!$CP:$CP,0),18)</f>
        <v>#N/A</v>
      </c>
      <c r="AC312" s="153" t="str">
        <f t="array" ref="AC312">INDEX('Primary - GRADING'!$A$1:$CP997,MATCH($A312,'Primary - GRADING'!$CP:$CP,0),46)</f>
        <v>#N/A</v>
      </c>
      <c r="AG312" s="153" t="str">
        <f t="shared" si="7"/>
        <v>#N/A</v>
      </c>
    </row>
    <row r="313" ht="15.75" customHeight="1">
      <c r="I313" s="153" t="str">
        <f t="array" ref="I313">INDEX('Primary - GRADING'!$A$1:$CP997,MATCH($A313,'Primary - GRADING'!$CP:$CP,0),48)</f>
        <v>#N/A</v>
      </c>
      <c r="J313" s="153" t="str">
        <f t="array" ref="J313">INDEX('Primary - GRADING'!$A$1:$CP997,MATCH($A313,'Primary - GRADING'!$CP:$CP,0),49)</f>
        <v>#N/A</v>
      </c>
      <c r="K313" s="153" t="str">
        <f t="array" ref="K313">INDEX('Primary - GRADING'!$A$1:$CP997,MATCH($A313,'Primary - GRADING'!$CP:$CP,0),50)</f>
        <v>#N/A</v>
      </c>
      <c r="L313" s="153" t="str">
        <f t="array" ref="L313">INDEX('Primary - GRADING'!$A$1:$CP997,MATCH($A313,'Primary - GRADING'!$CP:$CP,0),51)</f>
        <v>#N/A</v>
      </c>
      <c r="M313" s="153" t="str">
        <f t="array" ref="M313">INDEX('Primary - GRADING'!$A$1:$CP997,MATCH($A313,'Primary - GRADING'!$CP:$CP,0),52)</f>
        <v>#N/A</v>
      </c>
      <c r="N313" s="153" t="str">
        <f t="array" ref="N313">INDEX('Primary - GRADING'!$A$1:$CP997,MATCH($A313,'Primary - GRADING'!$CP:$CP,0),53)</f>
        <v>#N/A</v>
      </c>
      <c r="V313" s="153" t="str">
        <f t="array" ref="V313">INDEX('Primary - GRADING'!$A$1:$CP997,MATCH($A313,'Primary - GRADING'!$CP:$CP,0),18)</f>
        <v>#N/A</v>
      </c>
      <c r="AC313" s="153" t="str">
        <f t="array" ref="AC313">INDEX('Primary - GRADING'!$A$1:$CP997,MATCH($A313,'Primary - GRADING'!$CP:$CP,0),46)</f>
        <v>#N/A</v>
      </c>
      <c r="AG313" s="153" t="str">
        <f t="shared" si="7"/>
        <v>#N/A</v>
      </c>
    </row>
    <row r="314" ht="15.75" customHeight="1">
      <c r="I314" s="153" t="str">
        <f t="array" ref="I314">INDEX('Primary - GRADING'!$A$1:$CP997,MATCH($A314,'Primary - GRADING'!$CP:$CP,0),48)</f>
        <v>#N/A</v>
      </c>
      <c r="J314" s="153" t="str">
        <f t="array" ref="J314">INDEX('Primary - GRADING'!$A$1:$CP997,MATCH($A314,'Primary - GRADING'!$CP:$CP,0),49)</f>
        <v>#N/A</v>
      </c>
      <c r="K314" s="153" t="str">
        <f t="array" ref="K314">INDEX('Primary - GRADING'!$A$1:$CP997,MATCH($A314,'Primary - GRADING'!$CP:$CP,0),50)</f>
        <v>#N/A</v>
      </c>
      <c r="L314" s="153" t="str">
        <f t="array" ref="L314">INDEX('Primary - GRADING'!$A$1:$CP997,MATCH($A314,'Primary - GRADING'!$CP:$CP,0),51)</f>
        <v>#N/A</v>
      </c>
      <c r="M314" s="153" t="str">
        <f t="array" ref="M314">INDEX('Primary - GRADING'!$A$1:$CP997,MATCH($A314,'Primary - GRADING'!$CP:$CP,0),52)</f>
        <v>#N/A</v>
      </c>
      <c r="N314" s="153" t="str">
        <f t="array" ref="N314">INDEX('Primary - GRADING'!$A$1:$CP997,MATCH($A314,'Primary - GRADING'!$CP:$CP,0),53)</f>
        <v>#N/A</v>
      </c>
      <c r="V314" s="153" t="str">
        <f t="array" ref="V314">INDEX('Primary - GRADING'!$A$1:$CP997,MATCH($A314,'Primary - GRADING'!$CP:$CP,0),18)</f>
        <v>#N/A</v>
      </c>
      <c r="AC314" s="153" t="str">
        <f t="array" ref="AC314">INDEX('Primary - GRADING'!$A$1:$CP997,MATCH($A314,'Primary - GRADING'!$CP:$CP,0),46)</f>
        <v>#N/A</v>
      </c>
      <c r="AG314" s="153" t="str">
        <f t="shared" si="7"/>
        <v>#N/A</v>
      </c>
    </row>
    <row r="315" ht="15.75" customHeight="1">
      <c r="I315" s="153" t="str">
        <f t="array" ref="I315">INDEX('Primary - GRADING'!$A$1:$CP997,MATCH($A315,'Primary - GRADING'!$CP:$CP,0),48)</f>
        <v>#N/A</v>
      </c>
      <c r="J315" s="153" t="str">
        <f t="array" ref="J315">INDEX('Primary - GRADING'!$A$1:$CP997,MATCH($A315,'Primary - GRADING'!$CP:$CP,0),49)</f>
        <v>#N/A</v>
      </c>
      <c r="K315" s="153" t="str">
        <f t="array" ref="K315">INDEX('Primary - GRADING'!$A$1:$CP997,MATCH($A315,'Primary - GRADING'!$CP:$CP,0),50)</f>
        <v>#N/A</v>
      </c>
      <c r="L315" s="153" t="str">
        <f t="array" ref="L315">INDEX('Primary - GRADING'!$A$1:$CP997,MATCH($A315,'Primary - GRADING'!$CP:$CP,0),51)</f>
        <v>#N/A</v>
      </c>
      <c r="M315" s="153" t="str">
        <f t="array" ref="M315">INDEX('Primary - GRADING'!$A$1:$CP997,MATCH($A315,'Primary - GRADING'!$CP:$CP,0),52)</f>
        <v>#N/A</v>
      </c>
      <c r="N315" s="153" t="str">
        <f t="array" ref="N315">INDEX('Primary - GRADING'!$A$1:$CP997,MATCH($A315,'Primary - GRADING'!$CP:$CP,0),53)</f>
        <v>#N/A</v>
      </c>
      <c r="V315" s="153" t="str">
        <f t="array" ref="V315">INDEX('Primary - GRADING'!$A$1:$CP997,MATCH($A315,'Primary - GRADING'!$CP:$CP,0),18)</f>
        <v>#N/A</v>
      </c>
      <c r="AC315" s="153" t="str">
        <f t="array" ref="AC315">INDEX('Primary - GRADING'!$A$1:$CP997,MATCH($A315,'Primary - GRADING'!$CP:$CP,0),46)</f>
        <v>#N/A</v>
      </c>
      <c r="AG315" s="153" t="str">
        <f t="shared" si="7"/>
        <v>#N/A</v>
      </c>
    </row>
    <row r="316" ht="15.75" customHeight="1">
      <c r="I316" s="153" t="str">
        <f t="array" ref="I316">INDEX('Primary - GRADING'!$A$1:$CP997,MATCH($A316,'Primary - GRADING'!$CP:$CP,0),48)</f>
        <v>#N/A</v>
      </c>
      <c r="J316" s="153" t="str">
        <f t="array" ref="J316">INDEX('Primary - GRADING'!$A$1:$CP997,MATCH($A316,'Primary - GRADING'!$CP:$CP,0),49)</f>
        <v>#N/A</v>
      </c>
      <c r="K316" s="153" t="str">
        <f t="array" ref="K316">INDEX('Primary - GRADING'!$A$1:$CP997,MATCH($A316,'Primary - GRADING'!$CP:$CP,0),50)</f>
        <v>#N/A</v>
      </c>
      <c r="L316" s="153" t="str">
        <f t="array" ref="L316">INDEX('Primary - GRADING'!$A$1:$CP997,MATCH($A316,'Primary - GRADING'!$CP:$CP,0),51)</f>
        <v>#N/A</v>
      </c>
      <c r="M316" s="153" t="str">
        <f t="array" ref="M316">INDEX('Primary - GRADING'!$A$1:$CP997,MATCH($A316,'Primary - GRADING'!$CP:$CP,0),52)</f>
        <v>#N/A</v>
      </c>
      <c r="N316" s="153" t="str">
        <f t="array" ref="N316">INDEX('Primary - GRADING'!$A$1:$CP997,MATCH($A316,'Primary - GRADING'!$CP:$CP,0),53)</f>
        <v>#N/A</v>
      </c>
      <c r="V316" s="153" t="str">
        <f t="array" ref="V316">INDEX('Primary - GRADING'!$A$1:$CP997,MATCH($A316,'Primary - GRADING'!$CP:$CP,0),18)</f>
        <v>#N/A</v>
      </c>
      <c r="AC316" s="153" t="str">
        <f t="array" ref="AC316">INDEX('Primary - GRADING'!$A$1:$CP997,MATCH($A316,'Primary - GRADING'!$CP:$CP,0),46)</f>
        <v>#N/A</v>
      </c>
      <c r="AG316" s="153" t="str">
        <f t="shared" si="7"/>
        <v>#N/A</v>
      </c>
    </row>
    <row r="317" ht="15.75" customHeight="1">
      <c r="I317" s="153" t="str">
        <f t="array" ref="I317">INDEX('Primary - GRADING'!$A$1:$CP997,MATCH($A317,'Primary - GRADING'!$CP:$CP,0),48)</f>
        <v>#N/A</v>
      </c>
      <c r="J317" s="153" t="str">
        <f t="array" ref="J317">INDEX('Primary - GRADING'!$A$1:$CP997,MATCH($A317,'Primary - GRADING'!$CP:$CP,0),49)</f>
        <v>#N/A</v>
      </c>
      <c r="K317" s="153" t="str">
        <f t="array" ref="K317">INDEX('Primary - GRADING'!$A$1:$CP997,MATCH($A317,'Primary - GRADING'!$CP:$CP,0),50)</f>
        <v>#N/A</v>
      </c>
      <c r="L317" s="153" t="str">
        <f t="array" ref="L317">INDEX('Primary - GRADING'!$A$1:$CP997,MATCH($A317,'Primary - GRADING'!$CP:$CP,0),51)</f>
        <v>#N/A</v>
      </c>
      <c r="M317" s="153" t="str">
        <f t="array" ref="M317">INDEX('Primary - GRADING'!$A$1:$CP997,MATCH($A317,'Primary - GRADING'!$CP:$CP,0),52)</f>
        <v>#N/A</v>
      </c>
      <c r="N317" s="153" t="str">
        <f t="array" ref="N317">INDEX('Primary - GRADING'!$A$1:$CP997,MATCH($A317,'Primary - GRADING'!$CP:$CP,0),53)</f>
        <v>#N/A</v>
      </c>
      <c r="V317" s="153" t="str">
        <f t="array" ref="V317">INDEX('Primary - GRADING'!$A$1:$CP997,MATCH($A317,'Primary - GRADING'!$CP:$CP,0),18)</f>
        <v>#N/A</v>
      </c>
      <c r="AG317" s="153" t="str">
        <f t="shared" si="7"/>
        <v>#N/A</v>
      </c>
    </row>
    <row r="318" ht="15.75" customHeight="1">
      <c r="I318" s="153" t="str">
        <f t="array" ref="I318">INDEX('Primary - GRADING'!$A$1:$CP997,MATCH($A318,'Primary - GRADING'!$CP:$CP,0),48)</f>
        <v>#N/A</v>
      </c>
      <c r="J318" s="153" t="str">
        <f t="array" ref="J318">INDEX('Primary - GRADING'!$A$1:$CP997,MATCH($A318,'Primary - GRADING'!$CP:$CP,0),49)</f>
        <v>#N/A</v>
      </c>
      <c r="K318" s="153" t="str">
        <f t="array" ref="K318">INDEX('Primary - GRADING'!$A$1:$CP997,MATCH($A318,'Primary - GRADING'!$CP:$CP,0),50)</f>
        <v>#N/A</v>
      </c>
      <c r="L318" s="153" t="str">
        <f t="array" ref="L318">INDEX('Primary - GRADING'!$A$1:$CP997,MATCH($A318,'Primary - GRADING'!$CP:$CP,0),51)</f>
        <v>#N/A</v>
      </c>
      <c r="M318" s="153" t="str">
        <f t="array" ref="M318">INDEX('Primary - GRADING'!$A$1:$CP997,MATCH($A318,'Primary - GRADING'!$CP:$CP,0),52)</f>
        <v>#N/A</v>
      </c>
      <c r="N318" s="153" t="str">
        <f t="array" ref="N318">INDEX('Primary - GRADING'!$A$1:$CP997,MATCH($A318,'Primary - GRADING'!$CP:$CP,0),53)</f>
        <v>#N/A</v>
      </c>
      <c r="V318" s="153" t="str">
        <f t="array" ref="V318">INDEX('Primary - GRADING'!$A$1:$CP997,MATCH($A318,'Primary - GRADING'!$CP:$CP,0),18)</f>
        <v>#N/A</v>
      </c>
      <c r="AG318" s="153" t="str">
        <f t="shared" si="7"/>
        <v>#N/A</v>
      </c>
    </row>
    <row r="319" ht="15.75" customHeight="1">
      <c r="I319" s="153" t="str">
        <f t="array" ref="I319">INDEX('Primary - GRADING'!$A$1:$CP997,MATCH($A319,'Primary - GRADING'!$CP:$CP,0),48)</f>
        <v>#N/A</v>
      </c>
      <c r="J319" s="153" t="str">
        <f t="array" ref="J319">INDEX('Primary - GRADING'!$A$1:$CP997,MATCH($A319,'Primary - GRADING'!$CP:$CP,0),49)</f>
        <v>#N/A</v>
      </c>
      <c r="K319" s="153" t="str">
        <f t="array" ref="K319">INDEX('Primary - GRADING'!$A$1:$CP997,MATCH($A319,'Primary - GRADING'!$CP:$CP,0),50)</f>
        <v>#N/A</v>
      </c>
      <c r="L319" s="153" t="str">
        <f t="array" ref="L319">INDEX('Primary - GRADING'!$A$1:$CP997,MATCH($A319,'Primary - GRADING'!$CP:$CP,0),51)</f>
        <v>#N/A</v>
      </c>
      <c r="M319" s="153" t="str">
        <f t="array" ref="M319">INDEX('Primary - GRADING'!$A$1:$CP997,MATCH($A319,'Primary - GRADING'!$CP:$CP,0),52)</f>
        <v>#N/A</v>
      </c>
      <c r="N319" s="153" t="str">
        <f t="array" ref="N319">INDEX('Primary - GRADING'!$A$1:$CP997,MATCH($A319,'Primary - GRADING'!$CP:$CP,0),53)</f>
        <v>#N/A</v>
      </c>
      <c r="V319" s="153" t="str">
        <f t="array" ref="V319">INDEX('Primary - GRADING'!$A$1:$CP997,MATCH($A319,'Primary - GRADING'!$CP:$CP,0),18)</f>
        <v>#N/A</v>
      </c>
      <c r="AG319" s="153" t="str">
        <f t="shared" si="7"/>
        <v>#N/A</v>
      </c>
    </row>
    <row r="320" ht="15.75" customHeight="1">
      <c r="I320" s="153" t="str">
        <f t="array" ref="I320">INDEX('Primary - GRADING'!$A$1:$CP997,MATCH($A320,'Primary - GRADING'!$CP:$CP,0),48)</f>
        <v>#N/A</v>
      </c>
      <c r="J320" s="153" t="str">
        <f t="array" ref="J320">INDEX('Primary - GRADING'!$A$1:$CP997,MATCH($A320,'Primary - GRADING'!$CP:$CP,0),49)</f>
        <v>#N/A</v>
      </c>
      <c r="K320" s="153" t="str">
        <f t="array" ref="K320">INDEX('Primary - GRADING'!$A$1:$CP997,MATCH($A320,'Primary - GRADING'!$CP:$CP,0),50)</f>
        <v>#N/A</v>
      </c>
      <c r="L320" s="153" t="str">
        <f t="array" ref="L320">INDEX('Primary - GRADING'!$A$1:$CP997,MATCH($A320,'Primary - GRADING'!$CP:$CP,0),51)</f>
        <v>#N/A</v>
      </c>
      <c r="M320" s="153" t="str">
        <f t="array" ref="M320">INDEX('Primary - GRADING'!$A$1:$CP997,MATCH($A320,'Primary - GRADING'!$CP:$CP,0),52)</f>
        <v>#N/A</v>
      </c>
      <c r="N320" s="153" t="str">
        <f t="array" ref="N320">INDEX('Primary - GRADING'!$A$1:$CP997,MATCH($A320,'Primary - GRADING'!$CP:$CP,0),53)</f>
        <v>#N/A</v>
      </c>
      <c r="V320" s="153" t="str">
        <f t="array" ref="V320">INDEX('Primary - GRADING'!$A$1:$CP997,MATCH($A320,'Primary - GRADING'!$CP:$CP,0),18)</f>
        <v>#N/A</v>
      </c>
      <c r="AG320" s="153" t="str">
        <f t="shared" si="7"/>
        <v>#N/A</v>
      </c>
    </row>
    <row r="321" ht="15.75" customHeight="1">
      <c r="I321" s="153" t="str">
        <f t="array" ref="I321">INDEX('Primary - GRADING'!$A$1:$CP997,MATCH($A321,'Primary - GRADING'!$CP:$CP,0),48)</f>
        <v>#N/A</v>
      </c>
      <c r="J321" s="153" t="str">
        <f t="array" ref="J321">INDEX('Primary - GRADING'!$A$1:$CP997,MATCH($A321,'Primary - GRADING'!$CP:$CP,0),49)</f>
        <v>#N/A</v>
      </c>
      <c r="K321" s="153" t="str">
        <f t="array" ref="K321">INDEX('Primary - GRADING'!$A$1:$CP997,MATCH($A321,'Primary - GRADING'!$CP:$CP,0),50)</f>
        <v>#N/A</v>
      </c>
      <c r="L321" s="153" t="str">
        <f t="array" ref="L321">INDEX('Primary - GRADING'!$A$1:$CP997,MATCH($A321,'Primary - GRADING'!$CP:$CP,0),51)</f>
        <v>#N/A</v>
      </c>
      <c r="M321" s="153" t="str">
        <f t="array" ref="M321">INDEX('Primary - GRADING'!$A$1:$CP997,MATCH($A321,'Primary - GRADING'!$CP:$CP,0),52)</f>
        <v>#N/A</v>
      </c>
      <c r="N321" s="153" t="str">
        <f t="array" ref="N321">INDEX('Primary - GRADING'!$A$1:$CP997,MATCH($A321,'Primary - GRADING'!$CP:$CP,0),53)</f>
        <v>#N/A</v>
      </c>
      <c r="V321" s="153" t="str">
        <f t="array" ref="V321">INDEX('Primary - GRADING'!$A$1:$CP997,MATCH($A321,'Primary - GRADING'!$CP:$CP,0),18)</f>
        <v>#N/A</v>
      </c>
      <c r="AG321" s="153" t="str">
        <f t="shared" si="7"/>
        <v>#N/A</v>
      </c>
    </row>
    <row r="322" ht="15.75" customHeight="1">
      <c r="I322" s="153" t="str">
        <f t="array" ref="I322">INDEX('Primary - GRADING'!$A$1:$CP997,MATCH($A322,'Primary - GRADING'!$CP:$CP,0),48)</f>
        <v>#N/A</v>
      </c>
      <c r="J322" s="153" t="str">
        <f t="array" ref="J322">INDEX('Primary - GRADING'!$A$1:$CP997,MATCH($A322,'Primary - GRADING'!$CP:$CP,0),49)</f>
        <v>#N/A</v>
      </c>
      <c r="K322" s="153" t="str">
        <f t="array" ref="K322">INDEX('Primary - GRADING'!$A$1:$CP997,MATCH($A322,'Primary - GRADING'!$CP:$CP,0),50)</f>
        <v>#N/A</v>
      </c>
      <c r="L322" s="153" t="str">
        <f t="array" ref="L322">INDEX('Primary - GRADING'!$A$1:$CP997,MATCH($A322,'Primary - GRADING'!$CP:$CP,0),51)</f>
        <v>#N/A</v>
      </c>
      <c r="M322" s="153" t="str">
        <f t="array" ref="M322">INDEX('Primary - GRADING'!$A$1:$CP997,MATCH($A322,'Primary - GRADING'!$CP:$CP,0),52)</f>
        <v>#N/A</v>
      </c>
      <c r="N322" s="153" t="str">
        <f t="array" ref="N322">INDEX('Primary - GRADING'!$A$1:$CP997,MATCH($A322,'Primary - GRADING'!$CP:$CP,0),53)</f>
        <v>#N/A</v>
      </c>
      <c r="V322" s="153" t="str">
        <f t="array" ref="V322">INDEX('Primary - GRADING'!$A$1:$CP997,MATCH($A322,'Primary - GRADING'!$CP:$CP,0),18)</f>
        <v>#N/A</v>
      </c>
      <c r="AG322" s="153" t="str">
        <f t="shared" si="7"/>
        <v>#N/A</v>
      </c>
    </row>
    <row r="323" ht="15.75" customHeight="1">
      <c r="I323" s="153" t="str">
        <f t="array" ref="I323">INDEX('Primary - GRADING'!$A$1:$CP997,MATCH($A323,'Primary - GRADING'!$CP:$CP,0),48)</f>
        <v>#N/A</v>
      </c>
      <c r="J323" s="153" t="str">
        <f t="array" ref="J323">INDEX('Primary - GRADING'!$A$1:$CP997,MATCH($A323,'Primary - GRADING'!$CP:$CP,0),49)</f>
        <v>#N/A</v>
      </c>
      <c r="K323" s="153" t="str">
        <f t="array" ref="K323">INDEX('Primary - GRADING'!$A$1:$CP997,MATCH($A323,'Primary - GRADING'!$CP:$CP,0),50)</f>
        <v>#N/A</v>
      </c>
      <c r="L323" s="153" t="str">
        <f t="array" ref="L323">INDEX('Primary - GRADING'!$A$1:$CP997,MATCH($A323,'Primary - GRADING'!$CP:$CP,0),51)</f>
        <v>#N/A</v>
      </c>
      <c r="M323" s="153" t="str">
        <f t="array" ref="M323">INDEX('Primary - GRADING'!$A$1:$CP997,MATCH($A323,'Primary - GRADING'!$CP:$CP,0),52)</f>
        <v>#N/A</v>
      </c>
      <c r="N323" s="153" t="str">
        <f t="array" ref="N323">INDEX('Primary - GRADING'!$A$1:$CP997,MATCH($A323,'Primary - GRADING'!$CP:$CP,0),53)</f>
        <v>#N/A</v>
      </c>
      <c r="V323" s="153" t="str">
        <f t="array" ref="V323">INDEX('Primary - GRADING'!$A$1:$CP997,MATCH($A323,'Primary - GRADING'!$CP:$CP,0),18)</f>
        <v>#N/A</v>
      </c>
      <c r="AG323" s="153" t="str">
        <f t="shared" si="7"/>
        <v>#N/A</v>
      </c>
    </row>
    <row r="324" ht="15.75" customHeight="1">
      <c r="I324" s="153" t="str">
        <f t="array" ref="I324">INDEX('Primary - GRADING'!$A$1:$CP997,MATCH($A324,'Primary - GRADING'!$CP:$CP,0),48)</f>
        <v>#N/A</v>
      </c>
      <c r="J324" s="153" t="str">
        <f t="array" ref="J324">INDEX('Primary - GRADING'!$A$1:$CP997,MATCH($A324,'Primary - GRADING'!$CP:$CP,0),49)</f>
        <v>#N/A</v>
      </c>
      <c r="K324" s="153" t="str">
        <f t="array" ref="K324">INDEX('Primary - GRADING'!$A$1:$CP997,MATCH($A324,'Primary - GRADING'!$CP:$CP,0),50)</f>
        <v>#N/A</v>
      </c>
      <c r="L324" s="153" t="str">
        <f t="array" ref="L324">INDEX('Primary - GRADING'!$A$1:$CP997,MATCH($A324,'Primary - GRADING'!$CP:$CP,0),51)</f>
        <v>#N/A</v>
      </c>
      <c r="M324" s="153" t="str">
        <f t="array" ref="M324">INDEX('Primary - GRADING'!$A$1:$CP997,MATCH($A324,'Primary - GRADING'!$CP:$CP,0),52)</f>
        <v>#N/A</v>
      </c>
      <c r="N324" s="153" t="str">
        <f t="array" ref="N324">INDEX('Primary - GRADING'!$A$1:$CP997,MATCH($A324,'Primary - GRADING'!$CP:$CP,0),53)</f>
        <v>#N/A</v>
      </c>
      <c r="V324" s="153" t="str">
        <f t="array" ref="V324">INDEX('Primary - GRADING'!$A$1:$CP997,MATCH($A324,'Primary - GRADING'!$CP:$CP,0),18)</f>
        <v>#N/A</v>
      </c>
      <c r="AG324" s="153" t="str">
        <f t="shared" si="7"/>
        <v>#N/A</v>
      </c>
    </row>
    <row r="325" ht="15.75" customHeight="1">
      <c r="I325" s="153" t="str">
        <f t="array" ref="I325">INDEX('Primary - GRADING'!$A$1:$CP997,MATCH($A325,'Primary - GRADING'!$CP:$CP,0),48)</f>
        <v>#N/A</v>
      </c>
      <c r="J325" s="153" t="str">
        <f t="array" ref="J325">INDEX('Primary - GRADING'!$A$1:$CP997,MATCH($A325,'Primary - GRADING'!$CP:$CP,0),49)</f>
        <v>#N/A</v>
      </c>
      <c r="K325" s="153" t="str">
        <f t="array" ref="K325">INDEX('Primary - GRADING'!$A$1:$CP997,MATCH($A325,'Primary - GRADING'!$CP:$CP,0),50)</f>
        <v>#N/A</v>
      </c>
      <c r="L325" s="153" t="str">
        <f t="array" ref="L325">INDEX('Primary - GRADING'!$A$1:$CP997,MATCH($A325,'Primary - GRADING'!$CP:$CP,0),51)</f>
        <v>#N/A</v>
      </c>
      <c r="M325" s="153" t="str">
        <f t="array" ref="M325">INDEX('Primary - GRADING'!$A$1:$CP997,MATCH($A325,'Primary - GRADING'!$CP:$CP,0),52)</f>
        <v>#N/A</v>
      </c>
      <c r="N325" s="153" t="str">
        <f t="array" ref="N325">INDEX('Primary - GRADING'!$A$1:$CP997,MATCH($A325,'Primary - GRADING'!$CP:$CP,0),53)</f>
        <v>#N/A</v>
      </c>
      <c r="V325" s="153" t="str">
        <f t="array" ref="V325">INDEX('Primary - GRADING'!$A$1:$CP997,MATCH($A325,'Primary - GRADING'!$CP:$CP,0),18)</f>
        <v>#N/A</v>
      </c>
      <c r="AG325" s="153" t="str">
        <f t="shared" si="7"/>
        <v>#N/A</v>
      </c>
    </row>
    <row r="326" ht="15.75" customHeight="1">
      <c r="I326" s="153" t="str">
        <f t="array" ref="I326">INDEX('Primary - GRADING'!$A$1:$CP997,MATCH($A326,'Primary - GRADING'!$CP:$CP,0),48)</f>
        <v>#N/A</v>
      </c>
      <c r="J326" s="153" t="str">
        <f t="array" ref="J326">INDEX('Primary - GRADING'!$A$1:$CP997,MATCH($A326,'Primary - GRADING'!$CP:$CP,0),49)</f>
        <v>#N/A</v>
      </c>
      <c r="K326" s="153" t="str">
        <f t="array" ref="K326">INDEX('Primary - GRADING'!$A$1:$CP997,MATCH($A326,'Primary - GRADING'!$CP:$CP,0),50)</f>
        <v>#N/A</v>
      </c>
      <c r="L326" s="153" t="str">
        <f t="array" ref="L326">INDEX('Primary - GRADING'!$A$1:$CP997,MATCH($A326,'Primary - GRADING'!$CP:$CP,0),51)</f>
        <v>#N/A</v>
      </c>
      <c r="M326" s="153" t="str">
        <f t="array" ref="M326">INDEX('Primary - GRADING'!$A$1:$CP997,MATCH($A326,'Primary - GRADING'!$CP:$CP,0),52)</f>
        <v>#N/A</v>
      </c>
      <c r="N326" s="153" t="str">
        <f t="array" ref="N326">INDEX('Primary - GRADING'!$A$1:$CP997,MATCH($A326,'Primary - GRADING'!$CP:$CP,0),53)</f>
        <v>#N/A</v>
      </c>
      <c r="V326" s="153" t="str">
        <f t="array" ref="V326">INDEX('Primary - GRADING'!$A$1:$CP997,MATCH($A326,'Primary - GRADING'!$CP:$CP,0),18)</f>
        <v>#N/A</v>
      </c>
      <c r="AG326" s="153" t="str">
        <f t="shared" si="7"/>
        <v>#N/A</v>
      </c>
    </row>
    <row r="327" ht="15.75" customHeight="1">
      <c r="I327" s="153" t="str">
        <f t="array" ref="I327">INDEX('Primary - GRADING'!$A$1:$CP997,MATCH($A327,'Primary - GRADING'!$CP:$CP,0),48)</f>
        <v>#N/A</v>
      </c>
      <c r="J327" s="153" t="str">
        <f t="array" ref="J327">INDEX('Primary - GRADING'!$A$1:$CP997,MATCH($A327,'Primary - GRADING'!$CP:$CP,0),49)</f>
        <v>#N/A</v>
      </c>
      <c r="K327" s="153" t="str">
        <f t="array" ref="K327">INDEX('Primary - GRADING'!$A$1:$CP997,MATCH($A327,'Primary - GRADING'!$CP:$CP,0),50)</f>
        <v>#N/A</v>
      </c>
      <c r="L327" s="153" t="str">
        <f t="array" ref="L327">INDEX('Primary - GRADING'!$A$1:$CP997,MATCH($A327,'Primary - GRADING'!$CP:$CP,0),51)</f>
        <v>#N/A</v>
      </c>
      <c r="M327" s="153" t="str">
        <f t="array" ref="M327">INDEX('Primary - GRADING'!$A$1:$CP997,MATCH($A327,'Primary - GRADING'!$CP:$CP,0),52)</f>
        <v>#N/A</v>
      </c>
      <c r="N327" s="153" t="str">
        <f t="array" ref="N327">INDEX('Primary - GRADING'!$A$1:$CP997,MATCH($A327,'Primary - GRADING'!$CP:$CP,0),53)</f>
        <v>#N/A</v>
      </c>
      <c r="V327" s="153" t="str">
        <f t="array" ref="V327">INDEX('Primary - GRADING'!$A$1:$CP997,MATCH($A327,'Primary - GRADING'!$CP:$CP,0),18)</f>
        <v>#N/A</v>
      </c>
      <c r="AG327" s="153" t="str">
        <f t="shared" si="7"/>
        <v>#N/A</v>
      </c>
    </row>
    <row r="328" ht="15.75" customHeight="1">
      <c r="I328" s="153" t="str">
        <f t="array" ref="I328">INDEX('Primary - GRADING'!$A$1:$CP997,MATCH($A328,'Primary - GRADING'!$CP:$CP,0),48)</f>
        <v>#N/A</v>
      </c>
      <c r="J328" s="153" t="str">
        <f t="array" ref="J328">INDEX('Primary - GRADING'!$A$1:$CP997,MATCH($A328,'Primary - GRADING'!$CP:$CP,0),49)</f>
        <v>#N/A</v>
      </c>
      <c r="K328" s="153" t="str">
        <f t="array" ref="K328">INDEX('Primary - GRADING'!$A$1:$CP997,MATCH($A328,'Primary - GRADING'!$CP:$CP,0),50)</f>
        <v>#N/A</v>
      </c>
      <c r="L328" s="153" t="str">
        <f t="array" ref="L328">INDEX('Primary - GRADING'!$A$1:$CP997,MATCH($A328,'Primary - GRADING'!$CP:$CP,0),51)</f>
        <v>#N/A</v>
      </c>
      <c r="M328" s="153" t="str">
        <f t="array" ref="M328">INDEX('Primary - GRADING'!$A$1:$CP997,MATCH($A328,'Primary - GRADING'!$CP:$CP,0),52)</f>
        <v>#N/A</v>
      </c>
      <c r="N328" s="153" t="str">
        <f t="array" ref="N328">INDEX('Primary - GRADING'!$A$1:$CP997,MATCH($A328,'Primary - GRADING'!$CP:$CP,0),53)</f>
        <v>#N/A</v>
      </c>
      <c r="V328" s="153" t="str">
        <f t="array" ref="V328">INDEX('Primary - GRADING'!$A$1:$CP997,MATCH($A328,'Primary - GRADING'!$CP:$CP,0),18)</f>
        <v>#N/A</v>
      </c>
      <c r="AG328" s="153" t="str">
        <f t="shared" si="7"/>
        <v>#N/A</v>
      </c>
    </row>
    <row r="329" ht="15.75" customHeight="1">
      <c r="I329" s="153" t="str">
        <f t="array" ref="I329">INDEX('Primary - GRADING'!$A$1:$CP997,MATCH($A329,'Primary - GRADING'!$B:$B,0),48)</f>
        <v>#N/A</v>
      </c>
      <c r="J329" s="153" t="str">
        <f t="array" ref="J329">INDEX('Primary - GRADING'!$A$1:$CP997,MATCH($A329,'Primary - GRADING'!$B:$B,0),49)</f>
        <v>#N/A</v>
      </c>
      <c r="K329" s="153" t="str">
        <f t="array" ref="K329">INDEX('Primary - GRADING'!$A$1:$CP997,MATCH($A329,'Primary - GRADING'!$B:$B,0),50)</f>
        <v>#N/A</v>
      </c>
      <c r="L329" s="153" t="str">
        <f t="array" ref="L329">INDEX('Primary - GRADING'!$A$1:$CP997,MATCH($A329,'Primary - GRADING'!$B:$B,0),51)</f>
        <v>#N/A</v>
      </c>
      <c r="M329" s="153" t="str">
        <f t="array" ref="M329">INDEX('Primary - GRADING'!$A$1:$CP997,MATCH($A329,'Primary - GRADING'!$B:$B,0),52)</f>
        <v>#N/A</v>
      </c>
      <c r="N329" s="153" t="str">
        <f t="array" ref="N329">INDEX('Primary - GRADING'!$A$1:$CP997,MATCH($A329,'Primary - GRADING'!$B:$B,0),53)</f>
        <v>#N/A</v>
      </c>
      <c r="AG329" s="153" t="str">
        <f t="shared" si="7"/>
        <v>#N/A</v>
      </c>
    </row>
    <row r="330" ht="15.75" customHeight="1">
      <c r="I330" s="153" t="str">
        <f t="array" ref="I330">INDEX('Primary - GRADING'!$A$1:$CP997,MATCH($A330,'Primary - GRADING'!$B:$B,0),48)</f>
        <v>#N/A</v>
      </c>
      <c r="J330" s="153" t="str">
        <f t="array" ref="J330">INDEX('Primary - GRADING'!$A$1:$CP997,MATCH($A330,'Primary - GRADING'!$B:$B,0),49)</f>
        <v>#N/A</v>
      </c>
      <c r="K330" s="153" t="str">
        <f t="array" ref="K330">INDEX('Primary - GRADING'!$A$1:$CP997,MATCH($A330,'Primary - GRADING'!$B:$B,0),50)</f>
        <v>#N/A</v>
      </c>
      <c r="L330" s="153" t="str">
        <f t="array" ref="L330">INDEX('Primary - GRADING'!$A$1:$CP997,MATCH($A330,'Primary - GRADING'!$B:$B,0),51)</f>
        <v>#N/A</v>
      </c>
      <c r="M330" s="153" t="str">
        <f t="array" ref="M330">INDEX('Primary - GRADING'!$A$1:$CP997,MATCH($A330,'Primary - GRADING'!$B:$B,0),52)</f>
        <v>#N/A</v>
      </c>
      <c r="N330" s="153" t="str">
        <f t="array" ref="N330">INDEX('Primary - GRADING'!$A$1:$CP997,MATCH($A330,'Primary - GRADING'!$B:$B,0),53)</f>
        <v>#N/A</v>
      </c>
      <c r="AG330" s="153" t="str">
        <f t="shared" si="7"/>
        <v>#N/A</v>
      </c>
    </row>
    <row r="331" ht="15.75" customHeight="1">
      <c r="I331" s="153" t="str">
        <f t="array" ref="I331">INDEX('Primary - GRADING'!$A$1:$CP997,MATCH($A331,'Primary - GRADING'!$B:$B,0),48)</f>
        <v>#N/A</v>
      </c>
      <c r="J331" s="153" t="str">
        <f t="array" ref="J331">INDEX('Primary - GRADING'!$A$1:$CP997,MATCH($A331,'Primary - GRADING'!$B:$B,0),49)</f>
        <v>#N/A</v>
      </c>
      <c r="K331" s="153" t="str">
        <f t="array" ref="K331">INDEX('Primary - GRADING'!$A$1:$CP997,MATCH($A331,'Primary - GRADING'!$B:$B,0),50)</f>
        <v>#N/A</v>
      </c>
      <c r="L331" s="153" t="str">
        <f t="array" ref="L331">INDEX('Primary - GRADING'!$A$1:$CP997,MATCH($A331,'Primary - GRADING'!$B:$B,0),51)</f>
        <v>#N/A</v>
      </c>
      <c r="M331" s="153" t="str">
        <f t="array" ref="M331">INDEX('Primary - GRADING'!$A$1:$CP997,MATCH($A331,'Primary - GRADING'!$B:$B,0),52)</f>
        <v>#N/A</v>
      </c>
      <c r="N331" s="153" t="str">
        <f t="array" ref="N331">INDEX('Primary - GRADING'!$A$1:$CP997,MATCH($A331,'Primary - GRADING'!$B:$B,0),53)</f>
        <v>#N/A</v>
      </c>
      <c r="AG331" s="153" t="str">
        <f t="shared" si="7"/>
        <v>#N/A</v>
      </c>
    </row>
    <row r="332" ht="15.75" customHeight="1">
      <c r="I332" s="153" t="str">
        <f t="array" ref="I332">INDEX('Primary - GRADING'!$A$1:$CP997,MATCH($A332,'Primary - GRADING'!$B:$B,0),48)</f>
        <v>#N/A</v>
      </c>
      <c r="J332" s="153" t="str">
        <f t="array" ref="J332">INDEX('Primary - GRADING'!$A$1:$CP997,MATCH($A332,'Primary - GRADING'!$B:$B,0),49)</f>
        <v>#N/A</v>
      </c>
      <c r="K332" s="153" t="str">
        <f t="array" ref="K332">INDEX('Primary - GRADING'!$A$1:$CP997,MATCH($A332,'Primary - GRADING'!$B:$B,0),50)</f>
        <v>#N/A</v>
      </c>
      <c r="L332" s="153" t="str">
        <f t="array" ref="L332">INDEX('Primary - GRADING'!$A$1:$CP997,MATCH($A332,'Primary - GRADING'!$B:$B,0),51)</f>
        <v>#N/A</v>
      </c>
      <c r="M332" s="153" t="str">
        <f t="array" ref="M332">INDEX('Primary - GRADING'!$A$1:$CP997,MATCH($A332,'Primary - GRADING'!$B:$B,0),52)</f>
        <v>#N/A</v>
      </c>
      <c r="N332" s="153" t="str">
        <f t="array" ref="N332">INDEX('Primary - GRADING'!$A$1:$CP997,MATCH($A332,'Primary - GRADING'!$B:$B,0),53)</f>
        <v>#N/A</v>
      </c>
      <c r="AG332" s="153" t="str">
        <f t="shared" si="7"/>
        <v>#N/A</v>
      </c>
    </row>
    <row r="333" ht="15.75" customHeight="1">
      <c r="I333" s="153" t="str">
        <f t="array" ref="I333">INDEX('Primary - GRADING'!$A$1:$CP997,MATCH($A333,'Primary - GRADING'!$B:$B,0),48)</f>
        <v>#N/A</v>
      </c>
      <c r="J333" s="153" t="str">
        <f t="array" ref="J333">INDEX('Primary - GRADING'!$A$1:$CP997,MATCH($A333,'Primary - GRADING'!$B:$B,0),49)</f>
        <v>#N/A</v>
      </c>
      <c r="K333" s="153" t="str">
        <f t="array" ref="K333">INDEX('Primary - GRADING'!$A$1:$CP997,MATCH($A333,'Primary - GRADING'!$B:$B,0),50)</f>
        <v>#N/A</v>
      </c>
      <c r="L333" s="153" t="str">
        <f t="array" ref="L333">INDEX('Primary - GRADING'!$A$1:$CP997,MATCH($A333,'Primary - GRADING'!$B:$B,0),51)</f>
        <v>#N/A</v>
      </c>
      <c r="M333" s="153" t="str">
        <f t="array" ref="M333">INDEX('Primary - GRADING'!$A$1:$CP997,MATCH($A333,'Primary - GRADING'!$B:$B,0),52)</f>
        <v>#N/A</v>
      </c>
      <c r="N333" s="153" t="str">
        <f t="array" ref="N333">INDEX('Primary - GRADING'!$A$1:$CP997,MATCH($A333,'Primary - GRADING'!$B:$B,0),53)</f>
        <v>#N/A</v>
      </c>
      <c r="AG333" s="153" t="str">
        <f t="shared" si="7"/>
        <v>#N/A</v>
      </c>
    </row>
    <row r="334" ht="15.75" customHeight="1">
      <c r="I334" s="153" t="str">
        <f t="array" ref="I334">INDEX('Primary - GRADING'!$A$1:$CP997,MATCH($A334,'Primary - GRADING'!$B:$B,0),48)</f>
        <v>#N/A</v>
      </c>
      <c r="J334" s="153" t="str">
        <f t="array" ref="J334">INDEX('Primary - GRADING'!$A$1:$CP997,MATCH($A334,'Primary - GRADING'!$B:$B,0),49)</f>
        <v>#N/A</v>
      </c>
      <c r="K334" s="153" t="str">
        <f t="array" ref="K334">INDEX('Primary - GRADING'!$A$1:$CP997,MATCH($A334,'Primary - GRADING'!$B:$B,0),50)</f>
        <v>#N/A</v>
      </c>
      <c r="L334" s="153" t="str">
        <f t="array" ref="L334">INDEX('Primary - GRADING'!$A$1:$CP997,MATCH($A334,'Primary - GRADING'!$B:$B,0),51)</f>
        <v>#N/A</v>
      </c>
      <c r="M334" s="153" t="str">
        <f t="array" ref="M334">INDEX('Primary - GRADING'!$A$1:$CP997,MATCH($A334,'Primary - GRADING'!$B:$B,0),52)</f>
        <v>#N/A</v>
      </c>
      <c r="N334" s="153" t="str">
        <f t="array" ref="N334">INDEX('Primary - GRADING'!$A$1:$CP997,MATCH($A334,'Primary - GRADING'!$B:$B,0),53)</f>
        <v>#N/A</v>
      </c>
      <c r="AG334" s="153" t="str">
        <f t="shared" si="7"/>
        <v>#N/A</v>
      </c>
    </row>
    <row r="335" ht="15.75" customHeight="1">
      <c r="I335" s="153" t="str">
        <f t="array" ref="I335">INDEX('Primary - GRADING'!$A$1:$CP997,MATCH($A335,'Primary - GRADING'!$B:$B,0),48)</f>
        <v>#N/A</v>
      </c>
      <c r="J335" s="153" t="str">
        <f t="array" ref="J335">INDEX('Primary - GRADING'!$A$1:$CP997,MATCH($A335,'Primary - GRADING'!$B:$B,0),49)</f>
        <v>#N/A</v>
      </c>
      <c r="K335" s="153" t="str">
        <f t="array" ref="K335">INDEX('Primary - GRADING'!$A$1:$CP997,MATCH($A335,'Primary - GRADING'!$B:$B,0),50)</f>
        <v>#N/A</v>
      </c>
      <c r="L335" s="153" t="str">
        <f t="array" ref="L335">INDEX('Primary - GRADING'!$A$1:$CP997,MATCH($A335,'Primary - GRADING'!$B:$B,0),51)</f>
        <v>#N/A</v>
      </c>
      <c r="M335" s="153" t="str">
        <f t="array" ref="M335">INDEX('Primary - GRADING'!$A$1:$CP997,MATCH($A335,'Primary - GRADING'!$B:$B,0),52)</f>
        <v>#N/A</v>
      </c>
      <c r="N335" s="153" t="str">
        <f t="array" ref="N335">INDEX('Primary - GRADING'!$A$1:$CP997,MATCH($A335,'Primary - GRADING'!$B:$B,0),53)</f>
        <v>#N/A</v>
      </c>
      <c r="AG335" s="153" t="str">
        <f t="shared" si="7"/>
        <v>#N/A</v>
      </c>
    </row>
    <row r="336" ht="15.75" customHeight="1">
      <c r="I336" s="153" t="str">
        <f t="array" ref="I336">INDEX('Primary - GRADING'!$A$1:$CP997,MATCH($A336,'Primary - GRADING'!$B:$B,0),48)</f>
        <v>#N/A</v>
      </c>
      <c r="J336" s="153" t="str">
        <f t="array" ref="J336">INDEX('Primary - GRADING'!$A$1:$CP997,MATCH($A336,'Primary - GRADING'!$B:$B,0),49)</f>
        <v>#N/A</v>
      </c>
      <c r="K336" s="153" t="str">
        <f t="array" ref="K336">INDEX('Primary - GRADING'!$A$1:$CP997,MATCH($A336,'Primary - GRADING'!$B:$B,0),50)</f>
        <v>#N/A</v>
      </c>
      <c r="L336" s="153" t="str">
        <f t="array" ref="L336">INDEX('Primary - GRADING'!$A$1:$CP997,MATCH($A336,'Primary - GRADING'!$B:$B,0),51)</f>
        <v>#N/A</v>
      </c>
      <c r="M336" s="153" t="str">
        <f t="array" ref="M336">INDEX('Primary - GRADING'!$A$1:$CP997,MATCH($A336,'Primary - GRADING'!$B:$B,0),52)</f>
        <v>#N/A</v>
      </c>
      <c r="N336" s="153" t="str">
        <f t="array" ref="N336">INDEX('Primary - GRADING'!$A$1:$CP997,MATCH($A336,'Primary - GRADING'!$B:$B,0),53)</f>
        <v>#N/A</v>
      </c>
      <c r="AG336" s="153" t="str">
        <f t="shared" si="7"/>
        <v>#N/A</v>
      </c>
    </row>
    <row r="337" ht="15.75" customHeight="1">
      <c r="I337" s="153" t="str">
        <f t="array" ref="I337">INDEX('Primary - GRADING'!$A$1:$CP997,MATCH($A337,'Primary - GRADING'!$B:$B,0),48)</f>
        <v>#N/A</v>
      </c>
      <c r="J337" s="153" t="str">
        <f t="array" ref="J337">INDEX('Primary - GRADING'!$A$1:$CP997,MATCH($A337,'Primary - GRADING'!$B:$B,0),49)</f>
        <v>#N/A</v>
      </c>
      <c r="K337" s="153" t="str">
        <f t="array" ref="K337">INDEX('Primary - GRADING'!$A$1:$CP997,MATCH($A337,'Primary - GRADING'!$B:$B,0),50)</f>
        <v>#N/A</v>
      </c>
      <c r="L337" s="153" t="str">
        <f t="array" ref="L337">INDEX('Primary - GRADING'!$A$1:$CP997,MATCH($A337,'Primary - GRADING'!$B:$B,0),51)</f>
        <v>#N/A</v>
      </c>
      <c r="M337" s="153" t="str">
        <f t="array" ref="M337">INDEX('Primary - GRADING'!$A$1:$CP997,MATCH($A337,'Primary - GRADING'!$B:$B,0),52)</f>
        <v>#N/A</v>
      </c>
      <c r="N337" s="153" t="str">
        <f t="array" ref="N337">INDEX('Primary - GRADING'!$A$1:$CP997,MATCH($A337,'Primary - GRADING'!$B:$B,0),53)</f>
        <v>#N/A</v>
      </c>
      <c r="AG337" s="153" t="str">
        <f t="shared" si="7"/>
        <v>#N/A</v>
      </c>
    </row>
    <row r="338" ht="15.75" customHeight="1">
      <c r="I338" s="153" t="str">
        <f t="array" ref="I338">INDEX('Primary - GRADING'!$A$1:$CP997,MATCH($A338,'Primary - GRADING'!$B:$B,0),48)</f>
        <v>#N/A</v>
      </c>
      <c r="J338" s="153" t="str">
        <f t="array" ref="J338">INDEX('Primary - GRADING'!$A$1:$CP997,MATCH($A338,'Primary - GRADING'!$B:$B,0),49)</f>
        <v>#N/A</v>
      </c>
      <c r="K338" s="153" t="str">
        <f t="array" ref="K338">INDEX('Primary - GRADING'!$A$1:$CP997,MATCH($A338,'Primary - GRADING'!$B:$B,0),50)</f>
        <v>#N/A</v>
      </c>
      <c r="L338" s="153" t="str">
        <f t="array" ref="L338">INDEX('Primary - GRADING'!$A$1:$CP997,MATCH($A338,'Primary - GRADING'!$B:$B,0),51)</f>
        <v>#N/A</v>
      </c>
      <c r="M338" s="153" t="str">
        <f t="array" ref="M338">INDEX('Primary - GRADING'!$A$1:$CP997,MATCH($A338,'Primary - GRADING'!$B:$B,0),52)</f>
        <v>#N/A</v>
      </c>
      <c r="N338" s="153" t="str">
        <f t="array" ref="N338">INDEX('Primary - GRADING'!$A$1:$CP997,MATCH($A338,'Primary - GRADING'!$B:$B,0),53)</f>
        <v>#N/A</v>
      </c>
      <c r="AG338" s="153" t="str">
        <f t="shared" si="7"/>
        <v>#N/A</v>
      </c>
    </row>
    <row r="339" ht="15.75" customHeight="1">
      <c r="I339" s="153" t="str">
        <f t="array" ref="I339">INDEX('Primary - GRADING'!$A$1:$CP997,MATCH($A339,'Primary - GRADING'!$B:$B,0),48)</f>
        <v>#N/A</v>
      </c>
      <c r="J339" s="153" t="str">
        <f t="array" ref="J339">INDEX('Primary - GRADING'!$A$1:$CP997,MATCH($A339,'Primary - GRADING'!$B:$B,0),49)</f>
        <v>#N/A</v>
      </c>
      <c r="K339" s="153" t="str">
        <f t="array" ref="K339">INDEX('Primary - GRADING'!$A$1:$CP997,MATCH($A339,'Primary - GRADING'!$B:$B,0),50)</f>
        <v>#N/A</v>
      </c>
      <c r="L339" s="153" t="str">
        <f t="array" ref="L339">INDEX('Primary - GRADING'!$A$1:$CP997,MATCH($A339,'Primary - GRADING'!$B:$B,0),51)</f>
        <v>#N/A</v>
      </c>
      <c r="M339" s="153" t="str">
        <f t="array" ref="M339">INDEX('Primary - GRADING'!$A$1:$CP997,MATCH($A339,'Primary - GRADING'!$B:$B,0),52)</f>
        <v>#N/A</v>
      </c>
      <c r="N339" s="153" t="str">
        <f t="array" ref="N339">INDEX('Primary - GRADING'!$A$1:$CP997,MATCH($A339,'Primary - GRADING'!$B:$B,0),53)</f>
        <v>#N/A</v>
      </c>
      <c r="AG339" s="153" t="str">
        <f t="shared" si="7"/>
        <v>#N/A</v>
      </c>
    </row>
    <row r="340" ht="15.75" customHeight="1">
      <c r="I340" s="153" t="str">
        <f t="array" ref="I340">INDEX('Primary - GRADING'!$A$1:$CP997,MATCH($A340,'Primary - GRADING'!$B:$B,0),48)</f>
        <v>#N/A</v>
      </c>
      <c r="J340" s="153" t="str">
        <f t="array" ref="J340">INDEX('Primary - GRADING'!$A$1:$CP997,MATCH($A340,'Primary - GRADING'!$B:$B,0),49)</f>
        <v>#N/A</v>
      </c>
      <c r="K340" s="153" t="str">
        <f t="array" ref="K340">INDEX('Primary - GRADING'!$A$1:$CP997,MATCH($A340,'Primary - GRADING'!$B:$B,0),50)</f>
        <v>#N/A</v>
      </c>
      <c r="L340" s="153" t="str">
        <f t="array" ref="L340">INDEX('Primary - GRADING'!$A$1:$CP997,MATCH($A340,'Primary - GRADING'!$B:$B,0),51)</f>
        <v>#N/A</v>
      </c>
      <c r="M340" s="153" t="str">
        <f t="array" ref="M340">INDEX('Primary - GRADING'!$A$1:$CP997,MATCH($A340,'Primary - GRADING'!$B:$B,0),52)</f>
        <v>#N/A</v>
      </c>
      <c r="N340" s="153" t="str">
        <f t="array" ref="N340">INDEX('Primary - GRADING'!$A$1:$CP997,MATCH($A340,'Primary - GRADING'!$B:$B,0),53)</f>
        <v>#N/A</v>
      </c>
      <c r="AG340" s="153" t="str">
        <f t="shared" si="7"/>
        <v>#N/A</v>
      </c>
    </row>
    <row r="341" ht="15.75" customHeight="1">
      <c r="I341" s="153" t="str">
        <f t="array" ref="I341">INDEX('Primary - GRADING'!$A$1:$CP997,MATCH($A341,'Primary - GRADING'!$B:$B,0),48)</f>
        <v>#N/A</v>
      </c>
      <c r="J341" s="153" t="str">
        <f t="array" ref="J341">INDEX('Primary - GRADING'!$A$1:$CP997,MATCH($A341,'Primary - GRADING'!$B:$B,0),49)</f>
        <v>#N/A</v>
      </c>
      <c r="K341" s="153" t="str">
        <f t="array" ref="K341">INDEX('Primary - GRADING'!$A$1:$CP997,MATCH($A341,'Primary - GRADING'!$B:$B,0),50)</f>
        <v>#N/A</v>
      </c>
      <c r="L341" s="153" t="str">
        <f t="array" ref="L341">INDEX('Primary - GRADING'!$A$1:$CP997,MATCH($A341,'Primary - GRADING'!$B:$B,0),51)</f>
        <v>#N/A</v>
      </c>
      <c r="M341" s="153" t="str">
        <f t="array" ref="M341">INDEX('Primary - GRADING'!$A$1:$CP997,MATCH($A341,'Primary - GRADING'!$B:$B,0),52)</f>
        <v>#N/A</v>
      </c>
      <c r="N341" s="153" t="str">
        <f t="array" ref="N341">INDEX('Primary - GRADING'!$A$1:$CP997,MATCH($A341,'Primary - GRADING'!$B:$B,0),53)</f>
        <v>#N/A</v>
      </c>
      <c r="AG341" s="153" t="str">
        <f t="shared" si="7"/>
        <v>#N/A</v>
      </c>
    </row>
    <row r="342" ht="15.75" customHeight="1">
      <c r="I342" s="153" t="str">
        <f t="array" ref="I342">INDEX('Primary - GRADING'!$A$1:$CP997,MATCH($A342,'Primary - GRADING'!$B:$B,0),48)</f>
        <v>#N/A</v>
      </c>
      <c r="J342" s="153" t="str">
        <f t="array" ref="J342">INDEX('Primary - GRADING'!$A$1:$CP997,MATCH($A342,'Primary - GRADING'!$B:$B,0),49)</f>
        <v>#N/A</v>
      </c>
      <c r="K342" s="153" t="str">
        <f t="array" ref="K342">INDEX('Primary - GRADING'!$A$1:$CP997,MATCH($A342,'Primary - GRADING'!$B:$B,0),50)</f>
        <v>#N/A</v>
      </c>
      <c r="L342" s="153" t="str">
        <f t="array" ref="L342">INDEX('Primary - GRADING'!$A$1:$CP997,MATCH($A342,'Primary - GRADING'!$B:$B,0),51)</f>
        <v>#N/A</v>
      </c>
      <c r="M342" s="153" t="str">
        <f t="array" ref="M342">INDEX('Primary - GRADING'!$A$1:$CP997,MATCH($A342,'Primary - GRADING'!$B:$B,0),52)</f>
        <v>#N/A</v>
      </c>
      <c r="N342" s="153" t="str">
        <f t="array" ref="N342">INDEX('Primary - GRADING'!$A$1:$CP997,MATCH($A342,'Primary - GRADING'!$B:$B,0),53)</f>
        <v>#N/A</v>
      </c>
      <c r="AG342" s="153" t="str">
        <f t="shared" si="7"/>
        <v>#N/A</v>
      </c>
    </row>
    <row r="343" ht="15.75" customHeight="1">
      <c r="I343" s="153" t="str">
        <f t="array" ref="I343">INDEX('Primary - GRADING'!$A$1:$CP997,MATCH($A343,'Primary - GRADING'!$B:$B,0),48)</f>
        <v>#N/A</v>
      </c>
      <c r="J343" s="153" t="str">
        <f t="array" ref="J343">INDEX('Primary - GRADING'!$A$1:$CP997,MATCH($A343,'Primary - GRADING'!$B:$B,0),49)</f>
        <v>#N/A</v>
      </c>
      <c r="K343" s="153" t="str">
        <f t="array" ref="K343">INDEX('Primary - GRADING'!$A$1:$CP997,MATCH($A343,'Primary - GRADING'!$B:$B,0),50)</f>
        <v>#N/A</v>
      </c>
      <c r="L343" s="153" t="str">
        <f t="array" ref="L343">INDEX('Primary - GRADING'!$A$1:$CP997,MATCH($A343,'Primary - GRADING'!$B:$B,0),51)</f>
        <v>#N/A</v>
      </c>
      <c r="M343" s="153" t="str">
        <f t="array" ref="M343">INDEX('Primary - GRADING'!$A$1:$CP997,MATCH($A343,'Primary - GRADING'!$B:$B,0),52)</f>
        <v>#N/A</v>
      </c>
      <c r="N343" s="153" t="str">
        <f t="array" ref="N343">INDEX('Primary - GRADING'!$A$1:$CP997,MATCH($A343,'Primary - GRADING'!$B:$B,0),53)</f>
        <v>#N/A</v>
      </c>
      <c r="AG343" s="153" t="str">
        <f t="shared" si="7"/>
        <v>#N/A</v>
      </c>
    </row>
    <row r="344" ht="15.75" customHeight="1">
      <c r="I344" s="153" t="str">
        <f t="array" ref="I344">INDEX('Primary - GRADING'!$A$1:$CP997,MATCH($A344,'Primary - GRADING'!$B:$B,0),48)</f>
        <v>#N/A</v>
      </c>
      <c r="J344" s="153" t="str">
        <f t="array" ref="J344">INDEX('Primary - GRADING'!$A$1:$CP997,MATCH($A344,'Primary - GRADING'!$B:$B,0),49)</f>
        <v>#N/A</v>
      </c>
      <c r="K344" s="153" t="str">
        <f t="array" ref="K344">INDEX('Primary - GRADING'!$A$1:$CP997,MATCH($A344,'Primary - GRADING'!$B:$B,0),50)</f>
        <v>#N/A</v>
      </c>
      <c r="L344" s="153" t="str">
        <f t="array" ref="L344">INDEX('Primary - GRADING'!$A$1:$CP997,MATCH($A344,'Primary - GRADING'!$B:$B,0),51)</f>
        <v>#N/A</v>
      </c>
      <c r="M344" s="153" t="str">
        <f t="array" ref="M344">INDEX('Primary - GRADING'!$A$1:$CP997,MATCH($A344,'Primary - GRADING'!$B:$B,0),52)</f>
        <v>#N/A</v>
      </c>
      <c r="N344" s="153" t="str">
        <f t="array" ref="N344">INDEX('Primary - GRADING'!$A$1:$CP997,MATCH($A344,'Primary - GRADING'!$B:$B,0),53)</f>
        <v>#N/A</v>
      </c>
      <c r="AG344" s="153" t="str">
        <f t="shared" si="7"/>
        <v>#N/A</v>
      </c>
    </row>
    <row r="345" ht="15.75" customHeight="1">
      <c r="I345" s="153" t="str">
        <f t="array" ref="I345">INDEX('Primary - GRADING'!$A$1:$CP997,MATCH($A345,'Primary - GRADING'!$B:$B,0),48)</f>
        <v>#N/A</v>
      </c>
      <c r="J345" s="153" t="str">
        <f t="array" ref="J345">INDEX('Primary - GRADING'!$A$1:$CP997,MATCH($A345,'Primary - GRADING'!$B:$B,0),49)</f>
        <v>#N/A</v>
      </c>
      <c r="K345" s="153" t="str">
        <f t="array" ref="K345">INDEX('Primary - GRADING'!$A$1:$CP997,MATCH($A345,'Primary - GRADING'!$B:$B,0),50)</f>
        <v>#N/A</v>
      </c>
      <c r="L345" s="153" t="str">
        <f t="array" ref="L345">INDEX('Primary - GRADING'!$A$1:$CP997,MATCH($A345,'Primary - GRADING'!$B:$B,0),51)</f>
        <v>#N/A</v>
      </c>
      <c r="M345" s="153" t="str">
        <f t="array" ref="M345">INDEX('Primary - GRADING'!$A$1:$CP997,MATCH($A345,'Primary - GRADING'!$B:$B,0),52)</f>
        <v>#N/A</v>
      </c>
      <c r="N345" s="153" t="str">
        <f t="array" ref="N345">INDEX('Primary - GRADING'!$A$1:$CP997,MATCH($A345,'Primary - GRADING'!$B:$B,0),53)</f>
        <v>#N/A</v>
      </c>
      <c r="AG345" s="153" t="str">
        <f t="shared" si="7"/>
        <v>#N/A</v>
      </c>
    </row>
    <row r="346" ht="15.75" customHeight="1">
      <c r="I346" s="153" t="str">
        <f t="array" ref="I346">INDEX('Primary - GRADING'!$A$1:$CP997,MATCH($A346,'Primary - GRADING'!$B:$B,0),48)</f>
        <v>#N/A</v>
      </c>
      <c r="J346" s="153" t="str">
        <f t="array" ref="J346">INDEX('Primary - GRADING'!$A$1:$CP997,MATCH($A346,'Primary - GRADING'!$B:$B,0),49)</f>
        <v>#N/A</v>
      </c>
      <c r="K346" s="153" t="str">
        <f t="array" ref="K346">INDEX('Primary - GRADING'!$A$1:$CP997,MATCH($A346,'Primary - GRADING'!$B:$B,0),50)</f>
        <v>#N/A</v>
      </c>
      <c r="L346" s="153" t="str">
        <f t="array" ref="L346">INDEX('Primary - GRADING'!$A$1:$CP997,MATCH($A346,'Primary - GRADING'!$B:$B,0),51)</f>
        <v>#N/A</v>
      </c>
      <c r="M346" s="153" t="str">
        <f t="array" ref="M346">INDEX('Primary - GRADING'!$A$1:$CP997,MATCH($A346,'Primary - GRADING'!$B:$B,0),52)</f>
        <v>#N/A</v>
      </c>
      <c r="N346" s="153" t="str">
        <f t="array" ref="N346">INDEX('Primary - GRADING'!$A$1:$CP997,MATCH($A346,'Primary - GRADING'!$B:$B,0),53)</f>
        <v>#N/A</v>
      </c>
      <c r="AG346" s="153" t="str">
        <f t="shared" si="7"/>
        <v>#N/A</v>
      </c>
    </row>
    <row r="347" ht="15.75" customHeight="1">
      <c r="I347" s="153" t="str">
        <f t="array" ref="I347">INDEX('Primary - GRADING'!$A$1:$CP997,MATCH($A347,'Primary - GRADING'!$B:$B,0),48)</f>
        <v>#N/A</v>
      </c>
      <c r="J347" s="153" t="str">
        <f t="array" ref="J347">INDEX('Primary - GRADING'!$A$1:$CP997,MATCH($A347,'Primary - GRADING'!$B:$B,0),49)</f>
        <v>#N/A</v>
      </c>
      <c r="K347" s="153" t="str">
        <f t="array" ref="K347">INDEX('Primary - GRADING'!$A$1:$CP997,MATCH($A347,'Primary - GRADING'!$B:$B,0),50)</f>
        <v>#N/A</v>
      </c>
      <c r="L347" s="153" t="str">
        <f t="array" ref="L347">INDEX('Primary - GRADING'!$A$1:$CP997,MATCH($A347,'Primary - GRADING'!$B:$B,0),51)</f>
        <v>#N/A</v>
      </c>
      <c r="M347" s="153" t="str">
        <f t="array" ref="M347">INDEX('Primary - GRADING'!$A$1:$CP997,MATCH($A347,'Primary - GRADING'!$B:$B,0),52)</f>
        <v>#N/A</v>
      </c>
      <c r="N347" s="153" t="str">
        <f t="array" ref="N347">INDEX('Primary - GRADING'!$A$1:$CP997,MATCH($A347,'Primary - GRADING'!$B:$B,0),53)</f>
        <v>#N/A</v>
      </c>
      <c r="AG347" s="153" t="str">
        <f t="shared" si="7"/>
        <v>#N/A</v>
      </c>
    </row>
    <row r="348" ht="15.75" customHeight="1">
      <c r="I348" s="153" t="str">
        <f t="array" ref="I348">INDEX('Primary - GRADING'!$A$1:$CP997,MATCH($A348,'Primary - GRADING'!$B:$B,0),48)</f>
        <v>#N/A</v>
      </c>
      <c r="J348" s="153" t="str">
        <f t="array" ref="J348">INDEX('Primary - GRADING'!$A$1:$CP997,MATCH($A348,'Primary - GRADING'!$B:$B,0),49)</f>
        <v>#N/A</v>
      </c>
      <c r="K348" s="153" t="str">
        <f t="array" ref="K348">INDEX('Primary - GRADING'!$A$1:$CP997,MATCH($A348,'Primary - GRADING'!$B:$B,0),50)</f>
        <v>#N/A</v>
      </c>
      <c r="L348" s="153" t="str">
        <f t="array" ref="L348">INDEX('Primary - GRADING'!$A$1:$CP997,MATCH($A348,'Primary - GRADING'!$B:$B,0),51)</f>
        <v>#N/A</v>
      </c>
      <c r="M348" s="153" t="str">
        <f t="array" ref="M348">INDEX('Primary - GRADING'!$A$1:$CP997,MATCH($A348,'Primary - GRADING'!$B:$B,0),52)</f>
        <v>#N/A</v>
      </c>
      <c r="N348" s="153" t="str">
        <f t="array" ref="N348">INDEX('Primary - GRADING'!$A$1:$CP997,MATCH($A348,'Primary - GRADING'!$B:$B,0),53)</f>
        <v>#N/A</v>
      </c>
      <c r="AG348" s="153" t="str">
        <f t="shared" si="7"/>
        <v>#N/A</v>
      </c>
    </row>
    <row r="349" ht="15.75" customHeight="1">
      <c r="AG349" s="153" t="str">
        <f t="shared" si="7"/>
        <v>#N/A</v>
      </c>
    </row>
    <row r="350" ht="15.75" customHeight="1">
      <c r="AG350" s="153" t="str">
        <f t="shared" si="7"/>
        <v>#N/A</v>
      </c>
    </row>
    <row r="351" ht="15.75" customHeight="1">
      <c r="AG351" s="153" t="str">
        <f t="shared" si="7"/>
        <v>#N/A</v>
      </c>
    </row>
    <row r="352" ht="15.75" customHeight="1">
      <c r="AG352" s="153" t="str">
        <f t="shared" si="7"/>
        <v>#N/A</v>
      </c>
    </row>
    <row r="353" ht="15.75" customHeight="1">
      <c r="AG353" s="153" t="str">
        <f t="shared" si="7"/>
        <v>#N/A</v>
      </c>
    </row>
    <row r="354" ht="15.75" customHeight="1">
      <c r="AG354" s="153" t="str">
        <f t="shared" si="7"/>
        <v>#N/A</v>
      </c>
    </row>
    <row r="355" ht="15.75" customHeight="1">
      <c r="AG355" s="153" t="str">
        <f t="shared" si="7"/>
        <v>#N/A</v>
      </c>
    </row>
    <row r="356" ht="15.75" customHeight="1">
      <c r="AG356" s="153" t="str">
        <f t="shared" si="7"/>
        <v>#N/A</v>
      </c>
    </row>
    <row r="357" ht="15.75" customHeight="1">
      <c r="AG357" s="153" t="str">
        <f t="shared" si="7"/>
        <v>#N/A</v>
      </c>
    </row>
    <row r="358" ht="15.75" customHeight="1">
      <c r="AG358" s="153" t="str">
        <f t="shared" si="7"/>
        <v>#N/A</v>
      </c>
    </row>
    <row r="359" ht="15.75" customHeight="1">
      <c r="AG359" s="153" t="str">
        <f t="shared" si="7"/>
        <v>#N/A</v>
      </c>
    </row>
    <row r="360" ht="15.75" customHeight="1">
      <c r="AG360" s="153" t="str">
        <f t="shared" si="7"/>
        <v>#N/A</v>
      </c>
    </row>
    <row r="361" ht="15.75" customHeight="1">
      <c r="AG361" s="153" t="str">
        <f t="shared" si="7"/>
        <v>#N/A</v>
      </c>
    </row>
    <row r="362" ht="15.75" customHeight="1">
      <c r="AG362" s="153" t="str">
        <f t="shared" si="7"/>
        <v>#N/A</v>
      </c>
    </row>
    <row r="363" ht="15.75" customHeight="1">
      <c r="AG363" s="153" t="str">
        <f t="shared" si="7"/>
        <v>#N/A</v>
      </c>
    </row>
    <row r="364" ht="15.75" customHeight="1">
      <c r="AG364" s="153" t="str">
        <f t="shared" si="7"/>
        <v>#N/A</v>
      </c>
    </row>
    <row r="365" ht="15.75" customHeight="1">
      <c r="AG365" s="153" t="str">
        <f t="shared" si="7"/>
        <v>#N/A</v>
      </c>
    </row>
    <row r="366" ht="15.75" customHeight="1">
      <c r="AG366" s="153" t="str">
        <f t="shared" si="7"/>
        <v>#N/A</v>
      </c>
    </row>
    <row r="367" ht="15.75" customHeight="1">
      <c r="AG367" s="153" t="str">
        <f t="shared" si="7"/>
        <v>#N/A</v>
      </c>
    </row>
    <row r="368" ht="15.75" customHeight="1">
      <c r="AG368" s="153" t="str">
        <f t="shared" si="7"/>
        <v>#N/A</v>
      </c>
    </row>
    <row r="369" ht="15.75" customHeight="1">
      <c r="AG369" s="153" t="str">
        <f t="shared" si="7"/>
        <v>#N/A</v>
      </c>
    </row>
    <row r="370" ht="15.75" customHeight="1">
      <c r="AG370" s="153" t="str">
        <f t="shared" si="7"/>
        <v>#N/A</v>
      </c>
    </row>
    <row r="371" ht="15.75" customHeight="1">
      <c r="AG371" s="153" t="str">
        <f t="shared" si="7"/>
        <v>#N/A</v>
      </c>
    </row>
    <row r="372" ht="15.75" customHeight="1">
      <c r="AG372" s="153" t="str">
        <f t="shared" si="7"/>
        <v>#N/A</v>
      </c>
    </row>
    <row r="373" ht="15.75" customHeight="1">
      <c r="AG373" s="153" t="str">
        <f t="shared" si="7"/>
        <v>#N/A</v>
      </c>
    </row>
    <row r="374" ht="15.75" customHeight="1">
      <c r="AG374" s="153" t="str">
        <f t="shared" si="7"/>
        <v>#N/A</v>
      </c>
    </row>
    <row r="375" ht="15.75" customHeight="1">
      <c r="AG375" s="153" t="str">
        <f t="shared" si="7"/>
        <v>#N/A</v>
      </c>
    </row>
    <row r="376" ht="15.75" customHeight="1">
      <c r="AG376" s="153" t="str">
        <f t="shared" si="7"/>
        <v>#N/A</v>
      </c>
    </row>
    <row r="377" ht="15.75" customHeight="1">
      <c r="AG377" s="153" t="str">
        <f t="shared" si="7"/>
        <v>#N/A</v>
      </c>
    </row>
    <row r="378" ht="15.75" customHeight="1">
      <c r="AG378" s="153" t="str">
        <f t="shared" si="7"/>
        <v>#N/A</v>
      </c>
    </row>
    <row r="379" ht="15.75" customHeight="1">
      <c r="AG379" s="153" t="str">
        <f t="shared" si="7"/>
        <v>#N/A</v>
      </c>
    </row>
    <row r="380" ht="15.75" customHeight="1">
      <c r="AG380" s="153" t="str">
        <f t="shared" si="7"/>
        <v>#N/A</v>
      </c>
    </row>
    <row r="381" ht="15.75" customHeight="1">
      <c r="AG381" s="153" t="str">
        <f t="shared" si="7"/>
        <v>#N/A</v>
      </c>
    </row>
    <row r="382" ht="15.75" customHeight="1">
      <c r="AG382" s="153" t="str">
        <f t="shared" si="7"/>
        <v>#N/A</v>
      </c>
    </row>
    <row r="383" ht="15.75" customHeight="1">
      <c r="AG383" s="153" t="str">
        <f t="shared" si="7"/>
        <v>#N/A</v>
      </c>
    </row>
    <row r="384" ht="15.75" customHeight="1">
      <c r="AG384" s="153" t="str">
        <f t="shared" si="7"/>
        <v>#N/A</v>
      </c>
    </row>
    <row r="385" ht="15.75" customHeight="1">
      <c r="AG385" s="153" t="str">
        <f t="shared" si="7"/>
        <v>#N/A</v>
      </c>
    </row>
    <row r="386" ht="15.75" customHeight="1">
      <c r="AG386" s="153" t="str">
        <f t="shared" si="7"/>
        <v>#N/A</v>
      </c>
    </row>
    <row r="387" ht="15.75" customHeight="1">
      <c r="AG387" s="153" t="str">
        <f t="shared" si="7"/>
        <v>#N/A</v>
      </c>
    </row>
    <row r="388" ht="15.75" customHeight="1">
      <c r="AG388" s="153" t="str">
        <f t="shared" si="7"/>
        <v>#N/A</v>
      </c>
    </row>
    <row r="389" ht="15.75" customHeight="1">
      <c r="AG389" s="153" t="str">
        <f t="shared" si="7"/>
        <v>#N/A</v>
      </c>
    </row>
    <row r="390" ht="15.75" customHeight="1">
      <c r="AG390" s="153" t="str">
        <f t="shared" si="7"/>
        <v>#N/A</v>
      </c>
    </row>
    <row r="391" ht="15.75" customHeight="1">
      <c r="AG391" s="153" t="str">
        <f t="shared" si="7"/>
        <v>#N/A</v>
      </c>
    </row>
    <row r="392" ht="15.75" customHeight="1">
      <c r="AG392" s="153" t="str">
        <f t="shared" si="7"/>
        <v>#N/A</v>
      </c>
    </row>
    <row r="393" ht="15.75" customHeight="1">
      <c r="AG393" s="153" t="str">
        <f t="shared" si="7"/>
        <v>#N/A</v>
      </c>
    </row>
    <row r="394" ht="15.75" customHeight="1">
      <c r="AG394" s="153" t="str">
        <f t="shared" si="7"/>
        <v>#N/A</v>
      </c>
    </row>
    <row r="395" ht="15.75" customHeight="1">
      <c r="AG395" s="153" t="str">
        <f t="shared" si="7"/>
        <v>#N/A</v>
      </c>
    </row>
    <row r="396" ht="15.75" customHeight="1">
      <c r="AG396" s="153" t="str">
        <f t="shared" si="7"/>
        <v>#N/A</v>
      </c>
    </row>
    <row r="397" ht="15.75" customHeight="1">
      <c r="AG397" s="153" t="str">
        <f t="shared" si="7"/>
        <v>#N/A</v>
      </c>
    </row>
    <row r="398" ht="15.75" customHeight="1">
      <c r="AG398" s="153" t="str">
        <f t="shared" si="7"/>
        <v>#N/A</v>
      </c>
    </row>
    <row r="399" ht="15.75" customHeight="1">
      <c r="AG399" s="153" t="str">
        <f t="shared" si="7"/>
        <v>#N/A</v>
      </c>
    </row>
    <row r="400" ht="15.75" customHeight="1">
      <c r="AG400" s="153" t="str">
        <f t="shared" si="7"/>
        <v>#N/A</v>
      </c>
    </row>
    <row r="401" ht="15.75" customHeight="1">
      <c r="AG401" s="153" t="str">
        <f t="shared" si="7"/>
        <v>#N/A</v>
      </c>
    </row>
    <row r="402" ht="15.75" customHeight="1">
      <c r="AG402" s="153" t="str">
        <f t="shared" si="7"/>
        <v>#N/A</v>
      </c>
    </row>
    <row r="403" ht="15.75" customHeight="1">
      <c r="AG403" s="153" t="str">
        <f t="shared" si="7"/>
        <v>#N/A</v>
      </c>
    </row>
    <row r="404" ht="15.75" customHeight="1">
      <c r="AG404" s="153" t="str">
        <f t="shared" si="7"/>
        <v>#N/A</v>
      </c>
    </row>
    <row r="405" ht="15.75" customHeight="1">
      <c r="AG405" s="153" t="str">
        <f t="shared" si="7"/>
        <v>#N/A</v>
      </c>
    </row>
    <row r="406" ht="15.75" customHeight="1">
      <c r="AG406" s="153" t="str">
        <f t="shared" si="7"/>
        <v>#N/A</v>
      </c>
    </row>
    <row r="407" ht="15.75" customHeight="1">
      <c r="AG407" s="153" t="str">
        <f t="shared" si="7"/>
        <v>#N/A</v>
      </c>
    </row>
    <row r="408" ht="15.75" customHeight="1">
      <c r="AG408" s="153" t="str">
        <f t="shared" si="7"/>
        <v>#N/A</v>
      </c>
    </row>
    <row r="409" ht="15.75" customHeight="1">
      <c r="AG409" s="153" t="str">
        <f t="shared" si="7"/>
        <v>#N/A</v>
      </c>
    </row>
    <row r="410" ht="15.75" customHeight="1">
      <c r="AG410" s="153" t="str">
        <f t="shared" si="7"/>
        <v>#N/A</v>
      </c>
    </row>
    <row r="411" ht="15.75" customHeight="1">
      <c r="AG411" s="153" t="str">
        <f t="shared" si="7"/>
        <v>#N/A</v>
      </c>
    </row>
    <row r="412" ht="15.75" customHeight="1">
      <c r="AG412" s="153" t="str">
        <f t="shared" si="7"/>
        <v>#N/A</v>
      </c>
    </row>
    <row r="413" ht="15.75" customHeight="1">
      <c r="AG413" s="153" t="str">
        <f t="shared" si="7"/>
        <v>#N/A</v>
      </c>
    </row>
    <row r="414" ht="15.75" customHeight="1">
      <c r="AG414" s="153" t="str">
        <f t="shared" si="7"/>
        <v>#N/A</v>
      </c>
    </row>
    <row r="415" ht="15.75" customHeight="1">
      <c r="AG415" s="153" t="str">
        <f t="shared" si="7"/>
        <v>#N/A</v>
      </c>
    </row>
    <row r="416" ht="15.75" customHeight="1">
      <c r="AG416" s="153" t="str">
        <f t="shared" si="7"/>
        <v>#N/A</v>
      </c>
    </row>
    <row r="417" ht="15.75" customHeight="1">
      <c r="AG417" s="153" t="str">
        <f t="shared" si="7"/>
        <v>#N/A</v>
      </c>
    </row>
    <row r="418" ht="15.75" customHeight="1">
      <c r="AG418" s="153" t="str">
        <f t="shared" si="7"/>
        <v>#N/A</v>
      </c>
    </row>
    <row r="419" ht="15.75" customHeight="1">
      <c r="AG419" s="153" t="str">
        <f t="shared" si="7"/>
        <v>#N/A</v>
      </c>
    </row>
    <row r="420" ht="15.75" customHeight="1">
      <c r="AG420" s="153" t="str">
        <f t="shared" si="7"/>
        <v>#N/A</v>
      </c>
    </row>
    <row r="421" ht="15.75" customHeight="1">
      <c r="AG421" s="153" t="str">
        <f t="shared" si="7"/>
        <v>#N/A</v>
      </c>
    </row>
    <row r="422" ht="15.75" customHeight="1">
      <c r="AG422" s="153" t="str">
        <f t="shared" si="7"/>
        <v>#N/A</v>
      </c>
    </row>
    <row r="423" ht="15.75" customHeight="1">
      <c r="AG423" s="153" t="str">
        <f t="shared" si="7"/>
        <v>#N/A</v>
      </c>
    </row>
    <row r="424" ht="15.75" customHeight="1">
      <c r="AG424" s="153" t="str">
        <f t="shared" si="7"/>
        <v>#N/A</v>
      </c>
    </row>
    <row r="425" ht="15.75" customHeight="1">
      <c r="AG425" s="153" t="str">
        <f t="shared" si="7"/>
        <v>#N/A</v>
      </c>
    </row>
    <row r="426" ht="15.75" customHeight="1">
      <c r="AG426" s="153" t="str">
        <f t="shared" si="7"/>
        <v>#N/A</v>
      </c>
    </row>
    <row r="427" ht="15.75" customHeight="1">
      <c r="AG427" s="153" t="str">
        <f t="shared" si="7"/>
        <v>#N/A</v>
      </c>
    </row>
    <row r="428" ht="15.75" customHeight="1">
      <c r="AG428" s="153" t="str">
        <f t="shared" si="7"/>
        <v>#N/A</v>
      </c>
    </row>
    <row r="429" ht="15.75" customHeight="1">
      <c r="AG429" s="153" t="str">
        <f t="shared" si="7"/>
        <v>#N/A</v>
      </c>
    </row>
    <row r="430" ht="15.75" customHeight="1">
      <c r="AG430" s="153" t="str">
        <f t="shared" si="7"/>
        <v>#N/A</v>
      </c>
    </row>
    <row r="431" ht="15.75" customHeight="1">
      <c r="AG431" s="153" t="str">
        <f t="shared" si="7"/>
        <v>#N/A</v>
      </c>
    </row>
    <row r="432" ht="15.75" customHeight="1">
      <c r="AG432" s="153" t="str">
        <f t="shared" si="7"/>
        <v>#N/A</v>
      </c>
    </row>
    <row r="433" ht="15.75" customHeight="1">
      <c r="AG433" s="153" t="str">
        <f t="shared" si="7"/>
        <v>#N/A</v>
      </c>
    </row>
    <row r="434" ht="15.75" customHeight="1">
      <c r="AG434" s="153" t="str">
        <f t="shared" si="7"/>
        <v>#N/A</v>
      </c>
    </row>
    <row r="435" ht="15.75" customHeight="1">
      <c r="AG435" s="153" t="str">
        <f t="shared" si="7"/>
        <v>#N/A</v>
      </c>
    </row>
    <row r="436" ht="15.75" customHeight="1">
      <c r="AG436" s="153" t="str">
        <f t="shared" si="7"/>
        <v>#N/A</v>
      </c>
    </row>
    <row r="437" ht="15.75" customHeight="1">
      <c r="AG437" s="153" t="str">
        <f t="shared" si="7"/>
        <v>#N/A</v>
      </c>
    </row>
    <row r="438" ht="15.75" customHeight="1">
      <c r="AG438" s="153" t="str">
        <f t="shared" si="7"/>
        <v>#N/A</v>
      </c>
    </row>
    <row r="439" ht="15.75" customHeight="1">
      <c r="AG439" s="153" t="str">
        <f t="shared" si="7"/>
        <v>#N/A</v>
      </c>
    </row>
    <row r="440" ht="15.75" customHeight="1">
      <c r="AG440" s="153" t="str">
        <f t="shared" si="7"/>
        <v>#N/A</v>
      </c>
    </row>
    <row r="441" ht="15.75" customHeight="1">
      <c r="AG441" s="153" t="str">
        <f t="shared" si="7"/>
        <v>#N/A</v>
      </c>
    </row>
    <row r="442" ht="15.75" customHeight="1">
      <c r="AG442" s="153" t="str">
        <f t="shared" si="7"/>
        <v>#N/A</v>
      </c>
    </row>
    <row r="443" ht="15.75" customHeight="1">
      <c r="AG443" s="153" t="str">
        <f t="shared" si="7"/>
        <v>#N/A</v>
      </c>
    </row>
    <row r="444" ht="15.75" customHeight="1">
      <c r="AG444" s="153" t="str">
        <f t="shared" si="7"/>
        <v>#N/A</v>
      </c>
    </row>
    <row r="445" ht="15.75" customHeight="1">
      <c r="AG445" s="153" t="str">
        <f t="shared" si="7"/>
        <v>#N/A</v>
      </c>
    </row>
    <row r="446" ht="15.75" customHeight="1">
      <c r="AG446" s="153" t="str">
        <f t="shared" si="7"/>
        <v>#N/A</v>
      </c>
    </row>
    <row r="447" ht="15.75" customHeight="1">
      <c r="AG447" s="153" t="str">
        <f t="shared" si="7"/>
        <v>#N/A</v>
      </c>
    </row>
    <row r="448" ht="15.75" customHeight="1">
      <c r="AG448" s="153" t="str">
        <f t="shared" si="7"/>
        <v>#N/A</v>
      </c>
    </row>
    <row r="449" ht="15.75" customHeight="1">
      <c r="AG449" s="153" t="str">
        <f t="shared" si="7"/>
        <v>#N/A</v>
      </c>
    </row>
    <row r="450" ht="15.75" customHeight="1">
      <c r="AG450" s="153" t="str">
        <f t="shared" si="7"/>
        <v>#N/A</v>
      </c>
    </row>
    <row r="451" ht="15.75" customHeight="1">
      <c r="AG451" s="153" t="str">
        <f t="shared" si="7"/>
        <v>#N/A</v>
      </c>
    </row>
    <row r="452" ht="15.75" customHeight="1">
      <c r="AG452" s="153" t="str">
        <f t="shared" si="7"/>
        <v>#N/A</v>
      </c>
    </row>
    <row r="453" ht="15.75" customHeight="1">
      <c r="AG453" s="153" t="str">
        <f t="shared" si="7"/>
        <v>#N/A</v>
      </c>
    </row>
    <row r="454" ht="15.75" customHeight="1">
      <c r="AG454" s="153" t="str">
        <f t="shared" si="7"/>
        <v>#N/A</v>
      </c>
    </row>
    <row r="455" ht="15.75" customHeight="1">
      <c r="AG455" s="153" t="str">
        <f t="shared" si="7"/>
        <v>#N/A</v>
      </c>
    </row>
    <row r="456" ht="15.75" customHeight="1">
      <c r="AG456" s="153" t="str">
        <f t="shared" si="7"/>
        <v>#N/A</v>
      </c>
    </row>
    <row r="457" ht="15.75" customHeight="1">
      <c r="AG457" s="153" t="str">
        <f t="shared" si="7"/>
        <v>#N/A</v>
      </c>
    </row>
    <row r="458" ht="15.75" customHeight="1">
      <c r="AG458" s="153" t="str">
        <f t="shared" si="7"/>
        <v>#N/A</v>
      </c>
    </row>
    <row r="459" ht="15.75" customHeight="1">
      <c r="AG459" s="153" t="str">
        <f t="shared" si="7"/>
        <v>#N/A</v>
      </c>
    </row>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