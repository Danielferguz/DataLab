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danfe\Downloads\"/>
    </mc:Choice>
  </mc:AlternateContent>
  <xr:revisionPtr revIDLastSave="0" documentId="13_ncr:1_{0E0878C2-811E-49DE-867F-666CD6A40112}" xr6:coauthVersionLast="47" xr6:coauthVersionMax="47" xr10:uidLastSave="{00000000-0000-0000-0000-000000000000}"/>
  <bookViews>
    <workbookView minimized="1" xWindow="8250" yWindow="5235" windowWidth="17250" windowHeight="8865" activeTab="1" xr2:uid="{00000000-000D-0000-FFFF-FFFF00000000}"/>
  </bookViews>
  <sheets>
    <sheet name="OIS - Sensitivity" sheetId="1" r:id="rId1"/>
    <sheet name="OIS - Specificity" sheetId="2" r:id="rId2"/>
    <sheet name="Version 2 - Sensitivity" sheetId="3" r:id="rId3"/>
    <sheet name="Version 2 - Specificit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1" l="1"/>
  <c r="H7" i="4"/>
  <c r="I7" i="4" s="1"/>
  <c r="J7" i="4" s="1"/>
  <c r="K7" i="4" s="1"/>
  <c r="H7" i="3"/>
  <c r="I7" i="3" s="1"/>
  <c r="J7" i="3" s="1"/>
  <c r="K7" i="3" s="1"/>
  <c r="H7" i="2"/>
  <c r="I7" i="2" s="1"/>
  <c r="J7" i="2" s="1"/>
  <c r="K7" i="2" s="1"/>
  <c r="I7" i="1"/>
  <c r="J7" i="1" s="1"/>
  <c r="K7" i="1" s="1"/>
  <c r="M7" i="1" l="1"/>
  <c r="L7" i="1"/>
  <c r="L7" i="2"/>
  <c r="M7" i="2"/>
  <c r="M7" i="3"/>
  <c r="L7" i="3"/>
  <c r="L7" i="4"/>
  <c r="M7" i="4"/>
</calcChain>
</file>

<file path=xl/sharedStrings.xml><?xml version="1.0" encoding="utf-8"?>
<sst xmlns="http://schemas.openxmlformats.org/spreadsheetml/2006/main" count="60" uniqueCount="20">
  <si>
    <t>OIS Calculator - Sensitivity</t>
  </si>
  <si>
    <t>GRADE Working Group</t>
  </si>
  <si>
    <t>Please fill out the following required fields:</t>
  </si>
  <si>
    <t>Calculated Results</t>
  </si>
  <si>
    <t>Number of theoretical cohort 
(most commonly 100, 1,000, 1,000,000)</t>
  </si>
  <si>
    <t>Highest acceptable FN threshold 
(in absolute terms, e.g., 20)</t>
  </si>
  <si>
    <t>Condition Prevalence 
(%)</t>
  </si>
  <si>
    <t>Sensitivity from Systematic Review 
(%)</t>
  </si>
  <si>
    <t xml:space="preserve">Sample Size that informed sensitivity in the systematic review </t>
  </si>
  <si>
    <t>Lowest Acceptable Sensitivity</t>
  </si>
  <si>
    <t xml:space="preserve">Highest Acceptable Margin of Error </t>
  </si>
  <si>
    <t>Required Sample Size (OIS)</t>
  </si>
  <si>
    <t>Is OIS met?</t>
  </si>
  <si>
    <t>OIS not meeting percentage
(%)</t>
  </si>
  <si>
    <t>Number needed to reach OIS requirement
(N)</t>
  </si>
  <si>
    <t>OIS Calculator - Specificity</t>
  </si>
  <si>
    <t>Highest acceptable FP threshold 
(in absolute terms, e.g., 20)</t>
  </si>
  <si>
    <t>Specificity from Systematic Review 
(%)</t>
  </si>
  <si>
    <t xml:space="preserve">Sample Size that informed specificity in the systematic review </t>
  </si>
  <si>
    <t>Lowest Acceptable Specificity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</si>
</sst>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u/>
      <sz val="24"/>
      <color rgb="FF2F5496"/>
      <name val="Calibri"/>
      <family val="2"/>
    </font>
    <font>
      <sz val="11"/>
      <color theme="1"/>
      <name val="Calibri"/>
      <family val="2"/>
    </font>
    <font>
      <sz val="16"/>
      <color rgb="FF333F4F"/>
      <name val="Calibri"/>
      <family val="2"/>
    </font>
    <font>
      <b/>
      <sz val="16"/>
      <color theme="1"/>
      <name val="Calibri"/>
      <family val="2"/>
    </font>
    <font>
      <b/>
      <i/>
      <sz val="14"/>
      <color theme="1"/>
      <name val="Calibri"/>
      <family val="2"/>
    </font>
    <font>
      <sz val="14"/>
      <color theme="1"/>
      <name val="Calibri"/>
      <family val="2"/>
    </font>
    <font>
      <sz val="16"/>
      <color theme="1"/>
      <name val="Calibri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u/>
      <sz val="24"/>
      <color rgb="FF2F5496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DD6EE"/>
        <bgColor rgb="FFBDD6EE"/>
      </patternFill>
    </fill>
    <fill>
      <patternFill patternType="solid">
        <fgColor rgb="FFC5E0B3"/>
        <bgColor rgb="FFC5E0B3"/>
      </patternFill>
    </fill>
    <fill>
      <patternFill patternType="solid">
        <fgColor rgb="FFD0CECE"/>
        <bgColor rgb="FFD0CECE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2" fillId="2" borderId="0" xfId="0" applyFont="1" applyFill="1"/>
    <xf numFmtId="0" fontId="3" fillId="2" borderId="0" xfId="0" applyFont="1" applyFill="1" applyAlignment="1">
      <alignment horizontal="center" vertical="top"/>
    </xf>
    <xf numFmtId="0" fontId="2" fillId="2" borderId="0" xfId="0" applyFont="1" applyFill="1" applyAlignment="1"/>
    <xf numFmtId="0" fontId="4" fillId="2" borderId="0" xfId="0" applyFont="1" applyFill="1" applyAlignment="1"/>
    <xf numFmtId="0" fontId="2" fillId="0" borderId="0" xfId="0" applyFont="1" applyAlignment="1"/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8" fillId="6" borderId="0" xfId="0" applyFont="1" applyFill="1"/>
    <xf numFmtId="0" fontId="9" fillId="0" borderId="0" xfId="0" applyFont="1" applyAlignment="1"/>
    <xf numFmtId="0" fontId="2" fillId="2" borderId="0" xfId="0" applyFont="1" applyFill="1" applyAlignment="1"/>
    <xf numFmtId="0" fontId="7" fillId="0" borderId="1" xfId="0" applyFont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  <xf numFmtId="0" fontId="10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438150</xdr:colOff>
      <xdr:row>3</xdr:row>
      <xdr:rowOff>152400</xdr:rowOff>
    </xdr:from>
    <xdr:ext cx="485775" cy="381000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438150" y="1019175"/>
          <a:ext cx="485775" cy="381000"/>
          <a:chOff x="191725" y="113050"/>
          <a:chExt cx="4876800" cy="3733800"/>
        </a:xfrm>
      </xdr:grpSpPr>
      <xdr:pic>
        <xdr:nvPicPr>
          <xdr:cNvPr id="3" name="Shape 3" descr="di4oozMjT.png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>
            <a:alphaModFix/>
          </a:blip>
          <a:stretch>
            <a:fillRect/>
          </a:stretch>
        </xdr:blipFill>
        <xdr:spPr>
          <a:xfrm flipH="1">
            <a:off x="191725" y="113050"/>
            <a:ext cx="4876800" cy="37338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6</xdr:col>
      <xdr:colOff>409575</xdr:colOff>
      <xdr:row>3</xdr:row>
      <xdr:rowOff>152400</xdr:rowOff>
    </xdr:from>
    <xdr:ext cx="485775" cy="381000"/>
    <xdr:grpSp>
      <xdr:nvGrpSpPr>
        <xdr:cNvPr id="4" name="Shape 2" title="Drawi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6562725" y="1019175"/>
          <a:ext cx="485775" cy="381000"/>
          <a:chOff x="152400" y="152400"/>
          <a:chExt cx="4876800" cy="3733800"/>
        </a:xfrm>
      </xdr:grpSpPr>
      <xdr:pic>
        <xdr:nvPicPr>
          <xdr:cNvPr id="5" name="Shape 4" descr="di4oozMjT.png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>
            <a:alphaModFix/>
          </a:blip>
          <a:stretch>
            <a:fillRect/>
          </a:stretch>
        </xdr:blipFill>
        <xdr:spPr>
          <a:xfrm flipH="1">
            <a:off x="152400" y="152400"/>
            <a:ext cx="4876800" cy="37338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3</xdr:row>
      <xdr:rowOff>152400</xdr:rowOff>
    </xdr:from>
    <xdr:ext cx="485775" cy="381000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52400" y="1019175"/>
          <a:ext cx="485775" cy="381000"/>
          <a:chOff x="191725" y="113050"/>
          <a:chExt cx="4876800" cy="3733800"/>
        </a:xfrm>
      </xdr:grpSpPr>
      <xdr:pic>
        <xdr:nvPicPr>
          <xdr:cNvPr id="3" name="Shape 3" descr="di4oozMjT.png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>
            <a:alphaModFix/>
          </a:blip>
          <a:stretch>
            <a:fillRect/>
          </a:stretch>
        </xdr:blipFill>
        <xdr:spPr>
          <a:xfrm flipH="1">
            <a:off x="191725" y="113050"/>
            <a:ext cx="4876800" cy="37338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6</xdr:col>
      <xdr:colOff>409575</xdr:colOff>
      <xdr:row>3</xdr:row>
      <xdr:rowOff>152400</xdr:rowOff>
    </xdr:from>
    <xdr:ext cx="485775" cy="381000"/>
    <xdr:grpSp>
      <xdr:nvGrpSpPr>
        <xdr:cNvPr id="4" name="Shape 2" title="Drawi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pSpPr/>
      </xdr:nvGrpSpPr>
      <xdr:grpSpPr>
        <a:xfrm>
          <a:off x="6457950" y="1019175"/>
          <a:ext cx="485775" cy="381000"/>
          <a:chOff x="152400" y="152400"/>
          <a:chExt cx="4876800" cy="3733800"/>
        </a:xfrm>
      </xdr:grpSpPr>
      <xdr:pic>
        <xdr:nvPicPr>
          <xdr:cNvPr id="5" name="Shape 4" descr="di4oozMjT.png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>
            <a:alphaModFix/>
          </a:blip>
          <a:stretch>
            <a:fillRect/>
          </a:stretch>
        </xdr:blipFill>
        <xdr:spPr>
          <a:xfrm flipH="1">
            <a:off x="152400" y="152400"/>
            <a:ext cx="4876800" cy="37338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438150</xdr:colOff>
      <xdr:row>3</xdr:row>
      <xdr:rowOff>152400</xdr:rowOff>
    </xdr:from>
    <xdr:ext cx="485775" cy="381000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438150" y="1019175"/>
          <a:ext cx="485775" cy="381000"/>
          <a:chOff x="191725" y="113050"/>
          <a:chExt cx="4876800" cy="3733800"/>
        </a:xfrm>
      </xdr:grpSpPr>
      <xdr:pic>
        <xdr:nvPicPr>
          <xdr:cNvPr id="3" name="Shape 3" descr="di4oozMjT.png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>
            <a:alphaModFix/>
          </a:blip>
          <a:stretch>
            <a:fillRect/>
          </a:stretch>
        </xdr:blipFill>
        <xdr:spPr>
          <a:xfrm flipH="1">
            <a:off x="191725" y="113050"/>
            <a:ext cx="4876800" cy="37338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6</xdr:col>
      <xdr:colOff>409575</xdr:colOff>
      <xdr:row>3</xdr:row>
      <xdr:rowOff>152400</xdr:rowOff>
    </xdr:from>
    <xdr:ext cx="485775" cy="381000"/>
    <xdr:grpSp>
      <xdr:nvGrpSpPr>
        <xdr:cNvPr id="4" name="Shape 2" title="Drawi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pSpPr/>
      </xdr:nvGrpSpPr>
      <xdr:grpSpPr>
        <a:xfrm>
          <a:off x="6562725" y="1019175"/>
          <a:ext cx="485775" cy="381000"/>
          <a:chOff x="152400" y="152400"/>
          <a:chExt cx="4876800" cy="3733800"/>
        </a:xfrm>
      </xdr:grpSpPr>
      <xdr:pic>
        <xdr:nvPicPr>
          <xdr:cNvPr id="5" name="Shape 4" descr="di4oozMjT.png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>
            <a:alphaModFix/>
          </a:blip>
          <a:stretch>
            <a:fillRect/>
          </a:stretch>
        </xdr:blipFill>
        <xdr:spPr>
          <a:xfrm flipH="1">
            <a:off x="152400" y="152400"/>
            <a:ext cx="4876800" cy="37338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3</xdr:row>
      <xdr:rowOff>152400</xdr:rowOff>
    </xdr:from>
    <xdr:ext cx="485775" cy="381000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152400" y="1019175"/>
          <a:ext cx="485775" cy="381000"/>
          <a:chOff x="191725" y="113050"/>
          <a:chExt cx="4876800" cy="3733800"/>
        </a:xfrm>
      </xdr:grpSpPr>
      <xdr:pic>
        <xdr:nvPicPr>
          <xdr:cNvPr id="3" name="Shape 3" descr="di4oozMjT.png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>
            <a:alphaModFix/>
          </a:blip>
          <a:stretch>
            <a:fillRect/>
          </a:stretch>
        </xdr:blipFill>
        <xdr:spPr>
          <a:xfrm flipH="1">
            <a:off x="191725" y="113050"/>
            <a:ext cx="4876800" cy="37338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6</xdr:col>
      <xdr:colOff>409575</xdr:colOff>
      <xdr:row>3</xdr:row>
      <xdr:rowOff>152400</xdr:rowOff>
    </xdr:from>
    <xdr:ext cx="485775" cy="381000"/>
    <xdr:grpSp>
      <xdr:nvGrpSpPr>
        <xdr:cNvPr id="4" name="Shape 2" title="Drawin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pSpPr/>
      </xdr:nvGrpSpPr>
      <xdr:grpSpPr>
        <a:xfrm>
          <a:off x="6457950" y="1019175"/>
          <a:ext cx="485775" cy="381000"/>
          <a:chOff x="152400" y="152400"/>
          <a:chExt cx="4876800" cy="3733800"/>
        </a:xfrm>
      </xdr:grpSpPr>
      <xdr:pic>
        <xdr:nvPicPr>
          <xdr:cNvPr id="5" name="Shape 4" descr="di4oozMjT.png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>
            <a:alphaModFix/>
          </a:blip>
          <a:stretch>
            <a:fillRect/>
          </a:stretch>
        </xdr:blipFill>
        <xdr:spPr>
          <a:xfrm flipH="1">
            <a:off x="152400" y="152400"/>
            <a:ext cx="4876800" cy="37338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M19"/>
  <sheetViews>
    <sheetView workbookViewId="0">
      <selection activeCell="C7" sqref="C7"/>
    </sheetView>
  </sheetViews>
  <sheetFormatPr baseColWidth="10" defaultColWidth="12.5703125" defaultRowHeight="15.75" customHeight="1" x14ac:dyDescent="0.2"/>
  <cols>
    <col min="1" max="1" width="12.28515625" customWidth="1"/>
    <col min="2" max="2" width="16.42578125" customWidth="1"/>
    <col min="3" max="3" width="20.140625" customWidth="1"/>
    <col min="5" max="5" width="14.85546875" customWidth="1"/>
    <col min="6" max="6" width="16" customWidth="1"/>
    <col min="8" max="8" width="18.42578125" customWidth="1"/>
    <col min="10" max="10" width="16.7109375" customWidth="1"/>
    <col min="12" max="12" width="19.5703125" customWidth="1"/>
    <col min="13" max="13" width="19.85546875" customWidth="1"/>
  </cols>
  <sheetData>
    <row r="2" spans="2:13" ht="31.5" x14ac:dyDescent="0.5">
      <c r="F2" s="19" t="s">
        <v>0</v>
      </c>
      <c r="G2" s="20"/>
      <c r="H2" s="20"/>
    </row>
    <row r="3" spans="2:13" ht="21" x14ac:dyDescent="0.25">
      <c r="F3" s="1"/>
      <c r="G3" s="2" t="s">
        <v>1</v>
      </c>
      <c r="H3" s="3"/>
    </row>
    <row r="5" spans="2:13" ht="21" x14ac:dyDescent="0.35">
      <c r="B5" s="4" t="s">
        <v>2</v>
      </c>
      <c r="C5" s="3"/>
      <c r="D5" s="3"/>
      <c r="E5" s="3"/>
      <c r="F5" s="3"/>
      <c r="G5" s="5"/>
      <c r="H5" s="4" t="s">
        <v>3</v>
      </c>
      <c r="I5" s="3"/>
      <c r="J5" s="3"/>
      <c r="K5" s="3"/>
      <c r="L5" s="3"/>
      <c r="M5" s="3"/>
    </row>
    <row r="6" spans="2:13" ht="119.25" customHeight="1" x14ac:dyDescent="0.2">
      <c r="B6" s="6" t="s">
        <v>4</v>
      </c>
      <c r="C6" s="6" t="s">
        <v>5</v>
      </c>
      <c r="D6" s="6" t="s">
        <v>6</v>
      </c>
      <c r="E6" s="6" t="s">
        <v>7</v>
      </c>
      <c r="F6" s="7" t="s">
        <v>8</v>
      </c>
      <c r="G6" s="8"/>
      <c r="H6" s="9" t="s">
        <v>9</v>
      </c>
      <c r="I6" s="9" t="s">
        <v>10</v>
      </c>
      <c r="J6" s="9" t="s">
        <v>11</v>
      </c>
      <c r="K6" s="9" t="s">
        <v>12</v>
      </c>
      <c r="L6" s="10" t="s">
        <v>13</v>
      </c>
      <c r="M6" s="10" t="s">
        <v>14</v>
      </c>
    </row>
    <row r="7" spans="2:13" ht="21" x14ac:dyDescent="0.35">
      <c r="B7" s="11">
        <v>1000</v>
      </c>
      <c r="C7" s="12">
        <v>20</v>
      </c>
      <c r="D7" s="11">
        <v>5</v>
      </c>
      <c r="E7" s="11">
        <v>85</v>
      </c>
      <c r="F7" s="11">
        <v>263</v>
      </c>
      <c r="G7" s="5"/>
      <c r="H7" s="13">
        <f>(((B7*D7/100)-(C7))/(B7*D7/100)*100)</f>
        <v>60</v>
      </c>
      <c r="I7" s="13">
        <f>ABS(100-H7)/2</f>
        <v>20</v>
      </c>
      <c r="J7" s="13">
        <f>ROUND(1.96*1.96*(E7/100)*(1-(E7/100))/((D7/100)*(I7/100)*(I7/100)),0)</f>
        <v>245</v>
      </c>
      <c r="K7" s="13" t="str">
        <f>IF(F7/J7&gt;1, "Yes", IF(F7/J7&lt;1,"No"))</f>
        <v>Yes</v>
      </c>
      <c r="L7" s="13" t="str">
        <f>IF(K7="Yes","Not Applicable",IF(K7="No",ROUND(100-((F7/J7)*100),0)))</f>
        <v>Not Applicable</v>
      </c>
      <c r="M7" s="13" t="str">
        <f>IF(K7="Yes","Not Applicable",IF(K7="No",ROUND(J7-F7,0)))</f>
        <v>Not Applicable</v>
      </c>
    </row>
    <row r="8" spans="2:13" ht="15" x14ac:dyDescent="0.25">
      <c r="B8" s="3"/>
      <c r="C8" s="3"/>
      <c r="D8" s="3"/>
      <c r="E8" s="3"/>
      <c r="F8" s="3"/>
      <c r="G8" s="3"/>
      <c r="H8" s="3"/>
      <c r="I8" s="3"/>
    </row>
    <row r="9" spans="2:13" ht="15" x14ac:dyDescent="0.25">
      <c r="B9" s="5"/>
      <c r="C9" s="5"/>
      <c r="D9" s="14"/>
      <c r="E9" s="14"/>
      <c r="F9" s="3"/>
      <c r="G9" s="3"/>
      <c r="H9" s="3"/>
      <c r="I9" s="14"/>
    </row>
    <row r="10" spans="2:13" ht="15" x14ac:dyDescent="0.25">
      <c r="B10" s="5"/>
      <c r="C10" s="5"/>
      <c r="D10" s="3"/>
      <c r="E10" s="3"/>
      <c r="F10" s="3"/>
      <c r="G10" s="3"/>
      <c r="H10" s="3"/>
      <c r="I10" s="3"/>
    </row>
    <row r="11" spans="2:13" ht="12.75" x14ac:dyDescent="0.2">
      <c r="D11" s="15"/>
      <c r="E11" s="15"/>
      <c r="F11" s="15"/>
    </row>
    <row r="12" spans="2:13" ht="12.75" x14ac:dyDescent="0.2">
      <c r="D12" s="15"/>
      <c r="E12" s="15"/>
      <c r="F12" s="15"/>
    </row>
    <row r="13" spans="2:13" ht="12.75" x14ac:dyDescent="0.2">
      <c r="B13" s="15"/>
      <c r="C13" s="15"/>
      <c r="D13" s="15"/>
      <c r="E13" s="15"/>
      <c r="F13" s="15"/>
    </row>
    <row r="14" spans="2:13" ht="12.75" x14ac:dyDescent="0.2">
      <c r="B14" s="15"/>
      <c r="C14" s="15"/>
      <c r="D14" s="15"/>
      <c r="E14" s="15"/>
      <c r="F14" s="15"/>
      <c r="G14" s="15"/>
    </row>
    <row r="15" spans="2:13" ht="12.75" x14ac:dyDescent="0.2">
      <c r="B15" s="15"/>
      <c r="C15" s="15"/>
      <c r="D15" s="15"/>
      <c r="E15" s="15"/>
      <c r="F15" s="15"/>
      <c r="G15" s="15"/>
    </row>
    <row r="16" spans="2:13" ht="12.75" x14ac:dyDescent="0.2">
      <c r="B16" s="15"/>
      <c r="C16" s="15"/>
      <c r="D16" s="15"/>
      <c r="E16" s="15"/>
      <c r="F16" s="15"/>
      <c r="G16" s="15"/>
      <c r="H16" s="16"/>
      <c r="I16" s="16"/>
      <c r="J16" s="16"/>
      <c r="K16" s="16"/>
      <c r="L16" s="16"/>
      <c r="M16" s="16"/>
    </row>
    <row r="17" spans="2:13" ht="12.75" x14ac:dyDescent="0.2">
      <c r="B17" s="15"/>
      <c r="C17" s="15"/>
      <c r="D17" s="15"/>
      <c r="E17" s="15"/>
      <c r="F17" s="15"/>
      <c r="G17" s="15"/>
      <c r="H17" s="16"/>
      <c r="I17" s="16"/>
      <c r="J17" s="16"/>
      <c r="K17" s="16"/>
      <c r="L17" s="16"/>
      <c r="M17" s="16"/>
    </row>
    <row r="18" spans="2:13" ht="12.75" x14ac:dyDescent="0.2">
      <c r="H18" s="16"/>
      <c r="I18" s="16"/>
      <c r="J18" s="16"/>
      <c r="K18" s="16"/>
      <c r="L18" s="16"/>
      <c r="M18" s="16"/>
    </row>
    <row r="19" spans="2:13" ht="12.75" x14ac:dyDescent="0.2">
      <c r="H19" s="16"/>
      <c r="I19" s="16"/>
      <c r="J19" s="16"/>
      <c r="K19" s="16"/>
      <c r="L19" s="16"/>
      <c r="M19" s="16"/>
    </row>
  </sheetData>
  <mergeCells count="1">
    <mergeCell ref="F2:H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M18"/>
  <sheetViews>
    <sheetView tabSelected="1" workbookViewId="0">
      <selection activeCell="C7" sqref="C7"/>
    </sheetView>
  </sheetViews>
  <sheetFormatPr baseColWidth="10" defaultColWidth="12.5703125" defaultRowHeight="15.75" customHeight="1" x14ac:dyDescent="0.2"/>
  <cols>
    <col min="1" max="1" width="8.85546875" customWidth="1"/>
    <col min="2" max="2" width="16.42578125" customWidth="1"/>
    <col min="3" max="3" width="20.140625" customWidth="1"/>
    <col min="5" max="5" width="16.7109375" customWidth="1"/>
    <col min="6" max="6" width="16" customWidth="1"/>
    <col min="7" max="7" width="13.7109375" customWidth="1"/>
    <col min="8" max="8" width="18.42578125" customWidth="1"/>
    <col min="9" max="9" width="16.85546875" customWidth="1"/>
    <col min="12" max="12" width="19.5703125" customWidth="1"/>
    <col min="13" max="13" width="19.85546875" customWidth="1"/>
  </cols>
  <sheetData>
    <row r="2" spans="2:13" ht="31.5" x14ac:dyDescent="0.5">
      <c r="F2" s="21" t="s">
        <v>15</v>
      </c>
      <c r="G2" s="20"/>
      <c r="H2" s="20"/>
    </row>
    <row r="3" spans="2:13" ht="21" x14ac:dyDescent="0.25">
      <c r="F3" s="1"/>
      <c r="G3" s="2" t="s">
        <v>1</v>
      </c>
      <c r="H3" s="3"/>
    </row>
    <row r="5" spans="2:13" ht="21" x14ac:dyDescent="0.35">
      <c r="B5" s="4" t="s">
        <v>2</v>
      </c>
      <c r="C5" s="3"/>
      <c r="D5" s="3"/>
      <c r="E5" s="3"/>
      <c r="F5" s="3"/>
      <c r="G5" s="5"/>
      <c r="H5" s="4" t="s">
        <v>3</v>
      </c>
      <c r="I5" s="3"/>
      <c r="J5" s="3"/>
      <c r="K5" s="3"/>
      <c r="L5" s="3"/>
      <c r="M5" s="3"/>
    </row>
    <row r="6" spans="2:13" ht="119.25" customHeight="1" x14ac:dyDescent="0.2">
      <c r="B6" s="6" t="s">
        <v>4</v>
      </c>
      <c r="C6" s="6" t="s">
        <v>16</v>
      </c>
      <c r="D6" s="6" t="s">
        <v>6</v>
      </c>
      <c r="E6" s="6" t="s">
        <v>17</v>
      </c>
      <c r="F6" s="6" t="s">
        <v>18</v>
      </c>
      <c r="G6" s="8"/>
      <c r="H6" s="10" t="s">
        <v>19</v>
      </c>
      <c r="I6" s="9" t="s">
        <v>10</v>
      </c>
      <c r="J6" s="9" t="s">
        <v>11</v>
      </c>
      <c r="K6" s="9" t="s">
        <v>12</v>
      </c>
      <c r="L6" s="10" t="s">
        <v>13</v>
      </c>
      <c r="M6" s="10" t="s">
        <v>14</v>
      </c>
    </row>
    <row r="7" spans="2:13" ht="21" x14ac:dyDescent="0.35">
      <c r="B7" s="17">
        <v>1000</v>
      </c>
      <c r="C7" s="17">
        <v>200</v>
      </c>
      <c r="D7" s="17">
        <v>5</v>
      </c>
      <c r="E7" s="17">
        <v>79</v>
      </c>
      <c r="F7" s="17">
        <v>265</v>
      </c>
      <c r="G7" s="5"/>
      <c r="H7" s="13">
        <f>(((B7*(100-D7)/100)-(C7)))/(B7*(100-D7)/100)*100</f>
        <v>78.94736842105263</v>
      </c>
      <c r="I7" s="13">
        <f>ABS(100-H7)/2</f>
        <v>10.526315789473685</v>
      </c>
      <c r="J7" s="13">
        <f>ROUND(1.96*1.96*(E7/100)*(1-(E7/100))/(((100-D7)/100)*(I7/100)*(I7/100)),0)</f>
        <v>61</v>
      </c>
      <c r="K7" s="13" t="str">
        <f>IF(F7/J7&gt;1, "Yes", IF(F7/J7&lt;1,"No"))</f>
        <v>Yes</v>
      </c>
      <c r="L7" s="13" t="str">
        <f>IF(K7="Yes","Not Applicable",IF(K7="No",ROUND(100-((F7/J7)*100),0)))</f>
        <v>Not Applicable</v>
      </c>
      <c r="M7" s="13" t="str">
        <f>IF(K7="Yes","Not Applicable",IF(K7="No",ROUND(J7-F7,0)))</f>
        <v>Not Applicable</v>
      </c>
    </row>
    <row r="8" spans="2:13" ht="15" x14ac:dyDescent="0.25">
      <c r="B8" s="5"/>
      <c r="C8" s="5"/>
      <c r="D8" s="14"/>
      <c r="E8" s="14"/>
      <c r="F8" s="3"/>
      <c r="G8" s="3"/>
      <c r="H8" s="3"/>
    </row>
    <row r="9" spans="2:13" ht="15" x14ac:dyDescent="0.25">
      <c r="B9" s="5"/>
      <c r="C9" s="5"/>
      <c r="D9" s="3"/>
      <c r="E9" s="3"/>
      <c r="F9" s="3"/>
      <c r="G9" s="3"/>
      <c r="H9" s="3"/>
    </row>
    <row r="10" spans="2:13" ht="12.75" x14ac:dyDescent="0.2">
      <c r="D10" s="15"/>
      <c r="E10" s="15"/>
      <c r="F10" s="15"/>
    </row>
    <row r="11" spans="2:13" ht="12.75" x14ac:dyDescent="0.2">
      <c r="D11" s="15"/>
      <c r="E11" s="15"/>
      <c r="F11" s="15"/>
    </row>
    <row r="12" spans="2:13" ht="12.75" x14ac:dyDescent="0.2">
      <c r="B12" s="15"/>
      <c r="C12" s="15"/>
      <c r="D12" s="15"/>
      <c r="E12" s="15"/>
      <c r="F12" s="15"/>
    </row>
    <row r="13" spans="2:13" ht="12.75" x14ac:dyDescent="0.2">
      <c r="B13" s="15"/>
      <c r="C13" s="15"/>
      <c r="D13" s="15"/>
      <c r="E13" s="15"/>
      <c r="F13" s="15"/>
      <c r="G13" s="15"/>
    </row>
    <row r="14" spans="2:13" ht="12.75" x14ac:dyDescent="0.2">
      <c r="B14" s="15"/>
      <c r="C14" s="15"/>
      <c r="D14" s="15"/>
      <c r="E14" s="15"/>
      <c r="F14" s="15"/>
      <c r="G14" s="15"/>
    </row>
    <row r="15" spans="2:13" ht="12.75" x14ac:dyDescent="0.2">
      <c r="B15" s="15"/>
      <c r="C15" s="15"/>
      <c r="D15" s="15"/>
      <c r="E15" s="15"/>
      <c r="F15" s="15"/>
      <c r="G15" s="15"/>
      <c r="H15" s="16"/>
      <c r="I15" s="16"/>
      <c r="J15" s="16"/>
      <c r="K15" s="16"/>
      <c r="L15" s="16"/>
      <c r="M15" s="16"/>
    </row>
    <row r="16" spans="2:13" ht="12.75" x14ac:dyDescent="0.2">
      <c r="B16" s="15"/>
      <c r="C16" s="15"/>
      <c r="D16" s="15"/>
      <c r="E16" s="15"/>
      <c r="F16" s="15"/>
      <c r="G16" s="15"/>
      <c r="H16" s="16"/>
      <c r="I16" s="16"/>
      <c r="J16" s="16"/>
      <c r="K16" s="16"/>
      <c r="L16" s="16"/>
      <c r="M16" s="16"/>
    </row>
    <row r="17" spans="8:13" ht="12.75" x14ac:dyDescent="0.2">
      <c r="H17" s="16"/>
      <c r="I17" s="16"/>
      <c r="J17" s="16"/>
      <c r="K17" s="16"/>
      <c r="L17" s="16"/>
      <c r="M17" s="16"/>
    </row>
    <row r="18" spans="8:13" ht="12.75" x14ac:dyDescent="0.2">
      <c r="H18" s="16"/>
      <c r="I18" s="16"/>
      <c r="J18" s="16"/>
      <c r="K18" s="16"/>
      <c r="L18" s="16"/>
      <c r="M18" s="16"/>
    </row>
  </sheetData>
  <mergeCells count="1">
    <mergeCell ref="F2:H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2:M19"/>
  <sheetViews>
    <sheetView workbookViewId="0"/>
  </sheetViews>
  <sheetFormatPr baseColWidth="10" defaultColWidth="12.5703125" defaultRowHeight="15.75" customHeight="1" x14ac:dyDescent="0.2"/>
  <cols>
    <col min="1" max="1" width="12.28515625" customWidth="1"/>
    <col min="2" max="2" width="16.42578125" customWidth="1"/>
    <col min="3" max="3" width="20.140625" customWidth="1"/>
    <col min="5" max="5" width="14.85546875" customWidth="1"/>
    <col min="6" max="6" width="16" customWidth="1"/>
    <col min="8" max="8" width="18.42578125" customWidth="1"/>
    <col min="9" max="9" width="15.28515625" customWidth="1"/>
    <col min="10" max="10" width="16.7109375" customWidth="1"/>
    <col min="12" max="12" width="19.5703125" customWidth="1"/>
    <col min="13" max="13" width="19.85546875" customWidth="1"/>
  </cols>
  <sheetData>
    <row r="2" spans="2:13" ht="31.5" x14ac:dyDescent="0.5">
      <c r="F2" s="19" t="s">
        <v>0</v>
      </c>
      <c r="G2" s="20"/>
      <c r="H2" s="20"/>
    </row>
    <row r="3" spans="2:13" ht="21" x14ac:dyDescent="0.25">
      <c r="F3" s="1"/>
      <c r="G3" s="2" t="s">
        <v>1</v>
      </c>
      <c r="H3" s="3"/>
    </row>
    <row r="5" spans="2:13" ht="21" x14ac:dyDescent="0.35">
      <c r="B5" s="4" t="s">
        <v>2</v>
      </c>
      <c r="C5" s="3"/>
      <c r="D5" s="3"/>
      <c r="E5" s="3"/>
      <c r="F5" s="3"/>
      <c r="G5" s="5"/>
      <c r="H5" s="4" t="s">
        <v>3</v>
      </c>
      <c r="I5" s="3"/>
      <c r="J5" s="3"/>
      <c r="K5" s="3"/>
      <c r="L5" s="3"/>
      <c r="M5" s="3"/>
    </row>
    <row r="6" spans="2:13" ht="119.25" customHeight="1" x14ac:dyDescent="0.2">
      <c r="B6" s="6" t="s">
        <v>4</v>
      </c>
      <c r="C6" s="6" t="s">
        <v>5</v>
      </c>
      <c r="D6" s="6" t="s">
        <v>6</v>
      </c>
      <c r="E6" s="6" t="s">
        <v>7</v>
      </c>
      <c r="F6" s="7" t="s">
        <v>8</v>
      </c>
      <c r="G6" s="8"/>
      <c r="H6" s="9" t="s">
        <v>9</v>
      </c>
      <c r="I6" s="9" t="s">
        <v>10</v>
      </c>
      <c r="J6" s="9" t="s">
        <v>11</v>
      </c>
      <c r="K6" s="9" t="s">
        <v>12</v>
      </c>
      <c r="L6" s="10" t="s">
        <v>13</v>
      </c>
      <c r="M6" s="10" t="s">
        <v>14</v>
      </c>
    </row>
    <row r="7" spans="2:13" ht="21" x14ac:dyDescent="0.35">
      <c r="B7" s="11">
        <v>1000</v>
      </c>
      <c r="C7" s="11">
        <v>20</v>
      </c>
      <c r="D7" s="11">
        <v>20</v>
      </c>
      <c r="E7" s="11">
        <v>77</v>
      </c>
      <c r="F7" s="11">
        <v>460</v>
      </c>
      <c r="G7" s="5"/>
      <c r="H7" s="13">
        <f>(((B7*D7/100)-(C7))/(B7*D7/100)*100)</f>
        <v>90</v>
      </c>
      <c r="I7" s="13">
        <f>ABS(E7-H7)/2</f>
        <v>6.5</v>
      </c>
      <c r="J7" s="13">
        <f>ROUND(1.96*1.96*(E7/100)*(1-(E7/100))/((D7/100)*(I7/100)*(I7/100)),0)</f>
        <v>805</v>
      </c>
      <c r="K7" s="13" t="str">
        <f>IF(F7/J7&gt;1, "Yes", IF(F7/J7&lt;1,"No"))</f>
        <v>No</v>
      </c>
      <c r="L7" s="13">
        <f>IF(K7="Yes","Not Applicable",IF(K7="No",ROUND(100-((F7/J7)*100),0)))</f>
        <v>43</v>
      </c>
      <c r="M7" s="13">
        <f>IF(K7="Yes","Not Applicable",IF(K7="No",ROUND(J7-F7,0)))</f>
        <v>345</v>
      </c>
    </row>
    <row r="8" spans="2:13" ht="15" x14ac:dyDescent="0.25">
      <c r="B8" s="3"/>
      <c r="C8" s="3"/>
      <c r="D8" s="3"/>
      <c r="E8" s="3"/>
      <c r="F8" s="3"/>
      <c r="G8" s="3"/>
      <c r="H8" s="3"/>
      <c r="I8" s="3"/>
    </row>
    <row r="9" spans="2:13" ht="15" x14ac:dyDescent="0.25">
      <c r="B9" s="5"/>
      <c r="C9" s="5"/>
      <c r="D9" s="14"/>
      <c r="E9" s="14"/>
      <c r="F9" s="3"/>
      <c r="G9" s="3"/>
      <c r="H9" s="3"/>
      <c r="I9" s="14"/>
    </row>
    <row r="10" spans="2:13" ht="15" x14ac:dyDescent="0.25">
      <c r="B10" s="5"/>
      <c r="C10" s="5"/>
      <c r="D10" s="3"/>
      <c r="E10" s="3"/>
      <c r="F10" s="3"/>
      <c r="G10" s="3"/>
      <c r="H10" s="3"/>
      <c r="I10" s="3"/>
    </row>
    <row r="11" spans="2:13" ht="12.75" x14ac:dyDescent="0.2">
      <c r="D11" s="15"/>
      <c r="E11" s="15"/>
      <c r="F11" s="15"/>
    </row>
    <row r="12" spans="2:13" ht="12.75" x14ac:dyDescent="0.2">
      <c r="D12" s="15"/>
      <c r="E12" s="15"/>
      <c r="F12" s="15"/>
    </row>
    <row r="13" spans="2:13" ht="12.75" x14ac:dyDescent="0.2">
      <c r="B13" s="15"/>
      <c r="C13" s="15"/>
      <c r="D13" s="15"/>
      <c r="E13" s="15"/>
      <c r="F13" s="15"/>
    </row>
    <row r="14" spans="2:13" ht="12.75" x14ac:dyDescent="0.2">
      <c r="B14" s="15"/>
      <c r="C14" s="15"/>
      <c r="D14" s="15"/>
      <c r="E14" s="15"/>
      <c r="F14" s="15"/>
      <c r="G14" s="15"/>
    </row>
    <row r="15" spans="2:13" ht="12.75" x14ac:dyDescent="0.2">
      <c r="B15" s="15"/>
      <c r="C15" s="15"/>
      <c r="D15" s="15"/>
      <c r="E15" s="15"/>
      <c r="F15" s="15"/>
      <c r="G15" s="15"/>
    </row>
    <row r="16" spans="2:13" ht="12.75" x14ac:dyDescent="0.2">
      <c r="B16" s="15"/>
      <c r="C16" s="15"/>
      <c r="D16" s="15"/>
      <c r="E16" s="15"/>
      <c r="F16" s="15"/>
      <c r="G16" s="15"/>
      <c r="H16" s="16"/>
      <c r="I16" s="16"/>
      <c r="J16" s="16"/>
      <c r="K16" s="16"/>
      <c r="L16" s="16"/>
      <c r="M16" s="16"/>
    </row>
    <row r="17" spans="2:13" ht="12.75" x14ac:dyDescent="0.2">
      <c r="B17" s="15"/>
      <c r="C17" s="15"/>
      <c r="D17" s="15"/>
      <c r="E17" s="15"/>
      <c r="F17" s="15"/>
      <c r="G17" s="15"/>
      <c r="H17" s="16"/>
      <c r="I17" s="16"/>
      <c r="J17" s="16"/>
      <c r="K17" s="16"/>
      <c r="L17" s="16"/>
      <c r="M17" s="16"/>
    </row>
    <row r="18" spans="2:13" ht="12.75" x14ac:dyDescent="0.2">
      <c r="H18" s="16"/>
      <c r="I18" s="16"/>
      <c r="J18" s="16"/>
      <c r="K18" s="16"/>
      <c r="L18" s="16"/>
      <c r="M18" s="16"/>
    </row>
    <row r="19" spans="2:13" ht="12.75" x14ac:dyDescent="0.2">
      <c r="H19" s="16"/>
      <c r="I19" s="16"/>
      <c r="J19" s="16"/>
      <c r="K19" s="16"/>
      <c r="L19" s="16"/>
      <c r="M19" s="16"/>
    </row>
  </sheetData>
  <mergeCells count="1">
    <mergeCell ref="F2:H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2:M19"/>
  <sheetViews>
    <sheetView workbookViewId="0"/>
  </sheetViews>
  <sheetFormatPr baseColWidth="10" defaultColWidth="12.5703125" defaultRowHeight="15.75" customHeight="1" x14ac:dyDescent="0.2"/>
  <cols>
    <col min="1" max="1" width="8.85546875" customWidth="1"/>
    <col min="2" max="2" width="16.42578125" customWidth="1"/>
    <col min="3" max="3" width="20.140625" customWidth="1"/>
    <col min="5" max="5" width="16.7109375" customWidth="1"/>
    <col min="6" max="6" width="16" customWidth="1"/>
    <col min="7" max="7" width="13.7109375" customWidth="1"/>
    <col min="8" max="8" width="18.42578125" customWidth="1"/>
    <col min="9" max="9" width="16.85546875" customWidth="1"/>
    <col min="12" max="12" width="19.5703125" customWidth="1"/>
    <col min="13" max="13" width="19.85546875" customWidth="1"/>
  </cols>
  <sheetData>
    <row r="2" spans="2:13" ht="31.5" x14ac:dyDescent="0.5">
      <c r="F2" s="21" t="s">
        <v>15</v>
      </c>
      <c r="G2" s="20"/>
      <c r="H2" s="20"/>
    </row>
    <row r="3" spans="2:13" ht="21" x14ac:dyDescent="0.25">
      <c r="F3" s="1"/>
      <c r="G3" s="2" t="s">
        <v>1</v>
      </c>
      <c r="H3" s="3"/>
    </row>
    <row r="5" spans="2:13" ht="21" x14ac:dyDescent="0.35">
      <c r="B5" s="4" t="s">
        <v>2</v>
      </c>
      <c r="C5" s="3"/>
      <c r="D5" s="3"/>
      <c r="E5" s="3"/>
      <c r="F5" s="3"/>
      <c r="G5" s="5"/>
      <c r="H5" s="4" t="s">
        <v>3</v>
      </c>
      <c r="I5" s="3"/>
      <c r="J5" s="3"/>
      <c r="K5" s="3"/>
      <c r="L5" s="3"/>
      <c r="M5" s="3"/>
    </row>
    <row r="6" spans="2:13" ht="119.25" customHeight="1" x14ac:dyDescent="0.2">
      <c r="B6" s="6" t="s">
        <v>4</v>
      </c>
      <c r="C6" s="6" t="s">
        <v>16</v>
      </c>
      <c r="D6" s="6" t="s">
        <v>6</v>
      </c>
      <c r="E6" s="6" t="s">
        <v>17</v>
      </c>
      <c r="F6" s="6" t="s">
        <v>18</v>
      </c>
      <c r="G6" s="8"/>
      <c r="H6" s="10" t="s">
        <v>19</v>
      </c>
      <c r="I6" s="9" t="s">
        <v>10</v>
      </c>
      <c r="J6" s="9" t="s">
        <v>11</v>
      </c>
      <c r="K6" s="9" t="s">
        <v>12</v>
      </c>
      <c r="L6" s="10" t="s">
        <v>13</v>
      </c>
      <c r="M6" s="10" t="s">
        <v>14</v>
      </c>
    </row>
    <row r="7" spans="2:13" ht="21" x14ac:dyDescent="0.35">
      <c r="B7" s="18">
        <v>1000</v>
      </c>
      <c r="C7" s="11">
        <v>100</v>
      </c>
      <c r="D7" s="11">
        <v>20</v>
      </c>
      <c r="E7" s="11">
        <v>96</v>
      </c>
      <c r="F7" s="11">
        <v>1000</v>
      </c>
      <c r="G7" s="5"/>
      <c r="H7" s="13">
        <f>(((B7*(100-D7)/100)-(C7)))/(B7*(100-D7)/100)*100</f>
        <v>87.5</v>
      </c>
      <c r="I7" s="13">
        <f>ABS(E7-H7)/2</f>
        <v>4.25</v>
      </c>
      <c r="J7" s="13">
        <f>ROUND(1.96*1.96*(E7/100)*(1-(E7/100))/(((100-D7)/100)*(I7/100)*(I7/100)),0)</f>
        <v>102</v>
      </c>
      <c r="K7" s="13" t="str">
        <f>IF(F7/J7&gt;1, "Yes", IF(F7/J7&lt;1,"No"))</f>
        <v>Yes</v>
      </c>
      <c r="L7" s="13" t="str">
        <f>IF(K7="Yes","Not Applicable",IF(K7="No",ROUND(100-((F7/J7)*100),0)))</f>
        <v>Not Applicable</v>
      </c>
      <c r="M7" s="13" t="str">
        <f>IF(K7="Yes","Not Applicable",IF(K7="No",ROUND(J7-F7,0)))</f>
        <v>Not Applicable</v>
      </c>
    </row>
    <row r="8" spans="2:13" ht="15" x14ac:dyDescent="0.25">
      <c r="B8" s="3"/>
      <c r="C8" s="3"/>
      <c r="D8" s="3"/>
      <c r="E8" s="3"/>
      <c r="F8" s="3"/>
      <c r="G8" s="3"/>
      <c r="H8" s="3"/>
      <c r="I8" s="3"/>
    </row>
    <row r="9" spans="2:13" ht="15" x14ac:dyDescent="0.25">
      <c r="B9" s="5"/>
      <c r="C9" s="5"/>
      <c r="D9" s="14"/>
      <c r="E9" s="14"/>
      <c r="F9" s="3"/>
      <c r="G9" s="3"/>
      <c r="H9" s="3"/>
    </row>
    <row r="10" spans="2:13" ht="15" x14ac:dyDescent="0.25">
      <c r="B10" s="5"/>
      <c r="C10" s="5"/>
      <c r="D10" s="3"/>
      <c r="E10" s="3"/>
      <c r="F10" s="3"/>
      <c r="G10" s="3"/>
      <c r="H10" s="3"/>
    </row>
    <row r="11" spans="2:13" ht="12.75" x14ac:dyDescent="0.2">
      <c r="D11" s="15"/>
      <c r="E11" s="15"/>
      <c r="F11" s="15"/>
    </row>
    <row r="12" spans="2:13" ht="12.75" x14ac:dyDescent="0.2">
      <c r="D12" s="15"/>
      <c r="E12" s="15"/>
      <c r="F12" s="15"/>
    </row>
    <row r="13" spans="2:13" ht="12.75" x14ac:dyDescent="0.2">
      <c r="B13" s="15"/>
      <c r="C13" s="15"/>
      <c r="D13" s="15"/>
      <c r="E13" s="15"/>
      <c r="F13" s="15"/>
    </row>
    <row r="14" spans="2:13" ht="12.75" x14ac:dyDescent="0.2">
      <c r="B14" s="15"/>
      <c r="C14" s="15"/>
      <c r="D14" s="15"/>
      <c r="E14" s="15"/>
      <c r="F14" s="15"/>
      <c r="G14" s="15"/>
    </row>
    <row r="15" spans="2:13" ht="12.75" x14ac:dyDescent="0.2">
      <c r="B15" s="15"/>
      <c r="C15" s="15"/>
      <c r="D15" s="15"/>
      <c r="E15" s="15"/>
      <c r="F15" s="15"/>
      <c r="G15" s="15"/>
    </row>
    <row r="16" spans="2:13" ht="12.75" x14ac:dyDescent="0.2">
      <c r="B16" s="15"/>
      <c r="C16" s="15"/>
      <c r="D16" s="15"/>
      <c r="E16" s="15"/>
      <c r="F16" s="15"/>
      <c r="G16" s="15"/>
      <c r="H16" s="16"/>
      <c r="I16" s="16"/>
      <c r="J16" s="16"/>
      <c r="K16" s="16"/>
      <c r="L16" s="16"/>
      <c r="M16" s="16"/>
    </row>
    <row r="17" spans="2:13" ht="12.75" x14ac:dyDescent="0.2">
      <c r="B17" s="15"/>
      <c r="C17" s="15"/>
      <c r="D17" s="15"/>
      <c r="E17" s="15"/>
      <c r="F17" s="15"/>
      <c r="G17" s="15"/>
      <c r="H17" s="16"/>
      <c r="I17" s="16"/>
      <c r="J17" s="16"/>
      <c r="K17" s="16"/>
      <c r="L17" s="16"/>
      <c r="M17" s="16"/>
    </row>
    <row r="18" spans="2:13" ht="12.75" x14ac:dyDescent="0.2">
      <c r="H18" s="16"/>
      <c r="I18" s="16"/>
      <c r="J18" s="16"/>
      <c r="K18" s="16"/>
      <c r="L18" s="16"/>
      <c r="M18" s="16"/>
    </row>
    <row r="19" spans="2:13" ht="12.75" x14ac:dyDescent="0.2">
      <c r="H19" s="16"/>
      <c r="I19" s="16"/>
      <c r="J19" s="16"/>
      <c r="K19" s="16"/>
      <c r="L19" s="16"/>
      <c r="M19" s="16"/>
    </row>
  </sheetData>
  <mergeCells count="1">
    <mergeCell ref="F2:H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OIS - Sensitivity</vt:lpstr>
      <vt:lpstr>OIS - Specificity</vt:lpstr>
      <vt:lpstr>Version 2 - Sensitivity</vt:lpstr>
      <vt:lpstr>Version 2 - Specificity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Fernandez G</cp:lastModifiedBy>
  <dcterms:modified xsi:type="dcterms:W3CDTF">2024-09-08T02:23:27Z</dcterms:modified>
</cp:coreProperties>
</file>